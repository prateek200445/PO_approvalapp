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1.xml" ContentType="application/vnd.openxmlformats-officedocument.spreadsheetml.comment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Negi\Desktop\Ebidata\EBIDTA PIL-VI 2019-20\104-EBIDTA HPBL-IV AUG-26\"/>
    </mc:Choice>
  </mc:AlternateContent>
  <bookViews>
    <workbookView xWindow="0" yWindow="0" windowWidth="20490" windowHeight="7755" tabRatio="743" activeTab="2"/>
  </bookViews>
  <sheets>
    <sheet name="JOB OUT" sheetId="70" r:id="rId1"/>
    <sheet name="JOB-IN" sheetId="71" r:id="rId2"/>
    <sheet name="Provision &amp; Prepaid Exp" sheetId="39" r:id="rId3"/>
    <sheet name="Sheet7" sheetId="63" state="hidden" r:id="rId4"/>
    <sheet name="Rate Diference" sheetId="44" r:id="rId5"/>
    <sheet name="Purchase Register" sheetId="1" r:id="rId6"/>
    <sheet name="Sales Register" sheetId="57" r:id="rId7"/>
    <sheet name="Trail Balance-AUG26" sheetId="20" r:id="rId8"/>
    <sheet name="Inward Summary" sheetId="10" r:id="rId9"/>
    <sheet name="Inward Register" sheetId="9" r:id="rId10"/>
    <sheet name="Inward-Webbing" sheetId="6" r:id="rId11"/>
    <sheet name="Inward-Lam-Unlam-Fabric" sheetId="12" r:id="rId12"/>
    <sheet name="Sheet8" sheetId="31" state="hidden" r:id="rId13"/>
    <sheet name="Job Stk Bal May25-KPW" sheetId="36" state="hidden" r:id="rId14"/>
    <sheet name="Sheet5" sheetId="41" state="hidden" r:id="rId15"/>
    <sheet name="Sheet6" sheetId="42" state="hidden" r:id="rId16"/>
    <sheet name="Job Stk Bal May25-PPL" sheetId="15" state="hidden" r:id="rId17"/>
    <sheet name="Job Stk Bal May25-Aaradhya" sheetId="34" state="hidden" r:id="rId18"/>
    <sheet name="Job Stk Bal May25-Saru" sheetId="17" state="hidden" r:id="rId19"/>
    <sheet name="Job Stk Bal Apr25-Parsva " sheetId="16" state="hidden" r:id="rId20"/>
    <sheet name="JOB STOCK-Jan24" sheetId="58" state="hidden" r:id="rId21"/>
    <sheet name="Reco." sheetId="23" state="hidden" r:id="rId22"/>
    <sheet name="Sheet1" sheetId="37" state="hidden" r:id="rId23"/>
    <sheet name="Sheet3" sheetId="24" state="hidden" r:id="rId24"/>
    <sheet name="Sheet1 (2)" sheetId="38" state="hidden" r:id="rId25"/>
    <sheet name="RECO.." sheetId="43" state="hidden" r:id="rId26"/>
    <sheet name="Sheet4" sheetId="55" state="hidden" r:id="rId27"/>
    <sheet name="Sheet2" sheetId="54" state="hidden" r:id="rId28"/>
    <sheet name="Sheet9" sheetId="56" state="hidden" r:id="rId29"/>
    <sheet name="Sheet12" sheetId="50" state="hidden" r:id="rId30"/>
    <sheet name="Reco.Apr24" sheetId="60" state="hidden" r:id="rId31"/>
    <sheet name="RECO JULY-24" sheetId="64" state="hidden" r:id="rId32"/>
    <sheet name="JOB Work Summary" sheetId="62" r:id="rId33"/>
    <sheet name="Sheet15" sheetId="69" r:id="rId34"/>
    <sheet name="Sheet10" sheetId="73" r:id="rId35"/>
    <sheet name="Sheet1 (3)" sheetId="72" r:id="rId36"/>
  </sheets>
  <externalReferences>
    <externalReference r:id="rId37"/>
  </externalReferences>
  <definedNames>
    <definedName name="__xlnm._FilterDatabase">#REF!</definedName>
    <definedName name="__xlnm._FilterDatabase_1">#REF!</definedName>
    <definedName name="__xlnm._FilterDatabase_2">#REF!</definedName>
    <definedName name="__xlnm.Print_Titles">#REF!</definedName>
    <definedName name="__xlnm.Print_Titles_1">#REF!</definedName>
    <definedName name="_xlnm._FilterDatabase" localSheetId="9" hidden="1">'Inward Register'!$B$1:$BP$330</definedName>
    <definedName name="_xlnm._FilterDatabase" localSheetId="8" hidden="1">'Inward Summary'!$B$3:$E$35</definedName>
    <definedName name="_xlnm._FilterDatabase" localSheetId="11" hidden="1">'Inward-Lam-Unlam-Fabric'!$B$1:$V$1394</definedName>
    <definedName name="_xlnm._FilterDatabase" localSheetId="10" hidden="1">'Inward-Webbing'!$B$1:$V$891</definedName>
    <definedName name="_xlnm._FilterDatabase" localSheetId="0" hidden="1">'JOB OUT'!$E$10:$X$10</definedName>
    <definedName name="_xlnm._FilterDatabase" localSheetId="1" hidden="1">'JOB-IN'!$G$2:$BU$17</definedName>
    <definedName name="_xlnm._FilterDatabase" localSheetId="5" hidden="1">'Purchase Register'!$H$23:$AL$669</definedName>
    <definedName name="_xlnm._FilterDatabase" localSheetId="6" hidden="1">'Sales Register'!$H$16:$AM$199</definedName>
    <definedName name="_xlnm._FilterDatabase" localSheetId="15" hidden="1">Sheet6!$B$1:$I$98</definedName>
    <definedName name="Excel_BuiltIn__FilterDatabase">[1]Debtors!$A$30:$G$221</definedName>
  </definedNames>
  <calcPr calcId="152511"/>
  <pivotCaches>
    <pivotCache cacheId="3" r:id="rId38"/>
    <pivotCache cacheId="4" r:id="rId39"/>
    <pivotCache cacheId="5" r:id="rId40"/>
    <pivotCache cacheId="6" r:id="rId41"/>
    <pivotCache cacheId="7" r:id="rId42"/>
    <pivotCache cacheId="8" r:id="rId4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4" i="39" l="1"/>
  <c r="J1506" i="12" l="1"/>
  <c r="J1877" i="6"/>
  <c r="D3" i="57"/>
  <c r="Q9" i="44" l="1"/>
  <c r="D20" i="1"/>
  <c r="T36" i="44"/>
  <c r="V36" i="44"/>
  <c r="W36" i="44"/>
  <c r="Y36" i="44"/>
  <c r="AB36" i="44"/>
  <c r="AA36" i="44"/>
  <c r="X35" i="44"/>
  <c r="Z35" i="44" s="1"/>
  <c r="U35" i="44"/>
  <c r="L11" i="44"/>
  <c r="O11" i="44"/>
  <c r="P10" i="44"/>
  <c r="N10" i="44"/>
  <c r="M10" i="44"/>
  <c r="K10" i="44"/>
  <c r="O9" i="44"/>
  <c r="L9" i="44"/>
  <c r="V190" i="57"/>
  <c r="V178" i="57"/>
  <c r="V174" i="57"/>
  <c r="V147" i="57"/>
  <c r="V142" i="57"/>
  <c r="V141" i="57"/>
  <c r="V130" i="57"/>
  <c r="V125" i="57"/>
  <c r="V112" i="57"/>
  <c r="V99" i="57"/>
  <c r="V68" i="57"/>
  <c r="V65" i="57"/>
  <c r="V62" i="57"/>
  <c r="V41" i="57"/>
  <c r="V39" i="57"/>
  <c r="V23" i="57"/>
  <c r="C20" i="1"/>
  <c r="B20" i="1"/>
  <c r="D10" i="57"/>
  <c r="D23" i="57"/>
  <c r="D22" i="57"/>
  <c r="D21" i="57"/>
  <c r="D20" i="57"/>
  <c r="D19" i="57"/>
  <c r="D18" i="57"/>
  <c r="D17" i="57"/>
  <c r="D9" i="57"/>
  <c r="D16" i="1"/>
  <c r="D15" i="1"/>
  <c r="G38" i="73" l="1"/>
  <c r="G28" i="73" l="1"/>
  <c r="B17" i="39" l="1"/>
  <c r="B37" i="39" l="1"/>
  <c r="B34" i="39"/>
  <c r="D28" i="1"/>
  <c r="U36" i="44" l="1"/>
  <c r="X36" i="44"/>
  <c r="X14" i="44"/>
  <c r="Z14" i="44"/>
  <c r="U14" i="44"/>
  <c r="T14" i="44"/>
  <c r="V14" i="44"/>
  <c r="W14" i="44"/>
  <c r="AA14" i="44"/>
  <c r="T28" i="44"/>
  <c r="V28" i="44"/>
  <c r="U28" i="44" s="1"/>
  <c r="W28" i="44"/>
  <c r="AA28" i="44"/>
  <c r="Y14" i="44"/>
  <c r="Y28" i="44"/>
  <c r="X28" i="44" s="1"/>
  <c r="Z28" i="44" s="1"/>
  <c r="AB28" i="44"/>
  <c r="AB14" i="44"/>
  <c r="Z36" i="44" l="1"/>
  <c r="X34" i="44" l="1"/>
  <c r="U34" i="44"/>
  <c r="X33" i="44"/>
  <c r="U33" i="44"/>
  <c r="X32" i="44"/>
  <c r="U32" i="44"/>
  <c r="Z34" i="44" l="1"/>
  <c r="Z32" i="44"/>
  <c r="Z33" i="44"/>
  <c r="O8" i="44" l="1"/>
  <c r="L8" i="44"/>
  <c r="Q8" i="44" l="1"/>
  <c r="G83" i="72" l="1"/>
  <c r="G79" i="72"/>
  <c r="D7" i="57"/>
  <c r="D6" i="57"/>
  <c r="D8" i="57"/>
  <c r="D14" i="1"/>
  <c r="G93" i="72" l="1"/>
  <c r="G47" i="72"/>
  <c r="G51" i="72" s="1"/>
  <c r="G71" i="72"/>
  <c r="G61" i="72"/>
  <c r="E61" i="72"/>
  <c r="E62" i="72" s="1"/>
  <c r="F61" i="72"/>
  <c r="D61" i="72"/>
  <c r="D57" i="72"/>
  <c r="D62" i="72" s="1"/>
  <c r="G57" i="72"/>
  <c r="G62" i="72" s="1"/>
  <c r="G94" i="72" l="1"/>
  <c r="E42" i="72"/>
  <c r="E41" i="72"/>
  <c r="D31" i="72"/>
  <c r="E27" i="72"/>
  <c r="F31" i="72" s="1"/>
  <c r="G19" i="72"/>
  <c r="F15" i="72"/>
  <c r="E15" i="72"/>
  <c r="G9" i="72"/>
  <c r="G10" i="72" s="1"/>
  <c r="D9" i="72"/>
  <c r="G4" i="72"/>
  <c r="E10" i="1"/>
  <c r="E9" i="1"/>
  <c r="D26" i="1"/>
  <c r="F28" i="44" l="1"/>
  <c r="F30" i="44" s="1"/>
  <c r="E28" i="44"/>
  <c r="E30" i="44" s="1"/>
  <c r="D28" i="44"/>
  <c r="D30" i="44" s="1"/>
  <c r="C28" i="44"/>
  <c r="D5" i="57"/>
  <c r="D2" i="57"/>
  <c r="D4" i="1"/>
  <c r="D10" i="1"/>
  <c r="D6" i="1"/>
  <c r="D13" i="1"/>
  <c r="D12" i="1"/>
  <c r="D11" i="1"/>
  <c r="D9" i="1"/>
  <c r="D7" i="1"/>
  <c r="D5" i="1"/>
  <c r="D8" i="1"/>
  <c r="O7" i="44" l="1"/>
  <c r="L7" i="44"/>
  <c r="Q7" i="44" l="1"/>
  <c r="X31" i="44" l="1"/>
  <c r="U31" i="44"/>
  <c r="Z31" i="44" l="1"/>
  <c r="O6" i="44"/>
  <c r="L6" i="44"/>
  <c r="Q6" i="44" l="1"/>
  <c r="D4" i="57"/>
  <c r="D27" i="1"/>
  <c r="B19" i="1"/>
  <c r="C19" i="1"/>
  <c r="D19" i="1" l="1"/>
  <c r="J5" i="1"/>
  <c r="I5" i="1"/>
  <c r="C30" i="44" l="1"/>
  <c r="F32" i="44" s="1"/>
  <c r="G27" i="44"/>
  <c r="G26" i="44"/>
  <c r="G25" i="44"/>
  <c r="G24" i="44"/>
  <c r="G23" i="44"/>
  <c r="G22" i="44"/>
  <c r="G21" i="44"/>
  <c r="G20" i="44"/>
  <c r="G19" i="44"/>
  <c r="G18" i="44"/>
  <c r="U6" i="44"/>
  <c r="X6" i="44"/>
  <c r="E7" i="44"/>
  <c r="U7" i="44"/>
  <c r="X7" i="44"/>
  <c r="U8" i="44"/>
  <c r="X8" i="44"/>
  <c r="Z8" i="44" s="1"/>
  <c r="U9" i="44"/>
  <c r="X9" i="44"/>
  <c r="U10" i="44"/>
  <c r="X10" i="44"/>
  <c r="Z10" i="44" s="1"/>
  <c r="U11" i="44"/>
  <c r="X11" i="44"/>
  <c r="U12" i="44"/>
  <c r="X12" i="44"/>
  <c r="U13" i="44"/>
  <c r="X13" i="44"/>
  <c r="U16" i="44"/>
  <c r="X16" i="44"/>
  <c r="Z16" i="44" s="1"/>
  <c r="U17" i="44"/>
  <c r="X17" i="44"/>
  <c r="J10" i="1"/>
  <c r="I10" i="1"/>
  <c r="G28" i="44" l="1"/>
  <c r="G30" i="44" s="1"/>
  <c r="G31" i="44" s="1"/>
  <c r="Z12" i="44"/>
  <c r="Z17" i="44"/>
  <c r="Z11" i="44"/>
  <c r="Z13" i="44"/>
  <c r="Z9" i="44"/>
  <c r="Z6" i="44"/>
  <c r="Z7" i="44"/>
  <c r="X27" i="44" l="1"/>
  <c r="U27" i="44"/>
  <c r="X26" i="44"/>
  <c r="U26" i="44"/>
  <c r="Z27" i="44" l="1"/>
  <c r="Z26" i="44"/>
  <c r="C18" i="1"/>
  <c r="D24" i="1"/>
  <c r="D25" i="1"/>
  <c r="B18" i="1"/>
  <c r="X25" i="44" l="1"/>
  <c r="U25" i="44"/>
  <c r="X24" i="44"/>
  <c r="U24" i="44"/>
  <c r="Z25" i="44" l="1"/>
  <c r="Z24" i="44"/>
  <c r="I7" i="1"/>
  <c r="J7" i="1"/>
  <c r="X23" i="44" l="1"/>
  <c r="U23" i="44"/>
  <c r="X22" i="44"/>
  <c r="U22" i="44"/>
  <c r="X21" i="44"/>
  <c r="U21" i="44"/>
  <c r="X20" i="44"/>
  <c r="U20" i="44"/>
  <c r="X19" i="44"/>
  <c r="U19" i="44"/>
  <c r="X18" i="44"/>
  <c r="U18" i="44"/>
  <c r="Z19" i="44" l="1"/>
  <c r="Z18" i="44"/>
  <c r="Z22" i="44"/>
  <c r="Z21" i="44"/>
  <c r="Z23" i="44"/>
  <c r="Z20" i="44"/>
  <c r="M4" i="39" l="1"/>
  <c r="M8" i="39"/>
  <c r="J11" i="1"/>
  <c r="I11" i="1"/>
  <c r="K11" i="1" l="1"/>
  <c r="F5" i="57"/>
  <c r="G80" i="69" l="1"/>
  <c r="D78" i="69"/>
  <c r="D77" i="69"/>
  <c r="D72" i="69"/>
  <c r="G77" i="69"/>
  <c r="G72" i="69"/>
  <c r="G78" i="69" s="1"/>
  <c r="D18" i="1" l="1"/>
  <c r="G33" i="69" l="1"/>
  <c r="G34" i="69" s="1"/>
  <c r="G27" i="69"/>
  <c r="D27" i="69"/>
  <c r="F21" i="69"/>
  <c r="G21" i="69" s="1"/>
  <c r="D21" i="69"/>
  <c r="F9" i="69"/>
  <c r="E9" i="69"/>
  <c r="F3" i="62" l="1"/>
  <c r="J3" i="62" s="1"/>
  <c r="F2" i="62"/>
  <c r="J2" i="62" s="1"/>
  <c r="L10" i="44" l="1"/>
  <c r="L5" i="44" l="1"/>
  <c r="O5" i="44"/>
  <c r="Q5" i="44" l="1"/>
  <c r="Q5" i="17"/>
  <c r="F10" i="1" l="1"/>
  <c r="C4" i="62"/>
  <c r="D4" i="62"/>
  <c r="E4" i="62"/>
  <c r="I15" i="1"/>
  <c r="F4" i="62" l="1"/>
  <c r="E5" i="1"/>
  <c r="E6" i="1"/>
  <c r="F6" i="1" l="1"/>
  <c r="J8" i="1"/>
  <c r="I9" i="1"/>
  <c r="I6" i="1"/>
  <c r="J6" i="1"/>
  <c r="J9" i="1"/>
  <c r="I8" i="1"/>
  <c r="I12" i="1" l="1"/>
  <c r="K9" i="1" l="1"/>
  <c r="K6" i="1"/>
  <c r="F55" i="64" l="1"/>
  <c r="F43" i="64"/>
  <c r="E11" i="64"/>
  <c r="Y5" i="44" l="1"/>
  <c r="W5" i="44"/>
  <c r="X5" i="44" l="1"/>
  <c r="U5" i="44"/>
  <c r="Z5" i="44" l="1"/>
  <c r="F84" i="64" l="1"/>
  <c r="E84" i="64"/>
  <c r="G72" i="64"/>
  <c r="F72" i="64"/>
  <c r="E72" i="64"/>
  <c r="F23" i="64"/>
  <c r="E23" i="64"/>
  <c r="F22" i="64"/>
  <c r="E22" i="64"/>
  <c r="F11" i="64"/>
  <c r="X4" i="44" l="1"/>
  <c r="U4" i="44"/>
  <c r="Z4" i="44" l="1"/>
  <c r="E4" i="44" l="1"/>
  <c r="D8" i="44" s="1"/>
  <c r="D11" i="44" s="1"/>
  <c r="X3" i="44"/>
  <c r="U3" i="44"/>
  <c r="Z3" i="44" l="1"/>
  <c r="X2" i="44" l="1"/>
  <c r="U2" i="44"/>
  <c r="Z2" i="44" l="1"/>
  <c r="F138" i="60" l="1"/>
  <c r="F137" i="60"/>
  <c r="E137" i="60"/>
  <c r="G138" i="60" s="1"/>
  <c r="D130" i="60"/>
  <c r="G121" i="60"/>
  <c r="G112" i="60"/>
  <c r="G122" i="60" s="1"/>
  <c r="G93" i="60"/>
  <c r="G88" i="60"/>
  <c r="G79" i="60"/>
  <c r="E79" i="60"/>
  <c r="G73" i="60"/>
  <c r="E65" i="60"/>
  <c r="D65" i="60"/>
  <c r="D59" i="60"/>
  <c r="D53" i="60"/>
  <c r="F49" i="60"/>
  <c r="D49" i="60"/>
  <c r="G41" i="60"/>
  <c r="D41" i="60"/>
  <c r="G31" i="60"/>
  <c r="D31" i="60"/>
  <c r="L30" i="60"/>
  <c r="G27" i="60"/>
  <c r="D27" i="60"/>
  <c r="D32" i="60" s="1"/>
  <c r="G19" i="60"/>
  <c r="G15" i="60"/>
  <c r="G9" i="60"/>
  <c r="F9" i="60"/>
  <c r="E9" i="60"/>
  <c r="D9" i="60"/>
  <c r="G4" i="60"/>
  <c r="G10" i="60" s="1"/>
  <c r="D4" i="60"/>
  <c r="D10" i="60" l="1"/>
  <c r="G32" i="60"/>
  <c r="G94" i="60"/>
  <c r="D54" i="60"/>
  <c r="D66" i="60"/>
  <c r="G80" i="60"/>
  <c r="F10" i="60"/>
  <c r="G20" i="60"/>
  <c r="K10" i="1"/>
  <c r="K8" i="1"/>
  <c r="K7" i="1"/>
  <c r="K5" i="1"/>
  <c r="H29" i="63" l="1"/>
  <c r="F29" i="63"/>
  <c r="E29" i="63"/>
  <c r="C29" i="63"/>
  <c r="G27" i="63"/>
  <c r="D27" i="63"/>
  <c r="G26" i="63"/>
  <c r="D26" i="63"/>
  <c r="G25" i="63"/>
  <c r="D25" i="63"/>
  <c r="G24" i="63"/>
  <c r="D24" i="63"/>
  <c r="E17" i="63"/>
  <c r="D17" i="63"/>
  <c r="F16" i="63"/>
  <c r="F15" i="63"/>
  <c r="F14" i="63"/>
  <c r="F13" i="63"/>
  <c r="F12" i="63"/>
  <c r="F11" i="63"/>
  <c r="F10" i="63"/>
  <c r="F6" i="63"/>
  <c r="J12" i="1"/>
  <c r="F17" i="63" l="1"/>
  <c r="I27" i="63"/>
  <c r="F19" i="63"/>
  <c r="K12" i="1"/>
  <c r="G29" i="63"/>
  <c r="I24" i="63"/>
  <c r="I26" i="63"/>
  <c r="D29" i="63"/>
  <c r="I25" i="63"/>
  <c r="I29" i="63" l="1"/>
  <c r="G117" i="54" l="1"/>
  <c r="G112" i="54"/>
  <c r="G118" i="54" s="1"/>
  <c r="G99" i="54"/>
  <c r="G105" i="54"/>
  <c r="D92" i="54"/>
  <c r="D86" i="54"/>
  <c r="D93" i="54" s="1"/>
  <c r="F92" i="54"/>
  <c r="G92" i="54"/>
  <c r="G86" i="54"/>
  <c r="G51" i="54"/>
  <c r="G46" i="54"/>
  <c r="G39" i="54"/>
  <c r="G33" i="54"/>
  <c r="G25" i="54"/>
  <c r="G19" i="54"/>
  <c r="G10" i="54"/>
  <c r="G93" i="54" l="1"/>
  <c r="E94" i="54" s="1"/>
  <c r="G106" i="54"/>
  <c r="G79" i="54"/>
  <c r="G65" i="54"/>
  <c r="G60" i="54"/>
  <c r="D65" i="54"/>
  <c r="D60" i="54"/>
  <c r="D66" i="54" s="1"/>
  <c r="F46" i="54"/>
  <c r="D51" i="54"/>
  <c r="D46" i="54"/>
  <c r="G52" i="54"/>
  <c r="D40" i="54"/>
  <c r="D33" i="54"/>
  <c r="D39" i="54"/>
  <c r="S79" i="55"/>
  <c r="P11" i="55"/>
  <c r="P38" i="55"/>
  <c r="P37" i="55"/>
  <c r="P36" i="55"/>
  <c r="P35" i="55"/>
  <c r="P34" i="55"/>
  <c r="P33" i="55"/>
  <c r="P44" i="55"/>
  <c r="P45" i="55"/>
  <c r="P47" i="55"/>
  <c r="P55" i="55"/>
  <c r="P53" i="55"/>
  <c r="P56" i="55"/>
  <c r="P54" i="55"/>
  <c r="P52" i="55"/>
  <c r="P51" i="55"/>
  <c r="P50" i="55"/>
  <c r="P49" i="55"/>
  <c r="P48" i="55"/>
  <c r="P57" i="55"/>
  <c r="P58" i="55"/>
  <c r="P59" i="55"/>
  <c r="P60" i="55"/>
  <c r="P61" i="55"/>
  <c r="P62" i="55"/>
  <c r="P68" i="55"/>
  <c r="P67" i="55"/>
  <c r="P66" i="55"/>
  <c r="P65" i="55"/>
  <c r="P64" i="55"/>
  <c r="P63" i="55"/>
  <c r="P69" i="55"/>
  <c r="P70" i="55"/>
  <c r="P71" i="55"/>
  <c r="P72" i="55"/>
  <c r="P73" i="55"/>
  <c r="P74" i="55"/>
  <c r="P75" i="55"/>
  <c r="P76" i="55"/>
  <c r="P10" i="55"/>
  <c r="P9" i="55"/>
  <c r="P8" i="55"/>
  <c r="P7" i="55"/>
  <c r="P6" i="55"/>
  <c r="P5" i="55"/>
  <c r="P4" i="55"/>
  <c r="P3" i="55"/>
  <c r="P2" i="55"/>
  <c r="P77" i="55" s="1"/>
  <c r="N78" i="55"/>
  <c r="I124" i="55"/>
  <c r="C124" i="55"/>
  <c r="D124" i="55"/>
  <c r="D125" i="55" s="1"/>
  <c r="K31" i="43"/>
  <c r="K30" i="43"/>
  <c r="K29" i="43"/>
  <c r="G40" i="54"/>
  <c r="G26" i="54"/>
  <c r="G4" i="54"/>
  <c r="G11" i="54" s="1"/>
  <c r="G66" i="54" l="1"/>
  <c r="S80" i="55"/>
  <c r="E52" i="54"/>
  <c r="I125" i="55"/>
  <c r="D52" i="54"/>
  <c r="E67" i="54"/>
  <c r="F59" i="43"/>
  <c r="E47" i="43" l="1"/>
  <c r="F35" i="43"/>
  <c r="E30" i="43"/>
  <c r="G35" i="43" s="1"/>
  <c r="F29" i="43"/>
  <c r="E29" i="43"/>
  <c r="E23" i="43"/>
  <c r="F10" i="43"/>
  <c r="E10" i="43"/>
  <c r="F4" i="43"/>
  <c r="F5" i="43" l="1"/>
  <c r="S233" i="50"/>
  <c r="S232" i="50"/>
  <c r="S230" i="50"/>
  <c r="S228" i="50"/>
  <c r="S226" i="50"/>
  <c r="S225" i="50"/>
  <c r="S229" i="50"/>
  <c r="S234" i="50"/>
  <c r="S231" i="50"/>
  <c r="S227" i="50"/>
  <c r="N220" i="50" l="1"/>
  <c r="N214" i="50"/>
  <c r="O220" i="50"/>
  <c r="P221" i="50"/>
  <c r="P220" i="50"/>
  <c r="N186" i="50"/>
  <c r="M180" i="50"/>
  <c r="M185" i="50"/>
  <c r="O185" i="50"/>
  <c r="P172" i="50"/>
  <c r="P166" i="50"/>
  <c r="N172" i="50"/>
  <c r="N173" i="50" s="1"/>
  <c r="M172" i="50"/>
  <c r="M166" i="50"/>
  <c r="O173" i="50"/>
  <c r="M186" i="50" l="1"/>
  <c r="M173" i="50"/>
  <c r="N221" i="50"/>
  <c r="N222" i="50" s="1"/>
  <c r="P173" i="50"/>
  <c r="F9" i="38" l="1"/>
  <c r="E20" i="38"/>
  <c r="F20" i="38"/>
  <c r="E21" i="38"/>
  <c r="E31" i="38"/>
  <c r="F31" i="38"/>
  <c r="D43" i="38"/>
  <c r="F34" i="37" l="1"/>
  <c r="O231" i="37" l="1"/>
  <c r="O232" i="37"/>
  <c r="O233" i="37"/>
  <c r="O234" i="37"/>
  <c r="O235" i="37"/>
  <c r="O236" i="37"/>
  <c r="G208" i="37"/>
  <c r="G212" i="37"/>
  <c r="O245" i="37"/>
  <c r="O230" i="37"/>
  <c r="O229" i="37"/>
  <c r="O228" i="37"/>
  <c r="O227" i="37"/>
  <c r="O226" i="37"/>
  <c r="O225" i="37"/>
  <c r="O224" i="37"/>
  <c r="O223" i="37"/>
  <c r="O222" i="37"/>
  <c r="O221" i="37"/>
  <c r="O220" i="37"/>
  <c r="O217" i="37"/>
  <c r="O216" i="37"/>
  <c r="O215" i="37"/>
  <c r="O214" i="37"/>
  <c r="O211" i="37"/>
  <c r="O210" i="37"/>
  <c r="O209" i="37"/>
  <c r="O208" i="37"/>
  <c r="O207" i="37"/>
  <c r="O206" i="37"/>
  <c r="O205" i="37"/>
  <c r="O204" i="37"/>
  <c r="O203" i="37"/>
  <c r="O194" i="37"/>
  <c r="O193" i="37"/>
  <c r="O192" i="37"/>
  <c r="O178" i="37"/>
  <c r="O175" i="37"/>
  <c r="O174" i="37"/>
  <c r="O173" i="37"/>
  <c r="O171" i="37"/>
  <c r="O172" i="37"/>
  <c r="O167" i="37"/>
  <c r="O166" i="37"/>
  <c r="O165" i="37"/>
  <c r="O164" i="37"/>
  <c r="D190" i="37"/>
  <c r="D185" i="37"/>
  <c r="G190" i="37"/>
  <c r="G185" i="37"/>
  <c r="E179" i="37"/>
  <c r="F179" i="37"/>
  <c r="D179" i="37"/>
  <c r="D174" i="37"/>
  <c r="G179" i="37"/>
  <c r="G174" i="37"/>
  <c r="H12" i="23"/>
  <c r="G10" i="37"/>
  <c r="F10" i="37"/>
  <c r="F161" i="37"/>
  <c r="D161" i="37"/>
  <c r="G143" i="37"/>
  <c r="G137" i="37"/>
  <c r="G127" i="37"/>
  <c r="G118" i="37"/>
  <c r="G113" i="37"/>
  <c r="J92" i="37"/>
  <c r="G82" i="37"/>
  <c r="E82" i="37"/>
  <c r="D82" i="37"/>
  <c r="G77" i="37"/>
  <c r="D77" i="37"/>
  <c r="G68" i="37"/>
  <c r="F67" i="37"/>
  <c r="E67" i="37"/>
  <c r="D67" i="37"/>
  <c r="G56" i="37"/>
  <c r="G51" i="37"/>
  <c r="G45" i="37"/>
  <c r="G40" i="37"/>
  <c r="G34" i="37"/>
  <c r="G29" i="37"/>
  <c r="G22" i="37"/>
  <c r="G17" i="37"/>
  <c r="D11" i="37"/>
  <c r="D10" i="37"/>
  <c r="G4" i="37"/>
  <c r="G180" i="37" l="1"/>
  <c r="G11" i="37"/>
  <c r="F162" i="37"/>
  <c r="G191" i="37"/>
  <c r="D191" i="37"/>
  <c r="G119" i="37"/>
  <c r="D12" i="37"/>
  <c r="D83" i="37"/>
  <c r="G57" i="37"/>
  <c r="I57" i="37" s="1"/>
  <c r="G144" i="37"/>
  <c r="G46" i="37"/>
  <c r="E68" i="37"/>
  <c r="G83" i="37"/>
  <c r="I83" i="37" s="1"/>
  <c r="G35" i="37"/>
  <c r="G23" i="37"/>
  <c r="G113" i="23" l="1"/>
  <c r="G118" i="23"/>
  <c r="G119" i="23" s="1"/>
  <c r="G127" i="23"/>
  <c r="G143" i="23"/>
  <c r="G137" i="23"/>
  <c r="F161" i="23"/>
  <c r="D161" i="23"/>
  <c r="D67" i="23"/>
  <c r="E67" i="23"/>
  <c r="F67" i="23"/>
  <c r="D82" i="23"/>
  <c r="D77" i="23"/>
  <c r="E82" i="23"/>
  <c r="G82" i="23"/>
  <c r="G77" i="23"/>
  <c r="D11" i="23"/>
  <c r="D10" i="23"/>
  <c r="F10" i="23"/>
  <c r="G83" i="23" l="1"/>
  <c r="F162" i="23"/>
  <c r="D12" i="23"/>
  <c r="E68" i="23"/>
  <c r="G144" i="23"/>
  <c r="D83" i="23"/>
  <c r="G45" i="23"/>
  <c r="G40" i="23"/>
  <c r="G56" i="23"/>
  <c r="G51" i="23"/>
  <c r="P4" i="34" l="1"/>
  <c r="U18" i="31" l="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B18" i="31"/>
  <c r="J92" i="23" l="1"/>
  <c r="I83" i="23" s="1"/>
  <c r="G68" i="23"/>
  <c r="G57" i="23"/>
  <c r="I57" i="23" s="1"/>
  <c r="J37" i="24"/>
  <c r="J36" i="24"/>
  <c r="J35" i="24"/>
  <c r="J31" i="24"/>
  <c r="J30" i="24"/>
  <c r="J29" i="24"/>
  <c r="J28" i="24"/>
  <c r="J27" i="24"/>
  <c r="J26" i="24"/>
  <c r="J25" i="24"/>
  <c r="J24" i="24"/>
  <c r="J15" i="24"/>
  <c r="J14" i="24"/>
  <c r="J13" i="24"/>
  <c r="J11" i="24"/>
  <c r="J10" i="24"/>
  <c r="J9" i="24"/>
  <c r="G46" i="23"/>
  <c r="G34" i="23"/>
  <c r="G29" i="23"/>
  <c r="G22" i="23"/>
  <c r="G17" i="23"/>
  <c r="G10" i="23"/>
  <c r="G4" i="23"/>
  <c r="G35" i="23" l="1"/>
  <c r="G23" i="23"/>
  <c r="G11" i="23"/>
  <c r="O10" i="44"/>
  <c r="Q10" i="44" l="1"/>
</calcChain>
</file>

<file path=xl/comments1.xml><?xml version="1.0" encoding="utf-8"?>
<comments xmlns="http://schemas.openxmlformats.org/spreadsheetml/2006/main">
  <authors>
    <author>Audit</author>
  </authors>
  <commentList>
    <comment ref="D8" authorId="0" shapeId="0">
      <text>
        <r>
          <rPr>
            <b/>
            <sz val="9"/>
            <color indexed="81"/>
            <rFont val="Tahoma"/>
            <family val="2"/>
          </rPr>
          <t>This figure shows Excess  amount charged by HPBL-IV.</t>
        </r>
      </text>
    </comment>
  </commentList>
</comments>
</file>

<file path=xl/sharedStrings.xml><?xml version="1.0" encoding="utf-8"?>
<sst xmlns="http://schemas.openxmlformats.org/spreadsheetml/2006/main" count="73439" uniqueCount="10745">
  <si>
    <t>Unit</t>
  </si>
  <si>
    <t>Pcs</t>
  </si>
  <si>
    <t>Stores/Spares</t>
  </si>
  <si>
    <t>KGS</t>
  </si>
  <si>
    <t>Packing Material</t>
  </si>
  <si>
    <t>Consumables</t>
  </si>
  <si>
    <t>LTR</t>
  </si>
  <si>
    <t>PCS</t>
  </si>
  <si>
    <t>RM Consumables</t>
  </si>
  <si>
    <t>Polymer Stereo</t>
  </si>
  <si>
    <t>CMS</t>
  </si>
  <si>
    <t>Kgs</t>
  </si>
  <si>
    <t>LDPE/LLDPE Film</t>
  </si>
  <si>
    <t>SF</t>
  </si>
  <si>
    <t>FIBC Bags With UV With Liner</t>
  </si>
  <si>
    <t>FG</t>
  </si>
  <si>
    <t>FIBC Bags With UV Without Liner</t>
  </si>
  <si>
    <t>LDPE/LLDPE Bags/Liner</t>
  </si>
  <si>
    <t>WIP00023</t>
  </si>
  <si>
    <t>PP UL Fabric With UV</t>
  </si>
  <si>
    <t>WIP00025</t>
  </si>
  <si>
    <t>PP Lam Fabric With UV</t>
  </si>
  <si>
    <t>PP/HD Wastage/Scrap</t>
  </si>
  <si>
    <t>WIP00032</t>
  </si>
  <si>
    <t>Webbing</t>
  </si>
  <si>
    <t>Date</t>
  </si>
  <si>
    <t>Particular</t>
  </si>
  <si>
    <t>Voucher Type</t>
  </si>
  <si>
    <t>Voucher No</t>
  </si>
  <si>
    <t>Type</t>
  </si>
  <si>
    <t>Invoice No</t>
  </si>
  <si>
    <t>Invoice Date</t>
  </si>
  <si>
    <t>Main Grp</t>
  </si>
  <si>
    <t>Group Name</t>
  </si>
  <si>
    <t>Sub Grup</t>
  </si>
  <si>
    <t>sales Group Name</t>
  </si>
  <si>
    <t>Item Name</t>
  </si>
  <si>
    <t>Quantity</t>
  </si>
  <si>
    <t>Amount</t>
  </si>
  <si>
    <t>Item Desc</t>
  </si>
  <si>
    <t>Bill Amount</t>
  </si>
  <si>
    <t>CGST Rate</t>
  </si>
  <si>
    <t>CGST Amt</t>
  </si>
  <si>
    <t>SGST Rate</t>
  </si>
  <si>
    <t>SGST Amt</t>
  </si>
  <si>
    <t>IGST Rate</t>
  </si>
  <si>
    <t>IGST Amt</t>
  </si>
  <si>
    <t>Freight GST</t>
  </si>
  <si>
    <t>Total GST</t>
  </si>
  <si>
    <t>TCS</t>
  </si>
  <si>
    <t>GST-IN</t>
  </si>
  <si>
    <t>HSN Code</t>
  </si>
  <si>
    <t>Currencty</t>
  </si>
  <si>
    <t>Exc.Rate</t>
  </si>
  <si>
    <t>Net Wt</t>
  </si>
  <si>
    <t>K.P. Woven Pvt Ltd - Unit 2 -Sales</t>
  </si>
  <si>
    <t>Sales</t>
  </si>
  <si>
    <t>FIBC Bags</t>
  </si>
  <si>
    <t>JUMBO BAG</t>
  </si>
  <si>
    <t>24AAECK6307M1ZF</t>
  </si>
  <si>
    <t>Rs.</t>
  </si>
  <si>
    <t>Plastene India ltd - Unit 1-Sales</t>
  </si>
  <si>
    <t>PP/PE Fabric</t>
  </si>
  <si>
    <t>PP UL Fabric</t>
  </si>
  <si>
    <t>PP Woven Fabric</t>
  </si>
  <si>
    <t>24AAACO3087C1ZT</t>
  </si>
  <si>
    <t>K.P. Woven Pvt Ltd - Unit 3 -Sales</t>
  </si>
  <si>
    <t>MS Structure Items</t>
  </si>
  <si>
    <t>Spares &amp; Stores</t>
  </si>
  <si>
    <t>Stores &amp; Consumables</t>
  </si>
  <si>
    <t>MS Pipe 4  C Class</t>
  </si>
  <si>
    <t>Wastage/Scrap</t>
  </si>
  <si>
    <t>HDPE/PP Plastik Waste</t>
  </si>
  <si>
    <t>Plastene Polyfilms Ltd-Sales</t>
  </si>
  <si>
    <t>24AAFCP2956A1ZR</t>
  </si>
  <si>
    <t>Sales - Within State - Traded Goods</t>
  </si>
  <si>
    <t>PP Lam Fabric</t>
  </si>
  <si>
    <t>PP Laminated Woven Fabric</t>
  </si>
  <si>
    <t>K.P. Woven Pvt Ltd-Sales</t>
  </si>
  <si>
    <t>PP Webbing</t>
  </si>
  <si>
    <t>Liners</t>
  </si>
  <si>
    <t>LDPE/LLDPE Bags</t>
  </si>
  <si>
    <t>LLDPE Bags</t>
  </si>
  <si>
    <t>Row Labels</t>
  </si>
  <si>
    <t>Grand Total</t>
  </si>
  <si>
    <t>Sum of Quantity</t>
  </si>
  <si>
    <t>purchase Group Name</t>
  </si>
  <si>
    <t>Plastene India ltd - Unit 1-Purchase</t>
  </si>
  <si>
    <t>Branch Transfer In</t>
  </si>
  <si>
    <t>Plastene India ltd - Unit 2-Purchase</t>
  </si>
  <si>
    <t>K.P. Woven Pvt Ltd - Unit 2 -Purchase</t>
  </si>
  <si>
    <t>R.M.P.</t>
  </si>
  <si>
    <t>KPW2/D/60</t>
  </si>
  <si>
    <t>K.P. Woven Pvt Ltd-Purchase</t>
  </si>
  <si>
    <t>Plastene Polyfilms Ltd-Purchase</t>
  </si>
  <si>
    <t>Oswal Extrusion Ltd- KASEZ-Purchase</t>
  </si>
  <si>
    <t>General Purchase</t>
  </si>
  <si>
    <t>Purchase Withinstate- Stores, Spares &amp; Consumable</t>
  </si>
  <si>
    <t>Purchase Withinstate - Raw Material</t>
  </si>
  <si>
    <t>Yarn All</t>
  </si>
  <si>
    <t>PP Yarn</t>
  </si>
  <si>
    <t>PP Filament Yarn</t>
  </si>
  <si>
    <t>KPW2/D/65</t>
  </si>
  <si>
    <t>HCP Plastene Bulkpack Limited - Purchase</t>
  </si>
  <si>
    <t>24AABCG1282C2Z6</t>
  </si>
  <si>
    <t>Brahmani Graphics</t>
  </si>
  <si>
    <t>Rubber/Polymer Stereo</t>
  </si>
  <si>
    <t>Gayatri Petroleums</t>
  </si>
  <si>
    <t>Oil &amp; Greases</t>
  </si>
  <si>
    <t>Vyankatesh Udyog (I) Pvt Ltd - Purchase</t>
  </si>
  <si>
    <t>Ink</t>
  </si>
  <si>
    <t>Housekeeping Material</t>
  </si>
  <si>
    <t>Hardware Items</t>
  </si>
  <si>
    <t>Purchase</t>
  </si>
  <si>
    <t>Purchase Withinstate- Packing Material</t>
  </si>
  <si>
    <t>Pallets</t>
  </si>
  <si>
    <t>Rajgor Stationery &amp; Computer</t>
  </si>
  <si>
    <t>Shiv Shakti Enterprise</t>
  </si>
  <si>
    <t>KPW2/D/67</t>
  </si>
  <si>
    <t>KPW2/D/68</t>
  </si>
  <si>
    <t>KPW2/D/71</t>
  </si>
  <si>
    <t>KPW2/D/69</t>
  </si>
  <si>
    <t>KPW2/D/70</t>
  </si>
  <si>
    <t>PE Film</t>
  </si>
  <si>
    <t>KPW2/D/72</t>
  </si>
  <si>
    <t>KPW2/D/73</t>
  </si>
  <si>
    <t>KPW2/D/74</t>
  </si>
  <si>
    <t>TransferDate</t>
  </si>
  <si>
    <t>ProductionDate</t>
  </si>
  <si>
    <t>RollNo</t>
  </si>
  <si>
    <t>PartyRollNo</t>
  </si>
  <si>
    <t>PartyName</t>
  </si>
  <si>
    <t>Quality</t>
  </si>
  <si>
    <t>ReqGSM</t>
  </si>
  <si>
    <t>PendingWt</t>
  </si>
  <si>
    <t>NetWt</t>
  </si>
  <si>
    <t>Size</t>
  </si>
  <si>
    <t>Metre</t>
  </si>
  <si>
    <t>FromGodown</t>
  </si>
  <si>
    <t>ToGodown</t>
  </si>
  <si>
    <t>status</t>
  </si>
  <si>
    <t>Category</t>
  </si>
  <si>
    <t>RollType</t>
  </si>
  <si>
    <t>Remarks</t>
  </si>
  <si>
    <t>TransferUnit</t>
  </si>
  <si>
    <t>Invno</t>
  </si>
  <si>
    <t>ApprovalStatus</t>
  </si>
  <si>
    <t>ITEMCODE</t>
  </si>
  <si>
    <t>NeedleLoom Godown</t>
  </si>
  <si>
    <t>Roll Material Godown</t>
  </si>
  <si>
    <t>NeedleLoom</t>
  </si>
  <si>
    <t>OUT</t>
  </si>
  <si>
    <t>Approved</t>
  </si>
  <si>
    <t>Loom Godown</t>
  </si>
  <si>
    <t>Loom</t>
  </si>
  <si>
    <t>UnLaminated</t>
  </si>
  <si>
    <t>Laminated</t>
  </si>
  <si>
    <t>Company Name</t>
  </si>
  <si>
    <t>Bill Date</t>
  </si>
  <si>
    <t>Plastene India Limited (Unit-VI)</t>
  </si>
  <si>
    <t>WIP00013</t>
  </si>
  <si>
    <t>CompanyName</t>
  </si>
  <si>
    <t>Deptt</t>
  </si>
  <si>
    <t>GroupName</t>
  </si>
  <si>
    <t>SubGroupName</t>
  </si>
  <si>
    <t>srno</t>
  </si>
  <si>
    <t>Itemcode</t>
  </si>
  <si>
    <t>Itemname</t>
  </si>
  <si>
    <t>PoNO</t>
  </si>
  <si>
    <t>OrderQty</t>
  </si>
  <si>
    <t>Challanqty</t>
  </si>
  <si>
    <t>Recdqty</t>
  </si>
  <si>
    <t>PendingQty</t>
  </si>
  <si>
    <t>Acceptedqty</t>
  </si>
  <si>
    <t>Vehicalno</t>
  </si>
  <si>
    <t>Partyname</t>
  </si>
  <si>
    <t>Suppliername</t>
  </si>
  <si>
    <t>ChallanNo</t>
  </si>
  <si>
    <t>Challan Date</t>
  </si>
  <si>
    <t>category</t>
  </si>
  <si>
    <t>subcategory</t>
  </si>
  <si>
    <t>MRno</t>
  </si>
  <si>
    <t>Rate</t>
  </si>
  <si>
    <t>BillNo</t>
  </si>
  <si>
    <t>Transportname</t>
  </si>
  <si>
    <t>Lrnodate</t>
  </si>
  <si>
    <t>Billamount</t>
  </si>
  <si>
    <t>Deptt Po Indent</t>
  </si>
  <si>
    <t>LoginName</t>
  </si>
  <si>
    <t>servicetax</t>
  </si>
  <si>
    <t>Basic Amount</t>
  </si>
  <si>
    <t>GateInwardNo</t>
  </si>
  <si>
    <t>GateInwardDate</t>
  </si>
  <si>
    <t>VendorGST</t>
  </si>
  <si>
    <t>MRN User</t>
  </si>
  <si>
    <t>POUserName</t>
  </si>
  <si>
    <t>CGSTPer</t>
  </si>
  <si>
    <t>CGSTAmount</t>
  </si>
  <si>
    <t>SGSTPer</t>
  </si>
  <si>
    <t>SGSTAmount</t>
  </si>
  <si>
    <t>IGSTPer</t>
  </si>
  <si>
    <t>IGSTAmount</t>
  </si>
  <si>
    <t>RBIllmount</t>
  </si>
  <si>
    <t>EWayNo</t>
  </si>
  <si>
    <t>EWayDt</t>
  </si>
  <si>
    <t>netwt</t>
  </si>
  <si>
    <t>RAW MATERIAL</t>
  </si>
  <si>
    <t>INDIGENOUS</t>
  </si>
  <si>
    <t>RM</t>
  </si>
  <si>
    <t>erp</t>
  </si>
  <si>
    <t>storepil6</t>
  </si>
  <si>
    <t>WIP00004</t>
  </si>
  <si>
    <t>-</t>
  </si>
  <si>
    <t>OWN VEHICLE</t>
  </si>
  <si>
    <t>RAW05124</t>
  </si>
  <si>
    <t>Sum of Recdqty</t>
  </si>
  <si>
    <t>Ledger Name</t>
  </si>
  <si>
    <t>Opening</t>
  </si>
  <si>
    <t>Debit</t>
  </si>
  <si>
    <t>Credit</t>
  </si>
  <si>
    <t>Closing</t>
  </si>
  <si>
    <t>Plastene India ltd - Unit 6-Purchase</t>
  </si>
  <si>
    <t>Plastene India ltd - Unit 6-Sales</t>
  </si>
  <si>
    <t>CR</t>
  </si>
  <si>
    <t>DR</t>
  </si>
  <si>
    <t>0.00 Dr</t>
  </si>
  <si>
    <t>Plastene India ltd - Unit 2-Sales</t>
  </si>
  <si>
    <t>Plastene India Limited (Unit -II)</t>
  </si>
  <si>
    <t>Difference</t>
  </si>
  <si>
    <t>K.P. Woven Pvt Ltd - Unit 3 -Purchase</t>
  </si>
  <si>
    <t>K.P. WOVEN PRIVATE LIMITED (UNIT-III)</t>
  </si>
  <si>
    <t xml:space="preserve"> </t>
  </si>
  <si>
    <t>Oswal Extrusion Ltd- KASEZ-Sales</t>
  </si>
  <si>
    <t>Oswal Extrusion Limited</t>
  </si>
  <si>
    <t>JUMBO BAGS</t>
  </si>
  <si>
    <t>YARN</t>
  </si>
  <si>
    <t>LAMINATED FABRIC</t>
  </si>
  <si>
    <t>UNLAMINATED FABRIC</t>
  </si>
  <si>
    <t>WEBBING</t>
  </si>
  <si>
    <t>Sum of Amount</t>
  </si>
  <si>
    <t>LLDPE BAGS/LINNER/DOC</t>
  </si>
  <si>
    <t>SysDate</t>
  </si>
  <si>
    <t>DescGoods</t>
  </si>
  <si>
    <t>Identification</t>
  </si>
  <si>
    <t>QtyDesc</t>
  </si>
  <si>
    <t>value</t>
  </si>
  <si>
    <t>TariffClasss</t>
  </si>
  <si>
    <t>ItemCode</t>
  </si>
  <si>
    <t>ItemName</t>
  </si>
  <si>
    <t>ItemQty</t>
  </si>
  <si>
    <t>Parsva Trading</t>
  </si>
  <si>
    <t>LD/LLDPE  FILM,</t>
  </si>
  <si>
    <t>Saru Plastics</t>
  </si>
  <si>
    <t>Total</t>
  </si>
  <si>
    <t>Plastene India Ltd - Ho-For Gst Balance Only</t>
  </si>
  <si>
    <t>Gopala Polyplast Limited - Sales</t>
  </si>
  <si>
    <t>Plastene India ltd - HO-Sales</t>
  </si>
  <si>
    <t>HCP Enterprise Ltd-Purchase</t>
  </si>
  <si>
    <t>Quality Prepress Pvt Ltd</t>
  </si>
  <si>
    <t>Gopala Polyplast Limited - Purchase</t>
  </si>
  <si>
    <t>HCP Plastene Bulkpack Ltd (Unit-III) - Purchase</t>
  </si>
  <si>
    <t>Mittal Trade Netlinks - Creditors</t>
  </si>
  <si>
    <t>Bank Cash Credit SBI 66000073295</t>
  </si>
  <si>
    <t>Plastene India ltd - HO-ICD</t>
  </si>
  <si>
    <t>Freight Outward Expense (With GST)</t>
  </si>
  <si>
    <t>AS PER T/B</t>
  </si>
  <si>
    <t>DIFFERENCE</t>
  </si>
  <si>
    <t>Purchase value reco with Trail Balance Value</t>
  </si>
  <si>
    <t>Sales value reco with Trail Balance Value</t>
  </si>
  <si>
    <t>KPW2/D/84</t>
  </si>
  <si>
    <t>Plastene India Limited</t>
  </si>
  <si>
    <t>Plastene Polyfilms Limited</t>
  </si>
  <si>
    <t>K.P. WOVEN PRIVATE LIMITED</t>
  </si>
  <si>
    <t>Voucher Ref</t>
  </si>
  <si>
    <t>KPW2/D/4</t>
  </si>
  <si>
    <t>6,93,418.46</t>
  </si>
  <si>
    <t>KPW2/D/5</t>
  </si>
  <si>
    <t>1,99,478.51</t>
  </si>
  <si>
    <t>KPW2/D/3</t>
  </si>
  <si>
    <t>KPW2/D/12</t>
  </si>
  <si>
    <t>1,04,494.99</t>
  </si>
  <si>
    <t>KPW2/D/14</t>
  </si>
  <si>
    <t>KPW2/D/13</t>
  </si>
  <si>
    <t>KPW2/D/18</t>
  </si>
  <si>
    <t>36,51,185.29</t>
  </si>
  <si>
    <t>KPW2/D/19</t>
  </si>
  <si>
    <t>KPW2/D/20</t>
  </si>
  <si>
    <t>KPW2/D/25</t>
  </si>
  <si>
    <t>KPW2/D/27</t>
  </si>
  <si>
    <t>KPW2/D/26</t>
  </si>
  <si>
    <t>KPW2/D/28</t>
  </si>
  <si>
    <t>KPW2/D/29</t>
  </si>
  <si>
    <t>KPW2/D/35</t>
  </si>
  <si>
    <t>KPW2/D/34</t>
  </si>
  <si>
    <t>KPW2/D/37</t>
  </si>
  <si>
    <t>KPW2/D/38</t>
  </si>
  <si>
    <t>KPW2/D/39</t>
  </si>
  <si>
    <t>KPW2/D/40</t>
  </si>
  <si>
    <t>SBINR12022051183079229</t>
  </si>
  <si>
    <t>48,05,282.90</t>
  </si>
  <si>
    <t>SBINR12022051283375826</t>
  </si>
  <si>
    <t>18,79,525.50</t>
  </si>
  <si>
    <t>KPW2/D/45</t>
  </si>
  <si>
    <t>KPW2/D/46</t>
  </si>
  <si>
    <t>KPW2/D/57</t>
  </si>
  <si>
    <t>KPW2/D/58</t>
  </si>
  <si>
    <t>BANK ENTRY PENDING</t>
  </si>
  <si>
    <t>Particulars</t>
  </si>
  <si>
    <t>Agst Ref    PIL6/E/224/21-22            1089694.48</t>
  </si>
  <si>
    <t>Agst Ref    PIL6/E/231/21-22            1317244.40</t>
  </si>
  <si>
    <t>Agst Ref    PIL6/E/233/21-22            1633291.74</t>
  </si>
  <si>
    <t>Agst Ref    PIL6/E/233/21-22            1678767.32</t>
  </si>
  <si>
    <t>Agst Ref    PIL6/E/235/21-22            1202924.02</t>
  </si>
  <si>
    <t>Agst Ref    PIL6/E/241/21-22             195729.26</t>
  </si>
  <si>
    <t>Agst Ref    PIL6/E/223                  1604598.78</t>
  </si>
  <si>
    <t>Agst Ref    PIL6/E/224                  1089694.48</t>
  </si>
  <si>
    <t>Agst Ref    PIL6/E/231                  1317244.40</t>
  </si>
  <si>
    <t>Agst Ref    PIL6/E/233                  1708786.54</t>
  </si>
  <si>
    <t>Agst Ref    PIL6/E/235                  1202924.02</t>
  </si>
  <si>
    <t>Agst Ref    PIL6/E/241                   195729.26</t>
  </si>
  <si>
    <t>DIFFERENCE RS.1326</t>
  </si>
  <si>
    <t>2538FBS002528822</t>
  </si>
  <si>
    <t>2538FBS002531322</t>
  </si>
  <si>
    <t>2538FBS001761921</t>
  </si>
  <si>
    <t>2538FBS002533122</t>
  </si>
  <si>
    <t>0403822BS0000213</t>
  </si>
  <si>
    <t>0403822BS0000240</t>
  </si>
  <si>
    <t>0403822BS0000239</t>
  </si>
  <si>
    <t>0403822BS0000241</t>
  </si>
  <si>
    <t>PIL6/E/26</t>
  </si>
  <si>
    <t>PIL6/E/25</t>
  </si>
  <si>
    <t>0403822BS0000266</t>
  </si>
  <si>
    <t>0403822BS0000212</t>
  </si>
  <si>
    <t>HCP Plastene Bulkpack Limited - Sales</t>
  </si>
  <si>
    <t>HCP Plastene Bulkpack Ltd</t>
  </si>
  <si>
    <t>2,96,188.38 Cr</t>
  </si>
  <si>
    <t>23,03,052.13 Cr</t>
  </si>
  <si>
    <t>2,96,204.88 Dr</t>
  </si>
  <si>
    <t xml:space="preserve">tds Difference </t>
  </si>
  <si>
    <t>HCP ENTERPRISE LIMITED</t>
  </si>
  <si>
    <t>Bank Payment</t>
  </si>
  <si>
    <t>SBINR12021110950877652</t>
  </si>
  <si>
    <t>bank entry not showing in HCP books</t>
  </si>
  <si>
    <t>HCP to PIL-VI</t>
  </si>
  <si>
    <t>HCP Plastene Bulkpack Ltd (Unit-III) - Sales</t>
  </si>
  <si>
    <t>HCP Plastene Bulkpack Ltd (Unit - III)</t>
  </si>
  <si>
    <t>dr</t>
  </si>
  <si>
    <t>cr</t>
  </si>
  <si>
    <t>not difference</t>
  </si>
  <si>
    <t>PP Woven Sacks</t>
  </si>
  <si>
    <t>17-08-2022</t>
  </si>
  <si>
    <t>13926708.33 Dr</t>
  </si>
  <si>
    <t>29805569.62 Dr</t>
  </si>
  <si>
    <t>303415621.03 Dr</t>
  </si>
  <si>
    <t>1626039.52 Dr</t>
  </si>
  <si>
    <t>34090380.05 Cr</t>
  </si>
  <si>
    <t>89813634.97 Cr</t>
  </si>
  <si>
    <t>82463308.58 Cr</t>
  </si>
  <si>
    <t>386668601.32 Cr</t>
  </si>
  <si>
    <t>RATAN CHANDRA SARKAR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</si>
  <si>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</si>
  <si>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</si>
  <si>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</si>
  <si>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</si>
  <si>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</si>
  <si>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</si>
  <si>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</si>
  <si>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</si>
  <si>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</si>
  <si>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</si>
  <si>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</si>
  <si>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</si>
  <si>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Sales Data</t>
  </si>
  <si>
    <t>Purchase Data</t>
  </si>
  <si>
    <t>FY-2021-22</t>
  </si>
  <si>
    <t>FY-2022-23</t>
  </si>
  <si>
    <t>TOTAL Details :-</t>
  </si>
  <si>
    <t>Aaradhya Printers</t>
  </si>
  <si>
    <t>Job Closing Stock Confirmation With Aaradhya Printers</t>
  </si>
  <si>
    <t>bank entry dt.30.08.22</t>
  </si>
  <si>
    <t>Debit note booking pending in KPW1</t>
  </si>
  <si>
    <t>opening differece</t>
  </si>
  <si>
    <t>(All)</t>
  </si>
  <si>
    <t>20-09-2022</t>
  </si>
  <si>
    <t>LLDPE Doc</t>
  </si>
  <si>
    <t>DOC Pouch</t>
  </si>
  <si>
    <t>28-09-2022</t>
  </si>
  <si>
    <t>Pest Relief India Private Limited</t>
  </si>
  <si>
    <t>PRI/MS/044/22-23</t>
  </si>
  <si>
    <t>WIP00221</t>
  </si>
  <si>
    <t>SMF00146</t>
  </si>
  <si>
    <t>K.P. WOVEN PRIVATE LIMITED (UNIT-II)</t>
  </si>
  <si>
    <t>1798105.32 Dr</t>
  </si>
  <si>
    <t>1223846496.54 Cr</t>
  </si>
  <si>
    <t>44792184.83 Cr</t>
  </si>
  <si>
    <t>374836538.38 Dr</t>
  </si>
  <si>
    <t>4608566.14 Dr</t>
  </si>
  <si>
    <t>481141625.17 Cr</t>
  </si>
  <si>
    <t>4374485.00 Cr</t>
  </si>
  <si>
    <t>1330150595.08 Dr</t>
  </si>
  <si>
    <t>44792184.84 Dr</t>
  </si>
  <si>
    <t>347011634.22 Cr</t>
  </si>
  <si>
    <t>1966529.54 Cr</t>
  </si>
  <si>
    <t>58858392.10 Dr</t>
  </si>
  <si>
    <t>7704932.13 Dr</t>
  </si>
  <si>
    <t>280448311.97 Dr</t>
  </si>
  <si>
    <t>1966529.54 Dr</t>
  </si>
  <si>
    <t>4313301.84 Cr</t>
  </si>
  <si>
    <t>2909862.87 Dr</t>
  </si>
  <si>
    <t>20364270.00 Cr</t>
  </si>
  <si>
    <t>308266735.22 Cr</t>
  </si>
  <si>
    <t>20379277.00 Dr</t>
  </si>
  <si>
    <t>2924870.10 Cr</t>
  </si>
  <si>
    <t>389841821.57 Dr</t>
  </si>
  <si>
    <t>4313740.37 Dr</t>
  </si>
  <si>
    <t>9785.70 Cr</t>
  </si>
  <si>
    <t>13926677.30 Cr</t>
  </si>
  <si>
    <t>34088516.46 Dr</t>
  </si>
  <si>
    <t>9785.70 Dr</t>
  </si>
  <si>
    <t>44458198.03 Dr</t>
  </si>
  <si>
    <t>11021311.57 Cr</t>
  </si>
  <si>
    <t>1128065.15 Dr</t>
  </si>
  <si>
    <t>13404080.64 Cr</t>
  </si>
  <si>
    <t>36085438.35 Cr</t>
  </si>
  <si>
    <t>13404080.64 Dr</t>
  </si>
  <si>
    <t>1128065.15 Cr</t>
  </si>
  <si>
    <t>89893537.93 Dr</t>
  </si>
  <si>
    <t>10998967.67 Dr</t>
  </si>
  <si>
    <t>44435854.03 Cr</t>
  </si>
  <si>
    <t>154957274.70 Dr</t>
  </si>
  <si>
    <t>13299667.15 Dr</t>
  </si>
  <si>
    <t>25851134.81 Cr</t>
  </si>
  <si>
    <t>155285813.84 Cr</t>
  </si>
  <si>
    <t>20612300.49 Dr</t>
  </si>
  <si>
    <t>13298063.73 Cr</t>
  </si>
  <si>
    <t>1798105.15 Cr</t>
  </si>
  <si>
    <t>48513605.59 Cr</t>
  </si>
  <si>
    <t>99793659.24 Dr</t>
  </si>
  <si>
    <t>45,99,978.92 Cr</t>
  </si>
  <si>
    <t>15,70,461.52 Cr</t>
  </si>
  <si>
    <t>61,70,440.44 Cr</t>
  </si>
  <si>
    <t>9,83,362.56 Dr</t>
  </si>
  <si>
    <t>9,83,362.56 Cr</t>
  </si>
  <si>
    <t>45,99,978.92 Dr</t>
  </si>
  <si>
    <t>15,70,461.52 Dr</t>
  </si>
  <si>
    <t>61,70,440.44 Dr</t>
  </si>
  <si>
    <t>3,64,34,027.99 Dr</t>
  </si>
  <si>
    <t>3,24,34,028.38 Cr</t>
  </si>
  <si>
    <t>Plastene India Ltd - Unit 6-For Gst Balance Only</t>
  </si>
  <si>
    <t>1,42,13,171.90 Dr</t>
  </si>
  <si>
    <t>37,65,094.01 Dr</t>
  </si>
  <si>
    <t>1,19,07,265.21 Cr</t>
  </si>
  <si>
    <t>37,65,095.11 Cr</t>
  </si>
  <si>
    <t>18-10-2022</t>
  </si>
  <si>
    <t>24AAACQ5321R1Z7</t>
  </si>
  <si>
    <t>28-10-2022</t>
  </si>
  <si>
    <t>29-10-2022</t>
  </si>
  <si>
    <t>GP/22-23/208955</t>
  </si>
  <si>
    <t>PIL6/D/98</t>
  </si>
  <si>
    <t>PIL6/D/104</t>
  </si>
  <si>
    <t>PIL6/D/105</t>
  </si>
  <si>
    <t>PIL6/D/110</t>
  </si>
  <si>
    <t>PIL6/D/113</t>
  </si>
  <si>
    <t>PIL6/D/115</t>
  </si>
  <si>
    <t>PIL6/D/117</t>
  </si>
  <si>
    <t>Rajesh Naran Zer</t>
  </si>
  <si>
    <t>1,26,89,93,642.90 Cr</t>
  </si>
  <si>
    <t>2,47,79,644.06 Cr</t>
  </si>
  <si>
    <t>37,94,45,104.52 Dr</t>
  </si>
  <si>
    <t>50,19,152.73 Dr</t>
  </si>
  <si>
    <t>48,55,16,110.17 Cr</t>
  </si>
  <si>
    <t>49,63,282.00 Cr</t>
  </si>
  <si>
    <t>1,37,52,97,741.45 Dr</t>
  </si>
  <si>
    <t>2,47,79,644.06 Dr</t>
  </si>
  <si>
    <t>1,18,67,16,918.26 Cr</t>
  </si>
  <si>
    <t>3,66,398.34 Dr</t>
  </si>
  <si>
    <t>10,74,22,767.03 Cr</t>
  </si>
  <si>
    <t>36,54,61,935.55 Dr</t>
  </si>
  <si>
    <t>1,97,21,629.80 Dr</t>
  </si>
  <si>
    <t>7,19,308.10 Cr</t>
  </si>
  <si>
    <t>47,17,66,043.17 Cr</t>
  </si>
  <si>
    <t>7,18,328.00 Dr</t>
  </si>
  <si>
    <t>1,94,31,677.00 Cr</t>
  </si>
  <si>
    <t>1,29,30,21,016.82 Dr</t>
  </si>
  <si>
    <t>10,74,22,767.02 Dr</t>
  </si>
  <si>
    <t>3,66,398.34 Cr</t>
  </si>
  <si>
    <t>1,22,38,46,496.54 Cr</t>
  </si>
  <si>
    <t>6,99,26,790.42 Cr</t>
  </si>
  <si>
    <t>37,48,36,538.38 Dr</t>
  </si>
  <si>
    <t>96,27,718.87 Dr</t>
  </si>
  <si>
    <t>48,11,41,625.17 Cr</t>
  </si>
  <si>
    <t>93,37,767.00 Cr</t>
  </si>
  <si>
    <t>1,33,01,50,595.08 Dr</t>
  </si>
  <si>
    <t>6,99,26,790.43 Dr</t>
  </si>
  <si>
    <t>entry booked pil1 in nov</t>
  </si>
  <si>
    <t>34,89,78,163.76 Cr</t>
  </si>
  <si>
    <t>25,11,452.74 Dr</t>
  </si>
  <si>
    <t>10,71,896.61 Cr</t>
  </si>
  <si>
    <t>5,88,58,392.10 Dr</t>
  </si>
  <si>
    <t>77,04,932.13 Dr</t>
  </si>
  <si>
    <t>28,04,48,311.97 Dr</t>
  </si>
  <si>
    <t>30,93,512.15 Dr</t>
  </si>
  <si>
    <t>25,11,452.74 Cr</t>
  </si>
  <si>
    <t>PIL2/DC/212</t>
  </si>
  <si>
    <t>PIL2/DC/213</t>
  </si>
  <si>
    <t>BOOKED IN NOV22</t>
  </si>
  <si>
    <t>39,09,81,903.16 Cr</t>
  </si>
  <si>
    <t>13,66,904.06 Cr</t>
  </si>
  <si>
    <t>28,59,61,213.90 Dr</t>
  </si>
  <si>
    <t>46,33,696.46 Dr</t>
  </si>
  <si>
    <t>29,08,12,328.32 Cr</t>
  </si>
  <si>
    <t>46,66,699.50 Cr</t>
  </si>
  <si>
    <t>39,41,55,561.94 Dr</t>
  </si>
  <si>
    <t>13,66,903.06 Dr</t>
  </si>
  <si>
    <t>Payment No</t>
  </si>
  <si>
    <t>Vendor Name</t>
  </si>
  <si>
    <t>Bill No</t>
  </si>
  <si>
    <t>MRN Date</t>
  </si>
  <si>
    <t>Overdue</t>
  </si>
  <si>
    <t>PaymentTerms</t>
  </si>
  <si>
    <t>Payment Amount</t>
  </si>
  <si>
    <t>Currency</t>
  </si>
  <si>
    <t>CurrencyRate</t>
  </si>
  <si>
    <t>TDS</t>
  </si>
  <si>
    <t>DebitNoteAmnt</t>
  </si>
  <si>
    <t>Payment Date</t>
  </si>
  <si>
    <t>Priority</t>
  </si>
  <si>
    <t>Approval Name</t>
  </si>
  <si>
    <t>Approval Status</t>
  </si>
  <si>
    <t>Approval Date</t>
  </si>
  <si>
    <t>Request By</t>
  </si>
  <si>
    <t>Comment</t>
  </si>
  <si>
    <t>Sysdate</t>
  </si>
  <si>
    <t>UTRNO</t>
  </si>
  <si>
    <t>Paid Date</t>
  </si>
  <si>
    <t>LedgerOutstanding</t>
  </si>
  <si>
    <t>BillOS</t>
  </si>
  <si>
    <t>PIL6/PRQ/22-23/1171</t>
  </si>
  <si>
    <t>30 Days from Invoice Date</t>
  </si>
  <si>
    <t>Low</t>
  </si>
  <si>
    <t>ratnesh</t>
  </si>
  <si>
    <t>pnegi</t>
  </si>
  <si>
    <t>PIL6/PRQ/22-23/1172</t>
  </si>
  <si>
    <t>PRIK/1576/22-23</t>
  </si>
  <si>
    <t>27-08-2022</t>
  </si>
  <si>
    <t>Others</t>
  </si>
  <si>
    <t>Rs</t>
  </si>
  <si>
    <t>PIL6/PRQ/22-23/1173</t>
  </si>
  <si>
    <t>PRIK/1883/22-23</t>
  </si>
  <si>
    <t>PIL6/PRQ/22-23/1174</t>
  </si>
  <si>
    <t>PIL6/PRQ/22-23/1179</t>
  </si>
  <si>
    <t>PIL-VI</t>
  </si>
  <si>
    <t>33,003.00 Dr</t>
  </si>
  <si>
    <t>PP MF Yarn Twisted 3000 Denier UV NW</t>
  </si>
  <si>
    <t>WIP00191</t>
  </si>
  <si>
    <t>PPL</t>
  </si>
  <si>
    <t>Diesel</t>
  </si>
  <si>
    <t>24ABJPV0976A1ZO</t>
  </si>
  <si>
    <t>OLD/USED FABRIC ROLL PIPE</t>
  </si>
  <si>
    <t>Indentsubcode</t>
  </si>
  <si>
    <t>ItemRemarks</t>
  </si>
  <si>
    <t>Note</t>
  </si>
  <si>
    <t>Discamt</t>
  </si>
  <si>
    <t>Discamt1</t>
  </si>
  <si>
    <t>ExciseAmount</t>
  </si>
  <si>
    <t>EducessAmount</t>
  </si>
  <si>
    <t>HiEducessamount</t>
  </si>
  <si>
    <t>InwardVatType</t>
  </si>
  <si>
    <t>Vatamount</t>
  </si>
  <si>
    <t>Addvatamount</t>
  </si>
  <si>
    <t>Frieght</t>
  </si>
  <si>
    <t>Pkgfwd</t>
  </si>
  <si>
    <t>Otherchg</t>
  </si>
  <si>
    <t>Spdutyname</t>
  </si>
  <si>
    <t>Spdutyamt</t>
  </si>
  <si>
    <t>Additionalduty</t>
  </si>
  <si>
    <t>VAT</t>
  </si>
  <si>
    <t>12,92,35,000.30 Cr</t>
  </si>
  <si>
    <t>1,99,68,838.71 Cr</t>
  </si>
  <si>
    <t>3,18,19,453.14 Dr</t>
  </si>
  <si>
    <t>14,10,85,614.74 Cr</t>
  </si>
  <si>
    <t>13,94,02,456.69 Dr</t>
  </si>
  <si>
    <t>2,20,66,349.15 Cr</t>
  </si>
  <si>
    <t>1,99,68,839.28 Dr</t>
  </si>
  <si>
    <t>14,14,99,966.56 Dr</t>
  </si>
  <si>
    <t>3,88,58,106.60 Dr</t>
  </si>
  <si>
    <t>3,18,86,148.42 Cr</t>
  </si>
  <si>
    <t>1,13,66,526.96 Dr</t>
  </si>
  <si>
    <t>5,93,77,728.06 Dr</t>
  </si>
  <si>
    <t>56,34,570.47 Cr</t>
  </si>
  <si>
    <t>1,04,941.52 Dr</t>
  </si>
  <si>
    <t>7,50,239.78 Dr</t>
  </si>
  <si>
    <t>6,45,298.26 Cr</t>
  </si>
  <si>
    <t>5,09,02,673.41 Cr</t>
  </si>
  <si>
    <t>1,13,93,172.40 Cr</t>
  </si>
  <si>
    <t>2,78,56,975.15 Dr</t>
  </si>
  <si>
    <t>6,73,66,476.16 Cr</t>
  </si>
  <si>
    <t>41,52,96,187.60 Dr</t>
  </si>
  <si>
    <t>51,67,917.84 Dr</t>
  </si>
  <si>
    <t>41,01,28,269.76 Dr</t>
  </si>
  <si>
    <t>32,70,04,047.58 Cr</t>
  </si>
  <si>
    <t>48,89,371.54 Cr</t>
  </si>
  <si>
    <t>32,21,14,676.04 Cr</t>
  </si>
  <si>
    <t>32,22,57,060.19 Dr</t>
  </si>
  <si>
    <t>49,91,718.17 Dr</t>
  </si>
  <si>
    <t>31,72,65,342.02 Dr</t>
  </si>
  <si>
    <t>41,21,26,914.34 Cr</t>
  </si>
  <si>
    <t>51,72,636.02 Cr</t>
  </si>
  <si>
    <t>40,69,54,278.32 Cr</t>
  </si>
  <si>
    <t>1,52,67,00,317.57 Dr</t>
  </si>
  <si>
    <t>5,645.41 Cr</t>
  </si>
  <si>
    <t>3,14,68,390.37 Dr</t>
  </si>
  <si>
    <t>1,49,52,37,572.61 Dr</t>
  </si>
  <si>
    <t>51,89,36,987.92 Cr</t>
  </si>
  <si>
    <t>72,15,608.00 Cr</t>
  </si>
  <si>
    <t>51,17,21,379.92 Cr</t>
  </si>
  <si>
    <t>41,28,43,224.83 Dr</t>
  </si>
  <si>
    <t>72,21,252.74 Dr</t>
  </si>
  <si>
    <t>40,56,21,972.09 Dr</t>
  </si>
  <si>
    <t>1,42,06,06,565.58 Cr</t>
  </si>
  <si>
    <t>3,14,68,390.36 Cr</t>
  </si>
  <si>
    <t>1,38,91,38,175.22 Cr</t>
  </si>
  <si>
    <t>LLDPE FILM</t>
  </si>
  <si>
    <t>Purchase Interstate - Raw Material</t>
  </si>
  <si>
    <t>27AAECV8365Q1ZC</t>
  </si>
  <si>
    <t>FIBC Accessories</t>
  </si>
  <si>
    <t>K.P. Woven Pvt Ltd - Unit 2 (Nani Chirai) -Sales</t>
  </si>
  <si>
    <t>90+15</t>
  </si>
  <si>
    <t>HD UL Fabric</t>
  </si>
  <si>
    <t>Pine Wooden Pallet Design Code STD90110</t>
  </si>
  <si>
    <t>Freight outward Expenses (RCM_Withinstate)</t>
  </si>
  <si>
    <t>WIP00033</t>
  </si>
  <si>
    <t>SMF00247</t>
  </si>
  <si>
    <t>Subgroupname</t>
  </si>
  <si>
    <t>Buyername</t>
  </si>
  <si>
    <t>Send</t>
  </si>
  <si>
    <t>Recd</t>
  </si>
  <si>
    <t>PP Tapes</t>
  </si>
  <si>
    <t>N0t match</t>
  </si>
  <si>
    <t>match</t>
  </si>
  <si>
    <t>Challansubcode</t>
  </si>
  <si>
    <t>PIL6/20-21/JOBWORK/14/1</t>
  </si>
  <si>
    <t>RAW05951</t>
  </si>
  <si>
    <t>PIL6/20-21/JOBWORK/15/1</t>
  </si>
  <si>
    <t>PIL6/20-21/JOBWORK/19/1</t>
  </si>
  <si>
    <t>PIL6/20-21/JOBWORK/20/2</t>
  </si>
  <si>
    <t>PIL6/20-21/JOBWORK/20/3</t>
  </si>
  <si>
    <t>PIL6/20-21/JOBWORK/21/1</t>
  </si>
  <si>
    <t>PIL6/20-21/JOBWORK/22/1</t>
  </si>
  <si>
    <t>PIL6/20-21/JOBWORK/23/2</t>
  </si>
  <si>
    <t>PIL6/20-21/JOBWORK/23/3</t>
  </si>
  <si>
    <t>PIL6/20-21/JOBWORK/25/2</t>
  </si>
  <si>
    <t>PIL6/20-21/JOBWORK/26/4</t>
  </si>
  <si>
    <t>PIL6/20-21/JOBWORK/28/1</t>
  </si>
  <si>
    <t>PIL6/20-21/JOBWORK/29/1</t>
  </si>
  <si>
    <t>PIL6/20-21/JOBWORK/31/1</t>
  </si>
  <si>
    <t>PIL6/20-21/JOBWORK/39/1</t>
  </si>
  <si>
    <t>PIL6/20-21/JOBWORK/40/1</t>
  </si>
  <si>
    <t>PIL6/20-21/JOBWORK/41/1</t>
  </si>
  <si>
    <t>PIL6/20-21/JOBWORK/44/1</t>
  </si>
  <si>
    <t>PIL6/20-21/JOBWORK/44/2</t>
  </si>
  <si>
    <t>PIL6/20-21/JOBWORK/45/1</t>
  </si>
  <si>
    <t>PIL6/20-21/JOBWORK/45/2</t>
  </si>
  <si>
    <t>FIB02003</t>
  </si>
  <si>
    <t>PIL6/20-21/JOBWORK/46/2</t>
  </si>
  <si>
    <t>PIL6/20-21/JOBWORK/46/3</t>
  </si>
  <si>
    <t>PIL6/20-21/JOBWORK/47/1</t>
  </si>
  <si>
    <t>PIL6/20-21/JOBWORK/48/1</t>
  </si>
  <si>
    <t>PIL6/20-21/JOBWORK/7/1</t>
  </si>
  <si>
    <t>PIL6/20-21/JOBWORK/8/1</t>
  </si>
  <si>
    <t>PIL6/21-22/JOBWORK/13/1</t>
  </si>
  <si>
    <t>PIL6/21-22/JOBWORK/18/1</t>
  </si>
  <si>
    <t>PIL6/21-22/JOBWORK/2/1</t>
  </si>
  <si>
    <t>PIL6/21-22/JOBWORK/3/1</t>
  </si>
  <si>
    <t>PIL6/21-22/JOBWORK/3/2</t>
  </si>
  <si>
    <t>PIL6/21-22/JOBWORK/4/1</t>
  </si>
  <si>
    <t>PIL6/21-22/JOBWORK/4/2</t>
  </si>
  <si>
    <t>PIL6/21-22/JOBWORK/43/1</t>
  </si>
  <si>
    <t>FIB05026</t>
  </si>
  <si>
    <t>PIL6/21-22/JOBWORK/5/1</t>
  </si>
  <si>
    <t>PIL6/21-22/JOBWORK/6/1</t>
  </si>
  <si>
    <t>PIL6/22-23/JOBWORK/1/1</t>
  </si>
  <si>
    <t>PIL6/22-23/JOBWORK/12/1</t>
  </si>
  <si>
    <t>PIL6/22-23/JOBWORK/12/2</t>
  </si>
  <si>
    <t>PIL6/22-23/JOBWORK/13/1</t>
  </si>
  <si>
    <t>PIL6/22-23/JOBWORK/16/1</t>
  </si>
  <si>
    <t>PIL6/22-23/JOBWORK/22/1</t>
  </si>
  <si>
    <t>PIL6/22-23/JOBWORK/24/1</t>
  </si>
  <si>
    <t>PIL6/22-23/JOBWORK/24/2</t>
  </si>
  <si>
    <t>PIL6/22-23/JOBWORK/25/1</t>
  </si>
  <si>
    <t>PIL6/22-23/JOBWORK/25/2</t>
  </si>
  <si>
    <t>PIL6/22-23/JOBWORK/25/3</t>
  </si>
  <si>
    <t>PIL6/22-23/JOBWORK/26/1</t>
  </si>
  <si>
    <t>PIL6/22-23/JOBWORK/26/2</t>
  </si>
  <si>
    <t>PIL6/22-23/JOBWORK/26/3</t>
  </si>
  <si>
    <t>PIL6/22-23/JOBWORK/26/4</t>
  </si>
  <si>
    <t>PIL6/22-23/JOBWORK/27/1</t>
  </si>
  <si>
    <t>PIL6/22-23/JOBWORK/27/2</t>
  </si>
  <si>
    <t>PIL6/22-23/JOBWORK/30/1</t>
  </si>
  <si>
    <t>PIL6/22-23/JOBWORK/32/1</t>
  </si>
  <si>
    <t>PIL6/22-23/JOBWORK/34/1</t>
  </si>
  <si>
    <t>PIL6/22-23/JOBWORK/36/1</t>
  </si>
  <si>
    <t>PIL6/22-23/JOBWORK/36/2</t>
  </si>
  <si>
    <t>PIL6/22-23/JOBWORK/37/1</t>
  </si>
  <si>
    <t>PIL6/22-23/JOBWORK/37/2</t>
  </si>
  <si>
    <t>PIL6/22-23/JOBWORK/37/3</t>
  </si>
  <si>
    <t>PIL6/22-23/JOBWORK/37/4</t>
  </si>
  <si>
    <t>PIL6/22-23/JOBWORK/40/1</t>
  </si>
  <si>
    <t>PIL6/22-23/JOBWORK/40/2</t>
  </si>
  <si>
    <t>PIL6/22-23/JOBWORK/42/1</t>
  </si>
  <si>
    <t>PIL6/22-23/JOBWORK/42/2</t>
  </si>
  <si>
    <t>PIL6/22-23/JOBWORK/43/1</t>
  </si>
  <si>
    <t>PIL6/22-23/JOBWORK/43/2</t>
  </si>
  <si>
    <t>PIL6/22-23/JOBWORK/45/1</t>
  </si>
  <si>
    <t>PIL6/22-23/JOBWORK/47/1</t>
  </si>
  <si>
    <t>PIL6/22-23/JOBWORK/49/1</t>
  </si>
  <si>
    <t>PIL6/22-23/JOBWORK/49/2</t>
  </si>
  <si>
    <t>PIL6/22-23/JOBWORK/49/3</t>
  </si>
  <si>
    <t>PIL6/22-23/JOBWORK/49/4</t>
  </si>
  <si>
    <t>PIL6/22-23/JOBWORK/50/1</t>
  </si>
  <si>
    <t>PIL6/22-23/JOBWORK/50/2</t>
  </si>
  <si>
    <t>PIL6/22-23/JOBWORK/7/1</t>
  </si>
  <si>
    <t>PIL6/22-23/JOBWORK/7/2</t>
  </si>
  <si>
    <t>PIL6/22-23/JOBWORK/7/3</t>
  </si>
  <si>
    <t>PIL6/23-24/JOBWORK/1/1</t>
  </si>
  <si>
    <t>PIL6/23-24/JOBWORK/1/2</t>
  </si>
  <si>
    <t>PIL6/23-24/JOBWORK/1/3</t>
  </si>
  <si>
    <t>PIL6/23-24/JOBWORK/1/4</t>
  </si>
  <si>
    <t>PIL6/23-24/JOBWORK/1/5</t>
  </si>
  <si>
    <t>PIL6/23-24/JOBWORK/10/1</t>
  </si>
  <si>
    <t>PIL6/23-24/JOBWORK/12/1</t>
  </si>
  <si>
    <t>PIL6/23-24/JOBWORK/12/2</t>
  </si>
  <si>
    <t>PIL6/23-24/JOBWORK/12/3</t>
  </si>
  <si>
    <t>PIL6/23-24/JOBWORK/2/1</t>
  </si>
  <si>
    <t>PIL6/23-24/JOBWORK/4/1</t>
  </si>
  <si>
    <t>PIL6/23-24/JOBWORK/4/2</t>
  </si>
  <si>
    <t>PIL6/23-24/JOBWORK/6/1</t>
  </si>
  <si>
    <t>PIL6/23-24/JOBWORK/6/2</t>
  </si>
  <si>
    <t>PIL6/23-24/JOBWORK/9/1</t>
  </si>
  <si>
    <t>PIL6/23-24/JOBWORK/9/2</t>
  </si>
  <si>
    <t>Tritha Graphics</t>
  </si>
  <si>
    <t>P.F. Contribution - Employer</t>
  </si>
  <si>
    <t>PIL6/D/25</t>
  </si>
  <si>
    <t>Zip Lock Bags</t>
  </si>
  <si>
    <t>PIL6/D/26</t>
  </si>
  <si>
    <t>PIL6/D/27</t>
  </si>
  <si>
    <t>PIL6/D/28</t>
  </si>
  <si>
    <t>PIL6/D/29</t>
  </si>
  <si>
    <t>PIL6/D/30</t>
  </si>
  <si>
    <t>PIL6/D/31</t>
  </si>
  <si>
    <t>PIL6/D/32</t>
  </si>
  <si>
    <t>PIL6/D/33</t>
  </si>
  <si>
    <t>PIL1/DC/216</t>
  </si>
  <si>
    <t>PIL1/DC/215</t>
  </si>
  <si>
    <t>KPV/D/173</t>
  </si>
  <si>
    <t>PIL1/DC/218</t>
  </si>
  <si>
    <t>PIL1/DC/217</t>
  </si>
  <si>
    <t>PIL1/DC/222</t>
  </si>
  <si>
    <t>PIL1/DC/221</t>
  </si>
  <si>
    <t>PIL1/DC/225</t>
  </si>
  <si>
    <t>PIL1/DC/224</t>
  </si>
  <si>
    <t>KPV/D/180</t>
  </si>
  <si>
    <t>PIL1/DC/228</t>
  </si>
  <si>
    <t>PIL1/DC/226</t>
  </si>
  <si>
    <t>PIL1/DC/227</t>
  </si>
  <si>
    <t>Thinner</t>
  </si>
  <si>
    <t>Thinner Vyankatesh Thinner</t>
  </si>
  <si>
    <t>PIL1/DC/232</t>
  </si>
  <si>
    <t>PIL1/DC/231</t>
  </si>
  <si>
    <t>PIL1/DC/234</t>
  </si>
  <si>
    <t>PIL1/DC/233</t>
  </si>
  <si>
    <t>PIL1/DC/236</t>
  </si>
  <si>
    <t>PIL1/DC/235</t>
  </si>
  <si>
    <t>Wooden Pallet Flate Size 85X105Cm</t>
  </si>
  <si>
    <t>PIL1/DC/239</t>
  </si>
  <si>
    <t>PIL1/DC/237</t>
  </si>
  <si>
    <t>PIL1/DC/238</t>
  </si>
  <si>
    <t>KPV/D/196</t>
  </si>
  <si>
    <t>PIL1/DC/243</t>
  </si>
  <si>
    <t>PIL1/DC/248</t>
  </si>
  <si>
    <t>PIL1/DC/242</t>
  </si>
  <si>
    <t>PIL1/DC/244</t>
  </si>
  <si>
    <t>PIL1/DC/247</t>
  </si>
  <si>
    <t>PIL1/DC/250</t>
  </si>
  <si>
    <t>PIL1/DC/249</t>
  </si>
  <si>
    <t>PIL1/DC/253</t>
  </si>
  <si>
    <t>PIL1/DC/252</t>
  </si>
  <si>
    <t>PIL1/DC/256</t>
  </si>
  <si>
    <t>PIL1/DC/258</t>
  </si>
  <si>
    <t>PIL1/DC/255</t>
  </si>
  <si>
    <t>KPV/D/213</t>
  </si>
  <si>
    <t>PIL1/DC/260</t>
  </si>
  <si>
    <t>PIL1/DC/259</t>
  </si>
  <si>
    <t>PIL1/DC/262</t>
  </si>
  <si>
    <t>PIL1/DC/261</t>
  </si>
  <si>
    <t>KPV/D/225</t>
  </si>
  <si>
    <t>PIL1/DC/264</t>
  </si>
  <si>
    <t>PIL1/DC/263</t>
  </si>
  <si>
    <t>PIL1/DC/269</t>
  </si>
  <si>
    <t>PIL1/DC/268</t>
  </si>
  <si>
    <t>KPV/D/233</t>
  </si>
  <si>
    <t>PIL1/DC/272</t>
  </si>
  <si>
    <t>PIL1/DC/271</t>
  </si>
  <si>
    <t>PIL1/DC/275</t>
  </si>
  <si>
    <t>PIL1/DC/274</t>
  </si>
  <si>
    <t>PIL1/DC/273</t>
  </si>
  <si>
    <t>PIL1/DC/277</t>
  </si>
  <si>
    <t>PIL1/DC/276</t>
  </si>
  <si>
    <t>PIL1/DC/279</t>
  </si>
  <si>
    <t>PIL1/DC/281</t>
  </si>
  <si>
    <t>PIL1/DC/278</t>
  </si>
  <si>
    <t>PIL1/DC/280</t>
  </si>
  <si>
    <t>PIL1/DC/282</t>
  </si>
  <si>
    <t>PIL1/DC/285</t>
  </si>
  <si>
    <t>PIL1/DC/287</t>
  </si>
  <si>
    <t>PIL1/DC/289</t>
  </si>
  <si>
    <t>PIL1/DC/284</t>
  </si>
  <si>
    <t>PIL1/DC/286</t>
  </si>
  <si>
    <t>PIL1/DC/288</t>
  </si>
  <si>
    <t>RAW05764</t>
  </si>
  <si>
    <t>RAW05939</t>
  </si>
  <si>
    <t>ramesh.singhal</t>
  </si>
  <si>
    <t>THINNER</t>
  </si>
  <si>
    <t>PIL6/D/36</t>
  </si>
  <si>
    <t>PP 104 FLAT MW Folding</t>
  </si>
  <si>
    <t>PIL-1</t>
  </si>
  <si>
    <t>OEL-1</t>
  </si>
  <si>
    <t>PIL-VI TO PIL-1</t>
  </si>
  <si>
    <t>Gross Value</t>
  </si>
  <si>
    <t>CONTRACTOR SALARY</t>
  </si>
  <si>
    <t>Advocate Fees Exp.</t>
  </si>
  <si>
    <t>Staff Welfare Exp.</t>
  </si>
  <si>
    <t>TOTAL AMOUNT</t>
  </si>
  <si>
    <t>Expense Head</t>
  </si>
  <si>
    <t>W LINER (FG)</t>
  </si>
  <si>
    <t>W/O LINER (FG)</t>
  </si>
  <si>
    <t>RM DIFF (OEL)</t>
  </si>
  <si>
    <t>NET DIFF</t>
  </si>
  <si>
    <t>FG DIFF (KPW)</t>
  </si>
  <si>
    <t>DATE</t>
  </si>
  <si>
    <t>NO.1</t>
  </si>
  <si>
    <t>NO.2</t>
  </si>
  <si>
    <t>NO.3</t>
  </si>
  <si>
    <t>NO.4</t>
  </si>
  <si>
    <t>TOTAL</t>
  </si>
  <si>
    <t>Invoice</t>
  </si>
  <si>
    <t>Rate Difference To be consider</t>
  </si>
  <si>
    <t>Rate Difference to be consider</t>
  </si>
  <si>
    <t>KPV/D/246</t>
  </si>
  <si>
    <t>PIL1/DC/292</t>
  </si>
  <si>
    <t>PIL1/DC/294</t>
  </si>
  <si>
    <t>PIL1/DC/295</t>
  </si>
  <si>
    <t>PIL1/DC/296</t>
  </si>
  <si>
    <t>PIL1/DC/300</t>
  </si>
  <si>
    <t>PIL1/DC/302</t>
  </si>
  <si>
    <t>PIL1/DC/305</t>
  </si>
  <si>
    <t>PIL1/DC/309</t>
  </si>
  <si>
    <t>PIL1/DC/311</t>
  </si>
  <si>
    <t>PIL1/DC/315</t>
  </si>
  <si>
    <t>PIL1/DC/318</t>
  </si>
  <si>
    <t>PIL1/DC/320</t>
  </si>
  <si>
    <t>PIL1/DC/325</t>
  </si>
  <si>
    <t>PIL1/DC/327</t>
  </si>
  <si>
    <t>KPV/D/275</t>
  </si>
  <si>
    <t>PIL1/DC/331</t>
  </si>
  <si>
    <t>PIL1/DC/333</t>
  </si>
  <si>
    <t>PIL1/DC/335</t>
  </si>
  <si>
    <t>PIL1/DC/339</t>
  </si>
  <si>
    <t>PIL1/DC/341</t>
  </si>
  <si>
    <t>KPV/D/286</t>
  </si>
  <si>
    <t>PIL1/DC/344</t>
  </si>
  <si>
    <t>PIL1/DC/347</t>
  </si>
  <si>
    <t>PIL1/DC/354</t>
  </si>
  <si>
    <t>PIL1/DC/352</t>
  </si>
  <si>
    <t>PIL1/DC/357</t>
  </si>
  <si>
    <t>PIL1/DC/358</t>
  </si>
  <si>
    <t>PIL1/DC/359</t>
  </si>
  <si>
    <t>PIL1/DC/361</t>
  </si>
  <si>
    <t>PIL1/DC/363</t>
  </si>
  <si>
    <t>PIL1/DC/364</t>
  </si>
  <si>
    <t>PIL1/DC/367</t>
  </si>
  <si>
    <t>PIL1/DC/369</t>
  </si>
  <si>
    <t>PIL1/DC/371</t>
  </si>
  <si>
    <t>PIL1/DC/373</t>
  </si>
  <si>
    <t>PIL1/DC/376</t>
  </si>
  <si>
    <t>PIL1/DC/378</t>
  </si>
  <si>
    <t>PIL1/DC/380</t>
  </si>
  <si>
    <t>PIL1/DC/382</t>
  </si>
  <si>
    <t>PIL1/DC/386</t>
  </si>
  <si>
    <t>PIL1/DC/390</t>
  </si>
  <si>
    <t>PIL1/DC/392</t>
  </si>
  <si>
    <t>PIL1/DC/394</t>
  </si>
  <si>
    <t>KPV/D/330</t>
  </si>
  <si>
    <t>PIL1/DC/399</t>
  </si>
  <si>
    <t>PIL1/DC/404</t>
  </si>
  <si>
    <t>PIL1/DC/407</t>
  </si>
  <si>
    <t>PIL1/DC/409</t>
  </si>
  <si>
    <t>KPV/D/342</t>
  </si>
  <si>
    <t>PIL1/DC/410</t>
  </si>
  <si>
    <t>KPV/D/346</t>
  </si>
  <si>
    <t>PIL1/DC/412</t>
  </si>
  <si>
    <t>KPV/D/358</t>
  </si>
  <si>
    <t>PIL1/DC/415</t>
  </si>
  <si>
    <t>PIL1/DC/417</t>
  </si>
  <si>
    <t>PIL1/DC/422</t>
  </si>
  <si>
    <t>PIL1/DC/420</t>
  </si>
  <si>
    <t>KPV/D/351</t>
  </si>
  <si>
    <t>KPV/D/364</t>
  </si>
  <si>
    <t>PIL1/DC/426</t>
  </si>
  <si>
    <t>PIL1/DC/428</t>
  </si>
  <si>
    <t>PIL1/DC/265</t>
  </si>
  <si>
    <t>PIL1/DC/293</t>
  </si>
  <si>
    <t>PIL1/DC/297</t>
  </si>
  <si>
    <t>PIL1/DC/301</t>
  </si>
  <si>
    <t>PIL1/DC/303</t>
  </si>
  <si>
    <t>PIL1/DC/306</t>
  </si>
  <si>
    <t>PIL1/DC/310</t>
  </si>
  <si>
    <t>PIL1/DC/312</t>
  </si>
  <si>
    <t>PIL1/DC/316</t>
  </si>
  <si>
    <t>PIL1/DC/319</t>
  </si>
  <si>
    <t>PIL1/DC/321</t>
  </si>
  <si>
    <t>PIL1/DC/326</t>
  </si>
  <si>
    <t>PIL1/DC/328</t>
  </si>
  <si>
    <t>GNCN 230</t>
  </si>
  <si>
    <t>KPV/D/263</t>
  </si>
  <si>
    <t>KPV/D/281</t>
  </si>
  <si>
    <t>PIL1/DC/332</t>
  </si>
  <si>
    <t>PIL1/DC/336</t>
  </si>
  <si>
    <t>PIL1/DC/340</t>
  </si>
  <si>
    <t>PIL1/DC/342</t>
  </si>
  <si>
    <t>PIL1/DC/345</t>
  </si>
  <si>
    <t>PIL1/DC/348</t>
  </si>
  <si>
    <t>PIL1/DC/353</t>
  </si>
  <si>
    <t>PIL1/DC/360</t>
  </si>
  <si>
    <t>PIL1/DC/362</t>
  </si>
  <si>
    <t>PIL1/DC/368</t>
  </si>
  <si>
    <t>PIL1/DC/370</t>
  </si>
  <si>
    <t>PIL1/DC/372</t>
  </si>
  <si>
    <t>PIL1/DC/374</t>
  </si>
  <si>
    <t>PIL1/DC/377</t>
  </si>
  <si>
    <t>PIL1/DC/379</t>
  </si>
  <si>
    <t>PIL1/DC/381</t>
  </si>
  <si>
    <t>PIL1/DC/383</t>
  </si>
  <si>
    <t>PIL1/DC/384</t>
  </si>
  <si>
    <t>PIL1/DC/387</t>
  </si>
  <si>
    <t>PIL1/DC/391</t>
  </si>
  <si>
    <t>PIL1/DC/393</t>
  </si>
  <si>
    <t>PIL1/DC/395</t>
  </si>
  <si>
    <t>PIL1/DC/400</t>
  </si>
  <si>
    <t>PIL1/DC/405</t>
  </si>
  <si>
    <t>PIL1/DC/406</t>
  </si>
  <si>
    <t>PIL1/DC/411</t>
  </si>
  <si>
    <t>PIL1/DC/413</t>
  </si>
  <si>
    <t>PIL1/DC/416</t>
  </si>
  <si>
    <t>PIL1/DC/418</t>
  </si>
  <si>
    <t>PIL1/DC/423</t>
  </si>
  <si>
    <t>PIL1/DC/421</t>
  </si>
  <si>
    <t>PIL1/DC/427</t>
  </si>
  <si>
    <t>PIL6/D/34</t>
  </si>
  <si>
    <t>PIL6/D/35</t>
  </si>
  <si>
    <t>PIL6/D/37</t>
  </si>
  <si>
    <t>PIL6/D/38</t>
  </si>
  <si>
    <t>PIL6/D/39</t>
  </si>
  <si>
    <t>PIL6/D/40</t>
  </si>
  <si>
    <t>PIL6/D/41</t>
  </si>
  <si>
    <t>PIL6/D/42</t>
  </si>
  <si>
    <t>PIL6/D/43</t>
  </si>
  <si>
    <t>PIL6/D/44</t>
  </si>
  <si>
    <t>PIL6/D/45</t>
  </si>
  <si>
    <t>PIL6/D/48</t>
  </si>
  <si>
    <t>PIL6/D/49</t>
  </si>
  <si>
    <t>1,61,89,037.35 Dr</t>
  </si>
  <si>
    <t>1,61,89,035.00 Cr</t>
  </si>
  <si>
    <t>36,55,80,104.63 Cr</t>
  </si>
  <si>
    <t>6,26,75,223.92 Dr</t>
  </si>
  <si>
    <t>38,88,100.32 Dr</t>
  </si>
  <si>
    <t>29,90,11,409.52 Dr</t>
  </si>
  <si>
    <t>42,58,41,569.69 Cr</t>
  </si>
  <si>
    <t>37,58,50,693.88 Dr</t>
  </si>
  <si>
    <t>38,07,05,516.71 Cr</t>
  </si>
  <si>
    <t>42,90,50,497.68 Dr</t>
  </si>
  <si>
    <t>9,48,79,811.06 Cr</t>
  </si>
  <si>
    <t>1,71,60,573.95 Dr</t>
  </si>
  <si>
    <t>2,34,40,442.68 Cr</t>
  </si>
  <si>
    <t>8,68,97,287.35 Dr</t>
  </si>
  <si>
    <t>9,51,10,544.50 Cr</t>
  </si>
  <si>
    <t>36,12,744.10 Cr</t>
  </si>
  <si>
    <t>6,65,083.14 Dr</t>
  </si>
  <si>
    <t>6,65,083.14 Cr</t>
  </si>
  <si>
    <t>36,20,724.83 Dr</t>
  </si>
  <si>
    <t>SARU PLASTICS</t>
  </si>
  <si>
    <t>PIL6/23-24/JOBWORK/13/1</t>
  </si>
  <si>
    <t>PIL6/23-24/JOBWORK/13/2</t>
  </si>
  <si>
    <t>PIL6/23-24/JOBWORK/14/1</t>
  </si>
  <si>
    <t>PIL6/23-24/JOBWORK/14/2</t>
  </si>
  <si>
    <t>PIL6/23-24/JOBWORK/15/1</t>
  </si>
  <si>
    <t>PIL6/23-24/JOBWORK/16/1</t>
  </si>
  <si>
    <t>PIL6/23-24/JOBWORK/16/2</t>
  </si>
  <si>
    <t>PIL6/23-24/JOBWORK/16/3</t>
  </si>
  <si>
    <t>PIL6/23-24/JOBWORK/16/4</t>
  </si>
  <si>
    <t>PIL6/23-24/JOBWORK/19/1</t>
  </si>
  <si>
    <t>PIL6/23-24/JOBWORK/19/2</t>
  </si>
  <si>
    <t>PIL6/23-24/JOBWORK/20/1</t>
  </si>
  <si>
    <t>PIL6/23-24/JOBWORK/21/1</t>
  </si>
  <si>
    <t>PIL6/23-24/JOBWORK/21/2</t>
  </si>
  <si>
    <t>PIL6/23-24/JOBWORK/22/1</t>
  </si>
  <si>
    <t>PIL6/23-24/JOBWORK/22/2</t>
  </si>
  <si>
    <t>PIL6/23-24/JOBWORK/24/1</t>
  </si>
  <si>
    <t>PIL6/23-24/JOBWORK/25/1</t>
  </si>
  <si>
    <t>PIL6/23-24/JOBWORK/25/2</t>
  </si>
  <si>
    <t>PIL6/23-24/JOBWORK/25/3</t>
  </si>
  <si>
    <t>PIL6/23-24/JOBWORK/25/4</t>
  </si>
  <si>
    <t>PIL6/23-24/JOBWORK/25/5</t>
  </si>
  <si>
    <t>PIL6/23-24/JOBWORK/25/6</t>
  </si>
  <si>
    <t>PIL6/23-24/JOBWORK/26/1</t>
  </si>
  <si>
    <t>PIL6/23-24/JOBWORK/26/2</t>
  </si>
  <si>
    <t>PIL6/23-24/JOBWORK/26/3</t>
  </si>
  <si>
    <t>PIL6/23-24/JOBWORK/27/1</t>
  </si>
  <si>
    <t>PIL6/23-24/JOBWORK/27/2</t>
  </si>
  <si>
    <t>PIL6/23-24/JOBWORK/28/1</t>
  </si>
  <si>
    <t>PIL6/23-24/JOBWORK/28/2</t>
  </si>
  <si>
    <t>PIL6/23-24/JOBWORK/28/3</t>
  </si>
  <si>
    <t>PIL6/23-24/JOBWORK/28/4</t>
  </si>
  <si>
    <t>PIL6/23-24/JOBWORK/28/5</t>
  </si>
  <si>
    <t>PIL6/23-24/JOBWORK/28/6</t>
  </si>
  <si>
    <t>PIL6/23-24/JOBWORK/28/7</t>
  </si>
  <si>
    <t>PIL6/23-24/JOBWORK/30/1</t>
  </si>
  <si>
    <t>PIL6/23-24/JOBWORK/31/1</t>
  </si>
  <si>
    <t>PIL6/23-24/JOBWORK/17/1</t>
  </si>
  <si>
    <t>PIL1/DC/1</t>
  </si>
  <si>
    <t>PIL1/DC/2</t>
  </si>
  <si>
    <t>PIL1/DC/3</t>
  </si>
  <si>
    <t>PIL1/DC/4</t>
  </si>
  <si>
    <t>PIL1/DC/5</t>
  </si>
  <si>
    <t>PIL1/DC/8</t>
  </si>
  <si>
    <t>PIL1/DC/9</t>
  </si>
  <si>
    <t>PIL1/DC/11</t>
  </si>
  <si>
    <t>PIL1/DC/12</t>
  </si>
  <si>
    <t>PIL1/DC/14</t>
  </si>
  <si>
    <t>PIL1/DC/15</t>
  </si>
  <si>
    <t>PIL1/DC/16</t>
  </si>
  <si>
    <t>PIL1/DC/17</t>
  </si>
  <si>
    <t>PIL1/DC/18</t>
  </si>
  <si>
    <t>PIL1/DC/19</t>
  </si>
  <si>
    <t>PIL1/DC/20</t>
  </si>
  <si>
    <t>PIL1/DC/21</t>
  </si>
  <si>
    <t>PIL1/DC/22</t>
  </si>
  <si>
    <t>PIL1/DC/23</t>
  </si>
  <si>
    <t>PIL1/DC/24</t>
  </si>
  <si>
    <t>PIL1/DC/25</t>
  </si>
  <si>
    <t>PIL1/DC/27</t>
  </si>
  <si>
    <t>PIL1/DC/28</t>
  </si>
  <si>
    <t>PIL1/DC/29</t>
  </si>
  <si>
    <t>PIL1/DC/30</t>
  </si>
  <si>
    <t>PIL1/DC/31</t>
  </si>
  <si>
    <t>PIL1/DC/32</t>
  </si>
  <si>
    <t>PIL1/DC/36</t>
  </si>
  <si>
    <t>PIL1/DC/37</t>
  </si>
  <si>
    <t>PIL1/DC/38</t>
  </si>
  <si>
    <t>PIL1/DC/39</t>
  </si>
  <si>
    <t>PIL1/DC/40</t>
  </si>
  <si>
    <t>PIL1/DC/41</t>
  </si>
  <si>
    <t>PIL1/DC/42</t>
  </si>
  <si>
    <t>PIL1/DC/44</t>
  </si>
  <si>
    <t>PIL1/DC/45</t>
  </si>
  <si>
    <t>PIL1/DC/50</t>
  </si>
  <si>
    <t>PIL1/DC/51</t>
  </si>
  <si>
    <t>PIL1/DC/52</t>
  </si>
  <si>
    <t>PIL1/DC/53</t>
  </si>
  <si>
    <t>PIL1/DC/54</t>
  </si>
  <si>
    <t>PIL1/DC/55</t>
  </si>
  <si>
    <t>PIL1/DC/56</t>
  </si>
  <si>
    <t>PIL1/DC/59</t>
  </si>
  <si>
    <t>PIL1/DC/60</t>
  </si>
  <si>
    <t>PIL1/DC/61</t>
  </si>
  <si>
    <t>PIL1/DC/62</t>
  </si>
  <si>
    <t>PIL1/DC/63</t>
  </si>
  <si>
    <t>PIL1/DC/65</t>
  </si>
  <si>
    <t>PIL1/DC/66</t>
  </si>
  <si>
    <t>PIL1/DC/67</t>
  </si>
  <si>
    <t>PIL1/DC/68</t>
  </si>
  <si>
    <t>PIL1/DC/69</t>
  </si>
  <si>
    <t>PIL1/DC/70</t>
  </si>
  <si>
    <t>PIL1/DC/73</t>
  </si>
  <si>
    <t>PIL1/DC/74</t>
  </si>
  <si>
    <t>PIL1/DC/75</t>
  </si>
  <si>
    <t>PIL1/DC/76</t>
  </si>
  <si>
    <t>PIL1/DC/77</t>
  </si>
  <si>
    <t>PIL1/DC/78</t>
  </si>
  <si>
    <t>PIL1/DC/79</t>
  </si>
  <si>
    <t>PIL1/DC/80</t>
  </si>
  <si>
    <t>PIL1/DC/81</t>
  </si>
  <si>
    <t>PIL1/DC/83</t>
  </si>
  <si>
    <t>PIL1/DC/84</t>
  </si>
  <si>
    <t>PIL1/DC/85</t>
  </si>
  <si>
    <t>PIL1/DC/86</t>
  </si>
  <si>
    <t>PIL1/DC/87</t>
  </si>
  <si>
    <t>PIL1/DC/88</t>
  </si>
  <si>
    <t>PIL1/DC/89</t>
  </si>
  <si>
    <t>PIL1/DC/90</t>
  </si>
  <si>
    <t>PIL1/DC/91</t>
  </si>
  <si>
    <t>PIL1/DC/96</t>
  </si>
  <si>
    <t>PIL1/DC/97</t>
  </si>
  <si>
    <t>PIL1/DC/98</t>
  </si>
  <si>
    <t>PIL1/DC/102</t>
  </si>
  <si>
    <t>PIL1/DC/103</t>
  </si>
  <si>
    <t>PIL1/DC/104</t>
  </si>
  <si>
    <t>PIL1/DC/105</t>
  </si>
  <si>
    <t>PIL1/DC/106</t>
  </si>
  <si>
    <t>PIL1/DC/107</t>
  </si>
  <si>
    <t>PIL1/DC/108</t>
  </si>
  <si>
    <t>PIL1/DC/109</t>
  </si>
  <si>
    <t>PIL1/DC/110</t>
  </si>
  <si>
    <t>PIL1/DC/112</t>
  </si>
  <si>
    <t>PIL1/DC/113</t>
  </si>
  <si>
    <t>PIL1/DC/114</t>
  </si>
  <si>
    <t>PIL1/DC/115</t>
  </si>
  <si>
    <t>PIL1/DC/116</t>
  </si>
  <si>
    <t>PIL1/DC/117</t>
  </si>
  <si>
    <t>PIL1/DC/121</t>
  </si>
  <si>
    <t>PIL1/DC/122</t>
  </si>
  <si>
    <t>PIL1/DC/123</t>
  </si>
  <si>
    <t>PIL1/DC/125</t>
  </si>
  <si>
    <t>PIL1/DC/126</t>
  </si>
  <si>
    <t>PIL1/DC/131</t>
  </si>
  <si>
    <t>PIL1/DC/132</t>
  </si>
  <si>
    <t>PIL1/DC/133</t>
  </si>
  <si>
    <t>PIL1/DC/134</t>
  </si>
  <si>
    <t>PIL1/DC/135</t>
  </si>
  <si>
    <t>PIL1/DC/137</t>
  </si>
  <si>
    <t>PIL1/DC/138</t>
  </si>
  <si>
    <t>PIL1/DC/140</t>
  </si>
  <si>
    <t>PIL1/DC/141</t>
  </si>
  <si>
    <t>PIL1/DC/143</t>
  </si>
  <si>
    <t>PIL1/DC/144</t>
  </si>
  <si>
    <t>PIL1/DC/146</t>
  </si>
  <si>
    <t>PIL1/DC/147</t>
  </si>
  <si>
    <t>PIL1/DC/148</t>
  </si>
  <si>
    <t>PIL1/DC/152</t>
  </si>
  <si>
    <t>PIL1/DC/153</t>
  </si>
  <si>
    <t>PIL1/DC/154</t>
  </si>
  <si>
    <t>PIL1/DC/155</t>
  </si>
  <si>
    <t>PIL1/DC/157</t>
  </si>
  <si>
    <t>PIL1/DC/158</t>
  </si>
  <si>
    <t>PIL1/DC/161</t>
  </si>
  <si>
    <t>PIL1/DC/162</t>
  </si>
  <si>
    <t>PIL1/DC/164</t>
  </si>
  <si>
    <t>PIL1/DC/165</t>
  </si>
  <si>
    <t>PIL1/DC/166</t>
  </si>
  <si>
    <t>PIL1/DC/167</t>
  </si>
  <si>
    <t>PIL1/DC/171</t>
  </si>
  <si>
    <t>PIL1/DC/172</t>
  </si>
  <si>
    <t>PIL1/DC/173</t>
  </si>
  <si>
    <t>PIL1/DC/174</t>
  </si>
  <si>
    <t>PIL1/DC/175</t>
  </si>
  <si>
    <t>PIL1/DC/176</t>
  </si>
  <si>
    <t>PIL1/DC/179</t>
  </si>
  <si>
    <t>PIL1/DC/180</t>
  </si>
  <si>
    <t>PIL1/DC/181</t>
  </si>
  <si>
    <t>PIL1/DC/182</t>
  </si>
  <si>
    <t>PIL1/DC/183</t>
  </si>
  <si>
    <t>PIL1/DC/184</t>
  </si>
  <si>
    <t>PIL1/DC/185</t>
  </si>
  <si>
    <t>PIL1/DC/186</t>
  </si>
  <si>
    <t>PIL1/DC/187</t>
  </si>
  <si>
    <t>PIL1/DC/188</t>
  </si>
  <si>
    <t>PIL1/DC/189</t>
  </si>
  <si>
    <t>PIL1/DC/190</t>
  </si>
  <si>
    <t>PIL1/DC/191</t>
  </si>
  <si>
    <t>PIL1/DC/192</t>
  </si>
  <si>
    <t>PIL1/DC/193</t>
  </si>
  <si>
    <t>PIL1/DC/196</t>
  </si>
  <si>
    <t>PIL1/DC/197</t>
  </si>
  <si>
    <t>PIL1/DC/198</t>
  </si>
  <si>
    <t>PIL1/DC/199</t>
  </si>
  <si>
    <t>PIL1/DC/200</t>
  </si>
  <si>
    <t>PIL1/DC/201</t>
  </si>
  <si>
    <t>PIL1/DC/202</t>
  </si>
  <si>
    <t>PIL1/DC/203</t>
  </si>
  <si>
    <t>PIL1/DC/204</t>
  </si>
  <si>
    <t>PIL1/DC/206</t>
  </si>
  <si>
    <t>PIL1/DC/207</t>
  </si>
  <si>
    <t>PIL1/DC/208</t>
  </si>
  <si>
    <t>PIL1/DC/209</t>
  </si>
  <si>
    <t>PIL1/DC/212</t>
  </si>
  <si>
    <t>PIL1/DC/213</t>
  </si>
  <si>
    <t>PIL1/DC/334</t>
  </si>
  <si>
    <t>PIL1/DC/355</t>
  </si>
  <si>
    <t>PIL1/DC/408</t>
  </si>
  <si>
    <t>PIL/DC/73</t>
  </si>
  <si>
    <t>ENTRY TRANSFER</t>
  </si>
  <si>
    <t>Plastene India Limited-UNIT-VI</t>
  </si>
  <si>
    <t>35,34,74,306.07 Cr</t>
  </si>
  <si>
    <t>20,19,908.13 Dr</t>
  </si>
  <si>
    <t>1,41,25,706.69 Cr</t>
  </si>
  <si>
    <t>5,90,03,205.11 Dr</t>
  </si>
  <si>
    <t>36,72,018.81 Dr</t>
  </si>
  <si>
    <t>75,60,119.13 Dr</t>
  </si>
  <si>
    <t>36,72,018.81 Cr</t>
  </si>
  <si>
    <t>28,69,10,983.82 Dr</t>
  </si>
  <si>
    <t>1,41,25,706.69 Dr</t>
  </si>
  <si>
    <t>20,25,281.00 Cr</t>
  </si>
  <si>
    <t>33,97,48,831.27 Cr</t>
  </si>
  <si>
    <t>4,09,56,685.44 Cr</t>
  </si>
  <si>
    <t>41,75,42,803.38 Dr</t>
  </si>
  <si>
    <t>1,15,07,694.30 Dr</t>
  </si>
  <si>
    <t>41,43,34,001.92 Cr</t>
  </si>
  <si>
    <t>14,670.00 Dr</t>
  </si>
  <si>
    <t>1,15,22,237.77 Cr</t>
  </si>
  <si>
    <t>33,48,99,312.72 Dr</t>
  </si>
  <si>
    <t>4,09,51,393.64 Dr</t>
  </si>
  <si>
    <t>12.48 Cr</t>
  </si>
  <si>
    <t>PARTICULARS</t>
  </si>
  <si>
    <t xml:space="preserve">MT </t>
  </si>
  <si>
    <t>Avg. Rate</t>
  </si>
  <si>
    <t>BUDGETED / PLANNED</t>
  </si>
  <si>
    <t>PRODUCTION</t>
  </si>
  <si>
    <t>FIBC</t>
  </si>
  <si>
    <t>Fabric (Liner Mtr)</t>
  </si>
  <si>
    <t>DISPATCH</t>
  </si>
  <si>
    <t>Fabric</t>
  </si>
  <si>
    <t>PURCHASE</t>
  </si>
  <si>
    <t>PP Granules</t>
  </si>
  <si>
    <t>PIL6/D/13</t>
  </si>
  <si>
    <t>PIL6/D/18</t>
  </si>
  <si>
    <t>PIL6/D/1</t>
  </si>
  <si>
    <t>PIL6/D/2</t>
  </si>
  <si>
    <t>PIL6/D/3</t>
  </si>
  <si>
    <t>PIL6/D/5</t>
  </si>
  <si>
    <t>PIL6/D/4</t>
  </si>
  <si>
    <t>PIL6/D/6</t>
  </si>
  <si>
    <t>PIL6/D/7</t>
  </si>
  <si>
    <t>PIL6/D/11</t>
  </si>
  <si>
    <t>PIL6/D/12</t>
  </si>
  <si>
    <t>PIL6/D/14</t>
  </si>
  <si>
    <t>PIL6/D/15</t>
  </si>
  <si>
    <t>PIL6/D/16</t>
  </si>
  <si>
    <t>PIL6/D/17</t>
  </si>
  <si>
    <t>CAP 11</t>
  </si>
  <si>
    <t>PIL6/D/19</t>
  </si>
  <si>
    <t>PIL6/D/20</t>
  </si>
  <si>
    <t>PIL6/D/21</t>
  </si>
  <si>
    <t>PIL6/D/22</t>
  </si>
  <si>
    <t>PIL6//D/47</t>
  </si>
  <si>
    <t>KPV/D/102</t>
  </si>
  <si>
    <t>KPV/D/135</t>
  </si>
  <si>
    <t>KPV/D/136</t>
  </si>
  <si>
    <t>KPV/D/1334</t>
  </si>
  <si>
    <t>KPV/D/10</t>
  </si>
  <si>
    <t>KPV/D/21</t>
  </si>
  <si>
    <t>KPV/D/31</t>
  </si>
  <si>
    <t>KPV/D/36</t>
  </si>
  <si>
    <t>KPV/D/38</t>
  </si>
  <si>
    <t>KPV/D/52</t>
  </si>
  <si>
    <t>KPV/D/61</t>
  </si>
  <si>
    <t>KPV/D/169</t>
  </si>
  <si>
    <t>KPV/D/92</t>
  </si>
  <si>
    <t>JBIN-SE 16</t>
  </si>
  <si>
    <t>KPV/D/117</t>
  </si>
  <si>
    <t>KPV/D/123</t>
  </si>
  <si>
    <t>JBIN-SE 19</t>
  </si>
  <si>
    <t>KPV/D/144</t>
  </si>
  <si>
    <t>KPV/D/141</t>
  </si>
  <si>
    <t>KPV/D/149</t>
  </si>
  <si>
    <t>KPV/D/151</t>
  </si>
  <si>
    <t>KPV/D/150</t>
  </si>
  <si>
    <t>KPV/D/154</t>
  </si>
  <si>
    <t>KPV/D/370</t>
  </si>
  <si>
    <t>PP MF Yarn Twisted 3000 Denier UV Deep Blue</t>
  </si>
  <si>
    <t>PPL/D/280</t>
  </si>
  <si>
    <t>PPL/D/283</t>
  </si>
  <si>
    <t>PPL/D/282</t>
  </si>
  <si>
    <t>PPL/D/291</t>
  </si>
  <si>
    <t>PPL/D/292</t>
  </si>
  <si>
    <t>PPL/D/290</t>
  </si>
  <si>
    <t>KPV/D/392</t>
  </si>
  <si>
    <t>KPV/D/397</t>
  </si>
  <si>
    <t>PPL/D/299</t>
  </si>
  <si>
    <t>PPL/D/298</t>
  </si>
  <si>
    <t>PPL/D/306</t>
  </si>
  <si>
    <t>PPL/D/305</t>
  </si>
  <si>
    <t>KPV/D/419</t>
  </si>
  <si>
    <t>PPL/D/314</t>
  </si>
  <si>
    <t>PPL/D/313</t>
  </si>
  <si>
    <t>KPV/D/425</t>
  </si>
  <si>
    <t>PPL/D/320</t>
  </si>
  <si>
    <t>PPL/D/319</t>
  </si>
  <si>
    <t>PPL/D/329</t>
  </si>
  <si>
    <t>KPV/D/452</t>
  </si>
  <si>
    <t>PPL/D/346</t>
  </si>
  <si>
    <t>KPV/D/460</t>
  </si>
  <si>
    <t>PPL/D/352</t>
  </si>
  <si>
    <t>PPL/D/351</t>
  </si>
  <si>
    <t>PPL/D/345.</t>
  </si>
  <si>
    <t>PPL/D/357</t>
  </si>
  <si>
    <t>PPL/D/361</t>
  </si>
  <si>
    <t>PPL/D/360</t>
  </si>
  <si>
    <t>PIL6/D/52</t>
  </si>
  <si>
    <t>PIL6/D/54</t>
  </si>
  <si>
    <t>PIL6/D/55</t>
  </si>
  <si>
    <t>PIL6/D/56</t>
  </si>
  <si>
    <t>PIL6/D/57</t>
  </si>
  <si>
    <t>PIL6/D/58</t>
  </si>
  <si>
    <t>PIL6/D/59</t>
  </si>
  <si>
    <t>PIL6/D/60</t>
  </si>
  <si>
    <t>PIL6/D/61</t>
  </si>
  <si>
    <t>PIL6/D/62</t>
  </si>
  <si>
    <t>PIL6/D/63</t>
  </si>
  <si>
    <t>PIL6/D/66</t>
  </si>
  <si>
    <t>PIL6/D/67</t>
  </si>
  <si>
    <t>PIL6/D/68</t>
  </si>
  <si>
    <t>PIL6/D/69</t>
  </si>
  <si>
    <t>PIL6/D/70</t>
  </si>
  <si>
    <t>PIL6/D/71</t>
  </si>
  <si>
    <t>PIL6/D/72</t>
  </si>
  <si>
    <t>PIL6/D/73</t>
  </si>
  <si>
    <t>PIL6/D/74</t>
  </si>
  <si>
    <t>PIL6/D/75</t>
  </si>
  <si>
    <t>PIL6/D/76</t>
  </si>
  <si>
    <t>PIL6/D/77</t>
  </si>
  <si>
    <t>PIL6/D/78</t>
  </si>
  <si>
    <t>PIL6/D/79</t>
  </si>
  <si>
    <t>PIL6/DC/161</t>
  </si>
  <si>
    <t>PIL6/D/81</t>
  </si>
  <si>
    <t>WIP00193</t>
  </si>
  <si>
    <t>1,59,53,35,680.87 Cr</t>
  </si>
  <si>
    <t>5,16,68,392.64 Cr</t>
  </si>
  <si>
    <t>1,64,70,04,073.51 Cr</t>
  </si>
  <si>
    <t>47,03,40,886.89 Dr</t>
  </si>
  <si>
    <t>1,89,85,620.97 Dr</t>
  </si>
  <si>
    <t>25,180.00 Cr</t>
  </si>
  <si>
    <t>48,93,01,327.86 Dr</t>
  </si>
  <si>
    <t>57,63,82,892.34 Cr</t>
  </si>
  <si>
    <t>39,053.00 Dr</t>
  </si>
  <si>
    <t>1,85,52,868.00 Cr</t>
  </si>
  <si>
    <t>59,48,96,707.34 Cr</t>
  </si>
  <si>
    <t>1,70,13,77,677.25 Dr</t>
  </si>
  <si>
    <t>5,16,54,519.64 Dr</t>
  </si>
  <si>
    <t>1,75,30,32,196.89 Dr</t>
  </si>
  <si>
    <t>BOOKING PENDING IN PIL-1</t>
  </si>
  <si>
    <t>PIL-VI TO PIL-2</t>
  </si>
  <si>
    <t>23,41,621.85 Cr</t>
  </si>
  <si>
    <t>36,79,21,726.48 Cr</t>
  </si>
  <si>
    <t>24,51,299.90 Dr</t>
  </si>
  <si>
    <t>30,14,62,709.42 Dr</t>
  </si>
  <si>
    <t>PIL2/DC/90</t>
  </si>
  <si>
    <t>BOOKING NEXT MONTH BY PIL-6</t>
  </si>
  <si>
    <t>PIL-VI TO PPL</t>
  </si>
  <si>
    <t>533.00 Dr</t>
  </si>
  <si>
    <t>23,17,918.17 Cr</t>
  </si>
  <si>
    <t>42,81,58,954.86 Cr</t>
  </si>
  <si>
    <t>91,70,720.19 Dr</t>
  </si>
  <si>
    <t>38,50,21,414.07 Dr</t>
  </si>
  <si>
    <t>91,61,280.18 Cr</t>
  </si>
  <si>
    <t>38,98,66,796.89 Cr</t>
  </si>
  <si>
    <t>23,33,149.10 Dr</t>
  </si>
  <si>
    <t>25,216.60 Cr</t>
  </si>
  <si>
    <t>43,13,58,430.18 Dr</t>
  </si>
  <si>
    <t>PIL-VI TO KPW-1</t>
  </si>
  <si>
    <t>69,56,665.63 Cr</t>
  </si>
  <si>
    <t>10,18,36,476.69 Cr</t>
  </si>
  <si>
    <t>67,96,012.24 Dr</t>
  </si>
  <si>
    <t>3,73,990.28 Cr</t>
  </si>
  <si>
    <t>2,35,82,595.91 Dr</t>
  </si>
  <si>
    <t>3,73,990.29 Dr</t>
  </si>
  <si>
    <t>67,96,012.24 Cr</t>
  </si>
  <si>
    <t>2,98,62,464.63 Cr</t>
  </si>
  <si>
    <t>69,57,293.15 Dr</t>
  </si>
  <si>
    <t>9,38,54,580.50 Dr</t>
  </si>
  <si>
    <t>PIL-VI TO KPW-3</t>
  </si>
  <si>
    <t>9,69,03,129.53 Dr</t>
  </si>
  <si>
    <t>86,11,251.50 Cr</t>
  </si>
  <si>
    <t>9,47,35,744.23 Dr</t>
  </si>
  <si>
    <t>86,11,251.50 Dr</t>
  </si>
  <si>
    <t>64,43,089.14 Cr</t>
  </si>
  <si>
    <t>9,29,42,382.15 Cr</t>
  </si>
  <si>
    <t>PIL-VI TO OEL-1</t>
  </si>
  <si>
    <t>12,23,65,049.17 Cr</t>
  </si>
  <si>
    <t>53,22,101.55 Cr</t>
  </si>
  <si>
    <t>12,76,87,150.72 Cr</t>
  </si>
  <si>
    <t>18,29,195.98 Dr</t>
  </si>
  <si>
    <t>2,911.93 Dr</t>
  </si>
  <si>
    <t>18,32,107.91 Dr</t>
  </si>
  <si>
    <t>2,32,12,197.19 Cr</t>
  </si>
  <si>
    <t>2,912.09 Cr</t>
  </si>
  <si>
    <t>2,32,15,109.28 Cr</t>
  </si>
  <si>
    <t>13,56,60,399.89 Dr</t>
  </si>
  <si>
    <t>53,22,101.71 Dr</t>
  </si>
  <si>
    <t>14,09,82,501.60 Dr</t>
  </si>
  <si>
    <t>PIL-VI TO HPBL</t>
  </si>
  <si>
    <t>19,071.50 Cr</t>
  </si>
  <si>
    <t>36,31,815.60 Cr</t>
  </si>
  <si>
    <t>5,85,776.89 Dr</t>
  </si>
  <si>
    <t>12,50,860.03 Dr</t>
  </si>
  <si>
    <t>11,092.03 Dr</t>
  </si>
  <si>
    <t>36,31,816.86 Dr</t>
  </si>
  <si>
    <t xml:space="preserve">ENTRY BOOKING PENDING BY HCP PLASTENE </t>
  </si>
  <si>
    <t>C &amp; F Charges-Export</t>
  </si>
  <si>
    <t>PIL6/23-24/JOBWORK/32/1</t>
  </si>
  <si>
    <t>PIL6/23-24/JOBWORK/32/2</t>
  </si>
  <si>
    <t>PIL6/23-24/JOBWORK/32/3</t>
  </si>
  <si>
    <t>PIL6/23-24/JOBWORK/36/1</t>
  </si>
  <si>
    <t>PIL6/23-24/JOBWORK/36/2</t>
  </si>
  <si>
    <t>PIL6/23-24/JOBWORK/37/1</t>
  </si>
  <si>
    <t>PIL6/23-24/JOBWORK/37/2</t>
  </si>
  <si>
    <t>PIL6/23-24/JOBWORK/37/3</t>
  </si>
  <si>
    <t>PIL6/23-24/JOBWORK/33/1</t>
  </si>
  <si>
    <t>PIL6/23-24/JOBWORK/33/2</t>
  </si>
  <si>
    <t>Buyer name</t>
  </si>
  <si>
    <t>Item Code</t>
  </si>
  <si>
    <t>Party Name</t>
  </si>
  <si>
    <t>Challan Sub Code</t>
  </si>
  <si>
    <t>Sub Group Name</t>
  </si>
  <si>
    <t>64,43,088.83 Dr</t>
  </si>
  <si>
    <t>TDS Receivable 2023-24 difference in KPW-1 (DONE) AS PER MAIL</t>
  </si>
  <si>
    <t>Consumable/Store Spares</t>
  </si>
  <si>
    <t>PIL-1 PURCHASE</t>
  </si>
  <si>
    <t>PIL-1 SALES</t>
  </si>
  <si>
    <t>PIL-6 PURCHASE</t>
  </si>
  <si>
    <t>PIL-6 SALES</t>
  </si>
  <si>
    <t>BILL BOOKING PENDING IN PIL-1</t>
  </si>
  <si>
    <t>37,37,23,351.13 Cr</t>
  </si>
  <si>
    <t>30,71,54,656.02 Dr</t>
  </si>
  <si>
    <t>PIL-2</t>
  </si>
  <si>
    <t>PIL-2 PURCHASE</t>
  </si>
  <si>
    <t>PIL-2 SALES</t>
  </si>
  <si>
    <t>42,81,60,087.66 Cr</t>
  </si>
  <si>
    <t>42,96,54,269.99 Cr</t>
  </si>
  <si>
    <t>38,50,19,819.07 Dr</t>
  </si>
  <si>
    <t>38,57,87,400.89 Dr</t>
  </si>
  <si>
    <t>39,06,34,378.71 Cr</t>
  </si>
  <si>
    <t>43,13,23,620.68 Dr</t>
  </si>
  <si>
    <t>43,28,17,804.53 Dr</t>
  </si>
  <si>
    <t>PPL-PURCHASE</t>
  </si>
  <si>
    <t>PPL-SALES</t>
  </si>
  <si>
    <t>PPL/D/2</t>
  </si>
  <si>
    <t>PPL/D/3</t>
  </si>
  <si>
    <t>PPL/D/9</t>
  </si>
  <si>
    <t>PPL/D/7</t>
  </si>
  <si>
    <t>PPL/D/15</t>
  </si>
  <si>
    <t>PPL/D/19</t>
  </si>
  <si>
    <t>PPL/D/24</t>
  </si>
  <si>
    <t>PPL/D/25</t>
  </si>
  <si>
    <t>PPL/D/28</t>
  </si>
  <si>
    <t>PPL/D/35</t>
  </si>
  <si>
    <t>PPL/D/50</t>
  </si>
  <si>
    <t>PPL/D/49</t>
  </si>
  <si>
    <t>PPL/D/55</t>
  </si>
  <si>
    <t>PPL/D/56</t>
  </si>
  <si>
    <t>PPL/D/53</t>
  </si>
  <si>
    <t>PPL/D/124</t>
  </si>
  <si>
    <t>PPL/D/123</t>
  </si>
  <si>
    <t>PPL/D/126</t>
  </si>
  <si>
    <t>PPL/D/127</t>
  </si>
  <si>
    <t>PPL/D/136</t>
  </si>
  <si>
    <t>PPL/D/135</t>
  </si>
  <si>
    <t>PPL/D/134</t>
  </si>
  <si>
    <t>PPL/D/143</t>
  </si>
  <si>
    <t>PPL/D/144</t>
  </si>
  <si>
    <t>PPL/D/146</t>
  </si>
  <si>
    <t>PPL/D/147</t>
  </si>
  <si>
    <t>PPL/D/164</t>
  </si>
  <si>
    <t>PPL/D/165</t>
  </si>
  <si>
    <t>PPL/D/172</t>
  </si>
  <si>
    <t>PPL/D/174</t>
  </si>
  <si>
    <t>PPL/D/173</t>
  </si>
  <si>
    <t>PPL/D/171</t>
  </si>
  <si>
    <t>PPL/D/180</t>
  </si>
  <si>
    <t>PPL/D/181</t>
  </si>
  <si>
    <t>PPL/D/190</t>
  </si>
  <si>
    <t>PPL/D/191</t>
  </si>
  <si>
    <t>PPL/D/193</t>
  </si>
  <si>
    <t>PPL/D/199</t>
  </si>
  <si>
    <t>PPL/D/206</t>
  </si>
  <si>
    <t>PPL/D/192</t>
  </si>
  <si>
    <t>PPL/D/209</t>
  </si>
  <si>
    <t>PPL/D/210</t>
  </si>
  <si>
    <t>PPL/D/211</t>
  </si>
  <si>
    <t>PPL/D/205</t>
  </si>
  <si>
    <t>PPL/D/238</t>
  </si>
  <si>
    <t>PPL/D/239</t>
  </si>
  <si>
    <t>PPL/D/246</t>
  </si>
  <si>
    <t>PPL/D/248</t>
  </si>
  <si>
    <t>PPL/D/249</t>
  </si>
  <si>
    <t>PPL/D/250</t>
  </si>
  <si>
    <t>PPL/D/260</t>
  </si>
  <si>
    <t>PPL/D/260.</t>
  </si>
  <si>
    <t>PPL/D/261</t>
  </si>
  <si>
    <t>PPL/D/263</t>
  </si>
  <si>
    <t>PPL/D/270</t>
  </si>
  <si>
    <t>PPL/D/269</t>
  </si>
  <si>
    <t>PPL/D/273</t>
  </si>
  <si>
    <t>PPL/D/274</t>
  </si>
  <si>
    <t>PPL/D/365</t>
  </si>
  <si>
    <t>PPL/D/366</t>
  </si>
  <si>
    <t>PPL/D/374</t>
  </si>
  <si>
    <t>PPL/D/384</t>
  </si>
  <si>
    <t>PPL/D/396</t>
  </si>
  <si>
    <t>PPL/D/402</t>
  </si>
  <si>
    <t>PPL/D/403</t>
  </si>
  <si>
    <t>PPL/D/415</t>
  </si>
  <si>
    <t>PPL/D/416</t>
  </si>
  <si>
    <t>PPL/D/426</t>
  </si>
  <si>
    <t>PPL/D/427</t>
  </si>
  <si>
    <t>PPL/D/428</t>
  </si>
  <si>
    <t>PPL/D/432</t>
  </si>
  <si>
    <t>PPL/D/429</t>
  </si>
  <si>
    <t>JBIN-SE 7</t>
  </si>
  <si>
    <t>PPL/D/70</t>
  </si>
  <si>
    <t>PPL/D/69</t>
  </si>
  <si>
    <t>PPL/D/78</t>
  </si>
  <si>
    <t>PPL/D/80</t>
  </si>
  <si>
    <t>PPL/D/82</t>
  </si>
  <si>
    <t>PPL/D/90</t>
  </si>
  <si>
    <t>PPL/D/88</t>
  </si>
  <si>
    <t>PPL/D/89</t>
  </si>
  <si>
    <t>PPL/D/98</t>
  </si>
  <si>
    <t>PPL/D/99</t>
  </si>
  <si>
    <t>PPL/D/104</t>
  </si>
  <si>
    <t>PPL/D/106</t>
  </si>
  <si>
    <t>JBIN-SE 29</t>
  </si>
  <si>
    <t>JBIN-SE 30</t>
  </si>
  <si>
    <t>JBIN-SE 31</t>
  </si>
  <si>
    <t>JBIN-SE 42</t>
  </si>
  <si>
    <t>JBIN-SE 53</t>
  </si>
  <si>
    <t>JBIN-SE 60</t>
  </si>
  <si>
    <t>JBIN-SE 63</t>
  </si>
  <si>
    <t>PPL/D/36</t>
  </si>
  <si>
    <t>PPL/D/202</t>
  </si>
  <si>
    <t>PPL/D/204</t>
  </si>
  <si>
    <t>PPL/D/208</t>
  </si>
  <si>
    <t>PPL/D/276</t>
  </si>
  <si>
    <t>PPL/D/321</t>
  </si>
  <si>
    <t>PPL/CR/23-24/11</t>
  </si>
  <si>
    <t>PPL/D/375</t>
  </si>
  <si>
    <t>PPL/D/391</t>
  </si>
  <si>
    <t>PIL6/D/82</t>
  </si>
  <si>
    <t>PIL6/D/83</t>
  </si>
  <si>
    <t>PIL6/D/84</t>
  </si>
  <si>
    <t>PIL6/D/85</t>
  </si>
  <si>
    <t>PIL6/D/87</t>
  </si>
  <si>
    <t>PIL6/D/88</t>
  </si>
  <si>
    <t>PIL6/DB/23-24/8</t>
  </si>
  <si>
    <t>OPENING DIFFERENCE</t>
  </si>
  <si>
    <t>9,38,53,952.98 Dr</t>
  </si>
  <si>
    <t>78,860.06 Cr</t>
  </si>
  <si>
    <t>KPV/D/499</t>
  </si>
  <si>
    <t>KPV/D/501</t>
  </si>
  <si>
    <t>KPV/D/528</t>
  </si>
  <si>
    <t>KPV/D/535</t>
  </si>
  <si>
    <t>KPV/D/537</t>
  </si>
  <si>
    <t>KPV/D/577</t>
  </si>
  <si>
    <t>KPV/D/605</t>
  </si>
  <si>
    <t>JBIN-SE 64</t>
  </si>
  <si>
    <t>KPV/CR/23-24/16</t>
  </si>
  <si>
    <t>KPV/CR/23-24/17</t>
  </si>
  <si>
    <t>KPV/D/555</t>
  </si>
  <si>
    <t>30,571.12 Dr</t>
  </si>
  <si>
    <t>5,25,90,639.60 Cr</t>
  </si>
  <si>
    <t>1,80,45,853.84 Dr</t>
  </si>
  <si>
    <t>1,80,45,853.84 Cr</t>
  </si>
  <si>
    <t>5,10,60,077.53 Dr</t>
  </si>
  <si>
    <t>9,29,44,182.59 Dr</t>
  </si>
  <si>
    <t>1,27,20,772.67 Dr</t>
  </si>
  <si>
    <t>3,30,318.24 Cr</t>
  </si>
  <si>
    <t>10,53,34,637.02 Dr</t>
  </si>
  <si>
    <t>3,30,318.24 Dr</t>
  </si>
  <si>
    <t>1,27,20,772.35 Cr</t>
  </si>
  <si>
    <t>10,53,32,836.26 Cr</t>
  </si>
  <si>
    <t>opening difference</t>
  </si>
  <si>
    <t>9,99,85,129.22 Cr</t>
  </si>
  <si>
    <t>18,10,265.33 Dr</t>
  </si>
  <si>
    <t>2,31,93,247.19 Cr</t>
  </si>
  <si>
    <t>11,69,80,816.75 Dr</t>
  </si>
  <si>
    <t>43,65,326.24 Cr</t>
  </si>
  <si>
    <t>K.P. 3</t>
  </si>
  <si>
    <t>K.P.-1</t>
  </si>
  <si>
    <t>K.P. 1</t>
  </si>
  <si>
    <t>HPBL</t>
  </si>
  <si>
    <t>1,10,72,243.17 Dr</t>
  </si>
  <si>
    <t>1,10,72,243.19 Cr</t>
  </si>
  <si>
    <t>HPBL-3</t>
  </si>
  <si>
    <t>PP Fibrillated Tape Twisted 3200 Blue</t>
  </si>
  <si>
    <t>SMF00052</t>
  </si>
  <si>
    <t>Joshi Brothers</t>
  </si>
  <si>
    <t>BHABESH CHHUAL SINGH</t>
  </si>
  <si>
    <t>DHARAMVEER KUMAR PASWAN</t>
  </si>
  <si>
    <t>DHARAMVEER KUMAR PASWAN (LINE C)</t>
  </si>
  <si>
    <t>JITENDRASINH B. ZALA</t>
  </si>
  <si>
    <t>SUDHANSHU BARMAN</t>
  </si>
  <si>
    <t>RASIDUL MONDAL</t>
  </si>
  <si>
    <t>PIL6/23-24/JOBWORK/42/1</t>
  </si>
  <si>
    <t>PIL6/23-24/JOBWORK/38/1</t>
  </si>
  <si>
    <t>PIL6/23-24/JOBWORK/39/1</t>
  </si>
  <si>
    <t>PIL6/23-24/JOBWORK/43/1</t>
  </si>
  <si>
    <t>PIL6/23-24/JOBWORK/43/2</t>
  </si>
  <si>
    <t>PIL6/23-24/JOBWORK/44/1</t>
  </si>
  <si>
    <t>PIL6/23-24/JOBWORK/44/2</t>
  </si>
  <si>
    <t>PIL6/23-24/JOBWORK/44/3</t>
  </si>
  <si>
    <t>PIL6/23-24/JOBWORK/44/4</t>
  </si>
  <si>
    <t>PIL6/23-24/JOBWORK/45/1</t>
  </si>
  <si>
    <t>PIL6/23-24/JOBWORK/45/2</t>
  </si>
  <si>
    <t>PIL6/23-24/JOBWORK/45/3</t>
  </si>
  <si>
    <t>PIL6/23-24/JOBWORK/46/1</t>
  </si>
  <si>
    <t>PIL6/23-24/JOBWORK/46/2</t>
  </si>
  <si>
    <t>PIL6/23-24/JOBWORK/46/3</t>
  </si>
  <si>
    <t>1,68,83,08,489.28 Cr</t>
  </si>
  <si>
    <t>4,19,38,732.78 Cr</t>
  </si>
  <si>
    <t>50,88,24,869.27 Dr</t>
  </si>
  <si>
    <t>1,03,45,781.36 Dr</t>
  </si>
  <si>
    <t>61,47,94,548.53 Cr</t>
  </si>
  <si>
    <t>1,04,04,233.00 Cr</t>
  </si>
  <si>
    <t>1,79,43,36,612.66 Dr</t>
  </si>
  <si>
    <t>4,19,38,732.78 Dr</t>
  </si>
  <si>
    <t>33,07,018.87 Cr</t>
  </si>
  <si>
    <t>37,70,30,370.00 Cr</t>
  </si>
  <si>
    <t>6,23,97,247.87 Dr</t>
  </si>
  <si>
    <t>41,66,076.38 Dr</t>
  </si>
  <si>
    <t>33,07,018.87 Dr</t>
  </si>
  <si>
    <t>31,04,61,674.89 Dr</t>
  </si>
  <si>
    <t>13,371.00 Dr</t>
  </si>
  <si>
    <t>31,03,680.15 Cr</t>
  </si>
  <si>
    <t>43,27,44,579.14 Cr</t>
  </si>
  <si>
    <t>35,86,326.99 Dr</t>
  </si>
  <si>
    <t>38,93,73,727.88 Dr</t>
  </si>
  <si>
    <t>35,86,326.99 Cr</t>
  </si>
  <si>
    <t>39,42,20,705.70 Cr</t>
  </si>
  <si>
    <t>31,25,118.29 Dr</t>
  </si>
  <si>
    <t>34,809.49 Cr</t>
  </si>
  <si>
    <t>43,59,08,113.33 Dr</t>
  </si>
  <si>
    <t>5,62,93,603.44 Cr</t>
  </si>
  <si>
    <t>6,35,03,174.88 Cr</t>
  </si>
  <si>
    <t>11,97,66,207.20 Cr</t>
  </si>
  <si>
    <t>59,10,732.35 Dr</t>
  </si>
  <si>
    <t>1,21,90,601.08 Cr</t>
  </si>
  <si>
    <t>4,98,11,070.77 Dr</t>
  </si>
  <si>
    <t>6,19,72,612.81 Dr</t>
  </si>
  <si>
    <t>11,17,04,823.52 Dr</t>
  </si>
  <si>
    <t>OPENING DIFF.</t>
  </si>
  <si>
    <t>3,32,84,870.88 Cr</t>
  </si>
  <si>
    <t>13,29,39,681.86 Cr</t>
  </si>
  <si>
    <t>1,07,574.55 Dr</t>
  </si>
  <si>
    <t>19,17,839.88 Dr</t>
  </si>
  <si>
    <t>1,07,594.28 Cr</t>
  </si>
  <si>
    <t>2,33,00,841.47 Cr</t>
  </si>
  <si>
    <t>3,32,84,878.15 Dr</t>
  </si>
  <si>
    <t>14,59,00,368.66 Dr</t>
  </si>
  <si>
    <t>BANK ENTRY AND OPENING BALANCE</t>
  </si>
  <si>
    <t>33,64,389.74 Cr</t>
  </si>
  <si>
    <t>2,67,425.86 Cr</t>
  </si>
  <si>
    <t>12,81,101.45 Dr</t>
  </si>
  <si>
    <t>530.62 Cr</t>
  </si>
  <si>
    <t>530.62 Dr</t>
  </si>
  <si>
    <t>12,81,101.45 Cr</t>
  </si>
  <si>
    <t>33,64,391.00 Dr</t>
  </si>
  <si>
    <t>2,67,425.86 Dr</t>
  </si>
  <si>
    <t>DIFF.</t>
  </si>
  <si>
    <t>1,25,34,287.48 Cr</t>
  </si>
  <si>
    <t>67,84,851.85 Cr</t>
  </si>
  <si>
    <t>1,25,34,287.48 Dr</t>
  </si>
  <si>
    <t>67,85,242.56 Dr</t>
  </si>
  <si>
    <t>TDS ENTRY PENDING IN HPBL-3 BOOKS</t>
  </si>
  <si>
    <t>Stitching Spares</t>
  </si>
  <si>
    <t>Sales - Within State  Manufactured Goods</t>
  </si>
  <si>
    <t>12,80,570.83 Dr</t>
  </si>
  <si>
    <t>12,80,570.83 Cr</t>
  </si>
  <si>
    <t>Job Work Summary Party Wise November-2023</t>
  </si>
  <si>
    <t>PIL6/23-24/JOBWORK/49/1</t>
  </si>
  <si>
    <t>PIL6/23-24/JOBWORK/52/1</t>
  </si>
  <si>
    <t>PIL6/23-24/JOBWORK/48/1</t>
  </si>
  <si>
    <t>PIL6/23-24/JOBWORK/48/2</t>
  </si>
  <si>
    <t>PIL6/23-24/JOBWORK/50/1</t>
  </si>
  <si>
    <t>PIL6/23-24/JOBWORK/50/2</t>
  </si>
  <si>
    <t>PIL6/23-24/JOBWORK/51/1</t>
  </si>
  <si>
    <t>PIL6/23-24/JOBWORK/51/2</t>
  </si>
  <si>
    <t>PIL6/23-24/JOBWORK/51/3</t>
  </si>
  <si>
    <t>PIL6/23-24/JOBWORK/51/4</t>
  </si>
  <si>
    <t>WIP00024</t>
  </si>
  <si>
    <t>4/30 MW 30% RP/BLUE+ORANGE</t>
  </si>
  <si>
    <t>WIP00034</t>
  </si>
  <si>
    <t>PIL6/21-22/JOBWORK/32/1</t>
  </si>
  <si>
    <t>PIL6/21-22/JOBWORK/36/1</t>
  </si>
  <si>
    <t>PIL6/21-22/JOBWORK/37/1</t>
  </si>
  <si>
    <t>PIL6/21-22/JOBWORK/42/1</t>
  </si>
  <si>
    <t>PIL6/22-23/JOBWORK/18/1</t>
  </si>
  <si>
    <t>PIL6/22-23/JOBWORK/23/1</t>
  </si>
  <si>
    <t>PIL6/22-23/JOBWORK/23/2</t>
  </si>
  <si>
    <t>PIL6/22-23/JOBWORK/23/3</t>
  </si>
  <si>
    <t>PIL6/22-23/JOBWORK/23/4</t>
  </si>
  <si>
    <t>PIL6/22-23/JOBWORK/35/1</t>
  </si>
  <si>
    <t>PIL6/22-23/JOBWORK/35/2</t>
  </si>
  <si>
    <t>PIL6/22-23/JOBWORK/38/1</t>
  </si>
  <si>
    <t>PIL6/22-23/JOBWORK/38/2</t>
  </si>
  <si>
    <t>PIL6/22-23/JOBWORK/41/1</t>
  </si>
  <si>
    <t>PIL6/22-23/JOBWORK/41/2</t>
  </si>
  <si>
    <t>PIL6/23-24/JOBWORK/11/1</t>
  </si>
  <si>
    <t>PIL6/23-24/JOBWORK/11/2</t>
  </si>
  <si>
    <t>PIL6/23-24/JOBWORK/11/3</t>
  </si>
  <si>
    <t>PIL6/23-24/JOBWORK/5/1</t>
  </si>
  <si>
    <t>PIL6/23-24/JOBWORK/5/2</t>
  </si>
  <si>
    <t>PIL6/20-21/JOBWORK/3/1</t>
  </si>
  <si>
    <t>PIL6/22-23/JOBWORK/11/1</t>
  </si>
  <si>
    <t>PIL6/22-23/JOBWORK/19/1</t>
  </si>
  <si>
    <t>PIL6/22-23/JOBWORK/20/1</t>
  </si>
  <si>
    <t>PIL6/22-23/JOBWORK/28/1</t>
  </si>
  <si>
    <t>PIL6/22-23/JOBWORK/9/1</t>
  </si>
  <si>
    <t>PIL6/23-24/JOBWORK/7/1</t>
  </si>
  <si>
    <t>PIL6/20-21/JOBWORK/10/1</t>
  </si>
  <si>
    <t>PIL6/20-21/JOBWORK/12/1</t>
  </si>
  <si>
    <t>PIL6/20-21/JOBWORK/12/2</t>
  </si>
  <si>
    <t>PIL6/20-21/JOBWORK/12/3</t>
  </si>
  <si>
    <t>PIL6/20-21/JOBWORK/12/4</t>
  </si>
  <si>
    <t>PIL6/20-21/JOBWORK/13/1</t>
  </si>
  <si>
    <t>PIL6/20-21/JOBWORK/15/2</t>
  </si>
  <si>
    <t>PIL6/20-21/JOBWORK/15/3</t>
  </si>
  <si>
    <t>PIL6/20-21/JOBWORK/15/4</t>
  </si>
  <si>
    <t>PIL6/20-21/JOBWORK/16/1</t>
  </si>
  <si>
    <t>PIL6/20-21/JOBWORK/16/2</t>
  </si>
  <si>
    <t>PIL6/20-21/JOBWORK/18/1</t>
  </si>
  <si>
    <t>PIL6/20-21/JOBWORK/18/2</t>
  </si>
  <si>
    <t>PIL6/20-21/JOBWORK/20/1</t>
  </si>
  <si>
    <t>PIL6/20-21/JOBWORK/21/2</t>
  </si>
  <si>
    <t>PIL6/20-21/JOBWORK/21/3</t>
  </si>
  <si>
    <t>PIL6/20-21/JOBWORK/23/1</t>
  </si>
  <si>
    <t>PIL6/20-21/JOBWORK/25/1</t>
  </si>
  <si>
    <t>PIL6/20-21/JOBWORK/26/1</t>
  </si>
  <si>
    <t>PIL6/20-21/JOBWORK/26/2</t>
  </si>
  <si>
    <t>PIL6/20-21/JOBWORK/26/3</t>
  </si>
  <si>
    <t>PIL6/20-21/JOBWORK/27/1</t>
  </si>
  <si>
    <t>PIL6/20-21/JOBWORK/32/1</t>
  </si>
  <si>
    <t>PIL6/20-21/JOBWORK/33/1</t>
  </si>
  <si>
    <t>PIL6/20-21/JOBWORK/33/2</t>
  </si>
  <si>
    <t>PIL6/20-21/JOBWORK/34/1</t>
  </si>
  <si>
    <t>PIL6/20-21/JOBWORK/34/2</t>
  </si>
  <si>
    <t>PIL6/20-21/JOBWORK/35/1</t>
  </si>
  <si>
    <t>PIL6/20-21/JOBWORK/35/2</t>
  </si>
  <si>
    <t>PIL6/20-21/JOBWORK/37/1</t>
  </si>
  <si>
    <t>PIL6/20-21/JOBWORK/39/2</t>
  </si>
  <si>
    <t>PIL6/20-21/JOBWORK/39/3</t>
  </si>
  <si>
    <t>PIL6/20-21/JOBWORK/39/4</t>
  </si>
  <si>
    <t>PIL6/20-21/JOBWORK/39/5</t>
  </si>
  <si>
    <t>PIL6/20-21/JOBWORK/39/6</t>
  </si>
  <si>
    <t>PIL6/20-21/JOBWORK/39/7</t>
  </si>
  <si>
    <t>PIL6/20-21/JOBWORK/40/2</t>
  </si>
  <si>
    <t>PIL6/20-21/JOBWORK/40/3</t>
  </si>
  <si>
    <t>PIL6/20-21/JOBWORK/41/2</t>
  </si>
  <si>
    <t>PIL6/20-21/JOBWORK/41/3</t>
  </si>
  <si>
    <t>PIL6/20-21/JOBWORK/42/1</t>
  </si>
  <si>
    <t>PIL6/20-21/JOBWORK/44/3</t>
  </si>
  <si>
    <t>PIL6/20-21/JOBWORK/46/1</t>
  </si>
  <si>
    <t>PIL6/20-21/JOBWORK/48/2</t>
  </si>
  <si>
    <t>PIL6/20-21/JOBWORK/48/3</t>
  </si>
  <si>
    <t>PIL6/20-21/JOBWORK/48/4</t>
  </si>
  <si>
    <t>PIL6/20-21/JOBWORK/8/2</t>
  </si>
  <si>
    <t>PIL6/20-21/JOBWORK/9/1</t>
  </si>
  <si>
    <t>PIL6/21-22/JOBWORK/11/1</t>
  </si>
  <si>
    <t>PIL6/21-22/JOBWORK/14/1</t>
  </si>
  <si>
    <t>PIL6/21-22/JOBWORK/14/2</t>
  </si>
  <si>
    <t>PIL6/21-22/JOBWORK/21/1</t>
  </si>
  <si>
    <t>PIL6/21-22/JOBWORK/21/2</t>
  </si>
  <si>
    <t>PIL6/21-22/JOBWORK/22/1</t>
  </si>
  <si>
    <t>PIL6/21-22/JOBWORK/22/2</t>
  </si>
  <si>
    <t>PIL6/21-22/JOBWORK/23/1</t>
  </si>
  <si>
    <t>PIL6/21-22/JOBWORK/24/1</t>
  </si>
  <si>
    <t>PIL6/21-22/JOBWORK/26/1</t>
  </si>
  <si>
    <t>PIL6/21-22/JOBWORK/28/1</t>
  </si>
  <si>
    <t>PIL6/21-22/JOBWORK/29/1</t>
  </si>
  <si>
    <t>PIL6/21-22/JOBWORK/33/1</t>
  </si>
  <si>
    <t>PIL6/21-22/JOBWORK/34/1</t>
  </si>
  <si>
    <t>PIL6/21-22/JOBWORK/34/2</t>
  </si>
  <si>
    <t>PIL6/21-22/JOBWORK/35/1</t>
  </si>
  <si>
    <t>PIL6/21-22/JOBWORK/35/2</t>
  </si>
  <si>
    <t>PIL6/21-22/JOBWORK/35/3</t>
  </si>
  <si>
    <t>PIL6/21-22/JOBWORK/39/1</t>
  </si>
  <si>
    <t>PIL6/21-22/JOBWORK/39/2</t>
  </si>
  <si>
    <t>PIL6/21-22/JOBWORK/40/1</t>
  </si>
  <si>
    <t>PIL6/21-22/JOBWORK/45/1</t>
  </si>
  <si>
    <t>PIL6/21-22/JOBWORK/45/2</t>
  </si>
  <si>
    <t>PIL6/21-22/JOBWORK/45/3</t>
  </si>
  <si>
    <t>PIL6/21-22/JOBWORK/45/4</t>
  </si>
  <si>
    <t>PIL6/21-22/JOBWORK/46/1</t>
  </si>
  <si>
    <t>PIL6/21-22/JOBWORK/47/1</t>
  </si>
  <si>
    <t>PIL6/21-22/JOBWORK/47/2</t>
  </si>
  <si>
    <t>PIL6/21-22/JOBWORK/47/3</t>
  </si>
  <si>
    <t>PIL6/21-22/JOBWORK/49/1</t>
  </si>
  <si>
    <t>PIL6/21-22/JOBWORK/49/2</t>
  </si>
  <si>
    <t>PIL6/21-22/JOBWORK/5/2</t>
  </si>
  <si>
    <t>PIL6/21-22/JOBWORK/50/1</t>
  </si>
  <si>
    <t>PIL6/21-22/JOBWORK/50/2</t>
  </si>
  <si>
    <t>PIL6/21-22/JOBWORK/51/1</t>
  </si>
  <si>
    <t>PIL6/21-22/JOBWORK/53/1</t>
  </si>
  <si>
    <t>PIL6/21-22/JOBWORK/53/2</t>
  </si>
  <si>
    <t>PIL6/21-22/JOBWORK/54/1</t>
  </si>
  <si>
    <t>PIL6/21-22/JOBWORK/55/1</t>
  </si>
  <si>
    <t>PIL6/21-22/JOBWORK/57/1</t>
  </si>
  <si>
    <t>PIL6/21-22/JOBWORK/57/2</t>
  </si>
  <si>
    <t>PIL6/21-22/JOBWORK/57/3</t>
  </si>
  <si>
    <t>PIL6/21-22/JOBWORK/57/4</t>
  </si>
  <si>
    <t>PIL6/21-22/JOBWORK/58/1</t>
  </si>
  <si>
    <t>PIL6/21-22/JOBWORK/59/1</t>
  </si>
  <si>
    <t>PIL6/21-22/JOBWORK/6/2</t>
  </si>
  <si>
    <t>PIL6/21-22/JOBWORK/60/1</t>
  </si>
  <si>
    <t>PIL6/23-24/JOBWORK/53/1</t>
  </si>
  <si>
    <t>PIL6/23-24/JOBWORK/53/2</t>
  </si>
  <si>
    <t>PIL6/23-24/JOBWORK/54/1</t>
  </si>
  <si>
    <t>PIL6/23-24/JOBWORK/54/2</t>
  </si>
  <si>
    <t>PIL6/23-24/JOBWORK/55/1</t>
  </si>
  <si>
    <t>PIL6/23-24/JOBWORK/55/2</t>
  </si>
  <si>
    <t>PIL6/23-24/JOBWORK/55/3</t>
  </si>
  <si>
    <t>PIL6/23-24/JOBWORK/55/4</t>
  </si>
  <si>
    <t>PIL6/23-24/JOBWORK/55/5</t>
  </si>
  <si>
    <t>PIL6/23-24/JOBWORK/58/1</t>
  </si>
  <si>
    <t>PIL6/23-24/JOBWORK/58/2</t>
  </si>
  <si>
    <t>PIL6/23-24/JOBWORK/58/3</t>
  </si>
  <si>
    <t>PIL6/23-24/JOBWORK/58/4</t>
  </si>
  <si>
    <t>PIL6/23-24/JOBWORK/59/1</t>
  </si>
  <si>
    <t>PIL6/19-20/JOBWORK/1/1</t>
  </si>
  <si>
    <t>PIL6/19-20/JOBWORK/2/1</t>
  </si>
  <si>
    <t>PIL6/19-20/JOBWORK/2/2</t>
  </si>
  <si>
    <t>PIL6/19-20/JOBWORK/3/1</t>
  </si>
  <si>
    <t>PIL6/19-20/JOBWORK/3/2</t>
  </si>
  <si>
    <t>PIL6/19-20/JOBWORK/4/1</t>
  </si>
  <si>
    <t>PIL6/19-20/JOBWORK/5/1</t>
  </si>
  <si>
    <t>PIL6/19-20/JOBWORK/5/2</t>
  </si>
  <si>
    <t>PIL6/19-20/JOBWORK/6/1</t>
  </si>
  <si>
    <t>PIL6/19-20/JOBWORK/7/1</t>
  </si>
  <si>
    <t>PIL6/19-20/JOBWORK/8/1</t>
  </si>
  <si>
    <t>PIL6/19-20/JOBWORK/9/1</t>
  </si>
  <si>
    <t>PIL6/20-21/JOBWORK/1/1</t>
  </si>
  <si>
    <t>PIL6/20-21/JOBWORK/11/1</t>
  </si>
  <si>
    <t>PIL6/20-21/JOBWORK/17/1</t>
  </si>
  <si>
    <t>PIL6/20-21/JOBWORK/2/1</t>
  </si>
  <si>
    <t>PIL6/20-21/JOBWORK/2/2</t>
  </si>
  <si>
    <t>PIL6/20-21/JOBWORK/2/3</t>
  </si>
  <si>
    <t>PIL6/20-21/JOBWORK/2/4</t>
  </si>
  <si>
    <t>PIL6/20-21/JOBWORK/24/1</t>
  </si>
  <si>
    <t>PIL6/20-21/JOBWORK/30/1</t>
  </si>
  <si>
    <t>PIL6/20-21/JOBWORK/36/1</t>
  </si>
  <si>
    <t>PIL6/20-21/JOBWORK/38/1</t>
  </si>
  <si>
    <t>PIL6/20-21/JOBWORK/4/1</t>
  </si>
  <si>
    <t>PIL6/20-21/JOBWORK/43/1</t>
  </si>
  <si>
    <t>PIL6/20-21/JOBWORK/5/1</t>
  </si>
  <si>
    <t>PIL6/20-21/JOBWORK/6/1</t>
  </si>
  <si>
    <t>PIL6/21-22/JOBWORK/1/1</t>
  </si>
  <si>
    <t>PIL6/21-22/JOBWORK/10/1</t>
  </si>
  <si>
    <t>PIL6/21-22/JOBWORK/10/2</t>
  </si>
  <si>
    <t>PIL6/21-22/JOBWORK/12/1</t>
  </si>
  <si>
    <t>PIL6/21-22/JOBWORK/15/1</t>
  </si>
  <si>
    <t>PIL6/21-22/JOBWORK/16/1</t>
  </si>
  <si>
    <t>PIL6/21-22/JOBWORK/17/1</t>
  </si>
  <si>
    <t>PIL6/21-22/JOBWORK/19/1</t>
  </si>
  <si>
    <t>PIL6/21-22/JOBWORK/19/2</t>
  </si>
  <si>
    <t>PIL6/21-22/JOBWORK/20/1</t>
  </si>
  <si>
    <t>PIL6/21-22/JOBWORK/25/1</t>
  </si>
  <si>
    <t>PIL6/21-22/JOBWORK/27/1</t>
  </si>
  <si>
    <t>PIL6/21-22/JOBWORK/30/1</t>
  </si>
  <si>
    <t>PIL6/21-22/JOBWORK/31/1</t>
  </si>
  <si>
    <t>PIL6/21-22/JOBWORK/38/1</t>
  </si>
  <si>
    <t>PIL6/21-22/JOBWORK/41/1</t>
  </si>
  <si>
    <t>PIL6/21-22/JOBWORK/44/1</t>
  </si>
  <si>
    <t>PIL6/21-22/JOBWORK/48/1</t>
  </si>
  <si>
    <t>PIL6/21-22/JOBWORK/52/1</t>
  </si>
  <si>
    <t>PIL6/21-22/JOBWORK/56/1</t>
  </si>
  <si>
    <t>PIL6/21-22/JOBWORK/61/1</t>
  </si>
  <si>
    <t>PIL6/21-22/JOBWORK/7/1</t>
  </si>
  <si>
    <t>PIL6/21-22/JOBWORK/8/1</t>
  </si>
  <si>
    <t>PIL6/21-22/JOBWORK/9/1</t>
  </si>
  <si>
    <t>PIL6/21-22/JOBWORK/9/2</t>
  </si>
  <si>
    <t>PIL6/22-23/JOBWORK/10/1</t>
  </si>
  <si>
    <t>PIL6/22-23/JOBWORK/14/1</t>
  </si>
  <si>
    <t>PIL6/22-23/JOBWORK/15/1</t>
  </si>
  <si>
    <t>PIL6/22-23/JOBWORK/17/1</t>
  </si>
  <si>
    <t>PIL6/22-23/JOBWORK/2/1</t>
  </si>
  <si>
    <t>PIL6/22-23/JOBWORK/21/1</t>
  </si>
  <si>
    <t>PIL6/22-23/JOBWORK/21/2</t>
  </si>
  <si>
    <t>PIL6/22-23/JOBWORK/29/1</t>
  </si>
  <si>
    <t>PIL6/22-23/JOBWORK/3/1</t>
  </si>
  <si>
    <t>PIL6/22-23/JOBWORK/31/1</t>
  </si>
  <si>
    <t>PIL6/22-23/JOBWORK/33/1</t>
  </si>
  <si>
    <t>PIL6/22-23/JOBWORK/39/1</t>
  </si>
  <si>
    <t>PIL6/22-23/JOBWORK/4/1</t>
  </si>
  <si>
    <t>PIL6/22-23/JOBWORK/44/1</t>
  </si>
  <si>
    <t>PIL6/22-23/JOBWORK/46/1</t>
  </si>
  <si>
    <t>PIL6/22-23/JOBWORK/48/1</t>
  </si>
  <si>
    <t>PIL6/22-23/JOBWORK/5/1</t>
  </si>
  <si>
    <t>PIL6/22-23/JOBWORK/6/1</t>
  </si>
  <si>
    <t>PIL6/22-23/JOBWORK/8/1</t>
  </si>
  <si>
    <t>PIL6/23-24/JOBWORK/18/1</t>
  </si>
  <si>
    <t>PIL6/23-24/JOBWORK/23/1</t>
  </si>
  <si>
    <t>PIL6/23-24/JOBWORK/29/1</t>
  </si>
  <si>
    <t>PIL6/23-24/JOBWORK/29/2</t>
  </si>
  <si>
    <t>PIL6/23-24/JOBWORK/3/1</t>
  </si>
  <si>
    <t>PIL6/23-24/JOBWORK/34/1</t>
  </si>
  <si>
    <t>PIL6/23-24/JOBWORK/35/1</t>
  </si>
  <si>
    <t>PIL6/23-24/JOBWORK/40/1</t>
  </si>
  <si>
    <t>PIL6/23-24/JOBWORK/41/1</t>
  </si>
  <si>
    <t>PIL6/23-24/JOBWORK/47/1</t>
  </si>
  <si>
    <t>PIL6/23-24/JOBWORK/56/1</t>
  </si>
  <si>
    <t>PIL6/23-24/JOBWORK/56/2</t>
  </si>
  <si>
    <t>PIL6/23-24/JOBWORK/57/1</t>
  </si>
  <si>
    <t>PIL6/23-24/JOBWORK/8/1</t>
  </si>
  <si>
    <t>24 ROLLS</t>
  </si>
  <si>
    <t>2,40,66,688.04 Cr</t>
  </si>
  <si>
    <t>2,40,66,831.43 Dr</t>
  </si>
  <si>
    <t>Country</t>
  </si>
  <si>
    <t>India</t>
  </si>
  <si>
    <t>38,16,61,135.71 Cr</t>
  </si>
  <si>
    <t>6,03,20,097.84 Dr</t>
  </si>
  <si>
    <t>62,43,226.88 Dr</t>
  </si>
  <si>
    <t>31,50,97,813.46 Dr</t>
  </si>
  <si>
    <t>44,16,86,148.40 Cr</t>
  </si>
  <si>
    <t>39,83,84,827.20 Dr</t>
  </si>
  <si>
    <t>40,32,31,805.03 Cr</t>
  </si>
  <si>
    <t>44,48,49,684.47 Dr</t>
  </si>
  <si>
    <t>5,11,60,035.83 Cr</t>
  </si>
  <si>
    <t>15,67,41,683.13 Dr</t>
  </si>
  <si>
    <t>16,48,03,066.39 Cr</t>
  </si>
  <si>
    <t>4,48,80,167.11 Dr</t>
  </si>
  <si>
    <t>11,80,35,601.03 Dr</t>
  </si>
  <si>
    <t>11,80,33,798.97 Cr</t>
  </si>
  <si>
    <t>14,92,03,989.05 Cr</t>
  </si>
  <si>
    <t>19,35,023.07 Dr</t>
  </si>
  <si>
    <t>2,32,89,543.27 Cr</t>
  </si>
  <si>
    <t>16,61,96,145.62 Dr</t>
  </si>
  <si>
    <t>opening diff.</t>
  </si>
  <si>
    <t>3,90,93,646.59 Cr</t>
  </si>
  <si>
    <t>3,90,93,647.84 Dr</t>
  </si>
  <si>
    <t>73,81,529.91 Cr</t>
  </si>
  <si>
    <t>40,08,377.90 Dr</t>
  </si>
  <si>
    <t>Plastene India Limited - HO</t>
  </si>
  <si>
    <t>33,73,155.86 Dr</t>
  </si>
  <si>
    <t>3,41,04,292.25 Cr</t>
  </si>
  <si>
    <t>1,39,26,708.33 Dr</t>
  </si>
  <si>
    <t>K.P. WOVEN PRIVATE LIMITED (UNIT-II) NANICHIRAI</t>
  </si>
  <si>
    <t>1,39,73,233.59 Cr</t>
  </si>
  <si>
    <t>3,41,02,428.66 Dr</t>
  </si>
  <si>
    <t>2023-24</t>
  </si>
  <si>
    <t>RAW MATERIAL PURCHASE</t>
  </si>
  <si>
    <t>FINISHED FIBC SALES</t>
  </si>
  <si>
    <t>Delta</t>
  </si>
  <si>
    <t>Month</t>
  </si>
  <si>
    <t>QTY</t>
  </si>
  <si>
    <t>Conversion</t>
  </si>
  <si>
    <t>Nov.23</t>
  </si>
  <si>
    <t>Dec.23</t>
  </si>
  <si>
    <t>Jan.24</t>
  </si>
  <si>
    <t>Feb.24</t>
  </si>
  <si>
    <t>Mar.24</t>
  </si>
  <si>
    <t>Total/Av.</t>
  </si>
  <si>
    <t>Delta Conversion Rate for the M/o.Feb-2024</t>
  </si>
  <si>
    <t>A-SALES</t>
  </si>
  <si>
    <t>ITEM NAME</t>
  </si>
  <si>
    <t>QTY.</t>
  </si>
  <si>
    <t>AMOUNT</t>
  </si>
  <si>
    <t>RATE/KGS.</t>
  </si>
  <si>
    <t>SALES RATE</t>
  </si>
  <si>
    <t>B-PURCHASE</t>
  </si>
  <si>
    <t>LLDPE BAGS</t>
  </si>
  <si>
    <t>LLDPE DOC</t>
  </si>
  <si>
    <t>PP FILAMENT YARN</t>
  </si>
  <si>
    <t>PP LAMINATED WOVEN FABRIC</t>
  </si>
  <si>
    <t>PP WOVEN FABRIC</t>
  </si>
  <si>
    <t>PP WEBBING</t>
  </si>
  <si>
    <t>DIFFERENCE (A-B) DELTA</t>
  </si>
  <si>
    <t>PURCHASE RATE</t>
  </si>
  <si>
    <t>Month Wise Conversion Rate Sheet-PIL-VI</t>
  </si>
  <si>
    <t>1.5/6 MW/TIE</t>
  </si>
  <si>
    <t>4,07,90,460.65 Cr</t>
  </si>
  <si>
    <t>85,94,608.36 Dr</t>
  </si>
  <si>
    <t>88,01,533.00 Cr</t>
  </si>
  <si>
    <t>4,06,78,056.66 Dr</t>
  </si>
  <si>
    <t>30,78,191.88 Dr</t>
  </si>
  <si>
    <t>46,65,601.37 Cr</t>
  </si>
  <si>
    <t>6,59,420.22 Dr</t>
  </si>
  <si>
    <t>6,59,420.00 Cr</t>
  </si>
  <si>
    <t>46,65,601.36 Dr</t>
  </si>
  <si>
    <t>30,78,191.88 Cr</t>
  </si>
  <si>
    <t>30,674.00 Dr</t>
  </si>
  <si>
    <t>54,17,917.01 Cr</t>
  </si>
  <si>
    <t>20,18,667.36 Dr</t>
  </si>
  <si>
    <t>20,18,667.36 Cr</t>
  </si>
  <si>
    <t>53,87,241.94 Dr</t>
  </si>
  <si>
    <t>1,19,51,094.93 Dr</t>
  </si>
  <si>
    <t>12,99,86,695.96 Dr</t>
  </si>
  <si>
    <t>1,19,51,093.49 Cr</t>
  </si>
  <si>
    <t>12,99,84,892.46 Cr</t>
  </si>
  <si>
    <t>9,919.00 Dr</t>
  </si>
  <si>
    <t>54,01,458.68 Cr</t>
  </si>
  <si>
    <t>17,01,94,606.07 Cr</t>
  </si>
  <si>
    <t>1,26,04,621.45 Dr</t>
  </si>
  <si>
    <t>5,74,84,788.56 Dr</t>
  </si>
  <si>
    <t>1,26,04,621.45 Cr</t>
  </si>
  <si>
    <t>6,37,64,657.28 Cr</t>
  </si>
  <si>
    <t>53,91,539.78 Dr</t>
  </si>
  <si>
    <t>6,225.12 Cr</t>
  </si>
  <si>
    <t>16,21,26,997.79 Dr</t>
  </si>
  <si>
    <t>38,15,412.76 Cr</t>
  </si>
  <si>
    <t>15,30,19,401.81 Cr</t>
  </si>
  <si>
    <t>38,37,152.14 Dr</t>
  </si>
  <si>
    <t>17,00,33,297.76 Dr</t>
  </si>
  <si>
    <t>bill wrong booked by OEL-1</t>
  </si>
  <si>
    <t>2,48,21,053.35 Cr</t>
  </si>
  <si>
    <t>2,48,21,196.74 Dr</t>
  </si>
  <si>
    <t>diff. in transfer entry booked by HO.</t>
  </si>
  <si>
    <t>differ.</t>
  </si>
  <si>
    <t>9,82,07,343.06 Dr</t>
  </si>
  <si>
    <t>9,82,07,342.78 Cr</t>
  </si>
  <si>
    <t>2,48,11,942.04 Dr</t>
  </si>
  <si>
    <t>7,45,254.00 Cr</t>
  </si>
  <si>
    <t>1,10,72,243.17 Cr</t>
  </si>
  <si>
    <t>1,10,72,243.19 Dr</t>
  </si>
  <si>
    <t>7,45,920.00 Dr</t>
  </si>
  <si>
    <t>2,48,12,751.43 Cr</t>
  </si>
  <si>
    <t>14,934.39 Dr</t>
  </si>
  <si>
    <t>Opening Diff.</t>
  </si>
  <si>
    <t>2,240.10 Dr</t>
  </si>
  <si>
    <t>12,694.29 Dr</t>
  </si>
  <si>
    <t>1,39,58,297.30 Cr</t>
  </si>
  <si>
    <t>14,936.29 Cr</t>
  </si>
  <si>
    <t>1,39,58,297.30 Dr</t>
  </si>
  <si>
    <t>3,41,02,428.66 Cr</t>
  </si>
  <si>
    <t>Apr.24</t>
  </si>
  <si>
    <t>House Keeping Expense</t>
  </si>
  <si>
    <t>Mehjal Adhesive Tapes Pvt. Ltd.</t>
  </si>
  <si>
    <t>May.24</t>
  </si>
  <si>
    <t>Water Charges</t>
  </si>
  <si>
    <t>Wastage Rate Diff.</t>
  </si>
  <si>
    <t>Total Rate Diff.</t>
  </si>
  <si>
    <t>June.24</t>
  </si>
  <si>
    <t>2,02,12,28,322.96 Cr</t>
  </si>
  <si>
    <t>59,43,23,351.76 Dr</t>
  </si>
  <si>
    <t>69,04,90,930.92 Cr</t>
  </si>
  <si>
    <t>2,11,73,95,918.45 Dr</t>
  </si>
  <si>
    <t>1,89,57,78,908.05 Cr</t>
  </si>
  <si>
    <t>82,55,189.53 Dr</t>
  </si>
  <si>
    <t>13,37,04,604.44 Cr</t>
  </si>
  <si>
    <t>57,25,72,973.37 Dr</t>
  </si>
  <si>
    <t>2,19,78,659.63 Dr</t>
  </si>
  <si>
    <t>2,28,281.24 Cr</t>
  </si>
  <si>
    <t>66,87,40,554.40 Cr</t>
  </si>
  <si>
    <t>2,28,281.24 Dr</t>
  </si>
  <si>
    <t>2,19,78,657.76 Cr</t>
  </si>
  <si>
    <t>1,99,19,46,482.47 Dr</t>
  </si>
  <si>
    <t>13,37,04,604.43 Dr</t>
  </si>
  <si>
    <t>82,55,168.45 Cr</t>
  </si>
  <si>
    <t>38,64,28,524.45 Cr</t>
  </si>
  <si>
    <t>6,96,52,990.37 Dr</t>
  </si>
  <si>
    <t>30,89,666.12 Cr</t>
  </si>
  <si>
    <t>31,98,65,202.20 Dr</t>
  </si>
  <si>
    <t>45,90,93,523.60 Cr</t>
  </si>
  <si>
    <t>40,90,00,649.23 Dr</t>
  </si>
  <si>
    <t>41,38,48,494.89 Cr</t>
  </si>
  <si>
    <t>46,22,57,058.59 Dr</t>
  </si>
  <si>
    <t>22,60,82,002.57 Cr</t>
  </si>
  <si>
    <t>10,60,10,524.07 Dr</t>
  </si>
  <si>
    <t>11,22,90,392.80 Cr</t>
  </si>
  <si>
    <t>21,87,95,206.76 Dr</t>
  </si>
  <si>
    <t>12,84,80,652.96 Dr</t>
  </si>
  <si>
    <t>3,92,11,521.81 Dr</t>
  </si>
  <si>
    <t>1,62,80,000.00 Cr</t>
  </si>
  <si>
    <t>15,14,12,174.77 Dr</t>
  </si>
  <si>
    <t>12,84,78,849.46 Cr</t>
  </si>
  <si>
    <t>1,62,89,167.32 Dr</t>
  </si>
  <si>
    <t>3,92,20,692.47 Cr</t>
  </si>
  <si>
    <t>15,14,10,374.61 Cr</t>
  </si>
  <si>
    <t>1,431.95 Dr</t>
  </si>
  <si>
    <t>1,57,21,832.78 Cr</t>
  </si>
  <si>
    <t>16,87,39,802.64 Cr</t>
  </si>
  <si>
    <t>9,030.96 Dr</t>
  </si>
  <si>
    <t>19,44,054.03 Dr</t>
  </si>
  <si>
    <t>9,040.00 Cr</t>
  </si>
  <si>
    <t>2,32,98,583.27 Cr</t>
  </si>
  <si>
    <t>17,00,11,557.52 Dr</t>
  </si>
  <si>
    <t>1,57,20,400.35 Dr</t>
  </si>
  <si>
    <t>18,57,31,957.87 Dr</t>
  </si>
  <si>
    <t>24AHMPR2612N1Z1</t>
  </si>
  <si>
    <t>FIBC WIP</t>
  </si>
  <si>
    <t>July.24</t>
  </si>
  <si>
    <t>1.5/6 MIX/TIE</t>
  </si>
  <si>
    <t>PP 180 GZT MW</t>
  </si>
  <si>
    <t>179 X 90 MIC</t>
  </si>
  <si>
    <t>5,56,85,117.09 Cr</t>
  </si>
  <si>
    <t>2,07,69,13,440.05 Cr</t>
  </si>
  <si>
    <t>85,21,270.30 Dr</t>
  </si>
  <si>
    <t>60,28,44,622.06 Dr</t>
  </si>
  <si>
    <t>69,04,90,923.92 Cr</t>
  </si>
  <si>
    <t>85,21,269.00 Cr</t>
  </si>
  <si>
    <t>69,90,12,192.92 Cr</t>
  </si>
  <si>
    <t>5,56,32,053.49 Dr</t>
  </si>
  <si>
    <t>2,17,30,27,971.94 Dr</t>
  </si>
  <si>
    <t>33,85,229.23 Cr</t>
  </si>
  <si>
    <t>38,98,13,753.68 Cr</t>
  </si>
  <si>
    <t>33,22,499.85 Dr</t>
  </si>
  <si>
    <t>7,29,75,490.22 Dr</t>
  </si>
  <si>
    <t>33,22,499.00 Cr</t>
  </si>
  <si>
    <t>64,12,165.12 Cr</t>
  </si>
  <si>
    <t>33,85,229.23 Dr</t>
  </si>
  <si>
    <t>32,32,50,431.43 Dr</t>
  </si>
  <si>
    <t>9,185.00 Dr</t>
  </si>
  <si>
    <t>27,14,626.48 Cr</t>
  </si>
  <si>
    <t>46,17,98,965.08 Cr</t>
  </si>
  <si>
    <t>1,05,66,055.53 Dr</t>
  </si>
  <si>
    <t>41,95,66,704.76 Dr</t>
  </si>
  <si>
    <t>1,05,66,055.52 Cr</t>
  </si>
  <si>
    <t>42,44,14,550.41 Cr</t>
  </si>
  <si>
    <t>27,05,441.39 Dr</t>
  </si>
  <si>
    <t>46,49,62,499.98 Dr</t>
  </si>
  <si>
    <t>1,55,82,623.36 Cr</t>
  </si>
  <si>
    <t>12,78,73,016.16 Cr</t>
  </si>
  <si>
    <t>1,63,84,135.18 Dr</t>
  </si>
  <si>
    <t>23,51,79,341.94 Dr</t>
  </si>
  <si>
    <t>15,982.00 Dr</t>
  </si>
  <si>
    <t>1,71,80,934.80 Cr</t>
  </si>
  <si>
    <t>24,32,46,955.37 Cr</t>
  </si>
  <si>
    <t>1,55,82,623.36 Dr</t>
  </si>
  <si>
    <t>12,15,93,147.43 Dr</t>
  </si>
  <si>
    <t>FIBC BAGS</t>
  </si>
  <si>
    <t>COMPANY SALARY</t>
  </si>
  <si>
    <t>Sept.24</t>
  </si>
  <si>
    <t>LC Pack. Wastage</t>
  </si>
  <si>
    <t>OEL/KPW3/KPW-1</t>
  </si>
  <si>
    <t>Rahul Govindram</t>
  </si>
  <si>
    <t>DELTA</t>
  </si>
  <si>
    <t>Oct.24</t>
  </si>
  <si>
    <t>Nov.24</t>
  </si>
  <si>
    <t>LAXMAN B BAKUTRA</t>
  </si>
  <si>
    <t>DINESHBHAI KHUMABHAI DESAI</t>
  </si>
  <si>
    <t>95X95X110</t>
  </si>
  <si>
    <t>Pine Wooden Pallet Design Code QP90110</t>
  </si>
  <si>
    <t>Dec.24</t>
  </si>
  <si>
    <t>TransportName</t>
  </si>
  <si>
    <t>LRNo</t>
  </si>
  <si>
    <t>VehicalNo</t>
  </si>
  <si>
    <t>TotalAmt</t>
  </si>
  <si>
    <t>ItemValue</t>
  </si>
  <si>
    <t>ItemUnit</t>
  </si>
  <si>
    <t>itemname</t>
  </si>
  <si>
    <t>itemcode</t>
  </si>
  <si>
    <t>DescriptionGoods</t>
  </si>
  <si>
    <t>NatureProc</t>
  </si>
  <si>
    <t>sysdate</t>
  </si>
  <si>
    <t>companyname</t>
  </si>
  <si>
    <t>Sum of ItemQty</t>
  </si>
  <si>
    <t>SELF</t>
  </si>
  <si>
    <t>JOB IN</t>
  </si>
  <si>
    <t>No PO</t>
  </si>
  <si>
    <t>No Subcode</t>
  </si>
  <si>
    <t>24ACHPM5973F1ZG</t>
  </si>
  <si>
    <t>SERVICES</t>
  </si>
  <si>
    <t>PE Labels (Kgs)</t>
  </si>
  <si>
    <t>SMF00147</t>
  </si>
  <si>
    <t>Jan.25</t>
  </si>
  <si>
    <t>Films All (SF)</t>
  </si>
  <si>
    <t>Aug.24</t>
  </si>
  <si>
    <t>GJ12BY0479</t>
  </si>
  <si>
    <t>Sum of Acceptedqty</t>
  </si>
  <si>
    <t>GJ12BT2409</t>
  </si>
  <si>
    <t xml:space="preserve">SAHDEVSINH FATEHSINH JADEJA </t>
  </si>
  <si>
    <t>Raw Material</t>
  </si>
  <si>
    <t>Feb.25</t>
  </si>
  <si>
    <t>Qty.</t>
  </si>
  <si>
    <t>Rate/Kgs.</t>
  </si>
  <si>
    <t xml:space="preserve">Total : </t>
  </si>
  <si>
    <t>FABRIC CUT PCS.</t>
  </si>
  <si>
    <t>Mar.25</t>
  </si>
  <si>
    <t>HCP Plastene Bulkpack Ltd (Unit - IV)</t>
  </si>
  <si>
    <t>HPBL4/25-26/JOBWORK/1</t>
  </si>
  <si>
    <t>229 mm x 90MIC</t>
  </si>
  <si>
    <t>56 ROLLS</t>
  </si>
  <si>
    <t>HPBL4/25-26/JOBWORK/2</t>
  </si>
  <si>
    <t>38 ROLLS</t>
  </si>
  <si>
    <t>HPBL4/25-26/JOBWORK/3</t>
  </si>
  <si>
    <t>180 MM X 90 MIC</t>
  </si>
  <si>
    <t>48 ROLLS</t>
  </si>
  <si>
    <t>HPBL4/25-26/JOBWORK/4</t>
  </si>
  <si>
    <t>180mm x 90mic</t>
  </si>
  <si>
    <t>HPBL-IV</t>
  </si>
  <si>
    <t>Apr.25</t>
  </si>
  <si>
    <t>RAW MATERIAL COST</t>
  </si>
  <si>
    <t>FABRIC COST</t>
  </si>
  <si>
    <t>Sales - Waste &amp; Scrape</t>
  </si>
  <si>
    <t>Kgs,</t>
  </si>
  <si>
    <t>146922.732,</t>
  </si>
  <si>
    <t>70822.83,</t>
  </si>
  <si>
    <t>97086.99,</t>
  </si>
  <si>
    <t>48646.664,</t>
  </si>
  <si>
    <t>Production</t>
  </si>
  <si>
    <t>SS</t>
  </si>
  <si>
    <t>Export Sales</t>
  </si>
  <si>
    <t>$</t>
  </si>
  <si>
    <t>Aum Polypack</t>
  </si>
  <si>
    <t>Rubber Stereo</t>
  </si>
  <si>
    <t>Armstrong</t>
  </si>
  <si>
    <t>Kishan Traders - Gandhidham</t>
  </si>
  <si>
    <t>Shree Ganesh Stereo</t>
  </si>
  <si>
    <t>May.25</t>
  </si>
  <si>
    <t>60+08</t>
  </si>
  <si>
    <t>PIL TO HPBL-IV</t>
  </si>
  <si>
    <t>HPBL-IV to KPW-3</t>
  </si>
  <si>
    <t>OEL to HPBL-IV</t>
  </si>
  <si>
    <t>KPW to HPBL-IV</t>
  </si>
  <si>
    <t>Incentive Expense - Production</t>
  </si>
  <si>
    <t>LILI MANI CHHUAL SINGH (BKS)</t>
  </si>
  <si>
    <t>24AARFT4204A1ZK</t>
  </si>
  <si>
    <t>N.A.</t>
  </si>
  <si>
    <t>June.25</t>
  </si>
  <si>
    <t>2024-25</t>
  </si>
  <si>
    <t>5,84,89,245.82 Cr</t>
  </si>
  <si>
    <t>1,02,82,898.74 Dr</t>
  </si>
  <si>
    <t>Hcp Plastene Bulkpack Ltd (Unit Iv) - Sales</t>
  </si>
  <si>
    <t>Hcp Plastene Bulkpack Ltd (Unit-Iv) - Purchase</t>
  </si>
  <si>
    <t>23,79,426.18 Cr</t>
  </si>
  <si>
    <t>31,26,363.18 Cr</t>
  </si>
  <si>
    <t>1,02,20,488.52 Cr</t>
  </si>
  <si>
    <t>4,16,65,701.60 Dr</t>
  </si>
  <si>
    <t>59,95,503.09 Dr</t>
  </si>
  <si>
    <t>59,95,503.54 Cr</t>
  </si>
  <si>
    <t>59,89,198.58 Cr</t>
  </si>
  <si>
    <t>72,97,858.61 Dr</t>
  </si>
  <si>
    <t>59,89,198.58 Dr</t>
  </si>
  <si>
    <t>72,98,621.27 Cr</t>
  </si>
  <si>
    <t>44,95,102.57 Cr</t>
  </si>
  <si>
    <t>4,77,38,378.42 Dr</t>
  </si>
  <si>
    <t>44,95,102.56 Dr</t>
  </si>
  <si>
    <t>4,77,38,378.42 Cr</t>
  </si>
  <si>
    <t>Perfect Belts Private Limited (Gujarat)</t>
  </si>
  <si>
    <t>Rafia Industrial S.A.</t>
  </si>
  <si>
    <t>PP WOVEN BIG BAGS/SACKS WITH LINER</t>
  </si>
  <si>
    <t>SPAIN</t>
  </si>
  <si>
    <t>July.25</t>
  </si>
  <si>
    <t>PP 87 FLAT MW Folding</t>
  </si>
  <si>
    <t>Mobile &amp; Telephone Expense</t>
  </si>
  <si>
    <t xml:space="preserve">Laxman B </t>
  </si>
  <si>
    <t>Approx</t>
  </si>
  <si>
    <t>Giriraj Tempo Service</t>
  </si>
  <si>
    <t>Vihaan Telecomunication</t>
  </si>
  <si>
    <t>Laxman Murjibhai Lakhwana</t>
  </si>
  <si>
    <t>5,84,89,241.24 Dr</t>
  </si>
  <si>
    <t>7,24,14,341.40 Dr</t>
  </si>
  <si>
    <t>16,62,240.00 Cr</t>
  </si>
  <si>
    <t>12,92,41,342.64 Dr</t>
  </si>
  <si>
    <t>1,02,82,898.74 Cr</t>
  </si>
  <si>
    <t>16,62,240.00 Dr</t>
  </si>
  <si>
    <t>3,95,28,683.79 Cr</t>
  </si>
  <si>
    <t>4,81,49,342.53 Cr</t>
  </si>
  <si>
    <t>7,23,66,880.17 Cr</t>
  </si>
  <si>
    <t>13,08,56,125.99 Cr</t>
  </si>
  <si>
    <t>3,99,71,408.61 Dr</t>
  </si>
  <si>
    <t>5,02,54,307.35 Dr</t>
  </si>
  <si>
    <t>BILL BOOKED NEXT MONTH PIL1 AND HPBL4</t>
  </si>
  <si>
    <t>34,57,581.85 Cr</t>
  </si>
  <si>
    <t>94,46,780.43 Cr</t>
  </si>
  <si>
    <t>13,59,616.42 Dr</t>
  </si>
  <si>
    <t>86,57,475.03 Dr</t>
  </si>
  <si>
    <t>34,57,581.83 Dr</t>
  </si>
  <si>
    <t>94,46,780.41 Dr</t>
  </si>
  <si>
    <t>13,58,853.76 Cr</t>
  </si>
  <si>
    <t>86,57,475.03 Cr</t>
  </si>
  <si>
    <t>40,61,730.69 Cr</t>
  </si>
  <si>
    <t>Cr</t>
  </si>
  <si>
    <t>77,08,465.04 Dr</t>
  </si>
  <si>
    <t>Dr</t>
  </si>
  <si>
    <t>1,02,78,714.43 Dr</t>
  </si>
  <si>
    <t>40,61,780.05 Dr</t>
  </si>
  <si>
    <t>58,274.30 Cr</t>
  </si>
  <si>
    <t>4,16,65,702.00 Cr</t>
  </si>
  <si>
    <t>77,08,465.04 Cr</t>
  </si>
  <si>
    <t>diff.</t>
  </si>
  <si>
    <t>10,54,449.29 Cr</t>
  </si>
  <si>
    <t>55,49,551.86 Cr</t>
  </si>
  <si>
    <t>4,84,07,198.42 Dr</t>
  </si>
  <si>
    <t>9,61,45,576.84 Dr</t>
  </si>
  <si>
    <t>10,54,449.29 Dr</t>
  </si>
  <si>
    <t>55,49,551.85 Dr</t>
  </si>
  <si>
    <t>4,84,07,198.42 Cr</t>
  </si>
  <si>
    <t>9,61,45,576.84 Cr</t>
  </si>
  <si>
    <t>4,15,162.27 Dr</t>
  </si>
  <si>
    <t>64,10,665.36 Dr</t>
  </si>
  <si>
    <t>4,15,162.98 Cr</t>
  </si>
  <si>
    <t>64,10,666.52 Cr</t>
  </si>
  <si>
    <t>23,78,684.91 Cr</t>
  </si>
  <si>
    <t>47,58,111.09 Cr</t>
  </si>
  <si>
    <t>23,79,426.16 Dr</t>
  </si>
  <si>
    <t>23,78,684.91 Dr</t>
  </si>
  <si>
    <t>47,58,111.07 Dr</t>
  </si>
  <si>
    <t>31,26,363.18 Dr</t>
  </si>
  <si>
    <t>Sales - Direct Export - Mfg - U/R</t>
  </si>
  <si>
    <t>Safesack Scandinavia Ab</t>
  </si>
  <si>
    <t>Sales - Merchant Export</t>
  </si>
  <si>
    <t>Aug.25</t>
  </si>
  <si>
    <t>.</t>
  </si>
  <si>
    <t>162+25</t>
  </si>
  <si>
    <t>7,02,65,830.25 Cr</t>
  </si>
  <si>
    <t>4,44,63,069.49 Dr</t>
  </si>
  <si>
    <t>7,02,18,357.76 Dr</t>
  </si>
  <si>
    <t>4,48,46,201.71 Cr</t>
  </si>
  <si>
    <t>90X90X90</t>
  </si>
  <si>
    <t>Agroszemek Kft</t>
  </si>
  <si>
    <t>Hungary</t>
  </si>
  <si>
    <t>Sept.25</t>
  </si>
  <si>
    <t>24AHDPC2510M1ZU</t>
  </si>
  <si>
    <t>Ganesh Poly Graph</t>
  </si>
  <si>
    <t>Oct.25</t>
  </si>
  <si>
    <t>PP 134 GZT MW</t>
  </si>
  <si>
    <t>PP 97 FLAT MW Folding</t>
  </si>
  <si>
    <t>Nov.25</t>
  </si>
  <si>
    <t>GJ24V1087</t>
  </si>
  <si>
    <t>BP Lubricants Pvt Ltd</t>
  </si>
  <si>
    <t>Dec.25</t>
  </si>
  <si>
    <t>PP 92 FLAT MW 30% RP Folding</t>
  </si>
  <si>
    <t>GJ12BU0544</t>
  </si>
  <si>
    <t>New Arm</t>
  </si>
  <si>
    <t>Kabra Electricals</t>
  </si>
  <si>
    <t>Rajratan Electricals Pvt Ltd</t>
  </si>
  <si>
    <t>Jan.26</t>
  </si>
  <si>
    <t>DEAD STOCK FABRIC RP PURPOSE</t>
  </si>
  <si>
    <t>GJ12BY1595</t>
  </si>
  <si>
    <t>DIVYANSHU ENTERPRISES</t>
  </si>
  <si>
    <t>Krishna Enterprise</t>
  </si>
  <si>
    <t>VISHWAS ENTERPRISES</t>
  </si>
  <si>
    <t>Branch Transfer In - Raw Material</t>
  </si>
  <si>
    <t>Panchvati Tools Co.</t>
  </si>
  <si>
    <t>Feb.26</t>
  </si>
  <si>
    <t>FUMIGATION EXPENSES</t>
  </si>
  <si>
    <t>SENSATION PEST</t>
  </si>
  <si>
    <t>Testing Charges</t>
  </si>
  <si>
    <t>Medical Expense</t>
  </si>
  <si>
    <t>24ABAFA4683N1Z8</t>
  </si>
  <si>
    <t>Disha Trading</t>
  </si>
  <si>
    <t>Cotton Waste</t>
  </si>
  <si>
    <t>24AFUPA6072K1Z6</t>
  </si>
  <si>
    <t>Bearings</t>
  </si>
  <si>
    <t>Mar.26</t>
  </si>
  <si>
    <t>4/30 BLACK 30% RP/BLUE+ORANGE</t>
  </si>
  <si>
    <t>5/40 BLUE-288C/RED</t>
  </si>
  <si>
    <t>Branch Transfer In - Trading</t>
  </si>
  <si>
    <t>Axle Steel &amp; Fasteners</t>
  </si>
  <si>
    <t>Capex</t>
  </si>
  <si>
    <t>Apr.26</t>
  </si>
  <si>
    <t>2026-27</t>
  </si>
  <si>
    <t>PP 130 GZT MW</t>
  </si>
  <si>
    <t>FIG00001</t>
  </si>
  <si>
    <t>SHREE SHYAM WEIGH BRIDGE</t>
  </si>
  <si>
    <t>VEHICLE HIRE CHARGES</t>
  </si>
  <si>
    <t>WEIGHMENT CHARGES</t>
  </si>
  <si>
    <t>SECURITY CHARGES</t>
  </si>
  <si>
    <t>INDIAN SECURITY</t>
  </si>
  <si>
    <t>ARVIND CHAUHAN</t>
  </si>
  <si>
    <t>Purchase Withinstate - Traded Goods</t>
  </si>
  <si>
    <t>PP WOVEN BIG BAGS/SACKS</t>
  </si>
  <si>
    <t>SALES (FOREX)</t>
  </si>
  <si>
    <t>24AAACO7290H4ZB</t>
  </si>
  <si>
    <t>Qpac Ltd</t>
  </si>
  <si>
    <t>GBP</t>
  </si>
  <si>
    <t>United Kingdom</t>
  </si>
  <si>
    <t>PP Woven Big Bags,</t>
  </si>
  <si>
    <t>May.26</t>
  </si>
  <si>
    <t>5/40 MW/RED</t>
  </si>
  <si>
    <t>4/30 BLACK/BLUE</t>
  </si>
  <si>
    <t>PP 125 GZT MW</t>
  </si>
  <si>
    <t>PP 87 FLAT MW 30% RP Folding</t>
  </si>
  <si>
    <t>PP 98 FLAT MW Folding</t>
  </si>
  <si>
    <t>PP 82 FLAT MW</t>
  </si>
  <si>
    <t>PP 30 FLAT BLUE 288 C</t>
  </si>
  <si>
    <t>PP 67 FLAT MW Folding</t>
  </si>
  <si>
    <t>SHIPPING LINE</t>
  </si>
  <si>
    <t>June.26</t>
  </si>
  <si>
    <t>MTR</t>
  </si>
  <si>
    <t>Bhagwati  Impex</t>
  </si>
  <si>
    <t>24AXVPT0296P1ZD</t>
  </si>
  <si>
    <t>24AIEPG9602Q1ZZ</t>
  </si>
  <si>
    <t>Printing Inks</t>
  </si>
  <si>
    <t>Ink Vyankatesh Red 485c</t>
  </si>
  <si>
    <t>Ink Vyankatesh Poly Process Yellow VLX 671</t>
  </si>
  <si>
    <t>Ink Vyankatesh Poly Red Pantone 032C</t>
  </si>
  <si>
    <t>Ink Vyankatesh Poly Opaque White OPEQUE WHITE VLX 624</t>
  </si>
  <si>
    <t>24AAYFA5084G1Z4</t>
  </si>
  <si>
    <t>PP Fibrillated Tape Twisted 3200 MW</t>
  </si>
  <si>
    <t>PVC Fittings</t>
  </si>
  <si>
    <t>Printing &amp; Stationery</t>
  </si>
  <si>
    <t>Stationery Items</t>
  </si>
  <si>
    <t>Permanent Marker Pen</t>
  </si>
  <si>
    <t>Lower Looper 81311B</t>
  </si>
  <si>
    <t>Feed Dog # 502J122</t>
  </si>
  <si>
    <t>Alpha Electricals</t>
  </si>
  <si>
    <t>24HELPS8671K1ZJ</t>
  </si>
  <si>
    <t>Ink Vyankatesh Poly Black VLX 579</t>
  </si>
  <si>
    <t>Ink Vyankatesh Poly Process Blue VLX 643</t>
  </si>
  <si>
    <t>Ink Vyankatesh Poly Robbin Red VLX 876</t>
  </si>
  <si>
    <t>Tanmay Engitech</t>
  </si>
  <si>
    <t>Sales - Kasez - Trading - U/B</t>
  </si>
  <si>
    <t>Sweden</t>
  </si>
  <si>
    <t>60X60X70</t>
  </si>
  <si>
    <t>RAW05724</t>
  </si>
  <si>
    <t>RAW05729</t>
  </si>
  <si>
    <t>RAW05759</t>
  </si>
  <si>
    <t>SMF00054</t>
  </si>
  <si>
    <t>GJ39TB3534</t>
  </si>
  <si>
    <t>RAW05727</t>
  </si>
  <si>
    <t>RAW05728</t>
  </si>
  <si>
    <t>RAW05761</t>
  </si>
  <si>
    <t>RAW05731</t>
  </si>
  <si>
    <t>INK</t>
  </si>
  <si>
    <t>4/30 MW/BLUE</t>
  </si>
  <si>
    <t>5/40 BLACK/RED</t>
  </si>
  <si>
    <t>4/30 BLUE-288C/MW</t>
  </si>
  <si>
    <t>4/25 Green-Orange-Green/MW</t>
  </si>
  <si>
    <t>PP 102 FLAT MW Folding</t>
  </si>
  <si>
    <t>PP 160 GZT MW</t>
  </si>
  <si>
    <t>PP 97 FLAT MW</t>
  </si>
  <si>
    <t>PP 102 FLAT MW</t>
  </si>
  <si>
    <t>PP 105 FLAT MW</t>
  </si>
  <si>
    <t>120+25</t>
  </si>
  <si>
    <t>PP 92 FLAT MW Folding</t>
  </si>
  <si>
    <t>PP 55 FLAT MW</t>
  </si>
  <si>
    <t>PP 88 FLAT YELLOW 116 C 30% RP Folding</t>
  </si>
  <si>
    <t>90+12</t>
  </si>
  <si>
    <t>PP 78 FLAT BLUE</t>
  </si>
  <si>
    <t>60+12</t>
  </si>
  <si>
    <t>PP 180 TUBE MW</t>
  </si>
  <si>
    <t>PP 190 GZT MW</t>
  </si>
  <si>
    <t>INDIAN INSTITUE OF PACKAGING-AHMD</t>
  </si>
  <si>
    <t>Repair &amp; Maintance- Plant &amp; M/c</t>
  </si>
  <si>
    <t>Shree Krishnam Rubtech LLP</t>
  </si>
  <si>
    <t>Labour Charges</t>
  </si>
  <si>
    <t>Repairs &amp; Maintenance Exp - Computer &amp; Printers</t>
  </si>
  <si>
    <t>Sales - Kasez - Mfg - U/B</t>
  </si>
  <si>
    <t>Chandan Electric Store</t>
  </si>
  <si>
    <t>Asian Metal Industries</t>
  </si>
  <si>
    <t>36,17,01,822.48 Cr</t>
  </si>
  <si>
    <t>238.55 Dr</t>
  </si>
  <si>
    <t>diff</t>
  </si>
  <si>
    <t>tds receivable entry made by party</t>
  </si>
  <si>
    <t>22839280.28 Dr</t>
  </si>
  <si>
    <t>190816650.89 Dr</t>
  </si>
  <si>
    <t>4381072.96 Dr</t>
  </si>
  <si>
    <t>243790936.08 Dr</t>
  </si>
  <si>
    <t>248172009.04 Dr</t>
  </si>
  <si>
    <t>167967563.04 Dr</t>
  </si>
  <si>
    <t>95071666.27 Dr</t>
  </si>
  <si>
    <t>9989391.20 Dr</t>
  </si>
  <si>
    <t>8041518.90 Dr</t>
  </si>
  <si>
    <t>1949524.44 Dr</t>
  </si>
  <si>
    <t>18614228.20 Dr</t>
  </si>
  <si>
    <t>15365495.92 Dr</t>
  </si>
  <si>
    <t>1183805.12 Dr</t>
  </si>
  <si>
    <t>46344618.34 Dr</t>
  </si>
  <si>
    <t>3441802.97 Dr</t>
  </si>
  <si>
    <t>49783548.92 Dr</t>
  </si>
  <si>
    <t>1148287.23 Dr</t>
  </si>
  <si>
    <t>14219029.59 Dr</t>
  </si>
  <si>
    <t>15259071.40 Dr</t>
  </si>
  <si>
    <t>6977160.00 Dr</t>
  </si>
  <si>
    <t>5697700.18 Dr</t>
  </si>
  <si>
    <t>113701169.31 Dr</t>
  </si>
  <si>
    <t>27575656.08 Dr</t>
  </si>
  <si>
    <t>126653723.94 Dr</t>
  </si>
  <si>
    <t>1278893.76 Dr</t>
  </si>
  <si>
    <t>4688773.02 Dr</t>
  </si>
  <si>
    <t>2588640.90 Dr</t>
  </si>
  <si>
    <t>83383115.59 Dr</t>
  </si>
  <si>
    <t>20735.16 Dr</t>
  </si>
  <si>
    <t>83403850.75 Dr</t>
  </si>
  <si>
    <t>4688773.03 Dr</t>
  </si>
  <si>
    <t>round off</t>
  </si>
  <si>
    <t>edit</t>
  </si>
  <si>
    <t>82978055.01 Dr</t>
  </si>
  <si>
    <t>425795.74 Dr</t>
  </si>
  <si>
    <t>2,28,39,220.13 Dr</t>
  </si>
  <si>
    <t>24AAIPH7590J1ZE</t>
  </si>
  <si>
    <t>Spreader Lever 81313 A</t>
  </si>
  <si>
    <t>G15442P        Boll Joint Assembly</t>
  </si>
  <si>
    <t>Spreader, Upper For Overedge Stitching  (81507)</t>
  </si>
  <si>
    <t>Contactor</t>
  </si>
  <si>
    <t>24ANLPK2335A1ZJ</t>
  </si>
  <si>
    <t>24BGAPP5082Q1ZW</t>
  </si>
  <si>
    <t>21-07-2026</t>
  </si>
  <si>
    <t>Hcp Plastene Bulkpack Ltd Vadodara Purchase</t>
  </si>
  <si>
    <t>Needles</t>
  </si>
  <si>
    <t>Needle No 28</t>
  </si>
  <si>
    <t>24ARUPP0806G1ZP</t>
  </si>
  <si>
    <t>Screw 22580</t>
  </si>
  <si>
    <t>Ball Stud 81349</t>
  </si>
  <si>
    <t>Guide Link # 80732</t>
  </si>
  <si>
    <t>23-07-2026</t>
  </si>
  <si>
    <t>28-07-2026</t>
  </si>
  <si>
    <t>Consumables Workshop</t>
  </si>
  <si>
    <t>Cutting Wheel 4 " X 1.2 mm</t>
  </si>
  <si>
    <t>24ABVPP9097Q1Z7</t>
  </si>
  <si>
    <t>Bolt Stud 11354</t>
  </si>
  <si>
    <t>29-07-2026</t>
  </si>
  <si>
    <t>Pencil</t>
  </si>
  <si>
    <t>housekeeping Material</t>
  </si>
  <si>
    <t>Acid ( Cleaner )</t>
  </si>
  <si>
    <t>Cutter Blades</t>
  </si>
  <si>
    <t>Alfa Blade</t>
  </si>
  <si>
    <t>30-07-2026</t>
  </si>
  <si>
    <t>31-07-2026</t>
  </si>
  <si>
    <t>85X85X90</t>
  </si>
  <si>
    <t>91X91X100</t>
  </si>
  <si>
    <t>COLOUR WEBBING</t>
  </si>
  <si>
    <t>PP WOVEN BIG BAGS</t>
  </si>
  <si>
    <t>24AAECK6307M2ZE</t>
  </si>
  <si>
    <t>95X95X185</t>
  </si>
  <si>
    <t>80X80X90</t>
  </si>
  <si>
    <t>OWN Vehical</t>
  </si>
  <si>
    <t>(blank)</t>
  </si>
  <si>
    <t>July.26</t>
  </si>
  <si>
    <t>GJ24X8795</t>
  </si>
  <si>
    <t>storegrp</t>
  </si>
  <si>
    <t>wip00013</t>
  </si>
  <si>
    <t>ZIP LOCK BAGS</t>
  </si>
  <si>
    <t>5/40 RED 032 C/MW</t>
  </si>
  <si>
    <t>4/25 BLUE-288C/GREEN</t>
  </si>
  <si>
    <t>5/55 BLACK/Yellow+ORANGE</t>
  </si>
  <si>
    <t>5/50 BLUE-288C/YELLOW</t>
  </si>
  <si>
    <t>PP 89 FLAT MW Folding</t>
  </si>
  <si>
    <t>PP 190 TUBE MW</t>
  </si>
  <si>
    <t>132+25</t>
  </si>
  <si>
    <t>PP 107 FLAT MW</t>
  </si>
  <si>
    <t>PP 110 FLAT MW</t>
  </si>
  <si>
    <t>PP 190 GZT MW 30% RP</t>
  </si>
  <si>
    <t>90+20</t>
  </si>
  <si>
    <t>PP 58 FLAT MW</t>
  </si>
  <si>
    <t>142+25</t>
  </si>
  <si>
    <t>152+25</t>
  </si>
  <si>
    <t>PP 97 FLAT M/W Folding</t>
  </si>
  <si>
    <t>PP 104 FLAT M/W Folding</t>
  </si>
  <si>
    <t>PP 78 FLAT MW</t>
  </si>
  <si>
    <t>60+8</t>
  </si>
  <si>
    <t>PP 102 FLAT YELLOW -C Folding</t>
  </si>
  <si>
    <t>PP 180 GZT MW 4%CC &amp; UV</t>
  </si>
  <si>
    <t>60+10</t>
  </si>
  <si>
    <t>PP 119 FLAT MW</t>
  </si>
  <si>
    <t>PP 126 GZT MW</t>
  </si>
  <si>
    <t>PP 100 FLAT MW 4%CC &amp; UV</t>
  </si>
  <si>
    <t>PP 116 FLAT MW Folding</t>
  </si>
  <si>
    <t>60+15</t>
  </si>
  <si>
    <t>PP 140 GZT M/W</t>
  </si>
  <si>
    <t>FIBC-Sales</t>
  </si>
  <si>
    <t>2025-26</t>
  </si>
  <si>
    <t>Hcp Plastene Bulkpack Ltd Vadodara-Sales</t>
  </si>
  <si>
    <t>Pareshbhai Khumabhai Desai</t>
  </si>
  <si>
    <t>Month of July 2026</t>
  </si>
  <si>
    <t>NIMAVAT HOSPITAL/Gandhidham Jain</t>
  </si>
  <si>
    <t>34,32,43,699.94 Cr</t>
  </si>
  <si>
    <t>10,82,13,072.00 Dr</t>
  </si>
  <si>
    <t>9,53,91,804.61 Cr</t>
  </si>
  <si>
    <t>33,04,22,432.55 Cr</t>
  </si>
  <si>
    <t>34,32,43,699.54 Dr</t>
  </si>
  <si>
    <t>9,53,91,803.32 Dr</t>
  </si>
  <si>
    <t>10,82,13,072.00 Cr</t>
  </si>
  <si>
    <t>33,04,22,430.86 Dr</t>
  </si>
  <si>
    <t>2,68,91,553.08 Cr</t>
  </si>
  <si>
    <t>88,05,586.06 Dr</t>
  </si>
  <si>
    <t>49,65,105.38 Cr</t>
  </si>
  <si>
    <t>38,40,480.68 Dr</t>
  </si>
  <si>
    <t>88,05,586.08 Cr</t>
  </si>
  <si>
    <t>49,65,105.39 Dr</t>
  </si>
  <si>
    <t>38,40,480.69 Cr</t>
  </si>
  <si>
    <t>0.19 Cr</t>
  </si>
  <si>
    <t>1,52,59,071.43 Cr</t>
  </si>
  <si>
    <t>42,67,341.73 Cr</t>
  </si>
  <si>
    <t>1,95,26,413.16 Cr</t>
  </si>
  <si>
    <t>4,97,83,548.92 Dr</t>
  </si>
  <si>
    <t>56,521.26 Dr</t>
  </si>
  <si>
    <t>4,98,40,070.18 Dr</t>
  </si>
  <si>
    <t>1,52,59,071.40 Dr</t>
  </si>
  <si>
    <t>4,97,31,166.38 Cr</t>
  </si>
  <si>
    <t>90,454.82 Cr</t>
  </si>
  <si>
    <t>4,98,21,621.20 Cr</t>
  </si>
  <si>
    <t>42,67,341.73 Dr</t>
  </si>
  <si>
    <t>1,95,26,413.13 Dr</t>
  </si>
  <si>
    <t>ppl booking pending</t>
  </si>
  <si>
    <t>56,97,700.18 Dr</t>
  </si>
  <si>
    <t>36,16,060.03 Cr</t>
  </si>
  <si>
    <t>20,81,640.15 Dr</t>
  </si>
  <si>
    <t>12,66,58,643.97 Dr</t>
  </si>
  <si>
    <t>1,20,43,513.23 Dr</t>
  </si>
  <si>
    <t>13,87,02,157.20 Dr</t>
  </si>
  <si>
    <t>56,97,700.19 Cr</t>
  </si>
  <si>
    <t>36,17,248.46 Dr</t>
  </si>
  <si>
    <t>20,80,451.73 Cr</t>
  </si>
  <si>
    <t>12,66,58,644.75 Cr</t>
  </si>
  <si>
    <t>1,20,43,513.19 Cr</t>
  </si>
  <si>
    <t>13,87,02,157.94 Cr</t>
  </si>
  <si>
    <t>bill booked in aug-26</t>
  </si>
  <si>
    <t>1,79,480.69 Dr</t>
  </si>
  <si>
    <t>7,37,284.44 Cr</t>
  </si>
  <si>
    <t>5,57,803.75 Cr</t>
  </si>
  <si>
    <t>8,47,15,498.27 Dr</t>
  </si>
  <si>
    <t>5,57,803.73 Dr</t>
  </si>
  <si>
    <t>8,46,94,763.11 Cr</t>
  </si>
  <si>
    <t>20,735.00 Cr</t>
  </si>
  <si>
    <t>8,47,15,498.11 Cr</t>
  </si>
  <si>
    <t>3,94,723.71 Cr</t>
  </si>
  <si>
    <t>9,32,117.04 Dr</t>
  </si>
  <si>
    <t>HCP Plastene Bulkpack ltd (Vadodara)</t>
  </si>
  <si>
    <t>3,94,723.71 Dr</t>
  </si>
  <si>
    <t>9,32,117.04 Cr</t>
  </si>
  <si>
    <t>22,080.01 Cr</t>
  </si>
  <si>
    <t>48,000.00 Cr</t>
  </si>
  <si>
    <t>70,080.01 Cr</t>
  </si>
  <si>
    <t>22,079.83 Dr</t>
  </si>
  <si>
    <t>47,952.00 Dr</t>
  </si>
  <si>
    <t>70,031.83 Dr</t>
  </si>
  <si>
    <t>27,04,495.00 Dr</t>
  </si>
  <si>
    <t>4,08,358.00 Dr</t>
  </si>
  <si>
    <t>31,12,853.00 Dr</t>
  </si>
  <si>
    <t>27,50,310.78 Cr</t>
  </si>
  <si>
    <t>4,08,766.61 Cr</t>
  </si>
  <si>
    <t>31,59,077.39 Cr</t>
  </si>
  <si>
    <t>27,04,495.00 Cr</t>
  </si>
  <si>
    <t>4,08,358.00 Cr</t>
  </si>
  <si>
    <t>31,12,853.00 Cr</t>
  </si>
  <si>
    <t>27,50,310.78 Dr</t>
  </si>
  <si>
    <t>4,08,766.61 Dr</t>
  </si>
  <si>
    <t>31,59,077.39 Dr</t>
  </si>
  <si>
    <t>TDS Diff. in Sales</t>
  </si>
  <si>
    <t>2,68,91,553.08  Dr</t>
  </si>
  <si>
    <t>GNCN 319</t>
  </si>
  <si>
    <t>PIL1/D/1239</t>
  </si>
  <si>
    <t>RM 468</t>
  </si>
  <si>
    <t>PIL1/D/1240</t>
  </si>
  <si>
    <t>GNCN 320</t>
  </si>
  <si>
    <t>PIL1/D/1249</t>
  </si>
  <si>
    <t>RM 469</t>
  </si>
  <si>
    <t>PIL1/D/1246</t>
  </si>
  <si>
    <t>RM 471</t>
  </si>
  <si>
    <t>PIL1/D/1250</t>
  </si>
  <si>
    <t>GNCN 322</t>
  </si>
  <si>
    <t>GPINV/26-27/888</t>
  </si>
  <si>
    <t>Tata Genuine DEF-20 Ltr Urea</t>
  </si>
  <si>
    <t>Ltr</t>
  </si>
  <si>
    <t>GNCN 323</t>
  </si>
  <si>
    <t>GP/26-27/81925</t>
  </si>
  <si>
    <t>GNCN 324</t>
  </si>
  <si>
    <t>GP/26-27/81926</t>
  </si>
  <si>
    <t>GNCN 321</t>
  </si>
  <si>
    <t>PIL1/D/1256</t>
  </si>
  <si>
    <t>RM 472</t>
  </si>
  <si>
    <t>PIL1/D/1255</t>
  </si>
  <si>
    <t>RM 473</t>
  </si>
  <si>
    <t>PIL1/D/1254</t>
  </si>
  <si>
    <t>RM 474</t>
  </si>
  <si>
    <t>PIL1/D/1260</t>
  </si>
  <si>
    <t>RM 475</t>
  </si>
  <si>
    <t>PIL1/D/1247.</t>
  </si>
  <si>
    <t>GNCN 326</t>
  </si>
  <si>
    <t>PIL1/D/1271</t>
  </si>
  <si>
    <t>RM 477</t>
  </si>
  <si>
    <t>PIL1/D/1267</t>
  </si>
  <si>
    <t>RM 479</t>
  </si>
  <si>
    <t>PIL1/D/1272</t>
  </si>
  <si>
    <t>PP MF Yarn Twisted 3000 Black</t>
  </si>
  <si>
    <t>GNCN 325</t>
  </si>
  <si>
    <t>PIL/D/447</t>
  </si>
  <si>
    <t>RM 476</t>
  </si>
  <si>
    <t>PPL/D/448</t>
  </si>
  <si>
    <t>PE Labels (Pcs)</t>
  </si>
  <si>
    <t>GNCN 327</t>
  </si>
  <si>
    <t>PIL1/D/1279</t>
  </si>
  <si>
    <t>RM 481</t>
  </si>
  <si>
    <t>PIL1/D/1276</t>
  </si>
  <si>
    <t>RM 482</t>
  </si>
  <si>
    <t>PIL1/D/1278</t>
  </si>
  <si>
    <t>RM 483</t>
  </si>
  <si>
    <t>PIL1/D/1275</t>
  </si>
  <si>
    <t>RM 484</t>
  </si>
  <si>
    <t>PIL1/D/1277</t>
  </si>
  <si>
    <t>RM 485</t>
  </si>
  <si>
    <t>PIL1/D/1280</t>
  </si>
  <si>
    <t>RM 480</t>
  </si>
  <si>
    <t>PPL/D/449</t>
  </si>
  <si>
    <t>GNSP 141</t>
  </si>
  <si>
    <t>GST/26-27/3763</t>
  </si>
  <si>
    <t>GNPK 78</t>
  </si>
  <si>
    <t>GST/1049/26-27</t>
  </si>
  <si>
    <t>Packaging Material</t>
  </si>
  <si>
    <t>Straping 15.5mm (P) Thickness 0.76mm(For Bale Packing)</t>
  </si>
  <si>
    <t>24CGYPP7498D1ZI</t>
  </si>
  <si>
    <t>GNPK 77</t>
  </si>
  <si>
    <t>BI/26-27/076</t>
  </si>
  <si>
    <t>Galaxy Heat Products</t>
  </si>
  <si>
    <t>GNSP 140</t>
  </si>
  <si>
    <t>Heaters</t>
  </si>
  <si>
    <t>Pencil Heater Dia 14mm X L 1520mm 5000W, 230V Ac</t>
  </si>
  <si>
    <t>24AORPP9166R1ZO</t>
  </si>
  <si>
    <t>Hardik Engineering</t>
  </si>
  <si>
    <t>GNCN 328</t>
  </si>
  <si>
    <t>HE/26-27/087</t>
  </si>
  <si>
    <t>Building Material</t>
  </si>
  <si>
    <t>Frp Sheet White 3 Ft. X 8 Ft.</t>
  </si>
  <si>
    <t>24BNAPK0816L1Z8</t>
  </si>
  <si>
    <t>Maitry Enterprises</t>
  </si>
  <si>
    <t>GNMS 16</t>
  </si>
  <si>
    <t>214/26-27</t>
  </si>
  <si>
    <t>Permanent Marker Ink 500mls</t>
  </si>
  <si>
    <t>24ATEPM7376E1ZL</t>
  </si>
  <si>
    <t>GNCN 329</t>
  </si>
  <si>
    <t>PIL1/D/1292</t>
  </si>
  <si>
    <t>RM 486</t>
  </si>
  <si>
    <t>PIL1/D/1291</t>
  </si>
  <si>
    <t>RM 488</t>
  </si>
  <si>
    <t>PIL1/D/1274</t>
  </si>
  <si>
    <t>RM 489</t>
  </si>
  <si>
    <t>PIL1/D/1293</t>
  </si>
  <si>
    <t>RM 490</t>
  </si>
  <si>
    <t>PIL1/D/1290</t>
  </si>
  <si>
    <t>RM 487</t>
  </si>
  <si>
    <t>PIL2/D/452</t>
  </si>
  <si>
    <t>GNSP 142</t>
  </si>
  <si>
    <t>TE/1223/26-27</t>
  </si>
  <si>
    <t>Pu Connector = 1/4 Inch * 6 mm</t>
  </si>
  <si>
    <t>24ARIPK4378C1ZV</t>
  </si>
  <si>
    <t>Pu Connector 1/4" X 4 mm</t>
  </si>
  <si>
    <t>GNSP 143</t>
  </si>
  <si>
    <t>AE-2026-27/0141</t>
  </si>
  <si>
    <t>Electrical Items/Spares</t>
  </si>
  <si>
    <t>Emergency Push Button</t>
  </si>
  <si>
    <t>GNSP 144</t>
  </si>
  <si>
    <t>GST/26-27/4000</t>
  </si>
  <si>
    <t>Ball Stud 81358-B</t>
  </si>
  <si>
    <t>CAP 9</t>
  </si>
  <si>
    <t>4751/26-27</t>
  </si>
  <si>
    <t>MS Round Bar Dia - 10 mm</t>
  </si>
  <si>
    <t>24ADXPC8742M1ZW</t>
  </si>
  <si>
    <t>MS Angle 50X50X5 mm</t>
  </si>
  <si>
    <t>MS Plate 04 Ft X 08 Ft X 03 mm</t>
  </si>
  <si>
    <t>GNCN 330</t>
  </si>
  <si>
    <t>Adhesive Tapes</t>
  </si>
  <si>
    <t>Double Side Tape 12"</t>
  </si>
  <si>
    <t>24AAICM7843C1ZJ</t>
  </si>
  <si>
    <t>ROLLS</t>
  </si>
  <si>
    <t>GNCN 332</t>
  </si>
  <si>
    <t>PIL1/D/1301</t>
  </si>
  <si>
    <t>RM 492</t>
  </si>
  <si>
    <t>PIL1/D/1300</t>
  </si>
  <si>
    <t>RM 493</t>
  </si>
  <si>
    <t>PIL1/D/1305</t>
  </si>
  <si>
    <t>RM 494</t>
  </si>
  <si>
    <t>PIL1/D/1302</t>
  </si>
  <si>
    <t>GNCN 331</t>
  </si>
  <si>
    <t>PPL/D/463</t>
  </si>
  <si>
    <t>RM 491</t>
  </si>
  <si>
    <t>PPL/D/462</t>
  </si>
  <si>
    <t>RM 495</t>
  </si>
  <si>
    <t>HPBL/DC/31</t>
  </si>
  <si>
    <t>GNCN 333</t>
  </si>
  <si>
    <t>PIL1/D/1312</t>
  </si>
  <si>
    <t>RM 496</t>
  </si>
  <si>
    <t>PIL1/D/1315</t>
  </si>
  <si>
    <t>RM 497</t>
  </si>
  <si>
    <t>PIL1/D/1309</t>
  </si>
  <si>
    <t>RM 498</t>
  </si>
  <si>
    <t>PIL1/D/1313</t>
  </si>
  <si>
    <t>RM 499</t>
  </si>
  <si>
    <t>HPBL/DC/33</t>
  </si>
  <si>
    <t>Small Bags</t>
  </si>
  <si>
    <t>PP Bags</t>
  </si>
  <si>
    <t>PP UL Bags Without UV</t>
  </si>
  <si>
    <t>GNSP 145</t>
  </si>
  <si>
    <t>GST/481</t>
  </si>
  <si>
    <t>Emergency Switch</t>
  </si>
  <si>
    <t>GNCN 335</t>
  </si>
  <si>
    <t>PIL1/D/1321</t>
  </si>
  <si>
    <t>RM 502</t>
  </si>
  <si>
    <t>PIL1/D/1320</t>
  </si>
  <si>
    <t>RM 503</t>
  </si>
  <si>
    <t>PIL1/D/1325</t>
  </si>
  <si>
    <t>RM 504</t>
  </si>
  <si>
    <t>PIL1/D/1322</t>
  </si>
  <si>
    <t>RM 500</t>
  </si>
  <si>
    <t>PPL/D/467</t>
  </si>
  <si>
    <t>RM 501</t>
  </si>
  <si>
    <t>PPL/D/469</t>
  </si>
  <si>
    <t>R. B. Tapes Pvt Ltd</t>
  </si>
  <si>
    <t>GNCN 334</t>
  </si>
  <si>
    <t>RB/26-27/665</t>
  </si>
  <si>
    <t>Cello Tape W-2" Natural X L-65 Mtr</t>
  </si>
  <si>
    <t>24AALCR2352J1ZA</t>
  </si>
  <si>
    <t>GNSP 146</t>
  </si>
  <si>
    <t>TE/1288/26-27</t>
  </si>
  <si>
    <t>Pneumatic Cylinders &amp; Spares</t>
  </si>
  <si>
    <t>Air Cylinder 63 X 100 mmRod Dia-20 mmVnc Model</t>
  </si>
  <si>
    <t>GNCN 336</t>
  </si>
  <si>
    <t>PIL1/D/1331</t>
  </si>
  <si>
    <t>RM 505</t>
  </si>
  <si>
    <t>PIL1/D/1329</t>
  </si>
  <si>
    <t>RM 506</t>
  </si>
  <si>
    <t>PIL1/D/1332</t>
  </si>
  <si>
    <t>RM 507</t>
  </si>
  <si>
    <t>HPBL/DC/35</t>
  </si>
  <si>
    <t>GNCN 337</t>
  </si>
  <si>
    <t>PIL1/D/1341</t>
  </si>
  <si>
    <t>RM 509</t>
  </si>
  <si>
    <t>PIL1/D/1338</t>
  </si>
  <si>
    <t>RM 510</t>
  </si>
  <si>
    <t>PIL1/D/1334</t>
  </si>
  <si>
    <t>RM 512</t>
  </si>
  <si>
    <t>PIL1/D/1343</t>
  </si>
  <si>
    <t>RM 513</t>
  </si>
  <si>
    <t>PIL1/D/1342</t>
  </si>
  <si>
    <t>RM 508</t>
  </si>
  <si>
    <t>PPL/D/475</t>
  </si>
  <si>
    <t>RM 511</t>
  </si>
  <si>
    <t>PPL/D/476</t>
  </si>
  <si>
    <t>GNPK 79</t>
  </si>
  <si>
    <t>BI/26-27/080</t>
  </si>
  <si>
    <t>GNCN 345</t>
  </si>
  <si>
    <t>BG26-27/66</t>
  </si>
  <si>
    <t>GNCN 338</t>
  </si>
  <si>
    <t>24ALEPC4203C1Z3</t>
  </si>
  <si>
    <t>GNCN 339</t>
  </si>
  <si>
    <t>GNCN 353</t>
  </si>
  <si>
    <t>KPV/D/529.</t>
  </si>
  <si>
    <t>GNSP 147</t>
  </si>
  <si>
    <t>GST/26-27/177</t>
  </si>
  <si>
    <t>MS Square Pipe 1.5 X 1.5 X 2 mm</t>
  </si>
  <si>
    <t>24AAXPA0141K1ZV</t>
  </si>
  <si>
    <t>MS Round Pipe 1/2" X 1.5mm Thick</t>
  </si>
  <si>
    <t>GNCN 351</t>
  </si>
  <si>
    <t>PIL1/D/1349</t>
  </si>
  <si>
    <t>RM 515</t>
  </si>
  <si>
    <t>PIL1/D/1350</t>
  </si>
  <si>
    <t>RM 517</t>
  </si>
  <si>
    <t>PPL/D/1347</t>
  </si>
  <si>
    <t>RM 519</t>
  </si>
  <si>
    <t>PIL1/D/1352</t>
  </si>
  <si>
    <t>RM 518</t>
  </si>
  <si>
    <t>PIL2/D/485</t>
  </si>
  <si>
    <t>GNCN 352</t>
  </si>
  <si>
    <t>PPL/D/480</t>
  </si>
  <si>
    <t>RM 516</t>
  </si>
  <si>
    <t>PPL/D/483</t>
  </si>
  <si>
    <t>GNCN 347</t>
  </si>
  <si>
    <t>3158/2026-27</t>
  </si>
  <si>
    <t>GNCN 348</t>
  </si>
  <si>
    <t>3051/2026-27</t>
  </si>
  <si>
    <t>GNCN 340</t>
  </si>
  <si>
    <t>GNCN 341</t>
  </si>
  <si>
    <t>GNCN 342</t>
  </si>
  <si>
    <t>GNCN 343</t>
  </si>
  <si>
    <t>GNCN 344</t>
  </si>
  <si>
    <t>GNCN 346</t>
  </si>
  <si>
    <t>GNCN 349</t>
  </si>
  <si>
    <t>GNCN 350</t>
  </si>
  <si>
    <t>13-08-2026</t>
  </si>
  <si>
    <t>GNCN 355</t>
  </si>
  <si>
    <t>PIL1/D/1364</t>
  </si>
  <si>
    <t>RM 521</t>
  </si>
  <si>
    <t>PIL1/D/1359</t>
  </si>
  <si>
    <t>RM 522</t>
  </si>
  <si>
    <t>PIL1/D/1365</t>
  </si>
  <si>
    <t>GNCN 354</t>
  </si>
  <si>
    <t>PPL/D/486</t>
  </si>
  <si>
    <t>RM 520</t>
  </si>
  <si>
    <t>PPL/D/485</t>
  </si>
  <si>
    <t>14-08-2026</t>
  </si>
  <si>
    <t>GNSP 148</t>
  </si>
  <si>
    <t>CES/26-27/1149</t>
  </si>
  <si>
    <t>Lights/Fans</t>
  </si>
  <si>
    <t>Led Flood Light 200 Watt</t>
  </si>
  <si>
    <t>RM 523</t>
  </si>
  <si>
    <t>KPV/D/597</t>
  </si>
  <si>
    <t>GNSP 150</t>
  </si>
  <si>
    <t>Allen Bolt 05X20 mm</t>
  </si>
  <si>
    <t>Allen Key 05 mm - T Type</t>
  </si>
  <si>
    <t>Allen Bolt 04X08 mm</t>
  </si>
  <si>
    <t>Allen Bolt 04X10 mm</t>
  </si>
  <si>
    <t>Allen Bolt 04X30 mm</t>
  </si>
  <si>
    <t>Allen Bolt 05X16 mm</t>
  </si>
  <si>
    <t>Allen Bolt 06X25 mm</t>
  </si>
  <si>
    <t>Allen Bolt 06X35 mm</t>
  </si>
  <si>
    <t>Allen Bolt 05X25 mm</t>
  </si>
  <si>
    <t>Allen Bolt 04X12 mm</t>
  </si>
  <si>
    <t>Allen Bolt 04X20 mm</t>
  </si>
  <si>
    <t>Allen Bolt 05X30 mm</t>
  </si>
  <si>
    <t>Allen Bolt 04X16 mm</t>
  </si>
  <si>
    <t>Allen Bolt 06X10 mm</t>
  </si>
  <si>
    <t>Allen Bolt 06X30 mm</t>
  </si>
  <si>
    <t>Allen Bolt 06X08 mm</t>
  </si>
  <si>
    <t>Allen Bolt 04X06 mm</t>
  </si>
  <si>
    <t>Fix Player Make Taparia</t>
  </si>
  <si>
    <t>Fix Spanner 12X13</t>
  </si>
  <si>
    <t>Allen Key 04 mm - L Type</t>
  </si>
  <si>
    <t>Allen Key 04 mm - T Type</t>
  </si>
  <si>
    <t>Allen Key 06 mm - L Type Long</t>
  </si>
  <si>
    <t>Allen Bolt 04X25 mm</t>
  </si>
  <si>
    <t>Grinding Wheel 8 Inch Green</t>
  </si>
  <si>
    <t>GNCN 357</t>
  </si>
  <si>
    <t>PIL1/D/1373</t>
  </si>
  <si>
    <t>RM 524</t>
  </si>
  <si>
    <t>PIL1/D/1368</t>
  </si>
  <si>
    <t>RM 525</t>
  </si>
  <si>
    <t>PIL1/D/1370</t>
  </si>
  <si>
    <t>RM 526</t>
  </si>
  <si>
    <t>PIL1/D/1374</t>
  </si>
  <si>
    <t>RM 527</t>
  </si>
  <si>
    <t>PIL1/D/1379</t>
  </si>
  <si>
    <t>GNCN 356</t>
  </si>
  <si>
    <t>26-27/000394</t>
  </si>
  <si>
    <t>Supdi Small Size</t>
  </si>
  <si>
    <t>Paper Clips</t>
  </si>
  <si>
    <t>Vishal Engineering And Fabricators</t>
  </si>
  <si>
    <t>GNSP 149</t>
  </si>
  <si>
    <t>194/2026-27</t>
  </si>
  <si>
    <t>Pulley</t>
  </si>
  <si>
    <t>Alu. Timing Pulley 15 Th.</t>
  </si>
  <si>
    <t>24AGAPP3885A1ZN</t>
  </si>
  <si>
    <t>15-08-2026</t>
  </si>
  <si>
    <t>GNCN 358</t>
  </si>
  <si>
    <t>PIL1/D/1382</t>
  </si>
  <si>
    <t>RM 528</t>
  </si>
  <si>
    <t>PIL1/D/1383</t>
  </si>
  <si>
    <t>RM 529</t>
  </si>
  <si>
    <t>PIL1/D/1381</t>
  </si>
  <si>
    <t>RM 530</t>
  </si>
  <si>
    <t>PIL1/D/1389</t>
  </si>
  <si>
    <t>16-08-2026</t>
  </si>
  <si>
    <t>GNCN 359</t>
  </si>
  <si>
    <t>PIL1/D/1388</t>
  </si>
  <si>
    <t>RM 531</t>
  </si>
  <si>
    <t>PIL1/D/1387</t>
  </si>
  <si>
    <t>RM 532</t>
  </si>
  <si>
    <t>1436/26-27</t>
  </si>
  <si>
    <t>17-08-2026</t>
  </si>
  <si>
    <t>GNCN 361</t>
  </si>
  <si>
    <t>PIL1/D/1402</t>
  </si>
  <si>
    <t>RM 533</t>
  </si>
  <si>
    <t>PIL1/D/1398</t>
  </si>
  <si>
    <t>RM 535</t>
  </si>
  <si>
    <t>PIL1/D/1399</t>
  </si>
  <si>
    <t>RM 536</t>
  </si>
  <si>
    <t>PIL1/D/1401</t>
  </si>
  <si>
    <t>GNCN 360</t>
  </si>
  <si>
    <t>PPL/D/497</t>
  </si>
  <si>
    <t>RM 534</t>
  </si>
  <si>
    <t>PPL/D/496</t>
  </si>
  <si>
    <t>18-08-2026</t>
  </si>
  <si>
    <t>GNCN 362</t>
  </si>
  <si>
    <t>PIL1/D/1411</t>
  </si>
  <si>
    <t>RM 537</t>
  </si>
  <si>
    <t>PIL1/D/1408</t>
  </si>
  <si>
    <t>RM 538</t>
  </si>
  <si>
    <t>PIL1/D/1412</t>
  </si>
  <si>
    <t>GNSP 151</t>
  </si>
  <si>
    <t>PPL/D/510</t>
  </si>
  <si>
    <t>19-08-2026</t>
  </si>
  <si>
    <t>GNSP 153</t>
  </si>
  <si>
    <t>AE-2026-27/0140</t>
  </si>
  <si>
    <t>Cables/Wires</t>
  </si>
  <si>
    <t>Copper Flexible Cable 1.5 Sq mm x 3 Core</t>
  </si>
  <si>
    <t>GNPK 80</t>
  </si>
  <si>
    <t>BI/26-27/084</t>
  </si>
  <si>
    <t>GNCN 364</t>
  </si>
  <si>
    <t>PIL1/D/1420</t>
  </si>
  <si>
    <t>RM 540</t>
  </si>
  <si>
    <t>PIL1/D/1417</t>
  </si>
  <si>
    <t>RM 541</t>
  </si>
  <si>
    <t>PIL1/D/1419</t>
  </si>
  <si>
    <t>GNCN 363</t>
  </si>
  <si>
    <t>PPL/D/518</t>
  </si>
  <si>
    <t>RM 539</t>
  </si>
  <si>
    <t>PPL/D/517</t>
  </si>
  <si>
    <t>GNMS 17</t>
  </si>
  <si>
    <t>26-27/000417</t>
  </si>
  <si>
    <t>Garbage Bag</t>
  </si>
  <si>
    <t>PKT</t>
  </si>
  <si>
    <t>Marker Pen CD/DVD/OHP</t>
  </si>
  <si>
    <t>Phenyl (1 Ltr Packing )</t>
  </si>
  <si>
    <t>White Chalk              ( Pkt.)</t>
  </si>
  <si>
    <t>Ball Pen</t>
  </si>
  <si>
    <t>GNSP 152</t>
  </si>
  <si>
    <t>KH-1574-2627</t>
  </si>
  <si>
    <t>Led Tube Light , 20 Watt , 3000 Lumens , Corvi Make</t>
  </si>
  <si>
    <t>24AAACV3059P1ZZ</t>
  </si>
  <si>
    <t>Vidh Enterprise</t>
  </si>
  <si>
    <t>GNMS 18</t>
  </si>
  <si>
    <t>Letter Head</t>
  </si>
  <si>
    <t>24AJTPP9381R1ZV</t>
  </si>
  <si>
    <t>RM 542</t>
  </si>
  <si>
    <t>1426/26-27</t>
  </si>
  <si>
    <t>Ink Vyankatesh Poly Voilet VLX 873</t>
  </si>
  <si>
    <t>20-08-2026</t>
  </si>
  <si>
    <t>GNSP 158</t>
  </si>
  <si>
    <t>AE/2026-27/0182</t>
  </si>
  <si>
    <t>Halogen Lamp 1000 Watt</t>
  </si>
  <si>
    <t>Nc Element</t>
  </si>
  <si>
    <t>No Contact Element</t>
  </si>
  <si>
    <t>Industrial Male-Female Connector 16Amp Single Phase 3Pin(P+N+E)</t>
  </si>
  <si>
    <t>SET</t>
  </si>
  <si>
    <t>JG Enterprise</t>
  </si>
  <si>
    <t>GNSP 157</t>
  </si>
  <si>
    <t>JGE/0062/26-27</t>
  </si>
  <si>
    <t>Drill Bit Rcc Size :- 6 mm</t>
  </si>
  <si>
    <t>24CJAPP7399J1ZM</t>
  </si>
  <si>
    <t>Drill Bit Hss Size :- 14 mm</t>
  </si>
  <si>
    <t>RM 543</t>
  </si>
  <si>
    <t>KPV/D/625</t>
  </si>
  <si>
    <t>PP Fibrillated Tape Twisted 3200 Black</t>
  </si>
  <si>
    <t>GNSP 155</t>
  </si>
  <si>
    <t>Contactor 40 A., Coil -240 V.Ac, Tc Make</t>
  </si>
  <si>
    <t>Contactor 63 Amp, Coil 220 V Ac</t>
  </si>
  <si>
    <t>Relay</t>
  </si>
  <si>
    <t>Over Load Relay Range 20-33 Amp. Thermal  Mn-5</t>
  </si>
  <si>
    <t>GNSP 159</t>
  </si>
  <si>
    <t>Oil Seal</t>
  </si>
  <si>
    <t>Seal Kit  ( As Per Sample) For R.P. Plant Bell Press M/C)</t>
  </si>
  <si>
    <t>24AANFK5438R1ZK</t>
  </si>
  <si>
    <t>Lohia Corp Limited - 24AAKCK2932Q1Z2 - Guj</t>
  </si>
  <si>
    <t>GNSP 156</t>
  </si>
  <si>
    <t>TG2426105700</t>
  </si>
  <si>
    <t>Circular Loom Spares</t>
  </si>
  <si>
    <t>Ruuber Emery 4" 100 ( For Hdp )</t>
  </si>
  <si>
    <t>24AAKCK2932Q1Z2</t>
  </si>
  <si>
    <t>GNSP 154</t>
  </si>
  <si>
    <t>Tap Set 5X0.8</t>
  </si>
  <si>
    <t>Tap Set 6.0 mm ToteMS Make</t>
  </si>
  <si>
    <t>Tap Set 8mm</t>
  </si>
  <si>
    <t>Tap Set 3mm</t>
  </si>
  <si>
    <t>Tap Set 4mm</t>
  </si>
  <si>
    <t>GNCN 365</t>
  </si>
  <si>
    <t>PIL1/D/1432</t>
  </si>
  <si>
    <t>GNPK 82</t>
  </si>
  <si>
    <t>PIL1/D/1431</t>
  </si>
  <si>
    <t>Plastic Packing Material</t>
  </si>
  <si>
    <t>Plastic Packing Material-Lamination Patti</t>
  </si>
  <si>
    <t>RM 544</t>
  </si>
  <si>
    <t>PIL1/D/1430</t>
  </si>
  <si>
    <t>RM 545</t>
  </si>
  <si>
    <t>PIL1/D/1433</t>
  </si>
  <si>
    <t>RM 546</t>
  </si>
  <si>
    <t>PIL1/D/1437</t>
  </si>
  <si>
    <t>GNPK 81</t>
  </si>
  <si>
    <t>SSE/2026-27/1104</t>
  </si>
  <si>
    <t>Pine Wooden Pallet Design Code TPG90115</t>
  </si>
  <si>
    <t>GNMS 19</t>
  </si>
  <si>
    <t>Issue Slip Book</t>
  </si>
  <si>
    <t>21-08-2026</t>
  </si>
  <si>
    <t>GNSP 161</t>
  </si>
  <si>
    <t>GST/26-27/4467</t>
  </si>
  <si>
    <t>Looper Drive Eccentric Assembly     G29442L</t>
  </si>
  <si>
    <t>GNPK 83</t>
  </si>
  <si>
    <t>GST/1048/26-27</t>
  </si>
  <si>
    <t>Stretch Film</t>
  </si>
  <si>
    <t>Stretch Film 500mmx23Mic</t>
  </si>
  <si>
    <t>GNCN 367</t>
  </si>
  <si>
    <t>GNSP 162</t>
  </si>
  <si>
    <t>A-4345/26-27</t>
  </si>
  <si>
    <t>Bearing 6203 Zz Skf</t>
  </si>
  <si>
    <t>24AABCP1066F1ZU</t>
  </si>
  <si>
    <t>GNCN 366</t>
  </si>
  <si>
    <t>PIL1/D/1442</t>
  </si>
  <si>
    <t>RM 547</t>
  </si>
  <si>
    <t>PIL1/D/1441</t>
  </si>
  <si>
    <t>GNSP 160</t>
  </si>
  <si>
    <t>TE/1386/26-27</t>
  </si>
  <si>
    <t>22-08-2026</t>
  </si>
  <si>
    <t>GNSP 163</t>
  </si>
  <si>
    <t>AE-2026-27/0181</t>
  </si>
  <si>
    <t>Push Button Actuator (Red) "Teknic" Make</t>
  </si>
  <si>
    <t>GNPK 84</t>
  </si>
  <si>
    <t>BI/26-27/091</t>
  </si>
  <si>
    <t>GNCN 368</t>
  </si>
  <si>
    <t>White Oil:- 12 No</t>
  </si>
  <si>
    <t>24AAECB4672L1ZI</t>
  </si>
  <si>
    <t>RM 549</t>
  </si>
  <si>
    <t>HPBL/DC/40</t>
  </si>
  <si>
    <t>GNCN 369</t>
  </si>
  <si>
    <t>PIL1/D/1448</t>
  </si>
  <si>
    <t>RM 550</t>
  </si>
  <si>
    <t>PIL1/D/1449</t>
  </si>
  <si>
    <t>RM 551</t>
  </si>
  <si>
    <t>PIL1/D/1458</t>
  </si>
  <si>
    <t>GNSP 164</t>
  </si>
  <si>
    <t>TE/1361/26-27</t>
  </si>
  <si>
    <t>Valves</t>
  </si>
  <si>
    <t>Solenoid Valve</t>
  </si>
  <si>
    <t>RM 548</t>
  </si>
  <si>
    <t>1510/26-27</t>
  </si>
  <si>
    <t>Ink Vyankatesh Poly Reflex Blue VLX 573</t>
  </si>
  <si>
    <t>Ink Vyankatesh Silver Golden VLX 871C</t>
  </si>
  <si>
    <t>23-08-2026</t>
  </si>
  <si>
    <t>GNCN 370</t>
  </si>
  <si>
    <t>PIL1/D/1460</t>
  </si>
  <si>
    <t>RM 552</t>
  </si>
  <si>
    <t>PIL1/D/1455</t>
  </si>
  <si>
    <t>RM 553</t>
  </si>
  <si>
    <t>PIL1/D/1461</t>
  </si>
  <si>
    <t>RM 554</t>
  </si>
  <si>
    <t>PIL1/D/1462</t>
  </si>
  <si>
    <t>RM 555</t>
  </si>
  <si>
    <t>PIL1/D/1463</t>
  </si>
  <si>
    <t>RM 556</t>
  </si>
  <si>
    <t>PIL1/D/1465</t>
  </si>
  <si>
    <t>24-08-2026</t>
  </si>
  <si>
    <t>RM 557</t>
  </si>
  <si>
    <t>HPBLV/DC/10</t>
  </si>
  <si>
    <t>GNCN 371</t>
  </si>
  <si>
    <t>PIL1/D/1470</t>
  </si>
  <si>
    <t>GNCN 372</t>
  </si>
  <si>
    <t>PIL1/D/1474</t>
  </si>
  <si>
    <t>RM 558</t>
  </si>
  <si>
    <t>PIL1/D/1469</t>
  </si>
  <si>
    <t>RM 559</t>
  </si>
  <si>
    <t>PIL1/D/1473</t>
  </si>
  <si>
    <t>RM 560</t>
  </si>
  <si>
    <t>PIL1/D/1475</t>
  </si>
  <si>
    <t>25-08-2026</t>
  </si>
  <si>
    <t>GNSP 166</t>
  </si>
  <si>
    <t>GST/26-27/4335</t>
  </si>
  <si>
    <t>Needle Holder 81356A</t>
  </si>
  <si>
    <t>G 89 Screw</t>
  </si>
  <si>
    <t>Feed Dog # 603632 Dr</t>
  </si>
  <si>
    <t>Set Screw 22894Y</t>
  </si>
  <si>
    <t>Washer 69H</t>
  </si>
  <si>
    <t>Nut 9936</t>
  </si>
  <si>
    <t>Cross Looper Lever 81313B</t>
  </si>
  <si>
    <t>GNCN 377</t>
  </si>
  <si>
    <t>GNCN 378</t>
  </si>
  <si>
    <t>RM 561</t>
  </si>
  <si>
    <t>KPV/D/662</t>
  </si>
  <si>
    <t>Mantri  Industries</t>
  </si>
  <si>
    <t>GNPK 85</t>
  </si>
  <si>
    <t>24AHSPM8569R1Z0</t>
  </si>
  <si>
    <t>GNCN 379</t>
  </si>
  <si>
    <t>PIL1/D/1482</t>
  </si>
  <si>
    <t>RM 562</t>
  </si>
  <si>
    <t>PIL1/D/1481</t>
  </si>
  <si>
    <t>RM 563</t>
  </si>
  <si>
    <t>PIL1/D/1484</t>
  </si>
  <si>
    <t>RM 564</t>
  </si>
  <si>
    <t>PIL1/D/1485</t>
  </si>
  <si>
    <t>GNCN 375</t>
  </si>
  <si>
    <t>GNCN 376</t>
  </si>
  <si>
    <t>GNCN 373</t>
  </si>
  <si>
    <t>GNCN 374</t>
  </si>
  <si>
    <t>26-08-2026</t>
  </si>
  <si>
    <t>RM 565</t>
  </si>
  <si>
    <t>KPV/D/669</t>
  </si>
  <si>
    <t>GNSP 167</t>
  </si>
  <si>
    <t>2026-27/125</t>
  </si>
  <si>
    <t>GNSP 168</t>
  </si>
  <si>
    <t>Drill Bit Hss Size :- 8.5 mm</t>
  </si>
  <si>
    <t>Drill Bit Hss Size :- 12 mm</t>
  </si>
  <si>
    <t>Drill Bit Hss Size :- 4 mm</t>
  </si>
  <si>
    <t>Drill Bit Hss Size :- 6 mm</t>
  </si>
  <si>
    <t>Drill Bit Hss Size :- 10.5 mm</t>
  </si>
  <si>
    <t>Welding Rods</t>
  </si>
  <si>
    <t>Welding Rod 3.15 mm  "Manglam" Brand  (1. Box = 12 Pkt.)</t>
  </si>
  <si>
    <t>Pkts</t>
  </si>
  <si>
    <t>Drill Bit Hss Size :- 6.5 mm</t>
  </si>
  <si>
    <t>Drill Bit Hss Size :- 3 mm</t>
  </si>
  <si>
    <t>GNCN 381</t>
  </si>
  <si>
    <t>PIL1/D/1498</t>
  </si>
  <si>
    <t>RM 569</t>
  </si>
  <si>
    <t>PIL1/D/1494</t>
  </si>
  <si>
    <t>RM 570</t>
  </si>
  <si>
    <t>PIL1/D/1495</t>
  </si>
  <si>
    <t>RM 571</t>
  </si>
  <si>
    <t>PIL1/D/1499</t>
  </si>
  <si>
    <t>PP MF Yarn Twisted 3000 Denier Yellow</t>
  </si>
  <si>
    <t>GNCN 380</t>
  </si>
  <si>
    <t>PPL/D/542</t>
  </si>
  <si>
    <t>RM 566</t>
  </si>
  <si>
    <t>PPL/D/540</t>
  </si>
  <si>
    <t>RM 568</t>
  </si>
  <si>
    <t>PPL/D/543</t>
  </si>
  <si>
    <t>RM 572</t>
  </si>
  <si>
    <t>PPL/D/541</t>
  </si>
  <si>
    <t>GNCN 382</t>
  </si>
  <si>
    <t>3201/2026-27</t>
  </si>
  <si>
    <t>27-08-2026</t>
  </si>
  <si>
    <t>GNCN 383</t>
  </si>
  <si>
    <t>PIL1/D/1506</t>
  </si>
  <si>
    <t>RM 573</t>
  </si>
  <si>
    <t>PIL1/D/1505</t>
  </si>
  <si>
    <t>RM 574</t>
  </si>
  <si>
    <t>PIL1/D/1512</t>
  </si>
  <si>
    <t>RM 575</t>
  </si>
  <si>
    <t>PIL1/D/1513</t>
  </si>
  <si>
    <t>28-08-2026</t>
  </si>
  <si>
    <t>GNCN 384</t>
  </si>
  <si>
    <t>PIL1/D/1520</t>
  </si>
  <si>
    <t>RM 576</t>
  </si>
  <si>
    <t>PIL1/D/1521</t>
  </si>
  <si>
    <t>RM 577</t>
  </si>
  <si>
    <t>PIL1/D/1522</t>
  </si>
  <si>
    <t>GNSP 169</t>
  </si>
  <si>
    <t>PPL/D/548</t>
  </si>
  <si>
    <t>Cross Looper For Double Lock Stitch   (81311 B)</t>
  </si>
  <si>
    <t>29-08-2026</t>
  </si>
  <si>
    <t>Anukumpa Enterprises</t>
  </si>
  <si>
    <t>GNCN 385</t>
  </si>
  <si>
    <t>T-1504</t>
  </si>
  <si>
    <t>Paint</t>
  </si>
  <si>
    <t>Oil Paint Brown</t>
  </si>
  <si>
    <t>24AGRPS7882B1ZW</t>
  </si>
  <si>
    <t>Brush 6"</t>
  </si>
  <si>
    <t>Tarpin Oil ( Thinner ) 16 Ltr</t>
  </si>
  <si>
    <t>GNSP 171</t>
  </si>
  <si>
    <t>0779/26-27</t>
  </si>
  <si>
    <t>Measuring Tape 03 Mtr</t>
  </si>
  <si>
    <t>Measuring Tape 05 Mtr</t>
  </si>
  <si>
    <t>GNSP 170</t>
  </si>
  <si>
    <t>GNCN 387</t>
  </si>
  <si>
    <t>PIL1/D/1528</t>
  </si>
  <si>
    <t>RM 579</t>
  </si>
  <si>
    <t>PIL1/D/1527</t>
  </si>
  <si>
    <t>RM 580</t>
  </si>
  <si>
    <t>PIL1/D/1529</t>
  </si>
  <si>
    <t>RM 581</t>
  </si>
  <si>
    <t>PIL1/D/1531</t>
  </si>
  <si>
    <t>GNCN 386</t>
  </si>
  <si>
    <t>PPL/D/553</t>
  </si>
  <si>
    <t>RM 578</t>
  </si>
  <si>
    <t>PPL/D/552</t>
  </si>
  <si>
    <t>GNPK 86</t>
  </si>
  <si>
    <t>SSE/2026-27/1225</t>
  </si>
  <si>
    <t>30-08-2026</t>
  </si>
  <si>
    <t>RM 582</t>
  </si>
  <si>
    <t>HPBL/DC/43</t>
  </si>
  <si>
    <t>RM 583</t>
  </si>
  <si>
    <t>HPBL/DC/45</t>
  </si>
  <si>
    <t>GNCN 388</t>
  </si>
  <si>
    <t>PIL1/D/1538</t>
  </si>
  <si>
    <t>RM 584</t>
  </si>
  <si>
    <t>PIL1/D/1535</t>
  </si>
  <si>
    <t>RM 585</t>
  </si>
  <si>
    <t>PIL1/D/1537</t>
  </si>
  <si>
    <t>RM 586</t>
  </si>
  <si>
    <t>PIL1/D/1539</t>
  </si>
  <si>
    <t>31-08-2026</t>
  </si>
  <si>
    <t>GNCN 391</t>
  </si>
  <si>
    <t>GP/26-27/97693</t>
  </si>
  <si>
    <t>RM 588</t>
  </si>
  <si>
    <t>KPV/D/696</t>
  </si>
  <si>
    <t>GNCN 389</t>
  </si>
  <si>
    <t>PIL1/D/1543</t>
  </si>
  <si>
    <t>RM 589</t>
  </si>
  <si>
    <t>PIL1/D/1542</t>
  </si>
  <si>
    <t>RM 590</t>
  </si>
  <si>
    <t>PIL1/D/1544</t>
  </si>
  <si>
    <t>RM 593</t>
  </si>
  <si>
    <t>PIL1/D/1550</t>
  </si>
  <si>
    <t>GNCN 390</t>
  </si>
  <si>
    <t>PPL/D/562</t>
  </si>
  <si>
    <t>GNSP 172</t>
  </si>
  <si>
    <t>PPL/D/558</t>
  </si>
  <si>
    <t>RM 587</t>
  </si>
  <si>
    <t>PPL/D/559</t>
  </si>
  <si>
    <t>RM 591</t>
  </si>
  <si>
    <t>PPL/D/560</t>
  </si>
  <si>
    <t>RM 592</t>
  </si>
  <si>
    <t>PPL/D/561</t>
  </si>
  <si>
    <t>GNMS 22</t>
  </si>
  <si>
    <t>26-27/000465</t>
  </si>
  <si>
    <t>Cloth Cover 11 X5 Inch</t>
  </si>
  <si>
    <t>Supertech Water Solution</t>
  </si>
  <si>
    <t>GNSP 173</t>
  </si>
  <si>
    <t>Utility</t>
  </si>
  <si>
    <t>Ro Membrane 4" X 40" Long  Gwpbroww200020</t>
  </si>
  <si>
    <t>24BBLPG5245C1Z0</t>
  </si>
  <si>
    <t>GNCN 392</t>
  </si>
  <si>
    <t>GNCN 393</t>
  </si>
  <si>
    <t>GNCN 394</t>
  </si>
  <si>
    <t>GNCN 395</t>
  </si>
  <si>
    <t>GNCN 396</t>
  </si>
  <si>
    <t>GNMS 20</t>
  </si>
  <si>
    <t>GNMS 21</t>
  </si>
  <si>
    <t>Printing Instruction &amp; Printing Production Report ( Oel Kasez )</t>
  </si>
  <si>
    <t>Inprocess Inspection Report[Qc/Fibc/062]</t>
  </si>
  <si>
    <t>Out Gate Pass</t>
  </si>
  <si>
    <t>Fibc Stitiching Line Prod.Book</t>
  </si>
  <si>
    <t>BOOK</t>
  </si>
  <si>
    <t>HPBL4/D/190</t>
  </si>
  <si>
    <t>100X100X125</t>
  </si>
  <si>
    <t>90X90X110</t>
  </si>
  <si>
    <t>98X98X200</t>
  </si>
  <si>
    <t>HPBL4/D/191</t>
  </si>
  <si>
    <t>HPBL4/D/192</t>
  </si>
  <si>
    <t>HPBL4/D/193</t>
  </si>
  <si>
    <t>REJECT COLOUR WEBBING 50X55 GPM</t>
  </si>
  <si>
    <t>HPBL4/D/194</t>
  </si>
  <si>
    <t>105X120X153</t>
  </si>
  <si>
    <t>90X90X130</t>
  </si>
  <si>
    <t>80X80X80</t>
  </si>
  <si>
    <t>85X85X55</t>
  </si>
  <si>
    <t>67X67X100</t>
  </si>
  <si>
    <t>85X85X85</t>
  </si>
  <si>
    <t>90X90X60</t>
  </si>
  <si>
    <t>90X90X180</t>
  </si>
  <si>
    <t>90X90X140</t>
  </si>
  <si>
    <t>HPBL4/D/195</t>
  </si>
  <si>
    <t>HPBL4/D/196</t>
  </si>
  <si>
    <t>145*215*70 MIC</t>
  </si>
  <si>
    <t>HPBL4/D/197</t>
  </si>
  <si>
    <t>HPBL4/D/198</t>
  </si>
  <si>
    <t>HPBL4/D/200</t>
  </si>
  <si>
    <t>HPBL4/D/199</t>
  </si>
  <si>
    <t>HPBL4/ME/12</t>
  </si>
  <si>
    <t>HPBL4/D/201</t>
  </si>
  <si>
    <t>150X150X140</t>
  </si>
  <si>
    <t>HPBL4/E/79/26-27</t>
  </si>
  <si>
    <t>STRETCH FILM</t>
  </si>
  <si>
    <t>HPBL4/D/202</t>
  </si>
  <si>
    <t>90X90X210</t>
  </si>
  <si>
    <t>HPBL4/D/203</t>
  </si>
  <si>
    <t>HPBL4/E/80/26-27</t>
  </si>
  <si>
    <t>HPBL4/D/205</t>
  </si>
  <si>
    <t>HPBL4/D/206</t>
  </si>
  <si>
    <t>HPBL4/D/207</t>
  </si>
  <si>
    <t>HPBL4/D/208</t>
  </si>
  <si>
    <t>MW WEBBING</t>
  </si>
  <si>
    <t>HPBL4/D/209</t>
  </si>
  <si>
    <t>HPBL4/D/210</t>
  </si>
  <si>
    <t>HPBL4/D/211</t>
  </si>
  <si>
    <t>HPBL4/D/204</t>
  </si>
  <si>
    <t>62.5X62.5X139</t>
  </si>
  <si>
    <t>HPBL4/D/212</t>
  </si>
  <si>
    <t>HPBL4/E/81/26-27</t>
  </si>
  <si>
    <t>HPBL4/ME/13</t>
  </si>
  <si>
    <t>HPBL4/ME/14</t>
  </si>
  <si>
    <t>91X91X120</t>
  </si>
  <si>
    <t>95X95X175</t>
  </si>
  <si>
    <t>HPBL4/D/213</t>
  </si>
  <si>
    <t>MW 100 GSM</t>
  </si>
  <si>
    <t>HPBL4/D/214</t>
  </si>
  <si>
    <t>MS PIPE</t>
  </si>
  <si>
    <t>HPBL4/D/215</t>
  </si>
  <si>
    <t>HPBL4/D/216</t>
  </si>
  <si>
    <t>85X85X105</t>
  </si>
  <si>
    <t>HPBL4/D/217</t>
  </si>
  <si>
    <t>LC Packaging Hungary TPI</t>
  </si>
  <si>
    <t>HPBL4/E/82/26-27</t>
  </si>
  <si>
    <t>HPBL4/D/218</t>
  </si>
  <si>
    <t>HPBL4/D/219</t>
  </si>
  <si>
    <t>HPBL4/E/83/26-27</t>
  </si>
  <si>
    <t>HPBL4/E/84/26-27</t>
  </si>
  <si>
    <t>HPBL4/D/220</t>
  </si>
  <si>
    <t>HPBL4/D/221</t>
  </si>
  <si>
    <t>OLD/UUSED FABRIC ROLL PIPE</t>
  </si>
  <si>
    <t>HPBL4/D/222</t>
  </si>
  <si>
    <t>OLD/USED FABRIC PIPE</t>
  </si>
  <si>
    <t>HPBL4/D/223</t>
  </si>
  <si>
    <t>HPBL4/E/85/26-27</t>
  </si>
  <si>
    <t>HPBL4/ME/15</t>
  </si>
  <si>
    <t>HPBL4/ME/16</t>
  </si>
  <si>
    <t>55X95CM</t>
  </si>
  <si>
    <t>HPBL4/ME/17</t>
  </si>
  <si>
    <t>HPBL4/E/86/26-27</t>
  </si>
  <si>
    <t>COLOUR FABRIC</t>
  </si>
  <si>
    <t>HPBL4/D/224</t>
  </si>
  <si>
    <t>HPBL4/D/225</t>
  </si>
  <si>
    <t>OLD/USED FABRIC ROLL</t>
  </si>
  <si>
    <t>HPBL4/ME/18</t>
  </si>
  <si>
    <t>HPBL4/D/226</t>
  </si>
  <si>
    <t>HPBL4/D/227</t>
  </si>
  <si>
    <t>HPBL4/D/228</t>
  </si>
  <si>
    <t>HPBL4/E/87/26-27</t>
  </si>
  <si>
    <t>HPBL4/D/229</t>
  </si>
  <si>
    <t>PP Fibrillated Tape Twisted 3000 Blue</t>
  </si>
  <si>
    <t>HPBL4/D/230</t>
  </si>
  <si>
    <t>HPBL4/D/231</t>
  </si>
  <si>
    <t>HPBL4/D/232</t>
  </si>
  <si>
    <t>HPBL4/D/233</t>
  </si>
  <si>
    <t>HPBL4/D/234</t>
  </si>
  <si>
    <t>HPBL4/D/235</t>
  </si>
  <si>
    <t>HPBL4/E/88/26-27</t>
  </si>
  <si>
    <t>HPBL4/D/236</t>
  </si>
  <si>
    <t>HPBL4/D/237</t>
  </si>
  <si>
    <t>HPBL4/D/238</t>
  </si>
  <si>
    <t>HPBL4/D/239</t>
  </si>
  <si>
    <t>HPBL4/D/240</t>
  </si>
  <si>
    <t>HPBL4/D/241</t>
  </si>
  <si>
    <t>87X87X100</t>
  </si>
  <si>
    <t>101X101X75</t>
  </si>
  <si>
    <t>62.5X62.5X180</t>
  </si>
  <si>
    <t>91X91X105</t>
  </si>
  <si>
    <t>HPBL4/ME/19</t>
  </si>
  <si>
    <t>HPBL4/D/242</t>
  </si>
  <si>
    <t>88X88X120</t>
  </si>
  <si>
    <t>100X100X100</t>
  </si>
  <si>
    <t>HPBL4/E/89/26-27</t>
  </si>
  <si>
    <t>HPBL4/D/245</t>
  </si>
  <si>
    <t>HPBL4/D/243</t>
  </si>
  <si>
    <t>HPBL4/D/244</t>
  </si>
  <si>
    <t>HPBL4/D/246</t>
  </si>
  <si>
    <t>HPBL4/D/247</t>
  </si>
  <si>
    <t>H BASE 145*235*95 MIC</t>
  </si>
  <si>
    <t>HPBL4/D/248</t>
  </si>
  <si>
    <t>HPBL4/D/249</t>
  </si>
  <si>
    <t>HPBL4/D/250</t>
  </si>
  <si>
    <t>HPBL4/D/251</t>
  </si>
  <si>
    <t>HPBL4/D/252</t>
  </si>
  <si>
    <t>HPBL4/D/253</t>
  </si>
  <si>
    <t>HPBL4/E/90/26-27</t>
  </si>
  <si>
    <t>HPBL4/D/254</t>
  </si>
  <si>
    <t>HPBL4/D/255</t>
  </si>
  <si>
    <t>HPBL4/E/91/26-27</t>
  </si>
  <si>
    <t>HPBL4/D/256</t>
  </si>
  <si>
    <t>HPBL4/D/257</t>
  </si>
  <si>
    <t>HPBL4/D/258</t>
  </si>
  <si>
    <t>HPBL4/ME/20</t>
  </si>
  <si>
    <t>55X90 CM</t>
  </si>
  <si>
    <t>HPBL4/ME/21</t>
  </si>
  <si>
    <t>89X89X119</t>
  </si>
  <si>
    <t>95X95X180</t>
  </si>
  <si>
    <t>62.5X62.5X155</t>
  </si>
  <si>
    <t>HPBL4/D/259</t>
  </si>
  <si>
    <t>Aug.26</t>
  </si>
  <si>
    <t>PE Labels (Kgs)+FIBC WIP ADD</t>
  </si>
  <si>
    <t>WASTAGE SALE - AUG'26</t>
  </si>
  <si>
    <t>19/08/2026</t>
  </si>
  <si>
    <t>13/08/2026</t>
  </si>
  <si>
    <t>20/08/2026</t>
  </si>
  <si>
    <t>23/08/2026</t>
  </si>
  <si>
    <t>27/08/2026</t>
  </si>
  <si>
    <t>28/08/2026</t>
  </si>
  <si>
    <t>30/08/2026</t>
  </si>
  <si>
    <t>Wastage Rate Difference Sheet-AUG-2026</t>
  </si>
  <si>
    <t>RATE DIFF SHEET – AUG-26</t>
  </si>
  <si>
    <t>August-2026 Salary and Expense Provision Sheet</t>
  </si>
  <si>
    <t>HPBL4/26-27/SII01073</t>
  </si>
  <si>
    <t>HPBL4/RAW/26-27/437</t>
  </si>
  <si>
    <t>HPBL4/26-27/SII01075</t>
  </si>
  <si>
    <t>HPBL4/RAW/26-27/438</t>
  </si>
  <si>
    <t>gj12bt2409</t>
  </si>
  <si>
    <t>HPBL4/26-27/SII01077</t>
  </si>
  <si>
    <t>HPBL4/RAW/26-27/439</t>
  </si>
  <si>
    <t>HPBL4/26-27/SII01078</t>
  </si>
  <si>
    <t>HPBL4/RAW/26-27/440</t>
  </si>
  <si>
    <t>HPBL4/26-27/SII01080</t>
  </si>
  <si>
    <t>HPBL4/RAW/26-27/441</t>
  </si>
  <si>
    <t>HPBL4/26-27/SII01081</t>
  </si>
  <si>
    <t>HPBL4/RAW/26-27/442</t>
  </si>
  <si>
    <t>HPBL4/26-27/SII01085</t>
  </si>
  <si>
    <t>HPBL4/RAW/26-27/443</t>
  </si>
  <si>
    <t>HPBL4/26-27/SII01087</t>
  </si>
  <si>
    <t>SMF00215</t>
  </si>
  <si>
    <t>HPBL4/RAW/26-27/444</t>
  </si>
  <si>
    <t>HPBL4/26-27/SII01088</t>
  </si>
  <si>
    <t>HPBL4/RAW/26-27/445</t>
  </si>
  <si>
    <t>HPBL4/26-27/SII01091</t>
  </si>
  <si>
    <t>SMF00122</t>
  </si>
  <si>
    <t>HPBL4/RAW/26-27/447</t>
  </si>
  <si>
    <t>HPBL4/26-27/SII01092</t>
  </si>
  <si>
    <t>HPBL4/RAW/26-27/448</t>
  </si>
  <si>
    <t>GJ12X1249</t>
  </si>
  <si>
    <t>HPBL4/26-27/SII01093</t>
  </si>
  <si>
    <t>HPBL4/RAW/26-27/449</t>
  </si>
  <si>
    <t>HPBL4/26-27/SII01095</t>
  </si>
  <si>
    <t>HPBL4/RAW/26-27/450</t>
  </si>
  <si>
    <t>HPBL4/26-27/SII01096</t>
  </si>
  <si>
    <t>HPBL4/26-27/SII01097</t>
  </si>
  <si>
    <t>HPBL4/26-27/SII01098</t>
  </si>
  <si>
    <t>HPBL4/RAW/26-27/451</t>
  </si>
  <si>
    <t>HPBL4/26-27/SII01106</t>
  </si>
  <si>
    <t>HPBL4/RAW/26-27/452</t>
  </si>
  <si>
    <t>HPBL4/26-27/SII01107</t>
  </si>
  <si>
    <t>HPBL4/RAW/26-27/453</t>
  </si>
  <si>
    <t>GJ06BT5602</t>
  </si>
  <si>
    <t>HPBL4/26-27/SII01108</t>
  </si>
  <si>
    <t>HPBL4/RAW/26-27/454</t>
  </si>
  <si>
    <t>PIL1/D/1274.</t>
  </si>
  <si>
    <t>HPBL4/26-27/SII01109</t>
  </si>
  <si>
    <t>HPBL4/RAW/26-27/455</t>
  </si>
  <si>
    <t>HPBL4/26-27/SII01111</t>
  </si>
  <si>
    <t>HPBL4/RAW/26-27/456</t>
  </si>
  <si>
    <t>HPBL4/26-27/SII01118</t>
  </si>
  <si>
    <t>HPBL4/RAW/26-27/457</t>
  </si>
  <si>
    <t>HPBL4/26-27/SII01120</t>
  </si>
  <si>
    <t>HPBL4/RAW/26-27/458</t>
  </si>
  <si>
    <t>HPBL4/26-27/SII01121</t>
  </si>
  <si>
    <t>HPBL4/RAW/26-27/459</t>
  </si>
  <si>
    <t>HPBL4/26-27/SII01122</t>
  </si>
  <si>
    <t>HPBL4/RAW/26-27/460</t>
  </si>
  <si>
    <t>GJ12BY1545</t>
  </si>
  <si>
    <t>HPBL4/26-27/SII01124</t>
  </si>
  <si>
    <t>HPBL4/RAW/26-27/461</t>
  </si>
  <si>
    <t>15..</t>
  </si>
  <si>
    <t>HPBL4/26-27/SII01125</t>
  </si>
  <si>
    <t>HPBL4/RAW/26-27/462</t>
  </si>
  <si>
    <t>HPBL4/26-27/SII01126</t>
  </si>
  <si>
    <t>HPBL4/26-27/SII01128</t>
  </si>
  <si>
    <t>HPBL4/RAW/26-27/463</t>
  </si>
  <si>
    <t>HPBL4/26-27/SII01134</t>
  </si>
  <si>
    <t>WIP00038</t>
  </si>
  <si>
    <t>HPBL4/RAW/26-27/464</t>
  </si>
  <si>
    <t>GJ15AV8440</t>
  </si>
  <si>
    <t>HPBL4/26-27/SII01136</t>
  </si>
  <si>
    <t>HPBL4/RAW/26-27/466</t>
  </si>
  <si>
    <t>GJ39T3534</t>
  </si>
  <si>
    <t>HPBL4/26-27/SII01137</t>
  </si>
  <si>
    <t>HPBL4/RAW/26-27/465</t>
  </si>
  <si>
    <t>HPBL4/26-27/SII01138</t>
  </si>
  <si>
    <t>HPBL4/RAW/26-27/467</t>
  </si>
  <si>
    <t>HPBL4/26-27/SII01139</t>
  </si>
  <si>
    <t>HPBL4/RAW/26-27/468</t>
  </si>
  <si>
    <t>HPBL4/26-27/SII01140</t>
  </si>
  <si>
    <t>HPBL4/RAW/26-27/469</t>
  </si>
  <si>
    <t>HPBL4/26-27/SII01142</t>
  </si>
  <si>
    <t>HPBL4/RAW/26-27/471</t>
  </si>
  <si>
    <t>HPBL4/26-27/SII01143</t>
  </si>
  <si>
    <t>HPBL4/RAW/26-27/472</t>
  </si>
  <si>
    <t>HPBL4/26-27/SII01144</t>
  </si>
  <si>
    <t>HPBL4/RAW/26-27/473</t>
  </si>
  <si>
    <t>GJ06BY3579</t>
  </si>
  <si>
    <t>SHREENA  ROADWAYS</t>
  </si>
  <si>
    <t>HPBL4/26-27/SII01145</t>
  </si>
  <si>
    <t>HPBL4/RAW/26-27/474</t>
  </si>
  <si>
    <t>HPBL4/26-27/SII01146</t>
  </si>
  <si>
    <t>HPBL4/RAW/26-27/476</t>
  </si>
  <si>
    <t>HPBL4/26-27/SII01147</t>
  </si>
  <si>
    <t>HPBL4/26-27/SII01148</t>
  </si>
  <si>
    <t>HPBL4/RAW/26-27/475</t>
  </si>
  <si>
    <t>HPBL4/26-27/SII01149</t>
  </si>
  <si>
    <t>HPBL4/RAW/26-27/477</t>
  </si>
  <si>
    <t>HPBL4/26-27/SII01151</t>
  </si>
  <si>
    <t>HPBL4/RAW/26-27/478</t>
  </si>
  <si>
    <t>HPBL4/26-27/SII01161</t>
  </si>
  <si>
    <t>HPBL4/RAW/26-27/479</t>
  </si>
  <si>
    <t>HPBL4/26-27/SII01171</t>
  </si>
  <si>
    <t>HPBL4/RAW/26-27/480</t>
  </si>
  <si>
    <t>HPBL4/26-27/SII01172</t>
  </si>
  <si>
    <t>HPBL4/RAW/26-27/481</t>
  </si>
  <si>
    <t>HPBL4/26-27/SII01173</t>
  </si>
  <si>
    <t>HPBL4/RAW/26-27/482</t>
  </si>
  <si>
    <t>GJ24X4103</t>
  </si>
  <si>
    <t>HPBL4/26-27/SII01174</t>
  </si>
  <si>
    <t>HPBL4/RAW/26-27/483</t>
  </si>
  <si>
    <t>HPBL4/26-27/SII01176</t>
  </si>
  <si>
    <t>HPBL4/RAW/26-27/484</t>
  </si>
  <si>
    <t>HPBL4/26-27/SII01178</t>
  </si>
  <si>
    <t>HPBL4/RAW/26-27/485</t>
  </si>
  <si>
    <t>HPBL4/26-27/SII01180</t>
  </si>
  <si>
    <t>HPBL4/RAW/26-27/486</t>
  </si>
  <si>
    <t>HPBL4/26-27/SII01185</t>
  </si>
  <si>
    <t>HPBL4/RAW/26-27/487</t>
  </si>
  <si>
    <t>GJ01LT5751</t>
  </si>
  <si>
    <t>B.K ROADWAYS</t>
  </si>
  <si>
    <t>2970 DT 13/08/2026</t>
  </si>
  <si>
    <t>HPBL4/26-27/SII01186</t>
  </si>
  <si>
    <t>HPBL4/RAW/26-27/488</t>
  </si>
  <si>
    <t>HPBL4/26-27/SII01187</t>
  </si>
  <si>
    <t>HPBL4/RAW/26-27/489</t>
  </si>
  <si>
    <t>259 DT 14/08/2026</t>
  </si>
  <si>
    <t>HPBL4/26-27/SII01189</t>
  </si>
  <si>
    <t>HPBL4/RAW/26-27/490</t>
  </si>
  <si>
    <t>HPBL4/26-27/SII01190</t>
  </si>
  <si>
    <t>HPBL4/RAW/26-27/491</t>
  </si>
  <si>
    <t>HPBL4/26-27/SII01191</t>
  </si>
  <si>
    <t>HPBL4/RAW/26-27/492</t>
  </si>
  <si>
    <t>262 DT 15/08/2026</t>
  </si>
  <si>
    <t>HPBL4/26-27/SII01193</t>
  </si>
  <si>
    <t>HPBL4/RAW/26-27/493</t>
  </si>
  <si>
    <t>HPBL4/26-27/SII01194</t>
  </si>
  <si>
    <t>HPBL4/RAW/26-27/494</t>
  </si>
  <si>
    <t>264 DT16/08/2026</t>
  </si>
  <si>
    <t>HPBL4/26-27/SII01195</t>
  </si>
  <si>
    <t>HPBL4/RAW/26-27/495</t>
  </si>
  <si>
    <t>HPBL4/26-27/SII01197</t>
  </si>
  <si>
    <t>HPBL4/26-27/RWM00006/01</t>
  </si>
  <si>
    <t>HPBL4/RAW/26-27/428</t>
  </si>
  <si>
    <t>GJ12YY9712</t>
  </si>
  <si>
    <t>V-TRANS</t>
  </si>
  <si>
    <t>HPBL4/26-27/SII01198</t>
  </si>
  <si>
    <t>HPBL4/RAW/26-27/496</t>
  </si>
  <si>
    <t>HPBL4/26-27/SII01199</t>
  </si>
  <si>
    <t>HPBL4/RAW/26-27/497</t>
  </si>
  <si>
    <t>HPBL4/26-27/SII01201</t>
  </si>
  <si>
    <t>HPBL4/RAW/26-27/498</t>
  </si>
  <si>
    <t>HPBL4/26-27/SII01202</t>
  </si>
  <si>
    <t>HPBL4/RAW/26-27/499</t>
  </si>
  <si>
    <t>HPBL4/26-27/SII01205</t>
  </si>
  <si>
    <t>HPBL4/RAW/26-27/501</t>
  </si>
  <si>
    <t>GJ12BY0479/GJ12BT2409</t>
  </si>
  <si>
    <t>HPBL4/26-27/SII01207</t>
  </si>
  <si>
    <t>HPBL4/RAW/26-27/502</t>
  </si>
  <si>
    <t>HPBL4/26-27/SII01209</t>
  </si>
  <si>
    <t>HPBL4/RAW/26-27/503</t>
  </si>
  <si>
    <t>HPBL4/26-27/SII01211</t>
  </si>
  <si>
    <t>HPBL4/RAW/26-27/504</t>
  </si>
  <si>
    <t>GJ12BT2409/GJ12BY0479</t>
  </si>
  <si>
    <t>270 DT 19/08/2026</t>
  </si>
  <si>
    <t>HPBL4/26-27/SII01212</t>
  </si>
  <si>
    <t>HPBL4/RAW/26-27/505</t>
  </si>
  <si>
    <t>HPBL4/26-27/SII01216</t>
  </si>
  <si>
    <t>RAW05733</t>
  </si>
  <si>
    <t>HPBL4/26-27/RWM00005/01</t>
  </si>
  <si>
    <t>HPBL4/RAW/26-27/384</t>
  </si>
  <si>
    <t>HPBL4/26-27/SII01224</t>
  </si>
  <si>
    <t>SMF00051</t>
  </si>
  <si>
    <t>HPBL4/RAW/26-27/506</t>
  </si>
  <si>
    <t>GJ12BY6521</t>
  </si>
  <si>
    <t>HPBL4/26-27/SII01225</t>
  </si>
  <si>
    <t>HPBL4/RAW/26-27/507</t>
  </si>
  <si>
    <t>272 DT 20/08/2026</t>
  </si>
  <si>
    <t>HPBL4/26-27/SII01227</t>
  </si>
  <si>
    <t>HPBL4/RAW/26-27/508</t>
  </si>
  <si>
    <t>HPBL4/26-27/SII01228</t>
  </si>
  <si>
    <t>HPBL4/RAW/26-27/509</t>
  </si>
  <si>
    <t>HPBL4/26-27/SII01234</t>
  </si>
  <si>
    <t>HPBL4/RAW/26-27/510</t>
  </si>
  <si>
    <t>273 DT 21/08/2026</t>
  </si>
  <si>
    <t>HPBL4/26-27/SII01246</t>
  </si>
  <si>
    <t>RMC00181</t>
  </si>
  <si>
    <t>HPBL4/26-27/RWM00007/010</t>
  </si>
  <si>
    <t>HPBL4/RAW/26-27/470</t>
  </si>
  <si>
    <t>GJ12BW3301</t>
  </si>
  <si>
    <t>V-Trans ( India ) Ltd.</t>
  </si>
  <si>
    <t>HPBL4/26-27/RWM00007/02</t>
  </si>
  <si>
    <t>HPBL4/26-27/RWM00007/04</t>
  </si>
  <si>
    <t>HPBL4/26-27/RWM00007/06</t>
  </si>
  <si>
    <t>HPBL4/26-27/RWM00007/08</t>
  </si>
  <si>
    <t>RAW05730</t>
  </si>
  <si>
    <t>HPBL4/26-27/RWM00007/05</t>
  </si>
  <si>
    <t>HPBL4/26-27/RWM00007/07</t>
  </si>
  <si>
    <t>HPBL4/26-27/RWM00007/09</t>
  </si>
  <si>
    <t>HPBL4/26-27/RWM00007/03</t>
  </si>
  <si>
    <t>HPBL4/26-27/RWM00007/01</t>
  </si>
  <si>
    <t>HPBL4/26-27/SII01247</t>
  </si>
  <si>
    <t>HPBL4/RAW/26-27/511</t>
  </si>
  <si>
    <t>GJ24X5687</t>
  </si>
  <si>
    <t>HPBL4/26-27/SII01248</t>
  </si>
  <si>
    <t>HPBL4/RAW/26-27/512</t>
  </si>
  <si>
    <t>6221 6808 0490</t>
  </si>
  <si>
    <t>HPBL4/26-27/SII01250</t>
  </si>
  <si>
    <t>HPBL4/RAW/26-27/513</t>
  </si>
  <si>
    <t>HPBL4/26-27/SII01251</t>
  </si>
  <si>
    <t>HPBL4/RAW/26-27/514</t>
  </si>
  <si>
    <t>HPBL4/26-27/SII01253</t>
  </si>
  <si>
    <t>HPBL4/RAW/26-27/515</t>
  </si>
  <si>
    <t>HPBL4/26-27/SII01254</t>
  </si>
  <si>
    <t>HPBL4/RAW/26-27/516</t>
  </si>
  <si>
    <t>HPBL4/26-27/SII01255</t>
  </si>
  <si>
    <t>HPBL4/RAW/26-27/517</t>
  </si>
  <si>
    <t>HPBL4/26-27/SII01256</t>
  </si>
  <si>
    <t>HPBL4/RAW/26-27/518</t>
  </si>
  <si>
    <t>HPBL4/26-27/SII01257</t>
  </si>
  <si>
    <t>HPBL4/RAW/26-27/519</t>
  </si>
  <si>
    <t>GJ06BX6473</t>
  </si>
  <si>
    <t>HPBL4/26-27/SII01258</t>
  </si>
  <si>
    <t>HPBL4/RAW/26-27/520</t>
  </si>
  <si>
    <t>HPBL4/26-27/SII01260</t>
  </si>
  <si>
    <t>HPBL4/RAW/26-27/521</t>
  </si>
  <si>
    <t>HPBL4/26-27/SII01262</t>
  </si>
  <si>
    <t>HPBL4/RAW/26-27/522</t>
  </si>
  <si>
    <t>HPBL4/26-27/SII01263</t>
  </si>
  <si>
    <t>HPBL4/RAW/26-27/523</t>
  </si>
  <si>
    <t>GJ12BT1285</t>
  </si>
  <si>
    <t>HPBL4/26-27/SII01271</t>
  </si>
  <si>
    <t>HPBL4/RAW/26-27/524</t>
  </si>
  <si>
    <t>279 DT 25/08/2026</t>
  </si>
  <si>
    <t>HPBL4/26-27/SII01273</t>
  </si>
  <si>
    <t>HPBL4/RAW/26-27/525</t>
  </si>
  <si>
    <t>HPBL4/26-27/SII01274</t>
  </si>
  <si>
    <t>HPBL4/RAW/26-27/526</t>
  </si>
  <si>
    <t>HPBL4/26-27/SII01276</t>
  </si>
  <si>
    <t>HPBL4/RAW/26-27/527</t>
  </si>
  <si>
    <t>SHREENA ROADWAYS</t>
  </si>
  <si>
    <t>2677 DT 25/08/2026</t>
  </si>
  <si>
    <t>HPBL4/26-27/SII01277</t>
  </si>
  <si>
    <t>HPBL4/RAW/26-27/528</t>
  </si>
  <si>
    <t>HPBL4/26-27/SII01280</t>
  </si>
  <si>
    <t>HPBL4/RAW/26-27/530</t>
  </si>
  <si>
    <t>HPBL4/26-27/SII01281</t>
  </si>
  <si>
    <t>HPBL4/RAW/26-27/531</t>
  </si>
  <si>
    <t>HPBL4/26-27/SII01282</t>
  </si>
  <si>
    <t>HPBL4/RAW/26-27/532</t>
  </si>
  <si>
    <t>283 DT 26/08/2026</t>
  </si>
  <si>
    <t>HPBL4/26-27/SII01284</t>
  </si>
  <si>
    <t>HPBL4/RAW/26-27/533</t>
  </si>
  <si>
    <t>SMF00243</t>
  </si>
  <si>
    <t>HPBL4/26-27/SII01286</t>
  </si>
  <si>
    <t>HPBL4/RAW/26-27/534</t>
  </si>
  <si>
    <t>HPBL4/26-27/SII01290</t>
  </si>
  <si>
    <t>HPBL4/RAW/26-27/536</t>
  </si>
  <si>
    <t>HPBL4/26-27/SII01292</t>
  </si>
  <si>
    <t>HPBL4/RAW/26-27/537</t>
  </si>
  <si>
    <t>HPBL4/26-27/SII01293</t>
  </si>
  <si>
    <t>HPBL4/RAW/26-27/538</t>
  </si>
  <si>
    <t>HPBL4/26-27/SII01295</t>
  </si>
  <si>
    <t>HPBL4/RAW/26-27/539</t>
  </si>
  <si>
    <t>HPBL4/26-27/SII01297</t>
  </si>
  <si>
    <t>HPBL4/RAW/26-27/540</t>
  </si>
  <si>
    <t>HPBL4/26-27/SII01302</t>
  </si>
  <si>
    <t>HPBL4/RAW/26-27/542</t>
  </si>
  <si>
    <t>HPBL4/26-27/SII01304</t>
  </si>
  <si>
    <t>HPBL4/RAW/26-27/543</t>
  </si>
  <si>
    <t>289 DT 29/08/2026</t>
  </si>
  <si>
    <t>HPBL4/26-27/SII01306</t>
  </si>
  <si>
    <t>HPBL4/RAW/26-27/544</t>
  </si>
  <si>
    <t>HPBL4/26-27/SII01307</t>
  </si>
  <si>
    <t>HPBL4/RAW/26-27/545</t>
  </si>
  <si>
    <t>HPBL4/26-27/SII01308</t>
  </si>
  <si>
    <t>HPBL4/RAW/26-27/546</t>
  </si>
  <si>
    <t>HPBL4/26-27/SII01309</t>
  </si>
  <si>
    <t>HPBL4/RAW/26-27/547</t>
  </si>
  <si>
    <t>GJ06AX2024</t>
  </si>
  <si>
    <t>HPBL4/26-27/SII01311</t>
  </si>
  <si>
    <t>HPBL4/RAW/26-27/548</t>
  </si>
  <si>
    <t>HPBL4/26-27/SII01312</t>
  </si>
  <si>
    <t>HPBL4/RAW/26-27/549</t>
  </si>
  <si>
    <t>HPBL4/26-27/SII01313</t>
  </si>
  <si>
    <t>HPBL4/RAW/26-27/550</t>
  </si>
  <si>
    <t>HPBL4/26-27/SII01314</t>
  </si>
  <si>
    <t>HPBL4/RAW/26-27/551</t>
  </si>
  <si>
    <t>GJ12BR8742</t>
  </si>
  <si>
    <t>HPBL4/26-27/SII01315</t>
  </si>
  <si>
    <t>HPBL4/RAW/26-27/552</t>
  </si>
  <si>
    <t>GJ16Z8614</t>
  </si>
  <si>
    <t>HPBL4/26-27/SII01317</t>
  </si>
  <si>
    <t>HPBL4/RAW/26-27/553</t>
  </si>
  <si>
    <t>HPBL4/26-27/SII01319</t>
  </si>
  <si>
    <t>HPBL4/RAW/26-27/554</t>
  </si>
  <si>
    <t>296 DT 31/08/2026</t>
  </si>
  <si>
    <t>HPBL4/26-27/SII01320</t>
  </si>
  <si>
    <t>HPBL4/RAW/26-27/555</t>
  </si>
  <si>
    <t>HPBL4/26-27/SII01321</t>
  </si>
  <si>
    <t>HPBL4/RAW/26-27/556</t>
  </si>
  <si>
    <t>HPBL4/26-27/SII01323</t>
  </si>
  <si>
    <t>HPBL4/RAW/26-27/557</t>
  </si>
  <si>
    <t>PE LABEL</t>
  </si>
  <si>
    <t>SMALL BAGS</t>
  </si>
  <si>
    <t>HPBL4/26-27/SII01112</t>
  </si>
  <si>
    <t>SARU077</t>
  </si>
  <si>
    <t>JBIN-SE 49</t>
  </si>
  <si>
    <t>HPBL4/26-27/SII01113</t>
  </si>
  <si>
    <t>SARU078</t>
  </si>
  <si>
    <t>JBIN-SE 50</t>
  </si>
  <si>
    <t>HPBL4/26-27/SII01130</t>
  </si>
  <si>
    <t>SARU081</t>
  </si>
  <si>
    <t>JBIN-SE 51</t>
  </si>
  <si>
    <t>HPBL4/26-27/SII01131</t>
  </si>
  <si>
    <t>SARU82</t>
  </si>
  <si>
    <t>JBIN-SE 52</t>
  </si>
  <si>
    <t>SARU082</t>
  </si>
  <si>
    <t>HPBL4/26-27/SII01204</t>
  </si>
  <si>
    <t>SARU083</t>
  </si>
  <si>
    <t>JW52</t>
  </si>
  <si>
    <t>HPBL4/26-27/SII01334</t>
  </si>
  <si>
    <t>SARU084</t>
  </si>
  <si>
    <t>JBIN-SE 54</t>
  </si>
  <si>
    <t>JW53</t>
  </si>
  <si>
    <t>HPBL4/26-27/SII01335</t>
  </si>
  <si>
    <t>SARU085</t>
  </si>
  <si>
    <t>JBIN-SE 55</t>
  </si>
  <si>
    <t>JW54</t>
  </si>
  <si>
    <t>HPBL4/26-27/SII01336</t>
  </si>
  <si>
    <t>SARU086</t>
  </si>
  <si>
    <t>JBIN-SE 56</t>
  </si>
  <si>
    <t>JW62</t>
  </si>
  <si>
    <t>HPBL4/26-27/SII01337</t>
  </si>
  <si>
    <t>SARU088</t>
  </si>
  <si>
    <t>JBIN-SE 57</t>
  </si>
  <si>
    <t>JW63</t>
  </si>
  <si>
    <t>HPBL4/26-27/SII01338</t>
  </si>
  <si>
    <t>SARU089</t>
  </si>
  <si>
    <t>JBIN-SE 58</t>
  </si>
  <si>
    <t>JW55</t>
  </si>
  <si>
    <t>HPBL4/26-27/SII01339</t>
  </si>
  <si>
    <t>SARU090</t>
  </si>
  <si>
    <t>JBIN-SE 59</t>
  </si>
  <si>
    <t>PP Woven Big Bag,</t>
  </si>
  <si>
    <t>JW56</t>
  </si>
  <si>
    <t>HPBL4/26-27/SII01340</t>
  </si>
  <si>
    <t>SARU092</t>
  </si>
  <si>
    <t>JW57</t>
  </si>
  <si>
    <t>HPBL4/26-27/SII01341</t>
  </si>
  <si>
    <t>SARU096</t>
  </si>
  <si>
    <t>JBIN-SE 61</t>
  </si>
  <si>
    <t>JW58</t>
  </si>
  <si>
    <t>HPBL4/26-27/SII01342</t>
  </si>
  <si>
    <t>SARU097</t>
  </si>
  <si>
    <t>JBIN-SE 62</t>
  </si>
  <si>
    <t>JW59</t>
  </si>
  <si>
    <t>HPBL4/26-27/SII01343</t>
  </si>
  <si>
    <t>SARU098</t>
  </si>
  <si>
    <t>JW60</t>
  </si>
  <si>
    <t>HPBL4/26-27/SII01344</t>
  </si>
  <si>
    <t>SARU099</t>
  </si>
  <si>
    <t>JW61</t>
  </si>
  <si>
    <t>HPBL4/26-27/JOBWORK/10</t>
  </si>
  <si>
    <t>PRINTING PALLET LABELS</t>
  </si>
  <si>
    <t>LD/LLDPE  FILM</t>
  </si>
  <si>
    <t>36 ROLL</t>
  </si>
  <si>
    <t>HPBL4/26-27/JOBWORK/11</t>
  </si>
  <si>
    <t>28 ROLL</t>
  </si>
  <si>
    <t>HPBL4-NL-O26H-09815</t>
  </si>
  <si>
    <t>PIL-NL-I26G-23580</t>
  </si>
  <si>
    <t>HPBL4-NL-O26H-09816</t>
  </si>
  <si>
    <t>PIL-NL-I26G-23585</t>
  </si>
  <si>
    <t>HPBL4-NL-O26H-09817</t>
  </si>
  <si>
    <t>PIL-NL-I26G-23597</t>
  </si>
  <si>
    <t>HPBL4-NL-O26H-09818</t>
  </si>
  <si>
    <t>PIL-NL-I26G-23601</t>
  </si>
  <si>
    <t>HPBL4-NL-O26H-09819</t>
  </si>
  <si>
    <t>PIL-NL-I26G-23648</t>
  </si>
  <si>
    <t>HPBL4-NL-O26H-09820</t>
  </si>
  <si>
    <t>PIL-NL-I26G-23596</t>
  </si>
  <si>
    <t>HPBL4-NL-O26H-09821</t>
  </si>
  <si>
    <t>PIL-NL-I26G-23598</t>
  </si>
  <si>
    <t>HPBL4-NL-O26H-09822</t>
  </si>
  <si>
    <t>PIL-NL-I26G-23654</t>
  </si>
  <si>
    <t>HPBL4-NL-O26H-09823</t>
  </si>
  <si>
    <t>PIL-NL-I26G-23669</t>
  </si>
  <si>
    <t>HPBL4-NL-O26H-09824</t>
  </si>
  <si>
    <t>PIL-NL-I26G-23566</t>
  </si>
  <si>
    <t>HPBL4-NL-O26H-09825</t>
  </si>
  <si>
    <t>PIL-NL-I26G-23567</t>
  </si>
  <si>
    <t>HPBL4-NL-O26H-09826</t>
  </si>
  <si>
    <t>PIL-NL-I26G-23586</t>
  </si>
  <si>
    <t>HPBL4-NL-O26H-09827</t>
  </si>
  <si>
    <t>PIL-NL-I26G-23600</t>
  </si>
  <si>
    <t>HPBL4-NL-O26H-09828</t>
  </si>
  <si>
    <t>PIL-NL-I26G-23602</t>
  </si>
  <si>
    <t>HPBL4-NL-O26H-09829</t>
  </si>
  <si>
    <t>PIL-NL-I26G-23611</t>
  </si>
  <si>
    <t>HPBL4-NL-O26H-09830</t>
  </si>
  <si>
    <t>PIL-NL-I26G-23610</t>
  </si>
  <si>
    <t>HPBL4-NL-O26H-09831</t>
  </si>
  <si>
    <t>PIL-NL-I26G-23647</t>
  </si>
  <si>
    <t>HPBL4-NL-O26H-09832</t>
  </si>
  <si>
    <t>PIL-NL-I26G-23657</t>
  </si>
  <si>
    <t>HPBL4-NL-O26H-09833</t>
  </si>
  <si>
    <t>PIL-NL-I26G-23659</t>
  </si>
  <si>
    <t>HPBL4-NL-O26H-09834</t>
  </si>
  <si>
    <t>PIL-NL-I26G-23581</t>
  </si>
  <si>
    <t>HPBL4-NL-O26H-09835</t>
  </si>
  <si>
    <t>PIL-NL-I26G-23584</t>
  </si>
  <si>
    <t>HPBL4-NL-O26H-09836</t>
  </si>
  <si>
    <t>PIL-NL-I26G-23609</t>
  </si>
  <si>
    <t>HPBL4-NL-O26H-09837</t>
  </si>
  <si>
    <t>PIL-NL-I26G-23621</t>
  </si>
  <si>
    <t>HPBL4-NL-O26H-09838</t>
  </si>
  <si>
    <t>PIL-NL-I26G-23638</t>
  </si>
  <si>
    <t>HPBL4-NL-O26H-09839</t>
  </si>
  <si>
    <t>PIL-NL-I26G-23655</t>
  </si>
  <si>
    <t>HPBL4-NL-O26H-09840</t>
  </si>
  <si>
    <t>PIL-NL-I26G-23565</t>
  </si>
  <si>
    <t>HPBL4-NL-O26H-09841</t>
  </si>
  <si>
    <t>PIL-NL-I26G-23568</t>
  </si>
  <si>
    <t>HPBL4-NL-O26H-09842</t>
  </si>
  <si>
    <t>PIL-NL-I26G-23599</t>
  </si>
  <si>
    <t>HPBL4-NL-O26H-09843</t>
  </si>
  <si>
    <t>PIL-NL-I26G-23652</t>
  </si>
  <si>
    <t>HPBL4-NL-O26H-09844</t>
  </si>
  <si>
    <t>PIL-NL-I26G-23653</t>
  </si>
  <si>
    <t>HPBL4-NL-O26H-09845</t>
  </si>
  <si>
    <t>PIL-NL-I26G-23595</t>
  </si>
  <si>
    <t>HPBL4-NL-O26H-09846</t>
  </si>
  <si>
    <t>PIL-NL-I26G-23645</t>
  </si>
  <si>
    <t>HPBL4-NL-O26H-09847</t>
  </si>
  <si>
    <t>PIL-NL-I26G-23646</t>
  </si>
  <si>
    <t>HPBL4-NL-O26H-09848</t>
  </si>
  <si>
    <t>PIL-NL-I26G-23658</t>
  </si>
  <si>
    <t>HPBL4-NL-O26H-09849</t>
  </si>
  <si>
    <t>PIL-NL-I26G-23668</t>
  </si>
  <si>
    <t>HPBL4-NL-O26H-09850</t>
  </si>
  <si>
    <t>PIL-NL-I26G-23603</t>
  </si>
  <si>
    <t>HPBL4-NL-O26H-09851</t>
  </si>
  <si>
    <t>PIL-NL-I26G-23619</t>
  </si>
  <si>
    <t>HPBL4-NL-O26H-09852</t>
  </si>
  <si>
    <t>PIL-NL-I26G-23656</t>
  </si>
  <si>
    <t>HPBL4-NL-O26H-09853</t>
  </si>
  <si>
    <t>PIL-NL-I26G-23662</t>
  </si>
  <si>
    <t>HPBL4-NL-O26H-09755</t>
  </si>
  <si>
    <t>PIL-NL-I26H-23677</t>
  </si>
  <si>
    <t>HPBL4-NL-O26H-09756</t>
  </si>
  <si>
    <t>PIL-NL-I26H-23679</t>
  </si>
  <si>
    <t>HPBL4-NL-O26H-09757</t>
  </si>
  <si>
    <t>PIL-NL-I26H-23688</t>
  </si>
  <si>
    <t>HPBL4-NL-O26H-09758</t>
  </si>
  <si>
    <t>PIL-NL-I26H-23707</t>
  </si>
  <si>
    <t>HPBL4-NL-O26H-09759</t>
  </si>
  <si>
    <t>PIL-NL-I26H-23754</t>
  </si>
  <si>
    <t>HPBL4-NL-O26H-09760</t>
  </si>
  <si>
    <t>PIL-NL-I26H-23756</t>
  </si>
  <si>
    <t>HPBL4-NL-O26H-09761</t>
  </si>
  <si>
    <t>PIL-NL-I26H-23800</t>
  </si>
  <si>
    <t>HPBL4-NL-O26H-09762</t>
  </si>
  <si>
    <t>PIL-NL-I26H-23678</t>
  </si>
  <si>
    <t>HPBL4-NL-O26H-09763</t>
  </si>
  <si>
    <t>PIL-NL-I26H-23687</t>
  </si>
  <si>
    <t>HPBL4-NL-O26H-09764</t>
  </si>
  <si>
    <t>PIL-NL-I26H-23689</t>
  </si>
  <si>
    <t>HPBL4-NL-O26H-09765</t>
  </si>
  <si>
    <t>PIL-NL-I26H-23798</t>
  </si>
  <si>
    <t>HPBL4-NL-O26H-09766</t>
  </si>
  <si>
    <t>PIL-NL-I26H-23680</t>
  </si>
  <si>
    <t>HPBL4-NL-O26H-09767</t>
  </si>
  <si>
    <t>PIL-NL-I26H-23691</t>
  </si>
  <si>
    <t>HPBL4-NL-O26H-09768</t>
  </si>
  <si>
    <t>PIL-NL-I26H-23694</t>
  </si>
  <si>
    <t>HPBL4-NL-O26H-09769</t>
  </si>
  <si>
    <t>PIL-NL-I26H-23712</t>
  </si>
  <si>
    <t>HPBL4-NL-O26H-09770</t>
  </si>
  <si>
    <t>PIL-NL-I26H-23724</t>
  </si>
  <si>
    <t>HPBL4-NL-O26H-09771</t>
  </si>
  <si>
    <t>PIL-NL-I26H-23744</t>
  </si>
  <si>
    <t>HPBL4-NL-O26H-09772</t>
  </si>
  <si>
    <t>PIL-NL-I26H-23765</t>
  </si>
  <si>
    <t>HPBL4-NL-O26H-09773</t>
  </si>
  <si>
    <t>PIL-NL-I26H-23776</t>
  </si>
  <si>
    <t>HPBL4-NL-O26H-09774</t>
  </si>
  <si>
    <t>PIL-NL-I26H-23778</t>
  </si>
  <si>
    <t>HPBL4-NL-O26H-09775</t>
  </si>
  <si>
    <t>PIL-NL-I26H-23779</t>
  </si>
  <si>
    <t>HPBL4-NL-O26H-09776</t>
  </si>
  <si>
    <t>PIL-NL-I26H-23787</t>
  </si>
  <si>
    <t>HPBL4-NL-O26H-09777</t>
  </si>
  <si>
    <t>PIL-NL-I26H-23791</t>
  </si>
  <si>
    <t>HPBL4-NL-O26H-09778</t>
  </si>
  <si>
    <t>PIL-NL-I26H-23693</t>
  </si>
  <si>
    <t>HPBL4-NL-O26H-09779</t>
  </si>
  <si>
    <t>PIL-NL-I26H-23696</t>
  </si>
  <si>
    <t>HPBL4-NL-O26H-09780</t>
  </si>
  <si>
    <t>PIL-NL-I26H-23711</t>
  </si>
  <si>
    <t>HPBL4-NL-O26H-09781</t>
  </si>
  <si>
    <t>PIL-NL-I26H-23714</t>
  </si>
  <si>
    <t>HPBL4-NL-O26H-09782</t>
  </si>
  <si>
    <t>PIL-NL-I26H-23746</t>
  </si>
  <si>
    <t>HPBL4-NL-O26H-09783</t>
  </si>
  <si>
    <t>PIL-NL-I26H-23766</t>
  </si>
  <si>
    <t>HPBL4-NL-O26H-09784</t>
  </si>
  <si>
    <t>PIL-NL-I26H-23777</t>
  </si>
  <si>
    <t>HPBL4-NL-O26H-09785</t>
  </si>
  <si>
    <t>PIL-NL-I26H-23788</t>
  </si>
  <si>
    <t>HPBL4-NL-O26H-09786</t>
  </si>
  <si>
    <t>PIL-NL-I26H-23789</t>
  </si>
  <si>
    <t>HPBL4-NL-O26H-09787</t>
  </si>
  <si>
    <t>PIL-NL-I26H-23792</t>
  </si>
  <si>
    <t>HPBL4-NL-O26H-09788</t>
  </si>
  <si>
    <t>PIL-NL-I26H-23705</t>
  </si>
  <si>
    <t>HPBL4-NL-O26H-09789</t>
  </si>
  <si>
    <t>PIL-NL-I26H-23758</t>
  </si>
  <si>
    <t>HPBL4-NL-O26H-09790</t>
  </si>
  <si>
    <t>PIL-NL-I26H-23783</t>
  </si>
  <si>
    <t>HPBL4-NL-O26H-09791</t>
  </si>
  <si>
    <t>PIL-NL-I26H-23785</t>
  </si>
  <si>
    <t>HPBL4-NL-O26H-09792</t>
  </si>
  <si>
    <t>PIL-NL-I26H-23815</t>
  </si>
  <si>
    <t>HPBL4-NL-O26H-09793</t>
  </si>
  <si>
    <t>PIL-NL-I26H-23690</t>
  </si>
  <si>
    <t>HPBL4-NL-O26H-09794</t>
  </si>
  <si>
    <t>PIL-NL-I26H-23695</t>
  </si>
  <si>
    <t>HPBL4-NL-O26H-09795</t>
  </si>
  <si>
    <t>PIL-NL-I26H-23697</t>
  </si>
  <si>
    <t>HPBL4-NL-O26H-09796</t>
  </si>
  <si>
    <t>PIL-NL-I26H-23706</t>
  </si>
  <si>
    <t>HPBL4-NL-O26H-09797</t>
  </si>
  <si>
    <t>PIL-NL-I26H-23713</t>
  </si>
  <si>
    <t>HPBL4-NL-O26H-09798</t>
  </si>
  <si>
    <t>PIL-NL-I26H-23716</t>
  </si>
  <si>
    <t>HPBL4-NL-O26H-09799</t>
  </si>
  <si>
    <t>PIL-NL-I26H-23764</t>
  </si>
  <si>
    <t>HPBL4-NL-O26H-09800</t>
  </si>
  <si>
    <t>PIL-NL-I26H-23784</t>
  </si>
  <si>
    <t>HPBL4-NL-O26H-09801</t>
  </si>
  <si>
    <t>PIL-NL-I26H-23790</t>
  </si>
  <si>
    <t>HPBL4-NL-O26H-09802</t>
  </si>
  <si>
    <t>PIL-NL-I26H-23686</t>
  </si>
  <si>
    <t>HPBL4-NL-O26H-09803</t>
  </si>
  <si>
    <t>PIL-NL-I26H-23726</t>
  </si>
  <si>
    <t>HPBL4-NL-O26H-09804</t>
  </si>
  <si>
    <t>PIL-NL-I26H-23742</t>
  </si>
  <si>
    <t>HPBL4-NL-O26H-09805</t>
  </si>
  <si>
    <t>PIL-NL-I26H-23762</t>
  </si>
  <si>
    <t>HPBL4-NL-O26H-09806</t>
  </si>
  <si>
    <t>PIL-NL-I26H-23786</t>
  </si>
  <si>
    <t>HPBL4-NL-O26H-09807</t>
  </si>
  <si>
    <t>PIL-NL-I26H-23803</t>
  </si>
  <si>
    <t>HPBL4-NL-O26H-09808</t>
  </si>
  <si>
    <t>PIL-NL-I26H-23710</t>
  </si>
  <si>
    <t>HPBL4-NL-O26H-09809</t>
  </si>
  <si>
    <t>PIL-NL-I26H-23715</t>
  </si>
  <si>
    <t>HPBL4-NL-O26H-09810</t>
  </si>
  <si>
    <t>PIL-NL-I26H-23743</t>
  </si>
  <si>
    <t>HPBL4-NL-O26H-09811</t>
  </si>
  <si>
    <t>PIL-NL-I26H-23753</t>
  </si>
  <si>
    <t>HPBL4-NL-O26H-09812</t>
  </si>
  <si>
    <t>PIL-NL-I26H-23755</t>
  </si>
  <si>
    <t>HPBL4-NL-O26H-09813</t>
  </si>
  <si>
    <t>PIL-NL-I26H-23761</t>
  </si>
  <si>
    <t>HPBL4-NL-O26H-09814</t>
  </si>
  <si>
    <t>PIL-NL-I26H-23763</t>
  </si>
  <si>
    <t>HPBL4-NL-O26H-09712</t>
  </si>
  <si>
    <t>PIL-NL-I26H-23849</t>
  </si>
  <si>
    <t>HPBL4-NL-O26H-09713</t>
  </si>
  <si>
    <t>PIL-NL-I26H-23850</t>
  </si>
  <si>
    <t>HPBL4-NL-O26H-09714</t>
  </si>
  <si>
    <t>PIL-NL-I26H-23875</t>
  </si>
  <si>
    <t>HPBL4-NL-O26H-09715</t>
  </si>
  <si>
    <t>PIL-NL-I26H-23881</t>
  </si>
  <si>
    <t>HPBL4-NL-O26H-09716</t>
  </si>
  <si>
    <t>PIL-NL-I26H-23919</t>
  </si>
  <si>
    <t>HPBL4-NL-O26H-09717</t>
  </si>
  <si>
    <t>PIL-NL-I26H-23920</t>
  </si>
  <si>
    <t>5/50 MW/YELLOW</t>
  </si>
  <si>
    <t>HPBL4-NL-O26H-09718</t>
  </si>
  <si>
    <t>PIL-NL-I26H-23922</t>
  </si>
  <si>
    <t>HPBL4-NL-O26H-09719</t>
  </si>
  <si>
    <t>PIL-NL-I26H-23952</t>
  </si>
  <si>
    <t>HPBL4-NL-O26H-09720</t>
  </si>
  <si>
    <t>PIL-NL-I26H-23820</t>
  </si>
  <si>
    <t>HPBL4-NL-O26H-09721</t>
  </si>
  <si>
    <t>PIL-NL-I26H-23838</t>
  </si>
  <si>
    <t>HPBL4-NL-O26H-09722</t>
  </si>
  <si>
    <t>PIL-NL-I26H-23855</t>
  </si>
  <si>
    <t>HPBL4-NL-O26H-09723</t>
  </si>
  <si>
    <t>PIL-NL-I26H-23880</t>
  </si>
  <si>
    <t>HPBL4-NL-O26H-09724</t>
  </si>
  <si>
    <t>PIL-NL-I26H-23882</t>
  </si>
  <si>
    <t>HPBL4-NL-O26H-09725</t>
  </si>
  <si>
    <t>PIL-NL-I26H-23951</t>
  </si>
  <si>
    <t>HPBL4-NL-O26H-09726</t>
  </si>
  <si>
    <t>PIL-NL-I26H-23955</t>
  </si>
  <si>
    <t>HPBL4-NL-O26H-09727</t>
  </si>
  <si>
    <t>PIL-NL-I26H-23835</t>
  </si>
  <si>
    <t>HPBL4-NL-O26H-09728</t>
  </si>
  <si>
    <t>PIL-NL-I26H-23848</t>
  </si>
  <si>
    <t>HPBL4-NL-O26H-09729</t>
  </si>
  <si>
    <t>PIL-NL-I26H-23918</t>
  </si>
  <si>
    <t>HPBL4-NL-O26H-09730</t>
  </si>
  <si>
    <t>PIL-NL-I26H-23921</t>
  </si>
  <si>
    <t>HPBL4-NL-O26H-09731</t>
  </si>
  <si>
    <t>PIL-NL-I26H-23817</t>
  </si>
  <si>
    <t>HPBL4-NL-O26H-09732</t>
  </si>
  <si>
    <t>PIL-NL-I26H-23837</t>
  </si>
  <si>
    <t>HPBL4-NL-O26H-09733</t>
  </si>
  <si>
    <t>PIL-NL-I26H-23877</t>
  </si>
  <si>
    <t>HPBL4-NL-O26H-09734</t>
  </si>
  <si>
    <t>PIL-NL-I26H-23927</t>
  </si>
  <si>
    <t>HPBL4-NL-O26H-09735</t>
  </si>
  <si>
    <t>PIL-NL-I26H-23819</t>
  </si>
  <si>
    <t>HPBL4-NL-O26H-09736</t>
  </si>
  <si>
    <t>PIL-NL-I26H-23821</t>
  </si>
  <si>
    <t>HPBL4-NL-O26H-09737</t>
  </si>
  <si>
    <t>PIL-NL-I26H-23856</t>
  </si>
  <si>
    <t>HPBL4-NL-O26H-09738</t>
  </si>
  <si>
    <t>PIL-NL-I26H-23899</t>
  </si>
  <si>
    <t>HPBL4-NL-O26H-09739</t>
  </si>
  <si>
    <t>PIL-NL-I26H-23901</t>
  </si>
  <si>
    <t>HPBL4-NL-O26H-09740</t>
  </si>
  <si>
    <t>PIL-NL-I26H-23931</t>
  </si>
  <si>
    <t>HPBL4-NL-O26H-09741</t>
  </si>
  <si>
    <t>PIL-NL-I26H-23954</t>
  </si>
  <si>
    <t>HPBL4-NL-O26H-09742</t>
  </si>
  <si>
    <t>PIL-NL-I26H-23818</t>
  </si>
  <si>
    <t>HPBL4-NL-O26H-09743</t>
  </si>
  <si>
    <t>PIL-NL-I26H-23836</t>
  </si>
  <si>
    <t>HPBL4-NL-O26H-09744</t>
  </si>
  <si>
    <t>PIL-NL-I26H-23879</t>
  </si>
  <si>
    <t>HPBL4-NL-O26H-09745</t>
  </si>
  <si>
    <t>PIL-NL-I26H-23926</t>
  </si>
  <si>
    <t>HPBL4-NL-O26H-09746</t>
  </si>
  <si>
    <t>PIL-NL-I26H-23874</t>
  </si>
  <si>
    <t>HPBL4-NL-O26H-09747</t>
  </si>
  <si>
    <t>PIL-NL-I26H-23883</t>
  </si>
  <si>
    <t>HPBL4-NL-O26H-09748</t>
  </si>
  <si>
    <t>PIL-NL-I26H-23903</t>
  </si>
  <si>
    <t>HPBL4-NL-O26H-09749</t>
  </si>
  <si>
    <t>PIL-NL-I26H-23928</t>
  </si>
  <si>
    <t>HPBL4-NL-O26H-09750</t>
  </si>
  <si>
    <t>PIL-NL-I26H-23833</t>
  </si>
  <si>
    <t>HPBL4-NL-O26H-09751</t>
  </si>
  <si>
    <t>PIL-NL-I26H-23834</t>
  </si>
  <si>
    <t>HPBL4-NL-O26H-09752</t>
  </si>
  <si>
    <t>PIL-NL-I26H-23857</t>
  </si>
  <si>
    <t>HPBL4-NL-O26H-09753</t>
  </si>
  <si>
    <t>PIL-NL-I26H-23900</t>
  </si>
  <si>
    <t>HPBL4-NL-O26H-09754</t>
  </si>
  <si>
    <t>PIL-NL-I26H-23902</t>
  </si>
  <si>
    <t>HPBL4-NL-O26H-09854</t>
  </si>
  <si>
    <t>PIL-NL-I26H-23973</t>
  </si>
  <si>
    <t>HPBL4-NL-O26H-09855</t>
  </si>
  <si>
    <t>PIL-NL-I26H-23993</t>
  </si>
  <si>
    <t>HPBL4-NL-O26H-09856</t>
  </si>
  <si>
    <t>PIL-NL-I26H-23994</t>
  </si>
  <si>
    <t>HPBL4-NL-O26H-09857</t>
  </si>
  <si>
    <t>PIL-NL-I26H-24001</t>
  </si>
  <si>
    <t>HPBL4-NL-O26H-09858</t>
  </si>
  <si>
    <t>PIL-NL-I26H-24069</t>
  </si>
  <si>
    <t>HPBL4-NL-O26H-09859</t>
  </si>
  <si>
    <t>PIL-NL-I26H-24070</t>
  </si>
  <si>
    <t>HPBL4-NL-O26H-09860</t>
  </si>
  <si>
    <t>PIL-NL-I26H-24071</t>
  </si>
  <si>
    <t>HPBL4-NL-O26H-09861</t>
  </si>
  <si>
    <t>PIL-NL-I26H-24109</t>
  </si>
  <si>
    <t>HPBL4-NL-O26H-09862</t>
  </si>
  <si>
    <t>PIL-NL-I26H-23996</t>
  </si>
  <si>
    <t>HPBL4-NL-O26H-09863</t>
  </si>
  <si>
    <t>PIL-NL-I26H-23998</t>
  </si>
  <si>
    <t>HPBL4-NL-O26H-09864</t>
  </si>
  <si>
    <t>PIL-NL-I26H-24078</t>
  </si>
  <si>
    <t>HPBL4-NL-O26H-09865</t>
  </si>
  <si>
    <t>PIL-NL-I26H-23976</t>
  </si>
  <si>
    <t>HPBL4-NL-O26H-09866</t>
  </si>
  <si>
    <t>PIL-NL-I26H-24002</t>
  </si>
  <si>
    <t>HPBL4-NL-O26H-09867</t>
  </si>
  <si>
    <t>PIL-NL-I26H-24009</t>
  </si>
  <si>
    <t>HPBL4-NL-O26H-09868</t>
  </si>
  <si>
    <t>PIL-NL-I26H-24011</t>
  </si>
  <si>
    <t>HPBL4-NL-O26H-09869</t>
  </si>
  <si>
    <t>PIL-NL-I26H-24053</t>
  </si>
  <si>
    <t>HPBL4-NL-O26H-09870</t>
  </si>
  <si>
    <t>PIL-NL-I26H-24075</t>
  </si>
  <si>
    <t>HPBL4-NL-O26H-09871</t>
  </si>
  <si>
    <t>PIL-NL-I26H-24077</t>
  </si>
  <si>
    <t>HPBL4-NL-O26H-09872</t>
  </si>
  <si>
    <t>PIL-NL-I26H-24010</t>
  </si>
  <si>
    <t>HPBL4-NL-O26H-09873</t>
  </si>
  <si>
    <t>PIL-NL-I26H-24055</t>
  </si>
  <si>
    <t>HPBL4-NL-O26H-09874</t>
  </si>
  <si>
    <t>PIL-NL-I26H-24068</t>
  </si>
  <si>
    <t>HPBL4-NL-O26H-09875</t>
  </si>
  <si>
    <t>PIL-NL-I26H-24074</t>
  </si>
  <si>
    <t>HPBL4-NL-O26H-09876</t>
  </si>
  <si>
    <t>PIL-NL-I26H-23978</t>
  </si>
  <si>
    <t>HPBL4-NL-O26H-09877</t>
  </si>
  <si>
    <t>PIL-NL-I26H-23997</t>
  </si>
  <si>
    <t>HPBL4-NL-O26H-09878</t>
  </si>
  <si>
    <t>PIL-NL-I26H-24079</t>
  </si>
  <si>
    <t>HPBL4-NL-O26H-09879</t>
  </si>
  <si>
    <t>PIL-NL-I26H-24056</t>
  </si>
  <si>
    <t>HPBL4-NL-O26H-09880</t>
  </si>
  <si>
    <t>PIL-NL-I26H-24067</t>
  </si>
  <si>
    <t>HPBL4-NL-O26H-09881</t>
  </si>
  <si>
    <t>PIL-NL-I26H-24084</t>
  </si>
  <si>
    <t>HPBL4-NL-O26H-09882</t>
  </si>
  <si>
    <t>PIL-NL-I26H-23992</t>
  </si>
  <si>
    <t>HPBL4-NL-O26H-09883</t>
  </si>
  <si>
    <t>PIL-NL-I26H-23995</t>
  </si>
  <si>
    <t>HPBL4-NL-O26H-09884</t>
  </si>
  <si>
    <t>PIL-NL-I26H-24000</t>
  </si>
  <si>
    <t>HPBL4-NL-O26H-09885</t>
  </si>
  <si>
    <t>PIL-NL-I26H-24072</t>
  </si>
  <si>
    <t>HPBL4-NL-O26H-09886</t>
  </si>
  <si>
    <t>PIL-NL-I26H-24073</t>
  </si>
  <si>
    <t>HPBL4-NL-O26H-09887</t>
  </si>
  <si>
    <t>PIL-NL-I26H-24083</t>
  </si>
  <si>
    <t>HPBL4-NL-O26H-09888</t>
  </si>
  <si>
    <t>PIL-NL-I26H-23977</t>
  </si>
  <si>
    <t>HPBL4-NL-O26H-09889</t>
  </si>
  <si>
    <t>PIL-NL-I26H-24003</t>
  </si>
  <si>
    <t>HPBL4-NL-O26H-09890</t>
  </si>
  <si>
    <t>PIL-NL-I26H-24076</t>
  </si>
  <si>
    <t>HPBL4-NL-O26H-09891</t>
  </si>
  <si>
    <t>PIL-NL-I26H-24095</t>
  </si>
  <si>
    <t>HPBL4-NL-O26H-09892</t>
  </si>
  <si>
    <t>PIL-NL-I26H-24189</t>
  </si>
  <si>
    <t>HPBL4-NL-O26H-09893</t>
  </si>
  <si>
    <t>PIL-NL-I26H-24192</t>
  </si>
  <si>
    <t>HPBL4-NL-O26H-09894</t>
  </si>
  <si>
    <t>PIL-NL-I26H-24193</t>
  </si>
  <si>
    <t>HPBL4-NL-O26H-09895</t>
  </si>
  <si>
    <t>PIL-NL-I26H-24213</t>
  </si>
  <si>
    <t>HPBL4-NL-O26H-09896</t>
  </si>
  <si>
    <t>PIL-NL-I26H-24215</t>
  </si>
  <si>
    <t>HPBL4-NL-O26H-09897</t>
  </si>
  <si>
    <t>PIL-NL-I26H-23845</t>
  </si>
  <si>
    <t>HPBL4-NL-O26H-09898</t>
  </si>
  <si>
    <t>PIL-NL-I26H-23904</t>
  </si>
  <si>
    <t>HPBL4-NL-O26H-09899</t>
  </si>
  <si>
    <t>PIL-NL-I26H-23930</t>
  </si>
  <si>
    <t>HPBL4-NL-O26H-09900</t>
  </si>
  <si>
    <t>PIL-NL-I26G-22770</t>
  </si>
  <si>
    <t>HPBL4-NL-O26H-09901</t>
  </si>
  <si>
    <t>PIL-NL-I26G-22988</t>
  </si>
  <si>
    <t>HPBL4-NL-O26H-09902</t>
  </si>
  <si>
    <t>PIL-NL-I26G-22991</t>
  </si>
  <si>
    <t>HPBL4-NL-O26H-09903</t>
  </si>
  <si>
    <t>PIL-NL-I26G-22992</t>
  </si>
  <si>
    <t>HPBL4-NL-O26H-09904</t>
  </si>
  <si>
    <t>PIL-NL-I26H-24124</t>
  </si>
  <si>
    <t>HPBL4-NL-O26H-09905</t>
  </si>
  <si>
    <t>PIL-NL-I26H-24138</t>
  </si>
  <si>
    <t>HPBL4-NL-O26H-09906</t>
  </si>
  <si>
    <t>PIL-NL-I26H-24180</t>
  </si>
  <si>
    <t>HPBL4-NL-O26H-09907</t>
  </si>
  <si>
    <t>PIL-NL-I26H-24203</t>
  </si>
  <si>
    <t>HPBL4-NL-O26H-09908</t>
  </si>
  <si>
    <t>PIL-NL-I26H-24208</t>
  </si>
  <si>
    <t>HPBL4-NL-O26H-09909</t>
  </si>
  <si>
    <t>PIL-NL-I26G-23010</t>
  </si>
  <si>
    <t>HPBL4-NL-O26H-09910</t>
  </si>
  <si>
    <t>PIL-NL-I26H-24126</t>
  </si>
  <si>
    <t>HPBL4-NL-O26H-09911</t>
  </si>
  <si>
    <t>PIL-NL-I26H-24133</t>
  </si>
  <si>
    <t>HPBL4-NL-O26H-09912</t>
  </si>
  <si>
    <t>PIL-NL-I26H-24206</t>
  </si>
  <si>
    <t>HPBL4-NL-O26H-09913</t>
  </si>
  <si>
    <t>PIL-NL-I26G-23133</t>
  </si>
  <si>
    <t>HPBL4-NL-O26H-09914</t>
  </si>
  <si>
    <t>PIL-NL-I26G-22941</t>
  </si>
  <si>
    <t>HPBL4-NL-O26H-09915</t>
  </si>
  <si>
    <t>PIL-NL-I26H-23852</t>
  </si>
  <si>
    <t>HPBL4-NL-O26H-09916</t>
  </si>
  <si>
    <t>PIL-NL-I26G-22769</t>
  </si>
  <si>
    <t>HPBL4-NL-O26H-09917</t>
  </si>
  <si>
    <t>PIL-NL-I26H-23915</t>
  </si>
  <si>
    <t>HPBL4-NL-O26H-09918</t>
  </si>
  <si>
    <t>PIL-NL-I26H-24136</t>
  </si>
  <si>
    <t>HPBL4-NL-O26H-09919</t>
  </si>
  <si>
    <t>PIL-NL-I26H-24178</t>
  </si>
  <si>
    <t>HPBL4-NL-O26H-09920</t>
  </si>
  <si>
    <t>PIL-NL-I26H-24191</t>
  </si>
  <si>
    <t>HPBL4-NL-O26H-09921</t>
  </si>
  <si>
    <t>PIL-NL-I26H-24194</t>
  </si>
  <si>
    <t>HPBL4-NL-O26H-09922</t>
  </si>
  <si>
    <t>PIL-NL-I26H-24201</t>
  </si>
  <si>
    <t>HPBL4-NL-O26H-09923</t>
  </si>
  <si>
    <t>PIL-NL-I26G-22923</t>
  </si>
  <si>
    <t>HPBL4-NL-O26H-09924</t>
  </si>
  <si>
    <t>PIL-NL-I26G-22873</t>
  </si>
  <si>
    <t>HPBL4-NL-O26H-09925</t>
  </si>
  <si>
    <t>PIL-NL-I26H-24122</t>
  </si>
  <si>
    <t>HPBL4-NL-O26H-09926</t>
  </si>
  <si>
    <t>PIL-NL-I26H-24127</t>
  </si>
  <si>
    <t>HPBL4-NL-O26H-09927</t>
  </si>
  <si>
    <t>PIL-NL-I26H-24139</t>
  </si>
  <si>
    <t>HPBL4-NL-O26H-09928</t>
  </si>
  <si>
    <t>PIL-NL-I26H-24140</t>
  </si>
  <si>
    <t>HPBL4-NL-O26H-09929</t>
  </si>
  <si>
    <t>PIL-NL-I26H-24141</t>
  </si>
  <si>
    <t>HPBL4-NL-O26H-09930</t>
  </si>
  <si>
    <t>PIL-NL-I26H-24154</t>
  </si>
  <si>
    <t>HPBL4-NL-O26H-09931</t>
  </si>
  <si>
    <t>PIL-NL-I26H-24166</t>
  </si>
  <si>
    <t>HPBL4-NL-O26H-09932</t>
  </si>
  <si>
    <t>PIL-NL-I26H-24190</t>
  </si>
  <si>
    <t>HPBL4-NL-O26H-09933</t>
  </si>
  <si>
    <t>PIL-NL-I26H-24205</t>
  </si>
  <si>
    <t>HPBL4-NL-O26H-09934</t>
  </si>
  <si>
    <t>PIL-NL-I26H-24211</t>
  </si>
  <si>
    <t>HPBL4-NL-O26H-09935</t>
  </si>
  <si>
    <t>PIL-NL-I26H-24236</t>
  </si>
  <si>
    <t>HPBL4-NL-O26H-09936</t>
  </si>
  <si>
    <t>PIL-NL-I26H-23916</t>
  </si>
  <si>
    <t>HPBL4-NL-O26H-09937</t>
  </si>
  <si>
    <t>PIL-NL-I26H-23925</t>
  </si>
  <si>
    <t>HPBL4-NL-O26H-09938</t>
  </si>
  <si>
    <t>PIL-NL-I26H-23847</t>
  </si>
  <si>
    <t>HPBL4-NL-O26H-09939</t>
  </si>
  <si>
    <t>PIL-NL-I26G-22845</t>
  </si>
  <si>
    <t>HPBL4-NL-O26H-09940</t>
  </si>
  <si>
    <t>PIL-NL-I26G-23132</t>
  </si>
  <si>
    <t>HPBL4-NL-O26H-09941</t>
  </si>
  <si>
    <t>PIL-NL-I26H-24135</t>
  </si>
  <si>
    <t>HPBL4-NL-O26H-09942</t>
  </si>
  <si>
    <t>PIL-NL-I26H-24142</t>
  </si>
  <si>
    <t>HPBL4-NL-O26H-09943</t>
  </si>
  <si>
    <t>PIL-NL-I26H-24177</t>
  </si>
  <si>
    <t>HPBL4-NL-O26H-09944</t>
  </si>
  <si>
    <t>PIL-NL-I26H-24179</t>
  </si>
  <si>
    <t>HPBL4-NL-O26H-09945</t>
  </si>
  <si>
    <t>PIL-NL-I26H-24202</t>
  </si>
  <si>
    <t>HPBL4-NL-O26H-09946</t>
  </si>
  <si>
    <t>PIL-NL-I26H-24209</t>
  </si>
  <si>
    <t>HPBL4-NL-O26H-09947</t>
  </si>
  <si>
    <t>PIL-NL-I26H-24217</t>
  </si>
  <si>
    <t>HPBL4-NL-O26H-09948</t>
  </si>
  <si>
    <t>PIL-NL-I26G-23254</t>
  </si>
  <si>
    <t>HPBL4-NL-O26H-09949</t>
  </si>
  <si>
    <t>PIL-NL-I26G-22924</t>
  </si>
  <si>
    <t>HPBL4-NL-O26H-09950</t>
  </si>
  <si>
    <t>PIL-NL-I26G-22874</t>
  </si>
  <si>
    <t>HPBL4-NL-O26H-09951</t>
  </si>
  <si>
    <t>PIL-NL-I26H-24134</t>
  </si>
  <si>
    <t>HPBL4-NL-O26H-09952</t>
  </si>
  <si>
    <t>PIL-NL-I26H-24143</t>
  </si>
  <si>
    <t>HPBL4-NL-O26H-09953</t>
  </si>
  <si>
    <t>PIL-NL-I26H-24204</t>
  </si>
  <si>
    <t>HPBL4-NL-O26H-09954</t>
  </si>
  <si>
    <t>PIL-NL-I26H-24207</t>
  </si>
  <si>
    <t>HPBL4-NL-O26H-09955</t>
  </si>
  <si>
    <t>PIL-NL-I26H-24226</t>
  </si>
  <si>
    <t>HPBL4-NL-O26H-09956</t>
  </si>
  <si>
    <t>PIL-NL-I26H-24239</t>
  </si>
  <si>
    <t>HPBL4-NL-O26H-09957</t>
  </si>
  <si>
    <t>PIL-NL-I26H-23958</t>
  </si>
  <si>
    <t>HPBL4-NL-O26H-09958</t>
  </si>
  <si>
    <t>PIL-NL-I26H-23959</t>
  </si>
  <si>
    <t>HPBL4-NL-O26H-09959</t>
  </si>
  <si>
    <t>PIL-NL-I26H-23960</t>
  </si>
  <si>
    <t>HPBL4-NL-O26H-09960</t>
  </si>
  <si>
    <t>PIL-NL-I26H-23961</t>
  </si>
  <si>
    <t>HPBL4-NL-O26H-09961</t>
  </si>
  <si>
    <t>PIL-NL-I26H-23853</t>
  </si>
  <si>
    <t>HPBL4-NL-O26H-09962</t>
  </si>
  <si>
    <t>PIL-NL-I26H-23854</t>
  </si>
  <si>
    <t>HPBL4-NL-O26H-09963</t>
  </si>
  <si>
    <t>PIL-NL-I26G-22875</t>
  </si>
  <si>
    <t>HPBL4-NL-O26H-09964</t>
  </si>
  <si>
    <t>PIL-NL-I26H-24216</t>
  </si>
  <si>
    <t>HPBL4-NL-O26H-09965</t>
  </si>
  <si>
    <t>PIL-NL-I26H-24218</t>
  </si>
  <si>
    <t>HPBL4-NL-O26H-09966</t>
  </si>
  <si>
    <t>PIL-NL-I26H-24117</t>
  </si>
  <si>
    <t>HPBL4-NL-O26H-09967</t>
  </si>
  <si>
    <t>PIL-NL-I26H-24159</t>
  </si>
  <si>
    <t>HPBL4-NL-O26H-09968</t>
  </si>
  <si>
    <t>PIL-NL-I26H-24160</t>
  </si>
  <si>
    <t>HPBL4-NL-O26H-09969</t>
  </si>
  <si>
    <t>PIL-NL-I26H-24167</t>
  </si>
  <si>
    <t>HPBL4-NL-O26H-09970</t>
  </si>
  <si>
    <t>PIL-NL-I26H-24169</t>
  </si>
  <si>
    <t>HPBL4-NL-O26H-09971</t>
  </si>
  <si>
    <t>PIL-NL-I26H-24188</t>
  </si>
  <si>
    <t>HPBL4-NL-O26H-09972</t>
  </si>
  <si>
    <t>PIL-NL-I26H-24210</t>
  </si>
  <si>
    <t>HPBL4-NL-O26H-09973</t>
  </si>
  <si>
    <t>PIL-NL-I26H-24212</t>
  </si>
  <si>
    <t>HPBL4-NL-O26H-09974</t>
  </si>
  <si>
    <t>PIL-NL-I26H-24214</t>
  </si>
  <si>
    <t>HPBL4-NL-O26H-09975</t>
  </si>
  <si>
    <t>PIL-NL-I26H-24235</t>
  </si>
  <si>
    <t>HPBL4-NL-O26H-09976</t>
  </si>
  <si>
    <t>PIL-NL-I26H-24237</t>
  </si>
  <si>
    <t>HPBL4-NL-O26H-09977</t>
  </si>
  <si>
    <t>PIL-NL-I26H-24240</t>
  </si>
  <si>
    <t>HPBL4-NL-O26H-09978</t>
  </si>
  <si>
    <t>PIL-NL-I26G-22989</t>
  </si>
  <si>
    <t>HPBL4-NL-O26H-09979</t>
  </si>
  <si>
    <t>PIL-NL-I26G-22990</t>
  </si>
  <si>
    <t>HPBL4-NL-O26H-09980</t>
  </si>
  <si>
    <t>PIL-NL-I26H-23924</t>
  </si>
  <si>
    <t>HPBL4-NL-O26H-09981</t>
  </si>
  <si>
    <t>PIL-NL-I26H-23846</t>
  </si>
  <si>
    <t>HPBL4-NL-O26H-09982</t>
  </si>
  <si>
    <t>PIL-NL-I26H-24245</t>
  </si>
  <si>
    <t>HPBL4-NL-O26H-09983</t>
  </si>
  <si>
    <t>PIL-NL-I26H-24253</t>
  </si>
  <si>
    <t>4/25 BLACK 30% RP/GREEN+ORANGE</t>
  </si>
  <si>
    <t>HPBL4-NL-O26H-09984</t>
  </si>
  <si>
    <t>PIL-NL-I26H-24265</t>
  </si>
  <si>
    <t>HPBL4-NL-O26H-09985</t>
  </si>
  <si>
    <t>PIL-NL-I26H-24273</t>
  </si>
  <si>
    <t>HPBL4-NL-O26H-09986</t>
  </si>
  <si>
    <t>PIL-NL-I26H-24277</t>
  </si>
  <si>
    <t>HPBL4-NL-O26H-09987</t>
  </si>
  <si>
    <t>PIL-NL-I26H-24302</t>
  </si>
  <si>
    <t>HPBL4-NL-O26H-09988</t>
  </si>
  <si>
    <t>PIL-NL-I26H-24305</t>
  </si>
  <si>
    <t>HPBL4-NL-O26H-09989</t>
  </si>
  <si>
    <t>PIL-NL-I26H-24326</t>
  </si>
  <si>
    <t>HPBL4-NL-O26H-09990</t>
  </si>
  <si>
    <t>PIL-NL-I26H-24351</t>
  </si>
  <si>
    <t>HPBL4-NL-O26H-09991</t>
  </si>
  <si>
    <t>PIL-NL-I26H-24369</t>
  </si>
  <si>
    <t>HPBL4-NL-O26H-09992</t>
  </si>
  <si>
    <t>PIL-NL-I26H-24378</t>
  </si>
  <si>
    <t>HPBL4-NL-O26H-09993</t>
  </si>
  <si>
    <t>PIL-NL-I26H-24262</t>
  </si>
  <si>
    <t>HPBL4-NL-O26H-09994</t>
  </si>
  <si>
    <t>PIL-NL-I26H-24271</t>
  </si>
  <si>
    <t>HPBL4-NL-O26H-09995</t>
  </si>
  <si>
    <t>PIL-NL-I26H-24306</t>
  </si>
  <si>
    <t>HPBL4-NL-O26H-09996</t>
  </si>
  <si>
    <t>PIL-NL-I26H-24318</t>
  </si>
  <si>
    <t>HPBL4-NL-O26H-09997</t>
  </si>
  <si>
    <t>PIL-NL-I26H-24320</t>
  </si>
  <si>
    <t>HPBL4-NL-O26H-09998</t>
  </si>
  <si>
    <t>PIL-NL-I26H-24353</t>
  </si>
  <si>
    <t>HPBL4-NL-O26H-09999</t>
  </si>
  <si>
    <t>PIL-NL-I26H-23683</t>
  </si>
  <si>
    <t>HPBL4-NL-O26H-10000</t>
  </si>
  <si>
    <t>PIL-NL-I26G-23626</t>
  </si>
  <si>
    <t>HPBL4-NL-O26H-10001</t>
  </si>
  <si>
    <t>PIL-NL-I26H-24243</t>
  </si>
  <si>
    <t>HPBL4-NL-O26H-10002</t>
  </si>
  <si>
    <t>PIL-NL-I26H-24279</t>
  </si>
  <si>
    <t>HPBL4-NL-O26H-10003</t>
  </si>
  <si>
    <t>PIL-NL-I26H-24280</t>
  </si>
  <si>
    <t>HPBL4-NL-O26H-10004</t>
  </si>
  <si>
    <t>PIL-NL-I26H-24283</t>
  </si>
  <si>
    <t>HPBL4-NL-O26H-10005</t>
  </si>
  <si>
    <t>PIL-NL-I26H-24294</t>
  </si>
  <si>
    <t>HPBL4-NL-O26H-10006</t>
  </si>
  <si>
    <t>PIL-NL-I26H-24308</t>
  </si>
  <si>
    <t>HPBL4-NL-O26H-10007</t>
  </si>
  <si>
    <t>PIL-NL-I26H-24328</t>
  </si>
  <si>
    <t>HPBL4-NL-O26H-10008</t>
  </si>
  <si>
    <t>PIL-NL-I26H-24344</t>
  </si>
  <si>
    <t>HPBL4-NL-O26H-10009</t>
  </si>
  <si>
    <t>PIL-NL-I26H-24346</t>
  </si>
  <si>
    <t>HPBL4-NL-O26H-10010</t>
  </si>
  <si>
    <t>PIL-NL-I26H-24354</t>
  </si>
  <si>
    <t>HPBL4-NL-O26H-10011</t>
  </si>
  <si>
    <t>PIL-NL-I26H-24374</t>
  </si>
  <si>
    <t>HPBL4-NL-O26H-10012</t>
  </si>
  <si>
    <t>PIL-NL-I26H-24272</t>
  </si>
  <si>
    <t>HPBL4-NL-O26H-10013</t>
  </si>
  <si>
    <t>PIL-NL-I26H-24300</t>
  </si>
  <si>
    <t>HPBL4-NL-O26H-10014</t>
  </si>
  <si>
    <t>PIL-NL-I26H-24312</t>
  </si>
  <si>
    <t>HPBL4-NL-O26H-10015</t>
  </si>
  <si>
    <t>PIL-NL-I26H-24317</t>
  </si>
  <si>
    <t>HPBL4-NL-O26H-10016</t>
  </si>
  <si>
    <t>PIL-NL-I26H-24329</t>
  </si>
  <si>
    <t>HPBL4-NL-O26H-10017</t>
  </si>
  <si>
    <t>PIL-NL-I26H-24352</t>
  </si>
  <si>
    <t>HPBL4-NL-O26H-10018</t>
  </si>
  <si>
    <t>PIL-NL-I26H-24355</t>
  </si>
  <si>
    <t>HPBL4-NL-O26H-10019</t>
  </si>
  <si>
    <t>PIL-NL-I26H-24379</t>
  </si>
  <si>
    <t>HPBL4-NL-O26H-10020</t>
  </si>
  <si>
    <t>PIL-NL-I26H-24380</t>
  </si>
  <si>
    <t>HPBL4-NL-O26H-10021</t>
  </si>
  <si>
    <t>PIL-NL-I26H-24244</t>
  </si>
  <si>
    <t>HPBL4-NL-O26H-10022</t>
  </si>
  <si>
    <t>PIL-NL-I26H-24278</t>
  </si>
  <si>
    <t>HPBL4-NL-O26H-10023</t>
  </si>
  <si>
    <t>PIL-NL-I26H-24309</t>
  </si>
  <si>
    <t>HPBL4-NL-O26H-10024</t>
  </si>
  <si>
    <t>PIL-NL-I26H-24319</t>
  </si>
  <si>
    <t>HPBL4-NL-O26H-10025</t>
  </si>
  <si>
    <t>PIL-NL-I26H-24321</t>
  </si>
  <si>
    <t>HPBL4-NL-O26H-10026</t>
  </si>
  <si>
    <t>PIL-NL-I26H-24327</t>
  </si>
  <si>
    <t>HPBL4-NL-O26H-10027</t>
  </si>
  <si>
    <t>PIL-NL-I26H-24343</t>
  </si>
  <si>
    <t>HPBL4-NL-O26H-10028</t>
  </si>
  <si>
    <t>PIL-NL-I26H-24345</t>
  </si>
  <si>
    <t>HPBL4-NL-O26H-10029</t>
  </si>
  <si>
    <t>PIL-NL-I26H-24252</t>
  </si>
  <si>
    <t>HPBL4-NL-O26H-10030</t>
  </si>
  <si>
    <t>PIL-NL-I26H-24254</t>
  </si>
  <si>
    <t>HPBL4-NL-O26H-10031</t>
  </si>
  <si>
    <t>PIL-NL-I26H-24261</t>
  </si>
  <si>
    <t>HPBL4-NL-O26H-10032</t>
  </si>
  <si>
    <t>PIL-NL-I26H-24304</t>
  </si>
  <si>
    <t>HPBL4-NL-O26H-10033</t>
  </si>
  <si>
    <t>PIL-NL-I26H-24330</t>
  </si>
  <si>
    <t>HPBL4-NL-O26H-10034</t>
  </si>
  <si>
    <t>PIL-NL-I26H-24340</t>
  </si>
  <si>
    <t>HPBL4-NL-O26H-10035</t>
  </si>
  <si>
    <t>PIL-NL-I26H-24342</t>
  </si>
  <si>
    <t>HPBL4-NL-O26H-10036</t>
  </si>
  <si>
    <t>PIL-NL-I26H-24247</t>
  </si>
  <si>
    <t>HPBL4-NL-O26H-10037</t>
  </si>
  <si>
    <t>PIL-NL-I26H-24250</t>
  </si>
  <si>
    <t>HPBL4-NL-O26H-10038</t>
  </si>
  <si>
    <t>PIL-NL-I26H-24270</t>
  </si>
  <si>
    <t>HPBL4-NL-O26H-10039</t>
  </si>
  <si>
    <t>PIL-NL-I26H-24275</t>
  </si>
  <si>
    <t>HPBL4-NL-O26H-10040</t>
  </si>
  <si>
    <t>PIL-NL-I26H-24307</t>
  </si>
  <si>
    <t>HPBL4-NL-O26H-10041</t>
  </si>
  <si>
    <t>PIL-NL-I26H-24313</t>
  </si>
  <si>
    <t>HPBL4-NL-O26H-10042</t>
  </si>
  <si>
    <t>PIL-NL-I26H-24341</t>
  </si>
  <si>
    <t>HPBL4-NL-O26H-10043</t>
  </si>
  <si>
    <t>PIL-NL-I26H-24356</t>
  </si>
  <si>
    <t>HPBL4-NL-O26H-10044</t>
  </si>
  <si>
    <t>PIL-NL-I26H-24375</t>
  </si>
  <si>
    <t>HPBL4-NL-O26H-10045</t>
  </si>
  <si>
    <t>PIL-NL-I26H-24376</t>
  </si>
  <si>
    <t>HPBL4-NL-O26H-10046</t>
  </si>
  <si>
    <t>PIL-NL-I26H-24242</t>
  </si>
  <si>
    <t>HPBL4-NL-O26H-10047</t>
  </si>
  <si>
    <t>PIL-NL-I26H-24251</t>
  </si>
  <si>
    <t>HPBL4-NL-O26H-10048</t>
  </si>
  <si>
    <t>PIL-NL-I26H-24274</t>
  </si>
  <si>
    <t>HPBL4-NL-O26H-10049</t>
  </si>
  <si>
    <t>PIL-NL-I26H-24276</t>
  </si>
  <si>
    <t>HPBL4-NL-O26H-10050</t>
  </si>
  <si>
    <t>PIL-NL-I26H-24281</t>
  </si>
  <si>
    <t>HPBL4-NL-O26H-10051</t>
  </si>
  <si>
    <t>PIL-NL-I26H-24282</t>
  </si>
  <si>
    <t>HPBL4-NL-O26H-10052</t>
  </si>
  <si>
    <t>PIL-NL-I26H-24284</t>
  </si>
  <si>
    <t>HPBL4-NL-O26H-10053</t>
  </si>
  <si>
    <t>PIL-NL-I26H-24325</t>
  </si>
  <si>
    <t>HPBL4-NL-O26H-10054</t>
  </si>
  <si>
    <t>PIL-NL-I26H-24350</t>
  </si>
  <si>
    <t>HPBL4-NL-O26H-10055</t>
  </si>
  <si>
    <t>PIL-NL-I26H-24377</t>
  </si>
  <si>
    <t>HPBL4-NL-O26H-10056</t>
  </si>
  <si>
    <t>PIL-NL-I26H-23749</t>
  </si>
  <si>
    <t>HPBL4-NL-O26H-10057</t>
  </si>
  <si>
    <t>PIL-NL-I26H-24382</t>
  </si>
  <si>
    <t>HPBL4-NL-O26H-10058</t>
  </si>
  <si>
    <t>PIL-NL-I26H-24419</t>
  </si>
  <si>
    <t>HPBL4-NL-O26H-10059</t>
  </si>
  <si>
    <t>PIL-NL-I26H-24422</t>
  </si>
  <si>
    <t>HPBL4-NL-O26H-10060</t>
  </si>
  <si>
    <t>PIL-NL-I26H-24424</t>
  </si>
  <si>
    <t>HPBL4-NL-O26H-10061</t>
  </si>
  <si>
    <t>PIL-NL-I26H-24489</t>
  </si>
  <si>
    <t>HPBL4-NL-O26H-10062</t>
  </si>
  <si>
    <t>PIL-NL-I26H-24490</t>
  </si>
  <si>
    <t>HPBL4-NL-O26H-10063</t>
  </si>
  <si>
    <t>PIL-NL-I26H-24492</t>
  </si>
  <si>
    <t>HPBL4-NL-O26H-10064</t>
  </si>
  <si>
    <t>PIL-NL-I26H-24521</t>
  </si>
  <si>
    <t>HPBL4-NL-O26H-10065</t>
  </si>
  <si>
    <t>PIL-NL-I26H-24393</t>
  </si>
  <si>
    <t>HPBL4-NL-O26H-10066</t>
  </si>
  <si>
    <t>PIL-NL-I26H-24395</t>
  </si>
  <si>
    <t>HPBL4-NL-O26H-10067</t>
  </si>
  <si>
    <t>PIL-NL-I26H-24398</t>
  </si>
  <si>
    <t>HPBL4-NL-O26H-10068</t>
  </si>
  <si>
    <t>PIL-NL-I26H-24415</t>
  </si>
  <si>
    <t>HPBL4-NL-O26H-10069</t>
  </si>
  <si>
    <t>PIL-NL-I26H-24417</t>
  </si>
  <si>
    <t>HPBL4-NL-O26H-10070</t>
  </si>
  <si>
    <t>PIL-NL-I26H-24450</t>
  </si>
  <si>
    <t>HPBL4-NL-O26H-10071</t>
  </si>
  <si>
    <t>PIL-NL-I26H-24472</t>
  </si>
  <si>
    <t>5/55 BLACK/YELLOW+ORANGE</t>
  </si>
  <si>
    <t>HPBL4-NL-O26H-10072</t>
  </si>
  <si>
    <t>PIL-NL-I26H-24480</t>
  </si>
  <si>
    <t>HPBL4-NL-O26H-10073</t>
  </si>
  <si>
    <t>PIL-NL-I26H-24487</t>
  </si>
  <si>
    <t>HPBL4-NL-O26H-10074</t>
  </si>
  <si>
    <t>PIL-NL-I26H-24404</t>
  </si>
  <si>
    <t>HPBL4-NL-O26H-10075</t>
  </si>
  <si>
    <t>PIL-NL-I26H-24430</t>
  </si>
  <si>
    <t>HPBL4-NL-O26H-10076</t>
  </si>
  <si>
    <t>PIL-NL-I26H-24457</t>
  </si>
  <si>
    <t>HPBL4-NL-O26H-10077</t>
  </si>
  <si>
    <t>PIL-NL-I26H-24469</t>
  </si>
  <si>
    <t>HPBL4-NL-O26H-10078</t>
  </si>
  <si>
    <t>PIL-NL-I26H-24494</t>
  </si>
  <si>
    <t>HPBL4-NL-O26H-10079</t>
  </si>
  <si>
    <t>PIL-NL-I26H-24500</t>
  </si>
  <si>
    <t>HPBL4-NL-O26H-10080</t>
  </si>
  <si>
    <t>PIL-NL-I26H-24523</t>
  </si>
  <si>
    <t>HPBL4-NL-O26H-10081</t>
  </si>
  <si>
    <t>PIL-NL-I26H-24381</t>
  </si>
  <si>
    <t>HPBL4-NL-O26H-10082</t>
  </si>
  <si>
    <t>PIL-NL-I26H-24394</t>
  </si>
  <si>
    <t>HPBL4-NL-O26H-10083</t>
  </si>
  <si>
    <t>PIL-NL-I26H-24397</t>
  </si>
  <si>
    <t>HPBL4-NL-O26H-10084</t>
  </si>
  <si>
    <t>PIL-NL-I26H-24400</t>
  </si>
  <si>
    <t>HPBL4-NL-O26H-10085</t>
  </si>
  <si>
    <t>PIL-NL-I26H-24401</t>
  </si>
  <si>
    <t>HPBL4-NL-O26H-10086</t>
  </si>
  <si>
    <t>PIL-NL-I26H-24408</t>
  </si>
  <si>
    <t>HPBL4-NL-O26H-10087</t>
  </si>
  <si>
    <t>PIL-NL-I26H-24431</t>
  </si>
  <si>
    <t>HPBL4-NL-O26H-10088</t>
  </si>
  <si>
    <t>PIL-NL-I26H-24432</t>
  </si>
  <si>
    <t>HPBL4-NL-O26H-10089</t>
  </si>
  <si>
    <t>PIL-NL-I26H-24454</t>
  </si>
  <si>
    <t>HPBL4-NL-O26H-10090</t>
  </si>
  <si>
    <t>PIL-NL-I26H-24455</t>
  </si>
  <si>
    <t>HPBL4-NL-O26H-10091</t>
  </si>
  <si>
    <t>PIL-NL-I26H-24478</t>
  </si>
  <si>
    <t>HPBL4-NL-O26H-10092</t>
  </si>
  <si>
    <t>PIL-NL-I26H-24479</t>
  </si>
  <si>
    <t>HPBL4-NL-O26H-10093</t>
  </si>
  <si>
    <t>PIL-NL-I26H-24481</t>
  </si>
  <si>
    <t>HPBL4-NL-O26H-10094</t>
  </si>
  <si>
    <t>PIL-NL-I26H-24499</t>
  </si>
  <si>
    <t>HPBL4-NL-O26H-10095</t>
  </si>
  <si>
    <t>PIL-NL-I26H-24501</t>
  </si>
  <si>
    <t>HPBL4-NL-O26H-10096</t>
  </si>
  <si>
    <t>PIL-NL-I26H-24502</t>
  </si>
  <si>
    <t>HPBL4-NL-O26H-10097</t>
  </si>
  <si>
    <t>PIL-NL-I26H-24522</t>
  </si>
  <si>
    <t>HPBL4-NL-O26H-10098</t>
  </si>
  <si>
    <t>PIL-NL-I26H-24527</t>
  </si>
  <si>
    <t>HPBL4-NL-O26H-10099</t>
  </si>
  <si>
    <t>PIL-NL-I26H-24414</t>
  </si>
  <si>
    <t>HPBL4-NL-O26H-10100</t>
  </si>
  <si>
    <t>PIL-NL-I26H-24418</t>
  </si>
  <si>
    <t>HPBL4-NL-O26H-10101</t>
  </si>
  <si>
    <t>PIL-NL-I26H-24420</t>
  </si>
  <si>
    <t>HPBL4-NL-O26H-10102</t>
  </si>
  <si>
    <t>PIL-NL-I26H-24429</t>
  </si>
  <si>
    <t>HPBL4-NL-O26H-10103</t>
  </si>
  <si>
    <t>PIL-NL-I26H-24449</t>
  </si>
  <si>
    <t>HPBL4-NL-O26H-10104</t>
  </si>
  <si>
    <t>PIL-NL-I26H-24453</t>
  </si>
  <si>
    <t>HPBL4-NL-O26H-10105</t>
  </si>
  <si>
    <t>PIL-NL-I26H-24456</t>
  </si>
  <si>
    <t>HPBL4-NL-O26H-10106</t>
  </si>
  <si>
    <t>PIL-NL-I26H-24473</t>
  </si>
  <si>
    <t>HPBL4-NL-O26H-10107</t>
  </si>
  <si>
    <t>PIL-NL-I26H-24493</t>
  </si>
  <si>
    <t>HPBL4-NL-O26H-10108</t>
  </si>
  <si>
    <t>PIL-NL-I26H-24384</t>
  </si>
  <si>
    <t>HPBL4-NL-O26H-10109</t>
  </si>
  <si>
    <t>PIL-NL-I26H-24396</t>
  </si>
  <si>
    <t>HPBL4-NL-O26H-10110</t>
  </si>
  <si>
    <t>PIL-NL-I26H-24423</t>
  </si>
  <si>
    <t>HPBL4-NL-O26H-10111</t>
  </si>
  <si>
    <t>PIL-NL-I26H-24466</t>
  </si>
  <si>
    <t>HPBL4-NL-O26H-10112</t>
  </si>
  <si>
    <t>PIL-NL-I26H-24503</t>
  </si>
  <si>
    <t>HPBL4-NL-O26H-10113</t>
  </si>
  <si>
    <t>PIL-NL-I26H-24383</t>
  </si>
  <si>
    <t>HPBL4-NL-O26H-10114</t>
  </si>
  <si>
    <t>PIL-NL-I26H-24385</t>
  </si>
  <si>
    <t>HPBL4-NL-O26H-10115</t>
  </si>
  <si>
    <t>PIL-NL-I26H-24421</t>
  </si>
  <si>
    <t>HPBL4-NL-O26H-10116</t>
  </si>
  <si>
    <t>PIL-NL-I26H-24465</t>
  </si>
  <si>
    <t>HPBL4-NL-O26H-10117</t>
  </si>
  <si>
    <t>PIL-NL-I26H-24467</t>
  </si>
  <si>
    <t>HPBL4-NL-O26H-10118</t>
  </si>
  <si>
    <t>PIL-NL-I26H-24488</t>
  </si>
  <si>
    <t>HPBL4-NL-O26H-10119</t>
  </si>
  <si>
    <t>PIL-NL-I26H-24491</t>
  </si>
  <si>
    <t>HPBL4-NL-O26H-10120</t>
  </si>
  <si>
    <t>PIL-NL-I26H-24405</t>
  </si>
  <si>
    <t>HPBL4-NL-O26H-10121</t>
  </si>
  <si>
    <t>PIL-NL-I26H-24416</t>
  </si>
  <si>
    <t>HPBL4-NL-O26H-10122</t>
  </si>
  <si>
    <t>PIL-NL-I26H-24428</t>
  </si>
  <si>
    <t>HPBL4-NL-O26H-10123</t>
  </si>
  <si>
    <t>PIL-NL-I26H-24448</t>
  </si>
  <si>
    <t>HPBL4-NL-O26H-10124</t>
  </si>
  <si>
    <t>PIL-NL-I26H-24468</t>
  </si>
  <si>
    <t>HPBL4-NL-O26H-10125</t>
  </si>
  <si>
    <t>PIL-NL-I26H-24495</t>
  </si>
  <si>
    <t>HPBL4-NL-O26H-10126</t>
  </si>
  <si>
    <t>PIL-NL-I26H-24538</t>
  </si>
  <si>
    <t>HPBL4-NL-O26H-10127</t>
  </si>
  <si>
    <t>PIL-NL-I26H-24557</t>
  </si>
  <si>
    <t>HPBL4-NL-O26H-10128</t>
  </si>
  <si>
    <t>PIL-NL-I26H-24571</t>
  </si>
  <si>
    <t>HPBL4-NL-O26H-10129</t>
  </si>
  <si>
    <t>PIL-NL-I26H-24574</t>
  </si>
  <si>
    <t>HPBL4-NL-O26H-10130</t>
  </si>
  <si>
    <t>PIL-NL-I26H-24602</t>
  </si>
  <si>
    <t>HPBL4-NL-O26H-10131</t>
  </si>
  <si>
    <t>PIL-NL-I26H-24613</t>
  </si>
  <si>
    <t>HPBL4-NL-O26H-10132</t>
  </si>
  <si>
    <t>PIL-NL-I26H-24616</t>
  </si>
  <si>
    <t>4/30 BLACK 30% RP/GREEN+ORANGE</t>
  </si>
  <si>
    <t>HPBL4-NL-O26H-10133</t>
  </si>
  <si>
    <t>PIL-NL-I26H-24619</t>
  </si>
  <si>
    <t>HPBL4-NL-O26H-10134</t>
  </si>
  <si>
    <t>PIL-NL-I26H-24620</t>
  </si>
  <si>
    <t>HPBL4-NL-O26H-10135</t>
  </si>
  <si>
    <t>PIL-NL-I26H-24636</t>
  </si>
  <si>
    <t>HPBL4-NL-O26H-10136</t>
  </si>
  <si>
    <t>PIL-NL-I26H-24640</t>
  </si>
  <si>
    <t>HPBL4-NL-O26H-10137</t>
  </si>
  <si>
    <t>PIL-NL-I26H-24528</t>
  </si>
  <si>
    <t>HPBL4-NL-O26H-10138</t>
  </si>
  <si>
    <t>PIL-NL-I26H-24531</t>
  </si>
  <si>
    <t>HPBL4-NL-O26H-10139</t>
  </si>
  <si>
    <t>PIL-NL-I26H-24543</t>
  </si>
  <si>
    <t>HPBL4-NL-O26H-10140</t>
  </si>
  <si>
    <t>PIL-NL-I26H-24545</t>
  </si>
  <si>
    <t>HPBL4-NL-O26H-10141</t>
  </si>
  <si>
    <t>PIL-NL-I26H-24558</t>
  </si>
  <si>
    <t>HPBL4-NL-O26H-10142</t>
  </si>
  <si>
    <t>PIL-NL-I26H-24599</t>
  </si>
  <si>
    <t>HPBL4-NL-O26H-10143</t>
  </si>
  <si>
    <t>PIL-NL-I26H-24624</t>
  </si>
  <si>
    <t>5/32 BLACK/RED</t>
  </si>
  <si>
    <t>HPBL4-NL-O26H-10144</t>
  </si>
  <si>
    <t>PIL-NL-I26H-24649</t>
  </si>
  <si>
    <t>HPBL4-NL-O26H-10145</t>
  </si>
  <si>
    <t>PIL-NL-I26H-24650</t>
  </si>
  <si>
    <t>HPBL4-NL-O26H-10146</t>
  </si>
  <si>
    <t>PIL-NL-I26H-24547</t>
  </si>
  <si>
    <t>HPBL4-NL-O26H-10147</t>
  </si>
  <si>
    <t>PIL-NL-I26H-24562</t>
  </si>
  <si>
    <t>HPBL4-NL-O26H-10148</t>
  </si>
  <si>
    <t>PIL-NL-I26H-24564</t>
  </si>
  <si>
    <t>HPBL4-NL-O26H-10149</t>
  </si>
  <si>
    <t>PIL-NL-I26H-24603</t>
  </si>
  <si>
    <t>HPBL4-NL-O26H-10150</t>
  </si>
  <si>
    <t>PIL-NL-I26H-24622</t>
  </si>
  <si>
    <t>5/55 BLUE-288C/RED</t>
  </si>
  <si>
    <t>HPBL4-NL-O26H-10151</t>
  </si>
  <si>
    <t>PIL-NL-I26H-24635</t>
  </si>
  <si>
    <t>HPBL4-NL-O26H-10152</t>
  </si>
  <si>
    <t>PIL-NL-I26H-24645</t>
  </si>
  <si>
    <t>HPBL4-NL-O26H-10153</t>
  </si>
  <si>
    <t>PIL-NL-I26H-24647</t>
  </si>
  <si>
    <t>HPBL4-NL-O26H-10154</t>
  </si>
  <si>
    <t>PIL-NL-I26H-24529</t>
  </si>
  <si>
    <t>HPBL4-NL-O26H-10155</t>
  </si>
  <si>
    <t>PIL-NL-I26H-24530</t>
  </si>
  <si>
    <t>HPBL4-NL-O26H-10156</t>
  </si>
  <si>
    <t>PIL-NL-I26H-24546</t>
  </si>
  <si>
    <t>HPBL4-NL-O26H-10157</t>
  </si>
  <si>
    <t>PIL-NL-I26H-24561</t>
  </si>
  <si>
    <t>HPBL4-NL-O26H-10158</t>
  </si>
  <si>
    <t>PIL-NL-I26H-24563</t>
  </si>
  <si>
    <t>HPBL4-NL-O26H-10159</t>
  </si>
  <si>
    <t>PIL-NL-I26H-24565</t>
  </si>
  <si>
    <t>HPBL4-NL-O26H-10160</t>
  </si>
  <si>
    <t>PIL-NL-I26H-24607</t>
  </si>
  <si>
    <t>HPBL4-NL-O26H-10161</t>
  </si>
  <si>
    <t>PIL-NL-I26H-24623</t>
  </si>
  <si>
    <t>HPBL4-NL-O26H-10162</t>
  </si>
  <si>
    <t>PIL-NL-I26H-24625</t>
  </si>
  <si>
    <t>HPBL4-NL-O26H-10163</t>
  </si>
  <si>
    <t>PIL-NL-I26H-24646</t>
  </si>
  <si>
    <t>HPBL4-NL-O26H-10164</t>
  </si>
  <si>
    <t>PIL-NL-I26H-24651</t>
  </si>
  <si>
    <t>HPBL4-NL-O26H-10165</t>
  </si>
  <si>
    <t>PIL-NL-I26H-24536</t>
  </si>
  <si>
    <t>HPBL4-NL-O26H-10166</t>
  </si>
  <si>
    <t>PIL-NL-I26H-24548</t>
  </si>
  <si>
    <t>HPBL4-NL-O26H-10167</t>
  </si>
  <si>
    <t>PIL-NL-I26H-24596</t>
  </si>
  <si>
    <t>HPBL4-NL-O26H-10168</t>
  </si>
  <si>
    <t>PIL-NL-I26H-24598</t>
  </si>
  <si>
    <t>HPBL4-NL-O26H-10169</t>
  </si>
  <si>
    <t>PIL-NL-I26H-24604</t>
  </si>
  <si>
    <t>HPBL4-NL-O26H-10170</t>
  </si>
  <si>
    <t>PIL-NL-I26H-24606</t>
  </si>
  <si>
    <t>HPBL4-NL-O26H-10171</t>
  </si>
  <si>
    <t>PIL-NL-I26H-24617</t>
  </si>
  <si>
    <t>4/50 MW 30% RP/BLUE+ORANGE</t>
  </si>
  <si>
    <t>HPBL4-NL-O26H-10172</t>
  </si>
  <si>
    <t>PIL-NL-I26H-24634</t>
  </si>
  <si>
    <t>HPBL4-NL-O26H-10173</t>
  </si>
  <si>
    <t>PIL-NL-I26H-24642</t>
  </si>
  <si>
    <t>5/40 MW/YELLOW</t>
  </si>
  <si>
    <t>HPBL4-NL-O26H-10174</t>
  </si>
  <si>
    <t>PIL-NL-I26H-24667</t>
  </si>
  <si>
    <t>1.5/30 MW/TIE</t>
  </si>
  <si>
    <t>HPBL4-NL-O26H-10175</t>
  </si>
  <si>
    <t>PIL-NL-I26H-24670</t>
  </si>
  <si>
    <t>HPBL4-NL-O26H-10176</t>
  </si>
  <si>
    <t>PIL-NL-I26H-24532</t>
  </si>
  <si>
    <t>HPBL4-NL-O26H-10177</t>
  </si>
  <si>
    <t>PIL-NL-I26H-24573</t>
  </si>
  <si>
    <t>HPBL4-NL-O26H-10178</t>
  </si>
  <si>
    <t>PIL-NL-I26H-24576</t>
  </si>
  <si>
    <t>HPBL4-NL-O26H-10179</t>
  </si>
  <si>
    <t>PIL-NL-I26H-24601</t>
  </si>
  <si>
    <t>HPBL4-NL-O26H-10180</t>
  </si>
  <si>
    <t>PIL-NL-I26H-24614</t>
  </si>
  <si>
    <t>HPBL4-NL-O26H-10181</t>
  </si>
  <si>
    <t>PIL-NL-I26H-24637</t>
  </si>
  <si>
    <t>4/40 MW 30% RP/BLUE+ORANGE</t>
  </si>
  <si>
    <t>HPBL4-NL-O26H-10182</t>
  </si>
  <si>
    <t>PIL-NL-I26H-24638</t>
  </si>
  <si>
    <t>HPBL4-NL-O26H-10183</t>
  </si>
  <si>
    <t>PIL-NL-I26H-24641</t>
  </si>
  <si>
    <t>HPBL4-NL-O26H-10184</t>
  </si>
  <si>
    <t>PIL-NL-I26H-24669</t>
  </si>
  <si>
    <t>HPBL4-NL-O26H-10185</t>
  </si>
  <si>
    <t>PIL-NL-I26H-24539</t>
  </si>
  <si>
    <t>HPBL4-NL-O26H-10186</t>
  </si>
  <si>
    <t>PIL-NL-I26H-24559</t>
  </si>
  <si>
    <t>HPBL4-NL-O26H-10187</t>
  </si>
  <si>
    <t>PIL-NL-I26H-24572</t>
  </si>
  <si>
    <t>HPBL4-NL-O26H-10188</t>
  </si>
  <si>
    <t>PIL-NL-I26H-24577</t>
  </si>
  <si>
    <t>HPBL4-NL-O26H-10189</t>
  </si>
  <si>
    <t>PIL-NL-I26H-24605</t>
  </si>
  <si>
    <t>HPBL4-NL-O26H-10190</t>
  </si>
  <si>
    <t>PIL-NL-I26H-24615</t>
  </si>
  <si>
    <t>HPBL4-NL-O26H-10191</t>
  </si>
  <si>
    <t>PIL-NL-I26H-24626</t>
  </si>
  <si>
    <t>HPBL4-NL-O26H-10192</t>
  </si>
  <si>
    <t>PIL-NL-I26H-24643</t>
  </si>
  <si>
    <t>HPBL4-NL-O26H-10193</t>
  </si>
  <si>
    <t>PIL-NL-I26H-24668</t>
  </si>
  <si>
    <t>HPBL4-NL-O26H-10194</t>
  </si>
  <si>
    <t>PIL-NL-I26H-24537</t>
  </si>
  <si>
    <t>HPBL4-NL-O26H-10195</t>
  </si>
  <si>
    <t>PIL-NL-I26H-24540</t>
  </si>
  <si>
    <t>HPBL4-NL-O26H-10196</t>
  </si>
  <si>
    <t>PIL-NL-I26H-24542</t>
  </si>
  <si>
    <t>HPBL4-NL-O26H-10197</t>
  </si>
  <si>
    <t>PIL-NL-I26H-24569</t>
  </si>
  <si>
    <t>HPBL4-NL-O26H-10198</t>
  </si>
  <si>
    <t>PIL-NL-I26H-24570</t>
  </si>
  <si>
    <t>HPBL4-NL-O26H-10199</t>
  </si>
  <si>
    <t>PIL-NL-I26H-24575</t>
  </si>
  <si>
    <t>HPBL4-NL-O26H-10200</t>
  </si>
  <si>
    <t>PIL-NL-I26H-24639</t>
  </si>
  <si>
    <t>HPBL4-NL-O26H-10201</t>
  </si>
  <si>
    <t>PIL-NL-I26H-24648</t>
  </si>
  <si>
    <t>HPBL4-NL-O26H-10202</t>
  </si>
  <si>
    <t>PIL-NL-I26H-24687</t>
  </si>
  <si>
    <t>HPBL4-NL-O26H-10203</t>
  </si>
  <si>
    <t>PIL-NL-I26H-24690</t>
  </si>
  <si>
    <t>HPBL4-NL-O26H-10204</t>
  </si>
  <si>
    <t>PIL-NL-I26H-24708</t>
  </si>
  <si>
    <t>HPBL4-NL-O26H-10205</t>
  </si>
  <si>
    <t>PIL-NL-I26H-24716</t>
  </si>
  <si>
    <t>HPBL4-NL-O26H-10206</t>
  </si>
  <si>
    <t>PIL-NL-I26H-24782</t>
  </si>
  <si>
    <t>HPBL4-NL-O26H-10207</t>
  </si>
  <si>
    <t>PIL-NL-I26H-24784</t>
  </si>
  <si>
    <t>HPBL4-NL-O26H-10208</t>
  </si>
  <si>
    <t>PIL-NL-I26H-24686</t>
  </si>
  <si>
    <t>HPBL4-NL-O26H-10209</t>
  </si>
  <si>
    <t>PIL-NL-I26H-24713</t>
  </si>
  <si>
    <t>HPBL4-NL-O26H-10210</t>
  </si>
  <si>
    <t>PIL-NL-I26H-24760</t>
  </si>
  <si>
    <t>HPBL4-NL-O26H-10211</t>
  </si>
  <si>
    <t>PIL-NL-I26H-24783</t>
  </si>
  <si>
    <t>HPBL4-NL-O26H-10212</t>
  </si>
  <si>
    <t>PIL-NL-I26H-24804</t>
  </si>
  <si>
    <t>HPBL4-NL-O26H-10213</t>
  </si>
  <si>
    <t>PIL-NL-I26H-24680</t>
  </si>
  <si>
    <t>HPBL4-NL-O26H-10214</t>
  </si>
  <si>
    <t>PIL-NL-I26H-24706</t>
  </si>
  <si>
    <t>HPBL4-NL-O26H-10215</t>
  </si>
  <si>
    <t>PIL-NL-I26H-24720</t>
  </si>
  <si>
    <t>HPBL4-NL-O26H-10216</t>
  </si>
  <si>
    <t>PIL-NL-I26H-24757</t>
  </si>
  <si>
    <t>HPBL4-NL-O26H-10217</t>
  </si>
  <si>
    <t>PIL-NL-I26H-24762</t>
  </si>
  <si>
    <t>HPBL4-NL-O26H-10218</t>
  </si>
  <si>
    <t>PIL-NL-I26H-24776</t>
  </si>
  <si>
    <t>HPBL4-NL-O26H-10219</t>
  </si>
  <si>
    <t>PIL-NL-I26H-24778</t>
  </si>
  <si>
    <t>HPBL4-NL-O26H-10220</t>
  </si>
  <si>
    <t>PIL-NL-I26H-24803</t>
  </si>
  <si>
    <t>HPBL4-NL-O26H-10221</t>
  </si>
  <si>
    <t>PIL-NL-I26H-24689</t>
  </si>
  <si>
    <t>HPBL4-NL-O26H-10222</t>
  </si>
  <si>
    <t>PIL-NL-I26H-24696</t>
  </si>
  <si>
    <t>HPBL4-NL-O26H-10223</t>
  </si>
  <si>
    <t>PIL-NL-I26H-24707</t>
  </si>
  <si>
    <t>HPBL4-NL-O26H-10224</t>
  </si>
  <si>
    <t>PIL-NL-I26H-24715</t>
  </si>
  <si>
    <t>HPBL4-NL-O26H-10225</t>
  </si>
  <si>
    <t>PIL-NL-I26H-24721</t>
  </si>
  <si>
    <t>HPBL4-NL-O26H-10226</t>
  </si>
  <si>
    <t>PIL-NL-I26H-24756</t>
  </si>
  <si>
    <t>HPBL4-NL-O26H-10227</t>
  </si>
  <si>
    <t>PIL-NL-I26H-24761</t>
  </si>
  <si>
    <t>HPBL4-NL-O26H-10228</t>
  </si>
  <si>
    <t>PIL-NL-I26H-24777</t>
  </si>
  <si>
    <t>HPBL4-NL-O26H-10229</t>
  </si>
  <si>
    <t>PIL-NL-I26H-24785</t>
  </si>
  <si>
    <t>HPBL4-NL-O26H-10230</t>
  </si>
  <si>
    <t>PIL-NL-I26H-24673</t>
  </si>
  <si>
    <t>HPBL4-NL-O26H-10231</t>
  </si>
  <si>
    <t>PIL-NL-I26H-24676</t>
  </si>
  <si>
    <t>HPBL4-NL-O26H-10232</t>
  </si>
  <si>
    <t>PIL-NL-I26H-24685</t>
  </si>
  <si>
    <t>HPBL4-NL-O26H-10233</t>
  </si>
  <si>
    <t>PIL-NL-I26H-24693</t>
  </si>
  <si>
    <t>HPBL4-NL-O26H-10234</t>
  </si>
  <si>
    <t>PIL-NL-I26H-24714</t>
  </si>
  <si>
    <t>HPBL4-NL-O26H-10235</t>
  </si>
  <si>
    <t>PIL-NL-I26H-24751</t>
  </si>
  <si>
    <t>HPBL4-NL-O26H-10236</t>
  </si>
  <si>
    <t>PIL-NL-I26H-24773</t>
  </si>
  <si>
    <t>HPBL4-NL-O26H-10237</t>
  </si>
  <si>
    <t>PIL-NL-I26H-24683</t>
  </si>
  <si>
    <t>HPBL4-NL-O26H-10238</t>
  </si>
  <si>
    <t>PIL-NL-I26H-24703</t>
  </si>
  <si>
    <t>HPBL4-NL-O26H-10239</t>
  </si>
  <si>
    <t>PIL-NL-I26H-24705</t>
  </si>
  <si>
    <t>HPBL4-NL-O26H-10240</t>
  </si>
  <si>
    <t>PIL-NL-I26H-24717</t>
  </si>
  <si>
    <t>HPBL4-NL-O26H-10241</t>
  </si>
  <si>
    <t>PIL-NL-I26H-24719</t>
  </si>
  <si>
    <t>HPBL4-NL-O26H-10242</t>
  </si>
  <si>
    <t>PIL-NL-I26H-24758</t>
  </si>
  <si>
    <t>HPBL4-NL-O26H-10243</t>
  </si>
  <si>
    <t>PIL-NL-I26H-24763</t>
  </si>
  <si>
    <t>HPBL4-NL-O26H-10244</t>
  </si>
  <si>
    <t>PIL-NL-I26H-24775</t>
  </si>
  <si>
    <t>HPBL4-NL-O26H-10245</t>
  </si>
  <si>
    <t>PIL-NL-I26H-24674</t>
  </si>
  <si>
    <t>HPBL4-NL-O26H-10246</t>
  </si>
  <si>
    <t>PIL-NL-I26H-24675</t>
  </si>
  <si>
    <t>HPBL4-NL-O26H-10247</t>
  </si>
  <si>
    <t>PIL-NL-I26H-24691</t>
  </si>
  <si>
    <t>HPBL4-NL-O26H-10248</t>
  </si>
  <si>
    <t>PIL-NL-I26H-24694</t>
  </si>
  <si>
    <t>HPBL4-NL-O26H-10249</t>
  </si>
  <si>
    <t>PIL-NL-I26H-24709</t>
  </si>
  <si>
    <t>HPBL4-NL-O26H-10250</t>
  </si>
  <si>
    <t>PIL-NL-I26H-24750</t>
  </si>
  <si>
    <t>HPBL4-NL-O26H-10251</t>
  </si>
  <si>
    <t>PIL-NL-I26H-24774</t>
  </si>
  <si>
    <t>HPBL4-NL-O26H-10252</t>
  </si>
  <si>
    <t>PIL-NL-I26H-24786</t>
  </si>
  <si>
    <t>HPBL4-NL-O26H-10253</t>
  </si>
  <si>
    <t>PIL-NL-I26H-24787</t>
  </si>
  <si>
    <t>HPBL4-NL-O26H-10254</t>
  </si>
  <si>
    <t>PIL-NL-I26H-24684</t>
  </si>
  <si>
    <t>HPBL4-NL-O26H-10255</t>
  </si>
  <si>
    <t>PIL-NL-I26H-24704</t>
  </si>
  <si>
    <t>HPBL4-NL-O26H-10256</t>
  </si>
  <si>
    <t>PIL-NL-I26H-24718</t>
  </si>
  <si>
    <t>HPBL4-NL-O26H-10257</t>
  </si>
  <si>
    <t>PIL-NL-I26H-24759</t>
  </si>
  <si>
    <t>HPBL4-NL-O26H-10258</t>
  </si>
  <si>
    <t>PIL-NL-I26H-24781</t>
  </si>
  <si>
    <t>HPBL4-NL-O26H-10259</t>
  </si>
  <si>
    <t>5/40 BLUE-288C/</t>
  </si>
  <si>
    <t>PPL-NL-O26H-06382</t>
  </si>
  <si>
    <t>HPBL 4 DT 09.08.26</t>
  </si>
  <si>
    <t>HPBL4-NL-O26H-10260</t>
  </si>
  <si>
    <t>PPL-NL-O26H-06381</t>
  </si>
  <si>
    <t>HPBL4-NL-O26H-10261</t>
  </si>
  <si>
    <t>PPL-NL-O26H-06385</t>
  </si>
  <si>
    <t>HPBL4-NL-O26H-10262</t>
  </si>
  <si>
    <t>PPL-NL-O26H-06387</t>
  </si>
  <si>
    <t>HPBL4-NL-O26H-10263</t>
  </si>
  <si>
    <t>PPL-NL-O26H-06383</t>
  </si>
  <si>
    <t>HPBL4-NL-O26H-10264</t>
  </si>
  <si>
    <t>PPL-NL-O26H-06384</t>
  </si>
  <si>
    <t>HPBL4-NL-O26H-10265</t>
  </si>
  <si>
    <t>PPL-NL-O26H-06386</t>
  </si>
  <si>
    <t>HPBL4-NL-O26H-10266</t>
  </si>
  <si>
    <t>PPL-NL-O26H-06388</t>
  </si>
  <si>
    <t>HPBL4-NL-O26H-10267</t>
  </si>
  <si>
    <t>PPL-NL-O26H-06391</t>
  </si>
  <si>
    <t>HPBL4-NL-O26H-10268</t>
  </si>
  <si>
    <t>PPL-NL-O26H-06389</t>
  </si>
  <si>
    <t>HPBL4-NL-O26H-10269</t>
  </si>
  <si>
    <t>PPL-NL-O26H-06390</t>
  </si>
  <si>
    <t>HPBL4-NL-O26H-10270</t>
  </si>
  <si>
    <t>PPL-NL-O26H-06392</t>
  </si>
  <si>
    <t>HPBL4-NL-O26H-10271</t>
  </si>
  <si>
    <t>PIL-NL-I26E-13828</t>
  </si>
  <si>
    <t>pil to hpbl-4</t>
  </si>
  <si>
    <t>HPBL4-NL-O26H-10272</t>
  </si>
  <si>
    <t>PIL-NL-I26E-13929</t>
  </si>
  <si>
    <t>HPBL4-NL-O26H-10273</t>
  </si>
  <si>
    <t>PIL-NL-I26A-03847</t>
  </si>
  <si>
    <t>HPBL4-NL-O26H-10274</t>
  </si>
  <si>
    <t>PIL-NL-I26G-22171</t>
  </si>
  <si>
    <t>HPBL4-NL-O26H-10275</t>
  </si>
  <si>
    <t>PIL-NL-I26H-24823</t>
  </si>
  <si>
    <t>HPBL4-NL-O26H-10276</t>
  </si>
  <si>
    <t>PIL-NL-I26H-24825</t>
  </si>
  <si>
    <t>HPBL4-NL-O26H-10277</t>
  </si>
  <si>
    <t>PIL-NL-I26H-24842</t>
  </si>
  <si>
    <t>HPBL4-NL-O26H-10278</t>
  </si>
  <si>
    <t>PIL-NL-I26H-24848</t>
  </si>
  <si>
    <t>HPBL4-NL-O26H-10279</t>
  </si>
  <si>
    <t>PIL-NL-I26H-24856</t>
  </si>
  <si>
    <t>HPBL4-NL-O26H-10280</t>
  </si>
  <si>
    <t>PIL-NL-I26H-24900</t>
  </si>
  <si>
    <t>HPBL4-NL-O26H-10281</t>
  </si>
  <si>
    <t>PIL-NL-I26H-24816</t>
  </si>
  <si>
    <t>HPBL4-NL-O26H-10282</t>
  </si>
  <si>
    <t>PIL-NL-I26H-24827</t>
  </si>
  <si>
    <t>HPBL4-NL-O26H-10283</t>
  </si>
  <si>
    <t>PIL-NL-I26H-24844</t>
  </si>
  <si>
    <t>HPBL4-NL-O26H-10284</t>
  </si>
  <si>
    <t>PIL-NL-I26H-24847</t>
  </si>
  <si>
    <t>HPBL4-NL-O26H-10285</t>
  </si>
  <si>
    <t>PIL-NL-I26H-24853</t>
  </si>
  <si>
    <t>HPBL4-NL-O26H-10286</t>
  </si>
  <si>
    <t>PIL-NL-I26H-24868</t>
  </si>
  <si>
    <t>HPBL4-NL-O26H-10287</t>
  </si>
  <si>
    <t>PIL-NL-I26H-24892</t>
  </si>
  <si>
    <t>HPBL4-NL-O26H-10288</t>
  </si>
  <si>
    <t>PIL-NL-I26H-24916</t>
  </si>
  <si>
    <t>HPBL4-NL-O26H-10289</t>
  </si>
  <si>
    <t>PIL-NL-I26H-24928</t>
  </si>
  <si>
    <t>HPBL4-NL-O26H-10290</t>
  </si>
  <si>
    <t>PIL-NL-I26H-24937</t>
  </si>
  <si>
    <t>HPBL4-NL-O26H-10291</t>
  </si>
  <si>
    <t>PIL-NL-I26H-24947</t>
  </si>
  <si>
    <t>HPBL4-NL-O26H-10292</t>
  </si>
  <si>
    <t>PIL-NL-I26H-24817</t>
  </si>
  <si>
    <t>HPBL4-NL-O26H-10293</t>
  </si>
  <si>
    <t>PIL-NL-I26H-24818</t>
  </si>
  <si>
    <t>HPBL4-NL-O26H-10294</t>
  </si>
  <si>
    <t>PIL-NL-I26H-24839</t>
  </si>
  <si>
    <t>HPBL4-NL-O26H-10295</t>
  </si>
  <si>
    <t>PIL-NL-I26H-24850</t>
  </si>
  <si>
    <t>HPBL4-NL-O26H-10296</t>
  </si>
  <si>
    <t>PIL-NL-I26H-24875</t>
  </si>
  <si>
    <t>HPBL4-NL-O26H-10297</t>
  </si>
  <si>
    <t>PIL-NL-I26H-24876</t>
  </si>
  <si>
    <t>HPBL4-NL-O26H-10298</t>
  </si>
  <si>
    <t>PIL-NL-I26H-24895</t>
  </si>
  <si>
    <t>HPBL4-NL-O26H-10299</t>
  </si>
  <si>
    <t>PIL-NL-I26H-24903</t>
  </si>
  <si>
    <t>HPBL4-NL-O26H-10300</t>
  </si>
  <si>
    <t>PIL-NL-I26H-24923</t>
  </si>
  <si>
    <t>HPBL4-NL-O26H-10301</t>
  </si>
  <si>
    <t>PIL-NL-I26H-24820</t>
  </si>
  <si>
    <t>HPBL4-NL-O26H-10302</t>
  </si>
  <si>
    <t>PIL-NL-I26H-24829</t>
  </si>
  <si>
    <t>HPBL4-NL-O26H-10303</t>
  </si>
  <si>
    <t>PIL-NL-I26H-24830</t>
  </si>
  <si>
    <t>HPBL4-NL-O26H-10304</t>
  </si>
  <si>
    <t>PIL-NL-I26H-24894</t>
  </si>
  <si>
    <t>HPBL4-NL-O26H-10305</t>
  </si>
  <si>
    <t>PIL-NL-I26H-24905</t>
  </si>
  <si>
    <t>HPBL4-NL-O26H-10306</t>
  </si>
  <si>
    <t>PIL-NL-I26H-24906</t>
  </si>
  <si>
    <t>HPBL4-NL-O26H-10307</t>
  </si>
  <si>
    <t>PIL-NL-I26H-24921</t>
  </si>
  <si>
    <t>HPBL4-NL-O26H-10308</t>
  </si>
  <si>
    <t>PIL-NL-I26H-24930</t>
  </si>
  <si>
    <t>HPBL4-NL-O26H-10309</t>
  </si>
  <si>
    <t>PIL-NL-I26H-24939</t>
  </si>
  <si>
    <t>HPBL4-NL-O26H-10310</t>
  </si>
  <si>
    <t>PIL-NL-I26H-24819</t>
  </si>
  <si>
    <t>HPBL4-NL-O26H-10311</t>
  </si>
  <si>
    <t>PIL-NL-I26H-24837</t>
  </si>
  <si>
    <t>HPBL4-NL-O26H-10312</t>
  </si>
  <si>
    <t>PIL-NL-I26H-24840</t>
  </si>
  <si>
    <t>HPBL4-NL-O26H-10313</t>
  </si>
  <si>
    <t>PIL-NL-I26H-24854</t>
  </si>
  <si>
    <t>HPBL4-NL-O26H-10314</t>
  </si>
  <si>
    <t>PIL-NL-I26H-24855</t>
  </si>
  <si>
    <t>HPBL4-NL-O26H-10315</t>
  </si>
  <si>
    <t>PIL-NL-I26H-24878</t>
  </si>
  <si>
    <t>HPBL4-NL-O26H-10316</t>
  </si>
  <si>
    <t>PIL-NL-I26H-24918</t>
  </si>
  <si>
    <t>HPBL4-NL-O26H-10317</t>
  </si>
  <si>
    <t>PIL-NL-I26H-24924</t>
  </si>
  <si>
    <t>HPBL4-NL-O26H-10318</t>
  </si>
  <si>
    <t>PIL-NL-I26H-24925</t>
  </si>
  <si>
    <t>HPBL4-NL-O26H-10319</t>
  </si>
  <si>
    <t>PIL-NL-I26H-24926</t>
  </si>
  <si>
    <t>HPBL4-NL-O26H-10320</t>
  </si>
  <si>
    <t>PIL-NL-I26H-24838</t>
  </si>
  <si>
    <t>HPBL4-NL-O26H-10321</t>
  </si>
  <si>
    <t>PIL-NL-I26H-24841</t>
  </si>
  <si>
    <t>HPBL4-NL-O26H-10322</t>
  </si>
  <si>
    <t>PIL-NL-I26H-24846</t>
  </si>
  <si>
    <t>HPBL4-NL-O26H-10323</t>
  </si>
  <si>
    <t>PIL-NL-I26H-24852</t>
  </si>
  <si>
    <t>HPBL4-NL-O26H-10324</t>
  </si>
  <si>
    <t>PIL-NL-I26H-24867</t>
  </si>
  <si>
    <t>HPBL4-NL-O26H-10325</t>
  </si>
  <si>
    <t>PIL-NL-I26H-24891</t>
  </si>
  <si>
    <t>HPBL4-NL-O26H-10326</t>
  </si>
  <si>
    <t>PIL-NL-I26H-24893</t>
  </si>
  <si>
    <t>HPBL4-NL-O26H-10327</t>
  </si>
  <si>
    <t>PIL-NL-I26H-24902</t>
  </si>
  <si>
    <t>HPBL4-NL-O26H-10328</t>
  </si>
  <si>
    <t>PIL-NL-I26H-24904</t>
  </si>
  <si>
    <t>HPBL4-NL-O26H-10329</t>
  </si>
  <si>
    <t>PIL-NL-I26H-24927</t>
  </si>
  <si>
    <t>HPBL4-NL-O26H-10330</t>
  </si>
  <si>
    <t>PIL-NL-I26H-24929</t>
  </si>
  <si>
    <t>HPBL4-NL-O26H-10331</t>
  </si>
  <si>
    <t>PIL-NL-I26H-24938</t>
  </si>
  <si>
    <t>HPBL4-NL-O26H-10332</t>
  </si>
  <si>
    <t>PIL-NL-I26H-24946</t>
  </si>
  <si>
    <t>HPBL4-NL-O26H-10333</t>
  </si>
  <si>
    <t>PIL-NL-I26H-24948</t>
  </si>
  <si>
    <t>HPBL4-NL-O26H-10334</t>
  </si>
  <si>
    <t>PIL-NL-I26H-24821</t>
  </si>
  <si>
    <t>HPBL4-NL-O26H-10335</t>
  </si>
  <si>
    <t>PIL-NL-I26H-24828</t>
  </si>
  <si>
    <t>HPBL4-NL-O26H-10336</t>
  </si>
  <si>
    <t>PIL-NL-I26H-24845</t>
  </si>
  <si>
    <t>HPBL4-NL-O26H-10337</t>
  </si>
  <si>
    <t>PIL-NL-I26H-24851</t>
  </si>
  <si>
    <t>HPBL4-NL-O26H-10338</t>
  </si>
  <si>
    <t>PIL-NL-I26H-24907</t>
  </si>
  <si>
    <t>HPBL4-NL-O26H-10339</t>
  </si>
  <si>
    <t>PIL-NL-I26H-24917</t>
  </si>
  <si>
    <t>HPBL4-NL-O26H-10340</t>
  </si>
  <si>
    <t>PIL-NL-I26H-24919</t>
  </si>
  <si>
    <t>HPBL4-NL-O26H-10341</t>
  </si>
  <si>
    <t>PIL-NL-I26H-24920</t>
  </si>
  <si>
    <t>HPBL4-NL-O26H-10342</t>
  </si>
  <si>
    <t>PIL-NL-I26H-24807</t>
  </si>
  <si>
    <t>HPBL4-NL-O26H-10343</t>
  </si>
  <si>
    <t>PIL-NL-I26H-24824</t>
  </si>
  <si>
    <t>HPBL4-NL-O26H-10344</t>
  </si>
  <si>
    <t>PIL-NL-I26H-24843</t>
  </si>
  <si>
    <t>HPBL4-NL-O26H-10345</t>
  </si>
  <si>
    <t>PIL-NL-I26H-24849</t>
  </si>
  <si>
    <t>HPBL4-NL-O26H-10346</t>
  </si>
  <si>
    <t>PIL-NL-I26H-24857</t>
  </si>
  <si>
    <t>HPBL4-NL-O26H-10347</t>
  </si>
  <si>
    <t>PIL-NL-I26H-24889</t>
  </si>
  <si>
    <t>HPBL4-NL-O26H-10348</t>
  </si>
  <si>
    <t>PIL-NL-I26H-24890</t>
  </si>
  <si>
    <t>HPBL4-NL-O26H-10349</t>
  </si>
  <si>
    <t>PIL-NL-I26H-24901</t>
  </si>
  <si>
    <t>HPBL4-NL-O26H-10433</t>
  </si>
  <si>
    <t>PIL-NL-I26H-24962</t>
  </si>
  <si>
    <t>HPBL4-NL-O26H-10434</t>
  </si>
  <si>
    <t>PIL-NL-I26H-24965</t>
  </si>
  <si>
    <t>HPBL4-NL-O26H-10435</t>
  </si>
  <si>
    <t>PIL-NL-I26H-24973</t>
  </si>
  <si>
    <t>HPBL4-NL-O26H-10436</t>
  </si>
  <si>
    <t>PIL-NL-I26H-24974</t>
  </si>
  <si>
    <t>HPBL4-NL-O26H-10437</t>
  </si>
  <si>
    <t>PIL-NL-I26H-24986</t>
  </si>
  <si>
    <t>HPBL4-NL-O26H-10438</t>
  </si>
  <si>
    <t>PIL-NL-I26H-24989</t>
  </si>
  <si>
    <t>HPBL4-NL-O26H-10439</t>
  </si>
  <si>
    <t>PIL-NL-I26H-24994</t>
  </si>
  <si>
    <t>HPBL4-NL-O26H-10440</t>
  </si>
  <si>
    <t>PIL-NL-I26H-25026</t>
  </si>
  <si>
    <t>HPBL4-NL-O26H-10441</t>
  </si>
  <si>
    <t>PIL-NL-I26H-25040</t>
  </si>
  <si>
    <t>4/25 BLACK/GREEN</t>
  </si>
  <si>
    <t>HPBL4-NL-O26H-10442</t>
  </si>
  <si>
    <t>PIL-NL-I26H-25046</t>
  </si>
  <si>
    <t>HPBL4-NL-O26H-10443</t>
  </si>
  <si>
    <t>PIL-NL-I26H-25065</t>
  </si>
  <si>
    <t>HPBL4-NL-O26H-10444</t>
  </si>
  <si>
    <t>PIL-NL-I26H-25070</t>
  </si>
  <si>
    <t>HPBL4-NL-O26H-10445</t>
  </si>
  <si>
    <t>PIL-NL-I26H-25077</t>
  </si>
  <si>
    <t>HPBL4-NL-O26H-10446</t>
  </si>
  <si>
    <t>PIL-NL-I26H-24963</t>
  </si>
  <si>
    <t>HPBL4-NL-O26H-10447</t>
  </si>
  <si>
    <t>PIL-NL-I26H-24984</t>
  </si>
  <si>
    <t>HPBL4-NL-O26H-10448</t>
  </si>
  <si>
    <t>PIL-NL-I26H-24992</t>
  </si>
  <si>
    <t>HPBL4-NL-O26H-10449</t>
  </si>
  <si>
    <t>PIL-NL-I26H-25001</t>
  </si>
  <si>
    <t>HPBL4-NL-O26H-10450</t>
  </si>
  <si>
    <t>PIL-NL-I26H-25020</t>
  </si>
  <si>
    <t>HPBL4-NL-O26H-10451</t>
  </si>
  <si>
    <t>PIL-NL-I26H-25036</t>
  </si>
  <si>
    <t>HPBL4-NL-O26H-10452</t>
  </si>
  <si>
    <t>PIL-NL-I26H-25047</t>
  </si>
  <si>
    <t>HPBL4-NL-O26H-10453</t>
  </si>
  <si>
    <t>PIL-NL-I26H-25067</t>
  </si>
  <si>
    <t>HPBL4-NL-O26H-10454</t>
  </si>
  <si>
    <t>PIL-NL-I26H-25072</t>
  </si>
  <si>
    <t>HPBL4-NL-O26H-10455</t>
  </si>
  <si>
    <t>PIL-NL-I26H-25075</t>
  </si>
  <si>
    <t>HPBL4-NL-O26H-10456</t>
  </si>
  <si>
    <t>PIL-NL-I26H-25085</t>
  </si>
  <si>
    <t>HPBL4-NL-O26H-10457</t>
  </si>
  <si>
    <t>PIL-NL-I26H-24988</t>
  </si>
  <si>
    <t>HPBL4-NL-O26H-10458</t>
  </si>
  <si>
    <t>PIL-NL-I26H-24990</t>
  </si>
  <si>
    <t>HPBL4-NL-O26H-10459</t>
  </si>
  <si>
    <t>PIL-NL-I26H-25000</t>
  </si>
  <si>
    <t>HPBL4-NL-O26H-10460</t>
  </si>
  <si>
    <t>PIL-NL-I26H-25002</t>
  </si>
  <si>
    <t>HPBL4-NL-O26H-10461</t>
  </si>
  <si>
    <t>PIL-NL-I26H-25019</t>
  </si>
  <si>
    <t>HPBL4-NL-O26H-10462</t>
  </si>
  <si>
    <t>PIL-NL-I26H-25035</t>
  </si>
  <si>
    <t>HPBL4-NL-O26H-10463</t>
  </si>
  <si>
    <t>PIL-NL-I26H-25042</t>
  </si>
  <si>
    <t>HPBL4-NL-O26H-10464</t>
  </si>
  <si>
    <t>PIL-NL-I26H-25053</t>
  </si>
  <si>
    <t>HPBL4-NL-O26H-10465</t>
  </si>
  <si>
    <t>PIL-NL-I26H-25069</t>
  </si>
  <si>
    <t>HPBL4-NL-O26H-10466</t>
  </si>
  <si>
    <t>PIL-NL-I26H-25071</t>
  </si>
  <si>
    <t>HPBL4-NL-O26H-10467</t>
  </si>
  <si>
    <t>PIL-NL-I26H-25074</t>
  </si>
  <si>
    <t>HPBL4-NL-O26H-10468</t>
  </si>
  <si>
    <t>PIL-NL-I26H-25076</t>
  </si>
  <si>
    <t>HPBL4-NL-O26H-10469</t>
  </si>
  <si>
    <t>PIL-NL-I26H-25087</t>
  </si>
  <si>
    <t>HPBL4-NL-O26H-10470</t>
  </si>
  <si>
    <t>PIL-NL-I26H-24259</t>
  </si>
  <si>
    <t>HPBL4-NL-O26H-10471</t>
  </si>
  <si>
    <t>PIL-NL-I26H-24260</t>
  </si>
  <si>
    <t>HPBL4-NL-O26H-10472</t>
  </si>
  <si>
    <t>PIL-NL-I26H-24960</t>
  </si>
  <si>
    <t>HPBL4-NL-O26H-10473</t>
  </si>
  <si>
    <t>PIL-NL-I26H-24976</t>
  </si>
  <si>
    <t>HPBL4-NL-O26H-10474</t>
  </si>
  <si>
    <t>PIL-NL-I26H-24985</t>
  </si>
  <si>
    <t>HPBL4-NL-O26H-10475</t>
  </si>
  <si>
    <t>PIL-NL-I26H-24991</t>
  </si>
  <si>
    <t>HPBL4-NL-O26H-10476</t>
  </si>
  <si>
    <t>PIL-NL-I26H-25003</t>
  </si>
  <si>
    <t>HPBL4-NL-O26H-10477</t>
  </si>
  <si>
    <t>PIL-NL-I26H-25021</t>
  </si>
  <si>
    <t>HPBL4-NL-O26H-10478</t>
  </si>
  <si>
    <t>PIL-NL-I26H-25023</t>
  </si>
  <si>
    <t>HPBL4-NL-O26H-10479</t>
  </si>
  <si>
    <t>PIL-NL-I26H-25041</t>
  </si>
  <si>
    <t>HPBL4-NL-O26H-10480</t>
  </si>
  <si>
    <t>PIL-NL-I26H-25073</t>
  </si>
  <si>
    <t>HPBL4-NL-O26H-10481</t>
  </si>
  <si>
    <t>PIL-NL-I26H-25086</t>
  </si>
  <si>
    <t>HPBL4-NL-O26H-10482</t>
  </si>
  <si>
    <t>PIL-NL-I26H-24972</t>
  </si>
  <si>
    <t>HPBL4-NL-O26H-10483</t>
  </si>
  <si>
    <t>PIL-NL-I26H-24987</t>
  </si>
  <si>
    <t>HPBL4-NL-O26H-10484</t>
  </si>
  <si>
    <t>PIL-NL-I26H-24993</t>
  </si>
  <si>
    <t>HPBL4-NL-O26H-10485</t>
  </si>
  <si>
    <t>PIL-NL-I26H-24995</t>
  </si>
  <si>
    <t>HPBL4-NL-O26H-10486</t>
  </si>
  <si>
    <t>PIL-NL-I26H-25025</t>
  </si>
  <si>
    <t>HPBL4-NL-O26H-10487</t>
  </si>
  <si>
    <t>PIL-NL-I26H-25027</t>
  </si>
  <si>
    <t>HPBL4-NL-O26H-10488</t>
  </si>
  <si>
    <t>PIL-NL-I26H-25028</t>
  </si>
  <si>
    <t>HPBL4-NL-O26H-10489</t>
  </si>
  <si>
    <t>PIL-NL-I26H-25066</t>
  </si>
  <si>
    <t>HPBL4-NL-O26H-10490</t>
  </si>
  <si>
    <t>PIL-NL-I26H-25068</t>
  </si>
  <si>
    <t>HPBL4-NL-O26H-10491</t>
  </si>
  <si>
    <t>PIL-NL-I26H-25084</t>
  </si>
  <si>
    <t>HPBL4-NL-O26H-10492</t>
  </si>
  <si>
    <t>PIL-NL-I26H-24969</t>
  </si>
  <si>
    <t>HPBL4-NL-O26H-10493</t>
  </si>
  <si>
    <t>PIL-NL-I26H-24983</t>
  </si>
  <si>
    <t>HPBL4-NL-O26H-10494</t>
  </si>
  <si>
    <t>PIL-NL-I26H-24998</t>
  </si>
  <si>
    <t>HPBL4-NL-O26H-10495</t>
  </si>
  <si>
    <t>PIL-NL-I26H-24999</t>
  </si>
  <si>
    <t>HPBL4-NL-O26H-10496</t>
  </si>
  <si>
    <t>PIL-NL-I26H-25012</t>
  </si>
  <si>
    <t>HPBL4-NL-O26H-10497</t>
  </si>
  <si>
    <t>PIL-NL-I26H-25013</t>
  </si>
  <si>
    <t>HPBL4-NL-O26H-10498</t>
  </si>
  <si>
    <t>PIL-NL-I26H-25049</t>
  </si>
  <si>
    <t>HPBL4-NL-O26H-10499</t>
  </si>
  <si>
    <t>PIL-NL-I26H-25050</t>
  </si>
  <si>
    <t>HPBL4-NL-O26H-10500</t>
  </si>
  <si>
    <t>PIL-NL-I26H-24952</t>
  </si>
  <si>
    <t>HPBL4-NL-O26H-10501</t>
  </si>
  <si>
    <t>PIL-NL-I26H-24951</t>
  </si>
  <si>
    <t>HPBL4-NL-O26H-10502</t>
  </si>
  <si>
    <t>PIL-NL-I26H-24961</t>
  </si>
  <si>
    <t>HPBL4-NL-O26H-10503</t>
  </si>
  <si>
    <t>PIL-NL-I26H-24964</t>
  </si>
  <si>
    <t>HPBL4-NL-O26H-10504</t>
  </si>
  <si>
    <t>PIL-NL-I26H-24975</t>
  </si>
  <si>
    <t>HPBL4-NL-O26H-10505</t>
  </si>
  <si>
    <t>PIL-NL-I26H-25048</t>
  </si>
  <si>
    <t>HPBL4-NL-O26H-10506</t>
  </si>
  <si>
    <t>PIL-NL-I26H-25078</t>
  </si>
  <si>
    <t>HPBL4-NL-O26H-10507</t>
  </si>
  <si>
    <t>PIL-NL-I26H-24967</t>
  </si>
  <si>
    <t>HPBL4-NL-O26H-10508</t>
  </si>
  <si>
    <t>PIL-NL-I26H-24968</t>
  </si>
  <si>
    <t>HPBL4-NL-O26H-10509</t>
  </si>
  <si>
    <t>PIL-NL-I26H-24996</t>
  </si>
  <si>
    <t>HPBL4-NL-O26H-10510</t>
  </si>
  <si>
    <t>PIL-NL-I26H-24997</t>
  </si>
  <si>
    <t>HPBL4-NL-O26H-10511</t>
  </si>
  <si>
    <t>PIL-NL-I26H-25011</t>
  </si>
  <si>
    <t>HPBL4-NL-O26H-10512</t>
  </si>
  <si>
    <t>PIL-NL-I26H-25024</t>
  </si>
  <si>
    <t>HPBL4-NL-O26H-10513</t>
  </si>
  <si>
    <t>PIL-NL-I26H-25029</t>
  </si>
  <si>
    <t>HPBL4-NL-O26H-10514</t>
  </si>
  <si>
    <t>PIL-NL-I26H-25043</t>
  </si>
  <si>
    <t>HPBL4-NL-O26H-10515</t>
  </si>
  <si>
    <t>PIL-NL-I26H-25051</t>
  </si>
  <si>
    <t>HPBL4-NL-O26H-10516</t>
  </si>
  <si>
    <t>PIL-NL-I26H-25052</t>
  </si>
  <si>
    <t>HPBL4-NL-O26H-10517</t>
  </si>
  <si>
    <t>PIL-NL-I26H-25062</t>
  </si>
  <si>
    <t>HPBL4-NL-O26H-10518</t>
  </si>
  <si>
    <t>PIL-NL-I26H-25063</t>
  </si>
  <si>
    <t>HPBL4-NL-O26H-10519</t>
  </si>
  <si>
    <t>PIL-NL-I26H-25064</t>
  </si>
  <si>
    <t>HPBL4-NL-O26H-10520</t>
  </si>
  <si>
    <t>PIL-NL-I26H-25079</t>
  </si>
  <si>
    <t>HPBL4-NL-O26H-10521</t>
  </si>
  <si>
    <t>PIL-NL-I26H-25098</t>
  </si>
  <si>
    <t>HPBL4-NL-O26H-10522</t>
  </si>
  <si>
    <t>PIL-NL-I26H-25099</t>
  </si>
  <si>
    <t>HPBL4-NL-O26H-10350</t>
  </si>
  <si>
    <t>PIL-NL-I26H-25114</t>
  </si>
  <si>
    <t>HPBL4-NL-O26H-10351</t>
  </si>
  <si>
    <t>PIL-NL-I26H-25116</t>
  </si>
  <si>
    <t>HPBL4-NL-O26H-10352</t>
  </si>
  <si>
    <t>PIL-NL-I26H-25144</t>
  </si>
  <si>
    <t>HPBL4-NL-O26H-10353</t>
  </si>
  <si>
    <t>PIL-NL-I26H-25162</t>
  </si>
  <si>
    <t>HPBL4-NL-O26H-10354</t>
  </si>
  <si>
    <t>PIL-NL-I26H-25172</t>
  </si>
  <si>
    <t>HPBL4-NL-O26H-10355</t>
  </si>
  <si>
    <t>PIL-NL-I26H-25174</t>
  </si>
  <si>
    <t>HPBL4-NL-O26H-10356</t>
  </si>
  <si>
    <t>PIL-NL-I26H-25117</t>
  </si>
  <si>
    <t>HPBL4-NL-O26H-10357</t>
  </si>
  <si>
    <t>PIL-NL-I26H-25118</t>
  </si>
  <si>
    <t>HPBL4-NL-O26H-10358</t>
  </si>
  <si>
    <t>PIL-NL-I26H-25125</t>
  </si>
  <si>
    <t>HPBL4-NL-O26H-10359</t>
  </si>
  <si>
    <t>PIL-NL-I26H-25126</t>
  </si>
  <si>
    <t>HPBL4-NL-O26H-10360</t>
  </si>
  <si>
    <t>PIL-NL-I26H-25134</t>
  </si>
  <si>
    <t>HPBL4-NL-O26H-10361</t>
  </si>
  <si>
    <t>PIL-NL-I26H-25145</t>
  </si>
  <si>
    <t>HPBL4-NL-O26H-10362</t>
  </si>
  <si>
    <t>PIL-NL-I26H-25146</t>
  </si>
  <si>
    <t>HPBL4-NL-O26H-10363</t>
  </si>
  <si>
    <t>PIL-NL-I26H-25188</t>
  </si>
  <si>
    <t>7/55 BLACK/YELLOW+ORANGE</t>
  </si>
  <si>
    <t>HPBL4-NL-O26H-10364</t>
  </si>
  <si>
    <t>PIL-NL-I26H-25206</t>
  </si>
  <si>
    <t>HPBL4-NL-O26H-10365</t>
  </si>
  <si>
    <t>PIL-NL-I26H-25215</t>
  </si>
  <si>
    <t>HPBL4-NL-O26H-10366</t>
  </si>
  <si>
    <t>PIL-NL-I26H-25216</t>
  </si>
  <si>
    <t>HPBL4-NL-O26H-10367</t>
  </si>
  <si>
    <t>PIL-NL-I26H-25235</t>
  </si>
  <si>
    <t>HPBL4-NL-O26H-10368</t>
  </si>
  <si>
    <t>PIL-NL-I26H-25236</t>
  </si>
  <si>
    <t>HPBL4-NL-O26H-10369</t>
  </si>
  <si>
    <t>PIL-NL-I26H-25211</t>
  </si>
  <si>
    <t>HPBL4-NL-O26H-10370</t>
  </si>
  <si>
    <t>PIL-NL-I26H-25238</t>
  </si>
  <si>
    <t>HPBL4-NL-O26H-10371</t>
  </si>
  <si>
    <t>PIL-NL-I26H-25148</t>
  </si>
  <si>
    <t>HPBL4-NL-O26H-10372</t>
  </si>
  <si>
    <t>PIL-NL-I26H-25160</t>
  </si>
  <si>
    <t>HPBL4-NL-O26H-10373</t>
  </si>
  <si>
    <t>PIL-NL-I26H-24560</t>
  </si>
  <si>
    <t>HPBL4-NL-O26H-10374</t>
  </si>
  <si>
    <t>PIL-NL-I26H-24349</t>
  </si>
  <si>
    <t>HPBL4-NL-O26H-10375</t>
  </si>
  <si>
    <t>PIL-NL-I26H-23913</t>
  </si>
  <si>
    <t>HPBL4-NL-O26H-10376</t>
  </si>
  <si>
    <t>PIL-NL-I26H-25170</t>
  </si>
  <si>
    <t>HPBL4-NL-O26H-10377</t>
  </si>
  <si>
    <t>PIL-NL-I26H-25200</t>
  </si>
  <si>
    <t>HPBL4-NL-O26H-10378</t>
  </si>
  <si>
    <t>PIL-NL-I26H-25223</t>
  </si>
  <si>
    <t>HPBL4-NL-O26H-10379</t>
  </si>
  <si>
    <t>PIL-NL-I26H-25225</t>
  </si>
  <si>
    <t>HPBL4-NL-O26H-10380</t>
  </si>
  <si>
    <t>PIL-NL-I26H-25244</t>
  </si>
  <si>
    <t>HPBL4-NL-O26H-10381</t>
  </si>
  <si>
    <t>PIL-NL-I26H-25127</t>
  </si>
  <si>
    <t>HPBL4-NL-O26H-10382</t>
  </si>
  <si>
    <t>PIL-NL-I26H-25135</t>
  </si>
  <si>
    <t>HPBL4-NL-O26H-10383</t>
  </si>
  <si>
    <t>PIL-NL-I26H-25143</t>
  </si>
  <si>
    <t>HPBL4-NL-O26H-10384</t>
  </si>
  <si>
    <t>PIL-NL-I26H-25147</t>
  </si>
  <si>
    <t>HPBL4-NL-O26H-10385</t>
  </si>
  <si>
    <t>PIL-NL-I26H-25163</t>
  </si>
  <si>
    <t>HPBL4-NL-O26H-10386</t>
  </si>
  <si>
    <t>PIL-NL-I26H-25186</t>
  </si>
  <si>
    <t>6.5/55 BLUE/NO</t>
  </si>
  <si>
    <t>HPBL4-NL-O26H-10387</t>
  </si>
  <si>
    <t>PIL-NL-I26H-25220</t>
  </si>
  <si>
    <t>HPBL4-NL-O26H-10388</t>
  </si>
  <si>
    <t>PIL-NL-I26H-23851</t>
  </si>
  <si>
    <t>HPBL4-NL-O26H-10389</t>
  </si>
  <si>
    <t>PIL-NL-I26H-23914</t>
  </si>
  <si>
    <t>HPBL4-NL-O26H-10390</t>
  </si>
  <si>
    <t>PIL-NL-I26H-25128</t>
  </si>
  <si>
    <t>HPBL4-NL-O26H-10391</t>
  </si>
  <si>
    <t>PIL-NL-I26H-25136</t>
  </si>
  <si>
    <t>HPBL4-NL-O26H-10392</t>
  </si>
  <si>
    <t>PIL-NL-I26H-25137</t>
  </si>
  <si>
    <t>HPBL4-NL-O26H-10393</t>
  </si>
  <si>
    <t>PIL-NL-I26H-25169</t>
  </si>
  <si>
    <t>HPBL4-NL-O26H-10394</t>
  </si>
  <si>
    <t>PIL-NL-I26H-25187</t>
  </si>
  <si>
    <t>HPBL4-NL-O26H-10395</t>
  </si>
  <si>
    <t>PIL-NL-I26H-25189</t>
  </si>
  <si>
    <t>7/40 MW/RED</t>
  </si>
  <si>
    <t>HPBL4-NL-O26H-10396</t>
  </si>
  <si>
    <t>PIL-NL-I26H-25213</t>
  </si>
  <si>
    <t>HPBL4-NL-O26H-10397</t>
  </si>
  <si>
    <t>PIL-NL-I26H-25227</t>
  </si>
  <si>
    <t>HPBL4-NL-O26H-10398</t>
  </si>
  <si>
    <t>PIL-NL-I26H-25237</t>
  </si>
  <si>
    <t>HPBL4-NL-O26H-10399</t>
  </si>
  <si>
    <t>PIL-NL-I26H-24357</t>
  </si>
  <si>
    <t>HPBL4-NL-O26H-10400</t>
  </si>
  <si>
    <t>PIL-NL-I26H-24004</t>
  </si>
  <si>
    <t>HPBL4-NL-O26H-10401</t>
  </si>
  <si>
    <t>PIL-NL-I26H-24005</t>
  </si>
  <si>
    <t>HPBL4-NL-O26H-10402</t>
  </si>
  <si>
    <t>PIL-NL-I26H-25112</t>
  </si>
  <si>
    <t>HPBL4-NL-O26H-10403</t>
  </si>
  <si>
    <t>PIL-NL-I26H-25183</t>
  </si>
  <si>
    <t>HPBL4-NL-O26H-10404</t>
  </si>
  <si>
    <t>PIL-NL-I26H-25185</t>
  </si>
  <si>
    <t>HPBL4-NL-O26H-10405</t>
  </si>
  <si>
    <t>PIL-NL-I26H-25221</t>
  </si>
  <si>
    <t>HPBL4-NL-O26H-10406</t>
  </si>
  <si>
    <t>PIL-NL-I26H-25226</t>
  </si>
  <si>
    <t>HPBL4-NL-O26H-10407</t>
  </si>
  <si>
    <t>PIL-NL-I26H-25228</t>
  </si>
  <si>
    <t>HPBL4-NL-O26H-10408</t>
  </si>
  <si>
    <t>PIL-NL-I26H-25243</t>
  </si>
  <si>
    <t>HPBL4-NL-O26H-10409</t>
  </si>
  <si>
    <t>PIL-NL-I26H-25245</t>
  </si>
  <si>
    <t>HPBL4-NL-O26H-10410</t>
  </si>
  <si>
    <t>PIL-NL-I26H-25115</t>
  </si>
  <si>
    <t>HPBL4-NL-O26H-10411</t>
  </si>
  <si>
    <t>PIL-NL-I26H-25123</t>
  </si>
  <si>
    <t>HPBL4-NL-O26H-10412</t>
  </si>
  <si>
    <t>PIL-NL-I26H-25124</t>
  </si>
  <si>
    <t>HPBL4-NL-O26H-10413</t>
  </si>
  <si>
    <t>PIL-NL-I26H-25139</t>
  </si>
  <si>
    <t>HPBL4-NL-O26H-10414</t>
  </si>
  <si>
    <t>PIL-NL-I26H-25150</t>
  </si>
  <si>
    <t>HPBL4-NL-O26H-10415</t>
  </si>
  <si>
    <t>PIL-NL-I26H-25151</t>
  </si>
  <si>
    <t>HPBL4-NL-O26H-10416</t>
  </si>
  <si>
    <t>PIL-NL-I26H-25168</t>
  </si>
  <si>
    <t>HPBL4-NL-O26H-10417</t>
  </si>
  <si>
    <t>PIL-NL-I26H-25175</t>
  </si>
  <si>
    <t>HPBL4-NL-O26H-10418</t>
  </si>
  <si>
    <t>PIL-NL-I26H-25199</t>
  </si>
  <si>
    <t>HPBL4-NL-O26H-10419</t>
  </si>
  <si>
    <t>PIL-NL-I26H-25204</t>
  </si>
  <si>
    <t>HPBL4-NL-O26H-10420</t>
  </si>
  <si>
    <t>PIL-NL-I26H-25205</t>
  </si>
  <si>
    <t>HPBL4-NL-O26H-10421</t>
  </si>
  <si>
    <t>PIL-NL-I26H-25212</t>
  </si>
  <si>
    <t>HPBL4-NL-O26H-10422</t>
  </si>
  <si>
    <t>PIL-NL-I26H-25214</t>
  </si>
  <si>
    <t>HPBL4-NL-O26H-10423</t>
  </si>
  <si>
    <t>PIL-NL-I26H-25113</t>
  </si>
  <si>
    <t>HPBL4-NL-O26H-10424</t>
  </si>
  <si>
    <t>PIL-NL-I26H-25138</t>
  </si>
  <si>
    <t>HPBL4-NL-O26H-10425</t>
  </si>
  <si>
    <t>PIL-NL-I26H-25149</t>
  </si>
  <si>
    <t>HPBL4-NL-O26H-10426</t>
  </si>
  <si>
    <t>PIL-NL-I26H-25161</t>
  </si>
  <si>
    <t>HPBL4-NL-O26H-10427</t>
  </si>
  <si>
    <t>PIL-NL-I26H-25184</t>
  </si>
  <si>
    <t>HPBL4-NL-O26H-10428</t>
  </si>
  <si>
    <t>PIL-NL-I26H-23923</t>
  </si>
  <si>
    <t>HPBL4-NL-O26H-10429</t>
  </si>
  <si>
    <t>PIL-NL-I26H-25203</t>
  </si>
  <si>
    <t>HPBL4-NL-O26H-10430</t>
  </si>
  <si>
    <t>PIL-NL-I26H-25222</t>
  </si>
  <si>
    <t>HPBL4-NL-O26H-10431</t>
  </si>
  <si>
    <t>PIL-NL-I26H-25224</t>
  </si>
  <si>
    <t>HPBL4-NL-O26H-10432</t>
  </si>
  <si>
    <t>PIL-NL-I26G-22349</t>
  </si>
  <si>
    <t>HPBL4-NL-O26H-10523</t>
  </si>
  <si>
    <t>PIL-NL-I26H-25191</t>
  </si>
  <si>
    <t>HPBL4-NL-O26H-10524</t>
  </si>
  <si>
    <t>PIL-NL-I26H-25195</t>
  </si>
  <si>
    <t>HPBL4-NL-O26H-10525</t>
  </si>
  <si>
    <t>PIL-NL-I26H-25193</t>
  </si>
  <si>
    <t>HPBL4-NL-O26H-10526</t>
  </si>
  <si>
    <t>PIL-NL-I26H-25192</t>
  </si>
  <si>
    <t>HPBL4-NL-O26H-10527</t>
  </si>
  <si>
    <t>PIL-NL-I26H-25194</t>
  </si>
  <si>
    <t>HPBL4-NL-O26H-10528</t>
  </si>
  <si>
    <t>PIL-NL-I26H-25266</t>
  </si>
  <si>
    <t>HPBL4-NL-O26H-10529</t>
  </si>
  <si>
    <t>PIL-NL-I26H-25288</t>
  </si>
  <si>
    <t>HPBL4-NL-O26H-10530</t>
  </si>
  <si>
    <t>PIL-NL-I26H-25301</t>
  </si>
  <si>
    <t>HPBL4-NL-O26H-10531</t>
  </si>
  <si>
    <t>PIL-NL-I26H-25316</t>
  </si>
  <si>
    <t>HPBL4-NL-O26H-10532</t>
  </si>
  <si>
    <t>PIL-NL-I26H-25327</t>
  </si>
  <si>
    <t>HPBL4-NL-O26H-10533</t>
  </si>
  <si>
    <t>PIL-NL-I26H-25342</t>
  </si>
  <si>
    <t>HPBL4-NL-O26H-10534</t>
  </si>
  <si>
    <t>PIL-NL-I26H-25343</t>
  </si>
  <si>
    <t>HPBL4-NL-O26H-10535</t>
  </si>
  <si>
    <t>PIL-NL-I26H-25394</t>
  </si>
  <si>
    <t>HPBL4-NL-O26H-10536</t>
  </si>
  <si>
    <t>PIL-NL-I26H-25261</t>
  </si>
  <si>
    <t>HPBL4-NL-O26H-10537</t>
  </si>
  <si>
    <t>PIL-NL-I26H-25263</t>
  </si>
  <si>
    <t>HPBL4-NL-O26H-10538</t>
  </si>
  <si>
    <t>PIL-NL-I26H-25291</t>
  </si>
  <si>
    <t>HPBL4-NL-O26H-10539</t>
  </si>
  <si>
    <t>PIL-NL-I26H-25298</t>
  </si>
  <si>
    <t>HPBL4-NL-O26H-10540</t>
  </si>
  <si>
    <t>PIL-NL-I26H-25324</t>
  </si>
  <si>
    <t>HPBL4-NL-O26H-10541</t>
  </si>
  <si>
    <t>PIL-NL-I26H-25351</t>
  </si>
  <si>
    <t>HPBL4-NL-O26H-10542</t>
  </si>
  <si>
    <t>PIL-NL-I26H-25260</t>
  </si>
  <si>
    <t>HPBL4-NL-O26H-10543</t>
  </si>
  <si>
    <t>PIL-NL-I26H-25292</t>
  </si>
  <si>
    <t>HPBL4-NL-O26H-10544</t>
  </si>
  <si>
    <t>PIL-NL-I26H-25299</t>
  </si>
  <si>
    <t>HPBL4-NL-O26H-10545</t>
  </si>
  <si>
    <t>PIL-NL-I26H-25313</t>
  </si>
  <si>
    <t>HPBL4-NL-O26H-10546</t>
  </si>
  <si>
    <t>PIL-NL-I26H-25341</t>
  </si>
  <si>
    <t>HPBL4-NL-O26H-10547</t>
  </si>
  <si>
    <t>PIL-NL-I26H-25352</t>
  </si>
  <si>
    <t>HPBL4-NL-O26H-10548</t>
  </si>
  <si>
    <t>PIL-NL-I26H-25360</t>
  </si>
  <si>
    <t>HPBL4-NL-O26H-10549</t>
  </si>
  <si>
    <t>PIL-NL-I26H-25379</t>
  </si>
  <si>
    <t>HPBL4-NL-O26H-10550</t>
  </si>
  <si>
    <t>PIL-NL-I26H-25390</t>
  </si>
  <si>
    <t>HPBL4-NL-O26H-10551</t>
  </si>
  <si>
    <t>PIL-NL-I26H-25391</t>
  </si>
  <si>
    <t>HPBL4-NL-O26H-10552</t>
  </si>
  <si>
    <t>PIL-NL-I26H-25274</t>
  </si>
  <si>
    <t>HPBL4-NL-O26H-10553</t>
  </si>
  <si>
    <t>PIL-NL-I26H-25275</t>
  </si>
  <si>
    <t>HPBL4-NL-O26H-10554</t>
  </si>
  <si>
    <t>PIL-NL-I26H-25296</t>
  </si>
  <si>
    <t>HPBL4-NL-O26H-10555</t>
  </si>
  <si>
    <t>PIL-NL-I26H-25302</t>
  </si>
  <si>
    <t>HPBL4-NL-O26H-10556</t>
  </si>
  <si>
    <t>PIL-NL-I26H-25317</t>
  </si>
  <si>
    <t>HPBL4-NL-O26H-10557</t>
  </si>
  <si>
    <t>PIL-NL-I26H-25325</t>
  </si>
  <si>
    <t>HPBL4-NL-O26H-10558</t>
  </si>
  <si>
    <t>PIL-NL-I26H-25337</t>
  </si>
  <si>
    <t>HPBL4-NL-O26H-10559</t>
  </si>
  <si>
    <t>PIL-NL-I26H-25338</t>
  </si>
  <si>
    <t>HPBL4-NL-O26H-10560</t>
  </si>
  <si>
    <t>PIL-NL-I26H-25364</t>
  </si>
  <si>
    <t>HPBL4-NL-O26H-10561</t>
  </si>
  <si>
    <t>PIL-NL-I26H-25369</t>
  </si>
  <si>
    <t>HPBL4-NL-O26H-10562</t>
  </si>
  <si>
    <t>PIL-NL-I26H-25372</t>
  </si>
  <si>
    <t>HPBL4-NL-O26H-10563</t>
  </si>
  <si>
    <t>PIL-NL-I26H-25270</t>
  </si>
  <si>
    <t>HPBL4-NL-O26H-10564</t>
  </si>
  <si>
    <t>PIL-NL-I26H-25287</t>
  </si>
  <si>
    <t>HPBL4-NL-O26H-10565</t>
  </si>
  <si>
    <t>PIL-NL-I26H-25289</t>
  </si>
  <si>
    <t>HPBL4-NL-O26H-10566</t>
  </si>
  <si>
    <t>PIL-NL-I26H-25300</t>
  </si>
  <si>
    <t>HPBL4-NL-O26H-10567</t>
  </si>
  <si>
    <t>PIL-NL-I26H-25315</t>
  </si>
  <si>
    <t>HPBL4-NL-O26H-10568</t>
  </si>
  <si>
    <t>PIL-NL-I26H-25344</t>
  </si>
  <si>
    <t>HPBL4-NL-O26H-10569</t>
  </si>
  <si>
    <t>PIL-NL-I26H-25374</t>
  </si>
  <si>
    <t>HPBL4-NL-O26H-10570</t>
  </si>
  <si>
    <t>PIL-NL-I26H-25389</t>
  </si>
  <si>
    <t>HPBL4-NL-O26H-10571</t>
  </si>
  <si>
    <t>PIL-NL-I26H-25257</t>
  </si>
  <si>
    <t>HPBL4-NL-O26H-10572</t>
  </si>
  <si>
    <t>PIL-NL-I26H-25265</t>
  </si>
  <si>
    <t>HPBL4-NL-O26H-10573</t>
  </si>
  <si>
    <t>PIL-NL-I26H-25290</t>
  </si>
  <si>
    <t>HPBL4-NL-O26H-10574</t>
  </si>
  <si>
    <t>PIL-NL-I26H-25297</t>
  </si>
  <si>
    <t>HPBL4-NL-O26H-10575</t>
  </si>
  <si>
    <t>PIL-NL-I26H-25312</t>
  </si>
  <si>
    <t>HPBL4-NL-O26H-10576</t>
  </si>
  <si>
    <t>PIL-NL-I26H-25323</t>
  </si>
  <si>
    <t>HPBL4-NL-O26H-10577</t>
  </si>
  <si>
    <t>PIL-NL-I26H-25348</t>
  </si>
  <si>
    <t>HPBL4-NL-O26H-10578</t>
  </si>
  <si>
    <t>PIL-NL-I26H-25350</t>
  </si>
  <si>
    <t>HPBL4-NL-O26H-10579</t>
  </si>
  <si>
    <t>PIL-NL-I26H-25362</t>
  </si>
  <si>
    <t>HPBL4-NL-O26H-10580</t>
  </si>
  <si>
    <t>PIL-NL-I26H-25370</t>
  </si>
  <si>
    <t>HPBL4-NL-O26H-10581</t>
  </si>
  <si>
    <t>PIL-NL-I26H-25393</t>
  </si>
  <si>
    <t>HPBL4-NL-O26H-10582</t>
  </si>
  <si>
    <t>PIL-NL-I26H-25340</t>
  </si>
  <si>
    <t>HPBL4-NL-O26H-10583</t>
  </si>
  <si>
    <t>PIL-NL-I26H-25347</t>
  </si>
  <si>
    <t>HPBL4-NL-O26H-10584</t>
  </si>
  <si>
    <t>PIL-NL-I26H-25349</t>
  </si>
  <si>
    <t>HPBL4-NL-O26H-10585</t>
  </si>
  <si>
    <t>PIL-NL-I26H-25361</t>
  </si>
  <si>
    <t>HPBL4-NL-O26H-10586</t>
  </si>
  <si>
    <t>PIL-NL-I26H-25363</t>
  </si>
  <si>
    <t>HPBL4-NL-O26H-10587</t>
  </si>
  <si>
    <t>PIL-NL-I26H-25365</t>
  </si>
  <si>
    <t>HPBL4-NL-O26H-10588</t>
  </si>
  <si>
    <t>PIL-NL-I26H-25368</t>
  </si>
  <si>
    <t>HPBL4-NL-O26H-10589</t>
  </si>
  <si>
    <t>PIL-NL-I26H-25371</t>
  </si>
  <si>
    <t>HPBL4-NL-O26H-10590</t>
  </si>
  <si>
    <t>PIL-NL-I26H-25373</t>
  </si>
  <si>
    <t>HPBL4-NL-O26H-10591</t>
  </si>
  <si>
    <t>PIL-NL-I26H-25383</t>
  </si>
  <si>
    <t>HPBL4-NL-O26H-10592</t>
  </si>
  <si>
    <t>PIL-NL-I26H-25392</t>
  </si>
  <si>
    <t>HPBL4-NL-O26H-10593</t>
  </si>
  <si>
    <t>PIL-NL-I26H-25264</t>
  </si>
  <si>
    <t>HPBL4-NL-O26H-10594</t>
  </si>
  <si>
    <t>PIL-NL-I26H-25273</t>
  </si>
  <si>
    <t>HPBL4-NL-O26H-10595</t>
  </si>
  <si>
    <t>PIL-NL-I26H-25276</t>
  </si>
  <si>
    <t>HPBL4-NL-O26H-10596</t>
  </si>
  <si>
    <t>PIL-NL-I26H-25314</t>
  </si>
  <si>
    <t>HPBL4-NL-O26H-10597</t>
  </si>
  <si>
    <t>PIL-NL-I26H-25262</t>
  </si>
  <si>
    <t>HPBL4-NL-O26H-10598</t>
  </si>
  <si>
    <t>PIL-NL-I26H-25268</t>
  </si>
  <si>
    <t>HPBL4-NL-O26H-10599</t>
  </si>
  <si>
    <t>PIL-NL-I26H-25269</t>
  </si>
  <si>
    <t>HPBL4-NL-O26H-10600</t>
  </si>
  <si>
    <t>PIL-NL-I26H-25277</t>
  </si>
  <si>
    <t>HPBL4-NL-O26H-10601</t>
  </si>
  <si>
    <t>PIL-NL-I26H-25293</t>
  </si>
  <si>
    <t>HPBL4-NL-O26H-10602</t>
  </si>
  <si>
    <t>PIL-NL-I26H-25322</t>
  </si>
  <si>
    <t>HPBL4-NL-O26H-10603</t>
  </si>
  <si>
    <t>PIL-NL-I26H-25366</t>
  </si>
  <si>
    <t>HPBL4-NL-O26H-10604</t>
  </si>
  <si>
    <t>PIL-NL-I26H-25367</t>
  </si>
  <si>
    <t>HPBL4-NL-O26H-10605</t>
  </si>
  <si>
    <t>PIL-NL-I26H-25380</t>
  </si>
  <si>
    <t>HPBL4-NL-O26H-10606</t>
  </si>
  <si>
    <t>PIL-NL-I26H-25406</t>
  </si>
  <si>
    <t>HPBL4-NL-O26H-10607</t>
  </si>
  <si>
    <t>PIL-NL-I26H-25408</t>
  </si>
  <si>
    <t>HPBL4-NL-O26H-10608</t>
  </si>
  <si>
    <t>PIL-NL-I26H-25433</t>
  </si>
  <si>
    <t>HPBL4-NL-O26H-10609</t>
  </si>
  <si>
    <t>PIL-NL-I26H-25435</t>
  </si>
  <si>
    <t>HPBL4-NL-O26H-10610</t>
  </si>
  <si>
    <t>PIL-NL-I26H-25437</t>
  </si>
  <si>
    <t>HPBL4-NL-O26H-10611</t>
  </si>
  <si>
    <t>PIL-NL-I26H-25446</t>
  </si>
  <si>
    <t>HPBL4-NL-O26H-10612</t>
  </si>
  <si>
    <t>PIL-NL-I26H-25457</t>
  </si>
  <si>
    <t>HPBL4-NL-O26H-10613</t>
  </si>
  <si>
    <t>PIL-NL-I26H-25473</t>
  </si>
  <si>
    <t>HPBL4-NL-O26H-10614</t>
  </si>
  <si>
    <t>PIL-NL-I26H-25493</t>
  </si>
  <si>
    <t>HPBL4-NL-O26H-10615</t>
  </si>
  <si>
    <t>PIL-NL-I26H-25506</t>
  </si>
  <si>
    <t>HPBL4-NL-O26H-10616</t>
  </si>
  <si>
    <t>PIL-NL-I26H-25508</t>
  </si>
  <si>
    <t>HPBL4-NL-O26H-10617</t>
  </si>
  <si>
    <t>PIL-NL-I26H-25515</t>
  </si>
  <si>
    <t>HPBL4-NL-O26H-10618</t>
  </si>
  <si>
    <t>PIL-NL-I26H-25524</t>
  </si>
  <si>
    <t>HPBL4-NL-O26H-10619</t>
  </si>
  <si>
    <t>PIL-NL-I26H-25417</t>
  </si>
  <si>
    <t>HPBL4-NL-O26H-10620</t>
  </si>
  <si>
    <t>PIL-NL-I26H-25427</t>
  </si>
  <si>
    <t>HPBL4-NL-O26H-10621</t>
  </si>
  <si>
    <t>PIL-NL-I26H-25484</t>
  </si>
  <si>
    <t>HPBL4-NL-O26H-10622</t>
  </si>
  <si>
    <t>PIL-NL-I26H-25502</t>
  </si>
  <si>
    <t>HPBL4-NL-O26H-10623</t>
  </si>
  <si>
    <t>PIL-NL-I26H-25504</t>
  </si>
  <si>
    <t>HPBL4-NL-O26H-10624</t>
  </si>
  <si>
    <t>PIL-NL-I26H-25513</t>
  </si>
  <si>
    <t>HPBL4-NL-O26H-10625</t>
  </si>
  <si>
    <t>PIL-NL-I26H-25405</t>
  </si>
  <si>
    <t>HPBL4-NL-O26H-10626</t>
  </si>
  <si>
    <t>PIL-NL-I26H-25432</t>
  </si>
  <si>
    <t>HPBL4-NL-O26H-10627</t>
  </si>
  <si>
    <t>PIL-NL-I26H-25448</t>
  </si>
  <si>
    <t>HPBL4-NL-O26H-10628</t>
  </si>
  <si>
    <t>PIL-NL-I26H-25460</t>
  </si>
  <si>
    <t>HPBL4-NL-O26H-10629</t>
  </si>
  <si>
    <t>PIL-NL-I26H-25477</t>
  </si>
  <si>
    <t>HPBL4-NL-O26H-10630</t>
  </si>
  <si>
    <t>PIL-NL-I26H-25497</t>
  </si>
  <si>
    <t>HPBL4-NL-O26H-10631</t>
  </si>
  <si>
    <t>PIL-NL-I26H-25503</t>
  </si>
  <si>
    <t>HPBL4-NL-O26H-10632</t>
  </si>
  <si>
    <t>PIL-NL-I26H-25514</t>
  </si>
  <si>
    <t>HPBL4-NL-O26H-10633</t>
  </si>
  <si>
    <t>PIL-NL-I26H-25523</t>
  </si>
  <si>
    <t>HPBL4-NL-O26H-10634</t>
  </si>
  <si>
    <t>PIL-NL-I26H-25414</t>
  </si>
  <si>
    <t>HPBL4-NL-O26H-10635</t>
  </si>
  <si>
    <t>PIL-NL-I26H-25430</t>
  </si>
  <si>
    <t>HPBL4-NL-O26H-10636</t>
  </si>
  <si>
    <t>PIL-NL-I26H-25482</t>
  </si>
  <si>
    <t>HPBL4-NL-O26H-10637</t>
  </si>
  <si>
    <t>PIL-NL-I26H-25485</t>
  </si>
  <si>
    <t>HPBL4-NL-O26H-10638</t>
  </si>
  <si>
    <t>PIL-NL-I26H-25495</t>
  </si>
  <si>
    <t>HPBL4-NL-O26H-10639</t>
  </si>
  <si>
    <t>PIL-NL-I26H-25413</t>
  </si>
  <si>
    <t>HPBL4-NL-O26H-10640</t>
  </si>
  <si>
    <t>PIL-NL-I26H-25416</t>
  </si>
  <si>
    <t>HPBL4-NL-O26H-10641</t>
  </si>
  <si>
    <t>PIL-NL-I26H-25450</t>
  </si>
  <si>
    <t>HPBL4-NL-O26H-10642</t>
  </si>
  <si>
    <t>PIL-NL-I26H-25478</t>
  </si>
  <si>
    <t>HPBL4-NL-O26H-10643</t>
  </si>
  <si>
    <t>PIL-NL-I26H-25480</t>
  </si>
  <si>
    <t>HPBL4-NL-O26H-10644</t>
  </si>
  <si>
    <t>PIL-NL-I26H-25487</t>
  </si>
  <si>
    <t>HPBL4-NL-O26H-10645</t>
  </si>
  <si>
    <t>PIL-NL-I26H-25509</t>
  </si>
  <si>
    <t>HPBL4-NL-O26H-10646</t>
  </si>
  <si>
    <t>PIL-NL-I26H-25415</t>
  </si>
  <si>
    <t>HPBL4-NL-O26H-10647</t>
  </si>
  <si>
    <t>PIL-NL-I26H-25451</t>
  </si>
  <si>
    <t>HPBL4-NL-O26H-10648</t>
  </si>
  <si>
    <t>PIL-NL-I26H-25479</t>
  </si>
  <si>
    <t>HPBL4-NL-O26H-10649</t>
  </si>
  <si>
    <t>PIL-NL-I26H-25486</t>
  </si>
  <si>
    <t>HPBL4-NL-O26H-10650</t>
  </si>
  <si>
    <t>PIL-NL-I26H-25407</t>
  </si>
  <si>
    <t>HPBL4-NL-O26H-10651</t>
  </si>
  <si>
    <t>PIL-NL-I26H-25409</t>
  </si>
  <si>
    <t>HPBL4-NL-O26H-10652</t>
  </si>
  <si>
    <t>PIL-NL-I26H-25418</t>
  </si>
  <si>
    <t>HPBL4-NL-O26H-10653</t>
  </si>
  <si>
    <t>PIL-NL-I26H-25434</t>
  </si>
  <si>
    <t>HPBL4-NL-O26H-10654</t>
  </si>
  <si>
    <t>PIL-NL-I26H-25436</t>
  </si>
  <si>
    <t>HPBL4-NL-O26H-10655</t>
  </si>
  <si>
    <t>PIL-NL-I26H-25456</t>
  </si>
  <si>
    <t>HPBL4-NL-O26H-10656</t>
  </si>
  <si>
    <t>PIL-NL-I26H-25458</t>
  </si>
  <si>
    <t>HPBL4-NL-O26H-10657</t>
  </si>
  <si>
    <t>PIL-NL-I26H-25494</t>
  </si>
  <si>
    <t>HPBL4-NL-O26H-10658</t>
  </si>
  <si>
    <t>PIL-NL-I26H-25505</t>
  </si>
  <si>
    <t>HPBL4-NL-O26H-10659</t>
  </si>
  <si>
    <t>PIL-NL-I26H-25507</t>
  </si>
  <si>
    <t>HPBL4-NL-O26H-10660</t>
  </si>
  <si>
    <t>PIL-NL-I26H-25525</t>
  </si>
  <si>
    <t>HPBL4-NL-O26H-10661</t>
  </si>
  <si>
    <t>PIL-NL-I26H-25527</t>
  </si>
  <si>
    <t>HPBL4-NL-O26H-10662</t>
  </si>
  <si>
    <t>PIL-NL-I26H-25412</t>
  </si>
  <si>
    <t>HPBL4-NL-O26H-10663</t>
  </si>
  <si>
    <t>PIL-NL-I26H-25426</t>
  </si>
  <si>
    <t>HPBL4-NL-O26H-10664</t>
  </si>
  <si>
    <t>PIL-NL-I26H-25431</t>
  </si>
  <si>
    <t>HPBL4-NL-O26H-10665</t>
  </si>
  <si>
    <t>PIL-NL-I26H-25447</t>
  </si>
  <si>
    <t>HPBL4-NL-O26H-10666</t>
  </si>
  <si>
    <t>PIL-NL-I26H-25449</t>
  </si>
  <si>
    <t>HPBL4-NL-O26H-10667</t>
  </si>
  <si>
    <t>PIL-NL-I26H-25474</t>
  </si>
  <si>
    <t>HPBL4-NL-O26H-10668</t>
  </si>
  <si>
    <t>PIL-NL-I26H-25496</t>
  </si>
  <si>
    <t>HPBL4-NL-O26H-10669</t>
  </si>
  <si>
    <t>PIL-NL-I26H-25498</t>
  </si>
  <si>
    <t>HPBL4-NL-O26H-10670</t>
  </si>
  <si>
    <t>PIL-NL-I26H-25529</t>
  </si>
  <si>
    <t>HPBL4-NL-O26H-10671</t>
  </si>
  <si>
    <t>PIL-NL-I26H-25570</t>
  </si>
  <si>
    <t>HPBL4-NL-O26H-10672</t>
  </si>
  <si>
    <t>PIL-NL-I26H-25572</t>
  </si>
  <si>
    <t>HPBL4-NL-O26H-10673</t>
  </si>
  <si>
    <t>PIL-NL-I26H-25582</t>
  </si>
  <si>
    <t>4/35 BLUE-288C/MW+ORANGE</t>
  </si>
  <si>
    <t>HPBL4-NL-O26H-10674</t>
  </si>
  <si>
    <t>PIL-NL-I26H-25612</t>
  </si>
  <si>
    <t>HPBL4-NL-O26H-10675</t>
  </si>
  <si>
    <t>PIL-NL-I26H-25614</t>
  </si>
  <si>
    <t>HPBL4-NL-O26H-10676</t>
  </si>
  <si>
    <t>PIL-NL-I26H-25624</t>
  </si>
  <si>
    <t>HPBL4-NL-O26H-10677</t>
  </si>
  <si>
    <t>PIL-NL-I26H-25632</t>
  </si>
  <si>
    <t>HPBL4-NL-O26H-10678</t>
  </si>
  <si>
    <t>PIL-NL-I26H-25644</t>
  </si>
  <si>
    <t>HPBL4-NL-O26H-10679</t>
  </si>
  <si>
    <t>PIL-NL-I26H-25646</t>
  </si>
  <si>
    <t>HPBL4-NL-O26H-10680</t>
  </si>
  <si>
    <t>PIL-NL-I26H-25653</t>
  </si>
  <si>
    <t>HPBL4-NL-O26H-10681</t>
  </si>
  <si>
    <t>PIL-NL-I26H-25542</t>
  </si>
  <si>
    <t>HPBL4-NL-O26H-10682</t>
  </si>
  <si>
    <t>PIL-NL-I26H-25549</t>
  </si>
  <si>
    <t>HPBL4-NL-O26H-10683</t>
  </si>
  <si>
    <t>PIL-NL-I26H-25550</t>
  </si>
  <si>
    <t>HPBL4-NL-O26H-10684</t>
  </si>
  <si>
    <t>PIL-NL-I26H-25559</t>
  </si>
  <si>
    <t>HPBL4-NL-O26H-10685</t>
  </si>
  <si>
    <t>PIL-NL-I26H-25562</t>
  </si>
  <si>
    <t>HPBL4-NL-O26H-10686</t>
  </si>
  <si>
    <t>PIL-NL-I26H-25565</t>
  </si>
  <si>
    <t>HPBL4-NL-O26H-10687</t>
  </si>
  <si>
    <t>PIL-NL-I26H-25569</t>
  </si>
  <si>
    <t>HPBL4-NL-O26H-10688</t>
  </si>
  <si>
    <t>PIL-NL-I26H-25606</t>
  </si>
  <si>
    <t>HPBL4-NL-O26H-10689</t>
  </si>
  <si>
    <t>PIL-NL-I26H-25619</t>
  </si>
  <si>
    <t>HPBL4-NL-O26H-10690</t>
  </si>
  <si>
    <t>PIL-NL-I26H-25639</t>
  </si>
  <si>
    <t>5/45 BLUE-288C/RED+ORANGE</t>
  </si>
  <si>
    <t>HPBL4-NL-O26H-10691</t>
  </si>
  <si>
    <t>PIL-NL-I26H-25642</t>
  </si>
  <si>
    <t>HPBL4-NL-O26H-10692</t>
  </si>
  <si>
    <t>PIL-NL-I26H-25568</t>
  </si>
  <si>
    <t>HPBL4-NL-O26H-10693</t>
  </si>
  <si>
    <t>PIL-NL-I26H-25576</t>
  </si>
  <si>
    <t>HPBL4-NL-O26H-10694</t>
  </si>
  <si>
    <t>PIL-NL-I26H-25605</t>
  </si>
  <si>
    <t>HPBL4-NL-O26H-10695</t>
  </si>
  <si>
    <t>PIL-NL-I26H-25607</t>
  </si>
  <si>
    <t>HPBL4-NL-O26H-10696</t>
  </si>
  <si>
    <t>PIL-NL-I26H-25625</t>
  </si>
  <si>
    <t>HPBL4-NL-O26H-10697</t>
  </si>
  <si>
    <t>PIL-NL-I26H-25627</t>
  </si>
  <si>
    <t>HPBL4-NL-O26H-10698</t>
  </si>
  <si>
    <t>PIL-NL-I26H-25631</t>
  </si>
  <si>
    <t>HPBL4-NL-O26H-10699</t>
  </si>
  <si>
    <t>PIL-NL-I26H-25638</t>
  </si>
  <si>
    <t>HPBL4-NL-O26H-10700</t>
  </si>
  <si>
    <t>PIL-NL-I26H-25560</t>
  </si>
  <si>
    <t>HPBL4-NL-O26H-10701</t>
  </si>
  <si>
    <t>PIL-NL-I26H-25567</t>
  </si>
  <si>
    <t>HPBL4-NL-O26H-10702</t>
  </si>
  <si>
    <t>PIL-NL-I26H-25575</t>
  </si>
  <si>
    <t>HPBL4-NL-O26H-10703</t>
  </si>
  <si>
    <t>PIL-NL-I26H-25580</t>
  </si>
  <si>
    <t>4/35 MW 30% RP/BLUE+ORANGE</t>
  </si>
  <si>
    <t>HPBL4-NL-O26H-10704</t>
  </si>
  <si>
    <t>PIL-NL-I26H-25608</t>
  </si>
  <si>
    <t>HPBL4-NL-O26H-10705</t>
  </si>
  <si>
    <t>PIL-NL-I26H-25620</t>
  </si>
  <si>
    <t>HPBL4-NL-O26H-10706</t>
  </si>
  <si>
    <t>PIL-NL-I26H-25626</t>
  </si>
  <si>
    <t>HPBL4-NL-O26H-10707</t>
  </si>
  <si>
    <t>PIL-NL-I26H-25630</t>
  </si>
  <si>
    <t>HPBL4-NL-O26H-10708</t>
  </si>
  <si>
    <t>PIL-NL-I26H-25539</t>
  </si>
  <si>
    <t>HPBL4-NL-O26H-10709</t>
  </si>
  <si>
    <t>PIL-NL-I26H-25545</t>
  </si>
  <si>
    <t>HPBL4-NL-O26H-10710</t>
  </si>
  <si>
    <t>PIL-NL-I26H-25546</t>
  </si>
  <si>
    <t>HPBL4-NL-O26H-10711</t>
  </si>
  <si>
    <t>PIL-NL-I26H-25564</t>
  </si>
  <si>
    <t>HPBL4-NL-O26H-10712</t>
  </si>
  <si>
    <t>PIL-NL-I26H-25577</t>
  </si>
  <si>
    <t>HPBL4-NL-O26H-10713</t>
  </si>
  <si>
    <t>PIL-NL-I26H-25622</t>
  </si>
  <si>
    <t>HPBL4-NL-O26H-10714</t>
  </si>
  <si>
    <t>PIL-NL-I26H-25635</t>
  </si>
  <si>
    <t>HPBL4-NL-O26H-10715</t>
  </si>
  <si>
    <t>PIL-NL-I26H-25636</t>
  </si>
  <si>
    <t>HPBL4-NL-O26H-10716</t>
  </si>
  <si>
    <t>PIL-NL-I26H-25543</t>
  </si>
  <si>
    <t>HPBL4-NL-O26H-10717</t>
  </si>
  <si>
    <t>PIL-NL-I26H-25548</t>
  </si>
  <si>
    <t>HPBL4-NL-O26H-10718</t>
  </si>
  <si>
    <t>PIL-NL-I26H-25561</t>
  </si>
  <si>
    <t>HPBL4-NL-O26H-10719</t>
  </si>
  <si>
    <t>PIL-NL-I26H-25621</t>
  </si>
  <si>
    <t>HPBL4-NL-O26H-10720</t>
  </si>
  <si>
    <t>PIL-NL-I26H-25628</t>
  </si>
  <si>
    <t>HPBL4-NL-O26H-10721</t>
  </si>
  <si>
    <t>PIL-NL-I26H-25571</t>
  </si>
  <si>
    <t>HPBL4-NL-O26H-10722</t>
  </si>
  <si>
    <t>PIL-NL-I26H-25581</t>
  </si>
  <si>
    <t>HPBL4-NL-O26H-10723</t>
  </si>
  <si>
    <t>PIL-NL-I26H-25629</t>
  </si>
  <si>
    <t>HPBL4-NL-O26H-10724</t>
  </si>
  <si>
    <t>PIL-NL-I26H-25633</t>
  </si>
  <si>
    <t>HPBL4-NL-O26H-10725</t>
  </si>
  <si>
    <t>PIL-NL-I26H-25652</t>
  </si>
  <si>
    <t>HPBL4-NL-O26H-10726</t>
  </si>
  <si>
    <t>PIL-NL-I26H-25544</t>
  </si>
  <si>
    <t>HPBL4-NL-O26H-10727</t>
  </si>
  <si>
    <t>PIL-NL-I26H-25547</t>
  </si>
  <si>
    <t>HPBL4-NL-O26H-10728</t>
  </si>
  <si>
    <t>PIL-NL-I26H-25563</t>
  </si>
  <si>
    <t>HPBL4-NL-O26H-10729</t>
  </si>
  <si>
    <t>PIL-NL-I26H-25566</t>
  </si>
  <si>
    <t>HPBL4-NL-O26H-10730</t>
  </si>
  <si>
    <t>PIL-NL-I26H-25578</t>
  </si>
  <si>
    <t>HPBL4-NL-O26H-10731</t>
  </si>
  <si>
    <t>PIL-NL-I26H-25579</t>
  </si>
  <si>
    <t>HPBL4-NL-O26H-10732</t>
  </si>
  <si>
    <t>PIL-NL-I26H-25583</t>
  </si>
  <si>
    <t>HPBL4-NL-O26H-10733</t>
  </si>
  <si>
    <t>PIL-NL-I26H-25604</t>
  </si>
  <si>
    <t>HPBL4-NL-O26H-10734</t>
  </si>
  <si>
    <t>PIL-NL-I26H-25623</t>
  </si>
  <si>
    <t>HPBL4-NL-O26H-10735</t>
  </si>
  <si>
    <t>PIL-NL-I26H-25634</t>
  </si>
  <si>
    <t>HPBL4-NL-O26H-10736</t>
  </si>
  <si>
    <t>PIL-NL-I26H-25643</t>
  </si>
  <si>
    <t>HPBL4-NL-O26H-10737</t>
  </si>
  <si>
    <t>PIL-NL-I26H-25728</t>
  </si>
  <si>
    <t>HPBL4-NL-O26H-10738</t>
  </si>
  <si>
    <t>PIL-NL-I26H-25744</t>
  </si>
  <si>
    <t>HPBL4-NL-O26H-10739</t>
  </si>
  <si>
    <t>PIL-NL-I26H-25754</t>
  </si>
  <si>
    <t>HPBL4-NL-O26H-10740</t>
  </si>
  <si>
    <t>PIL-NL-I26H-25773</t>
  </si>
  <si>
    <t>HPBL4-NL-O26H-10741</t>
  </si>
  <si>
    <t>PIL-NL-I26H-25776</t>
  </si>
  <si>
    <t>HPBL4-NL-O26H-10742</t>
  </si>
  <si>
    <t>PIL-NL-I26H-25802</t>
  </si>
  <si>
    <t>HPBL4-NL-O26H-10743</t>
  </si>
  <si>
    <t>PIL-NL-I26H-25670</t>
  </si>
  <si>
    <t>HPBL4-NL-O26H-10744</t>
  </si>
  <si>
    <t>PIL-NL-I26H-25672</t>
  </si>
  <si>
    <t>HPBL4-NL-O26H-10745</t>
  </si>
  <si>
    <t>PIL-NL-I26H-25677</t>
  </si>
  <si>
    <t>HPBL4-NL-O26H-10746</t>
  </si>
  <si>
    <t>PIL-NL-I26H-25700</t>
  </si>
  <si>
    <t>HPBL4-NL-O26H-10747</t>
  </si>
  <si>
    <t>PIL-NL-I26H-25702</t>
  </si>
  <si>
    <t>HPBL4-NL-O26H-10748</t>
  </si>
  <si>
    <t>PIL-NL-I26H-25711</t>
  </si>
  <si>
    <t>HPBL4-NL-O26H-10749</t>
  </si>
  <si>
    <t>PIL-NL-I26H-25713</t>
  </si>
  <si>
    <t>HPBL4-NL-O26H-10750</t>
  </si>
  <si>
    <t>PIL-NL-I26H-25747</t>
  </si>
  <si>
    <t>HPBL4-NL-O26H-10751</t>
  </si>
  <si>
    <t>PIL-NL-I26H-25777</t>
  </si>
  <si>
    <t>HPBL4-NL-O26H-10752</t>
  </si>
  <si>
    <t>PIL-NL-I26H-25779</t>
  </si>
  <si>
    <t>HPBL4-NL-O26H-10753</t>
  </si>
  <si>
    <t>PIL-NL-I26H-25780</t>
  </si>
  <si>
    <t>HPBL4-NL-O26H-10754</t>
  </si>
  <si>
    <t>PIL-NL-I26H-25782</t>
  </si>
  <si>
    <t>HPBL4-NL-O26H-10755</t>
  </si>
  <si>
    <t>PIL-NL-I26H-25785</t>
  </si>
  <si>
    <t>HPBL4-NL-O26H-10756</t>
  </si>
  <si>
    <t>PIL-NL-I26H-25787</t>
  </si>
  <si>
    <t>HPBL4-NL-O26H-10757</t>
  </si>
  <si>
    <t>PIL-NL-I26H-25698</t>
  </si>
  <si>
    <t>HPBL4-NL-O26H-10758</t>
  </si>
  <si>
    <t>PIL-NL-I26H-25708</t>
  </si>
  <si>
    <t>HPBL4-NL-O26H-10759</t>
  </si>
  <si>
    <t>PIL-NL-I26H-25714</t>
  </si>
  <si>
    <t>HPBL4-NL-O26H-10760</t>
  </si>
  <si>
    <t>PIL-NL-I26H-25746</t>
  </si>
  <si>
    <t>HPBL4-NL-O26H-10761</t>
  </si>
  <si>
    <t>PIL-NL-I26H-25768</t>
  </si>
  <si>
    <t>HPBL4-NL-O26H-10762</t>
  </si>
  <si>
    <t>PIL-NL-I26H-25778</t>
  </si>
  <si>
    <t>HPBL4-NL-O26H-10763</t>
  </si>
  <si>
    <t>PIL-NL-I26H-25788</t>
  </si>
  <si>
    <t>HPBL4-NL-O26H-10764</t>
  </si>
  <si>
    <t>PIL-NL-I26H-25666</t>
  </si>
  <si>
    <t>HPBL4-NL-O26H-10765</t>
  </si>
  <si>
    <t>PIL-NL-I26H-25687</t>
  </si>
  <si>
    <t>HPBL4-NL-O26H-10766</t>
  </si>
  <si>
    <t>PIL-NL-I26H-25689</t>
  </si>
  <si>
    <t>HPBL4-NL-O26H-10767</t>
  </si>
  <si>
    <t>PIL-NL-I26H-25697</t>
  </si>
  <si>
    <t>HPBL4-NL-O26H-10768</t>
  </si>
  <si>
    <t>PIL-NL-I26H-25699</t>
  </si>
  <si>
    <t>HPBL4-NL-O26H-10769</t>
  </si>
  <si>
    <t>PIL-NL-I26H-25723</t>
  </si>
  <si>
    <t>HPBL4-NL-O26H-10770</t>
  </si>
  <si>
    <t>PIL-NL-I26H-25769</t>
  </si>
  <si>
    <t>HPBL4-NL-O26H-10771</t>
  </si>
  <si>
    <t>PIL-NL-I26H-25770</t>
  </si>
  <si>
    <t>HPBL4-NL-O26H-10772</t>
  </si>
  <si>
    <t>PIL-NL-I26H-25772</t>
  </si>
  <si>
    <t>HPBL4-NL-O26H-10773</t>
  </si>
  <si>
    <t>PIL-NL-I26H-25793</t>
  </si>
  <si>
    <t>HPBL4-NL-O26H-10774</t>
  </si>
  <si>
    <t>PIL-NL-I26H-25686</t>
  </si>
  <si>
    <t>HPBL4-NL-O26H-10775</t>
  </si>
  <si>
    <t>PIL-NL-I26H-25709</t>
  </si>
  <si>
    <t>HPBL4-NL-O26H-10776</t>
  </si>
  <si>
    <t>PIL-NL-I26H-25710</t>
  </si>
  <si>
    <t>HPBL4-NL-O26H-10777</t>
  </si>
  <si>
    <t>PIL-NL-I26H-25725</t>
  </si>
  <si>
    <t>HPBL4-NL-O26H-10778</t>
  </si>
  <si>
    <t>PIL-NL-I26H-25745</t>
  </si>
  <si>
    <t>HPBL4-NL-O26H-10779</t>
  </si>
  <si>
    <t>PIL-NL-I26H-25774</t>
  </si>
  <si>
    <t>HPBL4-NL-O26H-10780</t>
  </si>
  <si>
    <t>PIL-NL-I26H-25775</t>
  </si>
  <si>
    <t>HPBL4-NL-O26H-10781</t>
  </si>
  <si>
    <t>PIL-NL-I26H-25789</t>
  </si>
  <si>
    <t>HPBL4-NL-O26H-10782</t>
  </si>
  <si>
    <t>PIL-NL-I26H-25800</t>
  </si>
  <si>
    <t>HPBL4-NL-O26H-10783</t>
  </si>
  <si>
    <t>PIL-NL-I26H-25694</t>
  </si>
  <si>
    <t>HPBL4-NL-O26H-10784</t>
  </si>
  <si>
    <t>PIL-NL-I26H-25696</t>
  </si>
  <si>
    <t>HPBL4-NL-O26H-10785</t>
  </si>
  <si>
    <t>PIL-NL-I26H-25704</t>
  </si>
  <si>
    <t>HPBL4-NL-O26H-10786</t>
  </si>
  <si>
    <t>PIL-NL-I26H-25715</t>
  </si>
  <si>
    <t>HPBL4-NL-O26H-10787</t>
  </si>
  <si>
    <t>PIL-NL-I26H-25738</t>
  </si>
  <si>
    <t>HPBL4-NL-O26H-10788</t>
  </si>
  <si>
    <t>PIL-NL-I26H-25743</t>
  </si>
  <si>
    <t>HPBL4-NL-O26H-10789</t>
  </si>
  <si>
    <t>PIL-NL-I26H-25753</t>
  </si>
  <si>
    <t>HPBL4-NL-O26H-10790</t>
  </si>
  <si>
    <t>PIL-NL-I26H-25783</t>
  </si>
  <si>
    <t>HPBL4-NL-O26H-10791</t>
  </si>
  <si>
    <t>PIL-NL-I26H-25794</t>
  </si>
  <si>
    <t>HPBL4-NL-O26H-10792</t>
  </si>
  <si>
    <t>PIL-NL-I26H-25671</t>
  </si>
  <si>
    <t>HPBL4-NL-O26H-10793</t>
  </si>
  <si>
    <t>PIL-NL-I26H-25678</t>
  </si>
  <si>
    <t>HPBL4-NL-O26H-10794</t>
  </si>
  <si>
    <t>PIL-NL-I26H-25693</t>
  </si>
  <si>
    <t>HPBL4-NL-O26H-10795</t>
  </si>
  <si>
    <t>PIL-NL-I26H-25695</t>
  </si>
  <si>
    <t>HPBL4-NL-O26H-10796</t>
  </si>
  <si>
    <t>PIL-NL-I26H-25703</t>
  </si>
  <si>
    <t>HPBL4-NL-O26H-10797</t>
  </si>
  <si>
    <t>PIL-NL-I26H-25705</t>
  </si>
  <si>
    <t>HPBL4-NL-O26H-10798</t>
  </si>
  <si>
    <t>PIL-NL-I26H-25737</t>
  </si>
  <si>
    <t>HPBL4-NL-O26H-10799</t>
  </si>
  <si>
    <t>PIL-NL-I26H-25742</t>
  </si>
  <si>
    <t>HPBL4-NL-O26H-10800</t>
  </si>
  <si>
    <t>PIL-NL-I26H-25781</t>
  </si>
  <si>
    <t>HPBL4-NL-O26H-10801</t>
  </si>
  <si>
    <t>PIL-NL-I26H-25784</t>
  </si>
  <si>
    <t>HPBL4-NL-O26H-10802</t>
  </si>
  <si>
    <t>PIL-NL-I26H-25795</t>
  </si>
  <si>
    <t>HPBL4-NL-O26H-10803</t>
  </si>
  <si>
    <t>PIL-NL-I26H-25667</t>
  </si>
  <si>
    <t>HPBL4-NL-O26H-10804</t>
  </si>
  <si>
    <t>PIL-NL-I26H-25688</t>
  </si>
  <si>
    <t>HPBL4-NL-O26H-10805</t>
  </si>
  <si>
    <t>PIL-NL-I26H-25701</t>
  </si>
  <si>
    <t>HPBL4-NL-O26H-10806</t>
  </si>
  <si>
    <t>PIL-NL-I26H-25712</t>
  </si>
  <si>
    <t>HPBL4-NL-O26H-10807</t>
  </si>
  <si>
    <t>PIL-NL-I26H-25757</t>
  </si>
  <si>
    <t>HPBL4-NL-O26H-10808</t>
  </si>
  <si>
    <t>PIL-NL-I26H-25758</t>
  </si>
  <si>
    <t>HPBL4-NL-O26H-10809</t>
  </si>
  <si>
    <t>PIL-NL-I26H-25771</t>
  </si>
  <si>
    <t>HPBL4-NL-O26H-10810</t>
  </si>
  <si>
    <t>PIL-NL-I26H-25807</t>
  </si>
  <si>
    <t>4/30 BLUE 30% RP/MW+ORANGE</t>
  </si>
  <si>
    <t>HPBL4-NL-O26H-10811</t>
  </si>
  <si>
    <t>PIL-NL-I26H-25817</t>
  </si>
  <si>
    <t>HPBL4-NL-O26H-10812</t>
  </si>
  <si>
    <t>PIL-NL-I26H-25829</t>
  </si>
  <si>
    <t>HPBL4-NL-O26H-10813</t>
  </si>
  <si>
    <t>PIL-NL-I26H-25843</t>
  </si>
  <si>
    <t>HPBL4-NL-O26H-10814</t>
  </si>
  <si>
    <t>PIL-NL-I26H-25844</t>
  </si>
  <si>
    <t>HPBL4-NL-O26H-10815</t>
  </si>
  <si>
    <t>PIL-NL-I26H-25850</t>
  </si>
  <si>
    <t>HPBL4-NL-O26H-10816</t>
  </si>
  <si>
    <t>PIL-NL-I26H-25885</t>
  </si>
  <si>
    <t>HPBL4-NL-O26H-10817</t>
  </si>
  <si>
    <t>PIL-NL-I26H-25895</t>
  </si>
  <si>
    <t>HPBL4-NL-O26H-10818</t>
  </si>
  <si>
    <t>PIL-NL-I26H-25908</t>
  </si>
  <si>
    <t>HPBL4-NL-O26H-10819</t>
  </si>
  <si>
    <t>PIL-NL-I26H-25910</t>
  </si>
  <si>
    <t>HPBL4-NL-O26H-10820</t>
  </si>
  <si>
    <t>PIL-NL-I26H-25733</t>
  </si>
  <si>
    <t>HPBL4-NL-O26H-10821</t>
  </si>
  <si>
    <t>PIL-NL-I26H-25659</t>
  </si>
  <si>
    <t>HPBL4-NL-O26H-10822</t>
  </si>
  <si>
    <t>PIL-NL-I26H-25499</t>
  </si>
  <si>
    <t>HPBL4-NL-O26H-10823</t>
  </si>
  <si>
    <t>PIL-NL-I26H-25500</t>
  </si>
  <si>
    <t>HPBL4-NL-O26H-10824</t>
  </si>
  <si>
    <t>PIL-NL-I26H-25828</t>
  </si>
  <si>
    <t>HPBL4-NL-O26H-10825</t>
  </si>
  <si>
    <t>PIL-NL-I26H-25837</t>
  </si>
  <si>
    <t>HPBL4-NL-O26H-10826</t>
  </si>
  <si>
    <t>PIL-NL-I26H-25840</t>
  </si>
  <si>
    <t>HPBL4-NL-O26H-10827</t>
  </si>
  <si>
    <t>PIL-NL-I26H-25842</t>
  </si>
  <si>
    <t>HPBL4-NL-O26H-10828</t>
  </si>
  <si>
    <t>PIL-NL-I26H-25854</t>
  </si>
  <si>
    <t>HPBL4-NL-O26H-10829</t>
  </si>
  <si>
    <t>PIL-NL-I26H-25894</t>
  </si>
  <si>
    <t>HPBL4-NL-O26H-10830</t>
  </si>
  <si>
    <t>PIL-NL-I26H-25904</t>
  </si>
  <si>
    <t>HPBL4-NL-O26H-10831</t>
  </si>
  <si>
    <t>PIL-NL-I26H-25906</t>
  </si>
  <si>
    <t>HPBL4-NL-O26H-10832</t>
  </si>
  <si>
    <t>PIL-NL-I26H-25913</t>
  </si>
  <si>
    <t>HPBL4-NL-O26H-10833</t>
  </si>
  <si>
    <t>PIL-NL-I26H-25915</t>
  </si>
  <si>
    <t>HPBL4-NL-O26H-10834</t>
  </si>
  <si>
    <t>PIL-NL-I26H-25654</t>
  </si>
  <si>
    <t>HPBL4-NL-O26H-10835</t>
  </si>
  <si>
    <t>PIL-NL-I26H-25660</t>
  </si>
  <si>
    <t>HPBL4-NL-O26H-10836</t>
  </si>
  <si>
    <t>PIL-NL-I26H-25806</t>
  </si>
  <si>
    <t>HPBL4-NL-O26H-10837</t>
  </si>
  <si>
    <t>PIL-NL-I26H-25808</t>
  </si>
  <si>
    <t>HPBL4-NL-O26H-10838</t>
  </si>
  <si>
    <t>PIL-NL-I26H-25816</t>
  </si>
  <si>
    <t>HPBL4-NL-O26H-10839</t>
  </si>
  <si>
    <t>PIL-NL-I26H-25818</t>
  </si>
  <si>
    <t>HPBL4-NL-O26H-10840</t>
  </si>
  <si>
    <t>PIL-NL-I26H-25826</t>
  </si>
  <si>
    <t>HPBL4-NL-O26H-10841</t>
  </si>
  <si>
    <t>PIL-NL-I26H-25858</t>
  </si>
  <si>
    <t>HPBL4-NL-O26H-10842</t>
  </si>
  <si>
    <t>PIL-NL-I26H-25886</t>
  </si>
  <si>
    <t>HPBL4-NL-O26H-10843</t>
  </si>
  <si>
    <t>PIL-NL-I26H-25902</t>
  </si>
  <si>
    <t>HPBL4-NL-O26H-10844</t>
  </si>
  <si>
    <t>PIL-NL-I26H-25911</t>
  </si>
  <si>
    <t>HPBL4-NL-O26H-10845</t>
  </si>
  <si>
    <t>PIL-NL-I26H-25838</t>
  </si>
  <si>
    <t>HPBL4-NL-O26H-10846</t>
  </si>
  <si>
    <t>PIL-NL-I26H-25729</t>
  </si>
  <si>
    <t>HPBL4-NL-O26H-10847</t>
  </si>
  <si>
    <t>PIL-NL-I26H-25730</t>
  </si>
  <si>
    <t>HPBL4-NL-O26H-10848</t>
  </si>
  <si>
    <t>PIL-NL-I26H-25845</t>
  </si>
  <si>
    <t>HPBL4-NL-O26H-10849</t>
  </si>
  <si>
    <t>PIL-NL-I26H-25851</t>
  </si>
  <si>
    <t>HPBL4-NL-O26H-10850</t>
  </si>
  <si>
    <t>PIL-NL-I26H-25909</t>
  </si>
  <si>
    <t>HPBL4-NL-O26H-10851</t>
  </si>
  <si>
    <t>PIL-NL-I26H-25918</t>
  </si>
  <si>
    <t>HPBL4-NL-O26H-10852</t>
  </si>
  <si>
    <t>PIL-NL-I26H-25920</t>
  </si>
  <si>
    <t>HPBL4-NL-O26H-10853</t>
  </si>
  <si>
    <t>PIL-NL-I26H-25661</t>
  </si>
  <si>
    <t>HPBL4-NL-O26H-10854</t>
  </si>
  <si>
    <t>PIL-NL-I26H-25821</t>
  </si>
  <si>
    <t>HPBL4-NL-O26H-10855</t>
  </si>
  <si>
    <t>PIL-NL-I26H-25848</t>
  </si>
  <si>
    <t>HPBL4-NL-O26H-10856</t>
  </si>
  <si>
    <t>PIL-NL-I26H-25849</t>
  </si>
  <si>
    <t>HPBL4-NL-O26H-10857</t>
  </si>
  <si>
    <t>PIL-NL-I26H-25574</t>
  </si>
  <si>
    <t>HPBL4-NL-O26H-10858</t>
  </si>
  <si>
    <t>PIL-NL-I26H-25836</t>
  </si>
  <si>
    <t>HPBL4-NL-O26H-10859</t>
  </si>
  <si>
    <t>PIL-NL-I26H-25841</t>
  </si>
  <si>
    <t>HPBL4-NL-O26H-10860</t>
  </si>
  <si>
    <t>PIL-NL-I26H-25847</t>
  </si>
  <si>
    <t>HPBL4-NL-O26H-10861</t>
  </si>
  <si>
    <t>PIL-NL-I26H-25855</t>
  </si>
  <si>
    <t>HPBL4-NL-O26H-10862</t>
  </si>
  <si>
    <t>PIL-NL-I26H-25857</t>
  </si>
  <si>
    <t>HPBL4-NL-O26H-10863</t>
  </si>
  <si>
    <t>PIL-NL-I26H-25892</t>
  </si>
  <si>
    <t>HPBL4-NL-O26H-10864</t>
  </si>
  <si>
    <t>PIL-NL-I26H-25905</t>
  </si>
  <si>
    <t>HPBL4-NL-O26H-10865</t>
  </si>
  <si>
    <t>PIL-NL-I26H-25907</t>
  </si>
  <si>
    <t>HPBL4-NL-O26H-10866</t>
  </si>
  <si>
    <t>PIL-NL-I26H-25912</t>
  </si>
  <si>
    <t>HPBL4-NL-O26H-10867</t>
  </si>
  <si>
    <t>PIL-NL-I26H-25914</t>
  </si>
  <si>
    <t>HPBL4-NL-O26H-10868</t>
  </si>
  <si>
    <t>PIL-NL-I26H-25926</t>
  </si>
  <si>
    <t>HPBL4-NL-O26H-10869</t>
  </si>
  <si>
    <t>PIL-NL-I26H-25805</t>
  </si>
  <si>
    <t>HPBL4-NL-O26H-10870</t>
  </si>
  <si>
    <t>PIL-NL-I26H-25809</t>
  </si>
  <si>
    <t>HPBL4-NL-O26H-10871</t>
  </si>
  <si>
    <t>PIL-NL-I26H-25827</t>
  </si>
  <si>
    <t>HPBL4-NL-O26H-10872</t>
  </si>
  <si>
    <t>PIL-NL-I26H-25839</t>
  </si>
  <si>
    <t>HPBL4-NL-O26H-10873</t>
  </si>
  <si>
    <t>PIL-NL-I26H-25846</t>
  </si>
  <si>
    <t>HPBL4-NL-O26H-10874</t>
  </si>
  <si>
    <t>PIL-NL-I26H-25856</t>
  </si>
  <si>
    <t>HPBL4-NL-O26H-10875</t>
  </si>
  <si>
    <t>PIL-NL-I26H-25859</t>
  </si>
  <si>
    <t>HPBL4-NL-O26H-10876</t>
  </si>
  <si>
    <t>PIL-NL-I26H-25887</t>
  </si>
  <si>
    <t>HPBL4-NL-O26H-10877</t>
  </si>
  <si>
    <t>PIL-NL-I26H-25893</t>
  </si>
  <si>
    <t>HPBL4-NL-O26H-10878</t>
  </si>
  <si>
    <t>PIL-NL-I26H-25901</t>
  </si>
  <si>
    <t>HPBL4-NL-O26H-10879</t>
  </si>
  <si>
    <t>PIL-NL-I26H-25919</t>
  </si>
  <si>
    <t>HPBL4-NL-O26H-10880</t>
  </si>
  <si>
    <t>PIL-NL-I26H-25925</t>
  </si>
  <si>
    <t>HPBL4-NL-O26H-10881</t>
  </si>
  <si>
    <t>PIL-NL-I26H-25731</t>
  </si>
  <si>
    <t>HPBL4-NL-O26H-10882</t>
  </si>
  <si>
    <t>PIL-NL-I26H-25819</t>
  </si>
  <si>
    <t>HPBL4-NL-O26H-10883</t>
  </si>
  <si>
    <t>PIL-NL-I26H-25852</t>
  </si>
  <si>
    <t>HPBL4-NL-O26H-10884</t>
  </si>
  <si>
    <t>PIL-NL-I26H-25883</t>
  </si>
  <si>
    <t>HPBL4-NL-O26H-10885</t>
  </si>
  <si>
    <t>PIL-NL-I26H-25884</t>
  </si>
  <si>
    <t>HPBL4-NL-O26H-10886</t>
  </si>
  <si>
    <t>PIL-NL-I26H-25921</t>
  </si>
  <si>
    <t>HPBL4-NL-O26H-10887</t>
  </si>
  <si>
    <t>PIL-NL-I26H-25657</t>
  </si>
  <si>
    <t>HPBL4-NL-O26H-10888</t>
  </si>
  <si>
    <t>PIL-NL-I26H-25963</t>
  </si>
  <si>
    <t>4/32 MW 30% RP/BLUE+ORANGE</t>
  </si>
  <si>
    <t>HPBL4-NL-O26H-10889</t>
  </si>
  <si>
    <t>PIL-NL-I26H-25966</t>
  </si>
  <si>
    <t>HPBL4-NL-O26H-10890</t>
  </si>
  <si>
    <t>PIL-NL-I26H-25968</t>
  </si>
  <si>
    <t>HPBL4-NL-O26H-10891</t>
  </si>
  <si>
    <t>PIL-NL-I26H-25975</t>
  </si>
  <si>
    <t>HPBL4-NL-O26H-10892</t>
  </si>
  <si>
    <t>PIL-NL-I26H-25981</t>
  </si>
  <si>
    <t>HPBL4-NL-O26H-10893</t>
  </si>
  <si>
    <t>PIL-NL-I26H-26037</t>
  </si>
  <si>
    <t>HPBL4-NL-O26H-10894</t>
  </si>
  <si>
    <t>PIL-NL-I26H-26044</t>
  </si>
  <si>
    <t>HPBL4-NL-O26H-10895</t>
  </si>
  <si>
    <t>PIL-NL-I26H-25930</t>
  </si>
  <si>
    <t>HPBL4-NL-O26H-10896</t>
  </si>
  <si>
    <t>PIL-NL-I26H-26000</t>
  </si>
  <si>
    <t>HPBL4-NL-O26H-10897</t>
  </si>
  <si>
    <t>PIL-NL-I26H-26042</t>
  </si>
  <si>
    <t>HPBL4-NL-O26H-10898</t>
  </si>
  <si>
    <t>PIL-NL-I26H-26045</t>
  </si>
  <si>
    <t>HPBL4-NL-O26H-10899</t>
  </si>
  <si>
    <t>PIL-NL-I26H-25941</t>
  </si>
  <si>
    <t>HPBL4-NL-O26H-10900</t>
  </si>
  <si>
    <t>PIL-NL-I26H-25948</t>
  </si>
  <si>
    <t>HPBL4-NL-O26H-10901</t>
  </si>
  <si>
    <t>PIL-NL-I26H-25982</t>
  </si>
  <si>
    <t>HPBL4-NL-O26H-10902</t>
  </si>
  <si>
    <t>PIL-NL-I26H-26051</t>
  </si>
  <si>
    <t>HPBL4-NL-O26H-10903</t>
  </si>
  <si>
    <t>PIL-NL-I26H-25936</t>
  </si>
  <si>
    <t>HPBL4-NL-O26H-10904</t>
  </si>
  <si>
    <t>PIL-NL-I26H-25973</t>
  </si>
  <si>
    <t>HPBL4-NL-O26H-10905</t>
  </si>
  <si>
    <t>PIL-NL-I26H-25979</t>
  </si>
  <si>
    <t>HPBL4-NL-O26H-10906</t>
  </si>
  <si>
    <t>PIL-NL-I26H-25996</t>
  </si>
  <si>
    <t>HPBL4-NL-O26H-10907</t>
  </si>
  <si>
    <t>PIL-NL-I26H-25998</t>
  </si>
  <si>
    <t>HPBL4-NL-O26H-10908</t>
  </si>
  <si>
    <t>PIL-NL-I26H-26001</t>
  </si>
  <si>
    <t>HPBL4-NL-O26H-10909</t>
  </si>
  <si>
    <t>PIL-NL-I26H-26016</t>
  </si>
  <si>
    <t>HPBL4-NL-O26H-10910</t>
  </si>
  <si>
    <t>PIL-NL-I26H-26031</t>
  </si>
  <si>
    <t>HPBL4-NL-O26H-10911</t>
  </si>
  <si>
    <t>PIL-NL-I26H-26040</t>
  </si>
  <si>
    <t>HPBL4-NL-O26H-10912</t>
  </si>
  <si>
    <t>PIL-NL-I26H-26050</t>
  </si>
  <si>
    <t>HPBL4-NL-O26H-10913</t>
  </si>
  <si>
    <t>PIL-NL-I26H-25972</t>
  </si>
  <si>
    <t>HPBL4-NL-O26H-10914</t>
  </si>
  <si>
    <t>PIL-NL-I26H-25997</t>
  </si>
  <si>
    <t>HPBL4-NL-O26H-10915</t>
  </si>
  <si>
    <t>PIL-NL-I26H-25999</t>
  </si>
  <si>
    <t>HPBL4-NL-O26H-10916</t>
  </si>
  <si>
    <t>PIL-NL-I26H-26030</t>
  </si>
  <si>
    <t>HPBL4-NL-O26H-10917</t>
  </si>
  <si>
    <t>PIL-NL-I26H-26032</t>
  </si>
  <si>
    <t>HPBL4-NL-O26H-10918</t>
  </si>
  <si>
    <t>PIL-NL-I26H-26043</t>
  </si>
  <si>
    <t>HPBL4-NL-O26H-10919</t>
  </si>
  <si>
    <t>PIL-NL-I26H-25949</t>
  </si>
  <si>
    <t>HPBL4-NL-O26H-10920</t>
  </si>
  <si>
    <t>PIL-NL-I26H-25950</t>
  </si>
  <si>
    <t>HPBL4-NL-O26H-10921</t>
  </si>
  <si>
    <t>PIL-NL-I26H-25965</t>
  </si>
  <si>
    <t>HPBL4-NL-O26H-10922</t>
  </si>
  <si>
    <t>PIL-NL-I26H-25974</t>
  </si>
  <si>
    <t>HPBL4-NL-O26H-10923</t>
  </si>
  <si>
    <t>PIL-NL-I26H-25980</t>
  </si>
  <si>
    <t>HPBL4-NL-O26H-10924</t>
  </si>
  <si>
    <t>PIL-NL-I26H-25983</t>
  </si>
  <si>
    <t>HPBL4-NL-O26H-10925</t>
  </si>
  <si>
    <t>PIL-NL-I26H-26005</t>
  </si>
  <si>
    <t>HPBL4-NL-O26H-10926</t>
  </si>
  <si>
    <t>PIL-NL-I26H-26036</t>
  </si>
  <si>
    <t>HPBL4-NL-O26H-10927</t>
  </si>
  <si>
    <t>PIL-NL-I26H-26047</t>
  </si>
  <si>
    <t>HPBL4-NL-O26H-10928</t>
  </si>
  <si>
    <t>PIL-NL-I26H-25928</t>
  </si>
  <si>
    <t>HPBL4-NL-O26H-10929</t>
  </si>
  <si>
    <t>PIL-NL-I26H-25929</t>
  </si>
  <si>
    <t>HPBL4-NL-O26H-10930</t>
  </si>
  <si>
    <t>PIL-NL-I26H-25947</t>
  </si>
  <si>
    <t>HPBL4-NL-O26H-10931</t>
  </si>
  <si>
    <t>PIL-NL-I26H-25964</t>
  </si>
  <si>
    <t>HPBL4-NL-O26H-10932</t>
  </si>
  <si>
    <t>PIL-NL-I26H-25967</t>
  </si>
  <si>
    <t>HPBL4-NL-O26H-10933</t>
  </si>
  <si>
    <t>PIL-NL-I26H-25970</t>
  </si>
  <si>
    <t>HPBL4-NL-O26H-10934</t>
  </si>
  <si>
    <t>PIL-NL-I26H-25971</t>
  </si>
  <si>
    <t>HPBL4-NL-O26H-10935</t>
  </si>
  <si>
    <t>PIL-NL-I26H-26021</t>
  </si>
  <si>
    <t>HPBL4-NL-O26H-10936</t>
  </si>
  <si>
    <t>PIL-NL-I26H-26024</t>
  </si>
  <si>
    <t>HPBL4-NL-O26H-10937</t>
  </si>
  <si>
    <t>PIL-NL-I26H-26038</t>
  </si>
  <si>
    <t>HPBL4-NL-O26H-10938</t>
  </si>
  <si>
    <t>PIL-NL-I26H-26048</t>
  </si>
  <si>
    <t>HPBL4-NL-O26H-10939</t>
  </si>
  <si>
    <t>PIL-NL-I26H-26049</t>
  </si>
  <si>
    <t>HPBL4-NL-O26H-10940</t>
  </si>
  <si>
    <t>PIL-NL-I26H-25927</t>
  </si>
  <si>
    <t>HPBL4-NL-O26H-10941</t>
  </si>
  <si>
    <t>PIL-NL-I26H-25945</t>
  </si>
  <si>
    <t>HPBL4-NL-O26H-10942</t>
  </si>
  <si>
    <t>PIL-NL-I26H-25946</t>
  </si>
  <si>
    <t>HPBL4-NL-O26H-10943</t>
  </si>
  <si>
    <t>PIL-NL-I26H-25962</t>
  </si>
  <si>
    <t>HPBL4-NL-O26H-10944</t>
  </si>
  <si>
    <t>PIL-NL-I26H-26022</t>
  </si>
  <si>
    <t>HPBL4-NL-O26H-10945</t>
  </si>
  <si>
    <t>PIL-NL-I26H-26023</t>
  </si>
  <si>
    <t>HPBL4-NL-O26H-10946</t>
  </si>
  <si>
    <t>PIL-NL-I26H-26058</t>
  </si>
  <si>
    <t>HPBL4-NL-O26H-10947</t>
  </si>
  <si>
    <t>PIL-NL-I26H-26107</t>
  </si>
  <si>
    <t>HPBL4-NL-O26H-10948</t>
  </si>
  <si>
    <t>PIL-NL-I26H-26109</t>
  </si>
  <si>
    <t>HPBL4-NL-O26H-10949</t>
  </si>
  <si>
    <t>PIL-NL-I26H-26110</t>
  </si>
  <si>
    <t>HPBL4-NL-O26H-10950</t>
  </si>
  <si>
    <t>PIL-NL-I26H-26121</t>
  </si>
  <si>
    <t>HPBL4-NL-O26H-10951</t>
  </si>
  <si>
    <t>PIL-NL-I26H-26178</t>
  </si>
  <si>
    <t>HPBL4-NL-O26H-10952</t>
  </si>
  <si>
    <t>PIL-NL-I26H-26059</t>
  </si>
  <si>
    <t>HPBL4-NL-O26H-10953</t>
  </si>
  <si>
    <t>PIL-NL-I26H-26084</t>
  </si>
  <si>
    <t>HPBL4-NL-O26H-10954</t>
  </si>
  <si>
    <t>PIL-NL-I26H-26105</t>
  </si>
  <si>
    <t>HPBL4-NL-O26H-10955</t>
  </si>
  <si>
    <t>PIL-NL-I26H-26113</t>
  </si>
  <si>
    <t>HPBL4-NL-O26H-10956</t>
  </si>
  <si>
    <t>PIL-NL-I26H-26130</t>
  </si>
  <si>
    <t>HPBL4-NL-O26H-10957</t>
  </si>
  <si>
    <t>PIL-NL-I26H-26164</t>
  </si>
  <si>
    <t>HPBL4-NL-O26H-10958</t>
  </si>
  <si>
    <t>PIL-NL-I26H-26179</t>
  </si>
  <si>
    <t>HPBL4-NL-O26H-10959</t>
  </si>
  <si>
    <t>PIL-NL-I26H-26180</t>
  </si>
  <si>
    <t>HPBL4-NL-O26H-10960</t>
  </si>
  <si>
    <t>PIL-NL-I26H-26060</t>
  </si>
  <si>
    <t>HPBL4-NL-O26H-10961</t>
  </si>
  <si>
    <t>PIL-NL-I26H-26117</t>
  </si>
  <si>
    <t>HPBL4-NL-O26H-10962</t>
  </si>
  <si>
    <t>PIL-NL-I26H-26170</t>
  </si>
  <si>
    <t>HPBL4-NL-O26H-10963</t>
  </si>
  <si>
    <t>PIL-NL-I26H-26062</t>
  </si>
  <si>
    <t>HPBL4-NL-O26H-10964</t>
  </si>
  <si>
    <t>PIL-NL-I26H-26077</t>
  </si>
  <si>
    <t>HPBL4-NL-O26H-10965</t>
  </si>
  <si>
    <t>PIL-NL-I26H-26086</t>
  </si>
  <si>
    <t>HPBL4-NL-O26H-10966</t>
  </si>
  <si>
    <t>PIL-NL-I26H-26101</t>
  </si>
  <si>
    <t>HPBL4-NL-O26H-10967</t>
  </si>
  <si>
    <t>PIL-NL-I26H-26103</t>
  </si>
  <si>
    <t>HPBL4-NL-O26H-10968</t>
  </si>
  <si>
    <t>PIL-NL-I26H-26118</t>
  </si>
  <si>
    <t>HPBL4-NL-O26H-10969</t>
  </si>
  <si>
    <t>PIL-NL-I26H-26129</t>
  </si>
  <si>
    <t>HPBL4-NL-O26H-10970</t>
  </si>
  <si>
    <t>PIL-NL-I26H-26152</t>
  </si>
  <si>
    <t>HPBL4-NL-O26H-10971</t>
  </si>
  <si>
    <t>PIL-NL-I26H-26162</t>
  </si>
  <si>
    <t>HPBL4-NL-O26H-10972</t>
  </si>
  <si>
    <t>PIL-NL-I26H-26172</t>
  </si>
  <si>
    <t>HPBL4-NL-O26H-10973</t>
  </si>
  <si>
    <t>PIL-NL-I26H-26085</t>
  </si>
  <si>
    <t>HPBL4-NL-O26H-10974</t>
  </si>
  <si>
    <t>PIL-NL-I26H-26091</t>
  </si>
  <si>
    <t>HPBL4-NL-O26H-10975</t>
  </si>
  <si>
    <t>PIL-NL-I26H-26104</t>
  </si>
  <si>
    <t>HPBL4-NL-O26H-10976</t>
  </si>
  <si>
    <t>PIL-NL-I26H-26146</t>
  </si>
  <si>
    <t>HPBL4-NL-O26H-10977</t>
  </si>
  <si>
    <t>PIL-NL-I26H-26171</t>
  </si>
  <si>
    <t>HPBL4-NL-O26H-10978</t>
  </si>
  <si>
    <t>PIL-NL-I26H-26181</t>
  </si>
  <si>
    <t>HPBL4-NL-O26H-10979</t>
  </si>
  <si>
    <t>PIL-NL-I26H-26191</t>
  </si>
  <si>
    <t>HPBL4-NL-O26H-10980</t>
  </si>
  <si>
    <t>PIL-NL-I26H-26090</t>
  </si>
  <si>
    <t>HPBL4-NL-O26H-10981</t>
  </si>
  <si>
    <t>PIL-NL-I26H-26087</t>
  </si>
  <si>
    <t>HPBL4-NL-O26H-10982</t>
  </si>
  <si>
    <t>PIL-NL-I26H-26106</t>
  </si>
  <si>
    <t>HPBL4-NL-O26H-10983</t>
  </si>
  <si>
    <t>PIL-NL-I26H-26111</t>
  </si>
  <si>
    <t>HPBL4-NL-O26H-10984</t>
  </si>
  <si>
    <t>PIL-NL-I26H-26120</t>
  </si>
  <si>
    <t>HPBL4-NL-O26H-10985</t>
  </si>
  <si>
    <t>PIL-NL-I26H-26173</t>
  </si>
  <si>
    <t>HPBL4-NL-O26H-10986</t>
  </si>
  <si>
    <t>PIL-NL-I26H-26175</t>
  </si>
  <si>
    <t>HPBL4-NL-O26H-10987</t>
  </si>
  <si>
    <t>PIL-NL-I26H-26177</t>
  </si>
  <si>
    <t>HPBL4-NL-O26H-10988</t>
  </si>
  <si>
    <t>PIL-NL-I26H-26061</t>
  </si>
  <si>
    <t>HPBL4-NL-O26H-10989</t>
  </si>
  <si>
    <t>PIL-NL-I26H-26063</t>
  </si>
  <si>
    <t>HPBL4-NL-O26H-10990</t>
  </si>
  <si>
    <t>PIL-NL-I26H-26078</t>
  </si>
  <si>
    <t>HPBL4-NL-O26H-10991</t>
  </si>
  <si>
    <t>PIL-NL-I26H-26102</t>
  </si>
  <si>
    <t>HPBL4-NL-O26H-10992</t>
  </si>
  <si>
    <t>PIL-NL-I26H-26112</t>
  </si>
  <si>
    <t>HPBL4-NL-O26H-10993</t>
  </si>
  <si>
    <t>PIL-NL-I26H-26119</t>
  </si>
  <si>
    <t>HPBL4-NL-O26H-10994</t>
  </si>
  <si>
    <t>PIL-NL-I26H-26128</t>
  </si>
  <si>
    <t>HPBL4-NL-O26H-10995</t>
  </si>
  <si>
    <t>PIL-NL-I26H-26131</t>
  </si>
  <si>
    <t>HPBL4-NL-O26H-10996</t>
  </si>
  <si>
    <t>PIL-NL-I26H-26150</t>
  </si>
  <si>
    <t>HPBL4-NL-O26H-10997</t>
  </si>
  <si>
    <t>PIL-NL-I26H-26151</t>
  </si>
  <si>
    <t>HPBL4-NL-O26H-10998</t>
  </si>
  <si>
    <t>PIL-NL-I26H-26153</t>
  </si>
  <si>
    <t>HPBL4-NL-O26H-10999</t>
  </si>
  <si>
    <t>PIL-NL-I26H-26163</t>
  </si>
  <si>
    <t>HPBL4-NL-O26H-11000</t>
  </si>
  <si>
    <t>PIL-NL-I26H-26198</t>
  </si>
  <si>
    <t>HPBL4-NL-O26H-11001</t>
  </si>
  <si>
    <t>PIL-NL-I26H-26221</t>
  </si>
  <si>
    <t>HPBL4-NL-O26H-11002</t>
  </si>
  <si>
    <t>PIL-NL-I26H-26251</t>
  </si>
  <si>
    <t>HPBL4-NL-O26H-11003</t>
  </si>
  <si>
    <t>PIL-NL-I26H-26266</t>
  </si>
  <si>
    <t>HPBL4-NL-O26H-11004</t>
  </si>
  <si>
    <t>PIL-NL-I26H-26270</t>
  </si>
  <si>
    <t>HPBL4-NL-O26H-11005</t>
  </si>
  <si>
    <t>PIL-NL-I26H-26285</t>
  </si>
  <si>
    <t>HPBL4-NL-O26H-11006</t>
  </si>
  <si>
    <t>PIL-NL-I26H-26294</t>
  </si>
  <si>
    <t>HPBL4-NL-O26H-11007</t>
  </si>
  <si>
    <t>PIL-NL-I26H-26328</t>
  </si>
  <si>
    <t>HPBL4-NL-O26H-11008</t>
  </si>
  <si>
    <t>PIL-NL-I26H-26256</t>
  </si>
  <si>
    <t>HPBL4-NL-O26H-11009</t>
  </si>
  <si>
    <t>PIL-NL-I26H-26269</t>
  </si>
  <si>
    <t>HPBL4-NL-O26H-11010</t>
  </si>
  <si>
    <t>PIL-NL-I26H-26316</t>
  </si>
  <si>
    <t>HPBL4-NL-O26H-11011</t>
  </si>
  <si>
    <t>PIL-NL-I26H-26319</t>
  </si>
  <si>
    <t>HPBL4-NL-O26H-11012</t>
  </si>
  <si>
    <t>PIL-NL-I26H-26232</t>
  </si>
  <si>
    <t>HPBL4-NL-O26H-11013</t>
  </si>
  <si>
    <t>PIL-NL-I26H-26233</t>
  </si>
  <si>
    <t>HPBL4-NL-O26H-11014</t>
  </si>
  <si>
    <t>PIL-NL-I26H-26248</t>
  </si>
  <si>
    <t>HPBL4-NL-O26H-11015</t>
  </si>
  <si>
    <t>PIL-NL-I26H-26213</t>
  </si>
  <si>
    <t>HPBL4-NL-O26H-11016</t>
  </si>
  <si>
    <t>PIL-NL-I26H-26255</t>
  </si>
  <si>
    <t>HPBL4-NL-O26H-11017</t>
  </si>
  <si>
    <t>PIL-NL-I26H-26318</t>
  </si>
  <si>
    <t>HPBL4-NL-O26H-11018</t>
  </si>
  <si>
    <t>PIL-NL-I26H-26194</t>
  </si>
  <si>
    <t>HPBL4-NL-O26H-11019</t>
  </si>
  <si>
    <t>PIL-NL-I26H-26195</t>
  </si>
  <si>
    <t>HPBL4-NL-O26H-11020</t>
  </si>
  <si>
    <t>PIL-NL-I26H-26247</t>
  </si>
  <si>
    <t>HPBL4-NL-O26H-11021</t>
  </si>
  <si>
    <t>PIL-NL-I26H-26272</t>
  </si>
  <si>
    <t>HPBL4-NL-O26H-11022</t>
  </si>
  <si>
    <t>PIL-NL-I26H-26320</t>
  </si>
  <si>
    <t>HPBL4-NL-O26H-11023</t>
  </si>
  <si>
    <t>PIL-NL-I26H-26220</t>
  </si>
  <si>
    <t>HPBL4-NL-O26H-11024</t>
  </si>
  <si>
    <t>PIL-NL-I26H-26250</t>
  </si>
  <si>
    <t>HPBL4-NL-O26H-11025</t>
  </si>
  <si>
    <t>PIL-NL-I26H-26254</t>
  </si>
  <si>
    <t>HPBL4-NL-O26H-11026</t>
  </si>
  <si>
    <t>PIL-NL-I26H-26293</t>
  </si>
  <si>
    <t>HPBL4-NL-O26H-11027</t>
  </si>
  <si>
    <t>PIL-NL-I26H-26295</t>
  </si>
  <si>
    <t>HPBL4-NL-O26H-11028</t>
  </si>
  <si>
    <t>PIL-NL-I26H-26315</t>
  </si>
  <si>
    <t>HPBL4-NL-O26H-11029</t>
  </si>
  <si>
    <t>PIL-NL-I26H-26330</t>
  </si>
  <si>
    <t>HPBL4-NL-O26H-11030</t>
  </si>
  <si>
    <t>PIL-NL-I26H-26199</t>
  </si>
  <si>
    <t>HPBL4-NL-O26H-11031</t>
  </si>
  <si>
    <t>PIL-NL-I26H-26271</t>
  </si>
  <si>
    <t>HPBL4-NL-O26H-11032</t>
  </si>
  <si>
    <t>PIL-NL-I26H-26302</t>
  </si>
  <si>
    <t>HPBL4-NL-O26H-11033</t>
  </si>
  <si>
    <t>PIL-NL-I26H-26309</t>
  </si>
  <si>
    <t>HPBL4-NL-O26H-11034</t>
  </si>
  <si>
    <t>PIL-NL-I26H-26390</t>
  </si>
  <si>
    <t>HPBL4-NL-O26H-11035</t>
  </si>
  <si>
    <t>PIL-NL-I26H-26403</t>
  </si>
  <si>
    <t>1.5/6 BLUE MF/TIE</t>
  </si>
  <si>
    <t>HPBL4-NL-O26H-11036</t>
  </si>
  <si>
    <t>PIL-NL-I26H-26404</t>
  </si>
  <si>
    <t>HPBL4-NL-O26H-11037</t>
  </si>
  <si>
    <t>PIL-NL-I26H-26435</t>
  </si>
  <si>
    <t>HPBL4-NL-O26H-11038</t>
  </si>
  <si>
    <t>PIL-NL-I26H-26359</t>
  </si>
  <si>
    <t>HPBL4-NL-O26H-11039</t>
  </si>
  <si>
    <t>PIL-NL-I26H-26372</t>
  </si>
  <si>
    <t>HPBL4-NL-O26H-11040</t>
  </si>
  <si>
    <t>PIL-NL-I26H-26446</t>
  </si>
  <si>
    <t>HPBL4-NL-O26H-11041</t>
  </si>
  <si>
    <t>PIL-NL-I26H-26335</t>
  </si>
  <si>
    <t>HPBL4-NL-O26H-11042</t>
  </si>
  <si>
    <t>PIL-NL-I26H-26337</t>
  </si>
  <si>
    <t>HPBL4-NL-O26H-11043</t>
  </si>
  <si>
    <t>PIL-NL-I26H-26360</t>
  </si>
  <si>
    <t>HPBL4-NL-O26H-11044</t>
  </si>
  <si>
    <t>PIL-NL-I26H-26373</t>
  </si>
  <si>
    <t>HPBL4-NL-O26H-11045</t>
  </si>
  <si>
    <t>PIL-NL-I26H-26383</t>
  </si>
  <si>
    <t>HPBL4-NL-O26H-11046</t>
  </si>
  <si>
    <t>PIL-NL-I26H-26406</t>
  </si>
  <si>
    <t>HPBL4-NL-O26H-11047</t>
  </si>
  <si>
    <t>PIL-NL-I26H-26408</t>
  </si>
  <si>
    <t>HPBL4-NL-O26H-11048</t>
  </si>
  <si>
    <t>PIL-NL-I26H-26428</t>
  </si>
  <si>
    <t>HPBL4-NL-O26H-11049</t>
  </si>
  <si>
    <t>PIL-NL-I26H-26436</t>
  </si>
  <si>
    <t>HPBL4-NL-O26H-11050</t>
  </si>
  <si>
    <t>PIL-NL-I26H-26449</t>
  </si>
  <si>
    <t>HPBL4-NL-O26H-11051</t>
  </si>
  <si>
    <t>PIL-NL-I26H-26371</t>
  </si>
  <si>
    <t>HPBL4-NL-O26H-11052</t>
  </si>
  <si>
    <t>PIL-NL-I26H-26430</t>
  </si>
  <si>
    <t>HPBL4-NL-O26H-11053</t>
  </si>
  <si>
    <t>PIL-NL-I26H-26336</t>
  </si>
  <si>
    <t>HPBL4-NL-O26H-11054</t>
  </si>
  <si>
    <t>PIL-NL-I26H-26347</t>
  </si>
  <si>
    <t>HPBL4-NL-O26H-11055</t>
  </si>
  <si>
    <t>PIL-NL-I26H-26429</t>
  </si>
  <si>
    <t>HPBL4-NL-O26H-11056</t>
  </si>
  <si>
    <t>PIL-NL-I26H-26391</t>
  </si>
  <si>
    <t>HPBL4-NL-O26H-11057</t>
  </si>
  <si>
    <t>PIL-NL-I26H-26450</t>
  </si>
  <si>
    <t>HPBL4-NL-O26H-11058</t>
  </si>
  <si>
    <t>PIL-NL-I26H-26385</t>
  </si>
  <si>
    <t>HPBL4-NL-O26H-11059</t>
  </si>
  <si>
    <t>PIL-NL-I26H-26386</t>
  </si>
  <si>
    <t>HPBL4-NL-O26H-11060</t>
  </si>
  <si>
    <t>PIL-NL-I26H-26401</t>
  </si>
  <si>
    <t>HPBL4-NL-O26H-11061</t>
  </si>
  <si>
    <t>PIL-NL-I26H-26402</t>
  </si>
  <si>
    <t>1.5/6 MW MF/TIE</t>
  </si>
  <si>
    <t>HPBL4-NL-O26H-11062</t>
  </si>
  <si>
    <t>PIL-NL-I26H-26437</t>
  </si>
  <si>
    <t>HPBL4-NL-O26H-11063</t>
  </si>
  <si>
    <t>PIL-NL-I26H-26334</t>
  </si>
  <si>
    <t>HPBL4-NL-O26H-11064</t>
  </si>
  <si>
    <t>PIL-NL-I26H-26389</t>
  </si>
  <si>
    <t>HPBL4-NL-O26H-11065</t>
  </si>
  <si>
    <t>PIL-NL-I26H-26405</t>
  </si>
  <si>
    <t>HPBL4-NL-O26H-11066</t>
  </si>
  <si>
    <t>PIL-NL-I26H-26517</t>
  </si>
  <si>
    <t>HPBL4-NL-O26H-11067</t>
  </si>
  <si>
    <t>PIL-NL-I26H-26567</t>
  </si>
  <si>
    <t>HPBL4-NL-O26H-11068</t>
  </si>
  <si>
    <t>PIL-NL-I26H-26594</t>
  </si>
  <si>
    <t>HPBL4-NL-O26H-11069</t>
  </si>
  <si>
    <t>PIL-NL-I26H-26453</t>
  </si>
  <si>
    <t>HPBL4-NL-O26H-11070</t>
  </si>
  <si>
    <t>PIL-NL-I26H-26467</t>
  </si>
  <si>
    <t>HPBL4-NL-O26H-11071</t>
  </si>
  <si>
    <t>PIL-NL-I26H-26470</t>
  </si>
  <si>
    <t>HPBL4-NL-O26H-11072</t>
  </si>
  <si>
    <t>PIL-NL-I26H-26519</t>
  </si>
  <si>
    <t>HPBL4-NL-O26H-11073</t>
  </si>
  <si>
    <t>PIL-NL-I26H-26534</t>
  </si>
  <si>
    <t>HPBL4-NL-O26H-11074</t>
  </si>
  <si>
    <t>PIL-NL-I26H-26536</t>
  </si>
  <si>
    <t>HPBL4-NL-O26H-11075</t>
  </si>
  <si>
    <t>PIL-NL-I26H-26550</t>
  </si>
  <si>
    <t>HPBL4-NL-O26H-11076</t>
  </si>
  <si>
    <t>PIL-NL-I26H-26552</t>
  </si>
  <si>
    <t>HPBL4-NL-O26H-11077</t>
  </si>
  <si>
    <t>PIL-NL-I26H-26569</t>
  </si>
  <si>
    <t>HPBL4-NL-O26H-11078</t>
  </si>
  <si>
    <t>PIL-NL-I26H-26591</t>
  </si>
  <si>
    <t>HPBL4-NL-O26H-11079</t>
  </si>
  <si>
    <t>PIL-NL-I26H-26457</t>
  </si>
  <si>
    <t>HPBL4-NL-O26H-11080</t>
  </si>
  <si>
    <t>PIL-NL-I26H-26590</t>
  </si>
  <si>
    <t>HPBL4-NL-O26H-11081</t>
  </si>
  <si>
    <t>PIL-NL-I26H-26468</t>
  </si>
  <si>
    <t>HPBL4-NL-O26H-11082</t>
  </si>
  <si>
    <t>PIL-NL-I26H-26479</t>
  </si>
  <si>
    <t>HPBL4-NL-O26H-11083</t>
  </si>
  <si>
    <t>PIL-NL-I26H-26495</t>
  </si>
  <si>
    <t>HPBL4-NL-O26H-11084</t>
  </si>
  <si>
    <t>PIL-NL-I26H-26496</t>
  </si>
  <si>
    <t>HPBL4-NL-O26H-11085</t>
  </si>
  <si>
    <t>PIL-NL-I26H-26558</t>
  </si>
  <si>
    <t>HPBL4-NL-O26H-11086</t>
  </si>
  <si>
    <t>PIL-NL-I26H-26559</t>
  </si>
  <si>
    <t>HPBL4-NL-O26H-11087</t>
  </si>
  <si>
    <t>PIL-NL-I26H-26454</t>
  </si>
  <si>
    <t>HPBL4-NL-O26H-11088</t>
  </si>
  <si>
    <t>PIL-NL-I26H-26471</t>
  </si>
  <si>
    <t>HPBL4-NL-O26H-11089</t>
  </si>
  <si>
    <t>PIL-NL-I26H-26480</t>
  </si>
  <si>
    <t>HPBL4-NL-O26H-11090</t>
  </si>
  <si>
    <t>PIL-NL-I26H-26497</t>
  </si>
  <si>
    <t>HPBL4-NL-O26H-11091</t>
  </si>
  <si>
    <t>PIL-NL-I26H-26537</t>
  </si>
  <si>
    <t>HPBL4-NL-O26H-11092</t>
  </si>
  <si>
    <t>PIL-NL-I26H-26588</t>
  </si>
  <si>
    <t>HPBL4-NL-O26H-11093</t>
  </si>
  <si>
    <t>PIL-NL-I26H-26456</t>
  </si>
  <si>
    <t>HPBL4-NL-O26H-11094</t>
  </si>
  <si>
    <t>PIL-NL-I26H-26458</t>
  </si>
  <si>
    <t>HPBL4-NL-O26H-11095</t>
  </si>
  <si>
    <t>PIL-NL-I26H-26473</t>
  </si>
  <si>
    <t>HPBL4-NL-O26H-11096</t>
  </si>
  <si>
    <t>PIL-NL-I26H-26513</t>
  </si>
  <si>
    <t>HPBL4-NL-O26H-11097</t>
  </si>
  <si>
    <t>PIL-NL-I26H-26518</t>
  </si>
  <si>
    <t>HPBL4-NL-O26H-11098</t>
  </si>
  <si>
    <t>PIL-NL-I26H-26540</t>
  </si>
  <si>
    <t>HPBL4-NL-O26H-11099</t>
  </si>
  <si>
    <t>PIL-NL-I26H-26549</t>
  </si>
  <si>
    <t>HPBL4-NL-O26H-11100</t>
  </si>
  <si>
    <t>PIL-NL-I26H-26551</t>
  </si>
  <si>
    <t>HPBL4-NL-O26H-11101</t>
  </si>
  <si>
    <t>PIL-NL-I26H-26553</t>
  </si>
  <si>
    <t>HPBL4-NL-O26H-11102</t>
  </si>
  <si>
    <t>PIL-NL-I26H-26568</t>
  </si>
  <si>
    <t>HPBL4-NL-O26H-11103</t>
  </si>
  <si>
    <t>PIL-NL-I26H-26469</t>
  </si>
  <si>
    <t>HPBL4-NL-O26H-11104</t>
  </si>
  <si>
    <t>PIL-NL-I26H-26579</t>
  </si>
  <si>
    <t>HPBL4-NL-O26H-11105</t>
  </si>
  <si>
    <t>PIL-NL-I26H-26455</t>
  </si>
  <si>
    <t>HPBL4-NL-O26H-11106</t>
  </si>
  <si>
    <t>PIL-NL-I26H-26472</t>
  </si>
  <si>
    <t>HPBL4-NL-O26H-11107</t>
  </si>
  <si>
    <t>PIL-NL-I26H-26515</t>
  </si>
  <si>
    <t>HPBL4-NL-O26H-11108</t>
  </si>
  <si>
    <t>PIL-NL-I26H-26538</t>
  </si>
  <si>
    <t>HPBL4-NL-O26H-11109</t>
  </si>
  <si>
    <t>PIL-NL-I26H-26578</t>
  </si>
  <si>
    <t>HPBL4-NL-O26H-11110</t>
  </si>
  <si>
    <t>PIL-NL-I26H-26587</t>
  </si>
  <si>
    <t>HPBL4-NL-O26H-11111</t>
  </si>
  <si>
    <t>PIL-NL-I26H-26592</t>
  </si>
  <si>
    <t>HPBL4-NL-O26H-11112</t>
  </si>
  <si>
    <t>PIL-NL-I26H-26604</t>
  </si>
  <si>
    <t>HPBL4-NL-O26H-11113</t>
  </si>
  <si>
    <t>PIL-NL-I26H-26617</t>
  </si>
  <si>
    <t>HPBL4-NL-O26H-11114</t>
  </si>
  <si>
    <t>PIL-NL-I26H-26685</t>
  </si>
  <si>
    <t>HPBL4-NL-O26H-11115</t>
  </si>
  <si>
    <t>PIL-NL-I26H-26686</t>
  </si>
  <si>
    <t>HPBL4-NL-O26H-11116</t>
  </si>
  <si>
    <t>PIL-NL-I26H-26703</t>
  </si>
  <si>
    <t>HPBL4-NL-O26H-11117</t>
  </si>
  <si>
    <t>PIL-NL-I26H-26723</t>
  </si>
  <si>
    <t>HPBL4-NL-O26H-11118</t>
  </si>
  <si>
    <t>PIL-NL-I26H-26739</t>
  </si>
  <si>
    <t>HPBL4-NL-O26H-11119</t>
  </si>
  <si>
    <t>PIL-NL-I26H-26642</t>
  </si>
  <si>
    <t>HPBL4-NL-O26H-11120</t>
  </si>
  <si>
    <t>PIL-NL-I26H-26643</t>
  </si>
  <si>
    <t>HPBL4-NL-O26H-11121</t>
  </si>
  <si>
    <t>PIL-NL-I26H-26657</t>
  </si>
  <si>
    <t>HPBL4-NL-O26H-11122</t>
  </si>
  <si>
    <t>PIL-NL-I26H-26683</t>
  </si>
  <si>
    <t>HPBL4-NL-O26H-11123</t>
  </si>
  <si>
    <t>PIL-NL-I26H-26684</t>
  </si>
  <si>
    <t>HPBL4-NL-O26H-11124</t>
  </si>
  <si>
    <t>PIL-NL-I26H-26701</t>
  </si>
  <si>
    <t>HPBL4-NL-O26H-11125</t>
  </si>
  <si>
    <t>PIL-NL-I26H-26721</t>
  </si>
  <si>
    <t>HPBL4-NL-O26H-11126</t>
  </si>
  <si>
    <t>PIL-NL-I26H-26722</t>
  </si>
  <si>
    <t>HPBL4-NL-O26H-11127</t>
  </si>
  <si>
    <t>PIL-NL-I26H-26608</t>
  </si>
  <si>
    <t>HPBL4-NL-O26H-11128</t>
  </si>
  <si>
    <t>PIL-NL-I26H-26621</t>
  </si>
  <si>
    <t>HPBL4-NL-O26H-11129</t>
  </si>
  <si>
    <t>PIL-NL-I26H-26641</t>
  </si>
  <si>
    <t>HPBL4-NL-O26H-11130</t>
  </si>
  <si>
    <t>PIL-NL-I26H-26658</t>
  </si>
  <si>
    <t>HPBL4-NL-O26H-11131</t>
  </si>
  <si>
    <t>PIL-NL-I26H-26687</t>
  </si>
  <si>
    <t>HPBL4-NL-O26H-11132</t>
  </si>
  <si>
    <t>PIL-NL-I26H-26699</t>
  </si>
  <si>
    <t>HPBL4-NL-O26H-11133</t>
  </si>
  <si>
    <t>PIL-NL-I26H-26669</t>
  </si>
  <si>
    <t>HPBL4-NL-O26H-11134</t>
  </si>
  <si>
    <t>PIL-NL-I26H-26688</t>
  </si>
  <si>
    <t>HPBL4-NL-O26H-11135</t>
  </si>
  <si>
    <t>PIL-NL-I26H-26607</t>
  </si>
  <si>
    <t>HPBL4-NL-O26H-11136</t>
  </si>
  <si>
    <t>PIL-NL-I26H-26609</t>
  </si>
  <si>
    <t>HPBL4-NL-O26H-11137</t>
  </si>
  <si>
    <t>PIL-NL-I26H-26628</t>
  </si>
  <si>
    <t>HPBL4-NL-O26H-11138</t>
  </si>
  <si>
    <t>PIL-NL-I26H-26660</t>
  </si>
  <si>
    <t>HPBL4-NL-O26H-11139</t>
  </si>
  <si>
    <t>PIL-NL-I26H-26700</t>
  </si>
  <si>
    <t>HPBL4-NL-O26H-11140</t>
  </si>
  <si>
    <t>PIL-NL-I26H-26702</t>
  </si>
  <si>
    <t>HPBL4-NL-O26H-11141</t>
  </si>
  <si>
    <t>PIL-NL-I26H-26737</t>
  </si>
  <si>
    <t>HPBL4-NL-O26H-11142</t>
  </si>
  <si>
    <t>PIL-NL-I26H-26740</t>
  </si>
  <si>
    <t>HPBL4-NL-O26H-11143</t>
  </si>
  <si>
    <t>PIL-NL-I26H-26749</t>
  </si>
  <si>
    <t>HPBL4-NL-O26H-11144</t>
  </si>
  <si>
    <t>PIL-NL-I26H-26606</t>
  </si>
  <si>
    <t>HPBL4-NL-O26H-11145</t>
  </si>
  <si>
    <t>PIL-NL-I26H-26659</t>
  </si>
  <si>
    <t>HPBL4-NL-O26H-11146</t>
  </si>
  <si>
    <t>PIL-NL-I26H-26663</t>
  </si>
  <si>
    <t>HPBL4-NL-O26H-11147</t>
  </si>
  <si>
    <t>PIL-NL-I26H-26665</t>
  </si>
  <si>
    <t>HPBL4-NL-O26H-11148</t>
  </si>
  <si>
    <t>PIL-NL-I26H-26711</t>
  </si>
  <si>
    <t>HPBL4-NL-O26H-11149</t>
  </si>
  <si>
    <t>PIL-NL-I26H-26743</t>
  </si>
  <si>
    <t>HPBL4-NL-O26H-11150</t>
  </si>
  <si>
    <t>PIL-NL-I26H-26610</t>
  </si>
  <si>
    <t>HPBL4-NL-O26H-11151</t>
  </si>
  <si>
    <t>PIL-NL-I26H-26615</t>
  </si>
  <si>
    <t>HPBL4-NL-O26H-11152</t>
  </si>
  <si>
    <t>PIL-NL-I26H-26627</t>
  </si>
  <si>
    <t>HPBL4-NL-O26H-11153</t>
  </si>
  <si>
    <t>PIL-NL-I26H-26668</t>
  </si>
  <si>
    <t>HPBL4-NL-O26H-11154</t>
  </si>
  <si>
    <t>PIL-NL-I26H-26689</t>
  </si>
  <si>
    <t>HPBL4-NL-O26H-11155</t>
  </si>
  <si>
    <t>PIL-NL-I26H-26741</t>
  </si>
  <si>
    <t>HPBL4-NL-O26H-11156</t>
  </si>
  <si>
    <t>PIL-NL-I26H-26605</t>
  </si>
  <si>
    <t>HPBL4-NL-O26H-11157</t>
  </si>
  <si>
    <t>PIL-NL-I26H-26626</t>
  </si>
  <si>
    <t>HPBL4-NL-O26H-11158</t>
  </si>
  <si>
    <t>PIL-NL-I26H-26664</t>
  </si>
  <si>
    <t>HPBL4-NL-O26H-11159</t>
  </si>
  <si>
    <t>PIL-NL-I26H-26698</t>
  </si>
  <si>
    <t>HPBL4-NL-O26H-11160</t>
  </si>
  <si>
    <t>PIL-NL-I26H-26709</t>
  </si>
  <si>
    <t>HPBL4-NL-O26H-11161</t>
  </si>
  <si>
    <t>PIL-NL-I26H-26710</t>
  </si>
  <si>
    <t>HPBL4-NL-O26H-11162</t>
  </si>
  <si>
    <t>PIL-NL-I26H-26742</t>
  </si>
  <si>
    <t>HPBL4-NL-O26H-11163</t>
  </si>
  <si>
    <t>PIL-NL-I26H-26763</t>
  </si>
  <si>
    <t>HPBL4-NL-O26H-11164</t>
  </si>
  <si>
    <t>PIL-NL-I26H-26803</t>
  </si>
  <si>
    <t>HPBL4-NL-O26H-11165</t>
  </si>
  <si>
    <t>PIL-NL-I26H-26824</t>
  </si>
  <si>
    <t>HPBL4-NL-O26H-11166</t>
  </si>
  <si>
    <t>PIL-NL-I26H-26834</t>
  </si>
  <si>
    <t>HPBL4-NL-O26H-11167</t>
  </si>
  <si>
    <t>PIL-NL-I26H-26802</t>
  </si>
  <si>
    <t>HPBL4-NL-O26H-11168</t>
  </si>
  <si>
    <t>PIL-NL-I26H-26823</t>
  </si>
  <si>
    <t>HPBL4-NL-O26H-11169</t>
  </si>
  <si>
    <t>PIL-NL-I26H-26825</t>
  </si>
  <si>
    <t>HPBL4-NL-O26H-11170</t>
  </si>
  <si>
    <t>PIL-NL-I26H-26755</t>
  </si>
  <si>
    <t>HPBL4-NL-O26H-11171</t>
  </si>
  <si>
    <t>PIL-NL-I26H-26757</t>
  </si>
  <si>
    <t>HPBL4-NL-O26H-11172</t>
  </si>
  <si>
    <t>PIL-NL-I26H-26765</t>
  </si>
  <si>
    <t>HPBL4-NL-O26H-11173</t>
  </si>
  <si>
    <t>PIL-NL-I26H-26783</t>
  </si>
  <si>
    <t>HPBL4-NL-O26H-11174</t>
  </si>
  <si>
    <t>PIL-NL-I26H-26799</t>
  </si>
  <si>
    <t>HPBL4-NL-O26H-11175</t>
  </si>
  <si>
    <t>PIL-NL-I26H-26807</t>
  </si>
  <si>
    <t>HPBL4-NL-O26H-11176</t>
  </si>
  <si>
    <t>PIL-NL-I26H-26853</t>
  </si>
  <si>
    <t>HPBL4-NL-O26H-11177</t>
  </si>
  <si>
    <t>PIL-NL-I26H-26879</t>
  </si>
  <si>
    <t>HPBL4-NL-O26H-11178</t>
  </si>
  <si>
    <t>PIL-NL-I26H-26800</t>
  </si>
  <si>
    <t>HPBL4-NL-O26H-11179</t>
  </si>
  <si>
    <t>PIL-NL-I26H-26827</t>
  </si>
  <si>
    <t>HPBL4-NL-O26H-11180</t>
  </si>
  <si>
    <t>PIL-NL-I26H-26870</t>
  </si>
  <si>
    <t>HPBL4-NL-O26H-11181</t>
  </si>
  <si>
    <t>PIL-NL-I26H-26873</t>
  </si>
  <si>
    <t>HPBL4-NL-O26H-11182</t>
  </si>
  <si>
    <t>PIL-NL-I26H-26753</t>
  </si>
  <si>
    <t>HPBL4-NL-O26H-11183</t>
  </si>
  <si>
    <t>PIL-NL-I26H-26770</t>
  </si>
  <si>
    <t>HPBL4-NL-O26H-11184</t>
  </si>
  <si>
    <t>PIL-NL-I26H-26785</t>
  </si>
  <si>
    <t>HPBL4-NL-O26H-11185</t>
  </si>
  <si>
    <t>PIL-NL-I26H-26797</t>
  </si>
  <si>
    <t>HPBL4-NL-O26H-11186</t>
  </si>
  <si>
    <t>PIL-NL-I26H-26826</t>
  </si>
  <si>
    <t>HPBL4-NL-O26H-11187</t>
  </si>
  <si>
    <t>PIL-NL-I26H-26866</t>
  </si>
  <si>
    <t>HPBL4-NL-O26H-11188</t>
  </si>
  <si>
    <t>PIL-NL-I26H-26871</t>
  </si>
  <si>
    <t>HPBL4-NL-O26H-11189</t>
  </si>
  <si>
    <t>PIL-NL-I26H-26872</t>
  </si>
  <si>
    <t>HPBL4-NL-O26H-11190</t>
  </si>
  <si>
    <t>PIL-NL-I26H-26754</t>
  </si>
  <si>
    <t>HPBL4-NL-O26H-11191</t>
  </si>
  <si>
    <t>PIL-NL-I26H-26764</t>
  </si>
  <si>
    <t>HPBL4-NL-O26H-11192</t>
  </si>
  <si>
    <t>PIL-NL-I26H-26784</t>
  </si>
  <si>
    <t>HPBL4-NL-O26H-11193</t>
  </si>
  <si>
    <t>PIL-NL-I26H-26801</t>
  </si>
  <si>
    <t>HPBL4-NL-O26H-11194</t>
  </si>
  <si>
    <t>PIL-NL-I26H-26822</t>
  </si>
  <si>
    <t>HPBL4-NL-O26H-11195</t>
  </si>
  <si>
    <t>PIL-NL-I26H-26837</t>
  </si>
  <si>
    <t>HPBL4-NL-O26H-11196</t>
  </si>
  <si>
    <t>PIL-NL-I26H-26842</t>
  </si>
  <si>
    <t>HPBL4-NL-O26H-11197</t>
  </si>
  <si>
    <t>PIL-NL-I26H-26843</t>
  </si>
  <si>
    <t>HPBL4-NL-O26H-11198</t>
  </si>
  <si>
    <t>PIL-NL-I26H-26756</t>
  </si>
  <si>
    <t>HPBL4-NL-O26H-11199</t>
  </si>
  <si>
    <t>PIL-NL-I26H-26766</t>
  </si>
  <si>
    <t>HPBL4-NL-O26H-11200</t>
  </si>
  <si>
    <t>PIL-NL-I26H-26771</t>
  </si>
  <si>
    <t>HPBL4-NL-O26H-11201</t>
  </si>
  <si>
    <t>PIL-NL-I26H-26854</t>
  </si>
  <si>
    <t>HPBL4-NL-O26H-11202</t>
  </si>
  <si>
    <t>PIL-NL-I26H-26874</t>
  </si>
  <si>
    <t>HPBL4-NL-O26H-11203</t>
  </si>
  <si>
    <t>PIL-NL-I26H-26762</t>
  </si>
  <si>
    <t>HPBL4-NL-O26H-11204</t>
  </si>
  <si>
    <t>PIL-NL-I26H-26806</t>
  </si>
  <si>
    <t>HPBL4-NL-O26H-11205</t>
  </si>
  <si>
    <t>PIL-NL-I26H-26833</t>
  </si>
  <si>
    <t>HPBL4-NL-O26H-11206</t>
  </si>
  <si>
    <t>PIL-NL-I26H-26835</t>
  </si>
  <si>
    <t>HPBL4-NL-O26H-11207</t>
  </si>
  <si>
    <t>PIL-NL-I26H-26882</t>
  </si>
  <si>
    <t>HPBL4-NL-O26H-11208</t>
  </si>
  <si>
    <t>PIL-NL-I26H-26884</t>
  </si>
  <si>
    <t>HPBL4-NL-O26H-11209</t>
  </si>
  <si>
    <t>PIL-NL-I26H-26924</t>
  </si>
  <si>
    <t>HPBL4-NL-O26H-11210</t>
  </si>
  <si>
    <t>PIL-NL-I26H-26962</t>
  </si>
  <si>
    <t>HPBL4-NL-O26H-11211</t>
  </si>
  <si>
    <t>PIL-NL-I26H-26898</t>
  </si>
  <si>
    <t>HPBL4-NL-O26H-11212</t>
  </si>
  <si>
    <t>PIL-NL-I26H-26946</t>
  </si>
  <si>
    <t>HPBL4-NL-O26H-11213</t>
  </si>
  <si>
    <t>PIL-NL-I26H-26954</t>
  </si>
  <si>
    <t>HPBL4-NL-O26H-11214</t>
  </si>
  <si>
    <t>PIL-NL-I26H-26969</t>
  </si>
  <si>
    <t>HPBL4-NL-O26H-11215</t>
  </si>
  <si>
    <t>PIL-NL-I26H-26891</t>
  </si>
  <si>
    <t>HPBL4-NL-O26H-11216</t>
  </si>
  <si>
    <t>PIL-NL-I26H-26892</t>
  </si>
  <si>
    <t>HPBL4-NL-O26H-11217</t>
  </si>
  <si>
    <t>PIL-NL-I26H-26907</t>
  </si>
  <si>
    <t>HPBL4-NL-O26H-11218</t>
  </si>
  <si>
    <t>PIL-NL-I26H-26910</t>
  </si>
  <si>
    <t>HPBL4-NL-O26H-11219</t>
  </si>
  <si>
    <t>PIL-NL-I26H-26927</t>
  </si>
  <si>
    <t>HPBL4-NL-O26H-11220</t>
  </si>
  <si>
    <t>PIL-NL-I26H-26928</t>
  </si>
  <si>
    <t>HPBL4-NL-O26H-11221</t>
  </si>
  <si>
    <t>PIL-NL-I26H-26944</t>
  </si>
  <si>
    <t>HPBL4-NL-O26H-11222</t>
  </si>
  <si>
    <t>PIL-NL-I26H-26947</t>
  </si>
  <si>
    <t>HPBL4-NL-O26H-11223</t>
  </si>
  <si>
    <t>PIL-NL-I26H-26989</t>
  </si>
  <si>
    <t>HPBL4-NL-O26H-11224</t>
  </si>
  <si>
    <t>PIL-NL-I26H-27007</t>
  </si>
  <si>
    <t>HPBL4-NL-O26H-11225</t>
  </si>
  <si>
    <t>PIL-NL-I26H-26899</t>
  </si>
  <si>
    <t>HPBL4-NL-O26H-11226</t>
  </si>
  <si>
    <t>PIL-NL-I26H-26921</t>
  </si>
  <si>
    <t>HPBL4-NL-O26H-11227</t>
  </si>
  <si>
    <t>PIL-NL-I26H-26970</t>
  </si>
  <si>
    <t>HPBL4-NL-O26H-11228</t>
  </si>
  <si>
    <t>PIL-NL-I26H-26972</t>
  </si>
  <si>
    <t>HPBL4-NL-O26H-11229</t>
  </si>
  <si>
    <t>PIL-NL-I26H-27000</t>
  </si>
  <si>
    <t>HPBL4-NL-O26H-11230</t>
  </si>
  <si>
    <t>PIL-NL-I26H-26880</t>
  </si>
  <si>
    <t>HPBL4-NL-O26H-11231</t>
  </si>
  <si>
    <t>PIL-NL-I26H-26893</t>
  </si>
  <si>
    <t>HPBL4-NL-O26H-11232</t>
  </si>
  <si>
    <t>PIL-NL-I26H-26906</t>
  </si>
  <si>
    <t>HPBL4-NL-O26H-11233</t>
  </si>
  <si>
    <t>PIL-NL-I26H-26909</t>
  </si>
  <si>
    <t>HPBL4-NL-O26H-11234</t>
  </si>
  <si>
    <t>PIL-NL-I26H-26926</t>
  </si>
  <si>
    <t>HPBL4-NL-O26H-11235</t>
  </si>
  <si>
    <t>PIL-NL-I26H-26929</t>
  </si>
  <si>
    <t>HPBL4-NL-O26H-11236</t>
  </si>
  <si>
    <t>PIL-NL-I26H-26943</t>
  </si>
  <si>
    <t>HPBL4-NL-O26H-11237</t>
  </si>
  <si>
    <t>PIL-NL-I26H-26949</t>
  </si>
  <si>
    <t>HPBL4-NL-O26H-11238</t>
  </si>
  <si>
    <t>PIL-NL-I26H-26992</t>
  </si>
  <si>
    <t>HPBL4-NL-O26H-11239</t>
  </si>
  <si>
    <t>PIL-NL-I26H-26885</t>
  </si>
  <si>
    <t>HPBL4-NL-O26H-11240</t>
  </si>
  <si>
    <t>PIL-NL-I26H-26920</t>
  </si>
  <si>
    <t>HPBL4-NL-O26H-11241</t>
  </si>
  <si>
    <t>PIL-NL-I26H-26942</t>
  </si>
  <si>
    <t>HPBL4-NL-O26H-11242</t>
  </si>
  <si>
    <t>PIL-NL-I26H-26971</t>
  </si>
  <si>
    <t>HPBL4-NL-O26H-11243</t>
  </si>
  <si>
    <t>PIL-NL-I26H-27001</t>
  </si>
  <si>
    <t>HPBL4-NL-O26H-11244</t>
  </si>
  <si>
    <t>PIL-NL-I26H-26883</t>
  </si>
  <si>
    <t>HPBL4-NL-O26H-11245</t>
  </si>
  <si>
    <t>PIL-NL-I26H-26890</t>
  </si>
  <si>
    <t>HPBL4-NL-O26H-11246</t>
  </si>
  <si>
    <t>PIL-NL-I26H-26905</t>
  </si>
  <si>
    <t>HPBL4-NL-O26H-11247</t>
  </si>
  <si>
    <t>PIL-NL-I26H-26948</t>
  </si>
  <si>
    <t>HPBL4-NL-O26H-11248</t>
  </si>
  <si>
    <t>PIL-NL-I26H-26987</t>
  </si>
  <si>
    <t>HPBL4-NL-O26H-11249</t>
  </si>
  <si>
    <t>PIL-NL-I26H-26988</t>
  </si>
  <si>
    <t>HPBL4-NL-O26H-11250</t>
  </si>
  <si>
    <t>PIL-NL-I26H-26991</t>
  </si>
  <si>
    <t>HPBL4-NL-O26H-11251</t>
  </si>
  <si>
    <t>PIL-NL-I26H-26881</t>
  </si>
  <si>
    <t>HPBL4-NL-O26H-11252</t>
  </si>
  <si>
    <t>PIL-NL-I26H-26908</t>
  </si>
  <si>
    <t>HPBL4-NL-O26H-11253</t>
  </si>
  <si>
    <t>PIL-NL-I26H-26923</t>
  </si>
  <si>
    <t>HPBL4-NL-O26H-11254</t>
  </si>
  <si>
    <t>PIL-NL-I26H-26945</t>
  </si>
  <si>
    <t>HPBL4-NL-O26H-11255</t>
  </si>
  <si>
    <t>PIL-NL-I26H-26961</t>
  </si>
  <si>
    <t>HPBL4-NL-O26H-11256</t>
  </si>
  <si>
    <t>PIL-NL-I26H-26999</t>
  </si>
  <si>
    <t>HPBL4-NL-O26H-11257</t>
  </si>
  <si>
    <t>PIL-NL-I26H-27033</t>
  </si>
  <si>
    <t>HPBL4-NL-O26H-11258</t>
  </si>
  <si>
    <t>PIL-NL-I26H-27035</t>
  </si>
  <si>
    <t>HPBL4-NL-O26H-11259</t>
  </si>
  <si>
    <t>PIL-NL-I26H-27080</t>
  </si>
  <si>
    <t>HPBL4-NL-O26H-11260</t>
  </si>
  <si>
    <t>PIL-NL-I26H-27126</t>
  </si>
  <si>
    <t>HPBL4-NL-O26H-11261</t>
  </si>
  <si>
    <t>PIL-NL-I26H-27128</t>
  </si>
  <si>
    <t>HPBL4-NL-O26H-11262</t>
  </si>
  <si>
    <t>PIL-NL-I26H-27017</t>
  </si>
  <si>
    <t>HPBL4-NL-O26H-11263</t>
  </si>
  <si>
    <t>PIL-NL-I26H-27030</t>
  </si>
  <si>
    <t>HPBL4-NL-O26H-11264</t>
  </si>
  <si>
    <t>PIL-NL-I26H-27034</t>
  </si>
  <si>
    <t>HPBL4-NL-O26H-11265</t>
  </si>
  <si>
    <t>PIL-NL-I26H-27046</t>
  </si>
  <si>
    <t>HPBL4-NL-O26H-11266</t>
  </si>
  <si>
    <t>PIL-NL-I26H-27065</t>
  </si>
  <si>
    <t>HPBL4-NL-O26H-11267</t>
  </si>
  <si>
    <t>PIL-NL-I26H-27129</t>
  </si>
  <si>
    <t>HPBL4-NL-O26H-11268</t>
  </si>
  <si>
    <t>PIL-NL-I26H-27015</t>
  </si>
  <si>
    <t>HPBL4-NL-O26H-11269</t>
  </si>
  <si>
    <t>PIL-NL-I26H-27032</t>
  </si>
  <si>
    <t>HPBL4-NL-O26H-11270</t>
  </si>
  <si>
    <t>PIL-NL-I26H-27050</t>
  </si>
  <si>
    <t>HPBL4-NL-O26H-11271</t>
  </si>
  <si>
    <t>PIL-NL-I26H-27057</t>
  </si>
  <si>
    <t>HPBL4-NL-O26H-11272</t>
  </si>
  <si>
    <t>PIL-NL-I26H-27077</t>
  </si>
  <si>
    <t>HPBL4-NL-O26H-11273</t>
  </si>
  <si>
    <t>PIL-NL-I26H-27127</t>
  </si>
  <si>
    <t>HPBL4-NL-O26H-11274</t>
  </si>
  <si>
    <t>PIL-NL-I26H-27134</t>
  </si>
  <si>
    <t>HPBL4-NL-O26H-11275</t>
  </si>
  <si>
    <t>PIL-NL-I26H-27010</t>
  </si>
  <si>
    <t>HPBL4-NL-O26H-11276</t>
  </si>
  <si>
    <t>PIL-NL-I26H-27036</t>
  </si>
  <si>
    <t>HPBL4-NL-O26H-11277</t>
  </si>
  <si>
    <t>PIL-NL-I26H-27053</t>
  </si>
  <si>
    <t>HPBL4-NL-O26H-11278</t>
  </si>
  <si>
    <t>PIL-NL-I26H-27082</t>
  </si>
  <si>
    <t>HPBL4-NL-O26H-11279</t>
  </si>
  <si>
    <t>PIL-NL-I26H-27083</t>
  </si>
  <si>
    <t>HPBL4-NL-O26H-11280</t>
  </si>
  <si>
    <t>PIL-NL-I26H-27095</t>
  </si>
  <si>
    <t>HPBL4-NL-O26H-11281</t>
  </si>
  <si>
    <t>PIL-NL-I26H-27113</t>
  </si>
  <si>
    <t>HPBL4-NL-O26H-11282</t>
  </si>
  <si>
    <t>PIL-NL-I26H-27029</t>
  </si>
  <si>
    <t>HPBL4-NL-O26H-11283</t>
  </si>
  <si>
    <t>PIL-NL-I26H-27031</t>
  </si>
  <si>
    <t>HPBL4-NL-O26H-11284</t>
  </si>
  <si>
    <t>PIL-NL-I26H-27047</t>
  </si>
  <si>
    <t>HPBL4-NL-O26H-11285</t>
  </si>
  <si>
    <t>PIL-NL-I26H-27101</t>
  </si>
  <si>
    <t>HPBL4-NL-O26H-11286</t>
  </si>
  <si>
    <t>PIL-NL-I26H-27013</t>
  </si>
  <si>
    <t>HPBL4-NL-O26H-11287</t>
  </si>
  <si>
    <t>PIL-NL-I26H-27059</t>
  </si>
  <si>
    <t>HPBL4-NL-O26H-11288</t>
  </si>
  <si>
    <t>PIL-NL-I26H-27079</t>
  </si>
  <si>
    <t>HPBL4-NL-O26H-11289</t>
  </si>
  <si>
    <t>PIL-NL-I26H-27099</t>
  </si>
  <si>
    <t>HPBL4-NL-O26H-11290</t>
  </si>
  <si>
    <t>PIL-NL-I26H-26974</t>
  </si>
  <si>
    <t>HPBL4-NL-O26H-11291</t>
  </si>
  <si>
    <t>PIL-NL-I26H-27008</t>
  </si>
  <si>
    <t>HPBL4-NL-O26H-11292</t>
  </si>
  <si>
    <t>PIL-NL-I26H-27009</t>
  </si>
  <si>
    <t>HPBL4-NL-O26H-11293</t>
  </si>
  <si>
    <t>PIL-NL-I26H-27011</t>
  </si>
  <si>
    <t>HPBL4-NL-O26H-11294</t>
  </si>
  <si>
    <t>PIL-NL-I26H-27023</t>
  </si>
  <si>
    <t>HPBL4-NL-O26H-11295</t>
  </si>
  <si>
    <t>PIL-NL-I26H-27037</t>
  </si>
  <si>
    <t>HPBL4-NL-O26H-11296</t>
  </si>
  <si>
    <t>PIL-NL-I26H-27038</t>
  </si>
  <si>
    <t>HPBL4-NL-O26H-11297</t>
  </si>
  <si>
    <t>PIL-NL-I26H-27045</t>
  </si>
  <si>
    <t>HPBL4-NL-O26H-11298</t>
  </si>
  <si>
    <t>PIL-NL-I26H-27054</t>
  </si>
  <si>
    <t>HPBL4-NL-O26H-11299</t>
  </si>
  <si>
    <t>PIL-NL-I26H-27081</t>
  </si>
  <si>
    <t>HPBL4-NL-O26H-11300</t>
  </si>
  <si>
    <t>PIL-NL-I26H-27084</t>
  </si>
  <si>
    <t>HPBL4-NL-O26H-11301</t>
  </si>
  <si>
    <t>PIL-NL-I26H-27093</t>
  </si>
  <si>
    <t>HPBL4-NL-O26H-11302</t>
  </si>
  <si>
    <t>PIL-NL-I26H-27094</t>
  </si>
  <si>
    <t>HPBL4-NL-O26H-11303</t>
  </si>
  <si>
    <t>PIL-NL-I26H-27111</t>
  </si>
  <si>
    <t>HPBL4-NL-O26H-11304</t>
  </si>
  <si>
    <t>PIL-NL-I26H-27112</t>
  </si>
  <si>
    <t>HPBL4-NL-O26H-11305</t>
  </si>
  <si>
    <t>PIL-NL-I26H-27012</t>
  </si>
  <si>
    <t>HPBL4-NL-O26H-11306</t>
  </si>
  <si>
    <t>PIL-NL-I26H-27014</t>
  </si>
  <si>
    <t>HPBL4-NL-O26H-11307</t>
  </si>
  <si>
    <t>PIL-NL-I26H-27058</t>
  </si>
  <si>
    <t>HPBL4-NL-O26H-11308</t>
  </si>
  <si>
    <t>PIL-NL-I26H-27140</t>
  </si>
  <si>
    <t>HPBL4-NL-O26H-11309</t>
  </si>
  <si>
    <t>PIL-NL-I26H-27153</t>
  </si>
  <si>
    <t>HPBL4-NL-O26H-11310</t>
  </si>
  <si>
    <t>PIL-NL-I26H-27159</t>
  </si>
  <si>
    <t>HPBL4-NL-O26H-11311</t>
  </si>
  <si>
    <t>PIL-NL-I26H-27174</t>
  </si>
  <si>
    <t>HPBL4-NL-O26H-11312</t>
  </si>
  <si>
    <t>PIL-NL-I26H-27192</t>
  </si>
  <si>
    <t>HPBL4-NL-O26H-11313</t>
  </si>
  <si>
    <t>PIL-NL-I26H-27208</t>
  </si>
  <si>
    <t>1/6 BLUE MF/TIE</t>
  </si>
  <si>
    <t>HPBL4-NL-O26H-11314</t>
  </si>
  <si>
    <t>PIL-NL-I26H-27246</t>
  </si>
  <si>
    <t>HPBL4-NL-O26H-11315</t>
  </si>
  <si>
    <t>PIL-NL-I26H-27254</t>
  </si>
  <si>
    <t>HPBL4-NL-O26H-11316</t>
  </si>
  <si>
    <t>PIL-NL-I26H-27268</t>
  </si>
  <si>
    <t>HPBL4-NL-O26H-11317</t>
  </si>
  <si>
    <t>PIL-NL-I26H-27277</t>
  </si>
  <si>
    <t>HPBL4-NL-O26H-11318</t>
  </si>
  <si>
    <t>PIL-NL-I26H-27148</t>
  </si>
  <si>
    <t>HPBL4-NL-O26H-11319</t>
  </si>
  <si>
    <t>PIL-NL-I26H-27150</t>
  </si>
  <si>
    <t>HPBL4-NL-O26H-11320</t>
  </si>
  <si>
    <t>PIL-NL-I26H-27156</t>
  </si>
  <si>
    <t>HPBL4-NL-O26H-11321</t>
  </si>
  <si>
    <t>PIL-NL-I26H-27187</t>
  </si>
  <si>
    <t>HPBL4-NL-O26H-11322</t>
  </si>
  <si>
    <t>PIL-NL-I26H-27194</t>
  </si>
  <si>
    <t>5/40 MW 30% RP/RED+ORANGE</t>
  </si>
  <si>
    <t>HPBL4-NL-O26H-11323</t>
  </si>
  <si>
    <t>PIL-NL-I26H-27213</t>
  </si>
  <si>
    <t>HPBL4-NL-O26H-11324</t>
  </si>
  <si>
    <t>PIL-NL-I26H-27146</t>
  </si>
  <si>
    <t>HPBL4-NL-O26H-11325</t>
  </si>
  <si>
    <t>PIL-NL-I26H-27152</t>
  </si>
  <si>
    <t>HPBL4-NL-O26H-11326</t>
  </si>
  <si>
    <t>PIL-NL-I26H-27157</t>
  </si>
  <si>
    <t>HPBL4-NL-O26H-11327</t>
  </si>
  <si>
    <t>PIL-NL-I26H-27172</t>
  </si>
  <si>
    <t>HPBL4-NL-O26H-11328</t>
  </si>
  <si>
    <t>PIL-NL-I26H-27173</t>
  </si>
  <si>
    <t>HPBL4-NL-O26H-11329</t>
  </si>
  <si>
    <t>PIL-NL-I26H-27180</t>
  </si>
  <si>
    <t>HPBL4-NL-O26H-11330</t>
  </si>
  <si>
    <t>PIL-NL-I26H-27181</t>
  </si>
  <si>
    <t>HPBL4-NL-O26H-11331</t>
  </si>
  <si>
    <t>PIL-NL-I26H-27211</t>
  </si>
  <si>
    <t>HPBL4-NL-O26H-11332</t>
  </si>
  <si>
    <t>PIL-NL-I26H-27242</t>
  </si>
  <si>
    <t>HPBL4-NL-O26H-11333</t>
  </si>
  <si>
    <t>PIL-NL-I26H-27245</t>
  </si>
  <si>
    <t>HPBL4-NL-O26H-11334</t>
  </si>
  <si>
    <t>PIL-NL-I26H-27278</t>
  </si>
  <si>
    <t>HPBL4-NL-O26H-11335</t>
  </si>
  <si>
    <t>PIL-NL-I26H-27282</t>
  </si>
  <si>
    <t>HPBL4-NL-O26H-11336</t>
  </si>
  <si>
    <t>PIL-NL-I26H-27147</t>
  </si>
  <si>
    <t>HPBL4-NL-O26H-11337</t>
  </si>
  <si>
    <t>PIL-NL-I26H-27149</t>
  </si>
  <si>
    <t>HPBL4-NL-O26H-11338</t>
  </si>
  <si>
    <t>PIL-NL-I26H-27151</t>
  </si>
  <si>
    <t>HPBL4-NL-O26H-11339</t>
  </si>
  <si>
    <t>PIL-NL-I26H-27164</t>
  </si>
  <si>
    <t>HPBL4-NL-O26H-11340</t>
  </si>
  <si>
    <t>PIL-NL-I26H-27177</t>
  </si>
  <si>
    <t>HPBL4-NL-O26H-11341</t>
  </si>
  <si>
    <t>PIL-NL-I26H-27193</t>
  </si>
  <si>
    <t>HPBL4-NL-O26H-11342</t>
  </si>
  <si>
    <t>PIL-NL-I26H-27214</t>
  </si>
  <si>
    <t>HPBL4-NL-O26H-11343</t>
  </si>
  <si>
    <t>PIL-NL-I26H-27217</t>
  </si>
  <si>
    <t>HPBL4-NL-O26H-11344</t>
  </si>
  <si>
    <t>PIL-NL-I26H-27223</t>
  </si>
  <si>
    <t>HPBL4-NL-O26H-11345</t>
  </si>
  <si>
    <t>PIL-NL-I26H-27225</t>
  </si>
  <si>
    <t>HPBL4-NL-O26H-11346</t>
  </si>
  <si>
    <t>PIL-NL-I26H-27226</t>
  </si>
  <si>
    <t>HPBL4-NL-O26H-11347</t>
  </si>
  <si>
    <t>PIL-NL-I26H-27253</t>
  </si>
  <si>
    <t>HPBL4-NL-O26H-11348</t>
  </si>
  <si>
    <t>PIL-NL-I26H-27260</t>
  </si>
  <si>
    <t>HPBL4-NL-O26H-11349</t>
  </si>
  <si>
    <t>PIL-NL-I26H-27179</t>
  </si>
  <si>
    <t>HPBL4-NL-O26H-11350</t>
  </si>
  <si>
    <t>PIL-NL-I26H-27228</t>
  </si>
  <si>
    <t>HPBL4-NL-O26H-11351</t>
  </si>
  <si>
    <t>PIL-NL-I26H-27235</t>
  </si>
  <si>
    <t>HPBL4-NL-O26H-11352</t>
  </si>
  <si>
    <t>PIL-NL-I26H-27154</t>
  </si>
  <si>
    <t>HPBL4-NL-O26H-11353</t>
  </si>
  <si>
    <t>PIL-NL-I26H-27186</t>
  </si>
  <si>
    <t>HPBL4-NL-O26H-11354</t>
  </si>
  <si>
    <t>PIL-NL-I26H-27247</t>
  </si>
  <si>
    <t>HPBL4-NL-O26H-11355</t>
  </si>
  <si>
    <t>PIL-NL-I26H-27267</t>
  </si>
  <si>
    <t>HPBL4-NL-O26H-11356</t>
  </si>
  <si>
    <t>PIL-NL-I26H-27269</t>
  </si>
  <si>
    <t>HPBL4-NL-O26H-11357</t>
  </si>
  <si>
    <t>PIL-NL-I26H-27275</t>
  </si>
  <si>
    <t>HPBL4-NL-O26H-11358</t>
  </si>
  <si>
    <t>PIL-NL-I26H-27158</t>
  </si>
  <si>
    <t>HPBL4-NL-O26H-11359</t>
  </si>
  <si>
    <t>PIL-NL-I26H-27171</t>
  </si>
  <si>
    <t>HPBL4-NL-O26H-11360</t>
  </si>
  <si>
    <t>PIL-NL-I26H-27182</t>
  </si>
  <si>
    <t>HPBL4-NL-O26H-11361</t>
  </si>
  <si>
    <t>PIL-NL-I26H-27210</t>
  </si>
  <si>
    <t>HPBL4-NL-O26H-11362</t>
  </si>
  <si>
    <t>PIL-NL-I26H-27243</t>
  </si>
  <si>
    <t>HPBL4-NL-O26H-11363</t>
  </si>
  <si>
    <t>PIL-NL-I26H-27244</t>
  </si>
  <si>
    <t>HPBL4-NL-O26H-11364</t>
  </si>
  <si>
    <t>PIL-NL-I26H-27255</t>
  </si>
  <si>
    <t>HPBL4-NL-O26H-11365</t>
  </si>
  <si>
    <t>PIL-NL-I26H-27176</t>
  </si>
  <si>
    <t>HPBL4-NL-O26H-11366</t>
  </si>
  <si>
    <t>PIL-NL-I26H-27178</t>
  </si>
  <si>
    <t>HPBL4-NL-O26H-11367</t>
  </si>
  <si>
    <t>PIL-NL-I26H-27215</t>
  </si>
  <si>
    <t>HPBL4-NL-O26H-11368</t>
  </si>
  <si>
    <t>PIL-NL-I26H-27216</t>
  </si>
  <si>
    <t>HPBL4-NL-O26H-11369</t>
  </si>
  <si>
    <t>PIL-NL-I26H-27224</t>
  </si>
  <si>
    <t>HPBL4-NL-O26H-11370</t>
  </si>
  <si>
    <t>PIL-NL-I26H-27227</t>
  </si>
  <si>
    <t>HPBL4-NL-O26H-11371</t>
  </si>
  <si>
    <t>PIL-NL-I26H-27241</t>
  </si>
  <si>
    <t>HPBL4-NL-O26H-11372</t>
  </si>
  <si>
    <t>PIL-NL-I26H-27259</t>
  </si>
  <si>
    <t>HPBL4-NL-O26H-11373</t>
  </si>
  <si>
    <t>PIL-NL-I26H-27276</t>
  </si>
  <si>
    <t>HPBL4-NL-O26H-11374</t>
  </si>
  <si>
    <t>PIL-NL-I26H-27306</t>
  </si>
  <si>
    <t>HPBL4-NL-O26H-11375</t>
  </si>
  <si>
    <t>PIL-NL-I26H-25732</t>
  </si>
  <si>
    <t>HPBL4-NL-O26H-11376</t>
  </si>
  <si>
    <t>PIL-NL-I26H-27298</t>
  </si>
  <si>
    <t>HPBL4-NL-O26H-11377</t>
  </si>
  <si>
    <t>PIL-NL-I26H-27315</t>
  </si>
  <si>
    <t>HPBL4-NL-O26H-11378</t>
  </si>
  <si>
    <t>PIL-NL-I26H-27401</t>
  </si>
  <si>
    <t>HPBL4-NL-O26H-11379</t>
  </si>
  <si>
    <t>PIL-NL-I26H-27408</t>
  </si>
  <si>
    <t>5/55 MW/YELLOW+ORANGE</t>
  </si>
  <si>
    <t>HPBL4-NL-O26H-11380</t>
  </si>
  <si>
    <t>PIL-NL-I26H-27411</t>
  </si>
  <si>
    <t>HPBL4-NL-O26H-11381</t>
  </si>
  <si>
    <t>PIL-NL-I26H-27428</t>
  </si>
  <si>
    <t>HPBL4-NL-O26H-11382</t>
  </si>
  <si>
    <t>PIL-NL-I26H-27321</t>
  </si>
  <si>
    <t>HPBL4-NL-O26H-11383</t>
  </si>
  <si>
    <t>PIL-NL-I26H-27336</t>
  </si>
  <si>
    <t>HPBL4-NL-O26H-11384</t>
  </si>
  <si>
    <t>PIL-NL-I26H-27398</t>
  </si>
  <si>
    <t>HPBL4-NL-O26H-11385</t>
  </si>
  <si>
    <t>PIL-NL-I26H-27286</t>
  </si>
  <si>
    <t>HPBL4-NL-O26H-11386</t>
  </si>
  <si>
    <t>PIL-NL-I26H-27323</t>
  </si>
  <si>
    <t>HPBL4-NL-O26H-11387</t>
  </si>
  <si>
    <t>PIL-NL-I26H-27325</t>
  </si>
  <si>
    <t>HPBL4-NL-O26H-11388</t>
  </si>
  <si>
    <t>PIL-NL-I26H-27326</t>
  </si>
  <si>
    <t>HPBL4-NL-O26H-11389</t>
  </si>
  <si>
    <t>PIL-NL-I26H-27344</t>
  </si>
  <si>
    <t>HPBL4-NL-O26H-11390</t>
  </si>
  <si>
    <t>PIL-NL-I26H-27380</t>
  </si>
  <si>
    <t>HPBL4-NL-O26H-11391</t>
  </si>
  <si>
    <t>PIL-NL-I26H-27382</t>
  </si>
  <si>
    <t>HPBL4-NL-O26H-11392</t>
  </si>
  <si>
    <t>PIL-NL-I26H-27404</t>
  </si>
  <si>
    <t>HPBL4-NL-O26H-11393</t>
  </si>
  <si>
    <t>PIL-NL-I26H-27406</t>
  </si>
  <si>
    <t>HPBL4-NL-O26H-11394</t>
  </si>
  <si>
    <t>PIL-NL-I26H-27335</t>
  </si>
  <si>
    <t>HPBL4-NL-O26H-11395</t>
  </si>
  <si>
    <t>PIL-NL-I26H-27391</t>
  </si>
  <si>
    <t>HPBL4-NL-O26H-11396</t>
  </si>
  <si>
    <t>PIL-NL-I26H-27399</t>
  </si>
  <si>
    <t>HPBL4-NL-O26H-11397</t>
  </si>
  <si>
    <t>PIL-NL-I26H-27410</t>
  </si>
  <si>
    <t>HPBL4-NL-O26H-11398</t>
  </si>
  <si>
    <t>PIL-NL-I26H-26836</t>
  </si>
  <si>
    <t>HPBL4-NL-O26H-11399</t>
  </si>
  <si>
    <t>PIL-NL-I26H-25501</t>
  </si>
  <si>
    <t>HPBL4-NL-O26H-11400</t>
  </si>
  <si>
    <t>PIL-NL-I26H-27284</t>
  </si>
  <si>
    <t>HPBL4-NL-O26H-11401</t>
  </si>
  <si>
    <t>PIL-NL-I26H-27299</t>
  </si>
  <si>
    <t>HPBL4-NL-O26H-11402</t>
  </si>
  <si>
    <t>PIL-NL-I26H-27332</t>
  </si>
  <si>
    <t>HPBL4-NL-O26H-11403</t>
  </si>
  <si>
    <t>PIL-NL-I26H-27361</t>
  </si>
  <si>
    <t>HPBL4-NL-O26H-11404</t>
  </si>
  <si>
    <t>PIL-NL-I26H-27363</t>
  </si>
  <si>
    <t>HPBL4-NL-O26H-11405</t>
  </si>
  <si>
    <t>PIL-NL-I26H-27379</t>
  </si>
  <si>
    <t>HPBL4-NL-O26H-11406</t>
  </si>
  <si>
    <t>PIL-NL-I26H-27395</t>
  </si>
  <si>
    <t>HPBL4-NL-O26H-11407</t>
  </si>
  <si>
    <t>PIL-NL-I26H-27400</t>
  </si>
  <si>
    <t>HPBL4-NL-O26H-11408</t>
  </si>
  <si>
    <t>PIL-NL-I26H-27402</t>
  </si>
  <si>
    <t>HPBL4-NL-O26H-11409</t>
  </si>
  <si>
    <t>PIL-NL-I26H-27407</t>
  </si>
  <si>
    <t>HPBL4-NL-O26H-11410</t>
  </si>
  <si>
    <t>PIL-NL-I26H-27409</t>
  </si>
  <si>
    <t>HPBL4-NL-O26H-11411</t>
  </si>
  <si>
    <t>PIL-NL-I26H-27425</t>
  </si>
  <si>
    <t>HPBL4-NL-O26H-11412</t>
  </si>
  <si>
    <t>PIL-NL-I26H-27305</t>
  </si>
  <si>
    <t>HPBL4-NL-O26H-11413</t>
  </si>
  <si>
    <t>PIL-NL-I26H-27320</t>
  </si>
  <si>
    <t>HPBL4-NL-O26H-11414</t>
  </si>
  <si>
    <t>PIL-NL-I26H-27327</t>
  </si>
  <si>
    <t>HPBL4-NL-O26H-11415</t>
  </si>
  <si>
    <t>PIL-NL-I26H-27383</t>
  </si>
  <si>
    <t>HPBL4-NL-O26H-11416</t>
  </si>
  <si>
    <t>PIL-NL-I26H-27412</t>
  </si>
  <si>
    <t>HPBL4-NL-O26H-11417</t>
  </si>
  <si>
    <t>PIL-NL-I26H-27413</t>
  </si>
  <si>
    <t>HPBL4-NL-O26H-11418</t>
  </si>
  <si>
    <t>PIL-NL-I26H-27427</t>
  </si>
  <si>
    <t>HPBL4-NL-O26H-11419</t>
  </si>
  <si>
    <t>PIL-NL-I26H-27390</t>
  </si>
  <si>
    <t>HPBL4-NL-O26H-11420</t>
  </si>
  <si>
    <t>PIL-NL-I26H-24695</t>
  </si>
  <si>
    <t>HPBL4-NL-O26H-11421</t>
  </si>
  <si>
    <t>PIL-NL-I26H-27285</t>
  </si>
  <si>
    <t>HPBL4-NL-O26H-11422</t>
  </si>
  <si>
    <t>PIL-NL-I26H-27319</t>
  </si>
  <si>
    <t>HPBL4-NL-O26H-11423</t>
  </si>
  <si>
    <t>PIL-NL-I26H-27322</t>
  </si>
  <si>
    <t>HPBL4-NL-O26H-11424</t>
  </si>
  <si>
    <t>PIL-NL-I26H-27324</t>
  </si>
  <si>
    <t>HPBL4-NL-O26H-11425</t>
  </si>
  <si>
    <t>PIL-NL-I26H-27343</t>
  </si>
  <si>
    <t>HPBL4-NL-O26H-11426</t>
  </si>
  <si>
    <t>PIL-NL-I26H-27345</t>
  </si>
  <si>
    <t>HPBL4-NL-O26H-11427</t>
  </si>
  <si>
    <t>PIL-NL-I26H-27346</t>
  </si>
  <si>
    <t>HPBL4-NL-O26H-11428</t>
  </si>
  <si>
    <t>PIL-NL-I26H-27378</t>
  </si>
  <si>
    <t>HPBL4-NL-O26H-11429</t>
  </si>
  <si>
    <t>PIL-NL-I26H-27381</t>
  </si>
  <si>
    <t>HPBL4-NL-O26H-11430</t>
  </si>
  <si>
    <t>PIL-NL-I26H-27403</t>
  </si>
  <si>
    <t>HPBL4-NL-O26H-11431</t>
  </si>
  <si>
    <t>PIL-NL-I26H-27405</t>
  </si>
  <si>
    <t>HPBL4-NL-O26H-11432</t>
  </si>
  <si>
    <t>PIL-NL-I26H-27426</t>
  </si>
  <si>
    <t>HPBL4-NL-O26H-11433</t>
  </si>
  <si>
    <t>PIL-NL-I26H-27434</t>
  </si>
  <si>
    <t>HPBL4-NL-O26H-11434</t>
  </si>
  <si>
    <t>PIL-NL-I26H-27451</t>
  </si>
  <si>
    <t>HPBL4-NL-O26H-11435</t>
  </si>
  <si>
    <t>PIL-NL-I26H-27491</t>
  </si>
  <si>
    <t>HPBL4-NL-O26H-11436</t>
  </si>
  <si>
    <t>PIL-NL-I26H-27536</t>
  </si>
  <si>
    <t>HPBL4-NL-O26H-11437</t>
  </si>
  <si>
    <t>PIL-NL-I26H-27546</t>
  </si>
  <si>
    <t>HPBL4-NL-O26H-11438</t>
  </si>
  <si>
    <t>PIL-NL-I26H-27552</t>
  </si>
  <si>
    <t>HPBL4-NL-O26H-11439</t>
  </si>
  <si>
    <t>PIL-NL-I26H-27554</t>
  </si>
  <si>
    <t>HPBL4-NL-O26H-11440</t>
  </si>
  <si>
    <t>PIL-NL-I26H-27578</t>
  </si>
  <si>
    <t>HPBL4-NL-O26H-11441</t>
  </si>
  <si>
    <t>PIL-NL-I26H-27475</t>
  </si>
  <si>
    <t>HPBL4-NL-O26H-11442</t>
  </si>
  <si>
    <t>PIL-NL-I26H-27490</t>
  </si>
  <si>
    <t>HPBL4-NL-O26H-11443</t>
  </si>
  <si>
    <t>PIL-NL-I26H-27524</t>
  </si>
  <si>
    <t>HPBL4-NL-O26H-11444</t>
  </si>
  <si>
    <t>PIL-NL-I26H-27525</t>
  </si>
  <si>
    <t>HPBL4-NL-O26H-11445</t>
  </si>
  <si>
    <t>PIL-NL-I26H-27527</t>
  </si>
  <si>
    <t>HPBL4-NL-O26H-11446</t>
  </si>
  <si>
    <t>PIL-NL-I26H-27549</t>
  </si>
  <si>
    <t>HPBL4-NL-O26H-11447</t>
  </si>
  <si>
    <t>PIL-NL-I26H-27550</t>
  </si>
  <si>
    <t>HPBL4-NL-O26H-11448</t>
  </si>
  <si>
    <t>PIL-NL-I26H-27574</t>
  </si>
  <si>
    <t>HPBL4-NL-O26H-11449</t>
  </si>
  <si>
    <t>PIL-NL-I26H-27469</t>
  </si>
  <si>
    <t>HPBL4-NL-O26H-11450</t>
  </si>
  <si>
    <t>PIL-NL-I26H-27509</t>
  </si>
  <si>
    <t>4/25 MW/GREEN</t>
  </si>
  <si>
    <t>HPBL4-NL-O26H-11451</t>
  </si>
  <si>
    <t>PIL-NL-I26H-27535</t>
  </si>
  <si>
    <t>HPBL4-NL-O26H-11452</t>
  </si>
  <si>
    <t>PIL-NL-I26H-27545</t>
  </si>
  <si>
    <t>HPBL4-NL-O26H-11453</t>
  </si>
  <si>
    <t>PIL-NL-I26H-27547</t>
  </si>
  <si>
    <t>HPBL4-NL-O26H-11454</t>
  </si>
  <si>
    <t>PIL-NL-I26H-27563</t>
  </si>
  <si>
    <t>HPBL4-NL-O26H-11455</t>
  </si>
  <si>
    <t>PIL-NL-I26H-27471</t>
  </si>
  <si>
    <t>HPBL4-NL-O26H-11456</t>
  </si>
  <si>
    <t>PIL-NL-I26H-27472</t>
  </si>
  <si>
    <t>HPBL4-NL-O26H-11457</t>
  </si>
  <si>
    <t>PIL-NL-I26H-27507</t>
  </si>
  <si>
    <t>HPBL4-NL-O26H-11458</t>
  </si>
  <si>
    <t>PIL-NL-I26H-27553</t>
  </si>
  <si>
    <t>HPBL4-NL-O26H-11459</t>
  </si>
  <si>
    <t>PIL-NL-I26H-27558</t>
  </si>
  <si>
    <t>HPBL4-NL-O26H-11460</t>
  </si>
  <si>
    <t>PIL-NL-I26H-27573</t>
  </si>
  <si>
    <t>HPBL4-NL-O26H-11461</t>
  </si>
  <si>
    <t>PIL-NL-I26H-27583</t>
  </si>
  <si>
    <t>HPBL4-NL-O26H-11462</t>
  </si>
  <si>
    <t>PIL-NL-I26H-27453</t>
  </si>
  <si>
    <t>HPBL4-NL-O26H-11463</t>
  </si>
  <si>
    <t>PIL-NL-I26H-27505</t>
  </si>
  <si>
    <t>HPBL4-NL-O26H-11464</t>
  </si>
  <si>
    <t>PIL-NL-I26H-27557</t>
  </si>
  <si>
    <t>HPBL4-NL-O26H-11465</t>
  </si>
  <si>
    <t>PIL-NL-I26H-27452</t>
  </si>
  <si>
    <t>HPBL4-NL-O26H-11466</t>
  </si>
  <si>
    <t>PIL-NL-I26H-27476</t>
  </si>
  <si>
    <t>HPBL4-NL-O26H-11467</t>
  </si>
  <si>
    <t>PIL-NL-I26H-27555</t>
  </si>
  <si>
    <t>HPBL4-NL-O26H-11468</t>
  </si>
  <si>
    <t>PIL-NL-I26H-27556</t>
  </si>
  <si>
    <t>HPBL4-NL-O26H-11469</t>
  </si>
  <si>
    <t>PIL-NL-I26H-27560</t>
  </si>
  <si>
    <t>HPBL4-NL-O26H-11470</t>
  </si>
  <si>
    <t>PIL-NL-I26H-27577</t>
  </si>
  <si>
    <t>HPBL4-NL-O26H-11471</t>
  </si>
  <si>
    <t>PIL-NL-I26H-27458</t>
  </si>
  <si>
    <t>HPBL4-NL-O26H-11472</t>
  </si>
  <si>
    <t>PIL-NL-I26H-27470</t>
  </si>
  <si>
    <t>HPBL4-NL-O26H-11473</t>
  </si>
  <si>
    <t>PIL-NL-I26H-27508</t>
  </si>
  <si>
    <t>HPBL4-NL-O26H-11474</t>
  </si>
  <si>
    <t>PIL-NL-I26H-27526</t>
  </si>
  <si>
    <t>HPBL4-NL-O26H-11475</t>
  </si>
  <si>
    <t>PIL-NL-I26H-27548</t>
  </si>
  <si>
    <t>HPBL4-NL-O26H-11476</t>
  </si>
  <si>
    <t>PIL-NL-I26H-27585</t>
  </si>
  <si>
    <t>HPBL4-NL-O26H-11477</t>
  </si>
  <si>
    <t>PIL-NL-I26H-27596</t>
  </si>
  <si>
    <t>HPBL4-NL-O26H-11478</t>
  </si>
  <si>
    <t>PIL-NL-I26H-27657</t>
  </si>
  <si>
    <t>1/6 MW MF/TIE</t>
  </si>
  <si>
    <t>HPBL4-NL-O26H-11479</t>
  </si>
  <si>
    <t>PIL-NL-I26H-27680</t>
  </si>
  <si>
    <t>HPBL4-NL-O26H-11480</t>
  </si>
  <si>
    <t>PIL-NL-I26H-27685</t>
  </si>
  <si>
    <t>HPBL4-NL-O26H-11481</t>
  </si>
  <si>
    <t>PIL-NL-I26H-27699</t>
  </si>
  <si>
    <t>HPBL4-NL-O26H-11482</t>
  </si>
  <si>
    <t>PIL-NL-I26H-27708</t>
  </si>
  <si>
    <t>HPBL4-NL-O26H-11483</t>
  </si>
  <si>
    <t>PIL-NL-I26H-27710</t>
  </si>
  <si>
    <t>HPBL4-NL-O26H-11484</t>
  </si>
  <si>
    <t>PIL-NL-I26H-27714</t>
  </si>
  <si>
    <t>HPBL4-NL-O26H-11485</t>
  </si>
  <si>
    <t>PIL-NL-I26H-27720</t>
  </si>
  <si>
    <t>HPBL4-NL-O26H-11486</t>
  </si>
  <si>
    <t>PIL-NL-I26H-27735</t>
  </si>
  <si>
    <t>HPBL4-NL-O26H-11487</t>
  </si>
  <si>
    <t>PIL-NL-I26H-27620</t>
  </si>
  <si>
    <t>HPBL4-NL-O26H-11488</t>
  </si>
  <si>
    <t>PIL-NL-I26H-27622</t>
  </si>
  <si>
    <t>HPBL4-NL-O26H-11489</t>
  </si>
  <si>
    <t>PIL-NL-I26H-27627</t>
  </si>
  <si>
    <t>HPBL4-NL-O26H-11490</t>
  </si>
  <si>
    <t>PIL-NL-I26H-27629</t>
  </si>
  <si>
    <t>HPBL4-NL-O26H-11491</t>
  </si>
  <si>
    <t>PIL-NL-I26H-27643</t>
  </si>
  <si>
    <t>HPBL4-NL-O26H-11492</t>
  </si>
  <si>
    <t>PIL-NL-I26H-27645</t>
  </si>
  <si>
    <t>HPBL4-NL-O26H-11493</t>
  </si>
  <si>
    <t>PIL-NL-I26H-27711</t>
  </si>
  <si>
    <t>HPBL4-NL-O26H-11494</t>
  </si>
  <si>
    <t>PIL-NL-I26H-27601</t>
  </si>
  <si>
    <t>HPBL4-NL-O26H-11495</t>
  </si>
  <si>
    <t>PIL-NL-I26H-27618</t>
  </si>
  <si>
    <t>HPBL4-NL-O26H-11496</t>
  </si>
  <si>
    <t>PIL-NL-I26H-27624</t>
  </si>
  <si>
    <t>HPBL4-NL-O26H-11497</t>
  </si>
  <si>
    <t>PIL-NL-I26H-27626</t>
  </si>
  <si>
    <t>HPBL4-NL-O26H-11498</t>
  </si>
  <si>
    <t>PIL-NL-I26H-27641</t>
  </si>
  <si>
    <t>HPBL4-NL-O26H-11499</t>
  </si>
  <si>
    <t>PIL-NL-I26H-27659</t>
  </si>
  <si>
    <t>HPBL4-NL-O26H-11500</t>
  </si>
  <si>
    <t>PIL-NL-I26H-27661</t>
  </si>
  <si>
    <t>HPBL4-NL-O26H-11501</t>
  </si>
  <si>
    <t>PIL-NL-I26H-27677</t>
  </si>
  <si>
    <t>HPBL4-NL-O26H-11502</t>
  </si>
  <si>
    <t>PIL-NL-I26H-27679</t>
  </si>
  <si>
    <t>HPBL4-NL-O26H-11503</t>
  </si>
  <si>
    <t>PIL-NL-I26H-27700</t>
  </si>
  <si>
    <t>HPBL4-NL-O26H-11504</t>
  </si>
  <si>
    <t>PIL-NL-I26H-27723</t>
  </si>
  <si>
    <t>HPBL4-NL-O26H-11505</t>
  </si>
  <si>
    <t>PIL-NL-I26H-27598</t>
  </si>
  <si>
    <t>HPBL4-NL-O26H-11506</t>
  </si>
  <si>
    <t>PIL-NL-I26H-27606</t>
  </si>
  <si>
    <t>HPBL4-NL-O26H-11507</t>
  </si>
  <si>
    <t>PIL-NL-I26H-27621</t>
  </si>
  <si>
    <t>HPBL4-NL-O26H-11508</t>
  </si>
  <si>
    <t>PIL-NL-I26H-27628</t>
  </si>
  <si>
    <t>HPBL4-NL-O26H-11509</t>
  </si>
  <si>
    <t>PIL-NL-I26H-27647</t>
  </si>
  <si>
    <t>HPBL4-NL-O26H-11510</t>
  </si>
  <si>
    <t>PIL-NL-I26H-27674</t>
  </si>
  <si>
    <t>HPBL4-NL-O26H-11511</t>
  </si>
  <si>
    <t>PIL-NL-I26H-27687</t>
  </si>
  <si>
    <t>HPBL4-NL-O26H-11512</t>
  </si>
  <si>
    <t>PIL-NL-I26H-27701</t>
  </si>
  <si>
    <t>HPBL4-NL-O26H-11513</t>
  </si>
  <si>
    <t>PIL-NL-I26H-27712</t>
  </si>
  <si>
    <t>HPBL4-NL-O26H-11514</t>
  </si>
  <si>
    <t>PIL-NL-I26H-27733</t>
  </si>
  <si>
    <t>HPBL4-NL-O26H-11515</t>
  </si>
  <si>
    <t>PIL-NL-I26H-27600</t>
  </si>
  <si>
    <t>HPBL4-NL-O26H-11516</t>
  </si>
  <si>
    <t>PIL-NL-I26H-27619</t>
  </si>
  <si>
    <t>HPBL4-NL-O26H-11517</t>
  </si>
  <si>
    <t>PIL-NL-I26H-27623</t>
  </si>
  <si>
    <t>HPBL4-NL-O26H-11518</t>
  </si>
  <si>
    <t>PIL-NL-I26H-27625</t>
  </si>
  <si>
    <t>HPBL4-NL-O26H-11519</t>
  </si>
  <si>
    <t>PIL-NL-I26H-27693</t>
  </si>
  <si>
    <t>HPBL4-NL-O26H-11520</t>
  </si>
  <si>
    <t>PIL-NL-I26H-27599</t>
  </si>
  <si>
    <t>HPBL4-NL-O26H-11521</t>
  </si>
  <si>
    <t>PIL-NL-I26H-27648</t>
  </si>
  <si>
    <t>HPBL4-NL-O26H-11522</t>
  </si>
  <si>
    <t>PIL-NL-I26H-27705</t>
  </si>
  <si>
    <t>HPBL4-NL-O26H-11523</t>
  </si>
  <si>
    <t>PIL-NL-I26H-27713</t>
  </si>
  <si>
    <t>HPBL4-NL-O26H-11524</t>
  </si>
  <si>
    <t>PIL-NL-I26H-27719</t>
  </si>
  <si>
    <t>HPBL4-NL-O26H-11525</t>
  </si>
  <si>
    <t>PIL-NL-I26H-27732</t>
  </si>
  <si>
    <t>HPBL4-NL-O26H-11526</t>
  </si>
  <si>
    <t>PIL-NL-I26H-27607</t>
  </si>
  <si>
    <t>HPBL4-NL-O26H-11527</t>
  </si>
  <si>
    <t>PIL-NL-I26H-27613</t>
  </si>
  <si>
    <t>HPBL4-NL-O26H-11528</t>
  </si>
  <si>
    <t>PIL-NL-I26H-27646</t>
  </si>
  <si>
    <t>HPBL4-NL-O26H-11529</t>
  </si>
  <si>
    <t>PIL-NL-I26H-27706</t>
  </si>
  <si>
    <t>HPBL4-NL-O26H-11530</t>
  </si>
  <si>
    <t>PIL-NL-I26H-27597</t>
  </si>
  <si>
    <t>HPBL4-NL-O26H-11531</t>
  </si>
  <si>
    <t>PIL-NL-I26H-27656</t>
  </si>
  <si>
    <t>HPBL4-NL-O26H-11532</t>
  </si>
  <si>
    <t>PIL-NL-I26H-27678</t>
  </si>
  <si>
    <t>HPBL4-NL-O26H-11533</t>
  </si>
  <si>
    <t>PIL-NL-I26H-27686</t>
  </si>
  <si>
    <t>HPBL4-NL-O26H-11534</t>
  </si>
  <si>
    <t>PIL-NL-I26H-27707</t>
  </si>
  <si>
    <t>HPBL4-NL-O26H-11535</t>
  </si>
  <si>
    <t>PIL-NL-I26H-27709</t>
  </si>
  <si>
    <t>HPBL4-NL-O26H-11536</t>
  </si>
  <si>
    <t>PIL-NL-I26H-27734</t>
  </si>
  <si>
    <t>HPBL4-NL-O26H-11537</t>
  </si>
  <si>
    <t>PIL-NL-I26H-27736</t>
  </si>
  <si>
    <t>HPBL4-NL-O26H-11538</t>
  </si>
  <si>
    <t>PIL-NL-I26H-27755</t>
  </si>
  <si>
    <t>HPBL4-NL-O26H-11539</t>
  </si>
  <si>
    <t>PIL-NL-I26H-27816</t>
  </si>
  <si>
    <t>HPBL4-NL-O26H-11540</t>
  </si>
  <si>
    <t>PIL-NL-I26H-27837</t>
  </si>
  <si>
    <t>HPBL4-NL-O26H-11541</t>
  </si>
  <si>
    <t>PIL-NL-I26H-27850</t>
  </si>
  <si>
    <t>HPBL4-NL-O26H-11542</t>
  </si>
  <si>
    <t>PIL-NL-I26H-27879</t>
  </si>
  <si>
    <t>HPBL4-NL-O26H-11543</t>
  </si>
  <si>
    <t>PIL-NL-I26H-27880</t>
  </si>
  <si>
    <t>HPBL4-NL-O26H-11544</t>
  </si>
  <si>
    <t>PIL-NL-I26H-27747</t>
  </si>
  <si>
    <t>HPBL4-NL-O26H-11545</t>
  </si>
  <si>
    <t>PIL-NL-I26H-27776</t>
  </si>
  <si>
    <t>HPBL4-NL-O26H-11546</t>
  </si>
  <si>
    <t>PIL-NL-I26H-27797</t>
  </si>
  <si>
    <t>HPBL4-NL-O26H-11547</t>
  </si>
  <si>
    <t>PIL-NL-I26H-27811</t>
  </si>
  <si>
    <t>HPBL4-NL-O26H-11548</t>
  </si>
  <si>
    <t>PIL-NL-I26H-27813</t>
  </si>
  <si>
    <t>HPBL4-NL-O26H-11549</t>
  </si>
  <si>
    <t>PIL-NL-I26H-27888</t>
  </si>
  <si>
    <t>HPBL4-NL-O26H-11550</t>
  </si>
  <si>
    <t>PIL-NL-I26H-27758</t>
  </si>
  <si>
    <t>HPBL4-NL-O26H-11551</t>
  </si>
  <si>
    <t>PIL-NL-I26H-27795</t>
  </si>
  <si>
    <t>HPBL4-NL-O26H-11552</t>
  </si>
  <si>
    <t>PIL-NL-I26H-27796</t>
  </si>
  <si>
    <t>HPBL4-NL-O26H-11553</t>
  </si>
  <si>
    <t>PIL-NL-I26H-27746</t>
  </si>
  <si>
    <t>HPBL4-NL-O26H-11554</t>
  </si>
  <si>
    <t>PIL-NL-I26H-27763</t>
  </si>
  <si>
    <t>HPBL4-NL-O26H-11555</t>
  </si>
  <si>
    <t>PIL-NL-I26H-27804</t>
  </si>
  <si>
    <t>HPBL4-NL-O26H-11556</t>
  </si>
  <si>
    <t>PIL-NL-I26H-27829</t>
  </si>
  <si>
    <t>HPBL4-NL-O26H-11557</t>
  </si>
  <si>
    <t>PIL-NL-I26H-27830</t>
  </si>
  <si>
    <t>HPBL4-NL-O26H-11558</t>
  </si>
  <si>
    <t>PIL-NL-I26H-27860</t>
  </si>
  <si>
    <t>HPBL4-NL-O26H-11559</t>
  </si>
  <si>
    <t>PIL-NL-I26H-27867</t>
  </si>
  <si>
    <t>HPBL4-NL-O26H-11560</t>
  </si>
  <si>
    <t>PIL-NL-I26H-27882</t>
  </si>
  <si>
    <t>HPBL4-NL-O26H-11561</t>
  </si>
  <si>
    <t>PIL-NL-I26H-27784</t>
  </si>
  <si>
    <t>HPBL4-NL-O26H-11562</t>
  </si>
  <si>
    <t>PIL-NL-I26H-27802</t>
  </si>
  <si>
    <t>HPBL4-NL-O26H-11563</t>
  </si>
  <si>
    <t>PIL-NL-I26H-27815</t>
  </si>
  <si>
    <t>HPBL4-NL-O26H-11564</t>
  </si>
  <si>
    <t>PIL-NL-I26H-27817</t>
  </si>
  <si>
    <t>HPBL4-NL-O26H-11565</t>
  </si>
  <si>
    <t>PIL-NL-I26H-27831</t>
  </si>
  <si>
    <t>HPBL4-NL-O26H-11566</t>
  </si>
  <si>
    <t>PIL-NL-I26H-27849</t>
  </si>
  <si>
    <t>HPBL4-NL-O26H-11567</t>
  </si>
  <si>
    <t>PIL-NL-I26H-27777</t>
  </si>
  <si>
    <t>HPBL4-NL-O26H-11568</t>
  </si>
  <si>
    <t>PIL-NL-I26H-27793</t>
  </si>
  <si>
    <t>HPBL4-NL-O26H-11569</t>
  </si>
  <si>
    <t>PIL-NL-I26H-27794</t>
  </si>
  <si>
    <t>HPBL4-NL-O26H-11570</t>
  </si>
  <si>
    <t>PIL-NL-I26H-27798</t>
  </si>
  <si>
    <t>HPBL4-NL-O26H-11571</t>
  </si>
  <si>
    <t>PIL-NL-I26H-27812</t>
  </si>
  <si>
    <t>HPBL4-NL-O26H-11572</t>
  </si>
  <si>
    <t>PIL-NL-I26H-27859</t>
  </si>
  <si>
    <t>HPBL4-NL-O26H-11573</t>
  </si>
  <si>
    <t>PIL-NL-I26H-27865</t>
  </si>
  <si>
    <t>HPBL4-NL-O26H-11574</t>
  </si>
  <si>
    <t>PIL-NL-I26H-27870</t>
  </si>
  <si>
    <t>HPBL4-NL-O26H-11575</t>
  </si>
  <si>
    <t>PIL-NL-I26H-27871</t>
  </si>
  <si>
    <t>HPBL4-NL-O26H-11576</t>
  </si>
  <si>
    <t>PIL-NL-I26H-27759</t>
  </si>
  <si>
    <t>HPBL4-NL-O26H-11577</t>
  </si>
  <si>
    <t>PIL-NL-I26H-27764</t>
  </si>
  <si>
    <t>HPBL4-NL-O26H-11578</t>
  </si>
  <si>
    <t>PIL-NL-I26H-27775</t>
  </si>
  <si>
    <t>HPBL4-NL-O26H-11579</t>
  </si>
  <si>
    <t>PIL-NL-I26H-27785</t>
  </si>
  <si>
    <t>HPBL4-NL-O26H-11580</t>
  </si>
  <si>
    <t>PIL-NL-I26H-27836</t>
  </si>
  <si>
    <t>HPBL4-NL-O26H-11581</t>
  </si>
  <si>
    <t>PIL-NL-I26H-27848</t>
  </si>
  <si>
    <t>HPBL4-NL-O26H-11582</t>
  </si>
  <si>
    <t>PIL-NL-I26H-27748</t>
  </si>
  <si>
    <t>HPBL4-NL-O26H-11583</t>
  </si>
  <si>
    <t>PIL-NL-I26H-27801</t>
  </si>
  <si>
    <t>HPBL4-NL-O26H-11584</t>
  </si>
  <si>
    <t>PIL-NL-I26H-27803</t>
  </si>
  <si>
    <t>HPBL4-NL-O26H-11585</t>
  </si>
  <si>
    <t>PIL-NL-I26H-27814</t>
  </si>
  <si>
    <t>HPBL4-NL-O26H-11586</t>
  </si>
  <si>
    <t>PIL-NL-I26H-27881</t>
  </si>
  <si>
    <t>HPBL4-L-O26H-09596</t>
  </si>
  <si>
    <t>PIL-L-I26G-21539</t>
  </si>
  <si>
    <t>HPBL4-L-O26H-09597</t>
  </si>
  <si>
    <t>PIL-L-I26G-21568</t>
  </si>
  <si>
    <t>HPBL4-L-O26H-09598</t>
  </si>
  <si>
    <t>PIL-L-I26G-21569</t>
  </si>
  <si>
    <t>HPBL4-L-O26H-09599</t>
  </si>
  <si>
    <t>PIL-L-I26G-21574</t>
  </si>
  <si>
    <t>HPBL4-L-O26H-09600</t>
  </si>
  <si>
    <t>PIL-L-I26G-21563</t>
  </si>
  <si>
    <t>HPBL4-L-O26H-09601</t>
  </si>
  <si>
    <t>PIL-L-I26G-21516</t>
  </si>
  <si>
    <t>HPBL4-L-O26H-09602</t>
  </si>
  <si>
    <t>PIL-L-I26G-21531</t>
  </si>
  <si>
    <t>HPBL4-L-O26H-09603</t>
  </si>
  <si>
    <t>PIL-L-I26G-21552</t>
  </si>
  <si>
    <t>HPBL4-L-O26H-09604</t>
  </si>
  <si>
    <t>PP 170 GZT MW</t>
  </si>
  <si>
    <t>PIL-L-I26G-21555</t>
  </si>
  <si>
    <t>HPBL4-L-O26H-09605</t>
  </si>
  <si>
    <t>PIL-L-I26G-21576</t>
  </si>
  <si>
    <t>HPBL4-L-O26H-09606</t>
  </si>
  <si>
    <t>PIL-L-I26G-21533</t>
  </si>
  <si>
    <t>HPBL4-L-O26H-09607</t>
  </si>
  <si>
    <t>PIL-L-I26G-21562</t>
  </si>
  <si>
    <t>HPBL4-L-O26H-09608</t>
  </si>
  <si>
    <t>PIL-L-I26G-21518</t>
  </si>
  <si>
    <t>HPBL4-L-O26H-09609</t>
  </si>
  <si>
    <t>PIL-L-I26G-21534</t>
  </si>
  <si>
    <t>HPBL4-L-O26H-09610</t>
  </si>
  <si>
    <t>PIL-L-I26G-21547</t>
  </si>
  <si>
    <t>HPBL4-L-O26H-09611</t>
  </si>
  <si>
    <t>PIL-L-I26G-21560</t>
  </si>
  <si>
    <t>HPBL4-L-O26H-09612</t>
  </si>
  <si>
    <t>PP 98 FLAT M/W Folding</t>
  </si>
  <si>
    <t>PIL-L-I26G-21561</t>
  </si>
  <si>
    <t>HPBL4-L-O26H-09613</t>
  </si>
  <si>
    <t>PIL-L-I26G-21532</t>
  </si>
  <si>
    <t>HPBL4-L-O26H-09614</t>
  </si>
  <si>
    <t>PIL-L-I26G-21548</t>
  </si>
  <si>
    <t>HPBL4-L-O26H-09615</t>
  </si>
  <si>
    <t>PIL-L-I26G-21541</t>
  </si>
  <si>
    <t>HPBL4-L-O26H-09616</t>
  </si>
  <si>
    <t>PIL-L-I26G-21544</t>
  </si>
  <si>
    <t>HPBL4-L-O26H-09617</t>
  </si>
  <si>
    <t>PIL-L-I26G-21549</t>
  </si>
  <si>
    <t>HPBL4-L-O26H-09618</t>
  </si>
  <si>
    <t>PIL-L-I26G-21550</t>
  </si>
  <si>
    <t>HPBL4-L-O26H-09619</t>
  </si>
  <si>
    <t>PIL-L-I26G-21564</t>
  </si>
  <si>
    <t>HPBL4-L-O26H-09620</t>
  </si>
  <si>
    <t>PIL-L-I26G-21553</t>
  </si>
  <si>
    <t>HPBL4-L-O26H-09621</t>
  </si>
  <si>
    <t>PIL-L-I26G-21567</t>
  </si>
  <si>
    <t>HPBL4-L-O26H-09622</t>
  </si>
  <si>
    <t>PIL-L-I26G-21545</t>
  </si>
  <si>
    <t>HPBL4-L-O26H-09650L</t>
  </si>
  <si>
    <t>PIL-L-I26G-21463L</t>
  </si>
  <si>
    <t>HPBL4-L-O26H-09651L</t>
  </si>
  <si>
    <t>PIL-L-I26G-21325L</t>
  </si>
  <si>
    <t>HPBL4-L-O26H-09652L</t>
  </si>
  <si>
    <t>HPBL-L-I26G-11157</t>
  </si>
  <si>
    <t>PIL-L-O26G-11329-1L</t>
  </si>
  <si>
    <t>HPBL4-L-O26H-09653L</t>
  </si>
  <si>
    <t>PIL-L-O26G-11329L</t>
  </si>
  <si>
    <t>HPBL4-L-O26H-09654L</t>
  </si>
  <si>
    <t>HPBL-L-I26G-11361</t>
  </si>
  <si>
    <t>PIL-L-O26G-11492-1L</t>
  </si>
  <si>
    <t>HPBL4-L-O26H-09655L</t>
  </si>
  <si>
    <t>PIL-L-O26G-11492L</t>
  </si>
  <si>
    <t>HPBL4-L-O26H-09656L</t>
  </si>
  <si>
    <t>HPBL-L-I26G-11362</t>
  </si>
  <si>
    <t>PIL-L-O26G-11499L</t>
  </si>
  <si>
    <t>HPBL4-L-O26H-09591</t>
  </si>
  <si>
    <t>PIL-L-I26H-21665</t>
  </si>
  <si>
    <t>HPBL4-L-O26H-09592</t>
  </si>
  <si>
    <t>PIL-L-I26H-21663</t>
  </si>
  <si>
    <t>HPBL4-L-O26H-09593</t>
  </si>
  <si>
    <t>PIL-L-I26H-21664</t>
  </si>
  <si>
    <t>HPBL4-L-O26H-09594</t>
  </si>
  <si>
    <t>PIL-L-I26H-21662</t>
  </si>
  <si>
    <t>HPBL4-L-O26H-09595</t>
  </si>
  <si>
    <t>PIL-L-I26H-21593</t>
  </si>
  <si>
    <t>HPBL4-L-O26H-09623</t>
  </si>
  <si>
    <t>PIL-L-I26H-21635</t>
  </si>
  <si>
    <t>HPBL4-L-O26H-09624</t>
  </si>
  <si>
    <t>PIL-L-I26H-21595</t>
  </si>
  <si>
    <t>HPBL4-L-O26H-09625</t>
  </si>
  <si>
    <t>PIL-L-I26H-21603</t>
  </si>
  <si>
    <t>HPBL4-L-O26H-09626</t>
  </si>
  <si>
    <t>PIL-L-I26H-21614</t>
  </si>
  <si>
    <t>HPBL4-L-O26H-09627</t>
  </si>
  <si>
    <t>PIL-L-I26H-21634</t>
  </si>
  <si>
    <t>HPBL4-L-O26H-09628</t>
  </si>
  <si>
    <t>PIL-L-I26H-21606</t>
  </si>
  <si>
    <t>HPBL4-L-O26H-09629</t>
  </si>
  <si>
    <t>PIL-L-I26H-21621</t>
  </si>
  <si>
    <t>HPBL4-L-O26H-09630</t>
  </si>
  <si>
    <t>PIL-L-I26G-21511</t>
  </si>
  <si>
    <t>HPBL4-L-O26H-09631</t>
  </si>
  <si>
    <t>PIL-L-I26H-21628</t>
  </si>
  <si>
    <t>HPBL4-L-O26H-09632</t>
  </si>
  <si>
    <t>PIL-L-I26H-21633</t>
  </si>
  <si>
    <t>HPBL4-L-O26H-09633</t>
  </si>
  <si>
    <t>PIL-L-I26H-21620</t>
  </si>
  <si>
    <t>HPBL4-L-O26H-09634</t>
  </si>
  <si>
    <t>PIL-L-I26H-21643</t>
  </si>
  <si>
    <t>HPBL4-L-O26H-09635</t>
  </si>
  <si>
    <t>PIL-L-I26H-21645</t>
  </si>
  <si>
    <t>HPBL4-L-O26H-09636</t>
  </si>
  <si>
    <t>PIL-L-I26H-21652</t>
  </si>
  <si>
    <t>HPBL4-L-O26H-09637</t>
  </si>
  <si>
    <t>PIL-L-I26H-21594</t>
  </si>
  <si>
    <t>HPBL4-L-O26H-09638</t>
  </si>
  <si>
    <t>PIL-L-I26H-21609</t>
  </si>
  <si>
    <t>HPBL4-L-O26H-09639</t>
  </si>
  <si>
    <t>PIL-L-I26H-21650</t>
  </si>
  <si>
    <t>HPBL4-L-O26H-09640</t>
  </si>
  <si>
    <t>PIL-L-I26H-21651</t>
  </si>
  <si>
    <t>HPBL4-L-O26H-09641</t>
  </si>
  <si>
    <t>PIL-L-I26H-21596</t>
  </si>
  <si>
    <t>HPBL4-L-O26H-09642</t>
  </si>
  <si>
    <t>PIL-L-I26H-21597</t>
  </si>
  <si>
    <t>HPBL4-L-O26H-09643</t>
  </si>
  <si>
    <t>PIL-L-I26H-21608</t>
  </si>
  <si>
    <t>HPBL4-L-O26H-09644</t>
  </si>
  <si>
    <t>PIL-L-I26H-21631</t>
  </si>
  <si>
    <t>HPBL4-L-O26H-09645</t>
  </si>
  <si>
    <t>PIL-L-I26H-21632</t>
  </si>
  <si>
    <t>HPBL4-L-O26H-09646</t>
  </si>
  <si>
    <t>PIL-L-I26H-21616</t>
  </si>
  <si>
    <t>HPBL4-L-O26H-09647</t>
  </si>
  <si>
    <t>PIL-L-I26H-21599</t>
  </si>
  <si>
    <t>HPBL4-L-O26H-09648</t>
  </si>
  <si>
    <t>PIL-L-I26H-21642</t>
  </si>
  <si>
    <t>HPBL4-L-O26H-09649</t>
  </si>
  <si>
    <t>PIL-L-I26H-21646</t>
  </si>
  <si>
    <t>HPBL4-L-O26H-09657L</t>
  </si>
  <si>
    <t>PIL-L-I26H-21591L</t>
  </si>
  <si>
    <t>HPBL4-L-O26H-09658</t>
  </si>
  <si>
    <t>PIL-L-I26G-21375</t>
  </si>
  <si>
    <t>PIL1/D/1247</t>
  </si>
  <si>
    <t>HPBL4-L-O26H-09659</t>
  </si>
  <si>
    <t>PIL-L-I26G-21501</t>
  </si>
  <si>
    <t>HPBL4-L-O26H-09660</t>
  </si>
  <si>
    <t>PIL-L-I26G-21573</t>
  </si>
  <si>
    <t>HPBL4-L-O26H-09661</t>
  </si>
  <si>
    <t>PIL-L-I26G-21580</t>
  </si>
  <si>
    <t>HPBL4-L-O26H-09662</t>
  </si>
  <si>
    <t>PIL-L-I26H-21607</t>
  </si>
  <si>
    <t>HPBL4-L-O26H-09663</t>
  </si>
  <si>
    <t>PIL-L-I26H-21617</t>
  </si>
  <si>
    <t>HPBL4-L-O26H-09664</t>
  </si>
  <si>
    <t>PIL-L-I26H-21600</t>
  </si>
  <si>
    <t>HPBL4-L-O26H-09665</t>
  </si>
  <si>
    <t>PIL-L-I26H-21602</t>
  </si>
  <si>
    <t>HPBL4-L-O26H-09666</t>
  </si>
  <si>
    <t>PIL-L-I26H-21641</t>
  </si>
  <si>
    <t>HPBL4-L-O26H-09667</t>
  </si>
  <si>
    <t>PIL-L-I26G-21546</t>
  </si>
  <si>
    <t>HPBL4-L-O26H-09668</t>
  </si>
  <si>
    <t>PIL-L-I26H-21644</t>
  </si>
  <si>
    <t>HPBL4-L-O26H-09669</t>
  </si>
  <si>
    <t>PP 81 FLAT MW Folding</t>
  </si>
  <si>
    <t>PIL-L-I26G-21575</t>
  </si>
  <si>
    <t>HPBL4-L-O26H-09670</t>
  </si>
  <si>
    <t>PIL-L-I26H-21598</t>
  </si>
  <si>
    <t>HPBL4-L-O26H-09671</t>
  </si>
  <si>
    <t>PIL-L-I26H-21601</t>
  </si>
  <si>
    <t>HPBL4-L-O26H-09672</t>
  </si>
  <si>
    <t>PIL-L-I26H-21611</t>
  </si>
  <si>
    <t>HPBL4-L-O26H-09673</t>
  </si>
  <si>
    <t>PIL-L-I26H-21615</t>
  </si>
  <si>
    <t>HPBL4-L-O26H-09674</t>
  </si>
  <si>
    <t>PIL-L-I26H-21622</t>
  </si>
  <si>
    <t>HPBL4-L-O26H-09675</t>
  </si>
  <si>
    <t>PIL-L-I26H-21610</t>
  </si>
  <si>
    <t>HPBL4-L-O26H-09676</t>
  </si>
  <si>
    <t>PIL-L-I26H-21640</t>
  </si>
  <si>
    <t>HPBL4-L-O26H-09677</t>
  </si>
  <si>
    <t>PIL-L-I26G-21540</t>
  </si>
  <si>
    <t>HPBL4-L-O26H-09678</t>
  </si>
  <si>
    <t>PIL-L-I26H-21630</t>
  </si>
  <si>
    <t>HPBL4-L-O26H-09679</t>
  </si>
  <si>
    <t>PIL-L-I26G-21498</t>
  </si>
  <si>
    <t>HPBL4-L-O26H-09680L</t>
  </si>
  <si>
    <t>PIL-L-I26G-21474L</t>
  </si>
  <si>
    <t>HPBL4-L-O26H-09681L</t>
  </si>
  <si>
    <t>HPBL-L-I26G-11358</t>
  </si>
  <si>
    <t>PP 38 FLAT MW</t>
  </si>
  <si>
    <t>PIL-L-O26G-11496-1L</t>
  </si>
  <si>
    <t>HPBL4-L-O26H-09682L</t>
  </si>
  <si>
    <t>PP 79 FLAT MW</t>
  </si>
  <si>
    <t>PIL-L-O26G-11496L</t>
  </si>
  <si>
    <t>HPBL4-L-O26H-09683L</t>
  </si>
  <si>
    <t>PIL-L-O26G-11499-1L</t>
  </si>
  <si>
    <t>HPBL4-L-O26H-09551</t>
  </si>
  <si>
    <t>PIL-L-I26H-21709</t>
  </si>
  <si>
    <t>HPBL4-L-O26H-09552</t>
  </si>
  <si>
    <t>PIL-L-I26H-21700</t>
  </si>
  <si>
    <t>HPBL4-L-O26H-09553</t>
  </si>
  <si>
    <t>PIL-L-I26H-21728</t>
  </si>
  <si>
    <t>HPBL4-L-O26H-09554</t>
  </si>
  <si>
    <t>PIL-L-I26H-21668</t>
  </si>
  <si>
    <t>HPBL4-L-O26H-09555</t>
  </si>
  <si>
    <t>PIL-L-I26H-21676</t>
  </si>
  <si>
    <t>HPBL4-L-O26H-09556</t>
  </si>
  <si>
    <t>PIL-L-I26H-21687</t>
  </si>
  <si>
    <t>HPBL4-L-O26H-09557</t>
  </si>
  <si>
    <t>PIL-L-I26H-21725</t>
  </si>
  <si>
    <t>HPBL4-L-O26H-09558</t>
  </si>
  <si>
    <t>PIL-L-I26H-21677</t>
  </si>
  <si>
    <t>HPBL4-L-O26H-09559L</t>
  </si>
  <si>
    <t>HPBL-L-I26G-10327</t>
  </si>
  <si>
    <t>60+20</t>
  </si>
  <si>
    <t>PIL-L-O26G-10349L</t>
  </si>
  <si>
    <t>HPBL4-L-O26H-09560L</t>
  </si>
  <si>
    <t>PIL-L-I26G-21585L</t>
  </si>
  <si>
    <t>HPBL4-L-O26H-09561L</t>
  </si>
  <si>
    <t>PIL-L-I26H-21612L</t>
  </si>
  <si>
    <t>HPBL4-L-O26H-09562L</t>
  </si>
  <si>
    <t>PIL-L-I26H-21659L</t>
  </si>
  <si>
    <t>HPBL4-L-O26H-09563</t>
  </si>
  <si>
    <t>PIL-L-I26H-21703</t>
  </si>
  <si>
    <t>HPBL4-L-O26H-09564</t>
  </si>
  <si>
    <t>PIL-L-I26H-21683</t>
  </si>
  <si>
    <t>HPBL4-L-O26H-09565</t>
  </si>
  <si>
    <t>PIL-L-I26H-21711</t>
  </si>
  <si>
    <t>HPBL4-L-O26H-09566</t>
  </si>
  <si>
    <t>PIL-L-I26H-21684</t>
  </si>
  <si>
    <t>HPBL4-L-O26H-09567</t>
  </si>
  <si>
    <t>PIL-L-I26H-21708</t>
  </si>
  <si>
    <t>HPBL4-L-O26H-09568</t>
  </si>
  <si>
    <t>PIL-L-I26H-21716</t>
  </si>
  <si>
    <t>HPBL4-L-O26H-09569</t>
  </si>
  <si>
    <t>PIL-L-I26H-21718</t>
  </si>
  <si>
    <t>HPBL4-L-O26H-09570</t>
  </si>
  <si>
    <t>PIL-L-I26H-21713</t>
  </si>
  <si>
    <t>HPBL4-L-O26H-09571</t>
  </si>
  <si>
    <t>PIL-L-I26H-21714</t>
  </si>
  <si>
    <t>HPBL4-L-O26H-09572</t>
  </si>
  <si>
    <t>PIL-L-I26H-21717</t>
  </si>
  <si>
    <t>HPBL4-L-O26H-09573</t>
  </si>
  <si>
    <t>PIL-L-I26H-21719</t>
  </si>
  <si>
    <t>HPBL4-L-O26H-09574</t>
  </si>
  <si>
    <t>PIL-L-I26H-21667</t>
  </si>
  <si>
    <t>HPBL4-L-O26H-09575</t>
  </si>
  <si>
    <t>PIL-L-I26H-21678</t>
  </si>
  <si>
    <t>HPBL4-L-O26H-09576</t>
  </si>
  <si>
    <t>PIL-L-I26H-21681</t>
  </si>
  <si>
    <t>HPBL4-L-O26H-09577</t>
  </si>
  <si>
    <t>PIL-L-I26H-21712</t>
  </si>
  <si>
    <t>HPBL4-L-O26H-09578</t>
  </si>
  <si>
    <t>PIL-L-I26H-21720</t>
  </si>
  <si>
    <t>HPBL4-L-O26H-09579</t>
  </si>
  <si>
    <t>PIL-L-I26H-21721</t>
  </si>
  <si>
    <t>HPBL4-L-O26H-09580</t>
  </si>
  <si>
    <t>PIL-L-I26H-21724</t>
  </si>
  <si>
    <t>HPBL4-L-O26H-09581</t>
  </si>
  <si>
    <t>PIL-L-I26H-21727</t>
  </si>
  <si>
    <t>HPBL4-L-O26H-09582</t>
  </si>
  <si>
    <t>PIL-L-I26H-21669</t>
  </si>
  <si>
    <t>HPBL4-L-O26H-09583</t>
  </si>
  <si>
    <t>PIL-L-I26H-21702</t>
  </si>
  <si>
    <t>HPBL4-L-O26H-09584</t>
  </si>
  <si>
    <t>PIL-L-I26H-21710</t>
  </si>
  <si>
    <t>HPBL4-L-O26H-09585</t>
  </si>
  <si>
    <t>PIL-L-I26H-21722</t>
  </si>
  <si>
    <t>HPBL4-L-O26H-09586</t>
  </si>
  <si>
    <t>PIL-L-I26H-21723</t>
  </si>
  <si>
    <t>HPBL4-L-O26H-09587</t>
  </si>
  <si>
    <t>PIL-L-I26H-21695</t>
  </si>
  <si>
    <t>HPBL4-L-O26H-09588</t>
  </si>
  <si>
    <t>PIL-L-I26H-21705</t>
  </si>
  <si>
    <t>HPBL4-L-O26H-09589</t>
  </si>
  <si>
    <t>PIL-L-I26H-21715</t>
  </si>
  <si>
    <t>HPBL4-L-O26H-09590</t>
  </si>
  <si>
    <t>PIL-L-I26H-21729</t>
  </si>
  <si>
    <t>HPBL4-L-O26H-09684L</t>
  </si>
  <si>
    <t>HPBL-L-I26G-11173</t>
  </si>
  <si>
    <t>PPL-L-O26G-02349-1L</t>
  </si>
  <si>
    <t>HCP-4  04.08.26</t>
  </si>
  <si>
    <t>HPBL4-L-O26H-09685L</t>
  </si>
  <si>
    <t>HPBL-L-I26G-09909</t>
  </si>
  <si>
    <t>PPL-L-O26G-02221L</t>
  </si>
  <si>
    <t>HPBL4-L-O26H-09686</t>
  </si>
  <si>
    <t>PIL-L-I26H-21800</t>
  </si>
  <si>
    <t>HPBL4-L-O26H-09687</t>
  </si>
  <si>
    <t>PIL-L-I26H-21772</t>
  </si>
  <si>
    <t>HPBL4-L-O26H-09688</t>
  </si>
  <si>
    <t>PIL-L-I26H-21782</t>
  </si>
  <si>
    <t>HPBL4-L-O26H-09689</t>
  </si>
  <si>
    <t>PIL-L-I26H-21787</t>
  </si>
  <si>
    <t>HPBL4-L-O26H-09690</t>
  </si>
  <si>
    <t>PIL-L-I26H-21778</t>
  </si>
  <si>
    <t>HPBL4-L-O26H-09691</t>
  </si>
  <si>
    <t>PIL-L-I26H-21789</t>
  </si>
  <si>
    <t>HPBL4-L-O26H-09692</t>
  </si>
  <si>
    <t>PIL-L-I26H-21796</t>
  </si>
  <si>
    <t>HPBL4-L-O26H-09693</t>
  </si>
  <si>
    <t>PIL-L-I26H-21748</t>
  </si>
  <si>
    <t>HPBL4-L-O26H-09694</t>
  </si>
  <si>
    <t>PIL-L-I26H-21783</t>
  </si>
  <si>
    <t>HPBL4-L-O26H-09695</t>
  </si>
  <si>
    <t>PIL-L-I26H-21784</t>
  </si>
  <si>
    <t>HPBL4-L-O26H-09696</t>
  </si>
  <si>
    <t>PIL-L-I26H-21791</t>
  </si>
  <si>
    <t>HPBL4-L-O26H-09697</t>
  </si>
  <si>
    <t>PIL-L-I26H-21803</t>
  </si>
  <si>
    <t>HPBL4-L-O26H-09698</t>
  </si>
  <si>
    <t>PIL-L-I26H-21781</t>
  </si>
  <si>
    <t>HPBL4-L-O26H-09699</t>
  </si>
  <si>
    <t>PIL-L-I26H-21749</t>
  </si>
  <si>
    <t>HPBL4-L-O26H-09700</t>
  </si>
  <si>
    <t>PIL-L-I26H-21747</t>
  </si>
  <si>
    <t>HPBL4-L-O26H-09701</t>
  </si>
  <si>
    <t>PIL-L-I26H-21751</t>
  </si>
  <si>
    <t>HPBL4-L-O26H-09702</t>
  </si>
  <si>
    <t>PIL-L-I26H-21761</t>
  </si>
  <si>
    <t>HPBL4-L-O26H-09703</t>
  </si>
  <si>
    <t>PIL-L-I26H-21775</t>
  </si>
  <si>
    <t>HPBL4-L-O26H-09704</t>
  </si>
  <si>
    <t>PIL-L-I26H-21790</t>
  </si>
  <si>
    <t>HPBL4-L-O26H-09705</t>
  </si>
  <si>
    <t>PIL-L-I26H-21752</t>
  </si>
  <si>
    <t>HPBL4-L-O26H-09706</t>
  </si>
  <si>
    <t>PIL-L-I26H-21786</t>
  </si>
  <si>
    <t>HPBL4-L-O26H-09707</t>
  </si>
  <si>
    <t>PIL-L-I26H-21779</t>
  </si>
  <si>
    <t>HPBL4-L-O26H-09708</t>
  </si>
  <si>
    <t>PIL-L-I26H-21785</t>
  </si>
  <si>
    <t>HPBL4-L-O26H-09709</t>
  </si>
  <si>
    <t>PIL-L-I26H-21788</t>
  </si>
  <si>
    <t>HPBL4-L-O26H-09710</t>
  </si>
  <si>
    <t>PIL-L-I26H-21753</t>
  </si>
  <si>
    <t>HPBL4-L-O26H-09711</t>
  </si>
  <si>
    <t>PIL-L-I26H-21806</t>
  </si>
  <si>
    <t>HPBL4-L-O26H-09712</t>
  </si>
  <si>
    <t>PIL-L-I26H-21797</t>
  </si>
  <si>
    <t>HPBL4-L-O26H-09713</t>
  </si>
  <si>
    <t>PP 134 GZT MW 30% RP</t>
  </si>
  <si>
    <t>PIL-L-I26H-21799</t>
  </si>
  <si>
    <t>HPBL4-L-O26H-09714</t>
  </si>
  <si>
    <t>PIL-L-I26H-21793</t>
  </si>
  <si>
    <t>HPBL4-L-O26H-09715</t>
  </si>
  <si>
    <t>PIL-L-I26H-21613</t>
  </si>
  <si>
    <t>HPBL4-L-O26H-09716</t>
  </si>
  <si>
    <t>PIL-L-I26H-21750</t>
  </si>
  <si>
    <t>HPBL4-L-O26H-09717</t>
  </si>
  <si>
    <t>PIL-L-I26H-21807</t>
  </si>
  <si>
    <t>HPBL4-L-O26H-09718</t>
  </si>
  <si>
    <t>PIL-L-I26H-21688</t>
  </si>
  <si>
    <t>HPBL4-L-O26H-09719</t>
  </si>
  <si>
    <t>PIL-L-I26H-21726</t>
  </si>
  <si>
    <t>HPBL4-L-O26H-09720</t>
  </si>
  <si>
    <t>PIL-L-I26H-21766</t>
  </si>
  <si>
    <t>HPBL4-L-O26H-09721</t>
  </si>
  <si>
    <t>PIL-L-I26H-21801</t>
  </si>
  <si>
    <t>HPBL4-L-O26H-09722</t>
  </si>
  <si>
    <t>PP 107 FLAT MW 30% RP Folding</t>
  </si>
  <si>
    <t>PIL-L-I26H-21696</t>
  </si>
  <si>
    <t>HPBL4-L-O26H-09723</t>
  </si>
  <si>
    <t>PIL-L-I26H-21805</t>
  </si>
  <si>
    <t>HPBL4-L-O26H-09724</t>
  </si>
  <si>
    <t>PIL-L-I26H-21592</t>
  </si>
  <si>
    <t>HPBL4-L-O26H-09725</t>
  </si>
  <si>
    <t>PIL-L-I26H-21765</t>
  </si>
  <si>
    <t>HPBL4-L-O26H-09726</t>
  </si>
  <si>
    <t>PIL-L-I26H-21768</t>
  </si>
  <si>
    <t>HPBL4-L-O26H-09727</t>
  </si>
  <si>
    <t>PIL-L-I26H-21804</t>
  </si>
  <si>
    <t>HPBL4-L-O26H-09728</t>
  </si>
  <si>
    <t>PIL-L-I26H-21763</t>
  </si>
  <si>
    <t>HPBL4-L-O26H-09729</t>
  </si>
  <si>
    <t>PIL-L-I26H-21792</t>
  </si>
  <si>
    <t>HPBL4-L-O26H-09730L</t>
  </si>
  <si>
    <t>HPBL-L-I26H-11502</t>
  </si>
  <si>
    <t>PIL-L-O26H-11611-1L</t>
  </si>
  <si>
    <t>HPBL4-L-O26H-09731L</t>
  </si>
  <si>
    <t>PIL-L-O26H-11611L</t>
  </si>
  <si>
    <t>HPBL4-L-O26H-09732L</t>
  </si>
  <si>
    <t>PIL-L-I26H-21675L</t>
  </si>
  <si>
    <t>HPBL4-L-O26H-09733L</t>
  </si>
  <si>
    <t>PIL-L-I26G-21525L</t>
  </si>
  <si>
    <t>HPBL4-L-O26H-09734</t>
  </si>
  <si>
    <t>PIL-L-I26H-21849</t>
  </si>
  <si>
    <t>HPBL4-L-O26H-09735</t>
  </si>
  <si>
    <t>PIL-L-I26H-21863</t>
  </si>
  <si>
    <t>HPBL4-L-O26H-09736</t>
  </si>
  <si>
    <t>PIL-L-I26H-21864</t>
  </si>
  <si>
    <t>HPBL4-L-O26H-09737</t>
  </si>
  <si>
    <t>PIL-L-I26H-21869</t>
  </si>
  <si>
    <t>HPBL4-L-O26H-09738</t>
  </si>
  <si>
    <t>PIL-L-I26H-21874</t>
  </si>
  <si>
    <t>HPBL4-L-O26H-09739</t>
  </si>
  <si>
    <t>PIL-L-I26H-21847</t>
  </si>
  <si>
    <t>HPBL4-L-O26H-09740</t>
  </si>
  <si>
    <t>PIL-L-I26H-21878</t>
  </si>
  <si>
    <t>HPBL4-L-O26H-09741</t>
  </si>
  <si>
    <t>PIL-L-I26H-21877</t>
  </si>
  <si>
    <t>HPBL4-L-O26H-09742</t>
  </si>
  <si>
    <t>PIL-L-I26H-21818</t>
  </si>
  <si>
    <t>HPBL4-L-O26H-09743</t>
  </si>
  <si>
    <t>PIL-L-I26H-21819</t>
  </si>
  <si>
    <t>HPBL4-L-O26H-09744</t>
  </si>
  <si>
    <t>PIL-L-I26H-21858</t>
  </si>
  <si>
    <t>HPBL4-L-O26H-09745</t>
  </si>
  <si>
    <t>PIL-L-I26H-21867</t>
  </si>
  <si>
    <t>HPBL4-L-O26H-09746</t>
  </si>
  <si>
    <t>PIL-L-I26H-21868</t>
  </si>
  <si>
    <t>HPBL4-L-O26H-09747</t>
  </si>
  <si>
    <t>PIL-L-I26H-21850</t>
  </si>
  <si>
    <t>HPBL4-L-O26H-09748</t>
  </si>
  <si>
    <t>PIL-L-I26H-21861</t>
  </si>
  <si>
    <t>HPBL4-L-O26H-09749</t>
  </si>
  <si>
    <t>PIL-L-I26H-21870</t>
  </si>
  <si>
    <t>HPBL4-L-O26H-09750</t>
  </si>
  <si>
    <t>PIL-L-I26H-21812</t>
  </si>
  <si>
    <t>HPBL4-L-O26H-09751</t>
  </si>
  <si>
    <t>PIL-L-I26H-21825</t>
  </si>
  <si>
    <t>HPBL4-L-O26H-09752</t>
  </si>
  <si>
    <t>PIL-L-I26H-21876</t>
  </si>
  <si>
    <t>HPBL4-L-O26H-09753</t>
  </si>
  <si>
    <t>PIL-L-I26H-21829</t>
  </si>
  <si>
    <t>HPBL4-L-O26H-09754</t>
  </si>
  <si>
    <t>PIL-L-I26H-21834</t>
  </si>
  <si>
    <t>HPBL4-L-O26H-09755</t>
  </si>
  <si>
    <t>PIL-L-I26H-21848</t>
  </si>
  <si>
    <t>HPBL4-L-O26H-09756</t>
  </si>
  <si>
    <t>PIL-L-I26H-21862</t>
  </si>
  <si>
    <t>HPBL4-L-O26H-09757</t>
  </si>
  <si>
    <t>PIL-L-I26H-21826</t>
  </si>
  <si>
    <t>HPBL4-L-O26H-09758</t>
  </si>
  <si>
    <t>PIL-L-I26H-21865</t>
  </si>
  <si>
    <t>HPBL4-L-O26H-09759</t>
  </si>
  <si>
    <t>PIL-L-I26H-21871</t>
  </si>
  <si>
    <t>HPBL4-L-O26H-09760</t>
  </si>
  <si>
    <t>PIL-L-I26H-21872</t>
  </si>
  <si>
    <t>HPBL4-L-O26H-09761</t>
  </si>
  <si>
    <t>PIL-L-I26H-21875</t>
  </si>
  <si>
    <t>HPBL4-L-O26H-09762L</t>
  </si>
  <si>
    <t>PIL-L-I26H-21808L</t>
  </si>
  <si>
    <t>HPBL4-L-O26H-09763</t>
  </si>
  <si>
    <t>PIL-L-I26H-21813</t>
  </si>
  <si>
    <t>HPBL4-L-O26H-09764</t>
  </si>
  <si>
    <t>PIL-L-I26H-21814</t>
  </si>
  <si>
    <t>HPBL4-L-O26H-09765</t>
  </si>
  <si>
    <t>PIL-L-I26H-21822</t>
  </si>
  <si>
    <t>HPBL4-L-O26H-09766</t>
  </si>
  <si>
    <t>PIL-L-I26H-21821</t>
  </si>
  <si>
    <t>HPBL4-L-O26H-09767</t>
  </si>
  <si>
    <t>PIL-L-I26H-21837</t>
  </si>
  <si>
    <t>HPBL4-L-O26H-09768</t>
  </si>
  <si>
    <t>PIL-L-I26H-21840</t>
  </si>
  <si>
    <t>HPBL4-L-O26H-09769</t>
  </si>
  <si>
    <t>PIL-L-I26H-21853</t>
  </si>
  <si>
    <t>HPBL4-L-O26H-09770</t>
  </si>
  <si>
    <t>PIL-L-I26H-21815</t>
  </si>
  <si>
    <t>HPBL4-L-O26H-09771</t>
  </si>
  <si>
    <t>PIL-L-I26H-21838</t>
  </si>
  <si>
    <t>HPBL4-L-O26H-09772</t>
  </si>
  <si>
    <t>PIL-L-I26H-21841</t>
  </si>
  <si>
    <t>HPBL4-L-O26H-09773</t>
  </si>
  <si>
    <t>PP 130 GZT M/W 4% UV</t>
  </si>
  <si>
    <t>PIL-L-I26H-21820</t>
  </si>
  <si>
    <t>HPBL4-L-O26H-09774</t>
  </si>
  <si>
    <t>PIL-L-I26H-21836</t>
  </si>
  <si>
    <t>HPBL4-L-O26H-09775L</t>
  </si>
  <si>
    <t>PIL-L-I26H-21706L</t>
  </si>
  <si>
    <t>HPBL4-L-O26H-09776</t>
  </si>
  <si>
    <t>PIL-L-I26H-21890</t>
  </si>
  <si>
    <t>HPBL4-L-O26H-09777</t>
  </si>
  <si>
    <t>PIL-L-I26H-21907</t>
  </si>
  <si>
    <t>HPBL4-L-O26H-09778</t>
  </si>
  <si>
    <t>PIL-L-I26H-21879</t>
  </si>
  <si>
    <t>HPBL4-L-O26H-09779</t>
  </si>
  <si>
    <t>PIL-L-I26H-21899</t>
  </si>
  <si>
    <t>HPBL4-L-O26H-09780</t>
  </si>
  <si>
    <t>PIL-L-I26H-21924</t>
  </si>
  <si>
    <t>HPBL4-L-O26H-09781</t>
  </si>
  <si>
    <t>PIL-L-I26H-21932</t>
  </si>
  <si>
    <t>HPBL4-L-O26H-09782</t>
  </si>
  <si>
    <t>PIL-L-I26H-21935</t>
  </si>
  <si>
    <t>HPBL4-L-O26H-09783</t>
  </si>
  <si>
    <t>PIL-L-I26H-21948</t>
  </si>
  <si>
    <t>HPBL4-L-O26H-09784</t>
  </si>
  <si>
    <t>PIL-L-I26H-21892</t>
  </si>
  <si>
    <t>HPBL4-L-O26H-09785</t>
  </si>
  <si>
    <t>PIL-L-I26H-21956</t>
  </si>
  <si>
    <t>HPBL4-L-O26H-09786</t>
  </si>
  <si>
    <t>PIL-L-I26H-21888</t>
  </si>
  <si>
    <t>HPBL4-L-O26H-09787</t>
  </si>
  <si>
    <t>PIL-L-I26H-21918</t>
  </si>
  <si>
    <t>HPBL4-L-O26H-09788</t>
  </si>
  <si>
    <t>PIL-L-I26H-21922</t>
  </si>
  <si>
    <t>HPBL4-L-O26H-09789</t>
  </si>
  <si>
    <t>PIL-L-I26H-21939</t>
  </si>
  <si>
    <t>HPBL4-L-O26H-09790</t>
  </si>
  <si>
    <t>PIL-L-I26H-21946</t>
  </si>
  <si>
    <t>HPBL4-L-O26H-09791</t>
  </si>
  <si>
    <t>PIL-L-I26H-21950</t>
  </si>
  <si>
    <t>HPBL4-L-O26H-09792</t>
  </si>
  <si>
    <t>PIL-L-I26H-21955</t>
  </si>
  <si>
    <t>HPBL4-L-O26H-09793</t>
  </si>
  <si>
    <t>PIL-L-I26H-21914</t>
  </si>
  <si>
    <t>HPBL4-L-O26H-09794</t>
  </si>
  <si>
    <t>PIL-L-I26H-21926</t>
  </si>
  <si>
    <t>HPBL4-L-O26H-09795</t>
  </si>
  <si>
    <t>PIL-L-I26H-21927</t>
  </si>
  <si>
    <t>HPBL4-L-O26H-09796</t>
  </si>
  <si>
    <t>PIL-L-I26H-21933</t>
  </si>
  <si>
    <t>HPBL4-L-O26H-09797</t>
  </si>
  <si>
    <t>PIL-L-I26H-21944</t>
  </si>
  <si>
    <t>HPBL4-L-O26H-09798</t>
  </si>
  <si>
    <t>PIL-L-I26H-21952</t>
  </si>
  <si>
    <t>HPBL4-L-O26H-09799</t>
  </si>
  <si>
    <t>PIL-L-I26H-21891</t>
  </si>
  <si>
    <t>HPBL4-L-O26H-09800</t>
  </si>
  <si>
    <t>PIL-L-I26H-21919</t>
  </si>
  <si>
    <t>HPBL4-L-O26H-09801</t>
  </si>
  <si>
    <t>PIL-L-I26H-21920</t>
  </si>
  <si>
    <t>HPBL4-L-O26H-09802</t>
  </si>
  <si>
    <t>PIL-L-I26H-21887</t>
  </si>
  <si>
    <t>HPBL4-L-O26H-09803</t>
  </si>
  <si>
    <t>PIL-L-I26H-21900</t>
  </si>
  <si>
    <t>HPBL4-L-O26H-09804</t>
  </si>
  <si>
    <t>PIL-L-I26H-21921</t>
  </si>
  <si>
    <t>HPBL4-L-O26H-09805</t>
  </si>
  <si>
    <t>PIL-L-I26H-21938</t>
  </si>
  <si>
    <t>HPBL4-L-O26H-09806</t>
  </si>
  <si>
    <t>PIL-L-I26H-21943</t>
  </si>
  <si>
    <t>HPBL4-L-O26H-09807</t>
  </si>
  <si>
    <t>PIL-L-I26H-21923</t>
  </si>
  <si>
    <t>HPBL4-L-O26H-09808</t>
  </si>
  <si>
    <t>PIL-L-I26H-21925</t>
  </si>
  <si>
    <t>HPBL4-L-O26H-09809</t>
  </si>
  <si>
    <t>PIL-L-I26H-21897</t>
  </si>
  <si>
    <t>HPBL4-L-O26H-09810</t>
  </si>
  <si>
    <t>PIL-L-I26H-21898</t>
  </si>
  <si>
    <t>HPBL4-L-O26H-09811</t>
  </si>
  <si>
    <t>PIL-L-I26H-21928</t>
  </si>
  <si>
    <t>HPBL4-L-O26H-09812</t>
  </si>
  <si>
    <t>PIL-L-I26H-21896</t>
  </si>
  <si>
    <t>HPBL4-L-O26H-09813</t>
  </si>
  <si>
    <t>PIL-L-I26H-21901</t>
  </si>
  <si>
    <t>HPBL4-L-O26H-09814</t>
  </si>
  <si>
    <t>PIL-L-I26H-21902</t>
  </si>
  <si>
    <t>HPBL4-L-O26H-09815</t>
  </si>
  <si>
    <t>PIL-L-I26H-21889</t>
  </si>
  <si>
    <t>HPBL4-L-O26H-09816</t>
  </si>
  <si>
    <t>PIL-L-I26H-21903</t>
  </si>
  <si>
    <t>HPBL4-L-O26H-09817L</t>
  </si>
  <si>
    <t>PIL-L-I26H-21767L</t>
  </si>
  <si>
    <t>HPBL4-L-O26H-09818L</t>
  </si>
  <si>
    <t>PIL-L-I26H-21780L</t>
  </si>
  <si>
    <t>HPBL4-L-O26H-09819</t>
  </si>
  <si>
    <t>PIL-L-I26H-21971</t>
  </si>
  <si>
    <t>HPBL4-L-O26H-09820</t>
  </si>
  <si>
    <t>PIL-L-I26H-21976</t>
  </si>
  <si>
    <t>HPBL4-L-O26H-09821</t>
  </si>
  <si>
    <t>PIL-L-I26H-21979</t>
  </si>
  <si>
    <t>HPBL4-L-O26H-09822</t>
  </si>
  <si>
    <t>PIL-L-I26H-21984</t>
  </si>
  <si>
    <t>HPBL4-L-O26H-09823</t>
  </si>
  <si>
    <t>PIL-L-I26H-21988</t>
  </si>
  <si>
    <t>HPBL4-L-O26H-09824</t>
  </si>
  <si>
    <t>PIL-L-I26H-22011</t>
  </si>
  <si>
    <t>HPBL4-L-O26H-09825</t>
  </si>
  <si>
    <t>PIL-L-I26H-22012</t>
  </si>
  <si>
    <t>HPBL4-L-O26H-09826</t>
  </si>
  <si>
    <t>PIL-L-I26H-22020</t>
  </si>
  <si>
    <t>HPBL4-L-O26H-09827</t>
  </si>
  <si>
    <t>PIL-L-I26H-22021</t>
  </si>
  <si>
    <t>HPBL4-L-O26H-09828</t>
  </si>
  <si>
    <t>PIL-L-I26H-21982</t>
  </si>
  <si>
    <t>HPBL4-L-O26H-09829</t>
  </si>
  <si>
    <t>PIL-L-I26H-21995</t>
  </si>
  <si>
    <t>HPBL4-L-O26H-09830</t>
  </si>
  <si>
    <t>PP 82 FLAT MW 30% RP Folding</t>
  </si>
  <si>
    <t>PIL-L-I26H-22005</t>
  </si>
  <si>
    <t>HPBL4-L-O26H-09831</t>
  </si>
  <si>
    <t>PIL-L-I26H-22015</t>
  </si>
  <si>
    <t>HPBL4-L-O26H-09832</t>
  </si>
  <si>
    <t>PIL-L-I26H-21969</t>
  </si>
  <si>
    <t>HPBL4-L-O26H-09833</t>
  </si>
  <si>
    <t>PIL-L-I26H-21970</t>
  </si>
  <si>
    <t>HPBL4-L-O26H-09834</t>
  </si>
  <si>
    <t>PIL-L-I26H-21983</t>
  </si>
  <si>
    <t>HPBL4-L-O26H-09835</t>
  </si>
  <si>
    <t>PIL-L-I26H-21989</t>
  </si>
  <si>
    <t>HPBL4-L-O26H-09836</t>
  </si>
  <si>
    <t>PIL-L-I26H-21992</t>
  </si>
  <si>
    <t>HPBL4-L-O26H-09837</t>
  </si>
  <si>
    <t>PIL-L-I26H-22017</t>
  </si>
  <si>
    <t>HPBL4-L-O26H-09838</t>
  </si>
  <si>
    <t>PIL-L-I26H-21977</t>
  </si>
  <si>
    <t>HPBL4-L-O26H-09839</t>
  </si>
  <si>
    <t>PIL-L-I26H-22004</t>
  </si>
  <si>
    <t>HPBL4-L-O26H-09840</t>
  </si>
  <si>
    <t>PIL-L-I26H-22006</t>
  </si>
  <si>
    <t>HPBL4-L-O26H-09841</t>
  </si>
  <si>
    <t>PIL-L-I26H-21990</t>
  </si>
  <si>
    <t>HPBL4-L-O26H-09842</t>
  </si>
  <si>
    <t>PIL-L-I26H-22000</t>
  </si>
  <si>
    <t>HPBL4-L-O26H-09843</t>
  </si>
  <si>
    <t>PIL-L-I26H-22026</t>
  </si>
  <si>
    <t>HPBL4-L-O26H-09844</t>
  </si>
  <si>
    <t>PIL-L-I26H-22027</t>
  </si>
  <si>
    <t>HPBL4-L-O26H-09845</t>
  </si>
  <si>
    <t>PIL-L-I26H-21974</t>
  </si>
  <si>
    <t>HPBL4-L-O26H-09846</t>
  </si>
  <si>
    <t>PIL-L-I26H-21981</t>
  </si>
  <si>
    <t>HPBL4-L-O26H-09847</t>
  </si>
  <si>
    <t>PIL-L-I26H-21987</t>
  </si>
  <si>
    <t>HPBL4-L-O26H-09848</t>
  </si>
  <si>
    <t>PIL-L-I26H-21904</t>
  </si>
  <si>
    <t>HPBL4-L-O26H-09849</t>
  </si>
  <si>
    <t>PIL-L-I26H-21980</t>
  </si>
  <si>
    <t>HPBL4-L-O26H-09850</t>
  </si>
  <si>
    <t>PIL-L-I26H-22018</t>
  </si>
  <si>
    <t>HPBL4-L-O26H-09851</t>
  </si>
  <si>
    <t>PIL-L-I26H-22022</t>
  </si>
  <si>
    <t>HPBL4-L-O26H-09852</t>
  </si>
  <si>
    <t>PIL-L-I26H-21975</t>
  </si>
  <si>
    <t>HPBL4-L-O26H-09853</t>
  </si>
  <si>
    <t>PIL-L-I26H-21852</t>
  </si>
  <si>
    <t>HPBL4-L-O26H-09854</t>
  </si>
  <si>
    <t>PIL-L-I26H-22016</t>
  </si>
  <si>
    <t>HPBL4-L-O26H-09855</t>
  </si>
  <si>
    <t>PP 95 FLAT MW 30% RP</t>
  </si>
  <si>
    <t>PIL-L-I26H-21997</t>
  </si>
  <si>
    <t>HPBL4-L-O26H-09856</t>
  </si>
  <si>
    <t>PIL-L-I26H-21764</t>
  </si>
  <si>
    <t>HPBL4-L-O26H-09857</t>
  </si>
  <si>
    <t>PIL-L-I26H-22019</t>
  </si>
  <si>
    <t>HPBL4-L-O26H-09858L</t>
  </si>
  <si>
    <t>HPBL-L-I26H-11611</t>
  </si>
  <si>
    <t>PP 70 FLAT MW</t>
  </si>
  <si>
    <t>PIL-L-O26H-11726L</t>
  </si>
  <si>
    <t>HPBL4-L-O26H-09859L</t>
  </si>
  <si>
    <t>HPBL-L-I26H-11610</t>
  </si>
  <si>
    <t>PP 35 FLAT MW</t>
  </si>
  <si>
    <t>PIL-L-O26H-11734-1L</t>
  </si>
  <si>
    <t>HPBL4-L-O26H-09860L</t>
  </si>
  <si>
    <t>PIL-L-O26H-11734-2L</t>
  </si>
  <si>
    <t>HPBL4-L-O26H-09861L</t>
  </si>
  <si>
    <t>PIL-L-O26H-11734-3L</t>
  </si>
  <si>
    <t>HPBL4-L-O26H-09862L</t>
  </si>
  <si>
    <t>PIL-L-O26H-11734L</t>
  </si>
  <si>
    <t>HPBL4-L-O26H-09863L</t>
  </si>
  <si>
    <t>PIL-L-I26H-21798L</t>
  </si>
  <si>
    <t>HPBL4-L-O26H-09864L</t>
  </si>
  <si>
    <t>PIL-L-I26H-21833L</t>
  </si>
  <si>
    <t>HPBL4-L-O26H-09865L</t>
  </si>
  <si>
    <t>PIL-L-I26H-21961L</t>
  </si>
  <si>
    <t>HPBL4-L-O26H-09866</t>
  </si>
  <si>
    <t>PIL-L-I26H-22040</t>
  </si>
  <si>
    <t>HPBL4-L-O26H-09867</t>
  </si>
  <si>
    <t>PIL-L-I26H-22044</t>
  </si>
  <si>
    <t>HPBL4-L-O26H-09868</t>
  </si>
  <si>
    <t>PP 92 FLAT MW 30%RP Folding</t>
  </si>
  <si>
    <t>PIL-L-I26H-22049</t>
  </si>
  <si>
    <t>HPBL4-L-O26H-09869</t>
  </si>
  <si>
    <t>PIL-L-I26H-22036</t>
  </si>
  <si>
    <t>HPBL4-L-O26H-09870</t>
  </si>
  <si>
    <t>PIL-L-I26H-22055</t>
  </si>
  <si>
    <t>HPBL4-L-O26H-09871</t>
  </si>
  <si>
    <t>PIL-L-I26H-22095</t>
  </si>
  <si>
    <t>HPBL4-L-O26H-09872</t>
  </si>
  <si>
    <t>PIL-L-I26H-22083</t>
  </si>
  <si>
    <t>HPBL4-L-O26H-09873</t>
  </si>
  <si>
    <t>PIL-L-I26H-22094</t>
  </si>
  <si>
    <t>HPBL4-L-O26H-09874</t>
  </si>
  <si>
    <t>PIL-L-I26H-22090</t>
  </si>
  <si>
    <t>HPBL4-L-O26H-09875</t>
  </si>
  <si>
    <t>PIL-L-I26H-22043</t>
  </si>
  <si>
    <t>HPBL4-L-O26H-09876</t>
  </si>
  <si>
    <t>PIL-L-I26H-22085</t>
  </si>
  <si>
    <t>HPBL4-L-O26H-09877</t>
  </si>
  <si>
    <t>PIL-L-I26H-22041</t>
  </si>
  <si>
    <t>HPBL4-L-O26H-09878</t>
  </si>
  <si>
    <t>PIL-L-I26H-22046</t>
  </si>
  <si>
    <t>HPBL4-L-O26H-09879</t>
  </si>
  <si>
    <t>PIL-L-I26H-22058</t>
  </si>
  <si>
    <t>HPBL4-L-O26H-09880</t>
  </si>
  <si>
    <t>PIL-L-I26H-22038</t>
  </si>
  <si>
    <t>HPBL4-L-O26H-09881</t>
  </si>
  <si>
    <t>PIL-L-I26H-22042</t>
  </si>
  <si>
    <t>HPBL4-L-O26H-09882</t>
  </si>
  <si>
    <t>PIL-L-I26H-22045</t>
  </si>
  <si>
    <t>HPBL4-L-O26H-09883</t>
  </si>
  <si>
    <t>PIL-L-I26H-22050</t>
  </si>
  <si>
    <t>HPBL4-L-O26H-09884</t>
  </si>
  <si>
    <t>PIL-L-I26H-22065</t>
  </si>
  <si>
    <t>HPBL4-L-O26H-09885</t>
  </si>
  <si>
    <t>PIL-L-I26H-22091</t>
  </si>
  <si>
    <t>HPBL4-L-O26H-09886</t>
  </si>
  <si>
    <t>PIL-L-I26H-22056</t>
  </si>
  <si>
    <t>HPBL4-L-O26H-09887</t>
  </si>
  <si>
    <t>PIL-L-I26H-22087</t>
  </si>
  <si>
    <t>HPBL4-L-O26H-09888</t>
  </si>
  <si>
    <t>PIL-L-I26H-22092</t>
  </si>
  <si>
    <t>HPBL4-L-O26H-09889</t>
  </si>
  <si>
    <t>PIL-L-I26H-22059</t>
  </si>
  <si>
    <t>HPBL4-L-O26H-09890</t>
  </si>
  <si>
    <t>PIL-L-I26H-22084</t>
  </si>
  <si>
    <t>HPBL4-L-O26H-09891</t>
  </si>
  <si>
    <t>PIL-L-I26H-22088</t>
  </si>
  <si>
    <t>HPBL4-L-O26H-09892</t>
  </si>
  <si>
    <t>PIL-L-I26H-22089</t>
  </si>
  <si>
    <t>HPBL4-L-O26H-09893</t>
  </si>
  <si>
    <t>PIL-L-I26H-22093</t>
  </si>
  <si>
    <t>HPBL4-L-O26H-09894</t>
  </si>
  <si>
    <t>PIL-L-I26H-22037</t>
  </si>
  <si>
    <t>HPBL4-L-O26H-09895</t>
  </si>
  <si>
    <t>PIL-L-I26H-22035</t>
  </si>
  <si>
    <t>HPBL4-L-O26H-09896</t>
  </si>
  <si>
    <t>PIL-L-I26H-22053</t>
  </si>
  <si>
    <t>HPBL4-L-O26H-09897</t>
  </si>
  <si>
    <t>PIL-L-I26H-22068</t>
  </si>
  <si>
    <t>HPBL4-L-O26H-09898</t>
  </si>
  <si>
    <t>PP 83 FLAT MW 30% RP Folding</t>
  </si>
  <si>
    <t>PIL-L-I26H-22082</t>
  </si>
  <si>
    <t>HPBL4-L-O26H-09899</t>
  </si>
  <si>
    <t>PIL-L-I26H-22099</t>
  </si>
  <si>
    <t>HPBL4-L-O26H-09900</t>
  </si>
  <si>
    <t>PIL-L-I26H-22039</t>
  </si>
  <si>
    <t>HPBL4-L-O26H-09901</t>
  </si>
  <si>
    <t>PIL-L-I26H-22098</t>
  </si>
  <si>
    <t>HPBL4-L-O26H-09902</t>
  </si>
  <si>
    <t>PIL-L-I26H-22101</t>
  </si>
  <si>
    <t>HPBL4-L-O26H-09903</t>
  </si>
  <si>
    <t>PIL-L-I26H-22102</t>
  </si>
  <si>
    <t>HPBL4-L-O26H-09904L</t>
  </si>
  <si>
    <t>PIL-L-I26G-20419L</t>
  </si>
  <si>
    <t>HPBL4-L-O26H-09905L</t>
  </si>
  <si>
    <t>PIL-L-I26H-22001L</t>
  </si>
  <si>
    <t>HPBL4-L-O26H-09906L</t>
  </si>
  <si>
    <t>PIL-L-I26H-21908L</t>
  </si>
  <si>
    <t>HPBL4-L-O26H-09907L</t>
  </si>
  <si>
    <t>PIL-L-I26H-22002L</t>
  </si>
  <si>
    <t>HPBL4-L-O26H-09908L</t>
  </si>
  <si>
    <t>PIL-L-I26H-21906L</t>
  </si>
  <si>
    <t>HPBL4-L-O26H-09909L</t>
  </si>
  <si>
    <t>HPBL-L-I26G-10786</t>
  </si>
  <si>
    <t>PP 101 FLAT MW</t>
  </si>
  <si>
    <t>53+20</t>
  </si>
  <si>
    <t>PPL-L-O26G-02226L</t>
  </si>
  <si>
    <t>LAMINATED HCP-4 07.08.26</t>
  </si>
  <si>
    <t>HPBL4-L-O26H-09971L</t>
  </si>
  <si>
    <t>PH-41</t>
  </si>
  <si>
    <t>PP 82 SPOUT BLACK</t>
  </si>
  <si>
    <t>PPL-L-O26H-02644L</t>
  </si>
  <si>
    <t>LAMINATED HCP-4 08.08.26</t>
  </si>
  <si>
    <t>HPBL4-L-O26H-09972L</t>
  </si>
  <si>
    <t>PD-259</t>
  </si>
  <si>
    <t>PP 52 SPOUT MW</t>
  </si>
  <si>
    <t>PPL-L-O26H-02645L</t>
  </si>
  <si>
    <t>HPBL4-L-O26H-09973L</t>
  </si>
  <si>
    <t>PG-491</t>
  </si>
  <si>
    <t>PP 55 SPOUT MW</t>
  </si>
  <si>
    <t>PPL-L-O26H-02646L</t>
  </si>
  <si>
    <t>HPBL4-L-O26H-09974L</t>
  </si>
  <si>
    <t>HPBL-L-I26H-11732</t>
  </si>
  <si>
    <t>53+15</t>
  </si>
  <si>
    <t>PPL-L-O26H-02443L</t>
  </si>
  <si>
    <t>HPBL4-L-O26H-09975L</t>
  </si>
  <si>
    <t>HPBL-L-I26F-08184</t>
  </si>
  <si>
    <t>PP 51 FLAT BLACK</t>
  </si>
  <si>
    <t>PPL-L-O26G-02194L</t>
  </si>
  <si>
    <t>HPBL4-L-O26H-09976L</t>
  </si>
  <si>
    <t>HPBL-L-I26C-04410</t>
  </si>
  <si>
    <t>PPL-L-O26E-01498L</t>
  </si>
  <si>
    <t>HPBL4-L-O26H-09910</t>
  </si>
  <si>
    <t>PIL-L-I26H-22156</t>
  </si>
  <si>
    <t>HPBL4-L-O26H-09911</t>
  </si>
  <si>
    <t>PIL-L-I26H-22157</t>
  </si>
  <si>
    <t>HPBL4-L-O26H-09912</t>
  </si>
  <si>
    <t>PIL-L-I26H-22159</t>
  </si>
  <si>
    <t>HPBL4-L-O26H-09913</t>
  </si>
  <si>
    <t>PIL-L-I26H-22172</t>
  </si>
  <si>
    <t>HPBL4-L-O26H-09914</t>
  </si>
  <si>
    <t>PIL-L-I26H-22160</t>
  </si>
  <si>
    <t>HPBL4-L-O26H-09915</t>
  </si>
  <si>
    <t>PIL-L-I26H-22183</t>
  </si>
  <si>
    <t>HPBL4-L-O26H-09916</t>
  </si>
  <si>
    <t>PIL-L-I26H-22139</t>
  </si>
  <si>
    <t>HPBL4-L-O26H-09917</t>
  </si>
  <si>
    <t>PIL-L-I26H-22127</t>
  </si>
  <si>
    <t>HPBL4-L-O26H-09918</t>
  </si>
  <si>
    <t>PIL-L-I26H-22129</t>
  </si>
  <si>
    <t>HPBL4-L-O26H-09919</t>
  </si>
  <si>
    <t>PIL-L-I26H-22164</t>
  </si>
  <si>
    <t>HPBL4-L-O26H-09920</t>
  </si>
  <si>
    <t>PIL-L-I26H-22174</t>
  </si>
  <si>
    <t>HPBL4-L-O26H-09921</t>
  </si>
  <si>
    <t>PIL-L-I26H-22175</t>
  </si>
  <si>
    <t>HPBL4-L-O26H-09922</t>
  </si>
  <si>
    <t>PIL-L-I26H-22153</t>
  </si>
  <si>
    <t>HPBL4-L-O26H-09923</t>
  </si>
  <si>
    <t>PIL-L-I26H-22154</t>
  </si>
  <si>
    <t>HPBL4-L-O26H-09924</t>
  </si>
  <si>
    <t>PIL-L-I26H-22155</t>
  </si>
  <si>
    <t>HPBL4-L-O26H-09925</t>
  </si>
  <si>
    <t>PIL-L-I26H-22173</t>
  </si>
  <si>
    <t>HPBL4-L-O26H-09926</t>
  </si>
  <si>
    <t>PIL-L-I26H-22178</t>
  </si>
  <si>
    <t>HPBL4-L-O26H-09927</t>
  </si>
  <si>
    <t>PIL-L-I26H-22161</t>
  </si>
  <si>
    <t>HPBL4-L-O26H-09928</t>
  </si>
  <si>
    <t>PIL-L-I26H-22169</t>
  </si>
  <si>
    <t>HPBL4-L-O26H-09929</t>
  </si>
  <si>
    <t>PIL-L-I26H-22170</t>
  </si>
  <si>
    <t>HPBL4-L-O26H-09930</t>
  </si>
  <si>
    <t>PIL-L-I26H-22182</t>
  </si>
  <si>
    <t>HPBL4-L-O26H-09931</t>
  </si>
  <si>
    <t>PIL-L-I26H-22184</t>
  </si>
  <si>
    <t>HPBL4-L-O26H-09932</t>
  </si>
  <si>
    <t>PIL-L-I26H-22158</t>
  </si>
  <si>
    <t>HPBL4-L-O26H-09933</t>
  </si>
  <si>
    <t>PIL-L-I26H-22163</t>
  </si>
  <si>
    <t>HPBL4-L-O26H-09934</t>
  </si>
  <si>
    <t>PIL-L-I26H-22123</t>
  </si>
  <si>
    <t>HPBL4-L-O26H-09935</t>
  </si>
  <si>
    <t>PIL-L-I26H-22135</t>
  </si>
  <si>
    <t>HPBL4-L-O26H-09936L</t>
  </si>
  <si>
    <t>HPBL-L-I26H-11771</t>
  </si>
  <si>
    <t>PIL-L-O26H-11868L</t>
  </si>
  <si>
    <t>HPBL4-L-O26H-09937L</t>
  </si>
  <si>
    <t>260107322038L3</t>
  </si>
  <si>
    <t>PIL-L-O26H-11935L</t>
  </si>
  <si>
    <t>HPBL4-L-O26H-09938L</t>
  </si>
  <si>
    <t>260107322038L6</t>
  </si>
  <si>
    <t>PIL-L-O26H-11938L</t>
  </si>
  <si>
    <t>HPBL4-L-O26H-09939L</t>
  </si>
  <si>
    <t>260107322038L9</t>
  </si>
  <si>
    <t>PIL-L-O26H-11941L</t>
  </si>
  <si>
    <t>HPBL4-L-O26H-09940L</t>
  </si>
  <si>
    <t>260107322038L</t>
  </si>
  <si>
    <t>PIL-L-O26H-11932L</t>
  </si>
  <si>
    <t>HPBL4-L-O26H-09941L</t>
  </si>
  <si>
    <t>260107322038L14</t>
  </si>
  <si>
    <t>PIL-L-O26H-11946L</t>
  </si>
  <si>
    <t>HPBL4-L-O26H-09942L</t>
  </si>
  <si>
    <t>260107322038L2</t>
  </si>
  <si>
    <t>PIL-L-O26H-11934L</t>
  </si>
  <si>
    <t>HPBL4-L-O26H-09943L</t>
  </si>
  <si>
    <t>260107322038L5</t>
  </si>
  <si>
    <t>PIL-L-O26H-11937L</t>
  </si>
  <si>
    <t>HPBL4-L-O26H-09944L</t>
  </si>
  <si>
    <t>HPBL-L-I26H-11781</t>
  </si>
  <si>
    <t>PIL-L-O26H-11866L</t>
  </si>
  <si>
    <t>HPBL4-L-O26H-09945L</t>
  </si>
  <si>
    <t>260107322038L8</t>
  </si>
  <si>
    <t>PIL-L-O26H-11940L</t>
  </si>
  <si>
    <t>HPBL4-L-O26H-09946L</t>
  </si>
  <si>
    <t>260107322038L10</t>
  </si>
  <si>
    <t>PIL-L-O26H-11942L</t>
  </si>
  <si>
    <t>HPBL4-L-O26H-09947L</t>
  </si>
  <si>
    <t>260107322038L4</t>
  </si>
  <si>
    <t>PIL-L-O26H-11936L</t>
  </si>
  <si>
    <t>HPBL4-L-O26H-09948L</t>
  </si>
  <si>
    <t>260107322038L7</t>
  </si>
  <si>
    <t>PIL-L-O26H-11939L</t>
  </si>
  <si>
    <t>HPBL4-L-O26H-09949L</t>
  </si>
  <si>
    <t>260107322038L1</t>
  </si>
  <si>
    <t>PIL-L-O26H-11933L</t>
  </si>
  <si>
    <t>HPBL4-L-O26H-09950L</t>
  </si>
  <si>
    <t>260107322038L12</t>
  </si>
  <si>
    <t>PIL-L-O26H-11944L</t>
  </si>
  <si>
    <t>HPBL4-L-O26H-09951L</t>
  </si>
  <si>
    <t>260107322038L13</t>
  </si>
  <si>
    <t>PIL-L-O26H-11945L</t>
  </si>
  <si>
    <t>HPBL4-L-O26H-09952L</t>
  </si>
  <si>
    <t>260107322038L11</t>
  </si>
  <si>
    <t>PIL-L-O26H-11943L</t>
  </si>
  <si>
    <t>HPBL4-L-O26H-09953</t>
  </si>
  <si>
    <t>PIL-L-I26H-22145</t>
  </si>
  <si>
    <t>HPBL4-L-O26H-09954</t>
  </si>
  <si>
    <t>PIL-L-I26H-22148</t>
  </si>
  <si>
    <t>HPBL4-L-O26H-09955</t>
  </si>
  <si>
    <t>PIL-L-I26H-22136</t>
  </si>
  <si>
    <t>HPBL4-L-O26H-09956</t>
  </si>
  <si>
    <t>PIL-L-I26H-22140</t>
  </si>
  <si>
    <t>HPBL4-L-O26H-09957</t>
  </si>
  <si>
    <t>PIL-L-I26H-21949</t>
  </si>
  <si>
    <t>HPBL4-L-O26H-09958</t>
  </si>
  <si>
    <t>PIL-L-I26H-22131</t>
  </si>
  <si>
    <t>HPBL4-L-O26H-09959</t>
  </si>
  <si>
    <t>PP 102 FLAT MW G/100</t>
  </si>
  <si>
    <t>PIL-L-I26G-20967</t>
  </si>
  <si>
    <t>HPBL4-L-O26H-09960</t>
  </si>
  <si>
    <t>PIL-L-I26H-22133</t>
  </si>
  <si>
    <t>HPBL4-L-O26H-09961</t>
  </si>
  <si>
    <t>PIL-L-I26H-22134</t>
  </si>
  <si>
    <t>HPBL4-L-O26H-09962</t>
  </si>
  <si>
    <t>PIL-L-I26H-22146</t>
  </si>
  <si>
    <t>HPBL4-L-O26H-09963</t>
  </si>
  <si>
    <t>PIL-L-I26H-22128</t>
  </si>
  <si>
    <t>HPBL4-L-O26H-09964</t>
  </si>
  <si>
    <t>PIL-L-I26H-22152</t>
  </si>
  <si>
    <t>HPBL4-L-O26H-09965</t>
  </si>
  <si>
    <t>PIL-L-I26H-22130</t>
  </si>
  <si>
    <t>HPBL4-L-O26H-09966</t>
  </si>
  <si>
    <t>PIL-L-I26H-22132</t>
  </si>
  <si>
    <t>HPBL4-L-O26H-09967</t>
  </si>
  <si>
    <t>PIL-L-I26H-22142</t>
  </si>
  <si>
    <t>HPBL4-L-O26H-09968L</t>
  </si>
  <si>
    <t>HPBL-L-I26H-11779</t>
  </si>
  <si>
    <t>PIL-L-O26H-11872L</t>
  </si>
  <si>
    <t>HPBL4-L-O26H-09969L</t>
  </si>
  <si>
    <t>HPBL-L-I26H-11782</t>
  </si>
  <si>
    <t>PIL-L-O26H-11873-1L</t>
  </si>
  <si>
    <t>HPBL4-L-O26H-09970L</t>
  </si>
  <si>
    <t>PIL-L-O26H-11873L</t>
  </si>
  <si>
    <t>HPBL4-L-O26H-09977L</t>
  </si>
  <si>
    <t>09082026fibcr</t>
  </si>
  <si>
    <t>PP 110 FLAT BLUE+MW</t>
  </si>
  <si>
    <t>PIL-L-O26H-11954L</t>
  </si>
  <si>
    <t>PIL TO HPBL-4 BLUE FAB</t>
  </si>
  <si>
    <t>HPBL4-L-O26H-09978</t>
  </si>
  <si>
    <t>PIL-L-I26H-22197</t>
  </si>
  <si>
    <t>HPBL4-L-O26H-09979</t>
  </si>
  <si>
    <t>PIL-L-I26H-22202</t>
  </si>
  <si>
    <t>HPBL4-L-O26H-09980</t>
  </si>
  <si>
    <t>PIL-L-I26H-22235</t>
  </si>
  <si>
    <t>HPBL4-L-O26H-09981</t>
  </si>
  <si>
    <t>PIL-L-I26H-22219</t>
  </si>
  <si>
    <t>HPBL4-L-O26H-09982</t>
  </si>
  <si>
    <t>PIL-L-I26H-22222</t>
  </si>
  <si>
    <t>HPBL4-L-O26H-09983</t>
  </si>
  <si>
    <t>PIL-L-I26H-22201</t>
  </si>
  <si>
    <t>HPBL4-L-O26H-09984</t>
  </si>
  <si>
    <t>PIL-L-I26H-22204</t>
  </si>
  <si>
    <t>HPBL4-L-O26H-09985</t>
  </si>
  <si>
    <t>PIL-L-I26H-22212</t>
  </si>
  <si>
    <t>HPBL4-L-O26H-09986</t>
  </si>
  <si>
    <t>PIL-L-I26H-22223</t>
  </si>
  <si>
    <t>HPBL4-L-O26H-09987</t>
  </si>
  <si>
    <t>PIL-L-I26H-22231</t>
  </si>
  <si>
    <t>HPBL4-L-O26H-09988</t>
  </si>
  <si>
    <t>PIL-L-I26H-22239</t>
  </si>
  <si>
    <t>HPBL4-L-O26H-09989</t>
  </si>
  <si>
    <t>PIL-L-I26H-22246</t>
  </si>
  <si>
    <t>HPBL4-L-O26H-09990</t>
  </si>
  <si>
    <t>PIL-L-I26H-22260</t>
  </si>
  <si>
    <t>HPBL4-L-O26H-09991</t>
  </si>
  <si>
    <t>PIL-L-I26H-22198</t>
  </si>
  <si>
    <t>HPBL4-L-O26H-09992</t>
  </si>
  <si>
    <t>PIL-L-I26H-22206</t>
  </si>
  <si>
    <t>HPBL4-L-O26H-09993</t>
  </si>
  <si>
    <t>PIL-L-I26H-22224</t>
  </si>
  <si>
    <t>HPBL4-L-O26H-09994</t>
  </si>
  <si>
    <t>PIL-L-I26H-22236</t>
  </si>
  <si>
    <t>HPBL4-L-O26H-09995</t>
  </si>
  <si>
    <t>PIL-L-I26H-22237</t>
  </si>
  <si>
    <t>HPBL4-L-O26H-09996</t>
  </si>
  <si>
    <t>PIL-L-I26H-22217</t>
  </si>
  <si>
    <t>HPBL4-L-O26H-09997</t>
  </si>
  <si>
    <t>PIL-L-I26H-22200</t>
  </si>
  <si>
    <t>HPBL4-L-O26H-09998</t>
  </si>
  <si>
    <t>PIL-L-I26H-22205</t>
  </si>
  <si>
    <t>HPBL4-L-O26H-09999</t>
  </si>
  <si>
    <t>PIL-L-I26H-22232</t>
  </si>
  <si>
    <t>HPBL4-L-O26H-10000</t>
  </si>
  <si>
    <t>PIL-L-I26H-22233</t>
  </si>
  <si>
    <t>HPBL4-L-O26H-10001</t>
  </si>
  <si>
    <t>PIL-L-I26H-22199</t>
  </si>
  <si>
    <t>HPBL4-L-O26H-10002</t>
  </si>
  <si>
    <t>PIL-L-I26H-22211</t>
  </si>
  <si>
    <t>HPBL4-L-O26H-10003</t>
  </si>
  <si>
    <t>PIL-L-I26H-22215</t>
  </si>
  <si>
    <t>HPBL4-L-O26H-10004</t>
  </si>
  <si>
    <t>PIL-L-I26H-22234</t>
  </si>
  <si>
    <t>HPBL4-L-O26H-10005</t>
  </si>
  <si>
    <t>PIL-L-I26H-22244</t>
  </si>
  <si>
    <t>HPBL4-L-O26H-10006</t>
  </si>
  <si>
    <t>PIL-L-I26H-22264</t>
  </si>
  <si>
    <t>HPBL4-L-O26H-10007</t>
  </si>
  <si>
    <t>PIL-L-I26H-22203</t>
  </si>
  <si>
    <t>HPBL4-L-O26H-10008</t>
  </si>
  <si>
    <t>PIL-L-I26H-22253</t>
  </si>
  <si>
    <t>HPBL4-L-O26H-10009</t>
  </si>
  <si>
    <t>PIL-L-I26H-22266</t>
  </si>
  <si>
    <t>HPBL4-L-O26H-10010</t>
  </si>
  <si>
    <t>PIL-L-I26H-22214</t>
  </si>
  <si>
    <t>HPBL4-L-O26H-10011</t>
  </si>
  <si>
    <t>PIL-L-I26H-22242</t>
  </si>
  <si>
    <t>HPBL4-L-O26H-10012</t>
  </si>
  <si>
    <t>PIL-L-I26H-22252</t>
  </si>
  <si>
    <t>HPBL4-L-O26H-10013</t>
  </si>
  <si>
    <t>PIL-L-I26H-22241</t>
  </si>
  <si>
    <t>HPBL4-L-O26H-10014</t>
  </si>
  <si>
    <t>PIL-L-I26H-22245</t>
  </si>
  <si>
    <t>HPBL4-L-O26H-10015</t>
  </si>
  <si>
    <t>PIL-L-I26H-22258</t>
  </si>
  <si>
    <t>HPBL4-L-O26H-10016</t>
  </si>
  <si>
    <t>PIL-L-I26H-22240</t>
  </si>
  <si>
    <t>HPBL4-L-O26H-10017</t>
  </si>
  <si>
    <t>PIL-L-I26H-22238</t>
  </si>
  <si>
    <t>HPBL4-L-O26H-10018L</t>
  </si>
  <si>
    <t>HPBL-L-I26H-11788</t>
  </si>
  <si>
    <t>PP 24 FLAT BLUE</t>
  </si>
  <si>
    <t>PIL-L-O26H-11870-1L</t>
  </si>
  <si>
    <t>HPBL4-L-O26H-10019L</t>
  </si>
  <si>
    <t>PIL-L-O26H-11870L</t>
  </si>
  <si>
    <t>HPBL4-L-O26H-10020L</t>
  </si>
  <si>
    <t>HPBL-L-I26H-11780</t>
  </si>
  <si>
    <t>70+20</t>
  </si>
  <si>
    <t>PIL-L-O26H-11867L</t>
  </si>
  <si>
    <t>HPBL4-L-O26H-10021</t>
  </si>
  <si>
    <t>PIL-L-I26H-22308</t>
  </si>
  <si>
    <t>HPBL4-L-O26H-10022</t>
  </si>
  <si>
    <t>PIL-L-I26H-22303</t>
  </si>
  <si>
    <t>HPBL4-L-O26H-10023</t>
  </si>
  <si>
    <t>PIL-L-I26H-22288</t>
  </si>
  <si>
    <t>HPBL4-L-O26H-10024</t>
  </si>
  <si>
    <t>PIL-L-I26H-22287</t>
  </si>
  <si>
    <t>HPBL4-L-O26H-10025</t>
  </si>
  <si>
    <t>PIL-L-I26H-22310</t>
  </si>
  <si>
    <t>HPBL4-L-O26H-10026</t>
  </si>
  <si>
    <t>PIL-L-I26H-22213</t>
  </si>
  <si>
    <t>HPBL4-L-O26H-10027</t>
  </si>
  <si>
    <t>PIL-L-I26H-22296</t>
  </si>
  <si>
    <t>HPBL4-L-O26H-10028</t>
  </si>
  <si>
    <t>PIL-L-I26H-22289</t>
  </si>
  <si>
    <t>HPBL4-L-O26H-10029</t>
  </si>
  <si>
    <t>PIL-L-I26H-22298</t>
  </si>
  <si>
    <t>HPBL4-L-O26H-10030</t>
  </si>
  <si>
    <t>PIL-L-I26H-22290</t>
  </si>
  <si>
    <t>HPBL4-L-O26H-10031</t>
  </si>
  <si>
    <t>PIL-L-I26H-22317</t>
  </si>
  <si>
    <t>HPBL4-L-O26H-10032</t>
  </si>
  <si>
    <t>PIL-L-I26H-22295</t>
  </si>
  <si>
    <t>HPBL4-L-O26H-10033</t>
  </si>
  <si>
    <t>PIL-L-I26H-22294</t>
  </si>
  <si>
    <t>HPBL4-L-O26H-10034</t>
  </si>
  <si>
    <t>PIL-L-I26H-22299</t>
  </si>
  <si>
    <t>HPBL4-L-O26H-10035</t>
  </si>
  <si>
    <t>PIL-L-I26H-22316</t>
  </si>
  <si>
    <t>HPBL4-L-O26H-10036</t>
  </si>
  <si>
    <t>PIL-L-I26H-22284</t>
  </si>
  <si>
    <t>HPBL4-L-O26H-10037</t>
  </si>
  <si>
    <t>PIL-L-I26H-22322</t>
  </si>
  <si>
    <t>HPBL4-L-O26H-10038</t>
  </si>
  <si>
    <t>PIL-L-I26H-22274</t>
  </si>
  <si>
    <t>HPBL4-L-O26H-10039</t>
  </si>
  <si>
    <t>PIL-L-I26H-22276</t>
  </si>
  <si>
    <t>HPBL4-L-O26H-10040</t>
  </si>
  <si>
    <t>PIL-L-I26H-22324</t>
  </si>
  <si>
    <t>HPBL4-L-O26H-10041</t>
  </si>
  <si>
    <t>PIL-L-I26H-22282</t>
  </si>
  <si>
    <t>HPBL4-L-O26H-10042</t>
  </si>
  <si>
    <t>PIL-L-I26H-22283</t>
  </si>
  <si>
    <t>HPBL4-L-O26H-10043</t>
  </si>
  <si>
    <t>PIL-L-I26H-22279</t>
  </si>
  <si>
    <t>HPBL4-L-O26H-10044</t>
  </si>
  <si>
    <t>PIL-L-I26H-22278</t>
  </si>
  <si>
    <t>HPBL4-L-O26H-10045</t>
  </si>
  <si>
    <t>PIL-L-I26H-22336</t>
  </si>
  <si>
    <t>HPBL4-L-O26H-10046</t>
  </si>
  <si>
    <t>PIL-L-I26H-22326</t>
  </si>
  <si>
    <t>HPBL4-L-O26H-10047</t>
  </si>
  <si>
    <t>PIL-L-I26H-22325</t>
  </si>
  <si>
    <t>HPBL4-L-O26H-10048</t>
  </si>
  <si>
    <t>PIL-L-I26H-22277</t>
  </si>
  <si>
    <t>HPBL4-L-O26H-10049</t>
  </si>
  <si>
    <t>PIL-L-I26H-22275</t>
  </si>
  <si>
    <t>HPBL4-L-O26H-10065</t>
  </si>
  <si>
    <t>PIL-L-I26H-22319</t>
  </si>
  <si>
    <t>HPBL4-L-O26H-10066</t>
  </si>
  <si>
    <t>PIL-L-I26H-22321</t>
  </si>
  <si>
    <t>HPBL4-L-O26H-10067</t>
  </si>
  <si>
    <t>PIL-L-I26H-22323</t>
  </si>
  <si>
    <t>HPBL4-L-O26H-10068</t>
  </si>
  <si>
    <t>PIL-L-I26H-22261</t>
  </si>
  <si>
    <t>HPBL4-L-O26H-10069</t>
  </si>
  <si>
    <t>PP 97 FLAT MW 30% RP Folding</t>
  </si>
  <si>
    <t>PIL-L-I26H-22313</t>
  </si>
  <si>
    <t>HPBL4-L-O26H-10070</t>
  </si>
  <si>
    <t>PIL-L-I26H-22315</t>
  </si>
  <si>
    <t>HPBL4-L-O26H-10071</t>
  </si>
  <si>
    <t>PIL-L-I26H-22259</t>
  </si>
  <si>
    <t>HPBL4-L-O26H-10072</t>
  </si>
  <si>
    <t>PIL-L-I26H-22281</t>
  </si>
  <si>
    <t>HPBL4-L-O26H-10073</t>
  </si>
  <si>
    <t>PIL-L-I26H-22318</t>
  </si>
  <si>
    <t>HPBL4-L-O26H-10074</t>
  </si>
  <si>
    <t>PIL-L-I26H-22272</t>
  </si>
  <si>
    <t>HPBL4-L-O26H-10075</t>
  </si>
  <si>
    <t>PIL-L-I26H-22307</t>
  </si>
  <si>
    <t>HPBL4-L-O26H-10076</t>
  </si>
  <si>
    <t>PIL-L-I26H-22320</t>
  </si>
  <si>
    <t>HPBL4-L-O26H-10077L</t>
  </si>
  <si>
    <t>PIL-L-I26H-22110L</t>
  </si>
  <si>
    <t>HPBL4-L-O26H-10078L</t>
  </si>
  <si>
    <t>PIL-L-I26H-22188L</t>
  </si>
  <si>
    <t>HPBL4-L-O26H-10079L</t>
  </si>
  <si>
    <t>HPBL-L-I26H-11982</t>
  </si>
  <si>
    <t>PIL-L-O26H-12053L</t>
  </si>
  <si>
    <t>HPBL4-L-O26H-10080L</t>
  </si>
  <si>
    <t>HPBL-L-I26H-12000</t>
  </si>
  <si>
    <t>PIL-L-O26H-12051L</t>
  </si>
  <si>
    <t>HPBL4-L-O26H-10081L</t>
  </si>
  <si>
    <t>PIL-L-I26H-22192L</t>
  </si>
  <si>
    <t>HPBL4-L-O26H-10082L</t>
  </si>
  <si>
    <t>PIL-L-I26H-21967L</t>
  </si>
  <si>
    <t>HPBL4-L-O26H-10083L</t>
  </si>
  <si>
    <t>PIL-L-I26H-21732L</t>
  </si>
  <si>
    <t>HPBL4-L-O26H-10084L</t>
  </si>
  <si>
    <t>PIL-L-I26H-22147L</t>
  </si>
  <si>
    <t>HPBL4-L-O26H-10050</t>
  </si>
  <si>
    <t>PP 134 GZT M/W 4% UV</t>
  </si>
  <si>
    <t>PIL-L-I26H-22381</t>
  </si>
  <si>
    <t>HPBL4-L-O26H-10051</t>
  </si>
  <si>
    <t>PIL-L-I26H-22359</t>
  </si>
  <si>
    <t>HPBL4-L-O26H-10052</t>
  </si>
  <si>
    <t>PIL-L-I26H-22382</t>
  </si>
  <si>
    <t>HPBL4-L-O26H-10053</t>
  </si>
  <si>
    <t>PIL-L-I26H-22383</t>
  </si>
  <si>
    <t>HPBL4-L-O26H-10054</t>
  </si>
  <si>
    <t>PIL-L-I26H-22378</t>
  </si>
  <si>
    <t>HPBL4-L-O26H-10055</t>
  </si>
  <si>
    <t>PP 88 FLAT MW 30% RP</t>
  </si>
  <si>
    <t>PIL-L-I26H-22401</t>
  </si>
  <si>
    <t>HPBL4-L-O26H-10056</t>
  </si>
  <si>
    <t>PIL-L-I26H-22360</t>
  </si>
  <si>
    <t>HPBL4-L-O26H-10057</t>
  </si>
  <si>
    <t>PIL-L-I26H-22380</t>
  </si>
  <si>
    <t>HPBL4-L-O26H-10058</t>
  </si>
  <si>
    <t>PIL-L-I26H-22398</t>
  </si>
  <si>
    <t>HPBL4-L-O26H-10059</t>
  </si>
  <si>
    <t>PIL-L-I26H-22291</t>
  </si>
  <si>
    <t>HPBL4-L-O26H-10060</t>
  </si>
  <si>
    <t>PIL-L-I26H-22358</t>
  </si>
  <si>
    <t>HPBL4-L-O26H-10061</t>
  </si>
  <si>
    <t>PIL-L-I26H-22362</t>
  </si>
  <si>
    <t>HPBL4-L-O26H-10062</t>
  </si>
  <si>
    <t>PIL-L-I26H-22292</t>
  </si>
  <si>
    <t>HPBL4-L-O26H-10063</t>
  </si>
  <si>
    <t>PIL-L-I26H-22369</t>
  </si>
  <si>
    <t>HPBL4-L-O26H-10064</t>
  </si>
  <si>
    <t>PIL-L-I26H-22343</t>
  </si>
  <si>
    <t>HPBL4-L-O26H-10085</t>
  </si>
  <si>
    <t>PIL-L-I26H-22354</t>
  </si>
  <si>
    <t>PIL1/D/1347</t>
  </si>
  <si>
    <t>HPBL4-L-O26H-10086</t>
  </si>
  <si>
    <t>PIL-L-I26H-22368</t>
  </si>
  <si>
    <t>HPBL4-L-O26H-10087</t>
  </si>
  <si>
    <t>PIL-L-I26H-22370</t>
  </si>
  <si>
    <t>HPBL4-L-O26H-10088</t>
  </si>
  <si>
    <t>PIL-L-I26H-22372</t>
  </si>
  <si>
    <t>HPBL4-L-O26H-10089</t>
  </si>
  <si>
    <t>PIL-L-I26H-22373</t>
  </si>
  <si>
    <t>HPBL4-L-O26H-10090</t>
  </si>
  <si>
    <t>PIL-L-I26H-22408</t>
  </si>
  <si>
    <t>HPBL4-L-O26H-10091</t>
  </si>
  <si>
    <t>PIL-L-I26H-22377</t>
  </si>
  <si>
    <t>HPBL4-L-O26H-10092</t>
  </si>
  <si>
    <t>PIL-L-I26H-22394</t>
  </si>
  <si>
    <t>HPBL4-L-O26H-10093</t>
  </si>
  <si>
    <t>PIL-L-I26H-22353</t>
  </si>
  <si>
    <t>HPBL4-L-O26H-10094</t>
  </si>
  <si>
    <t>PIL-L-I26H-22374</t>
  </si>
  <si>
    <t>HPBL4-L-O26H-10095</t>
  </si>
  <si>
    <t>PIL-L-I26H-22375</t>
  </si>
  <si>
    <t>HPBL4-L-O26H-10096</t>
  </si>
  <si>
    <t>PIL-L-I26H-22379</t>
  </si>
  <si>
    <t>HPBL4-L-O26H-10097</t>
  </si>
  <si>
    <t>PIL-L-I26H-22363</t>
  </si>
  <si>
    <t>HPBL4-L-O26H-10098</t>
  </si>
  <si>
    <t>PIL-L-I26H-22338</t>
  </si>
  <si>
    <t>HPBL4-L-O26H-10099</t>
  </si>
  <si>
    <t>PIL-L-I26H-22344</t>
  </si>
  <si>
    <t>HPBL4-L-O26H-10100</t>
  </si>
  <si>
    <t>PIL-L-I26H-22346</t>
  </si>
  <si>
    <t>HPBL4-L-O26H-10101</t>
  </si>
  <si>
    <t>PIL-L-I26H-22376</t>
  </si>
  <si>
    <t>HPBL4-L-O26H-10102</t>
  </si>
  <si>
    <t>PIL-L-I26H-22357</t>
  </si>
  <si>
    <t>HPBL4-L-O26H-10103</t>
  </si>
  <si>
    <t>PIL-L-I26H-22388</t>
  </si>
  <si>
    <t>HPBL4-L-O26H-10104</t>
  </si>
  <si>
    <t>PIL-L-I26H-22391</t>
  </si>
  <si>
    <t>HPBL4-L-O26H-10105</t>
  </si>
  <si>
    <t>PIL-L-I26H-22340</t>
  </si>
  <si>
    <t>HPBL4-L-O26H-10106</t>
  </si>
  <si>
    <t>PIL-L-I26H-22402</t>
  </si>
  <si>
    <t>HPBL4-L-O26H-10107</t>
  </si>
  <si>
    <t>PIL-L-I26H-22345</t>
  </si>
  <si>
    <t>HPBL4-L-O26H-10108</t>
  </si>
  <si>
    <t>PIL-L-I26H-22341</t>
  </si>
  <si>
    <t>HPBL4-L-O26H-10109</t>
  </si>
  <si>
    <t>PIL-L-I26H-22342</t>
  </si>
  <si>
    <t>HPBL4-L-O26H-10110</t>
  </si>
  <si>
    <t>PIL-L-I26H-22355</t>
  </si>
  <si>
    <t>HPBL4-L-O26H-10111</t>
  </si>
  <si>
    <t>PIL-L-I26H-22356</t>
  </si>
  <si>
    <t>HPBL4-L-O26H-10112</t>
  </si>
  <si>
    <t>PIL-L-I26H-22371</t>
  </si>
  <si>
    <t>HPBL4-L-O26H-10113</t>
  </si>
  <si>
    <t>PP 99 FLAT MW 30% RP Folding</t>
  </si>
  <si>
    <t>PIL-L-I26H-22390</t>
  </si>
  <si>
    <t>HPBL4-L-O26H-10114</t>
  </si>
  <si>
    <t>PIL-L-I26H-22361</t>
  </si>
  <si>
    <t>HPBL4-L-O26H-10115</t>
  </si>
  <si>
    <t>37G2606</t>
  </si>
  <si>
    <t>PP 125 TUBE MW</t>
  </si>
  <si>
    <t>SHUBH POLYFAB</t>
  </si>
  <si>
    <t>HPBL4-L-O26H-10116</t>
  </si>
  <si>
    <t>36G2608</t>
  </si>
  <si>
    <t>HPBL4-L-O26H-10117</t>
  </si>
  <si>
    <t>37F2619</t>
  </si>
  <si>
    <t>HPBL4-L-O26H-10118</t>
  </si>
  <si>
    <t>37G2614</t>
  </si>
  <si>
    <t>HPBL4-L-O26H-10119</t>
  </si>
  <si>
    <t>36G2613</t>
  </si>
  <si>
    <t>HPBL4-L-O26H-10120</t>
  </si>
  <si>
    <t>36G2612</t>
  </si>
  <si>
    <t>HPBL4-L-O26H-10121</t>
  </si>
  <si>
    <t>37G2615</t>
  </si>
  <si>
    <t>HPBL4-L-O26H-10122</t>
  </si>
  <si>
    <t>37G2617</t>
  </si>
  <si>
    <t>HPBL4-L-O26H-10123</t>
  </si>
  <si>
    <t>36G2606</t>
  </si>
  <si>
    <t>HPBL4-L-O26H-10124</t>
  </si>
  <si>
    <t>36G2609</t>
  </si>
  <si>
    <t>HPBL4-L-O26H-10125</t>
  </si>
  <si>
    <t>37G2608</t>
  </si>
  <si>
    <t>HPBL4-L-O26H-10126</t>
  </si>
  <si>
    <t>37G2610</t>
  </si>
  <si>
    <t>HPBL4-L-O26H-10127</t>
  </si>
  <si>
    <t>36G2607</t>
  </si>
  <si>
    <t>HPBL4-L-O26H-10128</t>
  </si>
  <si>
    <t>37G2605</t>
  </si>
  <si>
    <t>HPBL4-L-O26H-10129</t>
  </si>
  <si>
    <t>37G2607</t>
  </si>
  <si>
    <t>HPBL4-L-O26H-10130</t>
  </si>
  <si>
    <t>37G2611</t>
  </si>
  <si>
    <t>HPBL4-L-O26H-10131</t>
  </si>
  <si>
    <t>37F2613</t>
  </si>
  <si>
    <t>HPBL4-L-O26H-10132</t>
  </si>
  <si>
    <t>36G2611</t>
  </si>
  <si>
    <t>HPBL4-L-O26H-10133</t>
  </si>
  <si>
    <t>37G2613</t>
  </si>
  <si>
    <t>HPBL4-L-O26H-10134</t>
  </si>
  <si>
    <t>37G2616</t>
  </si>
  <si>
    <t>HPBL4-L-O26H-10135</t>
  </si>
  <si>
    <t>37G2618</t>
  </si>
  <si>
    <t>HPBL4-L-O26H-10136</t>
  </si>
  <si>
    <t>36G2610</t>
  </si>
  <si>
    <t>HPBL4-L-O26H-10137</t>
  </si>
  <si>
    <t>37G2609</t>
  </si>
  <si>
    <t>HPBL4-L-O26H-10138</t>
  </si>
  <si>
    <t>36G2614</t>
  </si>
  <si>
    <t>HPBL4-L-O26H-10139</t>
  </si>
  <si>
    <t>37G2612</t>
  </si>
  <si>
    <t>HPBL4-L-O26H-10140</t>
  </si>
  <si>
    <t>36G2615</t>
  </si>
  <si>
    <t>HPBL4-L-O26H-10141</t>
  </si>
  <si>
    <t>PIL-L-I26H-22425</t>
  </si>
  <si>
    <t>HPBL4-L-O26H-10142</t>
  </si>
  <si>
    <t>PIL-L-I26H-22428</t>
  </si>
  <si>
    <t>HPBL4-L-O26H-10143</t>
  </si>
  <si>
    <t>PIL-L-I26H-22465</t>
  </si>
  <si>
    <t>HPBL4-L-O26H-10144</t>
  </si>
  <si>
    <t>PIL-L-I26H-22469</t>
  </si>
  <si>
    <t>HPBL4-L-O26H-10145</t>
  </si>
  <si>
    <t>PIL-L-I26H-22486</t>
  </si>
  <si>
    <t>HPBL4-L-O26H-10146</t>
  </si>
  <si>
    <t>PIL-L-I26H-22500</t>
  </si>
  <si>
    <t>HPBL4-L-O26H-10147</t>
  </si>
  <si>
    <t>PIL-L-I26H-22502</t>
  </si>
  <si>
    <t>HPBL4-L-O26H-10148</t>
  </si>
  <si>
    <t>PIL-L-I26H-22503</t>
  </si>
  <si>
    <t>HPBL4-L-O26H-10149</t>
  </si>
  <si>
    <t>PIL-L-I26H-22435</t>
  </si>
  <si>
    <t>HPBL4-L-O26H-10150</t>
  </si>
  <si>
    <t>PIL-L-I26H-22429</t>
  </si>
  <si>
    <t>HPBL4-L-O26H-10151</t>
  </si>
  <si>
    <t>PIL-L-I26H-22480</t>
  </si>
  <si>
    <t>HPBL4-L-O26H-10152</t>
  </si>
  <si>
    <t>PIL-L-I26H-22484</t>
  </si>
  <si>
    <t>HPBL4-L-O26H-10153</t>
  </si>
  <si>
    <t>PIL-L-I26H-22432</t>
  </si>
  <si>
    <t>HPBL4-L-O26H-10154</t>
  </si>
  <si>
    <t>PIL-L-I26H-22436</t>
  </si>
  <si>
    <t>HPBL4-L-O26H-10155</t>
  </si>
  <si>
    <t>PIL-L-I26H-22475</t>
  </si>
  <si>
    <t>HPBL4-L-O26H-10156</t>
  </si>
  <si>
    <t>PIL-L-I26H-22476</t>
  </si>
  <si>
    <t>HPBL4-L-O26H-10157</t>
  </si>
  <si>
    <t>PIL-L-I26H-22426</t>
  </si>
  <si>
    <t>HPBL4-L-O26H-10158</t>
  </si>
  <si>
    <t>PIL-L-I26H-22427</t>
  </si>
  <si>
    <t>HPBL4-L-O26H-10159</t>
  </si>
  <si>
    <t>PIL-L-I26H-22437</t>
  </si>
  <si>
    <t>HPBL4-L-O26H-10160</t>
  </si>
  <si>
    <t>PIL-L-I26H-22477</t>
  </si>
  <si>
    <t>HPBL4-L-O26H-10161</t>
  </si>
  <si>
    <t>PIL-L-I26H-22478</t>
  </si>
  <si>
    <t>HPBL4-L-O26H-10162</t>
  </si>
  <si>
    <t>PIL-L-I26H-22501</t>
  </si>
  <si>
    <t>HPBL4-L-O26H-10163</t>
  </si>
  <si>
    <t>PIL-L-I26H-22433</t>
  </si>
  <si>
    <t>HPBL4-L-O26H-10164</t>
  </si>
  <si>
    <t>PIL-L-I26H-22460</t>
  </si>
  <si>
    <t>HPBL4-L-O26H-10165</t>
  </si>
  <si>
    <t>PIL-L-I26H-22483</t>
  </si>
  <si>
    <t>HPBL4-L-O26H-10166</t>
  </si>
  <si>
    <t>PIL-L-I26H-22485</t>
  </si>
  <si>
    <t>HPBL4-L-O26H-10167</t>
  </si>
  <si>
    <t>PIL-L-I26H-22487</t>
  </si>
  <si>
    <t>HPBL4-L-O26H-10168</t>
  </si>
  <si>
    <t>PIL-L-I26H-22423</t>
  </si>
  <si>
    <t>HPBL4-L-O26H-10169</t>
  </si>
  <si>
    <t>PIL-L-I26H-22489</t>
  </si>
  <si>
    <t>HPBL4-L-O26H-10170</t>
  </si>
  <si>
    <t>PIL-L-I26H-22488</t>
  </si>
  <si>
    <t>HPBL4-L-O26H-10171</t>
  </si>
  <si>
    <t>PIL-L-I26H-22424</t>
  </si>
  <si>
    <t>HPBL4-L-O26H-10172</t>
  </si>
  <si>
    <t>PIL-L-I26H-22471</t>
  </si>
  <si>
    <t>HPBL4-L-O26H-10173</t>
  </si>
  <si>
    <t>PIL-L-I26H-22479</t>
  </si>
  <si>
    <t>HPBL4-L-O26H-10174L</t>
  </si>
  <si>
    <t>PIL-L-I26H-22333L</t>
  </si>
  <si>
    <t>HPBL4-L-O26H-10175L</t>
  </si>
  <si>
    <t>PIL-L-I26H-22334L</t>
  </si>
  <si>
    <t>HPBL4-L-O26H-10176</t>
  </si>
  <si>
    <t>PIL-L-I26H-22506</t>
  </si>
  <si>
    <t>HPBL4-L-O26H-10177</t>
  </si>
  <si>
    <t>PIL-L-I26H-22450</t>
  </si>
  <si>
    <t>HPBL4-L-O26H-10178</t>
  </si>
  <si>
    <t>PIL-L-I26H-22431</t>
  </si>
  <si>
    <t>HPBL4-L-O26H-10179</t>
  </si>
  <si>
    <t>PIL-L-I26H-22440</t>
  </si>
  <si>
    <t>HPBL4-L-O26H-10180</t>
  </si>
  <si>
    <t>PIL-L-I26H-22442</t>
  </si>
  <si>
    <t>HPBL4-L-O26H-10181</t>
  </si>
  <si>
    <t>PIL-L-I26H-22430</t>
  </si>
  <si>
    <t>HPBL4-L-O26H-10182</t>
  </si>
  <si>
    <t>PIL-L-I26H-22446</t>
  </si>
  <si>
    <t>HPBL4-L-O26H-10183</t>
  </si>
  <si>
    <t>PIL-L-I26H-22449</t>
  </si>
  <si>
    <t>HPBL4-L-O26H-10184</t>
  </si>
  <si>
    <t>PIL-L-I26H-22507</t>
  </si>
  <si>
    <t>HPBL4-L-O26H-10185</t>
  </si>
  <si>
    <t>PIL-L-I26H-22445</t>
  </si>
  <si>
    <t>HPBL4-L-O26H-10186</t>
  </si>
  <si>
    <t>PIL-L-I26H-22515</t>
  </si>
  <si>
    <t>HPBL4-L-O26H-10187</t>
  </si>
  <si>
    <t>PIL-L-I26H-22550</t>
  </si>
  <si>
    <t>HPBL4-L-O26H-10188</t>
  </si>
  <si>
    <t>PIL-L-I26H-22528</t>
  </si>
  <si>
    <t>HPBL4-L-O26H-10189</t>
  </si>
  <si>
    <t>PIL-L-I26H-22536</t>
  </si>
  <si>
    <t>HPBL4-L-O26H-10190</t>
  </si>
  <si>
    <t>PIL-L-I26H-22538</t>
  </si>
  <si>
    <t>HPBL4-L-O26H-10191</t>
  </si>
  <si>
    <t>PIL-L-I26H-22559</t>
  </si>
  <si>
    <t>HPBL4-L-O26H-10192</t>
  </si>
  <si>
    <t>PIL-L-I26H-22512</t>
  </si>
  <si>
    <t>HPBL4-L-O26H-10193</t>
  </si>
  <si>
    <t>PP 140 GZT YELLOW -C</t>
  </si>
  <si>
    <t>PIL-L-I26H-22537</t>
  </si>
  <si>
    <t>HPBL4-L-O26H-10194</t>
  </si>
  <si>
    <t>PIL-L-I26H-22546</t>
  </si>
  <si>
    <t>HPBL4-L-O26H-10195</t>
  </si>
  <si>
    <t>PIL-L-I26H-22516</t>
  </si>
  <si>
    <t>HPBL4-L-O26H-10196</t>
  </si>
  <si>
    <t>PIL-L-I26H-22526</t>
  </si>
  <si>
    <t>HPBL4-L-O26H-10197</t>
  </si>
  <si>
    <t>PIL-L-I26H-22530</t>
  </si>
  <si>
    <t>HPBL4-L-O26H-10198</t>
  </si>
  <si>
    <t>PIL-L-I26H-22533</t>
  </si>
  <si>
    <t>HPBL4-L-O26H-10199</t>
  </si>
  <si>
    <t>PIL-L-I26H-22534</t>
  </si>
  <si>
    <t>HPBL4-L-O26H-10200</t>
  </si>
  <si>
    <t>PIL-L-I26H-22535</t>
  </si>
  <si>
    <t>HPBL4-L-O26H-10201</t>
  </si>
  <si>
    <t>PIL-L-I26H-22539</t>
  </si>
  <si>
    <t>HPBL4-L-O26H-10202</t>
  </si>
  <si>
    <t>PIL-L-I26H-22511</t>
  </si>
  <si>
    <t>HPBL4-L-O26H-10203</t>
  </si>
  <si>
    <t>PIL-L-I26H-22513</t>
  </si>
  <si>
    <t>HPBL4-L-O26H-10204</t>
  </si>
  <si>
    <t>PIL-L-I26H-22532</t>
  </si>
  <si>
    <t>HPBL4-L-O26H-10205</t>
  </si>
  <si>
    <t>PIL-L-I26H-22544</t>
  </si>
  <si>
    <t>HPBL4-L-O26H-10206</t>
  </si>
  <si>
    <t>PIL-L-I26H-22547</t>
  </si>
  <si>
    <t>HPBL4-L-O26H-10207</t>
  </si>
  <si>
    <t>PIL-L-I26H-22531</t>
  </si>
  <si>
    <t>HPBL4-L-O26H-10208</t>
  </si>
  <si>
    <t>PIL-L-I26H-22543</t>
  </si>
  <si>
    <t>HPBL4-L-O26H-10209</t>
  </si>
  <si>
    <t>PIL-L-I26H-22545</t>
  </si>
  <si>
    <t>HPBL4-L-O26H-10210</t>
  </si>
  <si>
    <t>PIL-L-I26H-22554</t>
  </si>
  <si>
    <t>HPBL4-L-O26H-10211</t>
  </si>
  <si>
    <t>PIL-L-I26H-22521</t>
  </si>
  <si>
    <t>HPBL4-L-O26H-10212</t>
  </si>
  <si>
    <t>PIL-L-I26H-22557</t>
  </si>
  <si>
    <t>HPBL4-L-O26H-10213</t>
  </si>
  <si>
    <t>PIL-L-I26H-22552</t>
  </si>
  <si>
    <t>HPBL4-L-O26H-10214</t>
  </si>
  <si>
    <t>PIL-L-I26H-22541</t>
  </si>
  <si>
    <t>HPBL4-L-O26H-10215</t>
  </si>
  <si>
    <t>PIL-L-I26H-22542</t>
  </si>
  <si>
    <t>HPBL4-L-O26H-10216</t>
  </si>
  <si>
    <t>PIL-L-I26H-22514</t>
  </si>
  <si>
    <t>HPBL4-L-O26H-10217L</t>
  </si>
  <si>
    <t>PIL-L-I26H-22257L</t>
  </si>
  <si>
    <t>HPBL4-L-O26H-10218L</t>
  </si>
  <si>
    <t>PIL-L-I26H-22406L</t>
  </si>
  <si>
    <t>HPBL4-L-O26H-10219L</t>
  </si>
  <si>
    <t>PIL-L-I26H-22385L</t>
  </si>
  <si>
    <t>HPBL4-L-O26H-10220</t>
  </si>
  <si>
    <t>PIL-L-I26H-22570</t>
  </si>
  <si>
    <t>HPBL4-L-O26H-10221</t>
  </si>
  <si>
    <t>PIL-L-I26H-22575</t>
  </si>
  <si>
    <t>HPBL4-L-O26H-10222</t>
  </si>
  <si>
    <t>PIL-L-I26H-22571</t>
  </si>
  <si>
    <t>HPBL4-L-O26H-10223</t>
  </si>
  <si>
    <t>PIL-L-I26H-22572</t>
  </si>
  <si>
    <t>HPBL4-L-O26H-10224</t>
  </si>
  <si>
    <t>PIL-L-I26H-22573</t>
  </si>
  <si>
    <t>HPBL4-L-O26H-10225</t>
  </si>
  <si>
    <t>PIL-L-I26H-22574</t>
  </si>
  <si>
    <t>HPBL4-L-O26H-10226</t>
  </si>
  <si>
    <t>PIL-L-I26H-22579</t>
  </si>
  <si>
    <t>pil1/d/1383</t>
  </si>
  <si>
    <t>HPBL4-L-O26H-10227</t>
  </si>
  <si>
    <t>PP 140 TUBE YELLOW -C</t>
  </si>
  <si>
    <t>PIL-L-I26H-22490</t>
  </si>
  <si>
    <t>HPBL4-L-O26H-10228</t>
  </si>
  <si>
    <t>PIL-L-I26H-22580</t>
  </si>
  <si>
    <t>HPBL4-L-O26H-10229</t>
  </si>
  <si>
    <t>PIL-L-I26H-22595</t>
  </si>
  <si>
    <t>HPBL4-L-O26H-10230</t>
  </si>
  <si>
    <t>PIL-L-I26H-22604</t>
  </si>
  <si>
    <t>HPBL4-L-O26H-10231</t>
  </si>
  <si>
    <t>PIL-L-I26H-22596</t>
  </si>
  <si>
    <t>HPBL4-L-O26H-10232</t>
  </si>
  <si>
    <t>PIL-L-I26H-22635</t>
  </si>
  <si>
    <t>HPBL4-L-O26H-10233</t>
  </si>
  <si>
    <t>PIL-L-I26H-22605</t>
  </si>
  <si>
    <t>HPBL4-L-O26H-10234</t>
  </si>
  <si>
    <t>PIL-L-I26H-22312</t>
  </si>
  <si>
    <t>HPBL4-L-O26H-10235</t>
  </si>
  <si>
    <t>PIL-L-I26H-22577</t>
  </si>
  <si>
    <t>pil1/d/1381</t>
  </si>
  <si>
    <t>HPBL4-L-O26H-10236</t>
  </si>
  <si>
    <t>PIL-L-I26H-22578</t>
  </si>
  <si>
    <t>HPBL4-L-O26H-10237</t>
  </si>
  <si>
    <t>PIL-L-I26H-22582</t>
  </si>
  <si>
    <t>HPBL4-L-O26H-10238</t>
  </si>
  <si>
    <t>PIL-L-I26H-22618</t>
  </si>
  <si>
    <t>HPBL4-L-O26H-10239</t>
  </si>
  <si>
    <t>PIL-L-I26H-22620</t>
  </si>
  <si>
    <t>HPBL4-L-O26H-10240</t>
  </si>
  <si>
    <t>PIL-L-I26H-22637</t>
  </si>
  <si>
    <t>HPBL4-L-O26H-10241</t>
  </si>
  <si>
    <t>PIL-L-I26H-22610</t>
  </si>
  <si>
    <t>HPBL4-L-O26H-10242</t>
  </si>
  <si>
    <t>PIL-L-I26H-22619</t>
  </si>
  <si>
    <t>HPBL4-L-O26H-10243</t>
  </si>
  <si>
    <t>PIL-L-I26H-22638</t>
  </si>
  <si>
    <t>HPBL4-L-O26H-10244</t>
  </si>
  <si>
    <t>PIL-L-I26H-22612</t>
  </si>
  <si>
    <t>HPBL4-L-O26H-10245</t>
  </si>
  <si>
    <t>PIL-L-I26H-22626</t>
  </si>
  <si>
    <t>HPBL4-L-O26H-10246</t>
  </si>
  <si>
    <t>PIL-L-I26H-22629</t>
  </si>
  <si>
    <t>HPBL4-L-O26H-10247</t>
  </si>
  <si>
    <t>PIL-L-I26H-22633</t>
  </si>
  <si>
    <t>HPBL4-L-O26H-10248</t>
  </si>
  <si>
    <t>PIL-L-I26H-22631</t>
  </si>
  <si>
    <t>HPBL4-L-O26H-10249</t>
  </si>
  <si>
    <t>PIL-L-I26H-22632</t>
  </si>
  <si>
    <t>HPBL4-L-O26H-10250</t>
  </si>
  <si>
    <t>PIL-L-I26H-22636</t>
  </si>
  <si>
    <t>HPBL4-L-O26H-10251</t>
  </si>
  <si>
    <t>PIL-L-I26H-22613</t>
  </si>
  <si>
    <t>HPBL4-L-O26H-10252</t>
  </si>
  <si>
    <t>PIL-L-I26H-22576</t>
  </si>
  <si>
    <t>HPBL4-L-O26H-10253</t>
  </si>
  <si>
    <t>PIL-L-I26H-22583</t>
  </si>
  <si>
    <t>HPBL4-L-O26H-10254</t>
  </si>
  <si>
    <t>PIL-L-I26H-22588</t>
  </si>
  <si>
    <t>HPBL4-L-O26H-10255</t>
  </si>
  <si>
    <t>PIL-L-I26H-22591</t>
  </si>
  <si>
    <t>HPBL4-L-O26H-10256</t>
  </si>
  <si>
    <t>PIL-L-I26H-22607</t>
  </si>
  <si>
    <t>HPBL4-L-O26H-10257</t>
  </si>
  <si>
    <t>PIL-L-I26H-22630</t>
  </si>
  <si>
    <t>HPBL4-L-O26H-10258</t>
  </si>
  <si>
    <t>PIL-L-I26H-22621</t>
  </si>
  <si>
    <t>HPBL4-L-O26H-10259</t>
  </si>
  <si>
    <t>PIL-L-I26H-22625</t>
  </si>
  <si>
    <t>HPBL4-L-O26H-10260</t>
  </si>
  <si>
    <t>PIL-L-I26H-22634</t>
  </si>
  <si>
    <t>HPBL4-L-O26H-10261</t>
  </si>
  <si>
    <t>PIL-L-I26H-22581</t>
  </si>
  <si>
    <t>HPBL4-L-O26H-10262</t>
  </si>
  <si>
    <t>PIL-L-I26H-22594</t>
  </si>
  <si>
    <t>HPBL4-L-O26H-10263L</t>
  </si>
  <si>
    <t>PIL-L-I26H-22551L</t>
  </si>
  <si>
    <t>HPBL4-L-O26H-10264</t>
  </si>
  <si>
    <t>PIL-L-I26H-22688</t>
  </si>
  <si>
    <t>HPBL4-L-O26H-10265</t>
  </si>
  <si>
    <t>PIL-L-I26H-22723</t>
  </si>
  <si>
    <t>HPBL4-L-O26H-10266</t>
  </si>
  <si>
    <t>PIL-L-I26H-22674</t>
  </si>
  <si>
    <t>HPBL4-L-O26H-10267</t>
  </si>
  <si>
    <t>PP 107 TUBE MW 30% RP</t>
  </si>
  <si>
    <t>PIL-L-I26H-22680</t>
  </si>
  <si>
    <t>HPBL4-L-O26H-10268</t>
  </si>
  <si>
    <t>PIL-L-I26H-22672</t>
  </si>
  <si>
    <t>HPBL4-L-O26H-10269</t>
  </si>
  <si>
    <t>PIL-L-I26H-22667</t>
  </si>
  <si>
    <t>HPBL4-L-O26H-10270</t>
  </si>
  <si>
    <t>PIL-L-I26H-22670</t>
  </si>
  <si>
    <t>HPBL4-L-O26H-10271</t>
  </si>
  <si>
    <t>PIL-L-I26H-22671</t>
  </si>
  <si>
    <t>HPBL4-L-O26H-10272</t>
  </si>
  <si>
    <t>PIL-L-I26H-22673</t>
  </si>
  <si>
    <t>HPBL4-L-O26H-10273L</t>
  </si>
  <si>
    <t>PIL-L-I26H-22601L</t>
  </si>
  <si>
    <t>HPBL4-L-O26H-10274L</t>
  </si>
  <si>
    <t>PIL-L-I26H-22497L</t>
  </si>
  <si>
    <t>HPBL4-L-O26H-10275</t>
  </si>
  <si>
    <t>PIL-L-I26H-22700</t>
  </si>
  <si>
    <t>HPBL4-L-O26H-10276</t>
  </si>
  <si>
    <t>PIL-L-I26H-22675</t>
  </si>
  <si>
    <t>HPBL4-L-O26H-10277</t>
  </si>
  <si>
    <t>PIL-L-I26H-22712</t>
  </si>
  <si>
    <t>HPBL4-L-O26H-10278</t>
  </si>
  <si>
    <t>PIL-L-I26H-22711</t>
  </si>
  <si>
    <t>HPBL4-L-O26H-10279</t>
  </si>
  <si>
    <t>PIL-L-I26H-22719</t>
  </si>
  <si>
    <t>HPBL4-L-O26H-10280</t>
  </si>
  <si>
    <t>PIL-L-I26H-22720</t>
  </si>
  <si>
    <t>HPBL4-L-O26H-10281</t>
  </si>
  <si>
    <t>PIL-L-I26H-22721</t>
  </si>
  <si>
    <t>HPBL4-L-O26H-10282</t>
  </si>
  <si>
    <t>PIL-L-I26H-22722</t>
  </si>
  <si>
    <t>HPBL4-L-O26H-10283</t>
  </si>
  <si>
    <t>PIL-L-I26H-22678</t>
  </si>
  <si>
    <t>HPBL4-L-O26H-10284</t>
  </si>
  <si>
    <t>PIL-L-I26H-22681</t>
  </si>
  <si>
    <t>HPBL4-L-O26H-10285</t>
  </si>
  <si>
    <t>PIL-L-I26H-22705</t>
  </si>
  <si>
    <t>HPBL4-L-O26H-10286</t>
  </si>
  <si>
    <t>PIL-L-I26H-22698</t>
  </si>
  <si>
    <t>HPBL4-L-O26H-10287</t>
  </si>
  <si>
    <t>PIL-L-I26H-22716</t>
  </si>
  <si>
    <t>HPBL4-L-O26H-10288</t>
  </si>
  <si>
    <t>PIL-L-I26H-22684</t>
  </si>
  <si>
    <t>HPBL4-L-O26H-10289</t>
  </si>
  <si>
    <t>PIL-L-I26H-22696</t>
  </si>
  <si>
    <t>HPBL4-L-O26H-10290</t>
  </si>
  <si>
    <t>PIL-L-I26H-22714</t>
  </si>
  <si>
    <t>HPBL4-L-O26H-10291</t>
  </si>
  <si>
    <t>PIL-L-I26H-22715</t>
  </si>
  <si>
    <t>HPBL4-L-O26H-10292</t>
  </si>
  <si>
    <t>PIL-L-I26H-22687</t>
  </si>
  <si>
    <t>HPBL4-L-O26H-10293</t>
  </si>
  <si>
    <t>PIL-L-I26H-22701</t>
  </si>
  <si>
    <t>HPBL4-L-O26H-10294</t>
  </si>
  <si>
    <t>PIL-L-I26H-22710</t>
  </si>
  <si>
    <t>HPBL4-L-O26H-10295</t>
  </si>
  <si>
    <t>PIL-L-I26H-22717</t>
  </si>
  <si>
    <t>HPBL4-L-O26H-10296</t>
  </si>
  <si>
    <t>PIL-L-I26H-22718</t>
  </si>
  <si>
    <t>HPBL4-L-O26H-10297</t>
  </si>
  <si>
    <t>PIL-L-I26H-22668</t>
  </si>
  <si>
    <t>HPBL4-L-O26H-10298</t>
  </si>
  <si>
    <t>PIL-L-I26H-22679</t>
  </si>
  <si>
    <t>HPBL4-L-O26H-10299</t>
  </si>
  <si>
    <t>PIL-L-I26H-22713</t>
  </si>
  <si>
    <t>HPBL4-L-O26H-10300</t>
  </si>
  <si>
    <t>PIL-L-I26H-22669</t>
  </si>
  <si>
    <t>HPBL4-L-O26H-10301</t>
  </si>
  <si>
    <t>PIL-L-I26H-22685</t>
  </si>
  <si>
    <t>HPBL4-L-O26H-10302L</t>
  </si>
  <si>
    <t>HPBL-L-I26H-12099</t>
  </si>
  <si>
    <t>PP 78 FLAT BLACK</t>
  </si>
  <si>
    <t>PIL-L-O26H-12313L</t>
  </si>
  <si>
    <t>HPBL4-L-O26H-10303</t>
  </si>
  <si>
    <t>PIL-L-I26H-22773</t>
  </si>
  <si>
    <t>HPBL4-L-O26H-10304</t>
  </si>
  <si>
    <t>PIL-L-I26H-22784</t>
  </si>
  <si>
    <t>HPBL4-L-O26H-10305</t>
  </si>
  <si>
    <t>PIL-L-I26H-22733</t>
  </si>
  <si>
    <t>HPBL4-L-O26H-10306</t>
  </si>
  <si>
    <t>PIL-L-I26H-22734</t>
  </si>
  <si>
    <t>HPBL4-L-O26H-10307</t>
  </si>
  <si>
    <t>PIL-L-I26H-22750</t>
  </si>
  <si>
    <t>HPBL4-L-O26H-10308</t>
  </si>
  <si>
    <t>PIL-L-I26H-22742</t>
  </si>
  <si>
    <t>HPBL4-L-O26H-10309</t>
  </si>
  <si>
    <t>PIL-L-I26H-22747</t>
  </si>
  <si>
    <t>HPBL4-L-O26H-10310</t>
  </si>
  <si>
    <t>PIL-L-I26H-22763</t>
  </si>
  <si>
    <t>HPBL4-L-O26H-10311</t>
  </si>
  <si>
    <t>PIL-L-I26H-22766</t>
  </si>
  <si>
    <t>HPBL4-L-O26H-10312</t>
  </si>
  <si>
    <t>PIL-L-I26H-22768</t>
  </si>
  <si>
    <t>HPBL4-L-O26H-10313</t>
  </si>
  <si>
    <t>PIL-L-I26H-22780</t>
  </si>
  <si>
    <t>HPBL4-L-O26H-10314</t>
  </si>
  <si>
    <t>PIL-L-I26H-22788</t>
  </si>
  <si>
    <t>HPBL4-L-O26H-10315</t>
  </si>
  <si>
    <t>PIL-L-I26H-22795</t>
  </si>
  <si>
    <t>HPBL4-L-O26H-10316</t>
  </si>
  <si>
    <t>PIL-L-I26H-22767</t>
  </si>
  <si>
    <t>HPBL4-L-O26H-10317</t>
  </si>
  <si>
    <t>PIL-L-I26H-22769</t>
  </si>
  <si>
    <t>HPBL4-L-O26H-10318</t>
  </si>
  <si>
    <t>PIL-L-I26H-22770</t>
  </si>
  <si>
    <t>HPBL4-L-O26H-10319</t>
  </si>
  <si>
    <t>PIL-L-I26H-22787</t>
  </si>
  <si>
    <t>HPBL4-L-O26H-10320</t>
  </si>
  <si>
    <t>PP 100 FLAT MW Folding</t>
  </si>
  <si>
    <t>RETRUN TO PARTY</t>
  </si>
  <si>
    <t>HPBL4-L-O26H-10321</t>
  </si>
  <si>
    <t>PIL-L-I26H-22744</t>
  </si>
  <si>
    <t>HPBL4-L-O26H-10322</t>
  </si>
  <si>
    <t>PIL-L-I26H-22783</t>
  </si>
  <si>
    <t>HPBL4-L-O26H-10323</t>
  </si>
  <si>
    <t>PIL-L-I26H-22740</t>
  </si>
  <si>
    <t>HPBL4-L-O26H-10324</t>
  </si>
  <si>
    <t>PIL-L-I26H-22777</t>
  </si>
  <si>
    <t>HPBL4-L-O26H-10325</t>
  </si>
  <si>
    <t>PIL-L-I26H-22779</t>
  </si>
  <si>
    <t>HPBL4-L-O26H-10326</t>
  </si>
  <si>
    <t>PIL-L-I26H-22785</t>
  </si>
  <si>
    <t>HPBL4-L-O26H-10327</t>
  </si>
  <si>
    <t>PIL-L-I26H-22794</t>
  </si>
  <si>
    <t>HPBL4-L-O26H-10328</t>
  </si>
  <si>
    <t>PIL-L-I26H-22781</t>
  </si>
  <si>
    <t>HPBL4-L-O26H-10329</t>
  </si>
  <si>
    <t>PIL-L-I26H-22771</t>
  </si>
  <si>
    <t>HPBL4-L-O26H-10330</t>
  </si>
  <si>
    <t>PIL-L-I26H-22772</t>
  </si>
  <si>
    <t>HPBL4-L-O26H-10331</t>
  </si>
  <si>
    <t>PIL-L-I26H-22798</t>
  </si>
  <si>
    <t>HPBL4-L-O26H-10332</t>
  </si>
  <si>
    <t>PP 88 FLAT YELLOW 114 C 30% RPP Folding</t>
  </si>
  <si>
    <t>PIL-L-I26H-22739</t>
  </si>
  <si>
    <t>HPBL4-L-O26H-10333</t>
  </si>
  <si>
    <t>PIL-L-I26H-22753</t>
  </si>
  <si>
    <t>HPBL4-L-O26H-10334</t>
  </si>
  <si>
    <t>PIL-L-I26H-22762</t>
  </si>
  <si>
    <t>HPBL4-L-O26H-10335</t>
  </si>
  <si>
    <t>PIL-L-I26H-22745</t>
  </si>
  <si>
    <t>HPBL4-L-O26H-10336</t>
  </si>
  <si>
    <t>PIL-L-I26H-22761</t>
  </si>
  <si>
    <t>HPBL4-L-O26H-10337</t>
  </si>
  <si>
    <t>PIL-L-I26H-22756</t>
  </si>
  <si>
    <t>HPBL4-L-O26H-10338</t>
  </si>
  <si>
    <t>PIL-L-I26H-22759</t>
  </si>
  <si>
    <t>HPBL4-L-O26H-10339</t>
  </si>
  <si>
    <t>PIL-L-I26H-22764</t>
  </si>
  <si>
    <t>HPBL4-L-O26H-10340</t>
  </si>
  <si>
    <t>PIL-L-I26H-22760</t>
  </si>
  <si>
    <t>HPBL4-L-O26H-10341</t>
  </si>
  <si>
    <t>PIL-L-I26H-22765</t>
  </si>
  <si>
    <t>HPBL4-L-O26H-10342</t>
  </si>
  <si>
    <t>PP 83 FLAT YELLOW 114 C 30% RPP Folding</t>
  </si>
  <si>
    <t>PIL-L-I26H-22737</t>
  </si>
  <si>
    <t>HPBL4-L-O26H-10343</t>
  </si>
  <si>
    <t>PIL-L-I26H-22746</t>
  </si>
  <si>
    <t>HPBL4-L-O26H-10344</t>
  </si>
  <si>
    <t>PIL-L-I26H-22752</t>
  </si>
  <si>
    <t>HPBL4-L-O26H-10345</t>
  </si>
  <si>
    <t>PIL-L-I26H-22751</t>
  </si>
  <si>
    <t>HPBL4-L-O26H-10346L</t>
  </si>
  <si>
    <t>HPBL-L-I26G-11062</t>
  </si>
  <si>
    <t>PP 56 FLAT MW</t>
  </si>
  <si>
    <t>PPL-L-O26G-02316L</t>
  </si>
  <si>
    <t>HCP 4 DT 16.08.26</t>
  </si>
  <si>
    <t>HPBL4-L-O26H-10347L</t>
  </si>
  <si>
    <t>PH-163</t>
  </si>
  <si>
    <t>PPL-L-O26H-02768L</t>
  </si>
  <si>
    <t>HPBL4-L-O26H-10348L</t>
  </si>
  <si>
    <t>PP 52 FLAT BLACK</t>
  </si>
  <si>
    <t>100+10</t>
  </si>
  <si>
    <t>PPL-L-O26H-02771L</t>
  </si>
  <si>
    <t>HPBL4-L-O26H-10349L</t>
  </si>
  <si>
    <t>PP 93 FLAT MW SPOUT</t>
  </si>
  <si>
    <t>70+10</t>
  </si>
  <si>
    <t>PPL-L-O26H-02770L</t>
  </si>
  <si>
    <t>HPBL4-L-O26H-10350L</t>
  </si>
  <si>
    <t>PPL-L-O26H-02769L</t>
  </si>
  <si>
    <t>HPBL4-L-O26H-10351L</t>
  </si>
  <si>
    <t>PP 105 FLAT BLACK</t>
  </si>
  <si>
    <t>PPL-L-O26H-02772L</t>
  </si>
  <si>
    <t>HPBL4-L-O26H-10352</t>
  </si>
  <si>
    <t>PIL-L-I26H-22775</t>
  </si>
  <si>
    <t>pil1/d/1408</t>
  </si>
  <si>
    <t>HPBL4-L-O26H-10353</t>
  </si>
  <si>
    <t>PIL-L-I26H-22849</t>
  </si>
  <si>
    <t>HPBL4-L-O26H-10354</t>
  </si>
  <si>
    <t>PIL-L-I26H-22856</t>
  </si>
  <si>
    <t>HPBL4-L-O26H-10355</t>
  </si>
  <si>
    <t>PIL-L-I26H-22857</t>
  </si>
  <si>
    <t>HPBL4-L-O26H-10356</t>
  </si>
  <si>
    <t>PIL-L-I26H-22585</t>
  </si>
  <si>
    <t>HPBL4-L-O26H-10357</t>
  </si>
  <si>
    <t>PIL-L-I26H-22694</t>
  </si>
  <si>
    <t>HPBL4-L-O26H-10358</t>
  </si>
  <si>
    <t>PIL-L-I26H-22748</t>
  </si>
  <si>
    <t>HPBL4-L-O26H-10359</t>
  </si>
  <si>
    <t>PIL-L-I26H-22824</t>
  </si>
  <si>
    <t>HPBL4-L-O26H-10360</t>
  </si>
  <si>
    <t>PIL-L-I26H-22852</t>
  </si>
  <si>
    <t>HPBL4-L-O26H-10361</t>
  </si>
  <si>
    <t>PIL-L-I26H-22860</t>
  </si>
  <si>
    <t>HPBL4-L-O26H-10362</t>
  </si>
  <si>
    <t>PIL-L-I26H-22817</t>
  </si>
  <si>
    <t>HPBL4-L-O26H-10363</t>
  </si>
  <si>
    <t>PIL-L-I26H-22825</t>
  </si>
  <si>
    <t>HPBL4-L-O26H-10364</t>
  </si>
  <si>
    <t>PIL-L-I26H-22833</t>
  </si>
  <si>
    <t>HPBL4-L-O26H-10365</t>
  </si>
  <si>
    <t>PIL-L-I26H-22836</t>
  </si>
  <si>
    <t>HPBL4-L-O26H-10366</t>
  </si>
  <si>
    <t>PIL-L-I26H-22838</t>
  </si>
  <si>
    <t>HPBL4-L-O26H-10367</t>
  </si>
  <si>
    <t>PIL-L-I26H-22828</t>
  </si>
  <si>
    <t>HPBL4-L-O26H-10368</t>
  </si>
  <si>
    <t>PIL-L-I26H-22830</t>
  </si>
  <si>
    <t>HPBL4-L-O26H-10369</t>
  </si>
  <si>
    <t>PIL-L-I26H-22841</t>
  </si>
  <si>
    <t>HPBL4-L-O26H-10370</t>
  </si>
  <si>
    <t>PIL-L-I26H-22843</t>
  </si>
  <si>
    <t>HPBL4-L-O26H-10371</t>
  </si>
  <si>
    <t>PIL-L-I26H-22848</t>
  </si>
  <si>
    <t>HPBL4-L-O26H-10372</t>
  </si>
  <si>
    <t>PIL-L-I26H-22708</t>
  </si>
  <si>
    <t>HPBL4-L-O26H-10373</t>
  </si>
  <si>
    <t>PIL-L-I26H-22624</t>
  </si>
  <si>
    <t>HPBL4-L-O26H-10374</t>
  </si>
  <si>
    <t>PIL-L-I26H-22749</t>
  </si>
  <si>
    <t>HPBL4-L-O26H-10375</t>
  </si>
  <si>
    <t>PIL-L-I26H-22820</t>
  </si>
  <si>
    <t>HPBL4-L-O26H-10376</t>
  </si>
  <si>
    <t>PIL-L-I26H-22826</t>
  </si>
  <si>
    <t>HPBL4-L-O26H-10377</t>
  </si>
  <si>
    <t>PIL-L-I26H-22834</t>
  </si>
  <si>
    <t>HPBL4-L-O26H-10378</t>
  </si>
  <si>
    <t>PIL-L-I26H-22839</t>
  </si>
  <si>
    <t>HPBL4-L-O26H-10379</t>
  </si>
  <si>
    <t>PIL-L-I26H-22844</t>
  </si>
  <si>
    <t>HPBL4-L-O26H-10380</t>
  </si>
  <si>
    <t>PIL-L-I26H-22845</t>
  </si>
  <si>
    <t>HPBL4-L-O26H-10381</t>
  </si>
  <si>
    <t>PIL-L-I26H-22855</t>
  </si>
  <si>
    <t>HPBL4-L-O26H-10382</t>
  </si>
  <si>
    <t>PIL-L-I26H-22858</t>
  </si>
  <si>
    <t>HPBL4-L-O26H-10383</t>
  </si>
  <si>
    <t>PIL-L-I26H-22874</t>
  </si>
  <si>
    <t>HPBL4-L-O26H-10384</t>
  </si>
  <si>
    <t>PIL-L-I26H-22877</t>
  </si>
  <si>
    <t>HPBL4-L-O26H-10385</t>
  </si>
  <si>
    <t>PIL-L-I26H-22709</t>
  </si>
  <si>
    <t>HPBL4-L-O26H-10386</t>
  </si>
  <si>
    <t>PIL-L-I26H-22819</t>
  </si>
  <si>
    <t>HPBL4-L-O26H-10387</t>
  </si>
  <si>
    <t>PIL-L-I26H-22831</t>
  </si>
  <si>
    <t>HPBL4-L-O26H-10388</t>
  </si>
  <si>
    <t>PIL-L-I26H-22835</t>
  </si>
  <si>
    <t>HPBL4-L-O26H-10389</t>
  </si>
  <si>
    <t>PIL-L-I26H-22847</t>
  </si>
  <si>
    <t>HPBL4-L-O26H-10390</t>
  </si>
  <si>
    <t>PIL-L-I26H-22851</t>
  </si>
  <si>
    <t>HPBL4-L-O26H-10391</t>
  </si>
  <si>
    <t>PIL-L-I26H-22864</t>
  </si>
  <si>
    <t>HPBL4-L-O26H-10392</t>
  </si>
  <si>
    <t>PIL-L-I26H-22875</t>
  </si>
  <si>
    <t>HPBL4-L-O26H-10393</t>
  </si>
  <si>
    <t>PIL-L-I26H-22832</t>
  </si>
  <si>
    <t>HPBL4-L-O26H-10394</t>
  </si>
  <si>
    <t>PIL-L-I26H-22842</t>
  </si>
  <si>
    <t>HPBL4-L-O26H-10395</t>
  </si>
  <si>
    <t>PIL-L-I26H-22827</t>
  </si>
  <si>
    <t>HPBL4-L-O26H-10396</t>
  </si>
  <si>
    <t>PIL-L-I26H-22846</t>
  </si>
  <si>
    <t>HPBL4-L-O26H-10397</t>
  </si>
  <si>
    <t>PIL-L-I26H-22850</t>
  </si>
  <si>
    <t>HPBL4-L-O26H-10398</t>
  </si>
  <si>
    <t>PIL-L-I26H-22854</t>
  </si>
  <si>
    <t>HPBL4-L-O26H-10399</t>
  </si>
  <si>
    <t>PIL-L-I26H-22818</t>
  </si>
  <si>
    <t>HPBL4-L-O26H-10400</t>
  </si>
  <si>
    <t>PIL-L-I26H-22829</t>
  </si>
  <si>
    <t>HPBL4-L-O26H-10401</t>
  </si>
  <si>
    <t>PIL-L-I26H-22757</t>
  </si>
  <si>
    <t>HPBL4-L-O26H-10402</t>
  </si>
  <si>
    <t>PIL-L-I26H-22821</t>
  </si>
  <si>
    <t>HPBL4-L-O26H-10403</t>
  </si>
  <si>
    <t>PIL-L-I26H-22176</t>
  </si>
  <si>
    <t>HPBL4-L-O26H-10404</t>
  </si>
  <si>
    <t>PIL-L-I26H-22840</t>
  </si>
  <si>
    <t>HPBL4-L-O26H-10405</t>
  </si>
  <si>
    <t>PIL-L-I26H-22872</t>
  </si>
  <si>
    <t>HPBL4-L-O26H-10406</t>
  </si>
  <si>
    <t>PIL-L-I26H-22876</t>
  </si>
  <si>
    <t>HPBL4-L-O26H-10407</t>
  </si>
  <si>
    <t>PIL-L-I26H-22853</t>
  </si>
  <si>
    <t>HPBL4-L-O26H-10408</t>
  </si>
  <si>
    <t>PIL-L-I26H-22859</t>
  </si>
  <si>
    <t>HPBL4-L-O26H-10409</t>
  </si>
  <si>
    <t>PIL-L-I26H-22870</t>
  </si>
  <si>
    <t>HPBL4-L-O26H-10410</t>
  </si>
  <si>
    <t>PIL-L-I26H-22873</t>
  </si>
  <si>
    <t>HPBL4-L-O26H-10411L</t>
  </si>
  <si>
    <t>PIL-L-I26H-22724L</t>
  </si>
  <si>
    <t>HPBL4-L-O26H-10412L</t>
  </si>
  <si>
    <t>PIL-L-I26H-22495L</t>
  </si>
  <si>
    <t>HPBL4-L-O26H-10413L</t>
  </si>
  <si>
    <t>HPBL-L-I26H-11987</t>
  </si>
  <si>
    <t>PP 94 FLAT M/W</t>
  </si>
  <si>
    <t>PIL-L-O26H-12050L</t>
  </si>
  <si>
    <t>HPBL4-L-O26H-10414</t>
  </si>
  <si>
    <t>PIL-L-I26H-22904</t>
  </si>
  <si>
    <t>HPBL4-L-O26H-10415</t>
  </si>
  <si>
    <t>PIL-L-I26H-22889</t>
  </si>
  <si>
    <t>HPBL4-L-O26H-10416</t>
  </si>
  <si>
    <t>PIL-L-I26H-22896</t>
  </si>
  <si>
    <t>HPBL4-L-O26H-10417</t>
  </si>
  <si>
    <t>PIL-L-I26H-22900</t>
  </si>
  <si>
    <t>HPBL4-L-O26H-10418</t>
  </si>
  <si>
    <t>PIL-L-I26H-22912</t>
  </si>
  <si>
    <t>HPBL4-L-O26H-10419</t>
  </si>
  <si>
    <t>PIL-L-I26H-22913</t>
  </si>
  <si>
    <t>HPBL4-L-O26H-10420</t>
  </si>
  <si>
    <t>PIL-L-I26H-22928</t>
  </si>
  <si>
    <t>HPBL4-L-O26H-10421</t>
  </si>
  <si>
    <t>PIL-L-I26H-22934</t>
  </si>
  <si>
    <t>HPBL4-L-O26H-10422</t>
  </si>
  <si>
    <t>PIL-L-I26H-22892</t>
  </si>
  <si>
    <t>HPBL4-L-O26H-10423</t>
  </si>
  <si>
    <t>PIL-L-I26H-22897</t>
  </si>
  <si>
    <t>HPBL4-L-O26H-10424</t>
  </si>
  <si>
    <t>PIL-L-I26H-22907</t>
  </si>
  <si>
    <t>HPBL4-L-O26H-10425</t>
  </si>
  <si>
    <t>PIL-L-I26H-22886</t>
  </si>
  <si>
    <t>HPBL4-L-O26H-10426</t>
  </si>
  <si>
    <t>PIL-L-I26H-22903</t>
  </si>
  <si>
    <t>HPBL4-L-O26H-10427</t>
  </si>
  <si>
    <t>PIL-L-I26H-22911</t>
  </si>
  <si>
    <t>HPBL4-L-O26H-10428</t>
  </si>
  <si>
    <t>PIL-L-I26H-22915</t>
  </si>
  <si>
    <t>HPBL4-L-O26H-10429</t>
  </si>
  <si>
    <t>PIL-L-I26H-22931</t>
  </si>
  <si>
    <t>HPBL4-L-O26H-10430</t>
  </si>
  <si>
    <t>PIL-L-I26H-22932</t>
  </si>
  <si>
    <t>HPBL4-L-O26H-10431</t>
  </si>
  <si>
    <t>PIL-L-I26H-22933</t>
  </si>
  <si>
    <t>HPBL4-L-O26H-10432</t>
  </si>
  <si>
    <t>PIL-L-I26H-22942</t>
  </si>
  <si>
    <t>HPBL4-L-O26H-10433</t>
  </si>
  <si>
    <t>PIL-L-I26H-22910</t>
  </si>
  <si>
    <t>HPBL4-L-O26H-10434</t>
  </si>
  <si>
    <t>PIL-L-I26H-22918</t>
  </si>
  <si>
    <t>HPBL4-L-O26H-10435</t>
  </si>
  <si>
    <t>PIL-L-I26H-22935</t>
  </si>
  <si>
    <t>HPBL4-L-O26H-10436</t>
  </si>
  <si>
    <t>PIL-L-I26H-22938</t>
  </si>
  <si>
    <t>HPBL4-L-O26H-10437</t>
  </si>
  <si>
    <t>PIL-L-I26H-22941</t>
  </si>
  <si>
    <t>HPBL4-L-O26H-10438</t>
  </si>
  <si>
    <t>PIL-L-I26H-22887</t>
  </si>
  <si>
    <t>HPBL4-L-O26H-10439</t>
  </si>
  <si>
    <t>PIL-L-I26H-22890</t>
  </si>
  <si>
    <t>HPBL4-L-O26H-10440</t>
  </si>
  <si>
    <t>PIL-L-I26H-22893</t>
  </si>
  <si>
    <t>HPBL4-L-O26H-10441</t>
  </si>
  <si>
    <t>PIL-L-I26H-22943</t>
  </si>
  <si>
    <t>HPBL4-L-O26H-10442</t>
  </si>
  <si>
    <t>PIL-L-I26H-22929</t>
  </si>
  <si>
    <t>HPBL4-L-O26H-10443</t>
  </si>
  <si>
    <t>PIL-L-I26H-22623</t>
  </si>
  <si>
    <t>HPBL4-L-O26H-10444</t>
  </si>
  <si>
    <t>PIL-L-I26H-22895</t>
  </si>
  <si>
    <t>HPBL4-L-O26H-10445</t>
  </si>
  <si>
    <t>PIL-L-I26H-22902</t>
  </si>
  <si>
    <t>HPBL4-L-O26H-10446</t>
  </si>
  <si>
    <t>PIL-L-I26H-22891</t>
  </si>
  <si>
    <t>HPBL4-L-O26H-10447</t>
  </si>
  <si>
    <t>PIL-L-I26H-22894</t>
  </si>
  <si>
    <t>HPBL4-L-O26H-10448</t>
  </si>
  <si>
    <t>PIL-L-I26H-22909</t>
  </si>
  <si>
    <t>HPBL4-L-O26H-10449</t>
  </si>
  <si>
    <t>PIL-L-I26H-22927</t>
  </si>
  <si>
    <t>HPBL4-L-O26H-10450</t>
  </si>
  <si>
    <t>PIL-L-I26H-22930</t>
  </si>
  <si>
    <t>HPBL4-L-O26H-10451</t>
  </si>
  <si>
    <t>PIL-L-I26H-22940</t>
  </si>
  <si>
    <t>HPBL4-L-O26H-10452</t>
  </si>
  <si>
    <t>PIL-L-I26H-22944</t>
  </si>
  <si>
    <t>HPBL4-L-O26H-10453</t>
  </si>
  <si>
    <t>PIL-L-I26H-22888</t>
  </si>
  <si>
    <t>HPBL4-L-O26H-10454</t>
  </si>
  <si>
    <t>PIL-L-I26H-22905</t>
  </si>
  <si>
    <t>HPBL4-L-O26H-10455</t>
  </si>
  <si>
    <t>PIL-L-I26G-20827</t>
  </si>
  <si>
    <t>HPBL4-L-O26H-10456</t>
  </si>
  <si>
    <t>pp 87 FLAT MW</t>
  </si>
  <si>
    <t>PPL-L-O26H-02816</t>
  </si>
  <si>
    <t>UL HCP-4 19.08.26</t>
  </si>
  <si>
    <t>HPBL4-L-O26H-10457</t>
  </si>
  <si>
    <t>pp 97 FLAT MW</t>
  </si>
  <si>
    <t>PPL-L-O26H-02817</t>
  </si>
  <si>
    <t>HPBL4-L-O26H-10458</t>
  </si>
  <si>
    <t>PP 87 FLAT MW</t>
  </si>
  <si>
    <t>PPL-L-O26H-02815</t>
  </si>
  <si>
    <t>HPBL4-L-O26H-10459</t>
  </si>
  <si>
    <t>PPL-L-I26H-05903</t>
  </si>
  <si>
    <t>HPBL4-L-O26H-10460</t>
  </si>
  <si>
    <t>PPL-L-I26H-05767</t>
  </si>
  <si>
    <t>HPBL4-L-O26H-10461</t>
  </si>
  <si>
    <t>PIL-L-I26H-22962</t>
  </si>
  <si>
    <t>HPBL4-L-O26H-10462</t>
  </si>
  <si>
    <t>PIL-L-I26H-22968</t>
  </si>
  <si>
    <t>HPBL4-L-O26H-10463</t>
  </si>
  <si>
    <t>PIL-L-I26H-22984</t>
  </si>
  <si>
    <t>HPBL4-L-O26H-10464</t>
  </si>
  <si>
    <t>PIL-L-I26H-22990</t>
  </si>
  <si>
    <t>HPBL4-L-O26H-10465</t>
  </si>
  <si>
    <t>PIL-L-I26H-23005</t>
  </si>
  <si>
    <t>HPBL4-L-O26H-10466</t>
  </si>
  <si>
    <t>PIL-L-I26H-23018</t>
  </si>
  <si>
    <t>HPBL4-L-O26H-10467</t>
  </si>
  <si>
    <t>PIL-L-I26H-22977</t>
  </si>
  <si>
    <t>HPBL4-L-O26H-10468</t>
  </si>
  <si>
    <t>PIL-L-I26H-22995</t>
  </si>
  <si>
    <t>HPBL4-L-O26H-10469</t>
  </si>
  <si>
    <t>PIL-L-I26H-22998</t>
  </si>
  <si>
    <t>HPBL4-L-O26H-10470</t>
  </si>
  <si>
    <t>PIL-L-I26H-23007</t>
  </si>
  <si>
    <t>HPBL4-L-O26H-10471</t>
  </si>
  <si>
    <t>PIL-L-I26H-23010</t>
  </si>
  <si>
    <t>HPBL4-L-O26H-10472</t>
  </si>
  <si>
    <t>PIL-L-I26H-22957</t>
  </si>
  <si>
    <t>HPBL4-L-O26H-10473</t>
  </si>
  <si>
    <t>PIL-L-I26H-22961</t>
  </si>
  <si>
    <t>HPBL4-L-O26H-10474</t>
  </si>
  <si>
    <t>PIL-L-I26H-22974</t>
  </si>
  <si>
    <t>HPBL4-L-O26H-10475</t>
  </si>
  <si>
    <t>PIL-L-I26H-22983</t>
  </si>
  <si>
    <t>HPBL4-L-O26H-10476</t>
  </si>
  <si>
    <t>PIL-L-I26H-22993</t>
  </si>
  <si>
    <t>HPBL4-L-O26H-10477</t>
  </si>
  <si>
    <t>PIL-L-I26H-22999</t>
  </si>
  <si>
    <t>HPBL4-L-O26H-10478</t>
  </si>
  <si>
    <t>PIL-L-I26H-23001</t>
  </si>
  <si>
    <t>HPBL4-L-O26H-10479</t>
  </si>
  <si>
    <t>PIL-L-I26H-23002</t>
  </si>
  <si>
    <t>HPBL4-L-O26H-10480</t>
  </si>
  <si>
    <t>PIL-L-I26H-23020</t>
  </si>
  <si>
    <t>HPBL4-L-O26H-10481</t>
  </si>
  <si>
    <t>PIL-L-I26H-23021</t>
  </si>
  <si>
    <t>HPBL4-L-O26H-10482</t>
  </si>
  <si>
    <t>PIL-L-I26H-23026</t>
  </si>
  <si>
    <t>HPBL4-L-O26H-10483</t>
  </si>
  <si>
    <t>PIL-L-I26H-22978</t>
  </si>
  <si>
    <t>HPBL4-L-O26H-10484</t>
  </si>
  <si>
    <t>PIL-L-I26H-22991</t>
  </si>
  <si>
    <t>HPBL4-L-O26H-10485</t>
  </si>
  <si>
    <t>PIL-L-I26H-22996</t>
  </si>
  <si>
    <t>HPBL4-L-O26H-10486</t>
  </si>
  <si>
    <t>PIL-L-I26H-22952</t>
  </si>
  <si>
    <t>HPBL4-L-O26H-10487</t>
  </si>
  <si>
    <t>PIL-L-I26H-22958</t>
  </si>
  <si>
    <t>HPBL4-L-O26H-10488</t>
  </si>
  <si>
    <t>PIL-L-I26H-22976</t>
  </si>
  <si>
    <t>HPBL4-L-O26H-10489</t>
  </si>
  <si>
    <t>PIL-L-I26H-23003</t>
  </si>
  <si>
    <t>HPBL4-L-O26H-10490</t>
  </si>
  <si>
    <t>PIL-L-I26H-23004</t>
  </si>
  <si>
    <t>HPBL4-L-O26H-10491</t>
  </si>
  <si>
    <t>PIL-L-I26H-22964</t>
  </si>
  <si>
    <t>HPBL4-L-O26H-10492</t>
  </si>
  <si>
    <t>PIL-L-I26H-22972</t>
  </si>
  <si>
    <t>HPBL4-L-O26H-10493</t>
  </si>
  <si>
    <t>PIL-L-I26H-22953</t>
  </si>
  <si>
    <t>HPBL4-L-O26H-10494</t>
  </si>
  <si>
    <t>PIL-L-I26H-22966</t>
  </si>
  <si>
    <t>HPBL4-L-O26H-10495</t>
  </si>
  <si>
    <t>PIL-L-I26H-22981</t>
  </si>
  <si>
    <t>HPBL4-L-O26H-10496</t>
  </si>
  <si>
    <t>PIL-L-I26H-22992</t>
  </si>
  <si>
    <t>HPBL4-L-O26H-10497</t>
  </si>
  <si>
    <t>PIL-L-I26H-22997</t>
  </si>
  <si>
    <t>HPBL4-L-O26H-10498</t>
  </si>
  <si>
    <t>PIL-L-I26H-23023</t>
  </si>
  <si>
    <t>HPBL4-L-O26H-10499</t>
  </si>
  <si>
    <t>PIL-L-I26H-23024</t>
  </si>
  <si>
    <t>HPBL4-L-O26H-10500</t>
  </si>
  <si>
    <t>PIL-L-I26H-23027</t>
  </si>
  <si>
    <t>HPBL4-L-O26H-10501</t>
  </si>
  <si>
    <t>PIL-L-I26H-22967</t>
  </si>
  <si>
    <t>HPBL4-L-O26H-10502</t>
  </si>
  <si>
    <t>PIL-L-I26H-22969</t>
  </si>
  <si>
    <t>HPBL4-L-O26H-10503</t>
  </si>
  <si>
    <t>PIL-L-I26H-22965</t>
  </si>
  <si>
    <t>HPBL4-L-O26H-10504</t>
  </si>
  <si>
    <t>PIL-L-I26H-22973</t>
  </si>
  <si>
    <t>HPBL4-L-O26H-10505</t>
  </si>
  <si>
    <t>PIL-L-I26H-22975</t>
  </si>
  <si>
    <t>HPBL4-L-O26H-10506</t>
  </si>
  <si>
    <t>PIL-L-I26H-22985</t>
  </si>
  <si>
    <t>HPBL4-L-O26H-10507</t>
  </si>
  <si>
    <t>PIL-L-I26H-22994</t>
  </si>
  <si>
    <t>HPBL4-L-O26H-10508</t>
  </si>
  <si>
    <t>PIL-L-I26H-23000</t>
  </si>
  <si>
    <t>HPBL4-L-O26H-10509L</t>
  </si>
  <si>
    <t>260107322705L3</t>
  </si>
  <si>
    <t>PIL-L-O26H-12683L</t>
  </si>
  <si>
    <t>HPBL4-L-O26H-10510L</t>
  </si>
  <si>
    <t>260107322705L5</t>
  </si>
  <si>
    <t>PIL-L-O26H-12685L</t>
  </si>
  <si>
    <t>HPBL4-L-O26H-10511L</t>
  </si>
  <si>
    <t>260107322705L6</t>
  </si>
  <si>
    <t>PIL-L-O26H-12686L</t>
  </si>
  <si>
    <t>HPBL4-L-O26H-10512L</t>
  </si>
  <si>
    <t>260107322705L1</t>
  </si>
  <si>
    <t>PIL-L-O26H-12681L</t>
  </si>
  <si>
    <t>HPBL4-L-O26H-10513L</t>
  </si>
  <si>
    <t>260107322705L2</t>
  </si>
  <si>
    <t>PIL-L-O26H-12682L</t>
  </si>
  <si>
    <t>HPBL4-L-O26H-10514L</t>
  </si>
  <si>
    <t>260107322705L</t>
  </si>
  <si>
    <t>PIL-L-O26H-12680L</t>
  </si>
  <si>
    <t>HPBL4-L-O26H-10515L</t>
  </si>
  <si>
    <t>260107322705L7</t>
  </si>
  <si>
    <t>PIL-L-O26H-12687L</t>
  </si>
  <si>
    <t>HPBL4-L-O26H-10516L</t>
  </si>
  <si>
    <t>260107322705L9</t>
  </si>
  <si>
    <t>PIL-L-O26H-12689L</t>
  </si>
  <si>
    <t>HPBL4-L-O26H-10517L</t>
  </si>
  <si>
    <t>260107322705L10</t>
  </si>
  <si>
    <t>PIL-L-O26H-12690L</t>
  </si>
  <si>
    <t>HPBL4-L-O26H-10518L</t>
  </si>
  <si>
    <t>260107322705L4</t>
  </si>
  <si>
    <t>PIL-L-O26H-12684L</t>
  </si>
  <si>
    <t>HPBL4-L-O26H-10519L</t>
  </si>
  <si>
    <t>260107322705L8</t>
  </si>
  <si>
    <t>PIL-L-O26H-12688L</t>
  </si>
  <si>
    <t>HPBL4-L-O26H-10520L</t>
  </si>
  <si>
    <t>260107322705L11</t>
  </si>
  <si>
    <t>PIL-L-O26H-12691L</t>
  </si>
  <si>
    <t>HPBL4-L-O26H-10521</t>
  </si>
  <si>
    <t>PIL-L-I26H-23082</t>
  </si>
  <si>
    <t>HPBL4-L-O26H-10522</t>
  </si>
  <si>
    <t>PIL-L-I26H-23101</t>
  </si>
  <si>
    <t>HPBL4-L-O26H-10523</t>
  </si>
  <si>
    <t>PIL-L-I26H-23116</t>
  </si>
  <si>
    <t>HPBL4-L-O26H-10524</t>
  </si>
  <si>
    <t>PIL-L-I26H-23118</t>
  </si>
  <si>
    <t>HPBL4-L-O26H-10525</t>
  </si>
  <si>
    <t>PIL-L-I26H-23098</t>
  </si>
  <si>
    <t>HPBL4-L-O26H-10526</t>
  </si>
  <si>
    <t>PIL-L-I26H-23102</t>
  </si>
  <si>
    <t>HPBL4-L-O26H-10527</t>
  </si>
  <si>
    <t>PIL-L-I26H-23103</t>
  </si>
  <si>
    <t>HPBL4-L-O26H-10528</t>
  </si>
  <si>
    <t>PIL-L-I26H-23088</t>
  </si>
  <si>
    <t>HPBL4-L-O26H-10529</t>
  </si>
  <si>
    <t>PIL-L-I26H-23045</t>
  </si>
  <si>
    <t>HPBL4-L-O26H-10530</t>
  </si>
  <si>
    <t>PIL-L-I26H-23047</t>
  </si>
  <si>
    <t>HPBL4-L-O26H-10531</t>
  </si>
  <si>
    <t>PP 83 FLAT YELLOW 116 C 30% RPP Folding</t>
  </si>
  <si>
    <t>PIL-L-I26H-23056</t>
  </si>
  <si>
    <t>HPBL4-L-O26H-10532</t>
  </si>
  <si>
    <t>PIL-L-I26H-23069</t>
  </si>
  <si>
    <t>HPBL4-L-O26H-10533</t>
  </si>
  <si>
    <t>PIL-L-I26H-23087</t>
  </si>
  <si>
    <t>HPBL4-L-O26H-10534</t>
  </si>
  <si>
    <t>PIL-L-I26H-23104</t>
  </si>
  <si>
    <t>HPBL4-L-O26H-10535</t>
  </si>
  <si>
    <t>PIL-L-I26H-23109</t>
  </si>
  <si>
    <t>HPBL4-L-O26H-10536</t>
  </si>
  <si>
    <t>PIL-L-I26H-23112</t>
  </si>
  <si>
    <t>HPBL4-L-O26H-10537</t>
  </si>
  <si>
    <t>PIL-L-I26H-23114</t>
  </si>
  <si>
    <t>HPBL4-L-O26H-10538</t>
  </si>
  <si>
    <t>PIL-L-I26H-23042</t>
  </si>
  <si>
    <t>HPBL4-L-O26H-10539</t>
  </si>
  <si>
    <t>PIL-L-I26H-23043</t>
  </si>
  <si>
    <t>HPBL4-L-O26H-10540</t>
  </si>
  <si>
    <t>PIL-L-I26H-23076</t>
  </si>
  <si>
    <t>HPBL4-L-O26H-10541</t>
  </si>
  <si>
    <t>PP 130 GZT MW BLUE 284 C 3.5% UV</t>
  </si>
  <si>
    <t>PIL-L-I26H-23077</t>
  </si>
  <si>
    <t>HPBL4-L-O26H-10542</t>
  </si>
  <si>
    <t>PIL-L-I26H-23089</t>
  </si>
  <si>
    <t>HPBL4-L-O26H-10543</t>
  </si>
  <si>
    <t>PIL-L-I26H-23117</t>
  </si>
  <si>
    <t>HPBL4-L-O26H-10544</t>
  </si>
  <si>
    <t>PIL-L-I26H-23048</t>
  </si>
  <si>
    <t>HPBL4-L-O26H-10545</t>
  </si>
  <si>
    <t>PIL-L-I26H-23057</t>
  </si>
  <si>
    <t>HPBL4-L-O26H-10546</t>
  </si>
  <si>
    <t>PIL-L-I26H-23063</t>
  </si>
  <si>
    <t>HPBL4-L-O26H-10547</t>
  </si>
  <si>
    <t>PIL-L-I26H-23065</t>
  </si>
  <si>
    <t>HPBL4-L-O26H-10548</t>
  </si>
  <si>
    <t>PIL-L-I26H-23081</t>
  </si>
  <si>
    <t>HPBL4-L-O26H-10549</t>
  </si>
  <si>
    <t>PIL-L-I26H-23099</t>
  </si>
  <si>
    <t>HPBL4-L-O26H-10550</t>
  </si>
  <si>
    <t>PIL-L-I26H-23044</t>
  </si>
  <si>
    <t>HPBL4-L-O26H-10551</t>
  </si>
  <si>
    <t>PIL-L-I26H-23046</t>
  </si>
  <si>
    <t>HPBL4-L-O26H-10552</t>
  </si>
  <si>
    <t>PIL-L-I26H-23053</t>
  </si>
  <si>
    <t>HPBL4-L-O26H-10553</t>
  </si>
  <si>
    <t>PIL-L-I26H-23111</t>
  </si>
  <si>
    <t>HPBL4-L-O26H-10554</t>
  </si>
  <si>
    <t>PIL-L-I26H-23054</t>
  </si>
  <si>
    <t>HPBL4-L-O26H-10555</t>
  </si>
  <si>
    <t>PIL-L-I26H-23055</t>
  </si>
  <si>
    <t>HPBL4-L-O26H-10556</t>
  </si>
  <si>
    <t>PIL-L-I26H-23058</t>
  </si>
  <si>
    <t>HPBL4-L-O26H-10557</t>
  </si>
  <si>
    <t>PIL-L-I26H-23079</t>
  </si>
  <si>
    <t>HPBL4-L-O26H-10558</t>
  </si>
  <si>
    <t>PIL-L-I26H-23115</t>
  </si>
  <si>
    <t>HPBL4-L-O26H-10559</t>
  </si>
  <si>
    <t>PIL-L-I26H-23052</t>
  </si>
  <si>
    <t>HPBL4-L-O26H-10560</t>
  </si>
  <si>
    <t>PIL-L-I26H-23059</t>
  </si>
  <si>
    <t>HPBL4-L-O26H-10561</t>
  </si>
  <si>
    <t>PIL-L-I26H-23062</t>
  </si>
  <si>
    <t>HPBL4-L-O26H-10562</t>
  </si>
  <si>
    <t>PIL-L-I26H-23064</t>
  </si>
  <si>
    <t>HPBL4-L-O26H-10563</t>
  </si>
  <si>
    <t>PIL-L-I26H-23080</t>
  </si>
  <si>
    <t>HPBL4-L-O26H-10564</t>
  </si>
  <si>
    <t>PIL-L-I26H-23049</t>
  </si>
  <si>
    <t>HPBL4-L-O26H-10565</t>
  </si>
  <si>
    <t>PIL-L-I26H-23067</t>
  </si>
  <si>
    <t>HPBL4-L-O26H-10566</t>
  </si>
  <si>
    <t>PIL-L-I26H-23078</t>
  </si>
  <si>
    <t>HPBL4-L-O26H-10567</t>
  </si>
  <si>
    <t>PIL-L-I26H-23090</t>
  </si>
  <si>
    <t>HPBL4-L-O26H-10568</t>
  </si>
  <si>
    <t>PIL-L-I26H-23097</t>
  </si>
  <si>
    <t>HPBL4-L-O26H-10569</t>
  </si>
  <si>
    <t>PIL-L-I26H-23100</t>
  </si>
  <si>
    <t>HPBL4-L-O26H-10570L</t>
  </si>
  <si>
    <t>PIL-L-I26H-21883L</t>
  </si>
  <si>
    <t>HPBL4-L-O26H-10571L</t>
  </si>
  <si>
    <t>PIL-L-I26H-21810L</t>
  </si>
  <si>
    <t>HPBL4-L-O26H-10572</t>
  </si>
  <si>
    <t>PP 130 GZT BLUE 284 C 3.5% UV</t>
  </si>
  <si>
    <t>PIL-L-I26H-23140</t>
  </si>
  <si>
    <t>HPBL4-L-O26H-10573</t>
  </si>
  <si>
    <t>PIL-L-I26H-23141</t>
  </si>
  <si>
    <t>HPBL4-L-O26H-10574</t>
  </si>
  <si>
    <t>PIL-L-I26H-23152</t>
  </si>
  <si>
    <t>HPBL4-L-O26H-10575</t>
  </si>
  <si>
    <t>PIL-L-I26H-23183</t>
  </si>
  <si>
    <t>HPBL4-L-O26H-10576</t>
  </si>
  <si>
    <t>PIL-L-I26H-23185</t>
  </si>
  <si>
    <t>HPBL4-L-O26H-10577</t>
  </si>
  <si>
    <t>PIL-L-I26H-23174</t>
  </si>
  <si>
    <t>HPBL4-L-O26H-10578</t>
  </si>
  <si>
    <t>PIL-L-I26H-23181</t>
  </si>
  <si>
    <t>HPBL4-L-O26H-10579</t>
  </si>
  <si>
    <t>PIL-L-I26H-23130</t>
  </si>
  <si>
    <t>HPBL4-L-O26H-10580</t>
  </si>
  <si>
    <t>PIL-L-I26H-23155</t>
  </si>
  <si>
    <t>HPBL4-L-O26H-10581</t>
  </si>
  <si>
    <t>PIL-L-I26H-23166</t>
  </si>
  <si>
    <t>HPBL4-L-O26H-10582</t>
  </si>
  <si>
    <t>PP 83 FLAT YELLOW 116 C 30% RP</t>
  </si>
  <si>
    <t>PIL-L-I26H-23170</t>
  </si>
  <si>
    <t>HPBL4-L-O26H-10583</t>
  </si>
  <si>
    <t>PIL-L-I26H-23147</t>
  </si>
  <si>
    <t>HPBL4-L-O26H-10584</t>
  </si>
  <si>
    <t>PIL-L-I26H-23151</t>
  </si>
  <si>
    <t>HPBL4-L-O26H-10585</t>
  </si>
  <si>
    <t>PIL-L-I26H-23161</t>
  </si>
  <si>
    <t>HPBL4-L-O26H-10586</t>
  </si>
  <si>
    <t>PIL-L-I26H-23139</t>
  </si>
  <si>
    <t>HPBL4-L-O26H-10587</t>
  </si>
  <si>
    <t>PIL-L-I26H-23143</t>
  </si>
  <si>
    <t>HPBL4-L-O26H-10588</t>
  </si>
  <si>
    <t>PIL-L-I26H-23150</t>
  </si>
  <si>
    <t>HPBL4-L-O26H-10589</t>
  </si>
  <si>
    <t>PIL-L-I26H-23153</t>
  </si>
  <si>
    <t>HPBL4-L-O26H-10590</t>
  </si>
  <si>
    <t>PIL-L-I26H-23165</t>
  </si>
  <si>
    <t>HPBL4-L-O26H-10591</t>
  </si>
  <si>
    <t>PIL-L-I26H-23131</t>
  </si>
  <si>
    <t>HPBL4-L-O26H-10592</t>
  </si>
  <si>
    <t>PIL-L-I26H-23136</t>
  </si>
  <si>
    <t>HPBL4-L-O26H-10593</t>
  </si>
  <si>
    <t>PIL-L-I26H-23142</t>
  </si>
  <si>
    <t>HPBL4-L-O26H-10594</t>
  </si>
  <si>
    <t>PIL-L-I26H-23144</t>
  </si>
  <si>
    <t>HPBL4-L-O26H-10595</t>
  </si>
  <si>
    <t>PIL-L-I26H-23145</t>
  </si>
  <si>
    <t>HPBL4-L-O26H-10596</t>
  </si>
  <si>
    <t>PIL-L-I26H-23154</t>
  </si>
  <si>
    <t>HPBL4-L-O26H-10597</t>
  </si>
  <si>
    <t>PIL-L-I26H-23158</t>
  </si>
  <si>
    <t>HPBL4-L-O26H-10598</t>
  </si>
  <si>
    <t>PIL-L-I26H-23167</t>
  </si>
  <si>
    <t>HPBL4-L-O26H-10599</t>
  </si>
  <si>
    <t>PIL-L-I26H-23171</t>
  </si>
  <si>
    <t>HPBL4-L-O26H-10600</t>
  </si>
  <si>
    <t>PIL-L-I26H-23184</t>
  </si>
  <si>
    <t>HPBL4-L-O26H-10601</t>
  </si>
  <si>
    <t>PIL-L-I26H-23146</t>
  </si>
  <si>
    <t>HPBL4-L-O26H-10602</t>
  </si>
  <si>
    <t>PIL-L-I26H-23157</t>
  </si>
  <si>
    <t>HPBL4-L-O26H-10603</t>
  </si>
  <si>
    <t>PIL-L-I26H-23162</t>
  </si>
  <si>
    <t>HPBL4-L-O26H-10604</t>
  </si>
  <si>
    <t>PIL-L-I26H-23164</t>
  </si>
  <si>
    <t>HPBL4-L-O26H-10605</t>
  </si>
  <si>
    <t>PIL-L-I26H-23168</t>
  </si>
  <si>
    <t>HPBL4-L-O26H-10606</t>
  </si>
  <si>
    <t>PIL-L-I26H-23133</t>
  </si>
  <si>
    <t>HPBL4-L-O26H-10607</t>
  </si>
  <si>
    <t>PIL-L-I26H-23137</t>
  </si>
  <si>
    <t>HPBL4-L-O26H-10608</t>
  </si>
  <si>
    <t>PIL-L-I26H-23138</t>
  </si>
  <si>
    <t>HPBL4-L-O26H-10609</t>
  </si>
  <si>
    <t>PIL-L-I26H-23156</t>
  </si>
  <si>
    <t>HPBL4-L-O26H-10610</t>
  </si>
  <si>
    <t>PIL-L-I26H-23176</t>
  </si>
  <si>
    <t>HPBL4-L-O26H-10611</t>
  </si>
  <si>
    <t>PIL-L-I26H-23200</t>
  </si>
  <si>
    <t>HPBL4-L-O26H-10612</t>
  </si>
  <si>
    <t>PIL-L-I26H-23203</t>
  </si>
  <si>
    <t>HPBL4-L-O26H-10613</t>
  </si>
  <si>
    <t>PIL-L-I26H-23208</t>
  </si>
  <si>
    <t>HPBL4-L-O26H-10614</t>
  </si>
  <si>
    <t>PIL-L-I26H-23253</t>
  </si>
  <si>
    <t>HPBL4-L-O26H-10615</t>
  </si>
  <si>
    <t>PIL-L-I26H-23256</t>
  </si>
  <si>
    <t>HPBL4-L-O26H-10616</t>
  </si>
  <si>
    <t>PIL-L-I26H-23259</t>
  </si>
  <si>
    <t>HPBL4-L-O26H-10617</t>
  </si>
  <si>
    <t>PIL-L-I26H-23206</t>
  </si>
  <si>
    <t>HPBL4-L-O26H-10618</t>
  </si>
  <si>
    <t>PIL-L-I26H-23209</t>
  </si>
  <si>
    <t>HPBL4-L-O26H-10619</t>
  </si>
  <si>
    <t>PIL-L-I26H-23217</t>
  </si>
  <si>
    <t>HPBL4-L-O26H-10620</t>
  </si>
  <si>
    <t>PIL-L-I26H-23210</t>
  </si>
  <si>
    <t>HPBL4-L-O26H-10621</t>
  </si>
  <si>
    <t>PIL-L-I26H-23225</t>
  </si>
  <si>
    <t>HPBL4-L-O26H-10622</t>
  </si>
  <si>
    <t>PP 88 FLAT YELLOW 114 C 30% RPP</t>
  </si>
  <si>
    <t>PIL-L-I26H-23231</t>
  </si>
  <si>
    <t>HPBL4-L-O26H-10623</t>
  </si>
  <si>
    <t>PIL-L-I26H-23241</t>
  </si>
  <si>
    <t>HPBL4-L-O26H-10624</t>
  </si>
  <si>
    <t>PIL-L-I26H-23243</t>
  </si>
  <si>
    <t>HPBL4-L-O26H-10625</t>
  </si>
  <si>
    <t>PIL-L-I26H-23249</t>
  </si>
  <si>
    <t>HPBL4-L-O26H-10626</t>
  </si>
  <si>
    <t>PIL-L-I26H-23257</t>
  </si>
  <si>
    <t>HPBL4-L-O26H-10627</t>
  </si>
  <si>
    <t>PIL-L-I26H-23258</t>
  </si>
  <si>
    <t>HPBL4-L-O26H-10628</t>
  </si>
  <si>
    <t>PIL-L-I26H-23270</t>
  </si>
  <si>
    <t>HPBL4-L-O26H-10629</t>
  </si>
  <si>
    <t>PIL-L-I26H-23216</t>
  </si>
  <si>
    <t>HPBL4-L-O26H-10630</t>
  </si>
  <si>
    <t>PIL-L-I26H-23226</t>
  </si>
  <si>
    <t>HPBL4-L-O26H-10631</t>
  </si>
  <si>
    <t>PIL-L-I26H-23228</t>
  </si>
  <si>
    <t>HPBL4-L-O26H-10632</t>
  </si>
  <si>
    <t>PIL-L-I26H-23242</t>
  </si>
  <si>
    <t>HPBL4-L-O26H-10633</t>
  </si>
  <si>
    <t>PIL-L-I26H-23265</t>
  </si>
  <si>
    <t>HPBL4-L-O26H-10634</t>
  </si>
  <si>
    <t>PIL-L-I26H-23227</t>
  </si>
  <si>
    <t>HPBL4-L-O26H-10635</t>
  </si>
  <si>
    <t>PIL-L-I26H-23230</t>
  </si>
  <si>
    <t>HPBL4-L-O26H-10636</t>
  </si>
  <si>
    <t>PIL-L-I26H-23268</t>
  </si>
  <si>
    <t>HPBL4-L-O26H-10637</t>
  </si>
  <si>
    <t>PIL-L-I26H-23272</t>
  </si>
  <si>
    <t>HPBL4-L-O26H-10638</t>
  </si>
  <si>
    <t>PIL-L-I26H-23276</t>
  </si>
  <si>
    <t>HPBL4-L-O26H-10639</t>
  </si>
  <si>
    <t>PIL-L-I26H-23204</t>
  </si>
  <si>
    <t>HPBL4-L-O26H-10640</t>
  </si>
  <si>
    <t>PIL-L-I26H-23240</t>
  </si>
  <si>
    <t>HPBL4-L-O26H-10641</t>
  </si>
  <si>
    <t>PIL-L-I26H-23255</t>
  </si>
  <si>
    <t>HPBL4-L-O26H-10642</t>
  </si>
  <si>
    <t>PIL-L-I26H-23264</t>
  </si>
  <si>
    <t>HPBL4-L-O26H-10643</t>
  </si>
  <si>
    <t>PIL-L-I26H-23273</t>
  </si>
  <si>
    <t>HPBL4-L-O26H-10644</t>
  </si>
  <si>
    <t>PIL-L-I26H-23202</t>
  </si>
  <si>
    <t>HPBL4-L-O26H-10645</t>
  </si>
  <si>
    <t>PIL-L-I26H-23207</t>
  </si>
  <si>
    <t>HPBL4-L-O26H-10646</t>
  </si>
  <si>
    <t>PIL-L-I26H-23211</t>
  </si>
  <si>
    <t>HPBL4-L-O26H-10647</t>
  </si>
  <si>
    <t>PIL-L-I26H-23220</t>
  </si>
  <si>
    <t>HPBL4-L-O26H-10648</t>
  </si>
  <si>
    <t>PIL-L-I26H-23201</t>
  </si>
  <si>
    <t>HPBL4-L-O26H-10649</t>
  </si>
  <si>
    <t>PIL-L-I26H-23246</t>
  </si>
  <si>
    <t>HPBL4-L-O26H-10650</t>
  </si>
  <si>
    <t>PIL-L-I26H-23251</t>
  </si>
  <si>
    <t>HPBL4-L-O26H-10651</t>
  </si>
  <si>
    <t>PIL-L-I26H-23261</t>
  </si>
  <si>
    <t>HPBL4-L-O26H-10652</t>
  </si>
  <si>
    <t>PIL-L-I26H-23205</t>
  </si>
  <si>
    <t>HPBL4-L-O26H-10653</t>
  </si>
  <si>
    <t>PIL-L-I26H-23219</t>
  </si>
  <si>
    <t>HPBL4-L-O26H-10654</t>
  </si>
  <si>
    <t>PIL-L-I26H-23224</t>
  </si>
  <si>
    <t>HPBL4-L-O26H-10655</t>
  </si>
  <si>
    <t>PIL-L-I26H-23244</t>
  </si>
  <si>
    <t>HPBL4-L-O26H-10656</t>
  </si>
  <si>
    <t>PIL-L-I26H-23247</t>
  </si>
  <si>
    <t>HPBL4-L-O26H-10657</t>
  </si>
  <si>
    <t>PIL-L-I26H-23248</t>
  </si>
  <si>
    <t>HPBL4-L-O26H-10658</t>
  </si>
  <si>
    <t>PIL-L-I26H-23252</t>
  </si>
  <si>
    <t>HPBL4-L-O26H-10659</t>
  </si>
  <si>
    <t>PIL-L-I26H-23245</t>
  </si>
  <si>
    <t>HPBL4-L-O26H-10660</t>
  </si>
  <si>
    <t>PIL-L-I26H-23250</t>
  </si>
  <si>
    <t>HPBL4-L-O26H-10661</t>
  </si>
  <si>
    <t>PIL-L-I26H-23260</t>
  </si>
  <si>
    <t>HPBL4-L-O26H-10662</t>
  </si>
  <si>
    <t>PIL-L-I26H-23288</t>
  </si>
  <si>
    <t>HPBL4-L-O26H-10663</t>
  </si>
  <si>
    <t>PIL-L-I26H-23291</t>
  </si>
  <si>
    <t>HPBL4-L-O26H-10664</t>
  </si>
  <si>
    <t>PIL-L-I26H-23293</t>
  </si>
  <si>
    <t>HPBL4-L-O26H-10665</t>
  </si>
  <si>
    <t>PIL-L-I26H-23296</t>
  </si>
  <si>
    <t>HPBL4-L-O26H-10666</t>
  </si>
  <si>
    <t>PIL-L-I26H-23290</t>
  </si>
  <si>
    <t>HPBL4-L-O26H-10667</t>
  </si>
  <si>
    <t>PIL-L-I26H-23292</t>
  </si>
  <si>
    <t>HPBL4-L-O26H-10668</t>
  </si>
  <si>
    <t>PIL-L-I26H-23294</t>
  </si>
  <si>
    <t>HPBL4-L-O26H-10669</t>
  </si>
  <si>
    <t>PIL-L-I26H-23295</t>
  </si>
  <si>
    <t>HPBL4-L-O26H-10670</t>
  </si>
  <si>
    <t>PIL-L-I26H-23287</t>
  </si>
  <si>
    <t>HPBL4-L-O26H-10671</t>
  </si>
  <si>
    <t>PIL-L-I26H-23286</t>
  </si>
  <si>
    <t>HPBL4-L-O26H-10672</t>
  </si>
  <si>
    <t>PIL-L-I26H-23289</t>
  </si>
  <si>
    <t>HPBL4-L-O26H-10673L</t>
  </si>
  <si>
    <t>HPBL-L-I26H-12062</t>
  </si>
  <si>
    <t>PIL-L-O26H-12721-1L</t>
  </si>
  <si>
    <t>HPBL4-L-O26H-10674L</t>
  </si>
  <si>
    <t>PIL-L-O26H-12721L</t>
  </si>
  <si>
    <t>HPBL4-L-O26H-10675</t>
  </si>
  <si>
    <t>PIL-L-I26H-23305</t>
  </si>
  <si>
    <t>HPBL4-L-O26H-10676</t>
  </si>
  <si>
    <t>PIL-L-I26H-23308</t>
  </si>
  <si>
    <t>HPBL4-L-O26H-10677</t>
  </si>
  <si>
    <t>PIL-L-I26H-23315</t>
  </si>
  <si>
    <t>HPBL4-L-O26H-10678</t>
  </si>
  <si>
    <t>PIL-L-I26H-23334</t>
  </si>
  <si>
    <t>HPBL4-L-O26H-10679</t>
  </si>
  <si>
    <t>PIL-L-I26H-23316</t>
  </si>
  <si>
    <t>HPBL4-L-O26H-10680</t>
  </si>
  <si>
    <t>PIL-L-I26H-23304</t>
  </si>
  <si>
    <t>HPBL4-L-O26H-10681</t>
  </si>
  <si>
    <t>PIL-L-I26H-23328</t>
  </si>
  <si>
    <t>HPBL4-L-O26H-10682</t>
  </si>
  <si>
    <t>PIL-L-I26H-23302</t>
  </si>
  <si>
    <t>HPBL4-L-O26H-10683</t>
  </si>
  <si>
    <t>PIL-L-I26H-23327</t>
  </si>
  <si>
    <t>HPBL4-L-O26H-10684</t>
  </si>
  <si>
    <t>PIL-L-I26H-23346</t>
  </si>
  <si>
    <t>HPBL4-L-O26H-10685</t>
  </si>
  <si>
    <t>PIL-L-I26H-23347</t>
  </si>
  <si>
    <t>HPBL4-L-O26H-10686</t>
  </si>
  <si>
    <t>PIL-L-I26H-23351</t>
  </si>
  <si>
    <t>HPBL4-L-O26H-10687</t>
  </si>
  <si>
    <t>PIL-L-I26H-23330</t>
  </si>
  <si>
    <t>HPBL4-L-O26H-10688</t>
  </si>
  <si>
    <t>PIL-L-I26H-23331</t>
  </si>
  <si>
    <t>HPBL4-L-O26H-10689</t>
  </si>
  <si>
    <t>PIL-L-I26H-23344</t>
  </si>
  <si>
    <t>HPBL4-L-O26H-10690</t>
  </si>
  <si>
    <t>PIL-L-I26H-23336</t>
  </si>
  <si>
    <t>HPBL4-L-O26H-10691</t>
  </si>
  <si>
    <t>PIL-L-I26H-23343</t>
  </si>
  <si>
    <t>HPBL4-L-O26H-10692</t>
  </si>
  <si>
    <t>PIL-L-I26H-23329</t>
  </si>
  <si>
    <t>HPBL4-L-O26H-10693</t>
  </si>
  <si>
    <t>PIL-L-I26H-23335</t>
  </si>
  <si>
    <t>HPBL4-L-O26H-10694</t>
  </si>
  <si>
    <t>PIL-L-I26H-23352</t>
  </si>
  <si>
    <t>HPBL4-L-O26H-10695</t>
  </si>
  <si>
    <t>PIL-L-I26H-22584</t>
  </si>
  <si>
    <t>HPBL4-L-O26H-10696</t>
  </si>
  <si>
    <t>PIL-L-I26H-23303</t>
  </si>
  <si>
    <t>HPBL4-L-O26H-10697</t>
  </si>
  <si>
    <t>PIL-L-I26H-23312</t>
  </si>
  <si>
    <t>HPBL4-L-O26H-10698</t>
  </si>
  <si>
    <t>PIL-L-I26H-23326</t>
  </si>
  <si>
    <t>HPBL4-L-O26H-10699</t>
  </si>
  <si>
    <t>PIL-L-I26H-23333</t>
  </si>
  <si>
    <t>HPBL4-L-O26H-10700</t>
  </si>
  <si>
    <t>PIL-L-I26H-23348</t>
  </si>
  <si>
    <t>HPBL4-L-O26H-10701L</t>
  </si>
  <si>
    <t>HPBL-L-I26H-12416</t>
  </si>
  <si>
    <t>PIL-L-O26H-12720L</t>
  </si>
  <si>
    <t>HPBL4-L-O26H-10702</t>
  </si>
  <si>
    <t>PIL-L-I26H-23362</t>
  </si>
  <si>
    <t>HPBL4-L-O26H-10703</t>
  </si>
  <si>
    <t>PIL-L-I26H-23360</t>
  </si>
  <si>
    <t>HPBL4-L-O26H-10704</t>
  </si>
  <si>
    <t>PIL-L-I26H-23356</t>
  </si>
  <si>
    <t>HPBL4-L-O26H-10705</t>
  </si>
  <si>
    <t>PIL-L-I26H-23358</t>
  </si>
  <si>
    <t>HPBL4-L-O26H-10706</t>
  </si>
  <si>
    <t>PIL-L-I26H-23359</t>
  </si>
  <si>
    <t>HPBL4-L-O26H-10707</t>
  </si>
  <si>
    <t>PIL-L-I26H-23355</t>
  </si>
  <si>
    <t>HPBL4-L-O26H-10708</t>
  </si>
  <si>
    <t>PIL-L-I26H-23361</t>
  </si>
  <si>
    <t>HPBL4-L-O26H-10709</t>
  </si>
  <si>
    <t>PIL-L-I26H-23349</t>
  </si>
  <si>
    <t>HPBL4-L-O26H-10710</t>
  </si>
  <si>
    <t>PIL-L-I26H-23357</t>
  </si>
  <si>
    <t>HPBL4-L-O26H-10711</t>
  </si>
  <si>
    <t>PP 130 GZT RED 3517-C 3.5% UV</t>
  </si>
  <si>
    <t>PIL-L-I26H-23363</t>
  </si>
  <si>
    <t>HPBL4-L-O26H-10712</t>
  </si>
  <si>
    <t>PIL-L-I26H-23393</t>
  </si>
  <si>
    <t>HPBL4-L-O26H-10713</t>
  </si>
  <si>
    <t>PIL-L-I26H-23394</t>
  </si>
  <si>
    <t>HPBL4-L-O26H-10714</t>
  </si>
  <si>
    <t>PIL-L-I26H-23408</t>
  </si>
  <si>
    <t>HPBL4-L-O26H-10715</t>
  </si>
  <si>
    <t>PIL-L-I26H-23373</t>
  </si>
  <si>
    <t>HPBL4-L-O26H-10716</t>
  </si>
  <si>
    <t>PIL-L-I26H-23396</t>
  </si>
  <si>
    <t>HPBL4-L-O26H-10717</t>
  </si>
  <si>
    <t>PIL-L-I26H-23397</t>
  </si>
  <si>
    <t>HPBL4-L-O26H-10718</t>
  </si>
  <si>
    <t>PIL-L-I26H-23374</t>
  </si>
  <si>
    <t>HPBL4-L-O26H-10719</t>
  </si>
  <si>
    <t>PIL-L-I26H-23378</t>
  </si>
  <si>
    <t>HPBL4-L-O26H-10720</t>
  </si>
  <si>
    <t>PIL-L-I26H-23387</t>
  </si>
  <si>
    <t>HPBL4-L-O26H-10721</t>
  </si>
  <si>
    <t>PIL-L-I26H-23389</t>
  </si>
  <si>
    <t>HPBL4-L-O26H-10722</t>
  </si>
  <si>
    <t>PIL-L-I26H-23399</t>
  </si>
  <si>
    <t>HPBL4-L-O26H-10723</t>
  </si>
  <si>
    <t>PIL-L-I26H-23382</t>
  </si>
  <si>
    <t>HPBL4-L-O26H-10724</t>
  </si>
  <si>
    <t>PIL-L-I26H-23398</t>
  </si>
  <si>
    <t>HPBL4-L-O26H-10725</t>
  </si>
  <si>
    <t>PIL-L-I26H-23404</t>
  </si>
  <si>
    <t>HPBL4-L-O26H-10726</t>
  </si>
  <si>
    <t>PIL-L-I26H-23422</t>
  </si>
  <si>
    <t>HPBL4-L-O26H-10727</t>
  </si>
  <si>
    <t>PIL-L-I26H-23423</t>
  </si>
  <si>
    <t>HPBL4-L-O26H-10728</t>
  </si>
  <si>
    <t>PIL-L-I26H-23403</t>
  </si>
  <si>
    <t>HPBL4-L-O26H-10729</t>
  </si>
  <si>
    <t>PIL-L-I26H-23406</t>
  </si>
  <si>
    <t>HPBL4-L-O26H-10730</t>
  </si>
  <si>
    <t>PIL-L-I26H-23377</t>
  </si>
  <si>
    <t>HPBL4-L-O26H-10731</t>
  </si>
  <si>
    <t>PIL-L-I26H-23418</t>
  </si>
  <si>
    <t>HPBL4-L-O26H-10732</t>
  </si>
  <si>
    <t>PIL-L-I26H-23419</t>
  </si>
  <si>
    <t>HPBL4-L-O26H-10733</t>
  </si>
  <si>
    <t>PIL-L-I26H-23381</t>
  </si>
  <si>
    <t>HPBL4-L-O26H-10734</t>
  </si>
  <si>
    <t>PIL-L-I26H-23375</t>
  </si>
  <si>
    <t>HPBL4-L-O26H-10735</t>
  </si>
  <si>
    <t>PIL-L-I26H-23385</t>
  </si>
  <si>
    <t>HPBL4-L-O26H-10736</t>
  </si>
  <si>
    <t>PIL-L-I26H-23388</t>
  </si>
  <si>
    <t>HPBL4-L-O26H-10737</t>
  </si>
  <si>
    <t>PIL-L-I26H-23395</t>
  </si>
  <si>
    <t>HPBL4-L-O26H-10738</t>
  </si>
  <si>
    <t>PIL-L-I26H-23411</t>
  </si>
  <si>
    <t>HPBL4-L-O26H-10739</t>
  </si>
  <si>
    <t>PIL-L-I26H-23416</t>
  </si>
  <si>
    <t>HPBL4-L-O26H-10740</t>
  </si>
  <si>
    <t>PIL-L-I26H-23424</t>
  </si>
  <si>
    <t>HPBL4-L-O26H-10741</t>
  </si>
  <si>
    <t>PIL-L-I26H-23417</t>
  </si>
  <si>
    <t>HPBL4-L-O26H-10742</t>
  </si>
  <si>
    <t>PIL-L-I26H-23372</t>
  </si>
  <si>
    <t>HPBL4-L-O26H-10743</t>
  </si>
  <si>
    <t>PIL-L-I26H-23376</t>
  </si>
  <si>
    <t>HPBL4-L-O26H-10744</t>
  </si>
  <si>
    <t>PIL-L-I26H-23384</t>
  </si>
  <si>
    <t>HPBL4-L-O26H-10745</t>
  </si>
  <si>
    <t>PIL-L-I26H-23386</t>
  </si>
  <si>
    <t>HPBL4-L-O26H-10746</t>
  </si>
  <si>
    <t>PIL-L-I26H-23437</t>
  </si>
  <si>
    <t>HPBL4-L-O26H-10747</t>
  </si>
  <si>
    <t>PIL-L-I26H-23466</t>
  </si>
  <si>
    <t>HPBL4-L-O26H-10748</t>
  </si>
  <si>
    <t>PIL-L-I26H-23468</t>
  </si>
  <si>
    <t>HPBL4-L-O26H-10749</t>
  </si>
  <si>
    <t>PIL-L-I26H-23469</t>
  </si>
  <si>
    <t>HPBL4-L-O26H-10750</t>
  </si>
  <si>
    <t>PIL-L-I26H-23473</t>
  </si>
  <si>
    <t>HPBL4-L-O26H-10751</t>
  </si>
  <si>
    <t>PIL-L-I26H-23485</t>
  </si>
  <si>
    <t>HPBL4-L-O26H-10752</t>
  </si>
  <si>
    <t>PIL-L-I26H-23490</t>
  </si>
  <si>
    <t>HPBL4-L-O26H-10753</t>
  </si>
  <si>
    <t>PIL-L-I26H-23475</t>
  </si>
  <si>
    <t>HPBL4-L-O26H-10754</t>
  </si>
  <si>
    <t>PIL-L-I26H-23496</t>
  </si>
  <si>
    <t>HPBL4-L-O26H-10755</t>
  </si>
  <si>
    <t>PIL-L-I26H-23436</t>
  </si>
  <si>
    <t>HPBL4-L-O26H-10756</t>
  </si>
  <si>
    <t>PIL-L-I26H-23465</t>
  </si>
  <si>
    <t>HPBL4-L-O26H-10757</t>
  </si>
  <si>
    <t>PIL-L-I26H-23467</t>
  </si>
  <si>
    <t>HPBL4-L-O26H-10758</t>
  </si>
  <si>
    <t>PIL-L-I26H-23495</t>
  </si>
  <si>
    <t>HPBL4-L-O26H-10759</t>
  </si>
  <si>
    <t>PIL-L-I26H-23497</t>
  </si>
  <si>
    <t>HPBL4-L-O26H-10760</t>
  </si>
  <si>
    <t>PIL-L-I26H-23471</t>
  </si>
  <si>
    <t>HPBL4-L-O26H-10761</t>
  </si>
  <si>
    <t>PIL-L-I26H-23478</t>
  </si>
  <si>
    <t>HPBL4-L-O26H-10762</t>
  </si>
  <si>
    <t>PIL-L-I26H-23435</t>
  </si>
  <si>
    <t>HPBL4-L-O26H-10763</t>
  </si>
  <si>
    <t>PIL-L-I26H-23481</t>
  </si>
  <si>
    <t>HPBL4-L-O26H-10764</t>
  </si>
  <si>
    <t>PIL-L-I26H-23484</t>
  </si>
  <si>
    <t>HPBL4-L-O26H-10765</t>
  </si>
  <si>
    <t>PIL-L-I26H-23438</t>
  </si>
  <si>
    <t>HPBL4-L-O26H-10766</t>
  </si>
  <si>
    <t>PIL-L-I26H-23488</t>
  </si>
  <si>
    <t>HPBL4-L-O26H-10767</t>
  </si>
  <si>
    <t>PIL-L-I26H-23463</t>
  </si>
  <si>
    <t>HPBL4-L-O26H-10768</t>
  </si>
  <si>
    <t>PIL-L-I26H-23464</t>
  </si>
  <si>
    <t>HPBL4-L-O26H-10769</t>
  </si>
  <si>
    <t>PIL-L-I26H-23489</t>
  </si>
  <si>
    <t>HPBL4-L-O26H-10770</t>
  </si>
  <si>
    <t>PIL-L-I26H-23493</t>
  </si>
  <si>
    <t>HPBL4-L-O26H-10771</t>
  </si>
  <si>
    <t>PIL-L-I26H-23472</t>
  </si>
  <si>
    <t>HPBL4-L-O26H-10772</t>
  </si>
  <si>
    <t>PIL-L-I26H-23477</t>
  </si>
  <si>
    <t>HPBL4-L-O26H-10773</t>
  </si>
  <si>
    <t>PIL-L-I26H-23498</t>
  </si>
  <si>
    <t>HPBL4-L-O26H-10774</t>
  </si>
  <si>
    <t>PIL-L-I26H-23448</t>
  </si>
  <si>
    <t>HPBL4-L-O26H-10775</t>
  </si>
  <si>
    <t>PIL-L-I26H-23458</t>
  </si>
  <si>
    <t>HPBL4-L-O26H-10776</t>
  </si>
  <si>
    <t>PIL-L-I26H-23446</t>
  </si>
  <si>
    <t>HPBL4-L-O26H-10777</t>
  </si>
  <si>
    <t>PIL-L-I26H-23444</t>
  </si>
  <si>
    <t>HPBL4-L-O26H-10778</t>
  </si>
  <si>
    <t>PIL-L-I26H-23456</t>
  </si>
  <si>
    <t>HPBL4-L-O26H-10779</t>
  </si>
  <si>
    <t>PIL-L-I26H-23474</t>
  </si>
  <si>
    <t>HPBL4-L-O26H-10780</t>
  </si>
  <si>
    <t>PIL-L-I26H-23455</t>
  </si>
  <si>
    <t>HPBL4-L-O26H-10781</t>
  </si>
  <si>
    <t>PIL-L-I26H-23443</t>
  </si>
  <si>
    <t>HPBL4-L-O26H-10782</t>
  </si>
  <si>
    <t>PIL-L-I26H-23450</t>
  </si>
  <si>
    <t>HPBL4-L-O26H-10783</t>
  </si>
  <si>
    <t>PIL-L-I26H-23439</t>
  </si>
  <si>
    <t>HPBL4-L-O26H-10784</t>
  </si>
  <si>
    <t>PIL-L-I26H-23453</t>
  </si>
  <si>
    <t>HPBL4-L-O26H-10785</t>
  </si>
  <si>
    <t>PIL-L-I26H-23454</t>
  </si>
  <si>
    <t>HPBL4-L-O26H-10786</t>
  </si>
  <si>
    <t>PIL-L-I26H-23470</t>
  </si>
  <si>
    <t>HPBL4-L-O26H-10787</t>
  </si>
  <si>
    <t>PIL-L-I26H-23380</t>
  </si>
  <si>
    <t>HPBL4-L-O26H-10788</t>
  </si>
  <si>
    <t>PIL-L-I26H-23447</t>
  </si>
  <si>
    <t>HPBL4-L-O26H-10789</t>
  </si>
  <si>
    <t>PIL-L-I26H-23457</t>
  </si>
  <si>
    <t>HPBL4-L-O26H-10790</t>
  </si>
  <si>
    <t>PIL-L-I26H-23379</t>
  </si>
  <si>
    <t>HPBL4-L-O26H-10791</t>
  </si>
  <si>
    <t>PIL-L-I26H-23449</t>
  </si>
  <si>
    <t>HPBL4-L-O26H-10792</t>
  </si>
  <si>
    <t>PIL-L-I26H-23451</t>
  </si>
  <si>
    <t>HPBL4-L-O26H-10793L</t>
  </si>
  <si>
    <t>122+25</t>
  </si>
  <si>
    <t>PIL-L-I26H-22800L</t>
  </si>
  <si>
    <t>HPBL4-L-O26H-10794</t>
  </si>
  <si>
    <t>PIL-L-I26H-23513</t>
  </si>
  <si>
    <t>HPBL4-L-O26H-10795</t>
  </si>
  <si>
    <t>PIL-L-I26H-23515</t>
  </si>
  <si>
    <t>HPBL4-L-O26H-10796</t>
  </si>
  <si>
    <t>PIL-L-I26H-23512</t>
  </si>
  <si>
    <t>HPBL4-L-O26H-10797</t>
  </si>
  <si>
    <t>PIL-L-I26H-23518</t>
  </si>
  <si>
    <t>HPBL4-L-O26H-10798</t>
  </si>
  <si>
    <t>PIL-L-I26H-23519</t>
  </si>
  <si>
    <t>HPBL4-L-O26H-10799</t>
  </si>
  <si>
    <t>PIL-L-I26H-23517</t>
  </si>
  <si>
    <t>HPBL4-L-O26H-10800</t>
  </si>
  <si>
    <t>PIL-L-I26H-23514</t>
  </si>
  <si>
    <t>HPBL4-L-O26H-10801</t>
  </si>
  <si>
    <t>PIL-L-I26H-23516</t>
  </si>
  <si>
    <t>HPBL4-L-O26H-10802L</t>
  </si>
  <si>
    <t>PIL-L-I26H-22879L</t>
  </si>
  <si>
    <t>HPBL4-L-O26H-10803L</t>
  </si>
  <si>
    <t>PA-368</t>
  </si>
  <si>
    <t>PP 44 FLAT BLACK</t>
  </si>
  <si>
    <t>PPL-L-O26H-02905L</t>
  </si>
  <si>
    <t>LAMINATED HCP-4 26.08.26</t>
  </si>
  <si>
    <t>HPBL4-L-O26H-10804L</t>
  </si>
  <si>
    <t>70+25</t>
  </si>
  <si>
    <t>PPL-L-O26H-02903L</t>
  </si>
  <si>
    <t>HPBL4-L-O26H-10805L</t>
  </si>
  <si>
    <t>HPBL-L-I24H-10375</t>
  </si>
  <si>
    <t>PP 55 FLAT BLACK</t>
  </si>
  <si>
    <t>PPL-L-O26H-02904L</t>
  </si>
  <si>
    <t>HPBL4-L-O26H-10806</t>
  </si>
  <si>
    <t>PPL-L-I26H-06179</t>
  </si>
  <si>
    <t>UL HCP-4 26.08.26</t>
  </si>
  <si>
    <t>HPBL4-L-O26H-10807</t>
  </si>
  <si>
    <t>PPL-L-I26H-06211</t>
  </si>
  <si>
    <t>HPBL4-L-O26H-10808</t>
  </si>
  <si>
    <t>PIL-L-I26H-23526</t>
  </si>
  <si>
    <t>HPBL4-L-O26H-10809</t>
  </si>
  <si>
    <t>PIL-L-I26H-23542</t>
  </si>
  <si>
    <t>HPBL4-L-O26H-10810</t>
  </si>
  <si>
    <t>PIL-L-I26H-23545</t>
  </si>
  <si>
    <t>HPBL4-L-O26H-10811</t>
  </si>
  <si>
    <t>PIL-L-I26H-23549</t>
  </si>
  <si>
    <t>HPBL4-L-O26H-10812</t>
  </si>
  <si>
    <t>PIL-L-I26H-23550</t>
  </si>
  <si>
    <t>HPBL4-L-O26H-10813</t>
  </si>
  <si>
    <t>PIL-L-I26H-23552</t>
  </si>
  <si>
    <t>HPBL4-L-O26H-10814</t>
  </si>
  <si>
    <t>PIL-L-I26H-23533</t>
  </si>
  <si>
    <t>HPBL4-L-O26H-10815</t>
  </si>
  <si>
    <t>PIL-L-I26H-23525</t>
  </si>
  <si>
    <t>HPBL4-L-O26H-10816</t>
  </si>
  <si>
    <t>PIL-L-I26H-23540</t>
  </si>
  <si>
    <t>HPBL4-L-O26H-10817</t>
  </si>
  <si>
    <t>PIL-L-I26H-23543</t>
  </si>
  <si>
    <t>HPBL4-L-O26H-10818</t>
  </si>
  <si>
    <t>PIL-L-I26H-23554</t>
  </si>
  <si>
    <t>HPBL4-L-O26H-10819</t>
  </si>
  <si>
    <t>PIL-L-I26H-23566</t>
  </si>
  <si>
    <t>HPBL4-L-O26H-10820</t>
  </si>
  <si>
    <t>PIL-L-I26H-23571</t>
  </si>
  <si>
    <t>HPBL4-L-O26H-10821</t>
  </si>
  <si>
    <t>PIL-L-I26H-23575</t>
  </si>
  <si>
    <t>HPBL4-L-O26H-10822</t>
  </si>
  <si>
    <t>PIL-L-I26H-23577</t>
  </si>
  <si>
    <t>HPBL4-L-O26H-10823</t>
  </si>
  <si>
    <t>PIL-L-I26H-23559</t>
  </si>
  <si>
    <t>HPBL4-L-O26H-10824</t>
  </si>
  <si>
    <t>PIL-L-I26H-23523</t>
  </si>
  <si>
    <t>HPBL4-L-O26H-10825</t>
  </si>
  <si>
    <t>PIL-L-I26H-23568</t>
  </si>
  <si>
    <t>HPBL4-L-O26H-10826</t>
  </si>
  <si>
    <t>PIL-L-I26H-23576</t>
  </si>
  <si>
    <t>HPBL4-L-O26H-10827</t>
  </si>
  <si>
    <t>PIL-L-I26H-23579</t>
  </si>
  <si>
    <t>HPBL4-L-O26H-10828</t>
  </si>
  <si>
    <t>PIL-L-I26H-23532</t>
  </si>
  <si>
    <t>HPBL4-L-O26H-10829</t>
  </si>
  <si>
    <t>PIL-L-I26H-23541</t>
  </si>
  <si>
    <t>HPBL4-L-O26H-10830</t>
  </si>
  <si>
    <t>PIL-L-I26H-23562</t>
  </si>
  <si>
    <t>HPBL4-L-O26H-10831</t>
  </si>
  <si>
    <t>PIL-L-I26H-23570</t>
  </si>
  <si>
    <t>HPBL4-L-O26H-10832</t>
  </si>
  <si>
    <t>PIL-L-I26H-23578</t>
  </si>
  <si>
    <t>HPBL4-L-O26H-10833</t>
  </si>
  <si>
    <t>PIL-L-I26H-23551</t>
  </si>
  <si>
    <t>HPBL4-L-O26H-10834</t>
  </si>
  <si>
    <t>PIL-L-I26H-23555</t>
  </si>
  <si>
    <t>HPBL4-L-O26H-10835</t>
  </si>
  <si>
    <t>PIL-L-I26H-23574</t>
  </si>
  <si>
    <t>HPBL4-L-O26H-10836</t>
  </si>
  <si>
    <t>PIL-L-I26H-23548</t>
  </si>
  <si>
    <t>HPBL4-L-O26H-10837</t>
  </si>
  <si>
    <t>PIL-L-I26H-23557</t>
  </si>
  <si>
    <t>HPBL4-L-O26H-10838</t>
  </si>
  <si>
    <t>PIL-L-I26H-23558</t>
  </si>
  <si>
    <t>HPBL4-L-O26H-10839</t>
  </si>
  <si>
    <t>PIL-L-I26H-23524</t>
  </si>
  <si>
    <t>HPBL4-L-O26H-10840</t>
  </si>
  <si>
    <t>PIL-L-I26H-23544</t>
  </si>
  <si>
    <t>HPBL4-L-O26H-10841</t>
  </si>
  <si>
    <t>PIL-L-I26H-23553</t>
  </si>
  <si>
    <t>HPBL4-L-O26H-10842</t>
  </si>
  <si>
    <t>PIL-L-I26H-23561</t>
  </si>
  <si>
    <t>HPBL4-L-O26H-10843</t>
  </si>
  <si>
    <t>PIL-L-I26H-23565</t>
  </si>
  <si>
    <t>HPBL4-L-O26H-10844</t>
  </si>
  <si>
    <t>PIL-L-I26H-23586</t>
  </si>
  <si>
    <t>HPBL4-L-O26H-10845</t>
  </si>
  <si>
    <t>PIL-L-I26H-23589</t>
  </si>
  <si>
    <t>HPBL4-L-O26H-10846</t>
  </si>
  <si>
    <t>PIL-L-I26H-23585</t>
  </si>
  <si>
    <t>HPBL4-L-O26H-10847</t>
  </si>
  <si>
    <t>PIL-L-I26H-23587</t>
  </si>
  <si>
    <t>HPBL4-L-O26H-10848</t>
  </si>
  <si>
    <t>PIL-L-I26H-23588</t>
  </si>
  <si>
    <t>HPBL4-L-O26H-10849</t>
  </si>
  <si>
    <t>PIL-L-I26H-23590</t>
  </si>
  <si>
    <t>HPBL4-L-O26H-10850</t>
  </si>
  <si>
    <t>PIL-L-I26H-23597</t>
  </si>
  <si>
    <t>HPBL4-L-O26H-10851</t>
  </si>
  <si>
    <t>PP 89 FLAT M/W Folding</t>
  </si>
  <si>
    <t>PIL-L-I26H-23613</t>
  </si>
  <si>
    <t>HPBL4-L-O26H-10852</t>
  </si>
  <si>
    <t>PIL-L-I26H-23620</t>
  </si>
  <si>
    <t>HPBL4-L-O26H-10853</t>
  </si>
  <si>
    <t>PIL-L-I26H-23625</t>
  </si>
  <si>
    <t>HPBL4-L-O26H-10854</t>
  </si>
  <si>
    <t>PIL-L-I26H-23600</t>
  </si>
  <si>
    <t>HPBL4-L-O26H-10855</t>
  </si>
  <si>
    <t>PIL-L-I26H-23607</t>
  </si>
  <si>
    <t>HPBL4-L-O26H-10856</t>
  </si>
  <si>
    <t>PIL-L-I26H-23621</t>
  </si>
  <si>
    <t>HPBL4-L-O26H-10857</t>
  </si>
  <si>
    <t>PIL-L-I26H-23626</t>
  </si>
  <si>
    <t>HPBL4-L-O26H-10858</t>
  </si>
  <si>
    <t>PIL-L-I26H-23632</t>
  </si>
  <si>
    <t>HPBL4-L-O26H-10859</t>
  </si>
  <si>
    <t>PIL-L-I26H-23639</t>
  </si>
  <si>
    <t>HPBL4-L-O26H-10860</t>
  </si>
  <si>
    <t>PIL-L-I26H-23598</t>
  </si>
  <si>
    <t>HPBL4-L-O26H-10861</t>
  </si>
  <si>
    <t>PIL-L-I26H-23618</t>
  </si>
  <si>
    <t>HPBL4-L-O26H-10862</t>
  </si>
  <si>
    <t>PIL-L-I26H-23634</t>
  </si>
  <si>
    <t>HPBL4-L-O26H-10863</t>
  </si>
  <si>
    <t>PIL-L-I26H-23636</t>
  </si>
  <si>
    <t>HPBL4-L-O26H-10864</t>
  </si>
  <si>
    <t>PIL-L-I26H-23648</t>
  </si>
  <si>
    <t>HPBL4-L-O26H-10865</t>
  </si>
  <si>
    <t>PIL-L-I26H-23605</t>
  </si>
  <si>
    <t>HPBL4-L-O26H-10866</t>
  </si>
  <si>
    <t>PIL-L-I26H-23616</t>
  </si>
  <si>
    <t>HPBL4-L-O26H-10867</t>
  </si>
  <si>
    <t>PIL-L-I26H-23619</t>
  </si>
  <si>
    <t>HPBL4-L-O26H-10868</t>
  </si>
  <si>
    <t>PIL-L-I26H-23640</t>
  </si>
  <si>
    <t>HPBL4-L-O26H-10869</t>
  </si>
  <si>
    <t>PIL-L-I26H-23643</t>
  </si>
  <si>
    <t>HPBL4-L-O26H-10870</t>
  </si>
  <si>
    <t>PIL-L-I26H-23593</t>
  </si>
  <si>
    <t>HPBL4-L-O26H-10871</t>
  </si>
  <si>
    <t>PIL-L-I26H-23606</t>
  </si>
  <si>
    <t>HPBL4-L-O26H-10872</t>
  </si>
  <si>
    <t>PIL-L-I26H-23608</t>
  </si>
  <si>
    <t>HPBL4-L-O26H-10873</t>
  </si>
  <si>
    <t>PIL-L-I26H-23624</t>
  </si>
  <si>
    <t>HPBL4-L-O26H-10874</t>
  </si>
  <si>
    <t>PIL-L-I26H-23641</t>
  </si>
  <si>
    <t>HPBL4-L-O26H-10875</t>
  </si>
  <si>
    <t>PIL-L-I26H-23629</t>
  </si>
  <si>
    <t>HPBL4-L-O26H-10876</t>
  </si>
  <si>
    <t>PIL-L-I26H-23596</t>
  </si>
  <si>
    <t>HPBL4-L-O26H-10877</t>
  </si>
  <si>
    <t>PIL-L-I26H-23599</t>
  </si>
  <si>
    <t>HPBL4-L-O26H-10878</t>
  </si>
  <si>
    <t>PIL-L-I26H-23617</t>
  </si>
  <si>
    <t>HPBL4-L-O26H-10879</t>
  </si>
  <si>
    <t>PIL-L-I26H-23645</t>
  </si>
  <si>
    <t>HPBL4-L-O26H-10880</t>
  </si>
  <si>
    <t>PIL-L-I26H-23595</t>
  </si>
  <si>
    <t>HPBL4-L-O26H-10881</t>
  </si>
  <si>
    <t>PIL-L-I26H-23631</t>
  </si>
  <si>
    <t>HPBL4-L-O26H-10882</t>
  </si>
  <si>
    <t>PIL-L-I26H-23642</t>
  </si>
  <si>
    <t>HPBL4-L-O26H-10883</t>
  </si>
  <si>
    <t>PIL-L-I26H-23594</t>
  </si>
  <si>
    <t>HPBL4-L-O26H-10884</t>
  </si>
  <si>
    <t>PIL-L-I26H-23623</t>
  </si>
  <si>
    <t>HPBL4-L-O26H-10885</t>
  </si>
  <si>
    <t>PIL-L-I26H-23628</t>
  </si>
  <si>
    <t>HPBL4-L-O26H-10886</t>
  </si>
  <si>
    <t>PIL-L-I26H-23630</t>
  </si>
  <si>
    <t>HPBL4-L-O26H-10887</t>
  </si>
  <si>
    <t>PIL-L-I26H-23647</t>
  </si>
  <si>
    <t>HPBL4-L-O26H-10888</t>
  </si>
  <si>
    <t>PIL-L-I26H-23683</t>
  </si>
  <si>
    <t>HPBL4-L-O26H-10889</t>
  </si>
  <si>
    <t>PIL-L-I26H-23689</t>
  </si>
  <si>
    <t>HPBL4-L-O26H-10890</t>
  </si>
  <si>
    <t>PIL-L-I26H-23694</t>
  </si>
  <si>
    <t>HPBL4-L-O26H-10891</t>
  </si>
  <si>
    <t>PIL-L-I26H-23702</t>
  </si>
  <si>
    <t>HPBL4-L-O26H-10892</t>
  </si>
  <si>
    <t>PIL-L-I26H-23682</t>
  </si>
  <si>
    <t>HPBL4-L-O26H-10893</t>
  </si>
  <si>
    <t>PIL-L-I26H-23691</t>
  </si>
  <si>
    <t>HPBL4-L-O26H-10894</t>
  </si>
  <si>
    <t>PIL-L-I26H-23703</t>
  </si>
  <si>
    <t>HPBL4-L-O26H-10895</t>
  </si>
  <si>
    <t>PIL-L-I26H-23696</t>
  </si>
  <si>
    <t>HPBL4-L-O26H-10896</t>
  </si>
  <si>
    <t>PIL-L-I26H-23701</t>
  </si>
  <si>
    <t>HPBL4-L-O26H-10897</t>
  </si>
  <si>
    <t>PIL-L-I26H-23698</t>
  </si>
  <si>
    <t>HPBL4-L-O26H-10898</t>
  </si>
  <si>
    <t>PIL-L-I26H-23726</t>
  </si>
  <si>
    <t>HPBL4-L-O26H-10899</t>
  </si>
  <si>
    <t>PIL-L-I26H-23676</t>
  </si>
  <si>
    <t>HPBL4-L-O26H-10900</t>
  </si>
  <si>
    <t>PIL-L-I26H-23677</t>
  </si>
  <si>
    <t>HPBL4-L-O26H-10901</t>
  </si>
  <si>
    <t>PIL-L-I26H-23692</t>
  </si>
  <si>
    <t>HPBL4-L-O26H-10902</t>
  </si>
  <si>
    <t>PIL-L-I26H-23697</t>
  </si>
  <si>
    <t>HPBL4-L-O26H-10903</t>
  </si>
  <si>
    <t>PIL-L-I26H-23705</t>
  </si>
  <si>
    <t>HPBL4-L-O26H-10904</t>
  </si>
  <si>
    <t>PIL-L-I26H-23724</t>
  </si>
  <si>
    <t>HPBL4-L-O26H-10905</t>
  </si>
  <si>
    <t>PIL-L-I26H-23722</t>
  </si>
  <si>
    <t>HPBL4-L-O26H-10906</t>
  </si>
  <si>
    <t>PIL-L-I26H-23680</t>
  </si>
  <si>
    <t>HPBL4-L-O26H-10907</t>
  </si>
  <si>
    <t>PIL-L-I26H-23704</t>
  </si>
  <si>
    <t>HPBL4-L-O26H-10908</t>
  </si>
  <si>
    <t>PIL-L-I26H-23711</t>
  </si>
  <si>
    <t>HPBL4-L-O26H-10909</t>
  </si>
  <si>
    <t>PIL-L-I26H-23714</t>
  </si>
  <si>
    <t>HPBL4-L-O26H-10910</t>
  </si>
  <si>
    <t>PIL-L-I26H-23725</t>
  </si>
  <si>
    <t>HPBL4-L-O26H-10911</t>
  </si>
  <si>
    <t>PIL-L-I26H-23706</t>
  </si>
  <si>
    <t>HPBL4-L-O26H-10912</t>
  </si>
  <si>
    <t>PIL-L-I26H-23693</t>
  </si>
  <si>
    <t>HPBL4-L-O26H-10913</t>
  </si>
  <si>
    <t>PIL-L-I26H-23699</t>
  </si>
  <si>
    <t>HPBL4-L-O26H-10914</t>
  </si>
  <si>
    <t>PIL-L-I26H-23700</t>
  </si>
  <si>
    <t>HPBL4-L-O26H-10915</t>
  </si>
  <si>
    <t>PIL-L-I26H-23675</t>
  </si>
  <si>
    <t>HPBL4-L-O26H-10916</t>
  </si>
  <si>
    <t>PIL-L-I26H-23688</t>
  </si>
  <si>
    <t>HPBL4-L-O26H-10917</t>
  </si>
  <si>
    <t>PIL-L-I26H-23695</t>
  </si>
  <si>
    <t>HPBL4-L-O26H-10918</t>
  </si>
  <si>
    <t>PIL-L-I26H-23712</t>
  </si>
  <si>
    <t>HPBL4-L-O26H-10919</t>
  </si>
  <si>
    <t>PIL-L-I26H-23713</t>
  </si>
  <si>
    <t>HPBL4-L-O26H-10920</t>
  </si>
  <si>
    <t>PIL-L-I26H-23717</t>
  </si>
  <si>
    <t>HPBL4-L-O26H-10921L</t>
  </si>
  <si>
    <t>HPBL-L-I26H-13059</t>
  </si>
  <si>
    <t>PP 55 FLAT MW Marking</t>
  </si>
  <si>
    <t>PIL-L-O26H-13374-1L</t>
  </si>
  <si>
    <t>HPBL4-L-O26H-10922L</t>
  </si>
  <si>
    <t>PIL-L-O26H-13374L</t>
  </si>
  <si>
    <t>HPBL4-L-O26H-10923L</t>
  </si>
  <si>
    <t>HPBL-L-I26H-12541</t>
  </si>
  <si>
    <t>PIL-L-O26H-12758-1L</t>
  </si>
  <si>
    <t>HPBL4-L-O26H-10924L</t>
  </si>
  <si>
    <t>PIL-L-O26H-12758L</t>
  </si>
  <si>
    <t>HPBL4-L-O26H-10925L</t>
  </si>
  <si>
    <t>PP 30 FLAT MW TYPE D</t>
  </si>
  <si>
    <t>PIL-L-I26H-23353-2L</t>
  </si>
  <si>
    <t>HPBL4-L-O26H-10926</t>
  </si>
  <si>
    <t>PIL-L-I26H-23684</t>
  </si>
  <si>
    <t>HPBL4-L-O26H-10927</t>
  </si>
  <si>
    <t>PIL-L-I26H-23720</t>
  </si>
  <si>
    <t>HPBL4-L-O26H-10928L</t>
  </si>
  <si>
    <t>HPBL-L-I26H-12794</t>
  </si>
  <si>
    <t>PIL-L-O26H-12943L</t>
  </si>
  <si>
    <t>HPBL4-L-O26H-10929L</t>
  </si>
  <si>
    <t>HPBL-L-I26H-13035</t>
  </si>
  <si>
    <t>PP 95 FLAT RED 032 C</t>
  </si>
  <si>
    <t>70+15</t>
  </si>
  <si>
    <t>PIL-L-O26H-13364L</t>
  </si>
  <si>
    <t>HPBL4-L-O26H-10930</t>
  </si>
  <si>
    <t>PPL-L-I26H-06247</t>
  </si>
  <si>
    <t>UL HCP-4 29.08.26</t>
  </si>
  <si>
    <t>HPBL4-L-O26H-10931</t>
  </si>
  <si>
    <t>PPL-L-I26H-06296</t>
  </si>
  <si>
    <t>HPBL4-L-O26H-10932</t>
  </si>
  <si>
    <t>PPL-L-I26H-06318</t>
  </si>
  <si>
    <t>HPBL4-L-O26H-10933L</t>
  </si>
  <si>
    <t>HPBL-L-I26H-12793</t>
  </si>
  <si>
    <t>PPL-L-O26H-02874L</t>
  </si>
  <si>
    <t>LAMINATED 29.08.26 HCP-4</t>
  </si>
  <si>
    <t>HPBL4-L-O26H-10934</t>
  </si>
  <si>
    <t>PIL-L-I26H-23753</t>
  </si>
  <si>
    <t>HPBL4-L-O26H-10935</t>
  </si>
  <si>
    <t>PIL-L-I26H-23774</t>
  </si>
  <si>
    <t>HPBL4-L-O26H-10936</t>
  </si>
  <si>
    <t>PP 134 GZT MW 4% CC &amp; 4% FILLER</t>
  </si>
  <si>
    <t>PIL-L-I26H-23777</t>
  </si>
  <si>
    <t>HPBL4-L-O26H-10937</t>
  </si>
  <si>
    <t>PIL-L-I26H-23782</t>
  </si>
  <si>
    <t>HPBL4-L-O26H-10938</t>
  </si>
  <si>
    <t>PIL-L-I26H-23786</t>
  </si>
  <si>
    <t>HPBL4-L-O26H-10939</t>
  </si>
  <si>
    <t>PIL-L-I26H-23787</t>
  </si>
  <si>
    <t>HPBL4-L-O26H-10940</t>
  </si>
  <si>
    <t>PIL-L-I26H-23735</t>
  </si>
  <si>
    <t>HPBL4-L-O26H-10941</t>
  </si>
  <si>
    <t>PIL-L-I26H-23747</t>
  </si>
  <si>
    <t>HPBL4-L-O26H-10942</t>
  </si>
  <si>
    <t>PIL-L-I26H-23792</t>
  </si>
  <si>
    <t>HPBL4-L-O26H-10943</t>
  </si>
  <si>
    <t>PIL-L-I26H-23615</t>
  </si>
  <si>
    <t>HPBL4-L-O26H-10944</t>
  </si>
  <si>
    <t>PIL-L-I26H-23736</t>
  </si>
  <si>
    <t>HPBL4-L-O26H-10945</t>
  </si>
  <si>
    <t>PIL-L-I26H-23740</t>
  </si>
  <si>
    <t>HPBL4-L-O26H-10946</t>
  </si>
  <si>
    <t>PP 134 GZT MW 4%CC &amp;</t>
  </si>
  <si>
    <t>PIL-L-I26H-23748</t>
  </si>
  <si>
    <t>HPBL4-L-O26H-10947</t>
  </si>
  <si>
    <t>PIL-L-I26H-23768</t>
  </si>
  <si>
    <t>HPBL4-L-O26H-10948</t>
  </si>
  <si>
    <t>PIL-L-I26H-23770</t>
  </si>
  <si>
    <t>HPBL4-L-O26H-10949</t>
  </si>
  <si>
    <t>PIL-L-I26H-23772</t>
  </si>
  <si>
    <t>HPBL4-L-O26H-10950</t>
  </si>
  <si>
    <t>PIL-L-I26H-23780</t>
  </si>
  <si>
    <t>HPBL4-L-O26H-10951</t>
  </si>
  <si>
    <t>PIL-L-I26H-23781</t>
  </si>
  <si>
    <t>HPBL4-L-O26H-10952</t>
  </si>
  <si>
    <t>PIL-L-I26H-23785</t>
  </si>
  <si>
    <t>HPBL4-L-O26H-10953</t>
  </si>
  <si>
    <t>PIL-L-I26H-23788</t>
  </si>
  <si>
    <t>HPBL4-L-O26H-10954</t>
  </si>
  <si>
    <t>PIL-L-I26H-23789</t>
  </si>
  <si>
    <t>HPBL4-L-O26H-10955</t>
  </si>
  <si>
    <t>PIL-L-I26H-23742</t>
  </si>
  <si>
    <t>HPBL4-L-O26H-10956</t>
  </si>
  <si>
    <t>PIL-L-I26H-23745</t>
  </si>
  <si>
    <t>HPBL4-L-O26H-10957</t>
  </si>
  <si>
    <t>PIL-L-I26H-23755</t>
  </si>
  <si>
    <t>HPBL4-L-O26H-10958</t>
  </si>
  <si>
    <t>PIL-L-I26H-23734</t>
  </si>
  <si>
    <t>HPBL4-L-O26H-10959</t>
  </si>
  <si>
    <t>PIL-L-I26H-23775</t>
  </si>
  <si>
    <t>HPBL4-L-O26H-10960</t>
  </si>
  <si>
    <t>PIL-L-I26H-23779</t>
  </si>
  <si>
    <t>HPBL4-L-O26H-10961</t>
  </si>
  <si>
    <t>PIL-L-I26H-23783</t>
  </si>
  <si>
    <t>HPBL4-L-O26H-10962</t>
  </si>
  <si>
    <t>PIL-L-I26H-23737</t>
  </si>
  <si>
    <t>HPBL4-L-O26H-10963</t>
  </si>
  <si>
    <t>PIL-L-I26H-23752</t>
  </si>
  <si>
    <t>HPBL4-L-O26H-10964</t>
  </si>
  <si>
    <t>PIL-L-I26H-23754</t>
  </si>
  <si>
    <t>HPBL4-L-O26H-10965</t>
  </si>
  <si>
    <t>PIL-L-I26H-23746</t>
  </si>
  <si>
    <t>HPBL4-L-O26H-10966</t>
  </si>
  <si>
    <t>PIL-L-I26H-23771</t>
  </si>
  <si>
    <t>HPBL4-L-O26H-10967</t>
  </si>
  <si>
    <t>PIL-L-I26H-23773</t>
  </si>
  <si>
    <t>HPBL4-L-O26H-10968</t>
  </si>
  <si>
    <t>PIL-L-I26H-23751</t>
  </si>
  <si>
    <t>HPBL4-L-O26H-10969</t>
  </si>
  <si>
    <t>PIL-L-I26H-23784</t>
  </si>
  <si>
    <t>HPBL4-L-O26H-10970</t>
  </si>
  <si>
    <t>PIL-L-I26H-23761</t>
  </si>
  <si>
    <t>HPBL4-L-O26H-10971</t>
  </si>
  <si>
    <t>PIL-L-I26H-23778</t>
  </si>
  <si>
    <t>HPBL4-L-O26H-10972</t>
  </si>
  <si>
    <t>PIL-L-I26H-23790</t>
  </si>
  <si>
    <t>HPBL4-L-O26H-10973</t>
  </si>
  <si>
    <t>PIL-L-I26H-23738</t>
  </si>
  <si>
    <t>HPBL4-L-O26H-10974</t>
  </si>
  <si>
    <t>PIL-L-I26H-23739</t>
  </si>
  <si>
    <t>HPBL4-L-O26H-10975</t>
  </si>
  <si>
    <t>PIL-L-I26H-23791</t>
  </si>
  <si>
    <t>HPBL4-L-O26H-10976</t>
  </si>
  <si>
    <t>PIL-L-I26H-23741</t>
  </si>
  <si>
    <t>HPBL4-L-O26H-10977</t>
  </si>
  <si>
    <t>PIL-L-I26H-23776</t>
  </si>
  <si>
    <t>HPBL4-L-O26H-10978L</t>
  </si>
  <si>
    <t>HPBL-L-I26H-12472</t>
  </si>
  <si>
    <t>PIL-L-O26H-12886-1L</t>
  </si>
  <si>
    <t>HPBL4-L-O26H-10979L</t>
  </si>
  <si>
    <t>PIL-L-O26H-12886L</t>
  </si>
  <si>
    <t>HPBL4-L-O26H-10980L</t>
  </si>
  <si>
    <t>HPBL-L-I26H-13055</t>
  </si>
  <si>
    <t>PIL-L-O26H-13378-1L</t>
  </si>
  <si>
    <t>HPBL4-L-O26H-10981L</t>
  </si>
  <si>
    <t>PIL-L-O26H-13378L</t>
  </si>
  <si>
    <t>HPBL4-L-O26H-10982L</t>
  </si>
  <si>
    <t>HPBL-L-I26H-11650</t>
  </si>
  <si>
    <t>PIL-L-O26H-11736-1L</t>
  </si>
  <si>
    <t>HPBL4-L-O26H-10983L</t>
  </si>
  <si>
    <t>PIL-L-O26H-11736L</t>
  </si>
  <si>
    <t>HPBL4-L-O26H-10984L</t>
  </si>
  <si>
    <t>HPBL-L-I26H-13060</t>
  </si>
  <si>
    <t>PIL-L-O26H-13366L</t>
  </si>
  <si>
    <t>HPBL4-L-O26H-10985L</t>
  </si>
  <si>
    <t>HPBL-L-I26H-12408</t>
  </si>
  <si>
    <t>PIL-L-O26H-12722L</t>
  </si>
  <si>
    <t>HPBL4-L-O26H-10986</t>
  </si>
  <si>
    <t>PIL-L-I26H-23876</t>
  </si>
  <si>
    <t>HPBL4-L-O26H-10987</t>
  </si>
  <si>
    <t>PP 88 FLAT MW 30% RP Folding</t>
  </si>
  <si>
    <t>PIL-L-I26H-23855</t>
  </si>
  <si>
    <t>HPBL4-L-O26H-10988</t>
  </si>
  <si>
    <t>PIL-L-I26H-23880</t>
  </si>
  <si>
    <t>HPBL4-L-O26H-10989</t>
  </si>
  <si>
    <t>PIL-L-I26H-23862</t>
  </si>
  <si>
    <t>HPBL4-L-O26H-10990</t>
  </si>
  <si>
    <t>PIL-L-I26H-23863</t>
  </si>
  <si>
    <t>HPBL4-L-O26H-10991</t>
  </si>
  <si>
    <t>PIL-L-I26H-23819</t>
  </si>
  <si>
    <t>HPBL4-L-O26H-10992</t>
  </si>
  <si>
    <t>PIL-L-I26H-23873</t>
  </si>
  <si>
    <t>HPBL4-L-O26H-10993</t>
  </si>
  <si>
    <t>PIL-L-I26H-23877</t>
  </si>
  <si>
    <t>HPBL4-L-O26H-10994</t>
  </si>
  <si>
    <t>PIL-L-I26H-23823</t>
  </si>
  <si>
    <t>HPBL4-L-O26H-10995</t>
  </si>
  <si>
    <t>PIL-L-I26H-23884</t>
  </si>
  <si>
    <t>HPBL4-L-O26H-10996</t>
  </si>
  <si>
    <t>PIL-L-I26H-23826</t>
  </si>
  <si>
    <t>HPBL4-L-O26H-10997</t>
  </si>
  <si>
    <t>PIL-L-I26H-23827</t>
  </si>
  <si>
    <t>HPBL4-L-O26H-10998</t>
  </si>
  <si>
    <t>PIL-L-I26H-23801</t>
  </si>
  <si>
    <t>HPBL4-L-O26H-10999</t>
  </si>
  <si>
    <t>PIL-L-I26H-23840</t>
  </si>
  <si>
    <t>HPBL4-L-O26H-11000</t>
  </si>
  <si>
    <t>PIL-L-I26H-23848</t>
  </si>
  <si>
    <t>HPBL4-L-O26H-11001</t>
  </si>
  <si>
    <t>PIL-L-I26H-23829</t>
  </si>
  <si>
    <t>HPBL4-L-O26H-11002</t>
  </si>
  <si>
    <t>PIL-L-I26H-23845</t>
  </si>
  <si>
    <t>HPBL4-L-O26H-11003</t>
  </si>
  <si>
    <t>PIL-L-I26H-23844</t>
  </si>
  <si>
    <t>HPBL4-L-O26H-11004</t>
  </si>
  <si>
    <t>PIL-L-I26H-23847</t>
  </si>
  <si>
    <t>HPBL4-L-O26H-11005</t>
  </si>
  <si>
    <t>PIL-L-I26H-23825</t>
  </si>
  <si>
    <t>HPBL4-L-O26H-11006</t>
  </si>
  <si>
    <t>PIL-L-I26H-23849</t>
  </si>
  <si>
    <t>HPBL4-L-O26H-11007</t>
  </si>
  <si>
    <t>PIL-L-I26H-23835</t>
  </si>
  <si>
    <t>HPBL4-L-O26H-11008</t>
  </si>
  <si>
    <t>PIL-L-I26H-23843</t>
  </si>
  <si>
    <t>HPBL4-L-O26H-11009</t>
  </si>
  <si>
    <t>PIL-L-I26H-23828</t>
  </si>
  <si>
    <t>HPBL4-L-O26H-11010</t>
  </si>
  <si>
    <t>PIL-L-I26H-23839</t>
  </si>
  <si>
    <t>HPBL4-L-O26H-11011</t>
  </si>
  <si>
    <t>PIL-L-I26H-23810</t>
  </si>
  <si>
    <t>HPBL4-L-O26H-11012</t>
  </si>
  <si>
    <t>PIL-L-I26H-23812</t>
  </si>
  <si>
    <t>HPBL4-L-O26H-11013</t>
  </si>
  <si>
    <t>PIL-L-I26H-23809</t>
  </si>
  <si>
    <t>HPBL4-L-O26H-11014</t>
  </si>
  <si>
    <t>PIL-L-I26H-23818</t>
  </si>
  <si>
    <t>HPBL4-L-O26H-11015</t>
  </si>
  <si>
    <t>PIL-L-I26H-23842</t>
  </si>
  <si>
    <t>HPBL4-L-O26H-11016</t>
  </si>
  <si>
    <t>PIL-L-I26H-23821</t>
  </si>
  <si>
    <t>HPBL4-L-O26H-11017</t>
  </si>
  <si>
    <t>PIL-L-I26H-23834</t>
  </si>
  <si>
    <t>HPBL4-L-O26H-11018</t>
  </si>
  <si>
    <t>PIL-L-I26H-23836</t>
  </si>
  <si>
    <t>HPBL4-L-O26H-11019</t>
  </si>
  <si>
    <t>PIL-L-I26H-23846</t>
  </si>
  <si>
    <t>HPBL4-L-O26H-11020</t>
  </si>
  <si>
    <t>PIL-L-I26H-23853</t>
  </si>
  <si>
    <t>HPBL4-L-O26H-11021</t>
  </si>
  <si>
    <t>PIL-L-I26H-23874</t>
  </si>
  <si>
    <t>HPBL4-L-O26H-11022</t>
  </si>
  <si>
    <t>PIL-L-I26H-23882</t>
  </si>
  <si>
    <t>HPBL4-L-O26H-11023</t>
  </si>
  <si>
    <t>PP 130 GZT GREEN 7489 C 3.5% UV</t>
  </si>
  <si>
    <t>PIL-L-I26H-23854</t>
  </si>
  <si>
    <t>HPBL4-L-O26H-11024</t>
  </si>
  <si>
    <t>PIL-L-I26H-23832</t>
  </si>
  <si>
    <t>HPBL4-L-O26H-11025</t>
  </si>
  <si>
    <t>PIL-L-I26H-23831</t>
  </si>
  <si>
    <t>HPBL4-L-O26H-11026</t>
  </si>
  <si>
    <t>PIL-L-I26H-23841</t>
  </si>
  <si>
    <t>HPBL4-L-O26H-11027</t>
  </si>
  <si>
    <t>PIL-L-I26H-23830</t>
  </si>
  <si>
    <t>HPBL4-L-O26H-11028</t>
  </si>
  <si>
    <t>PIL-L-I26H-23833</t>
  </si>
  <si>
    <t>HPBL4-L-O26H-11029L</t>
  </si>
  <si>
    <t>PP 30 FLAT YELLOW 7413 C</t>
  </si>
  <si>
    <t>PIL-L-I26H-23573-1L</t>
  </si>
  <si>
    <t>HPBL4-L-O26H-11030L</t>
  </si>
  <si>
    <t>PIL-L-I26H-23573-2L</t>
  </si>
  <si>
    <t>HPBL4-L-O26H-11031L</t>
  </si>
  <si>
    <t>PIL-L-I26H-23573-3L</t>
  </si>
  <si>
    <t>HPBL4-L-O26H-11032L</t>
  </si>
  <si>
    <t>PIL-L-I26H-23573-4L</t>
  </si>
  <si>
    <t>HPBL4-L-O26H-11033L</t>
  </si>
  <si>
    <t>PIL-L-I26G-21372-1L</t>
  </si>
  <si>
    <t>HPBL4-L-O26H-11034L</t>
  </si>
  <si>
    <t>PIL-L-I26G-21372-2L</t>
  </si>
  <si>
    <t>HPBL4-L-O26H-11035L</t>
  </si>
  <si>
    <t>PIL-L-I26G-21372-3L</t>
  </si>
  <si>
    <t>HPBL4-L-O26H-11036L</t>
  </si>
  <si>
    <t>PIL-L-I26G-21372L</t>
  </si>
  <si>
    <t>HPBL4-L-O26H-11037L</t>
  </si>
  <si>
    <t>PIL-L-I26H-23573-5L</t>
  </si>
  <si>
    <t>HPBL4-L-O26H-11038L</t>
  </si>
  <si>
    <t>PIL-L-I26H-23573-6L</t>
  </si>
  <si>
    <t>HPBL4-L-O26H-11039L</t>
  </si>
  <si>
    <t>PIL-L-I26H-23573-7L</t>
  </si>
  <si>
    <t>HPBL4-L-O26H-11040L</t>
  </si>
  <si>
    <t>PIL-L-I26H-23573L</t>
  </si>
  <si>
    <t>HPBL4-L-O26H-11041L</t>
  </si>
  <si>
    <t>260103223406A</t>
  </si>
  <si>
    <t>PP 25 FLAT YELLOW 871 C</t>
  </si>
  <si>
    <t>PIL-L-O26H-13500-1L</t>
  </si>
  <si>
    <t>HPBL4-L-O26H-11042L</t>
  </si>
  <si>
    <t>PIL-L-O26H-13500-2L</t>
  </si>
  <si>
    <t>HPBL4-L-O26H-11043L</t>
  </si>
  <si>
    <t>PIL-L-O26H-13500-3L</t>
  </si>
  <si>
    <t>HPBL4-L-O26H-11044L</t>
  </si>
  <si>
    <t>PP 25 FLAT GREY 877 C</t>
  </si>
  <si>
    <t>PIL-L-O26H-13500-4L</t>
  </si>
  <si>
    <t>HPBL4-L-O26H-11045L</t>
  </si>
  <si>
    <t>PIL-L-O26H-13500-5L</t>
  </si>
  <si>
    <t>HPBL4-L-O26H-11046L</t>
  </si>
  <si>
    <t>PIL-L-O26H-13500-6L</t>
  </si>
  <si>
    <t>HPBL4-L-O26H-11047L</t>
  </si>
  <si>
    <t>PIL-L-O26H-13500-7L</t>
  </si>
  <si>
    <t>HPBL4-L-O26H-11048L</t>
  </si>
  <si>
    <t>PIL-L-O26H-13500L</t>
  </si>
  <si>
    <t>HPBL4-L-O26H-11049</t>
  </si>
  <si>
    <t>PIL-L-I26H-23901</t>
  </si>
  <si>
    <t>HPBL4-L-O26H-11050</t>
  </si>
  <si>
    <t>PIL-L-I26H-23900</t>
  </si>
  <si>
    <t>HPBL4-L-O26H-11051</t>
  </si>
  <si>
    <t>PIL-L-I26H-23902</t>
  </si>
  <si>
    <t>HPBL4-L-O26H-11052</t>
  </si>
  <si>
    <t>PIL-L-I26H-23903</t>
  </si>
  <si>
    <t>HPBL4-L-O26H-11053</t>
  </si>
  <si>
    <t>PPL-L-I26H-06349</t>
  </si>
  <si>
    <t>UL 31.08.26 HCP-4</t>
  </si>
  <si>
    <t>HPBL4-L-O26H-11054</t>
  </si>
  <si>
    <t>PPL-L-I26H-06374</t>
  </si>
  <si>
    <t>FABRIC</t>
  </si>
  <si>
    <t>Advocate Fees Expense</t>
  </si>
  <si>
    <t>C &amp; F  Charges - Export</t>
  </si>
  <si>
    <t>Fumigation Charges</t>
  </si>
  <si>
    <t>P.F. Admin. Charge</t>
  </si>
  <si>
    <t>Postage &amp; Courier Expense</t>
  </si>
  <si>
    <t>Repairs &amp; Maintenance Exp - Plant &amp; Machinery</t>
  </si>
  <si>
    <t>Vehicle Hire Charges - RCM</t>
  </si>
  <si>
    <t>Weighment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</si>
</sst>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.00_ ;_ * \-#,##0.00_ ;_ * &quot;-&quot;??_ ;_ @_ "/>
    <numFmt numFmtId="165" formatCode="0.00\ &quot;Dr&quot;;0.00\ &quot;Cr&quot;"/>
  </numFmts>
  <fonts count="4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  <charset val="1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4"/>
      <color theme="1"/>
      <name val="Calibri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indexed="8"/>
      <name val="Calibri"/>
      <family val="2"/>
      <charset val="134"/>
    </font>
    <font>
      <sz val="12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FF"/>
      <name val="Calibri"/>
      <family val="2"/>
    </font>
    <font>
      <b/>
      <sz val="11"/>
      <color rgb="FF000000"/>
      <name val="Calibri"/>
      <family val="2"/>
    </font>
    <font>
      <i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sz val="11"/>
      <name val="Calibri"/>
      <family val="2"/>
    </font>
    <font>
      <b/>
      <sz val="11"/>
      <color indexed="52"/>
      <name val="Calibri"/>
      <family val="2"/>
    </font>
    <font>
      <i/>
      <sz val="11"/>
      <color indexed="23"/>
      <name val="Calibri"/>
      <family val="2"/>
    </font>
    <font>
      <b/>
      <sz val="18"/>
      <name val="Cambria"/>
      <family val="1"/>
    </font>
    <font>
      <b/>
      <sz val="11"/>
      <color theme="1"/>
      <name val="Calibri"/>
      <family val="2"/>
    </font>
  </fonts>
  <fills count="2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5" tint="0.399975585192419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80">
    <xf numFmtId="0" fontId="0" fillId="0" borderId="0"/>
    <xf numFmtId="0" fontId="10" fillId="0" borderId="0"/>
    <xf numFmtId="164" fontId="9" fillId="0" borderId="0" applyFont="0" applyFill="0" applyBorder="0" applyAlignment="0" applyProtection="0">
      <alignment vertical="center"/>
    </xf>
    <xf numFmtId="164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5" borderId="0" applyNumberFormat="0" applyBorder="0" applyAlignment="0" applyProtection="0"/>
    <xf numFmtId="0" fontId="37" fillId="15" borderId="0" applyNumberFormat="0" applyBorder="0" applyAlignment="0" applyProtection="0"/>
    <xf numFmtId="0" fontId="37" fillId="15" borderId="0" applyNumberFormat="0" applyBorder="0" applyAlignment="0" applyProtection="0"/>
    <xf numFmtId="0" fontId="37" fillId="15" borderId="0" applyNumberFormat="0" applyBorder="0" applyAlignment="0" applyProtection="0"/>
    <xf numFmtId="0" fontId="37" fillId="15" borderId="0" applyNumberFormat="0" applyBorder="0" applyAlignment="0" applyProtection="0"/>
    <xf numFmtId="0" fontId="37" fillId="15" borderId="0" applyNumberFormat="0" applyBorder="0" applyAlignment="0" applyProtection="0"/>
    <xf numFmtId="0" fontId="37" fillId="16" borderId="0" applyNumberFormat="0" applyBorder="0" applyAlignment="0" applyProtection="0"/>
    <xf numFmtId="0" fontId="37" fillId="16" borderId="0" applyNumberFormat="0" applyBorder="0" applyAlignment="0" applyProtection="0"/>
    <xf numFmtId="0" fontId="37" fillId="16" borderId="0" applyNumberFormat="0" applyBorder="0" applyAlignment="0" applyProtection="0"/>
    <xf numFmtId="0" fontId="37" fillId="16" borderId="0" applyNumberFormat="0" applyBorder="0" applyAlignment="0" applyProtection="0"/>
    <xf numFmtId="0" fontId="37" fillId="16" borderId="0" applyNumberFormat="0" applyBorder="0" applyAlignment="0" applyProtection="0"/>
    <xf numFmtId="0" fontId="37" fillId="16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7" borderId="0" applyNumberFormat="0" applyBorder="0" applyAlignment="0" applyProtection="0"/>
    <xf numFmtId="0" fontId="37" fillId="17" borderId="0" applyNumberFormat="0" applyBorder="0" applyAlignment="0" applyProtection="0"/>
    <xf numFmtId="0" fontId="37" fillId="17" borderId="0" applyNumberFormat="0" applyBorder="0" applyAlignment="0" applyProtection="0"/>
    <xf numFmtId="0" fontId="37" fillId="17" borderId="0" applyNumberFormat="0" applyBorder="0" applyAlignment="0" applyProtection="0"/>
    <xf numFmtId="0" fontId="37" fillId="17" borderId="0" applyNumberFormat="0" applyBorder="0" applyAlignment="0" applyProtection="0"/>
    <xf numFmtId="0" fontId="37" fillId="17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5" borderId="0" applyNumberFormat="0" applyBorder="0" applyAlignment="0" applyProtection="0"/>
    <xf numFmtId="0" fontId="37" fillId="15" borderId="0" applyNumberFormat="0" applyBorder="0" applyAlignment="0" applyProtection="0"/>
    <xf numFmtId="0" fontId="37" fillId="15" borderId="0" applyNumberFormat="0" applyBorder="0" applyAlignment="0" applyProtection="0"/>
    <xf numFmtId="0" fontId="37" fillId="15" borderId="0" applyNumberFormat="0" applyBorder="0" applyAlignment="0" applyProtection="0"/>
    <xf numFmtId="0" fontId="37" fillId="15" borderId="0" applyNumberFormat="0" applyBorder="0" applyAlignment="0" applyProtection="0"/>
    <xf numFmtId="0" fontId="37" fillId="15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7" borderId="0" applyNumberFormat="0" applyBorder="0" applyAlignment="0" applyProtection="0"/>
    <xf numFmtId="0" fontId="37" fillId="17" borderId="0" applyNumberFormat="0" applyBorder="0" applyAlignment="0" applyProtection="0"/>
    <xf numFmtId="0" fontId="37" fillId="17" borderId="0" applyNumberFormat="0" applyBorder="0" applyAlignment="0" applyProtection="0"/>
    <xf numFmtId="0" fontId="37" fillId="17" borderId="0" applyNumberFormat="0" applyBorder="0" applyAlignment="0" applyProtection="0"/>
    <xf numFmtId="0" fontId="37" fillId="17" borderId="0" applyNumberFormat="0" applyBorder="0" applyAlignment="0" applyProtection="0"/>
    <xf numFmtId="0" fontId="37" fillId="17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5" borderId="0" applyNumberFormat="0" applyBorder="0" applyAlignment="0" applyProtection="0"/>
    <xf numFmtId="0" fontId="37" fillId="15" borderId="0" applyNumberFormat="0" applyBorder="0" applyAlignment="0" applyProtection="0"/>
    <xf numFmtId="0" fontId="37" fillId="15" borderId="0" applyNumberFormat="0" applyBorder="0" applyAlignment="0" applyProtection="0"/>
    <xf numFmtId="0" fontId="37" fillId="15" borderId="0" applyNumberFormat="0" applyBorder="0" applyAlignment="0" applyProtection="0"/>
    <xf numFmtId="0" fontId="37" fillId="15" borderId="0" applyNumberFormat="0" applyBorder="0" applyAlignment="0" applyProtection="0"/>
    <xf numFmtId="0" fontId="37" fillId="15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7" borderId="0" applyNumberFormat="0" applyBorder="0" applyAlignment="0" applyProtection="0"/>
    <xf numFmtId="0" fontId="37" fillId="17" borderId="0" applyNumberFormat="0" applyBorder="0" applyAlignment="0" applyProtection="0"/>
    <xf numFmtId="0" fontId="37" fillId="17" borderId="0" applyNumberFormat="0" applyBorder="0" applyAlignment="0" applyProtection="0"/>
    <xf numFmtId="0" fontId="37" fillId="17" borderId="0" applyNumberFormat="0" applyBorder="0" applyAlignment="0" applyProtection="0"/>
    <xf numFmtId="0" fontId="37" fillId="17" borderId="0" applyNumberFormat="0" applyBorder="0" applyAlignment="0" applyProtection="0"/>
    <xf numFmtId="0" fontId="37" fillId="17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20" borderId="0" applyNumberFormat="0" applyBorder="0" applyAlignment="0" applyProtection="0"/>
    <xf numFmtId="0" fontId="37" fillId="20" borderId="0" applyNumberFormat="0" applyBorder="0" applyAlignment="0" applyProtection="0"/>
    <xf numFmtId="0" fontId="37" fillId="20" borderId="0" applyNumberFormat="0" applyBorder="0" applyAlignment="0" applyProtection="0"/>
    <xf numFmtId="0" fontId="37" fillId="20" borderId="0" applyNumberFormat="0" applyBorder="0" applyAlignment="0" applyProtection="0"/>
    <xf numFmtId="0" fontId="37" fillId="20" borderId="0" applyNumberFormat="0" applyBorder="0" applyAlignment="0" applyProtection="0"/>
    <xf numFmtId="0" fontId="37" fillId="20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42" fillId="16" borderId="10" applyNumberFormat="0" applyAlignment="0" applyProtection="0"/>
    <xf numFmtId="0" fontId="42" fillId="16" borderId="10" applyNumberFormat="0" applyAlignment="0" applyProtection="0"/>
    <xf numFmtId="0" fontId="42" fillId="16" borderId="10" applyNumberFormat="0" applyAlignment="0" applyProtection="0"/>
    <xf numFmtId="0" fontId="42" fillId="16" borderId="10" applyNumberFormat="0" applyAlignment="0" applyProtection="0"/>
    <xf numFmtId="0" fontId="42" fillId="16" borderId="10" applyNumberFormat="0" applyAlignment="0" applyProtection="0"/>
    <xf numFmtId="0" fontId="42" fillId="16" borderId="10" applyNumberFormat="0" applyAlignment="0" applyProtection="0"/>
    <xf numFmtId="0" fontId="37" fillId="18" borderId="11" applyNumberFormat="0" applyAlignment="0" applyProtection="0"/>
    <xf numFmtId="0" fontId="37" fillId="18" borderId="11" applyNumberFormat="0" applyAlignment="0" applyProtection="0"/>
    <xf numFmtId="0" fontId="37" fillId="18" borderId="11" applyNumberFormat="0" applyAlignment="0" applyProtection="0"/>
    <xf numFmtId="0" fontId="37" fillId="18" borderId="11" applyNumberFormat="0" applyAlignment="0" applyProtection="0"/>
    <xf numFmtId="0" fontId="37" fillId="18" borderId="11" applyNumberFormat="0" applyAlignment="0" applyProtection="0"/>
    <xf numFmtId="0" fontId="37" fillId="18" borderId="11" applyNumberFormat="0" applyAlignment="0" applyProtection="0"/>
    <xf numFmtId="43" fontId="4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41" fillId="0" borderId="0"/>
    <xf numFmtId="0" fontId="40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9" fillId="0" borderId="0"/>
    <xf numFmtId="0" fontId="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9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9" fillId="0" borderId="13" applyNumberFormat="0" applyFill="0" applyAlignment="0" applyProtection="0"/>
    <xf numFmtId="0" fontId="9" fillId="0" borderId="13" applyNumberFormat="0" applyFill="0" applyAlignment="0" applyProtection="0"/>
    <xf numFmtId="0" fontId="9" fillId="0" borderId="13" applyNumberFormat="0" applyFill="0" applyAlignment="0" applyProtection="0"/>
    <xf numFmtId="0" fontId="9" fillId="0" borderId="13" applyNumberFormat="0" applyFill="0" applyAlignment="0" applyProtection="0"/>
    <xf numFmtId="0" fontId="9" fillId="0" borderId="13" applyNumberFormat="0" applyFill="0" applyAlignment="0" applyProtection="0"/>
    <xf numFmtId="0" fontId="9" fillId="0" borderId="13" applyNumberFormat="0" applyFill="0" applyAlignment="0" applyProtection="0"/>
    <xf numFmtId="0" fontId="9" fillId="0" borderId="14" applyNumberFormat="0" applyFill="0" applyAlignment="0" applyProtection="0"/>
    <xf numFmtId="0" fontId="9" fillId="0" borderId="14" applyNumberFormat="0" applyFill="0" applyAlignment="0" applyProtection="0"/>
    <xf numFmtId="0" fontId="9" fillId="0" borderId="14" applyNumberFormat="0" applyFill="0" applyAlignment="0" applyProtection="0"/>
    <xf numFmtId="0" fontId="9" fillId="0" borderId="14" applyNumberFormat="0" applyFill="0" applyAlignment="0" applyProtection="0"/>
    <xf numFmtId="0" fontId="9" fillId="0" borderId="14" applyNumberFormat="0" applyFill="0" applyAlignment="0" applyProtection="0"/>
    <xf numFmtId="0" fontId="9" fillId="0" borderId="14" applyNumberFormat="0" applyFill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17" borderId="10" applyNumberFormat="0" applyAlignment="0" applyProtection="0"/>
    <xf numFmtId="0" fontId="9" fillId="17" borderId="10" applyNumberFormat="0" applyAlignment="0" applyProtection="0"/>
    <xf numFmtId="0" fontId="9" fillId="17" borderId="10" applyNumberFormat="0" applyAlignment="0" applyProtection="0"/>
    <xf numFmtId="0" fontId="9" fillId="17" borderId="10" applyNumberFormat="0" applyAlignment="0" applyProtection="0"/>
    <xf numFmtId="0" fontId="9" fillId="17" borderId="10" applyNumberFormat="0" applyAlignment="0" applyProtection="0"/>
    <xf numFmtId="0" fontId="9" fillId="17" borderId="10" applyNumberFormat="0" applyAlignment="0" applyProtection="0"/>
    <xf numFmtId="0" fontId="9" fillId="0" borderId="15" applyNumberFormat="0" applyFill="0" applyAlignment="0" applyProtection="0"/>
    <xf numFmtId="0" fontId="9" fillId="0" borderId="15" applyNumberFormat="0" applyFill="0" applyAlignment="0" applyProtection="0"/>
    <xf numFmtId="0" fontId="9" fillId="0" borderId="15" applyNumberFormat="0" applyFill="0" applyAlignment="0" applyProtection="0"/>
    <xf numFmtId="0" fontId="9" fillId="0" borderId="15" applyNumberFormat="0" applyFill="0" applyAlignment="0" applyProtection="0"/>
    <xf numFmtId="0" fontId="9" fillId="0" borderId="15" applyNumberFormat="0" applyFill="0" applyAlignment="0" applyProtection="0"/>
    <xf numFmtId="0" fontId="9" fillId="0" borderId="15" applyNumberFormat="0" applyFill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37" fillId="0" borderId="0"/>
    <xf numFmtId="0" fontId="37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11" fillId="0" borderId="0"/>
    <xf numFmtId="0" fontId="9" fillId="27" borderId="16" applyNumberFormat="0" applyFont="0" applyAlignment="0" applyProtection="0"/>
    <xf numFmtId="0" fontId="9" fillId="27" borderId="16" applyNumberFormat="0" applyFont="0" applyAlignment="0" applyProtection="0"/>
    <xf numFmtId="0" fontId="9" fillId="27" borderId="16" applyNumberFormat="0" applyFont="0" applyAlignment="0" applyProtection="0"/>
    <xf numFmtId="0" fontId="9" fillId="27" borderId="16" applyNumberFormat="0" applyFont="0" applyAlignment="0" applyProtection="0"/>
    <xf numFmtId="0" fontId="9" fillId="27" borderId="16" applyNumberFormat="0" applyFont="0" applyAlignment="0" applyProtection="0"/>
    <xf numFmtId="0" fontId="9" fillId="27" borderId="16" applyNumberFormat="0" applyFont="0" applyAlignment="0" applyProtection="0"/>
    <xf numFmtId="0" fontId="37" fillId="16" borderId="17" applyNumberFormat="0" applyAlignment="0" applyProtection="0"/>
    <xf numFmtId="0" fontId="37" fillId="16" borderId="17" applyNumberFormat="0" applyAlignment="0" applyProtection="0"/>
    <xf numFmtId="0" fontId="37" fillId="16" borderId="17" applyNumberFormat="0" applyAlignment="0" applyProtection="0"/>
    <xf numFmtId="0" fontId="37" fillId="16" borderId="17" applyNumberFormat="0" applyAlignment="0" applyProtection="0"/>
    <xf numFmtId="0" fontId="37" fillId="16" borderId="17" applyNumberFormat="0" applyAlignment="0" applyProtection="0"/>
    <xf numFmtId="0" fontId="37" fillId="16" borderId="17" applyNumberFormat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9" fillId="0" borderId="18" applyNumberFormat="0" applyFill="0" applyAlignment="0" applyProtection="0"/>
    <xf numFmtId="0" fontId="39" fillId="0" borderId="18" applyNumberFormat="0" applyFill="0" applyAlignment="0" applyProtection="0"/>
    <xf numFmtId="0" fontId="39" fillId="0" borderId="18" applyNumberFormat="0" applyFill="0" applyAlignment="0" applyProtection="0"/>
    <xf numFmtId="0" fontId="39" fillId="0" borderId="18" applyNumberFormat="0" applyFill="0" applyAlignment="0" applyProtection="0"/>
    <xf numFmtId="0" fontId="39" fillId="0" borderId="18" applyNumberFormat="0" applyFill="0" applyAlignment="0" applyProtection="0"/>
    <xf numFmtId="0" fontId="39" fillId="0" borderId="18" applyNumberFormat="0" applyFill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</cellStyleXfs>
  <cellXfs count="489">
    <xf numFmtId="0" fontId="0" fillId="0" borderId="0" xfId="0"/>
    <xf numFmtId="0" fontId="2" fillId="0" borderId="0" xfId="0" applyFont="1"/>
    <xf numFmtId="0" fontId="3" fillId="0" borderId="1" xfId="0" applyFont="1" applyBorder="1"/>
    <xf numFmtId="0" fontId="0" fillId="0" borderId="0" xfId="0" pivotButton="1"/>
    <xf numFmtId="2" fontId="0" fillId="0" borderId="0" xfId="0" applyNumberForma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4" fontId="2" fillId="0" borderId="0" xfId="0" applyNumberFormat="1" applyFont="1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/>
    <xf numFmtId="0" fontId="0" fillId="2" borderId="0" xfId="0" applyFill="1" applyAlignment="1">
      <alignment vertical="center" wrapText="1"/>
    </xf>
    <xf numFmtId="0" fontId="1" fillId="0" borderId="1" xfId="0" applyFont="1" applyBorder="1" applyAlignment="1">
      <alignment horizontal="center"/>
    </xf>
    <xf numFmtId="2" fontId="1" fillId="2" borderId="1" xfId="0" applyNumberFormat="1" applyFont="1" applyFill="1" applyBorder="1"/>
    <xf numFmtId="0" fontId="6" fillId="0" borderId="0" xfId="0" applyFont="1" applyAlignment="1">
      <alignment vertical="center"/>
    </xf>
    <xf numFmtId="0" fontId="6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2" fontId="2" fillId="0" borderId="1" xfId="0" applyNumberFormat="1" applyFont="1" applyBorder="1"/>
    <xf numFmtId="0" fontId="1" fillId="0" borderId="1" xfId="0" applyFont="1" applyBorder="1"/>
    <xf numFmtId="2" fontId="0" fillId="0" borderId="1" xfId="0" applyNumberFormat="1" applyBorder="1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4" fontId="0" fillId="0" borderId="0" xfId="0" applyNumberFormat="1" applyAlignment="1">
      <alignment horizontal="right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applyAlignment="1">
      <alignment horizontal="right" vertical="center" wrapText="1"/>
    </xf>
    <xf numFmtId="4" fontId="0" fillId="0" borderId="0" xfId="0" applyNumberFormat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0" fillId="2" borderId="1" xfId="0" applyFill="1" applyBorder="1" applyAlignment="1">
      <alignment horizontal="right" vertical="center" wrapText="1"/>
    </xf>
    <xf numFmtId="0" fontId="0" fillId="2" borderId="1" xfId="0" applyFill="1" applyBorder="1" applyAlignment="1">
      <alignment horizontal="right" vertical="center"/>
    </xf>
    <xf numFmtId="0" fontId="1" fillId="0" borderId="0" xfId="0" applyFont="1" applyAlignment="1">
      <alignment horizontal="right" vertical="center" wrapText="1"/>
    </xf>
    <xf numFmtId="0" fontId="0" fillId="2" borderId="0" xfId="0" applyFill="1" applyAlignment="1">
      <alignment horizontal="right" vertical="center" wrapText="1"/>
    </xf>
    <xf numFmtId="4" fontId="0" fillId="2" borderId="0" xfId="0" applyNumberFormat="1" applyFill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4" fontId="4" fillId="0" borderId="0" xfId="0" applyNumberFormat="1" applyFont="1" applyAlignment="1">
      <alignment horizontal="right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/>
    <xf numFmtId="4" fontId="8" fillId="0" borderId="0" xfId="0" applyNumberFormat="1" applyFont="1"/>
    <xf numFmtId="0" fontId="4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1" fontId="0" fillId="0" borderId="1" xfId="0" applyNumberForma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  <xf numFmtId="4" fontId="4" fillId="0" borderId="1" xfId="0" applyNumberFormat="1" applyFont="1" applyBorder="1" applyAlignment="1">
      <alignment horizontal="right" vertical="center" wrapText="1"/>
    </xf>
    <xf numFmtId="4" fontId="0" fillId="2" borderId="1" xfId="0" applyNumberFormat="1" applyFill="1" applyBorder="1" applyAlignment="1">
      <alignment horizontal="right" vertical="center" wrapText="1"/>
    </xf>
    <xf numFmtId="4" fontId="0" fillId="2" borderId="1" xfId="0" applyNumberFormat="1" applyFill="1" applyBorder="1" applyAlignment="1">
      <alignment vertical="center" wrapText="1"/>
    </xf>
    <xf numFmtId="4" fontId="4" fillId="0" borderId="1" xfId="0" applyNumberFormat="1" applyFont="1" applyBorder="1" applyAlignment="1">
      <alignment vertical="center" wrapText="1"/>
    </xf>
    <xf numFmtId="0" fontId="0" fillId="0" borderId="7" xfId="0" applyBorder="1" applyAlignment="1">
      <alignment horizontal="center" vertical="center" wrapText="1"/>
    </xf>
    <xf numFmtId="14" fontId="0" fillId="0" borderId="1" xfId="0" applyNumberFormat="1" applyBorder="1" applyAlignment="1">
      <alignment vertical="center" wrapText="1"/>
    </xf>
    <xf numFmtId="0" fontId="1" fillId="0" borderId="0" xfId="0" applyFont="1" applyAlignment="1">
      <alignment horizontal="right"/>
    </xf>
    <xf numFmtId="4" fontId="0" fillId="0" borderId="1" xfId="0" applyNumberFormat="1" applyBorder="1" applyAlignment="1">
      <alignment vertical="center" wrapText="1"/>
    </xf>
    <xf numFmtId="0" fontId="1" fillId="5" borderId="1" xfId="0" applyFont="1" applyFill="1" applyBorder="1" applyAlignment="1">
      <alignment horizontal="left"/>
    </xf>
    <xf numFmtId="2" fontId="1" fillId="5" borderId="1" xfId="0" applyNumberFormat="1" applyFont="1" applyFill="1" applyBorder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4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/>
    </xf>
    <xf numFmtId="0" fontId="2" fillId="0" borderId="0" xfId="0" applyFont="1" applyAlignment="1"/>
    <xf numFmtId="0" fontId="1" fillId="5" borderId="1" xfId="0" applyFont="1" applyFill="1" applyBorder="1"/>
    <xf numFmtId="0" fontId="1" fillId="0" borderId="1" xfId="0" applyFont="1" applyFill="1" applyBorder="1" applyAlignment="1">
      <alignment horizontal="left"/>
    </xf>
    <xf numFmtId="2" fontId="1" fillId="0" borderId="1" xfId="0" applyNumberFormat="1" applyFont="1" applyBorder="1"/>
    <xf numFmtId="0" fontId="5" fillId="0" borderId="6" xfId="0" applyFont="1" applyBorder="1" applyAlignment="1">
      <alignment vertical="center"/>
    </xf>
    <xf numFmtId="0" fontId="0" fillId="0" borderId="3" xfId="0" applyFill="1" applyBorder="1" applyAlignment="1">
      <alignment horizontal="right" vertical="center"/>
    </xf>
    <xf numFmtId="0" fontId="0" fillId="0" borderId="0" xfId="0"/>
    <xf numFmtId="4" fontId="0" fillId="0" borderId="0" xfId="0" applyNumberForma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right" vertical="center" wrapText="1"/>
    </xf>
    <xf numFmtId="4" fontId="0" fillId="0" borderId="1" xfId="0" applyNumberFormat="1" applyBorder="1" applyAlignment="1">
      <alignment horizontal="right" vertical="center" wrapText="1"/>
    </xf>
    <xf numFmtId="0" fontId="0" fillId="2" borderId="1" xfId="0" applyFill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0" borderId="1" xfId="0" applyFill="1" applyBorder="1" applyAlignment="1">
      <alignment horizontal="right" vertical="center" wrapText="1"/>
    </xf>
    <xf numFmtId="0" fontId="0" fillId="0" borderId="1" xfId="0" applyFill="1" applyBorder="1" applyAlignment="1">
      <alignment vertical="center" wrapText="1"/>
    </xf>
    <xf numFmtId="4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/>
    </xf>
    <xf numFmtId="0" fontId="0" fillId="2" borderId="0" xfId="0" applyFill="1"/>
    <xf numFmtId="4" fontId="0" fillId="0" borderId="1" xfId="0" applyNumberFormat="1" applyBorder="1"/>
    <xf numFmtId="0" fontId="1" fillId="0" borderId="1" xfId="0" applyFont="1" applyBorder="1" applyAlignment="1">
      <alignment horizontal="center" vertical="center"/>
    </xf>
    <xf numFmtId="0" fontId="0" fillId="0" borderId="0" xfId="0"/>
    <xf numFmtId="0" fontId="6" fillId="0" borderId="0" xfId="0" applyFont="1" applyAlignment="1">
      <alignment horizontal="right"/>
    </xf>
    <xf numFmtId="0" fontId="2" fillId="0" borderId="1" xfId="0" applyFont="1" applyBorder="1" applyAlignment="1"/>
    <xf numFmtId="2" fontId="0" fillId="0" borderId="0" xfId="0" applyNumberFormat="1" applyFill="1"/>
    <xf numFmtId="0" fontId="1" fillId="0" borderId="0" xfId="0" applyFont="1"/>
    <xf numFmtId="4" fontId="0" fillId="0" borderId="0" xfId="0" applyNumberFormat="1" applyAlignment="1">
      <alignment vertical="center" wrapText="1"/>
    </xf>
    <xf numFmtId="4" fontId="4" fillId="0" borderId="0" xfId="0" applyNumberFormat="1" applyFont="1" applyAlignment="1">
      <alignment vertical="center" wrapText="1"/>
    </xf>
    <xf numFmtId="4" fontId="1" fillId="0" borderId="1" xfId="0" applyNumberFormat="1" applyFont="1" applyBorder="1"/>
    <xf numFmtId="4" fontId="0" fillId="2" borderId="0" xfId="0" applyNumberFormat="1" applyFill="1" applyAlignment="1">
      <alignment vertical="center" wrapText="1"/>
    </xf>
    <xf numFmtId="14" fontId="0" fillId="0" borderId="0" xfId="0" applyNumberFormat="1"/>
    <xf numFmtId="0" fontId="0" fillId="0" borderId="1" xfId="0" applyBorder="1" applyAlignment="1">
      <alignment horizontal="right"/>
    </xf>
    <xf numFmtId="14" fontId="0" fillId="0" borderId="1" xfId="0" applyNumberForma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3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14" fontId="6" fillId="0" borderId="0" xfId="0" applyNumberFormat="1" applyFont="1"/>
    <xf numFmtId="2" fontId="6" fillId="0" borderId="0" xfId="0" applyNumberFormat="1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/>
    <xf numFmtId="0" fontId="0" fillId="0" borderId="0" xfId="0" applyAlignment="1">
      <alignment vertical="center"/>
    </xf>
    <xf numFmtId="0" fontId="5" fillId="0" borderId="0" xfId="0" applyFont="1"/>
    <xf numFmtId="0" fontId="0" fillId="0" borderId="0" xfId="0"/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/>
    <xf numFmtId="2" fontId="2" fillId="0" borderId="0" xfId="0" applyNumberFormat="1" applyFont="1"/>
    <xf numFmtId="4" fontId="0" fillId="0" borderId="0" xfId="0" applyNumberFormat="1" applyAlignment="1"/>
    <xf numFmtId="0" fontId="16" fillId="7" borderId="1" xfId="0" applyFont="1" applyFill="1" applyBorder="1" applyAlignment="1">
      <alignment vertical="center"/>
    </xf>
    <xf numFmtId="0" fontId="15" fillId="7" borderId="1" xfId="0" applyFont="1" applyFill="1" applyBorder="1" applyAlignment="1">
      <alignment vertical="center"/>
    </xf>
    <xf numFmtId="0" fontId="20" fillId="0" borderId="0" xfId="0" applyFont="1"/>
    <xf numFmtId="0" fontId="15" fillId="0" borderId="0" xfId="0" applyFont="1" applyAlignment="1">
      <alignment vertical="center"/>
    </xf>
    <xf numFmtId="0" fontId="16" fillId="0" borderId="1" xfId="0" applyFont="1" applyBorder="1" applyAlignment="1">
      <alignment vertical="center"/>
    </xf>
    <xf numFmtId="0" fontId="20" fillId="0" borderId="1" xfId="0" applyFont="1" applyBorder="1"/>
    <xf numFmtId="2" fontId="21" fillId="0" borderId="0" xfId="0" applyNumberFormat="1" applyFont="1"/>
    <xf numFmtId="0" fontId="23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right" vertical="center"/>
    </xf>
    <xf numFmtId="14" fontId="23" fillId="0" borderId="1" xfId="0" applyNumberFormat="1" applyFont="1" applyBorder="1" applyAlignment="1">
      <alignment horizontal="center" vertical="center"/>
    </xf>
    <xf numFmtId="2" fontId="25" fillId="0" borderId="1" xfId="0" applyNumberFormat="1" applyFont="1" applyBorder="1" applyAlignment="1">
      <alignment horizontal="right" vertical="center"/>
    </xf>
    <xf numFmtId="0" fontId="26" fillId="0" borderId="1" xfId="0" applyFont="1" applyBorder="1" applyAlignment="1">
      <alignment horizontal="center" vertical="center"/>
    </xf>
    <xf numFmtId="0" fontId="23" fillId="9" borderId="1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right" vertical="center"/>
    </xf>
    <xf numFmtId="4" fontId="1" fillId="0" borderId="1" xfId="0" applyNumberFormat="1" applyFont="1" applyFill="1" applyBorder="1" applyAlignment="1"/>
    <xf numFmtId="0" fontId="1" fillId="0" borderId="1" xfId="0" applyFont="1" applyBorder="1" applyAlignment="1"/>
    <xf numFmtId="0" fontId="1" fillId="0" borderId="1" xfId="0" applyFont="1" applyFill="1" applyBorder="1" applyAlignment="1"/>
    <xf numFmtId="2" fontId="1" fillId="0" borderId="1" xfId="0" applyNumberFormat="1" applyFont="1" applyBorder="1" applyAlignment="1"/>
    <xf numFmtId="0" fontId="1" fillId="0" borderId="0" xfId="0" applyFont="1" applyAlignment="1"/>
    <xf numFmtId="0" fontId="1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vertical="center"/>
    </xf>
    <xf numFmtId="0" fontId="1" fillId="2" borderId="1" xfId="0" applyFont="1" applyFill="1" applyBorder="1"/>
    <xf numFmtId="0" fontId="0" fillId="0" borderId="0" xfId="0"/>
    <xf numFmtId="0" fontId="16" fillId="0" borderId="0" xfId="0" applyFont="1" applyAlignment="1">
      <alignment vertical="center"/>
    </xf>
    <xf numFmtId="0" fontId="17" fillId="6" borderId="6" xfId="0" applyFont="1" applyFill="1" applyBorder="1" applyAlignment="1">
      <alignment horizontal="right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4" fontId="2" fillId="0" borderId="0" xfId="0" applyNumberFormat="1" applyFont="1" applyAlignment="1">
      <alignment horizontal="right"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right" vertical="center"/>
    </xf>
    <xf numFmtId="4" fontId="2" fillId="2" borderId="0" xfId="0" applyNumberFormat="1" applyFont="1" applyFill="1" applyAlignment="1">
      <alignment horizontal="right" vertical="center"/>
    </xf>
    <xf numFmtId="4" fontId="2" fillId="2" borderId="0" xfId="0" applyNumberFormat="1" applyFont="1" applyFill="1" applyAlignment="1">
      <alignment vertical="center"/>
    </xf>
    <xf numFmtId="2" fontId="0" fillId="0" borderId="0" xfId="0" applyNumberFormat="1" applyAlignment="1"/>
    <xf numFmtId="0" fontId="2" fillId="2" borderId="1" xfId="0" applyFont="1" applyFill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2" fontId="2" fillId="0" borderId="0" xfId="0" applyNumberFormat="1" applyFont="1" applyAlignment="1"/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vertical="center"/>
    </xf>
    <xf numFmtId="2" fontId="29" fillId="0" borderId="1" xfId="0" applyNumberFormat="1" applyFont="1" applyBorder="1" applyAlignment="1">
      <alignment vertical="center"/>
    </xf>
    <xf numFmtId="0" fontId="0" fillId="0" borderId="1" xfId="0" applyBorder="1" applyAlignment="1"/>
    <xf numFmtId="0" fontId="28" fillId="0" borderId="1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4" fontId="2" fillId="2" borderId="0" xfId="0" applyNumberFormat="1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" fillId="0" borderId="7" xfId="0" applyFont="1" applyBorder="1" applyAlignment="1">
      <alignment horizontal="center" vertical="center"/>
    </xf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3" fillId="0" borderId="0" xfId="0" applyFont="1" applyAlignment="1"/>
    <xf numFmtId="0" fontId="2" fillId="2" borderId="1" xfId="0" applyFont="1" applyFill="1" applyBorder="1" applyAlignment="1">
      <alignment horizontal="right" vertical="center" wrapText="1"/>
    </xf>
    <xf numFmtId="0" fontId="2" fillId="0" borderId="7" xfId="0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1" fillId="0" borderId="1" xfId="0" applyFont="1" applyBorder="1" applyAlignment="1"/>
    <xf numFmtId="0" fontId="0" fillId="0" borderId="5" xfId="0" applyFill="1" applyBorder="1" applyAlignment="1">
      <alignment horizontal="right" vertical="center"/>
    </xf>
    <xf numFmtId="0" fontId="0" fillId="0" borderId="1" xfId="0" applyBorder="1" applyAlignment="1">
      <alignment horizontal="center" vertical="center" wrapText="1"/>
    </xf>
    <xf numFmtId="4" fontId="0" fillId="0" borderId="0" xfId="0" applyNumberFormat="1" applyAlignment="1">
      <alignment vertical="center"/>
    </xf>
    <xf numFmtId="4" fontId="0" fillId="2" borderId="0" xfId="0" applyNumberFormat="1" applyFill="1" applyAlignment="1">
      <alignment vertical="center"/>
    </xf>
    <xf numFmtId="0" fontId="0" fillId="2" borderId="0" xfId="0" applyFill="1" applyAlignment="1">
      <alignment vertical="center"/>
    </xf>
    <xf numFmtId="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17" fillId="0" borderId="1" xfId="0" applyFont="1" applyBorder="1" applyAlignment="1">
      <alignment vertical="center" wrapText="1"/>
    </xf>
    <xf numFmtId="0" fontId="0" fillId="0" borderId="2" xfId="0" applyBorder="1" applyAlignment="1"/>
    <xf numFmtId="0" fontId="0" fillId="0" borderId="5" xfId="0" applyBorder="1" applyAlignment="1"/>
    <xf numFmtId="0" fontId="0" fillId="0" borderId="6" xfId="0" applyBorder="1" applyAlignment="1"/>
    <xf numFmtId="2" fontId="0" fillId="2" borderId="0" xfId="0" applyNumberFormat="1" applyFill="1"/>
    <xf numFmtId="0" fontId="0" fillId="0" borderId="0" xfId="0" applyNumberFormat="1" applyFill="1"/>
    <xf numFmtId="0" fontId="0" fillId="0" borderId="0" xfId="0" applyFill="1" applyAlignment="1">
      <alignment horizontal="left"/>
    </xf>
    <xf numFmtId="0" fontId="0" fillId="0" borderId="0" xfId="0"/>
    <xf numFmtId="1" fontId="1" fillId="0" borderId="1" xfId="0" applyNumberFormat="1" applyFont="1" applyBorder="1" applyAlignment="1"/>
    <xf numFmtId="2" fontId="23" fillId="9" borderId="1" xfId="0" applyNumberFormat="1" applyFont="1" applyFill="1" applyBorder="1" applyAlignment="1">
      <alignment horizontal="right" vertical="center"/>
    </xf>
    <xf numFmtId="14" fontId="2" fillId="0" borderId="1" xfId="0" applyNumberFormat="1" applyFont="1" applyBorder="1" applyAlignment="1">
      <alignment vertical="center"/>
    </xf>
    <xf numFmtId="0" fontId="26" fillId="0" borderId="1" xfId="0" applyFont="1" applyBorder="1"/>
    <xf numFmtId="4" fontId="0" fillId="2" borderId="1" xfId="0" applyNumberFormat="1" applyFill="1" applyBorder="1" applyAlignment="1">
      <alignment horizontal="right" vertical="center"/>
    </xf>
    <xf numFmtId="0" fontId="0" fillId="0" borderId="0" xfId="0" applyFill="1" applyBorder="1" applyAlignment="1"/>
    <xf numFmtId="0" fontId="2" fillId="0" borderId="1" xfId="0" applyFont="1" applyBorder="1" applyAlignment="1">
      <alignment horizontal="right"/>
    </xf>
    <xf numFmtId="14" fontId="2" fillId="0" borderId="1" xfId="0" applyNumberFormat="1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2" fontId="28" fillId="0" borderId="1" xfId="0" applyNumberFormat="1" applyFont="1" applyBorder="1" applyAlignment="1">
      <alignment vertical="center"/>
    </xf>
    <xf numFmtId="0" fontId="0" fillId="0" borderId="0" xfId="0"/>
    <xf numFmtId="0" fontId="0" fillId="0" borderId="8" xfId="0" pivotButton="1" applyBorder="1"/>
    <xf numFmtId="0" fontId="0" fillId="0" borderId="8" xfId="0" applyBorder="1"/>
    <xf numFmtId="2" fontId="23" fillId="2" borderId="1" xfId="0" applyNumberFormat="1" applyFont="1" applyFill="1" applyBorder="1" applyAlignment="1">
      <alignment horizontal="right" vertical="center"/>
    </xf>
    <xf numFmtId="0" fontId="0" fillId="0" borderId="1" xfId="0" applyFont="1" applyBorder="1"/>
    <xf numFmtId="2" fontId="27" fillId="2" borderId="1" xfId="0" applyNumberFormat="1" applyFont="1" applyFill="1" applyBorder="1" applyAlignment="1">
      <alignment horizontal="right" vertical="center"/>
    </xf>
    <xf numFmtId="0" fontId="0" fillId="0" borderId="0" xfId="0"/>
    <xf numFmtId="0" fontId="28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21" fillId="10" borderId="1" xfId="0" applyFont="1" applyFill="1" applyBorder="1" applyAlignment="1">
      <alignment horizontal="center"/>
    </xf>
    <xf numFmtId="0" fontId="35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2" fontId="33" fillId="0" borderId="1" xfId="0" applyNumberFormat="1" applyFont="1" applyBorder="1" applyAlignment="1">
      <alignment horizontal="center" vertical="center"/>
    </xf>
    <xf numFmtId="0" fontId="33" fillId="0" borderId="1" xfId="0" applyFont="1" applyBorder="1" applyAlignment="1">
      <alignment horizontal="right" vertical="center"/>
    </xf>
    <xf numFmtId="2" fontId="35" fillId="0" borderId="1" xfId="0" applyNumberFormat="1" applyFont="1" applyBorder="1" applyAlignment="1">
      <alignment horizontal="center" vertical="center"/>
    </xf>
    <xf numFmtId="2" fontId="0" fillId="0" borderId="7" xfId="0" applyNumberFormat="1" applyBorder="1"/>
    <xf numFmtId="0" fontId="0" fillId="0" borderId="4" xfId="0" applyBorder="1"/>
    <xf numFmtId="0" fontId="7" fillId="0" borderId="4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2" fontId="33" fillId="0" borderId="1" xfId="0" applyNumberFormat="1" applyFont="1" applyBorder="1" applyAlignment="1">
      <alignment horizontal="right" vertical="center"/>
    </xf>
    <xf numFmtId="2" fontId="0" fillId="0" borderId="1" xfId="0" applyNumberFormat="1" applyFont="1" applyFill="1" applyBorder="1"/>
    <xf numFmtId="0" fontId="27" fillId="2" borderId="1" xfId="0" applyFont="1" applyFill="1" applyBorder="1" applyAlignment="1">
      <alignment horizontal="center" vertical="center"/>
    </xf>
    <xf numFmtId="0" fontId="33" fillId="0" borderId="1" xfId="0" applyFont="1" applyBorder="1" applyAlignment="1">
      <alignment vertical="center"/>
    </xf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2" fillId="0" borderId="0" xfId="0" applyFont="1"/>
    <xf numFmtId="0" fontId="3" fillId="0" borderId="1" xfId="0" applyFont="1" applyBorder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right"/>
    </xf>
    <xf numFmtId="0" fontId="2" fillId="2" borderId="0" xfId="0" applyFont="1" applyFill="1"/>
    <xf numFmtId="0" fontId="32" fillId="0" borderId="0" xfId="0" applyFont="1"/>
    <xf numFmtId="0" fontId="2" fillId="2" borderId="0" xfId="0" applyFont="1" applyFill="1" applyAlignment="1">
      <alignment horizontal="right"/>
    </xf>
    <xf numFmtId="14" fontId="2" fillId="0" borderId="1" xfId="0" applyNumberFormat="1" applyFont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0" fillId="0" borderId="0" xfId="0" applyFill="1" applyAlignment="1"/>
    <xf numFmtId="1" fontId="2" fillId="0" borderId="0" xfId="0" applyNumberFormat="1" applyFont="1"/>
    <xf numFmtId="0" fontId="0" fillId="0" borderId="0" xfId="0"/>
    <xf numFmtId="0" fontId="35" fillId="0" borderId="0" xfId="0" applyFont="1" applyBorder="1" applyAlignment="1">
      <alignment horizontal="center" vertical="center"/>
    </xf>
    <xf numFmtId="0" fontId="33" fillId="0" borderId="0" xfId="0" applyFont="1" applyBorder="1" applyAlignment="1">
      <alignment horizontal="center" vertical="center"/>
    </xf>
    <xf numFmtId="2" fontId="33" fillId="0" borderId="0" xfId="0" applyNumberFormat="1" applyFont="1" applyBorder="1" applyAlignment="1">
      <alignment horizontal="center" vertical="center"/>
    </xf>
    <xf numFmtId="0" fontId="33" fillId="0" borderId="0" xfId="0" applyFont="1" applyBorder="1" applyAlignment="1">
      <alignment horizontal="right" vertical="center"/>
    </xf>
    <xf numFmtId="2" fontId="35" fillId="0" borderId="0" xfId="0" applyNumberFormat="1" applyFont="1" applyBorder="1" applyAlignment="1">
      <alignment horizontal="center" vertical="center"/>
    </xf>
    <xf numFmtId="0" fontId="35" fillId="0" borderId="0" xfId="0" applyFont="1" applyBorder="1" applyAlignment="1">
      <alignment vertical="center"/>
    </xf>
    <xf numFmtId="0" fontId="35" fillId="0" borderId="0" xfId="0" applyFont="1" applyBorder="1" applyAlignment="1">
      <alignment horizontal="right" vertical="center"/>
    </xf>
    <xf numFmtId="2" fontId="35" fillId="0" borderId="0" xfId="0" applyNumberFormat="1" applyFont="1" applyBorder="1" applyAlignment="1">
      <alignment horizontal="right" vertical="center"/>
    </xf>
    <xf numFmtId="0" fontId="16" fillId="0" borderId="0" xfId="0" applyFont="1" applyFill="1" applyBorder="1" applyAlignment="1">
      <alignment vertical="center"/>
    </xf>
    <xf numFmtId="0" fontId="15" fillId="0" borderId="1" xfId="0" applyFont="1" applyFill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5" fillId="2" borderId="1" xfId="0" applyFont="1" applyFill="1" applyBorder="1" applyAlignment="1">
      <alignment horizontal="center" vertical="center"/>
    </xf>
    <xf numFmtId="0" fontId="0" fillId="0" borderId="0" xfId="0"/>
    <xf numFmtId="0" fontId="0" fillId="2" borderId="1" xfId="0" applyFill="1" applyBorder="1" applyAlignment="1">
      <alignment horizontal="right"/>
    </xf>
    <xf numFmtId="0" fontId="21" fillId="10" borderId="1" xfId="0" applyFont="1" applyFill="1" applyBorder="1" applyAlignment="1">
      <alignment horizontal="center" vertical="center"/>
    </xf>
    <xf numFmtId="2" fontId="33" fillId="0" borderId="0" xfId="0" applyNumberFormat="1" applyFont="1" applyBorder="1" applyAlignment="1">
      <alignment horizontal="right" vertical="center"/>
    </xf>
    <xf numFmtId="1" fontId="35" fillId="0" borderId="0" xfId="0" applyNumberFormat="1" applyFont="1" applyBorder="1" applyAlignment="1">
      <alignment horizontal="right" vertical="center"/>
    </xf>
    <xf numFmtId="0" fontId="35" fillId="11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26" fillId="0" borderId="1" xfId="0" applyFont="1" applyBorder="1" applyAlignment="1"/>
    <xf numFmtId="0" fontId="0" fillId="0" borderId="0" xfId="0"/>
    <xf numFmtId="0" fontId="16" fillId="0" borderId="1" xfId="0" applyFont="1" applyBorder="1" applyAlignment="1">
      <alignment horizontal="right" vertical="center"/>
    </xf>
    <xf numFmtId="0" fontId="17" fillId="0" borderId="1" xfId="0" applyFont="1" applyFill="1" applyBorder="1" applyAlignment="1">
      <alignment horizontal="right" vertical="center"/>
    </xf>
    <xf numFmtId="0" fontId="0" fillId="0" borderId="0" xfId="0"/>
    <xf numFmtId="0" fontId="27" fillId="2" borderId="1" xfId="0" applyFont="1" applyFill="1" applyBorder="1" applyAlignment="1">
      <alignment vertical="center"/>
    </xf>
    <xf numFmtId="2" fontId="33" fillId="0" borderId="1" xfId="0" applyNumberFormat="1" applyFont="1" applyFill="1" applyBorder="1" applyAlignment="1">
      <alignment horizontal="right" vertical="center"/>
    </xf>
    <xf numFmtId="0" fontId="0" fillId="0" borderId="0" xfId="0"/>
    <xf numFmtId="0" fontId="0" fillId="0" borderId="0" xfId="0"/>
    <xf numFmtId="2" fontId="0" fillId="2" borderId="0" xfId="0" applyNumberFormat="1" applyFont="1" applyFill="1"/>
    <xf numFmtId="2" fontId="33" fillId="0" borderId="1" xfId="0" applyNumberFormat="1" applyFont="1" applyBorder="1" applyAlignment="1">
      <alignment vertical="center"/>
    </xf>
    <xf numFmtId="3" fontId="17" fillId="6" borderId="1" xfId="0" applyNumberFormat="1" applyFont="1" applyFill="1" applyBorder="1" applyAlignment="1">
      <alignment vertical="center"/>
    </xf>
    <xf numFmtId="0" fontId="17" fillId="6" borderId="1" xfId="0" applyFont="1" applyFill="1" applyBorder="1" applyAlignment="1">
      <alignment vertical="center"/>
    </xf>
    <xf numFmtId="0" fontId="0" fillId="0" borderId="0" xfId="0"/>
    <xf numFmtId="0" fontId="0" fillId="0" borderId="0" xfId="0" applyAlignment="1">
      <alignment horizontal="left" indent="1"/>
    </xf>
    <xf numFmtId="2" fontId="33" fillId="0" borderId="1" xfId="0" applyNumberFormat="1" applyFont="1" applyFill="1" applyBorder="1" applyAlignment="1">
      <alignment horizontal="center" vertical="center"/>
    </xf>
    <xf numFmtId="2" fontId="33" fillId="0" borderId="1" xfId="0" applyNumberFormat="1" applyFont="1" applyFill="1" applyBorder="1" applyAlignment="1">
      <alignment vertical="center"/>
    </xf>
    <xf numFmtId="0" fontId="33" fillId="0" borderId="1" xfId="0" applyFont="1" applyFill="1" applyBorder="1" applyAlignment="1">
      <alignment horizontal="right" vertical="center"/>
    </xf>
    <xf numFmtId="1" fontId="2" fillId="0" borderId="1" xfId="0" applyNumberFormat="1" applyFont="1" applyBorder="1" applyAlignment="1">
      <alignment horizontal="center" vertical="center"/>
    </xf>
    <xf numFmtId="2" fontId="0" fillId="2" borderId="1" xfId="0" applyNumberFormat="1" applyFill="1" applyBorder="1"/>
    <xf numFmtId="0" fontId="0" fillId="0" borderId="1" xfId="0" applyNumberFormat="1" applyFill="1" applyBorder="1"/>
    <xf numFmtId="2" fontId="3" fillId="0" borderId="1" xfId="0" applyNumberFormat="1" applyFont="1" applyBorder="1"/>
    <xf numFmtId="0" fontId="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vertical="center"/>
    </xf>
    <xf numFmtId="2" fontId="1" fillId="0" borderId="0" xfId="0" applyNumberFormat="1" applyFont="1"/>
    <xf numFmtId="0" fontId="3" fillId="0" borderId="1" xfId="0" applyFont="1" applyBorder="1" applyAlignment="1">
      <alignment vertical="center"/>
    </xf>
    <xf numFmtId="2" fontId="1" fillId="0" borderId="0" xfId="0" applyNumberFormat="1" applyFont="1" applyFill="1"/>
    <xf numFmtId="0" fontId="0" fillId="0" borderId="0" xfId="0"/>
    <xf numFmtId="0" fontId="1" fillId="0" borderId="0" xfId="0" applyFont="1" applyFill="1" applyBorder="1" applyAlignment="1">
      <alignment horizontal="left"/>
    </xf>
    <xf numFmtId="0" fontId="35" fillId="0" borderId="1" xfId="0" applyFont="1" applyFill="1" applyBorder="1" applyAlignment="1">
      <alignment horizontal="center" vertical="center"/>
    </xf>
    <xf numFmtId="2" fontId="35" fillId="0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2" fontId="0" fillId="0" borderId="1" xfId="0" applyNumberFormat="1" applyFont="1" applyBorder="1"/>
    <xf numFmtId="2" fontId="24" fillId="0" borderId="1" xfId="0" applyNumberFormat="1" applyFont="1" applyBorder="1" applyAlignment="1">
      <alignment horizontal="right" vertical="center"/>
    </xf>
    <xf numFmtId="0" fontId="25" fillId="0" borderId="0" xfId="0" applyFont="1" applyBorder="1" applyAlignment="1">
      <alignment horizontal="right" vertical="center"/>
    </xf>
    <xf numFmtId="4" fontId="1" fillId="0" borderId="0" xfId="0" applyNumberFormat="1" applyFont="1" applyAlignment="1"/>
    <xf numFmtId="2" fontId="1" fillId="0" borderId="0" xfId="0" applyNumberFormat="1" applyFont="1" applyAlignment="1"/>
    <xf numFmtId="22" fontId="2" fillId="0" borderId="1" xfId="0" applyNumberFormat="1" applyFont="1" applyBorder="1"/>
    <xf numFmtId="2" fontId="3" fillId="2" borderId="1" xfId="0" applyNumberFormat="1" applyFont="1" applyFill="1" applyBorder="1"/>
    <xf numFmtId="0" fontId="35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right" vertical="center"/>
    </xf>
    <xf numFmtId="0" fontId="0" fillId="0" borderId="0" xfId="0"/>
    <xf numFmtId="0" fontId="1" fillId="0" borderId="1" xfId="0" applyFont="1" applyBorder="1" applyAlignment="1">
      <alignment horizontal="center"/>
    </xf>
    <xf numFmtId="2" fontId="0" fillId="0" borderId="1" xfId="0" applyNumberFormat="1" applyBorder="1" applyAlignment="1">
      <alignment vertical="center"/>
    </xf>
    <xf numFmtId="2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32" fillId="2" borderId="1" xfId="0" applyFont="1" applyFill="1" applyBorder="1" applyAlignment="1">
      <alignment horizontal="right" vertical="center"/>
    </xf>
    <xf numFmtId="0" fontId="4" fillId="2" borderId="0" xfId="0" applyFont="1" applyFill="1" applyAlignment="1"/>
    <xf numFmtId="4" fontId="2" fillId="0" borderId="1" xfId="0" applyNumberFormat="1" applyFont="1" applyBorder="1" applyAlignment="1">
      <alignment horizontal="right" vertical="center"/>
    </xf>
    <xf numFmtId="0" fontId="2" fillId="0" borderId="5" xfId="0" applyFont="1" applyFill="1" applyBorder="1" applyAlignment="1">
      <alignment horizontal="right" vertical="center"/>
    </xf>
    <xf numFmtId="4" fontId="2" fillId="2" borderId="1" xfId="0" applyNumberFormat="1" applyFont="1" applyFill="1" applyBorder="1" applyAlignment="1">
      <alignment horizontal="right" vertical="center"/>
    </xf>
    <xf numFmtId="0" fontId="2" fillId="2" borderId="5" xfId="0" applyFont="1" applyFill="1" applyBorder="1" applyAlignment="1">
      <alignment horizontal="right" vertical="center"/>
    </xf>
    <xf numFmtId="4" fontId="2" fillId="0" borderId="1" xfId="0" applyNumberFormat="1" applyFont="1" applyBorder="1" applyAlignment="1">
      <alignment horizontal="right"/>
    </xf>
    <xf numFmtId="0" fontId="2" fillId="0" borderId="5" xfId="0" applyFont="1" applyFill="1" applyBorder="1" applyAlignment="1">
      <alignment horizontal="right"/>
    </xf>
    <xf numFmtId="4" fontId="2" fillId="2" borderId="1" xfId="0" applyNumberFormat="1" applyFont="1" applyFill="1" applyBorder="1" applyAlignment="1">
      <alignment horizontal="right"/>
    </xf>
    <xf numFmtId="0" fontId="2" fillId="2" borderId="5" xfId="0" applyFont="1" applyFill="1" applyBorder="1" applyAlignment="1">
      <alignment horizontal="right"/>
    </xf>
    <xf numFmtId="0" fontId="6" fillId="0" borderId="0" xfId="0" applyFont="1" applyFill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4" fontId="2" fillId="0" borderId="0" xfId="0" applyNumberFormat="1" applyFont="1" applyFill="1" applyAlignment="1">
      <alignment vertical="center"/>
    </xf>
    <xf numFmtId="0" fontId="0" fillId="0" borderId="0" xfId="0"/>
    <xf numFmtId="0" fontId="2" fillId="0" borderId="0" xfId="0" applyFont="1"/>
    <xf numFmtId="14" fontId="2" fillId="0" borderId="0" xfId="0" applyNumberFormat="1" applyFont="1" applyAlignment="1">
      <alignment horizontal="center" vertical="center"/>
    </xf>
    <xf numFmtId="1" fontId="17" fillId="6" borderId="1" xfId="0" applyNumberFormat="1" applyFont="1" applyFill="1" applyBorder="1" applyAlignment="1">
      <alignment vertical="center"/>
    </xf>
    <xf numFmtId="4" fontId="2" fillId="0" borderId="0" xfId="0" applyNumberFormat="1" applyFont="1"/>
    <xf numFmtId="0" fontId="1" fillId="0" borderId="0" xfId="0" applyFont="1" applyAlignment="1">
      <alignment vertical="center"/>
    </xf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5" fillId="0" borderId="1" xfId="0" applyFont="1" applyBorder="1"/>
    <xf numFmtId="0" fontId="0" fillId="0" borderId="0" xfId="0"/>
    <xf numFmtId="0" fontId="35" fillId="0" borderId="5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2" fontId="5" fillId="2" borderId="1" xfId="0" applyNumberFormat="1" applyFont="1" applyFill="1" applyBorder="1"/>
    <xf numFmtId="0" fontId="1" fillId="0" borderId="5" xfId="0" applyFont="1" applyBorder="1" applyAlignment="1">
      <alignment horizontal="center" vertical="center" wrapText="1"/>
    </xf>
    <xf numFmtId="0" fontId="0" fillId="0" borderId="0" xfId="0" applyNumberFormat="1"/>
    <xf numFmtId="2" fontId="38" fillId="2" borderId="1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0" xfId="0" applyAlignment="1">
      <alignment horizontal="left"/>
    </xf>
    <xf numFmtId="2" fontId="43" fillId="0" borderId="1" xfId="0" applyNumberFormat="1" applyFont="1" applyFill="1" applyBorder="1" applyAlignment="1">
      <alignment horizontal="center" vertical="center"/>
    </xf>
    <xf numFmtId="22" fontId="2" fillId="0" borderId="1" xfId="0" applyNumberFormat="1" applyFont="1" applyBorder="1" applyAlignment="1">
      <alignment vertical="center"/>
    </xf>
    <xf numFmtId="1" fontId="33" fillId="0" borderId="0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4" fontId="2" fillId="0" borderId="1" xfId="0" applyNumberFormat="1" applyFont="1" applyFill="1" applyBorder="1" applyAlignment="1">
      <alignment horizontal="center" vertical="center"/>
    </xf>
    <xf numFmtId="0" fontId="32" fillId="0" borderId="1" xfId="0" applyFont="1" applyFill="1" applyBorder="1" applyAlignment="1">
      <alignment horizontal="center" vertical="center"/>
    </xf>
    <xf numFmtId="1" fontId="0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2" fontId="2" fillId="0" borderId="1" xfId="0" applyNumberFormat="1" applyFont="1" applyFill="1" applyBorder="1" applyAlignment="1">
      <alignment horizontal="center"/>
    </xf>
    <xf numFmtId="4" fontId="2" fillId="0" borderId="1" xfId="0" applyNumberFormat="1" applyFont="1" applyFill="1" applyBorder="1" applyAlignment="1">
      <alignment horizontal="center"/>
    </xf>
    <xf numFmtId="2" fontId="3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/>
    </xf>
    <xf numFmtId="14" fontId="2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14" fontId="6" fillId="0" borderId="1" xfId="0" applyNumberFormat="1" applyFont="1" applyBorder="1"/>
    <xf numFmtId="2" fontId="7" fillId="2" borderId="1" xfId="0" applyNumberFormat="1" applyFont="1" applyFill="1" applyBorder="1"/>
    <xf numFmtId="2" fontId="3" fillId="2" borderId="1" xfId="0" applyNumberFormat="1" applyFont="1" applyFill="1" applyBorder="1" applyAlignment="1">
      <alignment vertical="center"/>
    </xf>
    <xf numFmtId="2" fontId="3" fillId="0" borderId="0" xfId="0" applyNumberFormat="1" applyFont="1" applyAlignment="1"/>
    <xf numFmtId="0" fontId="6" fillId="0" borderId="1" xfId="0" applyFont="1" applyBorder="1" applyAlignment="1">
      <alignment horizontal="right"/>
    </xf>
    <xf numFmtId="0" fontId="5" fillId="2" borderId="1" xfId="0" applyFont="1" applyFill="1" applyBorder="1"/>
    <xf numFmtId="11" fontId="2" fillId="0" borderId="1" xfId="0" applyNumberFormat="1" applyFont="1" applyBorder="1" applyAlignment="1">
      <alignment horizontal="center" vertical="center"/>
    </xf>
    <xf numFmtId="14" fontId="2" fillId="0" borderId="0" xfId="0" applyNumberFormat="1" applyFont="1"/>
    <xf numFmtId="0" fontId="1" fillId="0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0" fillId="0" borderId="1" xfId="0" applyFill="1" applyBorder="1"/>
    <xf numFmtId="0" fontId="2" fillId="0" borderId="1" xfId="0" applyFont="1" applyBorder="1" applyAlignment="1">
      <alignment horizontal="center" vertical="center"/>
    </xf>
    <xf numFmtId="0" fontId="0" fillId="0" borderId="8" xfId="0" applyBorder="1" applyAlignment="1">
      <alignment horizontal="left"/>
    </xf>
    <xf numFmtId="2" fontId="0" fillId="0" borderId="20" xfId="0" applyNumberFormat="1" applyBorder="1"/>
    <xf numFmtId="2" fontId="0" fillId="0" borderId="8" xfId="0" applyNumberFormat="1" applyBorder="1"/>
    <xf numFmtId="2" fontId="0" fillId="0" borderId="21" xfId="0" applyNumberFormat="1" applyBorder="1"/>
    <xf numFmtId="0" fontId="0" fillId="0" borderId="9" xfId="0" pivotButton="1" applyBorder="1"/>
    <xf numFmtId="0" fontId="0" fillId="0" borderId="9" xfId="0" applyBorder="1"/>
    <xf numFmtId="0" fontId="0" fillId="0" borderId="20" xfId="0" applyBorder="1" applyAlignment="1">
      <alignment horizontal="left"/>
    </xf>
    <xf numFmtId="0" fontId="0" fillId="0" borderId="21" xfId="0" applyBorder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/>
    <xf numFmtId="14" fontId="2" fillId="0" borderId="0" xfId="0" applyNumberFormat="1" applyFont="1" applyAlignment="1"/>
    <xf numFmtId="4" fontId="2" fillId="0" borderId="0" xfId="0" applyNumberFormat="1" applyFont="1" applyAlignment="1"/>
    <xf numFmtId="4" fontId="3" fillId="0" borderId="0" xfId="0" applyNumberFormat="1" applyFont="1" applyAlignment="1"/>
    <xf numFmtId="0" fontId="32" fillId="0" borderId="0" xfId="0" applyFont="1" applyAlignment="1">
      <alignment vertical="center" wrapText="1"/>
    </xf>
    <xf numFmtId="0" fontId="0" fillId="2" borderId="0" xfId="0" applyFill="1" applyAlignment="1">
      <alignment horizontal="center" vertical="center" wrapText="1"/>
    </xf>
    <xf numFmtId="4" fontId="2" fillId="0" borderId="0" xfId="0" applyNumberFormat="1" applyFont="1" applyAlignment="1">
      <alignment vertical="center" wrapText="1"/>
    </xf>
    <xf numFmtId="0" fontId="1" fillId="0" borderId="1" xfId="0" applyFont="1" applyBorder="1" applyAlignment="1">
      <alignment horizontal="left" vertical="center"/>
    </xf>
    <xf numFmtId="0" fontId="35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0" fillId="0" borderId="1" xfId="0" applyNumberFormat="1" applyBorder="1"/>
    <xf numFmtId="1" fontId="1" fillId="28" borderId="1" xfId="0" applyNumberFormat="1" applyFont="1" applyFill="1" applyBorder="1"/>
    <xf numFmtId="2" fontId="33" fillId="28" borderId="1" xfId="0" applyNumberFormat="1" applyFont="1" applyFill="1" applyBorder="1" applyAlignment="1">
      <alignment horizontal="center" vertical="center"/>
    </xf>
    <xf numFmtId="2" fontId="35" fillId="28" borderId="1" xfId="0" applyNumberFormat="1" applyFont="1" applyFill="1" applyBorder="1" applyAlignment="1">
      <alignment horizontal="center" vertical="center"/>
    </xf>
    <xf numFmtId="0" fontId="0" fillId="28" borderId="1" xfId="0" applyFill="1" applyBorder="1"/>
    <xf numFmtId="2" fontId="0" fillId="28" borderId="1" xfId="0" applyNumberFormat="1" applyFill="1" applyBorder="1"/>
    <xf numFmtId="0" fontId="1" fillId="28" borderId="1" xfId="0" applyFont="1" applyFill="1" applyBorder="1"/>
    <xf numFmtId="2" fontId="1" fillId="28" borderId="1" xfId="0" applyNumberFormat="1" applyFont="1" applyFill="1" applyBorder="1"/>
    <xf numFmtId="2" fontId="1" fillId="28" borderId="1" xfId="0" applyNumberFormat="1" applyFont="1" applyFill="1" applyBorder="1" applyAlignment="1">
      <alignment horizontal="center" vertical="center"/>
    </xf>
    <xf numFmtId="0" fontId="1" fillId="28" borderId="0" xfId="0" applyFont="1" applyFill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6" fillId="0" borderId="0" xfId="0" applyFont="1" applyAlignment="1"/>
    <xf numFmtId="165" fontId="36" fillId="0" borderId="0" xfId="0" applyNumberFormat="1" applyFont="1"/>
    <xf numFmtId="2" fontId="36" fillId="0" borderId="0" xfId="0" applyNumberFormat="1" applyFont="1"/>
    <xf numFmtId="0" fontId="3" fillId="0" borderId="4" xfId="0" applyFont="1" applyBorder="1" applyAlignment="1">
      <alignment horizontal="left" indent="2"/>
    </xf>
    <xf numFmtId="165" fontId="3" fillId="0" borderId="4" xfId="0" applyNumberFormat="1" applyFont="1" applyBorder="1"/>
    <xf numFmtId="2" fontId="3" fillId="0" borderId="4" xfId="0" applyNumberFormat="1" applyFont="1" applyBorder="1"/>
    <xf numFmtId="0" fontId="19" fillId="7" borderId="7" xfId="0" applyFont="1" applyFill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18" fillId="7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35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6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Fill="1" applyBorder="1" applyAlignment="1">
      <alignment horizontal="left"/>
    </xf>
    <xf numFmtId="0" fontId="6" fillId="0" borderId="0" xfId="0" applyFont="1" applyAlignment="1"/>
    <xf numFmtId="0" fontId="5" fillId="0" borderId="1" xfId="0" applyFont="1" applyBorder="1" applyAlignment="1">
      <alignment vertical="center"/>
    </xf>
    <xf numFmtId="0" fontId="6" fillId="0" borderId="1" xfId="0" applyFont="1" applyBorder="1" applyAlignment="1"/>
    <xf numFmtId="14" fontId="6" fillId="0" borderId="1" xfId="0" applyNumberFormat="1" applyFont="1" applyBorder="1" applyAlignment="1"/>
    <xf numFmtId="0" fontId="1" fillId="28" borderId="1" xfId="0" applyFont="1" applyFill="1" applyBorder="1" applyAlignment="1">
      <alignment horizontal="center"/>
    </xf>
    <xf numFmtId="2" fontId="7" fillId="0" borderId="8" xfId="0" applyNumberFormat="1" applyFont="1" applyBorder="1" applyAlignment="1">
      <alignment vertical="center"/>
    </xf>
    <xf numFmtId="2" fontId="7" fillId="0" borderId="4" xfId="0" applyNumberFormat="1" applyFont="1" applyBorder="1" applyAlignment="1">
      <alignment vertical="center"/>
    </xf>
    <xf numFmtId="2" fontId="7" fillId="0" borderId="7" xfId="0" applyNumberFormat="1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4" fillId="8" borderId="8" xfId="0" applyFont="1" applyFill="1" applyBorder="1" applyAlignment="1">
      <alignment horizontal="center" vertical="center"/>
    </xf>
    <xf numFmtId="0" fontId="14" fillId="8" borderId="4" xfId="0" applyFont="1" applyFill="1" applyBorder="1" applyAlignment="1">
      <alignment horizontal="center" vertical="center"/>
    </xf>
    <xf numFmtId="0" fontId="14" fillId="8" borderId="7" xfId="0" applyFont="1" applyFill="1" applyBorder="1" applyAlignment="1">
      <alignment horizontal="center" vertical="center"/>
    </xf>
    <xf numFmtId="0" fontId="35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2" fillId="12" borderId="8" xfId="0" applyFont="1" applyFill="1" applyBorder="1" applyAlignment="1">
      <alignment horizontal="center" vertical="center"/>
    </xf>
    <xf numFmtId="0" fontId="22" fillId="12" borderId="4" xfId="0" applyFont="1" applyFill="1" applyBorder="1" applyAlignment="1">
      <alignment horizontal="center" vertical="center"/>
    </xf>
    <xf numFmtId="0" fontId="22" fillId="12" borderId="7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4" fillId="2" borderId="1" xfId="0" applyFont="1" applyFill="1" applyBorder="1" applyAlignment="1">
      <alignment horizontal="center" vertical="center"/>
    </xf>
    <xf numFmtId="0" fontId="27" fillId="0" borderId="19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1" fontId="1" fillId="0" borderId="0" xfId="0" applyNumberFormat="1" applyFont="1" applyAlignment="1"/>
  </cellXfs>
  <cellStyles count="280">
    <cellStyle name="20% - Accent1 2" xfId="6"/>
    <cellStyle name="20% - Accent1 3" xfId="7"/>
    <cellStyle name="20% - Accent1 4" xfId="8"/>
    <cellStyle name="20% - Accent1 5" xfId="9"/>
    <cellStyle name="20% - Accent1 6" xfId="10"/>
    <cellStyle name="20% - Accent1 7" xfId="11"/>
    <cellStyle name="20% - Accent2 2" xfId="12"/>
    <cellStyle name="20% - Accent2 3" xfId="13"/>
    <cellStyle name="20% - Accent2 4" xfId="14"/>
    <cellStyle name="20% - Accent2 5" xfId="15"/>
    <cellStyle name="20% - Accent2 6" xfId="16"/>
    <cellStyle name="20% - Accent2 7" xfId="17"/>
    <cellStyle name="20% - Accent3 2" xfId="18"/>
    <cellStyle name="20% - Accent3 3" xfId="19"/>
    <cellStyle name="20% - Accent3 4" xfId="20"/>
    <cellStyle name="20% - Accent3 5" xfId="21"/>
    <cellStyle name="20% - Accent3 6" xfId="22"/>
    <cellStyle name="20% - Accent3 7" xfId="23"/>
    <cellStyle name="20% - Accent4 2" xfId="24"/>
    <cellStyle name="20% - Accent4 3" xfId="25"/>
    <cellStyle name="20% - Accent4 4" xfId="26"/>
    <cellStyle name="20% - Accent4 5" xfId="27"/>
    <cellStyle name="20% - Accent4 6" xfId="28"/>
    <cellStyle name="20% - Accent4 7" xfId="29"/>
    <cellStyle name="20% - Accent5 2" xfId="30"/>
    <cellStyle name="20% - Accent5 3" xfId="31"/>
    <cellStyle name="20% - Accent5 4" xfId="32"/>
    <cellStyle name="20% - Accent5 5" xfId="33"/>
    <cellStyle name="20% - Accent5 6" xfId="34"/>
    <cellStyle name="20% - Accent5 7" xfId="35"/>
    <cellStyle name="20% - Accent6 2" xfId="36"/>
    <cellStyle name="20% - Accent6 3" xfId="37"/>
    <cellStyle name="20% - Accent6 4" xfId="38"/>
    <cellStyle name="20% - Accent6 5" xfId="39"/>
    <cellStyle name="20% - Accent6 6" xfId="40"/>
    <cellStyle name="20% - Accent6 7" xfId="41"/>
    <cellStyle name="40% - Accent1 2" xfId="42"/>
    <cellStyle name="40% - Accent1 3" xfId="43"/>
    <cellStyle name="40% - Accent1 4" xfId="44"/>
    <cellStyle name="40% - Accent1 5" xfId="45"/>
    <cellStyle name="40% - Accent1 6" xfId="46"/>
    <cellStyle name="40% - Accent1 7" xfId="47"/>
    <cellStyle name="40% - Accent2 2" xfId="48"/>
    <cellStyle name="40% - Accent2 3" xfId="49"/>
    <cellStyle name="40% - Accent2 4" xfId="50"/>
    <cellStyle name="40% - Accent2 5" xfId="51"/>
    <cellStyle name="40% - Accent2 6" xfId="52"/>
    <cellStyle name="40% - Accent2 7" xfId="53"/>
    <cellStyle name="40% - Accent3 2" xfId="54"/>
    <cellStyle name="40% - Accent3 3" xfId="55"/>
    <cellStyle name="40% - Accent3 4" xfId="56"/>
    <cellStyle name="40% - Accent3 5" xfId="57"/>
    <cellStyle name="40% - Accent3 6" xfId="58"/>
    <cellStyle name="40% - Accent3 7" xfId="59"/>
    <cellStyle name="40% - Accent4 2" xfId="60"/>
    <cellStyle name="40% - Accent4 3" xfId="61"/>
    <cellStyle name="40% - Accent4 4" xfId="62"/>
    <cellStyle name="40% - Accent4 5" xfId="63"/>
    <cellStyle name="40% - Accent4 6" xfId="64"/>
    <cellStyle name="40% - Accent4 7" xfId="65"/>
    <cellStyle name="40% - Accent5 2" xfId="66"/>
    <cellStyle name="40% - Accent5 3" xfId="67"/>
    <cellStyle name="40% - Accent5 4" xfId="68"/>
    <cellStyle name="40% - Accent5 5" xfId="69"/>
    <cellStyle name="40% - Accent5 6" xfId="70"/>
    <cellStyle name="40% - Accent5 7" xfId="71"/>
    <cellStyle name="40% - Accent6 2" xfId="72"/>
    <cellStyle name="40% - Accent6 3" xfId="73"/>
    <cellStyle name="40% - Accent6 4" xfId="74"/>
    <cellStyle name="40% - Accent6 5" xfId="75"/>
    <cellStyle name="40% - Accent6 6" xfId="76"/>
    <cellStyle name="40% - Accent6 7" xfId="77"/>
    <cellStyle name="60% - Accent1 2" xfId="78"/>
    <cellStyle name="60% - Accent1 3" xfId="79"/>
    <cellStyle name="60% - Accent1 4" xfId="80"/>
    <cellStyle name="60% - Accent1 5" xfId="81"/>
    <cellStyle name="60% - Accent1 6" xfId="82"/>
    <cellStyle name="60% - Accent1 7" xfId="83"/>
    <cellStyle name="60% - Accent2 2" xfId="84"/>
    <cellStyle name="60% - Accent2 3" xfId="85"/>
    <cellStyle name="60% - Accent2 4" xfId="86"/>
    <cellStyle name="60% - Accent2 5" xfId="87"/>
    <cellStyle name="60% - Accent2 6" xfId="88"/>
    <cellStyle name="60% - Accent2 7" xfId="89"/>
    <cellStyle name="60% - Accent3 2" xfId="90"/>
    <cellStyle name="60% - Accent3 3" xfId="91"/>
    <cellStyle name="60% - Accent3 4" xfId="92"/>
    <cellStyle name="60% - Accent3 5" xfId="93"/>
    <cellStyle name="60% - Accent3 6" xfId="94"/>
    <cellStyle name="60% - Accent3 7" xfId="95"/>
    <cellStyle name="60% - Accent4 2" xfId="96"/>
    <cellStyle name="60% - Accent4 3" xfId="97"/>
    <cellStyle name="60% - Accent4 4" xfId="98"/>
    <cellStyle name="60% - Accent4 5" xfId="99"/>
    <cellStyle name="60% - Accent4 6" xfId="100"/>
    <cellStyle name="60% - Accent4 7" xfId="101"/>
    <cellStyle name="60% - Accent5 2" xfId="102"/>
    <cellStyle name="60% - Accent5 3" xfId="103"/>
    <cellStyle name="60% - Accent5 4" xfId="104"/>
    <cellStyle name="60% - Accent5 5" xfId="105"/>
    <cellStyle name="60% - Accent5 6" xfId="106"/>
    <cellStyle name="60% - Accent5 7" xfId="107"/>
    <cellStyle name="60% - Accent6 2" xfId="108"/>
    <cellStyle name="60% - Accent6 3" xfId="109"/>
    <cellStyle name="60% - Accent6 4" xfId="110"/>
    <cellStyle name="60% - Accent6 5" xfId="111"/>
    <cellStyle name="60% - Accent6 6" xfId="112"/>
    <cellStyle name="60% - Accent6 7" xfId="113"/>
    <cellStyle name="Accent1 2" xfId="114"/>
    <cellStyle name="Accent1 3" xfId="115"/>
    <cellStyle name="Accent1 4" xfId="116"/>
    <cellStyle name="Accent1 5" xfId="117"/>
    <cellStyle name="Accent1 6" xfId="118"/>
    <cellStyle name="Accent1 7" xfId="119"/>
    <cellStyle name="Accent2 2" xfId="120"/>
    <cellStyle name="Accent2 3" xfId="121"/>
    <cellStyle name="Accent2 4" xfId="122"/>
    <cellStyle name="Accent2 5" xfId="123"/>
    <cellStyle name="Accent2 6" xfId="124"/>
    <cellStyle name="Accent2 7" xfId="125"/>
    <cellStyle name="Accent3 2" xfId="126"/>
    <cellStyle name="Accent3 3" xfId="127"/>
    <cellStyle name="Accent3 4" xfId="128"/>
    <cellStyle name="Accent3 5" xfId="129"/>
    <cellStyle name="Accent3 6" xfId="130"/>
    <cellStyle name="Accent3 7" xfId="131"/>
    <cellStyle name="Accent4 2" xfId="132"/>
    <cellStyle name="Accent4 3" xfId="133"/>
    <cellStyle name="Accent4 4" xfId="134"/>
    <cellStyle name="Accent4 5" xfId="135"/>
    <cellStyle name="Accent4 6" xfId="136"/>
    <cellStyle name="Accent4 7" xfId="137"/>
    <cellStyle name="Accent5 2" xfId="138"/>
    <cellStyle name="Accent5 3" xfId="139"/>
    <cellStyle name="Accent5 4" xfId="140"/>
    <cellStyle name="Accent5 5" xfId="141"/>
    <cellStyle name="Accent5 6" xfId="142"/>
    <cellStyle name="Accent5 7" xfId="143"/>
    <cellStyle name="Accent6 2" xfId="144"/>
    <cellStyle name="Accent6 3" xfId="145"/>
    <cellStyle name="Accent6 4" xfId="146"/>
    <cellStyle name="Accent6 5" xfId="147"/>
    <cellStyle name="Accent6 6" xfId="148"/>
    <cellStyle name="Accent6 7" xfId="149"/>
    <cellStyle name="Bad 2" xfId="150"/>
    <cellStyle name="Bad 3" xfId="151"/>
    <cellStyle name="Bad 4" xfId="152"/>
    <cellStyle name="Bad 5" xfId="153"/>
    <cellStyle name="Bad 6" xfId="154"/>
    <cellStyle name="Bad 7" xfId="155"/>
    <cellStyle name="Calculation 2" xfId="156"/>
    <cellStyle name="Calculation 3" xfId="157"/>
    <cellStyle name="Calculation 4" xfId="158"/>
    <cellStyle name="Calculation 5" xfId="159"/>
    <cellStyle name="Calculation 6" xfId="160"/>
    <cellStyle name="Calculation 7" xfId="161"/>
    <cellStyle name="Check Cell 2" xfId="162"/>
    <cellStyle name="Check Cell 3" xfId="163"/>
    <cellStyle name="Check Cell 4" xfId="164"/>
    <cellStyle name="Check Cell 5" xfId="165"/>
    <cellStyle name="Check Cell 6" xfId="166"/>
    <cellStyle name="Check Cell 7" xfId="167"/>
    <cellStyle name="Comma 2" xfId="2"/>
    <cellStyle name="Comma 2 2" xfId="168"/>
    <cellStyle name="Comma 3" xfId="3"/>
    <cellStyle name="Comma 3 2" xfId="170"/>
    <cellStyle name="Comma 3 2 2" xfId="171"/>
    <cellStyle name="Comma 3 3" xfId="169"/>
    <cellStyle name="Currency 2" xfId="4"/>
    <cellStyle name="Excel Built-in Normal" xfId="1"/>
    <cellStyle name="Excel Built-in Normal 10" xfId="172"/>
    <cellStyle name="Excel Built-in Normal 2" xfId="173"/>
    <cellStyle name="Excel Built-in Normal 2 2" xfId="174"/>
    <cellStyle name="Excel Built-in Normal 2 3" xfId="175"/>
    <cellStyle name="Excel Built-in Normal 2 4" xfId="176"/>
    <cellStyle name="Excel Built-in Normal 2 5" xfId="177"/>
    <cellStyle name="Excel Built-in Normal 2 6" xfId="178"/>
    <cellStyle name="Excel Built-in Normal 2 7" xfId="179"/>
    <cellStyle name="Excel Built-in Normal 2 8" xfId="180"/>
    <cellStyle name="Excel Built-in Normal 2 8 2" xfId="181"/>
    <cellStyle name="Excel Built-in Normal 3" xfId="182"/>
    <cellStyle name="Excel Built-in Normal 4" xfId="183"/>
    <cellStyle name="Excel Built-in Normal 5" xfId="184"/>
    <cellStyle name="Excel Built-in Normal 6" xfId="185"/>
    <cellStyle name="Excel Built-in Normal 7" xfId="186"/>
    <cellStyle name="Excel Built-in Normal 8" xfId="187"/>
    <cellStyle name="Excel Built-in Normal 9" xfId="188"/>
    <cellStyle name="Explanatory Text 2" xfId="189"/>
    <cellStyle name="Explanatory Text 3" xfId="190"/>
    <cellStyle name="Explanatory Text 4" xfId="191"/>
    <cellStyle name="Explanatory Text 5" xfId="192"/>
    <cellStyle name="Explanatory Text 6" xfId="193"/>
    <cellStyle name="Explanatory Text 7" xfId="194"/>
    <cellStyle name="Good 2" xfId="195"/>
    <cellStyle name="Good 3" xfId="196"/>
    <cellStyle name="Good 4" xfId="197"/>
    <cellStyle name="Good 5" xfId="198"/>
    <cellStyle name="Good 6" xfId="199"/>
    <cellStyle name="Good 7" xfId="200"/>
    <cellStyle name="Heading 1 2" xfId="201"/>
    <cellStyle name="Heading 1 3" xfId="202"/>
    <cellStyle name="Heading 1 4" xfId="203"/>
    <cellStyle name="Heading 1 5" xfId="204"/>
    <cellStyle name="Heading 1 6" xfId="205"/>
    <cellStyle name="Heading 1 7" xfId="206"/>
    <cellStyle name="Heading 2 2" xfId="207"/>
    <cellStyle name="Heading 2 3" xfId="208"/>
    <cellStyle name="Heading 2 4" xfId="209"/>
    <cellStyle name="Heading 2 5" xfId="210"/>
    <cellStyle name="Heading 2 6" xfId="211"/>
    <cellStyle name="Heading 2 7" xfId="212"/>
    <cellStyle name="Heading 3 2" xfId="213"/>
    <cellStyle name="Heading 3 3" xfId="214"/>
    <cellStyle name="Heading 3 4" xfId="215"/>
    <cellStyle name="Heading 3 5" xfId="216"/>
    <cellStyle name="Heading 3 6" xfId="217"/>
    <cellStyle name="Heading 3 7" xfId="218"/>
    <cellStyle name="Heading 4 2" xfId="219"/>
    <cellStyle name="Heading 4 3" xfId="220"/>
    <cellStyle name="Heading 4 4" xfId="221"/>
    <cellStyle name="Heading 4 5" xfId="222"/>
    <cellStyle name="Heading 4 6" xfId="223"/>
    <cellStyle name="Heading 4 7" xfId="224"/>
    <cellStyle name="Input 2" xfId="225"/>
    <cellStyle name="Input 3" xfId="226"/>
    <cellStyle name="Input 4" xfId="227"/>
    <cellStyle name="Input 5" xfId="228"/>
    <cellStyle name="Input 6" xfId="229"/>
    <cellStyle name="Input 7" xfId="230"/>
    <cellStyle name="Linked Cell 2" xfId="231"/>
    <cellStyle name="Linked Cell 3" xfId="232"/>
    <cellStyle name="Linked Cell 4" xfId="233"/>
    <cellStyle name="Linked Cell 5" xfId="234"/>
    <cellStyle name="Linked Cell 6" xfId="235"/>
    <cellStyle name="Linked Cell 7" xfId="236"/>
    <cellStyle name="Neutral 2" xfId="237"/>
    <cellStyle name="Neutral 3" xfId="238"/>
    <cellStyle name="Neutral 4" xfId="239"/>
    <cellStyle name="Neutral 5" xfId="240"/>
    <cellStyle name="Neutral 6" xfId="241"/>
    <cellStyle name="Neutral 7" xfId="242"/>
    <cellStyle name="Normal" xfId="0" builtinId="0"/>
    <cellStyle name="Normal 16" xfId="243"/>
    <cellStyle name="Normal 2" xfId="5"/>
    <cellStyle name="Normal 2 2" xfId="244"/>
    <cellStyle name="Normal 3" xfId="245"/>
    <cellStyle name="Normal 4" xfId="246"/>
    <cellStyle name="Normal 4 2" xfId="247"/>
    <cellStyle name="Normal 4 2 2" xfId="248"/>
    <cellStyle name="Normal 4 3" xfId="249"/>
    <cellStyle name="Note 2" xfId="250"/>
    <cellStyle name="Note 3" xfId="251"/>
    <cellStyle name="Note 4" xfId="252"/>
    <cellStyle name="Note 5" xfId="253"/>
    <cellStyle name="Note 6" xfId="254"/>
    <cellStyle name="Note 7" xfId="255"/>
    <cellStyle name="Output 2" xfId="256"/>
    <cellStyle name="Output 3" xfId="257"/>
    <cellStyle name="Output 4" xfId="258"/>
    <cellStyle name="Output 5" xfId="259"/>
    <cellStyle name="Output 6" xfId="260"/>
    <cellStyle name="Output 7" xfId="261"/>
    <cellStyle name="Title 2" xfId="262"/>
    <cellStyle name="Title 3" xfId="263"/>
    <cellStyle name="Title 4" xfId="264"/>
    <cellStyle name="Title 5" xfId="265"/>
    <cellStyle name="Title 6" xfId="266"/>
    <cellStyle name="Title 7" xfId="267"/>
    <cellStyle name="Total 2" xfId="268"/>
    <cellStyle name="Total 3" xfId="269"/>
    <cellStyle name="Total 4" xfId="270"/>
    <cellStyle name="Total 5" xfId="271"/>
    <cellStyle name="Total 6" xfId="272"/>
    <cellStyle name="Total 7" xfId="273"/>
    <cellStyle name="Warning Text 2" xfId="274"/>
    <cellStyle name="Warning Text 3" xfId="275"/>
    <cellStyle name="Warning Text 4" xfId="276"/>
    <cellStyle name="Warning Text 5" xfId="277"/>
    <cellStyle name="Warning Text 6" xfId="278"/>
    <cellStyle name="Warning Text 7" xfId="279"/>
  </cellStyles>
  <dxfs count="74">
    <dxf>
      <border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theme="1"/>
      </font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bgColor auto="1"/>
        </patternFill>
      </fill>
    </dxf>
    <dxf>
      <border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fill>
        <patternFill patternType="solid">
          <bgColor rgb="FFFFFF00"/>
        </patternFill>
      </fill>
    </dxf>
    <dxf>
      <font>
        <color theme="1"/>
      </font>
    </dxf>
    <dxf>
      <fill>
        <patternFill patternType="solid">
          <bgColor rgb="FFFFFF00"/>
        </patternFill>
      </fill>
    </dxf>
    <dxf>
      <font>
        <color rgb="FFFF0000"/>
      </font>
    </dxf>
    <dxf>
      <fill>
        <patternFill patternType="none">
          <bgColor auto="1"/>
        </patternFill>
      </fill>
    </dxf>
    <dxf>
      <font>
        <color theme="1"/>
      </font>
    </dxf>
    <dxf>
      <numFmt numFmtId="2" formatCode="0.00"/>
    </dxf>
    <dxf>
      <numFmt numFmtId="2" formatCode="0.0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numFmt numFmtId="2" formatCode="0.00"/>
    </dxf>
    <dxf>
      <font>
        <b val="0"/>
      </font>
    </dxf>
    <dxf>
      <font>
        <color theme="1"/>
      </font>
    </dxf>
    <dxf>
      <fill>
        <patternFill patternType="solid">
          <bgColor rgb="FFFFFF00"/>
        </patternFill>
      </fill>
    </dxf>
    <dxf>
      <font>
        <color rgb="FFFF0000"/>
      </font>
    </dxf>
    <dxf>
      <font>
        <b/>
      </font>
    </dxf>
    <dxf>
      <fill>
        <patternFill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" formatCode="0.00"/>
    </dxf>
    <dxf>
      <numFmt numFmtId="2" formatCode="0.00"/>
    </dxf>
    <dxf>
      <numFmt numFmtId="2" formatCode="0.00"/>
    </dxf>
    <dxf>
      <fill>
        <patternFill patternType="none">
          <bgColor auto="1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6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pivotCacheDefinition" Target="pivotCache/pivotCacheDefinition5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pivotCacheDefinition" Target="pivotCache/pivotCacheDefinition1.xml"/><Relationship Id="rId46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pivotCacheDefinition" Target="pivotCache/pivotCacheDefinition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1.xml"/><Relationship Id="rId40" Type="http://schemas.openxmlformats.org/officeDocument/2006/relationships/pivotCacheDefinition" Target="pivotCache/pivotCacheDefinition3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pivotCacheDefinition" Target="pivotCache/pivotCacheDefinition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aydeep\jaydeep\D%20data\backup\dektop\New%20Folder%20(2)\PIL%20Stock%20statement\April14\PIl%20dp%20statement%20as%20on%2030-apr-1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t A"/>
      <sheetName val="PIL1"/>
      <sheetName val="PIA-2"/>
      <sheetName val="Part B"/>
      <sheetName val="Part C"/>
      <sheetName val="DP"/>
      <sheetName val="SOD"/>
      <sheetName val="Decl"/>
      <sheetName val="Sum"/>
      <sheetName val="Debtors"/>
      <sheetName val="WS"/>
      <sheetName val="Sheet16"/>
      <sheetName val="Transit"/>
      <sheetName val="Creditor"/>
      <sheetName val="Sheet1"/>
      <sheetName val="Sheet2"/>
      <sheetName val="Sheet1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Negi" refreshedDate="46267.619725578705" createdVersion="5" refreshedVersion="5" minRefreshableVersion="3" recordCount="644">
  <cacheSource type="worksheet">
    <worksheetSource ref="H23:AL667" sheet="Purchase Register"/>
  </cacheSource>
  <cacheFields count="31">
    <cacheField name="Date" numFmtId="0">
      <sharedItems containsDate="1" containsBlank="1" containsMixedTypes="1" minDate="2026-01-08T00:00:00" maxDate="2026-12-09T00:00:00"/>
    </cacheField>
    <cacheField name="Particular" numFmtId="0">
      <sharedItems containsBlank="1" count="59">
        <s v="Plastene India ltd - Unit 1-Purchase"/>
        <s v="Gayatri Petroleums"/>
        <s v="Plastene Polyfilms Ltd-Purchase"/>
        <s v="Armstrong"/>
        <s v="Aum Polypack"/>
        <s v="Bhagwati  Impex"/>
        <s v="Galaxy Heat Products"/>
        <s v="Hardik Engineering"/>
        <s v="Maitry Enterprises"/>
        <s v="Plastene India ltd - Unit 2-Purchase"/>
        <s v="Tanmay Engitech"/>
        <s v="Alpha Electricals"/>
        <s v="Asian Metal Industries"/>
        <s v="Mehjal Adhesive Tapes Pvt. Ltd."/>
        <s v="HCP Plastene Bulkpack Limited - Purchase"/>
        <s v="Kabra Electricals"/>
        <s v="R. B. Tapes Pvt Ltd"/>
        <s v="Brahmani Graphics"/>
        <s v="Ganesh Poly Graph"/>
        <s v="K.P. Woven Pvt Ltd-Purchase"/>
        <s v="Mittal Trade Netlinks - Creditors"/>
        <s v="Quality Prepress Pvt Ltd"/>
        <s v="Shree Ganesh Stereo"/>
        <s v="Tritha Graphics"/>
        <s v="Chandan Electric Store"/>
        <s v="Panchvati Tools Co."/>
        <s v="Rajgor Stationery &amp; Computer"/>
        <s v="Vishal Engineering And Fabricators"/>
        <s v="Vyankatesh Udyog (I) Pvt Ltd - Purchase"/>
        <s v="Rajratan Electricals Pvt Ltd"/>
        <s v="Vidh Enterprise"/>
        <s v="JG Enterprise"/>
        <s v="Kishan Traders - Gandhidham"/>
        <s v="Lohia Corp Limited - 24AAKCK2932Q1Z2 - Guj"/>
        <s v="Shiv Shakti Enterprise"/>
        <s v="Disha Trading"/>
        <s v="Perfect Belts Private Limited (Gujarat)"/>
        <s v="BP Lubricants Pvt Ltd"/>
        <s v="Hcp Plastene Bulkpack Ltd Vadodara Purchase"/>
        <s v="Mantri  Industries"/>
        <s v="New Arm"/>
        <s v="Anukumpa Enterprises"/>
        <s v="Axle Steel &amp; Fasteners"/>
        <s v="Supertech Water Solution"/>
        <m/>
        <s v="Agarwal Enterprise" u="1"/>
        <s v="Airtech Engineers - Gandhidham" u="1"/>
        <s v="Shree Salareshwar Wood Packers Private Limited." u="1"/>
        <s v="Accurate Rub Tech" u="1"/>
        <s v="Plus Logistics Ltd." u="1"/>
        <s v="Kan Power Rubber Industries" u="1"/>
        <s v="Jyot Sewing Machine Pvt Ltd" u="1"/>
        <s v="Khator Enterprises" u="1"/>
        <s v="Monarch Info" u="1"/>
        <s v="S.R.Sewing Tech" u="1"/>
        <s v="M B And Sons- Supplier" u="1"/>
        <s v="Jay Jagannath Industries- 24GKEPP9703F1Z1" u="1"/>
        <s v="Atc Plywood" u="1"/>
        <s v="Galaxy Enterprise" u="1"/>
      </sharedItems>
    </cacheField>
    <cacheField name="Voucher Type" numFmtId="0">
      <sharedItems containsBlank="1"/>
    </cacheField>
    <cacheField name="Voucher No" numFmtId="0">
      <sharedItems containsBlank="1"/>
    </cacheField>
    <cacheField name="Type" numFmtId="0">
      <sharedItems containsBlank="1"/>
    </cacheField>
    <cacheField name="Invoice No" numFmtId="0">
      <sharedItems containsBlank="1" containsMixedTypes="1" containsNumber="1" containsInteger="1" minValue="517" maxValue="66262702375"/>
    </cacheField>
    <cacheField name="Invoice Date" numFmtId="0">
      <sharedItems containsDate="1" containsBlank="1" containsMixedTypes="1" minDate="2026-01-08T00:00:00" maxDate="2026-12-09T00:00:00"/>
    </cacheField>
    <cacheField name="Main Grp" numFmtId="0">
      <sharedItems containsBlank="1"/>
    </cacheField>
    <cacheField name="Group Name" numFmtId="0">
      <sharedItems containsBlank="1"/>
    </cacheField>
    <cacheField name="Sub Grup" numFmtId="0">
      <sharedItems containsBlank="1"/>
    </cacheField>
    <cacheField name="purchase Group Name" numFmtId="0">
      <sharedItems containsBlank="1" count="16">
        <s v="Stores &amp; Consumables"/>
        <s v="PP Woven Fabric"/>
        <s v="PP Webbing"/>
        <s v="PP Laminated Woven Fabric"/>
        <s v="LLDPE Bags"/>
        <s v="JUMBO BAG"/>
        <s v="PP Filament Yarn"/>
        <s v="FIBC WIP"/>
        <s v="Packing Material"/>
        <s v="LLDPE FILM"/>
        <s v="LLDPE Doc"/>
        <s v="PP Woven Sacks"/>
        <s v="PE Labels (Kgs)"/>
        <s v="Thinner"/>
        <s v="Printing Inks"/>
        <m/>
      </sharedItems>
    </cacheField>
    <cacheField name="Item Name" numFmtId="0">
      <sharedItems containsBlank="1"/>
    </cacheField>
    <cacheField name="Quantity" numFmtId="0">
      <sharedItems containsString="0" containsBlank="1" containsNumber="1" minValue="1" maxValue="27494"/>
    </cacheField>
    <cacheField name="Amount" numFmtId="0">
      <sharedItems containsString="0" containsBlank="1" containsNumber="1" minValue="50" maxValue="2076906.36"/>
    </cacheField>
    <cacheField name="Item Desc" numFmtId="0">
      <sharedItems containsBlank="1"/>
    </cacheField>
    <cacheField name="Bill Amount" numFmtId="0">
      <sharedItems containsString="0" containsBlank="1" containsNumber="1" minValue="0" maxValue="5383514.8300000001"/>
    </cacheField>
    <cacheField name="CGST Rate" numFmtId="0">
      <sharedItems containsString="0" containsBlank="1" containsNumber="1" minValue="0" maxValue="9"/>
    </cacheField>
    <cacheField name="CGST Amt" numFmtId="0">
      <sharedItems containsString="0" containsBlank="1" containsNumber="1" minValue="0" maxValue="186921.57"/>
    </cacheField>
    <cacheField name="SGST Rate" numFmtId="0">
      <sharedItems containsString="0" containsBlank="1" containsNumber="1" minValue="0" maxValue="9"/>
    </cacheField>
    <cacheField name="SGST Amt" numFmtId="0">
      <sharedItems containsString="0" containsBlank="1" containsNumber="1" minValue="0" maxValue="186921.57"/>
    </cacheField>
    <cacheField name="IGST Rate" numFmtId="0">
      <sharedItems containsString="0" containsBlank="1" containsNumber="1" containsInteger="1" minValue="0" maxValue="18"/>
    </cacheField>
    <cacheField name="IGST Amt" numFmtId="0">
      <sharedItems containsString="0" containsBlank="1" containsNumber="1" minValue="0" maxValue="108324"/>
    </cacheField>
    <cacheField name="Freight GST" numFmtId="0">
      <sharedItems containsString="0" containsBlank="1" containsNumber="1" minValue="0" maxValue="486"/>
    </cacheField>
    <cacheField name="Total GST" numFmtId="0">
      <sharedItems containsString="0" containsBlank="1" containsNumber="1" minValue="0" maxValue="373843.14"/>
    </cacheField>
    <cacheField name="TCS" numFmtId="0">
      <sharedItems containsString="0" containsBlank="1" containsNumber="1" containsInteger="1" minValue="0" maxValue="0"/>
    </cacheField>
    <cacheField name="GST-IN" numFmtId="0">
      <sharedItems containsBlank="1"/>
    </cacheField>
    <cacheField name="Unit" numFmtId="0">
      <sharedItems containsBlank="1"/>
    </cacheField>
    <cacheField name="HSN Code" numFmtId="0">
      <sharedItems containsString="0" containsBlank="1" containsNumber="1" containsInteger="1" minValue="340290" maxValue="96082000"/>
    </cacheField>
    <cacheField name="Currencty" numFmtId="0">
      <sharedItems containsBlank="1"/>
    </cacheField>
    <cacheField name="Exc.Rate" numFmtId="0">
      <sharedItems containsString="0" containsBlank="1" containsNumber="1" containsInteger="1" minValue="1" maxValue="1"/>
    </cacheField>
    <cacheField name="Net Wt" numFmtId="0">
      <sharedItems containsString="0" containsBlank="1" containsNumber="1" minValue="0" maxValue="228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Negi" refreshedDate="46267.632896759256" createdVersion="5" refreshedVersion="5" minRefreshableVersion="3" recordCount="645">
  <cacheSource type="worksheet">
    <worksheetSource ref="H23:AL668" sheet="Purchase Register"/>
  </cacheSource>
  <cacheFields count="31">
    <cacheField name="Date" numFmtId="0">
      <sharedItems containsDate="1" containsBlank="1" containsMixedTypes="1" minDate="2026-01-08T00:00:00" maxDate="2026-12-09T00:00:00"/>
    </cacheField>
    <cacheField name="Particular" numFmtId="0">
      <sharedItems containsBlank="1"/>
    </cacheField>
    <cacheField name="Voucher Type" numFmtId="0">
      <sharedItems containsBlank="1"/>
    </cacheField>
    <cacheField name="Voucher No" numFmtId="0">
      <sharedItems containsBlank="1"/>
    </cacheField>
    <cacheField name="Type" numFmtId="0">
      <sharedItems containsBlank="1" count="9">
        <s v="Purchase Withinstate- Stores, Spares &amp; Consumable"/>
        <s v="Purchase Withinstate - Raw Material"/>
        <s v="Purchase Withinstate - Traded Goods"/>
        <s v="Purchase Withinstate- Packing Material"/>
        <s v="Branch Transfer In - Raw Material"/>
        <s v="Branch Transfer In - Trading"/>
        <s v="Purchase Interstate - Raw Material"/>
        <m/>
        <s v="Purchase Interstate- Stores, Spares &amp; Consumable" u="1"/>
      </sharedItems>
    </cacheField>
    <cacheField name="Invoice No" numFmtId="0">
      <sharedItems containsBlank="1" containsMixedTypes="1" containsNumber="1" containsInteger="1" minValue="517" maxValue="66262702375"/>
    </cacheField>
    <cacheField name="Invoice Date" numFmtId="0">
      <sharedItems containsDate="1" containsBlank="1" containsMixedTypes="1" minDate="2026-01-08T00:00:00" maxDate="2026-12-09T00:00:00"/>
    </cacheField>
    <cacheField name="Main Grp" numFmtId="0">
      <sharedItems containsBlank="1"/>
    </cacheField>
    <cacheField name="Group Name" numFmtId="0">
      <sharedItems containsBlank="1"/>
    </cacheField>
    <cacheField name="Sub Grup" numFmtId="0">
      <sharedItems containsBlank="1"/>
    </cacheField>
    <cacheField name="purchase Group Name" numFmtId="0">
      <sharedItems containsBlank="1"/>
    </cacheField>
    <cacheField name="Item Name" numFmtId="0">
      <sharedItems containsBlank="1"/>
    </cacheField>
    <cacheField name="Quantity" numFmtId="0">
      <sharedItems containsString="0" containsBlank="1" containsNumber="1" minValue="1" maxValue="27494"/>
    </cacheField>
    <cacheField name="Amount" numFmtId="0">
      <sharedItems containsString="0" containsBlank="1" containsNumber="1" minValue="50" maxValue="2076906.36"/>
    </cacheField>
    <cacheField name="Item Desc" numFmtId="0">
      <sharedItems containsBlank="1"/>
    </cacheField>
    <cacheField name="Bill Amount" numFmtId="0">
      <sharedItems containsString="0" containsBlank="1" containsNumber="1" minValue="0" maxValue="5383514.8300000001"/>
    </cacheField>
    <cacheField name="CGST Rate" numFmtId="0">
      <sharedItems containsString="0" containsBlank="1" containsNumber="1" minValue="0" maxValue="9"/>
    </cacheField>
    <cacheField name="CGST Amt" numFmtId="0">
      <sharedItems containsString="0" containsBlank="1" containsNumber="1" minValue="0" maxValue="186921.57"/>
    </cacheField>
    <cacheField name="SGST Rate" numFmtId="0">
      <sharedItems containsString="0" containsBlank="1" containsNumber="1" minValue="0" maxValue="9"/>
    </cacheField>
    <cacheField name="SGST Amt" numFmtId="0">
      <sharedItems containsString="0" containsBlank="1" containsNumber="1" minValue="0" maxValue="186921.57"/>
    </cacheField>
    <cacheField name="IGST Rate" numFmtId="0">
      <sharedItems containsString="0" containsBlank="1" containsNumber="1" containsInteger="1" minValue="0" maxValue="18"/>
    </cacheField>
    <cacheField name="IGST Amt" numFmtId="0">
      <sharedItems containsString="0" containsBlank="1" containsNumber="1" minValue="0" maxValue="108324"/>
    </cacheField>
    <cacheField name="Freight GST" numFmtId="0">
      <sharedItems containsString="0" containsBlank="1" containsNumber="1" minValue="0" maxValue="486"/>
    </cacheField>
    <cacheField name="Total GST" numFmtId="0">
      <sharedItems containsString="0" containsBlank="1" containsNumber="1" minValue="0" maxValue="373843.14"/>
    </cacheField>
    <cacheField name="TCS" numFmtId="0">
      <sharedItems containsString="0" containsBlank="1" containsNumber="1" containsInteger="1" minValue="0" maxValue="0"/>
    </cacheField>
    <cacheField name="GST-IN" numFmtId="0">
      <sharedItems containsBlank="1"/>
    </cacheField>
    <cacheField name="Unit" numFmtId="0">
      <sharedItems containsBlank="1"/>
    </cacheField>
    <cacheField name="HSN Code" numFmtId="0">
      <sharedItems containsString="0" containsBlank="1" containsNumber="1" containsInteger="1" minValue="340290" maxValue="96082000"/>
    </cacheField>
    <cacheField name="Currencty" numFmtId="0">
      <sharedItems containsBlank="1"/>
    </cacheField>
    <cacheField name="Exc.Rate" numFmtId="0">
      <sharedItems containsString="0" containsBlank="1" containsNumber="1" containsInteger="1" minValue="1" maxValue="1"/>
    </cacheField>
    <cacheField name="Net Wt" numFmtId="0">
      <sharedItems containsString="0" containsBlank="1" containsNumber="1" minValue="0" maxValue="228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Negi" refreshedDate="46267.639004629629" createdVersion="5" refreshedVersion="5" minRefreshableVersion="3" recordCount="184">
  <cacheSource type="worksheet">
    <worksheetSource ref="H16:AM200" sheet="Sales Register"/>
  </cacheSource>
  <cacheFields count="31">
    <cacheField name="Date" numFmtId="0">
      <sharedItems containsDate="1" containsBlank="1" containsMixedTypes="1" minDate="2026-01-08T00:00:00" maxDate="2026-12-09T00:00:00"/>
    </cacheField>
    <cacheField name="Particular" numFmtId="0">
      <sharedItems containsBlank="1"/>
    </cacheField>
    <cacheField name="Voucher Type" numFmtId="0">
      <sharedItems containsBlank="1"/>
    </cacheField>
    <cacheField name="Voucher No" numFmtId="0">
      <sharedItems containsBlank="1" containsMixedTypes="1" containsNumber="1" containsInteger="1" minValue="190" maxValue="259"/>
    </cacheField>
    <cacheField name="Type" numFmtId="0">
      <sharedItems containsBlank="1" count="8">
        <s v="Sales - Within State  Manufactured Goods"/>
        <s v="Sales - Within State - Traded Goods"/>
        <s v="Sales - Waste &amp; Scrape"/>
        <s v="Sales - Merchant Export"/>
        <s v="Sales - Kasez - Trading - U/B"/>
        <s v="Sales - Direct Export - Mfg - U/R"/>
        <s v="Sales - Kasez - Mfg - U/B"/>
        <m/>
      </sharedItems>
    </cacheField>
    <cacheField name="Invoice No" numFmtId="0">
      <sharedItems containsBlank="1"/>
    </cacheField>
    <cacheField name="Invoice Date" numFmtId="0">
      <sharedItems containsDate="1" containsBlank="1" containsMixedTypes="1" minDate="2026-01-08T00:00:00" maxDate="2026-12-09T00:00:00"/>
    </cacheField>
    <cacheField name="Main Grp" numFmtId="0">
      <sharedItems containsBlank="1"/>
    </cacheField>
    <cacheField name="Group Name" numFmtId="0">
      <sharedItems containsBlank="1"/>
    </cacheField>
    <cacheField name="Sub Grup" numFmtId="0">
      <sharedItems containsBlank="1"/>
    </cacheField>
    <cacheField name="sales Group Name" numFmtId="0">
      <sharedItems containsBlank="1" count="12">
        <s v="JUMBO BAG"/>
        <s v="Stores &amp; Consumables"/>
        <s v="FIBC WIP"/>
        <s v="LLDPE Bags"/>
        <s v="HDPE/PP Plastik Waste"/>
        <s v="PP Woven Sacks"/>
        <s v="PP Woven Fabric"/>
        <s v="PP Webbing"/>
        <s v="Thinner"/>
        <s v="PP Filament Yarn"/>
        <s v="Packing Material"/>
        <m/>
      </sharedItems>
    </cacheField>
    <cacheField name="Item Name" numFmtId="0">
      <sharedItems containsBlank="1"/>
    </cacheField>
    <cacheField name="Quantity" numFmtId="0">
      <sharedItems containsString="0" containsBlank="1" containsNumber="1" minValue="10" maxValue="20591"/>
    </cacheField>
    <cacheField name="Amount" numFmtId="0">
      <sharedItems containsString="0" containsBlank="1" containsNumber="1" minValue="480" maxValue="4771730.88"/>
    </cacheField>
    <cacheField name="Item Desc" numFmtId="0">
      <sharedItems containsBlank="1"/>
    </cacheField>
    <cacheField name="Bill Amount" numFmtId="0">
      <sharedItems containsString="0" containsBlank="1" containsNumber="1" minValue="0" maxValue="6285781.3899999997"/>
    </cacheField>
    <cacheField name="CGST Rate" numFmtId="0">
      <sharedItems containsString="0" containsBlank="1" containsNumber="1" minValue="0" maxValue="9"/>
    </cacheField>
    <cacheField name="CGST Amt" numFmtId="0">
      <sharedItems containsString="0" containsBlank="1" containsNumber="1" minValue="0" maxValue="331230.51"/>
    </cacheField>
    <cacheField name="SGST Rate" numFmtId="0">
      <sharedItems containsString="0" containsBlank="1" containsNumber="1" minValue="0" maxValue="9"/>
    </cacheField>
    <cacheField name="SGST Amt" numFmtId="0">
      <sharedItems containsString="0" containsBlank="1" containsNumber="1" minValue="0" maxValue="331230.51"/>
    </cacheField>
    <cacheField name="IGST Rate" numFmtId="0">
      <sharedItems containsString="0" containsBlank="1" containsNumber="1" containsInteger="1" minValue="0" maxValue="18"/>
    </cacheField>
    <cacheField name="IGST Amt" numFmtId="0">
      <sharedItems containsString="0" containsBlank="1" containsNumber="1" minValue="0" maxValue="858911.55839999998"/>
    </cacheField>
    <cacheField name="Freight GST" numFmtId="0">
      <sharedItems containsString="0" containsBlank="1" containsNumber="1" minValue="0" maxValue="0.23"/>
    </cacheField>
    <cacheField name="Total GST" numFmtId="0">
      <sharedItems containsString="0" containsBlank="1" containsNumber="1" minValue="0" maxValue="858911.55839999998"/>
    </cacheField>
    <cacheField name="TCS" numFmtId="0">
      <sharedItems containsString="0" containsBlank="1" containsNumber="1" minValue="0" maxValue="2135.33"/>
    </cacheField>
    <cacheField name="GST-IN" numFmtId="0">
      <sharedItems containsBlank="1"/>
    </cacheField>
    <cacheField name="Unit" numFmtId="0">
      <sharedItems containsBlank="1"/>
    </cacheField>
    <cacheField name="HSN Code" numFmtId="0">
      <sharedItems containsString="0" containsBlank="1" containsNumber="1" containsInteger="1" minValue="38140011" maxValue="73063090"/>
    </cacheField>
    <cacheField name="Currencty" numFmtId="0">
      <sharedItems containsBlank="1"/>
    </cacheField>
    <cacheField name="Exc.Rate" numFmtId="0">
      <sharedItems containsString="0" containsBlank="1" containsNumber="1" minValue="1" maxValue="126.1"/>
    </cacheField>
    <cacheField name="Net Wt" numFmtId="0">
      <sharedItems containsString="0" containsBlank="1" containsNumber="1" minValue="10" maxValue="205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Negi" refreshedDate="46268.575842129627" createdVersion="5" refreshedVersion="5" minRefreshableVersion="3" recordCount="411">
  <cacheSource type="worksheet">
    <worksheetSource ref="B1:BP412" sheet="Inward Register"/>
  </cacheSource>
  <cacheFields count="67">
    <cacheField name="CompanyName" numFmtId="0">
      <sharedItems containsBlank="1"/>
    </cacheField>
    <cacheField name="Date" numFmtId="0">
      <sharedItems containsDate="1" containsBlank="1" containsMixedTypes="1" minDate="2026-01-08T00:00:00" maxDate="2026-12-09T00:00:00"/>
    </cacheField>
    <cacheField name="srno" numFmtId="0">
      <sharedItems containsBlank="1"/>
    </cacheField>
    <cacheField name="Itemcode" numFmtId="0">
      <sharedItems containsBlank="1"/>
    </cacheField>
    <cacheField name="Itemname" numFmtId="0">
      <sharedItems containsBlank="1" count="31">
        <s v="PP UL Fabric With UV"/>
        <s v="PP Lam Fabric With UV"/>
        <s v="Webbing"/>
        <s v="LDPE/LLDPE Bags/Liner"/>
        <s v="FIBC Bags With UV Without Liner"/>
        <s v="PE Labels (Pcs)"/>
        <s v="FIBC WIP"/>
        <s v="PP MF Yarn Twisted 3000 Black"/>
        <s v="PP MF Yarn Twisted 3000 Denier UV NW"/>
        <s v="Zip Lock Bags"/>
        <s v="LDPE/LLDPE Film"/>
        <s v="DOC Pouch"/>
        <s v="PP UL Bags Without UV"/>
        <s v="PP MF Yarn Twisted 3000 Denier UV Deep Blue"/>
        <s v="PP Fibrillated Tape Twisted 3200 MW"/>
        <s v="PP Fibrillated Tape Twisted 3200 Blue"/>
        <s v="Thinner Vyankatesh Thinner"/>
        <s v="PE Labels (Kgs)"/>
        <s v="Ink Vyankatesh Poly Voilet VLX 873"/>
        <s v="PP Fibrillated Tape Twisted 3200 Black"/>
        <s v="Ink Vyankatesh Silver Golden VLX 871C"/>
        <s v="Ink Vyankatesh Poly Opaque White OPEQUE WHITE VLX 624"/>
        <s v="Ink Vyankatesh Poly Process Blue VLX 643"/>
        <s v="Ink Vyankatesh Poly Process Yellow VLX 671"/>
        <s v="Ink Vyankatesh Poly Red Pantone 032C"/>
        <s v="Ink Vyankatesh Poly Reflex Blue VLX 573"/>
        <s v="Ink Vyankatesh Poly Robbin Red VLX 876"/>
        <s v="Ink Vyankatesh Red 485c"/>
        <s v="Ink Vyankatesh Poly Black VLX 579"/>
        <s v="PP MF Yarn Twisted 3000 Denier Yellow"/>
        <m/>
      </sharedItems>
    </cacheField>
    <cacheField name="Indentsubcode" numFmtId="0">
      <sharedItems containsBlank="1"/>
    </cacheField>
    <cacheField name="PoNO" numFmtId="0">
      <sharedItems containsBlank="1"/>
    </cacheField>
    <cacheField name="OrderQty" numFmtId="0">
      <sharedItems containsString="0" containsBlank="1" containsNumber="1" minValue="1.2" maxValue="22800"/>
    </cacheField>
    <cacheField name="Challanqty" numFmtId="0">
      <sharedItems containsString="0" containsBlank="1" containsNumber="1" minValue="1.2" maxValue="22800"/>
    </cacheField>
    <cacheField name="Unit" numFmtId="0">
      <sharedItems containsBlank="1"/>
    </cacheField>
    <cacheField name="Recdqty" numFmtId="0">
      <sharedItems containsString="0" containsBlank="1" containsNumber="1" minValue="1.2" maxValue="22800"/>
    </cacheField>
    <cacheField name="PendingQty" numFmtId="0">
      <sharedItems containsString="0" containsBlank="1" containsNumber="1" containsInteger="1" minValue="0" maxValue="0"/>
    </cacheField>
    <cacheField name="Acceptedqty" numFmtId="0">
      <sharedItems containsString="0" containsBlank="1" containsNumber="1" minValue="1.2" maxValue="22800"/>
    </cacheField>
    <cacheField name="Vehicalno" numFmtId="0">
      <sharedItems containsBlank="1"/>
    </cacheField>
    <cacheField name="Partyname" numFmtId="0">
      <sharedItems containsBlank="1"/>
    </cacheField>
    <cacheField name="Suppliername" numFmtId="0">
      <sharedItems containsBlank="1"/>
    </cacheField>
    <cacheField name="ChallanNo" numFmtId="0">
      <sharedItems containsBlank="1"/>
    </cacheField>
    <cacheField name="Challan Date" numFmtId="0">
      <sharedItems containsDate="1" containsBlank="1" containsMixedTypes="1" minDate="2026-01-08T00:00:00" maxDate="2026-12-09T00:00:00"/>
    </cacheField>
    <cacheField name="category" numFmtId="0">
      <sharedItems containsBlank="1"/>
    </cacheField>
    <cacheField name="subcategory" numFmtId="0">
      <sharedItems containsBlank="1"/>
    </cacheField>
    <cacheField name="MRno" numFmtId="0">
      <sharedItems containsBlank="1"/>
    </cacheField>
    <cacheField name="Rate" numFmtId="0">
      <sharedItems containsString="0" containsBlank="1" containsNumber="1" minValue="1.0129999999999999" maxValue="635"/>
    </cacheField>
    <cacheField name="Amount" numFmtId="0">
      <sharedItems containsString="0" containsBlank="1" containsNumber="1" minValue="1.0129950578985001" maxValue="659.01975438781403"/>
    </cacheField>
    <cacheField name="BillNo" numFmtId="0">
      <sharedItems containsBlank="1"/>
    </cacheField>
    <cacheField name="Bill Date" numFmtId="0">
      <sharedItems containsDate="1" containsBlank="1" containsMixedTypes="1" minDate="2026-01-08T00:00:00" maxDate="2026-12-09T00:00:00"/>
    </cacheField>
    <cacheField name="ItemRemarks" numFmtId="0">
      <sharedItems containsNonDate="0" containsString="0" containsBlank="1"/>
    </cacheField>
    <cacheField name="Remarks" numFmtId="0">
      <sharedItems containsBlank="1"/>
    </cacheField>
    <cacheField name="Note" numFmtId="0">
      <sharedItems containsNonDate="0" containsString="0" containsBlank="1"/>
    </cacheField>
    <cacheField name="Transportname" numFmtId="0">
      <sharedItems containsBlank="1"/>
    </cacheField>
    <cacheField name="Lrnodate" numFmtId="0">
      <sharedItems containsBlank="1" containsMixedTypes="1" containsNumber="1" containsInteger="1" minValue="4102516692" maxValue="4102516917"/>
    </cacheField>
    <cacheField name="Discamt" numFmtId="0">
      <sharedItems containsString="0" containsBlank="1" containsNumber="1" containsInteger="1" minValue="0" maxValue="0"/>
    </cacheField>
    <cacheField name="Discamt1" numFmtId="0">
      <sharedItems containsString="0" containsBlank="1" containsNumber="1" containsInteger="1" minValue="0" maxValue="0"/>
    </cacheField>
    <cacheField name="ExciseAmount" numFmtId="0">
      <sharedItems containsString="0" containsBlank="1" containsNumber="1" containsInteger="1" minValue="0" maxValue="0"/>
    </cacheField>
    <cacheField name="EducessAmount" numFmtId="0">
      <sharedItems containsString="0" containsBlank="1" containsNumber="1" containsInteger="1" minValue="0" maxValue="0"/>
    </cacheField>
    <cacheField name="HiEducessamount" numFmtId="0">
      <sharedItems containsString="0" containsBlank="1" containsNumber="1" containsInteger="1" minValue="0" maxValue="0"/>
    </cacheField>
    <cacheField name="InwardVatType" numFmtId="0">
      <sharedItems containsBlank="1"/>
    </cacheField>
    <cacheField name="Vatamount" numFmtId="0">
      <sharedItems containsString="0" containsBlank="1" containsNumber="1" containsInteger="1" minValue="0" maxValue="0"/>
    </cacheField>
    <cacheField name="Addvatamount" numFmtId="0">
      <sharedItems containsString="0" containsBlank="1" containsNumber="1" containsInteger="1" minValue="0" maxValue="0"/>
    </cacheField>
    <cacheField name="Frieght" numFmtId="0">
      <sharedItems containsString="0" containsBlank="1" containsNumber="1" containsInteger="1" minValue="0" maxValue="0"/>
    </cacheField>
    <cacheField name="Pkgfwd" numFmtId="0">
      <sharedItems containsString="0" containsBlank="1" containsNumber="1" containsInteger="1" minValue="0" maxValue="0"/>
    </cacheField>
    <cacheField name="Otherchg" numFmtId="0">
      <sharedItems containsString="0" containsBlank="1" containsNumber="1" containsInteger="1" minValue="0" maxValue="0"/>
    </cacheField>
    <cacheField name="Spdutyname" numFmtId="0">
      <sharedItems containsNonDate="0" containsString="0" containsBlank="1"/>
    </cacheField>
    <cacheField name="Spdutyamt" numFmtId="0">
      <sharedItems containsString="0" containsBlank="1" containsNumber="1" containsInteger="1" minValue="0" maxValue="0"/>
    </cacheField>
    <cacheField name="Additionalduty" numFmtId="0">
      <sharedItems containsString="0" containsBlank="1" containsNumber="1" containsInteger="1" minValue="0" maxValue="0"/>
    </cacheField>
    <cacheField name="Billamount" numFmtId="0">
      <sharedItems containsString="0" containsBlank="1" containsNumber="1" minValue="6792.56" maxValue="5388080.9900000002"/>
    </cacheField>
    <cacheField name="Deptt" numFmtId="0">
      <sharedItems containsBlank="1"/>
    </cacheField>
    <cacheField name="GroupName" numFmtId="0">
      <sharedItems containsBlank="1"/>
    </cacheField>
    <cacheField name="SubGroupName" numFmtId="0">
      <sharedItems containsBlank="1"/>
    </cacheField>
    <cacheField name="Deptt Po Indent" numFmtId="0">
      <sharedItems containsBlank="1"/>
    </cacheField>
    <cacheField name="LoginName" numFmtId="0">
      <sharedItems containsBlank="1"/>
    </cacheField>
    <cacheField name="servicetax" numFmtId="0">
      <sharedItems containsString="0" containsBlank="1" containsNumber="1" containsInteger="1" minValue="0" maxValue="0"/>
    </cacheField>
    <cacheField name="Basic Amount" numFmtId="0">
      <sharedItems containsString="0" containsBlank="1" containsNumber="1" minValue="212.23" maxValue="2076906.36"/>
    </cacheField>
    <cacheField name="GateInwardNo" numFmtId="0">
      <sharedItems containsBlank="1" containsMixedTypes="1" containsNumber="1" containsInteger="1" minValue="16" maxValue="1269"/>
    </cacheField>
    <cacheField name="GateInwardDate" numFmtId="0">
      <sharedItems containsDate="1" containsBlank="1" containsMixedTypes="1" minDate="2026-01-08T00:00:00" maxDate="2026-12-09T00:00:00"/>
    </cacheField>
    <cacheField name="VendorGST" numFmtId="0">
      <sharedItems containsBlank="1"/>
    </cacheField>
    <cacheField name="MRN User" numFmtId="0">
      <sharedItems containsBlank="1"/>
    </cacheField>
    <cacheField name="POUserName" numFmtId="0">
      <sharedItems containsBlank="1"/>
    </cacheField>
    <cacheField name="CGSTPer" numFmtId="0">
      <sharedItems containsString="0" containsBlank="1" containsNumber="1" minValue="0" maxValue="9"/>
    </cacheField>
    <cacheField name="CGSTAmount" numFmtId="0">
      <sharedItems containsString="0" containsBlank="1" containsNumber="1" minValue="0" maxValue="186921.57"/>
    </cacheField>
    <cacheField name="SGSTPer" numFmtId="0">
      <sharedItems containsString="0" containsBlank="1" containsNumber="1" minValue="0" maxValue="9"/>
    </cacheField>
    <cacheField name="SGSTAmount" numFmtId="0">
      <sharedItems containsString="0" containsBlank="1" containsNumber="1" minValue="0" maxValue="186921.57"/>
    </cacheField>
    <cacheField name="IGSTPer" numFmtId="0">
      <sharedItems containsString="0" containsBlank="1" containsNumber="1" containsInteger="1" minValue="0" maxValue="18"/>
    </cacheField>
    <cacheField name="IGSTAmount" numFmtId="0">
      <sharedItems containsString="0" containsBlank="1" containsNumber="1" minValue="0" maxValue="108324"/>
    </cacheField>
    <cacheField name="RBIllmount" numFmtId="0">
      <sharedItems containsString="0" containsBlank="1" containsNumber="1" minValue="0" maxValue="5388080.9900000002"/>
    </cacheField>
    <cacheField name="EWayNo" numFmtId="0">
      <sharedItems containsBlank="1" containsMixedTypes="1" containsNumber="1" containsInteger="1" minValue="252261769853" maxValue="692172457381"/>
    </cacheField>
    <cacheField name="EWayDt" numFmtId="14">
      <sharedItems containsNonDate="0" containsDate="1" containsString="0" containsBlank="1" minDate="2026-08-01T00:00:00" maxDate="2026-09-01T00:00:00"/>
    </cacheField>
    <cacheField name="netwt" numFmtId="0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Negi" refreshedDate="46268.581130208331" createdVersion="5" refreshedVersion="5" minRefreshableVersion="3" recordCount="16">
  <cacheSource type="worksheet">
    <worksheetSource ref="G8:BU24" sheet="JOB-IN"/>
  </cacheSource>
  <cacheFields count="67">
    <cacheField name="CompanyName" numFmtId="0">
      <sharedItems/>
    </cacheField>
    <cacheField name="Date" numFmtId="0">
      <sharedItems containsDate="1" containsMixedTypes="1" minDate="2026-07-08T00:00:00" maxDate="2026-09-09T00:00:00"/>
    </cacheField>
    <cacheField name="srno" numFmtId="0">
      <sharedItems/>
    </cacheField>
    <cacheField name="Itemcode" numFmtId="0">
      <sharedItems/>
    </cacheField>
    <cacheField name="Itemname" numFmtId="0">
      <sharedItems/>
    </cacheField>
    <cacheField name="Indentsubcode" numFmtId="0">
      <sharedItems containsMixedTypes="1" containsNumber="1" containsInteger="1" minValue="0" maxValue="0"/>
    </cacheField>
    <cacheField name="PoNO" numFmtId="0">
      <sharedItems/>
    </cacheField>
    <cacheField name="OrderQty" numFmtId="0">
      <sharedItems containsSemiMixedTypes="0" containsString="0" containsNumber="1" containsInteger="1" minValue="0" maxValue="0"/>
    </cacheField>
    <cacheField name="Challanqty" numFmtId="0">
      <sharedItems containsSemiMixedTypes="0" containsString="0" containsNumber="1" minValue="10" maxValue="147"/>
    </cacheField>
    <cacheField name="Unit" numFmtId="0">
      <sharedItems/>
    </cacheField>
    <cacheField name="Recdqty" numFmtId="0">
      <sharedItems containsSemiMixedTypes="0" containsString="0" containsNumber="1" minValue="10" maxValue="147"/>
    </cacheField>
    <cacheField name="PendingQty" numFmtId="0">
      <sharedItems containsSemiMixedTypes="0" containsString="0" containsNumber="1" containsInteger="1" minValue="0" maxValue="0"/>
    </cacheField>
    <cacheField name="Acceptedqty" numFmtId="0">
      <sharedItems containsSemiMixedTypes="0" containsString="0" containsNumber="1" minValue="10" maxValue="147"/>
    </cacheField>
    <cacheField name="Vehicalno" numFmtId="0">
      <sharedItems/>
    </cacheField>
    <cacheField name="Partyname" numFmtId="0">
      <sharedItems containsBlank="1" count="3">
        <s v="Saru Plastics"/>
        <m u="1"/>
        <s v="Parsva Trading" u="1"/>
      </sharedItems>
    </cacheField>
    <cacheField name="Suppliername" numFmtId="0">
      <sharedItems/>
    </cacheField>
    <cacheField name="ChallanNo" numFmtId="0">
      <sharedItems/>
    </cacheField>
    <cacheField name="Challan Date" numFmtId="0">
      <sharedItems containsDate="1" containsMixedTypes="1" minDate="2026-02-08T00:00:00" maxDate="2026-11-09T00:00:00"/>
    </cacheField>
    <cacheField name="category" numFmtId="0">
      <sharedItems/>
    </cacheField>
    <cacheField name="subcategory" numFmtId="0">
      <sharedItems/>
    </cacheField>
    <cacheField name="MRno" numFmtId="0">
      <sharedItems/>
    </cacheField>
    <cacheField name="Rate" numFmtId="0">
      <sharedItems containsSemiMixedTypes="0" containsString="0" containsNumber="1" containsInteger="1" minValue="0" maxValue="0"/>
    </cacheField>
    <cacheField name="Amount" numFmtId="0">
      <sharedItems containsSemiMixedTypes="0" containsString="0" containsNumber="1" containsInteger="1" minValue="0" maxValue="0"/>
    </cacheField>
    <cacheField name="BillNo" numFmtId="0">
      <sharedItems/>
    </cacheField>
    <cacheField name="Bill Date" numFmtId="0">
      <sharedItems containsDate="1" containsMixedTypes="1" minDate="2026-02-08T00:00:00" maxDate="2026-11-09T00:00:00"/>
    </cacheField>
    <cacheField name="ItemRemarks" numFmtId="0">
      <sharedItems containsSemiMixedTypes="0" containsString="0" containsNumber="1" containsInteger="1" minValue="0" maxValue="0"/>
    </cacheField>
    <cacheField name="Remarks" numFmtId="0">
      <sharedItems/>
    </cacheField>
    <cacheField name="Note" numFmtId="0">
      <sharedItems containsNonDate="0" containsString="0" containsBlank="1"/>
    </cacheField>
    <cacheField name="Transportname" numFmtId="0">
      <sharedItems/>
    </cacheField>
    <cacheField name="Lrnodate" numFmtId="0">
      <sharedItems containsMixedTypes="1" containsNumber="1" containsInteger="1" minValue="0" maxValue="0"/>
    </cacheField>
    <cacheField name="Discamt" numFmtId="0">
      <sharedItems containsSemiMixedTypes="0" containsString="0" containsNumber="1" containsInteger="1" minValue="0" maxValue="0"/>
    </cacheField>
    <cacheField name="Discamt1" numFmtId="0">
      <sharedItems containsSemiMixedTypes="0" containsString="0" containsNumber="1" containsInteger="1" minValue="0" maxValue="0"/>
    </cacheField>
    <cacheField name="ExciseAmount" numFmtId="0">
      <sharedItems containsSemiMixedTypes="0" containsString="0" containsNumber="1" containsInteger="1" minValue="0" maxValue="0"/>
    </cacheField>
    <cacheField name="EducessAmount" numFmtId="0">
      <sharedItems containsSemiMixedTypes="0" containsString="0" containsNumber="1" containsInteger="1" minValue="0" maxValue="0"/>
    </cacheField>
    <cacheField name="HiEducessamount" numFmtId="0">
      <sharedItems containsSemiMixedTypes="0" containsString="0" containsNumber="1" containsInteger="1" minValue="0" maxValue="0"/>
    </cacheField>
    <cacheField name="InwardVatType" numFmtId="0">
      <sharedItems/>
    </cacheField>
    <cacheField name="Vatamount" numFmtId="0">
      <sharedItems containsSemiMixedTypes="0" containsString="0" containsNumber="1" containsInteger="1" minValue="0" maxValue="0"/>
    </cacheField>
    <cacheField name="Addvatamount" numFmtId="0">
      <sharedItems containsSemiMixedTypes="0" containsString="0" containsNumber="1" containsInteger="1" minValue="0" maxValue="0"/>
    </cacheField>
    <cacheField name="Frieght" numFmtId="0">
      <sharedItems containsSemiMixedTypes="0" containsString="0" containsNumber="1" containsInteger="1" minValue="0" maxValue="0"/>
    </cacheField>
    <cacheField name="Pkgfwd" numFmtId="0">
      <sharedItems containsSemiMixedTypes="0" containsString="0" containsNumber="1" containsInteger="1" minValue="0" maxValue="0"/>
    </cacheField>
    <cacheField name="Otherchg" numFmtId="0">
      <sharedItems containsSemiMixedTypes="0" containsString="0" containsNumber="1" containsInteger="1" minValue="0" maxValue="0"/>
    </cacheField>
    <cacheField name="Spdutyname" numFmtId="0">
      <sharedItems containsNonDate="0" containsString="0" containsBlank="1"/>
    </cacheField>
    <cacheField name="Spdutyamt" numFmtId="0">
      <sharedItems containsSemiMixedTypes="0" containsString="0" containsNumber="1" containsInteger="1" minValue="0" maxValue="0"/>
    </cacheField>
    <cacheField name="Additionalduty" numFmtId="0">
      <sharedItems containsSemiMixedTypes="0" containsString="0" containsNumber="1" containsInteger="1" minValue="0" maxValue="0"/>
    </cacheField>
    <cacheField name="Billamount" numFmtId="0">
      <sharedItems containsSemiMixedTypes="0" containsString="0" containsNumber="1" containsInteger="1" minValue="0" maxValue="0"/>
    </cacheField>
    <cacheField name="Deptt" numFmtId="0">
      <sharedItems/>
    </cacheField>
    <cacheField name="GroupName" numFmtId="0">
      <sharedItems/>
    </cacheField>
    <cacheField name="SubGroupName" numFmtId="0">
      <sharedItems/>
    </cacheField>
    <cacheField name="Deptt Po Indent" numFmtId="0">
      <sharedItems/>
    </cacheField>
    <cacheField name="LoginName" numFmtId="0">
      <sharedItems/>
    </cacheField>
    <cacheField name="servicetax" numFmtId="0">
      <sharedItems containsSemiMixedTypes="0" containsString="0" containsNumber="1" containsInteger="1" minValue="0" maxValue="0"/>
    </cacheField>
    <cacheField name="Basic Amount" numFmtId="0">
      <sharedItems containsSemiMixedTypes="0" containsString="0" containsNumber="1" containsInteger="1" minValue="0" maxValue="0"/>
    </cacheField>
    <cacheField name="GateInwardNo" numFmtId="0">
      <sharedItems containsMixedTypes="1" containsNumber="1" containsInteger="1" minValue="48" maxValue="51"/>
    </cacheField>
    <cacheField name="GateInwardDate" numFmtId="0">
      <sharedItems containsDate="1" containsMixedTypes="1" minDate="2026-04-08T00:00:00" maxDate="2026-11-09T00:00:00"/>
    </cacheField>
    <cacheField name="VendorGST" numFmtId="0">
      <sharedItems/>
    </cacheField>
    <cacheField name="MRN User" numFmtId="0">
      <sharedItems/>
    </cacheField>
    <cacheField name="POUserName" numFmtId="0">
      <sharedItems containsNonDate="0" containsString="0" containsBlank="1"/>
    </cacheField>
    <cacheField name="CGSTPer" numFmtId="0">
      <sharedItems containsSemiMixedTypes="0" containsString="0" containsNumber="1" containsInteger="1" minValue="0" maxValue="0"/>
    </cacheField>
    <cacheField name="CGSTAmount" numFmtId="0">
      <sharedItems containsSemiMixedTypes="0" containsString="0" containsNumber="1" containsInteger="1" minValue="0" maxValue="0"/>
    </cacheField>
    <cacheField name="SGSTPer" numFmtId="0">
      <sharedItems containsSemiMixedTypes="0" containsString="0" containsNumber="1" containsInteger="1" minValue="0" maxValue="0"/>
    </cacheField>
    <cacheField name="SGSTAmount" numFmtId="0">
      <sharedItems containsSemiMixedTypes="0" containsString="0" containsNumber="1" containsInteger="1" minValue="0" maxValue="0"/>
    </cacheField>
    <cacheField name="IGSTPer" numFmtId="0">
      <sharedItems containsSemiMixedTypes="0" containsString="0" containsNumber="1" containsInteger="1" minValue="0" maxValue="0"/>
    </cacheField>
    <cacheField name="IGSTAmount" numFmtId="0">
      <sharedItems containsSemiMixedTypes="0" containsString="0" containsNumber="1" containsInteger="1" minValue="0" maxValue="0"/>
    </cacheField>
    <cacheField name="RBIllmount" numFmtId="0">
      <sharedItems containsSemiMixedTypes="0" containsString="0" containsNumber="1" containsInteger="1" minValue="0" maxValue="0"/>
    </cacheField>
    <cacheField name="EWayNo" numFmtId="0">
      <sharedItems/>
    </cacheField>
    <cacheField name="EWayDt" numFmtId="0">
      <sharedItems containsSemiMixedTypes="0" containsNonDate="0" containsDate="1" containsString="0" minDate="2026-08-07T16:29:00" maxDate="2026-09-02T11:31:00"/>
    </cacheField>
    <cacheField name="netwt" numFmtId="0">
      <sharedItems containsSemiMixedTypes="0" containsString="0" containsNumber="1" minValue="0" maxValue="14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refreshedBy="Negi" refreshedDate="46268.581891666669" createdVersion="5" refreshedVersion="5" minRefreshableVersion="3" recordCount="2">
  <cacheSource type="worksheet">
    <worksheetSource ref="E10:X12" sheet="JOB OUT"/>
  </cacheSource>
  <cacheFields count="20">
    <cacheField name="companyname" numFmtId="0">
      <sharedItems/>
    </cacheField>
    <cacheField name="ChallanNo" numFmtId="0">
      <sharedItems/>
    </cacheField>
    <cacheField name="sysdate" numFmtId="14">
      <sharedItems containsSemiMixedTypes="0" containsNonDate="0" containsDate="1" containsString="0" minDate="2026-08-07T00:00:00" maxDate="2026-08-18T00:00:00"/>
    </cacheField>
    <cacheField name="Company Name" numFmtId="0">
      <sharedItems count="1">
        <s v="Saru Plastics"/>
      </sharedItems>
    </cacheField>
    <cacheField name="NatureProc" numFmtId="0">
      <sharedItems/>
    </cacheField>
    <cacheField name="DescriptionGoods" numFmtId="0">
      <sharedItems count="1">
        <s v="LD/LLDPE  FILM"/>
      </sharedItems>
    </cacheField>
    <cacheField name="Deptt" numFmtId="0">
      <sharedItems/>
    </cacheField>
    <cacheField name="GroupName" numFmtId="0">
      <sharedItems/>
    </cacheField>
    <cacheField name="SubGroupName" numFmtId="0">
      <sharedItems/>
    </cacheField>
    <cacheField name="itemcode" numFmtId="0">
      <sharedItems/>
    </cacheField>
    <cacheField name="itemname" numFmtId="0">
      <sharedItems/>
    </cacheField>
    <cacheField name="Identification" numFmtId="0">
      <sharedItems/>
    </cacheField>
    <cacheField name="QtyDesc" numFmtId="0">
      <sharedItems/>
    </cacheField>
    <cacheField name="ItemUnit" numFmtId="0">
      <sharedItems/>
    </cacheField>
    <cacheField name="ItemQty" numFmtId="0">
      <sharedItems containsSemiMixedTypes="0" containsString="0" containsNumber="1" minValue="563" maxValue="747.9"/>
    </cacheField>
    <cacheField name="ItemValue" numFmtId="0">
      <sharedItems containsSemiMixedTypes="0" containsString="0" containsNumber="1" minValue="93942.18" maxValue="124794.594"/>
    </cacheField>
    <cacheField name="TotalAmt" numFmtId="0">
      <sharedItems containsSemiMixedTypes="0" containsString="0" containsNumber="1" minValue="110851.78" maxValue="147257.60999999999"/>
    </cacheField>
    <cacheField name="VehicalNo" numFmtId="0">
      <sharedItems/>
    </cacheField>
    <cacheField name="LRNo" numFmtId="0">
      <sharedItems/>
    </cacheField>
    <cacheField name="TransportNam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44">
  <r>
    <d v="2026-01-08T00:00:00"/>
    <x v="0"/>
    <s v="General Purchase"/>
    <s v="GNCN 319"/>
    <s v="Purchase Withinstate- Stores, Spares &amp; Consumable"/>
    <s v="PIL1/D/1239"/>
    <d v="2026-01-08T00:00:00"/>
    <s v="Stores/Spares"/>
    <s v="MS Structure Items"/>
    <s v="Spares &amp; Stores"/>
    <x v="0"/>
    <s v="MS Pipe 4  C Class"/>
    <n v="389"/>
    <n v="18672"/>
    <s v="MS Pipe 4  C Class"/>
    <n v="22014.29"/>
    <n v="9"/>
    <n v="1680.48"/>
    <n v="9"/>
    <n v="1680.48"/>
    <n v="0"/>
    <n v="0"/>
    <n v="0"/>
    <n v="3360.96"/>
    <n v="0"/>
    <s v="24AAACO3087C1ZT"/>
    <s v="Kgs"/>
    <n v="73063090"/>
    <s v="Rs."/>
    <n v="1"/>
    <n v="0"/>
  </r>
  <r>
    <d v="2026-01-08T00:00:00"/>
    <x v="0"/>
    <s v="R.M.P."/>
    <s v="RM 468"/>
    <s v="Purchase Withinstate - Raw Material"/>
    <s v="PIL1/D/1240"/>
    <d v="2026-01-08T00:00:00"/>
    <s v="SF"/>
    <s v="PP/PE Fabric"/>
    <s v="PP UL Fabric"/>
    <x v="1"/>
    <s v="PP UL Fabric With UV"/>
    <n v="239"/>
    <n v="35011.11"/>
    <s v="PP UL Fabric With UV"/>
    <n v="2035936.64"/>
    <n v="9"/>
    <n v="3151"/>
    <n v="9"/>
    <n v="3151"/>
    <n v="0"/>
    <n v="0"/>
    <n v="0"/>
    <n v="6302"/>
    <n v="0"/>
    <s v="24AAACO3087C1ZT"/>
    <s v="Kgs"/>
    <n v="39269080"/>
    <s v="Rs."/>
    <n v="1"/>
    <n v="239"/>
  </r>
  <r>
    <d v="2026-01-08T00:00:00"/>
    <x v="0"/>
    <s v="R.M.P."/>
    <s v="RM 468"/>
    <s v="Purchase Withinstate - Raw Material"/>
    <s v="PIL1/D/1240"/>
    <d v="2026-01-08T00:00:00"/>
    <s v="SF"/>
    <s v="PP/PE Fabric"/>
    <s v="PP UL Fabric"/>
    <x v="1"/>
    <s v="PP UL Fabric With UV"/>
    <n v="7181"/>
    <n v="1037582.69"/>
    <s v="PP UL Fabric With UV"/>
    <n v="0"/>
    <n v="9"/>
    <n v="93382.44"/>
    <n v="9"/>
    <n v="93382.44"/>
    <n v="0"/>
    <n v="0"/>
    <n v="0"/>
    <n v="186764.88"/>
    <n v="0"/>
    <s v="24AAACO3087C1ZT"/>
    <s v="Kgs"/>
    <n v="39269080"/>
    <s v="Rs."/>
    <n v="1"/>
    <n v="7181"/>
  </r>
  <r>
    <d v="2026-01-08T00:00:00"/>
    <x v="0"/>
    <s v="R.M.P."/>
    <s v="RM 468"/>
    <s v="Purchase Withinstate - Raw Material"/>
    <s v="PIL1/D/1240"/>
    <d v="2026-01-08T00:00:00"/>
    <s v="SF"/>
    <s v="Webbing"/>
    <s v="PP Webbing"/>
    <x v="2"/>
    <s v="Webbing"/>
    <n v="826.6"/>
    <n v="123568.43"/>
    <s v="Webbing"/>
    <n v="0"/>
    <n v="9"/>
    <n v="11121.16"/>
    <n v="9"/>
    <n v="11121.16"/>
    <n v="0"/>
    <n v="0"/>
    <n v="0"/>
    <n v="22242.32"/>
    <n v="0"/>
    <s v="24AAACO3087C1ZT"/>
    <s v="Kgs"/>
    <n v="3926908"/>
    <s v="Rs."/>
    <n v="1"/>
    <n v="826.6"/>
  </r>
  <r>
    <d v="2026-01-08T00:00:00"/>
    <x v="0"/>
    <s v="R.M.P."/>
    <s v="RM 468"/>
    <s v="Purchase Withinstate - Raw Material"/>
    <s v="PIL1/D/1240"/>
    <d v="2026-01-08T00:00:00"/>
    <s v="SF"/>
    <s v="Webbing"/>
    <s v="PP Webbing"/>
    <x v="2"/>
    <s v="Webbing"/>
    <n v="611.79999999999995"/>
    <n v="89622.58"/>
    <s v="Webbing"/>
    <n v="0"/>
    <n v="9"/>
    <n v="8066.03"/>
    <n v="9"/>
    <n v="8066.03"/>
    <n v="0"/>
    <n v="0"/>
    <n v="0"/>
    <n v="16132.06"/>
    <n v="0"/>
    <s v="24AAACO3087C1ZT"/>
    <s v="Kgs"/>
    <n v="3926908"/>
    <s v="Rs."/>
    <n v="1"/>
    <n v="611.79999999999995"/>
  </r>
  <r>
    <d v="2026-01-08T00:00:00"/>
    <x v="0"/>
    <s v="R.M.P."/>
    <s v="RM 468"/>
    <s v="Purchase Withinstate - Raw Material"/>
    <s v="PIL1/D/1240"/>
    <d v="2026-01-08T00:00:00"/>
    <s v="SF"/>
    <s v="PP/PE Fabric"/>
    <s v="PP Lam Fabric"/>
    <x v="3"/>
    <s v="PP Lam Fabric With UV"/>
    <n v="1694"/>
    <n v="256624.06"/>
    <s v="PP Lam Fabric With UV"/>
    <n v="0"/>
    <n v="9"/>
    <n v="23096.17"/>
    <n v="9"/>
    <n v="23096.17"/>
    <n v="0"/>
    <n v="0"/>
    <n v="0"/>
    <n v="46192.34"/>
    <n v="0"/>
    <s v="24AAACO3087C1ZT"/>
    <s v="Kgs"/>
    <n v="63053300"/>
    <s v="Rs."/>
    <n v="1"/>
    <n v="1694"/>
  </r>
  <r>
    <d v="2026-01-08T00:00:00"/>
    <x v="0"/>
    <s v="R.M.P."/>
    <s v="RM 468"/>
    <s v="Purchase Withinstate - Raw Material"/>
    <s v="PIL1/D/1240"/>
    <d v="2026-01-08T00:00:00"/>
    <s v="SF"/>
    <s v="PP/PE Fabric"/>
    <s v="PP Lam Fabric"/>
    <x v="3"/>
    <s v="PP Lam Fabric With UV"/>
    <n v="1242"/>
    <n v="184424.58"/>
    <s v="PP Lam Fabric With UV"/>
    <n v="0"/>
    <n v="9"/>
    <n v="16598.21"/>
    <n v="9"/>
    <n v="16598.21"/>
    <n v="0"/>
    <n v="0"/>
    <n v="0"/>
    <n v="33196.42"/>
    <n v="0"/>
    <s v="24AAACO3087C1ZT"/>
    <s v="Kgs"/>
    <n v="63053300"/>
    <s v="Rs."/>
    <n v="1"/>
    <n v="1242"/>
  </r>
  <r>
    <d v="2026-02-08T00:00:00"/>
    <x v="0"/>
    <s v="General Purchase"/>
    <s v="GNCN 320"/>
    <s v="Purchase Withinstate- Stores, Spares &amp; Consumable"/>
    <s v="PIL1/D/1249"/>
    <d v="2026-02-08T00:00:00"/>
    <s v="Stores/Spares"/>
    <s v="MS Structure Items"/>
    <s v="Spares &amp; Stores"/>
    <x v="0"/>
    <s v="MS Pipe 4  C Class"/>
    <n v="433"/>
    <n v="20784"/>
    <s v="MS Pipe 4  C Class"/>
    <n v="24504.34"/>
    <n v="9"/>
    <n v="1870.56"/>
    <n v="9"/>
    <n v="1870.56"/>
    <n v="0"/>
    <n v="0"/>
    <n v="0"/>
    <n v="3741.12"/>
    <n v="0"/>
    <s v="24AAACO3087C1ZT"/>
    <s v="Kgs"/>
    <n v="73063090"/>
    <s v="Rs."/>
    <n v="1"/>
    <n v="0"/>
  </r>
  <r>
    <d v="2026-02-08T00:00:00"/>
    <x v="0"/>
    <s v="R.M.P."/>
    <s v="RM 469"/>
    <s v="Purchase Withinstate - Raw Material"/>
    <s v="PIL1/D/1246"/>
    <d v="2026-02-08T00:00:00"/>
    <s v="SF"/>
    <s v="PP/PE Fabric"/>
    <s v="PP Lam Fabric"/>
    <x v="3"/>
    <s v="PP Lam Fabric With UV"/>
    <n v="470"/>
    <n v="68850.3"/>
    <s v="PP Lam Fabric With UV"/>
    <n v="1391939.81"/>
    <n v="9"/>
    <n v="6196.53"/>
    <n v="9"/>
    <n v="6196.53"/>
    <n v="0"/>
    <n v="0"/>
    <n v="0"/>
    <n v="12393.06"/>
    <n v="0"/>
    <s v="24AAACO3087C1ZT"/>
    <s v="Kgs"/>
    <n v="63053300"/>
    <s v="Rs."/>
    <n v="1"/>
    <n v="470"/>
  </r>
  <r>
    <d v="2026-02-08T00:00:00"/>
    <x v="0"/>
    <s v="R.M.P."/>
    <s v="RM 469"/>
    <s v="Purchase Withinstate - Raw Material"/>
    <s v="PIL1/D/1246"/>
    <d v="2026-02-08T00:00:00"/>
    <s v="SF"/>
    <s v="PP/PE Fabric"/>
    <s v="PP UL Fabric"/>
    <x v="1"/>
    <s v="PP UL Fabric With UV"/>
    <n v="1183"/>
    <n v="173297.67"/>
    <s v="PP UL Fabric With UV"/>
    <n v="0"/>
    <n v="9"/>
    <n v="15596.79"/>
    <n v="9"/>
    <n v="15596.79"/>
    <n v="0"/>
    <n v="0"/>
    <n v="0"/>
    <n v="31193.58"/>
    <n v="0"/>
    <s v="24AAACO3087C1ZT"/>
    <s v="Kgs"/>
    <n v="39269080"/>
    <s v="Rs."/>
    <n v="1"/>
    <n v="1183"/>
  </r>
  <r>
    <d v="2026-02-08T00:00:00"/>
    <x v="0"/>
    <s v="R.M.P."/>
    <s v="RM 469"/>
    <s v="Purchase Withinstate - Raw Material"/>
    <s v="PIL1/D/1246"/>
    <d v="2026-02-08T00:00:00"/>
    <s v="SF"/>
    <s v="PP/PE Fabric"/>
    <s v="PP UL Fabric"/>
    <x v="1"/>
    <s v="PP UL Fabric With UV"/>
    <n v="6495"/>
    <n v="938462.55"/>
    <s v="PP UL Fabric With UV"/>
    <n v="0"/>
    <n v="9"/>
    <n v="84461.63"/>
    <n v="9"/>
    <n v="84461.63"/>
    <n v="0"/>
    <n v="0"/>
    <n v="0"/>
    <n v="168923.26"/>
    <n v="0"/>
    <s v="24AAACO3087C1ZT"/>
    <s v="Kgs"/>
    <n v="39269080"/>
    <s v="Rs."/>
    <n v="1"/>
    <n v="6495"/>
  </r>
  <r>
    <d v="2026-02-08T00:00:00"/>
    <x v="0"/>
    <s v="R.M.P."/>
    <s v="RM 471"/>
    <s v="Purchase Withinstate - Raw Material"/>
    <s v="PIL1/D/1250"/>
    <d v="2026-02-08T00:00:00"/>
    <s v="SF"/>
    <s v="PP/PE Fabric"/>
    <s v="PP UL Fabric"/>
    <x v="1"/>
    <s v="PP UL Fabric With UV"/>
    <n v="1162"/>
    <n v="161610.96"/>
    <s v="PP UL Fabric With UV"/>
    <n v="768934.33"/>
    <n v="9"/>
    <n v="14544.99"/>
    <n v="9"/>
    <n v="14544.99"/>
    <n v="0"/>
    <n v="0"/>
    <n v="0"/>
    <n v="29089.98"/>
    <n v="0"/>
    <s v="24AAACO3087C1ZT"/>
    <s v="Kgs"/>
    <n v="39269080"/>
    <s v="Rs."/>
    <n v="1"/>
    <n v="1162"/>
  </r>
  <r>
    <d v="2026-02-08T00:00:00"/>
    <x v="0"/>
    <s v="R.M.P."/>
    <s v="RM 471"/>
    <s v="Purchase Withinstate - Raw Material"/>
    <s v="PIL1/D/1250"/>
    <d v="2026-02-08T00:00:00"/>
    <s v="SF"/>
    <s v="Webbing"/>
    <s v="PP Webbing"/>
    <x v="2"/>
    <s v="Webbing"/>
    <n v="1485.2"/>
    <n v="213987.62"/>
    <s v="Webbing"/>
    <n v="0"/>
    <n v="9"/>
    <n v="19258.89"/>
    <n v="9"/>
    <n v="19258.89"/>
    <n v="0"/>
    <n v="0"/>
    <n v="0"/>
    <n v="38517.78"/>
    <n v="0"/>
    <s v="24AAACO3087C1ZT"/>
    <s v="Kgs"/>
    <n v="3926908"/>
    <s v="Rs."/>
    <n v="1"/>
    <n v="1485.2"/>
  </r>
  <r>
    <d v="2026-02-08T00:00:00"/>
    <x v="0"/>
    <s v="R.M.P."/>
    <s v="RM 471"/>
    <s v="Purchase Withinstate - Raw Material"/>
    <s v="PIL1/D/1250"/>
    <d v="2026-02-08T00:00:00"/>
    <s v="SF"/>
    <s v="Webbing"/>
    <s v="PP Webbing"/>
    <x v="2"/>
    <s v="Webbing"/>
    <n v="714.8"/>
    <n v="100843.98"/>
    <s v="Webbing"/>
    <n v="0"/>
    <n v="9"/>
    <n v="9075.9599999999991"/>
    <n v="9"/>
    <n v="9075.9599999999991"/>
    <n v="0"/>
    <n v="0"/>
    <n v="0"/>
    <n v="18151.919999999998"/>
    <n v="0"/>
    <s v="24AAACO3087C1ZT"/>
    <s v="Kgs"/>
    <n v="3926908"/>
    <s v="Rs."/>
    <n v="1"/>
    <n v="714.8"/>
  </r>
  <r>
    <d v="2026-02-08T00:00:00"/>
    <x v="0"/>
    <s v="R.M.P."/>
    <s v="RM 471"/>
    <s v="Purchase Withinstate - Raw Material"/>
    <s v="PIL1/D/1250"/>
    <d v="2026-02-08T00:00:00"/>
    <s v="SF"/>
    <s v="Liners"/>
    <s v="LDPE/LLDPE Bags"/>
    <x v="4"/>
    <s v="LDPE/LLDPE Bags/Liner"/>
    <n v="351"/>
    <n v="62077.86"/>
    <s v="LDPE/LLDPE Bags/Liner"/>
    <n v="0"/>
    <n v="9"/>
    <n v="5587.01"/>
    <n v="9"/>
    <n v="5587.01"/>
    <n v="0"/>
    <n v="0"/>
    <n v="0"/>
    <n v="11174.02"/>
    <n v="0"/>
    <s v="24AAACO3087C1ZT"/>
    <s v="Kgs"/>
    <n v="39200000"/>
    <s v="Rs."/>
    <n v="1"/>
    <n v="351"/>
  </r>
  <r>
    <d v="2026-02-08T00:00:00"/>
    <x v="0"/>
    <s v="R.M.P."/>
    <s v="RM 471"/>
    <s v="Purchase Withinstate - Raw Material"/>
    <s v="PIL1/D/1250"/>
    <d v="2026-02-08T00:00:00"/>
    <s v="SF"/>
    <s v="Liners"/>
    <s v="LDPE/LLDPE Bags"/>
    <x v="4"/>
    <s v="LDPE/LLDPE Bags/Liner"/>
    <n v="632"/>
    <n v="113671.52"/>
    <s v="LDPE/LLDPE Bags/Liner"/>
    <n v="0"/>
    <n v="9"/>
    <n v="10230.44"/>
    <n v="9"/>
    <n v="10230.44"/>
    <n v="0"/>
    <n v="0"/>
    <n v="0"/>
    <n v="20460.88"/>
    <n v="0"/>
    <s v="24AAACO3087C1ZT"/>
    <s v="Kgs"/>
    <n v="39200000"/>
    <s v="Rs."/>
    <n v="1"/>
    <n v="632"/>
  </r>
  <r>
    <d v="2026-03-08T00:00:00"/>
    <x v="1"/>
    <s v="General Purchase"/>
    <s v="GNCN 322"/>
    <s v="Purchase Withinstate- Stores, Spares &amp; Consumable"/>
    <s v="GPINV/26-27/888"/>
    <d v="2026-01-08T00:00:00"/>
    <s v="Consumables"/>
    <s v="Consumables"/>
    <s v="Spares &amp; Stores"/>
    <x v="0"/>
    <s v="Tata Genuine DEF-20 Ltr Urea"/>
    <n v="5"/>
    <n v="7415.25"/>
    <s v="Tata Genuine DEF-20 Ltr Urea"/>
    <n v="8750"/>
    <n v="9"/>
    <n v="667.37"/>
    <n v="9"/>
    <n v="667.37"/>
    <n v="0"/>
    <n v="0"/>
    <n v="0"/>
    <n v="1334.74"/>
    <n v="0"/>
    <s v="24ABJPV0976A1ZO"/>
    <s v="Ltr"/>
    <n v="31021000"/>
    <s v="Rs."/>
    <n v="1"/>
    <n v="0"/>
  </r>
  <r>
    <d v="2026-03-08T00:00:00"/>
    <x v="1"/>
    <s v="General Purchase"/>
    <s v="GNCN 323"/>
    <s v="Purchase Withinstate- Stores, Spares &amp; Consumable"/>
    <s v="GP/26-27/81925"/>
    <d v="2026-01-08T00:00:00"/>
    <s v="Consumables"/>
    <s v="Oil &amp; Greases"/>
    <s v="Spares &amp; Stores"/>
    <x v="0"/>
    <s v="Diesel"/>
    <n v="400"/>
    <n v="39116"/>
    <s v="Diesel"/>
    <n v="39116"/>
    <n v="0"/>
    <n v="0"/>
    <n v="0"/>
    <n v="0"/>
    <n v="0"/>
    <n v="0"/>
    <n v="0"/>
    <n v="0"/>
    <n v="0"/>
    <s v="24ABJPV0976A1ZO"/>
    <s v="Ltr"/>
    <n v="27101930"/>
    <s v="Rs."/>
    <n v="1"/>
    <n v="0"/>
  </r>
  <r>
    <d v="2026-03-08T00:00:00"/>
    <x v="1"/>
    <s v="General Purchase"/>
    <s v="GNCN 324"/>
    <s v="Purchase Withinstate- Stores, Spares &amp; Consumable"/>
    <s v="GP/26-27/81926"/>
    <d v="2026-01-08T00:00:00"/>
    <s v="Consumables"/>
    <s v="Oil &amp; Greases"/>
    <s v="Spares &amp; Stores"/>
    <x v="0"/>
    <s v="Diesel"/>
    <n v="200"/>
    <n v="19558"/>
    <s v="Diesel"/>
    <n v="19558"/>
    <n v="0"/>
    <n v="0"/>
    <n v="0"/>
    <n v="0"/>
    <n v="0"/>
    <n v="0"/>
    <n v="0"/>
    <n v="0"/>
    <n v="0"/>
    <s v="24ABJPV0976A1ZO"/>
    <s v="Ltr"/>
    <n v="27101930"/>
    <s v="Rs."/>
    <n v="1"/>
    <n v="0"/>
  </r>
  <r>
    <d v="2026-03-08T00:00:00"/>
    <x v="0"/>
    <s v="General Purchase"/>
    <s v="GNCN 321"/>
    <s v="Purchase Withinstate- Stores, Spares &amp; Consumable"/>
    <s v="PIL1/D/1256"/>
    <d v="2026-03-08T00:00:00"/>
    <s v="Stores/Spares"/>
    <s v="MS Structure Items"/>
    <s v="Spares &amp; Stores"/>
    <x v="0"/>
    <s v="MS Pipe 4  C Class"/>
    <n v="402"/>
    <n v="19296"/>
    <s v="MS Pipe 4  C Class"/>
    <n v="22749.98"/>
    <n v="9"/>
    <n v="1736.64"/>
    <n v="9"/>
    <n v="1736.64"/>
    <n v="0"/>
    <n v="0"/>
    <n v="0"/>
    <n v="3473.28"/>
    <n v="0"/>
    <s v="24AAACO3087C1ZT"/>
    <s v="Kgs"/>
    <n v="73063090"/>
    <s v="Rs."/>
    <n v="1"/>
    <n v="0"/>
  </r>
  <r>
    <d v="2026-03-08T00:00:00"/>
    <x v="0"/>
    <s v="R.M.P."/>
    <s v="RM 472"/>
    <s v="Purchase Withinstate - Traded Goods"/>
    <s v="PIL1/D/1255"/>
    <d v="2026-03-08T00:00:00"/>
    <s v="FG"/>
    <s v="FIBC Bags"/>
    <s v="FIBC Bags"/>
    <x v="5"/>
    <s v="FIBC Bags With UV Without Liner"/>
    <n v="7506.8"/>
    <n v="2076906.36"/>
    <s v="FIBC Bags With UV Without Liner"/>
    <n v="3266648.12"/>
    <n v="9"/>
    <n v="186921.57"/>
    <n v="9"/>
    <n v="186921.57"/>
    <n v="0"/>
    <n v="0"/>
    <n v="0"/>
    <n v="373843.14"/>
    <n v="0"/>
    <s v="24AAACO3087C1ZT"/>
    <s v="Kgs"/>
    <n v="63053200"/>
    <s v="Rs."/>
    <n v="1"/>
    <n v="7506.8"/>
  </r>
  <r>
    <d v="2026-03-08T00:00:00"/>
    <x v="0"/>
    <s v="R.M.P."/>
    <s v="RM 472"/>
    <s v="Purchase Withinstate - Traded Goods"/>
    <s v="PIL1/D/1255"/>
    <d v="2026-03-08T00:00:00"/>
    <s v="FG"/>
    <s v="FIBC Bags"/>
    <s v="FIBC Bags"/>
    <x v="5"/>
    <s v="FIBC Bags With UV Without Liner"/>
    <n v="2732.2"/>
    <n v="693787.55"/>
    <s v="FIBC Bags With UV Without Liner"/>
    <n v="0"/>
    <n v="9"/>
    <n v="62440.88"/>
    <n v="9"/>
    <n v="62440.88"/>
    <n v="0"/>
    <n v="0"/>
    <n v="0"/>
    <n v="124881.76"/>
    <n v="0"/>
    <s v="24AAACO3087C1ZT"/>
    <s v="Kgs"/>
    <n v="63053200"/>
    <s v="Rs."/>
    <n v="1"/>
    <n v="2732.2"/>
  </r>
  <r>
    <d v="2026-03-08T00:00:00"/>
    <x v="0"/>
    <s v="R.M.P."/>
    <s v="RM 473"/>
    <s v="Purchase Withinstate - Raw Material"/>
    <s v="PIL1/D/1254"/>
    <d v="2026-03-08T00:00:00"/>
    <s v="SF"/>
    <s v="PP/PE Fabric"/>
    <s v="PP UL Fabric"/>
    <x v="1"/>
    <s v="PP UL Fabric With UV"/>
    <n v="1094"/>
    <n v="154341.51999999999"/>
    <s v="PP UL Fabric With UV"/>
    <n v="1279127.53"/>
    <n v="9"/>
    <n v="13890.74"/>
    <n v="9"/>
    <n v="13890.74"/>
    <n v="0"/>
    <n v="0"/>
    <n v="0"/>
    <n v="27781.48"/>
    <n v="0"/>
    <s v="24AAACO3087C1ZT"/>
    <s v="Kgs"/>
    <n v="39269080"/>
    <s v="Rs."/>
    <n v="1"/>
    <n v="1094"/>
  </r>
  <r>
    <d v="2026-03-08T00:00:00"/>
    <x v="0"/>
    <s v="R.M.P."/>
    <s v="RM 473"/>
    <s v="Purchase Withinstate - Raw Material"/>
    <s v="PIL1/D/1254"/>
    <d v="2026-03-08T00:00:00"/>
    <s v="SF"/>
    <s v="PP/PE Fabric"/>
    <s v="PP UL Fabric"/>
    <x v="1"/>
    <s v="PP UL Fabric With UV"/>
    <n v="6691"/>
    <n v="930584.28"/>
    <s v="PP UL Fabric With UV"/>
    <n v="0"/>
    <n v="9"/>
    <n v="83752.59"/>
    <n v="9"/>
    <n v="83752.59"/>
    <n v="0"/>
    <n v="0"/>
    <n v="0"/>
    <n v="167505.18"/>
    <n v="0"/>
    <s v="24AAACO3087C1ZT"/>
    <s v="Kgs"/>
    <n v="39269080"/>
    <s v="Rs."/>
    <n v="1"/>
    <n v="6691"/>
  </r>
  <r>
    <d v="2026-03-08T00:00:00"/>
    <x v="0"/>
    <s v="R.M.P."/>
    <s v="RM 474"/>
    <s v="Purchase Withinstate - Raw Material"/>
    <s v="PIL1/D/1260"/>
    <d v="2026-03-08T00:00:00"/>
    <s v="SF"/>
    <s v="Liners"/>
    <s v="LDPE/LLDPE Bags"/>
    <x v="4"/>
    <s v="LDPE/LLDPE Bags/Liner"/>
    <n v="2886.5"/>
    <n v="510506.39"/>
    <s v="LDPE/LLDPE Bags/Liner"/>
    <n v="1652892.63"/>
    <n v="9"/>
    <n v="45945.58"/>
    <n v="9"/>
    <n v="45945.58"/>
    <n v="0"/>
    <n v="0"/>
    <n v="0"/>
    <n v="91891.16"/>
    <n v="0"/>
    <s v="24AAACO3087C1ZT"/>
    <s v="Kgs"/>
    <n v="39200000"/>
    <s v="Rs."/>
    <n v="1"/>
    <n v="2886.5"/>
  </r>
  <r>
    <d v="2026-03-08T00:00:00"/>
    <x v="0"/>
    <s v="R.M.P."/>
    <s v="RM 474"/>
    <s v="Purchase Withinstate - Raw Material"/>
    <s v="PIL1/D/1260"/>
    <d v="2026-03-08T00:00:00"/>
    <s v="SF"/>
    <s v="Webbing"/>
    <s v="PP Webbing"/>
    <x v="2"/>
    <s v="Webbing"/>
    <n v="367.3"/>
    <n v="51818.68"/>
    <s v="Webbing"/>
    <n v="0"/>
    <n v="9"/>
    <n v="4663.68"/>
    <n v="9"/>
    <n v="4663.68"/>
    <n v="0"/>
    <n v="0"/>
    <n v="0"/>
    <n v="9327.36"/>
    <n v="0"/>
    <s v="24AAACO3087C1ZT"/>
    <s v="Kgs"/>
    <n v="3926908"/>
    <s v="Rs."/>
    <n v="1"/>
    <n v="367.3"/>
  </r>
  <r>
    <d v="2026-03-08T00:00:00"/>
    <x v="0"/>
    <s v="R.M.P."/>
    <s v="RM 474"/>
    <s v="Purchase Withinstate - Raw Material"/>
    <s v="PIL1/D/1260"/>
    <d v="2026-03-08T00:00:00"/>
    <s v="SF"/>
    <s v="Webbing"/>
    <s v="PP Webbing"/>
    <x v="2"/>
    <s v="Webbing"/>
    <n v="1097.7"/>
    <n v="158156.62"/>
    <s v="Webbing"/>
    <n v="0"/>
    <n v="9"/>
    <n v="14234.1"/>
    <n v="9"/>
    <n v="14234.1"/>
    <n v="0"/>
    <n v="0"/>
    <n v="0"/>
    <n v="28468.2"/>
    <n v="0"/>
    <s v="24AAACO3087C1ZT"/>
    <s v="Kgs"/>
    <n v="3926908"/>
    <s v="Rs."/>
    <n v="1"/>
    <n v="1097.7"/>
  </r>
  <r>
    <d v="2026-03-08T00:00:00"/>
    <x v="0"/>
    <s v="R.M.P."/>
    <s v="RM 474"/>
    <s v="Purchase Withinstate - Raw Material"/>
    <s v="PIL1/D/1260"/>
    <d v="2026-03-08T00:00:00"/>
    <s v="SF"/>
    <s v="PP/PE Fabric"/>
    <s v="PP Lam Fabric"/>
    <x v="3"/>
    <s v="PP Lam Fabric With UV"/>
    <n v="1675"/>
    <n v="244684"/>
    <s v="PP Lam Fabric With UV"/>
    <n v="0"/>
    <n v="9"/>
    <n v="22021.56"/>
    <n v="9"/>
    <n v="22021.56"/>
    <n v="0"/>
    <n v="0"/>
    <n v="0"/>
    <n v="44043.12"/>
    <n v="0"/>
    <s v="24AAACO3087C1ZT"/>
    <s v="Kgs"/>
    <n v="63053300"/>
    <s v="Rs."/>
    <n v="1"/>
    <n v="1675"/>
  </r>
  <r>
    <d v="2026-03-08T00:00:00"/>
    <x v="0"/>
    <s v="R.M.P."/>
    <s v="RM 474"/>
    <s v="Purchase Withinstate - Raw Material"/>
    <s v="PIL1/D/1260"/>
    <d v="2026-03-08T00:00:00"/>
    <s v="SF"/>
    <s v="PP/PE Fabric"/>
    <s v="PP Lam Fabric"/>
    <x v="3"/>
    <s v="PP Lam Fabric With UV"/>
    <n v="200"/>
    <n v="28616"/>
    <s v="PP Lam Fabric With UV"/>
    <n v="0"/>
    <n v="9"/>
    <n v="2575.44"/>
    <n v="9"/>
    <n v="2575.44"/>
    <n v="0"/>
    <n v="0"/>
    <n v="0"/>
    <n v="5150.88"/>
    <n v="0"/>
    <s v="24AAACO3087C1ZT"/>
    <s v="Kgs"/>
    <n v="63053300"/>
    <s v="Rs."/>
    <n v="1"/>
    <n v="200"/>
  </r>
  <r>
    <d v="2026-03-08T00:00:00"/>
    <x v="0"/>
    <s v="R.M.P."/>
    <s v="RM 474"/>
    <s v="Purchase Withinstate - Raw Material"/>
    <s v="PIL1/D/1260"/>
    <d v="2026-03-08T00:00:00"/>
    <s v="SF"/>
    <s v="PP/PE Fabric"/>
    <s v="PP Lam Fabric"/>
    <x v="3"/>
    <s v="PP Lam Fabric With UV"/>
    <n v="575"/>
    <n v="81121"/>
    <s v="PP Lam Fabric With UV"/>
    <n v="0"/>
    <n v="9"/>
    <n v="7300.89"/>
    <n v="9"/>
    <n v="7300.89"/>
    <n v="0"/>
    <n v="0"/>
    <n v="0"/>
    <n v="14601.78"/>
    <n v="0"/>
    <s v="24AAACO3087C1ZT"/>
    <s v="Kgs"/>
    <n v="63053300"/>
    <s v="Rs."/>
    <n v="1"/>
    <n v="575"/>
  </r>
  <r>
    <d v="2026-03-08T00:00:00"/>
    <x v="0"/>
    <s v="R.M.P."/>
    <s v="RM 474"/>
    <s v="Purchase Withinstate - Raw Material"/>
    <s v="PIL1/D/1260"/>
    <d v="2026-03-08T00:00:00"/>
    <s v="SF"/>
    <s v="PP/PE Fabric"/>
    <s v="PP UL Fabric"/>
    <x v="1"/>
    <s v="PP UL Fabric With UV"/>
    <n v="2107"/>
    <n v="293041.56"/>
    <s v="PP UL Fabric With UV"/>
    <n v="0"/>
    <n v="9"/>
    <n v="26373.74"/>
    <n v="9"/>
    <n v="26373.74"/>
    <n v="0"/>
    <n v="0"/>
    <n v="0"/>
    <n v="52747.48"/>
    <n v="0"/>
    <s v="24AAACO3087C1ZT"/>
    <s v="Kgs"/>
    <n v="39269080"/>
    <s v="Rs."/>
    <n v="1"/>
    <n v="2107"/>
  </r>
  <r>
    <d v="2026-03-08T00:00:00"/>
    <x v="0"/>
    <s v="R.M.P."/>
    <s v="RM 474"/>
    <s v="Purchase Withinstate - Raw Material"/>
    <s v="PIL1/D/1260"/>
    <d v="2026-03-08T00:00:00"/>
    <s v="SF"/>
    <s v="PP/PE Fabric"/>
    <s v="PP UL Fabric"/>
    <x v="1"/>
    <s v="PP UL Fabric With UV"/>
    <n v="241"/>
    <n v="34000.28"/>
    <s v="PP UL Fabric With UV"/>
    <n v="0"/>
    <n v="9"/>
    <n v="3060.03"/>
    <n v="9"/>
    <n v="3060.03"/>
    <n v="0"/>
    <n v="0"/>
    <n v="0"/>
    <n v="6120.06"/>
    <n v="0"/>
    <s v="24AAACO3087C1ZT"/>
    <s v="Kgs"/>
    <n v="39269080"/>
    <s v="Rs."/>
    <n v="1"/>
    <n v="241"/>
  </r>
  <r>
    <d v="2026-03-08T00:00:00"/>
    <x v="0"/>
    <s v="R.M.P."/>
    <s v="RM 475"/>
    <s v="Purchase Withinstate - Raw Material"/>
    <s v="PIL1/D/1247."/>
    <d v="2026-02-08T00:00:00"/>
    <s v="SF"/>
    <s v="PP/PE Fabric"/>
    <s v="PP UL Fabric"/>
    <x v="1"/>
    <s v="PP UL Fabric With UV"/>
    <n v="5739"/>
    <n v="798180.12"/>
    <s v="PP UL Fabric With UV"/>
    <n v="1138315.31"/>
    <n v="9"/>
    <n v="71836.210000000006"/>
    <n v="9"/>
    <n v="71836.210000000006"/>
    <n v="0"/>
    <n v="0"/>
    <n v="0"/>
    <n v="143672.42000000001"/>
    <n v="0"/>
    <s v="24AAACO3087C1ZT"/>
    <s v="Kgs"/>
    <n v="39269080"/>
    <s v="Rs."/>
    <n v="1"/>
    <n v="5739"/>
  </r>
  <r>
    <d v="2026-03-08T00:00:00"/>
    <x v="0"/>
    <s v="R.M.P."/>
    <s v="RM 475"/>
    <s v="Purchase Withinstate - Raw Material"/>
    <s v="PIL1/D/1247."/>
    <d v="2026-02-08T00:00:00"/>
    <s v="SF"/>
    <s v="PP/PE Fabric"/>
    <s v="PP Lam Fabric"/>
    <x v="3"/>
    <s v="PP Lam Fabric With UV"/>
    <n v="475"/>
    <n v="67013"/>
    <s v="PP Lam Fabric With UV"/>
    <n v="0"/>
    <n v="9"/>
    <n v="6031.17"/>
    <n v="9"/>
    <n v="6031.17"/>
    <n v="0"/>
    <n v="0"/>
    <n v="0"/>
    <n v="12062.34"/>
    <n v="0"/>
    <s v="24AAACO3087C1ZT"/>
    <s v="Kgs"/>
    <n v="63053300"/>
    <s v="Rs."/>
    <n v="1"/>
    <n v="475"/>
  </r>
  <r>
    <d v="2026-03-08T00:00:00"/>
    <x v="0"/>
    <s v="R.M.P."/>
    <s v="RM 475"/>
    <s v="Purchase Withinstate - Raw Material"/>
    <s v="PIL1/D/1247."/>
    <d v="2026-02-08T00:00:00"/>
    <s v="SF"/>
    <s v="PP/PE Fabric"/>
    <s v="PP Lam Fabric"/>
    <x v="3"/>
    <s v="PP Lam Fabric With UV"/>
    <n v="701"/>
    <n v="100299.08"/>
    <s v="PP Lam Fabric With UV"/>
    <n v="0"/>
    <n v="9"/>
    <n v="9026.92"/>
    <n v="9"/>
    <n v="9026.92"/>
    <n v="0"/>
    <n v="0"/>
    <n v="0"/>
    <n v="18053.84"/>
    <n v="0"/>
    <s v="24AAACO3087C1ZT"/>
    <s v="Kgs"/>
    <n v="63053300"/>
    <s v="Rs."/>
    <n v="1"/>
    <n v="701"/>
  </r>
  <r>
    <d v="2026-04-08T00:00:00"/>
    <x v="0"/>
    <s v="General Purchase"/>
    <s v="GNCN 326"/>
    <s v="Purchase Withinstate- Stores, Spares &amp; Consumable"/>
    <s v="PIL1/D/1271"/>
    <d v="2026-04-08T00:00:00"/>
    <s v="Stores/Spares"/>
    <s v="MS Structure Items"/>
    <s v="Spares &amp; Stores"/>
    <x v="0"/>
    <s v="MS Pipe 4  C Class"/>
    <n v="310"/>
    <n v="14880"/>
    <s v="MS Pipe 4  C Class"/>
    <n v="17543.52"/>
    <n v="9"/>
    <n v="1339.2"/>
    <n v="9"/>
    <n v="1339.2"/>
    <n v="0"/>
    <n v="0"/>
    <n v="0"/>
    <n v="2678.4"/>
    <n v="0"/>
    <s v="24AAACO3087C1ZT"/>
    <s v="Kgs"/>
    <n v="73063090"/>
    <s v="Rs."/>
    <n v="1"/>
    <n v="0"/>
  </r>
  <r>
    <d v="2026-04-08T00:00:00"/>
    <x v="0"/>
    <s v="R.M.P."/>
    <s v="RM 477"/>
    <s v="Purchase Withinstate - Raw Material"/>
    <s v="PIL1/D/1267"/>
    <d v="2026-04-08T00:00:00"/>
    <s v="SF"/>
    <s v="PP/PE Fabric"/>
    <s v="PP UL Fabric"/>
    <x v="1"/>
    <s v="PP UL Fabric With UV"/>
    <n v="7252"/>
    <n v="1008608.16"/>
    <s v="PP UL Fabric With UV"/>
    <n v="1323380"/>
    <n v="9"/>
    <n v="90774.73"/>
    <n v="9"/>
    <n v="90774.73"/>
    <n v="0"/>
    <n v="0"/>
    <n v="0"/>
    <n v="181549.46"/>
    <n v="0"/>
    <s v="24AAACO3087C1ZT"/>
    <s v="Kgs"/>
    <n v="39269080"/>
    <s v="Rs."/>
    <n v="1"/>
    <n v="7252"/>
  </r>
  <r>
    <d v="2026-04-08T00:00:00"/>
    <x v="0"/>
    <s v="R.M.P."/>
    <s v="RM 477"/>
    <s v="Purchase Withinstate - Raw Material"/>
    <s v="PIL1/D/1267"/>
    <d v="2026-04-08T00:00:00"/>
    <s v="SF"/>
    <s v="PP/PE Fabric"/>
    <s v="PP UL Fabric"/>
    <x v="1"/>
    <s v="PP UL Fabric With UV"/>
    <n v="807"/>
    <n v="113851.56"/>
    <s v="PP UL Fabric With UV"/>
    <n v="0"/>
    <n v="9"/>
    <n v="10246.64"/>
    <n v="9"/>
    <n v="10246.64"/>
    <n v="0"/>
    <n v="0"/>
    <n v="0"/>
    <n v="20493.28"/>
    <n v="0"/>
    <s v="24AAACO3087C1ZT"/>
    <s v="Kgs"/>
    <n v="39269080"/>
    <s v="Rs."/>
    <n v="1"/>
    <n v="807"/>
  </r>
  <r>
    <d v="2026-04-08T00:00:00"/>
    <x v="0"/>
    <s v="R.M.P."/>
    <s v="RM 479"/>
    <s v="Purchase Withinstate - Raw Material"/>
    <s v="PIL1/D/1272"/>
    <d v="2026-04-08T00:00:00"/>
    <s v="SF"/>
    <s v="Yarn All"/>
    <s v="PP Yarn"/>
    <x v="6"/>
    <s v="PP MF Yarn Twisted 3000 Black"/>
    <n v="963.7"/>
    <n v="151609.28"/>
    <s v="PP MF Yarn Twisted 3000 Black"/>
    <n v="1628233.51"/>
    <n v="2.5"/>
    <n v="3790.23"/>
    <n v="2.5"/>
    <n v="3790.23"/>
    <n v="0"/>
    <n v="0"/>
    <n v="0"/>
    <n v="7580.46"/>
    <n v="0"/>
    <s v="24AAACO3087C1ZT"/>
    <s v="Kgs"/>
    <n v="540263"/>
    <s v="Rs."/>
    <n v="1"/>
    <n v="963.7"/>
  </r>
  <r>
    <d v="2026-04-08T00:00:00"/>
    <x v="0"/>
    <s v="R.M.P."/>
    <s v="RM 479"/>
    <s v="Purchase Withinstate - Raw Material"/>
    <s v="PIL1/D/1272"/>
    <d v="2026-04-08T00:00:00"/>
    <s v="SF"/>
    <s v="PP/PE Fabric"/>
    <s v="PP Lam Fabric"/>
    <x v="3"/>
    <s v="PP Lam Fabric With UV"/>
    <n v="461"/>
    <n v="67453.52"/>
    <s v="PP Lam Fabric With UV"/>
    <n v="0"/>
    <n v="9"/>
    <n v="6070.82"/>
    <n v="9"/>
    <n v="6070.82"/>
    <n v="0"/>
    <n v="0"/>
    <n v="0"/>
    <n v="12141.64"/>
    <n v="0"/>
    <s v="24AAACO3087C1ZT"/>
    <s v="Kgs"/>
    <n v="63053300"/>
    <s v="Rs."/>
    <n v="1"/>
    <n v="461"/>
  </r>
  <r>
    <d v="2026-04-08T00:00:00"/>
    <x v="0"/>
    <s v="R.M.P."/>
    <s v="RM 479"/>
    <s v="Purchase Withinstate - Raw Material"/>
    <s v="PIL1/D/1272"/>
    <d v="2026-04-08T00:00:00"/>
    <s v="SF"/>
    <s v="PP/PE Fabric"/>
    <s v="PP Lam Fabric"/>
    <x v="3"/>
    <s v="PP Lam Fabric With UV"/>
    <n v="1685"/>
    <n v="251604.2"/>
    <s v="PP Lam Fabric With UV"/>
    <n v="0"/>
    <n v="9"/>
    <n v="22644.38"/>
    <n v="9"/>
    <n v="22644.38"/>
    <n v="0"/>
    <n v="0"/>
    <n v="0"/>
    <n v="45288.76"/>
    <n v="0"/>
    <s v="24AAACO3087C1ZT"/>
    <s v="Kgs"/>
    <n v="63053300"/>
    <s v="Rs."/>
    <n v="1"/>
    <n v="1685"/>
  </r>
  <r>
    <d v="2026-04-08T00:00:00"/>
    <x v="0"/>
    <s v="R.M.P."/>
    <s v="RM 479"/>
    <s v="Purchase Withinstate - Raw Material"/>
    <s v="PIL1/D/1272"/>
    <d v="2026-04-08T00:00:00"/>
    <s v="SF"/>
    <s v="PP/PE Fabric"/>
    <s v="PP UL Fabric"/>
    <x v="1"/>
    <s v="PP UL Fabric With UV"/>
    <n v="3912"/>
    <n v="556755.84"/>
    <s v="PP UL Fabric With UV"/>
    <n v="0"/>
    <n v="9"/>
    <n v="50108.03"/>
    <n v="9"/>
    <n v="50108.03"/>
    <n v="0"/>
    <n v="0"/>
    <n v="0"/>
    <n v="100216.06"/>
    <n v="0"/>
    <s v="24AAACO3087C1ZT"/>
    <s v="Kgs"/>
    <n v="39269080"/>
    <s v="Rs."/>
    <n v="1"/>
    <n v="3912"/>
  </r>
  <r>
    <d v="2026-04-08T00:00:00"/>
    <x v="0"/>
    <s v="R.M.P."/>
    <s v="RM 479"/>
    <s v="Purchase Withinstate - Raw Material"/>
    <s v="PIL1/D/1272"/>
    <d v="2026-04-08T00:00:00"/>
    <s v="SF"/>
    <s v="PP/PE Fabric"/>
    <s v="PP UL Fabric"/>
    <x v="1"/>
    <s v="PP UL Fabric With UV"/>
    <n v="239"/>
    <n v="34492.480000000003"/>
    <s v="PP UL Fabric With UV"/>
    <n v="0"/>
    <n v="9"/>
    <n v="3104.32"/>
    <n v="9"/>
    <n v="3104.32"/>
    <n v="0"/>
    <n v="0"/>
    <n v="0"/>
    <n v="6208.64"/>
    <n v="0"/>
    <s v="24AAACO3087C1ZT"/>
    <s v="Kgs"/>
    <n v="39269080"/>
    <s v="Rs."/>
    <n v="1"/>
    <n v="239"/>
  </r>
  <r>
    <d v="2026-04-08T00:00:00"/>
    <x v="0"/>
    <s v="R.M.P."/>
    <s v="RM 479"/>
    <s v="Purchase Withinstate - Raw Material"/>
    <s v="PIL1/D/1272"/>
    <d v="2026-04-08T00:00:00"/>
    <s v="SF"/>
    <s v="Webbing"/>
    <s v="PP Webbing"/>
    <x v="2"/>
    <s v="Webbing"/>
    <n v="1027.5"/>
    <n v="148288.79999999999"/>
    <s v="Webbing"/>
    <n v="0"/>
    <n v="9"/>
    <n v="13345.99"/>
    <n v="9"/>
    <n v="13345.99"/>
    <n v="0"/>
    <n v="0"/>
    <n v="0"/>
    <n v="26691.98"/>
    <n v="0"/>
    <s v="24AAACO3087C1ZT"/>
    <s v="Kgs"/>
    <n v="3926908"/>
    <s v="Rs."/>
    <n v="1"/>
    <n v="1027.5"/>
  </r>
  <r>
    <d v="2026-04-08T00:00:00"/>
    <x v="0"/>
    <s v="R.M.P."/>
    <s v="RM 479"/>
    <s v="Purchase Withinstate - Raw Material"/>
    <s v="PIL1/D/1272"/>
    <d v="2026-04-08T00:00:00"/>
    <s v="SF"/>
    <s v="Webbing"/>
    <s v="PP Webbing"/>
    <x v="2"/>
    <s v="Webbing"/>
    <n v="297.3"/>
    <n v="43798.239999999998"/>
    <s v="Webbing"/>
    <n v="0"/>
    <n v="9"/>
    <n v="3941.84"/>
    <n v="9"/>
    <n v="3941.84"/>
    <n v="0"/>
    <n v="0"/>
    <n v="0"/>
    <n v="7883.68"/>
    <n v="0"/>
    <s v="24AAACO3087C1ZT"/>
    <s v="Kgs"/>
    <n v="3926908"/>
    <s v="Rs."/>
    <n v="1"/>
    <n v="297.3"/>
  </r>
  <r>
    <d v="2026-04-08T00:00:00"/>
    <x v="0"/>
    <s v="R.M.P."/>
    <s v="RM 479"/>
    <s v="Purchase Withinstate - Raw Material"/>
    <s v="PIL1/D/1272"/>
    <d v="2026-04-08T00:00:00"/>
    <s v="SF"/>
    <s v="Yarn All"/>
    <s v="PP Yarn"/>
    <x v="6"/>
    <s v="PP MF Yarn Twisted 3000 Denier UV NW"/>
    <n v="1046.9000000000001"/>
    <n v="161557.60999999999"/>
    <s v="PP MF Yarn Twisted 3000 Denier UV NW"/>
    <n v="0"/>
    <n v="2.5"/>
    <n v="4038.94"/>
    <n v="2.5"/>
    <n v="4038.94"/>
    <n v="0"/>
    <n v="0"/>
    <n v="0"/>
    <n v="8077.88"/>
    <n v="0"/>
    <s v="24AAACO3087C1ZT"/>
    <s v="Kgs"/>
    <n v="540263"/>
    <s v="Rs."/>
    <n v="1"/>
    <n v="1046.9000000000001"/>
  </r>
  <r>
    <d v="2026-04-08T00:00:00"/>
    <x v="2"/>
    <s v="General Purchase"/>
    <s v="GNCN 325"/>
    <s v="Purchase Withinstate- Stores, Spares &amp; Consumable"/>
    <s v="PIL/D/447"/>
    <d v="2026-04-08T00:00:00"/>
    <s v="Stores/Spares"/>
    <s v="MS Structure Items"/>
    <s v="Spares &amp; Stores"/>
    <x v="0"/>
    <s v="MS Pipe 4  C Class"/>
    <n v="5"/>
    <n v="240"/>
    <s v="MS Pipe 4  C Class"/>
    <n v="282.95999999999998"/>
    <n v="9"/>
    <n v="21.6"/>
    <n v="9"/>
    <n v="21.6"/>
    <n v="0"/>
    <n v="0"/>
    <n v="0"/>
    <n v="43.2"/>
    <n v="0"/>
    <s v="24AAFCP2956A1ZR"/>
    <s v="Kgs"/>
    <n v="73063090"/>
    <s v="Rs."/>
    <n v="1"/>
    <n v="0"/>
  </r>
  <r>
    <d v="2026-04-08T00:00:00"/>
    <x v="2"/>
    <s v="R.M.P."/>
    <s v="RM 476"/>
    <s v="Purchase Withinstate - Raw Material"/>
    <s v="PPL/D/448"/>
    <d v="2026-04-08T00:00:00"/>
    <s v="FG"/>
    <s v="FIBC WIP"/>
    <s v="FIBC WIP"/>
    <x v="7"/>
    <s v="PP Woven Fabric"/>
    <n v="701"/>
    <n v="93639.58"/>
    <s v="FIBC WIP"/>
    <n v="192510.9"/>
    <n v="9"/>
    <n v="8427.56"/>
    <n v="9"/>
    <n v="8427.56"/>
    <n v="0"/>
    <n v="0"/>
    <n v="0"/>
    <n v="16855.12"/>
    <n v="0"/>
    <s v="24AAFCP2956A1ZR"/>
    <s v="Kgs"/>
    <n v="39269080"/>
    <s v="Rs."/>
    <n v="1"/>
    <n v="6"/>
  </r>
  <r>
    <d v="2026-04-08T00:00:00"/>
    <x v="2"/>
    <s v="R.M.P."/>
    <s v="RM 476"/>
    <s v="Purchase Withinstate - Raw Material"/>
    <s v="PPL/D/448"/>
    <d v="2026-04-08T00:00:00"/>
    <s v="SF"/>
    <s v="Liners"/>
    <s v="LDPE/LLDPE Bags"/>
    <x v="0"/>
    <s v="PE Labels (Pcs)"/>
    <n v="1600"/>
    <n v="1620.8"/>
    <s v="PE Labels (Pcs)"/>
    <n v="0"/>
    <n v="9"/>
    <n v="145.87"/>
    <n v="9"/>
    <n v="145.87"/>
    <n v="0"/>
    <n v="0"/>
    <n v="0"/>
    <n v="291.74"/>
    <n v="0"/>
    <s v="24AAFCP2956A1ZR"/>
    <s v="Pcs"/>
    <n v="392300"/>
    <s v="Rs."/>
    <n v="1"/>
    <n v="1600"/>
  </r>
  <r>
    <d v="2026-04-08T00:00:00"/>
    <x v="2"/>
    <s v="R.M.P."/>
    <s v="RM 476"/>
    <s v="Purchase Withinstate - Raw Material"/>
    <s v="PPL/D/448"/>
    <d v="2026-04-08T00:00:00"/>
    <s v="SF"/>
    <s v="PP/PE Fabric"/>
    <s v="PP Lam Fabric"/>
    <x v="3"/>
    <s v="PP Lam Fabric With UV"/>
    <n v="240"/>
    <n v="33019.199999999997"/>
    <s v="PP Lam Fabric With UV"/>
    <n v="0"/>
    <n v="9"/>
    <n v="2971.73"/>
    <n v="9"/>
    <n v="2971.73"/>
    <n v="0"/>
    <n v="0"/>
    <n v="0"/>
    <n v="5943.46"/>
    <n v="0"/>
    <s v="24AAFCP2956A1ZR"/>
    <s v="Kgs"/>
    <n v="63053300"/>
    <s v="Rs."/>
    <n v="1"/>
    <n v="240"/>
  </r>
  <r>
    <d v="2026-04-08T00:00:00"/>
    <x v="2"/>
    <s v="R.M.P."/>
    <s v="RM 476"/>
    <s v="Purchase Withinstate - Raw Material"/>
    <s v="PPL/D/448"/>
    <d v="2026-04-08T00:00:00"/>
    <s v="SF"/>
    <s v="PP/PE Fabric"/>
    <s v="PP Lam Fabric"/>
    <x v="3"/>
    <s v="PP Lam Fabric With UV"/>
    <n v="249"/>
    <n v="35004.42"/>
    <s v="PP Lam Fabric With UV"/>
    <n v="0"/>
    <n v="9"/>
    <n v="3150.4"/>
    <n v="9"/>
    <n v="3150.4"/>
    <n v="0"/>
    <n v="0"/>
    <n v="0"/>
    <n v="6300.8"/>
    <n v="0"/>
    <s v="24AAFCP2956A1ZR"/>
    <s v="Kgs"/>
    <n v="63053300"/>
    <s v="Rs."/>
    <n v="1"/>
    <n v="249"/>
  </r>
  <r>
    <d v="2026-05-08T00:00:00"/>
    <x v="0"/>
    <s v="General Purchase"/>
    <s v="GNCN 327"/>
    <s v="Purchase Withinstate- Stores, Spares &amp; Consumable"/>
    <s v="PIL1/D/1279"/>
    <d v="2026-05-08T00:00:00"/>
    <s v="Stores/Spares"/>
    <s v="MS Structure Items"/>
    <s v="Spares &amp; Stores"/>
    <x v="0"/>
    <s v="MS Pipe 4  C Class"/>
    <n v="302"/>
    <n v="14496"/>
    <s v="MS Pipe 4  C Class"/>
    <n v="17090.75"/>
    <n v="9"/>
    <n v="1304.6400000000001"/>
    <n v="9"/>
    <n v="1304.6400000000001"/>
    <n v="0"/>
    <n v="0"/>
    <n v="0"/>
    <n v="2609.2800000000002"/>
    <n v="0"/>
    <s v="24AAACO3087C1ZT"/>
    <s v="Kgs"/>
    <n v="73063090"/>
    <s v="Rs."/>
    <n v="1"/>
    <n v="0"/>
  </r>
  <r>
    <d v="2026-05-08T00:00:00"/>
    <x v="0"/>
    <s v="R.M.P."/>
    <s v="RM 481"/>
    <s v="Purchase Withinstate - Traded Goods"/>
    <s v="PIL1/D/1276"/>
    <d v="2026-05-08T00:00:00"/>
    <s v="FG"/>
    <s v="FIBC Bags"/>
    <s v="FIBC Bags"/>
    <x v="5"/>
    <s v="FIBC Bags With UV Without Liner"/>
    <n v="727"/>
    <n v="140899.87"/>
    <s v="FIBC Bags With UV Without Liner"/>
    <n v="1878624.6"/>
    <n v="9"/>
    <n v="12680.99"/>
    <n v="9"/>
    <n v="12680.99"/>
    <n v="0"/>
    <n v="0"/>
    <n v="0"/>
    <n v="25361.98"/>
    <n v="0"/>
    <s v="24AAACO3087C1ZT"/>
    <s v="Kgs"/>
    <n v="63053200"/>
    <s v="Rs."/>
    <n v="1"/>
    <n v="727"/>
  </r>
  <r>
    <d v="2026-05-08T00:00:00"/>
    <x v="0"/>
    <s v="R.M.P."/>
    <s v="RM 481"/>
    <s v="Purchase Withinstate - Traded Goods"/>
    <s v="PIL1/D/1276"/>
    <d v="2026-05-08T00:00:00"/>
    <s v="FG"/>
    <s v="FIBC Bags"/>
    <s v="FIBC Bags"/>
    <x v="5"/>
    <s v="FIBC Bags With UV Without Liner"/>
    <n v="3083"/>
    <n v="699902.66"/>
    <s v="FIBC Bags With UV Without Liner"/>
    <n v="0"/>
    <n v="9"/>
    <n v="62991.24"/>
    <n v="9"/>
    <n v="62991.24"/>
    <n v="0"/>
    <n v="0"/>
    <n v="0"/>
    <n v="125982.48"/>
    <n v="0"/>
    <s v="24AAACO3087C1ZT"/>
    <s v="Kgs"/>
    <n v="63053200"/>
    <s v="Rs."/>
    <n v="1"/>
    <n v="3083"/>
  </r>
  <r>
    <d v="2026-05-08T00:00:00"/>
    <x v="0"/>
    <s v="R.M.P."/>
    <s v="RM 481"/>
    <s v="Purchase Withinstate - Traded Goods"/>
    <s v="PIL1/D/1276"/>
    <d v="2026-05-08T00:00:00"/>
    <s v="FG"/>
    <s v="FIBC Bags"/>
    <s v="FIBC Bags"/>
    <x v="5"/>
    <s v="FIBC Bags With UV Without Liner"/>
    <n v="2148"/>
    <n v="384857.16"/>
    <s v="FIBC Bags With UV Without Liner"/>
    <n v="0"/>
    <n v="9"/>
    <n v="34637.14"/>
    <n v="9"/>
    <n v="34637.14"/>
    <n v="0"/>
    <n v="0"/>
    <n v="0"/>
    <n v="69274.28"/>
    <n v="0"/>
    <s v="24AAACO3087C1ZT"/>
    <s v="Kgs"/>
    <n v="63053200"/>
    <s v="Rs."/>
    <n v="1"/>
    <n v="2148"/>
  </r>
  <r>
    <d v="2026-05-08T00:00:00"/>
    <x v="0"/>
    <s v="R.M.P."/>
    <s v="RM 481"/>
    <s v="Purchase Withinstate - Traded Goods"/>
    <s v="PIL1/D/1276"/>
    <d v="2026-05-08T00:00:00"/>
    <s v="FG"/>
    <s v="FIBC Bags"/>
    <s v="FIBC Bags"/>
    <x v="5"/>
    <s v="FIBC Bags With UV Without Liner"/>
    <n v="1845"/>
    <n v="367745.4"/>
    <s v="FIBC Bags With UV Without Liner"/>
    <n v="0"/>
    <n v="9"/>
    <n v="33097.089999999997"/>
    <n v="9"/>
    <n v="33097.089999999997"/>
    <n v="0"/>
    <n v="0"/>
    <n v="0"/>
    <n v="66194.179999999993"/>
    <n v="0"/>
    <s v="24AAACO3087C1ZT"/>
    <s v="Kgs"/>
    <n v="63053200"/>
    <s v="Rs."/>
    <n v="1"/>
    <n v="1845"/>
  </r>
  <r>
    <d v="2026-05-08T00:00:00"/>
    <x v="0"/>
    <s v="R.M.P."/>
    <s v="RM 482"/>
    <s v="Purchase Withinstate - Raw Material"/>
    <s v="PIL1/D/1278"/>
    <d v="2026-05-08T00:00:00"/>
    <s v="SF"/>
    <s v="Webbing"/>
    <s v="PP Webbing"/>
    <x v="2"/>
    <s v="Webbing"/>
    <n v="1780"/>
    <n v="262229.59999999998"/>
    <s v="Webbing"/>
    <n v="512144.54"/>
    <n v="9"/>
    <n v="23600.66"/>
    <n v="9"/>
    <n v="23600.66"/>
    <n v="0"/>
    <n v="0"/>
    <n v="0"/>
    <n v="47201.32"/>
    <n v="0"/>
    <s v="24AAACO3087C1ZT"/>
    <s v="Kgs"/>
    <n v="3926908"/>
    <s v="Rs."/>
    <n v="1"/>
    <n v="1780"/>
  </r>
  <r>
    <d v="2026-05-08T00:00:00"/>
    <x v="0"/>
    <s v="R.M.P."/>
    <s v="RM 482"/>
    <s v="Purchase Withinstate - Raw Material"/>
    <s v="PIL1/D/1278"/>
    <d v="2026-05-08T00:00:00"/>
    <s v="SF"/>
    <s v="Webbing"/>
    <s v="PP Webbing"/>
    <x v="2"/>
    <s v="Webbing"/>
    <n v="1192.9000000000001"/>
    <n v="172159.33"/>
    <s v="Webbing"/>
    <n v="0"/>
    <n v="9"/>
    <n v="15494.34"/>
    <n v="9"/>
    <n v="15494.34"/>
    <n v="0"/>
    <n v="0"/>
    <n v="0"/>
    <n v="30988.68"/>
    <n v="0"/>
    <s v="24AAACO3087C1ZT"/>
    <s v="Kgs"/>
    <n v="3926908"/>
    <s v="Rs."/>
    <n v="1"/>
    <n v="1192.9000000000001"/>
  </r>
  <r>
    <d v="2026-05-08T00:00:00"/>
    <x v="0"/>
    <s v="R.M.P."/>
    <s v="RM 483"/>
    <s v="Purchase Withinstate - Raw Material"/>
    <s v="PIL1/D/1275"/>
    <d v="2026-05-08T00:00:00"/>
    <s v="SF"/>
    <s v="PP/PE Fabric"/>
    <s v="PP UL Fabric"/>
    <x v="1"/>
    <s v="PP UL Fabric With UV"/>
    <n v="1025"/>
    <n v="144607"/>
    <s v="PP UL Fabric With UV"/>
    <n v="1165493.8999999999"/>
    <n v="9"/>
    <n v="13014.63"/>
    <n v="9"/>
    <n v="13014.63"/>
    <n v="0"/>
    <n v="0"/>
    <n v="0"/>
    <n v="26029.26"/>
    <n v="0"/>
    <s v="24AAACO3087C1ZT"/>
    <s v="Kgs"/>
    <n v="39269080"/>
    <s v="Rs."/>
    <n v="1"/>
    <n v="1025"/>
  </r>
  <r>
    <d v="2026-05-08T00:00:00"/>
    <x v="0"/>
    <s v="R.M.P."/>
    <s v="RM 483"/>
    <s v="Purchase Withinstate - Raw Material"/>
    <s v="PIL1/D/1275"/>
    <d v="2026-05-08T00:00:00"/>
    <s v="SF"/>
    <s v="PP/PE Fabric"/>
    <s v="PP UL Fabric"/>
    <x v="1"/>
    <s v="PP UL Fabric With UV"/>
    <n v="6068"/>
    <n v="843937.44"/>
    <s v="PP UL Fabric With UV"/>
    <n v="0"/>
    <n v="9"/>
    <n v="75954.37"/>
    <n v="9"/>
    <n v="75954.37"/>
    <n v="0"/>
    <n v="0"/>
    <n v="0"/>
    <n v="151908.74"/>
    <n v="0"/>
    <s v="24AAACO3087C1ZT"/>
    <s v="Kgs"/>
    <n v="39269080"/>
    <s v="Rs."/>
    <n v="1"/>
    <n v="6068"/>
  </r>
  <r>
    <d v="2026-05-08T00:00:00"/>
    <x v="0"/>
    <s v="R.M.P."/>
    <s v="RM 484"/>
    <s v="Purchase Withinstate - Raw Material"/>
    <s v="PIL1/D/1277"/>
    <d v="2026-05-08T00:00:00"/>
    <s v="SF"/>
    <s v="PP/PE Fabric"/>
    <s v="PP Lam Fabric"/>
    <x v="3"/>
    <s v="PP Lam Fabric With UV"/>
    <n v="943"/>
    <n v="137753.44"/>
    <s v="PP Lam Fabric With UV"/>
    <n v="162411.31"/>
    <n v="9"/>
    <n v="12397.81"/>
    <n v="9"/>
    <n v="12397.81"/>
    <n v="0"/>
    <n v="0"/>
    <n v="0"/>
    <n v="24795.62"/>
    <n v="0"/>
    <s v="24AAACO3087C1ZT"/>
    <s v="Kgs"/>
    <n v="63053300"/>
    <s v="Rs."/>
    <n v="1"/>
    <n v="943"/>
  </r>
  <r>
    <d v="2026-05-08T00:00:00"/>
    <x v="0"/>
    <s v="R.M.P."/>
    <s v="RM 485"/>
    <s v="Purchase Withinstate - Raw Material"/>
    <s v="PIL1/D/1280"/>
    <d v="2026-05-08T00:00:00"/>
    <s v="SF"/>
    <s v="PP/PE Fabric"/>
    <s v="PP Lam Fabric"/>
    <x v="3"/>
    <s v="PP Lam Fabric With UV"/>
    <n v="451"/>
    <n v="65088.32"/>
    <s v="PP Lam Fabric With UV"/>
    <n v="1232809.72"/>
    <n v="9"/>
    <n v="5857.95"/>
    <n v="9"/>
    <n v="5857.95"/>
    <n v="0"/>
    <n v="0"/>
    <n v="0"/>
    <n v="11715.9"/>
    <n v="0"/>
    <s v="24AAACO3087C1ZT"/>
    <s v="Kgs"/>
    <n v="63053300"/>
    <s v="Rs."/>
    <n v="1"/>
    <n v="451"/>
  </r>
  <r>
    <d v="2026-05-08T00:00:00"/>
    <x v="0"/>
    <s v="R.M.P."/>
    <s v="RM 485"/>
    <s v="Purchase Withinstate - Raw Material"/>
    <s v="PIL1/D/1280"/>
    <d v="2026-05-08T00:00:00"/>
    <s v="SF"/>
    <s v="PP/PE Fabric"/>
    <s v="PP UL Fabric"/>
    <x v="1"/>
    <s v="PP UL Fabric With UV"/>
    <n v="420"/>
    <n v="60614.400000000001"/>
    <s v="PP UL Fabric With UV"/>
    <n v="0"/>
    <n v="9"/>
    <n v="5455.3"/>
    <n v="9"/>
    <n v="5455.3"/>
    <n v="0"/>
    <n v="0"/>
    <n v="0"/>
    <n v="10910.6"/>
    <n v="0"/>
    <s v="24AAACO3087C1ZT"/>
    <s v="Kgs"/>
    <n v="39269080"/>
    <s v="Rs."/>
    <n v="1"/>
    <n v="420"/>
  </r>
  <r>
    <d v="2026-05-08T00:00:00"/>
    <x v="0"/>
    <s v="R.M.P."/>
    <s v="RM 485"/>
    <s v="Purchase Withinstate - Raw Material"/>
    <s v="PIL1/D/1280"/>
    <d v="2026-05-08T00:00:00"/>
    <s v="SF"/>
    <s v="PP/PE Fabric"/>
    <s v="PP UL Fabric"/>
    <x v="1"/>
    <s v="PP UL Fabric With UV"/>
    <n v="3295"/>
    <n v="468944.4"/>
    <s v="PP UL Fabric With UV"/>
    <n v="0"/>
    <n v="9"/>
    <n v="42205"/>
    <n v="9"/>
    <n v="42205"/>
    <n v="0"/>
    <n v="0"/>
    <n v="0"/>
    <n v="84410"/>
    <n v="0"/>
    <s v="24AAACO3087C1ZT"/>
    <s v="Kgs"/>
    <n v="39269080"/>
    <s v="Rs."/>
    <n v="1"/>
    <n v="3295"/>
  </r>
  <r>
    <d v="2026-05-08T00:00:00"/>
    <x v="0"/>
    <s v="R.M.P."/>
    <s v="RM 485"/>
    <s v="Purchase Withinstate - Raw Material"/>
    <s v="PIL1/D/1280"/>
    <d v="2026-05-08T00:00:00"/>
    <s v="RM Consumables"/>
    <s v="FIBC Accessories"/>
    <s v="FIBC Accessories"/>
    <x v="0"/>
    <s v="Zip Lock Bags"/>
    <n v="9400"/>
    <n v="29358.080000000002"/>
    <s v="Zip Lock Bags"/>
    <n v="0"/>
    <n v="9"/>
    <n v="2642.23"/>
    <n v="9"/>
    <n v="2642.23"/>
    <n v="0"/>
    <n v="0"/>
    <n v="0"/>
    <n v="5284.46"/>
    <n v="0"/>
    <s v="24AAACO3087C1ZT"/>
    <s v="Pcs"/>
    <n v="39232100"/>
    <s v="Rs."/>
    <n v="1"/>
    <n v="9400"/>
  </r>
  <r>
    <d v="2026-05-08T00:00:00"/>
    <x v="0"/>
    <s v="R.M.P."/>
    <s v="RM 485"/>
    <s v="Purchase Withinstate - Raw Material"/>
    <s v="PIL1/D/1280"/>
    <d v="2026-05-08T00:00:00"/>
    <s v="SF"/>
    <s v="Liners"/>
    <s v="LDPE/LLDPE Bags"/>
    <x v="4"/>
    <s v="LDPE/LLDPE Bags/Liner"/>
    <n v="2384"/>
    <n v="421634.24"/>
    <s v="LDPE/LLDPE Bags/Liner"/>
    <n v="0"/>
    <n v="9"/>
    <n v="37947.08"/>
    <n v="9"/>
    <n v="37947.08"/>
    <n v="0"/>
    <n v="0"/>
    <n v="0"/>
    <n v="75894.16"/>
    <n v="0"/>
    <s v="24AAACO3087C1ZT"/>
    <s v="Kgs"/>
    <n v="39200000"/>
    <s v="Rs."/>
    <n v="1"/>
    <n v="2384"/>
  </r>
  <r>
    <d v="2026-05-08T00:00:00"/>
    <x v="2"/>
    <s v="R.M.P."/>
    <s v="RM 480"/>
    <s v="Purchase Withinstate - Traded Goods"/>
    <s v="PPL/D/449"/>
    <d v="2026-05-08T00:00:00"/>
    <s v="FG"/>
    <s v="FIBC Bags"/>
    <s v="FIBC Bags"/>
    <x v="5"/>
    <s v="FIBC Bags With UV Without Liner"/>
    <n v="2226"/>
    <n v="464989.14"/>
    <s v="FIBC Bags With UV Without Liner"/>
    <n v="1205479.2"/>
    <n v="9"/>
    <n v="41849.019999999997"/>
    <n v="9"/>
    <n v="41849.019999999997"/>
    <n v="0"/>
    <n v="0"/>
    <n v="0"/>
    <n v="83698.039999999994"/>
    <n v="0"/>
    <s v="24AAFCP2956A1ZR"/>
    <s v="Kgs"/>
    <n v="63053200"/>
    <s v="Rs."/>
    <n v="1"/>
    <n v="2226"/>
  </r>
  <r>
    <d v="2026-05-08T00:00:00"/>
    <x v="2"/>
    <s v="R.M.P."/>
    <s v="RM 480"/>
    <s v="Purchase Withinstate - Traded Goods"/>
    <s v="PPL/D/449"/>
    <d v="2026-05-08T00:00:00"/>
    <s v="FG"/>
    <s v="FIBC Bags"/>
    <s v="FIBC Bags"/>
    <x v="5"/>
    <s v="FIBC Bags With UV Without Liner"/>
    <n v="2697"/>
    <n v="557469.9"/>
    <s v="FIBC Bags With UV Without Liner"/>
    <n v="0"/>
    <n v="9"/>
    <n v="50172.29"/>
    <n v="9"/>
    <n v="50172.29"/>
    <n v="0"/>
    <n v="0"/>
    <n v="0"/>
    <n v="100344.58"/>
    <n v="0"/>
    <s v="24AAFCP2956A1ZR"/>
    <s v="Kgs"/>
    <n v="63053200"/>
    <s v="Rs."/>
    <n v="1"/>
    <n v="2697"/>
  </r>
  <r>
    <d v="2026-06-08T00:00:00"/>
    <x v="3"/>
    <s v="General Purchase"/>
    <s v="GNSP 141"/>
    <s v="Purchase Withinstate- Stores, Spares &amp; Consumable"/>
    <s v="GST/26-27/3763"/>
    <s v="28-07-2026"/>
    <s v="Stores/Spares"/>
    <s v="Stitching Spares"/>
    <s v="Spares &amp; Stores"/>
    <x v="0"/>
    <s v="Feed Dog # 502J122"/>
    <n v="30"/>
    <n v="7740"/>
    <s v="Feed Dog # 502J122"/>
    <n v="8222"/>
    <n v="2.5"/>
    <n v="193.5"/>
    <n v="2.5"/>
    <n v="193.5"/>
    <n v="0"/>
    <n v="0"/>
    <n v="4.5"/>
    <n v="391.5"/>
    <n v="0"/>
    <s v="24ABAFA4683N1Z8"/>
    <s v="Pcs"/>
    <n v="84529099"/>
    <s v="Rs."/>
    <n v="1"/>
    <n v="0"/>
  </r>
  <r>
    <d v="2026-06-08T00:00:00"/>
    <x v="4"/>
    <s v="Purchase"/>
    <s v="GNPK 78"/>
    <s v="Purchase Withinstate- Packing Material"/>
    <s v="GST/1049/26-27"/>
    <d v="2026-03-08T00:00:00"/>
    <s v="Packing Material"/>
    <s v="Packaging Material"/>
    <s v="Packing Material"/>
    <x v="8"/>
    <s v="Straping 15.5mm (P) Thickness 0.76mm(For Bale Packing)"/>
    <n v="500"/>
    <n v="37500"/>
    <s v="Straping 15.5mm (P) Thickness 0.76mm(For Bale Packing)"/>
    <n v="47200"/>
    <n v="9"/>
    <n v="3375"/>
    <n v="9"/>
    <n v="3375"/>
    <n v="0"/>
    <n v="0"/>
    <n v="450"/>
    <n v="7200"/>
    <n v="0"/>
    <s v="24CGYPP7498D1ZI"/>
    <s v="Kgs"/>
    <n v="39206220"/>
    <s v="Rs."/>
    <n v="1"/>
    <n v="0"/>
  </r>
  <r>
    <d v="2026-06-08T00:00:00"/>
    <x v="5"/>
    <s v="General Purchase"/>
    <s v="GNPK 77"/>
    <s v="Purchase Withinstate- Packing Material"/>
    <s v="BI/26-27/076"/>
    <d v="2026-05-08T00:00:00"/>
    <s v="Packing Material"/>
    <s v="Pallets"/>
    <s v="Pallets"/>
    <x v="8"/>
    <s v="Pine Wooden Pallet Design Code QP90110"/>
    <n v="50"/>
    <n v="35000"/>
    <s v="Pine Wooden Pallet Design Code QP90110"/>
    <n v="240188"/>
    <n v="2.5"/>
    <n v="875"/>
    <n v="2.5"/>
    <n v="875"/>
    <n v="0"/>
    <n v="0"/>
    <n v="0"/>
    <n v="1750"/>
    <n v="0"/>
    <s v="24AXVPT0296P1ZD"/>
    <s v="Pcs"/>
    <n v="44152000"/>
    <s v="Rs."/>
    <n v="1"/>
    <n v="0"/>
  </r>
  <r>
    <d v="2026-06-08T00:00:00"/>
    <x v="5"/>
    <s v="General Purchase"/>
    <s v="GNPK 77"/>
    <s v="Purchase Withinstate- Packing Material"/>
    <s v="BI/26-27/076"/>
    <d v="2026-05-08T00:00:00"/>
    <s v="Packing Material"/>
    <s v="Pallets"/>
    <s v="Pallets"/>
    <x v="8"/>
    <s v="Pine Wooden Pallet Design Code STD90110"/>
    <n v="250"/>
    <n v="193750"/>
    <s v="Pine Wooden Pallet Design Code STD90110"/>
    <n v="0"/>
    <n v="2.5"/>
    <n v="4843.75"/>
    <n v="2.5"/>
    <n v="4843.75"/>
    <n v="0"/>
    <n v="0"/>
    <n v="0"/>
    <n v="9687.5"/>
    <n v="0"/>
    <s v="24AXVPT0296P1ZD"/>
    <s v="Pcs"/>
    <n v="44152000"/>
    <s v="Rs."/>
    <n v="1"/>
    <n v="0"/>
  </r>
  <r>
    <d v="2026-06-08T00:00:00"/>
    <x v="6"/>
    <s v="General Purchase"/>
    <s v="GNSP 140"/>
    <s v="Purchase Withinstate- Stores, Spares &amp; Consumable"/>
    <n v="720"/>
    <s v="29-07-2026"/>
    <s v="Stores/Spares"/>
    <s v="Heaters"/>
    <s v="Spares &amp; Stores"/>
    <x v="0"/>
    <s v="Pencil Heater Dia 14mm X L 1520mm 5000W, 230V Ac"/>
    <n v="2"/>
    <n v="7780"/>
    <s v="Pencil Heater Dia 14mm X L 1520mm 5000W, 230V Ac"/>
    <n v="9251"/>
    <n v="9"/>
    <n v="700.2"/>
    <n v="9"/>
    <n v="700.2"/>
    <n v="0"/>
    <n v="0"/>
    <n v="10.8"/>
    <n v="1411.2"/>
    <n v="0"/>
    <s v="24AORPP9166R1ZO"/>
    <s v="Pcs"/>
    <n v="851680"/>
    <s v="Rs."/>
    <n v="1"/>
    <n v="0"/>
  </r>
  <r>
    <d v="2026-06-08T00:00:00"/>
    <x v="7"/>
    <s v="General Purchase"/>
    <s v="GNCN 328"/>
    <s v="Purchase Withinstate- Stores, Spares &amp; Consumable"/>
    <s v="HE/26-27/087"/>
    <s v="30-07-2026"/>
    <s v="Capex"/>
    <s v="Building Material"/>
    <s v="Spares &amp; Stores"/>
    <x v="0"/>
    <s v="Frp Sheet White 3 Ft. X 8 Ft."/>
    <n v="17"/>
    <n v="34680"/>
    <s v="Frp Sheet White 3 Ft. X 8 Ft."/>
    <n v="40922"/>
    <n v="9"/>
    <n v="3121.2"/>
    <n v="9"/>
    <n v="3121.2"/>
    <n v="0"/>
    <n v="0"/>
    <n v="0"/>
    <n v="6242.4"/>
    <n v="0"/>
    <s v="24BNAPK0816L1Z8"/>
    <s v="Pcs"/>
    <n v="392690"/>
    <s v="Rs."/>
    <n v="1"/>
    <n v="0"/>
  </r>
  <r>
    <d v="2026-06-08T00:00:00"/>
    <x v="8"/>
    <s v="General Purchase"/>
    <s v="GNMS 16"/>
    <s v="Purchase Withinstate- Stores, Spares &amp; Consumable"/>
    <s v="214/26-27"/>
    <s v="31-07-2026"/>
    <s v="Printing &amp; Stationery"/>
    <s v="Stationery Items"/>
    <s v="Spares &amp; Stores"/>
    <x v="0"/>
    <s v="Permanent Marker Ink 500mls"/>
    <n v="1"/>
    <n v="320"/>
    <s v="Permanent Marker Ink 500mls"/>
    <n v="1133"/>
    <n v="9"/>
    <n v="28.8"/>
    <n v="9"/>
    <n v="28.8"/>
    <n v="0"/>
    <n v="0"/>
    <n v="0"/>
    <n v="57.6"/>
    <n v="0"/>
    <s v="24ATEPM7376E1ZL"/>
    <s v="Pcs"/>
    <n v="32151110"/>
    <s v="Rs."/>
    <n v="1"/>
    <n v="0"/>
  </r>
  <r>
    <d v="2026-06-08T00:00:00"/>
    <x v="8"/>
    <s v="General Purchase"/>
    <s v="GNMS 16"/>
    <s v="Purchase Withinstate- Stores, Spares &amp; Consumable"/>
    <s v="214/26-27"/>
    <s v="31-07-2026"/>
    <s v="Printing &amp; Stationery"/>
    <s v="Stationery Items"/>
    <s v="Spares &amp; Stores"/>
    <x v="0"/>
    <s v="Permanent Marker Ink 500mls"/>
    <n v="1"/>
    <n v="320"/>
    <s v="Permanent Marker Ink 500mls"/>
    <n v="0"/>
    <n v="9"/>
    <n v="28.8"/>
    <n v="9"/>
    <n v="28.8"/>
    <n v="0"/>
    <n v="0"/>
    <n v="0"/>
    <n v="57.6"/>
    <n v="0"/>
    <s v="24ATEPM7376E1ZL"/>
    <s v="Pcs"/>
    <n v="32151110"/>
    <s v="Rs."/>
    <n v="1"/>
    <n v="0"/>
  </r>
  <r>
    <d v="2026-06-08T00:00:00"/>
    <x v="8"/>
    <s v="General Purchase"/>
    <s v="GNMS 16"/>
    <s v="Purchase Withinstate- Stores, Spares &amp; Consumable"/>
    <s v="214/26-27"/>
    <s v="31-07-2026"/>
    <s v="Printing &amp; Stationery"/>
    <s v="Stationery Items"/>
    <s v="Spares &amp; Stores"/>
    <x v="0"/>
    <s v="Permanent Marker Ink 500mls"/>
    <n v="1"/>
    <n v="320"/>
    <s v="Permanent Marker Ink 500mls"/>
    <n v="0"/>
    <n v="9"/>
    <n v="28.8"/>
    <n v="9"/>
    <n v="28.8"/>
    <n v="0"/>
    <n v="0"/>
    <n v="0"/>
    <n v="57.6"/>
    <n v="0"/>
    <s v="24ATEPM7376E1ZL"/>
    <s v="Pcs"/>
    <n v="32151110"/>
    <s v="Rs."/>
    <n v="1"/>
    <n v="0"/>
  </r>
  <r>
    <d v="2026-06-08T00:00:00"/>
    <x v="0"/>
    <s v="General Purchase"/>
    <s v="GNCN 329"/>
    <s v="Purchase Withinstate- Stores, Spares &amp; Consumable"/>
    <s v="PIL1/D/1292"/>
    <d v="2026-06-08T00:00:00"/>
    <s v="Stores/Spares"/>
    <s v="MS Structure Items"/>
    <s v="Spares &amp; Stores"/>
    <x v="0"/>
    <s v="MS Pipe 4  C Class"/>
    <n v="411"/>
    <n v="19728"/>
    <s v="MS Pipe 4  C Class"/>
    <n v="23259.31"/>
    <n v="9"/>
    <n v="1775.52"/>
    <n v="9"/>
    <n v="1775.52"/>
    <n v="0"/>
    <n v="0"/>
    <n v="0"/>
    <n v="3551.04"/>
    <n v="0"/>
    <s v="24AAACO3087C1ZT"/>
    <s v="Kgs"/>
    <n v="73063090"/>
    <s v="Rs."/>
    <n v="1"/>
    <n v="0"/>
  </r>
  <r>
    <d v="2026-06-08T00:00:00"/>
    <x v="0"/>
    <s v="R.M.P."/>
    <s v="RM 486"/>
    <s v="Purchase Withinstate - Traded Goods"/>
    <s v="PIL1/D/1291"/>
    <d v="2026-06-08T00:00:00"/>
    <s v="FG"/>
    <s v="FIBC Bags"/>
    <s v="FIBC Bags"/>
    <x v="5"/>
    <s v="FIBC Bags With UV Without Liner"/>
    <n v="426"/>
    <n v="79444.740000000005"/>
    <s v="FIBC Bags With UV Without Liner"/>
    <n v="2336934.73"/>
    <n v="9"/>
    <n v="7150.03"/>
    <n v="9"/>
    <n v="7150.03"/>
    <n v="0"/>
    <n v="0"/>
    <n v="0"/>
    <n v="14300.06"/>
    <n v="0"/>
    <s v="24AAACO3087C1ZT"/>
    <s v="Kgs"/>
    <n v="63053200"/>
    <s v="Rs."/>
    <n v="1"/>
    <n v="426"/>
  </r>
  <r>
    <d v="2026-06-08T00:00:00"/>
    <x v="0"/>
    <s v="R.M.P."/>
    <s v="RM 486"/>
    <s v="Purchase Withinstate - Traded Goods"/>
    <s v="PIL1/D/1291"/>
    <d v="2026-06-08T00:00:00"/>
    <s v="FG"/>
    <s v="FIBC Bags"/>
    <s v="FIBC Bags"/>
    <x v="5"/>
    <s v="FIBC Bags With UV Without Liner"/>
    <n v="10279.799999999999"/>
    <n v="1902688.18"/>
    <s v="FIBC Bags With UV Without Liner"/>
    <n v="0"/>
    <n v="9"/>
    <n v="171241.94"/>
    <n v="9"/>
    <n v="171241.94"/>
    <n v="0"/>
    <n v="0"/>
    <n v="0"/>
    <n v="342483.88"/>
    <n v="0"/>
    <s v="24AAACO3087C1ZT"/>
    <s v="Kgs"/>
    <n v="63053200"/>
    <s v="Rs."/>
    <n v="1"/>
    <n v="10279.799999999999"/>
  </r>
  <r>
    <d v="2026-06-08T00:00:00"/>
    <x v="0"/>
    <s v="R.M.P."/>
    <s v="RM 488"/>
    <s v="Purchase Withinstate - Raw Material"/>
    <s v="PIL1/D/1274"/>
    <d v="2026-04-08T00:00:00"/>
    <s v="RM Consumables"/>
    <s v="FIBC Accessories"/>
    <s v="FIBC Accessories"/>
    <x v="0"/>
    <s v="Zip Lock Bags"/>
    <n v="8400"/>
    <n v="29711.64"/>
    <s v="Zip Lock Bags"/>
    <n v="1417703.19"/>
    <n v="9"/>
    <n v="2674.05"/>
    <n v="9"/>
    <n v="2674.05"/>
    <n v="0"/>
    <n v="0"/>
    <n v="0"/>
    <n v="5348.1"/>
    <n v="0"/>
    <s v="24AAACO3087C1ZT"/>
    <s v="Pcs"/>
    <n v="39232100"/>
    <s v="Rs."/>
    <n v="1"/>
    <n v="8400"/>
  </r>
  <r>
    <d v="2026-06-08T00:00:00"/>
    <x v="0"/>
    <s v="R.M.P."/>
    <s v="RM 488"/>
    <s v="Purchase Withinstate - Raw Material"/>
    <s v="PIL1/D/1274"/>
    <d v="2026-04-08T00:00:00"/>
    <s v="SF"/>
    <s v="Liners"/>
    <s v="LDPE/LLDPE Bags"/>
    <x v="4"/>
    <s v="LDPE/LLDPE Bags/Liner"/>
    <n v="6233"/>
    <n v="1102368.3799999999"/>
    <s v="LDPE/LLDPE Bags/Liner"/>
    <n v="0"/>
    <n v="9"/>
    <n v="99213.15"/>
    <n v="9"/>
    <n v="99213.15"/>
    <n v="0"/>
    <n v="0"/>
    <n v="0"/>
    <n v="198426.3"/>
    <n v="0"/>
    <s v="24AAACO3087C1ZT"/>
    <s v="Kgs"/>
    <n v="39200000"/>
    <s v="Rs."/>
    <n v="1"/>
    <n v="6233"/>
  </r>
  <r>
    <d v="2026-06-08T00:00:00"/>
    <x v="0"/>
    <s v="R.M.P."/>
    <s v="RM 488"/>
    <s v="Purchase Withinstate - Raw Material"/>
    <s v="PIL1/D/1274"/>
    <d v="2026-04-08T00:00:00"/>
    <s v="SF"/>
    <s v="Films All (SF)"/>
    <s v="PE Film"/>
    <x v="9"/>
    <s v="LDPE/LLDPE Film"/>
    <n v="421.8"/>
    <n v="70381.55"/>
    <s v="LDPE/LLDPE Film"/>
    <n v="0"/>
    <n v="9"/>
    <n v="6334.34"/>
    <n v="9"/>
    <n v="6334.34"/>
    <n v="0"/>
    <n v="0"/>
    <n v="0"/>
    <n v="12668.68"/>
    <n v="0"/>
    <s v="24AAACO3087C1ZT"/>
    <s v="Kgs"/>
    <n v="3920101"/>
    <s v="Rs."/>
    <n v="1"/>
    <n v="421.8"/>
  </r>
  <r>
    <d v="2026-06-08T00:00:00"/>
    <x v="0"/>
    <s v="R.M.P."/>
    <s v="RM 489"/>
    <s v="Purchase Withinstate - Raw Material"/>
    <s v="PIL1/D/1293"/>
    <d v="2026-06-08T00:00:00"/>
    <s v="SF"/>
    <s v="Films All (SF)"/>
    <s v="PE Film"/>
    <x v="9"/>
    <s v="LDPE/LLDPE Film"/>
    <n v="326.10000000000002"/>
    <n v="54413.05"/>
    <s v="LDPE/LLDPE Film"/>
    <n v="1547752.62"/>
    <n v="9"/>
    <n v="4897.17"/>
    <n v="9"/>
    <n v="4897.17"/>
    <n v="0"/>
    <n v="0"/>
    <n v="0"/>
    <n v="9794.34"/>
    <n v="0"/>
    <s v="24AAACO3087C1ZT"/>
    <s v="Kgs"/>
    <n v="3920101"/>
    <s v="Rs."/>
    <n v="1"/>
    <n v="326.10000000000002"/>
  </r>
  <r>
    <d v="2026-06-08T00:00:00"/>
    <x v="0"/>
    <s v="R.M.P."/>
    <s v="RM 489"/>
    <s v="Purchase Withinstate - Raw Material"/>
    <s v="PIL1/D/1293"/>
    <d v="2026-06-08T00:00:00"/>
    <s v="SF"/>
    <s v="Liners"/>
    <s v="LDPE/LLDPE Bags"/>
    <x v="4"/>
    <s v="LDPE/LLDPE Bags/Liner"/>
    <n v="4116"/>
    <n v="727955.76"/>
    <s v="LDPE/LLDPE Bags/Liner"/>
    <n v="0"/>
    <n v="9"/>
    <n v="65516.02"/>
    <n v="9"/>
    <n v="65516.02"/>
    <n v="0"/>
    <n v="0"/>
    <n v="0"/>
    <n v="131032.04"/>
    <n v="0"/>
    <s v="24AAACO3087C1ZT"/>
    <s v="Kgs"/>
    <n v="39200000"/>
    <s v="Rs."/>
    <n v="1"/>
    <n v="4116"/>
  </r>
  <r>
    <d v="2026-06-08T00:00:00"/>
    <x v="0"/>
    <s v="R.M.P."/>
    <s v="RM 489"/>
    <s v="Purchase Withinstate - Raw Material"/>
    <s v="PIL1/D/1293"/>
    <d v="2026-06-08T00:00:00"/>
    <s v="SF"/>
    <s v="PP/PE Fabric"/>
    <s v="PP UL Fabric"/>
    <x v="1"/>
    <s v="PP UL Fabric With UV"/>
    <n v="987"/>
    <n v="140469.84"/>
    <s v="PP UL Fabric With UV"/>
    <n v="0"/>
    <n v="9"/>
    <n v="12642.29"/>
    <n v="9"/>
    <n v="12642.29"/>
    <n v="0"/>
    <n v="0"/>
    <n v="0"/>
    <n v="25284.58"/>
    <n v="0"/>
    <s v="24AAACO3087C1ZT"/>
    <s v="Kgs"/>
    <n v="39269080"/>
    <s v="Rs."/>
    <n v="1"/>
    <n v="987"/>
  </r>
  <r>
    <d v="2026-06-08T00:00:00"/>
    <x v="0"/>
    <s v="R.M.P."/>
    <s v="RM 489"/>
    <s v="Purchase Withinstate - Raw Material"/>
    <s v="PIL1/D/1293"/>
    <d v="2026-06-08T00:00:00"/>
    <s v="SF"/>
    <s v="Webbing"/>
    <s v="PP Webbing"/>
    <x v="2"/>
    <s v="Webbing"/>
    <n v="1796"/>
    <n v="264586.71999999997"/>
    <s v="Webbing"/>
    <n v="0"/>
    <n v="9"/>
    <n v="23812.799999999999"/>
    <n v="9"/>
    <n v="23812.799999999999"/>
    <n v="0"/>
    <n v="0"/>
    <n v="0"/>
    <n v="47625.599999999999"/>
    <n v="0"/>
    <s v="24AAACO3087C1ZT"/>
    <s v="Kgs"/>
    <n v="3926908"/>
    <s v="Rs."/>
    <n v="1"/>
    <n v="1796"/>
  </r>
  <r>
    <d v="2026-06-08T00:00:00"/>
    <x v="0"/>
    <s v="R.M.P."/>
    <s v="RM 489"/>
    <s v="Purchase Withinstate - Raw Material"/>
    <s v="PIL1/D/1293"/>
    <d v="2026-06-08T00:00:00"/>
    <s v="SF"/>
    <s v="Webbing"/>
    <s v="PP Webbing"/>
    <x v="2"/>
    <s v="Webbing"/>
    <n v="868.5"/>
    <n v="125341.92"/>
    <s v="Webbing"/>
    <n v="0"/>
    <n v="9"/>
    <n v="11280.77"/>
    <n v="9"/>
    <n v="11280.77"/>
    <n v="0"/>
    <n v="0"/>
    <n v="0"/>
    <n v="22561.54"/>
    <n v="0"/>
    <s v="24AAACO3087C1ZT"/>
    <s v="Kgs"/>
    <n v="3926908"/>
    <s v="Rs."/>
    <n v="1"/>
    <n v="868.5"/>
  </r>
  <r>
    <d v="2026-06-08T00:00:00"/>
    <x v="0"/>
    <s v="R.M.P."/>
    <s v="RM 490"/>
    <s v="Purchase Withinstate - Raw Material"/>
    <s v="PIL1/D/1290"/>
    <d v="2026-06-08T00:00:00"/>
    <s v="SF"/>
    <s v="PP/PE Fabric"/>
    <s v="PP UL Fabric"/>
    <x v="1"/>
    <s v="PP UL Fabric With UV"/>
    <n v="8930"/>
    <n v="1270917.6000000001"/>
    <s v="PP UL Fabric With UV"/>
    <n v="1930431.01"/>
    <n v="9"/>
    <n v="114382.58"/>
    <n v="9"/>
    <n v="114382.58"/>
    <n v="0"/>
    <n v="0"/>
    <n v="0"/>
    <n v="228765.16"/>
    <n v="0"/>
    <s v="24AAACO3087C1ZT"/>
    <s v="Kgs"/>
    <n v="39269080"/>
    <s v="Rs."/>
    <n v="1"/>
    <n v="8930"/>
  </r>
  <r>
    <d v="2026-06-08T00:00:00"/>
    <x v="0"/>
    <s v="R.M.P."/>
    <s v="RM 490"/>
    <s v="Purchase Withinstate - Raw Material"/>
    <s v="PIL1/D/1290"/>
    <d v="2026-06-08T00:00:00"/>
    <s v="SF"/>
    <s v="PP/PE Fabric"/>
    <s v="PP Lam Fabric"/>
    <x v="3"/>
    <s v="PP Lam Fabric With UV"/>
    <n v="1032"/>
    <n v="148938.23999999999"/>
    <s v="PP Lam Fabric With UV"/>
    <n v="0"/>
    <n v="9"/>
    <n v="13404.44"/>
    <n v="9"/>
    <n v="13404.44"/>
    <n v="0"/>
    <n v="0"/>
    <n v="0"/>
    <n v="26808.880000000001"/>
    <n v="0"/>
    <s v="24AAACO3087C1ZT"/>
    <s v="Kgs"/>
    <n v="63053300"/>
    <s v="Rs."/>
    <n v="1"/>
    <n v="1032"/>
  </r>
  <r>
    <d v="2026-06-08T00:00:00"/>
    <x v="0"/>
    <s v="R.M.P."/>
    <s v="RM 490"/>
    <s v="Purchase Withinstate - Raw Material"/>
    <s v="PIL1/D/1290"/>
    <d v="2026-06-08T00:00:00"/>
    <s v="SF"/>
    <s v="PP/PE Fabric"/>
    <s v="PP UL Fabric"/>
    <x v="1"/>
    <s v="PP UL Fabric With UV"/>
    <n v="1507"/>
    <n v="217490.24"/>
    <s v="PP UL Fabric With UV"/>
    <n v="0"/>
    <n v="9"/>
    <n v="19574.12"/>
    <n v="9"/>
    <n v="19574.12"/>
    <n v="0"/>
    <n v="0"/>
    <n v="0"/>
    <n v="39148.239999999998"/>
    <n v="0"/>
    <s v="24AAACO3087C1ZT"/>
    <s v="Kgs"/>
    <n v="39269080"/>
    <s v="Rs."/>
    <n v="1"/>
    <n v="1507"/>
  </r>
  <r>
    <d v="2026-06-08T00:00:00"/>
    <x v="9"/>
    <s v="R.M.P."/>
    <s v="RM 487"/>
    <s v="Purchase Withinstate - Traded Goods"/>
    <s v="PIL2/D/452"/>
    <d v="2026-05-08T00:00:00"/>
    <s v="FG"/>
    <s v="FIBC Bags"/>
    <s v="FIBC Bags"/>
    <x v="5"/>
    <s v="FIBC Bags With UV Without Liner"/>
    <n v="1035"/>
    <n v="200520.9"/>
    <s v="FIBC Bags With UV Without Liner"/>
    <n v="488407.78"/>
    <n v="9"/>
    <n v="18046.88"/>
    <n v="9"/>
    <n v="18046.88"/>
    <n v="0"/>
    <n v="0"/>
    <n v="0"/>
    <n v="36093.760000000002"/>
    <n v="0"/>
    <s v="24AAACO3087C1ZT"/>
    <s v="Kgs"/>
    <n v="63053200"/>
    <s v="Rs."/>
    <n v="1"/>
    <n v="1035"/>
  </r>
  <r>
    <d v="2026-06-08T00:00:00"/>
    <x v="9"/>
    <s v="R.M.P."/>
    <s v="RM 487"/>
    <s v="Purchase Withinstate - Traded Goods"/>
    <s v="PIL2/D/452"/>
    <d v="2026-05-08T00:00:00"/>
    <s v="FG"/>
    <s v="FIBC Bags"/>
    <s v="FIBC Bags"/>
    <x v="5"/>
    <s v="FIBC Bags With UV Without Liner"/>
    <n v="1386"/>
    <n v="213735.06"/>
    <s v="FIBC Bags With UV Without Liner"/>
    <n v="0"/>
    <n v="9"/>
    <n v="19236.16"/>
    <n v="9"/>
    <n v="19236.16"/>
    <n v="0"/>
    <n v="0"/>
    <n v="0"/>
    <n v="38472.32"/>
    <n v="0"/>
    <s v="24AAACO3087C1ZT"/>
    <s v="Kgs"/>
    <n v="63053200"/>
    <s v="Rs."/>
    <n v="1"/>
    <n v="1386"/>
  </r>
  <r>
    <d v="2026-06-08T00:00:00"/>
    <x v="10"/>
    <s v="General Purchase"/>
    <s v="GNSP 142"/>
    <s v="Purchase Withinstate- Stores, Spares &amp; Consumable"/>
    <s v="TE/1223/26-27"/>
    <s v="31-07-2026"/>
    <s v="Stores/Spares"/>
    <s v="PVC Fittings"/>
    <s v="Spares &amp; Stores"/>
    <x v="0"/>
    <s v="Pu Connector = 1/4 Inch * 6 mm"/>
    <n v="5"/>
    <n v="180.4"/>
    <s v="Pu Connector = 1/4 Inch * 6 mm"/>
    <n v="590"/>
    <n v="9"/>
    <n v="16.239999999999998"/>
    <n v="9"/>
    <n v="16.239999999999998"/>
    <n v="0"/>
    <n v="0"/>
    <n v="0"/>
    <n v="32.479999999999997"/>
    <n v="0"/>
    <s v="24ARIPK4378C1ZV"/>
    <s v="Pcs"/>
    <n v="84879000"/>
    <s v="Rs."/>
    <n v="1"/>
    <n v="0"/>
  </r>
  <r>
    <d v="2026-06-08T00:00:00"/>
    <x v="10"/>
    <s v="General Purchase"/>
    <s v="GNSP 142"/>
    <s v="Purchase Withinstate- Stores, Spares &amp; Consumable"/>
    <s v="TE/1223/26-27"/>
    <s v="31-07-2026"/>
    <s v="Stores/Spares"/>
    <s v="PVC Fittings"/>
    <s v="Spares &amp; Stores"/>
    <x v="0"/>
    <s v="Pu Connector 1/4&quot; X 4 mm"/>
    <n v="10"/>
    <n v="319.8"/>
    <s v="Pu Connector 1/4&quot; X 4 mm"/>
    <n v="0"/>
    <n v="9"/>
    <n v="28.78"/>
    <n v="9"/>
    <n v="28.78"/>
    <n v="0"/>
    <n v="0"/>
    <n v="0"/>
    <n v="57.56"/>
    <n v="0"/>
    <s v="24ARIPK4378C1ZV"/>
    <s v="Pcs"/>
    <n v="84879000"/>
    <s v="Rs."/>
    <n v="1"/>
    <n v="0"/>
  </r>
  <r>
    <d v="2026-07-08T00:00:00"/>
    <x v="11"/>
    <s v="General Purchase"/>
    <s v="GNSP 143"/>
    <s v="Purchase Withinstate- Stores, Spares &amp; Consumable"/>
    <s v="AE-2026-27/0141"/>
    <d v="2026-05-08T00:00:00"/>
    <s v="Stores/Spares"/>
    <s v="Electrical Items/Spares"/>
    <s v="Spares &amp; Stores"/>
    <x v="0"/>
    <s v="Emergency Push Button"/>
    <n v="10"/>
    <n v="1000"/>
    <s v="Emergency Push Button"/>
    <n v="1180"/>
    <n v="9"/>
    <n v="90"/>
    <n v="9"/>
    <n v="90"/>
    <n v="0"/>
    <n v="0"/>
    <n v="0"/>
    <n v="180"/>
    <n v="0"/>
    <s v="24HELPS8671K1ZJ"/>
    <s v="Pcs"/>
    <n v="853690"/>
    <s v="Rs."/>
    <n v="1"/>
    <n v="0"/>
  </r>
  <r>
    <d v="2026-07-08T00:00:00"/>
    <x v="3"/>
    <s v="General Purchase"/>
    <s v="GNSP 144"/>
    <s v="Purchase Withinstate- Stores, Spares &amp; Consumable"/>
    <s v="GST/26-27/4000"/>
    <d v="2026-04-08T00:00:00"/>
    <s v="Stores/Spares"/>
    <s v="Stitching Spares"/>
    <s v="Spares &amp; Stores"/>
    <x v="0"/>
    <s v="Ball Stud 81358-B"/>
    <n v="15"/>
    <n v="7740"/>
    <s v="Ball Stud 81358-B"/>
    <n v="9186"/>
    <n v="9"/>
    <n v="696.6"/>
    <n v="9"/>
    <n v="696.6"/>
    <n v="0"/>
    <n v="0"/>
    <n v="8.1"/>
    <n v="1401.3"/>
    <n v="0"/>
    <s v="24ABAFA4683N1Z8"/>
    <s v="Pcs"/>
    <n v="84529099"/>
    <s v="Rs."/>
    <n v="1"/>
    <n v="0"/>
  </r>
  <r>
    <d v="2026-07-08T00:00:00"/>
    <x v="12"/>
    <s v="General Purchase"/>
    <s v="CAP 9"/>
    <s v="Purchase Withinstate- Stores, Spares &amp; Consumable"/>
    <s v="4751/26-27"/>
    <s v="23-07-2026"/>
    <s v="Stores/Spares"/>
    <s v="Hardware Items"/>
    <s v="Spares &amp; Stores"/>
    <x v="0"/>
    <s v="MS Round Bar Dia - 10 mm"/>
    <n v="104"/>
    <n v="5148"/>
    <s v="MS Round Bar Dia - 10 mm"/>
    <n v="32241"/>
    <n v="9"/>
    <n v="463.32"/>
    <n v="9"/>
    <n v="463.32"/>
    <n v="0"/>
    <n v="0"/>
    <n v="0"/>
    <n v="926.64"/>
    <n v="0"/>
    <s v="24ADXPC8742M1ZW"/>
    <s v="Kgs"/>
    <n v="721550"/>
    <s v="Rs."/>
    <n v="1"/>
    <n v="0"/>
  </r>
  <r>
    <d v="2026-07-08T00:00:00"/>
    <x v="12"/>
    <s v="General Purchase"/>
    <s v="CAP 9"/>
    <s v="Purchase Withinstate- Stores, Spares &amp; Consumable"/>
    <s v="4751/26-27"/>
    <s v="23-07-2026"/>
    <s v="Stores/Spares"/>
    <s v="MS Structure Items"/>
    <s v="Spares &amp; Stores"/>
    <x v="0"/>
    <s v="MS Angle 50X50X5 mm"/>
    <n v="163"/>
    <n v="7987"/>
    <s v="MS Angle 50X50X5 mm"/>
    <n v="0"/>
    <n v="9"/>
    <n v="718.83"/>
    <n v="9"/>
    <n v="718.83"/>
    <n v="0"/>
    <n v="0"/>
    <n v="0"/>
    <n v="1437.66"/>
    <n v="0"/>
    <s v="24ADXPC8742M1ZW"/>
    <s v="Kgs"/>
    <n v="72162100"/>
    <s v="Rs."/>
    <n v="1"/>
    <n v="0"/>
  </r>
  <r>
    <d v="2026-07-08T00:00:00"/>
    <x v="12"/>
    <s v="General Purchase"/>
    <s v="CAP 9"/>
    <s v="Purchase Withinstate- Stores, Spares &amp; Consumable"/>
    <s v="4751/26-27"/>
    <s v="23-07-2026"/>
    <s v="Stores/Spares"/>
    <s v="MS Structure Items"/>
    <s v="Spares &amp; Stores"/>
    <x v="0"/>
    <s v="MS Plate 04 Ft X 08 Ft X 03 mm"/>
    <n v="227"/>
    <n v="14187.5"/>
    <s v="MS Plate 04 Ft X 08 Ft X 03 mm"/>
    <n v="0"/>
    <n v="9"/>
    <n v="1276.8800000000001"/>
    <n v="9"/>
    <n v="1276.8800000000001"/>
    <n v="0"/>
    <n v="0"/>
    <n v="0"/>
    <n v="2553.7600000000002"/>
    <n v="0"/>
    <s v="24ADXPC8742M1ZW"/>
    <s v="Kgs"/>
    <n v="720825"/>
    <s v="Rs."/>
    <n v="1"/>
    <n v="0"/>
  </r>
  <r>
    <d v="2026-07-08T00:00:00"/>
    <x v="13"/>
    <s v="General Purchase"/>
    <s v="GNCN 330"/>
    <s v="Purchase Withinstate- Stores, Spares &amp; Consumable"/>
    <n v="262701470"/>
    <d v="2026-05-08T00:00:00"/>
    <s v="Consumables"/>
    <s v="Adhesive Tapes"/>
    <s v="Spares &amp; Stores"/>
    <x v="0"/>
    <s v="Double Side Tape 12&quot;"/>
    <n v="56"/>
    <n v="56000"/>
    <s v="Double Side Tape 12&quot;"/>
    <n v="58800"/>
    <n v="2.5"/>
    <n v="1400"/>
    <n v="2.5"/>
    <n v="1400"/>
    <n v="0"/>
    <n v="0"/>
    <n v="0"/>
    <n v="2800"/>
    <n v="0"/>
    <s v="24AAICM7843C1ZJ"/>
    <s v="ROLLS"/>
    <n v="39199090"/>
    <s v="Rs."/>
    <n v="1"/>
    <n v="0"/>
  </r>
  <r>
    <d v="2026-07-08T00:00:00"/>
    <x v="0"/>
    <s v="General Purchase"/>
    <s v="GNCN 332"/>
    <s v="Purchase Withinstate- Stores, Spares &amp; Consumable"/>
    <s v="PIL1/D/1301"/>
    <d v="2026-07-08T00:00:00"/>
    <s v="Stores/Spares"/>
    <s v="MS Structure Items"/>
    <s v="Spares &amp; Stores"/>
    <x v="0"/>
    <s v="MS Pipe 4  C Class"/>
    <n v="424"/>
    <n v="20352"/>
    <s v="MS Pipe 4  C Class"/>
    <n v="23995.01"/>
    <n v="9"/>
    <n v="1831.68"/>
    <n v="9"/>
    <n v="1831.68"/>
    <n v="0"/>
    <n v="0"/>
    <n v="0"/>
    <n v="3663.36"/>
    <n v="0"/>
    <s v="24AAACO3087C1ZT"/>
    <s v="Kgs"/>
    <n v="73063090"/>
    <s v="Rs."/>
    <n v="1"/>
    <n v="0"/>
  </r>
  <r>
    <d v="2026-07-08T00:00:00"/>
    <x v="0"/>
    <s v="R.M.P."/>
    <s v="RM 492"/>
    <s v="Purchase Withinstate - Raw Material"/>
    <s v="PIL1/D/1300"/>
    <d v="2026-07-08T00:00:00"/>
    <s v="SF"/>
    <s v="PP/PE Fabric"/>
    <s v="PP UL Fabric"/>
    <x v="1"/>
    <s v="PP UL Fabric With UV"/>
    <n v="6786"/>
    <n v="965783.52"/>
    <s v="PP UL Fabric With UV"/>
    <n v="1325316.92"/>
    <n v="9"/>
    <n v="86920.52"/>
    <n v="9"/>
    <n v="86920.52"/>
    <n v="0"/>
    <n v="0"/>
    <n v="0"/>
    <n v="173841.04"/>
    <n v="0"/>
    <s v="24AAACO3087C1ZT"/>
    <s v="Kgs"/>
    <n v="39269080"/>
    <s v="Rs."/>
    <n v="1"/>
    <n v="6786"/>
  </r>
  <r>
    <d v="2026-07-08T00:00:00"/>
    <x v="0"/>
    <s v="R.M.P."/>
    <s v="RM 492"/>
    <s v="Purchase Withinstate - Raw Material"/>
    <s v="PIL1/D/1300"/>
    <d v="2026-07-08T00:00:00"/>
    <s v="SF"/>
    <s v="PP/PE Fabric"/>
    <s v="PP UL Fabric"/>
    <x v="1"/>
    <s v="PP UL Fabric With UV"/>
    <n v="1097"/>
    <n v="158319.04000000001"/>
    <s v="PP UL Fabric With UV"/>
    <n v="0"/>
    <n v="9"/>
    <n v="14248.71"/>
    <n v="9"/>
    <n v="14248.71"/>
    <n v="0"/>
    <n v="0"/>
    <n v="0"/>
    <n v="28497.42"/>
    <n v="0"/>
    <s v="24AAACO3087C1ZT"/>
    <s v="Kgs"/>
    <n v="39269080"/>
    <s v="Rs."/>
    <n v="1"/>
    <n v="1097"/>
  </r>
  <r>
    <d v="2026-07-08T00:00:00"/>
    <x v="0"/>
    <s v="R.M.P."/>
    <s v="RM 493"/>
    <s v="Purchase Withinstate - Raw Material"/>
    <s v="PIL1/D/1305"/>
    <d v="2026-07-08T00:00:00"/>
    <s v="SF"/>
    <s v="Liners"/>
    <s v="LDPE/LLDPE Bags"/>
    <x v="4"/>
    <s v="LDPE/LLDPE Bags/Liner"/>
    <n v="635"/>
    <n v="117386.1"/>
    <s v="LDPE/LLDPE Bags/Liner"/>
    <n v="1954589.46"/>
    <n v="9"/>
    <n v="10564.75"/>
    <n v="9"/>
    <n v="10564.75"/>
    <n v="0"/>
    <n v="0"/>
    <n v="0"/>
    <n v="21129.5"/>
    <n v="0"/>
    <s v="24AAACO3087C1ZT"/>
    <s v="Kgs"/>
    <n v="39200000"/>
    <s v="Rs."/>
    <n v="1"/>
    <n v="635"/>
  </r>
  <r>
    <d v="2026-07-08T00:00:00"/>
    <x v="0"/>
    <s v="R.M.P."/>
    <s v="RM 493"/>
    <s v="Purchase Withinstate - Raw Material"/>
    <s v="PIL1/D/1305"/>
    <d v="2026-07-08T00:00:00"/>
    <s v="SF"/>
    <s v="Liners"/>
    <s v="LDPE/LLDPE Bags"/>
    <x v="4"/>
    <s v="LDPE/LLDPE Bags/Liner"/>
    <n v="8710"/>
    <n v="1540450.6"/>
    <s v="LDPE/LLDPE Bags/Liner"/>
    <n v="0"/>
    <n v="9"/>
    <n v="138640.54999999999"/>
    <n v="9"/>
    <n v="138640.54999999999"/>
    <n v="0"/>
    <n v="0"/>
    <n v="0"/>
    <n v="277281.09999999998"/>
    <n v="0"/>
    <s v="24AAACO3087C1ZT"/>
    <s v="Kgs"/>
    <n v="39200000"/>
    <s v="Rs."/>
    <n v="1"/>
    <n v="8710"/>
  </r>
  <r>
    <d v="2026-07-08T00:00:00"/>
    <x v="0"/>
    <s v="R.M.P."/>
    <s v="RM 494"/>
    <s v="Purchase Withinstate - Raw Material"/>
    <s v="PIL1/D/1302"/>
    <d v="2026-07-08T00:00:00"/>
    <s v="SF"/>
    <s v="PP/PE Fabric"/>
    <s v="PP UL Fabric"/>
    <x v="1"/>
    <s v="PP UL Fabric With UV"/>
    <n v="2593"/>
    <n v="369035.76"/>
    <s v="PP UL Fabric With UV"/>
    <n v="1309444.3400000001"/>
    <n v="9"/>
    <n v="33213.22"/>
    <n v="9"/>
    <n v="33213.22"/>
    <n v="0"/>
    <n v="0"/>
    <n v="0"/>
    <n v="66426.44"/>
    <n v="0"/>
    <s v="24AAACO3087C1ZT"/>
    <s v="Kgs"/>
    <n v="39269080"/>
    <s v="Rs."/>
    <n v="1"/>
    <n v="2593"/>
  </r>
  <r>
    <d v="2026-07-08T00:00:00"/>
    <x v="0"/>
    <s v="R.M.P."/>
    <s v="RM 494"/>
    <s v="Purchase Withinstate - Raw Material"/>
    <s v="PIL1/D/1302"/>
    <d v="2026-07-08T00:00:00"/>
    <s v="SF"/>
    <s v="PP/PE Fabric"/>
    <s v="PP UL Fabric"/>
    <x v="1"/>
    <s v="PP UL Fabric With UV"/>
    <n v="280"/>
    <n v="40409.599999999999"/>
    <s v="PP UL Fabric With UV"/>
    <n v="0"/>
    <n v="9"/>
    <n v="3636.86"/>
    <n v="9"/>
    <n v="3636.86"/>
    <n v="0"/>
    <n v="0"/>
    <n v="0"/>
    <n v="7273.72"/>
    <n v="0"/>
    <s v="24AAACO3087C1ZT"/>
    <s v="Kgs"/>
    <n v="39269080"/>
    <s v="Rs."/>
    <n v="1"/>
    <n v="280"/>
  </r>
  <r>
    <d v="2026-07-08T00:00:00"/>
    <x v="0"/>
    <s v="R.M.P."/>
    <s v="RM 494"/>
    <s v="Purchase Withinstate - Raw Material"/>
    <s v="PIL1/D/1302"/>
    <d v="2026-07-08T00:00:00"/>
    <s v="SF"/>
    <s v="PP/PE Fabric"/>
    <s v="PP Lam Fabric"/>
    <x v="3"/>
    <s v="PP Lam Fabric With UV"/>
    <n v="1076"/>
    <n v="155288.32000000001"/>
    <s v="PP Lam Fabric With UV"/>
    <n v="0"/>
    <n v="9"/>
    <n v="13975.95"/>
    <n v="9"/>
    <n v="13975.95"/>
    <n v="0"/>
    <n v="0"/>
    <n v="0"/>
    <n v="27951.9"/>
    <n v="0"/>
    <s v="24AAACO3087C1ZT"/>
    <s v="Kgs"/>
    <n v="63053300"/>
    <s v="Rs."/>
    <n v="1"/>
    <n v="1076"/>
  </r>
  <r>
    <d v="2026-07-08T00:00:00"/>
    <x v="0"/>
    <s v="R.M.P."/>
    <s v="RM 494"/>
    <s v="Purchase Withinstate - Raw Material"/>
    <s v="PIL1/D/1302"/>
    <d v="2026-07-08T00:00:00"/>
    <s v="SF"/>
    <s v="PP/PE Fabric"/>
    <s v="PP Lam Fabric"/>
    <x v="3"/>
    <s v="PP Lam Fabric With UV"/>
    <n v="826"/>
    <n v="120860.32"/>
    <s v="PP Lam Fabric With UV"/>
    <n v="0"/>
    <n v="9"/>
    <n v="10877.43"/>
    <n v="9"/>
    <n v="10877.4"/>
    <n v="0"/>
    <n v="0"/>
    <n v="0"/>
    <n v="21754.83"/>
    <n v="0"/>
    <s v="24AAACO3087C1ZT"/>
    <s v="Kgs"/>
    <n v="63053300"/>
    <s v="Rs."/>
    <n v="1"/>
    <n v="826"/>
  </r>
  <r>
    <d v="2026-07-08T00:00:00"/>
    <x v="0"/>
    <s v="R.M.P."/>
    <s v="RM 494"/>
    <s v="Purchase Withinstate - Raw Material"/>
    <s v="PIL1/D/1302"/>
    <d v="2026-07-08T00:00:00"/>
    <s v="SF"/>
    <s v="Webbing"/>
    <s v="PP Webbing"/>
    <x v="2"/>
    <s v="Webbing"/>
    <n v="1042.7"/>
    <n v="150482.46"/>
    <s v="Webbing"/>
    <n v="0"/>
    <n v="9"/>
    <n v="13543.42"/>
    <n v="9"/>
    <n v="13543.42"/>
    <n v="0"/>
    <n v="0"/>
    <n v="0"/>
    <n v="27086.84"/>
    <n v="0"/>
    <s v="24AAACO3087C1ZT"/>
    <s v="Kgs"/>
    <n v="3926908"/>
    <s v="Rs."/>
    <n v="1"/>
    <n v="1042.7"/>
  </r>
  <r>
    <d v="2026-07-08T00:00:00"/>
    <x v="0"/>
    <s v="R.M.P."/>
    <s v="RM 494"/>
    <s v="Purchase Withinstate - Raw Material"/>
    <s v="PIL1/D/1302"/>
    <d v="2026-07-08T00:00:00"/>
    <s v="SF"/>
    <s v="Webbing"/>
    <s v="PP Webbing"/>
    <x v="2"/>
    <s v="Webbing"/>
    <n v="1417.1"/>
    <n v="208767.17"/>
    <s v="Webbing"/>
    <n v="0"/>
    <n v="9"/>
    <n v="18789.05"/>
    <n v="9"/>
    <n v="18789.05"/>
    <n v="0"/>
    <n v="0"/>
    <n v="0"/>
    <n v="37578.1"/>
    <n v="0"/>
    <s v="24AAACO3087C1ZT"/>
    <s v="Kgs"/>
    <n v="3926908"/>
    <s v="Rs."/>
    <n v="1"/>
    <n v="1417.1"/>
  </r>
  <r>
    <d v="2026-07-08T00:00:00"/>
    <x v="0"/>
    <s v="R.M.P."/>
    <s v="RM 494"/>
    <s v="Purchase Withinstate - Raw Material"/>
    <s v="PIL1/D/1302"/>
    <d v="2026-07-08T00:00:00"/>
    <s v="SF"/>
    <s v="Yarn All"/>
    <s v="PP Yarn"/>
    <x v="6"/>
    <s v="PP MF Yarn Twisted 3000 Denier UV NW"/>
    <n v="479.2"/>
    <n v="73950.14"/>
    <s v="PP MF Yarn Twisted 3000 Denier UV NW"/>
    <n v="0"/>
    <n v="2.5"/>
    <n v="1848.75"/>
    <n v="2.5"/>
    <n v="1848.75"/>
    <n v="0"/>
    <n v="0"/>
    <n v="0"/>
    <n v="3697.5"/>
    <n v="0"/>
    <s v="24AAACO3087C1ZT"/>
    <s v="Kgs"/>
    <n v="540263"/>
    <s v="Rs."/>
    <n v="1"/>
    <n v="479.2"/>
  </r>
  <r>
    <d v="2026-07-08T00:00:00"/>
    <x v="2"/>
    <s v="General Purchase"/>
    <s v="GNCN 331"/>
    <s v="Purchase Withinstate- Stores, Spares &amp; Consumable"/>
    <s v="PPL/D/463"/>
    <d v="2026-07-08T00:00:00"/>
    <s v="Stores/Spares"/>
    <s v="MS Structure Items"/>
    <s v="Spares &amp; Stores"/>
    <x v="0"/>
    <s v="MS Pipe 4  C Class"/>
    <n v="10"/>
    <n v="480"/>
    <s v="MS Pipe 4  C Class"/>
    <n v="565.91999999999996"/>
    <n v="9"/>
    <n v="43.2"/>
    <n v="9"/>
    <n v="43.2"/>
    <n v="0"/>
    <n v="0"/>
    <n v="0"/>
    <n v="86.4"/>
    <n v="0"/>
    <s v="24AAFCP2956A1ZR"/>
    <s v="Kgs"/>
    <n v="73063090"/>
    <s v="Rs."/>
    <n v="1"/>
    <n v="0"/>
  </r>
  <r>
    <d v="2026-07-08T00:00:00"/>
    <x v="2"/>
    <s v="R.M.P."/>
    <s v="RM 491"/>
    <s v="Purchase Withinstate - Raw Material"/>
    <s v="PPL/D/462"/>
    <d v="2026-07-08T00:00:00"/>
    <s v="FG"/>
    <s v="FIBC WIP"/>
    <s v="FIBC WIP"/>
    <x v="7"/>
    <s v="PP Woven Fabric"/>
    <n v="158"/>
    <n v="21105.64"/>
    <s v="FIBC WIP"/>
    <n v="106798"/>
    <n v="9"/>
    <n v="1899.51"/>
    <n v="9"/>
    <n v="1899.51"/>
    <n v="0"/>
    <n v="0"/>
    <n v="0"/>
    <n v="3799.02"/>
    <n v="0"/>
    <s v="24AAFCP2956A1ZR"/>
    <s v="Kgs"/>
    <n v="39269080"/>
    <s v="Rs."/>
    <n v="1"/>
    <n v="158"/>
  </r>
  <r>
    <d v="2026-07-08T00:00:00"/>
    <x v="2"/>
    <s v="R.M.P."/>
    <s v="RM 491"/>
    <s v="Purchase Withinstate - Raw Material"/>
    <s v="PPL/D/462"/>
    <d v="2026-07-08T00:00:00"/>
    <s v="SF"/>
    <s v="PP/PE Fabric"/>
    <s v="PP Lam Fabric"/>
    <x v="3"/>
    <s v="PP Lam Fabric With UV"/>
    <n v="505"/>
    <n v="69477.899999999994"/>
    <s v="PP Lam Fabric With UV"/>
    <n v="0"/>
    <n v="9"/>
    <n v="6253.01"/>
    <n v="9"/>
    <n v="6253.01"/>
    <n v="0"/>
    <n v="0"/>
    <n v="0"/>
    <n v="12506.02"/>
    <n v="0"/>
    <s v="24AAFCP2956A1ZR"/>
    <s v="Kgs"/>
    <n v="63053300"/>
    <s v="Rs."/>
    <n v="1"/>
    <n v="505"/>
  </r>
  <r>
    <d v="2026-08-08T00:00:00"/>
    <x v="14"/>
    <s v="Branch Transfer In"/>
    <s v="RM 495"/>
    <s v="Branch Transfer In - Raw Material"/>
    <s v="HPBL/DC/31"/>
    <d v="2026-07-08T00:00:00"/>
    <s v="SF"/>
    <s v="Liners"/>
    <s v="LDPE/LLDPE Bags"/>
    <x v="10"/>
    <s v="DOC Pouch"/>
    <n v="526"/>
    <n v="89919.7"/>
    <s v="DOC Pouch"/>
    <n v="89919.7"/>
    <n v="0"/>
    <n v="0"/>
    <n v="0"/>
    <n v="0"/>
    <n v="0"/>
    <n v="0"/>
    <n v="0"/>
    <n v="0"/>
    <n v="0"/>
    <s v="24AABCG1282C2Z6"/>
    <s v="Kgs"/>
    <n v="39232100"/>
    <s v="Rs."/>
    <n v="1"/>
    <n v="526"/>
  </r>
  <r>
    <d v="2026-08-08T00:00:00"/>
    <x v="0"/>
    <s v="General Purchase"/>
    <s v="GNCN 333"/>
    <s v="Purchase Withinstate- Stores, Spares &amp; Consumable"/>
    <s v="PIL1/D/1312"/>
    <d v="2026-08-08T00:00:00"/>
    <s v="Stores/Spares"/>
    <s v="MS Structure Items"/>
    <s v="Spares &amp; Stores"/>
    <x v="0"/>
    <s v="MS Pipe 4  C Class"/>
    <n v="366"/>
    <n v="17568"/>
    <s v="MS Pipe 4  C Class"/>
    <n v="20712.669999999998"/>
    <n v="9"/>
    <n v="1581.12"/>
    <n v="9"/>
    <n v="1581.12"/>
    <n v="0"/>
    <n v="0"/>
    <n v="0"/>
    <n v="3162.24"/>
    <n v="0"/>
    <s v="24AAACO3087C1ZT"/>
    <s v="Kgs"/>
    <n v="73063090"/>
    <s v="Rs."/>
    <n v="1"/>
    <n v="0"/>
  </r>
  <r>
    <d v="2026-08-08T00:00:00"/>
    <x v="0"/>
    <s v="R.M.P."/>
    <s v="RM 496"/>
    <s v="Purchase Withinstate - Raw Material"/>
    <s v="PIL1/D/1315"/>
    <d v="2026-08-08T00:00:00"/>
    <s v="SF"/>
    <s v="Liners"/>
    <s v="LDPE/LLDPE Bags"/>
    <x v="4"/>
    <s v="LDPE/LLDPE Bags/Liner"/>
    <n v="950.3"/>
    <n v="175672.46"/>
    <s v="LDPE/LLDPE Bags/Liner"/>
    <n v="796726.95"/>
    <n v="9"/>
    <n v="15810.52"/>
    <n v="9"/>
    <n v="15810.52"/>
    <n v="0"/>
    <n v="0"/>
    <n v="0"/>
    <n v="31621.040000000001"/>
    <n v="0"/>
    <s v="24AAACO3087C1ZT"/>
    <s v="Kgs"/>
    <n v="39200000"/>
    <s v="Rs."/>
    <n v="1"/>
    <n v="950.3"/>
  </r>
  <r>
    <d v="2026-08-08T00:00:00"/>
    <x v="0"/>
    <s v="R.M.P."/>
    <s v="RM 496"/>
    <s v="Purchase Withinstate - Raw Material"/>
    <s v="PIL1/D/1315"/>
    <d v="2026-08-08T00:00:00"/>
    <s v="SF"/>
    <s v="Liners"/>
    <s v="LDPE/LLDPE Bags"/>
    <x v="4"/>
    <s v="LDPE/LLDPE Bags/Liner"/>
    <n v="2796"/>
    <n v="500092.56"/>
    <s v="LDPE/LLDPE Bags/Liner"/>
    <n v="0"/>
    <n v="9"/>
    <n v="45008.33"/>
    <n v="9"/>
    <n v="45008.33"/>
    <n v="0"/>
    <n v="0"/>
    <n v="0"/>
    <n v="90016.66"/>
    <n v="0"/>
    <s v="24AAACO3087C1ZT"/>
    <s v="Kgs"/>
    <n v="39200000"/>
    <s v="Rs."/>
    <n v="1"/>
    <n v="2796"/>
  </r>
  <r>
    <d v="2026-08-08T00:00:00"/>
    <x v="0"/>
    <s v="R.M.P."/>
    <s v="RM 497"/>
    <s v="Purchase Withinstate - Raw Material"/>
    <s v="PIL1/D/1309"/>
    <d v="2026-08-08T00:00:00"/>
    <s v="SF"/>
    <s v="PP/PE Fabric"/>
    <s v="PP UL Fabric"/>
    <x v="1"/>
    <s v="PP UL Fabric With UV"/>
    <n v="571"/>
    <n v="82406.720000000001"/>
    <s v="PP UL Fabric With UV"/>
    <n v="1232460.3799999999"/>
    <n v="9"/>
    <n v="7416.6"/>
    <n v="9"/>
    <n v="7416.6"/>
    <n v="0"/>
    <n v="0"/>
    <n v="0"/>
    <n v="14833.2"/>
    <n v="0"/>
    <s v="24AAACO3087C1ZT"/>
    <s v="Kgs"/>
    <n v="39269080"/>
    <s v="Rs."/>
    <n v="1"/>
    <n v="571"/>
  </r>
  <r>
    <d v="2026-08-08T00:00:00"/>
    <x v="0"/>
    <s v="R.M.P."/>
    <s v="RM 497"/>
    <s v="Purchase Withinstate - Raw Material"/>
    <s v="PIL1/D/1309"/>
    <d v="2026-08-08T00:00:00"/>
    <s v="SF"/>
    <s v="PP/PE Fabric"/>
    <s v="PP UL Fabric"/>
    <x v="1"/>
    <s v="PP UL Fabric With UV"/>
    <n v="6766"/>
    <n v="962937.12"/>
    <s v="PP UL Fabric With UV"/>
    <n v="0"/>
    <n v="9"/>
    <n v="86664.34"/>
    <n v="9"/>
    <n v="86664.34"/>
    <n v="0"/>
    <n v="0"/>
    <n v="0"/>
    <n v="173328.68"/>
    <n v="0"/>
    <s v="24AAACO3087C1ZT"/>
    <s v="Kgs"/>
    <n v="39269080"/>
    <s v="Rs."/>
    <n v="1"/>
    <n v="6766"/>
  </r>
  <r>
    <d v="2026-08-08T00:00:00"/>
    <x v="0"/>
    <s v="R.M.P."/>
    <s v="RM 498"/>
    <s v="Purchase Withinstate - Raw Material"/>
    <s v="PIL1/D/1313"/>
    <d v="2026-08-08T00:00:00"/>
    <s v="SF"/>
    <s v="PP/PE Fabric"/>
    <s v="PP Lam Fabric"/>
    <x v="3"/>
    <s v="PP Lam Fabric With UV"/>
    <n v="1751"/>
    <n v="252704.32"/>
    <s v="PP Lam Fabric With UV"/>
    <n v="1334224.2"/>
    <n v="9"/>
    <n v="22743.39"/>
    <n v="9"/>
    <n v="22743.39"/>
    <n v="0"/>
    <n v="0"/>
    <n v="0"/>
    <n v="45486.78"/>
    <n v="0"/>
    <s v="24AAACO3087C1ZT"/>
    <s v="Kgs"/>
    <n v="63053300"/>
    <s v="Rs."/>
    <n v="1"/>
    <n v="1751"/>
  </r>
  <r>
    <d v="2026-08-08T00:00:00"/>
    <x v="0"/>
    <s v="R.M.P."/>
    <s v="RM 498"/>
    <s v="Purchase Withinstate - Raw Material"/>
    <s v="PIL1/D/1313"/>
    <d v="2026-08-08T00:00:00"/>
    <s v="SF"/>
    <s v="PP/PE Fabric"/>
    <s v="PP Lam Fabric"/>
    <x v="3"/>
    <s v="PP Lam Fabric With UV"/>
    <n v="661"/>
    <n v="96717.52"/>
    <s v="PP Lam Fabric With UV"/>
    <n v="0"/>
    <n v="9"/>
    <n v="8704.58"/>
    <n v="9"/>
    <n v="8704.58"/>
    <n v="0"/>
    <n v="0"/>
    <n v="0"/>
    <n v="17409.16"/>
    <n v="0"/>
    <s v="24AAACO3087C1ZT"/>
    <s v="Kgs"/>
    <n v="63053300"/>
    <s v="Rs."/>
    <n v="1"/>
    <n v="661"/>
  </r>
  <r>
    <d v="2026-08-08T00:00:00"/>
    <x v="0"/>
    <s v="R.M.P."/>
    <s v="RM 498"/>
    <s v="Purchase Withinstate - Raw Material"/>
    <s v="PIL1/D/1313"/>
    <d v="2026-08-08T00:00:00"/>
    <s v="SF"/>
    <s v="PP/PE Fabric"/>
    <s v="PP UL Fabric"/>
    <x v="1"/>
    <s v="PP UL Fabric With UV"/>
    <n v="483"/>
    <n v="69706.559999999998"/>
    <s v="PP UL Fabric With UV"/>
    <n v="0"/>
    <n v="9"/>
    <n v="6273.59"/>
    <n v="9"/>
    <n v="6273.59"/>
    <n v="0"/>
    <n v="0"/>
    <n v="0"/>
    <n v="12547.18"/>
    <n v="0"/>
    <s v="24AAACO3087C1ZT"/>
    <s v="Kgs"/>
    <n v="39269080"/>
    <s v="Rs."/>
    <n v="1"/>
    <n v="483"/>
  </r>
  <r>
    <d v="2026-08-08T00:00:00"/>
    <x v="0"/>
    <s v="R.M.P."/>
    <s v="RM 498"/>
    <s v="Purchase Withinstate - Raw Material"/>
    <s v="PIL1/D/1313"/>
    <d v="2026-08-08T00:00:00"/>
    <s v="SF"/>
    <s v="PP/PE Fabric"/>
    <s v="PP UL Fabric"/>
    <x v="1"/>
    <s v="PP UL Fabric With UV"/>
    <n v="2335"/>
    <n v="332317.2"/>
    <s v="PP UL Fabric With UV"/>
    <n v="0"/>
    <n v="9"/>
    <n v="29908.55"/>
    <n v="9"/>
    <n v="29908.55"/>
    <n v="0"/>
    <n v="0"/>
    <n v="0"/>
    <n v="59817.1"/>
    <n v="0"/>
    <s v="24AAACO3087C1ZT"/>
    <s v="Kgs"/>
    <n v="39269080"/>
    <s v="Rs."/>
    <n v="1"/>
    <n v="2335"/>
  </r>
  <r>
    <d v="2026-08-08T00:00:00"/>
    <x v="0"/>
    <s v="R.M.P."/>
    <s v="RM 498"/>
    <s v="Purchase Withinstate - Raw Material"/>
    <s v="PIL1/D/1313"/>
    <d v="2026-08-08T00:00:00"/>
    <s v="SF"/>
    <s v="Webbing"/>
    <s v="PP Webbing"/>
    <x v="2"/>
    <s v="Webbing"/>
    <n v="1062.8"/>
    <n v="153383.29999999999"/>
    <s v="Webbing"/>
    <n v="0"/>
    <n v="9"/>
    <n v="13804.5"/>
    <n v="9"/>
    <n v="13804.5"/>
    <n v="0"/>
    <n v="0"/>
    <n v="0"/>
    <n v="27609"/>
    <n v="0"/>
    <s v="24AAACO3087C1ZT"/>
    <s v="Kgs"/>
    <n v="3926908"/>
    <s v="Rs."/>
    <n v="1"/>
    <n v="1062.8"/>
  </r>
  <r>
    <d v="2026-08-08T00:00:00"/>
    <x v="0"/>
    <s v="R.M.P."/>
    <s v="RM 498"/>
    <s v="Purchase Withinstate - Raw Material"/>
    <s v="PIL1/D/1313"/>
    <d v="2026-08-08T00:00:00"/>
    <s v="SF"/>
    <s v="Webbing"/>
    <s v="PP Webbing"/>
    <x v="2"/>
    <s v="Webbing"/>
    <n v="1539.7"/>
    <n v="226828.6"/>
    <s v="Webbing"/>
    <n v="0"/>
    <n v="9"/>
    <n v="20414.57"/>
    <n v="9"/>
    <n v="20414.57"/>
    <n v="0"/>
    <n v="0"/>
    <n v="0"/>
    <n v="40829.14"/>
    <n v="0"/>
    <s v="24AAACO3087C1ZT"/>
    <s v="Kgs"/>
    <n v="3926908"/>
    <s v="Rs."/>
    <n v="1"/>
    <n v="1539.7"/>
  </r>
  <r>
    <d v="2026-09-08T00:00:00"/>
    <x v="14"/>
    <s v="Branch Transfer In"/>
    <s v="RM 499"/>
    <s v="Branch Transfer In - Trading"/>
    <s v="HPBL/DC/33"/>
    <d v="2026-08-08T00:00:00"/>
    <s v="FG"/>
    <s v="Small Bags"/>
    <s v="PP Bags"/>
    <x v="11"/>
    <s v="PP UL Bags Without UV"/>
    <n v="3198.4"/>
    <n v="522394.67"/>
    <s v="PP UL Bags Without UV"/>
    <n v="522394.67"/>
    <n v="0"/>
    <n v="0"/>
    <n v="0"/>
    <n v="0"/>
    <n v="0"/>
    <n v="0"/>
    <n v="0"/>
    <n v="0"/>
    <n v="0"/>
    <s v="24AABCG1282C2Z6"/>
    <s v="Kgs"/>
    <n v="39232990"/>
    <s v="Rs."/>
    <n v="1"/>
    <n v="3198.4"/>
  </r>
  <r>
    <d v="2026-09-08T00:00:00"/>
    <x v="15"/>
    <s v="General Purchase"/>
    <s v="GNSP 145"/>
    <s v="Purchase Withinstate- Stores, Spares &amp; Consumable"/>
    <s v="GST/481"/>
    <d v="2026-05-08T00:00:00"/>
    <s v="Stores/Spares"/>
    <s v="Electrical Items/Spares"/>
    <s v="Spares &amp; Stores"/>
    <x v="0"/>
    <s v="Emergency Switch"/>
    <n v="10"/>
    <n v="2150"/>
    <s v="Emergency Switch"/>
    <n v="2655"/>
    <n v="9"/>
    <n v="193.5"/>
    <n v="9"/>
    <n v="193.5"/>
    <n v="0"/>
    <n v="0"/>
    <n v="18"/>
    <n v="405"/>
    <n v="0"/>
    <s v="24ANLPK2335A1ZJ"/>
    <s v="Pcs"/>
    <n v="34039900"/>
    <s v="Rs."/>
    <n v="1"/>
    <n v="0"/>
  </r>
  <r>
    <d v="2026-09-08T00:00:00"/>
    <x v="0"/>
    <s v="General Purchase"/>
    <s v="GNCN 335"/>
    <s v="Purchase Withinstate- Stores, Spares &amp; Consumable"/>
    <s v="PIL1/D/1321"/>
    <d v="2026-09-08T00:00:00"/>
    <s v="Stores/Spares"/>
    <s v="MS Structure Items"/>
    <s v="Spares &amp; Stores"/>
    <x v="0"/>
    <s v="MS Pipe 4  C Class"/>
    <n v="367"/>
    <n v="17616"/>
    <s v="MS Pipe 4  C Class"/>
    <n v="20769.259999999998"/>
    <n v="9"/>
    <n v="1585.44"/>
    <n v="9"/>
    <n v="1585.44"/>
    <n v="0"/>
    <n v="0"/>
    <n v="0"/>
    <n v="3170.88"/>
    <n v="0"/>
    <s v="24AAACO3087C1ZT"/>
    <s v="Kgs"/>
    <n v="73063090"/>
    <s v="Rs."/>
    <n v="1"/>
    <n v="0"/>
  </r>
  <r>
    <d v="2026-09-08T00:00:00"/>
    <x v="0"/>
    <s v="R.M.P."/>
    <s v="RM 502"/>
    <s v="Purchase Withinstate - Raw Material"/>
    <s v="PIL1/D/1320"/>
    <d v="2026-09-08T00:00:00"/>
    <s v="SF"/>
    <s v="PP/PE Fabric"/>
    <s v="PP Lam Fabric"/>
    <x v="3"/>
    <s v="PP Lam Fabric With UV"/>
    <n v="1234"/>
    <n v="180558.88"/>
    <s v="PP Lam Fabric With UV"/>
    <n v="1373687.69"/>
    <n v="9"/>
    <n v="16250.3"/>
    <n v="9"/>
    <n v="16250.3"/>
    <n v="0"/>
    <n v="0"/>
    <n v="0"/>
    <n v="32500.6"/>
    <n v="0"/>
    <s v="24AAACO3087C1ZT"/>
    <s v="Kgs"/>
    <n v="63053300"/>
    <s v="Rs."/>
    <n v="1"/>
    <n v="1234"/>
  </r>
  <r>
    <d v="2026-09-08T00:00:00"/>
    <x v="0"/>
    <s v="R.M.P."/>
    <s v="RM 502"/>
    <s v="Purchase Withinstate - Raw Material"/>
    <s v="PIL1/D/1320"/>
    <d v="2026-09-08T00:00:00"/>
    <s v="SF"/>
    <s v="PP/PE Fabric"/>
    <s v="PP UL Fabric"/>
    <x v="1"/>
    <s v="PP UL Fabric With UV"/>
    <n v="1139"/>
    <n v="164380.48000000001"/>
    <s v="PP UL Fabric With UV"/>
    <n v="0"/>
    <n v="9"/>
    <n v="14794.24"/>
    <n v="9"/>
    <n v="14794.24"/>
    <n v="0"/>
    <n v="0"/>
    <n v="0"/>
    <n v="29588.48"/>
    <n v="0"/>
    <s v="24AAACO3087C1ZT"/>
    <s v="Kgs"/>
    <n v="39269080"/>
    <s v="Rs."/>
    <n v="1"/>
    <n v="1139"/>
  </r>
  <r>
    <d v="2026-09-08T00:00:00"/>
    <x v="0"/>
    <s v="R.M.P."/>
    <s v="RM 502"/>
    <s v="Purchase Withinstate - Raw Material"/>
    <s v="PIL1/D/1320"/>
    <d v="2026-09-08T00:00:00"/>
    <s v="SF"/>
    <s v="PP/PE Fabric"/>
    <s v="PP UL Fabric"/>
    <x v="1"/>
    <s v="PP UL Fabric With UV"/>
    <n v="5763"/>
    <n v="820190.16"/>
    <s v="PP UL Fabric With UV"/>
    <n v="0"/>
    <n v="9"/>
    <n v="73817.11"/>
    <n v="9"/>
    <n v="73817.11"/>
    <n v="0"/>
    <n v="0"/>
    <n v="0"/>
    <n v="147634.22"/>
    <n v="0"/>
    <s v="24AAACO3087C1ZT"/>
    <s v="Kgs"/>
    <n v="39269080"/>
    <s v="Rs."/>
    <n v="1"/>
    <n v="5763"/>
  </r>
  <r>
    <d v="2026-09-08T00:00:00"/>
    <x v="0"/>
    <s v="R.M.P."/>
    <s v="RM 503"/>
    <s v="Purchase Withinstate - Raw Material"/>
    <s v="PIL1/D/1325"/>
    <d v="2026-09-08T00:00:00"/>
    <s v="SF"/>
    <s v="PP/PE Fabric"/>
    <s v="PP Lam Fabric"/>
    <x v="3"/>
    <s v="PP Lam Fabric With UV"/>
    <n v="255"/>
    <n v="38586.6"/>
    <s v="PP Lam Fabric With UV"/>
    <n v="231711.5"/>
    <n v="9"/>
    <n v="3472.79"/>
    <n v="9"/>
    <n v="3472.79"/>
    <n v="0"/>
    <n v="0"/>
    <n v="0"/>
    <n v="6945.58"/>
    <n v="0"/>
    <s v="24AAACO3087C1ZT"/>
    <s v="Kgs"/>
    <n v="63053300"/>
    <s v="Rs."/>
    <n v="1"/>
    <n v="255"/>
  </r>
  <r>
    <d v="2026-09-08T00:00:00"/>
    <x v="0"/>
    <s v="R.M.P."/>
    <s v="RM 503"/>
    <s v="Purchase Withinstate - Raw Material"/>
    <s v="PIL1/D/1325"/>
    <d v="2026-09-08T00:00:00"/>
    <s v="SF"/>
    <s v="Webbing"/>
    <s v="PP Webbing"/>
    <x v="2"/>
    <s v="Webbing"/>
    <n v="147.1"/>
    <n v="21670.77"/>
    <s v="Webbing"/>
    <n v="0"/>
    <n v="9"/>
    <n v="1950.37"/>
    <n v="9"/>
    <n v="1950.37"/>
    <n v="0"/>
    <n v="0"/>
    <n v="0"/>
    <n v="3900.74"/>
    <n v="0"/>
    <s v="24AAACO3087C1ZT"/>
    <s v="Kgs"/>
    <n v="3926908"/>
    <s v="Rs."/>
    <n v="1"/>
    <n v="147.1"/>
  </r>
  <r>
    <d v="2026-09-08T00:00:00"/>
    <x v="0"/>
    <s v="R.M.P."/>
    <s v="RM 503"/>
    <s v="Purchase Withinstate - Raw Material"/>
    <s v="PIL1/D/1325"/>
    <d v="2026-09-08T00:00:00"/>
    <s v="FG"/>
    <s v="FIBC WIP"/>
    <s v="FIBC WIP"/>
    <x v="7"/>
    <s v="PP Laminated Woven Fabric"/>
    <n v="730"/>
    <n v="112653.6"/>
    <s v="FIBC WIP"/>
    <n v="0"/>
    <n v="9"/>
    <n v="10138.82"/>
    <n v="9"/>
    <n v="10138.82"/>
    <n v="0"/>
    <n v="0"/>
    <n v="0"/>
    <n v="20277.64"/>
    <n v="0"/>
    <s v="24AAACO3087C1ZT"/>
    <s v="Kgs"/>
    <n v="39269080"/>
    <s v="Rs."/>
    <n v="1"/>
    <n v="730"/>
  </r>
  <r>
    <d v="2026-09-08T00:00:00"/>
    <x v="0"/>
    <s v="R.M.P."/>
    <s v="RM 503"/>
    <s v="Purchase Withinstate - Raw Material"/>
    <s v="PIL1/D/1325"/>
    <d v="2026-09-08T00:00:00"/>
    <s v="FG"/>
    <s v="FIBC WIP"/>
    <s v="FIBC WIP"/>
    <x v="7"/>
    <s v="PP Webbing"/>
    <n v="72"/>
    <n v="10967.04"/>
    <s v="FIBC WIP"/>
    <n v="0"/>
    <n v="9"/>
    <n v="987.03"/>
    <n v="9"/>
    <n v="987.03"/>
    <n v="0"/>
    <n v="0"/>
    <n v="0"/>
    <n v="1974.06"/>
    <n v="0"/>
    <s v="24AAACO3087C1ZT"/>
    <s v="Kgs"/>
    <n v="39269080"/>
    <s v="Rs."/>
    <n v="1"/>
    <n v="72"/>
  </r>
  <r>
    <d v="2026-09-08T00:00:00"/>
    <x v="0"/>
    <s v="R.M.P."/>
    <s v="RM 503"/>
    <s v="Purchase Withinstate - Raw Material"/>
    <s v="PIL1/D/1325"/>
    <d v="2026-09-08T00:00:00"/>
    <s v="FG"/>
    <s v="FIBC WIP"/>
    <s v="FIBC WIP"/>
    <x v="7"/>
    <s v="PP Laminated Woven Fabric"/>
    <n v="82"/>
    <n v="12654.24"/>
    <s v="FIBC WIP"/>
    <n v="0"/>
    <n v="9"/>
    <n v="1138.8800000000001"/>
    <n v="9"/>
    <n v="1138.8800000000001"/>
    <n v="0"/>
    <n v="0"/>
    <n v="0"/>
    <n v="2277.7600000000002"/>
    <n v="0"/>
    <s v="24AAACO3087C1ZT"/>
    <s v="Kgs"/>
    <n v="39269080"/>
    <s v="Rs."/>
    <n v="1"/>
    <n v="82"/>
  </r>
  <r>
    <d v="2026-09-08T00:00:00"/>
    <x v="0"/>
    <s v="R.M.P."/>
    <s v="RM 504"/>
    <s v="Purchase Withinstate - Raw Material"/>
    <s v="PIL1/D/1322"/>
    <d v="2026-09-08T00:00:00"/>
    <s v="SF"/>
    <s v="Liners"/>
    <s v="LDPE/LLDPE Bags"/>
    <x v="4"/>
    <s v="LDPE/LLDPE Bags/Liner"/>
    <n v="1625.7"/>
    <n v="287521.3"/>
    <s v="LDPE/LLDPE Bags/Liner"/>
    <n v="1612534.33"/>
    <n v="9"/>
    <n v="25876.92"/>
    <n v="9"/>
    <n v="25876.92"/>
    <n v="0"/>
    <n v="0"/>
    <n v="0"/>
    <n v="51753.84"/>
    <n v="0"/>
    <s v="24AAACO3087C1ZT"/>
    <s v="Kgs"/>
    <n v="39200000"/>
    <s v="Rs."/>
    <n v="1"/>
    <n v="1625.7"/>
  </r>
  <r>
    <d v="2026-09-08T00:00:00"/>
    <x v="0"/>
    <s v="R.M.P."/>
    <s v="RM 504"/>
    <s v="Purchase Withinstate - Raw Material"/>
    <s v="PIL1/D/1322"/>
    <d v="2026-09-08T00:00:00"/>
    <s v="SF"/>
    <s v="Liners"/>
    <s v="LDPE/LLDPE Bags"/>
    <x v="4"/>
    <s v="LDPE/LLDPE Bags/Liner"/>
    <n v="508"/>
    <n v="93908.88"/>
    <s v="LDPE/LLDPE Bags/Liner"/>
    <n v="0"/>
    <n v="9"/>
    <n v="8451.7999999999993"/>
    <n v="9"/>
    <n v="8451.7999999999993"/>
    <n v="0"/>
    <n v="0"/>
    <n v="0"/>
    <n v="16903.599999999999"/>
    <n v="0"/>
    <s v="24AAACO3087C1ZT"/>
    <s v="Kgs"/>
    <n v="39200000"/>
    <s v="Rs."/>
    <n v="1"/>
    <n v="508"/>
  </r>
  <r>
    <d v="2026-09-08T00:00:00"/>
    <x v="0"/>
    <s v="R.M.P."/>
    <s v="RM 504"/>
    <s v="Purchase Withinstate - Raw Material"/>
    <s v="PIL1/D/1322"/>
    <d v="2026-09-08T00:00:00"/>
    <s v="SF"/>
    <s v="Liners"/>
    <s v="LDPE/LLDPE Bags"/>
    <x v="4"/>
    <s v="LDPE/LLDPE Bags/Liner"/>
    <n v="78"/>
    <n v="14107.08"/>
    <s v="LDPE/LLDPE Bags/Liner"/>
    <n v="0"/>
    <n v="9"/>
    <n v="1269.6400000000001"/>
    <n v="9"/>
    <n v="1269.6400000000001"/>
    <n v="0"/>
    <n v="0"/>
    <n v="0"/>
    <n v="2539.2800000000002"/>
    <n v="0"/>
    <s v="24AAACO3087C1ZT"/>
    <s v="Kgs"/>
    <n v="39200000"/>
    <s v="Rs."/>
    <n v="1"/>
    <n v="78"/>
  </r>
  <r>
    <d v="2026-09-08T00:00:00"/>
    <x v="0"/>
    <s v="R.M.P."/>
    <s v="RM 504"/>
    <s v="Purchase Withinstate - Raw Material"/>
    <s v="PIL1/D/1322"/>
    <d v="2026-09-08T00:00:00"/>
    <s v="SF"/>
    <s v="Webbing"/>
    <s v="PP Webbing"/>
    <x v="2"/>
    <s v="Webbing"/>
    <n v="752.1"/>
    <n v="108543.07"/>
    <s v="Webbing"/>
    <n v="0"/>
    <n v="9"/>
    <n v="9768.8799999999992"/>
    <n v="9"/>
    <n v="9768.8799999999992"/>
    <n v="0"/>
    <n v="0"/>
    <n v="0"/>
    <n v="19537.759999999998"/>
    <n v="0"/>
    <s v="24AAACO3087C1ZT"/>
    <s v="Kgs"/>
    <n v="3926908"/>
    <s v="Rs."/>
    <n v="1"/>
    <n v="752.1"/>
  </r>
  <r>
    <d v="2026-09-08T00:00:00"/>
    <x v="0"/>
    <s v="R.M.P."/>
    <s v="RM 504"/>
    <s v="Purchase Withinstate - Raw Material"/>
    <s v="PIL1/D/1322"/>
    <d v="2026-09-08T00:00:00"/>
    <s v="SF"/>
    <s v="Webbing"/>
    <s v="PP Webbing"/>
    <x v="2"/>
    <s v="Webbing"/>
    <n v="1162.9000000000001"/>
    <n v="171318.43"/>
    <s v="Webbing"/>
    <n v="0"/>
    <n v="9"/>
    <n v="15418.66"/>
    <n v="9"/>
    <n v="15418.66"/>
    <n v="0"/>
    <n v="0"/>
    <n v="0"/>
    <n v="30837.32"/>
    <n v="0"/>
    <s v="24AAACO3087C1ZT"/>
    <s v="Kgs"/>
    <n v="3926908"/>
    <s v="Rs."/>
    <n v="1"/>
    <n v="1162.9000000000001"/>
  </r>
  <r>
    <d v="2026-09-08T00:00:00"/>
    <x v="0"/>
    <s v="R.M.P."/>
    <s v="RM 504"/>
    <s v="Purchase Withinstate - Raw Material"/>
    <s v="PIL1/D/1322"/>
    <d v="2026-09-08T00:00:00"/>
    <s v="SF"/>
    <s v="PP/PE Fabric"/>
    <s v="PP UL Fabric"/>
    <x v="1"/>
    <s v="PP UL Fabric With UV"/>
    <n v="479"/>
    <n v="69129.279999999999"/>
    <s v="PP UL Fabric With UV"/>
    <n v="0"/>
    <n v="9"/>
    <n v="6221.64"/>
    <n v="9"/>
    <n v="6221.64"/>
    <n v="0"/>
    <n v="0"/>
    <n v="0"/>
    <n v="12443.28"/>
    <n v="0"/>
    <s v="24AAACO3087C1ZT"/>
    <s v="Kgs"/>
    <n v="39269080"/>
    <s v="Rs."/>
    <n v="1"/>
    <n v="479"/>
  </r>
  <r>
    <d v="2026-09-08T00:00:00"/>
    <x v="0"/>
    <s v="R.M.P."/>
    <s v="RM 504"/>
    <s v="Purchase Withinstate - Raw Material"/>
    <s v="PIL1/D/1322"/>
    <d v="2026-09-08T00:00:00"/>
    <s v="SF"/>
    <s v="PP/PE Fabric"/>
    <s v="PP UL Fabric"/>
    <x v="1"/>
    <s v="PP UL Fabric With UV"/>
    <n v="3729"/>
    <n v="530711.28"/>
    <s v="PP UL Fabric With UV"/>
    <n v="0"/>
    <n v="9"/>
    <n v="47764.02"/>
    <n v="9"/>
    <n v="47764.02"/>
    <n v="0"/>
    <n v="0"/>
    <n v="0"/>
    <n v="95528.04"/>
    <n v="0"/>
    <s v="24AAACO3087C1ZT"/>
    <s v="Kgs"/>
    <n v="39269080"/>
    <s v="Rs."/>
    <n v="1"/>
    <n v="3729"/>
  </r>
  <r>
    <d v="2026-09-08T00:00:00"/>
    <x v="0"/>
    <s v="R.M.P."/>
    <s v="RM 504"/>
    <s v="Purchase Withinstate - Raw Material"/>
    <s v="PIL1/D/1322"/>
    <d v="2026-09-08T00:00:00"/>
    <s v="SF"/>
    <s v="PP/PE Fabric"/>
    <s v="PP Lam Fabric"/>
    <x v="3"/>
    <s v="PP Lam Fabric With UV"/>
    <n v="632"/>
    <n v="92474.240000000005"/>
    <s v="PP Lam Fabric With UV"/>
    <n v="0"/>
    <n v="9"/>
    <n v="8322.68"/>
    <n v="9"/>
    <n v="8322.68"/>
    <n v="0"/>
    <n v="0"/>
    <n v="0"/>
    <n v="16645.36"/>
    <n v="0"/>
    <s v="24AAACO3087C1ZT"/>
    <s v="Kgs"/>
    <n v="63053300"/>
    <s v="Rs."/>
    <n v="1"/>
    <n v="632"/>
  </r>
  <r>
    <d v="2026-09-08T00:00:00"/>
    <x v="2"/>
    <s v="R.M.P."/>
    <s v="RM 500"/>
    <s v="Purchase Withinstate - Raw Material"/>
    <s v="PPL/D/467"/>
    <d v="2026-08-08T00:00:00"/>
    <s v="SF"/>
    <s v="PP/PE Fabric"/>
    <s v="PP Lam Fabric"/>
    <x v="3"/>
    <s v="PP Lam Fabric With UV"/>
    <n v="752"/>
    <n v="103460.16"/>
    <s v="PP Lam Fabric With UV"/>
    <n v="202531.02"/>
    <n v="9"/>
    <n v="9311.41"/>
    <n v="9"/>
    <n v="9311.41"/>
    <n v="0"/>
    <n v="0"/>
    <n v="0"/>
    <n v="18622.82"/>
    <n v="0"/>
    <s v="24AAFCP2956A1ZR"/>
    <s v="Kgs"/>
    <n v="63053300"/>
    <s v="Rs."/>
    <n v="1"/>
    <n v="752"/>
  </r>
  <r>
    <d v="2026-09-08T00:00:00"/>
    <x v="2"/>
    <s v="R.M.P."/>
    <s v="RM 500"/>
    <s v="Purchase Withinstate - Raw Material"/>
    <s v="PPL/D/467"/>
    <d v="2026-08-08T00:00:00"/>
    <s v="SF"/>
    <s v="PP/PE Fabric"/>
    <s v="PP Lam Fabric"/>
    <x v="3"/>
    <s v="PP Lam Fabric With UV"/>
    <n v="486"/>
    <n v="68321.88"/>
    <s v="PP Lam Fabric With UV"/>
    <n v="0"/>
    <n v="9"/>
    <n v="6148.97"/>
    <n v="9"/>
    <n v="6148.97"/>
    <n v="0"/>
    <n v="0"/>
    <n v="0"/>
    <n v="12297.94"/>
    <n v="0"/>
    <s v="24AAFCP2956A1ZR"/>
    <s v="Kgs"/>
    <n v="63053300"/>
    <s v="Rs."/>
    <n v="1"/>
    <n v="486"/>
  </r>
  <r>
    <d v="2026-09-08T00:00:00"/>
    <x v="2"/>
    <s v="R.M.P."/>
    <s v="RM 501"/>
    <s v="Purchase Withinstate - Raw Material"/>
    <s v="PPL/D/469"/>
    <d v="2026-09-08T00:00:00"/>
    <s v="SF"/>
    <s v="Webbing"/>
    <s v="PP Webbing"/>
    <x v="2"/>
    <s v="Webbing"/>
    <n v="408.8"/>
    <n v="56569.74"/>
    <s v="Webbing"/>
    <n v="66695.73"/>
    <n v="9"/>
    <n v="5091.28"/>
    <n v="9"/>
    <n v="5091.28"/>
    <n v="0"/>
    <n v="0"/>
    <n v="0"/>
    <n v="10182.56"/>
    <n v="0"/>
    <s v="24AAFCP2956A1ZR"/>
    <s v="Kgs"/>
    <n v="3926908"/>
    <s v="Rs."/>
    <n v="1"/>
    <n v="408.8"/>
  </r>
  <r>
    <d v="2026-09-08T00:00:00"/>
    <x v="16"/>
    <s v="General Purchase"/>
    <s v="GNCN 334"/>
    <s v="Purchase Withinstate- Stores, Spares &amp; Consumable"/>
    <s v="RB/26-27/665"/>
    <s v="30-07-2026"/>
    <s v="Consumables"/>
    <s v="Adhesive Tapes"/>
    <s v="Spares &amp; Stores"/>
    <x v="0"/>
    <s v="Cello Tape W-2&quot; Natural X L-65 Mtr"/>
    <n v="144"/>
    <n v="3600"/>
    <s v="Cello Tape W-2&quot; Natural X L-65 Mtr"/>
    <n v="4248"/>
    <n v="9"/>
    <n v="324"/>
    <n v="9"/>
    <n v="324"/>
    <n v="0"/>
    <n v="0"/>
    <n v="0"/>
    <n v="648"/>
    <n v="0"/>
    <s v="24AALCR2352J1ZA"/>
    <s v="Pcs"/>
    <n v="3919909"/>
    <s v="Rs."/>
    <n v="1"/>
    <n v="0"/>
  </r>
  <r>
    <d v="2026-09-08T00:00:00"/>
    <x v="10"/>
    <s v="General Purchase"/>
    <s v="GNSP 146"/>
    <s v="Purchase Withinstate- Stores, Spares &amp; Consumable"/>
    <s v="TE/1288/26-27"/>
    <d v="2026-07-08T00:00:00"/>
    <s v="Stores/Spares"/>
    <s v="Pneumatic Cylinders &amp; Spares"/>
    <s v="Spares &amp; Stores"/>
    <x v="0"/>
    <s v="Air Cylinder 63 X 100 mmRod Dia-20 mmVnc Model"/>
    <n v="2"/>
    <n v="4391.92"/>
    <s v="Air Cylinder 63 X 100 mmRod Dia-20 mmVnc Model"/>
    <n v="5182"/>
    <n v="9"/>
    <n v="395.27"/>
    <n v="9"/>
    <n v="395.27"/>
    <n v="0"/>
    <n v="0"/>
    <n v="0"/>
    <n v="790.54"/>
    <n v="0"/>
    <s v="24ARIPK4378C1ZV"/>
    <s v="Pcs"/>
    <n v="84123100"/>
    <s v="Rs."/>
    <n v="1"/>
    <n v="0"/>
  </r>
  <r>
    <d v="2026-10-08T00:00:00"/>
    <x v="0"/>
    <s v="General Purchase"/>
    <s v="GNCN 336"/>
    <s v="Purchase Withinstate- Stores, Spares &amp; Consumable"/>
    <s v="PIL1/D/1331"/>
    <d v="2026-10-08T00:00:00"/>
    <s v="Stores/Spares"/>
    <s v="MS Structure Items"/>
    <s v="Spares &amp; Stores"/>
    <x v="0"/>
    <s v="MS Pipe 4  C Class"/>
    <n v="298"/>
    <n v="14304"/>
    <s v="MS Pipe 4  C Class"/>
    <n v="16864.419999999998"/>
    <n v="9"/>
    <n v="1287.3599999999999"/>
    <n v="9"/>
    <n v="1287.3599999999999"/>
    <n v="0"/>
    <n v="0"/>
    <n v="0"/>
    <n v="2574.7199999999998"/>
    <n v="0"/>
    <s v="24AAACO3087C1ZT"/>
    <s v="Kgs"/>
    <n v="73063090"/>
    <s v="Rs."/>
    <n v="1"/>
    <n v="0"/>
  </r>
  <r>
    <d v="2026-10-08T00:00:00"/>
    <x v="0"/>
    <s v="R.M.P."/>
    <s v="RM 505"/>
    <s v="Purchase Withinstate - Raw Material"/>
    <s v="PIL1/D/1329"/>
    <d v="2026-10-08T00:00:00"/>
    <s v="SF"/>
    <s v="PP/PE Fabric"/>
    <s v="PP UL Fabric"/>
    <x v="1"/>
    <s v="PP UL Fabric With UV"/>
    <n v="6937"/>
    <n v="987273.84"/>
    <s v="PP UL Fabric With UV"/>
    <n v="1260302.6200000001"/>
    <n v="9"/>
    <n v="88854.65"/>
    <n v="9"/>
    <n v="88854.65"/>
    <n v="0"/>
    <n v="0"/>
    <n v="0"/>
    <n v="177709.3"/>
    <n v="0"/>
    <s v="24AAACO3087C1ZT"/>
    <s v="Kgs"/>
    <n v="39269080"/>
    <s v="Rs."/>
    <n v="1"/>
    <n v="6937"/>
  </r>
  <r>
    <d v="2026-10-08T00:00:00"/>
    <x v="0"/>
    <s v="R.M.P."/>
    <s v="RM 505"/>
    <s v="Purchase Withinstate - Raw Material"/>
    <s v="PIL1/D/1329"/>
    <d v="2026-10-08T00:00:00"/>
    <s v="SF"/>
    <s v="PP/PE Fabric"/>
    <s v="PP UL Fabric"/>
    <x v="1"/>
    <s v="PP UL Fabric With UV"/>
    <n v="566"/>
    <n v="81685.119999999995"/>
    <s v="PP UL Fabric With UV"/>
    <n v="0"/>
    <n v="9"/>
    <n v="7351.66"/>
    <n v="9"/>
    <n v="7351.66"/>
    <n v="0"/>
    <n v="0"/>
    <n v="0"/>
    <n v="14703.32"/>
    <n v="0"/>
    <s v="24AAACO3087C1ZT"/>
    <s v="Kgs"/>
    <n v="39269080"/>
    <s v="Rs."/>
    <n v="1"/>
    <n v="566"/>
  </r>
  <r>
    <d v="2026-10-08T00:00:00"/>
    <x v="0"/>
    <s v="R.M.P."/>
    <s v="RM 506"/>
    <s v="Purchase Withinstate - Raw Material"/>
    <s v="PIL1/D/1332"/>
    <d v="2026-10-08T00:00:00"/>
    <s v="SF"/>
    <s v="Liners"/>
    <s v="LDPE/LLDPE Bags"/>
    <x v="4"/>
    <s v="LDPE/LLDPE Bags/Liner"/>
    <n v="1828"/>
    <n v="323300.08"/>
    <s v="LDPE/LLDPE Bags/Liner"/>
    <n v="1413463.11"/>
    <n v="9"/>
    <n v="29097.01"/>
    <n v="9"/>
    <n v="29097.01"/>
    <n v="0"/>
    <n v="0"/>
    <n v="0"/>
    <n v="58194.02"/>
    <n v="0"/>
    <s v="24AAACO3087C1ZT"/>
    <s v="Kgs"/>
    <n v="39200000"/>
    <s v="Rs."/>
    <n v="1"/>
    <n v="1828"/>
  </r>
  <r>
    <d v="2026-10-08T00:00:00"/>
    <x v="0"/>
    <s v="R.M.P."/>
    <s v="RM 506"/>
    <s v="Purchase Withinstate - Raw Material"/>
    <s v="PIL1/D/1332"/>
    <d v="2026-10-08T00:00:00"/>
    <s v="SF"/>
    <s v="PP/PE Fabric"/>
    <s v="PP Lam Fabric"/>
    <x v="3"/>
    <s v="PP Lam Fabric With UV"/>
    <n v="545"/>
    <n v="81379.399999999994"/>
    <s v="PP Lam Fabric With UV"/>
    <n v="0"/>
    <n v="9"/>
    <n v="7324.15"/>
    <n v="9"/>
    <n v="7324.15"/>
    <n v="0"/>
    <n v="0"/>
    <n v="0"/>
    <n v="14648.3"/>
    <n v="0"/>
    <s v="24AAACO3087C1ZT"/>
    <s v="Kgs"/>
    <n v="63053300"/>
    <s v="Rs."/>
    <n v="1"/>
    <n v="545"/>
  </r>
  <r>
    <d v="2026-10-08T00:00:00"/>
    <x v="0"/>
    <s v="R.M.P."/>
    <s v="RM 506"/>
    <s v="Purchase Withinstate - Raw Material"/>
    <s v="PIL1/D/1332"/>
    <d v="2026-10-08T00:00:00"/>
    <s v="SF"/>
    <s v="PP/PE Fabric"/>
    <s v="PP Lam Fabric"/>
    <x v="3"/>
    <s v="PP Lam Fabric With UV"/>
    <n v="362"/>
    <n v="52967.839999999997"/>
    <s v="PP Lam Fabric With UV"/>
    <n v="0"/>
    <n v="9"/>
    <n v="4767.1099999999997"/>
    <n v="9"/>
    <n v="4767.1099999999997"/>
    <n v="0"/>
    <n v="0"/>
    <n v="0"/>
    <n v="9534.2199999999993"/>
    <n v="0"/>
    <s v="24AAACO3087C1ZT"/>
    <s v="Kgs"/>
    <n v="63053300"/>
    <s v="Rs."/>
    <n v="1"/>
    <n v="362"/>
  </r>
  <r>
    <d v="2026-10-08T00:00:00"/>
    <x v="0"/>
    <s v="R.M.P."/>
    <s v="RM 506"/>
    <s v="Purchase Withinstate - Raw Material"/>
    <s v="PIL1/D/1332"/>
    <d v="2026-10-08T00:00:00"/>
    <s v="SF"/>
    <s v="Webbing"/>
    <s v="PP Webbing"/>
    <x v="2"/>
    <s v="Webbing"/>
    <n v="1426.8"/>
    <n v="210196.18"/>
    <s v="Webbing"/>
    <n v="0"/>
    <n v="9"/>
    <n v="18917.66"/>
    <n v="9"/>
    <n v="18917.66"/>
    <n v="0"/>
    <n v="0"/>
    <n v="0"/>
    <n v="37835.32"/>
    <n v="0"/>
    <s v="24AAACO3087C1ZT"/>
    <s v="Kgs"/>
    <n v="3926908"/>
    <s v="Rs."/>
    <n v="1"/>
    <n v="1426.8"/>
  </r>
  <r>
    <d v="2026-10-08T00:00:00"/>
    <x v="0"/>
    <s v="R.M.P."/>
    <s v="RM 506"/>
    <s v="Purchase Withinstate - Raw Material"/>
    <s v="PIL1/D/1332"/>
    <d v="2026-10-08T00:00:00"/>
    <s v="SF"/>
    <s v="Webbing"/>
    <s v="PP Webbing"/>
    <x v="2"/>
    <s v="Webbing"/>
    <n v="974.8"/>
    <n v="140683.14000000001"/>
    <s v="Webbing"/>
    <n v="0"/>
    <n v="9"/>
    <n v="12661.48"/>
    <n v="9"/>
    <n v="12661.48"/>
    <n v="0"/>
    <n v="0"/>
    <n v="0"/>
    <n v="25322.959999999999"/>
    <n v="0"/>
    <s v="24AAACO3087C1ZT"/>
    <s v="Kgs"/>
    <n v="3926908"/>
    <s v="Rs."/>
    <n v="1"/>
    <n v="974.8"/>
  </r>
  <r>
    <d v="2026-10-08T00:00:00"/>
    <x v="0"/>
    <s v="R.M.P."/>
    <s v="RM 506"/>
    <s v="Purchase Withinstate - Raw Material"/>
    <s v="PIL1/D/1332"/>
    <d v="2026-10-08T00:00:00"/>
    <s v="SF"/>
    <s v="PP/PE Fabric"/>
    <s v="PP UL Fabric"/>
    <x v="1"/>
    <s v="PP UL Fabric With UV"/>
    <n v="495"/>
    <n v="71438.399999999994"/>
    <s v="PP UL Fabric With UV"/>
    <n v="0"/>
    <n v="9"/>
    <n v="6429.46"/>
    <n v="9"/>
    <n v="6429.46"/>
    <n v="0"/>
    <n v="0"/>
    <n v="0"/>
    <n v="12858.92"/>
    <n v="0"/>
    <s v="24AAACO3087C1ZT"/>
    <s v="Kgs"/>
    <n v="39269080"/>
    <s v="Rs."/>
    <n v="1"/>
    <n v="495"/>
  </r>
  <r>
    <d v="2026-10-08T00:00:00"/>
    <x v="0"/>
    <s v="R.M.P."/>
    <s v="RM 506"/>
    <s v="Purchase Withinstate - Raw Material"/>
    <s v="PIL1/D/1332"/>
    <d v="2026-10-08T00:00:00"/>
    <s v="SF"/>
    <s v="PP/PE Fabric"/>
    <s v="PP UL Fabric"/>
    <x v="1"/>
    <s v="PP UL Fabric With UV"/>
    <n v="2042"/>
    <n v="290617.44"/>
    <s v="PP UL Fabric With UV"/>
    <n v="0"/>
    <n v="9"/>
    <n v="26155.57"/>
    <n v="9"/>
    <n v="26155.57"/>
    <n v="0"/>
    <n v="0"/>
    <n v="0"/>
    <n v="52311.14"/>
    <n v="0"/>
    <s v="24AAACO3087C1ZT"/>
    <s v="Kgs"/>
    <n v="39269080"/>
    <s v="Rs."/>
    <n v="1"/>
    <n v="2042"/>
  </r>
  <r>
    <d v="2026-10-08T00:00:00"/>
    <x v="0"/>
    <s v="R.M.P."/>
    <s v="RM 506"/>
    <s v="Purchase Withinstate - Raw Material"/>
    <s v="PIL1/D/1332"/>
    <d v="2026-10-08T00:00:00"/>
    <s v="SF"/>
    <s v="Liners"/>
    <s v="LDPE/LLDPE Bags"/>
    <x v="4"/>
    <s v="LDPE/LLDPE Bags/Liner"/>
    <n v="153"/>
    <n v="28283.58"/>
    <s v="LDPE/LLDPE Bags/Liner"/>
    <n v="0"/>
    <n v="9"/>
    <n v="2545.52"/>
    <n v="9"/>
    <n v="2545.52"/>
    <n v="0"/>
    <n v="0"/>
    <n v="0"/>
    <n v="5091.04"/>
    <n v="0"/>
    <s v="24AAACO3087C1ZT"/>
    <s v="Kgs"/>
    <n v="39200000"/>
    <s v="Rs."/>
    <n v="1"/>
    <n v="153"/>
  </r>
  <r>
    <d v="2026-11-08T00:00:00"/>
    <x v="14"/>
    <s v="Branch Transfer In"/>
    <s v="RM 507"/>
    <s v="Branch Transfer In - Trading"/>
    <s v="HPBL/DC/35"/>
    <d v="2026-10-08T00:00:00"/>
    <s v="FG"/>
    <s v="Small Bags"/>
    <s v="PP Bags"/>
    <x v="11"/>
    <s v="PP UL Bags Without UV"/>
    <n v="3385.8"/>
    <n v="515217.19"/>
    <s v="PP UL Bags Without UV"/>
    <n v="515217.19"/>
    <n v="0"/>
    <n v="0"/>
    <n v="0"/>
    <n v="0"/>
    <n v="0"/>
    <n v="0"/>
    <n v="0"/>
    <n v="0"/>
    <n v="0"/>
    <s v="24AABCG1282C2Z6"/>
    <s v="Kgs"/>
    <n v="39232990"/>
    <s v="Rs."/>
    <n v="1"/>
    <n v="3385.8"/>
  </r>
  <r>
    <d v="2026-11-08T00:00:00"/>
    <x v="0"/>
    <s v="General Purchase"/>
    <s v="GNCN 337"/>
    <s v="Purchase Withinstate- Stores, Spares &amp; Consumable"/>
    <s v="PIL1/D/1341"/>
    <d v="2026-11-08T00:00:00"/>
    <s v="Stores/Spares"/>
    <s v="MS Structure Items"/>
    <s v="Spares &amp; Stores"/>
    <x v="0"/>
    <s v="MS Pipe 4  C Class"/>
    <n v="346"/>
    <n v="16608"/>
    <s v="MS Pipe 4  C Class"/>
    <n v="19580.830000000002"/>
    <n v="9"/>
    <n v="1494.72"/>
    <n v="9"/>
    <n v="1494.72"/>
    <n v="0"/>
    <n v="0"/>
    <n v="0"/>
    <n v="2989.44"/>
    <n v="0"/>
    <s v="24AAACO3087C1ZT"/>
    <s v="Kgs"/>
    <n v="73063090"/>
    <s v="Rs."/>
    <n v="1"/>
    <n v="0"/>
  </r>
  <r>
    <d v="2026-11-08T00:00:00"/>
    <x v="0"/>
    <s v="R.M.P."/>
    <s v="RM 509"/>
    <s v="Purchase Withinstate - Raw Material"/>
    <s v="PIL1/D/1338"/>
    <d v="2026-11-08T00:00:00"/>
    <s v="SF"/>
    <s v="PP/PE Fabric"/>
    <s v="PP UL Fabric"/>
    <x v="1"/>
    <s v="PP UL Fabric With UV"/>
    <n v="6969"/>
    <n v="991828.08"/>
    <s v="PP UL Fabric With UV"/>
    <n v="1323524.18"/>
    <n v="9"/>
    <n v="89264.53"/>
    <n v="9"/>
    <n v="89264.53"/>
    <n v="0"/>
    <n v="0"/>
    <n v="0"/>
    <n v="178529.06"/>
    <n v="0"/>
    <s v="24AAACO3087C1ZT"/>
    <s v="Kgs"/>
    <n v="39269080"/>
    <s v="Rs."/>
    <n v="1"/>
    <n v="6969"/>
  </r>
  <r>
    <d v="2026-11-08T00:00:00"/>
    <x v="0"/>
    <s v="R.M.P."/>
    <s v="RM 509"/>
    <s v="Purchase Withinstate - Raw Material"/>
    <s v="PIL1/D/1338"/>
    <d v="2026-11-08T00:00:00"/>
    <s v="SF"/>
    <s v="PP/PE Fabric"/>
    <s v="PP UL Fabric"/>
    <x v="1"/>
    <s v="PP UL Fabric With UV"/>
    <n v="906"/>
    <n v="130753.92"/>
    <s v="PP UL Fabric With UV"/>
    <n v="0"/>
    <n v="9"/>
    <n v="11767.85"/>
    <n v="9"/>
    <n v="11767.85"/>
    <n v="0"/>
    <n v="0"/>
    <n v="0"/>
    <n v="23535.7"/>
    <n v="0"/>
    <s v="24AAACO3087C1ZT"/>
    <s v="Kgs"/>
    <n v="39269080"/>
    <s v="Rs."/>
    <n v="1"/>
    <n v="906"/>
  </r>
  <r>
    <d v="2026-11-08T00:00:00"/>
    <x v="0"/>
    <s v="R.M.P."/>
    <s v="RM 510"/>
    <s v="Purchase Withinstate - Raw Material"/>
    <s v="PIL1/D/1334"/>
    <d v="2026-10-08T00:00:00"/>
    <s v="SF"/>
    <s v="Yarn All"/>
    <s v="PP Yarn"/>
    <x v="6"/>
    <s v="PP MF Yarn Twisted 3000 Denier UV NW"/>
    <n v="503.3"/>
    <n v="77669.259999999995"/>
    <s v="PP MF Yarn Twisted 3000 Denier UV NW"/>
    <n v="81475.05"/>
    <n v="2.5"/>
    <n v="1941.73"/>
    <n v="2.5"/>
    <n v="1941.73"/>
    <n v="0"/>
    <n v="0"/>
    <n v="0"/>
    <n v="3883.46"/>
    <n v="0"/>
    <s v="24AAACO3087C1ZT"/>
    <s v="Kgs"/>
    <n v="540263"/>
    <s v="Rs."/>
    <n v="1"/>
    <n v="503.3"/>
  </r>
  <r>
    <d v="2026-11-08T00:00:00"/>
    <x v="0"/>
    <s v="R.M.P."/>
    <s v="RM 512"/>
    <s v="Purchase Withinstate - Raw Material"/>
    <s v="PIL1/D/1343"/>
    <d v="2026-11-08T00:00:00"/>
    <s v="SF"/>
    <s v="Liners"/>
    <s v="LDPE/LLDPE Bags"/>
    <x v="4"/>
    <s v="LDPE/LLDPE Bags/Liner"/>
    <n v="3203"/>
    <n v="566482.57999999996"/>
    <s v="LDPE/LLDPE Bags/Liner"/>
    <n v="667882.96"/>
    <n v="9"/>
    <n v="50983.43"/>
    <n v="9"/>
    <n v="50983.43"/>
    <n v="0"/>
    <n v="0"/>
    <n v="0"/>
    <n v="101966.86"/>
    <n v="0"/>
    <s v="24AAACO3087C1ZT"/>
    <s v="Kgs"/>
    <n v="39200000"/>
    <s v="Rs."/>
    <n v="1"/>
    <n v="3203"/>
  </r>
  <r>
    <d v="2026-11-08T00:00:00"/>
    <x v="0"/>
    <s v="R.M.P."/>
    <s v="RM 513"/>
    <s v="Purchase Withinstate - Raw Material"/>
    <s v="PIL1/D/1342"/>
    <d v="2026-11-08T00:00:00"/>
    <s v="SF"/>
    <s v="Webbing"/>
    <s v="PP Webbing"/>
    <x v="2"/>
    <s v="Webbing"/>
    <n v="1230.8"/>
    <n v="177629.06"/>
    <s v="Webbing"/>
    <n v="1873765.76"/>
    <n v="9"/>
    <n v="15986.62"/>
    <n v="9"/>
    <n v="15986.62"/>
    <n v="0"/>
    <n v="0"/>
    <n v="0"/>
    <n v="31973.24"/>
    <n v="0"/>
    <s v="24AAACO3087C1ZT"/>
    <s v="Kgs"/>
    <n v="3926908"/>
    <s v="Rs."/>
    <n v="1"/>
    <n v="1230.8"/>
  </r>
  <r>
    <d v="2026-11-08T00:00:00"/>
    <x v="0"/>
    <s v="R.M.P."/>
    <s v="RM 513"/>
    <s v="Purchase Withinstate - Raw Material"/>
    <s v="PIL1/D/1342"/>
    <d v="2026-11-08T00:00:00"/>
    <s v="SF"/>
    <s v="PP/PE Fabric"/>
    <s v="PP Lam Fabric"/>
    <x v="3"/>
    <s v="PP Lam Fabric With UV"/>
    <n v="3118"/>
    <n v="465579.76"/>
    <s v="PP Lam Fabric With UV"/>
    <n v="0"/>
    <n v="9"/>
    <n v="41902.18"/>
    <n v="9"/>
    <n v="41902.18"/>
    <n v="0"/>
    <n v="0"/>
    <n v="0"/>
    <n v="83804.36"/>
    <n v="0"/>
    <s v="24AAACO3087C1ZT"/>
    <s v="Kgs"/>
    <n v="63053300"/>
    <s v="Rs."/>
    <n v="1"/>
    <n v="3118"/>
  </r>
  <r>
    <d v="2026-11-08T00:00:00"/>
    <x v="0"/>
    <s v="R.M.P."/>
    <s v="RM 513"/>
    <s v="Purchase Withinstate - Raw Material"/>
    <s v="PIL1/D/1342"/>
    <d v="2026-11-08T00:00:00"/>
    <s v="SF"/>
    <s v="PP/PE Fabric"/>
    <s v="PP Lam Fabric"/>
    <x v="3"/>
    <s v="PP Lam Fabric With UV"/>
    <n v="932"/>
    <n v="136370.23999999999"/>
    <s v="PP Lam Fabric With UV"/>
    <n v="0"/>
    <n v="9"/>
    <n v="12273.32"/>
    <n v="9"/>
    <n v="12273.32"/>
    <n v="0"/>
    <n v="0"/>
    <n v="0"/>
    <n v="24546.639999999999"/>
    <n v="0"/>
    <s v="24AAACO3087C1ZT"/>
    <s v="Kgs"/>
    <n v="63053300"/>
    <s v="Rs."/>
    <n v="1"/>
    <n v="932"/>
  </r>
  <r>
    <d v="2026-11-08T00:00:00"/>
    <x v="0"/>
    <s v="R.M.P."/>
    <s v="RM 513"/>
    <s v="Purchase Withinstate - Raw Material"/>
    <s v="PIL1/D/1342"/>
    <d v="2026-11-08T00:00:00"/>
    <s v="SF"/>
    <s v="PP/PE Fabric"/>
    <s v="PP Lam Fabric"/>
    <x v="3"/>
    <s v="PP Lam Fabric With UV"/>
    <n v="831"/>
    <n v="119929.92"/>
    <s v="PP Lam Fabric With UV"/>
    <n v="0"/>
    <n v="9"/>
    <n v="10793.69"/>
    <n v="9"/>
    <n v="10793.69"/>
    <n v="0"/>
    <n v="0"/>
    <n v="0"/>
    <n v="21587.38"/>
    <n v="0"/>
    <s v="24AAACO3087C1ZT"/>
    <s v="Kgs"/>
    <n v="63053300"/>
    <s v="Rs."/>
    <n v="1"/>
    <n v="831"/>
  </r>
  <r>
    <d v="2026-11-08T00:00:00"/>
    <x v="0"/>
    <s v="R.M.P."/>
    <s v="RM 513"/>
    <s v="Purchase Withinstate - Raw Material"/>
    <s v="PIL1/D/1342"/>
    <d v="2026-11-08T00:00:00"/>
    <s v="SF"/>
    <s v="Webbing"/>
    <s v="PP Webbing"/>
    <x v="2"/>
    <s v="Webbing"/>
    <n v="1858"/>
    <n v="273720.56"/>
    <s v="Webbing"/>
    <n v="0"/>
    <n v="9"/>
    <n v="24634.85"/>
    <n v="9"/>
    <n v="24634.85"/>
    <n v="0"/>
    <n v="0"/>
    <n v="0"/>
    <n v="49269.7"/>
    <n v="0"/>
    <s v="24AAACO3087C1ZT"/>
    <s v="Kgs"/>
    <n v="3926908"/>
    <s v="Rs."/>
    <n v="1"/>
    <n v="1858"/>
  </r>
  <r>
    <d v="2026-11-08T00:00:00"/>
    <x v="0"/>
    <s v="R.M.P."/>
    <s v="RM 513"/>
    <s v="Purchase Withinstate - Raw Material"/>
    <s v="PIL1/D/1342"/>
    <d v="2026-11-08T00:00:00"/>
    <s v="SF"/>
    <s v="PP/PE Fabric"/>
    <s v="PP UL Fabric"/>
    <x v="1"/>
    <s v="PP UL Fabric With UV"/>
    <n v="2680"/>
    <n v="381417.6"/>
    <s v="PP UL Fabric With UV"/>
    <n v="0"/>
    <n v="9"/>
    <n v="34327.58"/>
    <n v="9"/>
    <n v="34327.58"/>
    <n v="0"/>
    <n v="0"/>
    <n v="0"/>
    <n v="68655.16"/>
    <n v="0"/>
    <s v="24AAACO3087C1ZT"/>
    <s v="Kgs"/>
    <n v="39269080"/>
    <s v="Rs."/>
    <n v="1"/>
    <n v="2680"/>
  </r>
  <r>
    <d v="2026-11-08T00:00:00"/>
    <x v="0"/>
    <s v="R.M.P."/>
    <s v="RM 513"/>
    <s v="Purchase Withinstate - Raw Material"/>
    <s v="PIL1/D/1342"/>
    <d v="2026-11-08T00:00:00"/>
    <s v="SF"/>
    <s v="PP/PE Fabric"/>
    <s v="PP UL Fabric"/>
    <x v="1"/>
    <s v="PP UL Fabric With UV"/>
    <n v="240"/>
    <n v="34636.800000000003"/>
    <s v="PP UL Fabric With UV"/>
    <n v="0"/>
    <n v="9"/>
    <n v="3117.31"/>
    <n v="9"/>
    <n v="3117.31"/>
    <n v="0"/>
    <n v="0"/>
    <n v="0"/>
    <n v="6234.62"/>
    <n v="0"/>
    <s v="24AAACO3087C1ZT"/>
    <s v="Kgs"/>
    <n v="39269080"/>
    <s v="Rs."/>
    <n v="1"/>
    <n v="240"/>
  </r>
  <r>
    <d v="2026-11-08T00:00:00"/>
    <x v="2"/>
    <s v="R.M.P."/>
    <s v="RM 508"/>
    <s v="Purchase Withinstate - Traded Goods"/>
    <s v="PPL/D/475"/>
    <d v="2026-11-08T00:00:00"/>
    <s v="FG"/>
    <s v="FIBC Bags"/>
    <s v="FIBC Bags"/>
    <x v="5"/>
    <s v="FIBC Bags With UV Without Liner"/>
    <n v="3043"/>
    <n v="540102.06999999995"/>
    <s v="FIBC Bags With UV Without Liner"/>
    <n v="975064.39"/>
    <n v="9"/>
    <n v="48609.19"/>
    <n v="9"/>
    <n v="48609.19"/>
    <n v="0"/>
    <n v="0"/>
    <n v="0"/>
    <n v="97218.38"/>
    <n v="0"/>
    <s v="24AAFCP2956A1ZR"/>
    <s v="Kgs"/>
    <n v="63053200"/>
    <s v="Rs."/>
    <n v="1"/>
    <n v="3043"/>
  </r>
  <r>
    <d v="2026-11-08T00:00:00"/>
    <x v="2"/>
    <s v="R.M.P."/>
    <s v="RM 508"/>
    <s v="Purchase Withinstate - Traded Goods"/>
    <s v="PPL/D/475"/>
    <d v="2026-11-08T00:00:00"/>
    <s v="FG"/>
    <s v="FIBC Bags"/>
    <s v="FIBC Bags"/>
    <x v="5"/>
    <s v="FIBC Bags With UV Without Liner"/>
    <n v="1595"/>
    <n v="286924.55"/>
    <s v="FIBC Bags With UV Without Liner"/>
    <n v="0"/>
    <n v="9"/>
    <n v="25823.21"/>
    <n v="9"/>
    <n v="25823.21"/>
    <n v="0"/>
    <n v="0"/>
    <n v="0"/>
    <n v="51646.42"/>
    <n v="0"/>
    <s v="24AAFCP2956A1ZR"/>
    <s v="Kgs"/>
    <n v="63053200"/>
    <s v="Rs."/>
    <n v="1"/>
    <n v="1595"/>
  </r>
  <r>
    <d v="2026-11-08T00:00:00"/>
    <x v="2"/>
    <s v="R.M.P."/>
    <s v="RM 511"/>
    <s v="Purchase Withinstate - Raw Material"/>
    <s v="PPL/D/476"/>
    <d v="2026-11-08T00:00:00"/>
    <s v="FG"/>
    <s v="FIBC WIP"/>
    <s v="FIBC WIP"/>
    <x v="7"/>
    <s v="PP Woven Fabric"/>
    <n v="187"/>
    <n v="24979.46"/>
    <s v="FIBC WIP"/>
    <n v="29450.78"/>
    <n v="9"/>
    <n v="2248.15"/>
    <n v="9"/>
    <n v="2248.15"/>
    <n v="0"/>
    <n v="0"/>
    <n v="0"/>
    <n v="4496.3"/>
    <n v="0"/>
    <s v="24AAFCP2956A1ZR"/>
    <s v="Kgs"/>
    <n v="39269080"/>
    <s v="Rs."/>
    <n v="1"/>
    <n v="187"/>
  </r>
  <r>
    <d v="2026-12-08T00:00:00"/>
    <x v="5"/>
    <s v="Purchase"/>
    <s v="GNPK 79"/>
    <s v="Purchase Withinstate- Packing Material"/>
    <s v="BI/26-27/080"/>
    <d v="2026-10-08T00:00:00"/>
    <s v="Packing Material"/>
    <s v="Pallets"/>
    <s v="Packing Material"/>
    <x v="8"/>
    <s v="Wooden Pallet Flate Size 85X105Cm"/>
    <n v="50"/>
    <n v="29250"/>
    <s v="Wooden Pallet Flate Size 85X105Cm"/>
    <n v="185588"/>
    <n v="2.5"/>
    <n v="731.25"/>
    <n v="2.5"/>
    <n v="731.25"/>
    <n v="0"/>
    <n v="0"/>
    <n v="0"/>
    <n v="1462.5"/>
    <n v="0"/>
    <s v="24AXVPT0296P1ZD"/>
    <s v="Pcs"/>
    <n v="44152000"/>
    <s v="Rs."/>
    <n v="1"/>
    <n v="0"/>
  </r>
  <r>
    <d v="2026-12-08T00:00:00"/>
    <x v="5"/>
    <s v="Purchase"/>
    <s v="GNPK 79"/>
    <s v="Purchase Withinstate- Packing Material"/>
    <s v="BI/26-27/080"/>
    <d v="2026-10-08T00:00:00"/>
    <s v="Packing Material"/>
    <s v="Pallets"/>
    <s v="Pallets"/>
    <x v="8"/>
    <s v="Pine Wooden Pallet Design Code STD90110"/>
    <n v="100"/>
    <n v="77500"/>
    <s v="Pine Wooden Pallet Design Code STD90110"/>
    <n v="0"/>
    <n v="2.5"/>
    <n v="1937.5"/>
    <n v="2.5"/>
    <n v="1937.5"/>
    <n v="0"/>
    <n v="0"/>
    <n v="0"/>
    <n v="3875"/>
    <n v="0"/>
    <s v="24AXVPT0296P1ZD"/>
    <s v="Pcs"/>
    <n v="44152000"/>
    <s v="Rs."/>
    <n v="1"/>
    <n v="0"/>
  </r>
  <r>
    <d v="2026-12-08T00:00:00"/>
    <x v="5"/>
    <s v="Purchase"/>
    <s v="GNPK 79"/>
    <s v="Purchase Withinstate- Packing Material"/>
    <s v="BI/26-27/080"/>
    <d v="2026-10-08T00:00:00"/>
    <s v="Packing Material"/>
    <s v="Pallets"/>
    <s v="Pallets"/>
    <x v="8"/>
    <s v="Pine Wooden Pallet Design Code QP90110"/>
    <n v="100"/>
    <n v="70000"/>
    <s v="Pine Wooden Pallet Design Code QP90110"/>
    <n v="0"/>
    <n v="2.5"/>
    <n v="1750"/>
    <n v="2.5"/>
    <n v="1750"/>
    <n v="0"/>
    <n v="0"/>
    <n v="0"/>
    <n v="3500"/>
    <n v="0"/>
    <s v="24AXVPT0296P1ZD"/>
    <s v="Pcs"/>
    <n v="44152000"/>
    <s v="Rs."/>
    <n v="1"/>
    <n v="0"/>
  </r>
  <r>
    <d v="2026-12-08T00:00:00"/>
    <x v="17"/>
    <s v="General Purchase"/>
    <s v="GNCN 345"/>
    <s v="Purchase Withinstate- Stores, Spares &amp; Consumable"/>
    <s v="BG26-27/66"/>
    <s v="21-07-2026"/>
    <s v="Consumables"/>
    <s v="Rubber/Polymer Stereo"/>
    <s v="Spares &amp; Stores"/>
    <x v="0"/>
    <s v="Polymer Stereo"/>
    <n v="2795.07"/>
    <n v="3913.1"/>
    <s v="Polymer Stereo"/>
    <n v="5089"/>
    <n v="9"/>
    <n v="352.18"/>
    <n v="9"/>
    <n v="352.18"/>
    <n v="0"/>
    <n v="0"/>
    <n v="72"/>
    <n v="776.36"/>
    <n v="0"/>
    <s v="24BGAPP5082Q1ZW"/>
    <s v="CMS"/>
    <n v="37013000"/>
    <s v="Rs."/>
    <n v="1"/>
    <n v="0"/>
  </r>
  <r>
    <d v="2026-12-08T00:00:00"/>
    <x v="18"/>
    <s v="General Purchase"/>
    <s v="GNCN 338"/>
    <s v="Purchase Withinstate- Stores, Spares &amp; Consumable"/>
    <n v="1321"/>
    <d v="2026-04-08T00:00:00"/>
    <s v="Consumables"/>
    <s v="Rubber/Polymer Stereo"/>
    <s v="Spares &amp; Stores"/>
    <x v="0"/>
    <s v="Rubber Stereo"/>
    <n v="1344"/>
    <n v="1545.6"/>
    <s v="Rubber Stereo"/>
    <n v="2631"/>
    <n v="9"/>
    <n v="139.1"/>
    <n v="9"/>
    <n v="139.1"/>
    <n v="0"/>
    <n v="0"/>
    <n v="0"/>
    <n v="278.2"/>
    <n v="0"/>
    <s v="24ALEPC4203C1Z3"/>
    <s v="Pcs"/>
    <n v="400200"/>
    <s v="Rs."/>
    <n v="1"/>
    <n v="0"/>
  </r>
  <r>
    <d v="2026-12-08T00:00:00"/>
    <x v="18"/>
    <s v="General Purchase"/>
    <s v="GNCN 338"/>
    <s v="Purchase Withinstate- Stores, Spares &amp; Consumable"/>
    <n v="1321"/>
    <d v="2026-04-08T00:00:00"/>
    <s v="Consumables"/>
    <s v="Rubber/Polymer Stereo"/>
    <s v="Spares &amp; Stores"/>
    <x v="0"/>
    <s v="Rubber Stereo"/>
    <n v="595"/>
    <n v="684.25"/>
    <s v="Rubber Stereo"/>
    <n v="0"/>
    <n v="9"/>
    <n v="61.58"/>
    <n v="9"/>
    <n v="61.58"/>
    <n v="0"/>
    <n v="0"/>
    <n v="0"/>
    <n v="123.16"/>
    <n v="0"/>
    <s v="24ALEPC4203C1Z3"/>
    <s v="Pcs"/>
    <n v="400200"/>
    <s v="Rs."/>
    <n v="1"/>
    <n v="0"/>
  </r>
  <r>
    <d v="2026-12-08T00:00:00"/>
    <x v="18"/>
    <s v="General Purchase"/>
    <s v="GNCN 339"/>
    <s v="Purchase Withinstate- Stores, Spares &amp; Consumable"/>
    <n v="1266"/>
    <s v="30-07-2026"/>
    <s v="Consumables"/>
    <s v="Rubber/Polymer Stereo"/>
    <s v="Spares &amp; Stores"/>
    <x v="0"/>
    <s v="Rubber Stereo"/>
    <n v="728"/>
    <n v="837.2"/>
    <s v="Rubber Stereo"/>
    <n v="988"/>
    <n v="9"/>
    <n v="75.349999999999994"/>
    <n v="9"/>
    <n v="75.349999999999994"/>
    <n v="0"/>
    <n v="0"/>
    <n v="0"/>
    <n v="150.69999999999999"/>
    <n v="0"/>
    <s v="24ALEPC4203C1Z3"/>
    <s v="Pcs"/>
    <n v="400200"/>
    <s v="Rs."/>
    <n v="1"/>
    <n v="0"/>
  </r>
  <r>
    <d v="2026-12-08T00:00:00"/>
    <x v="19"/>
    <s v="General Purchase"/>
    <s v="GNCN 353"/>
    <s v="Purchase Withinstate- Stores, Spares &amp; Consumable"/>
    <s v="KPV/D/529."/>
    <s v="30-07-2026"/>
    <s v="Stores/Spares"/>
    <s v="MS Structure Items"/>
    <s v="Spares &amp; Stores"/>
    <x v="0"/>
    <s v="MS Pipe 4  C Class"/>
    <n v="21"/>
    <n v="1008"/>
    <s v="MS Pipe 4  C Class"/>
    <n v="1188.43"/>
    <n v="9"/>
    <n v="90.72"/>
    <n v="9"/>
    <n v="90.72"/>
    <n v="0"/>
    <n v="0"/>
    <n v="0"/>
    <n v="181.44"/>
    <n v="0"/>
    <s v="24AAECK6307M1ZF"/>
    <s v="Kgs"/>
    <n v="73063090"/>
    <s v="Rs."/>
    <n v="1"/>
    <n v="0"/>
  </r>
  <r>
    <d v="2026-12-08T00:00:00"/>
    <x v="20"/>
    <s v="General Purchase"/>
    <s v="GNSP 147"/>
    <s v="Purchase Withinstate- Stores, Spares &amp; Consumable"/>
    <s v="GST/26-27/177"/>
    <d v="2026-10-08T00:00:00"/>
    <s v="Stores/Spares"/>
    <s v="MS Structure Items"/>
    <s v="Spares &amp; Stores"/>
    <x v="0"/>
    <s v="MS Square Pipe 1.5 X 1.5 X 2 mm"/>
    <n v="165"/>
    <n v="9075"/>
    <s v="MS Square Pipe 1.5 X 1.5 X 2 mm"/>
    <n v="13423"/>
    <n v="9"/>
    <n v="816.75"/>
    <n v="9"/>
    <n v="816.75"/>
    <n v="0"/>
    <n v="0"/>
    <n v="0"/>
    <n v="1633.5"/>
    <n v="0"/>
    <s v="24AAXPA0141K1ZV"/>
    <s v="Kgs"/>
    <n v="73063090"/>
    <s v="Rs."/>
    <n v="1"/>
    <n v="0"/>
  </r>
  <r>
    <d v="2026-12-08T00:00:00"/>
    <x v="20"/>
    <s v="General Purchase"/>
    <s v="GNSP 147"/>
    <s v="Purchase Withinstate- Stores, Spares &amp; Consumable"/>
    <s v="GST/26-27/177"/>
    <d v="2026-10-08T00:00:00"/>
    <s v="Stores/Spares"/>
    <s v="MS Structure Items"/>
    <s v="Spares &amp; Stores"/>
    <x v="0"/>
    <s v="MS Round Pipe 1/2&quot; X 1.5mm Thick"/>
    <n v="46"/>
    <n v="2300"/>
    <s v="MS Round Pipe 1/2&quot; X 1.5mm Thick"/>
    <n v="0"/>
    <n v="9"/>
    <n v="207"/>
    <n v="9"/>
    <n v="207"/>
    <n v="0"/>
    <n v="0"/>
    <n v="0"/>
    <n v="414"/>
    <n v="0"/>
    <s v="24AAXPA0141K1ZV"/>
    <s v="Kgs"/>
    <n v="730690"/>
    <s v="Rs."/>
    <n v="1"/>
    <n v="0"/>
  </r>
  <r>
    <d v="2026-12-08T00:00:00"/>
    <x v="0"/>
    <s v="General Purchase"/>
    <s v="GNCN 351"/>
    <s v="Purchase Withinstate- Stores, Spares &amp; Consumable"/>
    <s v="PIL1/D/1349"/>
    <d v="2026-12-08T00:00:00"/>
    <s v="Stores/Spares"/>
    <s v="MS Structure Items"/>
    <s v="Spares &amp; Stores"/>
    <x v="0"/>
    <s v="MS Pipe 4  C Class"/>
    <n v="288"/>
    <n v="13824"/>
    <s v="MS Pipe 4  C Class"/>
    <n v="16298.5"/>
    <n v="9"/>
    <n v="1244.1600000000001"/>
    <n v="9"/>
    <n v="1244.1600000000001"/>
    <n v="0"/>
    <n v="0"/>
    <n v="0"/>
    <n v="2488.3200000000002"/>
    <n v="0"/>
    <s v="24AAACO3087C1ZT"/>
    <s v="Kgs"/>
    <n v="73063090"/>
    <s v="Rs."/>
    <n v="1"/>
    <n v="0"/>
  </r>
  <r>
    <d v="2026-12-08T00:00:00"/>
    <x v="0"/>
    <s v="R.M.P."/>
    <s v="RM 515"/>
    <s v="Purchase Withinstate - Raw Material"/>
    <s v="PIL1/D/1350"/>
    <d v="2026-12-08T00:00:00"/>
    <s v="SF"/>
    <s v="PP/PE Fabric"/>
    <s v="PP UL Fabric"/>
    <x v="1"/>
    <s v="PP UL Fabric With UV"/>
    <n v="2531"/>
    <n v="360211.92"/>
    <s v="PP UL Fabric With UV"/>
    <n v="1386932.11"/>
    <n v="9"/>
    <n v="32419.07"/>
    <n v="9"/>
    <n v="32419.07"/>
    <n v="0"/>
    <n v="0"/>
    <n v="0"/>
    <n v="64838.14"/>
    <n v="0"/>
    <s v="24AAACO3087C1ZT"/>
    <s v="Kgs"/>
    <n v="39269080"/>
    <s v="Rs."/>
    <n v="1"/>
    <n v="2531"/>
  </r>
  <r>
    <d v="2026-12-08T00:00:00"/>
    <x v="0"/>
    <s v="R.M.P."/>
    <s v="RM 515"/>
    <s v="Purchase Withinstate - Raw Material"/>
    <s v="PIL1/D/1350"/>
    <d v="2026-12-08T00:00:00"/>
    <s v="SF"/>
    <s v="PP/PE Fabric"/>
    <s v="PP UL Fabric"/>
    <x v="1"/>
    <s v="PP UL Fabric With UV"/>
    <n v="1126"/>
    <n v="162504.32000000001"/>
    <s v="PP UL Fabric With UV"/>
    <n v="0"/>
    <n v="9"/>
    <n v="14625.39"/>
    <n v="9"/>
    <n v="14625.39"/>
    <n v="0"/>
    <n v="0"/>
    <n v="0"/>
    <n v="29250.78"/>
    <n v="0"/>
    <s v="24AAACO3087C1ZT"/>
    <s v="Kgs"/>
    <n v="39269080"/>
    <s v="Rs."/>
    <n v="1"/>
    <n v="1126"/>
  </r>
  <r>
    <d v="2026-12-08T00:00:00"/>
    <x v="0"/>
    <s v="R.M.P."/>
    <s v="RM 515"/>
    <s v="Purchase Withinstate - Raw Material"/>
    <s v="PIL1/D/1350"/>
    <d v="2026-12-08T00:00:00"/>
    <s v="SF"/>
    <s v="Webbing"/>
    <s v="PP Webbing"/>
    <x v="2"/>
    <s v="Webbing"/>
    <n v="1254.5999999999999"/>
    <n v="181063.87"/>
    <s v="Webbing"/>
    <n v="0"/>
    <n v="9"/>
    <n v="16295.75"/>
    <n v="9"/>
    <n v="16295.75"/>
    <n v="0"/>
    <n v="0"/>
    <n v="0"/>
    <n v="32591.5"/>
    <n v="0"/>
    <s v="24AAACO3087C1ZT"/>
    <s v="Kgs"/>
    <n v="3926908"/>
    <s v="Rs."/>
    <n v="1"/>
    <n v="1254.5999999999999"/>
  </r>
  <r>
    <d v="2026-12-08T00:00:00"/>
    <x v="0"/>
    <s v="R.M.P."/>
    <s v="RM 515"/>
    <s v="Purchase Withinstate - Raw Material"/>
    <s v="PIL1/D/1350"/>
    <d v="2026-12-08T00:00:00"/>
    <s v="SF"/>
    <s v="Webbing"/>
    <s v="PP Webbing"/>
    <x v="2"/>
    <s v="Webbing"/>
    <n v="1431.9"/>
    <n v="210947.51"/>
    <s v="Webbing"/>
    <n v="0"/>
    <n v="9"/>
    <n v="18985.28"/>
    <n v="9"/>
    <n v="18985.28"/>
    <n v="0"/>
    <n v="0"/>
    <n v="0"/>
    <n v="37970.559999999998"/>
    <n v="0"/>
    <s v="24AAACO3087C1ZT"/>
    <s v="Kgs"/>
    <n v="3926908"/>
    <s v="Rs."/>
    <n v="1"/>
    <n v="1431.9"/>
  </r>
  <r>
    <d v="2026-12-08T00:00:00"/>
    <x v="0"/>
    <s v="R.M.P."/>
    <s v="RM 515"/>
    <s v="Purchase Withinstate - Raw Material"/>
    <s v="PIL1/D/1350"/>
    <d v="2026-12-08T00:00:00"/>
    <s v="SF"/>
    <s v="Yarn All"/>
    <s v="PP Yarn"/>
    <x v="6"/>
    <s v="PP MF Yarn Twisted 3000 Denier UV NW"/>
    <n v="934.5"/>
    <n v="144212.04"/>
    <s v="PP MF Yarn Twisted 3000 Denier UV NW"/>
    <n v="0"/>
    <n v="2.5"/>
    <n v="3605.3"/>
    <n v="2.5"/>
    <n v="3605.3"/>
    <n v="0"/>
    <n v="0"/>
    <n v="0"/>
    <n v="7210.6"/>
    <n v="0"/>
    <s v="24AAACO3087C1ZT"/>
    <s v="Kgs"/>
    <n v="540263"/>
    <s v="Rs."/>
    <n v="1"/>
    <n v="934.5"/>
  </r>
  <r>
    <d v="2026-12-08T00:00:00"/>
    <x v="0"/>
    <s v="R.M.P."/>
    <s v="RM 515"/>
    <s v="Purchase Withinstate - Raw Material"/>
    <s v="PIL1/D/1350"/>
    <d v="2026-12-08T00:00:00"/>
    <s v="SF"/>
    <s v="Yarn All"/>
    <s v="PP Yarn"/>
    <x v="6"/>
    <s v="PP MF Yarn Twisted 3000 Denier UV Deep Blue"/>
    <n v="952.5"/>
    <n v="149847.29999999999"/>
    <s v="PP MF Yarn Twisted 3000 Denier UV Deep Blue"/>
    <n v="0"/>
    <n v="2.5"/>
    <n v="3746.18"/>
    <n v="2.5"/>
    <n v="3746.18"/>
    <n v="0"/>
    <n v="0"/>
    <n v="0"/>
    <n v="7492.36"/>
    <n v="0"/>
    <s v="24AAACO3087C1ZT"/>
    <s v="Kgs"/>
    <n v="54026930"/>
    <s v="Rs."/>
    <n v="1"/>
    <n v="952.5"/>
  </r>
  <r>
    <d v="2026-12-08T00:00:00"/>
    <x v="0"/>
    <s v="R.M.P."/>
    <s v="RM 517"/>
    <s v="Purchase Withinstate - Raw Material"/>
    <s v="PPL/D/1347"/>
    <d v="2026-12-08T00:00:00"/>
    <s v="SF"/>
    <s v="Liners"/>
    <s v="LDPE/LLDPE Bags"/>
    <x v="4"/>
    <s v="LDPE/LLDPE Bags/Liner"/>
    <n v="109"/>
    <n v="19277.740000000002"/>
    <s v="LDPE/LLDPE Bags/Liner"/>
    <n v="1319931.47"/>
    <n v="9"/>
    <n v="1735"/>
    <n v="9"/>
    <n v="1735"/>
    <n v="0"/>
    <n v="0"/>
    <n v="0"/>
    <n v="3470"/>
    <n v="0"/>
    <s v="24AAACO3087C1ZT"/>
    <s v="Kgs"/>
    <n v="39200000"/>
    <s v="Rs."/>
    <n v="1"/>
    <n v="109"/>
  </r>
  <r>
    <d v="2026-12-08T00:00:00"/>
    <x v="0"/>
    <s v="R.M.P."/>
    <s v="RM 517"/>
    <s v="Purchase Withinstate - Raw Material"/>
    <s v="PPL/D/1347"/>
    <d v="2026-12-08T00:00:00"/>
    <s v="SF"/>
    <s v="Liners"/>
    <s v="LDPE/LLDPE Bags"/>
    <x v="4"/>
    <s v="LDPE/LLDPE Bags/Liner"/>
    <n v="182"/>
    <n v="33644.519999999997"/>
    <s v="LDPE/LLDPE Bags/Liner"/>
    <n v="0"/>
    <n v="9"/>
    <n v="3028.01"/>
    <n v="9"/>
    <n v="3028.01"/>
    <n v="0"/>
    <n v="0"/>
    <n v="0"/>
    <n v="6056.02"/>
    <n v="0"/>
    <s v="24AAACO3087C1ZT"/>
    <s v="Kgs"/>
    <n v="39200000"/>
    <s v="Rs."/>
    <n v="1"/>
    <n v="182"/>
  </r>
  <r>
    <d v="2026-12-08T00:00:00"/>
    <x v="0"/>
    <s v="R.M.P."/>
    <s v="RM 517"/>
    <s v="Purchase Withinstate - Raw Material"/>
    <s v="PPL/D/1347"/>
    <d v="2026-12-08T00:00:00"/>
    <s v="SF"/>
    <s v="PP/PE Fabric"/>
    <s v="PP UL Fabric"/>
    <x v="1"/>
    <s v="PP UL Fabric With UV"/>
    <n v="7100"/>
    <n v="1010472"/>
    <s v="PP UL Fabric With UV"/>
    <n v="0"/>
    <n v="9"/>
    <n v="90942.48"/>
    <n v="9"/>
    <n v="90942.48"/>
    <n v="0"/>
    <n v="0"/>
    <n v="0"/>
    <n v="181884.96"/>
    <n v="0"/>
    <s v="24AAACO3087C1ZT"/>
    <s v="Kgs"/>
    <n v="39269080"/>
    <s v="Rs."/>
    <n v="1"/>
    <n v="7100"/>
  </r>
  <r>
    <d v="2026-12-08T00:00:00"/>
    <x v="0"/>
    <s v="R.M.P."/>
    <s v="RM 517"/>
    <s v="Purchase Withinstate - Raw Material"/>
    <s v="PPL/D/1347"/>
    <d v="2026-12-08T00:00:00"/>
    <s v="SF"/>
    <s v="PP/PE Fabric"/>
    <s v="PP UL Fabric"/>
    <x v="1"/>
    <s v="PP UL Fabric With UV"/>
    <n v="389"/>
    <n v="56140.480000000003"/>
    <s v="PP UL Fabric With UV"/>
    <n v="0"/>
    <n v="9"/>
    <n v="5052.6400000000003"/>
    <n v="9"/>
    <n v="5052.6400000000003"/>
    <n v="0"/>
    <n v="0"/>
    <n v="0"/>
    <n v="10105.280000000001"/>
    <n v="0"/>
    <s v="24AAACO3087C1ZT"/>
    <s v="Kgs"/>
    <n v="39269080"/>
    <s v="Rs."/>
    <n v="1"/>
    <n v="389"/>
  </r>
  <r>
    <d v="2026-12-08T00:00:00"/>
    <x v="0"/>
    <s v="R.M.P."/>
    <s v="RM 519"/>
    <s v="Purchase Withinstate - Raw Material"/>
    <s v="PIL1/D/1352"/>
    <d v="2026-12-08T00:00:00"/>
    <s v="SF"/>
    <s v="Webbing"/>
    <s v="PP Webbing"/>
    <x v="2"/>
    <s v="Webbing"/>
    <n v="47.6"/>
    <n v="6869.63"/>
    <s v="Webbing"/>
    <n v="1479482.7"/>
    <n v="9"/>
    <n v="618.27"/>
    <n v="9"/>
    <n v="618.27"/>
    <n v="0"/>
    <n v="0"/>
    <n v="0"/>
    <n v="1236.54"/>
    <n v="0"/>
    <s v="24AAACO3087C1ZT"/>
    <s v="Kgs"/>
    <n v="3926908"/>
    <s v="Rs."/>
    <n v="1"/>
    <n v="47.6"/>
  </r>
  <r>
    <d v="2026-12-08T00:00:00"/>
    <x v="0"/>
    <s v="R.M.P."/>
    <s v="RM 519"/>
    <s v="Purchase Withinstate - Raw Material"/>
    <s v="PIL1/D/1352"/>
    <d v="2026-12-08T00:00:00"/>
    <s v="SF"/>
    <s v="Webbing"/>
    <s v="PP Webbing"/>
    <x v="2"/>
    <s v="Webbing"/>
    <n v="111.6"/>
    <n v="16440.91"/>
    <s v="Webbing"/>
    <n v="0"/>
    <n v="9"/>
    <n v="1479.68"/>
    <n v="9"/>
    <n v="1479.68"/>
    <n v="0"/>
    <n v="0"/>
    <n v="0"/>
    <n v="2959.36"/>
    <n v="0"/>
    <s v="24AAACO3087C1ZT"/>
    <s v="Kgs"/>
    <n v="3926908"/>
    <s v="Rs."/>
    <n v="1"/>
    <n v="111.6"/>
  </r>
  <r>
    <d v="2026-12-08T00:00:00"/>
    <x v="0"/>
    <s v="R.M.P."/>
    <s v="RM 519"/>
    <s v="Purchase Withinstate - Raw Material"/>
    <s v="PIL1/D/1352"/>
    <d v="2026-12-08T00:00:00"/>
    <s v="SF"/>
    <s v="Liners"/>
    <s v="LDPE/LLDPE Bags"/>
    <x v="4"/>
    <s v="LDPE/LLDPE Bags/Liner"/>
    <n v="3409"/>
    <n v="616551.74"/>
    <s v="LDPE/LLDPE Bags/Liner"/>
    <n v="0"/>
    <n v="9"/>
    <n v="55489.66"/>
    <n v="9"/>
    <n v="55489.66"/>
    <n v="0"/>
    <n v="0"/>
    <n v="0"/>
    <n v="110979.32"/>
    <n v="0"/>
    <s v="24AAACO3087C1ZT"/>
    <s v="Kgs"/>
    <n v="39200000"/>
    <s v="Rs."/>
    <n v="1"/>
    <n v="3409"/>
  </r>
  <r>
    <d v="2026-12-08T00:00:00"/>
    <x v="0"/>
    <s v="R.M.P."/>
    <s v="RM 519"/>
    <s v="Purchase Withinstate - Raw Material"/>
    <s v="PIL1/D/1352"/>
    <d v="2026-12-08T00:00:00"/>
    <s v="SF"/>
    <s v="Liners"/>
    <s v="LDPE/LLDPE Bags"/>
    <x v="4"/>
    <s v="LDPE/LLDPE Bags/Liner"/>
    <n v="2651.16"/>
    <n v="468884.16"/>
    <s v="LDPE/LLDPE Bags/Liner"/>
    <n v="0"/>
    <n v="9"/>
    <n v="42199.57"/>
    <n v="9"/>
    <n v="42199.57"/>
    <n v="0"/>
    <n v="0"/>
    <n v="0"/>
    <n v="84399.14"/>
    <n v="0"/>
    <s v="24AAACO3087C1ZT"/>
    <s v="Kgs"/>
    <n v="39200000"/>
    <s v="Rs."/>
    <n v="1"/>
    <n v="2651.16"/>
  </r>
  <r>
    <d v="2026-12-08T00:00:00"/>
    <x v="0"/>
    <s v="R.M.P."/>
    <s v="RM 519"/>
    <s v="Purchase Withinstate - Raw Material"/>
    <s v="PIL1/D/1352"/>
    <d v="2026-12-08T00:00:00"/>
    <s v="SF"/>
    <s v="Films All (SF)"/>
    <s v="PE Film"/>
    <x v="9"/>
    <s v="LDPE/LLDPE Film"/>
    <n v="563"/>
    <n v="93942.18"/>
    <s v="LDPE/LLDPE Film"/>
    <n v="0"/>
    <n v="9"/>
    <n v="8454.7999999999993"/>
    <n v="9"/>
    <n v="8454.7999999999993"/>
    <n v="0"/>
    <n v="0"/>
    <n v="0"/>
    <n v="16909.599999999999"/>
    <n v="0"/>
    <s v="24AAACO3087C1ZT"/>
    <s v="Kgs"/>
    <n v="3920101"/>
    <s v="Rs."/>
    <n v="1"/>
    <n v="563"/>
  </r>
  <r>
    <d v="2026-12-08T00:00:00"/>
    <x v="0"/>
    <s v="R.M.P."/>
    <s v="RM 519"/>
    <s v="Purchase Withinstate - Raw Material"/>
    <s v="PIL1/D/1352"/>
    <d v="2026-12-08T00:00:00"/>
    <s v="RM Consumables"/>
    <s v="FIBC Accessories"/>
    <s v="FIBC Accessories"/>
    <x v="0"/>
    <s v="Zip Lock Bags"/>
    <n v="15400"/>
    <n v="52173.66"/>
    <s v="Zip Lock Bags"/>
    <n v="0"/>
    <n v="9"/>
    <n v="4695.63"/>
    <n v="9"/>
    <n v="4695.63"/>
    <n v="0"/>
    <n v="0"/>
    <n v="0"/>
    <n v="9391.26"/>
    <n v="0"/>
    <s v="24AAACO3087C1ZT"/>
    <s v="Pcs"/>
    <n v="39232100"/>
    <s v="Rs."/>
    <n v="1"/>
    <n v="15400"/>
  </r>
  <r>
    <d v="2026-12-08T00:00:00"/>
    <x v="9"/>
    <s v="R.M.P."/>
    <s v="RM 518"/>
    <s v="Purchase Withinstate - Raw Material"/>
    <s v="PIL2/D/485"/>
    <d v="2026-12-08T00:00:00"/>
    <s v="SF"/>
    <s v="PP/PE Fabric"/>
    <s v="PP UL Fabric"/>
    <x v="1"/>
    <s v="PP UL Fabric With UV"/>
    <n v="5877.7"/>
    <n v="931027.68"/>
    <s v="PP UL Fabric With UV"/>
    <n v="1097681.53"/>
    <n v="9"/>
    <n v="83792.490000000005"/>
    <n v="9"/>
    <n v="83792.490000000005"/>
    <n v="0"/>
    <n v="0"/>
    <n v="0"/>
    <n v="167584.98000000001"/>
    <n v="0"/>
    <s v="24AAACO3087C1ZT"/>
    <s v="Kgs"/>
    <n v="39269080"/>
    <s v="Rs."/>
    <n v="1"/>
    <n v="5877.7"/>
  </r>
  <r>
    <d v="2026-12-08T00:00:00"/>
    <x v="2"/>
    <s v="General Purchase"/>
    <s v="GNCN 352"/>
    <s v="Purchase Withinstate - Raw Material"/>
    <s v="PPL/D/480"/>
    <d v="2026-12-08T00:00:00"/>
    <s v="SF"/>
    <s v="Liners"/>
    <s v="LDPE/LLDPE Bags"/>
    <x v="12"/>
    <s v="PE Labels (Kgs)"/>
    <n v="50"/>
    <n v="12950"/>
    <s v="PE Labels (Kgs)"/>
    <n v="15268.05"/>
    <n v="9"/>
    <n v="1165.5"/>
    <n v="9"/>
    <n v="1165.5"/>
    <n v="0"/>
    <n v="0"/>
    <n v="0"/>
    <n v="2331"/>
    <n v="0"/>
    <s v="24AAFCP2956A1ZR"/>
    <s v="Kgs"/>
    <n v="3920101"/>
    <s v="Rs."/>
    <n v="1"/>
    <n v="50"/>
  </r>
  <r>
    <d v="2026-12-08T00:00:00"/>
    <x v="2"/>
    <s v="R.M.P."/>
    <s v="RM 516"/>
    <s v="Purchase Withinstate - Raw Material"/>
    <s v="PPL/D/483"/>
    <d v="2026-12-08T00:00:00"/>
    <s v="SF"/>
    <s v="Yarn All"/>
    <s v="PP Yarn"/>
    <x v="6"/>
    <s v="PP MF Yarn Twisted 3000 Denier UV NW"/>
    <n v="382.7"/>
    <n v="59854.28"/>
    <s v="PP MF Yarn Twisted 3000 Denier UV NW"/>
    <n v="62787.15"/>
    <n v="2.5"/>
    <n v="1496.36"/>
    <n v="2.5"/>
    <n v="1496.36"/>
    <n v="0"/>
    <n v="0"/>
    <n v="0"/>
    <n v="2992.72"/>
    <n v="0"/>
    <s v="24AAFCP2956A1ZR"/>
    <s v="Kgs"/>
    <n v="540263"/>
    <s v="Rs."/>
    <n v="1"/>
    <n v="382.7"/>
  </r>
  <r>
    <d v="2026-12-08T00:00:00"/>
    <x v="21"/>
    <s v="General Purchase"/>
    <s v="GNCN 347"/>
    <s v="Purchase Withinstate- Stores, Spares &amp; Consumable"/>
    <s v="3158/2026-27"/>
    <d v="2026-06-08T00:00:00"/>
    <s v="Consumables"/>
    <s v="Rubber/Polymer Stereo"/>
    <s v="Spares &amp; Stores"/>
    <x v="0"/>
    <s v="Polymer Stereo"/>
    <n v="299"/>
    <n v="448.5"/>
    <s v="Polymer Stereo"/>
    <n v="647"/>
    <n v="9"/>
    <n v="40.36"/>
    <n v="9"/>
    <n v="40.36"/>
    <n v="0"/>
    <n v="0"/>
    <n v="18"/>
    <n v="98.72"/>
    <n v="0"/>
    <s v="24AAACQ5321R1Z7"/>
    <s v="CMS"/>
    <n v="37013000"/>
    <s v="Rs."/>
    <n v="1"/>
    <n v="0"/>
  </r>
  <r>
    <d v="2026-12-08T00:00:00"/>
    <x v="21"/>
    <s v="General Purchase"/>
    <s v="GNCN 348"/>
    <s v="Purchase Withinstate- Stores, Spares &amp; Consumable"/>
    <s v="3051/2026-27"/>
    <d v="2026-01-08T00:00:00"/>
    <s v="Consumables"/>
    <s v="Rubber/Polymer Stereo"/>
    <s v="Spares &amp; Stores"/>
    <x v="0"/>
    <s v="Polymer Stereo"/>
    <n v="575"/>
    <n v="862.5"/>
    <s v="Polymer Stereo"/>
    <n v="1136"/>
    <n v="9"/>
    <n v="77.62"/>
    <n v="9"/>
    <n v="77.62"/>
    <n v="0"/>
    <n v="0"/>
    <n v="18"/>
    <n v="173.24"/>
    <n v="0"/>
    <s v="24AAACQ5321R1Z7"/>
    <s v="CMS"/>
    <n v="37013000"/>
    <s v="Rs."/>
    <n v="1"/>
    <n v="0"/>
  </r>
  <r>
    <d v="2026-12-08T00:00:00"/>
    <x v="22"/>
    <s v="General Purchase"/>
    <s v="GNCN 340"/>
    <s v="Purchase Withinstate- Stores, Spares &amp; Consumable"/>
    <n v="1715"/>
    <s v="30-07-2026"/>
    <s v="Consumables"/>
    <s v="Rubber/Polymer Stereo"/>
    <s v="Spares &amp; Stores"/>
    <x v="0"/>
    <s v="Rubber Stereo"/>
    <n v="6048"/>
    <n v="2116.8000000000002"/>
    <s v="Rubber Stereo"/>
    <n v="4071"/>
    <n v="9"/>
    <n v="190.51"/>
    <n v="9"/>
    <n v="190.51"/>
    <n v="0"/>
    <n v="0"/>
    <n v="0"/>
    <n v="381.02"/>
    <n v="0"/>
    <s v="24AHDPC2510M1ZU"/>
    <s v="Pcs"/>
    <n v="400200"/>
    <s v="Rs."/>
    <n v="1"/>
    <n v="0"/>
  </r>
  <r>
    <d v="2026-12-08T00:00:00"/>
    <x v="22"/>
    <s v="General Purchase"/>
    <s v="GNCN 340"/>
    <s v="Purchase Withinstate- Stores, Spares &amp; Consumable"/>
    <n v="1715"/>
    <s v="30-07-2026"/>
    <s v="Consumables"/>
    <s v="Rubber/Polymer Stereo"/>
    <s v="Spares &amp; Stores"/>
    <x v="0"/>
    <s v="Rubber Stereo"/>
    <n v="3808"/>
    <n v="1332.8"/>
    <s v="Rubber Stereo"/>
    <n v="0"/>
    <n v="9"/>
    <n v="119.95"/>
    <n v="9"/>
    <n v="119.95"/>
    <n v="0"/>
    <n v="0"/>
    <n v="0"/>
    <n v="239.9"/>
    <n v="0"/>
    <s v="24AHDPC2510M1ZU"/>
    <s v="Pcs"/>
    <n v="400200"/>
    <s v="Rs."/>
    <n v="1"/>
    <n v="0"/>
  </r>
  <r>
    <d v="2026-12-08T00:00:00"/>
    <x v="22"/>
    <s v="General Purchase"/>
    <s v="GNCN 341"/>
    <s v="Purchase Withinstate- Stores, Spares &amp; Consumable"/>
    <n v="1698"/>
    <s v="30-07-2026"/>
    <s v="Consumables"/>
    <s v="Rubber/Polymer Stereo"/>
    <s v="Spares &amp; Stores"/>
    <x v="0"/>
    <s v="Rubber Stereo"/>
    <n v="4050"/>
    <n v="1417.5"/>
    <s v="Rubber Stereo"/>
    <n v="2478"/>
    <n v="9"/>
    <n v="127.58"/>
    <n v="9"/>
    <n v="127.58"/>
    <n v="0"/>
    <n v="0"/>
    <n v="0"/>
    <n v="255.16"/>
    <n v="0"/>
    <s v="24AHDPC2510M1ZU"/>
    <s v="Pcs"/>
    <n v="400200"/>
    <s v="Rs."/>
    <n v="1"/>
    <n v="0"/>
  </r>
  <r>
    <d v="2026-12-08T00:00:00"/>
    <x v="22"/>
    <s v="General Purchase"/>
    <s v="GNCN 341"/>
    <s v="Purchase Withinstate- Stores, Spares &amp; Consumable"/>
    <n v="1698"/>
    <s v="30-07-2026"/>
    <s v="Consumables"/>
    <s v="Rubber/Polymer Stereo"/>
    <s v="Spares &amp; Stores"/>
    <x v="0"/>
    <s v="Rubber Stereo"/>
    <n v="650"/>
    <n v="227.5"/>
    <s v="Rubber Stereo"/>
    <n v="0"/>
    <n v="9"/>
    <n v="20.47"/>
    <n v="9"/>
    <n v="20.47"/>
    <n v="0"/>
    <n v="0"/>
    <n v="0"/>
    <n v="40.94"/>
    <n v="0"/>
    <s v="24AHDPC2510M1ZU"/>
    <s v="Pcs"/>
    <n v="400200"/>
    <s v="Rs."/>
    <n v="1"/>
    <n v="0"/>
  </r>
  <r>
    <d v="2026-12-08T00:00:00"/>
    <x v="22"/>
    <s v="General Purchase"/>
    <s v="GNCN 341"/>
    <s v="Purchase Withinstate- Stores, Spares &amp; Consumable"/>
    <n v="1698"/>
    <s v="30-07-2026"/>
    <s v="Consumables"/>
    <s v="Rubber/Polymer Stereo"/>
    <s v="Spares &amp; Stores"/>
    <x v="0"/>
    <s v="Rubber Stereo"/>
    <n v="1300"/>
    <n v="455"/>
    <s v="Rubber Stereo"/>
    <n v="0"/>
    <n v="9"/>
    <n v="40.950000000000003"/>
    <n v="9"/>
    <n v="40.950000000000003"/>
    <n v="0"/>
    <n v="0"/>
    <n v="0"/>
    <n v="81.900000000000006"/>
    <n v="0"/>
    <s v="24AHDPC2510M1ZU"/>
    <s v="Pcs"/>
    <n v="400200"/>
    <s v="Rs."/>
    <n v="1"/>
    <n v="0"/>
  </r>
  <r>
    <d v="2026-12-08T00:00:00"/>
    <x v="22"/>
    <s v="General Purchase"/>
    <s v="GNCN 342"/>
    <s v="Purchase Withinstate- Stores, Spares &amp; Consumable"/>
    <n v="1819"/>
    <d v="2026-05-08T00:00:00"/>
    <s v="Consumables"/>
    <s v="Rubber/Polymer Stereo"/>
    <s v="Spares &amp; Stores"/>
    <x v="0"/>
    <s v="Rubber Stereo"/>
    <n v="4104"/>
    <n v="1436.4"/>
    <s v="Rubber Stereo"/>
    <n v="7159"/>
    <n v="9"/>
    <n v="129.28"/>
    <n v="9"/>
    <n v="129.28"/>
    <n v="0"/>
    <n v="0"/>
    <n v="0"/>
    <n v="258.56"/>
    <n v="0"/>
    <s v="24AHDPC2510M1ZU"/>
    <s v="Pcs"/>
    <n v="400200"/>
    <s v="Rs."/>
    <n v="1"/>
    <n v="0"/>
  </r>
  <r>
    <d v="2026-12-08T00:00:00"/>
    <x v="22"/>
    <s v="General Purchase"/>
    <s v="GNCN 342"/>
    <s v="Purchase Withinstate- Stores, Spares &amp; Consumable"/>
    <n v="1819"/>
    <d v="2026-05-08T00:00:00"/>
    <s v="Consumables"/>
    <s v="Rubber/Polymer Stereo"/>
    <s v="Spares &amp; Stores"/>
    <x v="0"/>
    <s v="Rubber Stereo"/>
    <n v="1728"/>
    <n v="604.79999999999995"/>
    <s v="Rubber Stereo"/>
    <n v="0"/>
    <n v="9"/>
    <n v="54.43"/>
    <n v="9"/>
    <n v="54.43"/>
    <n v="0"/>
    <n v="0"/>
    <n v="0"/>
    <n v="108.86"/>
    <n v="0"/>
    <s v="24AHDPC2510M1ZU"/>
    <s v="Pcs"/>
    <n v="400200"/>
    <s v="Rs."/>
    <n v="1"/>
    <n v="0"/>
  </r>
  <r>
    <d v="2026-12-08T00:00:00"/>
    <x v="22"/>
    <s v="General Purchase"/>
    <s v="GNCN 342"/>
    <s v="Purchase Withinstate- Stores, Spares &amp; Consumable"/>
    <n v="1819"/>
    <d v="2026-05-08T00:00:00"/>
    <s v="Consumables"/>
    <s v="Rubber/Polymer Stereo"/>
    <s v="Spares &amp; Stores"/>
    <x v="0"/>
    <s v="Rubber Stereo"/>
    <n v="495"/>
    <n v="173.25"/>
    <s v="Rubber Stereo"/>
    <n v="0"/>
    <n v="9"/>
    <n v="15.59"/>
    <n v="9"/>
    <n v="15.59"/>
    <n v="0"/>
    <n v="0"/>
    <n v="0"/>
    <n v="31.18"/>
    <n v="0"/>
    <s v="24AHDPC2510M1ZU"/>
    <s v="Pcs"/>
    <n v="400200"/>
    <s v="Rs."/>
    <n v="1"/>
    <n v="0"/>
  </r>
  <r>
    <d v="2026-12-08T00:00:00"/>
    <x v="22"/>
    <s v="General Purchase"/>
    <s v="GNCN 342"/>
    <s v="Purchase Withinstate- Stores, Spares &amp; Consumable"/>
    <n v="1819"/>
    <d v="2026-05-08T00:00:00"/>
    <s v="Consumables"/>
    <s v="Rubber/Polymer Stereo"/>
    <s v="Spares &amp; Stores"/>
    <x v="0"/>
    <s v="Rubber Stereo"/>
    <n v="3920"/>
    <n v="1372"/>
    <s v="Rubber Stereo"/>
    <n v="0"/>
    <n v="9"/>
    <n v="123.48"/>
    <n v="9"/>
    <n v="123.48"/>
    <n v="0"/>
    <n v="0"/>
    <n v="0"/>
    <n v="246.96"/>
    <n v="0"/>
    <s v="24AHDPC2510M1ZU"/>
    <s v="Pcs"/>
    <n v="400200"/>
    <s v="Rs."/>
    <n v="1"/>
    <n v="0"/>
  </r>
  <r>
    <d v="2026-12-08T00:00:00"/>
    <x v="22"/>
    <s v="General Purchase"/>
    <s v="GNCN 342"/>
    <s v="Purchase Withinstate- Stores, Spares &amp; Consumable"/>
    <n v="1819"/>
    <d v="2026-05-08T00:00:00"/>
    <s v="Consumables"/>
    <s v="Rubber/Polymer Stereo"/>
    <s v="Spares &amp; Stores"/>
    <x v="0"/>
    <s v="Rubber Stereo"/>
    <n v="2542"/>
    <n v="889.7"/>
    <s v="Rubber Stereo"/>
    <n v="0"/>
    <n v="9"/>
    <n v="80.069999999999993"/>
    <n v="9"/>
    <n v="80.069999999999993"/>
    <n v="0"/>
    <n v="0"/>
    <n v="0"/>
    <n v="160.13999999999999"/>
    <n v="0"/>
    <s v="24AHDPC2510M1ZU"/>
    <s v="Pcs"/>
    <n v="400200"/>
    <s v="Rs."/>
    <n v="1"/>
    <n v="0"/>
  </r>
  <r>
    <d v="2026-12-08T00:00:00"/>
    <x v="22"/>
    <s v="General Purchase"/>
    <s v="GNCN 342"/>
    <s v="Purchase Withinstate- Stores, Spares &amp; Consumable"/>
    <n v="1819"/>
    <d v="2026-05-08T00:00:00"/>
    <s v="Consumables"/>
    <s v="Rubber/Polymer Stereo"/>
    <s v="Spares &amp; Stores"/>
    <x v="0"/>
    <s v="Rubber Stereo"/>
    <n v="4544"/>
    <n v="1590.4"/>
    <s v="Rubber Stereo"/>
    <n v="0"/>
    <n v="9"/>
    <n v="143.13999999999999"/>
    <n v="9"/>
    <n v="143.13999999999999"/>
    <n v="0"/>
    <n v="0"/>
    <n v="0"/>
    <n v="286.27999999999997"/>
    <n v="0"/>
    <s v="24AHDPC2510M1ZU"/>
    <s v="Pcs"/>
    <n v="400200"/>
    <s v="Rs."/>
    <n v="1"/>
    <n v="0"/>
  </r>
  <r>
    <d v="2026-12-08T00:00:00"/>
    <x v="22"/>
    <s v="General Purchase"/>
    <s v="GNCN 343"/>
    <s v="Purchase Withinstate- Stores, Spares &amp; Consumable"/>
    <n v="1800"/>
    <d v="2026-04-08T00:00:00"/>
    <s v="Consumables"/>
    <s v="Rubber/Polymer Stereo"/>
    <s v="Spares &amp; Stores"/>
    <x v="0"/>
    <s v="Rubber Stereo"/>
    <n v="4640"/>
    <n v="1624"/>
    <s v="Rubber Stereo"/>
    <n v="1995"/>
    <n v="9"/>
    <n v="146.16"/>
    <n v="9"/>
    <n v="146.16"/>
    <n v="0"/>
    <n v="0"/>
    <n v="0"/>
    <n v="292.32"/>
    <n v="0"/>
    <s v="24AHDPC2510M1ZU"/>
    <s v="Pcs"/>
    <n v="400200"/>
    <s v="Rs."/>
    <n v="1"/>
    <n v="0"/>
  </r>
  <r>
    <d v="2026-12-08T00:00:00"/>
    <x v="22"/>
    <s v="General Purchase"/>
    <s v="GNCN 343"/>
    <s v="Purchase Withinstate- Stores, Spares &amp; Consumable"/>
    <n v="1800"/>
    <d v="2026-04-08T00:00:00"/>
    <s v="Consumables"/>
    <s v="Rubber/Polymer Stereo"/>
    <s v="Spares &amp; Stores"/>
    <x v="0"/>
    <s v="Rubber Stereo"/>
    <n v="190"/>
    <n v="66.5"/>
    <s v="Rubber Stereo"/>
    <n v="0"/>
    <n v="9"/>
    <n v="5.98"/>
    <n v="9"/>
    <n v="5.98"/>
    <n v="0"/>
    <n v="0"/>
    <n v="0"/>
    <n v="11.96"/>
    <n v="0"/>
    <s v="24AHDPC2510M1ZU"/>
    <s v="Pcs"/>
    <n v="400200"/>
    <s v="Rs."/>
    <n v="1"/>
    <n v="0"/>
  </r>
  <r>
    <d v="2026-12-08T00:00:00"/>
    <x v="22"/>
    <s v="General Purchase"/>
    <s v="GNCN 344"/>
    <s v="Purchase Withinstate- Stores, Spares &amp; Consumable"/>
    <n v="1828"/>
    <d v="2026-06-08T00:00:00"/>
    <s v="Consumables"/>
    <s v="Rubber/Polymer Stereo"/>
    <s v="Spares &amp; Stores"/>
    <x v="0"/>
    <s v="Rubber Stereo"/>
    <n v="4544"/>
    <n v="1590.4"/>
    <s v="Rubber Stereo"/>
    <n v="4866"/>
    <n v="9"/>
    <n v="143.13999999999999"/>
    <n v="9"/>
    <n v="143.13999999999999"/>
    <n v="0"/>
    <n v="0"/>
    <n v="0"/>
    <n v="286.27999999999997"/>
    <n v="0"/>
    <s v="24AHDPC2510M1ZU"/>
    <s v="Pcs"/>
    <n v="400200"/>
    <s v="Rs."/>
    <n v="1"/>
    <n v="0"/>
  </r>
  <r>
    <d v="2026-12-08T00:00:00"/>
    <x v="22"/>
    <s v="General Purchase"/>
    <s v="GNCN 344"/>
    <s v="Purchase Withinstate- Stores, Spares &amp; Consumable"/>
    <n v="1828"/>
    <d v="2026-06-08T00:00:00"/>
    <s v="Consumables"/>
    <s v="Rubber/Polymer Stereo"/>
    <s v="Spares &amp; Stores"/>
    <x v="0"/>
    <s v="Rubber Stereo"/>
    <n v="2624"/>
    <n v="918.4"/>
    <s v="Rubber Stereo"/>
    <n v="0"/>
    <n v="9"/>
    <n v="82.66"/>
    <n v="9"/>
    <n v="82.66"/>
    <n v="0"/>
    <n v="0"/>
    <n v="0"/>
    <n v="165.32"/>
    <n v="0"/>
    <s v="24AHDPC2510M1ZU"/>
    <s v="Pcs"/>
    <n v="400200"/>
    <s v="Rs."/>
    <n v="1"/>
    <n v="0"/>
  </r>
  <r>
    <d v="2026-12-08T00:00:00"/>
    <x v="22"/>
    <s v="General Purchase"/>
    <s v="GNCN 344"/>
    <s v="Purchase Withinstate- Stores, Spares &amp; Consumable"/>
    <n v="1828"/>
    <d v="2026-06-08T00:00:00"/>
    <s v="Consumables"/>
    <s v="Rubber/Polymer Stereo"/>
    <s v="Spares &amp; Stores"/>
    <x v="0"/>
    <s v="Rubber Stereo"/>
    <n v="1495"/>
    <n v="523.25"/>
    <s v="Rubber Stereo"/>
    <n v="0"/>
    <n v="9"/>
    <n v="47.09"/>
    <n v="9"/>
    <n v="47.09"/>
    <n v="0"/>
    <n v="0"/>
    <n v="0"/>
    <n v="94.18"/>
    <n v="0"/>
    <s v="24AHDPC2510M1ZU"/>
    <s v="Pcs"/>
    <n v="400200"/>
    <s v="Rs."/>
    <n v="1"/>
    <n v="0"/>
  </r>
  <r>
    <d v="2026-12-08T00:00:00"/>
    <x v="22"/>
    <s v="General Purchase"/>
    <s v="GNCN 344"/>
    <s v="Purchase Withinstate- Stores, Spares &amp; Consumable"/>
    <n v="1828"/>
    <d v="2026-06-08T00:00:00"/>
    <s v="Consumables"/>
    <s v="Rubber/Polymer Stereo"/>
    <s v="Spares &amp; Stores"/>
    <x v="0"/>
    <s v="Rubber Stereo"/>
    <n v="3120"/>
    <n v="1092"/>
    <s v="Rubber Stereo"/>
    <n v="0"/>
    <n v="9"/>
    <n v="98.28"/>
    <n v="9"/>
    <n v="98.28"/>
    <n v="0"/>
    <n v="0"/>
    <n v="0"/>
    <n v="196.56"/>
    <n v="0"/>
    <s v="24AHDPC2510M1ZU"/>
    <s v="Pcs"/>
    <n v="400200"/>
    <s v="Rs."/>
    <n v="1"/>
    <n v="0"/>
  </r>
  <r>
    <d v="2026-12-08T00:00:00"/>
    <x v="23"/>
    <s v="General Purchase"/>
    <s v="GNCN 346"/>
    <s v="Purchase Withinstate- Stores, Spares &amp; Consumable"/>
    <n v="9663"/>
    <d v="2026-04-08T00:00:00"/>
    <s v="Consumables"/>
    <s v="Rubber/Polymer Stereo"/>
    <s v="Spares &amp; Stores"/>
    <x v="0"/>
    <s v="Polymer Stereo"/>
    <n v="2808"/>
    <n v="3229.2"/>
    <s v="Polymer Stereo"/>
    <n v="7048"/>
    <n v="9"/>
    <n v="290.63"/>
    <n v="9"/>
    <n v="290.63"/>
    <n v="0"/>
    <n v="0"/>
    <n v="0"/>
    <n v="581.26"/>
    <n v="0"/>
    <s v="24AARFT4204A1ZK"/>
    <s v="CMS"/>
    <n v="37013000"/>
    <s v="Rs."/>
    <n v="1"/>
    <n v="0"/>
  </r>
  <r>
    <d v="2026-12-08T00:00:00"/>
    <x v="23"/>
    <s v="General Purchase"/>
    <s v="GNCN 346"/>
    <s v="Purchase Withinstate- Stores, Spares &amp; Consumable"/>
    <n v="9663"/>
    <d v="2026-04-08T00:00:00"/>
    <s v="Consumables"/>
    <s v="Rubber/Polymer Stereo"/>
    <s v="Spares &amp; Stores"/>
    <x v="0"/>
    <s v="Polymer Stereo"/>
    <n v="1150.8900000000001"/>
    <n v="1323.52"/>
    <s v="Polymer Stereo"/>
    <n v="0"/>
    <n v="9"/>
    <n v="119.12"/>
    <n v="9"/>
    <n v="119.12"/>
    <n v="0"/>
    <n v="0"/>
    <n v="0"/>
    <n v="238.24"/>
    <n v="0"/>
    <s v="24AARFT4204A1ZK"/>
    <s v="CMS"/>
    <n v="37013000"/>
    <s v="Rs."/>
    <n v="1"/>
    <n v="0"/>
  </r>
  <r>
    <d v="2026-12-08T00:00:00"/>
    <x v="23"/>
    <s v="General Purchase"/>
    <s v="GNCN 346"/>
    <s v="Purchase Withinstate- Stores, Spares &amp; Consumable"/>
    <n v="9663"/>
    <d v="2026-04-08T00:00:00"/>
    <s v="Consumables"/>
    <s v="Rubber/Polymer Stereo"/>
    <s v="Spares &amp; Stores"/>
    <x v="0"/>
    <s v="Polymer Stereo"/>
    <n v="1234.77"/>
    <n v="1419.99"/>
    <s v="Polymer Stereo"/>
    <n v="0"/>
    <n v="9"/>
    <n v="127.8"/>
    <n v="9"/>
    <n v="127.8"/>
    <n v="0"/>
    <n v="0"/>
    <n v="0"/>
    <n v="255.6"/>
    <n v="0"/>
    <s v="24AARFT4204A1ZK"/>
    <s v="CMS"/>
    <n v="37013000"/>
    <s v="Rs."/>
    <n v="1"/>
    <n v="0"/>
  </r>
  <r>
    <d v="2026-12-08T00:00:00"/>
    <x v="23"/>
    <s v="General Purchase"/>
    <s v="GNCN 349"/>
    <s v="Purchase Withinstate- Stores, Spares &amp; Consumable"/>
    <n v="9670"/>
    <d v="2026-05-08T00:00:00"/>
    <s v="Consumables"/>
    <s v="Rubber/Polymer Stereo"/>
    <s v="Spares &amp; Stores"/>
    <x v="0"/>
    <s v="Polymer Stereo"/>
    <n v="5346"/>
    <n v="6147.9"/>
    <s v="Polymer Stereo"/>
    <n v="7255"/>
    <n v="9"/>
    <n v="553.30999999999995"/>
    <n v="9"/>
    <n v="553.30999999999995"/>
    <n v="0"/>
    <n v="0"/>
    <n v="0"/>
    <n v="1106.6199999999999"/>
    <n v="0"/>
    <s v="24AARFT4204A1ZK"/>
    <s v="CMS"/>
    <n v="37013000"/>
    <s v="Rs."/>
    <n v="1"/>
    <n v="0"/>
  </r>
  <r>
    <d v="2026-12-08T00:00:00"/>
    <x v="23"/>
    <s v="General Purchase"/>
    <s v="GNCN 350"/>
    <s v="Purchase Withinstate- Stores, Spares &amp; Consumable"/>
    <n v="9619"/>
    <s v="30-07-2026"/>
    <s v="Consumables"/>
    <s v="Rubber/Polymer Stereo"/>
    <s v="Spares &amp; Stores"/>
    <x v="0"/>
    <s v="Polymer Stereo"/>
    <n v="207.5"/>
    <n v="238.63"/>
    <s v="Polymer Stereo"/>
    <n v="2179.0100000000002"/>
    <n v="9"/>
    <n v="21.48"/>
    <n v="9"/>
    <n v="21.48"/>
    <n v="0"/>
    <n v="0"/>
    <n v="0"/>
    <n v="42.96"/>
    <n v="0"/>
    <s v="24AARFT4204A1ZK"/>
    <s v="CMS"/>
    <n v="37013000"/>
    <s v="Rs."/>
    <n v="1"/>
    <n v="0"/>
  </r>
  <r>
    <d v="2026-12-08T00:00:00"/>
    <x v="23"/>
    <s v="General Purchase"/>
    <s v="GNCN 350"/>
    <s v="Purchase Withinstate- Stores, Spares &amp; Consumable"/>
    <n v="9619"/>
    <s v="30-07-2026"/>
    <s v="Consumables"/>
    <s v="Rubber/Polymer Stereo"/>
    <s v="Spares &amp; Stores"/>
    <x v="0"/>
    <s v="Polymer Stereo"/>
    <n v="354.36"/>
    <n v="407.51"/>
    <s v="Polymer Stereo"/>
    <n v="0"/>
    <n v="9"/>
    <n v="36.68"/>
    <n v="9"/>
    <n v="36.68"/>
    <n v="0"/>
    <n v="0"/>
    <n v="0"/>
    <n v="73.36"/>
    <n v="0"/>
    <s v="24AARFT4204A1ZK"/>
    <s v="CMS"/>
    <n v="37013000"/>
    <s v="Rs."/>
    <n v="1"/>
    <n v="0"/>
  </r>
  <r>
    <d v="2026-12-08T00:00:00"/>
    <x v="23"/>
    <s v="General Purchase"/>
    <s v="GNCN 350"/>
    <s v="Purchase Withinstate- Stores, Spares &amp; Consumable"/>
    <n v="9619"/>
    <s v="30-07-2026"/>
    <s v="Consumables"/>
    <s v="Rubber/Polymer Stereo"/>
    <s v="Spares &amp; Stores"/>
    <x v="0"/>
    <s v="Polymer Stereo"/>
    <n v="1043.6400000000001"/>
    <n v="1200.19"/>
    <s v="Polymer Stereo"/>
    <n v="0"/>
    <n v="9"/>
    <n v="108.02"/>
    <n v="9"/>
    <n v="108.02"/>
    <n v="0"/>
    <n v="0"/>
    <n v="0"/>
    <n v="216.04"/>
    <n v="0"/>
    <s v="24AARFT4204A1ZK"/>
    <s v="CMS"/>
    <n v="37013000"/>
    <s v="Rs."/>
    <n v="1"/>
    <n v="0"/>
  </r>
  <r>
    <s v="13-08-2026"/>
    <x v="0"/>
    <s v="General Purchase"/>
    <s v="GNCN 355"/>
    <s v="Purchase Withinstate- Stores, Spares &amp; Consumable"/>
    <s v="PIL1/D/1364"/>
    <s v="13-08-2026"/>
    <s v="Stores/Spares"/>
    <s v="MS Structure Items"/>
    <s v="Spares &amp; Stores"/>
    <x v="0"/>
    <s v="MS Pipe 4  C Class"/>
    <n v="276"/>
    <n v="13248"/>
    <s v="MS Pipe 4  C Class"/>
    <n v="15619.39"/>
    <n v="9"/>
    <n v="1192.32"/>
    <n v="9"/>
    <n v="1192.32"/>
    <n v="0"/>
    <n v="0"/>
    <n v="0"/>
    <n v="2384.64"/>
    <n v="0"/>
    <s v="24AAACO3087C1ZT"/>
    <s v="Kgs"/>
    <n v="73063090"/>
    <s v="Rs."/>
    <n v="1"/>
    <n v="0"/>
  </r>
  <r>
    <s v="13-08-2026"/>
    <x v="0"/>
    <s v="R.M.P."/>
    <s v="RM 521"/>
    <s v="Purchase Withinstate - Raw Material"/>
    <s v="PIL1/D/1359"/>
    <s v="13-08-2026"/>
    <s v="SF"/>
    <s v="PP/PE Fabric"/>
    <s v="PP Lam Fabric"/>
    <x v="3"/>
    <s v="PP Lam Fabric With UV"/>
    <n v="1864"/>
    <n v="278332.48"/>
    <s v="PP Lam Fabric With UV"/>
    <n v="1827958.77"/>
    <n v="9"/>
    <n v="25049.919999999998"/>
    <n v="9"/>
    <n v="25049.919999999998"/>
    <n v="0"/>
    <n v="0"/>
    <n v="0"/>
    <n v="50099.839999999997"/>
    <n v="0"/>
    <s v="24AAACO3087C1ZT"/>
    <s v="Kgs"/>
    <n v="63053300"/>
    <s v="Rs."/>
    <n v="1"/>
    <n v="1864"/>
  </r>
  <r>
    <s v="13-08-2026"/>
    <x v="0"/>
    <s v="R.M.P."/>
    <s v="RM 521"/>
    <s v="Purchase Withinstate - Raw Material"/>
    <s v="PIL1/D/1359"/>
    <s v="13-08-2026"/>
    <s v="SF"/>
    <s v="PP/PE Fabric"/>
    <s v="PP UL Fabric"/>
    <x v="1"/>
    <s v="PP UL Fabric With UV"/>
    <n v="7762"/>
    <n v="1104687.8400000001"/>
    <s v="PP UL Fabric With UV"/>
    <n v="0"/>
    <n v="9"/>
    <n v="99421.91"/>
    <n v="9"/>
    <n v="99421.91"/>
    <n v="0"/>
    <n v="0"/>
    <n v="0"/>
    <n v="198843.82"/>
    <n v="0"/>
    <s v="24AAACO3087C1ZT"/>
    <s v="Kgs"/>
    <n v="39269080"/>
    <s v="Rs."/>
    <n v="1"/>
    <n v="7762"/>
  </r>
  <r>
    <s v="13-08-2026"/>
    <x v="0"/>
    <s v="R.M.P."/>
    <s v="RM 521"/>
    <s v="Purchase Withinstate - Raw Material"/>
    <s v="PIL1/D/1359"/>
    <s v="13-08-2026"/>
    <s v="SF"/>
    <s v="PP/PE Fabric"/>
    <s v="PP UL Fabric"/>
    <x v="1"/>
    <s v="PP UL Fabric With UV"/>
    <n v="1160"/>
    <n v="167411.20000000001"/>
    <s v="PP UL Fabric With UV"/>
    <n v="0"/>
    <n v="9"/>
    <n v="15067.01"/>
    <n v="9"/>
    <n v="15067.01"/>
    <n v="0"/>
    <n v="0"/>
    <n v="0"/>
    <n v="30134.02"/>
    <n v="0"/>
    <s v="24AAACO3087C1ZT"/>
    <s v="Kgs"/>
    <n v="39269080"/>
    <s v="Rs."/>
    <n v="1"/>
    <n v="1160"/>
  </r>
  <r>
    <s v="13-08-2026"/>
    <x v="0"/>
    <s v="R.M.P."/>
    <s v="RM 522"/>
    <s v="Purchase Withinstate - Raw Material"/>
    <s v="PIL1/D/1365"/>
    <s v="13-08-2026"/>
    <s v="SF"/>
    <s v="Liners"/>
    <s v="LDPE/LLDPE Bags"/>
    <x v="4"/>
    <s v="LDPE/LLDPE Bags/Liner"/>
    <n v="238"/>
    <n v="43996.68"/>
    <s v="LDPE/LLDPE Bags/Liner"/>
    <n v="1358571.54"/>
    <n v="9"/>
    <n v="3959.7"/>
    <n v="9"/>
    <n v="3959.7"/>
    <n v="0"/>
    <n v="0"/>
    <n v="0"/>
    <n v="7919.4"/>
    <n v="0"/>
    <s v="24AAACO3087C1ZT"/>
    <s v="Kgs"/>
    <n v="39200000"/>
    <s v="Rs."/>
    <n v="1"/>
    <n v="238"/>
  </r>
  <r>
    <s v="13-08-2026"/>
    <x v="0"/>
    <s v="R.M.P."/>
    <s v="RM 522"/>
    <s v="Purchase Withinstate - Raw Material"/>
    <s v="PIL1/D/1365"/>
    <s v="13-08-2026"/>
    <s v="SF"/>
    <s v="Liners"/>
    <s v="LDPE/LLDPE Bags"/>
    <x v="4"/>
    <s v="LDPE/LLDPE Bags/Liner"/>
    <n v="2059"/>
    <n v="364154.74"/>
    <s v="LDPE/LLDPE Bags/Liner"/>
    <n v="0"/>
    <n v="9"/>
    <n v="32773.93"/>
    <n v="9"/>
    <n v="32773.93"/>
    <n v="0"/>
    <n v="0"/>
    <n v="0"/>
    <n v="65547.86"/>
    <n v="0"/>
    <s v="24AAACO3087C1ZT"/>
    <s v="Kgs"/>
    <n v="39200000"/>
    <s v="Rs."/>
    <n v="1"/>
    <n v="2059"/>
  </r>
  <r>
    <s v="13-08-2026"/>
    <x v="0"/>
    <s v="R.M.P."/>
    <s v="RM 522"/>
    <s v="Purchase Withinstate - Raw Material"/>
    <s v="PIL1/D/1365"/>
    <s v="13-08-2026"/>
    <s v="SF"/>
    <s v="Webbing"/>
    <s v="PP Webbing"/>
    <x v="2"/>
    <s v="Webbing"/>
    <n v="1354.6"/>
    <n v="199559.67"/>
    <s v="Webbing"/>
    <n v="0"/>
    <n v="9"/>
    <n v="17960.37"/>
    <n v="9"/>
    <n v="17960.37"/>
    <n v="0"/>
    <n v="0"/>
    <n v="0"/>
    <n v="35920.74"/>
    <n v="0"/>
    <s v="24AAACO3087C1ZT"/>
    <s v="Kgs"/>
    <n v="3926908"/>
    <s v="Rs."/>
    <n v="1"/>
    <n v="1354.6"/>
  </r>
  <r>
    <s v="13-08-2026"/>
    <x v="0"/>
    <s v="R.M.P."/>
    <s v="RM 522"/>
    <s v="Purchase Withinstate - Raw Material"/>
    <s v="PIL1/D/1365"/>
    <s v="13-08-2026"/>
    <s v="SF"/>
    <s v="Webbing"/>
    <s v="PP Webbing"/>
    <x v="2"/>
    <s v="Webbing"/>
    <n v="1067.7"/>
    <n v="154090.46"/>
    <s v="Webbing"/>
    <n v="0"/>
    <n v="9"/>
    <n v="13868.14"/>
    <n v="9"/>
    <n v="13868.14"/>
    <n v="0"/>
    <n v="0"/>
    <n v="0"/>
    <n v="27736.28"/>
    <n v="0"/>
    <s v="24AAACO3087C1ZT"/>
    <s v="Kgs"/>
    <n v="3926908"/>
    <s v="Rs."/>
    <n v="1"/>
    <n v="1067.7"/>
  </r>
  <r>
    <s v="13-08-2026"/>
    <x v="0"/>
    <s v="R.M.P."/>
    <s v="RM 522"/>
    <s v="Purchase Withinstate - Raw Material"/>
    <s v="PIL1/D/1365"/>
    <s v="13-08-2026"/>
    <s v="SF"/>
    <s v="PP/PE Fabric"/>
    <s v="PP UL Fabric"/>
    <x v="1"/>
    <s v="PP UL Fabric With UV"/>
    <n v="275"/>
    <n v="39688"/>
    <s v="PP UL Fabric With UV"/>
    <n v="0"/>
    <n v="9"/>
    <n v="3571.92"/>
    <n v="9"/>
    <n v="3571.92"/>
    <n v="0"/>
    <n v="0"/>
    <n v="0"/>
    <n v="7143.84"/>
    <n v="0"/>
    <s v="24AAACO3087C1ZT"/>
    <s v="Kgs"/>
    <n v="39269080"/>
    <s v="Rs."/>
    <n v="1"/>
    <n v="275"/>
  </r>
  <r>
    <s v="13-08-2026"/>
    <x v="0"/>
    <s v="R.M.P."/>
    <s v="RM 522"/>
    <s v="Purchase Withinstate - Raw Material"/>
    <s v="PIL1/D/1365"/>
    <s v="13-08-2026"/>
    <s v="SF"/>
    <s v="PP/PE Fabric"/>
    <s v="PP UL Fabric"/>
    <x v="1"/>
    <s v="PP UL Fabric With UV"/>
    <n v="2465"/>
    <n v="350818.8"/>
    <s v="PP UL Fabric With UV"/>
    <n v="0"/>
    <n v="9"/>
    <n v="31573.69"/>
    <n v="9"/>
    <n v="31573.69"/>
    <n v="0"/>
    <n v="0"/>
    <n v="0"/>
    <n v="63147.38"/>
    <n v="0"/>
    <s v="24AAACO3087C1ZT"/>
    <s v="Kgs"/>
    <n v="39269080"/>
    <s v="Rs."/>
    <n v="1"/>
    <n v="2465"/>
  </r>
  <r>
    <s v="13-08-2026"/>
    <x v="2"/>
    <s v="General Purchase"/>
    <s v="GNCN 354"/>
    <s v="Purchase Withinstate- Stores, Spares &amp; Consumable"/>
    <s v="PPL/D/486"/>
    <s v="13-08-2026"/>
    <s v="SF"/>
    <s v="Liners"/>
    <s v="LDPE/LLDPE Bags"/>
    <x v="12"/>
    <s v="PE Labels (Kgs)"/>
    <n v="15"/>
    <n v="3600"/>
    <s v="PE Labels (Kgs)"/>
    <n v="4244.3999999999996"/>
    <n v="9"/>
    <n v="324"/>
    <n v="9"/>
    <n v="324"/>
    <n v="0"/>
    <n v="0"/>
    <n v="0"/>
    <n v="648"/>
    <n v="0"/>
    <s v="24AAFCP2956A1ZR"/>
    <s v="Kgs"/>
    <n v="3920101"/>
    <s v="Rs."/>
    <n v="1"/>
    <n v="15"/>
  </r>
  <r>
    <s v="13-08-2026"/>
    <x v="2"/>
    <s v="R.M.P."/>
    <s v="RM 520"/>
    <s v="Purchase Withinstate - Traded Goods"/>
    <s v="PPL/D/485"/>
    <s v="13-08-2026"/>
    <s v="FG"/>
    <s v="FIBC Bags"/>
    <s v="FIBC Bags"/>
    <x v="5"/>
    <s v="FIBC Bags With UV Without Liner"/>
    <n v="156"/>
    <n v="53972.88"/>
    <s v="FIBC Bags With UV Without Liner"/>
    <n v="63634.03"/>
    <n v="9"/>
    <n v="4857.5600000000004"/>
    <n v="9"/>
    <n v="4857.5600000000004"/>
    <n v="0"/>
    <n v="0"/>
    <n v="0"/>
    <n v="9715.1200000000008"/>
    <n v="0"/>
    <s v="24AAFCP2956A1ZR"/>
    <s v="Kgs"/>
    <n v="63053200"/>
    <s v="Rs."/>
    <n v="1"/>
    <n v="156"/>
  </r>
  <r>
    <s v="14-08-2026"/>
    <x v="24"/>
    <s v="General Purchase"/>
    <s v="GNSP 148"/>
    <s v="Purchase Withinstate- Stores, Spares &amp; Consumable"/>
    <s v="CES/26-27/1149"/>
    <d v="2026-10-08T00:00:00"/>
    <s v="Stores/Spares"/>
    <s v="Lights/Fans"/>
    <s v="Spares &amp; Stores"/>
    <x v="0"/>
    <s v="Led Flood Light 200 Watt"/>
    <n v="6"/>
    <n v="13500"/>
    <s v="Led Flood Light 200 Watt"/>
    <n v="15930"/>
    <n v="9"/>
    <n v="1215"/>
    <n v="9"/>
    <n v="1215"/>
    <n v="0"/>
    <n v="0"/>
    <n v="0"/>
    <n v="2430"/>
    <n v="0"/>
    <s v="24AAIPH7590J1ZE"/>
    <s v="Pcs"/>
    <n v="940540"/>
    <s v="Rs."/>
    <n v="1"/>
    <n v="0"/>
  </r>
  <r>
    <s v="14-08-2026"/>
    <x v="19"/>
    <s v="R.M.P."/>
    <s v="RM 523"/>
    <s v="Purchase Withinstate - Raw Material"/>
    <s v="KPV/D/597"/>
    <s v="13-08-2026"/>
    <s v="SF"/>
    <s v="Yarn All"/>
    <s v="PP Yarn"/>
    <x v="6"/>
    <s v="PP Fibrillated Tape Twisted 3200 Blue"/>
    <n v="500"/>
    <n v="79700"/>
    <s v="PP Fibrillated Tape Twisted 3200 Blue"/>
    <n v="239465.72"/>
    <n v="2.5"/>
    <n v="1992.5"/>
    <n v="2.5"/>
    <n v="1992.5"/>
    <n v="0"/>
    <n v="0"/>
    <n v="0"/>
    <n v="3985"/>
    <n v="0"/>
    <s v="24AAECK6307M1ZF"/>
    <s v="Kgs"/>
    <n v="54026930"/>
    <s v="Rs."/>
    <n v="1"/>
    <n v="500"/>
  </r>
  <r>
    <s v="14-08-2026"/>
    <x v="19"/>
    <s v="R.M.P."/>
    <s v="RM 523"/>
    <s v="Purchase Withinstate - Raw Material"/>
    <s v="KPV/D/597"/>
    <s v="13-08-2026"/>
    <s v="SF"/>
    <s v="Yarn All"/>
    <s v="PP Yarn"/>
    <x v="6"/>
    <s v="PP Fibrillated Tape Twisted 3200 MW"/>
    <n v="950"/>
    <n v="148580"/>
    <s v="PP Fibrillated Tape Twisted 3200 MW"/>
    <n v="0"/>
    <n v="2.5"/>
    <n v="3714.5"/>
    <n v="2.5"/>
    <n v="3714.5"/>
    <n v="0"/>
    <n v="0"/>
    <n v="0"/>
    <n v="7429"/>
    <n v="0"/>
    <s v="24AAECK6307M1ZF"/>
    <s v="Kgs"/>
    <n v="54026930"/>
    <s v="Rs."/>
    <n v="1"/>
    <n v="950"/>
  </r>
  <r>
    <s v="14-08-2026"/>
    <x v="25"/>
    <s v="General Purchase"/>
    <s v="GNSP 150"/>
    <s v="Purchase Withinstate- Stores, Spares &amp; Consumable"/>
    <n v="1377"/>
    <d v="2026-07-08T00:00:00"/>
    <s v="Stores/Spares"/>
    <s v="Hardware Items"/>
    <s v="Spares &amp; Stores"/>
    <x v="0"/>
    <s v="Allen Bolt 05X20 mm"/>
    <n v="50"/>
    <n v="104.16"/>
    <s v="Allen Bolt 05X20 mm"/>
    <n v="5954"/>
    <n v="9"/>
    <n v="9.3699999999999992"/>
    <n v="9"/>
    <n v="9.3699999999999992"/>
    <n v="0"/>
    <n v="0"/>
    <n v="0"/>
    <n v="18.739999999999998"/>
    <n v="0"/>
    <s v="24ABVPP9097Q1Z7"/>
    <s v="Pcs"/>
    <n v="73181500"/>
    <s v="Rs."/>
    <n v="1"/>
    <n v="0"/>
  </r>
  <r>
    <s v="14-08-2026"/>
    <x v="25"/>
    <s v="General Purchase"/>
    <s v="GNSP 150"/>
    <s v="Purchase Withinstate- Stores, Spares &amp; Consumable"/>
    <n v="1377"/>
    <d v="2026-07-08T00:00:00"/>
    <s v="Stores/Spares"/>
    <s v="Hardware Items"/>
    <s v="Spares &amp; Stores"/>
    <x v="0"/>
    <s v="Allen Key 05 mm - T Type"/>
    <n v="5"/>
    <n v="329.6"/>
    <s v="Allen Key 05 mm - T Type"/>
    <n v="0"/>
    <n v="9"/>
    <n v="29.66"/>
    <n v="9"/>
    <n v="29.66"/>
    <n v="0"/>
    <n v="0"/>
    <n v="0"/>
    <n v="59.32"/>
    <n v="0"/>
    <s v="24ABVPP9097Q1Z7"/>
    <s v="Pcs"/>
    <n v="82041120"/>
    <s v="Rs."/>
    <n v="1"/>
    <n v="0"/>
  </r>
  <r>
    <s v="14-08-2026"/>
    <x v="25"/>
    <s v="General Purchase"/>
    <s v="GNSP 150"/>
    <s v="Purchase Withinstate- Stores, Spares &amp; Consumable"/>
    <n v="1377"/>
    <d v="2026-07-08T00:00:00"/>
    <s v="Stores/Spares"/>
    <s v="Hardware Items"/>
    <s v="Spares &amp; Stores"/>
    <x v="0"/>
    <s v="Allen Bolt 04X08 mm"/>
    <n v="50"/>
    <n v="155.61000000000001"/>
    <s v="Allen Bolt 04X08 mm"/>
    <n v="0"/>
    <n v="9"/>
    <n v="14"/>
    <n v="9"/>
    <n v="14"/>
    <n v="0"/>
    <n v="0"/>
    <n v="0"/>
    <n v="28"/>
    <n v="0"/>
    <s v="24ABVPP9097Q1Z7"/>
    <s v="Pcs"/>
    <n v="73181500"/>
    <s v="Rs."/>
    <n v="1"/>
    <n v="0"/>
  </r>
  <r>
    <s v="14-08-2026"/>
    <x v="25"/>
    <s v="General Purchase"/>
    <s v="GNSP 150"/>
    <s v="Purchase Withinstate- Stores, Spares &amp; Consumable"/>
    <n v="1377"/>
    <d v="2026-07-08T00:00:00"/>
    <s v="Stores/Spares"/>
    <s v="Hardware Items"/>
    <s v="Spares &amp; Stores"/>
    <x v="0"/>
    <s v="Allen Bolt 04X10 mm"/>
    <n v="50"/>
    <n v="123.9"/>
    <s v="Allen Bolt 04X10 mm"/>
    <n v="0"/>
    <n v="9"/>
    <n v="11.15"/>
    <n v="9"/>
    <n v="11.15"/>
    <n v="0"/>
    <n v="0"/>
    <n v="0"/>
    <n v="22.3"/>
    <n v="0"/>
    <s v="24ABVPP9097Q1Z7"/>
    <s v="Pcs"/>
    <n v="73181500"/>
    <s v="Rs."/>
    <n v="1"/>
    <n v="0"/>
  </r>
  <r>
    <s v="14-08-2026"/>
    <x v="25"/>
    <s v="General Purchase"/>
    <s v="GNSP 150"/>
    <s v="Purchase Withinstate- Stores, Spares &amp; Consumable"/>
    <n v="1377"/>
    <d v="2026-07-08T00:00:00"/>
    <s v="Stores/Spares"/>
    <s v="Hardware Items"/>
    <s v="Spares &amp; Stores"/>
    <x v="0"/>
    <s v="Allen Bolt 04X30 mm"/>
    <n v="50"/>
    <n v="162.33000000000001"/>
    <s v="Allen Bolt 04X30 mm"/>
    <n v="0"/>
    <n v="9"/>
    <n v="14.61"/>
    <n v="9"/>
    <n v="14.61"/>
    <n v="0"/>
    <n v="0"/>
    <n v="0"/>
    <n v="29.22"/>
    <n v="0"/>
    <s v="24ABVPP9097Q1Z7"/>
    <s v="Pcs"/>
    <n v="8452900"/>
    <s v="Rs."/>
    <n v="1"/>
    <n v="0"/>
  </r>
  <r>
    <s v="14-08-2026"/>
    <x v="25"/>
    <s v="General Purchase"/>
    <s v="GNSP 150"/>
    <s v="Purchase Withinstate- Stores, Spares &amp; Consumable"/>
    <n v="1377"/>
    <d v="2026-07-08T00:00:00"/>
    <s v="Stores/Spares"/>
    <s v="Hardware Items"/>
    <s v="Spares &amp; Stores"/>
    <x v="0"/>
    <s v="Allen Bolt 05X16 mm"/>
    <n v="50"/>
    <n v="97.02"/>
    <s v="Allen Bolt 05X16 mm"/>
    <n v="0"/>
    <n v="9"/>
    <n v="8.73"/>
    <n v="9"/>
    <n v="8.73"/>
    <n v="0"/>
    <n v="0"/>
    <n v="0"/>
    <n v="17.46"/>
    <n v="0"/>
    <s v="24ABVPP9097Q1Z7"/>
    <s v="Pcs"/>
    <n v="73181500"/>
    <s v="Rs."/>
    <n v="1"/>
    <n v="0"/>
  </r>
  <r>
    <s v="14-08-2026"/>
    <x v="25"/>
    <s v="General Purchase"/>
    <s v="GNSP 150"/>
    <s v="Purchase Withinstate- Stores, Spares &amp; Consumable"/>
    <n v="1377"/>
    <d v="2026-07-08T00:00:00"/>
    <s v="Stores/Spares"/>
    <s v="Hardware Items"/>
    <s v="Spares &amp; Stores"/>
    <x v="0"/>
    <s v="Allen Bolt 06X25 mm"/>
    <n v="50"/>
    <n v="163.80000000000001"/>
    <s v="Allen Bolt 06X25 mm"/>
    <n v="0"/>
    <n v="9"/>
    <n v="14.74"/>
    <n v="9"/>
    <n v="14.74"/>
    <n v="0"/>
    <n v="0"/>
    <n v="0"/>
    <n v="29.48"/>
    <n v="0"/>
    <s v="24ABVPP9097Q1Z7"/>
    <s v="Pcs"/>
    <n v="73181500"/>
    <s v="Rs."/>
    <n v="1"/>
    <n v="0"/>
  </r>
  <r>
    <s v="14-08-2026"/>
    <x v="25"/>
    <s v="General Purchase"/>
    <s v="GNSP 150"/>
    <s v="Purchase Withinstate- Stores, Spares &amp; Consumable"/>
    <n v="1377"/>
    <d v="2026-07-08T00:00:00"/>
    <s v="Stores/Spares"/>
    <s v="Hardware Items"/>
    <s v="Spares &amp; Stores"/>
    <x v="0"/>
    <s v="Allen Bolt 06X35 mm"/>
    <n v="50"/>
    <n v="202.86"/>
    <s v="Allen Bolt 06X35 mm"/>
    <n v="0"/>
    <n v="9"/>
    <n v="18.260000000000002"/>
    <n v="9"/>
    <n v="18.260000000000002"/>
    <n v="0"/>
    <n v="0"/>
    <n v="0"/>
    <n v="36.520000000000003"/>
    <n v="0"/>
    <s v="24ABVPP9097Q1Z7"/>
    <s v="Pcs"/>
    <n v="73181500"/>
    <s v="Rs."/>
    <n v="1"/>
    <n v="0"/>
  </r>
  <r>
    <s v="14-08-2026"/>
    <x v="25"/>
    <s v="General Purchase"/>
    <s v="GNSP 150"/>
    <s v="Purchase Withinstate- Stores, Spares &amp; Consumable"/>
    <n v="1377"/>
    <d v="2026-07-08T00:00:00"/>
    <s v="Stores/Spares"/>
    <s v="Hardware Items"/>
    <s v="Spares &amp; Stores"/>
    <x v="0"/>
    <s v="Allen Bolt 05X25 mm"/>
    <n v="50"/>
    <n v="111.51"/>
    <s v="Allen Bolt 05X25 mm"/>
    <n v="0"/>
    <n v="9"/>
    <n v="10.039999999999999"/>
    <n v="9"/>
    <n v="10.039999999999999"/>
    <n v="0"/>
    <n v="0"/>
    <n v="0"/>
    <n v="20.079999999999998"/>
    <n v="0"/>
    <s v="24ABVPP9097Q1Z7"/>
    <s v="Pcs"/>
    <n v="73181500"/>
    <s v="Rs."/>
    <n v="1"/>
    <n v="0"/>
  </r>
  <r>
    <s v="14-08-2026"/>
    <x v="25"/>
    <s v="General Purchase"/>
    <s v="GNSP 150"/>
    <s v="Purchase Withinstate- Stores, Spares &amp; Consumable"/>
    <n v="1377"/>
    <d v="2026-07-08T00:00:00"/>
    <s v="Stores/Spares"/>
    <s v="Hardware Items"/>
    <s v="Spares &amp; Stores"/>
    <x v="0"/>
    <s v="Allen Bolt 04X12 mm"/>
    <n v="50"/>
    <n v="111.51"/>
    <s v="Allen Bolt 04X12 mm"/>
    <n v="0"/>
    <n v="9"/>
    <n v="10.039999999999999"/>
    <n v="9"/>
    <n v="10.039999999999999"/>
    <n v="0"/>
    <n v="0"/>
    <n v="0"/>
    <n v="20.079999999999998"/>
    <n v="0"/>
    <s v="24ABVPP9097Q1Z7"/>
    <s v="Pcs"/>
    <n v="73181500"/>
    <s v="Rs."/>
    <n v="1"/>
    <n v="0"/>
  </r>
  <r>
    <s v="14-08-2026"/>
    <x v="25"/>
    <s v="General Purchase"/>
    <s v="GNSP 150"/>
    <s v="Purchase Withinstate- Stores, Spares &amp; Consumable"/>
    <n v="1377"/>
    <d v="2026-07-08T00:00:00"/>
    <s v="Stores/Spares"/>
    <s v="Hardware Items"/>
    <s v="Spares &amp; Stores"/>
    <x v="0"/>
    <s v="Allen Bolt 04X20 mm"/>
    <n v="50"/>
    <n v="124.74"/>
    <s v="Allen Bolt 04X20 mm"/>
    <n v="0"/>
    <n v="9"/>
    <n v="11.23"/>
    <n v="9"/>
    <n v="11.23"/>
    <n v="0"/>
    <n v="0"/>
    <n v="0"/>
    <n v="22.46"/>
    <n v="0"/>
    <s v="24ABVPP9097Q1Z7"/>
    <s v="Pcs"/>
    <n v="73181500"/>
    <s v="Rs."/>
    <n v="1"/>
    <n v="0"/>
  </r>
  <r>
    <s v="14-08-2026"/>
    <x v="25"/>
    <s v="General Purchase"/>
    <s v="GNSP 150"/>
    <s v="Purchase Withinstate- Stores, Spares &amp; Consumable"/>
    <n v="1377"/>
    <d v="2026-07-08T00:00:00"/>
    <s v="Stores/Spares"/>
    <s v="Hardware Items"/>
    <s v="Spares &amp; Stores"/>
    <x v="0"/>
    <s v="Allen Bolt 05X30 mm"/>
    <n v="50"/>
    <n v="135.44999999999999"/>
    <s v="Allen Bolt 05X30 mm"/>
    <n v="0"/>
    <n v="9"/>
    <n v="12.19"/>
    <n v="9"/>
    <n v="12.19"/>
    <n v="0"/>
    <n v="0"/>
    <n v="0"/>
    <n v="24.38"/>
    <n v="0"/>
    <s v="24ABVPP9097Q1Z7"/>
    <s v="Pcs"/>
    <n v="84821011"/>
    <s v="Rs."/>
    <n v="1"/>
    <n v="0"/>
  </r>
  <r>
    <s v="14-08-2026"/>
    <x v="25"/>
    <s v="General Purchase"/>
    <s v="GNSP 150"/>
    <s v="Purchase Withinstate- Stores, Spares &amp; Consumable"/>
    <n v="1377"/>
    <d v="2026-07-08T00:00:00"/>
    <s v="Stores/Spares"/>
    <s v="Hardware Items"/>
    <s v="Spares &amp; Stores"/>
    <x v="0"/>
    <s v="Allen Bolt 04X16 mm"/>
    <n v="50"/>
    <n v="116.34"/>
    <s v="Allen Bolt 04X16 mm"/>
    <n v="0"/>
    <n v="9"/>
    <n v="10.47"/>
    <n v="9"/>
    <n v="10.47"/>
    <n v="0"/>
    <n v="0"/>
    <n v="0"/>
    <n v="20.94"/>
    <n v="0"/>
    <s v="24ABVPP9097Q1Z7"/>
    <s v="Pcs"/>
    <n v="73181500"/>
    <s v="Rs."/>
    <n v="1"/>
    <n v="0"/>
  </r>
  <r>
    <s v="14-08-2026"/>
    <x v="25"/>
    <s v="General Purchase"/>
    <s v="GNSP 150"/>
    <s v="Purchase Withinstate- Stores, Spares &amp; Consumable"/>
    <n v="1377"/>
    <d v="2026-07-08T00:00:00"/>
    <s v="Stores/Spares"/>
    <s v="Hardware Items"/>
    <s v="Spares &amp; Stores"/>
    <x v="0"/>
    <s v="Allen Bolt 06X10 mm"/>
    <n v="50"/>
    <n v="145.74"/>
    <s v="Allen Bolt 06X10 mm"/>
    <n v="0"/>
    <n v="9"/>
    <n v="13.12"/>
    <n v="9"/>
    <n v="13.12"/>
    <n v="0"/>
    <n v="0"/>
    <n v="0"/>
    <n v="26.24"/>
    <n v="0"/>
    <s v="24ABVPP9097Q1Z7"/>
    <s v="Pcs"/>
    <n v="8452900"/>
    <s v="Rs."/>
    <n v="1"/>
    <n v="0"/>
  </r>
  <r>
    <s v="14-08-2026"/>
    <x v="25"/>
    <s v="General Purchase"/>
    <s v="GNSP 150"/>
    <s v="Purchase Withinstate- Stores, Spares &amp; Consumable"/>
    <n v="1377"/>
    <d v="2026-07-08T00:00:00"/>
    <s v="Stores/Spares"/>
    <s v="Hardware Items"/>
    <s v="Spares &amp; Stores"/>
    <x v="0"/>
    <s v="Allen Bolt 06X30 mm"/>
    <n v="50"/>
    <n v="185.01"/>
    <s v="Allen Bolt 06X30 mm"/>
    <n v="0"/>
    <n v="9"/>
    <n v="16.649999999999999"/>
    <n v="9"/>
    <n v="16.649999999999999"/>
    <n v="0"/>
    <n v="0"/>
    <n v="0"/>
    <n v="33.299999999999997"/>
    <n v="0"/>
    <s v="24ABVPP9097Q1Z7"/>
    <s v="Pcs"/>
    <n v="73181500"/>
    <s v="Rs."/>
    <n v="1"/>
    <n v="0"/>
  </r>
  <r>
    <s v="14-08-2026"/>
    <x v="25"/>
    <s v="General Purchase"/>
    <s v="GNSP 150"/>
    <s v="Purchase Withinstate- Stores, Spares &amp; Consumable"/>
    <n v="1377"/>
    <d v="2026-07-08T00:00:00"/>
    <s v="Stores/Spares"/>
    <s v="Hardware Items"/>
    <s v="Spares &amp; Stores"/>
    <x v="0"/>
    <s v="Allen Bolt 06X08 mm"/>
    <n v="50"/>
    <n v="220.29"/>
    <s v="Allen Bolt 06X08 mm"/>
    <n v="0"/>
    <n v="9"/>
    <n v="19.829999999999998"/>
    <n v="9"/>
    <n v="19.829999999999998"/>
    <n v="0"/>
    <n v="0"/>
    <n v="0"/>
    <n v="39.659999999999997"/>
    <n v="0"/>
    <s v="24ABVPP9097Q1Z7"/>
    <s v="Pcs"/>
    <n v="73181500"/>
    <s v="Rs."/>
    <n v="1"/>
    <n v="0"/>
  </r>
  <r>
    <s v="14-08-2026"/>
    <x v="25"/>
    <s v="General Purchase"/>
    <s v="GNSP 150"/>
    <s v="Purchase Withinstate- Stores, Spares &amp; Consumable"/>
    <n v="1377"/>
    <d v="2026-07-08T00:00:00"/>
    <s v="Stores/Spares"/>
    <s v="Hardware Items"/>
    <s v="Spares &amp; Stores"/>
    <x v="0"/>
    <s v="Allen Bolt 04X06 mm"/>
    <n v="50"/>
    <n v="220.29"/>
    <s v="Allen Bolt 04X06 mm"/>
    <n v="0"/>
    <n v="9"/>
    <n v="19.829999999999998"/>
    <n v="9"/>
    <n v="19.829999999999998"/>
    <n v="0"/>
    <n v="0"/>
    <n v="0"/>
    <n v="39.659999999999997"/>
    <n v="0"/>
    <s v="24ABVPP9097Q1Z7"/>
    <s v="Pcs"/>
    <n v="73181500"/>
    <s v="Rs."/>
    <n v="1"/>
    <n v="0"/>
  </r>
  <r>
    <s v="14-08-2026"/>
    <x v="25"/>
    <s v="General Purchase"/>
    <s v="GNSP 150"/>
    <s v="Purchase Withinstate- Stores, Spares &amp; Consumable"/>
    <n v="1377"/>
    <d v="2026-07-08T00:00:00"/>
    <s v="Stores/Spares"/>
    <s v="Hardware Items"/>
    <s v="Spares &amp; Stores"/>
    <x v="0"/>
    <s v="Fix Player Make Taparia"/>
    <n v="3"/>
    <n v="581.76"/>
    <s v="Fix Player Make Taparia"/>
    <n v="0"/>
    <n v="9"/>
    <n v="52.36"/>
    <n v="9"/>
    <n v="52.36"/>
    <n v="0"/>
    <n v="0"/>
    <n v="0"/>
    <n v="104.72"/>
    <n v="0"/>
    <s v="24ABVPP9097Q1Z7"/>
    <s v="Pcs"/>
    <n v="82032000"/>
    <s v="Rs."/>
    <n v="1"/>
    <n v="0"/>
  </r>
  <r>
    <s v="14-08-2026"/>
    <x v="25"/>
    <s v="General Purchase"/>
    <s v="GNSP 150"/>
    <s v="Purchase Withinstate- Stores, Spares &amp; Consumable"/>
    <n v="1377"/>
    <d v="2026-07-08T00:00:00"/>
    <s v="Stores/Spares"/>
    <s v="Hardware Items"/>
    <s v="Spares &amp; Stores"/>
    <x v="0"/>
    <s v="Fix Spanner 12X13"/>
    <n v="5"/>
    <n v="128"/>
    <s v="Fix Spanner 12X13"/>
    <n v="0"/>
    <n v="9"/>
    <n v="11.52"/>
    <n v="9"/>
    <n v="11.52"/>
    <n v="0"/>
    <n v="0"/>
    <n v="0"/>
    <n v="23.04"/>
    <n v="0"/>
    <s v="24ABVPP9097Q1Z7"/>
    <s v="Pcs"/>
    <n v="82041110"/>
    <s v="Rs."/>
    <n v="1"/>
    <n v="0"/>
  </r>
  <r>
    <s v="14-08-2026"/>
    <x v="25"/>
    <s v="General Purchase"/>
    <s v="GNSP 150"/>
    <s v="Purchase Withinstate- Stores, Spares &amp; Consumable"/>
    <n v="1377"/>
    <d v="2026-07-08T00:00:00"/>
    <s v="Stores/Spares"/>
    <s v="Hardware Items"/>
    <s v="Spares &amp; Stores"/>
    <x v="0"/>
    <s v="Allen Key 04 mm - L Type"/>
    <n v="10"/>
    <n v="102.4"/>
    <s v="Allen Key 04 mm - L Type"/>
    <n v="0"/>
    <n v="9"/>
    <n v="9.2200000000000006"/>
    <n v="9"/>
    <n v="9.2200000000000006"/>
    <n v="0"/>
    <n v="0"/>
    <n v="0"/>
    <n v="18.440000000000001"/>
    <n v="0"/>
    <s v="24ABVPP9097Q1Z7"/>
    <s v="Pcs"/>
    <n v="82041120"/>
    <s v="Rs."/>
    <n v="1"/>
    <n v="0"/>
  </r>
  <r>
    <s v="14-08-2026"/>
    <x v="25"/>
    <s v="General Purchase"/>
    <s v="GNSP 150"/>
    <s v="Purchase Withinstate- Stores, Spares &amp; Consumable"/>
    <n v="1377"/>
    <d v="2026-07-08T00:00:00"/>
    <s v="Stores/Spares"/>
    <s v="Hardware Items"/>
    <s v="Spares &amp; Stores"/>
    <x v="0"/>
    <s v="Allen Key 04 mm - T Type"/>
    <n v="10"/>
    <n v="544"/>
    <s v="Allen Key 04 mm - T Type"/>
    <n v="0"/>
    <n v="9"/>
    <n v="48.96"/>
    <n v="9"/>
    <n v="48.96"/>
    <n v="0"/>
    <n v="0"/>
    <n v="0"/>
    <n v="97.92"/>
    <n v="0"/>
    <s v="24ABVPP9097Q1Z7"/>
    <s v="Pcs"/>
    <n v="82042120"/>
    <s v="Rs."/>
    <n v="1"/>
    <n v="0"/>
  </r>
  <r>
    <s v="14-08-2026"/>
    <x v="25"/>
    <s v="General Purchase"/>
    <s v="GNSP 150"/>
    <s v="Purchase Withinstate- Stores, Spares &amp; Consumable"/>
    <n v="1377"/>
    <d v="2026-07-08T00:00:00"/>
    <s v="Stores/Spares"/>
    <s v="Hardware Items"/>
    <s v="Spares &amp; Stores"/>
    <x v="0"/>
    <s v="Allen Key 06 mm - L Type Long"/>
    <n v="5"/>
    <n v="92.8"/>
    <s v="Allen Key 06 mm - L Type Long"/>
    <n v="0"/>
    <n v="9"/>
    <n v="8.35"/>
    <n v="9"/>
    <n v="8.35"/>
    <n v="0"/>
    <n v="0"/>
    <n v="0"/>
    <n v="16.7"/>
    <n v="0"/>
    <s v="24ABVPP9097Q1Z7"/>
    <s v="Pcs"/>
    <n v="82041120"/>
    <s v="Rs."/>
    <n v="1"/>
    <n v="0"/>
  </r>
  <r>
    <s v="14-08-2026"/>
    <x v="25"/>
    <s v="General Purchase"/>
    <s v="GNSP 150"/>
    <s v="Purchase Withinstate- Stores, Spares &amp; Consumable"/>
    <n v="1377"/>
    <d v="2026-07-08T00:00:00"/>
    <s v="Stores/Spares"/>
    <s v="Hardware Items"/>
    <s v="Spares &amp; Stores"/>
    <x v="0"/>
    <s v="Allen Bolt 04X25 mm"/>
    <n v="50"/>
    <n v="136.91999999999999"/>
    <s v="Allen Bolt 04X25 mm"/>
    <n v="0"/>
    <n v="9"/>
    <n v="12.32"/>
    <n v="9"/>
    <n v="12.32"/>
    <n v="0"/>
    <n v="0"/>
    <n v="0"/>
    <n v="24.64"/>
    <n v="0"/>
    <s v="24ABVPP9097Q1Z7"/>
    <s v="Pcs"/>
    <n v="73181500"/>
    <s v="Rs."/>
    <n v="1"/>
    <n v="0"/>
  </r>
  <r>
    <s v="14-08-2026"/>
    <x v="25"/>
    <s v="General Purchase"/>
    <s v="GNSP 150"/>
    <s v="Purchase Withinstate- Stores, Spares &amp; Consumable"/>
    <n v="1377"/>
    <d v="2026-07-08T00:00:00"/>
    <s v="Consumables"/>
    <s v="Consumables Workshop"/>
    <s v="Spares &amp; Stores"/>
    <x v="0"/>
    <s v="Grinding Wheel 8 Inch Green"/>
    <n v="1"/>
    <n v="750"/>
    <s v="Grinding Wheel 8 Inch Green"/>
    <n v="0"/>
    <n v="9"/>
    <n v="67.5"/>
    <n v="9"/>
    <n v="67.5"/>
    <n v="0"/>
    <n v="0"/>
    <n v="0"/>
    <n v="135"/>
    <n v="0"/>
    <s v="24ABVPP9097Q1Z7"/>
    <s v="Pcs"/>
    <n v="62042290"/>
    <s v="Rs."/>
    <n v="1"/>
    <n v="0"/>
  </r>
  <r>
    <s v="14-08-2026"/>
    <x v="0"/>
    <s v="General Purchase"/>
    <s v="GNCN 357"/>
    <s v="Purchase Withinstate- Stores, Spares &amp; Consumable"/>
    <s v="PIL1/D/1373"/>
    <s v="14-08-2026"/>
    <s v="Stores/Spares"/>
    <s v="MS Structure Items"/>
    <s v="Spares &amp; Stores"/>
    <x v="0"/>
    <s v="MS Pipe 4  C Class"/>
    <n v="203"/>
    <n v="9744"/>
    <s v="MS Pipe 4  C Class"/>
    <n v="11488.18"/>
    <n v="9"/>
    <n v="876.96"/>
    <n v="9"/>
    <n v="876.96"/>
    <n v="0"/>
    <n v="0"/>
    <n v="0"/>
    <n v="1753.92"/>
    <n v="0"/>
    <s v="24AAACO3087C1ZT"/>
    <s v="Kgs"/>
    <n v="73063090"/>
    <s v="Rs."/>
    <n v="1"/>
    <n v="0"/>
  </r>
  <r>
    <s v="14-08-2026"/>
    <x v="0"/>
    <s v="R.M.P."/>
    <s v="RM 524"/>
    <s v="Purchase Withinstate - Raw Material"/>
    <s v="PIL1/D/1368"/>
    <s v="14-08-2026"/>
    <s v="SF"/>
    <s v="PP/PE Fabric"/>
    <s v="PP UL Fabric"/>
    <x v="1"/>
    <s v="PP UL Fabric With UV"/>
    <n v="857"/>
    <n v="123682.24000000001"/>
    <s v="PP UL Fabric With UV"/>
    <n v="1294303.5"/>
    <n v="9"/>
    <n v="11131.4"/>
    <n v="9"/>
    <n v="11131.4"/>
    <n v="0"/>
    <n v="0"/>
    <n v="0"/>
    <n v="22262.799999999999"/>
    <n v="0"/>
    <s v="24AAACO3087C1ZT"/>
    <s v="Kgs"/>
    <n v="39269080"/>
    <s v="Rs."/>
    <n v="1"/>
    <n v="857"/>
  </r>
  <r>
    <s v="14-08-2026"/>
    <x v="0"/>
    <s v="R.M.P."/>
    <s v="RM 524"/>
    <s v="Purchase Withinstate - Raw Material"/>
    <s v="PIL1/D/1368"/>
    <s v="14-08-2026"/>
    <s v="SF"/>
    <s v="PP/PE Fabric"/>
    <s v="PP UL Fabric"/>
    <x v="1"/>
    <s v="PP UL Fabric With UV"/>
    <n v="6576"/>
    <n v="935896.32"/>
    <s v="PP UL Fabric With UV"/>
    <n v="0"/>
    <n v="9"/>
    <n v="84230.67"/>
    <n v="9"/>
    <n v="84230.67"/>
    <n v="0"/>
    <n v="0"/>
    <n v="0"/>
    <n v="168461.34"/>
    <n v="0"/>
    <s v="24AAACO3087C1ZT"/>
    <s v="Kgs"/>
    <n v="39269080"/>
    <s v="Rs."/>
    <n v="1"/>
    <n v="6576"/>
  </r>
  <r>
    <s v="14-08-2026"/>
    <x v="0"/>
    <s v="R.M.P."/>
    <s v="RM 524"/>
    <s v="Purchase Withinstate - Raw Material"/>
    <s v="PIL1/D/1368"/>
    <s v="14-08-2026"/>
    <s v="SF"/>
    <s v="PP/PE Fabric"/>
    <s v="PP UL Fabric"/>
    <x v="1"/>
    <s v="PP UL Fabric With UV"/>
    <n v="263"/>
    <n v="38219.160000000003"/>
    <s v="PP UL Fabric With UV"/>
    <n v="0"/>
    <n v="9"/>
    <n v="3439.72"/>
    <n v="9"/>
    <n v="3439.72"/>
    <n v="0"/>
    <n v="0"/>
    <n v="0"/>
    <n v="6879.44"/>
    <n v="0"/>
    <s v="24AAACO3087C1ZT"/>
    <s v="Kgs"/>
    <n v="39269080"/>
    <s v="Rs."/>
    <n v="1"/>
    <n v="263"/>
  </r>
  <r>
    <s v="14-08-2026"/>
    <x v="0"/>
    <s v="R.M.P."/>
    <s v="RM 525"/>
    <s v="Purchase Withinstate - Raw Material"/>
    <s v="PIL1/D/1370"/>
    <s v="14-08-2026"/>
    <s v="SF"/>
    <s v="Webbing"/>
    <s v="PP Webbing"/>
    <x v="2"/>
    <s v="Webbing"/>
    <n v="1327.9"/>
    <n v="195626.23"/>
    <s v="Webbing"/>
    <n v="347759.83"/>
    <n v="9"/>
    <n v="17606.36"/>
    <n v="9"/>
    <n v="17606.36"/>
    <n v="0"/>
    <n v="0"/>
    <n v="0"/>
    <n v="35212.720000000001"/>
    <n v="0"/>
    <s v="24AAACO3087C1ZT"/>
    <s v="Kgs"/>
    <n v="3926908"/>
    <s v="Rs."/>
    <n v="1"/>
    <n v="1327.9"/>
  </r>
  <r>
    <s v="14-08-2026"/>
    <x v="0"/>
    <s v="R.M.P."/>
    <s v="RM 525"/>
    <s v="Purchase Withinstate - Raw Material"/>
    <s v="PIL1/D/1370"/>
    <s v="14-08-2026"/>
    <s v="SF"/>
    <s v="Webbing"/>
    <s v="PP Webbing"/>
    <x v="2"/>
    <s v="Webbing"/>
    <n v="688.3"/>
    <n v="99335.46"/>
    <s v="Webbing"/>
    <n v="0"/>
    <n v="9"/>
    <n v="8940.19"/>
    <n v="9"/>
    <n v="8940.19"/>
    <n v="0"/>
    <n v="0"/>
    <n v="0"/>
    <n v="17880.38"/>
    <n v="0"/>
    <s v="24AAACO3087C1ZT"/>
    <s v="Kgs"/>
    <n v="3926908"/>
    <s v="Rs."/>
    <n v="1"/>
    <n v="688.3"/>
  </r>
  <r>
    <s v="14-08-2026"/>
    <x v="0"/>
    <s v="R.M.P."/>
    <s v="RM 526"/>
    <s v="Purchase Withinstate - Raw Material"/>
    <s v="PIL1/D/1374"/>
    <s v="14-08-2026"/>
    <s v="SF"/>
    <s v="PP/PE Fabric"/>
    <s v="PP Lam Fabric"/>
    <x v="3"/>
    <s v="PP Lam Fabric With UV"/>
    <n v="894"/>
    <n v="129022.08"/>
    <s v="PP Lam Fabric With UV"/>
    <n v="1690644.66"/>
    <n v="9"/>
    <n v="11611.99"/>
    <n v="9"/>
    <n v="11611.99"/>
    <n v="0"/>
    <n v="0"/>
    <n v="0"/>
    <n v="23223.98"/>
    <n v="0"/>
    <s v="24AAACO3087C1ZT"/>
    <s v="Kgs"/>
    <n v="63053300"/>
    <s v="Rs."/>
    <n v="1"/>
    <n v="894"/>
  </r>
  <r>
    <s v="14-08-2026"/>
    <x v="0"/>
    <s v="R.M.P."/>
    <s v="RM 526"/>
    <s v="Purchase Withinstate - Raw Material"/>
    <s v="PIL1/D/1374"/>
    <s v="14-08-2026"/>
    <s v="SF"/>
    <s v="PP/PE Fabric"/>
    <s v="PP Lam Fabric"/>
    <x v="3"/>
    <s v="PP Lam Fabric With UV"/>
    <n v="1087"/>
    <n v="162310.84"/>
    <s v="PP Lam Fabric With UV"/>
    <n v="0"/>
    <n v="9"/>
    <n v="14607.98"/>
    <n v="9"/>
    <n v="14607.98"/>
    <n v="0"/>
    <n v="0"/>
    <n v="0"/>
    <n v="29215.96"/>
    <n v="0"/>
    <s v="24AAACO3087C1ZT"/>
    <s v="Kgs"/>
    <n v="63053300"/>
    <s v="Rs."/>
    <n v="1"/>
    <n v="1087"/>
  </r>
  <r>
    <s v="14-08-2026"/>
    <x v="0"/>
    <s v="R.M.P."/>
    <s v="RM 526"/>
    <s v="Purchase Withinstate - Raw Material"/>
    <s v="PIL1/D/1374"/>
    <s v="14-08-2026"/>
    <s v="SF"/>
    <s v="PP/PE Fabric"/>
    <s v="PP UL Fabric"/>
    <x v="1"/>
    <s v="PP UL Fabric With UV"/>
    <n v="260"/>
    <n v="37003.199999999997"/>
    <s v="PP UL Fabric With UV"/>
    <n v="0"/>
    <n v="9"/>
    <n v="3330.29"/>
    <n v="9"/>
    <n v="3330.29"/>
    <n v="0"/>
    <n v="0"/>
    <n v="0"/>
    <n v="6660.58"/>
    <n v="0"/>
    <s v="24AAACO3087C1ZT"/>
    <s v="Kgs"/>
    <n v="39269080"/>
    <s v="Rs."/>
    <n v="1"/>
    <n v="260"/>
  </r>
  <r>
    <s v="14-08-2026"/>
    <x v="0"/>
    <s v="R.M.P."/>
    <s v="RM 526"/>
    <s v="Purchase Withinstate - Raw Material"/>
    <s v="PIL1/D/1374"/>
    <s v="14-08-2026"/>
    <s v="SF"/>
    <s v="PP/PE Fabric"/>
    <s v="PP UL Fabric"/>
    <x v="1"/>
    <s v="PP UL Fabric With UV"/>
    <n v="641"/>
    <n v="92509.119999999995"/>
    <s v="PP UL Fabric With UV"/>
    <n v="0"/>
    <n v="9"/>
    <n v="8325.82"/>
    <n v="9"/>
    <n v="8325.82"/>
    <n v="0"/>
    <n v="0"/>
    <n v="0"/>
    <n v="16651.64"/>
    <n v="0"/>
    <s v="24AAACO3087C1ZT"/>
    <s v="Kgs"/>
    <n v="39269080"/>
    <s v="Rs."/>
    <n v="1"/>
    <n v="641"/>
  </r>
  <r>
    <s v="14-08-2026"/>
    <x v="0"/>
    <s v="R.M.P."/>
    <s v="RM 526"/>
    <s v="Purchase Withinstate - Raw Material"/>
    <s v="PIL1/D/1374"/>
    <s v="14-08-2026"/>
    <s v="SF"/>
    <s v="Liners"/>
    <s v="LDPE/LLDPE Bags"/>
    <x v="4"/>
    <s v="LDPE/LLDPE Bags/Liner"/>
    <n v="1253"/>
    <n v="226617.58"/>
    <s v="LDPE/LLDPE Bags/Liner"/>
    <n v="0"/>
    <n v="9"/>
    <n v="20395.580000000002"/>
    <n v="9"/>
    <n v="20395.580000000002"/>
    <n v="0"/>
    <n v="0"/>
    <n v="0"/>
    <n v="40791.160000000003"/>
    <n v="0"/>
    <s v="24AAACO3087C1ZT"/>
    <s v="Kgs"/>
    <n v="39200000"/>
    <s v="Rs."/>
    <n v="1"/>
    <n v="1253"/>
  </r>
  <r>
    <s v="14-08-2026"/>
    <x v="0"/>
    <s v="R.M.P."/>
    <s v="RM 526"/>
    <s v="Purchase Withinstate - Raw Material"/>
    <s v="PIL1/D/1374"/>
    <s v="14-08-2026"/>
    <s v="SF"/>
    <s v="Liners"/>
    <s v="LDPE/LLDPE Bags"/>
    <x v="4"/>
    <s v="LDPE/LLDPE Bags/Liner"/>
    <n v="266"/>
    <n v="49172.76"/>
    <s v="LDPE/LLDPE Bags/Liner"/>
    <n v="0"/>
    <n v="9"/>
    <n v="4425.55"/>
    <n v="9"/>
    <n v="4425.55"/>
    <n v="0"/>
    <n v="0"/>
    <n v="0"/>
    <n v="8851.1"/>
    <n v="0"/>
    <s v="24AAACO3087C1ZT"/>
    <s v="Kgs"/>
    <n v="39200000"/>
    <s v="Rs."/>
    <n v="1"/>
    <n v="266"/>
  </r>
  <r>
    <s v="14-08-2026"/>
    <x v="0"/>
    <s v="R.M.P."/>
    <s v="RM 526"/>
    <s v="Purchase Withinstate - Raw Material"/>
    <s v="PIL1/D/1374"/>
    <s v="14-08-2026"/>
    <s v="SF"/>
    <s v="Liners"/>
    <s v="LDPE/LLDPE Bags"/>
    <x v="4"/>
    <s v="LDPE/LLDPE Bags/Liner"/>
    <n v="3743"/>
    <n v="661986.98"/>
    <s v="LDPE/LLDPE Bags/Liner"/>
    <n v="0"/>
    <n v="9"/>
    <n v="59578.83"/>
    <n v="9"/>
    <n v="59578.83"/>
    <n v="0"/>
    <n v="0"/>
    <n v="0"/>
    <n v="119157.66"/>
    <n v="0"/>
    <s v="24AAACO3087C1ZT"/>
    <s v="Kgs"/>
    <n v="39200000"/>
    <s v="Rs."/>
    <n v="1"/>
    <n v="3743"/>
  </r>
  <r>
    <s v="14-08-2026"/>
    <x v="0"/>
    <s v="R.M.P."/>
    <s v="RM 526"/>
    <s v="Purchase Withinstate - Raw Material"/>
    <s v="PIL1/D/1374"/>
    <s v="14-08-2026"/>
    <s v="RM Consumables"/>
    <s v="FIBC Accessories"/>
    <s v="FIBC Accessories"/>
    <x v="0"/>
    <s v="Zip Lock Bags"/>
    <n v="22800"/>
    <n v="75340.320000000007"/>
    <s v="Zip Lock Bags"/>
    <n v="0"/>
    <n v="9"/>
    <n v="6780.63"/>
    <n v="9"/>
    <n v="6780.63"/>
    <n v="0"/>
    <n v="0"/>
    <n v="0"/>
    <n v="13561.26"/>
    <n v="0"/>
    <s v="24AAACO3087C1ZT"/>
    <s v="Pcs"/>
    <n v="39232100"/>
    <s v="Rs."/>
    <n v="1"/>
    <n v="22800"/>
  </r>
  <r>
    <s v="14-08-2026"/>
    <x v="0"/>
    <s v="R.M.P."/>
    <s v="RM 527"/>
    <s v="Purchase Withinstate - Raw Material"/>
    <s v="PIL1/D/1379"/>
    <s v="14-08-2026"/>
    <s v="SF"/>
    <s v="PP/PE Fabric"/>
    <s v="PP UL Fabric"/>
    <x v="1"/>
    <s v="PP UL Fabric With UV"/>
    <n v="1521"/>
    <n v="216468.72"/>
    <s v="PP UL Fabric With UV"/>
    <n v="266114.11"/>
    <n v="9"/>
    <n v="19482.18"/>
    <n v="9"/>
    <n v="19482.18"/>
    <n v="0"/>
    <n v="0"/>
    <n v="0"/>
    <n v="38964.36"/>
    <n v="0"/>
    <s v="24AAACO3087C1ZT"/>
    <s v="Kgs"/>
    <n v="39269080"/>
    <s v="Rs."/>
    <n v="1"/>
    <n v="1521"/>
  </r>
  <r>
    <s v="14-08-2026"/>
    <x v="0"/>
    <s v="R.M.P."/>
    <s v="RM 527"/>
    <s v="Purchase Withinstate - Raw Material"/>
    <s v="PIL1/D/1379"/>
    <s v="14-08-2026"/>
    <s v="SF"/>
    <s v="Liners"/>
    <s v="LDPE/LLDPE Bags"/>
    <x v="4"/>
    <s v="LDPE/LLDPE Bags/Liner"/>
    <n v="50"/>
    <n v="9243"/>
    <s v="LDPE/LLDPE Bags/Liner"/>
    <n v="0"/>
    <n v="9"/>
    <n v="831.87"/>
    <n v="9"/>
    <n v="831.87"/>
    <n v="0"/>
    <n v="0"/>
    <n v="0"/>
    <n v="1663.74"/>
    <n v="0"/>
    <s v="24AAACO3087C1ZT"/>
    <s v="Kgs"/>
    <n v="39200000"/>
    <s v="Rs."/>
    <n v="1"/>
    <n v="50"/>
  </r>
  <r>
    <s v="14-08-2026"/>
    <x v="26"/>
    <s v="General Purchase"/>
    <s v="GNCN 356"/>
    <s v="Purchase Withinstate- Stores, Spares &amp; Consumable"/>
    <s v="26-27/000394"/>
    <d v="2026-08-08T00:00:00"/>
    <s v="Consumables"/>
    <s v="Housekeeping Material"/>
    <s v="Spares &amp; Stores"/>
    <x v="0"/>
    <s v="Supdi Small Size"/>
    <n v="10"/>
    <n v="200"/>
    <s v="Supdi Small Size"/>
    <n v="944"/>
    <n v="9"/>
    <n v="18"/>
    <n v="9"/>
    <n v="18"/>
    <n v="0"/>
    <n v="0"/>
    <n v="0"/>
    <n v="36"/>
    <n v="0"/>
    <s v="24AHMPR2612N1Z1"/>
    <s v="Pcs"/>
    <n v="96031000"/>
    <s v="Rs."/>
    <n v="1"/>
    <n v="0"/>
  </r>
  <r>
    <s v="14-08-2026"/>
    <x v="26"/>
    <s v="General Purchase"/>
    <s v="GNCN 356"/>
    <s v="Purchase Withinstate- Stores, Spares &amp; Consumable"/>
    <s v="26-27/000394"/>
    <d v="2026-08-08T00:00:00"/>
    <s v="Printing &amp; Stationery"/>
    <s v="Stationery Items"/>
    <s v="Spares &amp; Stores"/>
    <x v="0"/>
    <s v="Paper Clips"/>
    <n v="20"/>
    <n v="600"/>
    <s v="Paper Clips"/>
    <n v="0"/>
    <n v="9"/>
    <n v="54"/>
    <n v="9"/>
    <n v="54"/>
    <n v="0"/>
    <n v="0"/>
    <n v="0"/>
    <n v="108"/>
    <n v="0"/>
    <s v="24AHMPR2612N1Z1"/>
    <s v="Pcs"/>
    <n v="830590"/>
    <s v="Rs."/>
    <n v="1"/>
    <n v="0"/>
  </r>
  <r>
    <s v="14-08-2026"/>
    <x v="27"/>
    <s v="General Purchase"/>
    <s v="GNSP 149"/>
    <s v="Purchase Withinstate- Stores, Spares &amp; Consumable"/>
    <s v="194/2026-27"/>
    <d v="2026-08-08T00:00:00"/>
    <s v="Stores/Spares"/>
    <s v="Pulley"/>
    <s v="Spares &amp; Stores"/>
    <x v="0"/>
    <s v="Alu. Timing Pulley 15 Th."/>
    <n v="2"/>
    <n v="2600"/>
    <s v="Alu. Timing Pulley 15 Th."/>
    <n v="3304"/>
    <n v="9"/>
    <n v="234"/>
    <n v="9"/>
    <n v="234"/>
    <n v="0"/>
    <n v="0"/>
    <n v="36"/>
    <n v="504"/>
    <n v="0"/>
    <s v="24AGAPP3885A1ZN"/>
    <s v="Pcs"/>
    <n v="844849"/>
    <s v="Rs."/>
    <n v="1"/>
    <n v="0"/>
  </r>
  <r>
    <s v="15-08-2026"/>
    <x v="0"/>
    <s v="General Purchase"/>
    <s v="GNCN 358"/>
    <s v="Purchase Withinstate- Stores, Spares &amp; Consumable"/>
    <s v="PIL1/D/1382"/>
    <s v="15-08-2026"/>
    <s v="Stores/Spares"/>
    <s v="MS Structure Items"/>
    <s v="Spares &amp; Stores"/>
    <x v="0"/>
    <s v="MS Pipe 4  C Class"/>
    <n v="246"/>
    <n v="11808"/>
    <s v="MS Pipe 4  C Class"/>
    <n v="13921.63"/>
    <n v="9"/>
    <n v="1062.72"/>
    <n v="9"/>
    <n v="1062.72"/>
    <n v="0"/>
    <n v="0"/>
    <n v="0"/>
    <n v="2125.44"/>
    <n v="0"/>
    <s v="24AAACO3087C1ZT"/>
    <s v="Kgs"/>
    <n v="73063090"/>
    <s v="Rs."/>
    <n v="1"/>
    <n v="0"/>
  </r>
  <r>
    <s v="15-08-2026"/>
    <x v="0"/>
    <s v="R.M.P."/>
    <s v="RM 528"/>
    <s v="Purchase Withinstate - Raw Material"/>
    <s v="PIL1/D/1383"/>
    <s v="15-08-2026"/>
    <s v="SF"/>
    <s v="Liners"/>
    <s v="LDPE/LLDPE Bags"/>
    <x v="4"/>
    <s v="LDPE/LLDPE Bags/Liner"/>
    <n v="3769"/>
    <n v="666585.34"/>
    <s v="LDPE/LLDPE Bags/Liner"/>
    <n v="1564096.3"/>
    <n v="9"/>
    <n v="59992.68"/>
    <n v="9"/>
    <n v="59992.68"/>
    <n v="0"/>
    <n v="0"/>
    <n v="0"/>
    <n v="119985.36"/>
    <n v="0"/>
    <s v="24AAACO3087C1ZT"/>
    <s v="Kgs"/>
    <n v="39200000"/>
    <s v="Rs."/>
    <n v="1"/>
    <n v="3769"/>
  </r>
  <r>
    <s v="15-08-2026"/>
    <x v="0"/>
    <s v="R.M.P."/>
    <s v="RM 528"/>
    <s v="Purchase Withinstate - Raw Material"/>
    <s v="PIL1/D/1383"/>
    <s v="15-08-2026"/>
    <s v="SF"/>
    <s v="PP/PE Fabric"/>
    <s v="PP UL Fabric"/>
    <x v="1"/>
    <s v="PP UL Fabric With UV"/>
    <n v="252"/>
    <n v="36368.639999999999"/>
    <s v="PP UL Fabric With UV"/>
    <n v="0"/>
    <n v="9"/>
    <n v="3273.18"/>
    <n v="9"/>
    <n v="3273.18"/>
    <n v="0"/>
    <n v="0"/>
    <n v="0"/>
    <n v="6546.36"/>
    <n v="0"/>
    <s v="24AAACO3087C1ZT"/>
    <s v="Kgs"/>
    <n v="39269080"/>
    <s v="Rs."/>
    <n v="1"/>
    <n v="252"/>
  </r>
  <r>
    <s v="15-08-2026"/>
    <x v="0"/>
    <s v="R.M.P."/>
    <s v="RM 528"/>
    <s v="Purchase Withinstate - Raw Material"/>
    <s v="PIL1/D/1383"/>
    <s v="15-08-2026"/>
    <s v="SF"/>
    <s v="PP/PE Fabric"/>
    <s v="PP UL Fabric"/>
    <x v="1"/>
    <s v="PP UL Fabric With UV"/>
    <n v="570"/>
    <n v="82832.399999999994"/>
    <s v="PP UL Fabric With UV"/>
    <n v="0"/>
    <n v="9"/>
    <n v="7454.92"/>
    <n v="9"/>
    <n v="7454.92"/>
    <n v="0"/>
    <n v="0"/>
    <n v="0"/>
    <n v="14909.84"/>
    <n v="0"/>
    <s v="24AAACO3087C1ZT"/>
    <s v="Kgs"/>
    <n v="39269080"/>
    <s v="Rs."/>
    <n v="1"/>
    <n v="570"/>
  </r>
  <r>
    <s v="15-08-2026"/>
    <x v="0"/>
    <s v="R.M.P."/>
    <s v="RM 528"/>
    <s v="Purchase Withinstate - Raw Material"/>
    <s v="PIL1/D/1383"/>
    <s v="15-08-2026"/>
    <s v="SF"/>
    <s v="PP/PE Fabric"/>
    <s v="PP UL Fabric"/>
    <x v="1"/>
    <s v="PP UL Fabric With UV"/>
    <n v="1536"/>
    <n v="218603.51999999999"/>
    <s v="PP UL Fabric With UV"/>
    <n v="0"/>
    <n v="9"/>
    <n v="19674.32"/>
    <n v="9"/>
    <n v="19674.32"/>
    <n v="0"/>
    <n v="0"/>
    <n v="0"/>
    <n v="39348.639999999999"/>
    <n v="0"/>
    <s v="24AAACO3087C1ZT"/>
    <s v="Kgs"/>
    <n v="39269080"/>
    <s v="Rs."/>
    <n v="1"/>
    <n v="1536"/>
  </r>
  <r>
    <s v="15-08-2026"/>
    <x v="0"/>
    <s v="R.M.P."/>
    <s v="RM 528"/>
    <s v="Purchase Withinstate - Raw Material"/>
    <s v="PIL1/D/1383"/>
    <s v="15-08-2026"/>
    <s v="SF"/>
    <s v="Webbing"/>
    <s v="PP Webbing"/>
    <x v="2"/>
    <s v="Webbing"/>
    <n v="1323.6"/>
    <n v="194992.75"/>
    <s v="Webbing"/>
    <n v="0"/>
    <n v="9"/>
    <n v="17549.349999999999"/>
    <n v="9"/>
    <n v="17549.349999999999"/>
    <n v="0"/>
    <n v="0"/>
    <n v="0"/>
    <n v="35098.699999999997"/>
    <n v="0"/>
    <s v="24AAACO3087C1ZT"/>
    <s v="Kgs"/>
    <n v="3926908"/>
    <s v="Rs."/>
    <n v="1"/>
    <n v="1323.6"/>
  </r>
  <r>
    <s v="15-08-2026"/>
    <x v="0"/>
    <s v="R.M.P."/>
    <s v="RM 528"/>
    <s v="Purchase Withinstate - Raw Material"/>
    <s v="PIL1/D/1383"/>
    <s v="15-08-2026"/>
    <s v="SF"/>
    <s v="Webbing"/>
    <s v="PP Webbing"/>
    <x v="2"/>
    <s v="Webbing"/>
    <n v="881.7"/>
    <n v="127246.94"/>
    <s v="Webbing"/>
    <n v="0"/>
    <n v="9"/>
    <n v="11452.22"/>
    <n v="9"/>
    <n v="11452.22"/>
    <n v="0"/>
    <n v="0"/>
    <n v="0"/>
    <n v="22904.44"/>
    <n v="0"/>
    <s v="24AAACO3087C1ZT"/>
    <s v="Kgs"/>
    <n v="3926908"/>
    <s v="Rs."/>
    <n v="1"/>
    <n v="881.7"/>
  </r>
  <r>
    <s v="15-08-2026"/>
    <x v="0"/>
    <s v="R.M.P."/>
    <s v="RM 529"/>
    <s v="Purchase Withinstate - Raw Material"/>
    <s v="PIL1/D/1381"/>
    <s v="15-08-2026"/>
    <s v="SF"/>
    <s v="PP/PE Fabric"/>
    <s v="PP UL Fabric"/>
    <x v="1"/>
    <s v="PP UL Fabric With UV"/>
    <n v="268"/>
    <n v="38945.760000000002"/>
    <s v="PP UL Fabric With UV"/>
    <n v="1426842.79"/>
    <n v="9"/>
    <n v="3505.12"/>
    <n v="9"/>
    <n v="3505.12"/>
    <n v="0"/>
    <n v="0"/>
    <n v="0"/>
    <n v="7010.24"/>
    <n v="0"/>
    <s v="24AAACO3087C1ZT"/>
    <s v="Kgs"/>
    <n v="39269080"/>
    <s v="Rs."/>
    <n v="1"/>
    <n v="268"/>
  </r>
  <r>
    <s v="15-08-2026"/>
    <x v="0"/>
    <s v="R.M.P."/>
    <s v="RM 529"/>
    <s v="Purchase Withinstate - Raw Material"/>
    <s v="PIL1/D/1381"/>
    <s v="15-08-2026"/>
    <s v="SF"/>
    <s v="PP/PE Fabric"/>
    <s v="PP UL Fabric"/>
    <x v="1"/>
    <s v="PP UL Fabric With UV"/>
    <n v="1454"/>
    <n v="209841.28"/>
    <s v="PP UL Fabric With UV"/>
    <n v="0"/>
    <n v="9"/>
    <n v="18885.72"/>
    <n v="9"/>
    <n v="18885.72"/>
    <n v="0"/>
    <n v="0"/>
    <n v="0"/>
    <n v="37771.440000000002"/>
    <n v="0"/>
    <s v="24AAACO3087C1ZT"/>
    <s v="Kgs"/>
    <n v="39269080"/>
    <s v="Rs."/>
    <n v="1"/>
    <n v="1454"/>
  </r>
  <r>
    <s v="15-08-2026"/>
    <x v="0"/>
    <s v="R.M.P."/>
    <s v="RM 529"/>
    <s v="Purchase Withinstate - Raw Material"/>
    <s v="PIL1/D/1381"/>
    <s v="15-08-2026"/>
    <s v="SF"/>
    <s v="PP/PE Fabric"/>
    <s v="PP Lam Fabric"/>
    <x v="3"/>
    <s v="PP Lam Fabric With UV"/>
    <n v="526"/>
    <n v="75912.320000000007"/>
    <s v="PP Lam Fabric With UV"/>
    <n v="0"/>
    <n v="9"/>
    <n v="6832.11"/>
    <n v="9"/>
    <n v="6832.11"/>
    <n v="0"/>
    <n v="0"/>
    <n v="0"/>
    <n v="13664.22"/>
    <n v="0"/>
    <s v="24AAACO3087C1ZT"/>
    <s v="Kgs"/>
    <n v="63053300"/>
    <s v="Rs."/>
    <n v="1"/>
    <n v="526"/>
  </r>
  <r>
    <s v="15-08-2026"/>
    <x v="0"/>
    <s v="R.M.P."/>
    <s v="RM 529"/>
    <s v="Purchase Withinstate - Raw Material"/>
    <s v="PIL1/D/1381"/>
    <s v="15-08-2026"/>
    <s v="SF"/>
    <s v="PP/PE Fabric"/>
    <s v="PP UL Fabric"/>
    <x v="1"/>
    <s v="PP UL Fabric With UV"/>
    <n v="6222"/>
    <n v="885515.04"/>
    <s v="PP UL Fabric With UV"/>
    <n v="0"/>
    <n v="9"/>
    <n v="79696.350000000006"/>
    <n v="9"/>
    <n v="79696.350000000006"/>
    <n v="0"/>
    <n v="0"/>
    <n v="0"/>
    <n v="159392.70000000001"/>
    <n v="0"/>
    <s v="24AAACO3087C1ZT"/>
    <s v="Kgs"/>
    <n v="39269080"/>
    <s v="Rs."/>
    <n v="1"/>
    <n v="6222"/>
  </r>
  <r>
    <s v="15-08-2026"/>
    <x v="0"/>
    <s v="R.M.P."/>
    <s v="RM 530"/>
    <s v="Purchase Withinstate - Raw Material"/>
    <s v="PIL1/D/1389"/>
    <s v="16-08-2026"/>
    <s v="SF"/>
    <s v="Liners"/>
    <s v="LDPE/LLDPE Bags"/>
    <x v="4"/>
    <s v="LDPE/LLDPE Bags/Liner"/>
    <n v="4681"/>
    <n v="827881.66"/>
    <s v="LDPE/LLDPE Bags/Liner"/>
    <n v="2116820.29"/>
    <n v="9"/>
    <n v="74509.350000000006"/>
    <n v="9"/>
    <n v="74509.350000000006"/>
    <n v="0"/>
    <n v="0"/>
    <n v="0"/>
    <n v="149018.70000000001"/>
    <n v="0"/>
    <s v="24AAACO3087C1ZT"/>
    <s v="Kgs"/>
    <n v="39200000"/>
    <s v="Rs."/>
    <n v="1"/>
    <n v="4681"/>
  </r>
  <r>
    <s v="15-08-2026"/>
    <x v="0"/>
    <s v="R.M.P."/>
    <s v="RM 530"/>
    <s v="Purchase Withinstate - Raw Material"/>
    <s v="PIL1/D/1389"/>
    <s v="16-08-2026"/>
    <s v="SF"/>
    <s v="PP/PE Fabric"/>
    <s v="PP UL Fabric"/>
    <x v="1"/>
    <s v="PP UL Fabric With UV"/>
    <n v="246"/>
    <n v="35502.720000000001"/>
    <s v="PP UL Fabric With UV"/>
    <n v="0"/>
    <n v="9"/>
    <n v="3195.24"/>
    <n v="9"/>
    <n v="3195.24"/>
    <n v="0"/>
    <n v="0"/>
    <n v="0"/>
    <n v="6390.48"/>
    <n v="0"/>
    <s v="24AAACO3087C1ZT"/>
    <s v="Kgs"/>
    <n v="39269080"/>
    <s v="Rs."/>
    <n v="1"/>
    <n v="246"/>
  </r>
  <r>
    <s v="15-08-2026"/>
    <x v="0"/>
    <s v="R.M.P."/>
    <s v="RM 530"/>
    <s v="Purchase Withinstate - Raw Material"/>
    <s v="PIL1/D/1389"/>
    <s v="16-08-2026"/>
    <s v="SF"/>
    <s v="PP/PE Fabric"/>
    <s v="PP UL Fabric"/>
    <x v="1"/>
    <s v="PP UL Fabric With UV"/>
    <n v="2120"/>
    <n v="301718.40000000002"/>
    <s v="PP UL Fabric With UV"/>
    <n v="0"/>
    <n v="9"/>
    <n v="27154.66"/>
    <n v="9"/>
    <n v="27154.66"/>
    <n v="0"/>
    <n v="0"/>
    <n v="0"/>
    <n v="54309.32"/>
    <n v="0"/>
    <s v="24AAACO3087C1ZT"/>
    <s v="Kgs"/>
    <n v="39269080"/>
    <s v="Rs."/>
    <n v="1"/>
    <n v="2120"/>
  </r>
  <r>
    <s v="15-08-2026"/>
    <x v="0"/>
    <s v="R.M.P."/>
    <s v="RM 530"/>
    <s v="Purchase Withinstate - Raw Material"/>
    <s v="PIL1/D/1389"/>
    <s v="16-08-2026"/>
    <s v="SF"/>
    <s v="PP/PE Fabric"/>
    <s v="PP Lam Fabric"/>
    <x v="3"/>
    <s v="PP Lam Fabric With UV"/>
    <n v="1847"/>
    <n v="275794.03999999998"/>
    <s v="PP Lam Fabric With UV"/>
    <n v="0"/>
    <n v="9"/>
    <n v="24821.46"/>
    <n v="9"/>
    <n v="24821.46"/>
    <n v="0"/>
    <n v="0"/>
    <n v="0"/>
    <n v="49642.92"/>
    <n v="0"/>
    <s v="24AAACO3087C1ZT"/>
    <s v="Kgs"/>
    <n v="63053300"/>
    <s v="Rs."/>
    <n v="1"/>
    <n v="1847"/>
  </r>
  <r>
    <s v="15-08-2026"/>
    <x v="0"/>
    <s v="R.M.P."/>
    <s v="RM 530"/>
    <s v="Purchase Withinstate - Raw Material"/>
    <s v="PIL1/D/1389"/>
    <s v="16-08-2026"/>
    <s v="SF"/>
    <s v="Webbing"/>
    <s v="PP Webbing"/>
    <x v="2"/>
    <s v="Webbing"/>
    <n v="1559.9"/>
    <n v="229804.47"/>
    <s v="Webbing"/>
    <n v="0"/>
    <n v="9"/>
    <n v="20682.400000000001"/>
    <n v="9"/>
    <n v="20682.400000000001"/>
    <n v="0"/>
    <n v="0"/>
    <n v="0"/>
    <n v="41364.800000000003"/>
    <n v="0"/>
    <s v="24AAACO3087C1ZT"/>
    <s v="Kgs"/>
    <n v="3926908"/>
    <s v="Rs."/>
    <n v="1"/>
    <n v="1559.9"/>
  </r>
  <r>
    <s v="15-08-2026"/>
    <x v="0"/>
    <s v="R.M.P."/>
    <s v="RM 530"/>
    <s v="Purchase Withinstate - Raw Material"/>
    <s v="PIL1/D/1389"/>
    <s v="16-08-2026"/>
    <s v="SF"/>
    <s v="Webbing"/>
    <s v="PP Webbing"/>
    <x v="2"/>
    <s v="Webbing"/>
    <n v="864.3"/>
    <n v="124735.78"/>
    <s v="Webbing"/>
    <n v="0"/>
    <n v="9"/>
    <n v="11226.22"/>
    <n v="9"/>
    <n v="11226.22"/>
    <n v="0"/>
    <n v="0"/>
    <n v="0"/>
    <n v="22452.44"/>
    <n v="0"/>
    <s v="24AAACO3087C1ZT"/>
    <s v="Kgs"/>
    <n v="3926908"/>
    <s v="Rs."/>
    <n v="1"/>
    <n v="864.3"/>
  </r>
  <r>
    <s v="16-08-2026"/>
    <x v="0"/>
    <s v="General Purchase"/>
    <s v="GNCN 359"/>
    <s v="Purchase Withinstate- Stores, Spares &amp; Consumable"/>
    <s v="PIL1/D/1388"/>
    <s v="16-08-2026"/>
    <s v="Stores/Spares"/>
    <s v="MS Structure Items"/>
    <s v="Spares &amp; Stores"/>
    <x v="0"/>
    <s v="MS Pipe 4  C Class"/>
    <n v="325"/>
    <n v="15600"/>
    <s v="MS Pipe 4  C Class"/>
    <n v="18392.400000000001"/>
    <n v="9"/>
    <n v="1404"/>
    <n v="9"/>
    <n v="1404"/>
    <n v="0"/>
    <n v="0"/>
    <n v="0"/>
    <n v="2808"/>
    <n v="0"/>
    <s v="24AAACO3087C1ZT"/>
    <s v="Kgs"/>
    <n v="73063090"/>
    <s v="Rs."/>
    <n v="1"/>
    <n v="0"/>
  </r>
  <r>
    <s v="16-08-2026"/>
    <x v="0"/>
    <s v="R.M.P."/>
    <s v="RM 531"/>
    <s v="Purchase Withinstate - Raw Material"/>
    <s v="PIL1/D/1387"/>
    <s v="16-08-2026"/>
    <s v="SF"/>
    <s v="PP/PE Fabric"/>
    <s v="PP UL Fabric"/>
    <x v="1"/>
    <s v="PP UL Fabric With UV"/>
    <n v="5811"/>
    <n v="827021.52"/>
    <s v="PP UL Fabric With UV"/>
    <n v="1329127.8700000001"/>
    <n v="9"/>
    <n v="74431.94"/>
    <n v="9"/>
    <n v="74431.94"/>
    <n v="0"/>
    <n v="0"/>
    <n v="0"/>
    <n v="148863.88"/>
    <n v="0"/>
    <s v="24AAACO3087C1ZT"/>
    <s v="Kgs"/>
    <n v="39269080"/>
    <s v="Rs."/>
    <n v="1"/>
    <n v="5811"/>
  </r>
  <r>
    <s v="16-08-2026"/>
    <x v="0"/>
    <s v="R.M.P."/>
    <s v="RM 531"/>
    <s v="Purchase Withinstate - Raw Material"/>
    <s v="PIL1/D/1387"/>
    <s v="16-08-2026"/>
    <s v="SF"/>
    <s v="PP/PE Fabric"/>
    <s v="PP UL Fabric"/>
    <x v="1"/>
    <s v="PP UL Fabric With UV"/>
    <n v="1599"/>
    <n v="230767.68"/>
    <s v="PP UL Fabric With UV"/>
    <n v="0"/>
    <n v="9"/>
    <n v="20769.09"/>
    <n v="9"/>
    <n v="20769.09"/>
    <n v="0"/>
    <n v="0"/>
    <n v="0"/>
    <n v="41538.18"/>
    <n v="0"/>
    <s v="24AAACO3087C1ZT"/>
    <s v="Kgs"/>
    <n v="39269080"/>
    <s v="Rs."/>
    <n v="1"/>
    <n v="1599"/>
  </r>
  <r>
    <s v="16-08-2026"/>
    <x v="0"/>
    <s v="R.M.P."/>
    <s v="RM 531"/>
    <s v="Purchase Withinstate - Raw Material"/>
    <s v="PIL1/D/1387"/>
    <s v="16-08-2026"/>
    <s v="SF"/>
    <s v="PP/PE Fabric"/>
    <s v="PP UL Fabric"/>
    <x v="1"/>
    <s v="PP UL Fabric With UV"/>
    <n v="196"/>
    <n v="28482.720000000001"/>
    <s v="PP UL Fabric With UV"/>
    <n v="0"/>
    <n v="9"/>
    <n v="2563.44"/>
    <n v="9"/>
    <n v="2563.44"/>
    <n v="0"/>
    <n v="0"/>
    <n v="0"/>
    <n v="5126.88"/>
    <n v="0"/>
    <s v="24AAACO3087C1ZT"/>
    <s v="Kgs"/>
    <n v="39269080"/>
    <s v="Rs."/>
    <n v="1"/>
    <n v="196"/>
  </r>
  <r>
    <s v="16-08-2026"/>
    <x v="0"/>
    <s v="R.M.P."/>
    <s v="RM 531"/>
    <s v="Purchase Withinstate - Raw Material"/>
    <s v="PIL1/D/1387"/>
    <s v="16-08-2026"/>
    <s v="SF"/>
    <s v="PP/PE Fabric"/>
    <s v="PP Lam Fabric"/>
    <x v="3"/>
    <s v="PP Lam Fabric With UV"/>
    <n v="275"/>
    <n v="41063"/>
    <s v="PP Lam Fabric With UV"/>
    <n v="0"/>
    <n v="9"/>
    <n v="3695.67"/>
    <n v="9"/>
    <n v="3695.67"/>
    <n v="0"/>
    <n v="0"/>
    <n v="0"/>
    <n v="7391.34"/>
    <n v="0"/>
    <s v="24AAACO3087C1ZT"/>
    <s v="Kgs"/>
    <n v="63053300"/>
    <s v="Rs."/>
    <n v="1"/>
    <n v="275"/>
  </r>
  <r>
    <s v="16-08-2026"/>
    <x v="28"/>
    <s v="R.M.P."/>
    <s v="RM 532"/>
    <s v="Purchase Interstate - Raw Material"/>
    <s v="1436/26-27"/>
    <d v="2026-09-08T00:00:00"/>
    <s v="RM Consumables"/>
    <s v="Ink"/>
    <s v="Thinner"/>
    <x v="13"/>
    <s v="Thinner Vyankatesh Thinner"/>
    <n v="5100"/>
    <n v="601800"/>
    <s v="Thinner Vyankatesh Thinner"/>
    <n v="710124"/>
    <n v="0"/>
    <n v="0"/>
    <n v="0"/>
    <n v="0"/>
    <n v="18"/>
    <n v="108324"/>
    <n v="0"/>
    <n v="108324"/>
    <n v="0"/>
    <s v="27AAECV8365Q1ZC"/>
    <s v="Kgs"/>
    <n v="38140010"/>
    <s v="Rs."/>
    <n v="1"/>
    <n v="0"/>
  </r>
  <r>
    <s v="17-08-2026"/>
    <x v="0"/>
    <s v="General Purchase"/>
    <s v="GNCN 361"/>
    <s v="Purchase Withinstate- Stores, Spares &amp; Consumable"/>
    <s v="PIL1/D/1402"/>
    <s v="17-08-2026"/>
    <s v="Stores/Spares"/>
    <s v="MS Structure Items"/>
    <s v="Spares &amp; Stores"/>
    <x v="0"/>
    <s v="MS Pipe 4  C Class"/>
    <n v="257"/>
    <n v="12336"/>
    <s v="MS Pipe 4  C Class"/>
    <n v="14544.14"/>
    <n v="9"/>
    <n v="1110.24"/>
    <n v="9"/>
    <n v="1110.24"/>
    <n v="0"/>
    <n v="0"/>
    <n v="0"/>
    <n v="2220.48"/>
    <n v="0"/>
    <s v="24AAACO3087C1ZT"/>
    <s v="Kgs"/>
    <n v="73063090"/>
    <s v="Rs."/>
    <n v="1"/>
    <n v="0"/>
  </r>
  <r>
    <s v="17-08-2026"/>
    <x v="0"/>
    <s v="R.M.P."/>
    <s v="RM 533"/>
    <s v="Purchase Withinstate - Raw Material"/>
    <s v="PIL1/D/1398"/>
    <s v="17-08-2026"/>
    <s v="SF"/>
    <s v="PP/PE Fabric"/>
    <s v="PP UL Fabric"/>
    <x v="1"/>
    <s v="PP UL Fabric With UV"/>
    <n v="6088"/>
    <n v="866444.16"/>
    <s v="PP UL Fabric With UV"/>
    <n v="1307735.47"/>
    <n v="9"/>
    <n v="77979.97"/>
    <n v="9"/>
    <n v="77979.97"/>
    <n v="0"/>
    <n v="0"/>
    <n v="0"/>
    <n v="155959.94"/>
    <n v="0"/>
    <s v="24AAACO3087C1ZT"/>
    <s v="Kgs"/>
    <n v="39269080"/>
    <s v="Rs."/>
    <n v="1"/>
    <n v="6088"/>
  </r>
  <r>
    <s v="17-08-2026"/>
    <x v="0"/>
    <s v="R.M.P."/>
    <s v="RM 533"/>
    <s v="Purchase Withinstate - Raw Material"/>
    <s v="PIL1/D/1398"/>
    <s v="17-08-2026"/>
    <s v="SF"/>
    <s v="PP/PE Fabric"/>
    <s v="PP UL Fabric"/>
    <x v="1"/>
    <s v="PP UL Fabric With UV"/>
    <n v="1682"/>
    <n v="242746.23999999999"/>
    <s v="PP UL Fabric With UV"/>
    <n v="0"/>
    <n v="9"/>
    <n v="21847.16"/>
    <n v="9"/>
    <n v="21847.16"/>
    <n v="0"/>
    <n v="0"/>
    <n v="0"/>
    <n v="43694.32"/>
    <n v="0"/>
    <s v="24AAACO3087C1ZT"/>
    <s v="Kgs"/>
    <n v="39269080"/>
    <s v="Rs."/>
    <n v="1"/>
    <n v="1682"/>
  </r>
  <r>
    <s v="17-08-2026"/>
    <x v="0"/>
    <s v="R.M.P."/>
    <s v="RM 535"/>
    <s v="Purchase Withinstate - Raw Material"/>
    <s v="PIL1/D/1399"/>
    <s v="17-08-2026"/>
    <s v="SF"/>
    <s v="PP/PE Fabric"/>
    <s v="PP UL Fabric"/>
    <x v="1"/>
    <s v="PP UL Fabric With UV"/>
    <n v="468"/>
    <n v="68009.759999999995"/>
    <s v="PP UL Fabric With UV"/>
    <n v="698596.85"/>
    <n v="9"/>
    <n v="6120.88"/>
    <n v="9"/>
    <n v="6120.88"/>
    <n v="0"/>
    <n v="0"/>
    <n v="0"/>
    <n v="12241.76"/>
    <n v="0"/>
    <s v="24AAACO3087C1ZT"/>
    <s v="Kgs"/>
    <n v="39269080"/>
    <s v="Rs."/>
    <n v="1"/>
    <n v="468"/>
  </r>
  <r>
    <s v="17-08-2026"/>
    <x v="0"/>
    <s v="R.M.P."/>
    <s v="RM 535"/>
    <s v="Purchase Withinstate - Raw Material"/>
    <s v="PIL1/D/1399"/>
    <s v="17-08-2026"/>
    <s v="SF"/>
    <s v="PP/PE Fabric"/>
    <s v="PP UL Fabric"/>
    <x v="1"/>
    <s v="PP UL Fabric With UV"/>
    <n v="3287"/>
    <n v="467805.84"/>
    <s v="PP UL Fabric With UV"/>
    <n v="0"/>
    <n v="9"/>
    <n v="42102.53"/>
    <n v="9"/>
    <n v="42102.53"/>
    <n v="0"/>
    <n v="0"/>
    <n v="0"/>
    <n v="84205.06"/>
    <n v="0"/>
    <s v="24AAACO3087C1ZT"/>
    <s v="Kgs"/>
    <n v="39269080"/>
    <s v="Rs."/>
    <n v="1"/>
    <n v="3287"/>
  </r>
  <r>
    <s v="17-08-2026"/>
    <x v="0"/>
    <s v="R.M.P."/>
    <s v="RM 535"/>
    <s v="Purchase Withinstate - Raw Material"/>
    <s v="PIL1/D/1399"/>
    <s v="17-08-2026"/>
    <s v="SF"/>
    <s v="PP/PE Fabric"/>
    <s v="PP UL Fabric"/>
    <x v="1"/>
    <s v="PP UL Fabric With UV"/>
    <n v="393"/>
    <n v="56717.760000000002"/>
    <s v="PP UL Fabric With UV"/>
    <n v="0"/>
    <n v="9"/>
    <n v="5104.6000000000004"/>
    <n v="9"/>
    <n v="5104.6000000000004"/>
    <n v="0"/>
    <n v="0"/>
    <n v="0"/>
    <n v="10209.200000000001"/>
    <n v="0"/>
    <s v="24AAACO3087C1ZT"/>
    <s v="Kgs"/>
    <n v="39269080"/>
    <s v="Rs."/>
    <n v="1"/>
    <n v="393"/>
  </r>
  <r>
    <s v="17-08-2026"/>
    <x v="0"/>
    <s v="R.M.P."/>
    <s v="RM 536"/>
    <s v="Purchase Withinstate - Raw Material"/>
    <s v="PIL1/D/1401"/>
    <s v="17-08-2026"/>
    <s v="SF"/>
    <s v="Liners"/>
    <s v="LDPE/LLDPE Bags"/>
    <x v="4"/>
    <s v="LDPE/LLDPE Bags/Liner"/>
    <n v="3841"/>
    <n v="679319.26"/>
    <s v="LDPE/LLDPE Bags/Liner"/>
    <n v="1264897.95"/>
    <n v="9"/>
    <n v="61138.73"/>
    <n v="9"/>
    <n v="61138.73"/>
    <n v="0"/>
    <n v="0"/>
    <n v="0"/>
    <n v="122277.46"/>
    <n v="0"/>
    <s v="24AAACO3087C1ZT"/>
    <s v="Kgs"/>
    <n v="39200000"/>
    <s v="Rs."/>
    <n v="1"/>
    <n v="3841"/>
  </r>
  <r>
    <s v="17-08-2026"/>
    <x v="0"/>
    <s v="R.M.P."/>
    <s v="RM 536"/>
    <s v="Purchase Withinstate - Raw Material"/>
    <s v="PIL1/D/1401"/>
    <s v="17-08-2026"/>
    <s v="SF"/>
    <s v="Webbing"/>
    <s v="PP Webbing"/>
    <x v="2"/>
    <s v="Webbing"/>
    <n v="1690.4"/>
    <n v="249029.73"/>
    <s v="Webbing"/>
    <n v="0"/>
    <n v="9"/>
    <n v="22412.68"/>
    <n v="9"/>
    <n v="22412.68"/>
    <n v="0"/>
    <n v="0"/>
    <n v="0"/>
    <n v="44825.36"/>
    <n v="0"/>
    <s v="24AAACO3087C1ZT"/>
    <s v="Kgs"/>
    <n v="3926908"/>
    <s v="Rs."/>
    <n v="1"/>
    <n v="1690.4"/>
  </r>
  <r>
    <s v="17-08-2026"/>
    <x v="0"/>
    <s v="R.M.P."/>
    <s v="RM 536"/>
    <s v="Purchase Withinstate - Raw Material"/>
    <s v="PIL1/D/1401"/>
    <s v="17-08-2026"/>
    <s v="SF"/>
    <s v="Webbing"/>
    <s v="PP Webbing"/>
    <x v="2"/>
    <s v="Webbing"/>
    <n v="1001.3"/>
    <n v="144507.62"/>
    <s v="Webbing"/>
    <n v="0"/>
    <n v="9"/>
    <n v="13005.69"/>
    <n v="9"/>
    <n v="13005.69"/>
    <n v="0"/>
    <n v="0"/>
    <n v="0"/>
    <n v="26011.38"/>
    <n v="0"/>
    <s v="24AAACO3087C1ZT"/>
    <s v="Kgs"/>
    <n v="3926908"/>
    <s v="Rs."/>
    <n v="1"/>
    <n v="1001.3"/>
  </r>
  <r>
    <s v="17-08-2026"/>
    <x v="2"/>
    <s v="General Purchase"/>
    <s v="GNCN 360"/>
    <s v="Purchase Withinstate- Stores, Spares &amp; Consumable"/>
    <s v="PPL/D/497"/>
    <s v="16-08-2026"/>
    <s v="Stores/Spares"/>
    <s v="MS Structure Items"/>
    <s v="Spares &amp; Stores"/>
    <x v="0"/>
    <s v="MS Pipe 4  C Class"/>
    <n v="40"/>
    <n v="1920"/>
    <s v="MS Pipe 4  C Class"/>
    <n v="2263.6799999999998"/>
    <n v="9"/>
    <n v="172.8"/>
    <n v="9"/>
    <n v="172.8"/>
    <n v="0"/>
    <n v="0"/>
    <n v="0"/>
    <n v="345.6"/>
    <n v="0"/>
    <s v="24AAFCP2956A1ZR"/>
    <s v="Kgs"/>
    <n v="73063090"/>
    <s v="Rs."/>
    <n v="1"/>
    <n v="0"/>
  </r>
  <r>
    <s v="17-08-2026"/>
    <x v="2"/>
    <s v="R.M.P."/>
    <s v="RM 534"/>
    <s v="Purchase Withinstate - Raw Material"/>
    <s v="PPL/D/496"/>
    <s v="16-08-2026"/>
    <s v="SF"/>
    <s v="PP/PE Fabric"/>
    <s v="PP Lam Fabric"/>
    <x v="3"/>
    <s v="PP Lam Fabric With UV"/>
    <n v="457"/>
    <n v="63331.06"/>
    <s v="PP Lam Fabric With UV"/>
    <n v="271587.93"/>
    <n v="9"/>
    <n v="5699.8"/>
    <n v="9"/>
    <n v="5699.8"/>
    <n v="0"/>
    <n v="0"/>
    <n v="0"/>
    <n v="11399.6"/>
    <n v="0"/>
    <s v="24AAFCP2956A1ZR"/>
    <s v="Kgs"/>
    <n v="63053300"/>
    <s v="Rs."/>
    <n v="1"/>
    <n v="457"/>
  </r>
  <r>
    <s v="17-08-2026"/>
    <x v="2"/>
    <s v="R.M.P."/>
    <s v="RM 534"/>
    <s v="Purchase Withinstate - Raw Material"/>
    <s v="PPL/D/496"/>
    <s v="16-08-2026"/>
    <s v="SF"/>
    <s v="PP/PE Fabric"/>
    <s v="PP Lam Fabric"/>
    <x v="3"/>
    <s v="PP Lam Fabric With UV"/>
    <n v="680"/>
    <n v="93554.4"/>
    <s v="PP Lam Fabric With UV"/>
    <n v="0"/>
    <n v="9"/>
    <n v="8419.9"/>
    <n v="9"/>
    <n v="8419.9"/>
    <n v="0"/>
    <n v="0"/>
    <n v="0"/>
    <n v="16839.8"/>
    <n v="0"/>
    <s v="24AAFCP2956A1ZR"/>
    <s v="Kgs"/>
    <n v="63053300"/>
    <s v="Rs."/>
    <n v="1"/>
    <n v="680"/>
  </r>
  <r>
    <s v="17-08-2026"/>
    <x v="2"/>
    <s v="R.M.P."/>
    <s v="RM 534"/>
    <s v="Purchase Withinstate - Raw Material"/>
    <s v="PPL/D/496"/>
    <s v="16-08-2026"/>
    <s v="FG"/>
    <s v="FIBC WIP"/>
    <s v="FIBC WIP"/>
    <x v="7"/>
    <s v="PP Woven Fabric"/>
    <n v="550"/>
    <n v="73469"/>
    <s v="FIBC WIP"/>
    <n v="0"/>
    <n v="9"/>
    <n v="6612.21"/>
    <n v="9"/>
    <n v="6612.21"/>
    <n v="0"/>
    <n v="0"/>
    <n v="0"/>
    <n v="13224.42"/>
    <n v="0"/>
    <s v="24AAFCP2956A1ZR"/>
    <s v="Kgs"/>
    <n v="39269080"/>
    <s v="Rs."/>
    <n v="1"/>
    <n v="550"/>
  </r>
  <r>
    <s v="18-08-2026"/>
    <x v="0"/>
    <s v="General Purchase"/>
    <s v="GNCN 362"/>
    <s v="Purchase Withinstate- Stores, Spares &amp; Consumable"/>
    <s v="PIL1/D/1411"/>
    <s v="18-08-2026"/>
    <s v="Stores/Spares"/>
    <s v="MS Structure Items"/>
    <s v="Spares &amp; Stores"/>
    <x v="0"/>
    <s v="MS Pipe 4  C Class"/>
    <n v="376"/>
    <n v="18048"/>
    <s v="MS Pipe 4  C Class"/>
    <n v="21278.59"/>
    <n v="9"/>
    <n v="1624.32"/>
    <n v="9"/>
    <n v="1624.32"/>
    <n v="0"/>
    <n v="0"/>
    <n v="0"/>
    <n v="3248.64"/>
    <n v="0"/>
    <s v="24AAACO3087C1ZT"/>
    <s v="Kgs"/>
    <n v="73063090"/>
    <s v="Rs."/>
    <n v="1"/>
    <n v="0"/>
  </r>
  <r>
    <s v="18-08-2026"/>
    <x v="0"/>
    <s v="R.M.P."/>
    <s v="RM 537"/>
    <s v="Purchase Withinstate - Raw Material"/>
    <s v="PIL1/D/1408"/>
    <s v="18-08-2026"/>
    <s v="SF"/>
    <s v="PP/PE Fabric"/>
    <s v="PP UL Fabric"/>
    <x v="1"/>
    <s v="PP UL Fabric With UV"/>
    <n v="502"/>
    <n v="72950.64"/>
    <s v="PP UL Fabric With UV"/>
    <n v="3046739.27"/>
    <n v="9"/>
    <n v="6565.56"/>
    <n v="9"/>
    <n v="6565.56"/>
    <n v="0"/>
    <n v="0"/>
    <n v="0"/>
    <n v="13131.12"/>
    <n v="0"/>
    <s v="24AAACO3087C1ZT"/>
    <s v="Kgs"/>
    <n v="39269080"/>
    <s v="Rs."/>
    <n v="1"/>
    <n v="502"/>
  </r>
  <r>
    <s v="18-08-2026"/>
    <x v="0"/>
    <s v="R.M.P."/>
    <s v="RM 537"/>
    <s v="Purchase Withinstate - Raw Material"/>
    <s v="PIL1/D/1408"/>
    <s v="18-08-2026"/>
    <s v="SF"/>
    <s v="PP/PE Fabric"/>
    <s v="PP UL Fabric"/>
    <x v="1"/>
    <s v="PP UL Fabric With UV"/>
    <n v="1931"/>
    <n v="278681.92"/>
    <s v="PP UL Fabric With UV"/>
    <n v="0"/>
    <n v="9"/>
    <n v="25081.37"/>
    <n v="9"/>
    <n v="25081.37"/>
    <n v="0"/>
    <n v="0"/>
    <n v="0"/>
    <n v="50162.74"/>
    <n v="0"/>
    <s v="24AAACO3087C1ZT"/>
    <s v="Kgs"/>
    <n v="39269080"/>
    <s v="Rs."/>
    <n v="1"/>
    <n v="1931"/>
  </r>
  <r>
    <s v="18-08-2026"/>
    <x v="0"/>
    <s v="R.M.P."/>
    <s v="RM 537"/>
    <s v="Purchase Withinstate - Raw Material"/>
    <s v="PIL1/D/1408"/>
    <s v="18-08-2026"/>
    <s v="SF"/>
    <s v="PP/PE Fabric"/>
    <s v="PP UL Fabric"/>
    <x v="1"/>
    <s v="PP UL Fabric With UV"/>
    <n v="13927"/>
    <n v="1982090.64"/>
    <s v="PP UL Fabric With UV"/>
    <n v="0"/>
    <n v="9"/>
    <n v="178388.16"/>
    <n v="9"/>
    <n v="178388.16"/>
    <n v="0"/>
    <n v="0"/>
    <n v="0"/>
    <n v="356776.32"/>
    <n v="0"/>
    <s v="24AAACO3087C1ZT"/>
    <s v="Kgs"/>
    <n v="39269080"/>
    <s v="Rs."/>
    <n v="1"/>
    <n v="13927"/>
  </r>
  <r>
    <s v="18-08-2026"/>
    <x v="0"/>
    <s v="R.M.P."/>
    <s v="RM 537"/>
    <s v="Purchase Withinstate - Raw Material"/>
    <s v="PIL1/D/1408"/>
    <s v="18-08-2026"/>
    <s v="SF"/>
    <s v="PP/PE Fabric"/>
    <s v="PP Lam Fabric"/>
    <x v="3"/>
    <s v="PP Lam Fabric With UV"/>
    <n v="1300"/>
    <n v="194116"/>
    <s v="PP Lam Fabric With UV"/>
    <n v="0"/>
    <n v="9"/>
    <n v="17470.439999999999"/>
    <n v="9"/>
    <n v="17470.439999999999"/>
    <n v="0"/>
    <n v="0"/>
    <n v="0"/>
    <n v="34940.879999999997"/>
    <n v="0"/>
    <s v="24AAACO3087C1ZT"/>
    <s v="Kgs"/>
    <n v="63053300"/>
    <s v="Rs."/>
    <n v="1"/>
    <n v="1300"/>
  </r>
  <r>
    <s v="18-08-2026"/>
    <x v="0"/>
    <s v="R.M.P."/>
    <s v="RM 537"/>
    <s v="Purchase Withinstate - Raw Material"/>
    <s v="PIL1/D/1408"/>
    <s v="18-08-2026"/>
    <s v="SF"/>
    <s v="PP/PE Fabric"/>
    <s v="PP Lam Fabric"/>
    <x v="3"/>
    <s v="PP Lam Fabric With UV"/>
    <n v="385"/>
    <n v="56333.2"/>
    <s v="PP Lam Fabric With UV"/>
    <n v="0"/>
    <n v="9"/>
    <n v="5069.99"/>
    <n v="9"/>
    <n v="5069.99"/>
    <n v="0"/>
    <n v="0"/>
    <n v="0"/>
    <n v="10139.98"/>
    <n v="0"/>
    <s v="24AAACO3087C1ZT"/>
    <s v="Kgs"/>
    <n v="63053300"/>
    <s v="Rs."/>
    <n v="1"/>
    <n v="385"/>
  </r>
  <r>
    <s v="18-08-2026"/>
    <x v="0"/>
    <s v="R.M.P."/>
    <s v="RM 538"/>
    <s v="Purchase Withinstate - Raw Material"/>
    <s v="PIL1/D/1412"/>
    <s v="18-08-2026"/>
    <s v="SF"/>
    <s v="Webbing"/>
    <s v="PP Webbing"/>
    <x v="2"/>
    <s v="Webbing"/>
    <n v="1499.1"/>
    <n v="220847.41"/>
    <s v="Webbing"/>
    <n v="799018.64"/>
    <n v="9"/>
    <n v="19876.27"/>
    <n v="9"/>
    <n v="19876.27"/>
    <n v="0"/>
    <n v="0"/>
    <n v="0"/>
    <n v="39752.54"/>
    <n v="0"/>
    <s v="24AAACO3087C1ZT"/>
    <s v="Kgs"/>
    <n v="3926908"/>
    <s v="Rs."/>
    <n v="1"/>
    <n v="1499.1"/>
  </r>
  <r>
    <s v="18-08-2026"/>
    <x v="0"/>
    <s v="R.M.P."/>
    <s v="RM 538"/>
    <s v="Purchase Withinstate - Raw Material"/>
    <s v="PIL1/D/1412"/>
    <s v="18-08-2026"/>
    <s v="SF"/>
    <s v="Webbing"/>
    <s v="PP Webbing"/>
    <x v="2"/>
    <s v="Webbing"/>
    <n v="468.2"/>
    <n v="67570.62"/>
    <s v="Webbing"/>
    <n v="0"/>
    <n v="9"/>
    <n v="6081.36"/>
    <n v="9"/>
    <n v="6081.36"/>
    <n v="0"/>
    <n v="0"/>
    <n v="0"/>
    <n v="12162.72"/>
    <n v="0"/>
    <s v="24AAACO3087C1ZT"/>
    <s v="Kgs"/>
    <n v="3926908"/>
    <s v="Rs."/>
    <n v="1"/>
    <n v="468.2"/>
  </r>
  <r>
    <s v="18-08-2026"/>
    <x v="0"/>
    <s v="R.M.P."/>
    <s v="RM 538"/>
    <s v="Purchase Withinstate - Raw Material"/>
    <s v="PIL1/D/1412"/>
    <s v="18-08-2026"/>
    <s v="SF"/>
    <s v="Yarn All"/>
    <s v="PP Yarn"/>
    <x v="6"/>
    <s v="PP MF Yarn Twisted 3000 Denier UV Deep Blue"/>
    <n v="989.2"/>
    <n v="155620.94"/>
    <s v="PP MF Yarn Twisted 3000 Denier UV Deep Blue"/>
    <n v="0"/>
    <n v="2.5"/>
    <n v="3890.52"/>
    <n v="2.5"/>
    <n v="3890.52"/>
    <n v="0"/>
    <n v="0"/>
    <n v="0"/>
    <n v="7781.04"/>
    <n v="0"/>
    <s v="24AAACO3087C1ZT"/>
    <s v="Kgs"/>
    <n v="54026930"/>
    <s v="Rs."/>
    <n v="1"/>
    <n v="989.2"/>
  </r>
  <r>
    <s v="18-08-2026"/>
    <x v="0"/>
    <s v="R.M.P."/>
    <s v="RM 538"/>
    <s v="Purchase Withinstate - Raw Material"/>
    <s v="PIL1/D/1412"/>
    <s v="18-08-2026"/>
    <s v="SF"/>
    <s v="Yarn All"/>
    <s v="PP Yarn"/>
    <x v="6"/>
    <s v="PP MF Yarn Twisted 3000 Denier UV NW"/>
    <n v="952.2"/>
    <n v="146943.5"/>
    <s v="PP MF Yarn Twisted 3000 Denier UV NW"/>
    <n v="0"/>
    <n v="2.5"/>
    <n v="3673.59"/>
    <n v="2.5"/>
    <n v="3673.59"/>
    <n v="0"/>
    <n v="0"/>
    <n v="0"/>
    <n v="7347.18"/>
    <n v="0"/>
    <s v="24AAACO3087C1ZT"/>
    <s v="Kgs"/>
    <n v="540263"/>
    <s v="Rs."/>
    <n v="1"/>
    <n v="952.2"/>
  </r>
  <r>
    <s v="18-08-2026"/>
    <x v="0"/>
    <s v="R.M.P."/>
    <s v="RM 538"/>
    <s v="Purchase Withinstate - Raw Material"/>
    <s v="PIL1/D/1412"/>
    <s v="18-08-2026"/>
    <s v="SF"/>
    <s v="Liners"/>
    <s v="LDPE/LLDPE Bags"/>
    <x v="4"/>
    <s v="LDPE/LLDPE Bags/Liner"/>
    <n v="679"/>
    <n v="120087.94"/>
    <s v="LDPE/LLDPE Bags/Liner"/>
    <n v="0"/>
    <n v="9"/>
    <n v="10807.91"/>
    <n v="9"/>
    <n v="10807.91"/>
    <n v="0"/>
    <n v="0"/>
    <n v="0"/>
    <n v="21615.82"/>
    <n v="0"/>
    <s v="24AAACO3087C1ZT"/>
    <s v="Kgs"/>
    <n v="39200000"/>
    <s v="Rs."/>
    <n v="1"/>
    <n v="679"/>
  </r>
  <r>
    <s v="18-08-2026"/>
    <x v="2"/>
    <s v="General Purchase"/>
    <s v="GNSP 151"/>
    <s v="Purchase Withinstate- Stores, Spares &amp; Consumable"/>
    <s v="PPL/D/510"/>
    <s v="18-08-2026"/>
    <s v="Stores/Spares"/>
    <s v="Stitching Spares"/>
    <s v="Spares &amp; Stores"/>
    <x v="0"/>
    <s v="Spreader Lever 81313 A"/>
    <n v="1"/>
    <n v="3660"/>
    <s v="Spreader Lever 81313 A"/>
    <n v="3839.34"/>
    <n v="2.5"/>
    <n v="91.5"/>
    <n v="2.5"/>
    <n v="91.5"/>
    <n v="0"/>
    <n v="0"/>
    <n v="0"/>
    <n v="183"/>
    <n v="0"/>
    <s v="24AAFCP2956A1ZR"/>
    <s v="Pcs"/>
    <n v="84529099"/>
    <s v="Rs."/>
    <n v="1"/>
    <n v="0"/>
  </r>
  <r>
    <s v="19-08-2026"/>
    <x v="11"/>
    <s v="General Purchase"/>
    <s v="GNSP 153"/>
    <s v="Purchase Withinstate- Stores, Spares &amp; Consumable"/>
    <s v="AE-2026-27/0140"/>
    <d v="2026-05-08T00:00:00"/>
    <s v="Stores/Spares"/>
    <s v="Cables/Wires"/>
    <s v="Spares &amp; Stores"/>
    <x v="0"/>
    <s v="Copper Flexible Cable 1.5 Sq mm x 3 Core"/>
    <n v="100"/>
    <n v="6847"/>
    <s v="Copper Flexible Cable 1.5 Sq mm x 3 Core"/>
    <n v="8079"/>
    <n v="9"/>
    <n v="616.23"/>
    <n v="9"/>
    <n v="616.23"/>
    <n v="0"/>
    <n v="0"/>
    <n v="0"/>
    <n v="1232.46"/>
    <n v="0"/>
    <s v="24HELPS8671K1ZJ"/>
    <s v="MTR"/>
    <n v="854470"/>
    <s v="Rs."/>
    <n v="1"/>
    <n v="0"/>
  </r>
  <r>
    <s v="19-08-2026"/>
    <x v="5"/>
    <s v="General Purchase"/>
    <s v="GNPK 80"/>
    <s v="Purchase Withinstate- Packing Material"/>
    <s v="BI/26-27/084"/>
    <s v="17-08-2026"/>
    <s v="Packing Material"/>
    <s v="Pallets"/>
    <s v="Pallets"/>
    <x v="8"/>
    <s v="Pine Wooden Pallet Design Code STD90110"/>
    <n v="150"/>
    <n v="116250"/>
    <s v="Pine Wooden Pallet Design Code STD90110"/>
    <n v="122063"/>
    <n v="2.5"/>
    <n v="2906.25"/>
    <n v="2.5"/>
    <n v="2906.25"/>
    <n v="0"/>
    <n v="0"/>
    <n v="0"/>
    <n v="5812.5"/>
    <n v="0"/>
    <s v="24AXVPT0296P1ZD"/>
    <s v="Pcs"/>
    <n v="44152000"/>
    <s v="Rs."/>
    <n v="1"/>
    <n v="0"/>
  </r>
  <r>
    <s v="19-08-2026"/>
    <x v="0"/>
    <s v="General Purchase"/>
    <s v="GNCN 364"/>
    <s v="Purchase Withinstate- Stores, Spares &amp; Consumable"/>
    <s v="PIL1/D/1420"/>
    <s v="19-08-2026"/>
    <s v="Stores/Spares"/>
    <s v="MS Structure Items"/>
    <s v="Spares &amp; Stores"/>
    <x v="0"/>
    <s v="MS Pipe 4  C Class"/>
    <n v="263"/>
    <n v="12624"/>
    <s v="MS Pipe 4  C Class"/>
    <n v="14883.7"/>
    <n v="9"/>
    <n v="1136.1600000000001"/>
    <n v="9"/>
    <n v="1136.1600000000001"/>
    <n v="0"/>
    <n v="0"/>
    <n v="0"/>
    <n v="2272.3200000000002"/>
    <n v="0"/>
    <s v="24AAACO3087C1ZT"/>
    <s v="Kgs"/>
    <n v="73063090"/>
    <s v="Rs."/>
    <n v="1"/>
    <n v="0"/>
  </r>
  <r>
    <s v="19-08-2026"/>
    <x v="0"/>
    <s v="R.M.P."/>
    <s v="RM 540"/>
    <s v="Purchase Withinstate - Raw Material"/>
    <s v="PIL1/D/1417"/>
    <s v="19-08-2026"/>
    <s v="SF"/>
    <s v="PP/PE Fabric"/>
    <s v="PP UL Fabric"/>
    <x v="1"/>
    <s v="PP UL Fabric With UV"/>
    <n v="2435"/>
    <n v="351419.2"/>
    <s v="PP UL Fabric With UV"/>
    <n v="1944641.52"/>
    <n v="9"/>
    <n v="31627.73"/>
    <n v="9"/>
    <n v="31627.73"/>
    <n v="0"/>
    <n v="0"/>
    <n v="0"/>
    <n v="63255.46"/>
    <n v="0"/>
    <s v="24AAACO3087C1ZT"/>
    <s v="Kgs"/>
    <n v="39269080"/>
    <s v="Rs."/>
    <n v="1"/>
    <n v="2435"/>
  </r>
  <r>
    <s v="19-08-2026"/>
    <x v="0"/>
    <s v="R.M.P."/>
    <s v="RM 540"/>
    <s v="Purchase Withinstate - Raw Material"/>
    <s v="PIL1/D/1417"/>
    <s v="19-08-2026"/>
    <s v="SF"/>
    <s v="PP/PE Fabric"/>
    <s v="PP UL Fabric"/>
    <x v="1"/>
    <s v="PP UL Fabric With UV"/>
    <n v="529"/>
    <n v="76874.28"/>
    <s v="PP UL Fabric With UV"/>
    <n v="0"/>
    <n v="9"/>
    <n v="6918.69"/>
    <n v="9"/>
    <n v="6918.69"/>
    <n v="0"/>
    <n v="0"/>
    <n v="0"/>
    <n v="13837.38"/>
    <n v="0"/>
    <s v="24AAACO3087C1ZT"/>
    <s v="Kgs"/>
    <n v="39269080"/>
    <s v="Rs."/>
    <n v="1"/>
    <n v="529"/>
  </r>
  <r>
    <s v="19-08-2026"/>
    <x v="0"/>
    <s v="R.M.P."/>
    <s v="RM 540"/>
    <s v="Purchase Withinstate - Raw Material"/>
    <s v="PIL1/D/1417"/>
    <s v="19-08-2026"/>
    <s v="SF"/>
    <s v="PP/PE Fabric"/>
    <s v="PP UL Fabric"/>
    <x v="1"/>
    <s v="PP UL Fabric With UV"/>
    <n v="8580"/>
    <n v="1221105.6000000001"/>
    <s v="PP UL Fabric With UV"/>
    <n v="0"/>
    <n v="9"/>
    <n v="109899.5"/>
    <n v="9"/>
    <n v="109899.5"/>
    <n v="0"/>
    <n v="0"/>
    <n v="0"/>
    <n v="219799"/>
    <n v="0"/>
    <s v="24AAACO3087C1ZT"/>
    <s v="Kgs"/>
    <n v="39269080"/>
    <s v="Rs."/>
    <n v="1"/>
    <n v="8580"/>
  </r>
  <r>
    <s v="19-08-2026"/>
    <x v="0"/>
    <s v="R.M.P."/>
    <s v="RM 541"/>
    <s v="Purchase Withinstate - Raw Material"/>
    <s v="PIL1/D/1419"/>
    <s v="19-08-2026"/>
    <s v="SF"/>
    <s v="Liners"/>
    <s v="LDPE/LLDPE Bags"/>
    <x v="4"/>
    <s v="LDPE/LLDPE Bags/Liner"/>
    <n v="3725"/>
    <n v="658803.5"/>
    <s v="LDPE/LLDPE Bags/Liner"/>
    <n v="1103547.5"/>
    <n v="9"/>
    <n v="59292.32"/>
    <n v="9"/>
    <n v="59292.32"/>
    <n v="0"/>
    <n v="0"/>
    <n v="0"/>
    <n v="118584.64"/>
    <n v="0"/>
    <s v="24AAACO3087C1ZT"/>
    <s v="Kgs"/>
    <n v="39200000"/>
    <s v="Rs."/>
    <n v="1"/>
    <n v="3725"/>
  </r>
  <r>
    <s v="19-08-2026"/>
    <x v="0"/>
    <s v="R.M.P."/>
    <s v="RM 541"/>
    <s v="Purchase Withinstate - Raw Material"/>
    <s v="PIL1/D/1419"/>
    <s v="19-08-2026"/>
    <s v="SF"/>
    <s v="Webbing"/>
    <s v="PP Webbing"/>
    <x v="2"/>
    <s v="Webbing"/>
    <n v="421.6"/>
    <n v="60845.31"/>
    <s v="Webbing"/>
    <n v="0"/>
    <n v="9"/>
    <n v="5476.08"/>
    <n v="9"/>
    <n v="5476.08"/>
    <n v="0"/>
    <n v="0"/>
    <n v="0"/>
    <n v="10952.16"/>
    <n v="0"/>
    <s v="24AAACO3087C1ZT"/>
    <s v="Kgs"/>
    <n v="3926908"/>
    <s v="Rs."/>
    <n v="1"/>
    <n v="421.6"/>
  </r>
  <r>
    <s v="19-08-2026"/>
    <x v="0"/>
    <s v="R.M.P."/>
    <s v="RM 541"/>
    <s v="Purchase Withinstate - Raw Material"/>
    <s v="PIL1/D/1419"/>
    <s v="19-08-2026"/>
    <s v="SF"/>
    <s v="Webbing"/>
    <s v="PP Webbing"/>
    <x v="2"/>
    <s v="Webbing"/>
    <n v="1468.6"/>
    <n v="216354.15"/>
    <s v="Webbing"/>
    <n v="0"/>
    <n v="9"/>
    <n v="19471.87"/>
    <n v="9"/>
    <n v="19471.87"/>
    <n v="0"/>
    <n v="0"/>
    <n v="0"/>
    <n v="38943.74"/>
    <n v="0"/>
    <s v="24AAACO3087C1ZT"/>
    <s v="Kgs"/>
    <n v="3926908"/>
    <s v="Rs."/>
    <n v="1"/>
    <n v="1468.6"/>
  </r>
  <r>
    <s v="19-08-2026"/>
    <x v="2"/>
    <s v="General Purchase"/>
    <s v="GNCN 363"/>
    <s v="Purchase Withinstate- Stores, Spares &amp; Consumable"/>
    <s v="PPL/D/518"/>
    <s v="19-08-2026"/>
    <s v="Stores/Spares"/>
    <s v="MS Structure Items"/>
    <s v="Spares &amp; Stores"/>
    <x v="0"/>
    <s v="MS Pipe 4  C Class"/>
    <n v="52"/>
    <n v="2496"/>
    <s v="MS Pipe 4  C Class"/>
    <n v="2942.78"/>
    <n v="9"/>
    <n v="224.64"/>
    <n v="9"/>
    <n v="224.64"/>
    <n v="0"/>
    <n v="0"/>
    <n v="0"/>
    <n v="449.28"/>
    <n v="0"/>
    <s v="24AAFCP2956A1ZR"/>
    <s v="Kgs"/>
    <n v="73063090"/>
    <s v="Rs."/>
    <n v="1"/>
    <n v="0"/>
  </r>
  <r>
    <s v="19-08-2026"/>
    <x v="2"/>
    <s v="R.M.P."/>
    <s v="RM 539"/>
    <s v="Purchase Withinstate - Raw Material"/>
    <s v="PPL/D/517"/>
    <s v="19-08-2026"/>
    <s v="SF"/>
    <s v="PP/PE Fabric"/>
    <s v="PP UL Fabric"/>
    <x v="1"/>
    <s v="PP UL Fabric With UV"/>
    <n v="947.3"/>
    <n v="126540.33"/>
    <s v="PP UL Fabric With UV"/>
    <n v="168119.89"/>
    <n v="9"/>
    <n v="11388.63"/>
    <n v="9"/>
    <n v="11388.63"/>
    <n v="0"/>
    <n v="0"/>
    <n v="0"/>
    <n v="22777.26"/>
    <n v="0"/>
    <s v="24AAFCP2956A1ZR"/>
    <s v="Kgs"/>
    <n v="39269080"/>
    <s v="Rs."/>
    <n v="1"/>
    <n v="947.3"/>
  </r>
  <r>
    <s v="19-08-2026"/>
    <x v="2"/>
    <s v="R.M.P."/>
    <s v="RM 539"/>
    <s v="Purchase Withinstate - Raw Material"/>
    <s v="PPL/D/517"/>
    <s v="19-08-2026"/>
    <s v="SF"/>
    <s v="Liners"/>
    <s v="LDPE/LLDPE Bags"/>
    <x v="12"/>
    <s v="PE Labels (Kgs)"/>
    <n v="65"/>
    <n v="16055"/>
    <s v="PE Labels (Kgs)"/>
    <n v="0"/>
    <n v="9"/>
    <n v="1444.95"/>
    <n v="9"/>
    <n v="1444.95"/>
    <n v="0"/>
    <n v="0"/>
    <n v="0"/>
    <n v="2889.9"/>
    <n v="0"/>
    <s v="24AAFCP2956A1ZR"/>
    <s v="Kgs"/>
    <n v="3920101"/>
    <s v="Rs."/>
    <n v="1"/>
    <n v="65"/>
  </r>
  <r>
    <s v="19-08-2026"/>
    <x v="26"/>
    <s v="General Purchase"/>
    <s v="GNMS 17"/>
    <s v="Purchase Withinstate- Stores, Spares &amp; Consumable"/>
    <s v="26-27/000417"/>
    <s v="14-08-2026"/>
    <s v="Consumables"/>
    <s v="Housekeeping Material"/>
    <s v="Spares &amp; Stores"/>
    <x v="0"/>
    <s v="Garbage Bag"/>
    <n v="5"/>
    <n v="300"/>
    <s v="Garbage Bag"/>
    <n v="13189"/>
    <n v="9"/>
    <n v="27"/>
    <n v="9"/>
    <n v="27"/>
    <n v="0"/>
    <n v="0"/>
    <n v="0"/>
    <n v="54"/>
    <n v="0"/>
    <s v="24AHMPR2612N1Z1"/>
    <s v="PKT"/>
    <n v="39031990"/>
    <s v="Rs."/>
    <n v="1"/>
    <n v="0"/>
  </r>
  <r>
    <s v="19-08-2026"/>
    <x v="26"/>
    <s v="General Purchase"/>
    <s v="GNMS 17"/>
    <s v="Purchase Withinstate- Stores, Spares &amp; Consumable"/>
    <s v="26-27/000417"/>
    <s v="14-08-2026"/>
    <s v="Printing &amp; Stationery"/>
    <s v="Stationery Items"/>
    <s v="Spares &amp; Stores"/>
    <x v="0"/>
    <s v="Pencil"/>
    <n v="400"/>
    <n v="1280"/>
    <s v="Pencil"/>
    <n v="0"/>
    <n v="0"/>
    <n v="0"/>
    <n v="0"/>
    <n v="0"/>
    <n v="0"/>
    <n v="0"/>
    <n v="0"/>
    <n v="0"/>
    <n v="0"/>
    <s v="24AHMPR2612N1Z1"/>
    <s v="Pcs"/>
    <n v="84522100"/>
    <s v="Rs."/>
    <n v="1"/>
    <n v="0"/>
  </r>
  <r>
    <s v="19-08-2026"/>
    <x v="26"/>
    <s v="General Purchase"/>
    <s v="GNMS 17"/>
    <s v="Purchase Withinstate- Stores, Spares &amp; Consumable"/>
    <s v="26-27/000417"/>
    <s v="14-08-2026"/>
    <s v="Consumables"/>
    <s v="Consumables"/>
    <s v="Spares &amp; Stores"/>
    <x v="0"/>
    <s v="Marker Pen CD/DVD/OHP"/>
    <n v="150"/>
    <n v="1050"/>
    <s v="Marker Pen CD/DVD/OHP"/>
    <n v="0"/>
    <n v="9"/>
    <n v="94.5"/>
    <n v="9"/>
    <n v="94.5"/>
    <n v="0"/>
    <n v="0"/>
    <n v="0"/>
    <n v="189"/>
    <n v="0"/>
    <s v="24AHMPR2612N1Z1"/>
    <s v="Pcs"/>
    <n v="96082000"/>
    <s v="Rs."/>
    <n v="1"/>
    <n v="0"/>
  </r>
  <r>
    <s v="19-08-2026"/>
    <x v="26"/>
    <s v="General Purchase"/>
    <s v="GNMS 17"/>
    <s v="Purchase Withinstate- Stores, Spares &amp; Consumable"/>
    <s v="26-27/000417"/>
    <s v="14-08-2026"/>
    <s v="Consumables"/>
    <s v="Housekeeping Material"/>
    <s v="Spares &amp; Stores"/>
    <x v="0"/>
    <s v="Phenyl (1 Ltr Packing )"/>
    <n v="100"/>
    <n v="2000"/>
    <s v="Phenyl (1 Ltr Packing )"/>
    <n v="0"/>
    <n v="9"/>
    <n v="180"/>
    <n v="9"/>
    <n v="180"/>
    <n v="0"/>
    <n v="0"/>
    <n v="0"/>
    <n v="360"/>
    <n v="0"/>
    <s v="24AHMPR2612N1Z1"/>
    <s v="Ltr"/>
    <n v="340290"/>
    <s v="Rs."/>
    <n v="1"/>
    <n v="0"/>
  </r>
  <r>
    <s v="19-08-2026"/>
    <x v="26"/>
    <s v="General Purchase"/>
    <s v="GNMS 17"/>
    <s v="Purchase Withinstate- Stores, Spares &amp; Consumable"/>
    <s v="26-27/000417"/>
    <s v="14-08-2026"/>
    <s v="Stores/Spares"/>
    <s v="Cutter Blades"/>
    <s v="Spares &amp; Stores"/>
    <x v="0"/>
    <s v="Alfa Blade"/>
    <n v="500"/>
    <n v="2800"/>
    <s v="Alfa Blade"/>
    <n v="0"/>
    <n v="9"/>
    <n v="252"/>
    <n v="9"/>
    <n v="252"/>
    <n v="0"/>
    <n v="0"/>
    <n v="0"/>
    <n v="504"/>
    <n v="0"/>
    <s v="24AHMPR2612N1Z1"/>
    <s v="Pcs"/>
    <n v="82121010"/>
    <s v="Rs."/>
    <n v="1"/>
    <n v="0"/>
  </r>
  <r>
    <s v="19-08-2026"/>
    <x v="26"/>
    <s v="General Purchase"/>
    <s v="GNMS 17"/>
    <s v="Purchase Withinstate- Stores, Spares &amp; Consumable"/>
    <s v="26-27/000417"/>
    <s v="14-08-2026"/>
    <s v="Printing &amp; Stationery"/>
    <s v="Stationery Items"/>
    <s v="Spares &amp; Stores"/>
    <x v="0"/>
    <s v="White Chalk              ( Pkt.)"/>
    <n v="5"/>
    <n v="50"/>
    <s v="White Chalk              ( Pkt.)"/>
    <n v="0"/>
    <n v="0"/>
    <n v="0"/>
    <n v="0"/>
    <n v="0"/>
    <n v="0"/>
    <n v="0"/>
    <n v="0"/>
    <n v="0"/>
    <n v="0"/>
    <s v="24AHMPR2612N1Z1"/>
    <s v="Pcs"/>
    <n v="25090000"/>
    <s v="Rs."/>
    <n v="1"/>
    <n v="0"/>
  </r>
  <r>
    <s v="19-08-2026"/>
    <x v="26"/>
    <s v="General Purchase"/>
    <s v="GNMS 17"/>
    <s v="Purchase Withinstate- Stores, Spares &amp; Consumable"/>
    <s v="26-27/000417"/>
    <s v="14-08-2026"/>
    <s v="Printing &amp; Stationery"/>
    <s v="Stationery Items"/>
    <s v="Spares &amp; Stores"/>
    <x v="0"/>
    <s v="Ball Pen"/>
    <n v="200"/>
    <n v="500"/>
    <s v="Ball Pen"/>
    <n v="0"/>
    <n v="9"/>
    <n v="45"/>
    <n v="9"/>
    <n v="45"/>
    <n v="0"/>
    <n v="0"/>
    <n v="0"/>
    <n v="90"/>
    <n v="0"/>
    <s v="24AHMPR2612N1Z1"/>
    <s v="Pcs"/>
    <n v="960810"/>
    <s v="Rs."/>
    <n v="1"/>
    <n v="0"/>
  </r>
  <r>
    <s v="19-08-2026"/>
    <x v="26"/>
    <s v="General Purchase"/>
    <s v="GNMS 17"/>
    <s v="Purchase Withinstate- Stores, Spares &amp; Consumable"/>
    <s v="26-27/000417"/>
    <s v="14-08-2026"/>
    <s v="Consumables"/>
    <s v="housekeeping Material"/>
    <s v="Spares &amp; Stores"/>
    <x v="0"/>
    <s v="Acid ( Cleaner )"/>
    <n v="200"/>
    <n v="3400"/>
    <s v="Acid ( Cleaner )"/>
    <n v="0"/>
    <n v="9"/>
    <n v="306"/>
    <n v="9"/>
    <n v="306"/>
    <n v="0"/>
    <n v="0"/>
    <n v="0"/>
    <n v="612"/>
    <n v="0"/>
    <s v="24AHMPR2612N1Z1"/>
    <s v="Ltr"/>
    <n v="340290"/>
    <s v="Rs."/>
    <n v="1"/>
    <n v="0"/>
  </r>
  <r>
    <s v="19-08-2026"/>
    <x v="29"/>
    <s v="General Purchase"/>
    <s v="GNSP 152"/>
    <s v="Purchase Withinstate- Stores, Spares &amp; Consumable"/>
    <s v="KH-1574-2627"/>
    <d v="2026-03-08T00:00:00"/>
    <s v="Stores/Spares"/>
    <s v="Lights/Fans"/>
    <s v="Spares &amp; Stores"/>
    <x v="0"/>
    <s v="Led Tube Light , 20 Watt , 3000 Lumens , Corvi Make"/>
    <n v="50"/>
    <n v="4500"/>
    <s v="Led Tube Light , 20 Watt , 3000 Lumens , Corvi Make"/>
    <n v="5310"/>
    <n v="9"/>
    <n v="405"/>
    <n v="9"/>
    <n v="405"/>
    <n v="0"/>
    <n v="0"/>
    <n v="0"/>
    <n v="810"/>
    <n v="0"/>
    <s v="24AAACV3059P1ZZ"/>
    <s v="Pcs"/>
    <n v="940540"/>
    <s v="Rs."/>
    <n v="1"/>
    <n v="0"/>
  </r>
  <r>
    <s v="19-08-2026"/>
    <x v="30"/>
    <s v="General Purchase"/>
    <s v="GNMS 18"/>
    <s v="Purchase Withinstate- Stores, Spares &amp; Consumable"/>
    <n v="3921"/>
    <s v="14-08-2026"/>
    <s v="Printing &amp; Stationery"/>
    <s v="Stationery Items"/>
    <s v="Spares &amp; Stores"/>
    <x v="0"/>
    <s v="Letter Head"/>
    <n v="1000"/>
    <n v="2000"/>
    <s v="Letter Head"/>
    <n v="2360"/>
    <n v="9"/>
    <n v="180"/>
    <n v="9"/>
    <n v="180"/>
    <n v="0"/>
    <n v="0"/>
    <n v="0"/>
    <n v="360"/>
    <n v="0"/>
    <s v="24AJTPP9381R1ZV"/>
    <s v="Pcs"/>
    <n v="482010"/>
    <s v="Rs."/>
    <n v="1"/>
    <n v="0"/>
  </r>
  <r>
    <s v="19-08-2026"/>
    <x v="28"/>
    <s v="R.M.P."/>
    <s v="RM 542"/>
    <s v="Purchase Interstate - Raw Material"/>
    <s v="1426/26-27"/>
    <d v="2026-08-08T00:00:00"/>
    <s v="RM Consumables"/>
    <s v="Ink"/>
    <s v="Ink"/>
    <x v="14"/>
    <s v="Ink Vyankatesh Poly Voilet VLX 873"/>
    <n v="25"/>
    <n v="12500"/>
    <s v="Ink Vyankatesh Poly Voilet VLX 873"/>
    <n v="14750"/>
    <n v="0"/>
    <n v="0"/>
    <n v="0"/>
    <n v="0"/>
    <n v="18"/>
    <n v="2250"/>
    <n v="0"/>
    <n v="2250"/>
    <n v="0"/>
    <s v="27AAECV8365Q1ZC"/>
    <s v="Kgs"/>
    <n v="32151910"/>
    <s v="Rs."/>
    <n v="1"/>
    <n v="0"/>
  </r>
  <r>
    <s v="20-08-2026"/>
    <x v="11"/>
    <s v="General Purchase"/>
    <s v="GNSP 158"/>
    <s v="Purchase Withinstate- Stores, Spares &amp; Consumable"/>
    <s v="AE/2026-27/0182"/>
    <s v="20-08-2026"/>
    <s v="Stores/Spares"/>
    <s v="Lights/Fans"/>
    <s v="Spares &amp; Stores"/>
    <x v="0"/>
    <s v="Halogen Lamp 1000 Watt"/>
    <n v="5"/>
    <n v="350"/>
    <s v="Halogen Lamp 1000 Watt"/>
    <n v="7316"/>
    <n v="9"/>
    <n v="31.5"/>
    <n v="9"/>
    <n v="31.5"/>
    <n v="0"/>
    <n v="0"/>
    <n v="0"/>
    <n v="63"/>
    <n v="0"/>
    <s v="24HELPS8671K1ZJ"/>
    <s v="Pcs"/>
    <n v="853921"/>
    <s v="Rs."/>
    <n v="1"/>
    <n v="0"/>
  </r>
  <r>
    <s v="20-08-2026"/>
    <x v="11"/>
    <s v="General Purchase"/>
    <s v="GNSP 158"/>
    <s v="Purchase Withinstate- Stores, Spares &amp; Consumable"/>
    <s v="AE/2026-27/0182"/>
    <s v="20-08-2026"/>
    <s v="Stores/Spares"/>
    <s v="Electrical Items/Spares"/>
    <s v="Spares &amp; Stores"/>
    <x v="0"/>
    <s v="Nc Element"/>
    <n v="30"/>
    <n v="900"/>
    <s v="Nc Element"/>
    <n v="0"/>
    <n v="9"/>
    <n v="81"/>
    <n v="9"/>
    <n v="81"/>
    <n v="0"/>
    <n v="0"/>
    <n v="0"/>
    <n v="162"/>
    <n v="0"/>
    <s v="24HELPS8671K1ZJ"/>
    <s v="Pcs"/>
    <n v="853620"/>
    <s v="Rs."/>
    <n v="1"/>
    <n v="0"/>
  </r>
  <r>
    <s v="20-08-2026"/>
    <x v="11"/>
    <s v="General Purchase"/>
    <s v="GNSP 158"/>
    <s v="Purchase Withinstate- Stores, Spares &amp; Consumable"/>
    <s v="AE/2026-27/0182"/>
    <s v="20-08-2026"/>
    <s v="Stores/Spares"/>
    <s v="Electrical Items/Spares"/>
    <s v="Spares &amp; Stores"/>
    <x v="0"/>
    <s v="No Contact Element"/>
    <n v="30"/>
    <n v="900"/>
    <s v="No Contact Element"/>
    <n v="0"/>
    <n v="9"/>
    <n v="81"/>
    <n v="9"/>
    <n v="81"/>
    <n v="0"/>
    <n v="0"/>
    <n v="0"/>
    <n v="162"/>
    <n v="0"/>
    <s v="24HELPS8671K1ZJ"/>
    <s v="Pcs"/>
    <n v="853620"/>
    <s v="Rs."/>
    <n v="1"/>
    <n v="0"/>
  </r>
  <r>
    <s v="20-08-2026"/>
    <x v="11"/>
    <s v="General Purchase"/>
    <s v="GNSP 158"/>
    <s v="Purchase Withinstate- Stores, Spares &amp; Consumable"/>
    <s v="AE/2026-27/0182"/>
    <s v="20-08-2026"/>
    <s v="Stores/Spares"/>
    <s v="Electrical Items/Spares"/>
    <s v="Spares &amp; Stores"/>
    <x v="0"/>
    <s v="Industrial Male-Female Connector 16Amp Single Phase 3Pin(P+N+E)"/>
    <n v="30"/>
    <n v="4050"/>
    <s v="Industrial Male-Female Connector 16Amp Single Phase 3Pin(P+N+E)"/>
    <n v="0"/>
    <n v="9"/>
    <n v="364.5"/>
    <n v="9"/>
    <n v="364.5"/>
    <n v="0"/>
    <n v="0"/>
    <n v="0"/>
    <n v="729"/>
    <n v="0"/>
    <s v="24HELPS8671K1ZJ"/>
    <s v="SET"/>
    <n v="853690"/>
    <s v="Rs."/>
    <n v="1"/>
    <n v="0"/>
  </r>
  <r>
    <s v="20-08-2026"/>
    <x v="31"/>
    <s v="General Purchase"/>
    <s v="GNSP 157"/>
    <s v="Purchase Withinstate- Stores, Spares &amp; Consumable"/>
    <s v="JGE/0062/26-27"/>
    <s v="19-08-2026"/>
    <s v="Stores/Spares"/>
    <s v="Hardware Items"/>
    <s v="Spares &amp; Stores"/>
    <x v="0"/>
    <s v="Drill Bit Rcc Size :- 6 mm"/>
    <n v="5"/>
    <n v="400"/>
    <s v="Drill Bit Rcc Size :- 6 mm"/>
    <n v="1455"/>
    <n v="9"/>
    <n v="36"/>
    <n v="9"/>
    <n v="36"/>
    <n v="0"/>
    <n v="0"/>
    <n v="21.6"/>
    <n v="93.6"/>
    <n v="0"/>
    <s v="24CJAPP7399J1ZM"/>
    <s v="Pcs"/>
    <n v="8207500"/>
    <s v="Rs."/>
    <n v="1"/>
    <n v="0"/>
  </r>
  <r>
    <s v="20-08-2026"/>
    <x v="31"/>
    <s v="General Purchase"/>
    <s v="GNSP 157"/>
    <s v="Purchase Withinstate- Stores, Spares &amp; Consumable"/>
    <s v="JGE/0062/26-27"/>
    <s v="19-08-2026"/>
    <s v="Stores/Spares"/>
    <s v="Hardware Items"/>
    <s v="Spares &amp; Stores"/>
    <x v="0"/>
    <s v="Drill Bit Hss Size :- 14 mm"/>
    <n v="1"/>
    <n v="713.18"/>
    <s v="Drill Bit Hss Size :- 14 mm"/>
    <n v="0"/>
    <n v="9"/>
    <n v="64.19"/>
    <n v="9"/>
    <n v="64.19"/>
    <n v="0"/>
    <n v="0"/>
    <n v="21.6"/>
    <n v="149.97999999999999"/>
    <n v="0"/>
    <s v="24CJAPP7399J1ZM"/>
    <s v="Pcs"/>
    <n v="82079090"/>
    <s v="Rs."/>
    <n v="1"/>
    <n v="0"/>
  </r>
  <r>
    <s v="20-08-2026"/>
    <x v="19"/>
    <s v="R.M.P."/>
    <s v="RM 543"/>
    <s v="Purchase Withinstate - Raw Material"/>
    <s v="KPV/D/625"/>
    <s v="19-08-2026"/>
    <s v="SF"/>
    <s v="Yarn All"/>
    <s v="PP Yarn"/>
    <x v="6"/>
    <s v="PP Fibrillated Tape Twisted 3200 Black"/>
    <n v="398"/>
    <n v="63441.2"/>
    <s v="PP Fibrillated Tape Twisted 3200 Black"/>
    <n v="66549.820000000007"/>
    <n v="2.5"/>
    <n v="1586.03"/>
    <n v="2.5"/>
    <n v="1586.03"/>
    <n v="0"/>
    <n v="0"/>
    <n v="0"/>
    <n v="3172.06"/>
    <n v="0"/>
    <s v="24AAECK6307M1ZF"/>
    <s v="Kgs"/>
    <n v="5402693"/>
    <s v="Rs."/>
    <n v="1"/>
    <n v="398"/>
  </r>
  <r>
    <s v="20-08-2026"/>
    <x v="15"/>
    <s v="General Purchase"/>
    <s v="GNSP 155"/>
    <s v="Purchase Withinstate- Stores, Spares &amp; Consumable"/>
    <n v="517"/>
    <s v="13-08-2026"/>
    <s v="Stores/Spares"/>
    <s v="Contactor"/>
    <s v="Spares &amp; Stores"/>
    <x v="0"/>
    <s v="Contactor 40 A., Coil -240 V.Ac, Tc Make"/>
    <n v="4"/>
    <n v="17600"/>
    <s v="Contactor 40 A., Coil -240 V.Ac, Tc Make"/>
    <n v="42515"/>
    <n v="9"/>
    <n v="1584"/>
    <n v="9"/>
    <n v="1584"/>
    <n v="0"/>
    <n v="0"/>
    <n v="45"/>
    <n v="3213"/>
    <n v="0"/>
    <s v="24ANLPK2335A1ZJ"/>
    <s v="Pcs"/>
    <n v="853690"/>
    <s v="Rs."/>
    <n v="1"/>
    <n v="0"/>
  </r>
  <r>
    <s v="20-08-2026"/>
    <x v="15"/>
    <s v="General Purchase"/>
    <s v="GNSP 155"/>
    <s v="Purchase Withinstate- Stores, Spares &amp; Consumable"/>
    <n v="517"/>
    <s v="13-08-2026"/>
    <s v="Stores/Spares"/>
    <s v="Contactor"/>
    <s v="Spares &amp; Stores"/>
    <x v="0"/>
    <s v="Contactor 63 Amp, Coil 220 V Ac"/>
    <n v="2"/>
    <n v="13000"/>
    <s v="Contactor 63 Amp, Coil 220 V Ac"/>
    <n v="0"/>
    <n v="9"/>
    <n v="1170"/>
    <n v="9"/>
    <n v="1170"/>
    <n v="0"/>
    <n v="0"/>
    <n v="45"/>
    <n v="2385"/>
    <n v="0"/>
    <s v="24ANLPK2335A1ZJ"/>
    <s v="Pcs"/>
    <n v="853650"/>
    <s v="Rs."/>
    <n v="1"/>
    <n v="0"/>
  </r>
  <r>
    <s v="20-08-2026"/>
    <x v="15"/>
    <s v="General Purchase"/>
    <s v="GNSP 155"/>
    <s v="Purchase Withinstate- Stores, Spares &amp; Consumable"/>
    <n v="517"/>
    <s v="13-08-2026"/>
    <s v="Stores/Spares"/>
    <s v="Relay"/>
    <s v="Spares &amp; Stores"/>
    <x v="0"/>
    <s v="Over Load Relay Range 20-33 Amp. Thermal  Mn-5"/>
    <n v="2"/>
    <n v="5180"/>
    <s v="Over Load Relay Range 20-33 Amp. Thermal  Mn-5"/>
    <n v="0"/>
    <n v="9"/>
    <n v="466.2"/>
    <n v="9"/>
    <n v="466.2"/>
    <n v="0"/>
    <n v="0"/>
    <n v="45"/>
    <n v="977.4"/>
    <n v="0"/>
    <s v="24ANLPK2335A1ZJ"/>
    <s v="Pcs"/>
    <n v="85364900"/>
    <s v="Rs."/>
    <n v="1"/>
    <n v="0"/>
  </r>
  <r>
    <s v="20-08-2026"/>
    <x v="32"/>
    <s v="General Purchase"/>
    <s v="GNSP 159"/>
    <s v="Purchase Withinstate- Stores, Spares &amp; Consumable"/>
    <n v="66262702375"/>
    <s v="20-08-2026"/>
    <s v="Consumables"/>
    <s v="Oil Seal"/>
    <s v="Spares &amp; Stores"/>
    <x v="0"/>
    <s v="Seal Kit  ( As Per Sample) For R.P. Plant Bell Press M/C)"/>
    <n v="1"/>
    <n v="1850"/>
    <s v="Seal Kit  ( As Per Sample) For R.P. Plant Bell Press M/C)"/>
    <n v="2183"/>
    <n v="9"/>
    <n v="166.5"/>
    <n v="9"/>
    <n v="166.5"/>
    <n v="0"/>
    <n v="0"/>
    <n v="0"/>
    <n v="333"/>
    <n v="0"/>
    <s v="24AANFK5438R1ZK"/>
    <s v="SET"/>
    <n v="392610"/>
    <s v="Rs."/>
    <n v="1"/>
    <n v="0"/>
  </r>
  <r>
    <s v="20-08-2026"/>
    <x v="33"/>
    <s v="General Purchase"/>
    <s v="GNSP 156"/>
    <s v="Purchase Withinstate- Stores, Spares &amp; Consumable"/>
    <s v="TG2426105700"/>
    <d v="2026-11-08T00:00:00"/>
    <s v="Stores/Spares"/>
    <s v="Circular Loom Spares"/>
    <s v="Spares &amp; Stores"/>
    <x v="0"/>
    <s v="Ruuber Emery 4&quot; 100 ( For Hdp )"/>
    <n v="100"/>
    <n v="12000"/>
    <s v="Ruuber Emery 4&quot; 100 ( For Hdp )"/>
    <n v="12579"/>
    <n v="2.5"/>
    <n v="300"/>
    <n v="2.5"/>
    <n v="300"/>
    <n v="0"/>
    <n v="0"/>
    <n v="0"/>
    <n v="600"/>
    <n v="0"/>
    <s v="24AAKCK2932Q1Z2"/>
    <s v="MTR"/>
    <n v="59119090"/>
    <s v="Rs."/>
    <n v="1"/>
    <n v="0"/>
  </r>
  <r>
    <s v="20-08-2026"/>
    <x v="25"/>
    <s v="General Purchase"/>
    <s v="GNSP 154"/>
    <s v="Purchase Withinstate- Stores, Spares &amp; Consumable"/>
    <n v="1497"/>
    <s v="14-08-2026"/>
    <s v="Stores/Spares"/>
    <s v="Hardware Items"/>
    <s v="Spares &amp; Stores"/>
    <x v="0"/>
    <s v="Tap Set 5X0.8"/>
    <n v="1"/>
    <n v="691.5"/>
    <s v="Tap Set 5X0.8"/>
    <n v="4133"/>
    <n v="9"/>
    <n v="62.24"/>
    <n v="9"/>
    <n v="62.24"/>
    <n v="0"/>
    <n v="0"/>
    <n v="0"/>
    <n v="124.48"/>
    <n v="0"/>
    <s v="24ABVPP9097Q1Z7"/>
    <s v="Pcs"/>
    <n v="82079090"/>
    <s v="Rs."/>
    <n v="1"/>
    <n v="0"/>
  </r>
  <r>
    <s v="20-08-2026"/>
    <x v="25"/>
    <s v="General Purchase"/>
    <s v="GNSP 154"/>
    <s v="Purchase Withinstate- Stores, Spares &amp; Consumable"/>
    <n v="1497"/>
    <s v="14-08-2026"/>
    <s v="Stores/Spares"/>
    <s v="Hardware Items"/>
    <s v="Spares &amp; Stores"/>
    <x v="0"/>
    <s v="Tap Set 6.0 mm ToteMS Make"/>
    <n v="1"/>
    <n v="691.5"/>
    <s v="Tap Set 6.0 mm ToteMS Make"/>
    <n v="0"/>
    <n v="9"/>
    <n v="62.24"/>
    <n v="9"/>
    <n v="62.24"/>
    <n v="0"/>
    <n v="0"/>
    <n v="0"/>
    <n v="124.48"/>
    <n v="0"/>
    <s v="24ABVPP9097Q1Z7"/>
    <s v="Pcs"/>
    <n v="8207909"/>
    <s v="Rs."/>
    <n v="1"/>
    <n v="0"/>
  </r>
  <r>
    <s v="20-08-2026"/>
    <x v="25"/>
    <s v="General Purchase"/>
    <s v="GNSP 154"/>
    <s v="Purchase Withinstate- Stores, Spares &amp; Consumable"/>
    <n v="1497"/>
    <s v="14-08-2026"/>
    <s v="Stores/Spares"/>
    <s v="Hardware Items"/>
    <s v="Spares &amp; Stores"/>
    <x v="0"/>
    <s v="Tap Set 8mm"/>
    <n v="1"/>
    <n v="832.5"/>
    <s v="Tap Set 8mm"/>
    <n v="0"/>
    <n v="9"/>
    <n v="74.92"/>
    <n v="9"/>
    <n v="74.92"/>
    <n v="0"/>
    <n v="0"/>
    <n v="0"/>
    <n v="149.84"/>
    <n v="0"/>
    <s v="24ABVPP9097Q1Z7"/>
    <s v="Pcs"/>
    <n v="8207909"/>
    <s v="Rs."/>
    <n v="1"/>
    <n v="0"/>
  </r>
  <r>
    <s v="20-08-2026"/>
    <x v="25"/>
    <s v="General Purchase"/>
    <s v="GNSP 154"/>
    <s v="Purchase Withinstate- Stores, Spares &amp; Consumable"/>
    <n v="1497"/>
    <s v="14-08-2026"/>
    <s v="Stores/Spares"/>
    <s v="Hardware Items"/>
    <s v="Spares &amp; Stores"/>
    <x v="0"/>
    <s v="Tap Set 3mm"/>
    <n v="1"/>
    <n v="643.5"/>
    <s v="Tap Set 3mm"/>
    <n v="0"/>
    <n v="9"/>
    <n v="57.92"/>
    <n v="9"/>
    <n v="57.92"/>
    <n v="0"/>
    <n v="0"/>
    <n v="0"/>
    <n v="115.84"/>
    <n v="0"/>
    <s v="24ABVPP9097Q1Z7"/>
    <s v="SET"/>
    <n v="73181500"/>
    <s v="Rs."/>
    <n v="1"/>
    <n v="0"/>
  </r>
  <r>
    <s v="20-08-2026"/>
    <x v="25"/>
    <s v="General Purchase"/>
    <s v="GNSP 154"/>
    <s v="Purchase Withinstate- Stores, Spares &amp; Consumable"/>
    <n v="1497"/>
    <s v="14-08-2026"/>
    <s v="Stores/Spares"/>
    <s v="Hardware Items"/>
    <s v="Spares &amp; Stores"/>
    <x v="0"/>
    <s v="Tap Set 4mm"/>
    <n v="1"/>
    <n v="643.5"/>
    <s v="Tap Set 4mm"/>
    <n v="0"/>
    <n v="9"/>
    <n v="57.92"/>
    <n v="9"/>
    <n v="57.92"/>
    <n v="0"/>
    <n v="0"/>
    <n v="0"/>
    <n v="115.84"/>
    <n v="0"/>
    <s v="24ABVPP9097Q1Z7"/>
    <s v="SET"/>
    <n v="73181500"/>
    <s v="Rs."/>
    <n v="1"/>
    <n v="0"/>
  </r>
  <r>
    <s v="20-08-2026"/>
    <x v="0"/>
    <s v="General Purchase"/>
    <s v="GNCN 365"/>
    <s v="Purchase Withinstate- Stores, Spares &amp; Consumable"/>
    <s v="PIL1/D/1432"/>
    <s v="20-08-2026"/>
    <s v="Stores/Spares"/>
    <s v="MS Structure Items"/>
    <s v="Spares &amp; Stores"/>
    <x v="0"/>
    <s v="MS Pipe 4  C Class"/>
    <n v="324"/>
    <n v="15552"/>
    <s v="MS Pipe 4  C Class"/>
    <n v="18335.810000000001"/>
    <n v="9"/>
    <n v="1399.68"/>
    <n v="9"/>
    <n v="1399.68"/>
    <n v="0"/>
    <n v="0"/>
    <n v="0"/>
    <n v="2799.36"/>
    <n v="0"/>
    <s v="24AAACO3087C1ZT"/>
    <s v="Kgs"/>
    <n v="73063090"/>
    <s v="Rs."/>
    <n v="1"/>
    <n v="0"/>
  </r>
  <r>
    <s v="20-08-2026"/>
    <x v="0"/>
    <s v="Purchase"/>
    <s v="GNPK 82"/>
    <s v="Purchase Withinstate- Packing Material"/>
    <s v="PIL1/D/1431"/>
    <s v="20-08-2026"/>
    <s v="Packing Material"/>
    <s v="Packaging Material"/>
    <s v="Packing Material"/>
    <x v="8"/>
    <s v="Plastic Packing Material"/>
    <n v="100"/>
    <n v="1200"/>
    <s v="Plastic Packing Material-Lamination Patti"/>
    <n v="1444.32"/>
    <n v="9"/>
    <n v="108"/>
    <n v="9"/>
    <n v="108"/>
    <n v="0"/>
    <n v="0"/>
    <n v="0"/>
    <n v="216"/>
    <n v="0"/>
    <s v="24AAACO3087C1ZT"/>
    <s v="Kgs"/>
    <n v="392390"/>
    <s v="Rs."/>
    <n v="1"/>
    <n v="0"/>
  </r>
  <r>
    <s v="20-08-2026"/>
    <x v="0"/>
    <s v="R.M.P."/>
    <s v="RM 544"/>
    <s v="Purchase Withinstate - Raw Material"/>
    <s v="PIL1/D/1430"/>
    <s v="20-08-2026"/>
    <s v="SF"/>
    <s v="PP/PE Fabric"/>
    <s v="PP UL Fabric"/>
    <x v="1"/>
    <s v="PP UL Fabric With UV"/>
    <n v="10657"/>
    <n v="1516704.24"/>
    <s v="PP UL Fabric With UV"/>
    <n v="2148683.92"/>
    <n v="9"/>
    <n v="136503.38"/>
    <n v="9"/>
    <n v="136503.38"/>
    <n v="0"/>
    <n v="0"/>
    <n v="0"/>
    <n v="273006.76"/>
    <n v="0"/>
    <s v="24AAACO3087C1ZT"/>
    <s v="Kgs"/>
    <n v="39269080"/>
    <s v="Rs."/>
    <n v="1"/>
    <n v="10657"/>
  </r>
  <r>
    <s v="20-08-2026"/>
    <x v="0"/>
    <s v="R.M.P."/>
    <s v="RM 544"/>
    <s v="Purchase Withinstate - Raw Material"/>
    <s v="PIL1/D/1430"/>
    <s v="20-08-2026"/>
    <s v="SF"/>
    <s v="PP/PE Fabric"/>
    <s v="PP UL Fabric"/>
    <x v="1"/>
    <s v="PP UL Fabric With UV"/>
    <n v="1593"/>
    <n v="229901.76"/>
    <s v="PP UL Fabric With UV"/>
    <n v="0"/>
    <n v="9"/>
    <n v="20691.16"/>
    <n v="9"/>
    <n v="20691.16"/>
    <n v="0"/>
    <n v="0"/>
    <n v="0"/>
    <n v="41382.32"/>
    <n v="0"/>
    <s v="24AAACO3087C1ZT"/>
    <s v="Kgs"/>
    <n v="39269080"/>
    <s v="Rs."/>
    <n v="1"/>
    <n v="1593"/>
  </r>
  <r>
    <s v="20-08-2026"/>
    <x v="0"/>
    <s v="R.M.P."/>
    <s v="RM 544"/>
    <s v="Purchase Withinstate - Raw Material"/>
    <s v="PIL1/D/1430"/>
    <s v="20-08-2026"/>
    <s v="SF"/>
    <s v="PP/PE Fabric"/>
    <s v="PP UL Fabric"/>
    <x v="1"/>
    <s v="PP UL Fabric With UV"/>
    <n v="522"/>
    <n v="75857.039999999994"/>
    <s v="PP UL Fabric With UV"/>
    <n v="0"/>
    <n v="9"/>
    <n v="6827.13"/>
    <n v="9"/>
    <n v="6827.13"/>
    <n v="0"/>
    <n v="0"/>
    <n v="0"/>
    <n v="13654.26"/>
    <n v="0"/>
    <s v="24AAACO3087C1ZT"/>
    <s v="Kgs"/>
    <n v="39269080"/>
    <s v="Rs."/>
    <n v="1"/>
    <n v="522"/>
  </r>
  <r>
    <s v="20-08-2026"/>
    <x v="0"/>
    <s v="R.M.P."/>
    <s v="RM 545"/>
    <s v="Purchase Withinstate - Raw Material"/>
    <s v="PIL1/D/1433"/>
    <s v="20-08-2026"/>
    <s v="SF"/>
    <s v="Yarn All"/>
    <s v="PP Yarn"/>
    <x v="6"/>
    <s v="PP MF Yarn Twisted 3000 Denier UV NW"/>
    <n v="971.7"/>
    <n v="149952.74"/>
    <s v="PP MF Yarn Twisted 3000 Denier UV NW"/>
    <n v="428094.13"/>
    <n v="2.5"/>
    <n v="3748.82"/>
    <n v="2.5"/>
    <n v="3748.82"/>
    <n v="0"/>
    <n v="0"/>
    <n v="0"/>
    <n v="7497.64"/>
    <n v="0"/>
    <s v="24AAACO3087C1ZT"/>
    <s v="Kgs"/>
    <n v="540263"/>
    <s v="Rs."/>
    <n v="1"/>
    <n v="971.7"/>
  </r>
  <r>
    <s v="20-08-2026"/>
    <x v="0"/>
    <s v="R.M.P."/>
    <s v="RM 545"/>
    <s v="Purchase Withinstate - Raw Material"/>
    <s v="PIL1/D/1433"/>
    <s v="20-08-2026"/>
    <s v="SF"/>
    <s v="Webbing"/>
    <s v="PP Webbing"/>
    <x v="2"/>
    <s v="Webbing"/>
    <n v="999.4"/>
    <n v="147231.60999999999"/>
    <s v="Webbing"/>
    <n v="0"/>
    <n v="9"/>
    <n v="13250.84"/>
    <n v="9"/>
    <n v="13250.84"/>
    <n v="0"/>
    <n v="0"/>
    <n v="0"/>
    <n v="26501.68"/>
    <n v="0"/>
    <s v="24AAACO3087C1ZT"/>
    <s v="Kgs"/>
    <n v="3926908"/>
    <s v="Rs."/>
    <n v="1"/>
    <n v="999.4"/>
  </r>
  <r>
    <s v="20-08-2026"/>
    <x v="0"/>
    <s v="R.M.P."/>
    <s v="RM 545"/>
    <s v="Purchase Withinstate - Raw Material"/>
    <s v="PIL1/D/1433"/>
    <s v="20-08-2026"/>
    <s v="SF"/>
    <s v="Webbing"/>
    <s v="PP Webbing"/>
    <x v="2"/>
    <s v="Webbing"/>
    <n v="118.1"/>
    <n v="17044.189999999999"/>
    <s v="Webbing"/>
    <n v="0"/>
    <n v="9"/>
    <n v="1533.98"/>
    <n v="9"/>
    <n v="1533.98"/>
    <n v="0"/>
    <n v="0"/>
    <n v="0"/>
    <n v="3067.96"/>
    <n v="0"/>
    <s v="24AAACO3087C1ZT"/>
    <s v="Kgs"/>
    <n v="3926908"/>
    <s v="Rs."/>
    <n v="1"/>
    <n v="118.1"/>
  </r>
  <r>
    <s v="20-08-2026"/>
    <x v="0"/>
    <s v="R.M.P."/>
    <s v="RM 545"/>
    <s v="Purchase Withinstate - Raw Material"/>
    <s v="PIL1/D/1433"/>
    <s v="20-08-2026"/>
    <s v="SF"/>
    <s v="PP/PE Fabric"/>
    <s v="PP Lam Fabric"/>
    <x v="3"/>
    <s v="PP Lam Fabric With UV"/>
    <n v="447"/>
    <n v="65405.04"/>
    <s v="PP Lam Fabric With UV"/>
    <n v="0"/>
    <n v="9"/>
    <n v="5886.45"/>
    <n v="9"/>
    <n v="5886.45"/>
    <n v="0"/>
    <n v="0"/>
    <n v="0"/>
    <n v="11772.9"/>
    <n v="0"/>
    <s v="24AAACO3087C1ZT"/>
    <s v="Kgs"/>
    <n v="63053300"/>
    <s v="Rs."/>
    <n v="1"/>
    <n v="447"/>
  </r>
  <r>
    <s v="20-08-2026"/>
    <x v="0"/>
    <s v="R.M.P."/>
    <s v="RM 546"/>
    <s v="Purchase Withinstate - Raw Material"/>
    <s v="PIL1/D/1437"/>
    <s v="20-08-2026"/>
    <s v="SF"/>
    <s v="Liners"/>
    <s v="LDPE/LLDPE Bags"/>
    <x v="4"/>
    <s v="LDPE/LLDPE Bags/Liner"/>
    <n v="7472"/>
    <n v="1321497.92"/>
    <s v="LDPE/LLDPE Bags/Liner"/>
    <n v="1558046.04"/>
    <n v="9"/>
    <n v="118934.81"/>
    <n v="9"/>
    <n v="118934.81"/>
    <n v="0"/>
    <n v="0"/>
    <n v="0"/>
    <n v="237869.62"/>
    <n v="0"/>
    <s v="24AAACO3087C1ZT"/>
    <s v="Kgs"/>
    <n v="39200000"/>
    <s v="Rs."/>
    <n v="1"/>
    <n v="7472"/>
  </r>
  <r>
    <s v="20-08-2026"/>
    <x v="34"/>
    <s v="Purchase"/>
    <s v="GNPK 81"/>
    <s v="Purchase Withinstate- Packing Material"/>
    <s v="SSE/2026-27/1104"/>
    <d v="2026-10-08T00:00:00"/>
    <s v="Packing Material"/>
    <s v="Pallets"/>
    <s v="Packing Material"/>
    <x v="8"/>
    <s v="Wooden Pallet Flate Size 85X105Cm"/>
    <n v="30"/>
    <n v="18000"/>
    <s v="Wooden Pallet Flate Size 85X105Cm"/>
    <n v="227588"/>
    <n v="2.5"/>
    <n v="450"/>
    <n v="2.5"/>
    <n v="450"/>
    <n v="0"/>
    <n v="0"/>
    <n v="0"/>
    <n v="900"/>
    <n v="0"/>
    <s v="24AIEPG9602Q1ZZ"/>
    <s v="Pcs"/>
    <n v="44152000"/>
    <s v="Rs."/>
    <n v="1"/>
    <n v="0"/>
  </r>
  <r>
    <s v="20-08-2026"/>
    <x v="34"/>
    <s v="Purchase"/>
    <s v="GNPK 81"/>
    <s v="Purchase Withinstate- Packing Material"/>
    <s v="SSE/2026-27/1104"/>
    <d v="2026-10-08T00:00:00"/>
    <s v="Packing Material"/>
    <s v="Pallets"/>
    <s v="Pallets"/>
    <x v="8"/>
    <s v="Pine Wooden Pallet Design Code STD90110"/>
    <n v="100"/>
    <n v="81500"/>
    <s v="Pine Wooden Pallet Design Code STD90110"/>
    <n v="0"/>
    <n v="2.5"/>
    <n v="2037.5"/>
    <n v="2.5"/>
    <n v="2037.5"/>
    <n v="0"/>
    <n v="0"/>
    <n v="0"/>
    <n v="4075"/>
    <n v="0"/>
    <s v="24AIEPG9602Q1ZZ"/>
    <s v="Pcs"/>
    <n v="44152000"/>
    <s v="Rs."/>
    <n v="1"/>
    <n v="0"/>
  </r>
  <r>
    <s v="20-08-2026"/>
    <x v="34"/>
    <s v="Purchase"/>
    <s v="GNPK 81"/>
    <s v="Purchase Withinstate- Packing Material"/>
    <s v="SSE/2026-27/1104"/>
    <d v="2026-10-08T00:00:00"/>
    <s v="Packing Material"/>
    <s v="Pallets"/>
    <s v="Pallets"/>
    <x v="8"/>
    <s v="Pine Wooden Pallet Design Code TPG90115"/>
    <n v="50"/>
    <n v="40750"/>
    <s v="Pine Wooden Pallet Design Code TPG90115"/>
    <n v="0"/>
    <n v="2.5"/>
    <n v="1018.75"/>
    <n v="2.5"/>
    <n v="1018.75"/>
    <n v="0"/>
    <n v="0"/>
    <n v="0"/>
    <n v="2037.5"/>
    <n v="0"/>
    <s v="24AIEPG9602Q1ZZ"/>
    <s v="Pcs"/>
    <n v="44152000"/>
    <s v="Rs."/>
    <n v="1"/>
    <n v="0"/>
  </r>
  <r>
    <s v="20-08-2026"/>
    <x v="34"/>
    <s v="Purchase"/>
    <s v="GNPK 81"/>
    <s v="Purchase Withinstate- Packing Material"/>
    <s v="SSE/2026-27/1104"/>
    <d v="2026-10-08T00:00:00"/>
    <s v="Packing Material"/>
    <s v="Pallets"/>
    <s v="Pallets"/>
    <x v="8"/>
    <s v="Pine Wooden Pallet Design Code QP90110"/>
    <n v="100"/>
    <n v="76500"/>
    <s v="Pine Wooden Pallet Design Code QP90110"/>
    <n v="0"/>
    <n v="2.5"/>
    <n v="1912.5"/>
    <n v="2.5"/>
    <n v="1912.5"/>
    <n v="0"/>
    <n v="0"/>
    <n v="0"/>
    <n v="3825"/>
    <n v="0"/>
    <s v="24AIEPG9602Q1ZZ"/>
    <s v="Pcs"/>
    <n v="44152000"/>
    <s v="Rs."/>
    <n v="1"/>
    <n v="0"/>
  </r>
  <r>
    <s v="20-08-2026"/>
    <x v="30"/>
    <s v="General Purchase"/>
    <s v="GNMS 19"/>
    <s v="Purchase Withinstate- Stores, Spares &amp; Consumable"/>
    <n v="3922"/>
    <s v="19-08-2026"/>
    <s v="Printing &amp; Stationery"/>
    <s v="Stationery Items"/>
    <s v="Spares &amp; Stores"/>
    <x v="0"/>
    <s v="Issue Slip Book"/>
    <n v="20"/>
    <n v="1800"/>
    <s v="Issue Slip Book"/>
    <n v="2124"/>
    <n v="9"/>
    <n v="162"/>
    <n v="9"/>
    <n v="162"/>
    <n v="0"/>
    <n v="0"/>
    <n v="0"/>
    <n v="324"/>
    <n v="0"/>
    <s v="24AJTPP9381R1ZV"/>
    <s v="Pcs"/>
    <n v="49011010"/>
    <s v="Rs."/>
    <n v="1"/>
    <n v="0"/>
  </r>
  <r>
    <s v="21-08-2026"/>
    <x v="3"/>
    <s v="General Purchase"/>
    <s v="GNSP 161"/>
    <s v="Purchase Withinstate- Stores, Spares &amp; Consumable"/>
    <s v="GST/26-27/4467"/>
    <s v="20-08-2026"/>
    <s v="Stores/Spares"/>
    <s v="Stitching Spares"/>
    <s v="Spares &amp; Stores"/>
    <x v="0"/>
    <s v="Looper Drive Eccentric Assembly     G29442L"/>
    <n v="3"/>
    <n v="52164"/>
    <s v="Looper Drive Eccentric Assembly     G29442L"/>
    <n v="54825"/>
    <n v="2.5"/>
    <n v="1304.0999999999999"/>
    <n v="2.5"/>
    <n v="1304.0999999999999"/>
    <n v="0"/>
    <n v="0"/>
    <n v="2.5"/>
    <n v="2610.6999999999998"/>
    <n v="0"/>
    <s v="24ABAFA4683N1Z8"/>
    <s v="Pcs"/>
    <n v="84529099"/>
    <s v="Rs."/>
    <n v="1"/>
    <n v="0"/>
  </r>
  <r>
    <s v="21-08-2026"/>
    <x v="4"/>
    <s v="General Purchase"/>
    <s v="GNPK 83"/>
    <s v="Purchase Withinstate- Packing Material"/>
    <s v="GST/1048/26-27"/>
    <d v="2026-03-08T00:00:00"/>
    <s v="Packing Material"/>
    <s v="Stretch Film"/>
    <s v="Packing Material"/>
    <x v="8"/>
    <s v="Stretch Film 500mmx23Mic"/>
    <n v="1007.85"/>
    <n v="149161.79999999999"/>
    <s v="Stretch Film 500mmx23Mic"/>
    <n v="179197"/>
    <n v="9"/>
    <n v="13424.56"/>
    <n v="9"/>
    <n v="13424.56"/>
    <n v="0"/>
    <n v="0"/>
    <n v="486"/>
    <n v="27335.119999999999"/>
    <n v="0"/>
    <s v="24CGYPP7498D1ZI"/>
    <s v="Kgs"/>
    <n v="39201019"/>
    <s v="Rs."/>
    <n v="1"/>
    <n v="0"/>
  </r>
  <r>
    <s v="21-08-2026"/>
    <x v="35"/>
    <s v="General Purchase"/>
    <s v="GNCN 367"/>
    <s v="Purchase Withinstate- Stores, Spares &amp; Consumable"/>
    <n v="1350"/>
    <s v="21-08-2026"/>
    <s v="Consumables"/>
    <s v="Housekeeping Material"/>
    <s v="Spares &amp; Stores"/>
    <x v="0"/>
    <s v="Cotton Waste"/>
    <n v="600"/>
    <n v="9600"/>
    <s v="Cotton Waste"/>
    <n v="10080"/>
    <n v="2.5"/>
    <n v="240"/>
    <n v="2.5"/>
    <n v="240"/>
    <n v="0"/>
    <n v="0"/>
    <n v="0"/>
    <n v="480"/>
    <n v="0"/>
    <s v="24AFUPA6072K1Z6"/>
    <s v="Kgs"/>
    <n v="631090"/>
    <s v="Rs."/>
    <n v="1"/>
    <n v="0"/>
  </r>
  <r>
    <s v="21-08-2026"/>
    <x v="36"/>
    <s v="General Purchase"/>
    <s v="GNSP 162"/>
    <s v="Purchase Withinstate- Stores, Spares &amp; Consumable"/>
    <s v="A-4345/26-27"/>
    <s v="20-08-2026"/>
    <s v="Stores/Spares"/>
    <s v="Bearings"/>
    <s v="Spares &amp; Stores"/>
    <x v="0"/>
    <s v="Bearing 6203 Zz Skf"/>
    <n v="50"/>
    <n v="4250"/>
    <s v="Bearing 6203 Zz Skf"/>
    <n v="5192"/>
    <n v="9"/>
    <n v="382.5"/>
    <n v="9"/>
    <n v="382.5"/>
    <n v="0"/>
    <n v="0"/>
    <n v="27"/>
    <n v="792"/>
    <n v="0"/>
    <s v="24AABCP1066F1ZU"/>
    <s v="Pcs"/>
    <n v="84821011"/>
    <s v="Rs."/>
    <n v="1"/>
    <n v="0"/>
  </r>
  <r>
    <s v="21-08-2026"/>
    <x v="0"/>
    <s v="General Purchase"/>
    <s v="GNCN 366"/>
    <s v="Purchase Withinstate- Stores, Spares &amp; Consumable"/>
    <s v="PIL1/D/1442"/>
    <s v="21-08-2026"/>
    <s v="Stores/Spares"/>
    <s v="MS Structure Items"/>
    <s v="Spares &amp; Stores"/>
    <x v="0"/>
    <s v="MS Pipe 4  C Class"/>
    <n v="474"/>
    <n v="22752"/>
    <s v="MS Pipe 4  C Class"/>
    <n v="26824.61"/>
    <n v="9"/>
    <n v="2047.68"/>
    <n v="9"/>
    <n v="2047.68"/>
    <n v="0"/>
    <n v="0"/>
    <n v="0"/>
    <n v="4095.36"/>
    <n v="0"/>
    <s v="24AAACO3087C1ZT"/>
    <s v="Kgs"/>
    <n v="73063090"/>
    <s v="Rs."/>
    <n v="1"/>
    <n v="0"/>
  </r>
  <r>
    <s v="21-08-2026"/>
    <x v="0"/>
    <s v="R.M.P."/>
    <s v="RM 547"/>
    <s v="Purchase Withinstate - Raw Material"/>
    <s v="PIL1/D/1441"/>
    <s v="21-08-2026"/>
    <s v="SF"/>
    <s v="PP/PE Fabric"/>
    <s v="PP Lam Fabric"/>
    <x v="3"/>
    <s v="PP Lam Fabric With UV"/>
    <n v="1482"/>
    <n v="221292.24"/>
    <s v="PP Lam Fabric With UV"/>
    <n v="2818775.22"/>
    <n v="9"/>
    <n v="19916.3"/>
    <n v="9"/>
    <n v="19916.3"/>
    <n v="0"/>
    <n v="0"/>
    <n v="0"/>
    <n v="39832.6"/>
    <n v="0"/>
    <s v="24AAACO3087C1ZT"/>
    <s v="Kgs"/>
    <n v="63053300"/>
    <s v="Rs."/>
    <n v="1"/>
    <n v="0"/>
  </r>
  <r>
    <s v="21-08-2026"/>
    <x v="0"/>
    <s v="R.M.P."/>
    <s v="RM 547"/>
    <s v="Purchase Withinstate - Raw Material"/>
    <s v="PIL1/D/1441"/>
    <s v="21-08-2026"/>
    <s v="SF"/>
    <s v="Webbing"/>
    <s v="PP Webbing"/>
    <x v="2"/>
    <s v="Webbing"/>
    <n v="2.4"/>
    <n v="403.97"/>
    <s v="Webbing"/>
    <n v="0"/>
    <n v="9"/>
    <n v="36.36"/>
    <n v="9"/>
    <n v="36.36"/>
    <n v="0"/>
    <n v="0"/>
    <n v="0"/>
    <n v="72.72"/>
    <n v="0"/>
    <s v="24AAACO3087C1ZT"/>
    <s v="Kgs"/>
    <n v="3926908"/>
    <s v="Rs."/>
    <n v="1"/>
    <n v="0"/>
  </r>
  <r>
    <s v="21-08-2026"/>
    <x v="0"/>
    <s v="R.M.P."/>
    <s v="RM 547"/>
    <s v="Purchase Withinstate - Raw Material"/>
    <s v="PIL1/D/1441"/>
    <s v="21-08-2026"/>
    <s v="SF"/>
    <s v="PP/PE Fabric"/>
    <s v="PP UL Fabric"/>
    <x v="1"/>
    <s v="PP UL Fabric With UV"/>
    <n v="1306"/>
    <n v="189787.92"/>
    <s v="PP UL Fabric With UV"/>
    <n v="0"/>
    <n v="9"/>
    <n v="17080.91"/>
    <n v="9"/>
    <n v="17080.91"/>
    <n v="0"/>
    <n v="0"/>
    <n v="0"/>
    <n v="34161.82"/>
    <n v="0"/>
    <s v="24AAACO3087C1ZT"/>
    <s v="Kgs"/>
    <n v="39269080"/>
    <s v="Rs."/>
    <n v="1"/>
    <n v="0"/>
  </r>
  <r>
    <s v="21-08-2026"/>
    <x v="0"/>
    <s v="R.M.P."/>
    <s v="RM 547"/>
    <s v="Purchase Withinstate - Raw Material"/>
    <s v="PIL1/D/1441"/>
    <s v="21-08-2026"/>
    <s v="SF"/>
    <s v="PP/PE Fabric"/>
    <s v="PP UL Fabric"/>
    <x v="1"/>
    <s v="PP UL Fabric With UV"/>
    <n v="10092"/>
    <n v="1436293.44"/>
    <s v="PP UL Fabric With UV"/>
    <n v="0"/>
    <n v="9"/>
    <n v="129266.41"/>
    <n v="9"/>
    <n v="129266.41"/>
    <n v="0"/>
    <n v="0"/>
    <n v="0"/>
    <n v="258532.82"/>
    <n v="0"/>
    <s v="24AAACO3087C1ZT"/>
    <s v="Kgs"/>
    <n v="39269080"/>
    <s v="Rs."/>
    <n v="1"/>
    <n v="0"/>
  </r>
  <r>
    <s v="21-08-2026"/>
    <x v="0"/>
    <s v="R.M.P."/>
    <s v="RM 547"/>
    <s v="Purchase Withinstate - Raw Material"/>
    <s v="PIL1/D/1441"/>
    <s v="21-08-2026"/>
    <s v="SF"/>
    <s v="PP/PE Fabric"/>
    <s v="PP UL Fabric"/>
    <x v="1"/>
    <s v="PP UL Fabric With UV"/>
    <n v="1287"/>
    <n v="185739.84"/>
    <s v="PP UL Fabric With UV"/>
    <n v="0"/>
    <n v="9"/>
    <n v="16716.59"/>
    <n v="9"/>
    <n v="16716.59"/>
    <n v="0"/>
    <n v="0"/>
    <n v="0"/>
    <n v="33433.18"/>
    <n v="0"/>
    <s v="24AAACO3087C1ZT"/>
    <s v="Kgs"/>
    <n v="39269080"/>
    <s v="Rs."/>
    <n v="1"/>
    <n v="0"/>
  </r>
  <r>
    <s v="21-08-2026"/>
    <x v="0"/>
    <s v="R.M.P."/>
    <s v="RM 547"/>
    <s v="Purchase Withinstate - Raw Material"/>
    <s v="PIL1/D/1441"/>
    <s v="21-08-2026"/>
    <s v="SF"/>
    <s v="Webbing"/>
    <s v="PP Webbing"/>
    <x v="2"/>
    <s v="Webbing"/>
    <n v="18.2"/>
    <n v="3008.82"/>
    <s v="Webbing"/>
    <n v="0"/>
    <n v="9"/>
    <n v="270.79000000000002"/>
    <n v="9"/>
    <n v="270.79000000000002"/>
    <n v="0"/>
    <n v="0"/>
    <n v="0"/>
    <n v="541.58000000000004"/>
    <n v="0"/>
    <s v="24AAACO3087C1ZT"/>
    <s v="Kgs"/>
    <n v="3926908"/>
    <s v="Rs."/>
    <n v="1"/>
    <n v="0"/>
  </r>
  <r>
    <s v="21-08-2026"/>
    <x v="0"/>
    <s v="R.M.P."/>
    <s v="RM 547"/>
    <s v="Purchase Withinstate - Raw Material"/>
    <s v="PIL1/D/1441"/>
    <s v="21-08-2026"/>
    <s v="SF"/>
    <s v="Webbing"/>
    <s v="PP Webbing"/>
    <x v="2"/>
    <s v="Webbing"/>
    <n v="967.9"/>
    <n v="142591.03"/>
    <s v="Webbing"/>
    <n v="0"/>
    <n v="9"/>
    <n v="12833.19"/>
    <n v="9"/>
    <n v="12833.19"/>
    <n v="0"/>
    <n v="0"/>
    <n v="0"/>
    <n v="25666.38"/>
    <n v="0"/>
    <s v="24AAACO3087C1ZT"/>
    <s v="Kgs"/>
    <n v="3926908"/>
    <s v="Rs."/>
    <n v="1"/>
    <n v="0"/>
  </r>
  <r>
    <s v="21-08-2026"/>
    <x v="0"/>
    <s v="R.M.P."/>
    <s v="RM 547"/>
    <s v="Purchase Withinstate - Raw Material"/>
    <s v="PIL1/D/1441"/>
    <s v="21-08-2026"/>
    <s v="SF"/>
    <s v="Liners"/>
    <s v="LDPE/LLDPE Bags"/>
    <x v="4"/>
    <s v="LDPE/LLDPE Bags/Liner"/>
    <n v="1197"/>
    <n v="211701.42"/>
    <s v="LDPE/LLDPE Bags/Liner"/>
    <n v="0"/>
    <n v="9"/>
    <n v="19053.13"/>
    <n v="9"/>
    <n v="19053.13"/>
    <n v="0"/>
    <n v="0"/>
    <n v="0"/>
    <n v="38106.26"/>
    <n v="0"/>
    <s v="24AAACO3087C1ZT"/>
    <s v="Kgs"/>
    <n v="39200000"/>
    <s v="Rs."/>
    <n v="1"/>
    <n v="0"/>
  </r>
  <r>
    <s v="21-08-2026"/>
    <x v="10"/>
    <s v="General Purchase"/>
    <s v="GNSP 160"/>
    <s v="Purchase Withinstate- Stores, Spares &amp; Consumable"/>
    <s v="TE/1386/26-27"/>
    <s v="19-08-2026"/>
    <s v="Stores/Spares"/>
    <s v="PVC Fittings"/>
    <s v="Spares &amp; Stores"/>
    <x v="0"/>
    <s v="Pu Connector = 1/4 Inch * 6 mm"/>
    <n v="5"/>
    <n v="180.4"/>
    <s v="Pu Connector = 1/4 Inch * 6 mm"/>
    <n v="213"/>
    <n v="9"/>
    <n v="16.239999999999998"/>
    <n v="9"/>
    <n v="16.239999999999998"/>
    <n v="0"/>
    <n v="0"/>
    <n v="0"/>
    <n v="32.479999999999997"/>
    <n v="0"/>
    <s v="24ARIPK4378C1ZV"/>
    <s v="Pcs"/>
    <n v="84879000"/>
    <s v="Rs."/>
    <n v="1"/>
    <n v="0"/>
  </r>
  <r>
    <s v="22-08-2026"/>
    <x v="11"/>
    <s v="General Purchase"/>
    <s v="GNSP 163"/>
    <s v="Purchase Withinstate- Stores, Spares &amp; Consumable"/>
    <s v="AE-2026-27/0181"/>
    <s v="20-08-2026"/>
    <s v="Stores/Spares"/>
    <s v="Electrical Items/Spares"/>
    <s v="Spares &amp; Stores"/>
    <x v="0"/>
    <s v="Push Button Actuator (Red) &quot;Teknic&quot; Make"/>
    <n v="10"/>
    <n v="550"/>
    <s v="Push Button Actuator (Red) &quot;Teknic&quot; Make"/>
    <n v="649"/>
    <n v="9"/>
    <n v="49.5"/>
    <n v="9"/>
    <n v="49.5"/>
    <n v="0"/>
    <n v="0"/>
    <n v="0"/>
    <n v="99"/>
    <n v="0"/>
    <s v="24HELPS8671K1ZJ"/>
    <s v="Pcs"/>
    <n v="853650"/>
    <s v="Rs."/>
    <n v="1"/>
    <n v="0"/>
  </r>
  <r>
    <s v="22-08-2026"/>
    <x v="5"/>
    <s v="General Purchase"/>
    <s v="GNPK 84"/>
    <s v="Purchase Withinstate- Packing Material"/>
    <s v="BI/26-27/091"/>
    <s v="21-08-2026"/>
    <s v="Packing Material"/>
    <s v="Pallets"/>
    <s v="Pallets"/>
    <x v="8"/>
    <s v="Pine Wooden Pallet Design Code STD90110"/>
    <n v="100"/>
    <n v="77500"/>
    <s v="Pine Wooden Pallet Design Code STD90110"/>
    <n v="118125"/>
    <n v="2.5"/>
    <n v="1937.5"/>
    <n v="2.5"/>
    <n v="1937.5"/>
    <n v="0"/>
    <n v="0"/>
    <n v="0"/>
    <n v="3875"/>
    <n v="0"/>
    <s v="24AXVPT0296P1ZD"/>
    <s v="Pcs"/>
    <n v="44152000"/>
    <s v="Rs."/>
    <n v="1"/>
    <n v="0"/>
  </r>
  <r>
    <s v="22-08-2026"/>
    <x v="5"/>
    <s v="General Purchase"/>
    <s v="GNPK 84"/>
    <s v="Purchase Withinstate- Packing Material"/>
    <s v="BI/26-27/091"/>
    <s v="21-08-2026"/>
    <s v="Packing Material"/>
    <s v="Pallets"/>
    <s v="Pallets"/>
    <x v="8"/>
    <s v="Pine Wooden Pallet Design Code QP90110"/>
    <n v="50"/>
    <n v="35000"/>
    <s v="Pine Wooden Pallet Design Code QP90110"/>
    <n v="0"/>
    <n v="2.5"/>
    <n v="875"/>
    <n v="2.5"/>
    <n v="875"/>
    <n v="0"/>
    <n v="0"/>
    <n v="0"/>
    <n v="1750"/>
    <n v="0"/>
    <s v="24AXVPT0296P1ZD"/>
    <s v="Pcs"/>
    <n v="44152000"/>
    <s v="Rs."/>
    <n v="1"/>
    <n v="0"/>
  </r>
  <r>
    <s v="22-08-2026"/>
    <x v="37"/>
    <s v="General Purchase"/>
    <s v="GNCN 368"/>
    <s v="Purchase Withinstate- Stores, Spares &amp; Consumable"/>
    <n v="2993"/>
    <s v="20-08-2026"/>
    <s v="Consumables"/>
    <s v="Oil &amp; Greases"/>
    <s v="Spares &amp; Stores"/>
    <x v="0"/>
    <s v="White Oil:- 12 No"/>
    <n v="2100"/>
    <n v="277200"/>
    <s v="White Oil:- 12 No"/>
    <n v="327096"/>
    <n v="9"/>
    <n v="24948"/>
    <n v="9"/>
    <n v="24948"/>
    <n v="0"/>
    <n v="0"/>
    <n v="0"/>
    <n v="49896"/>
    <n v="0"/>
    <s v="24AAECB4672L1ZI"/>
    <s v="Ltr"/>
    <n v="27101990"/>
    <s v="Rs."/>
    <n v="1"/>
    <n v="0"/>
  </r>
  <r>
    <s v="22-08-2026"/>
    <x v="14"/>
    <s v="Branch Transfer In"/>
    <s v="RM 549"/>
    <s v="Branch Transfer In - Raw Material"/>
    <s v="HPBL/DC/40"/>
    <s v="19-08-2026"/>
    <s v="SF"/>
    <s v="Liners"/>
    <s v="LDPE/LLDPE Bags"/>
    <x v="10"/>
    <s v="DOC Pouch"/>
    <n v="178"/>
    <n v="30429.1"/>
    <s v="DOC Pouch"/>
    <n v="30429.1"/>
    <n v="0"/>
    <n v="0"/>
    <n v="0"/>
    <n v="0"/>
    <n v="0"/>
    <n v="0"/>
    <n v="0"/>
    <n v="0"/>
    <n v="0"/>
    <s v="24AABCG1282C2Z6"/>
    <s v="Kgs"/>
    <n v="39232100"/>
    <s v="Rs."/>
    <n v="1"/>
    <n v="0"/>
  </r>
  <r>
    <s v="22-08-2026"/>
    <x v="0"/>
    <s v="General Purchase"/>
    <s v="GNCN 369"/>
    <s v="Purchase Withinstate- Stores, Spares &amp; Consumable"/>
    <s v="PIL1/D/1448"/>
    <s v="22-08-2026"/>
    <s v="Stores/Spares"/>
    <s v="MS Structure Items"/>
    <s v="Spares &amp; Stores"/>
    <x v="0"/>
    <s v="MS Pipe 4  C Class"/>
    <n v="395"/>
    <n v="18960"/>
    <s v="MS Pipe 4  C Class"/>
    <n v="22353.84"/>
    <n v="9"/>
    <n v="1706.4"/>
    <n v="9"/>
    <n v="1706.4"/>
    <n v="0"/>
    <n v="0"/>
    <n v="0"/>
    <n v="3412.8"/>
    <n v="0"/>
    <s v="24AAACO3087C1ZT"/>
    <s v="Kgs"/>
    <n v="73063090"/>
    <s v="Rs."/>
    <n v="1"/>
    <n v="0"/>
  </r>
  <r>
    <s v="22-08-2026"/>
    <x v="0"/>
    <s v="R.M.P."/>
    <s v="RM 550"/>
    <s v="Purchase Withinstate - Raw Material"/>
    <s v="PIL1/D/1449"/>
    <s v="22-08-2026"/>
    <s v="SF"/>
    <s v="PP/PE Fabric"/>
    <s v="PP UL Fabric"/>
    <x v="1"/>
    <s v="PP UL Fabric With UV"/>
    <n v="1255"/>
    <n v="181121.6"/>
    <s v="PP UL Fabric With UV"/>
    <n v="2014856.13"/>
    <n v="9"/>
    <n v="16300.94"/>
    <n v="9"/>
    <n v="16300.94"/>
    <n v="0"/>
    <n v="0"/>
    <n v="0"/>
    <n v="32601.88"/>
    <n v="0"/>
    <s v="24AAACO3087C1ZT"/>
    <s v="Kgs"/>
    <n v="39269080"/>
    <s v="Rs."/>
    <n v="1"/>
    <n v="0"/>
  </r>
  <r>
    <s v="22-08-2026"/>
    <x v="0"/>
    <s v="R.M.P."/>
    <s v="RM 550"/>
    <s v="Purchase Withinstate - Raw Material"/>
    <s v="PIL1/D/1449"/>
    <s v="22-08-2026"/>
    <s v="SF"/>
    <s v="PP/PE Fabric"/>
    <s v="PP UL Fabric"/>
    <x v="1"/>
    <s v="PP UL Fabric With UV"/>
    <n v="718"/>
    <n v="104339.76"/>
    <s v="PP UL Fabric With UV"/>
    <n v="0"/>
    <n v="9"/>
    <n v="9390.58"/>
    <n v="9"/>
    <n v="9390.58"/>
    <n v="0"/>
    <n v="0"/>
    <n v="0"/>
    <n v="18781.16"/>
    <n v="0"/>
    <s v="24AAACO3087C1ZT"/>
    <s v="Kgs"/>
    <n v="39269080"/>
    <s v="Rs."/>
    <n v="1"/>
    <n v="0"/>
  </r>
  <r>
    <s v="22-08-2026"/>
    <x v="0"/>
    <s v="R.M.P."/>
    <s v="RM 550"/>
    <s v="Purchase Withinstate - Raw Material"/>
    <s v="PIL1/D/1449"/>
    <s v="22-08-2026"/>
    <s v="SF"/>
    <s v="PP/PE Fabric"/>
    <s v="PP UL Fabric"/>
    <x v="1"/>
    <s v="PP UL Fabric With UV"/>
    <n v="8400"/>
    <n v="1195488"/>
    <s v="PP UL Fabric With UV"/>
    <n v="0"/>
    <n v="9"/>
    <n v="107593.92"/>
    <n v="9"/>
    <n v="107593.92"/>
    <n v="0"/>
    <n v="0"/>
    <n v="0"/>
    <n v="215187.84"/>
    <n v="0"/>
    <s v="24AAACO3087C1ZT"/>
    <s v="Kgs"/>
    <n v="39269080"/>
    <s v="Rs."/>
    <n v="1"/>
    <n v="0"/>
  </r>
  <r>
    <s v="22-08-2026"/>
    <x v="0"/>
    <s v="R.M.P."/>
    <s v="RM 550"/>
    <s v="Purchase Withinstate - Raw Material"/>
    <s v="PIL1/D/1449"/>
    <s v="22-08-2026"/>
    <s v="SF"/>
    <s v="Webbing"/>
    <s v="PP Webbing"/>
    <x v="2"/>
    <s v="Webbing"/>
    <n v="1457.3"/>
    <n v="214689.44"/>
    <s v="Webbing"/>
    <n v="0"/>
    <n v="9"/>
    <n v="19322.05"/>
    <n v="9"/>
    <n v="19322.05"/>
    <n v="0"/>
    <n v="0"/>
    <n v="0"/>
    <n v="38644.1"/>
    <n v="0"/>
    <s v="24AAACO3087C1ZT"/>
    <s v="Kgs"/>
    <n v="3926908"/>
    <s v="Rs."/>
    <n v="1"/>
    <n v="0"/>
  </r>
  <r>
    <s v="22-08-2026"/>
    <x v="0"/>
    <s v="R.M.P."/>
    <s v="RM 550"/>
    <s v="Purchase Withinstate - Raw Material"/>
    <s v="PIL1/D/1449"/>
    <s v="22-08-2026"/>
    <s v="SF"/>
    <s v="Webbing"/>
    <s v="PP Webbing"/>
    <x v="2"/>
    <s v="Webbing"/>
    <n v="64.5"/>
    <n v="9308.64"/>
    <s v="Webbing"/>
    <n v="0"/>
    <n v="9"/>
    <n v="837.78"/>
    <n v="9"/>
    <n v="837.78"/>
    <n v="0"/>
    <n v="0"/>
    <n v="0"/>
    <n v="1675.56"/>
    <n v="0"/>
    <s v="24AAACO3087C1ZT"/>
    <s v="Kgs"/>
    <n v="3926908"/>
    <s v="Rs."/>
    <n v="1"/>
    <n v="0"/>
  </r>
  <r>
    <s v="22-08-2026"/>
    <x v="0"/>
    <s v="R.M.P."/>
    <s v="RM 550"/>
    <s v="Purchase Withinstate - Raw Material"/>
    <s v="PIL1/D/1449"/>
    <s v="22-08-2026"/>
    <s v="SF"/>
    <s v="Webbing"/>
    <s v="PP Webbing"/>
    <x v="2"/>
    <s v="Webbing"/>
    <n v="23.8"/>
    <n v="4006.02"/>
    <s v="Webbing"/>
    <n v="0"/>
    <n v="9"/>
    <n v="360.54"/>
    <n v="9"/>
    <n v="360.54"/>
    <n v="0"/>
    <n v="0"/>
    <n v="0"/>
    <n v="721.08"/>
    <n v="0"/>
    <s v="24AAACO3087C1ZT"/>
    <s v="Kgs"/>
    <n v="3926908"/>
    <s v="Rs."/>
    <n v="1"/>
    <n v="0"/>
  </r>
  <r>
    <s v="22-08-2026"/>
    <x v="0"/>
    <s v="R.M.P."/>
    <s v="RM 551"/>
    <s v="Purchase Withinstate - Raw Material"/>
    <s v="PIL1/D/1458"/>
    <s v="22-08-2026"/>
    <s v="SF"/>
    <s v="Liners"/>
    <s v="LDPE/LLDPE Bags"/>
    <x v="4"/>
    <s v="LDPE/LLDPE Bags/Liner"/>
    <n v="319"/>
    <n v="56418.34"/>
    <s v="LDPE/LLDPE Bags/Liner"/>
    <n v="276494.78000000003"/>
    <n v="9"/>
    <n v="5077.6499999999996"/>
    <n v="9"/>
    <n v="5077.6499999999996"/>
    <n v="0"/>
    <n v="0"/>
    <n v="0"/>
    <n v="10155.299999999999"/>
    <n v="0"/>
    <s v="24AAACO3087C1ZT"/>
    <s v="Kgs"/>
    <n v="39200000"/>
    <s v="Rs."/>
    <n v="1"/>
    <n v="0"/>
  </r>
  <r>
    <s v="22-08-2026"/>
    <x v="0"/>
    <s v="R.M.P."/>
    <s v="RM 551"/>
    <s v="Purchase Withinstate - Raw Material"/>
    <s v="PIL1/D/1458"/>
    <s v="22-08-2026"/>
    <s v="SF"/>
    <s v="Liners"/>
    <s v="LDPE/LLDPE Bags"/>
    <x v="4"/>
    <s v="LDPE/LLDPE Bags/Liner"/>
    <n v="1007"/>
    <n v="178098.02"/>
    <s v="LDPE/LLDPE Bags/Liner"/>
    <n v="0"/>
    <n v="9"/>
    <n v="16028.82"/>
    <n v="9"/>
    <n v="16028.82"/>
    <n v="0"/>
    <n v="0"/>
    <n v="0"/>
    <n v="32057.64"/>
    <n v="0"/>
    <s v="24AAACO3087C1ZT"/>
    <s v="Kgs"/>
    <n v="39200000"/>
    <s v="Rs."/>
    <n v="1"/>
    <n v="0"/>
  </r>
  <r>
    <s v="22-08-2026"/>
    <x v="10"/>
    <s v="General Purchase"/>
    <s v="GNSP 164"/>
    <s v="Purchase Withinstate- Stores, Spares &amp; Consumable"/>
    <s v="TE/1361/26-27"/>
    <s v="17-08-2026"/>
    <s v="Stores/Spares"/>
    <s v="Valves"/>
    <s v="Spares &amp; Stores"/>
    <x v="0"/>
    <s v="Solenoid Valve"/>
    <n v="2"/>
    <n v="5684.24"/>
    <s v="Solenoid Valve"/>
    <n v="6707"/>
    <n v="9"/>
    <n v="511.58"/>
    <n v="9"/>
    <n v="511.58"/>
    <n v="0"/>
    <n v="0"/>
    <n v="0"/>
    <n v="1023.16"/>
    <n v="0"/>
    <s v="24ARIPK4378C1ZV"/>
    <s v="Pcs"/>
    <n v="84818050"/>
    <s v="Rs."/>
    <n v="1"/>
    <n v="0"/>
  </r>
  <r>
    <s v="22-08-2026"/>
    <x v="28"/>
    <s v="R.M.P."/>
    <s v="RM 548"/>
    <s v="Purchase Interstate - Raw Material"/>
    <s v="1510/26-27"/>
    <s v="17-08-2026"/>
    <s v="RM Consumables"/>
    <s v="Ink"/>
    <s v="Ink"/>
    <x v="14"/>
    <s v="Ink Vyankatesh Poly Opaque White OPEQUE WHITE VLX 624"/>
    <n v="225"/>
    <n v="65700"/>
    <s v="Ink Vyankatesh Poly Opaque White OPEQUE WHITE VLX 624"/>
    <n v="492267"/>
    <n v="0"/>
    <n v="0"/>
    <n v="0"/>
    <n v="0"/>
    <n v="18"/>
    <n v="11826"/>
    <n v="0"/>
    <n v="11826"/>
    <n v="0"/>
    <s v="27AAECV8365Q1ZC"/>
    <s v="Kgs"/>
    <n v="32151910"/>
    <s v="Rs."/>
    <n v="1"/>
    <n v="0"/>
  </r>
  <r>
    <s v="22-08-2026"/>
    <x v="28"/>
    <s v="R.M.P."/>
    <s v="RM 548"/>
    <s v="Purchase Interstate - Raw Material"/>
    <s v="1510/26-27"/>
    <s v="17-08-2026"/>
    <s v="RM Consumables"/>
    <s v="Ink"/>
    <s v="Ink"/>
    <x v="14"/>
    <s v="Ink Vyankatesh Poly Process Blue VLX 643"/>
    <n v="150"/>
    <n v="48900"/>
    <s v="Ink Vyankatesh Poly Process Blue VLX 643"/>
    <n v="0"/>
    <n v="0"/>
    <n v="0"/>
    <n v="0"/>
    <n v="0"/>
    <n v="18"/>
    <n v="8802"/>
    <n v="0"/>
    <n v="8802"/>
    <n v="0"/>
    <s v="27AAECV8365Q1ZC"/>
    <s v="Kgs"/>
    <n v="32151990"/>
    <s v="Rs."/>
    <n v="1"/>
    <n v="0"/>
  </r>
  <r>
    <s v="22-08-2026"/>
    <x v="28"/>
    <s v="R.M.P."/>
    <s v="RM 548"/>
    <s v="Purchase Interstate - Raw Material"/>
    <s v="1510/26-27"/>
    <s v="17-08-2026"/>
    <s v="RM Consumables"/>
    <s v="Ink"/>
    <s v="Ink"/>
    <x v="14"/>
    <s v="Ink Vyankatesh Poly Process Yellow VLX 671"/>
    <n v="300"/>
    <n v="89100"/>
    <s v="Ink Vyankatesh Poly Process Yellow VLX 671"/>
    <n v="0"/>
    <n v="0"/>
    <n v="0"/>
    <n v="0"/>
    <n v="0"/>
    <n v="18"/>
    <n v="16038"/>
    <n v="0"/>
    <n v="16038"/>
    <n v="0"/>
    <s v="27AAECV8365Q1ZC"/>
    <s v="Kgs"/>
    <n v="84485900"/>
    <s v="Rs."/>
    <n v="1"/>
    <n v="0"/>
  </r>
  <r>
    <s v="22-08-2026"/>
    <x v="28"/>
    <s v="R.M.P."/>
    <s v="RM 548"/>
    <s v="Purchase Interstate - Raw Material"/>
    <s v="1510/26-27"/>
    <s v="17-08-2026"/>
    <s v="RM Consumables"/>
    <s v="Ink"/>
    <s v="Ink"/>
    <x v="14"/>
    <s v="Ink Vyankatesh Poly Red Pantone 032C"/>
    <n v="50"/>
    <n v="15000"/>
    <s v="Ink Vyankatesh Poly Red Pantone 032C"/>
    <n v="0"/>
    <n v="0"/>
    <n v="0"/>
    <n v="0"/>
    <n v="0"/>
    <n v="18"/>
    <n v="2700"/>
    <n v="0"/>
    <n v="2700"/>
    <n v="0"/>
    <s v="27AAECV8365Q1ZC"/>
    <s v="Kgs"/>
    <n v="84529099"/>
    <s v="Rs."/>
    <n v="1"/>
    <n v="0"/>
  </r>
  <r>
    <s v="22-08-2026"/>
    <x v="28"/>
    <s v="R.M.P."/>
    <s v="RM 548"/>
    <s v="Purchase Interstate - Raw Material"/>
    <s v="1510/26-27"/>
    <s v="17-08-2026"/>
    <s v="RM Consumables"/>
    <s v="Ink"/>
    <s v="Ink"/>
    <x v="14"/>
    <s v="Ink Vyankatesh Poly Reflex Blue VLX 573"/>
    <n v="50"/>
    <n v="17250"/>
    <s v="Ink Vyankatesh Poly Reflex Blue VLX 573"/>
    <n v="0"/>
    <n v="0"/>
    <n v="0"/>
    <n v="0"/>
    <n v="0"/>
    <n v="18"/>
    <n v="3105"/>
    <n v="0"/>
    <n v="3105"/>
    <n v="0"/>
    <s v="27AAECV8365Q1ZC"/>
    <s v="Kgs"/>
    <n v="32151910"/>
    <s v="Rs."/>
    <n v="1"/>
    <n v="0"/>
  </r>
  <r>
    <s v="22-08-2026"/>
    <x v="28"/>
    <s v="R.M.P."/>
    <s v="RM 548"/>
    <s v="Purchase Interstate - Raw Material"/>
    <s v="1510/26-27"/>
    <s v="17-08-2026"/>
    <s v="RM Consumables"/>
    <s v="Ink"/>
    <s v="Ink"/>
    <x v="14"/>
    <s v="Ink Vyankatesh Poly Robbin Red VLX 876"/>
    <n v="100"/>
    <n v="29200"/>
    <s v="Ink Vyankatesh Poly Robbin Red VLX 876"/>
    <n v="0"/>
    <n v="0"/>
    <n v="0"/>
    <n v="0"/>
    <n v="0"/>
    <n v="18"/>
    <n v="5256"/>
    <n v="0"/>
    <n v="5256"/>
    <n v="0"/>
    <s v="27AAECV8365Q1ZC"/>
    <s v="Kgs"/>
    <n v="84529099"/>
    <s v="Rs."/>
    <n v="1"/>
    <n v="0"/>
  </r>
  <r>
    <s v="22-08-2026"/>
    <x v="28"/>
    <s v="R.M.P."/>
    <s v="RM 548"/>
    <s v="Purchase Interstate - Raw Material"/>
    <s v="1510/26-27"/>
    <s v="17-08-2026"/>
    <s v="RM Consumables"/>
    <s v="Ink"/>
    <s v="Ink"/>
    <x v="14"/>
    <s v="Ink Vyankatesh Poly Voilet VLX 873"/>
    <n v="25"/>
    <n v="12875"/>
    <s v="Ink Vyankatesh Poly Voilet VLX 873"/>
    <n v="0"/>
    <n v="0"/>
    <n v="0"/>
    <n v="0"/>
    <n v="0"/>
    <n v="18"/>
    <n v="2317.5"/>
    <n v="0"/>
    <n v="2317.5"/>
    <n v="0"/>
    <s v="27AAECV8365Q1ZC"/>
    <s v="Kgs"/>
    <n v="32151910"/>
    <s v="Rs."/>
    <n v="1"/>
    <n v="0"/>
  </r>
  <r>
    <s v="22-08-2026"/>
    <x v="28"/>
    <s v="R.M.P."/>
    <s v="RM 548"/>
    <s v="Purchase Interstate - Raw Material"/>
    <s v="1510/26-27"/>
    <s v="17-08-2026"/>
    <s v="RM Consumables"/>
    <s v="Ink"/>
    <s v="Ink"/>
    <x v="14"/>
    <s v="Ink Vyankatesh Red 485c"/>
    <n v="50"/>
    <n v="14600"/>
    <s v="Ink Vyankatesh Red 485c"/>
    <n v="0"/>
    <n v="0"/>
    <n v="0"/>
    <n v="0"/>
    <n v="0"/>
    <n v="18"/>
    <n v="2628"/>
    <n v="0"/>
    <n v="2628"/>
    <n v="0"/>
    <s v="27AAECV8365Q1ZC"/>
    <s v="Kgs"/>
    <n v="32151910"/>
    <s v="Rs."/>
    <n v="1"/>
    <n v="0"/>
  </r>
  <r>
    <s v="22-08-2026"/>
    <x v="28"/>
    <s v="R.M.P."/>
    <s v="RM 548"/>
    <s v="Purchase Interstate - Raw Material"/>
    <s v="1510/26-27"/>
    <s v="17-08-2026"/>
    <s v="RM Consumables"/>
    <s v="Ink"/>
    <s v="Ink"/>
    <x v="14"/>
    <s v="Ink Vyankatesh Poly Black VLX 579"/>
    <n v="400"/>
    <n v="92800"/>
    <s v="Ink Vyankatesh Poly Black VLX 579"/>
    <n v="0"/>
    <n v="0"/>
    <n v="0"/>
    <n v="0"/>
    <n v="0"/>
    <n v="18"/>
    <n v="16704"/>
    <n v="0"/>
    <n v="16704"/>
    <n v="0"/>
    <s v="27AAECV8365Q1ZC"/>
    <s v="Kgs"/>
    <n v="32151910"/>
    <s v="Rs."/>
    <n v="1"/>
    <n v="0"/>
  </r>
  <r>
    <s v="22-08-2026"/>
    <x v="28"/>
    <s v="R.M.P."/>
    <s v="RM 548"/>
    <s v="Purchase Interstate - Raw Material"/>
    <s v="1510/26-27"/>
    <s v="17-08-2026"/>
    <s v="RM Consumables"/>
    <s v="Ink"/>
    <s v="."/>
    <x v="14"/>
    <s v="Ink Vyankatesh Silver Golden VLX 871C"/>
    <n v="50"/>
    <n v="31750"/>
    <s v="Ink Vyankatesh Silver Golden VLX 871C"/>
    <n v="0"/>
    <n v="0"/>
    <n v="0"/>
    <n v="0"/>
    <n v="0"/>
    <n v="18"/>
    <n v="5715"/>
    <n v="0"/>
    <n v="5715"/>
    <n v="0"/>
    <s v="27AAECV8365Q1ZC"/>
    <s v="Kgs"/>
    <n v="32151910"/>
    <s v="Rs."/>
    <n v="1"/>
    <n v="0"/>
  </r>
  <r>
    <s v="23-08-2026"/>
    <x v="0"/>
    <s v="General Purchase"/>
    <s v="GNCN 370"/>
    <s v="Purchase Withinstate- Stores, Spares &amp; Consumable"/>
    <s v="PIL1/D/1460"/>
    <s v="23-08-2026"/>
    <s v="Stores/Spares"/>
    <s v="MS Structure Items"/>
    <s v="Spares &amp; Stores"/>
    <x v="0"/>
    <s v="MS Pipe 4  C Class"/>
    <n v="452"/>
    <n v="21696"/>
    <s v="MS Pipe 4  C Class"/>
    <n v="25579.58"/>
    <n v="9"/>
    <n v="1952.64"/>
    <n v="9"/>
    <n v="1952.64"/>
    <n v="0"/>
    <n v="0"/>
    <n v="0"/>
    <n v="3905.28"/>
    <n v="0"/>
    <s v="24AAACO3087C1ZT"/>
    <s v="Kgs"/>
    <n v="73063090"/>
    <s v="Rs."/>
    <n v="1"/>
    <n v="0"/>
  </r>
  <r>
    <s v="23-08-2026"/>
    <x v="0"/>
    <s v="R.M.P."/>
    <s v="RM 552"/>
    <s v="Purchase Withinstate - Raw Material"/>
    <s v="PIL1/D/1455"/>
    <s v="22-08-2026"/>
    <s v="SF"/>
    <s v="Liners"/>
    <s v="LDPE/LLDPE Bags"/>
    <x v="4"/>
    <s v="LDPE/LLDPE Bags/Liner"/>
    <n v="1350"/>
    <n v="238761"/>
    <s v="LDPE/LLDPE Bags/Liner"/>
    <n v="281499.21999999997"/>
    <n v="9"/>
    <n v="21488.49"/>
    <n v="9"/>
    <n v="21488.49"/>
    <n v="0"/>
    <n v="0"/>
    <n v="0"/>
    <n v="42976.98"/>
    <n v="0"/>
    <s v="24AAACO3087C1ZT"/>
    <s v="Kgs"/>
    <n v="39200000"/>
    <s v="Rs."/>
    <n v="1"/>
    <n v="0"/>
  </r>
  <r>
    <s v="23-08-2026"/>
    <x v="0"/>
    <s v="R.M.P."/>
    <s v="RM 553"/>
    <s v="Purchase Withinstate - Raw Material"/>
    <s v="PIL1/D/1461"/>
    <s v="23-08-2026"/>
    <s v="SF"/>
    <s v="PP/PE Fabric"/>
    <s v="PP UL Fabric"/>
    <x v="1"/>
    <s v="PP UL Fabric With UV"/>
    <n v="976"/>
    <n v="140856.32000000001"/>
    <s v="PP UL Fabric With UV"/>
    <n v="2279053.04"/>
    <n v="9"/>
    <n v="12677.07"/>
    <n v="9"/>
    <n v="12677.07"/>
    <n v="0"/>
    <n v="0"/>
    <n v="0"/>
    <n v="25354.14"/>
    <n v="0"/>
    <s v="24AAACO3087C1ZT"/>
    <s v="Kgs"/>
    <n v="39269080"/>
    <s v="Rs."/>
    <n v="1"/>
    <n v="0"/>
  </r>
  <r>
    <s v="23-08-2026"/>
    <x v="0"/>
    <s v="R.M.P."/>
    <s v="RM 553"/>
    <s v="Purchase Withinstate - Raw Material"/>
    <s v="PIL1/D/1461"/>
    <s v="23-08-2026"/>
    <s v="SF"/>
    <s v="PP/PE Fabric"/>
    <s v="PP UL Fabric"/>
    <x v="1"/>
    <s v="PP UL Fabric With UV"/>
    <n v="1026"/>
    <n v="149098.32"/>
    <s v="PP UL Fabric With UV"/>
    <n v="0"/>
    <n v="9"/>
    <n v="13418.85"/>
    <n v="9"/>
    <n v="13418.85"/>
    <n v="0"/>
    <n v="0"/>
    <n v="0"/>
    <n v="26837.7"/>
    <n v="0"/>
    <s v="24AAACO3087C1ZT"/>
    <s v="Kgs"/>
    <n v="39269080"/>
    <s v="Rs."/>
    <n v="1"/>
    <n v="0"/>
  </r>
  <r>
    <s v="23-08-2026"/>
    <x v="0"/>
    <s v="R.M.P."/>
    <s v="RM 553"/>
    <s v="Purchase Withinstate - Raw Material"/>
    <s v="PIL1/D/1461"/>
    <s v="23-08-2026"/>
    <s v="SF"/>
    <s v="PP/PE Fabric"/>
    <s v="PP UL Fabric"/>
    <x v="1"/>
    <s v="PP UL Fabric With UV"/>
    <n v="11545"/>
    <n v="1643084.4"/>
    <s v="PP UL Fabric With UV"/>
    <n v="0"/>
    <n v="9"/>
    <n v="147877.6"/>
    <n v="9"/>
    <n v="147877.6"/>
    <n v="0"/>
    <n v="0"/>
    <n v="0"/>
    <n v="295755.2"/>
    <n v="0"/>
    <s v="24AAACO3087C1ZT"/>
    <s v="Kgs"/>
    <n v="39269080"/>
    <s v="Rs."/>
    <n v="1"/>
    <n v="0"/>
  </r>
  <r>
    <s v="23-08-2026"/>
    <x v="0"/>
    <s v="R.M.P."/>
    <s v="RM 554"/>
    <s v="Purchase Withinstate - Traded Goods"/>
    <s v="PIL1/D/1462"/>
    <s v="23-08-2026"/>
    <s v="FG"/>
    <s v="FIBC Bags"/>
    <s v="FIBC Bags"/>
    <x v="5"/>
    <s v="FIBC Bags With UV Without Liner"/>
    <n v="401"/>
    <n v="84330.3"/>
    <s v="FIBC Bags With UV Without Liner"/>
    <n v="99425.43"/>
    <n v="9"/>
    <n v="7589.73"/>
    <n v="9"/>
    <n v="7589.73"/>
    <n v="0"/>
    <n v="0"/>
    <n v="0"/>
    <n v="15179.46"/>
    <n v="0"/>
    <s v="24AAACO3087C1ZT"/>
    <s v="Kgs"/>
    <n v="63053200"/>
    <s v="Rs."/>
    <n v="1"/>
    <n v="0"/>
  </r>
  <r>
    <s v="23-08-2026"/>
    <x v="0"/>
    <s v="R.M.P."/>
    <s v="RM 555"/>
    <s v="Purchase Withinstate - Raw Material"/>
    <s v="PIL1/D/1463"/>
    <s v="23-08-2026"/>
    <s v="SF"/>
    <s v="Liners"/>
    <s v="LDPE/LLDPE Bags"/>
    <x v="4"/>
    <s v="LDPE/LLDPE Bags/Liner"/>
    <n v="2697"/>
    <n v="476991.42"/>
    <s v="LDPE/LLDPE Bags/Liner"/>
    <n v="562372.89"/>
    <n v="9"/>
    <n v="42929.23"/>
    <n v="9"/>
    <n v="42929.23"/>
    <n v="0"/>
    <n v="0"/>
    <n v="0"/>
    <n v="85858.46"/>
    <n v="0"/>
    <s v="24AAACO3087C1ZT"/>
    <s v="Kgs"/>
    <n v="39200000"/>
    <s v="Rs."/>
    <n v="1"/>
    <n v="0"/>
  </r>
  <r>
    <s v="23-08-2026"/>
    <x v="0"/>
    <s v="R.M.P."/>
    <s v="RM 556"/>
    <s v="Purchase Withinstate - Raw Material"/>
    <s v="PIL1/D/1465"/>
    <s v="23-08-2026"/>
    <s v="SF"/>
    <s v="Webbing"/>
    <s v="PP Webbing"/>
    <x v="2"/>
    <s v="Webbing"/>
    <n v="65.5"/>
    <n v="9452.9599999999991"/>
    <s v="Webbing"/>
    <n v="816439.3"/>
    <n v="9"/>
    <n v="850.77"/>
    <n v="9"/>
    <n v="850.77"/>
    <n v="0"/>
    <n v="0"/>
    <n v="0"/>
    <n v="1701.54"/>
    <n v="0"/>
    <s v="24AAACO3087C1ZT"/>
    <s v="Kgs"/>
    <n v="3926908"/>
    <s v="Rs."/>
    <n v="1"/>
    <n v="0"/>
  </r>
  <r>
    <s v="23-08-2026"/>
    <x v="0"/>
    <s v="R.M.P."/>
    <s v="RM 556"/>
    <s v="Purchase Withinstate - Raw Material"/>
    <s v="PIL1/D/1465"/>
    <s v="23-08-2026"/>
    <s v="SF"/>
    <s v="Webbing"/>
    <s v="PP Webbing"/>
    <x v="2"/>
    <s v="Webbing"/>
    <n v="21.2"/>
    <n v="3568.38"/>
    <s v="Webbing"/>
    <n v="0"/>
    <n v="9"/>
    <n v="321.14999999999998"/>
    <n v="9"/>
    <n v="321.14999999999998"/>
    <n v="0"/>
    <n v="0"/>
    <n v="0"/>
    <n v="642.29999999999995"/>
    <n v="0"/>
    <s v="24AAACO3087C1ZT"/>
    <s v="Kgs"/>
    <n v="3926908"/>
    <s v="Rs."/>
    <n v="1"/>
    <n v="0"/>
  </r>
  <r>
    <s v="23-08-2026"/>
    <x v="0"/>
    <s v="R.M.P."/>
    <s v="RM 556"/>
    <s v="Purchase Withinstate - Raw Material"/>
    <s v="PIL1/D/1465"/>
    <s v="23-08-2026"/>
    <s v="SF"/>
    <s v="Webbing"/>
    <s v="PP Webbing"/>
    <x v="2"/>
    <s v="Webbing"/>
    <n v="1555.4"/>
    <n v="229141.53"/>
    <s v="Webbing"/>
    <n v="0"/>
    <n v="9"/>
    <n v="20622.740000000002"/>
    <n v="9"/>
    <n v="20622.740000000002"/>
    <n v="0"/>
    <n v="0"/>
    <n v="0"/>
    <n v="41245.480000000003"/>
    <n v="0"/>
    <s v="24AAACO3087C1ZT"/>
    <s v="Kgs"/>
    <n v="3926908"/>
    <s v="Rs."/>
    <n v="1"/>
    <n v="0"/>
  </r>
  <r>
    <s v="23-08-2026"/>
    <x v="0"/>
    <s v="R.M.P."/>
    <s v="RM 556"/>
    <s v="Purchase Withinstate - Raw Material"/>
    <s v="PIL1/D/1465"/>
    <s v="23-08-2026"/>
    <s v="SF"/>
    <s v="PP/PE Fabric"/>
    <s v="PP Lam Fabric"/>
    <x v="3"/>
    <s v="PP Lam Fabric With UV"/>
    <n v="335"/>
    <n v="48347.199999999997"/>
    <s v="PP Lam Fabric With UV"/>
    <n v="0"/>
    <n v="9"/>
    <n v="4351.25"/>
    <n v="9"/>
    <n v="4351.25"/>
    <n v="0"/>
    <n v="0"/>
    <n v="0"/>
    <n v="8702.5"/>
    <n v="0"/>
    <s v="24AAACO3087C1ZT"/>
    <s v="Kgs"/>
    <n v="63053300"/>
    <s v="Rs."/>
    <n v="1"/>
    <n v="0"/>
  </r>
  <r>
    <s v="23-08-2026"/>
    <x v="0"/>
    <s v="R.M.P."/>
    <s v="RM 556"/>
    <s v="Purchase Withinstate - Raw Material"/>
    <s v="PIL1/D/1465"/>
    <s v="23-08-2026"/>
    <s v="SF"/>
    <s v="PP/PE Fabric"/>
    <s v="PP UL Fabric"/>
    <x v="1"/>
    <s v="PP UL Fabric With UV"/>
    <n v="260"/>
    <n v="37783.199999999997"/>
    <s v="PP UL Fabric With UV"/>
    <n v="0"/>
    <n v="9"/>
    <n v="3400.49"/>
    <n v="9"/>
    <n v="3400.49"/>
    <n v="0"/>
    <n v="0"/>
    <n v="0"/>
    <n v="6800.98"/>
    <n v="0"/>
    <s v="24AAACO3087C1ZT"/>
    <s v="Kgs"/>
    <n v="39269080"/>
    <s v="Rs."/>
    <n v="1"/>
    <n v="0"/>
  </r>
  <r>
    <s v="23-08-2026"/>
    <x v="0"/>
    <s v="R.M.P."/>
    <s v="RM 556"/>
    <s v="Purchase Withinstate - Raw Material"/>
    <s v="PIL1/D/1465"/>
    <s v="23-08-2026"/>
    <s v="SF"/>
    <s v="PP/PE Fabric"/>
    <s v="PP UL Fabric"/>
    <x v="1"/>
    <s v="PP UL Fabric With UV"/>
    <n v="745"/>
    <n v="107518.39999999999"/>
    <s v="PP UL Fabric With UV"/>
    <n v="0"/>
    <n v="9"/>
    <n v="9676.66"/>
    <n v="9"/>
    <n v="9676.66"/>
    <n v="0"/>
    <n v="0"/>
    <n v="0"/>
    <n v="19353.32"/>
    <n v="0"/>
    <s v="24AAACO3087C1ZT"/>
    <s v="Kgs"/>
    <n v="39269080"/>
    <s v="Rs."/>
    <n v="1"/>
    <n v="0"/>
  </r>
  <r>
    <s v="23-08-2026"/>
    <x v="0"/>
    <s v="R.M.P."/>
    <s v="RM 556"/>
    <s v="Purchase Withinstate - Raw Material"/>
    <s v="PIL1/D/1465"/>
    <s v="23-08-2026"/>
    <s v="SF"/>
    <s v="PP/PE Fabric"/>
    <s v="PP UL Fabric"/>
    <x v="1"/>
    <s v="PP UL Fabric With UV"/>
    <n v="1802"/>
    <n v="256460.64"/>
    <s v="PP UL Fabric With UV"/>
    <n v="0"/>
    <n v="9"/>
    <n v="23081.46"/>
    <n v="9"/>
    <n v="23081.46"/>
    <n v="0"/>
    <n v="0"/>
    <n v="0"/>
    <n v="46162.92"/>
    <n v="0"/>
    <s v="24AAACO3087C1ZT"/>
    <s v="Kgs"/>
    <n v="39269080"/>
    <s v="Rs."/>
    <n v="1"/>
    <n v="0"/>
  </r>
  <r>
    <s v="23-08-2026"/>
    <x v="0"/>
    <s v="R.M.P."/>
    <s v="RM 556"/>
    <s v="Purchase Withinstate - Raw Material"/>
    <s v="PIL1/D/1465"/>
    <s v="23-08-2026"/>
    <s v="SF"/>
    <s v="Liners"/>
    <s v="LDPE/LLDPE Bags"/>
    <x v="4"/>
    <s v="LDPE/LLDPE Bags/Liner"/>
    <n v="1.2"/>
    <n v="212.23"/>
    <s v="LDPE/LLDPE Bags/Liner"/>
    <n v="0"/>
    <n v="9"/>
    <n v="19.100000000000001"/>
    <n v="9"/>
    <n v="19.100000000000001"/>
    <n v="0"/>
    <n v="0"/>
    <n v="0"/>
    <n v="38.200000000000003"/>
    <n v="0"/>
    <s v="24AAACO3087C1ZT"/>
    <s v="Kgs"/>
    <n v="39200000"/>
    <s v="Rs."/>
    <n v="1"/>
    <n v="0"/>
  </r>
  <r>
    <s v="24-08-2026"/>
    <x v="38"/>
    <s v="Branch Transfer In"/>
    <s v="RM 557"/>
    <s v="Branch Transfer In - Trading"/>
    <s v="HPBLV/DC/10"/>
    <s v="22-08-2026"/>
    <s v="FG"/>
    <s v="FIBC Bags"/>
    <s v="FIBC Bags"/>
    <x v="5"/>
    <s v="FIBC Bags With UV Without Liner"/>
    <n v="2570.7199999999998"/>
    <n v="524606.82999999996"/>
    <s v="FIBC Bags With UV Without Liner"/>
    <n v="524606.82999999996"/>
    <n v="0"/>
    <n v="0"/>
    <n v="0"/>
    <n v="0"/>
    <n v="0"/>
    <n v="0"/>
    <n v="0"/>
    <n v="0"/>
    <n v="0"/>
    <s v="24AABCG1282C2Z6"/>
    <s v="Kgs"/>
    <n v="63053200"/>
    <s v="Rs."/>
    <n v="1"/>
    <n v="0"/>
  </r>
  <r>
    <s v="24-08-2026"/>
    <x v="0"/>
    <s v="General Purchase"/>
    <s v="GNCN 371"/>
    <s v="Purchase Withinstate- Stores, Spares &amp; Consumable"/>
    <s v="PIL1/D/1470"/>
    <s v="24-08-2026"/>
    <s v="Stores/Spares"/>
    <s v="MS Structure Items"/>
    <s v="Spares &amp; Stores"/>
    <x v="0"/>
    <s v="MS Pipe 4  C Class"/>
    <n v="205"/>
    <n v="9840"/>
    <s v="MS Pipe 4  C Class"/>
    <n v="11601.36"/>
    <n v="9"/>
    <n v="885.6"/>
    <n v="9"/>
    <n v="885.6"/>
    <n v="0"/>
    <n v="0"/>
    <n v="0"/>
    <n v="1771.2"/>
    <n v="0"/>
    <s v="24AAACO3087C1ZT"/>
    <s v="Kgs"/>
    <n v="73063090"/>
    <s v="Rs."/>
    <n v="1"/>
    <n v="0"/>
  </r>
  <r>
    <s v="24-08-2026"/>
    <x v="0"/>
    <s v="General Purchase"/>
    <s v="GNCN 372"/>
    <s v="Purchase Withinstate- Stores, Spares &amp; Consumable"/>
    <s v="PIL1/D/1474"/>
    <s v="24-08-2026"/>
    <s v="Stores/Spares"/>
    <s v="MS Structure Items"/>
    <s v="Spares &amp; Stores"/>
    <x v="0"/>
    <s v="MS Pipe 4  C Class"/>
    <n v="85"/>
    <n v="4080"/>
    <s v="MS Pipe 4  C Class"/>
    <n v="4810.32"/>
    <n v="9"/>
    <n v="367.2"/>
    <n v="9"/>
    <n v="367.2"/>
    <n v="0"/>
    <n v="0"/>
    <n v="0"/>
    <n v="734.4"/>
    <n v="0"/>
    <s v="24AAACO3087C1ZT"/>
    <s v="Kgs"/>
    <n v="73063090"/>
    <s v="Rs."/>
    <n v="1"/>
    <n v="0"/>
  </r>
  <r>
    <s v="24-08-2026"/>
    <x v="0"/>
    <s v="R.M.P."/>
    <s v="RM 558"/>
    <s v="Purchase Withinstate - Raw Material"/>
    <s v="PIL1/D/1469"/>
    <s v="24-08-2026"/>
    <s v="SF"/>
    <s v="PP/PE Fabric"/>
    <s v="PP Lam Fabric"/>
    <x v="3"/>
    <s v="PP Lam Fabric With UV"/>
    <n v="390"/>
    <n v="57064.800000000003"/>
    <s v="PP Lam Fabric With UV"/>
    <n v="1154674.49"/>
    <n v="9"/>
    <n v="5135.83"/>
    <n v="9"/>
    <n v="5135.83"/>
    <n v="0"/>
    <n v="0"/>
    <n v="0"/>
    <n v="10271.66"/>
    <n v="0"/>
    <s v="24AAACO3087C1ZT"/>
    <s v="Kgs"/>
    <n v="63053300"/>
    <s v="Rs."/>
    <n v="1"/>
    <n v="0"/>
  </r>
  <r>
    <s v="24-08-2026"/>
    <x v="0"/>
    <s v="R.M.P."/>
    <s v="RM 558"/>
    <s v="Purchase Withinstate - Raw Material"/>
    <s v="PIL1/D/1469"/>
    <s v="24-08-2026"/>
    <s v="SF"/>
    <s v="PP/PE Fabric"/>
    <s v="PP UL Fabric"/>
    <x v="1"/>
    <s v="PP UL Fabric With UV"/>
    <n v="5357"/>
    <n v="762408.24"/>
    <s v="PP UL Fabric With UV"/>
    <n v="0"/>
    <n v="9"/>
    <n v="68616.740000000005"/>
    <n v="9"/>
    <n v="68616.740000000005"/>
    <n v="0"/>
    <n v="0"/>
    <n v="0"/>
    <n v="137233.48000000001"/>
    <n v="0"/>
    <s v="24AAACO3087C1ZT"/>
    <s v="Kgs"/>
    <n v="39269080"/>
    <s v="Rs."/>
    <n v="1"/>
    <n v="0"/>
  </r>
  <r>
    <s v="24-08-2026"/>
    <x v="0"/>
    <s v="R.M.P."/>
    <s v="RM 558"/>
    <s v="Purchase Withinstate - Raw Material"/>
    <s v="PIL1/D/1469"/>
    <s v="24-08-2026"/>
    <s v="SF"/>
    <s v="PP/PE Fabric"/>
    <s v="PP UL Fabric"/>
    <x v="1"/>
    <s v="PP UL Fabric With UV"/>
    <n v="854"/>
    <n v="124103.28"/>
    <s v="PP UL Fabric With UV"/>
    <n v="0"/>
    <n v="9"/>
    <n v="11169.3"/>
    <n v="9"/>
    <n v="11169.3"/>
    <n v="0"/>
    <n v="0"/>
    <n v="0"/>
    <n v="22338.6"/>
    <n v="0"/>
    <s v="24AAACO3087C1ZT"/>
    <s v="Kgs"/>
    <n v="39269080"/>
    <s v="Rs."/>
    <n v="1"/>
    <n v="0"/>
  </r>
  <r>
    <s v="24-08-2026"/>
    <x v="0"/>
    <s v="R.M.P."/>
    <s v="RM 558"/>
    <s v="Purchase Withinstate - Raw Material"/>
    <s v="PIL1/D/1469"/>
    <s v="24-08-2026"/>
    <s v="SF"/>
    <s v="PP/PE Fabric"/>
    <s v="PP UL Fabric"/>
    <x v="1"/>
    <s v="PP UL Fabric With UV"/>
    <n v="248"/>
    <n v="35791.360000000001"/>
    <s v="PP UL Fabric With UV"/>
    <n v="0"/>
    <n v="9"/>
    <n v="3221.22"/>
    <n v="9"/>
    <n v="3221.22"/>
    <n v="0"/>
    <n v="0"/>
    <n v="0"/>
    <n v="6442.44"/>
    <n v="0"/>
    <s v="24AAACO3087C1ZT"/>
    <s v="Kgs"/>
    <n v="39269080"/>
    <s v="Rs."/>
    <n v="1"/>
    <n v="0"/>
  </r>
  <r>
    <s v="24-08-2026"/>
    <x v="0"/>
    <s v="R.M.P."/>
    <s v="RM 559"/>
    <s v="Purchase Withinstate - Raw Material"/>
    <s v="PIL1/D/1473"/>
    <s v="24-08-2026"/>
    <s v="SF"/>
    <s v="Liners"/>
    <s v="LDPE/LLDPE Bags"/>
    <x v="4"/>
    <s v="LDPE/LLDPE Bags/Liner"/>
    <n v="4745"/>
    <n v="839200.7"/>
    <s v="LDPE/LLDPE Bags/Liner"/>
    <n v="1314637.8799999999"/>
    <n v="9"/>
    <n v="75528.06"/>
    <n v="9"/>
    <n v="75528.06"/>
    <n v="0"/>
    <n v="0"/>
    <n v="0"/>
    <n v="151056.12"/>
    <n v="0"/>
    <s v="24AAACO3087C1ZT"/>
    <s v="Kgs"/>
    <n v="39200000"/>
    <s v="Rs."/>
    <n v="1"/>
    <n v="0"/>
  </r>
  <r>
    <s v="24-08-2026"/>
    <x v="0"/>
    <s v="R.M.P."/>
    <s v="RM 559"/>
    <s v="Purchase Withinstate - Raw Material"/>
    <s v="PIL1/D/1473"/>
    <s v="24-08-2026"/>
    <s v="SF"/>
    <s v="Liners"/>
    <s v="LDPE/LLDPE Bags"/>
    <x v="4"/>
    <s v="LDPE/LLDPE Bags/Liner"/>
    <n v="289"/>
    <n v="53424.54"/>
    <s v="LDPE/LLDPE Bags/Liner"/>
    <n v="0"/>
    <n v="9"/>
    <n v="4808.21"/>
    <n v="9"/>
    <n v="4808.21"/>
    <n v="0"/>
    <n v="0"/>
    <n v="0"/>
    <n v="9616.42"/>
    <n v="0"/>
    <s v="24AAACO3087C1ZT"/>
    <s v="Kgs"/>
    <n v="39200000"/>
    <s v="Rs."/>
    <n v="1"/>
    <n v="0"/>
  </r>
  <r>
    <s v="24-08-2026"/>
    <x v="0"/>
    <s v="R.M.P."/>
    <s v="RM 559"/>
    <s v="Purchase Withinstate - Raw Material"/>
    <s v="PIL1/D/1473"/>
    <s v="24-08-2026"/>
    <s v="SF"/>
    <s v="Webbing"/>
    <s v="PP Webbing"/>
    <x v="2"/>
    <s v="Webbing"/>
    <n v="1431.8"/>
    <n v="210932.78"/>
    <s v="Webbing"/>
    <n v="0"/>
    <n v="9"/>
    <n v="18983.95"/>
    <n v="9"/>
    <n v="18983.95"/>
    <n v="0"/>
    <n v="0"/>
    <n v="0"/>
    <n v="37967.9"/>
    <n v="0"/>
    <s v="24AAACO3087C1ZT"/>
    <s v="Kgs"/>
    <n v="3926908"/>
    <s v="Rs."/>
    <n v="1"/>
    <n v="0"/>
  </r>
  <r>
    <s v="24-08-2026"/>
    <x v="0"/>
    <s v="R.M.P."/>
    <s v="RM 559"/>
    <s v="Purchase Withinstate - Raw Material"/>
    <s v="PIL1/D/1473"/>
    <s v="24-08-2026"/>
    <s v="SF"/>
    <s v="Webbing"/>
    <s v="PP Webbing"/>
    <x v="2"/>
    <s v="Webbing"/>
    <n v="56.5"/>
    <n v="8154.08"/>
    <s v="Webbing"/>
    <n v="0"/>
    <n v="9"/>
    <n v="733.87"/>
    <n v="9"/>
    <n v="733.87"/>
    <n v="0"/>
    <n v="0"/>
    <n v="0"/>
    <n v="1467.74"/>
    <n v="0"/>
    <s v="24AAACO3087C1ZT"/>
    <s v="Kgs"/>
    <n v="3926908"/>
    <s v="Rs."/>
    <n v="1"/>
    <n v="0"/>
  </r>
  <r>
    <s v="24-08-2026"/>
    <x v="0"/>
    <s v="R.M.P."/>
    <s v="RM 559"/>
    <s v="Purchase Withinstate - Raw Material"/>
    <s v="PIL1/D/1473"/>
    <s v="24-08-2026"/>
    <s v="SF"/>
    <s v="Webbing"/>
    <s v="PP Webbing"/>
    <x v="2"/>
    <s v="Webbing"/>
    <n v="19.8"/>
    <n v="3332.74"/>
    <s v="Webbing"/>
    <n v="0"/>
    <n v="9"/>
    <n v="299.95"/>
    <n v="9"/>
    <n v="299.95"/>
    <n v="0"/>
    <n v="0"/>
    <n v="0"/>
    <n v="599.9"/>
    <n v="0"/>
    <s v="24AAACO3087C1ZT"/>
    <s v="Kgs"/>
    <n v="3926908"/>
    <s v="Rs."/>
    <n v="1"/>
    <n v="0"/>
  </r>
  <r>
    <s v="24-08-2026"/>
    <x v="0"/>
    <s v="R.M.P."/>
    <s v="RM 560"/>
    <s v="Purchase Withinstate - Raw Material"/>
    <s v="PIL1/D/1475"/>
    <s v="24-08-2026"/>
    <s v="SF"/>
    <s v="PP/PE Fabric"/>
    <s v="PP UL Fabric"/>
    <x v="1"/>
    <s v="PP UL Fabric With UV"/>
    <n v="561"/>
    <n v="80963.520000000004"/>
    <s v="PP UL Fabric With UV"/>
    <n v="449143.41"/>
    <n v="9"/>
    <n v="7286.72"/>
    <n v="9"/>
    <n v="7286.72"/>
    <n v="0"/>
    <n v="0"/>
    <n v="0"/>
    <n v="14573.44"/>
    <n v="0"/>
    <s v="24AAACO3087C1ZT"/>
    <s v="Kgs"/>
    <n v="39269080"/>
    <s v="Rs."/>
    <n v="1"/>
    <n v="0"/>
  </r>
  <r>
    <s v="24-08-2026"/>
    <x v="0"/>
    <s v="R.M.P."/>
    <s v="RM 560"/>
    <s v="Purchase Withinstate - Raw Material"/>
    <s v="PIL1/D/1475"/>
    <s v="24-08-2026"/>
    <s v="SF"/>
    <s v="PP/PE Fabric"/>
    <s v="PP UL Fabric"/>
    <x v="1"/>
    <s v="PP UL Fabric With UV"/>
    <n v="325"/>
    <n v="47229"/>
    <s v="PP UL Fabric With UV"/>
    <n v="0"/>
    <n v="9"/>
    <n v="4250.6099999999997"/>
    <n v="9"/>
    <n v="4250.6099999999997"/>
    <n v="0"/>
    <n v="0"/>
    <n v="0"/>
    <n v="8501.2199999999993"/>
    <n v="0"/>
    <s v="24AAACO3087C1ZT"/>
    <s v="Kgs"/>
    <n v="39269080"/>
    <s v="Rs."/>
    <n v="1"/>
    <n v="0"/>
  </r>
  <r>
    <s v="24-08-2026"/>
    <x v="0"/>
    <s v="R.M.P."/>
    <s v="RM 560"/>
    <s v="Purchase Withinstate - Raw Material"/>
    <s v="PIL1/D/1475"/>
    <s v="24-08-2026"/>
    <s v="SF"/>
    <s v="PP/PE Fabric"/>
    <s v="PP UL Fabric"/>
    <x v="1"/>
    <s v="PP UL Fabric With UV"/>
    <n v="1776"/>
    <n v="252760.32000000001"/>
    <s v="PP UL Fabric With UV"/>
    <n v="0"/>
    <n v="9"/>
    <n v="22748.43"/>
    <n v="9"/>
    <n v="22748.43"/>
    <n v="0"/>
    <n v="0"/>
    <n v="0"/>
    <n v="45496.86"/>
    <n v="0"/>
    <s v="24AAACO3087C1ZT"/>
    <s v="Kgs"/>
    <n v="39269080"/>
    <s v="Rs."/>
    <n v="1"/>
    <n v="0"/>
  </r>
  <r>
    <s v="25-08-2026"/>
    <x v="3"/>
    <s v="General Purchase"/>
    <s v="GNSP 166"/>
    <s v="Purchase Withinstate- Stores, Spares &amp; Consumable"/>
    <s v="GST/26-27/4335"/>
    <s v="17-08-2026"/>
    <s v="Stores/Spares"/>
    <s v="Stitching Spares"/>
    <s v="Spares &amp; Stores"/>
    <x v="0"/>
    <s v="Spreader, Upper For Overedge Stitching  (81507)"/>
    <n v="5"/>
    <n v="21000"/>
    <s v="Spreader, Upper For Overedge Stitching  (81507)"/>
    <n v="142390"/>
    <n v="2.5"/>
    <n v="525"/>
    <n v="2.5"/>
    <n v="525"/>
    <n v="0"/>
    <n v="0"/>
    <n v="27"/>
    <n v="1077"/>
    <n v="0"/>
    <s v="24ABAFA4683N1Z8"/>
    <s v="Pcs"/>
    <n v="84529099"/>
    <s v="Rs."/>
    <n v="1"/>
    <n v="0"/>
  </r>
  <r>
    <s v="25-08-2026"/>
    <x v="3"/>
    <s v="General Purchase"/>
    <s v="GNSP 166"/>
    <s v="Purchase Withinstate- Stores, Spares &amp; Consumable"/>
    <s v="GST/26-27/4335"/>
    <s v="17-08-2026"/>
    <s v="Stores/Spares"/>
    <s v="Stitching Spares"/>
    <s v="Spares &amp; Stores"/>
    <x v="0"/>
    <s v="Needle Holder 81356A"/>
    <n v="3"/>
    <n v="6168"/>
    <s v="Needle Holder 81356A"/>
    <n v="0"/>
    <n v="2.5"/>
    <n v="154.19999999999999"/>
    <n v="2.5"/>
    <n v="154.19999999999999"/>
    <n v="0"/>
    <n v="0"/>
    <n v="27"/>
    <n v="335.4"/>
    <n v="0"/>
    <s v="24ABAFA4683N1Z8"/>
    <s v="Pcs"/>
    <n v="84529099"/>
    <s v="Rs."/>
    <n v="1"/>
    <n v="0"/>
  </r>
  <r>
    <s v="25-08-2026"/>
    <x v="3"/>
    <s v="General Purchase"/>
    <s v="GNSP 166"/>
    <s v="Purchase Withinstate- Stores, Spares &amp; Consumable"/>
    <s v="GST/26-27/4335"/>
    <s v="17-08-2026"/>
    <s v="Stores/Spares"/>
    <s v="Hardware Items"/>
    <s v="Spares &amp; Stores"/>
    <x v="0"/>
    <s v="G 89 Screw"/>
    <n v="20"/>
    <n v="1760"/>
    <s v="G 89 Screw"/>
    <n v="0"/>
    <n v="9"/>
    <n v="158.4"/>
    <n v="9"/>
    <n v="158.4"/>
    <n v="0"/>
    <n v="0"/>
    <n v="27"/>
    <n v="343.8"/>
    <n v="0"/>
    <s v="24ABAFA4683N1Z8"/>
    <s v="Pcs"/>
    <n v="73181500"/>
    <s v="Rs."/>
    <n v="1"/>
    <n v="0"/>
  </r>
  <r>
    <s v="25-08-2026"/>
    <x v="3"/>
    <s v="General Purchase"/>
    <s v="GNSP 166"/>
    <s v="Purchase Withinstate- Stores, Spares &amp; Consumable"/>
    <s v="GST/26-27/4335"/>
    <s v="17-08-2026"/>
    <s v="Stores/Spares"/>
    <s v="Hardware Items"/>
    <s v="Spares &amp; Stores"/>
    <x v="0"/>
    <s v="Screw 22580"/>
    <n v="30"/>
    <n v="3600"/>
    <s v="Screw 22580"/>
    <n v="0"/>
    <n v="9"/>
    <n v="324"/>
    <n v="9"/>
    <n v="324"/>
    <n v="0"/>
    <n v="0"/>
    <n v="27"/>
    <n v="675"/>
    <n v="0"/>
    <s v="24ABAFA4683N1Z8"/>
    <s v="Pcs"/>
    <n v="73181500"/>
    <s v="Rs."/>
    <n v="1"/>
    <n v="0"/>
  </r>
  <r>
    <s v="25-08-2026"/>
    <x v="3"/>
    <s v="General Purchase"/>
    <s v="GNSP 166"/>
    <s v="Purchase Withinstate- Stores, Spares &amp; Consumable"/>
    <s v="GST/26-27/4335"/>
    <s v="17-08-2026"/>
    <s v="Stores/Spares"/>
    <s v="Stitching Spares"/>
    <s v="Spares &amp; Stores"/>
    <x v="0"/>
    <s v="Spreader Lever 81313 A"/>
    <n v="2"/>
    <n v="7288"/>
    <s v="Spreader Lever 81313 A"/>
    <n v="0"/>
    <n v="2.5"/>
    <n v="182.2"/>
    <n v="2.5"/>
    <n v="182.2"/>
    <n v="0"/>
    <n v="0"/>
    <n v="27"/>
    <n v="391.4"/>
    <n v="0"/>
    <s v="24ABAFA4683N1Z8"/>
    <s v="Pcs"/>
    <n v="84529099"/>
    <s v="Rs."/>
    <n v="1"/>
    <n v="0"/>
  </r>
  <r>
    <s v="25-08-2026"/>
    <x v="3"/>
    <s v="General Purchase"/>
    <s v="GNSP 166"/>
    <s v="Purchase Withinstate- Stores, Spares &amp; Consumable"/>
    <s v="GST/26-27/4335"/>
    <s v="17-08-2026"/>
    <s v="Stores/Spares"/>
    <s v="Stitching Spares"/>
    <s v="Spares &amp; Stores"/>
    <x v="0"/>
    <s v="Ball Stud 81349"/>
    <n v="5"/>
    <n v="2580"/>
    <s v="Ball Stud 81349"/>
    <n v="0"/>
    <n v="9"/>
    <n v="232.2"/>
    <n v="9"/>
    <n v="232.2"/>
    <n v="0"/>
    <n v="0"/>
    <n v="27"/>
    <n v="491.4"/>
    <n v="0"/>
    <s v="24ABAFA4683N1Z8"/>
    <s v="Pcs"/>
    <n v="84529099"/>
    <s v="Rs."/>
    <n v="1"/>
    <n v="0"/>
  </r>
  <r>
    <s v="25-08-2026"/>
    <x v="3"/>
    <s v="General Purchase"/>
    <s v="GNSP 166"/>
    <s v="Purchase Withinstate- Stores, Spares &amp; Consumable"/>
    <s v="GST/26-27/4335"/>
    <s v="17-08-2026"/>
    <s v="Stores/Spares"/>
    <s v="Stitching Spares"/>
    <s v="Spares &amp; Stores"/>
    <x v="0"/>
    <s v="Feed Dog # 603632 Dr"/>
    <n v="10"/>
    <n v="3720"/>
    <s v="Feed Dog # 603632 Dr"/>
    <n v="0"/>
    <n v="2.5"/>
    <n v="93"/>
    <n v="2.5"/>
    <n v="93"/>
    <n v="0"/>
    <n v="0"/>
    <n v="27"/>
    <n v="213"/>
    <n v="0"/>
    <s v="24ABAFA4683N1Z8"/>
    <s v="Pcs"/>
    <n v="84529099"/>
    <s v="Rs."/>
    <n v="1"/>
    <n v="0"/>
  </r>
  <r>
    <s v="25-08-2026"/>
    <x v="3"/>
    <s v="General Purchase"/>
    <s v="GNSP 166"/>
    <s v="Purchase Withinstate- Stores, Spares &amp; Consumable"/>
    <s v="GST/26-27/4335"/>
    <s v="17-08-2026"/>
    <s v="Stores/Spares"/>
    <s v="Stitching Spares"/>
    <s v="Spares &amp; Stores"/>
    <x v="0"/>
    <s v="Set Screw 22894Y"/>
    <n v="30"/>
    <n v="2400"/>
    <s v="Set Screw 22894Y"/>
    <n v="0"/>
    <n v="9"/>
    <n v="216"/>
    <n v="9"/>
    <n v="216"/>
    <n v="0"/>
    <n v="0"/>
    <n v="27"/>
    <n v="459"/>
    <n v="0"/>
    <s v="24ABAFA4683N1Z8"/>
    <s v="Pcs"/>
    <n v="84529099"/>
    <s v="Rs."/>
    <n v="1"/>
    <n v="0"/>
  </r>
  <r>
    <s v="25-08-2026"/>
    <x v="3"/>
    <s v="General Purchase"/>
    <s v="GNSP 166"/>
    <s v="Purchase Withinstate- Stores, Spares &amp; Consumable"/>
    <s v="GST/26-27/4335"/>
    <s v="17-08-2026"/>
    <s v="Stores/Spares"/>
    <s v="Stitching Spares"/>
    <s v="Spares &amp; Stores"/>
    <x v="0"/>
    <s v="Washer 69H"/>
    <n v="20"/>
    <n v="1920"/>
    <s v="Washer 69H"/>
    <n v="0"/>
    <n v="2.5"/>
    <n v="48"/>
    <n v="2.5"/>
    <n v="48"/>
    <n v="0"/>
    <n v="0"/>
    <n v="27"/>
    <n v="123"/>
    <n v="0"/>
    <s v="24ABAFA4683N1Z8"/>
    <s v="Pcs"/>
    <n v="845210"/>
    <s v="Rs."/>
    <n v="1"/>
    <n v="0"/>
  </r>
  <r>
    <s v="25-08-2026"/>
    <x v="3"/>
    <s v="General Purchase"/>
    <s v="GNSP 166"/>
    <s v="Purchase Withinstate- Stores, Spares &amp; Consumable"/>
    <s v="GST/26-27/4335"/>
    <s v="17-08-2026"/>
    <s v="Stores/Spares"/>
    <s v="Stitching Spares"/>
    <s v="Spares &amp; Stores"/>
    <x v="0"/>
    <s v="Nut 9936"/>
    <n v="16"/>
    <n v="6016"/>
    <s v="Nut 9936"/>
    <n v="0"/>
    <n v="2.5"/>
    <n v="150.4"/>
    <n v="2.5"/>
    <n v="150.4"/>
    <n v="0"/>
    <n v="0"/>
    <n v="27"/>
    <n v="327.8"/>
    <n v="0"/>
    <s v="24ABAFA4683N1Z8"/>
    <s v="Pcs"/>
    <n v="73181500"/>
    <s v="Rs."/>
    <n v="1"/>
    <n v="0"/>
  </r>
  <r>
    <s v="25-08-2026"/>
    <x v="3"/>
    <s v="General Purchase"/>
    <s v="GNSP 166"/>
    <s v="Purchase Withinstate- Stores, Spares &amp; Consumable"/>
    <s v="GST/26-27/4335"/>
    <s v="17-08-2026"/>
    <s v="Stores/Spares"/>
    <s v="Stitching Spares"/>
    <s v="Spares &amp; Stores"/>
    <x v="0"/>
    <s v="G15442P        Boll Joint Assembly"/>
    <n v="5"/>
    <n v="34440"/>
    <s v="G15442P        Boll Joint Assembly"/>
    <n v="0"/>
    <n v="2.5"/>
    <n v="861"/>
    <n v="2.5"/>
    <n v="861"/>
    <n v="0"/>
    <n v="0"/>
    <n v="27"/>
    <n v="1749"/>
    <n v="0"/>
    <s v="24ABAFA4683N1Z8"/>
    <s v="Pcs"/>
    <n v="84529099"/>
    <s v="Rs."/>
    <n v="1"/>
    <n v="0"/>
  </r>
  <r>
    <s v="25-08-2026"/>
    <x v="3"/>
    <s v="General Purchase"/>
    <s v="GNSP 166"/>
    <s v="Purchase Withinstate- Stores, Spares &amp; Consumable"/>
    <s v="GST/26-27/4335"/>
    <s v="17-08-2026"/>
    <s v="Stores/Spares"/>
    <s v="Stitching Spares"/>
    <s v="Spares &amp; Stores"/>
    <x v="0"/>
    <s v="Cross Looper Lever 81313B"/>
    <n v="10"/>
    <n v="17760"/>
    <s v="Cross Looper Lever 81313B"/>
    <n v="0"/>
    <n v="2.5"/>
    <n v="444"/>
    <n v="2.5"/>
    <n v="444"/>
    <n v="0"/>
    <n v="0"/>
    <n v="27"/>
    <n v="915"/>
    <n v="0"/>
    <s v="24ABAFA4683N1Z8"/>
    <s v="Pcs"/>
    <n v="84522900"/>
    <s v="Rs."/>
    <n v="1"/>
    <n v="0"/>
  </r>
  <r>
    <s v="25-08-2026"/>
    <x v="3"/>
    <s v="General Purchase"/>
    <s v="GNSP 166"/>
    <s v="Purchase Withinstate- Stores, Spares &amp; Consumable"/>
    <s v="GST/26-27/4335"/>
    <s v="17-08-2026"/>
    <s v="Stores/Spares"/>
    <s v="Hardware Items"/>
    <s v="Spares &amp; Stores"/>
    <x v="0"/>
    <s v="Bolt Stud 11354"/>
    <n v="10"/>
    <n v="4920"/>
    <s v="Bolt Stud 11354"/>
    <n v="0"/>
    <n v="9"/>
    <n v="442.8"/>
    <n v="9"/>
    <n v="442.8"/>
    <n v="0"/>
    <n v="0"/>
    <n v="27"/>
    <n v="912.6"/>
    <n v="0"/>
    <s v="24ABAFA4683N1Z8"/>
    <s v="Pcs"/>
    <n v="845290"/>
    <s v="Rs."/>
    <n v="1"/>
    <n v="0"/>
  </r>
  <r>
    <s v="25-08-2026"/>
    <x v="3"/>
    <s v="General Purchase"/>
    <s v="GNSP 166"/>
    <s v="Purchase Withinstate- Stores, Spares &amp; Consumable"/>
    <s v="GST/26-27/4335"/>
    <s v="17-08-2026"/>
    <s v="Stores/Spares"/>
    <s v="Stitching Spares"/>
    <s v="Spares &amp; Stores"/>
    <x v="0"/>
    <s v="Lower Looper 81311B"/>
    <n v="5"/>
    <n v="6080"/>
    <s v="Lower Looper 81311B"/>
    <n v="0"/>
    <n v="2.5"/>
    <n v="152"/>
    <n v="2.5"/>
    <n v="152"/>
    <n v="0"/>
    <n v="0"/>
    <n v="27"/>
    <n v="331"/>
    <n v="0"/>
    <s v="24ABAFA4683N1Z8"/>
    <s v="Pcs"/>
    <n v="84529099"/>
    <s v="Rs."/>
    <n v="1"/>
    <n v="0"/>
  </r>
  <r>
    <s v="25-08-2026"/>
    <x v="3"/>
    <s v="General Purchase"/>
    <s v="GNSP 166"/>
    <s v="Purchase Withinstate- Stores, Spares &amp; Consumable"/>
    <s v="GST/26-27/4335"/>
    <s v="17-08-2026"/>
    <s v="Stores/Spares"/>
    <s v="Stitching Spares"/>
    <s v="Spares &amp; Stores"/>
    <x v="0"/>
    <s v="Guide Link # 80732"/>
    <n v="5"/>
    <n v="13900"/>
    <s v="Guide Link # 80732"/>
    <n v="0"/>
    <n v="2.5"/>
    <n v="347.5"/>
    <n v="2.5"/>
    <n v="347.5"/>
    <n v="0"/>
    <n v="0"/>
    <n v="27"/>
    <n v="722"/>
    <n v="0"/>
    <s v="24ABAFA4683N1Z8"/>
    <s v="Pcs"/>
    <n v="84529099"/>
    <s v="Rs."/>
    <n v="1"/>
    <n v="0"/>
  </r>
  <r>
    <s v="25-08-2026"/>
    <x v="18"/>
    <s v="General Purchase"/>
    <s v="GNCN 377"/>
    <s v="Purchase Withinstate- Stores, Spares &amp; Consumable"/>
    <n v="1375"/>
    <d v="2026-10-08T00:00:00"/>
    <s v="Consumables"/>
    <s v="Rubber/Polymer Stereo"/>
    <s v="Spares &amp; Stores"/>
    <x v="0"/>
    <s v="Polymer Stereo"/>
    <n v="324"/>
    <n v="372.6"/>
    <s v="Polymer Stereo"/>
    <n v="440"/>
    <n v="9"/>
    <n v="33.53"/>
    <n v="9"/>
    <n v="33.53"/>
    <n v="0"/>
    <n v="0"/>
    <n v="0"/>
    <n v="67.06"/>
    <n v="0"/>
    <s v="24ALEPC4203C1Z3"/>
    <s v="CMS"/>
    <n v="37013000"/>
    <s v="Rs."/>
    <n v="1"/>
    <n v="0"/>
  </r>
  <r>
    <s v="25-08-2026"/>
    <x v="18"/>
    <s v="General Purchase"/>
    <s v="GNCN 378"/>
    <s v="Purchase Withinstate- Stores, Spares &amp; Consumable"/>
    <n v="1360"/>
    <d v="2026-07-08T00:00:00"/>
    <s v="Consumables"/>
    <s v="Rubber/Polymer Stereo"/>
    <s v="Spares &amp; Stores"/>
    <x v="0"/>
    <s v="Polymer Stereo"/>
    <n v="2835"/>
    <n v="3260.25"/>
    <s v="Polymer Stereo"/>
    <n v="3847"/>
    <n v="9"/>
    <n v="293.42"/>
    <n v="9"/>
    <n v="293.42"/>
    <n v="0"/>
    <n v="0"/>
    <n v="0"/>
    <n v="586.84"/>
    <n v="0"/>
    <s v="24ALEPC4203C1Z3"/>
    <s v="CMS"/>
    <n v="37013000"/>
    <s v="Rs."/>
    <n v="1"/>
    <n v="0"/>
  </r>
  <r>
    <s v="25-08-2026"/>
    <x v="19"/>
    <s v="R.M.P."/>
    <s v="RM 561"/>
    <s v="Purchase Withinstate - Traded Goods"/>
    <s v="KPV/D/662"/>
    <s v="24-08-2026"/>
    <s v="FG"/>
    <s v="FIBC Bags"/>
    <s v="FIBC Bags"/>
    <x v="5"/>
    <s v="FIBC Bags With UV Without Liner"/>
    <n v="3186"/>
    <n v="1655827.92"/>
    <s v="FIBC Bags With UV Without Liner"/>
    <n v="5383514.8300000001"/>
    <n v="9"/>
    <n v="149024.51"/>
    <n v="9"/>
    <n v="149024.51"/>
    <n v="0"/>
    <n v="0"/>
    <n v="0"/>
    <n v="298049.02"/>
    <n v="0"/>
    <s v="24AAECK6307M1ZF"/>
    <s v="Kgs"/>
    <n v="63053200"/>
    <s v="Rs."/>
    <n v="1"/>
    <n v="0"/>
  </r>
  <r>
    <s v="25-08-2026"/>
    <x v="19"/>
    <s v="R.M.P."/>
    <s v="RM 561"/>
    <s v="Purchase Withinstate - Traded Goods"/>
    <s v="KPV/D/662"/>
    <s v="24-08-2026"/>
    <s v="FG"/>
    <s v="FIBC Bags"/>
    <s v="FIBC Bags"/>
    <x v="5"/>
    <s v="FIBC Bags With UV Without Liner"/>
    <n v="1617"/>
    <n v="318015.39"/>
    <s v="FIBC Bags With UV Without Liner"/>
    <n v="0"/>
    <n v="9"/>
    <n v="28621.39"/>
    <n v="9"/>
    <n v="28621.39"/>
    <n v="0"/>
    <n v="0"/>
    <n v="0"/>
    <n v="57242.78"/>
    <n v="0"/>
    <s v="24AAECK6307M1ZF"/>
    <s v="Kgs"/>
    <n v="63053200"/>
    <s v="Rs."/>
    <n v="1"/>
    <n v="0"/>
  </r>
  <r>
    <s v="25-08-2026"/>
    <x v="19"/>
    <s v="R.M.P."/>
    <s v="RM 561"/>
    <s v="Purchase Withinstate - Traded Goods"/>
    <s v="KPV/D/662"/>
    <s v="24-08-2026"/>
    <s v="FG"/>
    <s v="FIBC Bags"/>
    <s v="FIBC Bags"/>
    <x v="5"/>
    <s v="FIBC Bags With UV Without Liner"/>
    <n v="4989.7"/>
    <n v="1101426.3799999999"/>
    <s v="FIBC Bags With UV Without Liner"/>
    <n v="0"/>
    <n v="9"/>
    <n v="99128.37"/>
    <n v="9"/>
    <n v="99128.37"/>
    <n v="0"/>
    <n v="0"/>
    <n v="0"/>
    <n v="198256.74"/>
    <n v="0"/>
    <s v="24AAECK6307M1ZF"/>
    <s v="Kgs"/>
    <n v="63053200"/>
    <s v="Rs."/>
    <n v="1"/>
    <n v="0"/>
  </r>
  <r>
    <s v="25-08-2026"/>
    <x v="19"/>
    <s v="R.M.P."/>
    <s v="RM 561"/>
    <s v="Purchase Withinstate - Traded Goods"/>
    <s v="KPV/D/662"/>
    <s v="24-08-2026"/>
    <s v="FG"/>
    <s v="FIBC Bags"/>
    <s v="FIBC Bags"/>
    <x v="5"/>
    <s v="FIBC Bags With UV Without Liner"/>
    <n v="863"/>
    <n v="166343.25"/>
    <s v="FIBC Bags With UV Without Liner"/>
    <n v="0"/>
    <n v="9"/>
    <n v="14970.89"/>
    <n v="9"/>
    <n v="14970.89"/>
    <n v="0"/>
    <n v="0"/>
    <n v="0"/>
    <n v="29941.78"/>
    <n v="0"/>
    <s v="24AAECK6307M1ZF"/>
    <s v="Kgs"/>
    <n v="63053200"/>
    <s v="Rs."/>
    <n v="1"/>
    <n v="0"/>
  </r>
  <r>
    <s v="25-08-2026"/>
    <x v="19"/>
    <s v="R.M.P."/>
    <s v="RM 561"/>
    <s v="Purchase Withinstate - Traded Goods"/>
    <s v="KPV/D/662"/>
    <s v="24-08-2026"/>
    <s v="FG"/>
    <s v="FIBC Bags"/>
    <s v="FIBC Bags"/>
    <x v="5"/>
    <s v="FIBC Bags With UV Without Liner"/>
    <n v="4891.3999999999996"/>
    <n v="940029.25"/>
    <s v="FIBC Bags With UV Without Liner"/>
    <n v="0"/>
    <n v="9"/>
    <n v="84602.63"/>
    <n v="9"/>
    <n v="84602.63"/>
    <n v="0"/>
    <n v="0"/>
    <n v="0"/>
    <n v="169205.26"/>
    <n v="0"/>
    <s v="24AAECK6307M1ZF"/>
    <s v="Kgs"/>
    <n v="63053200"/>
    <s v="Rs."/>
    <n v="1"/>
    <n v="0"/>
  </r>
  <r>
    <s v="25-08-2026"/>
    <x v="19"/>
    <s v="R.M.P."/>
    <s v="RM 561"/>
    <s v="Purchase Withinstate - Traded Goods"/>
    <s v="KPV/D/662"/>
    <s v="24-08-2026"/>
    <s v="FG"/>
    <s v="FIBC Bags"/>
    <s v="FIBC Bags"/>
    <x v="5"/>
    <s v="FIBC Bags With UV Without Liner"/>
    <n v="2023.3"/>
    <n v="384528.17"/>
    <s v="FIBC Bags With UV Without Liner"/>
    <n v="0"/>
    <n v="9"/>
    <n v="34607.53"/>
    <n v="9"/>
    <n v="34607.53"/>
    <n v="0"/>
    <n v="0"/>
    <n v="0"/>
    <n v="69215.06"/>
    <n v="0"/>
    <s v="24AAECK6307M1ZF"/>
    <s v="Kgs"/>
    <n v="63053200"/>
    <s v="Rs."/>
    <n v="1"/>
    <n v="0"/>
  </r>
  <r>
    <s v="25-08-2026"/>
    <x v="39"/>
    <s v="Purchase"/>
    <s v="GNPK 85"/>
    <s v="Purchase Withinstate- Packing Material"/>
    <n v="786"/>
    <s v="25-08-2026"/>
    <s v="Packing Material"/>
    <s v="Pallets"/>
    <s v="Packing Material"/>
    <x v="8"/>
    <s v="Wooden Pallet Flate Size 85X105Cm"/>
    <n v="250"/>
    <n v="132500"/>
    <s v="Wooden Pallet Flate Size 85X105Cm"/>
    <n v="227850"/>
    <n v="2.5"/>
    <n v="3312.5"/>
    <n v="2.5"/>
    <n v="3312.5"/>
    <n v="0"/>
    <n v="0"/>
    <n v="0"/>
    <n v="6625"/>
    <n v="0"/>
    <s v="24AHSPM8569R1Z0"/>
    <s v="Pcs"/>
    <n v="44152000"/>
    <s v="Rs."/>
    <n v="1"/>
    <n v="0"/>
  </r>
  <r>
    <s v="25-08-2026"/>
    <x v="39"/>
    <s v="Purchase"/>
    <s v="GNPK 85"/>
    <s v="Purchase Withinstate- Packing Material"/>
    <n v="786"/>
    <s v="25-08-2026"/>
    <s v="Packing Material"/>
    <s v="Pallets"/>
    <s v="Pallets"/>
    <x v="8"/>
    <s v="Pine Wooden Pallet Design Code STD90110"/>
    <n v="100"/>
    <n v="84500"/>
    <s v="Pine Wooden Pallet Design Code STD90110"/>
    <n v="0"/>
    <n v="2.5"/>
    <n v="2112.5"/>
    <n v="2.5"/>
    <n v="2112.5"/>
    <n v="0"/>
    <n v="0"/>
    <n v="0"/>
    <n v="4225"/>
    <n v="0"/>
    <s v="24AHSPM8569R1Z0"/>
    <s v="Pcs"/>
    <n v="44152000"/>
    <s v="Rs."/>
    <n v="1"/>
    <n v="0"/>
  </r>
  <r>
    <s v="25-08-2026"/>
    <x v="0"/>
    <s v="General Purchase"/>
    <s v="GNCN 379"/>
    <s v="Purchase Withinstate- Stores, Spares &amp; Consumable"/>
    <s v="PIL1/D/1482"/>
    <s v="25-08-2026"/>
    <s v="Stores/Spares"/>
    <s v="MS Structure Items"/>
    <s v="Spares &amp; Stores"/>
    <x v="0"/>
    <s v="MS Pipe 4  C Class"/>
    <n v="327"/>
    <n v="15696"/>
    <s v="MS Pipe 4  C Class"/>
    <n v="18505.580000000002"/>
    <n v="9"/>
    <n v="1412.64"/>
    <n v="9"/>
    <n v="1412.64"/>
    <n v="0"/>
    <n v="0"/>
    <n v="0"/>
    <n v="2825.28"/>
    <n v="0"/>
    <s v="24AAACO3087C1ZT"/>
    <s v="Kgs"/>
    <n v="73063090"/>
    <s v="Rs."/>
    <n v="1"/>
    <n v="0"/>
  </r>
  <r>
    <s v="25-08-2026"/>
    <x v="0"/>
    <s v="R.M.P."/>
    <s v="RM 562"/>
    <s v="Purchase Withinstate - Raw Material"/>
    <s v="PIL1/D/1481"/>
    <s v="25-08-2026"/>
    <s v="SF"/>
    <s v="PP/PE Fabric"/>
    <s v="PP UL Fabric"/>
    <x v="1"/>
    <s v="PP UL Fabric With UV"/>
    <n v="1237"/>
    <n v="179760.84"/>
    <s v="PP UL Fabric With UV"/>
    <n v="1534988.26"/>
    <n v="9"/>
    <n v="16178.48"/>
    <n v="9"/>
    <n v="16178.48"/>
    <n v="0"/>
    <n v="0"/>
    <n v="0"/>
    <n v="32356.959999999999"/>
    <n v="0"/>
    <s v="24AAACO3087C1ZT"/>
    <s v="Kgs"/>
    <n v="39269080"/>
    <s v="Rs."/>
    <n v="1"/>
    <n v="0"/>
  </r>
  <r>
    <s v="25-08-2026"/>
    <x v="0"/>
    <s v="R.M.P."/>
    <s v="RM 562"/>
    <s v="Purchase Withinstate - Raw Material"/>
    <s v="PIL1/D/1481"/>
    <s v="25-08-2026"/>
    <s v="SF"/>
    <s v="PP/PE Fabric"/>
    <s v="PP UL Fabric"/>
    <x v="1"/>
    <s v="PP UL Fabric With UV"/>
    <n v="705"/>
    <n v="101745.60000000001"/>
    <s v="PP UL Fabric With UV"/>
    <n v="0"/>
    <n v="9"/>
    <n v="9157.1"/>
    <n v="9"/>
    <n v="9157.1"/>
    <n v="0"/>
    <n v="0"/>
    <n v="0"/>
    <n v="18314.2"/>
    <n v="0"/>
    <s v="24AAACO3087C1ZT"/>
    <s v="Kgs"/>
    <n v="39269080"/>
    <s v="Rs."/>
    <n v="1"/>
    <n v="0"/>
  </r>
  <r>
    <s v="25-08-2026"/>
    <x v="0"/>
    <s v="R.M.P."/>
    <s v="RM 562"/>
    <s v="Purchase Withinstate - Raw Material"/>
    <s v="PIL1/D/1481"/>
    <s v="25-08-2026"/>
    <s v="SF"/>
    <s v="PP/PE Fabric"/>
    <s v="PP UL Fabric"/>
    <x v="1"/>
    <s v="PP UL Fabric With UV"/>
    <n v="7170"/>
    <n v="1020434.4"/>
    <s v="PP UL Fabric With UV"/>
    <n v="0"/>
    <n v="9"/>
    <n v="91839.1"/>
    <n v="9"/>
    <n v="91839.1"/>
    <n v="0"/>
    <n v="0"/>
    <n v="0"/>
    <n v="183678.2"/>
    <n v="0"/>
    <s v="24AAACO3087C1ZT"/>
    <s v="Kgs"/>
    <n v="39269080"/>
    <s v="Rs."/>
    <n v="1"/>
    <n v="0"/>
  </r>
  <r>
    <s v="25-08-2026"/>
    <x v="0"/>
    <s v="R.M.P."/>
    <s v="RM 563"/>
    <s v="Purchase Withinstate - Raw Material"/>
    <s v="PIL1/D/1484"/>
    <s v="25-08-2026"/>
    <s v="SF"/>
    <s v="Liners"/>
    <s v="LDPE/LLDPE Bags"/>
    <x v="4"/>
    <s v="LDPE/LLDPE Bags/Liner"/>
    <n v="235"/>
    <n v="43442.1"/>
    <s v="LDPE/LLDPE Bags/Liner"/>
    <n v="266605.27"/>
    <n v="9"/>
    <n v="3909.79"/>
    <n v="9"/>
    <n v="3909.79"/>
    <n v="0"/>
    <n v="0"/>
    <n v="0"/>
    <n v="7819.58"/>
    <n v="0"/>
    <s v="24AAACO3087C1ZT"/>
    <s v="Kgs"/>
    <n v="39200000"/>
    <s v="Rs."/>
    <n v="1"/>
    <n v="0"/>
  </r>
  <r>
    <s v="25-08-2026"/>
    <x v="0"/>
    <s v="R.M.P."/>
    <s v="RM 563"/>
    <s v="Purchase Withinstate - Raw Material"/>
    <s v="PIL1/D/1484"/>
    <s v="25-08-2026"/>
    <s v="SF"/>
    <s v="Liners"/>
    <s v="LDPE/LLDPE Bags"/>
    <x v="4"/>
    <s v="LDPE/LLDPE Bags/Liner"/>
    <n v="763"/>
    <n v="137233.18"/>
    <s v="LDPE/LLDPE Bags/Liner"/>
    <n v="0"/>
    <n v="9"/>
    <n v="12350.99"/>
    <n v="9"/>
    <n v="12350.99"/>
    <n v="0"/>
    <n v="0"/>
    <n v="0"/>
    <n v="24701.98"/>
    <n v="0"/>
    <s v="24AAACO3087C1ZT"/>
    <s v="Kgs"/>
    <n v="39200000"/>
    <s v="Rs."/>
    <n v="1"/>
    <n v="0"/>
  </r>
  <r>
    <s v="25-08-2026"/>
    <x v="0"/>
    <s v="R.M.P."/>
    <s v="RM 563"/>
    <s v="Purchase Withinstate - Raw Material"/>
    <s v="PIL1/D/1484"/>
    <s v="25-08-2026"/>
    <s v="SF"/>
    <s v="Liners"/>
    <s v="LDPE/LLDPE Bags"/>
    <x v="4"/>
    <s v="LDPE/LLDPE Bags/Liner"/>
    <n v="257"/>
    <n v="45453.02"/>
    <s v="LDPE/LLDPE Bags/Liner"/>
    <n v="0"/>
    <n v="9"/>
    <n v="4090.77"/>
    <n v="9"/>
    <n v="4090.77"/>
    <n v="0"/>
    <n v="0"/>
    <n v="0"/>
    <n v="8181.54"/>
    <n v="0"/>
    <s v="24AAACO3087C1ZT"/>
    <s v="Kgs"/>
    <n v="39200000"/>
    <s v="Rs."/>
    <n v="1"/>
    <n v="0"/>
  </r>
  <r>
    <s v="25-08-2026"/>
    <x v="0"/>
    <s v="R.M.P."/>
    <s v="RM 564"/>
    <s v="Purchase Withinstate - Raw Material"/>
    <s v="PIL1/D/1485"/>
    <s v="25-08-2026"/>
    <s v="SF"/>
    <s v="Webbing"/>
    <s v="PP Webbing"/>
    <x v="2"/>
    <s v="Webbing"/>
    <n v="17.3"/>
    <n v="2911.94"/>
    <s v="Webbing"/>
    <n v="992726.72"/>
    <n v="9"/>
    <n v="262.07"/>
    <n v="9"/>
    <n v="262.07"/>
    <n v="0"/>
    <n v="0"/>
    <n v="0"/>
    <n v="524.14"/>
    <n v="0"/>
    <s v="24AAACO3087C1ZT"/>
    <s v="Kgs"/>
    <n v="3926908"/>
    <s v="Rs."/>
    <n v="1"/>
    <n v="0"/>
  </r>
  <r>
    <s v="25-08-2026"/>
    <x v="0"/>
    <s v="R.M.P."/>
    <s v="RM 564"/>
    <s v="Purchase Withinstate - Raw Material"/>
    <s v="PIL1/D/1485"/>
    <s v="25-08-2026"/>
    <s v="SF"/>
    <s v="Webbing"/>
    <s v="PP Webbing"/>
    <x v="2"/>
    <s v="Webbing"/>
    <n v="1281.7"/>
    <n v="188820.04"/>
    <s v="Webbing"/>
    <n v="0"/>
    <n v="9"/>
    <n v="16993.8"/>
    <n v="9"/>
    <n v="16993.8"/>
    <n v="0"/>
    <n v="0"/>
    <n v="0"/>
    <n v="33987.599999999999"/>
    <n v="0"/>
    <s v="24AAACO3087C1ZT"/>
    <s v="Kgs"/>
    <n v="3926908"/>
    <s v="Rs."/>
    <n v="1"/>
    <n v="0"/>
  </r>
  <r>
    <s v="25-08-2026"/>
    <x v="0"/>
    <s v="R.M.P."/>
    <s v="RM 564"/>
    <s v="Purchase Withinstate - Raw Material"/>
    <s v="PIL1/D/1485"/>
    <s v="25-08-2026"/>
    <s v="SF"/>
    <s v="Webbing"/>
    <s v="PP Webbing"/>
    <x v="2"/>
    <s v="Webbing"/>
    <n v="243.6"/>
    <n v="35156.35"/>
    <s v="Webbing"/>
    <n v="0"/>
    <n v="9"/>
    <n v="3164.07"/>
    <n v="9"/>
    <n v="3164.07"/>
    <n v="0"/>
    <n v="0"/>
    <n v="0"/>
    <n v="6328.14"/>
    <n v="0"/>
    <s v="24AAACO3087C1ZT"/>
    <s v="Kgs"/>
    <n v="3926908"/>
    <s v="Rs."/>
    <n v="1"/>
    <n v="0"/>
  </r>
  <r>
    <s v="25-08-2026"/>
    <x v="0"/>
    <s v="R.M.P."/>
    <s v="RM 564"/>
    <s v="Purchase Withinstate - Raw Material"/>
    <s v="PIL1/D/1485"/>
    <s v="25-08-2026"/>
    <s v="SF"/>
    <s v="Liners"/>
    <s v="LDPE/LLDPE Bags"/>
    <x v="4"/>
    <s v="LDPE/LLDPE Bags/Liner"/>
    <n v="3478"/>
    <n v="615119.07999999996"/>
    <s v="LDPE/LLDPE Bags/Liner"/>
    <n v="0"/>
    <n v="9"/>
    <n v="55360.72"/>
    <n v="9"/>
    <n v="55360.72"/>
    <n v="0"/>
    <n v="0"/>
    <n v="0"/>
    <n v="110721.44"/>
    <n v="0"/>
    <s v="24AAACO3087C1ZT"/>
    <s v="Kgs"/>
    <n v="39200000"/>
    <s v="Rs."/>
    <n v="1"/>
    <n v="0"/>
  </r>
  <r>
    <s v="25-08-2026"/>
    <x v="22"/>
    <s v="General Purchase"/>
    <s v="GNCN 375"/>
    <s v="Purchase Withinstate- Stores, Spares &amp; Consumable"/>
    <n v="1862"/>
    <d v="2026-07-08T00:00:00"/>
    <s v="Consumables"/>
    <s v="Rubber/Polymer Stereo"/>
    <s v="Spares &amp; Stores"/>
    <x v="0"/>
    <s v="Rubber Stereo"/>
    <n v="27494"/>
    <n v="9622.9"/>
    <s v="Rubber Stereo"/>
    <n v="11355"/>
    <n v="9"/>
    <n v="866.06"/>
    <n v="9"/>
    <n v="866.06"/>
    <n v="0"/>
    <n v="0"/>
    <n v="0"/>
    <n v="1732.12"/>
    <n v="0"/>
    <s v="24AHDPC2510M1ZU"/>
    <s v="Pcs"/>
    <n v="400200"/>
    <s v="Rs."/>
    <n v="1"/>
    <n v="0"/>
  </r>
  <r>
    <s v="25-08-2026"/>
    <x v="22"/>
    <s v="General Purchase"/>
    <s v="GNCN 376"/>
    <s v="Purchase Withinstate- Stores, Spares &amp; Consumable"/>
    <n v="1902"/>
    <d v="2026-10-08T00:00:00"/>
    <s v="Consumables"/>
    <s v="Rubber/Polymer Stereo"/>
    <s v="Spares &amp; Stores"/>
    <x v="0"/>
    <s v="Rubber Stereo"/>
    <n v="2863"/>
    <n v="1002.05"/>
    <s v="Rubber Stereo"/>
    <n v="1182"/>
    <n v="9"/>
    <n v="90.18"/>
    <n v="9"/>
    <n v="90.18"/>
    <n v="0"/>
    <n v="0"/>
    <n v="0"/>
    <n v="180.36"/>
    <n v="0"/>
    <s v="24AHDPC2510M1ZU"/>
    <s v="Pcs"/>
    <n v="400200"/>
    <s v="Rs."/>
    <n v="1"/>
    <n v="0"/>
  </r>
  <r>
    <s v="25-08-2026"/>
    <x v="23"/>
    <s v="General Purchase"/>
    <s v="GNCN 373"/>
    <s v="Purchase Withinstate- Stores, Spares &amp; Consumable"/>
    <n v="9696"/>
    <d v="2026-08-08T00:00:00"/>
    <s v="Consumables"/>
    <s v="Rubber/Polymer Stereo"/>
    <s v="Spares &amp; Stores"/>
    <x v="0"/>
    <s v="Polymer Stereo"/>
    <n v="16243.48"/>
    <n v="18680"/>
    <s v="Polymer Stereo"/>
    <n v="22042.400000000001"/>
    <n v="9"/>
    <n v="1681.2"/>
    <n v="9"/>
    <n v="1681.2"/>
    <n v="0"/>
    <n v="0"/>
    <n v="0"/>
    <n v="3362.4"/>
    <n v="0"/>
    <s v="24AARFT4204A1ZK"/>
    <s v="CMS"/>
    <n v="37013000"/>
    <s v="Rs."/>
    <n v="1"/>
    <n v="0"/>
  </r>
  <r>
    <s v="25-08-2026"/>
    <x v="23"/>
    <s v="General Purchase"/>
    <s v="GNCN 374"/>
    <s v="Purchase Withinstate- Stores, Spares &amp; Consumable"/>
    <n v="9710"/>
    <d v="2026-10-08T00:00:00"/>
    <s v="Consumables"/>
    <s v="Rubber/Polymer Stereo"/>
    <s v="Spares &amp; Stores"/>
    <x v="0"/>
    <s v="Polymer Stereo"/>
    <n v="9227.8799999999992"/>
    <n v="10612.06"/>
    <s v="Polymer Stereo"/>
    <n v="12522.23"/>
    <n v="9"/>
    <n v="955.09"/>
    <n v="9"/>
    <n v="955.09"/>
    <n v="0"/>
    <n v="0"/>
    <n v="0"/>
    <n v="1910.18"/>
    <n v="0"/>
    <s v="24AARFT4204A1ZK"/>
    <s v="CMS"/>
    <n v="37013000"/>
    <s v="Rs."/>
    <n v="1"/>
    <n v="0"/>
  </r>
  <r>
    <s v="26-08-2026"/>
    <x v="19"/>
    <s v="R.M.P."/>
    <s v="RM 565"/>
    <s v="Purchase Withinstate - Traded Goods"/>
    <s v="KPV/D/669"/>
    <s v="25-08-2026"/>
    <s v="FG"/>
    <s v="FIBC Bags"/>
    <s v="FIBC Bags"/>
    <x v="5"/>
    <s v="FIBC Bags With UV Without Liner"/>
    <n v="7005.6"/>
    <n v="1231794.6499999999"/>
    <s v="FIBC Bags With UV Without Liner"/>
    <n v="1452285.9"/>
    <n v="9"/>
    <n v="110861.52"/>
    <n v="9"/>
    <n v="110861.52"/>
    <n v="0"/>
    <n v="0"/>
    <n v="0"/>
    <n v="221723.04"/>
    <n v="0"/>
    <s v="24AAECK6307M1ZF"/>
    <s v="Kgs"/>
    <n v="63053200"/>
    <s v="Rs."/>
    <n v="1"/>
    <n v="0"/>
  </r>
  <r>
    <s v="26-08-2026"/>
    <x v="40"/>
    <s v="General Purchase"/>
    <s v="GNSP 167"/>
    <s v="Purchase Withinstate- Stores, Spares &amp; Consumable"/>
    <s v="2026-27/125"/>
    <s v="21-08-2026"/>
    <s v="Stores/Spares"/>
    <s v="Needles"/>
    <s v="Spares &amp; Stores"/>
    <x v="0"/>
    <s v="Needle No 28"/>
    <n v="300"/>
    <n v="28500"/>
    <s v="Needle No 28"/>
    <n v="30083"/>
    <n v="2.5"/>
    <n v="712.5"/>
    <n v="2.5"/>
    <n v="712.5"/>
    <n v="0"/>
    <n v="0"/>
    <n v="7.5"/>
    <n v="1432.5"/>
    <n v="0"/>
    <s v="24ARUPP0806G1ZP"/>
    <s v="Pcs"/>
    <n v="73191020"/>
    <s v="Rs."/>
    <n v="1"/>
    <n v="0"/>
  </r>
  <r>
    <s v="26-08-2026"/>
    <x v="25"/>
    <s v="General Purchase"/>
    <s v="GNSP 168"/>
    <s v="Purchase Withinstate- Stores, Spares &amp; Consumable"/>
    <n v="1561"/>
    <s v="21-08-2026"/>
    <s v="Stores/Spares"/>
    <s v="Hardware Items"/>
    <s v="Spares &amp; Stores"/>
    <x v="0"/>
    <s v="Drill Bit Hss Size :- 8.5 mm"/>
    <n v="2"/>
    <n v="459.95"/>
    <s v="Drill Bit Hss Size :- 8.5 mm"/>
    <n v="8538"/>
    <n v="9"/>
    <n v="41.4"/>
    <n v="9"/>
    <n v="41.4"/>
    <n v="0"/>
    <n v="0"/>
    <n v="0"/>
    <n v="82.8"/>
    <n v="0"/>
    <s v="24ABVPP9097Q1Z7"/>
    <s v="Pcs"/>
    <n v="82074010"/>
    <s v="Rs."/>
    <n v="1"/>
    <n v="0"/>
  </r>
  <r>
    <s v="26-08-2026"/>
    <x v="25"/>
    <s v="General Purchase"/>
    <s v="GNSP 168"/>
    <s v="Purchase Withinstate- Stores, Spares &amp; Consumable"/>
    <n v="1561"/>
    <s v="21-08-2026"/>
    <s v="Stores/Spares"/>
    <s v="Hardware Items"/>
    <s v="Spares &amp; Stores"/>
    <x v="0"/>
    <s v="Drill Bit Hss Size :- 12 mm"/>
    <n v="1"/>
    <n v="462.33"/>
    <s v="Drill Bit Hss Size :- 12 mm"/>
    <n v="0"/>
    <n v="9"/>
    <n v="41.61"/>
    <n v="9"/>
    <n v="41.61"/>
    <n v="0"/>
    <n v="0"/>
    <n v="0"/>
    <n v="83.22"/>
    <n v="0"/>
    <s v="24ABVPP9097Q1Z7"/>
    <s v="Pcs"/>
    <n v="82079090"/>
    <s v="Rs."/>
    <n v="1"/>
    <n v="0"/>
  </r>
  <r>
    <s v="26-08-2026"/>
    <x v="25"/>
    <s v="General Purchase"/>
    <s v="GNSP 168"/>
    <s v="Purchase Withinstate- Stores, Spares &amp; Consumable"/>
    <n v="1561"/>
    <s v="21-08-2026"/>
    <s v="Stores/Spares"/>
    <s v="Hardware Items"/>
    <s v="Spares &amp; Stores"/>
    <x v="0"/>
    <s v="Drill Bit Hss Size :- 4 mm"/>
    <n v="3"/>
    <n v="155.13999999999999"/>
    <s v="Drill Bit Hss Size :- 4 mm"/>
    <n v="0"/>
    <n v="9"/>
    <n v="13.96"/>
    <n v="9"/>
    <n v="13.96"/>
    <n v="0"/>
    <n v="0"/>
    <n v="0"/>
    <n v="27.92"/>
    <n v="0"/>
    <s v="24ABVPP9097Q1Z7"/>
    <s v="Pcs"/>
    <n v="30051020"/>
    <s v="Rs."/>
    <n v="1"/>
    <n v="0"/>
  </r>
  <r>
    <s v="26-08-2026"/>
    <x v="25"/>
    <s v="General Purchase"/>
    <s v="GNSP 168"/>
    <s v="Purchase Withinstate- Stores, Spares &amp; Consumable"/>
    <n v="1561"/>
    <s v="21-08-2026"/>
    <s v="Stores/Spares"/>
    <s v="Hardware Items"/>
    <s v="Spares &amp; Stores"/>
    <x v="0"/>
    <s v="Drill Bit Hss Size :- 6 mm"/>
    <n v="3"/>
    <n v="298.25"/>
    <s v="Drill Bit Hss Size :- 6 mm"/>
    <n v="0"/>
    <n v="9"/>
    <n v="26.84"/>
    <n v="9"/>
    <n v="26.84"/>
    <n v="0"/>
    <n v="0"/>
    <n v="0"/>
    <n v="53.68"/>
    <n v="0"/>
    <s v="24ABVPP9097Q1Z7"/>
    <s v="Pcs"/>
    <n v="82079090"/>
    <s v="Rs."/>
    <n v="1"/>
    <n v="0"/>
  </r>
  <r>
    <s v="26-08-2026"/>
    <x v="25"/>
    <s v="General Purchase"/>
    <s v="GNSP 168"/>
    <s v="Purchase Withinstate- Stores, Spares &amp; Consumable"/>
    <n v="1561"/>
    <s v="21-08-2026"/>
    <s v="Stores/Spares"/>
    <s v="Hardware Items"/>
    <s v="Spares &amp; Stores"/>
    <x v="0"/>
    <s v="Drill Bit Hss Size :- 10.5 mm"/>
    <n v="2"/>
    <n v="694.69"/>
    <s v="Drill Bit Hss Size :- 10.5 mm"/>
    <n v="0"/>
    <n v="9"/>
    <n v="62.52"/>
    <n v="9"/>
    <n v="62.52"/>
    <n v="0"/>
    <n v="0"/>
    <n v="0"/>
    <n v="125.04"/>
    <n v="0"/>
    <s v="24ABVPP9097Q1Z7"/>
    <s v="Pcs"/>
    <n v="83023200"/>
    <s v="Rs."/>
    <n v="1"/>
    <n v="0"/>
  </r>
  <r>
    <s v="26-08-2026"/>
    <x v="25"/>
    <s v="General Purchase"/>
    <s v="GNSP 168"/>
    <s v="Purchase Withinstate- Stores, Spares &amp; Consumable"/>
    <n v="1561"/>
    <s v="21-08-2026"/>
    <s v="Stores/Spares"/>
    <s v="Welding Rods"/>
    <s v="Spares &amp; Stores"/>
    <x v="0"/>
    <s v="Welding Rod 3.15 mm  &quot;Manglam&quot; Brand  (1. Box = 12 Pkt.)"/>
    <n v="16"/>
    <n v="4800"/>
    <s v="Welding Rod 3.15 mm  &quot;Manglam&quot; Brand  (1. Box = 12 Pkt.)"/>
    <n v="0"/>
    <n v="9"/>
    <n v="432"/>
    <n v="9"/>
    <n v="432"/>
    <n v="0"/>
    <n v="0"/>
    <n v="0"/>
    <n v="864"/>
    <n v="0"/>
    <s v="24ABVPP9097Q1Z7"/>
    <s v="Pkts"/>
    <n v="83113090"/>
    <s v="Rs."/>
    <n v="1"/>
    <n v="0"/>
  </r>
  <r>
    <s v="26-08-2026"/>
    <x v="25"/>
    <s v="General Purchase"/>
    <s v="GNSP 168"/>
    <s v="Purchase Withinstate- Stores, Spares &amp; Consumable"/>
    <n v="1561"/>
    <s v="21-08-2026"/>
    <s v="Stores/Spares"/>
    <s v="Hardware Items"/>
    <s v="Spares &amp; Stores"/>
    <x v="0"/>
    <s v="Drill Bit Hss Size :- 6.5 mm"/>
    <n v="2"/>
    <n v="276.27999999999997"/>
    <s v="Drill Bit Hss Size :- 6.5 mm"/>
    <n v="0"/>
    <n v="9"/>
    <n v="24.87"/>
    <n v="9"/>
    <n v="24.87"/>
    <n v="0"/>
    <n v="0"/>
    <n v="0"/>
    <n v="49.74"/>
    <n v="0"/>
    <s v="24ABVPP9097Q1Z7"/>
    <s v="Pcs"/>
    <n v="82074010"/>
    <s v="Rs."/>
    <n v="1"/>
    <n v="0"/>
  </r>
  <r>
    <s v="26-08-2026"/>
    <x v="25"/>
    <s v="General Purchase"/>
    <s v="GNSP 168"/>
    <s v="Purchase Withinstate- Stores, Spares &amp; Consumable"/>
    <n v="1561"/>
    <s v="21-08-2026"/>
    <s v="Stores/Spares"/>
    <s v="Hardware Items"/>
    <s v="Spares &amp; Stores"/>
    <x v="0"/>
    <s v="Drill Bit Hss Size :- 3 mm"/>
    <n v="3"/>
    <n v="88.94"/>
    <s v="Drill Bit Hss Size :- 3 mm"/>
    <n v="0"/>
    <n v="9"/>
    <n v="8"/>
    <n v="9"/>
    <n v="8"/>
    <n v="0"/>
    <n v="0"/>
    <n v="0"/>
    <n v="16"/>
    <n v="0"/>
    <s v="24ABVPP9097Q1Z7"/>
    <s v="Pcs"/>
    <n v="30051020"/>
    <s v="Rs."/>
    <n v="1"/>
    <n v="0"/>
  </r>
  <r>
    <s v="26-08-2026"/>
    <x v="0"/>
    <s v="General Purchase"/>
    <s v="GNCN 381"/>
    <s v="Purchase Withinstate- Stores, Spares &amp; Consumable"/>
    <s v="PIL1/D/1498"/>
    <s v="26-08-2026"/>
    <s v="Stores/Spares"/>
    <s v="MS Structure Items"/>
    <s v="Spares &amp; Stores"/>
    <x v="0"/>
    <s v="MS Pipe 4  C Class"/>
    <n v="586"/>
    <n v="28128"/>
    <s v="MS Pipe 4  C Class"/>
    <n v="33162.910000000003"/>
    <n v="9"/>
    <n v="2531.52"/>
    <n v="9"/>
    <n v="2531.52"/>
    <n v="0"/>
    <n v="0"/>
    <n v="0"/>
    <n v="5063.04"/>
    <n v="0"/>
    <s v="24AAACO3087C1ZT"/>
    <s v="Kgs"/>
    <n v="73063090"/>
    <s v="Rs."/>
    <n v="1"/>
    <n v="0"/>
  </r>
  <r>
    <s v="26-08-2026"/>
    <x v="0"/>
    <s v="R.M.P."/>
    <s v="RM 569"/>
    <s v="Purchase Withinstate - Raw Material"/>
    <s v="PIL1/D/1494"/>
    <s v="26-08-2026"/>
    <s v="SF"/>
    <s v="PP/PE Fabric"/>
    <s v="PP UL Fabric"/>
    <x v="1"/>
    <s v="PP UL Fabric With UV"/>
    <n v="6153"/>
    <n v="875694.96"/>
    <s v="PP UL Fabric With UV"/>
    <n v="1324322.6000000001"/>
    <n v="9"/>
    <n v="78812.55"/>
    <n v="9"/>
    <n v="78812.55"/>
    <n v="0"/>
    <n v="0"/>
    <n v="0"/>
    <n v="157625.1"/>
    <n v="0"/>
    <s v="24AAACO3087C1ZT"/>
    <s v="Kgs"/>
    <n v="39269080"/>
    <s v="Rs."/>
    <n v="1"/>
    <n v="0"/>
  </r>
  <r>
    <s v="26-08-2026"/>
    <x v="0"/>
    <s v="R.M.P."/>
    <s v="RM 569"/>
    <s v="Purchase Withinstate - Raw Material"/>
    <s v="PIL1/D/1494"/>
    <s v="26-08-2026"/>
    <s v="SF"/>
    <s v="PP/PE Fabric"/>
    <s v="PP UL Fabric"/>
    <x v="1"/>
    <s v="PP UL Fabric With UV"/>
    <n v="1210"/>
    <n v="175837.2"/>
    <s v="PP UL Fabric With UV"/>
    <n v="0"/>
    <n v="9"/>
    <n v="15825.35"/>
    <n v="9"/>
    <n v="15825.35"/>
    <n v="0"/>
    <n v="0"/>
    <n v="0"/>
    <n v="31650.7"/>
    <n v="0"/>
    <s v="24AAACO3087C1ZT"/>
    <s v="Kgs"/>
    <n v="39269080"/>
    <s v="Rs."/>
    <n v="1"/>
    <n v="0"/>
  </r>
  <r>
    <s v="26-08-2026"/>
    <x v="0"/>
    <s v="R.M.P."/>
    <s v="RM 569"/>
    <s v="Purchase Withinstate - Raw Material"/>
    <s v="PIL1/D/1494"/>
    <s v="26-08-2026"/>
    <s v="SF"/>
    <s v="PP/PE Fabric"/>
    <s v="PP UL Fabric"/>
    <x v="1"/>
    <s v="PP UL Fabric With UV"/>
    <n v="497"/>
    <n v="71727.039999999994"/>
    <s v="PP UL Fabric With UV"/>
    <n v="0"/>
    <n v="9"/>
    <n v="6455.43"/>
    <n v="9"/>
    <n v="6455.43"/>
    <n v="0"/>
    <n v="0"/>
    <n v="0"/>
    <n v="12910.86"/>
    <n v="0"/>
    <s v="24AAACO3087C1ZT"/>
    <s v="Kgs"/>
    <n v="39269080"/>
    <s v="Rs."/>
    <n v="1"/>
    <n v="0"/>
  </r>
  <r>
    <s v="26-08-2026"/>
    <x v="0"/>
    <s v="R.M.P."/>
    <s v="RM 570"/>
    <s v="Purchase Withinstate - Raw Material"/>
    <s v="PIL1/D/1495"/>
    <s v="26-08-2026"/>
    <s v="SF"/>
    <s v="PP/PE Fabric"/>
    <s v="PP UL Fabric"/>
    <x v="1"/>
    <s v="PP UL Fabric With UV"/>
    <n v="4410"/>
    <n v="627631.19999999995"/>
    <s v="PP UL Fabric With UV"/>
    <n v="973882.98"/>
    <n v="9"/>
    <n v="56486.81"/>
    <n v="9"/>
    <n v="56486.81"/>
    <n v="0"/>
    <n v="0"/>
    <n v="0"/>
    <n v="112973.62"/>
    <n v="0"/>
    <s v="24AAACO3087C1ZT"/>
    <s v="Kgs"/>
    <n v="39269080"/>
    <s v="Rs."/>
    <n v="1"/>
    <n v="0"/>
  </r>
  <r>
    <s v="26-08-2026"/>
    <x v="0"/>
    <s v="R.M.P."/>
    <s v="RM 570"/>
    <s v="Purchase Withinstate - Raw Material"/>
    <s v="PIL1/D/1495"/>
    <s v="26-08-2026"/>
    <s v="SF"/>
    <s v="PP/PE Fabric"/>
    <s v="PP UL Fabric"/>
    <x v="1"/>
    <s v="PP UL Fabric With UV"/>
    <n v="578"/>
    <n v="83416.960000000006"/>
    <s v="PP UL Fabric With UV"/>
    <n v="0"/>
    <n v="9"/>
    <n v="7507.53"/>
    <n v="9"/>
    <n v="7507.53"/>
    <n v="0"/>
    <n v="0"/>
    <n v="0"/>
    <n v="15015.06"/>
    <n v="0"/>
    <s v="24AAACO3087C1ZT"/>
    <s v="Kgs"/>
    <n v="39269080"/>
    <s v="Rs."/>
    <n v="1"/>
    <n v="0"/>
  </r>
  <r>
    <s v="26-08-2026"/>
    <x v="0"/>
    <s v="R.M.P."/>
    <s v="RM 570"/>
    <s v="Purchase Withinstate - Raw Material"/>
    <s v="PIL1/D/1495"/>
    <s v="26-08-2026"/>
    <s v="SF"/>
    <s v="PP/PE Fabric"/>
    <s v="PP Lam Fabric"/>
    <x v="3"/>
    <s v="PP Lam Fabric With UV"/>
    <n v="770"/>
    <n v="114976.4"/>
    <s v="PP Lam Fabric With UV"/>
    <n v="0"/>
    <n v="9"/>
    <n v="10347.879999999999"/>
    <n v="9"/>
    <n v="10347.879999999999"/>
    <n v="0"/>
    <n v="0"/>
    <n v="0"/>
    <n v="20695.759999999998"/>
    <n v="0"/>
    <s v="24AAACO3087C1ZT"/>
    <s v="Kgs"/>
    <n v="63053300"/>
    <s v="Rs."/>
    <n v="1"/>
    <n v="0"/>
  </r>
  <r>
    <s v="26-08-2026"/>
    <x v="0"/>
    <s v="R.M.P."/>
    <s v="RM 571"/>
    <s v="Purchase Withinstate - Raw Material"/>
    <s v="PIL1/D/1499"/>
    <s v="26-08-2026"/>
    <s v="SF"/>
    <s v="PP/PE Fabric"/>
    <s v="PP Lam Fabric"/>
    <x v="3"/>
    <s v="PP Lam Fabric With UV"/>
    <n v="660"/>
    <n v="98551.2"/>
    <s v="PP Lam Fabric With UV"/>
    <n v="1224258.49"/>
    <n v="9"/>
    <n v="8869.61"/>
    <n v="9"/>
    <n v="8869.61"/>
    <n v="0"/>
    <n v="0"/>
    <n v="0"/>
    <n v="17739.22"/>
    <n v="0"/>
    <s v="24AAACO3087C1ZT"/>
    <s v="Kgs"/>
    <n v="63053300"/>
    <s v="Rs."/>
    <n v="1"/>
    <n v="0"/>
  </r>
  <r>
    <s v="26-08-2026"/>
    <x v="0"/>
    <s v="R.M.P."/>
    <s v="RM 571"/>
    <s v="Purchase Withinstate - Raw Material"/>
    <s v="PIL1/D/1499"/>
    <s v="26-08-2026"/>
    <s v="SF"/>
    <s v="Webbing"/>
    <s v="PP Webbing"/>
    <x v="2"/>
    <s v="Webbing"/>
    <n v="15"/>
    <n v="2524.8000000000002"/>
    <s v="Webbing"/>
    <n v="0"/>
    <n v="9"/>
    <n v="227.23"/>
    <n v="9"/>
    <n v="227.23"/>
    <n v="0"/>
    <n v="0"/>
    <n v="0"/>
    <n v="454.46"/>
    <n v="0"/>
    <s v="24AAACO3087C1ZT"/>
    <s v="Kgs"/>
    <n v="3926908"/>
    <s v="Rs."/>
    <n v="1"/>
    <n v="0"/>
  </r>
  <r>
    <s v="26-08-2026"/>
    <x v="0"/>
    <s v="R.M.P."/>
    <s v="RM 571"/>
    <s v="Purchase Withinstate - Raw Material"/>
    <s v="PIL1/D/1499"/>
    <s v="26-08-2026"/>
    <s v="SF"/>
    <s v="Webbing"/>
    <s v="PP Webbing"/>
    <x v="2"/>
    <s v="Webbing"/>
    <n v="1153.9000000000001"/>
    <n v="169992.55"/>
    <s v="Webbing"/>
    <n v="0"/>
    <n v="9"/>
    <n v="15299.33"/>
    <n v="9"/>
    <n v="15299.33"/>
    <n v="0"/>
    <n v="0"/>
    <n v="0"/>
    <n v="30598.66"/>
    <n v="0"/>
    <s v="24AAACO3087C1ZT"/>
    <s v="Kgs"/>
    <n v="3926908"/>
    <s v="Rs."/>
    <n v="1"/>
    <n v="0"/>
  </r>
  <r>
    <s v="26-08-2026"/>
    <x v="0"/>
    <s v="R.M.P."/>
    <s v="RM 571"/>
    <s v="Purchase Withinstate - Raw Material"/>
    <s v="PIL1/D/1499"/>
    <s v="26-08-2026"/>
    <s v="SF"/>
    <s v="Webbing"/>
    <s v="PP Webbing"/>
    <x v="2"/>
    <s v="Webbing"/>
    <n v="511.3"/>
    <n v="73790.820000000007"/>
    <s v="Webbing"/>
    <n v="0"/>
    <n v="9"/>
    <n v="6641.17"/>
    <n v="9"/>
    <n v="6641.17"/>
    <n v="0"/>
    <n v="0"/>
    <n v="0"/>
    <n v="13282.34"/>
    <n v="0"/>
    <s v="24AAACO3087C1ZT"/>
    <s v="Kgs"/>
    <n v="3926908"/>
    <s v="Rs."/>
    <n v="1"/>
    <n v="0"/>
  </r>
  <r>
    <s v="26-08-2026"/>
    <x v="0"/>
    <s v="R.M.P."/>
    <s v="RM 571"/>
    <s v="Purchase Withinstate - Raw Material"/>
    <s v="PIL1/D/1499"/>
    <s v="26-08-2026"/>
    <s v="SF"/>
    <s v="Liners"/>
    <s v="LDPE/LLDPE Bags"/>
    <x v="4"/>
    <s v="LDPE/LLDPE Bags/Liner"/>
    <n v="185"/>
    <n v="34199.1"/>
    <s v="LDPE/LLDPE Bags/Liner"/>
    <n v="0"/>
    <n v="9"/>
    <n v="3077.92"/>
    <n v="9"/>
    <n v="3077.92"/>
    <n v="0"/>
    <n v="0"/>
    <n v="0"/>
    <n v="6155.84"/>
    <n v="0"/>
    <s v="24AAACO3087C1ZT"/>
    <s v="Kgs"/>
    <n v="39200000"/>
    <s v="Rs."/>
    <n v="1"/>
    <n v="0"/>
  </r>
  <r>
    <s v="26-08-2026"/>
    <x v="0"/>
    <s v="R.M.P."/>
    <s v="RM 571"/>
    <s v="Purchase Withinstate - Raw Material"/>
    <s v="PIL1/D/1499"/>
    <s v="26-08-2026"/>
    <s v="SF"/>
    <s v="Liners"/>
    <s v="LDPE/LLDPE Bags"/>
    <x v="4"/>
    <s v="LDPE/LLDPE Bags/Liner"/>
    <n v="246"/>
    <n v="43507.56"/>
    <s v="LDPE/LLDPE Bags/Liner"/>
    <n v="0"/>
    <n v="9"/>
    <n v="3915.68"/>
    <n v="9"/>
    <n v="3915.68"/>
    <n v="0"/>
    <n v="0"/>
    <n v="0"/>
    <n v="7831.36"/>
    <n v="0"/>
    <s v="24AAACO3087C1ZT"/>
    <s v="Kgs"/>
    <n v="39200000"/>
    <s v="Rs."/>
    <n v="1"/>
    <n v="0"/>
  </r>
  <r>
    <s v="26-08-2026"/>
    <x v="0"/>
    <s v="R.M.P."/>
    <s v="RM 571"/>
    <s v="Purchase Withinstate - Raw Material"/>
    <s v="PIL1/D/1499"/>
    <s v="26-08-2026"/>
    <s v="SF"/>
    <s v="PP/PE Fabric"/>
    <s v="PP UL Fabric"/>
    <x v="1"/>
    <s v="PP UL Fabric With UV"/>
    <n v="261"/>
    <n v="37928.519999999997"/>
    <s v="PP UL Fabric With UV"/>
    <n v="0"/>
    <n v="9"/>
    <n v="3413.57"/>
    <n v="9"/>
    <n v="3413.57"/>
    <n v="0"/>
    <n v="0"/>
    <n v="0"/>
    <n v="6827.14"/>
    <n v="0"/>
    <s v="24AAACO3087C1ZT"/>
    <s v="Kgs"/>
    <n v="39269080"/>
    <s v="Rs."/>
    <n v="1"/>
    <n v="0"/>
  </r>
  <r>
    <s v="26-08-2026"/>
    <x v="0"/>
    <s v="R.M.P."/>
    <s v="RM 571"/>
    <s v="Purchase Withinstate - Raw Material"/>
    <s v="PIL1/D/1499"/>
    <s v="26-08-2026"/>
    <s v="SF"/>
    <s v="PP/PE Fabric"/>
    <s v="PP UL Fabric"/>
    <x v="1"/>
    <s v="PP UL Fabric With UV"/>
    <n v="822"/>
    <n v="116987.04"/>
    <s v="PP UL Fabric With UV"/>
    <n v="0"/>
    <n v="9"/>
    <n v="10528.83"/>
    <n v="9"/>
    <n v="10528.83"/>
    <n v="0"/>
    <n v="0"/>
    <n v="0"/>
    <n v="21057.66"/>
    <n v="0"/>
    <s v="24AAACO3087C1ZT"/>
    <s v="Kgs"/>
    <n v="39269080"/>
    <s v="Rs."/>
    <n v="1"/>
    <n v="0"/>
  </r>
  <r>
    <s v="26-08-2026"/>
    <x v="0"/>
    <s v="R.M.P."/>
    <s v="RM 571"/>
    <s v="Purchase Withinstate - Raw Material"/>
    <s v="PIL1/D/1499"/>
    <s v="26-08-2026"/>
    <s v="SF"/>
    <s v="PP/PE Fabric"/>
    <s v="PP UL Fabric"/>
    <x v="1"/>
    <s v="PP UL Fabric With UV"/>
    <n v="952"/>
    <n v="137392.64000000001"/>
    <s v="PP UL Fabric With UV"/>
    <n v="0"/>
    <n v="9"/>
    <n v="12365.34"/>
    <n v="9"/>
    <n v="12365.34"/>
    <n v="0"/>
    <n v="0"/>
    <n v="0"/>
    <n v="24730.68"/>
    <n v="0"/>
    <s v="24AAACO3087C1ZT"/>
    <s v="Kgs"/>
    <n v="39269080"/>
    <s v="Rs."/>
    <n v="1"/>
    <n v="0"/>
  </r>
  <r>
    <s v="26-08-2026"/>
    <x v="0"/>
    <s v="R.M.P."/>
    <s v="RM 571"/>
    <s v="Purchase Withinstate - Raw Material"/>
    <s v="PIL1/D/1499"/>
    <s v="26-08-2026"/>
    <s v="SF"/>
    <s v="Yarn All"/>
    <s v="PP Yarn"/>
    <x v="6"/>
    <s v="PP MF Yarn Twisted 3000 Denier Yellow"/>
    <n v="391.5"/>
    <n v="61590.78"/>
    <s v="PP MF Yarn Twisted 3000 Denier Yellow"/>
    <n v="0"/>
    <n v="2.5"/>
    <n v="1539.77"/>
    <n v="2.5"/>
    <n v="1539.77"/>
    <n v="0"/>
    <n v="0"/>
    <n v="0"/>
    <n v="3079.54"/>
    <n v="0"/>
    <s v="24AAACO3087C1ZT"/>
    <s v="Kgs"/>
    <n v="54026930"/>
    <s v="Rs."/>
    <n v="1"/>
    <n v="0"/>
  </r>
  <r>
    <s v="26-08-2026"/>
    <x v="0"/>
    <s v="R.M.P."/>
    <s v="RM 571"/>
    <s v="Purchase Withinstate - Raw Material"/>
    <s v="PIL1/D/1499"/>
    <s v="26-08-2026"/>
    <s v="SF"/>
    <s v="Yarn All"/>
    <s v="PP Yarn"/>
    <x v="6"/>
    <s v="PP MF Yarn Twisted 3000 Denier UV NW"/>
    <n v="1020.2"/>
    <n v="157437.26"/>
    <s v="PP MF Yarn Twisted 3000 Denier UV NW"/>
    <n v="0"/>
    <n v="2.5"/>
    <n v="3935.93"/>
    <n v="2.5"/>
    <n v="3935.93"/>
    <n v="0"/>
    <n v="0"/>
    <n v="0"/>
    <n v="7871.86"/>
    <n v="0"/>
    <s v="24AAACO3087C1ZT"/>
    <s v="Kgs"/>
    <n v="540263"/>
    <s v="Rs."/>
    <n v="1"/>
    <n v="0"/>
  </r>
  <r>
    <s v="26-08-2026"/>
    <x v="0"/>
    <s v="R.M.P."/>
    <s v="RM 571"/>
    <s v="Purchase Withinstate - Raw Material"/>
    <s v="PIL1/D/1499"/>
    <s v="26-08-2026"/>
    <s v="SF"/>
    <s v="Yarn All"/>
    <s v="PP Yarn"/>
    <x v="6"/>
    <s v="PP MF Yarn Twisted 3000 Denier UV Deep Blue"/>
    <n v="919"/>
    <n v="144577.07999999999"/>
    <s v="PP MF Yarn Twisted 3000 Denier UV Deep Blue"/>
    <n v="0"/>
    <n v="2.5"/>
    <n v="3614.43"/>
    <n v="2.5"/>
    <n v="3614.43"/>
    <n v="0"/>
    <n v="0"/>
    <n v="0"/>
    <n v="7228.86"/>
    <n v="0"/>
    <s v="24AAACO3087C1ZT"/>
    <s v="Kgs"/>
    <n v="54026930"/>
    <s v="Rs."/>
    <n v="1"/>
    <n v="0"/>
  </r>
  <r>
    <s v="26-08-2026"/>
    <x v="2"/>
    <s v="General Purchase"/>
    <s v="GNCN 380"/>
    <s v="Purchase Withinstate- Stores, Spares &amp; Consumable"/>
    <s v="PPL/D/542"/>
    <s v="26-08-2026"/>
    <s v="Stores/Spares"/>
    <s v="MS Structure Items"/>
    <s v="Spares &amp; Stores"/>
    <x v="0"/>
    <s v="MS Pipe 4  C Class"/>
    <n v="14"/>
    <n v="672"/>
    <s v="MS Pipe 4  C Class"/>
    <n v="792.29"/>
    <n v="9"/>
    <n v="60.48"/>
    <n v="9"/>
    <n v="60.48"/>
    <n v="0"/>
    <n v="0"/>
    <n v="0"/>
    <n v="120.96"/>
    <n v="0"/>
    <s v="24AAFCP2956A1ZR"/>
    <s v="Kgs"/>
    <n v="73063090"/>
    <s v="Rs."/>
    <n v="1"/>
    <n v="0"/>
  </r>
  <r>
    <s v="26-08-2026"/>
    <x v="2"/>
    <s v="R.M.P."/>
    <s v="RM 566"/>
    <s v="Purchase Withinstate - Raw Material"/>
    <s v="PPL/D/540"/>
    <s v="26-08-2026"/>
    <s v="SF"/>
    <s v="PP/PE Fabric"/>
    <s v="PP Lam Fabric"/>
    <x v="3"/>
    <s v="PP Lam Fabric With UV"/>
    <n v="346"/>
    <n v="47602.68"/>
    <s v="PP Lam Fabric With UV"/>
    <n v="89106.58"/>
    <n v="9"/>
    <n v="4284.24"/>
    <n v="9"/>
    <n v="4284.24"/>
    <n v="0"/>
    <n v="0"/>
    <n v="0"/>
    <n v="8568.48"/>
    <n v="0"/>
    <s v="24AAFCP2956A1ZR"/>
    <s v="Kgs"/>
    <n v="63053300"/>
    <s v="Rs."/>
    <n v="1"/>
    <n v="0"/>
  </r>
  <r>
    <s v="26-08-2026"/>
    <x v="2"/>
    <s v="R.M.P."/>
    <s v="RM 566"/>
    <s v="Purchase Withinstate - Raw Material"/>
    <s v="PPL/D/540"/>
    <s v="26-08-2026"/>
    <s v="SF"/>
    <s v="PP/PE Fabric"/>
    <s v="PP Lam Fabric"/>
    <x v="3"/>
    <s v="PP Lam Fabric With UV"/>
    <n v="199"/>
    <n v="27975.42"/>
    <s v="PP Lam Fabric With UV"/>
    <n v="0"/>
    <n v="9"/>
    <n v="2517.79"/>
    <n v="9"/>
    <n v="2517.79"/>
    <n v="0"/>
    <n v="0"/>
    <n v="0"/>
    <n v="5035.58"/>
    <n v="0"/>
    <s v="24AAFCP2956A1ZR"/>
    <s v="Kgs"/>
    <n v="63053300"/>
    <s v="Rs."/>
    <n v="1"/>
    <n v="0"/>
  </r>
  <r>
    <s v="26-08-2026"/>
    <x v="2"/>
    <s v="R.M.P."/>
    <s v="RM 568"/>
    <s v="Purchase Withinstate - Raw Material"/>
    <s v="PPL/D/543"/>
    <s v="26-08-2026"/>
    <s v="SF"/>
    <s v="Liners"/>
    <s v="LDPE/LLDPE Bags"/>
    <x v="12"/>
    <s v="PE Labels (Kgs)"/>
    <n v="35.5"/>
    <n v="9230"/>
    <s v="PE Labels (Kgs)"/>
    <n v="10882.17"/>
    <n v="9"/>
    <n v="830.7"/>
    <n v="9"/>
    <n v="830.7"/>
    <n v="0"/>
    <n v="0"/>
    <n v="0"/>
    <n v="1661.4"/>
    <n v="0"/>
    <s v="24AAFCP2956A1ZR"/>
    <s v="Kgs"/>
    <n v="3920101"/>
    <s v="Rs."/>
    <n v="1"/>
    <n v="0"/>
  </r>
  <r>
    <s v="26-08-2026"/>
    <x v="2"/>
    <s v="R.M.P."/>
    <s v="RM 572"/>
    <s v="Purchase Withinstate - Raw Material"/>
    <s v="PPL/D/541"/>
    <s v="26-08-2026"/>
    <s v="SF"/>
    <s v="PP/PE Fabric"/>
    <s v="PP UL Fabric"/>
    <x v="1"/>
    <s v="PP UL Fabric With UV"/>
    <n v="533.70000000000005"/>
    <n v="72359.05"/>
    <s v="PP UL Fabric With UV"/>
    <n v="85311.31"/>
    <n v="9"/>
    <n v="6512.31"/>
    <n v="9"/>
    <n v="6512.31"/>
    <n v="0"/>
    <n v="0"/>
    <n v="0"/>
    <n v="13024.62"/>
    <n v="0"/>
    <s v="24AAFCP2956A1ZR"/>
    <s v="Kgs"/>
    <n v="39269080"/>
    <s v="Rs."/>
    <n v="1"/>
    <n v="0"/>
  </r>
  <r>
    <s v="26-08-2026"/>
    <x v="21"/>
    <s v="General Purchase"/>
    <s v="GNCN 382"/>
    <s v="Purchase Withinstate- Stores, Spares &amp; Consumable"/>
    <s v="3201/2026-27"/>
    <d v="2026-07-08T00:00:00"/>
    <s v="Consumables"/>
    <s v="Rubber/Polymer Stereo"/>
    <s v="Spares &amp; Stores"/>
    <x v="0"/>
    <s v="Polymer Stereo"/>
    <n v="280"/>
    <n v="420"/>
    <s v="Polymer Stereo"/>
    <n v="614"/>
    <n v="9"/>
    <n v="37.799999999999997"/>
    <n v="9"/>
    <n v="37.799999999999997"/>
    <n v="0"/>
    <n v="0"/>
    <n v="18"/>
    <n v="93.6"/>
    <n v="0"/>
    <s v="24AAACQ5321R1Z7"/>
    <s v="CMS"/>
    <n v="37013000"/>
    <s v="Rs."/>
    <n v="1"/>
    <n v="0"/>
  </r>
  <r>
    <s v="27-08-2026"/>
    <x v="0"/>
    <s v="General Purchase"/>
    <s v="GNCN 383"/>
    <s v="Purchase Withinstate- Stores, Spares &amp; Consumable"/>
    <s v="PIL1/D/1506"/>
    <s v="27-08-2026"/>
    <s v="Stores/Spares"/>
    <s v="MS Structure Items"/>
    <s v="Spares &amp; Stores"/>
    <x v="0"/>
    <s v="MS Pipe 4  C Class"/>
    <n v="101"/>
    <n v="4848"/>
    <s v="MS Pipe 4  C Class"/>
    <n v="17260.560000000001"/>
    <n v="9"/>
    <n v="436.32"/>
    <n v="9"/>
    <n v="436.32"/>
    <n v="0"/>
    <n v="0"/>
    <n v="0"/>
    <n v="872.64"/>
    <n v="0"/>
    <s v="24AAACO3087C1ZT"/>
    <s v="Kgs"/>
    <n v="73063090"/>
    <s v="Rs."/>
    <n v="1"/>
    <n v="0"/>
  </r>
  <r>
    <s v="27-08-2026"/>
    <x v="0"/>
    <s v="General Purchase"/>
    <s v="GNCN 383"/>
    <s v="Purchase Withinstate- Stores, Spares &amp; Consumable"/>
    <s v="PIL1/D/1506"/>
    <s v="27-08-2026"/>
    <s v="Stores/Spares"/>
    <s v="MS Structure Items"/>
    <s v="Spares &amp; Stores"/>
    <x v="0"/>
    <s v="MS Pipe 4  C Class"/>
    <n v="204"/>
    <n v="9792"/>
    <s v="MS Pipe 4  C Class"/>
    <n v="0"/>
    <n v="9"/>
    <n v="881.28"/>
    <n v="9"/>
    <n v="881.28"/>
    <n v="0"/>
    <n v="0"/>
    <n v="0"/>
    <n v="1762.56"/>
    <n v="0"/>
    <s v="24AAACO3087C1ZT"/>
    <s v="Kgs"/>
    <n v="73063090"/>
    <s v="Rs."/>
    <n v="1"/>
    <n v="0"/>
  </r>
  <r>
    <s v="27-08-2026"/>
    <x v="0"/>
    <s v="R.M.P."/>
    <s v="RM 573"/>
    <s v="Purchase Withinstate - Raw Material"/>
    <s v="PIL1/D/1505"/>
    <s v="27-08-2026"/>
    <s v="SF"/>
    <s v="PP/PE Fabric"/>
    <s v="PP UL Fabric"/>
    <x v="1"/>
    <s v="PP UL Fabric With UV"/>
    <n v="6995"/>
    <n v="995528.4"/>
    <s v="PP UL Fabric With UV"/>
    <n v="1600221.49"/>
    <n v="9"/>
    <n v="89597.56"/>
    <n v="9"/>
    <n v="89597.56"/>
    <n v="0"/>
    <n v="0"/>
    <n v="0"/>
    <n v="179195.12"/>
    <n v="0"/>
    <s v="24AAACO3087C1ZT"/>
    <s v="Kgs"/>
    <n v="39269080"/>
    <s v="Rs."/>
    <n v="1"/>
    <n v="0"/>
  </r>
  <r>
    <s v="27-08-2026"/>
    <x v="0"/>
    <s v="R.M.P."/>
    <s v="RM 573"/>
    <s v="Purchase Withinstate - Raw Material"/>
    <s v="PIL1/D/1505"/>
    <s v="27-08-2026"/>
    <s v="SF"/>
    <s v="PP/PE Fabric"/>
    <s v="PP UL Fabric"/>
    <x v="1"/>
    <s v="PP UL Fabric With UV"/>
    <n v="1519"/>
    <n v="220741.08"/>
    <s v="PP UL Fabric With UV"/>
    <n v="0"/>
    <n v="9"/>
    <n v="19866.7"/>
    <n v="9"/>
    <n v="19866.7"/>
    <n v="0"/>
    <n v="0"/>
    <n v="0"/>
    <n v="39733.4"/>
    <n v="0"/>
    <s v="24AAACO3087C1ZT"/>
    <s v="Kgs"/>
    <n v="39269080"/>
    <s v="Rs."/>
    <n v="1"/>
    <n v="0"/>
  </r>
  <r>
    <s v="27-08-2026"/>
    <x v="0"/>
    <s v="R.M.P."/>
    <s v="RM 573"/>
    <s v="Purchase Withinstate - Raw Material"/>
    <s v="PIL1/D/1505"/>
    <s v="27-08-2026"/>
    <s v="SF"/>
    <s v="PP/PE Fabric"/>
    <s v="PP UL Fabric"/>
    <x v="1"/>
    <s v="PP UL Fabric With UV"/>
    <n v="977"/>
    <n v="141000.64000000001"/>
    <s v="PP UL Fabric With UV"/>
    <n v="0"/>
    <n v="9"/>
    <n v="12690.06"/>
    <n v="9"/>
    <n v="12690.06"/>
    <n v="0"/>
    <n v="0"/>
    <n v="0"/>
    <n v="25380.12"/>
    <n v="0"/>
    <s v="24AAACO3087C1ZT"/>
    <s v="Kgs"/>
    <n v="39269080"/>
    <s v="Rs."/>
    <n v="1"/>
    <n v="0"/>
  </r>
  <r>
    <s v="27-08-2026"/>
    <x v="0"/>
    <s v="R.M.P."/>
    <s v="RM 574"/>
    <s v="Purchase Withinstate - Raw Material"/>
    <s v="PIL1/D/1512"/>
    <s v="27-08-2026"/>
    <s v="SF"/>
    <s v="Liners"/>
    <s v="LDPE/LLDPE Bags"/>
    <x v="4"/>
    <s v="LDPE/LLDPE Bags/Liner"/>
    <n v="150"/>
    <n v="27729"/>
    <s v="LDPE/LLDPE Bags/Liner"/>
    <n v="1522819.68"/>
    <n v="9"/>
    <n v="2495.61"/>
    <n v="9"/>
    <n v="2495.61"/>
    <n v="0"/>
    <n v="0"/>
    <n v="0"/>
    <n v="4991.22"/>
    <n v="0"/>
    <s v="24AAACO3087C1ZT"/>
    <s v="Kgs"/>
    <n v="39200000"/>
    <s v="Rs."/>
    <n v="1"/>
    <n v="0"/>
  </r>
  <r>
    <s v="27-08-2026"/>
    <x v="0"/>
    <s v="R.M.P."/>
    <s v="RM 574"/>
    <s v="Purchase Withinstate - Raw Material"/>
    <s v="PIL1/D/1512"/>
    <s v="27-08-2026"/>
    <s v="SF"/>
    <s v="Liners"/>
    <s v="LDPE/LLDPE Bags"/>
    <x v="4"/>
    <s v="LDPE/LLDPE Bags/Liner"/>
    <n v="5140.3999999999996"/>
    <n v="909131.14"/>
    <s v="LDPE/LLDPE Bags/Liner"/>
    <n v="0"/>
    <n v="9"/>
    <n v="81821.8"/>
    <n v="9"/>
    <n v="81821.8"/>
    <n v="0"/>
    <n v="0"/>
    <n v="0"/>
    <n v="163643.6"/>
    <n v="0"/>
    <s v="24AAACO3087C1ZT"/>
    <s v="Kgs"/>
    <n v="39200000"/>
    <s v="Rs."/>
    <n v="1"/>
    <n v="0"/>
  </r>
  <r>
    <s v="27-08-2026"/>
    <x v="0"/>
    <s v="R.M.P."/>
    <s v="RM 574"/>
    <s v="Purchase Withinstate - Raw Material"/>
    <s v="PIL1/D/1512"/>
    <s v="27-08-2026"/>
    <s v="RM Consumables"/>
    <s v="FIBC Accessories"/>
    <s v="FIBC Accessories"/>
    <x v="8"/>
    <s v="Zip Lock Bags"/>
    <n v="9600"/>
    <n v="38024.639999999999"/>
    <s v="Zip Lock Bags"/>
    <n v="0"/>
    <n v="9"/>
    <n v="3422.22"/>
    <n v="9"/>
    <n v="3422.22"/>
    <n v="0"/>
    <n v="0"/>
    <n v="0"/>
    <n v="6844.44"/>
    <n v="0"/>
    <s v="24AAACO3087C1ZT"/>
    <s v="Pcs"/>
    <n v="39232100"/>
    <s v="Rs."/>
    <n v="1"/>
    <n v="215"/>
  </r>
  <r>
    <s v="27-08-2026"/>
    <x v="0"/>
    <s v="R.M.P."/>
    <s v="RM 574"/>
    <s v="Purchase Withinstate - Raw Material"/>
    <s v="PIL1/D/1512"/>
    <s v="27-08-2026"/>
    <s v="SF"/>
    <s v="Webbing"/>
    <s v="PP Webbing"/>
    <x v="2"/>
    <s v="Webbing"/>
    <n v="30.9"/>
    <n v="5201.09"/>
    <s v="Webbing"/>
    <n v="0"/>
    <n v="9"/>
    <n v="468.1"/>
    <n v="9"/>
    <n v="468.1"/>
    <n v="0"/>
    <n v="0"/>
    <n v="0"/>
    <n v="936.2"/>
    <n v="0"/>
    <s v="24AAACO3087C1ZT"/>
    <s v="Kgs"/>
    <n v="3926908"/>
    <s v="Rs."/>
    <n v="1"/>
    <n v="0"/>
  </r>
  <r>
    <s v="27-08-2026"/>
    <x v="0"/>
    <s v="R.M.P."/>
    <s v="RM 574"/>
    <s v="Purchase Withinstate - Raw Material"/>
    <s v="PIL1/D/1512"/>
    <s v="27-08-2026"/>
    <s v="SF"/>
    <s v="Webbing"/>
    <s v="PP Webbing"/>
    <x v="2"/>
    <s v="Webbing"/>
    <n v="954"/>
    <n v="137681.28"/>
    <s v="Webbing"/>
    <n v="0"/>
    <n v="9"/>
    <n v="12391.32"/>
    <n v="9"/>
    <n v="12391.32"/>
    <n v="0"/>
    <n v="0"/>
    <n v="0"/>
    <n v="24782.639999999999"/>
    <n v="0"/>
    <s v="24AAACO3087C1ZT"/>
    <s v="Kgs"/>
    <n v="3926908"/>
    <s v="Rs."/>
    <n v="1"/>
    <n v="0"/>
  </r>
  <r>
    <s v="27-08-2026"/>
    <x v="0"/>
    <s v="R.M.P."/>
    <s v="RM 574"/>
    <s v="Purchase Withinstate - Raw Material"/>
    <s v="PIL1/D/1512"/>
    <s v="27-08-2026"/>
    <s v="SF"/>
    <s v="Webbing"/>
    <s v="PP Webbing"/>
    <x v="2"/>
    <s v="Webbing"/>
    <n v="1180.0999999999999"/>
    <n v="173852.33"/>
    <s v="Webbing"/>
    <n v="0"/>
    <n v="9"/>
    <n v="15646.71"/>
    <n v="9"/>
    <n v="15646.71"/>
    <n v="0"/>
    <n v="0"/>
    <n v="0"/>
    <n v="31293.42"/>
    <n v="0"/>
    <s v="24AAACO3087C1ZT"/>
    <s v="Kgs"/>
    <n v="3926908"/>
    <s v="Rs."/>
    <n v="1"/>
    <n v="0"/>
  </r>
  <r>
    <s v="27-08-2026"/>
    <x v="0"/>
    <s v="R.M.P."/>
    <s v="RM 575"/>
    <s v="Purchase Withinstate - Raw Material"/>
    <s v="PIL1/D/1513"/>
    <s v="27-08-2026"/>
    <s v="SF"/>
    <s v="PP/PE Fabric"/>
    <s v="PP UL Fabric"/>
    <x v="1"/>
    <s v="PP UL Fabric With UV"/>
    <n v="1549"/>
    <n v="220453.68"/>
    <s v="PP UL Fabric With UV"/>
    <n v="259914.89"/>
    <n v="9"/>
    <n v="19840.830000000002"/>
    <n v="9"/>
    <n v="19840.830000000002"/>
    <n v="0"/>
    <n v="0"/>
    <n v="0"/>
    <n v="39681.660000000003"/>
    <n v="0"/>
    <s v="24AAACO3087C1ZT"/>
    <s v="Kgs"/>
    <n v="39269080"/>
    <s v="Rs."/>
    <n v="1"/>
    <n v="0"/>
  </r>
  <r>
    <s v="28-08-2026"/>
    <x v="0"/>
    <s v="General Purchase"/>
    <s v="GNCN 384"/>
    <s v="Purchase Withinstate- Stores, Spares &amp; Consumable"/>
    <s v="PIL1/D/1520"/>
    <s v="28-08-2026"/>
    <s v="Stores/Spares"/>
    <s v="MS Structure Items"/>
    <s v="Spares &amp; Stores"/>
    <x v="0"/>
    <s v="MS Pipe 4  C Class"/>
    <n v="310"/>
    <n v="14880"/>
    <s v="MS Pipe 4  C Class"/>
    <n v="17543.52"/>
    <n v="9"/>
    <n v="1339.2"/>
    <n v="9"/>
    <n v="1339.2"/>
    <n v="0"/>
    <n v="0"/>
    <n v="0"/>
    <n v="2678.4"/>
    <n v="0"/>
    <s v="24AAACO3087C1ZT"/>
    <s v="Kgs"/>
    <n v="73063090"/>
    <s v="Rs."/>
    <n v="1"/>
    <n v="0"/>
  </r>
  <r>
    <s v="28-08-2026"/>
    <x v="0"/>
    <s v="R.M.P."/>
    <s v="RM 576"/>
    <s v="Purchase Withinstate - Raw Material"/>
    <s v="PIL1/D/1521"/>
    <s v="28-08-2026"/>
    <s v="SF"/>
    <s v="PP/PE Fabric"/>
    <s v="PP UL Fabric"/>
    <x v="1"/>
    <s v="PP UL Fabric With UV"/>
    <n v="999"/>
    <n v="144175.67999999999"/>
    <s v="PP UL Fabric With UV"/>
    <n v="2023734.66"/>
    <n v="9"/>
    <n v="12975.81"/>
    <n v="9"/>
    <n v="12975.81"/>
    <n v="0"/>
    <n v="0"/>
    <n v="0"/>
    <n v="25951.62"/>
    <n v="0"/>
    <s v="24AAACO3087C1ZT"/>
    <s v="Kgs"/>
    <n v="39269080"/>
    <s v="Rs."/>
    <n v="1"/>
    <n v="0"/>
  </r>
  <r>
    <s v="28-08-2026"/>
    <x v="0"/>
    <s v="R.M.P."/>
    <s v="RM 576"/>
    <s v="Purchase Withinstate - Raw Material"/>
    <s v="PIL1/D/1521"/>
    <s v="28-08-2026"/>
    <s v="SF"/>
    <s v="PP/PE Fabric"/>
    <s v="PP UL Fabric"/>
    <x v="1"/>
    <s v="PP UL Fabric With UV"/>
    <n v="1593"/>
    <n v="231494.76"/>
    <s v="PP UL Fabric With UV"/>
    <n v="0"/>
    <n v="9"/>
    <n v="20834.53"/>
    <n v="9"/>
    <n v="20834.53"/>
    <n v="0"/>
    <n v="0"/>
    <n v="0"/>
    <n v="41669.06"/>
    <n v="0"/>
    <s v="24AAACO3087C1ZT"/>
    <s v="Kgs"/>
    <n v="39269080"/>
    <s v="Rs."/>
    <n v="1"/>
    <n v="0"/>
  </r>
  <r>
    <s v="28-08-2026"/>
    <x v="0"/>
    <s v="R.M.P."/>
    <s v="RM 576"/>
    <s v="Purchase Withinstate - Raw Material"/>
    <s v="PIL1/D/1521"/>
    <s v="28-08-2026"/>
    <s v="SF"/>
    <s v="PP/PE Fabric"/>
    <s v="PP UL Fabric"/>
    <x v="1"/>
    <s v="PP UL Fabric With UV"/>
    <n v="7188"/>
    <n v="1022996.16"/>
    <s v="PP UL Fabric With UV"/>
    <n v="0"/>
    <n v="9"/>
    <n v="92069.65"/>
    <n v="9"/>
    <n v="92069.65"/>
    <n v="0"/>
    <n v="0"/>
    <n v="0"/>
    <n v="184139.3"/>
    <n v="0"/>
    <s v="24AAACO3087C1ZT"/>
    <s v="Kgs"/>
    <n v="39269080"/>
    <s v="Rs."/>
    <n v="1"/>
    <n v="0"/>
  </r>
  <r>
    <s v="28-08-2026"/>
    <x v="0"/>
    <s v="R.M.P."/>
    <s v="RM 576"/>
    <s v="Purchase Withinstate - Raw Material"/>
    <s v="PIL1/D/1521"/>
    <s v="28-08-2026"/>
    <s v="SF"/>
    <s v="Liners"/>
    <s v="LDPE/LLDPE Bags"/>
    <x v="4"/>
    <s v="LDPE/LLDPE Bags/Liner"/>
    <n v="1797"/>
    <n v="317817.42"/>
    <s v="LDPE/LLDPE Bags/Liner"/>
    <n v="0"/>
    <n v="9"/>
    <n v="28603.57"/>
    <n v="9"/>
    <n v="28603.57"/>
    <n v="0"/>
    <n v="0"/>
    <n v="0"/>
    <n v="57207.14"/>
    <n v="0"/>
    <s v="24AAACO3087C1ZT"/>
    <s v="Kgs"/>
    <n v="39200000"/>
    <s v="Rs."/>
    <n v="1"/>
    <n v="0"/>
  </r>
  <r>
    <s v="28-08-2026"/>
    <x v="0"/>
    <s v="R.M.P."/>
    <s v="RM 577"/>
    <s v="Purchase Withinstate - Raw Material"/>
    <s v="PIL1/D/1522"/>
    <s v="28-08-2026"/>
    <s v="SF"/>
    <s v="Liners"/>
    <s v="LDPE/LLDPE Bags"/>
    <x v="4"/>
    <s v="LDPE/LLDPE Bags/Liner"/>
    <n v="3483"/>
    <n v="616003.38"/>
    <s v="LDPE/LLDPE Bags/Liner"/>
    <n v="1182589.3500000001"/>
    <n v="9"/>
    <n v="55440.3"/>
    <n v="9"/>
    <n v="55440.3"/>
    <n v="0"/>
    <n v="0"/>
    <n v="0"/>
    <n v="110880.6"/>
    <n v="0"/>
    <s v="24AAACO3087C1ZT"/>
    <s v="Kgs"/>
    <n v="39200000"/>
    <s v="Rs."/>
    <n v="1"/>
    <n v="3483"/>
  </r>
  <r>
    <s v="28-08-2026"/>
    <x v="0"/>
    <s v="R.M.P."/>
    <s v="RM 577"/>
    <s v="Purchase Withinstate - Raw Material"/>
    <s v="PIL1/D/1522"/>
    <s v="28-08-2026"/>
    <s v="RM Consumables"/>
    <s v="FIBC Accessories"/>
    <s v="FIBC Accessories"/>
    <x v="0"/>
    <s v="Zip Lock Bags"/>
    <n v="22800"/>
    <n v="80470.320000000007"/>
    <s v="Zip Lock Bags"/>
    <n v="0"/>
    <n v="9"/>
    <n v="7242.33"/>
    <n v="9"/>
    <n v="7242.33"/>
    <n v="0"/>
    <n v="0"/>
    <n v="0"/>
    <n v="14484.66"/>
    <n v="0"/>
    <s v="24AAACO3087C1ZT"/>
    <s v="Pcs"/>
    <n v="39232100"/>
    <s v="Rs."/>
    <n v="1"/>
    <n v="22800"/>
  </r>
  <r>
    <s v="28-08-2026"/>
    <x v="0"/>
    <s v="R.M.P."/>
    <s v="RM 577"/>
    <s v="Purchase Withinstate - Raw Material"/>
    <s v="PIL1/D/1522"/>
    <s v="28-08-2026"/>
    <s v="SF"/>
    <s v="Webbing"/>
    <s v="PP Webbing"/>
    <x v="2"/>
    <s v="Webbing"/>
    <n v="1104.3"/>
    <n v="159372.57999999999"/>
    <s v="Webbing"/>
    <n v="0"/>
    <n v="9"/>
    <n v="14343.53"/>
    <n v="9"/>
    <n v="14343.53"/>
    <n v="0"/>
    <n v="0"/>
    <n v="0"/>
    <n v="28687.06"/>
    <n v="0"/>
    <s v="24AAACO3087C1ZT"/>
    <s v="Kgs"/>
    <n v="3926908"/>
    <s v="Rs."/>
    <n v="1"/>
    <n v="1104.3"/>
  </r>
  <r>
    <s v="28-08-2026"/>
    <x v="0"/>
    <s v="R.M.P."/>
    <s v="RM 577"/>
    <s v="Purchase Withinstate - Raw Material"/>
    <s v="PIL1/D/1522"/>
    <s v="28-08-2026"/>
    <s v="SF"/>
    <s v="Webbing"/>
    <s v="PP Webbing"/>
    <x v="2"/>
    <s v="Webbing"/>
    <n v="17.3"/>
    <n v="2911.94"/>
    <s v="Webbing"/>
    <n v="0"/>
    <n v="9"/>
    <n v="262.07"/>
    <n v="9"/>
    <n v="262.07"/>
    <n v="0"/>
    <n v="0"/>
    <n v="0"/>
    <n v="524.14"/>
    <n v="0"/>
    <s v="24AAACO3087C1ZT"/>
    <s v="Kgs"/>
    <n v="3926908"/>
    <s v="Rs."/>
    <n v="1"/>
    <n v="17.3"/>
  </r>
  <r>
    <s v="28-08-2026"/>
    <x v="0"/>
    <s v="R.M.P."/>
    <s v="RM 577"/>
    <s v="Purchase Withinstate - Raw Material"/>
    <s v="PIL1/D/1522"/>
    <s v="28-08-2026"/>
    <s v="SF"/>
    <s v="Webbing"/>
    <s v="PP Webbing"/>
    <x v="2"/>
    <s v="Webbing"/>
    <n v="979.4"/>
    <n v="144285.21"/>
    <s v="Webbing"/>
    <n v="0"/>
    <n v="9"/>
    <n v="12985.67"/>
    <n v="9"/>
    <n v="12985.67"/>
    <n v="0"/>
    <n v="0"/>
    <n v="0"/>
    <n v="25971.34"/>
    <n v="0"/>
    <s v="24AAACO3087C1ZT"/>
    <s v="Kgs"/>
    <n v="3926908"/>
    <s v="Rs."/>
    <n v="1"/>
    <n v="979.4"/>
  </r>
  <r>
    <s v="28-08-2026"/>
    <x v="2"/>
    <s v="General Purchase"/>
    <s v="GNSP 169"/>
    <s v="Purchase Withinstate- Stores, Spares &amp; Consumable"/>
    <s v="PPL/D/548"/>
    <s v="28-08-2026"/>
    <s v="Stores/Spares"/>
    <s v="Stitching Spares"/>
    <s v="Spares &amp; Stores"/>
    <x v="0"/>
    <s v="Cross Looper For Double Lock Stitch   (81311 B)"/>
    <n v="2"/>
    <n v="610"/>
    <s v="Cross Looper For Double Lock Stitch   (81311 B)"/>
    <n v="5022.54"/>
    <n v="9"/>
    <n v="54.9"/>
    <n v="9"/>
    <n v="54.9"/>
    <n v="0"/>
    <n v="0"/>
    <n v="0"/>
    <n v="109.8"/>
    <n v="0"/>
    <s v="24AAFCP2956A1ZR"/>
    <s v="Pcs"/>
    <n v="84529099"/>
    <s v="Rs."/>
    <n v="1"/>
    <n v="0"/>
  </r>
  <r>
    <s v="28-08-2026"/>
    <x v="2"/>
    <s v="General Purchase"/>
    <s v="GNSP 169"/>
    <s v="Purchase Withinstate- Stores, Spares &amp; Consumable"/>
    <s v="PPL/D/548"/>
    <s v="28-08-2026"/>
    <s v="Stores/Spares"/>
    <s v="Stitching Spares"/>
    <s v="Spares &amp; Stores"/>
    <x v="0"/>
    <s v="Spreader Lever 81313 A"/>
    <n v="1"/>
    <n v="3650"/>
    <s v="Spreader Lever 81313 A"/>
    <n v="0"/>
    <n v="9"/>
    <n v="328.5"/>
    <n v="9"/>
    <n v="328.5"/>
    <n v="0"/>
    <n v="0"/>
    <n v="0"/>
    <n v="657"/>
    <n v="0"/>
    <s v="24AAFCP2956A1ZR"/>
    <s v="Pcs"/>
    <n v="84529099"/>
    <s v="Rs."/>
    <n v="1"/>
    <n v="0"/>
  </r>
  <r>
    <s v="29-08-2026"/>
    <x v="41"/>
    <s v="General Purchase"/>
    <s v="GNCN 385"/>
    <s v="Purchase Withinstate- Stores, Spares &amp; Consumable"/>
    <s v="T-1504"/>
    <s v="27-08-2026"/>
    <s v="Consumables"/>
    <s v="Paint"/>
    <s v="Spares &amp; Stores"/>
    <x v="0"/>
    <s v="Oil Paint Brown"/>
    <n v="20"/>
    <n v="4097.4399999999996"/>
    <s v="Oil Paint Brown"/>
    <n v="8139"/>
    <n v="9"/>
    <n v="368.77"/>
    <n v="9"/>
    <n v="368.77"/>
    <n v="0"/>
    <n v="0"/>
    <n v="0"/>
    <n v="737.54"/>
    <n v="0"/>
    <s v="24AGRPS7882B1ZW"/>
    <s v="Ltr"/>
    <n v="32081010"/>
    <s v="Rs."/>
    <n v="1"/>
    <n v="0"/>
  </r>
  <r>
    <s v="29-08-2026"/>
    <x v="41"/>
    <s v="General Purchase"/>
    <s v="GNCN 385"/>
    <s v="Purchase Withinstate- Stores, Spares &amp; Consumable"/>
    <s v="T-1504"/>
    <s v="27-08-2026"/>
    <s v="Consumables"/>
    <s v="Paint"/>
    <s v="Spares &amp; Stores"/>
    <x v="0"/>
    <s v="Brush 6&quot;"/>
    <n v="5"/>
    <n v="600"/>
    <s v="Brush 6&quot;"/>
    <n v="0"/>
    <n v="9"/>
    <n v="54"/>
    <n v="9"/>
    <n v="54"/>
    <n v="0"/>
    <n v="0"/>
    <n v="0"/>
    <n v="108"/>
    <n v="0"/>
    <s v="24AGRPS7882B1ZW"/>
    <s v="Pcs"/>
    <n v="9603400"/>
    <s v="Rs."/>
    <n v="1"/>
    <n v="0"/>
  </r>
  <r>
    <s v="29-08-2026"/>
    <x v="41"/>
    <s v="General Purchase"/>
    <s v="GNCN 385"/>
    <s v="Purchase Withinstate- Stores, Spares &amp; Consumable"/>
    <s v="T-1504"/>
    <s v="27-08-2026"/>
    <s v="Consumables"/>
    <s v="Paint"/>
    <s v="Spares &amp; Stores"/>
    <x v="0"/>
    <s v="Tarpin Oil ( Thinner ) 16 Ltr"/>
    <n v="20"/>
    <n v="2200"/>
    <s v="Tarpin Oil ( Thinner ) 16 Ltr"/>
    <n v="0"/>
    <n v="9"/>
    <n v="198"/>
    <n v="9"/>
    <n v="198"/>
    <n v="0"/>
    <n v="0"/>
    <n v="0"/>
    <n v="396"/>
    <n v="0"/>
    <s v="24AGRPS7882B1ZW"/>
    <s v="Ltr"/>
    <n v="380510"/>
    <s v="Rs."/>
    <n v="1"/>
    <n v="0"/>
  </r>
  <r>
    <s v="29-08-2026"/>
    <x v="42"/>
    <s v="General Purchase"/>
    <s v="GNSP 171"/>
    <s v="Purchase Withinstate- Stores, Spares &amp; Consumable"/>
    <s v="0779/26-27"/>
    <s v="24-08-2026"/>
    <s v="Stores/Spares"/>
    <s v="Hardware Items"/>
    <s v="Spares &amp; Stores"/>
    <x v="0"/>
    <s v="Measuring Tape 03 Mtr"/>
    <n v="50"/>
    <n v="2372.5"/>
    <s v="Measuring Tape 03 Mtr"/>
    <n v="3724"/>
    <n v="9"/>
    <n v="213.52"/>
    <n v="9"/>
    <n v="213.52"/>
    <n v="0"/>
    <n v="0"/>
    <n v="25.2"/>
    <n v="452.24"/>
    <n v="0"/>
    <s v="24AAYFA5084G1Z4"/>
    <s v="Pcs"/>
    <n v="82041110"/>
    <s v="Rs."/>
    <n v="1"/>
    <n v="0"/>
  </r>
  <r>
    <s v="29-08-2026"/>
    <x v="42"/>
    <s v="General Purchase"/>
    <s v="GNSP 171"/>
    <s v="Purchase Withinstate- Stores, Spares &amp; Consumable"/>
    <s v="0779/26-27"/>
    <s v="24-08-2026"/>
    <s v="Stores/Spares"/>
    <s v="Hardware Items"/>
    <s v="Spares &amp; Stores"/>
    <x v="0"/>
    <s v="Measuring Tape 05 Mtr"/>
    <n v="10"/>
    <n v="643.5"/>
    <s v="Measuring Tape 05 Mtr"/>
    <n v="0"/>
    <n v="9"/>
    <n v="57.92"/>
    <n v="9"/>
    <n v="57.92"/>
    <n v="0"/>
    <n v="0"/>
    <n v="25.2"/>
    <n v="141.04"/>
    <n v="0"/>
    <s v="24AAYFA5084G1Z4"/>
    <s v="Pcs"/>
    <n v="73141410"/>
    <s v="Rs."/>
    <n v="1"/>
    <n v="0"/>
  </r>
  <r>
    <s v="29-08-2026"/>
    <x v="25"/>
    <s v="General Purchase"/>
    <s v="GNSP 170"/>
    <s v="Purchase Withinstate- Stores, Spares &amp; Consumable"/>
    <n v="1608"/>
    <s v="25-08-2026"/>
    <s v="Consumables"/>
    <s v="Consumables Workshop"/>
    <s v="Spares &amp; Stores"/>
    <x v="0"/>
    <s v="Cutting Wheel 4 &quot; X 1.2 mm"/>
    <n v="100"/>
    <n v="1200"/>
    <s v="Cutting Wheel 4 &quot; X 1.2 mm"/>
    <n v="1416"/>
    <n v="9"/>
    <n v="108"/>
    <n v="9"/>
    <n v="108"/>
    <n v="0"/>
    <n v="0"/>
    <n v="0"/>
    <n v="216"/>
    <n v="0"/>
    <s v="24ABVPP9097Q1Z7"/>
    <s v="Pcs"/>
    <n v="68042290"/>
    <s v="Rs."/>
    <n v="1"/>
    <n v="0"/>
  </r>
  <r>
    <s v="29-08-2026"/>
    <x v="0"/>
    <s v="General Purchase"/>
    <s v="GNCN 387"/>
    <s v="Purchase Withinstate- Stores, Spares &amp; Consumable"/>
    <s v="PIL1/D/1528"/>
    <s v="29-08-2026"/>
    <s v="Stores/Spares"/>
    <s v="MS Structure Items"/>
    <s v="Spares &amp; Stores"/>
    <x v="0"/>
    <s v="MS Pipe 4  C Class"/>
    <n v="314"/>
    <n v="15072"/>
    <s v="MS Pipe 4  C Class"/>
    <n v="17769.89"/>
    <n v="9"/>
    <n v="1356.48"/>
    <n v="9"/>
    <n v="1356.48"/>
    <n v="0"/>
    <n v="0"/>
    <n v="0"/>
    <n v="2712.96"/>
    <n v="0"/>
    <s v="24AAACO3087C1ZT"/>
    <s v="Kgs"/>
    <n v="73063090"/>
    <s v="Rs."/>
    <n v="1"/>
    <n v="0"/>
  </r>
  <r>
    <s v="29-08-2026"/>
    <x v="0"/>
    <s v="R.M.P."/>
    <s v="RM 579"/>
    <s v="Purchase Withinstate - Raw Material"/>
    <s v="PIL1/D/1527"/>
    <s v="29-08-2026"/>
    <s v="SF"/>
    <s v="PP/PE Fabric"/>
    <s v="PP Lam Fabric"/>
    <x v="3"/>
    <s v="PP Lam Fabric With UV"/>
    <n v="15"/>
    <n v="5925"/>
    <s v="PP Lam Fabric With UV"/>
    <n v="1665659.13"/>
    <n v="9"/>
    <n v="533.25"/>
    <n v="9"/>
    <n v="533.25"/>
    <n v="0"/>
    <n v="0"/>
    <n v="0"/>
    <n v="1066.5"/>
    <n v="0"/>
    <s v="24AAACO3087C1ZT"/>
    <s v="Kgs"/>
    <n v="63053300"/>
    <s v="Rs."/>
    <n v="1"/>
    <n v="0"/>
  </r>
  <r>
    <s v="29-08-2026"/>
    <x v="0"/>
    <s v="R.M.P."/>
    <s v="RM 579"/>
    <s v="Purchase Withinstate - Raw Material"/>
    <s v="PIL1/D/1527"/>
    <s v="29-08-2026"/>
    <s v="SF"/>
    <s v="PP/PE Fabric"/>
    <s v="PP Lam Fabric"/>
    <x v="3"/>
    <s v="PP Lam Fabric With UV"/>
    <n v="566"/>
    <n v="82817.119999999995"/>
    <s v="PP Lam Fabric With UV"/>
    <n v="0"/>
    <n v="9"/>
    <n v="7453.54"/>
    <n v="9"/>
    <n v="7453.54"/>
    <n v="0"/>
    <n v="0"/>
    <n v="0"/>
    <n v="14907.08"/>
    <n v="0"/>
    <s v="24AAACO3087C1ZT"/>
    <s v="Kgs"/>
    <n v="63053300"/>
    <s v="Rs."/>
    <n v="1"/>
    <n v="0"/>
  </r>
  <r>
    <s v="29-08-2026"/>
    <x v="0"/>
    <s v="R.M.P."/>
    <s v="RM 579"/>
    <s v="Purchase Withinstate - Raw Material"/>
    <s v="PIL1/D/1527"/>
    <s v="29-08-2026"/>
    <s v="SF"/>
    <s v="PP/PE Fabric"/>
    <s v="PP UL Fabric"/>
    <x v="1"/>
    <s v="PP UL Fabric With UV"/>
    <n v="1713"/>
    <n v="248933.16"/>
    <s v="PP UL Fabric With UV"/>
    <n v="0"/>
    <n v="9"/>
    <n v="22403.98"/>
    <n v="9"/>
    <n v="22403.98"/>
    <n v="0"/>
    <n v="0"/>
    <n v="0"/>
    <n v="44807.96"/>
    <n v="0"/>
    <s v="24AAACO3087C1ZT"/>
    <s v="Kgs"/>
    <n v="39269080"/>
    <s v="Rs."/>
    <n v="1"/>
    <n v="0"/>
  </r>
  <r>
    <s v="29-08-2026"/>
    <x v="0"/>
    <s v="R.M.P."/>
    <s v="RM 579"/>
    <s v="Purchase Withinstate - Raw Material"/>
    <s v="PIL1/D/1527"/>
    <s v="29-08-2026"/>
    <s v="SF"/>
    <s v="PP/PE Fabric"/>
    <s v="PP UL Fabric"/>
    <x v="1"/>
    <s v="PP UL Fabric With UV"/>
    <n v="1287"/>
    <n v="185739.84"/>
    <s v="PP UL Fabric With UV"/>
    <n v="0"/>
    <n v="9"/>
    <n v="16716.59"/>
    <n v="9"/>
    <n v="16716.59"/>
    <n v="0"/>
    <n v="0"/>
    <n v="0"/>
    <n v="33433.18"/>
    <n v="0"/>
    <s v="24AAACO3087C1ZT"/>
    <s v="Kgs"/>
    <n v="39269080"/>
    <s v="Rs."/>
    <n v="1"/>
    <n v="0"/>
  </r>
  <r>
    <s v="29-08-2026"/>
    <x v="0"/>
    <s v="R.M.P."/>
    <s v="RM 579"/>
    <s v="Purchase Withinstate - Raw Material"/>
    <s v="PIL1/D/1527"/>
    <s v="29-08-2026"/>
    <s v="SF"/>
    <s v="PP/PE Fabric"/>
    <s v="PP UL Fabric"/>
    <x v="1"/>
    <s v="PP UL Fabric With UV"/>
    <n v="6249"/>
    <n v="889357.68"/>
    <s v="PP UL Fabric With UV"/>
    <n v="0"/>
    <n v="9"/>
    <n v="80042.19"/>
    <n v="9"/>
    <n v="80042.19"/>
    <n v="0"/>
    <n v="0"/>
    <n v="0"/>
    <n v="160084.38"/>
    <n v="0"/>
    <s v="24AAACO3087C1ZT"/>
    <s v="Kgs"/>
    <n v="39269080"/>
    <s v="Rs."/>
    <n v="1"/>
    <n v="0"/>
  </r>
  <r>
    <s v="29-08-2026"/>
    <x v="0"/>
    <s v="R.M.P."/>
    <s v="RM 580"/>
    <s v="Purchase Withinstate - Raw Material"/>
    <s v="PIL1/D/1529"/>
    <s v="29-08-2026"/>
    <s v="SF"/>
    <s v="PP/PE Fabric"/>
    <s v="PP UL Fabric"/>
    <x v="1"/>
    <s v="PP UL Fabric With UV"/>
    <n v="443"/>
    <n v="63047.76"/>
    <s v="PP UL Fabric With UV"/>
    <n v="505729.58"/>
    <n v="9"/>
    <n v="5674.3"/>
    <n v="9"/>
    <n v="5674.3"/>
    <n v="0"/>
    <n v="0"/>
    <n v="0"/>
    <n v="11348.6"/>
    <n v="0"/>
    <s v="24AAACO3087C1ZT"/>
    <s v="Kgs"/>
    <n v="39269080"/>
    <s v="Rs."/>
    <n v="1"/>
    <n v="0"/>
  </r>
  <r>
    <s v="29-08-2026"/>
    <x v="0"/>
    <s v="R.M.P."/>
    <s v="RM 580"/>
    <s v="Purchase Withinstate - Raw Material"/>
    <s v="PIL1/D/1529"/>
    <s v="29-08-2026"/>
    <s v="SF"/>
    <s v="Webbing"/>
    <s v="PP Webbing"/>
    <x v="2"/>
    <s v="Webbing"/>
    <n v="704"/>
    <n v="103713.28"/>
    <s v="Webbing"/>
    <n v="0"/>
    <n v="9"/>
    <n v="9334.2000000000007"/>
    <n v="9"/>
    <n v="9334.2000000000007"/>
    <n v="0"/>
    <n v="0"/>
    <n v="0"/>
    <n v="18668.400000000001"/>
    <n v="0"/>
    <s v="24AAACO3087C1ZT"/>
    <s v="Kgs"/>
    <n v="3926908"/>
    <s v="Rs."/>
    <n v="1"/>
    <n v="0"/>
  </r>
  <r>
    <s v="29-08-2026"/>
    <x v="0"/>
    <s v="R.M.P."/>
    <s v="RM 580"/>
    <s v="Purchase Withinstate - Raw Material"/>
    <s v="PIL1/D/1529"/>
    <s v="29-08-2026"/>
    <s v="SF"/>
    <s v="Webbing"/>
    <s v="PP Webbing"/>
    <x v="2"/>
    <s v="Webbing"/>
    <n v="709.3"/>
    <n v="102366.18"/>
    <s v="Webbing"/>
    <n v="0"/>
    <n v="9"/>
    <n v="9212.9599999999991"/>
    <n v="9"/>
    <n v="9212.9599999999991"/>
    <n v="0"/>
    <n v="0"/>
    <n v="0"/>
    <n v="18425.919999999998"/>
    <n v="0"/>
    <s v="24AAACO3087C1ZT"/>
    <s v="Kgs"/>
    <n v="3926908"/>
    <s v="Rs."/>
    <n v="1"/>
    <n v="0"/>
  </r>
  <r>
    <s v="29-08-2026"/>
    <x v="0"/>
    <s v="R.M.P."/>
    <s v="RM 580"/>
    <s v="Purchase Withinstate - Raw Material"/>
    <s v="PIL1/D/1529"/>
    <s v="29-08-2026"/>
    <s v="SF"/>
    <s v="Webbing"/>
    <s v="PP Webbing"/>
    <x v="2"/>
    <s v="Webbing"/>
    <n v="15.4"/>
    <n v="2592.13"/>
    <s v="Webbing"/>
    <n v="0"/>
    <n v="9"/>
    <n v="233.29"/>
    <n v="9"/>
    <n v="233.29"/>
    <n v="0"/>
    <n v="0"/>
    <n v="0"/>
    <n v="466.58"/>
    <n v="0"/>
    <s v="24AAACO3087C1ZT"/>
    <s v="Kgs"/>
    <n v="3926908"/>
    <s v="Rs."/>
    <n v="1"/>
    <n v="0"/>
  </r>
  <r>
    <s v="29-08-2026"/>
    <x v="0"/>
    <s v="R.M.P."/>
    <s v="RM 580"/>
    <s v="Purchase Withinstate - Raw Material"/>
    <s v="PIL1/D/1529"/>
    <s v="29-08-2026"/>
    <s v="SF"/>
    <s v="Liners"/>
    <s v="LDPE/LLDPE Bags"/>
    <x v="4"/>
    <s v="LDPE/LLDPE Bags/Liner"/>
    <n v="50"/>
    <n v="8843"/>
    <s v="LDPE/LLDPE Bags/Liner"/>
    <n v="0"/>
    <n v="9"/>
    <n v="795.87"/>
    <n v="9"/>
    <n v="795.87"/>
    <n v="0"/>
    <n v="0"/>
    <n v="0"/>
    <n v="1591.74"/>
    <n v="0"/>
    <s v="24AAACO3087C1ZT"/>
    <s v="Kgs"/>
    <n v="39200000"/>
    <s v="Rs."/>
    <n v="1"/>
    <n v="0"/>
  </r>
  <r>
    <s v="29-08-2026"/>
    <x v="0"/>
    <s v="R.M.P."/>
    <s v="RM 580"/>
    <s v="Purchase Withinstate - Raw Material"/>
    <s v="PIL1/D/1529"/>
    <s v="29-08-2026"/>
    <s v="SF"/>
    <s v="Liners"/>
    <s v="LDPE/LLDPE Bags"/>
    <x v="4"/>
    <s v="LDPE/LLDPE Bags/Liner"/>
    <n v="839"/>
    <n v="148385.54"/>
    <s v="LDPE/LLDPE Bags/Liner"/>
    <n v="0"/>
    <n v="9"/>
    <n v="13354.7"/>
    <n v="9"/>
    <n v="13354.7"/>
    <n v="0"/>
    <n v="0"/>
    <n v="0"/>
    <n v="26709.4"/>
    <n v="0"/>
    <s v="24AAACO3087C1ZT"/>
    <s v="Kgs"/>
    <n v="39200000"/>
    <s v="Rs."/>
    <n v="1"/>
    <n v="0"/>
  </r>
  <r>
    <s v="29-08-2026"/>
    <x v="0"/>
    <s v="R.M.P."/>
    <s v="RM 581"/>
    <s v="Purchase Withinstate - Raw Material"/>
    <s v="PIL1/D/1531"/>
    <s v="29-08-2026"/>
    <s v="SF"/>
    <s v="PP/PE Fabric"/>
    <s v="PP Lam Fabric"/>
    <x v="3"/>
    <s v="PP Lam Fabric With UV"/>
    <n v="546"/>
    <n v="81528.72"/>
    <s v="PP Lam Fabric With UV"/>
    <n v="96122.35"/>
    <n v="9"/>
    <n v="7337.58"/>
    <n v="9"/>
    <n v="7337.58"/>
    <n v="0"/>
    <n v="0"/>
    <n v="0"/>
    <n v="14675.16"/>
    <n v="0"/>
    <s v="24AAACO3087C1ZT"/>
    <s v="Kgs"/>
    <n v="63053300"/>
    <s v="Rs."/>
    <n v="1"/>
    <n v="0"/>
  </r>
  <r>
    <s v="29-08-2026"/>
    <x v="2"/>
    <s v="General Purchase"/>
    <s v="GNCN 386"/>
    <s v="Purchase Withinstate- Stores, Spares &amp; Consumable"/>
    <s v="PPL/D/553"/>
    <s v="29-08-2026"/>
    <s v="Stores/Spares"/>
    <s v="MS Structure Items"/>
    <s v="Spares &amp; Stores"/>
    <x v="0"/>
    <s v="MS Pipe 4  C Class"/>
    <n v="29"/>
    <n v="1392"/>
    <s v="MS Pipe 4  C Class"/>
    <n v="1641.17"/>
    <n v="9"/>
    <n v="125.28"/>
    <n v="9"/>
    <n v="125.28"/>
    <n v="0"/>
    <n v="0"/>
    <n v="0"/>
    <n v="250.56"/>
    <n v="0"/>
    <s v="24AAFCP2956A1ZR"/>
    <s v="Kgs"/>
    <n v="73063090"/>
    <s v="Rs."/>
    <n v="1"/>
    <n v="0"/>
  </r>
  <r>
    <s v="29-08-2026"/>
    <x v="2"/>
    <s v="R.M.P."/>
    <s v="RM 578"/>
    <s v="Purchase Withinstate - Raw Material"/>
    <s v="PPL/D/552"/>
    <s v="29-08-2026"/>
    <s v="SF"/>
    <s v="PP/PE Fabric"/>
    <s v="PP UL Fabric"/>
    <x v="1"/>
    <s v="PP UL Fabric With UV"/>
    <n v="788.3"/>
    <n v="105301.11"/>
    <s v="PP UL Fabric With UV"/>
    <n v="163241.85"/>
    <n v="9"/>
    <n v="9477.1"/>
    <n v="9"/>
    <n v="9477.1"/>
    <n v="0"/>
    <n v="0"/>
    <n v="0"/>
    <n v="18954.2"/>
    <n v="0"/>
    <s v="24AAFCP2956A1ZR"/>
    <s v="Kgs"/>
    <n v="39269080"/>
    <s v="Rs."/>
    <n v="1"/>
    <n v="0"/>
  </r>
  <r>
    <s v="29-08-2026"/>
    <x v="2"/>
    <s v="R.M.P."/>
    <s v="RM 578"/>
    <s v="Purchase Withinstate - Raw Material"/>
    <s v="PPL/D/552"/>
    <s v="29-08-2026"/>
    <s v="SF"/>
    <s v="PP/PE Fabric"/>
    <s v="PP Lam Fabric"/>
    <x v="3"/>
    <s v="PP Lam Fabric With UV"/>
    <n v="241"/>
    <n v="33156.78"/>
    <s v="PP Lam Fabric With UV"/>
    <n v="0"/>
    <n v="9"/>
    <n v="2984.11"/>
    <n v="9"/>
    <n v="2984.11"/>
    <n v="0"/>
    <n v="0"/>
    <n v="0"/>
    <n v="5968.22"/>
    <n v="0"/>
    <s v="24AAFCP2956A1ZR"/>
    <s v="Kgs"/>
    <n v="63053300"/>
    <s v="Rs."/>
    <n v="1"/>
    <n v="0"/>
  </r>
  <r>
    <s v="29-08-2026"/>
    <x v="34"/>
    <s v="Purchase"/>
    <s v="GNPK 86"/>
    <s v="Purchase Withinstate- Packing Material"/>
    <s v="SSE/2026-27/1225"/>
    <s v="27-08-2026"/>
    <s v="Packing Material"/>
    <s v="Pallets"/>
    <s v="Pallets"/>
    <x v="8"/>
    <s v="Pine Wooden Pallet Design Code STD90110"/>
    <n v="200"/>
    <n v="163000"/>
    <s v="Pine Wooden Pallet Design Code STD90110"/>
    <n v="171150"/>
    <n v="2.5"/>
    <n v="4075"/>
    <n v="2.5"/>
    <n v="4075"/>
    <n v="0"/>
    <n v="0"/>
    <n v="0"/>
    <n v="8150"/>
    <n v="0"/>
    <s v="24AIEPG9602Q1ZZ"/>
    <s v="Pcs"/>
    <n v="44152000"/>
    <s v="Rs."/>
    <n v="1"/>
    <n v="0"/>
  </r>
  <r>
    <s v="30-08-2026"/>
    <x v="14"/>
    <s v="Branch Transfer In"/>
    <s v="RM 582"/>
    <s v="Branch Transfer In - Raw Material"/>
    <s v="HPBL/DC/43"/>
    <s v="27-08-2026"/>
    <s v="SF"/>
    <s v="Liners"/>
    <s v="LDPE/LLDPE Bags"/>
    <x v="10"/>
    <s v="DOC Pouch"/>
    <n v="890"/>
    <n v="152145.5"/>
    <s v="DOC Pouch"/>
    <n v="152145.5"/>
    <n v="0"/>
    <n v="0"/>
    <n v="0"/>
    <n v="0"/>
    <n v="0"/>
    <n v="0"/>
    <n v="0"/>
    <n v="0"/>
    <n v="0"/>
    <s v="24AABCG1282C2Z6"/>
    <s v="Kgs"/>
    <n v="39232100"/>
    <s v="Rs."/>
    <n v="1"/>
    <n v="0"/>
  </r>
  <r>
    <s v="30-08-2026"/>
    <x v="14"/>
    <s v="Branch Transfer In"/>
    <s v="RM 583"/>
    <s v="Branch Transfer In - Trading"/>
    <s v="HPBL/DC/45"/>
    <s v="29-08-2026"/>
    <s v="FG"/>
    <s v="Small Bags"/>
    <s v="PP Bags"/>
    <x v="11"/>
    <s v="PP UL Bags Without UV"/>
    <n v="3593.8"/>
    <n v="626075.9"/>
    <s v="PP UL Bags Without UV"/>
    <n v="626075.9"/>
    <n v="0"/>
    <n v="0"/>
    <n v="0"/>
    <n v="0"/>
    <n v="0"/>
    <n v="0"/>
    <n v="0"/>
    <n v="0"/>
    <n v="0"/>
    <s v="24AABCG1282C2Z6"/>
    <s v="Kgs"/>
    <n v="39232990"/>
    <s v="Rs."/>
    <n v="1"/>
    <n v="0"/>
  </r>
  <r>
    <s v="30-08-2026"/>
    <x v="0"/>
    <s v="General Purchase"/>
    <s v="GNCN 388"/>
    <s v="Purchase Withinstate- Stores, Spares &amp; Consumable"/>
    <s v="PIL1/D/1538"/>
    <s v="30-08-2026"/>
    <s v="Stores/Spares"/>
    <s v="MS Structure Items"/>
    <s v="Spares &amp; Stores"/>
    <x v="0"/>
    <s v="MS Pipe 4  C Class"/>
    <n v="254"/>
    <n v="12192"/>
    <s v="MS Pipe 4  C Class"/>
    <n v="14374.37"/>
    <n v="9"/>
    <n v="1097.28"/>
    <n v="9"/>
    <n v="1097.28"/>
    <n v="0"/>
    <n v="0"/>
    <n v="0"/>
    <n v="2194.56"/>
    <n v="0"/>
    <s v="24AAACO3087C1ZT"/>
    <s v="Kgs"/>
    <n v="73063090"/>
    <s v="Rs."/>
    <n v="1"/>
    <n v="0"/>
  </r>
  <r>
    <s v="30-08-2026"/>
    <x v="0"/>
    <s v="R.M.P."/>
    <s v="RM 584"/>
    <s v="Purchase Withinstate - Raw Material"/>
    <s v="PIL1/D/1535"/>
    <s v="29-08-2026"/>
    <s v="SF"/>
    <s v="Liners"/>
    <s v="LDPE/LLDPE Bags"/>
    <x v="4"/>
    <s v="LDPE/LLDPE Bags/Liner"/>
    <n v="1208"/>
    <n v="213646.88"/>
    <s v="LDPE/LLDPE Bags/Liner"/>
    <n v="251889.67"/>
    <n v="9"/>
    <n v="19228.22"/>
    <n v="9"/>
    <n v="19228.22"/>
    <n v="0"/>
    <n v="0"/>
    <n v="0"/>
    <n v="38456.44"/>
    <n v="0"/>
    <s v="24AAACO3087C1ZT"/>
    <s v="Kgs"/>
    <n v="39200000"/>
    <s v="Rs."/>
    <n v="1"/>
    <n v="0"/>
  </r>
  <r>
    <s v="30-08-2026"/>
    <x v="0"/>
    <s v="R.M.P."/>
    <s v="RM 585"/>
    <s v="Purchase Withinstate - Raw Material"/>
    <s v="PIL1/D/1537"/>
    <s v="30-08-2026"/>
    <s v="SF"/>
    <s v="PP/PE Fabric"/>
    <s v="PP UL Fabric"/>
    <x v="1"/>
    <s v="PP UL Fabric With UV"/>
    <n v="8120"/>
    <n v="1155638.3999999999"/>
    <s v="PP UL Fabric With UV"/>
    <n v="1720383.61"/>
    <n v="9"/>
    <n v="104007.46"/>
    <n v="9"/>
    <n v="104007.46"/>
    <n v="0"/>
    <n v="0"/>
    <n v="0"/>
    <n v="208014.92"/>
    <n v="0"/>
    <s v="24AAACO3087C1ZT"/>
    <s v="Kgs"/>
    <n v="39269080"/>
    <s v="Rs."/>
    <n v="1"/>
    <n v="0"/>
  </r>
  <r>
    <s v="30-08-2026"/>
    <x v="0"/>
    <s v="R.M.P."/>
    <s v="RM 585"/>
    <s v="Purchase Withinstate - Raw Material"/>
    <s v="PIL1/D/1537"/>
    <s v="30-08-2026"/>
    <s v="SF"/>
    <s v="PP/PE Fabric"/>
    <s v="PP UL Fabric"/>
    <x v="1"/>
    <s v="PP UL Fabric With UV"/>
    <n v="1200"/>
    <n v="174384"/>
    <s v="PP UL Fabric With UV"/>
    <n v="0"/>
    <n v="9"/>
    <n v="15694.56"/>
    <n v="9"/>
    <n v="15694.56"/>
    <n v="0"/>
    <n v="0"/>
    <n v="0"/>
    <n v="31389.119999999999"/>
    <n v="0"/>
    <s v="24AAACO3087C1ZT"/>
    <s v="Kgs"/>
    <n v="39269080"/>
    <s v="Rs."/>
    <n v="1"/>
    <n v="0"/>
  </r>
  <r>
    <s v="30-08-2026"/>
    <x v="0"/>
    <s v="R.M.P."/>
    <s v="RM 585"/>
    <s v="Purchase Withinstate - Raw Material"/>
    <s v="PIL1/D/1537"/>
    <s v="30-08-2026"/>
    <s v="SF"/>
    <s v="PP/PE Fabric"/>
    <s v="PP UL Fabric"/>
    <x v="1"/>
    <s v="PP UL Fabric With UV"/>
    <n v="895"/>
    <n v="129166.39999999999"/>
    <s v="PP UL Fabric With UV"/>
    <n v="0"/>
    <n v="9"/>
    <n v="11624.98"/>
    <n v="9"/>
    <n v="11624.98"/>
    <n v="0"/>
    <n v="0"/>
    <n v="0"/>
    <n v="23249.96"/>
    <n v="0"/>
    <s v="24AAACO3087C1ZT"/>
    <s v="Kgs"/>
    <n v="39269080"/>
    <s v="Rs."/>
    <n v="1"/>
    <n v="0"/>
  </r>
  <r>
    <s v="30-08-2026"/>
    <x v="0"/>
    <s v="R.M.P."/>
    <s v="RM 586"/>
    <s v="Purchase Withinstate - Raw Material"/>
    <s v="PIL1/D/1539"/>
    <s v="30-08-2026"/>
    <s v="SF"/>
    <s v="PP/PE Fabric"/>
    <s v="PP Lam Fabric"/>
    <x v="3"/>
    <s v="PP Lam Fabric With UV"/>
    <n v="1487"/>
    <n v="217577.84"/>
    <s v="PP Lam Fabric With UV"/>
    <n v="2013633.88"/>
    <n v="9"/>
    <n v="19582.009999999998"/>
    <n v="9"/>
    <n v="19582.009999999998"/>
    <n v="0"/>
    <n v="0"/>
    <n v="0"/>
    <n v="39164.019999999997"/>
    <n v="0"/>
    <s v="24AAACO3087C1ZT"/>
    <s v="Kgs"/>
    <n v="63053300"/>
    <s v="Rs."/>
    <n v="1"/>
    <n v="0"/>
  </r>
  <r>
    <s v="30-08-2026"/>
    <x v="0"/>
    <s v="R.M.P."/>
    <s v="RM 586"/>
    <s v="Purchase Withinstate - Raw Material"/>
    <s v="PIL1/D/1539"/>
    <s v="30-08-2026"/>
    <s v="SF"/>
    <s v="PP/PE Fabric"/>
    <s v="PP Lam Fabric"/>
    <x v="3"/>
    <s v="PP Lam Fabric With UV"/>
    <n v="185"/>
    <n v="27624.2"/>
    <s v="PP Lam Fabric With UV"/>
    <n v="0"/>
    <n v="9"/>
    <n v="2486.1799999999998"/>
    <n v="9"/>
    <n v="2486.1799999999998"/>
    <n v="0"/>
    <n v="0"/>
    <n v="0"/>
    <n v="4972.3599999999997"/>
    <n v="0"/>
    <s v="24AAACO3087C1ZT"/>
    <s v="Kgs"/>
    <n v="63053300"/>
    <s v="Rs."/>
    <n v="1"/>
    <n v="0"/>
  </r>
  <r>
    <s v="30-08-2026"/>
    <x v="0"/>
    <s v="R.M.P."/>
    <s v="RM 586"/>
    <s v="Purchase Withinstate - Raw Material"/>
    <s v="PIL1/D/1539"/>
    <s v="30-08-2026"/>
    <s v="SF"/>
    <s v="PP/PE Fabric"/>
    <s v="PP UL Fabric"/>
    <x v="1"/>
    <s v="PP UL Fabric With UV"/>
    <n v="1466"/>
    <n v="208641.12"/>
    <s v="PP UL Fabric With UV"/>
    <n v="0"/>
    <n v="9"/>
    <n v="18777.7"/>
    <n v="9"/>
    <n v="18777.7"/>
    <n v="0"/>
    <n v="0"/>
    <n v="0"/>
    <n v="37555.4"/>
    <n v="0"/>
    <s v="24AAACO3087C1ZT"/>
    <s v="Kgs"/>
    <n v="39269080"/>
    <s v="Rs."/>
    <n v="1"/>
    <n v="0"/>
  </r>
  <r>
    <s v="30-08-2026"/>
    <x v="0"/>
    <s v="R.M.P."/>
    <s v="RM 586"/>
    <s v="Purchase Withinstate - Raw Material"/>
    <s v="PIL1/D/1539"/>
    <s v="30-08-2026"/>
    <s v="SF"/>
    <s v="PP/PE Fabric"/>
    <s v="PP UL Fabric"/>
    <x v="1"/>
    <s v="PP UL Fabric With UV"/>
    <n v="262"/>
    <n v="38073.839999999997"/>
    <s v="PP UL Fabric With UV"/>
    <n v="0"/>
    <n v="9"/>
    <n v="3426.65"/>
    <n v="9"/>
    <n v="3426.65"/>
    <n v="0"/>
    <n v="0"/>
    <n v="0"/>
    <n v="6853.3"/>
    <n v="0"/>
    <s v="24AAACO3087C1ZT"/>
    <s v="Kgs"/>
    <n v="39269080"/>
    <s v="Rs."/>
    <n v="1"/>
    <n v="0"/>
  </r>
  <r>
    <s v="30-08-2026"/>
    <x v="0"/>
    <s v="R.M.P."/>
    <s v="RM 586"/>
    <s v="Purchase Withinstate - Raw Material"/>
    <s v="PIL1/D/1539"/>
    <s v="30-08-2026"/>
    <s v="SF"/>
    <s v="Webbing"/>
    <s v="PP Webbing"/>
    <x v="2"/>
    <s v="Webbing"/>
    <n v="12.4"/>
    <n v="2087.17"/>
    <s v="Webbing"/>
    <n v="0"/>
    <n v="9"/>
    <n v="187.85"/>
    <n v="9"/>
    <n v="187.85"/>
    <n v="0"/>
    <n v="0"/>
    <n v="0"/>
    <n v="375.7"/>
    <n v="0"/>
    <s v="24AAACO3087C1ZT"/>
    <s v="Kgs"/>
    <n v="3926908"/>
    <s v="Rs."/>
    <n v="1"/>
    <n v="0"/>
  </r>
  <r>
    <s v="30-08-2026"/>
    <x v="0"/>
    <s v="R.M.P."/>
    <s v="RM 586"/>
    <s v="Purchase Withinstate - Raw Material"/>
    <s v="PIL1/D/1539"/>
    <s v="30-08-2026"/>
    <s v="SF"/>
    <s v="Webbing"/>
    <s v="PP Webbing"/>
    <x v="2"/>
    <s v="Webbing"/>
    <n v="6.8"/>
    <n v="1124.18"/>
    <s v="Webbing"/>
    <n v="0"/>
    <n v="9"/>
    <n v="101.18"/>
    <n v="9"/>
    <n v="101.18"/>
    <n v="0"/>
    <n v="0"/>
    <n v="0"/>
    <n v="202.36"/>
    <n v="0"/>
    <s v="24AAACO3087C1ZT"/>
    <s v="Kgs"/>
    <n v="3926908"/>
    <s v="Rs."/>
    <n v="1"/>
    <n v="0"/>
  </r>
  <r>
    <s v="30-08-2026"/>
    <x v="0"/>
    <s v="R.M.P."/>
    <s v="RM 586"/>
    <s v="Purchase Withinstate - Raw Material"/>
    <s v="PIL1/D/1539"/>
    <s v="30-08-2026"/>
    <s v="SF"/>
    <s v="Webbing"/>
    <s v="PP Webbing"/>
    <x v="2"/>
    <s v="Webbing"/>
    <n v="927.2"/>
    <n v="136595.1"/>
    <s v="Webbing"/>
    <n v="0"/>
    <n v="9"/>
    <n v="12293.56"/>
    <n v="9"/>
    <n v="12293.56"/>
    <n v="0"/>
    <n v="0"/>
    <n v="0"/>
    <n v="24587.119999999999"/>
    <n v="0"/>
    <s v="24AAACO3087C1ZT"/>
    <s v="Kgs"/>
    <n v="3926908"/>
    <s v="Rs."/>
    <n v="1"/>
    <n v="0"/>
  </r>
  <r>
    <s v="30-08-2026"/>
    <x v="0"/>
    <s v="R.M.P."/>
    <s v="RM 586"/>
    <s v="Purchase Withinstate - Raw Material"/>
    <s v="PIL1/D/1539"/>
    <s v="30-08-2026"/>
    <s v="SF"/>
    <s v="Webbing"/>
    <s v="PP Webbing"/>
    <x v="2"/>
    <s v="Webbing"/>
    <n v="1118.9000000000001"/>
    <n v="161479.65"/>
    <s v="Webbing"/>
    <n v="0"/>
    <n v="9"/>
    <n v="14533.17"/>
    <n v="9"/>
    <n v="14533.17"/>
    <n v="0"/>
    <n v="0"/>
    <n v="0"/>
    <n v="29066.34"/>
    <n v="0"/>
    <s v="24AAACO3087C1ZT"/>
    <s v="Kgs"/>
    <n v="3926908"/>
    <s v="Rs."/>
    <n v="1"/>
    <n v="0"/>
  </r>
  <r>
    <s v="30-08-2026"/>
    <x v="0"/>
    <s v="R.M.P."/>
    <s v="RM 586"/>
    <s v="Purchase Withinstate - Raw Material"/>
    <s v="PIL1/D/1539"/>
    <s v="30-08-2026"/>
    <s v="SF"/>
    <s v="Liners"/>
    <s v="LDPE/LLDPE Bags"/>
    <x v="4"/>
    <s v="LDPE/LLDPE Bags/Liner"/>
    <n v="4944"/>
    <n v="874395.84"/>
    <s v="LDPE/LLDPE Bags/Liner"/>
    <n v="0"/>
    <n v="9"/>
    <n v="78695.63"/>
    <n v="9"/>
    <n v="78695.63"/>
    <n v="0"/>
    <n v="0"/>
    <n v="0"/>
    <n v="157391.26"/>
    <n v="0"/>
    <s v="24AAACO3087C1ZT"/>
    <s v="Kgs"/>
    <n v="39200000"/>
    <s v="Rs."/>
    <n v="1"/>
    <n v="0"/>
  </r>
  <r>
    <s v="30-08-2026"/>
    <x v="0"/>
    <s v="R.M.P."/>
    <s v="RM 586"/>
    <s v="Purchase Withinstate - Raw Material"/>
    <s v="PIL1/D/1539"/>
    <s v="30-08-2026"/>
    <s v="RM Consumables"/>
    <s v="FIBC Accessories"/>
    <s v="FIBC Accessories"/>
    <x v="8"/>
    <s v="Zip Lock Bags"/>
    <n v="8400"/>
    <n v="29606.639999999999"/>
    <s v="Zip Lock Bags"/>
    <n v="0"/>
    <n v="9"/>
    <n v="2664.6"/>
    <n v="9"/>
    <n v="2664.6"/>
    <n v="0"/>
    <n v="0"/>
    <n v="0"/>
    <n v="5329.2"/>
    <n v="0"/>
    <s v="24AAACO3087C1ZT"/>
    <s v="Pcs"/>
    <n v="39232100"/>
    <s v="Rs."/>
    <n v="1"/>
    <n v="167.4"/>
  </r>
  <r>
    <s v="30-08-2026"/>
    <x v="0"/>
    <s v="R.M.P."/>
    <s v="RM 586"/>
    <s v="Purchase Withinstate - Raw Material"/>
    <s v="PIL1/D/1539"/>
    <s v="30-08-2026"/>
    <s v="SF"/>
    <s v="Yarn All"/>
    <s v="PP Yarn"/>
    <x v="6"/>
    <s v="PP Fibrillated Tape Twisted 3200 Blue"/>
    <n v="84"/>
    <n v="12038.88"/>
    <s v="PP Fibrillated Tape Twisted 3200 Blue"/>
    <n v="0"/>
    <n v="2.5"/>
    <n v="300.97000000000003"/>
    <n v="2.5"/>
    <n v="300.97000000000003"/>
    <n v="0"/>
    <n v="0"/>
    <n v="0"/>
    <n v="601.94000000000005"/>
    <n v="0"/>
    <s v="24AAACO3087C1ZT"/>
    <s v="Kgs"/>
    <n v="54026930"/>
    <s v="Rs."/>
    <n v="1"/>
    <n v="0"/>
  </r>
  <r>
    <s v="31-08-2026"/>
    <x v="1"/>
    <s v="General Purchase"/>
    <s v="GNCN 391"/>
    <s v="Purchase Withinstate- Stores, Spares &amp; Consumable"/>
    <s v="GP/26-27/97693"/>
    <s v="27-08-2026"/>
    <s v="Consumables"/>
    <s v="Oil &amp; Greases"/>
    <s v="Spares &amp; Stores"/>
    <x v="0"/>
    <s v="Diesel"/>
    <n v="600"/>
    <n v="58674"/>
    <s v="Diesel"/>
    <n v="58674"/>
    <n v="0"/>
    <n v="0"/>
    <n v="0"/>
    <n v="0"/>
    <n v="0"/>
    <n v="0"/>
    <n v="0"/>
    <n v="0"/>
    <n v="0"/>
    <s v="24ABJPV0976A1ZO"/>
    <s v="Ltr"/>
    <n v="27101930"/>
    <s v="Rs."/>
    <n v="1"/>
    <n v="0"/>
  </r>
  <r>
    <s v="31-08-2026"/>
    <x v="19"/>
    <s v="R.M.P."/>
    <s v="RM 588"/>
    <s v="Purchase Withinstate - Raw Material"/>
    <s v="KPV/D/696"/>
    <s v="30-08-2026"/>
    <s v="SF"/>
    <s v="Yarn All"/>
    <s v="PP Yarn"/>
    <x v="6"/>
    <s v="PP Fibrillated Tape Twisted 3200 Blue"/>
    <n v="383"/>
    <n v="61050.2"/>
    <s v="PP Fibrillated Tape Twisted 3200 Blue"/>
    <n v="94393.44"/>
    <n v="2.5"/>
    <n v="1526.26"/>
    <n v="2.5"/>
    <n v="1526.26"/>
    <n v="0"/>
    <n v="0"/>
    <n v="0"/>
    <n v="3052.52"/>
    <n v="0"/>
    <s v="24AAECK6307M1ZF"/>
    <s v="Kgs"/>
    <n v="54026930"/>
    <s v="Rs."/>
    <n v="1"/>
    <n v="0"/>
  </r>
  <r>
    <s v="31-08-2026"/>
    <x v="19"/>
    <s v="R.M.P."/>
    <s v="RM 588"/>
    <s v="Purchase Withinstate - Raw Material"/>
    <s v="KPV/D/696"/>
    <s v="30-08-2026"/>
    <s v="SF"/>
    <s v="Yarn All"/>
    <s v="PP Yarn"/>
    <x v="6"/>
    <s v="PP Fibrillated Tape Twisted 3200 MW"/>
    <n v="185"/>
    <n v="28934"/>
    <s v="PP Fibrillated Tape Twisted 3200 MW"/>
    <n v="0"/>
    <n v="2.5"/>
    <n v="723.35"/>
    <n v="2.5"/>
    <n v="723.35"/>
    <n v="0"/>
    <n v="0"/>
    <n v="0"/>
    <n v="1446.7"/>
    <n v="0"/>
    <s v="24AAECK6307M1ZF"/>
    <s v="Kgs"/>
    <n v="54026930"/>
    <s v="Rs."/>
    <n v="1"/>
    <n v="0"/>
  </r>
  <r>
    <s v="31-08-2026"/>
    <x v="0"/>
    <s v="General Purchase"/>
    <s v="GNCN 389"/>
    <s v="Purchase Withinstate- Stores, Spares &amp; Consumable"/>
    <s v="PIL1/D/1543"/>
    <s v="31-08-2026"/>
    <s v="Stores/Spares"/>
    <s v="MS Structure Items"/>
    <s v="Spares &amp; Stores"/>
    <x v="0"/>
    <s v="MS Pipe 4  C Class"/>
    <n v="366"/>
    <n v="17568"/>
    <s v="MS Pipe 4  C Class"/>
    <n v="20712.669999999998"/>
    <n v="9"/>
    <n v="1581.12"/>
    <n v="9"/>
    <n v="1581.12"/>
    <n v="0"/>
    <n v="0"/>
    <n v="0"/>
    <n v="3162.24"/>
    <n v="0"/>
    <s v="24AAACO3087C1ZT"/>
    <s v="Kgs"/>
    <n v="73063090"/>
    <s v="Rs."/>
    <n v="1"/>
    <n v="0"/>
  </r>
  <r>
    <s v="31-08-2026"/>
    <x v="0"/>
    <s v="R.M.P."/>
    <s v="RM 589"/>
    <s v="Purchase Withinstate - Raw Material"/>
    <s v="PIL1/D/1542"/>
    <s v="31-08-2026"/>
    <s v="SF"/>
    <s v="PP/PE Fabric"/>
    <s v="PP UL Fabric"/>
    <x v="1"/>
    <s v="PP UL Fabric With UV"/>
    <n v="1337"/>
    <n v="194292.84"/>
    <s v="PP UL Fabric With UV"/>
    <n v="1380377.22"/>
    <n v="9"/>
    <n v="17486.36"/>
    <n v="9"/>
    <n v="17486.36"/>
    <n v="0"/>
    <n v="0"/>
    <n v="0"/>
    <n v="34972.720000000001"/>
    <n v="0"/>
    <s v="24AAACO3087C1ZT"/>
    <s v="Kgs"/>
    <n v="39269080"/>
    <s v="Rs."/>
    <n v="1"/>
    <n v="0"/>
  </r>
  <r>
    <s v="31-08-2026"/>
    <x v="0"/>
    <s v="R.M.P."/>
    <s v="RM 589"/>
    <s v="Purchase Withinstate - Raw Material"/>
    <s v="PIL1/D/1542"/>
    <s v="31-08-2026"/>
    <s v="SF"/>
    <s v="PP/PE Fabric"/>
    <s v="PP UL Fabric"/>
    <x v="1"/>
    <s v="PP UL Fabric With UV"/>
    <n v="240"/>
    <n v="34636.800000000003"/>
    <s v="PP UL Fabric With UV"/>
    <n v="0"/>
    <n v="9"/>
    <n v="3117.31"/>
    <n v="9"/>
    <n v="3117.31"/>
    <n v="0"/>
    <n v="0"/>
    <n v="0"/>
    <n v="6234.62"/>
    <n v="0"/>
    <s v="24AAACO3087C1ZT"/>
    <s v="Kgs"/>
    <n v="39269080"/>
    <s v="Rs."/>
    <n v="1"/>
    <n v="0"/>
  </r>
  <r>
    <s v="31-08-2026"/>
    <x v="0"/>
    <s v="R.M.P."/>
    <s v="RM 589"/>
    <s v="Purchase Withinstate - Raw Material"/>
    <s v="PIL1/D/1542"/>
    <s v="31-08-2026"/>
    <s v="SF"/>
    <s v="PP/PE Fabric"/>
    <s v="PP UL Fabric"/>
    <x v="1"/>
    <s v="PP UL Fabric With UV"/>
    <n v="6618"/>
    <n v="941873.76"/>
    <s v="PP UL Fabric With UV"/>
    <n v="0"/>
    <n v="9"/>
    <n v="84768.639999999999"/>
    <n v="9"/>
    <n v="84768.639999999999"/>
    <n v="0"/>
    <n v="0"/>
    <n v="0"/>
    <n v="169537.28"/>
    <n v="0"/>
    <s v="24AAACO3087C1ZT"/>
    <s v="Kgs"/>
    <n v="39269080"/>
    <s v="Rs."/>
    <n v="1"/>
    <n v="0"/>
  </r>
  <r>
    <s v="31-08-2026"/>
    <x v="0"/>
    <s v="R.M.P."/>
    <s v="RM 590"/>
    <s v="Purchase Withinstate - Raw Material"/>
    <s v="PIL1/D/1544"/>
    <s v="31-08-2026"/>
    <s v="SF"/>
    <s v="Liners"/>
    <s v="LDPE/LLDPE Bags"/>
    <x v="4"/>
    <s v="LDPE/LLDPE Bags/Liner"/>
    <n v="2165"/>
    <n v="382901.9"/>
    <s v="LDPE/LLDPE Bags/Liner"/>
    <n v="1460945.24"/>
    <n v="9"/>
    <n v="34461.17"/>
    <n v="9"/>
    <n v="34461.17"/>
    <n v="0"/>
    <n v="0"/>
    <n v="0"/>
    <n v="68922.34"/>
    <n v="0"/>
    <s v="24AAACO3087C1ZT"/>
    <s v="Kgs"/>
    <n v="39200000"/>
    <s v="Rs."/>
    <n v="1"/>
    <n v="0"/>
  </r>
  <r>
    <s v="31-08-2026"/>
    <x v="0"/>
    <s v="R.M.P."/>
    <s v="RM 590"/>
    <s v="Purchase Withinstate - Raw Material"/>
    <s v="PIL1/D/1544"/>
    <s v="31-08-2026"/>
    <s v="SF"/>
    <s v="PP/PE Fabric"/>
    <s v="PP UL Fabric"/>
    <x v="1"/>
    <s v="PP UL Fabric With UV"/>
    <n v="2264"/>
    <n v="322212.47999999998"/>
    <s v="PP UL Fabric With UV"/>
    <n v="0"/>
    <n v="9"/>
    <n v="28999.119999999999"/>
    <n v="9"/>
    <n v="28999.119999999999"/>
    <n v="0"/>
    <n v="0"/>
    <n v="0"/>
    <n v="57998.239999999998"/>
    <n v="0"/>
    <s v="24AAACO3087C1ZT"/>
    <s v="Kgs"/>
    <n v="39269080"/>
    <s v="Rs."/>
    <n v="1"/>
    <n v="0"/>
  </r>
  <r>
    <s v="31-08-2026"/>
    <x v="0"/>
    <s v="R.M.P."/>
    <s v="RM 590"/>
    <s v="Purchase Withinstate - Raw Material"/>
    <s v="PIL1/D/1544"/>
    <s v="31-08-2026"/>
    <s v="SF"/>
    <s v="PP/PE Fabric"/>
    <s v="PP UL Fabric"/>
    <x v="1"/>
    <s v="PP UL Fabric With UV"/>
    <n v="1133"/>
    <n v="164647.56"/>
    <s v="PP UL Fabric With UV"/>
    <n v="0"/>
    <n v="9"/>
    <n v="14818.28"/>
    <n v="9"/>
    <n v="14818.28"/>
    <n v="0"/>
    <n v="0"/>
    <n v="0"/>
    <n v="29636.560000000001"/>
    <n v="0"/>
    <s v="24AAACO3087C1ZT"/>
    <s v="Kgs"/>
    <n v="39269080"/>
    <s v="Rs."/>
    <n v="1"/>
    <n v="0"/>
  </r>
  <r>
    <s v="31-08-2026"/>
    <x v="0"/>
    <s v="R.M.P."/>
    <s v="RM 590"/>
    <s v="Purchase Withinstate - Raw Material"/>
    <s v="PIL1/D/1544"/>
    <s v="31-08-2026"/>
    <s v="SF"/>
    <s v="PP/PE Fabric"/>
    <s v="PP UL Fabric"/>
    <x v="1"/>
    <s v="PP UL Fabric With UV"/>
    <n v="251"/>
    <n v="36224.32"/>
    <s v="PP UL Fabric With UV"/>
    <n v="0"/>
    <n v="9"/>
    <n v="3260.19"/>
    <n v="9"/>
    <n v="3260.19"/>
    <n v="0"/>
    <n v="0"/>
    <n v="0"/>
    <n v="6520.38"/>
    <n v="0"/>
    <s v="24AAACO3087C1ZT"/>
    <s v="Kgs"/>
    <n v="39269080"/>
    <s v="Rs."/>
    <n v="1"/>
    <n v="0"/>
  </r>
  <r>
    <s v="31-08-2026"/>
    <x v="0"/>
    <s v="R.M.P."/>
    <s v="RM 590"/>
    <s v="Purchase Withinstate - Raw Material"/>
    <s v="PIL1/D/1544"/>
    <s v="31-08-2026"/>
    <s v="SF"/>
    <s v="PP/PE Fabric"/>
    <s v="PP Lam Fabric"/>
    <x v="3"/>
    <s v="PP Lam Fabric With UV"/>
    <n v="696"/>
    <n v="103926.72"/>
    <s v="PP Lam Fabric With UV"/>
    <n v="0"/>
    <n v="9"/>
    <n v="9353.4"/>
    <n v="9"/>
    <n v="9353.4"/>
    <n v="0"/>
    <n v="0"/>
    <n v="0"/>
    <n v="18706.8"/>
    <n v="0"/>
    <s v="24AAACO3087C1ZT"/>
    <s v="Kgs"/>
    <n v="63053300"/>
    <s v="Rs."/>
    <n v="1"/>
    <n v="0"/>
  </r>
  <r>
    <s v="31-08-2026"/>
    <x v="0"/>
    <s v="R.M.P."/>
    <s v="RM 590"/>
    <s v="Purchase Withinstate - Raw Material"/>
    <s v="PIL1/D/1544"/>
    <s v="31-08-2026"/>
    <s v="SF"/>
    <s v="Webbing"/>
    <s v="PP Webbing"/>
    <x v="2"/>
    <s v="Webbing"/>
    <n v="5.8"/>
    <n v="958.86"/>
    <s v="Webbing"/>
    <n v="0"/>
    <n v="9"/>
    <n v="86.3"/>
    <n v="9"/>
    <n v="86.3"/>
    <n v="0"/>
    <n v="0"/>
    <n v="0"/>
    <n v="172.6"/>
    <n v="0"/>
    <s v="24AAACO3087C1ZT"/>
    <s v="Kgs"/>
    <n v="3926908"/>
    <s v="Rs."/>
    <n v="1"/>
    <n v="0"/>
  </r>
  <r>
    <s v="31-08-2026"/>
    <x v="0"/>
    <s v="R.M.P."/>
    <s v="RM 590"/>
    <s v="Purchase Withinstate - Raw Material"/>
    <s v="PIL1/D/1544"/>
    <s v="31-08-2026"/>
    <s v="SF"/>
    <s v="Webbing"/>
    <s v="PP Webbing"/>
    <x v="2"/>
    <s v="Webbing"/>
    <n v="14.2"/>
    <n v="2390.14"/>
    <s v="Webbing"/>
    <n v="0"/>
    <n v="9"/>
    <n v="215.11"/>
    <n v="9"/>
    <n v="215.11"/>
    <n v="0"/>
    <n v="0"/>
    <n v="0"/>
    <n v="430.22"/>
    <n v="0"/>
    <s v="24AAACO3087C1ZT"/>
    <s v="Kgs"/>
    <n v="3926908"/>
    <s v="Rs."/>
    <n v="1"/>
    <n v="0"/>
  </r>
  <r>
    <s v="31-08-2026"/>
    <x v="0"/>
    <s v="R.M.P."/>
    <s v="RM 590"/>
    <s v="Purchase Withinstate - Raw Material"/>
    <s v="PIL1/D/1544"/>
    <s v="31-08-2026"/>
    <s v="SF"/>
    <s v="Webbing"/>
    <s v="PP Webbing"/>
    <x v="2"/>
    <s v="Webbing"/>
    <n v="322"/>
    <n v="46471.040000000001"/>
    <s v="Webbing"/>
    <n v="0"/>
    <n v="9"/>
    <n v="4182.3900000000003"/>
    <n v="9"/>
    <n v="4182.3900000000003"/>
    <n v="0"/>
    <n v="0"/>
    <n v="0"/>
    <n v="8364.7800000000007"/>
    <n v="0"/>
    <s v="24AAACO3087C1ZT"/>
    <s v="Kgs"/>
    <n v="3926908"/>
    <s v="Rs."/>
    <n v="1"/>
    <n v="0"/>
  </r>
  <r>
    <s v="31-08-2026"/>
    <x v="0"/>
    <s v="R.M.P."/>
    <s v="RM 590"/>
    <s v="Purchase Withinstate - Raw Material"/>
    <s v="PIL1/D/1544"/>
    <s v="31-08-2026"/>
    <s v="SF"/>
    <s v="Webbing"/>
    <s v="PP Webbing"/>
    <x v="2"/>
    <s v="Webbing"/>
    <n v="1217.8"/>
    <n v="179406.3"/>
    <s v="Webbing"/>
    <n v="0"/>
    <n v="9"/>
    <n v="16146.57"/>
    <n v="9"/>
    <n v="16146.57"/>
    <n v="0"/>
    <n v="0"/>
    <n v="0"/>
    <n v="32293.14"/>
    <n v="0"/>
    <s v="24AAACO3087C1ZT"/>
    <s v="Kgs"/>
    <n v="3926908"/>
    <s v="Rs."/>
    <n v="1"/>
    <n v="0"/>
  </r>
  <r>
    <s v="31-08-2026"/>
    <x v="0"/>
    <s v="R.M.P."/>
    <s v="RM 593"/>
    <s v="Purchase Withinstate - Raw Material"/>
    <s v="PIL1/D/1550"/>
    <s v="31-08-2026"/>
    <s v="SF"/>
    <s v="PP/PE Fabric"/>
    <s v="PP UL Fabric"/>
    <x v="1"/>
    <s v="PP UL Fabric With UV"/>
    <n v="514"/>
    <n v="73152.479999999996"/>
    <s v="PP UL Fabric With UV"/>
    <n v="174654.22"/>
    <n v="9"/>
    <n v="6583.72"/>
    <n v="9"/>
    <n v="6583.72"/>
    <n v="0"/>
    <n v="0"/>
    <n v="0"/>
    <n v="13167.44"/>
    <n v="0"/>
    <s v="24AAACO3087C1ZT"/>
    <s v="Kgs"/>
    <n v="39269080"/>
    <s v="Rs."/>
    <n v="1"/>
    <n v="0"/>
  </r>
  <r>
    <s v="31-08-2026"/>
    <x v="0"/>
    <s v="R.M.P."/>
    <s v="RM 593"/>
    <s v="Purchase Withinstate - Raw Material"/>
    <s v="PIL1/D/1550"/>
    <s v="31-08-2026"/>
    <s v="SF"/>
    <s v="PP/PE Fabric"/>
    <s v="PP UL Fabric"/>
    <x v="1"/>
    <s v="PP UL Fabric With UV"/>
    <n v="516"/>
    <n v="74985.119999999995"/>
    <s v="PP UL Fabric With UV"/>
    <n v="0"/>
    <n v="9"/>
    <n v="6748.66"/>
    <n v="9"/>
    <n v="6748.66"/>
    <n v="0"/>
    <n v="0"/>
    <n v="0"/>
    <n v="13497.32"/>
    <n v="0"/>
    <s v="24AAACO3087C1ZT"/>
    <s v="Kgs"/>
    <n v="39269080"/>
    <s v="Rs."/>
    <n v="1"/>
    <n v="0"/>
  </r>
  <r>
    <s v="31-08-2026"/>
    <x v="2"/>
    <s v="General Purchase"/>
    <s v="GNCN 390"/>
    <s v="Purchase Withinstate- Stores, Spares &amp; Consumable"/>
    <s v="PPL/D/562"/>
    <s v="31-08-2026"/>
    <s v="Stores/Spares"/>
    <s v="MS Structure Items"/>
    <s v="Spares &amp; Stores"/>
    <x v="0"/>
    <s v="MS Pipe 4  C Class"/>
    <n v="12"/>
    <n v="576"/>
    <s v="MS Pipe 4  C Class"/>
    <n v="679.1"/>
    <n v="9"/>
    <n v="51.84"/>
    <n v="9"/>
    <n v="51.84"/>
    <n v="0"/>
    <n v="0"/>
    <n v="0"/>
    <n v="103.68"/>
    <n v="0"/>
    <s v="24AAFCP2956A1ZR"/>
    <s v="Kgs"/>
    <n v="73063090"/>
    <s v="Rs."/>
    <n v="1"/>
    <n v="0"/>
  </r>
  <r>
    <s v="31-08-2026"/>
    <x v="2"/>
    <s v="General Purchase"/>
    <s v="GNSP 172"/>
    <s v="Purchase Withinstate- Stores, Spares &amp; Consumable"/>
    <s v="PPL/D/558"/>
    <s v="31-08-2026"/>
    <s v="Stores/Spares"/>
    <s v="Stitching Spares"/>
    <s v="Spares &amp; Stores"/>
    <x v="0"/>
    <s v="Spreader Lever 81313 A"/>
    <n v="1"/>
    <n v="3650"/>
    <s v="Spreader Lever 81313 A"/>
    <n v="5428.57"/>
    <n v="2.5"/>
    <n v="91.25"/>
    <n v="2.5"/>
    <n v="91.25"/>
    <n v="0"/>
    <n v="0"/>
    <n v="0"/>
    <n v="182.5"/>
    <n v="0"/>
    <s v="24AAFCP2956A1ZR"/>
    <s v="Pcs"/>
    <n v="84529099"/>
    <s v="Rs."/>
    <n v="1"/>
    <n v="0"/>
  </r>
  <r>
    <s v="31-08-2026"/>
    <x v="2"/>
    <s v="General Purchase"/>
    <s v="GNSP 172"/>
    <s v="Purchase Withinstate- Stores, Spares &amp; Consumable"/>
    <s v="PPL/D/558"/>
    <s v="31-08-2026"/>
    <s v="Stores/Spares"/>
    <s v="Stitching Spares"/>
    <s v="Spares &amp; Stores"/>
    <x v="0"/>
    <s v="Cross Looper For Double Lock Stitch   (81311 B)"/>
    <n v="5"/>
    <n v="1525"/>
    <s v="Cross Looper For Double Lock Stitch   (81311 B)"/>
    <n v="0"/>
    <n v="2.5"/>
    <n v="38.119999999999997"/>
    <n v="2.5"/>
    <n v="38.119999999999997"/>
    <n v="0"/>
    <n v="0"/>
    <n v="0"/>
    <n v="76.239999999999995"/>
    <n v="0"/>
    <s v="24AAFCP2956A1ZR"/>
    <s v="Pcs"/>
    <n v="84529099"/>
    <s v="Rs."/>
    <n v="1"/>
    <n v="0"/>
  </r>
  <r>
    <s v="31-08-2026"/>
    <x v="2"/>
    <s v="R.M.P."/>
    <s v="RM 587"/>
    <s v="Purchase Withinstate - Traded Goods"/>
    <s v="PPL/D/559"/>
    <s v="31-08-2026"/>
    <s v="FG"/>
    <s v="FIBC Bags"/>
    <s v="FIBC Bags"/>
    <x v="5"/>
    <s v="FIBC Bags With UV Without Liner"/>
    <n v="1153"/>
    <n v="230369.4"/>
    <s v="FIBC Bags With UV Without Liner"/>
    <n v="271605.53000000003"/>
    <n v="9"/>
    <n v="20733.25"/>
    <n v="9"/>
    <n v="20733.25"/>
    <n v="0"/>
    <n v="0"/>
    <n v="0"/>
    <n v="41466.5"/>
    <n v="0"/>
    <s v="24AAFCP2956A1ZR"/>
    <s v="Kgs"/>
    <n v="63053200"/>
    <s v="Rs."/>
    <n v="1"/>
    <n v="0"/>
  </r>
  <r>
    <s v="31-08-2026"/>
    <x v="2"/>
    <s v="R.M.P."/>
    <s v="RM 591"/>
    <s v="Purchase Withinstate - Raw Material"/>
    <s v="PPL/D/560"/>
    <s v="31-08-2026"/>
    <s v="SF"/>
    <s v="Liners"/>
    <s v="LDPE/LLDPE Bags"/>
    <x v="12"/>
    <s v="PE Labels (Kgs)"/>
    <n v="23.4"/>
    <n v="5756.4"/>
    <s v="PE Labels (Kgs)"/>
    <n v="6786.8"/>
    <n v="9"/>
    <n v="518.08000000000004"/>
    <n v="9"/>
    <n v="518.08000000000004"/>
    <n v="0"/>
    <n v="0"/>
    <n v="0"/>
    <n v="1036.1600000000001"/>
    <n v="0"/>
    <s v="24AAFCP2956A1ZR"/>
    <s v="Kgs"/>
    <n v="3920101"/>
    <s v="Rs."/>
    <n v="1"/>
    <n v="0"/>
  </r>
  <r>
    <s v="31-08-2026"/>
    <x v="2"/>
    <s v="R.M.P."/>
    <s v="RM 592"/>
    <s v="Purchase Withinstate - Raw Material"/>
    <s v="PPL/D/561"/>
    <s v="31-08-2026"/>
    <s v="SF"/>
    <s v="PP/PE Fabric"/>
    <s v="PP UL Fabric"/>
    <x v="1"/>
    <s v="PP UL Fabric With UV"/>
    <n v="510"/>
    <n v="68125.8"/>
    <s v="PP UL Fabric With UV"/>
    <n v="80320.31"/>
    <n v="9"/>
    <n v="6131.32"/>
    <n v="9"/>
    <n v="6131.32"/>
    <n v="0"/>
    <n v="0"/>
    <n v="0"/>
    <n v="12262.64"/>
    <n v="0"/>
    <s v="24AAFCP2956A1ZR"/>
    <s v="Kgs"/>
    <n v="39269080"/>
    <s v="Rs."/>
    <n v="1"/>
    <n v="0"/>
  </r>
  <r>
    <s v="31-08-2026"/>
    <x v="26"/>
    <s v="General Purchase"/>
    <s v="GNMS 22"/>
    <s v="Purchase Withinstate- Stores, Spares &amp; Consumable"/>
    <s v="26-27/000465"/>
    <s v="29-08-2026"/>
    <s v="Printing &amp; Stationery"/>
    <s v="Stationery Items"/>
    <s v="Spares &amp; Stores"/>
    <x v="0"/>
    <s v="Cloth Cover 11 X5 Inch"/>
    <n v="500"/>
    <n v="2750"/>
    <s v="Cloth Cover 11 X5 Inch"/>
    <n v="11652.5"/>
    <n v="9"/>
    <n v="247.5"/>
    <n v="9"/>
    <n v="247.5"/>
    <n v="0"/>
    <n v="0"/>
    <n v="0"/>
    <n v="495"/>
    <n v="0"/>
    <s v="24AHMPR2612N1Z1"/>
    <s v="Pcs"/>
    <n v="630492"/>
    <s v="Rs."/>
    <n v="1"/>
    <n v="0"/>
  </r>
  <r>
    <s v="31-08-2026"/>
    <x v="26"/>
    <s v="General Purchase"/>
    <s v="GNMS 22"/>
    <s v="Purchase Withinstate- Stores, Spares &amp; Consumable"/>
    <s v="26-27/000465"/>
    <s v="29-08-2026"/>
    <s v="Printing &amp; Stationery"/>
    <s v="Stationery Items"/>
    <s v="Spares &amp; Stores"/>
    <x v="0"/>
    <s v="Permanent Marker Pen"/>
    <n v="750"/>
    <n v="7125"/>
    <s v="Permanent Marker Pen"/>
    <n v="0"/>
    <n v="9"/>
    <n v="641.25"/>
    <n v="9"/>
    <n v="641.25"/>
    <n v="0"/>
    <n v="0"/>
    <n v="0"/>
    <n v="1282.5"/>
    <n v="0"/>
    <s v="24AHMPR2612N1Z1"/>
    <s v="Pcs"/>
    <n v="96082000"/>
    <s v="Rs."/>
    <n v="1"/>
    <n v="0"/>
  </r>
  <r>
    <s v="31-08-2026"/>
    <x v="43"/>
    <s v="General Purchase"/>
    <s v="GNSP 173"/>
    <s v="Purchase Withinstate- Stores, Spares &amp; Consumable"/>
    <n v="958"/>
    <s v="29-08-2026"/>
    <s v="Stores/Spares"/>
    <s v="Utility"/>
    <s v="Spares &amp; Stores"/>
    <x v="0"/>
    <s v="Ro Membrane 4&quot; X 40&quot; Long  Gwpbroww200020"/>
    <n v="2"/>
    <n v="14000"/>
    <s v="Ro Membrane 4&quot; X 40&quot; Long  Gwpbroww200020"/>
    <n v="16520"/>
    <n v="9"/>
    <n v="1260"/>
    <n v="9"/>
    <n v="1260"/>
    <n v="0"/>
    <n v="0"/>
    <n v="0"/>
    <n v="2520"/>
    <n v="0"/>
    <s v="24BBLPG5245C1Z0"/>
    <s v="Pcs"/>
    <n v="842199"/>
    <s v="Rs."/>
    <n v="1"/>
    <n v="0"/>
  </r>
  <r>
    <s v="31-08-2026"/>
    <x v="23"/>
    <s v="General Purchase"/>
    <s v="GNCN 392"/>
    <s v="Purchase Withinstate- Stores, Spares &amp; Consumable"/>
    <n v="9727"/>
    <d v="2026-12-08T00:00:00"/>
    <s v="Consumables"/>
    <s v="Rubber/Polymer Stereo"/>
    <s v="Spares &amp; Stores"/>
    <x v="0"/>
    <s v="Polymer Stereo"/>
    <n v="6900.33"/>
    <n v="7935.38"/>
    <s v="Polymer Stereo"/>
    <n v="9363.75"/>
    <n v="9"/>
    <n v="714.18"/>
    <n v="9"/>
    <n v="714.18"/>
    <n v="0"/>
    <n v="0"/>
    <n v="0"/>
    <n v="1428.36"/>
    <n v="0"/>
    <s v="24AARFT4204A1ZK"/>
    <s v="CMS"/>
    <n v="37013000"/>
    <s v="Rs."/>
    <n v="1"/>
    <n v="0"/>
  </r>
  <r>
    <s v="31-08-2026"/>
    <x v="23"/>
    <s v="General Purchase"/>
    <s v="GNCN 393"/>
    <s v="Purchase Withinstate- Stores, Spares &amp; Consumable"/>
    <n v="9734"/>
    <s v="13-08-2026"/>
    <s v="Consumables"/>
    <s v="Rubber/Polymer Stereo"/>
    <s v="Spares &amp; Stores"/>
    <x v="0"/>
    <s v="Polymer Stereo"/>
    <n v="5228.2"/>
    <n v="6012.43"/>
    <s v="Polymer Stereo"/>
    <n v="14569"/>
    <n v="9"/>
    <n v="541.12"/>
    <n v="9"/>
    <n v="541.12"/>
    <n v="0"/>
    <n v="0"/>
    <n v="0"/>
    <n v="1082.24"/>
    <n v="0"/>
    <s v="24AARFT4204A1ZK"/>
    <s v="CMS"/>
    <n v="37013000"/>
    <s v="Rs."/>
    <n v="1"/>
    <n v="0"/>
  </r>
  <r>
    <s v="31-08-2026"/>
    <x v="23"/>
    <s v="General Purchase"/>
    <s v="GNCN 393"/>
    <s v="Purchase Withinstate- Stores, Spares &amp; Consumable"/>
    <n v="9734"/>
    <s v="13-08-2026"/>
    <s v="Consumables"/>
    <s v="Rubber/Polymer Stereo"/>
    <s v="Spares &amp; Stores"/>
    <x v="0"/>
    <s v="Polymer Stereo"/>
    <n v="5507.84"/>
    <n v="6334.02"/>
    <s v="Polymer Stereo"/>
    <n v="0"/>
    <n v="9"/>
    <n v="570.05999999999995"/>
    <n v="9"/>
    <n v="570.05999999999995"/>
    <n v="0"/>
    <n v="0"/>
    <n v="0"/>
    <n v="1140.1199999999999"/>
    <n v="0"/>
    <s v="24AARFT4204A1ZK"/>
    <s v="CMS"/>
    <n v="37013000"/>
    <s v="Rs."/>
    <n v="1"/>
    <n v="0"/>
  </r>
  <r>
    <s v="31-08-2026"/>
    <x v="23"/>
    <s v="General Purchase"/>
    <s v="GNCN 394"/>
    <s v="Purchase Withinstate- Stores, Spares &amp; Consumable"/>
    <n v="9800"/>
    <s v="21-08-2026"/>
    <s v="Consumables"/>
    <s v="Rubber/Polymer Stereo"/>
    <s v="Spares &amp; Stores"/>
    <x v="0"/>
    <s v="Polymer Stereo"/>
    <n v="925.4"/>
    <n v="1064.21"/>
    <s v="Polymer Stereo"/>
    <n v="1374"/>
    <n v="9"/>
    <n v="95.78"/>
    <n v="9"/>
    <n v="95.78"/>
    <n v="0"/>
    <n v="0"/>
    <n v="18"/>
    <n v="209.56"/>
    <n v="0"/>
    <s v="24AARFT4204A1ZK"/>
    <s v="CMS"/>
    <n v="37013000"/>
    <s v="Rs."/>
    <n v="1"/>
    <n v="0"/>
  </r>
  <r>
    <s v="31-08-2026"/>
    <x v="23"/>
    <s v="General Purchase"/>
    <s v="GNCN 395"/>
    <s v="Purchase Withinstate- Stores, Spares &amp; Consumable"/>
    <n v="9782"/>
    <s v="19-08-2026"/>
    <s v="Consumables"/>
    <s v="Rubber/Polymer Stereo"/>
    <s v="Spares &amp; Stores"/>
    <x v="0"/>
    <s v="Polymer Stereo"/>
    <n v="23455.48"/>
    <n v="26973.8"/>
    <s v="Polymer Stereo"/>
    <n v="31829"/>
    <n v="9"/>
    <n v="2427.64"/>
    <n v="9"/>
    <n v="2427.64"/>
    <n v="0"/>
    <n v="0"/>
    <n v="0"/>
    <n v="4855.28"/>
    <n v="0"/>
    <s v="24AARFT4204A1ZK"/>
    <s v="CMS"/>
    <n v="37013000"/>
    <s v="Rs."/>
    <n v="1"/>
    <n v="0"/>
  </r>
  <r>
    <s v="31-08-2026"/>
    <x v="23"/>
    <s v="General Purchase"/>
    <s v="GNCN 396"/>
    <s v="Purchase Withinstate- Stores, Spares &amp; Consumable"/>
    <n v="9820"/>
    <s v="24-08-2026"/>
    <s v="Consumables"/>
    <s v="Rubber/Polymer Stereo"/>
    <s v="Spares &amp; Stores"/>
    <x v="0"/>
    <s v="Polymer Stereo"/>
    <n v="1277.6500000000001"/>
    <n v="1469.3"/>
    <s v="Polymer Stereo"/>
    <n v="1846"/>
    <n v="9"/>
    <n v="138.24"/>
    <n v="9"/>
    <n v="138.24"/>
    <n v="0"/>
    <n v="0"/>
    <n v="0"/>
    <n v="276.48"/>
    <n v="0"/>
    <s v="24AARFT4204A1ZK"/>
    <s v="CMS"/>
    <n v="37013000"/>
    <s v="Rs."/>
    <n v="1"/>
    <n v="0"/>
  </r>
  <r>
    <s v="31-08-2026"/>
    <x v="30"/>
    <s v="General Purchase"/>
    <s v="GNMS 20"/>
    <s v="Purchase Withinstate- Stores, Spares &amp; Consumable"/>
    <n v="3941"/>
    <s v="31-08-2026"/>
    <s v="Printing &amp; Stationery"/>
    <s v="Stationery Items"/>
    <s v="Spares &amp; Stores"/>
    <x v="0"/>
    <s v="Issue Slip Book"/>
    <n v="80"/>
    <n v="7200"/>
    <s v="Issue Slip Book"/>
    <n v="8496"/>
    <n v="9"/>
    <n v="648"/>
    <n v="9"/>
    <n v="648"/>
    <n v="0"/>
    <n v="0"/>
    <n v="0"/>
    <n v="1296"/>
    <n v="0"/>
    <s v="24AJTPP9381R1ZV"/>
    <s v="Pcs"/>
    <n v="49011010"/>
    <s v="Rs."/>
    <n v="1"/>
    <n v="0"/>
  </r>
  <r>
    <s v="31-08-2026"/>
    <x v="30"/>
    <s v="General Purchase"/>
    <s v="GNMS 21"/>
    <s v="Purchase Withinstate- Stores, Spares &amp; Consumable"/>
    <n v="3942"/>
    <s v="31-08-2026"/>
    <s v="Printing &amp; Stationery"/>
    <s v="Stationery Items"/>
    <s v="Spares &amp; Stores"/>
    <x v="0"/>
    <s v="Printing Instruction &amp; Printing Production Report ( Oel Kasez )"/>
    <n v="10"/>
    <n v="900"/>
    <s v="Printing Instruction &amp; Printing Production Report ( Oel Kasez )"/>
    <n v="9676"/>
    <n v="9"/>
    <n v="81"/>
    <n v="9"/>
    <n v="81"/>
    <n v="0"/>
    <n v="0"/>
    <n v="0"/>
    <n v="162"/>
    <n v="0"/>
    <s v="24AJTPP9381R1ZV"/>
    <s v="Pcs"/>
    <n v="490110"/>
    <s v="Rs."/>
    <n v="1"/>
    <n v="0"/>
  </r>
  <r>
    <s v="31-08-2026"/>
    <x v="30"/>
    <s v="General Purchase"/>
    <s v="GNMS 21"/>
    <s v="Purchase Withinstate- Stores, Spares &amp; Consumable"/>
    <n v="3942"/>
    <s v="31-08-2026"/>
    <s v="Printing &amp; Stationery"/>
    <s v="Stationery Items"/>
    <s v="Spares &amp; Stores"/>
    <x v="0"/>
    <s v="Inprocess Inspection Report[Qc/Fibc/062]"/>
    <n v="30"/>
    <n v="3000"/>
    <s v="Inprocess Inspection Report[Qc/Fibc/062]"/>
    <n v="0"/>
    <n v="9"/>
    <n v="270"/>
    <n v="9"/>
    <n v="270"/>
    <n v="0"/>
    <n v="0"/>
    <n v="0"/>
    <n v="540"/>
    <n v="0"/>
    <s v="24AJTPP9381R1ZV"/>
    <s v="Pcs"/>
    <n v="482060"/>
    <s v="Rs."/>
    <n v="1"/>
    <n v="0"/>
  </r>
  <r>
    <s v="31-08-2026"/>
    <x v="30"/>
    <s v="General Purchase"/>
    <s v="GNMS 21"/>
    <s v="Purchase Withinstate- Stores, Spares &amp; Consumable"/>
    <n v="3942"/>
    <s v="31-08-2026"/>
    <s v="Printing &amp; Stationery"/>
    <s v="Stationery Items"/>
    <s v="Spares &amp; Stores"/>
    <x v="0"/>
    <s v="Out Gate Pass"/>
    <n v="50"/>
    <n v="2500"/>
    <s v="Out Gate Pass"/>
    <n v="0"/>
    <n v="9"/>
    <n v="225"/>
    <n v="9"/>
    <n v="225"/>
    <n v="0"/>
    <n v="0"/>
    <n v="0"/>
    <n v="450"/>
    <n v="0"/>
    <s v="24AJTPP9381R1ZV"/>
    <s v="Pcs"/>
    <n v="482010"/>
    <s v="Rs."/>
    <n v="1"/>
    <n v="0"/>
  </r>
  <r>
    <s v="31-08-2026"/>
    <x v="30"/>
    <s v="General Purchase"/>
    <s v="GNMS 21"/>
    <s v="Purchase Withinstate- Stores, Spares &amp; Consumable"/>
    <n v="3942"/>
    <s v="31-08-2026"/>
    <s v="Printing &amp; Stationery"/>
    <s v="Stationery Items"/>
    <s v="Spares &amp; Stores"/>
    <x v="0"/>
    <s v="Fibc Stitiching Line Prod.Book"/>
    <n v="20"/>
    <n v="1800"/>
    <s v="Fibc Stitiching Line Prod.Book"/>
    <n v="0"/>
    <n v="9"/>
    <n v="162"/>
    <n v="9"/>
    <n v="162"/>
    <n v="0"/>
    <n v="0"/>
    <n v="0"/>
    <n v="324"/>
    <n v="0"/>
    <s v="24AJTPP9381R1ZV"/>
    <s v="BOOK"/>
    <n v="482010"/>
    <s v="Rs."/>
    <n v="1"/>
    <n v="0"/>
  </r>
  <r>
    <m/>
    <x v="44"/>
    <m/>
    <m/>
    <m/>
    <m/>
    <m/>
    <m/>
    <m/>
    <m/>
    <x v="15"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645">
  <r>
    <d v="2026-01-08T00:00:00"/>
    <s v="Plastene India ltd - Unit 1-Purchase"/>
    <s v="General Purchase"/>
    <s v="GNCN 319"/>
    <x v="0"/>
    <s v="PIL1/D/1239"/>
    <d v="2026-01-08T00:00:00"/>
    <s v="Stores/Spares"/>
    <s v="MS Structure Items"/>
    <s v="Spares &amp; Stores"/>
    <s v="Stores &amp; Consumables"/>
    <s v="MS Pipe 4  C Class"/>
    <n v="389"/>
    <n v="18672"/>
    <s v="MS Pipe 4  C Class"/>
    <n v="22014.29"/>
    <n v="9"/>
    <n v="1680.48"/>
    <n v="9"/>
    <n v="1680.48"/>
    <n v="0"/>
    <n v="0"/>
    <n v="0"/>
    <n v="3360.96"/>
    <n v="0"/>
    <s v="24AAACO3087C1ZT"/>
    <s v="Kgs"/>
    <n v="73063090"/>
    <s v="Rs."/>
    <n v="1"/>
    <n v="0"/>
  </r>
  <r>
    <d v="2026-01-08T00:00:00"/>
    <s v="Plastene India ltd - Unit 1-Purchase"/>
    <s v="R.M.P."/>
    <s v="RM 468"/>
    <x v="1"/>
    <s v="PIL1/D/1240"/>
    <d v="2026-01-08T00:00:00"/>
    <s v="SF"/>
    <s v="PP/PE Fabric"/>
    <s v="PP UL Fabric"/>
    <s v="PP Woven Fabric"/>
    <s v="PP UL Fabric With UV"/>
    <n v="239"/>
    <n v="35011.11"/>
    <s v="PP UL Fabric With UV"/>
    <n v="2035936.64"/>
    <n v="9"/>
    <n v="3151"/>
    <n v="9"/>
    <n v="3151"/>
    <n v="0"/>
    <n v="0"/>
    <n v="0"/>
    <n v="6302"/>
    <n v="0"/>
    <s v="24AAACO3087C1ZT"/>
    <s v="Kgs"/>
    <n v="39269080"/>
    <s v="Rs."/>
    <n v="1"/>
    <n v="239"/>
  </r>
  <r>
    <d v="2026-01-08T00:00:00"/>
    <s v="Plastene India ltd - Unit 1-Purchase"/>
    <s v="R.M.P."/>
    <s v="RM 468"/>
    <x v="1"/>
    <s v="PIL1/D/1240"/>
    <d v="2026-01-08T00:00:00"/>
    <s v="SF"/>
    <s v="PP/PE Fabric"/>
    <s v="PP UL Fabric"/>
    <s v="PP Woven Fabric"/>
    <s v="PP UL Fabric With UV"/>
    <n v="7181"/>
    <n v="1037582.69"/>
    <s v="PP UL Fabric With UV"/>
    <n v="0"/>
    <n v="9"/>
    <n v="93382.44"/>
    <n v="9"/>
    <n v="93382.44"/>
    <n v="0"/>
    <n v="0"/>
    <n v="0"/>
    <n v="186764.88"/>
    <n v="0"/>
    <s v="24AAACO3087C1ZT"/>
    <s v="Kgs"/>
    <n v="39269080"/>
    <s v="Rs."/>
    <n v="1"/>
    <n v="7181"/>
  </r>
  <r>
    <d v="2026-01-08T00:00:00"/>
    <s v="Plastene India ltd - Unit 1-Purchase"/>
    <s v="R.M.P."/>
    <s v="RM 468"/>
    <x v="1"/>
    <s v="PIL1/D/1240"/>
    <d v="2026-01-08T00:00:00"/>
    <s v="SF"/>
    <s v="Webbing"/>
    <s v="PP Webbing"/>
    <s v="PP Webbing"/>
    <s v="Webbing"/>
    <n v="826.6"/>
    <n v="123568.43"/>
    <s v="Webbing"/>
    <n v="0"/>
    <n v="9"/>
    <n v="11121.16"/>
    <n v="9"/>
    <n v="11121.16"/>
    <n v="0"/>
    <n v="0"/>
    <n v="0"/>
    <n v="22242.32"/>
    <n v="0"/>
    <s v="24AAACO3087C1ZT"/>
    <s v="Kgs"/>
    <n v="3926908"/>
    <s v="Rs."/>
    <n v="1"/>
    <n v="826.6"/>
  </r>
  <r>
    <d v="2026-01-08T00:00:00"/>
    <s v="Plastene India ltd - Unit 1-Purchase"/>
    <s v="R.M.P."/>
    <s v="RM 468"/>
    <x v="1"/>
    <s v="PIL1/D/1240"/>
    <d v="2026-01-08T00:00:00"/>
    <s v="SF"/>
    <s v="Webbing"/>
    <s v="PP Webbing"/>
    <s v="PP Webbing"/>
    <s v="Webbing"/>
    <n v="611.79999999999995"/>
    <n v="89622.58"/>
    <s v="Webbing"/>
    <n v="0"/>
    <n v="9"/>
    <n v="8066.03"/>
    <n v="9"/>
    <n v="8066.03"/>
    <n v="0"/>
    <n v="0"/>
    <n v="0"/>
    <n v="16132.06"/>
    <n v="0"/>
    <s v="24AAACO3087C1ZT"/>
    <s v="Kgs"/>
    <n v="3926908"/>
    <s v="Rs."/>
    <n v="1"/>
    <n v="611.79999999999995"/>
  </r>
  <r>
    <d v="2026-01-08T00:00:00"/>
    <s v="Plastene India ltd - Unit 1-Purchase"/>
    <s v="R.M.P."/>
    <s v="RM 468"/>
    <x v="1"/>
    <s v="PIL1/D/1240"/>
    <d v="2026-01-08T00:00:00"/>
    <s v="SF"/>
    <s v="PP/PE Fabric"/>
    <s v="PP Lam Fabric"/>
    <s v="PP Laminated Woven Fabric"/>
    <s v="PP Lam Fabric With UV"/>
    <n v="1694"/>
    <n v="256624.06"/>
    <s v="PP Lam Fabric With UV"/>
    <n v="0"/>
    <n v="9"/>
    <n v="23096.17"/>
    <n v="9"/>
    <n v="23096.17"/>
    <n v="0"/>
    <n v="0"/>
    <n v="0"/>
    <n v="46192.34"/>
    <n v="0"/>
    <s v="24AAACO3087C1ZT"/>
    <s v="Kgs"/>
    <n v="63053300"/>
    <s v="Rs."/>
    <n v="1"/>
    <n v="1694"/>
  </r>
  <r>
    <d v="2026-01-08T00:00:00"/>
    <s v="Plastene India ltd - Unit 1-Purchase"/>
    <s v="R.M.P."/>
    <s v="RM 468"/>
    <x v="1"/>
    <s v="PIL1/D/1240"/>
    <d v="2026-01-08T00:00:00"/>
    <s v="SF"/>
    <s v="PP/PE Fabric"/>
    <s v="PP Lam Fabric"/>
    <s v="PP Laminated Woven Fabric"/>
    <s v="PP Lam Fabric With UV"/>
    <n v="1242"/>
    <n v="184424.58"/>
    <s v="PP Lam Fabric With UV"/>
    <n v="0"/>
    <n v="9"/>
    <n v="16598.21"/>
    <n v="9"/>
    <n v="16598.21"/>
    <n v="0"/>
    <n v="0"/>
    <n v="0"/>
    <n v="33196.42"/>
    <n v="0"/>
    <s v="24AAACO3087C1ZT"/>
    <s v="Kgs"/>
    <n v="63053300"/>
    <s v="Rs."/>
    <n v="1"/>
    <n v="1242"/>
  </r>
  <r>
    <d v="2026-02-08T00:00:00"/>
    <s v="Plastene India ltd - Unit 1-Purchase"/>
    <s v="General Purchase"/>
    <s v="GNCN 320"/>
    <x v="0"/>
    <s v="PIL1/D/1249"/>
    <d v="2026-02-08T00:00:00"/>
    <s v="Stores/Spares"/>
    <s v="MS Structure Items"/>
    <s v="Spares &amp; Stores"/>
    <s v="Stores &amp; Consumables"/>
    <s v="MS Pipe 4  C Class"/>
    <n v="433"/>
    <n v="20784"/>
    <s v="MS Pipe 4  C Class"/>
    <n v="24504.34"/>
    <n v="9"/>
    <n v="1870.56"/>
    <n v="9"/>
    <n v="1870.56"/>
    <n v="0"/>
    <n v="0"/>
    <n v="0"/>
    <n v="3741.12"/>
    <n v="0"/>
    <s v="24AAACO3087C1ZT"/>
    <s v="Kgs"/>
    <n v="73063090"/>
    <s v="Rs."/>
    <n v="1"/>
    <n v="0"/>
  </r>
  <r>
    <d v="2026-02-08T00:00:00"/>
    <s v="Plastene India ltd - Unit 1-Purchase"/>
    <s v="R.M.P."/>
    <s v="RM 469"/>
    <x v="1"/>
    <s v="PIL1/D/1246"/>
    <d v="2026-02-08T00:00:00"/>
    <s v="SF"/>
    <s v="PP/PE Fabric"/>
    <s v="PP Lam Fabric"/>
    <s v="PP Laminated Woven Fabric"/>
    <s v="PP Lam Fabric With UV"/>
    <n v="470"/>
    <n v="68850.3"/>
    <s v="PP Lam Fabric With UV"/>
    <n v="1391939.81"/>
    <n v="9"/>
    <n v="6196.53"/>
    <n v="9"/>
    <n v="6196.53"/>
    <n v="0"/>
    <n v="0"/>
    <n v="0"/>
    <n v="12393.06"/>
    <n v="0"/>
    <s v="24AAACO3087C1ZT"/>
    <s v="Kgs"/>
    <n v="63053300"/>
    <s v="Rs."/>
    <n v="1"/>
    <n v="470"/>
  </r>
  <r>
    <d v="2026-02-08T00:00:00"/>
    <s v="Plastene India ltd - Unit 1-Purchase"/>
    <s v="R.M.P."/>
    <s v="RM 469"/>
    <x v="1"/>
    <s v="PIL1/D/1246"/>
    <d v="2026-02-08T00:00:00"/>
    <s v="SF"/>
    <s v="PP/PE Fabric"/>
    <s v="PP UL Fabric"/>
    <s v="PP Woven Fabric"/>
    <s v="PP UL Fabric With UV"/>
    <n v="1183"/>
    <n v="173297.67"/>
    <s v="PP UL Fabric With UV"/>
    <n v="0"/>
    <n v="9"/>
    <n v="15596.79"/>
    <n v="9"/>
    <n v="15596.79"/>
    <n v="0"/>
    <n v="0"/>
    <n v="0"/>
    <n v="31193.58"/>
    <n v="0"/>
    <s v="24AAACO3087C1ZT"/>
    <s v="Kgs"/>
    <n v="39269080"/>
    <s v="Rs."/>
    <n v="1"/>
    <n v="1183"/>
  </r>
  <r>
    <d v="2026-02-08T00:00:00"/>
    <s v="Plastene India ltd - Unit 1-Purchase"/>
    <s v="R.M.P."/>
    <s v="RM 469"/>
    <x v="1"/>
    <s v="PIL1/D/1246"/>
    <d v="2026-02-08T00:00:00"/>
    <s v="SF"/>
    <s v="PP/PE Fabric"/>
    <s v="PP UL Fabric"/>
    <s v="PP Woven Fabric"/>
    <s v="PP UL Fabric With UV"/>
    <n v="6495"/>
    <n v="938462.55"/>
    <s v="PP UL Fabric With UV"/>
    <n v="0"/>
    <n v="9"/>
    <n v="84461.63"/>
    <n v="9"/>
    <n v="84461.63"/>
    <n v="0"/>
    <n v="0"/>
    <n v="0"/>
    <n v="168923.26"/>
    <n v="0"/>
    <s v="24AAACO3087C1ZT"/>
    <s v="Kgs"/>
    <n v="39269080"/>
    <s v="Rs."/>
    <n v="1"/>
    <n v="6495"/>
  </r>
  <r>
    <d v="2026-02-08T00:00:00"/>
    <s v="Plastene India ltd - Unit 1-Purchase"/>
    <s v="R.M.P."/>
    <s v="RM 471"/>
    <x v="1"/>
    <s v="PIL1/D/1250"/>
    <d v="2026-02-08T00:00:00"/>
    <s v="SF"/>
    <s v="PP/PE Fabric"/>
    <s v="PP UL Fabric"/>
    <s v="PP Woven Fabric"/>
    <s v="PP UL Fabric With UV"/>
    <n v="1162"/>
    <n v="161610.96"/>
    <s v="PP UL Fabric With UV"/>
    <n v="768934.33"/>
    <n v="9"/>
    <n v="14544.99"/>
    <n v="9"/>
    <n v="14544.99"/>
    <n v="0"/>
    <n v="0"/>
    <n v="0"/>
    <n v="29089.98"/>
    <n v="0"/>
    <s v="24AAACO3087C1ZT"/>
    <s v="Kgs"/>
    <n v="39269080"/>
    <s v="Rs."/>
    <n v="1"/>
    <n v="1162"/>
  </r>
  <r>
    <d v="2026-02-08T00:00:00"/>
    <s v="Plastene India ltd - Unit 1-Purchase"/>
    <s v="R.M.P."/>
    <s v="RM 471"/>
    <x v="1"/>
    <s v="PIL1/D/1250"/>
    <d v="2026-02-08T00:00:00"/>
    <s v="SF"/>
    <s v="Webbing"/>
    <s v="PP Webbing"/>
    <s v="PP Webbing"/>
    <s v="Webbing"/>
    <n v="1485.2"/>
    <n v="213987.62"/>
    <s v="Webbing"/>
    <n v="0"/>
    <n v="9"/>
    <n v="19258.89"/>
    <n v="9"/>
    <n v="19258.89"/>
    <n v="0"/>
    <n v="0"/>
    <n v="0"/>
    <n v="38517.78"/>
    <n v="0"/>
    <s v="24AAACO3087C1ZT"/>
    <s v="Kgs"/>
    <n v="3926908"/>
    <s v="Rs."/>
    <n v="1"/>
    <n v="1485.2"/>
  </r>
  <r>
    <d v="2026-02-08T00:00:00"/>
    <s v="Plastene India ltd - Unit 1-Purchase"/>
    <s v="R.M.P."/>
    <s v="RM 471"/>
    <x v="1"/>
    <s v="PIL1/D/1250"/>
    <d v="2026-02-08T00:00:00"/>
    <s v="SF"/>
    <s v="Webbing"/>
    <s v="PP Webbing"/>
    <s v="PP Webbing"/>
    <s v="Webbing"/>
    <n v="714.8"/>
    <n v="100843.98"/>
    <s v="Webbing"/>
    <n v="0"/>
    <n v="9"/>
    <n v="9075.9599999999991"/>
    <n v="9"/>
    <n v="9075.9599999999991"/>
    <n v="0"/>
    <n v="0"/>
    <n v="0"/>
    <n v="18151.919999999998"/>
    <n v="0"/>
    <s v="24AAACO3087C1ZT"/>
    <s v="Kgs"/>
    <n v="3926908"/>
    <s v="Rs."/>
    <n v="1"/>
    <n v="714.8"/>
  </r>
  <r>
    <d v="2026-02-08T00:00:00"/>
    <s v="Plastene India ltd - Unit 1-Purchase"/>
    <s v="R.M.P."/>
    <s v="RM 471"/>
    <x v="1"/>
    <s v="PIL1/D/1250"/>
    <d v="2026-02-08T00:00:00"/>
    <s v="SF"/>
    <s v="Liners"/>
    <s v="LDPE/LLDPE Bags"/>
    <s v="LLDPE Bags"/>
    <s v="LDPE/LLDPE Bags/Liner"/>
    <n v="351"/>
    <n v="62077.86"/>
    <s v="LDPE/LLDPE Bags/Liner"/>
    <n v="0"/>
    <n v="9"/>
    <n v="5587.01"/>
    <n v="9"/>
    <n v="5587.01"/>
    <n v="0"/>
    <n v="0"/>
    <n v="0"/>
    <n v="11174.02"/>
    <n v="0"/>
    <s v="24AAACO3087C1ZT"/>
    <s v="Kgs"/>
    <n v="39200000"/>
    <s v="Rs."/>
    <n v="1"/>
    <n v="351"/>
  </r>
  <r>
    <d v="2026-02-08T00:00:00"/>
    <s v="Plastene India ltd - Unit 1-Purchase"/>
    <s v="R.M.P."/>
    <s v="RM 471"/>
    <x v="1"/>
    <s v="PIL1/D/1250"/>
    <d v="2026-02-08T00:00:00"/>
    <s v="SF"/>
    <s v="Liners"/>
    <s v="LDPE/LLDPE Bags"/>
    <s v="LLDPE Bags"/>
    <s v="LDPE/LLDPE Bags/Liner"/>
    <n v="632"/>
    <n v="113671.52"/>
    <s v="LDPE/LLDPE Bags/Liner"/>
    <n v="0"/>
    <n v="9"/>
    <n v="10230.44"/>
    <n v="9"/>
    <n v="10230.44"/>
    <n v="0"/>
    <n v="0"/>
    <n v="0"/>
    <n v="20460.88"/>
    <n v="0"/>
    <s v="24AAACO3087C1ZT"/>
    <s v="Kgs"/>
    <n v="39200000"/>
    <s v="Rs."/>
    <n v="1"/>
    <n v="632"/>
  </r>
  <r>
    <d v="2026-03-08T00:00:00"/>
    <s v="Gayatri Petroleums"/>
    <s v="General Purchase"/>
    <s v="GNCN 322"/>
    <x v="0"/>
    <s v="GPINV/26-27/888"/>
    <d v="2026-01-08T00:00:00"/>
    <s v="Consumables"/>
    <s v="Consumables"/>
    <s v="Spares &amp; Stores"/>
    <s v="Stores &amp; Consumables"/>
    <s v="Tata Genuine DEF-20 Ltr Urea"/>
    <n v="5"/>
    <n v="7415.25"/>
    <s v="Tata Genuine DEF-20 Ltr Urea"/>
    <n v="8750"/>
    <n v="9"/>
    <n v="667.37"/>
    <n v="9"/>
    <n v="667.37"/>
    <n v="0"/>
    <n v="0"/>
    <n v="0"/>
    <n v="1334.74"/>
    <n v="0"/>
    <s v="24ABJPV0976A1ZO"/>
    <s v="Ltr"/>
    <n v="31021000"/>
    <s v="Rs."/>
    <n v="1"/>
    <n v="0"/>
  </r>
  <r>
    <d v="2026-03-08T00:00:00"/>
    <s v="Gayatri Petroleums"/>
    <s v="General Purchase"/>
    <s v="GNCN 323"/>
    <x v="0"/>
    <s v="GP/26-27/81925"/>
    <d v="2026-01-08T00:00:00"/>
    <s v="Consumables"/>
    <s v="Oil &amp; Greases"/>
    <s v="Spares &amp; Stores"/>
    <s v="Stores &amp; Consumables"/>
    <s v="Diesel"/>
    <n v="400"/>
    <n v="39116"/>
    <s v="Diesel"/>
    <n v="39116"/>
    <n v="0"/>
    <n v="0"/>
    <n v="0"/>
    <n v="0"/>
    <n v="0"/>
    <n v="0"/>
    <n v="0"/>
    <n v="0"/>
    <n v="0"/>
    <s v="24ABJPV0976A1ZO"/>
    <s v="Ltr"/>
    <n v="27101930"/>
    <s v="Rs."/>
    <n v="1"/>
    <n v="0"/>
  </r>
  <r>
    <d v="2026-03-08T00:00:00"/>
    <s v="Gayatri Petroleums"/>
    <s v="General Purchase"/>
    <s v="GNCN 324"/>
    <x v="0"/>
    <s v="GP/26-27/81926"/>
    <d v="2026-01-08T00:00:00"/>
    <s v="Consumables"/>
    <s v="Oil &amp; Greases"/>
    <s v="Spares &amp; Stores"/>
    <s v="Stores &amp; Consumables"/>
    <s v="Diesel"/>
    <n v="200"/>
    <n v="19558"/>
    <s v="Diesel"/>
    <n v="19558"/>
    <n v="0"/>
    <n v="0"/>
    <n v="0"/>
    <n v="0"/>
    <n v="0"/>
    <n v="0"/>
    <n v="0"/>
    <n v="0"/>
    <n v="0"/>
    <s v="24ABJPV0976A1ZO"/>
    <s v="Ltr"/>
    <n v="27101930"/>
    <s v="Rs."/>
    <n v="1"/>
    <n v="0"/>
  </r>
  <r>
    <d v="2026-03-08T00:00:00"/>
    <s v="Plastene India ltd - Unit 1-Purchase"/>
    <s v="General Purchase"/>
    <s v="GNCN 321"/>
    <x v="0"/>
    <s v="PIL1/D/1256"/>
    <d v="2026-03-08T00:00:00"/>
    <s v="Stores/Spares"/>
    <s v="MS Structure Items"/>
    <s v="Spares &amp; Stores"/>
    <s v="Stores &amp; Consumables"/>
    <s v="MS Pipe 4  C Class"/>
    <n v="402"/>
    <n v="19296"/>
    <s v="MS Pipe 4  C Class"/>
    <n v="22749.98"/>
    <n v="9"/>
    <n v="1736.64"/>
    <n v="9"/>
    <n v="1736.64"/>
    <n v="0"/>
    <n v="0"/>
    <n v="0"/>
    <n v="3473.28"/>
    <n v="0"/>
    <s v="24AAACO3087C1ZT"/>
    <s v="Kgs"/>
    <n v="73063090"/>
    <s v="Rs."/>
    <n v="1"/>
    <n v="0"/>
  </r>
  <r>
    <d v="2026-03-08T00:00:00"/>
    <s v="Plastene India ltd - Unit 1-Purchase"/>
    <s v="R.M.P."/>
    <s v="RM 472"/>
    <x v="2"/>
    <s v="PIL1/D/1255"/>
    <d v="2026-03-08T00:00:00"/>
    <s v="FG"/>
    <s v="FIBC Bags"/>
    <s v="FIBC Bags"/>
    <s v="JUMBO BAG"/>
    <s v="FIBC Bags With UV Without Liner"/>
    <n v="7506.8"/>
    <n v="2076906.36"/>
    <s v="FIBC Bags With UV Without Liner"/>
    <n v="3266648.12"/>
    <n v="9"/>
    <n v="186921.57"/>
    <n v="9"/>
    <n v="186921.57"/>
    <n v="0"/>
    <n v="0"/>
    <n v="0"/>
    <n v="373843.14"/>
    <n v="0"/>
    <s v="24AAACO3087C1ZT"/>
    <s v="Kgs"/>
    <n v="63053200"/>
    <s v="Rs."/>
    <n v="1"/>
    <n v="7506.8"/>
  </r>
  <r>
    <d v="2026-03-08T00:00:00"/>
    <s v="Plastene India ltd - Unit 1-Purchase"/>
    <s v="R.M.P."/>
    <s v="RM 472"/>
    <x v="2"/>
    <s v="PIL1/D/1255"/>
    <d v="2026-03-08T00:00:00"/>
    <s v="FG"/>
    <s v="FIBC Bags"/>
    <s v="FIBC Bags"/>
    <s v="JUMBO BAG"/>
    <s v="FIBC Bags With UV Without Liner"/>
    <n v="2732.2"/>
    <n v="693787.55"/>
    <s v="FIBC Bags With UV Without Liner"/>
    <n v="0"/>
    <n v="9"/>
    <n v="62440.88"/>
    <n v="9"/>
    <n v="62440.88"/>
    <n v="0"/>
    <n v="0"/>
    <n v="0"/>
    <n v="124881.76"/>
    <n v="0"/>
    <s v="24AAACO3087C1ZT"/>
    <s v="Kgs"/>
    <n v="63053200"/>
    <s v="Rs."/>
    <n v="1"/>
    <n v="2732.2"/>
  </r>
  <r>
    <d v="2026-03-08T00:00:00"/>
    <s v="Plastene India ltd - Unit 1-Purchase"/>
    <s v="R.M.P."/>
    <s v="RM 473"/>
    <x v="1"/>
    <s v="PIL1/D/1254"/>
    <d v="2026-03-08T00:00:00"/>
    <s v="SF"/>
    <s v="PP/PE Fabric"/>
    <s v="PP UL Fabric"/>
    <s v="PP Woven Fabric"/>
    <s v="PP UL Fabric With UV"/>
    <n v="1094"/>
    <n v="154341.51999999999"/>
    <s v="PP UL Fabric With UV"/>
    <n v="1279127.53"/>
    <n v="9"/>
    <n v="13890.74"/>
    <n v="9"/>
    <n v="13890.74"/>
    <n v="0"/>
    <n v="0"/>
    <n v="0"/>
    <n v="27781.48"/>
    <n v="0"/>
    <s v="24AAACO3087C1ZT"/>
    <s v="Kgs"/>
    <n v="39269080"/>
    <s v="Rs."/>
    <n v="1"/>
    <n v="1094"/>
  </r>
  <r>
    <d v="2026-03-08T00:00:00"/>
    <s v="Plastene India ltd - Unit 1-Purchase"/>
    <s v="R.M.P."/>
    <s v="RM 473"/>
    <x v="1"/>
    <s v="PIL1/D/1254"/>
    <d v="2026-03-08T00:00:00"/>
    <s v="SF"/>
    <s v="PP/PE Fabric"/>
    <s v="PP UL Fabric"/>
    <s v="PP Woven Fabric"/>
    <s v="PP UL Fabric With UV"/>
    <n v="6691"/>
    <n v="930584.28"/>
    <s v="PP UL Fabric With UV"/>
    <n v="0"/>
    <n v="9"/>
    <n v="83752.59"/>
    <n v="9"/>
    <n v="83752.59"/>
    <n v="0"/>
    <n v="0"/>
    <n v="0"/>
    <n v="167505.18"/>
    <n v="0"/>
    <s v="24AAACO3087C1ZT"/>
    <s v="Kgs"/>
    <n v="39269080"/>
    <s v="Rs."/>
    <n v="1"/>
    <n v="6691"/>
  </r>
  <r>
    <d v="2026-03-08T00:00:00"/>
    <s v="Plastene India ltd - Unit 1-Purchase"/>
    <s v="R.M.P."/>
    <s v="RM 474"/>
    <x v="1"/>
    <s v="PIL1/D/1260"/>
    <d v="2026-03-08T00:00:00"/>
    <s v="SF"/>
    <s v="Liners"/>
    <s v="LDPE/LLDPE Bags"/>
    <s v="LLDPE Bags"/>
    <s v="LDPE/LLDPE Bags/Liner"/>
    <n v="2886.5"/>
    <n v="510506.39"/>
    <s v="LDPE/LLDPE Bags/Liner"/>
    <n v="1652892.63"/>
    <n v="9"/>
    <n v="45945.58"/>
    <n v="9"/>
    <n v="45945.58"/>
    <n v="0"/>
    <n v="0"/>
    <n v="0"/>
    <n v="91891.16"/>
    <n v="0"/>
    <s v="24AAACO3087C1ZT"/>
    <s v="Kgs"/>
    <n v="39200000"/>
    <s v="Rs."/>
    <n v="1"/>
    <n v="2886.5"/>
  </r>
  <r>
    <d v="2026-03-08T00:00:00"/>
    <s v="Plastene India ltd - Unit 1-Purchase"/>
    <s v="R.M.P."/>
    <s v="RM 474"/>
    <x v="1"/>
    <s v="PIL1/D/1260"/>
    <d v="2026-03-08T00:00:00"/>
    <s v="SF"/>
    <s v="Webbing"/>
    <s v="PP Webbing"/>
    <s v="PP Webbing"/>
    <s v="Webbing"/>
    <n v="367.3"/>
    <n v="51818.68"/>
    <s v="Webbing"/>
    <n v="0"/>
    <n v="9"/>
    <n v="4663.68"/>
    <n v="9"/>
    <n v="4663.68"/>
    <n v="0"/>
    <n v="0"/>
    <n v="0"/>
    <n v="9327.36"/>
    <n v="0"/>
    <s v="24AAACO3087C1ZT"/>
    <s v="Kgs"/>
    <n v="3926908"/>
    <s v="Rs."/>
    <n v="1"/>
    <n v="367.3"/>
  </r>
  <r>
    <d v="2026-03-08T00:00:00"/>
    <s v="Plastene India ltd - Unit 1-Purchase"/>
    <s v="R.M.P."/>
    <s v="RM 474"/>
    <x v="1"/>
    <s v="PIL1/D/1260"/>
    <d v="2026-03-08T00:00:00"/>
    <s v="SF"/>
    <s v="Webbing"/>
    <s v="PP Webbing"/>
    <s v="PP Webbing"/>
    <s v="Webbing"/>
    <n v="1097.7"/>
    <n v="158156.62"/>
    <s v="Webbing"/>
    <n v="0"/>
    <n v="9"/>
    <n v="14234.1"/>
    <n v="9"/>
    <n v="14234.1"/>
    <n v="0"/>
    <n v="0"/>
    <n v="0"/>
    <n v="28468.2"/>
    <n v="0"/>
    <s v="24AAACO3087C1ZT"/>
    <s v="Kgs"/>
    <n v="3926908"/>
    <s v="Rs."/>
    <n v="1"/>
    <n v="1097.7"/>
  </r>
  <r>
    <d v="2026-03-08T00:00:00"/>
    <s v="Plastene India ltd - Unit 1-Purchase"/>
    <s v="R.M.P."/>
    <s v="RM 474"/>
    <x v="1"/>
    <s v="PIL1/D/1260"/>
    <d v="2026-03-08T00:00:00"/>
    <s v="SF"/>
    <s v="PP/PE Fabric"/>
    <s v="PP Lam Fabric"/>
    <s v="PP Laminated Woven Fabric"/>
    <s v="PP Lam Fabric With UV"/>
    <n v="1675"/>
    <n v="244684"/>
    <s v="PP Lam Fabric With UV"/>
    <n v="0"/>
    <n v="9"/>
    <n v="22021.56"/>
    <n v="9"/>
    <n v="22021.56"/>
    <n v="0"/>
    <n v="0"/>
    <n v="0"/>
    <n v="44043.12"/>
    <n v="0"/>
    <s v="24AAACO3087C1ZT"/>
    <s v="Kgs"/>
    <n v="63053300"/>
    <s v="Rs."/>
    <n v="1"/>
    <n v="1675"/>
  </r>
  <r>
    <d v="2026-03-08T00:00:00"/>
    <s v="Plastene India ltd - Unit 1-Purchase"/>
    <s v="R.M.P."/>
    <s v="RM 474"/>
    <x v="1"/>
    <s v="PIL1/D/1260"/>
    <d v="2026-03-08T00:00:00"/>
    <s v="SF"/>
    <s v="PP/PE Fabric"/>
    <s v="PP Lam Fabric"/>
    <s v="PP Laminated Woven Fabric"/>
    <s v="PP Lam Fabric With UV"/>
    <n v="200"/>
    <n v="28616"/>
    <s v="PP Lam Fabric With UV"/>
    <n v="0"/>
    <n v="9"/>
    <n v="2575.44"/>
    <n v="9"/>
    <n v="2575.44"/>
    <n v="0"/>
    <n v="0"/>
    <n v="0"/>
    <n v="5150.88"/>
    <n v="0"/>
    <s v="24AAACO3087C1ZT"/>
    <s v="Kgs"/>
    <n v="63053300"/>
    <s v="Rs."/>
    <n v="1"/>
    <n v="200"/>
  </r>
  <r>
    <d v="2026-03-08T00:00:00"/>
    <s v="Plastene India ltd - Unit 1-Purchase"/>
    <s v="R.M.P."/>
    <s v="RM 474"/>
    <x v="1"/>
    <s v="PIL1/D/1260"/>
    <d v="2026-03-08T00:00:00"/>
    <s v="SF"/>
    <s v="PP/PE Fabric"/>
    <s v="PP Lam Fabric"/>
    <s v="PP Laminated Woven Fabric"/>
    <s v="PP Lam Fabric With UV"/>
    <n v="575"/>
    <n v="81121"/>
    <s v="PP Lam Fabric With UV"/>
    <n v="0"/>
    <n v="9"/>
    <n v="7300.89"/>
    <n v="9"/>
    <n v="7300.89"/>
    <n v="0"/>
    <n v="0"/>
    <n v="0"/>
    <n v="14601.78"/>
    <n v="0"/>
    <s v="24AAACO3087C1ZT"/>
    <s v="Kgs"/>
    <n v="63053300"/>
    <s v="Rs."/>
    <n v="1"/>
    <n v="575"/>
  </r>
  <r>
    <d v="2026-03-08T00:00:00"/>
    <s v="Plastene India ltd - Unit 1-Purchase"/>
    <s v="R.M.P."/>
    <s v="RM 474"/>
    <x v="1"/>
    <s v="PIL1/D/1260"/>
    <d v="2026-03-08T00:00:00"/>
    <s v="SF"/>
    <s v="PP/PE Fabric"/>
    <s v="PP UL Fabric"/>
    <s v="PP Woven Fabric"/>
    <s v="PP UL Fabric With UV"/>
    <n v="2107"/>
    <n v="293041.56"/>
    <s v="PP UL Fabric With UV"/>
    <n v="0"/>
    <n v="9"/>
    <n v="26373.74"/>
    <n v="9"/>
    <n v="26373.74"/>
    <n v="0"/>
    <n v="0"/>
    <n v="0"/>
    <n v="52747.48"/>
    <n v="0"/>
    <s v="24AAACO3087C1ZT"/>
    <s v="Kgs"/>
    <n v="39269080"/>
    <s v="Rs."/>
    <n v="1"/>
    <n v="2107"/>
  </r>
  <r>
    <d v="2026-03-08T00:00:00"/>
    <s v="Plastene India ltd - Unit 1-Purchase"/>
    <s v="R.M.P."/>
    <s v="RM 474"/>
    <x v="1"/>
    <s v="PIL1/D/1260"/>
    <d v="2026-03-08T00:00:00"/>
    <s v="SF"/>
    <s v="PP/PE Fabric"/>
    <s v="PP UL Fabric"/>
    <s v="PP Woven Fabric"/>
    <s v="PP UL Fabric With UV"/>
    <n v="241"/>
    <n v="34000.28"/>
    <s v="PP UL Fabric With UV"/>
    <n v="0"/>
    <n v="9"/>
    <n v="3060.03"/>
    <n v="9"/>
    <n v="3060.03"/>
    <n v="0"/>
    <n v="0"/>
    <n v="0"/>
    <n v="6120.06"/>
    <n v="0"/>
    <s v="24AAACO3087C1ZT"/>
    <s v="Kgs"/>
    <n v="39269080"/>
    <s v="Rs."/>
    <n v="1"/>
    <n v="241"/>
  </r>
  <r>
    <d v="2026-03-08T00:00:00"/>
    <s v="Plastene India ltd - Unit 1-Purchase"/>
    <s v="R.M.P."/>
    <s v="RM 475"/>
    <x v="1"/>
    <s v="PIL1/D/1247."/>
    <d v="2026-02-08T00:00:00"/>
    <s v="SF"/>
    <s v="PP/PE Fabric"/>
    <s v="PP UL Fabric"/>
    <s v="PP Woven Fabric"/>
    <s v="PP UL Fabric With UV"/>
    <n v="5739"/>
    <n v="798180.12"/>
    <s v="PP UL Fabric With UV"/>
    <n v="1138315.31"/>
    <n v="9"/>
    <n v="71836.210000000006"/>
    <n v="9"/>
    <n v="71836.210000000006"/>
    <n v="0"/>
    <n v="0"/>
    <n v="0"/>
    <n v="143672.42000000001"/>
    <n v="0"/>
    <s v="24AAACO3087C1ZT"/>
    <s v="Kgs"/>
    <n v="39269080"/>
    <s v="Rs."/>
    <n v="1"/>
    <n v="5739"/>
  </r>
  <r>
    <d v="2026-03-08T00:00:00"/>
    <s v="Plastene India ltd - Unit 1-Purchase"/>
    <s v="R.M.P."/>
    <s v="RM 475"/>
    <x v="1"/>
    <s v="PIL1/D/1247."/>
    <d v="2026-02-08T00:00:00"/>
    <s v="SF"/>
    <s v="PP/PE Fabric"/>
    <s v="PP Lam Fabric"/>
    <s v="PP Laminated Woven Fabric"/>
    <s v="PP Lam Fabric With UV"/>
    <n v="475"/>
    <n v="67013"/>
    <s v="PP Lam Fabric With UV"/>
    <n v="0"/>
    <n v="9"/>
    <n v="6031.17"/>
    <n v="9"/>
    <n v="6031.17"/>
    <n v="0"/>
    <n v="0"/>
    <n v="0"/>
    <n v="12062.34"/>
    <n v="0"/>
    <s v="24AAACO3087C1ZT"/>
    <s v="Kgs"/>
    <n v="63053300"/>
    <s v="Rs."/>
    <n v="1"/>
    <n v="475"/>
  </r>
  <r>
    <d v="2026-03-08T00:00:00"/>
    <s v="Plastene India ltd - Unit 1-Purchase"/>
    <s v="R.M.P."/>
    <s v="RM 475"/>
    <x v="1"/>
    <s v="PIL1/D/1247."/>
    <d v="2026-02-08T00:00:00"/>
    <s v="SF"/>
    <s v="PP/PE Fabric"/>
    <s v="PP Lam Fabric"/>
    <s v="PP Laminated Woven Fabric"/>
    <s v="PP Lam Fabric With UV"/>
    <n v="701"/>
    <n v="100299.08"/>
    <s v="PP Lam Fabric With UV"/>
    <n v="0"/>
    <n v="9"/>
    <n v="9026.92"/>
    <n v="9"/>
    <n v="9026.92"/>
    <n v="0"/>
    <n v="0"/>
    <n v="0"/>
    <n v="18053.84"/>
    <n v="0"/>
    <s v="24AAACO3087C1ZT"/>
    <s v="Kgs"/>
    <n v="63053300"/>
    <s v="Rs."/>
    <n v="1"/>
    <n v="701"/>
  </r>
  <r>
    <d v="2026-04-08T00:00:00"/>
    <s v="Plastene India ltd - Unit 1-Purchase"/>
    <s v="General Purchase"/>
    <s v="GNCN 326"/>
    <x v="0"/>
    <s v="PIL1/D/1271"/>
    <d v="2026-04-08T00:00:00"/>
    <s v="Stores/Spares"/>
    <s v="MS Structure Items"/>
    <s v="Spares &amp; Stores"/>
    <s v="Stores &amp; Consumables"/>
    <s v="MS Pipe 4  C Class"/>
    <n v="310"/>
    <n v="14880"/>
    <s v="MS Pipe 4  C Class"/>
    <n v="17543.52"/>
    <n v="9"/>
    <n v="1339.2"/>
    <n v="9"/>
    <n v="1339.2"/>
    <n v="0"/>
    <n v="0"/>
    <n v="0"/>
    <n v="2678.4"/>
    <n v="0"/>
    <s v="24AAACO3087C1ZT"/>
    <s v="Kgs"/>
    <n v="73063090"/>
    <s v="Rs."/>
    <n v="1"/>
    <n v="0"/>
  </r>
  <r>
    <d v="2026-04-08T00:00:00"/>
    <s v="Plastene India ltd - Unit 1-Purchase"/>
    <s v="R.M.P."/>
    <s v="RM 477"/>
    <x v="1"/>
    <s v="PIL1/D/1267"/>
    <d v="2026-04-08T00:00:00"/>
    <s v="SF"/>
    <s v="PP/PE Fabric"/>
    <s v="PP UL Fabric"/>
    <s v="PP Woven Fabric"/>
    <s v="PP UL Fabric With UV"/>
    <n v="7252"/>
    <n v="1008608.16"/>
    <s v="PP UL Fabric With UV"/>
    <n v="1323380"/>
    <n v="9"/>
    <n v="90774.73"/>
    <n v="9"/>
    <n v="90774.73"/>
    <n v="0"/>
    <n v="0"/>
    <n v="0"/>
    <n v="181549.46"/>
    <n v="0"/>
    <s v="24AAACO3087C1ZT"/>
    <s v="Kgs"/>
    <n v="39269080"/>
    <s v="Rs."/>
    <n v="1"/>
    <n v="7252"/>
  </r>
  <r>
    <d v="2026-04-08T00:00:00"/>
    <s v="Plastene India ltd - Unit 1-Purchase"/>
    <s v="R.M.P."/>
    <s v="RM 477"/>
    <x v="1"/>
    <s v="PIL1/D/1267"/>
    <d v="2026-04-08T00:00:00"/>
    <s v="SF"/>
    <s v="PP/PE Fabric"/>
    <s v="PP UL Fabric"/>
    <s v="PP Woven Fabric"/>
    <s v="PP UL Fabric With UV"/>
    <n v="807"/>
    <n v="113851.56"/>
    <s v="PP UL Fabric With UV"/>
    <n v="0"/>
    <n v="9"/>
    <n v="10246.64"/>
    <n v="9"/>
    <n v="10246.64"/>
    <n v="0"/>
    <n v="0"/>
    <n v="0"/>
    <n v="20493.28"/>
    <n v="0"/>
    <s v="24AAACO3087C1ZT"/>
    <s v="Kgs"/>
    <n v="39269080"/>
    <s v="Rs."/>
    <n v="1"/>
    <n v="807"/>
  </r>
  <r>
    <d v="2026-04-08T00:00:00"/>
    <s v="Plastene India ltd - Unit 1-Purchase"/>
    <s v="R.M.P."/>
    <s v="RM 479"/>
    <x v="1"/>
    <s v="PIL1/D/1272"/>
    <d v="2026-04-08T00:00:00"/>
    <s v="SF"/>
    <s v="Yarn All"/>
    <s v="PP Yarn"/>
    <s v="PP Filament Yarn"/>
    <s v="PP MF Yarn Twisted 3000 Black"/>
    <n v="963.7"/>
    <n v="151609.28"/>
    <s v="PP MF Yarn Twisted 3000 Black"/>
    <n v="1628233.51"/>
    <n v="2.5"/>
    <n v="3790.23"/>
    <n v="2.5"/>
    <n v="3790.23"/>
    <n v="0"/>
    <n v="0"/>
    <n v="0"/>
    <n v="7580.46"/>
    <n v="0"/>
    <s v="24AAACO3087C1ZT"/>
    <s v="Kgs"/>
    <n v="540263"/>
    <s v="Rs."/>
    <n v="1"/>
    <n v="963.7"/>
  </r>
  <r>
    <d v="2026-04-08T00:00:00"/>
    <s v="Plastene India ltd - Unit 1-Purchase"/>
    <s v="R.M.P."/>
    <s v="RM 479"/>
    <x v="1"/>
    <s v="PIL1/D/1272"/>
    <d v="2026-04-08T00:00:00"/>
    <s v="SF"/>
    <s v="PP/PE Fabric"/>
    <s v="PP Lam Fabric"/>
    <s v="PP Laminated Woven Fabric"/>
    <s v="PP Lam Fabric With UV"/>
    <n v="461"/>
    <n v="67453.52"/>
    <s v="PP Lam Fabric With UV"/>
    <n v="0"/>
    <n v="9"/>
    <n v="6070.82"/>
    <n v="9"/>
    <n v="6070.82"/>
    <n v="0"/>
    <n v="0"/>
    <n v="0"/>
    <n v="12141.64"/>
    <n v="0"/>
    <s v="24AAACO3087C1ZT"/>
    <s v="Kgs"/>
    <n v="63053300"/>
    <s v="Rs."/>
    <n v="1"/>
    <n v="461"/>
  </r>
  <r>
    <d v="2026-04-08T00:00:00"/>
    <s v="Plastene India ltd - Unit 1-Purchase"/>
    <s v="R.M.P."/>
    <s v="RM 479"/>
    <x v="1"/>
    <s v="PIL1/D/1272"/>
    <d v="2026-04-08T00:00:00"/>
    <s v="SF"/>
    <s v="PP/PE Fabric"/>
    <s v="PP Lam Fabric"/>
    <s v="PP Laminated Woven Fabric"/>
    <s v="PP Lam Fabric With UV"/>
    <n v="1685"/>
    <n v="251604.2"/>
    <s v="PP Lam Fabric With UV"/>
    <n v="0"/>
    <n v="9"/>
    <n v="22644.38"/>
    <n v="9"/>
    <n v="22644.38"/>
    <n v="0"/>
    <n v="0"/>
    <n v="0"/>
    <n v="45288.76"/>
    <n v="0"/>
    <s v="24AAACO3087C1ZT"/>
    <s v="Kgs"/>
    <n v="63053300"/>
    <s v="Rs."/>
    <n v="1"/>
    <n v="1685"/>
  </r>
  <r>
    <d v="2026-04-08T00:00:00"/>
    <s v="Plastene India ltd - Unit 1-Purchase"/>
    <s v="R.M.P."/>
    <s v="RM 479"/>
    <x v="1"/>
    <s v="PIL1/D/1272"/>
    <d v="2026-04-08T00:00:00"/>
    <s v="SF"/>
    <s v="PP/PE Fabric"/>
    <s v="PP UL Fabric"/>
    <s v="PP Woven Fabric"/>
    <s v="PP UL Fabric With UV"/>
    <n v="3912"/>
    <n v="556755.84"/>
    <s v="PP UL Fabric With UV"/>
    <n v="0"/>
    <n v="9"/>
    <n v="50108.03"/>
    <n v="9"/>
    <n v="50108.03"/>
    <n v="0"/>
    <n v="0"/>
    <n v="0"/>
    <n v="100216.06"/>
    <n v="0"/>
    <s v="24AAACO3087C1ZT"/>
    <s v="Kgs"/>
    <n v="39269080"/>
    <s v="Rs."/>
    <n v="1"/>
    <n v="3912"/>
  </r>
  <r>
    <d v="2026-04-08T00:00:00"/>
    <s v="Plastene India ltd - Unit 1-Purchase"/>
    <s v="R.M.P."/>
    <s v="RM 479"/>
    <x v="1"/>
    <s v="PIL1/D/1272"/>
    <d v="2026-04-08T00:00:00"/>
    <s v="SF"/>
    <s v="PP/PE Fabric"/>
    <s v="PP UL Fabric"/>
    <s v="PP Woven Fabric"/>
    <s v="PP UL Fabric With UV"/>
    <n v="239"/>
    <n v="34492.480000000003"/>
    <s v="PP UL Fabric With UV"/>
    <n v="0"/>
    <n v="9"/>
    <n v="3104.32"/>
    <n v="9"/>
    <n v="3104.32"/>
    <n v="0"/>
    <n v="0"/>
    <n v="0"/>
    <n v="6208.64"/>
    <n v="0"/>
    <s v="24AAACO3087C1ZT"/>
    <s v="Kgs"/>
    <n v="39269080"/>
    <s v="Rs."/>
    <n v="1"/>
    <n v="239"/>
  </r>
  <r>
    <d v="2026-04-08T00:00:00"/>
    <s v="Plastene India ltd - Unit 1-Purchase"/>
    <s v="R.M.P."/>
    <s v="RM 479"/>
    <x v="1"/>
    <s v="PIL1/D/1272"/>
    <d v="2026-04-08T00:00:00"/>
    <s v="SF"/>
    <s v="Webbing"/>
    <s v="PP Webbing"/>
    <s v="PP Webbing"/>
    <s v="Webbing"/>
    <n v="1027.5"/>
    <n v="148288.79999999999"/>
    <s v="Webbing"/>
    <n v="0"/>
    <n v="9"/>
    <n v="13345.99"/>
    <n v="9"/>
    <n v="13345.99"/>
    <n v="0"/>
    <n v="0"/>
    <n v="0"/>
    <n v="26691.98"/>
    <n v="0"/>
    <s v="24AAACO3087C1ZT"/>
    <s v="Kgs"/>
    <n v="3926908"/>
    <s v="Rs."/>
    <n v="1"/>
    <n v="1027.5"/>
  </r>
  <r>
    <d v="2026-04-08T00:00:00"/>
    <s v="Plastene India ltd - Unit 1-Purchase"/>
    <s v="R.M.P."/>
    <s v="RM 479"/>
    <x v="1"/>
    <s v="PIL1/D/1272"/>
    <d v="2026-04-08T00:00:00"/>
    <s v="SF"/>
    <s v="Webbing"/>
    <s v="PP Webbing"/>
    <s v="PP Webbing"/>
    <s v="Webbing"/>
    <n v="297.3"/>
    <n v="43798.239999999998"/>
    <s v="Webbing"/>
    <n v="0"/>
    <n v="9"/>
    <n v="3941.84"/>
    <n v="9"/>
    <n v="3941.84"/>
    <n v="0"/>
    <n v="0"/>
    <n v="0"/>
    <n v="7883.68"/>
    <n v="0"/>
    <s v="24AAACO3087C1ZT"/>
    <s v="Kgs"/>
    <n v="3926908"/>
    <s v="Rs."/>
    <n v="1"/>
    <n v="297.3"/>
  </r>
  <r>
    <d v="2026-04-08T00:00:00"/>
    <s v="Plastene India ltd - Unit 1-Purchase"/>
    <s v="R.M.P."/>
    <s v="RM 479"/>
    <x v="1"/>
    <s v="PIL1/D/1272"/>
    <d v="2026-04-08T00:00:00"/>
    <s v="SF"/>
    <s v="Yarn All"/>
    <s v="PP Yarn"/>
    <s v="PP Filament Yarn"/>
    <s v="PP MF Yarn Twisted 3000 Denier UV NW"/>
    <n v="1046.9000000000001"/>
    <n v="161557.60999999999"/>
    <s v="PP MF Yarn Twisted 3000 Denier UV NW"/>
    <n v="0"/>
    <n v="2.5"/>
    <n v="4038.94"/>
    <n v="2.5"/>
    <n v="4038.94"/>
    <n v="0"/>
    <n v="0"/>
    <n v="0"/>
    <n v="8077.88"/>
    <n v="0"/>
    <s v="24AAACO3087C1ZT"/>
    <s v="Kgs"/>
    <n v="540263"/>
    <s v="Rs."/>
    <n v="1"/>
    <n v="1046.9000000000001"/>
  </r>
  <r>
    <d v="2026-04-08T00:00:00"/>
    <s v="Plastene Polyfilms Ltd-Purchase"/>
    <s v="General Purchase"/>
    <s v="GNCN 325"/>
    <x v="0"/>
    <s v="PIL/D/447"/>
    <d v="2026-04-08T00:00:00"/>
    <s v="Stores/Spares"/>
    <s v="MS Structure Items"/>
    <s v="Spares &amp; Stores"/>
    <s v="Stores &amp; Consumables"/>
    <s v="MS Pipe 4  C Class"/>
    <n v="5"/>
    <n v="240"/>
    <s v="MS Pipe 4  C Class"/>
    <n v="282.95999999999998"/>
    <n v="9"/>
    <n v="21.6"/>
    <n v="9"/>
    <n v="21.6"/>
    <n v="0"/>
    <n v="0"/>
    <n v="0"/>
    <n v="43.2"/>
    <n v="0"/>
    <s v="24AAFCP2956A1ZR"/>
    <s v="Kgs"/>
    <n v="73063090"/>
    <s v="Rs."/>
    <n v="1"/>
    <n v="0"/>
  </r>
  <r>
    <d v="2026-04-08T00:00:00"/>
    <s v="Plastene Polyfilms Ltd-Purchase"/>
    <s v="R.M.P."/>
    <s v="RM 476"/>
    <x v="1"/>
    <s v="PPL/D/448"/>
    <d v="2026-04-08T00:00:00"/>
    <s v="FG"/>
    <s v="FIBC WIP"/>
    <s v="FIBC WIP"/>
    <s v="FIBC WIP"/>
    <s v="PP Woven Fabric"/>
    <n v="701"/>
    <n v="93639.58"/>
    <s v="FIBC WIP"/>
    <n v="192510.9"/>
    <n v="9"/>
    <n v="8427.56"/>
    <n v="9"/>
    <n v="8427.56"/>
    <n v="0"/>
    <n v="0"/>
    <n v="0"/>
    <n v="16855.12"/>
    <n v="0"/>
    <s v="24AAFCP2956A1ZR"/>
    <s v="Kgs"/>
    <n v="39269080"/>
    <s v="Rs."/>
    <n v="1"/>
    <n v="6"/>
  </r>
  <r>
    <d v="2026-04-08T00:00:00"/>
    <s v="Plastene Polyfilms Ltd-Purchase"/>
    <s v="R.M.P."/>
    <s v="RM 476"/>
    <x v="1"/>
    <s v="PPL/D/448"/>
    <d v="2026-04-08T00:00:00"/>
    <s v="SF"/>
    <s v="Liners"/>
    <s v="LDPE/LLDPE Bags"/>
    <s v="Stores &amp; Consumables"/>
    <s v="PE Labels (Pcs)"/>
    <n v="1600"/>
    <n v="1620.8"/>
    <s v="PE Labels (Pcs)"/>
    <n v="0"/>
    <n v="9"/>
    <n v="145.87"/>
    <n v="9"/>
    <n v="145.87"/>
    <n v="0"/>
    <n v="0"/>
    <n v="0"/>
    <n v="291.74"/>
    <n v="0"/>
    <s v="24AAFCP2956A1ZR"/>
    <s v="Pcs"/>
    <n v="392300"/>
    <s v="Rs."/>
    <n v="1"/>
    <n v="1600"/>
  </r>
  <r>
    <d v="2026-04-08T00:00:00"/>
    <s v="Plastene Polyfilms Ltd-Purchase"/>
    <s v="R.M.P."/>
    <s v="RM 476"/>
    <x v="1"/>
    <s v="PPL/D/448"/>
    <d v="2026-04-08T00:00:00"/>
    <s v="SF"/>
    <s v="PP/PE Fabric"/>
    <s v="PP Lam Fabric"/>
    <s v="PP Laminated Woven Fabric"/>
    <s v="PP Lam Fabric With UV"/>
    <n v="240"/>
    <n v="33019.199999999997"/>
    <s v="PP Lam Fabric With UV"/>
    <n v="0"/>
    <n v="9"/>
    <n v="2971.73"/>
    <n v="9"/>
    <n v="2971.73"/>
    <n v="0"/>
    <n v="0"/>
    <n v="0"/>
    <n v="5943.46"/>
    <n v="0"/>
    <s v="24AAFCP2956A1ZR"/>
    <s v="Kgs"/>
    <n v="63053300"/>
    <s v="Rs."/>
    <n v="1"/>
    <n v="240"/>
  </r>
  <r>
    <d v="2026-04-08T00:00:00"/>
    <s v="Plastene Polyfilms Ltd-Purchase"/>
    <s v="R.M.P."/>
    <s v="RM 476"/>
    <x v="1"/>
    <s v="PPL/D/448"/>
    <d v="2026-04-08T00:00:00"/>
    <s v="SF"/>
    <s v="PP/PE Fabric"/>
    <s v="PP Lam Fabric"/>
    <s v="PP Laminated Woven Fabric"/>
    <s v="PP Lam Fabric With UV"/>
    <n v="249"/>
    <n v="35004.42"/>
    <s v="PP Lam Fabric With UV"/>
    <n v="0"/>
    <n v="9"/>
    <n v="3150.4"/>
    <n v="9"/>
    <n v="3150.4"/>
    <n v="0"/>
    <n v="0"/>
    <n v="0"/>
    <n v="6300.8"/>
    <n v="0"/>
    <s v="24AAFCP2956A1ZR"/>
    <s v="Kgs"/>
    <n v="63053300"/>
    <s v="Rs."/>
    <n v="1"/>
    <n v="249"/>
  </r>
  <r>
    <d v="2026-05-08T00:00:00"/>
    <s v="Plastene India ltd - Unit 1-Purchase"/>
    <s v="General Purchase"/>
    <s v="GNCN 327"/>
    <x v="0"/>
    <s v="PIL1/D/1279"/>
    <d v="2026-05-08T00:00:00"/>
    <s v="Stores/Spares"/>
    <s v="MS Structure Items"/>
    <s v="Spares &amp; Stores"/>
    <s v="Stores &amp; Consumables"/>
    <s v="MS Pipe 4  C Class"/>
    <n v="302"/>
    <n v="14496"/>
    <s v="MS Pipe 4  C Class"/>
    <n v="17090.75"/>
    <n v="9"/>
    <n v="1304.6400000000001"/>
    <n v="9"/>
    <n v="1304.6400000000001"/>
    <n v="0"/>
    <n v="0"/>
    <n v="0"/>
    <n v="2609.2800000000002"/>
    <n v="0"/>
    <s v="24AAACO3087C1ZT"/>
    <s v="Kgs"/>
    <n v="73063090"/>
    <s v="Rs."/>
    <n v="1"/>
    <n v="0"/>
  </r>
  <r>
    <d v="2026-05-08T00:00:00"/>
    <s v="Plastene India ltd - Unit 1-Purchase"/>
    <s v="R.M.P."/>
    <s v="RM 481"/>
    <x v="2"/>
    <s v="PIL1/D/1276"/>
    <d v="2026-05-08T00:00:00"/>
    <s v="FG"/>
    <s v="FIBC Bags"/>
    <s v="FIBC Bags"/>
    <s v="JUMBO BAG"/>
    <s v="FIBC Bags With UV Without Liner"/>
    <n v="727"/>
    <n v="140899.87"/>
    <s v="FIBC Bags With UV Without Liner"/>
    <n v="1878624.6"/>
    <n v="9"/>
    <n v="12680.99"/>
    <n v="9"/>
    <n v="12680.99"/>
    <n v="0"/>
    <n v="0"/>
    <n v="0"/>
    <n v="25361.98"/>
    <n v="0"/>
    <s v="24AAACO3087C1ZT"/>
    <s v="Kgs"/>
    <n v="63053200"/>
    <s v="Rs."/>
    <n v="1"/>
    <n v="727"/>
  </r>
  <r>
    <d v="2026-05-08T00:00:00"/>
    <s v="Plastene India ltd - Unit 1-Purchase"/>
    <s v="R.M.P."/>
    <s v="RM 481"/>
    <x v="2"/>
    <s v="PIL1/D/1276"/>
    <d v="2026-05-08T00:00:00"/>
    <s v="FG"/>
    <s v="FIBC Bags"/>
    <s v="FIBC Bags"/>
    <s v="JUMBO BAG"/>
    <s v="FIBC Bags With UV Without Liner"/>
    <n v="3083"/>
    <n v="699902.66"/>
    <s v="FIBC Bags With UV Without Liner"/>
    <n v="0"/>
    <n v="9"/>
    <n v="62991.24"/>
    <n v="9"/>
    <n v="62991.24"/>
    <n v="0"/>
    <n v="0"/>
    <n v="0"/>
    <n v="125982.48"/>
    <n v="0"/>
    <s v="24AAACO3087C1ZT"/>
    <s v="Kgs"/>
    <n v="63053200"/>
    <s v="Rs."/>
    <n v="1"/>
    <n v="3083"/>
  </r>
  <r>
    <d v="2026-05-08T00:00:00"/>
    <s v="Plastene India ltd - Unit 1-Purchase"/>
    <s v="R.M.P."/>
    <s v="RM 481"/>
    <x v="2"/>
    <s v="PIL1/D/1276"/>
    <d v="2026-05-08T00:00:00"/>
    <s v="FG"/>
    <s v="FIBC Bags"/>
    <s v="FIBC Bags"/>
    <s v="JUMBO BAG"/>
    <s v="FIBC Bags With UV Without Liner"/>
    <n v="2148"/>
    <n v="384857.16"/>
    <s v="FIBC Bags With UV Without Liner"/>
    <n v="0"/>
    <n v="9"/>
    <n v="34637.14"/>
    <n v="9"/>
    <n v="34637.14"/>
    <n v="0"/>
    <n v="0"/>
    <n v="0"/>
    <n v="69274.28"/>
    <n v="0"/>
    <s v="24AAACO3087C1ZT"/>
    <s v="Kgs"/>
    <n v="63053200"/>
    <s v="Rs."/>
    <n v="1"/>
    <n v="2148"/>
  </r>
  <r>
    <d v="2026-05-08T00:00:00"/>
    <s v="Plastene India ltd - Unit 1-Purchase"/>
    <s v="R.M.P."/>
    <s v="RM 481"/>
    <x v="2"/>
    <s v="PIL1/D/1276"/>
    <d v="2026-05-08T00:00:00"/>
    <s v="FG"/>
    <s v="FIBC Bags"/>
    <s v="FIBC Bags"/>
    <s v="JUMBO BAG"/>
    <s v="FIBC Bags With UV Without Liner"/>
    <n v="1845"/>
    <n v="367745.4"/>
    <s v="FIBC Bags With UV Without Liner"/>
    <n v="0"/>
    <n v="9"/>
    <n v="33097.089999999997"/>
    <n v="9"/>
    <n v="33097.089999999997"/>
    <n v="0"/>
    <n v="0"/>
    <n v="0"/>
    <n v="66194.179999999993"/>
    <n v="0"/>
    <s v="24AAACO3087C1ZT"/>
    <s v="Kgs"/>
    <n v="63053200"/>
    <s v="Rs."/>
    <n v="1"/>
    <n v="1845"/>
  </r>
  <r>
    <d v="2026-05-08T00:00:00"/>
    <s v="Plastene India ltd - Unit 1-Purchase"/>
    <s v="R.M.P."/>
    <s v="RM 482"/>
    <x v="1"/>
    <s v="PIL1/D/1278"/>
    <d v="2026-05-08T00:00:00"/>
    <s v="SF"/>
    <s v="Webbing"/>
    <s v="PP Webbing"/>
    <s v="PP Webbing"/>
    <s v="Webbing"/>
    <n v="1780"/>
    <n v="262229.59999999998"/>
    <s v="Webbing"/>
    <n v="512144.54"/>
    <n v="9"/>
    <n v="23600.66"/>
    <n v="9"/>
    <n v="23600.66"/>
    <n v="0"/>
    <n v="0"/>
    <n v="0"/>
    <n v="47201.32"/>
    <n v="0"/>
    <s v="24AAACO3087C1ZT"/>
    <s v="Kgs"/>
    <n v="3926908"/>
    <s v="Rs."/>
    <n v="1"/>
    <n v="1780"/>
  </r>
  <r>
    <d v="2026-05-08T00:00:00"/>
    <s v="Plastene India ltd - Unit 1-Purchase"/>
    <s v="R.M.P."/>
    <s v="RM 482"/>
    <x v="1"/>
    <s v="PIL1/D/1278"/>
    <d v="2026-05-08T00:00:00"/>
    <s v="SF"/>
    <s v="Webbing"/>
    <s v="PP Webbing"/>
    <s v="PP Webbing"/>
    <s v="Webbing"/>
    <n v="1192.9000000000001"/>
    <n v="172159.33"/>
    <s v="Webbing"/>
    <n v="0"/>
    <n v="9"/>
    <n v="15494.34"/>
    <n v="9"/>
    <n v="15494.34"/>
    <n v="0"/>
    <n v="0"/>
    <n v="0"/>
    <n v="30988.68"/>
    <n v="0"/>
    <s v="24AAACO3087C1ZT"/>
    <s v="Kgs"/>
    <n v="3926908"/>
    <s v="Rs."/>
    <n v="1"/>
    <n v="1192.9000000000001"/>
  </r>
  <r>
    <d v="2026-05-08T00:00:00"/>
    <s v="Plastene India ltd - Unit 1-Purchase"/>
    <s v="R.M.P."/>
    <s v="RM 483"/>
    <x v="1"/>
    <s v="PIL1/D/1275"/>
    <d v="2026-05-08T00:00:00"/>
    <s v="SF"/>
    <s v="PP/PE Fabric"/>
    <s v="PP UL Fabric"/>
    <s v="PP Woven Fabric"/>
    <s v="PP UL Fabric With UV"/>
    <n v="1025"/>
    <n v="144607"/>
    <s v="PP UL Fabric With UV"/>
    <n v="1165493.8999999999"/>
    <n v="9"/>
    <n v="13014.63"/>
    <n v="9"/>
    <n v="13014.63"/>
    <n v="0"/>
    <n v="0"/>
    <n v="0"/>
    <n v="26029.26"/>
    <n v="0"/>
    <s v="24AAACO3087C1ZT"/>
    <s v="Kgs"/>
    <n v="39269080"/>
    <s v="Rs."/>
    <n v="1"/>
    <n v="1025"/>
  </r>
  <r>
    <d v="2026-05-08T00:00:00"/>
    <s v="Plastene India ltd - Unit 1-Purchase"/>
    <s v="R.M.P."/>
    <s v="RM 483"/>
    <x v="1"/>
    <s v="PIL1/D/1275"/>
    <d v="2026-05-08T00:00:00"/>
    <s v="SF"/>
    <s v="PP/PE Fabric"/>
    <s v="PP UL Fabric"/>
    <s v="PP Woven Fabric"/>
    <s v="PP UL Fabric With UV"/>
    <n v="6068"/>
    <n v="843937.44"/>
    <s v="PP UL Fabric With UV"/>
    <n v="0"/>
    <n v="9"/>
    <n v="75954.37"/>
    <n v="9"/>
    <n v="75954.37"/>
    <n v="0"/>
    <n v="0"/>
    <n v="0"/>
    <n v="151908.74"/>
    <n v="0"/>
    <s v="24AAACO3087C1ZT"/>
    <s v="Kgs"/>
    <n v="39269080"/>
    <s v="Rs."/>
    <n v="1"/>
    <n v="6068"/>
  </r>
  <r>
    <d v="2026-05-08T00:00:00"/>
    <s v="Plastene India ltd - Unit 1-Purchase"/>
    <s v="R.M.P."/>
    <s v="RM 484"/>
    <x v="1"/>
    <s v="PIL1/D/1277"/>
    <d v="2026-05-08T00:00:00"/>
    <s v="SF"/>
    <s v="PP/PE Fabric"/>
    <s v="PP Lam Fabric"/>
    <s v="PP Laminated Woven Fabric"/>
    <s v="PP Lam Fabric With UV"/>
    <n v="943"/>
    <n v="137753.44"/>
    <s v="PP Lam Fabric With UV"/>
    <n v="162411.31"/>
    <n v="9"/>
    <n v="12397.81"/>
    <n v="9"/>
    <n v="12397.81"/>
    <n v="0"/>
    <n v="0"/>
    <n v="0"/>
    <n v="24795.62"/>
    <n v="0"/>
    <s v="24AAACO3087C1ZT"/>
    <s v="Kgs"/>
    <n v="63053300"/>
    <s v="Rs."/>
    <n v="1"/>
    <n v="943"/>
  </r>
  <r>
    <d v="2026-05-08T00:00:00"/>
    <s v="Plastene India ltd - Unit 1-Purchase"/>
    <s v="R.M.P."/>
    <s v="RM 485"/>
    <x v="1"/>
    <s v="PIL1/D/1280"/>
    <d v="2026-05-08T00:00:00"/>
    <s v="SF"/>
    <s v="PP/PE Fabric"/>
    <s v="PP Lam Fabric"/>
    <s v="PP Laminated Woven Fabric"/>
    <s v="PP Lam Fabric With UV"/>
    <n v="451"/>
    <n v="65088.32"/>
    <s v="PP Lam Fabric With UV"/>
    <n v="1232809.72"/>
    <n v="9"/>
    <n v="5857.95"/>
    <n v="9"/>
    <n v="5857.95"/>
    <n v="0"/>
    <n v="0"/>
    <n v="0"/>
    <n v="11715.9"/>
    <n v="0"/>
    <s v="24AAACO3087C1ZT"/>
    <s v="Kgs"/>
    <n v="63053300"/>
    <s v="Rs."/>
    <n v="1"/>
    <n v="451"/>
  </r>
  <r>
    <d v="2026-05-08T00:00:00"/>
    <s v="Plastene India ltd - Unit 1-Purchase"/>
    <s v="R.M.P."/>
    <s v="RM 485"/>
    <x v="1"/>
    <s v="PIL1/D/1280"/>
    <d v="2026-05-08T00:00:00"/>
    <s v="SF"/>
    <s v="PP/PE Fabric"/>
    <s v="PP UL Fabric"/>
    <s v="PP Woven Fabric"/>
    <s v="PP UL Fabric With UV"/>
    <n v="420"/>
    <n v="60614.400000000001"/>
    <s v="PP UL Fabric With UV"/>
    <n v="0"/>
    <n v="9"/>
    <n v="5455.3"/>
    <n v="9"/>
    <n v="5455.3"/>
    <n v="0"/>
    <n v="0"/>
    <n v="0"/>
    <n v="10910.6"/>
    <n v="0"/>
    <s v="24AAACO3087C1ZT"/>
    <s v="Kgs"/>
    <n v="39269080"/>
    <s v="Rs."/>
    <n v="1"/>
    <n v="420"/>
  </r>
  <r>
    <d v="2026-05-08T00:00:00"/>
    <s v="Plastene India ltd - Unit 1-Purchase"/>
    <s v="R.M.P."/>
    <s v="RM 485"/>
    <x v="1"/>
    <s v="PIL1/D/1280"/>
    <d v="2026-05-08T00:00:00"/>
    <s v="SF"/>
    <s v="PP/PE Fabric"/>
    <s v="PP UL Fabric"/>
    <s v="PP Woven Fabric"/>
    <s v="PP UL Fabric With UV"/>
    <n v="3295"/>
    <n v="468944.4"/>
    <s v="PP UL Fabric With UV"/>
    <n v="0"/>
    <n v="9"/>
    <n v="42205"/>
    <n v="9"/>
    <n v="42205"/>
    <n v="0"/>
    <n v="0"/>
    <n v="0"/>
    <n v="84410"/>
    <n v="0"/>
    <s v="24AAACO3087C1ZT"/>
    <s v="Kgs"/>
    <n v="39269080"/>
    <s v="Rs."/>
    <n v="1"/>
    <n v="3295"/>
  </r>
  <r>
    <d v="2026-05-08T00:00:00"/>
    <s v="Plastene India ltd - Unit 1-Purchase"/>
    <s v="R.M.P."/>
    <s v="RM 485"/>
    <x v="1"/>
    <s v="PIL1/D/1280"/>
    <d v="2026-05-08T00:00:00"/>
    <s v="RM Consumables"/>
    <s v="FIBC Accessories"/>
    <s v="FIBC Accessories"/>
    <s v="Stores &amp; Consumables"/>
    <s v="Zip Lock Bags"/>
    <n v="9400"/>
    <n v="29358.080000000002"/>
    <s v="Zip Lock Bags"/>
    <n v="0"/>
    <n v="9"/>
    <n v="2642.23"/>
    <n v="9"/>
    <n v="2642.23"/>
    <n v="0"/>
    <n v="0"/>
    <n v="0"/>
    <n v="5284.46"/>
    <n v="0"/>
    <s v="24AAACO3087C1ZT"/>
    <s v="Pcs"/>
    <n v="39232100"/>
    <s v="Rs."/>
    <n v="1"/>
    <n v="9400"/>
  </r>
  <r>
    <d v="2026-05-08T00:00:00"/>
    <s v="Plastene India ltd - Unit 1-Purchase"/>
    <s v="R.M.P."/>
    <s v="RM 485"/>
    <x v="1"/>
    <s v="PIL1/D/1280"/>
    <d v="2026-05-08T00:00:00"/>
    <s v="SF"/>
    <s v="Liners"/>
    <s v="LDPE/LLDPE Bags"/>
    <s v="LLDPE Bags"/>
    <s v="LDPE/LLDPE Bags/Liner"/>
    <n v="2384"/>
    <n v="421634.24"/>
    <s v="LDPE/LLDPE Bags/Liner"/>
    <n v="0"/>
    <n v="9"/>
    <n v="37947.08"/>
    <n v="9"/>
    <n v="37947.08"/>
    <n v="0"/>
    <n v="0"/>
    <n v="0"/>
    <n v="75894.16"/>
    <n v="0"/>
    <s v="24AAACO3087C1ZT"/>
    <s v="Kgs"/>
    <n v="39200000"/>
    <s v="Rs."/>
    <n v="1"/>
    <n v="2384"/>
  </r>
  <r>
    <d v="2026-05-08T00:00:00"/>
    <s v="Plastene Polyfilms Ltd-Purchase"/>
    <s v="R.M.P."/>
    <s v="RM 480"/>
    <x v="2"/>
    <s v="PPL/D/449"/>
    <d v="2026-05-08T00:00:00"/>
    <s v="FG"/>
    <s v="FIBC Bags"/>
    <s v="FIBC Bags"/>
    <s v="JUMBO BAG"/>
    <s v="FIBC Bags With UV Without Liner"/>
    <n v="2226"/>
    <n v="464989.14"/>
    <s v="FIBC Bags With UV Without Liner"/>
    <n v="1205479.2"/>
    <n v="9"/>
    <n v="41849.019999999997"/>
    <n v="9"/>
    <n v="41849.019999999997"/>
    <n v="0"/>
    <n v="0"/>
    <n v="0"/>
    <n v="83698.039999999994"/>
    <n v="0"/>
    <s v="24AAFCP2956A1ZR"/>
    <s v="Kgs"/>
    <n v="63053200"/>
    <s v="Rs."/>
    <n v="1"/>
    <n v="2226"/>
  </r>
  <r>
    <d v="2026-05-08T00:00:00"/>
    <s v="Plastene Polyfilms Ltd-Purchase"/>
    <s v="R.M.P."/>
    <s v="RM 480"/>
    <x v="2"/>
    <s v="PPL/D/449"/>
    <d v="2026-05-08T00:00:00"/>
    <s v="FG"/>
    <s v="FIBC Bags"/>
    <s v="FIBC Bags"/>
    <s v="JUMBO BAG"/>
    <s v="FIBC Bags With UV Without Liner"/>
    <n v="2697"/>
    <n v="557469.9"/>
    <s v="FIBC Bags With UV Without Liner"/>
    <n v="0"/>
    <n v="9"/>
    <n v="50172.29"/>
    <n v="9"/>
    <n v="50172.29"/>
    <n v="0"/>
    <n v="0"/>
    <n v="0"/>
    <n v="100344.58"/>
    <n v="0"/>
    <s v="24AAFCP2956A1ZR"/>
    <s v="Kgs"/>
    <n v="63053200"/>
    <s v="Rs."/>
    <n v="1"/>
    <n v="2697"/>
  </r>
  <r>
    <d v="2026-06-08T00:00:00"/>
    <s v="Armstrong"/>
    <s v="General Purchase"/>
    <s v="GNSP 141"/>
    <x v="0"/>
    <s v="GST/26-27/3763"/>
    <s v="28-07-2026"/>
    <s v="Stores/Spares"/>
    <s v="Stitching Spares"/>
    <s v="Spares &amp; Stores"/>
    <s v="Stores &amp; Consumables"/>
    <s v="Feed Dog # 502J122"/>
    <n v="30"/>
    <n v="7740"/>
    <s v="Feed Dog # 502J122"/>
    <n v="8222"/>
    <n v="2.5"/>
    <n v="193.5"/>
    <n v="2.5"/>
    <n v="193.5"/>
    <n v="0"/>
    <n v="0"/>
    <n v="4.5"/>
    <n v="391.5"/>
    <n v="0"/>
    <s v="24ABAFA4683N1Z8"/>
    <s v="Pcs"/>
    <n v="84529099"/>
    <s v="Rs."/>
    <n v="1"/>
    <n v="0"/>
  </r>
  <r>
    <d v="2026-06-08T00:00:00"/>
    <s v="Aum Polypack"/>
    <s v="Purchase"/>
    <s v="GNPK 78"/>
    <x v="3"/>
    <s v="GST/1049/26-27"/>
    <d v="2026-03-08T00:00:00"/>
    <s v="Packing Material"/>
    <s v="Packaging Material"/>
    <s v="Packing Material"/>
    <s v="Packing Material"/>
    <s v="Straping 15.5mm (P) Thickness 0.76mm(For Bale Packing)"/>
    <n v="500"/>
    <n v="37500"/>
    <s v="Straping 15.5mm (P) Thickness 0.76mm(For Bale Packing)"/>
    <n v="47200"/>
    <n v="9"/>
    <n v="3375"/>
    <n v="9"/>
    <n v="3375"/>
    <n v="0"/>
    <n v="0"/>
    <n v="450"/>
    <n v="7200"/>
    <n v="0"/>
    <s v="24CGYPP7498D1ZI"/>
    <s v="Kgs"/>
    <n v="39206220"/>
    <s v="Rs."/>
    <n v="1"/>
    <n v="0"/>
  </r>
  <r>
    <d v="2026-06-08T00:00:00"/>
    <s v="Bhagwati  Impex"/>
    <s v="General Purchase"/>
    <s v="GNPK 77"/>
    <x v="3"/>
    <s v="BI/26-27/076"/>
    <d v="2026-05-08T00:00:00"/>
    <s v="Packing Material"/>
    <s v="Pallets"/>
    <s v="Pallets"/>
    <s v="Packing Material"/>
    <s v="Pine Wooden Pallet Design Code QP90110"/>
    <n v="50"/>
    <n v="35000"/>
    <s v="Pine Wooden Pallet Design Code QP90110"/>
    <n v="240188"/>
    <n v="2.5"/>
    <n v="875"/>
    <n v="2.5"/>
    <n v="875"/>
    <n v="0"/>
    <n v="0"/>
    <n v="0"/>
    <n v="1750"/>
    <n v="0"/>
    <s v="24AXVPT0296P1ZD"/>
    <s v="Pcs"/>
    <n v="44152000"/>
    <s v="Rs."/>
    <n v="1"/>
    <n v="0"/>
  </r>
  <r>
    <d v="2026-06-08T00:00:00"/>
    <s v="Bhagwati  Impex"/>
    <s v="General Purchase"/>
    <s v="GNPK 77"/>
    <x v="3"/>
    <s v="BI/26-27/076"/>
    <d v="2026-05-08T00:00:00"/>
    <s v="Packing Material"/>
    <s v="Pallets"/>
    <s v="Pallets"/>
    <s v="Packing Material"/>
    <s v="Pine Wooden Pallet Design Code STD90110"/>
    <n v="250"/>
    <n v="193750"/>
    <s v="Pine Wooden Pallet Design Code STD90110"/>
    <n v="0"/>
    <n v="2.5"/>
    <n v="4843.75"/>
    <n v="2.5"/>
    <n v="4843.75"/>
    <n v="0"/>
    <n v="0"/>
    <n v="0"/>
    <n v="9687.5"/>
    <n v="0"/>
    <s v="24AXVPT0296P1ZD"/>
    <s v="Pcs"/>
    <n v="44152000"/>
    <s v="Rs."/>
    <n v="1"/>
    <n v="0"/>
  </r>
  <r>
    <d v="2026-06-08T00:00:00"/>
    <s v="Galaxy Heat Products"/>
    <s v="General Purchase"/>
    <s v="GNSP 140"/>
    <x v="0"/>
    <n v="720"/>
    <s v="29-07-2026"/>
    <s v="Stores/Spares"/>
    <s v="Heaters"/>
    <s v="Spares &amp; Stores"/>
    <s v="Stores &amp; Consumables"/>
    <s v="Pencil Heater Dia 14mm X L 1520mm 5000W, 230V Ac"/>
    <n v="2"/>
    <n v="7780"/>
    <s v="Pencil Heater Dia 14mm X L 1520mm 5000W, 230V Ac"/>
    <n v="9251"/>
    <n v="9"/>
    <n v="700.2"/>
    <n v="9"/>
    <n v="700.2"/>
    <n v="0"/>
    <n v="0"/>
    <n v="10.8"/>
    <n v="1411.2"/>
    <n v="0"/>
    <s v="24AORPP9166R1ZO"/>
    <s v="Pcs"/>
    <n v="851680"/>
    <s v="Rs."/>
    <n v="1"/>
    <n v="0"/>
  </r>
  <r>
    <d v="2026-06-08T00:00:00"/>
    <s v="Hardik Engineering"/>
    <s v="General Purchase"/>
    <s v="GNCN 328"/>
    <x v="0"/>
    <s v="HE/26-27/087"/>
    <s v="30-07-2026"/>
    <s v="Capex"/>
    <s v="Building Material"/>
    <s v="Spares &amp; Stores"/>
    <s v="Stores &amp; Consumables"/>
    <s v="Frp Sheet White 3 Ft. X 8 Ft."/>
    <n v="17"/>
    <n v="34680"/>
    <s v="Frp Sheet White 3 Ft. X 8 Ft."/>
    <n v="40922"/>
    <n v="9"/>
    <n v="3121.2"/>
    <n v="9"/>
    <n v="3121.2"/>
    <n v="0"/>
    <n v="0"/>
    <n v="0"/>
    <n v="6242.4"/>
    <n v="0"/>
    <s v="24BNAPK0816L1Z8"/>
    <s v="Pcs"/>
    <n v="392690"/>
    <s v="Rs."/>
    <n v="1"/>
    <n v="0"/>
  </r>
  <r>
    <d v="2026-06-08T00:00:00"/>
    <s v="Maitry Enterprises"/>
    <s v="General Purchase"/>
    <s v="GNMS 16"/>
    <x v="0"/>
    <s v="214/26-27"/>
    <s v="31-07-2026"/>
    <s v="Printing &amp; Stationery"/>
    <s v="Stationery Items"/>
    <s v="Spares &amp; Stores"/>
    <s v="Stores &amp; Consumables"/>
    <s v="Permanent Marker Ink 500mls"/>
    <n v="1"/>
    <n v="320"/>
    <s v="Permanent Marker Ink 500mls"/>
    <n v="1133"/>
    <n v="9"/>
    <n v="28.8"/>
    <n v="9"/>
    <n v="28.8"/>
    <n v="0"/>
    <n v="0"/>
    <n v="0"/>
    <n v="57.6"/>
    <n v="0"/>
    <s v="24ATEPM7376E1ZL"/>
    <s v="Pcs"/>
    <n v="32151110"/>
    <s v="Rs."/>
    <n v="1"/>
    <n v="0"/>
  </r>
  <r>
    <d v="2026-06-08T00:00:00"/>
    <s v="Maitry Enterprises"/>
    <s v="General Purchase"/>
    <s v="GNMS 16"/>
    <x v="0"/>
    <s v="214/26-27"/>
    <s v="31-07-2026"/>
    <s v="Printing &amp; Stationery"/>
    <s v="Stationery Items"/>
    <s v="Spares &amp; Stores"/>
    <s v="Stores &amp; Consumables"/>
    <s v="Permanent Marker Ink 500mls"/>
    <n v="1"/>
    <n v="320"/>
    <s v="Permanent Marker Ink 500mls"/>
    <n v="0"/>
    <n v="9"/>
    <n v="28.8"/>
    <n v="9"/>
    <n v="28.8"/>
    <n v="0"/>
    <n v="0"/>
    <n v="0"/>
    <n v="57.6"/>
    <n v="0"/>
    <s v="24ATEPM7376E1ZL"/>
    <s v="Pcs"/>
    <n v="32151110"/>
    <s v="Rs."/>
    <n v="1"/>
    <n v="0"/>
  </r>
  <r>
    <d v="2026-06-08T00:00:00"/>
    <s v="Maitry Enterprises"/>
    <s v="General Purchase"/>
    <s v="GNMS 16"/>
    <x v="0"/>
    <s v="214/26-27"/>
    <s v="31-07-2026"/>
    <s v="Printing &amp; Stationery"/>
    <s v="Stationery Items"/>
    <s v="Spares &amp; Stores"/>
    <s v="Stores &amp; Consumables"/>
    <s v="Permanent Marker Ink 500mls"/>
    <n v="1"/>
    <n v="320"/>
    <s v="Permanent Marker Ink 500mls"/>
    <n v="0"/>
    <n v="9"/>
    <n v="28.8"/>
    <n v="9"/>
    <n v="28.8"/>
    <n v="0"/>
    <n v="0"/>
    <n v="0"/>
    <n v="57.6"/>
    <n v="0"/>
    <s v="24ATEPM7376E1ZL"/>
    <s v="Pcs"/>
    <n v="32151110"/>
    <s v="Rs."/>
    <n v="1"/>
    <n v="0"/>
  </r>
  <r>
    <d v="2026-06-08T00:00:00"/>
    <s v="Plastene India ltd - Unit 1-Purchase"/>
    <s v="General Purchase"/>
    <s v="GNCN 329"/>
    <x v="0"/>
    <s v="PIL1/D/1292"/>
    <d v="2026-06-08T00:00:00"/>
    <s v="Stores/Spares"/>
    <s v="MS Structure Items"/>
    <s v="Spares &amp; Stores"/>
    <s v="Stores &amp; Consumables"/>
    <s v="MS Pipe 4  C Class"/>
    <n v="411"/>
    <n v="19728"/>
    <s v="MS Pipe 4  C Class"/>
    <n v="23259.31"/>
    <n v="9"/>
    <n v="1775.52"/>
    <n v="9"/>
    <n v="1775.52"/>
    <n v="0"/>
    <n v="0"/>
    <n v="0"/>
    <n v="3551.04"/>
    <n v="0"/>
    <s v="24AAACO3087C1ZT"/>
    <s v="Kgs"/>
    <n v="73063090"/>
    <s v="Rs."/>
    <n v="1"/>
    <n v="0"/>
  </r>
  <r>
    <d v="2026-06-08T00:00:00"/>
    <s v="Plastene India ltd - Unit 1-Purchase"/>
    <s v="R.M.P."/>
    <s v="RM 486"/>
    <x v="2"/>
    <s v="PIL1/D/1291"/>
    <d v="2026-06-08T00:00:00"/>
    <s v="FG"/>
    <s v="FIBC Bags"/>
    <s v="FIBC Bags"/>
    <s v="JUMBO BAG"/>
    <s v="FIBC Bags With UV Without Liner"/>
    <n v="426"/>
    <n v="79444.740000000005"/>
    <s v="FIBC Bags With UV Without Liner"/>
    <n v="2336934.73"/>
    <n v="9"/>
    <n v="7150.03"/>
    <n v="9"/>
    <n v="7150.03"/>
    <n v="0"/>
    <n v="0"/>
    <n v="0"/>
    <n v="14300.06"/>
    <n v="0"/>
    <s v="24AAACO3087C1ZT"/>
    <s v="Kgs"/>
    <n v="63053200"/>
    <s v="Rs."/>
    <n v="1"/>
    <n v="426"/>
  </r>
  <r>
    <d v="2026-06-08T00:00:00"/>
    <s v="Plastene India ltd - Unit 1-Purchase"/>
    <s v="R.M.P."/>
    <s v="RM 486"/>
    <x v="2"/>
    <s v="PIL1/D/1291"/>
    <d v="2026-06-08T00:00:00"/>
    <s v="FG"/>
    <s v="FIBC Bags"/>
    <s v="FIBC Bags"/>
    <s v="JUMBO BAG"/>
    <s v="FIBC Bags With UV Without Liner"/>
    <n v="10279.799999999999"/>
    <n v="1902688.18"/>
    <s v="FIBC Bags With UV Without Liner"/>
    <n v="0"/>
    <n v="9"/>
    <n v="171241.94"/>
    <n v="9"/>
    <n v="171241.94"/>
    <n v="0"/>
    <n v="0"/>
    <n v="0"/>
    <n v="342483.88"/>
    <n v="0"/>
    <s v="24AAACO3087C1ZT"/>
    <s v="Kgs"/>
    <n v="63053200"/>
    <s v="Rs."/>
    <n v="1"/>
    <n v="10279.799999999999"/>
  </r>
  <r>
    <d v="2026-06-08T00:00:00"/>
    <s v="Plastene India ltd - Unit 1-Purchase"/>
    <s v="R.M.P."/>
    <s v="RM 488"/>
    <x v="1"/>
    <s v="PIL1/D/1274"/>
    <d v="2026-04-08T00:00:00"/>
    <s v="RM Consumables"/>
    <s v="FIBC Accessories"/>
    <s v="FIBC Accessories"/>
    <s v="Stores &amp; Consumables"/>
    <s v="Zip Lock Bags"/>
    <n v="8400"/>
    <n v="29711.64"/>
    <s v="Zip Lock Bags"/>
    <n v="1417703.19"/>
    <n v="9"/>
    <n v="2674.05"/>
    <n v="9"/>
    <n v="2674.05"/>
    <n v="0"/>
    <n v="0"/>
    <n v="0"/>
    <n v="5348.1"/>
    <n v="0"/>
    <s v="24AAACO3087C1ZT"/>
    <s v="Pcs"/>
    <n v="39232100"/>
    <s v="Rs."/>
    <n v="1"/>
    <n v="8400"/>
  </r>
  <r>
    <d v="2026-06-08T00:00:00"/>
    <s v="Plastene India ltd - Unit 1-Purchase"/>
    <s v="R.M.P."/>
    <s v="RM 488"/>
    <x v="1"/>
    <s v="PIL1/D/1274"/>
    <d v="2026-04-08T00:00:00"/>
    <s v="SF"/>
    <s v="Liners"/>
    <s v="LDPE/LLDPE Bags"/>
    <s v="LLDPE Bags"/>
    <s v="LDPE/LLDPE Bags/Liner"/>
    <n v="6233"/>
    <n v="1102368.3799999999"/>
    <s v="LDPE/LLDPE Bags/Liner"/>
    <n v="0"/>
    <n v="9"/>
    <n v="99213.15"/>
    <n v="9"/>
    <n v="99213.15"/>
    <n v="0"/>
    <n v="0"/>
    <n v="0"/>
    <n v="198426.3"/>
    <n v="0"/>
    <s v="24AAACO3087C1ZT"/>
    <s v="Kgs"/>
    <n v="39200000"/>
    <s v="Rs."/>
    <n v="1"/>
    <n v="6233"/>
  </r>
  <r>
    <d v="2026-06-08T00:00:00"/>
    <s v="Plastene India ltd - Unit 1-Purchase"/>
    <s v="R.M.P."/>
    <s v="RM 488"/>
    <x v="1"/>
    <s v="PIL1/D/1274"/>
    <d v="2026-04-08T00:00:00"/>
    <s v="SF"/>
    <s v="Films All (SF)"/>
    <s v="PE Film"/>
    <s v="LLDPE FILM"/>
    <s v="LDPE/LLDPE Film"/>
    <n v="421.8"/>
    <n v="70381.55"/>
    <s v="LDPE/LLDPE Film"/>
    <n v="0"/>
    <n v="9"/>
    <n v="6334.34"/>
    <n v="9"/>
    <n v="6334.34"/>
    <n v="0"/>
    <n v="0"/>
    <n v="0"/>
    <n v="12668.68"/>
    <n v="0"/>
    <s v="24AAACO3087C1ZT"/>
    <s v="Kgs"/>
    <n v="3920101"/>
    <s v="Rs."/>
    <n v="1"/>
    <n v="421.8"/>
  </r>
  <r>
    <d v="2026-06-08T00:00:00"/>
    <s v="Plastene India ltd - Unit 1-Purchase"/>
    <s v="R.M.P."/>
    <s v="RM 489"/>
    <x v="1"/>
    <s v="PIL1/D/1293"/>
    <d v="2026-06-08T00:00:00"/>
    <s v="SF"/>
    <s v="Films All (SF)"/>
    <s v="PE Film"/>
    <s v="LLDPE FILM"/>
    <s v="LDPE/LLDPE Film"/>
    <n v="326.10000000000002"/>
    <n v="54413.05"/>
    <s v="LDPE/LLDPE Film"/>
    <n v="1547752.62"/>
    <n v="9"/>
    <n v="4897.17"/>
    <n v="9"/>
    <n v="4897.17"/>
    <n v="0"/>
    <n v="0"/>
    <n v="0"/>
    <n v="9794.34"/>
    <n v="0"/>
    <s v="24AAACO3087C1ZT"/>
    <s v="Kgs"/>
    <n v="3920101"/>
    <s v="Rs."/>
    <n v="1"/>
    <n v="326.10000000000002"/>
  </r>
  <r>
    <d v="2026-06-08T00:00:00"/>
    <s v="Plastene India ltd - Unit 1-Purchase"/>
    <s v="R.M.P."/>
    <s v="RM 489"/>
    <x v="1"/>
    <s v="PIL1/D/1293"/>
    <d v="2026-06-08T00:00:00"/>
    <s v="SF"/>
    <s v="Liners"/>
    <s v="LDPE/LLDPE Bags"/>
    <s v="LLDPE Bags"/>
    <s v="LDPE/LLDPE Bags/Liner"/>
    <n v="4116"/>
    <n v="727955.76"/>
    <s v="LDPE/LLDPE Bags/Liner"/>
    <n v="0"/>
    <n v="9"/>
    <n v="65516.02"/>
    <n v="9"/>
    <n v="65516.02"/>
    <n v="0"/>
    <n v="0"/>
    <n v="0"/>
    <n v="131032.04"/>
    <n v="0"/>
    <s v="24AAACO3087C1ZT"/>
    <s v="Kgs"/>
    <n v="39200000"/>
    <s v="Rs."/>
    <n v="1"/>
    <n v="4116"/>
  </r>
  <r>
    <d v="2026-06-08T00:00:00"/>
    <s v="Plastene India ltd - Unit 1-Purchase"/>
    <s v="R.M.P."/>
    <s v="RM 489"/>
    <x v="1"/>
    <s v="PIL1/D/1293"/>
    <d v="2026-06-08T00:00:00"/>
    <s v="SF"/>
    <s v="PP/PE Fabric"/>
    <s v="PP UL Fabric"/>
    <s v="PP Woven Fabric"/>
    <s v="PP UL Fabric With UV"/>
    <n v="987"/>
    <n v="140469.84"/>
    <s v="PP UL Fabric With UV"/>
    <n v="0"/>
    <n v="9"/>
    <n v="12642.29"/>
    <n v="9"/>
    <n v="12642.29"/>
    <n v="0"/>
    <n v="0"/>
    <n v="0"/>
    <n v="25284.58"/>
    <n v="0"/>
    <s v="24AAACO3087C1ZT"/>
    <s v="Kgs"/>
    <n v="39269080"/>
    <s v="Rs."/>
    <n v="1"/>
    <n v="987"/>
  </r>
  <r>
    <d v="2026-06-08T00:00:00"/>
    <s v="Plastene India ltd - Unit 1-Purchase"/>
    <s v="R.M.P."/>
    <s v="RM 489"/>
    <x v="1"/>
    <s v="PIL1/D/1293"/>
    <d v="2026-06-08T00:00:00"/>
    <s v="SF"/>
    <s v="Webbing"/>
    <s v="PP Webbing"/>
    <s v="PP Webbing"/>
    <s v="Webbing"/>
    <n v="1796"/>
    <n v="264586.71999999997"/>
    <s v="Webbing"/>
    <n v="0"/>
    <n v="9"/>
    <n v="23812.799999999999"/>
    <n v="9"/>
    <n v="23812.799999999999"/>
    <n v="0"/>
    <n v="0"/>
    <n v="0"/>
    <n v="47625.599999999999"/>
    <n v="0"/>
    <s v="24AAACO3087C1ZT"/>
    <s v="Kgs"/>
    <n v="3926908"/>
    <s v="Rs."/>
    <n v="1"/>
    <n v="1796"/>
  </r>
  <r>
    <d v="2026-06-08T00:00:00"/>
    <s v="Plastene India ltd - Unit 1-Purchase"/>
    <s v="R.M.P."/>
    <s v="RM 489"/>
    <x v="1"/>
    <s v="PIL1/D/1293"/>
    <d v="2026-06-08T00:00:00"/>
    <s v="SF"/>
    <s v="Webbing"/>
    <s v="PP Webbing"/>
    <s v="PP Webbing"/>
    <s v="Webbing"/>
    <n v="868.5"/>
    <n v="125341.92"/>
    <s v="Webbing"/>
    <n v="0"/>
    <n v="9"/>
    <n v="11280.77"/>
    <n v="9"/>
    <n v="11280.77"/>
    <n v="0"/>
    <n v="0"/>
    <n v="0"/>
    <n v="22561.54"/>
    <n v="0"/>
    <s v="24AAACO3087C1ZT"/>
    <s v="Kgs"/>
    <n v="3926908"/>
    <s v="Rs."/>
    <n v="1"/>
    <n v="868.5"/>
  </r>
  <r>
    <d v="2026-06-08T00:00:00"/>
    <s v="Plastene India ltd - Unit 1-Purchase"/>
    <s v="R.M.P."/>
    <s v="RM 490"/>
    <x v="1"/>
    <s v="PIL1/D/1290"/>
    <d v="2026-06-08T00:00:00"/>
    <s v="SF"/>
    <s v="PP/PE Fabric"/>
    <s v="PP UL Fabric"/>
    <s v="PP Woven Fabric"/>
    <s v="PP UL Fabric With UV"/>
    <n v="8930"/>
    <n v="1270917.6000000001"/>
    <s v="PP UL Fabric With UV"/>
    <n v="1930431.01"/>
    <n v="9"/>
    <n v="114382.58"/>
    <n v="9"/>
    <n v="114382.58"/>
    <n v="0"/>
    <n v="0"/>
    <n v="0"/>
    <n v="228765.16"/>
    <n v="0"/>
    <s v="24AAACO3087C1ZT"/>
    <s v="Kgs"/>
    <n v="39269080"/>
    <s v="Rs."/>
    <n v="1"/>
    <n v="8930"/>
  </r>
  <r>
    <d v="2026-06-08T00:00:00"/>
    <s v="Plastene India ltd - Unit 1-Purchase"/>
    <s v="R.M.P."/>
    <s v="RM 490"/>
    <x v="1"/>
    <s v="PIL1/D/1290"/>
    <d v="2026-06-08T00:00:00"/>
    <s v="SF"/>
    <s v="PP/PE Fabric"/>
    <s v="PP Lam Fabric"/>
    <s v="PP Laminated Woven Fabric"/>
    <s v="PP Lam Fabric With UV"/>
    <n v="1032"/>
    <n v="148938.23999999999"/>
    <s v="PP Lam Fabric With UV"/>
    <n v="0"/>
    <n v="9"/>
    <n v="13404.44"/>
    <n v="9"/>
    <n v="13404.44"/>
    <n v="0"/>
    <n v="0"/>
    <n v="0"/>
    <n v="26808.880000000001"/>
    <n v="0"/>
    <s v="24AAACO3087C1ZT"/>
    <s v="Kgs"/>
    <n v="63053300"/>
    <s v="Rs."/>
    <n v="1"/>
    <n v="1032"/>
  </r>
  <r>
    <d v="2026-06-08T00:00:00"/>
    <s v="Plastene India ltd - Unit 1-Purchase"/>
    <s v="R.M.P."/>
    <s v="RM 490"/>
    <x v="1"/>
    <s v="PIL1/D/1290"/>
    <d v="2026-06-08T00:00:00"/>
    <s v="SF"/>
    <s v="PP/PE Fabric"/>
    <s v="PP UL Fabric"/>
    <s v="PP Woven Fabric"/>
    <s v="PP UL Fabric With UV"/>
    <n v="1507"/>
    <n v="217490.24"/>
    <s v="PP UL Fabric With UV"/>
    <n v="0"/>
    <n v="9"/>
    <n v="19574.12"/>
    <n v="9"/>
    <n v="19574.12"/>
    <n v="0"/>
    <n v="0"/>
    <n v="0"/>
    <n v="39148.239999999998"/>
    <n v="0"/>
    <s v="24AAACO3087C1ZT"/>
    <s v="Kgs"/>
    <n v="39269080"/>
    <s v="Rs."/>
    <n v="1"/>
    <n v="1507"/>
  </r>
  <r>
    <d v="2026-06-08T00:00:00"/>
    <s v="Plastene India ltd - Unit 2-Purchase"/>
    <s v="R.M.P."/>
    <s v="RM 487"/>
    <x v="2"/>
    <s v="PIL2/D/452"/>
    <d v="2026-05-08T00:00:00"/>
    <s v="FG"/>
    <s v="FIBC Bags"/>
    <s v="FIBC Bags"/>
    <s v="JUMBO BAG"/>
    <s v="FIBC Bags With UV Without Liner"/>
    <n v="1035"/>
    <n v="200520.9"/>
    <s v="FIBC Bags With UV Without Liner"/>
    <n v="488407.78"/>
    <n v="9"/>
    <n v="18046.88"/>
    <n v="9"/>
    <n v="18046.88"/>
    <n v="0"/>
    <n v="0"/>
    <n v="0"/>
    <n v="36093.760000000002"/>
    <n v="0"/>
    <s v="24AAACO3087C1ZT"/>
    <s v="Kgs"/>
    <n v="63053200"/>
    <s v="Rs."/>
    <n v="1"/>
    <n v="1035"/>
  </r>
  <r>
    <d v="2026-06-08T00:00:00"/>
    <s v="Plastene India ltd - Unit 2-Purchase"/>
    <s v="R.M.P."/>
    <s v="RM 487"/>
    <x v="2"/>
    <s v="PIL2/D/452"/>
    <d v="2026-05-08T00:00:00"/>
    <s v="FG"/>
    <s v="FIBC Bags"/>
    <s v="FIBC Bags"/>
    <s v="JUMBO BAG"/>
    <s v="FIBC Bags With UV Without Liner"/>
    <n v="1386"/>
    <n v="213735.06"/>
    <s v="FIBC Bags With UV Without Liner"/>
    <n v="0"/>
    <n v="9"/>
    <n v="19236.16"/>
    <n v="9"/>
    <n v="19236.16"/>
    <n v="0"/>
    <n v="0"/>
    <n v="0"/>
    <n v="38472.32"/>
    <n v="0"/>
    <s v="24AAACO3087C1ZT"/>
    <s v="Kgs"/>
    <n v="63053200"/>
    <s v="Rs."/>
    <n v="1"/>
    <n v="1386"/>
  </r>
  <r>
    <d v="2026-06-08T00:00:00"/>
    <s v="Tanmay Engitech"/>
    <s v="General Purchase"/>
    <s v="GNSP 142"/>
    <x v="0"/>
    <s v="TE/1223/26-27"/>
    <s v="31-07-2026"/>
    <s v="Stores/Spares"/>
    <s v="PVC Fittings"/>
    <s v="Spares &amp; Stores"/>
    <s v="Stores &amp; Consumables"/>
    <s v="Pu Connector = 1/4 Inch * 6 mm"/>
    <n v="5"/>
    <n v="180.4"/>
    <s v="Pu Connector = 1/4 Inch * 6 mm"/>
    <n v="590"/>
    <n v="9"/>
    <n v="16.239999999999998"/>
    <n v="9"/>
    <n v="16.239999999999998"/>
    <n v="0"/>
    <n v="0"/>
    <n v="0"/>
    <n v="32.479999999999997"/>
    <n v="0"/>
    <s v="24ARIPK4378C1ZV"/>
    <s v="Pcs"/>
    <n v="84879000"/>
    <s v="Rs."/>
    <n v="1"/>
    <n v="0"/>
  </r>
  <r>
    <d v="2026-06-08T00:00:00"/>
    <s v="Tanmay Engitech"/>
    <s v="General Purchase"/>
    <s v="GNSP 142"/>
    <x v="0"/>
    <s v="TE/1223/26-27"/>
    <s v="31-07-2026"/>
    <s v="Stores/Spares"/>
    <s v="PVC Fittings"/>
    <s v="Spares &amp; Stores"/>
    <s v="Stores &amp; Consumables"/>
    <s v="Pu Connector 1/4&quot; X 4 mm"/>
    <n v="10"/>
    <n v="319.8"/>
    <s v="Pu Connector 1/4&quot; X 4 mm"/>
    <n v="0"/>
    <n v="9"/>
    <n v="28.78"/>
    <n v="9"/>
    <n v="28.78"/>
    <n v="0"/>
    <n v="0"/>
    <n v="0"/>
    <n v="57.56"/>
    <n v="0"/>
    <s v="24ARIPK4378C1ZV"/>
    <s v="Pcs"/>
    <n v="84879000"/>
    <s v="Rs."/>
    <n v="1"/>
    <n v="0"/>
  </r>
  <r>
    <d v="2026-07-08T00:00:00"/>
    <s v="Alpha Electricals"/>
    <s v="General Purchase"/>
    <s v="GNSP 143"/>
    <x v="0"/>
    <s v="AE-2026-27/0141"/>
    <d v="2026-05-08T00:00:00"/>
    <s v="Stores/Spares"/>
    <s v="Electrical Items/Spares"/>
    <s v="Spares &amp; Stores"/>
    <s v="Stores &amp; Consumables"/>
    <s v="Emergency Push Button"/>
    <n v="10"/>
    <n v="1000"/>
    <s v="Emergency Push Button"/>
    <n v="1180"/>
    <n v="9"/>
    <n v="90"/>
    <n v="9"/>
    <n v="90"/>
    <n v="0"/>
    <n v="0"/>
    <n v="0"/>
    <n v="180"/>
    <n v="0"/>
    <s v="24HELPS8671K1ZJ"/>
    <s v="Pcs"/>
    <n v="853690"/>
    <s v="Rs."/>
    <n v="1"/>
    <n v="0"/>
  </r>
  <r>
    <d v="2026-07-08T00:00:00"/>
    <s v="Armstrong"/>
    <s v="General Purchase"/>
    <s v="GNSP 144"/>
    <x v="0"/>
    <s v="GST/26-27/4000"/>
    <d v="2026-04-08T00:00:00"/>
    <s v="Stores/Spares"/>
    <s v="Stitching Spares"/>
    <s v="Spares &amp; Stores"/>
    <s v="Stores &amp; Consumables"/>
    <s v="Ball Stud 81358-B"/>
    <n v="15"/>
    <n v="7740"/>
    <s v="Ball Stud 81358-B"/>
    <n v="9186"/>
    <n v="9"/>
    <n v="696.6"/>
    <n v="9"/>
    <n v="696.6"/>
    <n v="0"/>
    <n v="0"/>
    <n v="8.1"/>
    <n v="1401.3"/>
    <n v="0"/>
    <s v="24ABAFA4683N1Z8"/>
    <s v="Pcs"/>
    <n v="84529099"/>
    <s v="Rs."/>
    <n v="1"/>
    <n v="0"/>
  </r>
  <r>
    <d v="2026-07-08T00:00:00"/>
    <s v="Asian Metal Industries"/>
    <s v="General Purchase"/>
    <s v="CAP 9"/>
    <x v="0"/>
    <s v="4751/26-27"/>
    <s v="23-07-2026"/>
    <s v="Stores/Spares"/>
    <s v="Hardware Items"/>
    <s v="Spares &amp; Stores"/>
    <s v="Stores &amp; Consumables"/>
    <s v="MS Round Bar Dia - 10 mm"/>
    <n v="104"/>
    <n v="5148"/>
    <s v="MS Round Bar Dia - 10 mm"/>
    <n v="32241"/>
    <n v="9"/>
    <n v="463.32"/>
    <n v="9"/>
    <n v="463.32"/>
    <n v="0"/>
    <n v="0"/>
    <n v="0"/>
    <n v="926.64"/>
    <n v="0"/>
    <s v="24ADXPC8742M1ZW"/>
    <s v="Kgs"/>
    <n v="721550"/>
    <s v="Rs."/>
    <n v="1"/>
    <n v="0"/>
  </r>
  <r>
    <d v="2026-07-08T00:00:00"/>
    <s v="Asian Metal Industries"/>
    <s v="General Purchase"/>
    <s v="CAP 9"/>
    <x v="0"/>
    <s v="4751/26-27"/>
    <s v="23-07-2026"/>
    <s v="Stores/Spares"/>
    <s v="MS Structure Items"/>
    <s v="Spares &amp; Stores"/>
    <s v="Stores &amp; Consumables"/>
    <s v="MS Angle 50X50X5 mm"/>
    <n v="163"/>
    <n v="7987"/>
    <s v="MS Angle 50X50X5 mm"/>
    <n v="0"/>
    <n v="9"/>
    <n v="718.83"/>
    <n v="9"/>
    <n v="718.83"/>
    <n v="0"/>
    <n v="0"/>
    <n v="0"/>
    <n v="1437.66"/>
    <n v="0"/>
    <s v="24ADXPC8742M1ZW"/>
    <s v="Kgs"/>
    <n v="72162100"/>
    <s v="Rs."/>
    <n v="1"/>
    <n v="0"/>
  </r>
  <r>
    <d v="2026-07-08T00:00:00"/>
    <s v="Asian Metal Industries"/>
    <s v="General Purchase"/>
    <s v="CAP 9"/>
    <x v="0"/>
    <s v="4751/26-27"/>
    <s v="23-07-2026"/>
    <s v="Stores/Spares"/>
    <s v="MS Structure Items"/>
    <s v="Spares &amp; Stores"/>
    <s v="Stores &amp; Consumables"/>
    <s v="MS Plate 04 Ft X 08 Ft X 03 mm"/>
    <n v="227"/>
    <n v="14187.5"/>
    <s v="MS Plate 04 Ft X 08 Ft X 03 mm"/>
    <n v="0"/>
    <n v="9"/>
    <n v="1276.8800000000001"/>
    <n v="9"/>
    <n v="1276.8800000000001"/>
    <n v="0"/>
    <n v="0"/>
    <n v="0"/>
    <n v="2553.7600000000002"/>
    <n v="0"/>
    <s v="24ADXPC8742M1ZW"/>
    <s v="Kgs"/>
    <n v="720825"/>
    <s v="Rs."/>
    <n v="1"/>
    <n v="0"/>
  </r>
  <r>
    <d v="2026-07-08T00:00:00"/>
    <s v="Mehjal Adhesive Tapes Pvt. Ltd."/>
    <s v="General Purchase"/>
    <s v="GNCN 330"/>
    <x v="0"/>
    <n v="262701470"/>
    <d v="2026-05-08T00:00:00"/>
    <s v="Consumables"/>
    <s v="Adhesive Tapes"/>
    <s v="Spares &amp; Stores"/>
    <s v="Stores &amp; Consumables"/>
    <s v="Double Side Tape 12&quot;"/>
    <n v="56"/>
    <n v="56000"/>
    <s v="Double Side Tape 12&quot;"/>
    <n v="58800"/>
    <n v="2.5"/>
    <n v="1400"/>
    <n v="2.5"/>
    <n v="1400"/>
    <n v="0"/>
    <n v="0"/>
    <n v="0"/>
    <n v="2800"/>
    <n v="0"/>
    <s v="24AAICM7843C1ZJ"/>
    <s v="ROLLS"/>
    <n v="39199090"/>
    <s v="Rs."/>
    <n v="1"/>
    <n v="0"/>
  </r>
  <r>
    <d v="2026-07-08T00:00:00"/>
    <s v="Plastene India ltd - Unit 1-Purchase"/>
    <s v="General Purchase"/>
    <s v="GNCN 332"/>
    <x v="0"/>
    <s v="PIL1/D/1301"/>
    <d v="2026-07-08T00:00:00"/>
    <s v="Stores/Spares"/>
    <s v="MS Structure Items"/>
    <s v="Spares &amp; Stores"/>
    <s v="Stores &amp; Consumables"/>
    <s v="MS Pipe 4  C Class"/>
    <n v="424"/>
    <n v="20352"/>
    <s v="MS Pipe 4  C Class"/>
    <n v="23995.01"/>
    <n v="9"/>
    <n v="1831.68"/>
    <n v="9"/>
    <n v="1831.68"/>
    <n v="0"/>
    <n v="0"/>
    <n v="0"/>
    <n v="3663.36"/>
    <n v="0"/>
    <s v="24AAACO3087C1ZT"/>
    <s v="Kgs"/>
    <n v="73063090"/>
    <s v="Rs."/>
    <n v="1"/>
    <n v="0"/>
  </r>
  <r>
    <d v="2026-07-08T00:00:00"/>
    <s v="Plastene India ltd - Unit 1-Purchase"/>
    <s v="R.M.P."/>
    <s v="RM 492"/>
    <x v="1"/>
    <s v="PIL1/D/1300"/>
    <d v="2026-07-08T00:00:00"/>
    <s v="SF"/>
    <s v="PP/PE Fabric"/>
    <s v="PP UL Fabric"/>
    <s v="PP Woven Fabric"/>
    <s v="PP UL Fabric With UV"/>
    <n v="6786"/>
    <n v="965783.52"/>
    <s v="PP UL Fabric With UV"/>
    <n v="1325316.92"/>
    <n v="9"/>
    <n v="86920.52"/>
    <n v="9"/>
    <n v="86920.52"/>
    <n v="0"/>
    <n v="0"/>
    <n v="0"/>
    <n v="173841.04"/>
    <n v="0"/>
    <s v="24AAACO3087C1ZT"/>
    <s v="Kgs"/>
    <n v="39269080"/>
    <s v="Rs."/>
    <n v="1"/>
    <n v="6786"/>
  </r>
  <r>
    <d v="2026-07-08T00:00:00"/>
    <s v="Plastene India ltd - Unit 1-Purchase"/>
    <s v="R.M.P."/>
    <s v="RM 492"/>
    <x v="1"/>
    <s v="PIL1/D/1300"/>
    <d v="2026-07-08T00:00:00"/>
    <s v="SF"/>
    <s v="PP/PE Fabric"/>
    <s v="PP UL Fabric"/>
    <s v="PP Woven Fabric"/>
    <s v="PP UL Fabric With UV"/>
    <n v="1097"/>
    <n v="158319.04000000001"/>
    <s v="PP UL Fabric With UV"/>
    <n v="0"/>
    <n v="9"/>
    <n v="14248.71"/>
    <n v="9"/>
    <n v="14248.71"/>
    <n v="0"/>
    <n v="0"/>
    <n v="0"/>
    <n v="28497.42"/>
    <n v="0"/>
    <s v="24AAACO3087C1ZT"/>
    <s v="Kgs"/>
    <n v="39269080"/>
    <s v="Rs."/>
    <n v="1"/>
    <n v="1097"/>
  </r>
  <r>
    <d v="2026-07-08T00:00:00"/>
    <s v="Plastene India ltd - Unit 1-Purchase"/>
    <s v="R.M.P."/>
    <s v="RM 493"/>
    <x v="1"/>
    <s v="PIL1/D/1305"/>
    <d v="2026-07-08T00:00:00"/>
    <s v="SF"/>
    <s v="Liners"/>
    <s v="LDPE/LLDPE Bags"/>
    <s v="LLDPE Bags"/>
    <s v="LDPE/LLDPE Bags/Liner"/>
    <n v="635"/>
    <n v="117386.1"/>
    <s v="LDPE/LLDPE Bags/Liner"/>
    <n v="1954589.46"/>
    <n v="9"/>
    <n v="10564.75"/>
    <n v="9"/>
    <n v="10564.75"/>
    <n v="0"/>
    <n v="0"/>
    <n v="0"/>
    <n v="21129.5"/>
    <n v="0"/>
    <s v="24AAACO3087C1ZT"/>
    <s v="Kgs"/>
    <n v="39200000"/>
    <s v="Rs."/>
    <n v="1"/>
    <n v="635"/>
  </r>
  <r>
    <d v="2026-07-08T00:00:00"/>
    <s v="Plastene India ltd - Unit 1-Purchase"/>
    <s v="R.M.P."/>
    <s v="RM 493"/>
    <x v="1"/>
    <s v="PIL1/D/1305"/>
    <d v="2026-07-08T00:00:00"/>
    <s v="SF"/>
    <s v="Liners"/>
    <s v="LDPE/LLDPE Bags"/>
    <s v="LLDPE Bags"/>
    <s v="LDPE/LLDPE Bags/Liner"/>
    <n v="8710"/>
    <n v="1540450.6"/>
    <s v="LDPE/LLDPE Bags/Liner"/>
    <n v="0"/>
    <n v="9"/>
    <n v="138640.54999999999"/>
    <n v="9"/>
    <n v="138640.54999999999"/>
    <n v="0"/>
    <n v="0"/>
    <n v="0"/>
    <n v="277281.09999999998"/>
    <n v="0"/>
    <s v="24AAACO3087C1ZT"/>
    <s v="Kgs"/>
    <n v="39200000"/>
    <s v="Rs."/>
    <n v="1"/>
    <n v="8710"/>
  </r>
  <r>
    <d v="2026-07-08T00:00:00"/>
    <s v="Plastene India ltd - Unit 1-Purchase"/>
    <s v="R.M.P."/>
    <s v="RM 494"/>
    <x v="1"/>
    <s v="PIL1/D/1302"/>
    <d v="2026-07-08T00:00:00"/>
    <s v="SF"/>
    <s v="PP/PE Fabric"/>
    <s v="PP UL Fabric"/>
    <s v="PP Woven Fabric"/>
    <s v="PP UL Fabric With UV"/>
    <n v="2593"/>
    <n v="369035.76"/>
    <s v="PP UL Fabric With UV"/>
    <n v="1309444.3400000001"/>
    <n v="9"/>
    <n v="33213.22"/>
    <n v="9"/>
    <n v="33213.22"/>
    <n v="0"/>
    <n v="0"/>
    <n v="0"/>
    <n v="66426.44"/>
    <n v="0"/>
    <s v="24AAACO3087C1ZT"/>
    <s v="Kgs"/>
    <n v="39269080"/>
    <s v="Rs."/>
    <n v="1"/>
    <n v="2593"/>
  </r>
  <r>
    <d v="2026-07-08T00:00:00"/>
    <s v="Plastene India ltd - Unit 1-Purchase"/>
    <s v="R.M.P."/>
    <s v="RM 494"/>
    <x v="1"/>
    <s v="PIL1/D/1302"/>
    <d v="2026-07-08T00:00:00"/>
    <s v="SF"/>
    <s v="PP/PE Fabric"/>
    <s v="PP UL Fabric"/>
    <s v="PP Woven Fabric"/>
    <s v="PP UL Fabric With UV"/>
    <n v="280"/>
    <n v="40409.599999999999"/>
    <s v="PP UL Fabric With UV"/>
    <n v="0"/>
    <n v="9"/>
    <n v="3636.86"/>
    <n v="9"/>
    <n v="3636.86"/>
    <n v="0"/>
    <n v="0"/>
    <n v="0"/>
    <n v="7273.72"/>
    <n v="0"/>
    <s v="24AAACO3087C1ZT"/>
    <s v="Kgs"/>
    <n v="39269080"/>
    <s v="Rs."/>
    <n v="1"/>
    <n v="280"/>
  </r>
  <r>
    <d v="2026-07-08T00:00:00"/>
    <s v="Plastene India ltd - Unit 1-Purchase"/>
    <s v="R.M.P."/>
    <s v="RM 494"/>
    <x v="1"/>
    <s v="PIL1/D/1302"/>
    <d v="2026-07-08T00:00:00"/>
    <s v="SF"/>
    <s v="PP/PE Fabric"/>
    <s v="PP Lam Fabric"/>
    <s v="PP Laminated Woven Fabric"/>
    <s v="PP Lam Fabric With UV"/>
    <n v="1076"/>
    <n v="155288.32000000001"/>
    <s v="PP Lam Fabric With UV"/>
    <n v="0"/>
    <n v="9"/>
    <n v="13975.95"/>
    <n v="9"/>
    <n v="13975.95"/>
    <n v="0"/>
    <n v="0"/>
    <n v="0"/>
    <n v="27951.9"/>
    <n v="0"/>
    <s v="24AAACO3087C1ZT"/>
    <s v="Kgs"/>
    <n v="63053300"/>
    <s v="Rs."/>
    <n v="1"/>
    <n v="1076"/>
  </r>
  <r>
    <d v="2026-07-08T00:00:00"/>
    <s v="Plastene India ltd - Unit 1-Purchase"/>
    <s v="R.M.P."/>
    <s v="RM 494"/>
    <x v="1"/>
    <s v="PIL1/D/1302"/>
    <d v="2026-07-08T00:00:00"/>
    <s v="SF"/>
    <s v="PP/PE Fabric"/>
    <s v="PP Lam Fabric"/>
    <s v="PP Laminated Woven Fabric"/>
    <s v="PP Lam Fabric With UV"/>
    <n v="826"/>
    <n v="120860.32"/>
    <s v="PP Lam Fabric With UV"/>
    <n v="0"/>
    <n v="9"/>
    <n v="10877.43"/>
    <n v="9"/>
    <n v="10877.4"/>
    <n v="0"/>
    <n v="0"/>
    <n v="0"/>
    <n v="21754.83"/>
    <n v="0"/>
    <s v="24AAACO3087C1ZT"/>
    <s v="Kgs"/>
    <n v="63053300"/>
    <s v="Rs."/>
    <n v="1"/>
    <n v="826"/>
  </r>
  <r>
    <d v="2026-07-08T00:00:00"/>
    <s v="Plastene India ltd - Unit 1-Purchase"/>
    <s v="R.M.P."/>
    <s v="RM 494"/>
    <x v="1"/>
    <s v="PIL1/D/1302"/>
    <d v="2026-07-08T00:00:00"/>
    <s v="SF"/>
    <s v="Webbing"/>
    <s v="PP Webbing"/>
    <s v="PP Webbing"/>
    <s v="Webbing"/>
    <n v="1042.7"/>
    <n v="150482.46"/>
    <s v="Webbing"/>
    <n v="0"/>
    <n v="9"/>
    <n v="13543.42"/>
    <n v="9"/>
    <n v="13543.42"/>
    <n v="0"/>
    <n v="0"/>
    <n v="0"/>
    <n v="27086.84"/>
    <n v="0"/>
    <s v="24AAACO3087C1ZT"/>
    <s v="Kgs"/>
    <n v="3926908"/>
    <s v="Rs."/>
    <n v="1"/>
    <n v="1042.7"/>
  </r>
  <r>
    <d v="2026-07-08T00:00:00"/>
    <s v="Plastene India ltd - Unit 1-Purchase"/>
    <s v="R.M.P."/>
    <s v="RM 494"/>
    <x v="1"/>
    <s v="PIL1/D/1302"/>
    <d v="2026-07-08T00:00:00"/>
    <s v="SF"/>
    <s v="Webbing"/>
    <s v="PP Webbing"/>
    <s v="PP Webbing"/>
    <s v="Webbing"/>
    <n v="1417.1"/>
    <n v="208767.17"/>
    <s v="Webbing"/>
    <n v="0"/>
    <n v="9"/>
    <n v="18789.05"/>
    <n v="9"/>
    <n v="18789.05"/>
    <n v="0"/>
    <n v="0"/>
    <n v="0"/>
    <n v="37578.1"/>
    <n v="0"/>
    <s v="24AAACO3087C1ZT"/>
    <s v="Kgs"/>
    <n v="3926908"/>
    <s v="Rs."/>
    <n v="1"/>
    <n v="1417.1"/>
  </r>
  <r>
    <d v="2026-07-08T00:00:00"/>
    <s v="Plastene India ltd - Unit 1-Purchase"/>
    <s v="R.M.P."/>
    <s v="RM 494"/>
    <x v="1"/>
    <s v="PIL1/D/1302"/>
    <d v="2026-07-08T00:00:00"/>
    <s v="SF"/>
    <s v="Yarn All"/>
    <s v="PP Yarn"/>
    <s v="PP Filament Yarn"/>
    <s v="PP MF Yarn Twisted 3000 Denier UV NW"/>
    <n v="479.2"/>
    <n v="73950.14"/>
    <s v="PP MF Yarn Twisted 3000 Denier UV NW"/>
    <n v="0"/>
    <n v="2.5"/>
    <n v="1848.75"/>
    <n v="2.5"/>
    <n v="1848.75"/>
    <n v="0"/>
    <n v="0"/>
    <n v="0"/>
    <n v="3697.5"/>
    <n v="0"/>
    <s v="24AAACO3087C1ZT"/>
    <s v="Kgs"/>
    <n v="540263"/>
    <s v="Rs."/>
    <n v="1"/>
    <n v="479.2"/>
  </r>
  <r>
    <d v="2026-07-08T00:00:00"/>
    <s v="Plastene Polyfilms Ltd-Purchase"/>
    <s v="General Purchase"/>
    <s v="GNCN 331"/>
    <x v="0"/>
    <s v="PPL/D/463"/>
    <d v="2026-07-08T00:00:00"/>
    <s v="Stores/Spares"/>
    <s v="MS Structure Items"/>
    <s v="Spares &amp; Stores"/>
    <s v="Stores &amp; Consumables"/>
    <s v="MS Pipe 4  C Class"/>
    <n v="10"/>
    <n v="480"/>
    <s v="MS Pipe 4  C Class"/>
    <n v="565.91999999999996"/>
    <n v="9"/>
    <n v="43.2"/>
    <n v="9"/>
    <n v="43.2"/>
    <n v="0"/>
    <n v="0"/>
    <n v="0"/>
    <n v="86.4"/>
    <n v="0"/>
    <s v="24AAFCP2956A1ZR"/>
    <s v="Kgs"/>
    <n v="73063090"/>
    <s v="Rs."/>
    <n v="1"/>
    <n v="0"/>
  </r>
  <r>
    <d v="2026-07-08T00:00:00"/>
    <s v="Plastene Polyfilms Ltd-Purchase"/>
    <s v="R.M.P."/>
    <s v="RM 491"/>
    <x v="1"/>
    <s v="PPL/D/462"/>
    <d v="2026-07-08T00:00:00"/>
    <s v="FG"/>
    <s v="FIBC WIP"/>
    <s v="FIBC WIP"/>
    <s v="FIBC WIP"/>
    <s v="PP Woven Fabric"/>
    <n v="158"/>
    <n v="21105.64"/>
    <s v="FIBC WIP"/>
    <n v="106798"/>
    <n v="9"/>
    <n v="1899.51"/>
    <n v="9"/>
    <n v="1899.51"/>
    <n v="0"/>
    <n v="0"/>
    <n v="0"/>
    <n v="3799.02"/>
    <n v="0"/>
    <s v="24AAFCP2956A1ZR"/>
    <s v="Kgs"/>
    <n v="39269080"/>
    <s v="Rs."/>
    <n v="1"/>
    <n v="158"/>
  </r>
  <r>
    <d v="2026-07-08T00:00:00"/>
    <s v="Plastene Polyfilms Ltd-Purchase"/>
    <s v="R.M.P."/>
    <s v="RM 491"/>
    <x v="1"/>
    <s v="PPL/D/462"/>
    <d v="2026-07-08T00:00:00"/>
    <s v="SF"/>
    <s v="PP/PE Fabric"/>
    <s v="PP Lam Fabric"/>
    <s v="PP Laminated Woven Fabric"/>
    <s v="PP Lam Fabric With UV"/>
    <n v="505"/>
    <n v="69477.899999999994"/>
    <s v="PP Lam Fabric With UV"/>
    <n v="0"/>
    <n v="9"/>
    <n v="6253.01"/>
    <n v="9"/>
    <n v="6253.01"/>
    <n v="0"/>
    <n v="0"/>
    <n v="0"/>
    <n v="12506.02"/>
    <n v="0"/>
    <s v="24AAFCP2956A1ZR"/>
    <s v="Kgs"/>
    <n v="63053300"/>
    <s v="Rs."/>
    <n v="1"/>
    <n v="505"/>
  </r>
  <r>
    <d v="2026-08-08T00:00:00"/>
    <s v="HCP Plastene Bulkpack Limited - Purchase"/>
    <s v="Branch Transfer In"/>
    <s v="RM 495"/>
    <x v="4"/>
    <s v="HPBL/DC/31"/>
    <d v="2026-07-08T00:00:00"/>
    <s v="SF"/>
    <s v="Liners"/>
    <s v="LDPE/LLDPE Bags"/>
    <s v="LLDPE Doc"/>
    <s v="DOC Pouch"/>
    <n v="526"/>
    <n v="89919.7"/>
    <s v="DOC Pouch"/>
    <n v="89919.7"/>
    <n v="0"/>
    <n v="0"/>
    <n v="0"/>
    <n v="0"/>
    <n v="0"/>
    <n v="0"/>
    <n v="0"/>
    <n v="0"/>
    <n v="0"/>
    <s v="24AABCG1282C2Z6"/>
    <s v="Kgs"/>
    <n v="39232100"/>
    <s v="Rs."/>
    <n v="1"/>
    <n v="526"/>
  </r>
  <r>
    <d v="2026-08-08T00:00:00"/>
    <s v="Plastene India ltd - Unit 1-Purchase"/>
    <s v="General Purchase"/>
    <s v="GNCN 333"/>
    <x v="0"/>
    <s v="PIL1/D/1312"/>
    <d v="2026-08-08T00:00:00"/>
    <s v="Stores/Spares"/>
    <s v="MS Structure Items"/>
    <s v="Spares &amp; Stores"/>
    <s v="Stores &amp; Consumables"/>
    <s v="MS Pipe 4  C Class"/>
    <n v="366"/>
    <n v="17568"/>
    <s v="MS Pipe 4  C Class"/>
    <n v="20712.669999999998"/>
    <n v="9"/>
    <n v="1581.12"/>
    <n v="9"/>
    <n v="1581.12"/>
    <n v="0"/>
    <n v="0"/>
    <n v="0"/>
    <n v="3162.24"/>
    <n v="0"/>
    <s v="24AAACO3087C1ZT"/>
    <s v="Kgs"/>
    <n v="73063090"/>
    <s v="Rs."/>
    <n v="1"/>
    <n v="0"/>
  </r>
  <r>
    <d v="2026-08-08T00:00:00"/>
    <s v="Plastene India ltd - Unit 1-Purchase"/>
    <s v="R.M.P."/>
    <s v="RM 496"/>
    <x v="1"/>
    <s v="PIL1/D/1315"/>
    <d v="2026-08-08T00:00:00"/>
    <s v="SF"/>
    <s v="Liners"/>
    <s v="LDPE/LLDPE Bags"/>
    <s v="LLDPE Bags"/>
    <s v="LDPE/LLDPE Bags/Liner"/>
    <n v="950.3"/>
    <n v="175672.46"/>
    <s v="LDPE/LLDPE Bags/Liner"/>
    <n v="796726.95"/>
    <n v="9"/>
    <n v="15810.52"/>
    <n v="9"/>
    <n v="15810.52"/>
    <n v="0"/>
    <n v="0"/>
    <n v="0"/>
    <n v="31621.040000000001"/>
    <n v="0"/>
    <s v="24AAACO3087C1ZT"/>
    <s v="Kgs"/>
    <n v="39200000"/>
    <s v="Rs."/>
    <n v="1"/>
    <n v="950.3"/>
  </r>
  <r>
    <d v="2026-08-08T00:00:00"/>
    <s v="Plastene India ltd - Unit 1-Purchase"/>
    <s v="R.M.P."/>
    <s v="RM 496"/>
    <x v="1"/>
    <s v="PIL1/D/1315"/>
    <d v="2026-08-08T00:00:00"/>
    <s v="SF"/>
    <s v="Liners"/>
    <s v="LDPE/LLDPE Bags"/>
    <s v="LLDPE Bags"/>
    <s v="LDPE/LLDPE Bags/Liner"/>
    <n v="2796"/>
    <n v="500092.56"/>
    <s v="LDPE/LLDPE Bags/Liner"/>
    <n v="0"/>
    <n v="9"/>
    <n v="45008.33"/>
    <n v="9"/>
    <n v="45008.33"/>
    <n v="0"/>
    <n v="0"/>
    <n v="0"/>
    <n v="90016.66"/>
    <n v="0"/>
    <s v="24AAACO3087C1ZT"/>
    <s v="Kgs"/>
    <n v="39200000"/>
    <s v="Rs."/>
    <n v="1"/>
    <n v="2796"/>
  </r>
  <r>
    <d v="2026-08-08T00:00:00"/>
    <s v="Plastene India ltd - Unit 1-Purchase"/>
    <s v="R.M.P."/>
    <s v="RM 497"/>
    <x v="1"/>
    <s v="PIL1/D/1309"/>
    <d v="2026-08-08T00:00:00"/>
    <s v="SF"/>
    <s v="PP/PE Fabric"/>
    <s v="PP UL Fabric"/>
    <s v="PP Woven Fabric"/>
    <s v="PP UL Fabric With UV"/>
    <n v="571"/>
    <n v="82406.720000000001"/>
    <s v="PP UL Fabric With UV"/>
    <n v="1232460.3799999999"/>
    <n v="9"/>
    <n v="7416.6"/>
    <n v="9"/>
    <n v="7416.6"/>
    <n v="0"/>
    <n v="0"/>
    <n v="0"/>
    <n v="14833.2"/>
    <n v="0"/>
    <s v="24AAACO3087C1ZT"/>
    <s v="Kgs"/>
    <n v="39269080"/>
    <s v="Rs."/>
    <n v="1"/>
    <n v="571"/>
  </r>
  <r>
    <d v="2026-08-08T00:00:00"/>
    <s v="Plastene India ltd - Unit 1-Purchase"/>
    <s v="R.M.P."/>
    <s v="RM 497"/>
    <x v="1"/>
    <s v="PIL1/D/1309"/>
    <d v="2026-08-08T00:00:00"/>
    <s v="SF"/>
    <s v="PP/PE Fabric"/>
    <s v="PP UL Fabric"/>
    <s v="PP Woven Fabric"/>
    <s v="PP UL Fabric With UV"/>
    <n v="6766"/>
    <n v="962937.12"/>
    <s v="PP UL Fabric With UV"/>
    <n v="0"/>
    <n v="9"/>
    <n v="86664.34"/>
    <n v="9"/>
    <n v="86664.34"/>
    <n v="0"/>
    <n v="0"/>
    <n v="0"/>
    <n v="173328.68"/>
    <n v="0"/>
    <s v="24AAACO3087C1ZT"/>
    <s v="Kgs"/>
    <n v="39269080"/>
    <s v="Rs."/>
    <n v="1"/>
    <n v="6766"/>
  </r>
  <r>
    <d v="2026-08-08T00:00:00"/>
    <s v="Plastene India ltd - Unit 1-Purchase"/>
    <s v="R.M.P."/>
    <s v="RM 498"/>
    <x v="1"/>
    <s v="PIL1/D/1313"/>
    <d v="2026-08-08T00:00:00"/>
    <s v="SF"/>
    <s v="PP/PE Fabric"/>
    <s v="PP Lam Fabric"/>
    <s v="PP Laminated Woven Fabric"/>
    <s v="PP Lam Fabric With UV"/>
    <n v="1751"/>
    <n v="252704.32"/>
    <s v="PP Lam Fabric With UV"/>
    <n v="1334224.2"/>
    <n v="9"/>
    <n v="22743.39"/>
    <n v="9"/>
    <n v="22743.39"/>
    <n v="0"/>
    <n v="0"/>
    <n v="0"/>
    <n v="45486.78"/>
    <n v="0"/>
    <s v="24AAACO3087C1ZT"/>
    <s v="Kgs"/>
    <n v="63053300"/>
    <s v="Rs."/>
    <n v="1"/>
    <n v="1751"/>
  </r>
  <r>
    <d v="2026-08-08T00:00:00"/>
    <s v="Plastene India ltd - Unit 1-Purchase"/>
    <s v="R.M.P."/>
    <s v="RM 498"/>
    <x v="1"/>
    <s v="PIL1/D/1313"/>
    <d v="2026-08-08T00:00:00"/>
    <s v="SF"/>
    <s v="PP/PE Fabric"/>
    <s v="PP Lam Fabric"/>
    <s v="PP Laminated Woven Fabric"/>
    <s v="PP Lam Fabric With UV"/>
    <n v="661"/>
    <n v="96717.52"/>
    <s v="PP Lam Fabric With UV"/>
    <n v="0"/>
    <n v="9"/>
    <n v="8704.58"/>
    <n v="9"/>
    <n v="8704.58"/>
    <n v="0"/>
    <n v="0"/>
    <n v="0"/>
    <n v="17409.16"/>
    <n v="0"/>
    <s v="24AAACO3087C1ZT"/>
    <s v="Kgs"/>
    <n v="63053300"/>
    <s v="Rs."/>
    <n v="1"/>
    <n v="661"/>
  </r>
  <r>
    <d v="2026-08-08T00:00:00"/>
    <s v="Plastene India ltd - Unit 1-Purchase"/>
    <s v="R.M.P."/>
    <s v="RM 498"/>
    <x v="1"/>
    <s v="PIL1/D/1313"/>
    <d v="2026-08-08T00:00:00"/>
    <s v="SF"/>
    <s v="PP/PE Fabric"/>
    <s v="PP UL Fabric"/>
    <s v="PP Woven Fabric"/>
    <s v="PP UL Fabric With UV"/>
    <n v="483"/>
    <n v="69706.559999999998"/>
    <s v="PP UL Fabric With UV"/>
    <n v="0"/>
    <n v="9"/>
    <n v="6273.59"/>
    <n v="9"/>
    <n v="6273.59"/>
    <n v="0"/>
    <n v="0"/>
    <n v="0"/>
    <n v="12547.18"/>
    <n v="0"/>
    <s v="24AAACO3087C1ZT"/>
    <s v="Kgs"/>
    <n v="39269080"/>
    <s v="Rs."/>
    <n v="1"/>
    <n v="483"/>
  </r>
  <r>
    <d v="2026-08-08T00:00:00"/>
    <s v="Plastene India ltd - Unit 1-Purchase"/>
    <s v="R.M.P."/>
    <s v="RM 498"/>
    <x v="1"/>
    <s v="PIL1/D/1313"/>
    <d v="2026-08-08T00:00:00"/>
    <s v="SF"/>
    <s v="PP/PE Fabric"/>
    <s v="PP UL Fabric"/>
    <s v="PP Woven Fabric"/>
    <s v="PP UL Fabric With UV"/>
    <n v="2335"/>
    <n v="332317.2"/>
    <s v="PP UL Fabric With UV"/>
    <n v="0"/>
    <n v="9"/>
    <n v="29908.55"/>
    <n v="9"/>
    <n v="29908.55"/>
    <n v="0"/>
    <n v="0"/>
    <n v="0"/>
    <n v="59817.1"/>
    <n v="0"/>
    <s v="24AAACO3087C1ZT"/>
    <s v="Kgs"/>
    <n v="39269080"/>
    <s v="Rs."/>
    <n v="1"/>
    <n v="2335"/>
  </r>
  <r>
    <d v="2026-08-08T00:00:00"/>
    <s v="Plastene India ltd - Unit 1-Purchase"/>
    <s v="R.M.P."/>
    <s v="RM 498"/>
    <x v="1"/>
    <s v="PIL1/D/1313"/>
    <d v="2026-08-08T00:00:00"/>
    <s v="SF"/>
    <s v="Webbing"/>
    <s v="PP Webbing"/>
    <s v="PP Webbing"/>
    <s v="Webbing"/>
    <n v="1062.8"/>
    <n v="153383.29999999999"/>
    <s v="Webbing"/>
    <n v="0"/>
    <n v="9"/>
    <n v="13804.5"/>
    <n v="9"/>
    <n v="13804.5"/>
    <n v="0"/>
    <n v="0"/>
    <n v="0"/>
    <n v="27609"/>
    <n v="0"/>
    <s v="24AAACO3087C1ZT"/>
    <s v="Kgs"/>
    <n v="3926908"/>
    <s v="Rs."/>
    <n v="1"/>
    <n v="1062.8"/>
  </r>
  <r>
    <d v="2026-08-08T00:00:00"/>
    <s v="Plastene India ltd - Unit 1-Purchase"/>
    <s v="R.M.P."/>
    <s v="RM 498"/>
    <x v="1"/>
    <s v="PIL1/D/1313"/>
    <d v="2026-08-08T00:00:00"/>
    <s v="SF"/>
    <s v="Webbing"/>
    <s v="PP Webbing"/>
    <s v="PP Webbing"/>
    <s v="Webbing"/>
    <n v="1539.7"/>
    <n v="226828.6"/>
    <s v="Webbing"/>
    <n v="0"/>
    <n v="9"/>
    <n v="20414.57"/>
    <n v="9"/>
    <n v="20414.57"/>
    <n v="0"/>
    <n v="0"/>
    <n v="0"/>
    <n v="40829.14"/>
    <n v="0"/>
    <s v="24AAACO3087C1ZT"/>
    <s v="Kgs"/>
    <n v="3926908"/>
    <s v="Rs."/>
    <n v="1"/>
    <n v="1539.7"/>
  </r>
  <r>
    <d v="2026-09-08T00:00:00"/>
    <s v="HCP Plastene Bulkpack Limited - Purchase"/>
    <s v="Branch Transfer In"/>
    <s v="RM 499"/>
    <x v="5"/>
    <s v="HPBL/DC/33"/>
    <d v="2026-08-08T00:00:00"/>
    <s v="FG"/>
    <s v="Small Bags"/>
    <s v="PP Bags"/>
    <s v="PP Woven Sacks"/>
    <s v="PP UL Bags Without UV"/>
    <n v="3198.4"/>
    <n v="522394.67"/>
    <s v="PP UL Bags Without UV"/>
    <n v="522394.67"/>
    <n v="0"/>
    <n v="0"/>
    <n v="0"/>
    <n v="0"/>
    <n v="0"/>
    <n v="0"/>
    <n v="0"/>
    <n v="0"/>
    <n v="0"/>
    <s v="24AABCG1282C2Z6"/>
    <s v="Kgs"/>
    <n v="39232990"/>
    <s v="Rs."/>
    <n v="1"/>
    <n v="3198.4"/>
  </r>
  <r>
    <d v="2026-09-08T00:00:00"/>
    <s v="Kabra Electricals"/>
    <s v="General Purchase"/>
    <s v="GNSP 145"/>
    <x v="0"/>
    <s v="GST/481"/>
    <d v="2026-05-08T00:00:00"/>
    <s v="Stores/Spares"/>
    <s v="Electrical Items/Spares"/>
    <s v="Spares &amp; Stores"/>
    <s v="Stores &amp; Consumables"/>
    <s v="Emergency Switch"/>
    <n v="10"/>
    <n v="2150"/>
    <s v="Emergency Switch"/>
    <n v="2655"/>
    <n v="9"/>
    <n v="193.5"/>
    <n v="9"/>
    <n v="193.5"/>
    <n v="0"/>
    <n v="0"/>
    <n v="18"/>
    <n v="405"/>
    <n v="0"/>
    <s v="24ANLPK2335A1ZJ"/>
    <s v="Pcs"/>
    <n v="34039900"/>
    <s v="Rs."/>
    <n v="1"/>
    <n v="0"/>
  </r>
  <r>
    <d v="2026-09-08T00:00:00"/>
    <s v="Plastene India ltd - Unit 1-Purchase"/>
    <s v="General Purchase"/>
    <s v="GNCN 335"/>
    <x v="0"/>
    <s v="PIL1/D/1321"/>
    <d v="2026-09-08T00:00:00"/>
    <s v="Stores/Spares"/>
    <s v="MS Structure Items"/>
    <s v="Spares &amp; Stores"/>
    <s v="Stores &amp; Consumables"/>
    <s v="MS Pipe 4  C Class"/>
    <n v="367"/>
    <n v="17616"/>
    <s v="MS Pipe 4  C Class"/>
    <n v="20769.259999999998"/>
    <n v="9"/>
    <n v="1585.44"/>
    <n v="9"/>
    <n v="1585.44"/>
    <n v="0"/>
    <n v="0"/>
    <n v="0"/>
    <n v="3170.88"/>
    <n v="0"/>
    <s v="24AAACO3087C1ZT"/>
    <s v="Kgs"/>
    <n v="73063090"/>
    <s v="Rs."/>
    <n v="1"/>
    <n v="0"/>
  </r>
  <r>
    <d v="2026-09-08T00:00:00"/>
    <s v="Plastene India ltd - Unit 1-Purchase"/>
    <s v="R.M.P."/>
    <s v="RM 502"/>
    <x v="1"/>
    <s v="PIL1/D/1320"/>
    <d v="2026-09-08T00:00:00"/>
    <s v="SF"/>
    <s v="PP/PE Fabric"/>
    <s v="PP Lam Fabric"/>
    <s v="PP Laminated Woven Fabric"/>
    <s v="PP Lam Fabric With UV"/>
    <n v="1234"/>
    <n v="180558.88"/>
    <s v="PP Lam Fabric With UV"/>
    <n v="1373687.69"/>
    <n v="9"/>
    <n v="16250.3"/>
    <n v="9"/>
    <n v="16250.3"/>
    <n v="0"/>
    <n v="0"/>
    <n v="0"/>
    <n v="32500.6"/>
    <n v="0"/>
    <s v="24AAACO3087C1ZT"/>
    <s v="Kgs"/>
    <n v="63053300"/>
    <s v="Rs."/>
    <n v="1"/>
    <n v="1234"/>
  </r>
  <r>
    <d v="2026-09-08T00:00:00"/>
    <s v="Plastene India ltd - Unit 1-Purchase"/>
    <s v="R.M.P."/>
    <s v="RM 502"/>
    <x v="1"/>
    <s v="PIL1/D/1320"/>
    <d v="2026-09-08T00:00:00"/>
    <s v="SF"/>
    <s v="PP/PE Fabric"/>
    <s v="PP UL Fabric"/>
    <s v="PP Woven Fabric"/>
    <s v="PP UL Fabric With UV"/>
    <n v="1139"/>
    <n v="164380.48000000001"/>
    <s v="PP UL Fabric With UV"/>
    <n v="0"/>
    <n v="9"/>
    <n v="14794.24"/>
    <n v="9"/>
    <n v="14794.24"/>
    <n v="0"/>
    <n v="0"/>
    <n v="0"/>
    <n v="29588.48"/>
    <n v="0"/>
    <s v="24AAACO3087C1ZT"/>
    <s v="Kgs"/>
    <n v="39269080"/>
    <s v="Rs."/>
    <n v="1"/>
    <n v="1139"/>
  </r>
  <r>
    <d v="2026-09-08T00:00:00"/>
    <s v="Plastene India ltd - Unit 1-Purchase"/>
    <s v="R.M.P."/>
    <s v="RM 502"/>
    <x v="1"/>
    <s v="PIL1/D/1320"/>
    <d v="2026-09-08T00:00:00"/>
    <s v="SF"/>
    <s v="PP/PE Fabric"/>
    <s v="PP UL Fabric"/>
    <s v="PP Woven Fabric"/>
    <s v="PP UL Fabric With UV"/>
    <n v="5763"/>
    <n v="820190.16"/>
    <s v="PP UL Fabric With UV"/>
    <n v="0"/>
    <n v="9"/>
    <n v="73817.11"/>
    <n v="9"/>
    <n v="73817.11"/>
    <n v="0"/>
    <n v="0"/>
    <n v="0"/>
    <n v="147634.22"/>
    <n v="0"/>
    <s v="24AAACO3087C1ZT"/>
    <s v="Kgs"/>
    <n v="39269080"/>
    <s v="Rs."/>
    <n v="1"/>
    <n v="5763"/>
  </r>
  <r>
    <d v="2026-09-08T00:00:00"/>
    <s v="Plastene India ltd - Unit 1-Purchase"/>
    <s v="R.M.P."/>
    <s v="RM 503"/>
    <x v="1"/>
    <s v="PIL1/D/1325"/>
    <d v="2026-09-08T00:00:00"/>
    <s v="SF"/>
    <s v="PP/PE Fabric"/>
    <s v="PP Lam Fabric"/>
    <s v="PP Laminated Woven Fabric"/>
    <s v="PP Lam Fabric With UV"/>
    <n v="255"/>
    <n v="38586.6"/>
    <s v="PP Lam Fabric With UV"/>
    <n v="231711.5"/>
    <n v="9"/>
    <n v="3472.79"/>
    <n v="9"/>
    <n v="3472.79"/>
    <n v="0"/>
    <n v="0"/>
    <n v="0"/>
    <n v="6945.58"/>
    <n v="0"/>
    <s v="24AAACO3087C1ZT"/>
    <s v="Kgs"/>
    <n v="63053300"/>
    <s v="Rs."/>
    <n v="1"/>
    <n v="255"/>
  </r>
  <r>
    <d v="2026-09-08T00:00:00"/>
    <s v="Plastene India ltd - Unit 1-Purchase"/>
    <s v="R.M.P."/>
    <s v="RM 503"/>
    <x v="1"/>
    <s v="PIL1/D/1325"/>
    <d v="2026-09-08T00:00:00"/>
    <s v="SF"/>
    <s v="Webbing"/>
    <s v="PP Webbing"/>
    <s v="PP Webbing"/>
    <s v="Webbing"/>
    <n v="147.1"/>
    <n v="21670.77"/>
    <s v="Webbing"/>
    <n v="0"/>
    <n v="9"/>
    <n v="1950.37"/>
    <n v="9"/>
    <n v="1950.37"/>
    <n v="0"/>
    <n v="0"/>
    <n v="0"/>
    <n v="3900.74"/>
    <n v="0"/>
    <s v="24AAACO3087C1ZT"/>
    <s v="Kgs"/>
    <n v="3926908"/>
    <s v="Rs."/>
    <n v="1"/>
    <n v="147.1"/>
  </r>
  <r>
    <d v="2026-09-08T00:00:00"/>
    <s v="Plastene India ltd - Unit 1-Purchase"/>
    <s v="R.M.P."/>
    <s v="RM 503"/>
    <x v="1"/>
    <s v="PIL1/D/1325"/>
    <d v="2026-09-08T00:00:00"/>
    <s v="FG"/>
    <s v="FIBC WIP"/>
    <s v="FIBC WIP"/>
    <s v="FIBC WIP"/>
    <s v="PP Laminated Woven Fabric"/>
    <n v="730"/>
    <n v="112653.6"/>
    <s v="FIBC WIP"/>
    <n v="0"/>
    <n v="9"/>
    <n v="10138.82"/>
    <n v="9"/>
    <n v="10138.82"/>
    <n v="0"/>
    <n v="0"/>
    <n v="0"/>
    <n v="20277.64"/>
    <n v="0"/>
    <s v="24AAACO3087C1ZT"/>
    <s v="Kgs"/>
    <n v="39269080"/>
    <s v="Rs."/>
    <n v="1"/>
    <n v="730"/>
  </r>
  <r>
    <d v="2026-09-08T00:00:00"/>
    <s v="Plastene India ltd - Unit 1-Purchase"/>
    <s v="R.M.P."/>
    <s v="RM 503"/>
    <x v="1"/>
    <s v="PIL1/D/1325"/>
    <d v="2026-09-08T00:00:00"/>
    <s v="FG"/>
    <s v="FIBC WIP"/>
    <s v="FIBC WIP"/>
    <s v="FIBC WIP"/>
    <s v="PP Webbing"/>
    <n v="72"/>
    <n v="10967.04"/>
    <s v="FIBC WIP"/>
    <n v="0"/>
    <n v="9"/>
    <n v="987.03"/>
    <n v="9"/>
    <n v="987.03"/>
    <n v="0"/>
    <n v="0"/>
    <n v="0"/>
    <n v="1974.06"/>
    <n v="0"/>
    <s v="24AAACO3087C1ZT"/>
    <s v="Kgs"/>
    <n v="39269080"/>
    <s v="Rs."/>
    <n v="1"/>
    <n v="72"/>
  </r>
  <r>
    <d v="2026-09-08T00:00:00"/>
    <s v="Plastene India ltd - Unit 1-Purchase"/>
    <s v="R.M.P."/>
    <s v="RM 503"/>
    <x v="1"/>
    <s v="PIL1/D/1325"/>
    <d v="2026-09-08T00:00:00"/>
    <s v="FG"/>
    <s v="FIBC WIP"/>
    <s v="FIBC WIP"/>
    <s v="FIBC WIP"/>
    <s v="PP Laminated Woven Fabric"/>
    <n v="82"/>
    <n v="12654.24"/>
    <s v="FIBC WIP"/>
    <n v="0"/>
    <n v="9"/>
    <n v="1138.8800000000001"/>
    <n v="9"/>
    <n v="1138.8800000000001"/>
    <n v="0"/>
    <n v="0"/>
    <n v="0"/>
    <n v="2277.7600000000002"/>
    <n v="0"/>
    <s v="24AAACO3087C1ZT"/>
    <s v="Kgs"/>
    <n v="39269080"/>
    <s v="Rs."/>
    <n v="1"/>
    <n v="82"/>
  </r>
  <r>
    <d v="2026-09-08T00:00:00"/>
    <s v="Plastene India ltd - Unit 1-Purchase"/>
    <s v="R.M.P."/>
    <s v="RM 504"/>
    <x v="1"/>
    <s v="PIL1/D/1322"/>
    <d v="2026-09-08T00:00:00"/>
    <s v="SF"/>
    <s v="Liners"/>
    <s v="LDPE/LLDPE Bags"/>
    <s v="LLDPE Bags"/>
    <s v="LDPE/LLDPE Bags/Liner"/>
    <n v="1625.7"/>
    <n v="287521.3"/>
    <s v="LDPE/LLDPE Bags/Liner"/>
    <n v="1612534.33"/>
    <n v="9"/>
    <n v="25876.92"/>
    <n v="9"/>
    <n v="25876.92"/>
    <n v="0"/>
    <n v="0"/>
    <n v="0"/>
    <n v="51753.84"/>
    <n v="0"/>
    <s v="24AAACO3087C1ZT"/>
    <s v="Kgs"/>
    <n v="39200000"/>
    <s v="Rs."/>
    <n v="1"/>
    <n v="1625.7"/>
  </r>
  <r>
    <d v="2026-09-08T00:00:00"/>
    <s v="Plastene India ltd - Unit 1-Purchase"/>
    <s v="R.M.P."/>
    <s v="RM 504"/>
    <x v="1"/>
    <s v="PIL1/D/1322"/>
    <d v="2026-09-08T00:00:00"/>
    <s v="SF"/>
    <s v="Liners"/>
    <s v="LDPE/LLDPE Bags"/>
    <s v="LLDPE Bags"/>
    <s v="LDPE/LLDPE Bags/Liner"/>
    <n v="508"/>
    <n v="93908.88"/>
    <s v="LDPE/LLDPE Bags/Liner"/>
    <n v="0"/>
    <n v="9"/>
    <n v="8451.7999999999993"/>
    <n v="9"/>
    <n v="8451.7999999999993"/>
    <n v="0"/>
    <n v="0"/>
    <n v="0"/>
    <n v="16903.599999999999"/>
    <n v="0"/>
    <s v="24AAACO3087C1ZT"/>
    <s v="Kgs"/>
    <n v="39200000"/>
    <s v="Rs."/>
    <n v="1"/>
    <n v="508"/>
  </r>
  <r>
    <d v="2026-09-08T00:00:00"/>
    <s v="Plastene India ltd - Unit 1-Purchase"/>
    <s v="R.M.P."/>
    <s v="RM 504"/>
    <x v="1"/>
    <s v="PIL1/D/1322"/>
    <d v="2026-09-08T00:00:00"/>
    <s v="SF"/>
    <s v="Liners"/>
    <s v="LDPE/LLDPE Bags"/>
    <s v="LLDPE Bags"/>
    <s v="LDPE/LLDPE Bags/Liner"/>
    <n v="78"/>
    <n v="14107.08"/>
    <s v="LDPE/LLDPE Bags/Liner"/>
    <n v="0"/>
    <n v="9"/>
    <n v="1269.6400000000001"/>
    <n v="9"/>
    <n v="1269.6400000000001"/>
    <n v="0"/>
    <n v="0"/>
    <n v="0"/>
    <n v="2539.2800000000002"/>
    <n v="0"/>
    <s v="24AAACO3087C1ZT"/>
    <s v="Kgs"/>
    <n v="39200000"/>
    <s v="Rs."/>
    <n v="1"/>
    <n v="78"/>
  </r>
  <r>
    <d v="2026-09-08T00:00:00"/>
    <s v="Plastene India ltd - Unit 1-Purchase"/>
    <s v="R.M.P."/>
    <s v="RM 504"/>
    <x v="1"/>
    <s v="PIL1/D/1322"/>
    <d v="2026-09-08T00:00:00"/>
    <s v="SF"/>
    <s v="Webbing"/>
    <s v="PP Webbing"/>
    <s v="PP Webbing"/>
    <s v="Webbing"/>
    <n v="752.1"/>
    <n v="108543.07"/>
    <s v="Webbing"/>
    <n v="0"/>
    <n v="9"/>
    <n v="9768.8799999999992"/>
    <n v="9"/>
    <n v="9768.8799999999992"/>
    <n v="0"/>
    <n v="0"/>
    <n v="0"/>
    <n v="19537.759999999998"/>
    <n v="0"/>
    <s v="24AAACO3087C1ZT"/>
    <s v="Kgs"/>
    <n v="3926908"/>
    <s v="Rs."/>
    <n v="1"/>
    <n v="752.1"/>
  </r>
  <r>
    <d v="2026-09-08T00:00:00"/>
    <s v="Plastene India ltd - Unit 1-Purchase"/>
    <s v="R.M.P."/>
    <s v="RM 504"/>
    <x v="1"/>
    <s v="PIL1/D/1322"/>
    <d v="2026-09-08T00:00:00"/>
    <s v="SF"/>
    <s v="Webbing"/>
    <s v="PP Webbing"/>
    <s v="PP Webbing"/>
    <s v="Webbing"/>
    <n v="1162.9000000000001"/>
    <n v="171318.43"/>
    <s v="Webbing"/>
    <n v="0"/>
    <n v="9"/>
    <n v="15418.66"/>
    <n v="9"/>
    <n v="15418.66"/>
    <n v="0"/>
    <n v="0"/>
    <n v="0"/>
    <n v="30837.32"/>
    <n v="0"/>
    <s v="24AAACO3087C1ZT"/>
    <s v="Kgs"/>
    <n v="3926908"/>
    <s v="Rs."/>
    <n v="1"/>
    <n v="1162.9000000000001"/>
  </r>
  <r>
    <d v="2026-09-08T00:00:00"/>
    <s v="Plastene India ltd - Unit 1-Purchase"/>
    <s v="R.M.P."/>
    <s v="RM 504"/>
    <x v="1"/>
    <s v="PIL1/D/1322"/>
    <d v="2026-09-08T00:00:00"/>
    <s v="SF"/>
    <s v="PP/PE Fabric"/>
    <s v="PP UL Fabric"/>
    <s v="PP Woven Fabric"/>
    <s v="PP UL Fabric With UV"/>
    <n v="479"/>
    <n v="69129.279999999999"/>
    <s v="PP UL Fabric With UV"/>
    <n v="0"/>
    <n v="9"/>
    <n v="6221.64"/>
    <n v="9"/>
    <n v="6221.64"/>
    <n v="0"/>
    <n v="0"/>
    <n v="0"/>
    <n v="12443.28"/>
    <n v="0"/>
    <s v="24AAACO3087C1ZT"/>
    <s v="Kgs"/>
    <n v="39269080"/>
    <s v="Rs."/>
    <n v="1"/>
    <n v="479"/>
  </r>
  <r>
    <d v="2026-09-08T00:00:00"/>
    <s v="Plastene India ltd - Unit 1-Purchase"/>
    <s v="R.M.P."/>
    <s v="RM 504"/>
    <x v="1"/>
    <s v="PIL1/D/1322"/>
    <d v="2026-09-08T00:00:00"/>
    <s v="SF"/>
    <s v="PP/PE Fabric"/>
    <s v="PP UL Fabric"/>
    <s v="PP Woven Fabric"/>
    <s v="PP UL Fabric With UV"/>
    <n v="3729"/>
    <n v="530711.28"/>
    <s v="PP UL Fabric With UV"/>
    <n v="0"/>
    <n v="9"/>
    <n v="47764.02"/>
    <n v="9"/>
    <n v="47764.02"/>
    <n v="0"/>
    <n v="0"/>
    <n v="0"/>
    <n v="95528.04"/>
    <n v="0"/>
    <s v="24AAACO3087C1ZT"/>
    <s v="Kgs"/>
    <n v="39269080"/>
    <s v="Rs."/>
    <n v="1"/>
    <n v="3729"/>
  </r>
  <r>
    <d v="2026-09-08T00:00:00"/>
    <s v="Plastene India ltd - Unit 1-Purchase"/>
    <s v="R.M.P."/>
    <s v="RM 504"/>
    <x v="1"/>
    <s v="PIL1/D/1322"/>
    <d v="2026-09-08T00:00:00"/>
    <s v="SF"/>
    <s v="PP/PE Fabric"/>
    <s v="PP Lam Fabric"/>
    <s v="PP Laminated Woven Fabric"/>
    <s v="PP Lam Fabric With UV"/>
    <n v="632"/>
    <n v="92474.240000000005"/>
    <s v="PP Lam Fabric With UV"/>
    <n v="0"/>
    <n v="9"/>
    <n v="8322.68"/>
    <n v="9"/>
    <n v="8322.68"/>
    <n v="0"/>
    <n v="0"/>
    <n v="0"/>
    <n v="16645.36"/>
    <n v="0"/>
    <s v="24AAACO3087C1ZT"/>
    <s v="Kgs"/>
    <n v="63053300"/>
    <s v="Rs."/>
    <n v="1"/>
    <n v="632"/>
  </r>
  <r>
    <d v="2026-09-08T00:00:00"/>
    <s v="Plastene Polyfilms Ltd-Purchase"/>
    <s v="R.M.P."/>
    <s v="RM 500"/>
    <x v="1"/>
    <s v="PPL/D/467"/>
    <d v="2026-08-08T00:00:00"/>
    <s v="SF"/>
    <s v="PP/PE Fabric"/>
    <s v="PP Lam Fabric"/>
    <s v="PP Laminated Woven Fabric"/>
    <s v="PP Lam Fabric With UV"/>
    <n v="752"/>
    <n v="103460.16"/>
    <s v="PP Lam Fabric With UV"/>
    <n v="202531.02"/>
    <n v="9"/>
    <n v="9311.41"/>
    <n v="9"/>
    <n v="9311.41"/>
    <n v="0"/>
    <n v="0"/>
    <n v="0"/>
    <n v="18622.82"/>
    <n v="0"/>
    <s v="24AAFCP2956A1ZR"/>
    <s v="Kgs"/>
    <n v="63053300"/>
    <s v="Rs."/>
    <n v="1"/>
    <n v="752"/>
  </r>
  <r>
    <d v="2026-09-08T00:00:00"/>
    <s v="Plastene Polyfilms Ltd-Purchase"/>
    <s v="R.M.P."/>
    <s v="RM 500"/>
    <x v="1"/>
    <s v="PPL/D/467"/>
    <d v="2026-08-08T00:00:00"/>
    <s v="SF"/>
    <s v="PP/PE Fabric"/>
    <s v="PP Lam Fabric"/>
    <s v="PP Laminated Woven Fabric"/>
    <s v="PP Lam Fabric With UV"/>
    <n v="486"/>
    <n v="68321.88"/>
    <s v="PP Lam Fabric With UV"/>
    <n v="0"/>
    <n v="9"/>
    <n v="6148.97"/>
    <n v="9"/>
    <n v="6148.97"/>
    <n v="0"/>
    <n v="0"/>
    <n v="0"/>
    <n v="12297.94"/>
    <n v="0"/>
    <s v="24AAFCP2956A1ZR"/>
    <s v="Kgs"/>
    <n v="63053300"/>
    <s v="Rs."/>
    <n v="1"/>
    <n v="486"/>
  </r>
  <r>
    <d v="2026-09-08T00:00:00"/>
    <s v="Plastene Polyfilms Ltd-Purchase"/>
    <s v="R.M.P."/>
    <s v="RM 501"/>
    <x v="1"/>
    <s v="PPL/D/469"/>
    <d v="2026-09-08T00:00:00"/>
    <s v="SF"/>
    <s v="Webbing"/>
    <s v="PP Webbing"/>
    <s v="PP Webbing"/>
    <s v="Webbing"/>
    <n v="408.8"/>
    <n v="56569.74"/>
    <s v="Webbing"/>
    <n v="66695.73"/>
    <n v="9"/>
    <n v="5091.28"/>
    <n v="9"/>
    <n v="5091.28"/>
    <n v="0"/>
    <n v="0"/>
    <n v="0"/>
    <n v="10182.56"/>
    <n v="0"/>
    <s v="24AAFCP2956A1ZR"/>
    <s v="Kgs"/>
    <n v="3926908"/>
    <s v="Rs."/>
    <n v="1"/>
    <n v="408.8"/>
  </r>
  <r>
    <d v="2026-09-08T00:00:00"/>
    <s v="R. B. Tapes Pvt Ltd"/>
    <s v="General Purchase"/>
    <s v="GNCN 334"/>
    <x v="0"/>
    <s v="RB/26-27/665"/>
    <s v="30-07-2026"/>
    <s v="Consumables"/>
    <s v="Adhesive Tapes"/>
    <s v="Spares &amp; Stores"/>
    <s v="Stores &amp; Consumables"/>
    <s v="Cello Tape W-2&quot; Natural X L-65 Mtr"/>
    <n v="144"/>
    <n v="3600"/>
    <s v="Cello Tape W-2&quot; Natural X L-65 Mtr"/>
    <n v="4248"/>
    <n v="9"/>
    <n v="324"/>
    <n v="9"/>
    <n v="324"/>
    <n v="0"/>
    <n v="0"/>
    <n v="0"/>
    <n v="648"/>
    <n v="0"/>
    <s v="24AALCR2352J1ZA"/>
    <s v="Pcs"/>
    <n v="3919909"/>
    <s v="Rs."/>
    <n v="1"/>
    <n v="0"/>
  </r>
  <r>
    <d v="2026-09-08T00:00:00"/>
    <s v="Tanmay Engitech"/>
    <s v="General Purchase"/>
    <s v="GNSP 146"/>
    <x v="0"/>
    <s v="TE/1288/26-27"/>
    <d v="2026-07-08T00:00:00"/>
    <s v="Stores/Spares"/>
    <s v="Pneumatic Cylinders &amp; Spares"/>
    <s v="Spares &amp; Stores"/>
    <s v="Stores &amp; Consumables"/>
    <s v="Air Cylinder 63 X 100 mmRod Dia-20 mmVnc Model"/>
    <n v="2"/>
    <n v="4391.92"/>
    <s v="Air Cylinder 63 X 100 mmRod Dia-20 mmVnc Model"/>
    <n v="5182"/>
    <n v="9"/>
    <n v="395.27"/>
    <n v="9"/>
    <n v="395.27"/>
    <n v="0"/>
    <n v="0"/>
    <n v="0"/>
    <n v="790.54"/>
    <n v="0"/>
    <s v="24ARIPK4378C1ZV"/>
    <s v="Pcs"/>
    <n v="84123100"/>
    <s v="Rs."/>
    <n v="1"/>
    <n v="0"/>
  </r>
  <r>
    <d v="2026-10-08T00:00:00"/>
    <s v="Plastene India ltd - Unit 1-Purchase"/>
    <s v="General Purchase"/>
    <s v="GNCN 336"/>
    <x v="0"/>
    <s v="PIL1/D/1331"/>
    <d v="2026-10-08T00:00:00"/>
    <s v="Stores/Spares"/>
    <s v="MS Structure Items"/>
    <s v="Spares &amp; Stores"/>
    <s v="Stores &amp; Consumables"/>
    <s v="MS Pipe 4  C Class"/>
    <n v="298"/>
    <n v="14304"/>
    <s v="MS Pipe 4  C Class"/>
    <n v="16864.419999999998"/>
    <n v="9"/>
    <n v="1287.3599999999999"/>
    <n v="9"/>
    <n v="1287.3599999999999"/>
    <n v="0"/>
    <n v="0"/>
    <n v="0"/>
    <n v="2574.7199999999998"/>
    <n v="0"/>
    <s v="24AAACO3087C1ZT"/>
    <s v="Kgs"/>
    <n v="73063090"/>
    <s v="Rs."/>
    <n v="1"/>
    <n v="0"/>
  </r>
  <r>
    <d v="2026-10-08T00:00:00"/>
    <s v="Plastene India ltd - Unit 1-Purchase"/>
    <s v="R.M.P."/>
    <s v="RM 505"/>
    <x v="1"/>
    <s v="PIL1/D/1329"/>
    <d v="2026-10-08T00:00:00"/>
    <s v="SF"/>
    <s v="PP/PE Fabric"/>
    <s v="PP UL Fabric"/>
    <s v="PP Woven Fabric"/>
    <s v="PP UL Fabric With UV"/>
    <n v="6937"/>
    <n v="987273.84"/>
    <s v="PP UL Fabric With UV"/>
    <n v="1260302.6200000001"/>
    <n v="9"/>
    <n v="88854.65"/>
    <n v="9"/>
    <n v="88854.65"/>
    <n v="0"/>
    <n v="0"/>
    <n v="0"/>
    <n v="177709.3"/>
    <n v="0"/>
    <s v="24AAACO3087C1ZT"/>
    <s v="Kgs"/>
    <n v="39269080"/>
    <s v="Rs."/>
    <n v="1"/>
    <n v="6937"/>
  </r>
  <r>
    <d v="2026-10-08T00:00:00"/>
    <s v="Plastene India ltd - Unit 1-Purchase"/>
    <s v="R.M.P."/>
    <s v="RM 505"/>
    <x v="1"/>
    <s v="PIL1/D/1329"/>
    <d v="2026-10-08T00:00:00"/>
    <s v="SF"/>
    <s v="PP/PE Fabric"/>
    <s v="PP UL Fabric"/>
    <s v="PP Woven Fabric"/>
    <s v="PP UL Fabric With UV"/>
    <n v="566"/>
    <n v="81685.119999999995"/>
    <s v="PP UL Fabric With UV"/>
    <n v="0"/>
    <n v="9"/>
    <n v="7351.66"/>
    <n v="9"/>
    <n v="7351.66"/>
    <n v="0"/>
    <n v="0"/>
    <n v="0"/>
    <n v="14703.32"/>
    <n v="0"/>
    <s v="24AAACO3087C1ZT"/>
    <s v="Kgs"/>
    <n v="39269080"/>
    <s v="Rs."/>
    <n v="1"/>
    <n v="566"/>
  </r>
  <r>
    <d v="2026-10-08T00:00:00"/>
    <s v="Plastene India ltd - Unit 1-Purchase"/>
    <s v="R.M.P."/>
    <s v="RM 506"/>
    <x v="1"/>
    <s v="PIL1/D/1332"/>
    <d v="2026-10-08T00:00:00"/>
    <s v="SF"/>
    <s v="Liners"/>
    <s v="LDPE/LLDPE Bags"/>
    <s v="LLDPE Bags"/>
    <s v="LDPE/LLDPE Bags/Liner"/>
    <n v="1828"/>
    <n v="323300.08"/>
    <s v="LDPE/LLDPE Bags/Liner"/>
    <n v="1413463.11"/>
    <n v="9"/>
    <n v="29097.01"/>
    <n v="9"/>
    <n v="29097.01"/>
    <n v="0"/>
    <n v="0"/>
    <n v="0"/>
    <n v="58194.02"/>
    <n v="0"/>
    <s v="24AAACO3087C1ZT"/>
    <s v="Kgs"/>
    <n v="39200000"/>
    <s v="Rs."/>
    <n v="1"/>
    <n v="1828"/>
  </r>
  <r>
    <d v="2026-10-08T00:00:00"/>
    <s v="Plastene India ltd - Unit 1-Purchase"/>
    <s v="R.M.P."/>
    <s v="RM 506"/>
    <x v="1"/>
    <s v="PIL1/D/1332"/>
    <d v="2026-10-08T00:00:00"/>
    <s v="SF"/>
    <s v="PP/PE Fabric"/>
    <s v="PP Lam Fabric"/>
    <s v="PP Laminated Woven Fabric"/>
    <s v="PP Lam Fabric With UV"/>
    <n v="545"/>
    <n v="81379.399999999994"/>
    <s v="PP Lam Fabric With UV"/>
    <n v="0"/>
    <n v="9"/>
    <n v="7324.15"/>
    <n v="9"/>
    <n v="7324.15"/>
    <n v="0"/>
    <n v="0"/>
    <n v="0"/>
    <n v="14648.3"/>
    <n v="0"/>
    <s v="24AAACO3087C1ZT"/>
    <s v="Kgs"/>
    <n v="63053300"/>
    <s v="Rs."/>
    <n v="1"/>
    <n v="545"/>
  </r>
  <r>
    <d v="2026-10-08T00:00:00"/>
    <s v="Plastene India ltd - Unit 1-Purchase"/>
    <s v="R.M.P."/>
    <s v="RM 506"/>
    <x v="1"/>
    <s v="PIL1/D/1332"/>
    <d v="2026-10-08T00:00:00"/>
    <s v="SF"/>
    <s v="PP/PE Fabric"/>
    <s v="PP Lam Fabric"/>
    <s v="PP Laminated Woven Fabric"/>
    <s v="PP Lam Fabric With UV"/>
    <n v="362"/>
    <n v="52967.839999999997"/>
    <s v="PP Lam Fabric With UV"/>
    <n v="0"/>
    <n v="9"/>
    <n v="4767.1099999999997"/>
    <n v="9"/>
    <n v="4767.1099999999997"/>
    <n v="0"/>
    <n v="0"/>
    <n v="0"/>
    <n v="9534.2199999999993"/>
    <n v="0"/>
    <s v="24AAACO3087C1ZT"/>
    <s v="Kgs"/>
    <n v="63053300"/>
    <s v="Rs."/>
    <n v="1"/>
    <n v="362"/>
  </r>
  <r>
    <d v="2026-10-08T00:00:00"/>
    <s v="Plastene India ltd - Unit 1-Purchase"/>
    <s v="R.M.P."/>
    <s v="RM 506"/>
    <x v="1"/>
    <s v="PIL1/D/1332"/>
    <d v="2026-10-08T00:00:00"/>
    <s v="SF"/>
    <s v="Webbing"/>
    <s v="PP Webbing"/>
    <s v="PP Webbing"/>
    <s v="Webbing"/>
    <n v="1426.8"/>
    <n v="210196.18"/>
    <s v="Webbing"/>
    <n v="0"/>
    <n v="9"/>
    <n v="18917.66"/>
    <n v="9"/>
    <n v="18917.66"/>
    <n v="0"/>
    <n v="0"/>
    <n v="0"/>
    <n v="37835.32"/>
    <n v="0"/>
    <s v="24AAACO3087C1ZT"/>
    <s v="Kgs"/>
    <n v="3926908"/>
    <s v="Rs."/>
    <n v="1"/>
    <n v="1426.8"/>
  </r>
  <r>
    <d v="2026-10-08T00:00:00"/>
    <s v="Plastene India ltd - Unit 1-Purchase"/>
    <s v="R.M.P."/>
    <s v="RM 506"/>
    <x v="1"/>
    <s v="PIL1/D/1332"/>
    <d v="2026-10-08T00:00:00"/>
    <s v="SF"/>
    <s v="Webbing"/>
    <s v="PP Webbing"/>
    <s v="PP Webbing"/>
    <s v="Webbing"/>
    <n v="974.8"/>
    <n v="140683.14000000001"/>
    <s v="Webbing"/>
    <n v="0"/>
    <n v="9"/>
    <n v="12661.48"/>
    <n v="9"/>
    <n v="12661.48"/>
    <n v="0"/>
    <n v="0"/>
    <n v="0"/>
    <n v="25322.959999999999"/>
    <n v="0"/>
    <s v="24AAACO3087C1ZT"/>
    <s v="Kgs"/>
    <n v="3926908"/>
    <s v="Rs."/>
    <n v="1"/>
    <n v="974.8"/>
  </r>
  <r>
    <d v="2026-10-08T00:00:00"/>
    <s v="Plastene India ltd - Unit 1-Purchase"/>
    <s v="R.M.P."/>
    <s v="RM 506"/>
    <x v="1"/>
    <s v="PIL1/D/1332"/>
    <d v="2026-10-08T00:00:00"/>
    <s v="SF"/>
    <s v="PP/PE Fabric"/>
    <s v="PP UL Fabric"/>
    <s v="PP Woven Fabric"/>
    <s v="PP UL Fabric With UV"/>
    <n v="495"/>
    <n v="71438.399999999994"/>
    <s v="PP UL Fabric With UV"/>
    <n v="0"/>
    <n v="9"/>
    <n v="6429.46"/>
    <n v="9"/>
    <n v="6429.46"/>
    <n v="0"/>
    <n v="0"/>
    <n v="0"/>
    <n v="12858.92"/>
    <n v="0"/>
    <s v="24AAACO3087C1ZT"/>
    <s v="Kgs"/>
    <n v="39269080"/>
    <s v="Rs."/>
    <n v="1"/>
    <n v="495"/>
  </r>
  <r>
    <d v="2026-10-08T00:00:00"/>
    <s v="Plastene India ltd - Unit 1-Purchase"/>
    <s v="R.M.P."/>
    <s v="RM 506"/>
    <x v="1"/>
    <s v="PIL1/D/1332"/>
    <d v="2026-10-08T00:00:00"/>
    <s v="SF"/>
    <s v="PP/PE Fabric"/>
    <s v="PP UL Fabric"/>
    <s v="PP Woven Fabric"/>
    <s v="PP UL Fabric With UV"/>
    <n v="2042"/>
    <n v="290617.44"/>
    <s v="PP UL Fabric With UV"/>
    <n v="0"/>
    <n v="9"/>
    <n v="26155.57"/>
    <n v="9"/>
    <n v="26155.57"/>
    <n v="0"/>
    <n v="0"/>
    <n v="0"/>
    <n v="52311.14"/>
    <n v="0"/>
    <s v="24AAACO3087C1ZT"/>
    <s v="Kgs"/>
    <n v="39269080"/>
    <s v="Rs."/>
    <n v="1"/>
    <n v="2042"/>
  </r>
  <r>
    <d v="2026-10-08T00:00:00"/>
    <s v="Plastene India ltd - Unit 1-Purchase"/>
    <s v="R.M.P."/>
    <s v="RM 506"/>
    <x v="1"/>
    <s v="PIL1/D/1332"/>
    <d v="2026-10-08T00:00:00"/>
    <s v="SF"/>
    <s v="Liners"/>
    <s v="LDPE/LLDPE Bags"/>
    <s v="LLDPE Bags"/>
    <s v="LDPE/LLDPE Bags/Liner"/>
    <n v="153"/>
    <n v="28283.58"/>
    <s v="LDPE/LLDPE Bags/Liner"/>
    <n v="0"/>
    <n v="9"/>
    <n v="2545.52"/>
    <n v="9"/>
    <n v="2545.52"/>
    <n v="0"/>
    <n v="0"/>
    <n v="0"/>
    <n v="5091.04"/>
    <n v="0"/>
    <s v="24AAACO3087C1ZT"/>
    <s v="Kgs"/>
    <n v="39200000"/>
    <s v="Rs."/>
    <n v="1"/>
    <n v="153"/>
  </r>
  <r>
    <d v="2026-11-08T00:00:00"/>
    <s v="HCP Plastene Bulkpack Limited - Purchase"/>
    <s v="Branch Transfer In"/>
    <s v="RM 507"/>
    <x v="5"/>
    <s v="HPBL/DC/35"/>
    <d v="2026-10-08T00:00:00"/>
    <s v="FG"/>
    <s v="Small Bags"/>
    <s v="PP Bags"/>
    <s v="PP Woven Sacks"/>
    <s v="PP UL Bags Without UV"/>
    <n v="3385.8"/>
    <n v="515217.19"/>
    <s v="PP UL Bags Without UV"/>
    <n v="515217.19"/>
    <n v="0"/>
    <n v="0"/>
    <n v="0"/>
    <n v="0"/>
    <n v="0"/>
    <n v="0"/>
    <n v="0"/>
    <n v="0"/>
    <n v="0"/>
    <s v="24AABCG1282C2Z6"/>
    <s v="Kgs"/>
    <n v="39232990"/>
    <s v="Rs."/>
    <n v="1"/>
    <n v="3385.8"/>
  </r>
  <r>
    <d v="2026-11-08T00:00:00"/>
    <s v="Plastene India ltd - Unit 1-Purchase"/>
    <s v="General Purchase"/>
    <s v="GNCN 337"/>
    <x v="0"/>
    <s v="PIL1/D/1341"/>
    <d v="2026-11-08T00:00:00"/>
    <s v="Stores/Spares"/>
    <s v="MS Structure Items"/>
    <s v="Spares &amp; Stores"/>
    <s v="Stores &amp; Consumables"/>
    <s v="MS Pipe 4  C Class"/>
    <n v="346"/>
    <n v="16608"/>
    <s v="MS Pipe 4  C Class"/>
    <n v="19580.830000000002"/>
    <n v="9"/>
    <n v="1494.72"/>
    <n v="9"/>
    <n v="1494.72"/>
    <n v="0"/>
    <n v="0"/>
    <n v="0"/>
    <n v="2989.44"/>
    <n v="0"/>
    <s v="24AAACO3087C1ZT"/>
    <s v="Kgs"/>
    <n v="73063090"/>
    <s v="Rs."/>
    <n v="1"/>
    <n v="0"/>
  </r>
  <r>
    <d v="2026-11-08T00:00:00"/>
    <s v="Plastene India ltd - Unit 1-Purchase"/>
    <s v="R.M.P."/>
    <s v="RM 509"/>
    <x v="1"/>
    <s v="PIL1/D/1338"/>
    <d v="2026-11-08T00:00:00"/>
    <s v="SF"/>
    <s v="PP/PE Fabric"/>
    <s v="PP UL Fabric"/>
    <s v="PP Woven Fabric"/>
    <s v="PP UL Fabric With UV"/>
    <n v="6969"/>
    <n v="991828.08"/>
    <s v="PP UL Fabric With UV"/>
    <n v="1323524.18"/>
    <n v="9"/>
    <n v="89264.53"/>
    <n v="9"/>
    <n v="89264.53"/>
    <n v="0"/>
    <n v="0"/>
    <n v="0"/>
    <n v="178529.06"/>
    <n v="0"/>
    <s v="24AAACO3087C1ZT"/>
    <s v="Kgs"/>
    <n v="39269080"/>
    <s v="Rs."/>
    <n v="1"/>
    <n v="6969"/>
  </r>
  <r>
    <d v="2026-11-08T00:00:00"/>
    <s v="Plastene India ltd - Unit 1-Purchase"/>
    <s v="R.M.P."/>
    <s v="RM 509"/>
    <x v="1"/>
    <s v="PIL1/D/1338"/>
    <d v="2026-11-08T00:00:00"/>
    <s v="SF"/>
    <s v="PP/PE Fabric"/>
    <s v="PP UL Fabric"/>
    <s v="PP Woven Fabric"/>
    <s v="PP UL Fabric With UV"/>
    <n v="906"/>
    <n v="130753.92"/>
    <s v="PP UL Fabric With UV"/>
    <n v="0"/>
    <n v="9"/>
    <n v="11767.85"/>
    <n v="9"/>
    <n v="11767.85"/>
    <n v="0"/>
    <n v="0"/>
    <n v="0"/>
    <n v="23535.7"/>
    <n v="0"/>
    <s v="24AAACO3087C1ZT"/>
    <s v="Kgs"/>
    <n v="39269080"/>
    <s v="Rs."/>
    <n v="1"/>
    <n v="906"/>
  </r>
  <r>
    <d v="2026-11-08T00:00:00"/>
    <s v="Plastene India ltd - Unit 1-Purchase"/>
    <s v="R.M.P."/>
    <s v="RM 510"/>
    <x v="1"/>
    <s v="PIL1/D/1334"/>
    <d v="2026-10-08T00:00:00"/>
    <s v="SF"/>
    <s v="Yarn All"/>
    <s v="PP Yarn"/>
    <s v="PP Filament Yarn"/>
    <s v="PP MF Yarn Twisted 3000 Denier UV NW"/>
    <n v="503.3"/>
    <n v="77669.259999999995"/>
    <s v="PP MF Yarn Twisted 3000 Denier UV NW"/>
    <n v="81475.05"/>
    <n v="2.5"/>
    <n v="1941.73"/>
    <n v="2.5"/>
    <n v="1941.73"/>
    <n v="0"/>
    <n v="0"/>
    <n v="0"/>
    <n v="3883.46"/>
    <n v="0"/>
    <s v="24AAACO3087C1ZT"/>
    <s v="Kgs"/>
    <n v="540263"/>
    <s v="Rs."/>
    <n v="1"/>
    <n v="503.3"/>
  </r>
  <r>
    <d v="2026-11-08T00:00:00"/>
    <s v="Plastene India ltd - Unit 1-Purchase"/>
    <s v="R.M.P."/>
    <s v="RM 512"/>
    <x v="1"/>
    <s v="PIL1/D/1343"/>
    <d v="2026-11-08T00:00:00"/>
    <s v="SF"/>
    <s v="Liners"/>
    <s v="LDPE/LLDPE Bags"/>
    <s v="LLDPE Bags"/>
    <s v="LDPE/LLDPE Bags/Liner"/>
    <n v="3203"/>
    <n v="566482.57999999996"/>
    <s v="LDPE/LLDPE Bags/Liner"/>
    <n v="667882.96"/>
    <n v="9"/>
    <n v="50983.43"/>
    <n v="9"/>
    <n v="50983.43"/>
    <n v="0"/>
    <n v="0"/>
    <n v="0"/>
    <n v="101966.86"/>
    <n v="0"/>
    <s v="24AAACO3087C1ZT"/>
    <s v="Kgs"/>
    <n v="39200000"/>
    <s v="Rs."/>
    <n v="1"/>
    <n v="3203"/>
  </r>
  <r>
    <d v="2026-11-08T00:00:00"/>
    <s v="Plastene India ltd - Unit 1-Purchase"/>
    <s v="R.M.P."/>
    <s v="RM 513"/>
    <x v="1"/>
    <s v="PIL1/D/1342"/>
    <d v="2026-11-08T00:00:00"/>
    <s v="SF"/>
    <s v="Webbing"/>
    <s v="PP Webbing"/>
    <s v="PP Webbing"/>
    <s v="Webbing"/>
    <n v="1230.8"/>
    <n v="177629.06"/>
    <s v="Webbing"/>
    <n v="1873765.76"/>
    <n v="9"/>
    <n v="15986.62"/>
    <n v="9"/>
    <n v="15986.62"/>
    <n v="0"/>
    <n v="0"/>
    <n v="0"/>
    <n v="31973.24"/>
    <n v="0"/>
    <s v="24AAACO3087C1ZT"/>
    <s v="Kgs"/>
    <n v="3926908"/>
    <s v="Rs."/>
    <n v="1"/>
    <n v="1230.8"/>
  </r>
  <r>
    <d v="2026-11-08T00:00:00"/>
    <s v="Plastene India ltd - Unit 1-Purchase"/>
    <s v="R.M.P."/>
    <s v="RM 513"/>
    <x v="1"/>
    <s v="PIL1/D/1342"/>
    <d v="2026-11-08T00:00:00"/>
    <s v="SF"/>
    <s v="PP/PE Fabric"/>
    <s v="PP Lam Fabric"/>
    <s v="PP Laminated Woven Fabric"/>
    <s v="PP Lam Fabric With UV"/>
    <n v="3118"/>
    <n v="465579.76"/>
    <s v="PP Lam Fabric With UV"/>
    <n v="0"/>
    <n v="9"/>
    <n v="41902.18"/>
    <n v="9"/>
    <n v="41902.18"/>
    <n v="0"/>
    <n v="0"/>
    <n v="0"/>
    <n v="83804.36"/>
    <n v="0"/>
    <s v="24AAACO3087C1ZT"/>
    <s v="Kgs"/>
    <n v="63053300"/>
    <s v="Rs."/>
    <n v="1"/>
    <n v="3118"/>
  </r>
  <r>
    <d v="2026-11-08T00:00:00"/>
    <s v="Plastene India ltd - Unit 1-Purchase"/>
    <s v="R.M.P."/>
    <s v="RM 513"/>
    <x v="1"/>
    <s v="PIL1/D/1342"/>
    <d v="2026-11-08T00:00:00"/>
    <s v="SF"/>
    <s v="PP/PE Fabric"/>
    <s v="PP Lam Fabric"/>
    <s v="PP Laminated Woven Fabric"/>
    <s v="PP Lam Fabric With UV"/>
    <n v="932"/>
    <n v="136370.23999999999"/>
    <s v="PP Lam Fabric With UV"/>
    <n v="0"/>
    <n v="9"/>
    <n v="12273.32"/>
    <n v="9"/>
    <n v="12273.32"/>
    <n v="0"/>
    <n v="0"/>
    <n v="0"/>
    <n v="24546.639999999999"/>
    <n v="0"/>
    <s v="24AAACO3087C1ZT"/>
    <s v="Kgs"/>
    <n v="63053300"/>
    <s v="Rs."/>
    <n v="1"/>
    <n v="932"/>
  </r>
  <r>
    <d v="2026-11-08T00:00:00"/>
    <s v="Plastene India ltd - Unit 1-Purchase"/>
    <s v="R.M.P."/>
    <s v="RM 513"/>
    <x v="1"/>
    <s v="PIL1/D/1342"/>
    <d v="2026-11-08T00:00:00"/>
    <s v="SF"/>
    <s v="PP/PE Fabric"/>
    <s v="PP Lam Fabric"/>
    <s v="PP Laminated Woven Fabric"/>
    <s v="PP Lam Fabric With UV"/>
    <n v="831"/>
    <n v="119929.92"/>
    <s v="PP Lam Fabric With UV"/>
    <n v="0"/>
    <n v="9"/>
    <n v="10793.69"/>
    <n v="9"/>
    <n v="10793.69"/>
    <n v="0"/>
    <n v="0"/>
    <n v="0"/>
    <n v="21587.38"/>
    <n v="0"/>
    <s v="24AAACO3087C1ZT"/>
    <s v="Kgs"/>
    <n v="63053300"/>
    <s v="Rs."/>
    <n v="1"/>
    <n v="831"/>
  </r>
  <r>
    <d v="2026-11-08T00:00:00"/>
    <s v="Plastene India ltd - Unit 1-Purchase"/>
    <s v="R.M.P."/>
    <s v="RM 513"/>
    <x v="1"/>
    <s v="PIL1/D/1342"/>
    <d v="2026-11-08T00:00:00"/>
    <s v="SF"/>
    <s v="Webbing"/>
    <s v="PP Webbing"/>
    <s v="PP Webbing"/>
    <s v="Webbing"/>
    <n v="1858"/>
    <n v="273720.56"/>
    <s v="Webbing"/>
    <n v="0"/>
    <n v="9"/>
    <n v="24634.85"/>
    <n v="9"/>
    <n v="24634.85"/>
    <n v="0"/>
    <n v="0"/>
    <n v="0"/>
    <n v="49269.7"/>
    <n v="0"/>
    <s v="24AAACO3087C1ZT"/>
    <s v="Kgs"/>
    <n v="3926908"/>
    <s v="Rs."/>
    <n v="1"/>
    <n v="1858"/>
  </r>
  <r>
    <d v="2026-11-08T00:00:00"/>
    <s v="Plastene India ltd - Unit 1-Purchase"/>
    <s v="R.M.P."/>
    <s v="RM 513"/>
    <x v="1"/>
    <s v="PIL1/D/1342"/>
    <d v="2026-11-08T00:00:00"/>
    <s v="SF"/>
    <s v="PP/PE Fabric"/>
    <s v="PP UL Fabric"/>
    <s v="PP Woven Fabric"/>
    <s v="PP UL Fabric With UV"/>
    <n v="2680"/>
    <n v="381417.6"/>
    <s v="PP UL Fabric With UV"/>
    <n v="0"/>
    <n v="9"/>
    <n v="34327.58"/>
    <n v="9"/>
    <n v="34327.58"/>
    <n v="0"/>
    <n v="0"/>
    <n v="0"/>
    <n v="68655.16"/>
    <n v="0"/>
    <s v="24AAACO3087C1ZT"/>
    <s v="Kgs"/>
    <n v="39269080"/>
    <s v="Rs."/>
    <n v="1"/>
    <n v="2680"/>
  </r>
  <r>
    <d v="2026-11-08T00:00:00"/>
    <s v="Plastene India ltd - Unit 1-Purchase"/>
    <s v="R.M.P."/>
    <s v="RM 513"/>
    <x v="1"/>
    <s v="PIL1/D/1342"/>
    <d v="2026-11-08T00:00:00"/>
    <s v="SF"/>
    <s v="PP/PE Fabric"/>
    <s v="PP UL Fabric"/>
    <s v="PP Woven Fabric"/>
    <s v="PP UL Fabric With UV"/>
    <n v="240"/>
    <n v="34636.800000000003"/>
    <s v="PP UL Fabric With UV"/>
    <n v="0"/>
    <n v="9"/>
    <n v="3117.31"/>
    <n v="9"/>
    <n v="3117.31"/>
    <n v="0"/>
    <n v="0"/>
    <n v="0"/>
    <n v="6234.62"/>
    <n v="0"/>
    <s v="24AAACO3087C1ZT"/>
    <s v="Kgs"/>
    <n v="39269080"/>
    <s v="Rs."/>
    <n v="1"/>
    <n v="240"/>
  </r>
  <r>
    <d v="2026-11-08T00:00:00"/>
    <s v="Plastene Polyfilms Ltd-Purchase"/>
    <s v="R.M.P."/>
    <s v="RM 508"/>
    <x v="2"/>
    <s v="PPL/D/475"/>
    <d v="2026-11-08T00:00:00"/>
    <s v="FG"/>
    <s v="FIBC Bags"/>
    <s v="FIBC Bags"/>
    <s v="JUMBO BAG"/>
    <s v="FIBC Bags With UV Without Liner"/>
    <n v="3043"/>
    <n v="540102.06999999995"/>
    <s v="FIBC Bags With UV Without Liner"/>
    <n v="975064.39"/>
    <n v="9"/>
    <n v="48609.19"/>
    <n v="9"/>
    <n v="48609.19"/>
    <n v="0"/>
    <n v="0"/>
    <n v="0"/>
    <n v="97218.38"/>
    <n v="0"/>
    <s v="24AAFCP2956A1ZR"/>
    <s v="Kgs"/>
    <n v="63053200"/>
    <s v="Rs."/>
    <n v="1"/>
    <n v="3043"/>
  </r>
  <r>
    <d v="2026-11-08T00:00:00"/>
    <s v="Plastene Polyfilms Ltd-Purchase"/>
    <s v="R.M.P."/>
    <s v="RM 508"/>
    <x v="2"/>
    <s v="PPL/D/475"/>
    <d v="2026-11-08T00:00:00"/>
    <s v="FG"/>
    <s v="FIBC Bags"/>
    <s v="FIBC Bags"/>
    <s v="JUMBO BAG"/>
    <s v="FIBC Bags With UV Without Liner"/>
    <n v="1595"/>
    <n v="286924.55"/>
    <s v="FIBC Bags With UV Without Liner"/>
    <n v="0"/>
    <n v="9"/>
    <n v="25823.21"/>
    <n v="9"/>
    <n v="25823.21"/>
    <n v="0"/>
    <n v="0"/>
    <n v="0"/>
    <n v="51646.42"/>
    <n v="0"/>
    <s v="24AAFCP2956A1ZR"/>
    <s v="Kgs"/>
    <n v="63053200"/>
    <s v="Rs."/>
    <n v="1"/>
    <n v="1595"/>
  </r>
  <r>
    <d v="2026-11-08T00:00:00"/>
    <s v="Plastene Polyfilms Ltd-Purchase"/>
    <s v="R.M.P."/>
    <s v="RM 511"/>
    <x v="1"/>
    <s v="PPL/D/476"/>
    <d v="2026-11-08T00:00:00"/>
    <s v="FG"/>
    <s v="FIBC WIP"/>
    <s v="FIBC WIP"/>
    <s v="FIBC WIP"/>
    <s v="PP Woven Fabric"/>
    <n v="187"/>
    <n v="24979.46"/>
    <s v="FIBC WIP"/>
    <n v="29450.78"/>
    <n v="9"/>
    <n v="2248.15"/>
    <n v="9"/>
    <n v="2248.15"/>
    <n v="0"/>
    <n v="0"/>
    <n v="0"/>
    <n v="4496.3"/>
    <n v="0"/>
    <s v="24AAFCP2956A1ZR"/>
    <s v="Kgs"/>
    <n v="39269080"/>
    <s v="Rs."/>
    <n v="1"/>
    <n v="187"/>
  </r>
  <r>
    <d v="2026-12-08T00:00:00"/>
    <s v="Bhagwati  Impex"/>
    <s v="Purchase"/>
    <s v="GNPK 79"/>
    <x v="3"/>
    <s v="BI/26-27/080"/>
    <d v="2026-10-08T00:00:00"/>
    <s v="Packing Material"/>
    <s v="Pallets"/>
    <s v="Packing Material"/>
    <s v="Packing Material"/>
    <s v="Wooden Pallet Flate Size 85X105Cm"/>
    <n v="50"/>
    <n v="29250"/>
    <s v="Wooden Pallet Flate Size 85X105Cm"/>
    <n v="185588"/>
    <n v="2.5"/>
    <n v="731.25"/>
    <n v="2.5"/>
    <n v="731.25"/>
    <n v="0"/>
    <n v="0"/>
    <n v="0"/>
    <n v="1462.5"/>
    <n v="0"/>
    <s v="24AXVPT0296P1ZD"/>
    <s v="Pcs"/>
    <n v="44152000"/>
    <s v="Rs."/>
    <n v="1"/>
    <n v="0"/>
  </r>
  <r>
    <d v="2026-12-08T00:00:00"/>
    <s v="Bhagwati  Impex"/>
    <s v="Purchase"/>
    <s v="GNPK 79"/>
    <x v="3"/>
    <s v="BI/26-27/080"/>
    <d v="2026-10-08T00:00:00"/>
    <s v="Packing Material"/>
    <s v="Pallets"/>
    <s v="Pallets"/>
    <s v="Packing Material"/>
    <s v="Pine Wooden Pallet Design Code STD90110"/>
    <n v="100"/>
    <n v="77500"/>
    <s v="Pine Wooden Pallet Design Code STD90110"/>
    <n v="0"/>
    <n v="2.5"/>
    <n v="1937.5"/>
    <n v="2.5"/>
    <n v="1937.5"/>
    <n v="0"/>
    <n v="0"/>
    <n v="0"/>
    <n v="3875"/>
    <n v="0"/>
    <s v="24AXVPT0296P1ZD"/>
    <s v="Pcs"/>
    <n v="44152000"/>
    <s v="Rs."/>
    <n v="1"/>
    <n v="0"/>
  </r>
  <r>
    <d v="2026-12-08T00:00:00"/>
    <s v="Bhagwati  Impex"/>
    <s v="Purchase"/>
    <s v="GNPK 79"/>
    <x v="3"/>
    <s v="BI/26-27/080"/>
    <d v="2026-10-08T00:00:00"/>
    <s v="Packing Material"/>
    <s v="Pallets"/>
    <s v="Pallets"/>
    <s v="Packing Material"/>
    <s v="Pine Wooden Pallet Design Code QP90110"/>
    <n v="100"/>
    <n v="70000"/>
    <s v="Pine Wooden Pallet Design Code QP90110"/>
    <n v="0"/>
    <n v="2.5"/>
    <n v="1750"/>
    <n v="2.5"/>
    <n v="1750"/>
    <n v="0"/>
    <n v="0"/>
    <n v="0"/>
    <n v="3500"/>
    <n v="0"/>
    <s v="24AXVPT0296P1ZD"/>
    <s v="Pcs"/>
    <n v="44152000"/>
    <s v="Rs."/>
    <n v="1"/>
    <n v="0"/>
  </r>
  <r>
    <d v="2026-12-08T00:00:00"/>
    <s v="Brahmani Graphics"/>
    <s v="General Purchase"/>
    <s v="GNCN 345"/>
    <x v="0"/>
    <s v="BG26-27/66"/>
    <s v="21-07-2026"/>
    <s v="Consumables"/>
    <s v="Rubber/Polymer Stereo"/>
    <s v="Spares &amp; Stores"/>
    <s v="Stores &amp; Consumables"/>
    <s v="Polymer Stereo"/>
    <n v="2795.07"/>
    <n v="3913.1"/>
    <s v="Polymer Stereo"/>
    <n v="5089"/>
    <n v="9"/>
    <n v="352.18"/>
    <n v="9"/>
    <n v="352.18"/>
    <n v="0"/>
    <n v="0"/>
    <n v="72"/>
    <n v="776.36"/>
    <n v="0"/>
    <s v="24BGAPP5082Q1ZW"/>
    <s v="CMS"/>
    <n v="37013000"/>
    <s v="Rs."/>
    <n v="1"/>
    <n v="0"/>
  </r>
  <r>
    <d v="2026-12-08T00:00:00"/>
    <s v="Ganesh Poly Graph"/>
    <s v="General Purchase"/>
    <s v="GNCN 338"/>
    <x v="0"/>
    <n v="1321"/>
    <d v="2026-04-08T00:00:00"/>
    <s v="Consumables"/>
    <s v="Rubber/Polymer Stereo"/>
    <s v="Spares &amp; Stores"/>
    <s v="Stores &amp; Consumables"/>
    <s v="Rubber Stereo"/>
    <n v="1344"/>
    <n v="1545.6"/>
    <s v="Rubber Stereo"/>
    <n v="2631"/>
    <n v="9"/>
    <n v="139.1"/>
    <n v="9"/>
    <n v="139.1"/>
    <n v="0"/>
    <n v="0"/>
    <n v="0"/>
    <n v="278.2"/>
    <n v="0"/>
    <s v="24ALEPC4203C1Z3"/>
    <s v="Pcs"/>
    <n v="400200"/>
    <s v="Rs."/>
    <n v="1"/>
    <n v="0"/>
  </r>
  <r>
    <d v="2026-12-08T00:00:00"/>
    <s v="Ganesh Poly Graph"/>
    <s v="General Purchase"/>
    <s v="GNCN 338"/>
    <x v="0"/>
    <n v="1321"/>
    <d v="2026-04-08T00:00:00"/>
    <s v="Consumables"/>
    <s v="Rubber/Polymer Stereo"/>
    <s v="Spares &amp; Stores"/>
    <s v="Stores &amp; Consumables"/>
    <s v="Rubber Stereo"/>
    <n v="595"/>
    <n v="684.25"/>
    <s v="Rubber Stereo"/>
    <n v="0"/>
    <n v="9"/>
    <n v="61.58"/>
    <n v="9"/>
    <n v="61.58"/>
    <n v="0"/>
    <n v="0"/>
    <n v="0"/>
    <n v="123.16"/>
    <n v="0"/>
    <s v="24ALEPC4203C1Z3"/>
    <s v="Pcs"/>
    <n v="400200"/>
    <s v="Rs."/>
    <n v="1"/>
    <n v="0"/>
  </r>
  <r>
    <d v="2026-12-08T00:00:00"/>
    <s v="Ganesh Poly Graph"/>
    <s v="General Purchase"/>
    <s v="GNCN 339"/>
    <x v="0"/>
    <n v="1266"/>
    <s v="30-07-2026"/>
    <s v="Consumables"/>
    <s v="Rubber/Polymer Stereo"/>
    <s v="Spares &amp; Stores"/>
    <s v="Stores &amp; Consumables"/>
    <s v="Rubber Stereo"/>
    <n v="728"/>
    <n v="837.2"/>
    <s v="Rubber Stereo"/>
    <n v="988"/>
    <n v="9"/>
    <n v="75.349999999999994"/>
    <n v="9"/>
    <n v="75.349999999999994"/>
    <n v="0"/>
    <n v="0"/>
    <n v="0"/>
    <n v="150.69999999999999"/>
    <n v="0"/>
    <s v="24ALEPC4203C1Z3"/>
    <s v="Pcs"/>
    <n v="400200"/>
    <s v="Rs."/>
    <n v="1"/>
    <n v="0"/>
  </r>
  <r>
    <d v="2026-12-08T00:00:00"/>
    <s v="K.P. Woven Pvt Ltd-Purchase"/>
    <s v="General Purchase"/>
    <s v="GNCN 353"/>
    <x v="0"/>
    <s v="KPV/D/529."/>
    <s v="30-07-2026"/>
    <s v="Stores/Spares"/>
    <s v="MS Structure Items"/>
    <s v="Spares &amp; Stores"/>
    <s v="Stores &amp; Consumables"/>
    <s v="MS Pipe 4  C Class"/>
    <n v="21"/>
    <n v="1008"/>
    <s v="MS Pipe 4  C Class"/>
    <n v="1188.43"/>
    <n v="9"/>
    <n v="90.72"/>
    <n v="9"/>
    <n v="90.72"/>
    <n v="0"/>
    <n v="0"/>
    <n v="0"/>
    <n v="181.44"/>
    <n v="0"/>
    <s v="24AAECK6307M1ZF"/>
    <s v="Kgs"/>
    <n v="73063090"/>
    <s v="Rs."/>
    <n v="1"/>
    <n v="0"/>
  </r>
  <r>
    <d v="2026-12-08T00:00:00"/>
    <s v="Mittal Trade Netlinks - Creditors"/>
    <s v="General Purchase"/>
    <s v="GNSP 147"/>
    <x v="0"/>
    <s v="GST/26-27/177"/>
    <d v="2026-10-08T00:00:00"/>
    <s v="Stores/Spares"/>
    <s v="MS Structure Items"/>
    <s v="Spares &amp; Stores"/>
    <s v="Stores &amp; Consumables"/>
    <s v="MS Square Pipe 1.5 X 1.5 X 2 mm"/>
    <n v="165"/>
    <n v="9075"/>
    <s v="MS Square Pipe 1.5 X 1.5 X 2 mm"/>
    <n v="13423"/>
    <n v="9"/>
    <n v="816.75"/>
    <n v="9"/>
    <n v="816.75"/>
    <n v="0"/>
    <n v="0"/>
    <n v="0"/>
    <n v="1633.5"/>
    <n v="0"/>
    <s v="24AAXPA0141K1ZV"/>
    <s v="Kgs"/>
    <n v="73063090"/>
    <s v="Rs."/>
    <n v="1"/>
    <n v="0"/>
  </r>
  <r>
    <d v="2026-12-08T00:00:00"/>
    <s v="Mittal Trade Netlinks - Creditors"/>
    <s v="General Purchase"/>
    <s v="GNSP 147"/>
    <x v="0"/>
    <s v="GST/26-27/177"/>
    <d v="2026-10-08T00:00:00"/>
    <s v="Stores/Spares"/>
    <s v="MS Structure Items"/>
    <s v="Spares &amp; Stores"/>
    <s v="Stores &amp; Consumables"/>
    <s v="MS Round Pipe 1/2&quot; X 1.5mm Thick"/>
    <n v="46"/>
    <n v="2300"/>
    <s v="MS Round Pipe 1/2&quot; X 1.5mm Thick"/>
    <n v="0"/>
    <n v="9"/>
    <n v="207"/>
    <n v="9"/>
    <n v="207"/>
    <n v="0"/>
    <n v="0"/>
    <n v="0"/>
    <n v="414"/>
    <n v="0"/>
    <s v="24AAXPA0141K1ZV"/>
    <s v="Kgs"/>
    <n v="730690"/>
    <s v="Rs."/>
    <n v="1"/>
    <n v="0"/>
  </r>
  <r>
    <d v="2026-12-08T00:00:00"/>
    <s v="Plastene India ltd - Unit 1-Purchase"/>
    <s v="General Purchase"/>
    <s v="GNCN 351"/>
    <x v="0"/>
    <s v="PIL1/D/1349"/>
    <d v="2026-12-08T00:00:00"/>
    <s v="Stores/Spares"/>
    <s v="MS Structure Items"/>
    <s v="Spares &amp; Stores"/>
    <s v="Stores &amp; Consumables"/>
    <s v="MS Pipe 4  C Class"/>
    <n v="288"/>
    <n v="13824"/>
    <s v="MS Pipe 4  C Class"/>
    <n v="16298.5"/>
    <n v="9"/>
    <n v="1244.1600000000001"/>
    <n v="9"/>
    <n v="1244.1600000000001"/>
    <n v="0"/>
    <n v="0"/>
    <n v="0"/>
    <n v="2488.3200000000002"/>
    <n v="0"/>
    <s v="24AAACO3087C1ZT"/>
    <s v="Kgs"/>
    <n v="73063090"/>
    <s v="Rs."/>
    <n v="1"/>
    <n v="0"/>
  </r>
  <r>
    <d v="2026-12-08T00:00:00"/>
    <s v="Plastene India ltd - Unit 1-Purchase"/>
    <s v="R.M.P."/>
    <s v="RM 515"/>
    <x v="1"/>
    <s v="PIL1/D/1350"/>
    <d v="2026-12-08T00:00:00"/>
    <s v="SF"/>
    <s v="PP/PE Fabric"/>
    <s v="PP UL Fabric"/>
    <s v="PP Woven Fabric"/>
    <s v="PP UL Fabric With UV"/>
    <n v="2531"/>
    <n v="360211.92"/>
    <s v="PP UL Fabric With UV"/>
    <n v="1386932.11"/>
    <n v="9"/>
    <n v="32419.07"/>
    <n v="9"/>
    <n v="32419.07"/>
    <n v="0"/>
    <n v="0"/>
    <n v="0"/>
    <n v="64838.14"/>
    <n v="0"/>
    <s v="24AAACO3087C1ZT"/>
    <s v="Kgs"/>
    <n v="39269080"/>
    <s v="Rs."/>
    <n v="1"/>
    <n v="2531"/>
  </r>
  <r>
    <d v="2026-12-08T00:00:00"/>
    <s v="Plastene India ltd - Unit 1-Purchase"/>
    <s v="R.M.P."/>
    <s v="RM 515"/>
    <x v="1"/>
    <s v="PIL1/D/1350"/>
    <d v="2026-12-08T00:00:00"/>
    <s v="SF"/>
    <s v="PP/PE Fabric"/>
    <s v="PP UL Fabric"/>
    <s v="PP Woven Fabric"/>
    <s v="PP UL Fabric With UV"/>
    <n v="1126"/>
    <n v="162504.32000000001"/>
    <s v="PP UL Fabric With UV"/>
    <n v="0"/>
    <n v="9"/>
    <n v="14625.39"/>
    <n v="9"/>
    <n v="14625.39"/>
    <n v="0"/>
    <n v="0"/>
    <n v="0"/>
    <n v="29250.78"/>
    <n v="0"/>
    <s v="24AAACO3087C1ZT"/>
    <s v="Kgs"/>
    <n v="39269080"/>
    <s v="Rs."/>
    <n v="1"/>
    <n v="1126"/>
  </r>
  <r>
    <d v="2026-12-08T00:00:00"/>
    <s v="Plastene India ltd - Unit 1-Purchase"/>
    <s v="R.M.P."/>
    <s v="RM 515"/>
    <x v="1"/>
    <s v="PIL1/D/1350"/>
    <d v="2026-12-08T00:00:00"/>
    <s v="SF"/>
    <s v="Webbing"/>
    <s v="PP Webbing"/>
    <s v="PP Webbing"/>
    <s v="Webbing"/>
    <n v="1254.5999999999999"/>
    <n v="181063.87"/>
    <s v="Webbing"/>
    <n v="0"/>
    <n v="9"/>
    <n v="16295.75"/>
    <n v="9"/>
    <n v="16295.75"/>
    <n v="0"/>
    <n v="0"/>
    <n v="0"/>
    <n v="32591.5"/>
    <n v="0"/>
    <s v="24AAACO3087C1ZT"/>
    <s v="Kgs"/>
    <n v="3926908"/>
    <s v="Rs."/>
    <n v="1"/>
    <n v="1254.5999999999999"/>
  </r>
  <r>
    <d v="2026-12-08T00:00:00"/>
    <s v="Plastene India ltd - Unit 1-Purchase"/>
    <s v="R.M.P."/>
    <s v="RM 515"/>
    <x v="1"/>
    <s v="PIL1/D/1350"/>
    <d v="2026-12-08T00:00:00"/>
    <s v="SF"/>
    <s v="Webbing"/>
    <s v="PP Webbing"/>
    <s v="PP Webbing"/>
    <s v="Webbing"/>
    <n v="1431.9"/>
    <n v="210947.51"/>
    <s v="Webbing"/>
    <n v="0"/>
    <n v="9"/>
    <n v="18985.28"/>
    <n v="9"/>
    <n v="18985.28"/>
    <n v="0"/>
    <n v="0"/>
    <n v="0"/>
    <n v="37970.559999999998"/>
    <n v="0"/>
    <s v="24AAACO3087C1ZT"/>
    <s v="Kgs"/>
    <n v="3926908"/>
    <s v="Rs."/>
    <n v="1"/>
    <n v="1431.9"/>
  </r>
  <r>
    <d v="2026-12-08T00:00:00"/>
    <s v="Plastene India ltd - Unit 1-Purchase"/>
    <s v="R.M.P."/>
    <s v="RM 515"/>
    <x v="1"/>
    <s v="PIL1/D/1350"/>
    <d v="2026-12-08T00:00:00"/>
    <s v="SF"/>
    <s v="Yarn All"/>
    <s v="PP Yarn"/>
    <s v="PP Filament Yarn"/>
    <s v="PP MF Yarn Twisted 3000 Denier UV NW"/>
    <n v="934.5"/>
    <n v="144212.04"/>
    <s v="PP MF Yarn Twisted 3000 Denier UV NW"/>
    <n v="0"/>
    <n v="2.5"/>
    <n v="3605.3"/>
    <n v="2.5"/>
    <n v="3605.3"/>
    <n v="0"/>
    <n v="0"/>
    <n v="0"/>
    <n v="7210.6"/>
    <n v="0"/>
    <s v="24AAACO3087C1ZT"/>
    <s v="Kgs"/>
    <n v="540263"/>
    <s v="Rs."/>
    <n v="1"/>
    <n v="934.5"/>
  </r>
  <r>
    <d v="2026-12-08T00:00:00"/>
    <s v="Plastene India ltd - Unit 1-Purchase"/>
    <s v="R.M.P."/>
    <s v="RM 515"/>
    <x v="1"/>
    <s v="PIL1/D/1350"/>
    <d v="2026-12-08T00:00:00"/>
    <s v="SF"/>
    <s v="Yarn All"/>
    <s v="PP Yarn"/>
    <s v="PP Filament Yarn"/>
    <s v="PP MF Yarn Twisted 3000 Denier UV Deep Blue"/>
    <n v="952.5"/>
    <n v="149847.29999999999"/>
    <s v="PP MF Yarn Twisted 3000 Denier UV Deep Blue"/>
    <n v="0"/>
    <n v="2.5"/>
    <n v="3746.18"/>
    <n v="2.5"/>
    <n v="3746.18"/>
    <n v="0"/>
    <n v="0"/>
    <n v="0"/>
    <n v="7492.36"/>
    <n v="0"/>
    <s v="24AAACO3087C1ZT"/>
    <s v="Kgs"/>
    <n v="54026930"/>
    <s v="Rs."/>
    <n v="1"/>
    <n v="952.5"/>
  </r>
  <r>
    <d v="2026-12-08T00:00:00"/>
    <s v="Plastene India ltd - Unit 1-Purchase"/>
    <s v="R.M.P."/>
    <s v="RM 517"/>
    <x v="1"/>
    <s v="PPL/D/1347"/>
    <d v="2026-12-08T00:00:00"/>
    <s v="SF"/>
    <s v="Liners"/>
    <s v="LDPE/LLDPE Bags"/>
    <s v="LLDPE Bags"/>
    <s v="LDPE/LLDPE Bags/Liner"/>
    <n v="109"/>
    <n v="19277.740000000002"/>
    <s v="LDPE/LLDPE Bags/Liner"/>
    <n v="1319931.47"/>
    <n v="9"/>
    <n v="1735"/>
    <n v="9"/>
    <n v="1735"/>
    <n v="0"/>
    <n v="0"/>
    <n v="0"/>
    <n v="3470"/>
    <n v="0"/>
    <s v="24AAACO3087C1ZT"/>
    <s v="Kgs"/>
    <n v="39200000"/>
    <s v="Rs."/>
    <n v="1"/>
    <n v="109"/>
  </r>
  <r>
    <d v="2026-12-08T00:00:00"/>
    <s v="Plastene India ltd - Unit 1-Purchase"/>
    <s v="R.M.P."/>
    <s v="RM 517"/>
    <x v="1"/>
    <s v="PPL/D/1347"/>
    <d v="2026-12-08T00:00:00"/>
    <s v="SF"/>
    <s v="Liners"/>
    <s v="LDPE/LLDPE Bags"/>
    <s v="LLDPE Bags"/>
    <s v="LDPE/LLDPE Bags/Liner"/>
    <n v="182"/>
    <n v="33644.519999999997"/>
    <s v="LDPE/LLDPE Bags/Liner"/>
    <n v="0"/>
    <n v="9"/>
    <n v="3028.01"/>
    <n v="9"/>
    <n v="3028.01"/>
    <n v="0"/>
    <n v="0"/>
    <n v="0"/>
    <n v="6056.02"/>
    <n v="0"/>
    <s v="24AAACO3087C1ZT"/>
    <s v="Kgs"/>
    <n v="39200000"/>
    <s v="Rs."/>
    <n v="1"/>
    <n v="182"/>
  </r>
  <r>
    <d v="2026-12-08T00:00:00"/>
    <s v="Plastene India ltd - Unit 1-Purchase"/>
    <s v="R.M.P."/>
    <s v="RM 517"/>
    <x v="1"/>
    <s v="PPL/D/1347"/>
    <d v="2026-12-08T00:00:00"/>
    <s v="SF"/>
    <s v="PP/PE Fabric"/>
    <s v="PP UL Fabric"/>
    <s v="PP Woven Fabric"/>
    <s v="PP UL Fabric With UV"/>
    <n v="7100"/>
    <n v="1010472"/>
    <s v="PP UL Fabric With UV"/>
    <n v="0"/>
    <n v="9"/>
    <n v="90942.48"/>
    <n v="9"/>
    <n v="90942.48"/>
    <n v="0"/>
    <n v="0"/>
    <n v="0"/>
    <n v="181884.96"/>
    <n v="0"/>
    <s v="24AAACO3087C1ZT"/>
    <s v="Kgs"/>
    <n v="39269080"/>
    <s v="Rs."/>
    <n v="1"/>
    <n v="7100"/>
  </r>
  <r>
    <d v="2026-12-08T00:00:00"/>
    <s v="Plastene India ltd - Unit 1-Purchase"/>
    <s v="R.M.P."/>
    <s v="RM 517"/>
    <x v="1"/>
    <s v="PPL/D/1347"/>
    <d v="2026-12-08T00:00:00"/>
    <s v="SF"/>
    <s v="PP/PE Fabric"/>
    <s v="PP UL Fabric"/>
    <s v="PP Woven Fabric"/>
    <s v="PP UL Fabric With UV"/>
    <n v="389"/>
    <n v="56140.480000000003"/>
    <s v="PP UL Fabric With UV"/>
    <n v="0"/>
    <n v="9"/>
    <n v="5052.6400000000003"/>
    <n v="9"/>
    <n v="5052.6400000000003"/>
    <n v="0"/>
    <n v="0"/>
    <n v="0"/>
    <n v="10105.280000000001"/>
    <n v="0"/>
    <s v="24AAACO3087C1ZT"/>
    <s v="Kgs"/>
    <n v="39269080"/>
    <s v="Rs."/>
    <n v="1"/>
    <n v="389"/>
  </r>
  <r>
    <d v="2026-12-08T00:00:00"/>
    <s v="Plastene India ltd - Unit 1-Purchase"/>
    <s v="R.M.P."/>
    <s v="RM 519"/>
    <x v="1"/>
    <s v="PIL1/D/1352"/>
    <d v="2026-12-08T00:00:00"/>
    <s v="SF"/>
    <s v="Webbing"/>
    <s v="PP Webbing"/>
    <s v="PP Webbing"/>
    <s v="Webbing"/>
    <n v="47.6"/>
    <n v="6869.63"/>
    <s v="Webbing"/>
    <n v="1479482.7"/>
    <n v="9"/>
    <n v="618.27"/>
    <n v="9"/>
    <n v="618.27"/>
    <n v="0"/>
    <n v="0"/>
    <n v="0"/>
    <n v="1236.54"/>
    <n v="0"/>
    <s v="24AAACO3087C1ZT"/>
    <s v="Kgs"/>
    <n v="3926908"/>
    <s v="Rs."/>
    <n v="1"/>
    <n v="47.6"/>
  </r>
  <r>
    <d v="2026-12-08T00:00:00"/>
    <s v="Plastene India ltd - Unit 1-Purchase"/>
    <s v="R.M.P."/>
    <s v="RM 519"/>
    <x v="1"/>
    <s v="PIL1/D/1352"/>
    <d v="2026-12-08T00:00:00"/>
    <s v="SF"/>
    <s v="Webbing"/>
    <s v="PP Webbing"/>
    <s v="PP Webbing"/>
    <s v="Webbing"/>
    <n v="111.6"/>
    <n v="16440.91"/>
    <s v="Webbing"/>
    <n v="0"/>
    <n v="9"/>
    <n v="1479.68"/>
    <n v="9"/>
    <n v="1479.68"/>
    <n v="0"/>
    <n v="0"/>
    <n v="0"/>
    <n v="2959.36"/>
    <n v="0"/>
    <s v="24AAACO3087C1ZT"/>
    <s v="Kgs"/>
    <n v="3926908"/>
    <s v="Rs."/>
    <n v="1"/>
    <n v="111.6"/>
  </r>
  <r>
    <d v="2026-12-08T00:00:00"/>
    <s v="Plastene India ltd - Unit 1-Purchase"/>
    <s v="R.M.P."/>
    <s v="RM 519"/>
    <x v="1"/>
    <s v="PIL1/D/1352"/>
    <d v="2026-12-08T00:00:00"/>
    <s v="SF"/>
    <s v="Liners"/>
    <s v="LDPE/LLDPE Bags"/>
    <s v="LLDPE Bags"/>
    <s v="LDPE/LLDPE Bags/Liner"/>
    <n v="3409"/>
    <n v="616551.74"/>
    <s v="LDPE/LLDPE Bags/Liner"/>
    <n v="0"/>
    <n v="9"/>
    <n v="55489.66"/>
    <n v="9"/>
    <n v="55489.66"/>
    <n v="0"/>
    <n v="0"/>
    <n v="0"/>
    <n v="110979.32"/>
    <n v="0"/>
    <s v="24AAACO3087C1ZT"/>
    <s v="Kgs"/>
    <n v="39200000"/>
    <s v="Rs."/>
    <n v="1"/>
    <n v="3409"/>
  </r>
  <r>
    <d v="2026-12-08T00:00:00"/>
    <s v="Plastene India ltd - Unit 1-Purchase"/>
    <s v="R.M.P."/>
    <s v="RM 519"/>
    <x v="1"/>
    <s v="PIL1/D/1352"/>
    <d v="2026-12-08T00:00:00"/>
    <s v="SF"/>
    <s v="Liners"/>
    <s v="LDPE/LLDPE Bags"/>
    <s v="LLDPE Bags"/>
    <s v="LDPE/LLDPE Bags/Liner"/>
    <n v="2651.16"/>
    <n v="468884.16"/>
    <s v="LDPE/LLDPE Bags/Liner"/>
    <n v="0"/>
    <n v="9"/>
    <n v="42199.57"/>
    <n v="9"/>
    <n v="42199.57"/>
    <n v="0"/>
    <n v="0"/>
    <n v="0"/>
    <n v="84399.14"/>
    <n v="0"/>
    <s v="24AAACO3087C1ZT"/>
    <s v="Kgs"/>
    <n v="39200000"/>
    <s v="Rs."/>
    <n v="1"/>
    <n v="2651.16"/>
  </r>
  <r>
    <d v="2026-12-08T00:00:00"/>
    <s v="Plastene India ltd - Unit 1-Purchase"/>
    <s v="R.M.P."/>
    <s v="RM 519"/>
    <x v="1"/>
    <s v="PIL1/D/1352"/>
    <d v="2026-12-08T00:00:00"/>
    <s v="SF"/>
    <s v="Films All (SF)"/>
    <s v="PE Film"/>
    <s v="LLDPE FILM"/>
    <s v="LDPE/LLDPE Film"/>
    <n v="563"/>
    <n v="93942.18"/>
    <s v="LDPE/LLDPE Film"/>
    <n v="0"/>
    <n v="9"/>
    <n v="8454.7999999999993"/>
    <n v="9"/>
    <n v="8454.7999999999993"/>
    <n v="0"/>
    <n v="0"/>
    <n v="0"/>
    <n v="16909.599999999999"/>
    <n v="0"/>
    <s v="24AAACO3087C1ZT"/>
    <s v="Kgs"/>
    <n v="3920101"/>
    <s v="Rs."/>
    <n v="1"/>
    <n v="563"/>
  </r>
  <r>
    <d v="2026-12-08T00:00:00"/>
    <s v="Plastene India ltd - Unit 1-Purchase"/>
    <s v="R.M.P."/>
    <s v="RM 519"/>
    <x v="1"/>
    <s v="PIL1/D/1352"/>
    <d v="2026-12-08T00:00:00"/>
    <s v="RM Consumables"/>
    <s v="FIBC Accessories"/>
    <s v="FIBC Accessories"/>
    <s v="Stores &amp; Consumables"/>
    <s v="Zip Lock Bags"/>
    <n v="15400"/>
    <n v="52173.66"/>
    <s v="Zip Lock Bags"/>
    <n v="0"/>
    <n v="9"/>
    <n v="4695.63"/>
    <n v="9"/>
    <n v="4695.63"/>
    <n v="0"/>
    <n v="0"/>
    <n v="0"/>
    <n v="9391.26"/>
    <n v="0"/>
    <s v="24AAACO3087C1ZT"/>
    <s v="Pcs"/>
    <n v="39232100"/>
    <s v="Rs."/>
    <n v="1"/>
    <n v="15400"/>
  </r>
  <r>
    <d v="2026-12-08T00:00:00"/>
    <s v="Plastene India ltd - Unit 2-Purchase"/>
    <s v="R.M.P."/>
    <s v="RM 518"/>
    <x v="1"/>
    <s v="PIL2/D/485"/>
    <d v="2026-12-08T00:00:00"/>
    <s v="SF"/>
    <s v="PP/PE Fabric"/>
    <s v="PP UL Fabric"/>
    <s v="PP Woven Fabric"/>
    <s v="PP UL Fabric With UV"/>
    <n v="5877.7"/>
    <n v="931027.68"/>
    <s v="PP UL Fabric With UV"/>
    <n v="1097681.53"/>
    <n v="9"/>
    <n v="83792.490000000005"/>
    <n v="9"/>
    <n v="83792.490000000005"/>
    <n v="0"/>
    <n v="0"/>
    <n v="0"/>
    <n v="167584.98000000001"/>
    <n v="0"/>
    <s v="24AAACO3087C1ZT"/>
    <s v="Kgs"/>
    <n v="39269080"/>
    <s v="Rs."/>
    <n v="1"/>
    <n v="5877.7"/>
  </r>
  <r>
    <d v="2026-12-08T00:00:00"/>
    <s v="Plastene Polyfilms Ltd-Purchase"/>
    <s v="General Purchase"/>
    <s v="GNCN 352"/>
    <x v="1"/>
    <s v="PPL/D/480"/>
    <d v="2026-12-08T00:00:00"/>
    <s v="SF"/>
    <s v="Liners"/>
    <s v="LDPE/LLDPE Bags"/>
    <s v="PE Labels (Kgs)"/>
    <s v="PE Labels (Kgs)"/>
    <n v="50"/>
    <n v="12950"/>
    <s v="PE Labels (Kgs)"/>
    <n v="15268.05"/>
    <n v="9"/>
    <n v="1165.5"/>
    <n v="9"/>
    <n v="1165.5"/>
    <n v="0"/>
    <n v="0"/>
    <n v="0"/>
    <n v="2331"/>
    <n v="0"/>
    <s v="24AAFCP2956A1ZR"/>
    <s v="Kgs"/>
    <n v="3920101"/>
    <s v="Rs."/>
    <n v="1"/>
    <n v="50"/>
  </r>
  <r>
    <d v="2026-12-08T00:00:00"/>
    <s v="Plastene Polyfilms Ltd-Purchase"/>
    <s v="R.M.P."/>
    <s v="RM 516"/>
    <x v="1"/>
    <s v="PPL/D/483"/>
    <d v="2026-12-08T00:00:00"/>
    <s v="SF"/>
    <s v="Yarn All"/>
    <s v="PP Yarn"/>
    <s v="PP Filament Yarn"/>
    <s v="PP MF Yarn Twisted 3000 Denier UV NW"/>
    <n v="382.7"/>
    <n v="59854.28"/>
    <s v="PP MF Yarn Twisted 3000 Denier UV NW"/>
    <n v="62787.15"/>
    <n v="2.5"/>
    <n v="1496.36"/>
    <n v="2.5"/>
    <n v="1496.36"/>
    <n v="0"/>
    <n v="0"/>
    <n v="0"/>
    <n v="2992.72"/>
    <n v="0"/>
    <s v="24AAFCP2956A1ZR"/>
    <s v="Kgs"/>
    <n v="540263"/>
    <s v="Rs."/>
    <n v="1"/>
    <n v="382.7"/>
  </r>
  <r>
    <d v="2026-12-08T00:00:00"/>
    <s v="Quality Prepress Pvt Ltd"/>
    <s v="General Purchase"/>
    <s v="GNCN 347"/>
    <x v="0"/>
    <s v="3158/2026-27"/>
    <d v="2026-06-08T00:00:00"/>
    <s v="Consumables"/>
    <s v="Rubber/Polymer Stereo"/>
    <s v="Spares &amp; Stores"/>
    <s v="Stores &amp; Consumables"/>
    <s v="Polymer Stereo"/>
    <n v="299"/>
    <n v="448.5"/>
    <s v="Polymer Stereo"/>
    <n v="647"/>
    <n v="9"/>
    <n v="40.36"/>
    <n v="9"/>
    <n v="40.36"/>
    <n v="0"/>
    <n v="0"/>
    <n v="18"/>
    <n v="98.72"/>
    <n v="0"/>
    <s v="24AAACQ5321R1Z7"/>
    <s v="CMS"/>
    <n v="37013000"/>
    <s v="Rs."/>
    <n v="1"/>
    <n v="0"/>
  </r>
  <r>
    <d v="2026-12-08T00:00:00"/>
    <s v="Quality Prepress Pvt Ltd"/>
    <s v="General Purchase"/>
    <s v="GNCN 348"/>
    <x v="0"/>
    <s v="3051/2026-27"/>
    <d v="2026-01-08T00:00:00"/>
    <s v="Consumables"/>
    <s v="Rubber/Polymer Stereo"/>
    <s v="Spares &amp; Stores"/>
    <s v="Stores &amp; Consumables"/>
    <s v="Polymer Stereo"/>
    <n v="575"/>
    <n v="862.5"/>
    <s v="Polymer Stereo"/>
    <n v="1136"/>
    <n v="9"/>
    <n v="77.62"/>
    <n v="9"/>
    <n v="77.62"/>
    <n v="0"/>
    <n v="0"/>
    <n v="18"/>
    <n v="173.24"/>
    <n v="0"/>
    <s v="24AAACQ5321R1Z7"/>
    <s v="CMS"/>
    <n v="37013000"/>
    <s v="Rs."/>
    <n v="1"/>
    <n v="0"/>
  </r>
  <r>
    <d v="2026-12-08T00:00:00"/>
    <s v="Shree Ganesh Stereo"/>
    <s v="General Purchase"/>
    <s v="GNCN 340"/>
    <x v="0"/>
    <n v="1715"/>
    <s v="30-07-2026"/>
    <s v="Consumables"/>
    <s v="Rubber/Polymer Stereo"/>
    <s v="Spares &amp; Stores"/>
    <s v="Stores &amp; Consumables"/>
    <s v="Rubber Stereo"/>
    <n v="6048"/>
    <n v="2116.8000000000002"/>
    <s v="Rubber Stereo"/>
    <n v="4071"/>
    <n v="9"/>
    <n v="190.51"/>
    <n v="9"/>
    <n v="190.51"/>
    <n v="0"/>
    <n v="0"/>
    <n v="0"/>
    <n v="381.02"/>
    <n v="0"/>
    <s v="24AHDPC2510M1ZU"/>
    <s v="Pcs"/>
    <n v="400200"/>
    <s v="Rs."/>
    <n v="1"/>
    <n v="0"/>
  </r>
  <r>
    <d v="2026-12-08T00:00:00"/>
    <s v="Shree Ganesh Stereo"/>
    <s v="General Purchase"/>
    <s v="GNCN 340"/>
    <x v="0"/>
    <n v="1715"/>
    <s v="30-07-2026"/>
    <s v="Consumables"/>
    <s v="Rubber/Polymer Stereo"/>
    <s v="Spares &amp; Stores"/>
    <s v="Stores &amp; Consumables"/>
    <s v="Rubber Stereo"/>
    <n v="3808"/>
    <n v="1332.8"/>
    <s v="Rubber Stereo"/>
    <n v="0"/>
    <n v="9"/>
    <n v="119.95"/>
    <n v="9"/>
    <n v="119.95"/>
    <n v="0"/>
    <n v="0"/>
    <n v="0"/>
    <n v="239.9"/>
    <n v="0"/>
    <s v="24AHDPC2510M1ZU"/>
    <s v="Pcs"/>
    <n v="400200"/>
    <s v="Rs."/>
    <n v="1"/>
    <n v="0"/>
  </r>
  <r>
    <d v="2026-12-08T00:00:00"/>
    <s v="Shree Ganesh Stereo"/>
    <s v="General Purchase"/>
    <s v="GNCN 341"/>
    <x v="0"/>
    <n v="1698"/>
    <s v="30-07-2026"/>
    <s v="Consumables"/>
    <s v="Rubber/Polymer Stereo"/>
    <s v="Spares &amp; Stores"/>
    <s v="Stores &amp; Consumables"/>
    <s v="Rubber Stereo"/>
    <n v="4050"/>
    <n v="1417.5"/>
    <s v="Rubber Stereo"/>
    <n v="2478"/>
    <n v="9"/>
    <n v="127.58"/>
    <n v="9"/>
    <n v="127.58"/>
    <n v="0"/>
    <n v="0"/>
    <n v="0"/>
    <n v="255.16"/>
    <n v="0"/>
    <s v="24AHDPC2510M1ZU"/>
    <s v="Pcs"/>
    <n v="400200"/>
    <s v="Rs."/>
    <n v="1"/>
    <n v="0"/>
  </r>
  <r>
    <d v="2026-12-08T00:00:00"/>
    <s v="Shree Ganesh Stereo"/>
    <s v="General Purchase"/>
    <s v="GNCN 341"/>
    <x v="0"/>
    <n v="1698"/>
    <s v="30-07-2026"/>
    <s v="Consumables"/>
    <s v="Rubber/Polymer Stereo"/>
    <s v="Spares &amp; Stores"/>
    <s v="Stores &amp; Consumables"/>
    <s v="Rubber Stereo"/>
    <n v="650"/>
    <n v="227.5"/>
    <s v="Rubber Stereo"/>
    <n v="0"/>
    <n v="9"/>
    <n v="20.47"/>
    <n v="9"/>
    <n v="20.47"/>
    <n v="0"/>
    <n v="0"/>
    <n v="0"/>
    <n v="40.94"/>
    <n v="0"/>
    <s v="24AHDPC2510M1ZU"/>
    <s v="Pcs"/>
    <n v="400200"/>
    <s v="Rs."/>
    <n v="1"/>
    <n v="0"/>
  </r>
  <r>
    <d v="2026-12-08T00:00:00"/>
    <s v="Shree Ganesh Stereo"/>
    <s v="General Purchase"/>
    <s v="GNCN 341"/>
    <x v="0"/>
    <n v="1698"/>
    <s v="30-07-2026"/>
    <s v="Consumables"/>
    <s v="Rubber/Polymer Stereo"/>
    <s v="Spares &amp; Stores"/>
    <s v="Stores &amp; Consumables"/>
    <s v="Rubber Stereo"/>
    <n v="1300"/>
    <n v="455"/>
    <s v="Rubber Stereo"/>
    <n v="0"/>
    <n v="9"/>
    <n v="40.950000000000003"/>
    <n v="9"/>
    <n v="40.950000000000003"/>
    <n v="0"/>
    <n v="0"/>
    <n v="0"/>
    <n v="81.900000000000006"/>
    <n v="0"/>
    <s v="24AHDPC2510M1ZU"/>
    <s v="Pcs"/>
    <n v="400200"/>
    <s v="Rs."/>
    <n v="1"/>
    <n v="0"/>
  </r>
  <r>
    <d v="2026-12-08T00:00:00"/>
    <s v="Shree Ganesh Stereo"/>
    <s v="General Purchase"/>
    <s v="GNCN 342"/>
    <x v="0"/>
    <n v="1819"/>
    <d v="2026-05-08T00:00:00"/>
    <s v="Consumables"/>
    <s v="Rubber/Polymer Stereo"/>
    <s v="Spares &amp; Stores"/>
    <s v="Stores &amp; Consumables"/>
    <s v="Rubber Stereo"/>
    <n v="4104"/>
    <n v="1436.4"/>
    <s v="Rubber Stereo"/>
    <n v="7159"/>
    <n v="9"/>
    <n v="129.28"/>
    <n v="9"/>
    <n v="129.28"/>
    <n v="0"/>
    <n v="0"/>
    <n v="0"/>
    <n v="258.56"/>
    <n v="0"/>
    <s v="24AHDPC2510M1ZU"/>
    <s v="Pcs"/>
    <n v="400200"/>
    <s v="Rs."/>
    <n v="1"/>
    <n v="0"/>
  </r>
  <r>
    <d v="2026-12-08T00:00:00"/>
    <s v="Shree Ganesh Stereo"/>
    <s v="General Purchase"/>
    <s v="GNCN 342"/>
    <x v="0"/>
    <n v="1819"/>
    <d v="2026-05-08T00:00:00"/>
    <s v="Consumables"/>
    <s v="Rubber/Polymer Stereo"/>
    <s v="Spares &amp; Stores"/>
    <s v="Stores &amp; Consumables"/>
    <s v="Rubber Stereo"/>
    <n v="1728"/>
    <n v="604.79999999999995"/>
    <s v="Rubber Stereo"/>
    <n v="0"/>
    <n v="9"/>
    <n v="54.43"/>
    <n v="9"/>
    <n v="54.43"/>
    <n v="0"/>
    <n v="0"/>
    <n v="0"/>
    <n v="108.86"/>
    <n v="0"/>
    <s v="24AHDPC2510M1ZU"/>
    <s v="Pcs"/>
    <n v="400200"/>
    <s v="Rs."/>
    <n v="1"/>
    <n v="0"/>
  </r>
  <r>
    <d v="2026-12-08T00:00:00"/>
    <s v="Shree Ganesh Stereo"/>
    <s v="General Purchase"/>
    <s v="GNCN 342"/>
    <x v="0"/>
    <n v="1819"/>
    <d v="2026-05-08T00:00:00"/>
    <s v="Consumables"/>
    <s v="Rubber/Polymer Stereo"/>
    <s v="Spares &amp; Stores"/>
    <s v="Stores &amp; Consumables"/>
    <s v="Rubber Stereo"/>
    <n v="495"/>
    <n v="173.25"/>
    <s v="Rubber Stereo"/>
    <n v="0"/>
    <n v="9"/>
    <n v="15.59"/>
    <n v="9"/>
    <n v="15.59"/>
    <n v="0"/>
    <n v="0"/>
    <n v="0"/>
    <n v="31.18"/>
    <n v="0"/>
    <s v="24AHDPC2510M1ZU"/>
    <s v="Pcs"/>
    <n v="400200"/>
    <s v="Rs."/>
    <n v="1"/>
    <n v="0"/>
  </r>
  <r>
    <d v="2026-12-08T00:00:00"/>
    <s v="Shree Ganesh Stereo"/>
    <s v="General Purchase"/>
    <s v="GNCN 342"/>
    <x v="0"/>
    <n v="1819"/>
    <d v="2026-05-08T00:00:00"/>
    <s v="Consumables"/>
    <s v="Rubber/Polymer Stereo"/>
    <s v="Spares &amp; Stores"/>
    <s v="Stores &amp; Consumables"/>
    <s v="Rubber Stereo"/>
    <n v="3920"/>
    <n v="1372"/>
    <s v="Rubber Stereo"/>
    <n v="0"/>
    <n v="9"/>
    <n v="123.48"/>
    <n v="9"/>
    <n v="123.48"/>
    <n v="0"/>
    <n v="0"/>
    <n v="0"/>
    <n v="246.96"/>
    <n v="0"/>
    <s v="24AHDPC2510M1ZU"/>
    <s v="Pcs"/>
    <n v="400200"/>
    <s v="Rs."/>
    <n v="1"/>
    <n v="0"/>
  </r>
  <r>
    <d v="2026-12-08T00:00:00"/>
    <s v="Shree Ganesh Stereo"/>
    <s v="General Purchase"/>
    <s v="GNCN 342"/>
    <x v="0"/>
    <n v="1819"/>
    <d v="2026-05-08T00:00:00"/>
    <s v="Consumables"/>
    <s v="Rubber/Polymer Stereo"/>
    <s v="Spares &amp; Stores"/>
    <s v="Stores &amp; Consumables"/>
    <s v="Rubber Stereo"/>
    <n v="2542"/>
    <n v="889.7"/>
    <s v="Rubber Stereo"/>
    <n v="0"/>
    <n v="9"/>
    <n v="80.069999999999993"/>
    <n v="9"/>
    <n v="80.069999999999993"/>
    <n v="0"/>
    <n v="0"/>
    <n v="0"/>
    <n v="160.13999999999999"/>
    <n v="0"/>
    <s v="24AHDPC2510M1ZU"/>
    <s v="Pcs"/>
    <n v="400200"/>
    <s v="Rs."/>
    <n v="1"/>
    <n v="0"/>
  </r>
  <r>
    <d v="2026-12-08T00:00:00"/>
    <s v="Shree Ganesh Stereo"/>
    <s v="General Purchase"/>
    <s v="GNCN 342"/>
    <x v="0"/>
    <n v="1819"/>
    <d v="2026-05-08T00:00:00"/>
    <s v="Consumables"/>
    <s v="Rubber/Polymer Stereo"/>
    <s v="Spares &amp; Stores"/>
    <s v="Stores &amp; Consumables"/>
    <s v="Rubber Stereo"/>
    <n v="4544"/>
    <n v="1590.4"/>
    <s v="Rubber Stereo"/>
    <n v="0"/>
    <n v="9"/>
    <n v="143.13999999999999"/>
    <n v="9"/>
    <n v="143.13999999999999"/>
    <n v="0"/>
    <n v="0"/>
    <n v="0"/>
    <n v="286.27999999999997"/>
    <n v="0"/>
    <s v="24AHDPC2510M1ZU"/>
    <s v="Pcs"/>
    <n v="400200"/>
    <s v="Rs."/>
    <n v="1"/>
    <n v="0"/>
  </r>
  <r>
    <d v="2026-12-08T00:00:00"/>
    <s v="Shree Ganesh Stereo"/>
    <s v="General Purchase"/>
    <s v="GNCN 343"/>
    <x v="0"/>
    <n v="1800"/>
    <d v="2026-04-08T00:00:00"/>
    <s v="Consumables"/>
    <s v="Rubber/Polymer Stereo"/>
    <s v="Spares &amp; Stores"/>
    <s v="Stores &amp; Consumables"/>
    <s v="Rubber Stereo"/>
    <n v="4640"/>
    <n v="1624"/>
    <s v="Rubber Stereo"/>
    <n v="1995"/>
    <n v="9"/>
    <n v="146.16"/>
    <n v="9"/>
    <n v="146.16"/>
    <n v="0"/>
    <n v="0"/>
    <n v="0"/>
    <n v="292.32"/>
    <n v="0"/>
    <s v="24AHDPC2510M1ZU"/>
    <s v="Pcs"/>
    <n v="400200"/>
    <s v="Rs."/>
    <n v="1"/>
    <n v="0"/>
  </r>
  <r>
    <d v="2026-12-08T00:00:00"/>
    <s v="Shree Ganesh Stereo"/>
    <s v="General Purchase"/>
    <s v="GNCN 343"/>
    <x v="0"/>
    <n v="1800"/>
    <d v="2026-04-08T00:00:00"/>
    <s v="Consumables"/>
    <s v="Rubber/Polymer Stereo"/>
    <s v="Spares &amp; Stores"/>
    <s v="Stores &amp; Consumables"/>
    <s v="Rubber Stereo"/>
    <n v="190"/>
    <n v="66.5"/>
    <s v="Rubber Stereo"/>
    <n v="0"/>
    <n v="9"/>
    <n v="5.98"/>
    <n v="9"/>
    <n v="5.98"/>
    <n v="0"/>
    <n v="0"/>
    <n v="0"/>
    <n v="11.96"/>
    <n v="0"/>
    <s v="24AHDPC2510M1ZU"/>
    <s v="Pcs"/>
    <n v="400200"/>
    <s v="Rs."/>
    <n v="1"/>
    <n v="0"/>
  </r>
  <r>
    <d v="2026-12-08T00:00:00"/>
    <s v="Shree Ganesh Stereo"/>
    <s v="General Purchase"/>
    <s v="GNCN 344"/>
    <x v="0"/>
    <n v="1828"/>
    <d v="2026-06-08T00:00:00"/>
    <s v="Consumables"/>
    <s v="Rubber/Polymer Stereo"/>
    <s v="Spares &amp; Stores"/>
    <s v="Stores &amp; Consumables"/>
    <s v="Rubber Stereo"/>
    <n v="4544"/>
    <n v="1590.4"/>
    <s v="Rubber Stereo"/>
    <n v="4866"/>
    <n v="9"/>
    <n v="143.13999999999999"/>
    <n v="9"/>
    <n v="143.13999999999999"/>
    <n v="0"/>
    <n v="0"/>
    <n v="0"/>
    <n v="286.27999999999997"/>
    <n v="0"/>
    <s v="24AHDPC2510M1ZU"/>
    <s v="Pcs"/>
    <n v="400200"/>
    <s v="Rs."/>
    <n v="1"/>
    <n v="0"/>
  </r>
  <r>
    <d v="2026-12-08T00:00:00"/>
    <s v="Shree Ganesh Stereo"/>
    <s v="General Purchase"/>
    <s v="GNCN 344"/>
    <x v="0"/>
    <n v="1828"/>
    <d v="2026-06-08T00:00:00"/>
    <s v="Consumables"/>
    <s v="Rubber/Polymer Stereo"/>
    <s v="Spares &amp; Stores"/>
    <s v="Stores &amp; Consumables"/>
    <s v="Rubber Stereo"/>
    <n v="2624"/>
    <n v="918.4"/>
    <s v="Rubber Stereo"/>
    <n v="0"/>
    <n v="9"/>
    <n v="82.66"/>
    <n v="9"/>
    <n v="82.66"/>
    <n v="0"/>
    <n v="0"/>
    <n v="0"/>
    <n v="165.32"/>
    <n v="0"/>
    <s v="24AHDPC2510M1ZU"/>
    <s v="Pcs"/>
    <n v="400200"/>
    <s v="Rs."/>
    <n v="1"/>
    <n v="0"/>
  </r>
  <r>
    <d v="2026-12-08T00:00:00"/>
    <s v="Shree Ganesh Stereo"/>
    <s v="General Purchase"/>
    <s v="GNCN 344"/>
    <x v="0"/>
    <n v="1828"/>
    <d v="2026-06-08T00:00:00"/>
    <s v="Consumables"/>
    <s v="Rubber/Polymer Stereo"/>
    <s v="Spares &amp; Stores"/>
    <s v="Stores &amp; Consumables"/>
    <s v="Rubber Stereo"/>
    <n v="1495"/>
    <n v="523.25"/>
    <s v="Rubber Stereo"/>
    <n v="0"/>
    <n v="9"/>
    <n v="47.09"/>
    <n v="9"/>
    <n v="47.09"/>
    <n v="0"/>
    <n v="0"/>
    <n v="0"/>
    <n v="94.18"/>
    <n v="0"/>
    <s v="24AHDPC2510M1ZU"/>
    <s v="Pcs"/>
    <n v="400200"/>
    <s v="Rs."/>
    <n v="1"/>
    <n v="0"/>
  </r>
  <r>
    <d v="2026-12-08T00:00:00"/>
    <s v="Shree Ganesh Stereo"/>
    <s v="General Purchase"/>
    <s v="GNCN 344"/>
    <x v="0"/>
    <n v="1828"/>
    <d v="2026-06-08T00:00:00"/>
    <s v="Consumables"/>
    <s v="Rubber/Polymer Stereo"/>
    <s v="Spares &amp; Stores"/>
    <s v="Stores &amp; Consumables"/>
    <s v="Rubber Stereo"/>
    <n v="3120"/>
    <n v="1092"/>
    <s v="Rubber Stereo"/>
    <n v="0"/>
    <n v="9"/>
    <n v="98.28"/>
    <n v="9"/>
    <n v="98.28"/>
    <n v="0"/>
    <n v="0"/>
    <n v="0"/>
    <n v="196.56"/>
    <n v="0"/>
    <s v="24AHDPC2510M1ZU"/>
    <s v="Pcs"/>
    <n v="400200"/>
    <s v="Rs."/>
    <n v="1"/>
    <n v="0"/>
  </r>
  <r>
    <d v="2026-12-08T00:00:00"/>
    <s v="Tritha Graphics"/>
    <s v="General Purchase"/>
    <s v="GNCN 346"/>
    <x v="0"/>
    <n v="9663"/>
    <d v="2026-04-08T00:00:00"/>
    <s v="Consumables"/>
    <s v="Rubber/Polymer Stereo"/>
    <s v="Spares &amp; Stores"/>
    <s v="Stores &amp; Consumables"/>
    <s v="Polymer Stereo"/>
    <n v="2808"/>
    <n v="3229.2"/>
    <s v="Polymer Stereo"/>
    <n v="7048"/>
    <n v="9"/>
    <n v="290.63"/>
    <n v="9"/>
    <n v="290.63"/>
    <n v="0"/>
    <n v="0"/>
    <n v="0"/>
    <n v="581.26"/>
    <n v="0"/>
    <s v="24AARFT4204A1ZK"/>
    <s v="CMS"/>
    <n v="37013000"/>
    <s v="Rs."/>
    <n v="1"/>
    <n v="0"/>
  </r>
  <r>
    <d v="2026-12-08T00:00:00"/>
    <s v="Tritha Graphics"/>
    <s v="General Purchase"/>
    <s v="GNCN 346"/>
    <x v="0"/>
    <n v="9663"/>
    <d v="2026-04-08T00:00:00"/>
    <s v="Consumables"/>
    <s v="Rubber/Polymer Stereo"/>
    <s v="Spares &amp; Stores"/>
    <s v="Stores &amp; Consumables"/>
    <s v="Polymer Stereo"/>
    <n v="1150.8900000000001"/>
    <n v="1323.52"/>
    <s v="Polymer Stereo"/>
    <n v="0"/>
    <n v="9"/>
    <n v="119.12"/>
    <n v="9"/>
    <n v="119.12"/>
    <n v="0"/>
    <n v="0"/>
    <n v="0"/>
    <n v="238.24"/>
    <n v="0"/>
    <s v="24AARFT4204A1ZK"/>
    <s v="CMS"/>
    <n v="37013000"/>
    <s v="Rs."/>
    <n v="1"/>
    <n v="0"/>
  </r>
  <r>
    <d v="2026-12-08T00:00:00"/>
    <s v="Tritha Graphics"/>
    <s v="General Purchase"/>
    <s v="GNCN 346"/>
    <x v="0"/>
    <n v="9663"/>
    <d v="2026-04-08T00:00:00"/>
    <s v="Consumables"/>
    <s v="Rubber/Polymer Stereo"/>
    <s v="Spares &amp; Stores"/>
    <s v="Stores &amp; Consumables"/>
    <s v="Polymer Stereo"/>
    <n v="1234.77"/>
    <n v="1419.99"/>
    <s v="Polymer Stereo"/>
    <n v="0"/>
    <n v="9"/>
    <n v="127.8"/>
    <n v="9"/>
    <n v="127.8"/>
    <n v="0"/>
    <n v="0"/>
    <n v="0"/>
    <n v="255.6"/>
    <n v="0"/>
    <s v="24AARFT4204A1ZK"/>
    <s v="CMS"/>
    <n v="37013000"/>
    <s v="Rs."/>
    <n v="1"/>
    <n v="0"/>
  </r>
  <r>
    <d v="2026-12-08T00:00:00"/>
    <s v="Tritha Graphics"/>
    <s v="General Purchase"/>
    <s v="GNCN 349"/>
    <x v="0"/>
    <n v="9670"/>
    <d v="2026-05-08T00:00:00"/>
    <s v="Consumables"/>
    <s v="Rubber/Polymer Stereo"/>
    <s v="Spares &amp; Stores"/>
    <s v="Stores &amp; Consumables"/>
    <s v="Polymer Stereo"/>
    <n v="5346"/>
    <n v="6147.9"/>
    <s v="Polymer Stereo"/>
    <n v="7255"/>
    <n v="9"/>
    <n v="553.30999999999995"/>
    <n v="9"/>
    <n v="553.30999999999995"/>
    <n v="0"/>
    <n v="0"/>
    <n v="0"/>
    <n v="1106.6199999999999"/>
    <n v="0"/>
    <s v="24AARFT4204A1ZK"/>
    <s v="CMS"/>
    <n v="37013000"/>
    <s v="Rs."/>
    <n v="1"/>
    <n v="0"/>
  </r>
  <r>
    <d v="2026-12-08T00:00:00"/>
    <s v="Tritha Graphics"/>
    <s v="General Purchase"/>
    <s v="GNCN 350"/>
    <x v="0"/>
    <n v="9619"/>
    <s v="30-07-2026"/>
    <s v="Consumables"/>
    <s v="Rubber/Polymer Stereo"/>
    <s v="Spares &amp; Stores"/>
    <s v="Stores &amp; Consumables"/>
    <s v="Polymer Stereo"/>
    <n v="207.5"/>
    <n v="238.63"/>
    <s v="Polymer Stereo"/>
    <n v="2179.0100000000002"/>
    <n v="9"/>
    <n v="21.48"/>
    <n v="9"/>
    <n v="21.48"/>
    <n v="0"/>
    <n v="0"/>
    <n v="0"/>
    <n v="42.96"/>
    <n v="0"/>
    <s v="24AARFT4204A1ZK"/>
    <s v="CMS"/>
    <n v="37013000"/>
    <s v="Rs."/>
    <n v="1"/>
    <n v="0"/>
  </r>
  <r>
    <d v="2026-12-08T00:00:00"/>
    <s v="Tritha Graphics"/>
    <s v="General Purchase"/>
    <s v="GNCN 350"/>
    <x v="0"/>
    <n v="9619"/>
    <s v="30-07-2026"/>
    <s v="Consumables"/>
    <s v="Rubber/Polymer Stereo"/>
    <s v="Spares &amp; Stores"/>
    <s v="Stores &amp; Consumables"/>
    <s v="Polymer Stereo"/>
    <n v="354.36"/>
    <n v="407.51"/>
    <s v="Polymer Stereo"/>
    <n v="0"/>
    <n v="9"/>
    <n v="36.68"/>
    <n v="9"/>
    <n v="36.68"/>
    <n v="0"/>
    <n v="0"/>
    <n v="0"/>
    <n v="73.36"/>
    <n v="0"/>
    <s v="24AARFT4204A1ZK"/>
    <s v="CMS"/>
    <n v="37013000"/>
    <s v="Rs."/>
    <n v="1"/>
    <n v="0"/>
  </r>
  <r>
    <d v="2026-12-08T00:00:00"/>
    <s v="Tritha Graphics"/>
    <s v="General Purchase"/>
    <s v="GNCN 350"/>
    <x v="0"/>
    <n v="9619"/>
    <s v="30-07-2026"/>
    <s v="Consumables"/>
    <s v="Rubber/Polymer Stereo"/>
    <s v="Spares &amp; Stores"/>
    <s v="Stores &amp; Consumables"/>
    <s v="Polymer Stereo"/>
    <n v="1043.6400000000001"/>
    <n v="1200.19"/>
    <s v="Polymer Stereo"/>
    <n v="0"/>
    <n v="9"/>
    <n v="108.02"/>
    <n v="9"/>
    <n v="108.02"/>
    <n v="0"/>
    <n v="0"/>
    <n v="0"/>
    <n v="216.04"/>
    <n v="0"/>
    <s v="24AARFT4204A1ZK"/>
    <s v="CMS"/>
    <n v="37013000"/>
    <s v="Rs."/>
    <n v="1"/>
    <n v="0"/>
  </r>
  <r>
    <s v="13-08-2026"/>
    <s v="Plastene India ltd - Unit 1-Purchase"/>
    <s v="General Purchase"/>
    <s v="GNCN 355"/>
    <x v="0"/>
    <s v="PIL1/D/1364"/>
    <s v="13-08-2026"/>
    <s v="Stores/Spares"/>
    <s v="MS Structure Items"/>
    <s v="Spares &amp; Stores"/>
    <s v="Stores &amp; Consumables"/>
    <s v="MS Pipe 4  C Class"/>
    <n v="276"/>
    <n v="13248"/>
    <s v="MS Pipe 4  C Class"/>
    <n v="15619.39"/>
    <n v="9"/>
    <n v="1192.32"/>
    <n v="9"/>
    <n v="1192.32"/>
    <n v="0"/>
    <n v="0"/>
    <n v="0"/>
    <n v="2384.64"/>
    <n v="0"/>
    <s v="24AAACO3087C1ZT"/>
    <s v="Kgs"/>
    <n v="73063090"/>
    <s v="Rs."/>
    <n v="1"/>
    <n v="0"/>
  </r>
  <r>
    <s v="13-08-2026"/>
    <s v="Plastene India ltd - Unit 1-Purchase"/>
    <s v="R.M.P."/>
    <s v="RM 521"/>
    <x v="1"/>
    <s v="PIL1/D/1359"/>
    <s v="13-08-2026"/>
    <s v="SF"/>
    <s v="PP/PE Fabric"/>
    <s v="PP Lam Fabric"/>
    <s v="PP Laminated Woven Fabric"/>
    <s v="PP Lam Fabric With UV"/>
    <n v="1864"/>
    <n v="278332.48"/>
    <s v="PP Lam Fabric With UV"/>
    <n v="1827958.77"/>
    <n v="9"/>
    <n v="25049.919999999998"/>
    <n v="9"/>
    <n v="25049.919999999998"/>
    <n v="0"/>
    <n v="0"/>
    <n v="0"/>
    <n v="50099.839999999997"/>
    <n v="0"/>
    <s v="24AAACO3087C1ZT"/>
    <s v="Kgs"/>
    <n v="63053300"/>
    <s v="Rs."/>
    <n v="1"/>
    <n v="1864"/>
  </r>
  <r>
    <s v="13-08-2026"/>
    <s v="Plastene India ltd - Unit 1-Purchase"/>
    <s v="R.M.P."/>
    <s v="RM 521"/>
    <x v="1"/>
    <s v="PIL1/D/1359"/>
    <s v="13-08-2026"/>
    <s v="SF"/>
    <s v="PP/PE Fabric"/>
    <s v="PP UL Fabric"/>
    <s v="PP Woven Fabric"/>
    <s v="PP UL Fabric With UV"/>
    <n v="7762"/>
    <n v="1104687.8400000001"/>
    <s v="PP UL Fabric With UV"/>
    <n v="0"/>
    <n v="9"/>
    <n v="99421.91"/>
    <n v="9"/>
    <n v="99421.91"/>
    <n v="0"/>
    <n v="0"/>
    <n v="0"/>
    <n v="198843.82"/>
    <n v="0"/>
    <s v="24AAACO3087C1ZT"/>
    <s v="Kgs"/>
    <n v="39269080"/>
    <s v="Rs."/>
    <n v="1"/>
    <n v="7762"/>
  </r>
  <r>
    <s v="13-08-2026"/>
    <s v="Plastene India ltd - Unit 1-Purchase"/>
    <s v="R.M.P."/>
    <s v="RM 521"/>
    <x v="1"/>
    <s v="PIL1/D/1359"/>
    <s v="13-08-2026"/>
    <s v="SF"/>
    <s v="PP/PE Fabric"/>
    <s v="PP UL Fabric"/>
    <s v="PP Woven Fabric"/>
    <s v="PP UL Fabric With UV"/>
    <n v="1160"/>
    <n v="167411.20000000001"/>
    <s v="PP UL Fabric With UV"/>
    <n v="0"/>
    <n v="9"/>
    <n v="15067.01"/>
    <n v="9"/>
    <n v="15067.01"/>
    <n v="0"/>
    <n v="0"/>
    <n v="0"/>
    <n v="30134.02"/>
    <n v="0"/>
    <s v="24AAACO3087C1ZT"/>
    <s v="Kgs"/>
    <n v="39269080"/>
    <s v="Rs."/>
    <n v="1"/>
    <n v="1160"/>
  </r>
  <r>
    <s v="13-08-2026"/>
    <s v="Plastene India ltd - Unit 1-Purchase"/>
    <s v="R.M.P."/>
    <s v="RM 522"/>
    <x v="1"/>
    <s v="PIL1/D/1365"/>
    <s v="13-08-2026"/>
    <s v="SF"/>
    <s v="Liners"/>
    <s v="LDPE/LLDPE Bags"/>
    <s v="LLDPE Bags"/>
    <s v="LDPE/LLDPE Bags/Liner"/>
    <n v="238"/>
    <n v="43996.68"/>
    <s v="LDPE/LLDPE Bags/Liner"/>
    <n v="1358571.54"/>
    <n v="9"/>
    <n v="3959.7"/>
    <n v="9"/>
    <n v="3959.7"/>
    <n v="0"/>
    <n v="0"/>
    <n v="0"/>
    <n v="7919.4"/>
    <n v="0"/>
    <s v="24AAACO3087C1ZT"/>
    <s v="Kgs"/>
    <n v="39200000"/>
    <s v="Rs."/>
    <n v="1"/>
    <n v="238"/>
  </r>
  <r>
    <s v="13-08-2026"/>
    <s v="Plastene India ltd - Unit 1-Purchase"/>
    <s v="R.M.P."/>
    <s v="RM 522"/>
    <x v="1"/>
    <s v="PIL1/D/1365"/>
    <s v="13-08-2026"/>
    <s v="SF"/>
    <s v="Liners"/>
    <s v="LDPE/LLDPE Bags"/>
    <s v="LLDPE Bags"/>
    <s v="LDPE/LLDPE Bags/Liner"/>
    <n v="2059"/>
    <n v="364154.74"/>
    <s v="LDPE/LLDPE Bags/Liner"/>
    <n v="0"/>
    <n v="9"/>
    <n v="32773.93"/>
    <n v="9"/>
    <n v="32773.93"/>
    <n v="0"/>
    <n v="0"/>
    <n v="0"/>
    <n v="65547.86"/>
    <n v="0"/>
    <s v="24AAACO3087C1ZT"/>
    <s v="Kgs"/>
    <n v="39200000"/>
    <s v="Rs."/>
    <n v="1"/>
    <n v="2059"/>
  </r>
  <r>
    <s v="13-08-2026"/>
    <s v="Plastene India ltd - Unit 1-Purchase"/>
    <s v="R.M.P."/>
    <s v="RM 522"/>
    <x v="1"/>
    <s v="PIL1/D/1365"/>
    <s v="13-08-2026"/>
    <s v="SF"/>
    <s v="Webbing"/>
    <s v="PP Webbing"/>
    <s v="PP Webbing"/>
    <s v="Webbing"/>
    <n v="1354.6"/>
    <n v="199559.67"/>
    <s v="Webbing"/>
    <n v="0"/>
    <n v="9"/>
    <n v="17960.37"/>
    <n v="9"/>
    <n v="17960.37"/>
    <n v="0"/>
    <n v="0"/>
    <n v="0"/>
    <n v="35920.74"/>
    <n v="0"/>
    <s v="24AAACO3087C1ZT"/>
    <s v="Kgs"/>
    <n v="3926908"/>
    <s v="Rs."/>
    <n v="1"/>
    <n v="1354.6"/>
  </r>
  <r>
    <s v="13-08-2026"/>
    <s v="Plastene India ltd - Unit 1-Purchase"/>
    <s v="R.M.P."/>
    <s v="RM 522"/>
    <x v="1"/>
    <s v="PIL1/D/1365"/>
    <s v="13-08-2026"/>
    <s v="SF"/>
    <s v="Webbing"/>
    <s v="PP Webbing"/>
    <s v="PP Webbing"/>
    <s v="Webbing"/>
    <n v="1067.7"/>
    <n v="154090.46"/>
    <s v="Webbing"/>
    <n v="0"/>
    <n v="9"/>
    <n v="13868.14"/>
    <n v="9"/>
    <n v="13868.14"/>
    <n v="0"/>
    <n v="0"/>
    <n v="0"/>
    <n v="27736.28"/>
    <n v="0"/>
    <s v="24AAACO3087C1ZT"/>
    <s v="Kgs"/>
    <n v="3926908"/>
    <s v="Rs."/>
    <n v="1"/>
    <n v="1067.7"/>
  </r>
  <r>
    <s v="13-08-2026"/>
    <s v="Plastene India ltd - Unit 1-Purchase"/>
    <s v="R.M.P."/>
    <s v="RM 522"/>
    <x v="1"/>
    <s v="PIL1/D/1365"/>
    <s v="13-08-2026"/>
    <s v="SF"/>
    <s v="PP/PE Fabric"/>
    <s v="PP UL Fabric"/>
    <s v="PP Woven Fabric"/>
    <s v="PP UL Fabric With UV"/>
    <n v="275"/>
    <n v="39688"/>
    <s v="PP UL Fabric With UV"/>
    <n v="0"/>
    <n v="9"/>
    <n v="3571.92"/>
    <n v="9"/>
    <n v="3571.92"/>
    <n v="0"/>
    <n v="0"/>
    <n v="0"/>
    <n v="7143.84"/>
    <n v="0"/>
    <s v="24AAACO3087C1ZT"/>
    <s v="Kgs"/>
    <n v="39269080"/>
    <s v="Rs."/>
    <n v="1"/>
    <n v="275"/>
  </r>
  <r>
    <s v="13-08-2026"/>
    <s v="Plastene India ltd - Unit 1-Purchase"/>
    <s v="R.M.P."/>
    <s v="RM 522"/>
    <x v="1"/>
    <s v="PIL1/D/1365"/>
    <s v="13-08-2026"/>
    <s v="SF"/>
    <s v="PP/PE Fabric"/>
    <s v="PP UL Fabric"/>
    <s v="PP Woven Fabric"/>
    <s v="PP UL Fabric With UV"/>
    <n v="2465"/>
    <n v="350818.8"/>
    <s v="PP UL Fabric With UV"/>
    <n v="0"/>
    <n v="9"/>
    <n v="31573.69"/>
    <n v="9"/>
    <n v="31573.69"/>
    <n v="0"/>
    <n v="0"/>
    <n v="0"/>
    <n v="63147.38"/>
    <n v="0"/>
    <s v="24AAACO3087C1ZT"/>
    <s v="Kgs"/>
    <n v="39269080"/>
    <s v="Rs."/>
    <n v="1"/>
    <n v="2465"/>
  </r>
  <r>
    <s v="13-08-2026"/>
    <s v="Plastene Polyfilms Ltd-Purchase"/>
    <s v="General Purchase"/>
    <s v="GNCN 354"/>
    <x v="0"/>
    <s v="PPL/D/486"/>
    <s v="13-08-2026"/>
    <s v="SF"/>
    <s v="Liners"/>
    <s v="LDPE/LLDPE Bags"/>
    <s v="PE Labels (Kgs)"/>
    <s v="PE Labels (Kgs)"/>
    <n v="15"/>
    <n v="3600"/>
    <s v="PE Labels (Kgs)"/>
    <n v="4244.3999999999996"/>
    <n v="9"/>
    <n v="324"/>
    <n v="9"/>
    <n v="324"/>
    <n v="0"/>
    <n v="0"/>
    <n v="0"/>
    <n v="648"/>
    <n v="0"/>
    <s v="24AAFCP2956A1ZR"/>
    <s v="Kgs"/>
    <n v="3920101"/>
    <s v="Rs."/>
    <n v="1"/>
    <n v="15"/>
  </r>
  <r>
    <s v="13-08-2026"/>
    <s v="Plastene Polyfilms Ltd-Purchase"/>
    <s v="R.M.P."/>
    <s v="RM 520"/>
    <x v="2"/>
    <s v="PPL/D/485"/>
    <s v="13-08-2026"/>
    <s v="FG"/>
    <s v="FIBC Bags"/>
    <s v="FIBC Bags"/>
    <s v="JUMBO BAG"/>
    <s v="FIBC Bags With UV Without Liner"/>
    <n v="156"/>
    <n v="53972.88"/>
    <s v="FIBC Bags With UV Without Liner"/>
    <n v="63634.03"/>
    <n v="9"/>
    <n v="4857.5600000000004"/>
    <n v="9"/>
    <n v="4857.5600000000004"/>
    <n v="0"/>
    <n v="0"/>
    <n v="0"/>
    <n v="9715.1200000000008"/>
    <n v="0"/>
    <s v="24AAFCP2956A1ZR"/>
    <s v="Kgs"/>
    <n v="63053200"/>
    <s v="Rs."/>
    <n v="1"/>
    <n v="156"/>
  </r>
  <r>
    <s v="14-08-2026"/>
    <s v="Chandan Electric Store"/>
    <s v="General Purchase"/>
    <s v="GNSP 148"/>
    <x v="0"/>
    <s v="CES/26-27/1149"/>
    <d v="2026-10-08T00:00:00"/>
    <s v="Stores/Spares"/>
    <s v="Lights/Fans"/>
    <s v="Spares &amp; Stores"/>
    <s v="Stores &amp; Consumables"/>
    <s v="Led Flood Light 200 Watt"/>
    <n v="6"/>
    <n v="13500"/>
    <s v="Led Flood Light 200 Watt"/>
    <n v="15930"/>
    <n v="9"/>
    <n v="1215"/>
    <n v="9"/>
    <n v="1215"/>
    <n v="0"/>
    <n v="0"/>
    <n v="0"/>
    <n v="2430"/>
    <n v="0"/>
    <s v="24AAIPH7590J1ZE"/>
    <s v="Pcs"/>
    <n v="940540"/>
    <s v="Rs."/>
    <n v="1"/>
    <n v="0"/>
  </r>
  <r>
    <s v="14-08-2026"/>
    <s v="K.P. Woven Pvt Ltd-Purchase"/>
    <s v="R.M.P."/>
    <s v="RM 523"/>
    <x v="1"/>
    <s v="KPV/D/597"/>
    <s v="13-08-2026"/>
    <s v="SF"/>
    <s v="Yarn All"/>
    <s v="PP Yarn"/>
    <s v="PP Filament Yarn"/>
    <s v="PP Fibrillated Tape Twisted 3200 Blue"/>
    <n v="500"/>
    <n v="79700"/>
    <s v="PP Fibrillated Tape Twisted 3200 Blue"/>
    <n v="239465.72"/>
    <n v="2.5"/>
    <n v="1992.5"/>
    <n v="2.5"/>
    <n v="1992.5"/>
    <n v="0"/>
    <n v="0"/>
    <n v="0"/>
    <n v="3985"/>
    <n v="0"/>
    <s v="24AAECK6307M1ZF"/>
    <s v="Kgs"/>
    <n v="54026930"/>
    <s v="Rs."/>
    <n v="1"/>
    <n v="500"/>
  </r>
  <r>
    <s v="14-08-2026"/>
    <s v="K.P. Woven Pvt Ltd-Purchase"/>
    <s v="R.M.P."/>
    <s v="RM 523"/>
    <x v="1"/>
    <s v="KPV/D/597"/>
    <s v="13-08-2026"/>
    <s v="SF"/>
    <s v="Yarn All"/>
    <s v="PP Yarn"/>
    <s v="PP Filament Yarn"/>
    <s v="PP Fibrillated Tape Twisted 3200 MW"/>
    <n v="950"/>
    <n v="148580"/>
    <s v="PP Fibrillated Tape Twisted 3200 MW"/>
    <n v="0"/>
    <n v="2.5"/>
    <n v="3714.5"/>
    <n v="2.5"/>
    <n v="3714.5"/>
    <n v="0"/>
    <n v="0"/>
    <n v="0"/>
    <n v="7429"/>
    <n v="0"/>
    <s v="24AAECK6307M1ZF"/>
    <s v="Kgs"/>
    <n v="54026930"/>
    <s v="Rs."/>
    <n v="1"/>
    <n v="950"/>
  </r>
  <r>
    <s v="14-08-2026"/>
    <s v="Panchvati Tools Co."/>
    <s v="General Purchase"/>
    <s v="GNSP 150"/>
    <x v="0"/>
    <n v="1377"/>
    <d v="2026-07-08T00:00:00"/>
    <s v="Stores/Spares"/>
    <s v="Hardware Items"/>
    <s v="Spares &amp; Stores"/>
    <s v="Stores &amp; Consumables"/>
    <s v="Allen Bolt 05X20 mm"/>
    <n v="50"/>
    <n v="104.16"/>
    <s v="Allen Bolt 05X20 mm"/>
    <n v="5954"/>
    <n v="9"/>
    <n v="9.3699999999999992"/>
    <n v="9"/>
    <n v="9.3699999999999992"/>
    <n v="0"/>
    <n v="0"/>
    <n v="0"/>
    <n v="18.739999999999998"/>
    <n v="0"/>
    <s v="24ABVPP9097Q1Z7"/>
    <s v="Pcs"/>
    <n v="73181500"/>
    <s v="Rs."/>
    <n v="1"/>
    <n v="0"/>
  </r>
  <r>
    <s v="14-08-2026"/>
    <s v="Panchvati Tools Co."/>
    <s v="General Purchase"/>
    <s v="GNSP 150"/>
    <x v="0"/>
    <n v="1377"/>
    <d v="2026-07-08T00:00:00"/>
    <s v="Stores/Spares"/>
    <s v="Hardware Items"/>
    <s v="Spares &amp; Stores"/>
    <s v="Stores &amp; Consumables"/>
    <s v="Allen Key 05 mm - T Type"/>
    <n v="5"/>
    <n v="329.6"/>
    <s v="Allen Key 05 mm - T Type"/>
    <n v="0"/>
    <n v="9"/>
    <n v="29.66"/>
    <n v="9"/>
    <n v="29.66"/>
    <n v="0"/>
    <n v="0"/>
    <n v="0"/>
    <n v="59.32"/>
    <n v="0"/>
    <s v="24ABVPP9097Q1Z7"/>
    <s v="Pcs"/>
    <n v="82041120"/>
    <s v="Rs."/>
    <n v="1"/>
    <n v="0"/>
  </r>
  <r>
    <s v="14-08-2026"/>
    <s v="Panchvati Tools Co."/>
    <s v="General Purchase"/>
    <s v="GNSP 150"/>
    <x v="0"/>
    <n v="1377"/>
    <d v="2026-07-08T00:00:00"/>
    <s v="Stores/Spares"/>
    <s v="Hardware Items"/>
    <s v="Spares &amp; Stores"/>
    <s v="Stores &amp; Consumables"/>
    <s v="Allen Bolt 04X08 mm"/>
    <n v="50"/>
    <n v="155.61000000000001"/>
    <s v="Allen Bolt 04X08 mm"/>
    <n v="0"/>
    <n v="9"/>
    <n v="14"/>
    <n v="9"/>
    <n v="14"/>
    <n v="0"/>
    <n v="0"/>
    <n v="0"/>
    <n v="28"/>
    <n v="0"/>
    <s v="24ABVPP9097Q1Z7"/>
    <s v="Pcs"/>
    <n v="73181500"/>
    <s v="Rs."/>
    <n v="1"/>
    <n v="0"/>
  </r>
  <r>
    <s v="14-08-2026"/>
    <s v="Panchvati Tools Co."/>
    <s v="General Purchase"/>
    <s v="GNSP 150"/>
    <x v="0"/>
    <n v="1377"/>
    <d v="2026-07-08T00:00:00"/>
    <s v="Stores/Spares"/>
    <s v="Hardware Items"/>
    <s v="Spares &amp; Stores"/>
    <s v="Stores &amp; Consumables"/>
    <s v="Allen Bolt 04X10 mm"/>
    <n v="50"/>
    <n v="123.9"/>
    <s v="Allen Bolt 04X10 mm"/>
    <n v="0"/>
    <n v="9"/>
    <n v="11.15"/>
    <n v="9"/>
    <n v="11.15"/>
    <n v="0"/>
    <n v="0"/>
    <n v="0"/>
    <n v="22.3"/>
    <n v="0"/>
    <s v="24ABVPP9097Q1Z7"/>
    <s v="Pcs"/>
    <n v="73181500"/>
    <s v="Rs."/>
    <n v="1"/>
    <n v="0"/>
  </r>
  <r>
    <s v="14-08-2026"/>
    <s v="Panchvati Tools Co."/>
    <s v="General Purchase"/>
    <s v="GNSP 150"/>
    <x v="0"/>
    <n v="1377"/>
    <d v="2026-07-08T00:00:00"/>
    <s v="Stores/Spares"/>
    <s v="Hardware Items"/>
    <s v="Spares &amp; Stores"/>
    <s v="Stores &amp; Consumables"/>
    <s v="Allen Bolt 04X30 mm"/>
    <n v="50"/>
    <n v="162.33000000000001"/>
    <s v="Allen Bolt 04X30 mm"/>
    <n v="0"/>
    <n v="9"/>
    <n v="14.61"/>
    <n v="9"/>
    <n v="14.61"/>
    <n v="0"/>
    <n v="0"/>
    <n v="0"/>
    <n v="29.22"/>
    <n v="0"/>
    <s v="24ABVPP9097Q1Z7"/>
    <s v="Pcs"/>
    <n v="8452900"/>
    <s v="Rs."/>
    <n v="1"/>
    <n v="0"/>
  </r>
  <r>
    <s v="14-08-2026"/>
    <s v="Panchvati Tools Co."/>
    <s v="General Purchase"/>
    <s v="GNSP 150"/>
    <x v="0"/>
    <n v="1377"/>
    <d v="2026-07-08T00:00:00"/>
    <s v="Stores/Spares"/>
    <s v="Hardware Items"/>
    <s v="Spares &amp; Stores"/>
    <s v="Stores &amp; Consumables"/>
    <s v="Allen Bolt 05X16 mm"/>
    <n v="50"/>
    <n v="97.02"/>
    <s v="Allen Bolt 05X16 mm"/>
    <n v="0"/>
    <n v="9"/>
    <n v="8.73"/>
    <n v="9"/>
    <n v="8.73"/>
    <n v="0"/>
    <n v="0"/>
    <n v="0"/>
    <n v="17.46"/>
    <n v="0"/>
    <s v="24ABVPP9097Q1Z7"/>
    <s v="Pcs"/>
    <n v="73181500"/>
    <s v="Rs."/>
    <n v="1"/>
    <n v="0"/>
  </r>
  <r>
    <s v="14-08-2026"/>
    <s v="Panchvati Tools Co."/>
    <s v="General Purchase"/>
    <s v="GNSP 150"/>
    <x v="0"/>
    <n v="1377"/>
    <d v="2026-07-08T00:00:00"/>
    <s v="Stores/Spares"/>
    <s v="Hardware Items"/>
    <s v="Spares &amp; Stores"/>
    <s v="Stores &amp; Consumables"/>
    <s v="Allen Bolt 06X25 mm"/>
    <n v="50"/>
    <n v="163.80000000000001"/>
    <s v="Allen Bolt 06X25 mm"/>
    <n v="0"/>
    <n v="9"/>
    <n v="14.74"/>
    <n v="9"/>
    <n v="14.74"/>
    <n v="0"/>
    <n v="0"/>
    <n v="0"/>
    <n v="29.48"/>
    <n v="0"/>
    <s v="24ABVPP9097Q1Z7"/>
    <s v="Pcs"/>
    <n v="73181500"/>
    <s v="Rs."/>
    <n v="1"/>
    <n v="0"/>
  </r>
  <r>
    <s v="14-08-2026"/>
    <s v="Panchvati Tools Co."/>
    <s v="General Purchase"/>
    <s v="GNSP 150"/>
    <x v="0"/>
    <n v="1377"/>
    <d v="2026-07-08T00:00:00"/>
    <s v="Stores/Spares"/>
    <s v="Hardware Items"/>
    <s v="Spares &amp; Stores"/>
    <s v="Stores &amp; Consumables"/>
    <s v="Allen Bolt 06X35 mm"/>
    <n v="50"/>
    <n v="202.86"/>
    <s v="Allen Bolt 06X35 mm"/>
    <n v="0"/>
    <n v="9"/>
    <n v="18.260000000000002"/>
    <n v="9"/>
    <n v="18.260000000000002"/>
    <n v="0"/>
    <n v="0"/>
    <n v="0"/>
    <n v="36.520000000000003"/>
    <n v="0"/>
    <s v="24ABVPP9097Q1Z7"/>
    <s v="Pcs"/>
    <n v="73181500"/>
    <s v="Rs."/>
    <n v="1"/>
    <n v="0"/>
  </r>
  <r>
    <s v="14-08-2026"/>
    <s v="Panchvati Tools Co."/>
    <s v="General Purchase"/>
    <s v="GNSP 150"/>
    <x v="0"/>
    <n v="1377"/>
    <d v="2026-07-08T00:00:00"/>
    <s v="Stores/Spares"/>
    <s v="Hardware Items"/>
    <s v="Spares &amp; Stores"/>
    <s v="Stores &amp; Consumables"/>
    <s v="Allen Bolt 05X25 mm"/>
    <n v="50"/>
    <n v="111.51"/>
    <s v="Allen Bolt 05X25 mm"/>
    <n v="0"/>
    <n v="9"/>
    <n v="10.039999999999999"/>
    <n v="9"/>
    <n v="10.039999999999999"/>
    <n v="0"/>
    <n v="0"/>
    <n v="0"/>
    <n v="20.079999999999998"/>
    <n v="0"/>
    <s v="24ABVPP9097Q1Z7"/>
    <s v="Pcs"/>
    <n v="73181500"/>
    <s v="Rs."/>
    <n v="1"/>
    <n v="0"/>
  </r>
  <r>
    <s v="14-08-2026"/>
    <s v="Panchvati Tools Co."/>
    <s v="General Purchase"/>
    <s v="GNSP 150"/>
    <x v="0"/>
    <n v="1377"/>
    <d v="2026-07-08T00:00:00"/>
    <s v="Stores/Spares"/>
    <s v="Hardware Items"/>
    <s v="Spares &amp; Stores"/>
    <s v="Stores &amp; Consumables"/>
    <s v="Allen Bolt 04X12 mm"/>
    <n v="50"/>
    <n v="111.51"/>
    <s v="Allen Bolt 04X12 mm"/>
    <n v="0"/>
    <n v="9"/>
    <n v="10.039999999999999"/>
    <n v="9"/>
    <n v="10.039999999999999"/>
    <n v="0"/>
    <n v="0"/>
    <n v="0"/>
    <n v="20.079999999999998"/>
    <n v="0"/>
    <s v="24ABVPP9097Q1Z7"/>
    <s v="Pcs"/>
    <n v="73181500"/>
    <s v="Rs."/>
    <n v="1"/>
    <n v="0"/>
  </r>
  <r>
    <s v="14-08-2026"/>
    <s v="Panchvati Tools Co."/>
    <s v="General Purchase"/>
    <s v="GNSP 150"/>
    <x v="0"/>
    <n v="1377"/>
    <d v="2026-07-08T00:00:00"/>
    <s v="Stores/Spares"/>
    <s v="Hardware Items"/>
    <s v="Spares &amp; Stores"/>
    <s v="Stores &amp; Consumables"/>
    <s v="Allen Bolt 04X20 mm"/>
    <n v="50"/>
    <n v="124.74"/>
    <s v="Allen Bolt 04X20 mm"/>
    <n v="0"/>
    <n v="9"/>
    <n v="11.23"/>
    <n v="9"/>
    <n v="11.23"/>
    <n v="0"/>
    <n v="0"/>
    <n v="0"/>
    <n v="22.46"/>
    <n v="0"/>
    <s v="24ABVPP9097Q1Z7"/>
    <s v="Pcs"/>
    <n v="73181500"/>
    <s v="Rs."/>
    <n v="1"/>
    <n v="0"/>
  </r>
  <r>
    <s v="14-08-2026"/>
    <s v="Panchvati Tools Co."/>
    <s v="General Purchase"/>
    <s v="GNSP 150"/>
    <x v="0"/>
    <n v="1377"/>
    <d v="2026-07-08T00:00:00"/>
    <s v="Stores/Spares"/>
    <s v="Hardware Items"/>
    <s v="Spares &amp; Stores"/>
    <s v="Stores &amp; Consumables"/>
    <s v="Allen Bolt 05X30 mm"/>
    <n v="50"/>
    <n v="135.44999999999999"/>
    <s v="Allen Bolt 05X30 mm"/>
    <n v="0"/>
    <n v="9"/>
    <n v="12.19"/>
    <n v="9"/>
    <n v="12.19"/>
    <n v="0"/>
    <n v="0"/>
    <n v="0"/>
    <n v="24.38"/>
    <n v="0"/>
    <s v="24ABVPP9097Q1Z7"/>
    <s v="Pcs"/>
    <n v="84821011"/>
    <s v="Rs."/>
    <n v="1"/>
    <n v="0"/>
  </r>
  <r>
    <s v="14-08-2026"/>
    <s v="Panchvati Tools Co."/>
    <s v="General Purchase"/>
    <s v="GNSP 150"/>
    <x v="0"/>
    <n v="1377"/>
    <d v="2026-07-08T00:00:00"/>
    <s v="Stores/Spares"/>
    <s v="Hardware Items"/>
    <s v="Spares &amp; Stores"/>
    <s v="Stores &amp; Consumables"/>
    <s v="Allen Bolt 04X16 mm"/>
    <n v="50"/>
    <n v="116.34"/>
    <s v="Allen Bolt 04X16 mm"/>
    <n v="0"/>
    <n v="9"/>
    <n v="10.47"/>
    <n v="9"/>
    <n v="10.47"/>
    <n v="0"/>
    <n v="0"/>
    <n v="0"/>
    <n v="20.94"/>
    <n v="0"/>
    <s v="24ABVPP9097Q1Z7"/>
    <s v="Pcs"/>
    <n v="73181500"/>
    <s v="Rs."/>
    <n v="1"/>
    <n v="0"/>
  </r>
  <r>
    <s v="14-08-2026"/>
    <s v="Panchvati Tools Co."/>
    <s v="General Purchase"/>
    <s v="GNSP 150"/>
    <x v="0"/>
    <n v="1377"/>
    <d v="2026-07-08T00:00:00"/>
    <s v="Stores/Spares"/>
    <s v="Hardware Items"/>
    <s v="Spares &amp; Stores"/>
    <s v="Stores &amp; Consumables"/>
    <s v="Allen Bolt 06X10 mm"/>
    <n v="50"/>
    <n v="145.74"/>
    <s v="Allen Bolt 06X10 mm"/>
    <n v="0"/>
    <n v="9"/>
    <n v="13.12"/>
    <n v="9"/>
    <n v="13.12"/>
    <n v="0"/>
    <n v="0"/>
    <n v="0"/>
    <n v="26.24"/>
    <n v="0"/>
    <s v="24ABVPP9097Q1Z7"/>
    <s v="Pcs"/>
    <n v="8452900"/>
    <s v="Rs."/>
    <n v="1"/>
    <n v="0"/>
  </r>
  <r>
    <s v="14-08-2026"/>
    <s v="Panchvati Tools Co."/>
    <s v="General Purchase"/>
    <s v="GNSP 150"/>
    <x v="0"/>
    <n v="1377"/>
    <d v="2026-07-08T00:00:00"/>
    <s v="Stores/Spares"/>
    <s v="Hardware Items"/>
    <s v="Spares &amp; Stores"/>
    <s v="Stores &amp; Consumables"/>
    <s v="Allen Bolt 06X30 mm"/>
    <n v="50"/>
    <n v="185.01"/>
    <s v="Allen Bolt 06X30 mm"/>
    <n v="0"/>
    <n v="9"/>
    <n v="16.649999999999999"/>
    <n v="9"/>
    <n v="16.649999999999999"/>
    <n v="0"/>
    <n v="0"/>
    <n v="0"/>
    <n v="33.299999999999997"/>
    <n v="0"/>
    <s v="24ABVPP9097Q1Z7"/>
    <s v="Pcs"/>
    <n v="73181500"/>
    <s v="Rs."/>
    <n v="1"/>
    <n v="0"/>
  </r>
  <r>
    <s v="14-08-2026"/>
    <s v="Panchvati Tools Co."/>
    <s v="General Purchase"/>
    <s v="GNSP 150"/>
    <x v="0"/>
    <n v="1377"/>
    <d v="2026-07-08T00:00:00"/>
    <s v="Stores/Spares"/>
    <s v="Hardware Items"/>
    <s v="Spares &amp; Stores"/>
    <s v="Stores &amp; Consumables"/>
    <s v="Allen Bolt 06X08 mm"/>
    <n v="50"/>
    <n v="220.29"/>
    <s v="Allen Bolt 06X08 mm"/>
    <n v="0"/>
    <n v="9"/>
    <n v="19.829999999999998"/>
    <n v="9"/>
    <n v="19.829999999999998"/>
    <n v="0"/>
    <n v="0"/>
    <n v="0"/>
    <n v="39.659999999999997"/>
    <n v="0"/>
    <s v="24ABVPP9097Q1Z7"/>
    <s v="Pcs"/>
    <n v="73181500"/>
    <s v="Rs."/>
    <n v="1"/>
    <n v="0"/>
  </r>
  <r>
    <s v="14-08-2026"/>
    <s v="Panchvati Tools Co."/>
    <s v="General Purchase"/>
    <s v="GNSP 150"/>
    <x v="0"/>
    <n v="1377"/>
    <d v="2026-07-08T00:00:00"/>
    <s v="Stores/Spares"/>
    <s v="Hardware Items"/>
    <s v="Spares &amp; Stores"/>
    <s v="Stores &amp; Consumables"/>
    <s v="Allen Bolt 04X06 mm"/>
    <n v="50"/>
    <n v="220.29"/>
    <s v="Allen Bolt 04X06 mm"/>
    <n v="0"/>
    <n v="9"/>
    <n v="19.829999999999998"/>
    <n v="9"/>
    <n v="19.829999999999998"/>
    <n v="0"/>
    <n v="0"/>
    <n v="0"/>
    <n v="39.659999999999997"/>
    <n v="0"/>
    <s v="24ABVPP9097Q1Z7"/>
    <s v="Pcs"/>
    <n v="73181500"/>
    <s v="Rs."/>
    <n v="1"/>
    <n v="0"/>
  </r>
  <r>
    <s v="14-08-2026"/>
    <s v="Panchvati Tools Co."/>
    <s v="General Purchase"/>
    <s v="GNSP 150"/>
    <x v="0"/>
    <n v="1377"/>
    <d v="2026-07-08T00:00:00"/>
    <s v="Stores/Spares"/>
    <s v="Hardware Items"/>
    <s v="Spares &amp; Stores"/>
    <s v="Stores &amp; Consumables"/>
    <s v="Fix Player Make Taparia"/>
    <n v="3"/>
    <n v="581.76"/>
    <s v="Fix Player Make Taparia"/>
    <n v="0"/>
    <n v="9"/>
    <n v="52.36"/>
    <n v="9"/>
    <n v="52.36"/>
    <n v="0"/>
    <n v="0"/>
    <n v="0"/>
    <n v="104.72"/>
    <n v="0"/>
    <s v="24ABVPP9097Q1Z7"/>
    <s v="Pcs"/>
    <n v="82032000"/>
    <s v="Rs."/>
    <n v="1"/>
    <n v="0"/>
  </r>
  <r>
    <s v="14-08-2026"/>
    <s v="Panchvati Tools Co."/>
    <s v="General Purchase"/>
    <s v="GNSP 150"/>
    <x v="0"/>
    <n v="1377"/>
    <d v="2026-07-08T00:00:00"/>
    <s v="Stores/Spares"/>
    <s v="Hardware Items"/>
    <s v="Spares &amp; Stores"/>
    <s v="Stores &amp; Consumables"/>
    <s v="Fix Spanner 12X13"/>
    <n v="5"/>
    <n v="128"/>
    <s v="Fix Spanner 12X13"/>
    <n v="0"/>
    <n v="9"/>
    <n v="11.52"/>
    <n v="9"/>
    <n v="11.52"/>
    <n v="0"/>
    <n v="0"/>
    <n v="0"/>
    <n v="23.04"/>
    <n v="0"/>
    <s v="24ABVPP9097Q1Z7"/>
    <s v="Pcs"/>
    <n v="82041110"/>
    <s v="Rs."/>
    <n v="1"/>
    <n v="0"/>
  </r>
  <r>
    <s v="14-08-2026"/>
    <s v="Panchvati Tools Co."/>
    <s v="General Purchase"/>
    <s v="GNSP 150"/>
    <x v="0"/>
    <n v="1377"/>
    <d v="2026-07-08T00:00:00"/>
    <s v="Stores/Spares"/>
    <s v="Hardware Items"/>
    <s v="Spares &amp; Stores"/>
    <s v="Stores &amp; Consumables"/>
    <s v="Allen Key 04 mm - L Type"/>
    <n v="10"/>
    <n v="102.4"/>
    <s v="Allen Key 04 mm - L Type"/>
    <n v="0"/>
    <n v="9"/>
    <n v="9.2200000000000006"/>
    <n v="9"/>
    <n v="9.2200000000000006"/>
    <n v="0"/>
    <n v="0"/>
    <n v="0"/>
    <n v="18.440000000000001"/>
    <n v="0"/>
    <s v="24ABVPP9097Q1Z7"/>
    <s v="Pcs"/>
    <n v="82041120"/>
    <s v="Rs."/>
    <n v="1"/>
    <n v="0"/>
  </r>
  <r>
    <s v="14-08-2026"/>
    <s v="Panchvati Tools Co."/>
    <s v="General Purchase"/>
    <s v="GNSP 150"/>
    <x v="0"/>
    <n v="1377"/>
    <d v="2026-07-08T00:00:00"/>
    <s v="Stores/Spares"/>
    <s v="Hardware Items"/>
    <s v="Spares &amp; Stores"/>
    <s v="Stores &amp; Consumables"/>
    <s v="Allen Key 04 mm - T Type"/>
    <n v="10"/>
    <n v="544"/>
    <s v="Allen Key 04 mm - T Type"/>
    <n v="0"/>
    <n v="9"/>
    <n v="48.96"/>
    <n v="9"/>
    <n v="48.96"/>
    <n v="0"/>
    <n v="0"/>
    <n v="0"/>
    <n v="97.92"/>
    <n v="0"/>
    <s v="24ABVPP9097Q1Z7"/>
    <s v="Pcs"/>
    <n v="82042120"/>
    <s v="Rs."/>
    <n v="1"/>
    <n v="0"/>
  </r>
  <r>
    <s v="14-08-2026"/>
    <s v="Panchvati Tools Co."/>
    <s v="General Purchase"/>
    <s v="GNSP 150"/>
    <x v="0"/>
    <n v="1377"/>
    <d v="2026-07-08T00:00:00"/>
    <s v="Stores/Spares"/>
    <s v="Hardware Items"/>
    <s v="Spares &amp; Stores"/>
    <s v="Stores &amp; Consumables"/>
    <s v="Allen Key 06 mm - L Type Long"/>
    <n v="5"/>
    <n v="92.8"/>
    <s v="Allen Key 06 mm - L Type Long"/>
    <n v="0"/>
    <n v="9"/>
    <n v="8.35"/>
    <n v="9"/>
    <n v="8.35"/>
    <n v="0"/>
    <n v="0"/>
    <n v="0"/>
    <n v="16.7"/>
    <n v="0"/>
    <s v="24ABVPP9097Q1Z7"/>
    <s v="Pcs"/>
    <n v="82041120"/>
    <s v="Rs."/>
    <n v="1"/>
    <n v="0"/>
  </r>
  <r>
    <s v="14-08-2026"/>
    <s v="Panchvati Tools Co."/>
    <s v="General Purchase"/>
    <s v="GNSP 150"/>
    <x v="0"/>
    <n v="1377"/>
    <d v="2026-07-08T00:00:00"/>
    <s v="Stores/Spares"/>
    <s v="Hardware Items"/>
    <s v="Spares &amp; Stores"/>
    <s v="Stores &amp; Consumables"/>
    <s v="Allen Bolt 04X25 mm"/>
    <n v="50"/>
    <n v="136.91999999999999"/>
    <s v="Allen Bolt 04X25 mm"/>
    <n v="0"/>
    <n v="9"/>
    <n v="12.32"/>
    <n v="9"/>
    <n v="12.32"/>
    <n v="0"/>
    <n v="0"/>
    <n v="0"/>
    <n v="24.64"/>
    <n v="0"/>
    <s v="24ABVPP9097Q1Z7"/>
    <s v="Pcs"/>
    <n v="73181500"/>
    <s v="Rs."/>
    <n v="1"/>
    <n v="0"/>
  </r>
  <r>
    <s v="14-08-2026"/>
    <s v="Panchvati Tools Co."/>
    <s v="General Purchase"/>
    <s v="GNSP 150"/>
    <x v="0"/>
    <n v="1377"/>
    <d v="2026-07-08T00:00:00"/>
    <s v="Consumables"/>
    <s v="Consumables Workshop"/>
    <s v="Spares &amp; Stores"/>
    <s v="Stores &amp; Consumables"/>
    <s v="Grinding Wheel 8 Inch Green"/>
    <n v="1"/>
    <n v="750"/>
    <s v="Grinding Wheel 8 Inch Green"/>
    <n v="0"/>
    <n v="9"/>
    <n v="67.5"/>
    <n v="9"/>
    <n v="67.5"/>
    <n v="0"/>
    <n v="0"/>
    <n v="0"/>
    <n v="135"/>
    <n v="0"/>
    <s v="24ABVPP9097Q1Z7"/>
    <s v="Pcs"/>
    <n v="62042290"/>
    <s v="Rs."/>
    <n v="1"/>
    <n v="0"/>
  </r>
  <r>
    <s v="14-08-2026"/>
    <s v="Plastene India ltd - Unit 1-Purchase"/>
    <s v="General Purchase"/>
    <s v="GNCN 357"/>
    <x v="0"/>
    <s v="PIL1/D/1373"/>
    <s v="14-08-2026"/>
    <s v="Stores/Spares"/>
    <s v="MS Structure Items"/>
    <s v="Spares &amp; Stores"/>
    <s v="Stores &amp; Consumables"/>
    <s v="MS Pipe 4  C Class"/>
    <n v="203"/>
    <n v="9744"/>
    <s v="MS Pipe 4  C Class"/>
    <n v="11488.18"/>
    <n v="9"/>
    <n v="876.96"/>
    <n v="9"/>
    <n v="876.96"/>
    <n v="0"/>
    <n v="0"/>
    <n v="0"/>
    <n v="1753.92"/>
    <n v="0"/>
    <s v="24AAACO3087C1ZT"/>
    <s v="Kgs"/>
    <n v="73063090"/>
    <s v="Rs."/>
    <n v="1"/>
    <n v="0"/>
  </r>
  <r>
    <s v="14-08-2026"/>
    <s v="Plastene India ltd - Unit 1-Purchase"/>
    <s v="R.M.P."/>
    <s v="RM 524"/>
    <x v="1"/>
    <s v="PIL1/D/1368"/>
    <s v="14-08-2026"/>
    <s v="SF"/>
    <s v="PP/PE Fabric"/>
    <s v="PP UL Fabric"/>
    <s v="PP Woven Fabric"/>
    <s v="PP UL Fabric With UV"/>
    <n v="857"/>
    <n v="123682.24000000001"/>
    <s v="PP UL Fabric With UV"/>
    <n v="1294303.5"/>
    <n v="9"/>
    <n v="11131.4"/>
    <n v="9"/>
    <n v="11131.4"/>
    <n v="0"/>
    <n v="0"/>
    <n v="0"/>
    <n v="22262.799999999999"/>
    <n v="0"/>
    <s v="24AAACO3087C1ZT"/>
    <s v="Kgs"/>
    <n v="39269080"/>
    <s v="Rs."/>
    <n v="1"/>
    <n v="857"/>
  </r>
  <r>
    <s v="14-08-2026"/>
    <s v="Plastene India ltd - Unit 1-Purchase"/>
    <s v="R.M.P."/>
    <s v="RM 524"/>
    <x v="1"/>
    <s v="PIL1/D/1368"/>
    <s v="14-08-2026"/>
    <s v="SF"/>
    <s v="PP/PE Fabric"/>
    <s v="PP UL Fabric"/>
    <s v="PP Woven Fabric"/>
    <s v="PP UL Fabric With UV"/>
    <n v="6576"/>
    <n v="935896.32"/>
    <s v="PP UL Fabric With UV"/>
    <n v="0"/>
    <n v="9"/>
    <n v="84230.67"/>
    <n v="9"/>
    <n v="84230.67"/>
    <n v="0"/>
    <n v="0"/>
    <n v="0"/>
    <n v="168461.34"/>
    <n v="0"/>
    <s v="24AAACO3087C1ZT"/>
    <s v="Kgs"/>
    <n v="39269080"/>
    <s v="Rs."/>
    <n v="1"/>
    <n v="6576"/>
  </r>
  <r>
    <s v="14-08-2026"/>
    <s v="Plastene India ltd - Unit 1-Purchase"/>
    <s v="R.M.P."/>
    <s v="RM 524"/>
    <x v="1"/>
    <s v="PIL1/D/1368"/>
    <s v="14-08-2026"/>
    <s v="SF"/>
    <s v="PP/PE Fabric"/>
    <s v="PP UL Fabric"/>
    <s v="PP Woven Fabric"/>
    <s v="PP UL Fabric With UV"/>
    <n v="263"/>
    <n v="38219.160000000003"/>
    <s v="PP UL Fabric With UV"/>
    <n v="0"/>
    <n v="9"/>
    <n v="3439.72"/>
    <n v="9"/>
    <n v="3439.72"/>
    <n v="0"/>
    <n v="0"/>
    <n v="0"/>
    <n v="6879.44"/>
    <n v="0"/>
    <s v="24AAACO3087C1ZT"/>
    <s v="Kgs"/>
    <n v="39269080"/>
    <s v="Rs."/>
    <n v="1"/>
    <n v="263"/>
  </r>
  <r>
    <s v="14-08-2026"/>
    <s v="Plastene India ltd - Unit 1-Purchase"/>
    <s v="R.M.P."/>
    <s v="RM 525"/>
    <x v="1"/>
    <s v="PIL1/D/1370"/>
    <s v="14-08-2026"/>
    <s v="SF"/>
    <s v="Webbing"/>
    <s v="PP Webbing"/>
    <s v="PP Webbing"/>
    <s v="Webbing"/>
    <n v="1327.9"/>
    <n v="195626.23"/>
    <s v="Webbing"/>
    <n v="347759.83"/>
    <n v="9"/>
    <n v="17606.36"/>
    <n v="9"/>
    <n v="17606.36"/>
    <n v="0"/>
    <n v="0"/>
    <n v="0"/>
    <n v="35212.720000000001"/>
    <n v="0"/>
    <s v="24AAACO3087C1ZT"/>
    <s v="Kgs"/>
    <n v="3926908"/>
    <s v="Rs."/>
    <n v="1"/>
    <n v="1327.9"/>
  </r>
  <r>
    <s v="14-08-2026"/>
    <s v="Plastene India ltd - Unit 1-Purchase"/>
    <s v="R.M.P."/>
    <s v="RM 525"/>
    <x v="1"/>
    <s v="PIL1/D/1370"/>
    <s v="14-08-2026"/>
    <s v="SF"/>
    <s v="Webbing"/>
    <s v="PP Webbing"/>
    <s v="PP Webbing"/>
    <s v="Webbing"/>
    <n v="688.3"/>
    <n v="99335.46"/>
    <s v="Webbing"/>
    <n v="0"/>
    <n v="9"/>
    <n v="8940.19"/>
    <n v="9"/>
    <n v="8940.19"/>
    <n v="0"/>
    <n v="0"/>
    <n v="0"/>
    <n v="17880.38"/>
    <n v="0"/>
    <s v="24AAACO3087C1ZT"/>
    <s v="Kgs"/>
    <n v="3926908"/>
    <s v="Rs."/>
    <n v="1"/>
    <n v="688.3"/>
  </r>
  <r>
    <s v="14-08-2026"/>
    <s v="Plastene India ltd - Unit 1-Purchase"/>
    <s v="R.M.P."/>
    <s v="RM 526"/>
    <x v="1"/>
    <s v="PIL1/D/1374"/>
    <s v="14-08-2026"/>
    <s v="SF"/>
    <s v="PP/PE Fabric"/>
    <s v="PP Lam Fabric"/>
    <s v="PP Laminated Woven Fabric"/>
    <s v="PP Lam Fabric With UV"/>
    <n v="894"/>
    <n v="129022.08"/>
    <s v="PP Lam Fabric With UV"/>
    <n v="1690644.66"/>
    <n v="9"/>
    <n v="11611.99"/>
    <n v="9"/>
    <n v="11611.99"/>
    <n v="0"/>
    <n v="0"/>
    <n v="0"/>
    <n v="23223.98"/>
    <n v="0"/>
    <s v="24AAACO3087C1ZT"/>
    <s v="Kgs"/>
    <n v="63053300"/>
    <s v="Rs."/>
    <n v="1"/>
    <n v="894"/>
  </r>
  <r>
    <s v="14-08-2026"/>
    <s v="Plastene India ltd - Unit 1-Purchase"/>
    <s v="R.M.P."/>
    <s v="RM 526"/>
    <x v="1"/>
    <s v="PIL1/D/1374"/>
    <s v="14-08-2026"/>
    <s v="SF"/>
    <s v="PP/PE Fabric"/>
    <s v="PP Lam Fabric"/>
    <s v="PP Laminated Woven Fabric"/>
    <s v="PP Lam Fabric With UV"/>
    <n v="1087"/>
    <n v="162310.84"/>
    <s v="PP Lam Fabric With UV"/>
    <n v="0"/>
    <n v="9"/>
    <n v="14607.98"/>
    <n v="9"/>
    <n v="14607.98"/>
    <n v="0"/>
    <n v="0"/>
    <n v="0"/>
    <n v="29215.96"/>
    <n v="0"/>
    <s v="24AAACO3087C1ZT"/>
    <s v="Kgs"/>
    <n v="63053300"/>
    <s v="Rs."/>
    <n v="1"/>
    <n v="1087"/>
  </r>
  <r>
    <s v="14-08-2026"/>
    <s v="Plastene India ltd - Unit 1-Purchase"/>
    <s v="R.M.P."/>
    <s v="RM 526"/>
    <x v="1"/>
    <s v="PIL1/D/1374"/>
    <s v="14-08-2026"/>
    <s v="SF"/>
    <s v="PP/PE Fabric"/>
    <s v="PP UL Fabric"/>
    <s v="PP Woven Fabric"/>
    <s v="PP UL Fabric With UV"/>
    <n v="260"/>
    <n v="37003.199999999997"/>
    <s v="PP UL Fabric With UV"/>
    <n v="0"/>
    <n v="9"/>
    <n v="3330.29"/>
    <n v="9"/>
    <n v="3330.29"/>
    <n v="0"/>
    <n v="0"/>
    <n v="0"/>
    <n v="6660.58"/>
    <n v="0"/>
    <s v="24AAACO3087C1ZT"/>
    <s v="Kgs"/>
    <n v="39269080"/>
    <s v="Rs."/>
    <n v="1"/>
    <n v="260"/>
  </r>
  <r>
    <s v="14-08-2026"/>
    <s v="Plastene India ltd - Unit 1-Purchase"/>
    <s v="R.M.P."/>
    <s v="RM 526"/>
    <x v="1"/>
    <s v="PIL1/D/1374"/>
    <s v="14-08-2026"/>
    <s v="SF"/>
    <s v="PP/PE Fabric"/>
    <s v="PP UL Fabric"/>
    <s v="PP Woven Fabric"/>
    <s v="PP UL Fabric With UV"/>
    <n v="641"/>
    <n v="92509.119999999995"/>
    <s v="PP UL Fabric With UV"/>
    <n v="0"/>
    <n v="9"/>
    <n v="8325.82"/>
    <n v="9"/>
    <n v="8325.82"/>
    <n v="0"/>
    <n v="0"/>
    <n v="0"/>
    <n v="16651.64"/>
    <n v="0"/>
    <s v="24AAACO3087C1ZT"/>
    <s v="Kgs"/>
    <n v="39269080"/>
    <s v="Rs."/>
    <n v="1"/>
    <n v="641"/>
  </r>
  <r>
    <s v="14-08-2026"/>
    <s v="Plastene India ltd - Unit 1-Purchase"/>
    <s v="R.M.P."/>
    <s v="RM 526"/>
    <x v="1"/>
    <s v="PIL1/D/1374"/>
    <s v="14-08-2026"/>
    <s v="SF"/>
    <s v="Liners"/>
    <s v="LDPE/LLDPE Bags"/>
    <s v="LLDPE Bags"/>
    <s v="LDPE/LLDPE Bags/Liner"/>
    <n v="1253"/>
    <n v="226617.58"/>
    <s v="LDPE/LLDPE Bags/Liner"/>
    <n v="0"/>
    <n v="9"/>
    <n v="20395.580000000002"/>
    <n v="9"/>
    <n v="20395.580000000002"/>
    <n v="0"/>
    <n v="0"/>
    <n v="0"/>
    <n v="40791.160000000003"/>
    <n v="0"/>
    <s v="24AAACO3087C1ZT"/>
    <s v="Kgs"/>
    <n v="39200000"/>
    <s v="Rs."/>
    <n v="1"/>
    <n v="1253"/>
  </r>
  <r>
    <s v="14-08-2026"/>
    <s v="Plastene India ltd - Unit 1-Purchase"/>
    <s v="R.M.P."/>
    <s v="RM 526"/>
    <x v="1"/>
    <s v="PIL1/D/1374"/>
    <s v="14-08-2026"/>
    <s v="SF"/>
    <s v="Liners"/>
    <s v="LDPE/LLDPE Bags"/>
    <s v="LLDPE Bags"/>
    <s v="LDPE/LLDPE Bags/Liner"/>
    <n v="266"/>
    <n v="49172.76"/>
    <s v="LDPE/LLDPE Bags/Liner"/>
    <n v="0"/>
    <n v="9"/>
    <n v="4425.55"/>
    <n v="9"/>
    <n v="4425.55"/>
    <n v="0"/>
    <n v="0"/>
    <n v="0"/>
    <n v="8851.1"/>
    <n v="0"/>
    <s v="24AAACO3087C1ZT"/>
    <s v="Kgs"/>
    <n v="39200000"/>
    <s v="Rs."/>
    <n v="1"/>
    <n v="266"/>
  </r>
  <r>
    <s v="14-08-2026"/>
    <s v="Plastene India ltd - Unit 1-Purchase"/>
    <s v="R.M.P."/>
    <s v="RM 526"/>
    <x v="1"/>
    <s v="PIL1/D/1374"/>
    <s v="14-08-2026"/>
    <s v="SF"/>
    <s v="Liners"/>
    <s v="LDPE/LLDPE Bags"/>
    <s v="LLDPE Bags"/>
    <s v="LDPE/LLDPE Bags/Liner"/>
    <n v="3743"/>
    <n v="661986.98"/>
    <s v="LDPE/LLDPE Bags/Liner"/>
    <n v="0"/>
    <n v="9"/>
    <n v="59578.83"/>
    <n v="9"/>
    <n v="59578.83"/>
    <n v="0"/>
    <n v="0"/>
    <n v="0"/>
    <n v="119157.66"/>
    <n v="0"/>
    <s v="24AAACO3087C1ZT"/>
    <s v="Kgs"/>
    <n v="39200000"/>
    <s v="Rs."/>
    <n v="1"/>
    <n v="3743"/>
  </r>
  <r>
    <s v="14-08-2026"/>
    <s v="Plastene India ltd - Unit 1-Purchase"/>
    <s v="R.M.P."/>
    <s v="RM 526"/>
    <x v="1"/>
    <s v="PIL1/D/1374"/>
    <s v="14-08-2026"/>
    <s v="RM Consumables"/>
    <s v="FIBC Accessories"/>
    <s v="FIBC Accessories"/>
    <s v="Stores &amp; Consumables"/>
    <s v="Zip Lock Bags"/>
    <n v="22800"/>
    <n v="75340.320000000007"/>
    <s v="Zip Lock Bags"/>
    <n v="0"/>
    <n v="9"/>
    <n v="6780.63"/>
    <n v="9"/>
    <n v="6780.63"/>
    <n v="0"/>
    <n v="0"/>
    <n v="0"/>
    <n v="13561.26"/>
    <n v="0"/>
    <s v="24AAACO3087C1ZT"/>
    <s v="Pcs"/>
    <n v="39232100"/>
    <s v="Rs."/>
    <n v="1"/>
    <n v="22800"/>
  </r>
  <r>
    <s v="14-08-2026"/>
    <s v="Plastene India ltd - Unit 1-Purchase"/>
    <s v="R.M.P."/>
    <s v="RM 527"/>
    <x v="1"/>
    <s v="PIL1/D/1379"/>
    <s v="14-08-2026"/>
    <s v="SF"/>
    <s v="PP/PE Fabric"/>
    <s v="PP UL Fabric"/>
    <s v="PP Woven Fabric"/>
    <s v="PP UL Fabric With UV"/>
    <n v="1521"/>
    <n v="216468.72"/>
    <s v="PP UL Fabric With UV"/>
    <n v="266114.11"/>
    <n v="9"/>
    <n v="19482.18"/>
    <n v="9"/>
    <n v="19482.18"/>
    <n v="0"/>
    <n v="0"/>
    <n v="0"/>
    <n v="38964.36"/>
    <n v="0"/>
    <s v="24AAACO3087C1ZT"/>
    <s v="Kgs"/>
    <n v="39269080"/>
    <s v="Rs."/>
    <n v="1"/>
    <n v="1521"/>
  </r>
  <r>
    <s v="14-08-2026"/>
    <s v="Plastene India ltd - Unit 1-Purchase"/>
    <s v="R.M.P."/>
    <s v="RM 527"/>
    <x v="1"/>
    <s v="PIL1/D/1379"/>
    <s v="14-08-2026"/>
    <s v="SF"/>
    <s v="Liners"/>
    <s v="LDPE/LLDPE Bags"/>
    <s v="LLDPE Bags"/>
    <s v="LDPE/LLDPE Bags/Liner"/>
    <n v="50"/>
    <n v="9243"/>
    <s v="LDPE/LLDPE Bags/Liner"/>
    <n v="0"/>
    <n v="9"/>
    <n v="831.87"/>
    <n v="9"/>
    <n v="831.87"/>
    <n v="0"/>
    <n v="0"/>
    <n v="0"/>
    <n v="1663.74"/>
    <n v="0"/>
    <s v="24AAACO3087C1ZT"/>
    <s v="Kgs"/>
    <n v="39200000"/>
    <s v="Rs."/>
    <n v="1"/>
    <n v="50"/>
  </r>
  <r>
    <s v="14-08-2026"/>
    <s v="Rajgor Stationery &amp; Computer"/>
    <s v="General Purchase"/>
    <s v="GNCN 356"/>
    <x v="0"/>
    <s v="26-27/000394"/>
    <d v="2026-08-08T00:00:00"/>
    <s v="Consumables"/>
    <s v="Housekeeping Material"/>
    <s v="Spares &amp; Stores"/>
    <s v="Stores &amp; Consumables"/>
    <s v="Supdi Small Size"/>
    <n v="10"/>
    <n v="200"/>
    <s v="Supdi Small Size"/>
    <n v="944"/>
    <n v="9"/>
    <n v="18"/>
    <n v="9"/>
    <n v="18"/>
    <n v="0"/>
    <n v="0"/>
    <n v="0"/>
    <n v="36"/>
    <n v="0"/>
    <s v="24AHMPR2612N1Z1"/>
    <s v="Pcs"/>
    <n v="96031000"/>
    <s v="Rs."/>
    <n v="1"/>
    <n v="0"/>
  </r>
  <r>
    <s v="14-08-2026"/>
    <s v="Rajgor Stationery &amp; Computer"/>
    <s v="General Purchase"/>
    <s v="GNCN 356"/>
    <x v="0"/>
    <s v="26-27/000394"/>
    <d v="2026-08-08T00:00:00"/>
    <s v="Printing &amp; Stationery"/>
    <s v="Stationery Items"/>
    <s v="Spares &amp; Stores"/>
    <s v="Stores &amp; Consumables"/>
    <s v="Paper Clips"/>
    <n v="20"/>
    <n v="600"/>
    <s v="Paper Clips"/>
    <n v="0"/>
    <n v="9"/>
    <n v="54"/>
    <n v="9"/>
    <n v="54"/>
    <n v="0"/>
    <n v="0"/>
    <n v="0"/>
    <n v="108"/>
    <n v="0"/>
    <s v="24AHMPR2612N1Z1"/>
    <s v="Pcs"/>
    <n v="830590"/>
    <s v="Rs."/>
    <n v="1"/>
    <n v="0"/>
  </r>
  <r>
    <s v="14-08-2026"/>
    <s v="Vishal Engineering And Fabricators"/>
    <s v="General Purchase"/>
    <s v="GNSP 149"/>
    <x v="0"/>
    <s v="194/2026-27"/>
    <d v="2026-08-08T00:00:00"/>
    <s v="Stores/Spares"/>
    <s v="Pulley"/>
    <s v="Spares &amp; Stores"/>
    <s v="Stores &amp; Consumables"/>
    <s v="Alu. Timing Pulley 15 Th."/>
    <n v="2"/>
    <n v="2600"/>
    <s v="Alu. Timing Pulley 15 Th."/>
    <n v="3304"/>
    <n v="9"/>
    <n v="234"/>
    <n v="9"/>
    <n v="234"/>
    <n v="0"/>
    <n v="0"/>
    <n v="36"/>
    <n v="504"/>
    <n v="0"/>
    <s v="24AGAPP3885A1ZN"/>
    <s v="Pcs"/>
    <n v="844849"/>
    <s v="Rs."/>
    <n v="1"/>
    <n v="0"/>
  </r>
  <r>
    <s v="15-08-2026"/>
    <s v="Plastene India ltd - Unit 1-Purchase"/>
    <s v="General Purchase"/>
    <s v="GNCN 358"/>
    <x v="0"/>
    <s v="PIL1/D/1382"/>
    <s v="15-08-2026"/>
    <s v="Stores/Spares"/>
    <s v="MS Structure Items"/>
    <s v="Spares &amp; Stores"/>
    <s v="Stores &amp; Consumables"/>
    <s v="MS Pipe 4  C Class"/>
    <n v="246"/>
    <n v="11808"/>
    <s v="MS Pipe 4  C Class"/>
    <n v="13921.63"/>
    <n v="9"/>
    <n v="1062.72"/>
    <n v="9"/>
    <n v="1062.72"/>
    <n v="0"/>
    <n v="0"/>
    <n v="0"/>
    <n v="2125.44"/>
    <n v="0"/>
    <s v="24AAACO3087C1ZT"/>
    <s v="Kgs"/>
    <n v="73063090"/>
    <s v="Rs."/>
    <n v="1"/>
    <n v="0"/>
  </r>
  <r>
    <s v="15-08-2026"/>
    <s v="Plastene India ltd - Unit 1-Purchase"/>
    <s v="R.M.P."/>
    <s v="RM 528"/>
    <x v="1"/>
    <s v="PIL1/D/1383"/>
    <s v="15-08-2026"/>
    <s v="SF"/>
    <s v="Liners"/>
    <s v="LDPE/LLDPE Bags"/>
    <s v="LLDPE Bags"/>
    <s v="LDPE/LLDPE Bags/Liner"/>
    <n v="3769"/>
    <n v="666585.34"/>
    <s v="LDPE/LLDPE Bags/Liner"/>
    <n v="1564096.3"/>
    <n v="9"/>
    <n v="59992.68"/>
    <n v="9"/>
    <n v="59992.68"/>
    <n v="0"/>
    <n v="0"/>
    <n v="0"/>
    <n v="119985.36"/>
    <n v="0"/>
    <s v="24AAACO3087C1ZT"/>
    <s v="Kgs"/>
    <n v="39200000"/>
    <s v="Rs."/>
    <n v="1"/>
    <n v="3769"/>
  </r>
  <r>
    <s v="15-08-2026"/>
    <s v="Plastene India ltd - Unit 1-Purchase"/>
    <s v="R.M.P."/>
    <s v="RM 528"/>
    <x v="1"/>
    <s v="PIL1/D/1383"/>
    <s v="15-08-2026"/>
    <s v="SF"/>
    <s v="PP/PE Fabric"/>
    <s v="PP UL Fabric"/>
    <s v="PP Woven Fabric"/>
    <s v="PP UL Fabric With UV"/>
    <n v="252"/>
    <n v="36368.639999999999"/>
    <s v="PP UL Fabric With UV"/>
    <n v="0"/>
    <n v="9"/>
    <n v="3273.18"/>
    <n v="9"/>
    <n v="3273.18"/>
    <n v="0"/>
    <n v="0"/>
    <n v="0"/>
    <n v="6546.36"/>
    <n v="0"/>
    <s v="24AAACO3087C1ZT"/>
    <s v="Kgs"/>
    <n v="39269080"/>
    <s v="Rs."/>
    <n v="1"/>
    <n v="252"/>
  </r>
  <r>
    <s v="15-08-2026"/>
    <s v="Plastene India ltd - Unit 1-Purchase"/>
    <s v="R.M.P."/>
    <s v="RM 528"/>
    <x v="1"/>
    <s v="PIL1/D/1383"/>
    <s v="15-08-2026"/>
    <s v="SF"/>
    <s v="PP/PE Fabric"/>
    <s v="PP UL Fabric"/>
    <s v="PP Woven Fabric"/>
    <s v="PP UL Fabric With UV"/>
    <n v="570"/>
    <n v="82832.399999999994"/>
    <s v="PP UL Fabric With UV"/>
    <n v="0"/>
    <n v="9"/>
    <n v="7454.92"/>
    <n v="9"/>
    <n v="7454.92"/>
    <n v="0"/>
    <n v="0"/>
    <n v="0"/>
    <n v="14909.84"/>
    <n v="0"/>
    <s v="24AAACO3087C1ZT"/>
    <s v="Kgs"/>
    <n v="39269080"/>
    <s v="Rs."/>
    <n v="1"/>
    <n v="570"/>
  </r>
  <r>
    <s v="15-08-2026"/>
    <s v="Plastene India ltd - Unit 1-Purchase"/>
    <s v="R.M.P."/>
    <s v="RM 528"/>
    <x v="1"/>
    <s v="PIL1/D/1383"/>
    <s v="15-08-2026"/>
    <s v="SF"/>
    <s v="PP/PE Fabric"/>
    <s v="PP UL Fabric"/>
    <s v="PP Woven Fabric"/>
    <s v="PP UL Fabric With UV"/>
    <n v="1536"/>
    <n v="218603.51999999999"/>
    <s v="PP UL Fabric With UV"/>
    <n v="0"/>
    <n v="9"/>
    <n v="19674.32"/>
    <n v="9"/>
    <n v="19674.32"/>
    <n v="0"/>
    <n v="0"/>
    <n v="0"/>
    <n v="39348.639999999999"/>
    <n v="0"/>
    <s v="24AAACO3087C1ZT"/>
    <s v="Kgs"/>
    <n v="39269080"/>
    <s v="Rs."/>
    <n v="1"/>
    <n v="1536"/>
  </r>
  <r>
    <s v="15-08-2026"/>
    <s v="Plastene India ltd - Unit 1-Purchase"/>
    <s v="R.M.P."/>
    <s v="RM 528"/>
    <x v="1"/>
    <s v="PIL1/D/1383"/>
    <s v="15-08-2026"/>
    <s v="SF"/>
    <s v="Webbing"/>
    <s v="PP Webbing"/>
    <s v="PP Webbing"/>
    <s v="Webbing"/>
    <n v="1323.6"/>
    <n v="194992.75"/>
    <s v="Webbing"/>
    <n v="0"/>
    <n v="9"/>
    <n v="17549.349999999999"/>
    <n v="9"/>
    <n v="17549.349999999999"/>
    <n v="0"/>
    <n v="0"/>
    <n v="0"/>
    <n v="35098.699999999997"/>
    <n v="0"/>
    <s v="24AAACO3087C1ZT"/>
    <s v="Kgs"/>
    <n v="3926908"/>
    <s v="Rs."/>
    <n v="1"/>
    <n v="1323.6"/>
  </r>
  <r>
    <s v="15-08-2026"/>
    <s v="Plastene India ltd - Unit 1-Purchase"/>
    <s v="R.M.P."/>
    <s v="RM 528"/>
    <x v="1"/>
    <s v="PIL1/D/1383"/>
    <s v="15-08-2026"/>
    <s v="SF"/>
    <s v="Webbing"/>
    <s v="PP Webbing"/>
    <s v="PP Webbing"/>
    <s v="Webbing"/>
    <n v="881.7"/>
    <n v="127246.94"/>
    <s v="Webbing"/>
    <n v="0"/>
    <n v="9"/>
    <n v="11452.22"/>
    <n v="9"/>
    <n v="11452.22"/>
    <n v="0"/>
    <n v="0"/>
    <n v="0"/>
    <n v="22904.44"/>
    <n v="0"/>
    <s v="24AAACO3087C1ZT"/>
    <s v="Kgs"/>
    <n v="3926908"/>
    <s v="Rs."/>
    <n v="1"/>
    <n v="881.7"/>
  </r>
  <r>
    <s v="15-08-2026"/>
    <s v="Plastene India ltd - Unit 1-Purchase"/>
    <s v="R.M.P."/>
    <s v="RM 529"/>
    <x v="1"/>
    <s v="PIL1/D/1381"/>
    <s v="15-08-2026"/>
    <s v="SF"/>
    <s v="PP/PE Fabric"/>
    <s v="PP UL Fabric"/>
    <s v="PP Woven Fabric"/>
    <s v="PP UL Fabric With UV"/>
    <n v="268"/>
    <n v="38945.760000000002"/>
    <s v="PP UL Fabric With UV"/>
    <n v="1426842.79"/>
    <n v="9"/>
    <n v="3505.12"/>
    <n v="9"/>
    <n v="3505.12"/>
    <n v="0"/>
    <n v="0"/>
    <n v="0"/>
    <n v="7010.24"/>
    <n v="0"/>
    <s v="24AAACO3087C1ZT"/>
    <s v="Kgs"/>
    <n v="39269080"/>
    <s v="Rs."/>
    <n v="1"/>
    <n v="268"/>
  </r>
  <r>
    <s v="15-08-2026"/>
    <s v="Plastene India ltd - Unit 1-Purchase"/>
    <s v="R.M.P."/>
    <s v="RM 529"/>
    <x v="1"/>
    <s v="PIL1/D/1381"/>
    <s v="15-08-2026"/>
    <s v="SF"/>
    <s v="PP/PE Fabric"/>
    <s v="PP UL Fabric"/>
    <s v="PP Woven Fabric"/>
    <s v="PP UL Fabric With UV"/>
    <n v="1454"/>
    <n v="209841.28"/>
    <s v="PP UL Fabric With UV"/>
    <n v="0"/>
    <n v="9"/>
    <n v="18885.72"/>
    <n v="9"/>
    <n v="18885.72"/>
    <n v="0"/>
    <n v="0"/>
    <n v="0"/>
    <n v="37771.440000000002"/>
    <n v="0"/>
    <s v="24AAACO3087C1ZT"/>
    <s v="Kgs"/>
    <n v="39269080"/>
    <s v="Rs."/>
    <n v="1"/>
    <n v="1454"/>
  </r>
  <r>
    <s v="15-08-2026"/>
    <s v="Plastene India ltd - Unit 1-Purchase"/>
    <s v="R.M.P."/>
    <s v="RM 529"/>
    <x v="1"/>
    <s v="PIL1/D/1381"/>
    <s v="15-08-2026"/>
    <s v="SF"/>
    <s v="PP/PE Fabric"/>
    <s v="PP Lam Fabric"/>
    <s v="PP Laminated Woven Fabric"/>
    <s v="PP Lam Fabric With UV"/>
    <n v="526"/>
    <n v="75912.320000000007"/>
    <s v="PP Lam Fabric With UV"/>
    <n v="0"/>
    <n v="9"/>
    <n v="6832.11"/>
    <n v="9"/>
    <n v="6832.11"/>
    <n v="0"/>
    <n v="0"/>
    <n v="0"/>
    <n v="13664.22"/>
    <n v="0"/>
    <s v="24AAACO3087C1ZT"/>
    <s v="Kgs"/>
    <n v="63053300"/>
    <s v="Rs."/>
    <n v="1"/>
    <n v="526"/>
  </r>
  <r>
    <s v="15-08-2026"/>
    <s v="Plastene India ltd - Unit 1-Purchase"/>
    <s v="R.M.P."/>
    <s v="RM 529"/>
    <x v="1"/>
    <s v="PIL1/D/1381"/>
    <s v="15-08-2026"/>
    <s v="SF"/>
    <s v="PP/PE Fabric"/>
    <s v="PP UL Fabric"/>
    <s v="PP Woven Fabric"/>
    <s v="PP UL Fabric With UV"/>
    <n v="6222"/>
    <n v="885515.04"/>
    <s v="PP UL Fabric With UV"/>
    <n v="0"/>
    <n v="9"/>
    <n v="79696.350000000006"/>
    <n v="9"/>
    <n v="79696.350000000006"/>
    <n v="0"/>
    <n v="0"/>
    <n v="0"/>
    <n v="159392.70000000001"/>
    <n v="0"/>
    <s v="24AAACO3087C1ZT"/>
    <s v="Kgs"/>
    <n v="39269080"/>
    <s v="Rs."/>
    <n v="1"/>
    <n v="6222"/>
  </r>
  <r>
    <s v="15-08-2026"/>
    <s v="Plastene India ltd - Unit 1-Purchase"/>
    <s v="R.M.P."/>
    <s v="RM 530"/>
    <x v="1"/>
    <s v="PIL1/D/1389"/>
    <s v="16-08-2026"/>
    <s v="SF"/>
    <s v="Liners"/>
    <s v="LDPE/LLDPE Bags"/>
    <s v="LLDPE Bags"/>
    <s v="LDPE/LLDPE Bags/Liner"/>
    <n v="4681"/>
    <n v="827881.66"/>
    <s v="LDPE/LLDPE Bags/Liner"/>
    <n v="2116820.29"/>
    <n v="9"/>
    <n v="74509.350000000006"/>
    <n v="9"/>
    <n v="74509.350000000006"/>
    <n v="0"/>
    <n v="0"/>
    <n v="0"/>
    <n v="149018.70000000001"/>
    <n v="0"/>
    <s v="24AAACO3087C1ZT"/>
    <s v="Kgs"/>
    <n v="39200000"/>
    <s v="Rs."/>
    <n v="1"/>
    <n v="4681"/>
  </r>
  <r>
    <s v="15-08-2026"/>
    <s v="Plastene India ltd - Unit 1-Purchase"/>
    <s v="R.M.P."/>
    <s v="RM 530"/>
    <x v="1"/>
    <s v="PIL1/D/1389"/>
    <s v="16-08-2026"/>
    <s v="SF"/>
    <s v="PP/PE Fabric"/>
    <s v="PP UL Fabric"/>
    <s v="PP Woven Fabric"/>
    <s v="PP UL Fabric With UV"/>
    <n v="246"/>
    <n v="35502.720000000001"/>
    <s v="PP UL Fabric With UV"/>
    <n v="0"/>
    <n v="9"/>
    <n v="3195.24"/>
    <n v="9"/>
    <n v="3195.24"/>
    <n v="0"/>
    <n v="0"/>
    <n v="0"/>
    <n v="6390.48"/>
    <n v="0"/>
    <s v="24AAACO3087C1ZT"/>
    <s v="Kgs"/>
    <n v="39269080"/>
    <s v="Rs."/>
    <n v="1"/>
    <n v="246"/>
  </r>
  <r>
    <s v="15-08-2026"/>
    <s v="Plastene India ltd - Unit 1-Purchase"/>
    <s v="R.M.P."/>
    <s v="RM 530"/>
    <x v="1"/>
    <s v="PIL1/D/1389"/>
    <s v="16-08-2026"/>
    <s v="SF"/>
    <s v="PP/PE Fabric"/>
    <s v="PP UL Fabric"/>
    <s v="PP Woven Fabric"/>
    <s v="PP UL Fabric With UV"/>
    <n v="2120"/>
    <n v="301718.40000000002"/>
    <s v="PP UL Fabric With UV"/>
    <n v="0"/>
    <n v="9"/>
    <n v="27154.66"/>
    <n v="9"/>
    <n v="27154.66"/>
    <n v="0"/>
    <n v="0"/>
    <n v="0"/>
    <n v="54309.32"/>
    <n v="0"/>
    <s v="24AAACO3087C1ZT"/>
    <s v="Kgs"/>
    <n v="39269080"/>
    <s v="Rs."/>
    <n v="1"/>
    <n v="2120"/>
  </r>
  <r>
    <s v="15-08-2026"/>
    <s v="Plastene India ltd - Unit 1-Purchase"/>
    <s v="R.M.P."/>
    <s v="RM 530"/>
    <x v="1"/>
    <s v="PIL1/D/1389"/>
    <s v="16-08-2026"/>
    <s v="SF"/>
    <s v="PP/PE Fabric"/>
    <s v="PP Lam Fabric"/>
    <s v="PP Laminated Woven Fabric"/>
    <s v="PP Lam Fabric With UV"/>
    <n v="1847"/>
    <n v="275794.03999999998"/>
    <s v="PP Lam Fabric With UV"/>
    <n v="0"/>
    <n v="9"/>
    <n v="24821.46"/>
    <n v="9"/>
    <n v="24821.46"/>
    <n v="0"/>
    <n v="0"/>
    <n v="0"/>
    <n v="49642.92"/>
    <n v="0"/>
    <s v="24AAACO3087C1ZT"/>
    <s v="Kgs"/>
    <n v="63053300"/>
    <s v="Rs."/>
    <n v="1"/>
    <n v="1847"/>
  </r>
  <r>
    <s v="15-08-2026"/>
    <s v="Plastene India ltd - Unit 1-Purchase"/>
    <s v="R.M.P."/>
    <s v="RM 530"/>
    <x v="1"/>
    <s v="PIL1/D/1389"/>
    <s v="16-08-2026"/>
    <s v="SF"/>
    <s v="Webbing"/>
    <s v="PP Webbing"/>
    <s v="PP Webbing"/>
    <s v="Webbing"/>
    <n v="1559.9"/>
    <n v="229804.47"/>
    <s v="Webbing"/>
    <n v="0"/>
    <n v="9"/>
    <n v="20682.400000000001"/>
    <n v="9"/>
    <n v="20682.400000000001"/>
    <n v="0"/>
    <n v="0"/>
    <n v="0"/>
    <n v="41364.800000000003"/>
    <n v="0"/>
    <s v="24AAACO3087C1ZT"/>
    <s v="Kgs"/>
    <n v="3926908"/>
    <s v="Rs."/>
    <n v="1"/>
    <n v="1559.9"/>
  </r>
  <r>
    <s v="15-08-2026"/>
    <s v="Plastene India ltd - Unit 1-Purchase"/>
    <s v="R.M.P."/>
    <s v="RM 530"/>
    <x v="1"/>
    <s v="PIL1/D/1389"/>
    <s v="16-08-2026"/>
    <s v="SF"/>
    <s v="Webbing"/>
    <s v="PP Webbing"/>
    <s v="PP Webbing"/>
    <s v="Webbing"/>
    <n v="864.3"/>
    <n v="124735.78"/>
    <s v="Webbing"/>
    <n v="0"/>
    <n v="9"/>
    <n v="11226.22"/>
    <n v="9"/>
    <n v="11226.22"/>
    <n v="0"/>
    <n v="0"/>
    <n v="0"/>
    <n v="22452.44"/>
    <n v="0"/>
    <s v="24AAACO3087C1ZT"/>
    <s v="Kgs"/>
    <n v="3926908"/>
    <s v="Rs."/>
    <n v="1"/>
    <n v="864.3"/>
  </r>
  <r>
    <s v="16-08-2026"/>
    <s v="Plastene India ltd - Unit 1-Purchase"/>
    <s v="General Purchase"/>
    <s v="GNCN 359"/>
    <x v="0"/>
    <s v="PIL1/D/1388"/>
    <s v="16-08-2026"/>
    <s v="Stores/Spares"/>
    <s v="MS Structure Items"/>
    <s v="Spares &amp; Stores"/>
    <s v="Stores &amp; Consumables"/>
    <s v="MS Pipe 4  C Class"/>
    <n v="325"/>
    <n v="15600"/>
    <s v="MS Pipe 4  C Class"/>
    <n v="18392.400000000001"/>
    <n v="9"/>
    <n v="1404"/>
    <n v="9"/>
    <n v="1404"/>
    <n v="0"/>
    <n v="0"/>
    <n v="0"/>
    <n v="2808"/>
    <n v="0"/>
    <s v="24AAACO3087C1ZT"/>
    <s v="Kgs"/>
    <n v="73063090"/>
    <s v="Rs."/>
    <n v="1"/>
    <n v="0"/>
  </r>
  <r>
    <s v="16-08-2026"/>
    <s v="Plastene India ltd - Unit 1-Purchase"/>
    <s v="R.M.P."/>
    <s v="RM 531"/>
    <x v="1"/>
    <s v="PIL1/D/1387"/>
    <s v="16-08-2026"/>
    <s v="SF"/>
    <s v="PP/PE Fabric"/>
    <s v="PP UL Fabric"/>
    <s v="PP Woven Fabric"/>
    <s v="PP UL Fabric With UV"/>
    <n v="5811"/>
    <n v="827021.52"/>
    <s v="PP UL Fabric With UV"/>
    <n v="1329127.8700000001"/>
    <n v="9"/>
    <n v="74431.94"/>
    <n v="9"/>
    <n v="74431.94"/>
    <n v="0"/>
    <n v="0"/>
    <n v="0"/>
    <n v="148863.88"/>
    <n v="0"/>
    <s v="24AAACO3087C1ZT"/>
    <s v="Kgs"/>
    <n v="39269080"/>
    <s v="Rs."/>
    <n v="1"/>
    <n v="5811"/>
  </r>
  <r>
    <s v="16-08-2026"/>
    <s v="Plastene India ltd - Unit 1-Purchase"/>
    <s v="R.M.P."/>
    <s v="RM 531"/>
    <x v="1"/>
    <s v="PIL1/D/1387"/>
    <s v="16-08-2026"/>
    <s v="SF"/>
    <s v="PP/PE Fabric"/>
    <s v="PP UL Fabric"/>
    <s v="PP Woven Fabric"/>
    <s v="PP UL Fabric With UV"/>
    <n v="1599"/>
    <n v="230767.68"/>
    <s v="PP UL Fabric With UV"/>
    <n v="0"/>
    <n v="9"/>
    <n v="20769.09"/>
    <n v="9"/>
    <n v="20769.09"/>
    <n v="0"/>
    <n v="0"/>
    <n v="0"/>
    <n v="41538.18"/>
    <n v="0"/>
    <s v="24AAACO3087C1ZT"/>
    <s v="Kgs"/>
    <n v="39269080"/>
    <s v="Rs."/>
    <n v="1"/>
    <n v="1599"/>
  </r>
  <r>
    <s v="16-08-2026"/>
    <s v="Plastene India ltd - Unit 1-Purchase"/>
    <s v="R.M.P."/>
    <s v="RM 531"/>
    <x v="1"/>
    <s v="PIL1/D/1387"/>
    <s v="16-08-2026"/>
    <s v="SF"/>
    <s v="PP/PE Fabric"/>
    <s v="PP UL Fabric"/>
    <s v="PP Woven Fabric"/>
    <s v="PP UL Fabric With UV"/>
    <n v="196"/>
    <n v="28482.720000000001"/>
    <s v="PP UL Fabric With UV"/>
    <n v="0"/>
    <n v="9"/>
    <n v="2563.44"/>
    <n v="9"/>
    <n v="2563.44"/>
    <n v="0"/>
    <n v="0"/>
    <n v="0"/>
    <n v="5126.88"/>
    <n v="0"/>
    <s v="24AAACO3087C1ZT"/>
    <s v="Kgs"/>
    <n v="39269080"/>
    <s v="Rs."/>
    <n v="1"/>
    <n v="196"/>
  </r>
  <r>
    <s v="16-08-2026"/>
    <s v="Plastene India ltd - Unit 1-Purchase"/>
    <s v="R.M.P."/>
    <s v="RM 531"/>
    <x v="1"/>
    <s v="PIL1/D/1387"/>
    <s v="16-08-2026"/>
    <s v="SF"/>
    <s v="PP/PE Fabric"/>
    <s v="PP Lam Fabric"/>
    <s v="PP Laminated Woven Fabric"/>
    <s v="PP Lam Fabric With UV"/>
    <n v="275"/>
    <n v="41063"/>
    <s v="PP Lam Fabric With UV"/>
    <n v="0"/>
    <n v="9"/>
    <n v="3695.67"/>
    <n v="9"/>
    <n v="3695.67"/>
    <n v="0"/>
    <n v="0"/>
    <n v="0"/>
    <n v="7391.34"/>
    <n v="0"/>
    <s v="24AAACO3087C1ZT"/>
    <s v="Kgs"/>
    <n v="63053300"/>
    <s v="Rs."/>
    <n v="1"/>
    <n v="275"/>
  </r>
  <r>
    <s v="16-08-2026"/>
    <s v="Vyankatesh Udyog (I) Pvt Ltd - Purchase"/>
    <s v="R.M.P."/>
    <s v="RM 532"/>
    <x v="6"/>
    <s v="1436/26-27"/>
    <d v="2026-09-08T00:00:00"/>
    <s v="RM Consumables"/>
    <s v="Ink"/>
    <s v="Thinner"/>
    <s v="Thinner"/>
    <s v="Thinner Vyankatesh Thinner"/>
    <n v="5100"/>
    <n v="601800"/>
    <s v="Thinner Vyankatesh Thinner"/>
    <n v="710124"/>
    <n v="0"/>
    <n v="0"/>
    <n v="0"/>
    <n v="0"/>
    <n v="18"/>
    <n v="108324"/>
    <n v="0"/>
    <n v="108324"/>
    <n v="0"/>
    <s v="27AAECV8365Q1ZC"/>
    <s v="Kgs"/>
    <n v="38140010"/>
    <s v="Rs."/>
    <n v="1"/>
    <n v="0"/>
  </r>
  <r>
    <s v="17-08-2026"/>
    <s v="Plastene India ltd - Unit 1-Purchase"/>
    <s v="General Purchase"/>
    <s v="GNCN 361"/>
    <x v="0"/>
    <s v="PIL1/D/1402"/>
    <s v="17-08-2026"/>
    <s v="Stores/Spares"/>
    <s v="MS Structure Items"/>
    <s v="Spares &amp; Stores"/>
    <s v="Stores &amp; Consumables"/>
    <s v="MS Pipe 4  C Class"/>
    <n v="257"/>
    <n v="12336"/>
    <s v="MS Pipe 4  C Class"/>
    <n v="14544.14"/>
    <n v="9"/>
    <n v="1110.24"/>
    <n v="9"/>
    <n v="1110.24"/>
    <n v="0"/>
    <n v="0"/>
    <n v="0"/>
    <n v="2220.48"/>
    <n v="0"/>
    <s v="24AAACO3087C1ZT"/>
    <s v="Kgs"/>
    <n v="73063090"/>
    <s v="Rs."/>
    <n v="1"/>
    <n v="0"/>
  </r>
  <r>
    <s v="17-08-2026"/>
    <s v="Plastene India ltd - Unit 1-Purchase"/>
    <s v="R.M.P."/>
    <s v="RM 533"/>
    <x v="1"/>
    <s v="PIL1/D/1398"/>
    <s v="17-08-2026"/>
    <s v="SF"/>
    <s v="PP/PE Fabric"/>
    <s v="PP UL Fabric"/>
    <s v="PP Woven Fabric"/>
    <s v="PP UL Fabric With UV"/>
    <n v="6088"/>
    <n v="866444.16"/>
    <s v="PP UL Fabric With UV"/>
    <n v="1307735.47"/>
    <n v="9"/>
    <n v="77979.97"/>
    <n v="9"/>
    <n v="77979.97"/>
    <n v="0"/>
    <n v="0"/>
    <n v="0"/>
    <n v="155959.94"/>
    <n v="0"/>
    <s v="24AAACO3087C1ZT"/>
    <s v="Kgs"/>
    <n v="39269080"/>
    <s v="Rs."/>
    <n v="1"/>
    <n v="6088"/>
  </r>
  <r>
    <s v="17-08-2026"/>
    <s v="Plastene India ltd - Unit 1-Purchase"/>
    <s v="R.M.P."/>
    <s v="RM 533"/>
    <x v="1"/>
    <s v="PIL1/D/1398"/>
    <s v="17-08-2026"/>
    <s v="SF"/>
    <s v="PP/PE Fabric"/>
    <s v="PP UL Fabric"/>
    <s v="PP Woven Fabric"/>
    <s v="PP UL Fabric With UV"/>
    <n v="1682"/>
    <n v="242746.23999999999"/>
    <s v="PP UL Fabric With UV"/>
    <n v="0"/>
    <n v="9"/>
    <n v="21847.16"/>
    <n v="9"/>
    <n v="21847.16"/>
    <n v="0"/>
    <n v="0"/>
    <n v="0"/>
    <n v="43694.32"/>
    <n v="0"/>
    <s v="24AAACO3087C1ZT"/>
    <s v="Kgs"/>
    <n v="39269080"/>
    <s v="Rs."/>
    <n v="1"/>
    <n v="1682"/>
  </r>
  <r>
    <s v="17-08-2026"/>
    <s v="Plastene India ltd - Unit 1-Purchase"/>
    <s v="R.M.P."/>
    <s v="RM 535"/>
    <x v="1"/>
    <s v="PIL1/D/1399"/>
    <s v="17-08-2026"/>
    <s v="SF"/>
    <s v="PP/PE Fabric"/>
    <s v="PP UL Fabric"/>
    <s v="PP Woven Fabric"/>
    <s v="PP UL Fabric With UV"/>
    <n v="468"/>
    <n v="68009.759999999995"/>
    <s v="PP UL Fabric With UV"/>
    <n v="698596.85"/>
    <n v="9"/>
    <n v="6120.88"/>
    <n v="9"/>
    <n v="6120.88"/>
    <n v="0"/>
    <n v="0"/>
    <n v="0"/>
    <n v="12241.76"/>
    <n v="0"/>
    <s v="24AAACO3087C1ZT"/>
    <s v="Kgs"/>
    <n v="39269080"/>
    <s v="Rs."/>
    <n v="1"/>
    <n v="468"/>
  </r>
  <r>
    <s v="17-08-2026"/>
    <s v="Plastene India ltd - Unit 1-Purchase"/>
    <s v="R.M.P."/>
    <s v="RM 535"/>
    <x v="1"/>
    <s v="PIL1/D/1399"/>
    <s v="17-08-2026"/>
    <s v="SF"/>
    <s v="PP/PE Fabric"/>
    <s v="PP UL Fabric"/>
    <s v="PP Woven Fabric"/>
    <s v="PP UL Fabric With UV"/>
    <n v="3287"/>
    <n v="467805.84"/>
    <s v="PP UL Fabric With UV"/>
    <n v="0"/>
    <n v="9"/>
    <n v="42102.53"/>
    <n v="9"/>
    <n v="42102.53"/>
    <n v="0"/>
    <n v="0"/>
    <n v="0"/>
    <n v="84205.06"/>
    <n v="0"/>
    <s v="24AAACO3087C1ZT"/>
    <s v="Kgs"/>
    <n v="39269080"/>
    <s v="Rs."/>
    <n v="1"/>
    <n v="3287"/>
  </r>
  <r>
    <s v="17-08-2026"/>
    <s v="Plastene India ltd - Unit 1-Purchase"/>
    <s v="R.M.P."/>
    <s v="RM 535"/>
    <x v="1"/>
    <s v="PIL1/D/1399"/>
    <s v="17-08-2026"/>
    <s v="SF"/>
    <s v="PP/PE Fabric"/>
    <s v="PP UL Fabric"/>
    <s v="PP Woven Fabric"/>
    <s v="PP UL Fabric With UV"/>
    <n v="393"/>
    <n v="56717.760000000002"/>
    <s v="PP UL Fabric With UV"/>
    <n v="0"/>
    <n v="9"/>
    <n v="5104.6000000000004"/>
    <n v="9"/>
    <n v="5104.6000000000004"/>
    <n v="0"/>
    <n v="0"/>
    <n v="0"/>
    <n v="10209.200000000001"/>
    <n v="0"/>
    <s v="24AAACO3087C1ZT"/>
    <s v="Kgs"/>
    <n v="39269080"/>
    <s v="Rs."/>
    <n v="1"/>
    <n v="393"/>
  </r>
  <r>
    <s v="17-08-2026"/>
    <s v="Plastene India ltd - Unit 1-Purchase"/>
    <s v="R.M.P."/>
    <s v="RM 536"/>
    <x v="1"/>
    <s v="PIL1/D/1401"/>
    <s v="17-08-2026"/>
    <s v="SF"/>
    <s v="Liners"/>
    <s v="LDPE/LLDPE Bags"/>
    <s v="LLDPE Bags"/>
    <s v="LDPE/LLDPE Bags/Liner"/>
    <n v="3841"/>
    <n v="679319.26"/>
    <s v="LDPE/LLDPE Bags/Liner"/>
    <n v="1264897.95"/>
    <n v="9"/>
    <n v="61138.73"/>
    <n v="9"/>
    <n v="61138.73"/>
    <n v="0"/>
    <n v="0"/>
    <n v="0"/>
    <n v="122277.46"/>
    <n v="0"/>
    <s v="24AAACO3087C1ZT"/>
    <s v="Kgs"/>
    <n v="39200000"/>
    <s v="Rs."/>
    <n v="1"/>
    <n v="3841"/>
  </r>
  <r>
    <s v="17-08-2026"/>
    <s v="Plastene India ltd - Unit 1-Purchase"/>
    <s v="R.M.P."/>
    <s v="RM 536"/>
    <x v="1"/>
    <s v="PIL1/D/1401"/>
    <s v="17-08-2026"/>
    <s v="SF"/>
    <s v="Webbing"/>
    <s v="PP Webbing"/>
    <s v="PP Webbing"/>
    <s v="Webbing"/>
    <n v="1690.4"/>
    <n v="249029.73"/>
    <s v="Webbing"/>
    <n v="0"/>
    <n v="9"/>
    <n v="22412.68"/>
    <n v="9"/>
    <n v="22412.68"/>
    <n v="0"/>
    <n v="0"/>
    <n v="0"/>
    <n v="44825.36"/>
    <n v="0"/>
    <s v="24AAACO3087C1ZT"/>
    <s v="Kgs"/>
    <n v="3926908"/>
    <s v="Rs."/>
    <n v="1"/>
    <n v="1690.4"/>
  </r>
  <r>
    <s v="17-08-2026"/>
    <s v="Plastene India ltd - Unit 1-Purchase"/>
    <s v="R.M.P."/>
    <s v="RM 536"/>
    <x v="1"/>
    <s v="PIL1/D/1401"/>
    <s v="17-08-2026"/>
    <s v="SF"/>
    <s v="Webbing"/>
    <s v="PP Webbing"/>
    <s v="PP Webbing"/>
    <s v="Webbing"/>
    <n v="1001.3"/>
    <n v="144507.62"/>
    <s v="Webbing"/>
    <n v="0"/>
    <n v="9"/>
    <n v="13005.69"/>
    <n v="9"/>
    <n v="13005.69"/>
    <n v="0"/>
    <n v="0"/>
    <n v="0"/>
    <n v="26011.38"/>
    <n v="0"/>
    <s v="24AAACO3087C1ZT"/>
    <s v="Kgs"/>
    <n v="3926908"/>
    <s v="Rs."/>
    <n v="1"/>
    <n v="1001.3"/>
  </r>
  <r>
    <s v="17-08-2026"/>
    <s v="Plastene Polyfilms Ltd-Purchase"/>
    <s v="General Purchase"/>
    <s v="GNCN 360"/>
    <x v="0"/>
    <s v="PPL/D/497"/>
    <s v="16-08-2026"/>
    <s v="Stores/Spares"/>
    <s v="MS Structure Items"/>
    <s v="Spares &amp; Stores"/>
    <s v="Stores &amp; Consumables"/>
    <s v="MS Pipe 4  C Class"/>
    <n v="40"/>
    <n v="1920"/>
    <s v="MS Pipe 4  C Class"/>
    <n v="2263.6799999999998"/>
    <n v="9"/>
    <n v="172.8"/>
    <n v="9"/>
    <n v="172.8"/>
    <n v="0"/>
    <n v="0"/>
    <n v="0"/>
    <n v="345.6"/>
    <n v="0"/>
    <s v="24AAFCP2956A1ZR"/>
    <s v="Kgs"/>
    <n v="73063090"/>
    <s v="Rs."/>
    <n v="1"/>
    <n v="0"/>
  </r>
  <r>
    <s v="17-08-2026"/>
    <s v="Plastene Polyfilms Ltd-Purchase"/>
    <s v="R.M.P."/>
    <s v="RM 534"/>
    <x v="1"/>
    <s v="PPL/D/496"/>
    <s v="16-08-2026"/>
    <s v="SF"/>
    <s v="PP/PE Fabric"/>
    <s v="PP Lam Fabric"/>
    <s v="PP Laminated Woven Fabric"/>
    <s v="PP Lam Fabric With UV"/>
    <n v="457"/>
    <n v="63331.06"/>
    <s v="PP Lam Fabric With UV"/>
    <n v="271587.93"/>
    <n v="9"/>
    <n v="5699.8"/>
    <n v="9"/>
    <n v="5699.8"/>
    <n v="0"/>
    <n v="0"/>
    <n v="0"/>
    <n v="11399.6"/>
    <n v="0"/>
    <s v="24AAFCP2956A1ZR"/>
    <s v="Kgs"/>
    <n v="63053300"/>
    <s v="Rs."/>
    <n v="1"/>
    <n v="457"/>
  </r>
  <r>
    <s v="17-08-2026"/>
    <s v="Plastene Polyfilms Ltd-Purchase"/>
    <s v="R.M.P."/>
    <s v="RM 534"/>
    <x v="1"/>
    <s v="PPL/D/496"/>
    <s v="16-08-2026"/>
    <s v="SF"/>
    <s v="PP/PE Fabric"/>
    <s v="PP Lam Fabric"/>
    <s v="PP Laminated Woven Fabric"/>
    <s v="PP Lam Fabric With UV"/>
    <n v="680"/>
    <n v="93554.4"/>
    <s v="PP Lam Fabric With UV"/>
    <n v="0"/>
    <n v="9"/>
    <n v="8419.9"/>
    <n v="9"/>
    <n v="8419.9"/>
    <n v="0"/>
    <n v="0"/>
    <n v="0"/>
    <n v="16839.8"/>
    <n v="0"/>
    <s v="24AAFCP2956A1ZR"/>
    <s v="Kgs"/>
    <n v="63053300"/>
    <s v="Rs."/>
    <n v="1"/>
    <n v="680"/>
  </r>
  <r>
    <s v="17-08-2026"/>
    <s v="Plastene Polyfilms Ltd-Purchase"/>
    <s v="R.M.P."/>
    <s v="RM 534"/>
    <x v="1"/>
    <s v="PPL/D/496"/>
    <s v="16-08-2026"/>
    <s v="FG"/>
    <s v="FIBC WIP"/>
    <s v="FIBC WIP"/>
    <s v="FIBC WIP"/>
    <s v="PP Woven Fabric"/>
    <n v="550"/>
    <n v="73469"/>
    <s v="FIBC WIP"/>
    <n v="0"/>
    <n v="9"/>
    <n v="6612.21"/>
    <n v="9"/>
    <n v="6612.21"/>
    <n v="0"/>
    <n v="0"/>
    <n v="0"/>
    <n v="13224.42"/>
    <n v="0"/>
    <s v="24AAFCP2956A1ZR"/>
    <s v="Kgs"/>
    <n v="39269080"/>
    <s v="Rs."/>
    <n v="1"/>
    <n v="550"/>
  </r>
  <r>
    <s v="18-08-2026"/>
    <s v="Plastene India ltd - Unit 1-Purchase"/>
    <s v="General Purchase"/>
    <s v="GNCN 362"/>
    <x v="0"/>
    <s v="PIL1/D/1411"/>
    <s v="18-08-2026"/>
    <s v="Stores/Spares"/>
    <s v="MS Structure Items"/>
    <s v="Spares &amp; Stores"/>
    <s v="Stores &amp; Consumables"/>
    <s v="MS Pipe 4  C Class"/>
    <n v="376"/>
    <n v="18048"/>
    <s v="MS Pipe 4  C Class"/>
    <n v="21278.59"/>
    <n v="9"/>
    <n v="1624.32"/>
    <n v="9"/>
    <n v="1624.32"/>
    <n v="0"/>
    <n v="0"/>
    <n v="0"/>
    <n v="3248.64"/>
    <n v="0"/>
    <s v="24AAACO3087C1ZT"/>
    <s v="Kgs"/>
    <n v="73063090"/>
    <s v="Rs."/>
    <n v="1"/>
    <n v="0"/>
  </r>
  <r>
    <s v="18-08-2026"/>
    <s v="Plastene India ltd - Unit 1-Purchase"/>
    <s v="R.M.P."/>
    <s v="RM 537"/>
    <x v="1"/>
    <s v="PIL1/D/1408"/>
    <s v="18-08-2026"/>
    <s v="SF"/>
    <s v="PP/PE Fabric"/>
    <s v="PP UL Fabric"/>
    <s v="PP Woven Fabric"/>
    <s v="PP UL Fabric With UV"/>
    <n v="502"/>
    <n v="72950.64"/>
    <s v="PP UL Fabric With UV"/>
    <n v="3046739.27"/>
    <n v="9"/>
    <n v="6565.56"/>
    <n v="9"/>
    <n v="6565.56"/>
    <n v="0"/>
    <n v="0"/>
    <n v="0"/>
    <n v="13131.12"/>
    <n v="0"/>
    <s v="24AAACO3087C1ZT"/>
    <s v="Kgs"/>
    <n v="39269080"/>
    <s v="Rs."/>
    <n v="1"/>
    <n v="502"/>
  </r>
  <r>
    <s v="18-08-2026"/>
    <s v="Plastene India ltd - Unit 1-Purchase"/>
    <s v="R.M.P."/>
    <s v="RM 537"/>
    <x v="1"/>
    <s v="PIL1/D/1408"/>
    <s v="18-08-2026"/>
    <s v="SF"/>
    <s v="PP/PE Fabric"/>
    <s v="PP UL Fabric"/>
    <s v="PP Woven Fabric"/>
    <s v="PP UL Fabric With UV"/>
    <n v="1931"/>
    <n v="278681.92"/>
    <s v="PP UL Fabric With UV"/>
    <n v="0"/>
    <n v="9"/>
    <n v="25081.37"/>
    <n v="9"/>
    <n v="25081.37"/>
    <n v="0"/>
    <n v="0"/>
    <n v="0"/>
    <n v="50162.74"/>
    <n v="0"/>
    <s v="24AAACO3087C1ZT"/>
    <s v="Kgs"/>
    <n v="39269080"/>
    <s v="Rs."/>
    <n v="1"/>
    <n v="1931"/>
  </r>
  <r>
    <s v="18-08-2026"/>
    <s v="Plastene India ltd - Unit 1-Purchase"/>
    <s v="R.M.P."/>
    <s v="RM 537"/>
    <x v="1"/>
    <s v="PIL1/D/1408"/>
    <s v="18-08-2026"/>
    <s v="SF"/>
    <s v="PP/PE Fabric"/>
    <s v="PP UL Fabric"/>
    <s v="PP Woven Fabric"/>
    <s v="PP UL Fabric With UV"/>
    <n v="13927"/>
    <n v="1982090.64"/>
    <s v="PP UL Fabric With UV"/>
    <n v="0"/>
    <n v="9"/>
    <n v="178388.16"/>
    <n v="9"/>
    <n v="178388.16"/>
    <n v="0"/>
    <n v="0"/>
    <n v="0"/>
    <n v="356776.32"/>
    <n v="0"/>
    <s v="24AAACO3087C1ZT"/>
    <s v="Kgs"/>
    <n v="39269080"/>
    <s v="Rs."/>
    <n v="1"/>
    <n v="13927"/>
  </r>
  <r>
    <s v="18-08-2026"/>
    <s v="Plastene India ltd - Unit 1-Purchase"/>
    <s v="R.M.P."/>
    <s v="RM 537"/>
    <x v="1"/>
    <s v="PIL1/D/1408"/>
    <s v="18-08-2026"/>
    <s v="SF"/>
    <s v="PP/PE Fabric"/>
    <s v="PP Lam Fabric"/>
    <s v="PP Laminated Woven Fabric"/>
    <s v="PP Lam Fabric With UV"/>
    <n v="1300"/>
    <n v="194116"/>
    <s v="PP Lam Fabric With UV"/>
    <n v="0"/>
    <n v="9"/>
    <n v="17470.439999999999"/>
    <n v="9"/>
    <n v="17470.439999999999"/>
    <n v="0"/>
    <n v="0"/>
    <n v="0"/>
    <n v="34940.879999999997"/>
    <n v="0"/>
    <s v="24AAACO3087C1ZT"/>
    <s v="Kgs"/>
    <n v="63053300"/>
    <s v="Rs."/>
    <n v="1"/>
    <n v="1300"/>
  </r>
  <r>
    <s v="18-08-2026"/>
    <s v="Plastene India ltd - Unit 1-Purchase"/>
    <s v="R.M.P."/>
    <s v="RM 537"/>
    <x v="1"/>
    <s v="PIL1/D/1408"/>
    <s v="18-08-2026"/>
    <s v="SF"/>
    <s v="PP/PE Fabric"/>
    <s v="PP Lam Fabric"/>
    <s v="PP Laminated Woven Fabric"/>
    <s v="PP Lam Fabric With UV"/>
    <n v="385"/>
    <n v="56333.2"/>
    <s v="PP Lam Fabric With UV"/>
    <n v="0"/>
    <n v="9"/>
    <n v="5069.99"/>
    <n v="9"/>
    <n v="5069.99"/>
    <n v="0"/>
    <n v="0"/>
    <n v="0"/>
    <n v="10139.98"/>
    <n v="0"/>
    <s v="24AAACO3087C1ZT"/>
    <s v="Kgs"/>
    <n v="63053300"/>
    <s v="Rs."/>
    <n v="1"/>
    <n v="385"/>
  </r>
  <r>
    <s v="18-08-2026"/>
    <s v="Plastene India ltd - Unit 1-Purchase"/>
    <s v="R.M.P."/>
    <s v="RM 538"/>
    <x v="1"/>
    <s v="PIL1/D/1412"/>
    <s v="18-08-2026"/>
    <s v="SF"/>
    <s v="Webbing"/>
    <s v="PP Webbing"/>
    <s v="PP Webbing"/>
    <s v="Webbing"/>
    <n v="1499.1"/>
    <n v="220847.41"/>
    <s v="Webbing"/>
    <n v="799018.64"/>
    <n v="9"/>
    <n v="19876.27"/>
    <n v="9"/>
    <n v="19876.27"/>
    <n v="0"/>
    <n v="0"/>
    <n v="0"/>
    <n v="39752.54"/>
    <n v="0"/>
    <s v="24AAACO3087C1ZT"/>
    <s v="Kgs"/>
    <n v="3926908"/>
    <s v="Rs."/>
    <n v="1"/>
    <n v="1499.1"/>
  </r>
  <r>
    <s v="18-08-2026"/>
    <s v="Plastene India ltd - Unit 1-Purchase"/>
    <s v="R.M.P."/>
    <s v="RM 538"/>
    <x v="1"/>
    <s v="PIL1/D/1412"/>
    <s v="18-08-2026"/>
    <s v="SF"/>
    <s v="Webbing"/>
    <s v="PP Webbing"/>
    <s v="PP Webbing"/>
    <s v="Webbing"/>
    <n v="468.2"/>
    <n v="67570.62"/>
    <s v="Webbing"/>
    <n v="0"/>
    <n v="9"/>
    <n v="6081.36"/>
    <n v="9"/>
    <n v="6081.36"/>
    <n v="0"/>
    <n v="0"/>
    <n v="0"/>
    <n v="12162.72"/>
    <n v="0"/>
    <s v="24AAACO3087C1ZT"/>
    <s v="Kgs"/>
    <n v="3926908"/>
    <s v="Rs."/>
    <n v="1"/>
    <n v="468.2"/>
  </r>
  <r>
    <s v="18-08-2026"/>
    <s v="Plastene India ltd - Unit 1-Purchase"/>
    <s v="R.M.P."/>
    <s v="RM 538"/>
    <x v="1"/>
    <s v="PIL1/D/1412"/>
    <s v="18-08-2026"/>
    <s v="SF"/>
    <s v="Yarn All"/>
    <s v="PP Yarn"/>
    <s v="PP Filament Yarn"/>
    <s v="PP MF Yarn Twisted 3000 Denier UV Deep Blue"/>
    <n v="989.2"/>
    <n v="155620.94"/>
    <s v="PP MF Yarn Twisted 3000 Denier UV Deep Blue"/>
    <n v="0"/>
    <n v="2.5"/>
    <n v="3890.52"/>
    <n v="2.5"/>
    <n v="3890.52"/>
    <n v="0"/>
    <n v="0"/>
    <n v="0"/>
    <n v="7781.04"/>
    <n v="0"/>
    <s v="24AAACO3087C1ZT"/>
    <s v="Kgs"/>
    <n v="54026930"/>
    <s v="Rs."/>
    <n v="1"/>
    <n v="989.2"/>
  </r>
  <r>
    <s v="18-08-2026"/>
    <s v="Plastene India ltd - Unit 1-Purchase"/>
    <s v="R.M.P."/>
    <s v="RM 538"/>
    <x v="1"/>
    <s v="PIL1/D/1412"/>
    <s v="18-08-2026"/>
    <s v="SF"/>
    <s v="Yarn All"/>
    <s v="PP Yarn"/>
    <s v="PP Filament Yarn"/>
    <s v="PP MF Yarn Twisted 3000 Denier UV NW"/>
    <n v="952.2"/>
    <n v="146943.5"/>
    <s v="PP MF Yarn Twisted 3000 Denier UV NW"/>
    <n v="0"/>
    <n v="2.5"/>
    <n v="3673.59"/>
    <n v="2.5"/>
    <n v="3673.59"/>
    <n v="0"/>
    <n v="0"/>
    <n v="0"/>
    <n v="7347.18"/>
    <n v="0"/>
    <s v="24AAACO3087C1ZT"/>
    <s v="Kgs"/>
    <n v="540263"/>
    <s v="Rs."/>
    <n v="1"/>
    <n v="952.2"/>
  </r>
  <r>
    <s v="18-08-2026"/>
    <s v="Plastene India ltd - Unit 1-Purchase"/>
    <s v="R.M.P."/>
    <s v="RM 538"/>
    <x v="1"/>
    <s v="PIL1/D/1412"/>
    <s v="18-08-2026"/>
    <s v="SF"/>
    <s v="Liners"/>
    <s v="LDPE/LLDPE Bags"/>
    <s v="LLDPE Bags"/>
    <s v="LDPE/LLDPE Bags/Liner"/>
    <n v="679"/>
    <n v="120087.94"/>
    <s v="LDPE/LLDPE Bags/Liner"/>
    <n v="0"/>
    <n v="9"/>
    <n v="10807.91"/>
    <n v="9"/>
    <n v="10807.91"/>
    <n v="0"/>
    <n v="0"/>
    <n v="0"/>
    <n v="21615.82"/>
    <n v="0"/>
    <s v="24AAACO3087C1ZT"/>
    <s v="Kgs"/>
    <n v="39200000"/>
    <s v="Rs."/>
    <n v="1"/>
    <n v="679"/>
  </r>
  <r>
    <s v="18-08-2026"/>
    <s v="Plastene Polyfilms Ltd-Purchase"/>
    <s v="General Purchase"/>
    <s v="GNSP 151"/>
    <x v="0"/>
    <s v="PPL/D/510"/>
    <s v="18-08-2026"/>
    <s v="Stores/Spares"/>
    <s v="Stitching Spares"/>
    <s v="Spares &amp; Stores"/>
    <s v="Stores &amp; Consumables"/>
    <s v="Spreader Lever 81313 A"/>
    <n v="1"/>
    <n v="3660"/>
    <s v="Spreader Lever 81313 A"/>
    <n v="3839.34"/>
    <n v="2.5"/>
    <n v="91.5"/>
    <n v="2.5"/>
    <n v="91.5"/>
    <n v="0"/>
    <n v="0"/>
    <n v="0"/>
    <n v="183"/>
    <n v="0"/>
    <s v="24AAFCP2956A1ZR"/>
    <s v="Pcs"/>
    <n v="84529099"/>
    <s v="Rs."/>
    <n v="1"/>
    <n v="0"/>
  </r>
  <r>
    <s v="19-08-2026"/>
    <s v="Alpha Electricals"/>
    <s v="General Purchase"/>
    <s v="GNSP 153"/>
    <x v="0"/>
    <s v="AE-2026-27/0140"/>
    <d v="2026-05-08T00:00:00"/>
    <s v="Stores/Spares"/>
    <s v="Cables/Wires"/>
    <s v="Spares &amp; Stores"/>
    <s v="Stores &amp; Consumables"/>
    <s v="Copper Flexible Cable 1.5 Sq mm x 3 Core"/>
    <n v="100"/>
    <n v="6847"/>
    <s v="Copper Flexible Cable 1.5 Sq mm x 3 Core"/>
    <n v="8079"/>
    <n v="9"/>
    <n v="616.23"/>
    <n v="9"/>
    <n v="616.23"/>
    <n v="0"/>
    <n v="0"/>
    <n v="0"/>
    <n v="1232.46"/>
    <n v="0"/>
    <s v="24HELPS8671K1ZJ"/>
    <s v="MTR"/>
    <n v="854470"/>
    <s v="Rs."/>
    <n v="1"/>
    <n v="0"/>
  </r>
  <r>
    <s v="19-08-2026"/>
    <s v="Bhagwati  Impex"/>
    <s v="General Purchase"/>
    <s v="GNPK 80"/>
    <x v="3"/>
    <s v="BI/26-27/084"/>
    <s v="17-08-2026"/>
    <s v="Packing Material"/>
    <s v="Pallets"/>
    <s v="Pallets"/>
    <s v="Packing Material"/>
    <s v="Pine Wooden Pallet Design Code STD90110"/>
    <n v="150"/>
    <n v="116250"/>
    <s v="Pine Wooden Pallet Design Code STD90110"/>
    <n v="122063"/>
    <n v="2.5"/>
    <n v="2906.25"/>
    <n v="2.5"/>
    <n v="2906.25"/>
    <n v="0"/>
    <n v="0"/>
    <n v="0"/>
    <n v="5812.5"/>
    <n v="0"/>
    <s v="24AXVPT0296P1ZD"/>
    <s v="Pcs"/>
    <n v="44152000"/>
    <s v="Rs."/>
    <n v="1"/>
    <n v="0"/>
  </r>
  <r>
    <s v="19-08-2026"/>
    <s v="Plastene India ltd - Unit 1-Purchase"/>
    <s v="General Purchase"/>
    <s v="GNCN 364"/>
    <x v="0"/>
    <s v="PIL1/D/1420"/>
    <s v="19-08-2026"/>
    <s v="Stores/Spares"/>
    <s v="MS Structure Items"/>
    <s v="Spares &amp; Stores"/>
    <s v="Stores &amp; Consumables"/>
    <s v="MS Pipe 4  C Class"/>
    <n v="263"/>
    <n v="12624"/>
    <s v="MS Pipe 4  C Class"/>
    <n v="14883.7"/>
    <n v="9"/>
    <n v="1136.1600000000001"/>
    <n v="9"/>
    <n v="1136.1600000000001"/>
    <n v="0"/>
    <n v="0"/>
    <n v="0"/>
    <n v="2272.3200000000002"/>
    <n v="0"/>
    <s v="24AAACO3087C1ZT"/>
    <s v="Kgs"/>
    <n v="73063090"/>
    <s v="Rs."/>
    <n v="1"/>
    <n v="0"/>
  </r>
  <r>
    <s v="19-08-2026"/>
    <s v="Plastene India ltd - Unit 1-Purchase"/>
    <s v="R.M.P."/>
    <s v="RM 540"/>
    <x v="1"/>
    <s v="PIL1/D/1417"/>
    <s v="19-08-2026"/>
    <s v="SF"/>
    <s v="PP/PE Fabric"/>
    <s v="PP UL Fabric"/>
    <s v="PP Woven Fabric"/>
    <s v="PP UL Fabric With UV"/>
    <n v="2435"/>
    <n v="351419.2"/>
    <s v="PP UL Fabric With UV"/>
    <n v="1944641.52"/>
    <n v="9"/>
    <n v="31627.73"/>
    <n v="9"/>
    <n v="31627.73"/>
    <n v="0"/>
    <n v="0"/>
    <n v="0"/>
    <n v="63255.46"/>
    <n v="0"/>
    <s v="24AAACO3087C1ZT"/>
    <s v="Kgs"/>
    <n v="39269080"/>
    <s v="Rs."/>
    <n v="1"/>
    <n v="2435"/>
  </r>
  <r>
    <s v="19-08-2026"/>
    <s v="Plastene India ltd - Unit 1-Purchase"/>
    <s v="R.M.P."/>
    <s v="RM 540"/>
    <x v="1"/>
    <s v="PIL1/D/1417"/>
    <s v="19-08-2026"/>
    <s v="SF"/>
    <s v="PP/PE Fabric"/>
    <s v="PP UL Fabric"/>
    <s v="PP Woven Fabric"/>
    <s v="PP UL Fabric With UV"/>
    <n v="529"/>
    <n v="76874.28"/>
    <s v="PP UL Fabric With UV"/>
    <n v="0"/>
    <n v="9"/>
    <n v="6918.69"/>
    <n v="9"/>
    <n v="6918.69"/>
    <n v="0"/>
    <n v="0"/>
    <n v="0"/>
    <n v="13837.38"/>
    <n v="0"/>
    <s v="24AAACO3087C1ZT"/>
    <s v="Kgs"/>
    <n v="39269080"/>
    <s v="Rs."/>
    <n v="1"/>
    <n v="529"/>
  </r>
  <r>
    <s v="19-08-2026"/>
    <s v="Plastene India ltd - Unit 1-Purchase"/>
    <s v="R.M.P."/>
    <s v="RM 540"/>
    <x v="1"/>
    <s v="PIL1/D/1417"/>
    <s v="19-08-2026"/>
    <s v="SF"/>
    <s v="PP/PE Fabric"/>
    <s v="PP UL Fabric"/>
    <s v="PP Woven Fabric"/>
    <s v="PP UL Fabric With UV"/>
    <n v="8580"/>
    <n v="1221105.6000000001"/>
    <s v="PP UL Fabric With UV"/>
    <n v="0"/>
    <n v="9"/>
    <n v="109899.5"/>
    <n v="9"/>
    <n v="109899.5"/>
    <n v="0"/>
    <n v="0"/>
    <n v="0"/>
    <n v="219799"/>
    <n v="0"/>
    <s v="24AAACO3087C1ZT"/>
    <s v="Kgs"/>
    <n v="39269080"/>
    <s v="Rs."/>
    <n v="1"/>
    <n v="8580"/>
  </r>
  <r>
    <s v="19-08-2026"/>
    <s v="Plastene India ltd - Unit 1-Purchase"/>
    <s v="R.M.P."/>
    <s v="RM 541"/>
    <x v="1"/>
    <s v="PIL1/D/1419"/>
    <s v="19-08-2026"/>
    <s v="SF"/>
    <s v="Liners"/>
    <s v="LDPE/LLDPE Bags"/>
    <s v="LLDPE Bags"/>
    <s v="LDPE/LLDPE Bags/Liner"/>
    <n v="3725"/>
    <n v="658803.5"/>
    <s v="LDPE/LLDPE Bags/Liner"/>
    <n v="1103547.5"/>
    <n v="9"/>
    <n v="59292.32"/>
    <n v="9"/>
    <n v="59292.32"/>
    <n v="0"/>
    <n v="0"/>
    <n v="0"/>
    <n v="118584.64"/>
    <n v="0"/>
    <s v="24AAACO3087C1ZT"/>
    <s v="Kgs"/>
    <n v="39200000"/>
    <s v="Rs."/>
    <n v="1"/>
    <n v="3725"/>
  </r>
  <r>
    <s v="19-08-2026"/>
    <s v="Plastene India ltd - Unit 1-Purchase"/>
    <s v="R.M.P."/>
    <s v="RM 541"/>
    <x v="1"/>
    <s v="PIL1/D/1419"/>
    <s v="19-08-2026"/>
    <s v="SF"/>
    <s v="Webbing"/>
    <s v="PP Webbing"/>
    <s v="PP Webbing"/>
    <s v="Webbing"/>
    <n v="421.6"/>
    <n v="60845.31"/>
    <s v="Webbing"/>
    <n v="0"/>
    <n v="9"/>
    <n v="5476.08"/>
    <n v="9"/>
    <n v="5476.08"/>
    <n v="0"/>
    <n v="0"/>
    <n v="0"/>
    <n v="10952.16"/>
    <n v="0"/>
    <s v="24AAACO3087C1ZT"/>
    <s v="Kgs"/>
    <n v="3926908"/>
    <s v="Rs."/>
    <n v="1"/>
    <n v="421.6"/>
  </r>
  <r>
    <s v="19-08-2026"/>
    <s v="Plastene India ltd - Unit 1-Purchase"/>
    <s v="R.M.P."/>
    <s v="RM 541"/>
    <x v="1"/>
    <s v="PIL1/D/1419"/>
    <s v="19-08-2026"/>
    <s v="SF"/>
    <s v="Webbing"/>
    <s v="PP Webbing"/>
    <s v="PP Webbing"/>
    <s v="Webbing"/>
    <n v="1468.6"/>
    <n v="216354.15"/>
    <s v="Webbing"/>
    <n v="0"/>
    <n v="9"/>
    <n v="19471.87"/>
    <n v="9"/>
    <n v="19471.87"/>
    <n v="0"/>
    <n v="0"/>
    <n v="0"/>
    <n v="38943.74"/>
    <n v="0"/>
    <s v="24AAACO3087C1ZT"/>
    <s v="Kgs"/>
    <n v="3926908"/>
    <s v="Rs."/>
    <n v="1"/>
    <n v="1468.6"/>
  </r>
  <r>
    <s v="19-08-2026"/>
    <s v="Plastene Polyfilms Ltd-Purchase"/>
    <s v="General Purchase"/>
    <s v="GNCN 363"/>
    <x v="0"/>
    <s v="PPL/D/518"/>
    <s v="19-08-2026"/>
    <s v="Stores/Spares"/>
    <s v="MS Structure Items"/>
    <s v="Spares &amp; Stores"/>
    <s v="Stores &amp; Consumables"/>
    <s v="MS Pipe 4  C Class"/>
    <n v="52"/>
    <n v="2496"/>
    <s v="MS Pipe 4  C Class"/>
    <n v="2942.78"/>
    <n v="9"/>
    <n v="224.64"/>
    <n v="9"/>
    <n v="224.64"/>
    <n v="0"/>
    <n v="0"/>
    <n v="0"/>
    <n v="449.28"/>
    <n v="0"/>
    <s v="24AAFCP2956A1ZR"/>
    <s v="Kgs"/>
    <n v="73063090"/>
    <s v="Rs."/>
    <n v="1"/>
    <n v="0"/>
  </r>
  <r>
    <s v="19-08-2026"/>
    <s v="Plastene Polyfilms Ltd-Purchase"/>
    <s v="R.M.P."/>
    <s v="RM 539"/>
    <x v="1"/>
    <s v="PPL/D/517"/>
    <s v="19-08-2026"/>
    <s v="SF"/>
    <s v="PP/PE Fabric"/>
    <s v="PP UL Fabric"/>
    <s v="PP Woven Fabric"/>
    <s v="PP UL Fabric With UV"/>
    <n v="947.3"/>
    <n v="126540.33"/>
    <s v="PP UL Fabric With UV"/>
    <n v="168119.89"/>
    <n v="9"/>
    <n v="11388.63"/>
    <n v="9"/>
    <n v="11388.63"/>
    <n v="0"/>
    <n v="0"/>
    <n v="0"/>
    <n v="22777.26"/>
    <n v="0"/>
    <s v="24AAFCP2956A1ZR"/>
    <s v="Kgs"/>
    <n v="39269080"/>
    <s v="Rs."/>
    <n v="1"/>
    <n v="947.3"/>
  </r>
  <r>
    <s v="19-08-2026"/>
    <s v="Plastene Polyfilms Ltd-Purchase"/>
    <s v="R.M.P."/>
    <s v="RM 539"/>
    <x v="1"/>
    <s v="PPL/D/517"/>
    <s v="19-08-2026"/>
    <s v="SF"/>
    <s v="Liners"/>
    <s v="LDPE/LLDPE Bags"/>
    <s v="PE Labels (Kgs)"/>
    <s v="PE Labels (Kgs)"/>
    <n v="65"/>
    <n v="16055"/>
    <s v="PE Labels (Kgs)"/>
    <n v="0"/>
    <n v="9"/>
    <n v="1444.95"/>
    <n v="9"/>
    <n v="1444.95"/>
    <n v="0"/>
    <n v="0"/>
    <n v="0"/>
    <n v="2889.9"/>
    <n v="0"/>
    <s v="24AAFCP2956A1ZR"/>
    <s v="Kgs"/>
    <n v="3920101"/>
    <s v="Rs."/>
    <n v="1"/>
    <n v="65"/>
  </r>
  <r>
    <s v="19-08-2026"/>
    <s v="Rajgor Stationery &amp; Computer"/>
    <s v="General Purchase"/>
    <s v="GNMS 17"/>
    <x v="0"/>
    <s v="26-27/000417"/>
    <s v="14-08-2026"/>
    <s v="Consumables"/>
    <s v="Housekeeping Material"/>
    <s v="Spares &amp; Stores"/>
    <s v="Stores &amp; Consumables"/>
    <s v="Garbage Bag"/>
    <n v="5"/>
    <n v="300"/>
    <s v="Garbage Bag"/>
    <n v="13189"/>
    <n v="9"/>
    <n v="27"/>
    <n v="9"/>
    <n v="27"/>
    <n v="0"/>
    <n v="0"/>
    <n v="0"/>
    <n v="54"/>
    <n v="0"/>
    <s v="24AHMPR2612N1Z1"/>
    <s v="PKT"/>
    <n v="39031990"/>
    <s v="Rs."/>
    <n v="1"/>
    <n v="0"/>
  </r>
  <r>
    <s v="19-08-2026"/>
    <s v="Rajgor Stationery &amp; Computer"/>
    <s v="General Purchase"/>
    <s v="GNMS 17"/>
    <x v="0"/>
    <s v="26-27/000417"/>
    <s v="14-08-2026"/>
    <s v="Printing &amp; Stationery"/>
    <s v="Stationery Items"/>
    <s v="Spares &amp; Stores"/>
    <s v="Stores &amp; Consumables"/>
    <s v="Pencil"/>
    <n v="400"/>
    <n v="1280"/>
    <s v="Pencil"/>
    <n v="0"/>
    <n v="0"/>
    <n v="0"/>
    <n v="0"/>
    <n v="0"/>
    <n v="0"/>
    <n v="0"/>
    <n v="0"/>
    <n v="0"/>
    <n v="0"/>
    <s v="24AHMPR2612N1Z1"/>
    <s v="Pcs"/>
    <n v="84522100"/>
    <s v="Rs."/>
    <n v="1"/>
    <n v="0"/>
  </r>
  <r>
    <s v="19-08-2026"/>
    <s v="Rajgor Stationery &amp; Computer"/>
    <s v="General Purchase"/>
    <s v="GNMS 17"/>
    <x v="0"/>
    <s v="26-27/000417"/>
    <s v="14-08-2026"/>
    <s v="Consumables"/>
    <s v="Consumables"/>
    <s v="Spares &amp; Stores"/>
    <s v="Stores &amp; Consumables"/>
    <s v="Marker Pen CD/DVD/OHP"/>
    <n v="150"/>
    <n v="1050"/>
    <s v="Marker Pen CD/DVD/OHP"/>
    <n v="0"/>
    <n v="9"/>
    <n v="94.5"/>
    <n v="9"/>
    <n v="94.5"/>
    <n v="0"/>
    <n v="0"/>
    <n v="0"/>
    <n v="189"/>
    <n v="0"/>
    <s v="24AHMPR2612N1Z1"/>
    <s v="Pcs"/>
    <n v="96082000"/>
    <s v="Rs."/>
    <n v="1"/>
    <n v="0"/>
  </r>
  <r>
    <s v="19-08-2026"/>
    <s v="Rajgor Stationery &amp; Computer"/>
    <s v="General Purchase"/>
    <s v="GNMS 17"/>
    <x v="0"/>
    <s v="26-27/000417"/>
    <s v="14-08-2026"/>
    <s v="Consumables"/>
    <s v="Housekeeping Material"/>
    <s v="Spares &amp; Stores"/>
    <s v="Stores &amp; Consumables"/>
    <s v="Phenyl (1 Ltr Packing )"/>
    <n v="100"/>
    <n v="2000"/>
    <s v="Phenyl (1 Ltr Packing )"/>
    <n v="0"/>
    <n v="9"/>
    <n v="180"/>
    <n v="9"/>
    <n v="180"/>
    <n v="0"/>
    <n v="0"/>
    <n v="0"/>
    <n v="360"/>
    <n v="0"/>
    <s v="24AHMPR2612N1Z1"/>
    <s v="Ltr"/>
    <n v="340290"/>
    <s v="Rs."/>
    <n v="1"/>
    <n v="0"/>
  </r>
  <r>
    <s v="19-08-2026"/>
    <s v="Rajgor Stationery &amp; Computer"/>
    <s v="General Purchase"/>
    <s v="GNMS 17"/>
    <x v="0"/>
    <s v="26-27/000417"/>
    <s v="14-08-2026"/>
    <s v="Stores/Spares"/>
    <s v="Cutter Blades"/>
    <s v="Spares &amp; Stores"/>
    <s v="Stores &amp; Consumables"/>
    <s v="Alfa Blade"/>
    <n v="500"/>
    <n v="2800"/>
    <s v="Alfa Blade"/>
    <n v="0"/>
    <n v="9"/>
    <n v="252"/>
    <n v="9"/>
    <n v="252"/>
    <n v="0"/>
    <n v="0"/>
    <n v="0"/>
    <n v="504"/>
    <n v="0"/>
    <s v="24AHMPR2612N1Z1"/>
    <s v="Pcs"/>
    <n v="82121010"/>
    <s v="Rs."/>
    <n v="1"/>
    <n v="0"/>
  </r>
  <r>
    <s v="19-08-2026"/>
    <s v="Rajgor Stationery &amp; Computer"/>
    <s v="General Purchase"/>
    <s v="GNMS 17"/>
    <x v="0"/>
    <s v="26-27/000417"/>
    <s v="14-08-2026"/>
    <s v="Printing &amp; Stationery"/>
    <s v="Stationery Items"/>
    <s v="Spares &amp; Stores"/>
    <s v="Stores &amp; Consumables"/>
    <s v="White Chalk              ( Pkt.)"/>
    <n v="5"/>
    <n v="50"/>
    <s v="White Chalk              ( Pkt.)"/>
    <n v="0"/>
    <n v="0"/>
    <n v="0"/>
    <n v="0"/>
    <n v="0"/>
    <n v="0"/>
    <n v="0"/>
    <n v="0"/>
    <n v="0"/>
    <n v="0"/>
    <s v="24AHMPR2612N1Z1"/>
    <s v="Pcs"/>
    <n v="25090000"/>
    <s v="Rs."/>
    <n v="1"/>
    <n v="0"/>
  </r>
  <r>
    <s v="19-08-2026"/>
    <s v="Rajgor Stationery &amp; Computer"/>
    <s v="General Purchase"/>
    <s v="GNMS 17"/>
    <x v="0"/>
    <s v="26-27/000417"/>
    <s v="14-08-2026"/>
    <s v="Printing &amp; Stationery"/>
    <s v="Stationery Items"/>
    <s v="Spares &amp; Stores"/>
    <s v="Stores &amp; Consumables"/>
    <s v="Ball Pen"/>
    <n v="200"/>
    <n v="500"/>
    <s v="Ball Pen"/>
    <n v="0"/>
    <n v="9"/>
    <n v="45"/>
    <n v="9"/>
    <n v="45"/>
    <n v="0"/>
    <n v="0"/>
    <n v="0"/>
    <n v="90"/>
    <n v="0"/>
    <s v="24AHMPR2612N1Z1"/>
    <s v="Pcs"/>
    <n v="960810"/>
    <s v="Rs."/>
    <n v="1"/>
    <n v="0"/>
  </r>
  <r>
    <s v="19-08-2026"/>
    <s v="Rajgor Stationery &amp; Computer"/>
    <s v="General Purchase"/>
    <s v="GNMS 17"/>
    <x v="0"/>
    <s v="26-27/000417"/>
    <s v="14-08-2026"/>
    <s v="Consumables"/>
    <s v="housekeeping Material"/>
    <s v="Spares &amp; Stores"/>
    <s v="Stores &amp; Consumables"/>
    <s v="Acid ( Cleaner )"/>
    <n v="200"/>
    <n v="3400"/>
    <s v="Acid ( Cleaner )"/>
    <n v="0"/>
    <n v="9"/>
    <n v="306"/>
    <n v="9"/>
    <n v="306"/>
    <n v="0"/>
    <n v="0"/>
    <n v="0"/>
    <n v="612"/>
    <n v="0"/>
    <s v="24AHMPR2612N1Z1"/>
    <s v="Ltr"/>
    <n v="340290"/>
    <s v="Rs."/>
    <n v="1"/>
    <n v="0"/>
  </r>
  <r>
    <s v="19-08-2026"/>
    <s v="Rajratan Electricals Pvt Ltd"/>
    <s v="General Purchase"/>
    <s v="GNSP 152"/>
    <x v="0"/>
    <s v="KH-1574-2627"/>
    <d v="2026-03-08T00:00:00"/>
    <s v="Stores/Spares"/>
    <s v="Lights/Fans"/>
    <s v="Spares &amp; Stores"/>
    <s v="Stores &amp; Consumables"/>
    <s v="Led Tube Light , 20 Watt , 3000 Lumens , Corvi Make"/>
    <n v="50"/>
    <n v="4500"/>
    <s v="Led Tube Light , 20 Watt , 3000 Lumens , Corvi Make"/>
    <n v="5310"/>
    <n v="9"/>
    <n v="405"/>
    <n v="9"/>
    <n v="405"/>
    <n v="0"/>
    <n v="0"/>
    <n v="0"/>
    <n v="810"/>
    <n v="0"/>
    <s v="24AAACV3059P1ZZ"/>
    <s v="Pcs"/>
    <n v="940540"/>
    <s v="Rs."/>
    <n v="1"/>
    <n v="0"/>
  </r>
  <r>
    <s v="19-08-2026"/>
    <s v="Vidh Enterprise"/>
    <s v="General Purchase"/>
    <s v="GNMS 18"/>
    <x v="0"/>
    <n v="3921"/>
    <s v="14-08-2026"/>
    <s v="Printing &amp; Stationery"/>
    <s v="Stationery Items"/>
    <s v="Spares &amp; Stores"/>
    <s v="Stores &amp; Consumables"/>
    <s v="Letter Head"/>
    <n v="1000"/>
    <n v="2000"/>
    <s v="Letter Head"/>
    <n v="2360"/>
    <n v="9"/>
    <n v="180"/>
    <n v="9"/>
    <n v="180"/>
    <n v="0"/>
    <n v="0"/>
    <n v="0"/>
    <n v="360"/>
    <n v="0"/>
    <s v="24AJTPP9381R1ZV"/>
    <s v="Pcs"/>
    <n v="482010"/>
    <s v="Rs."/>
    <n v="1"/>
    <n v="0"/>
  </r>
  <r>
    <s v="19-08-2026"/>
    <s v="Vyankatesh Udyog (I) Pvt Ltd - Purchase"/>
    <s v="R.M.P."/>
    <s v="RM 542"/>
    <x v="6"/>
    <s v="1426/26-27"/>
    <d v="2026-08-08T00:00:00"/>
    <s v="RM Consumables"/>
    <s v="Ink"/>
    <s v="Ink"/>
    <s v="Printing Inks"/>
    <s v="Ink Vyankatesh Poly Voilet VLX 873"/>
    <n v="25"/>
    <n v="12500"/>
    <s v="Ink Vyankatesh Poly Voilet VLX 873"/>
    <n v="14750"/>
    <n v="0"/>
    <n v="0"/>
    <n v="0"/>
    <n v="0"/>
    <n v="18"/>
    <n v="2250"/>
    <n v="0"/>
    <n v="2250"/>
    <n v="0"/>
    <s v="27AAECV8365Q1ZC"/>
    <s v="Kgs"/>
    <n v="32151910"/>
    <s v="Rs."/>
    <n v="1"/>
    <n v="0"/>
  </r>
  <r>
    <s v="20-08-2026"/>
    <s v="Alpha Electricals"/>
    <s v="General Purchase"/>
    <s v="GNSP 158"/>
    <x v="0"/>
    <s v="AE/2026-27/0182"/>
    <s v="20-08-2026"/>
    <s v="Stores/Spares"/>
    <s v="Lights/Fans"/>
    <s v="Spares &amp; Stores"/>
    <s v="Stores &amp; Consumables"/>
    <s v="Halogen Lamp 1000 Watt"/>
    <n v="5"/>
    <n v="350"/>
    <s v="Halogen Lamp 1000 Watt"/>
    <n v="7316"/>
    <n v="9"/>
    <n v="31.5"/>
    <n v="9"/>
    <n v="31.5"/>
    <n v="0"/>
    <n v="0"/>
    <n v="0"/>
    <n v="63"/>
    <n v="0"/>
    <s v="24HELPS8671K1ZJ"/>
    <s v="Pcs"/>
    <n v="853921"/>
    <s v="Rs."/>
    <n v="1"/>
    <n v="0"/>
  </r>
  <r>
    <s v="20-08-2026"/>
    <s v="Alpha Electricals"/>
    <s v="General Purchase"/>
    <s v="GNSP 158"/>
    <x v="0"/>
    <s v="AE/2026-27/0182"/>
    <s v="20-08-2026"/>
    <s v="Stores/Spares"/>
    <s v="Electrical Items/Spares"/>
    <s v="Spares &amp; Stores"/>
    <s v="Stores &amp; Consumables"/>
    <s v="Nc Element"/>
    <n v="30"/>
    <n v="900"/>
    <s v="Nc Element"/>
    <n v="0"/>
    <n v="9"/>
    <n v="81"/>
    <n v="9"/>
    <n v="81"/>
    <n v="0"/>
    <n v="0"/>
    <n v="0"/>
    <n v="162"/>
    <n v="0"/>
    <s v="24HELPS8671K1ZJ"/>
    <s v="Pcs"/>
    <n v="853620"/>
    <s v="Rs."/>
    <n v="1"/>
    <n v="0"/>
  </r>
  <r>
    <s v="20-08-2026"/>
    <s v="Alpha Electricals"/>
    <s v="General Purchase"/>
    <s v="GNSP 158"/>
    <x v="0"/>
    <s v="AE/2026-27/0182"/>
    <s v="20-08-2026"/>
    <s v="Stores/Spares"/>
    <s v="Electrical Items/Spares"/>
    <s v="Spares &amp; Stores"/>
    <s v="Stores &amp; Consumables"/>
    <s v="No Contact Element"/>
    <n v="30"/>
    <n v="900"/>
    <s v="No Contact Element"/>
    <n v="0"/>
    <n v="9"/>
    <n v="81"/>
    <n v="9"/>
    <n v="81"/>
    <n v="0"/>
    <n v="0"/>
    <n v="0"/>
    <n v="162"/>
    <n v="0"/>
    <s v="24HELPS8671K1ZJ"/>
    <s v="Pcs"/>
    <n v="853620"/>
    <s v="Rs."/>
    <n v="1"/>
    <n v="0"/>
  </r>
  <r>
    <s v="20-08-2026"/>
    <s v="Alpha Electricals"/>
    <s v="General Purchase"/>
    <s v="GNSP 158"/>
    <x v="0"/>
    <s v="AE/2026-27/0182"/>
    <s v="20-08-2026"/>
    <s v="Stores/Spares"/>
    <s v="Electrical Items/Spares"/>
    <s v="Spares &amp; Stores"/>
    <s v="Stores &amp; Consumables"/>
    <s v="Industrial Male-Female Connector 16Amp Single Phase 3Pin(P+N+E)"/>
    <n v="30"/>
    <n v="4050"/>
    <s v="Industrial Male-Female Connector 16Amp Single Phase 3Pin(P+N+E)"/>
    <n v="0"/>
    <n v="9"/>
    <n v="364.5"/>
    <n v="9"/>
    <n v="364.5"/>
    <n v="0"/>
    <n v="0"/>
    <n v="0"/>
    <n v="729"/>
    <n v="0"/>
    <s v="24HELPS8671K1ZJ"/>
    <s v="SET"/>
    <n v="853690"/>
    <s v="Rs."/>
    <n v="1"/>
    <n v="0"/>
  </r>
  <r>
    <s v="20-08-2026"/>
    <s v="JG Enterprise"/>
    <s v="General Purchase"/>
    <s v="GNSP 157"/>
    <x v="0"/>
    <s v="JGE/0062/26-27"/>
    <s v="19-08-2026"/>
    <s v="Stores/Spares"/>
    <s v="Hardware Items"/>
    <s v="Spares &amp; Stores"/>
    <s v="Stores &amp; Consumables"/>
    <s v="Drill Bit Rcc Size :- 6 mm"/>
    <n v="5"/>
    <n v="400"/>
    <s v="Drill Bit Rcc Size :- 6 mm"/>
    <n v="1455"/>
    <n v="9"/>
    <n v="36"/>
    <n v="9"/>
    <n v="36"/>
    <n v="0"/>
    <n v="0"/>
    <n v="21.6"/>
    <n v="93.6"/>
    <n v="0"/>
    <s v="24CJAPP7399J1ZM"/>
    <s v="Pcs"/>
    <n v="8207500"/>
    <s v="Rs."/>
    <n v="1"/>
    <n v="0"/>
  </r>
  <r>
    <s v="20-08-2026"/>
    <s v="JG Enterprise"/>
    <s v="General Purchase"/>
    <s v="GNSP 157"/>
    <x v="0"/>
    <s v="JGE/0062/26-27"/>
    <s v="19-08-2026"/>
    <s v="Stores/Spares"/>
    <s v="Hardware Items"/>
    <s v="Spares &amp; Stores"/>
    <s v="Stores &amp; Consumables"/>
    <s v="Drill Bit Hss Size :- 14 mm"/>
    <n v="1"/>
    <n v="713.18"/>
    <s v="Drill Bit Hss Size :- 14 mm"/>
    <n v="0"/>
    <n v="9"/>
    <n v="64.19"/>
    <n v="9"/>
    <n v="64.19"/>
    <n v="0"/>
    <n v="0"/>
    <n v="21.6"/>
    <n v="149.97999999999999"/>
    <n v="0"/>
    <s v="24CJAPP7399J1ZM"/>
    <s v="Pcs"/>
    <n v="82079090"/>
    <s v="Rs."/>
    <n v="1"/>
    <n v="0"/>
  </r>
  <r>
    <s v="20-08-2026"/>
    <s v="K.P. Woven Pvt Ltd-Purchase"/>
    <s v="R.M.P."/>
    <s v="RM 543"/>
    <x v="1"/>
    <s v="KPV/D/625"/>
    <s v="19-08-2026"/>
    <s v="SF"/>
    <s v="Yarn All"/>
    <s v="PP Yarn"/>
    <s v="PP Filament Yarn"/>
    <s v="PP Fibrillated Tape Twisted 3200 Black"/>
    <n v="398"/>
    <n v="63441.2"/>
    <s v="PP Fibrillated Tape Twisted 3200 Black"/>
    <n v="66549.820000000007"/>
    <n v="2.5"/>
    <n v="1586.03"/>
    <n v="2.5"/>
    <n v="1586.03"/>
    <n v="0"/>
    <n v="0"/>
    <n v="0"/>
    <n v="3172.06"/>
    <n v="0"/>
    <s v="24AAECK6307M1ZF"/>
    <s v="Kgs"/>
    <n v="5402693"/>
    <s v="Rs."/>
    <n v="1"/>
    <n v="398"/>
  </r>
  <r>
    <s v="20-08-2026"/>
    <s v="Kabra Electricals"/>
    <s v="General Purchase"/>
    <s v="GNSP 155"/>
    <x v="0"/>
    <n v="517"/>
    <s v="13-08-2026"/>
    <s v="Stores/Spares"/>
    <s v="Contactor"/>
    <s v="Spares &amp; Stores"/>
    <s v="Stores &amp; Consumables"/>
    <s v="Contactor 40 A., Coil -240 V.Ac, Tc Make"/>
    <n v="4"/>
    <n v="17600"/>
    <s v="Contactor 40 A., Coil -240 V.Ac, Tc Make"/>
    <n v="42515"/>
    <n v="9"/>
    <n v="1584"/>
    <n v="9"/>
    <n v="1584"/>
    <n v="0"/>
    <n v="0"/>
    <n v="45"/>
    <n v="3213"/>
    <n v="0"/>
    <s v="24ANLPK2335A1ZJ"/>
    <s v="Pcs"/>
    <n v="853690"/>
    <s v="Rs."/>
    <n v="1"/>
    <n v="0"/>
  </r>
  <r>
    <s v="20-08-2026"/>
    <s v="Kabra Electricals"/>
    <s v="General Purchase"/>
    <s v="GNSP 155"/>
    <x v="0"/>
    <n v="517"/>
    <s v="13-08-2026"/>
    <s v="Stores/Spares"/>
    <s v="Contactor"/>
    <s v="Spares &amp; Stores"/>
    <s v="Stores &amp; Consumables"/>
    <s v="Contactor 63 Amp, Coil 220 V Ac"/>
    <n v="2"/>
    <n v="13000"/>
    <s v="Contactor 63 Amp, Coil 220 V Ac"/>
    <n v="0"/>
    <n v="9"/>
    <n v="1170"/>
    <n v="9"/>
    <n v="1170"/>
    <n v="0"/>
    <n v="0"/>
    <n v="45"/>
    <n v="2385"/>
    <n v="0"/>
    <s v="24ANLPK2335A1ZJ"/>
    <s v="Pcs"/>
    <n v="853650"/>
    <s v="Rs."/>
    <n v="1"/>
    <n v="0"/>
  </r>
  <r>
    <s v="20-08-2026"/>
    <s v="Kabra Electricals"/>
    <s v="General Purchase"/>
    <s v="GNSP 155"/>
    <x v="0"/>
    <n v="517"/>
    <s v="13-08-2026"/>
    <s v="Stores/Spares"/>
    <s v="Relay"/>
    <s v="Spares &amp; Stores"/>
    <s v="Stores &amp; Consumables"/>
    <s v="Over Load Relay Range 20-33 Amp. Thermal  Mn-5"/>
    <n v="2"/>
    <n v="5180"/>
    <s v="Over Load Relay Range 20-33 Amp. Thermal  Mn-5"/>
    <n v="0"/>
    <n v="9"/>
    <n v="466.2"/>
    <n v="9"/>
    <n v="466.2"/>
    <n v="0"/>
    <n v="0"/>
    <n v="45"/>
    <n v="977.4"/>
    <n v="0"/>
    <s v="24ANLPK2335A1ZJ"/>
    <s v="Pcs"/>
    <n v="85364900"/>
    <s v="Rs."/>
    <n v="1"/>
    <n v="0"/>
  </r>
  <r>
    <s v="20-08-2026"/>
    <s v="Kishan Traders - Gandhidham"/>
    <s v="General Purchase"/>
    <s v="GNSP 159"/>
    <x v="0"/>
    <n v="66262702375"/>
    <s v="20-08-2026"/>
    <s v="Consumables"/>
    <s v="Oil Seal"/>
    <s v="Spares &amp; Stores"/>
    <s v="Stores &amp; Consumables"/>
    <s v="Seal Kit  ( As Per Sample) For R.P. Plant Bell Press M/C)"/>
    <n v="1"/>
    <n v="1850"/>
    <s v="Seal Kit  ( As Per Sample) For R.P. Plant Bell Press M/C)"/>
    <n v="2183"/>
    <n v="9"/>
    <n v="166.5"/>
    <n v="9"/>
    <n v="166.5"/>
    <n v="0"/>
    <n v="0"/>
    <n v="0"/>
    <n v="333"/>
    <n v="0"/>
    <s v="24AANFK5438R1ZK"/>
    <s v="SET"/>
    <n v="392610"/>
    <s v="Rs."/>
    <n v="1"/>
    <n v="0"/>
  </r>
  <r>
    <s v="20-08-2026"/>
    <s v="Lohia Corp Limited - 24AAKCK2932Q1Z2 - Guj"/>
    <s v="General Purchase"/>
    <s v="GNSP 156"/>
    <x v="0"/>
    <s v="TG2426105700"/>
    <d v="2026-11-08T00:00:00"/>
    <s v="Stores/Spares"/>
    <s v="Circular Loom Spares"/>
    <s v="Spares &amp; Stores"/>
    <s v="Stores &amp; Consumables"/>
    <s v="Ruuber Emery 4&quot; 100 ( For Hdp )"/>
    <n v="100"/>
    <n v="12000"/>
    <s v="Ruuber Emery 4&quot; 100 ( For Hdp )"/>
    <n v="12579"/>
    <n v="2.5"/>
    <n v="300"/>
    <n v="2.5"/>
    <n v="300"/>
    <n v="0"/>
    <n v="0"/>
    <n v="0"/>
    <n v="600"/>
    <n v="0"/>
    <s v="24AAKCK2932Q1Z2"/>
    <s v="MTR"/>
    <n v="59119090"/>
    <s v="Rs."/>
    <n v="1"/>
    <n v="0"/>
  </r>
  <r>
    <s v="20-08-2026"/>
    <s v="Panchvati Tools Co."/>
    <s v="General Purchase"/>
    <s v="GNSP 154"/>
    <x v="0"/>
    <n v="1497"/>
    <s v="14-08-2026"/>
    <s v="Stores/Spares"/>
    <s v="Hardware Items"/>
    <s v="Spares &amp; Stores"/>
    <s v="Stores &amp; Consumables"/>
    <s v="Tap Set 5X0.8"/>
    <n v="1"/>
    <n v="691.5"/>
    <s v="Tap Set 5X0.8"/>
    <n v="4133"/>
    <n v="9"/>
    <n v="62.24"/>
    <n v="9"/>
    <n v="62.24"/>
    <n v="0"/>
    <n v="0"/>
    <n v="0"/>
    <n v="124.48"/>
    <n v="0"/>
    <s v="24ABVPP9097Q1Z7"/>
    <s v="Pcs"/>
    <n v="82079090"/>
    <s v="Rs."/>
    <n v="1"/>
    <n v="0"/>
  </r>
  <r>
    <s v="20-08-2026"/>
    <s v="Panchvati Tools Co."/>
    <s v="General Purchase"/>
    <s v="GNSP 154"/>
    <x v="0"/>
    <n v="1497"/>
    <s v="14-08-2026"/>
    <s v="Stores/Spares"/>
    <s v="Hardware Items"/>
    <s v="Spares &amp; Stores"/>
    <s v="Stores &amp; Consumables"/>
    <s v="Tap Set 6.0 mm ToteMS Make"/>
    <n v="1"/>
    <n v="691.5"/>
    <s v="Tap Set 6.0 mm ToteMS Make"/>
    <n v="0"/>
    <n v="9"/>
    <n v="62.24"/>
    <n v="9"/>
    <n v="62.24"/>
    <n v="0"/>
    <n v="0"/>
    <n v="0"/>
    <n v="124.48"/>
    <n v="0"/>
    <s v="24ABVPP9097Q1Z7"/>
    <s v="Pcs"/>
    <n v="8207909"/>
    <s v="Rs."/>
    <n v="1"/>
    <n v="0"/>
  </r>
  <r>
    <s v="20-08-2026"/>
    <s v="Panchvati Tools Co."/>
    <s v="General Purchase"/>
    <s v="GNSP 154"/>
    <x v="0"/>
    <n v="1497"/>
    <s v="14-08-2026"/>
    <s v="Stores/Spares"/>
    <s v="Hardware Items"/>
    <s v="Spares &amp; Stores"/>
    <s v="Stores &amp; Consumables"/>
    <s v="Tap Set 8mm"/>
    <n v="1"/>
    <n v="832.5"/>
    <s v="Tap Set 8mm"/>
    <n v="0"/>
    <n v="9"/>
    <n v="74.92"/>
    <n v="9"/>
    <n v="74.92"/>
    <n v="0"/>
    <n v="0"/>
    <n v="0"/>
    <n v="149.84"/>
    <n v="0"/>
    <s v="24ABVPP9097Q1Z7"/>
    <s v="Pcs"/>
    <n v="8207909"/>
    <s v="Rs."/>
    <n v="1"/>
    <n v="0"/>
  </r>
  <r>
    <s v="20-08-2026"/>
    <s v="Panchvati Tools Co."/>
    <s v="General Purchase"/>
    <s v="GNSP 154"/>
    <x v="0"/>
    <n v="1497"/>
    <s v="14-08-2026"/>
    <s v="Stores/Spares"/>
    <s v="Hardware Items"/>
    <s v="Spares &amp; Stores"/>
    <s v="Stores &amp; Consumables"/>
    <s v="Tap Set 3mm"/>
    <n v="1"/>
    <n v="643.5"/>
    <s v="Tap Set 3mm"/>
    <n v="0"/>
    <n v="9"/>
    <n v="57.92"/>
    <n v="9"/>
    <n v="57.92"/>
    <n v="0"/>
    <n v="0"/>
    <n v="0"/>
    <n v="115.84"/>
    <n v="0"/>
    <s v="24ABVPP9097Q1Z7"/>
    <s v="SET"/>
    <n v="73181500"/>
    <s v="Rs."/>
    <n v="1"/>
    <n v="0"/>
  </r>
  <r>
    <s v="20-08-2026"/>
    <s v="Panchvati Tools Co."/>
    <s v="General Purchase"/>
    <s v="GNSP 154"/>
    <x v="0"/>
    <n v="1497"/>
    <s v="14-08-2026"/>
    <s v="Stores/Spares"/>
    <s v="Hardware Items"/>
    <s v="Spares &amp; Stores"/>
    <s v="Stores &amp; Consumables"/>
    <s v="Tap Set 4mm"/>
    <n v="1"/>
    <n v="643.5"/>
    <s v="Tap Set 4mm"/>
    <n v="0"/>
    <n v="9"/>
    <n v="57.92"/>
    <n v="9"/>
    <n v="57.92"/>
    <n v="0"/>
    <n v="0"/>
    <n v="0"/>
    <n v="115.84"/>
    <n v="0"/>
    <s v="24ABVPP9097Q1Z7"/>
    <s v="SET"/>
    <n v="73181500"/>
    <s v="Rs."/>
    <n v="1"/>
    <n v="0"/>
  </r>
  <r>
    <s v="20-08-2026"/>
    <s v="Plastene India ltd - Unit 1-Purchase"/>
    <s v="General Purchase"/>
    <s v="GNCN 365"/>
    <x v="0"/>
    <s v="PIL1/D/1432"/>
    <s v="20-08-2026"/>
    <s v="Stores/Spares"/>
    <s v="MS Structure Items"/>
    <s v="Spares &amp; Stores"/>
    <s v="Stores &amp; Consumables"/>
    <s v="MS Pipe 4  C Class"/>
    <n v="324"/>
    <n v="15552"/>
    <s v="MS Pipe 4  C Class"/>
    <n v="18335.810000000001"/>
    <n v="9"/>
    <n v="1399.68"/>
    <n v="9"/>
    <n v="1399.68"/>
    <n v="0"/>
    <n v="0"/>
    <n v="0"/>
    <n v="2799.36"/>
    <n v="0"/>
    <s v="24AAACO3087C1ZT"/>
    <s v="Kgs"/>
    <n v="73063090"/>
    <s v="Rs."/>
    <n v="1"/>
    <n v="0"/>
  </r>
  <r>
    <s v="20-08-2026"/>
    <s v="Plastene India ltd - Unit 1-Purchase"/>
    <s v="Purchase"/>
    <s v="GNPK 82"/>
    <x v="3"/>
    <s v="PIL1/D/1431"/>
    <s v="20-08-2026"/>
    <s v="Packing Material"/>
    <s v="Packaging Material"/>
    <s v="Packing Material"/>
    <s v="Packing Material"/>
    <s v="Plastic Packing Material"/>
    <n v="100"/>
    <n v="1200"/>
    <s v="Plastic Packing Material-Lamination Patti"/>
    <n v="1444.32"/>
    <n v="9"/>
    <n v="108"/>
    <n v="9"/>
    <n v="108"/>
    <n v="0"/>
    <n v="0"/>
    <n v="0"/>
    <n v="216"/>
    <n v="0"/>
    <s v="24AAACO3087C1ZT"/>
    <s v="Kgs"/>
    <n v="392390"/>
    <s v="Rs."/>
    <n v="1"/>
    <n v="0"/>
  </r>
  <r>
    <s v="20-08-2026"/>
    <s v="Plastene India ltd - Unit 1-Purchase"/>
    <s v="R.M.P."/>
    <s v="RM 544"/>
    <x v="1"/>
    <s v="PIL1/D/1430"/>
    <s v="20-08-2026"/>
    <s v="SF"/>
    <s v="PP/PE Fabric"/>
    <s v="PP UL Fabric"/>
    <s v="PP Woven Fabric"/>
    <s v="PP UL Fabric With UV"/>
    <n v="10657"/>
    <n v="1516704.24"/>
    <s v="PP UL Fabric With UV"/>
    <n v="2148683.92"/>
    <n v="9"/>
    <n v="136503.38"/>
    <n v="9"/>
    <n v="136503.38"/>
    <n v="0"/>
    <n v="0"/>
    <n v="0"/>
    <n v="273006.76"/>
    <n v="0"/>
    <s v="24AAACO3087C1ZT"/>
    <s v="Kgs"/>
    <n v="39269080"/>
    <s v="Rs."/>
    <n v="1"/>
    <n v="10657"/>
  </r>
  <r>
    <s v="20-08-2026"/>
    <s v="Plastene India ltd - Unit 1-Purchase"/>
    <s v="R.M.P."/>
    <s v="RM 544"/>
    <x v="1"/>
    <s v="PIL1/D/1430"/>
    <s v="20-08-2026"/>
    <s v="SF"/>
    <s v="PP/PE Fabric"/>
    <s v="PP UL Fabric"/>
    <s v="PP Woven Fabric"/>
    <s v="PP UL Fabric With UV"/>
    <n v="1593"/>
    <n v="229901.76"/>
    <s v="PP UL Fabric With UV"/>
    <n v="0"/>
    <n v="9"/>
    <n v="20691.16"/>
    <n v="9"/>
    <n v="20691.16"/>
    <n v="0"/>
    <n v="0"/>
    <n v="0"/>
    <n v="41382.32"/>
    <n v="0"/>
    <s v="24AAACO3087C1ZT"/>
    <s v="Kgs"/>
    <n v="39269080"/>
    <s v="Rs."/>
    <n v="1"/>
    <n v="1593"/>
  </r>
  <r>
    <s v="20-08-2026"/>
    <s v="Plastene India ltd - Unit 1-Purchase"/>
    <s v="R.M.P."/>
    <s v="RM 544"/>
    <x v="1"/>
    <s v="PIL1/D/1430"/>
    <s v="20-08-2026"/>
    <s v="SF"/>
    <s v="PP/PE Fabric"/>
    <s v="PP UL Fabric"/>
    <s v="PP Woven Fabric"/>
    <s v="PP UL Fabric With UV"/>
    <n v="522"/>
    <n v="75857.039999999994"/>
    <s v="PP UL Fabric With UV"/>
    <n v="0"/>
    <n v="9"/>
    <n v="6827.13"/>
    <n v="9"/>
    <n v="6827.13"/>
    <n v="0"/>
    <n v="0"/>
    <n v="0"/>
    <n v="13654.26"/>
    <n v="0"/>
    <s v="24AAACO3087C1ZT"/>
    <s v="Kgs"/>
    <n v="39269080"/>
    <s v="Rs."/>
    <n v="1"/>
    <n v="522"/>
  </r>
  <r>
    <s v="20-08-2026"/>
    <s v="Plastene India ltd - Unit 1-Purchase"/>
    <s v="R.M.P."/>
    <s v="RM 545"/>
    <x v="1"/>
    <s v="PIL1/D/1433"/>
    <s v="20-08-2026"/>
    <s v="SF"/>
    <s v="Yarn All"/>
    <s v="PP Yarn"/>
    <s v="PP Filament Yarn"/>
    <s v="PP MF Yarn Twisted 3000 Denier UV NW"/>
    <n v="971.7"/>
    <n v="149952.74"/>
    <s v="PP MF Yarn Twisted 3000 Denier UV NW"/>
    <n v="428094.13"/>
    <n v="2.5"/>
    <n v="3748.82"/>
    <n v="2.5"/>
    <n v="3748.82"/>
    <n v="0"/>
    <n v="0"/>
    <n v="0"/>
    <n v="7497.64"/>
    <n v="0"/>
    <s v="24AAACO3087C1ZT"/>
    <s v="Kgs"/>
    <n v="540263"/>
    <s v="Rs."/>
    <n v="1"/>
    <n v="971.7"/>
  </r>
  <r>
    <s v="20-08-2026"/>
    <s v="Plastene India ltd - Unit 1-Purchase"/>
    <s v="R.M.P."/>
    <s v="RM 545"/>
    <x v="1"/>
    <s v="PIL1/D/1433"/>
    <s v="20-08-2026"/>
    <s v="SF"/>
    <s v="Webbing"/>
    <s v="PP Webbing"/>
    <s v="PP Webbing"/>
    <s v="Webbing"/>
    <n v="999.4"/>
    <n v="147231.60999999999"/>
    <s v="Webbing"/>
    <n v="0"/>
    <n v="9"/>
    <n v="13250.84"/>
    <n v="9"/>
    <n v="13250.84"/>
    <n v="0"/>
    <n v="0"/>
    <n v="0"/>
    <n v="26501.68"/>
    <n v="0"/>
    <s v="24AAACO3087C1ZT"/>
    <s v="Kgs"/>
    <n v="3926908"/>
    <s v="Rs."/>
    <n v="1"/>
    <n v="999.4"/>
  </r>
  <r>
    <s v="20-08-2026"/>
    <s v="Plastene India ltd - Unit 1-Purchase"/>
    <s v="R.M.P."/>
    <s v="RM 545"/>
    <x v="1"/>
    <s v="PIL1/D/1433"/>
    <s v="20-08-2026"/>
    <s v="SF"/>
    <s v="Webbing"/>
    <s v="PP Webbing"/>
    <s v="PP Webbing"/>
    <s v="Webbing"/>
    <n v="118.1"/>
    <n v="17044.189999999999"/>
    <s v="Webbing"/>
    <n v="0"/>
    <n v="9"/>
    <n v="1533.98"/>
    <n v="9"/>
    <n v="1533.98"/>
    <n v="0"/>
    <n v="0"/>
    <n v="0"/>
    <n v="3067.96"/>
    <n v="0"/>
    <s v="24AAACO3087C1ZT"/>
    <s v="Kgs"/>
    <n v="3926908"/>
    <s v="Rs."/>
    <n v="1"/>
    <n v="118.1"/>
  </r>
  <r>
    <s v="20-08-2026"/>
    <s v="Plastene India ltd - Unit 1-Purchase"/>
    <s v="R.M.P."/>
    <s v="RM 545"/>
    <x v="1"/>
    <s v="PIL1/D/1433"/>
    <s v="20-08-2026"/>
    <s v="SF"/>
    <s v="PP/PE Fabric"/>
    <s v="PP Lam Fabric"/>
    <s v="PP Laminated Woven Fabric"/>
    <s v="PP Lam Fabric With UV"/>
    <n v="447"/>
    <n v="65405.04"/>
    <s v="PP Lam Fabric With UV"/>
    <n v="0"/>
    <n v="9"/>
    <n v="5886.45"/>
    <n v="9"/>
    <n v="5886.45"/>
    <n v="0"/>
    <n v="0"/>
    <n v="0"/>
    <n v="11772.9"/>
    <n v="0"/>
    <s v="24AAACO3087C1ZT"/>
    <s v="Kgs"/>
    <n v="63053300"/>
    <s v="Rs."/>
    <n v="1"/>
    <n v="447"/>
  </r>
  <r>
    <s v="20-08-2026"/>
    <s v="Plastene India ltd - Unit 1-Purchase"/>
    <s v="R.M.P."/>
    <s v="RM 546"/>
    <x v="1"/>
    <s v="PIL1/D/1437"/>
    <s v="20-08-2026"/>
    <s v="SF"/>
    <s v="Liners"/>
    <s v="LDPE/LLDPE Bags"/>
    <s v="LLDPE Bags"/>
    <s v="LDPE/LLDPE Bags/Liner"/>
    <n v="7472"/>
    <n v="1321497.92"/>
    <s v="LDPE/LLDPE Bags/Liner"/>
    <n v="1558046.04"/>
    <n v="9"/>
    <n v="118934.81"/>
    <n v="9"/>
    <n v="118934.81"/>
    <n v="0"/>
    <n v="0"/>
    <n v="0"/>
    <n v="237869.62"/>
    <n v="0"/>
    <s v="24AAACO3087C1ZT"/>
    <s v="Kgs"/>
    <n v="39200000"/>
    <s v="Rs."/>
    <n v="1"/>
    <n v="7472"/>
  </r>
  <r>
    <s v="20-08-2026"/>
    <s v="Shiv Shakti Enterprise"/>
    <s v="Purchase"/>
    <s v="GNPK 81"/>
    <x v="3"/>
    <s v="SSE/2026-27/1104"/>
    <d v="2026-10-08T00:00:00"/>
    <s v="Packing Material"/>
    <s v="Pallets"/>
    <s v="Packing Material"/>
    <s v="Packing Material"/>
    <s v="Wooden Pallet Flate Size 85X105Cm"/>
    <n v="30"/>
    <n v="18000"/>
    <s v="Wooden Pallet Flate Size 85X105Cm"/>
    <n v="227588"/>
    <n v="2.5"/>
    <n v="450"/>
    <n v="2.5"/>
    <n v="450"/>
    <n v="0"/>
    <n v="0"/>
    <n v="0"/>
    <n v="900"/>
    <n v="0"/>
    <s v="24AIEPG9602Q1ZZ"/>
    <s v="Pcs"/>
    <n v="44152000"/>
    <s v="Rs."/>
    <n v="1"/>
    <n v="0"/>
  </r>
  <r>
    <s v="20-08-2026"/>
    <s v="Shiv Shakti Enterprise"/>
    <s v="Purchase"/>
    <s v="GNPK 81"/>
    <x v="3"/>
    <s v="SSE/2026-27/1104"/>
    <d v="2026-10-08T00:00:00"/>
    <s v="Packing Material"/>
    <s v="Pallets"/>
    <s v="Pallets"/>
    <s v="Packing Material"/>
    <s v="Pine Wooden Pallet Design Code STD90110"/>
    <n v="100"/>
    <n v="81500"/>
    <s v="Pine Wooden Pallet Design Code STD90110"/>
    <n v="0"/>
    <n v="2.5"/>
    <n v="2037.5"/>
    <n v="2.5"/>
    <n v="2037.5"/>
    <n v="0"/>
    <n v="0"/>
    <n v="0"/>
    <n v="4075"/>
    <n v="0"/>
    <s v="24AIEPG9602Q1ZZ"/>
    <s v="Pcs"/>
    <n v="44152000"/>
    <s v="Rs."/>
    <n v="1"/>
    <n v="0"/>
  </r>
  <r>
    <s v="20-08-2026"/>
    <s v="Shiv Shakti Enterprise"/>
    <s v="Purchase"/>
    <s v="GNPK 81"/>
    <x v="3"/>
    <s v="SSE/2026-27/1104"/>
    <d v="2026-10-08T00:00:00"/>
    <s v="Packing Material"/>
    <s v="Pallets"/>
    <s v="Pallets"/>
    <s v="Packing Material"/>
    <s v="Pine Wooden Pallet Design Code TPG90115"/>
    <n v="50"/>
    <n v="40750"/>
    <s v="Pine Wooden Pallet Design Code TPG90115"/>
    <n v="0"/>
    <n v="2.5"/>
    <n v="1018.75"/>
    <n v="2.5"/>
    <n v="1018.75"/>
    <n v="0"/>
    <n v="0"/>
    <n v="0"/>
    <n v="2037.5"/>
    <n v="0"/>
    <s v="24AIEPG9602Q1ZZ"/>
    <s v="Pcs"/>
    <n v="44152000"/>
    <s v="Rs."/>
    <n v="1"/>
    <n v="0"/>
  </r>
  <r>
    <s v="20-08-2026"/>
    <s v="Shiv Shakti Enterprise"/>
    <s v="Purchase"/>
    <s v="GNPK 81"/>
    <x v="3"/>
    <s v="SSE/2026-27/1104"/>
    <d v="2026-10-08T00:00:00"/>
    <s v="Packing Material"/>
    <s v="Pallets"/>
    <s v="Pallets"/>
    <s v="Packing Material"/>
    <s v="Pine Wooden Pallet Design Code QP90110"/>
    <n v="100"/>
    <n v="76500"/>
    <s v="Pine Wooden Pallet Design Code QP90110"/>
    <n v="0"/>
    <n v="2.5"/>
    <n v="1912.5"/>
    <n v="2.5"/>
    <n v="1912.5"/>
    <n v="0"/>
    <n v="0"/>
    <n v="0"/>
    <n v="3825"/>
    <n v="0"/>
    <s v="24AIEPG9602Q1ZZ"/>
    <s v="Pcs"/>
    <n v="44152000"/>
    <s v="Rs."/>
    <n v="1"/>
    <n v="0"/>
  </r>
  <r>
    <s v="20-08-2026"/>
    <s v="Vidh Enterprise"/>
    <s v="General Purchase"/>
    <s v="GNMS 19"/>
    <x v="0"/>
    <n v="3922"/>
    <s v="19-08-2026"/>
    <s v="Printing &amp; Stationery"/>
    <s v="Stationery Items"/>
    <s v="Spares &amp; Stores"/>
    <s v="Stores &amp; Consumables"/>
    <s v="Issue Slip Book"/>
    <n v="20"/>
    <n v="1800"/>
    <s v="Issue Slip Book"/>
    <n v="2124"/>
    <n v="9"/>
    <n v="162"/>
    <n v="9"/>
    <n v="162"/>
    <n v="0"/>
    <n v="0"/>
    <n v="0"/>
    <n v="324"/>
    <n v="0"/>
    <s v="24AJTPP9381R1ZV"/>
    <s v="Pcs"/>
    <n v="49011010"/>
    <s v="Rs."/>
    <n v="1"/>
    <n v="0"/>
  </r>
  <r>
    <s v="21-08-2026"/>
    <s v="Armstrong"/>
    <s v="General Purchase"/>
    <s v="GNSP 161"/>
    <x v="0"/>
    <s v="GST/26-27/4467"/>
    <s v="20-08-2026"/>
    <s v="Stores/Spares"/>
    <s v="Stitching Spares"/>
    <s v="Spares &amp; Stores"/>
    <s v="Stores &amp; Consumables"/>
    <s v="Looper Drive Eccentric Assembly     G29442L"/>
    <n v="3"/>
    <n v="52164"/>
    <s v="Looper Drive Eccentric Assembly     G29442L"/>
    <n v="54825"/>
    <n v="2.5"/>
    <n v="1304.0999999999999"/>
    <n v="2.5"/>
    <n v="1304.0999999999999"/>
    <n v="0"/>
    <n v="0"/>
    <n v="2.5"/>
    <n v="2610.6999999999998"/>
    <n v="0"/>
    <s v="24ABAFA4683N1Z8"/>
    <s v="Pcs"/>
    <n v="84529099"/>
    <s v="Rs."/>
    <n v="1"/>
    <n v="0"/>
  </r>
  <r>
    <s v="21-08-2026"/>
    <s v="Aum Polypack"/>
    <s v="General Purchase"/>
    <s v="GNPK 83"/>
    <x v="3"/>
    <s v="GST/1048/26-27"/>
    <d v="2026-03-08T00:00:00"/>
    <s v="Packing Material"/>
    <s v="Stretch Film"/>
    <s v="Packing Material"/>
    <s v="Packing Material"/>
    <s v="Stretch Film 500mmx23Mic"/>
    <n v="1007.85"/>
    <n v="149161.79999999999"/>
    <s v="Stretch Film 500mmx23Mic"/>
    <n v="179197"/>
    <n v="9"/>
    <n v="13424.56"/>
    <n v="9"/>
    <n v="13424.56"/>
    <n v="0"/>
    <n v="0"/>
    <n v="486"/>
    <n v="27335.119999999999"/>
    <n v="0"/>
    <s v="24CGYPP7498D1ZI"/>
    <s v="Kgs"/>
    <n v="39201019"/>
    <s v="Rs."/>
    <n v="1"/>
    <n v="0"/>
  </r>
  <r>
    <s v="21-08-2026"/>
    <s v="Disha Trading"/>
    <s v="General Purchase"/>
    <s v="GNCN 367"/>
    <x v="0"/>
    <n v="1350"/>
    <s v="21-08-2026"/>
    <s v="Consumables"/>
    <s v="Housekeeping Material"/>
    <s v="Spares &amp; Stores"/>
    <s v="Stores &amp; Consumables"/>
    <s v="Cotton Waste"/>
    <n v="600"/>
    <n v="9600"/>
    <s v="Cotton Waste"/>
    <n v="10080"/>
    <n v="2.5"/>
    <n v="240"/>
    <n v="2.5"/>
    <n v="240"/>
    <n v="0"/>
    <n v="0"/>
    <n v="0"/>
    <n v="480"/>
    <n v="0"/>
    <s v="24AFUPA6072K1Z6"/>
    <s v="Kgs"/>
    <n v="631090"/>
    <s v="Rs."/>
    <n v="1"/>
    <n v="0"/>
  </r>
  <r>
    <s v="21-08-2026"/>
    <s v="Perfect Belts Private Limited (Gujarat)"/>
    <s v="General Purchase"/>
    <s v="GNSP 162"/>
    <x v="0"/>
    <s v="A-4345/26-27"/>
    <s v="20-08-2026"/>
    <s v="Stores/Spares"/>
    <s v="Bearings"/>
    <s v="Spares &amp; Stores"/>
    <s v="Stores &amp; Consumables"/>
    <s v="Bearing 6203 Zz Skf"/>
    <n v="50"/>
    <n v="4250"/>
    <s v="Bearing 6203 Zz Skf"/>
    <n v="5192"/>
    <n v="9"/>
    <n v="382.5"/>
    <n v="9"/>
    <n v="382.5"/>
    <n v="0"/>
    <n v="0"/>
    <n v="27"/>
    <n v="792"/>
    <n v="0"/>
    <s v="24AABCP1066F1ZU"/>
    <s v="Pcs"/>
    <n v="84821011"/>
    <s v="Rs."/>
    <n v="1"/>
    <n v="0"/>
  </r>
  <r>
    <s v="21-08-2026"/>
    <s v="Plastene India ltd - Unit 1-Purchase"/>
    <s v="General Purchase"/>
    <s v="GNCN 366"/>
    <x v="0"/>
    <s v="PIL1/D/1442"/>
    <s v="21-08-2026"/>
    <s v="Stores/Spares"/>
    <s v="MS Structure Items"/>
    <s v="Spares &amp; Stores"/>
    <s v="Stores &amp; Consumables"/>
    <s v="MS Pipe 4  C Class"/>
    <n v="474"/>
    <n v="22752"/>
    <s v="MS Pipe 4  C Class"/>
    <n v="26824.61"/>
    <n v="9"/>
    <n v="2047.68"/>
    <n v="9"/>
    <n v="2047.68"/>
    <n v="0"/>
    <n v="0"/>
    <n v="0"/>
    <n v="4095.36"/>
    <n v="0"/>
    <s v="24AAACO3087C1ZT"/>
    <s v="Kgs"/>
    <n v="73063090"/>
    <s v="Rs."/>
    <n v="1"/>
    <n v="0"/>
  </r>
  <r>
    <s v="21-08-2026"/>
    <s v="Plastene India ltd - Unit 1-Purchase"/>
    <s v="R.M.P."/>
    <s v="RM 547"/>
    <x v="1"/>
    <s v="PIL1/D/1441"/>
    <s v="21-08-2026"/>
    <s v="SF"/>
    <s v="PP/PE Fabric"/>
    <s v="PP Lam Fabric"/>
    <s v="PP Laminated Woven Fabric"/>
    <s v="PP Lam Fabric With UV"/>
    <n v="1482"/>
    <n v="221292.24"/>
    <s v="PP Lam Fabric With UV"/>
    <n v="2818775.22"/>
    <n v="9"/>
    <n v="19916.3"/>
    <n v="9"/>
    <n v="19916.3"/>
    <n v="0"/>
    <n v="0"/>
    <n v="0"/>
    <n v="39832.6"/>
    <n v="0"/>
    <s v="24AAACO3087C1ZT"/>
    <s v="Kgs"/>
    <n v="63053300"/>
    <s v="Rs."/>
    <n v="1"/>
    <n v="0"/>
  </r>
  <r>
    <s v="21-08-2026"/>
    <s v="Plastene India ltd - Unit 1-Purchase"/>
    <s v="R.M.P."/>
    <s v="RM 547"/>
    <x v="1"/>
    <s v="PIL1/D/1441"/>
    <s v="21-08-2026"/>
    <s v="SF"/>
    <s v="Webbing"/>
    <s v="PP Webbing"/>
    <s v="PP Webbing"/>
    <s v="Webbing"/>
    <n v="2.4"/>
    <n v="403.97"/>
    <s v="Webbing"/>
    <n v="0"/>
    <n v="9"/>
    <n v="36.36"/>
    <n v="9"/>
    <n v="36.36"/>
    <n v="0"/>
    <n v="0"/>
    <n v="0"/>
    <n v="72.72"/>
    <n v="0"/>
    <s v="24AAACO3087C1ZT"/>
    <s v="Kgs"/>
    <n v="3926908"/>
    <s v="Rs."/>
    <n v="1"/>
    <n v="0"/>
  </r>
  <r>
    <s v="21-08-2026"/>
    <s v="Plastene India ltd - Unit 1-Purchase"/>
    <s v="R.M.P."/>
    <s v="RM 547"/>
    <x v="1"/>
    <s v="PIL1/D/1441"/>
    <s v="21-08-2026"/>
    <s v="SF"/>
    <s v="PP/PE Fabric"/>
    <s v="PP UL Fabric"/>
    <s v="PP Woven Fabric"/>
    <s v="PP UL Fabric With UV"/>
    <n v="1306"/>
    <n v="189787.92"/>
    <s v="PP UL Fabric With UV"/>
    <n v="0"/>
    <n v="9"/>
    <n v="17080.91"/>
    <n v="9"/>
    <n v="17080.91"/>
    <n v="0"/>
    <n v="0"/>
    <n v="0"/>
    <n v="34161.82"/>
    <n v="0"/>
    <s v="24AAACO3087C1ZT"/>
    <s v="Kgs"/>
    <n v="39269080"/>
    <s v="Rs."/>
    <n v="1"/>
    <n v="0"/>
  </r>
  <r>
    <s v="21-08-2026"/>
    <s v="Plastene India ltd - Unit 1-Purchase"/>
    <s v="R.M.P."/>
    <s v="RM 547"/>
    <x v="1"/>
    <s v="PIL1/D/1441"/>
    <s v="21-08-2026"/>
    <s v="SF"/>
    <s v="PP/PE Fabric"/>
    <s v="PP UL Fabric"/>
    <s v="PP Woven Fabric"/>
    <s v="PP UL Fabric With UV"/>
    <n v="10092"/>
    <n v="1436293.44"/>
    <s v="PP UL Fabric With UV"/>
    <n v="0"/>
    <n v="9"/>
    <n v="129266.41"/>
    <n v="9"/>
    <n v="129266.41"/>
    <n v="0"/>
    <n v="0"/>
    <n v="0"/>
    <n v="258532.82"/>
    <n v="0"/>
    <s v="24AAACO3087C1ZT"/>
    <s v="Kgs"/>
    <n v="39269080"/>
    <s v="Rs."/>
    <n v="1"/>
    <n v="0"/>
  </r>
  <r>
    <s v="21-08-2026"/>
    <s v="Plastene India ltd - Unit 1-Purchase"/>
    <s v="R.M.P."/>
    <s v="RM 547"/>
    <x v="1"/>
    <s v="PIL1/D/1441"/>
    <s v="21-08-2026"/>
    <s v="SF"/>
    <s v="PP/PE Fabric"/>
    <s v="PP UL Fabric"/>
    <s v="PP Woven Fabric"/>
    <s v="PP UL Fabric With UV"/>
    <n v="1287"/>
    <n v="185739.84"/>
    <s v="PP UL Fabric With UV"/>
    <n v="0"/>
    <n v="9"/>
    <n v="16716.59"/>
    <n v="9"/>
    <n v="16716.59"/>
    <n v="0"/>
    <n v="0"/>
    <n v="0"/>
    <n v="33433.18"/>
    <n v="0"/>
    <s v="24AAACO3087C1ZT"/>
    <s v="Kgs"/>
    <n v="39269080"/>
    <s v="Rs."/>
    <n v="1"/>
    <n v="0"/>
  </r>
  <r>
    <s v="21-08-2026"/>
    <s v="Plastene India ltd - Unit 1-Purchase"/>
    <s v="R.M.P."/>
    <s v="RM 547"/>
    <x v="1"/>
    <s v="PIL1/D/1441"/>
    <s v="21-08-2026"/>
    <s v="SF"/>
    <s v="Webbing"/>
    <s v="PP Webbing"/>
    <s v="PP Webbing"/>
    <s v="Webbing"/>
    <n v="18.2"/>
    <n v="3008.82"/>
    <s v="Webbing"/>
    <n v="0"/>
    <n v="9"/>
    <n v="270.79000000000002"/>
    <n v="9"/>
    <n v="270.79000000000002"/>
    <n v="0"/>
    <n v="0"/>
    <n v="0"/>
    <n v="541.58000000000004"/>
    <n v="0"/>
    <s v="24AAACO3087C1ZT"/>
    <s v="Kgs"/>
    <n v="3926908"/>
    <s v="Rs."/>
    <n v="1"/>
    <n v="0"/>
  </r>
  <r>
    <s v="21-08-2026"/>
    <s v="Plastene India ltd - Unit 1-Purchase"/>
    <s v="R.M.P."/>
    <s v="RM 547"/>
    <x v="1"/>
    <s v="PIL1/D/1441"/>
    <s v="21-08-2026"/>
    <s v="SF"/>
    <s v="Webbing"/>
    <s v="PP Webbing"/>
    <s v="PP Webbing"/>
    <s v="Webbing"/>
    <n v="967.9"/>
    <n v="142591.03"/>
    <s v="Webbing"/>
    <n v="0"/>
    <n v="9"/>
    <n v="12833.19"/>
    <n v="9"/>
    <n v="12833.19"/>
    <n v="0"/>
    <n v="0"/>
    <n v="0"/>
    <n v="25666.38"/>
    <n v="0"/>
    <s v="24AAACO3087C1ZT"/>
    <s v="Kgs"/>
    <n v="3926908"/>
    <s v="Rs."/>
    <n v="1"/>
    <n v="0"/>
  </r>
  <r>
    <s v="21-08-2026"/>
    <s v="Plastene India ltd - Unit 1-Purchase"/>
    <s v="R.M.P."/>
    <s v="RM 547"/>
    <x v="1"/>
    <s v="PIL1/D/1441"/>
    <s v="21-08-2026"/>
    <s v="SF"/>
    <s v="Liners"/>
    <s v="LDPE/LLDPE Bags"/>
    <s v="LLDPE Bags"/>
    <s v="LDPE/LLDPE Bags/Liner"/>
    <n v="1197"/>
    <n v="211701.42"/>
    <s v="LDPE/LLDPE Bags/Liner"/>
    <n v="0"/>
    <n v="9"/>
    <n v="19053.13"/>
    <n v="9"/>
    <n v="19053.13"/>
    <n v="0"/>
    <n v="0"/>
    <n v="0"/>
    <n v="38106.26"/>
    <n v="0"/>
    <s v="24AAACO3087C1ZT"/>
    <s v="Kgs"/>
    <n v="39200000"/>
    <s v="Rs."/>
    <n v="1"/>
    <n v="0"/>
  </r>
  <r>
    <s v="21-08-2026"/>
    <s v="Tanmay Engitech"/>
    <s v="General Purchase"/>
    <s v="GNSP 160"/>
    <x v="0"/>
    <s v="TE/1386/26-27"/>
    <s v="19-08-2026"/>
    <s v="Stores/Spares"/>
    <s v="PVC Fittings"/>
    <s v="Spares &amp; Stores"/>
    <s v="Stores &amp; Consumables"/>
    <s v="Pu Connector = 1/4 Inch * 6 mm"/>
    <n v="5"/>
    <n v="180.4"/>
    <s v="Pu Connector = 1/4 Inch * 6 mm"/>
    <n v="213"/>
    <n v="9"/>
    <n v="16.239999999999998"/>
    <n v="9"/>
    <n v="16.239999999999998"/>
    <n v="0"/>
    <n v="0"/>
    <n v="0"/>
    <n v="32.479999999999997"/>
    <n v="0"/>
    <s v="24ARIPK4378C1ZV"/>
    <s v="Pcs"/>
    <n v="84879000"/>
    <s v="Rs."/>
    <n v="1"/>
    <n v="0"/>
  </r>
  <r>
    <s v="22-08-2026"/>
    <s v="Alpha Electricals"/>
    <s v="General Purchase"/>
    <s v="GNSP 163"/>
    <x v="0"/>
    <s v="AE-2026-27/0181"/>
    <s v="20-08-2026"/>
    <s v="Stores/Spares"/>
    <s v="Electrical Items/Spares"/>
    <s v="Spares &amp; Stores"/>
    <s v="Stores &amp; Consumables"/>
    <s v="Push Button Actuator (Red) &quot;Teknic&quot; Make"/>
    <n v="10"/>
    <n v="550"/>
    <s v="Push Button Actuator (Red) &quot;Teknic&quot; Make"/>
    <n v="649"/>
    <n v="9"/>
    <n v="49.5"/>
    <n v="9"/>
    <n v="49.5"/>
    <n v="0"/>
    <n v="0"/>
    <n v="0"/>
    <n v="99"/>
    <n v="0"/>
    <s v="24HELPS8671K1ZJ"/>
    <s v="Pcs"/>
    <n v="853650"/>
    <s v="Rs."/>
    <n v="1"/>
    <n v="0"/>
  </r>
  <r>
    <s v="22-08-2026"/>
    <s v="Bhagwati  Impex"/>
    <s v="General Purchase"/>
    <s v="GNPK 84"/>
    <x v="3"/>
    <s v="BI/26-27/091"/>
    <s v="21-08-2026"/>
    <s v="Packing Material"/>
    <s v="Pallets"/>
    <s v="Pallets"/>
    <s v="Packing Material"/>
    <s v="Pine Wooden Pallet Design Code STD90110"/>
    <n v="100"/>
    <n v="77500"/>
    <s v="Pine Wooden Pallet Design Code STD90110"/>
    <n v="118125"/>
    <n v="2.5"/>
    <n v="1937.5"/>
    <n v="2.5"/>
    <n v="1937.5"/>
    <n v="0"/>
    <n v="0"/>
    <n v="0"/>
    <n v="3875"/>
    <n v="0"/>
    <s v="24AXVPT0296P1ZD"/>
    <s v="Pcs"/>
    <n v="44152000"/>
    <s v="Rs."/>
    <n v="1"/>
    <n v="0"/>
  </r>
  <r>
    <s v="22-08-2026"/>
    <s v="Bhagwati  Impex"/>
    <s v="General Purchase"/>
    <s v="GNPK 84"/>
    <x v="3"/>
    <s v="BI/26-27/091"/>
    <s v="21-08-2026"/>
    <s v="Packing Material"/>
    <s v="Pallets"/>
    <s v="Pallets"/>
    <s v="Packing Material"/>
    <s v="Pine Wooden Pallet Design Code QP90110"/>
    <n v="50"/>
    <n v="35000"/>
    <s v="Pine Wooden Pallet Design Code QP90110"/>
    <n v="0"/>
    <n v="2.5"/>
    <n v="875"/>
    <n v="2.5"/>
    <n v="875"/>
    <n v="0"/>
    <n v="0"/>
    <n v="0"/>
    <n v="1750"/>
    <n v="0"/>
    <s v="24AXVPT0296P1ZD"/>
    <s v="Pcs"/>
    <n v="44152000"/>
    <s v="Rs."/>
    <n v="1"/>
    <n v="0"/>
  </r>
  <r>
    <s v="22-08-2026"/>
    <s v="BP Lubricants Pvt Ltd"/>
    <s v="General Purchase"/>
    <s v="GNCN 368"/>
    <x v="0"/>
    <n v="2993"/>
    <s v="20-08-2026"/>
    <s v="Consumables"/>
    <s v="Oil &amp; Greases"/>
    <s v="Spares &amp; Stores"/>
    <s v="Stores &amp; Consumables"/>
    <s v="White Oil:- 12 No"/>
    <n v="2100"/>
    <n v="277200"/>
    <s v="White Oil:- 12 No"/>
    <n v="327096"/>
    <n v="9"/>
    <n v="24948"/>
    <n v="9"/>
    <n v="24948"/>
    <n v="0"/>
    <n v="0"/>
    <n v="0"/>
    <n v="49896"/>
    <n v="0"/>
    <s v="24AAECB4672L1ZI"/>
    <s v="Ltr"/>
    <n v="27101990"/>
    <s v="Rs."/>
    <n v="1"/>
    <n v="0"/>
  </r>
  <r>
    <s v="22-08-2026"/>
    <s v="HCP Plastene Bulkpack Limited - Purchase"/>
    <s v="Branch Transfer In"/>
    <s v="RM 549"/>
    <x v="4"/>
    <s v="HPBL/DC/40"/>
    <s v="19-08-2026"/>
    <s v="SF"/>
    <s v="Liners"/>
    <s v="LDPE/LLDPE Bags"/>
    <s v="LLDPE Doc"/>
    <s v="DOC Pouch"/>
    <n v="178"/>
    <n v="30429.1"/>
    <s v="DOC Pouch"/>
    <n v="30429.1"/>
    <n v="0"/>
    <n v="0"/>
    <n v="0"/>
    <n v="0"/>
    <n v="0"/>
    <n v="0"/>
    <n v="0"/>
    <n v="0"/>
    <n v="0"/>
    <s v="24AABCG1282C2Z6"/>
    <s v="Kgs"/>
    <n v="39232100"/>
    <s v="Rs."/>
    <n v="1"/>
    <n v="0"/>
  </r>
  <r>
    <s v="22-08-2026"/>
    <s v="Plastene India ltd - Unit 1-Purchase"/>
    <s v="General Purchase"/>
    <s v="GNCN 369"/>
    <x v="0"/>
    <s v="PIL1/D/1448"/>
    <s v="22-08-2026"/>
    <s v="Stores/Spares"/>
    <s v="MS Structure Items"/>
    <s v="Spares &amp; Stores"/>
    <s v="Stores &amp; Consumables"/>
    <s v="MS Pipe 4  C Class"/>
    <n v="395"/>
    <n v="18960"/>
    <s v="MS Pipe 4  C Class"/>
    <n v="22353.84"/>
    <n v="9"/>
    <n v="1706.4"/>
    <n v="9"/>
    <n v="1706.4"/>
    <n v="0"/>
    <n v="0"/>
    <n v="0"/>
    <n v="3412.8"/>
    <n v="0"/>
    <s v="24AAACO3087C1ZT"/>
    <s v="Kgs"/>
    <n v="73063090"/>
    <s v="Rs."/>
    <n v="1"/>
    <n v="0"/>
  </r>
  <r>
    <s v="22-08-2026"/>
    <s v="Plastene India ltd - Unit 1-Purchase"/>
    <s v="R.M.P."/>
    <s v="RM 550"/>
    <x v="1"/>
    <s v="PIL1/D/1449"/>
    <s v="22-08-2026"/>
    <s v="SF"/>
    <s v="PP/PE Fabric"/>
    <s v="PP UL Fabric"/>
    <s v="PP Woven Fabric"/>
    <s v="PP UL Fabric With UV"/>
    <n v="1255"/>
    <n v="181121.6"/>
    <s v="PP UL Fabric With UV"/>
    <n v="2014856.13"/>
    <n v="9"/>
    <n v="16300.94"/>
    <n v="9"/>
    <n v="16300.94"/>
    <n v="0"/>
    <n v="0"/>
    <n v="0"/>
    <n v="32601.88"/>
    <n v="0"/>
    <s v="24AAACO3087C1ZT"/>
    <s v="Kgs"/>
    <n v="39269080"/>
    <s v="Rs."/>
    <n v="1"/>
    <n v="0"/>
  </r>
  <r>
    <s v="22-08-2026"/>
    <s v="Plastene India ltd - Unit 1-Purchase"/>
    <s v="R.M.P."/>
    <s v="RM 550"/>
    <x v="1"/>
    <s v="PIL1/D/1449"/>
    <s v="22-08-2026"/>
    <s v="SF"/>
    <s v="PP/PE Fabric"/>
    <s v="PP UL Fabric"/>
    <s v="PP Woven Fabric"/>
    <s v="PP UL Fabric With UV"/>
    <n v="718"/>
    <n v="104339.76"/>
    <s v="PP UL Fabric With UV"/>
    <n v="0"/>
    <n v="9"/>
    <n v="9390.58"/>
    <n v="9"/>
    <n v="9390.58"/>
    <n v="0"/>
    <n v="0"/>
    <n v="0"/>
    <n v="18781.16"/>
    <n v="0"/>
    <s v="24AAACO3087C1ZT"/>
    <s v="Kgs"/>
    <n v="39269080"/>
    <s v="Rs."/>
    <n v="1"/>
    <n v="0"/>
  </r>
  <r>
    <s v="22-08-2026"/>
    <s v="Plastene India ltd - Unit 1-Purchase"/>
    <s v="R.M.P."/>
    <s v="RM 550"/>
    <x v="1"/>
    <s v="PIL1/D/1449"/>
    <s v="22-08-2026"/>
    <s v="SF"/>
    <s v="PP/PE Fabric"/>
    <s v="PP UL Fabric"/>
    <s v="PP Woven Fabric"/>
    <s v="PP UL Fabric With UV"/>
    <n v="8400"/>
    <n v="1195488"/>
    <s v="PP UL Fabric With UV"/>
    <n v="0"/>
    <n v="9"/>
    <n v="107593.92"/>
    <n v="9"/>
    <n v="107593.92"/>
    <n v="0"/>
    <n v="0"/>
    <n v="0"/>
    <n v="215187.84"/>
    <n v="0"/>
    <s v="24AAACO3087C1ZT"/>
    <s v="Kgs"/>
    <n v="39269080"/>
    <s v="Rs."/>
    <n v="1"/>
    <n v="0"/>
  </r>
  <r>
    <s v="22-08-2026"/>
    <s v="Plastene India ltd - Unit 1-Purchase"/>
    <s v="R.M.P."/>
    <s v="RM 550"/>
    <x v="1"/>
    <s v="PIL1/D/1449"/>
    <s v="22-08-2026"/>
    <s v="SF"/>
    <s v="Webbing"/>
    <s v="PP Webbing"/>
    <s v="PP Webbing"/>
    <s v="Webbing"/>
    <n v="1457.3"/>
    <n v="214689.44"/>
    <s v="Webbing"/>
    <n v="0"/>
    <n v="9"/>
    <n v="19322.05"/>
    <n v="9"/>
    <n v="19322.05"/>
    <n v="0"/>
    <n v="0"/>
    <n v="0"/>
    <n v="38644.1"/>
    <n v="0"/>
    <s v="24AAACO3087C1ZT"/>
    <s v="Kgs"/>
    <n v="3926908"/>
    <s v="Rs."/>
    <n v="1"/>
    <n v="0"/>
  </r>
  <r>
    <s v="22-08-2026"/>
    <s v="Plastene India ltd - Unit 1-Purchase"/>
    <s v="R.M.P."/>
    <s v="RM 550"/>
    <x v="1"/>
    <s v="PIL1/D/1449"/>
    <s v="22-08-2026"/>
    <s v="SF"/>
    <s v="Webbing"/>
    <s v="PP Webbing"/>
    <s v="PP Webbing"/>
    <s v="Webbing"/>
    <n v="64.5"/>
    <n v="9308.64"/>
    <s v="Webbing"/>
    <n v="0"/>
    <n v="9"/>
    <n v="837.78"/>
    <n v="9"/>
    <n v="837.78"/>
    <n v="0"/>
    <n v="0"/>
    <n v="0"/>
    <n v="1675.56"/>
    <n v="0"/>
    <s v="24AAACO3087C1ZT"/>
    <s v="Kgs"/>
    <n v="3926908"/>
    <s v="Rs."/>
    <n v="1"/>
    <n v="0"/>
  </r>
  <r>
    <s v="22-08-2026"/>
    <s v="Plastene India ltd - Unit 1-Purchase"/>
    <s v="R.M.P."/>
    <s v="RM 550"/>
    <x v="1"/>
    <s v="PIL1/D/1449"/>
    <s v="22-08-2026"/>
    <s v="SF"/>
    <s v="Webbing"/>
    <s v="PP Webbing"/>
    <s v="PP Webbing"/>
    <s v="Webbing"/>
    <n v="23.8"/>
    <n v="4006.02"/>
    <s v="Webbing"/>
    <n v="0"/>
    <n v="9"/>
    <n v="360.54"/>
    <n v="9"/>
    <n v="360.54"/>
    <n v="0"/>
    <n v="0"/>
    <n v="0"/>
    <n v="721.08"/>
    <n v="0"/>
    <s v="24AAACO3087C1ZT"/>
    <s v="Kgs"/>
    <n v="3926908"/>
    <s v="Rs."/>
    <n v="1"/>
    <n v="0"/>
  </r>
  <r>
    <s v="22-08-2026"/>
    <s v="Plastene India ltd - Unit 1-Purchase"/>
    <s v="R.M.P."/>
    <s v="RM 551"/>
    <x v="1"/>
    <s v="PIL1/D/1458"/>
    <s v="22-08-2026"/>
    <s v="SF"/>
    <s v="Liners"/>
    <s v="LDPE/LLDPE Bags"/>
    <s v="LLDPE Bags"/>
    <s v="LDPE/LLDPE Bags/Liner"/>
    <n v="319"/>
    <n v="56418.34"/>
    <s v="LDPE/LLDPE Bags/Liner"/>
    <n v="276494.78000000003"/>
    <n v="9"/>
    <n v="5077.6499999999996"/>
    <n v="9"/>
    <n v="5077.6499999999996"/>
    <n v="0"/>
    <n v="0"/>
    <n v="0"/>
    <n v="10155.299999999999"/>
    <n v="0"/>
    <s v="24AAACO3087C1ZT"/>
    <s v="Kgs"/>
    <n v="39200000"/>
    <s v="Rs."/>
    <n v="1"/>
    <n v="0"/>
  </r>
  <r>
    <s v="22-08-2026"/>
    <s v="Plastene India ltd - Unit 1-Purchase"/>
    <s v="R.M.P."/>
    <s v="RM 551"/>
    <x v="1"/>
    <s v="PIL1/D/1458"/>
    <s v="22-08-2026"/>
    <s v="SF"/>
    <s v="Liners"/>
    <s v="LDPE/LLDPE Bags"/>
    <s v="LLDPE Bags"/>
    <s v="LDPE/LLDPE Bags/Liner"/>
    <n v="1007"/>
    <n v="178098.02"/>
    <s v="LDPE/LLDPE Bags/Liner"/>
    <n v="0"/>
    <n v="9"/>
    <n v="16028.82"/>
    <n v="9"/>
    <n v="16028.82"/>
    <n v="0"/>
    <n v="0"/>
    <n v="0"/>
    <n v="32057.64"/>
    <n v="0"/>
    <s v="24AAACO3087C1ZT"/>
    <s v="Kgs"/>
    <n v="39200000"/>
    <s v="Rs."/>
    <n v="1"/>
    <n v="0"/>
  </r>
  <r>
    <s v="22-08-2026"/>
    <s v="Tanmay Engitech"/>
    <s v="General Purchase"/>
    <s v="GNSP 164"/>
    <x v="0"/>
    <s v="TE/1361/26-27"/>
    <s v="17-08-2026"/>
    <s v="Stores/Spares"/>
    <s v="Valves"/>
    <s v="Spares &amp; Stores"/>
    <s v="Stores &amp; Consumables"/>
    <s v="Solenoid Valve"/>
    <n v="2"/>
    <n v="5684.24"/>
    <s v="Solenoid Valve"/>
    <n v="6707"/>
    <n v="9"/>
    <n v="511.58"/>
    <n v="9"/>
    <n v="511.58"/>
    <n v="0"/>
    <n v="0"/>
    <n v="0"/>
    <n v="1023.16"/>
    <n v="0"/>
    <s v="24ARIPK4378C1ZV"/>
    <s v="Pcs"/>
    <n v="84818050"/>
    <s v="Rs."/>
    <n v="1"/>
    <n v="0"/>
  </r>
  <r>
    <s v="22-08-2026"/>
    <s v="Vyankatesh Udyog (I) Pvt Ltd - Purchase"/>
    <s v="R.M.P."/>
    <s v="RM 548"/>
    <x v="6"/>
    <s v="1510/26-27"/>
    <s v="17-08-2026"/>
    <s v="RM Consumables"/>
    <s v="Ink"/>
    <s v="Ink"/>
    <s v="Printing Inks"/>
    <s v="Ink Vyankatesh Poly Opaque White OPEQUE WHITE VLX 624"/>
    <n v="225"/>
    <n v="65700"/>
    <s v="Ink Vyankatesh Poly Opaque White OPEQUE WHITE VLX 624"/>
    <n v="492267"/>
    <n v="0"/>
    <n v="0"/>
    <n v="0"/>
    <n v="0"/>
    <n v="18"/>
    <n v="11826"/>
    <n v="0"/>
    <n v="11826"/>
    <n v="0"/>
    <s v="27AAECV8365Q1ZC"/>
    <s v="Kgs"/>
    <n v="32151910"/>
    <s v="Rs."/>
    <n v="1"/>
    <n v="0"/>
  </r>
  <r>
    <s v="22-08-2026"/>
    <s v="Vyankatesh Udyog (I) Pvt Ltd - Purchase"/>
    <s v="R.M.P."/>
    <s v="RM 548"/>
    <x v="6"/>
    <s v="1510/26-27"/>
    <s v="17-08-2026"/>
    <s v="RM Consumables"/>
    <s v="Ink"/>
    <s v="Ink"/>
    <s v="Printing Inks"/>
    <s v="Ink Vyankatesh Poly Process Blue VLX 643"/>
    <n v="150"/>
    <n v="48900"/>
    <s v="Ink Vyankatesh Poly Process Blue VLX 643"/>
    <n v="0"/>
    <n v="0"/>
    <n v="0"/>
    <n v="0"/>
    <n v="0"/>
    <n v="18"/>
    <n v="8802"/>
    <n v="0"/>
    <n v="8802"/>
    <n v="0"/>
    <s v="27AAECV8365Q1ZC"/>
    <s v="Kgs"/>
    <n v="32151990"/>
    <s v="Rs."/>
    <n v="1"/>
    <n v="0"/>
  </r>
  <r>
    <s v="22-08-2026"/>
    <s v="Vyankatesh Udyog (I) Pvt Ltd - Purchase"/>
    <s v="R.M.P."/>
    <s v="RM 548"/>
    <x v="6"/>
    <s v="1510/26-27"/>
    <s v="17-08-2026"/>
    <s v="RM Consumables"/>
    <s v="Ink"/>
    <s v="Ink"/>
    <s v="Printing Inks"/>
    <s v="Ink Vyankatesh Poly Process Yellow VLX 671"/>
    <n v="300"/>
    <n v="89100"/>
    <s v="Ink Vyankatesh Poly Process Yellow VLX 671"/>
    <n v="0"/>
    <n v="0"/>
    <n v="0"/>
    <n v="0"/>
    <n v="0"/>
    <n v="18"/>
    <n v="16038"/>
    <n v="0"/>
    <n v="16038"/>
    <n v="0"/>
    <s v="27AAECV8365Q1ZC"/>
    <s v="Kgs"/>
    <n v="84485900"/>
    <s v="Rs."/>
    <n v="1"/>
    <n v="0"/>
  </r>
  <r>
    <s v="22-08-2026"/>
    <s v="Vyankatesh Udyog (I) Pvt Ltd - Purchase"/>
    <s v="R.M.P."/>
    <s v="RM 548"/>
    <x v="6"/>
    <s v="1510/26-27"/>
    <s v="17-08-2026"/>
    <s v="RM Consumables"/>
    <s v="Ink"/>
    <s v="Ink"/>
    <s v="Printing Inks"/>
    <s v="Ink Vyankatesh Poly Red Pantone 032C"/>
    <n v="50"/>
    <n v="15000"/>
    <s v="Ink Vyankatesh Poly Red Pantone 032C"/>
    <n v="0"/>
    <n v="0"/>
    <n v="0"/>
    <n v="0"/>
    <n v="0"/>
    <n v="18"/>
    <n v="2700"/>
    <n v="0"/>
    <n v="2700"/>
    <n v="0"/>
    <s v="27AAECV8365Q1ZC"/>
    <s v="Kgs"/>
    <n v="84529099"/>
    <s v="Rs."/>
    <n v="1"/>
    <n v="0"/>
  </r>
  <r>
    <s v="22-08-2026"/>
    <s v="Vyankatesh Udyog (I) Pvt Ltd - Purchase"/>
    <s v="R.M.P."/>
    <s v="RM 548"/>
    <x v="6"/>
    <s v="1510/26-27"/>
    <s v="17-08-2026"/>
    <s v="RM Consumables"/>
    <s v="Ink"/>
    <s v="Ink"/>
    <s v="Printing Inks"/>
    <s v="Ink Vyankatesh Poly Reflex Blue VLX 573"/>
    <n v="50"/>
    <n v="17250"/>
    <s v="Ink Vyankatesh Poly Reflex Blue VLX 573"/>
    <n v="0"/>
    <n v="0"/>
    <n v="0"/>
    <n v="0"/>
    <n v="0"/>
    <n v="18"/>
    <n v="3105"/>
    <n v="0"/>
    <n v="3105"/>
    <n v="0"/>
    <s v="27AAECV8365Q1ZC"/>
    <s v="Kgs"/>
    <n v="32151910"/>
    <s v="Rs."/>
    <n v="1"/>
    <n v="0"/>
  </r>
  <r>
    <s v="22-08-2026"/>
    <s v="Vyankatesh Udyog (I) Pvt Ltd - Purchase"/>
    <s v="R.M.P."/>
    <s v="RM 548"/>
    <x v="6"/>
    <s v="1510/26-27"/>
    <s v="17-08-2026"/>
    <s v="RM Consumables"/>
    <s v="Ink"/>
    <s v="Ink"/>
    <s v="Printing Inks"/>
    <s v="Ink Vyankatesh Poly Robbin Red VLX 876"/>
    <n v="100"/>
    <n v="29200"/>
    <s v="Ink Vyankatesh Poly Robbin Red VLX 876"/>
    <n v="0"/>
    <n v="0"/>
    <n v="0"/>
    <n v="0"/>
    <n v="0"/>
    <n v="18"/>
    <n v="5256"/>
    <n v="0"/>
    <n v="5256"/>
    <n v="0"/>
    <s v="27AAECV8365Q1ZC"/>
    <s v="Kgs"/>
    <n v="84529099"/>
    <s v="Rs."/>
    <n v="1"/>
    <n v="0"/>
  </r>
  <r>
    <s v="22-08-2026"/>
    <s v="Vyankatesh Udyog (I) Pvt Ltd - Purchase"/>
    <s v="R.M.P."/>
    <s v="RM 548"/>
    <x v="6"/>
    <s v="1510/26-27"/>
    <s v="17-08-2026"/>
    <s v="RM Consumables"/>
    <s v="Ink"/>
    <s v="Ink"/>
    <s v="Printing Inks"/>
    <s v="Ink Vyankatesh Poly Voilet VLX 873"/>
    <n v="25"/>
    <n v="12875"/>
    <s v="Ink Vyankatesh Poly Voilet VLX 873"/>
    <n v="0"/>
    <n v="0"/>
    <n v="0"/>
    <n v="0"/>
    <n v="0"/>
    <n v="18"/>
    <n v="2317.5"/>
    <n v="0"/>
    <n v="2317.5"/>
    <n v="0"/>
    <s v="27AAECV8365Q1ZC"/>
    <s v="Kgs"/>
    <n v="32151910"/>
    <s v="Rs."/>
    <n v="1"/>
    <n v="0"/>
  </r>
  <r>
    <s v="22-08-2026"/>
    <s v="Vyankatesh Udyog (I) Pvt Ltd - Purchase"/>
    <s v="R.M.P."/>
    <s v="RM 548"/>
    <x v="6"/>
    <s v="1510/26-27"/>
    <s v="17-08-2026"/>
    <s v="RM Consumables"/>
    <s v="Ink"/>
    <s v="Ink"/>
    <s v="Printing Inks"/>
    <s v="Ink Vyankatesh Red 485c"/>
    <n v="50"/>
    <n v="14600"/>
    <s v="Ink Vyankatesh Red 485c"/>
    <n v="0"/>
    <n v="0"/>
    <n v="0"/>
    <n v="0"/>
    <n v="0"/>
    <n v="18"/>
    <n v="2628"/>
    <n v="0"/>
    <n v="2628"/>
    <n v="0"/>
    <s v="27AAECV8365Q1ZC"/>
    <s v="Kgs"/>
    <n v="32151910"/>
    <s v="Rs."/>
    <n v="1"/>
    <n v="0"/>
  </r>
  <r>
    <s v="22-08-2026"/>
    <s v="Vyankatesh Udyog (I) Pvt Ltd - Purchase"/>
    <s v="R.M.P."/>
    <s v="RM 548"/>
    <x v="6"/>
    <s v="1510/26-27"/>
    <s v="17-08-2026"/>
    <s v="RM Consumables"/>
    <s v="Ink"/>
    <s v="Ink"/>
    <s v="Printing Inks"/>
    <s v="Ink Vyankatesh Poly Black VLX 579"/>
    <n v="400"/>
    <n v="92800"/>
    <s v="Ink Vyankatesh Poly Black VLX 579"/>
    <n v="0"/>
    <n v="0"/>
    <n v="0"/>
    <n v="0"/>
    <n v="0"/>
    <n v="18"/>
    <n v="16704"/>
    <n v="0"/>
    <n v="16704"/>
    <n v="0"/>
    <s v="27AAECV8365Q1ZC"/>
    <s v="Kgs"/>
    <n v="32151910"/>
    <s v="Rs."/>
    <n v="1"/>
    <n v="0"/>
  </r>
  <r>
    <s v="22-08-2026"/>
    <s v="Vyankatesh Udyog (I) Pvt Ltd - Purchase"/>
    <s v="R.M.P."/>
    <s v="RM 548"/>
    <x v="6"/>
    <s v="1510/26-27"/>
    <s v="17-08-2026"/>
    <s v="RM Consumables"/>
    <s v="Ink"/>
    <s v="."/>
    <s v="Printing Inks"/>
    <s v="Ink Vyankatesh Silver Golden VLX 871C"/>
    <n v="50"/>
    <n v="31750"/>
    <s v="Ink Vyankatesh Silver Golden VLX 871C"/>
    <n v="0"/>
    <n v="0"/>
    <n v="0"/>
    <n v="0"/>
    <n v="0"/>
    <n v="18"/>
    <n v="5715"/>
    <n v="0"/>
    <n v="5715"/>
    <n v="0"/>
    <s v="27AAECV8365Q1ZC"/>
    <s v="Kgs"/>
    <n v="32151910"/>
    <s v="Rs."/>
    <n v="1"/>
    <n v="0"/>
  </r>
  <r>
    <s v="23-08-2026"/>
    <s v="Plastene India ltd - Unit 1-Purchase"/>
    <s v="General Purchase"/>
    <s v="GNCN 370"/>
    <x v="0"/>
    <s v="PIL1/D/1460"/>
    <s v="23-08-2026"/>
    <s v="Stores/Spares"/>
    <s v="MS Structure Items"/>
    <s v="Spares &amp; Stores"/>
    <s v="Stores &amp; Consumables"/>
    <s v="MS Pipe 4  C Class"/>
    <n v="452"/>
    <n v="21696"/>
    <s v="MS Pipe 4  C Class"/>
    <n v="25579.58"/>
    <n v="9"/>
    <n v="1952.64"/>
    <n v="9"/>
    <n v="1952.64"/>
    <n v="0"/>
    <n v="0"/>
    <n v="0"/>
    <n v="3905.28"/>
    <n v="0"/>
    <s v="24AAACO3087C1ZT"/>
    <s v="Kgs"/>
    <n v="73063090"/>
    <s v="Rs."/>
    <n v="1"/>
    <n v="0"/>
  </r>
  <r>
    <s v="23-08-2026"/>
    <s v="Plastene India ltd - Unit 1-Purchase"/>
    <s v="R.M.P."/>
    <s v="RM 552"/>
    <x v="1"/>
    <s v="PIL1/D/1455"/>
    <s v="22-08-2026"/>
    <s v="SF"/>
    <s v="Liners"/>
    <s v="LDPE/LLDPE Bags"/>
    <s v="LLDPE Bags"/>
    <s v="LDPE/LLDPE Bags/Liner"/>
    <n v="1350"/>
    <n v="238761"/>
    <s v="LDPE/LLDPE Bags/Liner"/>
    <n v="281499.21999999997"/>
    <n v="9"/>
    <n v="21488.49"/>
    <n v="9"/>
    <n v="21488.49"/>
    <n v="0"/>
    <n v="0"/>
    <n v="0"/>
    <n v="42976.98"/>
    <n v="0"/>
    <s v="24AAACO3087C1ZT"/>
    <s v="Kgs"/>
    <n v="39200000"/>
    <s v="Rs."/>
    <n v="1"/>
    <n v="0"/>
  </r>
  <r>
    <s v="23-08-2026"/>
    <s v="Plastene India ltd - Unit 1-Purchase"/>
    <s v="R.M.P."/>
    <s v="RM 553"/>
    <x v="1"/>
    <s v="PIL1/D/1461"/>
    <s v="23-08-2026"/>
    <s v="SF"/>
    <s v="PP/PE Fabric"/>
    <s v="PP UL Fabric"/>
    <s v="PP Woven Fabric"/>
    <s v="PP UL Fabric With UV"/>
    <n v="976"/>
    <n v="140856.32000000001"/>
    <s v="PP UL Fabric With UV"/>
    <n v="2279053.04"/>
    <n v="9"/>
    <n v="12677.07"/>
    <n v="9"/>
    <n v="12677.07"/>
    <n v="0"/>
    <n v="0"/>
    <n v="0"/>
    <n v="25354.14"/>
    <n v="0"/>
    <s v="24AAACO3087C1ZT"/>
    <s v="Kgs"/>
    <n v="39269080"/>
    <s v="Rs."/>
    <n v="1"/>
    <n v="0"/>
  </r>
  <r>
    <s v="23-08-2026"/>
    <s v="Plastene India ltd - Unit 1-Purchase"/>
    <s v="R.M.P."/>
    <s v="RM 553"/>
    <x v="1"/>
    <s v="PIL1/D/1461"/>
    <s v="23-08-2026"/>
    <s v="SF"/>
    <s v="PP/PE Fabric"/>
    <s v="PP UL Fabric"/>
    <s v="PP Woven Fabric"/>
    <s v="PP UL Fabric With UV"/>
    <n v="1026"/>
    <n v="149098.32"/>
    <s v="PP UL Fabric With UV"/>
    <n v="0"/>
    <n v="9"/>
    <n v="13418.85"/>
    <n v="9"/>
    <n v="13418.85"/>
    <n v="0"/>
    <n v="0"/>
    <n v="0"/>
    <n v="26837.7"/>
    <n v="0"/>
    <s v="24AAACO3087C1ZT"/>
    <s v="Kgs"/>
    <n v="39269080"/>
    <s v="Rs."/>
    <n v="1"/>
    <n v="0"/>
  </r>
  <r>
    <s v="23-08-2026"/>
    <s v="Plastene India ltd - Unit 1-Purchase"/>
    <s v="R.M.P."/>
    <s v="RM 553"/>
    <x v="1"/>
    <s v="PIL1/D/1461"/>
    <s v="23-08-2026"/>
    <s v="SF"/>
    <s v="PP/PE Fabric"/>
    <s v="PP UL Fabric"/>
    <s v="PP Woven Fabric"/>
    <s v="PP UL Fabric With UV"/>
    <n v="11545"/>
    <n v="1643084.4"/>
    <s v="PP UL Fabric With UV"/>
    <n v="0"/>
    <n v="9"/>
    <n v="147877.6"/>
    <n v="9"/>
    <n v="147877.6"/>
    <n v="0"/>
    <n v="0"/>
    <n v="0"/>
    <n v="295755.2"/>
    <n v="0"/>
    <s v="24AAACO3087C1ZT"/>
    <s v="Kgs"/>
    <n v="39269080"/>
    <s v="Rs."/>
    <n v="1"/>
    <n v="0"/>
  </r>
  <r>
    <s v="23-08-2026"/>
    <s v="Plastene India ltd - Unit 1-Purchase"/>
    <s v="R.M.P."/>
    <s v="RM 554"/>
    <x v="2"/>
    <s v="PIL1/D/1462"/>
    <s v="23-08-2026"/>
    <s v="FG"/>
    <s v="FIBC Bags"/>
    <s v="FIBC Bags"/>
    <s v="JUMBO BAG"/>
    <s v="FIBC Bags With UV Without Liner"/>
    <n v="401"/>
    <n v="84330.3"/>
    <s v="FIBC Bags With UV Without Liner"/>
    <n v="99425.43"/>
    <n v="9"/>
    <n v="7589.73"/>
    <n v="9"/>
    <n v="7589.73"/>
    <n v="0"/>
    <n v="0"/>
    <n v="0"/>
    <n v="15179.46"/>
    <n v="0"/>
    <s v="24AAACO3087C1ZT"/>
    <s v="Kgs"/>
    <n v="63053200"/>
    <s v="Rs."/>
    <n v="1"/>
    <n v="0"/>
  </r>
  <r>
    <s v="23-08-2026"/>
    <s v="Plastene India ltd - Unit 1-Purchase"/>
    <s v="R.M.P."/>
    <s v="RM 555"/>
    <x v="1"/>
    <s v="PIL1/D/1463"/>
    <s v="23-08-2026"/>
    <s v="SF"/>
    <s v="Liners"/>
    <s v="LDPE/LLDPE Bags"/>
    <s v="LLDPE Bags"/>
    <s v="LDPE/LLDPE Bags/Liner"/>
    <n v="2697"/>
    <n v="476991.42"/>
    <s v="LDPE/LLDPE Bags/Liner"/>
    <n v="562372.89"/>
    <n v="9"/>
    <n v="42929.23"/>
    <n v="9"/>
    <n v="42929.23"/>
    <n v="0"/>
    <n v="0"/>
    <n v="0"/>
    <n v="85858.46"/>
    <n v="0"/>
    <s v="24AAACO3087C1ZT"/>
    <s v="Kgs"/>
    <n v="39200000"/>
    <s v="Rs."/>
    <n v="1"/>
    <n v="0"/>
  </r>
  <r>
    <s v="23-08-2026"/>
    <s v="Plastene India ltd - Unit 1-Purchase"/>
    <s v="R.M.P."/>
    <s v="RM 556"/>
    <x v="1"/>
    <s v="PIL1/D/1465"/>
    <s v="23-08-2026"/>
    <s v="SF"/>
    <s v="Webbing"/>
    <s v="PP Webbing"/>
    <s v="PP Webbing"/>
    <s v="Webbing"/>
    <n v="65.5"/>
    <n v="9452.9599999999991"/>
    <s v="Webbing"/>
    <n v="816439.3"/>
    <n v="9"/>
    <n v="850.77"/>
    <n v="9"/>
    <n v="850.77"/>
    <n v="0"/>
    <n v="0"/>
    <n v="0"/>
    <n v="1701.54"/>
    <n v="0"/>
    <s v="24AAACO3087C1ZT"/>
    <s v="Kgs"/>
    <n v="3926908"/>
    <s v="Rs."/>
    <n v="1"/>
    <n v="0"/>
  </r>
  <r>
    <s v="23-08-2026"/>
    <s v="Plastene India ltd - Unit 1-Purchase"/>
    <s v="R.M.P."/>
    <s v="RM 556"/>
    <x v="1"/>
    <s v="PIL1/D/1465"/>
    <s v="23-08-2026"/>
    <s v="SF"/>
    <s v="Webbing"/>
    <s v="PP Webbing"/>
    <s v="PP Webbing"/>
    <s v="Webbing"/>
    <n v="21.2"/>
    <n v="3568.38"/>
    <s v="Webbing"/>
    <n v="0"/>
    <n v="9"/>
    <n v="321.14999999999998"/>
    <n v="9"/>
    <n v="321.14999999999998"/>
    <n v="0"/>
    <n v="0"/>
    <n v="0"/>
    <n v="642.29999999999995"/>
    <n v="0"/>
    <s v="24AAACO3087C1ZT"/>
    <s v="Kgs"/>
    <n v="3926908"/>
    <s v="Rs."/>
    <n v="1"/>
    <n v="0"/>
  </r>
  <r>
    <s v="23-08-2026"/>
    <s v="Plastene India ltd - Unit 1-Purchase"/>
    <s v="R.M.P."/>
    <s v="RM 556"/>
    <x v="1"/>
    <s v="PIL1/D/1465"/>
    <s v="23-08-2026"/>
    <s v="SF"/>
    <s v="Webbing"/>
    <s v="PP Webbing"/>
    <s v="PP Webbing"/>
    <s v="Webbing"/>
    <n v="1555.4"/>
    <n v="229141.53"/>
    <s v="Webbing"/>
    <n v="0"/>
    <n v="9"/>
    <n v="20622.740000000002"/>
    <n v="9"/>
    <n v="20622.740000000002"/>
    <n v="0"/>
    <n v="0"/>
    <n v="0"/>
    <n v="41245.480000000003"/>
    <n v="0"/>
    <s v="24AAACO3087C1ZT"/>
    <s v="Kgs"/>
    <n v="3926908"/>
    <s v="Rs."/>
    <n v="1"/>
    <n v="0"/>
  </r>
  <r>
    <s v="23-08-2026"/>
    <s v="Plastene India ltd - Unit 1-Purchase"/>
    <s v="R.M.P."/>
    <s v="RM 556"/>
    <x v="1"/>
    <s v="PIL1/D/1465"/>
    <s v="23-08-2026"/>
    <s v="SF"/>
    <s v="PP/PE Fabric"/>
    <s v="PP Lam Fabric"/>
    <s v="PP Laminated Woven Fabric"/>
    <s v="PP Lam Fabric With UV"/>
    <n v="335"/>
    <n v="48347.199999999997"/>
    <s v="PP Lam Fabric With UV"/>
    <n v="0"/>
    <n v="9"/>
    <n v="4351.25"/>
    <n v="9"/>
    <n v="4351.25"/>
    <n v="0"/>
    <n v="0"/>
    <n v="0"/>
    <n v="8702.5"/>
    <n v="0"/>
    <s v="24AAACO3087C1ZT"/>
    <s v="Kgs"/>
    <n v="63053300"/>
    <s v="Rs."/>
    <n v="1"/>
    <n v="0"/>
  </r>
  <r>
    <s v="23-08-2026"/>
    <s v="Plastene India ltd - Unit 1-Purchase"/>
    <s v="R.M.P."/>
    <s v="RM 556"/>
    <x v="1"/>
    <s v="PIL1/D/1465"/>
    <s v="23-08-2026"/>
    <s v="SF"/>
    <s v="PP/PE Fabric"/>
    <s v="PP UL Fabric"/>
    <s v="PP Woven Fabric"/>
    <s v="PP UL Fabric With UV"/>
    <n v="260"/>
    <n v="37783.199999999997"/>
    <s v="PP UL Fabric With UV"/>
    <n v="0"/>
    <n v="9"/>
    <n v="3400.49"/>
    <n v="9"/>
    <n v="3400.49"/>
    <n v="0"/>
    <n v="0"/>
    <n v="0"/>
    <n v="6800.98"/>
    <n v="0"/>
    <s v="24AAACO3087C1ZT"/>
    <s v="Kgs"/>
    <n v="39269080"/>
    <s v="Rs."/>
    <n v="1"/>
    <n v="0"/>
  </r>
  <r>
    <s v="23-08-2026"/>
    <s v="Plastene India ltd - Unit 1-Purchase"/>
    <s v="R.M.P."/>
    <s v="RM 556"/>
    <x v="1"/>
    <s v="PIL1/D/1465"/>
    <s v="23-08-2026"/>
    <s v="SF"/>
    <s v="PP/PE Fabric"/>
    <s v="PP UL Fabric"/>
    <s v="PP Woven Fabric"/>
    <s v="PP UL Fabric With UV"/>
    <n v="745"/>
    <n v="107518.39999999999"/>
    <s v="PP UL Fabric With UV"/>
    <n v="0"/>
    <n v="9"/>
    <n v="9676.66"/>
    <n v="9"/>
    <n v="9676.66"/>
    <n v="0"/>
    <n v="0"/>
    <n v="0"/>
    <n v="19353.32"/>
    <n v="0"/>
    <s v="24AAACO3087C1ZT"/>
    <s v="Kgs"/>
    <n v="39269080"/>
    <s v="Rs."/>
    <n v="1"/>
    <n v="0"/>
  </r>
  <r>
    <s v="23-08-2026"/>
    <s v="Plastene India ltd - Unit 1-Purchase"/>
    <s v="R.M.P."/>
    <s v="RM 556"/>
    <x v="1"/>
    <s v="PIL1/D/1465"/>
    <s v="23-08-2026"/>
    <s v="SF"/>
    <s v="PP/PE Fabric"/>
    <s v="PP UL Fabric"/>
    <s v="PP Woven Fabric"/>
    <s v="PP UL Fabric With UV"/>
    <n v="1802"/>
    <n v="256460.64"/>
    <s v="PP UL Fabric With UV"/>
    <n v="0"/>
    <n v="9"/>
    <n v="23081.46"/>
    <n v="9"/>
    <n v="23081.46"/>
    <n v="0"/>
    <n v="0"/>
    <n v="0"/>
    <n v="46162.92"/>
    <n v="0"/>
    <s v="24AAACO3087C1ZT"/>
    <s v="Kgs"/>
    <n v="39269080"/>
    <s v="Rs."/>
    <n v="1"/>
    <n v="0"/>
  </r>
  <r>
    <s v="23-08-2026"/>
    <s v="Plastene India ltd - Unit 1-Purchase"/>
    <s v="R.M.P."/>
    <s v="RM 556"/>
    <x v="1"/>
    <s v="PIL1/D/1465"/>
    <s v="23-08-2026"/>
    <s v="SF"/>
    <s v="Liners"/>
    <s v="LDPE/LLDPE Bags"/>
    <s v="LLDPE Bags"/>
    <s v="LDPE/LLDPE Bags/Liner"/>
    <n v="1.2"/>
    <n v="212.23"/>
    <s v="LDPE/LLDPE Bags/Liner"/>
    <n v="0"/>
    <n v="9"/>
    <n v="19.100000000000001"/>
    <n v="9"/>
    <n v="19.100000000000001"/>
    <n v="0"/>
    <n v="0"/>
    <n v="0"/>
    <n v="38.200000000000003"/>
    <n v="0"/>
    <s v="24AAACO3087C1ZT"/>
    <s v="Kgs"/>
    <n v="39200000"/>
    <s v="Rs."/>
    <n v="1"/>
    <n v="0"/>
  </r>
  <r>
    <s v="24-08-2026"/>
    <s v="Hcp Plastene Bulkpack Ltd Vadodara Purchase"/>
    <s v="Branch Transfer In"/>
    <s v="RM 557"/>
    <x v="5"/>
    <s v="HPBLV/DC/10"/>
    <s v="22-08-2026"/>
    <s v="FG"/>
    <s v="FIBC Bags"/>
    <s v="FIBC Bags"/>
    <s v="JUMBO BAG"/>
    <s v="FIBC Bags With UV Without Liner"/>
    <n v="2570.7199999999998"/>
    <n v="524606.82999999996"/>
    <s v="FIBC Bags With UV Without Liner"/>
    <n v="524606.82999999996"/>
    <n v="0"/>
    <n v="0"/>
    <n v="0"/>
    <n v="0"/>
    <n v="0"/>
    <n v="0"/>
    <n v="0"/>
    <n v="0"/>
    <n v="0"/>
    <s v="24AABCG1282C2Z6"/>
    <s v="Kgs"/>
    <n v="63053200"/>
    <s v="Rs."/>
    <n v="1"/>
    <n v="0"/>
  </r>
  <r>
    <s v="24-08-2026"/>
    <s v="Plastene India ltd - Unit 1-Purchase"/>
    <s v="General Purchase"/>
    <s v="GNCN 371"/>
    <x v="0"/>
    <s v="PIL1/D/1470"/>
    <s v="24-08-2026"/>
    <s v="Stores/Spares"/>
    <s v="MS Structure Items"/>
    <s v="Spares &amp; Stores"/>
    <s v="Stores &amp; Consumables"/>
    <s v="MS Pipe 4  C Class"/>
    <n v="205"/>
    <n v="9840"/>
    <s v="MS Pipe 4  C Class"/>
    <n v="11601.36"/>
    <n v="9"/>
    <n v="885.6"/>
    <n v="9"/>
    <n v="885.6"/>
    <n v="0"/>
    <n v="0"/>
    <n v="0"/>
    <n v="1771.2"/>
    <n v="0"/>
    <s v="24AAACO3087C1ZT"/>
    <s v="Kgs"/>
    <n v="73063090"/>
    <s v="Rs."/>
    <n v="1"/>
    <n v="0"/>
  </r>
  <r>
    <s v="24-08-2026"/>
    <s v="Plastene India ltd - Unit 1-Purchase"/>
    <s v="General Purchase"/>
    <s v="GNCN 372"/>
    <x v="0"/>
    <s v="PIL1/D/1474"/>
    <s v="24-08-2026"/>
    <s v="Stores/Spares"/>
    <s v="MS Structure Items"/>
    <s v="Spares &amp; Stores"/>
    <s v="Stores &amp; Consumables"/>
    <s v="MS Pipe 4  C Class"/>
    <n v="85"/>
    <n v="4080"/>
    <s v="MS Pipe 4  C Class"/>
    <n v="4810.32"/>
    <n v="9"/>
    <n v="367.2"/>
    <n v="9"/>
    <n v="367.2"/>
    <n v="0"/>
    <n v="0"/>
    <n v="0"/>
    <n v="734.4"/>
    <n v="0"/>
    <s v="24AAACO3087C1ZT"/>
    <s v="Kgs"/>
    <n v="73063090"/>
    <s v="Rs."/>
    <n v="1"/>
    <n v="0"/>
  </r>
  <r>
    <s v="24-08-2026"/>
    <s v="Plastene India ltd - Unit 1-Purchase"/>
    <s v="R.M.P."/>
    <s v="RM 558"/>
    <x v="1"/>
    <s v="PIL1/D/1469"/>
    <s v="24-08-2026"/>
    <s v="SF"/>
    <s v="PP/PE Fabric"/>
    <s v="PP Lam Fabric"/>
    <s v="PP Laminated Woven Fabric"/>
    <s v="PP Lam Fabric With UV"/>
    <n v="390"/>
    <n v="57064.800000000003"/>
    <s v="PP Lam Fabric With UV"/>
    <n v="1154674.49"/>
    <n v="9"/>
    <n v="5135.83"/>
    <n v="9"/>
    <n v="5135.83"/>
    <n v="0"/>
    <n v="0"/>
    <n v="0"/>
    <n v="10271.66"/>
    <n v="0"/>
    <s v="24AAACO3087C1ZT"/>
    <s v="Kgs"/>
    <n v="63053300"/>
    <s v="Rs."/>
    <n v="1"/>
    <n v="0"/>
  </r>
  <r>
    <s v="24-08-2026"/>
    <s v="Plastene India ltd - Unit 1-Purchase"/>
    <s v="R.M.P."/>
    <s v="RM 558"/>
    <x v="1"/>
    <s v="PIL1/D/1469"/>
    <s v="24-08-2026"/>
    <s v="SF"/>
    <s v="PP/PE Fabric"/>
    <s v="PP UL Fabric"/>
    <s v="PP Woven Fabric"/>
    <s v="PP UL Fabric With UV"/>
    <n v="5357"/>
    <n v="762408.24"/>
    <s v="PP UL Fabric With UV"/>
    <n v="0"/>
    <n v="9"/>
    <n v="68616.740000000005"/>
    <n v="9"/>
    <n v="68616.740000000005"/>
    <n v="0"/>
    <n v="0"/>
    <n v="0"/>
    <n v="137233.48000000001"/>
    <n v="0"/>
    <s v="24AAACO3087C1ZT"/>
    <s v="Kgs"/>
    <n v="39269080"/>
    <s v="Rs."/>
    <n v="1"/>
    <n v="0"/>
  </r>
  <r>
    <s v="24-08-2026"/>
    <s v="Plastene India ltd - Unit 1-Purchase"/>
    <s v="R.M.P."/>
    <s v="RM 558"/>
    <x v="1"/>
    <s v="PIL1/D/1469"/>
    <s v="24-08-2026"/>
    <s v="SF"/>
    <s v="PP/PE Fabric"/>
    <s v="PP UL Fabric"/>
    <s v="PP Woven Fabric"/>
    <s v="PP UL Fabric With UV"/>
    <n v="854"/>
    <n v="124103.28"/>
    <s v="PP UL Fabric With UV"/>
    <n v="0"/>
    <n v="9"/>
    <n v="11169.3"/>
    <n v="9"/>
    <n v="11169.3"/>
    <n v="0"/>
    <n v="0"/>
    <n v="0"/>
    <n v="22338.6"/>
    <n v="0"/>
    <s v="24AAACO3087C1ZT"/>
    <s v="Kgs"/>
    <n v="39269080"/>
    <s v="Rs."/>
    <n v="1"/>
    <n v="0"/>
  </r>
  <r>
    <s v="24-08-2026"/>
    <s v="Plastene India ltd - Unit 1-Purchase"/>
    <s v="R.M.P."/>
    <s v="RM 558"/>
    <x v="1"/>
    <s v="PIL1/D/1469"/>
    <s v="24-08-2026"/>
    <s v="SF"/>
    <s v="PP/PE Fabric"/>
    <s v="PP UL Fabric"/>
    <s v="PP Woven Fabric"/>
    <s v="PP UL Fabric With UV"/>
    <n v="248"/>
    <n v="35791.360000000001"/>
    <s v="PP UL Fabric With UV"/>
    <n v="0"/>
    <n v="9"/>
    <n v="3221.22"/>
    <n v="9"/>
    <n v="3221.22"/>
    <n v="0"/>
    <n v="0"/>
    <n v="0"/>
    <n v="6442.44"/>
    <n v="0"/>
    <s v="24AAACO3087C1ZT"/>
    <s v="Kgs"/>
    <n v="39269080"/>
    <s v="Rs."/>
    <n v="1"/>
    <n v="0"/>
  </r>
  <r>
    <s v="24-08-2026"/>
    <s v="Plastene India ltd - Unit 1-Purchase"/>
    <s v="R.M.P."/>
    <s v="RM 559"/>
    <x v="1"/>
    <s v="PIL1/D/1473"/>
    <s v="24-08-2026"/>
    <s v="SF"/>
    <s v="Liners"/>
    <s v="LDPE/LLDPE Bags"/>
    <s v="LLDPE Bags"/>
    <s v="LDPE/LLDPE Bags/Liner"/>
    <n v="4745"/>
    <n v="839200.7"/>
    <s v="LDPE/LLDPE Bags/Liner"/>
    <n v="1314637.8799999999"/>
    <n v="9"/>
    <n v="75528.06"/>
    <n v="9"/>
    <n v="75528.06"/>
    <n v="0"/>
    <n v="0"/>
    <n v="0"/>
    <n v="151056.12"/>
    <n v="0"/>
    <s v="24AAACO3087C1ZT"/>
    <s v="Kgs"/>
    <n v="39200000"/>
    <s v="Rs."/>
    <n v="1"/>
    <n v="0"/>
  </r>
  <r>
    <s v="24-08-2026"/>
    <s v="Plastene India ltd - Unit 1-Purchase"/>
    <s v="R.M.P."/>
    <s v="RM 559"/>
    <x v="1"/>
    <s v="PIL1/D/1473"/>
    <s v="24-08-2026"/>
    <s v="SF"/>
    <s v="Liners"/>
    <s v="LDPE/LLDPE Bags"/>
    <s v="LLDPE Bags"/>
    <s v="LDPE/LLDPE Bags/Liner"/>
    <n v="289"/>
    <n v="53424.54"/>
    <s v="LDPE/LLDPE Bags/Liner"/>
    <n v="0"/>
    <n v="9"/>
    <n v="4808.21"/>
    <n v="9"/>
    <n v="4808.21"/>
    <n v="0"/>
    <n v="0"/>
    <n v="0"/>
    <n v="9616.42"/>
    <n v="0"/>
    <s v="24AAACO3087C1ZT"/>
    <s v="Kgs"/>
    <n v="39200000"/>
    <s v="Rs."/>
    <n v="1"/>
    <n v="0"/>
  </r>
  <r>
    <s v="24-08-2026"/>
    <s v="Plastene India ltd - Unit 1-Purchase"/>
    <s v="R.M.P."/>
    <s v="RM 559"/>
    <x v="1"/>
    <s v="PIL1/D/1473"/>
    <s v="24-08-2026"/>
    <s v="SF"/>
    <s v="Webbing"/>
    <s v="PP Webbing"/>
    <s v="PP Webbing"/>
    <s v="Webbing"/>
    <n v="1431.8"/>
    <n v="210932.78"/>
    <s v="Webbing"/>
    <n v="0"/>
    <n v="9"/>
    <n v="18983.95"/>
    <n v="9"/>
    <n v="18983.95"/>
    <n v="0"/>
    <n v="0"/>
    <n v="0"/>
    <n v="37967.9"/>
    <n v="0"/>
    <s v="24AAACO3087C1ZT"/>
    <s v="Kgs"/>
    <n v="3926908"/>
    <s v="Rs."/>
    <n v="1"/>
    <n v="0"/>
  </r>
  <r>
    <s v="24-08-2026"/>
    <s v="Plastene India ltd - Unit 1-Purchase"/>
    <s v="R.M.P."/>
    <s v="RM 559"/>
    <x v="1"/>
    <s v="PIL1/D/1473"/>
    <s v="24-08-2026"/>
    <s v="SF"/>
    <s v="Webbing"/>
    <s v="PP Webbing"/>
    <s v="PP Webbing"/>
    <s v="Webbing"/>
    <n v="56.5"/>
    <n v="8154.08"/>
    <s v="Webbing"/>
    <n v="0"/>
    <n v="9"/>
    <n v="733.87"/>
    <n v="9"/>
    <n v="733.87"/>
    <n v="0"/>
    <n v="0"/>
    <n v="0"/>
    <n v="1467.74"/>
    <n v="0"/>
    <s v="24AAACO3087C1ZT"/>
    <s v="Kgs"/>
    <n v="3926908"/>
    <s v="Rs."/>
    <n v="1"/>
    <n v="0"/>
  </r>
  <r>
    <s v="24-08-2026"/>
    <s v="Plastene India ltd - Unit 1-Purchase"/>
    <s v="R.M.P."/>
    <s v="RM 559"/>
    <x v="1"/>
    <s v="PIL1/D/1473"/>
    <s v="24-08-2026"/>
    <s v="SF"/>
    <s v="Webbing"/>
    <s v="PP Webbing"/>
    <s v="PP Webbing"/>
    <s v="Webbing"/>
    <n v="19.8"/>
    <n v="3332.74"/>
    <s v="Webbing"/>
    <n v="0"/>
    <n v="9"/>
    <n v="299.95"/>
    <n v="9"/>
    <n v="299.95"/>
    <n v="0"/>
    <n v="0"/>
    <n v="0"/>
    <n v="599.9"/>
    <n v="0"/>
    <s v="24AAACO3087C1ZT"/>
    <s v="Kgs"/>
    <n v="3926908"/>
    <s v="Rs."/>
    <n v="1"/>
    <n v="0"/>
  </r>
  <r>
    <s v="24-08-2026"/>
    <s v="Plastene India ltd - Unit 1-Purchase"/>
    <s v="R.M.P."/>
    <s v="RM 560"/>
    <x v="1"/>
    <s v="PIL1/D/1475"/>
    <s v="24-08-2026"/>
    <s v="SF"/>
    <s v="PP/PE Fabric"/>
    <s v="PP UL Fabric"/>
    <s v="PP Woven Fabric"/>
    <s v="PP UL Fabric With UV"/>
    <n v="561"/>
    <n v="80963.520000000004"/>
    <s v="PP UL Fabric With UV"/>
    <n v="449143.41"/>
    <n v="9"/>
    <n v="7286.72"/>
    <n v="9"/>
    <n v="7286.72"/>
    <n v="0"/>
    <n v="0"/>
    <n v="0"/>
    <n v="14573.44"/>
    <n v="0"/>
    <s v="24AAACO3087C1ZT"/>
    <s v="Kgs"/>
    <n v="39269080"/>
    <s v="Rs."/>
    <n v="1"/>
    <n v="0"/>
  </r>
  <r>
    <s v="24-08-2026"/>
    <s v="Plastene India ltd - Unit 1-Purchase"/>
    <s v="R.M.P."/>
    <s v="RM 560"/>
    <x v="1"/>
    <s v="PIL1/D/1475"/>
    <s v="24-08-2026"/>
    <s v="SF"/>
    <s v="PP/PE Fabric"/>
    <s v="PP UL Fabric"/>
    <s v="PP Woven Fabric"/>
    <s v="PP UL Fabric With UV"/>
    <n v="325"/>
    <n v="47229"/>
    <s v="PP UL Fabric With UV"/>
    <n v="0"/>
    <n v="9"/>
    <n v="4250.6099999999997"/>
    <n v="9"/>
    <n v="4250.6099999999997"/>
    <n v="0"/>
    <n v="0"/>
    <n v="0"/>
    <n v="8501.2199999999993"/>
    <n v="0"/>
    <s v="24AAACO3087C1ZT"/>
    <s v="Kgs"/>
    <n v="39269080"/>
    <s v="Rs."/>
    <n v="1"/>
    <n v="0"/>
  </r>
  <r>
    <s v="24-08-2026"/>
    <s v="Plastene India ltd - Unit 1-Purchase"/>
    <s v="R.M.P."/>
    <s v="RM 560"/>
    <x v="1"/>
    <s v="PIL1/D/1475"/>
    <s v="24-08-2026"/>
    <s v="SF"/>
    <s v="PP/PE Fabric"/>
    <s v="PP UL Fabric"/>
    <s v="PP Woven Fabric"/>
    <s v="PP UL Fabric With UV"/>
    <n v="1776"/>
    <n v="252760.32000000001"/>
    <s v="PP UL Fabric With UV"/>
    <n v="0"/>
    <n v="9"/>
    <n v="22748.43"/>
    <n v="9"/>
    <n v="22748.43"/>
    <n v="0"/>
    <n v="0"/>
    <n v="0"/>
    <n v="45496.86"/>
    <n v="0"/>
    <s v="24AAACO3087C1ZT"/>
    <s v="Kgs"/>
    <n v="39269080"/>
    <s v="Rs."/>
    <n v="1"/>
    <n v="0"/>
  </r>
  <r>
    <s v="25-08-2026"/>
    <s v="Armstrong"/>
    <s v="General Purchase"/>
    <s v="GNSP 166"/>
    <x v="0"/>
    <s v="GST/26-27/4335"/>
    <s v="17-08-2026"/>
    <s v="Stores/Spares"/>
    <s v="Stitching Spares"/>
    <s v="Spares &amp; Stores"/>
    <s v="Stores &amp; Consumables"/>
    <s v="Spreader, Upper For Overedge Stitching  (81507)"/>
    <n v="5"/>
    <n v="21000"/>
    <s v="Spreader, Upper For Overedge Stitching  (81507)"/>
    <n v="142390"/>
    <n v="2.5"/>
    <n v="525"/>
    <n v="2.5"/>
    <n v="525"/>
    <n v="0"/>
    <n v="0"/>
    <n v="27"/>
    <n v="1077"/>
    <n v="0"/>
    <s v="24ABAFA4683N1Z8"/>
    <s v="Pcs"/>
    <n v="84529099"/>
    <s v="Rs."/>
    <n v="1"/>
    <n v="0"/>
  </r>
  <r>
    <s v="25-08-2026"/>
    <s v="Armstrong"/>
    <s v="General Purchase"/>
    <s v="GNSP 166"/>
    <x v="0"/>
    <s v="GST/26-27/4335"/>
    <s v="17-08-2026"/>
    <s v="Stores/Spares"/>
    <s v="Stitching Spares"/>
    <s v="Spares &amp; Stores"/>
    <s v="Stores &amp; Consumables"/>
    <s v="Needle Holder 81356A"/>
    <n v="3"/>
    <n v="6168"/>
    <s v="Needle Holder 81356A"/>
    <n v="0"/>
    <n v="2.5"/>
    <n v="154.19999999999999"/>
    <n v="2.5"/>
    <n v="154.19999999999999"/>
    <n v="0"/>
    <n v="0"/>
    <n v="27"/>
    <n v="335.4"/>
    <n v="0"/>
    <s v="24ABAFA4683N1Z8"/>
    <s v="Pcs"/>
    <n v="84529099"/>
    <s v="Rs."/>
    <n v="1"/>
    <n v="0"/>
  </r>
  <r>
    <s v="25-08-2026"/>
    <s v="Armstrong"/>
    <s v="General Purchase"/>
    <s v="GNSP 166"/>
    <x v="0"/>
    <s v="GST/26-27/4335"/>
    <s v="17-08-2026"/>
    <s v="Stores/Spares"/>
    <s v="Hardware Items"/>
    <s v="Spares &amp; Stores"/>
    <s v="Stores &amp; Consumables"/>
    <s v="G 89 Screw"/>
    <n v="20"/>
    <n v="1760"/>
    <s v="G 89 Screw"/>
    <n v="0"/>
    <n v="9"/>
    <n v="158.4"/>
    <n v="9"/>
    <n v="158.4"/>
    <n v="0"/>
    <n v="0"/>
    <n v="27"/>
    <n v="343.8"/>
    <n v="0"/>
    <s v="24ABAFA4683N1Z8"/>
    <s v="Pcs"/>
    <n v="73181500"/>
    <s v="Rs."/>
    <n v="1"/>
    <n v="0"/>
  </r>
  <r>
    <s v="25-08-2026"/>
    <s v="Armstrong"/>
    <s v="General Purchase"/>
    <s v="GNSP 166"/>
    <x v="0"/>
    <s v="GST/26-27/4335"/>
    <s v="17-08-2026"/>
    <s v="Stores/Spares"/>
    <s v="Hardware Items"/>
    <s v="Spares &amp; Stores"/>
    <s v="Stores &amp; Consumables"/>
    <s v="Screw 22580"/>
    <n v="30"/>
    <n v="3600"/>
    <s v="Screw 22580"/>
    <n v="0"/>
    <n v="9"/>
    <n v="324"/>
    <n v="9"/>
    <n v="324"/>
    <n v="0"/>
    <n v="0"/>
    <n v="27"/>
    <n v="675"/>
    <n v="0"/>
    <s v="24ABAFA4683N1Z8"/>
    <s v="Pcs"/>
    <n v="73181500"/>
    <s v="Rs."/>
    <n v="1"/>
    <n v="0"/>
  </r>
  <r>
    <s v="25-08-2026"/>
    <s v="Armstrong"/>
    <s v="General Purchase"/>
    <s v="GNSP 166"/>
    <x v="0"/>
    <s v="GST/26-27/4335"/>
    <s v="17-08-2026"/>
    <s v="Stores/Spares"/>
    <s v="Stitching Spares"/>
    <s v="Spares &amp; Stores"/>
    <s v="Stores &amp; Consumables"/>
    <s v="Spreader Lever 81313 A"/>
    <n v="2"/>
    <n v="7288"/>
    <s v="Spreader Lever 81313 A"/>
    <n v="0"/>
    <n v="2.5"/>
    <n v="182.2"/>
    <n v="2.5"/>
    <n v="182.2"/>
    <n v="0"/>
    <n v="0"/>
    <n v="27"/>
    <n v="391.4"/>
    <n v="0"/>
    <s v="24ABAFA4683N1Z8"/>
    <s v="Pcs"/>
    <n v="84529099"/>
    <s v="Rs."/>
    <n v="1"/>
    <n v="0"/>
  </r>
  <r>
    <s v="25-08-2026"/>
    <s v="Armstrong"/>
    <s v="General Purchase"/>
    <s v="GNSP 166"/>
    <x v="0"/>
    <s v="GST/26-27/4335"/>
    <s v="17-08-2026"/>
    <s v="Stores/Spares"/>
    <s v="Stitching Spares"/>
    <s v="Spares &amp; Stores"/>
    <s v="Stores &amp; Consumables"/>
    <s v="Ball Stud 81349"/>
    <n v="5"/>
    <n v="2580"/>
    <s v="Ball Stud 81349"/>
    <n v="0"/>
    <n v="9"/>
    <n v="232.2"/>
    <n v="9"/>
    <n v="232.2"/>
    <n v="0"/>
    <n v="0"/>
    <n v="27"/>
    <n v="491.4"/>
    <n v="0"/>
    <s v="24ABAFA4683N1Z8"/>
    <s v="Pcs"/>
    <n v="84529099"/>
    <s v="Rs."/>
    <n v="1"/>
    <n v="0"/>
  </r>
  <r>
    <s v="25-08-2026"/>
    <s v="Armstrong"/>
    <s v="General Purchase"/>
    <s v="GNSP 166"/>
    <x v="0"/>
    <s v="GST/26-27/4335"/>
    <s v="17-08-2026"/>
    <s v="Stores/Spares"/>
    <s v="Stitching Spares"/>
    <s v="Spares &amp; Stores"/>
    <s v="Stores &amp; Consumables"/>
    <s v="Feed Dog # 603632 Dr"/>
    <n v="10"/>
    <n v="3720"/>
    <s v="Feed Dog # 603632 Dr"/>
    <n v="0"/>
    <n v="2.5"/>
    <n v="93"/>
    <n v="2.5"/>
    <n v="93"/>
    <n v="0"/>
    <n v="0"/>
    <n v="27"/>
    <n v="213"/>
    <n v="0"/>
    <s v="24ABAFA4683N1Z8"/>
    <s v="Pcs"/>
    <n v="84529099"/>
    <s v="Rs."/>
    <n v="1"/>
    <n v="0"/>
  </r>
  <r>
    <s v="25-08-2026"/>
    <s v="Armstrong"/>
    <s v="General Purchase"/>
    <s v="GNSP 166"/>
    <x v="0"/>
    <s v="GST/26-27/4335"/>
    <s v="17-08-2026"/>
    <s v="Stores/Spares"/>
    <s v="Stitching Spares"/>
    <s v="Spares &amp; Stores"/>
    <s v="Stores &amp; Consumables"/>
    <s v="Set Screw 22894Y"/>
    <n v="30"/>
    <n v="2400"/>
    <s v="Set Screw 22894Y"/>
    <n v="0"/>
    <n v="9"/>
    <n v="216"/>
    <n v="9"/>
    <n v="216"/>
    <n v="0"/>
    <n v="0"/>
    <n v="27"/>
    <n v="459"/>
    <n v="0"/>
    <s v="24ABAFA4683N1Z8"/>
    <s v="Pcs"/>
    <n v="84529099"/>
    <s v="Rs."/>
    <n v="1"/>
    <n v="0"/>
  </r>
  <r>
    <s v="25-08-2026"/>
    <s v="Armstrong"/>
    <s v="General Purchase"/>
    <s v="GNSP 166"/>
    <x v="0"/>
    <s v="GST/26-27/4335"/>
    <s v="17-08-2026"/>
    <s v="Stores/Spares"/>
    <s v="Stitching Spares"/>
    <s v="Spares &amp; Stores"/>
    <s v="Stores &amp; Consumables"/>
    <s v="Washer 69H"/>
    <n v="20"/>
    <n v="1920"/>
    <s v="Washer 69H"/>
    <n v="0"/>
    <n v="2.5"/>
    <n v="48"/>
    <n v="2.5"/>
    <n v="48"/>
    <n v="0"/>
    <n v="0"/>
    <n v="27"/>
    <n v="123"/>
    <n v="0"/>
    <s v="24ABAFA4683N1Z8"/>
    <s v="Pcs"/>
    <n v="845210"/>
    <s v="Rs."/>
    <n v="1"/>
    <n v="0"/>
  </r>
  <r>
    <s v="25-08-2026"/>
    <s v="Armstrong"/>
    <s v="General Purchase"/>
    <s v="GNSP 166"/>
    <x v="0"/>
    <s v="GST/26-27/4335"/>
    <s v="17-08-2026"/>
    <s v="Stores/Spares"/>
    <s v="Stitching Spares"/>
    <s v="Spares &amp; Stores"/>
    <s v="Stores &amp; Consumables"/>
    <s v="Nut 9936"/>
    <n v="16"/>
    <n v="6016"/>
    <s v="Nut 9936"/>
    <n v="0"/>
    <n v="2.5"/>
    <n v="150.4"/>
    <n v="2.5"/>
    <n v="150.4"/>
    <n v="0"/>
    <n v="0"/>
    <n v="27"/>
    <n v="327.8"/>
    <n v="0"/>
    <s v="24ABAFA4683N1Z8"/>
    <s v="Pcs"/>
    <n v="73181500"/>
    <s v="Rs."/>
    <n v="1"/>
    <n v="0"/>
  </r>
  <r>
    <s v="25-08-2026"/>
    <s v="Armstrong"/>
    <s v="General Purchase"/>
    <s v="GNSP 166"/>
    <x v="0"/>
    <s v="GST/26-27/4335"/>
    <s v="17-08-2026"/>
    <s v="Stores/Spares"/>
    <s v="Stitching Spares"/>
    <s v="Spares &amp; Stores"/>
    <s v="Stores &amp; Consumables"/>
    <s v="G15442P        Boll Joint Assembly"/>
    <n v="5"/>
    <n v="34440"/>
    <s v="G15442P        Boll Joint Assembly"/>
    <n v="0"/>
    <n v="2.5"/>
    <n v="861"/>
    <n v="2.5"/>
    <n v="861"/>
    <n v="0"/>
    <n v="0"/>
    <n v="27"/>
    <n v="1749"/>
    <n v="0"/>
    <s v="24ABAFA4683N1Z8"/>
    <s v="Pcs"/>
    <n v="84529099"/>
    <s v="Rs."/>
    <n v="1"/>
    <n v="0"/>
  </r>
  <r>
    <s v="25-08-2026"/>
    <s v="Armstrong"/>
    <s v="General Purchase"/>
    <s v="GNSP 166"/>
    <x v="0"/>
    <s v="GST/26-27/4335"/>
    <s v="17-08-2026"/>
    <s v="Stores/Spares"/>
    <s v="Stitching Spares"/>
    <s v="Spares &amp; Stores"/>
    <s v="Stores &amp; Consumables"/>
    <s v="Cross Looper Lever 81313B"/>
    <n v="10"/>
    <n v="17760"/>
    <s v="Cross Looper Lever 81313B"/>
    <n v="0"/>
    <n v="2.5"/>
    <n v="444"/>
    <n v="2.5"/>
    <n v="444"/>
    <n v="0"/>
    <n v="0"/>
    <n v="27"/>
    <n v="915"/>
    <n v="0"/>
    <s v="24ABAFA4683N1Z8"/>
    <s v="Pcs"/>
    <n v="84522900"/>
    <s v="Rs."/>
    <n v="1"/>
    <n v="0"/>
  </r>
  <r>
    <s v="25-08-2026"/>
    <s v="Armstrong"/>
    <s v="General Purchase"/>
    <s v="GNSP 166"/>
    <x v="0"/>
    <s v="GST/26-27/4335"/>
    <s v="17-08-2026"/>
    <s v="Stores/Spares"/>
    <s v="Hardware Items"/>
    <s v="Spares &amp; Stores"/>
    <s v="Stores &amp; Consumables"/>
    <s v="Bolt Stud 11354"/>
    <n v="10"/>
    <n v="4920"/>
    <s v="Bolt Stud 11354"/>
    <n v="0"/>
    <n v="9"/>
    <n v="442.8"/>
    <n v="9"/>
    <n v="442.8"/>
    <n v="0"/>
    <n v="0"/>
    <n v="27"/>
    <n v="912.6"/>
    <n v="0"/>
    <s v="24ABAFA4683N1Z8"/>
    <s v="Pcs"/>
    <n v="845290"/>
    <s v="Rs."/>
    <n v="1"/>
    <n v="0"/>
  </r>
  <r>
    <s v="25-08-2026"/>
    <s v="Armstrong"/>
    <s v="General Purchase"/>
    <s v="GNSP 166"/>
    <x v="0"/>
    <s v="GST/26-27/4335"/>
    <s v="17-08-2026"/>
    <s v="Stores/Spares"/>
    <s v="Stitching Spares"/>
    <s v="Spares &amp; Stores"/>
    <s v="Stores &amp; Consumables"/>
    <s v="Lower Looper 81311B"/>
    <n v="5"/>
    <n v="6080"/>
    <s v="Lower Looper 81311B"/>
    <n v="0"/>
    <n v="2.5"/>
    <n v="152"/>
    <n v="2.5"/>
    <n v="152"/>
    <n v="0"/>
    <n v="0"/>
    <n v="27"/>
    <n v="331"/>
    <n v="0"/>
    <s v="24ABAFA4683N1Z8"/>
    <s v="Pcs"/>
    <n v="84529099"/>
    <s v="Rs."/>
    <n v="1"/>
    <n v="0"/>
  </r>
  <r>
    <s v="25-08-2026"/>
    <s v="Armstrong"/>
    <s v="General Purchase"/>
    <s v="GNSP 166"/>
    <x v="0"/>
    <s v="GST/26-27/4335"/>
    <s v="17-08-2026"/>
    <s v="Stores/Spares"/>
    <s v="Stitching Spares"/>
    <s v="Spares &amp; Stores"/>
    <s v="Stores &amp; Consumables"/>
    <s v="Guide Link # 80732"/>
    <n v="5"/>
    <n v="13900"/>
    <s v="Guide Link # 80732"/>
    <n v="0"/>
    <n v="2.5"/>
    <n v="347.5"/>
    <n v="2.5"/>
    <n v="347.5"/>
    <n v="0"/>
    <n v="0"/>
    <n v="27"/>
    <n v="722"/>
    <n v="0"/>
    <s v="24ABAFA4683N1Z8"/>
    <s v="Pcs"/>
    <n v="84529099"/>
    <s v="Rs."/>
    <n v="1"/>
    <n v="0"/>
  </r>
  <r>
    <s v="25-08-2026"/>
    <s v="Ganesh Poly Graph"/>
    <s v="General Purchase"/>
    <s v="GNCN 377"/>
    <x v="0"/>
    <n v="1375"/>
    <d v="2026-10-08T00:00:00"/>
    <s v="Consumables"/>
    <s v="Rubber/Polymer Stereo"/>
    <s v="Spares &amp; Stores"/>
    <s v="Stores &amp; Consumables"/>
    <s v="Polymer Stereo"/>
    <n v="324"/>
    <n v="372.6"/>
    <s v="Polymer Stereo"/>
    <n v="440"/>
    <n v="9"/>
    <n v="33.53"/>
    <n v="9"/>
    <n v="33.53"/>
    <n v="0"/>
    <n v="0"/>
    <n v="0"/>
    <n v="67.06"/>
    <n v="0"/>
    <s v="24ALEPC4203C1Z3"/>
    <s v="CMS"/>
    <n v="37013000"/>
    <s v="Rs."/>
    <n v="1"/>
    <n v="0"/>
  </r>
  <r>
    <s v="25-08-2026"/>
    <s v="Ganesh Poly Graph"/>
    <s v="General Purchase"/>
    <s v="GNCN 378"/>
    <x v="0"/>
    <n v="1360"/>
    <d v="2026-07-08T00:00:00"/>
    <s v="Consumables"/>
    <s v="Rubber/Polymer Stereo"/>
    <s v="Spares &amp; Stores"/>
    <s v="Stores &amp; Consumables"/>
    <s v="Polymer Stereo"/>
    <n v="2835"/>
    <n v="3260.25"/>
    <s v="Polymer Stereo"/>
    <n v="3847"/>
    <n v="9"/>
    <n v="293.42"/>
    <n v="9"/>
    <n v="293.42"/>
    <n v="0"/>
    <n v="0"/>
    <n v="0"/>
    <n v="586.84"/>
    <n v="0"/>
    <s v="24ALEPC4203C1Z3"/>
    <s v="CMS"/>
    <n v="37013000"/>
    <s v="Rs."/>
    <n v="1"/>
    <n v="0"/>
  </r>
  <r>
    <s v="25-08-2026"/>
    <s v="K.P. Woven Pvt Ltd-Purchase"/>
    <s v="R.M.P."/>
    <s v="RM 561"/>
    <x v="2"/>
    <s v="KPV/D/662"/>
    <s v="24-08-2026"/>
    <s v="FG"/>
    <s v="FIBC Bags"/>
    <s v="FIBC Bags"/>
    <s v="JUMBO BAG"/>
    <s v="FIBC Bags With UV Without Liner"/>
    <n v="3186"/>
    <n v="1655827.92"/>
    <s v="FIBC Bags With UV Without Liner"/>
    <n v="5383514.8300000001"/>
    <n v="9"/>
    <n v="149024.51"/>
    <n v="9"/>
    <n v="149024.51"/>
    <n v="0"/>
    <n v="0"/>
    <n v="0"/>
    <n v="298049.02"/>
    <n v="0"/>
    <s v="24AAECK6307M1ZF"/>
    <s v="Kgs"/>
    <n v="63053200"/>
    <s v="Rs."/>
    <n v="1"/>
    <n v="0"/>
  </r>
  <r>
    <s v="25-08-2026"/>
    <s v="K.P. Woven Pvt Ltd-Purchase"/>
    <s v="R.M.P."/>
    <s v="RM 561"/>
    <x v="2"/>
    <s v="KPV/D/662"/>
    <s v="24-08-2026"/>
    <s v="FG"/>
    <s v="FIBC Bags"/>
    <s v="FIBC Bags"/>
    <s v="JUMBO BAG"/>
    <s v="FIBC Bags With UV Without Liner"/>
    <n v="1617"/>
    <n v="318015.39"/>
    <s v="FIBC Bags With UV Without Liner"/>
    <n v="0"/>
    <n v="9"/>
    <n v="28621.39"/>
    <n v="9"/>
    <n v="28621.39"/>
    <n v="0"/>
    <n v="0"/>
    <n v="0"/>
    <n v="57242.78"/>
    <n v="0"/>
    <s v="24AAECK6307M1ZF"/>
    <s v="Kgs"/>
    <n v="63053200"/>
    <s v="Rs."/>
    <n v="1"/>
    <n v="0"/>
  </r>
  <r>
    <s v="25-08-2026"/>
    <s v="K.P. Woven Pvt Ltd-Purchase"/>
    <s v="R.M.P."/>
    <s v="RM 561"/>
    <x v="2"/>
    <s v="KPV/D/662"/>
    <s v="24-08-2026"/>
    <s v="FG"/>
    <s v="FIBC Bags"/>
    <s v="FIBC Bags"/>
    <s v="JUMBO BAG"/>
    <s v="FIBC Bags With UV Without Liner"/>
    <n v="4989.7"/>
    <n v="1101426.3799999999"/>
    <s v="FIBC Bags With UV Without Liner"/>
    <n v="0"/>
    <n v="9"/>
    <n v="99128.37"/>
    <n v="9"/>
    <n v="99128.37"/>
    <n v="0"/>
    <n v="0"/>
    <n v="0"/>
    <n v="198256.74"/>
    <n v="0"/>
    <s v="24AAECK6307M1ZF"/>
    <s v="Kgs"/>
    <n v="63053200"/>
    <s v="Rs."/>
    <n v="1"/>
    <n v="0"/>
  </r>
  <r>
    <s v="25-08-2026"/>
    <s v="K.P. Woven Pvt Ltd-Purchase"/>
    <s v="R.M.P."/>
    <s v="RM 561"/>
    <x v="2"/>
    <s v="KPV/D/662"/>
    <s v="24-08-2026"/>
    <s v="FG"/>
    <s v="FIBC Bags"/>
    <s v="FIBC Bags"/>
    <s v="JUMBO BAG"/>
    <s v="FIBC Bags With UV Without Liner"/>
    <n v="863"/>
    <n v="166343.25"/>
    <s v="FIBC Bags With UV Without Liner"/>
    <n v="0"/>
    <n v="9"/>
    <n v="14970.89"/>
    <n v="9"/>
    <n v="14970.89"/>
    <n v="0"/>
    <n v="0"/>
    <n v="0"/>
    <n v="29941.78"/>
    <n v="0"/>
    <s v="24AAECK6307M1ZF"/>
    <s v="Kgs"/>
    <n v="63053200"/>
    <s v="Rs."/>
    <n v="1"/>
    <n v="0"/>
  </r>
  <r>
    <s v="25-08-2026"/>
    <s v="K.P. Woven Pvt Ltd-Purchase"/>
    <s v="R.M.P."/>
    <s v="RM 561"/>
    <x v="2"/>
    <s v="KPV/D/662"/>
    <s v="24-08-2026"/>
    <s v="FG"/>
    <s v="FIBC Bags"/>
    <s v="FIBC Bags"/>
    <s v="JUMBO BAG"/>
    <s v="FIBC Bags With UV Without Liner"/>
    <n v="4891.3999999999996"/>
    <n v="940029.25"/>
    <s v="FIBC Bags With UV Without Liner"/>
    <n v="0"/>
    <n v="9"/>
    <n v="84602.63"/>
    <n v="9"/>
    <n v="84602.63"/>
    <n v="0"/>
    <n v="0"/>
    <n v="0"/>
    <n v="169205.26"/>
    <n v="0"/>
    <s v="24AAECK6307M1ZF"/>
    <s v="Kgs"/>
    <n v="63053200"/>
    <s v="Rs."/>
    <n v="1"/>
    <n v="0"/>
  </r>
  <r>
    <s v="25-08-2026"/>
    <s v="K.P. Woven Pvt Ltd-Purchase"/>
    <s v="R.M.P."/>
    <s v="RM 561"/>
    <x v="2"/>
    <s v="KPV/D/662"/>
    <s v="24-08-2026"/>
    <s v="FG"/>
    <s v="FIBC Bags"/>
    <s v="FIBC Bags"/>
    <s v="JUMBO BAG"/>
    <s v="FIBC Bags With UV Without Liner"/>
    <n v="2023.3"/>
    <n v="384528.17"/>
    <s v="FIBC Bags With UV Without Liner"/>
    <n v="0"/>
    <n v="9"/>
    <n v="34607.53"/>
    <n v="9"/>
    <n v="34607.53"/>
    <n v="0"/>
    <n v="0"/>
    <n v="0"/>
    <n v="69215.06"/>
    <n v="0"/>
    <s v="24AAECK6307M1ZF"/>
    <s v="Kgs"/>
    <n v="63053200"/>
    <s v="Rs."/>
    <n v="1"/>
    <n v="0"/>
  </r>
  <r>
    <s v="25-08-2026"/>
    <s v="Mantri  Industries"/>
    <s v="Purchase"/>
    <s v="GNPK 85"/>
    <x v="3"/>
    <n v="786"/>
    <s v="25-08-2026"/>
    <s v="Packing Material"/>
    <s v="Pallets"/>
    <s v="Packing Material"/>
    <s v="Packing Material"/>
    <s v="Wooden Pallet Flate Size 85X105Cm"/>
    <n v="250"/>
    <n v="132500"/>
    <s v="Wooden Pallet Flate Size 85X105Cm"/>
    <n v="227850"/>
    <n v="2.5"/>
    <n v="3312.5"/>
    <n v="2.5"/>
    <n v="3312.5"/>
    <n v="0"/>
    <n v="0"/>
    <n v="0"/>
    <n v="6625"/>
    <n v="0"/>
    <s v="24AHSPM8569R1Z0"/>
    <s v="Pcs"/>
    <n v="44152000"/>
    <s v="Rs."/>
    <n v="1"/>
    <n v="0"/>
  </r>
  <r>
    <s v="25-08-2026"/>
    <s v="Mantri  Industries"/>
    <s v="Purchase"/>
    <s v="GNPK 85"/>
    <x v="3"/>
    <n v="786"/>
    <s v="25-08-2026"/>
    <s v="Packing Material"/>
    <s v="Pallets"/>
    <s v="Pallets"/>
    <s v="Packing Material"/>
    <s v="Pine Wooden Pallet Design Code STD90110"/>
    <n v="100"/>
    <n v="84500"/>
    <s v="Pine Wooden Pallet Design Code STD90110"/>
    <n v="0"/>
    <n v="2.5"/>
    <n v="2112.5"/>
    <n v="2.5"/>
    <n v="2112.5"/>
    <n v="0"/>
    <n v="0"/>
    <n v="0"/>
    <n v="4225"/>
    <n v="0"/>
    <s v="24AHSPM8569R1Z0"/>
    <s v="Pcs"/>
    <n v="44152000"/>
    <s v="Rs."/>
    <n v="1"/>
    <n v="0"/>
  </r>
  <r>
    <s v="25-08-2026"/>
    <s v="Plastene India ltd - Unit 1-Purchase"/>
    <s v="General Purchase"/>
    <s v="GNCN 379"/>
    <x v="0"/>
    <s v="PIL1/D/1482"/>
    <s v="25-08-2026"/>
    <s v="Stores/Spares"/>
    <s v="MS Structure Items"/>
    <s v="Spares &amp; Stores"/>
    <s v="Stores &amp; Consumables"/>
    <s v="MS Pipe 4  C Class"/>
    <n v="327"/>
    <n v="15696"/>
    <s v="MS Pipe 4  C Class"/>
    <n v="18505.580000000002"/>
    <n v="9"/>
    <n v="1412.64"/>
    <n v="9"/>
    <n v="1412.64"/>
    <n v="0"/>
    <n v="0"/>
    <n v="0"/>
    <n v="2825.28"/>
    <n v="0"/>
    <s v="24AAACO3087C1ZT"/>
    <s v="Kgs"/>
    <n v="73063090"/>
    <s v="Rs."/>
    <n v="1"/>
    <n v="0"/>
  </r>
  <r>
    <s v="25-08-2026"/>
    <s v="Plastene India ltd - Unit 1-Purchase"/>
    <s v="R.M.P."/>
    <s v="RM 562"/>
    <x v="1"/>
    <s v="PIL1/D/1481"/>
    <s v="25-08-2026"/>
    <s v="SF"/>
    <s v="PP/PE Fabric"/>
    <s v="PP UL Fabric"/>
    <s v="PP Woven Fabric"/>
    <s v="PP UL Fabric With UV"/>
    <n v="1237"/>
    <n v="179760.84"/>
    <s v="PP UL Fabric With UV"/>
    <n v="1534988.26"/>
    <n v="9"/>
    <n v="16178.48"/>
    <n v="9"/>
    <n v="16178.48"/>
    <n v="0"/>
    <n v="0"/>
    <n v="0"/>
    <n v="32356.959999999999"/>
    <n v="0"/>
    <s v="24AAACO3087C1ZT"/>
    <s v="Kgs"/>
    <n v="39269080"/>
    <s v="Rs."/>
    <n v="1"/>
    <n v="0"/>
  </r>
  <r>
    <s v="25-08-2026"/>
    <s v="Plastene India ltd - Unit 1-Purchase"/>
    <s v="R.M.P."/>
    <s v="RM 562"/>
    <x v="1"/>
    <s v="PIL1/D/1481"/>
    <s v="25-08-2026"/>
    <s v="SF"/>
    <s v="PP/PE Fabric"/>
    <s v="PP UL Fabric"/>
    <s v="PP Woven Fabric"/>
    <s v="PP UL Fabric With UV"/>
    <n v="705"/>
    <n v="101745.60000000001"/>
    <s v="PP UL Fabric With UV"/>
    <n v="0"/>
    <n v="9"/>
    <n v="9157.1"/>
    <n v="9"/>
    <n v="9157.1"/>
    <n v="0"/>
    <n v="0"/>
    <n v="0"/>
    <n v="18314.2"/>
    <n v="0"/>
    <s v="24AAACO3087C1ZT"/>
    <s v="Kgs"/>
    <n v="39269080"/>
    <s v="Rs."/>
    <n v="1"/>
    <n v="0"/>
  </r>
  <r>
    <s v="25-08-2026"/>
    <s v="Plastene India ltd - Unit 1-Purchase"/>
    <s v="R.M.P."/>
    <s v="RM 562"/>
    <x v="1"/>
    <s v="PIL1/D/1481"/>
    <s v="25-08-2026"/>
    <s v="SF"/>
    <s v="PP/PE Fabric"/>
    <s v="PP UL Fabric"/>
    <s v="PP Woven Fabric"/>
    <s v="PP UL Fabric With UV"/>
    <n v="7170"/>
    <n v="1020434.4"/>
    <s v="PP UL Fabric With UV"/>
    <n v="0"/>
    <n v="9"/>
    <n v="91839.1"/>
    <n v="9"/>
    <n v="91839.1"/>
    <n v="0"/>
    <n v="0"/>
    <n v="0"/>
    <n v="183678.2"/>
    <n v="0"/>
    <s v="24AAACO3087C1ZT"/>
    <s v="Kgs"/>
    <n v="39269080"/>
    <s v="Rs."/>
    <n v="1"/>
    <n v="0"/>
  </r>
  <r>
    <s v="25-08-2026"/>
    <s v="Plastene India ltd - Unit 1-Purchase"/>
    <s v="R.M.P."/>
    <s v="RM 563"/>
    <x v="1"/>
    <s v="PIL1/D/1484"/>
    <s v="25-08-2026"/>
    <s v="SF"/>
    <s v="Liners"/>
    <s v="LDPE/LLDPE Bags"/>
    <s v="LLDPE Bags"/>
    <s v="LDPE/LLDPE Bags/Liner"/>
    <n v="235"/>
    <n v="43442.1"/>
    <s v="LDPE/LLDPE Bags/Liner"/>
    <n v="266605.27"/>
    <n v="9"/>
    <n v="3909.79"/>
    <n v="9"/>
    <n v="3909.79"/>
    <n v="0"/>
    <n v="0"/>
    <n v="0"/>
    <n v="7819.58"/>
    <n v="0"/>
    <s v="24AAACO3087C1ZT"/>
    <s v="Kgs"/>
    <n v="39200000"/>
    <s v="Rs."/>
    <n v="1"/>
    <n v="0"/>
  </r>
  <r>
    <s v="25-08-2026"/>
    <s v="Plastene India ltd - Unit 1-Purchase"/>
    <s v="R.M.P."/>
    <s v="RM 563"/>
    <x v="1"/>
    <s v="PIL1/D/1484"/>
    <s v="25-08-2026"/>
    <s v="SF"/>
    <s v="Liners"/>
    <s v="LDPE/LLDPE Bags"/>
    <s v="LLDPE Bags"/>
    <s v="LDPE/LLDPE Bags/Liner"/>
    <n v="763"/>
    <n v="137233.18"/>
    <s v="LDPE/LLDPE Bags/Liner"/>
    <n v="0"/>
    <n v="9"/>
    <n v="12350.99"/>
    <n v="9"/>
    <n v="12350.99"/>
    <n v="0"/>
    <n v="0"/>
    <n v="0"/>
    <n v="24701.98"/>
    <n v="0"/>
    <s v="24AAACO3087C1ZT"/>
    <s v="Kgs"/>
    <n v="39200000"/>
    <s v="Rs."/>
    <n v="1"/>
    <n v="0"/>
  </r>
  <r>
    <s v="25-08-2026"/>
    <s v="Plastene India ltd - Unit 1-Purchase"/>
    <s v="R.M.P."/>
    <s v="RM 563"/>
    <x v="1"/>
    <s v="PIL1/D/1484"/>
    <s v="25-08-2026"/>
    <s v="SF"/>
    <s v="Liners"/>
    <s v="LDPE/LLDPE Bags"/>
    <s v="LLDPE Bags"/>
    <s v="LDPE/LLDPE Bags/Liner"/>
    <n v="257"/>
    <n v="45453.02"/>
    <s v="LDPE/LLDPE Bags/Liner"/>
    <n v="0"/>
    <n v="9"/>
    <n v="4090.77"/>
    <n v="9"/>
    <n v="4090.77"/>
    <n v="0"/>
    <n v="0"/>
    <n v="0"/>
    <n v="8181.54"/>
    <n v="0"/>
    <s v="24AAACO3087C1ZT"/>
    <s v="Kgs"/>
    <n v="39200000"/>
    <s v="Rs."/>
    <n v="1"/>
    <n v="0"/>
  </r>
  <r>
    <s v="25-08-2026"/>
    <s v="Plastene India ltd - Unit 1-Purchase"/>
    <s v="R.M.P."/>
    <s v="RM 564"/>
    <x v="1"/>
    <s v="PIL1/D/1485"/>
    <s v="25-08-2026"/>
    <s v="SF"/>
    <s v="Webbing"/>
    <s v="PP Webbing"/>
    <s v="PP Webbing"/>
    <s v="Webbing"/>
    <n v="17.3"/>
    <n v="2911.94"/>
    <s v="Webbing"/>
    <n v="992726.72"/>
    <n v="9"/>
    <n v="262.07"/>
    <n v="9"/>
    <n v="262.07"/>
    <n v="0"/>
    <n v="0"/>
    <n v="0"/>
    <n v="524.14"/>
    <n v="0"/>
    <s v="24AAACO3087C1ZT"/>
    <s v="Kgs"/>
    <n v="3926908"/>
    <s v="Rs."/>
    <n v="1"/>
    <n v="0"/>
  </r>
  <r>
    <s v="25-08-2026"/>
    <s v="Plastene India ltd - Unit 1-Purchase"/>
    <s v="R.M.P."/>
    <s v="RM 564"/>
    <x v="1"/>
    <s v="PIL1/D/1485"/>
    <s v="25-08-2026"/>
    <s v="SF"/>
    <s v="Webbing"/>
    <s v="PP Webbing"/>
    <s v="PP Webbing"/>
    <s v="Webbing"/>
    <n v="1281.7"/>
    <n v="188820.04"/>
    <s v="Webbing"/>
    <n v="0"/>
    <n v="9"/>
    <n v="16993.8"/>
    <n v="9"/>
    <n v="16993.8"/>
    <n v="0"/>
    <n v="0"/>
    <n v="0"/>
    <n v="33987.599999999999"/>
    <n v="0"/>
    <s v="24AAACO3087C1ZT"/>
    <s v="Kgs"/>
    <n v="3926908"/>
    <s v="Rs."/>
    <n v="1"/>
    <n v="0"/>
  </r>
  <r>
    <s v="25-08-2026"/>
    <s v="Plastene India ltd - Unit 1-Purchase"/>
    <s v="R.M.P."/>
    <s v="RM 564"/>
    <x v="1"/>
    <s v="PIL1/D/1485"/>
    <s v="25-08-2026"/>
    <s v="SF"/>
    <s v="Webbing"/>
    <s v="PP Webbing"/>
    <s v="PP Webbing"/>
    <s v="Webbing"/>
    <n v="243.6"/>
    <n v="35156.35"/>
    <s v="Webbing"/>
    <n v="0"/>
    <n v="9"/>
    <n v="3164.07"/>
    <n v="9"/>
    <n v="3164.07"/>
    <n v="0"/>
    <n v="0"/>
    <n v="0"/>
    <n v="6328.14"/>
    <n v="0"/>
    <s v="24AAACO3087C1ZT"/>
    <s v="Kgs"/>
    <n v="3926908"/>
    <s v="Rs."/>
    <n v="1"/>
    <n v="0"/>
  </r>
  <r>
    <s v="25-08-2026"/>
    <s v="Plastene India ltd - Unit 1-Purchase"/>
    <s v="R.M.P."/>
    <s v="RM 564"/>
    <x v="1"/>
    <s v="PIL1/D/1485"/>
    <s v="25-08-2026"/>
    <s v="SF"/>
    <s v="Liners"/>
    <s v="LDPE/LLDPE Bags"/>
    <s v="LLDPE Bags"/>
    <s v="LDPE/LLDPE Bags/Liner"/>
    <n v="3478"/>
    <n v="615119.07999999996"/>
    <s v="LDPE/LLDPE Bags/Liner"/>
    <n v="0"/>
    <n v="9"/>
    <n v="55360.72"/>
    <n v="9"/>
    <n v="55360.72"/>
    <n v="0"/>
    <n v="0"/>
    <n v="0"/>
    <n v="110721.44"/>
    <n v="0"/>
    <s v="24AAACO3087C1ZT"/>
    <s v="Kgs"/>
    <n v="39200000"/>
    <s v="Rs."/>
    <n v="1"/>
    <n v="0"/>
  </r>
  <r>
    <s v="25-08-2026"/>
    <s v="Shree Ganesh Stereo"/>
    <s v="General Purchase"/>
    <s v="GNCN 375"/>
    <x v="0"/>
    <n v="1862"/>
    <d v="2026-07-08T00:00:00"/>
    <s v="Consumables"/>
    <s v="Rubber/Polymer Stereo"/>
    <s v="Spares &amp; Stores"/>
    <s v="Stores &amp; Consumables"/>
    <s v="Rubber Stereo"/>
    <n v="27494"/>
    <n v="9622.9"/>
    <s v="Rubber Stereo"/>
    <n v="11355"/>
    <n v="9"/>
    <n v="866.06"/>
    <n v="9"/>
    <n v="866.06"/>
    <n v="0"/>
    <n v="0"/>
    <n v="0"/>
    <n v="1732.12"/>
    <n v="0"/>
    <s v="24AHDPC2510M1ZU"/>
    <s v="Pcs"/>
    <n v="400200"/>
    <s v="Rs."/>
    <n v="1"/>
    <n v="0"/>
  </r>
  <r>
    <s v="25-08-2026"/>
    <s v="Shree Ganesh Stereo"/>
    <s v="General Purchase"/>
    <s v="GNCN 376"/>
    <x v="0"/>
    <n v="1902"/>
    <d v="2026-10-08T00:00:00"/>
    <s v="Consumables"/>
    <s v="Rubber/Polymer Stereo"/>
    <s v="Spares &amp; Stores"/>
    <s v="Stores &amp; Consumables"/>
    <s v="Rubber Stereo"/>
    <n v="2863"/>
    <n v="1002.05"/>
    <s v="Rubber Stereo"/>
    <n v="1182"/>
    <n v="9"/>
    <n v="90.18"/>
    <n v="9"/>
    <n v="90.18"/>
    <n v="0"/>
    <n v="0"/>
    <n v="0"/>
    <n v="180.36"/>
    <n v="0"/>
    <s v="24AHDPC2510M1ZU"/>
    <s v="Pcs"/>
    <n v="400200"/>
    <s v="Rs."/>
    <n v="1"/>
    <n v="0"/>
  </r>
  <r>
    <s v="25-08-2026"/>
    <s v="Tritha Graphics"/>
    <s v="General Purchase"/>
    <s v="GNCN 373"/>
    <x v="0"/>
    <n v="9696"/>
    <d v="2026-08-08T00:00:00"/>
    <s v="Consumables"/>
    <s v="Rubber/Polymer Stereo"/>
    <s v="Spares &amp; Stores"/>
    <s v="Stores &amp; Consumables"/>
    <s v="Polymer Stereo"/>
    <n v="16243.48"/>
    <n v="18680"/>
    <s v="Polymer Stereo"/>
    <n v="22042.400000000001"/>
    <n v="9"/>
    <n v="1681.2"/>
    <n v="9"/>
    <n v="1681.2"/>
    <n v="0"/>
    <n v="0"/>
    <n v="0"/>
    <n v="3362.4"/>
    <n v="0"/>
    <s v="24AARFT4204A1ZK"/>
    <s v="CMS"/>
    <n v="37013000"/>
    <s v="Rs."/>
    <n v="1"/>
    <n v="0"/>
  </r>
  <r>
    <s v="25-08-2026"/>
    <s v="Tritha Graphics"/>
    <s v="General Purchase"/>
    <s v="GNCN 374"/>
    <x v="0"/>
    <n v="9710"/>
    <d v="2026-10-08T00:00:00"/>
    <s v="Consumables"/>
    <s v="Rubber/Polymer Stereo"/>
    <s v="Spares &amp; Stores"/>
    <s v="Stores &amp; Consumables"/>
    <s v="Polymer Stereo"/>
    <n v="9227.8799999999992"/>
    <n v="10612.06"/>
    <s v="Polymer Stereo"/>
    <n v="12522.23"/>
    <n v="9"/>
    <n v="955.09"/>
    <n v="9"/>
    <n v="955.09"/>
    <n v="0"/>
    <n v="0"/>
    <n v="0"/>
    <n v="1910.18"/>
    <n v="0"/>
    <s v="24AARFT4204A1ZK"/>
    <s v="CMS"/>
    <n v="37013000"/>
    <s v="Rs."/>
    <n v="1"/>
    <n v="0"/>
  </r>
  <r>
    <s v="26-08-2026"/>
    <s v="K.P. Woven Pvt Ltd-Purchase"/>
    <s v="R.M.P."/>
    <s v="RM 565"/>
    <x v="2"/>
    <s v="KPV/D/669"/>
    <s v="25-08-2026"/>
    <s v="FG"/>
    <s v="FIBC Bags"/>
    <s v="FIBC Bags"/>
    <s v="JUMBO BAG"/>
    <s v="FIBC Bags With UV Without Liner"/>
    <n v="7005.6"/>
    <n v="1231794.6499999999"/>
    <s v="FIBC Bags With UV Without Liner"/>
    <n v="1452285.9"/>
    <n v="9"/>
    <n v="110861.52"/>
    <n v="9"/>
    <n v="110861.52"/>
    <n v="0"/>
    <n v="0"/>
    <n v="0"/>
    <n v="221723.04"/>
    <n v="0"/>
    <s v="24AAECK6307M1ZF"/>
    <s v="Kgs"/>
    <n v="63053200"/>
    <s v="Rs."/>
    <n v="1"/>
    <n v="0"/>
  </r>
  <r>
    <s v="26-08-2026"/>
    <s v="New Arm"/>
    <s v="General Purchase"/>
    <s v="GNSP 167"/>
    <x v="0"/>
    <s v="2026-27/125"/>
    <s v="21-08-2026"/>
    <s v="Stores/Spares"/>
    <s v="Needles"/>
    <s v="Spares &amp; Stores"/>
    <s v="Stores &amp; Consumables"/>
    <s v="Needle No 28"/>
    <n v="300"/>
    <n v="28500"/>
    <s v="Needle No 28"/>
    <n v="30083"/>
    <n v="2.5"/>
    <n v="712.5"/>
    <n v="2.5"/>
    <n v="712.5"/>
    <n v="0"/>
    <n v="0"/>
    <n v="7.5"/>
    <n v="1432.5"/>
    <n v="0"/>
    <s v="24ARUPP0806G1ZP"/>
    <s v="Pcs"/>
    <n v="73191020"/>
    <s v="Rs."/>
    <n v="1"/>
    <n v="0"/>
  </r>
  <r>
    <s v="26-08-2026"/>
    <s v="Panchvati Tools Co."/>
    <s v="General Purchase"/>
    <s v="GNSP 168"/>
    <x v="0"/>
    <n v="1561"/>
    <s v="21-08-2026"/>
    <s v="Stores/Spares"/>
    <s v="Hardware Items"/>
    <s v="Spares &amp; Stores"/>
    <s v="Stores &amp; Consumables"/>
    <s v="Drill Bit Hss Size :- 8.5 mm"/>
    <n v="2"/>
    <n v="459.95"/>
    <s v="Drill Bit Hss Size :- 8.5 mm"/>
    <n v="8538"/>
    <n v="9"/>
    <n v="41.4"/>
    <n v="9"/>
    <n v="41.4"/>
    <n v="0"/>
    <n v="0"/>
    <n v="0"/>
    <n v="82.8"/>
    <n v="0"/>
    <s v="24ABVPP9097Q1Z7"/>
    <s v="Pcs"/>
    <n v="82074010"/>
    <s v="Rs."/>
    <n v="1"/>
    <n v="0"/>
  </r>
  <r>
    <s v="26-08-2026"/>
    <s v="Panchvati Tools Co."/>
    <s v="General Purchase"/>
    <s v="GNSP 168"/>
    <x v="0"/>
    <n v="1561"/>
    <s v="21-08-2026"/>
    <s v="Stores/Spares"/>
    <s v="Hardware Items"/>
    <s v="Spares &amp; Stores"/>
    <s v="Stores &amp; Consumables"/>
    <s v="Drill Bit Hss Size :- 12 mm"/>
    <n v="1"/>
    <n v="462.33"/>
    <s v="Drill Bit Hss Size :- 12 mm"/>
    <n v="0"/>
    <n v="9"/>
    <n v="41.61"/>
    <n v="9"/>
    <n v="41.61"/>
    <n v="0"/>
    <n v="0"/>
    <n v="0"/>
    <n v="83.22"/>
    <n v="0"/>
    <s v="24ABVPP9097Q1Z7"/>
    <s v="Pcs"/>
    <n v="82079090"/>
    <s v="Rs."/>
    <n v="1"/>
    <n v="0"/>
  </r>
  <r>
    <s v="26-08-2026"/>
    <s v="Panchvati Tools Co."/>
    <s v="General Purchase"/>
    <s v="GNSP 168"/>
    <x v="0"/>
    <n v="1561"/>
    <s v="21-08-2026"/>
    <s v="Stores/Spares"/>
    <s v="Hardware Items"/>
    <s v="Spares &amp; Stores"/>
    <s v="Stores &amp; Consumables"/>
    <s v="Drill Bit Hss Size :- 4 mm"/>
    <n v="3"/>
    <n v="155.13999999999999"/>
    <s v="Drill Bit Hss Size :- 4 mm"/>
    <n v="0"/>
    <n v="9"/>
    <n v="13.96"/>
    <n v="9"/>
    <n v="13.96"/>
    <n v="0"/>
    <n v="0"/>
    <n v="0"/>
    <n v="27.92"/>
    <n v="0"/>
    <s v="24ABVPP9097Q1Z7"/>
    <s v="Pcs"/>
    <n v="30051020"/>
    <s v="Rs."/>
    <n v="1"/>
    <n v="0"/>
  </r>
  <r>
    <s v="26-08-2026"/>
    <s v="Panchvati Tools Co."/>
    <s v="General Purchase"/>
    <s v="GNSP 168"/>
    <x v="0"/>
    <n v="1561"/>
    <s v="21-08-2026"/>
    <s v="Stores/Spares"/>
    <s v="Hardware Items"/>
    <s v="Spares &amp; Stores"/>
    <s v="Stores &amp; Consumables"/>
    <s v="Drill Bit Hss Size :- 6 mm"/>
    <n v="3"/>
    <n v="298.25"/>
    <s v="Drill Bit Hss Size :- 6 mm"/>
    <n v="0"/>
    <n v="9"/>
    <n v="26.84"/>
    <n v="9"/>
    <n v="26.84"/>
    <n v="0"/>
    <n v="0"/>
    <n v="0"/>
    <n v="53.68"/>
    <n v="0"/>
    <s v="24ABVPP9097Q1Z7"/>
    <s v="Pcs"/>
    <n v="82079090"/>
    <s v="Rs."/>
    <n v="1"/>
    <n v="0"/>
  </r>
  <r>
    <s v="26-08-2026"/>
    <s v="Panchvati Tools Co."/>
    <s v="General Purchase"/>
    <s v="GNSP 168"/>
    <x v="0"/>
    <n v="1561"/>
    <s v="21-08-2026"/>
    <s v="Stores/Spares"/>
    <s v="Hardware Items"/>
    <s v="Spares &amp; Stores"/>
    <s v="Stores &amp; Consumables"/>
    <s v="Drill Bit Hss Size :- 10.5 mm"/>
    <n v="2"/>
    <n v="694.69"/>
    <s v="Drill Bit Hss Size :- 10.5 mm"/>
    <n v="0"/>
    <n v="9"/>
    <n v="62.52"/>
    <n v="9"/>
    <n v="62.52"/>
    <n v="0"/>
    <n v="0"/>
    <n v="0"/>
    <n v="125.04"/>
    <n v="0"/>
    <s v="24ABVPP9097Q1Z7"/>
    <s v="Pcs"/>
    <n v="83023200"/>
    <s v="Rs."/>
    <n v="1"/>
    <n v="0"/>
  </r>
  <r>
    <s v="26-08-2026"/>
    <s v="Panchvati Tools Co."/>
    <s v="General Purchase"/>
    <s v="GNSP 168"/>
    <x v="0"/>
    <n v="1561"/>
    <s v="21-08-2026"/>
    <s v="Stores/Spares"/>
    <s v="Welding Rods"/>
    <s v="Spares &amp; Stores"/>
    <s v="Stores &amp; Consumables"/>
    <s v="Welding Rod 3.15 mm  &quot;Manglam&quot; Brand  (1. Box = 12 Pkt.)"/>
    <n v="16"/>
    <n v="4800"/>
    <s v="Welding Rod 3.15 mm  &quot;Manglam&quot; Brand  (1. Box = 12 Pkt.)"/>
    <n v="0"/>
    <n v="9"/>
    <n v="432"/>
    <n v="9"/>
    <n v="432"/>
    <n v="0"/>
    <n v="0"/>
    <n v="0"/>
    <n v="864"/>
    <n v="0"/>
    <s v="24ABVPP9097Q1Z7"/>
    <s v="Pkts"/>
    <n v="83113090"/>
    <s v="Rs."/>
    <n v="1"/>
    <n v="0"/>
  </r>
  <r>
    <s v="26-08-2026"/>
    <s v="Panchvati Tools Co."/>
    <s v="General Purchase"/>
    <s v="GNSP 168"/>
    <x v="0"/>
    <n v="1561"/>
    <s v="21-08-2026"/>
    <s v="Stores/Spares"/>
    <s v="Hardware Items"/>
    <s v="Spares &amp; Stores"/>
    <s v="Stores &amp; Consumables"/>
    <s v="Drill Bit Hss Size :- 6.5 mm"/>
    <n v="2"/>
    <n v="276.27999999999997"/>
    <s v="Drill Bit Hss Size :- 6.5 mm"/>
    <n v="0"/>
    <n v="9"/>
    <n v="24.87"/>
    <n v="9"/>
    <n v="24.87"/>
    <n v="0"/>
    <n v="0"/>
    <n v="0"/>
    <n v="49.74"/>
    <n v="0"/>
    <s v="24ABVPP9097Q1Z7"/>
    <s v="Pcs"/>
    <n v="82074010"/>
    <s v="Rs."/>
    <n v="1"/>
    <n v="0"/>
  </r>
  <r>
    <s v="26-08-2026"/>
    <s v="Panchvati Tools Co."/>
    <s v="General Purchase"/>
    <s v="GNSP 168"/>
    <x v="0"/>
    <n v="1561"/>
    <s v="21-08-2026"/>
    <s v="Stores/Spares"/>
    <s v="Hardware Items"/>
    <s v="Spares &amp; Stores"/>
    <s v="Stores &amp; Consumables"/>
    <s v="Drill Bit Hss Size :- 3 mm"/>
    <n v="3"/>
    <n v="88.94"/>
    <s v="Drill Bit Hss Size :- 3 mm"/>
    <n v="0"/>
    <n v="9"/>
    <n v="8"/>
    <n v="9"/>
    <n v="8"/>
    <n v="0"/>
    <n v="0"/>
    <n v="0"/>
    <n v="16"/>
    <n v="0"/>
    <s v="24ABVPP9097Q1Z7"/>
    <s v="Pcs"/>
    <n v="30051020"/>
    <s v="Rs."/>
    <n v="1"/>
    <n v="0"/>
  </r>
  <r>
    <s v="26-08-2026"/>
    <s v="Plastene India ltd - Unit 1-Purchase"/>
    <s v="General Purchase"/>
    <s v="GNCN 381"/>
    <x v="0"/>
    <s v="PIL1/D/1498"/>
    <s v="26-08-2026"/>
    <s v="Stores/Spares"/>
    <s v="MS Structure Items"/>
    <s v="Spares &amp; Stores"/>
    <s v="Stores &amp; Consumables"/>
    <s v="MS Pipe 4  C Class"/>
    <n v="586"/>
    <n v="28128"/>
    <s v="MS Pipe 4  C Class"/>
    <n v="33162.910000000003"/>
    <n v="9"/>
    <n v="2531.52"/>
    <n v="9"/>
    <n v="2531.52"/>
    <n v="0"/>
    <n v="0"/>
    <n v="0"/>
    <n v="5063.04"/>
    <n v="0"/>
    <s v="24AAACO3087C1ZT"/>
    <s v="Kgs"/>
    <n v="73063090"/>
    <s v="Rs."/>
    <n v="1"/>
    <n v="0"/>
  </r>
  <r>
    <s v="26-08-2026"/>
    <s v="Plastene India ltd - Unit 1-Purchase"/>
    <s v="R.M.P."/>
    <s v="RM 569"/>
    <x v="1"/>
    <s v="PIL1/D/1494"/>
    <s v="26-08-2026"/>
    <s v="SF"/>
    <s v="PP/PE Fabric"/>
    <s v="PP UL Fabric"/>
    <s v="PP Woven Fabric"/>
    <s v="PP UL Fabric With UV"/>
    <n v="6153"/>
    <n v="875694.96"/>
    <s v="PP UL Fabric With UV"/>
    <n v="1324322.6000000001"/>
    <n v="9"/>
    <n v="78812.55"/>
    <n v="9"/>
    <n v="78812.55"/>
    <n v="0"/>
    <n v="0"/>
    <n v="0"/>
    <n v="157625.1"/>
    <n v="0"/>
    <s v="24AAACO3087C1ZT"/>
    <s v="Kgs"/>
    <n v="39269080"/>
    <s v="Rs."/>
    <n v="1"/>
    <n v="0"/>
  </r>
  <r>
    <s v="26-08-2026"/>
    <s v="Plastene India ltd - Unit 1-Purchase"/>
    <s v="R.M.P."/>
    <s v="RM 569"/>
    <x v="1"/>
    <s v="PIL1/D/1494"/>
    <s v="26-08-2026"/>
    <s v="SF"/>
    <s v="PP/PE Fabric"/>
    <s v="PP UL Fabric"/>
    <s v="PP Woven Fabric"/>
    <s v="PP UL Fabric With UV"/>
    <n v="1210"/>
    <n v="175837.2"/>
    <s v="PP UL Fabric With UV"/>
    <n v="0"/>
    <n v="9"/>
    <n v="15825.35"/>
    <n v="9"/>
    <n v="15825.35"/>
    <n v="0"/>
    <n v="0"/>
    <n v="0"/>
    <n v="31650.7"/>
    <n v="0"/>
    <s v="24AAACO3087C1ZT"/>
    <s v="Kgs"/>
    <n v="39269080"/>
    <s v="Rs."/>
    <n v="1"/>
    <n v="0"/>
  </r>
  <r>
    <s v="26-08-2026"/>
    <s v="Plastene India ltd - Unit 1-Purchase"/>
    <s v="R.M.P."/>
    <s v="RM 569"/>
    <x v="1"/>
    <s v="PIL1/D/1494"/>
    <s v="26-08-2026"/>
    <s v="SF"/>
    <s v="PP/PE Fabric"/>
    <s v="PP UL Fabric"/>
    <s v="PP Woven Fabric"/>
    <s v="PP UL Fabric With UV"/>
    <n v="497"/>
    <n v="71727.039999999994"/>
    <s v="PP UL Fabric With UV"/>
    <n v="0"/>
    <n v="9"/>
    <n v="6455.43"/>
    <n v="9"/>
    <n v="6455.43"/>
    <n v="0"/>
    <n v="0"/>
    <n v="0"/>
    <n v="12910.86"/>
    <n v="0"/>
    <s v="24AAACO3087C1ZT"/>
    <s v="Kgs"/>
    <n v="39269080"/>
    <s v="Rs."/>
    <n v="1"/>
    <n v="0"/>
  </r>
  <r>
    <s v="26-08-2026"/>
    <s v="Plastene India ltd - Unit 1-Purchase"/>
    <s v="R.M.P."/>
    <s v="RM 570"/>
    <x v="1"/>
    <s v="PIL1/D/1495"/>
    <s v="26-08-2026"/>
    <s v="SF"/>
    <s v="PP/PE Fabric"/>
    <s v="PP UL Fabric"/>
    <s v="PP Woven Fabric"/>
    <s v="PP UL Fabric With UV"/>
    <n v="4410"/>
    <n v="627631.19999999995"/>
    <s v="PP UL Fabric With UV"/>
    <n v="973882.98"/>
    <n v="9"/>
    <n v="56486.81"/>
    <n v="9"/>
    <n v="56486.81"/>
    <n v="0"/>
    <n v="0"/>
    <n v="0"/>
    <n v="112973.62"/>
    <n v="0"/>
    <s v="24AAACO3087C1ZT"/>
    <s v="Kgs"/>
    <n v="39269080"/>
    <s v="Rs."/>
    <n v="1"/>
    <n v="0"/>
  </r>
  <r>
    <s v="26-08-2026"/>
    <s v="Plastene India ltd - Unit 1-Purchase"/>
    <s v="R.M.P."/>
    <s v="RM 570"/>
    <x v="1"/>
    <s v="PIL1/D/1495"/>
    <s v="26-08-2026"/>
    <s v="SF"/>
    <s v="PP/PE Fabric"/>
    <s v="PP UL Fabric"/>
    <s v="PP Woven Fabric"/>
    <s v="PP UL Fabric With UV"/>
    <n v="578"/>
    <n v="83416.960000000006"/>
    <s v="PP UL Fabric With UV"/>
    <n v="0"/>
    <n v="9"/>
    <n v="7507.53"/>
    <n v="9"/>
    <n v="7507.53"/>
    <n v="0"/>
    <n v="0"/>
    <n v="0"/>
    <n v="15015.06"/>
    <n v="0"/>
    <s v="24AAACO3087C1ZT"/>
    <s v="Kgs"/>
    <n v="39269080"/>
    <s v="Rs."/>
    <n v="1"/>
    <n v="0"/>
  </r>
  <r>
    <s v="26-08-2026"/>
    <s v="Plastene India ltd - Unit 1-Purchase"/>
    <s v="R.M.P."/>
    <s v="RM 570"/>
    <x v="1"/>
    <s v="PIL1/D/1495"/>
    <s v="26-08-2026"/>
    <s v="SF"/>
    <s v="PP/PE Fabric"/>
    <s v="PP Lam Fabric"/>
    <s v="PP Laminated Woven Fabric"/>
    <s v="PP Lam Fabric With UV"/>
    <n v="770"/>
    <n v="114976.4"/>
    <s v="PP Lam Fabric With UV"/>
    <n v="0"/>
    <n v="9"/>
    <n v="10347.879999999999"/>
    <n v="9"/>
    <n v="10347.879999999999"/>
    <n v="0"/>
    <n v="0"/>
    <n v="0"/>
    <n v="20695.759999999998"/>
    <n v="0"/>
    <s v="24AAACO3087C1ZT"/>
    <s v="Kgs"/>
    <n v="63053300"/>
    <s v="Rs."/>
    <n v="1"/>
    <n v="0"/>
  </r>
  <r>
    <s v="26-08-2026"/>
    <s v="Plastene India ltd - Unit 1-Purchase"/>
    <s v="R.M.P."/>
    <s v="RM 571"/>
    <x v="1"/>
    <s v="PIL1/D/1499"/>
    <s v="26-08-2026"/>
    <s v="SF"/>
    <s v="PP/PE Fabric"/>
    <s v="PP Lam Fabric"/>
    <s v="PP Laminated Woven Fabric"/>
    <s v="PP Lam Fabric With UV"/>
    <n v="660"/>
    <n v="98551.2"/>
    <s v="PP Lam Fabric With UV"/>
    <n v="1224258.49"/>
    <n v="9"/>
    <n v="8869.61"/>
    <n v="9"/>
    <n v="8869.61"/>
    <n v="0"/>
    <n v="0"/>
    <n v="0"/>
    <n v="17739.22"/>
    <n v="0"/>
    <s v="24AAACO3087C1ZT"/>
    <s v="Kgs"/>
    <n v="63053300"/>
    <s v="Rs."/>
    <n v="1"/>
    <n v="0"/>
  </r>
  <r>
    <s v="26-08-2026"/>
    <s v="Plastene India ltd - Unit 1-Purchase"/>
    <s v="R.M.P."/>
    <s v="RM 571"/>
    <x v="1"/>
    <s v="PIL1/D/1499"/>
    <s v="26-08-2026"/>
    <s v="SF"/>
    <s v="Webbing"/>
    <s v="PP Webbing"/>
    <s v="PP Webbing"/>
    <s v="Webbing"/>
    <n v="15"/>
    <n v="2524.8000000000002"/>
    <s v="Webbing"/>
    <n v="0"/>
    <n v="9"/>
    <n v="227.23"/>
    <n v="9"/>
    <n v="227.23"/>
    <n v="0"/>
    <n v="0"/>
    <n v="0"/>
    <n v="454.46"/>
    <n v="0"/>
    <s v="24AAACO3087C1ZT"/>
    <s v="Kgs"/>
    <n v="3926908"/>
    <s v="Rs."/>
    <n v="1"/>
    <n v="0"/>
  </r>
  <r>
    <s v="26-08-2026"/>
    <s v="Plastene India ltd - Unit 1-Purchase"/>
    <s v="R.M.P."/>
    <s v="RM 571"/>
    <x v="1"/>
    <s v="PIL1/D/1499"/>
    <s v="26-08-2026"/>
    <s v="SF"/>
    <s v="Webbing"/>
    <s v="PP Webbing"/>
    <s v="PP Webbing"/>
    <s v="Webbing"/>
    <n v="1153.9000000000001"/>
    <n v="169992.55"/>
    <s v="Webbing"/>
    <n v="0"/>
    <n v="9"/>
    <n v="15299.33"/>
    <n v="9"/>
    <n v="15299.33"/>
    <n v="0"/>
    <n v="0"/>
    <n v="0"/>
    <n v="30598.66"/>
    <n v="0"/>
    <s v="24AAACO3087C1ZT"/>
    <s v="Kgs"/>
    <n v="3926908"/>
    <s v="Rs."/>
    <n v="1"/>
    <n v="0"/>
  </r>
  <r>
    <s v="26-08-2026"/>
    <s v="Plastene India ltd - Unit 1-Purchase"/>
    <s v="R.M.P."/>
    <s v="RM 571"/>
    <x v="1"/>
    <s v="PIL1/D/1499"/>
    <s v="26-08-2026"/>
    <s v="SF"/>
    <s v="Webbing"/>
    <s v="PP Webbing"/>
    <s v="PP Webbing"/>
    <s v="Webbing"/>
    <n v="511.3"/>
    <n v="73790.820000000007"/>
    <s v="Webbing"/>
    <n v="0"/>
    <n v="9"/>
    <n v="6641.17"/>
    <n v="9"/>
    <n v="6641.17"/>
    <n v="0"/>
    <n v="0"/>
    <n v="0"/>
    <n v="13282.34"/>
    <n v="0"/>
    <s v="24AAACO3087C1ZT"/>
    <s v="Kgs"/>
    <n v="3926908"/>
    <s v="Rs."/>
    <n v="1"/>
    <n v="0"/>
  </r>
  <r>
    <s v="26-08-2026"/>
    <s v="Plastene India ltd - Unit 1-Purchase"/>
    <s v="R.M.P."/>
    <s v="RM 571"/>
    <x v="1"/>
    <s v="PIL1/D/1499"/>
    <s v="26-08-2026"/>
    <s v="SF"/>
    <s v="Liners"/>
    <s v="LDPE/LLDPE Bags"/>
    <s v="LLDPE Bags"/>
    <s v="LDPE/LLDPE Bags/Liner"/>
    <n v="185"/>
    <n v="34199.1"/>
    <s v="LDPE/LLDPE Bags/Liner"/>
    <n v="0"/>
    <n v="9"/>
    <n v="3077.92"/>
    <n v="9"/>
    <n v="3077.92"/>
    <n v="0"/>
    <n v="0"/>
    <n v="0"/>
    <n v="6155.84"/>
    <n v="0"/>
    <s v="24AAACO3087C1ZT"/>
    <s v="Kgs"/>
    <n v="39200000"/>
    <s v="Rs."/>
    <n v="1"/>
    <n v="0"/>
  </r>
  <r>
    <s v="26-08-2026"/>
    <s v="Plastene India ltd - Unit 1-Purchase"/>
    <s v="R.M.P."/>
    <s v="RM 571"/>
    <x v="1"/>
    <s v="PIL1/D/1499"/>
    <s v="26-08-2026"/>
    <s v="SF"/>
    <s v="Liners"/>
    <s v="LDPE/LLDPE Bags"/>
    <s v="LLDPE Bags"/>
    <s v="LDPE/LLDPE Bags/Liner"/>
    <n v="246"/>
    <n v="43507.56"/>
    <s v="LDPE/LLDPE Bags/Liner"/>
    <n v="0"/>
    <n v="9"/>
    <n v="3915.68"/>
    <n v="9"/>
    <n v="3915.68"/>
    <n v="0"/>
    <n v="0"/>
    <n v="0"/>
    <n v="7831.36"/>
    <n v="0"/>
    <s v="24AAACO3087C1ZT"/>
    <s v="Kgs"/>
    <n v="39200000"/>
    <s v="Rs."/>
    <n v="1"/>
    <n v="0"/>
  </r>
  <r>
    <s v="26-08-2026"/>
    <s v="Plastene India ltd - Unit 1-Purchase"/>
    <s v="R.M.P."/>
    <s v="RM 571"/>
    <x v="1"/>
    <s v="PIL1/D/1499"/>
    <s v="26-08-2026"/>
    <s v="SF"/>
    <s v="PP/PE Fabric"/>
    <s v="PP UL Fabric"/>
    <s v="PP Woven Fabric"/>
    <s v="PP UL Fabric With UV"/>
    <n v="261"/>
    <n v="37928.519999999997"/>
    <s v="PP UL Fabric With UV"/>
    <n v="0"/>
    <n v="9"/>
    <n v="3413.57"/>
    <n v="9"/>
    <n v="3413.57"/>
    <n v="0"/>
    <n v="0"/>
    <n v="0"/>
    <n v="6827.14"/>
    <n v="0"/>
    <s v="24AAACO3087C1ZT"/>
    <s v="Kgs"/>
    <n v="39269080"/>
    <s v="Rs."/>
    <n v="1"/>
    <n v="0"/>
  </r>
  <r>
    <s v="26-08-2026"/>
    <s v="Plastene India ltd - Unit 1-Purchase"/>
    <s v="R.M.P."/>
    <s v="RM 571"/>
    <x v="1"/>
    <s v="PIL1/D/1499"/>
    <s v="26-08-2026"/>
    <s v="SF"/>
    <s v="PP/PE Fabric"/>
    <s v="PP UL Fabric"/>
    <s v="PP Woven Fabric"/>
    <s v="PP UL Fabric With UV"/>
    <n v="822"/>
    <n v="116987.04"/>
    <s v="PP UL Fabric With UV"/>
    <n v="0"/>
    <n v="9"/>
    <n v="10528.83"/>
    <n v="9"/>
    <n v="10528.83"/>
    <n v="0"/>
    <n v="0"/>
    <n v="0"/>
    <n v="21057.66"/>
    <n v="0"/>
    <s v="24AAACO3087C1ZT"/>
    <s v="Kgs"/>
    <n v="39269080"/>
    <s v="Rs."/>
    <n v="1"/>
    <n v="0"/>
  </r>
  <r>
    <s v="26-08-2026"/>
    <s v="Plastene India ltd - Unit 1-Purchase"/>
    <s v="R.M.P."/>
    <s v="RM 571"/>
    <x v="1"/>
    <s v="PIL1/D/1499"/>
    <s v="26-08-2026"/>
    <s v="SF"/>
    <s v="PP/PE Fabric"/>
    <s v="PP UL Fabric"/>
    <s v="PP Woven Fabric"/>
    <s v="PP UL Fabric With UV"/>
    <n v="952"/>
    <n v="137392.64000000001"/>
    <s v="PP UL Fabric With UV"/>
    <n v="0"/>
    <n v="9"/>
    <n v="12365.34"/>
    <n v="9"/>
    <n v="12365.34"/>
    <n v="0"/>
    <n v="0"/>
    <n v="0"/>
    <n v="24730.68"/>
    <n v="0"/>
    <s v="24AAACO3087C1ZT"/>
    <s v="Kgs"/>
    <n v="39269080"/>
    <s v="Rs."/>
    <n v="1"/>
    <n v="0"/>
  </r>
  <r>
    <s v="26-08-2026"/>
    <s v="Plastene India ltd - Unit 1-Purchase"/>
    <s v="R.M.P."/>
    <s v="RM 571"/>
    <x v="1"/>
    <s v="PIL1/D/1499"/>
    <s v="26-08-2026"/>
    <s v="SF"/>
    <s v="Yarn All"/>
    <s v="PP Yarn"/>
    <s v="PP Filament Yarn"/>
    <s v="PP MF Yarn Twisted 3000 Denier Yellow"/>
    <n v="391.5"/>
    <n v="61590.78"/>
    <s v="PP MF Yarn Twisted 3000 Denier Yellow"/>
    <n v="0"/>
    <n v="2.5"/>
    <n v="1539.77"/>
    <n v="2.5"/>
    <n v="1539.77"/>
    <n v="0"/>
    <n v="0"/>
    <n v="0"/>
    <n v="3079.54"/>
    <n v="0"/>
    <s v="24AAACO3087C1ZT"/>
    <s v="Kgs"/>
    <n v="54026930"/>
    <s v="Rs."/>
    <n v="1"/>
    <n v="0"/>
  </r>
  <r>
    <s v="26-08-2026"/>
    <s v="Plastene India ltd - Unit 1-Purchase"/>
    <s v="R.M.P."/>
    <s v="RM 571"/>
    <x v="1"/>
    <s v="PIL1/D/1499"/>
    <s v="26-08-2026"/>
    <s v="SF"/>
    <s v="Yarn All"/>
    <s v="PP Yarn"/>
    <s v="PP Filament Yarn"/>
    <s v="PP MF Yarn Twisted 3000 Denier UV NW"/>
    <n v="1020.2"/>
    <n v="157437.26"/>
    <s v="PP MF Yarn Twisted 3000 Denier UV NW"/>
    <n v="0"/>
    <n v="2.5"/>
    <n v="3935.93"/>
    <n v="2.5"/>
    <n v="3935.93"/>
    <n v="0"/>
    <n v="0"/>
    <n v="0"/>
    <n v="7871.86"/>
    <n v="0"/>
    <s v="24AAACO3087C1ZT"/>
    <s v="Kgs"/>
    <n v="540263"/>
    <s v="Rs."/>
    <n v="1"/>
    <n v="0"/>
  </r>
  <r>
    <s v="26-08-2026"/>
    <s v="Plastene India ltd - Unit 1-Purchase"/>
    <s v="R.M.P."/>
    <s v="RM 571"/>
    <x v="1"/>
    <s v="PIL1/D/1499"/>
    <s v="26-08-2026"/>
    <s v="SF"/>
    <s v="Yarn All"/>
    <s v="PP Yarn"/>
    <s v="PP Filament Yarn"/>
    <s v="PP MF Yarn Twisted 3000 Denier UV Deep Blue"/>
    <n v="919"/>
    <n v="144577.07999999999"/>
    <s v="PP MF Yarn Twisted 3000 Denier UV Deep Blue"/>
    <n v="0"/>
    <n v="2.5"/>
    <n v="3614.43"/>
    <n v="2.5"/>
    <n v="3614.43"/>
    <n v="0"/>
    <n v="0"/>
    <n v="0"/>
    <n v="7228.86"/>
    <n v="0"/>
    <s v="24AAACO3087C1ZT"/>
    <s v="Kgs"/>
    <n v="54026930"/>
    <s v="Rs."/>
    <n v="1"/>
    <n v="0"/>
  </r>
  <r>
    <s v="26-08-2026"/>
    <s v="Plastene Polyfilms Ltd-Purchase"/>
    <s v="General Purchase"/>
    <s v="GNCN 380"/>
    <x v="0"/>
    <s v="PPL/D/542"/>
    <s v="26-08-2026"/>
    <s v="Stores/Spares"/>
    <s v="MS Structure Items"/>
    <s v="Spares &amp; Stores"/>
    <s v="Stores &amp; Consumables"/>
    <s v="MS Pipe 4  C Class"/>
    <n v="14"/>
    <n v="672"/>
    <s v="MS Pipe 4  C Class"/>
    <n v="792.29"/>
    <n v="9"/>
    <n v="60.48"/>
    <n v="9"/>
    <n v="60.48"/>
    <n v="0"/>
    <n v="0"/>
    <n v="0"/>
    <n v="120.96"/>
    <n v="0"/>
    <s v="24AAFCP2956A1ZR"/>
    <s v="Kgs"/>
    <n v="73063090"/>
    <s v="Rs."/>
    <n v="1"/>
    <n v="0"/>
  </r>
  <r>
    <s v="26-08-2026"/>
    <s v="Plastene Polyfilms Ltd-Purchase"/>
    <s v="R.M.P."/>
    <s v="RM 566"/>
    <x v="1"/>
    <s v="PPL/D/540"/>
    <s v="26-08-2026"/>
    <s v="SF"/>
    <s v="PP/PE Fabric"/>
    <s v="PP Lam Fabric"/>
    <s v="PP Laminated Woven Fabric"/>
    <s v="PP Lam Fabric With UV"/>
    <n v="346"/>
    <n v="47602.68"/>
    <s v="PP Lam Fabric With UV"/>
    <n v="89106.58"/>
    <n v="9"/>
    <n v="4284.24"/>
    <n v="9"/>
    <n v="4284.24"/>
    <n v="0"/>
    <n v="0"/>
    <n v="0"/>
    <n v="8568.48"/>
    <n v="0"/>
    <s v="24AAFCP2956A1ZR"/>
    <s v="Kgs"/>
    <n v="63053300"/>
    <s v="Rs."/>
    <n v="1"/>
    <n v="0"/>
  </r>
  <r>
    <s v="26-08-2026"/>
    <s v="Plastene Polyfilms Ltd-Purchase"/>
    <s v="R.M.P."/>
    <s v="RM 566"/>
    <x v="1"/>
    <s v="PPL/D/540"/>
    <s v="26-08-2026"/>
    <s v="SF"/>
    <s v="PP/PE Fabric"/>
    <s v="PP Lam Fabric"/>
    <s v="PP Laminated Woven Fabric"/>
    <s v="PP Lam Fabric With UV"/>
    <n v="199"/>
    <n v="27975.42"/>
    <s v="PP Lam Fabric With UV"/>
    <n v="0"/>
    <n v="9"/>
    <n v="2517.79"/>
    <n v="9"/>
    <n v="2517.79"/>
    <n v="0"/>
    <n v="0"/>
    <n v="0"/>
    <n v="5035.58"/>
    <n v="0"/>
    <s v="24AAFCP2956A1ZR"/>
    <s v="Kgs"/>
    <n v="63053300"/>
    <s v="Rs."/>
    <n v="1"/>
    <n v="0"/>
  </r>
  <r>
    <s v="26-08-2026"/>
    <s v="Plastene Polyfilms Ltd-Purchase"/>
    <s v="R.M.P."/>
    <s v="RM 568"/>
    <x v="1"/>
    <s v="PPL/D/543"/>
    <s v="26-08-2026"/>
    <s v="SF"/>
    <s v="Liners"/>
    <s v="LDPE/LLDPE Bags"/>
    <s v="PE Labels (Kgs)"/>
    <s v="PE Labels (Kgs)"/>
    <n v="35.5"/>
    <n v="9230"/>
    <s v="PE Labels (Kgs)"/>
    <n v="10882.17"/>
    <n v="9"/>
    <n v="830.7"/>
    <n v="9"/>
    <n v="830.7"/>
    <n v="0"/>
    <n v="0"/>
    <n v="0"/>
    <n v="1661.4"/>
    <n v="0"/>
    <s v="24AAFCP2956A1ZR"/>
    <s v="Kgs"/>
    <n v="3920101"/>
    <s v="Rs."/>
    <n v="1"/>
    <n v="0"/>
  </r>
  <r>
    <s v="26-08-2026"/>
    <s v="Plastene Polyfilms Ltd-Purchase"/>
    <s v="R.M.P."/>
    <s v="RM 572"/>
    <x v="1"/>
    <s v="PPL/D/541"/>
    <s v="26-08-2026"/>
    <s v="SF"/>
    <s v="PP/PE Fabric"/>
    <s v="PP UL Fabric"/>
    <s v="PP Woven Fabric"/>
    <s v="PP UL Fabric With UV"/>
    <n v="533.70000000000005"/>
    <n v="72359.05"/>
    <s v="PP UL Fabric With UV"/>
    <n v="85311.31"/>
    <n v="9"/>
    <n v="6512.31"/>
    <n v="9"/>
    <n v="6512.31"/>
    <n v="0"/>
    <n v="0"/>
    <n v="0"/>
    <n v="13024.62"/>
    <n v="0"/>
    <s v="24AAFCP2956A1ZR"/>
    <s v="Kgs"/>
    <n v="39269080"/>
    <s v="Rs."/>
    <n v="1"/>
    <n v="0"/>
  </r>
  <r>
    <s v="26-08-2026"/>
    <s v="Quality Prepress Pvt Ltd"/>
    <s v="General Purchase"/>
    <s v="GNCN 382"/>
    <x v="0"/>
    <s v="3201/2026-27"/>
    <d v="2026-07-08T00:00:00"/>
    <s v="Consumables"/>
    <s v="Rubber/Polymer Stereo"/>
    <s v="Spares &amp; Stores"/>
    <s v="Stores &amp; Consumables"/>
    <s v="Polymer Stereo"/>
    <n v="280"/>
    <n v="420"/>
    <s v="Polymer Stereo"/>
    <n v="614"/>
    <n v="9"/>
    <n v="37.799999999999997"/>
    <n v="9"/>
    <n v="37.799999999999997"/>
    <n v="0"/>
    <n v="0"/>
    <n v="18"/>
    <n v="93.6"/>
    <n v="0"/>
    <s v="24AAACQ5321R1Z7"/>
    <s v="CMS"/>
    <n v="37013000"/>
    <s v="Rs."/>
    <n v="1"/>
    <n v="0"/>
  </r>
  <r>
    <s v="27-08-2026"/>
    <s v="Plastene India ltd - Unit 1-Purchase"/>
    <s v="General Purchase"/>
    <s v="GNCN 383"/>
    <x v="0"/>
    <s v="PIL1/D/1506"/>
    <s v="27-08-2026"/>
    <s v="Stores/Spares"/>
    <s v="MS Structure Items"/>
    <s v="Spares &amp; Stores"/>
    <s v="Stores &amp; Consumables"/>
    <s v="MS Pipe 4  C Class"/>
    <n v="101"/>
    <n v="4848"/>
    <s v="MS Pipe 4  C Class"/>
    <n v="17260.560000000001"/>
    <n v="9"/>
    <n v="436.32"/>
    <n v="9"/>
    <n v="436.32"/>
    <n v="0"/>
    <n v="0"/>
    <n v="0"/>
    <n v="872.64"/>
    <n v="0"/>
    <s v="24AAACO3087C1ZT"/>
    <s v="Kgs"/>
    <n v="73063090"/>
    <s v="Rs."/>
    <n v="1"/>
    <n v="0"/>
  </r>
  <r>
    <s v="27-08-2026"/>
    <s v="Plastene India ltd - Unit 1-Purchase"/>
    <s v="General Purchase"/>
    <s v="GNCN 383"/>
    <x v="0"/>
    <s v="PIL1/D/1506"/>
    <s v="27-08-2026"/>
    <s v="Stores/Spares"/>
    <s v="MS Structure Items"/>
    <s v="Spares &amp; Stores"/>
    <s v="Stores &amp; Consumables"/>
    <s v="MS Pipe 4  C Class"/>
    <n v="204"/>
    <n v="9792"/>
    <s v="MS Pipe 4  C Class"/>
    <n v="0"/>
    <n v="9"/>
    <n v="881.28"/>
    <n v="9"/>
    <n v="881.28"/>
    <n v="0"/>
    <n v="0"/>
    <n v="0"/>
    <n v="1762.56"/>
    <n v="0"/>
    <s v="24AAACO3087C1ZT"/>
    <s v="Kgs"/>
    <n v="73063090"/>
    <s v="Rs."/>
    <n v="1"/>
    <n v="0"/>
  </r>
  <r>
    <s v="27-08-2026"/>
    <s v="Plastene India ltd - Unit 1-Purchase"/>
    <s v="R.M.P."/>
    <s v="RM 573"/>
    <x v="1"/>
    <s v="PIL1/D/1505"/>
    <s v="27-08-2026"/>
    <s v="SF"/>
    <s v="PP/PE Fabric"/>
    <s v="PP UL Fabric"/>
    <s v="PP Woven Fabric"/>
    <s v="PP UL Fabric With UV"/>
    <n v="6995"/>
    <n v="995528.4"/>
    <s v="PP UL Fabric With UV"/>
    <n v="1600221.49"/>
    <n v="9"/>
    <n v="89597.56"/>
    <n v="9"/>
    <n v="89597.56"/>
    <n v="0"/>
    <n v="0"/>
    <n v="0"/>
    <n v="179195.12"/>
    <n v="0"/>
    <s v="24AAACO3087C1ZT"/>
    <s v="Kgs"/>
    <n v="39269080"/>
    <s v="Rs."/>
    <n v="1"/>
    <n v="0"/>
  </r>
  <r>
    <s v="27-08-2026"/>
    <s v="Plastene India ltd - Unit 1-Purchase"/>
    <s v="R.M.P."/>
    <s v="RM 573"/>
    <x v="1"/>
    <s v="PIL1/D/1505"/>
    <s v="27-08-2026"/>
    <s v="SF"/>
    <s v="PP/PE Fabric"/>
    <s v="PP UL Fabric"/>
    <s v="PP Woven Fabric"/>
    <s v="PP UL Fabric With UV"/>
    <n v="1519"/>
    <n v="220741.08"/>
    <s v="PP UL Fabric With UV"/>
    <n v="0"/>
    <n v="9"/>
    <n v="19866.7"/>
    <n v="9"/>
    <n v="19866.7"/>
    <n v="0"/>
    <n v="0"/>
    <n v="0"/>
    <n v="39733.4"/>
    <n v="0"/>
    <s v="24AAACO3087C1ZT"/>
    <s v="Kgs"/>
    <n v="39269080"/>
    <s v="Rs."/>
    <n v="1"/>
    <n v="0"/>
  </r>
  <r>
    <s v="27-08-2026"/>
    <s v="Plastene India ltd - Unit 1-Purchase"/>
    <s v="R.M.P."/>
    <s v="RM 573"/>
    <x v="1"/>
    <s v="PIL1/D/1505"/>
    <s v="27-08-2026"/>
    <s v="SF"/>
    <s v="PP/PE Fabric"/>
    <s v="PP UL Fabric"/>
    <s v="PP Woven Fabric"/>
    <s v="PP UL Fabric With UV"/>
    <n v="977"/>
    <n v="141000.64000000001"/>
    <s v="PP UL Fabric With UV"/>
    <n v="0"/>
    <n v="9"/>
    <n v="12690.06"/>
    <n v="9"/>
    <n v="12690.06"/>
    <n v="0"/>
    <n v="0"/>
    <n v="0"/>
    <n v="25380.12"/>
    <n v="0"/>
    <s v="24AAACO3087C1ZT"/>
    <s v="Kgs"/>
    <n v="39269080"/>
    <s v="Rs."/>
    <n v="1"/>
    <n v="0"/>
  </r>
  <r>
    <s v="27-08-2026"/>
    <s v="Plastene India ltd - Unit 1-Purchase"/>
    <s v="R.M.P."/>
    <s v="RM 574"/>
    <x v="1"/>
    <s v="PIL1/D/1512"/>
    <s v="27-08-2026"/>
    <s v="SF"/>
    <s v="Liners"/>
    <s v="LDPE/LLDPE Bags"/>
    <s v="LLDPE Bags"/>
    <s v="LDPE/LLDPE Bags/Liner"/>
    <n v="150"/>
    <n v="27729"/>
    <s v="LDPE/LLDPE Bags/Liner"/>
    <n v="1522819.68"/>
    <n v="9"/>
    <n v="2495.61"/>
    <n v="9"/>
    <n v="2495.61"/>
    <n v="0"/>
    <n v="0"/>
    <n v="0"/>
    <n v="4991.22"/>
    <n v="0"/>
    <s v="24AAACO3087C1ZT"/>
    <s v="Kgs"/>
    <n v="39200000"/>
    <s v="Rs."/>
    <n v="1"/>
    <n v="0"/>
  </r>
  <r>
    <s v="27-08-2026"/>
    <s v="Plastene India ltd - Unit 1-Purchase"/>
    <s v="R.M.P."/>
    <s v="RM 574"/>
    <x v="1"/>
    <s v="PIL1/D/1512"/>
    <s v="27-08-2026"/>
    <s v="SF"/>
    <s v="Liners"/>
    <s v="LDPE/LLDPE Bags"/>
    <s v="LLDPE Bags"/>
    <s v="LDPE/LLDPE Bags/Liner"/>
    <n v="5140.3999999999996"/>
    <n v="909131.14"/>
    <s v="LDPE/LLDPE Bags/Liner"/>
    <n v="0"/>
    <n v="9"/>
    <n v="81821.8"/>
    <n v="9"/>
    <n v="81821.8"/>
    <n v="0"/>
    <n v="0"/>
    <n v="0"/>
    <n v="163643.6"/>
    <n v="0"/>
    <s v="24AAACO3087C1ZT"/>
    <s v="Kgs"/>
    <n v="39200000"/>
    <s v="Rs."/>
    <n v="1"/>
    <n v="0"/>
  </r>
  <r>
    <s v="27-08-2026"/>
    <s v="Plastene India ltd - Unit 1-Purchase"/>
    <s v="R.M.P."/>
    <s v="RM 574"/>
    <x v="1"/>
    <s v="PIL1/D/1512"/>
    <s v="27-08-2026"/>
    <s v="RM Consumables"/>
    <s v="FIBC Accessories"/>
    <s v="FIBC Accessories"/>
    <s v="Packing Material"/>
    <s v="Zip Lock Bags"/>
    <n v="9600"/>
    <n v="38024.639999999999"/>
    <s v="Zip Lock Bags"/>
    <n v="0"/>
    <n v="9"/>
    <n v="3422.22"/>
    <n v="9"/>
    <n v="3422.22"/>
    <n v="0"/>
    <n v="0"/>
    <n v="0"/>
    <n v="6844.44"/>
    <n v="0"/>
    <s v="24AAACO3087C1ZT"/>
    <s v="Pcs"/>
    <n v="39232100"/>
    <s v="Rs."/>
    <n v="1"/>
    <n v="215"/>
  </r>
  <r>
    <s v="27-08-2026"/>
    <s v="Plastene India ltd - Unit 1-Purchase"/>
    <s v="R.M.P."/>
    <s v="RM 574"/>
    <x v="1"/>
    <s v="PIL1/D/1512"/>
    <s v="27-08-2026"/>
    <s v="SF"/>
    <s v="Webbing"/>
    <s v="PP Webbing"/>
    <s v="PP Webbing"/>
    <s v="Webbing"/>
    <n v="30.9"/>
    <n v="5201.09"/>
    <s v="Webbing"/>
    <n v="0"/>
    <n v="9"/>
    <n v="468.1"/>
    <n v="9"/>
    <n v="468.1"/>
    <n v="0"/>
    <n v="0"/>
    <n v="0"/>
    <n v="936.2"/>
    <n v="0"/>
    <s v="24AAACO3087C1ZT"/>
    <s v="Kgs"/>
    <n v="3926908"/>
    <s v="Rs."/>
    <n v="1"/>
    <n v="0"/>
  </r>
  <r>
    <s v="27-08-2026"/>
    <s v="Plastene India ltd - Unit 1-Purchase"/>
    <s v="R.M.P."/>
    <s v="RM 574"/>
    <x v="1"/>
    <s v="PIL1/D/1512"/>
    <s v="27-08-2026"/>
    <s v="SF"/>
    <s v="Webbing"/>
    <s v="PP Webbing"/>
    <s v="PP Webbing"/>
    <s v="Webbing"/>
    <n v="954"/>
    <n v="137681.28"/>
    <s v="Webbing"/>
    <n v="0"/>
    <n v="9"/>
    <n v="12391.32"/>
    <n v="9"/>
    <n v="12391.32"/>
    <n v="0"/>
    <n v="0"/>
    <n v="0"/>
    <n v="24782.639999999999"/>
    <n v="0"/>
    <s v="24AAACO3087C1ZT"/>
    <s v="Kgs"/>
    <n v="3926908"/>
    <s v="Rs."/>
    <n v="1"/>
    <n v="0"/>
  </r>
  <r>
    <s v="27-08-2026"/>
    <s v="Plastene India ltd - Unit 1-Purchase"/>
    <s v="R.M.P."/>
    <s v="RM 574"/>
    <x v="1"/>
    <s v="PIL1/D/1512"/>
    <s v="27-08-2026"/>
    <s v="SF"/>
    <s v="Webbing"/>
    <s v="PP Webbing"/>
    <s v="PP Webbing"/>
    <s v="Webbing"/>
    <n v="1180.0999999999999"/>
    <n v="173852.33"/>
    <s v="Webbing"/>
    <n v="0"/>
    <n v="9"/>
    <n v="15646.71"/>
    <n v="9"/>
    <n v="15646.71"/>
    <n v="0"/>
    <n v="0"/>
    <n v="0"/>
    <n v="31293.42"/>
    <n v="0"/>
    <s v="24AAACO3087C1ZT"/>
    <s v="Kgs"/>
    <n v="3926908"/>
    <s v="Rs."/>
    <n v="1"/>
    <n v="0"/>
  </r>
  <r>
    <s v="27-08-2026"/>
    <s v="Plastene India ltd - Unit 1-Purchase"/>
    <s v="R.M.P."/>
    <s v="RM 575"/>
    <x v="1"/>
    <s v="PIL1/D/1513"/>
    <s v="27-08-2026"/>
    <s v="SF"/>
    <s v="PP/PE Fabric"/>
    <s v="PP UL Fabric"/>
    <s v="PP Woven Fabric"/>
    <s v="PP UL Fabric With UV"/>
    <n v="1549"/>
    <n v="220453.68"/>
    <s v="PP UL Fabric With UV"/>
    <n v="259914.89"/>
    <n v="9"/>
    <n v="19840.830000000002"/>
    <n v="9"/>
    <n v="19840.830000000002"/>
    <n v="0"/>
    <n v="0"/>
    <n v="0"/>
    <n v="39681.660000000003"/>
    <n v="0"/>
    <s v="24AAACO3087C1ZT"/>
    <s v="Kgs"/>
    <n v="39269080"/>
    <s v="Rs."/>
    <n v="1"/>
    <n v="0"/>
  </r>
  <r>
    <s v="28-08-2026"/>
    <s v="Plastene India ltd - Unit 1-Purchase"/>
    <s v="General Purchase"/>
    <s v="GNCN 384"/>
    <x v="0"/>
    <s v="PIL1/D/1520"/>
    <s v="28-08-2026"/>
    <s v="Stores/Spares"/>
    <s v="MS Structure Items"/>
    <s v="Spares &amp; Stores"/>
    <s v="Stores &amp; Consumables"/>
    <s v="MS Pipe 4  C Class"/>
    <n v="310"/>
    <n v="14880"/>
    <s v="MS Pipe 4  C Class"/>
    <n v="17543.52"/>
    <n v="9"/>
    <n v="1339.2"/>
    <n v="9"/>
    <n v="1339.2"/>
    <n v="0"/>
    <n v="0"/>
    <n v="0"/>
    <n v="2678.4"/>
    <n v="0"/>
    <s v="24AAACO3087C1ZT"/>
    <s v="Kgs"/>
    <n v="73063090"/>
    <s v="Rs."/>
    <n v="1"/>
    <n v="0"/>
  </r>
  <r>
    <s v="28-08-2026"/>
    <s v="Plastene India ltd - Unit 1-Purchase"/>
    <s v="R.M.P."/>
    <s v="RM 576"/>
    <x v="1"/>
    <s v="PIL1/D/1521"/>
    <s v="28-08-2026"/>
    <s v="SF"/>
    <s v="PP/PE Fabric"/>
    <s v="PP UL Fabric"/>
    <s v="PP Woven Fabric"/>
    <s v="PP UL Fabric With UV"/>
    <n v="999"/>
    <n v="144175.67999999999"/>
    <s v="PP UL Fabric With UV"/>
    <n v="2023734.66"/>
    <n v="9"/>
    <n v="12975.81"/>
    <n v="9"/>
    <n v="12975.81"/>
    <n v="0"/>
    <n v="0"/>
    <n v="0"/>
    <n v="25951.62"/>
    <n v="0"/>
    <s v="24AAACO3087C1ZT"/>
    <s v="Kgs"/>
    <n v="39269080"/>
    <s v="Rs."/>
    <n v="1"/>
    <n v="0"/>
  </r>
  <r>
    <s v="28-08-2026"/>
    <s v="Plastene India ltd - Unit 1-Purchase"/>
    <s v="R.M.P."/>
    <s v="RM 576"/>
    <x v="1"/>
    <s v="PIL1/D/1521"/>
    <s v="28-08-2026"/>
    <s v="SF"/>
    <s v="PP/PE Fabric"/>
    <s v="PP UL Fabric"/>
    <s v="PP Woven Fabric"/>
    <s v="PP UL Fabric With UV"/>
    <n v="1593"/>
    <n v="231494.76"/>
    <s v="PP UL Fabric With UV"/>
    <n v="0"/>
    <n v="9"/>
    <n v="20834.53"/>
    <n v="9"/>
    <n v="20834.53"/>
    <n v="0"/>
    <n v="0"/>
    <n v="0"/>
    <n v="41669.06"/>
    <n v="0"/>
    <s v="24AAACO3087C1ZT"/>
    <s v="Kgs"/>
    <n v="39269080"/>
    <s v="Rs."/>
    <n v="1"/>
    <n v="0"/>
  </r>
  <r>
    <s v="28-08-2026"/>
    <s v="Plastene India ltd - Unit 1-Purchase"/>
    <s v="R.M.P."/>
    <s v="RM 576"/>
    <x v="1"/>
    <s v="PIL1/D/1521"/>
    <s v="28-08-2026"/>
    <s v="SF"/>
    <s v="PP/PE Fabric"/>
    <s v="PP UL Fabric"/>
    <s v="PP Woven Fabric"/>
    <s v="PP UL Fabric With UV"/>
    <n v="7188"/>
    <n v="1022996.16"/>
    <s v="PP UL Fabric With UV"/>
    <n v="0"/>
    <n v="9"/>
    <n v="92069.65"/>
    <n v="9"/>
    <n v="92069.65"/>
    <n v="0"/>
    <n v="0"/>
    <n v="0"/>
    <n v="184139.3"/>
    <n v="0"/>
    <s v="24AAACO3087C1ZT"/>
    <s v="Kgs"/>
    <n v="39269080"/>
    <s v="Rs."/>
    <n v="1"/>
    <n v="0"/>
  </r>
  <r>
    <s v="28-08-2026"/>
    <s v="Plastene India ltd - Unit 1-Purchase"/>
    <s v="R.M.P."/>
    <s v="RM 576"/>
    <x v="1"/>
    <s v="PIL1/D/1521"/>
    <s v="28-08-2026"/>
    <s v="SF"/>
    <s v="Liners"/>
    <s v="LDPE/LLDPE Bags"/>
    <s v="LLDPE Bags"/>
    <s v="LDPE/LLDPE Bags/Liner"/>
    <n v="1797"/>
    <n v="317817.42"/>
    <s v="LDPE/LLDPE Bags/Liner"/>
    <n v="0"/>
    <n v="9"/>
    <n v="28603.57"/>
    <n v="9"/>
    <n v="28603.57"/>
    <n v="0"/>
    <n v="0"/>
    <n v="0"/>
    <n v="57207.14"/>
    <n v="0"/>
    <s v="24AAACO3087C1ZT"/>
    <s v="Kgs"/>
    <n v="39200000"/>
    <s v="Rs."/>
    <n v="1"/>
    <n v="0"/>
  </r>
  <r>
    <s v="28-08-2026"/>
    <s v="Plastene India ltd - Unit 1-Purchase"/>
    <s v="R.M.P."/>
    <s v="RM 577"/>
    <x v="1"/>
    <s v="PIL1/D/1522"/>
    <s v="28-08-2026"/>
    <s v="SF"/>
    <s v="Liners"/>
    <s v="LDPE/LLDPE Bags"/>
    <s v="LLDPE Bags"/>
    <s v="LDPE/LLDPE Bags/Liner"/>
    <n v="3483"/>
    <n v="616003.38"/>
    <s v="LDPE/LLDPE Bags/Liner"/>
    <n v="1182589.3500000001"/>
    <n v="9"/>
    <n v="55440.3"/>
    <n v="9"/>
    <n v="55440.3"/>
    <n v="0"/>
    <n v="0"/>
    <n v="0"/>
    <n v="110880.6"/>
    <n v="0"/>
    <s v="24AAACO3087C1ZT"/>
    <s v="Kgs"/>
    <n v="39200000"/>
    <s v="Rs."/>
    <n v="1"/>
    <n v="3483"/>
  </r>
  <r>
    <s v="28-08-2026"/>
    <s v="Plastene India ltd - Unit 1-Purchase"/>
    <s v="R.M.P."/>
    <s v="RM 577"/>
    <x v="1"/>
    <s v="PIL1/D/1522"/>
    <s v="28-08-2026"/>
    <s v="RM Consumables"/>
    <s v="FIBC Accessories"/>
    <s v="FIBC Accessories"/>
    <s v="Stores &amp; Consumables"/>
    <s v="Zip Lock Bags"/>
    <n v="22800"/>
    <n v="80470.320000000007"/>
    <s v="Zip Lock Bags"/>
    <n v="0"/>
    <n v="9"/>
    <n v="7242.33"/>
    <n v="9"/>
    <n v="7242.33"/>
    <n v="0"/>
    <n v="0"/>
    <n v="0"/>
    <n v="14484.66"/>
    <n v="0"/>
    <s v="24AAACO3087C1ZT"/>
    <s v="Pcs"/>
    <n v="39232100"/>
    <s v="Rs."/>
    <n v="1"/>
    <n v="22800"/>
  </r>
  <r>
    <s v="28-08-2026"/>
    <s v="Plastene India ltd - Unit 1-Purchase"/>
    <s v="R.M.P."/>
    <s v="RM 577"/>
    <x v="1"/>
    <s v="PIL1/D/1522"/>
    <s v="28-08-2026"/>
    <s v="SF"/>
    <s v="Webbing"/>
    <s v="PP Webbing"/>
    <s v="PP Webbing"/>
    <s v="Webbing"/>
    <n v="1104.3"/>
    <n v="159372.57999999999"/>
    <s v="Webbing"/>
    <n v="0"/>
    <n v="9"/>
    <n v="14343.53"/>
    <n v="9"/>
    <n v="14343.53"/>
    <n v="0"/>
    <n v="0"/>
    <n v="0"/>
    <n v="28687.06"/>
    <n v="0"/>
    <s v="24AAACO3087C1ZT"/>
    <s v="Kgs"/>
    <n v="3926908"/>
    <s v="Rs."/>
    <n v="1"/>
    <n v="1104.3"/>
  </r>
  <r>
    <s v="28-08-2026"/>
    <s v="Plastene India ltd - Unit 1-Purchase"/>
    <s v="R.M.P."/>
    <s v="RM 577"/>
    <x v="1"/>
    <s v="PIL1/D/1522"/>
    <s v="28-08-2026"/>
    <s v="SF"/>
    <s v="Webbing"/>
    <s v="PP Webbing"/>
    <s v="PP Webbing"/>
    <s v="Webbing"/>
    <n v="17.3"/>
    <n v="2911.94"/>
    <s v="Webbing"/>
    <n v="0"/>
    <n v="9"/>
    <n v="262.07"/>
    <n v="9"/>
    <n v="262.07"/>
    <n v="0"/>
    <n v="0"/>
    <n v="0"/>
    <n v="524.14"/>
    <n v="0"/>
    <s v="24AAACO3087C1ZT"/>
    <s v="Kgs"/>
    <n v="3926908"/>
    <s v="Rs."/>
    <n v="1"/>
    <n v="17.3"/>
  </r>
  <r>
    <s v="28-08-2026"/>
    <s v="Plastene India ltd - Unit 1-Purchase"/>
    <s v="R.M.P."/>
    <s v="RM 577"/>
    <x v="1"/>
    <s v="PIL1/D/1522"/>
    <s v="28-08-2026"/>
    <s v="SF"/>
    <s v="Webbing"/>
    <s v="PP Webbing"/>
    <s v="PP Webbing"/>
    <s v="Webbing"/>
    <n v="979.4"/>
    <n v="144285.21"/>
    <s v="Webbing"/>
    <n v="0"/>
    <n v="9"/>
    <n v="12985.67"/>
    <n v="9"/>
    <n v="12985.67"/>
    <n v="0"/>
    <n v="0"/>
    <n v="0"/>
    <n v="25971.34"/>
    <n v="0"/>
    <s v="24AAACO3087C1ZT"/>
    <s v="Kgs"/>
    <n v="3926908"/>
    <s v="Rs."/>
    <n v="1"/>
    <n v="979.4"/>
  </r>
  <r>
    <s v="28-08-2026"/>
    <s v="Plastene Polyfilms Ltd-Purchase"/>
    <s v="General Purchase"/>
    <s v="GNSP 169"/>
    <x v="0"/>
    <s v="PPL/D/548"/>
    <s v="28-08-2026"/>
    <s v="Stores/Spares"/>
    <s v="Stitching Spares"/>
    <s v="Spares &amp; Stores"/>
    <s v="Stores &amp; Consumables"/>
    <s v="Cross Looper For Double Lock Stitch   (81311 B)"/>
    <n v="2"/>
    <n v="610"/>
    <s v="Cross Looper For Double Lock Stitch   (81311 B)"/>
    <n v="5022.54"/>
    <n v="9"/>
    <n v="54.9"/>
    <n v="9"/>
    <n v="54.9"/>
    <n v="0"/>
    <n v="0"/>
    <n v="0"/>
    <n v="109.8"/>
    <n v="0"/>
    <s v="24AAFCP2956A1ZR"/>
    <s v="Pcs"/>
    <n v="84529099"/>
    <s v="Rs."/>
    <n v="1"/>
    <n v="0"/>
  </r>
  <r>
    <s v="28-08-2026"/>
    <s v="Plastene Polyfilms Ltd-Purchase"/>
    <s v="General Purchase"/>
    <s v="GNSP 169"/>
    <x v="0"/>
    <s v="PPL/D/548"/>
    <s v="28-08-2026"/>
    <s v="Stores/Spares"/>
    <s v="Stitching Spares"/>
    <s v="Spares &amp; Stores"/>
    <s v="Stores &amp; Consumables"/>
    <s v="Spreader Lever 81313 A"/>
    <n v="1"/>
    <n v="3650"/>
    <s v="Spreader Lever 81313 A"/>
    <n v="0"/>
    <n v="9"/>
    <n v="328.5"/>
    <n v="9"/>
    <n v="328.5"/>
    <n v="0"/>
    <n v="0"/>
    <n v="0"/>
    <n v="657"/>
    <n v="0"/>
    <s v="24AAFCP2956A1ZR"/>
    <s v="Pcs"/>
    <n v="84529099"/>
    <s v="Rs."/>
    <n v="1"/>
    <n v="0"/>
  </r>
  <r>
    <s v="29-08-2026"/>
    <s v="Anukumpa Enterprises"/>
    <s v="General Purchase"/>
    <s v="GNCN 385"/>
    <x v="0"/>
    <s v="T-1504"/>
    <s v="27-08-2026"/>
    <s v="Consumables"/>
    <s v="Paint"/>
    <s v="Spares &amp; Stores"/>
    <s v="Stores &amp; Consumables"/>
    <s v="Oil Paint Brown"/>
    <n v="20"/>
    <n v="4097.4399999999996"/>
    <s v="Oil Paint Brown"/>
    <n v="8139"/>
    <n v="9"/>
    <n v="368.77"/>
    <n v="9"/>
    <n v="368.77"/>
    <n v="0"/>
    <n v="0"/>
    <n v="0"/>
    <n v="737.54"/>
    <n v="0"/>
    <s v="24AGRPS7882B1ZW"/>
    <s v="Ltr"/>
    <n v="32081010"/>
    <s v="Rs."/>
    <n v="1"/>
    <n v="0"/>
  </r>
  <r>
    <s v="29-08-2026"/>
    <s v="Anukumpa Enterprises"/>
    <s v="General Purchase"/>
    <s v="GNCN 385"/>
    <x v="0"/>
    <s v="T-1504"/>
    <s v="27-08-2026"/>
    <s v="Consumables"/>
    <s v="Paint"/>
    <s v="Spares &amp; Stores"/>
    <s v="Stores &amp; Consumables"/>
    <s v="Brush 6&quot;"/>
    <n v="5"/>
    <n v="600"/>
    <s v="Brush 6&quot;"/>
    <n v="0"/>
    <n v="9"/>
    <n v="54"/>
    <n v="9"/>
    <n v="54"/>
    <n v="0"/>
    <n v="0"/>
    <n v="0"/>
    <n v="108"/>
    <n v="0"/>
    <s v="24AGRPS7882B1ZW"/>
    <s v="Pcs"/>
    <n v="9603400"/>
    <s v="Rs."/>
    <n v="1"/>
    <n v="0"/>
  </r>
  <r>
    <s v="29-08-2026"/>
    <s v="Anukumpa Enterprises"/>
    <s v="General Purchase"/>
    <s v="GNCN 385"/>
    <x v="0"/>
    <s v="T-1504"/>
    <s v="27-08-2026"/>
    <s v="Consumables"/>
    <s v="Paint"/>
    <s v="Spares &amp; Stores"/>
    <s v="Stores &amp; Consumables"/>
    <s v="Tarpin Oil ( Thinner ) 16 Ltr"/>
    <n v="20"/>
    <n v="2200"/>
    <s v="Tarpin Oil ( Thinner ) 16 Ltr"/>
    <n v="0"/>
    <n v="9"/>
    <n v="198"/>
    <n v="9"/>
    <n v="198"/>
    <n v="0"/>
    <n v="0"/>
    <n v="0"/>
    <n v="396"/>
    <n v="0"/>
    <s v="24AGRPS7882B1ZW"/>
    <s v="Ltr"/>
    <n v="380510"/>
    <s v="Rs."/>
    <n v="1"/>
    <n v="0"/>
  </r>
  <r>
    <s v="29-08-2026"/>
    <s v="Axle Steel &amp; Fasteners"/>
    <s v="General Purchase"/>
    <s v="GNSP 171"/>
    <x v="0"/>
    <s v="0779/26-27"/>
    <s v="24-08-2026"/>
    <s v="Stores/Spares"/>
    <s v="Hardware Items"/>
    <s v="Spares &amp; Stores"/>
    <s v="Stores &amp; Consumables"/>
    <s v="Measuring Tape 03 Mtr"/>
    <n v="50"/>
    <n v="2372.5"/>
    <s v="Measuring Tape 03 Mtr"/>
    <n v="3724"/>
    <n v="9"/>
    <n v="213.52"/>
    <n v="9"/>
    <n v="213.52"/>
    <n v="0"/>
    <n v="0"/>
    <n v="25.2"/>
    <n v="452.24"/>
    <n v="0"/>
    <s v="24AAYFA5084G1Z4"/>
    <s v="Pcs"/>
    <n v="82041110"/>
    <s v="Rs."/>
    <n v="1"/>
    <n v="0"/>
  </r>
  <r>
    <s v="29-08-2026"/>
    <s v="Axle Steel &amp; Fasteners"/>
    <s v="General Purchase"/>
    <s v="GNSP 171"/>
    <x v="0"/>
    <s v="0779/26-27"/>
    <s v="24-08-2026"/>
    <s v="Stores/Spares"/>
    <s v="Hardware Items"/>
    <s v="Spares &amp; Stores"/>
    <s v="Stores &amp; Consumables"/>
    <s v="Measuring Tape 05 Mtr"/>
    <n v="10"/>
    <n v="643.5"/>
    <s v="Measuring Tape 05 Mtr"/>
    <n v="0"/>
    <n v="9"/>
    <n v="57.92"/>
    <n v="9"/>
    <n v="57.92"/>
    <n v="0"/>
    <n v="0"/>
    <n v="25.2"/>
    <n v="141.04"/>
    <n v="0"/>
    <s v="24AAYFA5084G1Z4"/>
    <s v="Pcs"/>
    <n v="73141410"/>
    <s v="Rs."/>
    <n v="1"/>
    <n v="0"/>
  </r>
  <r>
    <s v="29-08-2026"/>
    <s v="Panchvati Tools Co."/>
    <s v="General Purchase"/>
    <s v="GNSP 170"/>
    <x v="0"/>
    <n v="1608"/>
    <s v="25-08-2026"/>
    <s v="Consumables"/>
    <s v="Consumables Workshop"/>
    <s v="Spares &amp; Stores"/>
    <s v="Stores &amp; Consumables"/>
    <s v="Cutting Wheel 4 &quot; X 1.2 mm"/>
    <n v="100"/>
    <n v="1200"/>
    <s v="Cutting Wheel 4 &quot; X 1.2 mm"/>
    <n v="1416"/>
    <n v="9"/>
    <n v="108"/>
    <n v="9"/>
    <n v="108"/>
    <n v="0"/>
    <n v="0"/>
    <n v="0"/>
    <n v="216"/>
    <n v="0"/>
    <s v="24ABVPP9097Q1Z7"/>
    <s v="Pcs"/>
    <n v="68042290"/>
    <s v="Rs."/>
    <n v="1"/>
    <n v="0"/>
  </r>
  <r>
    <s v="29-08-2026"/>
    <s v="Plastene India ltd - Unit 1-Purchase"/>
    <s v="General Purchase"/>
    <s v="GNCN 387"/>
    <x v="0"/>
    <s v="PIL1/D/1528"/>
    <s v="29-08-2026"/>
    <s v="Stores/Spares"/>
    <s v="MS Structure Items"/>
    <s v="Spares &amp; Stores"/>
    <s v="Stores &amp; Consumables"/>
    <s v="MS Pipe 4  C Class"/>
    <n v="314"/>
    <n v="15072"/>
    <s v="MS Pipe 4  C Class"/>
    <n v="17769.89"/>
    <n v="9"/>
    <n v="1356.48"/>
    <n v="9"/>
    <n v="1356.48"/>
    <n v="0"/>
    <n v="0"/>
    <n v="0"/>
    <n v="2712.96"/>
    <n v="0"/>
    <s v="24AAACO3087C1ZT"/>
    <s v="Kgs"/>
    <n v="73063090"/>
    <s v="Rs."/>
    <n v="1"/>
    <n v="0"/>
  </r>
  <r>
    <s v="29-08-2026"/>
    <s v="Plastene India ltd - Unit 1-Purchase"/>
    <s v="R.M.P."/>
    <s v="RM 579"/>
    <x v="1"/>
    <s v="PIL1/D/1527"/>
    <s v="29-08-2026"/>
    <s v="SF"/>
    <s v="PP/PE Fabric"/>
    <s v="PP Lam Fabric"/>
    <s v="PP Laminated Woven Fabric"/>
    <s v="PP Lam Fabric With UV"/>
    <n v="15"/>
    <n v="5925"/>
    <s v="PP Lam Fabric With UV"/>
    <n v="1665659.13"/>
    <n v="9"/>
    <n v="533.25"/>
    <n v="9"/>
    <n v="533.25"/>
    <n v="0"/>
    <n v="0"/>
    <n v="0"/>
    <n v="1066.5"/>
    <n v="0"/>
    <s v="24AAACO3087C1ZT"/>
    <s v="Kgs"/>
    <n v="63053300"/>
    <s v="Rs."/>
    <n v="1"/>
    <n v="0"/>
  </r>
  <r>
    <s v="29-08-2026"/>
    <s v="Plastene India ltd - Unit 1-Purchase"/>
    <s v="R.M.P."/>
    <s v="RM 579"/>
    <x v="1"/>
    <s v="PIL1/D/1527"/>
    <s v="29-08-2026"/>
    <s v="SF"/>
    <s v="PP/PE Fabric"/>
    <s v="PP Lam Fabric"/>
    <s v="PP Laminated Woven Fabric"/>
    <s v="PP Lam Fabric With UV"/>
    <n v="566"/>
    <n v="82817.119999999995"/>
    <s v="PP Lam Fabric With UV"/>
    <n v="0"/>
    <n v="9"/>
    <n v="7453.54"/>
    <n v="9"/>
    <n v="7453.54"/>
    <n v="0"/>
    <n v="0"/>
    <n v="0"/>
    <n v="14907.08"/>
    <n v="0"/>
    <s v="24AAACO3087C1ZT"/>
    <s v="Kgs"/>
    <n v="63053300"/>
    <s v="Rs."/>
    <n v="1"/>
    <n v="0"/>
  </r>
  <r>
    <s v="29-08-2026"/>
    <s v="Plastene India ltd - Unit 1-Purchase"/>
    <s v="R.M.P."/>
    <s v="RM 579"/>
    <x v="1"/>
    <s v="PIL1/D/1527"/>
    <s v="29-08-2026"/>
    <s v="SF"/>
    <s v="PP/PE Fabric"/>
    <s v="PP UL Fabric"/>
    <s v="PP Woven Fabric"/>
    <s v="PP UL Fabric With UV"/>
    <n v="1713"/>
    <n v="248933.16"/>
    <s v="PP UL Fabric With UV"/>
    <n v="0"/>
    <n v="9"/>
    <n v="22403.98"/>
    <n v="9"/>
    <n v="22403.98"/>
    <n v="0"/>
    <n v="0"/>
    <n v="0"/>
    <n v="44807.96"/>
    <n v="0"/>
    <s v="24AAACO3087C1ZT"/>
    <s v="Kgs"/>
    <n v="39269080"/>
    <s v="Rs."/>
    <n v="1"/>
    <n v="0"/>
  </r>
  <r>
    <s v="29-08-2026"/>
    <s v="Plastene India ltd - Unit 1-Purchase"/>
    <s v="R.M.P."/>
    <s v="RM 579"/>
    <x v="1"/>
    <s v="PIL1/D/1527"/>
    <s v="29-08-2026"/>
    <s v="SF"/>
    <s v="PP/PE Fabric"/>
    <s v="PP UL Fabric"/>
    <s v="PP Woven Fabric"/>
    <s v="PP UL Fabric With UV"/>
    <n v="1287"/>
    <n v="185739.84"/>
    <s v="PP UL Fabric With UV"/>
    <n v="0"/>
    <n v="9"/>
    <n v="16716.59"/>
    <n v="9"/>
    <n v="16716.59"/>
    <n v="0"/>
    <n v="0"/>
    <n v="0"/>
    <n v="33433.18"/>
    <n v="0"/>
    <s v="24AAACO3087C1ZT"/>
    <s v="Kgs"/>
    <n v="39269080"/>
    <s v="Rs."/>
    <n v="1"/>
    <n v="0"/>
  </r>
  <r>
    <s v="29-08-2026"/>
    <s v="Plastene India ltd - Unit 1-Purchase"/>
    <s v="R.M.P."/>
    <s v="RM 579"/>
    <x v="1"/>
    <s v="PIL1/D/1527"/>
    <s v="29-08-2026"/>
    <s v="SF"/>
    <s v="PP/PE Fabric"/>
    <s v="PP UL Fabric"/>
    <s v="PP Woven Fabric"/>
    <s v="PP UL Fabric With UV"/>
    <n v="6249"/>
    <n v="889357.68"/>
    <s v="PP UL Fabric With UV"/>
    <n v="0"/>
    <n v="9"/>
    <n v="80042.19"/>
    <n v="9"/>
    <n v="80042.19"/>
    <n v="0"/>
    <n v="0"/>
    <n v="0"/>
    <n v="160084.38"/>
    <n v="0"/>
    <s v="24AAACO3087C1ZT"/>
    <s v="Kgs"/>
    <n v="39269080"/>
    <s v="Rs."/>
    <n v="1"/>
    <n v="0"/>
  </r>
  <r>
    <s v="29-08-2026"/>
    <s v="Plastene India ltd - Unit 1-Purchase"/>
    <s v="R.M.P."/>
    <s v="RM 580"/>
    <x v="1"/>
    <s v="PIL1/D/1529"/>
    <s v="29-08-2026"/>
    <s v="SF"/>
    <s v="PP/PE Fabric"/>
    <s v="PP UL Fabric"/>
    <s v="PP Woven Fabric"/>
    <s v="PP UL Fabric With UV"/>
    <n v="443"/>
    <n v="63047.76"/>
    <s v="PP UL Fabric With UV"/>
    <n v="505729.58"/>
    <n v="9"/>
    <n v="5674.3"/>
    <n v="9"/>
    <n v="5674.3"/>
    <n v="0"/>
    <n v="0"/>
    <n v="0"/>
    <n v="11348.6"/>
    <n v="0"/>
    <s v="24AAACO3087C1ZT"/>
    <s v="Kgs"/>
    <n v="39269080"/>
    <s v="Rs."/>
    <n v="1"/>
    <n v="0"/>
  </r>
  <r>
    <s v="29-08-2026"/>
    <s v="Plastene India ltd - Unit 1-Purchase"/>
    <s v="R.M.P."/>
    <s v="RM 580"/>
    <x v="1"/>
    <s v="PIL1/D/1529"/>
    <s v="29-08-2026"/>
    <s v="SF"/>
    <s v="Webbing"/>
    <s v="PP Webbing"/>
    <s v="PP Webbing"/>
    <s v="Webbing"/>
    <n v="704"/>
    <n v="103713.28"/>
    <s v="Webbing"/>
    <n v="0"/>
    <n v="9"/>
    <n v="9334.2000000000007"/>
    <n v="9"/>
    <n v="9334.2000000000007"/>
    <n v="0"/>
    <n v="0"/>
    <n v="0"/>
    <n v="18668.400000000001"/>
    <n v="0"/>
    <s v="24AAACO3087C1ZT"/>
    <s v="Kgs"/>
    <n v="3926908"/>
    <s v="Rs."/>
    <n v="1"/>
    <n v="0"/>
  </r>
  <r>
    <s v="29-08-2026"/>
    <s v="Plastene India ltd - Unit 1-Purchase"/>
    <s v="R.M.P."/>
    <s v="RM 580"/>
    <x v="1"/>
    <s v="PIL1/D/1529"/>
    <s v="29-08-2026"/>
    <s v="SF"/>
    <s v="Webbing"/>
    <s v="PP Webbing"/>
    <s v="PP Webbing"/>
    <s v="Webbing"/>
    <n v="709.3"/>
    <n v="102366.18"/>
    <s v="Webbing"/>
    <n v="0"/>
    <n v="9"/>
    <n v="9212.9599999999991"/>
    <n v="9"/>
    <n v="9212.9599999999991"/>
    <n v="0"/>
    <n v="0"/>
    <n v="0"/>
    <n v="18425.919999999998"/>
    <n v="0"/>
    <s v="24AAACO3087C1ZT"/>
    <s v="Kgs"/>
    <n v="3926908"/>
    <s v="Rs."/>
    <n v="1"/>
    <n v="0"/>
  </r>
  <r>
    <s v="29-08-2026"/>
    <s v="Plastene India ltd - Unit 1-Purchase"/>
    <s v="R.M.P."/>
    <s v="RM 580"/>
    <x v="1"/>
    <s v="PIL1/D/1529"/>
    <s v="29-08-2026"/>
    <s v="SF"/>
    <s v="Webbing"/>
    <s v="PP Webbing"/>
    <s v="PP Webbing"/>
    <s v="Webbing"/>
    <n v="15.4"/>
    <n v="2592.13"/>
    <s v="Webbing"/>
    <n v="0"/>
    <n v="9"/>
    <n v="233.29"/>
    <n v="9"/>
    <n v="233.29"/>
    <n v="0"/>
    <n v="0"/>
    <n v="0"/>
    <n v="466.58"/>
    <n v="0"/>
    <s v="24AAACO3087C1ZT"/>
    <s v="Kgs"/>
    <n v="3926908"/>
    <s v="Rs."/>
    <n v="1"/>
    <n v="0"/>
  </r>
  <r>
    <s v="29-08-2026"/>
    <s v="Plastene India ltd - Unit 1-Purchase"/>
    <s v="R.M.P."/>
    <s v="RM 580"/>
    <x v="1"/>
    <s v="PIL1/D/1529"/>
    <s v="29-08-2026"/>
    <s v="SF"/>
    <s v="Liners"/>
    <s v="LDPE/LLDPE Bags"/>
    <s v="LLDPE Bags"/>
    <s v="LDPE/LLDPE Bags/Liner"/>
    <n v="50"/>
    <n v="8843"/>
    <s v="LDPE/LLDPE Bags/Liner"/>
    <n v="0"/>
    <n v="9"/>
    <n v="795.87"/>
    <n v="9"/>
    <n v="795.87"/>
    <n v="0"/>
    <n v="0"/>
    <n v="0"/>
    <n v="1591.74"/>
    <n v="0"/>
    <s v="24AAACO3087C1ZT"/>
    <s v="Kgs"/>
    <n v="39200000"/>
    <s v="Rs."/>
    <n v="1"/>
    <n v="0"/>
  </r>
  <r>
    <s v="29-08-2026"/>
    <s v="Plastene India ltd - Unit 1-Purchase"/>
    <s v="R.M.P."/>
    <s v="RM 580"/>
    <x v="1"/>
    <s v="PIL1/D/1529"/>
    <s v="29-08-2026"/>
    <s v="SF"/>
    <s v="Liners"/>
    <s v="LDPE/LLDPE Bags"/>
    <s v="LLDPE Bags"/>
    <s v="LDPE/LLDPE Bags/Liner"/>
    <n v="839"/>
    <n v="148385.54"/>
    <s v="LDPE/LLDPE Bags/Liner"/>
    <n v="0"/>
    <n v="9"/>
    <n v="13354.7"/>
    <n v="9"/>
    <n v="13354.7"/>
    <n v="0"/>
    <n v="0"/>
    <n v="0"/>
    <n v="26709.4"/>
    <n v="0"/>
    <s v="24AAACO3087C1ZT"/>
    <s v="Kgs"/>
    <n v="39200000"/>
    <s v="Rs."/>
    <n v="1"/>
    <n v="0"/>
  </r>
  <r>
    <s v="29-08-2026"/>
    <s v="Plastene India ltd - Unit 1-Purchase"/>
    <s v="R.M.P."/>
    <s v="RM 581"/>
    <x v="1"/>
    <s v="PIL1/D/1531"/>
    <s v="29-08-2026"/>
    <s v="SF"/>
    <s v="PP/PE Fabric"/>
    <s v="PP Lam Fabric"/>
    <s v="PP Laminated Woven Fabric"/>
    <s v="PP Lam Fabric With UV"/>
    <n v="546"/>
    <n v="81528.72"/>
    <s v="PP Lam Fabric With UV"/>
    <n v="96122.35"/>
    <n v="9"/>
    <n v="7337.58"/>
    <n v="9"/>
    <n v="7337.58"/>
    <n v="0"/>
    <n v="0"/>
    <n v="0"/>
    <n v="14675.16"/>
    <n v="0"/>
    <s v="24AAACO3087C1ZT"/>
    <s v="Kgs"/>
    <n v="63053300"/>
    <s v="Rs."/>
    <n v="1"/>
    <n v="0"/>
  </r>
  <r>
    <s v="29-08-2026"/>
    <s v="Plastene Polyfilms Ltd-Purchase"/>
    <s v="General Purchase"/>
    <s v="GNCN 386"/>
    <x v="0"/>
    <s v="PPL/D/553"/>
    <s v="29-08-2026"/>
    <s v="Stores/Spares"/>
    <s v="MS Structure Items"/>
    <s v="Spares &amp; Stores"/>
    <s v="Stores &amp; Consumables"/>
    <s v="MS Pipe 4  C Class"/>
    <n v="29"/>
    <n v="1392"/>
    <s v="MS Pipe 4  C Class"/>
    <n v="1641.17"/>
    <n v="9"/>
    <n v="125.28"/>
    <n v="9"/>
    <n v="125.28"/>
    <n v="0"/>
    <n v="0"/>
    <n v="0"/>
    <n v="250.56"/>
    <n v="0"/>
    <s v="24AAFCP2956A1ZR"/>
    <s v="Kgs"/>
    <n v="73063090"/>
    <s v="Rs."/>
    <n v="1"/>
    <n v="0"/>
  </r>
  <r>
    <s v="29-08-2026"/>
    <s v="Plastene Polyfilms Ltd-Purchase"/>
    <s v="R.M.P."/>
    <s v="RM 578"/>
    <x v="1"/>
    <s v="PPL/D/552"/>
    <s v="29-08-2026"/>
    <s v="SF"/>
    <s v="PP/PE Fabric"/>
    <s v="PP UL Fabric"/>
    <s v="PP Woven Fabric"/>
    <s v="PP UL Fabric With UV"/>
    <n v="788.3"/>
    <n v="105301.11"/>
    <s v="PP UL Fabric With UV"/>
    <n v="163241.85"/>
    <n v="9"/>
    <n v="9477.1"/>
    <n v="9"/>
    <n v="9477.1"/>
    <n v="0"/>
    <n v="0"/>
    <n v="0"/>
    <n v="18954.2"/>
    <n v="0"/>
    <s v="24AAFCP2956A1ZR"/>
    <s v="Kgs"/>
    <n v="39269080"/>
    <s v="Rs."/>
    <n v="1"/>
    <n v="0"/>
  </r>
  <r>
    <s v="29-08-2026"/>
    <s v="Plastene Polyfilms Ltd-Purchase"/>
    <s v="R.M.P."/>
    <s v="RM 578"/>
    <x v="1"/>
    <s v="PPL/D/552"/>
    <s v="29-08-2026"/>
    <s v="SF"/>
    <s v="PP/PE Fabric"/>
    <s v="PP Lam Fabric"/>
    <s v="PP Laminated Woven Fabric"/>
    <s v="PP Lam Fabric With UV"/>
    <n v="241"/>
    <n v="33156.78"/>
    <s v="PP Lam Fabric With UV"/>
    <n v="0"/>
    <n v="9"/>
    <n v="2984.11"/>
    <n v="9"/>
    <n v="2984.11"/>
    <n v="0"/>
    <n v="0"/>
    <n v="0"/>
    <n v="5968.22"/>
    <n v="0"/>
    <s v="24AAFCP2956A1ZR"/>
    <s v="Kgs"/>
    <n v="63053300"/>
    <s v="Rs."/>
    <n v="1"/>
    <n v="0"/>
  </r>
  <r>
    <s v="29-08-2026"/>
    <s v="Shiv Shakti Enterprise"/>
    <s v="Purchase"/>
    <s v="GNPK 86"/>
    <x v="3"/>
    <s v="SSE/2026-27/1225"/>
    <s v="27-08-2026"/>
    <s v="Packing Material"/>
    <s v="Pallets"/>
    <s v="Pallets"/>
    <s v="Packing Material"/>
    <s v="Pine Wooden Pallet Design Code STD90110"/>
    <n v="200"/>
    <n v="163000"/>
    <s v="Pine Wooden Pallet Design Code STD90110"/>
    <n v="171150"/>
    <n v="2.5"/>
    <n v="4075"/>
    <n v="2.5"/>
    <n v="4075"/>
    <n v="0"/>
    <n v="0"/>
    <n v="0"/>
    <n v="8150"/>
    <n v="0"/>
    <s v="24AIEPG9602Q1ZZ"/>
    <s v="Pcs"/>
    <n v="44152000"/>
    <s v="Rs."/>
    <n v="1"/>
    <n v="0"/>
  </r>
  <r>
    <s v="30-08-2026"/>
    <s v="HCP Plastene Bulkpack Limited - Purchase"/>
    <s v="Branch Transfer In"/>
    <s v="RM 582"/>
    <x v="4"/>
    <s v="HPBL/DC/43"/>
    <s v="27-08-2026"/>
    <s v="SF"/>
    <s v="Liners"/>
    <s v="LDPE/LLDPE Bags"/>
    <s v="LLDPE Doc"/>
    <s v="DOC Pouch"/>
    <n v="890"/>
    <n v="152145.5"/>
    <s v="DOC Pouch"/>
    <n v="152145.5"/>
    <n v="0"/>
    <n v="0"/>
    <n v="0"/>
    <n v="0"/>
    <n v="0"/>
    <n v="0"/>
    <n v="0"/>
    <n v="0"/>
    <n v="0"/>
    <s v="24AABCG1282C2Z6"/>
    <s v="Kgs"/>
    <n v="39232100"/>
    <s v="Rs."/>
    <n v="1"/>
    <n v="0"/>
  </r>
  <r>
    <s v="30-08-2026"/>
    <s v="HCP Plastene Bulkpack Limited - Purchase"/>
    <s v="Branch Transfer In"/>
    <s v="RM 583"/>
    <x v="5"/>
    <s v="HPBL/DC/45"/>
    <s v="29-08-2026"/>
    <s v="FG"/>
    <s v="Small Bags"/>
    <s v="PP Bags"/>
    <s v="PP Woven Sacks"/>
    <s v="PP UL Bags Without UV"/>
    <n v="3593.8"/>
    <n v="626075.9"/>
    <s v="PP UL Bags Without UV"/>
    <n v="626075.9"/>
    <n v="0"/>
    <n v="0"/>
    <n v="0"/>
    <n v="0"/>
    <n v="0"/>
    <n v="0"/>
    <n v="0"/>
    <n v="0"/>
    <n v="0"/>
    <s v="24AABCG1282C2Z6"/>
    <s v="Kgs"/>
    <n v="39232990"/>
    <s v="Rs."/>
    <n v="1"/>
    <n v="0"/>
  </r>
  <r>
    <s v="30-08-2026"/>
    <s v="Plastene India ltd - Unit 1-Purchase"/>
    <s v="General Purchase"/>
    <s v="GNCN 388"/>
    <x v="0"/>
    <s v="PIL1/D/1538"/>
    <s v="30-08-2026"/>
    <s v="Stores/Spares"/>
    <s v="MS Structure Items"/>
    <s v="Spares &amp; Stores"/>
    <s v="Stores &amp; Consumables"/>
    <s v="MS Pipe 4  C Class"/>
    <n v="254"/>
    <n v="12192"/>
    <s v="MS Pipe 4  C Class"/>
    <n v="14374.37"/>
    <n v="9"/>
    <n v="1097.28"/>
    <n v="9"/>
    <n v="1097.28"/>
    <n v="0"/>
    <n v="0"/>
    <n v="0"/>
    <n v="2194.56"/>
    <n v="0"/>
    <s v="24AAACO3087C1ZT"/>
    <s v="Kgs"/>
    <n v="73063090"/>
    <s v="Rs."/>
    <n v="1"/>
    <n v="0"/>
  </r>
  <r>
    <s v="30-08-2026"/>
    <s v="Plastene India ltd - Unit 1-Purchase"/>
    <s v="R.M.P."/>
    <s v="RM 584"/>
    <x v="1"/>
    <s v="PIL1/D/1535"/>
    <s v="29-08-2026"/>
    <s v="SF"/>
    <s v="Liners"/>
    <s v="LDPE/LLDPE Bags"/>
    <s v="LLDPE Bags"/>
    <s v="LDPE/LLDPE Bags/Liner"/>
    <n v="1208"/>
    <n v="213646.88"/>
    <s v="LDPE/LLDPE Bags/Liner"/>
    <n v="251889.67"/>
    <n v="9"/>
    <n v="19228.22"/>
    <n v="9"/>
    <n v="19228.22"/>
    <n v="0"/>
    <n v="0"/>
    <n v="0"/>
    <n v="38456.44"/>
    <n v="0"/>
    <s v="24AAACO3087C1ZT"/>
    <s v="Kgs"/>
    <n v="39200000"/>
    <s v="Rs."/>
    <n v="1"/>
    <n v="0"/>
  </r>
  <r>
    <s v="30-08-2026"/>
    <s v="Plastene India ltd - Unit 1-Purchase"/>
    <s v="R.M.P."/>
    <s v="RM 585"/>
    <x v="1"/>
    <s v="PIL1/D/1537"/>
    <s v="30-08-2026"/>
    <s v="SF"/>
    <s v="PP/PE Fabric"/>
    <s v="PP UL Fabric"/>
    <s v="PP Woven Fabric"/>
    <s v="PP UL Fabric With UV"/>
    <n v="8120"/>
    <n v="1155638.3999999999"/>
    <s v="PP UL Fabric With UV"/>
    <n v="1720383.61"/>
    <n v="9"/>
    <n v="104007.46"/>
    <n v="9"/>
    <n v="104007.46"/>
    <n v="0"/>
    <n v="0"/>
    <n v="0"/>
    <n v="208014.92"/>
    <n v="0"/>
    <s v="24AAACO3087C1ZT"/>
    <s v="Kgs"/>
    <n v="39269080"/>
    <s v="Rs."/>
    <n v="1"/>
    <n v="0"/>
  </r>
  <r>
    <s v="30-08-2026"/>
    <s v="Plastene India ltd - Unit 1-Purchase"/>
    <s v="R.M.P."/>
    <s v="RM 585"/>
    <x v="1"/>
    <s v="PIL1/D/1537"/>
    <s v="30-08-2026"/>
    <s v="SF"/>
    <s v="PP/PE Fabric"/>
    <s v="PP UL Fabric"/>
    <s v="PP Woven Fabric"/>
    <s v="PP UL Fabric With UV"/>
    <n v="1200"/>
    <n v="174384"/>
    <s v="PP UL Fabric With UV"/>
    <n v="0"/>
    <n v="9"/>
    <n v="15694.56"/>
    <n v="9"/>
    <n v="15694.56"/>
    <n v="0"/>
    <n v="0"/>
    <n v="0"/>
    <n v="31389.119999999999"/>
    <n v="0"/>
    <s v="24AAACO3087C1ZT"/>
    <s v="Kgs"/>
    <n v="39269080"/>
    <s v="Rs."/>
    <n v="1"/>
    <n v="0"/>
  </r>
  <r>
    <s v="30-08-2026"/>
    <s v="Plastene India ltd - Unit 1-Purchase"/>
    <s v="R.M.P."/>
    <s v="RM 585"/>
    <x v="1"/>
    <s v="PIL1/D/1537"/>
    <s v="30-08-2026"/>
    <s v="SF"/>
    <s v="PP/PE Fabric"/>
    <s v="PP UL Fabric"/>
    <s v="PP Woven Fabric"/>
    <s v="PP UL Fabric With UV"/>
    <n v="895"/>
    <n v="129166.39999999999"/>
    <s v="PP UL Fabric With UV"/>
    <n v="0"/>
    <n v="9"/>
    <n v="11624.98"/>
    <n v="9"/>
    <n v="11624.98"/>
    <n v="0"/>
    <n v="0"/>
    <n v="0"/>
    <n v="23249.96"/>
    <n v="0"/>
    <s v="24AAACO3087C1ZT"/>
    <s v="Kgs"/>
    <n v="39269080"/>
    <s v="Rs."/>
    <n v="1"/>
    <n v="0"/>
  </r>
  <r>
    <s v="30-08-2026"/>
    <s v="Plastene India ltd - Unit 1-Purchase"/>
    <s v="R.M.P."/>
    <s v="RM 586"/>
    <x v="1"/>
    <s v="PIL1/D/1539"/>
    <s v="30-08-2026"/>
    <s v="SF"/>
    <s v="PP/PE Fabric"/>
    <s v="PP Lam Fabric"/>
    <s v="PP Laminated Woven Fabric"/>
    <s v="PP Lam Fabric With UV"/>
    <n v="1487"/>
    <n v="217577.84"/>
    <s v="PP Lam Fabric With UV"/>
    <n v="2013633.88"/>
    <n v="9"/>
    <n v="19582.009999999998"/>
    <n v="9"/>
    <n v="19582.009999999998"/>
    <n v="0"/>
    <n v="0"/>
    <n v="0"/>
    <n v="39164.019999999997"/>
    <n v="0"/>
    <s v="24AAACO3087C1ZT"/>
    <s v="Kgs"/>
    <n v="63053300"/>
    <s v="Rs."/>
    <n v="1"/>
    <n v="0"/>
  </r>
  <r>
    <s v="30-08-2026"/>
    <s v="Plastene India ltd - Unit 1-Purchase"/>
    <s v="R.M.P."/>
    <s v="RM 586"/>
    <x v="1"/>
    <s v="PIL1/D/1539"/>
    <s v="30-08-2026"/>
    <s v="SF"/>
    <s v="PP/PE Fabric"/>
    <s v="PP Lam Fabric"/>
    <s v="PP Laminated Woven Fabric"/>
    <s v="PP Lam Fabric With UV"/>
    <n v="185"/>
    <n v="27624.2"/>
    <s v="PP Lam Fabric With UV"/>
    <n v="0"/>
    <n v="9"/>
    <n v="2486.1799999999998"/>
    <n v="9"/>
    <n v="2486.1799999999998"/>
    <n v="0"/>
    <n v="0"/>
    <n v="0"/>
    <n v="4972.3599999999997"/>
    <n v="0"/>
    <s v="24AAACO3087C1ZT"/>
    <s v="Kgs"/>
    <n v="63053300"/>
    <s v="Rs."/>
    <n v="1"/>
    <n v="0"/>
  </r>
  <r>
    <s v="30-08-2026"/>
    <s v="Plastene India ltd - Unit 1-Purchase"/>
    <s v="R.M.P."/>
    <s v="RM 586"/>
    <x v="1"/>
    <s v="PIL1/D/1539"/>
    <s v="30-08-2026"/>
    <s v="SF"/>
    <s v="PP/PE Fabric"/>
    <s v="PP UL Fabric"/>
    <s v="PP Woven Fabric"/>
    <s v="PP UL Fabric With UV"/>
    <n v="1466"/>
    <n v="208641.12"/>
    <s v="PP UL Fabric With UV"/>
    <n v="0"/>
    <n v="9"/>
    <n v="18777.7"/>
    <n v="9"/>
    <n v="18777.7"/>
    <n v="0"/>
    <n v="0"/>
    <n v="0"/>
    <n v="37555.4"/>
    <n v="0"/>
    <s v="24AAACO3087C1ZT"/>
    <s v="Kgs"/>
    <n v="39269080"/>
    <s v="Rs."/>
    <n v="1"/>
    <n v="0"/>
  </r>
  <r>
    <s v="30-08-2026"/>
    <s v="Plastene India ltd - Unit 1-Purchase"/>
    <s v="R.M.P."/>
    <s v="RM 586"/>
    <x v="1"/>
    <s v="PIL1/D/1539"/>
    <s v="30-08-2026"/>
    <s v="SF"/>
    <s v="PP/PE Fabric"/>
    <s v="PP UL Fabric"/>
    <s v="PP Woven Fabric"/>
    <s v="PP UL Fabric With UV"/>
    <n v="262"/>
    <n v="38073.839999999997"/>
    <s v="PP UL Fabric With UV"/>
    <n v="0"/>
    <n v="9"/>
    <n v="3426.65"/>
    <n v="9"/>
    <n v="3426.65"/>
    <n v="0"/>
    <n v="0"/>
    <n v="0"/>
    <n v="6853.3"/>
    <n v="0"/>
    <s v="24AAACO3087C1ZT"/>
    <s v="Kgs"/>
    <n v="39269080"/>
    <s v="Rs."/>
    <n v="1"/>
    <n v="0"/>
  </r>
  <r>
    <s v="30-08-2026"/>
    <s v="Plastene India ltd - Unit 1-Purchase"/>
    <s v="R.M.P."/>
    <s v="RM 586"/>
    <x v="1"/>
    <s v="PIL1/D/1539"/>
    <s v="30-08-2026"/>
    <s v="SF"/>
    <s v="Webbing"/>
    <s v="PP Webbing"/>
    <s v="PP Webbing"/>
    <s v="Webbing"/>
    <n v="12.4"/>
    <n v="2087.17"/>
    <s v="Webbing"/>
    <n v="0"/>
    <n v="9"/>
    <n v="187.85"/>
    <n v="9"/>
    <n v="187.85"/>
    <n v="0"/>
    <n v="0"/>
    <n v="0"/>
    <n v="375.7"/>
    <n v="0"/>
    <s v="24AAACO3087C1ZT"/>
    <s v="Kgs"/>
    <n v="3926908"/>
    <s v="Rs."/>
    <n v="1"/>
    <n v="0"/>
  </r>
  <r>
    <s v="30-08-2026"/>
    <s v="Plastene India ltd - Unit 1-Purchase"/>
    <s v="R.M.P."/>
    <s v="RM 586"/>
    <x v="1"/>
    <s v="PIL1/D/1539"/>
    <s v="30-08-2026"/>
    <s v="SF"/>
    <s v="Webbing"/>
    <s v="PP Webbing"/>
    <s v="PP Webbing"/>
    <s v="Webbing"/>
    <n v="6.8"/>
    <n v="1124.18"/>
    <s v="Webbing"/>
    <n v="0"/>
    <n v="9"/>
    <n v="101.18"/>
    <n v="9"/>
    <n v="101.18"/>
    <n v="0"/>
    <n v="0"/>
    <n v="0"/>
    <n v="202.36"/>
    <n v="0"/>
    <s v="24AAACO3087C1ZT"/>
    <s v="Kgs"/>
    <n v="3926908"/>
    <s v="Rs."/>
    <n v="1"/>
    <n v="0"/>
  </r>
  <r>
    <s v="30-08-2026"/>
    <s v="Plastene India ltd - Unit 1-Purchase"/>
    <s v="R.M.P."/>
    <s v="RM 586"/>
    <x v="1"/>
    <s v="PIL1/D/1539"/>
    <s v="30-08-2026"/>
    <s v="SF"/>
    <s v="Webbing"/>
    <s v="PP Webbing"/>
    <s v="PP Webbing"/>
    <s v="Webbing"/>
    <n v="927.2"/>
    <n v="136595.1"/>
    <s v="Webbing"/>
    <n v="0"/>
    <n v="9"/>
    <n v="12293.56"/>
    <n v="9"/>
    <n v="12293.56"/>
    <n v="0"/>
    <n v="0"/>
    <n v="0"/>
    <n v="24587.119999999999"/>
    <n v="0"/>
    <s v="24AAACO3087C1ZT"/>
    <s v="Kgs"/>
    <n v="3926908"/>
    <s v="Rs."/>
    <n v="1"/>
    <n v="0"/>
  </r>
  <r>
    <s v="30-08-2026"/>
    <s v="Plastene India ltd - Unit 1-Purchase"/>
    <s v="R.M.P."/>
    <s v="RM 586"/>
    <x v="1"/>
    <s v="PIL1/D/1539"/>
    <s v="30-08-2026"/>
    <s v="SF"/>
    <s v="Webbing"/>
    <s v="PP Webbing"/>
    <s v="PP Webbing"/>
    <s v="Webbing"/>
    <n v="1118.9000000000001"/>
    <n v="161479.65"/>
    <s v="Webbing"/>
    <n v="0"/>
    <n v="9"/>
    <n v="14533.17"/>
    <n v="9"/>
    <n v="14533.17"/>
    <n v="0"/>
    <n v="0"/>
    <n v="0"/>
    <n v="29066.34"/>
    <n v="0"/>
    <s v="24AAACO3087C1ZT"/>
    <s v="Kgs"/>
    <n v="3926908"/>
    <s v="Rs."/>
    <n v="1"/>
    <n v="0"/>
  </r>
  <r>
    <s v="30-08-2026"/>
    <s v="Plastene India ltd - Unit 1-Purchase"/>
    <s v="R.M.P."/>
    <s v="RM 586"/>
    <x v="1"/>
    <s v="PIL1/D/1539"/>
    <s v="30-08-2026"/>
    <s v="SF"/>
    <s v="Liners"/>
    <s v="LDPE/LLDPE Bags"/>
    <s v="LLDPE Bags"/>
    <s v="LDPE/LLDPE Bags/Liner"/>
    <n v="4944"/>
    <n v="874395.84"/>
    <s v="LDPE/LLDPE Bags/Liner"/>
    <n v="0"/>
    <n v="9"/>
    <n v="78695.63"/>
    <n v="9"/>
    <n v="78695.63"/>
    <n v="0"/>
    <n v="0"/>
    <n v="0"/>
    <n v="157391.26"/>
    <n v="0"/>
    <s v="24AAACO3087C1ZT"/>
    <s v="Kgs"/>
    <n v="39200000"/>
    <s v="Rs."/>
    <n v="1"/>
    <n v="0"/>
  </r>
  <r>
    <s v="30-08-2026"/>
    <s v="Plastene India ltd - Unit 1-Purchase"/>
    <s v="R.M.P."/>
    <s v="RM 586"/>
    <x v="1"/>
    <s v="PIL1/D/1539"/>
    <s v="30-08-2026"/>
    <s v="RM Consumables"/>
    <s v="FIBC Accessories"/>
    <s v="FIBC Accessories"/>
    <s v="Packing Material"/>
    <s v="Zip Lock Bags"/>
    <n v="8400"/>
    <n v="29606.639999999999"/>
    <s v="Zip Lock Bags"/>
    <n v="0"/>
    <n v="9"/>
    <n v="2664.6"/>
    <n v="9"/>
    <n v="2664.6"/>
    <n v="0"/>
    <n v="0"/>
    <n v="0"/>
    <n v="5329.2"/>
    <n v="0"/>
    <s v="24AAACO3087C1ZT"/>
    <s v="Pcs"/>
    <n v="39232100"/>
    <s v="Rs."/>
    <n v="1"/>
    <n v="167.4"/>
  </r>
  <r>
    <s v="30-08-2026"/>
    <s v="Plastene India ltd - Unit 1-Purchase"/>
    <s v="R.M.P."/>
    <s v="RM 586"/>
    <x v="1"/>
    <s v="PIL1/D/1539"/>
    <s v="30-08-2026"/>
    <s v="SF"/>
    <s v="Yarn All"/>
    <s v="PP Yarn"/>
    <s v="PP Filament Yarn"/>
    <s v="PP Fibrillated Tape Twisted 3200 Blue"/>
    <n v="84"/>
    <n v="12038.88"/>
    <s v="PP Fibrillated Tape Twisted 3200 Blue"/>
    <n v="0"/>
    <n v="2.5"/>
    <n v="300.97000000000003"/>
    <n v="2.5"/>
    <n v="300.97000000000003"/>
    <n v="0"/>
    <n v="0"/>
    <n v="0"/>
    <n v="601.94000000000005"/>
    <n v="0"/>
    <s v="24AAACO3087C1ZT"/>
    <s v="Kgs"/>
    <n v="54026930"/>
    <s v="Rs."/>
    <n v="1"/>
    <n v="0"/>
  </r>
  <r>
    <s v="31-08-2026"/>
    <s v="Gayatri Petroleums"/>
    <s v="General Purchase"/>
    <s v="GNCN 391"/>
    <x v="0"/>
    <s v="GP/26-27/97693"/>
    <s v="27-08-2026"/>
    <s v="Consumables"/>
    <s v="Oil &amp; Greases"/>
    <s v="Spares &amp; Stores"/>
    <s v="Stores &amp; Consumables"/>
    <s v="Diesel"/>
    <n v="600"/>
    <n v="58674"/>
    <s v="Diesel"/>
    <n v="58674"/>
    <n v="0"/>
    <n v="0"/>
    <n v="0"/>
    <n v="0"/>
    <n v="0"/>
    <n v="0"/>
    <n v="0"/>
    <n v="0"/>
    <n v="0"/>
    <s v="24ABJPV0976A1ZO"/>
    <s v="Ltr"/>
    <n v="27101930"/>
    <s v="Rs."/>
    <n v="1"/>
    <n v="0"/>
  </r>
  <r>
    <s v="31-08-2026"/>
    <s v="K.P. Woven Pvt Ltd-Purchase"/>
    <s v="R.M.P."/>
    <s v="RM 588"/>
    <x v="1"/>
    <s v="KPV/D/696"/>
    <s v="30-08-2026"/>
    <s v="SF"/>
    <s v="Yarn All"/>
    <s v="PP Yarn"/>
    <s v="PP Filament Yarn"/>
    <s v="PP Fibrillated Tape Twisted 3200 Blue"/>
    <n v="383"/>
    <n v="61050.2"/>
    <s v="PP Fibrillated Tape Twisted 3200 Blue"/>
    <n v="94393.44"/>
    <n v="2.5"/>
    <n v="1526.26"/>
    <n v="2.5"/>
    <n v="1526.26"/>
    <n v="0"/>
    <n v="0"/>
    <n v="0"/>
    <n v="3052.52"/>
    <n v="0"/>
    <s v="24AAECK6307M1ZF"/>
    <s v="Kgs"/>
    <n v="54026930"/>
    <s v="Rs."/>
    <n v="1"/>
    <n v="0"/>
  </r>
  <r>
    <s v="31-08-2026"/>
    <s v="K.P. Woven Pvt Ltd-Purchase"/>
    <s v="R.M.P."/>
    <s v="RM 588"/>
    <x v="1"/>
    <s v="KPV/D/696"/>
    <s v="30-08-2026"/>
    <s v="SF"/>
    <s v="Yarn All"/>
    <s v="PP Yarn"/>
    <s v="PP Filament Yarn"/>
    <s v="PP Fibrillated Tape Twisted 3200 MW"/>
    <n v="185"/>
    <n v="28934"/>
    <s v="PP Fibrillated Tape Twisted 3200 MW"/>
    <n v="0"/>
    <n v="2.5"/>
    <n v="723.35"/>
    <n v="2.5"/>
    <n v="723.35"/>
    <n v="0"/>
    <n v="0"/>
    <n v="0"/>
    <n v="1446.7"/>
    <n v="0"/>
    <s v="24AAECK6307M1ZF"/>
    <s v="Kgs"/>
    <n v="54026930"/>
    <s v="Rs."/>
    <n v="1"/>
    <n v="0"/>
  </r>
  <r>
    <s v="31-08-2026"/>
    <s v="Plastene India ltd - Unit 1-Purchase"/>
    <s v="General Purchase"/>
    <s v="GNCN 389"/>
    <x v="0"/>
    <s v="PIL1/D/1543"/>
    <s v="31-08-2026"/>
    <s v="Stores/Spares"/>
    <s v="MS Structure Items"/>
    <s v="Spares &amp; Stores"/>
    <s v="Stores &amp; Consumables"/>
    <s v="MS Pipe 4  C Class"/>
    <n v="366"/>
    <n v="17568"/>
    <s v="MS Pipe 4  C Class"/>
    <n v="20712.669999999998"/>
    <n v="9"/>
    <n v="1581.12"/>
    <n v="9"/>
    <n v="1581.12"/>
    <n v="0"/>
    <n v="0"/>
    <n v="0"/>
    <n v="3162.24"/>
    <n v="0"/>
    <s v="24AAACO3087C1ZT"/>
    <s v="Kgs"/>
    <n v="73063090"/>
    <s v="Rs."/>
    <n v="1"/>
    <n v="0"/>
  </r>
  <r>
    <s v="31-08-2026"/>
    <s v="Plastene India ltd - Unit 1-Purchase"/>
    <s v="R.M.P."/>
    <s v="RM 589"/>
    <x v="1"/>
    <s v="PIL1/D/1542"/>
    <s v="31-08-2026"/>
    <s v="SF"/>
    <s v="PP/PE Fabric"/>
    <s v="PP UL Fabric"/>
    <s v="PP Woven Fabric"/>
    <s v="PP UL Fabric With UV"/>
    <n v="1337"/>
    <n v="194292.84"/>
    <s v="PP UL Fabric With UV"/>
    <n v="1380377.22"/>
    <n v="9"/>
    <n v="17486.36"/>
    <n v="9"/>
    <n v="17486.36"/>
    <n v="0"/>
    <n v="0"/>
    <n v="0"/>
    <n v="34972.720000000001"/>
    <n v="0"/>
    <s v="24AAACO3087C1ZT"/>
    <s v="Kgs"/>
    <n v="39269080"/>
    <s v="Rs."/>
    <n v="1"/>
    <n v="0"/>
  </r>
  <r>
    <s v="31-08-2026"/>
    <s v="Plastene India ltd - Unit 1-Purchase"/>
    <s v="R.M.P."/>
    <s v="RM 589"/>
    <x v="1"/>
    <s v="PIL1/D/1542"/>
    <s v="31-08-2026"/>
    <s v="SF"/>
    <s v="PP/PE Fabric"/>
    <s v="PP UL Fabric"/>
    <s v="PP Woven Fabric"/>
    <s v="PP UL Fabric With UV"/>
    <n v="240"/>
    <n v="34636.800000000003"/>
    <s v="PP UL Fabric With UV"/>
    <n v="0"/>
    <n v="9"/>
    <n v="3117.31"/>
    <n v="9"/>
    <n v="3117.31"/>
    <n v="0"/>
    <n v="0"/>
    <n v="0"/>
    <n v="6234.62"/>
    <n v="0"/>
    <s v="24AAACO3087C1ZT"/>
    <s v="Kgs"/>
    <n v="39269080"/>
    <s v="Rs."/>
    <n v="1"/>
    <n v="0"/>
  </r>
  <r>
    <s v="31-08-2026"/>
    <s v="Plastene India ltd - Unit 1-Purchase"/>
    <s v="R.M.P."/>
    <s v="RM 589"/>
    <x v="1"/>
    <s v="PIL1/D/1542"/>
    <s v="31-08-2026"/>
    <s v="SF"/>
    <s v="PP/PE Fabric"/>
    <s v="PP UL Fabric"/>
    <s v="PP Woven Fabric"/>
    <s v="PP UL Fabric With UV"/>
    <n v="6618"/>
    <n v="941873.76"/>
    <s v="PP UL Fabric With UV"/>
    <n v="0"/>
    <n v="9"/>
    <n v="84768.639999999999"/>
    <n v="9"/>
    <n v="84768.639999999999"/>
    <n v="0"/>
    <n v="0"/>
    <n v="0"/>
    <n v="169537.28"/>
    <n v="0"/>
    <s v="24AAACO3087C1ZT"/>
    <s v="Kgs"/>
    <n v="39269080"/>
    <s v="Rs."/>
    <n v="1"/>
    <n v="0"/>
  </r>
  <r>
    <s v="31-08-2026"/>
    <s v="Plastene India ltd - Unit 1-Purchase"/>
    <s v="R.M.P."/>
    <s v="RM 590"/>
    <x v="1"/>
    <s v="PIL1/D/1544"/>
    <s v="31-08-2026"/>
    <s v="SF"/>
    <s v="Liners"/>
    <s v="LDPE/LLDPE Bags"/>
    <s v="LLDPE Bags"/>
    <s v="LDPE/LLDPE Bags/Liner"/>
    <n v="2165"/>
    <n v="382901.9"/>
    <s v="LDPE/LLDPE Bags/Liner"/>
    <n v="1460945.24"/>
    <n v="9"/>
    <n v="34461.17"/>
    <n v="9"/>
    <n v="34461.17"/>
    <n v="0"/>
    <n v="0"/>
    <n v="0"/>
    <n v="68922.34"/>
    <n v="0"/>
    <s v="24AAACO3087C1ZT"/>
    <s v="Kgs"/>
    <n v="39200000"/>
    <s v="Rs."/>
    <n v="1"/>
    <n v="0"/>
  </r>
  <r>
    <s v="31-08-2026"/>
    <s v="Plastene India ltd - Unit 1-Purchase"/>
    <s v="R.M.P."/>
    <s v="RM 590"/>
    <x v="1"/>
    <s v="PIL1/D/1544"/>
    <s v="31-08-2026"/>
    <s v="SF"/>
    <s v="PP/PE Fabric"/>
    <s v="PP UL Fabric"/>
    <s v="PP Woven Fabric"/>
    <s v="PP UL Fabric With UV"/>
    <n v="2264"/>
    <n v="322212.47999999998"/>
    <s v="PP UL Fabric With UV"/>
    <n v="0"/>
    <n v="9"/>
    <n v="28999.119999999999"/>
    <n v="9"/>
    <n v="28999.119999999999"/>
    <n v="0"/>
    <n v="0"/>
    <n v="0"/>
    <n v="57998.239999999998"/>
    <n v="0"/>
    <s v="24AAACO3087C1ZT"/>
    <s v="Kgs"/>
    <n v="39269080"/>
    <s v="Rs."/>
    <n v="1"/>
    <n v="0"/>
  </r>
  <r>
    <s v="31-08-2026"/>
    <s v="Plastene India ltd - Unit 1-Purchase"/>
    <s v="R.M.P."/>
    <s v="RM 590"/>
    <x v="1"/>
    <s v="PIL1/D/1544"/>
    <s v="31-08-2026"/>
    <s v="SF"/>
    <s v="PP/PE Fabric"/>
    <s v="PP UL Fabric"/>
    <s v="PP Woven Fabric"/>
    <s v="PP UL Fabric With UV"/>
    <n v="1133"/>
    <n v="164647.56"/>
    <s v="PP UL Fabric With UV"/>
    <n v="0"/>
    <n v="9"/>
    <n v="14818.28"/>
    <n v="9"/>
    <n v="14818.28"/>
    <n v="0"/>
    <n v="0"/>
    <n v="0"/>
    <n v="29636.560000000001"/>
    <n v="0"/>
    <s v="24AAACO3087C1ZT"/>
    <s v="Kgs"/>
    <n v="39269080"/>
    <s v="Rs."/>
    <n v="1"/>
    <n v="0"/>
  </r>
  <r>
    <s v="31-08-2026"/>
    <s v="Plastene India ltd - Unit 1-Purchase"/>
    <s v="R.M.P."/>
    <s v="RM 590"/>
    <x v="1"/>
    <s v="PIL1/D/1544"/>
    <s v="31-08-2026"/>
    <s v="SF"/>
    <s v="PP/PE Fabric"/>
    <s v="PP UL Fabric"/>
    <s v="PP Woven Fabric"/>
    <s v="PP UL Fabric With UV"/>
    <n v="251"/>
    <n v="36224.32"/>
    <s v="PP UL Fabric With UV"/>
    <n v="0"/>
    <n v="9"/>
    <n v="3260.19"/>
    <n v="9"/>
    <n v="3260.19"/>
    <n v="0"/>
    <n v="0"/>
    <n v="0"/>
    <n v="6520.38"/>
    <n v="0"/>
    <s v="24AAACO3087C1ZT"/>
    <s v="Kgs"/>
    <n v="39269080"/>
    <s v="Rs."/>
    <n v="1"/>
    <n v="0"/>
  </r>
  <r>
    <s v="31-08-2026"/>
    <s v="Plastene India ltd - Unit 1-Purchase"/>
    <s v="R.M.P."/>
    <s v="RM 590"/>
    <x v="1"/>
    <s v="PIL1/D/1544"/>
    <s v="31-08-2026"/>
    <s v="SF"/>
    <s v="PP/PE Fabric"/>
    <s v="PP Lam Fabric"/>
    <s v="PP Laminated Woven Fabric"/>
    <s v="PP Lam Fabric With UV"/>
    <n v="696"/>
    <n v="103926.72"/>
    <s v="PP Lam Fabric With UV"/>
    <n v="0"/>
    <n v="9"/>
    <n v="9353.4"/>
    <n v="9"/>
    <n v="9353.4"/>
    <n v="0"/>
    <n v="0"/>
    <n v="0"/>
    <n v="18706.8"/>
    <n v="0"/>
    <s v="24AAACO3087C1ZT"/>
    <s v="Kgs"/>
    <n v="63053300"/>
    <s v="Rs."/>
    <n v="1"/>
    <n v="0"/>
  </r>
  <r>
    <s v="31-08-2026"/>
    <s v="Plastene India ltd - Unit 1-Purchase"/>
    <s v="R.M.P."/>
    <s v="RM 590"/>
    <x v="1"/>
    <s v="PIL1/D/1544"/>
    <s v="31-08-2026"/>
    <s v="SF"/>
    <s v="Webbing"/>
    <s v="PP Webbing"/>
    <s v="PP Webbing"/>
    <s v="Webbing"/>
    <n v="5.8"/>
    <n v="958.86"/>
    <s v="Webbing"/>
    <n v="0"/>
    <n v="9"/>
    <n v="86.3"/>
    <n v="9"/>
    <n v="86.3"/>
    <n v="0"/>
    <n v="0"/>
    <n v="0"/>
    <n v="172.6"/>
    <n v="0"/>
    <s v="24AAACO3087C1ZT"/>
    <s v="Kgs"/>
    <n v="3926908"/>
    <s v="Rs."/>
    <n v="1"/>
    <n v="0"/>
  </r>
  <r>
    <s v="31-08-2026"/>
    <s v="Plastene India ltd - Unit 1-Purchase"/>
    <s v="R.M.P."/>
    <s v="RM 590"/>
    <x v="1"/>
    <s v="PIL1/D/1544"/>
    <s v="31-08-2026"/>
    <s v="SF"/>
    <s v="Webbing"/>
    <s v="PP Webbing"/>
    <s v="PP Webbing"/>
    <s v="Webbing"/>
    <n v="14.2"/>
    <n v="2390.14"/>
    <s v="Webbing"/>
    <n v="0"/>
    <n v="9"/>
    <n v="215.11"/>
    <n v="9"/>
    <n v="215.11"/>
    <n v="0"/>
    <n v="0"/>
    <n v="0"/>
    <n v="430.22"/>
    <n v="0"/>
    <s v="24AAACO3087C1ZT"/>
    <s v="Kgs"/>
    <n v="3926908"/>
    <s v="Rs."/>
    <n v="1"/>
    <n v="0"/>
  </r>
  <r>
    <s v="31-08-2026"/>
    <s v="Plastene India ltd - Unit 1-Purchase"/>
    <s v="R.M.P."/>
    <s v="RM 590"/>
    <x v="1"/>
    <s v="PIL1/D/1544"/>
    <s v="31-08-2026"/>
    <s v="SF"/>
    <s v="Webbing"/>
    <s v="PP Webbing"/>
    <s v="PP Webbing"/>
    <s v="Webbing"/>
    <n v="322"/>
    <n v="46471.040000000001"/>
    <s v="Webbing"/>
    <n v="0"/>
    <n v="9"/>
    <n v="4182.3900000000003"/>
    <n v="9"/>
    <n v="4182.3900000000003"/>
    <n v="0"/>
    <n v="0"/>
    <n v="0"/>
    <n v="8364.7800000000007"/>
    <n v="0"/>
    <s v="24AAACO3087C1ZT"/>
    <s v="Kgs"/>
    <n v="3926908"/>
    <s v="Rs."/>
    <n v="1"/>
    <n v="0"/>
  </r>
  <r>
    <s v="31-08-2026"/>
    <s v="Plastene India ltd - Unit 1-Purchase"/>
    <s v="R.M.P."/>
    <s v="RM 590"/>
    <x v="1"/>
    <s v="PIL1/D/1544"/>
    <s v="31-08-2026"/>
    <s v="SF"/>
    <s v="Webbing"/>
    <s v="PP Webbing"/>
    <s v="PP Webbing"/>
    <s v="Webbing"/>
    <n v="1217.8"/>
    <n v="179406.3"/>
    <s v="Webbing"/>
    <n v="0"/>
    <n v="9"/>
    <n v="16146.57"/>
    <n v="9"/>
    <n v="16146.57"/>
    <n v="0"/>
    <n v="0"/>
    <n v="0"/>
    <n v="32293.14"/>
    <n v="0"/>
    <s v="24AAACO3087C1ZT"/>
    <s v="Kgs"/>
    <n v="3926908"/>
    <s v="Rs."/>
    <n v="1"/>
    <n v="0"/>
  </r>
  <r>
    <s v="31-08-2026"/>
    <s v="Plastene India ltd - Unit 1-Purchase"/>
    <s v="R.M.P."/>
    <s v="RM 593"/>
    <x v="1"/>
    <s v="PIL1/D/1550"/>
    <s v="31-08-2026"/>
    <s v="SF"/>
    <s v="PP/PE Fabric"/>
    <s v="PP UL Fabric"/>
    <s v="PP Woven Fabric"/>
    <s v="PP UL Fabric With UV"/>
    <n v="514"/>
    <n v="73152.479999999996"/>
    <s v="PP UL Fabric With UV"/>
    <n v="174654.22"/>
    <n v="9"/>
    <n v="6583.72"/>
    <n v="9"/>
    <n v="6583.72"/>
    <n v="0"/>
    <n v="0"/>
    <n v="0"/>
    <n v="13167.44"/>
    <n v="0"/>
    <s v="24AAACO3087C1ZT"/>
    <s v="Kgs"/>
    <n v="39269080"/>
    <s v="Rs."/>
    <n v="1"/>
    <n v="0"/>
  </r>
  <r>
    <s v="31-08-2026"/>
    <s v="Plastene India ltd - Unit 1-Purchase"/>
    <s v="R.M.P."/>
    <s v="RM 593"/>
    <x v="1"/>
    <s v="PIL1/D/1550"/>
    <s v="31-08-2026"/>
    <s v="SF"/>
    <s v="PP/PE Fabric"/>
    <s v="PP UL Fabric"/>
    <s v="PP Woven Fabric"/>
    <s v="PP UL Fabric With UV"/>
    <n v="516"/>
    <n v="74985.119999999995"/>
    <s v="PP UL Fabric With UV"/>
    <n v="0"/>
    <n v="9"/>
    <n v="6748.66"/>
    <n v="9"/>
    <n v="6748.66"/>
    <n v="0"/>
    <n v="0"/>
    <n v="0"/>
    <n v="13497.32"/>
    <n v="0"/>
    <s v="24AAACO3087C1ZT"/>
    <s v="Kgs"/>
    <n v="39269080"/>
    <s v="Rs."/>
    <n v="1"/>
    <n v="0"/>
  </r>
  <r>
    <s v="31-08-2026"/>
    <s v="Plastene Polyfilms Ltd-Purchase"/>
    <s v="General Purchase"/>
    <s v="GNCN 390"/>
    <x v="0"/>
    <s v="PPL/D/562"/>
    <s v="31-08-2026"/>
    <s v="Stores/Spares"/>
    <s v="MS Structure Items"/>
    <s v="Spares &amp; Stores"/>
    <s v="Stores &amp; Consumables"/>
    <s v="MS Pipe 4  C Class"/>
    <n v="12"/>
    <n v="576"/>
    <s v="MS Pipe 4  C Class"/>
    <n v="679.1"/>
    <n v="9"/>
    <n v="51.84"/>
    <n v="9"/>
    <n v="51.84"/>
    <n v="0"/>
    <n v="0"/>
    <n v="0"/>
    <n v="103.68"/>
    <n v="0"/>
    <s v="24AAFCP2956A1ZR"/>
    <s v="Kgs"/>
    <n v="73063090"/>
    <s v="Rs."/>
    <n v="1"/>
    <n v="0"/>
  </r>
  <r>
    <s v="31-08-2026"/>
    <s v="Plastene Polyfilms Ltd-Purchase"/>
    <s v="General Purchase"/>
    <s v="GNSP 172"/>
    <x v="0"/>
    <s v="PPL/D/558"/>
    <s v="31-08-2026"/>
    <s v="Stores/Spares"/>
    <s v="Stitching Spares"/>
    <s v="Spares &amp; Stores"/>
    <s v="Stores &amp; Consumables"/>
    <s v="Spreader Lever 81313 A"/>
    <n v="1"/>
    <n v="3650"/>
    <s v="Spreader Lever 81313 A"/>
    <n v="5428.57"/>
    <n v="2.5"/>
    <n v="91.25"/>
    <n v="2.5"/>
    <n v="91.25"/>
    <n v="0"/>
    <n v="0"/>
    <n v="0"/>
    <n v="182.5"/>
    <n v="0"/>
    <s v="24AAFCP2956A1ZR"/>
    <s v="Pcs"/>
    <n v="84529099"/>
    <s v="Rs."/>
    <n v="1"/>
    <n v="0"/>
  </r>
  <r>
    <s v="31-08-2026"/>
    <s v="Plastene Polyfilms Ltd-Purchase"/>
    <s v="General Purchase"/>
    <s v="GNSP 172"/>
    <x v="0"/>
    <s v="PPL/D/558"/>
    <s v="31-08-2026"/>
    <s v="Stores/Spares"/>
    <s v="Stitching Spares"/>
    <s v="Spares &amp; Stores"/>
    <s v="Stores &amp; Consumables"/>
    <s v="Cross Looper For Double Lock Stitch   (81311 B)"/>
    <n v="5"/>
    <n v="1525"/>
    <s v="Cross Looper For Double Lock Stitch   (81311 B)"/>
    <n v="0"/>
    <n v="2.5"/>
    <n v="38.119999999999997"/>
    <n v="2.5"/>
    <n v="38.119999999999997"/>
    <n v="0"/>
    <n v="0"/>
    <n v="0"/>
    <n v="76.239999999999995"/>
    <n v="0"/>
    <s v="24AAFCP2956A1ZR"/>
    <s v="Pcs"/>
    <n v="84529099"/>
    <s v="Rs."/>
    <n v="1"/>
    <n v="0"/>
  </r>
  <r>
    <s v="31-08-2026"/>
    <s v="Plastene Polyfilms Ltd-Purchase"/>
    <s v="R.M.P."/>
    <s v="RM 587"/>
    <x v="2"/>
    <s v="PPL/D/559"/>
    <s v="31-08-2026"/>
    <s v="FG"/>
    <s v="FIBC Bags"/>
    <s v="FIBC Bags"/>
    <s v="JUMBO BAG"/>
    <s v="FIBC Bags With UV Without Liner"/>
    <n v="1153"/>
    <n v="230369.4"/>
    <s v="FIBC Bags With UV Without Liner"/>
    <n v="271605.53000000003"/>
    <n v="9"/>
    <n v="20733.25"/>
    <n v="9"/>
    <n v="20733.25"/>
    <n v="0"/>
    <n v="0"/>
    <n v="0"/>
    <n v="41466.5"/>
    <n v="0"/>
    <s v="24AAFCP2956A1ZR"/>
    <s v="Kgs"/>
    <n v="63053200"/>
    <s v="Rs."/>
    <n v="1"/>
    <n v="0"/>
  </r>
  <r>
    <s v="31-08-2026"/>
    <s v="Plastene Polyfilms Ltd-Purchase"/>
    <s v="R.M.P."/>
    <s v="RM 591"/>
    <x v="1"/>
    <s v="PPL/D/560"/>
    <s v="31-08-2026"/>
    <s v="SF"/>
    <s v="Liners"/>
    <s v="LDPE/LLDPE Bags"/>
    <s v="PE Labels (Kgs)"/>
    <s v="PE Labels (Kgs)"/>
    <n v="23.4"/>
    <n v="5756.4"/>
    <s v="PE Labels (Kgs)"/>
    <n v="6786.8"/>
    <n v="9"/>
    <n v="518.08000000000004"/>
    <n v="9"/>
    <n v="518.08000000000004"/>
    <n v="0"/>
    <n v="0"/>
    <n v="0"/>
    <n v="1036.1600000000001"/>
    <n v="0"/>
    <s v="24AAFCP2956A1ZR"/>
    <s v="Kgs"/>
    <n v="3920101"/>
    <s v="Rs."/>
    <n v="1"/>
    <n v="0"/>
  </r>
  <r>
    <s v="31-08-2026"/>
    <s v="Plastene Polyfilms Ltd-Purchase"/>
    <s v="R.M.P."/>
    <s v="RM 592"/>
    <x v="1"/>
    <s v="PPL/D/561"/>
    <s v="31-08-2026"/>
    <s v="SF"/>
    <s v="PP/PE Fabric"/>
    <s v="PP UL Fabric"/>
    <s v="PP Woven Fabric"/>
    <s v="PP UL Fabric With UV"/>
    <n v="510"/>
    <n v="68125.8"/>
    <s v="PP UL Fabric With UV"/>
    <n v="80320.31"/>
    <n v="9"/>
    <n v="6131.32"/>
    <n v="9"/>
    <n v="6131.32"/>
    <n v="0"/>
    <n v="0"/>
    <n v="0"/>
    <n v="12262.64"/>
    <n v="0"/>
    <s v="24AAFCP2956A1ZR"/>
    <s v="Kgs"/>
    <n v="39269080"/>
    <s v="Rs."/>
    <n v="1"/>
    <n v="0"/>
  </r>
  <r>
    <s v="31-08-2026"/>
    <s v="Rajgor Stationery &amp; Computer"/>
    <s v="General Purchase"/>
    <s v="GNMS 22"/>
    <x v="0"/>
    <s v="26-27/000465"/>
    <s v="29-08-2026"/>
    <s v="Printing &amp; Stationery"/>
    <s v="Stationery Items"/>
    <s v="Spares &amp; Stores"/>
    <s v="Stores &amp; Consumables"/>
    <s v="Cloth Cover 11 X5 Inch"/>
    <n v="500"/>
    <n v="2750"/>
    <s v="Cloth Cover 11 X5 Inch"/>
    <n v="11652.5"/>
    <n v="9"/>
    <n v="247.5"/>
    <n v="9"/>
    <n v="247.5"/>
    <n v="0"/>
    <n v="0"/>
    <n v="0"/>
    <n v="495"/>
    <n v="0"/>
    <s v="24AHMPR2612N1Z1"/>
    <s v="Pcs"/>
    <n v="630492"/>
    <s v="Rs."/>
    <n v="1"/>
    <n v="0"/>
  </r>
  <r>
    <s v="31-08-2026"/>
    <s v="Rajgor Stationery &amp; Computer"/>
    <s v="General Purchase"/>
    <s v="GNMS 22"/>
    <x v="0"/>
    <s v="26-27/000465"/>
    <s v="29-08-2026"/>
    <s v="Printing &amp; Stationery"/>
    <s v="Stationery Items"/>
    <s v="Spares &amp; Stores"/>
    <s v="Stores &amp; Consumables"/>
    <s v="Permanent Marker Pen"/>
    <n v="750"/>
    <n v="7125"/>
    <s v="Permanent Marker Pen"/>
    <n v="0"/>
    <n v="9"/>
    <n v="641.25"/>
    <n v="9"/>
    <n v="641.25"/>
    <n v="0"/>
    <n v="0"/>
    <n v="0"/>
    <n v="1282.5"/>
    <n v="0"/>
    <s v="24AHMPR2612N1Z1"/>
    <s v="Pcs"/>
    <n v="96082000"/>
    <s v="Rs."/>
    <n v="1"/>
    <n v="0"/>
  </r>
  <r>
    <s v="31-08-2026"/>
    <s v="Supertech Water Solution"/>
    <s v="General Purchase"/>
    <s v="GNSP 173"/>
    <x v="0"/>
    <n v="958"/>
    <s v="29-08-2026"/>
    <s v="Stores/Spares"/>
    <s v="Utility"/>
    <s v="Spares &amp; Stores"/>
    <s v="Stores &amp; Consumables"/>
    <s v="Ro Membrane 4&quot; X 40&quot; Long  Gwpbroww200020"/>
    <n v="2"/>
    <n v="14000"/>
    <s v="Ro Membrane 4&quot; X 40&quot; Long  Gwpbroww200020"/>
    <n v="16520"/>
    <n v="9"/>
    <n v="1260"/>
    <n v="9"/>
    <n v="1260"/>
    <n v="0"/>
    <n v="0"/>
    <n v="0"/>
    <n v="2520"/>
    <n v="0"/>
    <s v="24BBLPG5245C1Z0"/>
    <s v="Pcs"/>
    <n v="842199"/>
    <s v="Rs."/>
    <n v="1"/>
    <n v="0"/>
  </r>
  <r>
    <s v="31-08-2026"/>
    <s v="Tritha Graphics"/>
    <s v="General Purchase"/>
    <s v="GNCN 392"/>
    <x v="0"/>
    <n v="9727"/>
    <d v="2026-12-08T00:00:00"/>
    <s v="Consumables"/>
    <s v="Rubber/Polymer Stereo"/>
    <s v="Spares &amp; Stores"/>
    <s v="Stores &amp; Consumables"/>
    <s v="Polymer Stereo"/>
    <n v="6900.33"/>
    <n v="7935.38"/>
    <s v="Polymer Stereo"/>
    <n v="9363.75"/>
    <n v="9"/>
    <n v="714.18"/>
    <n v="9"/>
    <n v="714.18"/>
    <n v="0"/>
    <n v="0"/>
    <n v="0"/>
    <n v="1428.36"/>
    <n v="0"/>
    <s v="24AARFT4204A1ZK"/>
    <s v="CMS"/>
    <n v="37013000"/>
    <s v="Rs."/>
    <n v="1"/>
    <n v="0"/>
  </r>
  <r>
    <s v="31-08-2026"/>
    <s v="Tritha Graphics"/>
    <s v="General Purchase"/>
    <s v="GNCN 393"/>
    <x v="0"/>
    <n v="9734"/>
    <s v="13-08-2026"/>
    <s v="Consumables"/>
    <s v="Rubber/Polymer Stereo"/>
    <s v="Spares &amp; Stores"/>
    <s v="Stores &amp; Consumables"/>
    <s v="Polymer Stereo"/>
    <n v="5228.2"/>
    <n v="6012.43"/>
    <s v="Polymer Stereo"/>
    <n v="14569"/>
    <n v="9"/>
    <n v="541.12"/>
    <n v="9"/>
    <n v="541.12"/>
    <n v="0"/>
    <n v="0"/>
    <n v="0"/>
    <n v="1082.24"/>
    <n v="0"/>
    <s v="24AARFT4204A1ZK"/>
    <s v="CMS"/>
    <n v="37013000"/>
    <s v="Rs."/>
    <n v="1"/>
    <n v="0"/>
  </r>
  <r>
    <s v="31-08-2026"/>
    <s v="Tritha Graphics"/>
    <s v="General Purchase"/>
    <s v="GNCN 393"/>
    <x v="0"/>
    <n v="9734"/>
    <s v="13-08-2026"/>
    <s v="Consumables"/>
    <s v="Rubber/Polymer Stereo"/>
    <s v="Spares &amp; Stores"/>
    <s v="Stores &amp; Consumables"/>
    <s v="Polymer Stereo"/>
    <n v="5507.84"/>
    <n v="6334.02"/>
    <s v="Polymer Stereo"/>
    <n v="0"/>
    <n v="9"/>
    <n v="570.05999999999995"/>
    <n v="9"/>
    <n v="570.05999999999995"/>
    <n v="0"/>
    <n v="0"/>
    <n v="0"/>
    <n v="1140.1199999999999"/>
    <n v="0"/>
    <s v="24AARFT4204A1ZK"/>
    <s v="CMS"/>
    <n v="37013000"/>
    <s v="Rs."/>
    <n v="1"/>
    <n v="0"/>
  </r>
  <r>
    <s v="31-08-2026"/>
    <s v="Tritha Graphics"/>
    <s v="General Purchase"/>
    <s v="GNCN 394"/>
    <x v="0"/>
    <n v="9800"/>
    <s v="21-08-2026"/>
    <s v="Consumables"/>
    <s v="Rubber/Polymer Stereo"/>
    <s v="Spares &amp; Stores"/>
    <s v="Stores &amp; Consumables"/>
    <s v="Polymer Stereo"/>
    <n v="925.4"/>
    <n v="1064.21"/>
    <s v="Polymer Stereo"/>
    <n v="1374"/>
    <n v="9"/>
    <n v="95.78"/>
    <n v="9"/>
    <n v="95.78"/>
    <n v="0"/>
    <n v="0"/>
    <n v="18"/>
    <n v="209.56"/>
    <n v="0"/>
    <s v="24AARFT4204A1ZK"/>
    <s v="CMS"/>
    <n v="37013000"/>
    <s v="Rs."/>
    <n v="1"/>
    <n v="0"/>
  </r>
  <r>
    <s v="31-08-2026"/>
    <s v="Tritha Graphics"/>
    <s v="General Purchase"/>
    <s v="GNCN 395"/>
    <x v="0"/>
    <n v="9782"/>
    <s v="19-08-2026"/>
    <s v="Consumables"/>
    <s v="Rubber/Polymer Stereo"/>
    <s v="Spares &amp; Stores"/>
    <s v="Stores &amp; Consumables"/>
    <s v="Polymer Stereo"/>
    <n v="23455.48"/>
    <n v="26973.8"/>
    <s v="Polymer Stereo"/>
    <n v="31829"/>
    <n v="9"/>
    <n v="2427.64"/>
    <n v="9"/>
    <n v="2427.64"/>
    <n v="0"/>
    <n v="0"/>
    <n v="0"/>
    <n v="4855.28"/>
    <n v="0"/>
    <s v="24AARFT4204A1ZK"/>
    <s v="CMS"/>
    <n v="37013000"/>
    <s v="Rs."/>
    <n v="1"/>
    <n v="0"/>
  </r>
  <r>
    <s v="31-08-2026"/>
    <s v="Tritha Graphics"/>
    <s v="General Purchase"/>
    <s v="GNCN 396"/>
    <x v="0"/>
    <n v="9820"/>
    <s v="24-08-2026"/>
    <s v="Consumables"/>
    <s v="Rubber/Polymer Stereo"/>
    <s v="Spares &amp; Stores"/>
    <s v="Stores &amp; Consumables"/>
    <s v="Polymer Stereo"/>
    <n v="1277.6500000000001"/>
    <n v="1469.3"/>
    <s v="Polymer Stereo"/>
    <n v="1846"/>
    <n v="9"/>
    <n v="138.24"/>
    <n v="9"/>
    <n v="138.24"/>
    <n v="0"/>
    <n v="0"/>
    <n v="0"/>
    <n v="276.48"/>
    <n v="0"/>
    <s v="24AARFT4204A1ZK"/>
    <s v="CMS"/>
    <n v="37013000"/>
    <s v="Rs."/>
    <n v="1"/>
    <n v="0"/>
  </r>
  <r>
    <s v="31-08-2026"/>
    <s v="Vidh Enterprise"/>
    <s v="General Purchase"/>
    <s v="GNMS 20"/>
    <x v="0"/>
    <n v="3941"/>
    <s v="31-08-2026"/>
    <s v="Printing &amp; Stationery"/>
    <s v="Stationery Items"/>
    <s v="Spares &amp; Stores"/>
    <s v="Stores &amp; Consumables"/>
    <s v="Issue Slip Book"/>
    <n v="80"/>
    <n v="7200"/>
    <s v="Issue Slip Book"/>
    <n v="8496"/>
    <n v="9"/>
    <n v="648"/>
    <n v="9"/>
    <n v="648"/>
    <n v="0"/>
    <n v="0"/>
    <n v="0"/>
    <n v="1296"/>
    <n v="0"/>
    <s v="24AJTPP9381R1ZV"/>
    <s v="Pcs"/>
    <n v="49011010"/>
    <s v="Rs."/>
    <n v="1"/>
    <n v="0"/>
  </r>
  <r>
    <s v="31-08-2026"/>
    <s v="Vidh Enterprise"/>
    <s v="General Purchase"/>
    <s v="GNMS 21"/>
    <x v="0"/>
    <n v="3942"/>
    <s v="31-08-2026"/>
    <s v="Printing &amp; Stationery"/>
    <s v="Stationery Items"/>
    <s v="Spares &amp; Stores"/>
    <s v="Stores &amp; Consumables"/>
    <s v="Printing Instruction &amp; Printing Production Report ( Oel Kasez )"/>
    <n v="10"/>
    <n v="900"/>
    <s v="Printing Instruction &amp; Printing Production Report ( Oel Kasez )"/>
    <n v="9676"/>
    <n v="9"/>
    <n v="81"/>
    <n v="9"/>
    <n v="81"/>
    <n v="0"/>
    <n v="0"/>
    <n v="0"/>
    <n v="162"/>
    <n v="0"/>
    <s v="24AJTPP9381R1ZV"/>
    <s v="Pcs"/>
    <n v="490110"/>
    <s v="Rs."/>
    <n v="1"/>
    <n v="0"/>
  </r>
  <r>
    <s v="31-08-2026"/>
    <s v="Vidh Enterprise"/>
    <s v="General Purchase"/>
    <s v="GNMS 21"/>
    <x v="0"/>
    <n v="3942"/>
    <s v="31-08-2026"/>
    <s v="Printing &amp; Stationery"/>
    <s v="Stationery Items"/>
    <s v="Spares &amp; Stores"/>
    <s v="Stores &amp; Consumables"/>
    <s v="Inprocess Inspection Report[Qc/Fibc/062]"/>
    <n v="30"/>
    <n v="3000"/>
    <s v="Inprocess Inspection Report[Qc/Fibc/062]"/>
    <n v="0"/>
    <n v="9"/>
    <n v="270"/>
    <n v="9"/>
    <n v="270"/>
    <n v="0"/>
    <n v="0"/>
    <n v="0"/>
    <n v="540"/>
    <n v="0"/>
    <s v="24AJTPP9381R1ZV"/>
    <s v="Pcs"/>
    <n v="482060"/>
    <s v="Rs."/>
    <n v="1"/>
    <n v="0"/>
  </r>
  <r>
    <s v="31-08-2026"/>
    <s v="Vidh Enterprise"/>
    <s v="General Purchase"/>
    <s v="GNMS 21"/>
    <x v="0"/>
    <n v="3942"/>
    <s v="31-08-2026"/>
    <s v="Printing &amp; Stationery"/>
    <s v="Stationery Items"/>
    <s v="Spares &amp; Stores"/>
    <s v="Stores &amp; Consumables"/>
    <s v="Out Gate Pass"/>
    <n v="50"/>
    <n v="2500"/>
    <s v="Out Gate Pass"/>
    <n v="0"/>
    <n v="9"/>
    <n v="225"/>
    <n v="9"/>
    <n v="225"/>
    <n v="0"/>
    <n v="0"/>
    <n v="0"/>
    <n v="450"/>
    <n v="0"/>
    <s v="24AJTPP9381R1ZV"/>
    <s v="Pcs"/>
    <n v="482010"/>
    <s v="Rs."/>
    <n v="1"/>
    <n v="0"/>
  </r>
  <r>
    <s v="31-08-2026"/>
    <s v="Vidh Enterprise"/>
    <s v="General Purchase"/>
    <s v="GNMS 21"/>
    <x v="0"/>
    <n v="3942"/>
    <s v="31-08-2026"/>
    <s v="Printing &amp; Stationery"/>
    <s v="Stationery Items"/>
    <s v="Spares &amp; Stores"/>
    <s v="Stores &amp; Consumables"/>
    <s v="Fibc Stitiching Line Prod.Book"/>
    <n v="20"/>
    <n v="1800"/>
    <s v="Fibc Stitiching Line Prod.Book"/>
    <n v="0"/>
    <n v="9"/>
    <n v="162"/>
    <n v="9"/>
    <n v="162"/>
    <n v="0"/>
    <n v="0"/>
    <n v="0"/>
    <n v="324"/>
    <n v="0"/>
    <s v="24AJTPP9381R1ZV"/>
    <s v="BOOK"/>
    <n v="482010"/>
    <s v="Rs."/>
    <n v="1"/>
    <n v="0"/>
  </r>
  <r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84">
  <r>
    <d v="2026-01-08T00:00:00"/>
    <s v="Plastene India ltd - Unit 1-Sales"/>
    <s v="Sales"/>
    <n v="190"/>
    <x v="0"/>
    <s v="HPBL4/D/190"/>
    <d v="2026-01-08T00:00:00"/>
    <s v="FG"/>
    <s v="FIBC Bags"/>
    <s v="FIBC Bags"/>
    <x v="0"/>
    <s v="FIBC Bags With UV Without Liner"/>
    <n v="378"/>
    <n v="73116.539999999994"/>
    <s v="100X100X125"/>
    <n v="2062060.32"/>
    <n v="9"/>
    <n v="6580.49"/>
    <n v="9"/>
    <n v="6580.49"/>
    <n v="0"/>
    <n v="0"/>
    <n v="0"/>
    <n v="13160.98"/>
    <n v="0"/>
    <s v="24AAACO3087C1ZT"/>
    <s v="KGS"/>
    <n v="63053200"/>
    <s v="Rs."/>
    <n v="1"/>
    <n v="378"/>
  </r>
  <r>
    <d v="2026-01-08T00:00:00"/>
    <s v="Plastene India ltd - Unit 1-Sales"/>
    <s v="Sales"/>
    <n v="190"/>
    <x v="0"/>
    <s v="HPBL4/D/190"/>
    <d v="2026-01-08T00:00:00"/>
    <s v="FG"/>
    <s v="FIBC Bags"/>
    <s v="FIBC Bags"/>
    <x v="0"/>
    <s v="FIBC Bags With UV Without Liner"/>
    <n v="3552"/>
    <n v="622772.16"/>
    <s v="80X80X90"/>
    <n v="0"/>
    <n v="9"/>
    <n v="56049.49"/>
    <n v="9"/>
    <n v="56049.49"/>
    <n v="0"/>
    <n v="0"/>
    <n v="0"/>
    <n v="112098.98"/>
    <n v="0"/>
    <s v="24AAACO3087C1ZT"/>
    <s v="KGS"/>
    <n v="63053200"/>
    <s v="Rs."/>
    <n v="1"/>
    <n v="3552"/>
  </r>
  <r>
    <d v="2026-01-08T00:00:00"/>
    <s v="Plastene India ltd - Unit 1-Sales"/>
    <s v="Sales"/>
    <n v="190"/>
    <x v="0"/>
    <s v="HPBL4/D/190"/>
    <d v="2026-01-08T00:00:00"/>
    <s v="FG"/>
    <s v="FIBC Bags"/>
    <s v="FIBC Bags"/>
    <x v="0"/>
    <s v="FIBC Bags With UV Without Liner"/>
    <n v="1793"/>
    <n v="323475.13"/>
    <s v="90X90X110"/>
    <n v="0"/>
    <n v="9"/>
    <n v="29112.76"/>
    <n v="9"/>
    <n v="29112.76"/>
    <n v="0"/>
    <n v="0"/>
    <n v="0"/>
    <n v="58225.52"/>
    <n v="0"/>
    <s v="24AAACO3087C1ZT"/>
    <s v="KGS"/>
    <n v="63053200"/>
    <s v="Rs."/>
    <n v="1"/>
    <n v="1793"/>
  </r>
  <r>
    <d v="2026-01-08T00:00:00"/>
    <s v="Plastene India ltd - Unit 1-Sales"/>
    <s v="Sales"/>
    <n v="190"/>
    <x v="0"/>
    <s v="HPBL4/D/190"/>
    <d v="2026-01-08T00:00:00"/>
    <s v="FG"/>
    <s v="FIBC Bags"/>
    <s v="FIBC Bags"/>
    <x v="0"/>
    <s v="FIBC Bags With UV Without Liner"/>
    <n v="2934"/>
    <n v="729627.12"/>
    <s v="98X98X200"/>
    <n v="0"/>
    <n v="9"/>
    <n v="65666.44"/>
    <n v="9"/>
    <n v="65666.44"/>
    <n v="0"/>
    <n v="0"/>
    <n v="0"/>
    <n v="131332.88"/>
    <n v="0"/>
    <s v="24AAACO3087C1ZT"/>
    <s v="KGS"/>
    <n v="63053200"/>
    <s v="Rs."/>
    <n v="1"/>
    <n v="2934"/>
  </r>
  <r>
    <d v="2026-01-08T00:00:00"/>
    <s v="Plastene India ltd - Unit 1-Sales"/>
    <s v="Sales"/>
    <n v="191"/>
    <x v="1"/>
    <s v="HPBL4/D/191"/>
    <d v="2026-01-08T00:00:00"/>
    <s v="Stores/Spares"/>
    <s v="MS Structure Items"/>
    <s v="Spares &amp; Stores"/>
    <x v="1"/>
    <s v="MS Pipe 4  C Class"/>
    <n v="448"/>
    <n v="21504"/>
    <s v="OLD/USED FABRIC ROLL PIPE"/>
    <n v="25353.22"/>
    <n v="9"/>
    <n v="1935.36"/>
    <n v="9"/>
    <n v="1935.36"/>
    <n v="0"/>
    <n v="0"/>
    <n v="0"/>
    <n v="3870.72"/>
    <n v="0"/>
    <s v="24AAACO3087C1ZT"/>
    <s v="KGS"/>
    <n v="73063090"/>
    <s v="Rs."/>
    <n v="1"/>
    <n v="448"/>
  </r>
  <r>
    <d v="2026-03-08T00:00:00"/>
    <s v="Plastene India ltd - Unit 1-Sales"/>
    <s v="Sales"/>
    <n v="192"/>
    <x v="1"/>
    <s v="HPBL4/D/192"/>
    <d v="2026-03-08T00:00:00"/>
    <s v="Stores/Spares"/>
    <s v="MS Structure Items"/>
    <s v="Spares &amp; Stores"/>
    <x v="1"/>
    <s v="MS Pipe 4  C Class"/>
    <n v="381"/>
    <n v="18288"/>
    <s v="OLD/USED FABRIC ROLL PIPE"/>
    <n v="21561.55"/>
    <n v="9"/>
    <n v="1645.92"/>
    <n v="9"/>
    <n v="1645.92"/>
    <n v="0"/>
    <n v="0"/>
    <n v="0"/>
    <n v="3291.84"/>
    <n v="0"/>
    <s v="24AAACO3087C1ZT"/>
    <s v="KGS"/>
    <n v="73063090"/>
    <s v="Rs."/>
    <n v="1"/>
    <n v="381"/>
  </r>
  <r>
    <d v="2026-03-08T00:00:00"/>
    <s v="Plastene India ltd - Unit 1-Sales"/>
    <s v="Sales"/>
    <n v="193"/>
    <x v="1"/>
    <s v="HPBL4/D/193"/>
    <d v="2026-03-08T00:00:00"/>
    <s v="FG"/>
    <s v="FIBC WIP"/>
    <s v="FIBC WIP"/>
    <x v="2"/>
    <s v="PP Webbing"/>
    <n v="50"/>
    <n v="7204"/>
    <s v="REJECT COLOUR WEBBING 50X55 GPM"/>
    <n v="8493.52"/>
    <n v="9"/>
    <n v="648.36"/>
    <n v="9"/>
    <n v="648.36"/>
    <n v="0"/>
    <n v="0"/>
    <n v="0"/>
    <n v="1296.72"/>
    <n v="0"/>
    <s v="24AAACO3087C1ZT"/>
    <s v="KGS"/>
    <n v="39269080"/>
    <s v="Rs."/>
    <n v="1"/>
    <n v="50"/>
  </r>
  <r>
    <d v="2026-04-08T00:00:00"/>
    <s v="Plastene India ltd - Unit 1-Sales"/>
    <s v="Sales"/>
    <n v="194"/>
    <x v="0"/>
    <s v="HPBL4/D/194"/>
    <d v="2026-04-08T00:00:00"/>
    <s v="FG"/>
    <s v="FIBC Bags"/>
    <s v="FIBC Bags"/>
    <x v="0"/>
    <s v="FIBC Bags With UV Without Liner"/>
    <n v="7506.8"/>
    <n v="2076906.36"/>
    <s v="105X120X153"/>
    <n v="6285781.3899999997"/>
    <n v="9"/>
    <n v="186921.57"/>
    <n v="9"/>
    <n v="186921.57"/>
    <n v="0"/>
    <n v="0"/>
    <n v="0"/>
    <n v="373843.14"/>
    <n v="0"/>
    <s v="24AAACO3087C1ZT"/>
    <s v="KGS"/>
    <n v="63053200"/>
    <s v="Rs."/>
    <n v="1"/>
    <n v="7506.8"/>
  </r>
  <r>
    <d v="2026-04-08T00:00:00"/>
    <s v="Plastene India ltd - Unit 1-Sales"/>
    <s v="Sales"/>
    <n v="194"/>
    <x v="0"/>
    <s v="HPBL4/D/194"/>
    <d v="2026-04-08T00:00:00"/>
    <s v="FG"/>
    <s v="FIBC Bags"/>
    <s v="FIBC Bags"/>
    <x v="0"/>
    <s v="FIBC Bags With UV Without Liner"/>
    <n v="2732.2"/>
    <n v="693787.55"/>
    <s v="90X90X130"/>
    <n v="0"/>
    <n v="9"/>
    <n v="62440.88"/>
    <n v="9"/>
    <n v="62440.88"/>
    <n v="0"/>
    <n v="0"/>
    <n v="0"/>
    <n v="124881.76"/>
    <n v="0"/>
    <s v="24AAACO3087C1ZT"/>
    <s v="KGS"/>
    <n v="63053200"/>
    <s v="Rs."/>
    <n v="1"/>
    <n v="2732.2"/>
  </r>
  <r>
    <d v="2026-04-08T00:00:00"/>
    <s v="Plastene India ltd - Unit 1-Sales"/>
    <s v="Sales"/>
    <n v="194"/>
    <x v="0"/>
    <s v="HPBL4/D/194"/>
    <d v="2026-04-08T00:00:00"/>
    <s v="FG"/>
    <s v="FIBC Bags"/>
    <s v="FIBC Bags"/>
    <x v="0"/>
    <s v="FIBC Bags With UV Without Liner"/>
    <n v="955"/>
    <n v="203653.75"/>
    <s v="80X80X80"/>
    <n v="0"/>
    <n v="9"/>
    <n v="18328.84"/>
    <n v="9"/>
    <n v="18328.84"/>
    <n v="0"/>
    <n v="0"/>
    <n v="0"/>
    <n v="36657.68"/>
    <n v="0"/>
    <s v="24AAACO3087C1ZT"/>
    <s v="KGS"/>
    <n v="63053200"/>
    <s v="Rs."/>
    <n v="1"/>
    <n v="955"/>
  </r>
  <r>
    <d v="2026-04-08T00:00:00"/>
    <s v="Plastene India ltd - Unit 1-Sales"/>
    <s v="Sales"/>
    <n v="194"/>
    <x v="0"/>
    <s v="HPBL4/D/194"/>
    <d v="2026-04-08T00:00:00"/>
    <s v="FG"/>
    <s v="FIBC Bags"/>
    <s v="FIBC Bags"/>
    <x v="0"/>
    <s v="FIBC Bags With UV Without Liner"/>
    <n v="468"/>
    <n v="101560.68"/>
    <s v="85X85X55"/>
    <n v="0"/>
    <n v="9"/>
    <n v="9140.4599999999991"/>
    <n v="9"/>
    <n v="9140.4599999999991"/>
    <n v="0"/>
    <n v="0"/>
    <n v="0"/>
    <n v="18280.919999999998"/>
    <n v="0"/>
    <s v="24AAACO3087C1ZT"/>
    <s v="KGS"/>
    <n v="63053200"/>
    <s v="Rs."/>
    <n v="1"/>
    <n v="468"/>
  </r>
  <r>
    <d v="2026-04-08T00:00:00"/>
    <s v="Plastene India ltd - Unit 1-Sales"/>
    <s v="Sales"/>
    <n v="194"/>
    <x v="0"/>
    <s v="HPBL4/D/194"/>
    <d v="2026-04-08T00:00:00"/>
    <s v="FG"/>
    <s v="FIBC Bags"/>
    <s v="FIBC Bags"/>
    <x v="0"/>
    <s v="FIBC Bags With UV With Liner"/>
    <n v="910"/>
    <n v="206297"/>
    <s v="67X67X100"/>
    <n v="0"/>
    <n v="9"/>
    <n v="18566.73"/>
    <n v="9"/>
    <n v="18566.73"/>
    <n v="0"/>
    <n v="0"/>
    <n v="0"/>
    <n v="37133.46"/>
    <n v="0"/>
    <s v="24AAACO3087C1ZT"/>
    <s v="KGS"/>
    <n v="63053200"/>
    <s v="Rs."/>
    <n v="1"/>
    <n v="910"/>
  </r>
  <r>
    <d v="2026-04-08T00:00:00"/>
    <s v="Plastene India ltd - Unit 1-Sales"/>
    <s v="Sales"/>
    <n v="194"/>
    <x v="0"/>
    <s v="HPBL4/D/194"/>
    <d v="2026-04-08T00:00:00"/>
    <s v="FG"/>
    <s v="FIBC Bags"/>
    <s v="FIBC Bags"/>
    <x v="0"/>
    <s v="FIBC Bags With UV With Liner"/>
    <n v="490"/>
    <n v="103394.9"/>
    <s v="67X67X100"/>
    <n v="0"/>
    <n v="9"/>
    <n v="9305.5400000000009"/>
    <n v="9"/>
    <n v="9305.5400000000009"/>
    <n v="0"/>
    <n v="0"/>
    <n v="0"/>
    <n v="18611.080000000002"/>
    <n v="0"/>
    <s v="24AAACO3087C1ZT"/>
    <s v="KGS"/>
    <n v="63053200"/>
    <s v="Rs."/>
    <n v="1"/>
    <n v="490"/>
  </r>
  <r>
    <d v="2026-04-08T00:00:00"/>
    <s v="Plastene India ltd - Unit 1-Sales"/>
    <s v="Sales"/>
    <n v="194"/>
    <x v="0"/>
    <s v="HPBL4/D/194"/>
    <d v="2026-04-08T00:00:00"/>
    <s v="FG"/>
    <s v="FIBC Bags"/>
    <s v="FIBC Bags"/>
    <x v="0"/>
    <s v="FIBC Bags With UV Without Liner"/>
    <n v="1403"/>
    <n v="322086.71000000002"/>
    <s v="80X80X80"/>
    <n v="0"/>
    <n v="9"/>
    <n v="28987.8"/>
    <n v="9"/>
    <n v="28987.8"/>
    <n v="0"/>
    <n v="0"/>
    <n v="0"/>
    <n v="57975.6"/>
    <n v="0"/>
    <s v="24AAACO3087C1ZT"/>
    <s v="KGS"/>
    <n v="63053200"/>
    <s v="Rs."/>
    <n v="1"/>
    <n v="1403"/>
  </r>
  <r>
    <d v="2026-04-08T00:00:00"/>
    <s v="Plastene India ltd - Unit 1-Sales"/>
    <s v="Sales"/>
    <n v="194"/>
    <x v="0"/>
    <s v="HPBL4/D/194"/>
    <d v="2026-04-08T00:00:00"/>
    <s v="FG"/>
    <s v="FIBC Bags"/>
    <s v="FIBC Bags"/>
    <x v="0"/>
    <s v="FIBC Bags With UV Without Liner"/>
    <n v="1828"/>
    <n v="423803.52"/>
    <s v="85X85X85"/>
    <n v="0"/>
    <n v="9"/>
    <n v="38142.32"/>
    <n v="9"/>
    <n v="38142.32"/>
    <n v="0"/>
    <n v="0"/>
    <n v="0"/>
    <n v="76284.639999999999"/>
    <n v="0"/>
    <s v="24AAACO3087C1ZT"/>
    <s v="KGS"/>
    <n v="63053200"/>
    <s v="Rs."/>
    <n v="1"/>
    <n v="1828"/>
  </r>
  <r>
    <d v="2026-04-08T00:00:00"/>
    <s v="Plastene India ltd - Unit 1-Sales"/>
    <s v="Sales"/>
    <n v="194"/>
    <x v="0"/>
    <s v="HPBL4/D/194"/>
    <d v="2026-04-08T00:00:00"/>
    <s v="FG"/>
    <s v="FIBC Bags"/>
    <s v="FIBC Bags"/>
    <x v="0"/>
    <s v="FIBC Bags With UV Without Liner"/>
    <n v="913"/>
    <n v="211432.54"/>
    <s v="90X90X60"/>
    <n v="0"/>
    <n v="9"/>
    <n v="19028.93"/>
    <n v="9"/>
    <n v="19028.93"/>
    <n v="0"/>
    <n v="0"/>
    <n v="0"/>
    <n v="38057.86"/>
    <n v="0"/>
    <s v="24AAACO3087C1ZT"/>
    <s v="KGS"/>
    <n v="63053200"/>
    <s v="Rs."/>
    <n v="1"/>
    <n v="913"/>
  </r>
  <r>
    <d v="2026-04-08T00:00:00"/>
    <s v="Plastene India ltd - Unit 1-Sales"/>
    <s v="Sales"/>
    <n v="194"/>
    <x v="0"/>
    <s v="HPBL4/D/194"/>
    <d v="2026-04-08T00:00:00"/>
    <s v="FG"/>
    <s v="FIBC Bags"/>
    <s v="FIBC Bags"/>
    <x v="0"/>
    <s v="FIBC Bags With UV Without Liner"/>
    <n v="1354"/>
    <n v="283202.64"/>
    <s v="85X85X90"/>
    <n v="0"/>
    <n v="9"/>
    <n v="25488.240000000002"/>
    <n v="9"/>
    <n v="25488.240000000002"/>
    <n v="0"/>
    <n v="0"/>
    <n v="0"/>
    <n v="50976.480000000003"/>
    <n v="0"/>
    <s v="24AAACO3087C1ZT"/>
    <s v="KGS"/>
    <n v="63053200"/>
    <s v="Rs."/>
    <n v="1"/>
    <n v="1354"/>
  </r>
  <r>
    <d v="2026-04-08T00:00:00"/>
    <s v="Plastene India ltd - Unit 1-Sales"/>
    <s v="Sales"/>
    <n v="194"/>
    <x v="0"/>
    <s v="HPBL4/D/194"/>
    <d v="2026-04-08T00:00:00"/>
    <s v="FG"/>
    <s v="FIBC Bags"/>
    <s v="FIBC Bags"/>
    <x v="0"/>
    <s v="FIBC Bags With UV Without Liner"/>
    <n v="1929"/>
    <n v="401829.99"/>
    <s v="90X90X180"/>
    <n v="0"/>
    <n v="9"/>
    <n v="36164.699999999997"/>
    <n v="9"/>
    <n v="36164.699999999997"/>
    <n v="0"/>
    <n v="0"/>
    <n v="0"/>
    <n v="72329.399999999994"/>
    <n v="0"/>
    <s v="24AAACO3087C1ZT"/>
    <s v="KGS"/>
    <n v="63053200"/>
    <s v="Rs."/>
    <n v="1"/>
    <n v="1929"/>
  </r>
  <r>
    <d v="2026-04-08T00:00:00"/>
    <s v="Plastene India ltd - Unit 1-Sales"/>
    <s v="Sales"/>
    <n v="194"/>
    <x v="0"/>
    <s v="HPBL4/D/194"/>
    <d v="2026-04-08T00:00:00"/>
    <s v="FG"/>
    <s v="FIBC Bags"/>
    <s v="FIBC Bags"/>
    <x v="0"/>
    <s v="FIBC Bags With UV Without Liner"/>
    <n v="1316"/>
    <n v="303495.92"/>
    <s v="90X90X140"/>
    <n v="0"/>
    <n v="9"/>
    <n v="27314.63"/>
    <n v="9"/>
    <n v="27314.63"/>
    <n v="0"/>
    <n v="0"/>
    <n v="0"/>
    <n v="54629.26"/>
    <n v="0"/>
    <s v="24AAACO3087C1ZT"/>
    <s v="KGS"/>
    <n v="63053200"/>
    <s v="Rs."/>
    <n v="1"/>
    <n v="1316"/>
  </r>
  <r>
    <d v="2026-04-08T00:00:00"/>
    <s v="Plastene India ltd - Unit 1-Sales"/>
    <s v="Sales"/>
    <n v="195"/>
    <x v="1"/>
    <s v="HPBL4/D/195"/>
    <d v="2026-04-08T00:00:00"/>
    <s v="Stores/Spares"/>
    <s v="MS Structure Items"/>
    <s v="Spares &amp; Stores"/>
    <x v="1"/>
    <s v="MS Pipe 4  C Class"/>
    <n v="390"/>
    <n v="18720"/>
    <s v="OLD/USED FABRIC ROLL PIPE"/>
    <n v="22070.880000000001"/>
    <n v="9"/>
    <n v="1684.8"/>
    <n v="9"/>
    <n v="1684.8"/>
    <n v="0"/>
    <n v="0"/>
    <n v="0"/>
    <n v="3369.6"/>
    <n v="0"/>
    <s v="24AAACO3087C1ZT"/>
    <s v="KGS"/>
    <n v="73063090"/>
    <s v="Rs."/>
    <n v="1"/>
    <n v="390"/>
  </r>
  <r>
    <d v="2026-04-08T00:00:00"/>
    <s v="Plastene India ltd - Unit 1-Sales"/>
    <s v="Sales"/>
    <n v="196"/>
    <x v="1"/>
    <s v="HPBL4/D/196"/>
    <d v="2026-04-08T00:00:00"/>
    <s v="SF"/>
    <s v="Liners"/>
    <s v="LDPE/LLDPE Bags"/>
    <x v="3"/>
    <s v="LDPE/LLDPE Bags/Liner"/>
    <n v="615"/>
    <n v="108768.9"/>
    <s v="145*215*70 MIC"/>
    <n v="128238.53"/>
    <n v="9"/>
    <n v="9789.2000000000007"/>
    <n v="9"/>
    <n v="9789.2000000000007"/>
    <n v="0"/>
    <n v="0"/>
    <n v="0"/>
    <n v="19578.400000000001"/>
    <n v="0"/>
    <s v="24AAACO3087C1ZT"/>
    <s v="KGS"/>
    <n v="39232100"/>
    <s v="Rs."/>
    <n v="1"/>
    <n v="615"/>
  </r>
  <r>
    <d v="2026-04-08T00:00:00"/>
    <s v="Plastene India ltd - Unit 1-Sales"/>
    <s v="Sales"/>
    <n v="197"/>
    <x v="2"/>
    <s v="HPBL4/D/197"/>
    <d v="2026-04-08T00:00:00"/>
    <s v="SF"/>
    <s v="Wastage/Scrap"/>
    <s v="Wastage/Scrap"/>
    <x v="4"/>
    <s v="PP/HD Wastage/Scrap"/>
    <n v="2573"/>
    <n v="30876"/>
    <s v="PP/HD Wastage/Scrap"/>
    <n v="37162.35"/>
    <n v="9"/>
    <n v="2778.84"/>
    <n v="9"/>
    <n v="2778.84"/>
    <n v="0"/>
    <n v="0"/>
    <n v="0"/>
    <n v="5557.68"/>
    <n v="728.67"/>
    <s v="24AAACO3087C1ZT"/>
    <s v="KGS"/>
    <n v="39159029"/>
    <s v="Rs."/>
    <n v="1"/>
    <n v="2573"/>
  </r>
  <r>
    <d v="2026-04-08T00:00:00"/>
    <s v="Plastene India ltd - Unit 1-Sales"/>
    <s v="Sales"/>
    <n v="198"/>
    <x v="1"/>
    <s v="HPBL4/D/198"/>
    <d v="2026-04-08T00:00:00"/>
    <s v="FG"/>
    <s v="FIBC WIP"/>
    <s v="FIBC WIP"/>
    <x v="2"/>
    <s v="PP Woven Fabric"/>
    <n v="847"/>
    <n v="23716"/>
    <s v="DEAD STOCK FABRIC RP PURPOSE"/>
    <n v="27961.16"/>
    <n v="9"/>
    <n v="2134.44"/>
    <n v="9"/>
    <n v="2134.44"/>
    <n v="0"/>
    <n v="0"/>
    <n v="0"/>
    <n v="4268.88"/>
    <n v="0"/>
    <s v="24AAACO3087C1ZT"/>
    <s v="KGS"/>
    <n v="39269080"/>
    <s v="Rs."/>
    <n v="1"/>
    <n v="847"/>
  </r>
  <r>
    <d v="2026-05-08T00:00:00"/>
    <s v="Plastene India ltd - Unit 1-Sales"/>
    <s v="Sales"/>
    <n v="200"/>
    <x v="1"/>
    <s v="HPBL4/D/200"/>
    <d v="2026-05-08T00:00:00"/>
    <s v="Stores/Spares"/>
    <s v="MS Structure Items"/>
    <s v="Spares &amp; Stores"/>
    <x v="1"/>
    <s v="MS Pipe 4  C Class"/>
    <n v="301"/>
    <n v="14448"/>
    <s v="OLD/USED FABRIC ROLL PIPE"/>
    <n v="17034.189999999999"/>
    <n v="9"/>
    <n v="1300.32"/>
    <n v="9"/>
    <n v="1300.32"/>
    <n v="0"/>
    <n v="0"/>
    <n v="0"/>
    <n v="2600.64"/>
    <n v="0"/>
    <s v="24AAACO3087C1ZT"/>
    <s v="KGS"/>
    <n v="73063090"/>
    <s v="Rs."/>
    <n v="1"/>
    <n v="301"/>
  </r>
  <r>
    <d v="2026-05-08T00:00:00"/>
    <s v="Plastene Polyfilms Ltd-Sales"/>
    <s v="Sales"/>
    <n v="199"/>
    <x v="1"/>
    <s v="HPBL4/D/199"/>
    <d v="2026-05-08T00:00:00"/>
    <s v="FG"/>
    <s v="FIBC WIP"/>
    <s v="FIBC WIP"/>
    <x v="2"/>
    <s v="PP Webbing"/>
    <n v="370"/>
    <n v="54508.4"/>
    <s v="COLOUR WEBBING"/>
    <n v="64265.41"/>
    <n v="9"/>
    <n v="4905.76"/>
    <n v="9"/>
    <n v="4905.76"/>
    <n v="0"/>
    <n v="0"/>
    <n v="0"/>
    <n v="9811.52"/>
    <n v="0"/>
    <s v="24AAFCP2956A1ZR"/>
    <s v="KGS"/>
    <n v="39269080"/>
    <s v="Rs."/>
    <n v="1"/>
    <n v="370"/>
  </r>
  <r>
    <d v="2026-06-08T00:00:00"/>
    <s v="K.P. Woven Pvt Ltd-Sales"/>
    <s v="Sales"/>
    <s v="HPBL4/ME/12"/>
    <x v="3"/>
    <s v="HPBL4/ME/12"/>
    <d v="2026-06-08T00:00:00"/>
    <s v="FG"/>
    <s v="FIBC Bags"/>
    <s v="FIBC Bags"/>
    <x v="0"/>
    <s v="FIBC Bags With UV Without Liner"/>
    <n v="3153"/>
    <n v="646175.81999999995"/>
    <s v="80X80X90"/>
    <n v="4561853.46"/>
    <n v="0.05"/>
    <n v="323.08999999999997"/>
    <n v="0.05"/>
    <n v="323.08999999999997"/>
    <n v="0"/>
    <n v="0"/>
    <n v="0"/>
    <n v="646.17999999999995"/>
    <n v="0"/>
    <s v="24AAECK6307M1ZF"/>
    <s v="KGS"/>
    <n v="63053200"/>
    <s v="Rs."/>
    <n v="1"/>
    <n v="3153"/>
  </r>
  <r>
    <d v="2026-06-08T00:00:00"/>
    <s v="K.P. Woven Pvt Ltd-Sales"/>
    <s v="Sales"/>
    <s v="HPBL4/ME/12"/>
    <x v="3"/>
    <s v="HPBL4/ME/12"/>
    <d v="2026-06-08T00:00:00"/>
    <s v="FG"/>
    <s v="FIBC Bags"/>
    <s v="FIBC Bags"/>
    <x v="0"/>
    <s v="FIBC Bags With UV Without Liner"/>
    <n v="1264"/>
    <n v="298796.96000000002"/>
    <s v="80X80X90"/>
    <n v="0"/>
    <n v="0.05"/>
    <n v="149.4"/>
    <n v="0.05"/>
    <n v="149.4"/>
    <n v="0"/>
    <n v="0"/>
    <n v="0"/>
    <n v="298.8"/>
    <n v="0"/>
    <s v="24AAECK6307M1ZF"/>
    <s v="KGS"/>
    <n v="63053200"/>
    <s v="Rs."/>
    <n v="1"/>
    <n v="1264"/>
  </r>
  <r>
    <d v="2026-06-08T00:00:00"/>
    <s v="K.P. Woven Pvt Ltd-Sales"/>
    <s v="Sales"/>
    <s v="HPBL4/ME/12"/>
    <x v="3"/>
    <s v="HPBL4/ME/12"/>
    <d v="2026-06-08T00:00:00"/>
    <s v="FG"/>
    <s v="FIBC Bags"/>
    <s v="FIBC Bags"/>
    <x v="0"/>
    <s v="FIBC Bags With UV Without Liner"/>
    <n v="3435"/>
    <n v="831579.15"/>
    <s v="80X80X90"/>
    <n v="0"/>
    <n v="0.05"/>
    <n v="415.79"/>
    <n v="0.05"/>
    <n v="415.79"/>
    <n v="0"/>
    <n v="0"/>
    <n v="0"/>
    <n v="831.58"/>
    <n v="0"/>
    <s v="24AAECK6307M1ZF"/>
    <s v="KGS"/>
    <n v="63053200"/>
    <s v="Rs."/>
    <n v="1"/>
    <n v="3435"/>
  </r>
  <r>
    <d v="2026-06-08T00:00:00"/>
    <s v="K.P. Woven Pvt Ltd-Sales"/>
    <s v="Sales"/>
    <s v="HPBL4/ME/12"/>
    <x v="3"/>
    <s v="HPBL4/ME/12"/>
    <d v="2026-06-08T00:00:00"/>
    <s v="FG"/>
    <s v="FIBC Bags"/>
    <s v="FIBC Bags"/>
    <x v="0"/>
    <s v="FIBC Bags With UV Without Liner"/>
    <n v="2258"/>
    <n v="516788.46"/>
    <s v="85X85X90"/>
    <n v="0"/>
    <n v="0.05"/>
    <n v="258.39"/>
    <n v="0.05"/>
    <n v="258.39"/>
    <n v="0"/>
    <n v="0"/>
    <n v="0"/>
    <n v="516.78"/>
    <n v="0"/>
    <s v="24AAECK6307M1ZF"/>
    <s v="KGS"/>
    <n v="63053200"/>
    <s v="Rs."/>
    <n v="1"/>
    <n v="2258"/>
  </r>
  <r>
    <d v="2026-06-08T00:00:00"/>
    <s v="K.P. Woven Pvt Ltd-Sales"/>
    <s v="Sales"/>
    <s v="HPBL4/ME/12"/>
    <x v="3"/>
    <s v="HPBL4/ME/12"/>
    <d v="2026-06-08T00:00:00"/>
    <s v="FG"/>
    <s v="FIBC Bags"/>
    <s v="FIBC Bags"/>
    <x v="0"/>
    <s v="FIBC Bags With UV Without Liner"/>
    <n v="426"/>
    <n v="90840.24"/>
    <s v="95X95X185"/>
    <n v="0"/>
    <n v="0.05"/>
    <n v="45.42"/>
    <n v="0.05"/>
    <n v="45.42"/>
    <n v="0"/>
    <n v="0"/>
    <n v="0"/>
    <n v="90.84"/>
    <n v="0"/>
    <s v="24AAECK6307M1ZF"/>
    <s v="KGS"/>
    <n v="63053200"/>
    <s v="Rs."/>
    <n v="1"/>
    <n v="426"/>
  </r>
  <r>
    <d v="2026-06-08T00:00:00"/>
    <s v="K.P. Woven Pvt Ltd-Sales"/>
    <s v="Sales"/>
    <s v="HPBL4/ME/12"/>
    <x v="3"/>
    <s v="HPBL4/ME/12"/>
    <d v="2026-06-08T00:00:00"/>
    <s v="FG"/>
    <s v="FIBC Bags"/>
    <s v="FIBC Bags"/>
    <x v="0"/>
    <s v="FIBC Bags With UV Without Liner"/>
    <n v="10279.799999999999"/>
    <n v="2177672.83"/>
    <s v="95X95X185"/>
    <n v="0"/>
    <n v="0.05"/>
    <n v="1088.8399999999999"/>
    <n v="0.05"/>
    <n v="1088.8399999999999"/>
    <n v="0"/>
    <n v="0"/>
    <n v="0"/>
    <n v="2177.6799999999998"/>
    <n v="0"/>
    <s v="24AAECK6307M1ZF"/>
    <s v="KGS"/>
    <n v="63053200"/>
    <s v="Rs."/>
    <n v="1"/>
    <n v="10279.799999999999"/>
  </r>
  <r>
    <d v="2026-06-08T00:00:00"/>
    <s v="Plastene India ltd - Unit 1-Sales"/>
    <s v="Sales"/>
    <n v="201"/>
    <x v="0"/>
    <s v="HPBL4/D/201"/>
    <d v="2026-06-08T00:00:00"/>
    <s v="FG"/>
    <s v="FIBC Bags"/>
    <s v="FIBC Bags"/>
    <x v="0"/>
    <s v="FIBC Bags With UV Without Liner"/>
    <n v="2148"/>
    <n v="385995.6"/>
    <s v="80X80X80"/>
    <n v="4378326.8899999997"/>
    <n v="9"/>
    <n v="34739.599999999999"/>
    <n v="9"/>
    <n v="34739.599999999999"/>
    <n v="0"/>
    <n v="0"/>
    <n v="0"/>
    <n v="69479.199999999997"/>
    <n v="0"/>
    <s v="24AAACO3087C1ZT"/>
    <s v="KGS"/>
    <n v="63053200"/>
    <s v="Rs."/>
    <n v="1"/>
    <n v="2148"/>
  </r>
  <r>
    <d v="2026-06-08T00:00:00"/>
    <s v="Plastene India ltd - Unit 1-Sales"/>
    <s v="Sales"/>
    <n v="201"/>
    <x v="0"/>
    <s v="HPBL4/D/201"/>
    <d v="2026-06-08T00:00:00"/>
    <s v="FG"/>
    <s v="FIBC Bags"/>
    <s v="FIBC Bags"/>
    <x v="0"/>
    <s v="FIBC Bags With UV Without Liner"/>
    <n v="1845"/>
    <n v="367745.4"/>
    <s v="85X85X85"/>
    <n v="0"/>
    <n v="9"/>
    <n v="33097.089999999997"/>
    <n v="9"/>
    <n v="33097.089999999997"/>
    <n v="0"/>
    <n v="0"/>
    <n v="0"/>
    <n v="66194.179999999993"/>
    <n v="0"/>
    <s v="24AAACO3087C1ZT"/>
    <s v="KGS"/>
    <n v="63053200"/>
    <s v="Rs."/>
    <n v="1"/>
    <n v="1845"/>
  </r>
  <r>
    <d v="2026-06-08T00:00:00"/>
    <s v="Plastene India ltd - Unit 1-Sales"/>
    <s v="Sales"/>
    <n v="201"/>
    <x v="0"/>
    <s v="HPBL4/D/201"/>
    <d v="2026-06-08T00:00:00"/>
    <s v="FG"/>
    <s v="FIBC Bags"/>
    <s v="FIBC Bags"/>
    <x v="0"/>
    <s v="FIBC Bags With UV Without Liner"/>
    <n v="727"/>
    <n v="140899.87"/>
    <s v="85X85X85"/>
    <n v="0"/>
    <n v="9"/>
    <n v="12680.99"/>
    <n v="9"/>
    <n v="12680.99"/>
    <n v="0"/>
    <n v="0"/>
    <n v="0"/>
    <n v="25361.98"/>
    <n v="0"/>
    <s v="24AAACO3087C1ZT"/>
    <s v="KGS"/>
    <n v="63053200"/>
    <s v="Rs."/>
    <n v="1"/>
    <n v="727"/>
  </r>
  <r>
    <d v="2026-06-08T00:00:00"/>
    <s v="Plastene India ltd - Unit 1-Sales"/>
    <s v="Sales"/>
    <n v="201"/>
    <x v="0"/>
    <s v="HPBL4/D/201"/>
    <d v="2026-06-08T00:00:00"/>
    <s v="FG"/>
    <s v="FIBC Bags"/>
    <s v="FIBC Bags"/>
    <x v="0"/>
    <s v="FIBC Bags With UV Without Liner"/>
    <n v="3083"/>
    <n v="699902.66"/>
    <s v="150X150X140"/>
    <n v="0"/>
    <n v="9"/>
    <n v="62991.24"/>
    <n v="9"/>
    <n v="62991.24"/>
    <n v="0"/>
    <n v="0"/>
    <n v="0"/>
    <n v="125982.48"/>
    <n v="0"/>
    <s v="24AAACO3087C1ZT"/>
    <s v="KGS"/>
    <n v="63053200"/>
    <s v="Rs."/>
    <n v="1"/>
    <n v="3083"/>
  </r>
  <r>
    <d v="2026-06-08T00:00:00"/>
    <s v="Plastene India ltd - Unit 1-Sales"/>
    <s v="Sales"/>
    <n v="201"/>
    <x v="0"/>
    <s v="HPBL4/D/201"/>
    <d v="2026-06-08T00:00:00"/>
    <s v="FG"/>
    <s v="FIBC Bags"/>
    <s v="FIBC Bags"/>
    <x v="0"/>
    <s v="FIBC Bags With UV Without Liner"/>
    <n v="5061"/>
    <n v="1050359.94"/>
    <s v="80X80X80"/>
    <n v="0"/>
    <n v="9"/>
    <n v="94532.39"/>
    <n v="9"/>
    <n v="94532.39"/>
    <n v="0"/>
    <n v="0"/>
    <n v="0"/>
    <n v="189064.78"/>
    <n v="0"/>
    <s v="24AAACO3087C1ZT"/>
    <s v="KGS"/>
    <n v="63053200"/>
    <s v="Rs."/>
    <n v="1"/>
    <n v="5061"/>
  </r>
  <r>
    <d v="2026-06-08T00:00:00"/>
    <s v="Plastene India ltd - Unit 1-Sales"/>
    <s v="Sales"/>
    <n v="201"/>
    <x v="0"/>
    <s v="HPBL4/D/201"/>
    <d v="2026-06-08T00:00:00"/>
    <s v="FG"/>
    <s v="FIBC Bags"/>
    <s v="FIBC Bags"/>
    <x v="0"/>
    <s v="FIBC Bags With UV Without Liner"/>
    <n v="460"/>
    <n v="96374.6"/>
    <s v="85X85X85"/>
    <n v="0"/>
    <n v="9"/>
    <n v="8673.7099999999991"/>
    <n v="9"/>
    <n v="8673.7099999999991"/>
    <n v="0"/>
    <n v="0"/>
    <n v="0"/>
    <n v="17347.419999999998"/>
    <n v="0"/>
    <s v="24AAACO3087C1ZT"/>
    <s v="KGS"/>
    <n v="63053200"/>
    <s v="Rs."/>
    <n v="1"/>
    <n v="460"/>
  </r>
  <r>
    <d v="2026-06-08T00:00:00"/>
    <s v="Plastene India ltd - Unit 1-Sales"/>
    <s v="Sales"/>
    <n v="201"/>
    <x v="0"/>
    <s v="HPBL4/D/201"/>
    <d v="2026-06-08T00:00:00"/>
    <s v="FG"/>
    <s v="FIBC Bags"/>
    <s v="FIBC Bags"/>
    <x v="0"/>
    <s v="FIBC Bags With UV Without Liner"/>
    <n v="1810"/>
    <n v="391195.3"/>
    <s v="85X85X85"/>
    <n v="0"/>
    <n v="9"/>
    <n v="35207.58"/>
    <n v="9"/>
    <n v="35207.58"/>
    <n v="0"/>
    <n v="0"/>
    <n v="0"/>
    <n v="70415.16"/>
    <n v="0"/>
    <s v="24AAACO3087C1ZT"/>
    <s v="KGS"/>
    <n v="63053200"/>
    <s v="Rs."/>
    <n v="1"/>
    <n v="1810"/>
  </r>
  <r>
    <d v="2026-06-08T00:00:00"/>
    <s v="Plastene India ltd - Unit 1-Sales"/>
    <s v="Sales"/>
    <n v="201"/>
    <x v="0"/>
    <s v="HPBL4/D/201"/>
    <d v="2026-06-08T00:00:00"/>
    <s v="FG"/>
    <s v="FIBC Bags"/>
    <s v="FIBC Bags"/>
    <x v="0"/>
    <s v="FIBC Bags With UV Without Liner"/>
    <n v="915"/>
    <n v="189633.75"/>
    <s v="85X85X85"/>
    <n v="0"/>
    <n v="9"/>
    <n v="17067.04"/>
    <n v="9"/>
    <n v="17067.04"/>
    <n v="0"/>
    <n v="0"/>
    <n v="0"/>
    <n v="34134.080000000002"/>
    <n v="0"/>
    <s v="24AAACO3087C1ZT"/>
    <s v="KGS"/>
    <n v="63053200"/>
    <s v="Rs."/>
    <n v="1"/>
    <n v="915"/>
  </r>
  <r>
    <d v="2026-06-08T00:00:00"/>
    <s v="Plastene India ltd - Unit 1-Sales"/>
    <s v="Sales"/>
    <n v="201"/>
    <x v="0"/>
    <s v="HPBL4/D/201"/>
    <d v="2026-06-08T00:00:00"/>
    <s v="FG"/>
    <s v="FIBC Bags"/>
    <s v="FIBC Bags"/>
    <x v="0"/>
    <s v="FIBC Bags With UV Without Liner"/>
    <n v="1851"/>
    <n v="391486.5"/>
    <s v="85X85X85"/>
    <n v="0"/>
    <n v="9"/>
    <n v="35233.79"/>
    <n v="9"/>
    <n v="35233.79"/>
    <n v="0"/>
    <n v="0"/>
    <n v="0"/>
    <n v="70467.58"/>
    <n v="0"/>
    <s v="24AAACO3087C1ZT"/>
    <s v="KGS"/>
    <n v="63053200"/>
    <s v="Rs."/>
    <n v="1"/>
    <n v="1851"/>
  </r>
  <r>
    <d v="2026-07-08T00:00:00"/>
    <s v="Oswal Extrusion Ltd- KASEZ-Sales"/>
    <s v="SALES (FOREX)"/>
    <s v="HPBL4/E/79/26-27"/>
    <x v="4"/>
    <s v="HPBL4/E/79/26-27"/>
    <d v="2026-07-08T00:00:00"/>
    <s v="Packing Material"/>
    <s v="Stretch Film"/>
    <s v="Spares &amp; Stores"/>
    <x v="1"/>
    <s v="Stretch Film 500mmx23Mic"/>
    <n v="108"/>
    <n v="15984"/>
    <s v="STRETCH FILM"/>
    <n v="15984"/>
    <n v="0"/>
    <n v="0"/>
    <n v="0"/>
    <n v="0"/>
    <n v="0"/>
    <n v="0"/>
    <n v="0"/>
    <n v="0"/>
    <n v="0"/>
    <s v="24AAACO7290H4ZB"/>
    <s v="KGS"/>
    <n v="39201019"/>
    <s v="Rs."/>
    <n v="1"/>
    <n v="108"/>
  </r>
  <r>
    <d v="2026-07-08T00:00:00"/>
    <s v="Plastene India ltd - Unit 1-Sales"/>
    <s v="Sales"/>
    <n v="202"/>
    <x v="0"/>
    <s v="HPBL4/D/202"/>
    <d v="2026-07-08T00:00:00"/>
    <s v="FG"/>
    <s v="FIBC Bags"/>
    <s v="FIBC Bags"/>
    <x v="0"/>
    <s v="FIBC Bags With UV Without Liner"/>
    <n v="1578"/>
    <n v="298099.98"/>
    <s v="90X90X210"/>
    <n v="351459.88"/>
    <n v="9"/>
    <n v="26829"/>
    <n v="9"/>
    <n v="26829"/>
    <n v="0"/>
    <n v="0"/>
    <n v="0"/>
    <n v="53658"/>
    <n v="0"/>
    <s v="24AAACO3087C1ZT"/>
    <s v="KGS"/>
    <n v="63053200"/>
    <s v="Rs."/>
    <n v="1"/>
    <n v="1578"/>
  </r>
  <r>
    <d v="2026-07-08T00:00:00"/>
    <s v="Plastene India ltd - Unit 1-Sales"/>
    <s v="Sales"/>
    <n v="203"/>
    <x v="1"/>
    <s v="HPBL4/D/203"/>
    <d v="2026-07-08T00:00:00"/>
    <s v="Stores/Spares"/>
    <s v="MS Structure Items"/>
    <s v="Spares &amp; Stores"/>
    <x v="1"/>
    <s v="MS Pipe 4  C Class"/>
    <n v="473"/>
    <n v="22704"/>
    <s v="OLD/USED FABRIC ROLL PIPE"/>
    <n v="26768.02"/>
    <n v="9"/>
    <n v="2043.36"/>
    <n v="9"/>
    <n v="2043.36"/>
    <n v="0"/>
    <n v="0"/>
    <n v="0"/>
    <n v="4086.72"/>
    <n v="0"/>
    <s v="24AAACO3087C1ZT"/>
    <s v="KGS"/>
    <n v="73063090"/>
    <s v="Rs."/>
    <n v="1"/>
    <n v="473"/>
  </r>
  <r>
    <d v="2026-07-08T00:00:00"/>
    <s v="Qpac Ltd"/>
    <s v="Export Sales"/>
    <s v="HPBL4/E/80/26-27"/>
    <x v="5"/>
    <s v="HPBL4/E/80/26-27"/>
    <d v="2026-07-08T00:00:00"/>
    <s v="FG"/>
    <s v="FIBC Bags"/>
    <s v="FIBC Bags"/>
    <x v="0"/>
    <s v="FIBC Bags With UV Without Liner"/>
    <n v="15803"/>
    <n v="2707926.88"/>
    <s v="PP WOVEN BIG BAGS/SACKS"/>
    <n v="3202057.3"/>
    <n v="0"/>
    <n v="0"/>
    <n v="0"/>
    <n v="0"/>
    <n v="18"/>
    <n v="487426.81390000001"/>
    <n v="0.23"/>
    <n v="487427.04389999999"/>
    <n v="0"/>
    <s v="N.A."/>
    <s v="KGS"/>
    <n v="63053200"/>
    <s v="GBP"/>
    <n v="126.1"/>
    <n v="15803"/>
  </r>
  <r>
    <d v="2026-08-08T00:00:00"/>
    <s v="Plastene India ltd - Unit 1-Sales"/>
    <s v="Sales"/>
    <n v="205"/>
    <x v="2"/>
    <s v="HPBL4/D/205"/>
    <d v="2026-08-08T00:00:00"/>
    <s v="SF"/>
    <s v="Wastage/Scrap"/>
    <s v="Wastage/Scrap"/>
    <x v="4"/>
    <s v="PP/HD Wastage/Scrap"/>
    <n v="2791"/>
    <n v="33492"/>
    <s v="PP/HD Wastage/Scrap"/>
    <n v="40310.97"/>
    <n v="9"/>
    <n v="3014.28"/>
    <n v="9"/>
    <n v="3014.28"/>
    <n v="0"/>
    <n v="0"/>
    <n v="0"/>
    <n v="6028.56"/>
    <n v="790.41"/>
    <s v="24AAACO3087C1ZT"/>
    <s v="KGS"/>
    <n v="39159029"/>
    <s v="Rs."/>
    <n v="1"/>
    <n v="2791"/>
  </r>
  <r>
    <d v="2026-08-08T00:00:00"/>
    <s v="Plastene India ltd - Unit 1-Sales"/>
    <s v="Sales"/>
    <n v="206"/>
    <x v="1"/>
    <s v="HPBL4/D/206"/>
    <d v="2026-08-08T00:00:00"/>
    <s v="FG"/>
    <s v="FIBC WIP"/>
    <s v="FIBC WIP"/>
    <x v="2"/>
    <s v="PP Woven Fabric"/>
    <n v="749"/>
    <n v="20972"/>
    <s v="DEAD STOCK FABRIC RP PURPOSE"/>
    <n v="24725.99"/>
    <n v="9"/>
    <n v="1887.48"/>
    <n v="9"/>
    <n v="1887.48"/>
    <n v="0"/>
    <n v="0"/>
    <n v="0"/>
    <n v="3774.96"/>
    <n v="0"/>
    <s v="24AAACO3087C1ZT"/>
    <s v="KGS"/>
    <n v="39269080"/>
    <s v="Rs."/>
    <n v="1"/>
    <n v="749"/>
  </r>
  <r>
    <d v="2026-08-08T00:00:00"/>
    <s v="Plastene India ltd - Unit 1-Sales"/>
    <s v="Sales"/>
    <n v="207"/>
    <x v="0"/>
    <s v="HPBL4/D/207"/>
    <d v="2026-08-08T00:00:00"/>
    <s v="FG"/>
    <s v="FIBC Bags"/>
    <s v="FIBC Bags"/>
    <x v="0"/>
    <s v="FIBC Bags With UV Without Liner"/>
    <n v="19408"/>
    <n v="3680339.04"/>
    <s v="95X95X110"/>
    <n v="5060081.3499999996"/>
    <n v="9"/>
    <n v="331230.51"/>
    <n v="9"/>
    <n v="331230.51"/>
    <n v="0"/>
    <n v="0"/>
    <n v="0"/>
    <n v="662461.02"/>
    <n v="0"/>
    <s v="24AAACO3087C1ZT"/>
    <s v="KGS"/>
    <n v="63053200"/>
    <s v="Rs."/>
    <n v="1"/>
    <n v="19408"/>
  </r>
  <r>
    <d v="2026-08-08T00:00:00"/>
    <s v="Plastene India ltd - Unit 1-Sales"/>
    <s v="Sales"/>
    <n v="207"/>
    <x v="0"/>
    <s v="HPBL4/D/207"/>
    <d v="2026-08-08T00:00:00"/>
    <s v="FG"/>
    <s v="FIBC Bags"/>
    <s v="FIBC Bags"/>
    <x v="0"/>
    <s v="FIBC Bags With UV Without Liner"/>
    <n v="3949"/>
    <n v="611502.65"/>
    <s v="95X95X110"/>
    <n v="0"/>
    <n v="9"/>
    <n v="55035.24"/>
    <n v="9"/>
    <n v="55035.24"/>
    <n v="0"/>
    <n v="0"/>
    <n v="0"/>
    <n v="110070.48"/>
    <n v="0"/>
    <s v="24AAACO3087C1ZT"/>
    <s v="KGS"/>
    <n v="63053200"/>
    <s v="Rs."/>
    <n v="1"/>
    <n v="3949"/>
  </r>
  <r>
    <d v="2026-08-08T00:00:00"/>
    <s v="Plastene India ltd - Unit 1-Sales"/>
    <s v="Sales"/>
    <n v="208"/>
    <x v="1"/>
    <s v="HPBL4/D/208"/>
    <d v="2026-08-08T00:00:00"/>
    <s v="FG"/>
    <s v="FIBC WIP"/>
    <s v="FIBC WIP"/>
    <x v="2"/>
    <s v="PP Webbing"/>
    <n v="92"/>
    <n v="13277.44"/>
    <s v="MW WEBBING"/>
    <n v="15654.1"/>
    <n v="9"/>
    <n v="1194.97"/>
    <n v="9"/>
    <n v="1194.97"/>
    <n v="0"/>
    <n v="0"/>
    <n v="0"/>
    <n v="2389.94"/>
    <n v="0"/>
    <s v="24AAACO3087C1ZT"/>
    <s v="KGS"/>
    <n v="39269080"/>
    <s v="Rs."/>
    <n v="1"/>
    <n v="92"/>
  </r>
  <r>
    <d v="2026-08-08T00:00:00"/>
    <s v="Plastene India ltd - Unit 1-Sales"/>
    <s v="Sales"/>
    <n v="209"/>
    <x v="1"/>
    <s v="HPBL4/D/209"/>
    <d v="2026-08-08T00:00:00"/>
    <s v="Stores/Spares"/>
    <s v="MS Structure Items"/>
    <s v="Spares &amp; Stores"/>
    <x v="1"/>
    <s v="MS Pipe 4  C Class"/>
    <n v="487"/>
    <n v="23376"/>
    <s v="OLD/USED FABRIC ROLL PIPE"/>
    <n v="27560.3"/>
    <n v="9"/>
    <n v="2103.84"/>
    <n v="9"/>
    <n v="2103.84"/>
    <n v="0"/>
    <n v="0"/>
    <n v="0"/>
    <n v="4207.68"/>
    <n v="0"/>
    <s v="24AAACO3087C1ZT"/>
    <s v="KGS"/>
    <n v="73063090"/>
    <s v="Rs."/>
    <n v="1"/>
    <n v="487"/>
  </r>
  <r>
    <d v="2026-08-08T00:00:00"/>
    <s v="Plastene India ltd - Unit 1-Sales"/>
    <s v="Sales"/>
    <n v="210"/>
    <x v="2"/>
    <s v="HPBL4/D/210"/>
    <d v="2026-08-08T00:00:00"/>
    <s v="SF"/>
    <s v="Wastage/Scrap"/>
    <s v="Wastage/Scrap"/>
    <x v="4"/>
    <s v="PP/HD Wastage/Scrap"/>
    <n v="4174"/>
    <n v="50088"/>
    <s v="PP/HD Wastage/Scrap"/>
    <n v="60285.919999999998"/>
    <n v="9"/>
    <n v="4507.92"/>
    <n v="9"/>
    <n v="4507.92"/>
    <n v="0"/>
    <n v="0"/>
    <n v="0"/>
    <n v="9015.84"/>
    <n v="1182.08"/>
    <s v="24AAACO3087C1ZT"/>
    <s v="KGS"/>
    <n v="39159029"/>
    <s v="Rs."/>
    <n v="1"/>
    <n v="4174"/>
  </r>
  <r>
    <d v="2026-08-08T00:00:00"/>
    <s v="Plastene India ltd - Unit 1-Sales"/>
    <s v="Sales"/>
    <n v="211"/>
    <x v="1"/>
    <s v="HPBL4/D/211"/>
    <d v="2026-08-08T00:00:00"/>
    <s v="FG"/>
    <s v="FIBC WIP"/>
    <s v="FIBC WIP"/>
    <x v="2"/>
    <s v="PP Webbing"/>
    <n v="736"/>
    <n v="20608"/>
    <s v="DEAD STOCK FABRIC RP PURPOSE"/>
    <n v="24296.83"/>
    <n v="9"/>
    <n v="1854.72"/>
    <n v="9"/>
    <n v="1854.72"/>
    <n v="0"/>
    <n v="0"/>
    <n v="0"/>
    <n v="3709.44"/>
    <n v="0"/>
    <s v="24AAACO3087C1ZT"/>
    <s v="KGS"/>
    <n v="39269080"/>
    <s v="Rs."/>
    <n v="1"/>
    <n v="736"/>
  </r>
  <r>
    <d v="2026-08-08T00:00:00"/>
    <s v="Plastene Polyfilms Ltd-Sales"/>
    <s v="Sales"/>
    <n v="204"/>
    <x v="0"/>
    <s v="HPBL4/D/204"/>
    <d v="2026-08-08T00:00:00"/>
    <s v="FG"/>
    <s v="FIBC Bags"/>
    <s v="FIBC Bags"/>
    <x v="0"/>
    <s v="FIBC Bags With UV With Liner"/>
    <n v="3171"/>
    <n v="800265.27"/>
    <s v="62.5X62.5X139"/>
    <n v="1680173.95"/>
    <n v="9"/>
    <n v="72023.87"/>
    <n v="9"/>
    <n v="72023.87"/>
    <n v="0"/>
    <n v="0"/>
    <n v="0"/>
    <n v="144047.74"/>
    <n v="0"/>
    <s v="24AAFCP2956A1ZR"/>
    <s v="KGS"/>
    <n v="63053200"/>
    <s v="Rs."/>
    <n v="1"/>
    <n v="3171"/>
  </r>
  <r>
    <d v="2026-08-08T00:00:00"/>
    <s v="Plastene Polyfilms Ltd-Sales"/>
    <s v="Sales"/>
    <n v="204"/>
    <x v="0"/>
    <s v="HPBL4/D/204"/>
    <d v="2026-08-08T00:00:00"/>
    <s v="FG"/>
    <s v="FIBC Bags"/>
    <s v="FIBC Bags"/>
    <x v="0"/>
    <s v="FIBC Bags With UV With Liner"/>
    <n v="1633"/>
    <n v="415369.88"/>
    <s v="62.5X62.5X139"/>
    <n v="0"/>
    <n v="9"/>
    <n v="37383.29"/>
    <n v="9"/>
    <n v="37383.29"/>
    <n v="0"/>
    <n v="0"/>
    <n v="0"/>
    <n v="74766.58"/>
    <n v="0"/>
    <s v="24AAFCP2956A1ZR"/>
    <s v="KGS"/>
    <n v="63053200"/>
    <s v="Rs."/>
    <n v="1"/>
    <n v="1633"/>
  </r>
  <r>
    <d v="2026-08-08T00:00:00"/>
    <s v="Plastene Polyfilms Ltd-Sales"/>
    <s v="Sales"/>
    <n v="204"/>
    <x v="0"/>
    <s v="HPBL4/D/204"/>
    <d v="2026-08-08T00:00:00"/>
    <s v="FG"/>
    <s v="FIBC Bags"/>
    <s v="FIBC Bags"/>
    <x v="0"/>
    <s v="FIBC Bags With UV With Liner"/>
    <n v="807"/>
    <n v="209448.78"/>
    <s v="62.5X62.5X139"/>
    <n v="0"/>
    <n v="9"/>
    <n v="18850.39"/>
    <n v="9"/>
    <n v="18850.39"/>
    <n v="0"/>
    <n v="0"/>
    <n v="0"/>
    <n v="37700.78"/>
    <n v="0"/>
    <s v="24AAFCP2956A1ZR"/>
    <s v="KGS"/>
    <n v="63053200"/>
    <s v="Rs."/>
    <n v="1"/>
    <n v="807"/>
  </r>
  <r>
    <d v="2026-10-08T00:00:00"/>
    <s v="Plastene India ltd - Unit 1-Sales"/>
    <s v="Sales"/>
    <n v="212"/>
    <x v="1"/>
    <s v="HPBL4/D/212"/>
    <d v="2026-10-08T00:00:00"/>
    <s v="Stores/Spares"/>
    <s v="MS Structure Items"/>
    <s v="Spares &amp; Stores"/>
    <x v="1"/>
    <s v="MS Pipe 4  C Class"/>
    <n v="693"/>
    <n v="33264"/>
    <s v="OLD/USED FABRIC ROLL PIPE"/>
    <n v="39218.26"/>
    <n v="9"/>
    <n v="2993.76"/>
    <n v="9"/>
    <n v="2993.76"/>
    <n v="0"/>
    <n v="0"/>
    <n v="0"/>
    <n v="5987.52"/>
    <n v="0"/>
    <s v="24AAACO3087C1ZT"/>
    <s v="KGS"/>
    <n v="73063090"/>
    <s v="Rs."/>
    <n v="1"/>
    <n v="693"/>
  </r>
  <r>
    <d v="2026-10-08T00:00:00"/>
    <s v="Rafia Industrial S.A."/>
    <s v="Export Sales"/>
    <s v="HPBL4/E/81/26-27"/>
    <x v="5"/>
    <s v="HPBL4/E/81/26-27"/>
    <d v="2026-10-08T00:00:00"/>
    <s v="FG"/>
    <s v="FIBC Bags"/>
    <s v="FIBC Bags"/>
    <x v="0"/>
    <s v="FIBC Bags With UV With Liner"/>
    <n v="17520"/>
    <n v="4771730.88"/>
    <s v="PP WOVEN BIG BAGS/SACKS WITH LINER"/>
    <n v="4771730.88"/>
    <n v="0"/>
    <n v="0"/>
    <n v="0"/>
    <n v="0"/>
    <n v="18"/>
    <n v="858911.55839999998"/>
    <n v="0"/>
    <n v="858911.55839999998"/>
    <n v="0"/>
    <s v="N.A."/>
    <s v="KGS"/>
    <n v="63053200"/>
    <s v="$"/>
    <n v="94.3"/>
    <n v="17520"/>
  </r>
  <r>
    <d v="2026-11-08T00:00:00"/>
    <s v="K.P. Woven Pvt Ltd-Sales"/>
    <s v="Sales"/>
    <s v="HPBL4/ME/13"/>
    <x v="1"/>
    <s v="HPBL4/ME/13"/>
    <d v="2026-11-08T00:00:00"/>
    <s v="FG"/>
    <s v="Small Bags"/>
    <s v="PP Bags"/>
    <x v="5"/>
    <s v="PP UL Bags Without UV"/>
    <n v="3385.8"/>
    <n v="515217.19"/>
    <s v="PP UL Bags Without UV"/>
    <n v="515217.19"/>
    <n v="0.05"/>
    <n v="257.61"/>
    <n v="0.05"/>
    <n v="257.61"/>
    <n v="0"/>
    <n v="0"/>
    <n v="0"/>
    <n v="515.22"/>
    <n v="0"/>
    <s v="24AAECK6307M1ZF"/>
    <s v="KGS"/>
    <n v="39232999"/>
    <s v="Rs."/>
    <n v="1"/>
    <n v="3385.8"/>
  </r>
  <r>
    <d v="2026-11-08T00:00:00"/>
    <s v="K.P. Woven Pvt Ltd-Sales"/>
    <s v="Sales"/>
    <s v="HPBL4/ME/14"/>
    <x v="3"/>
    <s v="HPBL4/ME/14"/>
    <d v="2026-11-08T00:00:00"/>
    <s v="FG"/>
    <s v="FIBC Bags"/>
    <s v="FIBC Bags"/>
    <x v="0"/>
    <s v="FIBC Bags With UV Without Liner"/>
    <n v="3217"/>
    <n v="582727.38"/>
    <s v="95X95X110"/>
    <n v="3003635.32"/>
    <n v="0.05"/>
    <n v="291.36"/>
    <n v="0.05"/>
    <n v="291.36"/>
    <n v="0"/>
    <n v="0"/>
    <n v="0"/>
    <n v="582.72"/>
    <n v="0"/>
    <s v="24AAECK6307M1ZF"/>
    <s v="KGS"/>
    <n v="63053200"/>
    <s v="Rs."/>
    <n v="1"/>
    <n v="3217"/>
  </r>
  <r>
    <d v="2026-11-08T00:00:00"/>
    <s v="K.P. Woven Pvt Ltd-Sales"/>
    <s v="Sales"/>
    <s v="HPBL4/ME/14"/>
    <x v="3"/>
    <s v="HPBL4/ME/14"/>
    <d v="2026-11-08T00:00:00"/>
    <s v="FG"/>
    <s v="FIBC Bags"/>
    <s v="FIBC Bags"/>
    <x v="0"/>
    <s v="FIBC Bags With UV Without Liner"/>
    <n v="3047"/>
    <n v="538404.9"/>
    <s v="95X95X110"/>
    <n v="0"/>
    <n v="0.05"/>
    <n v="269.2"/>
    <n v="0.05"/>
    <n v="269.2"/>
    <n v="0"/>
    <n v="0"/>
    <n v="0"/>
    <n v="538.4"/>
    <n v="0"/>
    <s v="24AAECK6307M1ZF"/>
    <s v="KGS"/>
    <n v="63053200"/>
    <s v="Rs."/>
    <n v="1"/>
    <n v="3047"/>
  </r>
  <r>
    <d v="2026-11-08T00:00:00"/>
    <s v="K.P. Woven Pvt Ltd-Sales"/>
    <s v="Sales"/>
    <s v="HPBL4/ME/14"/>
    <x v="3"/>
    <s v="HPBL4/ME/14"/>
    <d v="2026-11-08T00:00:00"/>
    <s v="FG"/>
    <s v="FIBC Bags"/>
    <s v="FIBC Bags"/>
    <x v="0"/>
    <s v="FIBC Bags With UV Without Liner"/>
    <n v="1595"/>
    <n v="329590.8"/>
    <s v="91X91X120"/>
    <n v="0"/>
    <n v="0.05"/>
    <n v="164.8"/>
    <n v="0.05"/>
    <n v="164.8"/>
    <n v="0"/>
    <n v="0"/>
    <n v="0"/>
    <n v="329.6"/>
    <n v="0"/>
    <s v="24AAECK6307M1ZF"/>
    <s v="KGS"/>
    <n v="63053200"/>
    <s v="Rs."/>
    <n v="1"/>
    <n v="1595"/>
  </r>
  <r>
    <d v="2026-11-08T00:00:00"/>
    <s v="K.P. Woven Pvt Ltd-Sales"/>
    <s v="Sales"/>
    <s v="HPBL4/ME/14"/>
    <x v="3"/>
    <s v="HPBL4/ME/14"/>
    <d v="2026-11-08T00:00:00"/>
    <s v="FG"/>
    <s v="FIBC Bags"/>
    <s v="FIBC Bags"/>
    <x v="0"/>
    <s v="FIBC Bags With UV Without Liner"/>
    <n v="3043"/>
    <n v="621502.31999999995"/>
    <s v="95X95X175"/>
    <n v="0"/>
    <n v="0.05"/>
    <n v="310.75"/>
    <n v="0.05"/>
    <n v="310.75"/>
    <n v="0"/>
    <n v="0"/>
    <n v="0"/>
    <n v="621.5"/>
    <n v="0"/>
    <s v="24AAECK6307M1ZF"/>
    <s v="KGS"/>
    <n v="63053200"/>
    <s v="Rs."/>
    <n v="1"/>
    <n v="3043"/>
  </r>
  <r>
    <d v="2026-11-08T00:00:00"/>
    <s v="K.P. Woven Pvt Ltd-Sales"/>
    <s v="Sales"/>
    <s v="HPBL4/ME/14"/>
    <x v="3"/>
    <s v="HPBL4/ME/14"/>
    <d v="2026-11-08T00:00:00"/>
    <s v="FG"/>
    <s v="FIBC Bags"/>
    <s v="FIBC Bags"/>
    <x v="0"/>
    <s v="FIBC Bags With UV Without Liner"/>
    <n v="4984"/>
    <n v="931409.92000000004"/>
    <s v="95X95X110"/>
    <n v="0"/>
    <n v="0.05"/>
    <n v="465.7"/>
    <n v="0.05"/>
    <n v="465.7"/>
    <n v="0"/>
    <n v="0"/>
    <n v="0"/>
    <n v="931.4"/>
    <n v="0"/>
    <s v="24AAECK6307M1ZF"/>
    <s v="KGS"/>
    <n v="63053200"/>
    <s v="Rs."/>
    <n v="1"/>
    <n v="4984"/>
  </r>
  <r>
    <d v="2026-11-08T00:00:00"/>
    <s v="Plastene India ltd - Unit 1-Sales"/>
    <s v="Sales"/>
    <n v="213"/>
    <x v="1"/>
    <s v="HPBL4/D/213"/>
    <d v="2026-11-08T00:00:00"/>
    <s v="SF"/>
    <s v="PP/PE Fabric"/>
    <s v="PP UL Fabric"/>
    <x v="6"/>
    <s v="PP UL Fabric With UV"/>
    <n v="1735"/>
    <n v="246925.2"/>
    <s v="MW 100 GSM"/>
    <n v="291124.81"/>
    <n v="9"/>
    <n v="22223.27"/>
    <n v="9"/>
    <n v="22223.27"/>
    <n v="0"/>
    <n v="0"/>
    <n v="0"/>
    <n v="44446.54"/>
    <n v="0"/>
    <s v="24AAACO3087C1ZT"/>
    <s v="KGS"/>
    <n v="39269080"/>
    <s v="Rs."/>
    <n v="1"/>
    <n v="1735"/>
  </r>
  <r>
    <d v="2026-11-08T00:00:00"/>
    <s v="Plastene India ltd - Unit 1-Sales"/>
    <s v="Sales"/>
    <n v="214"/>
    <x v="1"/>
    <s v="HPBL4/D/214"/>
    <d v="2026-11-08T00:00:00"/>
    <s v="Stores/Spares"/>
    <s v="MS Structure Items"/>
    <s v="Spares &amp; Stores"/>
    <x v="1"/>
    <s v="MS Pipe 4  C Class"/>
    <n v="49"/>
    <n v="2352"/>
    <s v="MS PIPE"/>
    <n v="2773.01"/>
    <n v="9"/>
    <n v="211.68"/>
    <n v="9"/>
    <n v="211.68"/>
    <n v="0"/>
    <n v="0"/>
    <n v="0"/>
    <n v="423.36"/>
    <n v="0"/>
    <s v="24AAACO3087C1ZT"/>
    <s v="KGS"/>
    <n v="73063090"/>
    <s v="Rs."/>
    <n v="1"/>
    <n v="49"/>
  </r>
  <r>
    <d v="2026-12-08T00:00:00"/>
    <s v="Plastene India ltd - Unit 1-Sales"/>
    <s v="Sales"/>
    <n v="215"/>
    <x v="1"/>
    <s v="HPBL4/D/215"/>
    <d v="2026-12-08T00:00:00"/>
    <s v="Stores/Spares"/>
    <s v="MS Structure Items"/>
    <s v="Spares &amp; Stores"/>
    <x v="1"/>
    <s v="MS Pipe 4  C Class"/>
    <n v="433"/>
    <n v="20784"/>
    <s v="OLD/USED FABRIC ROLL PIPE"/>
    <n v="24504.34"/>
    <n v="9"/>
    <n v="1870.56"/>
    <n v="9"/>
    <n v="1870.56"/>
    <n v="0"/>
    <n v="0"/>
    <n v="0"/>
    <n v="3741.12"/>
    <n v="0"/>
    <s v="24AAACO3087C1ZT"/>
    <s v="KGS"/>
    <n v="73063090"/>
    <s v="Rs."/>
    <n v="1"/>
    <n v="433"/>
  </r>
  <r>
    <d v="2026-12-08T00:00:00"/>
    <s v="Plastene India ltd - Unit 1-Sales"/>
    <s v="Sales"/>
    <n v="216"/>
    <x v="0"/>
    <s v="HPBL4/D/216"/>
    <d v="2026-12-08T00:00:00"/>
    <s v="FG"/>
    <s v="FIBC Bags"/>
    <s v="FIBC Bags"/>
    <x v="0"/>
    <s v="FIBC Bags With UV With Liner"/>
    <n v="963"/>
    <n v="202807.8"/>
    <s v="85X85X105"/>
    <n v="1144448.51"/>
    <n v="9"/>
    <n v="18252.7"/>
    <n v="9"/>
    <n v="18252.7"/>
    <n v="0"/>
    <n v="0"/>
    <n v="0"/>
    <n v="36505.4"/>
    <n v="0"/>
    <s v="24AAACO3087C1ZT"/>
    <s v="KGS"/>
    <n v="63053200"/>
    <s v="Rs."/>
    <n v="1"/>
    <n v="963"/>
  </r>
  <r>
    <d v="2026-12-08T00:00:00"/>
    <s v="Plastene India ltd - Unit 1-Sales"/>
    <s v="Sales"/>
    <n v="216"/>
    <x v="0"/>
    <s v="HPBL4/D/216"/>
    <d v="2026-12-08T00:00:00"/>
    <s v="FG"/>
    <s v="FIBC Bags"/>
    <s v="FIBC Bags"/>
    <x v="0"/>
    <s v="FIBC Bags With UV Without Liner"/>
    <n v="3994"/>
    <n v="767886.44"/>
    <s v="90X90X90"/>
    <n v="0"/>
    <n v="9"/>
    <n v="69109.78"/>
    <n v="9"/>
    <n v="69109.78"/>
    <n v="0"/>
    <n v="0"/>
    <n v="0"/>
    <n v="138219.56"/>
    <n v="0"/>
    <s v="24AAACO3087C1ZT"/>
    <s v="KGS"/>
    <n v="63053200"/>
    <s v="Rs."/>
    <n v="1"/>
    <n v="3994"/>
  </r>
  <r>
    <d v="2026-12-08T00:00:00"/>
    <s v="Plastene India ltd - Unit 1-Sales"/>
    <s v="Sales"/>
    <n v="217"/>
    <x v="1"/>
    <s v="HPBL4/D/217"/>
    <d v="2026-12-08T00:00:00"/>
    <s v="SF"/>
    <s v="PP/PE Fabric"/>
    <s v="PP UL Fabric"/>
    <x v="6"/>
    <s v="PP UL Fabric With UV"/>
    <n v="250"/>
    <n v="35580"/>
    <s v="MW 100 GSM"/>
    <n v="68559.08"/>
    <n v="9"/>
    <n v="3202.2"/>
    <n v="9"/>
    <n v="3202.2"/>
    <n v="0"/>
    <n v="0"/>
    <n v="0"/>
    <n v="6404.4"/>
    <n v="0"/>
    <s v="24AAACO3087C1ZT"/>
    <s v="KGS"/>
    <n v="39269080"/>
    <s v="Rs."/>
    <n v="1"/>
    <n v="250"/>
  </r>
  <r>
    <d v="2026-12-08T00:00:00"/>
    <s v="Plastene India ltd - Unit 1-Sales"/>
    <s v="Sales"/>
    <n v="217"/>
    <x v="1"/>
    <s v="HPBL4/D/217"/>
    <d v="2026-12-08T00:00:00"/>
    <s v="SF"/>
    <s v="Webbing"/>
    <s v="PP Webbing"/>
    <x v="7"/>
    <s v="Webbing"/>
    <n v="24.3"/>
    <n v="3506.98"/>
    <s v="MW WEBBING"/>
    <n v="0"/>
    <n v="9"/>
    <n v="315.63"/>
    <n v="9"/>
    <n v="315.63"/>
    <n v="0"/>
    <n v="0"/>
    <n v="0"/>
    <n v="631.26"/>
    <n v="0"/>
    <s v="24AAACO3087C1ZT"/>
    <s v="KGS"/>
    <n v="39269080"/>
    <s v="Rs."/>
    <n v="1"/>
    <n v="24.3"/>
  </r>
  <r>
    <d v="2026-12-08T00:00:00"/>
    <s v="Plastene India ltd - Unit 1-Sales"/>
    <s v="Sales"/>
    <n v="217"/>
    <x v="1"/>
    <s v="HPBL4/D/217"/>
    <d v="2026-12-08T00:00:00"/>
    <s v="SF"/>
    <s v="Webbing"/>
    <s v="PP Webbing"/>
    <x v="7"/>
    <s v="Webbing"/>
    <n v="129.4"/>
    <n v="19063.21"/>
    <s v="COLOUR WEBBING"/>
    <n v="0"/>
    <n v="9"/>
    <n v="1715.69"/>
    <n v="9"/>
    <n v="1715.69"/>
    <n v="0"/>
    <n v="0"/>
    <n v="0"/>
    <n v="3431.38"/>
    <n v="0"/>
    <s v="24AAACO3087C1ZT"/>
    <s v="KGS"/>
    <n v="39269080"/>
    <s v="Rs."/>
    <n v="1"/>
    <n v="129.4"/>
  </r>
  <r>
    <s v="13-08-2026"/>
    <s v="LC Packaging Hungary TPI"/>
    <s v="Export Sales"/>
    <s v="HPBL4/E/82/26-27"/>
    <x v="5"/>
    <s v="HPBL4/E/82/26-27"/>
    <s v="13-08-2026"/>
    <s v="FG"/>
    <s v="FIBC Bags"/>
    <s v="FIBC Bags"/>
    <x v="0"/>
    <s v="FIBC Bags With UV With Liner"/>
    <n v="17951"/>
    <n v="3802176"/>
    <s v="PP WOVEN BIG BAGS/SACKS WITH LINER"/>
    <n v="3802176"/>
    <n v="0"/>
    <n v="0"/>
    <n v="0"/>
    <n v="0"/>
    <n v="18"/>
    <n v="684391.68"/>
    <n v="0"/>
    <n v="684391.68"/>
    <n v="0"/>
    <s v="N.A."/>
    <s v="KGS"/>
    <n v="63053200"/>
    <s v="$"/>
    <n v="94.3"/>
    <n v="17951"/>
  </r>
  <r>
    <s v="13-08-2026"/>
    <s v="Plastene India ltd - Unit 1-Sales"/>
    <s v="Sales"/>
    <n v="218"/>
    <x v="1"/>
    <s v="HPBL4/D/218"/>
    <s v="13-08-2026"/>
    <s v="Stores/Spares"/>
    <s v="MS Structure Items"/>
    <s v="Spares &amp; Stores"/>
    <x v="1"/>
    <s v="MS Pipe 4  C Class"/>
    <n v="558"/>
    <n v="26784"/>
    <s v="OLD/USED FABRIC ROLL PIPE"/>
    <n v="31578.34"/>
    <n v="9"/>
    <n v="2410.56"/>
    <n v="9"/>
    <n v="2410.56"/>
    <n v="0"/>
    <n v="0"/>
    <n v="0"/>
    <n v="4821.12"/>
    <n v="0"/>
    <s v="24AAACO3087C1ZT"/>
    <s v="KGS"/>
    <n v="73063090"/>
    <s v="Rs."/>
    <n v="1"/>
    <n v="558"/>
  </r>
  <r>
    <s v="13-08-2026"/>
    <s v="Plastene India ltd - Unit 1-Sales"/>
    <s v="Sales"/>
    <n v="219"/>
    <x v="2"/>
    <s v="HPBL4/D/219"/>
    <s v="13-08-2026"/>
    <s v="SF"/>
    <s v="Wastage/Scrap"/>
    <s v="Wastage/Scrap"/>
    <x v="4"/>
    <s v="PP/HD Wastage/Scrap"/>
    <n v="7540"/>
    <n v="90480"/>
    <s v="PP/HD Wastage/Scrap"/>
    <n v="108901.73"/>
    <n v="9"/>
    <n v="8143.2"/>
    <n v="9"/>
    <n v="8143.2"/>
    <n v="0"/>
    <n v="0"/>
    <n v="0"/>
    <n v="16286.4"/>
    <n v="2135.33"/>
    <s v="24AAACO3087C1ZT"/>
    <s v="KGS"/>
    <n v="39159029"/>
    <s v="Rs."/>
    <n v="1"/>
    <n v="7540"/>
  </r>
  <r>
    <s v="13-08-2026"/>
    <s v="Rafia Industrial S.A."/>
    <s v="Export Sales"/>
    <s v="HPBL4/E/83/26-27"/>
    <x v="5"/>
    <s v="HPBL4/E/83/26-27"/>
    <s v="13-08-2026"/>
    <s v="FG"/>
    <s v="FIBC Bags"/>
    <s v="FIBC Bags"/>
    <x v="0"/>
    <s v="FIBC Bags With UV With Liner"/>
    <n v="14900"/>
    <n v="3194789.7"/>
    <s v="PP WOVEN BIG BAGS/SACKS WITH LINER"/>
    <n v="4102521.5"/>
    <n v="0"/>
    <n v="0"/>
    <n v="0"/>
    <n v="0"/>
    <n v="18"/>
    <n v="575062.14599999995"/>
    <n v="0"/>
    <n v="575062.14599999995"/>
    <n v="0"/>
    <s v="N.A."/>
    <s v="KGS"/>
    <n v="63053200"/>
    <s v="$"/>
    <n v="94.3"/>
    <n v="14900"/>
  </r>
  <r>
    <s v="13-08-2026"/>
    <s v="Rafia Industrial S.A."/>
    <s v="Export Sales"/>
    <s v="HPBL4/E/83/26-27"/>
    <x v="5"/>
    <s v="HPBL4/E/83/26-27"/>
    <s v="13-08-2026"/>
    <s v="FG"/>
    <s v="FIBC Bags"/>
    <s v="FIBC Bags"/>
    <x v="0"/>
    <s v="FIBC Bags With UV Without Liner"/>
    <n v="4025"/>
    <n v="907731.8"/>
    <s v="PP WOVEN BIG BAGS/SACKS"/>
    <n v="0"/>
    <n v="0"/>
    <n v="0"/>
    <n v="0"/>
    <n v="0"/>
    <n v="18"/>
    <n v="163391.72399999999"/>
    <n v="0"/>
    <n v="163391.72399999999"/>
    <n v="0"/>
    <s v="N.A."/>
    <s v="KGS"/>
    <n v="63053200"/>
    <s v="$"/>
    <n v="94.3"/>
    <n v="4025"/>
  </r>
  <r>
    <s v="14-08-2026"/>
    <s v="Oswal Extrusion Ltd- KASEZ-Sales"/>
    <s v="SALES (FOREX)"/>
    <s v="HPBL4/E/84/26-27"/>
    <x v="1"/>
    <s v="HPBL4/E/84/26-27"/>
    <s v="14-08-2026"/>
    <s v="RM Consumables"/>
    <s v="Ink"/>
    <s v="Thinner"/>
    <x v="8"/>
    <s v="Thinner Vyankatesh Thinner"/>
    <n v="360"/>
    <n v="42480"/>
    <s v="Thinner Vyankatesh Thinner"/>
    <n v="42480"/>
    <m/>
    <n v="0"/>
    <m/>
    <n v="0"/>
    <m/>
    <n v="0"/>
    <n v="0"/>
    <n v="0"/>
    <n v="0"/>
    <s v="24AAACO7290H4ZB"/>
    <s v="KGS"/>
    <n v="38140011"/>
    <s v="Rs."/>
    <n v="1"/>
    <n v="360"/>
  </r>
  <r>
    <s v="14-08-2026"/>
    <s v="Plastene India ltd - Unit 1-Sales"/>
    <s v="Sales"/>
    <n v="220"/>
    <x v="0"/>
    <s v="HPBL4/D/220"/>
    <s v="14-08-2026"/>
    <s v="FG"/>
    <s v="FIBC Bags"/>
    <s v="FIBC Bags"/>
    <x v="0"/>
    <s v="FIBC Bags With UV Without Liner"/>
    <n v="14412"/>
    <n v="2677893.7200000002"/>
    <s v="95X95X110"/>
    <n v="4924553.43"/>
    <n v="9"/>
    <n v="241010.43"/>
    <n v="9"/>
    <n v="241010.43"/>
    <n v="0"/>
    <n v="0"/>
    <n v="0"/>
    <n v="482020.86"/>
    <n v="0"/>
    <s v="24AAACO3087C1ZT"/>
    <s v="KGS"/>
    <n v="63053200"/>
    <s v="Rs."/>
    <n v="1"/>
    <n v="14412"/>
  </r>
  <r>
    <s v="14-08-2026"/>
    <s v="Plastene India ltd - Unit 1-Sales"/>
    <s v="Sales"/>
    <n v="220"/>
    <x v="0"/>
    <s v="HPBL4/D/220"/>
    <s v="14-08-2026"/>
    <s v="FG"/>
    <s v="FIBC Bags"/>
    <s v="FIBC Bags"/>
    <x v="0"/>
    <s v="FIBC Bags With UV Without Liner"/>
    <n v="4836"/>
    <n v="903026.28"/>
    <s v="95X95X110"/>
    <n v="0"/>
    <n v="9"/>
    <n v="81272.37"/>
    <n v="9"/>
    <n v="81272.37"/>
    <n v="0"/>
    <n v="0"/>
    <n v="0"/>
    <n v="162544.74"/>
    <n v="0"/>
    <s v="24AAACO3087C1ZT"/>
    <s v="KGS"/>
    <n v="63053200"/>
    <s v="Rs."/>
    <n v="1"/>
    <n v="4836"/>
  </r>
  <r>
    <s v="14-08-2026"/>
    <s v="Plastene India ltd - Unit 1-Sales"/>
    <s v="Sales"/>
    <n v="220"/>
    <x v="0"/>
    <s v="HPBL4/D/220"/>
    <s v="14-08-2026"/>
    <s v="FG"/>
    <s v="FIBC Bags"/>
    <s v="FIBC Bags"/>
    <x v="0"/>
    <s v="FIBC Bags With UV Without Liner"/>
    <n v="3330"/>
    <n v="595970.1"/>
    <s v="95X95X110"/>
    <n v="0"/>
    <n v="9"/>
    <n v="53637.31"/>
    <n v="9"/>
    <n v="53637.31"/>
    <n v="0"/>
    <n v="0"/>
    <n v="0"/>
    <n v="107274.62"/>
    <n v="0"/>
    <s v="24AAACO3087C1ZT"/>
    <s v="KGS"/>
    <n v="63053200"/>
    <s v="Rs."/>
    <n v="1"/>
    <n v="3330"/>
  </r>
  <r>
    <s v="14-08-2026"/>
    <s v="Plastene India ltd - Unit 1-Sales"/>
    <s v="Sales"/>
    <n v="221"/>
    <x v="1"/>
    <s v="HPBL4/D/221"/>
    <s v="14-08-2026"/>
    <s v="Stores/Spares"/>
    <s v="MS Structure Items"/>
    <s v="Spares &amp; Stores"/>
    <x v="1"/>
    <s v="MS Pipe 4  C Class"/>
    <n v="312"/>
    <n v="14976"/>
    <s v="OLD/UUSED FABRIC ROLL PIPE"/>
    <n v="17656.7"/>
    <n v="9"/>
    <n v="1347.84"/>
    <n v="9"/>
    <n v="1347.84"/>
    <n v="0"/>
    <n v="0"/>
    <n v="0"/>
    <n v="2695.68"/>
    <n v="0"/>
    <s v="24AAACO3087C1ZT"/>
    <s v="KGS"/>
    <n v="73063090"/>
    <s v="Rs."/>
    <n v="1"/>
    <n v="312"/>
  </r>
  <r>
    <s v="16-08-2026"/>
    <s v="Plastene India ltd - Unit 1-Sales"/>
    <s v="Sales"/>
    <n v="222"/>
    <x v="1"/>
    <s v="HPBL4/D/222"/>
    <s v="16-08-2026"/>
    <s v="Stores/Spares"/>
    <s v="MS Structure Items"/>
    <s v="Spares &amp; Stores"/>
    <x v="1"/>
    <s v="MS Pipe 4  C Class"/>
    <n v="438"/>
    <n v="21024"/>
    <s v="OLD/USED FABRIC PIPE"/>
    <n v="24787.3"/>
    <n v="9"/>
    <n v="1892.16"/>
    <n v="9"/>
    <n v="1892.16"/>
    <n v="0"/>
    <n v="0"/>
    <n v="0"/>
    <n v="3784.32"/>
    <n v="0"/>
    <s v="24AAACO3087C1ZT"/>
    <s v="KGS"/>
    <n v="73063090"/>
    <s v="Rs."/>
    <n v="1"/>
    <n v="438"/>
  </r>
  <r>
    <s v="17-08-2026"/>
    <s v="Plastene India ltd - Unit 1-Sales"/>
    <s v="Sales"/>
    <n v="223"/>
    <x v="1"/>
    <s v="HPBL4/D/223"/>
    <s v="17-08-2026"/>
    <s v="FG"/>
    <s v="FIBC WIP"/>
    <s v="FIBC WIP"/>
    <x v="2"/>
    <s v="PP Webbing"/>
    <n v="47"/>
    <n v="6783.04"/>
    <s v="MW WEBBING"/>
    <n v="123612.14"/>
    <n v="9"/>
    <n v="610.47"/>
    <n v="9"/>
    <n v="610.47"/>
    <n v="0"/>
    <n v="0"/>
    <n v="0"/>
    <n v="1220.94"/>
    <n v="0"/>
    <s v="24AAACO3087C1ZT"/>
    <s v="KGS"/>
    <n v="39269080"/>
    <s v="Rs."/>
    <n v="1"/>
    <n v="47"/>
  </r>
  <r>
    <s v="17-08-2026"/>
    <s v="Plastene India ltd - Unit 1-Sales"/>
    <s v="Sales"/>
    <n v="223"/>
    <x v="1"/>
    <s v="HPBL4/D/223"/>
    <s v="17-08-2026"/>
    <s v="SF"/>
    <s v="PP/PE Fabric"/>
    <s v="PP UL Fabric"/>
    <x v="6"/>
    <s v="PP UL Fabric With UV"/>
    <n v="638"/>
    <n v="92714.16"/>
    <s v="MW 100 GSM"/>
    <n v="0"/>
    <n v="9"/>
    <n v="8344.27"/>
    <n v="9"/>
    <n v="8344.27"/>
    <n v="0"/>
    <n v="0"/>
    <n v="0"/>
    <n v="16688.54"/>
    <n v="0"/>
    <s v="24AAACO3087C1ZT"/>
    <s v="KGS"/>
    <n v="39269080"/>
    <s v="Rs."/>
    <n v="1"/>
    <n v="638"/>
  </r>
  <r>
    <s v="17-08-2026"/>
    <s v="Plastene India ltd - Unit 1-Sales"/>
    <s v="Sales"/>
    <n v="223"/>
    <x v="1"/>
    <s v="HPBL4/D/223"/>
    <s v="17-08-2026"/>
    <s v="SF"/>
    <s v="Webbing"/>
    <s v="PP Webbing"/>
    <x v="7"/>
    <s v="Webbing"/>
    <n v="36.299999999999997"/>
    <n v="5347.72"/>
    <s v="COLOUR WEBBING"/>
    <n v="0"/>
    <n v="9"/>
    <n v="481.29"/>
    <n v="9"/>
    <n v="481.29"/>
    <n v="0"/>
    <n v="0"/>
    <n v="0"/>
    <n v="962.58"/>
    <n v="0"/>
    <s v="24AAACO3087C1ZT"/>
    <s v="KGS"/>
    <n v="39269080"/>
    <s v="Rs."/>
    <n v="1"/>
    <n v="36.299999999999997"/>
  </r>
  <r>
    <s v="18-08-2026"/>
    <s v="K.P. Woven Pvt Ltd - Unit 3 -Sales"/>
    <s v="Export Sales"/>
    <s v="HPBL4/E/85/26-27"/>
    <x v="6"/>
    <s v="HPBL4/E/85/26-27"/>
    <s v="18-08-2026"/>
    <s v="FG"/>
    <s v="FIBC Bags"/>
    <s v="FIBC Bags"/>
    <x v="0"/>
    <s v="FIBC Bags With UV Without Liner"/>
    <n v="3734"/>
    <n v="721345.02"/>
    <s v="PP WOVEN BIG BAGS"/>
    <n v="720623.62"/>
    <n v="0"/>
    <n v="0"/>
    <n v="0"/>
    <n v="0"/>
    <n v="0"/>
    <n v="0"/>
    <n v="0"/>
    <n v="0"/>
    <n v="0"/>
    <s v="24AAECK6307M2ZE"/>
    <s v="KGS"/>
    <n v="63053200"/>
    <s v="$"/>
    <n v="94.3"/>
    <n v="3734"/>
  </r>
  <r>
    <s v="18-08-2026"/>
    <s v="K.P. Woven Pvt Ltd-Sales"/>
    <s v="Sales"/>
    <s v="HPBL4/ME/15"/>
    <x v="3"/>
    <s v="HPBL4/ME/15"/>
    <s v="18-08-2026"/>
    <s v="FG"/>
    <s v="FIBC Bags"/>
    <s v="FIBC Bags"/>
    <x v="0"/>
    <s v="FIBC Bags With UV Without Liner"/>
    <n v="882"/>
    <n v="167394.78"/>
    <s v="95X95X110"/>
    <n v="3074602.08"/>
    <n v="0.05"/>
    <n v="83.7"/>
    <n v="0.05"/>
    <n v="83.7"/>
    <n v="0"/>
    <n v="0"/>
    <n v="0"/>
    <n v="167.4"/>
    <n v="0"/>
    <s v="24AAECK6307M1ZF"/>
    <s v="KGS"/>
    <n v="63053200"/>
    <s v="Rs."/>
    <n v="1"/>
    <n v="882"/>
  </r>
  <r>
    <s v="18-08-2026"/>
    <s v="K.P. Woven Pvt Ltd-Sales"/>
    <s v="Sales"/>
    <s v="HPBL4/ME/15"/>
    <x v="3"/>
    <s v="HPBL4/ME/15"/>
    <s v="18-08-2026"/>
    <s v="FG"/>
    <s v="FIBC Bags"/>
    <s v="FIBC Bags"/>
    <x v="0"/>
    <s v="FIBC Bags With UV Without Liner"/>
    <n v="4473"/>
    <n v="842757.93"/>
    <s v="95X95X110"/>
    <n v="0"/>
    <n v="0.05"/>
    <n v="421.38"/>
    <n v="0.05"/>
    <n v="421.38"/>
    <n v="0"/>
    <n v="0"/>
    <n v="0"/>
    <n v="842.76"/>
    <n v="0"/>
    <s v="24AAECK6307M1ZF"/>
    <s v="KGS"/>
    <n v="63053200"/>
    <s v="Rs."/>
    <n v="1"/>
    <n v="4473"/>
  </r>
  <r>
    <s v="18-08-2026"/>
    <s v="K.P. Woven Pvt Ltd-Sales"/>
    <s v="Sales"/>
    <s v="HPBL4/ME/15"/>
    <x v="3"/>
    <s v="HPBL4/ME/15"/>
    <s v="18-08-2026"/>
    <s v="FG"/>
    <s v="FIBC Bags"/>
    <s v="FIBC Bags"/>
    <x v="0"/>
    <s v="FIBC Bags With UV Without Liner"/>
    <n v="942"/>
    <n v="213127.5"/>
    <s v="95X95X110"/>
    <n v="0"/>
    <n v="0.05"/>
    <n v="106.56"/>
    <n v="0.05"/>
    <n v="106.56"/>
    <n v="0"/>
    <n v="0"/>
    <n v="0"/>
    <n v="213.12"/>
    <n v="0"/>
    <s v="24AAECK6307M1ZF"/>
    <s v="KGS"/>
    <n v="63053200"/>
    <s v="Rs."/>
    <n v="1"/>
    <n v="942"/>
  </r>
  <r>
    <s v="18-08-2026"/>
    <s v="K.P. Woven Pvt Ltd-Sales"/>
    <s v="Sales"/>
    <s v="HPBL4/ME/15"/>
    <x v="3"/>
    <s v="HPBL4/ME/15"/>
    <s v="18-08-2026"/>
    <s v="FG"/>
    <s v="FIBC Bags"/>
    <s v="FIBC Bags"/>
    <x v="0"/>
    <s v="FIBC Bags With UV Without Liner"/>
    <n v="1330"/>
    <n v="240610.3"/>
    <s v="95X95X110"/>
    <n v="0"/>
    <n v="0.05"/>
    <n v="120.31"/>
    <n v="0.05"/>
    <n v="120.31"/>
    <n v="0"/>
    <n v="0"/>
    <n v="0"/>
    <n v="240.62"/>
    <n v="0"/>
    <s v="24AAECK6307M1ZF"/>
    <s v="KGS"/>
    <n v="63053200"/>
    <s v="Rs."/>
    <n v="1"/>
    <n v="1330"/>
  </r>
  <r>
    <s v="18-08-2026"/>
    <s v="K.P. Woven Pvt Ltd-Sales"/>
    <s v="Sales"/>
    <s v="HPBL4/ME/15"/>
    <x v="3"/>
    <s v="HPBL4/ME/15"/>
    <s v="18-08-2026"/>
    <s v="FG"/>
    <s v="FIBC Bags"/>
    <s v="FIBC Bags"/>
    <x v="0"/>
    <s v="FIBC Bags With UV Without Liner"/>
    <n v="8539"/>
    <n v="1610711.57"/>
    <s v="95X95X110"/>
    <n v="0"/>
    <n v="0.05"/>
    <n v="805.36"/>
    <n v="0.05"/>
    <n v="805.36"/>
    <n v="0"/>
    <n v="0"/>
    <n v="0"/>
    <n v="1610.72"/>
    <n v="0"/>
    <s v="24AAECK6307M1ZF"/>
    <s v="KGS"/>
    <n v="63053200"/>
    <s v="Rs."/>
    <n v="1"/>
    <n v="8539"/>
  </r>
  <r>
    <s v="18-08-2026"/>
    <s v="K.P. Woven Pvt Ltd-Sales"/>
    <s v="Sales"/>
    <s v="HPBL4/ME/16"/>
    <x v="3"/>
    <s v="HPBL4/ME/16"/>
    <s v="18-08-2026"/>
    <s v="FG"/>
    <s v="Small Bags"/>
    <s v="PP Bags"/>
    <x v="5"/>
    <s v="PP UL Bags Without UV"/>
    <n v="3198.4"/>
    <n v="522394.67"/>
    <s v="55X95CM"/>
    <n v="522394.67"/>
    <n v="0.05"/>
    <n v="261.2"/>
    <n v="0.05"/>
    <n v="261.2"/>
    <n v="0"/>
    <n v="0"/>
    <n v="0"/>
    <n v="522.4"/>
    <n v="0"/>
    <s v="24AAECK6307M1ZF"/>
    <s v="KGS"/>
    <n v="39232999"/>
    <s v="Rs."/>
    <n v="1"/>
    <n v="3198.4"/>
  </r>
  <r>
    <s v="18-08-2026"/>
    <s v="K.P. Woven Pvt Ltd-Sales"/>
    <s v="Sales"/>
    <s v="HPBL4/ME/17"/>
    <x v="3"/>
    <s v="HPBL4/ME/17"/>
    <s v="18-08-2026"/>
    <s v="FG"/>
    <s v="FIBC Bags"/>
    <s v="FIBC Bags"/>
    <x v="0"/>
    <s v="FIBC Bags With UV Without Liner"/>
    <n v="4658"/>
    <n v="860192.86"/>
    <s v="95X95X110"/>
    <n v="3616964.8"/>
    <n v="0.05"/>
    <n v="430.1"/>
    <n v="0.05"/>
    <n v="430.1"/>
    <n v="0"/>
    <n v="0"/>
    <n v="0"/>
    <n v="860.2"/>
    <n v="0"/>
    <s v="24AAECK6307M1ZF"/>
    <s v="KGS"/>
    <n v="63053200"/>
    <s v="Rs."/>
    <n v="1"/>
    <n v="4658"/>
  </r>
  <r>
    <s v="18-08-2026"/>
    <s v="K.P. Woven Pvt Ltd-Sales"/>
    <s v="Sales"/>
    <s v="HPBL4/ME/17"/>
    <x v="3"/>
    <s v="HPBL4/ME/17"/>
    <s v="18-08-2026"/>
    <s v="FG"/>
    <s v="FIBC Bags"/>
    <s v="FIBC Bags"/>
    <x v="0"/>
    <s v="FIBC Bags With UV Without Liner"/>
    <n v="5240"/>
    <n v="912074.4"/>
    <s v="95X95X110"/>
    <n v="0"/>
    <n v="0.05"/>
    <n v="456.04"/>
    <n v="0.05"/>
    <n v="456.04"/>
    <n v="0"/>
    <n v="0"/>
    <n v="0"/>
    <n v="912.08"/>
    <n v="0"/>
    <s v="24AAECK6307M1ZF"/>
    <s v="KGS"/>
    <n v="63053200"/>
    <s v="Rs."/>
    <n v="1"/>
    <n v="5240"/>
  </r>
  <r>
    <s v="18-08-2026"/>
    <s v="K.P. Woven Pvt Ltd-Sales"/>
    <s v="Sales"/>
    <s v="HPBL4/ME/17"/>
    <x v="3"/>
    <s v="HPBL4/ME/17"/>
    <s v="18-08-2026"/>
    <s v="FG"/>
    <s v="FIBC Bags"/>
    <s v="FIBC Bags"/>
    <x v="0"/>
    <s v="FIBC Bags With UV Without Liner"/>
    <n v="10266"/>
    <n v="1844697.54"/>
    <s v="95X95X110"/>
    <n v="0"/>
    <n v="0.05"/>
    <n v="922.35"/>
    <n v="0.05"/>
    <n v="922.35"/>
    <n v="0"/>
    <n v="0"/>
    <n v="0"/>
    <n v="1844.7"/>
    <n v="0"/>
    <s v="24AAECK6307M1ZF"/>
    <s v="KGS"/>
    <n v="63053200"/>
    <s v="Rs."/>
    <n v="1"/>
    <n v="10266"/>
  </r>
  <r>
    <s v="18-08-2026"/>
    <s v="Oswal Extrusion Ltd- KASEZ-Sales"/>
    <s v="SALES (FOREX)"/>
    <s v="HPBL4/E/86/26-27"/>
    <x v="4"/>
    <s v="HPBL4/E/86/26-27"/>
    <s v="18-08-2026"/>
    <s v="FG"/>
    <s v="FIBC WIP"/>
    <s v="FIBC WIP"/>
    <x v="2"/>
    <s v="PP Woven Fabric"/>
    <n v="155"/>
    <n v="21681.4"/>
    <s v="COLOUR FABRIC"/>
    <n v="21681.4"/>
    <m/>
    <n v="0"/>
    <m/>
    <n v="0"/>
    <m/>
    <n v="0"/>
    <n v="0"/>
    <n v="0"/>
    <n v="0"/>
    <s v="24AAACO7290H4ZB"/>
    <s v="KGS"/>
    <n v="39269080"/>
    <s v="Rs."/>
    <n v="1"/>
    <n v="155"/>
  </r>
  <r>
    <s v="18-08-2026"/>
    <s v="Plastene India ltd - Unit 1-Sales"/>
    <s v="Sales"/>
    <n v="224"/>
    <x v="0"/>
    <s v="HPBL4/D/224"/>
    <s v="18-08-2026"/>
    <s v="FG"/>
    <s v="FIBC Bags"/>
    <s v="FIBC Bags"/>
    <x v="0"/>
    <s v="FIBC Bags With UV Without Liner"/>
    <n v="392"/>
    <n v="74327.12"/>
    <s v="90X90X110"/>
    <n v="3488744.51"/>
    <n v="9"/>
    <n v="6689.44"/>
    <n v="9"/>
    <n v="6689.44"/>
    <n v="0"/>
    <n v="0"/>
    <n v="0"/>
    <n v="13378.88"/>
    <n v="0"/>
    <s v="24AAACO3087C1ZT"/>
    <s v="KGS"/>
    <n v="63053200"/>
    <s v="Rs."/>
    <n v="1"/>
    <n v="392"/>
  </r>
  <r>
    <s v="18-08-2026"/>
    <s v="Plastene India ltd - Unit 1-Sales"/>
    <s v="Sales"/>
    <n v="224"/>
    <x v="0"/>
    <s v="HPBL4/D/224"/>
    <s v="18-08-2026"/>
    <s v="FG"/>
    <s v="FIBC Bags"/>
    <s v="FIBC Bags"/>
    <x v="0"/>
    <s v="FIBC Bags With UV Without Liner"/>
    <n v="7388"/>
    <n v="1480776.84"/>
    <s v="80X80X90"/>
    <n v="0"/>
    <n v="9"/>
    <n v="133269.92000000001"/>
    <n v="9"/>
    <n v="133269.92000000001"/>
    <n v="0"/>
    <n v="0"/>
    <n v="0"/>
    <n v="266539.84000000003"/>
    <n v="0"/>
    <s v="24AAACO3087C1ZT"/>
    <s v="KGS"/>
    <n v="63053200"/>
    <s v="Rs."/>
    <n v="1"/>
    <n v="7388"/>
  </r>
  <r>
    <s v="18-08-2026"/>
    <s v="Plastene India ltd - Unit 1-Sales"/>
    <s v="Sales"/>
    <n v="224"/>
    <x v="0"/>
    <s v="HPBL4/D/224"/>
    <s v="18-08-2026"/>
    <s v="FG"/>
    <s v="FIBC Bags"/>
    <s v="FIBC Bags"/>
    <x v="0"/>
    <s v="FIBC Bags With UV Without Liner"/>
    <n v="7162"/>
    <n v="1403966.86"/>
    <s v="80X80X90"/>
    <n v="0"/>
    <n v="9"/>
    <n v="126357.02"/>
    <n v="9"/>
    <n v="126357.02"/>
    <n v="0"/>
    <n v="0"/>
    <n v="0"/>
    <n v="252714.04"/>
    <n v="0"/>
    <s v="24AAACO3087C1ZT"/>
    <s v="KGS"/>
    <n v="63053200"/>
    <s v="Rs."/>
    <n v="1"/>
    <n v="7162"/>
  </r>
  <r>
    <s v="18-08-2026"/>
    <s v="Plastene India ltd - Unit 1-Sales"/>
    <s v="Sales"/>
    <n v="225"/>
    <x v="1"/>
    <s v="HPBL4/D/225"/>
    <s v="18-08-2026"/>
    <s v="Stores/Spares"/>
    <s v="MS Structure Items"/>
    <s v="Spares &amp; Stores"/>
    <x v="1"/>
    <s v="MS Pipe 4  C Class"/>
    <n v="381"/>
    <n v="18288"/>
    <s v="OLD/USED FABRIC ROLL"/>
    <n v="21561.55"/>
    <n v="9"/>
    <n v="1645.92"/>
    <n v="9"/>
    <n v="1645.92"/>
    <n v="0"/>
    <n v="0"/>
    <n v="0"/>
    <n v="3291.84"/>
    <n v="0"/>
    <s v="24AAACO3087C1ZT"/>
    <s v="KGS"/>
    <n v="73063090"/>
    <s v="Rs."/>
    <n v="1"/>
    <n v="381"/>
  </r>
  <r>
    <s v="19-08-2026"/>
    <s v="K.P. Woven Pvt Ltd-Sales"/>
    <s v="Sales"/>
    <s v="HPBL4/ME/18"/>
    <x v="3"/>
    <s v="HPBL4/ME/18"/>
    <s v="19-08-2026"/>
    <s v="FG"/>
    <s v="FIBC Bags"/>
    <s v="FIBC Bags"/>
    <x v="0"/>
    <s v="FIBC Bags With UV Without Liner"/>
    <n v="1469"/>
    <n v="263788.33"/>
    <s v="91X91X100"/>
    <n v="3438155.49"/>
    <n v="0.05"/>
    <n v="131.88999999999999"/>
    <n v="0.05"/>
    <n v="131.88999999999999"/>
    <n v="0"/>
    <n v="0"/>
    <n v="0"/>
    <n v="263.77999999999997"/>
    <n v="0"/>
    <s v="24AAECK6307M1ZF"/>
    <s v="KGS"/>
    <n v="63053200"/>
    <s v="Rs."/>
    <n v="1"/>
    <n v="1469"/>
  </r>
  <r>
    <s v="19-08-2026"/>
    <s v="K.P. Woven Pvt Ltd-Sales"/>
    <s v="Sales"/>
    <s v="HPBL4/ME/18"/>
    <x v="3"/>
    <s v="HPBL4/ME/18"/>
    <s v="19-08-2026"/>
    <s v="FG"/>
    <s v="FIBC Bags"/>
    <s v="FIBC Bags"/>
    <x v="0"/>
    <s v="FIBC Bags With UV Without Liner"/>
    <n v="3142"/>
    <n v="561443.98"/>
    <s v="95X95X110"/>
    <n v="0"/>
    <n v="0.05"/>
    <n v="280.72000000000003"/>
    <n v="0.05"/>
    <n v="280.72000000000003"/>
    <n v="0"/>
    <n v="0"/>
    <n v="0"/>
    <n v="561.44000000000005"/>
    <n v="0"/>
    <s v="24AAECK6307M1ZF"/>
    <s v="KGS"/>
    <n v="63053200"/>
    <s v="Rs."/>
    <n v="1"/>
    <n v="3142"/>
  </r>
  <r>
    <s v="19-08-2026"/>
    <s v="K.P. Woven Pvt Ltd-Sales"/>
    <s v="Sales"/>
    <s v="HPBL4/ME/18"/>
    <x v="3"/>
    <s v="HPBL4/ME/18"/>
    <s v="19-08-2026"/>
    <s v="FG"/>
    <s v="FIBC Bags"/>
    <s v="FIBC Bags"/>
    <x v="0"/>
    <s v="FIBC Bags With UV Without Liner"/>
    <n v="1065"/>
    <n v="196737.45"/>
    <s v="95X95X110"/>
    <n v="0"/>
    <n v="0.05"/>
    <n v="98.37"/>
    <n v="0.05"/>
    <n v="98.37"/>
    <n v="0"/>
    <n v="0"/>
    <n v="0"/>
    <n v="196.74"/>
    <n v="0"/>
    <s v="24AAECK6307M1ZF"/>
    <s v="KGS"/>
    <n v="63053200"/>
    <s v="Rs."/>
    <n v="1"/>
    <n v="1065"/>
  </r>
  <r>
    <s v="19-08-2026"/>
    <s v="K.P. Woven Pvt Ltd-Sales"/>
    <s v="Sales"/>
    <s v="HPBL4/ME/18"/>
    <x v="3"/>
    <s v="HPBL4/ME/18"/>
    <s v="19-08-2026"/>
    <s v="FG"/>
    <s v="FIBC Bags"/>
    <s v="FIBC Bags"/>
    <x v="0"/>
    <s v="FIBC Bags With UV Without Liner"/>
    <n v="1195"/>
    <n v="219151.05"/>
    <s v="80X80X90"/>
    <n v="0"/>
    <n v="0.05"/>
    <n v="109.58"/>
    <n v="0.05"/>
    <n v="109.58"/>
    <n v="0"/>
    <n v="0"/>
    <n v="0"/>
    <n v="219.16"/>
    <n v="0"/>
    <s v="24AAECK6307M1ZF"/>
    <s v="KGS"/>
    <n v="63053200"/>
    <s v="Rs."/>
    <n v="1"/>
    <n v="1195"/>
  </r>
  <r>
    <s v="19-08-2026"/>
    <s v="K.P. Woven Pvt Ltd-Sales"/>
    <s v="Sales"/>
    <s v="HPBL4/ME/18"/>
    <x v="3"/>
    <s v="HPBL4/ME/18"/>
    <s v="19-08-2026"/>
    <s v="FG"/>
    <s v="FIBC Bags"/>
    <s v="FIBC Bags"/>
    <x v="0"/>
    <s v="FIBC Bags With UV Without Liner"/>
    <n v="1517"/>
    <n v="331267.28999999998"/>
    <s v="60X60X70"/>
    <n v="0"/>
    <n v="0.05"/>
    <n v="165.63"/>
    <n v="0.05"/>
    <n v="165.63"/>
    <n v="0"/>
    <n v="0"/>
    <n v="0"/>
    <n v="331.26"/>
    <n v="0"/>
    <s v="24AAECK6307M1ZF"/>
    <s v="KGS"/>
    <n v="63053200"/>
    <s v="Rs."/>
    <n v="1"/>
    <n v="1517"/>
  </r>
  <r>
    <s v="19-08-2026"/>
    <s v="K.P. Woven Pvt Ltd-Sales"/>
    <s v="Sales"/>
    <s v="HPBL4/ME/18"/>
    <x v="3"/>
    <s v="HPBL4/ME/18"/>
    <s v="19-08-2026"/>
    <s v="FG"/>
    <s v="FIBC Bags"/>
    <s v="FIBC Bags"/>
    <x v="0"/>
    <s v="FIBC Bags With UV Without Liner"/>
    <n v="2897"/>
    <n v="578791.63"/>
    <s v="60X60X70"/>
    <n v="0"/>
    <n v="0.05"/>
    <n v="289.39999999999998"/>
    <n v="0.05"/>
    <n v="289.39999999999998"/>
    <n v="0"/>
    <n v="0"/>
    <n v="0"/>
    <n v="578.79999999999995"/>
    <n v="0"/>
    <s v="24AAECK6307M1ZF"/>
    <s v="KGS"/>
    <n v="63053200"/>
    <s v="Rs."/>
    <n v="1"/>
    <n v="2897"/>
  </r>
  <r>
    <s v="19-08-2026"/>
    <s v="K.P. Woven Pvt Ltd-Sales"/>
    <s v="Sales"/>
    <s v="HPBL4/ME/18"/>
    <x v="3"/>
    <s v="HPBL4/ME/18"/>
    <s v="19-08-2026"/>
    <s v="FG"/>
    <s v="FIBC Bags"/>
    <s v="FIBC Bags"/>
    <x v="0"/>
    <s v="FIBC Bags With UV Without Liner"/>
    <n v="7492"/>
    <n v="1286975.76"/>
    <s v="95X95X110"/>
    <n v="0"/>
    <n v="0.05"/>
    <n v="643.49"/>
    <n v="0.05"/>
    <n v="643.49"/>
    <n v="0"/>
    <n v="0"/>
    <n v="0"/>
    <n v="1286.98"/>
    <n v="0"/>
    <s v="24AAECK6307M1ZF"/>
    <s v="KGS"/>
    <n v="63053200"/>
    <s v="Rs."/>
    <n v="1"/>
    <n v="7492"/>
  </r>
  <r>
    <s v="19-08-2026"/>
    <s v="Plastene India ltd - Unit 1-Sales"/>
    <s v="Sales"/>
    <n v="226"/>
    <x v="2"/>
    <s v="HPBL4/D/226"/>
    <s v="19-08-2026"/>
    <s v="SF"/>
    <s v="Wastage/Scrap"/>
    <s v="Wastage/Scrap"/>
    <x v="4"/>
    <s v="PP/HD Wastage/Scrap"/>
    <n v="4447"/>
    <n v="53364"/>
    <s v="PP/HD Wastage/Scrap"/>
    <n v="64228.91"/>
    <n v="9"/>
    <n v="4802.76"/>
    <n v="9"/>
    <n v="4802.76"/>
    <n v="0"/>
    <n v="0"/>
    <n v="0"/>
    <n v="9605.52"/>
    <n v="1259.3900000000001"/>
    <s v="24AAACO3087C1ZT"/>
    <s v="KGS"/>
    <n v="39159029"/>
    <s v="Rs."/>
    <n v="1"/>
    <n v="4447"/>
  </r>
  <r>
    <s v="19-08-2026"/>
    <s v="Plastene India ltd - Unit 1-Sales"/>
    <s v="Sales"/>
    <n v="227"/>
    <x v="1"/>
    <s v="HPBL4/D/227"/>
    <s v="19-08-2026"/>
    <s v="FG"/>
    <s v="FIBC WIP"/>
    <s v="FIBC WIP"/>
    <x v="2"/>
    <s v="PP Woven Fabric"/>
    <n v="1103"/>
    <n v="30884"/>
    <s v="DEAD STOCK FABRIC RP PURPOSE"/>
    <n v="36412.239999999998"/>
    <n v="9"/>
    <n v="2779.56"/>
    <n v="9"/>
    <n v="2779.56"/>
    <n v="0"/>
    <n v="0"/>
    <n v="0"/>
    <n v="5559.12"/>
    <n v="0"/>
    <s v="24AAACO3087C1ZT"/>
    <s v="KGS"/>
    <n v="39269080"/>
    <s v="Rs."/>
    <n v="1"/>
    <n v="1103"/>
  </r>
  <r>
    <s v="19-08-2026"/>
    <s v="Plastene India ltd - Unit 1-Sales"/>
    <s v="Sales"/>
    <n v="228"/>
    <x v="1"/>
    <s v="HPBL4/D/228"/>
    <s v="19-08-2026"/>
    <s v="Stores/Spares"/>
    <s v="MS Structure Items"/>
    <s v="Spares &amp; Stores"/>
    <x v="1"/>
    <s v="MS Pipe 4  C Class"/>
    <n v="459"/>
    <n v="22032"/>
    <s v="OLD/USED FABRIC ROLL PIPE"/>
    <n v="25975.73"/>
    <n v="9"/>
    <n v="1982.88"/>
    <n v="9"/>
    <n v="1982.88"/>
    <n v="0"/>
    <n v="0"/>
    <n v="0"/>
    <n v="3965.76"/>
    <n v="0"/>
    <s v="24AAACO3087C1ZT"/>
    <s v="KGS"/>
    <n v="73063090"/>
    <s v="Rs."/>
    <n v="1"/>
    <n v="459"/>
  </r>
  <r>
    <s v="20-08-2026"/>
    <s v="Agroszemek Kft"/>
    <s v="Export Sales"/>
    <s v="HPBL4/E/87/26-27"/>
    <x v="5"/>
    <s v="HPBL4/E/87/26-27"/>
    <s v="20-08-2026"/>
    <s v="FG"/>
    <s v="FIBC Bags"/>
    <s v="FIBC Bags"/>
    <x v="0"/>
    <s v="FIBC Bags With UV With Liner"/>
    <n v="18274"/>
    <n v="4062896.64"/>
    <s v="PP WOVEN BIG BAGS/SACKS WITH LINER"/>
    <n v="4062896.64"/>
    <n v="0"/>
    <n v="0"/>
    <n v="0"/>
    <n v="0"/>
    <n v="18"/>
    <n v="731321.39520000003"/>
    <n v="0"/>
    <n v="731321.39520000003"/>
    <n v="0"/>
    <s v="N.A."/>
    <s v="KGS"/>
    <n v="63053200"/>
    <s v="$"/>
    <n v="94.3"/>
    <n v="18274"/>
  </r>
  <r>
    <s v="20-08-2026"/>
    <s v="Plastene India ltd - Unit 1-Sales"/>
    <s v="Sales"/>
    <n v="229"/>
    <x v="1"/>
    <s v="HPBL4/D/229"/>
    <s v="20-08-2026"/>
    <s v="SF"/>
    <s v="Yarn All"/>
    <s v="PP Yarn"/>
    <x v="9"/>
    <s v="PP Fibrillated Tape Twisted 3200 Blue"/>
    <n v="108.8"/>
    <n v="17342.72"/>
    <s v="PP Fibrillated Tape Twisted 3000 Blue"/>
    <n v="18192.52"/>
    <n v="2.5"/>
    <n v="433.57"/>
    <n v="2.5"/>
    <n v="433.57"/>
    <n v="0"/>
    <n v="0"/>
    <n v="0"/>
    <n v="867.14"/>
    <n v="0"/>
    <s v="24AAACO3087C1ZT"/>
    <s v="KGS"/>
    <n v="54026930"/>
    <s v="Rs."/>
    <n v="1"/>
    <n v="108.8"/>
  </r>
  <r>
    <s v="20-08-2026"/>
    <s v="Plastene India ltd - Unit 1-Sales"/>
    <s v="Sales"/>
    <n v="230"/>
    <x v="2"/>
    <s v="HPBL4/D/230"/>
    <s v="20-08-2026"/>
    <s v="SF"/>
    <s v="Wastage/Scrap"/>
    <s v="Wastage/Scrap"/>
    <x v="4"/>
    <s v="PP/HD Wastage/Scrap"/>
    <n v="4662"/>
    <n v="55944"/>
    <s v="PP/HD Wastage/Scrap"/>
    <n v="67334.2"/>
    <n v="9"/>
    <n v="5034.96"/>
    <n v="9"/>
    <n v="5034.96"/>
    <n v="0"/>
    <n v="0"/>
    <n v="0"/>
    <n v="10069.92"/>
    <n v="1320.28"/>
    <s v="24AAACO3087C1ZT"/>
    <s v="KGS"/>
    <n v="39159029"/>
    <s v="Rs."/>
    <n v="1"/>
    <n v="4662"/>
  </r>
  <r>
    <s v="20-08-2026"/>
    <s v="Plastene India ltd - Unit 1-Sales"/>
    <s v="Sales"/>
    <n v="231"/>
    <x v="1"/>
    <s v="HPBL4/D/231"/>
    <s v="20-08-2026"/>
    <s v="FG"/>
    <s v="FIBC WIP"/>
    <s v="FIBC WIP"/>
    <x v="2"/>
    <s v="PP Woven Fabric"/>
    <n v="838"/>
    <n v="23464"/>
    <s v="DEAD STOCK FABRIC RP PURPOSE"/>
    <n v="27664.06"/>
    <n v="9"/>
    <n v="2111.7600000000002"/>
    <n v="9"/>
    <n v="2111.7600000000002"/>
    <n v="0"/>
    <n v="0"/>
    <n v="0"/>
    <n v="4223.5200000000004"/>
    <n v="0"/>
    <s v="24AAACO3087C1ZT"/>
    <s v="KGS"/>
    <n v="39269080"/>
    <s v="Rs."/>
    <n v="1"/>
    <n v="838"/>
  </r>
  <r>
    <s v="20-08-2026"/>
    <s v="Plastene India ltd - Unit 1-Sales"/>
    <s v="Sales"/>
    <n v="232"/>
    <x v="1"/>
    <s v="HPBL4/D/232"/>
    <s v="20-08-2026"/>
    <s v="Stores/Spares"/>
    <s v="MS Structure Items"/>
    <s v="Spares &amp; Stores"/>
    <x v="1"/>
    <s v="MS Pipe 4  C Class"/>
    <n v="488"/>
    <n v="23424"/>
    <s v="OLD/USED FABRIC ROLL PIPE"/>
    <n v="27616.9"/>
    <n v="9"/>
    <n v="2108.16"/>
    <n v="9"/>
    <n v="2108.16"/>
    <n v="0"/>
    <n v="0"/>
    <n v="0"/>
    <n v="4216.32"/>
    <n v="0"/>
    <s v="24AAACO3087C1ZT"/>
    <s v="KGS"/>
    <n v="73063090"/>
    <s v="Rs."/>
    <n v="1"/>
    <n v="488"/>
  </r>
  <r>
    <s v="21-08-2026"/>
    <s v="Plastene India ltd - Unit 1-Sales"/>
    <s v="Sales"/>
    <n v="233"/>
    <x v="0"/>
    <s v="HPBL4/D/233"/>
    <s v="21-08-2026"/>
    <s v="FG"/>
    <s v="FIBC Bags"/>
    <s v="FIBC Bags"/>
    <x v="0"/>
    <s v="FIBC Bags With UV Without Liner"/>
    <n v="2226"/>
    <n v="530144.16"/>
    <s v="95X95X110"/>
    <n v="5507405.1200000001"/>
    <n v="9"/>
    <n v="47712.97"/>
    <n v="9"/>
    <n v="47712.97"/>
    <n v="0"/>
    <n v="0"/>
    <n v="0"/>
    <n v="95425.94"/>
    <n v="0"/>
    <s v="24AAACO3087C1ZT"/>
    <s v="KGS"/>
    <n v="63053200"/>
    <s v="Rs."/>
    <n v="1"/>
    <n v="2226"/>
  </r>
  <r>
    <s v="21-08-2026"/>
    <s v="Plastene India ltd - Unit 1-Sales"/>
    <s v="Sales"/>
    <n v="233"/>
    <x v="0"/>
    <s v="HPBL4/D/233"/>
    <s v="21-08-2026"/>
    <s v="FG"/>
    <s v="FIBC Bags"/>
    <s v="FIBC Bags"/>
    <x v="0"/>
    <s v="FIBC Bags With UV Without Liner"/>
    <n v="2697"/>
    <n v="636357.15"/>
    <s v="95X95X110"/>
    <n v="0"/>
    <n v="9"/>
    <n v="57272.14"/>
    <n v="9"/>
    <n v="57272.14"/>
    <n v="0"/>
    <n v="0"/>
    <n v="0"/>
    <n v="114544.28"/>
    <n v="0"/>
    <s v="24AAACO3087C1ZT"/>
    <s v="KGS"/>
    <n v="63053200"/>
    <s v="Rs."/>
    <n v="1"/>
    <n v="2697"/>
  </r>
  <r>
    <s v="21-08-2026"/>
    <s v="Plastene India ltd - Unit 1-Sales"/>
    <s v="Sales"/>
    <n v="233"/>
    <x v="0"/>
    <s v="HPBL4/D/233"/>
    <s v="21-08-2026"/>
    <s v="FG"/>
    <s v="FIBC Bags"/>
    <s v="FIBC Bags"/>
    <x v="0"/>
    <s v="FIBC Bags With UV Without Liner"/>
    <n v="2708"/>
    <n v="590777.28"/>
    <s v="95X95X110"/>
    <n v="0"/>
    <n v="9"/>
    <n v="53169.96"/>
    <n v="9"/>
    <n v="53169.96"/>
    <n v="0"/>
    <n v="0"/>
    <n v="0"/>
    <n v="106339.92"/>
    <n v="0"/>
    <s v="24AAACO3087C1ZT"/>
    <s v="KGS"/>
    <n v="63053200"/>
    <s v="Rs."/>
    <n v="1"/>
    <n v="2708"/>
  </r>
  <r>
    <s v="21-08-2026"/>
    <s v="Plastene India ltd - Unit 1-Sales"/>
    <s v="Sales"/>
    <n v="233"/>
    <x v="0"/>
    <s v="HPBL4/D/233"/>
    <s v="21-08-2026"/>
    <s v="FG"/>
    <s v="FIBC Bags"/>
    <s v="FIBC Bags"/>
    <x v="0"/>
    <s v="FIBC Bags With UV Without Liner"/>
    <n v="4546"/>
    <n v="941385.68"/>
    <s v="95X95X110"/>
    <n v="0"/>
    <n v="9"/>
    <n v="84724.71"/>
    <n v="9"/>
    <n v="84724.71"/>
    <n v="0"/>
    <n v="0"/>
    <n v="0"/>
    <n v="169449.42"/>
    <n v="0"/>
    <s v="24AAACO3087C1ZT"/>
    <s v="KGS"/>
    <n v="63053200"/>
    <s v="Rs."/>
    <n v="1"/>
    <n v="4546"/>
  </r>
  <r>
    <s v="21-08-2026"/>
    <s v="Plastene India ltd - Unit 1-Sales"/>
    <s v="Sales"/>
    <n v="233"/>
    <x v="0"/>
    <s v="HPBL4/D/233"/>
    <s v="21-08-2026"/>
    <s v="FG"/>
    <s v="FIBC Bags"/>
    <s v="FIBC Bags"/>
    <x v="0"/>
    <s v="FIBC Bags With UV Without Liner"/>
    <n v="1262"/>
    <n v="275179.09999999998"/>
    <s v="95X95X110"/>
    <n v="0"/>
    <n v="9"/>
    <n v="24766.12"/>
    <n v="9"/>
    <n v="24766.12"/>
    <n v="0"/>
    <n v="0"/>
    <n v="0"/>
    <n v="49532.24"/>
    <n v="0"/>
    <s v="24AAACO3087C1ZT"/>
    <s v="KGS"/>
    <n v="63053200"/>
    <s v="Rs."/>
    <n v="1"/>
    <n v="1262"/>
  </r>
  <r>
    <s v="21-08-2026"/>
    <s v="Plastene India ltd - Unit 1-Sales"/>
    <s v="Sales"/>
    <n v="233"/>
    <x v="0"/>
    <s v="HPBL4/D/233"/>
    <s v="21-08-2026"/>
    <s v="FG"/>
    <s v="FIBC Bags"/>
    <s v="FIBC Bags"/>
    <x v="0"/>
    <s v="FIBC Bags With UV Without Liner"/>
    <n v="3511"/>
    <n v="729024.04"/>
    <s v="95X95X110"/>
    <n v="0"/>
    <n v="9"/>
    <n v="65612.160000000003"/>
    <n v="9"/>
    <n v="65612.160000000003"/>
    <n v="0"/>
    <n v="0"/>
    <n v="0"/>
    <n v="131224.32000000001"/>
    <n v="0"/>
    <s v="24AAACO3087C1ZT"/>
    <s v="KGS"/>
    <n v="63053200"/>
    <s v="Rs."/>
    <n v="1"/>
    <n v="3511"/>
  </r>
  <r>
    <s v="21-08-2026"/>
    <s v="Plastene India ltd - Unit 1-Sales"/>
    <s v="Sales"/>
    <n v="233"/>
    <x v="0"/>
    <s v="HPBL4/D/233"/>
    <s v="21-08-2026"/>
    <s v="FG"/>
    <s v="FIBC Bags"/>
    <s v="FIBC Bags"/>
    <x v="0"/>
    <s v="FIBC Bags With UV Without Liner"/>
    <n v="1835"/>
    <n v="383386.55"/>
    <s v="80X80X80"/>
    <n v="0"/>
    <n v="9"/>
    <n v="34504.79"/>
    <n v="9"/>
    <n v="34504.79"/>
    <n v="0"/>
    <n v="0"/>
    <n v="0"/>
    <n v="69009.58"/>
    <n v="0"/>
    <s v="24AAACO3087C1ZT"/>
    <s v="KGS"/>
    <n v="63053200"/>
    <s v="Rs."/>
    <n v="1"/>
    <n v="1835"/>
  </r>
  <r>
    <s v="21-08-2026"/>
    <s v="Plastene India ltd - Unit 1-Sales"/>
    <s v="Sales"/>
    <n v="233"/>
    <x v="0"/>
    <s v="HPBL4/D/233"/>
    <s v="21-08-2026"/>
    <s v="FG"/>
    <s v="FIBC Bags"/>
    <s v="FIBC Bags"/>
    <x v="0"/>
    <s v="FIBC Bags With UV Without Liner"/>
    <n v="2811"/>
    <n v="584997.21"/>
    <s v="95X95X110"/>
    <n v="0"/>
    <n v="9"/>
    <n v="52649.75"/>
    <n v="9"/>
    <n v="52649.75"/>
    <n v="0"/>
    <n v="0"/>
    <n v="0"/>
    <n v="105299.5"/>
    <n v="0"/>
    <s v="24AAACO3087C1ZT"/>
    <s v="KGS"/>
    <n v="63053200"/>
    <s v="Rs."/>
    <n v="1"/>
    <n v="2811"/>
  </r>
  <r>
    <s v="21-08-2026"/>
    <s v="Plastene India ltd - Unit 1-Sales"/>
    <s v="Sales"/>
    <n v="234"/>
    <x v="1"/>
    <s v="HPBL4/D/234"/>
    <s v="21-08-2026"/>
    <s v="Packing Material"/>
    <s v="Stretch Film"/>
    <s v="Packing Material"/>
    <x v="10"/>
    <s v="Stretch Film 500mmx23Mic"/>
    <n v="37.5"/>
    <n v="5550"/>
    <s v="Stretch Film 500mmx23Mic"/>
    <n v="6543.45"/>
    <n v="9"/>
    <n v="499.5"/>
    <n v="9"/>
    <n v="499.5"/>
    <n v="0"/>
    <n v="0"/>
    <n v="0"/>
    <n v="999"/>
    <n v="0"/>
    <s v="24AAACO3087C1ZT"/>
    <s v="KGS"/>
    <n v="39201019"/>
    <s v="Rs."/>
    <n v="1"/>
    <n v="37.5"/>
  </r>
  <r>
    <s v="21-08-2026"/>
    <s v="Plastene India ltd - Unit 1-Sales"/>
    <s v="Sales"/>
    <n v="235"/>
    <x v="1"/>
    <s v="HPBL4/D/235"/>
    <s v="21-08-2026"/>
    <s v="FG"/>
    <s v="FIBC WIP"/>
    <s v="FIBC WIP"/>
    <x v="2"/>
    <s v="PP Webbing"/>
    <n v="73"/>
    <n v="10535.36"/>
    <s v="MW WEBBING"/>
    <n v="41879.050000000003"/>
    <n v="9"/>
    <n v="948.18"/>
    <n v="9"/>
    <n v="948.18"/>
    <n v="0"/>
    <n v="0"/>
    <n v="0"/>
    <n v="1896.36"/>
    <n v="0"/>
    <s v="24AAACO3087C1ZT"/>
    <s v="KGS"/>
    <n v="39269080"/>
    <s v="Rs."/>
    <n v="1"/>
    <n v="73"/>
  </r>
  <r>
    <s v="21-08-2026"/>
    <s v="Plastene India ltd - Unit 1-Sales"/>
    <s v="Sales"/>
    <n v="235"/>
    <x v="1"/>
    <s v="HPBL4/D/235"/>
    <s v="21-08-2026"/>
    <s v="FG"/>
    <s v="FIBC WIP"/>
    <s v="FIBC WIP"/>
    <x v="2"/>
    <s v="PP Webbing"/>
    <n v="98"/>
    <n v="14437.36"/>
    <s v="COLOUR WEBBING"/>
    <n v="0"/>
    <n v="9"/>
    <n v="1299.3599999999999"/>
    <n v="9"/>
    <n v="1299.3599999999999"/>
    <n v="0"/>
    <n v="0"/>
    <n v="0"/>
    <n v="2598.7199999999998"/>
    <n v="0"/>
    <s v="24AAACO3087C1ZT"/>
    <s v="KGS"/>
    <n v="39269080"/>
    <s v="Rs."/>
    <n v="1"/>
    <n v="98"/>
  </r>
  <r>
    <s v="21-08-2026"/>
    <s v="Plastene India ltd - Unit 1-Sales"/>
    <s v="Sales"/>
    <n v="235"/>
    <x v="1"/>
    <s v="HPBL4/D/235"/>
    <s v="21-08-2026"/>
    <s v="SF"/>
    <s v="Webbing"/>
    <s v="PP Webbing"/>
    <x v="7"/>
    <s v="Webbing"/>
    <n v="71.599999999999994"/>
    <n v="10548.11"/>
    <s v="COLOUR WEBBING"/>
    <n v="0"/>
    <n v="9"/>
    <n v="949.33"/>
    <n v="9"/>
    <n v="949.33"/>
    <n v="0"/>
    <n v="0"/>
    <n v="0"/>
    <n v="1898.66"/>
    <n v="0"/>
    <s v="24AAACO3087C1ZT"/>
    <s v="KGS"/>
    <n v="39269080"/>
    <s v="Rs."/>
    <n v="1"/>
    <n v="71.599999999999994"/>
  </r>
  <r>
    <s v="21-08-2026"/>
    <s v="Safesack Scandinavia Ab"/>
    <s v="Export Sales"/>
    <s v="HPBL4/E/88/26-27"/>
    <x v="5"/>
    <s v="HPBL4/E/88/26-27"/>
    <s v="21-08-2026"/>
    <s v="FG"/>
    <s v="FIBC Bags"/>
    <s v="FIBC Bags"/>
    <x v="0"/>
    <s v="FIBC Bags With UV With Liner"/>
    <n v="19127"/>
    <n v="4403223"/>
    <s v="PP WOVEN BIG BAGS/SACKS WITH LINER"/>
    <n v="4403223"/>
    <n v="0"/>
    <n v="0"/>
    <n v="0"/>
    <n v="0"/>
    <n v="18"/>
    <n v="792580.14"/>
    <n v="0"/>
    <n v="792580.14"/>
    <n v="0"/>
    <s v="N.A."/>
    <s v="KGS"/>
    <n v="63053200"/>
    <s v="$"/>
    <n v="94.8"/>
    <n v="19127"/>
  </r>
  <r>
    <s v="22-08-2026"/>
    <s v="Plastene India ltd - Unit 1-Sales"/>
    <s v="Sales"/>
    <n v="236"/>
    <x v="1"/>
    <s v="HPBL4/D/236"/>
    <s v="22-08-2026"/>
    <s v="Stores/Spares"/>
    <s v="MS Structure Items"/>
    <s v="Spares &amp; Stores"/>
    <x v="1"/>
    <s v="MS Pipe 4  C Class"/>
    <n v="819"/>
    <n v="39312"/>
    <s v="OLD/USED FABRIC ROLL PIPE"/>
    <n v="46348.85"/>
    <n v="9"/>
    <n v="3538.08"/>
    <n v="9"/>
    <n v="3538.08"/>
    <n v="0"/>
    <n v="0"/>
    <n v="0"/>
    <n v="7076.16"/>
    <n v="0"/>
    <s v="24AAACO3087C1ZT"/>
    <s v="KGS"/>
    <n v="73063090"/>
    <s v="Rs."/>
    <n v="1"/>
    <n v="819"/>
  </r>
  <r>
    <s v="23-08-2026"/>
    <s v="Plastene India ltd - Unit 1-Sales"/>
    <s v="Sales"/>
    <n v="237"/>
    <x v="1"/>
    <s v="HPBL4/D/237"/>
    <s v="23-08-2026"/>
    <s v="Stores/Spares"/>
    <s v="MS Structure Items"/>
    <s v="Spares &amp; Stores"/>
    <x v="1"/>
    <s v="MS Pipe 4  C Class"/>
    <n v="379"/>
    <n v="18192"/>
    <s v="OLD/USED FABRIC ROLL PIPE"/>
    <n v="21448.37"/>
    <n v="9"/>
    <n v="1637.28"/>
    <n v="9"/>
    <n v="1637.28"/>
    <n v="0"/>
    <n v="0"/>
    <n v="0"/>
    <n v="3274.56"/>
    <n v="0"/>
    <s v="24AAACO3087C1ZT"/>
    <s v="KGS"/>
    <n v="73063090"/>
    <s v="Rs."/>
    <n v="1"/>
    <n v="379"/>
  </r>
  <r>
    <s v="23-08-2026"/>
    <s v="Plastene India ltd - Unit 1-Sales"/>
    <s v="Sales"/>
    <n v="238"/>
    <x v="1"/>
    <s v="HPBL4/D/238"/>
    <s v="23-08-2026"/>
    <s v="FG"/>
    <s v="FIBC WIP"/>
    <s v="FIBC WIP"/>
    <x v="2"/>
    <s v="PP Woven Fabric"/>
    <n v="1005"/>
    <n v="28140"/>
    <s v="DEAD STOCK FABRIC RP PURPOSE"/>
    <n v="33177.06"/>
    <n v="9"/>
    <n v="2532.6"/>
    <n v="9"/>
    <n v="2532.6"/>
    <n v="0"/>
    <n v="0"/>
    <n v="0"/>
    <n v="5065.2"/>
    <n v="0"/>
    <s v="24AAACO3087C1ZT"/>
    <s v="KGS"/>
    <n v="39269080"/>
    <s v="Rs."/>
    <n v="1"/>
    <n v="1005"/>
  </r>
  <r>
    <s v="23-08-2026"/>
    <s v="Plastene India ltd - Unit 1-Sales"/>
    <s v="Sales"/>
    <n v="239"/>
    <x v="2"/>
    <s v="HPBL4/D/239"/>
    <s v="23-08-2026"/>
    <s v="SF"/>
    <s v="Wastage/Scrap"/>
    <s v="Wastage/Scrap"/>
    <x v="4"/>
    <s v="PP/HD Wastage/Scrap"/>
    <n v="5035"/>
    <n v="60420"/>
    <s v="PP/HD Wastage/Scrap"/>
    <n v="72721.509999999995"/>
    <n v="9"/>
    <n v="5437.8"/>
    <n v="9"/>
    <n v="5437.8"/>
    <n v="0"/>
    <n v="0"/>
    <n v="0"/>
    <n v="10875.6"/>
    <n v="1425.91"/>
    <s v="24AAACO3087C1ZT"/>
    <s v="KGS"/>
    <n v="39159029"/>
    <s v="Rs."/>
    <n v="1"/>
    <n v="5035"/>
  </r>
  <r>
    <s v="24-08-2026"/>
    <s v="Plastene India ltd - Unit 1-Sales"/>
    <s v="Sales"/>
    <n v="240"/>
    <x v="1"/>
    <s v="HPBL4/D/240"/>
    <s v="24-08-2026"/>
    <s v="Stores/Spares"/>
    <s v="MS Structure Items"/>
    <s v="Spares &amp; Stores"/>
    <x v="1"/>
    <s v="MS Pipe 4  C Class"/>
    <n v="457"/>
    <n v="21936"/>
    <s v="OLD/USED FABRIC ROLL PIPE"/>
    <n v="25862.54"/>
    <n v="9"/>
    <n v="1974.24"/>
    <n v="9"/>
    <n v="1974.24"/>
    <n v="0"/>
    <n v="0"/>
    <n v="0"/>
    <n v="3948.48"/>
    <n v="0"/>
    <s v="24AAACO3087C1ZT"/>
    <s v="KGS"/>
    <n v="73063090"/>
    <s v="Rs."/>
    <n v="1"/>
    <n v="457"/>
  </r>
  <r>
    <s v="25-08-2026"/>
    <s v="K.P. Woven Pvt Ltd-Sales"/>
    <s v="Sales"/>
    <n v="241"/>
    <x v="1"/>
    <s v="HPBL4/D/241"/>
    <s v="25-08-2026"/>
    <s v="FG"/>
    <s v="FIBC Bags"/>
    <s v="FIBC Bags"/>
    <x v="0"/>
    <s v="FIBC Bags With UV With Liner"/>
    <n v="1206"/>
    <n v="300245.76000000001"/>
    <s v="62.5X62.5X139"/>
    <n v="5982772.8600000003"/>
    <n v="9"/>
    <n v="27022.12"/>
    <n v="9"/>
    <n v="27022.12"/>
    <n v="0"/>
    <n v="0"/>
    <n v="0"/>
    <n v="54044.24"/>
    <n v="0"/>
    <s v="24AAECK6307M1ZF"/>
    <s v="KGS"/>
    <n v="63053200"/>
    <s v="Rs."/>
    <n v="1"/>
    <n v="1206"/>
  </r>
  <r>
    <s v="25-08-2026"/>
    <s v="K.P. Woven Pvt Ltd-Sales"/>
    <s v="Sales"/>
    <n v="241"/>
    <x v="1"/>
    <s v="HPBL4/D/241"/>
    <s v="25-08-2026"/>
    <s v="FG"/>
    <s v="FIBC Bags"/>
    <s v="FIBC Bags"/>
    <x v="0"/>
    <s v="FIBC Bags With UV With Liner"/>
    <n v="802"/>
    <n v="208030.78"/>
    <s v="62.5X62.5X139"/>
    <n v="0"/>
    <n v="9"/>
    <n v="18722.77"/>
    <n v="9"/>
    <n v="18722.77"/>
    <n v="0"/>
    <n v="0"/>
    <n v="0"/>
    <n v="37445.54"/>
    <n v="0"/>
    <s v="24AAECK6307M1ZF"/>
    <s v="KGS"/>
    <n v="63053200"/>
    <s v="Rs."/>
    <n v="1"/>
    <n v="802"/>
  </r>
  <r>
    <s v="25-08-2026"/>
    <s v="K.P. Woven Pvt Ltd-Sales"/>
    <s v="Sales"/>
    <n v="241"/>
    <x v="1"/>
    <s v="HPBL4/D/241"/>
    <s v="25-08-2026"/>
    <s v="FG"/>
    <s v="FIBC Bags"/>
    <s v="FIBC Bags"/>
    <x v="0"/>
    <s v="FIBC Bags With UV Without Liner"/>
    <n v="4891.3999999999996"/>
    <n v="940029.25"/>
    <s v="87X87X100"/>
    <n v="0"/>
    <n v="9"/>
    <n v="84602.63"/>
    <n v="9"/>
    <n v="84602.63"/>
    <n v="0"/>
    <n v="0"/>
    <n v="0"/>
    <n v="169205.26"/>
    <n v="0"/>
    <s v="24AAECK6307M1ZF"/>
    <s v="KGS"/>
    <n v="63053200"/>
    <s v="Rs."/>
    <n v="1"/>
    <n v="4891.3999999999996"/>
  </r>
  <r>
    <s v="25-08-2026"/>
    <s v="K.P. Woven Pvt Ltd-Sales"/>
    <s v="Sales"/>
    <n v="241"/>
    <x v="1"/>
    <s v="HPBL4/D/241"/>
    <s v="25-08-2026"/>
    <s v="FG"/>
    <s v="FIBC Bags"/>
    <s v="FIBC Bags"/>
    <x v="0"/>
    <s v="FIBC Bags With UV Without Liner"/>
    <n v="2023.3"/>
    <n v="384528.16"/>
    <s v="87X87X100"/>
    <n v="0"/>
    <n v="9"/>
    <n v="34607.53"/>
    <n v="9"/>
    <n v="34607.53"/>
    <n v="0"/>
    <n v="0"/>
    <n v="0"/>
    <n v="69215.06"/>
    <n v="0"/>
    <s v="24AAECK6307M1ZF"/>
    <s v="KGS"/>
    <n v="63053200"/>
    <s v="Rs."/>
    <n v="1"/>
    <n v="2023.3"/>
  </r>
  <r>
    <s v="25-08-2026"/>
    <s v="K.P. Woven Pvt Ltd-Sales"/>
    <s v="Sales"/>
    <n v="241"/>
    <x v="1"/>
    <s v="HPBL4/D/241"/>
    <s v="25-08-2026"/>
    <s v="FG"/>
    <s v="FIBC Bags"/>
    <s v="FIBC Bags"/>
    <x v="0"/>
    <s v="FIBC Bags With UV Without Liner"/>
    <n v="3186"/>
    <n v="1655827.92"/>
    <s v="101X101X75"/>
    <n v="0"/>
    <n v="9"/>
    <n v="149024.51"/>
    <n v="9"/>
    <n v="149024.51"/>
    <n v="0"/>
    <n v="0"/>
    <n v="0"/>
    <n v="298049.02"/>
    <n v="0"/>
    <s v="24AAECK6307M1ZF"/>
    <s v="KGS"/>
    <n v="63053200"/>
    <s v="Rs."/>
    <n v="1"/>
    <n v="3186"/>
  </r>
  <r>
    <s v="25-08-2026"/>
    <s v="K.P. Woven Pvt Ltd-Sales"/>
    <s v="Sales"/>
    <n v="241"/>
    <x v="1"/>
    <s v="HPBL4/D/241"/>
    <s v="25-08-2026"/>
    <s v="FG"/>
    <s v="FIBC Bags"/>
    <s v="FIBC Bags"/>
    <x v="0"/>
    <s v="FIBC Bags With UV Without Liner"/>
    <n v="1617"/>
    <n v="318015.39"/>
    <s v="62.5X62.5X180"/>
    <n v="0"/>
    <n v="9"/>
    <n v="28621.39"/>
    <n v="9"/>
    <n v="28621.39"/>
    <n v="0"/>
    <n v="0"/>
    <n v="0"/>
    <n v="57242.78"/>
    <n v="0"/>
    <s v="24AAECK6307M1ZF"/>
    <s v="KGS"/>
    <n v="63053200"/>
    <s v="Rs."/>
    <n v="1"/>
    <n v="1617"/>
  </r>
  <r>
    <s v="25-08-2026"/>
    <s v="K.P. Woven Pvt Ltd-Sales"/>
    <s v="Sales"/>
    <n v="241"/>
    <x v="1"/>
    <s v="HPBL4/D/241"/>
    <s v="25-08-2026"/>
    <s v="FG"/>
    <s v="FIBC Bags"/>
    <s v="FIBC Bags"/>
    <x v="0"/>
    <s v="FIBC Bags With UV Without Liner"/>
    <n v="4989.7"/>
    <n v="1101426.3799999999"/>
    <s v="87X87X100"/>
    <n v="0"/>
    <n v="9"/>
    <n v="99128.37"/>
    <n v="9"/>
    <n v="99128.37"/>
    <n v="0"/>
    <n v="0"/>
    <n v="0"/>
    <n v="198256.74"/>
    <n v="0"/>
    <s v="24AAECK6307M1ZF"/>
    <s v="KGS"/>
    <n v="63053200"/>
    <s v="Rs."/>
    <n v="1"/>
    <n v="4989.7"/>
  </r>
  <r>
    <s v="25-08-2026"/>
    <s v="K.P. Woven Pvt Ltd-Sales"/>
    <s v="Sales"/>
    <n v="241"/>
    <x v="1"/>
    <s v="HPBL4/D/241"/>
    <s v="25-08-2026"/>
    <s v="FG"/>
    <s v="FIBC Bags"/>
    <s v="FIBC Bags"/>
    <x v="0"/>
    <s v="FIBC Bags With UV Without Liner"/>
    <n v="863"/>
    <n v="166343.25"/>
    <s v="91X91X105"/>
    <n v="0"/>
    <n v="9"/>
    <n v="14970.89"/>
    <n v="9"/>
    <n v="14970.89"/>
    <n v="0"/>
    <n v="0"/>
    <n v="0"/>
    <n v="29941.78"/>
    <n v="0"/>
    <s v="24AAECK6307M1ZF"/>
    <s v="KGS"/>
    <n v="63053200"/>
    <s v="Rs."/>
    <n v="1"/>
    <n v="863"/>
  </r>
  <r>
    <s v="25-08-2026"/>
    <s v="K.P. Woven Pvt Ltd-Sales"/>
    <s v="Sales"/>
    <s v="HPBL4/ME/19"/>
    <x v="3"/>
    <s v="HPBL4/ME/19"/>
    <s v="25-08-2026"/>
    <s v="FG"/>
    <s v="FIBC Bags"/>
    <s v="FIBC Bags"/>
    <x v="0"/>
    <s v="FIBC Bags With UV Without Liner"/>
    <n v="20591"/>
    <n v="3712145.48"/>
    <s v="95X95X110"/>
    <n v="3712145.48"/>
    <n v="0.05"/>
    <n v="1856.07"/>
    <n v="0.05"/>
    <n v="1856.07"/>
    <n v="0"/>
    <n v="0"/>
    <n v="0"/>
    <n v="3712.14"/>
    <n v="0"/>
    <s v="24AAECK6307M1ZF"/>
    <s v="KGS"/>
    <n v="63053200"/>
    <s v="Rs."/>
    <n v="1"/>
    <n v="20591"/>
  </r>
  <r>
    <s v="25-08-2026"/>
    <s v="Plastene India ltd - Unit 1-Sales"/>
    <s v="Sales"/>
    <n v="242"/>
    <x v="0"/>
    <s v="HPBL4/D/242"/>
    <s v="25-08-2026"/>
    <s v="FG"/>
    <s v="FIBC Bags"/>
    <s v="FIBC Bags"/>
    <x v="0"/>
    <s v="FIBC Bags With UV Without Liner"/>
    <n v="1791"/>
    <n v="338588.55"/>
    <s v="85X85X85"/>
    <n v="4879672.1500000004"/>
    <n v="9"/>
    <n v="30472.97"/>
    <n v="9"/>
    <n v="30472.97"/>
    <n v="0"/>
    <n v="0"/>
    <n v="0"/>
    <n v="60945.94"/>
    <n v="0"/>
    <s v="24AAACO3087C1ZT"/>
    <s v="KGS"/>
    <n v="63053200"/>
    <s v="Rs."/>
    <n v="1"/>
    <n v="1791"/>
  </r>
  <r>
    <s v="25-08-2026"/>
    <s v="Plastene India ltd - Unit 1-Sales"/>
    <s v="Sales"/>
    <n v="242"/>
    <x v="0"/>
    <s v="HPBL4/D/242"/>
    <s v="25-08-2026"/>
    <s v="FG"/>
    <s v="FIBC Bags"/>
    <s v="FIBC Bags"/>
    <x v="0"/>
    <s v="FIBC Bags With UV Without Liner"/>
    <n v="1489"/>
    <n v="297502.2"/>
    <s v="85X85X85"/>
    <n v="0"/>
    <n v="9"/>
    <n v="26775.200000000001"/>
    <n v="9"/>
    <n v="26775.200000000001"/>
    <n v="0"/>
    <n v="0"/>
    <n v="0"/>
    <n v="53550.400000000001"/>
    <n v="0"/>
    <s v="24AAACO3087C1ZT"/>
    <s v="KGS"/>
    <n v="63053200"/>
    <s v="Rs."/>
    <n v="1"/>
    <n v="1489"/>
  </r>
  <r>
    <s v="25-08-2026"/>
    <s v="Plastene India ltd - Unit 1-Sales"/>
    <s v="Sales"/>
    <n v="242"/>
    <x v="0"/>
    <s v="HPBL4/D/242"/>
    <s v="25-08-2026"/>
    <s v="FG"/>
    <s v="FIBC Bags"/>
    <s v="FIBC Bags"/>
    <x v="0"/>
    <s v="FIBC Bags With UV Without Liner"/>
    <n v="920"/>
    <n v="192528.4"/>
    <s v="85X85X85"/>
    <n v="0"/>
    <n v="9"/>
    <n v="17327.560000000001"/>
    <n v="9"/>
    <n v="17327.560000000001"/>
    <n v="0"/>
    <n v="0"/>
    <n v="0"/>
    <n v="34655.120000000003"/>
    <n v="0"/>
    <s v="24AAACO3087C1ZT"/>
    <s v="KGS"/>
    <n v="63053200"/>
    <s v="Rs."/>
    <n v="1"/>
    <n v="920"/>
  </r>
  <r>
    <s v="25-08-2026"/>
    <s v="Plastene India ltd - Unit 1-Sales"/>
    <s v="Sales"/>
    <n v="242"/>
    <x v="0"/>
    <s v="HPBL4/D/242"/>
    <s v="25-08-2026"/>
    <s v="FG"/>
    <s v="FIBC Bags"/>
    <s v="FIBC Bags"/>
    <x v="0"/>
    <s v="FIBC Bags With UV Without Liner"/>
    <n v="1834"/>
    <n v="390917.1"/>
    <s v="85X85X85"/>
    <n v="0"/>
    <n v="9"/>
    <n v="35182.54"/>
    <n v="9"/>
    <n v="35182.54"/>
    <n v="0"/>
    <n v="0"/>
    <n v="0"/>
    <n v="70365.08"/>
    <n v="0"/>
    <s v="24AAACO3087C1ZT"/>
    <s v="KGS"/>
    <n v="63053200"/>
    <s v="Rs."/>
    <n v="1"/>
    <n v="1834"/>
  </r>
  <r>
    <s v="25-08-2026"/>
    <s v="Plastene India ltd - Unit 1-Sales"/>
    <s v="Sales"/>
    <n v="242"/>
    <x v="0"/>
    <s v="HPBL4/D/242"/>
    <s v="25-08-2026"/>
    <s v="FG"/>
    <s v="FIBC Bags"/>
    <s v="FIBC Bags"/>
    <x v="0"/>
    <s v="FIBC Bags With UV Without Liner"/>
    <n v="5657"/>
    <n v="1173827.5"/>
    <s v="85X85X85"/>
    <n v="0"/>
    <n v="9"/>
    <n v="105644.48"/>
    <n v="9"/>
    <n v="105644.48"/>
    <n v="0"/>
    <n v="0"/>
    <n v="0"/>
    <n v="211288.95999999999"/>
    <n v="0"/>
    <s v="24AAACO3087C1ZT"/>
    <s v="KGS"/>
    <n v="63053200"/>
    <s v="Rs."/>
    <n v="1"/>
    <n v="5657"/>
  </r>
  <r>
    <s v="25-08-2026"/>
    <s v="Plastene India ltd - Unit 1-Sales"/>
    <s v="Sales"/>
    <n v="242"/>
    <x v="0"/>
    <s v="HPBL4/D/242"/>
    <s v="25-08-2026"/>
    <s v="FG"/>
    <s v="FIBC Bags"/>
    <s v="FIBC Bags"/>
    <x v="0"/>
    <s v="FIBC Bags With UV Without Liner"/>
    <n v="432"/>
    <n v="85047.84"/>
    <s v="90X90X90"/>
    <n v="0"/>
    <n v="9"/>
    <n v="7654.31"/>
    <n v="9"/>
    <n v="7654.31"/>
    <n v="0"/>
    <n v="0"/>
    <n v="0"/>
    <n v="15308.62"/>
    <n v="0"/>
    <s v="24AAACO3087C1ZT"/>
    <s v="KGS"/>
    <n v="63053200"/>
    <s v="Rs."/>
    <n v="1"/>
    <n v="432"/>
  </r>
  <r>
    <s v="25-08-2026"/>
    <s v="Plastene India ltd - Unit 1-Sales"/>
    <s v="Sales"/>
    <n v="242"/>
    <x v="0"/>
    <s v="HPBL4/D/242"/>
    <s v="25-08-2026"/>
    <s v="FG"/>
    <s v="FIBC Bags"/>
    <s v="FIBC Bags"/>
    <x v="0"/>
    <s v="FIBC Bags With UV Without Liner"/>
    <n v="385"/>
    <n v="132401.5"/>
    <s v="88X88X120"/>
    <n v="0"/>
    <n v="9"/>
    <n v="11916.14"/>
    <n v="9"/>
    <n v="11916.14"/>
    <n v="0"/>
    <n v="0"/>
    <n v="0"/>
    <n v="23832.28"/>
    <n v="0"/>
    <s v="24AAACO3087C1ZT"/>
    <s v="KGS"/>
    <n v="63053200"/>
    <s v="Rs."/>
    <n v="1"/>
    <n v="385"/>
  </r>
  <r>
    <s v="25-08-2026"/>
    <s v="Plastene India ltd - Unit 1-Sales"/>
    <s v="Sales"/>
    <n v="242"/>
    <x v="0"/>
    <s v="HPBL4/D/242"/>
    <s v="25-08-2026"/>
    <s v="FG"/>
    <s v="FIBC Bags"/>
    <s v="FIBC Bags"/>
    <x v="0"/>
    <s v="FIBC Bags With UV Without Liner"/>
    <n v="385"/>
    <n v="132401.5"/>
    <s v="88X88X120"/>
    <n v="0"/>
    <n v="9"/>
    <n v="11916.14"/>
    <n v="9"/>
    <n v="11916.14"/>
    <n v="0"/>
    <n v="0"/>
    <n v="0"/>
    <n v="23832.28"/>
    <n v="0"/>
    <s v="24AAACO3087C1ZT"/>
    <s v="KGS"/>
    <n v="63053200"/>
    <s v="Rs."/>
    <n v="1"/>
    <n v="385"/>
  </r>
  <r>
    <s v="25-08-2026"/>
    <s v="Plastene India ltd - Unit 1-Sales"/>
    <s v="Sales"/>
    <n v="242"/>
    <x v="0"/>
    <s v="HPBL4/D/242"/>
    <s v="25-08-2026"/>
    <s v="FG"/>
    <s v="FIBC Bags"/>
    <s v="FIBC Bags"/>
    <x v="0"/>
    <s v="FIBC Bags With UV Without Liner"/>
    <n v="385"/>
    <n v="132401.5"/>
    <s v="88X88X120"/>
    <n v="0"/>
    <n v="9"/>
    <n v="11916.14"/>
    <n v="9"/>
    <n v="11916.14"/>
    <n v="0"/>
    <n v="0"/>
    <n v="0"/>
    <n v="23832.28"/>
    <n v="0"/>
    <s v="24AAACO3087C1ZT"/>
    <s v="KGS"/>
    <n v="63053200"/>
    <s v="Rs."/>
    <n v="1"/>
    <n v="385"/>
  </r>
  <r>
    <s v="25-08-2026"/>
    <s v="Plastene India ltd - Unit 1-Sales"/>
    <s v="Sales"/>
    <n v="242"/>
    <x v="0"/>
    <s v="HPBL4/D/242"/>
    <s v="25-08-2026"/>
    <s v="FG"/>
    <s v="FIBC Bags"/>
    <s v="FIBC Bags"/>
    <x v="0"/>
    <s v="FIBC Bags With UV Without Liner"/>
    <n v="500"/>
    <n v="99625"/>
    <s v="90X90X90"/>
    <n v="0"/>
    <n v="9"/>
    <n v="8966.25"/>
    <n v="9"/>
    <n v="8966.25"/>
    <n v="0"/>
    <n v="0"/>
    <n v="0"/>
    <n v="17932.5"/>
    <n v="0"/>
    <s v="24AAACO3087C1ZT"/>
    <s v="KGS"/>
    <n v="63053200"/>
    <s v="Rs."/>
    <n v="1"/>
    <n v="500"/>
  </r>
  <r>
    <s v="25-08-2026"/>
    <s v="Plastene India ltd - Unit 1-Sales"/>
    <s v="Sales"/>
    <n v="242"/>
    <x v="0"/>
    <s v="HPBL4/D/242"/>
    <s v="25-08-2026"/>
    <s v="FG"/>
    <s v="FIBC Bags"/>
    <s v="FIBC Bags"/>
    <x v="0"/>
    <s v="FIBC Bags With UV Without Liner"/>
    <n v="2488"/>
    <n v="538776.4"/>
    <s v="80X80X80"/>
    <n v="0"/>
    <n v="9"/>
    <n v="48489.88"/>
    <n v="9"/>
    <n v="48489.88"/>
    <n v="0"/>
    <n v="0"/>
    <n v="0"/>
    <n v="96979.76"/>
    <n v="0"/>
    <s v="24AAACO3087C1ZT"/>
    <s v="KGS"/>
    <n v="63053200"/>
    <s v="Rs."/>
    <n v="1"/>
    <n v="2488"/>
  </r>
  <r>
    <s v="25-08-2026"/>
    <s v="Plastene India ltd - Unit 1-Sales"/>
    <s v="Sales"/>
    <n v="242"/>
    <x v="0"/>
    <s v="HPBL4/D/242"/>
    <s v="25-08-2026"/>
    <s v="FG"/>
    <s v="FIBC Bags"/>
    <s v="FIBC Bags"/>
    <x v="0"/>
    <s v="FIBC Bags With UV Without Liner"/>
    <n v="401"/>
    <n v="95057.05"/>
    <s v="100X100X100"/>
    <n v="0"/>
    <n v="9"/>
    <n v="8555.1299999999992"/>
    <n v="9"/>
    <n v="8555.1299999999992"/>
    <n v="0"/>
    <n v="0"/>
    <n v="0"/>
    <n v="17110.259999999998"/>
    <n v="0"/>
    <s v="24AAACO3087C1ZT"/>
    <s v="KGS"/>
    <n v="63053200"/>
    <s v="Rs."/>
    <n v="1"/>
    <n v="401"/>
  </r>
  <r>
    <s v="25-08-2026"/>
    <s v="Plastene India ltd - Unit 1-Sales"/>
    <s v="Sales"/>
    <n v="242"/>
    <x v="0"/>
    <s v="HPBL4/D/242"/>
    <s v="25-08-2026"/>
    <s v="FG"/>
    <s v="FIBC Bags"/>
    <s v="FIBC Bags"/>
    <x v="0"/>
    <s v="FIBC Bags With UV Without Liner"/>
    <n v="2570.7199999999998"/>
    <n v="529748.27"/>
    <s v="80X80X80"/>
    <n v="0"/>
    <n v="9"/>
    <n v="47677.34"/>
    <n v="9"/>
    <n v="47677.34"/>
    <n v="0"/>
    <n v="0"/>
    <n v="0"/>
    <n v="95354.68"/>
    <n v="0"/>
    <s v="24AAACO3087C1ZT"/>
    <s v="KGS"/>
    <n v="63053200"/>
    <s v="Rs."/>
    <n v="1"/>
    <n v="2570.7199999999998"/>
  </r>
  <r>
    <s v="26-08-2026"/>
    <s v="Agroszemek Kft"/>
    <s v="Export Sales"/>
    <s v="HPBL4/E/89/26-27"/>
    <x v="5"/>
    <s v="HPBL4/E/89/26-27"/>
    <s v="26-08-2026"/>
    <s v="FG"/>
    <s v="FIBC Bags"/>
    <s v="FIBC Bags"/>
    <x v="0"/>
    <s v="FIBC Bags With UV With Liner"/>
    <n v="18368"/>
    <n v="4084439.04"/>
    <s v="PP WOVEN BIG BAGS/SACKS WITH LINER"/>
    <n v="4084439.04"/>
    <n v="0"/>
    <n v="0"/>
    <n v="0"/>
    <n v="0"/>
    <n v="18"/>
    <n v="735199.02720000001"/>
    <n v="0"/>
    <n v="735199.02720000001"/>
    <n v="0"/>
    <s v="N.A."/>
    <s v="KGS"/>
    <n v="63053200"/>
    <s v="$"/>
    <n v="94.8"/>
    <n v="18368"/>
  </r>
  <r>
    <s v="26-08-2026"/>
    <s v="Plastene India ltd - Unit 1-Sales"/>
    <s v="Sales"/>
    <n v="245"/>
    <x v="1"/>
    <s v="HPBL4/D/245"/>
    <s v="26-08-2026"/>
    <s v="Stores/Spares"/>
    <s v="MS Structure Items"/>
    <s v="Spares &amp; Stores"/>
    <x v="1"/>
    <s v="MS Pipe 4  C Class"/>
    <n v="796"/>
    <n v="38208"/>
    <s v="OLD/USED FABRIC ROLL PIPE"/>
    <n v="45047.23"/>
    <n v="9"/>
    <n v="3438.72"/>
    <n v="9"/>
    <n v="3438.72"/>
    <n v="0"/>
    <n v="0"/>
    <n v="0"/>
    <n v="6877.44"/>
    <n v="0"/>
    <s v="24AAACO3087C1ZT"/>
    <s v="KGS"/>
    <n v="73063090"/>
    <s v="Rs."/>
    <n v="1"/>
    <n v="796"/>
  </r>
  <r>
    <s v="26-08-2026"/>
    <s v="Plastene Polyfilms Ltd-Sales"/>
    <s v="Sales"/>
    <n v="243"/>
    <x v="1"/>
    <s v="HPBL4/D/243"/>
    <s v="26-08-2026"/>
    <s v="FG"/>
    <s v="FIBC WIP"/>
    <s v="FIBC WIP"/>
    <x v="2"/>
    <s v="PP Woven Fabric"/>
    <n v="344"/>
    <n v="51366.080000000002"/>
    <s v="COLOUR FABRIC"/>
    <n v="60560.61"/>
    <n v="9"/>
    <n v="4622.95"/>
    <n v="9"/>
    <n v="4622.95"/>
    <n v="0"/>
    <n v="0"/>
    <n v="0"/>
    <n v="9245.9"/>
    <n v="0"/>
    <s v="24AAFCP2956A1ZR"/>
    <s v="KGS"/>
    <n v="39269080"/>
    <s v="Rs."/>
    <n v="1"/>
    <n v="344"/>
  </r>
  <r>
    <s v="26-08-2026"/>
    <s v="Plastene Polyfilms Ltd-Sales"/>
    <s v="Sales"/>
    <n v="244"/>
    <x v="1"/>
    <s v="HPBL4/D/244"/>
    <s v="26-08-2026"/>
    <s v="Stores/Spares"/>
    <s v="MS Structure Items"/>
    <s v="Spares &amp; Stores"/>
    <x v="1"/>
    <s v="MS Pipe 4  C Class"/>
    <n v="10"/>
    <n v="480"/>
    <s v="MS PIPE"/>
    <n v="565.91999999999996"/>
    <n v="9"/>
    <n v="43.2"/>
    <n v="9"/>
    <n v="43.2"/>
    <n v="0"/>
    <n v="0"/>
    <n v="0"/>
    <n v="86.4"/>
    <n v="0"/>
    <s v="24AAFCP2956A1ZR"/>
    <s v="KGS"/>
    <n v="73063090"/>
    <s v="Rs."/>
    <n v="1"/>
    <n v="10"/>
  </r>
  <r>
    <s v="27-08-2026"/>
    <s v="Plastene India ltd - Unit 1-Sales"/>
    <s v="Sales"/>
    <n v="246"/>
    <x v="2"/>
    <s v="HPBL4/D/246"/>
    <s v="27-08-2026"/>
    <s v="SF"/>
    <s v="Wastage/Scrap"/>
    <s v="Wastage/Scrap"/>
    <x v="4"/>
    <s v="PP/HD Wastage/Scrap"/>
    <n v="4555"/>
    <n v="54660"/>
    <s v="PP/HD Wastage/Scrap"/>
    <n v="65788.78"/>
    <n v="9"/>
    <n v="4919.3999999999996"/>
    <n v="9"/>
    <n v="4919.3999999999996"/>
    <n v="0"/>
    <n v="0"/>
    <n v="0"/>
    <n v="9838.7999999999993"/>
    <n v="1289.98"/>
    <s v="24AAACO3087C1ZT"/>
    <s v="KGS"/>
    <n v="39159029"/>
    <s v="Rs."/>
    <n v="1"/>
    <n v="4555"/>
  </r>
  <r>
    <s v="27-08-2026"/>
    <s v="Plastene India ltd - Unit 1-Sales"/>
    <s v="Sales"/>
    <n v="247"/>
    <x v="1"/>
    <s v="HPBL4/D/247"/>
    <s v="27-08-2026"/>
    <s v="SF"/>
    <s v="Liners"/>
    <s v="LDPE/LLDPE Bags"/>
    <x v="3"/>
    <s v="LDPE/LLDPE Bags/Liner"/>
    <n v="109"/>
    <n v="20149.740000000002"/>
    <s v="H BASE 145*235*95 MIC"/>
    <n v="23756.55"/>
    <n v="9"/>
    <n v="1813.48"/>
    <n v="9"/>
    <n v="1813.48"/>
    <n v="0"/>
    <n v="0"/>
    <n v="0"/>
    <n v="3626.96"/>
    <n v="0"/>
    <s v="24AAACO3087C1ZT"/>
    <s v="KGS"/>
    <n v="39232100"/>
    <s v="Rs."/>
    <n v="1"/>
    <n v="109"/>
  </r>
  <r>
    <s v="27-08-2026"/>
    <s v="Plastene India ltd - Unit 1-Sales"/>
    <s v="Sales"/>
    <n v="248"/>
    <x v="1"/>
    <s v="HPBL4/D/248"/>
    <s v="27-08-2026"/>
    <s v="FG"/>
    <s v="FIBC WIP"/>
    <s v="FIBC WIP"/>
    <x v="2"/>
    <s v="PP Woven Fabric"/>
    <n v="785"/>
    <n v="21980"/>
    <s v="DEAD STOCK FABRIC RP PURPOSE"/>
    <n v="25914.42"/>
    <n v="9"/>
    <n v="1978.2"/>
    <n v="9"/>
    <n v="1978.2"/>
    <n v="0"/>
    <n v="0"/>
    <n v="0"/>
    <n v="3956.4"/>
    <n v="0"/>
    <s v="24AAACO3087C1ZT"/>
    <s v="KGS"/>
    <n v="39269080"/>
    <s v="Rs."/>
    <n v="1"/>
    <n v="785"/>
  </r>
  <r>
    <s v="27-08-2026"/>
    <s v="Plastene India ltd - Unit 1-Sales"/>
    <s v="Sales"/>
    <n v="249"/>
    <x v="1"/>
    <s v="HPBL4/D/249"/>
    <s v="27-08-2026"/>
    <s v="Stores/Spares"/>
    <s v="MS Structure Items"/>
    <s v="Spares &amp; Stores"/>
    <x v="1"/>
    <s v="MS Pipe 4  C Class"/>
    <n v="433"/>
    <n v="20784"/>
    <s v="OLD/USED FABRIC ROLL PIPE"/>
    <n v="24504.34"/>
    <n v="9"/>
    <n v="1870.56"/>
    <n v="9"/>
    <n v="1870.56"/>
    <n v="0"/>
    <n v="0"/>
    <n v="0"/>
    <n v="3741.12"/>
    <n v="0"/>
    <s v="24AAACO3087C1ZT"/>
    <s v="KGS"/>
    <n v="73063090"/>
    <s v="Rs."/>
    <n v="1"/>
    <n v="433"/>
  </r>
  <r>
    <s v="27-08-2026"/>
    <s v="Plastene India ltd - Unit 1-Sales"/>
    <s v="Sales"/>
    <n v="250"/>
    <x v="1"/>
    <s v="HPBL4/D/250"/>
    <s v="27-08-2026"/>
    <s v="SF"/>
    <s v="PP/PE Fabric"/>
    <s v="PP UL Fabric"/>
    <x v="6"/>
    <s v="PP UL Fabric With UV"/>
    <n v="248"/>
    <n v="35295.360000000001"/>
    <s v="MW 100 GSM"/>
    <n v="41613.22"/>
    <n v="9"/>
    <n v="3176.58"/>
    <n v="9"/>
    <n v="3176.58"/>
    <n v="0"/>
    <n v="0"/>
    <n v="0"/>
    <n v="6353.16"/>
    <n v="0"/>
    <s v="24AAACO3087C1ZT"/>
    <s v="KGS"/>
    <n v="39269080"/>
    <s v="Rs."/>
    <n v="1"/>
    <n v="248"/>
  </r>
  <r>
    <s v="28-08-2026"/>
    <s v="Plastene India ltd - Unit 1-Sales"/>
    <s v="Sales"/>
    <n v="251"/>
    <x v="0"/>
    <s v="HPBL4/D/251"/>
    <s v="28-08-2026"/>
    <s v="FG"/>
    <s v="FIBC Bags"/>
    <s v="FIBC Bags"/>
    <x v="0"/>
    <s v="FIBC Bags With UV Without Liner"/>
    <n v="1241"/>
    <n v="259517.92"/>
    <s v="90X90X110"/>
    <n v="1888435.45"/>
    <n v="9"/>
    <n v="23356.61"/>
    <n v="9"/>
    <n v="23356.61"/>
    <n v="0"/>
    <n v="0"/>
    <n v="0"/>
    <n v="46713.22"/>
    <n v="0"/>
    <s v="24AAACO3087C1ZT"/>
    <s v="KGS"/>
    <n v="63053200"/>
    <s v="Rs."/>
    <n v="1"/>
    <n v="1241"/>
  </r>
  <r>
    <s v="28-08-2026"/>
    <s v="Plastene India ltd - Unit 1-Sales"/>
    <s v="Sales"/>
    <n v="251"/>
    <x v="0"/>
    <s v="HPBL4/D/251"/>
    <s v="28-08-2026"/>
    <s v="FG"/>
    <s v="FIBC Bags"/>
    <s v="FIBC Bags"/>
    <x v="0"/>
    <s v="FIBC Bags With UV Without Liner"/>
    <n v="1628"/>
    <n v="294505.2"/>
    <s v="90X90X90"/>
    <n v="0"/>
    <n v="9"/>
    <n v="26505.47"/>
    <n v="9"/>
    <n v="26505.47"/>
    <n v="0"/>
    <n v="0"/>
    <n v="0"/>
    <n v="53010.94"/>
    <n v="0"/>
    <s v="24AAACO3087C1ZT"/>
    <s v="KGS"/>
    <n v="63053200"/>
    <s v="Rs."/>
    <n v="1"/>
    <n v="1628"/>
  </r>
  <r>
    <s v="28-08-2026"/>
    <s v="Plastene India ltd - Unit 1-Sales"/>
    <s v="Sales"/>
    <n v="251"/>
    <x v="0"/>
    <s v="HPBL4/D/251"/>
    <s v="28-08-2026"/>
    <s v="FG"/>
    <s v="FIBC Bags"/>
    <s v="FIBC Bags"/>
    <x v="0"/>
    <s v="FIBC Bags With UV Without Liner"/>
    <n v="5858"/>
    <n v="1047703.3"/>
    <s v="90X90X110"/>
    <n v="0"/>
    <n v="9"/>
    <n v="94293.3"/>
    <n v="9"/>
    <n v="94293.3"/>
    <n v="0"/>
    <n v="0"/>
    <n v="0"/>
    <n v="188586.6"/>
    <n v="0"/>
    <s v="24AAACO3087C1ZT"/>
    <s v="KGS"/>
    <n v="63053200"/>
    <s v="Rs."/>
    <n v="1"/>
    <n v="5858"/>
  </r>
  <r>
    <s v="28-08-2026"/>
    <s v="Plastene India ltd - Unit 1-Sales"/>
    <s v="Sales"/>
    <n v="252"/>
    <x v="1"/>
    <s v="HPBL4/D/252"/>
    <s v="28-08-2026"/>
    <s v="Stores/Spares"/>
    <s v="MS Structure Items"/>
    <s v="Spares &amp; Stores"/>
    <x v="1"/>
    <s v="MS Pipe 4  C Class"/>
    <n v="334"/>
    <n v="16032"/>
    <s v="OLD/USED FABRIC ROLL PIPE"/>
    <n v="18901.73"/>
    <n v="9"/>
    <n v="1442.88"/>
    <n v="9"/>
    <n v="1442.88"/>
    <n v="0"/>
    <n v="0"/>
    <n v="0"/>
    <n v="2885.76"/>
    <n v="0"/>
    <s v="24AAACO3087C1ZT"/>
    <s v="KGS"/>
    <n v="73063090"/>
    <s v="Rs."/>
    <n v="1"/>
    <n v="334"/>
  </r>
  <r>
    <s v="28-08-2026"/>
    <s v="Plastene India ltd - Unit 1-Sales"/>
    <s v="Sales"/>
    <n v="253"/>
    <x v="2"/>
    <s v="HPBL4/D/253"/>
    <s v="28-08-2026"/>
    <s v="SF"/>
    <s v="Wastage/Scrap"/>
    <s v="Wastage/Scrap"/>
    <x v="4"/>
    <s v="PP/HD Wastage/Scrap"/>
    <n v="4320"/>
    <n v="51840"/>
    <s v="PP/HD Wastage/Scrap"/>
    <n v="62394.62"/>
    <n v="9"/>
    <n v="4665.6000000000004"/>
    <n v="9"/>
    <n v="4665.6000000000004"/>
    <n v="0"/>
    <n v="0"/>
    <n v="0"/>
    <n v="9331.2000000000007"/>
    <n v="1223.42"/>
    <s v="24AAACO3087C1ZT"/>
    <s v="KGS"/>
    <n v="39159029"/>
    <s v="Rs."/>
    <n v="1"/>
    <n v="4320"/>
  </r>
  <r>
    <s v="29-08-2026"/>
    <s v="Agroszemek Kft"/>
    <s v="Export Sales"/>
    <s v="HPBL4/E/90/26-27"/>
    <x v="5"/>
    <s v="HPBL4/E/90/26-27"/>
    <s v="29-08-2026"/>
    <s v="FG"/>
    <s v="FIBC Bags"/>
    <s v="FIBC Bags"/>
    <x v="0"/>
    <s v="FIBC Bags With UV With Liner"/>
    <n v="18493"/>
    <n v="4021131.6"/>
    <s v="PP WOVEN BIG BAGS/SACKS WITH LINER"/>
    <n v="4021131.6"/>
    <n v="0"/>
    <n v="0"/>
    <n v="0"/>
    <n v="0"/>
    <n v="18"/>
    <n v="723803.68799999997"/>
    <n v="0"/>
    <n v="723803.68799999997"/>
    <n v="0"/>
    <s v="N.A."/>
    <s v="KGS"/>
    <n v="63053200"/>
    <s v="$"/>
    <n v="94.8"/>
    <n v="18493"/>
  </r>
  <r>
    <s v="29-08-2026"/>
    <s v="Plastene India ltd - Unit 1-Sales"/>
    <s v="Sales"/>
    <n v="254"/>
    <x v="1"/>
    <s v="HPBL4/D/254"/>
    <s v="29-08-2026"/>
    <s v="SF"/>
    <s v="Webbing"/>
    <s v="PP Webbing"/>
    <x v="7"/>
    <s v="Webbing"/>
    <n v="220.9"/>
    <n v="32542.99"/>
    <s v="COLOUR WEBBING"/>
    <n v="38368.19"/>
    <n v="9"/>
    <n v="2928.87"/>
    <n v="9"/>
    <n v="2928.87"/>
    <n v="0"/>
    <n v="0"/>
    <n v="0"/>
    <n v="5857.74"/>
    <n v="0"/>
    <s v="24AAACO3087C1ZT"/>
    <s v="KGS"/>
    <n v="39269080"/>
    <s v="Rs."/>
    <n v="1"/>
    <n v="220.9"/>
  </r>
  <r>
    <s v="29-08-2026"/>
    <s v="Plastene India ltd - Unit 1-Sales"/>
    <s v="Sales"/>
    <n v="255"/>
    <x v="1"/>
    <s v="HPBL4/D/255"/>
    <s v="29-08-2026"/>
    <s v="Stores/Spares"/>
    <s v="MS Structure Items"/>
    <s v="Spares &amp; Stores"/>
    <x v="1"/>
    <s v="MS Pipe 4  C Class"/>
    <n v="276"/>
    <n v="13248"/>
    <s v="OLD/USED FABRIC ROLL PIPE"/>
    <n v="15619.39"/>
    <n v="9"/>
    <n v="1192.32"/>
    <n v="9"/>
    <n v="1192.32"/>
    <n v="0"/>
    <n v="0"/>
    <n v="0"/>
    <n v="2384.64"/>
    <n v="0"/>
    <s v="24AAACO3087C1ZT"/>
    <s v="KGS"/>
    <n v="73063090"/>
    <s v="Rs."/>
    <n v="1"/>
    <n v="276"/>
  </r>
  <r>
    <s v="30-08-2026"/>
    <s v="Agroszemek Kft"/>
    <s v="Export Sales"/>
    <s v="HPBL4/E/91/26-27"/>
    <x v="5"/>
    <s v="HPBL4/E/91/26-27"/>
    <s v="30-08-2026"/>
    <s v="FG"/>
    <s v="FIBC Bags"/>
    <s v="FIBC Bags"/>
    <x v="0"/>
    <s v="FIBC Bags With UV With Liner"/>
    <n v="18491"/>
    <n v="4068000.72"/>
    <s v="PP WOVEN BIG BAGS/SACKS WITH LINER"/>
    <n v="4068000.72"/>
    <n v="0"/>
    <n v="0"/>
    <n v="0"/>
    <n v="0"/>
    <n v="18"/>
    <n v="732240.12959999999"/>
    <n v="0"/>
    <n v="732240.12959999999"/>
    <n v="0"/>
    <s v="N.A."/>
    <s v="KGS"/>
    <n v="63053200"/>
    <s v="$"/>
    <n v="94.8"/>
    <n v="18491"/>
  </r>
  <r>
    <s v="30-08-2026"/>
    <s v="Plastene India ltd - Unit 1-Sales"/>
    <s v="Sales"/>
    <n v="256"/>
    <x v="1"/>
    <s v="HPBL4/D/256"/>
    <s v="30-08-2026"/>
    <s v="FG"/>
    <s v="FIBC WIP"/>
    <s v="FIBC WIP"/>
    <x v="2"/>
    <s v="PP Woven Fabric"/>
    <n v="1565"/>
    <n v="43820"/>
    <s v="DEAD STOCK FABRIC RP PURPOSE"/>
    <n v="51663.78"/>
    <n v="9"/>
    <n v="3943.8"/>
    <n v="9"/>
    <n v="3943.8"/>
    <n v="0"/>
    <n v="0"/>
    <n v="0"/>
    <n v="7887.6"/>
    <n v="0"/>
    <s v="24AAACO3087C1ZT"/>
    <s v="KGS"/>
    <n v="39269080"/>
    <s v="Rs."/>
    <n v="1"/>
    <n v="1565"/>
  </r>
  <r>
    <s v="30-08-2026"/>
    <s v="Plastene India ltd - Unit 1-Sales"/>
    <s v="Sales"/>
    <n v="257"/>
    <x v="2"/>
    <s v="HPBL4/D/257"/>
    <s v="30-08-2026"/>
    <s v="SF"/>
    <s v="Wastage/Scrap"/>
    <s v="Wastage/Scrap"/>
    <x v="4"/>
    <s v="PP/HD Wastage/Scrap"/>
    <n v="1945"/>
    <n v="23340"/>
    <s v="PP/HD Wastage/Scrap"/>
    <n v="28092.02"/>
    <n v="9"/>
    <n v="2100.6"/>
    <n v="9"/>
    <n v="2100.6"/>
    <n v="0"/>
    <n v="0"/>
    <n v="0"/>
    <n v="4201.2"/>
    <n v="550.82000000000005"/>
    <s v="24AAACO3087C1ZT"/>
    <s v="KGS"/>
    <n v="39159029"/>
    <s v="Rs."/>
    <n v="1"/>
    <n v="1945"/>
  </r>
  <r>
    <s v="30-08-2026"/>
    <s v="Plastene India ltd - Unit 1-Sales"/>
    <s v="Sales"/>
    <n v="258"/>
    <x v="1"/>
    <s v="HPBL4/D/258"/>
    <s v="30-08-2026"/>
    <s v="Stores/Spares"/>
    <s v="MS Structure Items"/>
    <s v="Spares &amp; Stores"/>
    <x v="1"/>
    <s v="MS Pipe 4  C Class"/>
    <n v="372"/>
    <n v="17856"/>
    <s v="OLD/USED FABRIC ROLL PIPE"/>
    <n v="21052.22"/>
    <n v="9"/>
    <n v="1607.04"/>
    <n v="9"/>
    <n v="1607.04"/>
    <n v="0"/>
    <n v="0"/>
    <n v="0"/>
    <n v="3214.08"/>
    <n v="0"/>
    <s v="24AAACO3087C1ZT"/>
    <s v="KGS"/>
    <n v="73063090"/>
    <s v="Rs."/>
    <n v="1"/>
    <n v="372"/>
  </r>
  <r>
    <s v="31-08-2026"/>
    <s v="K.P. Woven Pvt Ltd-Sales"/>
    <s v="Sales"/>
    <s v="HPBL4/ME/20"/>
    <x v="3"/>
    <s v="HPBL4/ME/20"/>
    <s v="31-08-2026"/>
    <s v="FG"/>
    <s v="Small Bags"/>
    <s v="PP Bags"/>
    <x v="5"/>
    <s v="PP UL Bags Without UV"/>
    <n v="3569.7"/>
    <n v="621877.43999999994"/>
    <s v="55X90 CM"/>
    <n v="621877.43999999994"/>
    <n v="0.05"/>
    <n v="310.94"/>
    <n v="0.05"/>
    <n v="310.94"/>
    <n v="0"/>
    <n v="0"/>
    <n v="0"/>
    <n v="621.88"/>
    <n v="0"/>
    <s v="24AAECK6307M1ZF"/>
    <s v="KGS"/>
    <n v="39232999"/>
    <s v="Rs."/>
    <n v="1"/>
    <n v="3569.7"/>
  </r>
  <r>
    <s v="31-08-2026"/>
    <s v="K.P. Woven Pvt Ltd-Sales"/>
    <s v="Sales"/>
    <s v="HPBL4/ME/21"/>
    <x v="3"/>
    <s v="HPBL4/ME/21"/>
    <s v="31-08-2026"/>
    <s v="FG"/>
    <s v="FIBC Bags"/>
    <s v="FIBC Bags"/>
    <x v="0"/>
    <s v="FIBC Bags With UV Without Liner"/>
    <n v="1153"/>
    <n v="261212.15"/>
    <s v="89X89X119"/>
    <n v="2987536.89"/>
    <n v="0.05"/>
    <n v="130.61000000000001"/>
    <n v="0.05"/>
    <n v="130.61000000000001"/>
    <n v="0"/>
    <n v="0"/>
    <n v="0"/>
    <n v="261.22000000000003"/>
    <n v="0"/>
    <s v="24AAECK6307M1ZF"/>
    <s v="KGS"/>
    <n v="63053200"/>
    <s v="Rs."/>
    <n v="1"/>
    <n v="1153"/>
  </r>
  <r>
    <s v="31-08-2026"/>
    <s v="K.P. Woven Pvt Ltd-Sales"/>
    <s v="Sales"/>
    <s v="HPBL4/ME/21"/>
    <x v="3"/>
    <s v="HPBL4/ME/21"/>
    <s v="31-08-2026"/>
    <s v="FG"/>
    <s v="FIBC Bags"/>
    <s v="FIBC Bags"/>
    <x v="0"/>
    <s v="FIBC Bags With UV Without Liner"/>
    <n v="7783"/>
    <n v="1427324.37"/>
    <s v="95X95X180"/>
    <n v="0"/>
    <n v="0.05"/>
    <n v="713.66"/>
    <n v="0.05"/>
    <n v="713.66"/>
    <n v="0"/>
    <n v="0"/>
    <n v="0"/>
    <n v="1427.32"/>
    <n v="0"/>
    <s v="24AAECK6307M1ZF"/>
    <s v="KGS"/>
    <n v="63053200"/>
    <s v="Rs."/>
    <n v="1"/>
    <n v="7783"/>
  </r>
  <r>
    <s v="31-08-2026"/>
    <s v="K.P. Woven Pvt Ltd-Sales"/>
    <s v="Sales"/>
    <s v="HPBL4/ME/21"/>
    <x v="3"/>
    <s v="HPBL4/ME/21"/>
    <s v="31-08-2026"/>
    <s v="FG"/>
    <s v="FIBC Bags"/>
    <s v="FIBC Bags"/>
    <x v="0"/>
    <s v="FIBC Bags With UV Without Liner"/>
    <n v="2267"/>
    <n v="413500.8"/>
    <s v="95X95X110"/>
    <n v="0"/>
    <n v="0.05"/>
    <n v="206.75"/>
    <n v="0.05"/>
    <n v="206.75"/>
    <n v="0"/>
    <n v="0"/>
    <n v="0"/>
    <n v="413.5"/>
    <n v="0"/>
    <s v="24AAECK6307M1ZF"/>
    <s v="KGS"/>
    <n v="63053200"/>
    <s v="Rs."/>
    <n v="1"/>
    <n v="2267"/>
  </r>
  <r>
    <s v="31-08-2026"/>
    <s v="K.P. Woven Pvt Ltd-Sales"/>
    <s v="Sales"/>
    <s v="HPBL4/ME/21"/>
    <x v="3"/>
    <s v="HPBL4/ME/21"/>
    <s v="31-08-2026"/>
    <s v="FG"/>
    <s v="FIBC Bags"/>
    <s v="FIBC Bags"/>
    <x v="0"/>
    <s v="FIBC Bags With UV Without Liner"/>
    <n v="2383"/>
    <n v="445025.25"/>
    <s v="95X95X110"/>
    <n v="0"/>
    <n v="0.05"/>
    <n v="222.51"/>
    <n v="0.05"/>
    <n v="222.51"/>
    <n v="0"/>
    <n v="0"/>
    <n v="0"/>
    <n v="445.02"/>
    <n v="0"/>
    <s v="24AAECK6307M1ZF"/>
    <s v="KGS"/>
    <n v="63053200"/>
    <s v="Rs."/>
    <n v="1"/>
    <n v="2383"/>
  </r>
  <r>
    <s v="31-08-2026"/>
    <s v="K.P. Woven Pvt Ltd-Sales"/>
    <s v="Sales"/>
    <s v="HPBL4/ME/21"/>
    <x v="3"/>
    <s v="HPBL4/ME/21"/>
    <s v="31-08-2026"/>
    <s v="FG"/>
    <s v="FIBC Bags"/>
    <s v="FIBC Bags"/>
    <x v="0"/>
    <s v="FIBC Bags With UV With Liner"/>
    <n v="1807"/>
    <n v="440474.32"/>
    <s v="62.5X62.5X155"/>
    <n v="0"/>
    <n v="0.05"/>
    <n v="220.24"/>
    <n v="0.05"/>
    <n v="220.24"/>
    <n v="0"/>
    <n v="0"/>
    <n v="0"/>
    <n v="440.48"/>
    <n v="0"/>
    <s v="24AAECK6307M1ZF"/>
    <s v="KGS"/>
    <n v="63053200"/>
    <s v="Rs."/>
    <n v="1"/>
    <n v="1807"/>
  </r>
  <r>
    <s v="31-08-2026"/>
    <s v="Plastene India ltd - Unit 1-Sales"/>
    <s v="Sales"/>
    <n v="259"/>
    <x v="1"/>
    <s v="HPBL4/D/259"/>
    <s v="31-08-2026"/>
    <s v="Stores/Spares"/>
    <s v="MS Structure Items"/>
    <s v="Spares &amp; Stores"/>
    <x v="1"/>
    <s v="MS Pipe 4  C Class"/>
    <n v="331"/>
    <n v="15888"/>
    <s v="OLD/USED FABRIC ROLL PIPE"/>
    <n v="18731.95"/>
    <n v="9"/>
    <n v="1429.92"/>
    <n v="9"/>
    <n v="1429.92"/>
    <n v="0"/>
    <n v="0"/>
    <n v="0"/>
    <n v="2859.84"/>
    <n v="0"/>
    <s v="24AAACO3087C1ZT"/>
    <s v="KGS"/>
    <n v="73063090"/>
    <s v="Rs."/>
    <n v="1"/>
    <n v="331"/>
  </r>
  <r>
    <m/>
    <m/>
    <m/>
    <m/>
    <x v="7"/>
    <m/>
    <m/>
    <m/>
    <m/>
    <m/>
    <x v="11"/>
    <m/>
    <m/>
    <m/>
    <m/>
    <m/>
    <m/>
    <m/>
    <m/>
    <m/>
    <m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411">
  <r>
    <s v="HCP Plastene Bulkpack Ltd (Unit - IV)"/>
    <d v="2026-01-08T00:00:00"/>
    <s v="HPBL4/26-27/SII01073"/>
    <s v="WIP00023"/>
    <x v="0"/>
    <m/>
    <s v="HPBL4/RAW/26-27/437"/>
    <n v="239"/>
    <n v="239"/>
    <s v="Kgs"/>
    <n v="239"/>
    <n v="0"/>
    <n v="239"/>
    <s v="GJ12BY0479"/>
    <s v="Plastene India ltd - Unit 1-Purchase"/>
    <s v="Plastene India ltd - Unit 1-Purchase"/>
    <s v="PIL1/D/1240"/>
    <d v="2026-01-08T00:00:00"/>
    <s v="RAW MATERIAL"/>
    <s v="INDIGENOUS"/>
    <s v="RM 468"/>
    <n v="146.49"/>
    <n v="146.48999956865299"/>
    <s v="PIL1/D/1240"/>
    <d v="2026-01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037663.47"/>
    <s v="SF"/>
    <s v="PP/PE Fabric"/>
    <s v="PP UL Fabric"/>
    <s v="RM"/>
    <s v="erp"/>
    <n v="0"/>
    <n v="35011.11"/>
    <n v="1021"/>
    <d v="2026-01-08T00:00:00"/>
    <s v="24AAACO3087C1ZT"/>
    <s v="storepil6"/>
    <s v="storepil6"/>
    <n v="9"/>
    <n v="3151"/>
    <n v="9"/>
    <n v="3151"/>
    <n v="0"/>
    <n v="0"/>
    <n v="2037663.47"/>
    <n v="682155281132"/>
    <d v="2026-08-01T00:00:00"/>
    <n v="0"/>
  </r>
  <r>
    <s v="HCP Plastene Bulkpack Ltd (Unit - IV)"/>
    <d v="2026-01-08T00:00:00"/>
    <s v="HPBL4/26-27/SII01073"/>
    <s v="WIP00023"/>
    <x v="0"/>
    <m/>
    <s v="HPBL4/RAW/26-27/437"/>
    <n v="7181"/>
    <n v="7181"/>
    <s v="Kgs"/>
    <n v="7181"/>
    <n v="0"/>
    <n v="7181"/>
    <s v="GJ12BY0479"/>
    <s v="Plastene India ltd - Unit 1-Purchase"/>
    <s v="Plastene India ltd - Unit 1-Purchase"/>
    <s v="PIL1/D/1240"/>
    <d v="2026-01-08T00:00:00"/>
    <s v="RAW MATERIAL"/>
    <s v="INDIGENOUS"/>
    <s v="RM 468"/>
    <n v="144.49"/>
    <n v="144.489999574542"/>
    <s v="PIL1/D/1240"/>
    <d v="2026-01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037663.47"/>
    <s v="SF"/>
    <s v="PP/PE Fabric"/>
    <s v="PP UL Fabric"/>
    <s v="RM"/>
    <s v="erp"/>
    <n v="0"/>
    <n v="1037582.69"/>
    <n v="1021"/>
    <d v="2026-01-08T00:00:00"/>
    <s v="24AAACO3087C1ZT"/>
    <s v="storepil6"/>
    <s v="storepil6"/>
    <n v="9"/>
    <n v="93382.44"/>
    <n v="9"/>
    <n v="93382.44"/>
    <n v="0"/>
    <n v="0"/>
    <n v="0"/>
    <n v="682155281132"/>
    <d v="2026-08-01T00:00:00"/>
    <n v="0"/>
  </r>
  <r>
    <s v="HCP Plastene Bulkpack Ltd (Unit - IV)"/>
    <d v="2026-01-08T00:00:00"/>
    <s v="HPBL4/26-27/SII01073"/>
    <s v="WIP00025"/>
    <x v="1"/>
    <m/>
    <s v="HPBL4/RAW/26-27/437"/>
    <n v="1694"/>
    <n v="1694"/>
    <s v="Kgs"/>
    <n v="1694"/>
    <n v="0"/>
    <n v="1694"/>
    <s v="GJ12BY0479"/>
    <s v="Plastene India ltd - Unit 1-Purchase"/>
    <s v="Plastene India ltd - Unit 1-Purchase"/>
    <s v="PIL1/D/1240"/>
    <d v="2026-01-08T00:00:00"/>
    <s v="RAW MATERIAL"/>
    <s v="INDIGENOUS"/>
    <s v="RM 468"/>
    <n v="151.49"/>
    <n v="151.48999955393001"/>
    <s v="PIL1/D/1240"/>
    <d v="2026-01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037663.47"/>
    <s v="SF"/>
    <s v="PP/PE Fabric"/>
    <s v="PP Lam Fabric"/>
    <s v="RM"/>
    <s v="erp"/>
    <n v="0"/>
    <n v="256624.06"/>
    <n v="1021"/>
    <d v="2026-01-08T00:00:00"/>
    <s v="24AAACO3087C1ZT"/>
    <s v="storepil6"/>
    <s v="storepil6"/>
    <n v="9"/>
    <n v="23096.17"/>
    <n v="9"/>
    <n v="23096.17"/>
    <n v="0"/>
    <n v="0"/>
    <n v="0"/>
    <n v="682155281132"/>
    <d v="2026-08-01T00:00:00"/>
    <n v="0"/>
  </r>
  <r>
    <s v="HCP Plastene Bulkpack Ltd (Unit - IV)"/>
    <d v="2026-01-08T00:00:00"/>
    <s v="HPBL4/26-27/SII01073"/>
    <s v="WIP00025"/>
    <x v="1"/>
    <m/>
    <s v="HPBL4/RAW/26-27/437"/>
    <n v="1242"/>
    <n v="1242"/>
    <s v="Kgs"/>
    <n v="1242"/>
    <n v="0"/>
    <n v="1242"/>
    <s v="GJ12BY0479"/>
    <s v="Plastene India ltd - Unit 1-Purchase"/>
    <s v="Plastene India ltd - Unit 1-Purchase"/>
    <s v="PIL1/D/1240"/>
    <d v="2026-01-08T00:00:00"/>
    <s v="RAW MATERIAL"/>
    <s v="INDIGENOUS"/>
    <s v="RM 468"/>
    <n v="148.49"/>
    <n v="148.48999956276401"/>
    <s v="PIL1/D/1240"/>
    <d v="2026-01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037663.47"/>
    <s v="SF"/>
    <s v="PP/PE Fabric"/>
    <s v="PP Lam Fabric"/>
    <s v="RM"/>
    <s v="erp"/>
    <n v="0"/>
    <n v="184424.58"/>
    <n v="1021"/>
    <d v="2026-01-08T00:00:00"/>
    <s v="24AAACO3087C1ZT"/>
    <s v="storepil6"/>
    <s v="storepil6"/>
    <n v="9"/>
    <n v="16598.21"/>
    <n v="9"/>
    <n v="16598.21"/>
    <n v="0"/>
    <n v="0"/>
    <n v="0"/>
    <n v="682155281132"/>
    <d v="2026-08-01T00:00:00"/>
    <n v="0"/>
  </r>
  <r>
    <s v="HCP Plastene Bulkpack Ltd (Unit - IV)"/>
    <d v="2026-01-08T00:00:00"/>
    <s v="HPBL4/26-27/SII01073"/>
    <s v="WIP00032"/>
    <x v="2"/>
    <m/>
    <s v="HPBL4/RAW/26-27/437"/>
    <n v="826.6"/>
    <n v="826.6"/>
    <s v="Kgs"/>
    <n v="826.6"/>
    <n v="0"/>
    <n v="826.6"/>
    <s v="GJ12BY0479"/>
    <s v="Plastene India ltd - Unit 1-Purchase"/>
    <s v="Plastene India ltd - Unit 1-Purchase"/>
    <s v="PIL1/D/1240"/>
    <d v="2026-01-08T00:00:00"/>
    <s v="RAW MATERIAL"/>
    <s v="INDIGENOUS"/>
    <s v="RM 468"/>
    <n v="149.49"/>
    <n v="149.48999955981901"/>
    <s v="PIL1/D/1240"/>
    <d v="2026-01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037663.47"/>
    <s v="SF"/>
    <s v="Webbing"/>
    <s v="PP Webbing"/>
    <s v="RM"/>
    <s v="erp"/>
    <n v="0"/>
    <n v="123568.43"/>
    <n v="1021"/>
    <d v="2026-01-08T00:00:00"/>
    <s v="24AAACO3087C1ZT"/>
    <s v="storepil6"/>
    <s v="storepil6"/>
    <n v="9"/>
    <n v="11121.16"/>
    <n v="9"/>
    <n v="11121.16"/>
    <n v="0"/>
    <n v="0"/>
    <n v="0"/>
    <n v="682155281132"/>
    <d v="2026-08-01T00:00:00"/>
    <n v="0"/>
  </r>
  <r>
    <s v="HCP Plastene Bulkpack Ltd (Unit - IV)"/>
    <d v="2026-01-08T00:00:00"/>
    <s v="HPBL4/26-27/SII01073"/>
    <s v="WIP00032"/>
    <x v="2"/>
    <m/>
    <s v="HPBL4/RAW/26-27/437"/>
    <n v="611.79999999999995"/>
    <n v="611.79999999999995"/>
    <s v="Kgs"/>
    <n v="611.79999999999995"/>
    <n v="0"/>
    <n v="611.79999999999995"/>
    <s v="GJ12BY0479"/>
    <s v="Plastene India ltd - Unit 1-Purchase"/>
    <s v="Plastene India ltd - Unit 1-Purchase"/>
    <s v="PIL1/D/1240"/>
    <d v="2026-01-08T00:00:00"/>
    <s v="RAW MATERIAL"/>
    <s v="INDIGENOUS"/>
    <s v="RM 468"/>
    <n v="146.49"/>
    <n v="146.48999956865299"/>
    <s v="PIL1/D/1240"/>
    <d v="2026-01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037663.47"/>
    <s v="SF"/>
    <s v="Webbing"/>
    <s v="PP Webbing"/>
    <s v="RM"/>
    <s v="erp"/>
    <n v="0"/>
    <n v="89622.58"/>
    <n v="1021"/>
    <d v="2026-01-08T00:00:00"/>
    <s v="24AAACO3087C1ZT"/>
    <s v="storepil6"/>
    <s v="storepil6"/>
    <n v="9"/>
    <n v="8066.03"/>
    <n v="9"/>
    <n v="8066.03"/>
    <n v="0"/>
    <n v="0"/>
    <n v="0"/>
    <n v="682155281132"/>
    <d v="2026-08-01T00:00:00"/>
    <n v="0"/>
  </r>
  <r>
    <s v="HCP Plastene Bulkpack Ltd (Unit - IV)"/>
    <d v="2026-02-08T00:00:00"/>
    <s v="HPBL4/26-27/SII01075"/>
    <s v="WIP00025"/>
    <x v="1"/>
    <m/>
    <s v="HPBL4/RAW/26-27/438"/>
    <n v="470"/>
    <n v="470"/>
    <s v="Kgs"/>
    <n v="470"/>
    <n v="0"/>
    <n v="470"/>
    <s v="gj12bt2409"/>
    <s v="Plastene India ltd - Unit 1-Purchase"/>
    <s v="Plastene India ltd - Unit 1-Purchase"/>
    <s v="PIL1/D/1246"/>
    <d v="2026-02-08T00:00:00"/>
    <s v="RAW MATERIAL"/>
    <s v="INDIGENOUS"/>
    <s v="RM 469"/>
    <n v="146.49"/>
    <n v="146.49"/>
    <s v="PIL1/D/1246"/>
    <d v="2026-02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393120.42"/>
    <s v="SF"/>
    <s v="PP/PE Fabric"/>
    <s v="PP Lam Fabric"/>
    <s v="RM"/>
    <s v="erp"/>
    <n v="0"/>
    <n v="68850.3"/>
    <n v="1023"/>
    <d v="2026-02-08T00:00:00"/>
    <s v="24AAACO3087C1ZT"/>
    <s v="storepil6"/>
    <s v="storepil6"/>
    <n v="9"/>
    <n v="6196.53"/>
    <n v="9"/>
    <n v="6196.53"/>
    <n v="0"/>
    <n v="0"/>
    <n v="1393120.42"/>
    <n v="682155731075"/>
    <d v="2026-08-02T00:00:00"/>
    <n v="0"/>
  </r>
  <r>
    <s v="HCP Plastene Bulkpack Ltd (Unit - IV)"/>
    <d v="2026-02-08T00:00:00"/>
    <s v="HPBL4/26-27/SII01075"/>
    <s v="WIP00023"/>
    <x v="0"/>
    <m/>
    <s v="HPBL4/RAW/26-27/438"/>
    <n v="1183"/>
    <n v="1183"/>
    <s v="Kgs"/>
    <n v="1183"/>
    <n v="0"/>
    <n v="1183"/>
    <s v="gj12bt2409"/>
    <s v="Plastene India ltd - Unit 1-Purchase"/>
    <s v="Plastene India ltd - Unit 1-Purchase"/>
    <s v="PIL1/D/1246"/>
    <d v="2026-02-08T00:00:00"/>
    <s v="RAW MATERIAL"/>
    <s v="INDIGENOUS"/>
    <s v="RM 469"/>
    <n v="146.49"/>
    <n v="146.49"/>
    <s v="PIL1/D/1246"/>
    <d v="2026-02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393120.42"/>
    <s v="SF"/>
    <s v="PP/PE Fabric"/>
    <s v="PP UL Fabric"/>
    <s v="RM"/>
    <s v="erp"/>
    <n v="0"/>
    <n v="173297.67"/>
    <n v="1023"/>
    <d v="2026-02-08T00:00:00"/>
    <s v="24AAACO3087C1ZT"/>
    <s v="storepil6"/>
    <s v="storepil6"/>
    <n v="9"/>
    <n v="15596.79"/>
    <n v="9"/>
    <n v="15596.79"/>
    <n v="0"/>
    <n v="0"/>
    <n v="0"/>
    <n v="682155731075"/>
    <d v="2026-08-02T00:00:00"/>
    <n v="0"/>
  </r>
  <r>
    <s v="HCP Plastene Bulkpack Ltd (Unit - IV)"/>
    <d v="2026-02-08T00:00:00"/>
    <s v="HPBL4/26-27/SII01075"/>
    <s v="WIP00023"/>
    <x v="0"/>
    <m/>
    <s v="HPBL4/RAW/26-27/438"/>
    <n v="6495"/>
    <n v="6495"/>
    <s v="Kgs"/>
    <n v="6495"/>
    <n v="0"/>
    <n v="6495"/>
    <s v="gj12bt2409"/>
    <s v="Plastene India ltd - Unit 1-Purchase"/>
    <s v="Plastene India ltd - Unit 1-Purchase"/>
    <s v="PIL1/D/1246"/>
    <d v="2026-02-08T00:00:00"/>
    <s v="RAW MATERIAL"/>
    <s v="INDIGENOUS"/>
    <s v="RM 469"/>
    <n v="144.49"/>
    <n v="144.49"/>
    <s v="PIL1/D/1246"/>
    <d v="2026-02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393120.42"/>
    <s v="SF"/>
    <s v="PP/PE Fabric"/>
    <s v="PP UL Fabric"/>
    <s v="RM"/>
    <s v="erp"/>
    <n v="0"/>
    <n v="938462.55"/>
    <n v="1023"/>
    <d v="2026-02-08T00:00:00"/>
    <s v="24AAACO3087C1ZT"/>
    <s v="storepil6"/>
    <s v="storepil6"/>
    <n v="9"/>
    <n v="84461.63"/>
    <n v="9"/>
    <n v="84461.63"/>
    <n v="0"/>
    <n v="0"/>
    <n v="0"/>
    <n v="682155731075"/>
    <d v="2026-08-02T00:00:00"/>
    <n v="0"/>
  </r>
  <r>
    <s v="HCP Plastene Bulkpack Ltd (Unit - IV)"/>
    <d v="2026-02-08T00:00:00"/>
    <s v="HPBL4/26-27/SII01077"/>
    <s v="WIP00023"/>
    <x v="0"/>
    <m/>
    <s v="HPBL4/RAW/26-27/439"/>
    <n v="1162"/>
    <n v="1162"/>
    <s v="Kgs"/>
    <n v="1162"/>
    <n v="0"/>
    <n v="1162"/>
    <s v="gj12bt2409"/>
    <s v="Plastene India ltd - Unit 1-Purchase"/>
    <s v="Plastene India ltd - Unit 1-Purchase"/>
    <s v="PIL1/D/1250"/>
    <d v="2026-02-08T00:00:00"/>
    <s v="RAW MATERIAL"/>
    <s v="INDIGENOUS"/>
    <s v="RM 471"/>
    <n v="139.08000000000001"/>
    <n v="139.08000000000001"/>
    <s v="PIL1/D/1250"/>
    <d v="2026-02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769586.52"/>
    <s v="SF"/>
    <s v="PP/PE Fabric"/>
    <s v="PP UL Fabric"/>
    <s v="RM"/>
    <s v="erp"/>
    <n v="0"/>
    <n v="161610.96"/>
    <n v="1027"/>
    <d v="2026-02-08T00:00:00"/>
    <s v="24AAACO3087C1ZT"/>
    <s v="storepil6"/>
    <s v="storepil6"/>
    <n v="9"/>
    <n v="14544.99"/>
    <n v="9"/>
    <n v="14544.99"/>
    <n v="0"/>
    <n v="0"/>
    <n v="769586.52"/>
    <n v="672155787963"/>
    <d v="2026-08-02T00:00:00"/>
    <n v="0"/>
  </r>
  <r>
    <s v="HCP Plastene Bulkpack Ltd (Unit - IV)"/>
    <d v="2026-02-08T00:00:00"/>
    <s v="HPBL4/26-27/SII01077"/>
    <s v="wip00013"/>
    <x v="3"/>
    <m/>
    <s v="HPBL4/RAW/26-27/439"/>
    <n v="632"/>
    <n v="632"/>
    <s v="Kgs"/>
    <n v="632"/>
    <n v="0"/>
    <n v="632"/>
    <s v="gj12bt2409"/>
    <s v="Plastene India ltd - Unit 1-Purchase"/>
    <s v="Plastene India ltd - Unit 1-Purchase"/>
    <s v="PIL1/D/1250"/>
    <d v="2026-02-08T00:00:00"/>
    <s v="RAW MATERIAL"/>
    <s v="INDIGENOUS"/>
    <s v="RM 471"/>
    <n v="179.86"/>
    <n v="179.86"/>
    <s v="PIL1/D/1250"/>
    <d v="2026-02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769586.52"/>
    <s v="SF"/>
    <s v="Liners"/>
    <s v="LDPE/LLDPE Bags"/>
    <s v="RM"/>
    <s v="erp"/>
    <n v="0"/>
    <n v="113671.52"/>
    <n v="1027"/>
    <d v="2026-02-08T00:00:00"/>
    <s v="24AAACO3087C1ZT"/>
    <s v="storepil6"/>
    <s v="storepil6"/>
    <n v="9"/>
    <n v="10230.44"/>
    <n v="9"/>
    <n v="10230.44"/>
    <n v="0"/>
    <n v="0"/>
    <n v="0"/>
    <n v="672155787963"/>
    <d v="2026-08-02T00:00:00"/>
    <n v="0"/>
  </r>
  <r>
    <s v="HCP Plastene Bulkpack Ltd (Unit - IV)"/>
    <d v="2026-02-08T00:00:00"/>
    <s v="HPBL4/26-27/SII01077"/>
    <s v="wip00013"/>
    <x v="3"/>
    <m/>
    <s v="HPBL4/RAW/26-27/439"/>
    <n v="351"/>
    <n v="351"/>
    <s v="Kgs"/>
    <n v="351"/>
    <n v="0"/>
    <n v="351"/>
    <s v="gj12bt2409"/>
    <s v="Plastene India ltd - Unit 1-Purchase"/>
    <s v="Plastene India ltd - Unit 1-Purchase"/>
    <s v="PIL1/D/1250"/>
    <d v="2026-02-08T00:00:00"/>
    <s v="RAW MATERIAL"/>
    <s v="INDIGENOUS"/>
    <s v="RM 471"/>
    <n v="176.86"/>
    <n v="176.86"/>
    <s v="PIL1/D/1250"/>
    <d v="2026-02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769586.52"/>
    <s v="SF"/>
    <s v="Liners"/>
    <s v="LDPE/LLDPE Bags"/>
    <s v="RM"/>
    <s v="erp"/>
    <n v="0"/>
    <n v="62077.86"/>
    <n v="1027"/>
    <d v="2026-02-08T00:00:00"/>
    <s v="24AAACO3087C1ZT"/>
    <s v="storepil6"/>
    <s v="storepil6"/>
    <n v="9"/>
    <n v="5587.01"/>
    <n v="9"/>
    <n v="5587.01"/>
    <n v="0"/>
    <n v="0"/>
    <n v="0"/>
    <n v="672155787963"/>
    <d v="2026-08-02T00:00:00"/>
    <n v="0"/>
  </r>
  <r>
    <s v="HCP Plastene Bulkpack Ltd (Unit - IV)"/>
    <d v="2026-02-08T00:00:00"/>
    <s v="HPBL4/26-27/SII01077"/>
    <s v="WIP00032"/>
    <x v="2"/>
    <m/>
    <s v="HPBL4/RAW/26-27/439"/>
    <n v="1485.2"/>
    <n v="1485.2"/>
    <s v="Kgs"/>
    <n v="1485.2"/>
    <n v="0"/>
    <n v="1485.2"/>
    <s v="gj12bt2409"/>
    <s v="Plastene India ltd - Unit 1-Purchase"/>
    <s v="Plastene India ltd - Unit 1-Purchase"/>
    <s v="PIL1/D/1250"/>
    <d v="2026-02-08T00:00:00"/>
    <s v="RAW MATERIAL"/>
    <s v="INDIGENOUS"/>
    <s v="RM 471"/>
    <n v="144.08000000000001"/>
    <n v="144.08000000000001"/>
    <s v="PIL1/D/1250"/>
    <d v="2026-02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769586.52"/>
    <s v="SF"/>
    <s v="Webbing"/>
    <s v="PP Webbing"/>
    <s v="RM"/>
    <s v="erp"/>
    <n v="0"/>
    <n v="213987.62"/>
    <n v="1027"/>
    <d v="2026-02-08T00:00:00"/>
    <s v="24AAACO3087C1ZT"/>
    <s v="storepil6"/>
    <s v="storepil6"/>
    <n v="9"/>
    <n v="19258.89"/>
    <n v="9"/>
    <n v="19258.89"/>
    <n v="0"/>
    <n v="0"/>
    <n v="0"/>
    <n v="672155787963"/>
    <d v="2026-08-02T00:00:00"/>
    <n v="0"/>
  </r>
  <r>
    <s v="HCP Plastene Bulkpack Ltd (Unit - IV)"/>
    <d v="2026-02-08T00:00:00"/>
    <s v="HPBL4/26-27/SII01077"/>
    <s v="WIP00032"/>
    <x v="2"/>
    <m/>
    <s v="HPBL4/RAW/26-27/439"/>
    <n v="714.8"/>
    <n v="714.8"/>
    <s v="Kgs"/>
    <n v="714.8"/>
    <n v="0"/>
    <n v="714.8"/>
    <s v="gj12bt2409"/>
    <s v="Plastene India ltd - Unit 1-Purchase"/>
    <s v="Plastene India ltd - Unit 1-Purchase"/>
    <s v="PIL1/D/1250"/>
    <d v="2026-02-08T00:00:00"/>
    <s v="RAW MATERIAL"/>
    <s v="INDIGENOUS"/>
    <s v="RM 471"/>
    <n v="141.08000000000001"/>
    <n v="141.08000000000001"/>
    <s v="PIL1/D/1250"/>
    <d v="2026-02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769586.52"/>
    <s v="SF"/>
    <s v="Webbing"/>
    <s v="PP Webbing"/>
    <s v="RM"/>
    <s v="erp"/>
    <n v="0"/>
    <n v="100843.98"/>
    <n v="1027"/>
    <d v="2026-02-08T00:00:00"/>
    <s v="24AAACO3087C1ZT"/>
    <s v="storepil6"/>
    <s v="storepil6"/>
    <n v="9"/>
    <n v="9075.9599999999991"/>
    <n v="9"/>
    <n v="9075.9599999999991"/>
    <n v="0"/>
    <n v="0"/>
    <n v="0"/>
    <n v="672155787963"/>
    <d v="2026-08-02T00:00:00"/>
    <n v="0"/>
  </r>
  <r>
    <s v="HCP Plastene Bulkpack Ltd (Unit - IV)"/>
    <d v="2026-03-08T00:00:00"/>
    <s v="HPBL4/26-27/SII01078"/>
    <s v="WIP00004"/>
    <x v="4"/>
    <m/>
    <s v="HPBL4/RAW/26-27/440"/>
    <n v="7506.8"/>
    <n v="7506.8"/>
    <s v="Kgs"/>
    <n v="7506.8"/>
    <n v="0"/>
    <n v="7506.8"/>
    <s v="GJ12BY1595"/>
    <s v="Plastene India ltd - Unit 1-Purchase"/>
    <s v="Plastene India ltd - Unit 1-Purchase"/>
    <s v="PIL1/D/1255"/>
    <d v="2026-03-08T00:00:00"/>
    <s v="RAW MATERIAL"/>
    <s v="INDIGENOUS"/>
    <s v="RM 472"/>
    <n v="276.67"/>
    <n v="276.67000067698899"/>
    <s v="PIL1/D/1255"/>
    <d v="2026-03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3269418.81"/>
    <s v="FG"/>
    <s v="FIBC Bags"/>
    <s v="FIBC Bags"/>
    <s v="FG"/>
    <s v="erp"/>
    <n v="0"/>
    <n v="2076906.36"/>
    <n v="1029"/>
    <d v="2026-03-08T00:00:00"/>
    <s v="24AAACO3087C1ZT"/>
    <s v="storepil6"/>
    <s v="storepil6"/>
    <n v="9"/>
    <n v="186921.57"/>
    <n v="9"/>
    <n v="186921.57"/>
    <n v="0"/>
    <n v="0"/>
    <n v="3269418.81"/>
    <n v="642156046918"/>
    <d v="2026-08-03T00:00:00"/>
    <n v="0"/>
  </r>
  <r>
    <s v="HCP Plastene Bulkpack Ltd (Unit - IV)"/>
    <d v="2026-03-08T00:00:00"/>
    <s v="HPBL4/26-27/SII01078"/>
    <s v="WIP00004"/>
    <x v="4"/>
    <m/>
    <s v="HPBL4/RAW/26-27/440"/>
    <n v="2732.2"/>
    <n v="2732.2"/>
    <s v="Kgs"/>
    <n v="2732.2"/>
    <n v="0"/>
    <n v="2732.2"/>
    <s v="GJ12BY1595"/>
    <s v="Plastene India ltd - Unit 1-Purchase"/>
    <s v="Plastene India ltd - Unit 1-Purchase"/>
    <s v="PIL1/D/1255"/>
    <d v="2026-03-08T00:00:00"/>
    <s v="RAW MATERIAL"/>
    <s v="INDIGENOUS"/>
    <s v="RM 472"/>
    <n v="253.93"/>
    <n v="253.93000062134601"/>
    <s v="PIL1/D/1255"/>
    <d v="2026-03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3269418.81"/>
    <s v="FG"/>
    <s v="FIBC Bags"/>
    <s v="FIBC Bags"/>
    <s v="FG"/>
    <s v="erp"/>
    <n v="0"/>
    <n v="693787.55"/>
    <n v="1029"/>
    <d v="2026-03-08T00:00:00"/>
    <s v="24AAACO3087C1ZT"/>
    <s v="storepil6"/>
    <s v="storepil6"/>
    <n v="9"/>
    <n v="62440.88"/>
    <n v="9"/>
    <n v="62440.88"/>
    <n v="0"/>
    <n v="0"/>
    <n v="0"/>
    <n v="642156046918"/>
    <d v="2026-08-03T00:00:00"/>
    <n v="0"/>
  </r>
  <r>
    <s v="HCP Plastene Bulkpack Ltd (Unit - IV)"/>
    <d v="2026-03-08T00:00:00"/>
    <s v="HPBL4/26-27/SII01080"/>
    <s v="WIP00023"/>
    <x v="0"/>
    <m/>
    <s v="HPBL4/RAW/26-27/441"/>
    <n v="1094"/>
    <n v="1094"/>
    <s v="Kgs"/>
    <n v="1094"/>
    <n v="0"/>
    <n v="1094"/>
    <s v="gj12bt2409"/>
    <s v="Plastene India ltd - Unit 1-Purchase"/>
    <s v="Plastene India ltd - Unit 1-Purchase"/>
    <s v="PIL1/D/1254"/>
    <d v="2026-03-08T00:00:00"/>
    <s v="RAW MATERIAL"/>
    <s v="INDIGENOUS"/>
    <s v="RM 473"/>
    <n v="141.08000000000001"/>
    <n v="141.08000000000001"/>
    <s v="PIL1/D/1254"/>
    <d v="2026-03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280212.46"/>
    <s v="SF"/>
    <s v="PP/PE Fabric"/>
    <s v="PP UL Fabric"/>
    <s v="RM"/>
    <s v="erp"/>
    <n v="0"/>
    <n v="154341.51999999999"/>
    <n v="1028"/>
    <d v="2026-03-08T00:00:00"/>
    <s v="24AAACO3087C1ZT"/>
    <s v="storepil6"/>
    <s v="storepil6"/>
    <n v="9"/>
    <n v="13890.74"/>
    <n v="9"/>
    <n v="13890.74"/>
    <n v="0"/>
    <n v="0"/>
    <n v="1280212.46"/>
    <n v="662155986215"/>
    <d v="2026-08-03T00:00:00"/>
    <n v="0"/>
  </r>
  <r>
    <s v="HCP Plastene Bulkpack Ltd (Unit - IV)"/>
    <d v="2026-03-08T00:00:00"/>
    <s v="HPBL4/26-27/SII01080"/>
    <s v="WIP00023"/>
    <x v="0"/>
    <m/>
    <s v="HPBL4/RAW/26-27/441"/>
    <n v="6691"/>
    <n v="6691"/>
    <s v="Kgs"/>
    <n v="6691"/>
    <n v="0"/>
    <n v="6691"/>
    <s v="gj12bt2409"/>
    <s v="Plastene India ltd - Unit 1-Purchase"/>
    <s v="Plastene India ltd - Unit 1-Purchase"/>
    <s v="PIL1/D/1254"/>
    <d v="2026-03-08T00:00:00"/>
    <s v="RAW MATERIAL"/>
    <s v="INDIGENOUS"/>
    <s v="RM 473"/>
    <n v="139.08000000000001"/>
    <n v="139.08000000000001"/>
    <s v="PIL1/D/1254"/>
    <d v="2026-03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280212.46"/>
    <s v="SF"/>
    <s v="PP/PE Fabric"/>
    <s v="PP UL Fabric"/>
    <s v="RM"/>
    <s v="erp"/>
    <n v="0"/>
    <n v="930584.28"/>
    <n v="1028"/>
    <d v="2026-03-08T00:00:00"/>
    <s v="24AAACO3087C1ZT"/>
    <s v="storepil6"/>
    <s v="storepil6"/>
    <n v="9"/>
    <n v="83752.59"/>
    <n v="9"/>
    <n v="83752.59"/>
    <n v="0"/>
    <n v="0"/>
    <n v="0"/>
    <n v="662155986215"/>
    <d v="2026-08-03T00:00:00"/>
    <n v="0"/>
  </r>
  <r>
    <s v="HCP Plastene Bulkpack Ltd (Unit - IV)"/>
    <d v="2026-03-08T00:00:00"/>
    <s v="HPBL4/26-27/SII01081"/>
    <s v="WIP00023"/>
    <x v="0"/>
    <m/>
    <s v="HPBL4/RAW/26-27/442"/>
    <n v="2107"/>
    <n v="2107"/>
    <s v="Kgs"/>
    <n v="2107"/>
    <n v="0"/>
    <n v="2107"/>
    <s v="gj12bt2409"/>
    <s v="Plastene India ltd - Unit 1-Purchase"/>
    <s v="Plastene India ltd - Unit 1-Purchase"/>
    <s v="PIL1/D/1260"/>
    <d v="2026-03-08T00:00:00"/>
    <s v="RAW MATERIAL"/>
    <s v="INDIGENOUS"/>
    <s v="RM 474"/>
    <n v="139.08000000000001"/>
    <n v="139.08000000000001"/>
    <s v="PIL1/D/1260"/>
    <d v="2026-03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654294.57"/>
    <s v="SF"/>
    <s v="PP/PE Fabric"/>
    <s v="PP UL Fabric"/>
    <s v="RM"/>
    <s v="erp"/>
    <n v="0"/>
    <n v="293041.56"/>
    <n v="1038"/>
    <d v="2026-03-08T00:00:00"/>
    <s v="24AAACO3087C1ZT"/>
    <s v="storepil6"/>
    <s v="storepil6"/>
    <n v="9"/>
    <n v="26373.74"/>
    <n v="9"/>
    <n v="26373.74"/>
    <n v="0"/>
    <n v="0"/>
    <n v="1654294.57"/>
    <n v="632156234396"/>
    <d v="2026-08-03T00:00:00"/>
    <n v="0"/>
  </r>
  <r>
    <s v="HCP Plastene Bulkpack Ltd (Unit - IV)"/>
    <d v="2026-03-08T00:00:00"/>
    <s v="HPBL4/26-27/SII01081"/>
    <s v="WIP00023"/>
    <x v="0"/>
    <m/>
    <s v="HPBL4/RAW/26-27/442"/>
    <n v="241"/>
    <n v="241"/>
    <s v="Kgs"/>
    <n v="241"/>
    <n v="0"/>
    <n v="241"/>
    <s v="gj12bt2409"/>
    <s v="Plastene India ltd - Unit 1-Purchase"/>
    <s v="Plastene India ltd - Unit 1-Purchase"/>
    <s v="PIL1/D/1260"/>
    <d v="2026-03-08T00:00:00"/>
    <s v="RAW MATERIAL"/>
    <s v="INDIGENOUS"/>
    <s v="RM 474"/>
    <n v="141.08000000000001"/>
    <n v="141.08000000000001"/>
    <s v="PIL1/D/1260"/>
    <d v="2026-03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654294.57"/>
    <s v="SF"/>
    <s v="PP/PE Fabric"/>
    <s v="PP UL Fabric"/>
    <s v="RM"/>
    <s v="erp"/>
    <n v="0"/>
    <n v="34000.28"/>
    <n v="1038"/>
    <d v="2026-03-08T00:00:00"/>
    <s v="24AAACO3087C1ZT"/>
    <s v="storepil6"/>
    <s v="storepil6"/>
    <n v="9"/>
    <n v="3060.03"/>
    <n v="9"/>
    <n v="3060.03"/>
    <n v="0"/>
    <n v="0"/>
    <n v="0"/>
    <n v="632156234396"/>
    <d v="2026-08-03T00:00:00"/>
    <n v="0"/>
  </r>
  <r>
    <s v="HCP Plastene Bulkpack Ltd (Unit - IV)"/>
    <d v="2026-03-08T00:00:00"/>
    <s v="HPBL4/26-27/SII01081"/>
    <s v="wip00013"/>
    <x v="3"/>
    <m/>
    <s v="HPBL4/RAW/26-27/442"/>
    <n v="2886.5"/>
    <n v="2886.5"/>
    <s v="Kgs"/>
    <n v="2886.5"/>
    <n v="0"/>
    <n v="2886.5"/>
    <s v="gj12bt2409"/>
    <s v="Plastene India ltd - Unit 1-Purchase"/>
    <s v="Plastene India ltd - Unit 1-Purchase"/>
    <s v="PIL1/D/1260"/>
    <d v="2026-03-08T00:00:00"/>
    <s v="RAW MATERIAL"/>
    <s v="INDIGENOUS"/>
    <s v="RM 474"/>
    <n v="176.86"/>
    <n v="176.86"/>
    <s v="PIL1/D/1260"/>
    <d v="2026-03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654294.57"/>
    <s v="SF"/>
    <s v="Liners"/>
    <s v="LDPE/LLDPE Bags"/>
    <s v="RM"/>
    <s v="erp"/>
    <n v="0"/>
    <n v="510506.39"/>
    <n v="1038"/>
    <d v="2026-03-08T00:00:00"/>
    <s v="24AAACO3087C1ZT"/>
    <s v="storepil6"/>
    <s v="storepil6"/>
    <n v="9"/>
    <n v="45945.58"/>
    <n v="9"/>
    <n v="45945.58"/>
    <n v="0"/>
    <n v="0"/>
    <n v="0"/>
    <n v="632156234396"/>
    <d v="2026-08-03T00:00:00"/>
    <n v="0"/>
  </r>
  <r>
    <s v="HCP Plastene Bulkpack Ltd (Unit - IV)"/>
    <d v="2026-03-08T00:00:00"/>
    <s v="HPBL4/26-27/SII01081"/>
    <s v="WIP00032"/>
    <x v="2"/>
    <m/>
    <s v="HPBL4/RAW/26-27/442"/>
    <n v="1097.7"/>
    <n v="1097.7"/>
    <s v="Kgs"/>
    <n v="1097.7"/>
    <n v="0"/>
    <n v="1097.7"/>
    <s v="gj12bt2409"/>
    <s v="Plastene India ltd - Unit 1-Purchase"/>
    <s v="Plastene India ltd - Unit 1-Purchase"/>
    <s v="PIL1/D/1260"/>
    <d v="2026-03-08T00:00:00"/>
    <s v="RAW MATERIAL"/>
    <s v="INDIGENOUS"/>
    <s v="RM 474"/>
    <n v="144.08000000000001"/>
    <n v="144.08000000000001"/>
    <s v="PIL1/D/1260"/>
    <d v="2026-03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654294.57"/>
    <s v="SF"/>
    <s v="Webbing"/>
    <s v="PP Webbing"/>
    <s v="RM"/>
    <s v="erp"/>
    <n v="0"/>
    <n v="158156.62"/>
    <n v="1038"/>
    <d v="2026-03-08T00:00:00"/>
    <s v="24AAACO3087C1ZT"/>
    <s v="storepil6"/>
    <s v="storepil6"/>
    <n v="9"/>
    <n v="14234.1"/>
    <n v="9"/>
    <n v="14234.1"/>
    <n v="0"/>
    <n v="0"/>
    <n v="0"/>
    <n v="632156234396"/>
    <d v="2026-08-03T00:00:00"/>
    <n v="0"/>
  </r>
  <r>
    <s v="HCP Plastene Bulkpack Ltd (Unit - IV)"/>
    <d v="2026-03-08T00:00:00"/>
    <s v="HPBL4/26-27/SII01081"/>
    <s v="WIP00032"/>
    <x v="2"/>
    <m/>
    <s v="HPBL4/RAW/26-27/442"/>
    <n v="367.3"/>
    <n v="367.3"/>
    <s v="Kgs"/>
    <n v="367.3"/>
    <n v="0"/>
    <n v="367.3"/>
    <s v="gj12bt2409"/>
    <s v="Plastene India ltd - Unit 1-Purchase"/>
    <s v="Plastene India ltd - Unit 1-Purchase"/>
    <s v="PIL1/D/1260"/>
    <d v="2026-03-08T00:00:00"/>
    <s v="RAW MATERIAL"/>
    <s v="INDIGENOUS"/>
    <s v="RM 474"/>
    <n v="141.08000000000001"/>
    <n v="141.08000000000001"/>
    <s v="PIL1/D/1260"/>
    <d v="2026-03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654294.57"/>
    <s v="SF"/>
    <s v="Webbing"/>
    <s v="PP Webbing"/>
    <s v="RM"/>
    <s v="erp"/>
    <n v="0"/>
    <n v="51818.68"/>
    <n v="1038"/>
    <d v="2026-03-08T00:00:00"/>
    <s v="24AAACO3087C1ZT"/>
    <s v="storepil6"/>
    <s v="storepil6"/>
    <n v="9"/>
    <n v="4663.68"/>
    <n v="9"/>
    <n v="4663.68"/>
    <n v="0"/>
    <n v="0"/>
    <n v="0"/>
    <n v="632156234396"/>
    <d v="2026-08-03T00:00:00"/>
    <n v="0"/>
  </r>
  <r>
    <s v="HCP Plastene Bulkpack Ltd (Unit - IV)"/>
    <d v="2026-03-08T00:00:00"/>
    <s v="HPBL4/26-27/SII01081"/>
    <s v="WIP00025"/>
    <x v="1"/>
    <m/>
    <s v="HPBL4/RAW/26-27/442"/>
    <n v="1675"/>
    <n v="1675"/>
    <s v="Kgs"/>
    <n v="1675"/>
    <n v="0"/>
    <n v="1675"/>
    <s v="gj12bt2409"/>
    <s v="Plastene India ltd - Unit 1-Purchase"/>
    <s v="Plastene India ltd - Unit 1-Purchase"/>
    <s v="PIL1/D/1260"/>
    <d v="2026-03-08T00:00:00"/>
    <s v="RAW MATERIAL"/>
    <s v="INDIGENOUS"/>
    <s v="RM 474"/>
    <n v="146.08000000000001"/>
    <n v="146.08000000000001"/>
    <s v="PIL1/D/1260"/>
    <d v="2026-03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654294.57"/>
    <s v="SF"/>
    <s v="PP/PE Fabric"/>
    <s v="PP Lam Fabric"/>
    <s v="RM"/>
    <s v="erp"/>
    <n v="0"/>
    <n v="244684"/>
    <n v="1038"/>
    <d v="2026-03-08T00:00:00"/>
    <s v="24AAACO3087C1ZT"/>
    <s v="storepil6"/>
    <s v="storepil6"/>
    <n v="9"/>
    <n v="22021.56"/>
    <n v="9"/>
    <n v="22021.56"/>
    <n v="0"/>
    <n v="0"/>
    <n v="0"/>
    <n v="632156234396"/>
    <d v="2026-08-03T00:00:00"/>
    <n v="0"/>
  </r>
  <r>
    <s v="HCP Plastene Bulkpack Ltd (Unit - IV)"/>
    <d v="2026-03-08T00:00:00"/>
    <s v="HPBL4/26-27/SII01081"/>
    <s v="WIP00025"/>
    <x v="1"/>
    <m/>
    <s v="HPBL4/RAW/26-27/442"/>
    <n v="200"/>
    <n v="200"/>
    <s v="Kgs"/>
    <n v="200"/>
    <n v="0"/>
    <n v="200"/>
    <s v="gj12bt2409"/>
    <s v="Plastene India ltd - Unit 1-Purchase"/>
    <s v="Plastene India ltd - Unit 1-Purchase"/>
    <s v="PIL1/D/1260"/>
    <d v="2026-03-08T00:00:00"/>
    <s v="RAW MATERIAL"/>
    <s v="INDIGENOUS"/>
    <s v="RM 474"/>
    <n v="143.08000000000001"/>
    <n v="143.08000000000001"/>
    <s v="PIL1/D/1260"/>
    <d v="2026-03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654294.57"/>
    <s v="SF"/>
    <s v="PP/PE Fabric"/>
    <s v="PP Lam Fabric"/>
    <s v="RM"/>
    <s v="erp"/>
    <n v="0"/>
    <n v="28616"/>
    <n v="1038"/>
    <d v="2026-03-08T00:00:00"/>
    <s v="24AAACO3087C1ZT"/>
    <s v="storepil6"/>
    <s v="storepil6"/>
    <n v="9"/>
    <n v="2575.44"/>
    <n v="9"/>
    <n v="2575.44"/>
    <n v="0"/>
    <n v="0"/>
    <n v="0"/>
    <n v="632156234396"/>
    <d v="2026-08-03T00:00:00"/>
    <n v="0"/>
  </r>
  <r>
    <s v="HCP Plastene Bulkpack Ltd (Unit - IV)"/>
    <d v="2026-03-08T00:00:00"/>
    <s v="HPBL4/26-27/SII01081"/>
    <s v="WIP00025"/>
    <x v="1"/>
    <m/>
    <s v="HPBL4/RAW/26-27/442"/>
    <n v="575"/>
    <n v="575"/>
    <s v="Kgs"/>
    <n v="575"/>
    <n v="0"/>
    <n v="575"/>
    <s v="gj12bt2409"/>
    <s v="Plastene India ltd - Unit 1-Purchase"/>
    <s v="Plastene India ltd - Unit 1-Purchase"/>
    <s v="PIL1/D/1260"/>
    <d v="2026-03-08T00:00:00"/>
    <s v="RAW MATERIAL"/>
    <s v="INDIGENOUS"/>
    <s v="RM 474"/>
    <n v="141.08000000000001"/>
    <n v="141.08000000000001"/>
    <s v="PIL1/D/1260"/>
    <d v="2026-03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654294.57"/>
    <s v="SF"/>
    <s v="PP/PE Fabric"/>
    <s v="PP Lam Fabric"/>
    <s v="RM"/>
    <s v="erp"/>
    <n v="0"/>
    <n v="81121"/>
    <n v="1038"/>
    <d v="2026-03-08T00:00:00"/>
    <s v="24AAACO3087C1ZT"/>
    <s v="storepil6"/>
    <s v="storepil6"/>
    <n v="9"/>
    <n v="7300.89"/>
    <n v="9"/>
    <n v="7300.89"/>
    <n v="0"/>
    <n v="0"/>
    <n v="0"/>
    <n v="632156234396"/>
    <d v="2026-08-03T00:00:00"/>
    <n v="0"/>
  </r>
  <r>
    <s v="HCP Plastene Bulkpack Ltd (Unit - IV)"/>
    <d v="2026-03-08T00:00:00"/>
    <s v="HPBL4/26-27/SII01085"/>
    <s v="WIP00025"/>
    <x v="1"/>
    <m/>
    <s v="HPBL4/RAW/26-27/443"/>
    <n v="475"/>
    <n v="475"/>
    <s v="Kgs"/>
    <n v="475"/>
    <n v="0"/>
    <n v="475"/>
    <s v="GJ12BY0479"/>
    <s v="Plastene India ltd - Unit 1-Purchase"/>
    <s v="Plastene India ltd - Unit 1-Purchase"/>
    <s v="PIL1/D/1247."/>
    <d v="2026-02-08T00:00:00"/>
    <s v="RAW MATERIAL"/>
    <s v="INDIGENOUS"/>
    <s v="RM 475"/>
    <n v="141.08000000000001"/>
    <n v="141.08000000000001"/>
    <s v="PIL1/D/1247."/>
    <d v="2026-02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139280.8"/>
    <s v="SF"/>
    <s v="PP/PE Fabric"/>
    <s v="PP Lam Fabric"/>
    <s v="RM"/>
    <s v="erp"/>
    <n v="0"/>
    <n v="67013"/>
    <n v="1024"/>
    <d v="2026-02-08T00:00:00"/>
    <s v="24AAACO3087C1ZT"/>
    <s v="storepil6"/>
    <s v="storepil6"/>
    <n v="9"/>
    <n v="6031.17"/>
    <n v="9"/>
    <n v="6031.17"/>
    <n v="0"/>
    <n v="0"/>
    <n v="1139280.8"/>
    <n v="622155749153"/>
    <d v="2026-08-02T00:00:00"/>
    <n v="0"/>
  </r>
  <r>
    <s v="HCP Plastene Bulkpack Ltd (Unit - IV)"/>
    <d v="2026-03-08T00:00:00"/>
    <s v="HPBL4/26-27/SII01085"/>
    <s v="WIP00025"/>
    <x v="1"/>
    <m/>
    <s v="HPBL4/RAW/26-27/443"/>
    <n v="701"/>
    <n v="701"/>
    <s v="Kgs"/>
    <n v="701"/>
    <n v="0"/>
    <n v="701"/>
    <s v="GJ12BY0479"/>
    <s v="Plastene India ltd - Unit 1-Purchase"/>
    <s v="Plastene India ltd - Unit 1-Purchase"/>
    <s v="PIL1/D/1247."/>
    <d v="2026-02-08T00:00:00"/>
    <s v="RAW MATERIAL"/>
    <s v="INDIGENOUS"/>
    <s v="RM 475"/>
    <n v="143.08000000000001"/>
    <n v="143.08000000000001"/>
    <s v="PIL1/D/1247."/>
    <d v="2026-02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139280.8"/>
    <s v="SF"/>
    <s v="PP/PE Fabric"/>
    <s v="PP Lam Fabric"/>
    <s v="RM"/>
    <s v="erp"/>
    <n v="0"/>
    <n v="100299.08"/>
    <n v="1024"/>
    <d v="2026-02-08T00:00:00"/>
    <s v="24AAACO3087C1ZT"/>
    <s v="storepil6"/>
    <s v="storepil6"/>
    <n v="9"/>
    <n v="9026.92"/>
    <n v="9"/>
    <n v="9026.92"/>
    <n v="0"/>
    <n v="0"/>
    <n v="0"/>
    <n v="622155749153"/>
    <d v="2026-08-02T00:00:00"/>
    <n v="0"/>
  </r>
  <r>
    <s v="HCP Plastene Bulkpack Ltd (Unit - IV)"/>
    <d v="2026-03-08T00:00:00"/>
    <s v="HPBL4/26-27/SII01085"/>
    <s v="WIP00023"/>
    <x v="0"/>
    <m/>
    <s v="HPBL4/RAW/26-27/443"/>
    <n v="5739"/>
    <n v="5739"/>
    <s v="Kgs"/>
    <n v="5739"/>
    <n v="0"/>
    <n v="5739"/>
    <s v="GJ12BY0479"/>
    <s v="Plastene India ltd - Unit 1-Purchase"/>
    <s v="Plastene India ltd - Unit 1-Purchase"/>
    <s v="PIL1/D/1247."/>
    <d v="2026-02-08T00:00:00"/>
    <s v="RAW MATERIAL"/>
    <s v="INDIGENOUS"/>
    <s v="RM 475"/>
    <n v="139.08000000000001"/>
    <n v="139.08000000000001"/>
    <s v="PIL1/D/1247."/>
    <d v="2026-02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139280.8"/>
    <s v="SF"/>
    <s v="PP/PE Fabric"/>
    <s v="PP UL Fabric"/>
    <s v="RM"/>
    <s v="erp"/>
    <n v="0"/>
    <n v="798180.12"/>
    <n v="1024"/>
    <d v="2026-02-08T00:00:00"/>
    <s v="24AAACO3087C1ZT"/>
    <s v="storepil6"/>
    <s v="storepil6"/>
    <n v="9"/>
    <n v="71836.210000000006"/>
    <n v="9"/>
    <n v="71836.210000000006"/>
    <n v="0"/>
    <n v="0"/>
    <n v="0"/>
    <n v="622155749153"/>
    <d v="2026-08-02T00:00:00"/>
    <n v="0"/>
  </r>
  <r>
    <s v="HCP Plastene Bulkpack Ltd (Unit - IV)"/>
    <d v="2026-04-08T00:00:00"/>
    <s v="HPBL4/26-27/SII01087"/>
    <s v="SMF00215"/>
    <x v="5"/>
    <m/>
    <s v="HPBL4/RAW/26-27/444"/>
    <n v="1600"/>
    <n v="1600"/>
    <s v="Pcs"/>
    <n v="1600"/>
    <n v="0"/>
    <n v="1600"/>
    <s v="GJ12BU0544"/>
    <s v="Plastene Polyfilms Ltd-Purchase"/>
    <s v="Plastene Polyfilms Ltd-Purchase"/>
    <s v="PPL/D/448"/>
    <d v="2026-04-08T00:00:00"/>
    <s v="RAW MATERIAL"/>
    <s v="INDIGENOUS"/>
    <s v="RM 476"/>
    <n v="1.0129999999999999"/>
    <n v="1.0129950578985001"/>
    <s v="PPL/D/448"/>
    <d v="2026-04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92674.18"/>
    <s v="SF"/>
    <s v="Liners"/>
    <s v="LDPE/LLDPE Bags"/>
    <s v="RM"/>
    <s v="erp"/>
    <n v="0"/>
    <n v="1620.79"/>
    <n v="1046"/>
    <d v="2026-04-08T00:00:00"/>
    <s v="24AAFCP2956A1ZR"/>
    <s v="storepil6"/>
    <s v="storepil6"/>
    <n v="9"/>
    <n v="145.87"/>
    <n v="9"/>
    <n v="145.87"/>
    <n v="0"/>
    <n v="0"/>
    <n v="192674.18"/>
    <n v="662157045709"/>
    <d v="2026-08-04T00:00:00"/>
    <n v="0"/>
  </r>
  <r>
    <s v="HCP Plastene Bulkpack Ltd (Unit - IV)"/>
    <d v="2026-04-08T00:00:00"/>
    <s v="HPBL4/26-27/SII01087"/>
    <s v="FIG00001"/>
    <x v="6"/>
    <m/>
    <s v="HPBL4/RAW/26-27/444"/>
    <n v="701"/>
    <n v="701"/>
    <s v="Kgs"/>
    <n v="701"/>
    <n v="0"/>
    <n v="701"/>
    <s v="GJ12BU0544"/>
    <s v="Plastene Polyfilms Ltd-Purchase"/>
    <s v="Plastene Polyfilms Ltd-Purchase"/>
    <s v="PPL/D/448"/>
    <d v="2026-04-08T00:00:00"/>
    <s v="RAW MATERIAL"/>
    <s v="INDIGENOUS"/>
    <s v="RM 476"/>
    <n v="133.58000000000001"/>
    <n v="133.57934830610199"/>
    <s v="PPL/D/448"/>
    <d v="2026-04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92674.18"/>
    <s v="FG"/>
    <s v="FIBC WIP"/>
    <s v="FIBC WIP"/>
    <s v="RM"/>
    <s v="erp"/>
    <n v="0"/>
    <n v="93639.12"/>
    <n v="1046"/>
    <d v="2026-04-08T00:00:00"/>
    <s v="24AAFCP2956A1ZR"/>
    <s v="storepil6"/>
    <s v="storepil6"/>
    <n v="9"/>
    <n v="8427.56"/>
    <n v="9"/>
    <n v="8427.56"/>
    <n v="0"/>
    <n v="0"/>
    <n v="0"/>
    <n v="662157045709"/>
    <d v="2026-08-04T00:00:00"/>
    <n v="0"/>
  </r>
  <r>
    <s v="HCP Plastene Bulkpack Ltd (Unit - IV)"/>
    <d v="2026-04-08T00:00:00"/>
    <s v="HPBL4/26-27/SII01087"/>
    <s v="WIP00025"/>
    <x v="1"/>
    <m/>
    <s v="HPBL4/RAW/26-27/444"/>
    <n v="240"/>
    <n v="240"/>
    <s v="Kgs"/>
    <n v="240"/>
    <n v="0"/>
    <n v="240"/>
    <s v="GJ12BU0544"/>
    <s v="Plastene Polyfilms Ltd-Purchase"/>
    <s v="Plastene Polyfilms Ltd-Purchase"/>
    <s v="PPL/D/448"/>
    <d v="2026-04-08T00:00:00"/>
    <s v="RAW MATERIAL"/>
    <s v="INDIGENOUS"/>
    <s v="RM 476"/>
    <n v="137.58000000000001"/>
    <n v="137.57932879138701"/>
    <s v="PPL/D/448"/>
    <d v="2026-04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92674.18"/>
    <s v="SF"/>
    <s v="PP/PE Fabric"/>
    <s v="PP Lam Fabric"/>
    <s v="RM"/>
    <s v="erp"/>
    <n v="0"/>
    <n v="33019.040000000001"/>
    <n v="1046"/>
    <d v="2026-04-08T00:00:00"/>
    <s v="24AAFCP2956A1ZR"/>
    <s v="storepil6"/>
    <s v="storepil6"/>
    <n v="9"/>
    <n v="2971.73"/>
    <n v="9"/>
    <n v="2971.73"/>
    <n v="0"/>
    <n v="0"/>
    <n v="0"/>
    <n v="662157045709"/>
    <d v="2026-08-04T00:00:00"/>
    <n v="0"/>
  </r>
  <r>
    <s v="HCP Plastene Bulkpack Ltd (Unit - IV)"/>
    <d v="2026-04-08T00:00:00"/>
    <s v="HPBL4/26-27/SII01087"/>
    <s v="WIP00025"/>
    <x v="1"/>
    <m/>
    <s v="HPBL4/RAW/26-27/444"/>
    <n v="249"/>
    <n v="249"/>
    <s v="Kgs"/>
    <n v="249"/>
    <n v="0"/>
    <n v="249"/>
    <s v="GJ12BU0544"/>
    <s v="Plastene Polyfilms Ltd-Purchase"/>
    <s v="Plastene Polyfilms Ltd-Purchase"/>
    <s v="PPL/D/448"/>
    <d v="2026-04-08T00:00:00"/>
    <s v="RAW MATERIAL"/>
    <s v="INDIGENOUS"/>
    <s v="RM 476"/>
    <n v="140.58000000000001"/>
    <n v="140.579314155351"/>
    <s v="PPL/D/448"/>
    <d v="2026-04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92674.18"/>
    <s v="SF"/>
    <s v="PP/PE Fabric"/>
    <s v="PP Lam Fabric"/>
    <s v="RM"/>
    <s v="erp"/>
    <n v="0"/>
    <n v="35004.25"/>
    <n v="1046"/>
    <d v="2026-04-08T00:00:00"/>
    <s v="24AAFCP2956A1ZR"/>
    <s v="storepil6"/>
    <s v="storepil6"/>
    <n v="9"/>
    <n v="3150.4"/>
    <n v="9"/>
    <n v="3150.4"/>
    <n v="0"/>
    <n v="0"/>
    <n v="0"/>
    <n v="662157045709"/>
    <d v="2026-08-04T00:00:00"/>
    <n v="0"/>
  </r>
  <r>
    <s v="HCP Plastene Bulkpack Ltd (Unit - IV)"/>
    <d v="2026-04-08T00:00:00"/>
    <s v="HPBL4/26-27/SII01088"/>
    <s v="WIP00023"/>
    <x v="0"/>
    <m/>
    <s v="HPBL4/RAW/26-27/445"/>
    <n v="7252"/>
    <n v="7252"/>
    <s v="Kgs"/>
    <n v="7252"/>
    <n v="0"/>
    <n v="7252"/>
    <s v="gj12bt2409"/>
    <s v="Plastene India ltd - Unit 1-Purchase"/>
    <s v="Plastene India ltd - Unit 1-Purchase"/>
    <s v="PIL1/D/1267"/>
    <d v="2026-04-08T00:00:00"/>
    <s v="RAW MATERIAL"/>
    <s v="INDIGENOUS"/>
    <s v="RM 477"/>
    <n v="139.08000000000001"/>
    <n v="139.08000000000001"/>
    <s v="PIL1/D/1267"/>
    <d v="2026-04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324502.46"/>
    <s v="SF"/>
    <s v="PP/PE Fabric"/>
    <s v="PP UL Fabric"/>
    <s v="RM"/>
    <s v="erp"/>
    <n v="0"/>
    <n v="1008608.16"/>
    <n v="1039"/>
    <d v="2026-04-08T00:00:00"/>
    <s v="24AAACO3087C1ZT"/>
    <s v="storepil6"/>
    <s v="storepil6"/>
    <n v="9"/>
    <n v="90774.73"/>
    <n v="9"/>
    <n v="90774.73"/>
    <n v="0"/>
    <n v="0"/>
    <n v="1324502.46"/>
    <n v="642156700704"/>
    <d v="2026-08-04T00:00:00"/>
    <n v="0"/>
  </r>
  <r>
    <s v="HCP Plastene Bulkpack Ltd (Unit - IV)"/>
    <d v="2026-04-08T00:00:00"/>
    <s v="HPBL4/26-27/SII01088"/>
    <s v="WIP00023"/>
    <x v="0"/>
    <m/>
    <s v="HPBL4/RAW/26-27/445"/>
    <n v="807"/>
    <n v="807"/>
    <s v="Kgs"/>
    <n v="807"/>
    <n v="0"/>
    <n v="807"/>
    <s v="gj12bt2409"/>
    <s v="Plastene India ltd - Unit 1-Purchase"/>
    <s v="Plastene India ltd - Unit 1-Purchase"/>
    <s v="PIL1/D/1267"/>
    <d v="2026-04-08T00:00:00"/>
    <s v="RAW MATERIAL"/>
    <s v="INDIGENOUS"/>
    <s v="RM 477"/>
    <n v="141.08000000000001"/>
    <n v="141.08000000000001"/>
    <s v="PIL1/D/1267"/>
    <d v="2026-04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324502.46"/>
    <s v="SF"/>
    <s v="PP/PE Fabric"/>
    <s v="PP UL Fabric"/>
    <s v="RM"/>
    <s v="erp"/>
    <n v="0"/>
    <n v="113851.56"/>
    <n v="1039"/>
    <d v="2026-04-08T00:00:00"/>
    <s v="24AAACO3087C1ZT"/>
    <s v="storepil6"/>
    <s v="storepil6"/>
    <n v="9"/>
    <n v="10246.64"/>
    <n v="9"/>
    <n v="10246.64"/>
    <n v="0"/>
    <n v="0"/>
    <n v="0"/>
    <n v="642156700704"/>
    <d v="2026-08-04T00:00:00"/>
    <n v="0"/>
  </r>
  <r>
    <s v="HCP Plastene Bulkpack Ltd (Unit - IV)"/>
    <d v="2026-04-08T00:00:00"/>
    <s v="HPBL4/26-27/SII01091"/>
    <s v="SMF00122"/>
    <x v="7"/>
    <m/>
    <s v="HPBL4/RAW/26-27/447"/>
    <n v="963.7"/>
    <n v="963.7"/>
    <s v="Kgs"/>
    <n v="963.7"/>
    <n v="0"/>
    <n v="963.7"/>
    <s v="GJ12BY0479"/>
    <s v="Plastene India ltd - Unit 1-Purchase"/>
    <s v="Plastene India ltd - Unit 1-Purchase"/>
    <s v="PIL1/D/1272"/>
    <d v="2026-04-08T00:00:00"/>
    <s v="RAW MATERIAL"/>
    <s v="INDIGENOUS"/>
    <s v="RM 479"/>
    <n v="157.32"/>
    <n v="157.32000019307199"/>
    <s v="PIL1/D/1272"/>
    <d v="2026-04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629649.07"/>
    <s v="SF"/>
    <s v="Yarn All"/>
    <s v="PP Yarn"/>
    <s v="RM"/>
    <s v="erp"/>
    <n v="0"/>
    <n v="151609.28"/>
    <n v="1043"/>
    <d v="2026-04-08T00:00:00"/>
    <s v="24AAACO3087C1ZT"/>
    <s v="storepil6"/>
    <s v="storepil6"/>
    <n v="2.5"/>
    <n v="3790.23"/>
    <n v="2.5"/>
    <n v="3790.23"/>
    <n v="0"/>
    <n v="0"/>
    <n v="1629649.07"/>
    <n v="692156821985"/>
    <d v="2026-08-04T00:00:00"/>
    <n v="0"/>
  </r>
  <r>
    <s v="HCP Plastene Bulkpack Ltd (Unit - IV)"/>
    <d v="2026-04-08T00:00:00"/>
    <s v="HPBL4/26-27/SII01091"/>
    <s v="WIP00025"/>
    <x v="1"/>
    <m/>
    <s v="HPBL4/RAW/26-27/447"/>
    <n v="461"/>
    <n v="461"/>
    <s v="Kgs"/>
    <n v="461"/>
    <n v="0"/>
    <n v="461"/>
    <s v="GJ12BY0479"/>
    <s v="Plastene India ltd - Unit 1-Purchase"/>
    <s v="Plastene India ltd - Unit 1-Purchase"/>
    <s v="PIL1/D/1272"/>
    <d v="2026-04-08T00:00:00"/>
    <s v="RAW MATERIAL"/>
    <s v="INDIGENOUS"/>
    <s v="RM 479"/>
    <n v="146.32"/>
    <n v="146.32000017957199"/>
    <s v="PIL1/D/1272"/>
    <d v="2026-04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629649.07"/>
    <s v="SF"/>
    <s v="PP/PE Fabric"/>
    <s v="PP Lam Fabric"/>
    <s v="RM"/>
    <s v="erp"/>
    <n v="0"/>
    <n v="67453.52"/>
    <n v="1043"/>
    <d v="2026-04-08T00:00:00"/>
    <s v="24AAACO3087C1ZT"/>
    <s v="storepil6"/>
    <s v="storepil6"/>
    <n v="9"/>
    <n v="6070.82"/>
    <n v="9"/>
    <n v="6070.82"/>
    <n v="0"/>
    <n v="0"/>
    <n v="0"/>
    <n v="692156821985"/>
    <d v="2026-08-04T00:00:00"/>
    <n v="0"/>
  </r>
  <r>
    <s v="HCP Plastene Bulkpack Ltd (Unit - IV)"/>
    <d v="2026-04-08T00:00:00"/>
    <s v="HPBL4/26-27/SII01091"/>
    <s v="WIP00025"/>
    <x v="1"/>
    <m/>
    <s v="HPBL4/RAW/26-27/447"/>
    <n v="1685"/>
    <n v="1685"/>
    <s v="Kgs"/>
    <n v="1685"/>
    <n v="0"/>
    <n v="1685"/>
    <s v="GJ12BY0479"/>
    <s v="Plastene India ltd - Unit 1-Purchase"/>
    <s v="Plastene India ltd - Unit 1-Purchase"/>
    <s v="PIL1/D/1272"/>
    <d v="2026-04-08T00:00:00"/>
    <s v="RAW MATERIAL"/>
    <s v="INDIGENOUS"/>
    <s v="RM 479"/>
    <n v="149.32"/>
    <n v="149.320000183254"/>
    <s v="PIL1/D/1272"/>
    <d v="2026-04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629649.07"/>
    <s v="SF"/>
    <s v="PP/PE Fabric"/>
    <s v="PP Lam Fabric"/>
    <s v="RM"/>
    <s v="erp"/>
    <n v="0"/>
    <n v="251604.2"/>
    <n v="1043"/>
    <d v="2026-04-08T00:00:00"/>
    <s v="24AAACO3087C1ZT"/>
    <s v="storepil6"/>
    <s v="storepil6"/>
    <n v="9"/>
    <n v="22644.38"/>
    <n v="9"/>
    <n v="22644.38"/>
    <n v="0"/>
    <n v="0"/>
    <n v="0"/>
    <n v="692156821985"/>
    <d v="2026-08-04T00:00:00"/>
    <n v="0"/>
  </r>
  <r>
    <s v="HCP Plastene Bulkpack Ltd (Unit - IV)"/>
    <d v="2026-04-08T00:00:00"/>
    <s v="HPBL4/26-27/SII01091"/>
    <s v="WIP00032"/>
    <x v="2"/>
    <m/>
    <s v="HPBL4/RAW/26-27/447"/>
    <n v="1027.5"/>
    <n v="1027.5"/>
    <s v="Kgs"/>
    <n v="1027.5"/>
    <n v="0"/>
    <n v="1027.5"/>
    <s v="GJ12BY0479"/>
    <s v="Plastene India ltd - Unit 1-Purchase"/>
    <s v="Plastene India ltd - Unit 1-Purchase"/>
    <s v="PIL1/D/1272"/>
    <d v="2026-04-08T00:00:00"/>
    <s v="RAW MATERIAL"/>
    <s v="INDIGENOUS"/>
    <s v="RM 479"/>
    <n v="144.32"/>
    <n v="144.320000177118"/>
    <s v="PIL1/D/1272"/>
    <d v="2026-04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629649.07"/>
    <s v="SF"/>
    <s v="Webbing"/>
    <s v="PP Webbing"/>
    <s v="RM"/>
    <s v="erp"/>
    <n v="0"/>
    <n v="148288.79999999999"/>
    <n v="1043"/>
    <d v="2026-04-08T00:00:00"/>
    <s v="24AAACO3087C1ZT"/>
    <s v="storepil6"/>
    <s v="storepil6"/>
    <n v="9"/>
    <n v="13345.99"/>
    <n v="9"/>
    <n v="13345.99"/>
    <n v="0"/>
    <n v="0"/>
    <n v="0"/>
    <n v="692156821985"/>
    <d v="2026-08-04T00:00:00"/>
    <n v="0"/>
  </r>
  <r>
    <s v="HCP Plastene Bulkpack Ltd (Unit - IV)"/>
    <d v="2026-04-08T00:00:00"/>
    <s v="HPBL4/26-27/SII01091"/>
    <s v="WIP00032"/>
    <x v="2"/>
    <m/>
    <s v="HPBL4/RAW/26-27/447"/>
    <n v="297.3"/>
    <n v="297.3"/>
    <s v="Kgs"/>
    <n v="297.3"/>
    <n v="0"/>
    <n v="297.3"/>
    <s v="GJ12BY0479"/>
    <s v="Plastene India ltd - Unit 1-Purchase"/>
    <s v="Plastene India ltd - Unit 1-Purchase"/>
    <s v="PIL1/D/1272"/>
    <d v="2026-04-08T00:00:00"/>
    <s v="RAW MATERIAL"/>
    <s v="INDIGENOUS"/>
    <s v="RM 479"/>
    <n v="147.32"/>
    <n v="147.32000018080001"/>
    <s v="PIL1/D/1272"/>
    <d v="2026-04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629649.07"/>
    <s v="SF"/>
    <s v="Webbing"/>
    <s v="PP Webbing"/>
    <s v="RM"/>
    <s v="erp"/>
    <n v="0"/>
    <n v="43798.239999999998"/>
    <n v="1043"/>
    <d v="2026-04-08T00:00:00"/>
    <s v="24AAACO3087C1ZT"/>
    <s v="storepil6"/>
    <s v="storepil6"/>
    <n v="9"/>
    <n v="3941.84"/>
    <n v="9"/>
    <n v="3941.84"/>
    <n v="0"/>
    <n v="0"/>
    <n v="0"/>
    <n v="692156821985"/>
    <d v="2026-08-04T00:00:00"/>
    <n v="0"/>
  </r>
  <r>
    <s v="HCP Plastene Bulkpack Ltd (Unit - IV)"/>
    <d v="2026-04-08T00:00:00"/>
    <s v="HPBL4/26-27/SII01091"/>
    <s v="WIP00191"/>
    <x v="8"/>
    <m/>
    <s v="HPBL4/RAW/26-27/447"/>
    <n v="1046.9000000000001"/>
    <n v="1046.9000000000001"/>
    <s v="Kgs"/>
    <n v="1046.9000000000001"/>
    <n v="0"/>
    <n v="1046.9000000000001"/>
    <s v="GJ12BY0479"/>
    <s v="Plastene India ltd - Unit 1-Purchase"/>
    <s v="Plastene India ltd - Unit 1-Purchase"/>
    <s v="PIL1/D/1272"/>
    <d v="2026-04-08T00:00:00"/>
    <s v="RAW MATERIAL"/>
    <s v="INDIGENOUS"/>
    <s v="RM 479"/>
    <n v="154.32"/>
    <n v="154.32000018938999"/>
    <s v="PIL1/D/1272"/>
    <d v="2026-04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629649.07"/>
    <s v="SF"/>
    <s v="Yarn All"/>
    <s v="PP Yarn"/>
    <s v="RM"/>
    <m/>
    <n v="0"/>
    <n v="161557.60999999999"/>
    <n v="1043"/>
    <d v="2026-04-08T00:00:00"/>
    <s v="24AAACO3087C1ZT"/>
    <s v="storepil6"/>
    <s v="storepil6"/>
    <n v="2.5"/>
    <n v="4038.94"/>
    <n v="2.5"/>
    <n v="4038.94"/>
    <n v="0"/>
    <n v="0"/>
    <n v="0"/>
    <n v="692156821985"/>
    <d v="2026-08-04T00:00:00"/>
    <n v="0"/>
  </r>
  <r>
    <s v="HCP Plastene Bulkpack Ltd (Unit - IV)"/>
    <d v="2026-04-08T00:00:00"/>
    <s v="HPBL4/26-27/SII01091"/>
    <s v="WIP00023"/>
    <x v="0"/>
    <m/>
    <s v="HPBL4/RAW/26-27/447"/>
    <n v="3912"/>
    <n v="3912"/>
    <s v="Kgs"/>
    <n v="3912"/>
    <n v="0"/>
    <n v="3912"/>
    <s v="GJ12BY0479"/>
    <s v="Plastene India ltd - Unit 1-Purchase"/>
    <s v="Plastene India ltd - Unit 1-Purchase"/>
    <s v="PIL1/D/1272"/>
    <d v="2026-04-08T00:00:00"/>
    <s v="RAW MATERIAL"/>
    <s v="INDIGENOUS"/>
    <s v="RM 479"/>
    <n v="142.32"/>
    <n v="142.32000017466299"/>
    <s v="PIL1/D/1272"/>
    <d v="2026-04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629649.07"/>
    <s v="SF"/>
    <s v="PP/PE Fabric"/>
    <s v="PP UL Fabric"/>
    <s v="RM"/>
    <s v="erp"/>
    <n v="0"/>
    <n v="556755.84"/>
    <n v="1043"/>
    <d v="2026-04-08T00:00:00"/>
    <s v="24AAACO3087C1ZT"/>
    <s v="storepil6"/>
    <s v="storepil6"/>
    <n v="9"/>
    <n v="50108.03"/>
    <n v="9"/>
    <n v="50108.03"/>
    <n v="0"/>
    <n v="0"/>
    <n v="0"/>
    <n v="692156821985"/>
    <d v="2026-08-04T00:00:00"/>
    <n v="0"/>
  </r>
  <r>
    <s v="HCP Plastene Bulkpack Ltd (Unit - IV)"/>
    <d v="2026-04-08T00:00:00"/>
    <s v="HPBL4/26-27/SII01091"/>
    <s v="WIP00023"/>
    <x v="0"/>
    <m/>
    <s v="HPBL4/RAW/26-27/447"/>
    <n v="239"/>
    <n v="239"/>
    <s v="Kgs"/>
    <n v="239"/>
    <n v="0"/>
    <n v="239"/>
    <s v="GJ12BY0479"/>
    <s v="Plastene India ltd - Unit 1-Purchase"/>
    <s v="Plastene India ltd - Unit 1-Purchase"/>
    <s v="PIL1/D/1272"/>
    <d v="2026-04-08T00:00:00"/>
    <s v="RAW MATERIAL"/>
    <s v="INDIGENOUS"/>
    <s v="RM 479"/>
    <n v="144.32"/>
    <n v="144.320000177118"/>
    <s v="PIL1/D/1272"/>
    <d v="2026-04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629649.07"/>
    <s v="SF"/>
    <s v="PP/PE Fabric"/>
    <s v="PP UL Fabric"/>
    <s v="RM"/>
    <s v="erp"/>
    <n v="0"/>
    <n v="34492.480000000003"/>
    <n v="1043"/>
    <d v="2026-04-08T00:00:00"/>
    <s v="24AAACO3087C1ZT"/>
    <s v="storepil6"/>
    <s v="storepil6"/>
    <n v="9"/>
    <n v="3104.32"/>
    <n v="9"/>
    <n v="3104.32"/>
    <n v="0"/>
    <n v="0"/>
    <n v="0"/>
    <n v="692156821985"/>
    <d v="2026-08-04T00:00:00"/>
    <n v="0"/>
  </r>
  <r>
    <s v="HCP Plastene Bulkpack Ltd (Unit - IV)"/>
    <d v="2026-05-08T00:00:00"/>
    <s v="HPBL4/26-27/SII01092"/>
    <s v="WIP00004"/>
    <x v="4"/>
    <m/>
    <s v="HPBL4/RAW/26-27/448"/>
    <n v="2226"/>
    <n v="2226"/>
    <s v="Kgs"/>
    <n v="2226"/>
    <n v="0"/>
    <n v="2226"/>
    <s v="GJ12X1249"/>
    <s v="Plastene Polyfilms Ltd-Purchase"/>
    <s v="Plastene Polyfilms Ltd-Purchase"/>
    <s v="PPL/D/449"/>
    <d v="2026-05-08T00:00:00"/>
    <s v="RAW MATERIAL"/>
    <s v="INDIGENOUS"/>
    <s v="RM 480"/>
    <n v="208.89"/>
    <n v="208.89"/>
    <s v="PPL/D/449"/>
    <d v="2026-05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206501.6599999999"/>
    <s v="FG"/>
    <s v="FIBC Bags"/>
    <s v="FIBC Bags"/>
    <s v="FG"/>
    <s v="erp"/>
    <n v="0"/>
    <n v="464989.14"/>
    <n v="1054"/>
    <d v="2026-05-08T00:00:00"/>
    <s v="24AAFCP2956A1ZR"/>
    <s v="storepil6"/>
    <s v="storepil6"/>
    <n v="9"/>
    <n v="41849.019999999997"/>
    <n v="9"/>
    <n v="41849.019999999997"/>
    <n v="0"/>
    <n v="0"/>
    <n v="1206501.6599999999"/>
    <n v="612157430645"/>
    <d v="2026-08-05T00:00:00"/>
    <n v="0"/>
  </r>
  <r>
    <s v="HCP Plastene Bulkpack Ltd (Unit - IV)"/>
    <d v="2026-05-08T00:00:00"/>
    <s v="HPBL4/26-27/SII01092"/>
    <s v="WIP00004"/>
    <x v="4"/>
    <m/>
    <s v="HPBL4/RAW/26-27/448"/>
    <n v="2697"/>
    <n v="2697"/>
    <s v="Kgs"/>
    <n v="2697"/>
    <n v="0"/>
    <n v="2697"/>
    <s v="GJ12X1249"/>
    <s v="Plastene Polyfilms Ltd-Purchase"/>
    <s v="Plastene Polyfilms Ltd-Purchase"/>
    <s v="PPL/D/449"/>
    <d v="2026-05-08T00:00:00"/>
    <s v="RAW MATERIAL"/>
    <s v="INDIGENOUS"/>
    <s v="RM 480"/>
    <n v="206.7"/>
    <n v="206.7"/>
    <s v="PPL/D/449"/>
    <d v="2026-05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206501.6599999999"/>
    <s v="FG"/>
    <s v="FIBC Bags"/>
    <s v="FIBC Bags"/>
    <s v="FG"/>
    <s v="erp"/>
    <n v="0"/>
    <n v="557469.9"/>
    <n v="1054"/>
    <d v="2026-05-08T00:00:00"/>
    <s v="24AAFCP2956A1ZR"/>
    <s v="storepil6"/>
    <s v="storepil6"/>
    <n v="9"/>
    <n v="50172.29"/>
    <n v="9"/>
    <n v="50172.29"/>
    <n v="0"/>
    <n v="0"/>
    <n v="0"/>
    <n v="612157430645"/>
    <d v="2026-08-05T00:00:00"/>
    <n v="0"/>
  </r>
  <r>
    <s v="HCP Plastene Bulkpack Ltd (Unit - IV)"/>
    <d v="2026-05-08T00:00:00"/>
    <s v="HPBL4/26-27/SII01093"/>
    <s v="WIP00004"/>
    <x v="4"/>
    <m/>
    <s v="HPBL4/RAW/26-27/449"/>
    <n v="2148"/>
    <n v="2148"/>
    <s v="Kgs"/>
    <n v="2148"/>
    <n v="0"/>
    <n v="2148"/>
    <s v="GJ12BY0479"/>
    <s v="Plastene India ltd - Unit 1-Purchase"/>
    <s v="Plastene India ltd - Unit 1-Purchase"/>
    <s v="PIL1/D/1276"/>
    <d v="2026-05-08T00:00:00"/>
    <s v="RAW MATERIAL"/>
    <s v="INDIGENOUS"/>
    <s v="RM 481"/>
    <n v="179.17"/>
    <n v="179.17"/>
    <s v="PIL1/D/1276"/>
    <d v="2026-05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880218.01"/>
    <s v="FG"/>
    <s v="FIBC Bags"/>
    <s v="FIBC Bags"/>
    <s v="FG"/>
    <s v="erp"/>
    <n v="0"/>
    <n v="384857.16"/>
    <n v="1055"/>
    <d v="2026-05-08T00:00:00"/>
    <s v="24AAACO3087C1ZT"/>
    <s v="storepil6"/>
    <s v="storepil6"/>
    <n v="9"/>
    <n v="34637.14"/>
    <n v="9"/>
    <n v="34637.14"/>
    <n v="0"/>
    <n v="0"/>
    <n v="1880218.01"/>
    <n v="682157391905"/>
    <d v="2026-08-05T00:00:00"/>
    <n v="0"/>
  </r>
  <r>
    <s v="HCP Plastene Bulkpack Ltd (Unit - IV)"/>
    <d v="2026-05-08T00:00:00"/>
    <s v="HPBL4/26-27/SII01093"/>
    <s v="WIP00004"/>
    <x v="4"/>
    <m/>
    <s v="HPBL4/RAW/26-27/449"/>
    <n v="1845"/>
    <n v="1845"/>
    <s v="Kgs"/>
    <n v="1845"/>
    <n v="0"/>
    <n v="1845"/>
    <s v="GJ12BY0479"/>
    <s v="Plastene India ltd - Unit 1-Purchase"/>
    <s v="Plastene India ltd - Unit 1-Purchase"/>
    <s v="PIL1/D/1276"/>
    <d v="2026-05-08T00:00:00"/>
    <s v="RAW MATERIAL"/>
    <s v="INDIGENOUS"/>
    <s v="RM 481"/>
    <n v="199.32"/>
    <n v="199.32"/>
    <s v="PIL1/D/1276"/>
    <d v="2026-05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880218.01"/>
    <s v="FG"/>
    <s v="FIBC Bags"/>
    <s v="FIBC Bags"/>
    <s v="FG"/>
    <s v="erp"/>
    <n v="0"/>
    <n v="367745.4"/>
    <n v="1055"/>
    <d v="2026-05-08T00:00:00"/>
    <s v="24AAACO3087C1ZT"/>
    <s v="storepil6"/>
    <s v="storepil6"/>
    <n v="9"/>
    <n v="33097.089999999997"/>
    <n v="9"/>
    <n v="33097.089999999997"/>
    <n v="0"/>
    <n v="0"/>
    <n v="0"/>
    <n v="682157391905"/>
    <d v="2026-08-05T00:00:00"/>
    <n v="0"/>
  </r>
  <r>
    <s v="HCP Plastene Bulkpack Ltd (Unit - IV)"/>
    <d v="2026-05-08T00:00:00"/>
    <s v="HPBL4/26-27/SII01093"/>
    <s v="WIP00004"/>
    <x v="4"/>
    <m/>
    <s v="HPBL4/RAW/26-27/449"/>
    <n v="727"/>
    <n v="727"/>
    <s v="Kgs"/>
    <n v="727"/>
    <n v="0"/>
    <n v="727"/>
    <s v="GJ12BY0479"/>
    <s v="Plastene India ltd - Unit 1-Purchase"/>
    <s v="Plastene India ltd - Unit 1-Purchase"/>
    <s v="PIL1/D/1276"/>
    <d v="2026-05-08T00:00:00"/>
    <s v="RAW MATERIAL"/>
    <s v="INDIGENOUS"/>
    <s v="RM 481"/>
    <n v="193.81"/>
    <n v="193.81"/>
    <s v="PIL1/D/1276"/>
    <d v="2026-05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880218.01"/>
    <s v="FG"/>
    <s v="FIBC Bags"/>
    <s v="FIBC Bags"/>
    <s v="FG"/>
    <s v="erp"/>
    <n v="0"/>
    <n v="140899.87"/>
    <n v="1055"/>
    <d v="2026-05-08T00:00:00"/>
    <s v="24AAACO3087C1ZT"/>
    <s v="storepil6"/>
    <s v="storepil6"/>
    <n v="9"/>
    <n v="12680.99"/>
    <n v="9"/>
    <n v="12680.99"/>
    <n v="0"/>
    <n v="0"/>
    <n v="0"/>
    <n v="682157391905"/>
    <d v="2026-08-05T00:00:00"/>
    <n v="0"/>
  </r>
  <r>
    <s v="HCP Plastene Bulkpack Ltd (Unit - IV)"/>
    <d v="2026-05-08T00:00:00"/>
    <s v="HPBL4/26-27/SII01093"/>
    <s v="WIP00004"/>
    <x v="4"/>
    <m/>
    <s v="HPBL4/RAW/26-27/449"/>
    <n v="3083"/>
    <n v="3083"/>
    <s v="Kgs"/>
    <n v="3083"/>
    <n v="0"/>
    <n v="3083"/>
    <s v="GJ12BY0479"/>
    <s v="Plastene India ltd - Unit 1-Purchase"/>
    <s v="Plastene India ltd - Unit 1-Purchase"/>
    <s v="PIL1/D/1276"/>
    <d v="2026-05-08T00:00:00"/>
    <s v="RAW MATERIAL"/>
    <s v="INDIGENOUS"/>
    <s v="RM 481"/>
    <n v="227.02"/>
    <n v="227.02"/>
    <s v="PIL1/D/1276"/>
    <d v="2026-05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880218.01"/>
    <s v="FG"/>
    <s v="FIBC Bags"/>
    <s v="FIBC Bags"/>
    <s v="FG"/>
    <s v="erp"/>
    <n v="0"/>
    <n v="699902.66"/>
    <n v="1055"/>
    <d v="2026-05-08T00:00:00"/>
    <s v="24AAACO3087C1ZT"/>
    <s v="storepil6"/>
    <s v="storepil6"/>
    <n v="9"/>
    <n v="62991.24"/>
    <n v="9"/>
    <n v="62991.24"/>
    <n v="0"/>
    <n v="0"/>
    <n v="0"/>
    <n v="682157391905"/>
    <d v="2026-08-05T00:00:00"/>
    <n v="0"/>
  </r>
  <r>
    <s v="HCP Plastene Bulkpack Ltd (Unit - IV)"/>
    <d v="2026-05-08T00:00:00"/>
    <s v="HPBL4/26-27/SII01095"/>
    <s v="WIP00032"/>
    <x v="2"/>
    <m/>
    <s v="HPBL4/RAW/26-27/450"/>
    <n v="1780"/>
    <n v="1780"/>
    <s v="Kgs"/>
    <n v="1780"/>
    <n v="0"/>
    <n v="1780"/>
    <s v="GJ12BY0479"/>
    <s v="Plastene India ltd - Unit 1-Purchase"/>
    <s v="Plastene India ltd - Unit 1-Purchase"/>
    <s v="PIL1/D/1278"/>
    <d v="2026-05-08T00:00:00"/>
    <s v="RAW MATERIAL"/>
    <s v="INDIGENOUS"/>
    <s v="RM 482"/>
    <n v="147.32"/>
    <n v="147.32000057481901"/>
    <s v="PIL1/D/1278"/>
    <d v="2026-05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512578.93"/>
    <s v="SF"/>
    <s v="Webbing"/>
    <s v="PP Webbing"/>
    <s v="RM"/>
    <s v="erp"/>
    <n v="0"/>
    <n v="262229.59999999998"/>
    <n v="1056"/>
    <d v="2026-05-08T00:00:00"/>
    <s v="24AAACO3087C1ZT"/>
    <s v="storepil6"/>
    <s v="storepil6"/>
    <n v="9"/>
    <n v="23600.66"/>
    <n v="9"/>
    <n v="23600.66"/>
    <n v="0"/>
    <n v="0"/>
    <n v="512578.93"/>
    <n v="692157473459"/>
    <d v="2026-08-05T00:00:00"/>
    <n v="0"/>
  </r>
  <r>
    <s v="HCP Plastene Bulkpack Ltd (Unit - IV)"/>
    <d v="2026-05-08T00:00:00"/>
    <s v="HPBL4/26-27/SII01095"/>
    <s v="WIP00032"/>
    <x v="2"/>
    <m/>
    <s v="HPBL4/RAW/26-27/450"/>
    <n v="1192.9000000000001"/>
    <n v="1192.9000000000001"/>
    <s v="Kgs"/>
    <n v="1192.9000000000001"/>
    <n v="0"/>
    <n v="1192.9000000000001"/>
    <s v="GJ12BY0479"/>
    <s v="Plastene India ltd - Unit 1-Purchase"/>
    <s v="Plastene India ltd - Unit 1-Purchase"/>
    <s v="PIL1/D/1278"/>
    <d v="2026-05-08T00:00:00"/>
    <s v="RAW MATERIAL"/>
    <s v="INDIGENOUS"/>
    <s v="RM 482"/>
    <n v="144.32"/>
    <n v="144.32000056311301"/>
    <s v="PIL1/D/1278"/>
    <d v="2026-05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512578.93"/>
    <s v="SF"/>
    <s v="Webbing"/>
    <s v="PP Webbing"/>
    <s v="RM"/>
    <s v="erp"/>
    <n v="0"/>
    <n v="172159.33"/>
    <n v="1056"/>
    <d v="2026-05-08T00:00:00"/>
    <s v="24AAACO3087C1ZT"/>
    <s v="storepil6"/>
    <s v="storepil6"/>
    <n v="9"/>
    <n v="15494.34"/>
    <n v="9"/>
    <n v="15494.34"/>
    <n v="0"/>
    <n v="0"/>
    <n v="0"/>
    <n v="692157473459"/>
    <d v="2026-08-05T00:00:00"/>
    <n v="0"/>
  </r>
  <r>
    <s v="HCP Plastene Bulkpack Ltd (Unit - IV)"/>
    <d v="2026-05-08T00:00:00"/>
    <s v="HPBL4/26-27/SII01096"/>
    <s v="WIP00023"/>
    <x v="0"/>
    <m/>
    <s v="HPBL4/RAW/26-27/450"/>
    <n v="1025"/>
    <n v="1025"/>
    <s v="Kgs"/>
    <n v="1025"/>
    <n v="0"/>
    <n v="1025"/>
    <s v="gj12bt2409"/>
    <s v="Plastene India ltd - Unit 1-Purchase"/>
    <s v="Plastene India ltd - Unit 1-Purchase"/>
    <s v="PIL1/D/1275"/>
    <d v="2026-05-08T00:00:00"/>
    <s v="RAW MATERIAL"/>
    <s v="INDIGENOUS"/>
    <s v="RM 483"/>
    <n v="141.08000000000001"/>
    <n v="141.08000000000001"/>
    <s v="PIL1/D/1275"/>
    <d v="2026-05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166482.44"/>
    <s v="SF"/>
    <s v="PP/PE Fabric"/>
    <s v="PP UL Fabric"/>
    <s v="RM"/>
    <s v="erp"/>
    <n v="0"/>
    <n v="144607"/>
    <n v="1051"/>
    <d v="2026-05-08T00:00:00"/>
    <s v="24AAACO3087C1ZT"/>
    <s v="storepil6"/>
    <s v="storepil6"/>
    <n v="9"/>
    <n v="13014.63"/>
    <n v="9"/>
    <n v="13014.63"/>
    <n v="0"/>
    <n v="0"/>
    <n v="1166482.44"/>
    <n v="682157364303"/>
    <d v="2026-08-05T00:00:00"/>
    <n v="0"/>
  </r>
  <r>
    <s v="HCP Plastene Bulkpack Ltd (Unit - IV)"/>
    <d v="2026-05-08T00:00:00"/>
    <s v="HPBL4/26-27/SII01096"/>
    <s v="WIP00023"/>
    <x v="0"/>
    <m/>
    <s v="HPBL4/RAW/26-27/450"/>
    <n v="6068"/>
    <n v="6068"/>
    <s v="Kgs"/>
    <n v="6068"/>
    <n v="0"/>
    <n v="6068"/>
    <s v="gj12bt2409"/>
    <s v="Plastene India ltd - Unit 1-Purchase"/>
    <s v="Plastene India ltd - Unit 1-Purchase"/>
    <s v="PIL1/D/1275"/>
    <d v="2026-05-08T00:00:00"/>
    <s v="RAW MATERIAL"/>
    <s v="INDIGENOUS"/>
    <s v="RM 483"/>
    <n v="139.08000000000001"/>
    <n v="139.08000000000001"/>
    <s v="PIL1/D/1275"/>
    <d v="2026-05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166482.44"/>
    <s v="SF"/>
    <s v="PP/PE Fabric"/>
    <s v="PP UL Fabric"/>
    <s v="RM"/>
    <s v="erp"/>
    <n v="0"/>
    <n v="843937.44"/>
    <n v="1051"/>
    <d v="2026-05-08T00:00:00"/>
    <s v="24AAACO3087C1ZT"/>
    <s v="storepil6"/>
    <s v="storepil6"/>
    <n v="9"/>
    <n v="75954.37"/>
    <n v="9"/>
    <n v="75954.37"/>
    <n v="0"/>
    <n v="0"/>
    <n v="0"/>
    <n v="682157364303"/>
    <d v="2026-08-05T00:00:00"/>
    <n v="0"/>
  </r>
  <r>
    <s v="HCP Plastene Bulkpack Ltd (Unit - IV)"/>
    <d v="2026-05-08T00:00:00"/>
    <s v="HPBL4/26-27/SII01097"/>
    <s v="WIP00025"/>
    <x v="1"/>
    <m/>
    <s v="HPBL4/RAW/26-27/450"/>
    <n v="943"/>
    <n v="943"/>
    <s v="Kgs"/>
    <n v="943"/>
    <n v="0"/>
    <n v="943"/>
    <s v="gj12bt2409"/>
    <s v="Plastene India ltd - Unit 1-Purchase"/>
    <s v="Plastene India ltd - Unit 1-Purchase"/>
    <s v="PIL1/D/1277"/>
    <d v="2026-05-08T00:00:00"/>
    <s v="RAW MATERIAL"/>
    <s v="INDIGENOUS"/>
    <s v="RM 484"/>
    <n v="146.08000000000001"/>
    <n v="146.08000000000001"/>
    <s v="PIL1/D/1277"/>
    <d v="2026-05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62549.06"/>
    <s v="SF"/>
    <s v="PP/PE Fabric"/>
    <s v="PP Lam Fabric"/>
    <s v="RM"/>
    <s v="erp"/>
    <n v="0"/>
    <n v="137753.44"/>
    <n v="1052"/>
    <d v="2026-05-08T00:00:00"/>
    <s v="24AAACO3087C1ZT"/>
    <s v="storepil6"/>
    <s v="storepil6"/>
    <n v="9"/>
    <n v="12397.81"/>
    <n v="9"/>
    <n v="12397.81"/>
    <n v="0"/>
    <n v="0"/>
    <n v="162549.06"/>
    <n v="652157379296"/>
    <d v="2026-08-05T00:00:00"/>
    <n v="0"/>
  </r>
  <r>
    <s v="HCP Plastene Bulkpack Ltd (Unit - IV)"/>
    <d v="2026-05-08T00:00:00"/>
    <s v="HPBL4/26-27/SII01098"/>
    <s v="WIP00025"/>
    <x v="1"/>
    <m/>
    <s v="HPBL4/RAW/26-27/451"/>
    <n v="451"/>
    <n v="451"/>
    <s v="Kgs"/>
    <n v="451"/>
    <n v="0"/>
    <n v="451"/>
    <s v="gj12bt2409"/>
    <s v="Plastene India ltd - Unit 1-Purchase"/>
    <s v="Plastene India ltd - Unit 1-Purchase"/>
    <s v="PIL1/D/1280"/>
    <d v="2026-05-08T00:00:00"/>
    <s v="RAW MATERIAL"/>
    <s v="INDIGENOUS"/>
    <s v="RM 485"/>
    <n v="144.32"/>
    <n v="144.32009357342699"/>
    <s v="PIL1/D/1280"/>
    <d v="2026-05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233855.3600000001"/>
    <s v="SF"/>
    <s v="PP/PE Fabric"/>
    <s v="PP Lam Fabric"/>
    <s v="RM"/>
    <s v="erp"/>
    <n v="0"/>
    <n v="65088.36"/>
    <n v="1058"/>
    <d v="2026-05-08T00:00:00"/>
    <s v="24AAACO3087C1ZT"/>
    <s v="storepil6"/>
    <s v="storepil6"/>
    <n v="9"/>
    <n v="5857.95"/>
    <n v="9"/>
    <n v="5857.95"/>
    <n v="0"/>
    <n v="0"/>
    <n v="1233855.3600000001"/>
    <n v="622157652862"/>
    <d v="2026-08-05T00:00:00"/>
    <n v="0"/>
  </r>
  <r>
    <s v="HCP Plastene Bulkpack Ltd (Unit - IV)"/>
    <d v="2026-05-08T00:00:00"/>
    <s v="HPBL4/26-27/SII01098"/>
    <s v="WIP00023"/>
    <x v="0"/>
    <m/>
    <s v="HPBL4/RAW/26-27/451"/>
    <n v="420"/>
    <n v="420"/>
    <s v="Kgs"/>
    <n v="420"/>
    <n v="0"/>
    <n v="420"/>
    <s v="gj12bt2409"/>
    <s v="Plastene India ltd - Unit 1-Purchase"/>
    <s v="Plastene India ltd - Unit 1-Purchase"/>
    <s v="PIL1/D/1280"/>
    <d v="2026-05-08T00:00:00"/>
    <s v="RAW MATERIAL"/>
    <s v="INDIGENOUS"/>
    <s v="RM 485"/>
    <n v="144.32"/>
    <n v="144.32009357342699"/>
    <s v="PIL1/D/1280"/>
    <d v="2026-05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233855.3600000001"/>
    <s v="SF"/>
    <s v="PP/PE Fabric"/>
    <s v="PP UL Fabric"/>
    <s v="RM"/>
    <s v="erp"/>
    <n v="0"/>
    <n v="60614.44"/>
    <n v="1058"/>
    <d v="2026-05-08T00:00:00"/>
    <s v="24AAACO3087C1ZT"/>
    <s v="storepil6"/>
    <s v="storepil6"/>
    <n v="9"/>
    <n v="5455.3"/>
    <n v="9"/>
    <n v="5455.3"/>
    <n v="0"/>
    <n v="0"/>
    <n v="0"/>
    <n v="622157652862"/>
    <d v="2026-08-05T00:00:00"/>
    <n v="0"/>
  </r>
  <r>
    <s v="HCP Plastene Bulkpack Ltd (Unit - IV)"/>
    <d v="2026-05-08T00:00:00"/>
    <s v="HPBL4/26-27/SII01098"/>
    <s v="WIP00023"/>
    <x v="0"/>
    <m/>
    <s v="HPBL4/RAW/26-27/451"/>
    <n v="3295"/>
    <n v="3295"/>
    <s v="Kgs"/>
    <n v="3295"/>
    <n v="0"/>
    <n v="3295"/>
    <s v="gj12bt2409"/>
    <s v="Plastene India ltd - Unit 1-Purchase"/>
    <s v="Plastene India ltd - Unit 1-Purchase"/>
    <s v="PIL1/D/1280"/>
    <d v="2026-05-08T00:00:00"/>
    <s v="RAW MATERIAL"/>
    <s v="INDIGENOUS"/>
    <s v="RM 485"/>
    <n v="142.32"/>
    <n v="142.320092276678"/>
    <s v="PIL1/D/1280"/>
    <d v="2026-05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233855.3600000001"/>
    <s v="SF"/>
    <s v="PP/PE Fabric"/>
    <s v="PP UL Fabric"/>
    <s v="RM"/>
    <s v="erp"/>
    <n v="0"/>
    <n v="468944.7"/>
    <n v="1058"/>
    <d v="2026-05-08T00:00:00"/>
    <s v="24AAACO3087C1ZT"/>
    <s v="storepil6"/>
    <s v="storepil6"/>
    <n v="9"/>
    <n v="42205"/>
    <n v="9"/>
    <n v="42205"/>
    <n v="0"/>
    <n v="0"/>
    <n v="0"/>
    <n v="622157652862"/>
    <d v="2026-08-05T00:00:00"/>
    <n v="0"/>
  </r>
  <r>
    <s v="HCP Plastene Bulkpack Ltd (Unit - IV)"/>
    <d v="2026-05-08T00:00:00"/>
    <s v="HPBL4/26-27/SII01098"/>
    <s v="wip00013"/>
    <x v="3"/>
    <m/>
    <s v="HPBL4/RAW/26-27/451"/>
    <n v="2384"/>
    <n v="2384"/>
    <s v="Kgs"/>
    <n v="2384"/>
    <n v="0"/>
    <n v="2384"/>
    <s v="gj12bt2409"/>
    <s v="Plastene India ltd - Unit 1-Purchase"/>
    <s v="Plastene India ltd - Unit 1-Purchase"/>
    <s v="PIL1/D/1280"/>
    <d v="2026-05-08T00:00:00"/>
    <s v="RAW MATERIAL"/>
    <s v="INDIGENOUS"/>
    <s v="RM 485"/>
    <n v="176.86"/>
    <n v="176.86011467153801"/>
    <s v="PIL1/D/1280"/>
    <d v="2026-05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233855.3600000001"/>
    <s v="SF"/>
    <s v="Liners"/>
    <s v="LDPE/LLDPE Bags"/>
    <s v="RM"/>
    <s v="erp"/>
    <n v="0"/>
    <n v="421634.51"/>
    <n v="1058"/>
    <d v="2026-05-08T00:00:00"/>
    <s v="24AAACO3087C1ZT"/>
    <s v="storepil6"/>
    <s v="storepil6"/>
    <n v="9"/>
    <n v="37947.08"/>
    <n v="9"/>
    <n v="37947.08"/>
    <n v="0"/>
    <n v="0"/>
    <n v="0"/>
    <n v="622157652862"/>
    <d v="2026-08-05T00:00:00"/>
    <n v="0"/>
  </r>
  <r>
    <s v="HCP Plastene Bulkpack Ltd (Unit - IV)"/>
    <d v="2026-05-08T00:00:00"/>
    <s v="HPBL4/26-27/SII01098"/>
    <s v="RAW05939"/>
    <x v="9"/>
    <m/>
    <s v="HPBL4/RAW/26-27/451"/>
    <n v="9400"/>
    <n v="9400"/>
    <s v="Pcs"/>
    <n v="9400"/>
    <n v="0"/>
    <n v="9400"/>
    <s v="gj12bt2409"/>
    <s v="Plastene India ltd - Unit 1-Purchase"/>
    <s v="Plastene India ltd - Unit 1-Purchase"/>
    <s v="PIL1/D/1280"/>
    <d v="2026-05-08T00:00:00"/>
    <s v="RAW MATERIAL"/>
    <s v="INDIGENOUS"/>
    <s v="RM 485"/>
    <n v="3.1232000000000002"/>
    <n v="3.1232020250036601"/>
    <s v="PIL1/D/1280"/>
    <d v="2026-05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233855.3600000001"/>
    <s v="RM Consumables"/>
    <s v="FIBC Accessories"/>
    <s v="FIBC Accessories"/>
    <s v="RM"/>
    <s v="ramesh.singhal"/>
    <n v="0"/>
    <n v="29358.1"/>
    <n v="1058"/>
    <d v="2026-05-08T00:00:00"/>
    <s v="24AAACO3087C1ZT"/>
    <s v="storepil6"/>
    <s v="storepil6"/>
    <n v="9"/>
    <n v="2642.23"/>
    <n v="9"/>
    <n v="2642.23"/>
    <n v="0"/>
    <n v="0"/>
    <n v="0"/>
    <n v="622157652862"/>
    <d v="2026-08-05T00:00:00"/>
    <n v="0"/>
  </r>
  <r>
    <s v="HCP Plastene Bulkpack Ltd (Unit - IV)"/>
    <d v="2026-06-08T00:00:00"/>
    <s v="HPBL4/26-27/SII01106"/>
    <s v="WIP00004"/>
    <x v="4"/>
    <m/>
    <s v="HPBL4/RAW/26-27/452"/>
    <n v="426"/>
    <n v="426"/>
    <s v="Kgs"/>
    <n v="426"/>
    <n v="0"/>
    <n v="426"/>
    <s v="GJ12BY1595"/>
    <s v="Plastene India ltd - Unit 1-Purchase"/>
    <s v="Plastene India ltd - Unit 1-Purchase"/>
    <s v="PIL1/D/1291"/>
    <d v="2026-06-08T00:00:00"/>
    <s v="RAW MATERIAL"/>
    <s v="INDIGENOUS"/>
    <s v="RM 486"/>
    <n v="186.49"/>
    <n v="186.48999984053299"/>
    <s v="PIL1/D/1291"/>
    <d v="2026-06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338916.86"/>
    <s v="FG"/>
    <s v="FIBC Bags"/>
    <s v="FIBC Bags"/>
    <s v="FG"/>
    <s v="erp"/>
    <n v="0"/>
    <n v="79444.740000000005"/>
    <n v="1063"/>
    <d v="2026-06-08T00:00:00"/>
    <s v="24AAACO3087C1ZT"/>
    <s v="storepil6"/>
    <s v="storepil6"/>
    <n v="9"/>
    <n v="7150.03"/>
    <n v="9"/>
    <n v="7150.03"/>
    <n v="0"/>
    <n v="0"/>
    <n v="2338916.86"/>
    <n v="632158045217"/>
    <d v="2026-08-06T00:00:00"/>
    <n v="0"/>
  </r>
  <r>
    <s v="HCP Plastene Bulkpack Ltd (Unit - IV)"/>
    <d v="2026-06-08T00:00:00"/>
    <s v="HPBL4/26-27/SII01106"/>
    <s v="WIP00004"/>
    <x v="4"/>
    <m/>
    <s v="HPBL4/RAW/26-27/452"/>
    <n v="10279.799999999999"/>
    <n v="10279.799999999999"/>
    <s v="Kgs"/>
    <n v="10279.799999999999"/>
    <n v="0"/>
    <n v="10279.799999999999"/>
    <s v="GJ12BY1595"/>
    <s v="Plastene India ltd - Unit 1-Purchase"/>
    <s v="Plastene India ltd - Unit 1-Purchase"/>
    <s v="PIL1/D/1291"/>
    <d v="2026-06-08T00:00:00"/>
    <s v="RAW MATERIAL"/>
    <s v="INDIGENOUS"/>
    <s v="RM 486"/>
    <n v="185.09"/>
    <n v="185.08999984172999"/>
    <s v="PIL1/D/1291"/>
    <d v="2026-06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338916.86"/>
    <s v="FG"/>
    <s v="FIBC Bags"/>
    <s v="FIBC Bags"/>
    <s v="FG"/>
    <s v="erp"/>
    <n v="0"/>
    <n v="1902688.18"/>
    <n v="1063"/>
    <d v="2026-06-08T00:00:00"/>
    <s v="24AAACO3087C1ZT"/>
    <s v="storepil6"/>
    <s v="storepil6"/>
    <n v="9"/>
    <n v="171241.94"/>
    <n v="9"/>
    <n v="171241.94"/>
    <n v="0"/>
    <n v="0"/>
    <n v="0"/>
    <n v="632158045217"/>
    <d v="2026-08-06T00:00:00"/>
    <n v="0"/>
  </r>
  <r>
    <s v="HCP Plastene Bulkpack Ltd (Unit - IV)"/>
    <d v="2026-06-08T00:00:00"/>
    <s v="HPBL4/26-27/SII01107"/>
    <s v="WIP00004"/>
    <x v="4"/>
    <m/>
    <s v="HPBL4/RAW/26-27/453"/>
    <n v="1035"/>
    <n v="1035"/>
    <s v="Kgs"/>
    <n v="1035"/>
    <n v="0"/>
    <n v="1035"/>
    <s v="GJ06BT5602"/>
    <s v="Plastene India ltd - Unit 2-Purchase"/>
    <s v="Plastene India ltd - Unit 2-Purchase"/>
    <s v="PIL2/D/452"/>
    <d v="2026-05-08T00:00:00"/>
    <s v="RAW MATERIAL"/>
    <s v="INDIGENOUS"/>
    <s v="RM 487"/>
    <n v="193.74"/>
    <n v="193.74"/>
    <s v="PIL2/D/452"/>
    <d v="2026-05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488822.04"/>
    <s v="FG"/>
    <s v="FIBC Bags"/>
    <s v="FIBC Bags"/>
    <s v="FG"/>
    <s v="erp"/>
    <n v="0"/>
    <n v="200520.9"/>
    <n v="1065"/>
    <d v="2026-06-08T00:00:00"/>
    <s v="24AAACO3087C1ZT"/>
    <s v="storepil6"/>
    <s v="storepil6"/>
    <n v="9"/>
    <n v="18046.88"/>
    <n v="9"/>
    <n v="18046.88"/>
    <n v="0"/>
    <n v="0"/>
    <n v="488822.04"/>
    <n v="602157875562"/>
    <d v="2026-08-05T00:00:00"/>
    <n v="0"/>
  </r>
  <r>
    <s v="HCP Plastene Bulkpack Ltd (Unit - IV)"/>
    <d v="2026-06-08T00:00:00"/>
    <s v="HPBL4/26-27/SII01107"/>
    <s v="WIP00004"/>
    <x v="4"/>
    <m/>
    <s v="HPBL4/RAW/26-27/453"/>
    <n v="1386"/>
    <n v="1386"/>
    <s v="Kgs"/>
    <n v="1386"/>
    <n v="0"/>
    <n v="1386"/>
    <s v="GJ06BT5602"/>
    <s v="Plastene India ltd - Unit 2-Purchase"/>
    <s v="Plastene India ltd - Unit 2-Purchase"/>
    <s v="PIL2/D/452"/>
    <d v="2026-05-08T00:00:00"/>
    <s v="RAW MATERIAL"/>
    <s v="INDIGENOUS"/>
    <s v="RM 487"/>
    <n v="154.21"/>
    <n v="154.21"/>
    <s v="PIL2/D/452"/>
    <d v="2026-05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488822.04"/>
    <s v="FG"/>
    <s v="FIBC Bags"/>
    <s v="FIBC Bags"/>
    <s v="FG"/>
    <s v="erp"/>
    <n v="0"/>
    <n v="213735.06"/>
    <n v="1065"/>
    <d v="2026-06-08T00:00:00"/>
    <s v="24AAACO3087C1ZT"/>
    <s v="storepil6"/>
    <s v="storepil6"/>
    <n v="9"/>
    <n v="19236.16"/>
    <n v="9"/>
    <n v="19236.16"/>
    <n v="0"/>
    <n v="0"/>
    <n v="0"/>
    <n v="602157875562"/>
    <d v="2026-08-05T00:00:00"/>
    <n v="0"/>
  </r>
  <r>
    <s v="HCP Plastene Bulkpack Ltd (Unit - IV)"/>
    <d v="2026-06-08T00:00:00"/>
    <s v="HPBL4/26-27/SII01108"/>
    <s v="RAW05124"/>
    <x v="10"/>
    <m/>
    <s v="HPBL4/RAW/26-27/454"/>
    <n v="421.8"/>
    <n v="421.8"/>
    <s v="Kgs"/>
    <n v="421.8"/>
    <n v="0"/>
    <n v="421.8"/>
    <s v="gj12bt2409"/>
    <s v="Plastene India ltd - Unit 1-Purchase"/>
    <s v="Plastene India ltd - Unit 1-Purchase"/>
    <s v="PIL1/D/1274."/>
    <d v="2026-04-08T00:00:00"/>
    <s v="RAW MATERIAL"/>
    <s v="INDIGENOUS"/>
    <s v="RM 488"/>
    <n v="166.86"/>
    <n v="166.86011783295001"/>
    <s v="PIL1/D/1274."/>
    <d v="2026-04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418905.65"/>
    <s v="SF"/>
    <s v="Films All (SF)"/>
    <s v="PE Film"/>
    <s v="RM"/>
    <s v="erp"/>
    <n v="0"/>
    <n v="70381.600000000006"/>
    <n v="1044"/>
    <d v="2026-04-08T00:00:00"/>
    <s v="24AAACO3087C1ZT"/>
    <s v="storepil6"/>
    <s v="storepil6"/>
    <n v="9"/>
    <n v="6334.34"/>
    <n v="9"/>
    <n v="6334.34"/>
    <n v="0"/>
    <n v="0"/>
    <n v="1418905.65"/>
    <n v="672156926271"/>
    <d v="2026-08-04T00:00:00"/>
    <n v="0"/>
  </r>
  <r>
    <s v="HCP Plastene Bulkpack Ltd (Unit - IV)"/>
    <d v="2026-06-08T00:00:00"/>
    <s v="HPBL4/26-27/SII01108"/>
    <s v="RAW05939"/>
    <x v="9"/>
    <m/>
    <s v="HPBL4/RAW/26-27/454"/>
    <n v="8400"/>
    <n v="8400"/>
    <s v="Pcs"/>
    <n v="8400"/>
    <n v="0"/>
    <n v="8400"/>
    <s v="gj12bt2409"/>
    <s v="Plastene India ltd - Unit 1-Purchase"/>
    <s v="Plastene India ltd - Unit 1-Purchase"/>
    <s v="PIL1/D/1274."/>
    <d v="2026-04-08T00:00:00"/>
    <s v="RAW MATERIAL"/>
    <s v="INDIGENOUS"/>
    <s v="RM 488"/>
    <n v="3.5371000000000001"/>
    <n v="3.5371024978240801"/>
    <s v="PIL1/D/1274."/>
    <d v="2026-04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418905.65"/>
    <s v="RM Consumables"/>
    <s v="FIBC Accessories"/>
    <s v="FIBC Accessories"/>
    <s v="RM"/>
    <s v="ramesh.singhal"/>
    <n v="0"/>
    <n v="29711.66"/>
    <n v="1044"/>
    <d v="2026-04-08T00:00:00"/>
    <s v="24AAACO3087C1ZT"/>
    <s v="storepil6"/>
    <s v="storepil6"/>
    <n v="9"/>
    <n v="2674.05"/>
    <n v="9"/>
    <n v="2674.05"/>
    <n v="0"/>
    <n v="0"/>
    <n v="0"/>
    <n v="672156926271"/>
    <d v="2026-08-04T00:00:00"/>
    <n v="0"/>
  </r>
  <r>
    <s v="HCP Plastene Bulkpack Ltd (Unit - IV)"/>
    <d v="2026-06-08T00:00:00"/>
    <s v="HPBL4/26-27/SII01108"/>
    <s v="wip00013"/>
    <x v="3"/>
    <m/>
    <s v="HPBL4/RAW/26-27/454"/>
    <n v="6233"/>
    <n v="6233"/>
    <s v="Kgs"/>
    <n v="6233"/>
    <n v="0"/>
    <n v="6233"/>
    <s v="gj12bt2409"/>
    <s v="Plastene India ltd - Unit 1-Purchase"/>
    <s v="Plastene India ltd - Unit 1-Purchase"/>
    <s v="PIL1/D/1274."/>
    <d v="2026-04-08T00:00:00"/>
    <s v="RAW MATERIAL"/>
    <s v="INDIGENOUS"/>
    <s v="RM 488"/>
    <n v="176.86"/>
    <n v="176.86012489473501"/>
    <s v="PIL1/D/1274."/>
    <d v="2026-04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418905.65"/>
    <s v="SF"/>
    <s v="Liners"/>
    <s v="LDPE/LLDPE Bags"/>
    <s v="RM"/>
    <s v="erp"/>
    <n v="0"/>
    <n v="1102369.1599999999"/>
    <n v="1044"/>
    <d v="2026-04-08T00:00:00"/>
    <s v="24AAACO3087C1ZT"/>
    <s v="storepil6"/>
    <s v="storepil6"/>
    <n v="9"/>
    <n v="99213.15"/>
    <n v="9"/>
    <n v="99213.15"/>
    <n v="0"/>
    <n v="0"/>
    <n v="0"/>
    <n v="672156926271"/>
    <d v="2026-08-04T00:00:00"/>
    <n v="0"/>
  </r>
  <r>
    <s v="HCP Plastene Bulkpack Ltd (Unit - IV)"/>
    <d v="2026-06-08T00:00:00"/>
    <s v="HPBL4/26-27/SII01109"/>
    <s v="RAW05124"/>
    <x v="10"/>
    <m/>
    <s v="HPBL4/RAW/26-27/455"/>
    <n v="326.10000000000002"/>
    <n v="326.10000000000002"/>
    <s v="Kgs"/>
    <n v="326.10000000000002"/>
    <n v="0"/>
    <n v="326.10000000000002"/>
    <s v="gj12bt2409"/>
    <s v="Plastene India ltd - Unit 1-Purchase"/>
    <s v="Plastene India ltd - Unit 1-Purchase"/>
    <s v="PIL1/D/1293"/>
    <d v="2026-06-08T00:00:00"/>
    <s v="RAW MATERIAL"/>
    <s v="INDIGENOUS"/>
    <s v="RM 489"/>
    <n v="166.86"/>
    <n v="166.86000043086599"/>
    <s v="PIL1/D/1293"/>
    <d v="2026-06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549065.39"/>
    <s v="SF"/>
    <s v="Films All (SF)"/>
    <s v="PE Film"/>
    <s v="RM"/>
    <s v="erp"/>
    <n v="0"/>
    <n v="54413.05"/>
    <n v="1067"/>
    <d v="2026-06-08T00:00:00"/>
    <s v="24AAACO3087C1ZT"/>
    <s v="storepil6"/>
    <s v="storepil6"/>
    <n v="9"/>
    <n v="4897.17"/>
    <n v="9"/>
    <n v="4897.17"/>
    <n v="0"/>
    <n v="0"/>
    <n v="1549065.39"/>
    <n v="682158104472"/>
    <d v="2026-08-06T00:00:00"/>
    <n v="0"/>
  </r>
  <r>
    <s v="HCP Plastene Bulkpack Ltd (Unit - IV)"/>
    <d v="2026-06-08T00:00:00"/>
    <s v="HPBL4/26-27/SII01109"/>
    <s v="wip00013"/>
    <x v="3"/>
    <m/>
    <s v="HPBL4/RAW/26-27/455"/>
    <n v="4116"/>
    <n v="4116"/>
    <s v="Kgs"/>
    <n v="4116"/>
    <n v="0"/>
    <n v="4116"/>
    <s v="gj12bt2409"/>
    <s v="Plastene India ltd - Unit 1-Purchase"/>
    <s v="Plastene India ltd - Unit 1-Purchase"/>
    <s v="PIL1/D/1293"/>
    <d v="2026-06-08T00:00:00"/>
    <s v="RAW MATERIAL"/>
    <s v="INDIGENOUS"/>
    <s v="RM 489"/>
    <n v="176.86"/>
    <n v="176.860000456688"/>
    <s v="PIL1/D/1293"/>
    <d v="2026-06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549065.39"/>
    <s v="SF"/>
    <s v="Liners"/>
    <s v="LDPE/LLDPE Bags"/>
    <s v="RM"/>
    <s v="erp"/>
    <n v="0"/>
    <n v="727955.76"/>
    <n v="1067"/>
    <d v="2026-06-08T00:00:00"/>
    <s v="24AAACO3087C1ZT"/>
    <s v="storepil6"/>
    <s v="storepil6"/>
    <n v="9"/>
    <n v="65516.02"/>
    <n v="9"/>
    <n v="65516.02"/>
    <n v="0"/>
    <n v="0"/>
    <n v="0"/>
    <n v="682158104472"/>
    <d v="2026-08-06T00:00:00"/>
    <n v="0"/>
  </r>
  <r>
    <s v="HCP Plastene Bulkpack Ltd (Unit - IV)"/>
    <d v="2026-06-08T00:00:00"/>
    <s v="HPBL4/26-27/SII01109"/>
    <s v="WIP00023"/>
    <x v="0"/>
    <m/>
    <s v="HPBL4/RAW/26-27/455"/>
    <n v="987"/>
    <n v="987"/>
    <s v="Kgs"/>
    <n v="987"/>
    <n v="0"/>
    <n v="987"/>
    <s v="gj12bt2409"/>
    <s v="Plastene India ltd - Unit 1-Purchase"/>
    <s v="Plastene India ltd - Unit 1-Purchase"/>
    <s v="PIL1/D/1293"/>
    <d v="2026-06-08T00:00:00"/>
    <s v="RAW MATERIAL"/>
    <s v="INDIGENOUS"/>
    <s v="RM 489"/>
    <n v="142.32"/>
    <n v="142.32000036749901"/>
    <s v="PIL1/D/1293"/>
    <d v="2026-06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549065.39"/>
    <s v="SF"/>
    <s v="PP/PE Fabric"/>
    <s v="PP UL Fabric"/>
    <s v="RM"/>
    <s v="erp"/>
    <n v="0"/>
    <n v="140469.84"/>
    <n v="1067"/>
    <d v="2026-06-08T00:00:00"/>
    <s v="24AAACO3087C1ZT"/>
    <s v="storepil6"/>
    <s v="storepil6"/>
    <n v="9"/>
    <n v="12642.29"/>
    <n v="9"/>
    <n v="12642.29"/>
    <n v="0"/>
    <n v="0"/>
    <n v="0"/>
    <n v="682158104472"/>
    <d v="2026-08-06T00:00:00"/>
    <n v="0"/>
  </r>
  <r>
    <s v="HCP Plastene Bulkpack Ltd (Unit - IV)"/>
    <d v="2026-06-08T00:00:00"/>
    <s v="HPBL4/26-27/SII01109"/>
    <s v="WIP00032"/>
    <x v="2"/>
    <m/>
    <s v="HPBL4/RAW/26-27/455"/>
    <n v="868.5"/>
    <n v="868.5"/>
    <s v="Kgs"/>
    <n v="868.5"/>
    <n v="0"/>
    <n v="868.5"/>
    <s v="gj12bt2409"/>
    <s v="Plastene India ltd - Unit 1-Purchase"/>
    <s v="Plastene India ltd - Unit 1-Purchase"/>
    <s v="PIL1/D/1293"/>
    <d v="2026-06-08T00:00:00"/>
    <s v="RAW MATERIAL"/>
    <s v="INDIGENOUS"/>
    <s v="RM 489"/>
    <n v="144.32"/>
    <n v="144.320000372663"/>
    <s v="PIL1/D/1293"/>
    <d v="2026-06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549065.39"/>
    <s v="SF"/>
    <s v="Webbing"/>
    <s v="PP Webbing"/>
    <s v="RM"/>
    <s v="erp"/>
    <n v="0"/>
    <n v="125341.92"/>
    <n v="1067"/>
    <d v="2026-06-08T00:00:00"/>
    <s v="24AAACO3087C1ZT"/>
    <s v="storepil6"/>
    <s v="storepil6"/>
    <n v="9"/>
    <n v="11280.77"/>
    <n v="9"/>
    <n v="11280.77"/>
    <n v="0"/>
    <n v="0"/>
    <n v="0"/>
    <n v="682158104472"/>
    <d v="2026-08-06T00:00:00"/>
    <n v="0"/>
  </r>
  <r>
    <s v="HCP Plastene Bulkpack Ltd (Unit - IV)"/>
    <d v="2026-06-08T00:00:00"/>
    <s v="HPBL4/26-27/SII01109"/>
    <s v="WIP00032"/>
    <x v="2"/>
    <m/>
    <s v="HPBL4/RAW/26-27/455"/>
    <n v="1796"/>
    <n v="1796"/>
    <s v="Kgs"/>
    <n v="1796"/>
    <n v="0"/>
    <n v="1796"/>
    <s v="gj12bt2409"/>
    <s v="Plastene India ltd - Unit 1-Purchase"/>
    <s v="Plastene India ltd - Unit 1-Purchase"/>
    <s v="PIL1/D/1293"/>
    <d v="2026-06-08T00:00:00"/>
    <s v="RAW MATERIAL"/>
    <s v="INDIGENOUS"/>
    <s v="RM 489"/>
    <n v="147.32"/>
    <n v="147.32000038040999"/>
    <s v="PIL1/D/1293"/>
    <d v="2026-06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549065.39"/>
    <s v="SF"/>
    <s v="Webbing"/>
    <s v="PP Webbing"/>
    <s v="RM"/>
    <s v="erp"/>
    <n v="0"/>
    <n v="264586.71999999997"/>
    <n v="1067"/>
    <d v="2026-06-08T00:00:00"/>
    <s v="24AAACO3087C1ZT"/>
    <s v="storepil6"/>
    <s v="storepil6"/>
    <n v="9"/>
    <n v="23812.799999999999"/>
    <n v="9"/>
    <n v="23812.799999999999"/>
    <n v="0"/>
    <n v="0"/>
    <n v="0"/>
    <n v="682158104472"/>
    <d v="2026-08-06T00:00:00"/>
    <n v="0"/>
  </r>
  <r>
    <s v="HCP Plastene Bulkpack Ltd (Unit - IV)"/>
    <d v="2026-06-08T00:00:00"/>
    <s v="HPBL4/26-27/SII01111"/>
    <s v="WIP00023"/>
    <x v="0"/>
    <m/>
    <s v="HPBL4/RAW/26-27/456"/>
    <n v="8930"/>
    <n v="8930"/>
    <s v="Kgs"/>
    <n v="8930"/>
    <n v="0"/>
    <n v="8930"/>
    <s v="GJ12BY0479"/>
    <s v="Plastene India ltd - Unit 1-Purchase"/>
    <s v="Plastene India ltd - Unit 1-Purchase"/>
    <s v="PIL1/D/1290"/>
    <d v="2026-06-08T00:00:00"/>
    <s v="RAW MATERIAL"/>
    <s v="INDIGENOUS"/>
    <s v="RM 490"/>
    <n v="142.32"/>
    <n v="142.32"/>
    <s v="PIL1/D/1290"/>
    <d v="2026-06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932068.36"/>
    <s v="SF"/>
    <s v="PP/PE Fabric"/>
    <s v="PP UL Fabric"/>
    <s v="RM"/>
    <s v="erp"/>
    <n v="0"/>
    <n v="1270917.6000000001"/>
    <n v="1064"/>
    <d v="2026-06-08T00:00:00"/>
    <s v="24AAACO3087C1ZT"/>
    <s v="storepil6"/>
    <s v="storepil6"/>
    <n v="9"/>
    <n v="114382.58"/>
    <n v="9"/>
    <n v="114382.58"/>
    <n v="0"/>
    <n v="0"/>
    <n v="1932068.36"/>
    <n v="622158039402"/>
    <d v="2026-08-06T00:00:00"/>
    <n v="0"/>
  </r>
  <r>
    <s v="HCP Plastene Bulkpack Ltd (Unit - IV)"/>
    <d v="2026-06-08T00:00:00"/>
    <s v="HPBL4/26-27/SII01111"/>
    <s v="WIP00023"/>
    <x v="0"/>
    <m/>
    <s v="HPBL4/RAW/26-27/456"/>
    <n v="1507"/>
    <n v="1507"/>
    <s v="Kgs"/>
    <n v="1507"/>
    <n v="0"/>
    <n v="1507"/>
    <s v="GJ12BY0479"/>
    <s v="Plastene India ltd - Unit 1-Purchase"/>
    <s v="Plastene India ltd - Unit 1-Purchase"/>
    <s v="PIL1/D/1290"/>
    <d v="2026-06-08T00:00:00"/>
    <s v="RAW MATERIAL"/>
    <s v="INDIGENOUS"/>
    <s v="RM 490"/>
    <n v="144.32"/>
    <n v="144.32"/>
    <s v="PIL1/D/1290"/>
    <d v="2026-06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932068.36"/>
    <s v="SF"/>
    <s v="PP/PE Fabric"/>
    <s v="PP UL Fabric"/>
    <s v="RM"/>
    <s v="erp"/>
    <n v="0"/>
    <n v="217490.24"/>
    <n v="1064"/>
    <d v="2026-06-08T00:00:00"/>
    <s v="24AAACO3087C1ZT"/>
    <s v="storepil6"/>
    <s v="storepil6"/>
    <n v="9"/>
    <n v="19574.12"/>
    <n v="9"/>
    <n v="19574.12"/>
    <n v="0"/>
    <n v="0"/>
    <n v="0"/>
    <n v="622158039402"/>
    <d v="2026-08-06T00:00:00"/>
    <n v="0"/>
  </r>
  <r>
    <s v="HCP Plastene Bulkpack Ltd (Unit - IV)"/>
    <d v="2026-06-08T00:00:00"/>
    <s v="HPBL4/26-27/SII01111"/>
    <s v="WIP00025"/>
    <x v="1"/>
    <m/>
    <s v="HPBL4/RAW/26-27/456"/>
    <n v="1032"/>
    <n v="1032"/>
    <s v="Kgs"/>
    <n v="1032"/>
    <n v="0"/>
    <n v="1032"/>
    <s v="GJ12BY0479"/>
    <s v="Plastene India ltd - Unit 1-Purchase"/>
    <s v="Plastene India ltd - Unit 1-Purchase"/>
    <s v="PIL1/D/1290"/>
    <d v="2026-06-08T00:00:00"/>
    <s v="RAW MATERIAL"/>
    <s v="INDIGENOUS"/>
    <s v="RM 490"/>
    <n v="144.32"/>
    <n v="144.32"/>
    <s v="PIL1/D/1290"/>
    <d v="2026-06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932068.36"/>
    <s v="SF"/>
    <s v="PP/PE Fabric"/>
    <s v="PP Lam Fabric"/>
    <s v="RM"/>
    <s v="erp"/>
    <n v="0"/>
    <n v="148938.23999999999"/>
    <n v="1064"/>
    <d v="2026-06-08T00:00:00"/>
    <s v="24AAACO3087C1ZT"/>
    <s v="storepil6"/>
    <s v="storepil6"/>
    <n v="9"/>
    <n v="13404.44"/>
    <n v="9"/>
    <n v="13404.44"/>
    <n v="0"/>
    <n v="0"/>
    <n v="0"/>
    <n v="622158039402"/>
    <d v="2026-08-06T00:00:00"/>
    <n v="0"/>
  </r>
  <r>
    <s v="HCP Plastene Bulkpack Ltd (Unit - IV)"/>
    <d v="2026-07-08T00:00:00"/>
    <s v="HPBL4/26-27/SII01118"/>
    <s v="FIG00001"/>
    <x v="6"/>
    <m/>
    <s v="HPBL4/RAW/26-27/457"/>
    <n v="158"/>
    <n v="158"/>
    <s v="Kgs"/>
    <n v="158"/>
    <n v="0"/>
    <n v="158"/>
    <s v="GJ12BU0544"/>
    <s v="Plastene Polyfilms Ltd-Purchase"/>
    <s v="Plastene Polyfilms Ltd-Purchase"/>
    <s v="PPL/D/462"/>
    <d v="2026-07-08T00:00:00"/>
    <s v="RAW MATERIAL"/>
    <s v="INDIGENOUS"/>
    <s v="RM 491"/>
    <n v="133.58000000000001"/>
    <n v="133.58000000000001"/>
    <s v="PPL/D/462"/>
    <d v="2026-07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06888.58"/>
    <s v="FG"/>
    <s v="FIBC WIP"/>
    <s v="FIBC WIP"/>
    <s v="RM"/>
    <s v="erp"/>
    <n v="0"/>
    <n v="21105.64"/>
    <n v="1071"/>
    <d v="2026-07-08T00:00:00"/>
    <s v="24AAFCP2956A1ZR"/>
    <s v="storepil6"/>
    <s v="storepil6"/>
    <n v="9"/>
    <n v="1899.51"/>
    <n v="9"/>
    <n v="1899.51"/>
    <n v="0"/>
    <n v="0"/>
    <n v="106888.58"/>
    <n v="642158832373"/>
    <d v="2026-08-07T00:00:00"/>
    <n v="0"/>
  </r>
  <r>
    <s v="HCP Plastene Bulkpack Ltd (Unit - IV)"/>
    <d v="2026-07-08T00:00:00"/>
    <s v="HPBL4/26-27/SII01118"/>
    <s v="WIP00025"/>
    <x v="1"/>
    <m/>
    <s v="HPBL4/RAW/26-27/457"/>
    <n v="505"/>
    <n v="505"/>
    <s v="Kgs"/>
    <n v="505"/>
    <n v="0"/>
    <n v="505"/>
    <s v="GJ12BU0544"/>
    <s v="Plastene Polyfilms Ltd-Purchase"/>
    <s v="Plastene Polyfilms Ltd-Purchase"/>
    <s v="PPL/D/462"/>
    <d v="2026-07-08T00:00:00"/>
    <s v="RAW MATERIAL"/>
    <s v="INDIGENOUS"/>
    <s v="RM 491"/>
    <n v="137.58000000000001"/>
    <n v="137.58000000000001"/>
    <s v="PPL/D/462"/>
    <d v="2026-07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06888.58"/>
    <s v="SF"/>
    <s v="PP/PE Fabric"/>
    <s v="PP Lam Fabric"/>
    <s v="RM"/>
    <s v="erp"/>
    <n v="0"/>
    <n v="69477.899999999994"/>
    <n v="1071"/>
    <d v="2026-07-08T00:00:00"/>
    <s v="24AAFCP2956A1ZR"/>
    <s v="storepil6"/>
    <s v="storepil6"/>
    <n v="9"/>
    <n v="6253.01"/>
    <n v="9"/>
    <n v="6253.01"/>
    <n v="0"/>
    <n v="0"/>
    <n v="0"/>
    <n v="642158832373"/>
    <d v="2026-08-07T00:00:00"/>
    <n v="0"/>
  </r>
  <r>
    <s v="HCP Plastene Bulkpack Ltd (Unit - IV)"/>
    <d v="2026-07-08T00:00:00"/>
    <s v="HPBL4/26-27/SII01120"/>
    <s v="WIP00023"/>
    <x v="0"/>
    <m/>
    <s v="HPBL4/RAW/26-27/458"/>
    <n v="6786"/>
    <n v="6786"/>
    <s v="Kgs"/>
    <n v="6786"/>
    <n v="0"/>
    <n v="6786"/>
    <s v="gj12bt2409"/>
    <s v="Plastene India ltd - Unit 1-Purchase"/>
    <s v="Plastene India ltd - Unit 1-Purchase"/>
    <s v="PIL1/D/1300"/>
    <d v="2026-07-08T00:00:00"/>
    <s v="RAW MATERIAL"/>
    <s v="INDIGENOUS"/>
    <s v="RM 492"/>
    <n v="142.32"/>
    <n v="142.32"/>
    <s v="PIL1/D/1300"/>
    <d v="2026-07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326441.02"/>
    <s v="SF"/>
    <s v="PP/PE Fabric"/>
    <s v="PP UL Fabric"/>
    <s v="RM"/>
    <s v="erp"/>
    <n v="0"/>
    <n v="965783.52"/>
    <n v="1068"/>
    <d v="2026-07-08T00:00:00"/>
    <s v="24AAACO3087C1ZT"/>
    <s v="storepil6"/>
    <s v="storepil6"/>
    <n v="9"/>
    <n v="86920.52"/>
    <n v="9"/>
    <n v="86920.52"/>
    <n v="0"/>
    <n v="0"/>
    <n v="1326441.02"/>
    <n v="652158696743"/>
    <d v="2026-08-07T00:00:00"/>
    <n v="0"/>
  </r>
  <r>
    <s v="HCP Plastene Bulkpack Ltd (Unit - IV)"/>
    <d v="2026-07-08T00:00:00"/>
    <s v="HPBL4/26-27/SII01120"/>
    <s v="WIP00023"/>
    <x v="0"/>
    <m/>
    <s v="HPBL4/RAW/26-27/458"/>
    <n v="1097"/>
    <n v="1097"/>
    <s v="Kgs"/>
    <n v="1097"/>
    <n v="0"/>
    <n v="1097"/>
    <s v="gj12bt2409"/>
    <s v="Plastene India ltd - Unit 1-Purchase"/>
    <s v="Plastene India ltd - Unit 1-Purchase"/>
    <s v="PIL1/D/1300"/>
    <d v="2026-07-08T00:00:00"/>
    <s v="RAW MATERIAL"/>
    <s v="INDIGENOUS"/>
    <s v="RM 492"/>
    <n v="144.32"/>
    <n v="144.32"/>
    <s v="PIL1/D/1300"/>
    <d v="2026-07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326441.02"/>
    <s v="SF"/>
    <s v="PP/PE Fabric"/>
    <s v="PP UL Fabric"/>
    <s v="RM"/>
    <s v="erp"/>
    <n v="0"/>
    <n v="158319.04000000001"/>
    <n v="1068"/>
    <d v="2026-07-08T00:00:00"/>
    <s v="24AAACO3087C1ZT"/>
    <s v="storepil6"/>
    <s v="storepil6"/>
    <n v="9"/>
    <n v="14248.71"/>
    <n v="9"/>
    <n v="14248.71"/>
    <n v="0"/>
    <n v="0"/>
    <n v="0"/>
    <n v="652158696743"/>
    <d v="2026-08-07T00:00:00"/>
    <n v="0"/>
  </r>
  <r>
    <s v="HCP Plastene Bulkpack Ltd (Unit - IV)"/>
    <d v="2026-07-08T00:00:00"/>
    <s v="HPBL4/26-27/SII01121"/>
    <s v="wip00013"/>
    <x v="3"/>
    <m/>
    <s v="HPBL4/RAW/26-27/459"/>
    <n v="635"/>
    <n v="635"/>
    <s v="Kgs"/>
    <n v="635"/>
    <n v="0"/>
    <n v="635"/>
    <s v="gj12bt2409"/>
    <s v="Plastene India ltd - Unit 1-Purchase"/>
    <s v="Plastene India ltd - Unit 1-Purchase"/>
    <s v="PIL1/D/1305"/>
    <d v="2026-07-08T00:00:00"/>
    <s v="RAW MATERIAL"/>
    <s v="INDIGENOUS"/>
    <s v="RM 493"/>
    <n v="184.86"/>
    <n v="184.86"/>
    <s v="PIL1/D/1305"/>
    <d v="2026-07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956247.3"/>
    <s v="SF"/>
    <s v="Liners"/>
    <s v="LDPE/LLDPE Bags"/>
    <s v="RM"/>
    <s v="erp"/>
    <n v="0"/>
    <n v="117386.1"/>
    <n v="1078"/>
    <d v="2026-07-08T00:00:00"/>
    <s v="24AAACO3087C1ZT"/>
    <s v="storepil6"/>
    <s v="storepil6"/>
    <n v="9"/>
    <n v="10564.75"/>
    <n v="9"/>
    <n v="10564.75"/>
    <n v="0"/>
    <n v="0"/>
    <n v="1956247.3"/>
    <n v="632158896826"/>
    <d v="2026-08-07T00:00:00"/>
    <n v="0"/>
  </r>
  <r>
    <s v="HCP Plastene Bulkpack Ltd (Unit - IV)"/>
    <d v="2026-07-08T00:00:00"/>
    <s v="HPBL4/26-27/SII01121"/>
    <s v="wip00013"/>
    <x v="3"/>
    <m/>
    <s v="HPBL4/RAW/26-27/459"/>
    <n v="8710"/>
    <n v="8710"/>
    <s v="Kgs"/>
    <n v="8710"/>
    <n v="0"/>
    <n v="8710"/>
    <s v="gj12bt2409"/>
    <s v="Plastene India ltd - Unit 1-Purchase"/>
    <s v="Plastene India ltd - Unit 1-Purchase"/>
    <s v="PIL1/D/1305"/>
    <d v="2026-07-08T00:00:00"/>
    <s v="RAW MATERIAL"/>
    <s v="INDIGENOUS"/>
    <s v="RM 493"/>
    <n v="176.86"/>
    <n v="176.86"/>
    <s v="PIL1/D/1305"/>
    <d v="2026-07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956247.3"/>
    <s v="SF"/>
    <s v="Liners"/>
    <s v="LDPE/LLDPE Bags"/>
    <s v="RM"/>
    <s v="erp"/>
    <n v="0"/>
    <n v="1540450.6"/>
    <n v="1078"/>
    <d v="2026-07-08T00:00:00"/>
    <s v="24AAACO3087C1ZT"/>
    <s v="storepil6"/>
    <s v="storepil6"/>
    <n v="9"/>
    <n v="138640.54999999999"/>
    <n v="9"/>
    <n v="138640.54999999999"/>
    <n v="0"/>
    <n v="0"/>
    <n v="0"/>
    <n v="632158896826"/>
    <d v="2026-08-07T00:00:00"/>
    <n v="0"/>
  </r>
  <r>
    <s v="HCP Plastene Bulkpack Ltd (Unit - IV)"/>
    <d v="2026-07-08T00:00:00"/>
    <s v="HPBL4/26-27/SII01122"/>
    <s v="WIP00023"/>
    <x v="0"/>
    <m/>
    <s v="HPBL4/RAW/26-27/460"/>
    <n v="2593"/>
    <n v="2593"/>
    <s v="Kgs"/>
    <n v="2593"/>
    <n v="0"/>
    <n v="2593"/>
    <s v="GJ12BY1545"/>
    <s v="Plastene India ltd - Unit 1-Purchase"/>
    <s v="Plastene India ltd - Unit 1-Purchase"/>
    <s v="PIL1/D/1302"/>
    <d v="2026-07-08T00:00:00"/>
    <s v="RAW MATERIAL"/>
    <s v="INDIGENOUS"/>
    <s v="RM 494"/>
    <n v="142.32"/>
    <n v="142.32000217189099"/>
    <s v="PIL1/D/1302"/>
    <d v="2026-07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310563.1299999999"/>
    <s v="SF"/>
    <s v="PP/PE Fabric"/>
    <s v="PP UL Fabric"/>
    <s v="RM"/>
    <s v="erp"/>
    <n v="0"/>
    <n v="369035.77"/>
    <n v="1070"/>
    <d v="2026-07-08T00:00:00"/>
    <s v="24AAACO3087C1ZT"/>
    <s v="storepil6"/>
    <s v="storepil6"/>
    <n v="9"/>
    <n v="33213.22"/>
    <n v="9"/>
    <n v="33213.22"/>
    <n v="0"/>
    <n v="0"/>
    <n v="1310563.1299999999"/>
    <n v="602158816151"/>
    <d v="2026-08-07T00:00:00"/>
    <n v="0"/>
  </r>
  <r>
    <s v="HCP Plastene Bulkpack Ltd (Unit - IV)"/>
    <d v="2026-07-08T00:00:00"/>
    <s v="HPBL4/26-27/SII01122"/>
    <s v="WIP00023"/>
    <x v="0"/>
    <m/>
    <s v="HPBL4/RAW/26-27/460"/>
    <n v="280"/>
    <n v="280"/>
    <s v="Kgs"/>
    <n v="280"/>
    <n v="0"/>
    <n v="280"/>
    <s v="GJ12BY1545"/>
    <s v="Plastene India ltd - Unit 1-Purchase"/>
    <s v="Plastene India ltd - Unit 1-Purchase"/>
    <s v="PIL1/D/1302"/>
    <d v="2026-07-08T00:00:00"/>
    <s v="RAW MATERIAL"/>
    <s v="INDIGENOUS"/>
    <s v="RM 494"/>
    <n v="144.32"/>
    <n v="144.32000220241201"/>
    <s v="PIL1/D/1302"/>
    <d v="2026-07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310563.1299999999"/>
    <s v="SF"/>
    <s v="PP/PE Fabric"/>
    <s v="PP UL Fabric"/>
    <s v="RM"/>
    <s v="erp"/>
    <n v="0"/>
    <n v="40409.599999999999"/>
    <n v="1070"/>
    <d v="2026-07-08T00:00:00"/>
    <s v="24AAACO3087C1ZT"/>
    <s v="storepil6"/>
    <s v="storepil6"/>
    <n v="9"/>
    <n v="3636.86"/>
    <n v="9"/>
    <n v="3636.86"/>
    <n v="0"/>
    <n v="0"/>
    <n v="0"/>
    <n v="602158816151"/>
    <d v="2026-08-07T00:00:00"/>
    <n v="0"/>
  </r>
  <r>
    <s v="HCP Plastene Bulkpack Ltd (Unit - IV)"/>
    <d v="2026-07-08T00:00:00"/>
    <s v="HPBL4/26-27/SII01122"/>
    <s v="WIP00025"/>
    <x v="1"/>
    <m/>
    <s v="HPBL4/RAW/26-27/460"/>
    <n v="1076"/>
    <n v="1076"/>
    <s v="Kgs"/>
    <n v="1076"/>
    <n v="0"/>
    <n v="1076"/>
    <s v="GJ12BY1545"/>
    <s v="Plastene India ltd - Unit 1-Purchase"/>
    <s v="Plastene India ltd - Unit 1-Purchase"/>
    <s v="PIL1/D/1302"/>
    <d v="2026-07-08T00:00:00"/>
    <s v="RAW MATERIAL"/>
    <s v="INDIGENOUS"/>
    <s v="RM 494"/>
    <n v="144.32"/>
    <n v="144.32000220241201"/>
    <s v="PIL1/D/1302"/>
    <d v="2026-07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310563.1299999999"/>
    <s v="SF"/>
    <s v="PP/PE Fabric"/>
    <s v="PP Lam Fabric"/>
    <s v="RM"/>
    <s v="erp"/>
    <n v="0"/>
    <n v="155288.32000000001"/>
    <n v="1070"/>
    <d v="2026-07-08T00:00:00"/>
    <s v="24AAACO3087C1ZT"/>
    <s v="storepil6"/>
    <s v="storepil6"/>
    <n v="9"/>
    <n v="13975.95"/>
    <n v="9"/>
    <n v="13975.95"/>
    <n v="0"/>
    <n v="0"/>
    <n v="0"/>
    <n v="602158816151"/>
    <d v="2026-08-07T00:00:00"/>
    <n v="0"/>
  </r>
  <r>
    <s v="HCP Plastene Bulkpack Ltd (Unit - IV)"/>
    <d v="2026-07-08T00:00:00"/>
    <s v="HPBL4/26-27/SII01122"/>
    <s v="WIP00025"/>
    <x v="1"/>
    <m/>
    <s v="HPBL4/RAW/26-27/460"/>
    <n v="826"/>
    <n v="826"/>
    <s v="Kgs"/>
    <n v="826"/>
    <n v="0"/>
    <n v="826"/>
    <s v="GJ12BY1545"/>
    <s v="Plastene India ltd - Unit 1-Purchase"/>
    <s v="Plastene India ltd - Unit 1-Purchase"/>
    <s v="PIL1/D/1302"/>
    <d v="2026-07-08T00:00:00"/>
    <s v="RAW MATERIAL"/>
    <s v="INDIGENOUS"/>
    <s v="RM 494"/>
    <n v="146.32"/>
    <n v="146.32000223293301"/>
    <s v="PIL1/D/1302"/>
    <d v="2026-07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310563.1299999999"/>
    <s v="SF"/>
    <s v="PP/PE Fabric"/>
    <s v="PP Lam Fabric"/>
    <s v="RM"/>
    <s v="erp"/>
    <n v="0"/>
    <n v="120860.32"/>
    <n v="1070"/>
    <d v="2026-07-08T00:00:00"/>
    <s v="24AAACO3087C1ZT"/>
    <s v="storepil6"/>
    <s v="storepil6"/>
    <n v="9"/>
    <n v="10877.43"/>
    <n v="9"/>
    <n v="10877.4"/>
    <n v="0"/>
    <n v="0"/>
    <n v="0"/>
    <n v="602158816151"/>
    <d v="2026-08-07T00:00:00"/>
    <n v="0"/>
  </r>
  <r>
    <s v="HCP Plastene Bulkpack Ltd (Unit - IV)"/>
    <d v="2026-07-08T00:00:00"/>
    <s v="HPBL4/26-27/SII01122"/>
    <s v="WIP00032"/>
    <x v="2"/>
    <m/>
    <s v="HPBL4/RAW/26-27/460"/>
    <n v="1042.7"/>
    <n v="1042.7"/>
    <s v="Kgs"/>
    <n v="1042.7"/>
    <n v="0"/>
    <n v="1042.7"/>
    <s v="GJ12BY1545"/>
    <s v="Plastene India ltd - Unit 1-Purchase"/>
    <s v="Plastene India ltd - Unit 1-Purchase"/>
    <s v="PIL1/D/1302"/>
    <d v="2026-07-08T00:00:00"/>
    <s v="RAW MATERIAL"/>
    <s v="INDIGENOUS"/>
    <s v="RM 494"/>
    <n v="144.32"/>
    <n v="144.32000220241201"/>
    <s v="PIL1/D/1302"/>
    <d v="2026-07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310563.1299999999"/>
    <s v="SF"/>
    <s v="Webbing"/>
    <s v="PP Webbing"/>
    <s v="RM"/>
    <s v="erp"/>
    <n v="0"/>
    <n v="150482.47"/>
    <n v="1070"/>
    <d v="2026-07-08T00:00:00"/>
    <s v="24AAACO3087C1ZT"/>
    <s v="storepil6"/>
    <s v="storepil6"/>
    <n v="9"/>
    <n v="13543.42"/>
    <n v="9"/>
    <n v="13543.42"/>
    <n v="0"/>
    <n v="0"/>
    <n v="0"/>
    <n v="602158816151"/>
    <d v="2026-08-07T00:00:00"/>
    <n v="0"/>
  </r>
  <r>
    <s v="HCP Plastene Bulkpack Ltd (Unit - IV)"/>
    <d v="2026-07-08T00:00:00"/>
    <s v="HPBL4/26-27/SII01122"/>
    <s v="WIP00032"/>
    <x v="2"/>
    <m/>
    <s v="HPBL4/RAW/26-27/460"/>
    <n v="1417.1"/>
    <n v="1417.1"/>
    <s v="Kgs"/>
    <n v="1417.1"/>
    <n v="0"/>
    <n v="1417.1"/>
    <s v="GJ12BY1545"/>
    <s v="Plastene India ltd - Unit 1-Purchase"/>
    <s v="Plastene India ltd - Unit 1-Purchase"/>
    <s v="PIL1/D/1302"/>
    <d v="2026-07-08T00:00:00"/>
    <s v="RAW MATERIAL"/>
    <s v="INDIGENOUS"/>
    <s v="RM 494"/>
    <n v="147.32"/>
    <n v="147.32000224819399"/>
    <s v="PIL1/D/1302"/>
    <d v="2026-07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310563.1299999999"/>
    <s v="SF"/>
    <s v="Webbing"/>
    <s v="PP Webbing"/>
    <s v="RM"/>
    <s v="erp"/>
    <n v="0"/>
    <n v="208767.18"/>
    <n v="1070"/>
    <d v="2026-07-08T00:00:00"/>
    <s v="24AAACO3087C1ZT"/>
    <s v="storepil6"/>
    <s v="storepil6"/>
    <n v="9"/>
    <n v="18789.05"/>
    <n v="9"/>
    <n v="18789.05"/>
    <n v="0"/>
    <n v="0"/>
    <n v="0"/>
    <n v="602158816151"/>
    <d v="2026-08-07T00:00:00"/>
    <n v="0"/>
  </r>
  <r>
    <s v="HCP Plastene Bulkpack Ltd (Unit - IV)"/>
    <d v="2026-07-08T00:00:00"/>
    <s v="HPBL4/26-27/SII01122"/>
    <s v="WIP00191"/>
    <x v="8"/>
    <m/>
    <s v="HPBL4/RAW/26-27/460"/>
    <n v="479.2"/>
    <n v="479.2"/>
    <s v="Kgs"/>
    <n v="479.2"/>
    <n v="0"/>
    <n v="479.2"/>
    <s v="GJ12BY1545"/>
    <s v="Plastene India ltd - Unit 1-Purchase"/>
    <s v="Plastene India ltd - Unit 1-Purchase"/>
    <s v="PIL1/D/1302"/>
    <d v="2026-07-08T00:00:00"/>
    <s v="RAW MATERIAL"/>
    <s v="INDIGENOUS"/>
    <s v="RM 494"/>
    <n v="154.32"/>
    <n v="154.320002355018"/>
    <s v="PIL1/D/1302"/>
    <d v="2026-07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310563.1299999999"/>
    <s v="SF"/>
    <s v="Yarn All"/>
    <s v="PP Yarn"/>
    <s v="RM"/>
    <m/>
    <n v="0"/>
    <n v="73950.149999999994"/>
    <n v="1070"/>
    <d v="2026-07-08T00:00:00"/>
    <s v="24AAACO3087C1ZT"/>
    <s v="storepil6"/>
    <s v="storepil6"/>
    <n v="2.5"/>
    <n v="1848.75"/>
    <n v="2.5"/>
    <n v="1848.75"/>
    <n v="0"/>
    <n v="0"/>
    <n v="0"/>
    <n v="602158816151"/>
    <d v="2026-08-07T00:00:00"/>
    <n v="0"/>
  </r>
  <r>
    <s v="HCP Plastene Bulkpack Ltd (Unit - IV)"/>
    <d v="2026-08-08T00:00:00"/>
    <s v="HPBL4/26-27/SII01124"/>
    <s v="SMF00146"/>
    <x v="11"/>
    <m/>
    <s v="HPBL4/RAW/26-27/461"/>
    <n v="526"/>
    <n v="526"/>
    <s v="Kgs"/>
    <n v="526"/>
    <n v="0"/>
    <n v="526"/>
    <s v="GJ12BY0479"/>
    <s v="HCP Plastene Bulkpack Limited - Purchase"/>
    <s v="HCP Plastene Bulkpack Limited - Purchase"/>
    <s v="HPBL/DC/31"/>
    <d v="2026-07-08T00:00:00"/>
    <s v="RAW MATERIAL"/>
    <s v="INDIGENOUS"/>
    <s v="RM 495"/>
    <n v="170.95"/>
    <n v="170.95"/>
    <s v="HPBL/DC/31"/>
    <d v="2026-07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89919.7"/>
    <s v="SF"/>
    <s v="Liners"/>
    <s v="LDPE/LLDPE Bags"/>
    <s v="RM"/>
    <s v="erp"/>
    <n v="0"/>
    <n v="89919.7"/>
    <s v="15.."/>
    <d v="2026-08-08T00:00:00"/>
    <s v="24AABCG1282C2Z6"/>
    <s v="storepil6"/>
    <s v="storepil6"/>
    <n v="0"/>
    <n v="0"/>
    <n v="0"/>
    <n v="0"/>
    <n v="0"/>
    <n v="0"/>
    <n v="89919.7"/>
    <n v="612158962246"/>
    <d v="2026-08-07T00:00:00"/>
    <n v="0"/>
  </r>
  <r>
    <s v="HCP Plastene Bulkpack Ltd (Unit - IV)"/>
    <d v="2026-08-08T00:00:00"/>
    <s v="HPBL4/26-27/SII01125"/>
    <s v="wip00013"/>
    <x v="3"/>
    <m/>
    <s v="HPBL4/RAW/26-27/462"/>
    <n v="950.3"/>
    <n v="950.3"/>
    <s v="Kgs"/>
    <n v="950.3"/>
    <n v="0"/>
    <n v="950.3"/>
    <s v="GJ12BY0479"/>
    <s v="Plastene India ltd - Unit 1-Purchase"/>
    <s v="Plastene India ltd - Unit 1-Purchase"/>
    <s v="PIL1/D/1315"/>
    <d v="2026-08-08T00:00:00"/>
    <s v="RAW MATERIAL"/>
    <s v="INDIGENOUS"/>
    <s v="RM 496"/>
    <n v="184.86"/>
    <n v="184.86000046365501"/>
    <s v="PIL1/D/1315"/>
    <d v="2026-08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797402.72"/>
    <s v="SF"/>
    <s v="Liners"/>
    <s v="LDPE/LLDPE Bags"/>
    <s v="RM"/>
    <s v="erp"/>
    <n v="0"/>
    <n v="175672.46"/>
    <n v="1082"/>
    <d v="2026-08-08T00:00:00"/>
    <s v="24AAACO3087C1ZT"/>
    <s v="storepil6"/>
    <s v="storepil6"/>
    <n v="9"/>
    <n v="15810.52"/>
    <n v="9"/>
    <n v="15810.52"/>
    <n v="0"/>
    <n v="0"/>
    <n v="797402.72"/>
    <n v="692159613826"/>
    <d v="2026-08-08T00:00:00"/>
    <n v="0"/>
  </r>
  <r>
    <s v="HCP Plastene Bulkpack Ltd (Unit - IV)"/>
    <d v="2026-08-08T00:00:00"/>
    <s v="HPBL4/26-27/SII01125"/>
    <s v="wip00013"/>
    <x v="3"/>
    <m/>
    <s v="HPBL4/RAW/26-27/462"/>
    <n v="2796"/>
    <n v="2796"/>
    <s v="Kgs"/>
    <n v="2796"/>
    <n v="0"/>
    <n v="2796"/>
    <s v="GJ12BY0479"/>
    <s v="Plastene India ltd - Unit 1-Purchase"/>
    <s v="Plastene India ltd - Unit 1-Purchase"/>
    <s v="PIL1/D/1315"/>
    <d v="2026-08-08T00:00:00"/>
    <s v="RAW MATERIAL"/>
    <s v="INDIGENOUS"/>
    <s v="RM 496"/>
    <n v="178.86"/>
    <n v="178.860000448606"/>
    <s v="PIL1/D/1315"/>
    <d v="2026-08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797402.72"/>
    <s v="SF"/>
    <s v="Liners"/>
    <s v="LDPE/LLDPE Bags"/>
    <s v="RM"/>
    <s v="erp"/>
    <n v="0"/>
    <n v="500092.56"/>
    <n v="1082"/>
    <d v="2026-08-08T00:00:00"/>
    <s v="24AAACO3087C1ZT"/>
    <s v="storepil6"/>
    <s v="storepil6"/>
    <n v="9"/>
    <n v="45008.33"/>
    <n v="9"/>
    <n v="45008.33"/>
    <n v="0"/>
    <n v="0"/>
    <n v="0"/>
    <n v="692159613826"/>
    <d v="2026-08-08T00:00:00"/>
    <n v="0"/>
  </r>
  <r>
    <s v="HCP Plastene Bulkpack Ltd (Unit - IV)"/>
    <d v="2026-08-08T00:00:00"/>
    <s v="HPBL4/26-27/SII01126"/>
    <s v="WIP00023"/>
    <x v="0"/>
    <m/>
    <s v="HPBL4/RAW/26-27/462"/>
    <n v="571"/>
    <n v="571"/>
    <s v="Kgs"/>
    <n v="571"/>
    <n v="0"/>
    <n v="571"/>
    <s v="GJ12BY0479"/>
    <s v="Plastene India ltd - Unit 1-Purchase"/>
    <s v="Plastene India ltd - Unit 1-Purchase"/>
    <s v="PIL1/D/1309"/>
    <d v="2026-08-08T00:00:00"/>
    <s v="RAW MATERIAL"/>
    <s v="INDIGENOUS"/>
    <s v="RM 497"/>
    <n v="144.32"/>
    <n v="144.32"/>
    <s v="PIL1/D/1309"/>
    <d v="2026-08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233505.72"/>
    <s v="SF"/>
    <s v="PP/PE Fabric"/>
    <s v="PP UL Fabric"/>
    <s v="RM"/>
    <s v="erp"/>
    <n v="0"/>
    <n v="82406.720000000001"/>
    <n v="1079"/>
    <d v="2026-08-08T00:00:00"/>
    <s v="24AAACO3087C1ZT"/>
    <s v="storepil6"/>
    <s v="storepil6"/>
    <n v="9"/>
    <n v="7416.6"/>
    <n v="9"/>
    <n v="7416.6"/>
    <n v="0"/>
    <n v="0"/>
    <n v="1233505.72"/>
    <n v="692159421724"/>
    <d v="2026-08-08T00:00:00"/>
    <n v="0"/>
  </r>
  <r>
    <s v="HCP Plastene Bulkpack Ltd (Unit - IV)"/>
    <d v="2026-08-08T00:00:00"/>
    <s v="HPBL4/26-27/SII01126"/>
    <s v="WIP00023"/>
    <x v="0"/>
    <m/>
    <s v="HPBL4/RAW/26-27/462"/>
    <n v="6766"/>
    <n v="6766"/>
    <s v="Kgs"/>
    <n v="6766"/>
    <n v="0"/>
    <n v="6766"/>
    <s v="GJ12BY0479"/>
    <s v="Plastene India ltd - Unit 1-Purchase"/>
    <s v="Plastene India ltd - Unit 1-Purchase"/>
    <s v="PIL1/D/1309"/>
    <d v="2026-08-08T00:00:00"/>
    <s v="RAW MATERIAL"/>
    <s v="INDIGENOUS"/>
    <s v="RM 497"/>
    <n v="142.32"/>
    <n v="142.32"/>
    <s v="PIL1/D/1309"/>
    <d v="2026-08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233505.72"/>
    <s v="SF"/>
    <s v="PP/PE Fabric"/>
    <s v="PP UL Fabric"/>
    <s v="RM"/>
    <s v="erp"/>
    <n v="0"/>
    <n v="962937.12"/>
    <n v="1079"/>
    <d v="2026-08-08T00:00:00"/>
    <s v="24AAACO3087C1ZT"/>
    <s v="storepil6"/>
    <s v="storepil6"/>
    <n v="9"/>
    <n v="86664.34"/>
    <n v="9"/>
    <n v="86664.34"/>
    <n v="0"/>
    <n v="0"/>
    <n v="0"/>
    <n v="692159421724"/>
    <d v="2026-08-08T00:00:00"/>
    <n v="0"/>
  </r>
  <r>
    <s v="HCP Plastene Bulkpack Ltd (Unit - IV)"/>
    <d v="2026-08-08T00:00:00"/>
    <s v="HPBL4/26-27/SII01128"/>
    <s v="WIP00023"/>
    <x v="0"/>
    <m/>
    <s v="HPBL4/RAW/26-27/463"/>
    <n v="483"/>
    <n v="483"/>
    <s v="Kgs"/>
    <n v="483"/>
    <n v="0"/>
    <n v="483"/>
    <s v="GJ12BY0479"/>
    <s v="Plastene India ltd - Unit 1-Purchase"/>
    <s v="Plastene India ltd - Unit 1-Purchase"/>
    <s v="PIL1/D/1313"/>
    <d v="2026-08-08T00:00:00"/>
    <s v="RAW MATERIAL"/>
    <s v="INDIGENOUS"/>
    <s v="RM 498"/>
    <n v="144.32"/>
    <n v="144.32"/>
    <s v="PIL1/D/1313"/>
    <d v="2026-08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335355.8600000001"/>
    <s v="SF"/>
    <s v="PP/PE Fabric"/>
    <s v="PP UL Fabric"/>
    <s v="RM"/>
    <s v="erp"/>
    <n v="0"/>
    <n v="69706.559999999998"/>
    <n v="1081"/>
    <d v="2026-08-08T00:00:00"/>
    <s v="24AAACO3087C1ZT"/>
    <s v="storepil6"/>
    <s v="storepil6"/>
    <n v="9"/>
    <n v="6273.59"/>
    <n v="9"/>
    <n v="6273.59"/>
    <n v="0"/>
    <n v="0"/>
    <n v="1335355.8600000001"/>
    <n v="672159548564"/>
    <d v="2026-08-08T00:00:00"/>
    <n v="0"/>
  </r>
  <r>
    <s v="HCP Plastene Bulkpack Ltd (Unit - IV)"/>
    <d v="2026-08-08T00:00:00"/>
    <s v="HPBL4/26-27/SII01128"/>
    <s v="WIP00023"/>
    <x v="0"/>
    <m/>
    <s v="HPBL4/RAW/26-27/463"/>
    <n v="2335"/>
    <n v="2335"/>
    <s v="Kgs"/>
    <n v="2335"/>
    <n v="0"/>
    <n v="2335"/>
    <s v="GJ12BY0479"/>
    <s v="Plastene India ltd - Unit 1-Purchase"/>
    <s v="Plastene India ltd - Unit 1-Purchase"/>
    <s v="PIL1/D/1313"/>
    <d v="2026-08-08T00:00:00"/>
    <s v="RAW MATERIAL"/>
    <s v="INDIGENOUS"/>
    <s v="RM 498"/>
    <n v="142.32"/>
    <n v="142.32"/>
    <s v="PIL1/D/1313"/>
    <d v="2026-08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335355.8600000001"/>
    <s v="SF"/>
    <s v="PP/PE Fabric"/>
    <s v="PP UL Fabric"/>
    <s v="RM"/>
    <s v="erp"/>
    <n v="0"/>
    <n v="332317.2"/>
    <n v="1081"/>
    <d v="2026-08-08T00:00:00"/>
    <s v="24AAACO3087C1ZT"/>
    <s v="storepil6"/>
    <s v="storepil6"/>
    <n v="9"/>
    <n v="29908.55"/>
    <n v="9"/>
    <n v="29908.55"/>
    <n v="0"/>
    <n v="0"/>
    <n v="0"/>
    <n v="672159548564"/>
    <d v="2026-08-08T00:00:00"/>
    <n v="0"/>
  </r>
  <r>
    <s v="HCP Plastene Bulkpack Ltd (Unit - IV)"/>
    <d v="2026-08-08T00:00:00"/>
    <s v="HPBL4/26-27/SII01128"/>
    <s v="WIP00032"/>
    <x v="2"/>
    <m/>
    <s v="HPBL4/RAW/26-27/463"/>
    <n v="1539.7"/>
    <n v="1539.7"/>
    <s v="Kgs"/>
    <n v="1539.7"/>
    <n v="0"/>
    <n v="1539.7"/>
    <s v="GJ12BY0479"/>
    <s v="Plastene India ltd - Unit 1-Purchase"/>
    <s v="Plastene India ltd - Unit 1-Purchase"/>
    <s v="PIL1/D/1313"/>
    <d v="2026-08-08T00:00:00"/>
    <s v="RAW MATERIAL"/>
    <s v="INDIGENOUS"/>
    <s v="RM 498"/>
    <n v="147.32"/>
    <n v="147.32"/>
    <s v="PIL1/D/1313"/>
    <d v="2026-08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335355.8600000001"/>
    <s v="SF"/>
    <s v="Webbing"/>
    <s v="PP Webbing"/>
    <s v="RM"/>
    <s v="erp"/>
    <n v="0"/>
    <n v="226828.6"/>
    <n v="1081"/>
    <d v="2026-08-08T00:00:00"/>
    <s v="24AAACO3087C1ZT"/>
    <s v="storepil6"/>
    <s v="storepil6"/>
    <n v="9"/>
    <n v="20414.57"/>
    <n v="9"/>
    <n v="20414.57"/>
    <n v="0"/>
    <n v="0"/>
    <n v="0"/>
    <n v="672159548564"/>
    <d v="2026-08-08T00:00:00"/>
    <n v="0"/>
  </r>
  <r>
    <s v="HCP Plastene Bulkpack Ltd (Unit - IV)"/>
    <d v="2026-08-08T00:00:00"/>
    <s v="HPBL4/26-27/SII01128"/>
    <s v="WIP00032"/>
    <x v="2"/>
    <m/>
    <s v="HPBL4/RAW/26-27/463"/>
    <n v="1062.8"/>
    <n v="1062.8"/>
    <s v="Kgs"/>
    <n v="1062.8"/>
    <n v="0"/>
    <n v="1062.8"/>
    <s v="GJ12BY0479"/>
    <s v="Plastene India ltd - Unit 1-Purchase"/>
    <s v="Plastene India ltd - Unit 1-Purchase"/>
    <s v="PIL1/D/1313"/>
    <d v="2026-08-08T00:00:00"/>
    <s v="RAW MATERIAL"/>
    <s v="INDIGENOUS"/>
    <s v="RM 498"/>
    <n v="144.32"/>
    <n v="144.32"/>
    <s v="PIL1/D/1313"/>
    <d v="2026-08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335355.8600000001"/>
    <s v="SF"/>
    <s v="Webbing"/>
    <s v="PP Webbing"/>
    <s v="RM"/>
    <s v="erp"/>
    <n v="0"/>
    <n v="153383.29999999999"/>
    <n v="1081"/>
    <d v="2026-08-08T00:00:00"/>
    <s v="24AAACO3087C1ZT"/>
    <s v="storepil6"/>
    <s v="storepil6"/>
    <n v="9"/>
    <n v="13804.5"/>
    <n v="9"/>
    <n v="13804.5"/>
    <n v="0"/>
    <n v="0"/>
    <n v="0"/>
    <n v="672159548564"/>
    <d v="2026-08-08T00:00:00"/>
    <n v="0"/>
  </r>
  <r>
    <s v="HCP Plastene Bulkpack Ltd (Unit - IV)"/>
    <d v="2026-08-08T00:00:00"/>
    <s v="HPBL4/26-27/SII01128"/>
    <s v="WIP00025"/>
    <x v="1"/>
    <m/>
    <s v="HPBL4/RAW/26-27/463"/>
    <n v="1751"/>
    <n v="1751"/>
    <s v="Kgs"/>
    <n v="1751"/>
    <n v="0"/>
    <n v="1751"/>
    <s v="GJ12BY0479"/>
    <s v="Plastene India ltd - Unit 1-Purchase"/>
    <s v="Plastene India ltd - Unit 1-Purchase"/>
    <s v="PIL1/D/1313"/>
    <d v="2026-08-08T00:00:00"/>
    <s v="RAW MATERIAL"/>
    <s v="INDIGENOUS"/>
    <s v="RM 498"/>
    <n v="144.32"/>
    <n v="144.32"/>
    <s v="PIL1/D/1313"/>
    <d v="2026-08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335355.8600000001"/>
    <s v="SF"/>
    <s v="PP/PE Fabric"/>
    <s v="PP Lam Fabric"/>
    <s v="RM"/>
    <s v="erp"/>
    <n v="0"/>
    <n v="252704.32"/>
    <n v="1081"/>
    <d v="2026-08-08T00:00:00"/>
    <s v="24AAACO3087C1ZT"/>
    <s v="storepil6"/>
    <s v="storepil6"/>
    <n v="9"/>
    <n v="22743.39"/>
    <n v="9"/>
    <n v="22743.39"/>
    <n v="0"/>
    <n v="0"/>
    <n v="0"/>
    <n v="672159548564"/>
    <d v="2026-08-08T00:00:00"/>
    <n v="0"/>
  </r>
  <r>
    <s v="HCP Plastene Bulkpack Ltd (Unit - IV)"/>
    <d v="2026-08-08T00:00:00"/>
    <s v="HPBL4/26-27/SII01128"/>
    <s v="WIP00025"/>
    <x v="1"/>
    <m/>
    <s v="HPBL4/RAW/26-27/463"/>
    <n v="661"/>
    <n v="661"/>
    <s v="Kgs"/>
    <n v="661"/>
    <n v="0"/>
    <n v="661"/>
    <s v="GJ12BY0479"/>
    <s v="Plastene India ltd - Unit 1-Purchase"/>
    <s v="Plastene India ltd - Unit 1-Purchase"/>
    <s v="PIL1/D/1313"/>
    <d v="2026-08-08T00:00:00"/>
    <s v="RAW MATERIAL"/>
    <s v="INDIGENOUS"/>
    <s v="RM 498"/>
    <n v="146.32"/>
    <n v="146.32"/>
    <s v="PIL1/D/1313"/>
    <d v="2026-08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335355.8600000001"/>
    <s v="SF"/>
    <s v="PP/PE Fabric"/>
    <s v="PP Lam Fabric"/>
    <s v="RM"/>
    <s v="erp"/>
    <n v="0"/>
    <n v="96717.52"/>
    <n v="1081"/>
    <d v="2026-08-08T00:00:00"/>
    <s v="24AAACO3087C1ZT"/>
    <s v="storepil6"/>
    <s v="storepil6"/>
    <n v="9"/>
    <n v="8704.58"/>
    <n v="9"/>
    <n v="8704.58"/>
    <n v="0"/>
    <n v="0"/>
    <n v="0"/>
    <n v="672159548564"/>
    <d v="2026-08-08T00:00:00"/>
    <n v="0"/>
  </r>
  <r>
    <s v="HCP Plastene Bulkpack Ltd (Unit - IV)"/>
    <d v="2026-09-08T00:00:00"/>
    <s v="HPBL4/26-27/SII01134"/>
    <s v="WIP00038"/>
    <x v="12"/>
    <m/>
    <s v="HPBL4/RAW/26-27/464"/>
    <n v="3198.4"/>
    <n v="3198.4"/>
    <s v="Kgs"/>
    <n v="3198.4"/>
    <n v="0"/>
    <n v="3198.4"/>
    <s v="GJ15AV8440"/>
    <s v="HCP Plastene Bulkpack Limited - Purchase"/>
    <s v="HCP Plastene Bulkpack Limited - Purchase"/>
    <s v="HPBL/DC/33"/>
    <d v="2026-08-08T00:00:00"/>
    <s v="RAW MATERIAL"/>
    <s v="INDIGENOUS"/>
    <s v="RM 499"/>
    <n v="163.33000000000001"/>
    <n v="163.32999937468699"/>
    <s v="HPBL/DC/33"/>
    <d v="2026-08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522394.67"/>
    <s v="FG"/>
    <s v="Small Bags"/>
    <s v="PP Bags"/>
    <s v="FG"/>
    <s v="erp"/>
    <n v="0"/>
    <n v="522394.67"/>
    <n v="16"/>
    <d v="2026-09-08T00:00:00"/>
    <s v="24AABCG1282C2Z6"/>
    <s v="storepil6"/>
    <s v="storepil6"/>
    <n v="0"/>
    <n v="0"/>
    <n v="0"/>
    <n v="0"/>
    <n v="0"/>
    <n v="0"/>
    <n v="522394.67"/>
    <n v="682159832310"/>
    <d v="2026-08-08T00:00:00"/>
    <n v="0"/>
  </r>
  <r>
    <s v="HCP Plastene Bulkpack Ltd (Unit - IV)"/>
    <d v="2026-09-08T00:00:00"/>
    <s v="HPBL4/26-27/SII01136"/>
    <s v="WIP00025"/>
    <x v="1"/>
    <m/>
    <s v="HPBL4/RAW/26-27/466"/>
    <n v="752"/>
    <n v="752"/>
    <s v="Kgs"/>
    <n v="752"/>
    <n v="0"/>
    <n v="752"/>
    <s v="GJ39T3534"/>
    <s v="Plastene Polyfilms Ltd-Purchase"/>
    <s v="Plastene Polyfilms Ltd-Purchase"/>
    <s v="PPL/D/467"/>
    <d v="2026-08-08T00:00:00"/>
    <s v="RAW MATERIAL"/>
    <s v="INDIGENOUS"/>
    <s v="RM 500"/>
    <n v="137.58000000000001"/>
    <n v="137.58000000000001"/>
    <s v="PPL/D/467"/>
    <d v="2026-08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02702.8"/>
    <s v="SF"/>
    <s v="PP/PE Fabric"/>
    <s v="PP Lam Fabric"/>
    <s v="RM"/>
    <s v="erp"/>
    <n v="0"/>
    <n v="103460.16"/>
    <n v="1085"/>
    <d v="2026-09-08T00:00:00"/>
    <s v="24AAFCP2956A1ZR"/>
    <s v="storepil6"/>
    <s v="storepil6"/>
    <n v="9"/>
    <n v="9311.41"/>
    <n v="9"/>
    <n v="9311.41"/>
    <n v="0"/>
    <n v="0"/>
    <n v="202702.8"/>
    <n v="602159851982"/>
    <d v="2026-08-08T00:00:00"/>
    <n v="0"/>
  </r>
  <r>
    <s v="HCP Plastene Bulkpack Ltd (Unit - IV)"/>
    <d v="2026-09-08T00:00:00"/>
    <s v="HPBL4/26-27/SII01136"/>
    <s v="WIP00025"/>
    <x v="1"/>
    <m/>
    <s v="HPBL4/RAW/26-27/466"/>
    <n v="486"/>
    <n v="486"/>
    <s v="Kgs"/>
    <n v="486"/>
    <n v="0"/>
    <n v="486"/>
    <s v="GJ39T3534"/>
    <s v="Plastene Polyfilms Ltd-Purchase"/>
    <s v="Plastene Polyfilms Ltd-Purchase"/>
    <s v="PPL/D/467"/>
    <d v="2026-08-08T00:00:00"/>
    <s v="RAW MATERIAL"/>
    <s v="INDIGENOUS"/>
    <s v="RM 500"/>
    <n v="140.58000000000001"/>
    <n v="140.58000000000001"/>
    <s v="PPL/D/467"/>
    <d v="2026-08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02702.8"/>
    <s v="SF"/>
    <s v="PP/PE Fabric"/>
    <s v="PP Lam Fabric"/>
    <s v="RM"/>
    <s v="erp"/>
    <n v="0"/>
    <n v="68321.88"/>
    <n v="1085"/>
    <d v="2026-09-08T00:00:00"/>
    <s v="24AAFCP2956A1ZR"/>
    <s v="storepil6"/>
    <s v="storepil6"/>
    <n v="9"/>
    <n v="6148.97"/>
    <n v="9"/>
    <n v="6148.97"/>
    <n v="0"/>
    <n v="0"/>
    <n v="0"/>
    <n v="602159851982"/>
    <d v="2026-08-08T00:00:00"/>
    <n v="0"/>
  </r>
  <r>
    <s v="HCP Plastene Bulkpack Ltd (Unit - IV)"/>
    <d v="2026-09-08T00:00:00"/>
    <s v="HPBL4/26-27/SII01137"/>
    <s v="WIP00032"/>
    <x v="2"/>
    <m/>
    <s v="HPBL4/RAW/26-27/465"/>
    <n v="408.8"/>
    <n v="408.8"/>
    <s v="Kgs"/>
    <n v="408.8"/>
    <n v="0"/>
    <n v="408.8"/>
    <s v="GJ12BU0544"/>
    <s v="Plastene Polyfilms Ltd-Purchase"/>
    <s v="Plastene Polyfilms Ltd-Purchase"/>
    <s v="PPL/D/469"/>
    <d v="2026-09-08T00:00:00"/>
    <s v="RAW MATERIAL"/>
    <s v="INDIGENOUS"/>
    <s v="RM 501"/>
    <n v="138.38"/>
    <n v="138.37999170785201"/>
    <s v="PPL/D/469"/>
    <d v="2026-09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66752.3"/>
    <s v="SF"/>
    <s v="Webbing"/>
    <s v="PP Webbing"/>
    <s v="RM"/>
    <s v="erp"/>
    <n v="0"/>
    <n v="56569.74"/>
    <n v="1084"/>
    <d v="2026-09-08T00:00:00"/>
    <s v="24AAFCP2956A1ZR"/>
    <s v="storepil6"/>
    <s v="storepil6"/>
    <n v="9"/>
    <n v="5091.28"/>
    <n v="9"/>
    <n v="5091.28"/>
    <n v="0"/>
    <n v="0"/>
    <n v="66752.3"/>
    <n v="662160096327"/>
    <d v="2026-08-09T00:00:00"/>
    <n v="0"/>
  </r>
  <r>
    <s v="HCP Plastene Bulkpack Ltd (Unit - IV)"/>
    <d v="2026-09-08T00:00:00"/>
    <s v="HPBL4/26-27/SII01138"/>
    <s v="WIP00023"/>
    <x v="0"/>
    <m/>
    <s v="HPBL4/RAW/26-27/467"/>
    <n v="1139"/>
    <n v="1139"/>
    <s v="Kgs"/>
    <n v="1139"/>
    <n v="0"/>
    <n v="1139"/>
    <s v="gj12bt2409"/>
    <s v="Plastene India ltd - Unit 1-Purchase"/>
    <s v="Plastene India ltd - Unit 1-Purchase"/>
    <s v="PIL1/D/1320"/>
    <d v="2026-09-08T00:00:00"/>
    <s v="RAW MATERIAL"/>
    <s v="INDIGENOUS"/>
    <s v="RM 502"/>
    <n v="144.32"/>
    <n v="144.32"/>
    <s v="PIL1/D/1320"/>
    <d v="2026-09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374852.82"/>
    <s v="SF"/>
    <s v="PP/PE Fabric"/>
    <s v="PP UL Fabric"/>
    <s v="RM"/>
    <s v="erp"/>
    <n v="0"/>
    <n v="164380.48000000001"/>
    <n v="1086"/>
    <d v="2026-09-08T00:00:00"/>
    <s v="24AAACO3087C1ZT"/>
    <s v="storepil6"/>
    <s v="storepil6"/>
    <n v="9"/>
    <n v="14794.24"/>
    <n v="9"/>
    <n v="14794.24"/>
    <n v="0"/>
    <n v="0"/>
    <n v="1374852.82"/>
    <n v="662160067589"/>
    <d v="2026-08-09T00:00:00"/>
    <n v="0"/>
  </r>
  <r>
    <s v="HCP Plastene Bulkpack Ltd (Unit - IV)"/>
    <d v="2026-09-08T00:00:00"/>
    <s v="HPBL4/26-27/SII01138"/>
    <s v="WIP00023"/>
    <x v="0"/>
    <m/>
    <s v="HPBL4/RAW/26-27/467"/>
    <n v="5763"/>
    <n v="5763"/>
    <s v="Kgs"/>
    <n v="5763"/>
    <n v="0"/>
    <n v="5763"/>
    <s v="gj12bt2409"/>
    <s v="Plastene India ltd - Unit 1-Purchase"/>
    <s v="Plastene India ltd - Unit 1-Purchase"/>
    <s v="PIL1/D/1320"/>
    <d v="2026-09-08T00:00:00"/>
    <s v="RAW MATERIAL"/>
    <s v="INDIGENOUS"/>
    <s v="RM 502"/>
    <n v="142.32"/>
    <n v="142.32"/>
    <s v="PIL1/D/1320"/>
    <d v="2026-09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374852.82"/>
    <s v="SF"/>
    <s v="PP/PE Fabric"/>
    <s v="PP UL Fabric"/>
    <s v="RM"/>
    <s v="erp"/>
    <n v="0"/>
    <n v="820190.16"/>
    <n v="1086"/>
    <d v="2026-09-08T00:00:00"/>
    <s v="24AAACO3087C1ZT"/>
    <s v="storepil6"/>
    <s v="storepil6"/>
    <n v="9"/>
    <n v="73817.11"/>
    <n v="9"/>
    <n v="73817.11"/>
    <n v="0"/>
    <n v="0"/>
    <n v="0"/>
    <n v="662160067589"/>
    <d v="2026-08-09T00:00:00"/>
    <n v="0"/>
  </r>
  <r>
    <s v="HCP Plastene Bulkpack Ltd (Unit - IV)"/>
    <d v="2026-09-08T00:00:00"/>
    <s v="HPBL4/26-27/SII01138"/>
    <s v="WIP00025"/>
    <x v="1"/>
    <m/>
    <s v="HPBL4/RAW/26-27/467"/>
    <n v="1234"/>
    <n v="1234"/>
    <s v="Kgs"/>
    <n v="1234"/>
    <n v="0"/>
    <n v="1234"/>
    <s v="gj12bt2409"/>
    <s v="Plastene India ltd - Unit 1-Purchase"/>
    <s v="Plastene India ltd - Unit 1-Purchase"/>
    <s v="PIL1/D/1320"/>
    <d v="2026-09-08T00:00:00"/>
    <s v="RAW MATERIAL"/>
    <s v="INDIGENOUS"/>
    <s v="RM 502"/>
    <n v="146.32"/>
    <n v="146.32"/>
    <s v="PIL1/D/1320"/>
    <d v="2026-09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374852.82"/>
    <s v="SF"/>
    <s v="PP/PE Fabric"/>
    <s v="PP Lam Fabric"/>
    <s v="RM"/>
    <s v="erp"/>
    <n v="0"/>
    <n v="180558.88"/>
    <n v="1086"/>
    <d v="2026-09-08T00:00:00"/>
    <s v="24AAACO3087C1ZT"/>
    <s v="storepil6"/>
    <s v="storepil6"/>
    <n v="9"/>
    <n v="16250.3"/>
    <n v="9"/>
    <n v="16250.3"/>
    <n v="0"/>
    <n v="0"/>
    <n v="0"/>
    <n v="662160067589"/>
    <d v="2026-08-09T00:00:00"/>
    <n v="0"/>
  </r>
  <r>
    <s v="HCP Plastene Bulkpack Ltd (Unit - IV)"/>
    <d v="2026-09-08T00:00:00"/>
    <s v="HPBL4/26-27/SII01139"/>
    <s v="WIP00025"/>
    <x v="1"/>
    <m/>
    <s v="HPBL4/RAW/26-27/468"/>
    <n v="255"/>
    <n v="255"/>
    <s v="Kgs"/>
    <n v="255"/>
    <n v="0"/>
    <n v="255"/>
    <s v="GJ39TB3534"/>
    <s v="Plastene India ltd - Unit 1-Purchase"/>
    <s v="Plastene India ltd - Unit 1-Purchase"/>
    <s v="PIL1/D/1325"/>
    <d v="2026-09-08T00:00:00"/>
    <s v="RAW MATERIAL"/>
    <s v="INDIGENOUS"/>
    <s v="RM 503"/>
    <n v="151.32"/>
    <n v="151.31999869500001"/>
    <s v="PIL1/D/1325"/>
    <d v="2026-09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31908.03"/>
    <s v="SF"/>
    <s v="PP/PE Fabric"/>
    <s v="PP Lam Fabric"/>
    <s v="RM"/>
    <s v="erp"/>
    <n v="0"/>
    <n v="38586.6"/>
    <n v="1094"/>
    <d v="2026-09-08T00:00:00"/>
    <s v="24AAACO3087C1ZT"/>
    <s v="storepil6"/>
    <s v="storepil6"/>
    <n v="9"/>
    <n v="3472.79"/>
    <n v="9"/>
    <n v="3472.79"/>
    <n v="0"/>
    <n v="0"/>
    <n v="231908.03"/>
    <n v="642160159190"/>
    <d v="2026-08-09T00:00:00"/>
    <n v="0"/>
  </r>
  <r>
    <s v="HCP Plastene Bulkpack Ltd (Unit - IV)"/>
    <d v="2026-09-08T00:00:00"/>
    <s v="HPBL4/26-27/SII01139"/>
    <s v="WIP00032"/>
    <x v="2"/>
    <m/>
    <s v="HPBL4/RAW/26-27/468"/>
    <n v="147.1"/>
    <n v="147.1"/>
    <s v="Kgs"/>
    <n v="147.1"/>
    <n v="0"/>
    <n v="147.1"/>
    <s v="GJ39TB3534"/>
    <s v="Plastene India ltd - Unit 1-Purchase"/>
    <s v="Plastene India ltd - Unit 1-Purchase"/>
    <s v="PIL1/D/1325"/>
    <d v="2026-09-08T00:00:00"/>
    <s v="RAW MATERIAL"/>
    <s v="INDIGENOUS"/>
    <s v="RM 503"/>
    <n v="147.32"/>
    <n v="147.31999872949601"/>
    <s v="PIL1/D/1325"/>
    <d v="2026-09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31908.03"/>
    <s v="SF"/>
    <s v="Webbing"/>
    <s v="PP Webbing"/>
    <s v="RM"/>
    <s v="erp"/>
    <n v="0"/>
    <n v="21670.77"/>
    <n v="1094"/>
    <d v="2026-09-08T00:00:00"/>
    <s v="24AAACO3087C1ZT"/>
    <s v="storepil6"/>
    <s v="storepil6"/>
    <n v="9"/>
    <n v="1950.37"/>
    <n v="9"/>
    <n v="1950.37"/>
    <n v="0"/>
    <n v="0"/>
    <n v="0"/>
    <n v="642160159190"/>
    <d v="2026-08-09T00:00:00"/>
    <n v="0"/>
  </r>
  <r>
    <s v="HCP Plastene Bulkpack Ltd (Unit - IV)"/>
    <d v="2026-09-08T00:00:00"/>
    <s v="HPBL4/26-27/SII01139"/>
    <s v="FIG00001"/>
    <x v="6"/>
    <m/>
    <s v="HPBL4/RAW/26-27/468"/>
    <n v="72"/>
    <n v="72"/>
    <s v="Kgs"/>
    <n v="72"/>
    <n v="0"/>
    <n v="72"/>
    <s v="GJ39TB3534"/>
    <s v="Plastene India ltd - Unit 1-Purchase"/>
    <s v="Plastene India ltd - Unit 1-Purchase"/>
    <s v="PIL1/D/1325"/>
    <d v="2026-09-08T00:00:00"/>
    <s v="RAW MATERIAL"/>
    <s v="INDIGENOUS"/>
    <s v="RM 503"/>
    <n v="152.32"/>
    <n v="152.31999868637601"/>
    <s v="PIL1/D/1325"/>
    <d v="2026-09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31908.03"/>
    <s v="FG"/>
    <s v="FIBC WIP"/>
    <s v="FIBC WIP"/>
    <s v="RM"/>
    <s v="erp"/>
    <n v="0"/>
    <n v="10967.04"/>
    <n v="1094"/>
    <d v="2026-09-08T00:00:00"/>
    <s v="24AAACO3087C1ZT"/>
    <s v="storepil6"/>
    <s v="storepil6"/>
    <n v="9"/>
    <n v="987.03"/>
    <n v="9"/>
    <n v="987.03"/>
    <n v="0"/>
    <n v="0"/>
    <n v="0"/>
    <n v="642160159190"/>
    <d v="2026-08-09T00:00:00"/>
    <n v="0"/>
  </r>
  <r>
    <s v="HCP Plastene Bulkpack Ltd (Unit - IV)"/>
    <d v="2026-09-08T00:00:00"/>
    <s v="HPBL4/26-27/SII01139"/>
    <s v="FIG00001"/>
    <x v="6"/>
    <m/>
    <s v="HPBL4/RAW/26-27/468"/>
    <n v="730"/>
    <n v="730"/>
    <s v="Kgs"/>
    <n v="730"/>
    <n v="0"/>
    <n v="730"/>
    <s v="GJ39TB3534"/>
    <s v="Plastene India ltd - Unit 1-Purchase"/>
    <s v="Plastene India ltd - Unit 1-Purchase"/>
    <s v="PIL1/D/1325"/>
    <d v="2026-09-08T00:00:00"/>
    <s v="RAW MATERIAL"/>
    <s v="INDIGENOUS"/>
    <s v="RM 503"/>
    <n v="154.32"/>
    <n v="154.31999866912801"/>
    <s v="PIL1/D/1325"/>
    <d v="2026-09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31908.03"/>
    <s v="FG"/>
    <s v="FIBC WIP"/>
    <s v="FIBC WIP"/>
    <s v="RM"/>
    <s v="erp"/>
    <n v="0"/>
    <n v="112653.6"/>
    <n v="1094"/>
    <d v="2026-09-08T00:00:00"/>
    <s v="24AAACO3087C1ZT"/>
    <s v="storepil6"/>
    <s v="storepil6"/>
    <n v="9"/>
    <n v="10138.82"/>
    <n v="9"/>
    <n v="10138.82"/>
    <n v="0"/>
    <n v="0"/>
    <n v="0"/>
    <n v="642160159190"/>
    <d v="2026-08-09T00:00:00"/>
    <n v="0"/>
  </r>
  <r>
    <s v="HCP Plastene Bulkpack Ltd (Unit - IV)"/>
    <d v="2026-09-08T00:00:00"/>
    <s v="HPBL4/26-27/SII01139"/>
    <s v="FIG00001"/>
    <x v="6"/>
    <m/>
    <s v="HPBL4/RAW/26-27/468"/>
    <n v="82"/>
    <n v="82"/>
    <s v="Kgs"/>
    <n v="82"/>
    <n v="0"/>
    <n v="82"/>
    <s v="GJ39TB3534"/>
    <s v="Plastene India ltd - Unit 1-Purchase"/>
    <s v="Plastene India ltd - Unit 1-Purchase"/>
    <s v="PIL1/D/1325"/>
    <d v="2026-09-08T00:00:00"/>
    <s v="RAW MATERIAL"/>
    <s v="INDIGENOUS"/>
    <s v="RM 503"/>
    <n v="154.32"/>
    <n v="154.31999866912801"/>
    <s v="PIL1/D/1325"/>
    <d v="2026-09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31908.03"/>
    <s v="FG"/>
    <s v="FIBC WIP"/>
    <s v="FIBC WIP"/>
    <s v="RM"/>
    <s v="erp"/>
    <n v="0"/>
    <n v="12654.24"/>
    <n v="1094"/>
    <d v="2026-09-08T00:00:00"/>
    <s v="24AAACO3087C1ZT"/>
    <s v="storepil6"/>
    <s v="storepil6"/>
    <n v="9"/>
    <n v="1138.8800000000001"/>
    <n v="9"/>
    <n v="1138.8800000000001"/>
    <n v="0"/>
    <n v="0"/>
    <n v="0"/>
    <n v="642160159190"/>
    <d v="2026-08-09T00:00:00"/>
    <n v="0"/>
  </r>
  <r>
    <s v="HCP Plastene Bulkpack Ltd (Unit - IV)"/>
    <d v="2026-09-08T00:00:00"/>
    <s v="HPBL4/26-27/SII01140"/>
    <s v="WIP00023"/>
    <x v="0"/>
    <m/>
    <s v="HPBL4/RAW/26-27/469"/>
    <n v="479"/>
    <n v="479"/>
    <s v="Kgs"/>
    <n v="479"/>
    <n v="0"/>
    <n v="479"/>
    <s v="GJ12BY0479"/>
    <s v="Plastene India ltd - Unit 1-Purchase"/>
    <s v="Plastene India ltd - Unit 1-Purchase"/>
    <s v="PIL1/D/1322"/>
    <d v="2026-09-08T00:00:00"/>
    <s v="RAW MATERIAL"/>
    <s v="INDIGENOUS"/>
    <s v="RM 504"/>
    <n v="144.32"/>
    <n v="144.319999821154"/>
    <s v="PIL1/D/1322"/>
    <d v="2026-09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613902.04"/>
    <s v="SF"/>
    <s v="PP/PE Fabric"/>
    <s v="PP UL Fabric"/>
    <s v="RM"/>
    <s v="erp"/>
    <n v="0"/>
    <n v="69129.279999999999"/>
    <n v="1088"/>
    <d v="2026-09-08T00:00:00"/>
    <s v="24AAACO3087C1ZT"/>
    <s v="storepil6"/>
    <s v="storepil6"/>
    <n v="9"/>
    <n v="6221.64"/>
    <n v="9"/>
    <n v="6221.64"/>
    <n v="0"/>
    <n v="0"/>
    <n v="1613902.04"/>
    <n v="692160097527"/>
    <d v="2026-08-09T00:00:00"/>
    <n v="0"/>
  </r>
  <r>
    <s v="HCP Plastene Bulkpack Ltd (Unit - IV)"/>
    <d v="2026-09-08T00:00:00"/>
    <s v="HPBL4/26-27/SII01140"/>
    <s v="WIP00023"/>
    <x v="0"/>
    <m/>
    <s v="HPBL4/RAW/26-27/469"/>
    <n v="3729"/>
    <n v="3729"/>
    <s v="Kgs"/>
    <n v="3729"/>
    <n v="0"/>
    <n v="3729"/>
    <s v="GJ12BY0479"/>
    <s v="Plastene India ltd - Unit 1-Purchase"/>
    <s v="Plastene India ltd - Unit 1-Purchase"/>
    <s v="PIL1/D/1322"/>
    <d v="2026-09-08T00:00:00"/>
    <s v="RAW MATERIAL"/>
    <s v="INDIGENOUS"/>
    <s v="RM 504"/>
    <n v="142.32"/>
    <n v="142.319999823632"/>
    <s v="PIL1/D/1322"/>
    <d v="2026-09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613902.04"/>
    <s v="SF"/>
    <s v="PP/PE Fabric"/>
    <s v="PP UL Fabric"/>
    <s v="RM"/>
    <s v="erp"/>
    <n v="0"/>
    <n v="530711.28"/>
    <n v="1088"/>
    <d v="2026-09-08T00:00:00"/>
    <s v="24AAACO3087C1ZT"/>
    <s v="storepil6"/>
    <s v="storepil6"/>
    <n v="9"/>
    <n v="47764.02"/>
    <n v="9"/>
    <n v="47764.02"/>
    <n v="0"/>
    <n v="0"/>
    <n v="0"/>
    <n v="692160097527"/>
    <d v="2026-08-09T00:00:00"/>
    <n v="0"/>
  </r>
  <r>
    <s v="HCP Plastene Bulkpack Ltd (Unit - IV)"/>
    <d v="2026-09-08T00:00:00"/>
    <s v="HPBL4/26-27/SII01140"/>
    <s v="wip00013"/>
    <x v="3"/>
    <m/>
    <s v="HPBL4/RAW/26-27/469"/>
    <n v="1625.7"/>
    <n v="1625.7"/>
    <s v="Kgs"/>
    <n v="1625.7"/>
    <n v="0"/>
    <n v="1625.7"/>
    <s v="GJ12BY0479"/>
    <s v="Plastene India ltd - Unit 1-Purchase"/>
    <s v="Plastene India ltd - Unit 1-Purchase"/>
    <s v="PIL1/D/1322"/>
    <d v="2026-09-08T00:00:00"/>
    <s v="RAW MATERIAL"/>
    <s v="INDIGENOUS"/>
    <s v="RM 504"/>
    <n v="176.86"/>
    <n v="176.85999978082901"/>
    <s v="PIL1/D/1322"/>
    <d v="2026-09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613902.04"/>
    <s v="SF"/>
    <s v="Liners"/>
    <s v="LDPE/LLDPE Bags"/>
    <s v="RM"/>
    <s v="erp"/>
    <n v="0"/>
    <n v="287521.3"/>
    <n v="1088"/>
    <d v="2026-09-08T00:00:00"/>
    <s v="24AAACO3087C1ZT"/>
    <s v="storepil6"/>
    <s v="storepil6"/>
    <n v="9"/>
    <n v="25876.92"/>
    <n v="9"/>
    <n v="25876.92"/>
    <n v="0"/>
    <n v="0"/>
    <n v="0"/>
    <n v="692160097527"/>
    <d v="2026-08-09T00:00:00"/>
    <n v="0"/>
  </r>
  <r>
    <s v="HCP Plastene Bulkpack Ltd (Unit - IV)"/>
    <d v="2026-09-08T00:00:00"/>
    <s v="HPBL4/26-27/SII01140"/>
    <s v="wip00013"/>
    <x v="3"/>
    <m/>
    <s v="HPBL4/RAW/26-27/469"/>
    <n v="508"/>
    <n v="508"/>
    <s v="Kgs"/>
    <n v="508"/>
    <n v="0"/>
    <n v="508"/>
    <s v="GJ12BY0479"/>
    <s v="Plastene India ltd - Unit 1-Purchase"/>
    <s v="Plastene India ltd - Unit 1-Purchase"/>
    <s v="PIL1/D/1322"/>
    <d v="2026-09-08T00:00:00"/>
    <s v="RAW MATERIAL"/>
    <s v="INDIGENOUS"/>
    <s v="RM 504"/>
    <n v="184.86"/>
    <n v="184.85999977091501"/>
    <s v="PIL1/D/1322"/>
    <d v="2026-09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613902.04"/>
    <s v="SF"/>
    <s v="Liners"/>
    <s v="LDPE/LLDPE Bags"/>
    <s v="RM"/>
    <s v="erp"/>
    <n v="0"/>
    <n v="93908.88"/>
    <n v="1088"/>
    <d v="2026-09-08T00:00:00"/>
    <s v="24AAACO3087C1ZT"/>
    <s v="storepil6"/>
    <s v="storepil6"/>
    <n v="9"/>
    <n v="8451.7999999999993"/>
    <n v="9"/>
    <n v="8451.7999999999993"/>
    <n v="0"/>
    <n v="0"/>
    <n v="0"/>
    <n v="692160097527"/>
    <d v="2026-08-09T00:00:00"/>
    <n v="0"/>
  </r>
  <r>
    <s v="HCP Plastene Bulkpack Ltd (Unit - IV)"/>
    <d v="2026-09-08T00:00:00"/>
    <s v="HPBL4/26-27/SII01140"/>
    <s v="wip00013"/>
    <x v="3"/>
    <m/>
    <s v="HPBL4/RAW/26-27/469"/>
    <n v="78"/>
    <n v="78"/>
    <s v="Kgs"/>
    <n v="78"/>
    <n v="0"/>
    <n v="78"/>
    <s v="GJ12BY0479"/>
    <s v="Plastene India ltd - Unit 1-Purchase"/>
    <s v="Plastene India ltd - Unit 1-Purchase"/>
    <s v="PIL1/D/1322"/>
    <d v="2026-09-08T00:00:00"/>
    <s v="RAW MATERIAL"/>
    <s v="INDIGENOUS"/>
    <s v="RM 504"/>
    <n v="180.86"/>
    <n v="180.85999977587201"/>
    <s v="PIL1/D/1322"/>
    <d v="2026-09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613902.04"/>
    <s v="SF"/>
    <s v="Liners"/>
    <s v="LDPE/LLDPE Bags"/>
    <s v="RM"/>
    <s v="erp"/>
    <n v="0"/>
    <n v="14107.08"/>
    <n v="1088"/>
    <d v="2026-09-08T00:00:00"/>
    <s v="24AAACO3087C1ZT"/>
    <s v="storepil6"/>
    <s v="storepil6"/>
    <n v="9"/>
    <n v="1269.6400000000001"/>
    <n v="9"/>
    <n v="1269.6400000000001"/>
    <n v="0"/>
    <n v="0"/>
    <n v="0"/>
    <n v="692160097527"/>
    <d v="2026-08-09T00:00:00"/>
    <n v="0"/>
  </r>
  <r>
    <s v="HCP Plastene Bulkpack Ltd (Unit - IV)"/>
    <d v="2026-09-08T00:00:00"/>
    <s v="HPBL4/26-27/SII01140"/>
    <s v="WIP00032"/>
    <x v="2"/>
    <m/>
    <s v="HPBL4/RAW/26-27/469"/>
    <n v="1162.9000000000001"/>
    <n v="1162.9000000000001"/>
    <s v="Kgs"/>
    <n v="1162.9000000000001"/>
    <n v="0"/>
    <n v="1162.9000000000001"/>
    <s v="GJ12BY0479"/>
    <s v="Plastene India ltd - Unit 1-Purchase"/>
    <s v="Plastene India ltd - Unit 1-Purchase"/>
    <s v="PIL1/D/1322"/>
    <d v="2026-09-08T00:00:00"/>
    <s v="RAW MATERIAL"/>
    <s v="INDIGENOUS"/>
    <s v="RM 504"/>
    <n v="147.32"/>
    <n v="147.31999981743601"/>
    <s v="PIL1/D/1322"/>
    <d v="2026-09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613902.04"/>
    <s v="SF"/>
    <s v="Webbing"/>
    <s v="PP Webbing"/>
    <s v="RM"/>
    <s v="erp"/>
    <n v="0"/>
    <n v="171318.43"/>
    <n v="1088"/>
    <d v="2026-09-08T00:00:00"/>
    <s v="24AAACO3087C1ZT"/>
    <s v="storepil6"/>
    <s v="storepil6"/>
    <n v="9"/>
    <n v="15418.66"/>
    <n v="9"/>
    <n v="15418.66"/>
    <n v="0"/>
    <n v="0"/>
    <n v="0"/>
    <n v="692160097527"/>
    <d v="2026-08-09T00:00:00"/>
    <n v="0"/>
  </r>
  <r>
    <s v="HCP Plastene Bulkpack Ltd (Unit - IV)"/>
    <d v="2026-09-08T00:00:00"/>
    <s v="HPBL4/26-27/SII01140"/>
    <s v="WIP00032"/>
    <x v="2"/>
    <m/>
    <s v="HPBL4/RAW/26-27/469"/>
    <n v="752.1"/>
    <n v="752.1"/>
    <s v="Kgs"/>
    <n v="752.1"/>
    <n v="0"/>
    <n v="752.1"/>
    <s v="GJ12BY0479"/>
    <s v="Plastene India ltd - Unit 1-Purchase"/>
    <s v="Plastene India ltd - Unit 1-Purchase"/>
    <s v="PIL1/D/1322"/>
    <d v="2026-09-08T00:00:00"/>
    <s v="RAW MATERIAL"/>
    <s v="INDIGENOUS"/>
    <s v="RM 504"/>
    <n v="144.32"/>
    <n v="144.319999821154"/>
    <s v="PIL1/D/1322"/>
    <d v="2026-09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613902.04"/>
    <s v="SF"/>
    <s v="Webbing"/>
    <s v="PP Webbing"/>
    <s v="RM"/>
    <s v="erp"/>
    <n v="0"/>
    <n v="108543.07"/>
    <n v="1088"/>
    <d v="2026-09-08T00:00:00"/>
    <s v="24AAACO3087C1ZT"/>
    <s v="storepil6"/>
    <s v="storepil6"/>
    <n v="9"/>
    <n v="9768.8799999999992"/>
    <n v="9"/>
    <n v="9768.8799999999992"/>
    <n v="0"/>
    <n v="0"/>
    <n v="0"/>
    <n v="692160097527"/>
    <d v="2026-08-09T00:00:00"/>
    <n v="0"/>
  </r>
  <r>
    <s v="HCP Plastene Bulkpack Ltd (Unit - IV)"/>
    <d v="2026-09-08T00:00:00"/>
    <s v="HPBL4/26-27/SII01140"/>
    <s v="WIP00025"/>
    <x v="1"/>
    <m/>
    <s v="HPBL4/RAW/26-27/469"/>
    <n v="632"/>
    <n v="632"/>
    <s v="Kgs"/>
    <n v="632"/>
    <n v="0"/>
    <n v="632"/>
    <s v="GJ12BY0479"/>
    <s v="Plastene India ltd - Unit 1-Purchase"/>
    <s v="Plastene India ltd - Unit 1-Purchase"/>
    <s v="PIL1/D/1322"/>
    <d v="2026-09-08T00:00:00"/>
    <s v="RAW MATERIAL"/>
    <s v="INDIGENOUS"/>
    <s v="RM 504"/>
    <n v="146.32"/>
    <n v="146.319999818675"/>
    <s v="PIL1/D/1322"/>
    <d v="2026-09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613902.04"/>
    <s v="SF"/>
    <s v="PP/PE Fabric"/>
    <s v="PP Lam Fabric"/>
    <s v="RM"/>
    <s v="erp"/>
    <n v="0"/>
    <n v="92474.240000000005"/>
    <n v="1088"/>
    <d v="2026-09-08T00:00:00"/>
    <s v="24AAACO3087C1ZT"/>
    <s v="storepil6"/>
    <s v="storepil6"/>
    <n v="9"/>
    <n v="8322.68"/>
    <n v="9"/>
    <n v="8322.68"/>
    <n v="0"/>
    <n v="0"/>
    <n v="0"/>
    <n v="692160097527"/>
    <d v="2026-08-09T00:00:00"/>
    <n v="0"/>
  </r>
  <r>
    <s v="HCP Plastene Bulkpack Ltd (Unit - IV)"/>
    <d v="2026-10-08T00:00:00"/>
    <s v="HPBL4/26-27/SII01142"/>
    <s v="WIP00023"/>
    <x v="0"/>
    <m/>
    <s v="HPBL4/RAW/26-27/471"/>
    <n v="6937"/>
    <n v="6937"/>
    <s v="Kgs"/>
    <n v="6937"/>
    <n v="0"/>
    <n v="6937"/>
    <s v="gj12bt2409"/>
    <s v="Plastene India ltd - Unit 1-Purchase"/>
    <s v="Plastene India ltd - Unit 1-Purchase"/>
    <s v="PIL1/D/1329"/>
    <d v="2026-10-08T00:00:00"/>
    <s v="RAW MATERIAL"/>
    <s v="INDIGENOUS"/>
    <s v="RM 505"/>
    <n v="142.32"/>
    <n v="142.32"/>
    <s v="PIL1/D/1329"/>
    <d v="2026-10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261371.58"/>
    <s v="SF"/>
    <s v="PP/PE Fabric"/>
    <s v="PP UL Fabric"/>
    <s v="RM"/>
    <s v="erp"/>
    <n v="0"/>
    <n v="987273.84"/>
    <n v="1095"/>
    <d v="2026-10-08T00:00:00"/>
    <s v="24AAACO3087C1ZT"/>
    <s v="storepil6"/>
    <s v="storepil6"/>
    <n v="9"/>
    <n v="88854.65"/>
    <n v="9"/>
    <n v="88854.65"/>
    <n v="0"/>
    <n v="0"/>
    <n v="1261371.58"/>
    <n v="632160300922"/>
    <d v="2026-08-10T00:00:00"/>
    <n v="0"/>
  </r>
  <r>
    <s v="HCP Plastene Bulkpack Ltd (Unit - IV)"/>
    <d v="2026-10-08T00:00:00"/>
    <s v="HPBL4/26-27/SII01142"/>
    <s v="WIP00023"/>
    <x v="0"/>
    <m/>
    <s v="HPBL4/RAW/26-27/471"/>
    <n v="566"/>
    <n v="566"/>
    <s v="Kgs"/>
    <n v="566"/>
    <n v="0"/>
    <n v="566"/>
    <s v="gj12bt2409"/>
    <s v="Plastene India ltd - Unit 1-Purchase"/>
    <s v="Plastene India ltd - Unit 1-Purchase"/>
    <s v="PIL1/D/1329"/>
    <d v="2026-10-08T00:00:00"/>
    <s v="RAW MATERIAL"/>
    <s v="INDIGENOUS"/>
    <s v="RM 505"/>
    <n v="144.32"/>
    <n v="144.32"/>
    <s v="PIL1/D/1329"/>
    <d v="2026-10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261371.58"/>
    <s v="SF"/>
    <s v="PP/PE Fabric"/>
    <s v="PP UL Fabric"/>
    <s v="RM"/>
    <s v="erp"/>
    <n v="0"/>
    <n v="81685.119999999995"/>
    <n v="1095"/>
    <d v="2026-10-08T00:00:00"/>
    <s v="24AAACO3087C1ZT"/>
    <s v="storepil6"/>
    <s v="storepil6"/>
    <n v="9"/>
    <n v="7351.66"/>
    <n v="9"/>
    <n v="7351.66"/>
    <n v="0"/>
    <n v="0"/>
    <n v="0"/>
    <n v="632160300922"/>
    <d v="2026-08-10T00:00:00"/>
    <n v="0"/>
  </r>
  <r>
    <s v="HCP Plastene Bulkpack Ltd (Unit - IV)"/>
    <d v="2026-10-08T00:00:00"/>
    <s v="HPBL4/26-27/SII01143"/>
    <s v="WIP00023"/>
    <x v="0"/>
    <m/>
    <s v="HPBL4/RAW/26-27/472"/>
    <n v="495"/>
    <n v="495"/>
    <s v="Kgs"/>
    <n v="495"/>
    <n v="0"/>
    <n v="495"/>
    <s v="gj12bt2409"/>
    <s v="Plastene India ltd - Unit 1-Purchase"/>
    <s v="Plastene India ltd - Unit 1-Purchase"/>
    <s v="PIL1/D/1332"/>
    <d v="2026-10-08T00:00:00"/>
    <s v="RAW MATERIAL"/>
    <s v="INDIGENOUS"/>
    <s v="RM 506"/>
    <n v="144.32"/>
    <n v="144.32000081613799"/>
    <s v="PIL1/D/1332"/>
    <d v="2026-10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414661.98"/>
    <s v="SF"/>
    <s v="PP/PE Fabric"/>
    <s v="PP UL Fabric"/>
    <s v="RM"/>
    <s v="erp"/>
    <n v="0"/>
    <n v="71438.399999999994"/>
    <n v="1098"/>
    <d v="2026-10-08T00:00:00"/>
    <s v="24AAACO3087C1ZT"/>
    <s v="storepil6"/>
    <s v="storepil6"/>
    <n v="9"/>
    <n v="6429.46"/>
    <n v="9"/>
    <n v="6429.46"/>
    <n v="0"/>
    <n v="0"/>
    <n v="1414661.98"/>
    <n v="672160456610"/>
    <d v="2026-08-10T00:00:00"/>
    <n v="0"/>
  </r>
  <r>
    <s v="HCP Plastene Bulkpack Ltd (Unit - IV)"/>
    <d v="2026-10-08T00:00:00"/>
    <s v="HPBL4/26-27/SII01143"/>
    <s v="WIP00023"/>
    <x v="0"/>
    <m/>
    <s v="HPBL4/RAW/26-27/472"/>
    <n v="2042"/>
    <n v="2042"/>
    <s v="Kgs"/>
    <n v="2042"/>
    <n v="0"/>
    <n v="2042"/>
    <s v="gj12bt2409"/>
    <s v="Plastene India ltd - Unit 1-Purchase"/>
    <s v="Plastene India ltd - Unit 1-Purchase"/>
    <s v="PIL1/D/1332"/>
    <d v="2026-10-08T00:00:00"/>
    <s v="RAW MATERIAL"/>
    <s v="INDIGENOUS"/>
    <s v="RM 506"/>
    <n v="142.32"/>
    <n v="142.320000804828"/>
    <s v="PIL1/D/1332"/>
    <d v="2026-10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414661.98"/>
    <s v="SF"/>
    <s v="PP/PE Fabric"/>
    <s v="PP UL Fabric"/>
    <s v="RM"/>
    <s v="erp"/>
    <n v="0"/>
    <n v="290617.44"/>
    <n v="1098"/>
    <d v="2026-10-08T00:00:00"/>
    <s v="24AAACO3087C1ZT"/>
    <s v="storepil6"/>
    <s v="storepil6"/>
    <n v="9"/>
    <n v="26155.57"/>
    <n v="9"/>
    <n v="26155.57"/>
    <n v="0"/>
    <n v="0"/>
    <n v="0"/>
    <n v="672160456610"/>
    <d v="2026-08-10T00:00:00"/>
    <n v="0"/>
  </r>
  <r>
    <s v="HCP Plastene Bulkpack Ltd (Unit - IV)"/>
    <d v="2026-10-08T00:00:00"/>
    <s v="HPBL4/26-27/SII01143"/>
    <s v="wip00013"/>
    <x v="3"/>
    <m/>
    <s v="HPBL4/RAW/26-27/472"/>
    <n v="1828"/>
    <n v="1828"/>
    <s v="Kgs"/>
    <n v="1828"/>
    <n v="0"/>
    <n v="1828"/>
    <s v="gj12bt2409"/>
    <s v="Plastene India ltd - Unit 1-Purchase"/>
    <s v="Plastene India ltd - Unit 1-Purchase"/>
    <s v="PIL1/D/1332"/>
    <d v="2026-10-08T00:00:00"/>
    <s v="RAW MATERIAL"/>
    <s v="INDIGENOUS"/>
    <s v="RM 506"/>
    <n v="176.86"/>
    <n v="176.860001000154"/>
    <s v="PIL1/D/1332"/>
    <d v="2026-10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414661.98"/>
    <s v="SF"/>
    <s v="Liners"/>
    <s v="LDPE/LLDPE Bags"/>
    <s v="RM"/>
    <s v="erp"/>
    <n v="0"/>
    <n v="323300.08"/>
    <n v="1098"/>
    <d v="2026-10-08T00:00:00"/>
    <s v="24AAACO3087C1ZT"/>
    <s v="storepil6"/>
    <s v="storepil6"/>
    <n v="9"/>
    <n v="29097.01"/>
    <n v="9"/>
    <n v="29097.01"/>
    <n v="0"/>
    <n v="0"/>
    <n v="0"/>
    <n v="672160456610"/>
    <d v="2026-08-10T00:00:00"/>
    <n v="0"/>
  </r>
  <r>
    <s v="HCP Plastene Bulkpack Ltd (Unit - IV)"/>
    <d v="2026-10-08T00:00:00"/>
    <s v="HPBL4/26-27/SII01143"/>
    <s v="wip00013"/>
    <x v="3"/>
    <m/>
    <s v="HPBL4/RAW/26-27/472"/>
    <n v="153"/>
    <n v="153"/>
    <s v="Kgs"/>
    <n v="153"/>
    <n v="0"/>
    <n v="153"/>
    <s v="gj12bt2409"/>
    <s v="Plastene India ltd - Unit 1-Purchase"/>
    <s v="Plastene India ltd - Unit 1-Purchase"/>
    <s v="PIL1/D/1332"/>
    <d v="2026-10-08T00:00:00"/>
    <s v="RAW MATERIAL"/>
    <s v="INDIGENOUS"/>
    <s v="RM 506"/>
    <n v="184.86"/>
    <n v="184.86000104539499"/>
    <s v="PIL1/D/1332"/>
    <d v="2026-10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414661.98"/>
    <s v="SF"/>
    <s v="Liners"/>
    <s v="LDPE/LLDPE Bags"/>
    <s v="RM"/>
    <s v="erp"/>
    <n v="0"/>
    <n v="28283.58"/>
    <n v="1098"/>
    <d v="2026-10-08T00:00:00"/>
    <s v="24AAACO3087C1ZT"/>
    <s v="storepil6"/>
    <s v="storepil6"/>
    <n v="9"/>
    <n v="2545.52"/>
    <n v="9"/>
    <n v="2545.52"/>
    <n v="0"/>
    <n v="0"/>
    <n v="0"/>
    <n v="672160456610"/>
    <d v="2026-08-10T00:00:00"/>
    <n v="0"/>
  </r>
  <r>
    <s v="HCP Plastene Bulkpack Ltd (Unit - IV)"/>
    <d v="2026-10-08T00:00:00"/>
    <s v="HPBL4/26-27/SII01143"/>
    <s v="WIP00025"/>
    <x v="1"/>
    <m/>
    <s v="HPBL4/RAW/26-27/472"/>
    <n v="545"/>
    <n v="545"/>
    <s v="Kgs"/>
    <n v="545"/>
    <n v="0"/>
    <n v="545"/>
    <s v="gj12bt2409"/>
    <s v="Plastene India ltd - Unit 1-Purchase"/>
    <s v="Plastene India ltd - Unit 1-Purchase"/>
    <s v="PIL1/D/1332"/>
    <d v="2026-10-08T00:00:00"/>
    <s v="RAW MATERIAL"/>
    <s v="INDIGENOUS"/>
    <s v="RM 506"/>
    <n v="149.32"/>
    <n v="149.32000084441401"/>
    <s v="PIL1/D/1332"/>
    <d v="2026-10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414661.98"/>
    <s v="SF"/>
    <s v="PP/PE Fabric"/>
    <s v="PP Lam Fabric"/>
    <s v="RM"/>
    <s v="erp"/>
    <n v="0"/>
    <n v="81379.399999999994"/>
    <n v="1098"/>
    <d v="2026-10-08T00:00:00"/>
    <s v="24AAACO3087C1ZT"/>
    <s v="storepil6"/>
    <s v="storepil6"/>
    <n v="9"/>
    <n v="7324.15"/>
    <n v="9"/>
    <n v="7324.15"/>
    <n v="0"/>
    <n v="0"/>
    <n v="0"/>
    <n v="672160456610"/>
    <d v="2026-08-10T00:00:00"/>
    <n v="0"/>
  </r>
  <r>
    <s v="HCP Plastene Bulkpack Ltd (Unit - IV)"/>
    <d v="2026-10-08T00:00:00"/>
    <s v="HPBL4/26-27/SII01143"/>
    <s v="WIP00025"/>
    <x v="1"/>
    <m/>
    <s v="HPBL4/RAW/26-27/472"/>
    <n v="362"/>
    <n v="362"/>
    <s v="Kgs"/>
    <n v="362"/>
    <n v="0"/>
    <n v="362"/>
    <s v="gj12bt2409"/>
    <s v="Plastene India ltd - Unit 1-Purchase"/>
    <s v="Plastene India ltd - Unit 1-Purchase"/>
    <s v="PIL1/D/1332"/>
    <d v="2026-10-08T00:00:00"/>
    <s v="RAW MATERIAL"/>
    <s v="INDIGENOUS"/>
    <s v="RM 506"/>
    <n v="146.32"/>
    <n v="146.32000082744901"/>
    <s v="PIL1/D/1332"/>
    <d v="2026-10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414661.98"/>
    <s v="SF"/>
    <s v="PP/PE Fabric"/>
    <s v="PP Lam Fabric"/>
    <s v="RM"/>
    <s v="erp"/>
    <n v="0"/>
    <n v="52967.839999999997"/>
    <n v="1098"/>
    <d v="2026-10-08T00:00:00"/>
    <s v="24AAACO3087C1ZT"/>
    <s v="storepil6"/>
    <s v="storepil6"/>
    <n v="9"/>
    <n v="4767.1099999999997"/>
    <n v="9"/>
    <n v="4767.1099999999997"/>
    <n v="0"/>
    <n v="0"/>
    <n v="0"/>
    <n v="672160456610"/>
    <d v="2026-08-10T00:00:00"/>
    <n v="0"/>
  </r>
  <r>
    <s v="HCP Plastene Bulkpack Ltd (Unit - IV)"/>
    <d v="2026-10-08T00:00:00"/>
    <s v="HPBL4/26-27/SII01143"/>
    <s v="WIP00032"/>
    <x v="2"/>
    <m/>
    <s v="HPBL4/RAW/26-27/472"/>
    <n v="1426.8"/>
    <n v="1426.8"/>
    <s v="Kgs"/>
    <n v="1426.8"/>
    <n v="0"/>
    <n v="1426.8"/>
    <s v="gj12bt2409"/>
    <s v="Plastene India ltd - Unit 1-Purchase"/>
    <s v="Plastene India ltd - Unit 1-Purchase"/>
    <s v="PIL1/D/1332"/>
    <d v="2026-10-08T00:00:00"/>
    <s v="RAW MATERIAL"/>
    <s v="INDIGENOUS"/>
    <s v="RM 506"/>
    <n v="147.32"/>
    <n v="147.32000083310399"/>
    <s v="PIL1/D/1332"/>
    <d v="2026-10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414661.98"/>
    <s v="SF"/>
    <s v="Webbing"/>
    <s v="PP Webbing"/>
    <s v="RM"/>
    <s v="erp"/>
    <n v="0"/>
    <n v="210196.18"/>
    <n v="1098"/>
    <d v="2026-10-08T00:00:00"/>
    <s v="24AAACO3087C1ZT"/>
    <s v="storepil6"/>
    <s v="storepil6"/>
    <n v="9"/>
    <n v="18917.66"/>
    <n v="9"/>
    <n v="18917.66"/>
    <n v="0"/>
    <n v="0"/>
    <n v="0"/>
    <n v="672160456610"/>
    <d v="2026-08-10T00:00:00"/>
    <n v="0"/>
  </r>
  <r>
    <s v="HCP Plastene Bulkpack Ltd (Unit - IV)"/>
    <d v="2026-10-08T00:00:00"/>
    <s v="HPBL4/26-27/SII01143"/>
    <s v="WIP00032"/>
    <x v="2"/>
    <m/>
    <s v="HPBL4/RAW/26-27/472"/>
    <n v="974.8"/>
    <n v="974.8"/>
    <s v="Kgs"/>
    <n v="974.8"/>
    <n v="0"/>
    <n v="974.8"/>
    <s v="gj12bt2409"/>
    <s v="Plastene India ltd - Unit 1-Purchase"/>
    <s v="Plastene India ltd - Unit 1-Purchase"/>
    <s v="PIL1/D/1332"/>
    <d v="2026-10-08T00:00:00"/>
    <s v="RAW MATERIAL"/>
    <s v="INDIGENOUS"/>
    <s v="RM 506"/>
    <n v="144.32"/>
    <n v="144.32000081613799"/>
    <s v="PIL1/D/1332"/>
    <d v="2026-10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414661.98"/>
    <s v="SF"/>
    <s v="Webbing"/>
    <s v="PP Webbing"/>
    <s v="RM"/>
    <s v="erp"/>
    <n v="0"/>
    <n v="140683.14000000001"/>
    <n v="1098"/>
    <d v="2026-10-08T00:00:00"/>
    <s v="24AAACO3087C1ZT"/>
    <s v="storepil6"/>
    <s v="storepil6"/>
    <n v="9"/>
    <n v="12661.48"/>
    <n v="9"/>
    <n v="12661.48"/>
    <n v="0"/>
    <n v="0"/>
    <n v="0"/>
    <n v="672160456610"/>
    <d v="2026-08-10T00:00:00"/>
    <n v="0"/>
  </r>
  <r>
    <s v="HCP Plastene Bulkpack Ltd (Unit - IV)"/>
    <d v="2026-11-08T00:00:00"/>
    <s v="HPBL4/26-27/SII01144"/>
    <s v="WIP00038"/>
    <x v="12"/>
    <m/>
    <s v="HPBL4/RAW/26-27/473"/>
    <n v="3385.8"/>
    <n v="3385.8"/>
    <s v="Kgs"/>
    <n v="3385.8"/>
    <n v="0"/>
    <n v="3385.8"/>
    <s v="GJ06BY3579"/>
    <s v="HCP Plastene Bulkpack Limited - Purchase"/>
    <s v="HCP Plastene Bulkpack Limited - Purchase"/>
    <s v="HPBL/DC/35"/>
    <d v="2026-10-08T00:00:00"/>
    <s v="RAW MATERIAL"/>
    <s v="INDIGENOUS"/>
    <s v="RM 507"/>
    <n v="152.16999999999999"/>
    <n v="152.17000118140501"/>
    <s v="HPBL/DC/35"/>
    <d v="2026-10-08T00:00:00"/>
    <m/>
    <s v="."/>
    <m/>
    <s v="SHREENA  ROADWAYS"/>
    <s v="."/>
    <n v="0"/>
    <n v="0"/>
    <n v="0"/>
    <n v="0"/>
    <n v="0"/>
    <s v="VAT"/>
    <n v="0"/>
    <n v="0"/>
    <n v="0"/>
    <n v="0"/>
    <n v="0"/>
    <m/>
    <n v="0"/>
    <n v="0"/>
    <n v="515217.19"/>
    <s v="FG"/>
    <s v="Small Bags"/>
    <s v="PP Bags"/>
    <s v="FG"/>
    <s v="erp"/>
    <n v="0"/>
    <n v="515217.19"/>
    <n v="17"/>
    <d v="2026-11-08T00:00:00"/>
    <s v="24AABCG1282C2Z6"/>
    <s v="storepil6"/>
    <s v="storepil6"/>
    <n v="0"/>
    <n v="0"/>
    <n v="0"/>
    <n v="0"/>
    <n v="0"/>
    <n v="0"/>
    <n v="515217.19"/>
    <n v="672160894175"/>
    <d v="2026-08-10T00:00:00"/>
    <n v="0"/>
  </r>
  <r>
    <s v="HCP Plastene Bulkpack Ltd (Unit - IV)"/>
    <d v="2026-11-08T00:00:00"/>
    <s v="HPBL4/26-27/SII01145"/>
    <s v="WIP00004"/>
    <x v="4"/>
    <m/>
    <s v="HPBL4/RAW/26-27/474"/>
    <n v="1595"/>
    <n v="1595"/>
    <s v="Kgs"/>
    <n v="1595"/>
    <n v="0"/>
    <n v="1595"/>
    <s v="GJ12X1249"/>
    <s v="Plastene Polyfilms Ltd-Purchase"/>
    <s v="Plastene Polyfilms Ltd-Purchase"/>
    <s v="PPL/D/475"/>
    <d v="2026-11-08T00:00:00"/>
    <s v="RAW MATERIAL"/>
    <s v="INDIGENOUS"/>
    <s v="RM 508"/>
    <n v="179.89"/>
    <n v="179.89"/>
    <s v="PPL/D/475"/>
    <d v="2026-11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975891.42"/>
    <s v="FG"/>
    <s v="FIBC Bags"/>
    <s v="FIBC Bags"/>
    <s v="FG"/>
    <s v="erp"/>
    <n v="0"/>
    <n v="286924.55"/>
    <n v="1101"/>
    <d v="2026-11-08T00:00:00"/>
    <s v="24AAFCP2956A1ZR"/>
    <s v="storepil6"/>
    <s v="storepil6"/>
    <n v="9"/>
    <n v="25823.21"/>
    <n v="9"/>
    <n v="25823.21"/>
    <n v="0"/>
    <n v="0"/>
    <n v="975891.42"/>
    <n v="652161163742"/>
    <d v="2026-08-11T00:00:00"/>
    <n v="0"/>
  </r>
  <r>
    <s v="HCP Plastene Bulkpack Ltd (Unit - IV)"/>
    <d v="2026-11-08T00:00:00"/>
    <s v="HPBL4/26-27/SII01145"/>
    <s v="WIP00004"/>
    <x v="4"/>
    <m/>
    <s v="HPBL4/RAW/26-27/474"/>
    <n v="3043"/>
    <n v="3043"/>
    <s v="Kgs"/>
    <n v="3043"/>
    <n v="0"/>
    <n v="3043"/>
    <s v="GJ12X1249"/>
    <s v="Plastene Polyfilms Ltd-Purchase"/>
    <s v="Plastene Polyfilms Ltd-Purchase"/>
    <s v="PPL/D/475"/>
    <d v="2026-11-08T00:00:00"/>
    <s v="RAW MATERIAL"/>
    <s v="INDIGENOUS"/>
    <s v="RM 508"/>
    <n v="177.49"/>
    <n v="177.49"/>
    <s v="PPL/D/475"/>
    <d v="2026-11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975891.42"/>
    <s v="FG"/>
    <s v="FIBC Bags"/>
    <s v="FIBC Bags"/>
    <s v="FG"/>
    <s v="erp"/>
    <n v="0"/>
    <n v="540102.06999999995"/>
    <n v="1101"/>
    <d v="2026-11-08T00:00:00"/>
    <s v="24AAFCP2956A1ZR"/>
    <s v="storepil6"/>
    <s v="storepil6"/>
    <n v="9"/>
    <n v="48609.19"/>
    <n v="9"/>
    <n v="48609.19"/>
    <n v="0"/>
    <n v="0"/>
    <n v="0"/>
    <n v="652161163742"/>
    <d v="2026-08-11T00:00:00"/>
    <n v="0"/>
  </r>
  <r>
    <s v="HCP Plastene Bulkpack Ltd (Unit - IV)"/>
    <d v="2026-11-08T00:00:00"/>
    <s v="HPBL4/26-27/SII01146"/>
    <s v="WIP00023"/>
    <x v="0"/>
    <m/>
    <s v="HPBL4/RAW/26-27/476"/>
    <n v="906"/>
    <n v="906"/>
    <s v="Kgs"/>
    <n v="906"/>
    <n v="0"/>
    <n v="906"/>
    <s v="gj12bt2409"/>
    <s v="Plastene India ltd - Unit 1-Purchase"/>
    <s v="Plastene India ltd - Unit 1-Purchase"/>
    <s v="PIL1/D/1338"/>
    <d v="2026-11-08T00:00:00"/>
    <s v="RAW MATERIAL"/>
    <s v="INDIGENOUS"/>
    <s v="RM 509"/>
    <n v="144.32"/>
    <n v="144.32"/>
    <s v="PIL1/D/1338"/>
    <d v="2026-11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324646.76"/>
    <s v="SF"/>
    <s v="PP/PE Fabric"/>
    <s v="PP UL Fabric"/>
    <s v="RM"/>
    <s v="erp"/>
    <n v="0"/>
    <n v="130753.92"/>
    <n v="1100"/>
    <d v="2026-11-08T00:00:00"/>
    <s v="24AAACO3087C1ZT"/>
    <s v="storepil6"/>
    <s v="storepil6"/>
    <n v="9"/>
    <n v="11767.85"/>
    <n v="9"/>
    <n v="11767.85"/>
    <n v="0"/>
    <n v="0"/>
    <n v="1324646.76"/>
    <n v="662161019125"/>
    <d v="2026-08-11T00:00:00"/>
    <n v="0"/>
  </r>
  <r>
    <s v="HCP Plastene Bulkpack Ltd (Unit - IV)"/>
    <d v="2026-11-08T00:00:00"/>
    <s v="HPBL4/26-27/SII01146"/>
    <s v="WIP00023"/>
    <x v="0"/>
    <m/>
    <s v="HPBL4/RAW/26-27/476"/>
    <n v="6969"/>
    <n v="6969"/>
    <s v="Kgs"/>
    <n v="6969"/>
    <n v="0"/>
    <n v="6969"/>
    <s v="gj12bt2409"/>
    <s v="Plastene India ltd - Unit 1-Purchase"/>
    <s v="Plastene India ltd - Unit 1-Purchase"/>
    <s v="PIL1/D/1338"/>
    <d v="2026-11-08T00:00:00"/>
    <s v="RAW MATERIAL"/>
    <s v="INDIGENOUS"/>
    <s v="RM 509"/>
    <n v="142.32"/>
    <n v="142.32"/>
    <s v="PIL1/D/1338"/>
    <d v="2026-11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324646.76"/>
    <s v="SF"/>
    <s v="PP/PE Fabric"/>
    <s v="PP UL Fabric"/>
    <s v="RM"/>
    <s v="erp"/>
    <n v="0"/>
    <n v="991828.08"/>
    <n v="1100"/>
    <d v="2026-11-08T00:00:00"/>
    <s v="24AAACO3087C1ZT"/>
    <s v="storepil6"/>
    <s v="storepil6"/>
    <n v="9"/>
    <n v="89264.53"/>
    <n v="9"/>
    <n v="89264.53"/>
    <n v="0"/>
    <n v="0"/>
    <n v="0"/>
    <n v="662161019125"/>
    <d v="2026-08-11T00:00:00"/>
    <n v="0"/>
  </r>
  <r>
    <s v="HCP Plastene Bulkpack Ltd (Unit - IV)"/>
    <d v="2026-11-08T00:00:00"/>
    <s v="HPBL4/26-27/SII01147"/>
    <s v="WIP00191"/>
    <x v="8"/>
    <m/>
    <s v="HPBL4/RAW/26-27/476"/>
    <n v="503.3"/>
    <n v="503.3"/>
    <s v="Kgs"/>
    <n v="503.3"/>
    <n v="0"/>
    <n v="503.3"/>
    <s v="gj12bt2409"/>
    <s v="Plastene India ltd - Unit 1-Purchase"/>
    <s v="Plastene India ltd - Unit 1-Purchase"/>
    <s v="PIL1/D/1334"/>
    <d v="2026-10-08T00:00:00"/>
    <s v="RAW MATERIAL"/>
    <s v="INDIGENOUS"/>
    <s v="RM 510"/>
    <n v="154.32"/>
    <n v="154.32000756909201"/>
    <s v="PIL1/D/1334"/>
    <d v="2026-10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81552.72"/>
    <s v="SF"/>
    <s v="Yarn All"/>
    <s v="PP Yarn"/>
    <s v="RM"/>
    <m/>
    <n v="0"/>
    <n v="77669.259999999995"/>
    <n v="1099"/>
    <d v="2026-11-08T00:00:00"/>
    <s v="24AAACO3087C1ZT"/>
    <s v="storepil6"/>
    <s v="storepil6"/>
    <n v="2.5"/>
    <n v="1941.73"/>
    <n v="2.5"/>
    <n v="1941.73"/>
    <n v="0"/>
    <n v="0"/>
    <n v="81552.72"/>
    <n v="642160569021"/>
    <d v="2026-08-10T00:00:00"/>
    <n v="0"/>
  </r>
  <r>
    <s v="HCP Plastene Bulkpack Ltd (Unit - IV)"/>
    <d v="2026-11-08T00:00:00"/>
    <s v="HPBL4/26-27/SII01148"/>
    <s v="FIG00001"/>
    <x v="6"/>
    <m/>
    <s v="HPBL4/RAW/26-27/475"/>
    <n v="187"/>
    <n v="187"/>
    <s v="Kgs"/>
    <n v="187"/>
    <n v="0"/>
    <n v="187"/>
    <s v="GJ12X1249"/>
    <s v="Plastene Polyfilms Ltd-Purchase"/>
    <s v="Plastene Polyfilms Ltd-Purchase"/>
    <s v="PPL/D/476"/>
    <d v="2026-11-08T00:00:00"/>
    <s v="RAW MATERIAL"/>
    <s v="INDIGENOUS"/>
    <s v="RM 511"/>
    <n v="133.58000000000001"/>
    <n v="133.58000000000001"/>
    <s v="PPL/D/476"/>
    <d v="2026-11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9475.759999999998"/>
    <s v="FG"/>
    <s v="FIBC WIP"/>
    <s v="FIBC WIP"/>
    <s v="RM"/>
    <s v="erp"/>
    <n v="0"/>
    <n v="24979.46"/>
    <n v="1103"/>
    <d v="2026-11-08T00:00:00"/>
    <s v="24AAFCP2956A1ZR"/>
    <s v="storepil6"/>
    <s v="storepil6"/>
    <n v="9"/>
    <n v="2248.15"/>
    <n v="9"/>
    <n v="2248.15"/>
    <n v="0"/>
    <n v="0"/>
    <n v="29475.759999999998"/>
    <n v="662161201483"/>
    <d v="2026-08-11T00:00:00"/>
    <n v="0"/>
  </r>
  <r>
    <s v="HCP Plastene Bulkpack Ltd (Unit - IV)"/>
    <d v="2026-11-08T00:00:00"/>
    <s v="HPBL4/26-27/SII01149"/>
    <s v="wip00013"/>
    <x v="3"/>
    <m/>
    <s v="HPBL4/RAW/26-27/477"/>
    <n v="3203"/>
    <n v="3203"/>
    <s v="Kgs"/>
    <n v="3203"/>
    <n v="0"/>
    <n v="3203"/>
    <s v="GJ12BY0479"/>
    <s v="Plastene India ltd - Unit 1-Purchase"/>
    <s v="Plastene India ltd - Unit 1-Purchase"/>
    <s v="PIL1/D/1343"/>
    <d v="2026-11-08T00:00:00"/>
    <s v="RAW MATERIAL"/>
    <s v="INDIGENOUS"/>
    <s v="RM 512"/>
    <n v="176.86"/>
    <n v="176.86"/>
    <s v="PIL1/D/1343"/>
    <d v="2026-11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668449.43999999994"/>
    <s v="SF"/>
    <s v="Liners"/>
    <s v="LDPE/LLDPE Bags"/>
    <s v="RM"/>
    <s v="erp"/>
    <n v="0"/>
    <n v="566482.57999999996"/>
    <n v="1107"/>
    <d v="2026-11-08T00:00:00"/>
    <s v="24AAACO3087C1ZT"/>
    <s v="storepil6"/>
    <s v="storepil6"/>
    <n v="9"/>
    <n v="50983.43"/>
    <n v="9"/>
    <n v="50983.43"/>
    <n v="0"/>
    <n v="0"/>
    <n v="668449.43999999994"/>
    <n v="632161312281"/>
    <d v="2026-08-11T00:00:00"/>
    <n v="0"/>
  </r>
  <r>
    <s v="HCP Plastene Bulkpack Ltd (Unit - IV)"/>
    <d v="2026-11-08T00:00:00"/>
    <s v="HPBL4/26-27/SII01151"/>
    <s v="WIP00023"/>
    <x v="0"/>
    <m/>
    <s v="HPBL4/RAW/26-27/478"/>
    <n v="240"/>
    <n v="240"/>
    <s v="Kgs"/>
    <n v="240"/>
    <n v="0"/>
    <n v="240"/>
    <s v="GJ12BY0479"/>
    <s v="Plastene India ltd - Unit 1-Purchase"/>
    <s v="Plastene India ltd - Unit 1-Purchase"/>
    <s v="PIL1/D/1342"/>
    <d v="2026-11-08T00:00:00"/>
    <s v="RAW MATERIAL"/>
    <s v="INDIGENOUS"/>
    <s v="RM 513"/>
    <n v="144.32"/>
    <n v="144.32000030782399"/>
    <s v="PIL1/D/1342"/>
    <d v="2026-11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875355.04"/>
    <s v="SF"/>
    <s v="PP/PE Fabric"/>
    <s v="PP UL Fabric"/>
    <s v="RM"/>
    <s v="erp"/>
    <n v="0"/>
    <n v="34636.800000000003"/>
    <n v="1106"/>
    <d v="2026-11-08T00:00:00"/>
    <s v="24AAACO3087C1ZT"/>
    <s v="storepil6"/>
    <s v="storepil6"/>
    <n v="9"/>
    <n v="3117.31"/>
    <n v="9"/>
    <n v="3117.31"/>
    <n v="0"/>
    <n v="0"/>
    <n v="1875355.04"/>
    <n v="642161249940"/>
    <d v="2026-08-11T00:00:00"/>
    <n v="0"/>
  </r>
  <r>
    <s v="HCP Plastene Bulkpack Ltd (Unit - IV)"/>
    <d v="2026-11-08T00:00:00"/>
    <s v="HPBL4/26-27/SII01151"/>
    <s v="WIP00023"/>
    <x v="0"/>
    <m/>
    <s v="HPBL4/RAW/26-27/478"/>
    <n v="2680"/>
    <n v="2680"/>
    <s v="Kgs"/>
    <n v="2680"/>
    <n v="0"/>
    <n v="2680"/>
    <s v="GJ12BY0479"/>
    <s v="Plastene India ltd - Unit 1-Purchase"/>
    <s v="Plastene India ltd - Unit 1-Purchase"/>
    <s v="PIL1/D/1342"/>
    <d v="2026-11-08T00:00:00"/>
    <s v="RAW MATERIAL"/>
    <s v="INDIGENOUS"/>
    <s v="RM 513"/>
    <n v="142.32"/>
    <n v="142.320000303558"/>
    <s v="PIL1/D/1342"/>
    <d v="2026-11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875355.04"/>
    <s v="SF"/>
    <s v="PP/PE Fabric"/>
    <s v="PP UL Fabric"/>
    <s v="RM"/>
    <s v="erp"/>
    <n v="0"/>
    <n v="381417.6"/>
    <n v="1106"/>
    <d v="2026-11-08T00:00:00"/>
    <s v="24AAACO3087C1ZT"/>
    <s v="storepil6"/>
    <s v="storepil6"/>
    <n v="9"/>
    <n v="34327.58"/>
    <n v="9"/>
    <n v="34327.58"/>
    <n v="0"/>
    <n v="0"/>
    <n v="0"/>
    <n v="642161249940"/>
    <d v="2026-08-11T00:00:00"/>
    <n v="0"/>
  </r>
  <r>
    <s v="HCP Plastene Bulkpack Ltd (Unit - IV)"/>
    <d v="2026-11-08T00:00:00"/>
    <s v="HPBL4/26-27/SII01151"/>
    <s v="WIP00032"/>
    <x v="2"/>
    <m/>
    <s v="HPBL4/RAW/26-27/478"/>
    <n v="1858"/>
    <n v="1858"/>
    <s v="Kgs"/>
    <n v="1858"/>
    <n v="0"/>
    <n v="1858"/>
    <s v="GJ12BY0479"/>
    <s v="Plastene India ltd - Unit 1-Purchase"/>
    <s v="Plastene India ltd - Unit 1-Purchase"/>
    <s v="PIL1/D/1342"/>
    <d v="2026-11-08T00:00:00"/>
    <s v="RAW MATERIAL"/>
    <s v="INDIGENOUS"/>
    <s v="RM 513"/>
    <n v="147.32"/>
    <n v="147.32000031422299"/>
    <s v="PIL1/D/1342"/>
    <d v="2026-11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875355.04"/>
    <s v="SF"/>
    <s v="Webbing"/>
    <s v="PP Webbing"/>
    <s v="RM"/>
    <s v="erp"/>
    <n v="0"/>
    <n v="273720.56"/>
    <n v="1106"/>
    <d v="2026-11-08T00:00:00"/>
    <s v="24AAACO3087C1ZT"/>
    <s v="storepil6"/>
    <s v="storepil6"/>
    <n v="9"/>
    <n v="24634.85"/>
    <n v="9"/>
    <n v="24634.85"/>
    <n v="0"/>
    <n v="0"/>
    <n v="0"/>
    <n v="642161249940"/>
    <d v="2026-08-11T00:00:00"/>
    <n v="0"/>
  </r>
  <r>
    <s v="HCP Plastene Bulkpack Ltd (Unit - IV)"/>
    <d v="2026-11-08T00:00:00"/>
    <s v="HPBL4/26-27/SII01151"/>
    <s v="WIP00032"/>
    <x v="2"/>
    <m/>
    <s v="HPBL4/RAW/26-27/478"/>
    <n v="1230.8"/>
    <n v="1230.8"/>
    <s v="Kgs"/>
    <n v="1230.8"/>
    <n v="0"/>
    <n v="1230.8"/>
    <s v="GJ12BY0479"/>
    <s v="Plastene India ltd - Unit 1-Purchase"/>
    <s v="Plastene India ltd - Unit 1-Purchase"/>
    <s v="PIL1/D/1342"/>
    <d v="2026-11-08T00:00:00"/>
    <s v="RAW MATERIAL"/>
    <s v="INDIGENOUS"/>
    <s v="RM 513"/>
    <n v="144.32"/>
    <n v="144.32000030782399"/>
    <s v="PIL1/D/1342"/>
    <d v="2026-11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875355.04"/>
    <s v="SF"/>
    <s v="Webbing"/>
    <s v="PP Webbing"/>
    <s v="RM"/>
    <s v="erp"/>
    <n v="0"/>
    <n v="177629.06"/>
    <n v="1106"/>
    <d v="2026-11-08T00:00:00"/>
    <s v="24AAACO3087C1ZT"/>
    <s v="storepil6"/>
    <s v="storepil6"/>
    <n v="9"/>
    <n v="15986.62"/>
    <n v="9"/>
    <n v="15986.62"/>
    <n v="0"/>
    <n v="0"/>
    <n v="0"/>
    <n v="642161249940"/>
    <d v="2026-08-11T00:00:00"/>
    <n v="0"/>
  </r>
  <r>
    <s v="HCP Plastene Bulkpack Ltd (Unit - IV)"/>
    <d v="2026-11-08T00:00:00"/>
    <s v="HPBL4/26-27/SII01151"/>
    <s v="WIP00025"/>
    <x v="1"/>
    <m/>
    <s v="HPBL4/RAW/26-27/478"/>
    <n v="3118"/>
    <n v="3118"/>
    <s v="Kgs"/>
    <n v="3118"/>
    <n v="0"/>
    <n v="3118"/>
    <s v="GJ12BY0479"/>
    <s v="Plastene India ltd - Unit 1-Purchase"/>
    <s v="Plastene India ltd - Unit 1-Purchase"/>
    <s v="PIL1/D/1342"/>
    <d v="2026-11-08T00:00:00"/>
    <s v="RAW MATERIAL"/>
    <s v="INDIGENOUS"/>
    <s v="RM 513"/>
    <n v="149.32"/>
    <n v="149.32000031848901"/>
    <s v="PIL1/D/1342"/>
    <d v="2026-11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875355.04"/>
    <s v="SF"/>
    <s v="PP/PE Fabric"/>
    <s v="PP Lam Fabric"/>
    <s v="RM"/>
    <s v="erp"/>
    <n v="0"/>
    <n v="465579.76"/>
    <n v="1106"/>
    <d v="2026-11-08T00:00:00"/>
    <s v="24AAACO3087C1ZT"/>
    <s v="storepil6"/>
    <s v="storepil6"/>
    <n v="9"/>
    <n v="41902.18"/>
    <n v="9"/>
    <n v="41902.18"/>
    <n v="0"/>
    <n v="0"/>
    <n v="0"/>
    <n v="642161249940"/>
    <d v="2026-08-11T00:00:00"/>
    <n v="0"/>
  </r>
  <r>
    <s v="HCP Plastene Bulkpack Ltd (Unit - IV)"/>
    <d v="2026-11-08T00:00:00"/>
    <s v="HPBL4/26-27/SII01151"/>
    <s v="WIP00025"/>
    <x v="1"/>
    <m/>
    <s v="HPBL4/RAW/26-27/478"/>
    <n v="932"/>
    <n v="932"/>
    <s v="Kgs"/>
    <n v="932"/>
    <n v="0"/>
    <n v="932"/>
    <s v="GJ12BY0479"/>
    <s v="Plastene India ltd - Unit 1-Purchase"/>
    <s v="Plastene India ltd - Unit 1-Purchase"/>
    <s v="PIL1/D/1342"/>
    <d v="2026-11-08T00:00:00"/>
    <s v="RAW MATERIAL"/>
    <s v="INDIGENOUS"/>
    <s v="RM 513"/>
    <n v="146.32"/>
    <n v="146.32000031209"/>
    <s v="PIL1/D/1342"/>
    <d v="2026-11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875355.04"/>
    <s v="SF"/>
    <s v="PP/PE Fabric"/>
    <s v="PP Lam Fabric"/>
    <s v="RM"/>
    <s v="erp"/>
    <n v="0"/>
    <n v="136370.23999999999"/>
    <n v="1106"/>
    <d v="2026-11-08T00:00:00"/>
    <s v="24AAACO3087C1ZT"/>
    <s v="storepil6"/>
    <s v="storepil6"/>
    <n v="9"/>
    <n v="12273.32"/>
    <n v="9"/>
    <n v="12273.32"/>
    <n v="0"/>
    <n v="0"/>
    <n v="0"/>
    <n v="642161249940"/>
    <d v="2026-08-11T00:00:00"/>
    <n v="0"/>
  </r>
  <r>
    <s v="HCP Plastene Bulkpack Ltd (Unit - IV)"/>
    <d v="2026-11-08T00:00:00"/>
    <s v="HPBL4/26-27/SII01151"/>
    <s v="WIP00025"/>
    <x v="1"/>
    <m/>
    <s v="HPBL4/RAW/26-27/478"/>
    <n v="831"/>
    <n v="831"/>
    <s v="Kgs"/>
    <n v="831"/>
    <n v="0"/>
    <n v="831"/>
    <s v="GJ12BY0479"/>
    <s v="Plastene India ltd - Unit 1-Purchase"/>
    <s v="Plastene India ltd - Unit 1-Purchase"/>
    <s v="PIL1/D/1342"/>
    <d v="2026-11-08T00:00:00"/>
    <s v="RAW MATERIAL"/>
    <s v="INDIGENOUS"/>
    <s v="RM 513"/>
    <n v="144.32"/>
    <n v="144.32000030782399"/>
    <s v="PIL1/D/1342"/>
    <d v="2026-11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875355.04"/>
    <s v="SF"/>
    <s v="PP/PE Fabric"/>
    <s v="PP Lam Fabric"/>
    <s v="RM"/>
    <s v="erp"/>
    <n v="0"/>
    <n v="119929.92"/>
    <n v="1106"/>
    <d v="2026-11-08T00:00:00"/>
    <s v="24AAACO3087C1ZT"/>
    <s v="storepil6"/>
    <s v="storepil6"/>
    <n v="9"/>
    <n v="10793.69"/>
    <n v="9"/>
    <n v="10793.69"/>
    <n v="0"/>
    <n v="0"/>
    <n v="0"/>
    <n v="642161249940"/>
    <d v="2026-08-11T00:00:00"/>
    <n v="0"/>
  </r>
  <r>
    <s v="HCP Plastene Bulkpack Ltd (Unit - IV)"/>
    <d v="2026-12-08T00:00:00"/>
    <s v="HPBL4/26-27/SII01161"/>
    <s v="WIP00032"/>
    <x v="2"/>
    <m/>
    <s v="HPBL4/RAW/26-27/479"/>
    <n v="1254.5999999999999"/>
    <n v="1254.5999999999999"/>
    <s v="Kgs"/>
    <n v="1254.5999999999999"/>
    <n v="0"/>
    <n v="1254.5999999999999"/>
    <s v="GJ12BY0479"/>
    <s v="Plastene India ltd - Unit 1-Purchase"/>
    <s v="Plastene India ltd - Unit 1-Purchase"/>
    <s v="PIL1/D/1350"/>
    <d v="2026-12-08T00:00:00"/>
    <s v="RAW MATERIAL"/>
    <s v="INDIGENOUS"/>
    <s v="RM 515"/>
    <n v="144.32"/>
    <n v="144.32"/>
    <s v="PIL1/D/1350"/>
    <d v="2026-12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388140.9"/>
    <s v="SF"/>
    <s v="Webbing"/>
    <s v="PP Webbing"/>
    <s v="RM"/>
    <s v="erp"/>
    <n v="0"/>
    <n v="181063.87"/>
    <n v="1115"/>
    <d v="2026-12-08T00:00:00"/>
    <s v="24AAACO3087C1ZT"/>
    <s v="storepil6"/>
    <s v="storepil6"/>
    <n v="9"/>
    <n v="16295.75"/>
    <n v="9"/>
    <n v="16295.75"/>
    <n v="0"/>
    <n v="0"/>
    <n v="1388140.9"/>
    <n v="632161813474"/>
    <d v="2026-08-12T00:00:00"/>
    <n v="0"/>
  </r>
  <r>
    <s v="HCP Plastene Bulkpack Ltd (Unit - IV)"/>
    <d v="2026-12-08T00:00:00"/>
    <s v="HPBL4/26-27/SII01161"/>
    <s v="WIP00032"/>
    <x v="2"/>
    <m/>
    <s v="HPBL4/RAW/26-27/479"/>
    <n v="1431.9"/>
    <n v="1431.9"/>
    <s v="Kgs"/>
    <n v="1431.9"/>
    <n v="0"/>
    <n v="1431.9"/>
    <s v="GJ12BY0479"/>
    <s v="Plastene India ltd - Unit 1-Purchase"/>
    <s v="Plastene India ltd - Unit 1-Purchase"/>
    <s v="PIL1/D/1350"/>
    <d v="2026-12-08T00:00:00"/>
    <s v="RAW MATERIAL"/>
    <s v="INDIGENOUS"/>
    <s v="RM 515"/>
    <n v="147.32"/>
    <n v="147.32"/>
    <s v="PIL1/D/1350"/>
    <d v="2026-12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388140.9"/>
    <s v="SF"/>
    <s v="Webbing"/>
    <s v="PP Webbing"/>
    <s v="RM"/>
    <s v="erp"/>
    <n v="0"/>
    <n v="210947.51"/>
    <n v="1115"/>
    <d v="2026-12-08T00:00:00"/>
    <s v="24AAACO3087C1ZT"/>
    <s v="storepil6"/>
    <s v="storepil6"/>
    <n v="9"/>
    <n v="18985.28"/>
    <n v="9"/>
    <n v="18985.28"/>
    <n v="0"/>
    <n v="0"/>
    <n v="0"/>
    <n v="632161813474"/>
    <d v="2026-08-12T00:00:00"/>
    <n v="0"/>
  </r>
  <r>
    <s v="HCP Plastene Bulkpack Ltd (Unit - IV)"/>
    <d v="2026-12-08T00:00:00"/>
    <s v="HPBL4/26-27/SII01161"/>
    <s v="WIP00191"/>
    <x v="8"/>
    <m/>
    <s v="HPBL4/RAW/26-27/479"/>
    <n v="934.5"/>
    <n v="934.5"/>
    <s v="Kgs"/>
    <n v="934.5"/>
    <n v="0"/>
    <n v="934.5"/>
    <s v="GJ12BY0479"/>
    <s v="Plastene India ltd - Unit 1-Purchase"/>
    <s v="Plastene India ltd - Unit 1-Purchase"/>
    <s v="PIL1/D/1350"/>
    <d v="2026-12-08T00:00:00"/>
    <s v="RAW MATERIAL"/>
    <s v="INDIGENOUS"/>
    <s v="RM 515"/>
    <n v="154.32"/>
    <n v="154.32"/>
    <s v="PIL1/D/1350"/>
    <d v="2026-12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388140.9"/>
    <s v="SF"/>
    <s v="Yarn All"/>
    <s v="PP Yarn"/>
    <s v="RM"/>
    <m/>
    <n v="0"/>
    <n v="144212.04"/>
    <n v="1115"/>
    <d v="2026-12-08T00:00:00"/>
    <s v="24AAACO3087C1ZT"/>
    <s v="storepil6"/>
    <s v="storepil6"/>
    <n v="2.5"/>
    <n v="3605.3"/>
    <n v="2.5"/>
    <n v="3605.3"/>
    <n v="0"/>
    <n v="0"/>
    <n v="0"/>
    <n v="632161813474"/>
    <d v="2026-08-12T00:00:00"/>
    <n v="0"/>
  </r>
  <r>
    <s v="HCP Plastene Bulkpack Ltd (Unit - IV)"/>
    <d v="2026-12-08T00:00:00"/>
    <s v="HPBL4/26-27/SII01161"/>
    <s v="WIP00023"/>
    <x v="0"/>
    <m/>
    <s v="HPBL4/RAW/26-27/479"/>
    <n v="2531"/>
    <n v="2531"/>
    <s v="Kgs"/>
    <n v="2531"/>
    <n v="0"/>
    <n v="2531"/>
    <s v="GJ12BY0479"/>
    <s v="Plastene India ltd - Unit 1-Purchase"/>
    <s v="Plastene India ltd - Unit 1-Purchase"/>
    <s v="PIL1/D/1350"/>
    <d v="2026-12-08T00:00:00"/>
    <s v="RAW MATERIAL"/>
    <s v="INDIGENOUS"/>
    <s v="RM 515"/>
    <n v="142.32"/>
    <n v="142.32"/>
    <s v="PIL1/D/1350"/>
    <d v="2026-12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388140.9"/>
    <s v="SF"/>
    <s v="PP/PE Fabric"/>
    <s v="PP UL Fabric"/>
    <s v="RM"/>
    <s v="erp"/>
    <n v="0"/>
    <n v="360211.92"/>
    <n v="1115"/>
    <d v="2026-12-08T00:00:00"/>
    <s v="24AAACO3087C1ZT"/>
    <s v="storepil6"/>
    <s v="storepil6"/>
    <n v="9"/>
    <n v="32419.07"/>
    <n v="9"/>
    <n v="32419.07"/>
    <n v="0"/>
    <n v="0"/>
    <n v="0"/>
    <n v="632161813474"/>
    <d v="2026-08-12T00:00:00"/>
    <n v="0"/>
  </r>
  <r>
    <s v="HCP Plastene Bulkpack Ltd (Unit - IV)"/>
    <d v="2026-12-08T00:00:00"/>
    <s v="HPBL4/26-27/SII01161"/>
    <s v="WIP00023"/>
    <x v="0"/>
    <m/>
    <s v="HPBL4/RAW/26-27/479"/>
    <n v="1126"/>
    <n v="1126"/>
    <s v="Kgs"/>
    <n v="1126"/>
    <n v="0"/>
    <n v="1126"/>
    <s v="GJ12BY0479"/>
    <s v="Plastene India ltd - Unit 1-Purchase"/>
    <s v="Plastene India ltd - Unit 1-Purchase"/>
    <s v="PIL1/D/1350"/>
    <d v="2026-12-08T00:00:00"/>
    <s v="RAW MATERIAL"/>
    <s v="INDIGENOUS"/>
    <s v="RM 515"/>
    <n v="144.32"/>
    <n v="144.32"/>
    <s v="PIL1/D/1350"/>
    <d v="2026-12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388140.9"/>
    <s v="SF"/>
    <s v="PP/PE Fabric"/>
    <s v="PP UL Fabric"/>
    <s v="RM"/>
    <s v="erp"/>
    <n v="0"/>
    <n v="162504.32000000001"/>
    <n v="1115"/>
    <d v="2026-12-08T00:00:00"/>
    <s v="24AAACO3087C1ZT"/>
    <s v="storepil6"/>
    <s v="storepil6"/>
    <n v="9"/>
    <n v="14625.39"/>
    <n v="9"/>
    <n v="14625.39"/>
    <n v="0"/>
    <n v="0"/>
    <n v="0"/>
    <n v="632161813474"/>
    <d v="2026-08-12T00:00:00"/>
    <n v="0"/>
  </r>
  <r>
    <s v="HCP Plastene Bulkpack Ltd (Unit - IV)"/>
    <d v="2026-12-08T00:00:00"/>
    <s v="HPBL4/26-27/SII01161"/>
    <s v="WIP00193"/>
    <x v="13"/>
    <m/>
    <s v="HPBL4/RAW/26-27/479"/>
    <n v="952.5"/>
    <n v="952.5"/>
    <s v="Kgs"/>
    <n v="952.5"/>
    <n v="0"/>
    <n v="952.5"/>
    <s v="GJ12BY0479"/>
    <s v="Plastene India ltd - Unit 1-Purchase"/>
    <s v="Plastene India ltd - Unit 1-Purchase"/>
    <s v="PIL1/D/1350"/>
    <d v="2026-12-08T00:00:00"/>
    <s v="RAW MATERIAL"/>
    <s v="INDIGENOUS"/>
    <s v="RM 515"/>
    <n v="157.32"/>
    <n v="157.32"/>
    <s v="PIL1/D/1350"/>
    <d v="2026-12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388140.9"/>
    <s v="SF"/>
    <s v="Yarn All"/>
    <s v="PP Yarn"/>
    <s v="RM"/>
    <m/>
    <n v="0"/>
    <n v="149847.29999999999"/>
    <n v="1115"/>
    <d v="2026-12-08T00:00:00"/>
    <s v="24AAACO3087C1ZT"/>
    <s v="storepil6"/>
    <s v="storepil6"/>
    <n v="2.5"/>
    <n v="3746.18"/>
    <n v="2.5"/>
    <n v="3746.18"/>
    <n v="0"/>
    <n v="0"/>
    <n v="0"/>
    <n v="632161813474"/>
    <d v="2026-08-12T00:00:00"/>
    <n v="0"/>
  </r>
  <r>
    <s v="HCP Plastene Bulkpack Ltd (Unit - IV)"/>
    <d v="2026-12-08T00:00:00"/>
    <s v="HPBL4/26-27/SII01171"/>
    <s v="WIP00191"/>
    <x v="8"/>
    <m/>
    <s v="HPBL4/RAW/26-27/480"/>
    <n v="382.7"/>
    <n v="382.7"/>
    <s v="Kgs"/>
    <n v="382.7"/>
    <n v="0"/>
    <n v="382.7"/>
    <s v="GJ12BU0544"/>
    <s v="Plastene Polyfilms Ltd-Purchase"/>
    <s v="Plastene Polyfilms Ltd-Purchase"/>
    <s v="PPL/D/483"/>
    <d v="2026-12-08T00:00:00"/>
    <s v="RAW MATERIAL"/>
    <s v="INDIGENOUS"/>
    <s v="RM 516"/>
    <n v="156.4"/>
    <n v="156.4"/>
    <s v="PPL/D/483"/>
    <d v="2026-12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62847"/>
    <s v="SF"/>
    <s v="Yarn All"/>
    <s v="PP Yarn"/>
    <s v="RM"/>
    <m/>
    <n v="0"/>
    <n v="59854.28"/>
    <n v="1117"/>
    <d v="2026-12-08T00:00:00"/>
    <s v="24AAFCP2956A1ZR"/>
    <s v="storepil6"/>
    <s v="storepil6"/>
    <n v="2.5"/>
    <n v="1496.36"/>
    <n v="2.5"/>
    <n v="1496.36"/>
    <n v="0"/>
    <n v="0"/>
    <n v="62847"/>
    <n v="682161936903"/>
    <d v="2026-08-12T00:00:00"/>
    <n v="0"/>
  </r>
  <r>
    <s v="HCP Plastene Bulkpack Ltd (Unit - IV)"/>
    <d v="2026-12-08T00:00:00"/>
    <s v="HPBL4/26-27/SII01172"/>
    <s v="WIP00023"/>
    <x v="0"/>
    <m/>
    <s v="HPBL4/RAW/26-27/481"/>
    <n v="7100"/>
    <n v="7100"/>
    <s v="Kgs"/>
    <n v="7100"/>
    <n v="0"/>
    <n v="7100"/>
    <s v="gj12bt2409"/>
    <s v="Plastene India ltd - Unit 1-Purchase"/>
    <s v="Plastene India ltd - Unit 1-Purchase"/>
    <s v="PPL/D/1347"/>
    <d v="2026-12-08T00:00:00"/>
    <s v="RAW MATERIAL"/>
    <s v="INDIGENOUS"/>
    <s v="RM 517"/>
    <n v="142.32"/>
    <n v="142.32"/>
    <s v="PPL/D/1347"/>
    <d v="2026-12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321051"/>
    <s v="SF"/>
    <s v="PP/PE Fabric"/>
    <s v="PP UL Fabric"/>
    <s v="RM"/>
    <s v="erp"/>
    <n v="0"/>
    <n v="1010472"/>
    <n v="1112"/>
    <d v="2026-12-08T00:00:00"/>
    <s v="24AAACO3087C1ZT"/>
    <s v="storepil6"/>
    <s v="storepil6"/>
    <n v="9"/>
    <n v="90942.48"/>
    <n v="9"/>
    <n v="90942.48"/>
    <n v="0"/>
    <n v="0"/>
    <n v="1321051"/>
    <n v="642161733539"/>
    <d v="2026-08-12T00:00:00"/>
    <n v="0"/>
  </r>
  <r>
    <s v="HCP Plastene Bulkpack Ltd (Unit - IV)"/>
    <d v="2026-12-08T00:00:00"/>
    <s v="HPBL4/26-27/SII01172"/>
    <s v="WIP00023"/>
    <x v="0"/>
    <m/>
    <s v="HPBL4/RAW/26-27/481"/>
    <n v="389"/>
    <n v="389"/>
    <s v="Kgs"/>
    <n v="389"/>
    <n v="0"/>
    <n v="389"/>
    <s v="gj12bt2409"/>
    <s v="Plastene India ltd - Unit 1-Purchase"/>
    <s v="Plastene India ltd - Unit 1-Purchase"/>
    <s v="PPL/D/1347"/>
    <d v="2026-12-08T00:00:00"/>
    <s v="RAW MATERIAL"/>
    <s v="INDIGENOUS"/>
    <s v="RM 517"/>
    <n v="144.32"/>
    <n v="144.32"/>
    <s v="PPL/D/1347"/>
    <d v="2026-12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321051"/>
    <s v="SF"/>
    <s v="PP/PE Fabric"/>
    <s v="PP UL Fabric"/>
    <s v="RM"/>
    <s v="erp"/>
    <n v="0"/>
    <n v="56140.480000000003"/>
    <n v="1112"/>
    <d v="2026-12-08T00:00:00"/>
    <s v="24AAACO3087C1ZT"/>
    <s v="storepil6"/>
    <s v="storepil6"/>
    <n v="9"/>
    <n v="5052.6400000000003"/>
    <n v="9"/>
    <n v="5052.6400000000003"/>
    <n v="0"/>
    <n v="0"/>
    <n v="0"/>
    <n v="642161733539"/>
    <d v="2026-08-12T00:00:00"/>
    <n v="0"/>
  </r>
  <r>
    <s v="HCP Plastene Bulkpack Ltd (Unit - IV)"/>
    <d v="2026-12-08T00:00:00"/>
    <s v="HPBL4/26-27/SII01172"/>
    <s v="wip00013"/>
    <x v="3"/>
    <m/>
    <s v="HPBL4/RAW/26-27/481"/>
    <n v="109"/>
    <n v="109"/>
    <s v="Kgs"/>
    <n v="109"/>
    <n v="0"/>
    <n v="109"/>
    <s v="gj12bt2409"/>
    <s v="Plastene India ltd - Unit 1-Purchase"/>
    <s v="Plastene India ltd - Unit 1-Purchase"/>
    <s v="PPL/D/1347"/>
    <d v="2026-12-08T00:00:00"/>
    <s v="RAW MATERIAL"/>
    <s v="INDIGENOUS"/>
    <s v="RM 517"/>
    <n v="176.86"/>
    <n v="176.86"/>
    <s v="PPL/D/1347"/>
    <d v="2026-12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321051"/>
    <s v="SF"/>
    <s v="Liners"/>
    <s v="LDPE/LLDPE Bags"/>
    <s v="RM"/>
    <s v="erp"/>
    <n v="0"/>
    <n v="19277.740000000002"/>
    <n v="1112"/>
    <d v="2026-12-08T00:00:00"/>
    <s v="24AAACO3087C1ZT"/>
    <s v="storepil6"/>
    <s v="storepil6"/>
    <n v="9"/>
    <n v="1735"/>
    <n v="9"/>
    <n v="1735"/>
    <n v="0"/>
    <n v="0"/>
    <n v="0"/>
    <n v="642161733539"/>
    <d v="2026-08-12T00:00:00"/>
    <n v="0"/>
  </r>
  <r>
    <s v="HCP Plastene Bulkpack Ltd (Unit - IV)"/>
    <d v="2026-12-08T00:00:00"/>
    <s v="HPBL4/26-27/SII01172"/>
    <s v="wip00013"/>
    <x v="3"/>
    <m/>
    <s v="HPBL4/RAW/26-27/481"/>
    <n v="182"/>
    <n v="182"/>
    <s v="Kgs"/>
    <n v="182"/>
    <n v="0"/>
    <n v="182"/>
    <s v="gj12bt2409"/>
    <s v="Plastene India ltd - Unit 1-Purchase"/>
    <s v="Plastene India ltd - Unit 1-Purchase"/>
    <s v="PPL/D/1347"/>
    <d v="2026-12-08T00:00:00"/>
    <s v="RAW MATERIAL"/>
    <s v="INDIGENOUS"/>
    <s v="RM 517"/>
    <n v="184.86"/>
    <n v="184.86"/>
    <s v="PPL/D/1347"/>
    <d v="2026-12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321051"/>
    <s v="SF"/>
    <s v="Liners"/>
    <s v="LDPE/LLDPE Bags"/>
    <s v="RM"/>
    <s v="erp"/>
    <n v="0"/>
    <n v="33644.519999999997"/>
    <n v="1112"/>
    <d v="2026-12-08T00:00:00"/>
    <s v="24AAACO3087C1ZT"/>
    <s v="storepil6"/>
    <s v="storepil6"/>
    <n v="9"/>
    <n v="3028.01"/>
    <n v="9"/>
    <n v="3028.01"/>
    <n v="0"/>
    <n v="0"/>
    <n v="0"/>
    <n v="642161733539"/>
    <d v="2026-08-12T00:00:00"/>
    <n v="0"/>
  </r>
  <r>
    <s v="HCP Plastene Bulkpack Ltd (Unit - IV)"/>
    <d v="2026-12-08T00:00:00"/>
    <s v="HPBL4/26-27/SII01173"/>
    <s v="WIP00023"/>
    <x v="0"/>
    <m/>
    <s v="HPBL4/RAW/26-27/482"/>
    <n v="5877.7"/>
    <n v="5877.7"/>
    <s v="Kgs"/>
    <n v="5877.7"/>
    <n v="0"/>
    <n v="5877.7"/>
    <s v="GJ24X4103"/>
    <s v="Plastene India ltd - Unit 2-Purchase"/>
    <s v="Plastene India ltd - Unit 2-Purchase"/>
    <s v="PIL2/D/485"/>
    <d v="2026-12-08T00:00:00"/>
    <s v="RAW MATERIAL"/>
    <s v="INDIGENOUS"/>
    <s v="RM 518"/>
    <n v="158.4"/>
    <n v="158.399985581816"/>
    <s v="PIL2/D/485"/>
    <d v="2026-12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098612.56"/>
    <s v="SF"/>
    <s v="PP/PE Fabric"/>
    <s v="PP UL Fabric"/>
    <s v="RM"/>
    <s v="erp"/>
    <n v="0"/>
    <n v="931027.6"/>
    <n v="1108"/>
    <d v="2026-12-08T00:00:00"/>
    <s v="24AAACO3087C1ZT"/>
    <s v="storepil6"/>
    <s v="storepil6"/>
    <n v="9"/>
    <n v="83792.490000000005"/>
    <n v="9"/>
    <n v="83792.490000000005"/>
    <n v="0"/>
    <n v="0"/>
    <n v="1098612.56"/>
    <n v="632160607869"/>
    <d v="2026-08-10T00:00:00"/>
    <n v="0"/>
  </r>
  <r>
    <s v="HCP Plastene Bulkpack Ltd (Unit - IV)"/>
    <d v="2026-12-08T00:00:00"/>
    <s v="HPBL4/26-27/SII01174"/>
    <s v="wip00013"/>
    <x v="3"/>
    <m/>
    <s v="HPBL4/RAW/26-27/483"/>
    <n v="3409"/>
    <n v="3409"/>
    <s v="Kgs"/>
    <n v="3409"/>
    <n v="0"/>
    <n v="3409"/>
    <s v="gj12bt2409"/>
    <s v="Plastene India ltd - Unit 1-Purchase"/>
    <s v="Plastene India ltd - Unit 1-Purchase"/>
    <s v="PIL1/D/1352"/>
    <d v="2026-12-08T00:00:00"/>
    <s v="RAW MATERIAL"/>
    <s v="INDIGENOUS"/>
    <s v="RM 519"/>
    <n v="180.86"/>
    <n v="180.860007133083"/>
    <s v="PIL1/D/1352"/>
    <d v="2026-12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480737.56"/>
    <s v="SF"/>
    <s v="Liners"/>
    <s v="LDPE/LLDPE Bags"/>
    <s v="RM"/>
    <s v="erp"/>
    <n v="0"/>
    <n v="616551.76"/>
    <n v="1118"/>
    <d v="2026-12-08T00:00:00"/>
    <s v="24AAACO3087C1ZT"/>
    <s v="storepil6"/>
    <s v="storepil6"/>
    <n v="9"/>
    <n v="55489.66"/>
    <n v="9"/>
    <n v="55489.66"/>
    <n v="0"/>
    <n v="0"/>
    <n v="1480737.56"/>
    <n v="632161970526"/>
    <d v="2026-08-12T00:00:00"/>
    <n v="0"/>
  </r>
  <r>
    <s v="HCP Plastene Bulkpack Ltd (Unit - IV)"/>
    <d v="2026-12-08T00:00:00"/>
    <s v="HPBL4/26-27/SII01174"/>
    <s v="wip00013"/>
    <x v="3"/>
    <m/>
    <s v="HPBL4/RAW/26-27/483"/>
    <n v="2651.16"/>
    <n v="2651.16"/>
    <s v="Kgs"/>
    <n v="2651.16"/>
    <n v="0"/>
    <n v="2651.16"/>
    <s v="gj12bt2409"/>
    <s v="Plastene India ltd - Unit 1-Purchase"/>
    <s v="Plastene India ltd - Unit 1-Purchase"/>
    <s v="PIL1/D/1352"/>
    <d v="2026-12-08T00:00:00"/>
    <s v="RAW MATERIAL"/>
    <s v="INDIGENOUS"/>
    <s v="RM 519"/>
    <n v="176.86"/>
    <n v="176.86000697532401"/>
    <s v="PIL1/D/1352"/>
    <d v="2026-12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480737.56"/>
    <s v="SF"/>
    <s v="Liners"/>
    <s v="LDPE/LLDPE Bags"/>
    <s v="RM"/>
    <s v="erp"/>
    <n v="0"/>
    <n v="468884.18"/>
    <n v="1118"/>
    <d v="2026-12-08T00:00:00"/>
    <s v="24AAACO3087C1ZT"/>
    <s v="storepil6"/>
    <s v="storepil6"/>
    <n v="9"/>
    <n v="42199.57"/>
    <n v="9"/>
    <n v="42199.57"/>
    <n v="0"/>
    <n v="0"/>
    <n v="0"/>
    <n v="632161970526"/>
    <d v="2026-08-12T00:00:00"/>
    <n v="0"/>
  </r>
  <r>
    <s v="HCP Plastene Bulkpack Ltd (Unit - IV)"/>
    <d v="2026-12-08T00:00:00"/>
    <s v="HPBL4/26-27/SII01174"/>
    <s v="RAW05939"/>
    <x v="9"/>
    <m/>
    <s v="HPBL4/RAW/26-27/483"/>
    <n v="15400"/>
    <n v="15400"/>
    <s v="Pcs"/>
    <n v="15400"/>
    <n v="0"/>
    <n v="15400"/>
    <s v="gj12bt2409"/>
    <s v="Plastene India ltd - Unit 1-Purchase"/>
    <s v="Plastene India ltd - Unit 1-Purchase"/>
    <s v="PIL1/D/1352"/>
    <d v="2026-12-08T00:00:00"/>
    <s v="RAW MATERIAL"/>
    <s v="INDIGENOUS"/>
    <s v="RM 519"/>
    <n v="3.3879000000000001"/>
    <n v="3.3879001336181198"/>
    <s v="PIL1/D/1352"/>
    <d v="2026-12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480737.56"/>
    <s v="RM Consumables"/>
    <s v="FIBC Accessories"/>
    <s v="FIBC Accessories"/>
    <s v="RM"/>
    <s v="ramesh.singhal"/>
    <n v="0"/>
    <n v="52173.66"/>
    <n v="1118"/>
    <d v="2026-12-08T00:00:00"/>
    <s v="24AAACO3087C1ZT"/>
    <s v="storepil6"/>
    <s v="storepil6"/>
    <n v="9"/>
    <n v="4695.63"/>
    <n v="9"/>
    <n v="4695.63"/>
    <n v="0"/>
    <n v="0"/>
    <n v="0"/>
    <n v="632161970526"/>
    <d v="2026-08-12T00:00:00"/>
    <n v="0"/>
  </r>
  <r>
    <s v="HCP Plastene Bulkpack Ltd (Unit - IV)"/>
    <d v="2026-12-08T00:00:00"/>
    <s v="HPBL4/26-27/SII01174"/>
    <s v="RAW05124"/>
    <x v="10"/>
    <m/>
    <s v="HPBL4/RAW/26-27/483"/>
    <n v="563"/>
    <n v="563"/>
    <s v="Kgs"/>
    <n v="563"/>
    <n v="0"/>
    <n v="563"/>
    <s v="gj12bt2409"/>
    <s v="Plastene India ltd - Unit 1-Purchase"/>
    <s v="Plastene India ltd - Unit 1-Purchase"/>
    <s v="PIL1/D/1352"/>
    <d v="2026-12-08T00:00:00"/>
    <s v="RAW MATERIAL"/>
    <s v="INDIGENOUS"/>
    <s v="RM 519"/>
    <n v="166.86"/>
    <n v="166.86000658092601"/>
    <s v="PIL1/D/1352"/>
    <d v="2026-12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480737.56"/>
    <s v="SF"/>
    <s v="Films All (SF)"/>
    <s v="PE Film"/>
    <s v="RM"/>
    <s v="erp"/>
    <n v="0"/>
    <n v="93942.18"/>
    <n v="1118"/>
    <d v="2026-12-08T00:00:00"/>
    <s v="24AAACO3087C1ZT"/>
    <s v="storepil6"/>
    <s v="storepil6"/>
    <n v="9"/>
    <n v="8454.7999999999993"/>
    <n v="9"/>
    <n v="8454.7999999999993"/>
    <n v="0"/>
    <n v="0"/>
    <n v="0"/>
    <n v="632161970526"/>
    <d v="2026-08-12T00:00:00"/>
    <n v="0"/>
  </r>
  <r>
    <s v="HCP Plastene Bulkpack Ltd (Unit - IV)"/>
    <d v="2026-12-08T00:00:00"/>
    <s v="HPBL4/26-27/SII01174"/>
    <s v="WIP00032"/>
    <x v="2"/>
    <m/>
    <s v="HPBL4/RAW/26-27/483"/>
    <n v="47.6"/>
    <n v="47.6"/>
    <s v="Kgs"/>
    <n v="47.6"/>
    <n v="0"/>
    <n v="47.6"/>
    <s v="gj12bt2409"/>
    <s v="Plastene India ltd - Unit 1-Purchase"/>
    <s v="Plastene India ltd - Unit 1-Purchase"/>
    <s v="PIL1/D/1352"/>
    <d v="2026-12-08T00:00:00"/>
    <s v="RAW MATERIAL"/>
    <s v="INDIGENOUS"/>
    <s v="RM 519"/>
    <n v="144.32"/>
    <n v="144.32000569195301"/>
    <s v="PIL1/D/1352"/>
    <d v="2026-12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480737.56"/>
    <s v="SF"/>
    <s v="Webbing"/>
    <s v="PP Webbing"/>
    <s v="RM"/>
    <s v="erp"/>
    <n v="0"/>
    <n v="6869.63"/>
    <n v="1118"/>
    <d v="2026-12-08T00:00:00"/>
    <s v="24AAACO3087C1ZT"/>
    <s v="storepil6"/>
    <s v="storepil6"/>
    <n v="9"/>
    <n v="618.27"/>
    <n v="9"/>
    <n v="618.27"/>
    <n v="0"/>
    <n v="0"/>
    <n v="0"/>
    <n v="632161970526"/>
    <d v="2026-08-12T00:00:00"/>
    <n v="0"/>
  </r>
  <r>
    <s v="HCP Plastene Bulkpack Ltd (Unit - IV)"/>
    <d v="2026-12-08T00:00:00"/>
    <s v="HPBL4/26-27/SII01174"/>
    <s v="WIP00032"/>
    <x v="2"/>
    <m/>
    <s v="HPBL4/RAW/26-27/483"/>
    <n v="111.6"/>
    <n v="111.6"/>
    <s v="Kgs"/>
    <n v="111.6"/>
    <n v="0"/>
    <n v="111.6"/>
    <s v="gj12bt2409"/>
    <s v="Plastene India ltd - Unit 1-Purchase"/>
    <s v="Plastene India ltd - Unit 1-Purchase"/>
    <s v="PIL1/D/1352"/>
    <d v="2026-12-08T00:00:00"/>
    <s v="RAW MATERIAL"/>
    <s v="INDIGENOUS"/>
    <s v="RM 519"/>
    <n v="147.32"/>
    <n v="147.32000581027199"/>
    <s v="PIL1/D/1352"/>
    <d v="2026-12-08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480737.56"/>
    <s v="SF"/>
    <s v="Webbing"/>
    <s v="PP Webbing"/>
    <s v="RM"/>
    <s v="erp"/>
    <n v="0"/>
    <n v="16440.91"/>
    <n v="1118"/>
    <d v="2026-12-08T00:00:00"/>
    <s v="24AAACO3087C1ZT"/>
    <s v="storepil6"/>
    <s v="storepil6"/>
    <n v="9"/>
    <n v="1479.68"/>
    <n v="9"/>
    <n v="1479.68"/>
    <n v="0"/>
    <n v="0"/>
    <n v="0"/>
    <n v="632161970526"/>
    <d v="2026-08-12T00:00:00"/>
    <n v="0"/>
  </r>
  <r>
    <s v="HCP Plastene Bulkpack Ltd (Unit - IV)"/>
    <s v="13-08-2026"/>
    <s v="HPBL4/26-27/SII01176"/>
    <s v="WIP00004"/>
    <x v="4"/>
    <m/>
    <s v="HPBL4/RAW/26-27/484"/>
    <n v="156"/>
    <n v="156"/>
    <s v="Kgs"/>
    <n v="156"/>
    <n v="0"/>
    <n v="156"/>
    <s v="GJ12BU0544"/>
    <s v="Plastene Polyfilms Ltd-Purchase"/>
    <s v="Plastene Polyfilms Ltd-Purchase"/>
    <s v="PPL/D/485"/>
    <s v="13-08-2026"/>
    <s v="RAW MATERIAL"/>
    <s v="INDIGENOUS"/>
    <s v="RM 520"/>
    <n v="345.98"/>
    <n v="345.98"/>
    <s v="PPL/D/485"/>
    <s v="13-08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63688"/>
    <s v="FG"/>
    <s v="FIBC Bags"/>
    <s v="FIBC Bags"/>
    <s v="FG"/>
    <s v="erp"/>
    <n v="0"/>
    <n v="53972.88"/>
    <n v="1120"/>
    <s v="13-08-2026"/>
    <s v="24AAFCP2956A1ZR"/>
    <s v="storepil6"/>
    <s v="storepil6"/>
    <n v="9"/>
    <n v="4857.5600000000004"/>
    <n v="9"/>
    <n v="4857.5600000000004"/>
    <n v="0"/>
    <n v="0"/>
    <n v="63688"/>
    <n v="602162721700"/>
    <d v="2026-08-13T00:00:00"/>
    <n v="0"/>
  </r>
  <r>
    <s v="HCP Plastene Bulkpack Ltd (Unit - IV)"/>
    <s v="13-08-2026"/>
    <s v="HPBL4/26-27/SII01178"/>
    <s v="WIP00025"/>
    <x v="1"/>
    <m/>
    <s v="HPBL4/RAW/26-27/485"/>
    <n v="1864"/>
    <n v="1864"/>
    <s v="Kgs"/>
    <n v="1864"/>
    <n v="0"/>
    <n v="1864"/>
    <s v="GJ12BY0479"/>
    <s v="Plastene India ltd - Unit 1-Purchase"/>
    <s v="Plastene India ltd - Unit 1-Purchase"/>
    <s v="PIL1/D/1359"/>
    <s v="13-08-2026"/>
    <s v="RAW MATERIAL"/>
    <s v="INDIGENOUS"/>
    <s v="RM 521"/>
    <n v="149.32"/>
    <n v="149.32"/>
    <s v="PIL1/D/1359"/>
    <s v="13-08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829509.2"/>
    <s v="SF"/>
    <s v="PP/PE Fabric"/>
    <s v="PP Lam Fabric"/>
    <s v="RM"/>
    <s v="erp"/>
    <n v="0"/>
    <n v="278332.48"/>
    <n v="1119"/>
    <s v="13-08-2026"/>
    <s v="24AAACO3087C1ZT"/>
    <s v="storepil6"/>
    <s v="storepil6"/>
    <n v="9"/>
    <n v="25049.919999999998"/>
    <n v="9"/>
    <n v="25049.919999999998"/>
    <n v="0"/>
    <n v="0"/>
    <n v="1829509.2"/>
    <n v="622162400991"/>
    <d v="2026-08-13T00:00:00"/>
    <n v="0"/>
  </r>
  <r>
    <s v="HCP Plastene Bulkpack Ltd (Unit - IV)"/>
    <s v="13-08-2026"/>
    <s v="HPBL4/26-27/SII01178"/>
    <s v="WIP00023"/>
    <x v="0"/>
    <m/>
    <s v="HPBL4/RAW/26-27/485"/>
    <n v="1160"/>
    <n v="1160"/>
    <s v="Kgs"/>
    <n v="1160"/>
    <n v="0"/>
    <n v="1160"/>
    <s v="GJ12BY0479"/>
    <s v="Plastene India ltd - Unit 1-Purchase"/>
    <s v="Plastene India ltd - Unit 1-Purchase"/>
    <s v="PIL1/D/1359"/>
    <s v="13-08-2026"/>
    <s v="RAW MATERIAL"/>
    <s v="INDIGENOUS"/>
    <s v="RM 521"/>
    <n v="144.32"/>
    <n v="144.32"/>
    <s v="PIL1/D/1359"/>
    <s v="13-08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829509.2"/>
    <s v="SF"/>
    <s v="PP/PE Fabric"/>
    <s v="PP UL Fabric"/>
    <s v="RM"/>
    <s v="erp"/>
    <n v="0"/>
    <n v="167411.20000000001"/>
    <n v="1119"/>
    <s v="13-08-2026"/>
    <s v="24AAACO3087C1ZT"/>
    <s v="storepil6"/>
    <s v="storepil6"/>
    <n v="9"/>
    <n v="15067.01"/>
    <n v="9"/>
    <n v="15067.01"/>
    <n v="0"/>
    <n v="0"/>
    <n v="0"/>
    <n v="622162400991"/>
    <d v="2026-08-13T00:00:00"/>
    <n v="0"/>
  </r>
  <r>
    <s v="HCP Plastene Bulkpack Ltd (Unit - IV)"/>
    <s v="13-08-2026"/>
    <s v="HPBL4/26-27/SII01178"/>
    <s v="WIP00023"/>
    <x v="0"/>
    <m/>
    <s v="HPBL4/RAW/26-27/485"/>
    <n v="7762"/>
    <n v="7762"/>
    <s v="Kgs"/>
    <n v="7762"/>
    <n v="0"/>
    <n v="7762"/>
    <s v="GJ12BY0479"/>
    <s v="Plastene India ltd - Unit 1-Purchase"/>
    <s v="Plastene India ltd - Unit 1-Purchase"/>
    <s v="PIL1/D/1359"/>
    <s v="13-08-2026"/>
    <s v="RAW MATERIAL"/>
    <s v="INDIGENOUS"/>
    <s v="RM 521"/>
    <n v="142.32"/>
    <n v="142.32"/>
    <s v="PIL1/D/1359"/>
    <s v="13-08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829509.2"/>
    <s v="SF"/>
    <s v="PP/PE Fabric"/>
    <s v="PP UL Fabric"/>
    <s v="RM"/>
    <s v="erp"/>
    <n v="0"/>
    <n v="1104687.8400000001"/>
    <n v="1119"/>
    <s v="13-08-2026"/>
    <s v="24AAACO3087C1ZT"/>
    <s v="storepil6"/>
    <s v="storepil6"/>
    <n v="9"/>
    <n v="99421.91"/>
    <n v="9"/>
    <n v="99421.91"/>
    <n v="0"/>
    <n v="0"/>
    <n v="0"/>
    <n v="622162400991"/>
    <d v="2026-08-13T00:00:00"/>
    <n v="0"/>
  </r>
  <r>
    <s v="HCP Plastene Bulkpack Ltd (Unit - IV)"/>
    <s v="13-08-2026"/>
    <s v="HPBL4/26-27/SII01180"/>
    <s v="WIP00023"/>
    <x v="0"/>
    <m/>
    <s v="HPBL4/RAW/26-27/486"/>
    <n v="275"/>
    <n v="275"/>
    <s v="Kgs"/>
    <n v="275"/>
    <n v="0"/>
    <n v="275"/>
    <s v="gj12bt2409"/>
    <s v="Plastene India ltd - Unit 1-Purchase"/>
    <s v="Plastene India ltd - Unit 1-Purchase"/>
    <s v="PIL1/D/1365"/>
    <s v="13-08-2026"/>
    <s v="RAW MATERIAL"/>
    <s v="INDIGENOUS"/>
    <s v="RM 522"/>
    <n v="144.32"/>
    <n v="144.31999936316501"/>
    <s v="PIL1/D/1365"/>
    <s v="13-08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359723.85"/>
    <s v="SF"/>
    <s v="PP/PE Fabric"/>
    <s v="PP UL Fabric"/>
    <s v="RM"/>
    <s v="erp"/>
    <n v="0"/>
    <n v="39688"/>
    <n v="1130"/>
    <s v="13-08-2026"/>
    <s v="24AAACO3087C1ZT"/>
    <s v="storepil6"/>
    <s v="storepil6"/>
    <n v="9"/>
    <n v="3571.92"/>
    <n v="9"/>
    <n v="3571.92"/>
    <n v="0"/>
    <n v="0"/>
    <n v="1359723.85"/>
    <n v="622162805716"/>
    <d v="2026-08-13T00:00:00"/>
    <n v="0"/>
  </r>
  <r>
    <s v="HCP Plastene Bulkpack Ltd (Unit - IV)"/>
    <s v="13-08-2026"/>
    <s v="HPBL4/26-27/SII01180"/>
    <s v="WIP00023"/>
    <x v="0"/>
    <m/>
    <s v="HPBL4/RAW/26-27/486"/>
    <n v="2465"/>
    <n v="2465"/>
    <s v="Kgs"/>
    <n v="2465"/>
    <n v="0"/>
    <n v="2465"/>
    <s v="gj12bt2409"/>
    <s v="Plastene India ltd - Unit 1-Purchase"/>
    <s v="Plastene India ltd - Unit 1-Purchase"/>
    <s v="PIL1/D/1365"/>
    <s v="13-08-2026"/>
    <s v="RAW MATERIAL"/>
    <s v="INDIGENOUS"/>
    <s v="RM 522"/>
    <n v="142.32"/>
    <n v="142.31999937199001"/>
    <s v="PIL1/D/1365"/>
    <s v="13-08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359723.85"/>
    <s v="SF"/>
    <s v="PP/PE Fabric"/>
    <s v="PP UL Fabric"/>
    <s v="RM"/>
    <s v="erp"/>
    <n v="0"/>
    <n v="350818.8"/>
    <n v="1130"/>
    <s v="13-08-2026"/>
    <s v="24AAACO3087C1ZT"/>
    <s v="storepil6"/>
    <s v="storepil6"/>
    <n v="9"/>
    <n v="31573.69"/>
    <n v="9"/>
    <n v="31573.69"/>
    <n v="0"/>
    <n v="0"/>
    <n v="0"/>
    <n v="622162805716"/>
    <d v="2026-08-13T00:00:00"/>
    <n v="0"/>
  </r>
  <r>
    <s v="HCP Plastene Bulkpack Ltd (Unit - IV)"/>
    <s v="13-08-2026"/>
    <s v="HPBL4/26-27/SII01180"/>
    <s v="wip00013"/>
    <x v="3"/>
    <m/>
    <s v="HPBL4/RAW/26-27/486"/>
    <n v="238"/>
    <n v="238"/>
    <s v="Kgs"/>
    <n v="238"/>
    <n v="0"/>
    <n v="238"/>
    <s v="gj12bt2409"/>
    <s v="Plastene India ltd - Unit 1-Purchase"/>
    <s v="Plastene India ltd - Unit 1-Purchase"/>
    <s v="PIL1/D/1365"/>
    <s v="13-08-2026"/>
    <s v="RAW MATERIAL"/>
    <s v="INDIGENOUS"/>
    <s v="RM 522"/>
    <n v="184.86"/>
    <n v="184.85999918427601"/>
    <s v="PIL1/D/1365"/>
    <s v="13-08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359723.85"/>
    <s v="SF"/>
    <s v="Liners"/>
    <s v="LDPE/LLDPE Bags"/>
    <s v="RM"/>
    <s v="erp"/>
    <n v="0"/>
    <n v="43996.68"/>
    <n v="1130"/>
    <s v="13-08-2026"/>
    <s v="24AAACO3087C1ZT"/>
    <s v="storepil6"/>
    <s v="storepil6"/>
    <n v="9"/>
    <n v="3959.7"/>
    <n v="9"/>
    <n v="3959.7"/>
    <n v="0"/>
    <n v="0"/>
    <n v="0"/>
    <n v="622162805716"/>
    <d v="2026-08-13T00:00:00"/>
    <n v="0"/>
  </r>
  <r>
    <s v="HCP Plastene Bulkpack Ltd (Unit - IV)"/>
    <s v="13-08-2026"/>
    <s v="HPBL4/26-27/SII01180"/>
    <s v="wip00013"/>
    <x v="3"/>
    <m/>
    <s v="HPBL4/RAW/26-27/486"/>
    <n v="2059"/>
    <n v="2059"/>
    <s v="Kgs"/>
    <n v="2059"/>
    <n v="0"/>
    <n v="2059"/>
    <s v="gj12bt2409"/>
    <s v="Plastene India ltd - Unit 1-Purchase"/>
    <s v="Plastene India ltd - Unit 1-Purchase"/>
    <s v="PIL1/D/1365"/>
    <s v="13-08-2026"/>
    <s v="RAW MATERIAL"/>
    <s v="INDIGENOUS"/>
    <s v="RM 522"/>
    <n v="176.86"/>
    <n v="176.85999921957699"/>
    <s v="PIL1/D/1365"/>
    <s v="13-08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359723.85"/>
    <s v="SF"/>
    <s v="Liners"/>
    <s v="LDPE/LLDPE Bags"/>
    <s v="RM"/>
    <s v="erp"/>
    <n v="0"/>
    <n v="364154.74"/>
    <n v="1130"/>
    <s v="13-08-2026"/>
    <s v="24AAACO3087C1ZT"/>
    <s v="storepil6"/>
    <s v="storepil6"/>
    <n v="9"/>
    <n v="32773.93"/>
    <n v="9"/>
    <n v="32773.93"/>
    <n v="0"/>
    <n v="0"/>
    <n v="0"/>
    <n v="622162805716"/>
    <d v="2026-08-13T00:00:00"/>
    <n v="0"/>
  </r>
  <r>
    <s v="HCP Plastene Bulkpack Ltd (Unit - IV)"/>
    <s v="13-08-2026"/>
    <s v="HPBL4/26-27/SII01180"/>
    <s v="WIP00032"/>
    <x v="2"/>
    <m/>
    <s v="HPBL4/RAW/26-27/486"/>
    <n v="1354.6"/>
    <n v="1354.6"/>
    <s v="Kgs"/>
    <n v="1354.6"/>
    <n v="0"/>
    <n v="1354.6"/>
    <s v="gj12bt2409"/>
    <s v="Plastene India ltd - Unit 1-Purchase"/>
    <s v="Plastene India ltd - Unit 1-Purchase"/>
    <s v="PIL1/D/1365"/>
    <s v="13-08-2026"/>
    <s v="RAW MATERIAL"/>
    <s v="INDIGENOUS"/>
    <s v="RM 522"/>
    <n v="147.32"/>
    <n v="147.319999349927"/>
    <s v="PIL1/D/1365"/>
    <s v="13-08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359723.85"/>
    <s v="SF"/>
    <s v="Webbing"/>
    <s v="PP Webbing"/>
    <s v="RM"/>
    <s v="erp"/>
    <n v="0"/>
    <n v="199559.67"/>
    <n v="1130"/>
    <s v="13-08-2026"/>
    <s v="24AAACO3087C1ZT"/>
    <s v="storepil6"/>
    <s v="storepil6"/>
    <n v="9"/>
    <n v="17960.37"/>
    <n v="9"/>
    <n v="17960.37"/>
    <n v="0"/>
    <n v="0"/>
    <n v="0"/>
    <n v="622162805716"/>
    <d v="2026-08-13T00:00:00"/>
    <n v="0"/>
  </r>
  <r>
    <s v="HCP Plastene Bulkpack Ltd (Unit - IV)"/>
    <s v="13-08-2026"/>
    <s v="HPBL4/26-27/SII01180"/>
    <s v="WIP00032"/>
    <x v="2"/>
    <m/>
    <s v="HPBL4/RAW/26-27/486"/>
    <n v="1067.7"/>
    <n v="1067.7"/>
    <s v="Kgs"/>
    <n v="1067.7"/>
    <n v="0"/>
    <n v="1067.7"/>
    <s v="gj12bt2409"/>
    <s v="Plastene India ltd - Unit 1-Purchase"/>
    <s v="Plastene India ltd - Unit 1-Purchase"/>
    <s v="PIL1/D/1365"/>
    <s v="13-08-2026"/>
    <s v="RAW MATERIAL"/>
    <s v="INDIGENOUS"/>
    <s v="RM 522"/>
    <n v="144.32"/>
    <n v="144.31999936316501"/>
    <s v="PIL1/D/1365"/>
    <s v="13-08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359723.85"/>
    <s v="SF"/>
    <s v="Webbing"/>
    <s v="PP Webbing"/>
    <s v="RM"/>
    <s v="erp"/>
    <n v="0"/>
    <n v="154090.46"/>
    <n v="1130"/>
    <s v="13-08-2026"/>
    <s v="24AAACO3087C1ZT"/>
    <s v="storepil6"/>
    <s v="storepil6"/>
    <n v="9"/>
    <n v="13868.14"/>
    <n v="9"/>
    <n v="13868.14"/>
    <n v="0"/>
    <n v="0"/>
    <n v="0"/>
    <n v="622162805716"/>
    <d v="2026-08-13T00:00:00"/>
    <n v="0"/>
  </r>
  <r>
    <s v="HCP Plastene Bulkpack Ltd (Unit - IV)"/>
    <s v="14-08-2026"/>
    <s v="HPBL4/26-27/SII01185"/>
    <s v="SMF00054"/>
    <x v="14"/>
    <m/>
    <s v="HPBL4/RAW/26-27/487"/>
    <n v="950"/>
    <n v="950"/>
    <s v="Kgs"/>
    <n v="950"/>
    <n v="0"/>
    <n v="950"/>
    <s v="GJ01LT5751"/>
    <s v="K.P. Woven Pvt Ltd-Purchase"/>
    <s v="K.P. Woven Pvt Ltd-Purchase"/>
    <s v="KPV/D/597"/>
    <s v="13-08-2026"/>
    <s v="RAW MATERIAL"/>
    <s v="INDIGENOUS"/>
    <s v="RM 523"/>
    <n v="156.4"/>
    <n v="156.4"/>
    <s v="KPV/D/597"/>
    <s v="13-08-2026"/>
    <m/>
    <s v="-"/>
    <m/>
    <s v="B.K ROADWAYS"/>
    <s v="2970 DT 13/08/2026"/>
    <n v="0"/>
    <n v="0"/>
    <n v="0"/>
    <n v="0"/>
    <n v="0"/>
    <s v="VAT"/>
    <n v="0"/>
    <n v="0"/>
    <n v="0"/>
    <n v="0"/>
    <n v="0"/>
    <m/>
    <n v="0"/>
    <n v="0"/>
    <n v="239694"/>
    <s v="SF"/>
    <s v="Yarn All"/>
    <s v="PP Yarn"/>
    <s v="RM"/>
    <s v="erp"/>
    <n v="0"/>
    <n v="148580"/>
    <n v="1132"/>
    <s v="14-08-2026"/>
    <s v="24AAECK6307M1ZF"/>
    <s v="storepil6"/>
    <s v="storepil6"/>
    <n v="2.5"/>
    <n v="3714.5"/>
    <n v="2.5"/>
    <n v="3714.5"/>
    <n v="0"/>
    <n v="0"/>
    <n v="239694"/>
    <n v="612162844505"/>
    <d v="2026-08-13T00:00:00"/>
    <n v="0"/>
  </r>
  <r>
    <s v="HCP Plastene Bulkpack Ltd (Unit - IV)"/>
    <s v="14-08-2026"/>
    <s v="HPBL4/26-27/SII01185"/>
    <s v="SMF00052"/>
    <x v="15"/>
    <m/>
    <s v="HPBL4/RAW/26-27/487"/>
    <n v="500"/>
    <n v="500"/>
    <s v="Kgs"/>
    <n v="500"/>
    <n v="0"/>
    <n v="500"/>
    <s v="GJ01LT5751"/>
    <s v="K.P. Woven Pvt Ltd-Purchase"/>
    <s v="K.P. Woven Pvt Ltd-Purchase"/>
    <s v="KPV/D/597"/>
    <s v="13-08-2026"/>
    <s v="RAW MATERIAL"/>
    <s v="INDIGENOUS"/>
    <s v="RM 523"/>
    <n v="159.4"/>
    <n v="159.4"/>
    <s v="KPV/D/597"/>
    <s v="13-08-2026"/>
    <m/>
    <s v="-"/>
    <m/>
    <s v="B.K ROADWAYS"/>
    <s v="2970 DT 13/08/2026"/>
    <n v="0"/>
    <n v="0"/>
    <n v="0"/>
    <n v="0"/>
    <n v="0"/>
    <s v="VAT"/>
    <n v="0"/>
    <n v="0"/>
    <n v="0"/>
    <n v="0"/>
    <n v="0"/>
    <m/>
    <n v="0"/>
    <n v="0"/>
    <n v="239694"/>
    <s v="SF"/>
    <s v="Yarn All"/>
    <s v="PP Yarn"/>
    <s v="RM"/>
    <s v="erp"/>
    <n v="0"/>
    <n v="79700"/>
    <n v="1132"/>
    <s v="14-08-2026"/>
    <s v="24AAECK6307M1ZF"/>
    <s v="storepil6"/>
    <s v="storepil6"/>
    <n v="2.5"/>
    <n v="1992.5"/>
    <n v="2.5"/>
    <n v="1992.5"/>
    <n v="0"/>
    <n v="0"/>
    <n v="0"/>
    <n v="612162844505"/>
    <d v="2026-08-13T00:00:00"/>
    <n v="0"/>
  </r>
  <r>
    <s v="HCP Plastene Bulkpack Ltd (Unit - IV)"/>
    <s v="14-08-2026"/>
    <s v="HPBL4/26-27/SII01186"/>
    <s v="WIP00023"/>
    <x v="0"/>
    <m/>
    <s v="HPBL4/RAW/26-27/488"/>
    <n v="857"/>
    <n v="857"/>
    <s v="Kgs"/>
    <n v="857"/>
    <n v="0"/>
    <n v="857"/>
    <s v="gj12bt2409"/>
    <s v="Plastene India ltd - Unit 1-Purchase"/>
    <s v="Plastene India ltd - Unit 1-Purchase"/>
    <s v="PIL1/D/1368"/>
    <s v="14-08-2026"/>
    <s v="RAW MATERIAL"/>
    <s v="INDIGENOUS"/>
    <s v="RM 524"/>
    <n v="144.32"/>
    <n v="144.32"/>
    <s v="PIL1/D/1368"/>
    <s v="14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1295401.3"/>
    <s v="SF"/>
    <s v="PP/PE Fabric"/>
    <s v="PP UL Fabric"/>
    <s v="RM"/>
    <s v="erp"/>
    <n v="0"/>
    <n v="123682.24000000001"/>
    <n v="1134"/>
    <s v="14-08-2026"/>
    <s v="24AAACO3087C1ZT"/>
    <s v="storepil6"/>
    <s v="storepil6"/>
    <n v="9"/>
    <n v="11131.4"/>
    <n v="9"/>
    <n v="11131.4"/>
    <n v="0"/>
    <n v="0"/>
    <n v="1295401.3"/>
    <n v="662163089788"/>
    <d v="2026-08-14T00:00:00"/>
    <n v="0"/>
  </r>
  <r>
    <s v="HCP Plastene Bulkpack Ltd (Unit - IV)"/>
    <s v="14-08-2026"/>
    <s v="HPBL4/26-27/SII01186"/>
    <s v="WIP00023"/>
    <x v="0"/>
    <m/>
    <s v="HPBL4/RAW/26-27/488"/>
    <n v="6576"/>
    <n v="6576"/>
    <s v="Kgs"/>
    <n v="6576"/>
    <n v="0"/>
    <n v="6576"/>
    <s v="gj12bt2409"/>
    <s v="Plastene India ltd - Unit 1-Purchase"/>
    <s v="Plastene India ltd - Unit 1-Purchase"/>
    <s v="PIL1/D/1368"/>
    <s v="14-08-2026"/>
    <s v="RAW MATERIAL"/>
    <s v="INDIGENOUS"/>
    <s v="RM 524"/>
    <n v="142.32"/>
    <n v="142.32"/>
    <s v="PIL1/D/1368"/>
    <s v="14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1295401.3"/>
    <s v="SF"/>
    <s v="PP/PE Fabric"/>
    <s v="PP UL Fabric"/>
    <s v="RM"/>
    <s v="erp"/>
    <n v="0"/>
    <n v="935896.32"/>
    <n v="1134"/>
    <s v="14-08-2026"/>
    <s v="24AAACO3087C1ZT"/>
    <s v="storepil6"/>
    <s v="storepil6"/>
    <n v="9"/>
    <n v="84230.67"/>
    <n v="9"/>
    <n v="84230.67"/>
    <n v="0"/>
    <n v="0"/>
    <n v="0"/>
    <n v="662163089788"/>
    <d v="2026-08-14T00:00:00"/>
    <n v="0"/>
  </r>
  <r>
    <s v="HCP Plastene Bulkpack Ltd (Unit - IV)"/>
    <s v="14-08-2026"/>
    <s v="HPBL4/26-27/SII01186"/>
    <s v="WIP00023"/>
    <x v="0"/>
    <m/>
    <s v="HPBL4/RAW/26-27/488"/>
    <n v="263"/>
    <n v="263"/>
    <s v="Kgs"/>
    <n v="263"/>
    <n v="0"/>
    <n v="263"/>
    <s v="gj12bt2409"/>
    <s v="Plastene India ltd - Unit 1-Purchase"/>
    <s v="Plastene India ltd - Unit 1-Purchase"/>
    <s v="PIL1/D/1368"/>
    <s v="14-08-2026"/>
    <s v="RAW MATERIAL"/>
    <s v="INDIGENOUS"/>
    <s v="RM 524"/>
    <n v="145.32"/>
    <n v="145.32"/>
    <s v="PIL1/D/1368"/>
    <s v="14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1295401.3"/>
    <s v="SF"/>
    <s v="PP/PE Fabric"/>
    <s v="PP UL Fabric"/>
    <s v="RM"/>
    <s v="erp"/>
    <n v="0"/>
    <n v="38219.160000000003"/>
    <n v="1134"/>
    <s v="14-08-2026"/>
    <s v="24AAACO3087C1ZT"/>
    <s v="storepil6"/>
    <s v="storepil6"/>
    <n v="9"/>
    <n v="3439.72"/>
    <n v="9"/>
    <n v="3439.72"/>
    <n v="0"/>
    <n v="0"/>
    <n v="0"/>
    <n v="662163089788"/>
    <d v="2026-08-14T00:00:00"/>
    <n v="0"/>
  </r>
  <r>
    <s v="HCP Plastene Bulkpack Ltd (Unit - IV)"/>
    <s v="14-08-2026"/>
    <s v="HPBL4/26-27/SII01187"/>
    <s v="WIP00032"/>
    <x v="2"/>
    <m/>
    <s v="HPBL4/RAW/26-27/489"/>
    <n v="1327.9"/>
    <n v="1327.9"/>
    <s v="Kgs"/>
    <n v="1327.9"/>
    <n v="0"/>
    <n v="1327.9"/>
    <s v="GJ12BY0479"/>
    <s v="Plastene India ltd - Unit 1-Purchase"/>
    <s v="Plastene India ltd - Unit 1-Purchase"/>
    <s v="PIL1/D/1370"/>
    <s v="14-08-2026"/>
    <s v="RAW MATERIAL"/>
    <s v="INDIGENOUS"/>
    <s v="RM 525"/>
    <n v="147.32"/>
    <n v="147.32000253960001"/>
    <s v="PIL1/D/1370"/>
    <s v="14-08-2026"/>
    <m/>
    <s v="-"/>
    <m/>
    <s v="LAXMAN B BAKUTRA"/>
    <s v="259 DT 14/08/2026"/>
    <n v="0"/>
    <n v="0"/>
    <n v="0"/>
    <n v="0"/>
    <n v="0"/>
    <s v="VAT"/>
    <n v="0"/>
    <n v="0"/>
    <n v="0"/>
    <n v="0"/>
    <n v="0"/>
    <m/>
    <n v="0"/>
    <n v="0"/>
    <n v="348054.79"/>
    <s v="SF"/>
    <s v="Webbing"/>
    <s v="PP Webbing"/>
    <s v="RM"/>
    <s v="erp"/>
    <n v="0"/>
    <n v="195626.23"/>
    <n v="1133"/>
    <s v="14-08-2026"/>
    <s v="24AAACO3087C1ZT"/>
    <s v="storepil6"/>
    <s v="storepil6"/>
    <n v="9"/>
    <n v="17606.36"/>
    <n v="9"/>
    <n v="17606.36"/>
    <n v="0"/>
    <n v="0"/>
    <n v="348054.79"/>
    <n v="652163217906"/>
    <d v="2026-08-14T00:00:00"/>
    <n v="0"/>
  </r>
  <r>
    <s v="HCP Plastene Bulkpack Ltd (Unit - IV)"/>
    <s v="14-08-2026"/>
    <s v="HPBL4/26-27/SII01187"/>
    <s v="WIP00032"/>
    <x v="2"/>
    <m/>
    <s v="HPBL4/RAW/26-27/489"/>
    <n v="688.3"/>
    <n v="688.3"/>
    <s v="Kgs"/>
    <n v="688.3"/>
    <n v="0"/>
    <n v="688.3"/>
    <s v="GJ12BY0479"/>
    <s v="Plastene India ltd - Unit 1-Purchase"/>
    <s v="Plastene India ltd - Unit 1-Purchase"/>
    <s v="PIL1/D/1370"/>
    <s v="14-08-2026"/>
    <s v="RAW MATERIAL"/>
    <s v="INDIGENOUS"/>
    <s v="RM 525"/>
    <n v="144.32"/>
    <n v="144.32000248788401"/>
    <s v="PIL1/D/1370"/>
    <s v="14-08-2026"/>
    <m/>
    <s v="-"/>
    <m/>
    <s v="LAXMAN B BAKUTRA"/>
    <s v="259 DT 14/08/2026"/>
    <n v="0"/>
    <n v="0"/>
    <n v="0"/>
    <n v="0"/>
    <n v="0"/>
    <s v="VAT"/>
    <n v="0"/>
    <n v="0"/>
    <n v="0"/>
    <n v="0"/>
    <n v="0"/>
    <m/>
    <n v="0"/>
    <n v="0"/>
    <n v="348054.79"/>
    <s v="SF"/>
    <s v="Webbing"/>
    <s v="PP Webbing"/>
    <s v="RM"/>
    <s v="erp"/>
    <n v="0"/>
    <n v="99335.46"/>
    <n v="1133"/>
    <s v="14-08-2026"/>
    <s v="24AAACO3087C1ZT"/>
    <s v="storepil6"/>
    <s v="storepil6"/>
    <n v="9"/>
    <n v="8940.19"/>
    <n v="9"/>
    <n v="8940.19"/>
    <n v="0"/>
    <n v="0"/>
    <n v="0"/>
    <n v="652163217906"/>
    <d v="2026-08-14T00:00:00"/>
    <n v="0"/>
  </r>
  <r>
    <s v="HCP Plastene Bulkpack Ltd (Unit - IV)"/>
    <s v="14-08-2026"/>
    <s v="HPBL4/26-27/SII01189"/>
    <s v="wip00013"/>
    <x v="3"/>
    <m/>
    <s v="HPBL4/RAW/26-27/490"/>
    <n v="266"/>
    <n v="266"/>
    <s v="Kgs"/>
    <n v="266"/>
    <n v="0"/>
    <n v="266"/>
    <s v="gj12bt2409"/>
    <s v="Plastene India ltd - Unit 1-Purchase"/>
    <s v="Plastene India ltd - Unit 1-Purchase"/>
    <s v="PIL1/D/1374"/>
    <s v="14-08-2026"/>
    <s v="RAW MATERIAL"/>
    <s v="INDIGENOUS"/>
    <s v="RM 526"/>
    <n v="184.86"/>
    <n v="184.86026220095499"/>
    <s v="PIL1/D/1374"/>
    <s v="14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1692078.62"/>
    <s v="SF"/>
    <s v="Liners"/>
    <s v="LDPE/LLDPE Bags"/>
    <s v="RM"/>
    <s v="erp"/>
    <n v="0"/>
    <n v="49172.83"/>
    <n v="1136"/>
    <s v="14-08-2026"/>
    <s v="24AAACO3087C1ZT"/>
    <s v="storepil6"/>
    <s v="storepil6"/>
    <n v="9"/>
    <n v="4425.55"/>
    <n v="9"/>
    <n v="4425.55"/>
    <n v="0"/>
    <n v="0"/>
    <n v="1692078.62"/>
    <n v="652163341081"/>
    <d v="2026-08-14T00:00:00"/>
    <n v="0"/>
  </r>
  <r>
    <s v="HCP Plastene Bulkpack Ltd (Unit - IV)"/>
    <s v="14-08-2026"/>
    <s v="HPBL4/26-27/SII01189"/>
    <s v="wip00013"/>
    <x v="3"/>
    <m/>
    <s v="HPBL4/RAW/26-27/490"/>
    <n v="3743"/>
    <n v="3743"/>
    <s v="Kgs"/>
    <n v="3743"/>
    <n v="0"/>
    <n v="3743"/>
    <s v="gj12bt2409"/>
    <s v="Plastene India ltd - Unit 1-Purchase"/>
    <s v="Plastene India ltd - Unit 1-Purchase"/>
    <s v="PIL1/D/1374"/>
    <s v="14-08-2026"/>
    <s v="RAW MATERIAL"/>
    <s v="INDIGENOUS"/>
    <s v="RM 526"/>
    <n v="176.86"/>
    <n v="176.860250853948"/>
    <s v="PIL1/D/1374"/>
    <s v="14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1692078.62"/>
    <s v="SF"/>
    <s v="Liners"/>
    <s v="LDPE/LLDPE Bags"/>
    <s v="RM"/>
    <s v="erp"/>
    <n v="0"/>
    <n v="661987.92000000004"/>
    <n v="1136"/>
    <s v="14-08-2026"/>
    <s v="24AAACO3087C1ZT"/>
    <s v="storepil6"/>
    <s v="storepil6"/>
    <n v="9"/>
    <n v="59578.83"/>
    <n v="9"/>
    <n v="59578.83"/>
    <n v="0"/>
    <n v="0"/>
    <n v="0"/>
    <n v="652163341081"/>
    <d v="2026-08-14T00:00:00"/>
    <n v="0"/>
  </r>
  <r>
    <s v="HCP Plastene Bulkpack Ltd (Unit - IV)"/>
    <s v="14-08-2026"/>
    <s v="HPBL4/26-27/SII01189"/>
    <s v="wip00013"/>
    <x v="3"/>
    <m/>
    <s v="HPBL4/RAW/26-27/490"/>
    <n v="1253"/>
    <n v="1253"/>
    <s v="Kgs"/>
    <n v="1253"/>
    <n v="0"/>
    <n v="1253"/>
    <s v="gj12bt2409"/>
    <s v="Plastene India ltd - Unit 1-Purchase"/>
    <s v="Plastene India ltd - Unit 1-Purchase"/>
    <s v="PIL1/D/1374"/>
    <s v="14-08-2026"/>
    <s v="RAW MATERIAL"/>
    <s v="INDIGENOUS"/>
    <s v="RM 526"/>
    <n v="180.86"/>
    <n v="180.86025652745101"/>
    <s v="PIL1/D/1374"/>
    <s v="14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1692078.62"/>
    <s v="SF"/>
    <s v="Liners"/>
    <s v="LDPE/LLDPE Bags"/>
    <s v="RM"/>
    <s v="erp"/>
    <n v="0"/>
    <n v="226617.9"/>
    <n v="1136"/>
    <s v="14-08-2026"/>
    <s v="24AAACO3087C1ZT"/>
    <s v="storepil6"/>
    <s v="storepil6"/>
    <n v="9"/>
    <n v="20395.580000000002"/>
    <n v="9"/>
    <n v="20395.580000000002"/>
    <n v="0"/>
    <n v="0"/>
    <n v="0"/>
    <n v="652163341081"/>
    <d v="2026-08-14T00:00:00"/>
    <n v="0"/>
  </r>
  <r>
    <s v="HCP Plastene Bulkpack Ltd (Unit - IV)"/>
    <s v="14-08-2026"/>
    <s v="HPBL4/26-27/SII01189"/>
    <s v="RAW05939"/>
    <x v="9"/>
    <m/>
    <s v="HPBL4/RAW/26-27/490"/>
    <n v="22800"/>
    <n v="22800"/>
    <s v="Pcs"/>
    <n v="22800"/>
    <n v="0"/>
    <n v="22800"/>
    <s v="gj12bt2409"/>
    <s v="Plastene India ltd - Unit 1-Purchase"/>
    <s v="Plastene India ltd - Unit 1-Purchase"/>
    <s v="PIL1/D/1374"/>
    <s v="14-08-2026"/>
    <s v="RAW MATERIAL"/>
    <s v="INDIGENOUS"/>
    <s v="RM 526"/>
    <n v="3.3043999999999998"/>
    <n v="3.3044046868810701"/>
    <s v="PIL1/D/1374"/>
    <s v="14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1692078.62"/>
    <s v="RM Consumables"/>
    <s v="FIBC Accessories"/>
    <s v="FIBC Accessories"/>
    <s v="RM"/>
    <s v="ramesh.singhal"/>
    <n v="0"/>
    <n v="75340.429999999993"/>
    <n v="1136"/>
    <s v="14-08-2026"/>
    <s v="24AAACO3087C1ZT"/>
    <s v="storepil6"/>
    <s v="storepil6"/>
    <n v="9"/>
    <n v="6780.63"/>
    <n v="9"/>
    <n v="6780.63"/>
    <n v="0"/>
    <n v="0"/>
    <n v="0"/>
    <n v="652163341081"/>
    <d v="2026-08-14T00:00:00"/>
    <n v="0"/>
  </r>
  <r>
    <s v="HCP Plastene Bulkpack Ltd (Unit - IV)"/>
    <s v="14-08-2026"/>
    <s v="HPBL4/26-27/SII01189"/>
    <s v="WIP00025"/>
    <x v="1"/>
    <m/>
    <s v="HPBL4/RAW/26-27/490"/>
    <n v="894"/>
    <n v="894"/>
    <s v="Kgs"/>
    <n v="894"/>
    <n v="0"/>
    <n v="894"/>
    <s v="gj12bt2409"/>
    <s v="Plastene India ltd - Unit 1-Purchase"/>
    <s v="Plastene India ltd - Unit 1-Purchase"/>
    <s v="PIL1/D/1374"/>
    <s v="14-08-2026"/>
    <s v="RAW MATERIAL"/>
    <s v="INDIGENOUS"/>
    <s v="RM 526"/>
    <n v="144.32"/>
    <n v="144.32020469999901"/>
    <s v="PIL1/D/1374"/>
    <s v="14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1692078.62"/>
    <s v="SF"/>
    <s v="PP/PE Fabric"/>
    <s v="PP Lam Fabric"/>
    <s v="RM"/>
    <s v="erp"/>
    <n v="0"/>
    <n v="129022.26"/>
    <n v="1136"/>
    <s v="14-08-2026"/>
    <s v="24AAACO3087C1ZT"/>
    <s v="storepil6"/>
    <s v="storepil6"/>
    <n v="9"/>
    <n v="11611.99"/>
    <n v="9"/>
    <n v="11611.99"/>
    <n v="0"/>
    <n v="0"/>
    <n v="0"/>
    <n v="652163341081"/>
    <d v="2026-08-14T00:00:00"/>
    <n v="0"/>
  </r>
  <r>
    <s v="HCP Plastene Bulkpack Ltd (Unit - IV)"/>
    <s v="14-08-2026"/>
    <s v="HPBL4/26-27/SII01189"/>
    <s v="WIP00025"/>
    <x v="1"/>
    <m/>
    <s v="HPBL4/RAW/26-27/490"/>
    <n v="1087"/>
    <n v="1087"/>
    <s v="Kgs"/>
    <n v="1087"/>
    <n v="0"/>
    <n v="1087"/>
    <s v="gj12bt2409"/>
    <s v="Plastene India ltd - Unit 1-Purchase"/>
    <s v="Plastene India ltd - Unit 1-Purchase"/>
    <s v="PIL1/D/1374"/>
    <s v="14-08-2026"/>
    <s v="RAW MATERIAL"/>
    <s v="INDIGENOUS"/>
    <s v="RM 526"/>
    <n v="149.32"/>
    <n v="149.32021179187799"/>
    <s v="PIL1/D/1374"/>
    <s v="14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1692078.62"/>
    <s v="SF"/>
    <s v="PP/PE Fabric"/>
    <s v="PP Lam Fabric"/>
    <s v="RM"/>
    <s v="erp"/>
    <n v="0"/>
    <n v="162311.07"/>
    <n v="1136"/>
    <s v="14-08-2026"/>
    <s v="24AAACO3087C1ZT"/>
    <s v="storepil6"/>
    <s v="storepil6"/>
    <n v="9"/>
    <n v="14607.98"/>
    <n v="9"/>
    <n v="14607.98"/>
    <n v="0"/>
    <n v="0"/>
    <n v="0"/>
    <n v="652163341081"/>
    <d v="2026-08-14T00:00:00"/>
    <n v="0"/>
  </r>
  <r>
    <s v="HCP Plastene Bulkpack Ltd (Unit - IV)"/>
    <s v="14-08-2026"/>
    <s v="HPBL4/26-27/SII01189"/>
    <s v="WIP00023"/>
    <x v="0"/>
    <m/>
    <s v="HPBL4/RAW/26-27/490"/>
    <n v="260"/>
    <n v="260"/>
    <s v="Kgs"/>
    <n v="260"/>
    <n v="0"/>
    <n v="260"/>
    <s v="gj12bt2409"/>
    <s v="Plastene India ltd - Unit 1-Purchase"/>
    <s v="Plastene India ltd - Unit 1-Purchase"/>
    <s v="PIL1/D/1374"/>
    <s v="14-08-2026"/>
    <s v="RAW MATERIAL"/>
    <s v="INDIGENOUS"/>
    <s v="RM 526"/>
    <n v="142.32"/>
    <n v="142.32020186324701"/>
    <s v="PIL1/D/1374"/>
    <s v="14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1692078.62"/>
    <s v="SF"/>
    <s v="PP/PE Fabric"/>
    <s v="PP UL Fabric"/>
    <s v="RM"/>
    <s v="erp"/>
    <n v="0"/>
    <n v="37003.25"/>
    <n v="1136"/>
    <s v="14-08-2026"/>
    <s v="24AAACO3087C1ZT"/>
    <s v="storepil6"/>
    <s v="storepil6"/>
    <n v="9"/>
    <n v="3330.29"/>
    <n v="9"/>
    <n v="3330.29"/>
    <n v="0"/>
    <n v="0"/>
    <n v="0"/>
    <n v="652163341081"/>
    <d v="2026-08-14T00:00:00"/>
    <n v="0"/>
  </r>
  <r>
    <s v="HCP Plastene Bulkpack Ltd (Unit - IV)"/>
    <s v="14-08-2026"/>
    <s v="HPBL4/26-27/SII01189"/>
    <s v="WIP00023"/>
    <x v="0"/>
    <m/>
    <s v="HPBL4/RAW/26-27/490"/>
    <n v="641"/>
    <n v="641"/>
    <s v="Kgs"/>
    <n v="641"/>
    <n v="0"/>
    <n v="641"/>
    <s v="gj12bt2409"/>
    <s v="Plastene India ltd - Unit 1-Purchase"/>
    <s v="Plastene India ltd - Unit 1-Purchase"/>
    <s v="PIL1/D/1374"/>
    <s v="14-08-2026"/>
    <s v="RAW MATERIAL"/>
    <s v="INDIGENOUS"/>
    <s v="RM 526"/>
    <n v="144.32"/>
    <n v="144.32020469999901"/>
    <s v="PIL1/D/1374"/>
    <s v="14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1692078.62"/>
    <s v="SF"/>
    <s v="PP/PE Fabric"/>
    <s v="PP UL Fabric"/>
    <s v="RM"/>
    <s v="erp"/>
    <n v="0"/>
    <n v="92509.25"/>
    <n v="1136"/>
    <s v="14-08-2026"/>
    <s v="24AAACO3087C1ZT"/>
    <s v="storepil6"/>
    <s v="storepil6"/>
    <n v="9"/>
    <n v="8325.82"/>
    <n v="9"/>
    <n v="8325.82"/>
    <n v="0"/>
    <n v="0"/>
    <n v="0"/>
    <n v="652163341081"/>
    <d v="2026-08-14T00:00:00"/>
    <n v="0"/>
  </r>
  <r>
    <s v="HCP Plastene Bulkpack Ltd (Unit - IV)"/>
    <s v="14-08-2026"/>
    <s v="HPBL4/26-27/SII01190"/>
    <s v="WIP00023"/>
    <x v="0"/>
    <m/>
    <s v="HPBL4/RAW/26-27/491"/>
    <n v="1521"/>
    <n v="1521"/>
    <s v="Kgs"/>
    <n v="1521"/>
    <n v="0"/>
    <n v="1521"/>
    <s v="GJ39TB3534"/>
    <s v="Plastene India ltd - Unit 1-Purchase"/>
    <s v="Plastene India ltd - Unit 1-Purchase"/>
    <s v="PIL1/D/1379"/>
    <s v="14-08-2026"/>
    <s v="RAW MATERIAL"/>
    <s v="INDIGENOUS"/>
    <s v="RM 527"/>
    <n v="142.32"/>
    <n v="142.32"/>
    <s v="PIL1/D/1379"/>
    <s v="14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266339.82"/>
    <s v="SF"/>
    <s v="PP/PE Fabric"/>
    <s v="PP UL Fabric"/>
    <s v="RM"/>
    <s v="erp"/>
    <n v="0"/>
    <n v="216468.72"/>
    <n v="1137"/>
    <s v="14-08-2026"/>
    <s v="24AAACO3087C1ZT"/>
    <s v="storepil6"/>
    <s v="storepil6"/>
    <n v="9"/>
    <n v="19482.18"/>
    <n v="9"/>
    <n v="19482.18"/>
    <n v="0"/>
    <n v="0"/>
    <n v="266339.82"/>
    <n v="662163454283"/>
    <d v="2026-08-14T00:00:00"/>
    <n v="0"/>
  </r>
  <r>
    <s v="HCP Plastene Bulkpack Ltd (Unit - IV)"/>
    <s v="14-08-2026"/>
    <s v="HPBL4/26-27/SII01190"/>
    <s v="wip00013"/>
    <x v="3"/>
    <m/>
    <s v="HPBL4/RAW/26-27/491"/>
    <n v="50"/>
    <n v="50"/>
    <s v="Kgs"/>
    <n v="50"/>
    <n v="0"/>
    <n v="50"/>
    <s v="GJ39TB3534"/>
    <s v="Plastene India ltd - Unit 1-Purchase"/>
    <s v="Plastene India ltd - Unit 1-Purchase"/>
    <s v="PIL1/D/1379"/>
    <s v="14-08-2026"/>
    <s v="RAW MATERIAL"/>
    <s v="INDIGENOUS"/>
    <s v="RM 527"/>
    <n v="184.86"/>
    <n v="184.86"/>
    <s v="PIL1/D/1379"/>
    <s v="14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266339.82"/>
    <s v="SF"/>
    <s v="Liners"/>
    <s v="LDPE/LLDPE Bags"/>
    <s v="RM"/>
    <s v="erp"/>
    <n v="0"/>
    <n v="9243"/>
    <n v="1137"/>
    <s v="14-08-2026"/>
    <s v="24AAACO3087C1ZT"/>
    <s v="storepil6"/>
    <s v="storepil6"/>
    <n v="9"/>
    <n v="831.87"/>
    <n v="9"/>
    <n v="831.87"/>
    <n v="0"/>
    <n v="0"/>
    <n v="0"/>
    <n v="662163454283"/>
    <d v="2026-08-14T00:00:00"/>
    <n v="0"/>
  </r>
  <r>
    <s v="HCP Plastene Bulkpack Ltd (Unit - IV)"/>
    <s v="15-08-2026"/>
    <s v="HPBL4/26-27/SII01191"/>
    <s v="wip00013"/>
    <x v="3"/>
    <m/>
    <s v="HPBL4/RAW/26-27/492"/>
    <n v="3769"/>
    <n v="3769"/>
    <s v="Kgs"/>
    <n v="3769"/>
    <n v="0"/>
    <n v="3769"/>
    <s v="GJ12BY0479"/>
    <s v="Plastene India ltd - Unit 1-Purchase"/>
    <s v="Plastene India ltd - Unit 1-Purchase"/>
    <s v="PIL1/D/1383"/>
    <s v="15-08-2026"/>
    <s v="RAW MATERIAL"/>
    <s v="INDIGENOUS"/>
    <s v="RM 528"/>
    <n v="176.86"/>
    <n v="176.85999932212599"/>
    <s v="PIL1/D/1383"/>
    <s v="15-08-2026"/>
    <m/>
    <s v="-"/>
    <m/>
    <s v="LAXMAN B BAKUTRA"/>
    <s v="262 DT 15/08/2026"/>
    <n v="0"/>
    <n v="0"/>
    <n v="0"/>
    <n v="0"/>
    <n v="0"/>
    <s v="VAT"/>
    <n v="0"/>
    <n v="0"/>
    <n v="0"/>
    <n v="0"/>
    <n v="0"/>
    <m/>
    <n v="0"/>
    <n v="0"/>
    <n v="1565422.93"/>
    <s v="SF"/>
    <s v="Liners"/>
    <s v="LDPE/LLDPE Bags"/>
    <s v="RM"/>
    <s v="erp"/>
    <n v="0"/>
    <n v="666585.34"/>
    <n v="1140"/>
    <s v="15-08-2026"/>
    <s v="24AAACO3087C1ZT"/>
    <s v="storepil6"/>
    <s v="storepil6"/>
    <n v="9"/>
    <n v="59992.68"/>
    <n v="9"/>
    <n v="59992.68"/>
    <n v="0"/>
    <n v="0"/>
    <n v="1565422.93"/>
    <n v="672163815649"/>
    <d v="2026-08-15T00:00:00"/>
    <n v="0"/>
  </r>
  <r>
    <s v="HCP Plastene Bulkpack Ltd (Unit - IV)"/>
    <s v="15-08-2026"/>
    <s v="HPBL4/26-27/SII01191"/>
    <s v="WIP00023"/>
    <x v="0"/>
    <m/>
    <s v="HPBL4/RAW/26-27/492"/>
    <n v="252"/>
    <n v="252"/>
    <s v="Kgs"/>
    <n v="252"/>
    <n v="0"/>
    <n v="252"/>
    <s v="GJ12BY0479"/>
    <s v="Plastene India ltd - Unit 1-Purchase"/>
    <s v="Plastene India ltd - Unit 1-Purchase"/>
    <s v="PIL1/D/1383"/>
    <s v="15-08-2026"/>
    <s v="RAW MATERIAL"/>
    <s v="INDIGENOUS"/>
    <s v="RM 528"/>
    <n v="144.32"/>
    <n v="144.319999446846"/>
    <s v="PIL1/D/1383"/>
    <s v="15-08-2026"/>
    <m/>
    <s v="-"/>
    <m/>
    <s v="LAXMAN B BAKUTRA"/>
    <s v="262 DT 15/08/2026"/>
    <n v="0"/>
    <n v="0"/>
    <n v="0"/>
    <n v="0"/>
    <n v="0"/>
    <s v="VAT"/>
    <n v="0"/>
    <n v="0"/>
    <n v="0"/>
    <n v="0"/>
    <n v="0"/>
    <m/>
    <n v="0"/>
    <n v="0"/>
    <n v="1565422.93"/>
    <s v="SF"/>
    <s v="PP/PE Fabric"/>
    <s v="PP UL Fabric"/>
    <s v="RM"/>
    <s v="erp"/>
    <n v="0"/>
    <n v="36368.639999999999"/>
    <n v="1140"/>
    <s v="15-08-2026"/>
    <s v="24AAACO3087C1ZT"/>
    <s v="storepil6"/>
    <s v="storepil6"/>
    <n v="9"/>
    <n v="3273.18"/>
    <n v="9"/>
    <n v="3273.18"/>
    <n v="0"/>
    <n v="0"/>
    <n v="0"/>
    <n v="672163815649"/>
    <d v="2026-08-15T00:00:00"/>
    <n v="0"/>
  </r>
  <r>
    <s v="HCP Plastene Bulkpack Ltd (Unit - IV)"/>
    <s v="15-08-2026"/>
    <s v="HPBL4/26-27/SII01191"/>
    <s v="WIP00023"/>
    <x v="0"/>
    <m/>
    <s v="HPBL4/RAW/26-27/492"/>
    <n v="570"/>
    <n v="570"/>
    <s v="Kgs"/>
    <n v="570"/>
    <n v="0"/>
    <n v="570"/>
    <s v="GJ12BY0479"/>
    <s v="Plastene India ltd - Unit 1-Purchase"/>
    <s v="Plastene India ltd - Unit 1-Purchase"/>
    <s v="PIL1/D/1383"/>
    <s v="15-08-2026"/>
    <s v="RAW MATERIAL"/>
    <s v="INDIGENOUS"/>
    <s v="RM 528"/>
    <n v="145.32"/>
    <n v="145.31999944301299"/>
    <s v="PIL1/D/1383"/>
    <s v="15-08-2026"/>
    <m/>
    <s v="-"/>
    <m/>
    <s v="LAXMAN B BAKUTRA"/>
    <s v="262 DT 15/08/2026"/>
    <n v="0"/>
    <n v="0"/>
    <n v="0"/>
    <n v="0"/>
    <n v="0"/>
    <s v="VAT"/>
    <n v="0"/>
    <n v="0"/>
    <n v="0"/>
    <n v="0"/>
    <n v="0"/>
    <m/>
    <n v="0"/>
    <n v="0"/>
    <n v="1565422.93"/>
    <s v="SF"/>
    <s v="PP/PE Fabric"/>
    <s v="PP UL Fabric"/>
    <s v="RM"/>
    <s v="erp"/>
    <n v="0"/>
    <n v="82832.399999999994"/>
    <n v="1140"/>
    <s v="15-08-2026"/>
    <s v="24AAACO3087C1ZT"/>
    <s v="storepil6"/>
    <s v="storepil6"/>
    <n v="9"/>
    <n v="7454.92"/>
    <n v="9"/>
    <n v="7454.92"/>
    <n v="0"/>
    <n v="0"/>
    <n v="0"/>
    <n v="672163815649"/>
    <d v="2026-08-15T00:00:00"/>
    <n v="0"/>
  </r>
  <r>
    <s v="HCP Plastene Bulkpack Ltd (Unit - IV)"/>
    <s v="15-08-2026"/>
    <s v="HPBL4/26-27/SII01191"/>
    <s v="WIP00023"/>
    <x v="0"/>
    <m/>
    <s v="HPBL4/RAW/26-27/492"/>
    <n v="1536"/>
    <n v="1536"/>
    <s v="Kgs"/>
    <n v="1536"/>
    <n v="0"/>
    <n v="1536"/>
    <s v="GJ12BY0479"/>
    <s v="Plastene India ltd - Unit 1-Purchase"/>
    <s v="Plastene India ltd - Unit 1-Purchase"/>
    <s v="PIL1/D/1383"/>
    <s v="15-08-2026"/>
    <s v="RAW MATERIAL"/>
    <s v="INDIGENOUS"/>
    <s v="RM 528"/>
    <n v="142.32"/>
    <n v="142.31999945451199"/>
    <s v="PIL1/D/1383"/>
    <s v="15-08-2026"/>
    <m/>
    <s v="-"/>
    <m/>
    <s v="LAXMAN B BAKUTRA"/>
    <s v="262 DT 15/08/2026"/>
    <n v="0"/>
    <n v="0"/>
    <n v="0"/>
    <n v="0"/>
    <n v="0"/>
    <s v="VAT"/>
    <n v="0"/>
    <n v="0"/>
    <n v="0"/>
    <n v="0"/>
    <n v="0"/>
    <m/>
    <n v="0"/>
    <n v="0"/>
    <n v="1565422.93"/>
    <s v="SF"/>
    <s v="PP/PE Fabric"/>
    <s v="PP UL Fabric"/>
    <s v="RM"/>
    <s v="erp"/>
    <n v="0"/>
    <n v="218603.51999999999"/>
    <n v="1140"/>
    <s v="15-08-2026"/>
    <s v="24AAACO3087C1ZT"/>
    <s v="storepil6"/>
    <s v="storepil6"/>
    <n v="9"/>
    <n v="19674.32"/>
    <n v="9"/>
    <n v="19674.32"/>
    <n v="0"/>
    <n v="0"/>
    <n v="0"/>
    <n v="672163815649"/>
    <d v="2026-08-15T00:00:00"/>
    <n v="0"/>
  </r>
  <r>
    <s v="HCP Plastene Bulkpack Ltd (Unit - IV)"/>
    <s v="15-08-2026"/>
    <s v="HPBL4/26-27/SII01191"/>
    <s v="WIP00032"/>
    <x v="2"/>
    <m/>
    <s v="HPBL4/RAW/26-27/492"/>
    <n v="1323.6"/>
    <n v="1323.6"/>
    <s v="Kgs"/>
    <n v="1323.6"/>
    <n v="0"/>
    <n v="1323.6"/>
    <s v="GJ12BY0479"/>
    <s v="Plastene India ltd - Unit 1-Purchase"/>
    <s v="Plastene India ltd - Unit 1-Purchase"/>
    <s v="PIL1/D/1383"/>
    <s v="15-08-2026"/>
    <s v="RAW MATERIAL"/>
    <s v="INDIGENOUS"/>
    <s v="RM 528"/>
    <n v="147.32"/>
    <n v="147.319999435347"/>
    <s v="PIL1/D/1383"/>
    <s v="15-08-2026"/>
    <m/>
    <s v="-"/>
    <m/>
    <s v="LAXMAN B BAKUTRA"/>
    <s v="262 DT 15/08/2026"/>
    <n v="0"/>
    <n v="0"/>
    <n v="0"/>
    <n v="0"/>
    <n v="0"/>
    <s v="VAT"/>
    <n v="0"/>
    <n v="0"/>
    <n v="0"/>
    <n v="0"/>
    <n v="0"/>
    <m/>
    <n v="0"/>
    <n v="0"/>
    <n v="1565422.93"/>
    <s v="SF"/>
    <s v="Webbing"/>
    <s v="PP Webbing"/>
    <s v="RM"/>
    <s v="erp"/>
    <n v="0"/>
    <n v="194992.75"/>
    <n v="1140"/>
    <s v="15-08-2026"/>
    <s v="24AAACO3087C1ZT"/>
    <s v="storepil6"/>
    <s v="storepil6"/>
    <n v="9"/>
    <n v="17549.349999999999"/>
    <n v="9"/>
    <n v="17549.349999999999"/>
    <n v="0"/>
    <n v="0"/>
    <n v="0"/>
    <n v="672163815649"/>
    <d v="2026-08-15T00:00:00"/>
    <n v="0"/>
  </r>
  <r>
    <s v="HCP Plastene Bulkpack Ltd (Unit - IV)"/>
    <s v="15-08-2026"/>
    <s v="HPBL4/26-27/SII01191"/>
    <s v="WIP00032"/>
    <x v="2"/>
    <m/>
    <s v="HPBL4/RAW/26-27/492"/>
    <n v="881.7"/>
    <n v="881.7"/>
    <s v="Kgs"/>
    <n v="881.7"/>
    <n v="0"/>
    <n v="881.7"/>
    <s v="GJ12BY0479"/>
    <s v="Plastene India ltd - Unit 1-Purchase"/>
    <s v="Plastene India ltd - Unit 1-Purchase"/>
    <s v="PIL1/D/1383"/>
    <s v="15-08-2026"/>
    <s v="RAW MATERIAL"/>
    <s v="INDIGENOUS"/>
    <s v="RM 528"/>
    <n v="144.32"/>
    <n v="144.319999446846"/>
    <s v="PIL1/D/1383"/>
    <s v="15-08-2026"/>
    <m/>
    <s v="-"/>
    <m/>
    <s v="LAXMAN B BAKUTRA"/>
    <s v="262 DT 15/08/2026"/>
    <n v="0"/>
    <n v="0"/>
    <n v="0"/>
    <n v="0"/>
    <n v="0"/>
    <s v="VAT"/>
    <n v="0"/>
    <n v="0"/>
    <n v="0"/>
    <n v="0"/>
    <n v="0"/>
    <m/>
    <n v="0"/>
    <n v="0"/>
    <n v="1565422.93"/>
    <s v="SF"/>
    <s v="Webbing"/>
    <s v="PP Webbing"/>
    <s v="RM"/>
    <s v="erp"/>
    <n v="0"/>
    <n v="127246.94"/>
    <n v="1140"/>
    <s v="15-08-2026"/>
    <s v="24AAACO3087C1ZT"/>
    <s v="storepil6"/>
    <s v="storepil6"/>
    <n v="9"/>
    <n v="11452.22"/>
    <n v="9"/>
    <n v="11452.22"/>
    <n v="0"/>
    <n v="0"/>
    <n v="0"/>
    <n v="672163815649"/>
    <d v="2026-08-15T00:00:00"/>
    <n v="0"/>
  </r>
  <r>
    <s v="HCP Plastene Bulkpack Ltd (Unit - IV)"/>
    <s v="15-08-2026"/>
    <s v="HPBL4/26-27/SII01193"/>
    <s v="WIP00023"/>
    <x v="0"/>
    <m/>
    <s v="HPBL4/RAW/26-27/493"/>
    <n v="1454"/>
    <n v="1454"/>
    <s v="Kgs"/>
    <n v="1454"/>
    <n v="0"/>
    <n v="1454"/>
    <s v="gj12bt2409"/>
    <s v="Plastene India ltd - Unit 1-Purchase"/>
    <s v="Plastene India ltd - Unit 1-Purchase"/>
    <s v="PIL1/D/1381"/>
    <s v="15-08-2026"/>
    <s v="RAW MATERIAL"/>
    <s v="INDIGENOUS"/>
    <s v="RM 529"/>
    <n v="144.32"/>
    <n v="144.32"/>
    <s v="PIL1/D/1381"/>
    <s v="15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1428053"/>
    <s v="SF"/>
    <s v="PP/PE Fabric"/>
    <s v="PP UL Fabric"/>
    <s v="RM"/>
    <s v="erp"/>
    <n v="0"/>
    <n v="209841.28"/>
    <n v="1138"/>
    <s v="15-08-2026"/>
    <s v="24AAACO3087C1ZT"/>
    <s v="storepil6"/>
    <s v="storepil6"/>
    <n v="9"/>
    <n v="18885.72"/>
    <n v="9"/>
    <n v="18885.72"/>
    <n v="0"/>
    <n v="0"/>
    <n v="1428053"/>
    <n v="662163795070"/>
    <d v="2026-08-15T00:00:00"/>
    <n v="0"/>
  </r>
  <r>
    <s v="HCP Plastene Bulkpack Ltd (Unit - IV)"/>
    <s v="15-08-2026"/>
    <s v="HPBL4/26-27/SII01193"/>
    <s v="WIP00023"/>
    <x v="0"/>
    <m/>
    <s v="HPBL4/RAW/26-27/493"/>
    <n v="6222"/>
    <n v="6222"/>
    <s v="Kgs"/>
    <n v="6222"/>
    <n v="0"/>
    <n v="6222"/>
    <s v="gj12bt2409"/>
    <s v="Plastene India ltd - Unit 1-Purchase"/>
    <s v="Plastene India ltd - Unit 1-Purchase"/>
    <s v="PIL1/D/1381"/>
    <s v="15-08-2026"/>
    <s v="RAW MATERIAL"/>
    <s v="INDIGENOUS"/>
    <s v="RM 529"/>
    <n v="142.32"/>
    <n v="142.32"/>
    <s v="PIL1/D/1381"/>
    <s v="15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1428053"/>
    <s v="SF"/>
    <s v="PP/PE Fabric"/>
    <s v="PP UL Fabric"/>
    <s v="RM"/>
    <s v="erp"/>
    <n v="0"/>
    <n v="885515.04"/>
    <n v="1138"/>
    <s v="15-08-2026"/>
    <s v="24AAACO3087C1ZT"/>
    <s v="storepil6"/>
    <s v="storepil6"/>
    <n v="9"/>
    <n v="79696.350000000006"/>
    <n v="9"/>
    <n v="79696.350000000006"/>
    <n v="0"/>
    <n v="0"/>
    <n v="0"/>
    <n v="662163795070"/>
    <d v="2026-08-15T00:00:00"/>
    <n v="0"/>
  </r>
  <r>
    <s v="HCP Plastene Bulkpack Ltd (Unit - IV)"/>
    <s v="15-08-2026"/>
    <s v="HPBL4/26-27/SII01193"/>
    <s v="WIP00023"/>
    <x v="0"/>
    <m/>
    <s v="HPBL4/RAW/26-27/493"/>
    <n v="268"/>
    <n v="268"/>
    <s v="Kgs"/>
    <n v="268"/>
    <n v="0"/>
    <n v="268"/>
    <s v="gj12bt2409"/>
    <s v="Plastene India ltd - Unit 1-Purchase"/>
    <s v="Plastene India ltd - Unit 1-Purchase"/>
    <s v="PIL1/D/1381"/>
    <s v="15-08-2026"/>
    <s v="RAW MATERIAL"/>
    <s v="INDIGENOUS"/>
    <s v="RM 529"/>
    <n v="145.32"/>
    <n v="145.32"/>
    <s v="PIL1/D/1381"/>
    <s v="15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1428053"/>
    <s v="SF"/>
    <s v="PP/PE Fabric"/>
    <s v="PP UL Fabric"/>
    <s v="RM"/>
    <s v="erp"/>
    <n v="0"/>
    <n v="38945.760000000002"/>
    <n v="1138"/>
    <s v="15-08-2026"/>
    <s v="24AAACO3087C1ZT"/>
    <s v="storepil6"/>
    <s v="storepil6"/>
    <n v="9"/>
    <n v="3505.12"/>
    <n v="9"/>
    <n v="3505.12"/>
    <n v="0"/>
    <n v="0"/>
    <n v="0"/>
    <n v="662163795070"/>
    <d v="2026-08-15T00:00:00"/>
    <n v="0"/>
  </r>
  <r>
    <s v="HCP Plastene Bulkpack Ltd (Unit - IV)"/>
    <s v="15-08-2026"/>
    <s v="HPBL4/26-27/SII01193"/>
    <s v="WIP00025"/>
    <x v="1"/>
    <m/>
    <s v="HPBL4/RAW/26-27/493"/>
    <n v="526"/>
    <n v="526"/>
    <s v="Kgs"/>
    <n v="526"/>
    <n v="0"/>
    <n v="526"/>
    <s v="gj12bt2409"/>
    <s v="Plastene India ltd - Unit 1-Purchase"/>
    <s v="Plastene India ltd - Unit 1-Purchase"/>
    <s v="PIL1/D/1381"/>
    <s v="15-08-2026"/>
    <s v="RAW MATERIAL"/>
    <s v="INDIGENOUS"/>
    <s v="RM 529"/>
    <n v="144.32"/>
    <n v="144.32"/>
    <s v="PIL1/D/1381"/>
    <s v="15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1428053"/>
    <s v="SF"/>
    <s v="PP/PE Fabric"/>
    <s v="PP Lam Fabric"/>
    <s v="RM"/>
    <s v="erp"/>
    <n v="0"/>
    <n v="75912.320000000007"/>
    <n v="1138"/>
    <s v="15-08-2026"/>
    <s v="24AAACO3087C1ZT"/>
    <s v="storepil6"/>
    <s v="storepil6"/>
    <n v="9"/>
    <n v="6832.11"/>
    <n v="9"/>
    <n v="6832.11"/>
    <n v="0"/>
    <n v="0"/>
    <n v="0"/>
    <n v="662163795070"/>
    <d v="2026-08-15T00:00:00"/>
    <n v="0"/>
  </r>
  <r>
    <s v="HCP Plastene Bulkpack Ltd (Unit - IV)"/>
    <s v="15-08-2026"/>
    <s v="HPBL4/26-27/SII01194"/>
    <s v="WIP00023"/>
    <x v="0"/>
    <m/>
    <s v="HPBL4/RAW/26-27/494"/>
    <n v="246"/>
    <n v="246"/>
    <s v="Kgs"/>
    <n v="246"/>
    <n v="0"/>
    <n v="246"/>
    <s v="GJ12BY0479"/>
    <s v="Plastene India ltd - Unit 1-Purchase"/>
    <s v="Plastene India ltd - Unit 1-Purchase"/>
    <s v="PIL1/D/1389"/>
    <s v="16-08-2026"/>
    <s v="RAW MATERIAL"/>
    <s v="INDIGENOUS"/>
    <s v="RM 530"/>
    <n v="144.32"/>
    <n v="144.32000040872001"/>
    <s v="PIL1/D/1389"/>
    <s v="16-08-2026"/>
    <m/>
    <s v="-"/>
    <m/>
    <s v="LAXMAN B BAKUTRA"/>
    <s v="264 DT16/08/2026"/>
    <n v="0"/>
    <n v="0"/>
    <n v="0"/>
    <n v="0"/>
    <n v="0"/>
    <s v="VAT"/>
    <n v="0"/>
    <n v="0"/>
    <n v="0"/>
    <n v="0"/>
    <n v="0"/>
    <m/>
    <n v="0"/>
    <n v="0"/>
    <n v="2118615.73"/>
    <s v="SF"/>
    <s v="PP/PE Fabric"/>
    <s v="PP UL Fabric"/>
    <s v="RM"/>
    <s v="erp"/>
    <n v="0"/>
    <n v="35502.720000000001"/>
    <n v="1143"/>
    <s v="16-08-2026"/>
    <s v="24AAACO3087C1ZT"/>
    <s v="storepil6"/>
    <s v="storepil6"/>
    <n v="9"/>
    <n v="3195.24"/>
    <n v="9"/>
    <n v="3195.24"/>
    <n v="0"/>
    <n v="0"/>
    <n v="2118615.73"/>
    <n v="662164111754"/>
    <d v="2026-08-16T00:00:00"/>
    <n v="0"/>
  </r>
  <r>
    <s v="HCP Plastene Bulkpack Ltd (Unit - IV)"/>
    <s v="15-08-2026"/>
    <s v="HPBL4/26-27/SII01194"/>
    <s v="WIP00023"/>
    <x v="0"/>
    <m/>
    <s v="HPBL4/RAW/26-27/494"/>
    <n v="2120"/>
    <n v="2120"/>
    <s v="Kgs"/>
    <n v="2120"/>
    <n v="0"/>
    <n v="2120"/>
    <s v="GJ12BY0479"/>
    <s v="Plastene India ltd - Unit 1-Purchase"/>
    <s v="Plastene India ltd - Unit 1-Purchase"/>
    <s v="PIL1/D/1389"/>
    <s v="16-08-2026"/>
    <s v="RAW MATERIAL"/>
    <s v="INDIGENOUS"/>
    <s v="RM 530"/>
    <n v="142.32"/>
    <n v="142.32000040305601"/>
    <s v="PIL1/D/1389"/>
    <s v="16-08-2026"/>
    <m/>
    <s v="-"/>
    <m/>
    <s v="LAXMAN B BAKUTRA"/>
    <s v="264 DT16/08/2026"/>
    <n v="0"/>
    <n v="0"/>
    <n v="0"/>
    <n v="0"/>
    <n v="0"/>
    <s v="VAT"/>
    <n v="0"/>
    <n v="0"/>
    <n v="0"/>
    <n v="0"/>
    <n v="0"/>
    <m/>
    <n v="0"/>
    <n v="0"/>
    <n v="2118615.73"/>
    <s v="SF"/>
    <s v="PP/PE Fabric"/>
    <s v="PP UL Fabric"/>
    <s v="RM"/>
    <s v="erp"/>
    <n v="0"/>
    <n v="301718.40000000002"/>
    <n v="1143"/>
    <s v="16-08-2026"/>
    <s v="24AAACO3087C1ZT"/>
    <s v="storepil6"/>
    <s v="storepil6"/>
    <n v="9"/>
    <n v="27154.66"/>
    <n v="9"/>
    <n v="27154.66"/>
    <n v="0"/>
    <n v="0"/>
    <n v="0"/>
    <n v="662164111754"/>
    <d v="2026-08-16T00:00:00"/>
    <n v="0"/>
  </r>
  <r>
    <s v="HCP Plastene Bulkpack Ltd (Unit - IV)"/>
    <s v="15-08-2026"/>
    <s v="HPBL4/26-27/SII01194"/>
    <s v="WIP00025"/>
    <x v="1"/>
    <m/>
    <s v="HPBL4/RAW/26-27/494"/>
    <n v="1847"/>
    <n v="1847"/>
    <s v="Kgs"/>
    <n v="1847"/>
    <n v="0"/>
    <n v="1847"/>
    <s v="GJ12BY0479"/>
    <s v="Plastene India ltd - Unit 1-Purchase"/>
    <s v="Plastene India ltd - Unit 1-Purchase"/>
    <s v="PIL1/D/1389"/>
    <s v="16-08-2026"/>
    <s v="RAW MATERIAL"/>
    <s v="INDIGENOUS"/>
    <s v="RM 530"/>
    <n v="149.32"/>
    <n v="149.32000042288001"/>
    <s v="PIL1/D/1389"/>
    <s v="16-08-2026"/>
    <m/>
    <s v="-"/>
    <m/>
    <s v="LAXMAN B BAKUTRA"/>
    <s v="264 DT16/08/2026"/>
    <n v="0"/>
    <n v="0"/>
    <n v="0"/>
    <n v="0"/>
    <n v="0"/>
    <s v="VAT"/>
    <n v="0"/>
    <n v="0"/>
    <n v="0"/>
    <n v="0"/>
    <n v="0"/>
    <m/>
    <n v="0"/>
    <n v="0"/>
    <n v="2118615.73"/>
    <s v="SF"/>
    <s v="PP/PE Fabric"/>
    <s v="PP Lam Fabric"/>
    <s v="RM"/>
    <s v="erp"/>
    <n v="0"/>
    <n v="275794.03999999998"/>
    <n v="1143"/>
    <s v="16-08-2026"/>
    <s v="24AAACO3087C1ZT"/>
    <s v="storepil6"/>
    <s v="storepil6"/>
    <n v="9"/>
    <n v="24821.46"/>
    <n v="9"/>
    <n v="24821.46"/>
    <n v="0"/>
    <n v="0"/>
    <n v="0"/>
    <n v="662164111754"/>
    <d v="2026-08-16T00:00:00"/>
    <n v="0"/>
  </r>
  <r>
    <s v="HCP Plastene Bulkpack Ltd (Unit - IV)"/>
    <s v="15-08-2026"/>
    <s v="HPBL4/26-27/SII01194"/>
    <s v="wip00013"/>
    <x v="3"/>
    <m/>
    <s v="HPBL4/RAW/26-27/494"/>
    <n v="4681"/>
    <n v="4681"/>
    <s v="Kgs"/>
    <n v="4681"/>
    <n v="0"/>
    <n v="4681"/>
    <s v="GJ12BY0479"/>
    <s v="Plastene India ltd - Unit 1-Purchase"/>
    <s v="Plastene India ltd - Unit 1-Purchase"/>
    <s v="PIL1/D/1389"/>
    <s v="16-08-2026"/>
    <s v="RAW MATERIAL"/>
    <s v="INDIGENOUS"/>
    <s v="RM 530"/>
    <n v="176.86"/>
    <n v="176.86000050087401"/>
    <s v="PIL1/D/1389"/>
    <s v="16-08-2026"/>
    <m/>
    <s v="-"/>
    <m/>
    <s v="LAXMAN B BAKUTRA"/>
    <s v="264 DT16/08/2026"/>
    <n v="0"/>
    <n v="0"/>
    <n v="0"/>
    <n v="0"/>
    <n v="0"/>
    <s v="VAT"/>
    <n v="0"/>
    <n v="0"/>
    <n v="0"/>
    <n v="0"/>
    <n v="0"/>
    <m/>
    <n v="0"/>
    <n v="0"/>
    <n v="2118615.73"/>
    <s v="SF"/>
    <s v="Liners"/>
    <s v="LDPE/LLDPE Bags"/>
    <s v="RM"/>
    <s v="erp"/>
    <n v="0"/>
    <n v="827881.66"/>
    <n v="1143"/>
    <s v="16-08-2026"/>
    <s v="24AAACO3087C1ZT"/>
    <s v="storepil6"/>
    <s v="storepil6"/>
    <n v="9"/>
    <n v="74509.350000000006"/>
    <n v="9"/>
    <n v="74509.350000000006"/>
    <n v="0"/>
    <n v="0"/>
    <n v="0"/>
    <n v="662164111754"/>
    <d v="2026-08-16T00:00:00"/>
    <n v="0"/>
  </r>
  <r>
    <s v="HCP Plastene Bulkpack Ltd (Unit - IV)"/>
    <s v="15-08-2026"/>
    <s v="HPBL4/26-27/SII01194"/>
    <s v="WIP00032"/>
    <x v="2"/>
    <m/>
    <s v="HPBL4/RAW/26-27/494"/>
    <n v="1559.9"/>
    <n v="1559.9"/>
    <s v="Kgs"/>
    <n v="1559.9"/>
    <n v="0"/>
    <n v="1559.9"/>
    <s v="GJ12BY0479"/>
    <s v="Plastene India ltd - Unit 1-Purchase"/>
    <s v="Plastene India ltd - Unit 1-Purchase"/>
    <s v="PIL1/D/1389"/>
    <s v="16-08-2026"/>
    <s v="RAW MATERIAL"/>
    <s v="INDIGENOUS"/>
    <s v="RM 530"/>
    <n v="147.32"/>
    <n v="147.32000041721599"/>
    <s v="PIL1/D/1389"/>
    <s v="16-08-2026"/>
    <m/>
    <s v="-"/>
    <m/>
    <s v="LAXMAN B BAKUTRA"/>
    <s v="264 DT16/08/2026"/>
    <n v="0"/>
    <n v="0"/>
    <n v="0"/>
    <n v="0"/>
    <n v="0"/>
    <s v="VAT"/>
    <n v="0"/>
    <n v="0"/>
    <n v="0"/>
    <n v="0"/>
    <n v="0"/>
    <m/>
    <n v="0"/>
    <n v="0"/>
    <n v="2118615.73"/>
    <s v="SF"/>
    <s v="Webbing"/>
    <s v="PP Webbing"/>
    <s v="RM"/>
    <s v="erp"/>
    <n v="0"/>
    <n v="229804.47"/>
    <n v="1143"/>
    <s v="16-08-2026"/>
    <s v="24AAACO3087C1ZT"/>
    <s v="storepil6"/>
    <s v="storepil6"/>
    <n v="9"/>
    <n v="20682.400000000001"/>
    <n v="9"/>
    <n v="20682.400000000001"/>
    <n v="0"/>
    <n v="0"/>
    <n v="0"/>
    <n v="662164111754"/>
    <d v="2026-08-16T00:00:00"/>
    <n v="0"/>
  </r>
  <r>
    <s v="HCP Plastene Bulkpack Ltd (Unit - IV)"/>
    <s v="15-08-2026"/>
    <s v="HPBL4/26-27/SII01194"/>
    <s v="WIP00032"/>
    <x v="2"/>
    <m/>
    <s v="HPBL4/RAW/26-27/494"/>
    <n v="864.3"/>
    <n v="864.3"/>
    <s v="Kgs"/>
    <n v="864.3"/>
    <n v="0"/>
    <n v="864.3"/>
    <s v="GJ12BY0479"/>
    <s v="Plastene India ltd - Unit 1-Purchase"/>
    <s v="Plastene India ltd - Unit 1-Purchase"/>
    <s v="PIL1/D/1389"/>
    <s v="16-08-2026"/>
    <s v="RAW MATERIAL"/>
    <s v="INDIGENOUS"/>
    <s v="RM 530"/>
    <n v="144.32"/>
    <n v="144.32000040872001"/>
    <s v="PIL1/D/1389"/>
    <s v="16-08-2026"/>
    <m/>
    <s v="-"/>
    <m/>
    <s v="LAXMAN B BAKUTRA"/>
    <s v="264 DT16/08/2026"/>
    <n v="0"/>
    <n v="0"/>
    <n v="0"/>
    <n v="0"/>
    <n v="0"/>
    <s v="VAT"/>
    <n v="0"/>
    <n v="0"/>
    <n v="0"/>
    <n v="0"/>
    <n v="0"/>
    <m/>
    <n v="0"/>
    <n v="0"/>
    <n v="2118615.73"/>
    <s v="SF"/>
    <s v="Webbing"/>
    <s v="PP Webbing"/>
    <s v="RM"/>
    <s v="erp"/>
    <n v="0"/>
    <n v="124735.78"/>
    <n v="1143"/>
    <s v="16-08-2026"/>
    <s v="24AAACO3087C1ZT"/>
    <s v="storepil6"/>
    <s v="storepil6"/>
    <n v="9"/>
    <n v="11226.22"/>
    <n v="9"/>
    <n v="11226.22"/>
    <n v="0"/>
    <n v="0"/>
    <n v="0"/>
    <n v="662164111754"/>
    <d v="2026-08-16T00:00:00"/>
    <n v="0"/>
  </r>
  <r>
    <s v="HCP Plastene Bulkpack Ltd (Unit - IV)"/>
    <s v="16-08-2026"/>
    <s v="HPBL4/26-27/SII01195"/>
    <s v="WIP00025"/>
    <x v="1"/>
    <m/>
    <s v="HPBL4/RAW/26-27/495"/>
    <n v="275"/>
    <n v="275"/>
    <s v="Kgs"/>
    <n v="275"/>
    <n v="0"/>
    <n v="275"/>
    <s v="gj12bt2409"/>
    <s v="Plastene India ltd - Unit 1-Purchase"/>
    <s v="Plastene India ltd - Unit 1-Purchase"/>
    <s v="PIL1/D/1387"/>
    <s v="16-08-2026"/>
    <s v="RAW MATERIAL"/>
    <s v="INDIGENOUS"/>
    <s v="RM 531"/>
    <n v="149.32"/>
    <n v="149.32"/>
    <s v="PIL1/D/1387"/>
    <s v="16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1330255.2"/>
    <s v="SF"/>
    <s v="PP/PE Fabric"/>
    <s v="PP Lam Fabric"/>
    <s v="RM"/>
    <s v="erp"/>
    <n v="0"/>
    <n v="41063"/>
    <n v="1141"/>
    <s v="16-08-2026"/>
    <s v="24AAACO3087C1ZT"/>
    <s v="storepil6"/>
    <s v="storepil6"/>
    <n v="9"/>
    <n v="3695.67"/>
    <n v="9"/>
    <n v="3695.67"/>
    <n v="0"/>
    <n v="0"/>
    <n v="1330255.2"/>
    <n v="612164083726"/>
    <d v="2026-08-16T00:00:00"/>
    <n v="0"/>
  </r>
  <r>
    <s v="HCP Plastene Bulkpack Ltd (Unit - IV)"/>
    <s v="16-08-2026"/>
    <s v="HPBL4/26-27/SII01195"/>
    <s v="WIP00023"/>
    <x v="0"/>
    <m/>
    <s v="HPBL4/RAW/26-27/495"/>
    <n v="1599"/>
    <n v="1599"/>
    <s v="Kgs"/>
    <n v="1599"/>
    <n v="0"/>
    <n v="1599"/>
    <s v="gj12bt2409"/>
    <s v="Plastene India ltd - Unit 1-Purchase"/>
    <s v="Plastene India ltd - Unit 1-Purchase"/>
    <s v="PIL1/D/1387"/>
    <s v="16-08-2026"/>
    <s v="RAW MATERIAL"/>
    <s v="INDIGENOUS"/>
    <s v="RM 531"/>
    <n v="144.32"/>
    <n v="144.32"/>
    <s v="PIL1/D/1387"/>
    <s v="16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1330255.2"/>
    <s v="SF"/>
    <s v="PP/PE Fabric"/>
    <s v="PP UL Fabric"/>
    <s v="RM"/>
    <s v="erp"/>
    <n v="0"/>
    <n v="230767.68"/>
    <n v="1141"/>
    <s v="16-08-2026"/>
    <s v="24AAACO3087C1ZT"/>
    <s v="storepil6"/>
    <s v="storepil6"/>
    <n v="9"/>
    <n v="20769.09"/>
    <n v="9"/>
    <n v="20769.09"/>
    <n v="0"/>
    <n v="0"/>
    <n v="0"/>
    <n v="612164083726"/>
    <d v="2026-08-16T00:00:00"/>
    <n v="0"/>
  </r>
  <r>
    <s v="HCP Plastene Bulkpack Ltd (Unit - IV)"/>
    <s v="16-08-2026"/>
    <s v="HPBL4/26-27/SII01195"/>
    <s v="WIP00023"/>
    <x v="0"/>
    <m/>
    <s v="HPBL4/RAW/26-27/495"/>
    <n v="196"/>
    <n v="196"/>
    <s v="Kgs"/>
    <n v="196"/>
    <n v="0"/>
    <n v="196"/>
    <s v="gj12bt2409"/>
    <s v="Plastene India ltd - Unit 1-Purchase"/>
    <s v="Plastene India ltd - Unit 1-Purchase"/>
    <s v="PIL1/D/1387"/>
    <s v="16-08-2026"/>
    <s v="RAW MATERIAL"/>
    <s v="INDIGENOUS"/>
    <s v="RM 531"/>
    <n v="145.32"/>
    <n v="145.32"/>
    <s v="PIL1/D/1387"/>
    <s v="16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1330255.2"/>
    <s v="SF"/>
    <s v="PP/PE Fabric"/>
    <s v="PP UL Fabric"/>
    <s v="RM"/>
    <s v="erp"/>
    <n v="0"/>
    <n v="28482.720000000001"/>
    <n v="1141"/>
    <s v="16-08-2026"/>
    <s v="24AAACO3087C1ZT"/>
    <s v="storepil6"/>
    <s v="storepil6"/>
    <n v="9"/>
    <n v="2563.44"/>
    <n v="9"/>
    <n v="2563.44"/>
    <n v="0"/>
    <n v="0"/>
    <n v="0"/>
    <n v="612164083726"/>
    <d v="2026-08-16T00:00:00"/>
    <n v="0"/>
  </r>
  <r>
    <s v="HCP Plastene Bulkpack Ltd (Unit - IV)"/>
    <s v="16-08-2026"/>
    <s v="HPBL4/26-27/SII01195"/>
    <s v="WIP00023"/>
    <x v="0"/>
    <m/>
    <s v="HPBL4/RAW/26-27/495"/>
    <n v="5811"/>
    <n v="5811"/>
    <s v="Kgs"/>
    <n v="5811"/>
    <n v="0"/>
    <n v="5811"/>
    <s v="gj12bt2409"/>
    <s v="Plastene India ltd - Unit 1-Purchase"/>
    <s v="Plastene India ltd - Unit 1-Purchase"/>
    <s v="PIL1/D/1387"/>
    <s v="16-08-2026"/>
    <s v="RAW MATERIAL"/>
    <s v="INDIGENOUS"/>
    <s v="RM 531"/>
    <n v="142.32"/>
    <n v="142.32"/>
    <s v="PIL1/D/1387"/>
    <s v="16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1330255.2"/>
    <s v="SF"/>
    <s v="PP/PE Fabric"/>
    <s v="PP UL Fabric"/>
    <s v="RM"/>
    <s v="erp"/>
    <n v="0"/>
    <n v="827021.52"/>
    <n v="1141"/>
    <s v="16-08-2026"/>
    <s v="24AAACO3087C1ZT"/>
    <s v="storepil6"/>
    <s v="storepil6"/>
    <n v="9"/>
    <n v="74431.94"/>
    <n v="9"/>
    <n v="74431.94"/>
    <n v="0"/>
    <n v="0"/>
    <n v="0"/>
    <n v="612164083726"/>
    <d v="2026-08-16T00:00:00"/>
    <n v="0"/>
  </r>
  <r>
    <s v="HCP Plastene Bulkpack Ltd (Unit - IV)"/>
    <s v="16-08-2026"/>
    <s v="HPBL4/26-27/SII01197"/>
    <s v="RAW05764"/>
    <x v="16"/>
    <s v="HPBL4/26-27/RWM00006/01"/>
    <s v="HPBL4/RAW/26-27/428"/>
    <n v="5100"/>
    <n v="5100"/>
    <s v="Kgs"/>
    <n v="5100"/>
    <n v="0"/>
    <n v="5100"/>
    <s v="GJ12YY9712"/>
    <s v="Vyankatesh Udyog (I) Pvt Ltd - Purchase"/>
    <s v="Vyankatesh Udyog (I) Pvt Ltd - Purchase"/>
    <s v="1436/26-27"/>
    <d v="2026-09-08T00:00:00"/>
    <s v="RAW MATERIAL"/>
    <s v="INDIGENOUS"/>
    <s v="RM 532"/>
    <n v="118"/>
    <n v="118"/>
    <s v="1436/26-27"/>
    <d v="2026-09-08T00:00:00"/>
    <m/>
    <s v="-"/>
    <m/>
    <s v="V-TRANS"/>
    <n v="4102516694"/>
    <n v="0"/>
    <n v="0"/>
    <n v="0"/>
    <n v="0"/>
    <n v="0"/>
    <s v="VAT"/>
    <n v="0"/>
    <n v="0"/>
    <n v="0"/>
    <n v="0"/>
    <n v="0"/>
    <m/>
    <n v="0"/>
    <n v="0"/>
    <n v="710124"/>
    <s v="RM Consumables"/>
    <s v="Ink"/>
    <s v="Thinner"/>
    <s v="RM"/>
    <s v="erp"/>
    <n v="0"/>
    <n v="601800"/>
    <n v="1121"/>
    <s v="13-08-2026"/>
    <s v="27AAECV8365Q1ZC"/>
    <s v="storepil6"/>
    <s v="storegrp"/>
    <n v="0"/>
    <n v="0"/>
    <n v="0"/>
    <n v="0"/>
    <n v="18"/>
    <n v="108324"/>
    <n v="710124"/>
    <n v="252261769853"/>
    <d v="2026-08-09T00:00:00"/>
    <n v="0"/>
  </r>
  <r>
    <s v="HCP Plastene Bulkpack Ltd (Unit - IV)"/>
    <s v="17-08-2026"/>
    <s v="HPBL4/26-27/SII01198"/>
    <s v="WIP00023"/>
    <x v="0"/>
    <m/>
    <s v="HPBL4/RAW/26-27/496"/>
    <n v="1682"/>
    <n v="1682"/>
    <s v="Kgs"/>
    <n v="1682"/>
    <n v="0"/>
    <n v="1682"/>
    <s v="gj12bt2409"/>
    <s v="Plastene India ltd - Unit 1-Purchase"/>
    <s v="Plastene India ltd - Unit 1-Purchase"/>
    <s v="PIL1/D/1398"/>
    <s v="17-08-2026"/>
    <s v="RAW MATERIAL"/>
    <s v="INDIGENOUS"/>
    <s v="RM 533"/>
    <n v="144.32"/>
    <n v="144.32"/>
    <s v="PIL1/D/1398"/>
    <s v="17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1308844.6599999999"/>
    <s v="SF"/>
    <s v="PP/PE Fabric"/>
    <s v="PP UL Fabric"/>
    <s v="RM"/>
    <s v="erp"/>
    <n v="0"/>
    <n v="242746.23999999999"/>
    <n v="1144"/>
    <s v="17-08-2026"/>
    <s v="24AAACO3087C1ZT"/>
    <s v="storepil6"/>
    <s v="storepil6"/>
    <n v="9"/>
    <n v="21847.16"/>
    <n v="9"/>
    <n v="21847.16"/>
    <n v="0"/>
    <n v="0"/>
    <n v="1308844.6599999999"/>
    <n v="632164415954"/>
    <d v="2026-08-17T00:00:00"/>
    <n v="0"/>
  </r>
  <r>
    <s v="HCP Plastene Bulkpack Ltd (Unit - IV)"/>
    <s v="17-08-2026"/>
    <s v="HPBL4/26-27/SII01198"/>
    <s v="WIP00023"/>
    <x v="0"/>
    <m/>
    <s v="HPBL4/RAW/26-27/496"/>
    <n v="6088"/>
    <n v="6088"/>
    <s v="Kgs"/>
    <n v="6088"/>
    <n v="0"/>
    <n v="6088"/>
    <s v="gj12bt2409"/>
    <s v="Plastene India ltd - Unit 1-Purchase"/>
    <s v="Plastene India ltd - Unit 1-Purchase"/>
    <s v="PIL1/D/1398"/>
    <s v="17-08-2026"/>
    <s v="RAW MATERIAL"/>
    <s v="INDIGENOUS"/>
    <s v="RM 533"/>
    <n v="142.32"/>
    <n v="142.32"/>
    <s v="PIL1/D/1398"/>
    <s v="17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1308844.6599999999"/>
    <s v="SF"/>
    <s v="PP/PE Fabric"/>
    <s v="PP UL Fabric"/>
    <s v="RM"/>
    <s v="erp"/>
    <n v="0"/>
    <n v="866444.16"/>
    <n v="1144"/>
    <s v="17-08-2026"/>
    <s v="24AAACO3087C1ZT"/>
    <s v="storepil6"/>
    <s v="storepil6"/>
    <n v="9"/>
    <n v="77979.97"/>
    <n v="9"/>
    <n v="77979.97"/>
    <n v="0"/>
    <n v="0"/>
    <n v="0"/>
    <n v="632164415954"/>
    <d v="2026-08-17T00:00:00"/>
    <n v="0"/>
  </r>
  <r>
    <s v="HCP Plastene Bulkpack Ltd (Unit - IV)"/>
    <s v="17-08-2026"/>
    <s v="HPBL4/26-27/SII01199"/>
    <s v="WIP00025"/>
    <x v="1"/>
    <m/>
    <s v="HPBL4/RAW/26-27/497"/>
    <n v="457"/>
    <n v="457"/>
    <s v="Kgs"/>
    <n v="457"/>
    <n v="0"/>
    <n v="457"/>
    <s v="GJ39TB3534"/>
    <s v="Plastene Polyfilms Ltd-Purchase"/>
    <s v="Plastene Polyfilms Ltd-Purchase"/>
    <s v="PPL/D/496"/>
    <s v="16-08-2026"/>
    <s v="RAW MATERIAL"/>
    <s v="INDIGENOUS"/>
    <s v="RM 534"/>
    <n v="138.58000000000001"/>
    <n v="138.58000000000001"/>
    <s v="PPL/D/496"/>
    <s v="16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271818.28000000003"/>
    <s v="SF"/>
    <s v="PP/PE Fabric"/>
    <s v="PP Lam Fabric"/>
    <s v="RM"/>
    <s v="erp"/>
    <n v="0"/>
    <n v="63331.06"/>
    <n v="1152"/>
    <s v="17-08-2026"/>
    <s v="24AAFCP2956A1ZR"/>
    <s v="storepil6"/>
    <s v="storepil6"/>
    <n v="9"/>
    <n v="5699.8"/>
    <n v="9"/>
    <n v="5699.8"/>
    <n v="0"/>
    <n v="0"/>
    <n v="271818.28000000003"/>
    <n v="682164190692"/>
    <d v="2026-08-16T00:00:00"/>
    <n v="0"/>
  </r>
  <r>
    <s v="HCP Plastene Bulkpack Ltd (Unit - IV)"/>
    <s v="17-08-2026"/>
    <s v="HPBL4/26-27/SII01199"/>
    <s v="WIP00025"/>
    <x v="1"/>
    <m/>
    <s v="HPBL4/RAW/26-27/497"/>
    <n v="680"/>
    <n v="680"/>
    <s v="Kgs"/>
    <n v="680"/>
    <n v="0"/>
    <n v="680"/>
    <s v="GJ39TB3534"/>
    <s v="Plastene Polyfilms Ltd-Purchase"/>
    <s v="Plastene Polyfilms Ltd-Purchase"/>
    <s v="PPL/D/496"/>
    <s v="16-08-2026"/>
    <s v="RAW MATERIAL"/>
    <s v="INDIGENOUS"/>
    <s v="RM 534"/>
    <n v="137.58000000000001"/>
    <n v="137.58000000000001"/>
    <s v="PPL/D/496"/>
    <s v="16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271818.28000000003"/>
    <s v="SF"/>
    <s v="PP/PE Fabric"/>
    <s v="PP Lam Fabric"/>
    <s v="RM"/>
    <s v="erp"/>
    <n v="0"/>
    <n v="93554.4"/>
    <n v="1152"/>
    <s v="17-08-2026"/>
    <s v="24AAFCP2956A1ZR"/>
    <s v="storepil6"/>
    <s v="storepil6"/>
    <n v="9"/>
    <n v="8419.9"/>
    <n v="9"/>
    <n v="8419.9"/>
    <n v="0"/>
    <n v="0"/>
    <n v="0"/>
    <n v="682164190692"/>
    <d v="2026-08-16T00:00:00"/>
    <n v="0"/>
  </r>
  <r>
    <s v="HCP Plastene Bulkpack Ltd (Unit - IV)"/>
    <s v="17-08-2026"/>
    <s v="HPBL4/26-27/SII01199"/>
    <s v="FIG00001"/>
    <x v="6"/>
    <m/>
    <s v="HPBL4/RAW/26-27/497"/>
    <n v="550"/>
    <n v="550"/>
    <s v="Kgs"/>
    <n v="550"/>
    <n v="0"/>
    <n v="550"/>
    <s v="GJ39TB3534"/>
    <s v="Plastene Polyfilms Ltd-Purchase"/>
    <s v="Plastene Polyfilms Ltd-Purchase"/>
    <s v="PPL/D/496"/>
    <s v="16-08-2026"/>
    <s v="RAW MATERIAL"/>
    <s v="INDIGENOUS"/>
    <s v="RM 534"/>
    <n v="133.58000000000001"/>
    <n v="133.58000000000001"/>
    <s v="PPL/D/496"/>
    <s v="16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271818.28000000003"/>
    <s v="FG"/>
    <s v="FIBC WIP"/>
    <s v="FIBC WIP"/>
    <s v="RM"/>
    <s v="erp"/>
    <n v="0"/>
    <n v="73469"/>
    <n v="1152"/>
    <s v="17-08-2026"/>
    <s v="24AAFCP2956A1ZR"/>
    <s v="storepil6"/>
    <s v="storepil6"/>
    <n v="9"/>
    <n v="6612.21"/>
    <n v="9"/>
    <n v="6612.21"/>
    <n v="0"/>
    <n v="0"/>
    <n v="0"/>
    <n v="682164190692"/>
    <d v="2026-08-16T00:00:00"/>
    <n v="0"/>
  </r>
  <r>
    <s v="HCP Plastene Bulkpack Ltd (Unit - IV)"/>
    <s v="17-08-2026"/>
    <s v="HPBL4/26-27/SII01201"/>
    <s v="WIP00023"/>
    <x v="0"/>
    <m/>
    <s v="HPBL4/RAW/26-27/498"/>
    <n v="393"/>
    <n v="393"/>
    <s v="Kgs"/>
    <n v="393"/>
    <n v="0"/>
    <n v="393"/>
    <s v="gj12bt2409"/>
    <s v="Plastene India ltd - Unit 1-Purchase"/>
    <s v="Plastene India ltd - Unit 1-Purchase"/>
    <s v="PIL1/D/1399"/>
    <s v="17-08-2026"/>
    <s v="RAW MATERIAL"/>
    <s v="INDIGENOUS"/>
    <s v="RM 535"/>
    <n v="144.32"/>
    <n v="144.32"/>
    <s v="PIL1/D/1399"/>
    <s v="17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699189.38"/>
    <s v="SF"/>
    <s v="PP/PE Fabric"/>
    <s v="PP UL Fabric"/>
    <s v="RM"/>
    <s v="erp"/>
    <n v="0"/>
    <n v="56717.760000000002"/>
    <n v="1145"/>
    <s v="17-08-2026"/>
    <s v="24AAACO3087C1ZT"/>
    <s v="storepil6"/>
    <s v="storepil6"/>
    <n v="9"/>
    <n v="5104.6000000000004"/>
    <n v="9"/>
    <n v="5104.6000000000004"/>
    <n v="0"/>
    <n v="0"/>
    <n v="699189.38"/>
    <n v="602164433069"/>
    <d v="2026-08-17T00:00:00"/>
    <n v="0"/>
  </r>
  <r>
    <s v="HCP Plastene Bulkpack Ltd (Unit - IV)"/>
    <s v="17-08-2026"/>
    <s v="HPBL4/26-27/SII01201"/>
    <s v="WIP00023"/>
    <x v="0"/>
    <m/>
    <s v="HPBL4/RAW/26-27/498"/>
    <n v="468"/>
    <n v="468"/>
    <s v="Kgs"/>
    <n v="468"/>
    <n v="0"/>
    <n v="468"/>
    <s v="gj12bt2409"/>
    <s v="Plastene India ltd - Unit 1-Purchase"/>
    <s v="Plastene India ltd - Unit 1-Purchase"/>
    <s v="PIL1/D/1399"/>
    <s v="17-08-2026"/>
    <s v="RAW MATERIAL"/>
    <s v="INDIGENOUS"/>
    <s v="RM 535"/>
    <n v="145.32"/>
    <n v="145.32"/>
    <s v="PIL1/D/1399"/>
    <s v="17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699189.38"/>
    <s v="SF"/>
    <s v="PP/PE Fabric"/>
    <s v="PP UL Fabric"/>
    <s v="RM"/>
    <s v="erp"/>
    <n v="0"/>
    <n v="68009.759999999995"/>
    <n v="1145"/>
    <s v="17-08-2026"/>
    <s v="24AAACO3087C1ZT"/>
    <s v="storepil6"/>
    <s v="storepil6"/>
    <n v="9"/>
    <n v="6120.88"/>
    <n v="9"/>
    <n v="6120.88"/>
    <n v="0"/>
    <n v="0"/>
    <n v="0"/>
    <n v="602164433069"/>
    <d v="2026-08-17T00:00:00"/>
    <n v="0"/>
  </r>
  <r>
    <s v="HCP Plastene Bulkpack Ltd (Unit - IV)"/>
    <s v="17-08-2026"/>
    <s v="HPBL4/26-27/SII01201"/>
    <s v="WIP00023"/>
    <x v="0"/>
    <m/>
    <s v="HPBL4/RAW/26-27/498"/>
    <n v="3287"/>
    <n v="3287"/>
    <s v="Kgs"/>
    <n v="3287"/>
    <n v="0"/>
    <n v="3287"/>
    <s v="gj12bt2409"/>
    <s v="Plastene India ltd - Unit 1-Purchase"/>
    <s v="Plastene India ltd - Unit 1-Purchase"/>
    <s v="PIL1/D/1399"/>
    <s v="17-08-2026"/>
    <s v="RAW MATERIAL"/>
    <s v="INDIGENOUS"/>
    <s v="RM 535"/>
    <n v="142.32"/>
    <n v="142.32"/>
    <s v="PIL1/D/1399"/>
    <s v="17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699189.38"/>
    <s v="SF"/>
    <s v="PP/PE Fabric"/>
    <s v="PP UL Fabric"/>
    <s v="RM"/>
    <s v="erp"/>
    <n v="0"/>
    <n v="467805.84"/>
    <n v="1145"/>
    <s v="17-08-2026"/>
    <s v="24AAACO3087C1ZT"/>
    <s v="storepil6"/>
    <s v="storepil6"/>
    <n v="9"/>
    <n v="42102.53"/>
    <n v="9"/>
    <n v="42102.53"/>
    <n v="0"/>
    <n v="0"/>
    <n v="0"/>
    <n v="602164433069"/>
    <d v="2026-08-17T00:00:00"/>
    <n v="0"/>
  </r>
  <r>
    <s v="HCP Plastene Bulkpack Ltd (Unit - IV)"/>
    <s v="17-08-2026"/>
    <s v="HPBL4/26-27/SII01202"/>
    <s v="wip00013"/>
    <x v="3"/>
    <m/>
    <s v="HPBL4/RAW/26-27/499"/>
    <n v="3841"/>
    <n v="3841"/>
    <s v="Kgs"/>
    <n v="3841"/>
    <n v="0"/>
    <n v="3841"/>
    <s v="gj12bt2409"/>
    <s v="Plastene India ltd - Unit 1-Purchase"/>
    <s v="Plastene India ltd - Unit 1-Purchase"/>
    <s v="PIL1/D/1401"/>
    <s v="17-08-2026"/>
    <s v="RAW MATERIAL"/>
    <s v="INDIGENOUS"/>
    <s v="RM 536"/>
    <n v="176.86"/>
    <n v="176.86000083821801"/>
    <s v="PIL1/D/1401"/>
    <s v="17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1265970.81"/>
    <s v="SF"/>
    <s v="Liners"/>
    <s v="LDPE/LLDPE Bags"/>
    <s v="RM"/>
    <s v="erp"/>
    <n v="0"/>
    <n v="679319.26"/>
    <n v="1154"/>
    <s v="17-08-2026"/>
    <s v="24AAACO3087C1ZT"/>
    <s v="storepil6"/>
    <s v="storepil6"/>
    <n v="9"/>
    <n v="61138.73"/>
    <n v="9"/>
    <n v="61138.73"/>
    <n v="0"/>
    <n v="0"/>
    <n v="1265970.81"/>
    <n v="602164608641"/>
    <d v="2026-08-17T00:00:00"/>
    <n v="0"/>
  </r>
  <r>
    <s v="HCP Plastene Bulkpack Ltd (Unit - IV)"/>
    <s v="17-08-2026"/>
    <s v="HPBL4/26-27/SII01202"/>
    <s v="WIP00032"/>
    <x v="2"/>
    <m/>
    <s v="HPBL4/RAW/26-27/499"/>
    <n v="1690.4"/>
    <n v="1690.4"/>
    <s v="Kgs"/>
    <n v="1690.4"/>
    <n v="0"/>
    <n v="1690.4"/>
    <s v="gj12bt2409"/>
    <s v="Plastene India ltd - Unit 1-Purchase"/>
    <s v="Plastene India ltd - Unit 1-Purchase"/>
    <s v="PIL1/D/1401"/>
    <s v="17-08-2026"/>
    <s v="RAW MATERIAL"/>
    <s v="INDIGENOUS"/>
    <s v="RM 536"/>
    <n v="147.32"/>
    <n v="147.32000069821501"/>
    <s v="PIL1/D/1401"/>
    <s v="17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1265970.81"/>
    <s v="SF"/>
    <s v="Webbing"/>
    <s v="PP Webbing"/>
    <s v="RM"/>
    <s v="erp"/>
    <n v="0"/>
    <n v="249029.73"/>
    <n v="1154"/>
    <s v="17-08-2026"/>
    <s v="24AAACO3087C1ZT"/>
    <s v="storepil6"/>
    <s v="storepil6"/>
    <n v="9"/>
    <n v="22412.68"/>
    <n v="9"/>
    <n v="22412.68"/>
    <n v="0"/>
    <n v="0"/>
    <n v="0"/>
    <n v="602164608641"/>
    <d v="2026-08-17T00:00:00"/>
    <n v="0"/>
  </r>
  <r>
    <s v="HCP Plastene Bulkpack Ltd (Unit - IV)"/>
    <s v="17-08-2026"/>
    <s v="HPBL4/26-27/SII01202"/>
    <s v="WIP00032"/>
    <x v="2"/>
    <m/>
    <s v="HPBL4/RAW/26-27/499"/>
    <n v="1001.3"/>
    <n v="1001.3"/>
    <s v="Kgs"/>
    <n v="1001.3"/>
    <n v="0"/>
    <n v="1001.3"/>
    <s v="gj12bt2409"/>
    <s v="Plastene India ltd - Unit 1-Purchase"/>
    <s v="Plastene India ltd - Unit 1-Purchase"/>
    <s v="PIL1/D/1401"/>
    <s v="17-08-2026"/>
    <s v="RAW MATERIAL"/>
    <s v="INDIGENOUS"/>
    <s v="RM 536"/>
    <n v="144.32"/>
    <n v="144.32000068399699"/>
    <s v="PIL1/D/1401"/>
    <s v="17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1265970.81"/>
    <s v="SF"/>
    <s v="Webbing"/>
    <s v="PP Webbing"/>
    <s v="RM"/>
    <s v="erp"/>
    <n v="0"/>
    <n v="144507.62"/>
    <n v="1154"/>
    <s v="17-08-2026"/>
    <s v="24AAACO3087C1ZT"/>
    <s v="storepil6"/>
    <s v="storepil6"/>
    <n v="9"/>
    <n v="13005.69"/>
    <n v="9"/>
    <n v="13005.69"/>
    <n v="0"/>
    <n v="0"/>
    <n v="0"/>
    <n v="602164608641"/>
    <d v="2026-08-17T00:00:00"/>
    <n v="0"/>
  </r>
  <r>
    <s v="HCP Plastene Bulkpack Ltd (Unit - IV)"/>
    <s v="18-08-2026"/>
    <s v="HPBL4/26-27/SII01205"/>
    <s v="WIP00023"/>
    <x v="0"/>
    <m/>
    <s v="HPBL4/RAW/26-27/501"/>
    <n v="1931"/>
    <n v="1931"/>
    <s v="Kgs"/>
    <n v="1931"/>
    <n v="0"/>
    <n v="1931"/>
    <s v="GJ12BY0479/GJ12BT2409"/>
    <s v="Plastene India ltd - Unit 1-Purchase"/>
    <s v="Plastene India ltd - Unit 1-Purchase"/>
    <s v="PIL1/D/1408"/>
    <s v="18-08-2026"/>
    <s v="RAW MATERIAL"/>
    <s v="INDIGENOUS"/>
    <s v="RM 537"/>
    <n v="144.32"/>
    <n v="144.32"/>
    <s v="PIL1/D/1408"/>
    <s v="18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3049323.44"/>
    <s v="SF"/>
    <s v="PP/PE Fabric"/>
    <s v="PP UL Fabric"/>
    <s v="RM"/>
    <s v="erp"/>
    <n v="0"/>
    <n v="278681.92"/>
    <n v="1156"/>
    <s v="18-08-2026"/>
    <s v="24AAACO3087C1ZT"/>
    <s v="storepil6"/>
    <s v="storepil6"/>
    <n v="9"/>
    <n v="25081.37"/>
    <n v="9"/>
    <n v="25081.37"/>
    <n v="0"/>
    <n v="0"/>
    <n v="3049323.44"/>
    <n v="672165149281"/>
    <d v="2026-08-18T00:00:00"/>
    <n v="0"/>
  </r>
  <r>
    <s v="HCP Plastene Bulkpack Ltd (Unit - IV)"/>
    <s v="18-08-2026"/>
    <s v="HPBL4/26-27/SII01205"/>
    <s v="WIP00023"/>
    <x v="0"/>
    <m/>
    <s v="HPBL4/RAW/26-27/501"/>
    <n v="13927"/>
    <n v="13927"/>
    <s v="Kgs"/>
    <n v="13927"/>
    <n v="0"/>
    <n v="13927"/>
    <s v="GJ12BY0479/GJ12BT2409"/>
    <s v="Plastene India ltd - Unit 1-Purchase"/>
    <s v="Plastene India ltd - Unit 1-Purchase"/>
    <s v="PIL1/D/1408"/>
    <s v="18-08-2026"/>
    <s v="RAW MATERIAL"/>
    <s v="INDIGENOUS"/>
    <s v="RM 537"/>
    <n v="142.32"/>
    <n v="142.32"/>
    <s v="PIL1/D/1408"/>
    <s v="18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3049323.44"/>
    <s v="SF"/>
    <s v="PP/PE Fabric"/>
    <s v="PP UL Fabric"/>
    <s v="RM"/>
    <s v="erp"/>
    <n v="0"/>
    <n v="1982090.64"/>
    <n v="1156"/>
    <s v="18-08-2026"/>
    <s v="24AAACO3087C1ZT"/>
    <s v="storepil6"/>
    <s v="storepil6"/>
    <n v="9"/>
    <n v="178388.16"/>
    <n v="9"/>
    <n v="178388.16"/>
    <n v="0"/>
    <n v="0"/>
    <n v="0"/>
    <n v="672165149281"/>
    <d v="2026-08-18T00:00:00"/>
    <n v="0"/>
  </r>
  <r>
    <s v="HCP Plastene Bulkpack Ltd (Unit - IV)"/>
    <s v="18-08-2026"/>
    <s v="HPBL4/26-27/SII01205"/>
    <s v="WIP00023"/>
    <x v="0"/>
    <m/>
    <s v="HPBL4/RAW/26-27/501"/>
    <n v="502"/>
    <n v="502"/>
    <s v="Kgs"/>
    <n v="502"/>
    <n v="0"/>
    <n v="502"/>
    <s v="GJ12BY0479/GJ12BT2409"/>
    <s v="Plastene India ltd - Unit 1-Purchase"/>
    <s v="Plastene India ltd - Unit 1-Purchase"/>
    <s v="PIL1/D/1408"/>
    <s v="18-08-2026"/>
    <s v="RAW MATERIAL"/>
    <s v="INDIGENOUS"/>
    <s v="RM 537"/>
    <n v="145.32"/>
    <n v="145.32"/>
    <s v="PIL1/D/1408"/>
    <s v="18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3049323.44"/>
    <s v="SF"/>
    <s v="PP/PE Fabric"/>
    <s v="PP UL Fabric"/>
    <s v="RM"/>
    <s v="erp"/>
    <n v="0"/>
    <n v="72950.64"/>
    <n v="1156"/>
    <s v="18-08-2026"/>
    <s v="24AAACO3087C1ZT"/>
    <s v="storepil6"/>
    <s v="storepil6"/>
    <n v="9"/>
    <n v="6565.56"/>
    <n v="9"/>
    <n v="6565.56"/>
    <n v="0"/>
    <n v="0"/>
    <n v="0"/>
    <n v="672165149281"/>
    <d v="2026-08-18T00:00:00"/>
    <n v="0"/>
  </r>
  <r>
    <s v="HCP Plastene Bulkpack Ltd (Unit - IV)"/>
    <s v="18-08-2026"/>
    <s v="HPBL4/26-27/SII01205"/>
    <s v="WIP00025"/>
    <x v="1"/>
    <m/>
    <s v="HPBL4/RAW/26-27/501"/>
    <n v="1300"/>
    <n v="1300"/>
    <s v="Kgs"/>
    <n v="1300"/>
    <n v="0"/>
    <n v="1300"/>
    <s v="GJ12BY0479/GJ12BT2409"/>
    <s v="Plastene India ltd - Unit 1-Purchase"/>
    <s v="Plastene India ltd - Unit 1-Purchase"/>
    <s v="PIL1/D/1408"/>
    <s v="18-08-2026"/>
    <s v="RAW MATERIAL"/>
    <s v="INDIGENOUS"/>
    <s v="RM 537"/>
    <n v="149.32"/>
    <n v="149.32"/>
    <s v="PIL1/D/1408"/>
    <s v="18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3049323.44"/>
    <s v="SF"/>
    <s v="PP/PE Fabric"/>
    <s v="PP Lam Fabric"/>
    <s v="RM"/>
    <s v="erp"/>
    <n v="0"/>
    <n v="194116"/>
    <n v="1156"/>
    <s v="18-08-2026"/>
    <s v="24AAACO3087C1ZT"/>
    <s v="storepil6"/>
    <s v="storepil6"/>
    <n v="9"/>
    <n v="17470.439999999999"/>
    <n v="9"/>
    <n v="17470.439999999999"/>
    <n v="0"/>
    <n v="0"/>
    <n v="0"/>
    <n v="672165149281"/>
    <d v="2026-08-18T00:00:00"/>
    <n v="0"/>
  </r>
  <r>
    <s v="HCP Plastene Bulkpack Ltd (Unit - IV)"/>
    <s v="18-08-2026"/>
    <s v="HPBL4/26-27/SII01205"/>
    <s v="WIP00025"/>
    <x v="1"/>
    <m/>
    <s v="HPBL4/RAW/26-27/501"/>
    <n v="385"/>
    <n v="385"/>
    <s v="Kgs"/>
    <n v="385"/>
    <n v="0"/>
    <n v="385"/>
    <s v="GJ12BY0479/GJ12BT2409"/>
    <s v="Plastene India ltd - Unit 1-Purchase"/>
    <s v="Plastene India ltd - Unit 1-Purchase"/>
    <s v="PIL1/D/1408"/>
    <s v="18-08-2026"/>
    <s v="RAW MATERIAL"/>
    <s v="INDIGENOUS"/>
    <s v="RM 537"/>
    <n v="146.32"/>
    <n v="146.32"/>
    <s v="PIL1/D/1408"/>
    <s v="18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3049323.44"/>
    <s v="SF"/>
    <s v="PP/PE Fabric"/>
    <s v="PP Lam Fabric"/>
    <s v="RM"/>
    <s v="erp"/>
    <n v="0"/>
    <n v="56333.2"/>
    <n v="1156"/>
    <s v="18-08-2026"/>
    <s v="24AAACO3087C1ZT"/>
    <s v="storepil6"/>
    <s v="storepil6"/>
    <n v="9"/>
    <n v="5069.99"/>
    <n v="9"/>
    <n v="5069.99"/>
    <n v="0"/>
    <n v="0"/>
    <n v="0"/>
    <n v="672165149281"/>
    <d v="2026-08-18T00:00:00"/>
    <n v="0"/>
  </r>
  <r>
    <s v="HCP Plastene Bulkpack Ltd (Unit - IV)"/>
    <s v="18-08-2026"/>
    <s v="HPBL4/26-27/SII01207"/>
    <s v="WIP00191"/>
    <x v="8"/>
    <m/>
    <s v="HPBL4/RAW/26-27/502"/>
    <n v="952.2"/>
    <n v="952.2"/>
    <s v="Kgs"/>
    <n v="952.2"/>
    <n v="0"/>
    <n v="952.2"/>
    <s v="gj12bt2409"/>
    <s v="Plastene India ltd - Unit 1-Purchase"/>
    <s v="Plastene India ltd - Unit 1-Purchase"/>
    <s v="PIL1/D/1412"/>
    <s v="18-08-2026"/>
    <s v="RAW MATERIAL"/>
    <s v="INDIGENOUS"/>
    <s v="RM 538"/>
    <n v="154.32"/>
    <n v="154.31999729848701"/>
    <s v="PIL1/D/1412"/>
    <s v="18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799729.71"/>
    <s v="SF"/>
    <s v="Yarn All"/>
    <s v="PP Yarn"/>
    <s v="RM"/>
    <m/>
    <n v="0"/>
    <n v="146943.5"/>
    <n v="1159"/>
    <s v="18-08-2026"/>
    <s v="24AAACO3087C1ZT"/>
    <s v="storepil6"/>
    <s v="storepil6"/>
    <n v="2.5"/>
    <n v="3673.59"/>
    <n v="2.5"/>
    <n v="3673.59"/>
    <n v="0"/>
    <n v="0"/>
    <n v="799729.71"/>
    <n v="662165405838"/>
    <d v="2026-08-18T00:00:00"/>
    <n v="0"/>
  </r>
  <r>
    <s v="HCP Plastene Bulkpack Ltd (Unit - IV)"/>
    <s v="18-08-2026"/>
    <s v="HPBL4/26-27/SII01207"/>
    <s v="WIP00193"/>
    <x v="13"/>
    <m/>
    <s v="HPBL4/RAW/26-27/502"/>
    <n v="989.2"/>
    <n v="989.2"/>
    <s v="Kgs"/>
    <n v="989.2"/>
    <n v="0"/>
    <n v="989.2"/>
    <s v="gj12bt2409"/>
    <s v="Plastene India ltd - Unit 1-Purchase"/>
    <s v="Plastene India ltd - Unit 1-Purchase"/>
    <s v="PIL1/D/1412"/>
    <s v="18-08-2026"/>
    <s v="RAW MATERIAL"/>
    <s v="INDIGENOUS"/>
    <s v="RM 538"/>
    <n v="157.32"/>
    <n v="157.31999724597"/>
    <s v="PIL1/D/1412"/>
    <s v="18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799729.71"/>
    <s v="SF"/>
    <s v="Yarn All"/>
    <s v="PP Yarn"/>
    <s v="RM"/>
    <m/>
    <n v="0"/>
    <n v="155620.94"/>
    <n v="1159"/>
    <s v="18-08-2026"/>
    <s v="24AAACO3087C1ZT"/>
    <s v="storepil6"/>
    <s v="storepil6"/>
    <n v="2.5"/>
    <n v="3890.52"/>
    <n v="2.5"/>
    <n v="3890.52"/>
    <n v="0"/>
    <n v="0"/>
    <n v="0"/>
    <n v="662165405838"/>
    <d v="2026-08-18T00:00:00"/>
    <n v="0"/>
  </r>
  <r>
    <s v="HCP Plastene Bulkpack Ltd (Unit - IV)"/>
    <s v="18-08-2026"/>
    <s v="HPBL4/26-27/SII01207"/>
    <s v="wip00013"/>
    <x v="3"/>
    <m/>
    <s v="HPBL4/RAW/26-27/502"/>
    <n v="679"/>
    <n v="679"/>
    <s v="Kgs"/>
    <n v="679"/>
    <n v="0"/>
    <n v="679"/>
    <s v="gj12bt2409"/>
    <s v="Plastene India ltd - Unit 1-Purchase"/>
    <s v="Plastene India ltd - Unit 1-Purchase"/>
    <s v="PIL1/D/1412"/>
    <s v="18-08-2026"/>
    <s v="RAW MATERIAL"/>
    <s v="INDIGENOUS"/>
    <s v="RM 538"/>
    <n v="176.86"/>
    <n v="176.859996903904"/>
    <s v="PIL1/D/1412"/>
    <s v="18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799729.71"/>
    <s v="SF"/>
    <s v="Liners"/>
    <s v="LDPE/LLDPE Bags"/>
    <s v="RM"/>
    <s v="erp"/>
    <n v="0"/>
    <n v="120087.94"/>
    <n v="1159"/>
    <s v="18-08-2026"/>
    <s v="24AAACO3087C1ZT"/>
    <s v="storepil6"/>
    <s v="storepil6"/>
    <n v="9"/>
    <n v="10807.91"/>
    <n v="9"/>
    <n v="10807.91"/>
    <n v="0"/>
    <n v="0"/>
    <n v="0"/>
    <n v="662165405838"/>
    <d v="2026-08-18T00:00:00"/>
    <n v="0"/>
  </r>
  <r>
    <s v="HCP Plastene Bulkpack Ltd (Unit - IV)"/>
    <s v="18-08-2026"/>
    <s v="HPBL4/26-27/SII01207"/>
    <s v="WIP00032"/>
    <x v="2"/>
    <m/>
    <s v="HPBL4/RAW/26-27/502"/>
    <n v="1499.1"/>
    <n v="1499.1"/>
    <s v="Kgs"/>
    <n v="1499.1"/>
    <n v="0"/>
    <n v="1499.1"/>
    <s v="gj12bt2409"/>
    <s v="Plastene India ltd - Unit 1-Purchase"/>
    <s v="Plastene India ltd - Unit 1-Purchase"/>
    <s v="PIL1/D/1412"/>
    <s v="18-08-2026"/>
    <s v="RAW MATERIAL"/>
    <s v="INDIGENOUS"/>
    <s v="RM 538"/>
    <n v="147.32"/>
    <n v="147.319997421029"/>
    <s v="PIL1/D/1412"/>
    <s v="18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799729.71"/>
    <s v="SF"/>
    <s v="Webbing"/>
    <s v="PP Webbing"/>
    <s v="RM"/>
    <s v="erp"/>
    <n v="0"/>
    <n v="220847.41"/>
    <n v="1159"/>
    <s v="18-08-2026"/>
    <s v="24AAACO3087C1ZT"/>
    <s v="storepil6"/>
    <s v="storepil6"/>
    <n v="9"/>
    <n v="19876.27"/>
    <n v="9"/>
    <n v="19876.27"/>
    <n v="0"/>
    <n v="0"/>
    <n v="0"/>
    <n v="662165405838"/>
    <d v="2026-08-18T00:00:00"/>
    <n v="0"/>
  </r>
  <r>
    <s v="HCP Plastene Bulkpack Ltd (Unit - IV)"/>
    <s v="18-08-2026"/>
    <s v="HPBL4/26-27/SII01207"/>
    <s v="WIP00032"/>
    <x v="2"/>
    <m/>
    <s v="HPBL4/RAW/26-27/502"/>
    <n v="468.2"/>
    <n v="468.2"/>
    <s v="Kgs"/>
    <n v="468.2"/>
    <n v="0"/>
    <n v="468.2"/>
    <s v="gj12bt2409"/>
    <s v="Plastene India ltd - Unit 1-Purchase"/>
    <s v="Plastene India ltd - Unit 1-Purchase"/>
    <s v="PIL1/D/1412"/>
    <s v="18-08-2026"/>
    <s v="RAW MATERIAL"/>
    <s v="INDIGENOUS"/>
    <s v="RM 538"/>
    <n v="144.32"/>
    <n v="144.31999747354601"/>
    <s v="PIL1/D/1412"/>
    <s v="18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799729.71"/>
    <s v="SF"/>
    <s v="Webbing"/>
    <s v="PP Webbing"/>
    <s v="RM"/>
    <s v="erp"/>
    <n v="0"/>
    <n v="67570.62"/>
    <n v="1159"/>
    <s v="18-08-2026"/>
    <s v="24AAACO3087C1ZT"/>
    <s v="storepil6"/>
    <s v="storepil6"/>
    <n v="9"/>
    <n v="6081.36"/>
    <n v="9"/>
    <n v="6081.36"/>
    <n v="0"/>
    <n v="0"/>
    <n v="0"/>
    <n v="662165405838"/>
    <d v="2026-08-18T00:00:00"/>
    <n v="0"/>
  </r>
  <r>
    <s v="HCP Plastene Bulkpack Ltd (Unit - IV)"/>
    <s v="19-08-2026"/>
    <s v="HPBL4/26-27/SII01209"/>
    <s v="SMF00147"/>
    <x v="17"/>
    <m/>
    <s v="HPBL4/RAW/26-27/503"/>
    <n v="65"/>
    <n v="65"/>
    <s v="Kgs"/>
    <n v="65"/>
    <n v="0"/>
    <n v="65"/>
    <s v="GJ39TB3534"/>
    <s v="Plastene Polyfilms Ltd-Purchase"/>
    <s v="Plastene Polyfilms Ltd-Purchase"/>
    <s v="PPL/D/517"/>
    <s v="19-08-2026"/>
    <s v="RAW MATERIAL"/>
    <s v="INDIGENOUS"/>
    <s v="RM 539"/>
    <n v="247"/>
    <n v="246.999994128222"/>
    <s v="PPL/D/517"/>
    <s v="19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168262.49"/>
    <s v="SF"/>
    <s v="Liners"/>
    <s v="LDPE/LLDPE Bags"/>
    <s v="RM"/>
    <s v="erp"/>
    <n v="0"/>
    <n v="16055"/>
    <n v="1161"/>
    <s v="19-08-2026"/>
    <s v="24AAFCP2956A1ZR"/>
    <s v="storepil6"/>
    <s v="storepil6"/>
    <n v="9"/>
    <n v="1444.95"/>
    <n v="9"/>
    <n v="1444.95"/>
    <n v="0"/>
    <n v="0"/>
    <n v="168262.49"/>
    <n v="652165977396"/>
    <d v="2026-08-19T00:00:00"/>
    <n v="0"/>
  </r>
  <r>
    <s v="HCP Plastene Bulkpack Ltd (Unit - IV)"/>
    <s v="19-08-2026"/>
    <s v="HPBL4/26-27/SII01209"/>
    <s v="WIP00023"/>
    <x v="0"/>
    <m/>
    <s v="HPBL4/RAW/26-27/503"/>
    <n v="947.3"/>
    <n v="947.3"/>
    <s v="Kgs"/>
    <n v="947.3"/>
    <n v="0"/>
    <n v="947.3"/>
    <s v="GJ39TB3534"/>
    <s v="Plastene Polyfilms Ltd-Purchase"/>
    <s v="Plastene Polyfilms Ltd-Purchase"/>
    <s v="PPL/D/517"/>
    <s v="19-08-2026"/>
    <s v="RAW MATERIAL"/>
    <s v="INDIGENOUS"/>
    <s v="RM 539"/>
    <n v="133.58000000000001"/>
    <n v="133.57999682448499"/>
    <s v="PPL/D/517"/>
    <s v="19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168262.49"/>
    <s v="SF"/>
    <s v="PP/PE Fabric"/>
    <s v="PP UL Fabric"/>
    <s v="RM"/>
    <s v="erp"/>
    <n v="0"/>
    <n v="126540.33"/>
    <n v="1161"/>
    <s v="19-08-2026"/>
    <s v="24AAFCP2956A1ZR"/>
    <s v="storepil6"/>
    <s v="storepil6"/>
    <n v="9"/>
    <n v="11388.63"/>
    <n v="9"/>
    <n v="11388.63"/>
    <n v="0"/>
    <n v="0"/>
    <n v="0"/>
    <n v="652165977396"/>
    <d v="2026-08-19T00:00:00"/>
    <n v="0"/>
  </r>
  <r>
    <s v="HCP Plastene Bulkpack Ltd (Unit - IV)"/>
    <s v="19-08-2026"/>
    <s v="HPBL4/26-27/SII01211"/>
    <s v="WIP00023"/>
    <x v="0"/>
    <m/>
    <s v="HPBL4/RAW/26-27/504"/>
    <n v="2435"/>
    <n v="2435"/>
    <s v="Kgs"/>
    <n v="2435"/>
    <n v="0"/>
    <n v="2435"/>
    <s v="GJ12BT2409/GJ12BY0479"/>
    <s v="Plastene India ltd - Unit 1-Purchase"/>
    <s v="Plastene India ltd - Unit 1-Purchase"/>
    <s v="PIL1/D/1417"/>
    <s v="19-08-2026"/>
    <s v="RAW MATERIAL"/>
    <s v="INDIGENOUS"/>
    <s v="RM 540"/>
    <n v="144.32"/>
    <n v="144.32"/>
    <s v="PIL1/D/1417"/>
    <s v="19-08-2026"/>
    <m/>
    <s v="-"/>
    <m/>
    <s v="LAXMAN B BAKUTRA"/>
    <s v="270 DT 19/08/2026"/>
    <n v="0"/>
    <n v="0"/>
    <n v="0"/>
    <n v="0"/>
    <n v="0"/>
    <s v="VAT"/>
    <n v="0"/>
    <n v="0"/>
    <n v="0"/>
    <n v="0"/>
    <n v="0"/>
    <m/>
    <n v="0"/>
    <n v="0"/>
    <n v="1946290.92"/>
    <s v="SF"/>
    <s v="PP/PE Fabric"/>
    <s v="PP UL Fabric"/>
    <s v="RM"/>
    <s v="erp"/>
    <n v="0"/>
    <n v="351419.2"/>
    <n v="1162"/>
    <s v="19-08-2026"/>
    <s v="24AAACO3087C1ZT"/>
    <s v="storepil6"/>
    <s v="storepil6"/>
    <n v="9"/>
    <n v="31627.73"/>
    <n v="9"/>
    <n v="31627.73"/>
    <n v="0"/>
    <n v="0"/>
    <n v="1946290.92"/>
    <n v="692165845260"/>
    <d v="2026-08-19T00:00:00"/>
    <n v="0"/>
  </r>
  <r>
    <s v="HCP Plastene Bulkpack Ltd (Unit - IV)"/>
    <s v="19-08-2026"/>
    <s v="HPBL4/26-27/SII01211"/>
    <s v="WIP00023"/>
    <x v="0"/>
    <m/>
    <s v="HPBL4/RAW/26-27/504"/>
    <n v="529"/>
    <n v="529"/>
    <s v="Kgs"/>
    <n v="529"/>
    <n v="0"/>
    <n v="529"/>
    <s v="GJ12BT2409/GJ12BY0479"/>
    <s v="Plastene India ltd - Unit 1-Purchase"/>
    <s v="Plastene India ltd - Unit 1-Purchase"/>
    <s v="PIL1/D/1417"/>
    <s v="19-08-2026"/>
    <s v="RAW MATERIAL"/>
    <s v="INDIGENOUS"/>
    <s v="RM 540"/>
    <n v="145.32"/>
    <n v="145.32"/>
    <s v="PIL1/D/1417"/>
    <s v="19-08-2026"/>
    <m/>
    <s v="-"/>
    <m/>
    <s v="LAXMAN B BAKUTRA"/>
    <s v="270 DT 19/08/2026"/>
    <n v="0"/>
    <n v="0"/>
    <n v="0"/>
    <n v="0"/>
    <n v="0"/>
    <s v="VAT"/>
    <n v="0"/>
    <n v="0"/>
    <n v="0"/>
    <n v="0"/>
    <n v="0"/>
    <m/>
    <n v="0"/>
    <n v="0"/>
    <n v="1946290.92"/>
    <s v="SF"/>
    <s v="PP/PE Fabric"/>
    <s v="PP UL Fabric"/>
    <s v="RM"/>
    <s v="erp"/>
    <n v="0"/>
    <n v="76874.28"/>
    <n v="1162"/>
    <s v="19-08-2026"/>
    <s v="24AAACO3087C1ZT"/>
    <s v="storepil6"/>
    <s v="storepil6"/>
    <n v="9"/>
    <n v="6918.69"/>
    <n v="9"/>
    <n v="6918.69"/>
    <n v="0"/>
    <n v="0"/>
    <n v="0"/>
    <n v="692165845260"/>
    <d v="2026-08-19T00:00:00"/>
    <n v="0"/>
  </r>
  <r>
    <s v="HCP Plastene Bulkpack Ltd (Unit - IV)"/>
    <s v="19-08-2026"/>
    <s v="HPBL4/26-27/SII01211"/>
    <s v="WIP00023"/>
    <x v="0"/>
    <m/>
    <s v="HPBL4/RAW/26-27/504"/>
    <n v="8580"/>
    <n v="8580"/>
    <s v="Kgs"/>
    <n v="8580"/>
    <n v="0"/>
    <n v="8580"/>
    <s v="GJ12BT2409/GJ12BY0479"/>
    <s v="Plastene India ltd - Unit 1-Purchase"/>
    <s v="Plastene India ltd - Unit 1-Purchase"/>
    <s v="PIL1/D/1417"/>
    <s v="19-08-2026"/>
    <s v="RAW MATERIAL"/>
    <s v="INDIGENOUS"/>
    <s v="RM 540"/>
    <n v="142.32"/>
    <n v="142.32"/>
    <s v="PIL1/D/1417"/>
    <s v="19-08-2026"/>
    <m/>
    <s v="-"/>
    <m/>
    <s v="LAXMAN B BAKUTRA"/>
    <s v="270 DT 19/08/2026"/>
    <n v="0"/>
    <n v="0"/>
    <n v="0"/>
    <n v="0"/>
    <n v="0"/>
    <s v="VAT"/>
    <n v="0"/>
    <n v="0"/>
    <n v="0"/>
    <n v="0"/>
    <n v="0"/>
    <m/>
    <n v="0"/>
    <n v="0"/>
    <n v="1946290.92"/>
    <s v="SF"/>
    <s v="PP/PE Fabric"/>
    <s v="PP UL Fabric"/>
    <s v="RM"/>
    <s v="erp"/>
    <n v="0"/>
    <n v="1221105.6000000001"/>
    <n v="1162"/>
    <s v="19-08-2026"/>
    <s v="24AAACO3087C1ZT"/>
    <s v="storepil6"/>
    <s v="storepil6"/>
    <n v="9"/>
    <n v="109899.5"/>
    <n v="9"/>
    <n v="109899.5"/>
    <n v="0"/>
    <n v="0"/>
    <n v="0"/>
    <n v="692165845260"/>
    <d v="2026-08-19T00:00:00"/>
    <n v="0"/>
  </r>
  <r>
    <s v="HCP Plastene Bulkpack Ltd (Unit - IV)"/>
    <s v="19-08-2026"/>
    <s v="HPBL4/26-27/SII01212"/>
    <s v="wip00013"/>
    <x v="3"/>
    <m/>
    <s v="HPBL4/RAW/26-27/505"/>
    <n v="3725"/>
    <n v="3725"/>
    <s v="Kgs"/>
    <n v="3725"/>
    <n v="0"/>
    <n v="3725"/>
    <s v="GJ12BY0479"/>
    <s v="Plastene India ltd - Unit 1-Purchase"/>
    <s v="Plastene India ltd - Unit 1-Purchase"/>
    <s v="PIL1/D/1419"/>
    <s v="19-08-2026"/>
    <s v="RAW MATERIAL"/>
    <s v="INDIGENOUS"/>
    <s v="RM 541"/>
    <n v="176.86"/>
    <n v="176.859999359483"/>
    <s v="PIL1/D/1419"/>
    <s v="19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1104483.5"/>
    <s v="SF"/>
    <s v="Liners"/>
    <s v="LDPE/LLDPE Bags"/>
    <s v="RM"/>
    <s v="erp"/>
    <n v="0"/>
    <n v="658803.5"/>
    <n v="1163"/>
    <s v="19-08-2026"/>
    <s v="24AAACO3087C1ZT"/>
    <s v="storepil6"/>
    <s v="storepil6"/>
    <n v="9"/>
    <n v="59292.32"/>
    <n v="9"/>
    <n v="59292.32"/>
    <n v="0"/>
    <n v="0"/>
    <n v="1104483.5"/>
    <n v="632165889570"/>
    <d v="2026-08-19T00:00:00"/>
    <n v="0"/>
  </r>
  <r>
    <s v="HCP Plastene Bulkpack Ltd (Unit - IV)"/>
    <s v="19-08-2026"/>
    <s v="HPBL4/26-27/SII01212"/>
    <s v="WIP00032"/>
    <x v="2"/>
    <m/>
    <s v="HPBL4/RAW/26-27/505"/>
    <n v="421.6"/>
    <n v="421.6"/>
    <s v="Kgs"/>
    <n v="421.6"/>
    <n v="0"/>
    <n v="421.6"/>
    <s v="GJ12BY0479"/>
    <s v="Plastene India ltd - Unit 1-Purchase"/>
    <s v="Plastene India ltd - Unit 1-Purchase"/>
    <s v="PIL1/D/1419"/>
    <s v="19-08-2026"/>
    <s v="RAW MATERIAL"/>
    <s v="INDIGENOUS"/>
    <s v="RM 541"/>
    <n v="144.32"/>
    <n v="144.31999947732999"/>
    <s v="PIL1/D/1419"/>
    <s v="19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1104483.5"/>
    <s v="SF"/>
    <s v="Webbing"/>
    <s v="PP Webbing"/>
    <s v="RM"/>
    <s v="erp"/>
    <n v="0"/>
    <n v="60845.31"/>
    <n v="1163"/>
    <s v="19-08-2026"/>
    <s v="24AAACO3087C1ZT"/>
    <s v="storepil6"/>
    <s v="storepil6"/>
    <n v="9"/>
    <n v="5476.08"/>
    <n v="9"/>
    <n v="5476.08"/>
    <n v="0"/>
    <n v="0"/>
    <n v="0"/>
    <n v="632165889570"/>
    <d v="2026-08-19T00:00:00"/>
    <n v="0"/>
  </r>
  <r>
    <s v="HCP Plastene Bulkpack Ltd (Unit - IV)"/>
    <s v="19-08-2026"/>
    <s v="HPBL4/26-27/SII01212"/>
    <s v="WIP00032"/>
    <x v="2"/>
    <m/>
    <s v="HPBL4/RAW/26-27/505"/>
    <n v="1468.6"/>
    <n v="1468.6"/>
    <s v="Kgs"/>
    <n v="1468.6"/>
    <n v="0"/>
    <n v="1468.6"/>
    <s v="GJ12BY0479"/>
    <s v="Plastene India ltd - Unit 1-Purchase"/>
    <s v="Plastene India ltd - Unit 1-Purchase"/>
    <s v="PIL1/D/1419"/>
    <s v="19-08-2026"/>
    <s v="RAW MATERIAL"/>
    <s v="INDIGENOUS"/>
    <s v="RM 541"/>
    <n v="147.32"/>
    <n v="147.31999946646599"/>
    <s v="PIL1/D/1419"/>
    <s v="19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1104483.5"/>
    <s v="SF"/>
    <s v="Webbing"/>
    <s v="PP Webbing"/>
    <s v="RM"/>
    <s v="erp"/>
    <n v="0"/>
    <n v="216354.15"/>
    <n v="1163"/>
    <s v="19-08-2026"/>
    <s v="24AAACO3087C1ZT"/>
    <s v="storepil6"/>
    <s v="storepil6"/>
    <n v="9"/>
    <n v="19471.87"/>
    <n v="9"/>
    <n v="19471.87"/>
    <n v="0"/>
    <n v="0"/>
    <n v="0"/>
    <n v="632165889570"/>
    <d v="2026-08-19T00:00:00"/>
    <n v="0"/>
  </r>
  <r>
    <s v="HCP Plastene Bulkpack Ltd (Unit - IV)"/>
    <s v="19-08-2026"/>
    <s v="HPBL4/26-27/SII01216"/>
    <s v="RAW05733"/>
    <x v="18"/>
    <s v="HPBL4/26-27/RWM00005/01"/>
    <s v="HPBL4/RAW/26-27/384"/>
    <n v="25"/>
    <n v="25"/>
    <s v="Kgs"/>
    <n v="25"/>
    <n v="0"/>
    <n v="25"/>
    <s v="GJ24V1087"/>
    <s v="Vyankatesh Udyog (I) Pvt Ltd - Purchase"/>
    <s v="Vyankatesh Udyog (I) Pvt Ltd - Purchase"/>
    <s v="1426/26-27"/>
    <d v="2026-08-08T00:00:00"/>
    <s v="RAW MATERIAL"/>
    <s v="INDIGENOUS"/>
    <s v="RM 542"/>
    <n v="500"/>
    <n v="500"/>
    <s v="1426/26-27"/>
    <d v="2026-08-08T00:00:00"/>
    <m/>
    <s v="-"/>
    <m/>
    <s v="V-TRANS"/>
    <n v="4102516692"/>
    <n v="0"/>
    <n v="0"/>
    <n v="0"/>
    <n v="0"/>
    <n v="0"/>
    <s v="VAT"/>
    <n v="0"/>
    <n v="0"/>
    <n v="0"/>
    <n v="0"/>
    <n v="0"/>
    <m/>
    <n v="0"/>
    <n v="0"/>
    <n v="14750"/>
    <s v="RM Consumables"/>
    <s v="Ink"/>
    <s v="Ink"/>
    <s v="RM"/>
    <s v="erp"/>
    <n v="0"/>
    <n v="12500"/>
    <n v="1149"/>
    <s v="17-08-2026"/>
    <s v="27AAECV8365Q1ZC"/>
    <s v="storepil6"/>
    <s v="storegrp"/>
    <n v="0"/>
    <n v="0"/>
    <n v="0"/>
    <n v="0"/>
    <n v="18"/>
    <n v="2250"/>
    <n v="14750"/>
    <s v="-"/>
    <d v="2026-08-19T00:00:00"/>
    <n v="0"/>
  </r>
  <r>
    <s v="HCP Plastene Bulkpack Ltd (Unit - IV)"/>
    <s v="20-08-2026"/>
    <s v="HPBL4/26-27/SII01224"/>
    <s v="SMF00051"/>
    <x v="19"/>
    <m/>
    <s v="HPBL4/RAW/26-27/506"/>
    <n v="398"/>
    <n v="398"/>
    <s v="Kgs"/>
    <n v="398"/>
    <n v="0"/>
    <n v="398"/>
    <s v="GJ12BY6521"/>
    <s v="K.P. Woven Pvt Ltd-Purchase"/>
    <s v="K.P. Woven Pvt Ltd-Purchase"/>
    <s v="KPV/D/625"/>
    <s v="19-08-2026"/>
    <s v="RAW MATERIAL"/>
    <s v="INDIGENOUS"/>
    <s v="RM 543"/>
    <n v="159.4"/>
    <n v="159.4"/>
    <s v="KPV/D/625"/>
    <s v="19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66613.259999999995"/>
    <s v="SF"/>
    <s v="Yarn All"/>
    <s v="PP Yarn"/>
    <s v="RM"/>
    <s v="erp"/>
    <n v="0"/>
    <n v="63441.2"/>
    <n v="1167"/>
    <s v="20-08-2026"/>
    <s v="24AAECK6307M1ZF"/>
    <s v="storepil6"/>
    <s v="storepil6"/>
    <n v="2.5"/>
    <n v="1586.03"/>
    <n v="2.5"/>
    <n v="1586.03"/>
    <n v="0"/>
    <n v="0"/>
    <n v="66613.259999999995"/>
    <n v="672166184517"/>
    <d v="2026-08-19T00:00:00"/>
    <n v="0"/>
  </r>
  <r>
    <s v="HCP Plastene Bulkpack Ltd (Unit - IV)"/>
    <s v="20-08-2026"/>
    <s v="HPBL4/26-27/SII01225"/>
    <s v="WIP00023"/>
    <x v="0"/>
    <m/>
    <s v="HPBL4/RAW/26-27/507"/>
    <n v="1593"/>
    <n v="1593"/>
    <s v="Kgs"/>
    <n v="1593"/>
    <n v="0"/>
    <n v="1593"/>
    <s v="GJ12BT2409/GJ12BY0479"/>
    <s v="Plastene India ltd - Unit 1-Purchase"/>
    <s v="Plastene India ltd - Unit 1-Purchase"/>
    <s v="PIL1/D/1430"/>
    <s v="20-08-2026"/>
    <s v="RAW MATERIAL"/>
    <s v="INDIGENOUS"/>
    <s v="RM 544"/>
    <n v="144.32"/>
    <n v="144.32"/>
    <s v="PIL1/D/1430"/>
    <s v="20-08-2026"/>
    <m/>
    <s v="-"/>
    <m/>
    <s v="LAXMAN B BAKUTRA"/>
    <s v="272 DT 20/08/2026"/>
    <n v="0"/>
    <n v="0"/>
    <n v="0"/>
    <n v="0"/>
    <n v="0"/>
    <s v="VAT"/>
    <n v="0"/>
    <n v="0"/>
    <n v="0"/>
    <n v="0"/>
    <n v="0"/>
    <m/>
    <n v="0"/>
    <n v="0"/>
    <n v="2150506.38"/>
    <s v="SF"/>
    <s v="PP/PE Fabric"/>
    <s v="PP UL Fabric"/>
    <s v="RM"/>
    <s v="erp"/>
    <n v="0"/>
    <n v="229901.76"/>
    <n v="1168"/>
    <s v="20-08-2026"/>
    <s v="24AAACO3087C1ZT"/>
    <s v="storepil6"/>
    <s v="storepil6"/>
    <n v="9"/>
    <n v="20691.16"/>
    <n v="9"/>
    <n v="20691.16"/>
    <n v="0"/>
    <n v="0"/>
    <n v="2150506.38"/>
    <n v="682166550427"/>
    <d v="2026-08-20T00:00:00"/>
    <n v="0"/>
  </r>
  <r>
    <s v="HCP Plastene Bulkpack Ltd (Unit - IV)"/>
    <s v="20-08-2026"/>
    <s v="HPBL4/26-27/SII01225"/>
    <s v="WIP00023"/>
    <x v="0"/>
    <m/>
    <s v="HPBL4/RAW/26-27/507"/>
    <n v="522"/>
    <n v="522"/>
    <s v="Kgs"/>
    <n v="522"/>
    <n v="0"/>
    <n v="522"/>
    <s v="GJ12BT2409/GJ12BY0479"/>
    <s v="Plastene India ltd - Unit 1-Purchase"/>
    <s v="Plastene India ltd - Unit 1-Purchase"/>
    <s v="PIL1/D/1430"/>
    <s v="20-08-2026"/>
    <s v="RAW MATERIAL"/>
    <s v="INDIGENOUS"/>
    <s v="RM 544"/>
    <n v="145.32"/>
    <n v="145.32"/>
    <s v="PIL1/D/1430"/>
    <s v="20-08-2026"/>
    <m/>
    <s v="-"/>
    <m/>
    <s v="LAXMAN B BAKUTRA"/>
    <s v="272 DT 20/08/2026"/>
    <n v="0"/>
    <n v="0"/>
    <n v="0"/>
    <n v="0"/>
    <n v="0"/>
    <s v="VAT"/>
    <n v="0"/>
    <n v="0"/>
    <n v="0"/>
    <n v="0"/>
    <n v="0"/>
    <m/>
    <n v="0"/>
    <n v="0"/>
    <n v="2150506.38"/>
    <s v="SF"/>
    <s v="PP/PE Fabric"/>
    <s v="PP UL Fabric"/>
    <s v="RM"/>
    <s v="erp"/>
    <n v="0"/>
    <n v="75857.039999999994"/>
    <n v="1168"/>
    <s v="20-08-2026"/>
    <s v="24AAACO3087C1ZT"/>
    <s v="storepil6"/>
    <s v="storepil6"/>
    <n v="9"/>
    <n v="6827.13"/>
    <n v="9"/>
    <n v="6827.13"/>
    <n v="0"/>
    <n v="0"/>
    <n v="0"/>
    <n v="682166550427"/>
    <d v="2026-08-20T00:00:00"/>
    <n v="0"/>
  </r>
  <r>
    <s v="HCP Plastene Bulkpack Ltd (Unit - IV)"/>
    <s v="20-08-2026"/>
    <s v="HPBL4/26-27/SII01225"/>
    <s v="WIP00023"/>
    <x v="0"/>
    <m/>
    <s v="HPBL4/RAW/26-27/507"/>
    <n v="10657"/>
    <n v="10657"/>
    <s v="Kgs"/>
    <n v="10657"/>
    <n v="0"/>
    <n v="10657"/>
    <s v="GJ12BT2409/GJ12BY0479"/>
    <s v="Plastene India ltd - Unit 1-Purchase"/>
    <s v="Plastene India ltd - Unit 1-Purchase"/>
    <s v="PIL1/D/1430"/>
    <s v="20-08-2026"/>
    <s v="RAW MATERIAL"/>
    <s v="INDIGENOUS"/>
    <s v="RM 544"/>
    <n v="142.32"/>
    <n v="142.32"/>
    <s v="PIL1/D/1430"/>
    <s v="20-08-2026"/>
    <m/>
    <s v="-"/>
    <m/>
    <s v="LAXMAN B BAKUTRA"/>
    <s v="272 DT 20/08/2026"/>
    <n v="0"/>
    <n v="0"/>
    <n v="0"/>
    <n v="0"/>
    <n v="0"/>
    <s v="VAT"/>
    <n v="0"/>
    <n v="0"/>
    <n v="0"/>
    <n v="0"/>
    <n v="0"/>
    <m/>
    <n v="0"/>
    <n v="0"/>
    <n v="2150506.38"/>
    <s v="SF"/>
    <s v="PP/PE Fabric"/>
    <s v="PP UL Fabric"/>
    <s v="RM"/>
    <s v="erp"/>
    <n v="0"/>
    <n v="1516704.24"/>
    <n v="1168"/>
    <s v="20-08-2026"/>
    <s v="24AAACO3087C1ZT"/>
    <s v="storepil6"/>
    <s v="storepil6"/>
    <n v="9"/>
    <n v="136503.38"/>
    <n v="9"/>
    <n v="136503.38"/>
    <n v="0"/>
    <n v="0"/>
    <n v="0"/>
    <n v="682166550427"/>
    <d v="2026-08-20T00:00:00"/>
    <n v="0"/>
  </r>
  <r>
    <s v="HCP Plastene Bulkpack Ltd (Unit - IV)"/>
    <s v="20-08-2026"/>
    <s v="HPBL4/26-27/SII01227"/>
    <s v="WIP00025"/>
    <x v="1"/>
    <m/>
    <s v="HPBL4/RAW/26-27/508"/>
    <n v="447"/>
    <n v="447"/>
    <s v="Kgs"/>
    <n v="447"/>
    <n v="0"/>
    <n v="447"/>
    <s v="GJ12BY0479"/>
    <s v="Plastene India ltd - Unit 1-Purchase"/>
    <s v="Plastene India ltd - Unit 1-Purchase"/>
    <s v="PIL1/D/1433"/>
    <s v="20-08-2026"/>
    <s v="RAW MATERIAL"/>
    <s v="INDIGENOUS"/>
    <s v="RM 545"/>
    <n v="146.32"/>
    <n v="146.31999863403499"/>
    <s v="PIL1/D/1433"/>
    <s v="20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428473.76"/>
    <s v="SF"/>
    <s v="PP/PE Fabric"/>
    <s v="PP Lam Fabric"/>
    <s v="RM"/>
    <s v="erp"/>
    <n v="0"/>
    <n v="65405.04"/>
    <n v="1171"/>
    <s v="20-08-2026"/>
    <s v="24AAACO3087C1ZT"/>
    <s v="storepil6"/>
    <s v="storepil6"/>
    <n v="9"/>
    <n v="5886.45"/>
    <n v="9"/>
    <n v="5886.45"/>
    <n v="0"/>
    <n v="0"/>
    <n v="428473.76"/>
    <n v="632166636087"/>
    <d v="2026-08-20T00:00:00"/>
    <n v="0"/>
  </r>
  <r>
    <s v="HCP Plastene Bulkpack Ltd (Unit - IV)"/>
    <s v="20-08-2026"/>
    <s v="HPBL4/26-27/SII01227"/>
    <s v="WIP00032"/>
    <x v="2"/>
    <m/>
    <s v="HPBL4/RAW/26-27/508"/>
    <n v="999.4"/>
    <n v="999.4"/>
    <s v="Kgs"/>
    <n v="999.4"/>
    <n v="0"/>
    <n v="999.4"/>
    <s v="GJ12BY0479"/>
    <s v="Plastene India ltd - Unit 1-Purchase"/>
    <s v="Plastene India ltd - Unit 1-Purchase"/>
    <s v="PIL1/D/1433"/>
    <s v="20-08-2026"/>
    <s v="RAW MATERIAL"/>
    <s v="INDIGENOUS"/>
    <s v="RM 545"/>
    <n v="147.32"/>
    <n v="147.31999862469999"/>
    <s v="PIL1/D/1433"/>
    <s v="20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428473.76"/>
    <s v="SF"/>
    <s v="Webbing"/>
    <s v="PP Webbing"/>
    <s v="RM"/>
    <s v="erp"/>
    <n v="0"/>
    <n v="147231.60999999999"/>
    <n v="1171"/>
    <s v="20-08-2026"/>
    <s v="24AAACO3087C1ZT"/>
    <s v="storepil6"/>
    <s v="storepil6"/>
    <n v="9"/>
    <n v="13250.84"/>
    <n v="9"/>
    <n v="13250.84"/>
    <n v="0"/>
    <n v="0"/>
    <n v="0"/>
    <n v="632166636087"/>
    <d v="2026-08-20T00:00:00"/>
    <n v="0"/>
  </r>
  <r>
    <s v="HCP Plastene Bulkpack Ltd (Unit - IV)"/>
    <s v="20-08-2026"/>
    <s v="HPBL4/26-27/SII01227"/>
    <s v="WIP00032"/>
    <x v="2"/>
    <m/>
    <s v="HPBL4/RAW/26-27/508"/>
    <n v="118.1"/>
    <n v="118.1"/>
    <s v="Kgs"/>
    <n v="118.1"/>
    <n v="0"/>
    <n v="118.1"/>
    <s v="GJ12BY0479"/>
    <s v="Plastene India ltd - Unit 1-Purchase"/>
    <s v="Plastene India ltd - Unit 1-Purchase"/>
    <s v="PIL1/D/1433"/>
    <s v="20-08-2026"/>
    <s v="RAW MATERIAL"/>
    <s v="INDIGENOUS"/>
    <s v="RM 545"/>
    <n v="144.32"/>
    <n v="144.319998652706"/>
    <s v="PIL1/D/1433"/>
    <s v="20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428473.76"/>
    <s v="SF"/>
    <s v="Webbing"/>
    <s v="PP Webbing"/>
    <s v="RM"/>
    <s v="erp"/>
    <n v="0"/>
    <n v="17044.189999999999"/>
    <n v="1171"/>
    <s v="20-08-2026"/>
    <s v="24AAACO3087C1ZT"/>
    <s v="storepil6"/>
    <s v="storepil6"/>
    <n v="9"/>
    <n v="1533.98"/>
    <n v="9"/>
    <n v="1533.98"/>
    <n v="0"/>
    <n v="0"/>
    <n v="0"/>
    <n v="632166636087"/>
    <d v="2026-08-20T00:00:00"/>
    <n v="0"/>
  </r>
  <r>
    <s v="HCP Plastene Bulkpack Ltd (Unit - IV)"/>
    <s v="20-08-2026"/>
    <s v="HPBL4/26-27/SII01227"/>
    <s v="WIP00191"/>
    <x v="8"/>
    <m/>
    <s v="HPBL4/RAW/26-27/508"/>
    <n v="971.7"/>
    <n v="971.7"/>
    <s v="Kgs"/>
    <n v="971.7"/>
    <n v="0"/>
    <n v="971.7"/>
    <s v="GJ12BY0479"/>
    <s v="Plastene India ltd - Unit 1-Purchase"/>
    <s v="Plastene India ltd - Unit 1-Purchase"/>
    <s v="PIL1/D/1433"/>
    <s v="20-08-2026"/>
    <s v="RAW MATERIAL"/>
    <s v="INDIGENOUS"/>
    <s v="RM 545"/>
    <n v="154.32"/>
    <n v="154.319998559352"/>
    <s v="PIL1/D/1433"/>
    <s v="20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428473.76"/>
    <s v="SF"/>
    <s v="Yarn All"/>
    <s v="PP Yarn"/>
    <s v="RM"/>
    <m/>
    <n v="0"/>
    <n v="149952.74"/>
    <n v="1171"/>
    <s v="20-08-2026"/>
    <s v="24AAACO3087C1ZT"/>
    <s v="storepil6"/>
    <s v="storepil6"/>
    <n v="2.5"/>
    <n v="3748.82"/>
    <n v="2.5"/>
    <n v="3748.82"/>
    <n v="0"/>
    <n v="0"/>
    <n v="0"/>
    <n v="632166636087"/>
    <d v="2026-08-20T00:00:00"/>
    <n v="0"/>
  </r>
  <r>
    <s v="HCP Plastene Bulkpack Ltd (Unit - IV)"/>
    <s v="20-08-2026"/>
    <s v="HPBL4/26-27/SII01228"/>
    <s v="wip00013"/>
    <x v="3"/>
    <m/>
    <s v="HPBL4/RAW/26-27/509"/>
    <n v="7472"/>
    <n v="7472"/>
    <s v="Kgs"/>
    <n v="7472"/>
    <n v="0"/>
    <n v="7472"/>
    <s v="gj12bt2409"/>
    <s v="Plastene India ltd - Unit 1-Purchase"/>
    <s v="Plastene India ltd - Unit 1-Purchase"/>
    <s v="PIL1/D/1437"/>
    <s v="20-08-2026"/>
    <s v="RAW MATERIAL"/>
    <s v="INDIGENOUS"/>
    <s v="RM 546"/>
    <n v="176.86"/>
    <n v="176.86"/>
    <s v="PIL1/D/1437"/>
    <s v="20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1559367.54"/>
    <s v="SF"/>
    <s v="Liners"/>
    <s v="LDPE/LLDPE Bags"/>
    <s v="RM"/>
    <s v="erp"/>
    <n v="0"/>
    <n v="1321497.92"/>
    <n v="1175"/>
    <s v="20-08-2026"/>
    <s v="24AAACO3087C1ZT"/>
    <s v="storepil6"/>
    <s v="storepil6"/>
    <n v="9"/>
    <n v="118934.81"/>
    <n v="9"/>
    <n v="118934.81"/>
    <n v="0"/>
    <n v="0"/>
    <n v="1559367.54"/>
    <n v="642166681952"/>
    <d v="2026-08-20T00:00:00"/>
    <n v="0"/>
  </r>
  <r>
    <s v="HCP Plastene Bulkpack Ltd (Unit - IV)"/>
    <s v="21-08-2026"/>
    <s v="HPBL4/26-27/SII01234"/>
    <s v="wip00013"/>
    <x v="3"/>
    <m/>
    <s v="HPBL4/RAW/26-27/510"/>
    <n v="1197"/>
    <n v="1197"/>
    <s v="Kgs"/>
    <n v="1197"/>
    <n v="0"/>
    <n v="1197"/>
    <s v="GJ12BY0479/GJ12BT2409"/>
    <s v="Plastene India ltd - Unit 1-Purchase"/>
    <s v="Plastene India ltd - Unit 1-Purchase"/>
    <s v="PIL1/D/1441"/>
    <s v="21-08-2026"/>
    <s v="RAW MATERIAL"/>
    <s v="INDIGENOUS"/>
    <s v="RM 547"/>
    <n v="176.86"/>
    <n v="176.86"/>
    <s v="PIL1/D/1441"/>
    <s v="21-08-2026"/>
    <m/>
    <s v="-"/>
    <m/>
    <s v="LAXMAN B BAKUTRA"/>
    <s v="273 DT 21/08/2026"/>
    <n v="0"/>
    <n v="0"/>
    <n v="0"/>
    <n v="0"/>
    <n v="0"/>
    <s v="VAT"/>
    <n v="0"/>
    <n v="0"/>
    <n v="0"/>
    <n v="0"/>
    <n v="0"/>
    <m/>
    <n v="0"/>
    <n v="0"/>
    <n v="2821166.04"/>
    <s v="SF"/>
    <s v="Liners"/>
    <s v="LDPE/LLDPE Bags"/>
    <s v="RM"/>
    <s v="erp"/>
    <n v="0"/>
    <n v="211701.42"/>
    <n v="1185"/>
    <s v="21-08-2026"/>
    <s v="24AAACO3087C1ZT"/>
    <s v="storepil6"/>
    <s v="storepil6"/>
    <n v="9"/>
    <n v="19053.13"/>
    <n v="9"/>
    <n v="19053.13"/>
    <n v="0"/>
    <n v="0"/>
    <n v="2821166.04"/>
    <n v="622167354073"/>
    <d v="2026-08-21T00:00:00"/>
    <n v="0"/>
  </r>
  <r>
    <s v="HCP Plastene Bulkpack Ltd (Unit - IV)"/>
    <s v="21-08-2026"/>
    <s v="HPBL4/26-27/SII01234"/>
    <s v="WIP00023"/>
    <x v="0"/>
    <m/>
    <s v="HPBL4/RAW/26-27/510"/>
    <n v="1306"/>
    <n v="1306"/>
    <s v="Kgs"/>
    <n v="1306"/>
    <n v="0"/>
    <n v="1306"/>
    <s v="GJ12BY0479/GJ12BT2409"/>
    <s v="Plastene India ltd - Unit 1-Purchase"/>
    <s v="Plastene India ltd - Unit 1-Purchase"/>
    <s v="PIL1/D/1441"/>
    <s v="21-08-2026"/>
    <s v="RAW MATERIAL"/>
    <s v="INDIGENOUS"/>
    <s v="RM 547"/>
    <n v="145.32"/>
    <n v="145.32"/>
    <s v="PIL1/D/1441"/>
    <s v="21-08-2026"/>
    <m/>
    <s v="-"/>
    <m/>
    <s v="LAXMAN B BAKUTRA"/>
    <s v="273 DT 21/08/2026"/>
    <n v="0"/>
    <n v="0"/>
    <n v="0"/>
    <n v="0"/>
    <n v="0"/>
    <s v="VAT"/>
    <n v="0"/>
    <n v="0"/>
    <n v="0"/>
    <n v="0"/>
    <n v="0"/>
    <m/>
    <n v="0"/>
    <n v="0"/>
    <n v="2821166.04"/>
    <s v="SF"/>
    <s v="PP/PE Fabric"/>
    <s v="PP UL Fabric"/>
    <s v="RM"/>
    <s v="erp"/>
    <n v="0"/>
    <n v="189787.92"/>
    <n v="1185"/>
    <s v="21-08-2026"/>
    <s v="24AAACO3087C1ZT"/>
    <s v="storepil6"/>
    <s v="storepil6"/>
    <n v="9"/>
    <n v="17080.91"/>
    <n v="9"/>
    <n v="17080.91"/>
    <n v="0"/>
    <n v="0"/>
    <n v="0"/>
    <n v="622167354073"/>
    <d v="2026-08-21T00:00:00"/>
    <n v="0"/>
  </r>
  <r>
    <s v="HCP Plastene Bulkpack Ltd (Unit - IV)"/>
    <s v="21-08-2026"/>
    <s v="HPBL4/26-27/SII01234"/>
    <s v="WIP00023"/>
    <x v="0"/>
    <m/>
    <s v="HPBL4/RAW/26-27/510"/>
    <n v="10092"/>
    <n v="10092"/>
    <s v="Kgs"/>
    <n v="10092"/>
    <n v="0"/>
    <n v="10092"/>
    <s v="GJ12BY0479/GJ12BT2409"/>
    <s v="Plastene India ltd - Unit 1-Purchase"/>
    <s v="Plastene India ltd - Unit 1-Purchase"/>
    <s v="PIL1/D/1441"/>
    <s v="21-08-2026"/>
    <s v="RAW MATERIAL"/>
    <s v="INDIGENOUS"/>
    <s v="RM 547"/>
    <n v="142.32"/>
    <n v="142.32"/>
    <s v="PIL1/D/1441"/>
    <s v="21-08-2026"/>
    <m/>
    <s v="-"/>
    <m/>
    <s v="LAXMAN B BAKUTRA"/>
    <s v="273 DT 21/08/2026"/>
    <n v="0"/>
    <n v="0"/>
    <n v="0"/>
    <n v="0"/>
    <n v="0"/>
    <s v="VAT"/>
    <n v="0"/>
    <n v="0"/>
    <n v="0"/>
    <n v="0"/>
    <n v="0"/>
    <m/>
    <n v="0"/>
    <n v="0"/>
    <n v="2821166.04"/>
    <s v="SF"/>
    <s v="PP/PE Fabric"/>
    <s v="PP UL Fabric"/>
    <s v="RM"/>
    <s v="erp"/>
    <n v="0"/>
    <n v="1436293.44"/>
    <n v="1185"/>
    <s v="21-08-2026"/>
    <s v="24AAACO3087C1ZT"/>
    <s v="storepil6"/>
    <s v="storepil6"/>
    <n v="9"/>
    <n v="129266.41"/>
    <n v="9"/>
    <n v="129266.41"/>
    <n v="0"/>
    <n v="0"/>
    <n v="0"/>
    <n v="622167354073"/>
    <d v="2026-08-21T00:00:00"/>
    <n v="0"/>
  </r>
  <r>
    <s v="HCP Plastene Bulkpack Ltd (Unit - IV)"/>
    <s v="21-08-2026"/>
    <s v="HPBL4/26-27/SII01234"/>
    <s v="WIP00023"/>
    <x v="0"/>
    <m/>
    <s v="HPBL4/RAW/26-27/510"/>
    <n v="1287"/>
    <n v="1287"/>
    <s v="Kgs"/>
    <n v="1287"/>
    <n v="0"/>
    <n v="1287"/>
    <s v="GJ12BY0479/GJ12BT2409"/>
    <s v="Plastene India ltd - Unit 1-Purchase"/>
    <s v="Plastene India ltd - Unit 1-Purchase"/>
    <s v="PIL1/D/1441"/>
    <s v="21-08-2026"/>
    <s v="RAW MATERIAL"/>
    <s v="INDIGENOUS"/>
    <s v="RM 547"/>
    <n v="144.32"/>
    <n v="144.32"/>
    <s v="PIL1/D/1441"/>
    <s v="21-08-2026"/>
    <m/>
    <s v="-"/>
    <m/>
    <s v="LAXMAN B BAKUTRA"/>
    <s v="273 DT 21/08/2026"/>
    <n v="0"/>
    <n v="0"/>
    <n v="0"/>
    <n v="0"/>
    <n v="0"/>
    <s v="VAT"/>
    <n v="0"/>
    <n v="0"/>
    <n v="0"/>
    <n v="0"/>
    <n v="0"/>
    <m/>
    <n v="0"/>
    <n v="0"/>
    <n v="2821166.04"/>
    <s v="SF"/>
    <s v="PP/PE Fabric"/>
    <s v="PP UL Fabric"/>
    <s v="RM"/>
    <s v="erp"/>
    <n v="0"/>
    <n v="185739.84"/>
    <n v="1185"/>
    <s v="21-08-2026"/>
    <s v="24AAACO3087C1ZT"/>
    <s v="storepil6"/>
    <s v="storepil6"/>
    <n v="9"/>
    <n v="16716.59"/>
    <n v="9"/>
    <n v="16716.59"/>
    <n v="0"/>
    <n v="0"/>
    <n v="0"/>
    <n v="622167354073"/>
    <d v="2026-08-21T00:00:00"/>
    <n v="0"/>
  </r>
  <r>
    <s v="HCP Plastene Bulkpack Ltd (Unit - IV)"/>
    <s v="21-08-2026"/>
    <s v="HPBL4/26-27/SII01234"/>
    <s v="WIP00032"/>
    <x v="2"/>
    <m/>
    <s v="HPBL4/RAW/26-27/510"/>
    <n v="2.4"/>
    <n v="2.4"/>
    <s v="Kgs"/>
    <n v="2.4"/>
    <n v="0"/>
    <n v="2.4"/>
    <s v="GJ12BY0479/GJ12BT2409"/>
    <s v="Plastene India ltd - Unit 1-Purchase"/>
    <s v="Plastene India ltd - Unit 1-Purchase"/>
    <s v="PIL1/D/1441"/>
    <s v="21-08-2026"/>
    <s v="RAW MATERIAL"/>
    <s v="INDIGENOUS"/>
    <s v="RM 547"/>
    <n v="168.32"/>
    <n v="168.32"/>
    <s v="PIL1/D/1441"/>
    <s v="21-08-2026"/>
    <m/>
    <s v="-"/>
    <m/>
    <s v="LAXMAN B BAKUTRA"/>
    <s v="273 DT 21/08/2026"/>
    <n v="0"/>
    <n v="0"/>
    <n v="0"/>
    <n v="0"/>
    <n v="0"/>
    <s v="VAT"/>
    <n v="0"/>
    <n v="0"/>
    <n v="0"/>
    <n v="0"/>
    <n v="0"/>
    <m/>
    <n v="0"/>
    <n v="0"/>
    <n v="2821166.04"/>
    <s v="SF"/>
    <s v="Webbing"/>
    <s v="PP Webbing"/>
    <s v="RM"/>
    <s v="erp"/>
    <n v="0"/>
    <n v="403.97"/>
    <n v="1185"/>
    <s v="21-08-2026"/>
    <s v="24AAACO3087C1ZT"/>
    <s v="storepil6"/>
    <s v="storepil6"/>
    <n v="9"/>
    <n v="36.36"/>
    <n v="9"/>
    <n v="36.36"/>
    <n v="0"/>
    <n v="0"/>
    <n v="0"/>
    <n v="622167354073"/>
    <d v="2026-08-21T00:00:00"/>
    <n v="0"/>
  </r>
  <r>
    <s v="HCP Plastene Bulkpack Ltd (Unit - IV)"/>
    <s v="21-08-2026"/>
    <s v="HPBL4/26-27/SII01234"/>
    <s v="WIP00032"/>
    <x v="2"/>
    <m/>
    <s v="HPBL4/RAW/26-27/510"/>
    <n v="18.2"/>
    <n v="18.2"/>
    <s v="Kgs"/>
    <n v="18.2"/>
    <n v="0"/>
    <n v="18.2"/>
    <s v="GJ12BY0479/GJ12BT2409"/>
    <s v="Plastene India ltd - Unit 1-Purchase"/>
    <s v="Plastene India ltd - Unit 1-Purchase"/>
    <s v="PIL1/D/1441"/>
    <s v="21-08-2026"/>
    <s v="RAW MATERIAL"/>
    <s v="INDIGENOUS"/>
    <s v="RM 547"/>
    <n v="165.32"/>
    <n v="165.32"/>
    <s v="PIL1/D/1441"/>
    <s v="21-08-2026"/>
    <m/>
    <s v="-"/>
    <m/>
    <s v="LAXMAN B BAKUTRA"/>
    <s v="273 DT 21/08/2026"/>
    <n v="0"/>
    <n v="0"/>
    <n v="0"/>
    <n v="0"/>
    <n v="0"/>
    <s v="VAT"/>
    <n v="0"/>
    <n v="0"/>
    <n v="0"/>
    <n v="0"/>
    <n v="0"/>
    <m/>
    <n v="0"/>
    <n v="0"/>
    <n v="2821166.04"/>
    <s v="SF"/>
    <s v="Webbing"/>
    <s v="PP Webbing"/>
    <s v="RM"/>
    <s v="erp"/>
    <n v="0"/>
    <n v="3008.82"/>
    <n v="1185"/>
    <s v="21-08-2026"/>
    <s v="24AAACO3087C1ZT"/>
    <s v="storepil6"/>
    <s v="storepil6"/>
    <n v="9"/>
    <n v="270.79000000000002"/>
    <n v="9"/>
    <n v="270.79000000000002"/>
    <n v="0"/>
    <n v="0"/>
    <n v="0"/>
    <n v="622167354073"/>
    <d v="2026-08-21T00:00:00"/>
    <n v="0"/>
  </r>
  <r>
    <s v="HCP Plastene Bulkpack Ltd (Unit - IV)"/>
    <s v="21-08-2026"/>
    <s v="HPBL4/26-27/SII01234"/>
    <s v="WIP00032"/>
    <x v="2"/>
    <m/>
    <s v="HPBL4/RAW/26-27/510"/>
    <n v="967.9"/>
    <n v="967.9"/>
    <s v="Kgs"/>
    <n v="967.9"/>
    <n v="0"/>
    <n v="967.9"/>
    <s v="GJ12BY0479/GJ12BT2409"/>
    <s v="Plastene India ltd - Unit 1-Purchase"/>
    <s v="Plastene India ltd - Unit 1-Purchase"/>
    <s v="PIL1/D/1441"/>
    <s v="21-08-2026"/>
    <s v="RAW MATERIAL"/>
    <s v="INDIGENOUS"/>
    <s v="RM 547"/>
    <n v="147.32"/>
    <n v="147.32"/>
    <s v="PIL1/D/1441"/>
    <s v="21-08-2026"/>
    <m/>
    <s v="-"/>
    <m/>
    <s v="LAXMAN B BAKUTRA"/>
    <s v="273 DT 21/08/2026"/>
    <n v="0"/>
    <n v="0"/>
    <n v="0"/>
    <n v="0"/>
    <n v="0"/>
    <s v="VAT"/>
    <n v="0"/>
    <n v="0"/>
    <n v="0"/>
    <n v="0"/>
    <n v="0"/>
    <m/>
    <n v="0"/>
    <n v="0"/>
    <n v="2821166.04"/>
    <s v="SF"/>
    <s v="Webbing"/>
    <s v="PP Webbing"/>
    <s v="RM"/>
    <s v="erp"/>
    <n v="0"/>
    <n v="142591.03"/>
    <n v="1185"/>
    <s v="21-08-2026"/>
    <s v="24AAACO3087C1ZT"/>
    <s v="storepil6"/>
    <s v="storepil6"/>
    <n v="9"/>
    <n v="12833.19"/>
    <n v="9"/>
    <n v="12833.19"/>
    <n v="0"/>
    <n v="0"/>
    <n v="0"/>
    <n v="622167354073"/>
    <d v="2026-08-21T00:00:00"/>
    <n v="0"/>
  </r>
  <r>
    <s v="HCP Plastene Bulkpack Ltd (Unit - IV)"/>
    <s v="21-08-2026"/>
    <s v="HPBL4/26-27/SII01234"/>
    <s v="WIP00025"/>
    <x v="1"/>
    <m/>
    <s v="HPBL4/RAW/26-27/510"/>
    <n v="1482"/>
    <n v="1482"/>
    <s v="Kgs"/>
    <n v="1482"/>
    <n v="0"/>
    <n v="1482"/>
    <s v="GJ12BY0479/GJ12BT2409"/>
    <s v="Plastene India ltd - Unit 1-Purchase"/>
    <s v="Plastene India ltd - Unit 1-Purchase"/>
    <s v="PIL1/D/1441"/>
    <s v="21-08-2026"/>
    <s v="RAW MATERIAL"/>
    <s v="INDIGENOUS"/>
    <s v="RM 547"/>
    <n v="149.32"/>
    <n v="149.32"/>
    <s v="PIL1/D/1441"/>
    <s v="21-08-2026"/>
    <m/>
    <s v="-"/>
    <m/>
    <s v="LAXMAN B BAKUTRA"/>
    <s v="273 DT 21/08/2026"/>
    <n v="0"/>
    <n v="0"/>
    <n v="0"/>
    <n v="0"/>
    <n v="0"/>
    <s v="VAT"/>
    <n v="0"/>
    <n v="0"/>
    <n v="0"/>
    <n v="0"/>
    <n v="0"/>
    <m/>
    <n v="0"/>
    <n v="0"/>
    <n v="2821166.04"/>
    <s v="SF"/>
    <s v="PP/PE Fabric"/>
    <s v="PP Lam Fabric"/>
    <s v="RM"/>
    <s v="erp"/>
    <n v="0"/>
    <n v="221292.24"/>
    <n v="1185"/>
    <s v="21-08-2026"/>
    <s v="24AAACO3087C1ZT"/>
    <s v="storepil6"/>
    <s v="storepil6"/>
    <n v="9"/>
    <n v="19916.3"/>
    <n v="9"/>
    <n v="19916.3"/>
    <n v="0"/>
    <n v="0"/>
    <n v="0"/>
    <n v="622167354073"/>
    <d v="2026-08-21T00:00:00"/>
    <n v="0"/>
  </r>
  <r>
    <s v="HCP Plastene Bulkpack Ltd (Unit - IV)"/>
    <s v="22-08-2026"/>
    <s v="HPBL4/26-27/SII01246"/>
    <s v="RMC00181"/>
    <x v="20"/>
    <s v="HPBL4/26-27/RWM00007/010"/>
    <s v="HPBL4/RAW/26-27/470"/>
    <n v="50"/>
    <n v="50"/>
    <s v="Kgs"/>
    <n v="50"/>
    <n v="0"/>
    <n v="50"/>
    <s v="GJ12BW3301"/>
    <s v="Vyankatesh Udyog (I) Pvt Ltd - Purchase"/>
    <s v="Vyankatesh Udyog (I) Pvt Ltd - Purchase"/>
    <s v="1510/26-27"/>
    <s v="17-08-2026"/>
    <s v="RAW MATERIAL"/>
    <s v="INDIGENOUS"/>
    <s v="RM 548"/>
    <n v="635"/>
    <n v="659.01975438781403"/>
    <s v="1510/26-27"/>
    <s v="17-08-2026"/>
    <m/>
    <s v="-"/>
    <m/>
    <s v="V-Trans ( India ) Ltd."/>
    <n v="4102516917"/>
    <n v="0"/>
    <n v="0"/>
    <n v="0"/>
    <n v="0"/>
    <n v="0"/>
    <s v="VAT"/>
    <n v="0"/>
    <n v="0"/>
    <n v="0"/>
    <n v="0"/>
    <n v="0"/>
    <m/>
    <n v="0"/>
    <n v="0"/>
    <n v="492267"/>
    <s v="RM Consumables"/>
    <s v="Ink"/>
    <s v="."/>
    <s v="RM"/>
    <m/>
    <n v="0"/>
    <n v="32950.99"/>
    <n v="1183"/>
    <s v="21-08-2026"/>
    <s v="27AAECV8365Q1ZC"/>
    <s v="storepil6"/>
    <s v="storegrp"/>
    <n v="0"/>
    <n v="0"/>
    <n v="0"/>
    <n v="0"/>
    <n v="18"/>
    <n v="5715"/>
    <n v="492267"/>
    <n v="292266943272"/>
    <d v="2026-08-17T00:00:00"/>
    <n v="0"/>
  </r>
  <r>
    <s v="HCP Plastene Bulkpack Ltd (Unit - IV)"/>
    <s v="22-08-2026"/>
    <s v="HPBL4/26-27/SII01246"/>
    <s v="RAW05724"/>
    <x v="21"/>
    <s v="HPBL4/26-27/RWM00007/02"/>
    <s v="HPBL4/RAW/26-27/470"/>
    <n v="225"/>
    <n v="225"/>
    <s v="Kgs"/>
    <n v="225"/>
    <n v="0"/>
    <n v="225"/>
    <s v="GJ12BW3301"/>
    <s v="Vyankatesh Udyog (I) Pvt Ltd - Purchase"/>
    <s v="Vyankatesh Udyog (I) Pvt Ltd - Purchase"/>
    <s v="1510/26-27"/>
    <s v="17-08-2026"/>
    <s v="RAW MATERIAL"/>
    <s v="INDIGENOUS"/>
    <s v="RM 548"/>
    <n v="292"/>
    <n v="268.45828905469398"/>
    <s v="1510/26-27"/>
    <s v="17-08-2026"/>
    <m/>
    <s v="-"/>
    <m/>
    <s v="V-Trans ( India ) Ltd."/>
    <n v="4102516917"/>
    <n v="0"/>
    <n v="0"/>
    <n v="0"/>
    <n v="0"/>
    <n v="0"/>
    <s v="VAT"/>
    <n v="0"/>
    <n v="0"/>
    <n v="0"/>
    <n v="0"/>
    <n v="0"/>
    <m/>
    <n v="0"/>
    <n v="0"/>
    <n v="492267"/>
    <s v="RM Consumables"/>
    <s v="Ink"/>
    <s v="Ink"/>
    <s v="RM"/>
    <s v="erp"/>
    <n v="0"/>
    <n v="60403.12"/>
    <n v="1183"/>
    <s v="21-08-2026"/>
    <s v="27AAECV8365Q1ZC"/>
    <s v="storepil6"/>
    <s v="storegrp"/>
    <n v="0"/>
    <n v="0"/>
    <n v="0"/>
    <n v="0"/>
    <n v="18"/>
    <n v="11826"/>
    <n v="0"/>
    <n v="292266943272"/>
    <d v="2026-08-17T00:00:00"/>
    <n v="0"/>
  </r>
  <r>
    <s v="HCP Plastene Bulkpack Ltd (Unit - IV)"/>
    <s v="22-08-2026"/>
    <s v="HPBL4/26-27/SII01246"/>
    <s v="RAW05727"/>
    <x v="22"/>
    <s v="HPBL4/26-27/RWM00007/04"/>
    <s v="HPBL4/RAW/26-27/470"/>
    <n v="150"/>
    <n v="150"/>
    <s v="Kgs"/>
    <n v="150"/>
    <n v="0"/>
    <n v="150"/>
    <s v="GJ12BW3301"/>
    <s v="Vyankatesh Udyog (I) Pvt Ltd - Purchase"/>
    <s v="Vyankatesh Udyog (I) Pvt Ltd - Purchase"/>
    <s v="1510/26-27"/>
    <s v="17-08-2026"/>
    <s v="RAW MATERIAL"/>
    <s v="INDIGENOUS"/>
    <s v="RM 548"/>
    <n v="326"/>
    <n v="317.65762131454198"/>
    <s v="1510/26-27"/>
    <s v="17-08-2026"/>
    <m/>
    <s v="-"/>
    <m/>
    <s v="V-Trans ( India ) Ltd."/>
    <n v="4102516917"/>
    <n v="0"/>
    <n v="0"/>
    <n v="0"/>
    <n v="0"/>
    <n v="0"/>
    <s v="VAT"/>
    <n v="0"/>
    <n v="0"/>
    <n v="0"/>
    <n v="0"/>
    <n v="0"/>
    <m/>
    <n v="0"/>
    <n v="0"/>
    <n v="492267"/>
    <s v="RM Consumables"/>
    <s v="Ink"/>
    <s v="Ink"/>
    <s v="RM"/>
    <s v="erp"/>
    <n v="0"/>
    <n v="47648.639999999999"/>
    <n v="1183"/>
    <s v="21-08-2026"/>
    <s v="27AAECV8365Q1ZC"/>
    <s v="storepil6"/>
    <s v="storegrp"/>
    <n v="0"/>
    <n v="0"/>
    <n v="0"/>
    <n v="0"/>
    <n v="18"/>
    <n v="8802"/>
    <n v="0"/>
    <n v="292266943272"/>
    <d v="2026-08-17T00:00:00"/>
    <n v="0"/>
  </r>
  <r>
    <s v="HCP Plastene Bulkpack Ltd (Unit - IV)"/>
    <s v="22-08-2026"/>
    <s v="HPBL4/26-27/SII01246"/>
    <s v="RAW05728"/>
    <x v="23"/>
    <s v="HPBL4/26-27/RWM00007/06"/>
    <s v="HPBL4/RAW/26-27/470"/>
    <n v="300"/>
    <n v="300"/>
    <s v="Kgs"/>
    <n v="300"/>
    <n v="0"/>
    <n v="300"/>
    <s v="GJ12BW3301"/>
    <s v="Vyankatesh Udyog (I) Pvt Ltd - Purchase"/>
    <s v="Vyankatesh Udyog (I) Pvt Ltd - Purchase"/>
    <s v="1510/26-27"/>
    <s v="17-08-2026"/>
    <s v="RAW MATERIAL"/>
    <s v="INDIGENOUS"/>
    <s v="RM 548"/>
    <n v="297"/>
    <n v="253.141776973622"/>
    <s v="1510/26-27"/>
    <s v="17-08-2026"/>
    <m/>
    <s v="-"/>
    <m/>
    <s v="V-Trans ( India ) Ltd."/>
    <n v="4102516917"/>
    <n v="0"/>
    <n v="0"/>
    <n v="0"/>
    <n v="0"/>
    <n v="0"/>
    <s v="VAT"/>
    <n v="0"/>
    <n v="0"/>
    <n v="0"/>
    <n v="0"/>
    <n v="0"/>
    <m/>
    <n v="0"/>
    <n v="0"/>
    <n v="492267"/>
    <s v="RM Consumables"/>
    <s v="Ink"/>
    <s v="Ink"/>
    <s v="RM"/>
    <s v="erp"/>
    <n v="0"/>
    <n v="75942.53"/>
    <n v="1183"/>
    <s v="21-08-2026"/>
    <s v="27AAECV8365Q1ZC"/>
    <s v="storepil6"/>
    <s v="storegrp"/>
    <n v="0"/>
    <n v="0"/>
    <n v="0"/>
    <n v="0"/>
    <n v="18"/>
    <n v="16038"/>
    <n v="0"/>
    <n v="292266943272"/>
    <d v="2026-08-17T00:00:00"/>
    <n v="0"/>
  </r>
  <r>
    <s v="HCP Plastene Bulkpack Ltd (Unit - IV)"/>
    <s v="22-08-2026"/>
    <s v="HPBL4/26-27/SII01246"/>
    <s v="RAW05729"/>
    <x v="24"/>
    <s v="HPBL4/26-27/RWM00007/08"/>
    <s v="HPBL4/RAW/26-27/470"/>
    <n v="50"/>
    <n v="50"/>
    <s v="Kgs"/>
    <n v="50"/>
    <n v="0"/>
    <n v="50"/>
    <s v="GJ12BW3301"/>
    <s v="Vyankatesh Udyog (I) Pvt Ltd - Purchase"/>
    <s v="Vyankatesh Udyog (I) Pvt Ltd - Purchase"/>
    <s v="1510/26-27"/>
    <s v="17-08-2026"/>
    <s v="RAW MATERIAL"/>
    <s v="INDIGENOUS"/>
    <s v="RM 548"/>
    <n v="300"/>
    <n v="332.481792086452"/>
    <s v="1510/26-27"/>
    <s v="17-08-2026"/>
    <m/>
    <s v="-"/>
    <m/>
    <s v="V-Trans ( India ) Ltd."/>
    <n v="4102516917"/>
    <n v="0"/>
    <n v="0"/>
    <n v="0"/>
    <n v="0"/>
    <n v="0"/>
    <s v="VAT"/>
    <n v="0"/>
    <n v="0"/>
    <n v="0"/>
    <n v="0"/>
    <n v="0"/>
    <m/>
    <n v="0"/>
    <n v="0"/>
    <n v="492267"/>
    <s v="RM Consumables"/>
    <s v="Ink"/>
    <s v="Ink"/>
    <s v="RM"/>
    <s v="erp"/>
    <n v="0"/>
    <n v="16624.09"/>
    <n v="1183"/>
    <s v="21-08-2026"/>
    <s v="27AAECV8365Q1ZC"/>
    <s v="storepil6"/>
    <s v="storegrp"/>
    <n v="0"/>
    <n v="0"/>
    <n v="0"/>
    <n v="0"/>
    <n v="18"/>
    <n v="2700"/>
    <n v="0"/>
    <n v="292266943272"/>
    <d v="2026-08-17T00:00:00"/>
    <n v="0"/>
  </r>
  <r>
    <s v="HCP Plastene Bulkpack Ltd (Unit - IV)"/>
    <s v="22-08-2026"/>
    <s v="HPBL4/26-27/SII01246"/>
    <s v="RAW05730"/>
    <x v="25"/>
    <s v="HPBL4/26-27/RWM00007/05"/>
    <s v="HPBL4/RAW/26-27/470"/>
    <n v="50"/>
    <n v="50"/>
    <s v="Kgs"/>
    <n v="50"/>
    <n v="0"/>
    <n v="50"/>
    <s v="GJ12BW3301"/>
    <s v="Vyankatesh Udyog (I) Pvt Ltd - Purchase"/>
    <s v="Vyankatesh Udyog (I) Pvt Ltd - Purchase"/>
    <s v="1510/26-27"/>
    <s v="17-08-2026"/>
    <s v="RAW MATERIAL"/>
    <s v="INDIGENOUS"/>
    <s v="RM 548"/>
    <n v="345"/>
    <n v="378.89924702995103"/>
    <s v="1510/26-27"/>
    <s v="17-08-2026"/>
    <m/>
    <s v="-"/>
    <m/>
    <s v="V-Trans ( India ) Ltd."/>
    <n v="4102516917"/>
    <n v="0"/>
    <n v="0"/>
    <n v="0"/>
    <n v="0"/>
    <n v="0"/>
    <s v="VAT"/>
    <n v="0"/>
    <n v="0"/>
    <n v="0"/>
    <n v="0"/>
    <n v="0"/>
    <m/>
    <n v="0"/>
    <n v="0"/>
    <n v="492267"/>
    <s v="RM Consumables"/>
    <s v="Ink"/>
    <s v="Ink"/>
    <s v="RM"/>
    <s v="erp"/>
    <n v="0"/>
    <n v="18944.96"/>
    <n v="1183"/>
    <s v="21-08-2026"/>
    <s v="27AAECV8365Q1ZC"/>
    <s v="storepil6"/>
    <s v="storegrp"/>
    <n v="0"/>
    <n v="0"/>
    <n v="0"/>
    <n v="0"/>
    <n v="18"/>
    <n v="3105"/>
    <n v="0"/>
    <n v="292266943272"/>
    <d v="2026-08-17T00:00:00"/>
    <n v="0"/>
  </r>
  <r>
    <s v="HCP Plastene Bulkpack Ltd (Unit - IV)"/>
    <s v="22-08-2026"/>
    <s v="HPBL4/26-27/SII01246"/>
    <s v="RAW05731"/>
    <x v="26"/>
    <s v="HPBL4/26-27/RWM00007/07"/>
    <s v="HPBL4/RAW/26-27/470"/>
    <n v="100"/>
    <n v="100"/>
    <s v="Kgs"/>
    <n v="100"/>
    <n v="0"/>
    <n v="100"/>
    <s v="GJ12BW3301"/>
    <s v="Vyankatesh Udyog (I) Pvt Ltd - Purchase"/>
    <s v="Vyankatesh Udyog (I) Pvt Ltd - Purchase"/>
    <s v="1510/26-27"/>
    <s v="17-08-2026"/>
    <s v="RAW MATERIAL"/>
    <s v="INDIGENOUS"/>
    <s v="RM 548"/>
    <n v="292"/>
    <n v="306.00650153810102"/>
    <s v="1510/26-27"/>
    <s v="17-08-2026"/>
    <m/>
    <s v="-"/>
    <m/>
    <s v="V-Trans ( India ) Ltd."/>
    <n v="4102516917"/>
    <n v="0"/>
    <n v="0"/>
    <n v="0"/>
    <n v="0"/>
    <n v="0"/>
    <s v="VAT"/>
    <n v="0"/>
    <n v="0"/>
    <n v="0"/>
    <n v="0"/>
    <n v="0"/>
    <m/>
    <n v="0"/>
    <n v="0"/>
    <n v="492267"/>
    <s v="RM Consumables"/>
    <s v="Ink"/>
    <s v="Ink"/>
    <s v="RM"/>
    <s v="erp"/>
    <n v="0"/>
    <n v="30600.65"/>
    <n v="1183"/>
    <s v="21-08-2026"/>
    <s v="27AAECV8365Q1ZC"/>
    <s v="storepil6"/>
    <s v="storegrp"/>
    <n v="0"/>
    <n v="0"/>
    <n v="0"/>
    <n v="0"/>
    <n v="18"/>
    <n v="5256"/>
    <n v="0"/>
    <n v="292266943272"/>
    <d v="2026-08-17T00:00:00"/>
    <n v="0"/>
  </r>
  <r>
    <s v="HCP Plastene Bulkpack Ltd (Unit - IV)"/>
    <s v="22-08-2026"/>
    <s v="HPBL4/26-27/SII01246"/>
    <s v="RAW05733"/>
    <x v="18"/>
    <s v="HPBL4/26-27/RWM00007/09"/>
    <s v="HPBL4/RAW/26-27/470"/>
    <n v="25"/>
    <n v="25"/>
    <s v="Kgs"/>
    <n v="25"/>
    <n v="0"/>
    <n v="25"/>
    <s v="GJ12BW3301"/>
    <s v="Vyankatesh Udyog (I) Pvt Ltd - Purchase"/>
    <s v="Vyankatesh Udyog (I) Pvt Ltd - Purchase"/>
    <s v="1510/26-27"/>
    <s v="17-08-2026"/>
    <s v="RAW MATERIAL"/>
    <s v="INDIGENOUS"/>
    <s v="RM 548"/>
    <n v="515"/>
    <n v="575.71819007607598"/>
    <s v="1510/26-27"/>
    <s v="17-08-2026"/>
    <m/>
    <s v="-"/>
    <m/>
    <s v="V-Trans ( India ) Ltd."/>
    <n v="4102516917"/>
    <n v="0"/>
    <n v="0"/>
    <n v="0"/>
    <n v="0"/>
    <n v="0"/>
    <s v="VAT"/>
    <n v="0"/>
    <n v="0"/>
    <n v="0"/>
    <n v="0"/>
    <n v="0"/>
    <m/>
    <n v="0"/>
    <n v="0"/>
    <n v="492267"/>
    <s v="RM Consumables"/>
    <s v="Ink"/>
    <s v="Ink"/>
    <s v="RM"/>
    <s v="erp"/>
    <n v="0"/>
    <n v="14392.95"/>
    <n v="1183"/>
    <s v="21-08-2026"/>
    <s v="27AAECV8365Q1ZC"/>
    <s v="storepil6"/>
    <s v="storegrp"/>
    <n v="0"/>
    <n v="0"/>
    <n v="0"/>
    <n v="0"/>
    <n v="18"/>
    <n v="2317.5"/>
    <n v="0"/>
    <n v="292266943272"/>
    <d v="2026-08-17T00:00:00"/>
    <n v="0"/>
  </r>
  <r>
    <s v="HCP Plastene Bulkpack Ltd (Unit - IV)"/>
    <s v="22-08-2026"/>
    <s v="HPBL4/26-27/SII01246"/>
    <s v="RAW05759"/>
    <x v="27"/>
    <s v="HPBL4/26-27/RWM00007/03"/>
    <s v="HPBL4/RAW/26-27/470"/>
    <n v="50"/>
    <n v="50"/>
    <s v="Kgs"/>
    <n v="50"/>
    <n v="0"/>
    <n v="50"/>
    <s v="GJ12BW3301"/>
    <s v="Vyankatesh Udyog (I) Pvt Ltd - Purchase"/>
    <s v="Vyankatesh Udyog (I) Pvt Ltd - Purchase"/>
    <s v="1510/26-27"/>
    <s v="17-08-2026"/>
    <s v="RAW MATERIAL"/>
    <s v="INDIGENOUS"/>
    <s v="RM 548"/>
    <n v="292"/>
    <n v="324.14103798581601"/>
    <s v="1510/26-27"/>
    <s v="17-08-2026"/>
    <m/>
    <s v="-"/>
    <m/>
    <s v="V-Trans ( India ) Ltd."/>
    <n v="4102516917"/>
    <n v="0"/>
    <n v="0"/>
    <n v="0"/>
    <n v="0"/>
    <n v="0"/>
    <s v="VAT"/>
    <n v="0"/>
    <n v="0"/>
    <n v="0"/>
    <n v="0"/>
    <n v="0"/>
    <m/>
    <n v="0"/>
    <n v="0"/>
    <n v="492267"/>
    <s v="RM Consumables"/>
    <s v="Ink"/>
    <s v="Ink"/>
    <s v="RM"/>
    <s v="erp"/>
    <n v="0"/>
    <n v="16207.05"/>
    <n v="1183"/>
    <s v="21-08-2026"/>
    <s v="27AAECV8365Q1ZC"/>
    <s v="storepil6"/>
    <s v="storegrp"/>
    <n v="0"/>
    <n v="0"/>
    <n v="0"/>
    <n v="0"/>
    <n v="18"/>
    <n v="2628"/>
    <n v="0"/>
    <n v="292266943272"/>
    <d v="2026-08-17T00:00:00"/>
    <n v="0"/>
  </r>
  <r>
    <s v="HCP Plastene Bulkpack Ltd (Unit - IV)"/>
    <s v="22-08-2026"/>
    <s v="HPBL4/26-27/SII01246"/>
    <s v="RAW05761"/>
    <x v="28"/>
    <s v="HPBL4/26-27/RWM00007/01"/>
    <s v="HPBL4/RAW/26-27/470"/>
    <n v="400"/>
    <n v="400"/>
    <s v="Kgs"/>
    <n v="400"/>
    <n v="0"/>
    <n v="400"/>
    <s v="GJ12BW3301"/>
    <s v="Vyankatesh Udyog (I) Pvt Ltd - Purchase"/>
    <s v="Vyankatesh Udyog (I) Pvt Ltd - Purchase"/>
    <s v="1510/26-27"/>
    <s v="17-08-2026"/>
    <s v="RAW MATERIAL"/>
    <s v="INDIGENOUS"/>
    <s v="RM 548"/>
    <n v="232"/>
    <n v="195.48615492584099"/>
    <s v="1510/26-27"/>
    <s v="17-08-2026"/>
    <m/>
    <s v="-"/>
    <m/>
    <s v="V-Trans ( India ) Ltd."/>
    <n v="4102516917"/>
    <n v="0"/>
    <n v="0"/>
    <n v="0"/>
    <n v="0"/>
    <n v="0"/>
    <s v="VAT"/>
    <n v="0"/>
    <n v="0"/>
    <n v="0"/>
    <n v="0"/>
    <n v="0"/>
    <m/>
    <n v="0"/>
    <n v="0"/>
    <n v="492267"/>
    <s v="RM Consumables"/>
    <s v="Ink"/>
    <s v="Ink"/>
    <s v="RM"/>
    <s v="erp"/>
    <n v="0"/>
    <n v="78194.460000000006"/>
    <n v="1183"/>
    <s v="21-08-2026"/>
    <s v="27AAECV8365Q1ZC"/>
    <s v="storepil6"/>
    <s v="storegrp"/>
    <n v="0"/>
    <n v="0"/>
    <n v="0"/>
    <n v="0"/>
    <n v="18"/>
    <n v="16704"/>
    <n v="0"/>
    <n v="292266943272"/>
    <d v="2026-08-17T00:00:00"/>
    <n v="0"/>
  </r>
  <r>
    <s v="HCP Plastene Bulkpack Ltd (Unit - IV)"/>
    <s v="22-08-2026"/>
    <s v="HPBL4/26-27/SII01247"/>
    <s v="SMF00146"/>
    <x v="11"/>
    <m/>
    <s v="HPBL4/RAW/26-27/511"/>
    <n v="178"/>
    <n v="178"/>
    <s v="Kgs"/>
    <n v="178"/>
    <n v="0"/>
    <n v="178"/>
    <s v="GJ24X5687"/>
    <s v="HCP Plastene Bulkpack Limited - Purchase"/>
    <s v="HCP Plastene Bulkpack Limited - Purchase"/>
    <s v="HPBL/DC/40"/>
    <s v="19-08-2026"/>
    <s v="RAW MATERIAL"/>
    <s v="INDIGENOUS"/>
    <s v="RM 549"/>
    <n v="170.95"/>
    <n v="170.95"/>
    <s v="HPBL/DC/40"/>
    <s v="19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30429.1"/>
    <s v="SF"/>
    <s v="Liners"/>
    <s v="LDPE/LLDPE Bags"/>
    <s v="RM"/>
    <s v="erp"/>
    <n v="0"/>
    <n v="30429.1"/>
    <n v="18"/>
    <s v="22-08-2026"/>
    <s v="24AABCG1282C2Z6"/>
    <s v="storepil6"/>
    <s v="storepil6"/>
    <n v="0"/>
    <n v="0"/>
    <n v="0"/>
    <n v="0"/>
    <n v="0"/>
    <n v="0"/>
    <n v="30429.1"/>
    <n v="652166179715"/>
    <d v="2026-08-21T00:00:00"/>
    <n v="0"/>
  </r>
  <r>
    <s v="HCP Plastene Bulkpack Ltd (Unit - IV)"/>
    <s v="22-08-2026"/>
    <s v="HPBL4/26-27/SII01248"/>
    <s v="WIP00023"/>
    <x v="0"/>
    <m/>
    <s v="HPBL4/RAW/26-27/512"/>
    <n v="1255"/>
    <n v="1255"/>
    <s v="Kgs"/>
    <n v="1255"/>
    <n v="0"/>
    <n v="1255"/>
    <s v="GJ12BY0479/GJ12BT2409"/>
    <s v="Plastene India ltd - Unit 1-Purchase"/>
    <s v="Plastene India ltd - Unit 1-Purchase"/>
    <s v="PIL1/D/1449"/>
    <s v="22-08-2026"/>
    <s v="RAW MATERIAL"/>
    <s v="INDIGENOUS"/>
    <s v="RM 550"/>
    <n v="144.32"/>
    <n v="144.32000057253799"/>
    <s v="PIL1/D/1449"/>
    <s v="22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2016565.08"/>
    <s v="SF"/>
    <s v="PP/PE Fabric"/>
    <s v="PP UL Fabric"/>
    <s v="RM"/>
    <s v="erp"/>
    <n v="0"/>
    <n v="181121.6"/>
    <n v="1193"/>
    <s v="22-08-2026"/>
    <s v="24AAACO3087C1ZT"/>
    <s v="storepil6"/>
    <s v="storepil6"/>
    <n v="9"/>
    <n v="16300.94"/>
    <n v="9"/>
    <n v="16300.94"/>
    <n v="0"/>
    <n v="0"/>
    <n v="2016565.08"/>
    <s v="6221 6808 0490"/>
    <d v="2026-08-22T00:00:00"/>
    <n v="0"/>
  </r>
  <r>
    <s v="HCP Plastene Bulkpack Ltd (Unit - IV)"/>
    <s v="22-08-2026"/>
    <s v="HPBL4/26-27/SII01248"/>
    <s v="WIP00023"/>
    <x v="0"/>
    <m/>
    <s v="HPBL4/RAW/26-27/512"/>
    <n v="718"/>
    <n v="718"/>
    <s v="Kgs"/>
    <n v="718"/>
    <n v="0"/>
    <n v="718"/>
    <s v="GJ12BY0479/GJ12BT2409"/>
    <s v="Plastene India ltd - Unit 1-Purchase"/>
    <s v="Plastene India ltd - Unit 1-Purchase"/>
    <s v="PIL1/D/1449"/>
    <s v="22-08-2026"/>
    <s v="RAW MATERIAL"/>
    <s v="INDIGENOUS"/>
    <s v="RM 550"/>
    <n v="145.32"/>
    <n v="145.32000057650501"/>
    <s v="PIL1/D/1449"/>
    <s v="22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2016565.08"/>
    <s v="SF"/>
    <s v="PP/PE Fabric"/>
    <s v="PP UL Fabric"/>
    <s v="RM"/>
    <s v="erp"/>
    <n v="0"/>
    <n v="104339.76"/>
    <n v="1193"/>
    <s v="22-08-2026"/>
    <s v="24AAACO3087C1ZT"/>
    <s v="storepil6"/>
    <s v="storepil6"/>
    <n v="9"/>
    <n v="9390.58"/>
    <n v="9"/>
    <n v="9390.58"/>
    <n v="0"/>
    <n v="0"/>
    <n v="0"/>
    <s v="6221 6808 0490"/>
    <d v="2026-08-22T00:00:00"/>
    <n v="0"/>
  </r>
  <r>
    <s v="HCP Plastene Bulkpack Ltd (Unit - IV)"/>
    <s v="22-08-2026"/>
    <s v="HPBL4/26-27/SII01248"/>
    <s v="WIP00023"/>
    <x v="0"/>
    <m/>
    <s v="HPBL4/RAW/26-27/512"/>
    <n v="8400"/>
    <n v="8400"/>
    <s v="Kgs"/>
    <n v="8400"/>
    <n v="0"/>
    <n v="8400"/>
    <s v="GJ12BY0479/GJ12BT2409"/>
    <s v="Plastene India ltd - Unit 1-Purchase"/>
    <s v="Plastene India ltd - Unit 1-Purchase"/>
    <s v="PIL1/D/1449"/>
    <s v="22-08-2026"/>
    <s v="RAW MATERIAL"/>
    <s v="INDIGENOUS"/>
    <s v="RM 550"/>
    <n v="142.32"/>
    <n v="142.32000056460399"/>
    <s v="PIL1/D/1449"/>
    <s v="22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2016565.08"/>
    <s v="SF"/>
    <s v="PP/PE Fabric"/>
    <s v="PP UL Fabric"/>
    <s v="RM"/>
    <s v="erp"/>
    <n v="0"/>
    <n v="1195488"/>
    <n v="1193"/>
    <s v="22-08-2026"/>
    <s v="24AAACO3087C1ZT"/>
    <s v="storepil6"/>
    <s v="storepil6"/>
    <n v="9"/>
    <n v="107593.92"/>
    <n v="9"/>
    <n v="107593.92"/>
    <n v="0"/>
    <n v="0"/>
    <n v="0"/>
    <s v="6221 6808 0490"/>
    <d v="2026-08-22T00:00:00"/>
    <n v="0"/>
  </r>
  <r>
    <s v="HCP Plastene Bulkpack Ltd (Unit - IV)"/>
    <s v="22-08-2026"/>
    <s v="HPBL4/26-27/SII01248"/>
    <s v="WIP00032"/>
    <x v="2"/>
    <m/>
    <s v="HPBL4/RAW/26-27/512"/>
    <n v="23.8"/>
    <n v="23.8"/>
    <s v="Kgs"/>
    <n v="23.8"/>
    <n v="0"/>
    <n v="23.8"/>
    <s v="GJ12BY0479/GJ12BT2409"/>
    <s v="Plastene India ltd - Unit 1-Purchase"/>
    <s v="Plastene India ltd - Unit 1-Purchase"/>
    <s v="PIL1/D/1449"/>
    <s v="22-08-2026"/>
    <s v="RAW MATERIAL"/>
    <s v="INDIGENOUS"/>
    <s v="RM 550"/>
    <n v="168.32"/>
    <n v="168.32000066774901"/>
    <s v="PIL1/D/1449"/>
    <s v="22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2016565.08"/>
    <s v="SF"/>
    <s v="Webbing"/>
    <s v="PP Webbing"/>
    <s v="RM"/>
    <s v="erp"/>
    <n v="0"/>
    <n v="4006.02"/>
    <n v="1193"/>
    <s v="22-08-2026"/>
    <s v="24AAACO3087C1ZT"/>
    <s v="storepil6"/>
    <s v="storepil6"/>
    <n v="9"/>
    <n v="360.54"/>
    <n v="9"/>
    <n v="360.54"/>
    <n v="0"/>
    <n v="0"/>
    <n v="0"/>
    <s v="6221 6808 0490"/>
    <d v="2026-08-22T00:00:00"/>
    <n v="0"/>
  </r>
  <r>
    <s v="HCP Plastene Bulkpack Ltd (Unit - IV)"/>
    <s v="22-08-2026"/>
    <s v="HPBL4/26-27/SII01248"/>
    <s v="WIP00032"/>
    <x v="2"/>
    <m/>
    <s v="HPBL4/RAW/26-27/512"/>
    <n v="1457.3"/>
    <n v="1457.3"/>
    <s v="Kgs"/>
    <n v="1457.3"/>
    <n v="0"/>
    <n v="1457.3"/>
    <s v="GJ12BY0479/GJ12BT2409"/>
    <s v="Plastene India ltd - Unit 1-Purchase"/>
    <s v="Plastene India ltd - Unit 1-Purchase"/>
    <s v="PIL1/D/1449"/>
    <s v="22-08-2026"/>
    <s v="RAW MATERIAL"/>
    <s v="INDIGENOUS"/>
    <s v="RM 550"/>
    <n v="147.32"/>
    <n v="147.32000058443899"/>
    <s v="PIL1/D/1449"/>
    <s v="22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2016565.08"/>
    <s v="SF"/>
    <s v="Webbing"/>
    <s v="PP Webbing"/>
    <s v="RM"/>
    <s v="erp"/>
    <n v="0"/>
    <n v="214689.44"/>
    <n v="1193"/>
    <s v="22-08-2026"/>
    <s v="24AAACO3087C1ZT"/>
    <s v="storepil6"/>
    <s v="storepil6"/>
    <n v="9"/>
    <n v="19322.05"/>
    <n v="9"/>
    <n v="19322.05"/>
    <n v="0"/>
    <n v="0"/>
    <n v="0"/>
    <s v="6221 6808 0490"/>
    <d v="2026-08-22T00:00:00"/>
    <n v="0"/>
  </r>
  <r>
    <s v="HCP Plastene Bulkpack Ltd (Unit - IV)"/>
    <s v="22-08-2026"/>
    <s v="HPBL4/26-27/SII01248"/>
    <s v="WIP00032"/>
    <x v="2"/>
    <m/>
    <s v="HPBL4/RAW/26-27/512"/>
    <n v="64.5"/>
    <n v="64.5"/>
    <s v="Kgs"/>
    <n v="64.5"/>
    <n v="0"/>
    <n v="64.5"/>
    <s v="GJ12BY0479/GJ12BT2409"/>
    <s v="Plastene India ltd - Unit 1-Purchase"/>
    <s v="Plastene India ltd - Unit 1-Purchase"/>
    <s v="PIL1/D/1449"/>
    <s v="22-08-2026"/>
    <s v="RAW MATERIAL"/>
    <s v="INDIGENOUS"/>
    <s v="RM 550"/>
    <n v="144.32"/>
    <n v="144.32000057253799"/>
    <s v="PIL1/D/1449"/>
    <s v="22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2016565.08"/>
    <s v="SF"/>
    <s v="Webbing"/>
    <s v="PP Webbing"/>
    <s v="RM"/>
    <s v="erp"/>
    <n v="0"/>
    <n v="9308.64"/>
    <n v="1193"/>
    <s v="22-08-2026"/>
    <s v="24AAACO3087C1ZT"/>
    <s v="storepil6"/>
    <s v="storepil6"/>
    <n v="9"/>
    <n v="837.78"/>
    <n v="9"/>
    <n v="837.78"/>
    <n v="0"/>
    <n v="0"/>
    <n v="0"/>
    <s v="6221 6808 0490"/>
    <d v="2026-08-22T00:00:00"/>
    <n v="0"/>
  </r>
  <r>
    <s v="HCP Plastene Bulkpack Ltd (Unit - IV)"/>
    <s v="22-08-2026"/>
    <s v="HPBL4/26-27/SII01250"/>
    <s v="wip00013"/>
    <x v="3"/>
    <m/>
    <s v="HPBL4/RAW/26-27/513"/>
    <n v="319"/>
    <n v="319"/>
    <s v="Kgs"/>
    <n v="319"/>
    <n v="0"/>
    <n v="319"/>
    <s v="GJ39T3534"/>
    <s v="Plastene India ltd - Unit 1-Purchase"/>
    <s v="Plastene India ltd - Unit 1-Purchase"/>
    <s v="PIL1/D/1458"/>
    <s v="22-08-2026"/>
    <s v="RAW MATERIAL"/>
    <s v="INDIGENOUS"/>
    <s v="RM 551"/>
    <n v="176.86"/>
    <n v="176.86"/>
    <s v="PIL1/D/1458"/>
    <s v="22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276729.3"/>
    <s v="SF"/>
    <s v="Liners"/>
    <s v="LDPE/LLDPE Bags"/>
    <s v="RM"/>
    <s v="erp"/>
    <n v="0"/>
    <n v="56418.34"/>
    <n v="1194"/>
    <s v="22-08-2026"/>
    <s v="24AAACO3087C1ZT"/>
    <s v="storepil6"/>
    <s v="storepil6"/>
    <n v="9"/>
    <n v="5077.6499999999996"/>
    <n v="9"/>
    <n v="5077.6499999999996"/>
    <n v="0"/>
    <n v="0"/>
    <n v="276729.3"/>
    <n v="662168475867"/>
    <d v="2026-08-22T00:00:00"/>
    <n v="0"/>
  </r>
  <r>
    <s v="HCP Plastene Bulkpack Ltd (Unit - IV)"/>
    <s v="22-08-2026"/>
    <s v="HPBL4/26-27/SII01250"/>
    <s v="wip00013"/>
    <x v="3"/>
    <m/>
    <s v="HPBL4/RAW/26-27/513"/>
    <n v="1007"/>
    <n v="1007"/>
    <s v="Kgs"/>
    <n v="1007"/>
    <n v="0"/>
    <n v="1007"/>
    <s v="GJ39T3534"/>
    <s v="Plastene India ltd - Unit 1-Purchase"/>
    <s v="Plastene India ltd - Unit 1-Purchase"/>
    <s v="PIL1/D/1458"/>
    <s v="22-08-2026"/>
    <s v="RAW MATERIAL"/>
    <s v="INDIGENOUS"/>
    <s v="RM 551"/>
    <n v="176.86"/>
    <n v="176.86"/>
    <s v="PIL1/D/1458"/>
    <s v="22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276729.3"/>
    <s v="SF"/>
    <s v="Liners"/>
    <s v="LDPE/LLDPE Bags"/>
    <s v="RM"/>
    <s v="erp"/>
    <n v="0"/>
    <n v="178098.02"/>
    <n v="1194"/>
    <s v="22-08-2026"/>
    <s v="24AAACO3087C1ZT"/>
    <s v="storepil6"/>
    <s v="storepil6"/>
    <n v="9"/>
    <n v="16028.82"/>
    <n v="9"/>
    <n v="16028.82"/>
    <n v="0"/>
    <n v="0"/>
    <n v="0"/>
    <n v="662168475867"/>
    <d v="2026-08-22T00:00:00"/>
    <n v="0"/>
  </r>
  <r>
    <s v="HCP Plastene Bulkpack Ltd (Unit - IV)"/>
    <s v="23-08-2026"/>
    <s v="HPBL4/26-27/SII01251"/>
    <s v="wip00013"/>
    <x v="3"/>
    <m/>
    <s v="HPBL4/RAW/26-27/514"/>
    <n v="1350"/>
    <n v="1350"/>
    <s v="Kgs"/>
    <n v="1350"/>
    <n v="0"/>
    <n v="1350"/>
    <s v="GJ39TB3534"/>
    <s v="Plastene India ltd - Unit 1-Purchase"/>
    <s v="Plastene India ltd - Unit 1-Purchase"/>
    <s v="PIL1/D/1455"/>
    <s v="22-08-2026"/>
    <s v="RAW MATERIAL"/>
    <s v="INDIGENOUS"/>
    <s v="RM 552"/>
    <n v="176.86"/>
    <n v="176.86"/>
    <s v="PIL1/D/1455"/>
    <s v="22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281737.98"/>
    <s v="SF"/>
    <s v="Liners"/>
    <s v="LDPE/LLDPE Bags"/>
    <s v="RM"/>
    <s v="erp"/>
    <n v="0"/>
    <n v="238761"/>
    <n v="1195"/>
    <s v="23-08-2026"/>
    <s v="24AAACO3087C1ZT"/>
    <s v="storepil6"/>
    <s v="storepil6"/>
    <n v="9"/>
    <n v="21488.49"/>
    <n v="9"/>
    <n v="21488.49"/>
    <n v="0"/>
    <n v="0"/>
    <n v="281737.98"/>
    <n v="632168445270"/>
    <d v="2026-08-22T00:00:00"/>
    <n v="0"/>
  </r>
  <r>
    <s v="HCP Plastene Bulkpack Ltd (Unit - IV)"/>
    <s v="23-08-2026"/>
    <s v="HPBL4/26-27/SII01253"/>
    <s v="WIP00023"/>
    <x v="0"/>
    <m/>
    <s v="HPBL4/RAW/26-27/515"/>
    <n v="976"/>
    <n v="976"/>
    <s v="Kgs"/>
    <n v="976"/>
    <n v="0"/>
    <n v="976"/>
    <s v="GJ12BY0479/GJ12BT2409"/>
    <s v="Plastene India ltd - Unit 1-Purchase"/>
    <s v="Plastene India ltd - Unit 1-Purchase"/>
    <s v="PIL1/D/1461"/>
    <s v="23-08-2026"/>
    <s v="RAW MATERIAL"/>
    <s v="INDIGENOUS"/>
    <s v="RM 553"/>
    <n v="144.32"/>
    <n v="144.32"/>
    <s v="PIL1/D/1461"/>
    <s v="23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2280986.08"/>
    <s v="SF"/>
    <s v="PP/PE Fabric"/>
    <s v="PP UL Fabric"/>
    <s v="RM"/>
    <s v="erp"/>
    <n v="0"/>
    <n v="140856.32000000001"/>
    <n v="1197"/>
    <s v="23-08-2026"/>
    <s v="24AAACO3087C1ZT"/>
    <s v="storepil6"/>
    <s v="storepil6"/>
    <n v="9"/>
    <n v="12677.07"/>
    <n v="9"/>
    <n v="12677.07"/>
    <n v="0"/>
    <n v="0"/>
    <n v="2280986.08"/>
    <n v="652168680905"/>
    <d v="2026-08-23T00:00:00"/>
    <n v="0"/>
  </r>
  <r>
    <s v="HCP Plastene Bulkpack Ltd (Unit - IV)"/>
    <s v="23-08-2026"/>
    <s v="HPBL4/26-27/SII01253"/>
    <s v="WIP00023"/>
    <x v="0"/>
    <m/>
    <s v="HPBL4/RAW/26-27/515"/>
    <n v="1026"/>
    <n v="1026"/>
    <s v="Kgs"/>
    <n v="1026"/>
    <n v="0"/>
    <n v="1026"/>
    <s v="GJ12BY0479/GJ12BT2409"/>
    <s v="Plastene India ltd - Unit 1-Purchase"/>
    <s v="Plastene India ltd - Unit 1-Purchase"/>
    <s v="PIL1/D/1461"/>
    <s v="23-08-2026"/>
    <s v="RAW MATERIAL"/>
    <s v="INDIGENOUS"/>
    <s v="RM 553"/>
    <n v="145.32"/>
    <n v="145.32"/>
    <s v="PIL1/D/1461"/>
    <s v="23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2280986.08"/>
    <s v="SF"/>
    <s v="PP/PE Fabric"/>
    <s v="PP UL Fabric"/>
    <s v="RM"/>
    <s v="erp"/>
    <n v="0"/>
    <n v="149098.32"/>
    <n v="1197"/>
    <s v="23-08-2026"/>
    <s v="24AAACO3087C1ZT"/>
    <s v="storepil6"/>
    <s v="storepil6"/>
    <n v="9"/>
    <n v="13418.85"/>
    <n v="9"/>
    <n v="13418.85"/>
    <n v="0"/>
    <n v="0"/>
    <n v="0"/>
    <n v="652168680905"/>
    <d v="2026-08-23T00:00:00"/>
    <n v="0"/>
  </r>
  <r>
    <s v="HCP Plastene Bulkpack Ltd (Unit - IV)"/>
    <s v="23-08-2026"/>
    <s v="HPBL4/26-27/SII01253"/>
    <s v="WIP00023"/>
    <x v="0"/>
    <m/>
    <s v="HPBL4/RAW/26-27/515"/>
    <n v="11545"/>
    <n v="11545"/>
    <s v="Kgs"/>
    <n v="11545"/>
    <n v="0"/>
    <n v="11545"/>
    <s v="GJ12BY0479/GJ12BT2409"/>
    <s v="Plastene India ltd - Unit 1-Purchase"/>
    <s v="Plastene India ltd - Unit 1-Purchase"/>
    <s v="PIL1/D/1461"/>
    <s v="23-08-2026"/>
    <s v="RAW MATERIAL"/>
    <s v="INDIGENOUS"/>
    <s v="RM 553"/>
    <n v="142.32"/>
    <n v="142.32"/>
    <s v="PIL1/D/1461"/>
    <s v="23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2280986.08"/>
    <s v="SF"/>
    <s v="PP/PE Fabric"/>
    <s v="PP UL Fabric"/>
    <s v="RM"/>
    <s v="erp"/>
    <n v="0"/>
    <n v="1643084.4"/>
    <n v="1197"/>
    <s v="23-08-2026"/>
    <s v="24AAACO3087C1ZT"/>
    <s v="storepil6"/>
    <s v="storepil6"/>
    <n v="9"/>
    <n v="147877.6"/>
    <n v="9"/>
    <n v="147877.6"/>
    <n v="0"/>
    <n v="0"/>
    <n v="0"/>
    <n v="652168680905"/>
    <d v="2026-08-23T00:00:00"/>
    <n v="0"/>
  </r>
  <r>
    <s v="HCP Plastene Bulkpack Ltd (Unit - IV)"/>
    <s v="23-08-2026"/>
    <s v="HPBL4/26-27/SII01254"/>
    <s v="WIP00004"/>
    <x v="4"/>
    <m/>
    <s v="HPBL4/RAW/26-27/516"/>
    <n v="401"/>
    <n v="401"/>
    <s v="Kgs"/>
    <n v="401"/>
    <n v="0"/>
    <n v="401"/>
    <s v="GJ12BY0479"/>
    <s v="Plastene India ltd - Unit 1-Purchase"/>
    <s v="Plastene India ltd - Unit 1-Purchase"/>
    <s v="PIL1/D/1462"/>
    <s v="23-08-2026"/>
    <s v="RAW MATERIAL"/>
    <s v="INDIGENOUS"/>
    <s v="RM 554"/>
    <n v="210.3"/>
    <n v="210.3"/>
    <s v="PIL1/D/1462"/>
    <s v="23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99509.759999999995"/>
    <s v="FG"/>
    <s v="FIBC Bags"/>
    <s v="FIBC Bags"/>
    <s v="FG"/>
    <s v="erp"/>
    <n v="0"/>
    <n v="84330.3"/>
    <n v="1198"/>
    <s v="23-08-2026"/>
    <s v="24AAACO3087C1ZT"/>
    <s v="storepil6"/>
    <s v="storepil6"/>
    <n v="9"/>
    <n v="7589.73"/>
    <n v="9"/>
    <n v="7589.73"/>
    <n v="0"/>
    <n v="0"/>
    <n v="99509.759999999995"/>
    <n v="612168686521"/>
    <d v="2026-08-23T00:00:00"/>
    <n v="0"/>
  </r>
  <r>
    <s v="HCP Plastene Bulkpack Ltd (Unit - IV)"/>
    <s v="23-08-2026"/>
    <s v="HPBL4/26-27/SII01255"/>
    <s v="wip00013"/>
    <x v="3"/>
    <m/>
    <s v="HPBL4/RAW/26-27/517"/>
    <n v="2697"/>
    <n v="2697"/>
    <s v="Kgs"/>
    <n v="2697"/>
    <n v="0"/>
    <n v="2697"/>
    <s v="gj12bt2409"/>
    <s v="Plastene India ltd - Unit 1-Purchase"/>
    <s v="Plastene India ltd - Unit 1-Purchase"/>
    <s v="PIL1/D/1463"/>
    <s v="23-08-2026"/>
    <s v="RAW MATERIAL"/>
    <s v="INDIGENOUS"/>
    <s v="RM 555"/>
    <n v="176.86"/>
    <n v="176.86"/>
    <s v="PIL1/D/1463"/>
    <s v="23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562849.88"/>
    <s v="SF"/>
    <s v="Liners"/>
    <s v="LDPE/LLDPE Bags"/>
    <s v="RM"/>
    <s v="erp"/>
    <n v="0"/>
    <n v="476991.42"/>
    <n v="1199"/>
    <s v="23-08-2026"/>
    <s v="24AAACO3087C1ZT"/>
    <s v="storepil6"/>
    <s v="storepil6"/>
    <n v="9"/>
    <n v="42929.23"/>
    <n v="9"/>
    <n v="42929.23"/>
    <n v="0"/>
    <n v="0"/>
    <n v="562849.88"/>
    <n v="682168694509"/>
    <d v="2026-08-23T00:00:00"/>
    <n v="0"/>
  </r>
  <r>
    <s v="HCP Plastene Bulkpack Ltd (Unit - IV)"/>
    <s v="23-08-2026"/>
    <s v="HPBL4/26-27/SII01256"/>
    <s v="wip00013"/>
    <x v="3"/>
    <m/>
    <s v="HPBL4/RAW/26-27/518"/>
    <n v="1.2"/>
    <n v="1.2"/>
    <s v="Kgs"/>
    <n v="1.2"/>
    <n v="0"/>
    <n v="1.2"/>
    <s v="gj12bt2409"/>
    <s v="Plastene India ltd - Unit 1-Purchase"/>
    <s v="Plastene India ltd - Unit 1-Purchase"/>
    <s v="PIL1/D/1465"/>
    <s v="23-08-2026"/>
    <s v="RAW MATERIAL"/>
    <s v="INDIGENOUS"/>
    <s v="RM 556"/>
    <n v="176.86"/>
    <n v="176.85999913424001"/>
    <s v="PIL1/D/1465"/>
    <s v="23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817131.78"/>
    <s v="SF"/>
    <s v="Liners"/>
    <s v="LDPE/LLDPE Bags"/>
    <s v="RM"/>
    <s v="erp"/>
    <n v="0"/>
    <n v="212.23"/>
    <n v="1200"/>
    <s v="23-08-2026"/>
    <s v="24AAACO3087C1ZT"/>
    <s v="storepil6"/>
    <s v="storepil6"/>
    <n v="9"/>
    <n v="19.100000000000001"/>
    <n v="9"/>
    <n v="19.100000000000001"/>
    <n v="0"/>
    <n v="0"/>
    <n v="817131.78"/>
    <n v="602168768970"/>
    <d v="2026-08-23T00:00:00"/>
    <n v="0"/>
  </r>
  <r>
    <s v="HCP Plastene Bulkpack Ltd (Unit - IV)"/>
    <s v="23-08-2026"/>
    <s v="HPBL4/26-27/SII01256"/>
    <s v="WIP00025"/>
    <x v="1"/>
    <m/>
    <s v="HPBL4/RAW/26-27/518"/>
    <n v="335"/>
    <n v="335"/>
    <s v="Kgs"/>
    <n v="335"/>
    <n v="0"/>
    <n v="335"/>
    <s v="gj12bt2409"/>
    <s v="Plastene India ltd - Unit 1-Purchase"/>
    <s v="Plastene India ltd - Unit 1-Purchase"/>
    <s v="PIL1/D/1465"/>
    <s v="23-08-2026"/>
    <s v="RAW MATERIAL"/>
    <s v="INDIGENOUS"/>
    <s v="RM 556"/>
    <n v="144.32"/>
    <n v="144.31999929352901"/>
    <s v="PIL1/D/1465"/>
    <s v="23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817131.78"/>
    <s v="SF"/>
    <s v="PP/PE Fabric"/>
    <s v="PP Lam Fabric"/>
    <s v="RM"/>
    <s v="erp"/>
    <n v="0"/>
    <n v="48347.199999999997"/>
    <n v="1200"/>
    <s v="23-08-2026"/>
    <s v="24AAACO3087C1ZT"/>
    <s v="storepil6"/>
    <s v="storepil6"/>
    <n v="9"/>
    <n v="4351.25"/>
    <n v="9"/>
    <n v="4351.25"/>
    <n v="0"/>
    <n v="0"/>
    <n v="0"/>
    <n v="602168768970"/>
    <d v="2026-08-23T00:00:00"/>
    <n v="0"/>
  </r>
  <r>
    <s v="HCP Plastene Bulkpack Ltd (Unit - IV)"/>
    <s v="23-08-2026"/>
    <s v="HPBL4/26-27/SII01256"/>
    <s v="WIP00023"/>
    <x v="0"/>
    <m/>
    <s v="HPBL4/RAW/26-27/518"/>
    <n v="745"/>
    <n v="745"/>
    <s v="Kgs"/>
    <n v="745"/>
    <n v="0"/>
    <n v="745"/>
    <s v="gj12bt2409"/>
    <s v="Plastene India ltd - Unit 1-Purchase"/>
    <s v="Plastene India ltd - Unit 1-Purchase"/>
    <s v="PIL1/D/1465"/>
    <s v="23-08-2026"/>
    <s v="RAW MATERIAL"/>
    <s v="INDIGENOUS"/>
    <s v="RM 556"/>
    <n v="144.32"/>
    <n v="144.31999929352901"/>
    <s v="PIL1/D/1465"/>
    <s v="23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817131.78"/>
    <s v="SF"/>
    <s v="PP/PE Fabric"/>
    <s v="PP UL Fabric"/>
    <s v="RM"/>
    <s v="erp"/>
    <n v="0"/>
    <n v="107518.39999999999"/>
    <n v="1200"/>
    <s v="23-08-2026"/>
    <s v="24AAACO3087C1ZT"/>
    <s v="storepil6"/>
    <s v="storepil6"/>
    <n v="9"/>
    <n v="9676.66"/>
    <n v="9"/>
    <n v="9676.66"/>
    <n v="0"/>
    <n v="0"/>
    <n v="0"/>
    <n v="602168768970"/>
    <d v="2026-08-23T00:00:00"/>
    <n v="0"/>
  </r>
  <r>
    <s v="HCP Plastene Bulkpack Ltd (Unit - IV)"/>
    <s v="23-08-2026"/>
    <s v="HPBL4/26-27/SII01256"/>
    <s v="WIP00023"/>
    <x v="0"/>
    <m/>
    <s v="HPBL4/RAW/26-27/518"/>
    <n v="1802"/>
    <n v="1802"/>
    <s v="Kgs"/>
    <n v="1802"/>
    <n v="0"/>
    <n v="1802"/>
    <s v="gj12bt2409"/>
    <s v="Plastene India ltd - Unit 1-Purchase"/>
    <s v="Plastene India ltd - Unit 1-Purchase"/>
    <s v="PIL1/D/1465"/>
    <s v="23-08-2026"/>
    <s v="RAW MATERIAL"/>
    <s v="INDIGENOUS"/>
    <s v="RM 556"/>
    <n v="142.32"/>
    <n v="142.31999930331901"/>
    <s v="PIL1/D/1465"/>
    <s v="23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817131.78"/>
    <s v="SF"/>
    <s v="PP/PE Fabric"/>
    <s v="PP UL Fabric"/>
    <s v="RM"/>
    <s v="erp"/>
    <n v="0"/>
    <n v="256460.64"/>
    <n v="1200"/>
    <s v="23-08-2026"/>
    <s v="24AAACO3087C1ZT"/>
    <s v="storepil6"/>
    <s v="storepil6"/>
    <n v="9"/>
    <n v="23081.46"/>
    <n v="9"/>
    <n v="23081.46"/>
    <n v="0"/>
    <n v="0"/>
    <n v="0"/>
    <n v="602168768970"/>
    <d v="2026-08-23T00:00:00"/>
    <n v="0"/>
  </r>
  <r>
    <s v="HCP Plastene Bulkpack Ltd (Unit - IV)"/>
    <s v="23-08-2026"/>
    <s v="HPBL4/26-27/SII01256"/>
    <s v="WIP00023"/>
    <x v="0"/>
    <m/>
    <s v="HPBL4/RAW/26-27/518"/>
    <n v="260"/>
    <n v="260"/>
    <s v="Kgs"/>
    <n v="260"/>
    <n v="0"/>
    <n v="260"/>
    <s v="gj12bt2409"/>
    <s v="Plastene India ltd - Unit 1-Purchase"/>
    <s v="Plastene India ltd - Unit 1-Purchase"/>
    <s v="PIL1/D/1465"/>
    <s v="23-08-2026"/>
    <s v="RAW MATERIAL"/>
    <s v="INDIGENOUS"/>
    <s v="RM 556"/>
    <n v="145.32"/>
    <n v="145.31999928863399"/>
    <s v="PIL1/D/1465"/>
    <s v="23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817131.78"/>
    <s v="SF"/>
    <s v="PP/PE Fabric"/>
    <s v="PP UL Fabric"/>
    <s v="RM"/>
    <s v="erp"/>
    <n v="0"/>
    <n v="37783.199999999997"/>
    <n v="1200"/>
    <s v="23-08-2026"/>
    <s v="24AAACO3087C1ZT"/>
    <s v="storepil6"/>
    <s v="storepil6"/>
    <n v="9"/>
    <n v="3400.49"/>
    <n v="9"/>
    <n v="3400.49"/>
    <n v="0"/>
    <n v="0"/>
    <n v="0"/>
    <n v="602168768970"/>
    <d v="2026-08-23T00:00:00"/>
    <n v="0"/>
  </r>
  <r>
    <s v="HCP Plastene Bulkpack Ltd (Unit - IV)"/>
    <s v="23-08-2026"/>
    <s v="HPBL4/26-27/SII01256"/>
    <s v="WIP00032"/>
    <x v="2"/>
    <m/>
    <s v="HPBL4/RAW/26-27/518"/>
    <n v="21.2"/>
    <n v="21.2"/>
    <s v="Kgs"/>
    <n v="21.2"/>
    <n v="0"/>
    <n v="21.2"/>
    <s v="gj12bt2409"/>
    <s v="Plastene India ltd - Unit 1-Purchase"/>
    <s v="Plastene India ltd - Unit 1-Purchase"/>
    <s v="PIL1/D/1465"/>
    <s v="23-08-2026"/>
    <s v="RAW MATERIAL"/>
    <s v="INDIGENOUS"/>
    <s v="RM 556"/>
    <n v="168.32"/>
    <n v="168.319999176045"/>
    <s v="PIL1/D/1465"/>
    <s v="23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817131.78"/>
    <s v="SF"/>
    <s v="Webbing"/>
    <s v="PP Webbing"/>
    <s v="RM"/>
    <s v="erp"/>
    <n v="0"/>
    <n v="3568.38"/>
    <n v="1200"/>
    <s v="23-08-2026"/>
    <s v="24AAACO3087C1ZT"/>
    <s v="storepil6"/>
    <s v="storepil6"/>
    <n v="9"/>
    <n v="321.14999999999998"/>
    <n v="9"/>
    <n v="321.14999999999998"/>
    <n v="0"/>
    <n v="0"/>
    <n v="0"/>
    <n v="602168768970"/>
    <d v="2026-08-23T00:00:00"/>
    <n v="0"/>
  </r>
  <r>
    <s v="HCP Plastene Bulkpack Ltd (Unit - IV)"/>
    <s v="23-08-2026"/>
    <s v="HPBL4/26-27/SII01256"/>
    <s v="WIP00032"/>
    <x v="2"/>
    <m/>
    <s v="HPBL4/RAW/26-27/518"/>
    <n v="1555.4"/>
    <n v="1555.4"/>
    <s v="Kgs"/>
    <n v="1555.4"/>
    <n v="0"/>
    <n v="1555.4"/>
    <s v="gj12bt2409"/>
    <s v="Plastene India ltd - Unit 1-Purchase"/>
    <s v="Plastene India ltd - Unit 1-Purchase"/>
    <s v="PIL1/D/1465"/>
    <s v="23-08-2026"/>
    <s v="RAW MATERIAL"/>
    <s v="INDIGENOUS"/>
    <s v="RM 556"/>
    <n v="147.32"/>
    <n v="147.319999278843"/>
    <s v="PIL1/D/1465"/>
    <s v="23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817131.78"/>
    <s v="SF"/>
    <s v="Webbing"/>
    <s v="PP Webbing"/>
    <s v="RM"/>
    <s v="erp"/>
    <n v="0"/>
    <n v="229141.53"/>
    <n v="1200"/>
    <s v="23-08-2026"/>
    <s v="24AAACO3087C1ZT"/>
    <s v="storepil6"/>
    <s v="storepil6"/>
    <n v="9"/>
    <n v="20622.740000000002"/>
    <n v="9"/>
    <n v="20622.740000000002"/>
    <n v="0"/>
    <n v="0"/>
    <n v="0"/>
    <n v="602168768970"/>
    <d v="2026-08-23T00:00:00"/>
    <n v="0"/>
  </r>
  <r>
    <s v="HCP Plastene Bulkpack Ltd (Unit - IV)"/>
    <s v="23-08-2026"/>
    <s v="HPBL4/26-27/SII01256"/>
    <s v="WIP00032"/>
    <x v="2"/>
    <m/>
    <s v="HPBL4/RAW/26-27/518"/>
    <n v="65.5"/>
    <n v="65.5"/>
    <s v="Kgs"/>
    <n v="65.5"/>
    <n v="0"/>
    <n v="65.5"/>
    <s v="gj12bt2409"/>
    <s v="Plastene India ltd - Unit 1-Purchase"/>
    <s v="Plastene India ltd - Unit 1-Purchase"/>
    <s v="PIL1/D/1465"/>
    <s v="23-08-2026"/>
    <s v="RAW MATERIAL"/>
    <s v="INDIGENOUS"/>
    <s v="RM 556"/>
    <n v="144.32"/>
    <n v="144.31999929352901"/>
    <s v="PIL1/D/1465"/>
    <s v="23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817131.78"/>
    <s v="SF"/>
    <s v="Webbing"/>
    <s v="PP Webbing"/>
    <s v="RM"/>
    <s v="erp"/>
    <n v="0"/>
    <n v="9452.9599999999991"/>
    <n v="1200"/>
    <s v="23-08-2026"/>
    <s v="24AAACO3087C1ZT"/>
    <s v="storepil6"/>
    <s v="storepil6"/>
    <n v="9"/>
    <n v="850.77"/>
    <n v="9"/>
    <n v="850.77"/>
    <n v="0"/>
    <n v="0"/>
    <n v="0"/>
    <n v="602168768970"/>
    <d v="2026-08-23T00:00:00"/>
    <n v="0"/>
  </r>
  <r>
    <s v="HCP Plastene Bulkpack Ltd (Unit - IV)"/>
    <s v="24-08-2026"/>
    <s v="HPBL4/26-27/SII01257"/>
    <s v="WIP00004"/>
    <x v="4"/>
    <m/>
    <s v="HPBL4/RAW/26-27/519"/>
    <n v="2570.7199999999998"/>
    <n v="2570.7199999999998"/>
    <s v="Kgs"/>
    <n v="2570.7199999999998"/>
    <n v="0"/>
    <n v="2570.7199999999998"/>
    <s v="GJ06BX6473"/>
    <s v="Hcp Plastene Bulkpack Ltd Vadodara Purchase"/>
    <s v="Hcp Plastene Bulkpack Ltd Vadodara Purchase"/>
    <s v="HPBLV/DC/10"/>
    <s v="22-08-2026"/>
    <s v="RAW MATERIAL"/>
    <s v="INDIGENOUS"/>
    <s v="RM 557"/>
    <n v="204.07"/>
    <n v="204.06999984440199"/>
    <s v="HPBLV/DC/10"/>
    <s v="22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524606.82999999996"/>
    <s v="FG"/>
    <s v="FIBC Bags"/>
    <s v="FIBC Bags"/>
    <s v="FG"/>
    <s v="erp"/>
    <n v="0"/>
    <n v="524606.82999999996"/>
    <n v="19"/>
    <s v="24-08-2026"/>
    <s v="24AABCG1282C2Z6"/>
    <s v="storepil6"/>
    <s v="storepil6"/>
    <n v="0"/>
    <n v="0"/>
    <n v="0"/>
    <n v="0"/>
    <n v="0"/>
    <n v="0"/>
    <n v="524606.82999999996"/>
    <n v="612168405843"/>
    <d v="2026-08-22T00:00:00"/>
    <n v="0"/>
  </r>
  <r>
    <s v="HCP Plastene Bulkpack Ltd (Unit - IV)"/>
    <s v="24-08-2026"/>
    <s v="HPBL4/26-27/SII01258"/>
    <s v="WIP00023"/>
    <x v="0"/>
    <m/>
    <s v="HPBL4/RAW/26-27/520"/>
    <n v="5357"/>
    <n v="5357"/>
    <s v="Kgs"/>
    <n v="5357"/>
    <n v="0"/>
    <n v="5357"/>
    <s v="gj12bt2409"/>
    <s v="Plastene India ltd - Unit 1-Purchase"/>
    <s v="Plastene India ltd - Unit 1-Purchase"/>
    <s v="PIL1/D/1469"/>
    <s v="24-08-2026"/>
    <s v="RAW MATERIAL"/>
    <s v="INDIGENOUS"/>
    <s v="RM 558"/>
    <n v="142.32"/>
    <n v="142.32"/>
    <s v="PIL1/D/1469"/>
    <s v="24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1155653.8600000001"/>
    <s v="SF"/>
    <s v="PP/PE Fabric"/>
    <s v="PP UL Fabric"/>
    <s v="RM"/>
    <s v="erp"/>
    <n v="0"/>
    <n v="762408.24"/>
    <n v="1201"/>
    <s v="24-08-2026"/>
    <s v="24AAACO3087C1ZT"/>
    <s v="storepil6"/>
    <s v="storepil6"/>
    <n v="9"/>
    <n v="68616.740000000005"/>
    <n v="9"/>
    <n v="68616.740000000005"/>
    <n v="0"/>
    <n v="0"/>
    <n v="1155653.8600000001"/>
    <n v="642168943326"/>
    <d v="2026-08-24T00:00:00"/>
    <n v="0"/>
  </r>
  <r>
    <s v="HCP Plastene Bulkpack Ltd (Unit - IV)"/>
    <s v="24-08-2026"/>
    <s v="HPBL4/26-27/SII01258"/>
    <s v="WIP00023"/>
    <x v="0"/>
    <m/>
    <s v="HPBL4/RAW/26-27/520"/>
    <n v="854"/>
    <n v="854"/>
    <s v="Kgs"/>
    <n v="854"/>
    <n v="0"/>
    <n v="854"/>
    <s v="gj12bt2409"/>
    <s v="Plastene India ltd - Unit 1-Purchase"/>
    <s v="Plastene India ltd - Unit 1-Purchase"/>
    <s v="PIL1/D/1469"/>
    <s v="24-08-2026"/>
    <s v="RAW MATERIAL"/>
    <s v="INDIGENOUS"/>
    <s v="RM 558"/>
    <n v="145.32"/>
    <n v="145.32"/>
    <s v="PIL1/D/1469"/>
    <s v="24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1155653.8600000001"/>
    <s v="SF"/>
    <s v="PP/PE Fabric"/>
    <s v="PP UL Fabric"/>
    <s v="RM"/>
    <s v="erp"/>
    <n v="0"/>
    <n v="124103.28"/>
    <n v="1201"/>
    <s v="24-08-2026"/>
    <s v="24AAACO3087C1ZT"/>
    <s v="storepil6"/>
    <s v="storepil6"/>
    <n v="9"/>
    <n v="11169.3"/>
    <n v="9"/>
    <n v="11169.3"/>
    <n v="0"/>
    <n v="0"/>
    <n v="0"/>
    <n v="642168943326"/>
    <d v="2026-08-24T00:00:00"/>
    <n v="0"/>
  </r>
  <r>
    <s v="HCP Plastene Bulkpack Ltd (Unit - IV)"/>
    <s v="24-08-2026"/>
    <s v="HPBL4/26-27/SII01258"/>
    <s v="WIP00023"/>
    <x v="0"/>
    <m/>
    <s v="HPBL4/RAW/26-27/520"/>
    <n v="248"/>
    <n v="248"/>
    <s v="Kgs"/>
    <n v="248"/>
    <n v="0"/>
    <n v="248"/>
    <s v="gj12bt2409"/>
    <s v="Plastene India ltd - Unit 1-Purchase"/>
    <s v="Plastene India ltd - Unit 1-Purchase"/>
    <s v="PIL1/D/1469"/>
    <s v="24-08-2026"/>
    <s v="RAW MATERIAL"/>
    <s v="INDIGENOUS"/>
    <s v="RM 558"/>
    <n v="144.32"/>
    <n v="144.32"/>
    <s v="PIL1/D/1469"/>
    <s v="24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1155653.8600000001"/>
    <s v="SF"/>
    <s v="PP/PE Fabric"/>
    <s v="PP UL Fabric"/>
    <s v="RM"/>
    <s v="erp"/>
    <n v="0"/>
    <n v="35791.360000000001"/>
    <n v="1201"/>
    <s v="24-08-2026"/>
    <s v="24AAACO3087C1ZT"/>
    <s v="storepil6"/>
    <s v="storepil6"/>
    <n v="9"/>
    <n v="3221.22"/>
    <n v="9"/>
    <n v="3221.22"/>
    <n v="0"/>
    <n v="0"/>
    <n v="0"/>
    <n v="642168943326"/>
    <d v="2026-08-24T00:00:00"/>
    <n v="0"/>
  </r>
  <r>
    <s v="HCP Plastene Bulkpack Ltd (Unit - IV)"/>
    <s v="24-08-2026"/>
    <s v="HPBL4/26-27/SII01258"/>
    <s v="WIP00025"/>
    <x v="1"/>
    <m/>
    <s v="HPBL4/RAW/26-27/520"/>
    <n v="390"/>
    <n v="390"/>
    <s v="Kgs"/>
    <n v="390"/>
    <n v="0"/>
    <n v="390"/>
    <s v="gj12bt2409"/>
    <s v="Plastene India ltd - Unit 1-Purchase"/>
    <s v="Plastene India ltd - Unit 1-Purchase"/>
    <s v="PIL1/D/1469"/>
    <s v="24-08-2026"/>
    <s v="RAW MATERIAL"/>
    <s v="INDIGENOUS"/>
    <s v="RM 558"/>
    <n v="146.32"/>
    <n v="146.32"/>
    <s v="PIL1/D/1469"/>
    <s v="24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1155653.8600000001"/>
    <s v="SF"/>
    <s v="PP/PE Fabric"/>
    <s v="PP Lam Fabric"/>
    <s v="RM"/>
    <s v="erp"/>
    <n v="0"/>
    <n v="57064.800000000003"/>
    <n v="1201"/>
    <s v="24-08-2026"/>
    <s v="24AAACO3087C1ZT"/>
    <s v="storepil6"/>
    <s v="storepil6"/>
    <n v="9"/>
    <n v="5135.83"/>
    <n v="9"/>
    <n v="5135.83"/>
    <n v="0"/>
    <n v="0"/>
    <n v="0"/>
    <n v="642168943326"/>
    <d v="2026-08-24T00:00:00"/>
    <n v="0"/>
  </r>
  <r>
    <s v="HCP Plastene Bulkpack Ltd (Unit - IV)"/>
    <s v="24-08-2026"/>
    <s v="HPBL4/26-27/SII01260"/>
    <s v="wip00013"/>
    <x v="3"/>
    <m/>
    <s v="HPBL4/RAW/26-27/521"/>
    <n v="4745"/>
    <n v="4745"/>
    <s v="Kgs"/>
    <n v="4745"/>
    <n v="0"/>
    <n v="4745"/>
    <s v="gj12bt2409"/>
    <s v="Plastene India ltd - Unit 1-Purchase"/>
    <s v="Plastene India ltd - Unit 1-Purchase"/>
    <s v="PIL1/D/1473"/>
    <s v="24-08-2026"/>
    <s v="RAW MATERIAL"/>
    <s v="INDIGENOUS"/>
    <s v="RM 559"/>
    <n v="176.86"/>
    <n v="176.860001075339"/>
    <s v="PIL1/D/1473"/>
    <s v="24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1315752.92"/>
    <s v="SF"/>
    <s v="Liners"/>
    <s v="LDPE/LLDPE Bags"/>
    <s v="RM"/>
    <s v="erp"/>
    <n v="0"/>
    <n v="839200.71"/>
    <n v="1204"/>
    <s v="24-08-2026"/>
    <s v="24AAACO3087C1ZT"/>
    <s v="storepil6"/>
    <s v="storepil6"/>
    <n v="9"/>
    <n v="75528.06"/>
    <n v="9"/>
    <n v="75528.06"/>
    <n v="0"/>
    <n v="0"/>
    <n v="1315752.92"/>
    <n v="652169109780"/>
    <d v="2026-08-24T00:00:00"/>
    <n v="0"/>
  </r>
  <r>
    <s v="HCP Plastene Bulkpack Ltd (Unit - IV)"/>
    <s v="24-08-2026"/>
    <s v="HPBL4/26-27/SII01260"/>
    <s v="wip00013"/>
    <x v="3"/>
    <m/>
    <s v="HPBL4/RAW/26-27/521"/>
    <n v="289"/>
    <n v="289"/>
    <s v="Kgs"/>
    <n v="289"/>
    <n v="0"/>
    <n v="289"/>
    <s v="gj12bt2409"/>
    <s v="Plastene India ltd - Unit 1-Purchase"/>
    <s v="Plastene India ltd - Unit 1-Purchase"/>
    <s v="PIL1/D/1473"/>
    <s v="24-08-2026"/>
    <s v="RAW MATERIAL"/>
    <s v="INDIGENOUS"/>
    <s v="RM 559"/>
    <n v="184.86"/>
    <n v="184.86000112398"/>
    <s v="PIL1/D/1473"/>
    <s v="24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1315752.92"/>
    <s v="SF"/>
    <s v="Liners"/>
    <s v="LDPE/LLDPE Bags"/>
    <s v="RM"/>
    <s v="erp"/>
    <n v="0"/>
    <n v="53424.54"/>
    <n v="1204"/>
    <s v="24-08-2026"/>
    <s v="24AAACO3087C1ZT"/>
    <s v="storepil6"/>
    <s v="storepil6"/>
    <n v="9"/>
    <n v="4808.21"/>
    <n v="9"/>
    <n v="4808.21"/>
    <n v="0"/>
    <n v="0"/>
    <n v="0"/>
    <n v="652169109780"/>
    <d v="2026-08-24T00:00:00"/>
    <n v="0"/>
  </r>
  <r>
    <s v="HCP Plastene Bulkpack Ltd (Unit - IV)"/>
    <s v="24-08-2026"/>
    <s v="HPBL4/26-27/SII01260"/>
    <s v="WIP00032"/>
    <x v="2"/>
    <m/>
    <s v="HPBL4/RAW/26-27/521"/>
    <n v="19.8"/>
    <n v="19.8"/>
    <s v="Kgs"/>
    <n v="19.8"/>
    <n v="0"/>
    <n v="19.8"/>
    <s v="gj12bt2409"/>
    <s v="Plastene India ltd - Unit 1-Purchase"/>
    <s v="Plastene India ltd - Unit 1-Purchase"/>
    <s v="PIL1/D/1473"/>
    <s v="24-08-2026"/>
    <s v="RAW MATERIAL"/>
    <s v="INDIGENOUS"/>
    <s v="RM 559"/>
    <n v="168.32"/>
    <n v="168.32000102341399"/>
    <s v="PIL1/D/1473"/>
    <s v="24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1315752.92"/>
    <s v="SF"/>
    <s v="Webbing"/>
    <s v="PP Webbing"/>
    <s v="RM"/>
    <s v="erp"/>
    <n v="0"/>
    <n v="3332.74"/>
    <n v="1204"/>
    <s v="24-08-2026"/>
    <s v="24AAACO3087C1ZT"/>
    <s v="storepil6"/>
    <s v="storepil6"/>
    <n v="9"/>
    <n v="299.95"/>
    <n v="9"/>
    <n v="299.95"/>
    <n v="0"/>
    <n v="0"/>
    <n v="0"/>
    <n v="652169109780"/>
    <d v="2026-08-24T00:00:00"/>
    <n v="0"/>
  </r>
  <r>
    <s v="HCP Plastene Bulkpack Ltd (Unit - IV)"/>
    <s v="24-08-2026"/>
    <s v="HPBL4/26-27/SII01260"/>
    <s v="WIP00032"/>
    <x v="2"/>
    <m/>
    <s v="HPBL4/RAW/26-27/521"/>
    <n v="1431.8"/>
    <n v="1431.8"/>
    <s v="Kgs"/>
    <n v="1431.8"/>
    <n v="0"/>
    <n v="1431.8"/>
    <s v="gj12bt2409"/>
    <s v="Plastene India ltd - Unit 1-Purchase"/>
    <s v="Plastene India ltd - Unit 1-Purchase"/>
    <s v="PIL1/D/1473"/>
    <s v="24-08-2026"/>
    <s v="RAW MATERIAL"/>
    <s v="INDIGENOUS"/>
    <s v="RM 559"/>
    <n v="147.32"/>
    <n v="147.32000089573"/>
    <s v="PIL1/D/1473"/>
    <s v="24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1315752.92"/>
    <s v="SF"/>
    <s v="Webbing"/>
    <s v="PP Webbing"/>
    <s v="RM"/>
    <s v="erp"/>
    <n v="0"/>
    <n v="210932.78"/>
    <n v="1204"/>
    <s v="24-08-2026"/>
    <s v="24AAACO3087C1ZT"/>
    <s v="storepil6"/>
    <s v="storepil6"/>
    <n v="9"/>
    <n v="18983.95"/>
    <n v="9"/>
    <n v="18983.95"/>
    <n v="0"/>
    <n v="0"/>
    <n v="0"/>
    <n v="652169109780"/>
    <d v="2026-08-24T00:00:00"/>
    <n v="0"/>
  </r>
  <r>
    <s v="HCP Plastene Bulkpack Ltd (Unit - IV)"/>
    <s v="24-08-2026"/>
    <s v="HPBL4/26-27/SII01260"/>
    <s v="WIP00032"/>
    <x v="2"/>
    <m/>
    <s v="HPBL4/RAW/26-27/521"/>
    <n v="56.5"/>
    <n v="56.5"/>
    <s v="Kgs"/>
    <n v="56.5"/>
    <n v="0"/>
    <n v="56.5"/>
    <s v="gj12bt2409"/>
    <s v="Plastene India ltd - Unit 1-Purchase"/>
    <s v="Plastene India ltd - Unit 1-Purchase"/>
    <s v="PIL1/D/1473"/>
    <s v="24-08-2026"/>
    <s v="RAW MATERIAL"/>
    <s v="INDIGENOUS"/>
    <s v="RM 559"/>
    <n v="144.32"/>
    <n v="144.32000087749"/>
    <s v="PIL1/D/1473"/>
    <s v="24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1315752.92"/>
    <s v="SF"/>
    <s v="Webbing"/>
    <s v="PP Webbing"/>
    <s v="RM"/>
    <s v="erp"/>
    <n v="0"/>
    <n v="8154.08"/>
    <n v="1204"/>
    <s v="24-08-2026"/>
    <s v="24AAACO3087C1ZT"/>
    <s v="storepil6"/>
    <s v="storepil6"/>
    <n v="9"/>
    <n v="733.87"/>
    <n v="9"/>
    <n v="733.87"/>
    <n v="0"/>
    <n v="0"/>
    <n v="0"/>
    <n v="652169109780"/>
    <d v="2026-08-24T00:00:00"/>
    <n v="0"/>
  </r>
  <r>
    <s v="HCP Plastene Bulkpack Ltd (Unit - IV)"/>
    <s v="24-08-2026"/>
    <s v="HPBL4/26-27/SII01262"/>
    <s v="WIP00023"/>
    <x v="0"/>
    <m/>
    <s v="HPBL4/RAW/26-27/522"/>
    <n v="561"/>
    <n v="561"/>
    <s v="Kgs"/>
    <n v="561"/>
    <n v="0"/>
    <n v="561"/>
    <s v="gj12bt2409"/>
    <s v="Plastene India ltd - Unit 1-Purchase"/>
    <s v="Plastene India ltd - Unit 1-Purchase"/>
    <s v="PIL1/D/1475"/>
    <s v="24-08-2026"/>
    <s v="RAW MATERIAL"/>
    <s v="INDIGENOUS"/>
    <s v="RM 560"/>
    <n v="144.32"/>
    <n v="144.32"/>
    <s v="PIL1/D/1475"/>
    <s v="24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449524.36"/>
    <s v="SF"/>
    <s v="PP/PE Fabric"/>
    <s v="PP UL Fabric"/>
    <s v="RM"/>
    <s v="erp"/>
    <n v="0"/>
    <n v="80963.520000000004"/>
    <n v="1206"/>
    <s v="24-08-2026"/>
    <s v="24AAACO3087C1ZT"/>
    <s v="storepil6"/>
    <s v="storepil6"/>
    <n v="9"/>
    <n v="7286.72"/>
    <n v="9"/>
    <n v="7286.72"/>
    <n v="0"/>
    <n v="0"/>
    <n v="449524.36"/>
    <n v="692169183885"/>
    <d v="2026-08-24T00:00:00"/>
    <n v="0"/>
  </r>
  <r>
    <s v="HCP Plastene Bulkpack Ltd (Unit - IV)"/>
    <s v="24-08-2026"/>
    <s v="HPBL4/26-27/SII01262"/>
    <s v="WIP00023"/>
    <x v="0"/>
    <m/>
    <s v="HPBL4/RAW/26-27/522"/>
    <n v="325"/>
    <n v="325"/>
    <s v="Kgs"/>
    <n v="325"/>
    <n v="0"/>
    <n v="325"/>
    <s v="gj12bt2409"/>
    <s v="Plastene India ltd - Unit 1-Purchase"/>
    <s v="Plastene India ltd - Unit 1-Purchase"/>
    <s v="PIL1/D/1475"/>
    <s v="24-08-2026"/>
    <s v="RAW MATERIAL"/>
    <s v="INDIGENOUS"/>
    <s v="RM 560"/>
    <n v="145.32"/>
    <n v="145.32"/>
    <s v="PIL1/D/1475"/>
    <s v="24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449524.36"/>
    <s v="SF"/>
    <s v="PP/PE Fabric"/>
    <s v="PP UL Fabric"/>
    <s v="RM"/>
    <s v="erp"/>
    <n v="0"/>
    <n v="47229"/>
    <n v="1206"/>
    <s v="24-08-2026"/>
    <s v="24AAACO3087C1ZT"/>
    <s v="storepil6"/>
    <s v="storepil6"/>
    <n v="9"/>
    <n v="4250.6099999999997"/>
    <n v="9"/>
    <n v="4250.6099999999997"/>
    <n v="0"/>
    <n v="0"/>
    <n v="0"/>
    <n v="692169183885"/>
    <d v="2026-08-24T00:00:00"/>
    <n v="0"/>
  </r>
  <r>
    <s v="HCP Plastene Bulkpack Ltd (Unit - IV)"/>
    <s v="24-08-2026"/>
    <s v="HPBL4/26-27/SII01262"/>
    <s v="WIP00023"/>
    <x v="0"/>
    <m/>
    <s v="HPBL4/RAW/26-27/522"/>
    <n v="1776"/>
    <n v="1776"/>
    <s v="Kgs"/>
    <n v="1776"/>
    <n v="0"/>
    <n v="1776"/>
    <s v="gj12bt2409"/>
    <s v="Plastene India ltd - Unit 1-Purchase"/>
    <s v="Plastene India ltd - Unit 1-Purchase"/>
    <s v="PIL1/D/1475"/>
    <s v="24-08-2026"/>
    <s v="RAW MATERIAL"/>
    <s v="INDIGENOUS"/>
    <s v="RM 560"/>
    <n v="142.32"/>
    <n v="142.32"/>
    <s v="PIL1/D/1475"/>
    <s v="24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449524.36"/>
    <s v="SF"/>
    <s v="PP/PE Fabric"/>
    <s v="PP UL Fabric"/>
    <s v="RM"/>
    <s v="erp"/>
    <n v="0"/>
    <n v="252760.32000000001"/>
    <n v="1206"/>
    <s v="24-08-2026"/>
    <s v="24AAACO3087C1ZT"/>
    <s v="storepil6"/>
    <s v="storepil6"/>
    <n v="9"/>
    <n v="22748.43"/>
    <n v="9"/>
    <n v="22748.43"/>
    <n v="0"/>
    <n v="0"/>
    <n v="0"/>
    <n v="692169183885"/>
    <d v="2026-08-24T00:00:00"/>
    <n v="0"/>
  </r>
  <r>
    <s v="HCP Plastene Bulkpack Ltd (Unit - IV)"/>
    <s v="25-08-2026"/>
    <s v="HPBL4/26-27/SII01263"/>
    <s v="WIP00004"/>
    <x v="4"/>
    <m/>
    <s v="HPBL4/RAW/26-27/523"/>
    <n v="4891.3999999999996"/>
    <n v="4891.3999999999996"/>
    <s v="Kgs"/>
    <n v="4891.3999999999996"/>
    <n v="0"/>
    <n v="4891.3999999999996"/>
    <s v="GJ12BT1285"/>
    <s v="K.P. Woven Pvt Ltd-Purchase"/>
    <s v="K.P. Woven Pvt Ltd-Purchase"/>
    <s v="KPV/D/662"/>
    <s v="24-08-2026"/>
    <s v="RAW MATERIAL"/>
    <s v="INDIGENOUS"/>
    <s v="RM 561"/>
    <n v="192.18"/>
    <n v="192.17999982166199"/>
    <s v="KPV/D/662"/>
    <s v="24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5388080.9900000002"/>
    <s v="FG"/>
    <s v="FIBC Bags"/>
    <s v="FIBC Bags"/>
    <s v="FG"/>
    <s v="erp"/>
    <n v="0"/>
    <n v="940029.25"/>
    <n v="1207"/>
    <s v="25-08-2026"/>
    <s v="24AAECK6307M1ZF"/>
    <s v="storepil6"/>
    <s v="storepil6"/>
    <n v="9"/>
    <n v="84602.63"/>
    <n v="9"/>
    <n v="84602.63"/>
    <n v="0"/>
    <n v="0"/>
    <n v="5388080.9900000002"/>
    <n v="602169499066"/>
    <d v="2026-08-24T00:00:00"/>
    <n v="0"/>
  </r>
  <r>
    <s v="HCP Plastene Bulkpack Ltd (Unit - IV)"/>
    <s v="25-08-2026"/>
    <s v="HPBL4/26-27/SII01263"/>
    <s v="WIP00004"/>
    <x v="4"/>
    <m/>
    <s v="HPBL4/RAW/26-27/523"/>
    <n v="2023.3"/>
    <n v="2023.3"/>
    <s v="Kgs"/>
    <n v="2023.3"/>
    <n v="0"/>
    <n v="2023.3"/>
    <s v="GJ12BT1285"/>
    <s v="K.P. Woven Pvt Ltd-Purchase"/>
    <s v="K.P. Woven Pvt Ltd-Purchase"/>
    <s v="KPV/D/662"/>
    <s v="24-08-2026"/>
    <s v="RAW MATERIAL"/>
    <s v="INDIGENOUS"/>
    <s v="RM 561"/>
    <n v="190.05"/>
    <n v="190.04999982363901"/>
    <s v="KPV/D/662"/>
    <s v="24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5388080.9900000002"/>
    <s v="FG"/>
    <s v="FIBC Bags"/>
    <s v="FIBC Bags"/>
    <s v="FG"/>
    <s v="erp"/>
    <n v="0"/>
    <n v="384528.16"/>
    <n v="1207"/>
    <s v="25-08-2026"/>
    <s v="24AAECK6307M1ZF"/>
    <s v="storepil6"/>
    <s v="storepil6"/>
    <n v="9"/>
    <n v="34607.53"/>
    <n v="9"/>
    <n v="34607.53"/>
    <n v="0"/>
    <n v="0"/>
    <n v="0"/>
    <n v="602169499066"/>
    <d v="2026-08-24T00:00:00"/>
    <n v="0"/>
  </r>
  <r>
    <s v="HCP Plastene Bulkpack Ltd (Unit - IV)"/>
    <s v="25-08-2026"/>
    <s v="HPBL4/26-27/SII01263"/>
    <s v="WIP00004"/>
    <x v="4"/>
    <m/>
    <s v="HPBL4/RAW/26-27/523"/>
    <n v="3186"/>
    <n v="3186"/>
    <s v="Kgs"/>
    <n v="3186"/>
    <n v="0"/>
    <n v="3186"/>
    <s v="GJ12BT1285"/>
    <s v="K.P. Woven Pvt Ltd-Purchase"/>
    <s v="K.P. Woven Pvt Ltd-Purchase"/>
    <s v="KPV/D/662"/>
    <s v="24-08-2026"/>
    <s v="RAW MATERIAL"/>
    <s v="INDIGENOUS"/>
    <s v="RM 561"/>
    <n v="519.72"/>
    <n v="519.71999951771295"/>
    <s v="KPV/D/662"/>
    <s v="24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5388080.9900000002"/>
    <s v="FG"/>
    <s v="FIBC Bags"/>
    <s v="FIBC Bags"/>
    <s v="FG"/>
    <s v="erp"/>
    <n v="0"/>
    <n v="1655827.92"/>
    <n v="1207"/>
    <s v="25-08-2026"/>
    <s v="24AAECK6307M1ZF"/>
    <s v="storepil6"/>
    <s v="storepil6"/>
    <n v="9"/>
    <n v="149024.51"/>
    <n v="9"/>
    <n v="149024.51"/>
    <n v="0"/>
    <n v="0"/>
    <n v="0"/>
    <n v="602169499066"/>
    <d v="2026-08-24T00:00:00"/>
    <n v="0"/>
  </r>
  <r>
    <s v="HCP Plastene Bulkpack Ltd (Unit - IV)"/>
    <s v="25-08-2026"/>
    <s v="HPBL4/26-27/SII01263"/>
    <s v="WIP00004"/>
    <x v="4"/>
    <m/>
    <s v="HPBL4/RAW/26-27/523"/>
    <n v="1617"/>
    <n v="1617"/>
    <s v="Kgs"/>
    <n v="1617"/>
    <n v="0"/>
    <n v="1617"/>
    <s v="GJ12BT1285"/>
    <s v="K.P. Woven Pvt Ltd-Purchase"/>
    <s v="K.P. Woven Pvt Ltd-Purchase"/>
    <s v="KPV/D/662"/>
    <s v="24-08-2026"/>
    <s v="RAW MATERIAL"/>
    <s v="INDIGENOUS"/>
    <s v="RM 561"/>
    <n v="196.67"/>
    <n v="196.66999981749501"/>
    <s v="KPV/D/662"/>
    <s v="24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5388080.9900000002"/>
    <s v="FG"/>
    <s v="FIBC Bags"/>
    <s v="FIBC Bags"/>
    <s v="FG"/>
    <s v="erp"/>
    <n v="0"/>
    <n v="318015.39"/>
    <n v="1207"/>
    <s v="25-08-2026"/>
    <s v="24AAECK6307M1ZF"/>
    <s v="storepil6"/>
    <s v="storepil6"/>
    <n v="9"/>
    <n v="28621.39"/>
    <n v="9"/>
    <n v="28621.39"/>
    <n v="0"/>
    <n v="0"/>
    <n v="0"/>
    <n v="602169499066"/>
    <d v="2026-08-24T00:00:00"/>
    <n v="0"/>
  </r>
  <r>
    <s v="HCP Plastene Bulkpack Ltd (Unit - IV)"/>
    <s v="25-08-2026"/>
    <s v="HPBL4/26-27/SII01263"/>
    <s v="WIP00004"/>
    <x v="4"/>
    <m/>
    <s v="HPBL4/RAW/26-27/523"/>
    <n v="4989.7"/>
    <n v="4989.7"/>
    <s v="Kgs"/>
    <n v="4989.7"/>
    <n v="0"/>
    <n v="4989.7"/>
    <s v="GJ12BT1285"/>
    <s v="K.P. Woven Pvt Ltd-Purchase"/>
    <s v="K.P. Woven Pvt Ltd-Purchase"/>
    <s v="KPV/D/662"/>
    <s v="24-08-2026"/>
    <s v="RAW MATERIAL"/>
    <s v="INDIGENOUS"/>
    <s v="RM 561"/>
    <n v="220.74"/>
    <n v="220.73999979515901"/>
    <s v="KPV/D/662"/>
    <s v="24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5388080.9900000002"/>
    <s v="FG"/>
    <s v="FIBC Bags"/>
    <s v="FIBC Bags"/>
    <s v="FG"/>
    <s v="erp"/>
    <n v="0"/>
    <n v="1101426.3799999999"/>
    <n v="1207"/>
    <s v="25-08-2026"/>
    <s v="24AAECK6307M1ZF"/>
    <s v="storepil6"/>
    <s v="storepil6"/>
    <n v="9"/>
    <n v="99128.37"/>
    <n v="9"/>
    <n v="99128.37"/>
    <n v="0"/>
    <n v="0"/>
    <n v="0"/>
    <n v="602169499066"/>
    <d v="2026-08-24T00:00:00"/>
    <n v="0"/>
  </r>
  <r>
    <s v="HCP Plastene Bulkpack Ltd (Unit - IV)"/>
    <s v="25-08-2026"/>
    <s v="HPBL4/26-27/SII01263"/>
    <s v="WIP00004"/>
    <x v="4"/>
    <m/>
    <s v="HPBL4/RAW/26-27/523"/>
    <n v="863"/>
    <n v="863"/>
    <s v="Kgs"/>
    <n v="863"/>
    <n v="0"/>
    <n v="863"/>
    <s v="GJ12BT1285"/>
    <s v="K.P. Woven Pvt Ltd-Purchase"/>
    <s v="K.P. Woven Pvt Ltd-Purchase"/>
    <s v="KPV/D/662"/>
    <s v="24-08-2026"/>
    <s v="RAW MATERIAL"/>
    <s v="INDIGENOUS"/>
    <s v="RM 561"/>
    <n v="192.75"/>
    <n v="192.749999821133"/>
    <s v="KPV/D/662"/>
    <s v="24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5388080.9900000002"/>
    <s v="FG"/>
    <s v="FIBC Bags"/>
    <s v="FIBC Bags"/>
    <s v="FG"/>
    <s v="erp"/>
    <n v="0"/>
    <n v="166343.25"/>
    <n v="1207"/>
    <s v="25-08-2026"/>
    <s v="24AAECK6307M1ZF"/>
    <s v="storepil6"/>
    <s v="storepil6"/>
    <n v="9"/>
    <n v="14970.89"/>
    <n v="9"/>
    <n v="14970.89"/>
    <n v="0"/>
    <n v="0"/>
    <n v="0"/>
    <n v="602169499066"/>
    <d v="2026-08-24T00:00:00"/>
    <n v="0"/>
  </r>
  <r>
    <s v="HCP Plastene Bulkpack Ltd (Unit - IV)"/>
    <s v="25-08-2026"/>
    <s v="HPBL4/26-27/SII01271"/>
    <s v="WIP00023"/>
    <x v="0"/>
    <m/>
    <s v="HPBL4/RAW/26-27/524"/>
    <n v="7170"/>
    <n v="7170"/>
    <s v="Kgs"/>
    <n v="7170"/>
    <n v="0"/>
    <n v="7170"/>
    <s v="GJ12BY0479"/>
    <s v="Plastene India ltd - Unit 1-Purchase"/>
    <s v="Plastene India ltd - Unit 1-Purchase"/>
    <s v="PIL1/D/1481"/>
    <s v="25-08-2026"/>
    <s v="RAW MATERIAL"/>
    <s v="INDIGENOUS"/>
    <s v="RM 562"/>
    <n v="142.32"/>
    <n v="142.32"/>
    <s v="PIL1/D/1481"/>
    <s v="25-08-2026"/>
    <m/>
    <s v="-"/>
    <m/>
    <s v="LAXMAN B BAKUTRA"/>
    <s v="279 DT 25/08/2026"/>
    <n v="0"/>
    <n v="0"/>
    <n v="0"/>
    <n v="0"/>
    <n v="0"/>
    <s v="VAT"/>
    <n v="0"/>
    <n v="0"/>
    <n v="0"/>
    <n v="0"/>
    <n v="0"/>
    <m/>
    <n v="0"/>
    <n v="0"/>
    <n v="1536290.2"/>
    <s v="SF"/>
    <s v="PP/PE Fabric"/>
    <s v="PP UL Fabric"/>
    <s v="RM"/>
    <s v="erp"/>
    <n v="0"/>
    <n v="1020434.4"/>
    <n v="1210"/>
    <s v="25-08-2026"/>
    <s v="24AAACO3087C1ZT"/>
    <s v="storepil6"/>
    <s v="storepil6"/>
    <n v="9"/>
    <n v="91839.1"/>
    <n v="9"/>
    <n v="91839.1"/>
    <n v="0"/>
    <n v="0"/>
    <n v="1536290.2"/>
    <n v="662169694601"/>
    <d v="2026-08-25T00:00:00"/>
    <n v="0"/>
  </r>
  <r>
    <s v="HCP Plastene Bulkpack Ltd (Unit - IV)"/>
    <s v="25-08-2026"/>
    <s v="HPBL4/26-27/SII01271"/>
    <s v="WIP00023"/>
    <x v="0"/>
    <m/>
    <s v="HPBL4/RAW/26-27/524"/>
    <n v="1237"/>
    <n v="1237"/>
    <s v="Kgs"/>
    <n v="1237"/>
    <n v="0"/>
    <n v="1237"/>
    <s v="GJ12BY0479"/>
    <s v="Plastene India ltd - Unit 1-Purchase"/>
    <s v="Plastene India ltd - Unit 1-Purchase"/>
    <s v="PIL1/D/1481"/>
    <s v="25-08-2026"/>
    <s v="RAW MATERIAL"/>
    <s v="INDIGENOUS"/>
    <s v="RM 562"/>
    <n v="145.32"/>
    <n v="145.32"/>
    <s v="PIL1/D/1481"/>
    <s v="25-08-2026"/>
    <m/>
    <s v="-"/>
    <m/>
    <s v="LAXMAN B BAKUTRA"/>
    <s v="279 DT 25/08/2026"/>
    <n v="0"/>
    <n v="0"/>
    <n v="0"/>
    <n v="0"/>
    <n v="0"/>
    <s v="VAT"/>
    <n v="0"/>
    <n v="0"/>
    <n v="0"/>
    <n v="0"/>
    <n v="0"/>
    <m/>
    <n v="0"/>
    <n v="0"/>
    <n v="1536290.2"/>
    <s v="SF"/>
    <s v="PP/PE Fabric"/>
    <s v="PP UL Fabric"/>
    <s v="RM"/>
    <s v="erp"/>
    <n v="0"/>
    <n v="179760.84"/>
    <n v="1210"/>
    <s v="25-08-2026"/>
    <s v="24AAACO3087C1ZT"/>
    <s v="storepil6"/>
    <s v="storepil6"/>
    <n v="9"/>
    <n v="16178.48"/>
    <n v="9"/>
    <n v="16178.48"/>
    <n v="0"/>
    <n v="0"/>
    <n v="0"/>
    <n v="662169694601"/>
    <d v="2026-08-25T00:00:00"/>
    <n v="0"/>
  </r>
  <r>
    <s v="HCP Plastene Bulkpack Ltd (Unit - IV)"/>
    <s v="25-08-2026"/>
    <s v="HPBL4/26-27/SII01271"/>
    <s v="WIP00023"/>
    <x v="0"/>
    <m/>
    <s v="HPBL4/RAW/26-27/524"/>
    <n v="705"/>
    <n v="705"/>
    <s v="Kgs"/>
    <n v="705"/>
    <n v="0"/>
    <n v="705"/>
    <s v="GJ12BY0479"/>
    <s v="Plastene India ltd - Unit 1-Purchase"/>
    <s v="Plastene India ltd - Unit 1-Purchase"/>
    <s v="PIL1/D/1481"/>
    <s v="25-08-2026"/>
    <s v="RAW MATERIAL"/>
    <s v="INDIGENOUS"/>
    <s v="RM 562"/>
    <n v="144.32"/>
    <n v="144.32"/>
    <s v="PIL1/D/1481"/>
    <s v="25-08-2026"/>
    <m/>
    <s v="-"/>
    <m/>
    <s v="LAXMAN B BAKUTRA"/>
    <s v="279 DT 25/08/2026"/>
    <n v="0"/>
    <n v="0"/>
    <n v="0"/>
    <n v="0"/>
    <n v="0"/>
    <s v="VAT"/>
    <n v="0"/>
    <n v="0"/>
    <n v="0"/>
    <n v="0"/>
    <n v="0"/>
    <m/>
    <n v="0"/>
    <n v="0"/>
    <n v="1536290.2"/>
    <s v="SF"/>
    <s v="PP/PE Fabric"/>
    <s v="PP UL Fabric"/>
    <s v="RM"/>
    <s v="erp"/>
    <n v="0"/>
    <n v="101745.60000000001"/>
    <n v="1210"/>
    <s v="25-08-2026"/>
    <s v="24AAACO3087C1ZT"/>
    <s v="storepil6"/>
    <s v="storepil6"/>
    <n v="9"/>
    <n v="9157.1"/>
    <n v="9"/>
    <n v="9157.1"/>
    <n v="0"/>
    <n v="0"/>
    <n v="0"/>
    <n v="662169694601"/>
    <d v="2026-08-25T00:00:00"/>
    <n v="0"/>
  </r>
  <r>
    <s v="HCP Plastene Bulkpack Ltd (Unit - IV)"/>
    <s v="25-08-2026"/>
    <s v="HPBL4/26-27/SII01273"/>
    <s v="wip00013"/>
    <x v="3"/>
    <m/>
    <s v="HPBL4/RAW/26-27/525"/>
    <n v="235"/>
    <n v="235"/>
    <s v="Kgs"/>
    <n v="235"/>
    <n v="0"/>
    <n v="235"/>
    <s v="GJ12BY0479"/>
    <s v="Plastene India ltd - Unit 1-Purchase"/>
    <s v="Plastene India ltd - Unit 1-Purchase"/>
    <s v="PIL1/D/1484"/>
    <s v="25-08-2026"/>
    <s v="RAW MATERIAL"/>
    <s v="INDIGENOUS"/>
    <s v="RM 563"/>
    <n v="184.86"/>
    <n v="184.86"/>
    <s v="PIL1/D/1484"/>
    <s v="25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266831.40000000002"/>
    <s v="SF"/>
    <s v="Liners"/>
    <s v="LDPE/LLDPE Bags"/>
    <s v="RM"/>
    <s v="erp"/>
    <n v="0"/>
    <n v="43442.1"/>
    <n v="1212"/>
    <s v="25-08-2026"/>
    <s v="24AAACO3087C1ZT"/>
    <s v="storepil6"/>
    <s v="storepil6"/>
    <n v="9"/>
    <n v="3909.79"/>
    <n v="9"/>
    <n v="3909.79"/>
    <n v="0"/>
    <n v="0"/>
    <n v="266831.40000000002"/>
    <n v="692169730496"/>
    <d v="2026-08-25T00:00:00"/>
    <n v="0"/>
  </r>
  <r>
    <s v="HCP Plastene Bulkpack Ltd (Unit - IV)"/>
    <s v="25-08-2026"/>
    <s v="HPBL4/26-27/SII01273"/>
    <s v="wip00013"/>
    <x v="3"/>
    <m/>
    <s v="HPBL4/RAW/26-27/525"/>
    <n v="763"/>
    <n v="763"/>
    <s v="Kgs"/>
    <n v="763"/>
    <n v="0"/>
    <n v="763"/>
    <s v="GJ12BY0479"/>
    <s v="Plastene India ltd - Unit 1-Purchase"/>
    <s v="Plastene India ltd - Unit 1-Purchase"/>
    <s v="PIL1/D/1484"/>
    <s v="25-08-2026"/>
    <s v="RAW MATERIAL"/>
    <s v="INDIGENOUS"/>
    <s v="RM 563"/>
    <n v="179.86"/>
    <n v="179.86"/>
    <s v="PIL1/D/1484"/>
    <s v="25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266831.40000000002"/>
    <s v="SF"/>
    <s v="Liners"/>
    <s v="LDPE/LLDPE Bags"/>
    <s v="RM"/>
    <s v="erp"/>
    <n v="0"/>
    <n v="137233.18"/>
    <n v="1212"/>
    <s v="25-08-2026"/>
    <s v="24AAACO3087C1ZT"/>
    <s v="storepil6"/>
    <s v="storepil6"/>
    <n v="9"/>
    <n v="12350.99"/>
    <n v="9"/>
    <n v="12350.99"/>
    <n v="0"/>
    <n v="0"/>
    <n v="0"/>
    <n v="692169730496"/>
    <d v="2026-08-25T00:00:00"/>
    <n v="0"/>
  </r>
  <r>
    <s v="HCP Plastene Bulkpack Ltd (Unit - IV)"/>
    <s v="25-08-2026"/>
    <s v="HPBL4/26-27/SII01273"/>
    <s v="wip00013"/>
    <x v="3"/>
    <m/>
    <s v="HPBL4/RAW/26-27/525"/>
    <n v="257"/>
    <n v="257"/>
    <s v="Kgs"/>
    <n v="257"/>
    <n v="0"/>
    <n v="257"/>
    <s v="GJ12BY0479"/>
    <s v="Plastene India ltd - Unit 1-Purchase"/>
    <s v="Plastene India ltd - Unit 1-Purchase"/>
    <s v="PIL1/D/1484"/>
    <s v="25-08-2026"/>
    <s v="RAW MATERIAL"/>
    <s v="INDIGENOUS"/>
    <s v="RM 563"/>
    <n v="176.86"/>
    <n v="176.86"/>
    <s v="PIL1/D/1484"/>
    <s v="25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266831.40000000002"/>
    <s v="SF"/>
    <s v="Liners"/>
    <s v="LDPE/LLDPE Bags"/>
    <s v="RM"/>
    <s v="erp"/>
    <n v="0"/>
    <n v="45453.02"/>
    <n v="1212"/>
    <s v="25-08-2026"/>
    <s v="24AAACO3087C1ZT"/>
    <s v="storepil6"/>
    <s v="storepil6"/>
    <n v="9"/>
    <n v="4090.77"/>
    <n v="9"/>
    <n v="4090.77"/>
    <n v="0"/>
    <n v="0"/>
    <n v="0"/>
    <n v="692169730496"/>
    <d v="2026-08-25T00:00:00"/>
    <n v="0"/>
  </r>
  <r>
    <s v="HCP Plastene Bulkpack Ltd (Unit - IV)"/>
    <s v="25-08-2026"/>
    <s v="HPBL4/26-27/SII01274"/>
    <s v="wip00013"/>
    <x v="3"/>
    <m/>
    <s v="HPBL4/RAW/26-27/526"/>
    <n v="3478"/>
    <n v="3478"/>
    <s v="Kgs"/>
    <n v="3478"/>
    <n v="0"/>
    <n v="3478"/>
    <s v="gj12bt2409"/>
    <s v="Plastene India ltd - Unit 1-Purchase"/>
    <s v="Plastene India ltd - Unit 1-Purchase"/>
    <s v="PIL1/D/1485"/>
    <s v="25-08-2026"/>
    <s v="RAW MATERIAL"/>
    <s v="INDIGENOUS"/>
    <s v="RM 564"/>
    <n v="176.86"/>
    <n v="176.85999964398999"/>
    <s v="PIL1/D/1485"/>
    <s v="25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993568.73"/>
    <s v="SF"/>
    <s v="Liners"/>
    <s v="LDPE/LLDPE Bags"/>
    <s v="RM"/>
    <s v="erp"/>
    <n v="0"/>
    <n v="615119.07999999996"/>
    <n v="1213"/>
    <s v="25-08-2026"/>
    <s v="24AAACO3087C1ZT"/>
    <s v="storepil6"/>
    <s v="storepil6"/>
    <n v="9"/>
    <n v="55360.72"/>
    <n v="9"/>
    <n v="55360.72"/>
    <n v="0"/>
    <n v="0"/>
    <n v="993568.73"/>
    <n v="662169843472"/>
    <d v="2026-08-25T00:00:00"/>
    <n v="0"/>
  </r>
  <r>
    <s v="HCP Plastene Bulkpack Ltd (Unit - IV)"/>
    <s v="25-08-2026"/>
    <s v="HPBL4/26-27/SII01274"/>
    <s v="WIP00032"/>
    <x v="2"/>
    <m/>
    <s v="HPBL4/RAW/26-27/526"/>
    <n v="17.3"/>
    <n v="17.3"/>
    <s v="Kgs"/>
    <n v="17.3"/>
    <n v="0"/>
    <n v="17.3"/>
    <s v="gj12bt2409"/>
    <s v="Plastene India ltd - Unit 1-Purchase"/>
    <s v="Plastene India ltd - Unit 1-Purchase"/>
    <s v="PIL1/D/1485"/>
    <s v="25-08-2026"/>
    <s v="RAW MATERIAL"/>
    <s v="INDIGENOUS"/>
    <s v="RM 564"/>
    <n v="168.32"/>
    <n v="168.31999966118099"/>
    <s v="PIL1/D/1485"/>
    <s v="25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993568.73"/>
    <s v="SF"/>
    <s v="Webbing"/>
    <s v="PP Webbing"/>
    <s v="RM"/>
    <s v="erp"/>
    <n v="0"/>
    <n v="2911.94"/>
    <n v="1213"/>
    <s v="25-08-2026"/>
    <s v="24AAACO3087C1ZT"/>
    <s v="storepil6"/>
    <s v="storepil6"/>
    <n v="9"/>
    <n v="262.07"/>
    <n v="9"/>
    <n v="262.07"/>
    <n v="0"/>
    <n v="0"/>
    <n v="0"/>
    <n v="662169843472"/>
    <d v="2026-08-25T00:00:00"/>
    <n v="0"/>
  </r>
  <r>
    <s v="HCP Plastene Bulkpack Ltd (Unit - IV)"/>
    <s v="25-08-2026"/>
    <s v="HPBL4/26-27/SII01274"/>
    <s v="WIP00032"/>
    <x v="2"/>
    <m/>
    <s v="HPBL4/RAW/26-27/526"/>
    <n v="1281.7"/>
    <n v="1281.7"/>
    <s v="Kgs"/>
    <n v="1281.7"/>
    <n v="0"/>
    <n v="1281.7"/>
    <s v="gj12bt2409"/>
    <s v="Plastene India ltd - Unit 1-Purchase"/>
    <s v="Plastene India ltd - Unit 1-Purchase"/>
    <s v="PIL1/D/1485"/>
    <s v="25-08-2026"/>
    <s v="RAW MATERIAL"/>
    <s v="INDIGENOUS"/>
    <s v="RM 564"/>
    <n v="147.32"/>
    <n v="147.31999970345299"/>
    <s v="PIL1/D/1485"/>
    <s v="25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993568.73"/>
    <s v="SF"/>
    <s v="Webbing"/>
    <s v="PP Webbing"/>
    <s v="RM"/>
    <s v="erp"/>
    <n v="0"/>
    <n v="188820.04"/>
    <n v="1213"/>
    <s v="25-08-2026"/>
    <s v="24AAACO3087C1ZT"/>
    <s v="storepil6"/>
    <s v="storepil6"/>
    <n v="9"/>
    <n v="16993.8"/>
    <n v="9"/>
    <n v="16993.8"/>
    <n v="0"/>
    <n v="0"/>
    <n v="0"/>
    <n v="662169843472"/>
    <d v="2026-08-25T00:00:00"/>
    <n v="0"/>
  </r>
  <r>
    <s v="HCP Plastene Bulkpack Ltd (Unit - IV)"/>
    <s v="25-08-2026"/>
    <s v="HPBL4/26-27/SII01274"/>
    <s v="WIP00032"/>
    <x v="2"/>
    <m/>
    <s v="HPBL4/RAW/26-27/526"/>
    <n v="243.6"/>
    <n v="243.6"/>
    <s v="Kgs"/>
    <n v="243.6"/>
    <n v="0"/>
    <n v="243.6"/>
    <s v="gj12bt2409"/>
    <s v="Plastene India ltd - Unit 1-Purchase"/>
    <s v="Plastene India ltd - Unit 1-Purchase"/>
    <s v="PIL1/D/1485"/>
    <s v="25-08-2026"/>
    <s v="RAW MATERIAL"/>
    <s v="INDIGENOUS"/>
    <s v="RM 564"/>
    <n v="144.32"/>
    <n v="144.31999970949201"/>
    <s v="PIL1/D/1485"/>
    <s v="25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993568.73"/>
    <s v="SF"/>
    <s v="Webbing"/>
    <s v="PP Webbing"/>
    <s v="RM"/>
    <s v="erp"/>
    <n v="0"/>
    <n v="35156.35"/>
    <n v="1213"/>
    <s v="25-08-2026"/>
    <s v="24AAACO3087C1ZT"/>
    <s v="storepil6"/>
    <s v="storepil6"/>
    <n v="9"/>
    <n v="3164.07"/>
    <n v="9"/>
    <n v="3164.07"/>
    <n v="0"/>
    <n v="0"/>
    <n v="0"/>
    <n v="662169843472"/>
    <d v="2026-08-25T00:00:00"/>
    <n v="0"/>
  </r>
  <r>
    <s v="HCP Plastene Bulkpack Ltd (Unit - IV)"/>
    <s v="26-08-2026"/>
    <s v="HPBL4/26-27/SII01276"/>
    <s v="WIP00004"/>
    <x v="4"/>
    <m/>
    <s v="HPBL4/RAW/26-27/527"/>
    <n v="7005.6"/>
    <n v="7005.6"/>
    <s v="Kgs"/>
    <n v="7005.6"/>
    <n v="0"/>
    <n v="7005.6"/>
    <s v="GJ24X8795"/>
    <s v="K.P. Woven Pvt Ltd-Purchase"/>
    <s v="K.P. Woven Pvt Ltd-Purchase"/>
    <s v="KPV/D/669"/>
    <s v="25-08-2026"/>
    <s v="RAW MATERIAL"/>
    <s v="INDIGENOUS"/>
    <s v="RM 565"/>
    <n v="175.83"/>
    <n v="175.830000241937"/>
    <s v="KPV/D/669"/>
    <s v="25-08-2026"/>
    <m/>
    <s v="-"/>
    <m/>
    <s v="SHREENA ROADWAYS"/>
    <s v="2677 DT 25/08/2026"/>
    <n v="0"/>
    <n v="0"/>
    <n v="0"/>
    <n v="0"/>
    <n v="0"/>
    <s v="VAT"/>
    <n v="0"/>
    <n v="0"/>
    <n v="0"/>
    <n v="0"/>
    <n v="0"/>
    <m/>
    <n v="0"/>
    <n v="0"/>
    <n v="1453517.69"/>
    <s v="FG"/>
    <s v="FIBC Bags"/>
    <s v="FIBC Bags"/>
    <s v="FG"/>
    <s v="erp"/>
    <n v="0"/>
    <n v="1231794.6499999999"/>
    <n v="1215"/>
    <s v="26-08-2026"/>
    <s v="24AAECK6307M1ZF"/>
    <s v="storepil6"/>
    <s v="storepil6"/>
    <n v="9"/>
    <n v="110861.52"/>
    <n v="9"/>
    <n v="110861.52"/>
    <n v="0"/>
    <n v="0"/>
    <n v="1453517.69"/>
    <n v="642170206291"/>
    <d v="2026-08-25T00:00:00"/>
    <n v="0"/>
  </r>
  <r>
    <s v="HCP Plastene Bulkpack Ltd (Unit - IV)"/>
    <s v="26-08-2026"/>
    <s v="HPBL4/26-27/SII01277"/>
    <s v="WIP00025"/>
    <x v="1"/>
    <m/>
    <s v="HPBL4/RAW/26-27/528"/>
    <n v="346"/>
    <n v="346"/>
    <s v="Kgs"/>
    <n v="346"/>
    <n v="0"/>
    <n v="346"/>
    <s v="GJ39TB3534"/>
    <s v="Plastene Polyfilms Ltd-Purchase"/>
    <s v="Plastene Polyfilms Ltd-Purchase"/>
    <s v="PPL/D/540"/>
    <s v="26-08-2026"/>
    <s v="RAW MATERIAL"/>
    <s v="INDIGENOUS"/>
    <s v="RM 566"/>
    <n v="137.58000000000001"/>
    <n v="137.58000000000001"/>
    <s v="PPL/D/540"/>
    <s v="26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89182.16"/>
    <s v="SF"/>
    <s v="PP/PE Fabric"/>
    <s v="PP Lam Fabric"/>
    <s v="RM"/>
    <s v="erp"/>
    <n v="0"/>
    <n v="47602.68"/>
    <n v="1228"/>
    <s v="26-08-2026"/>
    <s v="24AAFCP2956A1ZR"/>
    <s v="storepil6"/>
    <s v="storepil6"/>
    <n v="9"/>
    <n v="4284.24"/>
    <n v="9"/>
    <n v="4284.24"/>
    <n v="0"/>
    <n v="0"/>
    <n v="89182.16"/>
    <n v="602170783437"/>
    <d v="2026-08-26T00:00:00"/>
    <n v="0"/>
  </r>
  <r>
    <s v="HCP Plastene Bulkpack Ltd (Unit - IV)"/>
    <s v="26-08-2026"/>
    <s v="HPBL4/26-27/SII01277"/>
    <s v="WIP00025"/>
    <x v="1"/>
    <m/>
    <s v="HPBL4/RAW/26-27/528"/>
    <n v="199"/>
    <n v="199"/>
    <s v="Kgs"/>
    <n v="199"/>
    <n v="0"/>
    <n v="199"/>
    <s v="GJ39TB3534"/>
    <s v="Plastene Polyfilms Ltd-Purchase"/>
    <s v="Plastene Polyfilms Ltd-Purchase"/>
    <s v="PPL/D/540"/>
    <s v="26-08-2026"/>
    <s v="RAW MATERIAL"/>
    <s v="INDIGENOUS"/>
    <s v="RM 566"/>
    <n v="140.58000000000001"/>
    <n v="140.58000000000001"/>
    <s v="PPL/D/540"/>
    <s v="26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89182.16"/>
    <s v="SF"/>
    <s v="PP/PE Fabric"/>
    <s v="PP Lam Fabric"/>
    <s v="RM"/>
    <s v="erp"/>
    <n v="0"/>
    <n v="27975.42"/>
    <n v="1228"/>
    <s v="26-08-2026"/>
    <s v="24AAFCP2956A1ZR"/>
    <s v="storepil6"/>
    <s v="storepil6"/>
    <n v="9"/>
    <n v="2517.79"/>
    <n v="9"/>
    <n v="2517.79"/>
    <n v="0"/>
    <n v="0"/>
    <n v="0"/>
    <n v="602170783437"/>
    <d v="2026-08-26T00:00:00"/>
    <n v="0"/>
  </r>
  <r>
    <s v="HCP Plastene Bulkpack Ltd (Unit - IV)"/>
    <s v="26-08-2026"/>
    <s v="HPBL4/26-27/SII01280"/>
    <s v="SMF00147"/>
    <x v="17"/>
    <m/>
    <s v="HPBL4/RAW/26-27/530"/>
    <n v="35.5"/>
    <n v="35.5"/>
    <s v="Kgs"/>
    <n v="35.5"/>
    <n v="0"/>
    <n v="35.5"/>
    <s v="GJ39TB3534"/>
    <s v="Plastene Polyfilms Ltd-Purchase"/>
    <s v="Plastene Polyfilms Ltd-Purchase"/>
    <s v="PPL/D/543"/>
    <s v="26-08-2026"/>
    <s v="RAW MATERIAL"/>
    <s v="INDIGENOUS"/>
    <s v="RM 568"/>
    <n v="260"/>
    <n v="260"/>
    <s v="PPL/D/543"/>
    <s v="26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10891.4"/>
    <s v="SF"/>
    <s v="Liners"/>
    <s v="LDPE/LLDPE Bags"/>
    <s v="RM"/>
    <s v="erp"/>
    <n v="0"/>
    <n v="9230"/>
    <n v="1231"/>
    <s v="26-08-2026"/>
    <s v="24AAFCP2956A1ZR"/>
    <s v="storepil6"/>
    <s v="storepil6"/>
    <n v="9"/>
    <n v="830.7"/>
    <n v="9"/>
    <n v="830.7"/>
    <n v="0"/>
    <n v="0"/>
    <n v="10891.4"/>
    <n v="652170831096"/>
    <d v="2026-08-26T00:00:00"/>
    <n v="0"/>
  </r>
  <r>
    <s v="HCP Plastene Bulkpack Ltd (Unit - IV)"/>
    <s v="26-08-2026"/>
    <s v="HPBL4/26-27/SII01281"/>
    <s v="WIP00023"/>
    <x v="0"/>
    <m/>
    <s v="HPBL4/RAW/26-27/531"/>
    <n v="6153"/>
    <n v="6153"/>
    <s v="Kgs"/>
    <n v="6153"/>
    <n v="0"/>
    <n v="6153"/>
    <s v="gj12bt2409"/>
    <s v="Plastene India ltd - Unit 1-Purchase"/>
    <s v="Plastene India ltd - Unit 1-Purchase"/>
    <s v="PIL1/D/1494"/>
    <s v="26-08-2026"/>
    <s v="RAW MATERIAL"/>
    <s v="INDIGENOUS"/>
    <s v="RM 569"/>
    <n v="142.32"/>
    <n v="142.32"/>
    <s v="PIL1/D/1494"/>
    <s v="26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1325445.8600000001"/>
    <s v="SF"/>
    <s v="PP/PE Fabric"/>
    <s v="PP UL Fabric"/>
    <s v="RM"/>
    <s v="erp"/>
    <n v="0"/>
    <n v="875694.96"/>
    <n v="1216"/>
    <s v="26-08-2026"/>
    <s v="24AAACO3087C1ZT"/>
    <s v="storepil6"/>
    <s v="storepil6"/>
    <n v="9"/>
    <n v="78812.55"/>
    <n v="9"/>
    <n v="78812.55"/>
    <n v="0"/>
    <n v="0"/>
    <n v="1325445.8600000001"/>
    <n v="682170431754"/>
    <d v="2026-08-26T00:00:00"/>
    <n v="0"/>
  </r>
  <r>
    <s v="HCP Plastene Bulkpack Ltd (Unit - IV)"/>
    <s v="26-08-2026"/>
    <s v="HPBL4/26-27/SII01281"/>
    <s v="WIP00023"/>
    <x v="0"/>
    <m/>
    <s v="HPBL4/RAW/26-27/531"/>
    <n v="1210"/>
    <n v="1210"/>
    <s v="Kgs"/>
    <n v="1210"/>
    <n v="0"/>
    <n v="1210"/>
    <s v="gj12bt2409"/>
    <s v="Plastene India ltd - Unit 1-Purchase"/>
    <s v="Plastene India ltd - Unit 1-Purchase"/>
    <s v="PIL1/D/1494"/>
    <s v="26-08-2026"/>
    <s v="RAW MATERIAL"/>
    <s v="INDIGENOUS"/>
    <s v="RM 569"/>
    <n v="145.32"/>
    <n v="145.32"/>
    <s v="PIL1/D/1494"/>
    <s v="26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1325445.8600000001"/>
    <s v="SF"/>
    <s v="PP/PE Fabric"/>
    <s v="PP UL Fabric"/>
    <s v="RM"/>
    <s v="erp"/>
    <n v="0"/>
    <n v="175837.2"/>
    <n v="1216"/>
    <s v="26-08-2026"/>
    <s v="24AAACO3087C1ZT"/>
    <s v="storepil6"/>
    <s v="storepil6"/>
    <n v="9"/>
    <n v="15825.35"/>
    <n v="9"/>
    <n v="15825.35"/>
    <n v="0"/>
    <n v="0"/>
    <n v="0"/>
    <n v="682170431754"/>
    <d v="2026-08-26T00:00:00"/>
    <n v="0"/>
  </r>
  <r>
    <s v="HCP Plastene Bulkpack Ltd (Unit - IV)"/>
    <s v="26-08-2026"/>
    <s v="HPBL4/26-27/SII01281"/>
    <s v="WIP00023"/>
    <x v="0"/>
    <m/>
    <s v="HPBL4/RAW/26-27/531"/>
    <n v="497"/>
    <n v="497"/>
    <s v="Kgs"/>
    <n v="497"/>
    <n v="0"/>
    <n v="497"/>
    <s v="gj12bt2409"/>
    <s v="Plastene India ltd - Unit 1-Purchase"/>
    <s v="Plastene India ltd - Unit 1-Purchase"/>
    <s v="PIL1/D/1494"/>
    <s v="26-08-2026"/>
    <s v="RAW MATERIAL"/>
    <s v="INDIGENOUS"/>
    <s v="RM 569"/>
    <n v="144.32"/>
    <n v="144.32"/>
    <s v="PIL1/D/1494"/>
    <s v="26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1325445.8600000001"/>
    <s v="SF"/>
    <s v="PP/PE Fabric"/>
    <s v="PP UL Fabric"/>
    <s v="RM"/>
    <s v="erp"/>
    <n v="0"/>
    <n v="71727.039999999994"/>
    <n v="1216"/>
    <s v="26-08-2026"/>
    <s v="24AAACO3087C1ZT"/>
    <s v="storepil6"/>
    <s v="storepil6"/>
    <n v="9"/>
    <n v="6455.43"/>
    <n v="9"/>
    <n v="6455.43"/>
    <n v="0"/>
    <n v="0"/>
    <n v="0"/>
    <n v="682170431754"/>
    <d v="2026-08-26T00:00:00"/>
    <n v="0"/>
  </r>
  <r>
    <s v="HCP Plastene Bulkpack Ltd (Unit - IV)"/>
    <s v="26-08-2026"/>
    <s v="HPBL4/26-27/SII01282"/>
    <s v="WIP00023"/>
    <x v="0"/>
    <m/>
    <s v="HPBL4/RAW/26-27/532"/>
    <n v="578"/>
    <n v="578"/>
    <s v="Kgs"/>
    <n v="578"/>
    <n v="0"/>
    <n v="578"/>
    <s v="GJ12BY0479"/>
    <s v="Plastene India ltd - Unit 1-Purchase"/>
    <s v="Plastene India ltd - Unit 1-Purchase"/>
    <s v="PIL1/D/1495"/>
    <s v="26-08-2026"/>
    <s v="RAW MATERIAL"/>
    <s v="INDIGENOUS"/>
    <s v="RM 570"/>
    <n v="144.32"/>
    <n v="144.32"/>
    <s v="PIL1/D/1495"/>
    <s v="26-08-2026"/>
    <m/>
    <s v="-"/>
    <m/>
    <s v="LAXMAN B BAKUTRA"/>
    <s v="283 DT 26/08/2026"/>
    <n v="0"/>
    <n v="0"/>
    <n v="0"/>
    <n v="0"/>
    <n v="0"/>
    <s v="VAT"/>
    <n v="0"/>
    <n v="0"/>
    <n v="0"/>
    <n v="0"/>
    <n v="0"/>
    <m/>
    <n v="0"/>
    <n v="0"/>
    <n v="974709"/>
    <s v="SF"/>
    <s v="PP/PE Fabric"/>
    <s v="PP UL Fabric"/>
    <s v="RM"/>
    <s v="erp"/>
    <n v="0"/>
    <n v="83416.960000000006"/>
    <n v="1217"/>
    <s v="26-08-2026"/>
    <s v="24AAACO3087C1ZT"/>
    <s v="storepil6"/>
    <s v="storepil6"/>
    <n v="9"/>
    <n v="7507.53"/>
    <n v="9"/>
    <n v="7507.53"/>
    <n v="0"/>
    <n v="0"/>
    <n v="974709"/>
    <n v="662170500230"/>
    <d v="2026-08-26T00:00:00"/>
    <n v="0"/>
  </r>
  <r>
    <s v="HCP Plastene Bulkpack Ltd (Unit - IV)"/>
    <s v="26-08-2026"/>
    <s v="HPBL4/26-27/SII01282"/>
    <s v="WIP00023"/>
    <x v="0"/>
    <m/>
    <s v="HPBL4/RAW/26-27/532"/>
    <n v="4410"/>
    <n v="4410"/>
    <s v="Kgs"/>
    <n v="4410"/>
    <n v="0"/>
    <n v="4410"/>
    <s v="GJ12BY0479"/>
    <s v="Plastene India ltd - Unit 1-Purchase"/>
    <s v="Plastene India ltd - Unit 1-Purchase"/>
    <s v="PIL1/D/1495"/>
    <s v="26-08-2026"/>
    <s v="RAW MATERIAL"/>
    <s v="INDIGENOUS"/>
    <s v="RM 570"/>
    <n v="142.32"/>
    <n v="142.32"/>
    <s v="PIL1/D/1495"/>
    <s v="26-08-2026"/>
    <m/>
    <s v="-"/>
    <m/>
    <s v="LAXMAN B BAKUTRA"/>
    <s v="283 DT 26/08/2026"/>
    <n v="0"/>
    <n v="0"/>
    <n v="0"/>
    <n v="0"/>
    <n v="0"/>
    <s v="VAT"/>
    <n v="0"/>
    <n v="0"/>
    <n v="0"/>
    <n v="0"/>
    <n v="0"/>
    <m/>
    <n v="0"/>
    <n v="0"/>
    <n v="974709"/>
    <s v="SF"/>
    <s v="PP/PE Fabric"/>
    <s v="PP UL Fabric"/>
    <s v="RM"/>
    <s v="erp"/>
    <n v="0"/>
    <n v="627631.19999999995"/>
    <n v="1217"/>
    <s v="26-08-2026"/>
    <s v="24AAACO3087C1ZT"/>
    <s v="storepil6"/>
    <s v="storepil6"/>
    <n v="9"/>
    <n v="56486.81"/>
    <n v="9"/>
    <n v="56486.81"/>
    <n v="0"/>
    <n v="0"/>
    <n v="0"/>
    <n v="662170500230"/>
    <d v="2026-08-26T00:00:00"/>
    <n v="0"/>
  </r>
  <r>
    <s v="HCP Plastene Bulkpack Ltd (Unit - IV)"/>
    <s v="26-08-2026"/>
    <s v="HPBL4/26-27/SII01282"/>
    <s v="WIP00025"/>
    <x v="1"/>
    <m/>
    <s v="HPBL4/RAW/26-27/532"/>
    <n v="770"/>
    <n v="770"/>
    <s v="Kgs"/>
    <n v="770"/>
    <n v="0"/>
    <n v="770"/>
    <s v="GJ12BY0479"/>
    <s v="Plastene India ltd - Unit 1-Purchase"/>
    <s v="Plastene India ltd - Unit 1-Purchase"/>
    <s v="PIL1/D/1495"/>
    <s v="26-08-2026"/>
    <s v="RAW MATERIAL"/>
    <s v="INDIGENOUS"/>
    <s v="RM 570"/>
    <n v="149.32"/>
    <n v="149.32"/>
    <s v="PIL1/D/1495"/>
    <s v="26-08-2026"/>
    <m/>
    <s v="-"/>
    <m/>
    <s v="LAXMAN B BAKUTRA"/>
    <s v="283 DT 26/08/2026"/>
    <n v="0"/>
    <n v="0"/>
    <n v="0"/>
    <n v="0"/>
    <n v="0"/>
    <s v="VAT"/>
    <n v="0"/>
    <n v="0"/>
    <n v="0"/>
    <n v="0"/>
    <n v="0"/>
    <m/>
    <n v="0"/>
    <n v="0"/>
    <n v="974709"/>
    <s v="SF"/>
    <s v="PP/PE Fabric"/>
    <s v="PP Lam Fabric"/>
    <s v="RM"/>
    <s v="erp"/>
    <n v="0"/>
    <n v="114976.4"/>
    <n v="1217"/>
    <s v="26-08-2026"/>
    <s v="24AAACO3087C1ZT"/>
    <s v="storepil6"/>
    <s v="storepil6"/>
    <n v="9"/>
    <n v="10347.879999999999"/>
    <n v="9"/>
    <n v="10347.879999999999"/>
    <n v="0"/>
    <n v="0"/>
    <n v="0"/>
    <n v="662170500230"/>
    <d v="2026-08-26T00:00:00"/>
    <n v="0"/>
  </r>
  <r>
    <s v="HCP Plastene Bulkpack Ltd (Unit - IV)"/>
    <s v="26-08-2026"/>
    <s v="HPBL4/26-27/SII01284"/>
    <s v="WIP00023"/>
    <x v="0"/>
    <m/>
    <s v="HPBL4/RAW/26-27/533"/>
    <n v="261"/>
    <n v="261"/>
    <s v="Kgs"/>
    <n v="261"/>
    <n v="0"/>
    <n v="261"/>
    <s v="gj12bt2409"/>
    <s v="Plastene India ltd - Unit 1-Purchase"/>
    <s v="Plastene India ltd - Unit 1-Purchase"/>
    <s v="PIL1/D/1499"/>
    <s v="26-08-2026"/>
    <s v="RAW MATERIAL"/>
    <s v="INDIGENOUS"/>
    <s v="RM 571"/>
    <n v="145.32"/>
    <n v="145.320000237192"/>
    <s v="PIL1/D/1499"/>
    <s v="26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1225336.97"/>
    <s v="SF"/>
    <s v="PP/PE Fabric"/>
    <s v="PP UL Fabric"/>
    <s v="RM"/>
    <s v="erp"/>
    <n v="0"/>
    <n v="37928.519999999997"/>
    <n v="1219"/>
    <s v="26-08-2026"/>
    <s v="24AAACO3087C1ZT"/>
    <s v="storepil6"/>
    <s v="storepil6"/>
    <n v="9"/>
    <n v="3413.57"/>
    <n v="9"/>
    <n v="3413.57"/>
    <n v="0"/>
    <n v="0"/>
    <n v="1225336.97"/>
    <n v="652170678691"/>
    <d v="2026-08-26T00:00:00"/>
    <n v="0"/>
  </r>
  <r>
    <s v="HCP Plastene Bulkpack Ltd (Unit - IV)"/>
    <s v="26-08-2026"/>
    <s v="HPBL4/26-27/SII01284"/>
    <s v="WIP00023"/>
    <x v="0"/>
    <m/>
    <s v="HPBL4/RAW/26-27/533"/>
    <n v="822"/>
    <n v="822"/>
    <s v="Kgs"/>
    <n v="822"/>
    <n v="0"/>
    <n v="822"/>
    <s v="gj12bt2409"/>
    <s v="Plastene India ltd - Unit 1-Purchase"/>
    <s v="Plastene India ltd - Unit 1-Purchase"/>
    <s v="PIL1/D/1499"/>
    <s v="26-08-2026"/>
    <s v="RAW MATERIAL"/>
    <s v="INDIGENOUS"/>
    <s v="RM 571"/>
    <n v="142.32"/>
    <n v="142.320000232295"/>
    <s v="PIL1/D/1499"/>
    <s v="26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1225336.97"/>
    <s v="SF"/>
    <s v="PP/PE Fabric"/>
    <s v="PP UL Fabric"/>
    <s v="RM"/>
    <s v="erp"/>
    <n v="0"/>
    <n v="116987.04"/>
    <n v="1219"/>
    <s v="26-08-2026"/>
    <s v="24AAACO3087C1ZT"/>
    <s v="storepil6"/>
    <s v="storepil6"/>
    <n v="9"/>
    <n v="10528.83"/>
    <n v="9"/>
    <n v="10528.83"/>
    <n v="0"/>
    <n v="0"/>
    <n v="0"/>
    <n v="652170678691"/>
    <d v="2026-08-26T00:00:00"/>
    <n v="0"/>
  </r>
  <r>
    <s v="HCP Plastene Bulkpack Ltd (Unit - IV)"/>
    <s v="26-08-2026"/>
    <s v="HPBL4/26-27/SII01284"/>
    <s v="WIP00023"/>
    <x v="0"/>
    <m/>
    <s v="HPBL4/RAW/26-27/533"/>
    <n v="952"/>
    <n v="952"/>
    <s v="Kgs"/>
    <n v="952"/>
    <n v="0"/>
    <n v="952"/>
    <s v="gj12bt2409"/>
    <s v="Plastene India ltd - Unit 1-Purchase"/>
    <s v="Plastene India ltd - Unit 1-Purchase"/>
    <s v="PIL1/D/1499"/>
    <s v="26-08-2026"/>
    <s v="RAW MATERIAL"/>
    <s v="INDIGENOUS"/>
    <s v="RM 571"/>
    <n v="144.32"/>
    <n v="144.32000023556"/>
    <s v="PIL1/D/1499"/>
    <s v="26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1225336.97"/>
    <s v="SF"/>
    <s v="PP/PE Fabric"/>
    <s v="PP UL Fabric"/>
    <s v="RM"/>
    <s v="erp"/>
    <n v="0"/>
    <n v="137392.64000000001"/>
    <n v="1219"/>
    <s v="26-08-2026"/>
    <s v="24AAACO3087C1ZT"/>
    <s v="storepil6"/>
    <s v="storepil6"/>
    <n v="9"/>
    <n v="12365.34"/>
    <n v="9"/>
    <n v="12365.34"/>
    <n v="0"/>
    <n v="0"/>
    <n v="0"/>
    <n v="652170678691"/>
    <d v="2026-08-26T00:00:00"/>
    <n v="0"/>
  </r>
  <r>
    <s v="HCP Plastene Bulkpack Ltd (Unit - IV)"/>
    <s v="26-08-2026"/>
    <s v="HPBL4/26-27/SII01284"/>
    <s v="WIP00193"/>
    <x v="13"/>
    <m/>
    <s v="HPBL4/RAW/26-27/533"/>
    <n v="919"/>
    <n v="919"/>
    <s v="Kgs"/>
    <n v="919"/>
    <n v="0"/>
    <n v="919"/>
    <s v="gj12bt2409"/>
    <s v="Plastene India ltd - Unit 1-Purchase"/>
    <s v="Plastene India ltd - Unit 1-Purchase"/>
    <s v="PIL1/D/1499"/>
    <s v="26-08-2026"/>
    <s v="RAW MATERIAL"/>
    <s v="INDIGENOUS"/>
    <s v="RM 571"/>
    <n v="157.32"/>
    <n v="157.320000256778"/>
    <s v="PIL1/D/1499"/>
    <s v="26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1225336.97"/>
    <s v="SF"/>
    <s v="Yarn All"/>
    <s v="PP Yarn"/>
    <s v="RM"/>
    <m/>
    <n v="0"/>
    <n v="144577.07999999999"/>
    <n v="1219"/>
    <s v="26-08-2026"/>
    <s v="24AAACO3087C1ZT"/>
    <s v="storepil6"/>
    <s v="storepil6"/>
    <n v="2.5"/>
    <n v="3614.43"/>
    <n v="2.5"/>
    <n v="3614.43"/>
    <n v="0"/>
    <n v="0"/>
    <n v="0"/>
    <n v="652170678691"/>
    <d v="2026-08-26T00:00:00"/>
    <n v="0"/>
  </r>
  <r>
    <s v="HCP Plastene Bulkpack Ltd (Unit - IV)"/>
    <s v="26-08-2026"/>
    <s v="HPBL4/26-27/SII01284"/>
    <s v="WIP00191"/>
    <x v="8"/>
    <m/>
    <s v="HPBL4/RAW/26-27/533"/>
    <n v="1020.2"/>
    <n v="1020.2"/>
    <s v="Kgs"/>
    <n v="1020.2"/>
    <n v="0"/>
    <n v="1020.2"/>
    <s v="gj12bt2409"/>
    <s v="Plastene India ltd - Unit 1-Purchase"/>
    <s v="Plastene India ltd - Unit 1-Purchase"/>
    <s v="PIL1/D/1499"/>
    <s v="26-08-2026"/>
    <s v="RAW MATERIAL"/>
    <s v="INDIGENOUS"/>
    <s v="RM 571"/>
    <n v="154.32"/>
    <n v="154.32000025188199"/>
    <s v="PIL1/D/1499"/>
    <s v="26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1225336.97"/>
    <s v="SF"/>
    <s v="Yarn All"/>
    <s v="PP Yarn"/>
    <s v="RM"/>
    <m/>
    <n v="0"/>
    <n v="157437.26"/>
    <n v="1219"/>
    <s v="26-08-2026"/>
    <s v="24AAACO3087C1ZT"/>
    <s v="storepil6"/>
    <s v="storepil6"/>
    <n v="2.5"/>
    <n v="3935.93"/>
    <n v="2.5"/>
    <n v="3935.93"/>
    <n v="0"/>
    <n v="0"/>
    <n v="0"/>
    <n v="652170678691"/>
    <d v="2026-08-26T00:00:00"/>
    <n v="0"/>
  </r>
  <r>
    <s v="HCP Plastene Bulkpack Ltd (Unit - IV)"/>
    <s v="26-08-2026"/>
    <s v="HPBL4/26-27/SII01284"/>
    <s v="WIP00025"/>
    <x v="1"/>
    <m/>
    <s v="HPBL4/RAW/26-27/533"/>
    <n v="660"/>
    <n v="660"/>
    <s v="Kgs"/>
    <n v="660"/>
    <n v="0"/>
    <n v="660"/>
    <s v="gj12bt2409"/>
    <s v="Plastene India ltd - Unit 1-Purchase"/>
    <s v="Plastene India ltd - Unit 1-Purchase"/>
    <s v="PIL1/D/1499"/>
    <s v="26-08-2026"/>
    <s v="RAW MATERIAL"/>
    <s v="INDIGENOUS"/>
    <s v="RM 571"/>
    <n v="149.32"/>
    <n v="149.32000024372101"/>
    <s v="PIL1/D/1499"/>
    <s v="26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1225336.97"/>
    <s v="SF"/>
    <s v="PP/PE Fabric"/>
    <s v="PP Lam Fabric"/>
    <s v="RM"/>
    <s v="erp"/>
    <n v="0"/>
    <n v="98551.2"/>
    <n v="1219"/>
    <s v="26-08-2026"/>
    <s v="24AAACO3087C1ZT"/>
    <s v="storepil6"/>
    <s v="storepil6"/>
    <n v="9"/>
    <n v="8869.61"/>
    <n v="9"/>
    <n v="8869.61"/>
    <n v="0"/>
    <n v="0"/>
    <n v="0"/>
    <n v="652170678691"/>
    <d v="2026-08-26T00:00:00"/>
    <n v="0"/>
  </r>
  <r>
    <s v="HCP Plastene Bulkpack Ltd (Unit - IV)"/>
    <s v="26-08-2026"/>
    <s v="HPBL4/26-27/SII01284"/>
    <s v="SMF00243"/>
    <x v="29"/>
    <m/>
    <s v="HPBL4/RAW/26-27/533"/>
    <n v="391.5"/>
    <n v="391.5"/>
    <s v="Kgs"/>
    <n v="391.5"/>
    <n v="0"/>
    <n v="391.5"/>
    <s v="gj12bt2409"/>
    <s v="Plastene India ltd - Unit 1-Purchase"/>
    <s v="Plastene India ltd - Unit 1-Purchase"/>
    <s v="PIL1/D/1499"/>
    <s v="26-08-2026"/>
    <s v="RAW MATERIAL"/>
    <s v="INDIGENOUS"/>
    <s v="RM 571"/>
    <n v="157.32"/>
    <n v="157.320000256778"/>
    <s v="PIL1/D/1499"/>
    <s v="26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1225336.97"/>
    <s v="SF"/>
    <s v="Yarn All"/>
    <s v="PP Yarn"/>
    <s v="RM"/>
    <s v="erp"/>
    <n v="0"/>
    <n v="61590.78"/>
    <n v="1219"/>
    <s v="26-08-2026"/>
    <s v="24AAACO3087C1ZT"/>
    <s v="storepil6"/>
    <s v="storepil6"/>
    <n v="2.5"/>
    <n v="1539.77"/>
    <n v="2.5"/>
    <n v="1539.77"/>
    <n v="0"/>
    <n v="0"/>
    <n v="0"/>
    <n v="652170678691"/>
    <d v="2026-08-26T00:00:00"/>
    <n v="0"/>
  </r>
  <r>
    <s v="HCP Plastene Bulkpack Ltd (Unit - IV)"/>
    <s v="26-08-2026"/>
    <s v="HPBL4/26-27/SII01284"/>
    <s v="wip00013"/>
    <x v="3"/>
    <m/>
    <s v="HPBL4/RAW/26-27/533"/>
    <n v="185"/>
    <n v="185"/>
    <s v="Kgs"/>
    <n v="185"/>
    <n v="0"/>
    <n v="185"/>
    <s v="gj12bt2409"/>
    <s v="Plastene India ltd - Unit 1-Purchase"/>
    <s v="Plastene India ltd - Unit 1-Purchase"/>
    <s v="PIL1/D/1499"/>
    <s v="26-08-2026"/>
    <s v="RAW MATERIAL"/>
    <s v="INDIGENOUS"/>
    <s v="RM 571"/>
    <n v="184.86"/>
    <n v="184.860000301729"/>
    <s v="PIL1/D/1499"/>
    <s v="26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1225336.97"/>
    <s v="SF"/>
    <s v="Liners"/>
    <s v="LDPE/LLDPE Bags"/>
    <s v="RM"/>
    <s v="erp"/>
    <n v="0"/>
    <n v="34199.1"/>
    <n v="1219"/>
    <s v="26-08-2026"/>
    <s v="24AAACO3087C1ZT"/>
    <s v="storepil6"/>
    <s v="storepil6"/>
    <n v="9"/>
    <n v="3077.92"/>
    <n v="9"/>
    <n v="3077.92"/>
    <n v="0"/>
    <n v="0"/>
    <n v="0"/>
    <n v="652170678691"/>
    <d v="2026-08-26T00:00:00"/>
    <n v="0"/>
  </r>
  <r>
    <s v="HCP Plastene Bulkpack Ltd (Unit - IV)"/>
    <s v="26-08-2026"/>
    <s v="HPBL4/26-27/SII01284"/>
    <s v="wip00013"/>
    <x v="3"/>
    <m/>
    <s v="HPBL4/RAW/26-27/533"/>
    <n v="246"/>
    <n v="246"/>
    <s v="Kgs"/>
    <n v="246"/>
    <n v="0"/>
    <n v="246"/>
    <s v="gj12bt2409"/>
    <s v="Plastene India ltd - Unit 1-Purchase"/>
    <s v="Plastene India ltd - Unit 1-Purchase"/>
    <s v="PIL1/D/1499"/>
    <s v="26-08-2026"/>
    <s v="RAW MATERIAL"/>
    <s v="INDIGENOUS"/>
    <s v="RM 571"/>
    <n v="176.86"/>
    <n v="176.86000028867201"/>
    <s v="PIL1/D/1499"/>
    <s v="26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1225336.97"/>
    <s v="SF"/>
    <s v="Liners"/>
    <s v="LDPE/LLDPE Bags"/>
    <s v="RM"/>
    <s v="erp"/>
    <n v="0"/>
    <n v="43507.56"/>
    <n v="1219"/>
    <s v="26-08-2026"/>
    <s v="24AAACO3087C1ZT"/>
    <s v="storepil6"/>
    <s v="storepil6"/>
    <n v="9"/>
    <n v="3915.68"/>
    <n v="9"/>
    <n v="3915.68"/>
    <n v="0"/>
    <n v="0"/>
    <n v="0"/>
    <n v="652170678691"/>
    <d v="2026-08-26T00:00:00"/>
    <n v="0"/>
  </r>
  <r>
    <s v="HCP Plastene Bulkpack Ltd (Unit - IV)"/>
    <s v="26-08-2026"/>
    <s v="HPBL4/26-27/SII01284"/>
    <s v="WIP00032"/>
    <x v="2"/>
    <m/>
    <s v="HPBL4/RAW/26-27/533"/>
    <n v="15"/>
    <n v="15"/>
    <s v="Kgs"/>
    <n v="15"/>
    <n v="0"/>
    <n v="15"/>
    <s v="gj12bt2409"/>
    <s v="Plastene India ltd - Unit 1-Purchase"/>
    <s v="Plastene India ltd - Unit 1-Purchase"/>
    <s v="PIL1/D/1499"/>
    <s v="26-08-2026"/>
    <s v="RAW MATERIAL"/>
    <s v="INDIGENOUS"/>
    <s v="RM 571"/>
    <n v="168.32"/>
    <n v="168.32000027473299"/>
    <s v="PIL1/D/1499"/>
    <s v="26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1225336.97"/>
    <s v="SF"/>
    <s v="Webbing"/>
    <s v="PP Webbing"/>
    <s v="RM"/>
    <s v="erp"/>
    <n v="0"/>
    <n v="2524.8000000000002"/>
    <n v="1219"/>
    <s v="26-08-2026"/>
    <s v="24AAACO3087C1ZT"/>
    <s v="storepil6"/>
    <s v="storepil6"/>
    <n v="9"/>
    <n v="227.23"/>
    <n v="9"/>
    <n v="227.23"/>
    <n v="0"/>
    <n v="0"/>
    <n v="0"/>
    <n v="652170678691"/>
    <d v="2026-08-26T00:00:00"/>
    <n v="0"/>
  </r>
  <r>
    <s v="HCP Plastene Bulkpack Ltd (Unit - IV)"/>
    <s v="26-08-2026"/>
    <s v="HPBL4/26-27/SII01284"/>
    <s v="WIP00032"/>
    <x v="2"/>
    <m/>
    <s v="HPBL4/RAW/26-27/533"/>
    <n v="1153.9000000000001"/>
    <n v="1153.9000000000001"/>
    <s v="Kgs"/>
    <n v="1153.9000000000001"/>
    <n v="0"/>
    <n v="1153.9000000000001"/>
    <s v="gj12bt2409"/>
    <s v="Plastene India ltd - Unit 1-Purchase"/>
    <s v="Plastene India ltd - Unit 1-Purchase"/>
    <s v="PIL1/D/1499"/>
    <s v="26-08-2026"/>
    <s v="RAW MATERIAL"/>
    <s v="INDIGENOUS"/>
    <s v="RM 571"/>
    <n v="147.32"/>
    <n v="147.32000024045601"/>
    <s v="PIL1/D/1499"/>
    <s v="26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1225336.97"/>
    <s v="SF"/>
    <s v="Webbing"/>
    <s v="PP Webbing"/>
    <s v="RM"/>
    <s v="erp"/>
    <n v="0"/>
    <n v="169992.55"/>
    <n v="1219"/>
    <s v="26-08-2026"/>
    <s v="24AAACO3087C1ZT"/>
    <s v="storepil6"/>
    <s v="storepil6"/>
    <n v="9"/>
    <n v="15299.33"/>
    <n v="9"/>
    <n v="15299.33"/>
    <n v="0"/>
    <n v="0"/>
    <n v="0"/>
    <n v="652170678691"/>
    <d v="2026-08-26T00:00:00"/>
    <n v="0"/>
  </r>
  <r>
    <s v="HCP Plastene Bulkpack Ltd (Unit - IV)"/>
    <s v="26-08-2026"/>
    <s v="HPBL4/26-27/SII01284"/>
    <s v="WIP00032"/>
    <x v="2"/>
    <m/>
    <s v="HPBL4/RAW/26-27/533"/>
    <n v="511.3"/>
    <n v="511.3"/>
    <s v="Kgs"/>
    <n v="511.3"/>
    <n v="0"/>
    <n v="511.3"/>
    <s v="gj12bt2409"/>
    <s v="Plastene India ltd - Unit 1-Purchase"/>
    <s v="Plastene India ltd - Unit 1-Purchase"/>
    <s v="PIL1/D/1499"/>
    <s v="26-08-2026"/>
    <s v="RAW MATERIAL"/>
    <s v="INDIGENOUS"/>
    <s v="RM 571"/>
    <n v="144.32"/>
    <n v="144.32000023556"/>
    <s v="PIL1/D/1499"/>
    <s v="26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1225336.97"/>
    <s v="SF"/>
    <s v="Webbing"/>
    <s v="PP Webbing"/>
    <s v="RM"/>
    <s v="erp"/>
    <n v="0"/>
    <n v="73790.820000000007"/>
    <n v="1219"/>
    <s v="26-08-2026"/>
    <s v="24AAACO3087C1ZT"/>
    <s v="storepil6"/>
    <s v="storepil6"/>
    <n v="9"/>
    <n v="6641.17"/>
    <n v="9"/>
    <n v="6641.17"/>
    <n v="0"/>
    <n v="0"/>
    <n v="0"/>
    <n v="652170678691"/>
    <d v="2026-08-26T00:00:00"/>
    <n v="0"/>
  </r>
  <r>
    <s v="HCP Plastene Bulkpack Ltd (Unit - IV)"/>
    <s v="26-08-2026"/>
    <s v="HPBL4/26-27/SII01286"/>
    <s v="WIP00023"/>
    <x v="0"/>
    <m/>
    <s v="HPBL4/RAW/26-27/534"/>
    <n v="533.70000000000005"/>
    <n v="533.70000000000005"/>
    <s v="Kgs"/>
    <n v="533.70000000000005"/>
    <n v="0"/>
    <n v="533.70000000000005"/>
    <s v="GJ39TB3534"/>
    <s v="Plastene Polyfilms Ltd-Purchase"/>
    <s v="Plastene Polyfilms Ltd-Purchase"/>
    <s v="PPL/D/541"/>
    <s v="26-08-2026"/>
    <s v="RAW MATERIAL"/>
    <s v="INDIGENOUS"/>
    <s v="RM 572"/>
    <n v="135.58000000000001"/>
    <n v="135.580006351566"/>
    <s v="PPL/D/541"/>
    <s v="26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85383.67"/>
    <s v="SF"/>
    <s v="PP/PE Fabric"/>
    <s v="PP UL Fabric"/>
    <s v="RM"/>
    <s v="erp"/>
    <n v="0"/>
    <n v="72359.05"/>
    <n v="1229"/>
    <s v="26-08-2026"/>
    <s v="24AAFCP2956A1ZR"/>
    <s v="storepil6"/>
    <s v="storepil6"/>
    <n v="9"/>
    <n v="6512.31"/>
    <n v="9"/>
    <n v="6512.31"/>
    <n v="0"/>
    <n v="0"/>
    <n v="85383.67"/>
    <n v="622170815413"/>
    <d v="2026-08-26T00:00:00"/>
    <n v="0"/>
  </r>
  <r>
    <s v="HCP Plastene Bulkpack Ltd (Unit - IV)"/>
    <s v="27-08-2026"/>
    <s v="HPBL4/26-27/SII01290"/>
    <s v="WIP00023"/>
    <x v="0"/>
    <m/>
    <s v="HPBL4/RAW/26-27/536"/>
    <n v="6995"/>
    <n v="6995"/>
    <s v="Kgs"/>
    <n v="6995"/>
    <n v="0"/>
    <n v="6995"/>
    <s v="GJ12BY0479"/>
    <s v="Plastene India ltd - Unit 1-Purchase"/>
    <s v="Plastene India ltd - Unit 1-Purchase"/>
    <s v="PIL1/D/1505"/>
    <s v="27-08-2026"/>
    <s v="RAW MATERIAL"/>
    <s v="INDIGENOUS"/>
    <s v="RM 573"/>
    <n v="142.32"/>
    <n v="142.32"/>
    <s v="PIL1/D/1505"/>
    <s v="27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1601578.76"/>
    <s v="SF"/>
    <s v="PP/PE Fabric"/>
    <s v="PP UL Fabric"/>
    <s v="RM"/>
    <s v="erp"/>
    <n v="0"/>
    <n v="995528.4"/>
    <n v="1232"/>
    <s v="27-08-2026"/>
    <s v="24AAACO3087C1ZT"/>
    <s v="storepil6"/>
    <s v="storepil6"/>
    <n v="9"/>
    <n v="89597.56"/>
    <n v="9"/>
    <n v="89597.56"/>
    <n v="0"/>
    <n v="0"/>
    <n v="1601578.76"/>
    <n v="672171130576"/>
    <d v="2026-08-27T00:00:00"/>
    <n v="0"/>
  </r>
  <r>
    <s v="HCP Plastene Bulkpack Ltd (Unit - IV)"/>
    <s v="27-08-2026"/>
    <s v="HPBL4/26-27/SII01290"/>
    <s v="WIP00023"/>
    <x v="0"/>
    <m/>
    <s v="HPBL4/RAW/26-27/536"/>
    <n v="1519"/>
    <n v="1519"/>
    <s v="Kgs"/>
    <n v="1519"/>
    <n v="0"/>
    <n v="1519"/>
    <s v="GJ12BY0479"/>
    <s v="Plastene India ltd - Unit 1-Purchase"/>
    <s v="Plastene India ltd - Unit 1-Purchase"/>
    <s v="PIL1/D/1505"/>
    <s v="27-08-2026"/>
    <s v="RAW MATERIAL"/>
    <s v="INDIGENOUS"/>
    <s v="RM 573"/>
    <n v="145.32"/>
    <n v="145.32"/>
    <s v="PIL1/D/1505"/>
    <s v="27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1601578.76"/>
    <s v="SF"/>
    <s v="PP/PE Fabric"/>
    <s v="PP UL Fabric"/>
    <s v="RM"/>
    <s v="erp"/>
    <n v="0"/>
    <n v="220741.08"/>
    <n v="1232"/>
    <s v="27-08-2026"/>
    <s v="24AAACO3087C1ZT"/>
    <s v="storepil6"/>
    <s v="storepil6"/>
    <n v="9"/>
    <n v="19866.7"/>
    <n v="9"/>
    <n v="19866.7"/>
    <n v="0"/>
    <n v="0"/>
    <n v="0"/>
    <n v="672171130576"/>
    <d v="2026-08-27T00:00:00"/>
    <n v="0"/>
  </r>
  <r>
    <s v="HCP Plastene Bulkpack Ltd (Unit - IV)"/>
    <s v="27-08-2026"/>
    <s v="HPBL4/26-27/SII01290"/>
    <s v="WIP00023"/>
    <x v="0"/>
    <m/>
    <s v="HPBL4/RAW/26-27/536"/>
    <n v="977"/>
    <n v="977"/>
    <s v="Kgs"/>
    <n v="977"/>
    <n v="0"/>
    <n v="977"/>
    <s v="GJ12BY0479"/>
    <s v="Plastene India ltd - Unit 1-Purchase"/>
    <s v="Plastene India ltd - Unit 1-Purchase"/>
    <s v="PIL1/D/1505"/>
    <s v="27-08-2026"/>
    <s v="RAW MATERIAL"/>
    <s v="INDIGENOUS"/>
    <s v="RM 573"/>
    <n v="144.32"/>
    <n v="144.32"/>
    <s v="PIL1/D/1505"/>
    <s v="27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1601578.76"/>
    <s v="SF"/>
    <s v="PP/PE Fabric"/>
    <s v="PP UL Fabric"/>
    <s v="RM"/>
    <s v="erp"/>
    <n v="0"/>
    <n v="141000.64000000001"/>
    <n v="1232"/>
    <s v="27-08-2026"/>
    <s v="24AAACO3087C1ZT"/>
    <s v="storepil6"/>
    <s v="storepil6"/>
    <n v="9"/>
    <n v="12690.06"/>
    <n v="9"/>
    <n v="12690.06"/>
    <n v="0"/>
    <n v="0"/>
    <n v="0"/>
    <n v="672171130576"/>
    <d v="2026-08-27T00:00:00"/>
    <n v="0"/>
  </r>
  <r>
    <s v="HCP Plastene Bulkpack Ltd (Unit - IV)"/>
    <s v="27-08-2026"/>
    <s v="HPBL4/26-27/SII01292"/>
    <s v="wip00013"/>
    <x v="3"/>
    <m/>
    <s v="HPBL4/RAW/26-27/537"/>
    <n v="150"/>
    <n v="150"/>
    <s v="Kgs"/>
    <n v="150"/>
    <n v="0"/>
    <n v="150"/>
    <s v="gj12bt2409"/>
    <s v="Plastene India ltd - Unit 1-Purchase"/>
    <s v="Plastene India ltd - Unit 1-Purchase"/>
    <s v="PIL1/D/1512"/>
    <s v="27-08-2026"/>
    <s v="RAW MATERIAL"/>
    <s v="INDIGENOUS"/>
    <s v="RM 574"/>
    <n v="184.86"/>
    <n v="184.86003590195199"/>
    <s v="PIL1/D/1512"/>
    <s v="27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1524111.3"/>
    <s v="SF"/>
    <s v="Liners"/>
    <s v="LDPE/LLDPE Bags"/>
    <s v="RM"/>
    <s v="erp"/>
    <n v="0"/>
    <n v="27729.01"/>
    <n v="1236"/>
    <s v="27-08-2026"/>
    <s v="24AAACO3087C1ZT"/>
    <s v="storepil6"/>
    <s v="storepil6"/>
    <n v="9"/>
    <n v="2495.61"/>
    <n v="9"/>
    <n v="2495.61"/>
    <n v="0"/>
    <n v="0"/>
    <n v="1524111.3"/>
    <n v="632171273387"/>
    <d v="2026-08-27T00:00:00"/>
    <n v="0"/>
  </r>
  <r>
    <s v="HCP Plastene Bulkpack Ltd (Unit - IV)"/>
    <s v="27-08-2026"/>
    <s v="HPBL4/26-27/SII01292"/>
    <s v="wip00013"/>
    <x v="3"/>
    <m/>
    <s v="HPBL4/RAW/26-27/537"/>
    <n v="5140.3999999999996"/>
    <n v="5140.3999999999996"/>
    <s v="Kgs"/>
    <n v="5140.3999999999996"/>
    <n v="0"/>
    <n v="5140.3999999999996"/>
    <s v="gj12bt2409"/>
    <s v="Plastene India ltd - Unit 1-Purchase"/>
    <s v="Plastene India ltd - Unit 1-Purchase"/>
    <s v="PIL1/D/1512"/>
    <s v="27-08-2026"/>
    <s v="RAW MATERIAL"/>
    <s v="INDIGENOUS"/>
    <s v="RM 574"/>
    <n v="176.86"/>
    <n v="176.86003434825901"/>
    <s v="PIL1/D/1512"/>
    <s v="27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1524111.3"/>
    <s v="SF"/>
    <s v="Liners"/>
    <s v="LDPE/LLDPE Bags"/>
    <s v="RM"/>
    <s v="erp"/>
    <n v="0"/>
    <n v="909131.32"/>
    <n v="1236"/>
    <s v="27-08-2026"/>
    <s v="24AAACO3087C1ZT"/>
    <s v="storepil6"/>
    <s v="storepil6"/>
    <n v="9"/>
    <n v="81821.8"/>
    <n v="9"/>
    <n v="81821.8"/>
    <n v="0"/>
    <n v="0"/>
    <n v="0"/>
    <n v="632171273387"/>
    <d v="2026-08-27T00:00:00"/>
    <n v="0"/>
  </r>
  <r>
    <s v="HCP Plastene Bulkpack Ltd (Unit - IV)"/>
    <s v="27-08-2026"/>
    <s v="HPBL4/26-27/SII01292"/>
    <s v="RAW05939"/>
    <x v="9"/>
    <m/>
    <s v="HPBL4/RAW/26-27/537"/>
    <n v="9600"/>
    <n v="9600"/>
    <s v="Pcs"/>
    <n v="9600"/>
    <n v="0"/>
    <n v="9600"/>
    <s v="gj12bt2409"/>
    <s v="Plastene India ltd - Unit 1-Purchase"/>
    <s v="Plastene India ltd - Unit 1-Purchase"/>
    <s v="PIL1/D/1512"/>
    <s v="27-08-2026"/>
    <s v="RAW MATERIAL"/>
    <s v="INDIGENOUS"/>
    <s v="RM 574"/>
    <n v="3.9609000000000001"/>
    <n v="3.9609007692526301"/>
    <s v="PIL1/D/1512"/>
    <s v="27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1524111.3"/>
    <s v="RM Consumables"/>
    <s v="FIBC Accessories"/>
    <s v="FIBC Accessories"/>
    <s v="RM"/>
    <s v="ramesh.singhal"/>
    <n v="0"/>
    <n v="38024.65"/>
    <n v="1236"/>
    <s v="27-08-2026"/>
    <s v="24AAACO3087C1ZT"/>
    <s v="storepil6"/>
    <s v="storepil6"/>
    <n v="9"/>
    <n v="3422.22"/>
    <n v="9"/>
    <n v="3422.22"/>
    <n v="0"/>
    <n v="0"/>
    <n v="0"/>
    <n v="632171273387"/>
    <d v="2026-08-27T00:00:00"/>
    <n v="0"/>
  </r>
  <r>
    <s v="HCP Plastene Bulkpack Ltd (Unit - IV)"/>
    <s v="27-08-2026"/>
    <s v="HPBL4/26-27/SII01292"/>
    <s v="WIP00032"/>
    <x v="2"/>
    <m/>
    <s v="HPBL4/RAW/26-27/537"/>
    <n v="30.9"/>
    <n v="30.9"/>
    <s v="Kgs"/>
    <n v="30.9"/>
    <n v="0"/>
    <n v="30.9"/>
    <s v="gj12bt2409"/>
    <s v="Plastene India ltd - Unit 1-Purchase"/>
    <s v="Plastene India ltd - Unit 1-Purchase"/>
    <s v="PIL1/D/1512"/>
    <s v="27-08-2026"/>
    <s v="RAW MATERIAL"/>
    <s v="INDIGENOUS"/>
    <s v="RM 574"/>
    <n v="168.32"/>
    <n v="168.320032689692"/>
    <s v="PIL1/D/1512"/>
    <s v="27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1524111.3"/>
    <s v="SF"/>
    <s v="Webbing"/>
    <s v="PP Webbing"/>
    <s v="RM"/>
    <s v="erp"/>
    <n v="0"/>
    <n v="5201.09"/>
    <n v="1236"/>
    <s v="27-08-2026"/>
    <s v="24AAACO3087C1ZT"/>
    <s v="storepil6"/>
    <s v="storepil6"/>
    <n v="9"/>
    <n v="468.1"/>
    <n v="9"/>
    <n v="468.1"/>
    <n v="0"/>
    <n v="0"/>
    <n v="0"/>
    <n v="632171273387"/>
    <d v="2026-08-27T00:00:00"/>
    <n v="0"/>
  </r>
  <r>
    <s v="HCP Plastene Bulkpack Ltd (Unit - IV)"/>
    <s v="27-08-2026"/>
    <s v="HPBL4/26-27/SII01292"/>
    <s v="WIP00032"/>
    <x v="2"/>
    <m/>
    <s v="HPBL4/RAW/26-27/537"/>
    <n v="954"/>
    <n v="954"/>
    <s v="Kgs"/>
    <n v="954"/>
    <n v="0"/>
    <n v="954"/>
    <s v="gj12bt2409"/>
    <s v="Plastene India ltd - Unit 1-Purchase"/>
    <s v="Plastene India ltd - Unit 1-Purchase"/>
    <s v="PIL1/D/1512"/>
    <s v="27-08-2026"/>
    <s v="RAW MATERIAL"/>
    <s v="INDIGENOUS"/>
    <s v="RM 574"/>
    <n v="144.32"/>
    <n v="144.32002802861501"/>
    <s v="PIL1/D/1512"/>
    <s v="27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1524111.3"/>
    <s v="SF"/>
    <s v="Webbing"/>
    <s v="PP Webbing"/>
    <s v="RM"/>
    <s v="erp"/>
    <n v="0"/>
    <n v="137681.31"/>
    <n v="1236"/>
    <s v="27-08-2026"/>
    <s v="24AAACO3087C1ZT"/>
    <s v="storepil6"/>
    <s v="storepil6"/>
    <n v="9"/>
    <n v="12391.32"/>
    <n v="9"/>
    <n v="12391.32"/>
    <n v="0"/>
    <n v="0"/>
    <n v="0"/>
    <n v="632171273387"/>
    <d v="2026-08-27T00:00:00"/>
    <n v="0"/>
  </r>
  <r>
    <s v="HCP Plastene Bulkpack Ltd (Unit - IV)"/>
    <s v="27-08-2026"/>
    <s v="HPBL4/26-27/SII01292"/>
    <s v="WIP00032"/>
    <x v="2"/>
    <m/>
    <s v="HPBL4/RAW/26-27/537"/>
    <n v="1180.0999999999999"/>
    <n v="1180.0999999999999"/>
    <s v="Kgs"/>
    <n v="1180.0999999999999"/>
    <n v="0"/>
    <n v="1180.0999999999999"/>
    <s v="gj12bt2409"/>
    <s v="Plastene India ltd - Unit 1-Purchase"/>
    <s v="Plastene India ltd - Unit 1-Purchase"/>
    <s v="PIL1/D/1512"/>
    <s v="27-08-2026"/>
    <s v="RAW MATERIAL"/>
    <s v="INDIGENOUS"/>
    <s v="RM 574"/>
    <n v="147.32"/>
    <n v="147.320028611249"/>
    <s v="PIL1/D/1512"/>
    <s v="27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1524111.3"/>
    <s v="SF"/>
    <s v="Webbing"/>
    <s v="PP Webbing"/>
    <s v="RM"/>
    <s v="erp"/>
    <n v="0"/>
    <n v="173852.37"/>
    <n v="1236"/>
    <s v="27-08-2026"/>
    <s v="24AAACO3087C1ZT"/>
    <s v="storepil6"/>
    <s v="storepil6"/>
    <n v="9"/>
    <n v="15646.71"/>
    <n v="9"/>
    <n v="15646.71"/>
    <n v="0"/>
    <n v="0"/>
    <n v="0"/>
    <n v="632171273387"/>
    <d v="2026-08-27T00:00:00"/>
    <n v="0"/>
  </r>
  <r>
    <s v="HCP Plastene Bulkpack Ltd (Unit - IV)"/>
    <s v="27-08-2026"/>
    <s v="HPBL4/26-27/SII01293"/>
    <s v="WIP00023"/>
    <x v="0"/>
    <m/>
    <s v="HPBL4/RAW/26-27/538"/>
    <n v="1549"/>
    <n v="1549"/>
    <s v="Kgs"/>
    <n v="1549"/>
    <n v="0"/>
    <n v="1549"/>
    <s v="GJ39TB3534"/>
    <s v="Plastene India ltd - Unit 1-Purchase"/>
    <s v="Plastene India ltd - Unit 1-Purchase"/>
    <s v="PIL1/D/1513"/>
    <s v="27-08-2026"/>
    <s v="RAW MATERIAL"/>
    <s v="INDIGENOUS"/>
    <s v="RM 575"/>
    <n v="142.32"/>
    <n v="142.32"/>
    <s v="PIL1/D/1513"/>
    <s v="27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260135.34"/>
    <s v="SF"/>
    <s v="PP/PE Fabric"/>
    <s v="PP UL Fabric"/>
    <s v="RM"/>
    <s v="erp"/>
    <n v="0"/>
    <n v="220453.68"/>
    <n v="1237"/>
    <s v="27-08-2026"/>
    <s v="24AAACO3087C1ZT"/>
    <s v="storepil6"/>
    <s v="storepil6"/>
    <n v="9"/>
    <n v="19840.830000000002"/>
    <n v="9"/>
    <n v="19840.830000000002"/>
    <n v="0"/>
    <n v="0"/>
    <n v="260135.34"/>
    <n v="612171484305"/>
    <d v="2026-08-27T00:00:00"/>
    <n v="0"/>
  </r>
  <r>
    <s v="HCP Plastene Bulkpack Ltd (Unit - IV)"/>
    <s v="28-08-2026"/>
    <s v="HPBL4/26-27/SII01295"/>
    <s v="wip00013"/>
    <x v="3"/>
    <m/>
    <s v="HPBL4/RAW/26-27/539"/>
    <n v="1797"/>
    <n v="1797"/>
    <s v="Kgs"/>
    <n v="1797"/>
    <n v="0"/>
    <n v="1797"/>
    <s v="GJ12BY0479"/>
    <s v="Plastene India ltd - Unit 1-Purchase"/>
    <s v="Plastene India ltd - Unit 1-Purchase"/>
    <s v="PIL1/D/1521"/>
    <s v="18-08-2026"/>
    <s v="RAW MATERIAL"/>
    <s v="INDIGENOUS"/>
    <s v="RM 576"/>
    <n v="176.86"/>
    <n v="176.86"/>
    <s v="PIL1/D/1521"/>
    <s v="28-08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025451.14"/>
    <s v="SF"/>
    <s v="Liners"/>
    <s v="LDPE/LLDPE Bags"/>
    <s v="RM"/>
    <s v="erp"/>
    <n v="0"/>
    <n v="317817.42"/>
    <n v="1241"/>
    <s v="28-08-2026"/>
    <s v="24AAACO3087C1ZT"/>
    <s v="storepil6"/>
    <s v="storepil6"/>
    <n v="9"/>
    <n v="28603.57"/>
    <n v="9"/>
    <n v="28603.57"/>
    <n v="0"/>
    <n v="0"/>
    <n v="2025451.14"/>
    <n v="602171842258"/>
    <d v="2026-08-28T00:00:00"/>
    <n v="0"/>
  </r>
  <r>
    <s v="HCP Plastene Bulkpack Ltd (Unit - IV)"/>
    <s v="28-08-2026"/>
    <s v="HPBL4/26-27/SII01295"/>
    <s v="WIP00023"/>
    <x v="0"/>
    <m/>
    <s v="HPBL4/RAW/26-27/539"/>
    <n v="999"/>
    <n v="999"/>
    <s v="Kgs"/>
    <n v="999"/>
    <n v="0"/>
    <n v="999"/>
    <s v="GJ12BY0479"/>
    <s v="Plastene India ltd - Unit 1-Purchase"/>
    <s v="Plastene India ltd - Unit 1-Purchase"/>
    <s v="PIL1/D/1521"/>
    <s v="18-08-2026"/>
    <s v="RAW MATERIAL"/>
    <s v="INDIGENOUS"/>
    <s v="RM 576"/>
    <n v="144.32"/>
    <n v="144.32"/>
    <s v="PIL1/D/1521"/>
    <s v="28-08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025451.14"/>
    <s v="SF"/>
    <s v="PP/PE Fabric"/>
    <s v="PP UL Fabric"/>
    <s v="RM"/>
    <s v="erp"/>
    <n v="0"/>
    <n v="144175.67999999999"/>
    <n v="1241"/>
    <s v="28-08-2026"/>
    <s v="24AAACO3087C1ZT"/>
    <s v="storepil6"/>
    <s v="storepil6"/>
    <n v="9"/>
    <n v="12975.81"/>
    <n v="9"/>
    <n v="12975.81"/>
    <n v="0"/>
    <n v="0"/>
    <n v="0"/>
    <n v="602171842258"/>
    <d v="2026-08-28T00:00:00"/>
    <n v="0"/>
  </r>
  <r>
    <s v="HCP Plastene Bulkpack Ltd (Unit - IV)"/>
    <s v="28-08-2026"/>
    <s v="HPBL4/26-27/SII01295"/>
    <s v="WIP00023"/>
    <x v="0"/>
    <m/>
    <s v="HPBL4/RAW/26-27/539"/>
    <n v="1593"/>
    <n v="1593"/>
    <s v="Kgs"/>
    <n v="1593"/>
    <n v="0"/>
    <n v="1593"/>
    <s v="GJ12BY0479"/>
    <s v="Plastene India ltd - Unit 1-Purchase"/>
    <s v="Plastene India ltd - Unit 1-Purchase"/>
    <s v="PIL1/D/1521"/>
    <s v="18-08-2026"/>
    <s v="RAW MATERIAL"/>
    <s v="INDIGENOUS"/>
    <s v="RM 576"/>
    <n v="145.32"/>
    <n v="145.32"/>
    <s v="PIL1/D/1521"/>
    <s v="28-08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025451.14"/>
    <s v="SF"/>
    <s v="PP/PE Fabric"/>
    <s v="PP UL Fabric"/>
    <s v="RM"/>
    <s v="erp"/>
    <n v="0"/>
    <n v="231494.76"/>
    <n v="1241"/>
    <s v="28-08-2026"/>
    <s v="24AAACO3087C1ZT"/>
    <s v="storepil6"/>
    <s v="storepil6"/>
    <n v="9"/>
    <n v="20834.53"/>
    <n v="9"/>
    <n v="20834.53"/>
    <n v="0"/>
    <n v="0"/>
    <n v="0"/>
    <n v="602171842258"/>
    <d v="2026-08-28T00:00:00"/>
    <n v="0"/>
  </r>
  <r>
    <s v="HCP Plastene Bulkpack Ltd (Unit - IV)"/>
    <s v="28-08-2026"/>
    <s v="HPBL4/26-27/SII01295"/>
    <s v="WIP00023"/>
    <x v="0"/>
    <m/>
    <s v="HPBL4/RAW/26-27/539"/>
    <n v="7188"/>
    <n v="7188"/>
    <s v="Kgs"/>
    <n v="7188"/>
    <n v="0"/>
    <n v="7188"/>
    <s v="GJ12BY0479"/>
    <s v="Plastene India ltd - Unit 1-Purchase"/>
    <s v="Plastene India ltd - Unit 1-Purchase"/>
    <s v="PIL1/D/1521"/>
    <s v="18-08-2026"/>
    <s v="RAW MATERIAL"/>
    <s v="INDIGENOUS"/>
    <s v="RM 576"/>
    <n v="142.32"/>
    <n v="142.32"/>
    <s v="PIL1/D/1521"/>
    <s v="28-08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025451.14"/>
    <s v="SF"/>
    <s v="PP/PE Fabric"/>
    <s v="PP UL Fabric"/>
    <s v="RM"/>
    <s v="erp"/>
    <n v="0"/>
    <n v="1022996.16"/>
    <n v="1241"/>
    <s v="28-08-2026"/>
    <s v="24AAACO3087C1ZT"/>
    <s v="storepil6"/>
    <s v="storepil6"/>
    <n v="9"/>
    <n v="92069.65"/>
    <n v="9"/>
    <n v="92069.65"/>
    <n v="0"/>
    <n v="0"/>
    <n v="0"/>
    <n v="602171842258"/>
    <d v="2026-08-28T00:00:00"/>
    <n v="0"/>
  </r>
  <r>
    <s v="HCP Plastene Bulkpack Ltd (Unit - IV)"/>
    <s v="28-08-2026"/>
    <s v="HPBL4/26-27/SII01297"/>
    <s v="wip00013"/>
    <x v="3"/>
    <m/>
    <s v="HPBL4/RAW/26-27/540"/>
    <n v="3483"/>
    <n v="3483"/>
    <s v="Kgs"/>
    <n v="3483"/>
    <n v="0"/>
    <n v="3483"/>
    <s v="gj12bt2409"/>
    <s v="Plastene India ltd - Unit 1-Purchase"/>
    <s v="Plastene India ltd - Unit 1-Purchase"/>
    <s v="PIL1/D/1522"/>
    <s v="28-08-2026"/>
    <s v="RAW MATERIAL"/>
    <s v="INDIGENOUS"/>
    <s v="RM 577"/>
    <n v="176.86"/>
    <n v="176.86017482911001"/>
    <s v="PIL1/D/1522"/>
    <s v="28-08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183592.3899999999"/>
    <s v="SF"/>
    <s v="Liners"/>
    <s v="LDPE/LLDPE Bags"/>
    <s v="RM"/>
    <s v="erp"/>
    <n v="0"/>
    <n v="616003.99"/>
    <n v="1245"/>
    <s v="28-08-2026"/>
    <s v="24AAACO3087C1ZT"/>
    <s v="storepil6"/>
    <s v="storepil6"/>
    <n v="9"/>
    <n v="55440.3"/>
    <n v="9"/>
    <n v="55440.3"/>
    <n v="0"/>
    <n v="0"/>
    <n v="1183592.3899999999"/>
    <n v="672171852315"/>
    <d v="2026-08-28T00:00:00"/>
    <n v="0"/>
  </r>
  <r>
    <s v="HCP Plastene Bulkpack Ltd (Unit - IV)"/>
    <s v="28-08-2026"/>
    <s v="HPBL4/26-27/SII01297"/>
    <s v="RAW05939"/>
    <x v="9"/>
    <m/>
    <s v="HPBL4/RAW/26-27/540"/>
    <n v="22800"/>
    <n v="22800"/>
    <s v="Pcs"/>
    <n v="22800"/>
    <n v="0"/>
    <n v="22800"/>
    <s v="gj12bt2409"/>
    <s v="Plastene India ltd - Unit 1-Purchase"/>
    <s v="Plastene India ltd - Unit 1-Purchase"/>
    <s v="PIL1/D/1522"/>
    <s v="28-08-2026"/>
    <s v="RAW MATERIAL"/>
    <s v="INDIGENOUS"/>
    <s v="RM 577"/>
    <n v="3.5293999999999999"/>
    <n v="3.52940348887177"/>
    <s v="PIL1/D/1522"/>
    <s v="28-08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183592.3899999999"/>
    <s v="RM Consumables"/>
    <s v="FIBC Accessories"/>
    <s v="FIBC Accessories"/>
    <s v="RM"/>
    <s v="ramesh.singhal"/>
    <n v="0"/>
    <n v="80470.399999999994"/>
    <n v="1245"/>
    <s v="28-08-2026"/>
    <s v="24AAACO3087C1ZT"/>
    <s v="storepil6"/>
    <s v="storepil6"/>
    <n v="9"/>
    <n v="7242.33"/>
    <n v="9"/>
    <n v="7242.33"/>
    <n v="0"/>
    <n v="0"/>
    <n v="0"/>
    <n v="672171852315"/>
    <d v="2026-08-28T00:00:00"/>
    <n v="0"/>
  </r>
  <r>
    <s v="HCP Plastene Bulkpack Ltd (Unit - IV)"/>
    <s v="28-08-2026"/>
    <s v="HPBL4/26-27/SII01297"/>
    <s v="WIP00032"/>
    <x v="2"/>
    <m/>
    <s v="HPBL4/RAW/26-27/540"/>
    <n v="17.3"/>
    <n v="17.3"/>
    <s v="Kgs"/>
    <n v="17.3"/>
    <n v="0"/>
    <n v="17.3"/>
    <s v="gj12bt2409"/>
    <s v="Plastene India ltd - Unit 1-Purchase"/>
    <s v="Plastene India ltd - Unit 1-Purchase"/>
    <s v="PIL1/D/1522"/>
    <s v="28-08-2026"/>
    <s v="RAW MATERIAL"/>
    <s v="INDIGENOUS"/>
    <s v="RM 577"/>
    <n v="168.32"/>
    <n v="168.32016638717499"/>
    <s v="PIL1/D/1522"/>
    <s v="28-08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183592.3899999999"/>
    <s v="SF"/>
    <s v="Webbing"/>
    <s v="PP Webbing"/>
    <s v="RM"/>
    <s v="erp"/>
    <n v="0"/>
    <n v="2911.94"/>
    <n v="1245"/>
    <s v="28-08-2026"/>
    <s v="24AAACO3087C1ZT"/>
    <s v="storepil6"/>
    <s v="storepil6"/>
    <n v="9"/>
    <n v="262.07"/>
    <n v="9"/>
    <n v="262.07"/>
    <n v="0"/>
    <n v="0"/>
    <n v="0"/>
    <n v="672171852315"/>
    <d v="2026-08-28T00:00:00"/>
    <n v="0"/>
  </r>
  <r>
    <s v="HCP Plastene Bulkpack Ltd (Unit - IV)"/>
    <s v="28-08-2026"/>
    <s v="HPBL4/26-27/SII01297"/>
    <s v="WIP00032"/>
    <x v="2"/>
    <m/>
    <s v="HPBL4/RAW/26-27/540"/>
    <n v="979.4"/>
    <n v="979.4"/>
    <s v="Kgs"/>
    <n v="979.4"/>
    <n v="0"/>
    <n v="979.4"/>
    <s v="gj12bt2409"/>
    <s v="Plastene India ltd - Unit 1-Purchase"/>
    <s v="Plastene India ltd - Unit 1-Purchase"/>
    <s v="PIL1/D/1522"/>
    <s v="28-08-2026"/>
    <s v="RAW MATERIAL"/>
    <s v="INDIGENOUS"/>
    <s v="RM 577"/>
    <n v="147.32"/>
    <n v="147.32014562831901"/>
    <s v="PIL1/D/1522"/>
    <s v="28-08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183592.3899999999"/>
    <s v="SF"/>
    <s v="Webbing"/>
    <s v="PP Webbing"/>
    <s v="RM"/>
    <s v="erp"/>
    <n v="0"/>
    <n v="144285.35"/>
    <n v="1245"/>
    <s v="28-08-2026"/>
    <s v="24AAACO3087C1ZT"/>
    <s v="storepil6"/>
    <s v="storepil6"/>
    <n v="9"/>
    <n v="12985.67"/>
    <n v="9"/>
    <n v="12985.67"/>
    <n v="0"/>
    <n v="0"/>
    <n v="0"/>
    <n v="672171852315"/>
    <d v="2026-08-28T00:00:00"/>
    <n v="0"/>
  </r>
  <r>
    <s v="HCP Plastene Bulkpack Ltd (Unit - IV)"/>
    <s v="28-08-2026"/>
    <s v="HPBL4/26-27/SII01297"/>
    <s v="WIP00032"/>
    <x v="2"/>
    <m/>
    <s v="HPBL4/RAW/26-27/540"/>
    <n v="1104.3"/>
    <n v="1104.3"/>
    <s v="Kgs"/>
    <n v="1104.3"/>
    <n v="0"/>
    <n v="1104.3"/>
    <s v="gj12bt2409"/>
    <s v="Plastene India ltd - Unit 1-Purchase"/>
    <s v="Plastene India ltd - Unit 1-Purchase"/>
    <s v="PIL1/D/1522"/>
    <s v="28-08-2026"/>
    <s v="RAW MATERIAL"/>
    <s v="INDIGENOUS"/>
    <s v="RM 577"/>
    <n v="144.32"/>
    <n v="144.32014266276801"/>
    <s v="PIL1/D/1522"/>
    <s v="28-08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183592.3899999999"/>
    <s v="SF"/>
    <s v="Webbing"/>
    <s v="PP Webbing"/>
    <s v="RM"/>
    <s v="erp"/>
    <n v="0"/>
    <n v="159372.73000000001"/>
    <n v="1245"/>
    <s v="28-08-2026"/>
    <s v="24AAACO3087C1ZT"/>
    <s v="storepil6"/>
    <s v="storepil6"/>
    <n v="9"/>
    <n v="14343.53"/>
    <n v="9"/>
    <n v="14343.53"/>
    <n v="0"/>
    <n v="0"/>
    <n v="0"/>
    <n v="672171852315"/>
    <d v="2026-08-28T00:00:00"/>
    <n v="0"/>
  </r>
  <r>
    <s v="HCP Plastene Bulkpack Ltd (Unit - IV)"/>
    <s v="29-08-2026"/>
    <s v="HPBL4/26-27/SII01302"/>
    <s v="WIP00025"/>
    <x v="1"/>
    <m/>
    <s v="HPBL4/RAW/26-27/542"/>
    <n v="241"/>
    <n v="241"/>
    <s v="Kgs"/>
    <n v="241"/>
    <n v="0"/>
    <n v="241"/>
    <s v="GJ39TB3534"/>
    <s v="Plastene Polyfilms Ltd-Purchase"/>
    <s v="Plastene Polyfilms Ltd-Purchase"/>
    <s v="PPL/D/552"/>
    <s v="29-08-2026"/>
    <s v="RAW MATERIAL"/>
    <s v="INDIGENOUS"/>
    <s v="RM 578"/>
    <n v="137.58000000000001"/>
    <n v="137.57999663166299"/>
    <s v="PPL/D/552"/>
    <s v="29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163380.31"/>
    <s v="SF"/>
    <s v="PP/PE Fabric"/>
    <s v="PP Lam Fabric"/>
    <s v="RM"/>
    <s v="erp"/>
    <n v="0"/>
    <n v="33156.78"/>
    <n v="1251"/>
    <s v="29-08-2026"/>
    <s v="24AAFCP2956A1ZR"/>
    <s v="storepil6"/>
    <s v="storepil6"/>
    <n v="9"/>
    <n v="2984.11"/>
    <n v="9"/>
    <n v="2984.11"/>
    <n v="0"/>
    <n v="0"/>
    <n v="163380.31"/>
    <n v="692172332972"/>
    <d v="2026-08-29T00:00:00"/>
    <n v="0"/>
  </r>
  <r>
    <s v="HCP Plastene Bulkpack Ltd (Unit - IV)"/>
    <s v="29-08-2026"/>
    <s v="HPBL4/26-27/SII01302"/>
    <s v="WIP00023"/>
    <x v="0"/>
    <m/>
    <s v="HPBL4/RAW/26-27/542"/>
    <n v="788.3"/>
    <n v="788.3"/>
    <s v="Kgs"/>
    <n v="788.3"/>
    <n v="0"/>
    <n v="788.3"/>
    <s v="GJ39TB3534"/>
    <s v="Plastene Polyfilms Ltd-Purchase"/>
    <s v="Plastene Polyfilms Ltd-Purchase"/>
    <s v="PPL/D/552"/>
    <s v="29-08-2026"/>
    <s v="RAW MATERIAL"/>
    <s v="INDIGENOUS"/>
    <s v="RM 578"/>
    <n v="133.58000000000001"/>
    <n v="133.579996729594"/>
    <s v="PPL/D/552"/>
    <s v="29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163380.31"/>
    <s v="SF"/>
    <s v="PP/PE Fabric"/>
    <s v="PP UL Fabric"/>
    <s v="RM"/>
    <s v="erp"/>
    <n v="0"/>
    <n v="105301.11"/>
    <n v="1251"/>
    <s v="29-08-2026"/>
    <s v="24AAFCP2956A1ZR"/>
    <s v="storepil6"/>
    <s v="storepil6"/>
    <n v="9"/>
    <n v="9477.1"/>
    <n v="9"/>
    <n v="9477.1"/>
    <n v="0"/>
    <n v="0"/>
    <n v="0"/>
    <n v="692172332972"/>
    <d v="2026-08-29T00:00:00"/>
    <n v="0"/>
  </r>
  <r>
    <s v="HCP Plastene Bulkpack Ltd (Unit - IV)"/>
    <s v="29-08-2026"/>
    <s v="HPBL4/26-27/SII01304"/>
    <s v="WIP00023"/>
    <x v="0"/>
    <m/>
    <s v="HPBL4/RAW/26-27/543"/>
    <n v="6249"/>
    <n v="6249"/>
    <s v="Kgs"/>
    <n v="6249"/>
    <n v="0"/>
    <n v="6249"/>
    <s v="GJ12BY0479"/>
    <s v="Plastene India ltd - Unit 1-Purchase"/>
    <s v="Plastene India ltd - Unit 1-Purchase"/>
    <s v="PIL1/D/1527"/>
    <s v="29-08-2026"/>
    <s v="RAW MATERIAL"/>
    <s v="INDIGENOUS"/>
    <s v="RM 579"/>
    <n v="142.32"/>
    <n v="142.32"/>
    <s v="PIL1/D/1527"/>
    <s v="29-08-2026"/>
    <m/>
    <s v="-"/>
    <m/>
    <s v="LAXMAN B BAKUTRA"/>
    <s v="289 DT 29/08/2026"/>
    <n v="0"/>
    <n v="0"/>
    <n v="0"/>
    <n v="0"/>
    <n v="0"/>
    <s v="VAT"/>
    <n v="0"/>
    <n v="0"/>
    <n v="0"/>
    <n v="0"/>
    <n v="0"/>
    <m/>
    <n v="0"/>
    <n v="0"/>
    <n v="1667071.9"/>
    <s v="SF"/>
    <s v="PP/PE Fabric"/>
    <s v="PP UL Fabric"/>
    <s v="RM"/>
    <s v="erp"/>
    <n v="0"/>
    <n v="889357.68"/>
    <n v="1248"/>
    <s v="29-08-2026"/>
    <s v="24AAACO3087C1ZT"/>
    <s v="storepil6"/>
    <s v="storepil6"/>
    <n v="9"/>
    <n v="80042.19"/>
    <n v="9"/>
    <n v="80042.19"/>
    <n v="0"/>
    <n v="0"/>
    <n v="1667071.9"/>
    <n v="662172058740"/>
    <d v="2026-08-29T00:00:00"/>
    <n v="0"/>
  </r>
  <r>
    <s v="HCP Plastene Bulkpack Ltd (Unit - IV)"/>
    <s v="29-08-2026"/>
    <s v="HPBL4/26-27/SII01304"/>
    <s v="WIP00023"/>
    <x v="0"/>
    <m/>
    <s v="HPBL4/RAW/26-27/543"/>
    <n v="1713"/>
    <n v="1713"/>
    <s v="Kgs"/>
    <n v="1713"/>
    <n v="0"/>
    <n v="1713"/>
    <s v="GJ12BY0479"/>
    <s v="Plastene India ltd - Unit 1-Purchase"/>
    <s v="Plastene India ltd - Unit 1-Purchase"/>
    <s v="PIL1/D/1527"/>
    <s v="29-08-2026"/>
    <s v="RAW MATERIAL"/>
    <s v="INDIGENOUS"/>
    <s v="RM 579"/>
    <n v="145.32"/>
    <n v="145.32"/>
    <s v="PIL1/D/1527"/>
    <s v="29-08-2026"/>
    <m/>
    <s v="-"/>
    <m/>
    <s v="LAXMAN B BAKUTRA"/>
    <s v="289 DT 29/08/2026"/>
    <n v="0"/>
    <n v="0"/>
    <n v="0"/>
    <n v="0"/>
    <n v="0"/>
    <s v="VAT"/>
    <n v="0"/>
    <n v="0"/>
    <n v="0"/>
    <n v="0"/>
    <n v="0"/>
    <m/>
    <n v="0"/>
    <n v="0"/>
    <n v="1667071.9"/>
    <s v="SF"/>
    <s v="PP/PE Fabric"/>
    <s v="PP UL Fabric"/>
    <s v="RM"/>
    <s v="erp"/>
    <n v="0"/>
    <n v="248933.16"/>
    <n v="1248"/>
    <s v="29-08-2026"/>
    <s v="24AAACO3087C1ZT"/>
    <s v="storepil6"/>
    <s v="storepil6"/>
    <n v="9"/>
    <n v="22403.98"/>
    <n v="9"/>
    <n v="22403.98"/>
    <n v="0"/>
    <n v="0"/>
    <n v="0"/>
    <n v="662172058740"/>
    <d v="2026-08-29T00:00:00"/>
    <n v="0"/>
  </r>
  <r>
    <s v="HCP Plastene Bulkpack Ltd (Unit - IV)"/>
    <s v="29-08-2026"/>
    <s v="HPBL4/26-27/SII01304"/>
    <s v="WIP00023"/>
    <x v="0"/>
    <m/>
    <s v="HPBL4/RAW/26-27/543"/>
    <n v="1287"/>
    <n v="1287"/>
    <s v="Kgs"/>
    <n v="1287"/>
    <n v="0"/>
    <n v="1287"/>
    <s v="GJ12BY0479"/>
    <s v="Plastene India ltd - Unit 1-Purchase"/>
    <s v="Plastene India ltd - Unit 1-Purchase"/>
    <s v="PIL1/D/1527"/>
    <s v="29-08-2026"/>
    <s v="RAW MATERIAL"/>
    <s v="INDIGENOUS"/>
    <s v="RM 579"/>
    <n v="144.32"/>
    <n v="144.32"/>
    <s v="PIL1/D/1527"/>
    <s v="29-08-2026"/>
    <m/>
    <s v="-"/>
    <m/>
    <s v="LAXMAN B BAKUTRA"/>
    <s v="289 DT 29/08/2026"/>
    <n v="0"/>
    <n v="0"/>
    <n v="0"/>
    <n v="0"/>
    <n v="0"/>
    <s v="VAT"/>
    <n v="0"/>
    <n v="0"/>
    <n v="0"/>
    <n v="0"/>
    <n v="0"/>
    <m/>
    <n v="0"/>
    <n v="0"/>
    <n v="1667071.9"/>
    <s v="SF"/>
    <s v="PP/PE Fabric"/>
    <s v="PP UL Fabric"/>
    <s v="RM"/>
    <s v="erp"/>
    <n v="0"/>
    <n v="185739.84"/>
    <n v="1248"/>
    <s v="29-08-2026"/>
    <s v="24AAACO3087C1ZT"/>
    <s v="storepil6"/>
    <s v="storepil6"/>
    <n v="9"/>
    <n v="16716.59"/>
    <n v="9"/>
    <n v="16716.59"/>
    <n v="0"/>
    <n v="0"/>
    <n v="0"/>
    <n v="662172058740"/>
    <d v="2026-08-29T00:00:00"/>
    <n v="0"/>
  </r>
  <r>
    <s v="HCP Plastene Bulkpack Ltd (Unit - IV)"/>
    <s v="29-08-2026"/>
    <s v="HPBL4/26-27/SII01304"/>
    <s v="WIP00025"/>
    <x v="1"/>
    <m/>
    <s v="HPBL4/RAW/26-27/543"/>
    <n v="15"/>
    <n v="15"/>
    <s v="Kgs"/>
    <n v="15"/>
    <n v="0"/>
    <n v="15"/>
    <s v="GJ12BY0479"/>
    <s v="Plastene India ltd - Unit 1-Purchase"/>
    <s v="Plastene India ltd - Unit 1-Purchase"/>
    <s v="PIL1/D/1527"/>
    <s v="29-08-2026"/>
    <s v="RAW MATERIAL"/>
    <s v="INDIGENOUS"/>
    <s v="RM 579"/>
    <n v="395"/>
    <n v="395"/>
    <s v="PIL1/D/1527"/>
    <s v="29-08-2026"/>
    <m/>
    <s v="-"/>
    <m/>
    <s v="LAXMAN B BAKUTRA"/>
    <s v="289 DT 29/08/2026"/>
    <n v="0"/>
    <n v="0"/>
    <n v="0"/>
    <n v="0"/>
    <n v="0"/>
    <s v="VAT"/>
    <n v="0"/>
    <n v="0"/>
    <n v="0"/>
    <n v="0"/>
    <n v="0"/>
    <m/>
    <n v="0"/>
    <n v="0"/>
    <n v="1667071.9"/>
    <s v="SF"/>
    <s v="PP/PE Fabric"/>
    <s v="PP Lam Fabric"/>
    <s v="RM"/>
    <s v="erp"/>
    <n v="0"/>
    <n v="5925"/>
    <n v="1248"/>
    <s v="29-08-2026"/>
    <s v="24AAACO3087C1ZT"/>
    <s v="storepil6"/>
    <s v="storepil6"/>
    <n v="9"/>
    <n v="533.25"/>
    <n v="9"/>
    <n v="533.25"/>
    <n v="0"/>
    <n v="0"/>
    <n v="0"/>
    <n v="662172058740"/>
    <d v="2026-08-29T00:00:00"/>
    <n v="0"/>
  </r>
  <r>
    <s v="HCP Plastene Bulkpack Ltd (Unit - IV)"/>
    <s v="29-08-2026"/>
    <s v="HPBL4/26-27/SII01304"/>
    <s v="WIP00025"/>
    <x v="1"/>
    <m/>
    <s v="HPBL4/RAW/26-27/543"/>
    <n v="566"/>
    <n v="566"/>
    <s v="Kgs"/>
    <n v="566"/>
    <n v="0"/>
    <n v="566"/>
    <s v="GJ12BY0479"/>
    <s v="Plastene India ltd - Unit 1-Purchase"/>
    <s v="Plastene India ltd - Unit 1-Purchase"/>
    <s v="PIL1/D/1527"/>
    <s v="29-08-2026"/>
    <s v="RAW MATERIAL"/>
    <s v="INDIGENOUS"/>
    <s v="RM 579"/>
    <n v="146.32"/>
    <n v="146.32"/>
    <s v="PIL1/D/1527"/>
    <s v="29-08-2026"/>
    <m/>
    <s v="-"/>
    <m/>
    <s v="LAXMAN B BAKUTRA"/>
    <s v="289 DT 29/08/2026"/>
    <n v="0"/>
    <n v="0"/>
    <n v="0"/>
    <n v="0"/>
    <n v="0"/>
    <s v="VAT"/>
    <n v="0"/>
    <n v="0"/>
    <n v="0"/>
    <n v="0"/>
    <n v="0"/>
    <m/>
    <n v="0"/>
    <n v="0"/>
    <n v="1667071.9"/>
    <s v="SF"/>
    <s v="PP/PE Fabric"/>
    <s v="PP Lam Fabric"/>
    <s v="RM"/>
    <s v="erp"/>
    <n v="0"/>
    <n v="82817.119999999995"/>
    <n v="1248"/>
    <s v="29-08-2026"/>
    <s v="24AAACO3087C1ZT"/>
    <s v="storepil6"/>
    <s v="storepil6"/>
    <n v="9"/>
    <n v="7453.54"/>
    <n v="9"/>
    <n v="7453.54"/>
    <n v="0"/>
    <n v="0"/>
    <n v="0"/>
    <n v="662172058740"/>
    <d v="2026-08-29T00:00:00"/>
    <n v="0"/>
  </r>
  <r>
    <s v="HCP Plastene Bulkpack Ltd (Unit - IV)"/>
    <s v="29-08-2026"/>
    <s v="HPBL4/26-27/SII01306"/>
    <s v="WIP00023"/>
    <x v="0"/>
    <m/>
    <s v="HPBL4/RAW/26-27/544"/>
    <n v="443"/>
    <n v="443"/>
    <s v="Kgs"/>
    <n v="443"/>
    <n v="0"/>
    <n v="443"/>
    <s v="gj12bt2409"/>
    <s v="Plastene India ltd - Unit 1-Purchase"/>
    <s v="Plastene India ltd - Unit 1-Purchase"/>
    <s v="PIL1/D/1529"/>
    <s v="29-08-2026"/>
    <s v="RAW MATERIAL"/>
    <s v="INDIGENOUS"/>
    <s v="RM 580"/>
    <n v="142.32"/>
    <n v="142.32000168706"/>
    <s v="PIL1/D/1529"/>
    <s v="29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506158.53"/>
    <s v="SF"/>
    <s v="PP/PE Fabric"/>
    <s v="PP UL Fabric"/>
    <s v="RM"/>
    <s v="erp"/>
    <n v="0"/>
    <n v="63047.76"/>
    <n v="1250"/>
    <s v="29-08-2026"/>
    <s v="24AAACO3087C1ZT"/>
    <s v="storepil6"/>
    <s v="storepil6"/>
    <n v="9"/>
    <n v="5674.3"/>
    <n v="9"/>
    <n v="5674.3"/>
    <n v="0"/>
    <n v="0"/>
    <n v="506158.53"/>
    <n v="602172107916"/>
    <d v="2026-08-29T00:00:00"/>
    <n v="0"/>
  </r>
  <r>
    <s v="HCP Plastene Bulkpack Ltd (Unit - IV)"/>
    <s v="29-08-2026"/>
    <s v="HPBL4/26-27/SII01306"/>
    <s v="wip00013"/>
    <x v="3"/>
    <m/>
    <s v="HPBL4/RAW/26-27/544"/>
    <n v="50"/>
    <n v="50"/>
    <s v="Kgs"/>
    <n v="50"/>
    <n v="0"/>
    <n v="50"/>
    <s v="gj12bt2409"/>
    <s v="Plastene India ltd - Unit 1-Purchase"/>
    <s v="Plastene India ltd - Unit 1-Purchase"/>
    <s v="PIL1/D/1529"/>
    <s v="29-08-2026"/>
    <s v="RAW MATERIAL"/>
    <s v="INDIGENOUS"/>
    <s v="RM 580"/>
    <n v="176.86"/>
    <n v="176.860002096497"/>
    <s v="PIL1/D/1529"/>
    <s v="29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506158.53"/>
    <s v="SF"/>
    <s v="Liners"/>
    <s v="LDPE/LLDPE Bags"/>
    <s v="RM"/>
    <s v="erp"/>
    <n v="0"/>
    <n v="8843"/>
    <n v="1250"/>
    <s v="29-08-2026"/>
    <s v="24AAACO3087C1ZT"/>
    <s v="storepil6"/>
    <s v="storepil6"/>
    <n v="9"/>
    <n v="795.87"/>
    <n v="9"/>
    <n v="795.87"/>
    <n v="0"/>
    <n v="0"/>
    <n v="0"/>
    <n v="602172107916"/>
    <d v="2026-08-29T00:00:00"/>
    <n v="0"/>
  </r>
  <r>
    <s v="HCP Plastene Bulkpack Ltd (Unit - IV)"/>
    <s v="29-08-2026"/>
    <s v="HPBL4/26-27/SII01306"/>
    <s v="wip00013"/>
    <x v="3"/>
    <m/>
    <s v="HPBL4/RAW/26-27/544"/>
    <n v="839"/>
    <n v="839"/>
    <s v="Kgs"/>
    <n v="839"/>
    <n v="0"/>
    <n v="839"/>
    <s v="gj12bt2409"/>
    <s v="Plastene India ltd - Unit 1-Purchase"/>
    <s v="Plastene India ltd - Unit 1-Purchase"/>
    <s v="PIL1/D/1529"/>
    <s v="29-08-2026"/>
    <s v="RAW MATERIAL"/>
    <s v="INDIGENOUS"/>
    <s v="RM 580"/>
    <n v="176.86"/>
    <n v="176.860002096497"/>
    <s v="PIL1/D/1529"/>
    <s v="29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506158.53"/>
    <s v="SF"/>
    <s v="Liners"/>
    <s v="LDPE/LLDPE Bags"/>
    <s v="RM"/>
    <s v="erp"/>
    <n v="0"/>
    <n v="148385.54"/>
    <n v="1250"/>
    <s v="29-08-2026"/>
    <s v="24AAACO3087C1ZT"/>
    <s v="storepil6"/>
    <s v="storepil6"/>
    <n v="9"/>
    <n v="13354.7"/>
    <n v="9"/>
    <n v="13354.7"/>
    <n v="0"/>
    <n v="0"/>
    <n v="0"/>
    <n v="602172107916"/>
    <d v="2026-08-29T00:00:00"/>
    <n v="0"/>
  </r>
  <r>
    <s v="HCP Plastene Bulkpack Ltd (Unit - IV)"/>
    <s v="29-08-2026"/>
    <s v="HPBL4/26-27/SII01306"/>
    <s v="WIP00032"/>
    <x v="2"/>
    <m/>
    <s v="HPBL4/RAW/26-27/544"/>
    <n v="15.4"/>
    <n v="15.4"/>
    <s v="Kgs"/>
    <n v="15.4"/>
    <n v="0"/>
    <n v="15.4"/>
    <s v="gj12bt2409"/>
    <s v="Plastene India ltd - Unit 1-Purchase"/>
    <s v="Plastene India ltd - Unit 1-Purchase"/>
    <s v="PIL1/D/1529"/>
    <s v="29-08-2026"/>
    <s v="RAW MATERIAL"/>
    <s v="INDIGENOUS"/>
    <s v="RM 580"/>
    <n v="168.32"/>
    <n v="168.32000199526399"/>
    <s v="PIL1/D/1529"/>
    <s v="29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506158.53"/>
    <s v="SF"/>
    <s v="Webbing"/>
    <s v="PP Webbing"/>
    <s v="RM"/>
    <s v="erp"/>
    <n v="0"/>
    <n v="2592.13"/>
    <n v="1250"/>
    <s v="29-08-2026"/>
    <s v="24AAACO3087C1ZT"/>
    <s v="storepil6"/>
    <s v="storepil6"/>
    <n v="9"/>
    <n v="233.29"/>
    <n v="9"/>
    <n v="233.29"/>
    <n v="0"/>
    <n v="0"/>
    <n v="0"/>
    <n v="602172107916"/>
    <d v="2026-08-29T00:00:00"/>
    <n v="0"/>
  </r>
  <r>
    <s v="HCP Plastene Bulkpack Ltd (Unit - IV)"/>
    <s v="29-08-2026"/>
    <s v="HPBL4/26-27/SII01306"/>
    <s v="WIP00032"/>
    <x v="2"/>
    <m/>
    <s v="HPBL4/RAW/26-27/544"/>
    <n v="704"/>
    <n v="704"/>
    <s v="Kgs"/>
    <n v="704"/>
    <n v="0"/>
    <n v="704"/>
    <s v="gj12bt2409"/>
    <s v="Plastene India ltd - Unit 1-Purchase"/>
    <s v="Plastene India ltd - Unit 1-Purchase"/>
    <s v="PIL1/D/1529"/>
    <s v="29-08-2026"/>
    <s v="RAW MATERIAL"/>
    <s v="INDIGENOUS"/>
    <s v="RM 580"/>
    <n v="147.32"/>
    <n v="147.32000174633001"/>
    <s v="PIL1/D/1529"/>
    <s v="29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506158.53"/>
    <s v="SF"/>
    <s v="Webbing"/>
    <s v="PP Webbing"/>
    <s v="RM"/>
    <s v="erp"/>
    <n v="0"/>
    <n v="103713.28"/>
    <n v="1250"/>
    <s v="29-08-2026"/>
    <s v="24AAACO3087C1ZT"/>
    <s v="storepil6"/>
    <s v="storepil6"/>
    <n v="9"/>
    <n v="9334.2000000000007"/>
    <n v="9"/>
    <n v="9334.2000000000007"/>
    <n v="0"/>
    <n v="0"/>
    <n v="0"/>
    <n v="602172107916"/>
    <d v="2026-08-29T00:00:00"/>
    <n v="0"/>
  </r>
  <r>
    <s v="HCP Plastene Bulkpack Ltd (Unit - IV)"/>
    <s v="29-08-2026"/>
    <s v="HPBL4/26-27/SII01306"/>
    <s v="WIP00032"/>
    <x v="2"/>
    <m/>
    <s v="HPBL4/RAW/26-27/544"/>
    <n v="709.3"/>
    <n v="709.3"/>
    <s v="Kgs"/>
    <n v="709.3"/>
    <n v="0"/>
    <n v="709.3"/>
    <s v="gj12bt2409"/>
    <s v="Plastene India ltd - Unit 1-Purchase"/>
    <s v="Plastene India ltd - Unit 1-Purchase"/>
    <s v="PIL1/D/1529"/>
    <s v="29-08-2026"/>
    <s v="RAW MATERIAL"/>
    <s v="INDIGENOUS"/>
    <s v="RM 580"/>
    <n v="144.32"/>
    <n v="144.320001710768"/>
    <s v="PIL1/D/1529"/>
    <s v="29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506158.53"/>
    <s v="SF"/>
    <s v="Webbing"/>
    <s v="PP Webbing"/>
    <s v="RM"/>
    <s v="erp"/>
    <n v="0"/>
    <n v="102366.18"/>
    <n v="1250"/>
    <s v="29-08-2026"/>
    <s v="24AAACO3087C1ZT"/>
    <s v="storepil6"/>
    <s v="storepil6"/>
    <n v="9"/>
    <n v="9212.9599999999991"/>
    <n v="9"/>
    <n v="9212.9599999999991"/>
    <n v="0"/>
    <n v="0"/>
    <n v="0"/>
    <n v="602172107916"/>
    <d v="2026-08-29T00:00:00"/>
    <n v="0"/>
  </r>
  <r>
    <s v="HCP Plastene Bulkpack Ltd (Unit - IV)"/>
    <s v="29-08-2026"/>
    <s v="HPBL4/26-27/SII01307"/>
    <s v="WIP00025"/>
    <x v="1"/>
    <m/>
    <s v="HPBL4/RAW/26-27/545"/>
    <n v="546"/>
    <n v="546"/>
    <s v="Kgs"/>
    <n v="546"/>
    <n v="0"/>
    <n v="546"/>
    <s v="GJ39TB3534"/>
    <s v="Plastene India ltd - Unit 1-Purchase"/>
    <s v="Plastene India ltd - Unit 1-Purchase"/>
    <s v="PIL1/D/1531"/>
    <s v="29-08-2026"/>
    <s v="RAW MATERIAL"/>
    <s v="INDIGENOUS"/>
    <s v="RM 581"/>
    <n v="149.32"/>
    <n v="149.32"/>
    <s v="PIL1/D/1531"/>
    <s v="29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96203.88"/>
    <s v="SF"/>
    <s v="PP/PE Fabric"/>
    <s v="PP Lam Fabric"/>
    <s v="RM"/>
    <s v="erp"/>
    <n v="0"/>
    <n v="81528.72"/>
    <n v="1253"/>
    <s v="29-08-2026"/>
    <s v="24AAACO3087C1ZT"/>
    <s v="storepil6"/>
    <s v="storepil6"/>
    <n v="9"/>
    <n v="7337.58"/>
    <n v="9"/>
    <n v="7337.58"/>
    <n v="0"/>
    <n v="0"/>
    <n v="96203.88"/>
    <n v="682172319672"/>
    <d v="2026-08-29T00:00:00"/>
    <n v="0"/>
  </r>
  <r>
    <s v="HCP Plastene Bulkpack Ltd (Unit - IV)"/>
    <s v="30-08-2026"/>
    <s v="HPBL4/26-27/SII01308"/>
    <s v="SMF00146"/>
    <x v="11"/>
    <m/>
    <s v="HPBL4/RAW/26-27/546"/>
    <n v="890"/>
    <n v="890"/>
    <s v="Kgs"/>
    <n v="890"/>
    <n v="0"/>
    <n v="890"/>
    <s v="GJ24X5687"/>
    <s v="HCP Plastene Bulkpack Limited - Purchase"/>
    <s v="HCP Plastene Bulkpack Limited - Purchase"/>
    <s v="HPBL/DC/43"/>
    <s v="27-08-2026"/>
    <s v="RAW MATERIAL"/>
    <s v="INDIGENOUS"/>
    <s v="RM 582"/>
    <n v="170.95"/>
    <n v="170.95"/>
    <s v="HPBL/DC/43"/>
    <s v="27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152145.5"/>
    <s v="SF"/>
    <s v="Liners"/>
    <s v="LDPE/LLDPE Bags"/>
    <s v="RM"/>
    <s v="erp"/>
    <n v="0"/>
    <n v="152145.5"/>
    <n v="20"/>
    <s v="30-08-2026"/>
    <s v="24AABCG1282C2Z6"/>
    <s v="storepil6"/>
    <s v="storepil6"/>
    <n v="0"/>
    <n v="0"/>
    <n v="0"/>
    <n v="0"/>
    <n v="0"/>
    <n v="0"/>
    <n v="152145.5"/>
    <n v="642171416237"/>
    <d v="2026-08-27T00:00:00"/>
    <n v="0"/>
  </r>
  <r>
    <s v="HCP Plastene Bulkpack Ltd (Unit - IV)"/>
    <s v="30-08-2026"/>
    <s v="HPBL4/26-27/SII01309"/>
    <s v="WIP00038"/>
    <x v="12"/>
    <m/>
    <s v="HPBL4/RAW/26-27/547"/>
    <n v="3593.8"/>
    <n v="3593.8"/>
    <s v="Kgs"/>
    <n v="3593.8"/>
    <n v="0"/>
    <n v="3593.8"/>
    <s v="GJ06AX2024"/>
    <s v="HCP Plastene Bulkpack Limited - Purchase"/>
    <s v="HCP Plastene Bulkpack Limited - Purchase"/>
    <s v="HPBL/DC/45"/>
    <s v="29-08-2026"/>
    <s v="RAW MATERIAL"/>
    <s v="INDIGENOUS"/>
    <s v="RM 583"/>
    <n v="174.21"/>
    <n v="174.21000055651399"/>
    <s v="HPBL/DC/45"/>
    <s v="29-08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626075.9"/>
    <s v="FG"/>
    <s v="Small Bags"/>
    <s v="PP Bags"/>
    <s v="RM"/>
    <s v="erp"/>
    <n v="0"/>
    <n v="626075.9"/>
    <n v="21"/>
    <s v="30-08-2026"/>
    <s v="24AABCG1282C2Z6"/>
    <s v="storepil6"/>
    <s v="storepil6"/>
    <n v="0"/>
    <n v="0"/>
    <n v="0"/>
    <n v="0"/>
    <n v="0"/>
    <n v="0"/>
    <n v="626075.9"/>
    <n v="602172376756"/>
    <d v="2026-08-29T00:00:00"/>
    <n v="0"/>
  </r>
  <r>
    <s v="HCP Plastene Bulkpack Ltd (Unit - IV)"/>
    <s v="30-08-2026"/>
    <s v="HPBL4/26-27/SII01311"/>
    <s v="wip00013"/>
    <x v="3"/>
    <m/>
    <s v="HPBL4/RAW/26-27/548"/>
    <n v="1208"/>
    <n v="1208"/>
    <s v="Kgs"/>
    <n v="1208"/>
    <n v="0"/>
    <n v="1208"/>
    <s v="GJ39TB3534"/>
    <s v="Plastene India ltd - Unit 1-Purchase"/>
    <s v="Plastene India ltd - Unit 1-Purchase"/>
    <s v="PIL1/D/1535"/>
    <s v="29-08-2026"/>
    <s v="RAW MATERIAL"/>
    <s v="INDIGENOUS"/>
    <s v="RM 584"/>
    <n v="176.86"/>
    <n v="176.86"/>
    <s v="PIL1/D/1535"/>
    <s v="29-08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52103.32"/>
    <s v="SF"/>
    <s v="Liners"/>
    <s v="LDPE/LLDPE Bags"/>
    <s v="RM"/>
    <s v="erp"/>
    <n v="0"/>
    <n v="213646.88"/>
    <n v="1254"/>
    <s v="30-08-2026"/>
    <s v="24AAACO3087C1ZT"/>
    <s v="storepil6"/>
    <s v="storepil6"/>
    <n v="9"/>
    <n v="19228.22"/>
    <n v="9"/>
    <n v="19228.22"/>
    <n v="0"/>
    <n v="0"/>
    <n v="252103.32"/>
    <n v="692172457381"/>
    <d v="2026-08-29T00:00:00"/>
    <n v="0"/>
  </r>
  <r>
    <s v="HCP Plastene Bulkpack Ltd (Unit - IV)"/>
    <s v="30-08-2026"/>
    <s v="HPBL4/26-27/SII01312"/>
    <s v="WIP00023"/>
    <x v="0"/>
    <m/>
    <s v="HPBL4/RAW/26-27/549"/>
    <n v="8120"/>
    <n v="8120"/>
    <s v="Kgs"/>
    <n v="8120"/>
    <n v="0"/>
    <n v="8120"/>
    <s v="GJ12BY0479"/>
    <s v="Plastene India ltd - Unit 1-Purchase"/>
    <s v="Plastene India ltd - Unit 1-Purchase"/>
    <s v="PIL1/D/1537"/>
    <s v="30-08-2026"/>
    <s v="RAW MATERIAL"/>
    <s v="INDIGENOUS"/>
    <s v="RM 585"/>
    <n v="142.32"/>
    <n v="142.32"/>
    <s v="PIL1/D/1537"/>
    <s v="30-08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721842.8"/>
    <s v="SF"/>
    <s v="PP/PE Fabric"/>
    <s v="PP UL Fabric"/>
    <s v="RM"/>
    <s v="erp"/>
    <n v="0"/>
    <n v="1155638.3999999999"/>
    <n v="1255"/>
    <s v="30-08-2026"/>
    <s v="24AAACO3087C1ZT"/>
    <s v="storepil6"/>
    <s v="storepil6"/>
    <n v="9"/>
    <n v="104007.46"/>
    <n v="9"/>
    <n v="104007.46"/>
    <n v="0"/>
    <n v="0"/>
    <n v="1721842.8"/>
    <n v="642172682431"/>
    <d v="2026-08-30T00:00:00"/>
    <n v="0"/>
  </r>
  <r>
    <s v="HCP Plastene Bulkpack Ltd (Unit - IV)"/>
    <s v="30-08-2026"/>
    <s v="HPBL4/26-27/SII01312"/>
    <s v="WIP00023"/>
    <x v="0"/>
    <m/>
    <s v="HPBL4/RAW/26-27/549"/>
    <n v="1200"/>
    <n v="1200"/>
    <s v="Kgs"/>
    <n v="1200"/>
    <n v="0"/>
    <n v="1200"/>
    <s v="GJ12BY0479"/>
    <s v="Plastene India ltd - Unit 1-Purchase"/>
    <s v="Plastene India ltd - Unit 1-Purchase"/>
    <s v="PIL1/D/1537"/>
    <s v="30-08-2026"/>
    <s v="RAW MATERIAL"/>
    <s v="INDIGENOUS"/>
    <s v="RM 585"/>
    <n v="145.32"/>
    <n v="145.32"/>
    <s v="PIL1/D/1537"/>
    <s v="30-08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721842.8"/>
    <s v="SF"/>
    <s v="PP/PE Fabric"/>
    <s v="PP UL Fabric"/>
    <s v="RM"/>
    <s v="erp"/>
    <n v="0"/>
    <n v="174384"/>
    <n v="1255"/>
    <s v="30-08-2026"/>
    <s v="24AAACO3087C1ZT"/>
    <s v="storepil6"/>
    <s v="storepil6"/>
    <n v="9"/>
    <n v="15694.56"/>
    <n v="9"/>
    <n v="15694.56"/>
    <n v="0"/>
    <n v="0"/>
    <n v="0"/>
    <n v="642172682431"/>
    <d v="2026-08-30T00:00:00"/>
    <n v="0"/>
  </r>
  <r>
    <s v="HCP Plastene Bulkpack Ltd (Unit - IV)"/>
    <s v="30-08-2026"/>
    <s v="HPBL4/26-27/SII01312"/>
    <s v="WIP00023"/>
    <x v="0"/>
    <m/>
    <s v="HPBL4/RAW/26-27/549"/>
    <n v="895"/>
    <n v="895"/>
    <s v="Kgs"/>
    <n v="895"/>
    <n v="0"/>
    <n v="895"/>
    <s v="GJ12BY0479"/>
    <s v="Plastene India ltd - Unit 1-Purchase"/>
    <s v="Plastene India ltd - Unit 1-Purchase"/>
    <s v="PIL1/D/1537"/>
    <s v="30-08-2026"/>
    <s v="RAW MATERIAL"/>
    <s v="INDIGENOUS"/>
    <s v="RM 585"/>
    <n v="144.32"/>
    <n v="144.32"/>
    <s v="PIL1/D/1537"/>
    <s v="30-08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721842.8"/>
    <s v="SF"/>
    <s v="PP/PE Fabric"/>
    <s v="PP UL Fabric"/>
    <s v="RM"/>
    <s v="erp"/>
    <n v="0"/>
    <n v="129166.39999999999"/>
    <n v="1255"/>
    <s v="30-08-2026"/>
    <s v="24AAACO3087C1ZT"/>
    <s v="storepil6"/>
    <s v="storepil6"/>
    <n v="9"/>
    <n v="11624.98"/>
    <n v="9"/>
    <n v="11624.98"/>
    <n v="0"/>
    <n v="0"/>
    <n v="0"/>
    <n v="642172682431"/>
    <d v="2026-08-30T00:00:00"/>
    <n v="0"/>
  </r>
  <r>
    <s v="HCP Plastene Bulkpack Ltd (Unit - IV)"/>
    <s v="30-08-2026"/>
    <s v="HPBL4/26-27/SII01313"/>
    <s v="WIP00023"/>
    <x v="0"/>
    <m/>
    <s v="HPBL4/RAW/26-27/550"/>
    <n v="262"/>
    <n v="262"/>
    <s v="Kgs"/>
    <n v="262"/>
    <n v="0"/>
    <n v="262"/>
    <s v="gj12bt2409"/>
    <s v="Plastene India ltd - Unit 1-Purchase"/>
    <s v="Plastene India ltd - Unit 1-Purchase"/>
    <s v="PIL1/D/1539"/>
    <s v="30-08-2026"/>
    <s v="RAW MATERIAL"/>
    <s v="INDIGENOUS"/>
    <s v="RM 586"/>
    <n v="145.32"/>
    <n v="145.31997577211001"/>
    <s v="PIL1/D/1539"/>
    <s v="30-08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015343.12"/>
    <s v="SF"/>
    <s v="PP/PE Fabric"/>
    <s v="PP UL Fabric"/>
    <s v="RM"/>
    <s v="erp"/>
    <n v="0"/>
    <n v="38073.83"/>
    <n v="1258"/>
    <s v="30-08-2026"/>
    <s v="24AAACO3087C1ZT"/>
    <s v="storepil6"/>
    <s v="storepil6"/>
    <n v="9"/>
    <n v="3426.65"/>
    <n v="9"/>
    <n v="3426.65"/>
    <n v="0"/>
    <n v="0"/>
    <n v="2015343.12"/>
    <n v="672172780916"/>
    <d v="2026-08-30T00:00:00"/>
    <n v="0"/>
  </r>
  <r>
    <s v="HCP Plastene Bulkpack Ltd (Unit - IV)"/>
    <s v="30-08-2026"/>
    <s v="HPBL4/26-27/SII01313"/>
    <s v="WIP00023"/>
    <x v="0"/>
    <m/>
    <s v="HPBL4/RAW/26-27/550"/>
    <n v="1466"/>
    <n v="1466"/>
    <s v="Kgs"/>
    <n v="1466"/>
    <n v="0"/>
    <n v="1466"/>
    <s v="gj12bt2409"/>
    <s v="Plastene India ltd - Unit 1-Purchase"/>
    <s v="Plastene India ltd - Unit 1-Purchase"/>
    <s v="PIL1/D/1539"/>
    <s v="30-08-2026"/>
    <s v="RAW MATERIAL"/>
    <s v="INDIGENOUS"/>
    <s v="RM 586"/>
    <n v="142.32"/>
    <n v="142.31997627227301"/>
    <s v="PIL1/D/1539"/>
    <s v="30-08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015343.12"/>
    <s v="SF"/>
    <s v="PP/PE Fabric"/>
    <s v="PP UL Fabric"/>
    <s v="RM"/>
    <s v="erp"/>
    <n v="0"/>
    <n v="208641.09"/>
    <n v="1258"/>
    <s v="30-08-2026"/>
    <s v="24AAACO3087C1ZT"/>
    <s v="storepil6"/>
    <s v="storepil6"/>
    <n v="9"/>
    <n v="18777.7"/>
    <n v="9"/>
    <n v="18777.7"/>
    <n v="0"/>
    <n v="0"/>
    <n v="0"/>
    <n v="672172780916"/>
    <d v="2026-08-30T00:00:00"/>
    <n v="0"/>
  </r>
  <r>
    <s v="HCP Plastene Bulkpack Ltd (Unit - IV)"/>
    <s v="30-08-2026"/>
    <s v="HPBL4/26-27/SII01313"/>
    <s v="WIP00025"/>
    <x v="1"/>
    <m/>
    <s v="HPBL4/RAW/26-27/550"/>
    <n v="185"/>
    <n v="185"/>
    <s v="Kgs"/>
    <n v="185"/>
    <n v="0"/>
    <n v="185"/>
    <s v="gj12bt2409"/>
    <s v="Plastene India ltd - Unit 1-Purchase"/>
    <s v="Plastene India ltd - Unit 1-Purchase"/>
    <s v="PIL1/D/1539"/>
    <s v="30-08-2026"/>
    <s v="RAW MATERIAL"/>
    <s v="INDIGENOUS"/>
    <s v="RM 586"/>
    <n v="149.32"/>
    <n v="149.31997510522601"/>
    <s v="PIL1/D/1539"/>
    <s v="30-08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015343.12"/>
    <s v="SF"/>
    <s v="PP/PE Fabric"/>
    <s v="PP Lam Fabric"/>
    <s v="RM"/>
    <s v="erp"/>
    <n v="0"/>
    <n v="27624.2"/>
    <n v="1258"/>
    <s v="30-08-2026"/>
    <s v="24AAACO3087C1ZT"/>
    <s v="storepil6"/>
    <s v="storepil6"/>
    <n v="9"/>
    <n v="2486.1799999999998"/>
    <n v="9"/>
    <n v="2486.1799999999998"/>
    <n v="0"/>
    <n v="0"/>
    <n v="0"/>
    <n v="672172780916"/>
    <d v="2026-08-30T00:00:00"/>
    <n v="0"/>
  </r>
  <r>
    <s v="HCP Plastene Bulkpack Ltd (Unit - IV)"/>
    <s v="30-08-2026"/>
    <s v="HPBL4/26-27/SII01313"/>
    <s v="WIP00025"/>
    <x v="1"/>
    <m/>
    <s v="HPBL4/RAW/26-27/550"/>
    <n v="1487"/>
    <n v="1487"/>
    <s v="Kgs"/>
    <n v="1487"/>
    <n v="0"/>
    <n v="1487"/>
    <s v="gj12bt2409"/>
    <s v="Plastene India ltd - Unit 1-Purchase"/>
    <s v="Plastene India ltd - Unit 1-Purchase"/>
    <s v="PIL1/D/1539"/>
    <s v="30-08-2026"/>
    <s v="RAW MATERIAL"/>
    <s v="INDIGENOUS"/>
    <s v="RM 586"/>
    <n v="146.32"/>
    <n v="146.319975605389"/>
    <s v="PIL1/D/1539"/>
    <s v="30-08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015343.12"/>
    <s v="SF"/>
    <s v="PP/PE Fabric"/>
    <s v="PP Lam Fabric"/>
    <s v="RM"/>
    <s v="erp"/>
    <n v="0"/>
    <n v="217577.8"/>
    <n v="1258"/>
    <s v="30-08-2026"/>
    <s v="24AAACO3087C1ZT"/>
    <s v="storepil6"/>
    <s v="storepil6"/>
    <n v="9"/>
    <n v="19582.009999999998"/>
    <n v="9"/>
    <n v="19582.009999999998"/>
    <n v="0"/>
    <n v="0"/>
    <n v="0"/>
    <n v="672172780916"/>
    <d v="2026-08-30T00:00:00"/>
    <n v="0"/>
  </r>
  <r>
    <s v="HCP Plastene Bulkpack Ltd (Unit - IV)"/>
    <s v="30-08-2026"/>
    <s v="HPBL4/26-27/SII01313"/>
    <s v="wip00013"/>
    <x v="3"/>
    <m/>
    <s v="HPBL4/RAW/26-27/550"/>
    <n v="4944"/>
    <n v="4944"/>
    <s v="Kgs"/>
    <n v="4944"/>
    <n v="0"/>
    <n v="4944"/>
    <s v="gj12bt2409"/>
    <s v="Plastene India ltd - Unit 1-Purchase"/>
    <s v="Plastene India ltd - Unit 1-Purchase"/>
    <s v="PIL1/D/1539"/>
    <s v="30-08-2026"/>
    <s v="RAW MATERIAL"/>
    <s v="INDIGENOUS"/>
    <s v="RM 586"/>
    <n v="176.86"/>
    <n v="176.85997051373101"/>
    <s v="PIL1/D/1539"/>
    <s v="30-08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015343.12"/>
    <s v="SF"/>
    <s v="Liners"/>
    <s v="LDPE/LLDPE Bags"/>
    <s v="RM"/>
    <s v="erp"/>
    <n v="0"/>
    <n v="874395.69"/>
    <n v="1258"/>
    <s v="30-08-2026"/>
    <s v="24AAACO3087C1ZT"/>
    <s v="storepil6"/>
    <s v="storepil6"/>
    <n v="9"/>
    <n v="78695.63"/>
    <n v="9"/>
    <n v="78695.63"/>
    <n v="0"/>
    <n v="0"/>
    <n v="0"/>
    <n v="672172780916"/>
    <d v="2026-08-30T00:00:00"/>
    <n v="0"/>
  </r>
  <r>
    <s v="HCP Plastene Bulkpack Ltd (Unit - IV)"/>
    <s v="30-08-2026"/>
    <s v="HPBL4/26-27/SII01313"/>
    <s v="SMF00052"/>
    <x v="15"/>
    <m/>
    <s v="HPBL4/RAW/26-27/550"/>
    <n v="84"/>
    <n v="84"/>
    <s v="Kgs"/>
    <n v="84"/>
    <n v="0"/>
    <n v="84"/>
    <s v="gj12bt2409"/>
    <s v="Plastene India ltd - Unit 1-Purchase"/>
    <s v="Plastene India ltd - Unit 1-Purchase"/>
    <s v="PIL1/D/1539"/>
    <s v="30-08-2026"/>
    <s v="RAW MATERIAL"/>
    <s v="INDIGENOUS"/>
    <s v="RM 586"/>
    <n v="143.32"/>
    <n v="143.319976105552"/>
    <s v="PIL1/D/1539"/>
    <s v="30-08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015343.12"/>
    <s v="SF"/>
    <s v="Yarn All"/>
    <s v="PP Yarn"/>
    <s v="RM"/>
    <s v="erp"/>
    <n v="0"/>
    <n v="12038.88"/>
    <n v="1258"/>
    <s v="30-08-2026"/>
    <s v="24AAACO3087C1ZT"/>
    <s v="storepil6"/>
    <s v="storepil6"/>
    <n v="2.5"/>
    <n v="300.97000000000003"/>
    <n v="2.5"/>
    <n v="300.97000000000003"/>
    <n v="0"/>
    <n v="0"/>
    <n v="0"/>
    <n v="672172780916"/>
    <d v="2026-08-30T00:00:00"/>
    <n v="0"/>
  </r>
  <r>
    <s v="HCP Plastene Bulkpack Ltd (Unit - IV)"/>
    <s v="30-08-2026"/>
    <s v="HPBL4/26-27/SII01313"/>
    <s v="RAW05939"/>
    <x v="9"/>
    <m/>
    <s v="HPBL4/RAW/26-27/550"/>
    <n v="8400"/>
    <n v="8400"/>
    <s v="Pcs"/>
    <n v="8400"/>
    <n v="0"/>
    <n v="8400"/>
    <s v="gj12bt2409"/>
    <s v="Plastene India ltd - Unit 1-Purchase"/>
    <s v="Plastene India ltd - Unit 1-Purchase"/>
    <s v="PIL1/D/1539"/>
    <s v="30-08-2026"/>
    <s v="RAW MATERIAL"/>
    <s v="INDIGENOUS"/>
    <s v="RM 586"/>
    <n v="3.5246"/>
    <n v="3.5245994123752999"/>
    <s v="PIL1/D/1539"/>
    <s v="30-08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015343.12"/>
    <s v="RM Consumables"/>
    <s v="FIBC Accessories"/>
    <s v="FIBC Accessories"/>
    <s v="RM"/>
    <s v="ramesh.singhal"/>
    <n v="0"/>
    <n v="29606.639999999999"/>
    <n v="1258"/>
    <s v="30-08-2026"/>
    <s v="24AAACO3087C1ZT"/>
    <s v="storepil6"/>
    <s v="storepil6"/>
    <n v="9"/>
    <n v="2664.6"/>
    <n v="9"/>
    <n v="2664.6"/>
    <n v="0"/>
    <n v="0"/>
    <n v="0"/>
    <n v="672172780916"/>
    <d v="2026-08-30T00:00:00"/>
    <n v="0"/>
  </r>
  <r>
    <s v="HCP Plastene Bulkpack Ltd (Unit - IV)"/>
    <s v="30-08-2026"/>
    <s v="HPBL4/26-27/SII01313"/>
    <s v="WIP00032"/>
    <x v="2"/>
    <m/>
    <s v="HPBL4/RAW/26-27/550"/>
    <n v="12.4"/>
    <n v="12.4"/>
    <s v="Kgs"/>
    <n v="12.4"/>
    <n v="0"/>
    <n v="12.4"/>
    <s v="gj12bt2409"/>
    <s v="Plastene India ltd - Unit 1-Purchase"/>
    <s v="Plastene India ltd - Unit 1-Purchase"/>
    <s v="PIL1/D/1539"/>
    <s v="30-08-2026"/>
    <s v="RAW MATERIAL"/>
    <s v="INDIGENOUS"/>
    <s v="RM 586"/>
    <n v="168.32"/>
    <n v="168.31997193752801"/>
    <s v="PIL1/D/1539"/>
    <s v="30-08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015343.12"/>
    <s v="SF"/>
    <s v="Webbing"/>
    <s v="PP Webbing"/>
    <s v="RM"/>
    <s v="erp"/>
    <n v="0"/>
    <n v="2087.17"/>
    <n v="1258"/>
    <s v="30-08-2026"/>
    <s v="24AAACO3087C1ZT"/>
    <s v="storepil6"/>
    <s v="storepil6"/>
    <n v="9"/>
    <n v="187.85"/>
    <n v="9"/>
    <n v="187.85"/>
    <n v="0"/>
    <n v="0"/>
    <n v="0"/>
    <n v="672172780916"/>
    <d v="2026-08-30T00:00:00"/>
    <n v="0"/>
  </r>
  <r>
    <s v="HCP Plastene Bulkpack Ltd (Unit - IV)"/>
    <s v="30-08-2026"/>
    <s v="HPBL4/26-27/SII01313"/>
    <s v="WIP00032"/>
    <x v="2"/>
    <m/>
    <s v="HPBL4/RAW/26-27/550"/>
    <n v="6.8"/>
    <n v="6.8"/>
    <s v="Kgs"/>
    <n v="6.8"/>
    <n v="0"/>
    <n v="6.8"/>
    <s v="gj12bt2409"/>
    <s v="Plastene India ltd - Unit 1-Purchase"/>
    <s v="Plastene India ltd - Unit 1-Purchase"/>
    <s v="PIL1/D/1539"/>
    <s v="30-08-2026"/>
    <s v="RAW MATERIAL"/>
    <s v="INDIGENOUS"/>
    <s v="RM 586"/>
    <n v="165.32"/>
    <n v="165.31997243769101"/>
    <s v="PIL1/D/1539"/>
    <s v="30-08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015343.12"/>
    <s v="SF"/>
    <s v="Webbing"/>
    <s v="PP Webbing"/>
    <s v="RM"/>
    <s v="erp"/>
    <n v="0"/>
    <n v="1124.18"/>
    <n v="1258"/>
    <s v="30-08-2026"/>
    <s v="24AAACO3087C1ZT"/>
    <s v="storepil6"/>
    <s v="storepil6"/>
    <n v="9"/>
    <n v="101.18"/>
    <n v="9"/>
    <n v="101.18"/>
    <n v="0"/>
    <n v="0"/>
    <n v="0"/>
    <n v="672172780916"/>
    <d v="2026-08-30T00:00:00"/>
    <n v="0"/>
  </r>
  <r>
    <s v="HCP Plastene Bulkpack Ltd (Unit - IV)"/>
    <s v="30-08-2026"/>
    <s v="HPBL4/26-27/SII01313"/>
    <s v="WIP00032"/>
    <x v="2"/>
    <m/>
    <s v="HPBL4/RAW/26-27/550"/>
    <n v="927.2"/>
    <n v="927.2"/>
    <s v="Kgs"/>
    <n v="927.2"/>
    <n v="0"/>
    <n v="927.2"/>
    <s v="gj12bt2409"/>
    <s v="Plastene India ltd - Unit 1-Purchase"/>
    <s v="Plastene India ltd - Unit 1-Purchase"/>
    <s v="PIL1/D/1539"/>
    <s v="30-08-2026"/>
    <s v="RAW MATERIAL"/>
    <s v="INDIGENOUS"/>
    <s v="RM 586"/>
    <n v="147.32"/>
    <n v="147.319975438668"/>
    <s v="PIL1/D/1539"/>
    <s v="30-08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015343.12"/>
    <s v="SF"/>
    <s v="Webbing"/>
    <s v="PP Webbing"/>
    <s v="RM"/>
    <s v="erp"/>
    <n v="0"/>
    <n v="136595.07999999999"/>
    <n v="1258"/>
    <s v="30-08-2026"/>
    <s v="24AAACO3087C1ZT"/>
    <s v="storepil6"/>
    <s v="storepil6"/>
    <n v="9"/>
    <n v="12293.56"/>
    <n v="9"/>
    <n v="12293.56"/>
    <n v="0"/>
    <n v="0"/>
    <n v="0"/>
    <n v="672172780916"/>
    <d v="2026-08-30T00:00:00"/>
    <n v="0"/>
  </r>
  <r>
    <s v="HCP Plastene Bulkpack Ltd (Unit - IV)"/>
    <s v="30-08-2026"/>
    <s v="HPBL4/26-27/SII01313"/>
    <s v="WIP00032"/>
    <x v="2"/>
    <m/>
    <s v="HPBL4/RAW/26-27/550"/>
    <n v="1118.9000000000001"/>
    <n v="1118.9000000000001"/>
    <s v="Kgs"/>
    <n v="1118.9000000000001"/>
    <n v="0"/>
    <n v="1118.9000000000001"/>
    <s v="gj12bt2409"/>
    <s v="Plastene India ltd - Unit 1-Purchase"/>
    <s v="Plastene India ltd - Unit 1-Purchase"/>
    <s v="PIL1/D/1539"/>
    <s v="30-08-2026"/>
    <s v="RAW MATERIAL"/>
    <s v="INDIGENOUS"/>
    <s v="RM 586"/>
    <n v="144.32"/>
    <n v="144.31997593883099"/>
    <s v="PIL1/D/1539"/>
    <s v="30-08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015343.12"/>
    <s v="SF"/>
    <s v="Webbing"/>
    <s v="PP Webbing"/>
    <s v="RM"/>
    <s v="erp"/>
    <n v="0"/>
    <n v="161479.62"/>
    <n v="1258"/>
    <s v="30-08-2026"/>
    <s v="24AAACO3087C1ZT"/>
    <s v="storepil6"/>
    <s v="storepil6"/>
    <n v="9"/>
    <n v="14533.17"/>
    <n v="9"/>
    <n v="14533.17"/>
    <n v="0"/>
    <n v="0"/>
    <n v="0"/>
    <n v="672172780916"/>
    <d v="2026-08-30T00:00:00"/>
    <n v="0"/>
  </r>
  <r>
    <s v="HCP Plastene Bulkpack Ltd (Unit - IV)"/>
    <s v="31-08-2026"/>
    <s v="HPBL4/26-27/SII01314"/>
    <s v="WIP00004"/>
    <x v="4"/>
    <m/>
    <s v="HPBL4/RAW/26-27/551"/>
    <n v="1153"/>
    <n v="1153"/>
    <s v="Kgs"/>
    <n v="1153"/>
    <n v="0"/>
    <n v="1153"/>
    <s v="GJ12BR8742"/>
    <s v="Plastene Polyfilms Ltd-Purchase"/>
    <s v="Plastene Polyfilms Ltd-Purchase"/>
    <s v="PPL/D/559"/>
    <s v="31-08-2026"/>
    <s v="RAW MATERIAL"/>
    <s v="INDIGENOUS"/>
    <s v="RM 587"/>
    <n v="199.8"/>
    <n v="199.8"/>
    <s v="PPL/D/559"/>
    <s v="31-08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71835.90000000002"/>
    <s v="FG"/>
    <s v="FIBC Bags"/>
    <s v="FIBC Bags"/>
    <s v="RM"/>
    <s v="erp"/>
    <n v="0"/>
    <n v="230369.4"/>
    <n v="1261"/>
    <s v="31-08-2026"/>
    <s v="24AAFCP2956A1ZR"/>
    <s v="storepil6"/>
    <s v="storepil6"/>
    <n v="9"/>
    <n v="20733.25"/>
    <n v="9"/>
    <n v="20733.25"/>
    <n v="0"/>
    <n v="0"/>
    <n v="271835.90000000002"/>
    <n v="622173072482"/>
    <d v="2026-08-31T00:00:00"/>
    <n v="0"/>
  </r>
  <r>
    <s v="HCP Plastene Bulkpack Ltd (Unit - IV)"/>
    <s v="31-08-2026"/>
    <s v="HPBL4/26-27/SII01315"/>
    <s v="SMF00052"/>
    <x v="15"/>
    <m/>
    <s v="HPBL4/RAW/26-27/552"/>
    <n v="383"/>
    <n v="383"/>
    <s v="Kgs"/>
    <n v="383"/>
    <n v="0"/>
    <n v="383"/>
    <s v="GJ16Z8614"/>
    <s v="K.P. Woven Pvt Ltd-Purchase"/>
    <s v="K.P. Woven Pvt Ltd-Purchase"/>
    <s v="KPV/D/696"/>
    <s v="30-08-2026"/>
    <s v="RAW MATERIAL"/>
    <s v="INDIGENOUS"/>
    <s v="RM 588"/>
    <n v="159.4"/>
    <n v="159.4"/>
    <s v="KPV/D/696"/>
    <s v="30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94483.42"/>
    <s v="SF"/>
    <s v="Yarn All"/>
    <s v="PP Yarn"/>
    <s v="RM"/>
    <s v="erp"/>
    <n v="0"/>
    <n v="61050.2"/>
    <n v="1264"/>
    <s v="31-08-2026"/>
    <s v="24AAECK6307M1ZF"/>
    <s v="storepil6"/>
    <s v="storepil6"/>
    <n v="2.5"/>
    <n v="1526.26"/>
    <n v="2.5"/>
    <n v="1526.26"/>
    <n v="0"/>
    <n v="0"/>
    <n v="94483.42"/>
    <n v="652172879883"/>
    <d v="2026-08-30T00:00:00"/>
    <n v="0"/>
  </r>
  <r>
    <s v="HCP Plastene Bulkpack Ltd (Unit - IV)"/>
    <s v="31-08-2026"/>
    <s v="HPBL4/26-27/SII01315"/>
    <s v="SMF00054"/>
    <x v="14"/>
    <m/>
    <s v="HPBL4/RAW/26-27/552"/>
    <n v="185"/>
    <n v="185"/>
    <s v="Kgs"/>
    <n v="185"/>
    <n v="0"/>
    <n v="185"/>
    <s v="GJ16Z8614"/>
    <s v="K.P. Woven Pvt Ltd-Purchase"/>
    <s v="K.P. Woven Pvt Ltd-Purchase"/>
    <s v="KPV/D/696"/>
    <s v="30-08-2026"/>
    <s v="RAW MATERIAL"/>
    <s v="INDIGENOUS"/>
    <s v="RM 588"/>
    <n v="156.4"/>
    <n v="156.4"/>
    <s v="KPV/D/696"/>
    <s v="30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94483.42"/>
    <s v="SF"/>
    <s v="Yarn All"/>
    <s v="PP Yarn"/>
    <s v="RM"/>
    <s v="erp"/>
    <n v="0"/>
    <n v="28934"/>
    <n v="1264"/>
    <s v="31-08-2026"/>
    <s v="24AAECK6307M1ZF"/>
    <s v="storepil6"/>
    <s v="storepil6"/>
    <n v="2.5"/>
    <n v="723.35"/>
    <n v="2.5"/>
    <n v="723.35"/>
    <n v="0"/>
    <n v="0"/>
    <n v="0"/>
    <n v="652172879883"/>
    <d v="2026-08-30T00:00:00"/>
    <n v="0"/>
  </r>
  <r>
    <s v="HCP Plastene Bulkpack Ltd (Unit - IV)"/>
    <s v="31-08-2026"/>
    <s v="HPBL4/26-27/SII01317"/>
    <s v="WIP00023"/>
    <x v="0"/>
    <m/>
    <s v="HPBL4/RAW/26-27/553"/>
    <n v="6618"/>
    <n v="6618"/>
    <s v="Kgs"/>
    <n v="6618"/>
    <n v="0"/>
    <n v="6618"/>
    <s v="gj12bt2409"/>
    <s v="Plastene India ltd - Unit 1-Purchase"/>
    <s v="Plastene India ltd - Unit 1-Purchase"/>
    <s v="PIL1/D/1542"/>
    <s v="31-08-2026"/>
    <s v="RAW MATERIAL"/>
    <s v="INDIGENOUS"/>
    <s v="RM 589"/>
    <n v="142.32"/>
    <n v="142.32"/>
    <s v="PIL1/D/1542"/>
    <s v="31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1381548.02"/>
    <s v="SF"/>
    <s v="PP/PE Fabric"/>
    <s v="PP UL Fabric"/>
    <s v="RM"/>
    <s v="erp"/>
    <n v="0"/>
    <n v="941873.76"/>
    <n v="1262"/>
    <s v="31-08-2026"/>
    <s v="24AAACO3087C1ZT"/>
    <s v="storepil6"/>
    <s v="storepil6"/>
    <n v="9"/>
    <n v="84768.639999999999"/>
    <n v="9"/>
    <n v="84768.639999999999"/>
    <n v="0"/>
    <n v="0"/>
    <n v="1381548.02"/>
    <n v="662173040676"/>
    <d v="2026-08-31T00:00:00"/>
    <n v="0"/>
  </r>
  <r>
    <s v="HCP Plastene Bulkpack Ltd (Unit - IV)"/>
    <s v="31-08-2026"/>
    <s v="HPBL4/26-27/SII01317"/>
    <s v="WIP00023"/>
    <x v="0"/>
    <m/>
    <s v="HPBL4/RAW/26-27/553"/>
    <n v="1337"/>
    <n v="1337"/>
    <s v="Kgs"/>
    <n v="1337"/>
    <n v="0"/>
    <n v="1337"/>
    <s v="gj12bt2409"/>
    <s v="Plastene India ltd - Unit 1-Purchase"/>
    <s v="Plastene India ltd - Unit 1-Purchase"/>
    <s v="PIL1/D/1542"/>
    <s v="31-08-2026"/>
    <s v="RAW MATERIAL"/>
    <s v="INDIGENOUS"/>
    <s v="RM 589"/>
    <n v="145.32"/>
    <n v="145.32"/>
    <s v="PIL1/D/1542"/>
    <s v="31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1381548.02"/>
    <s v="SF"/>
    <s v="PP/PE Fabric"/>
    <s v="PP UL Fabric"/>
    <s v="RM"/>
    <s v="erp"/>
    <n v="0"/>
    <n v="194292.84"/>
    <n v="1262"/>
    <s v="31-08-2026"/>
    <s v="24AAACO3087C1ZT"/>
    <s v="storepil6"/>
    <s v="storepil6"/>
    <n v="9"/>
    <n v="17486.36"/>
    <n v="9"/>
    <n v="17486.36"/>
    <n v="0"/>
    <n v="0"/>
    <n v="0"/>
    <n v="662173040676"/>
    <d v="2026-08-31T00:00:00"/>
    <n v="0"/>
  </r>
  <r>
    <s v="HCP Plastene Bulkpack Ltd (Unit - IV)"/>
    <s v="31-08-2026"/>
    <s v="HPBL4/26-27/SII01317"/>
    <s v="WIP00023"/>
    <x v="0"/>
    <m/>
    <s v="HPBL4/RAW/26-27/553"/>
    <n v="240"/>
    <n v="240"/>
    <s v="Kgs"/>
    <n v="240"/>
    <n v="0"/>
    <n v="240"/>
    <s v="gj12bt2409"/>
    <s v="Plastene India ltd - Unit 1-Purchase"/>
    <s v="Plastene India ltd - Unit 1-Purchase"/>
    <s v="PIL1/D/1542"/>
    <s v="31-08-2026"/>
    <s v="RAW MATERIAL"/>
    <s v="INDIGENOUS"/>
    <s v="RM 589"/>
    <n v="144.32"/>
    <n v="144.32"/>
    <s v="PIL1/D/1542"/>
    <s v="31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1381548.02"/>
    <s v="SF"/>
    <s v="PP/PE Fabric"/>
    <s v="PP UL Fabric"/>
    <s v="RM"/>
    <s v="erp"/>
    <n v="0"/>
    <n v="34636.800000000003"/>
    <n v="1262"/>
    <s v="31-08-2026"/>
    <s v="24AAACO3087C1ZT"/>
    <s v="storepil6"/>
    <s v="storepil6"/>
    <n v="9"/>
    <n v="3117.31"/>
    <n v="9"/>
    <n v="3117.31"/>
    <n v="0"/>
    <n v="0"/>
    <n v="0"/>
    <n v="662173040676"/>
    <d v="2026-08-31T00:00:00"/>
    <n v="0"/>
  </r>
  <r>
    <s v="HCP Plastene Bulkpack Ltd (Unit - IV)"/>
    <s v="31-08-2026"/>
    <s v="HPBL4/26-27/SII01319"/>
    <s v="WIP00023"/>
    <x v="0"/>
    <m/>
    <s v="HPBL4/RAW/26-27/554"/>
    <n v="2264"/>
    <n v="2264"/>
    <s v="Kgs"/>
    <n v="2264"/>
    <n v="0"/>
    <n v="2264"/>
    <s v="GJ12BY1595"/>
    <s v="Plastene India ltd - Unit 1-Purchase"/>
    <s v="Plastene India ltd - Unit 1-Purchase"/>
    <s v="PIL1/D/1544"/>
    <s v="31-08-2026"/>
    <s v="RAW MATERIAL"/>
    <s v="INDIGENOUS"/>
    <s v="RM 590"/>
    <n v="142.32"/>
    <n v="142.32000038933501"/>
    <s v="PIL1/D/1544"/>
    <s v="31-08-2026"/>
    <m/>
    <s v="-"/>
    <m/>
    <s v="LAXMAN B BAKUTRA"/>
    <s v="296 DT 31/08/2026"/>
    <n v="0"/>
    <n v="0"/>
    <n v="0"/>
    <n v="0"/>
    <n v="0"/>
    <s v="VAT"/>
    <n v="0"/>
    <n v="0"/>
    <n v="0"/>
    <n v="0"/>
    <n v="0"/>
    <m/>
    <n v="0"/>
    <n v="0"/>
    <n v="1462184.38"/>
    <s v="SF"/>
    <s v="PP/PE Fabric"/>
    <s v="PP UL Fabric"/>
    <s v="RM"/>
    <s v="erp"/>
    <n v="0"/>
    <n v="322212.47999999998"/>
    <n v="1265"/>
    <s v="31-08-2026"/>
    <s v="24AAACO3087C1ZT"/>
    <s v="storepil6"/>
    <s v="storepil6"/>
    <n v="9"/>
    <n v="28999.119999999999"/>
    <n v="9"/>
    <n v="28999.119999999999"/>
    <n v="0"/>
    <n v="0"/>
    <n v="1462184.38"/>
    <n v="662173147203"/>
    <d v="2026-08-31T00:00:00"/>
    <n v="0"/>
  </r>
  <r>
    <s v="HCP Plastene Bulkpack Ltd (Unit - IV)"/>
    <s v="31-08-2026"/>
    <s v="HPBL4/26-27/SII01319"/>
    <s v="WIP00023"/>
    <x v="0"/>
    <m/>
    <s v="HPBL4/RAW/26-27/554"/>
    <n v="1133"/>
    <n v="1133"/>
    <s v="Kgs"/>
    <n v="1133"/>
    <n v="0"/>
    <n v="1133"/>
    <s v="GJ12BY1595"/>
    <s v="Plastene India ltd - Unit 1-Purchase"/>
    <s v="Plastene India ltd - Unit 1-Purchase"/>
    <s v="PIL1/D/1544"/>
    <s v="31-08-2026"/>
    <s v="RAW MATERIAL"/>
    <s v="INDIGENOUS"/>
    <s v="RM 590"/>
    <n v="145.32"/>
    <n v="145.320000397542"/>
    <s v="PIL1/D/1544"/>
    <s v="31-08-2026"/>
    <m/>
    <s v="-"/>
    <m/>
    <s v="LAXMAN B BAKUTRA"/>
    <s v="296 DT 31/08/2026"/>
    <n v="0"/>
    <n v="0"/>
    <n v="0"/>
    <n v="0"/>
    <n v="0"/>
    <s v="VAT"/>
    <n v="0"/>
    <n v="0"/>
    <n v="0"/>
    <n v="0"/>
    <n v="0"/>
    <m/>
    <n v="0"/>
    <n v="0"/>
    <n v="1462184.38"/>
    <s v="SF"/>
    <s v="PP/PE Fabric"/>
    <s v="PP UL Fabric"/>
    <s v="RM"/>
    <s v="erp"/>
    <n v="0"/>
    <n v="164647.56"/>
    <n v="1265"/>
    <s v="31-08-2026"/>
    <s v="24AAACO3087C1ZT"/>
    <s v="storepil6"/>
    <s v="storepil6"/>
    <n v="9"/>
    <n v="14818.28"/>
    <n v="9"/>
    <n v="14818.28"/>
    <n v="0"/>
    <n v="0"/>
    <n v="0"/>
    <n v="662173147203"/>
    <d v="2026-08-31T00:00:00"/>
    <n v="0"/>
  </r>
  <r>
    <s v="HCP Plastene Bulkpack Ltd (Unit - IV)"/>
    <s v="31-08-2026"/>
    <s v="HPBL4/26-27/SII01319"/>
    <s v="WIP00023"/>
    <x v="0"/>
    <m/>
    <s v="HPBL4/RAW/26-27/554"/>
    <n v="251"/>
    <n v="251"/>
    <s v="Kgs"/>
    <n v="251"/>
    <n v="0"/>
    <n v="251"/>
    <s v="GJ12BY1595"/>
    <s v="Plastene India ltd - Unit 1-Purchase"/>
    <s v="Plastene India ltd - Unit 1-Purchase"/>
    <s v="PIL1/D/1544"/>
    <s v="31-08-2026"/>
    <s v="RAW MATERIAL"/>
    <s v="INDIGENOUS"/>
    <s v="RM 590"/>
    <n v="144.32"/>
    <n v="144.32000039480701"/>
    <s v="PIL1/D/1544"/>
    <s v="31-08-2026"/>
    <m/>
    <s v="-"/>
    <m/>
    <s v="LAXMAN B BAKUTRA"/>
    <s v="296 DT 31/08/2026"/>
    <n v="0"/>
    <n v="0"/>
    <n v="0"/>
    <n v="0"/>
    <n v="0"/>
    <s v="VAT"/>
    <n v="0"/>
    <n v="0"/>
    <n v="0"/>
    <n v="0"/>
    <n v="0"/>
    <m/>
    <n v="0"/>
    <n v="0"/>
    <n v="1462184.38"/>
    <s v="SF"/>
    <s v="PP/PE Fabric"/>
    <s v="PP UL Fabric"/>
    <s v="RM"/>
    <s v="erp"/>
    <n v="0"/>
    <n v="36224.32"/>
    <n v="1265"/>
    <s v="31-08-2026"/>
    <s v="24AAACO3087C1ZT"/>
    <s v="storepil6"/>
    <s v="storepil6"/>
    <n v="9"/>
    <n v="3260.19"/>
    <n v="9"/>
    <n v="3260.19"/>
    <n v="0"/>
    <n v="0"/>
    <n v="0"/>
    <n v="662173147203"/>
    <d v="2026-08-31T00:00:00"/>
    <n v="0"/>
  </r>
  <r>
    <s v="HCP Plastene Bulkpack Ltd (Unit - IV)"/>
    <s v="31-08-2026"/>
    <s v="HPBL4/26-27/SII01319"/>
    <s v="wip00013"/>
    <x v="3"/>
    <m/>
    <s v="HPBL4/RAW/26-27/554"/>
    <n v="2165"/>
    <n v="2165"/>
    <s v="Kgs"/>
    <n v="2165"/>
    <n v="0"/>
    <n v="2165"/>
    <s v="GJ12BY1595"/>
    <s v="Plastene India ltd - Unit 1-Purchase"/>
    <s v="Plastene India ltd - Unit 1-Purchase"/>
    <s v="PIL1/D/1544"/>
    <s v="31-08-2026"/>
    <s v="RAW MATERIAL"/>
    <s v="INDIGENOUS"/>
    <s v="RM 590"/>
    <n v="176.86"/>
    <n v="176.860000483824"/>
    <s v="PIL1/D/1544"/>
    <s v="31-08-2026"/>
    <m/>
    <s v="-"/>
    <m/>
    <s v="LAXMAN B BAKUTRA"/>
    <s v="296 DT 31/08/2026"/>
    <n v="0"/>
    <n v="0"/>
    <n v="0"/>
    <n v="0"/>
    <n v="0"/>
    <s v="VAT"/>
    <n v="0"/>
    <n v="0"/>
    <n v="0"/>
    <n v="0"/>
    <n v="0"/>
    <m/>
    <n v="0"/>
    <n v="0"/>
    <n v="1462184.38"/>
    <s v="SF"/>
    <s v="Liners"/>
    <s v="LDPE/LLDPE Bags"/>
    <s v="RM"/>
    <s v="erp"/>
    <n v="0"/>
    <n v="382901.9"/>
    <n v="1265"/>
    <s v="31-08-2026"/>
    <s v="24AAACO3087C1ZT"/>
    <s v="storepil6"/>
    <s v="storepil6"/>
    <n v="9"/>
    <n v="34461.17"/>
    <n v="9"/>
    <n v="34461.17"/>
    <n v="0"/>
    <n v="0"/>
    <n v="0"/>
    <n v="662173147203"/>
    <d v="2026-08-31T00:00:00"/>
    <n v="0"/>
  </r>
  <r>
    <s v="HCP Plastene Bulkpack Ltd (Unit - IV)"/>
    <s v="31-08-2026"/>
    <s v="HPBL4/26-27/SII01319"/>
    <s v="WIP00025"/>
    <x v="1"/>
    <m/>
    <s v="HPBL4/RAW/26-27/554"/>
    <n v="696"/>
    <n v="696"/>
    <s v="Kgs"/>
    <n v="696"/>
    <n v="0"/>
    <n v="696"/>
    <s v="GJ12BY1595"/>
    <s v="Plastene India ltd - Unit 1-Purchase"/>
    <s v="Plastene India ltd - Unit 1-Purchase"/>
    <s v="PIL1/D/1544"/>
    <s v="31-08-2026"/>
    <s v="RAW MATERIAL"/>
    <s v="INDIGENOUS"/>
    <s v="RM 590"/>
    <n v="149.32"/>
    <n v="149.32000040848499"/>
    <s v="PIL1/D/1544"/>
    <s v="31-08-2026"/>
    <m/>
    <s v="-"/>
    <m/>
    <s v="LAXMAN B BAKUTRA"/>
    <s v="296 DT 31/08/2026"/>
    <n v="0"/>
    <n v="0"/>
    <n v="0"/>
    <n v="0"/>
    <n v="0"/>
    <s v="VAT"/>
    <n v="0"/>
    <n v="0"/>
    <n v="0"/>
    <n v="0"/>
    <n v="0"/>
    <m/>
    <n v="0"/>
    <n v="0"/>
    <n v="1462184.38"/>
    <s v="SF"/>
    <s v="PP/PE Fabric"/>
    <s v="PP Lam Fabric"/>
    <s v="RM"/>
    <s v="erp"/>
    <n v="0"/>
    <n v="103926.72"/>
    <n v="1265"/>
    <s v="31-08-2026"/>
    <s v="24AAACO3087C1ZT"/>
    <s v="storepil6"/>
    <s v="storepil6"/>
    <n v="9"/>
    <n v="9353.4"/>
    <n v="9"/>
    <n v="9353.4"/>
    <n v="0"/>
    <n v="0"/>
    <n v="0"/>
    <n v="662173147203"/>
    <d v="2026-08-31T00:00:00"/>
    <n v="0"/>
  </r>
  <r>
    <s v="HCP Plastene Bulkpack Ltd (Unit - IV)"/>
    <s v="31-08-2026"/>
    <s v="HPBL4/26-27/SII01319"/>
    <s v="WIP00032"/>
    <x v="2"/>
    <m/>
    <s v="HPBL4/RAW/26-27/554"/>
    <n v="5.8"/>
    <n v="5.8"/>
    <s v="Kgs"/>
    <n v="5.8"/>
    <n v="0"/>
    <n v="5.8"/>
    <s v="GJ12BY1595"/>
    <s v="Plastene India ltd - Unit 1-Purchase"/>
    <s v="Plastene India ltd - Unit 1-Purchase"/>
    <s v="PIL1/D/1544"/>
    <s v="31-08-2026"/>
    <s v="RAW MATERIAL"/>
    <s v="INDIGENOUS"/>
    <s v="RM 590"/>
    <n v="165.32"/>
    <n v="165.32000045225499"/>
    <s v="PIL1/D/1544"/>
    <s v="31-08-2026"/>
    <m/>
    <s v="-"/>
    <m/>
    <s v="LAXMAN B BAKUTRA"/>
    <s v="296 DT 31/08/2026"/>
    <n v="0"/>
    <n v="0"/>
    <n v="0"/>
    <n v="0"/>
    <n v="0"/>
    <s v="VAT"/>
    <n v="0"/>
    <n v="0"/>
    <n v="0"/>
    <n v="0"/>
    <n v="0"/>
    <m/>
    <n v="0"/>
    <n v="0"/>
    <n v="1462184.38"/>
    <s v="SF"/>
    <s v="Webbing"/>
    <s v="PP Webbing"/>
    <s v="RM"/>
    <s v="erp"/>
    <n v="0"/>
    <n v="958.86"/>
    <n v="1265"/>
    <s v="31-08-2026"/>
    <s v="24AAACO3087C1ZT"/>
    <s v="storepil6"/>
    <s v="storepil6"/>
    <n v="9"/>
    <n v="86.3"/>
    <n v="9"/>
    <n v="86.3"/>
    <n v="0"/>
    <n v="0"/>
    <n v="0"/>
    <n v="662173147203"/>
    <d v="2026-08-31T00:00:00"/>
    <n v="0"/>
  </r>
  <r>
    <s v="HCP Plastene Bulkpack Ltd (Unit - IV)"/>
    <s v="31-08-2026"/>
    <s v="HPBL4/26-27/SII01319"/>
    <s v="WIP00032"/>
    <x v="2"/>
    <m/>
    <s v="HPBL4/RAW/26-27/554"/>
    <n v="14.2"/>
    <n v="14.2"/>
    <s v="Kgs"/>
    <n v="14.2"/>
    <n v="0"/>
    <n v="14.2"/>
    <s v="GJ12BY1595"/>
    <s v="Plastene India ltd - Unit 1-Purchase"/>
    <s v="Plastene India ltd - Unit 1-Purchase"/>
    <s v="PIL1/D/1544"/>
    <s v="31-08-2026"/>
    <s v="RAW MATERIAL"/>
    <s v="INDIGENOUS"/>
    <s v="RM 590"/>
    <n v="168.32"/>
    <n v="168.32000046046201"/>
    <s v="PIL1/D/1544"/>
    <s v="31-08-2026"/>
    <m/>
    <s v="-"/>
    <m/>
    <s v="LAXMAN B BAKUTRA"/>
    <s v="296 DT 31/08/2026"/>
    <n v="0"/>
    <n v="0"/>
    <n v="0"/>
    <n v="0"/>
    <n v="0"/>
    <s v="VAT"/>
    <n v="0"/>
    <n v="0"/>
    <n v="0"/>
    <n v="0"/>
    <n v="0"/>
    <m/>
    <n v="0"/>
    <n v="0"/>
    <n v="1462184.38"/>
    <s v="SF"/>
    <s v="Webbing"/>
    <s v="PP Webbing"/>
    <s v="RM"/>
    <s v="erp"/>
    <n v="0"/>
    <n v="2390.14"/>
    <n v="1265"/>
    <s v="31-08-2026"/>
    <s v="24AAACO3087C1ZT"/>
    <s v="storepil6"/>
    <s v="storepil6"/>
    <n v="9"/>
    <n v="215.11"/>
    <n v="9"/>
    <n v="215.11"/>
    <n v="0"/>
    <n v="0"/>
    <n v="0"/>
    <n v="662173147203"/>
    <d v="2026-08-31T00:00:00"/>
    <n v="0"/>
  </r>
  <r>
    <s v="HCP Plastene Bulkpack Ltd (Unit - IV)"/>
    <s v="31-08-2026"/>
    <s v="HPBL4/26-27/SII01319"/>
    <s v="WIP00032"/>
    <x v="2"/>
    <m/>
    <s v="HPBL4/RAW/26-27/554"/>
    <n v="322"/>
    <n v="322"/>
    <s v="Kgs"/>
    <n v="322"/>
    <n v="0"/>
    <n v="322"/>
    <s v="GJ12BY1595"/>
    <s v="Plastene India ltd - Unit 1-Purchase"/>
    <s v="Plastene India ltd - Unit 1-Purchase"/>
    <s v="PIL1/D/1544"/>
    <s v="31-08-2026"/>
    <s v="RAW MATERIAL"/>
    <s v="INDIGENOUS"/>
    <s v="RM 590"/>
    <n v="144.32"/>
    <n v="144.32000039480701"/>
    <s v="PIL1/D/1544"/>
    <s v="31-08-2026"/>
    <m/>
    <s v="-"/>
    <m/>
    <s v="LAXMAN B BAKUTRA"/>
    <s v="296 DT 31/08/2026"/>
    <n v="0"/>
    <n v="0"/>
    <n v="0"/>
    <n v="0"/>
    <n v="0"/>
    <s v="VAT"/>
    <n v="0"/>
    <n v="0"/>
    <n v="0"/>
    <n v="0"/>
    <n v="0"/>
    <m/>
    <n v="0"/>
    <n v="0"/>
    <n v="1462184.38"/>
    <s v="SF"/>
    <s v="Webbing"/>
    <s v="PP Webbing"/>
    <s v="RM"/>
    <s v="erp"/>
    <n v="0"/>
    <n v="46471.040000000001"/>
    <n v="1265"/>
    <s v="31-08-2026"/>
    <s v="24AAACO3087C1ZT"/>
    <s v="storepil6"/>
    <s v="storepil6"/>
    <n v="9"/>
    <n v="4182.3900000000003"/>
    <n v="9"/>
    <n v="4182.3900000000003"/>
    <n v="0"/>
    <n v="0"/>
    <n v="0"/>
    <n v="662173147203"/>
    <d v="2026-08-31T00:00:00"/>
    <n v="0"/>
  </r>
  <r>
    <s v="HCP Plastene Bulkpack Ltd (Unit - IV)"/>
    <s v="31-08-2026"/>
    <s v="HPBL4/26-27/SII01319"/>
    <s v="WIP00032"/>
    <x v="2"/>
    <m/>
    <s v="HPBL4/RAW/26-27/554"/>
    <n v="1217.8"/>
    <n v="1217.8"/>
    <s v="Kgs"/>
    <n v="1217.8"/>
    <n v="0"/>
    <n v="1217.8"/>
    <s v="GJ12BY1595"/>
    <s v="Plastene India ltd - Unit 1-Purchase"/>
    <s v="Plastene India ltd - Unit 1-Purchase"/>
    <s v="PIL1/D/1544"/>
    <s v="31-08-2026"/>
    <s v="RAW MATERIAL"/>
    <s v="INDIGENOUS"/>
    <s v="RM 590"/>
    <n v="147.32"/>
    <n v="147.32000040301301"/>
    <s v="PIL1/D/1544"/>
    <s v="31-08-2026"/>
    <m/>
    <s v="-"/>
    <m/>
    <s v="LAXMAN B BAKUTRA"/>
    <s v="296 DT 31/08/2026"/>
    <n v="0"/>
    <n v="0"/>
    <n v="0"/>
    <n v="0"/>
    <n v="0"/>
    <s v="VAT"/>
    <n v="0"/>
    <n v="0"/>
    <n v="0"/>
    <n v="0"/>
    <n v="0"/>
    <m/>
    <n v="0"/>
    <n v="0"/>
    <n v="1462184.38"/>
    <s v="SF"/>
    <s v="Webbing"/>
    <s v="PP Webbing"/>
    <s v="RM"/>
    <s v="erp"/>
    <n v="0"/>
    <n v="179406.3"/>
    <n v="1265"/>
    <s v="31-08-2026"/>
    <s v="24AAACO3087C1ZT"/>
    <s v="storepil6"/>
    <s v="storepil6"/>
    <n v="9"/>
    <n v="16146.57"/>
    <n v="9"/>
    <n v="16146.57"/>
    <n v="0"/>
    <n v="0"/>
    <n v="0"/>
    <n v="662173147203"/>
    <d v="2026-08-31T00:00:00"/>
    <n v="0"/>
  </r>
  <r>
    <s v="HCP Plastene Bulkpack Ltd (Unit - IV)"/>
    <s v="31-08-2026"/>
    <s v="HPBL4/26-27/SII01320"/>
    <s v="SMF00147"/>
    <x v="17"/>
    <m/>
    <s v="HPBL4/RAW/26-27/555"/>
    <n v="23.4"/>
    <n v="23.4"/>
    <s v="Kgs"/>
    <n v="23.4"/>
    <n v="0"/>
    <n v="23.4"/>
    <s v="GJ12BR8742"/>
    <s v="Plastene Polyfilms Ltd-Purchase"/>
    <s v="Plastene Polyfilms Ltd-Purchase"/>
    <s v="PPL/D/560"/>
    <s v="31-08-2026"/>
    <s v="RAW MATERIAL"/>
    <s v="INDIGENOUS"/>
    <s v="RM 591"/>
    <n v="246"/>
    <n v="246"/>
    <s v="PPL/D/560"/>
    <s v="31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6792.56"/>
    <s v="SF"/>
    <s v="Liners"/>
    <s v="LDPE/LLDPE Bags"/>
    <s v="RM"/>
    <s v="erp"/>
    <n v="0"/>
    <n v="5756.4"/>
    <n v="1263"/>
    <s v="31-08-2026"/>
    <s v="24AAFCP2956A1ZR"/>
    <s v="storepil6"/>
    <s v="storepil6"/>
    <n v="9"/>
    <n v="518.08000000000004"/>
    <n v="9"/>
    <n v="518.08000000000004"/>
    <n v="0"/>
    <n v="0"/>
    <n v="6792.56"/>
    <n v="622173074392"/>
    <d v="2026-08-31T00:00:00"/>
    <n v="0"/>
  </r>
  <r>
    <s v="HCP Plastene Bulkpack Ltd (Unit - IV)"/>
    <s v="31-08-2026"/>
    <s v="HPBL4/26-27/SII01321"/>
    <s v="WIP00023"/>
    <x v="0"/>
    <m/>
    <s v="HPBL4/RAW/26-27/556"/>
    <n v="510"/>
    <n v="510"/>
    <s v="Kgs"/>
    <n v="510"/>
    <n v="0"/>
    <n v="510"/>
    <s v="GJ39TB3534"/>
    <s v="Plastene Polyfilms Ltd-Purchase"/>
    <s v="Plastene Polyfilms Ltd-Purchase"/>
    <s v="PPL/D/561"/>
    <s v="31-08-2026"/>
    <s v="RAW MATERIAL"/>
    <s v="INDIGENOUS"/>
    <s v="RM 592"/>
    <n v="133.58000000000001"/>
    <n v="133.58000000000001"/>
    <s v="PPL/D/561"/>
    <s v="31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80388.44"/>
    <s v="SF"/>
    <s v="PP/PE Fabric"/>
    <s v="PP UL Fabric"/>
    <s v="RM"/>
    <s v="erp"/>
    <n v="0"/>
    <n v="68125.8"/>
    <n v="1267"/>
    <s v="31-08-2026"/>
    <s v="24AAFCP2956A1ZR"/>
    <s v="storepil6"/>
    <s v="storepil6"/>
    <n v="9"/>
    <n v="6131.32"/>
    <n v="9"/>
    <n v="6131.32"/>
    <n v="0"/>
    <n v="0"/>
    <n v="80388.44"/>
    <n v="662173378548"/>
    <d v="2026-08-31T00:00:00"/>
    <n v="0"/>
  </r>
  <r>
    <s v="HCP Plastene Bulkpack Ltd (Unit - IV)"/>
    <s v="31-08-2026"/>
    <s v="HPBL4/26-27/SII01323"/>
    <s v="WIP00023"/>
    <x v="0"/>
    <m/>
    <s v="HPBL4/RAW/26-27/557"/>
    <n v="514"/>
    <n v="514"/>
    <s v="Kgs"/>
    <n v="514"/>
    <n v="0"/>
    <n v="514"/>
    <s v="GJ39TB3534"/>
    <s v="Plastene India ltd - Unit 1-Purchase"/>
    <s v="Plastene India ltd - Unit 1-Purchase"/>
    <s v="PIL1/D/1550"/>
    <s v="31-08-2026"/>
    <s v="RAW MATERIAL"/>
    <s v="INDIGENOUS"/>
    <s v="RM 593"/>
    <n v="142.32"/>
    <n v="142.32"/>
    <s v="PIL1/D/1550"/>
    <s v="31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174802.36"/>
    <s v="SF"/>
    <s v="PP/PE Fabric"/>
    <s v="PP UL Fabric"/>
    <s v="RM"/>
    <s v="erp"/>
    <n v="0"/>
    <n v="73152.479999999996"/>
    <n v="1269"/>
    <s v="31-08-2026"/>
    <s v="24AAACO3087C1ZT"/>
    <s v="storepil6"/>
    <s v="storepil6"/>
    <n v="9"/>
    <n v="6583.72"/>
    <n v="9"/>
    <n v="6583.72"/>
    <n v="0"/>
    <n v="0"/>
    <n v="174802.36"/>
    <n v="602173431520"/>
    <d v="2026-08-31T00:00:00"/>
    <n v="0"/>
  </r>
  <r>
    <s v="HCP Plastene Bulkpack Ltd (Unit - IV)"/>
    <s v="31-08-2026"/>
    <s v="HPBL4/26-27/SII01323"/>
    <s v="WIP00023"/>
    <x v="0"/>
    <m/>
    <s v="HPBL4/RAW/26-27/557"/>
    <n v="516"/>
    <n v="516"/>
    <s v="Kgs"/>
    <n v="516"/>
    <n v="0"/>
    <n v="516"/>
    <s v="GJ39TB3534"/>
    <s v="Plastene India ltd - Unit 1-Purchase"/>
    <s v="Plastene India ltd - Unit 1-Purchase"/>
    <s v="PIL1/D/1550"/>
    <s v="31-08-2026"/>
    <s v="RAW MATERIAL"/>
    <s v="INDIGENOUS"/>
    <s v="RM 593"/>
    <n v="145.32"/>
    <n v="145.32"/>
    <s v="PIL1/D/1550"/>
    <s v="31-08-2026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174802.36"/>
    <s v="SF"/>
    <s v="PP/PE Fabric"/>
    <s v="PP UL Fabric"/>
    <s v="RM"/>
    <s v="erp"/>
    <n v="0"/>
    <n v="74985.119999999995"/>
    <n v="1269"/>
    <s v="31-08-2026"/>
    <s v="24AAACO3087C1ZT"/>
    <s v="storepil6"/>
    <s v="storepil6"/>
    <n v="9"/>
    <n v="6748.66"/>
    <n v="9"/>
    <n v="6748.66"/>
    <n v="0"/>
    <n v="0"/>
    <n v="0"/>
    <n v="602173431520"/>
    <d v="2026-08-31T00:00:00"/>
    <n v="0"/>
  </r>
  <r>
    <m/>
    <m/>
    <m/>
    <m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16">
  <r>
    <s v="HCP Plastene Bulkpack Ltd (Unit - IV)"/>
    <d v="2026-07-08T00:00:00"/>
    <s v="HPBL4/26-27/SII01112"/>
    <s v="SMF00147"/>
    <s v="PE Labels (Kgs)"/>
    <s v="No Subcode"/>
    <s v="No PO"/>
    <n v="0"/>
    <n v="112"/>
    <s v="Kgs"/>
    <n v="112"/>
    <n v="0"/>
    <n v="112"/>
    <s v="GJ24V1087"/>
    <x v="0"/>
    <s v="Saru Plastics"/>
    <s v="SARU077"/>
    <d v="2026-02-08T00:00:00"/>
    <s v="JOB IN"/>
    <s v="SELF"/>
    <s v="JBIN-SE 49"/>
    <n v="0"/>
    <n v="0"/>
    <s v="SARU077"/>
    <d v="2026-02-08T00:00:00"/>
    <n v="0"/>
    <s v="PP Woven Big Bags,"/>
    <m/>
    <s v="OWN Vehical"/>
    <s v="."/>
    <n v="0"/>
    <n v="0"/>
    <n v="0"/>
    <n v="0"/>
    <n v="0"/>
    <s v="VAT"/>
    <n v="0"/>
    <n v="0"/>
    <n v="0"/>
    <n v="0"/>
    <n v="0"/>
    <m/>
    <n v="0"/>
    <n v="0"/>
    <n v="0"/>
    <s v="SF"/>
    <s v="Liners"/>
    <s v="LDPE/LLDPE Bags"/>
    <s v="SERVICES"/>
    <s v="erp"/>
    <n v="0"/>
    <n v="0"/>
    <n v="48"/>
    <d v="2026-04-08T00:00:00"/>
    <s v="24ACHPM5973F1ZG"/>
    <s v="storepil6"/>
    <m/>
    <n v="0"/>
    <n v="0"/>
    <n v="0"/>
    <n v="0"/>
    <n v="0"/>
    <n v="0"/>
    <n v="0"/>
    <s v="."/>
    <d v="2026-08-07T16:29:00"/>
    <n v="0"/>
  </r>
  <r>
    <s v="HCP Plastene Bulkpack Ltd (Unit - IV)"/>
    <d v="2026-07-08T00:00:00"/>
    <s v="HPBL4/26-27/SII01113"/>
    <s v="SMF00147"/>
    <s v="PE Labels (Kgs)"/>
    <s v="No Subcode"/>
    <s v="No PO"/>
    <n v="0"/>
    <n v="143"/>
    <s v="Kgs"/>
    <n v="143"/>
    <n v="0"/>
    <n v="143"/>
    <s v="GJ24V1087"/>
    <x v="0"/>
    <s v="Saru Plastics"/>
    <s v="SARU078"/>
    <d v="2026-03-08T00:00:00"/>
    <s v="JOB IN"/>
    <s v="SELF"/>
    <s v="JBIN-SE 50"/>
    <n v="0"/>
    <n v="0"/>
    <s v="SARU078"/>
    <d v="2026-03-08T00:00:00"/>
    <n v="0"/>
    <s v="PP Woven Big Bags,"/>
    <m/>
    <s v="OWN Vehical"/>
    <s v="."/>
    <n v="0"/>
    <n v="0"/>
    <n v="0"/>
    <n v="0"/>
    <n v="0"/>
    <s v="VAT"/>
    <n v="0"/>
    <n v="0"/>
    <n v="0"/>
    <n v="0"/>
    <n v="0"/>
    <m/>
    <n v="0"/>
    <n v="0"/>
    <n v="0"/>
    <s v="SF"/>
    <s v="Liners"/>
    <s v="LDPE/LLDPE Bags"/>
    <s v="SERVICES"/>
    <s v="erp"/>
    <n v="0"/>
    <n v="0"/>
    <n v="49"/>
    <d v="2026-04-08T00:00:00"/>
    <s v="24ACHPM5973F1ZG"/>
    <s v="storepil6"/>
    <m/>
    <n v="0"/>
    <n v="0"/>
    <n v="0"/>
    <n v="0"/>
    <n v="0"/>
    <n v="0"/>
    <n v="0"/>
    <s v="."/>
    <d v="2026-08-07T16:45:00"/>
    <n v="0"/>
  </r>
  <r>
    <s v="HCP Plastene Bulkpack Ltd (Unit - IV)"/>
    <d v="2026-09-08T00:00:00"/>
    <s v="HPBL4/26-27/SII01130"/>
    <s v="SMF00147"/>
    <s v="PE Labels (Kgs)"/>
    <s v="No Subcode"/>
    <s v="No PO"/>
    <n v="0"/>
    <n v="122.9"/>
    <s v="Kgs"/>
    <n v="122.9"/>
    <n v="0"/>
    <n v="122.9"/>
    <s v="GJ24V1087"/>
    <x v="0"/>
    <s v="Saru Plastics"/>
    <s v="SARU081"/>
    <d v="2026-07-08T00:00:00"/>
    <s v="JOB IN"/>
    <s v="SELF"/>
    <s v="JBIN-SE 51"/>
    <n v="0"/>
    <n v="0"/>
    <s v="SARU081"/>
    <d v="2026-07-08T00:00:00"/>
    <n v="0"/>
    <s v="PP Woven Big Bags,"/>
    <m/>
    <s v="OWN Vehical"/>
    <s v="."/>
    <n v="0"/>
    <n v="0"/>
    <n v="0"/>
    <n v="0"/>
    <n v="0"/>
    <s v="VAT"/>
    <n v="0"/>
    <n v="0"/>
    <n v="0"/>
    <n v="0"/>
    <n v="0"/>
    <m/>
    <n v="0"/>
    <n v="0"/>
    <n v="0"/>
    <s v="SF"/>
    <s v="Liners"/>
    <s v="LDPE/LLDPE Bags"/>
    <s v="SERVICES"/>
    <s v="erp"/>
    <n v="0"/>
    <n v="0"/>
    <n v="50"/>
    <d v="2026-08-08T00:00:00"/>
    <s v="24ACHPM5973F1ZG"/>
    <s v="storepil6"/>
    <m/>
    <n v="0"/>
    <n v="0"/>
    <n v="0"/>
    <n v="0"/>
    <n v="0"/>
    <n v="0"/>
    <n v="0"/>
    <s v="."/>
    <d v="2026-08-09T15:01:00"/>
    <n v="122.9"/>
  </r>
  <r>
    <s v="HCP Plastene Bulkpack Ltd (Unit - IV)"/>
    <d v="2026-09-08T00:00:00"/>
    <s v="HPBL4/26-27/SII01131"/>
    <s v="SMF00147"/>
    <s v="PE Labels (Kgs)"/>
    <s v="No Subcode"/>
    <s v="No PO"/>
    <n v="0"/>
    <n v="57"/>
    <s v="Kgs"/>
    <n v="57"/>
    <n v="0"/>
    <n v="57"/>
    <s v="GJ24V1087"/>
    <x v="0"/>
    <s v="Saru Plastics"/>
    <s v="SARU82"/>
    <d v="2026-08-08T00:00:00"/>
    <s v="JOB IN"/>
    <s v="SELF"/>
    <s v="JBIN-SE 52"/>
    <n v="0"/>
    <n v="0"/>
    <s v="SARU082"/>
    <d v="2026-08-08T00:00:00"/>
    <n v="0"/>
    <s v="PP Woven Big Bags,"/>
    <m/>
    <s v="OWN Vehical"/>
    <s v="."/>
    <n v="0"/>
    <n v="0"/>
    <n v="0"/>
    <n v="0"/>
    <n v="0"/>
    <s v="VAT"/>
    <n v="0"/>
    <n v="0"/>
    <n v="0"/>
    <n v="0"/>
    <n v="0"/>
    <m/>
    <n v="0"/>
    <n v="0"/>
    <n v="0"/>
    <s v="SF"/>
    <s v="Liners"/>
    <s v="LDPE/LLDPE Bags"/>
    <s v="SERVICES"/>
    <s v="erp"/>
    <n v="0"/>
    <n v="0"/>
    <n v="51"/>
    <d v="2026-08-08T00:00:00"/>
    <s v="24ACHPM5973F1ZG"/>
    <s v="storepil6"/>
    <m/>
    <n v="0"/>
    <n v="0"/>
    <n v="0"/>
    <n v="0"/>
    <n v="0"/>
    <n v="0"/>
    <n v="0"/>
    <s v="."/>
    <d v="2026-08-09T15:13:00"/>
    <n v="57"/>
  </r>
  <r>
    <s v="HCP Plastene Bulkpack Ltd (Unit - IV)"/>
    <s v="18-08-2026"/>
    <s v="HPBL4/26-27/SII01204"/>
    <s v="SMF00147"/>
    <s v="PE Labels (Kgs)"/>
    <s v="No Subcode"/>
    <s v="No PO"/>
    <n v="0"/>
    <n v="109"/>
    <s v="Kgs"/>
    <n v="109"/>
    <n v="0"/>
    <n v="109"/>
    <s v="GJ24V1087"/>
    <x v="0"/>
    <s v="Saru Plastics"/>
    <s v="SARU083"/>
    <d v="2026-09-08T00:00:00"/>
    <s v="JOB IN"/>
    <s v="SELF"/>
    <s v="JBIN-SE 53"/>
    <n v="0"/>
    <n v="0"/>
    <s v="SARU083"/>
    <d v="2026-09-08T00:00:00"/>
    <n v="0"/>
    <s v="PP Woven Big Bags,"/>
    <m/>
    <s v="OWN VEHICLE"/>
    <s v="-"/>
    <n v="0"/>
    <n v="0"/>
    <n v="0"/>
    <n v="0"/>
    <n v="0"/>
    <s v="VAT"/>
    <n v="0"/>
    <n v="0"/>
    <n v="0"/>
    <n v="0"/>
    <n v="0"/>
    <m/>
    <n v="0"/>
    <n v="0"/>
    <n v="0"/>
    <s v="SF"/>
    <s v="Liners"/>
    <s v="LDPE/LLDPE Bags"/>
    <s v="SERVICES"/>
    <s v="erp"/>
    <n v="0"/>
    <n v="0"/>
    <s v="JW52"/>
    <d v="2026-11-08T00:00:00"/>
    <s v="24ACHPM5973F1ZG"/>
    <s v="storepil6"/>
    <m/>
    <n v="0"/>
    <n v="0"/>
    <n v="0"/>
    <n v="0"/>
    <n v="0"/>
    <n v="0"/>
    <n v="0"/>
    <s v="-"/>
    <d v="2026-08-18T12:20:00"/>
    <n v="109"/>
  </r>
  <r>
    <s v="HCP Plastene Bulkpack Ltd (Unit - IV)"/>
    <s v="31-08-2026"/>
    <s v="HPBL4/26-27/SII01334"/>
    <s v="SMF00147"/>
    <s v="PE Labels (Kgs)"/>
    <s v="No Subcode"/>
    <s v="No PO"/>
    <n v="0"/>
    <n v="121"/>
    <s v="Kgs"/>
    <n v="121"/>
    <n v="0"/>
    <n v="121"/>
    <s v="GJ24V1087"/>
    <x v="0"/>
    <s v="Saru Plastics"/>
    <s v="SARU084"/>
    <d v="2026-10-08T00:00:00"/>
    <s v="JOB IN"/>
    <s v="SELF"/>
    <s v="JBIN-SE 54"/>
    <n v="0"/>
    <n v="0"/>
    <s v="SARU084"/>
    <d v="2026-10-08T00:00:00"/>
    <n v="0"/>
    <s v="PP Woven Big Bags,"/>
    <m/>
    <s v="OWN VEHICLE"/>
    <n v="0"/>
    <n v="0"/>
    <n v="0"/>
    <n v="0"/>
    <n v="0"/>
    <n v="0"/>
    <s v="VAT"/>
    <n v="0"/>
    <n v="0"/>
    <n v="0"/>
    <n v="0"/>
    <n v="0"/>
    <m/>
    <n v="0"/>
    <n v="0"/>
    <n v="0"/>
    <s v="SF"/>
    <s v="Liners"/>
    <s v="LDPE/LLDPE Bags"/>
    <s v="SERVICES"/>
    <s v="erp"/>
    <n v="0"/>
    <n v="0"/>
    <s v="JW53"/>
    <d v="2026-11-08T00:00:00"/>
    <s v="24ACHPM5973F1ZG"/>
    <s v="storepil6"/>
    <m/>
    <n v="0"/>
    <n v="0"/>
    <n v="0"/>
    <n v="0"/>
    <n v="0"/>
    <n v="0"/>
    <n v="0"/>
    <s v="-"/>
    <d v="2026-09-02T11:31:00"/>
    <n v="121"/>
  </r>
  <r>
    <s v="HCP Plastene Bulkpack Ltd (Unit - IV)"/>
    <s v="31-08-2026"/>
    <s v="HPBL4/26-27/SII01335"/>
    <s v="SMF00147"/>
    <s v="PE Labels (Kgs)"/>
    <s v="No Subcode"/>
    <s v="No PO"/>
    <n v="0"/>
    <n v="105"/>
    <s v="Kgs"/>
    <n v="105"/>
    <n v="0"/>
    <n v="105"/>
    <s v="GJ24V1087"/>
    <x v="0"/>
    <s v="Saru Plastics"/>
    <s v="SARU085"/>
    <d v="2026-11-08T00:00:00"/>
    <s v="JOB IN"/>
    <s v="SELF"/>
    <s v="JBIN-SE 55"/>
    <n v="0"/>
    <n v="0"/>
    <s v="SARU085"/>
    <d v="2026-11-08T00:00:00"/>
    <n v="0"/>
    <s v="PP Woven Big Bags,"/>
    <m/>
    <s v="OWN VEHICLE"/>
    <s v="-"/>
    <n v="0"/>
    <n v="0"/>
    <n v="0"/>
    <n v="0"/>
    <n v="0"/>
    <s v="VAT"/>
    <n v="0"/>
    <n v="0"/>
    <n v="0"/>
    <n v="0"/>
    <n v="0"/>
    <m/>
    <n v="0"/>
    <n v="0"/>
    <n v="0"/>
    <s v="SF"/>
    <s v="Liners"/>
    <s v="LDPE/LLDPE Bags"/>
    <s v="SERVICES"/>
    <s v="erp"/>
    <n v="0"/>
    <n v="0"/>
    <s v="JW54"/>
    <d v="2026-11-08T00:00:00"/>
    <s v="24ACHPM5973F1ZG"/>
    <s v="storepil6"/>
    <m/>
    <n v="0"/>
    <n v="0"/>
    <n v="0"/>
    <n v="0"/>
    <n v="0"/>
    <n v="0"/>
    <n v="0"/>
    <s v="-"/>
    <d v="2026-08-31T11:48:00"/>
    <n v="105"/>
  </r>
  <r>
    <s v="HCP Plastene Bulkpack Ltd (Unit - IV)"/>
    <s v="31-08-2026"/>
    <s v="HPBL4/26-27/SII01336"/>
    <s v="SMF00147"/>
    <s v="PE Labels (Kgs)"/>
    <s v="No Subcode"/>
    <s v="No PO"/>
    <n v="0"/>
    <n v="133"/>
    <s v="Kgs"/>
    <n v="133"/>
    <n v="0"/>
    <n v="133"/>
    <s v="GJ24V1087"/>
    <x v="0"/>
    <s v="Saru Plastics"/>
    <s v="SARU086"/>
    <s v="13-08-2026"/>
    <s v="JOB IN"/>
    <s v="SELF"/>
    <s v="JBIN-SE 56"/>
    <n v="0"/>
    <n v="0"/>
    <s v="SARU086"/>
    <s v="13-08-2026"/>
    <n v="0"/>
    <s v="PP Woven Big Bags,"/>
    <m/>
    <s v="OWN VEHICLE"/>
    <s v="-"/>
    <n v="0"/>
    <n v="0"/>
    <n v="0"/>
    <n v="0"/>
    <n v="0"/>
    <s v="VAT"/>
    <n v="0"/>
    <n v="0"/>
    <n v="0"/>
    <n v="0"/>
    <n v="0"/>
    <m/>
    <n v="0"/>
    <n v="0"/>
    <n v="0"/>
    <s v="SF"/>
    <s v="Liners"/>
    <s v="LDPE/LLDPE Bags"/>
    <s v="SERVICES"/>
    <s v="erp"/>
    <n v="0"/>
    <n v="0"/>
    <s v="JW62"/>
    <s v="31-08-2026"/>
    <s v="24ACHPM5973F1ZG"/>
    <s v="storepil6"/>
    <m/>
    <n v="0"/>
    <n v="0"/>
    <n v="0"/>
    <n v="0"/>
    <n v="0"/>
    <n v="0"/>
    <n v="0"/>
    <s v="-"/>
    <d v="2026-08-31T00:00:00"/>
    <n v="133"/>
  </r>
  <r>
    <s v="HCP Plastene Bulkpack Ltd (Unit - IV)"/>
    <s v="31-08-2026"/>
    <s v="HPBL4/26-27/SII01337"/>
    <s v="SMF00147"/>
    <s v="PE Labels (Kgs)"/>
    <s v="No Subcode"/>
    <s v="No PO"/>
    <n v="0"/>
    <n v="86"/>
    <s v="Kgs"/>
    <n v="86"/>
    <n v="0"/>
    <n v="86"/>
    <s v="GJ24V1087"/>
    <x v="0"/>
    <s v="Saru Plastics"/>
    <s v="SARU088"/>
    <s v="14-08-2026"/>
    <s v="JOB IN"/>
    <s v="SELF"/>
    <s v="JBIN-SE 57"/>
    <n v="0"/>
    <n v="0"/>
    <s v="SARU088"/>
    <s v="14-08-2026"/>
    <n v="0"/>
    <s v="PP Woven Big Bags,"/>
    <m/>
    <s v="OWN VEHICLE"/>
    <s v="-"/>
    <n v="0"/>
    <n v="0"/>
    <n v="0"/>
    <n v="0"/>
    <n v="0"/>
    <s v="VAT"/>
    <n v="0"/>
    <n v="0"/>
    <n v="0"/>
    <n v="0"/>
    <n v="0"/>
    <m/>
    <n v="0"/>
    <n v="0"/>
    <n v="0"/>
    <s v="SF"/>
    <s v="Liners"/>
    <s v="LDPE/LLDPE Bags"/>
    <s v="SERVICES"/>
    <s v="erp"/>
    <n v="0"/>
    <n v="0"/>
    <s v="JW63"/>
    <s v="31-08-2026"/>
    <s v="24ACHPM5973F1ZG"/>
    <s v="storepil6"/>
    <m/>
    <n v="0"/>
    <n v="0"/>
    <n v="0"/>
    <n v="0"/>
    <n v="0"/>
    <n v="0"/>
    <n v="0"/>
    <s v="-"/>
    <d v="2026-08-31T00:00:00"/>
    <n v="86"/>
  </r>
  <r>
    <s v="HCP Plastene Bulkpack Ltd (Unit - IV)"/>
    <s v="31-08-2026"/>
    <s v="HPBL4/26-27/SII01338"/>
    <s v="SMF00147"/>
    <s v="PE Labels (Kgs)"/>
    <s v="No Subcode"/>
    <s v="No PO"/>
    <n v="0"/>
    <n v="14"/>
    <s v="Kgs"/>
    <n v="14"/>
    <n v="0"/>
    <n v="14"/>
    <s v="GJ24V1087"/>
    <x v="0"/>
    <s v="Saru Plastics"/>
    <s v="SARU089"/>
    <s v="18-08-2026"/>
    <s v="JOB IN"/>
    <s v="SELF"/>
    <s v="JBIN-SE 58"/>
    <n v="0"/>
    <n v="0"/>
    <s v="SARU089"/>
    <s v="18-08-2026"/>
    <n v="0"/>
    <s v="PP Woven Big Bags,"/>
    <m/>
    <s v="OWN VEHICLE"/>
    <s v="-"/>
    <n v="0"/>
    <n v="0"/>
    <n v="0"/>
    <n v="0"/>
    <n v="0"/>
    <s v="VAT"/>
    <n v="0"/>
    <n v="0"/>
    <n v="0"/>
    <n v="0"/>
    <n v="0"/>
    <m/>
    <n v="0"/>
    <n v="0"/>
    <n v="0"/>
    <s v="SF"/>
    <s v="Liners"/>
    <s v="LDPE/LLDPE Bags"/>
    <s v="SERVICES"/>
    <s v="erp"/>
    <n v="0"/>
    <n v="0"/>
    <s v="JW55"/>
    <s v="21-08-2026"/>
    <s v="24ACHPM5973F1ZG"/>
    <s v="storepil6"/>
    <m/>
    <n v="0"/>
    <n v="0"/>
    <n v="0"/>
    <n v="0"/>
    <n v="0"/>
    <n v="0"/>
    <n v="0"/>
    <s v="-"/>
    <d v="2026-08-31T00:00:00"/>
    <n v="14"/>
  </r>
  <r>
    <s v="HCP Plastene Bulkpack Ltd (Unit - IV)"/>
    <s v="31-08-2026"/>
    <s v="HPBL4/26-27/SII01339"/>
    <s v="SMF00147"/>
    <s v="PE Labels (Kgs)"/>
    <s v="No Subcode"/>
    <s v="No PO"/>
    <n v="0"/>
    <n v="10"/>
    <s v="Kgs"/>
    <n v="10"/>
    <n v="0"/>
    <n v="10"/>
    <s v="GJ24V1087"/>
    <x v="0"/>
    <s v="Saru Plastics"/>
    <s v="SARU090"/>
    <s v="18-08-2026"/>
    <s v="JOB IN"/>
    <s v="SELF"/>
    <s v="JBIN-SE 59"/>
    <n v="0"/>
    <n v="0"/>
    <s v="SARU090"/>
    <s v="18-08-2026"/>
    <n v="0"/>
    <s v="PP Woven Big Bag,"/>
    <m/>
    <s v="OWN VEHICLE"/>
    <s v="-"/>
    <n v="0"/>
    <n v="0"/>
    <n v="0"/>
    <n v="0"/>
    <n v="0"/>
    <s v="VAT"/>
    <n v="0"/>
    <n v="0"/>
    <n v="0"/>
    <n v="0"/>
    <n v="0"/>
    <m/>
    <n v="0"/>
    <n v="0"/>
    <n v="0"/>
    <s v="SF"/>
    <s v="Liners"/>
    <s v="LDPE/LLDPE Bags"/>
    <s v="SERVICES"/>
    <s v="erp"/>
    <n v="0"/>
    <n v="0"/>
    <s v="JW56"/>
    <s v="21-08-2026"/>
    <s v="24ACHPM5973F1ZG"/>
    <s v="storepil6"/>
    <m/>
    <n v="0"/>
    <n v="0"/>
    <n v="0"/>
    <n v="0"/>
    <n v="0"/>
    <n v="0"/>
    <n v="0"/>
    <s v="-"/>
    <d v="2026-08-31T00:00:00"/>
    <n v="10"/>
  </r>
  <r>
    <s v="HCP Plastene Bulkpack Ltd (Unit - IV)"/>
    <s v="31-08-2026"/>
    <s v="HPBL4/26-27/SII01340"/>
    <s v="SMF00147"/>
    <s v="PE Labels (Kgs)"/>
    <n v="0"/>
    <s v="No PO"/>
    <n v="0"/>
    <n v="59"/>
    <s v="Kgs"/>
    <n v="59"/>
    <n v="0"/>
    <n v="59"/>
    <s v="GJ24V1087"/>
    <x v="0"/>
    <s v="Saru Plastics"/>
    <s v="SARU092"/>
    <s v="21-08-2026"/>
    <s v="JOB IN"/>
    <s v="SELF"/>
    <s v="JBIN-SE 60"/>
    <n v="0"/>
    <n v="0"/>
    <s v="SARU092"/>
    <s v="21-08-2026"/>
    <n v="0"/>
    <s v="PP Woven Big Bag,"/>
    <m/>
    <s v="OWN VEHICLE"/>
    <s v="-"/>
    <n v="0"/>
    <n v="0"/>
    <n v="0"/>
    <n v="0"/>
    <n v="0"/>
    <s v="VAT"/>
    <n v="0"/>
    <n v="0"/>
    <n v="0"/>
    <n v="0"/>
    <n v="0"/>
    <m/>
    <n v="0"/>
    <n v="0"/>
    <n v="0"/>
    <s v="SF"/>
    <s v="Liners"/>
    <s v="LDPE/LLDPE Bags"/>
    <s v="SERVICES"/>
    <s v="erp"/>
    <n v="0"/>
    <n v="0"/>
    <s v="JW57"/>
    <s v="21-08-2026"/>
    <s v="24ACHPM5973F1ZG"/>
    <s v="storepil6"/>
    <m/>
    <n v="0"/>
    <n v="0"/>
    <n v="0"/>
    <n v="0"/>
    <n v="0"/>
    <n v="0"/>
    <n v="0"/>
    <s v="-"/>
    <d v="2026-08-31T00:00:00"/>
    <n v="59"/>
  </r>
  <r>
    <s v="HCP Plastene Bulkpack Ltd (Unit - IV)"/>
    <s v="31-08-2026"/>
    <s v="HPBL4/26-27/SII01341"/>
    <s v="SMF00147"/>
    <s v="PE Labels (Kgs)"/>
    <n v="0"/>
    <s v="No PO"/>
    <n v="0"/>
    <n v="38"/>
    <s v="Kgs"/>
    <n v="38"/>
    <n v="0"/>
    <n v="38"/>
    <s v="GJ24V1087"/>
    <x v="0"/>
    <s v="Saru Plastics"/>
    <s v="SARU096"/>
    <s v="25-08-2026"/>
    <s v="JOB IN"/>
    <s v="SELF"/>
    <s v="JBIN-SE 61"/>
    <n v="0"/>
    <n v="0"/>
    <s v="SARU096"/>
    <s v="25-08-2026"/>
    <n v="0"/>
    <s v="PP Woven Big Bag,"/>
    <m/>
    <s v="OWN VEHICLE"/>
    <s v="-"/>
    <n v="0"/>
    <n v="0"/>
    <n v="0"/>
    <n v="0"/>
    <n v="0"/>
    <s v="VAT"/>
    <n v="0"/>
    <n v="0"/>
    <n v="0"/>
    <n v="0"/>
    <n v="0"/>
    <m/>
    <n v="0"/>
    <n v="0"/>
    <n v="0"/>
    <s v="SF"/>
    <s v="Liners"/>
    <s v="LDPE/LLDPE Bags"/>
    <s v="SERVICES"/>
    <s v="erp"/>
    <n v="0"/>
    <n v="0"/>
    <s v="JW58"/>
    <s v="26-08-2026"/>
    <s v="24ACHPM5973F1ZG"/>
    <s v="storepil6"/>
    <m/>
    <n v="0"/>
    <n v="0"/>
    <n v="0"/>
    <n v="0"/>
    <n v="0"/>
    <n v="0"/>
    <n v="0"/>
    <s v="-"/>
    <d v="2026-08-31T12:25:00"/>
    <n v="38"/>
  </r>
  <r>
    <s v="HCP Plastene Bulkpack Ltd (Unit - IV)"/>
    <s v="31-08-2026"/>
    <s v="HPBL4/26-27/SII01342"/>
    <s v="SMF00147"/>
    <s v="PE Labels (Kgs)"/>
    <n v="0"/>
    <s v="No PO"/>
    <n v="0"/>
    <n v="129"/>
    <s v="Kgs"/>
    <n v="129"/>
    <n v="0"/>
    <n v="129"/>
    <s v="GJ24V1087"/>
    <x v="0"/>
    <s v="Saru Plastics"/>
    <s v="SARU097"/>
    <s v="26-08-2026"/>
    <s v="JOB IN"/>
    <s v="SELF"/>
    <s v="JBIN-SE 62"/>
    <n v="0"/>
    <n v="0"/>
    <s v="SARU097"/>
    <s v="26-08-2026"/>
    <n v="0"/>
    <s v="PP Woven Big Bag,"/>
    <m/>
    <s v="OWN VEHICLE"/>
    <s v="-"/>
    <n v="0"/>
    <n v="0"/>
    <n v="0"/>
    <n v="0"/>
    <n v="0"/>
    <s v="VAT"/>
    <n v="0"/>
    <n v="0"/>
    <n v="0"/>
    <n v="0"/>
    <n v="0"/>
    <m/>
    <n v="0"/>
    <n v="0"/>
    <n v="0"/>
    <s v="SF"/>
    <s v="Liners"/>
    <s v="LDPE/LLDPE Bags"/>
    <s v="SERVICES"/>
    <s v="erp"/>
    <n v="0"/>
    <n v="0"/>
    <s v="JW59"/>
    <s v="26-08-2026"/>
    <s v="24ACHPM5973F1ZG"/>
    <s v="storepil6"/>
    <m/>
    <n v="0"/>
    <n v="0"/>
    <n v="0"/>
    <n v="0"/>
    <n v="0"/>
    <n v="0"/>
    <n v="0"/>
    <s v="-"/>
    <d v="2026-08-31T00:00:00"/>
    <n v="129"/>
  </r>
  <r>
    <s v="HCP Plastene Bulkpack Ltd (Unit - IV)"/>
    <s v="31-08-2026"/>
    <s v="HPBL4/26-27/SII01343"/>
    <s v="SMF00147"/>
    <s v="PE Labels (Kgs)"/>
    <n v="0"/>
    <s v="No PO"/>
    <n v="0"/>
    <n v="131"/>
    <s v="Kgs"/>
    <n v="131"/>
    <n v="0"/>
    <n v="131"/>
    <s v="GJ24V1087"/>
    <x v="0"/>
    <s v="Saru Plastics"/>
    <s v="SARU098"/>
    <s v="27-08-2026"/>
    <s v="JOB IN"/>
    <s v="SELF"/>
    <s v="JBIN-SE 63"/>
    <n v="0"/>
    <n v="0"/>
    <s v="SARU098"/>
    <s v="27-08-2026"/>
    <n v="0"/>
    <s v="PP Woven Big Bag,"/>
    <m/>
    <s v="OWN VEHICLE"/>
    <s v="-"/>
    <n v="0"/>
    <n v="0"/>
    <n v="0"/>
    <n v="0"/>
    <n v="0"/>
    <s v="VAT"/>
    <n v="0"/>
    <n v="0"/>
    <n v="0"/>
    <n v="0"/>
    <n v="0"/>
    <m/>
    <n v="0"/>
    <n v="0"/>
    <n v="0"/>
    <s v="SF"/>
    <s v="Liners"/>
    <s v="LDPE/LLDPE Bags"/>
    <s v="SERVICES"/>
    <s v="erp"/>
    <n v="0"/>
    <n v="0"/>
    <s v="JW60"/>
    <s v="31-08-2026"/>
    <s v="24ACHPM5973F1ZG"/>
    <s v="storepil6"/>
    <m/>
    <n v="0"/>
    <n v="0"/>
    <n v="0"/>
    <n v="0"/>
    <n v="0"/>
    <n v="0"/>
    <n v="0"/>
    <s v="-"/>
    <d v="2026-08-31T00:00:00"/>
    <n v="131"/>
  </r>
  <r>
    <s v="HCP Plastene Bulkpack Ltd (Unit - IV)"/>
    <s v="31-08-2026"/>
    <s v="HPBL4/26-27/SII01344"/>
    <s v="SMF00147"/>
    <s v="PE Labels (Kgs)"/>
    <s v="No Subcode"/>
    <s v="No PO"/>
    <n v="0"/>
    <n v="147"/>
    <s v="Kgs"/>
    <n v="147"/>
    <n v="0"/>
    <n v="147"/>
    <s v="GJ24V1087"/>
    <x v="0"/>
    <s v="Saru Plastics"/>
    <s v="SARU099"/>
    <s v="31-08-2026"/>
    <s v="JOB IN"/>
    <s v="SELF"/>
    <s v="JBIN-SE 64"/>
    <n v="0"/>
    <n v="0"/>
    <s v="SARU099"/>
    <s v="31-08-2026"/>
    <n v="0"/>
    <s v="PP Woven Big Bag,"/>
    <m/>
    <s v="OWN VEHICLE"/>
    <s v="-"/>
    <n v="0"/>
    <n v="0"/>
    <n v="0"/>
    <n v="0"/>
    <n v="0"/>
    <s v="VAT"/>
    <n v="0"/>
    <n v="0"/>
    <n v="0"/>
    <n v="0"/>
    <n v="0"/>
    <m/>
    <n v="0"/>
    <n v="0"/>
    <n v="0"/>
    <s v="SF"/>
    <s v="Liners"/>
    <s v="LDPE/LLDPE Bags"/>
    <s v="SERVICES"/>
    <s v="erp"/>
    <n v="0"/>
    <n v="0"/>
    <s v="JW61"/>
    <s v="31-08-2026"/>
    <s v="24ACHPM5973F1ZG"/>
    <s v="storepil6"/>
    <m/>
    <n v="0"/>
    <n v="0"/>
    <n v="0"/>
    <n v="0"/>
    <n v="0"/>
    <n v="0"/>
    <n v="0"/>
    <s v="-"/>
    <d v="2026-08-31T00:00:00"/>
    <n v="147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count="2">
  <r>
    <s v="HCP Plastene Bulkpack Ltd (Unit - IV)"/>
    <s v="HPBL4/26-27/JOBWORK/10"/>
    <d v="2026-08-07T00:00:00"/>
    <x v="0"/>
    <s v="PRINTING PALLET LABELS"/>
    <x v="0"/>
    <s v="SF"/>
    <s v="Films All (SF)"/>
    <s v="PE Film"/>
    <s v="RAW05124"/>
    <s v="LDPE/LLDPE Film"/>
    <s v="."/>
    <s v="36 ROLL"/>
    <s v="Kgs"/>
    <n v="747.9"/>
    <n v="124794.594"/>
    <n v="147257.60999999999"/>
    <s v="GJ24V1087"/>
    <s v="."/>
    <m/>
  </r>
  <r>
    <s v="HCP Plastene Bulkpack Ltd (Unit - IV)"/>
    <s v="HPBL4/26-27/JOBWORK/11"/>
    <d v="2026-08-17T00:00:00"/>
    <x v="0"/>
    <s v="PRINTING PALLET LABELS"/>
    <x v="0"/>
    <s v="SF"/>
    <s v="Films All (SF)"/>
    <s v="PE Film"/>
    <s v="RAW05124"/>
    <s v="LDPE/LLDPE Film"/>
    <s v="."/>
    <s v="28 ROLL"/>
    <s v="Kgs"/>
    <n v="563"/>
    <n v="93942.18"/>
    <n v="110851.78"/>
    <s v="GJ24V1087"/>
    <s v=".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PivotTable4" cacheId="8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1:B4" firstHeaderRow="1" firstDataRow="1" firstDataCol="1"/>
  <pivotFields count="20">
    <pivotField showAll="0"/>
    <pivotField showAll="0"/>
    <pivotField numFmtId="14" showAll="0"/>
    <pivotField axis="axisRow" showAll="0">
      <items count="2">
        <item x="0"/>
        <item t="default"/>
      </items>
    </pivotField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2">
    <field x="5"/>
    <field x="3"/>
  </rowFields>
  <rowItems count="3">
    <i>
      <x/>
    </i>
    <i r="1">
      <x/>
    </i>
    <i t="grand">
      <x/>
    </i>
  </rowItems>
  <colItems count="1">
    <i/>
  </colItems>
  <dataFields count="1">
    <dataField name="Sum of ItemQty" fld="14" baseField="0" baseItem="0" numFmtId="2"/>
  </dataFields>
  <formats count="2">
    <format dxfId="73">
      <pivotArea outline="0" collapsedLevelsAreSubtotals="1" fieldPosition="0"/>
    </format>
    <format dxfId="7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7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1:B3" firstHeaderRow="1" firstDataRow="1" firstDataCol="1"/>
  <pivotFields count="6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4">
        <item m="1" x="2"/>
        <item x="0"/>
        <item m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2">
    <i>
      <x v="1"/>
    </i>
    <i t="grand">
      <x/>
    </i>
  </rowItems>
  <colItems count="1">
    <i/>
  </colItems>
  <dataFields count="1">
    <dataField name="Sum of Acceptedqty" fld="12" baseField="0" baseItem="0" numFmtId="2"/>
  </dataFields>
  <formats count="1">
    <format dxfId="7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C17" firstHeaderRow="0" firstDataRow="1" firstDataCol="1" rowPageCount="1" colPageCount="1"/>
  <pivotFields count="31">
    <pivotField showAll="0"/>
    <pivotField axis="axisPage" multipleItemSelectionAllowed="1" showAll="0">
      <items count="60">
        <item x="1"/>
        <item x="19"/>
        <item x="0"/>
        <item x="9"/>
        <item x="2"/>
        <item x="28"/>
        <item x="21"/>
        <item x="26"/>
        <item x="14"/>
        <item m="1" x="47"/>
        <item x="22"/>
        <item m="1" x="54"/>
        <item x="23"/>
        <item x="3"/>
        <item m="1" x="45"/>
        <item x="35"/>
        <item m="1" x="46"/>
        <item m="1" x="49"/>
        <item m="1" x="53"/>
        <item x="5"/>
        <item x="34"/>
        <item x="42"/>
        <item m="1" x="50"/>
        <item x="11"/>
        <item m="1" x="48"/>
        <item x="24"/>
        <item m="1" x="56"/>
        <item m="1" x="52"/>
        <item m="1" x="57"/>
        <item m="1" x="58"/>
        <item x="15"/>
        <item m="1" x="55"/>
        <item x="17"/>
        <item m="1" x="51"/>
        <item x="38"/>
        <item x="40"/>
        <item x="25"/>
        <item x="4"/>
        <item x="6"/>
        <item x="7"/>
        <item x="8"/>
        <item x="10"/>
        <item x="12"/>
        <item x="13"/>
        <item x="16"/>
        <item x="18"/>
        <item x="20"/>
        <item x="27"/>
        <item x="29"/>
        <item x="30"/>
        <item x="31"/>
        <item x="32"/>
        <item x="33"/>
        <item x="36"/>
        <item x="37"/>
        <item x="39"/>
        <item x="41"/>
        <item x="43"/>
        <item x="4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7">
        <item x="5"/>
        <item x="4"/>
        <item x="10"/>
        <item h="1" x="8"/>
        <item x="6"/>
        <item x="3"/>
        <item x="2"/>
        <item x="1"/>
        <item h="1" x="0"/>
        <item x="9"/>
        <item x="13"/>
        <item x="14"/>
        <item x="7"/>
        <item x="11"/>
        <item x="12"/>
        <item h="1" x="15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14">
    <i>
      <x/>
    </i>
    <i>
      <x v="1"/>
    </i>
    <i>
      <x v="2"/>
    </i>
    <i>
      <x v="4"/>
    </i>
    <i>
      <x v="5"/>
    </i>
    <i>
      <x v="6"/>
    </i>
    <i>
      <x v="7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Quantity" fld="12" baseField="0" baseItem="0" numFmtId="2"/>
    <dataField name="Sum of Amount" fld="13" baseField="0" baseItem="0"/>
  </dataFields>
  <formats count="27">
    <format dxfId="69">
      <pivotArea grandCol="1" outline="0" collapsedLevelsAreSubtotals="1" fieldPosition="0"/>
    </format>
    <format dxfId="6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67">
      <pivotArea collapsedLevelsAreSubtotals="1" fieldPosition="0">
        <references count="1">
          <reference field="10" count="0"/>
        </references>
      </pivotArea>
    </format>
    <format dxfId="66">
      <pivotArea field="10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65">
      <pivotArea collapsedLevelsAreSubtotals="1" fieldPosition="0">
        <references count="2">
          <reference field="4294967294" count="1" selected="0">
            <x v="1"/>
          </reference>
          <reference field="10" count="1">
            <x v="5"/>
          </reference>
        </references>
      </pivotArea>
    </format>
    <format dxfId="64">
      <pivotArea collapsedLevelsAreSubtotals="1" fieldPosition="0">
        <references count="2">
          <reference field="4294967294" count="1" selected="0">
            <x v="1"/>
          </reference>
          <reference field="10" count="1">
            <x v="1"/>
          </reference>
        </references>
      </pivotArea>
    </format>
    <format dxfId="63">
      <pivotArea collapsedLevelsAreSubtotals="1" fieldPosition="0">
        <references count="2">
          <reference field="4294967294" count="1" selected="0">
            <x v="0"/>
          </reference>
          <reference field="10" count="0"/>
        </references>
      </pivotArea>
    </format>
    <format dxfId="62">
      <pivotArea collapsedLevelsAreSubtotals="1" fieldPosition="0">
        <references count="2">
          <reference field="4294967294" count="1" selected="0">
            <x v="0"/>
          </reference>
          <reference field="10" count="9">
            <x v="0"/>
            <x v="1"/>
            <x v="2"/>
            <x v="4"/>
            <x v="5"/>
            <x v="6"/>
            <x v="7"/>
            <x v="9"/>
            <x v="10"/>
          </reference>
        </references>
      </pivotArea>
    </format>
    <format dxfId="61">
      <pivotArea collapsedLevelsAreSubtotals="1" fieldPosition="0">
        <references count="2">
          <reference field="4294967294" count="1" selected="0">
            <x v="0"/>
          </reference>
          <reference field="10" count="9">
            <x v="0"/>
            <x v="1"/>
            <x v="2"/>
            <x v="4"/>
            <x v="5"/>
            <x v="6"/>
            <x v="7"/>
            <x v="9"/>
            <x v="10"/>
          </reference>
        </references>
      </pivotArea>
    </format>
    <format dxfId="60">
      <pivotArea collapsedLevelsAreSubtotals="1" fieldPosition="0">
        <references count="2">
          <reference field="4294967294" count="1" selected="0">
            <x v="0"/>
          </reference>
          <reference field="10" count="1">
            <x v="10"/>
          </reference>
        </references>
      </pivotArea>
    </format>
    <format dxfId="59">
      <pivotArea collapsedLevelsAreSubtotals="1" fieldPosition="0">
        <references count="2">
          <reference field="4294967294" count="1" selected="0">
            <x v="0"/>
          </reference>
          <reference field="10" count="1">
            <x v="10"/>
          </reference>
        </references>
      </pivotArea>
    </format>
    <format dxfId="58">
      <pivotArea collapsedLevelsAreSubtotals="1" fieldPosition="0">
        <references count="2">
          <reference field="4294967294" count="1" selected="0">
            <x v="0"/>
          </reference>
          <reference field="10" count="1">
            <x v="10"/>
          </reference>
        </references>
      </pivotArea>
    </format>
    <format dxfId="57">
      <pivotArea collapsedLevelsAreSubtotals="1" fieldPosition="0">
        <references count="2">
          <reference field="4294967294" count="1" selected="0">
            <x v="0"/>
          </reference>
          <reference field="10" count="1">
            <x v="10"/>
          </reference>
        </references>
      </pivotArea>
    </format>
    <format dxfId="56">
      <pivotArea collapsedLevelsAreSubtotals="1" fieldPosition="0">
        <references count="2">
          <reference field="4294967294" count="1" selected="0">
            <x v="0"/>
          </reference>
          <reference field="10" count="1">
            <x v="10"/>
          </reference>
        </references>
      </pivotArea>
    </format>
    <format dxfId="55">
      <pivotArea collapsedLevelsAreSubtotals="1" fieldPosition="0">
        <references count="2">
          <reference field="4294967294" count="1" selected="0">
            <x v="1"/>
          </reference>
          <reference field="10" count="1">
            <x v="6"/>
          </reference>
        </references>
      </pivotArea>
    </format>
    <format dxfId="54">
      <pivotArea collapsedLevelsAreSubtotals="1" fieldPosition="0">
        <references count="2">
          <reference field="4294967294" count="1" selected="0">
            <x v="0"/>
          </reference>
          <reference field="10" count="0"/>
        </references>
      </pivotArea>
    </format>
    <format dxfId="53">
      <pivotArea collapsedLevelsAreSubtotals="1" fieldPosition="0">
        <references count="2">
          <reference field="4294967294" count="1" selected="0">
            <x v="0"/>
          </reference>
          <reference field="10" count="1">
            <x v="7"/>
          </reference>
        </references>
      </pivotArea>
    </format>
    <format dxfId="52">
      <pivotArea collapsedLevelsAreSubtotals="1" fieldPosition="0">
        <references count="2">
          <reference field="4294967294" count="1" selected="0">
            <x v="0"/>
          </reference>
          <reference field="10" count="1">
            <x v="5"/>
          </reference>
        </references>
      </pivotArea>
    </format>
    <format dxfId="51">
      <pivotArea collapsedLevelsAreSubtotals="1" fieldPosition="0">
        <references count="2">
          <reference field="4294967294" count="1" selected="0">
            <x v="0"/>
          </reference>
          <reference field="10" count="1">
            <x v="6"/>
          </reference>
        </references>
      </pivotArea>
    </format>
    <format dxfId="50">
      <pivotArea collapsedLevelsAreSubtotals="1" fieldPosition="0">
        <references count="2">
          <reference field="4294967294" count="1" selected="0">
            <x v="0"/>
          </reference>
          <reference field="10" count="1">
            <x v="2"/>
          </reference>
        </references>
      </pivotArea>
    </format>
    <format dxfId="49">
      <pivotArea collapsedLevelsAreSubtotals="1" fieldPosition="0">
        <references count="2">
          <reference field="4294967294" count="1" selected="0">
            <x v="0"/>
          </reference>
          <reference field="10" count="1">
            <x v="1"/>
          </reference>
        </references>
      </pivotArea>
    </format>
    <format dxfId="48">
      <pivotArea collapsedLevelsAreSubtotals="1" fieldPosition="0">
        <references count="2">
          <reference field="4294967294" count="1" selected="0">
            <x v="0"/>
          </reference>
          <reference field="10" count="1">
            <x v="9"/>
          </reference>
        </references>
      </pivotArea>
    </format>
    <format dxfId="47">
      <pivotArea collapsedLevelsAreSubtotals="1" fieldPosition="0">
        <references count="2">
          <reference field="4294967294" count="1" selected="0">
            <x v="0"/>
          </reference>
          <reference field="10" count="1">
            <x v="14"/>
          </reference>
        </references>
      </pivotArea>
    </format>
    <format dxfId="46">
      <pivotArea collapsedLevelsAreSubtotals="1" fieldPosition="0">
        <references count="2">
          <reference field="4294967294" count="1" selected="0">
            <x v="0"/>
          </reference>
          <reference field="10" count="1">
            <x v="4"/>
          </reference>
        </references>
      </pivotArea>
    </format>
    <format dxfId="45">
      <pivotArea collapsedLevelsAreSubtotals="1" fieldPosition="0">
        <references count="2">
          <reference field="4294967294" count="1" selected="0">
            <x v="0"/>
          </reference>
          <reference field="10" count="1">
            <x v="11"/>
          </reference>
        </references>
      </pivotArea>
    </format>
    <format dxfId="44">
      <pivotArea collapsedLevelsAreSubtotals="1" fieldPosition="0">
        <references count="2">
          <reference field="4294967294" count="1" selected="0">
            <x v="0"/>
          </reference>
          <reference field="10" count="1">
            <x v="10"/>
          </reference>
        </references>
      </pivotArea>
    </format>
    <format dxfId="43">
      <pivotArea collapsedLevelsAreSubtotals="1" fieldPosition="0">
        <references count="2">
          <reference field="4294967294" count="1" selected="0">
            <x v="0"/>
          </reference>
          <reference field="10" count="1">
            <x v="1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23:B29" firstHeaderRow="1" firstDataRow="1" firstDataCol="1"/>
  <pivotFields count="31">
    <pivotField showAll="0"/>
    <pivotField showAll="0"/>
    <pivotField showAll="0"/>
    <pivotField showAll="0"/>
    <pivotField axis="axisRow" showAll="0">
      <items count="10">
        <item x="4"/>
        <item x="1"/>
        <item x="2"/>
        <item h="1" x="3"/>
        <item h="1" x="0"/>
        <item x="6"/>
        <item h="1" m="1" x="8"/>
        <item x="5"/>
        <item h="1"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5"/>
    </i>
    <i>
      <x v="7"/>
    </i>
    <i t="grand">
      <x/>
    </i>
  </rowItems>
  <colItems count="1">
    <i/>
  </colItems>
  <dataFields count="1">
    <dataField name="Sum of Amount" fld="13" baseField="0" baseItem="0" numFmtId="2"/>
  </dataFields>
  <formats count="1">
    <format dxfId="7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2" cacheId="5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16:B24" firstHeaderRow="1" firstDataRow="1" firstDataCol="1"/>
  <pivotFields count="31">
    <pivotField showAll="0"/>
    <pivotField showAll="0"/>
    <pivotField showAll="0"/>
    <pivotField showAll="0"/>
    <pivotField axis="axisRow" showAll="0">
      <items count="9">
        <item x="6"/>
        <item x="1"/>
        <item x="0"/>
        <item x="5"/>
        <item x="2"/>
        <item x="3"/>
        <item h="1" x="7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7"/>
    </i>
    <i t="grand">
      <x/>
    </i>
  </rowItems>
  <colItems count="1">
    <i/>
  </colItems>
  <dataFields count="1">
    <dataField name="Sum of Amount" fld="13" baseField="0" baseItem="0" numFmtId="2"/>
  </dataFields>
  <formats count="7">
    <format dxfId="34">
      <pivotArea outline="0" collapsedLevelsAreSubtotals="1" fieldPosition="0"/>
    </format>
    <format dxfId="33">
      <pivotArea grandRow="1" outline="0" collapsedLevelsAreSubtotals="1" fieldPosition="0"/>
    </format>
    <format dxfId="32">
      <pivotArea dataOnly="0" labelOnly="1" grandRow="1" outline="0" fieldPosition="0"/>
    </format>
    <format dxfId="31">
      <pivotArea collapsedLevelsAreSubtotals="1" fieldPosition="0">
        <references count="1">
          <reference field="4" count="0"/>
        </references>
      </pivotArea>
    </format>
    <format dxfId="30">
      <pivotArea field="4" type="button" dataOnly="0" labelOnly="1" outline="0" axis="axisRow" fieldPosition="0"/>
    </format>
    <format dxfId="29">
      <pivotArea dataOnly="0" labelOnly="1" outline="0" axis="axisValues" fieldPosition="0"/>
    </format>
    <format dxfId="28">
      <pivotArea dataOnly="0" labelOnly="1" fieldPosition="0">
        <references count="1">
          <reference field="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" cacheId="5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1:C11" firstHeaderRow="0" firstDataRow="1" firstDataCol="1"/>
  <pivotFields count="3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4"/>
        <item x="0"/>
        <item x="6"/>
        <item h="1" x="1"/>
        <item x="3"/>
        <item x="9"/>
        <item x="8"/>
        <item x="7"/>
        <item h="1" x="11"/>
        <item x="5"/>
        <item h="1" x="10"/>
        <item x="2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10">
    <i>
      <x/>
    </i>
    <i>
      <x v="1"/>
    </i>
    <i>
      <x v="2"/>
    </i>
    <i>
      <x v="4"/>
    </i>
    <i>
      <x v="5"/>
    </i>
    <i>
      <x v="6"/>
    </i>
    <i>
      <x v="7"/>
    </i>
    <i>
      <x v="9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12" baseField="0" baseItem="0" numFmtId="2"/>
    <dataField name="Sum of Amount" fld="13" baseField="0" baseItem="0" numFmtId="2"/>
  </dataFields>
  <formats count="8">
    <format dxfId="4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0">
      <pivotArea collapsedLevelsAreSubtotals="1" fieldPosition="0">
        <references count="2">
          <reference field="4294967294" count="1" selected="0">
            <x v="0"/>
          </reference>
          <reference field="10" count="3">
            <x v="0"/>
            <x v="1"/>
            <x v="2"/>
          </reference>
        </references>
      </pivotArea>
    </format>
    <format dxfId="39">
      <pivotArea collapsedLevelsAreSubtotals="1" fieldPosition="0">
        <references count="2">
          <reference field="4294967294" count="1" selected="0">
            <x v="0"/>
          </reference>
          <reference field="10" count="0"/>
        </references>
      </pivotArea>
    </format>
    <format dxfId="38">
      <pivotArea collapsedLevelsAreSubtotals="1" fieldPosition="0">
        <references count="2">
          <reference field="4294967294" count="1" selected="0">
            <x v="0"/>
          </reference>
          <reference field="10" count="1">
            <x v="0"/>
          </reference>
        </references>
      </pivotArea>
    </format>
    <format dxfId="37">
      <pivotArea collapsedLevelsAreSubtotals="1" fieldPosition="0">
        <references count="2">
          <reference field="4294967294" count="1" selected="0">
            <x v="0"/>
          </reference>
          <reference field="10" count="1">
            <x v="0"/>
          </reference>
        </references>
      </pivotArea>
    </format>
    <format dxfId="36">
      <pivotArea collapsedLevelsAreSubtotals="1" fieldPosition="0">
        <references count="2">
          <reference field="4294967294" count="1" selected="0">
            <x v="0"/>
          </reference>
          <reference field="10" count="1">
            <x v="0"/>
          </reference>
        </references>
      </pivotArea>
    </format>
    <format dxfId="35">
      <pivotArea collapsedLevelsAreSubtotals="1" fieldPosition="0">
        <references count="2">
          <reference field="4294967294" count="1" selected="0">
            <x v="0"/>
          </reference>
          <reference field="1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B3:C35" firstHeaderRow="1" firstDataRow="1" firstDataCol="1"/>
  <pivotFields count="67">
    <pivotField showAll="0"/>
    <pivotField showAll="0"/>
    <pivotField showAll="0"/>
    <pivotField showAll="0"/>
    <pivotField axis="axisRow" showAll="0">
      <items count="32">
        <item x="11"/>
        <item x="4"/>
        <item x="3"/>
        <item x="0"/>
        <item x="2"/>
        <item x="1"/>
        <item x="8"/>
        <item x="15"/>
        <item x="16"/>
        <item x="9"/>
        <item x="13"/>
        <item x="10"/>
        <item x="6"/>
        <item x="21"/>
        <item x="23"/>
        <item x="24"/>
        <item x="27"/>
        <item x="14"/>
        <item x="22"/>
        <item x="28"/>
        <item x="26"/>
        <item x="5"/>
        <item x="7"/>
        <item x="12"/>
        <item x="17"/>
        <item x="18"/>
        <item x="19"/>
        <item x="20"/>
        <item x="25"/>
        <item x="29"/>
        <item x="30"/>
        <item t="default"/>
      </items>
    </pivotField>
    <pivotField showAll="0" defaultSubtota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/>
    <pivotField showAll="0"/>
    <pivotField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</pivotFields>
  <rowFields count="1">
    <field x="4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Sum of Recdqty" fld="10" baseField="0" baseItem="0" numFmtId="2"/>
  </dataFields>
  <formats count="28">
    <format dxfId="27">
      <pivotArea outline="0" collapsedLevelsAreSubtotals="1" fieldPosition="0"/>
    </format>
    <format dxfId="26">
      <pivotArea grandRow="1" outline="0" collapsedLevelsAreSubtotals="1" fieldPosition="0"/>
    </format>
    <format dxfId="25">
      <pivotArea dataOnly="0" labelOnly="1" grandRow="1" outline="0" fieldPosition="0"/>
    </format>
    <format dxfId="24">
      <pivotArea grandRow="1" outline="0" collapsedLevelsAreSubtotals="1" fieldPosition="0"/>
    </format>
    <format dxfId="23">
      <pivotArea dataOnly="0" labelOnly="1" fieldPosition="0">
        <references count="1">
          <reference field="4" count="2">
            <x v="6"/>
            <x v="7"/>
          </reference>
        </references>
      </pivotArea>
    </format>
    <format dxfId="22">
      <pivotArea field="4" type="button" dataOnly="0" labelOnly="1" outline="0" axis="axisRow" fieldPosition="0"/>
    </format>
    <format dxfId="21">
      <pivotArea dataOnly="0" labelOnly="1" outline="0" axis="axisValues" fieldPosition="0"/>
    </format>
    <format dxfId="20">
      <pivotArea collapsedLevelsAreSubtotals="1" fieldPosition="0">
        <references count="1">
          <reference field="4" count="0"/>
        </references>
      </pivotArea>
    </format>
    <format dxfId="19">
      <pivotArea collapsedLevelsAreSubtotals="1" fieldPosition="0">
        <references count="1">
          <reference field="4" count="1">
            <x v="8"/>
          </reference>
        </references>
      </pivotArea>
    </format>
    <format dxfId="18">
      <pivotArea collapsedLevelsAreSubtotals="1" fieldPosition="0">
        <references count="1">
          <reference field="4" count="0"/>
        </references>
      </pivotArea>
    </format>
    <format dxfId="17">
      <pivotArea collapsedLevelsAreSubtotals="1" fieldPosition="0">
        <references count="1">
          <reference field="4" count="1">
            <x v="8"/>
          </reference>
        </references>
      </pivotArea>
    </format>
    <format dxfId="16">
      <pivotArea collapsedLevelsAreSubtotals="1" fieldPosition="0">
        <references count="1">
          <reference field="4" count="1">
            <x v="9"/>
          </reference>
        </references>
      </pivotArea>
    </format>
    <format dxfId="15">
      <pivotArea collapsedLevelsAreSubtotals="1" fieldPosition="0">
        <references count="1">
          <reference field="4" count="2">
            <x v="8"/>
            <x v="9"/>
          </reference>
        </references>
      </pivotArea>
    </format>
    <format dxfId="14">
      <pivotArea collapsedLevelsAreSubtotals="1" fieldPosition="0">
        <references count="1">
          <reference field="4" count="0"/>
        </references>
      </pivotArea>
    </format>
    <format dxfId="13">
      <pivotArea collapsedLevelsAreSubtotals="1" fieldPosition="0">
        <references count="1">
          <reference field="4" count="0"/>
        </references>
      </pivotArea>
    </format>
    <format dxfId="12">
      <pivotArea collapsedLevelsAreSubtotals="1" fieldPosition="0">
        <references count="1">
          <reference field="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11">
      <pivotArea collapsedLevelsAreSubtotals="1" fieldPosition="0">
        <references count="1">
          <reference field="4" count="2">
            <x v="10"/>
            <x v="11"/>
          </reference>
        </references>
      </pivotArea>
    </format>
    <format dxfId="10">
      <pivotArea collapsedLevelsAreSubtotals="1" fieldPosition="0">
        <references count="1">
          <reference field="4" count="1">
            <x v="1"/>
          </reference>
        </references>
      </pivotArea>
    </format>
    <format dxfId="9">
      <pivotArea collapsedLevelsAreSubtotals="1" fieldPosition="0">
        <references count="1">
          <reference field="4" count="1">
            <x v="0"/>
          </reference>
        </references>
      </pivotArea>
    </format>
    <format dxfId="8">
      <pivotArea collapsedLevelsAreSubtotals="1" fieldPosition="0">
        <references count="1">
          <reference field="4" count="1">
            <x v="2"/>
          </reference>
        </references>
      </pivotArea>
    </format>
    <format dxfId="7">
      <pivotArea collapsedLevelsAreSubtotals="1" fieldPosition="0">
        <references count="1">
          <reference field="4" count="2">
            <x v="6"/>
            <x v="7"/>
          </reference>
        </references>
      </pivotArea>
    </format>
    <format dxfId="6">
      <pivotArea collapsedLevelsAreSubtotals="1" fieldPosition="0">
        <references count="1">
          <reference field="4" count="1">
            <x v="10"/>
          </reference>
        </references>
      </pivotArea>
    </format>
    <format dxfId="5">
      <pivotArea collapsedLevelsAreSubtotals="1" fieldPosition="0">
        <references count="1">
          <reference field="4" count="1">
            <x v="5"/>
          </reference>
        </references>
      </pivotArea>
    </format>
    <format dxfId="4">
      <pivotArea collapsedLevelsAreSubtotals="1" fieldPosition="0">
        <references count="1">
          <reference field="4" count="1">
            <x v="4"/>
          </reference>
        </references>
      </pivotArea>
    </format>
    <format dxfId="3">
      <pivotArea collapsedLevelsAreSubtotals="1" fieldPosition="0">
        <references count="1">
          <reference field="4" count="1">
            <x v="3"/>
          </reference>
        </references>
      </pivotArea>
    </format>
    <format dxfId="2">
      <pivotArea collapsedLevelsAreSubtotals="1" fieldPosition="0">
        <references count="1">
          <reference field="4" count="1">
            <x v="11"/>
          </reference>
        </references>
      </pivotArea>
    </format>
    <format dxfId="1">
      <pivotArea collapsedLevelsAreSubtotals="1" fieldPosition="0">
        <references count="1">
          <reference field="4" count="1">
            <x v="8"/>
          </reference>
        </references>
      </pivotArea>
    </format>
    <format dxfId="0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3"/>
  <sheetViews>
    <sheetView workbookViewId="0">
      <selection activeCell="B3" sqref="B3"/>
    </sheetView>
  </sheetViews>
  <sheetFormatPr defaultRowHeight="15"/>
  <cols>
    <col min="1" max="1" width="16.28515625" style="27" customWidth="1"/>
    <col min="2" max="2" width="15" style="27" bestFit="1" customWidth="1"/>
    <col min="3" max="3" width="7.85546875" style="27" customWidth="1"/>
    <col min="4" max="4" width="8.42578125" style="27" customWidth="1"/>
    <col min="5" max="5" width="29.85546875" style="27" bestFit="1" customWidth="1"/>
    <col min="6" max="6" width="21" style="27" bestFit="1" customWidth="1"/>
    <col min="7" max="7" width="11" style="27" bestFit="1" customWidth="1"/>
    <col min="8" max="8" width="16.85546875" style="27" bestFit="1" customWidth="1"/>
    <col min="9" max="9" width="19.5703125" style="27" bestFit="1" customWidth="1"/>
    <col min="10" max="10" width="18.140625" style="27" bestFit="1" customWidth="1"/>
    <col min="11" max="11" width="9.5703125" style="27" bestFit="1" customWidth="1"/>
    <col min="12" max="12" width="14.140625" style="27" bestFit="1" customWidth="1"/>
    <col min="13" max="13" width="16.7109375" style="27" bestFit="1" customWidth="1"/>
    <col min="14" max="14" width="12.140625" style="27" bestFit="1" customWidth="1"/>
    <col min="15" max="15" width="13.5703125" style="27" bestFit="1" customWidth="1"/>
    <col min="16" max="16" width="14.85546875" style="27" bestFit="1" customWidth="1"/>
    <col min="17" max="17" width="11.5703125" style="27" bestFit="1" customWidth="1"/>
    <col min="18" max="18" width="11.85546875" style="27" bestFit="1" customWidth="1"/>
    <col min="19" max="19" width="11.42578125" style="27" bestFit="1" customWidth="1"/>
    <col min="20" max="20" width="12.85546875" style="27" bestFit="1" customWidth="1"/>
    <col min="21" max="21" width="12.140625" style="27" bestFit="1" customWidth="1"/>
    <col min="22" max="22" width="12.7109375" style="27" bestFit="1" customWidth="1"/>
    <col min="23" max="23" width="9.28515625" style="27" bestFit="1" customWidth="1"/>
    <col min="24" max="24" width="16.5703125" style="27" bestFit="1" customWidth="1"/>
    <col min="25" max="16384" width="9.140625" style="27"/>
  </cols>
  <sheetData>
    <row r="1" spans="1:24">
      <c r="A1" s="3" t="s">
        <v>83</v>
      </c>
      <c r="B1" t="s">
        <v>2142</v>
      </c>
      <c r="C1"/>
      <c r="D1"/>
      <c r="E1"/>
    </row>
    <row r="2" spans="1:24">
      <c r="A2" s="444" t="s">
        <v>3786</v>
      </c>
      <c r="B2" s="4">
        <v>1310.9</v>
      </c>
      <c r="C2"/>
      <c r="D2"/>
      <c r="E2"/>
    </row>
    <row r="3" spans="1:24">
      <c r="A3" s="293" t="s">
        <v>252</v>
      </c>
      <c r="B3" s="4">
        <v>1310.9</v>
      </c>
      <c r="C3"/>
      <c r="D3"/>
      <c r="E3"/>
    </row>
    <row r="4" spans="1:24">
      <c r="A4" s="444" t="s">
        <v>84</v>
      </c>
      <c r="B4" s="4">
        <v>1310.9</v>
      </c>
      <c r="C4"/>
      <c r="D4"/>
      <c r="E4"/>
    </row>
    <row r="5" spans="1:24">
      <c r="A5"/>
      <c r="B5"/>
      <c r="C5"/>
      <c r="D5"/>
      <c r="E5"/>
    </row>
    <row r="6" spans="1:24">
      <c r="A6"/>
      <c r="B6"/>
      <c r="C6"/>
      <c r="D6"/>
      <c r="E6"/>
    </row>
    <row r="7" spans="1:24">
      <c r="A7"/>
      <c r="B7"/>
      <c r="C7"/>
      <c r="D7"/>
      <c r="E7"/>
    </row>
    <row r="8" spans="1:24">
      <c r="A8"/>
      <c r="B8"/>
      <c r="C8"/>
      <c r="D8"/>
      <c r="E8"/>
    </row>
    <row r="9" spans="1:24">
      <c r="A9"/>
      <c r="B9"/>
      <c r="C9"/>
    </row>
    <row r="10" spans="1:24">
      <c r="A10"/>
      <c r="B10"/>
      <c r="C10"/>
      <c r="D10" s="446"/>
      <c r="E10" s="447" t="s">
        <v>2141</v>
      </c>
      <c r="F10" s="21" t="s">
        <v>177</v>
      </c>
      <c r="G10" s="21" t="s">
        <v>2140</v>
      </c>
      <c r="H10" s="21" t="s">
        <v>157</v>
      </c>
      <c r="I10" s="21" t="s">
        <v>2139</v>
      </c>
      <c r="J10" s="21" t="s">
        <v>2138</v>
      </c>
      <c r="K10" s="21" t="s">
        <v>162</v>
      </c>
      <c r="L10" s="21" t="s">
        <v>163</v>
      </c>
      <c r="M10" s="21" t="s">
        <v>164</v>
      </c>
      <c r="N10" s="21" t="s">
        <v>2137</v>
      </c>
      <c r="O10" s="21" t="s">
        <v>2136</v>
      </c>
      <c r="P10" s="21" t="s">
        <v>243</v>
      </c>
      <c r="Q10" s="21" t="s">
        <v>244</v>
      </c>
      <c r="R10" s="21" t="s">
        <v>2135</v>
      </c>
      <c r="S10" s="21" t="s">
        <v>249</v>
      </c>
      <c r="T10" s="21" t="s">
        <v>2134</v>
      </c>
      <c r="U10" s="21" t="s">
        <v>2133</v>
      </c>
      <c r="V10" s="21" t="s">
        <v>2132</v>
      </c>
      <c r="W10" s="21" t="s">
        <v>2131</v>
      </c>
      <c r="X10" s="21" t="s">
        <v>2130</v>
      </c>
    </row>
    <row r="11" spans="1:24">
      <c r="D11" s="446"/>
      <c r="E11" s="448" t="s">
        <v>2165</v>
      </c>
      <c r="F11" s="448" t="s">
        <v>3784</v>
      </c>
      <c r="G11" s="449">
        <v>46241</v>
      </c>
      <c r="H11" s="448" t="s">
        <v>252</v>
      </c>
      <c r="I11" s="448" t="s">
        <v>3785</v>
      </c>
      <c r="J11" s="448" t="s">
        <v>3786</v>
      </c>
      <c r="K11" s="448" t="s">
        <v>13</v>
      </c>
      <c r="L11" s="448" t="s">
        <v>2152</v>
      </c>
      <c r="M11" s="448" t="s">
        <v>123</v>
      </c>
      <c r="N11" s="448" t="s">
        <v>214</v>
      </c>
      <c r="O11" s="448" t="s">
        <v>12</v>
      </c>
      <c r="P11" s="448" t="s">
        <v>2290</v>
      </c>
      <c r="Q11" s="448" t="s">
        <v>3787</v>
      </c>
      <c r="R11" s="448" t="s">
        <v>11</v>
      </c>
      <c r="S11" s="448">
        <v>747.9</v>
      </c>
      <c r="T11" s="448">
        <v>124794.594</v>
      </c>
      <c r="U11" s="448">
        <v>147257.60999999999</v>
      </c>
      <c r="V11" s="448" t="s">
        <v>2306</v>
      </c>
      <c r="W11" s="448" t="s">
        <v>2290</v>
      </c>
      <c r="X11" s="448"/>
    </row>
    <row r="12" spans="1:24">
      <c r="D12" s="446"/>
      <c r="E12" s="448" t="s">
        <v>2165</v>
      </c>
      <c r="F12" s="448" t="s">
        <v>3788</v>
      </c>
      <c r="G12" s="449">
        <v>46251</v>
      </c>
      <c r="H12" s="448" t="s">
        <v>252</v>
      </c>
      <c r="I12" s="448" t="s">
        <v>3785</v>
      </c>
      <c r="J12" s="448" t="s">
        <v>3786</v>
      </c>
      <c r="K12" s="448" t="s">
        <v>13</v>
      </c>
      <c r="L12" s="448" t="s">
        <v>2152</v>
      </c>
      <c r="M12" s="448" t="s">
        <v>123</v>
      </c>
      <c r="N12" s="448" t="s">
        <v>214</v>
      </c>
      <c r="O12" s="448" t="s">
        <v>12</v>
      </c>
      <c r="P12" s="448" t="s">
        <v>2290</v>
      </c>
      <c r="Q12" s="448" t="s">
        <v>3789</v>
      </c>
      <c r="R12" s="448" t="s">
        <v>11</v>
      </c>
      <c r="S12" s="448">
        <v>563</v>
      </c>
      <c r="T12" s="448">
        <v>93942.18</v>
      </c>
      <c r="U12" s="448">
        <v>110851.78</v>
      </c>
      <c r="V12" s="448" t="s">
        <v>2306</v>
      </c>
      <c r="W12" s="448" t="s">
        <v>2290</v>
      </c>
      <c r="X12" s="448"/>
    </row>
    <row r="13" spans="1:24">
      <c r="D13" s="446"/>
      <c r="E13" s="446"/>
      <c r="F13" s="446"/>
      <c r="G13" s="446"/>
      <c r="H13" s="446"/>
      <c r="I13" s="446"/>
      <c r="J13" s="446"/>
      <c r="K13" s="446"/>
      <c r="L13" s="446"/>
      <c r="M13" s="446"/>
      <c r="N13" s="446"/>
      <c r="O13" s="446"/>
      <c r="P13" s="446"/>
      <c r="Q13" s="446"/>
      <c r="R13" s="446"/>
      <c r="S13" s="446"/>
      <c r="T13" s="446"/>
      <c r="U13" s="446"/>
      <c r="V13" s="446"/>
      <c r="W13" s="446"/>
      <c r="X13" s="446"/>
    </row>
  </sheetData>
  <autoFilter ref="E10:X1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24"/>
  <sheetViews>
    <sheetView workbookViewId="0">
      <selection activeCell="B2" sqref="B2"/>
    </sheetView>
  </sheetViews>
  <sheetFormatPr defaultRowHeight="15"/>
  <cols>
    <col min="1" max="1" width="13.140625" style="356" customWidth="1"/>
    <col min="2" max="2" width="19" style="356" bestFit="1" customWidth="1"/>
    <col min="3" max="5" width="9.140625" style="287"/>
    <col min="6" max="6" width="9.140625" style="364"/>
    <col min="7" max="7" width="30.140625" style="287" bestFit="1" customWidth="1"/>
    <col min="8" max="8" width="10.42578125" style="11" bestFit="1" customWidth="1"/>
    <col min="9" max="9" width="19.140625" style="287" bestFit="1" customWidth="1"/>
    <col min="10" max="10" width="9.28515625" style="287" bestFit="1" customWidth="1"/>
    <col min="11" max="12" width="12.5703125" style="287" bestFit="1" customWidth="1"/>
    <col min="13" max="13" width="5.85546875" style="287" bestFit="1" customWidth="1"/>
    <col min="14" max="14" width="8.5703125" style="287" bestFit="1" customWidth="1"/>
    <col min="15" max="15" width="9.140625" style="287" bestFit="1" customWidth="1"/>
    <col min="16" max="16" width="4.28515625" style="287" bestFit="1" customWidth="1"/>
    <col min="17" max="17" width="7.28515625" style="287" bestFit="1" customWidth="1"/>
    <col min="18" max="18" width="10.140625" style="287" bestFit="1" customWidth="1"/>
    <col min="19" max="19" width="10.85546875" style="287" bestFit="1" customWidth="1"/>
    <col min="20" max="20" width="9.7109375" style="287" bestFit="1" customWidth="1"/>
    <col min="21" max="21" width="11.28515625" style="287" bestFit="1" customWidth="1"/>
    <col min="22" max="22" width="11.85546875" style="287" bestFit="1" customWidth="1"/>
    <col min="23" max="23" width="8.85546875" style="287" bestFit="1" customWidth="1"/>
    <col min="24" max="24" width="10.7109375" style="287" bestFit="1" customWidth="1"/>
    <col min="25" max="25" width="7.7109375" style="287" bestFit="1" customWidth="1"/>
    <col min="26" max="26" width="10.42578125" style="287" bestFit="1" customWidth="1"/>
    <col min="27" max="27" width="9" style="287" bestFit="1" customWidth="1"/>
    <col min="28" max="28" width="4.5703125" style="287" bestFit="1" customWidth="1"/>
    <col min="29" max="29" width="7.42578125" style="287" bestFit="1" customWidth="1"/>
    <col min="30" max="30" width="8" style="287" bestFit="1" customWidth="1"/>
    <col min="31" max="31" width="10.42578125" style="287" bestFit="1" customWidth="1"/>
    <col min="32" max="32" width="11.42578125" style="287" bestFit="1" customWidth="1"/>
    <col min="33" max="33" width="16.42578125" style="287" bestFit="1" customWidth="1"/>
    <col min="34" max="34" width="5" style="287" bestFit="1" customWidth="1"/>
    <col min="35" max="35" width="13.140625" style="287" bestFit="1" customWidth="1"/>
    <col min="36" max="36" width="8.140625" style="287" bestFit="1" customWidth="1"/>
    <col min="37" max="37" width="7.140625" style="287" bestFit="1" customWidth="1"/>
    <col min="38" max="38" width="8.140625" style="287" bestFit="1" customWidth="1"/>
    <col min="39" max="39" width="12" style="287" bestFit="1" customWidth="1"/>
    <col min="40" max="40" width="13.5703125" style="287" bestFit="1" customWidth="1"/>
    <col min="41" max="41" width="14.85546875" style="287" bestFit="1" customWidth="1"/>
    <col min="42" max="42" width="12.85546875" style="287" bestFit="1" customWidth="1"/>
    <col min="43" max="43" width="9.85546875" style="287" bestFit="1" customWidth="1"/>
    <col min="44" max="44" width="12.7109375" style="287" bestFit="1" customWidth="1"/>
    <col min="45" max="45" width="6.5703125" style="287" bestFit="1" customWidth="1"/>
    <col min="46" max="46" width="6.7109375" style="287" bestFit="1" customWidth="1"/>
    <col min="47" max="47" width="8.28515625" style="287" bestFit="1" customWidth="1"/>
    <col min="48" max="48" width="10.85546875" style="287" bestFit="1" customWidth="1"/>
    <col min="49" max="49" width="9.5703125" style="287" bestFit="1" customWidth="1"/>
    <col min="50" max="50" width="12.5703125" style="287" bestFit="1" customWidth="1"/>
    <col min="51" max="51" width="9.42578125" style="287" bestFit="1" customWidth="1"/>
    <col min="52" max="52" width="5.5703125" style="287" bestFit="1" customWidth="1"/>
    <col min="53" max="53" width="10.5703125" style="287" bestFit="1" customWidth="1"/>
    <col min="54" max="54" width="14.140625" style="287" bestFit="1" customWidth="1"/>
    <col min="55" max="55" width="13.7109375" style="287" bestFit="1" customWidth="1"/>
    <col min="56" max="56" width="9.85546875" style="287" bestFit="1" customWidth="1"/>
    <col min="57" max="57" width="8.85546875" style="287" bestFit="1" customWidth="1"/>
    <col min="58" max="58" width="11.5703125" style="287" bestFit="1" customWidth="1"/>
    <col min="59" max="59" width="12.42578125" style="287" bestFit="1" customWidth="1"/>
    <col min="60" max="60" width="14" style="287" bestFit="1" customWidth="1"/>
    <col min="61" max="61" width="16.7109375" style="287" bestFit="1" customWidth="1"/>
    <col min="62" max="62" width="8.85546875" style="287" bestFit="1" customWidth="1"/>
    <col min="63" max="63" width="11.5703125" style="287" bestFit="1" customWidth="1"/>
    <col min="64" max="64" width="7.5703125" style="287" bestFit="1" customWidth="1"/>
    <col min="65" max="65" width="11.28515625" style="287" bestFit="1" customWidth="1"/>
    <col min="66" max="66" width="7.42578125" style="287" bestFit="1" customWidth="1"/>
    <col min="67" max="67" width="11.140625" style="287" bestFit="1" customWidth="1"/>
    <col min="68" max="68" width="7" style="287" bestFit="1" customWidth="1"/>
    <col min="69" max="69" width="10.7109375" style="287" bestFit="1" customWidth="1"/>
    <col min="70" max="70" width="9.5703125" style="287" bestFit="1" customWidth="1"/>
    <col min="71" max="71" width="7.5703125" style="11" bestFit="1" customWidth="1"/>
    <col min="72" max="72" width="15.42578125" style="287" bestFit="1" customWidth="1"/>
    <col min="73" max="73" width="6" style="287" bestFit="1" customWidth="1"/>
    <col min="74" max="16384" width="9.140625" style="287"/>
  </cols>
  <sheetData>
    <row r="1" spans="1:73">
      <c r="A1" s="3" t="s">
        <v>83</v>
      </c>
      <c r="B1" t="s">
        <v>2155</v>
      </c>
      <c r="C1"/>
    </row>
    <row r="2" spans="1:73">
      <c r="A2" s="444" t="s">
        <v>252</v>
      </c>
      <c r="B2" s="4">
        <v>1516.9</v>
      </c>
      <c r="C2"/>
    </row>
    <row r="3" spans="1:73">
      <c r="A3" s="444" t="s">
        <v>84</v>
      </c>
      <c r="B3" s="4">
        <v>1516.9</v>
      </c>
      <c r="C3"/>
    </row>
    <row r="4" spans="1:73">
      <c r="A4"/>
      <c r="B4"/>
      <c r="C4"/>
    </row>
    <row r="5" spans="1:73">
      <c r="A5"/>
      <c r="B5"/>
      <c r="C5"/>
    </row>
    <row r="6" spans="1:73">
      <c r="A6"/>
      <c r="B6"/>
      <c r="C6"/>
    </row>
    <row r="7" spans="1:73">
      <c r="A7"/>
      <c r="B7"/>
      <c r="C7"/>
      <c r="G7" s="20"/>
      <c r="H7" s="67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67"/>
      <c r="BT7" s="20"/>
      <c r="BU7" s="20"/>
    </row>
    <row r="8" spans="1:73">
      <c r="A8"/>
      <c r="B8"/>
      <c r="C8"/>
      <c r="G8" s="306" t="s">
        <v>161</v>
      </c>
      <c r="H8" s="415" t="s">
        <v>25</v>
      </c>
      <c r="I8" s="415" t="s">
        <v>165</v>
      </c>
      <c r="J8" s="415" t="s">
        <v>166</v>
      </c>
      <c r="K8" s="415" t="s">
        <v>167</v>
      </c>
      <c r="L8" s="415" t="s">
        <v>559</v>
      </c>
      <c r="M8" s="415" t="s">
        <v>168</v>
      </c>
      <c r="N8" s="415" t="s">
        <v>169</v>
      </c>
      <c r="O8" s="415" t="s">
        <v>170</v>
      </c>
      <c r="P8" s="415" t="s">
        <v>0</v>
      </c>
      <c r="Q8" s="415" t="s">
        <v>171</v>
      </c>
      <c r="R8" s="415" t="s">
        <v>172</v>
      </c>
      <c r="S8" s="415" t="s">
        <v>173</v>
      </c>
      <c r="T8" s="415" t="s">
        <v>174</v>
      </c>
      <c r="U8" s="415" t="s">
        <v>175</v>
      </c>
      <c r="V8" s="415" t="s">
        <v>176</v>
      </c>
      <c r="W8" s="415" t="s">
        <v>177</v>
      </c>
      <c r="X8" s="415" t="s">
        <v>178</v>
      </c>
      <c r="Y8" s="415" t="s">
        <v>179</v>
      </c>
      <c r="Z8" s="415" t="s">
        <v>180</v>
      </c>
      <c r="AA8" s="415" t="s">
        <v>181</v>
      </c>
      <c r="AB8" s="415" t="s">
        <v>182</v>
      </c>
      <c r="AC8" s="415" t="s">
        <v>38</v>
      </c>
      <c r="AD8" s="415" t="s">
        <v>183</v>
      </c>
      <c r="AE8" s="415" t="s">
        <v>158</v>
      </c>
      <c r="AF8" s="415" t="s">
        <v>560</v>
      </c>
      <c r="AG8" s="415" t="s">
        <v>143</v>
      </c>
      <c r="AH8" s="415" t="s">
        <v>561</v>
      </c>
      <c r="AI8" s="415" t="s">
        <v>184</v>
      </c>
      <c r="AJ8" s="415" t="s">
        <v>185</v>
      </c>
      <c r="AK8" s="415" t="s">
        <v>562</v>
      </c>
      <c r="AL8" s="415" t="s">
        <v>563</v>
      </c>
      <c r="AM8" s="415" t="s">
        <v>564</v>
      </c>
      <c r="AN8" s="415" t="s">
        <v>565</v>
      </c>
      <c r="AO8" s="415" t="s">
        <v>566</v>
      </c>
      <c r="AP8" s="415" t="s">
        <v>567</v>
      </c>
      <c r="AQ8" s="415" t="s">
        <v>568</v>
      </c>
      <c r="AR8" s="415" t="s">
        <v>569</v>
      </c>
      <c r="AS8" s="415" t="s">
        <v>570</v>
      </c>
      <c r="AT8" s="415" t="s">
        <v>571</v>
      </c>
      <c r="AU8" s="415" t="s">
        <v>572</v>
      </c>
      <c r="AV8" s="415" t="s">
        <v>573</v>
      </c>
      <c r="AW8" s="415" t="s">
        <v>574</v>
      </c>
      <c r="AX8" s="415" t="s">
        <v>575</v>
      </c>
      <c r="AY8" s="415" t="s">
        <v>186</v>
      </c>
      <c r="AZ8" s="415" t="s">
        <v>162</v>
      </c>
      <c r="BA8" s="415" t="s">
        <v>163</v>
      </c>
      <c r="BB8" s="415" t="s">
        <v>164</v>
      </c>
      <c r="BC8" s="415" t="s">
        <v>187</v>
      </c>
      <c r="BD8" s="415" t="s">
        <v>188</v>
      </c>
      <c r="BE8" s="415" t="s">
        <v>189</v>
      </c>
      <c r="BF8" s="415" t="s">
        <v>190</v>
      </c>
      <c r="BG8" s="415" t="s">
        <v>191</v>
      </c>
      <c r="BH8" s="415" t="s">
        <v>192</v>
      </c>
      <c r="BI8" s="415" t="s">
        <v>193</v>
      </c>
      <c r="BJ8" s="415" t="s">
        <v>194</v>
      </c>
      <c r="BK8" s="415" t="s">
        <v>195</v>
      </c>
      <c r="BL8" s="415" t="s">
        <v>196</v>
      </c>
      <c r="BM8" s="415" t="s">
        <v>197</v>
      </c>
      <c r="BN8" s="415" t="s">
        <v>198</v>
      </c>
      <c r="BO8" s="415" t="s">
        <v>199</v>
      </c>
      <c r="BP8" s="415" t="s">
        <v>200</v>
      </c>
      <c r="BQ8" s="415" t="s">
        <v>201</v>
      </c>
      <c r="BR8" s="415" t="s">
        <v>202</v>
      </c>
      <c r="BS8" s="415" t="s">
        <v>203</v>
      </c>
      <c r="BT8" s="415" t="s">
        <v>204</v>
      </c>
      <c r="BU8" s="415" t="s">
        <v>205</v>
      </c>
    </row>
    <row r="9" spans="1:73">
      <c r="G9" s="176" t="s">
        <v>2165</v>
      </c>
      <c r="H9" s="216">
        <v>46211</v>
      </c>
      <c r="I9" s="176" t="s">
        <v>3726</v>
      </c>
      <c r="J9" s="176" t="s">
        <v>2150</v>
      </c>
      <c r="K9" s="176" t="s">
        <v>2149</v>
      </c>
      <c r="L9" s="176" t="s">
        <v>2146</v>
      </c>
      <c r="M9" s="176" t="s">
        <v>2145</v>
      </c>
      <c r="N9" s="176">
        <v>0</v>
      </c>
      <c r="O9" s="176">
        <v>112</v>
      </c>
      <c r="P9" s="176" t="s">
        <v>11</v>
      </c>
      <c r="Q9" s="176">
        <v>112</v>
      </c>
      <c r="R9" s="176">
        <v>0</v>
      </c>
      <c r="S9" s="176">
        <v>112</v>
      </c>
      <c r="T9" s="176" t="s">
        <v>2306</v>
      </c>
      <c r="U9" s="176" t="s">
        <v>252</v>
      </c>
      <c r="V9" s="176" t="s">
        <v>252</v>
      </c>
      <c r="W9" s="176" t="s">
        <v>3727</v>
      </c>
      <c r="X9" s="211">
        <v>46061</v>
      </c>
      <c r="Y9" s="176" t="s">
        <v>2144</v>
      </c>
      <c r="Z9" s="176" t="s">
        <v>2143</v>
      </c>
      <c r="AA9" s="176" t="s">
        <v>3728</v>
      </c>
      <c r="AB9" s="176">
        <v>0</v>
      </c>
      <c r="AC9" s="176">
        <v>0</v>
      </c>
      <c r="AD9" s="176" t="s">
        <v>3727</v>
      </c>
      <c r="AE9" s="211">
        <v>46061</v>
      </c>
      <c r="AF9" s="176">
        <v>0</v>
      </c>
      <c r="AG9" s="176" t="s">
        <v>2355</v>
      </c>
      <c r="AH9" s="176"/>
      <c r="AI9" s="176" t="s">
        <v>2505</v>
      </c>
      <c r="AJ9" s="176" t="s">
        <v>2290</v>
      </c>
      <c r="AK9" s="176">
        <v>0</v>
      </c>
      <c r="AL9" s="176">
        <v>0</v>
      </c>
      <c r="AM9" s="176">
        <v>0</v>
      </c>
      <c r="AN9" s="176">
        <v>0</v>
      </c>
      <c r="AO9" s="176">
        <v>0</v>
      </c>
      <c r="AP9" s="176" t="s">
        <v>576</v>
      </c>
      <c r="AQ9" s="176">
        <v>0</v>
      </c>
      <c r="AR9" s="176">
        <v>0</v>
      </c>
      <c r="AS9" s="176">
        <v>0</v>
      </c>
      <c r="AT9" s="176">
        <v>0</v>
      </c>
      <c r="AU9" s="176">
        <v>0</v>
      </c>
      <c r="AV9" s="176"/>
      <c r="AW9" s="176">
        <v>0</v>
      </c>
      <c r="AX9" s="176">
        <v>0</v>
      </c>
      <c r="AY9" s="176">
        <v>0</v>
      </c>
      <c r="AZ9" s="176" t="s">
        <v>13</v>
      </c>
      <c r="BA9" s="176" t="s">
        <v>80</v>
      </c>
      <c r="BB9" s="176" t="s">
        <v>81</v>
      </c>
      <c r="BC9" s="176" t="s">
        <v>2148</v>
      </c>
      <c r="BD9" s="176" t="s">
        <v>209</v>
      </c>
      <c r="BE9" s="176">
        <v>0</v>
      </c>
      <c r="BF9" s="176">
        <v>0</v>
      </c>
      <c r="BG9" s="176">
        <v>48</v>
      </c>
      <c r="BH9" s="211">
        <v>46120</v>
      </c>
      <c r="BI9" s="176" t="s">
        <v>2147</v>
      </c>
      <c r="BJ9" s="176" t="s">
        <v>210</v>
      </c>
      <c r="BK9" s="176"/>
      <c r="BL9" s="176">
        <v>0</v>
      </c>
      <c r="BM9" s="176">
        <v>0</v>
      </c>
      <c r="BN9" s="176">
        <v>0</v>
      </c>
      <c r="BO9" s="176">
        <v>0</v>
      </c>
      <c r="BP9" s="176">
        <v>0</v>
      </c>
      <c r="BQ9" s="176">
        <v>0</v>
      </c>
      <c r="BR9" s="176">
        <v>0</v>
      </c>
      <c r="BS9" s="396" t="s">
        <v>2290</v>
      </c>
      <c r="BT9" s="367">
        <v>46241.686805555553</v>
      </c>
      <c r="BU9" s="176">
        <v>0</v>
      </c>
    </row>
    <row r="10" spans="1:73">
      <c r="G10" s="176" t="s">
        <v>2165</v>
      </c>
      <c r="H10" s="216">
        <v>46211</v>
      </c>
      <c r="I10" s="176" t="s">
        <v>3729</v>
      </c>
      <c r="J10" s="176" t="s">
        <v>2150</v>
      </c>
      <c r="K10" s="176" t="s">
        <v>2149</v>
      </c>
      <c r="L10" s="176" t="s">
        <v>2146</v>
      </c>
      <c r="M10" s="176" t="s">
        <v>2145</v>
      </c>
      <c r="N10" s="176">
        <v>0</v>
      </c>
      <c r="O10" s="176">
        <v>143</v>
      </c>
      <c r="P10" s="176" t="s">
        <v>11</v>
      </c>
      <c r="Q10" s="176">
        <v>143</v>
      </c>
      <c r="R10" s="176">
        <v>0</v>
      </c>
      <c r="S10" s="176">
        <v>143</v>
      </c>
      <c r="T10" s="176" t="s">
        <v>2306</v>
      </c>
      <c r="U10" s="176" t="s">
        <v>252</v>
      </c>
      <c r="V10" s="176" t="s">
        <v>252</v>
      </c>
      <c r="W10" s="176" t="s">
        <v>3730</v>
      </c>
      <c r="X10" s="211">
        <v>46089</v>
      </c>
      <c r="Y10" s="176" t="s">
        <v>2144</v>
      </c>
      <c r="Z10" s="176" t="s">
        <v>2143</v>
      </c>
      <c r="AA10" s="176" t="s">
        <v>3731</v>
      </c>
      <c r="AB10" s="176">
        <v>0</v>
      </c>
      <c r="AC10" s="176">
        <v>0</v>
      </c>
      <c r="AD10" s="176" t="s">
        <v>3730</v>
      </c>
      <c r="AE10" s="211">
        <v>46089</v>
      </c>
      <c r="AF10" s="176">
        <v>0</v>
      </c>
      <c r="AG10" s="176" t="s">
        <v>2355</v>
      </c>
      <c r="AH10" s="176"/>
      <c r="AI10" s="176" t="s">
        <v>2505</v>
      </c>
      <c r="AJ10" s="176" t="s">
        <v>2290</v>
      </c>
      <c r="AK10" s="176">
        <v>0</v>
      </c>
      <c r="AL10" s="176">
        <v>0</v>
      </c>
      <c r="AM10" s="176">
        <v>0</v>
      </c>
      <c r="AN10" s="176">
        <v>0</v>
      </c>
      <c r="AO10" s="176">
        <v>0</v>
      </c>
      <c r="AP10" s="176" t="s">
        <v>576</v>
      </c>
      <c r="AQ10" s="176">
        <v>0</v>
      </c>
      <c r="AR10" s="176">
        <v>0</v>
      </c>
      <c r="AS10" s="176">
        <v>0</v>
      </c>
      <c r="AT10" s="176">
        <v>0</v>
      </c>
      <c r="AU10" s="176">
        <v>0</v>
      </c>
      <c r="AV10" s="176"/>
      <c r="AW10" s="176">
        <v>0</v>
      </c>
      <c r="AX10" s="176">
        <v>0</v>
      </c>
      <c r="AY10" s="176">
        <v>0</v>
      </c>
      <c r="AZ10" s="176" t="s">
        <v>13</v>
      </c>
      <c r="BA10" s="176" t="s">
        <v>80</v>
      </c>
      <c r="BB10" s="176" t="s">
        <v>81</v>
      </c>
      <c r="BC10" s="176" t="s">
        <v>2148</v>
      </c>
      <c r="BD10" s="176" t="s">
        <v>209</v>
      </c>
      <c r="BE10" s="176">
        <v>0</v>
      </c>
      <c r="BF10" s="176">
        <v>0</v>
      </c>
      <c r="BG10" s="176">
        <v>49</v>
      </c>
      <c r="BH10" s="211">
        <v>46120</v>
      </c>
      <c r="BI10" s="176" t="s">
        <v>2147</v>
      </c>
      <c r="BJ10" s="176" t="s">
        <v>210</v>
      </c>
      <c r="BK10" s="176"/>
      <c r="BL10" s="176">
        <v>0</v>
      </c>
      <c r="BM10" s="176">
        <v>0</v>
      </c>
      <c r="BN10" s="176">
        <v>0</v>
      </c>
      <c r="BO10" s="176">
        <v>0</v>
      </c>
      <c r="BP10" s="176">
        <v>0</v>
      </c>
      <c r="BQ10" s="176">
        <v>0</v>
      </c>
      <c r="BR10" s="176">
        <v>0</v>
      </c>
      <c r="BS10" s="396" t="s">
        <v>2290</v>
      </c>
      <c r="BT10" s="367">
        <v>46241.697916666664</v>
      </c>
      <c r="BU10" s="176">
        <v>0</v>
      </c>
    </row>
    <row r="11" spans="1:73">
      <c r="G11" s="176" t="s">
        <v>2165</v>
      </c>
      <c r="H11" s="216">
        <v>46273</v>
      </c>
      <c r="I11" s="176" t="s">
        <v>3732</v>
      </c>
      <c r="J11" s="176" t="s">
        <v>2150</v>
      </c>
      <c r="K11" s="176" t="s">
        <v>2149</v>
      </c>
      <c r="L11" s="176" t="s">
        <v>2146</v>
      </c>
      <c r="M11" s="176" t="s">
        <v>2145</v>
      </c>
      <c r="N11" s="176">
        <v>0</v>
      </c>
      <c r="O11" s="176">
        <v>122.9</v>
      </c>
      <c r="P11" s="176" t="s">
        <v>11</v>
      </c>
      <c r="Q11" s="176">
        <v>122.9</v>
      </c>
      <c r="R11" s="176">
        <v>0</v>
      </c>
      <c r="S11" s="176">
        <v>122.9</v>
      </c>
      <c r="T11" s="176" t="s">
        <v>2306</v>
      </c>
      <c r="U11" s="176" t="s">
        <v>252</v>
      </c>
      <c r="V11" s="176" t="s">
        <v>252</v>
      </c>
      <c r="W11" s="176" t="s">
        <v>3733</v>
      </c>
      <c r="X11" s="211">
        <v>46211</v>
      </c>
      <c r="Y11" s="176" t="s">
        <v>2144</v>
      </c>
      <c r="Z11" s="176" t="s">
        <v>2143</v>
      </c>
      <c r="AA11" s="176" t="s">
        <v>3734</v>
      </c>
      <c r="AB11" s="176">
        <v>0</v>
      </c>
      <c r="AC11" s="176">
        <v>0</v>
      </c>
      <c r="AD11" s="176" t="s">
        <v>3733</v>
      </c>
      <c r="AE11" s="211">
        <v>46211</v>
      </c>
      <c r="AF11" s="176">
        <v>0</v>
      </c>
      <c r="AG11" s="176" t="s">
        <v>2355</v>
      </c>
      <c r="AH11" s="176"/>
      <c r="AI11" s="176" t="s">
        <v>2505</v>
      </c>
      <c r="AJ11" s="176" t="s">
        <v>2290</v>
      </c>
      <c r="AK11" s="176">
        <v>0</v>
      </c>
      <c r="AL11" s="176">
        <v>0</v>
      </c>
      <c r="AM11" s="176">
        <v>0</v>
      </c>
      <c r="AN11" s="176">
        <v>0</v>
      </c>
      <c r="AO11" s="176">
        <v>0</v>
      </c>
      <c r="AP11" s="176" t="s">
        <v>576</v>
      </c>
      <c r="AQ11" s="176">
        <v>0</v>
      </c>
      <c r="AR11" s="176">
        <v>0</v>
      </c>
      <c r="AS11" s="176">
        <v>0</v>
      </c>
      <c r="AT11" s="176">
        <v>0</v>
      </c>
      <c r="AU11" s="176">
        <v>0</v>
      </c>
      <c r="AV11" s="176"/>
      <c r="AW11" s="176">
        <v>0</v>
      </c>
      <c r="AX11" s="176">
        <v>0</v>
      </c>
      <c r="AY11" s="176">
        <v>0</v>
      </c>
      <c r="AZ11" s="176" t="s">
        <v>13</v>
      </c>
      <c r="BA11" s="176" t="s">
        <v>80</v>
      </c>
      <c r="BB11" s="176" t="s">
        <v>81</v>
      </c>
      <c r="BC11" s="176" t="s">
        <v>2148</v>
      </c>
      <c r="BD11" s="176" t="s">
        <v>209</v>
      </c>
      <c r="BE11" s="176">
        <v>0</v>
      </c>
      <c r="BF11" s="176">
        <v>0</v>
      </c>
      <c r="BG11" s="176">
        <v>50</v>
      </c>
      <c r="BH11" s="211">
        <v>46242</v>
      </c>
      <c r="BI11" s="176" t="s">
        <v>2147</v>
      </c>
      <c r="BJ11" s="176" t="s">
        <v>210</v>
      </c>
      <c r="BK11" s="176"/>
      <c r="BL11" s="176">
        <v>0</v>
      </c>
      <c r="BM11" s="176">
        <v>0</v>
      </c>
      <c r="BN11" s="176">
        <v>0</v>
      </c>
      <c r="BO11" s="176">
        <v>0</v>
      </c>
      <c r="BP11" s="176">
        <v>0</v>
      </c>
      <c r="BQ11" s="176">
        <v>0</v>
      </c>
      <c r="BR11" s="176">
        <v>0</v>
      </c>
      <c r="BS11" s="396" t="s">
        <v>2290</v>
      </c>
      <c r="BT11" s="367">
        <v>46243.625694444447</v>
      </c>
      <c r="BU11" s="176">
        <v>122.9</v>
      </c>
    </row>
    <row r="12" spans="1:73">
      <c r="G12" s="176" t="s">
        <v>2165</v>
      </c>
      <c r="H12" s="216">
        <v>46273</v>
      </c>
      <c r="I12" s="176" t="s">
        <v>3735</v>
      </c>
      <c r="J12" s="176" t="s">
        <v>2150</v>
      </c>
      <c r="K12" s="176" t="s">
        <v>2149</v>
      </c>
      <c r="L12" s="176" t="s">
        <v>2146</v>
      </c>
      <c r="M12" s="176" t="s">
        <v>2145</v>
      </c>
      <c r="N12" s="176">
        <v>0</v>
      </c>
      <c r="O12" s="176">
        <v>57</v>
      </c>
      <c r="P12" s="176" t="s">
        <v>11</v>
      </c>
      <c r="Q12" s="176">
        <v>57</v>
      </c>
      <c r="R12" s="176">
        <v>0</v>
      </c>
      <c r="S12" s="176">
        <v>57</v>
      </c>
      <c r="T12" s="176" t="s">
        <v>2306</v>
      </c>
      <c r="U12" s="176" t="s">
        <v>252</v>
      </c>
      <c r="V12" s="176" t="s">
        <v>252</v>
      </c>
      <c r="W12" s="176" t="s">
        <v>3736</v>
      </c>
      <c r="X12" s="211">
        <v>46242</v>
      </c>
      <c r="Y12" s="176" t="s">
        <v>2144</v>
      </c>
      <c r="Z12" s="176" t="s">
        <v>2143</v>
      </c>
      <c r="AA12" s="176" t="s">
        <v>3737</v>
      </c>
      <c r="AB12" s="176">
        <v>0</v>
      </c>
      <c r="AC12" s="176">
        <v>0</v>
      </c>
      <c r="AD12" s="176" t="s">
        <v>3738</v>
      </c>
      <c r="AE12" s="211">
        <v>46242</v>
      </c>
      <c r="AF12" s="176">
        <v>0</v>
      </c>
      <c r="AG12" s="176" t="s">
        <v>2355</v>
      </c>
      <c r="AH12" s="176"/>
      <c r="AI12" s="176" t="s">
        <v>2505</v>
      </c>
      <c r="AJ12" s="176" t="s">
        <v>2290</v>
      </c>
      <c r="AK12" s="176">
        <v>0</v>
      </c>
      <c r="AL12" s="176">
        <v>0</v>
      </c>
      <c r="AM12" s="176">
        <v>0</v>
      </c>
      <c r="AN12" s="176">
        <v>0</v>
      </c>
      <c r="AO12" s="176">
        <v>0</v>
      </c>
      <c r="AP12" s="176" t="s">
        <v>576</v>
      </c>
      <c r="AQ12" s="176">
        <v>0</v>
      </c>
      <c r="AR12" s="176">
        <v>0</v>
      </c>
      <c r="AS12" s="176">
        <v>0</v>
      </c>
      <c r="AT12" s="176">
        <v>0</v>
      </c>
      <c r="AU12" s="176">
        <v>0</v>
      </c>
      <c r="AV12" s="176"/>
      <c r="AW12" s="176">
        <v>0</v>
      </c>
      <c r="AX12" s="176">
        <v>0</v>
      </c>
      <c r="AY12" s="176">
        <v>0</v>
      </c>
      <c r="AZ12" s="176" t="s">
        <v>13</v>
      </c>
      <c r="BA12" s="176" t="s">
        <v>80</v>
      </c>
      <c r="BB12" s="176" t="s">
        <v>81</v>
      </c>
      <c r="BC12" s="176" t="s">
        <v>2148</v>
      </c>
      <c r="BD12" s="176" t="s">
        <v>209</v>
      </c>
      <c r="BE12" s="176">
        <v>0</v>
      </c>
      <c r="BF12" s="176">
        <v>0</v>
      </c>
      <c r="BG12" s="176">
        <v>51</v>
      </c>
      <c r="BH12" s="211">
        <v>46242</v>
      </c>
      <c r="BI12" s="176" t="s">
        <v>2147</v>
      </c>
      <c r="BJ12" s="176" t="s">
        <v>210</v>
      </c>
      <c r="BK12" s="176"/>
      <c r="BL12" s="176">
        <v>0</v>
      </c>
      <c r="BM12" s="176">
        <v>0</v>
      </c>
      <c r="BN12" s="176">
        <v>0</v>
      </c>
      <c r="BO12" s="176">
        <v>0</v>
      </c>
      <c r="BP12" s="176">
        <v>0</v>
      </c>
      <c r="BQ12" s="176">
        <v>0</v>
      </c>
      <c r="BR12" s="176">
        <v>0</v>
      </c>
      <c r="BS12" s="396" t="s">
        <v>2290</v>
      </c>
      <c r="BT12" s="367">
        <v>46243.634027777778</v>
      </c>
      <c r="BU12" s="176">
        <v>57</v>
      </c>
    </row>
    <row r="13" spans="1:73">
      <c r="G13" s="176" t="s">
        <v>2165</v>
      </c>
      <c r="H13" s="216" t="s">
        <v>2939</v>
      </c>
      <c r="I13" s="176" t="s">
        <v>3739</v>
      </c>
      <c r="J13" s="176" t="s">
        <v>2150</v>
      </c>
      <c r="K13" s="176" t="s">
        <v>2149</v>
      </c>
      <c r="L13" s="176" t="s">
        <v>2146</v>
      </c>
      <c r="M13" s="176" t="s">
        <v>2145</v>
      </c>
      <c r="N13" s="176">
        <v>0</v>
      </c>
      <c r="O13" s="176">
        <v>109</v>
      </c>
      <c r="P13" s="176" t="s">
        <v>11</v>
      </c>
      <c r="Q13" s="176">
        <v>109</v>
      </c>
      <c r="R13" s="176">
        <v>0</v>
      </c>
      <c r="S13" s="176">
        <v>109</v>
      </c>
      <c r="T13" s="176" t="s">
        <v>2306</v>
      </c>
      <c r="U13" s="176" t="s">
        <v>252</v>
      </c>
      <c r="V13" s="176" t="s">
        <v>252</v>
      </c>
      <c r="W13" s="176" t="s">
        <v>3740</v>
      </c>
      <c r="X13" s="211">
        <v>46273</v>
      </c>
      <c r="Y13" s="176" t="s">
        <v>2144</v>
      </c>
      <c r="Z13" s="176" t="s">
        <v>2143</v>
      </c>
      <c r="AA13" s="176" t="s">
        <v>1524</v>
      </c>
      <c r="AB13" s="176">
        <v>0</v>
      </c>
      <c r="AC13" s="176">
        <v>0</v>
      </c>
      <c r="AD13" s="176" t="s">
        <v>3740</v>
      </c>
      <c r="AE13" s="211">
        <v>46273</v>
      </c>
      <c r="AF13" s="176">
        <v>0</v>
      </c>
      <c r="AG13" s="176" t="s">
        <v>2355</v>
      </c>
      <c r="AH13" s="176"/>
      <c r="AI13" s="176" t="s">
        <v>213</v>
      </c>
      <c r="AJ13" s="176" t="s">
        <v>212</v>
      </c>
      <c r="AK13" s="176">
        <v>0</v>
      </c>
      <c r="AL13" s="176">
        <v>0</v>
      </c>
      <c r="AM13" s="176">
        <v>0</v>
      </c>
      <c r="AN13" s="176">
        <v>0</v>
      </c>
      <c r="AO13" s="176">
        <v>0</v>
      </c>
      <c r="AP13" s="176" t="s">
        <v>576</v>
      </c>
      <c r="AQ13" s="176">
        <v>0</v>
      </c>
      <c r="AR13" s="176">
        <v>0</v>
      </c>
      <c r="AS13" s="176">
        <v>0</v>
      </c>
      <c r="AT13" s="176">
        <v>0</v>
      </c>
      <c r="AU13" s="176">
        <v>0</v>
      </c>
      <c r="AV13" s="176"/>
      <c r="AW13" s="176">
        <v>0</v>
      </c>
      <c r="AX13" s="176">
        <v>0</v>
      </c>
      <c r="AY13" s="176">
        <v>0</v>
      </c>
      <c r="AZ13" s="176" t="s">
        <v>13</v>
      </c>
      <c r="BA13" s="176" t="s">
        <v>80</v>
      </c>
      <c r="BB13" s="176" t="s">
        <v>81</v>
      </c>
      <c r="BC13" s="176" t="s">
        <v>2148</v>
      </c>
      <c r="BD13" s="176" t="s">
        <v>209</v>
      </c>
      <c r="BE13" s="176">
        <v>0</v>
      </c>
      <c r="BF13" s="176">
        <v>0</v>
      </c>
      <c r="BG13" s="176" t="s">
        <v>3741</v>
      </c>
      <c r="BH13" s="211">
        <v>46334</v>
      </c>
      <c r="BI13" s="176" t="s">
        <v>2147</v>
      </c>
      <c r="BJ13" s="176" t="s">
        <v>210</v>
      </c>
      <c r="BK13" s="176"/>
      <c r="BL13" s="176">
        <v>0</v>
      </c>
      <c r="BM13" s="176">
        <v>0</v>
      </c>
      <c r="BN13" s="176">
        <v>0</v>
      </c>
      <c r="BO13" s="176">
        <v>0</v>
      </c>
      <c r="BP13" s="176">
        <v>0</v>
      </c>
      <c r="BQ13" s="176">
        <v>0</v>
      </c>
      <c r="BR13" s="176">
        <v>0</v>
      </c>
      <c r="BS13" s="396" t="s">
        <v>212</v>
      </c>
      <c r="BT13" s="367">
        <v>46252.513888888891</v>
      </c>
      <c r="BU13" s="176">
        <v>109</v>
      </c>
    </row>
    <row r="14" spans="1:73">
      <c r="G14" s="176" t="s">
        <v>2165</v>
      </c>
      <c r="H14" s="216" t="s">
        <v>3233</v>
      </c>
      <c r="I14" s="176" t="s">
        <v>3742</v>
      </c>
      <c r="J14" s="176" t="s">
        <v>2150</v>
      </c>
      <c r="K14" s="176" t="s">
        <v>2149</v>
      </c>
      <c r="L14" s="176" t="s">
        <v>2146</v>
      </c>
      <c r="M14" s="176" t="s">
        <v>2145</v>
      </c>
      <c r="N14" s="176">
        <v>0</v>
      </c>
      <c r="O14" s="176">
        <v>121</v>
      </c>
      <c r="P14" s="176" t="s">
        <v>11</v>
      </c>
      <c r="Q14" s="176">
        <v>121</v>
      </c>
      <c r="R14" s="176">
        <v>0</v>
      </c>
      <c r="S14" s="176">
        <v>121</v>
      </c>
      <c r="T14" s="176" t="s">
        <v>2306</v>
      </c>
      <c r="U14" s="176" t="s">
        <v>252</v>
      </c>
      <c r="V14" s="176" t="s">
        <v>252</v>
      </c>
      <c r="W14" s="176" t="s">
        <v>3743</v>
      </c>
      <c r="X14" s="211">
        <v>46303</v>
      </c>
      <c r="Y14" s="176" t="s">
        <v>2144</v>
      </c>
      <c r="Z14" s="176" t="s">
        <v>2143</v>
      </c>
      <c r="AA14" s="176" t="s">
        <v>3744</v>
      </c>
      <c r="AB14" s="176">
        <v>0</v>
      </c>
      <c r="AC14" s="176">
        <v>0</v>
      </c>
      <c r="AD14" s="176" t="s">
        <v>3743</v>
      </c>
      <c r="AE14" s="211">
        <v>46303</v>
      </c>
      <c r="AF14" s="176">
        <v>0</v>
      </c>
      <c r="AG14" s="176" t="s">
        <v>2355</v>
      </c>
      <c r="AH14" s="176"/>
      <c r="AI14" s="176" t="s">
        <v>213</v>
      </c>
      <c r="AJ14" s="176">
        <v>0</v>
      </c>
      <c r="AK14" s="176">
        <v>0</v>
      </c>
      <c r="AL14" s="176">
        <v>0</v>
      </c>
      <c r="AM14" s="176">
        <v>0</v>
      </c>
      <c r="AN14" s="176">
        <v>0</v>
      </c>
      <c r="AO14" s="176">
        <v>0</v>
      </c>
      <c r="AP14" s="176" t="s">
        <v>576</v>
      </c>
      <c r="AQ14" s="176">
        <v>0</v>
      </c>
      <c r="AR14" s="176">
        <v>0</v>
      </c>
      <c r="AS14" s="176">
        <v>0</v>
      </c>
      <c r="AT14" s="176">
        <v>0</v>
      </c>
      <c r="AU14" s="176">
        <v>0</v>
      </c>
      <c r="AV14" s="176"/>
      <c r="AW14" s="176">
        <v>0</v>
      </c>
      <c r="AX14" s="176">
        <v>0</v>
      </c>
      <c r="AY14" s="176">
        <v>0</v>
      </c>
      <c r="AZ14" s="176" t="s">
        <v>13</v>
      </c>
      <c r="BA14" s="176" t="s">
        <v>80</v>
      </c>
      <c r="BB14" s="176" t="s">
        <v>81</v>
      </c>
      <c r="BC14" s="176" t="s">
        <v>2148</v>
      </c>
      <c r="BD14" s="176" t="s">
        <v>209</v>
      </c>
      <c r="BE14" s="176">
        <v>0</v>
      </c>
      <c r="BF14" s="176">
        <v>0</v>
      </c>
      <c r="BG14" s="176" t="s">
        <v>3745</v>
      </c>
      <c r="BH14" s="211">
        <v>46334</v>
      </c>
      <c r="BI14" s="176" t="s">
        <v>2147</v>
      </c>
      <c r="BJ14" s="176" t="s">
        <v>210</v>
      </c>
      <c r="BK14" s="176"/>
      <c r="BL14" s="176">
        <v>0</v>
      </c>
      <c r="BM14" s="176">
        <v>0</v>
      </c>
      <c r="BN14" s="176">
        <v>0</v>
      </c>
      <c r="BO14" s="176">
        <v>0</v>
      </c>
      <c r="BP14" s="176">
        <v>0</v>
      </c>
      <c r="BQ14" s="176">
        <v>0</v>
      </c>
      <c r="BR14" s="176">
        <v>0</v>
      </c>
      <c r="BS14" s="396" t="s">
        <v>212</v>
      </c>
      <c r="BT14" s="367">
        <v>46267.479861111111</v>
      </c>
      <c r="BU14" s="176">
        <v>121</v>
      </c>
    </row>
    <row r="15" spans="1:73">
      <c r="G15" s="176" t="s">
        <v>2165</v>
      </c>
      <c r="H15" s="216" t="s">
        <v>3233</v>
      </c>
      <c r="I15" s="176" t="s">
        <v>3746</v>
      </c>
      <c r="J15" s="176" t="s">
        <v>2150</v>
      </c>
      <c r="K15" s="176" t="s">
        <v>2149</v>
      </c>
      <c r="L15" s="176" t="s">
        <v>2146</v>
      </c>
      <c r="M15" s="176" t="s">
        <v>2145</v>
      </c>
      <c r="N15" s="176">
        <v>0</v>
      </c>
      <c r="O15" s="176">
        <v>105</v>
      </c>
      <c r="P15" s="176" t="s">
        <v>11</v>
      </c>
      <c r="Q15" s="176">
        <v>105</v>
      </c>
      <c r="R15" s="176">
        <v>0</v>
      </c>
      <c r="S15" s="176">
        <v>105</v>
      </c>
      <c r="T15" s="176" t="s">
        <v>2306</v>
      </c>
      <c r="U15" s="176" t="s">
        <v>252</v>
      </c>
      <c r="V15" s="176" t="s">
        <v>252</v>
      </c>
      <c r="W15" s="176" t="s">
        <v>3747</v>
      </c>
      <c r="X15" s="211">
        <v>46334</v>
      </c>
      <c r="Y15" s="176" t="s">
        <v>2144</v>
      </c>
      <c r="Z15" s="176" t="s">
        <v>2143</v>
      </c>
      <c r="AA15" s="176" t="s">
        <v>3748</v>
      </c>
      <c r="AB15" s="176">
        <v>0</v>
      </c>
      <c r="AC15" s="176">
        <v>0</v>
      </c>
      <c r="AD15" s="176" t="s">
        <v>3747</v>
      </c>
      <c r="AE15" s="211">
        <v>46334</v>
      </c>
      <c r="AF15" s="176">
        <v>0</v>
      </c>
      <c r="AG15" s="176" t="s">
        <v>2355</v>
      </c>
      <c r="AH15" s="176"/>
      <c r="AI15" s="176" t="s">
        <v>213</v>
      </c>
      <c r="AJ15" s="176" t="s">
        <v>212</v>
      </c>
      <c r="AK15" s="176">
        <v>0</v>
      </c>
      <c r="AL15" s="176">
        <v>0</v>
      </c>
      <c r="AM15" s="176">
        <v>0</v>
      </c>
      <c r="AN15" s="176">
        <v>0</v>
      </c>
      <c r="AO15" s="176">
        <v>0</v>
      </c>
      <c r="AP15" s="176" t="s">
        <v>576</v>
      </c>
      <c r="AQ15" s="176">
        <v>0</v>
      </c>
      <c r="AR15" s="176">
        <v>0</v>
      </c>
      <c r="AS15" s="176">
        <v>0</v>
      </c>
      <c r="AT15" s="176">
        <v>0</v>
      </c>
      <c r="AU15" s="176">
        <v>0</v>
      </c>
      <c r="AV15" s="176"/>
      <c r="AW15" s="176">
        <v>0</v>
      </c>
      <c r="AX15" s="176">
        <v>0</v>
      </c>
      <c r="AY15" s="176">
        <v>0</v>
      </c>
      <c r="AZ15" s="176" t="s">
        <v>13</v>
      </c>
      <c r="BA15" s="176" t="s">
        <v>80</v>
      </c>
      <c r="BB15" s="176" t="s">
        <v>81</v>
      </c>
      <c r="BC15" s="176" t="s">
        <v>2148</v>
      </c>
      <c r="BD15" s="176" t="s">
        <v>209</v>
      </c>
      <c r="BE15" s="176">
        <v>0</v>
      </c>
      <c r="BF15" s="176">
        <v>0</v>
      </c>
      <c r="BG15" s="176" t="s">
        <v>3749</v>
      </c>
      <c r="BH15" s="211">
        <v>46334</v>
      </c>
      <c r="BI15" s="176" t="s">
        <v>2147</v>
      </c>
      <c r="BJ15" s="176" t="s">
        <v>210</v>
      </c>
      <c r="BK15" s="176"/>
      <c r="BL15" s="176">
        <v>0</v>
      </c>
      <c r="BM15" s="176">
        <v>0</v>
      </c>
      <c r="BN15" s="176">
        <v>0</v>
      </c>
      <c r="BO15" s="176">
        <v>0</v>
      </c>
      <c r="BP15" s="176">
        <v>0</v>
      </c>
      <c r="BQ15" s="176">
        <v>0</v>
      </c>
      <c r="BR15" s="176">
        <v>0</v>
      </c>
      <c r="BS15" s="396" t="s">
        <v>212</v>
      </c>
      <c r="BT15" s="367">
        <v>46265.491666666669</v>
      </c>
      <c r="BU15" s="176">
        <v>105</v>
      </c>
    </row>
    <row r="16" spans="1:73">
      <c r="G16" s="176" t="s">
        <v>2165</v>
      </c>
      <c r="H16" s="216" t="s">
        <v>3233</v>
      </c>
      <c r="I16" s="176" t="s">
        <v>3750</v>
      </c>
      <c r="J16" s="176" t="s">
        <v>2150</v>
      </c>
      <c r="K16" s="176" t="s">
        <v>2149</v>
      </c>
      <c r="L16" s="176" t="s">
        <v>2146</v>
      </c>
      <c r="M16" s="176" t="s">
        <v>2145</v>
      </c>
      <c r="N16" s="176">
        <v>0</v>
      </c>
      <c r="O16" s="176">
        <v>133</v>
      </c>
      <c r="P16" s="176" t="s">
        <v>11</v>
      </c>
      <c r="Q16" s="176">
        <v>133</v>
      </c>
      <c r="R16" s="176">
        <v>0</v>
      </c>
      <c r="S16" s="176">
        <v>133</v>
      </c>
      <c r="T16" s="176" t="s">
        <v>2306</v>
      </c>
      <c r="U16" s="176" t="s">
        <v>252</v>
      </c>
      <c r="V16" s="176" t="s">
        <v>252</v>
      </c>
      <c r="W16" s="176" t="s">
        <v>3751</v>
      </c>
      <c r="X16" s="211" t="s">
        <v>2847</v>
      </c>
      <c r="Y16" s="176" t="s">
        <v>2144</v>
      </c>
      <c r="Z16" s="176" t="s">
        <v>2143</v>
      </c>
      <c r="AA16" s="176" t="s">
        <v>3752</v>
      </c>
      <c r="AB16" s="176">
        <v>0</v>
      </c>
      <c r="AC16" s="176">
        <v>0</v>
      </c>
      <c r="AD16" s="176" t="s">
        <v>3751</v>
      </c>
      <c r="AE16" s="211" t="s">
        <v>2847</v>
      </c>
      <c r="AF16" s="176">
        <v>0</v>
      </c>
      <c r="AG16" s="176" t="s">
        <v>2355</v>
      </c>
      <c r="AH16" s="176"/>
      <c r="AI16" s="176" t="s">
        <v>213</v>
      </c>
      <c r="AJ16" s="176" t="s">
        <v>212</v>
      </c>
      <c r="AK16" s="176">
        <v>0</v>
      </c>
      <c r="AL16" s="176">
        <v>0</v>
      </c>
      <c r="AM16" s="176">
        <v>0</v>
      </c>
      <c r="AN16" s="176">
        <v>0</v>
      </c>
      <c r="AO16" s="176">
        <v>0</v>
      </c>
      <c r="AP16" s="176" t="s">
        <v>576</v>
      </c>
      <c r="AQ16" s="176">
        <v>0</v>
      </c>
      <c r="AR16" s="176">
        <v>0</v>
      </c>
      <c r="AS16" s="176">
        <v>0</v>
      </c>
      <c r="AT16" s="176">
        <v>0</v>
      </c>
      <c r="AU16" s="176">
        <v>0</v>
      </c>
      <c r="AV16" s="176"/>
      <c r="AW16" s="176">
        <v>0</v>
      </c>
      <c r="AX16" s="176">
        <v>0</v>
      </c>
      <c r="AY16" s="176">
        <v>0</v>
      </c>
      <c r="AZ16" s="176" t="s">
        <v>13</v>
      </c>
      <c r="BA16" s="176" t="s">
        <v>80</v>
      </c>
      <c r="BB16" s="176" t="s">
        <v>81</v>
      </c>
      <c r="BC16" s="176" t="s">
        <v>2148</v>
      </c>
      <c r="BD16" s="176" t="s">
        <v>209</v>
      </c>
      <c r="BE16" s="176">
        <v>0</v>
      </c>
      <c r="BF16" s="176">
        <v>0</v>
      </c>
      <c r="BG16" s="176" t="s">
        <v>3753</v>
      </c>
      <c r="BH16" s="211" t="s">
        <v>3233</v>
      </c>
      <c r="BI16" s="176" t="s">
        <v>2147</v>
      </c>
      <c r="BJ16" s="176" t="s">
        <v>210</v>
      </c>
      <c r="BK16" s="176"/>
      <c r="BL16" s="176">
        <v>0</v>
      </c>
      <c r="BM16" s="176">
        <v>0</v>
      </c>
      <c r="BN16" s="176">
        <v>0</v>
      </c>
      <c r="BO16" s="176">
        <v>0</v>
      </c>
      <c r="BP16" s="176">
        <v>0</v>
      </c>
      <c r="BQ16" s="176">
        <v>0</v>
      </c>
      <c r="BR16" s="176">
        <v>0</v>
      </c>
      <c r="BS16" s="396" t="s">
        <v>212</v>
      </c>
      <c r="BT16" s="367">
        <v>46265</v>
      </c>
      <c r="BU16" s="176">
        <v>133</v>
      </c>
    </row>
    <row r="17" spans="7:73">
      <c r="G17" s="176" t="s">
        <v>2165</v>
      </c>
      <c r="H17" s="216" t="s">
        <v>3233</v>
      </c>
      <c r="I17" s="176" t="s">
        <v>3754</v>
      </c>
      <c r="J17" s="176" t="s">
        <v>2150</v>
      </c>
      <c r="K17" s="176" t="s">
        <v>2149</v>
      </c>
      <c r="L17" s="176" t="s">
        <v>2146</v>
      </c>
      <c r="M17" s="176" t="s">
        <v>2145</v>
      </c>
      <c r="N17" s="176">
        <v>0</v>
      </c>
      <c r="O17" s="176">
        <v>86</v>
      </c>
      <c r="P17" s="176" t="s">
        <v>11</v>
      </c>
      <c r="Q17" s="176">
        <v>86</v>
      </c>
      <c r="R17" s="176">
        <v>0</v>
      </c>
      <c r="S17" s="176">
        <v>86</v>
      </c>
      <c r="T17" s="176" t="s">
        <v>2306</v>
      </c>
      <c r="U17" s="176" t="s">
        <v>252</v>
      </c>
      <c r="V17" s="176" t="s">
        <v>252</v>
      </c>
      <c r="W17" s="176" t="s">
        <v>3755</v>
      </c>
      <c r="X17" s="211" t="s">
        <v>2858</v>
      </c>
      <c r="Y17" s="176" t="s">
        <v>2144</v>
      </c>
      <c r="Z17" s="176" t="s">
        <v>2143</v>
      </c>
      <c r="AA17" s="176" t="s">
        <v>3756</v>
      </c>
      <c r="AB17" s="176">
        <v>0</v>
      </c>
      <c r="AC17" s="176">
        <v>0</v>
      </c>
      <c r="AD17" s="176" t="s">
        <v>3755</v>
      </c>
      <c r="AE17" s="211" t="s">
        <v>2858</v>
      </c>
      <c r="AF17" s="176">
        <v>0</v>
      </c>
      <c r="AG17" s="176" t="s">
        <v>2355</v>
      </c>
      <c r="AH17" s="176"/>
      <c r="AI17" s="176" t="s">
        <v>213</v>
      </c>
      <c r="AJ17" s="176" t="s">
        <v>212</v>
      </c>
      <c r="AK17" s="176">
        <v>0</v>
      </c>
      <c r="AL17" s="176">
        <v>0</v>
      </c>
      <c r="AM17" s="176">
        <v>0</v>
      </c>
      <c r="AN17" s="176">
        <v>0</v>
      </c>
      <c r="AO17" s="176">
        <v>0</v>
      </c>
      <c r="AP17" s="176" t="s">
        <v>576</v>
      </c>
      <c r="AQ17" s="176">
        <v>0</v>
      </c>
      <c r="AR17" s="176">
        <v>0</v>
      </c>
      <c r="AS17" s="176">
        <v>0</v>
      </c>
      <c r="AT17" s="176">
        <v>0</v>
      </c>
      <c r="AU17" s="176">
        <v>0</v>
      </c>
      <c r="AV17" s="176"/>
      <c r="AW17" s="176">
        <v>0</v>
      </c>
      <c r="AX17" s="176">
        <v>0</v>
      </c>
      <c r="AY17" s="176">
        <v>0</v>
      </c>
      <c r="AZ17" s="176" t="s">
        <v>13</v>
      </c>
      <c r="BA17" s="176" t="s">
        <v>80</v>
      </c>
      <c r="BB17" s="176" t="s">
        <v>81</v>
      </c>
      <c r="BC17" s="176" t="s">
        <v>2148</v>
      </c>
      <c r="BD17" s="176" t="s">
        <v>209</v>
      </c>
      <c r="BE17" s="176">
        <v>0</v>
      </c>
      <c r="BF17" s="176">
        <v>0</v>
      </c>
      <c r="BG17" s="176" t="s">
        <v>3757</v>
      </c>
      <c r="BH17" s="211" t="s">
        <v>3233</v>
      </c>
      <c r="BI17" s="176" t="s">
        <v>2147</v>
      </c>
      <c r="BJ17" s="176" t="s">
        <v>210</v>
      </c>
      <c r="BK17" s="176"/>
      <c r="BL17" s="176">
        <v>0</v>
      </c>
      <c r="BM17" s="176">
        <v>0</v>
      </c>
      <c r="BN17" s="176">
        <v>0</v>
      </c>
      <c r="BO17" s="176">
        <v>0</v>
      </c>
      <c r="BP17" s="176">
        <v>0</v>
      </c>
      <c r="BQ17" s="176">
        <v>0</v>
      </c>
      <c r="BR17" s="176">
        <v>0</v>
      </c>
      <c r="BS17" s="396" t="s">
        <v>212</v>
      </c>
      <c r="BT17" s="367">
        <v>46265</v>
      </c>
      <c r="BU17" s="176">
        <v>86</v>
      </c>
    </row>
    <row r="18" spans="7:73">
      <c r="G18" s="123" t="s">
        <v>2165</v>
      </c>
      <c r="H18" s="177" t="s">
        <v>3233</v>
      </c>
      <c r="I18" s="123" t="s">
        <v>3758</v>
      </c>
      <c r="J18" s="123" t="s">
        <v>2150</v>
      </c>
      <c r="K18" s="123" t="s">
        <v>2149</v>
      </c>
      <c r="L18" s="123" t="s">
        <v>2146</v>
      </c>
      <c r="M18" s="123" t="s">
        <v>2145</v>
      </c>
      <c r="N18" s="123">
        <v>0</v>
      </c>
      <c r="O18" s="123">
        <v>14</v>
      </c>
      <c r="P18" s="123" t="s">
        <v>11</v>
      </c>
      <c r="Q18" s="123">
        <v>14</v>
      </c>
      <c r="R18" s="123">
        <v>0</v>
      </c>
      <c r="S18" s="123">
        <v>14</v>
      </c>
      <c r="T18" s="123" t="s">
        <v>2306</v>
      </c>
      <c r="U18" s="123" t="s">
        <v>252</v>
      </c>
      <c r="V18" s="123" t="s">
        <v>252</v>
      </c>
      <c r="W18" s="123" t="s">
        <v>3759</v>
      </c>
      <c r="X18" s="123" t="s">
        <v>2939</v>
      </c>
      <c r="Y18" s="123" t="s">
        <v>2144</v>
      </c>
      <c r="Z18" s="123" t="s">
        <v>2143</v>
      </c>
      <c r="AA18" s="123" t="s">
        <v>3760</v>
      </c>
      <c r="AB18" s="123">
        <v>0</v>
      </c>
      <c r="AC18" s="123">
        <v>0</v>
      </c>
      <c r="AD18" s="123" t="s">
        <v>3759</v>
      </c>
      <c r="AE18" s="123" t="s">
        <v>2939</v>
      </c>
      <c r="AF18" s="123">
        <v>0</v>
      </c>
      <c r="AG18" s="123" t="s">
        <v>2355</v>
      </c>
      <c r="AH18" s="123"/>
      <c r="AI18" s="123" t="s">
        <v>213</v>
      </c>
      <c r="AJ18" s="123" t="s">
        <v>212</v>
      </c>
      <c r="AK18" s="123">
        <v>0</v>
      </c>
      <c r="AL18" s="123">
        <v>0</v>
      </c>
      <c r="AM18" s="123">
        <v>0</v>
      </c>
      <c r="AN18" s="123">
        <v>0</v>
      </c>
      <c r="AO18" s="123">
        <v>0</v>
      </c>
      <c r="AP18" s="123" t="s">
        <v>576</v>
      </c>
      <c r="AQ18" s="123">
        <v>0</v>
      </c>
      <c r="AR18" s="123">
        <v>0</v>
      </c>
      <c r="AS18" s="123">
        <v>0</v>
      </c>
      <c r="AT18" s="123">
        <v>0</v>
      </c>
      <c r="AU18" s="123">
        <v>0</v>
      </c>
      <c r="AV18" s="123"/>
      <c r="AW18" s="123">
        <v>0</v>
      </c>
      <c r="AX18" s="123">
        <v>0</v>
      </c>
      <c r="AY18" s="123">
        <v>0</v>
      </c>
      <c r="AZ18" s="123" t="s">
        <v>13</v>
      </c>
      <c r="BA18" s="123" t="s">
        <v>80</v>
      </c>
      <c r="BB18" s="123" t="s">
        <v>81</v>
      </c>
      <c r="BC18" s="123" t="s">
        <v>2148</v>
      </c>
      <c r="BD18" s="123" t="s">
        <v>209</v>
      </c>
      <c r="BE18" s="123">
        <v>0</v>
      </c>
      <c r="BF18" s="123">
        <v>0</v>
      </c>
      <c r="BG18" s="123" t="s">
        <v>3761</v>
      </c>
      <c r="BH18" s="123" t="s">
        <v>3039</v>
      </c>
      <c r="BI18" s="123" t="s">
        <v>2147</v>
      </c>
      <c r="BJ18" s="123" t="s">
        <v>210</v>
      </c>
      <c r="BK18" s="123"/>
      <c r="BL18" s="123">
        <v>0</v>
      </c>
      <c r="BM18" s="123">
        <v>0</v>
      </c>
      <c r="BN18" s="123">
        <v>0</v>
      </c>
      <c r="BO18" s="123">
        <v>0</v>
      </c>
      <c r="BP18" s="123">
        <v>0</v>
      </c>
      <c r="BQ18" s="123">
        <v>0</v>
      </c>
      <c r="BR18" s="123">
        <v>0</v>
      </c>
      <c r="BS18" s="177" t="s">
        <v>212</v>
      </c>
      <c r="BT18" s="380">
        <v>46265</v>
      </c>
      <c r="BU18" s="123">
        <v>14</v>
      </c>
    </row>
    <row r="19" spans="7:73">
      <c r="G19" s="123" t="s">
        <v>2165</v>
      </c>
      <c r="H19" s="177" t="s">
        <v>3233</v>
      </c>
      <c r="I19" s="123" t="s">
        <v>3762</v>
      </c>
      <c r="J19" s="123" t="s">
        <v>2150</v>
      </c>
      <c r="K19" s="123" t="s">
        <v>2149</v>
      </c>
      <c r="L19" s="123" t="s">
        <v>2146</v>
      </c>
      <c r="M19" s="123" t="s">
        <v>2145</v>
      </c>
      <c r="N19" s="123">
        <v>0</v>
      </c>
      <c r="O19" s="123">
        <v>10</v>
      </c>
      <c r="P19" s="123" t="s">
        <v>11</v>
      </c>
      <c r="Q19" s="123">
        <v>10</v>
      </c>
      <c r="R19" s="123">
        <v>0</v>
      </c>
      <c r="S19" s="123">
        <v>10</v>
      </c>
      <c r="T19" s="123" t="s">
        <v>2306</v>
      </c>
      <c r="U19" s="123" t="s">
        <v>252</v>
      </c>
      <c r="V19" s="123" t="s">
        <v>252</v>
      </c>
      <c r="W19" s="123" t="s">
        <v>3763</v>
      </c>
      <c r="X19" s="123" t="s">
        <v>2939</v>
      </c>
      <c r="Y19" s="123" t="s">
        <v>2144</v>
      </c>
      <c r="Z19" s="123" t="s">
        <v>2143</v>
      </c>
      <c r="AA19" s="123" t="s">
        <v>3764</v>
      </c>
      <c r="AB19" s="123">
        <v>0</v>
      </c>
      <c r="AC19" s="123">
        <v>0</v>
      </c>
      <c r="AD19" s="123" t="s">
        <v>3763</v>
      </c>
      <c r="AE19" s="123" t="s">
        <v>2939</v>
      </c>
      <c r="AF19" s="123">
        <v>0</v>
      </c>
      <c r="AG19" s="123" t="s">
        <v>3765</v>
      </c>
      <c r="AH19" s="123"/>
      <c r="AI19" s="123" t="s">
        <v>213</v>
      </c>
      <c r="AJ19" s="123" t="s">
        <v>212</v>
      </c>
      <c r="AK19" s="123">
        <v>0</v>
      </c>
      <c r="AL19" s="123">
        <v>0</v>
      </c>
      <c r="AM19" s="123">
        <v>0</v>
      </c>
      <c r="AN19" s="123">
        <v>0</v>
      </c>
      <c r="AO19" s="123">
        <v>0</v>
      </c>
      <c r="AP19" s="123" t="s">
        <v>576</v>
      </c>
      <c r="AQ19" s="123">
        <v>0</v>
      </c>
      <c r="AR19" s="123">
        <v>0</v>
      </c>
      <c r="AS19" s="123">
        <v>0</v>
      </c>
      <c r="AT19" s="123">
        <v>0</v>
      </c>
      <c r="AU19" s="123">
        <v>0</v>
      </c>
      <c r="AV19" s="123"/>
      <c r="AW19" s="123">
        <v>0</v>
      </c>
      <c r="AX19" s="123">
        <v>0</v>
      </c>
      <c r="AY19" s="123">
        <v>0</v>
      </c>
      <c r="AZ19" s="123" t="s">
        <v>13</v>
      </c>
      <c r="BA19" s="123" t="s">
        <v>80</v>
      </c>
      <c r="BB19" s="123" t="s">
        <v>81</v>
      </c>
      <c r="BC19" s="123" t="s">
        <v>2148</v>
      </c>
      <c r="BD19" s="123" t="s">
        <v>209</v>
      </c>
      <c r="BE19" s="123">
        <v>0</v>
      </c>
      <c r="BF19" s="123">
        <v>0</v>
      </c>
      <c r="BG19" s="123" t="s">
        <v>3766</v>
      </c>
      <c r="BH19" s="123" t="s">
        <v>3039</v>
      </c>
      <c r="BI19" s="123" t="s">
        <v>2147</v>
      </c>
      <c r="BJ19" s="123" t="s">
        <v>210</v>
      </c>
      <c r="BK19" s="123"/>
      <c r="BL19" s="123">
        <v>0</v>
      </c>
      <c r="BM19" s="123">
        <v>0</v>
      </c>
      <c r="BN19" s="123">
        <v>0</v>
      </c>
      <c r="BO19" s="123">
        <v>0</v>
      </c>
      <c r="BP19" s="123">
        <v>0</v>
      </c>
      <c r="BQ19" s="123">
        <v>0</v>
      </c>
      <c r="BR19" s="123">
        <v>0</v>
      </c>
      <c r="BS19" s="177" t="s">
        <v>212</v>
      </c>
      <c r="BT19" s="318">
        <v>46265</v>
      </c>
      <c r="BU19" s="123">
        <v>10</v>
      </c>
    </row>
    <row r="20" spans="7:73">
      <c r="G20" s="123" t="s">
        <v>2165</v>
      </c>
      <c r="H20" s="177" t="s">
        <v>3233</v>
      </c>
      <c r="I20" s="123" t="s">
        <v>3767</v>
      </c>
      <c r="J20" s="123" t="s">
        <v>2150</v>
      </c>
      <c r="K20" s="123" t="s">
        <v>2149</v>
      </c>
      <c r="L20" s="123">
        <v>0</v>
      </c>
      <c r="M20" s="123" t="s">
        <v>2145</v>
      </c>
      <c r="N20" s="123">
        <v>0</v>
      </c>
      <c r="O20" s="123">
        <v>59</v>
      </c>
      <c r="P20" s="123" t="s">
        <v>11</v>
      </c>
      <c r="Q20" s="123">
        <v>59</v>
      </c>
      <c r="R20" s="123">
        <v>0</v>
      </c>
      <c r="S20" s="123">
        <v>59</v>
      </c>
      <c r="T20" s="123" t="s">
        <v>2306</v>
      </c>
      <c r="U20" s="123" t="s">
        <v>252</v>
      </c>
      <c r="V20" s="123" t="s">
        <v>252</v>
      </c>
      <c r="W20" s="123" t="s">
        <v>3768</v>
      </c>
      <c r="X20" s="123" t="s">
        <v>3039</v>
      </c>
      <c r="Y20" s="123" t="s">
        <v>2144</v>
      </c>
      <c r="Z20" s="123" t="s">
        <v>2143</v>
      </c>
      <c r="AA20" s="123" t="s">
        <v>1525</v>
      </c>
      <c r="AB20" s="123">
        <v>0</v>
      </c>
      <c r="AC20" s="123">
        <v>0</v>
      </c>
      <c r="AD20" s="123" t="s">
        <v>3768</v>
      </c>
      <c r="AE20" s="123" t="s">
        <v>3039</v>
      </c>
      <c r="AF20" s="123">
        <v>0</v>
      </c>
      <c r="AG20" s="123" t="s">
        <v>3765</v>
      </c>
      <c r="AH20" s="123"/>
      <c r="AI20" s="123" t="s">
        <v>213</v>
      </c>
      <c r="AJ20" s="123" t="s">
        <v>212</v>
      </c>
      <c r="AK20" s="123">
        <v>0</v>
      </c>
      <c r="AL20" s="123">
        <v>0</v>
      </c>
      <c r="AM20" s="123">
        <v>0</v>
      </c>
      <c r="AN20" s="123">
        <v>0</v>
      </c>
      <c r="AO20" s="123">
        <v>0</v>
      </c>
      <c r="AP20" s="123" t="s">
        <v>576</v>
      </c>
      <c r="AQ20" s="123">
        <v>0</v>
      </c>
      <c r="AR20" s="123">
        <v>0</v>
      </c>
      <c r="AS20" s="123">
        <v>0</v>
      </c>
      <c r="AT20" s="123">
        <v>0</v>
      </c>
      <c r="AU20" s="123">
        <v>0</v>
      </c>
      <c r="AV20" s="123"/>
      <c r="AW20" s="123">
        <v>0</v>
      </c>
      <c r="AX20" s="123">
        <v>0</v>
      </c>
      <c r="AY20" s="123">
        <v>0</v>
      </c>
      <c r="AZ20" s="123" t="s">
        <v>13</v>
      </c>
      <c r="BA20" s="123" t="s">
        <v>80</v>
      </c>
      <c r="BB20" s="123" t="s">
        <v>81</v>
      </c>
      <c r="BC20" s="123" t="s">
        <v>2148</v>
      </c>
      <c r="BD20" s="123" t="s">
        <v>209</v>
      </c>
      <c r="BE20" s="123">
        <v>0</v>
      </c>
      <c r="BF20" s="123">
        <v>0</v>
      </c>
      <c r="BG20" s="123" t="s">
        <v>3769</v>
      </c>
      <c r="BH20" s="123" t="s">
        <v>3039</v>
      </c>
      <c r="BI20" s="123" t="s">
        <v>2147</v>
      </c>
      <c r="BJ20" s="123" t="s">
        <v>210</v>
      </c>
      <c r="BK20" s="123"/>
      <c r="BL20" s="123">
        <v>0</v>
      </c>
      <c r="BM20" s="123">
        <v>0</v>
      </c>
      <c r="BN20" s="123">
        <v>0</v>
      </c>
      <c r="BO20" s="123">
        <v>0</v>
      </c>
      <c r="BP20" s="123">
        <v>0</v>
      </c>
      <c r="BQ20" s="123">
        <v>0</v>
      </c>
      <c r="BR20" s="123">
        <v>0</v>
      </c>
      <c r="BS20" s="177" t="s">
        <v>212</v>
      </c>
      <c r="BT20" s="318">
        <v>46265</v>
      </c>
      <c r="BU20" s="123">
        <v>59</v>
      </c>
    </row>
    <row r="21" spans="7:73">
      <c r="G21" s="123" t="s">
        <v>2165</v>
      </c>
      <c r="H21" s="177" t="s">
        <v>3233</v>
      </c>
      <c r="I21" s="123" t="s">
        <v>3770</v>
      </c>
      <c r="J21" s="123" t="s">
        <v>2150</v>
      </c>
      <c r="K21" s="123" t="s">
        <v>2149</v>
      </c>
      <c r="L21" s="123">
        <v>0</v>
      </c>
      <c r="M21" s="123" t="s">
        <v>2145</v>
      </c>
      <c r="N21" s="123">
        <v>0</v>
      </c>
      <c r="O21" s="123">
        <v>38</v>
      </c>
      <c r="P21" s="123" t="s">
        <v>11</v>
      </c>
      <c r="Q21" s="123">
        <v>38</v>
      </c>
      <c r="R21" s="123">
        <v>0</v>
      </c>
      <c r="S21" s="123">
        <v>38</v>
      </c>
      <c r="T21" s="123" t="s">
        <v>2306</v>
      </c>
      <c r="U21" s="123" t="s">
        <v>252</v>
      </c>
      <c r="V21" s="123" t="s">
        <v>252</v>
      </c>
      <c r="W21" s="123" t="s">
        <v>3771</v>
      </c>
      <c r="X21" s="123" t="s">
        <v>3109</v>
      </c>
      <c r="Y21" s="123" t="s">
        <v>2144</v>
      </c>
      <c r="Z21" s="123" t="s">
        <v>2143</v>
      </c>
      <c r="AA21" s="123" t="s">
        <v>3772</v>
      </c>
      <c r="AB21" s="123">
        <v>0</v>
      </c>
      <c r="AC21" s="123">
        <v>0</v>
      </c>
      <c r="AD21" s="123" t="s">
        <v>3771</v>
      </c>
      <c r="AE21" s="123" t="s">
        <v>3109</v>
      </c>
      <c r="AF21" s="123">
        <v>0</v>
      </c>
      <c r="AG21" s="123" t="s">
        <v>3765</v>
      </c>
      <c r="AH21" s="123"/>
      <c r="AI21" s="123" t="s">
        <v>213</v>
      </c>
      <c r="AJ21" s="123" t="s">
        <v>212</v>
      </c>
      <c r="AK21" s="123">
        <v>0</v>
      </c>
      <c r="AL21" s="123">
        <v>0</v>
      </c>
      <c r="AM21" s="123">
        <v>0</v>
      </c>
      <c r="AN21" s="123">
        <v>0</v>
      </c>
      <c r="AO21" s="123">
        <v>0</v>
      </c>
      <c r="AP21" s="123" t="s">
        <v>576</v>
      </c>
      <c r="AQ21" s="123">
        <v>0</v>
      </c>
      <c r="AR21" s="123">
        <v>0</v>
      </c>
      <c r="AS21" s="123">
        <v>0</v>
      </c>
      <c r="AT21" s="123">
        <v>0</v>
      </c>
      <c r="AU21" s="123">
        <v>0</v>
      </c>
      <c r="AV21" s="123"/>
      <c r="AW21" s="123">
        <v>0</v>
      </c>
      <c r="AX21" s="123">
        <v>0</v>
      </c>
      <c r="AY21" s="123">
        <v>0</v>
      </c>
      <c r="AZ21" s="123" t="s">
        <v>13</v>
      </c>
      <c r="BA21" s="123" t="s">
        <v>80</v>
      </c>
      <c r="BB21" s="123" t="s">
        <v>81</v>
      </c>
      <c r="BC21" s="123" t="s">
        <v>2148</v>
      </c>
      <c r="BD21" s="123" t="s">
        <v>209</v>
      </c>
      <c r="BE21" s="123">
        <v>0</v>
      </c>
      <c r="BF21" s="123">
        <v>0</v>
      </c>
      <c r="BG21" s="123" t="s">
        <v>3773</v>
      </c>
      <c r="BH21" s="123" t="s">
        <v>3138</v>
      </c>
      <c r="BI21" s="123" t="s">
        <v>2147</v>
      </c>
      <c r="BJ21" s="123" t="s">
        <v>210</v>
      </c>
      <c r="BK21" s="123"/>
      <c r="BL21" s="123">
        <v>0</v>
      </c>
      <c r="BM21" s="123">
        <v>0</v>
      </c>
      <c r="BN21" s="123">
        <v>0</v>
      </c>
      <c r="BO21" s="123">
        <v>0</v>
      </c>
      <c r="BP21" s="123">
        <v>0</v>
      </c>
      <c r="BQ21" s="123">
        <v>0</v>
      </c>
      <c r="BR21" s="123">
        <v>0</v>
      </c>
      <c r="BS21" s="177" t="s">
        <v>212</v>
      </c>
      <c r="BT21" s="318">
        <v>46265.517361111109</v>
      </c>
      <c r="BU21" s="123">
        <v>38</v>
      </c>
    </row>
    <row r="22" spans="7:73">
      <c r="G22" s="123" t="s">
        <v>2165</v>
      </c>
      <c r="H22" s="177" t="s">
        <v>3233</v>
      </c>
      <c r="I22" s="123" t="s">
        <v>3774</v>
      </c>
      <c r="J22" s="123" t="s">
        <v>2150</v>
      </c>
      <c r="K22" s="123" t="s">
        <v>2149</v>
      </c>
      <c r="L22" s="123">
        <v>0</v>
      </c>
      <c r="M22" s="123" t="s">
        <v>2145</v>
      </c>
      <c r="N22" s="123">
        <v>0</v>
      </c>
      <c r="O22" s="123">
        <v>129</v>
      </c>
      <c r="P22" s="123" t="s">
        <v>11</v>
      </c>
      <c r="Q22" s="123">
        <v>129</v>
      </c>
      <c r="R22" s="123">
        <v>0</v>
      </c>
      <c r="S22" s="123">
        <v>129</v>
      </c>
      <c r="T22" s="123" t="s">
        <v>2306</v>
      </c>
      <c r="U22" s="123" t="s">
        <v>252</v>
      </c>
      <c r="V22" s="123" t="s">
        <v>252</v>
      </c>
      <c r="W22" s="123" t="s">
        <v>3775</v>
      </c>
      <c r="X22" s="123" t="s">
        <v>3138</v>
      </c>
      <c r="Y22" s="123" t="s">
        <v>2144</v>
      </c>
      <c r="Z22" s="123" t="s">
        <v>2143</v>
      </c>
      <c r="AA22" s="123" t="s">
        <v>3776</v>
      </c>
      <c r="AB22" s="123">
        <v>0</v>
      </c>
      <c r="AC22" s="123">
        <v>0</v>
      </c>
      <c r="AD22" s="123" t="s">
        <v>3775</v>
      </c>
      <c r="AE22" s="123" t="s">
        <v>3138</v>
      </c>
      <c r="AF22" s="123">
        <v>0</v>
      </c>
      <c r="AG22" s="123" t="s">
        <v>3765</v>
      </c>
      <c r="AH22" s="123"/>
      <c r="AI22" s="123" t="s">
        <v>213</v>
      </c>
      <c r="AJ22" s="123" t="s">
        <v>212</v>
      </c>
      <c r="AK22" s="123">
        <v>0</v>
      </c>
      <c r="AL22" s="123">
        <v>0</v>
      </c>
      <c r="AM22" s="123">
        <v>0</v>
      </c>
      <c r="AN22" s="123">
        <v>0</v>
      </c>
      <c r="AO22" s="123">
        <v>0</v>
      </c>
      <c r="AP22" s="123" t="s">
        <v>576</v>
      </c>
      <c r="AQ22" s="123">
        <v>0</v>
      </c>
      <c r="AR22" s="123">
        <v>0</v>
      </c>
      <c r="AS22" s="123">
        <v>0</v>
      </c>
      <c r="AT22" s="123">
        <v>0</v>
      </c>
      <c r="AU22" s="123">
        <v>0</v>
      </c>
      <c r="AV22" s="123"/>
      <c r="AW22" s="123">
        <v>0</v>
      </c>
      <c r="AX22" s="123">
        <v>0</v>
      </c>
      <c r="AY22" s="123">
        <v>0</v>
      </c>
      <c r="AZ22" s="123" t="s">
        <v>13</v>
      </c>
      <c r="BA22" s="123" t="s">
        <v>80</v>
      </c>
      <c r="BB22" s="123" t="s">
        <v>81</v>
      </c>
      <c r="BC22" s="123" t="s">
        <v>2148</v>
      </c>
      <c r="BD22" s="123" t="s">
        <v>209</v>
      </c>
      <c r="BE22" s="123">
        <v>0</v>
      </c>
      <c r="BF22" s="123">
        <v>0</v>
      </c>
      <c r="BG22" s="123" t="s">
        <v>3777</v>
      </c>
      <c r="BH22" s="123" t="s">
        <v>3138</v>
      </c>
      <c r="BI22" s="123" t="s">
        <v>2147</v>
      </c>
      <c r="BJ22" s="123" t="s">
        <v>210</v>
      </c>
      <c r="BK22" s="123"/>
      <c r="BL22" s="123">
        <v>0</v>
      </c>
      <c r="BM22" s="123">
        <v>0</v>
      </c>
      <c r="BN22" s="123">
        <v>0</v>
      </c>
      <c r="BO22" s="123">
        <v>0</v>
      </c>
      <c r="BP22" s="123">
        <v>0</v>
      </c>
      <c r="BQ22" s="123">
        <v>0</v>
      </c>
      <c r="BR22" s="123">
        <v>0</v>
      </c>
      <c r="BS22" s="177" t="s">
        <v>212</v>
      </c>
      <c r="BT22" s="318">
        <v>46265</v>
      </c>
      <c r="BU22" s="123">
        <v>129</v>
      </c>
    </row>
    <row r="23" spans="7:73">
      <c r="G23" s="123" t="s">
        <v>2165</v>
      </c>
      <c r="H23" s="177" t="s">
        <v>3233</v>
      </c>
      <c r="I23" s="123" t="s">
        <v>3778</v>
      </c>
      <c r="J23" s="123" t="s">
        <v>2150</v>
      </c>
      <c r="K23" s="123" t="s">
        <v>2149</v>
      </c>
      <c r="L23" s="123">
        <v>0</v>
      </c>
      <c r="M23" s="123" t="s">
        <v>2145</v>
      </c>
      <c r="N23" s="123">
        <v>0</v>
      </c>
      <c r="O23" s="123">
        <v>131</v>
      </c>
      <c r="P23" s="123" t="s">
        <v>11</v>
      </c>
      <c r="Q23" s="123">
        <v>131</v>
      </c>
      <c r="R23" s="123">
        <v>0</v>
      </c>
      <c r="S23" s="123">
        <v>131</v>
      </c>
      <c r="T23" s="123" t="s">
        <v>2306</v>
      </c>
      <c r="U23" s="123" t="s">
        <v>252</v>
      </c>
      <c r="V23" s="123" t="s">
        <v>252</v>
      </c>
      <c r="W23" s="123" t="s">
        <v>3779</v>
      </c>
      <c r="X23" s="123" t="s">
        <v>3173</v>
      </c>
      <c r="Y23" s="123" t="s">
        <v>2144</v>
      </c>
      <c r="Z23" s="123" t="s">
        <v>2143</v>
      </c>
      <c r="AA23" s="123" t="s">
        <v>1526</v>
      </c>
      <c r="AB23" s="123">
        <v>0</v>
      </c>
      <c r="AC23" s="123">
        <v>0</v>
      </c>
      <c r="AD23" s="123" t="s">
        <v>3779</v>
      </c>
      <c r="AE23" s="123" t="s">
        <v>3173</v>
      </c>
      <c r="AF23" s="123">
        <v>0</v>
      </c>
      <c r="AG23" s="123" t="s">
        <v>3765</v>
      </c>
      <c r="AH23" s="123"/>
      <c r="AI23" s="123" t="s">
        <v>213</v>
      </c>
      <c r="AJ23" s="123" t="s">
        <v>212</v>
      </c>
      <c r="AK23" s="123">
        <v>0</v>
      </c>
      <c r="AL23" s="123">
        <v>0</v>
      </c>
      <c r="AM23" s="123">
        <v>0</v>
      </c>
      <c r="AN23" s="123">
        <v>0</v>
      </c>
      <c r="AO23" s="123">
        <v>0</v>
      </c>
      <c r="AP23" s="123" t="s">
        <v>576</v>
      </c>
      <c r="AQ23" s="123">
        <v>0</v>
      </c>
      <c r="AR23" s="123">
        <v>0</v>
      </c>
      <c r="AS23" s="123">
        <v>0</v>
      </c>
      <c r="AT23" s="123">
        <v>0</v>
      </c>
      <c r="AU23" s="123">
        <v>0</v>
      </c>
      <c r="AV23" s="123"/>
      <c r="AW23" s="123">
        <v>0</v>
      </c>
      <c r="AX23" s="123">
        <v>0</v>
      </c>
      <c r="AY23" s="123">
        <v>0</v>
      </c>
      <c r="AZ23" s="123" t="s">
        <v>13</v>
      </c>
      <c r="BA23" s="123" t="s">
        <v>80</v>
      </c>
      <c r="BB23" s="123" t="s">
        <v>81</v>
      </c>
      <c r="BC23" s="123" t="s">
        <v>2148</v>
      </c>
      <c r="BD23" s="123" t="s">
        <v>209</v>
      </c>
      <c r="BE23" s="123">
        <v>0</v>
      </c>
      <c r="BF23" s="123">
        <v>0</v>
      </c>
      <c r="BG23" s="123" t="s">
        <v>3780</v>
      </c>
      <c r="BH23" s="123" t="s">
        <v>3233</v>
      </c>
      <c r="BI23" s="123" t="s">
        <v>2147</v>
      </c>
      <c r="BJ23" s="123" t="s">
        <v>210</v>
      </c>
      <c r="BK23" s="123"/>
      <c r="BL23" s="123">
        <v>0</v>
      </c>
      <c r="BM23" s="123">
        <v>0</v>
      </c>
      <c r="BN23" s="123">
        <v>0</v>
      </c>
      <c r="BO23" s="123">
        <v>0</v>
      </c>
      <c r="BP23" s="123">
        <v>0</v>
      </c>
      <c r="BQ23" s="123">
        <v>0</v>
      </c>
      <c r="BR23" s="123">
        <v>0</v>
      </c>
      <c r="BS23" s="177" t="s">
        <v>212</v>
      </c>
      <c r="BT23" s="318">
        <v>46265</v>
      </c>
      <c r="BU23" s="123">
        <v>131</v>
      </c>
    </row>
    <row r="24" spans="7:73">
      <c r="G24" s="123" t="s">
        <v>2165</v>
      </c>
      <c r="H24" s="177" t="s">
        <v>3233</v>
      </c>
      <c r="I24" s="123" t="s">
        <v>3781</v>
      </c>
      <c r="J24" s="123" t="s">
        <v>2150</v>
      </c>
      <c r="K24" s="123" t="s">
        <v>2149</v>
      </c>
      <c r="L24" s="123" t="s">
        <v>2146</v>
      </c>
      <c r="M24" s="123" t="s">
        <v>2145</v>
      </c>
      <c r="N24" s="123">
        <v>0</v>
      </c>
      <c r="O24" s="123">
        <v>147</v>
      </c>
      <c r="P24" s="123" t="s">
        <v>11</v>
      </c>
      <c r="Q24" s="123">
        <v>147</v>
      </c>
      <c r="R24" s="123">
        <v>0</v>
      </c>
      <c r="S24" s="123">
        <v>147</v>
      </c>
      <c r="T24" s="123" t="s">
        <v>2306</v>
      </c>
      <c r="U24" s="123" t="s">
        <v>252</v>
      </c>
      <c r="V24" s="123" t="s">
        <v>252</v>
      </c>
      <c r="W24" s="123" t="s">
        <v>3782</v>
      </c>
      <c r="X24" s="123" t="s">
        <v>3233</v>
      </c>
      <c r="Y24" s="123" t="s">
        <v>2144</v>
      </c>
      <c r="Z24" s="123" t="s">
        <v>2143</v>
      </c>
      <c r="AA24" s="123" t="s">
        <v>1553</v>
      </c>
      <c r="AB24" s="123">
        <v>0</v>
      </c>
      <c r="AC24" s="123">
        <v>0</v>
      </c>
      <c r="AD24" s="123" t="s">
        <v>3782</v>
      </c>
      <c r="AE24" s="123" t="s">
        <v>3233</v>
      </c>
      <c r="AF24" s="123">
        <v>0</v>
      </c>
      <c r="AG24" s="123" t="s">
        <v>3765</v>
      </c>
      <c r="AH24" s="123"/>
      <c r="AI24" s="123" t="s">
        <v>213</v>
      </c>
      <c r="AJ24" s="123" t="s">
        <v>212</v>
      </c>
      <c r="AK24" s="123">
        <v>0</v>
      </c>
      <c r="AL24" s="123">
        <v>0</v>
      </c>
      <c r="AM24" s="123">
        <v>0</v>
      </c>
      <c r="AN24" s="123">
        <v>0</v>
      </c>
      <c r="AO24" s="123">
        <v>0</v>
      </c>
      <c r="AP24" s="123" t="s">
        <v>576</v>
      </c>
      <c r="AQ24" s="123">
        <v>0</v>
      </c>
      <c r="AR24" s="123">
        <v>0</v>
      </c>
      <c r="AS24" s="123">
        <v>0</v>
      </c>
      <c r="AT24" s="123">
        <v>0</v>
      </c>
      <c r="AU24" s="123">
        <v>0</v>
      </c>
      <c r="AV24" s="123"/>
      <c r="AW24" s="123">
        <v>0</v>
      </c>
      <c r="AX24" s="123">
        <v>0</v>
      </c>
      <c r="AY24" s="123">
        <v>0</v>
      </c>
      <c r="AZ24" s="123" t="s">
        <v>13</v>
      </c>
      <c r="BA24" s="123" t="s">
        <v>80</v>
      </c>
      <c r="BB24" s="123" t="s">
        <v>81</v>
      </c>
      <c r="BC24" s="123" t="s">
        <v>2148</v>
      </c>
      <c r="BD24" s="123" t="s">
        <v>209</v>
      </c>
      <c r="BE24" s="123">
        <v>0</v>
      </c>
      <c r="BF24" s="123">
        <v>0</v>
      </c>
      <c r="BG24" s="123" t="s">
        <v>3783</v>
      </c>
      <c r="BH24" s="123" t="s">
        <v>3233</v>
      </c>
      <c r="BI24" s="123" t="s">
        <v>2147</v>
      </c>
      <c r="BJ24" s="123" t="s">
        <v>210</v>
      </c>
      <c r="BK24" s="123"/>
      <c r="BL24" s="123">
        <v>0</v>
      </c>
      <c r="BM24" s="123">
        <v>0</v>
      </c>
      <c r="BN24" s="123">
        <v>0</v>
      </c>
      <c r="BO24" s="123">
        <v>0</v>
      </c>
      <c r="BP24" s="123">
        <v>0</v>
      </c>
      <c r="BQ24" s="123">
        <v>0</v>
      </c>
      <c r="BR24" s="123">
        <v>0</v>
      </c>
      <c r="BS24" s="177" t="s">
        <v>212</v>
      </c>
      <c r="BT24" s="380">
        <v>46265</v>
      </c>
      <c r="BU24" s="123">
        <v>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54"/>
  <sheetViews>
    <sheetView tabSelected="1" workbookViewId="0">
      <selection activeCell="E16" sqref="E16"/>
    </sheetView>
  </sheetViews>
  <sheetFormatPr defaultRowHeight="15"/>
  <cols>
    <col min="1" max="1" width="31.28515625" style="27" customWidth="1"/>
    <col min="2" max="2" width="12.28515625" style="27" bestFit="1" customWidth="1"/>
    <col min="3" max="3" width="31.85546875" style="27" bestFit="1" customWidth="1"/>
    <col min="4" max="4" width="11.42578125" style="27" customWidth="1"/>
    <col min="5" max="5" width="13.28515625" style="27" customWidth="1"/>
    <col min="6" max="7" width="7.42578125" style="27" customWidth="1"/>
    <col min="8" max="8" width="26.7109375" style="27" bestFit="1" customWidth="1"/>
    <col min="9" max="9" width="2" style="27" customWidth="1"/>
    <col min="10" max="10" width="11.28515625" style="27" customWidth="1"/>
    <col min="11" max="11" width="3.140625" style="27" customWidth="1"/>
    <col min="12" max="12" width="11.5703125" style="27" customWidth="1"/>
    <col min="13" max="13" width="7.28515625" style="27" bestFit="1" customWidth="1"/>
    <col min="14" max="16384" width="9.140625" style="27"/>
  </cols>
  <sheetData>
    <row r="1" spans="1:14" ht="18.75">
      <c r="A1" s="455" t="s">
        <v>3423</v>
      </c>
      <c r="B1" s="456"/>
      <c r="C1" s="457"/>
      <c r="H1" s="165" t="s">
        <v>1212</v>
      </c>
      <c r="I1" s="166"/>
      <c r="J1" s="165" t="s">
        <v>1213</v>
      </c>
      <c r="K1" s="202"/>
      <c r="L1" s="226" t="s">
        <v>1214</v>
      </c>
    </row>
    <row r="2" spans="1:14" ht="15.75">
      <c r="A2" s="436" t="s">
        <v>833</v>
      </c>
      <c r="B2" s="201" t="s">
        <v>828</v>
      </c>
      <c r="C2" s="437" t="s">
        <v>829</v>
      </c>
      <c r="H2" s="166" t="s">
        <v>1215</v>
      </c>
      <c r="I2" s="166"/>
      <c r="J2" s="167">
        <v>400</v>
      </c>
      <c r="K2" s="203"/>
      <c r="L2" s="168"/>
    </row>
    <row r="3" spans="1:14" ht="15.75">
      <c r="A3" s="454" t="s">
        <v>2424</v>
      </c>
      <c r="B3" s="290">
        <v>1091060</v>
      </c>
      <c r="C3" s="438" t="s">
        <v>2202</v>
      </c>
      <c r="H3" s="169" t="s">
        <v>1216</v>
      </c>
      <c r="I3" s="166"/>
      <c r="J3" s="168"/>
      <c r="K3" s="203"/>
      <c r="L3" s="168"/>
    </row>
    <row r="4" spans="1:14" ht="15.75">
      <c r="A4" s="454"/>
      <c r="B4" s="291">
        <v>97901</v>
      </c>
      <c r="C4" s="438" t="s">
        <v>1585</v>
      </c>
      <c r="H4" s="166" t="s">
        <v>1217</v>
      </c>
      <c r="I4" s="166"/>
      <c r="J4" s="167">
        <v>534.16999999999996</v>
      </c>
      <c r="K4" s="203"/>
      <c r="L4" s="167">
        <v>209.36</v>
      </c>
      <c r="M4" s="218">
        <f>+L4*0.95</f>
        <v>198.892</v>
      </c>
    </row>
    <row r="5" spans="1:14" ht="15.75">
      <c r="A5" s="454"/>
      <c r="B5" s="291">
        <v>364987</v>
      </c>
      <c r="C5" s="438" t="s">
        <v>1586</v>
      </c>
      <c r="H5" s="166" t="s">
        <v>1218</v>
      </c>
      <c r="I5" s="166"/>
      <c r="J5" s="166"/>
      <c r="K5" s="203"/>
      <c r="L5" s="166"/>
    </row>
    <row r="6" spans="1:14" ht="15.75">
      <c r="A6" s="454"/>
      <c r="B6" s="291">
        <v>2083459</v>
      </c>
      <c r="C6" s="438" t="s">
        <v>1587</v>
      </c>
      <c r="H6" s="166"/>
      <c r="I6" s="166"/>
      <c r="J6" s="166"/>
      <c r="K6" s="203"/>
      <c r="L6" s="166"/>
    </row>
    <row r="7" spans="1:14" ht="15.75">
      <c r="A7" s="454"/>
      <c r="B7" s="291">
        <v>1188391</v>
      </c>
      <c r="C7" s="438" t="s">
        <v>2126</v>
      </c>
      <c r="H7" s="169" t="s">
        <v>1219</v>
      </c>
      <c r="I7" s="166"/>
      <c r="J7" s="168"/>
      <c r="K7" s="203"/>
      <c r="L7" s="168"/>
      <c r="M7" s="161"/>
    </row>
    <row r="8" spans="1:14" ht="15.75">
      <c r="A8" s="454"/>
      <c r="B8" s="291">
        <v>108200</v>
      </c>
      <c r="C8" s="438" t="s">
        <v>1588</v>
      </c>
      <c r="H8" s="166" t="s">
        <v>1217</v>
      </c>
      <c r="I8" s="166"/>
      <c r="J8" s="167">
        <v>485.00200000000001</v>
      </c>
      <c r="K8" s="203"/>
      <c r="L8" s="167">
        <v>209.36</v>
      </c>
      <c r="M8" s="218">
        <f>+L8*0.95</f>
        <v>198.892</v>
      </c>
    </row>
    <row r="9" spans="1:14" ht="15.75">
      <c r="A9" s="454"/>
      <c r="B9" s="291">
        <v>881775</v>
      </c>
      <c r="C9" s="438" t="s">
        <v>359</v>
      </c>
      <c r="H9" s="166" t="s">
        <v>1220</v>
      </c>
      <c r="I9" s="166"/>
      <c r="J9" s="166"/>
      <c r="K9" s="203"/>
      <c r="L9" s="170"/>
    </row>
    <row r="10" spans="1:14" ht="15.75">
      <c r="A10" s="454"/>
      <c r="B10" s="291">
        <v>944053</v>
      </c>
      <c r="C10" s="438" t="s">
        <v>1589</v>
      </c>
      <c r="H10" s="166"/>
      <c r="I10" s="166"/>
      <c r="J10" s="166"/>
      <c r="K10" s="203"/>
      <c r="L10" s="166"/>
    </row>
    <row r="11" spans="1:14" ht="15.75">
      <c r="A11" s="454"/>
      <c r="B11" s="346">
        <v>1940396.15</v>
      </c>
      <c r="C11" s="438" t="s">
        <v>2157</v>
      </c>
      <c r="H11" s="169" t="s">
        <v>1221</v>
      </c>
      <c r="I11" s="166"/>
      <c r="J11" s="168"/>
      <c r="K11" s="203"/>
      <c r="L11" s="168"/>
    </row>
    <row r="12" spans="1:14" ht="15.75">
      <c r="A12" s="454"/>
      <c r="B12" s="291">
        <v>561854</v>
      </c>
      <c r="C12" s="438" t="s">
        <v>1590</v>
      </c>
      <c r="H12" s="166" t="s">
        <v>1220</v>
      </c>
      <c r="I12" s="166"/>
      <c r="J12" s="167">
        <v>405.476</v>
      </c>
      <c r="K12" s="203"/>
      <c r="L12" s="167">
        <v>143.12375832355062</v>
      </c>
      <c r="M12" s="161"/>
    </row>
    <row r="13" spans="1:14" ht="15.75" hidden="1">
      <c r="A13" s="454"/>
      <c r="B13" s="291">
        <v>0</v>
      </c>
      <c r="C13" s="279" t="s">
        <v>2317</v>
      </c>
      <c r="H13" s="166" t="s">
        <v>1222</v>
      </c>
      <c r="I13" s="166"/>
      <c r="J13" s="166"/>
      <c r="K13" s="204"/>
      <c r="L13" s="168"/>
    </row>
    <row r="14" spans="1:14" hidden="1">
      <c r="A14" s="413"/>
      <c r="B14" s="282"/>
      <c r="C14" s="95" t="s">
        <v>2117</v>
      </c>
    </row>
    <row r="15" spans="1:14" ht="18.75">
      <c r="A15" s="326"/>
      <c r="B15" s="151"/>
      <c r="C15" s="435"/>
      <c r="H15" s="393" t="s">
        <v>1415</v>
      </c>
      <c r="I15" s="192" t="s">
        <v>231</v>
      </c>
      <c r="J15" s="451">
        <v>6174743</v>
      </c>
      <c r="K15" s="452"/>
      <c r="L15" s="453"/>
      <c r="N15" s="161"/>
    </row>
    <row r="16" spans="1:14" ht="15.75">
      <c r="A16" s="200" t="s">
        <v>833</v>
      </c>
      <c r="B16" s="200" t="s">
        <v>828</v>
      </c>
      <c r="C16" s="436" t="s">
        <v>231</v>
      </c>
      <c r="H16" s="394" t="s">
        <v>4</v>
      </c>
      <c r="I16" s="192" t="s">
        <v>231</v>
      </c>
      <c r="J16" s="451">
        <v>731472.85</v>
      </c>
      <c r="K16" s="452"/>
      <c r="L16" s="453"/>
      <c r="N16" s="161"/>
    </row>
    <row r="17" spans="1:8" hidden="1">
      <c r="A17" s="126" t="s">
        <v>741</v>
      </c>
      <c r="B17" s="321">
        <f>36500+3000</f>
        <v>39500</v>
      </c>
      <c r="C17" s="126" t="s">
        <v>2543</v>
      </c>
      <c r="D17" s="27" t="s">
        <v>2233</v>
      </c>
    </row>
    <row r="18" spans="1:8" hidden="1">
      <c r="A18" s="126" t="s">
        <v>830</v>
      </c>
      <c r="B18" s="321">
        <v>7500</v>
      </c>
      <c r="C18" s="126" t="s">
        <v>1584</v>
      </c>
    </row>
    <row r="19" spans="1:8" hidden="1">
      <c r="A19" s="126" t="s">
        <v>831</v>
      </c>
      <c r="B19" s="321">
        <v>0</v>
      </c>
      <c r="C19" s="126" t="s">
        <v>2121</v>
      </c>
    </row>
    <row r="20" spans="1:8" hidden="1">
      <c r="A20" s="126" t="s">
        <v>264</v>
      </c>
      <c r="B20" s="321">
        <v>0</v>
      </c>
      <c r="C20" s="126" t="s">
        <v>2365</v>
      </c>
      <c r="D20" s="27" t="s">
        <v>2233</v>
      </c>
      <c r="H20" s="255"/>
    </row>
    <row r="21" spans="1:8" hidden="1">
      <c r="A21" s="126" t="s">
        <v>1397</v>
      </c>
      <c r="B21" s="321">
        <v>0</v>
      </c>
      <c r="C21" s="126" t="s">
        <v>2365</v>
      </c>
      <c r="D21" s="27" t="s">
        <v>2233</v>
      </c>
      <c r="H21" s="255"/>
    </row>
    <row r="22" spans="1:8" hidden="1">
      <c r="A22" s="126" t="s">
        <v>630</v>
      </c>
      <c r="B22" s="321">
        <v>0</v>
      </c>
      <c r="C22" s="126" t="s">
        <v>2234</v>
      </c>
    </row>
    <row r="23" spans="1:8" hidden="1">
      <c r="A23" s="126" t="s">
        <v>2022</v>
      </c>
      <c r="B23" s="321">
        <v>0</v>
      </c>
      <c r="C23" s="126" t="s">
        <v>2236</v>
      </c>
    </row>
    <row r="24" spans="1:8" hidden="1">
      <c r="A24" s="126" t="s">
        <v>2326</v>
      </c>
      <c r="B24" s="321">
        <v>0</v>
      </c>
      <c r="C24" s="126" t="s">
        <v>2544</v>
      </c>
    </row>
    <row r="25" spans="1:8" hidden="1">
      <c r="A25" s="126" t="s">
        <v>2201</v>
      </c>
      <c r="B25" s="321">
        <v>11000</v>
      </c>
      <c r="C25" s="126" t="s">
        <v>2187</v>
      </c>
    </row>
    <row r="26" spans="1:8" hidden="1">
      <c r="A26" s="126" t="s">
        <v>2231</v>
      </c>
      <c r="B26" s="321">
        <v>3499</v>
      </c>
      <c r="C26" s="126" t="s">
        <v>2235</v>
      </c>
    </row>
    <row r="27" spans="1:8" hidden="1">
      <c r="A27" s="126" t="s">
        <v>630</v>
      </c>
      <c r="B27" s="321">
        <v>0</v>
      </c>
      <c r="C27" s="126" t="s">
        <v>2232</v>
      </c>
    </row>
    <row r="28" spans="1:8" hidden="1">
      <c r="A28" s="126" t="s">
        <v>2025</v>
      </c>
      <c r="B28" s="321">
        <v>0</v>
      </c>
      <c r="C28" s="126" t="s">
        <v>2318</v>
      </c>
    </row>
    <row r="29" spans="1:8" hidden="1">
      <c r="A29" s="126" t="s">
        <v>2323</v>
      </c>
      <c r="B29" s="321">
        <v>0</v>
      </c>
      <c r="C29" s="126" t="s">
        <v>2324</v>
      </c>
    </row>
    <row r="30" spans="1:8" hidden="1">
      <c r="A30" s="126" t="s">
        <v>2425</v>
      </c>
      <c r="B30" s="321">
        <v>0</v>
      </c>
      <c r="C30" s="126" t="s">
        <v>2319</v>
      </c>
    </row>
    <row r="31" spans="1:8" hidden="1">
      <c r="A31" s="126" t="s">
        <v>2343</v>
      </c>
      <c r="B31" s="321">
        <v>0</v>
      </c>
      <c r="C31" s="126" t="s">
        <v>2347</v>
      </c>
    </row>
    <row r="32" spans="1:8" hidden="1">
      <c r="A32" s="126" t="s">
        <v>2344</v>
      </c>
      <c r="B32" s="321">
        <v>0</v>
      </c>
      <c r="C32" s="126" t="s">
        <v>2342</v>
      </c>
    </row>
    <row r="33" spans="1:3" hidden="1">
      <c r="A33" s="126" t="s">
        <v>2345</v>
      </c>
      <c r="B33" s="321">
        <v>0</v>
      </c>
      <c r="C33" s="126" t="s">
        <v>2346</v>
      </c>
    </row>
    <row r="34" spans="1:3" hidden="1">
      <c r="A34" s="126" t="s">
        <v>2325</v>
      </c>
      <c r="B34" s="321">
        <f>29000+52200</f>
        <v>81200</v>
      </c>
      <c r="C34" s="126" t="s">
        <v>2421</v>
      </c>
    </row>
    <row r="35" spans="1:3" hidden="1">
      <c r="A35" s="126" t="s">
        <v>2422</v>
      </c>
      <c r="B35" s="321">
        <v>0</v>
      </c>
      <c r="C35" s="126" t="s">
        <v>2423</v>
      </c>
    </row>
    <row r="36" spans="1:3" hidden="1">
      <c r="A36" s="126" t="s">
        <v>630</v>
      </c>
      <c r="B36" s="321">
        <v>0</v>
      </c>
      <c r="C36" s="126" t="s">
        <v>2542</v>
      </c>
    </row>
    <row r="37" spans="1:3" hidden="1">
      <c r="A37" s="168"/>
      <c r="B37" s="209">
        <f>SUM(B3:B36)</f>
        <v>9404775.1500000004</v>
      </c>
      <c r="C37" s="127" t="s">
        <v>832</v>
      </c>
    </row>
    <row r="38" spans="1:3">
      <c r="A38" s="168" t="s">
        <v>10737</v>
      </c>
      <c r="B38" s="168">
        <v>7500</v>
      </c>
    </row>
    <row r="39" spans="1:3">
      <c r="A39" s="168" t="s">
        <v>10738</v>
      </c>
      <c r="B39" s="168">
        <v>364358</v>
      </c>
    </row>
    <row r="40" spans="1:3">
      <c r="A40" s="168" t="s">
        <v>264</v>
      </c>
      <c r="B40" s="168">
        <v>587600</v>
      </c>
    </row>
    <row r="41" spans="1:3">
      <c r="A41" s="168" t="s">
        <v>10739</v>
      </c>
      <c r="B41" s="168">
        <v>12920</v>
      </c>
    </row>
    <row r="42" spans="1:3">
      <c r="A42" s="168" t="s">
        <v>2022</v>
      </c>
      <c r="B42" s="168">
        <v>63200</v>
      </c>
    </row>
    <row r="43" spans="1:3">
      <c r="A43" s="168" t="s">
        <v>2201</v>
      </c>
      <c r="B43" s="168">
        <v>11000</v>
      </c>
    </row>
    <row r="44" spans="1:3">
      <c r="A44" s="168" t="s">
        <v>2326</v>
      </c>
      <c r="B44" s="168">
        <v>3680</v>
      </c>
    </row>
    <row r="45" spans="1:3">
      <c r="A45" s="168" t="s">
        <v>2231</v>
      </c>
      <c r="B45" s="168">
        <v>3499</v>
      </c>
    </row>
    <row r="46" spans="1:3">
      <c r="A46" s="168" t="s">
        <v>10740</v>
      </c>
      <c r="B46" s="168">
        <v>3400</v>
      </c>
    </row>
    <row r="47" spans="1:3">
      <c r="A47" s="168" t="s">
        <v>741</v>
      </c>
      <c r="B47" s="168">
        <v>40943</v>
      </c>
    </row>
    <row r="48" spans="1:3">
      <c r="A48" s="168" t="s">
        <v>10741</v>
      </c>
      <c r="B48" s="168">
        <v>8121.3</v>
      </c>
    </row>
    <row r="49" spans="1:2">
      <c r="A49" s="168" t="s">
        <v>10742</v>
      </c>
      <c r="B49" s="168">
        <v>28812</v>
      </c>
    </row>
    <row r="50" spans="1:2">
      <c r="A50" s="168" t="s">
        <v>2325</v>
      </c>
      <c r="B50" s="168">
        <v>81200</v>
      </c>
    </row>
    <row r="51" spans="1:2">
      <c r="A51" s="168" t="s">
        <v>10743</v>
      </c>
      <c r="B51" s="168">
        <v>180000</v>
      </c>
    </row>
    <row r="52" spans="1:2">
      <c r="A52" s="168" t="s">
        <v>2025</v>
      </c>
      <c r="B52" s="168">
        <v>117300</v>
      </c>
    </row>
    <row r="53" spans="1:2">
      <c r="A53" s="168" t="s">
        <v>10744</v>
      </c>
      <c r="B53" s="168">
        <v>7310</v>
      </c>
    </row>
    <row r="54" spans="1:2">
      <c r="B54" s="488">
        <f>SUM(B38:B53)</f>
        <v>1520843.3</v>
      </c>
    </row>
  </sheetData>
  <mergeCells count="4">
    <mergeCell ref="J15:L15"/>
    <mergeCell ref="J16:L16"/>
    <mergeCell ref="A3:A13"/>
    <mergeCell ref="A1:C1"/>
  </mergeCells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B2:I29"/>
  <sheetViews>
    <sheetView workbookViewId="0">
      <selection activeCell="L10" sqref="L10"/>
    </sheetView>
  </sheetViews>
  <sheetFormatPr defaultColWidth="11.5703125" defaultRowHeight="15"/>
  <cols>
    <col min="2" max="2" width="12.140625" bestFit="1" customWidth="1"/>
    <col min="3" max="3" width="24" customWidth="1"/>
    <col min="4" max="4" width="10.85546875" customWidth="1"/>
    <col min="5" max="5" width="12.7109375" customWidth="1"/>
    <col min="6" max="6" width="11.7109375" customWidth="1"/>
    <col min="7" max="7" width="8.7109375" customWidth="1"/>
    <col min="8" max="8" width="12.5703125" bestFit="1" customWidth="1"/>
  </cols>
  <sheetData>
    <row r="2" spans="2:6" ht="15.75">
      <c r="B2" s="460" t="s">
        <v>1949</v>
      </c>
      <c r="C2" s="460"/>
      <c r="D2" s="460"/>
      <c r="E2" s="460"/>
      <c r="F2" s="460"/>
    </row>
    <row r="3" spans="2:6" s="225" customFormat="1" ht="9.75" customHeight="1">
      <c r="B3" s="461" t="s">
        <v>1950</v>
      </c>
      <c r="C3" s="462"/>
      <c r="D3" s="463"/>
      <c r="E3" s="463"/>
      <c r="F3" s="466" t="s">
        <v>1955</v>
      </c>
    </row>
    <row r="4" spans="2:6" s="225" customFormat="1" ht="11.25" customHeight="1">
      <c r="B4" s="461"/>
      <c r="C4" s="236"/>
      <c r="D4" s="236"/>
      <c r="E4" s="236"/>
      <c r="F4" s="467"/>
    </row>
    <row r="5" spans="2:6">
      <c r="B5" s="461"/>
      <c r="C5" s="237" t="s">
        <v>1951</v>
      </c>
      <c r="D5" s="227" t="s">
        <v>1952</v>
      </c>
      <c r="E5" s="227" t="s">
        <v>1953</v>
      </c>
      <c r="F5" s="227" t="s">
        <v>1954</v>
      </c>
    </row>
    <row r="6" spans="2:6">
      <c r="B6" s="461"/>
      <c r="C6" s="69" t="s">
        <v>234</v>
      </c>
      <c r="D6" s="25">
        <v>406016.1</v>
      </c>
      <c r="E6" s="69">
        <v>61264011.920000002</v>
      </c>
      <c r="F6" s="25">
        <f>+E6/D6</f>
        <v>150.89059749108472</v>
      </c>
    </row>
    <row r="7" spans="2:6" ht="15.75" customHeight="1">
      <c r="B7" s="465"/>
      <c r="C7" s="465"/>
      <c r="D7" s="465"/>
      <c r="E7" s="465"/>
      <c r="F7" s="466" t="s">
        <v>1964</v>
      </c>
    </row>
    <row r="8" spans="2:6" ht="11.25" customHeight="1">
      <c r="B8" s="465"/>
      <c r="C8" s="465"/>
      <c r="D8" s="465"/>
      <c r="E8" s="465"/>
      <c r="F8" s="467"/>
    </row>
    <row r="9" spans="2:6">
      <c r="B9" s="461" t="s">
        <v>1956</v>
      </c>
      <c r="C9" s="237" t="s">
        <v>1951</v>
      </c>
      <c r="D9" s="227" t="s">
        <v>1952</v>
      </c>
      <c r="E9" s="227" t="s">
        <v>1953</v>
      </c>
      <c r="F9" s="227" t="s">
        <v>1954</v>
      </c>
    </row>
    <row r="10" spans="2:6">
      <c r="B10" s="461"/>
      <c r="C10" s="235" t="s">
        <v>1957</v>
      </c>
      <c r="D10" s="25">
        <v>49687.400000000009</v>
      </c>
      <c r="E10" s="69">
        <v>6118732.1500000004</v>
      </c>
      <c r="F10" s="234">
        <f t="shared" ref="F10:F16" si="0">+E10/D10</f>
        <v>123.1445426808406</v>
      </c>
    </row>
    <row r="11" spans="2:6">
      <c r="B11" s="461"/>
      <c r="C11" s="235" t="s">
        <v>1958</v>
      </c>
      <c r="D11" s="25">
        <v>846.1</v>
      </c>
      <c r="E11" s="69">
        <v>102637.22999999998</v>
      </c>
      <c r="F11" s="234">
        <f t="shared" si="0"/>
        <v>121.30626403498403</v>
      </c>
    </row>
    <row r="12" spans="2:6">
      <c r="B12" s="461"/>
      <c r="C12" s="235" t="s">
        <v>622</v>
      </c>
      <c r="D12" s="25">
        <v>909.7</v>
      </c>
      <c r="E12" s="69">
        <v>104412.64</v>
      </c>
      <c r="F12" s="234">
        <f t="shared" si="0"/>
        <v>114.77700340771682</v>
      </c>
    </row>
    <row r="13" spans="2:6">
      <c r="B13" s="461"/>
      <c r="C13" s="235" t="s">
        <v>1959</v>
      </c>
      <c r="D13" s="25">
        <v>10591.2</v>
      </c>
      <c r="E13" s="69">
        <v>1396913.68</v>
      </c>
      <c r="F13" s="234">
        <f t="shared" si="0"/>
        <v>131.89380617871439</v>
      </c>
    </row>
    <row r="14" spans="2:6">
      <c r="B14" s="461"/>
      <c r="C14" s="235" t="s">
        <v>1960</v>
      </c>
      <c r="D14" s="25">
        <v>31724.2</v>
      </c>
      <c r="E14" s="69">
        <v>3839698.75</v>
      </c>
      <c r="F14" s="234">
        <f t="shared" si="0"/>
        <v>121.03374553180221</v>
      </c>
    </row>
    <row r="15" spans="2:6">
      <c r="B15" s="461"/>
      <c r="C15" s="235" t="s">
        <v>1961</v>
      </c>
      <c r="D15" s="25">
        <v>264543.80000000005</v>
      </c>
      <c r="E15" s="69">
        <v>30961910.690000005</v>
      </c>
      <c r="F15" s="234">
        <f t="shared" si="0"/>
        <v>117.0388823703296</v>
      </c>
    </row>
    <row r="16" spans="2:6">
      <c r="B16" s="461"/>
      <c r="C16" s="235" t="s">
        <v>1962</v>
      </c>
      <c r="D16" s="25">
        <v>57892.499999999985</v>
      </c>
      <c r="E16" s="69">
        <v>6893788.4600000009</v>
      </c>
      <c r="F16" s="234">
        <f t="shared" si="0"/>
        <v>119.0791287299737</v>
      </c>
    </row>
    <row r="17" spans="2:9">
      <c r="D17" s="25">
        <f>SUM(D10:D16)</f>
        <v>416194.9</v>
      </c>
      <c r="E17" s="25">
        <f>SUM(E10:E16)</f>
        <v>49418093.600000001</v>
      </c>
      <c r="F17" s="239">
        <f>+E17/D17</f>
        <v>118.73786439958779</v>
      </c>
    </row>
    <row r="18" spans="2:9">
      <c r="D18" s="465"/>
      <c r="E18" s="465"/>
      <c r="F18" s="465"/>
    </row>
    <row r="19" spans="2:9">
      <c r="D19" s="464" t="s">
        <v>1963</v>
      </c>
      <c r="E19" s="464"/>
      <c r="F19" s="18">
        <f>+F6-F17</f>
        <v>32.152733091496927</v>
      </c>
    </row>
    <row r="21" spans="2:9">
      <c r="B21" s="459" t="s">
        <v>1965</v>
      </c>
      <c r="C21" s="459"/>
      <c r="D21" s="459"/>
    </row>
    <row r="22" spans="2:9" ht="15.75">
      <c r="B22" s="240" t="s">
        <v>1936</v>
      </c>
      <c r="C22" s="458" t="s">
        <v>1937</v>
      </c>
      <c r="D22" s="458"/>
      <c r="E22" s="458"/>
      <c r="F22" s="458" t="s">
        <v>1938</v>
      </c>
      <c r="G22" s="458"/>
      <c r="H22" s="458"/>
      <c r="I22" s="228" t="s">
        <v>1939</v>
      </c>
    </row>
    <row r="23" spans="2:9">
      <c r="B23" s="229" t="s">
        <v>1940</v>
      </c>
      <c r="C23" s="229" t="s">
        <v>1941</v>
      </c>
      <c r="D23" s="229" t="s">
        <v>182</v>
      </c>
      <c r="E23" s="229" t="s">
        <v>38</v>
      </c>
      <c r="F23" s="229" t="s">
        <v>1941</v>
      </c>
      <c r="G23" s="229" t="s">
        <v>182</v>
      </c>
      <c r="H23" s="229" t="s">
        <v>38</v>
      </c>
      <c r="I23" s="229" t="s">
        <v>1942</v>
      </c>
    </row>
    <row r="24" spans="2:9">
      <c r="B24" s="230" t="s">
        <v>1943</v>
      </c>
      <c r="C24" s="231">
        <v>396215.1</v>
      </c>
      <c r="D24" s="231">
        <f>+E24/C24</f>
        <v>111.94215644482</v>
      </c>
      <c r="E24" s="238">
        <v>44353172.710000001</v>
      </c>
      <c r="F24" s="231">
        <v>422404.1</v>
      </c>
      <c r="G24" s="231">
        <f>+H24/F24</f>
        <v>162.14543140087892</v>
      </c>
      <c r="H24" s="232">
        <v>68490895.019999996</v>
      </c>
      <c r="I24" s="231">
        <f>+G24-D24</f>
        <v>50.20327495605892</v>
      </c>
    </row>
    <row r="25" spans="2:9">
      <c r="B25" s="230" t="s">
        <v>1944</v>
      </c>
      <c r="C25" s="231">
        <v>425293.1</v>
      </c>
      <c r="D25" s="231">
        <f>+E25/C25</f>
        <v>112.11408348736435</v>
      </c>
      <c r="E25" s="238">
        <v>47681346.119999997</v>
      </c>
      <c r="F25" s="231">
        <v>308715.72200000007</v>
      </c>
      <c r="G25" s="231">
        <f>+H25/F25</f>
        <v>159.86059226358418</v>
      </c>
      <c r="H25" s="232">
        <v>49351478.160000011</v>
      </c>
      <c r="I25" s="231">
        <f>+G25-D25</f>
        <v>47.746508776219827</v>
      </c>
    </row>
    <row r="26" spans="2:9">
      <c r="B26" s="230" t="s">
        <v>1945</v>
      </c>
      <c r="C26" s="231">
        <v>365699.21</v>
      </c>
      <c r="D26" s="231">
        <f>+E26/C26</f>
        <v>116.09930393341567</v>
      </c>
      <c r="E26" s="238">
        <v>42457423.730000004</v>
      </c>
      <c r="F26" s="231">
        <v>472444.00000000006</v>
      </c>
      <c r="G26" s="231">
        <f>+H26/F26</f>
        <v>153.16550532973218</v>
      </c>
      <c r="H26" s="232">
        <v>72362124</v>
      </c>
      <c r="I26" s="231">
        <f>+G26-D26</f>
        <v>37.066201396316515</v>
      </c>
    </row>
    <row r="27" spans="2:9">
      <c r="B27" s="230" t="s">
        <v>1946</v>
      </c>
      <c r="C27" s="231">
        <v>416194.9</v>
      </c>
      <c r="D27" s="231">
        <f>+E27/C27</f>
        <v>118.73786439958779</v>
      </c>
      <c r="E27" s="238">
        <v>49418093.600000001</v>
      </c>
      <c r="F27" s="231">
        <v>406016.1</v>
      </c>
      <c r="G27" s="231">
        <f>+H27/F27</f>
        <v>150.89059749108475</v>
      </c>
      <c r="H27" s="232">
        <v>61264011.920000009</v>
      </c>
      <c r="I27" s="231">
        <f>+G27-D27</f>
        <v>32.152733091496955</v>
      </c>
    </row>
    <row r="28" spans="2:9">
      <c r="B28" s="230" t="s">
        <v>1947</v>
      </c>
      <c r="C28" s="230"/>
      <c r="D28" s="230"/>
      <c r="E28" s="230"/>
      <c r="F28" s="230"/>
      <c r="G28" s="231"/>
      <c r="H28" s="232"/>
      <c r="I28" s="231"/>
    </row>
    <row r="29" spans="2:9">
      <c r="B29" s="229" t="s">
        <v>1948</v>
      </c>
      <c r="C29" s="233">
        <f>SUM(C24:C28)</f>
        <v>1603402.31</v>
      </c>
      <c r="D29" s="231">
        <f>+E29/C29</f>
        <v>114.69986977878308</v>
      </c>
      <c r="E29" s="233">
        <f>SUM(E24:E28)</f>
        <v>183910036.16</v>
      </c>
      <c r="F29" s="229">
        <f>SUM(F24:F28)</f>
        <v>1609579.9220000003</v>
      </c>
      <c r="G29" s="231">
        <f>+H29/F29</f>
        <v>156.23238440222045</v>
      </c>
      <c r="H29" s="233">
        <f>SUM(H24:H28)</f>
        <v>251468509.10000002</v>
      </c>
      <c r="I29" s="231">
        <f>+G29-D29</f>
        <v>41.532514623437365</v>
      </c>
    </row>
  </sheetData>
  <mergeCells count="12">
    <mergeCell ref="C22:E22"/>
    <mergeCell ref="F22:H22"/>
    <mergeCell ref="B21:D21"/>
    <mergeCell ref="B2:F2"/>
    <mergeCell ref="B3:B6"/>
    <mergeCell ref="B9:B16"/>
    <mergeCell ref="C3:E3"/>
    <mergeCell ref="D19:E19"/>
    <mergeCell ref="D18:F18"/>
    <mergeCell ref="F7:F8"/>
    <mergeCell ref="B7:E8"/>
    <mergeCell ref="F3:F4"/>
  </mergeCells>
  <pageMargins left="0.25" right="0.25" top="0.75" bottom="0.75" header="0.3" footer="0.3"/>
  <pageSetup paperSize="9" scale="8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AB36"/>
  <sheetViews>
    <sheetView topLeftCell="A10" workbookViewId="0">
      <selection activeCell="S40" sqref="S40"/>
    </sheetView>
  </sheetViews>
  <sheetFormatPr defaultColWidth="14.85546875" defaultRowHeight="15"/>
  <cols>
    <col min="1" max="1" width="5.5703125" style="272" customWidth="1"/>
    <col min="2" max="2" width="16.7109375" customWidth="1"/>
    <col min="3" max="3" width="16.5703125" customWidth="1"/>
    <col min="4" max="4" width="15" bestFit="1" customWidth="1"/>
    <col min="5" max="5" width="12.28515625" customWidth="1"/>
    <col min="6" max="7" width="10.5703125" bestFit="1" customWidth="1"/>
    <col min="8" max="8" width="15" bestFit="1" customWidth="1"/>
    <col min="9" max="9" width="8.42578125" customWidth="1"/>
    <col min="10" max="10" width="10.7109375" bestFit="1" customWidth="1"/>
    <col min="11" max="11" width="13" customWidth="1"/>
    <col min="12" max="12" width="8.5703125" bestFit="1" customWidth="1"/>
    <col min="13" max="13" width="12.5703125" bestFit="1" customWidth="1"/>
    <col min="14" max="14" width="12.28515625" customWidth="1"/>
    <col min="15" max="15" width="9.5703125" bestFit="1" customWidth="1"/>
    <col min="16" max="16" width="12.5703125" bestFit="1" customWidth="1"/>
    <col min="17" max="17" width="11" bestFit="1" customWidth="1"/>
    <col min="18" max="18" width="8" bestFit="1" customWidth="1"/>
    <col min="19" max="19" width="9.140625" bestFit="1" customWidth="1"/>
    <col min="20" max="20" width="10.5703125" bestFit="1" customWidth="1"/>
    <col min="21" max="21" width="6.5703125" bestFit="1" customWidth="1"/>
    <col min="22" max="22" width="12.5703125" bestFit="1" customWidth="1"/>
    <col min="23" max="23" width="10.5703125" bestFit="1" customWidth="1"/>
    <col min="24" max="24" width="6.5703125" bestFit="1" customWidth="1"/>
    <col min="25" max="25" width="13.7109375" bestFit="1" customWidth="1"/>
    <col min="26" max="26" width="6.85546875" bestFit="1" customWidth="1"/>
    <col min="27" max="27" width="9.5703125" bestFit="1" customWidth="1"/>
    <col min="28" max="28" width="10" bestFit="1" customWidth="1"/>
  </cols>
  <sheetData>
    <row r="1" spans="1:28" ht="18.75" customHeight="1">
      <c r="S1" s="320" t="s">
        <v>2206</v>
      </c>
      <c r="T1" s="474" t="s">
        <v>1937</v>
      </c>
      <c r="U1" s="474"/>
      <c r="V1" s="474"/>
      <c r="W1" s="458" t="s">
        <v>1938</v>
      </c>
      <c r="X1" s="458"/>
      <c r="Y1" s="458"/>
      <c r="Z1" s="274" t="s">
        <v>2122</v>
      </c>
      <c r="AA1" s="274" t="s">
        <v>2186</v>
      </c>
      <c r="AB1" s="274" t="s">
        <v>2539</v>
      </c>
    </row>
    <row r="2" spans="1:28" ht="15.75">
      <c r="B2" s="475" t="s">
        <v>3422</v>
      </c>
      <c r="C2" s="475"/>
      <c r="D2" s="475"/>
      <c r="E2" s="128"/>
      <c r="I2" s="150"/>
      <c r="J2" s="271" t="s">
        <v>2339</v>
      </c>
      <c r="K2" s="474" t="s">
        <v>1937</v>
      </c>
      <c r="L2" s="474"/>
      <c r="M2" s="474"/>
      <c r="N2" s="458" t="s">
        <v>1938</v>
      </c>
      <c r="O2" s="458"/>
      <c r="P2" s="458"/>
      <c r="Q2" s="274" t="s">
        <v>2122</v>
      </c>
      <c r="S2" s="277" t="s">
        <v>2021</v>
      </c>
      <c r="T2" s="231">
        <v>456298.10000000003</v>
      </c>
      <c r="U2" s="231">
        <f t="shared" ref="U2:U12" si="0">+V2/T2</f>
        <v>117.1409011126717</v>
      </c>
      <c r="V2" s="241">
        <v>53451170.609999985</v>
      </c>
      <c r="W2" s="231">
        <v>498791.30000000005</v>
      </c>
      <c r="X2" s="231">
        <f t="shared" ref="X2:X12" si="1">+Y2/W2</f>
        <v>158.02996934790161</v>
      </c>
      <c r="Y2" s="232">
        <v>78823973.850000009</v>
      </c>
      <c r="Z2" s="233">
        <f t="shared" ref="Z2:Z12" si="2">+X2-U2</f>
        <v>40.889068235229914</v>
      </c>
      <c r="AA2" s="221">
        <v>356072</v>
      </c>
      <c r="AB2" s="417">
        <v>498791.3</v>
      </c>
    </row>
    <row r="3" spans="1:28">
      <c r="B3" s="472" t="s">
        <v>2198</v>
      </c>
      <c r="C3" s="130" t="s">
        <v>834</v>
      </c>
      <c r="D3" s="281">
        <v>0</v>
      </c>
      <c r="E3" s="128"/>
      <c r="I3" s="150"/>
      <c r="J3" s="229" t="s">
        <v>1940</v>
      </c>
      <c r="K3" s="229" t="s">
        <v>1941</v>
      </c>
      <c r="L3" s="229" t="s">
        <v>182</v>
      </c>
      <c r="M3" s="229" t="s">
        <v>38</v>
      </c>
      <c r="N3" s="229" t="s">
        <v>1941</v>
      </c>
      <c r="O3" s="229" t="s">
        <v>182</v>
      </c>
      <c r="P3" s="229" t="s">
        <v>38</v>
      </c>
      <c r="Q3" s="229" t="s">
        <v>1942</v>
      </c>
      <c r="S3" s="277" t="s">
        <v>2024</v>
      </c>
      <c r="T3" s="231">
        <v>434014.45999999996</v>
      </c>
      <c r="U3" s="231">
        <f t="shared" si="0"/>
        <v>117.83356851750979</v>
      </c>
      <c r="V3" s="241">
        <v>51141472.610000007</v>
      </c>
      <c r="W3" s="231">
        <v>469980.30000000005</v>
      </c>
      <c r="X3" s="231">
        <f t="shared" si="1"/>
        <v>160.54471712963286</v>
      </c>
      <c r="Y3" s="232">
        <v>75452854.319999993</v>
      </c>
      <c r="Z3" s="233">
        <f t="shared" si="2"/>
        <v>42.711148612123068</v>
      </c>
      <c r="AA3" s="221">
        <v>407666</v>
      </c>
      <c r="AB3" s="417">
        <v>469980.3</v>
      </c>
    </row>
    <row r="4" spans="1:28">
      <c r="B4" s="473"/>
      <c r="C4" s="130" t="s">
        <v>835</v>
      </c>
      <c r="D4" s="212">
        <v>0</v>
      </c>
      <c r="E4" s="132">
        <f>+D3+D4</f>
        <v>0</v>
      </c>
      <c r="I4" s="150"/>
      <c r="J4" s="310" t="s">
        <v>2332</v>
      </c>
      <c r="K4" s="294">
        <v>499128.4</v>
      </c>
      <c r="L4" s="294">
        <v>148.65679793015178</v>
      </c>
      <c r="M4" s="295">
        <v>74198829.699999973</v>
      </c>
      <c r="N4" s="294">
        <v>578392.69999999995</v>
      </c>
      <c r="O4" s="294">
        <v>180.78847226114723</v>
      </c>
      <c r="P4" s="285">
        <v>104566732.60000004</v>
      </c>
      <c r="Q4" s="311">
        <v>32.131674330995452</v>
      </c>
      <c r="R4" s="97" t="s">
        <v>2176</v>
      </c>
      <c r="S4" s="277" t="s">
        <v>2028</v>
      </c>
      <c r="T4" s="231">
        <v>522544.44000000006</v>
      </c>
      <c r="U4" s="231">
        <f t="shared" si="0"/>
        <v>119.4056192235056</v>
      </c>
      <c r="V4" s="241">
        <v>62394742.429999977</v>
      </c>
      <c r="W4" s="231">
        <v>418456.19999999995</v>
      </c>
      <c r="X4" s="231">
        <f t="shared" si="1"/>
        <v>160.2558634571551</v>
      </c>
      <c r="Y4" s="232">
        <v>67060059.649999984</v>
      </c>
      <c r="Z4" s="233">
        <f t="shared" si="2"/>
        <v>40.850244233649505</v>
      </c>
      <c r="AA4" s="221">
        <v>415459</v>
      </c>
      <c r="AB4" s="417">
        <v>418456.2</v>
      </c>
    </row>
    <row r="5" spans="1:28">
      <c r="B5" s="69" t="s">
        <v>2197</v>
      </c>
      <c r="C5" s="131" t="s">
        <v>2116</v>
      </c>
      <c r="D5" s="212">
        <v>0</v>
      </c>
      <c r="E5" s="128"/>
      <c r="I5" s="128"/>
      <c r="J5" s="277" t="s">
        <v>2338</v>
      </c>
      <c r="K5" s="294">
        <v>506866.57999999996</v>
      </c>
      <c r="L5" s="294">
        <f t="shared" ref="L5" si="3">+M5/K5</f>
        <v>165.4492585405809</v>
      </c>
      <c r="M5" s="295">
        <v>83860699.840000018</v>
      </c>
      <c r="N5" s="294">
        <v>405825</v>
      </c>
      <c r="O5" s="294">
        <f t="shared" ref="O5" si="4">+P5/N5</f>
        <v>220.19842173350582</v>
      </c>
      <c r="P5" s="285">
        <v>89362024.5</v>
      </c>
      <c r="Q5" s="366">
        <f t="shared" ref="Q5" si="5">+O5-L5</f>
        <v>54.749163192924925</v>
      </c>
      <c r="R5" s="97" t="s">
        <v>2176</v>
      </c>
      <c r="S5" s="277" t="s">
        <v>2077</v>
      </c>
      <c r="T5" s="231">
        <v>526452.79999999993</v>
      </c>
      <c r="U5" s="231">
        <f t="shared" si="0"/>
        <v>121.73333765154264</v>
      </c>
      <c r="V5" s="241">
        <v>64086856.460000038</v>
      </c>
      <c r="W5" s="231">
        <f>498942.6-2212</f>
        <v>496730.6</v>
      </c>
      <c r="X5" s="231">
        <f t="shared" si="1"/>
        <v>156.90634202926094</v>
      </c>
      <c r="Y5" s="232">
        <f>77966725.42-26544</f>
        <v>77940181.420000002</v>
      </c>
      <c r="Z5" s="233">
        <f t="shared" si="2"/>
        <v>35.1730043777183</v>
      </c>
      <c r="AA5" s="221">
        <v>406477</v>
      </c>
      <c r="AB5" s="417">
        <v>498942.60000000003</v>
      </c>
    </row>
    <row r="6" spans="1:28">
      <c r="B6" s="24" t="s">
        <v>2199</v>
      </c>
      <c r="C6" s="130" t="s">
        <v>836</v>
      </c>
      <c r="D6" s="212">
        <v>0</v>
      </c>
      <c r="E6" s="128"/>
      <c r="I6" s="150"/>
      <c r="J6" s="277" t="s">
        <v>2356</v>
      </c>
      <c r="K6" s="294">
        <v>428496.94</v>
      </c>
      <c r="L6" s="294">
        <f t="shared" ref="L6" si="6">+M6/K6</f>
        <v>129.78420718710379</v>
      </c>
      <c r="M6" s="295">
        <v>55612135.639999986</v>
      </c>
      <c r="N6" s="294">
        <v>487917</v>
      </c>
      <c r="O6" s="294">
        <f t="shared" ref="O6" si="7">+P6/N6</f>
        <v>250.40064226087631</v>
      </c>
      <c r="P6" s="285">
        <v>122174730.16999999</v>
      </c>
      <c r="Q6" s="366">
        <f t="shared" ref="Q6" si="8">+O6-L6</f>
        <v>120.61643507377252</v>
      </c>
      <c r="R6" s="97" t="s">
        <v>2176</v>
      </c>
      <c r="S6" s="277" t="s">
        <v>2153</v>
      </c>
      <c r="T6" s="231">
        <v>476002.36</v>
      </c>
      <c r="U6" s="231">
        <f t="shared" si="0"/>
        <v>119.99106164095487</v>
      </c>
      <c r="V6" s="241">
        <v>57116028.519999988</v>
      </c>
      <c r="W6" s="231">
        <v>456756.99999999994</v>
      </c>
      <c r="X6" s="231">
        <f t="shared" si="1"/>
        <v>157.19352530995701</v>
      </c>
      <c r="Y6" s="232">
        <v>71799243.040000021</v>
      </c>
      <c r="Z6" s="233">
        <f t="shared" si="2"/>
        <v>37.202463669002142</v>
      </c>
      <c r="AA6" s="221">
        <v>374454</v>
      </c>
      <c r="AB6" s="417">
        <v>456756.99999999994</v>
      </c>
    </row>
    <row r="7" spans="1:28">
      <c r="B7" s="24" t="s">
        <v>2200</v>
      </c>
      <c r="C7" s="130" t="s">
        <v>838</v>
      </c>
      <c r="D7" s="212">
        <v>0</v>
      </c>
      <c r="E7" s="132">
        <f>+D6+D7+D5</f>
        <v>0</v>
      </c>
      <c r="I7" s="150"/>
      <c r="J7" s="277" t="s">
        <v>2366</v>
      </c>
      <c r="K7" s="294">
        <v>473714.1399999999</v>
      </c>
      <c r="L7" s="294">
        <f t="shared" ref="L7" si="9">+M7/K7</f>
        <v>151.75375961967276</v>
      </c>
      <c r="M7" s="295">
        <v>71887901.729999989</v>
      </c>
      <c r="N7" s="294">
        <v>332726</v>
      </c>
      <c r="O7" s="294">
        <f t="shared" ref="O7" si="10">+P7/N7</f>
        <v>248.41289361216135</v>
      </c>
      <c r="P7" s="285">
        <v>82653428.439999998</v>
      </c>
      <c r="Q7" s="366">
        <f t="shared" ref="Q7" si="11">+O7-L7</f>
        <v>96.659133992488592</v>
      </c>
      <c r="R7" s="97" t="s">
        <v>2176</v>
      </c>
      <c r="S7" s="277" t="s">
        <v>2118</v>
      </c>
      <c r="T7" s="231">
        <v>565051.98</v>
      </c>
      <c r="U7" s="231">
        <f t="shared" si="0"/>
        <v>117.28380089916688</v>
      </c>
      <c r="V7" s="241">
        <v>66271443.920000024</v>
      </c>
      <c r="W7" s="231">
        <v>755511.39999999991</v>
      </c>
      <c r="X7" s="231">
        <f t="shared" si="1"/>
        <v>167.73592459359332</v>
      </c>
      <c r="Y7" s="238">
        <v>126726403.2200001</v>
      </c>
      <c r="Z7" s="233">
        <f t="shared" si="2"/>
        <v>50.452123694426447</v>
      </c>
      <c r="AA7" s="221">
        <v>476185</v>
      </c>
      <c r="AB7" s="417">
        <v>750187.2</v>
      </c>
    </row>
    <row r="8" spans="1:28" ht="15.75">
      <c r="B8" s="149"/>
      <c r="C8" s="147" t="s">
        <v>837</v>
      </c>
      <c r="D8" s="224">
        <f>+E4+E7</f>
        <v>0</v>
      </c>
      <c r="E8" s="129" t="s">
        <v>2120</v>
      </c>
      <c r="I8" s="129"/>
      <c r="J8" s="277" t="s">
        <v>2507</v>
      </c>
      <c r="K8" s="294">
        <v>547753.42000000004</v>
      </c>
      <c r="L8" s="294">
        <f t="shared" ref="L8" si="12">+M8/K8</f>
        <v>152.92042883091443</v>
      </c>
      <c r="M8" s="295">
        <v>83762687.879999995</v>
      </c>
      <c r="N8" s="294">
        <v>595287.70000000007</v>
      </c>
      <c r="O8" s="294">
        <f t="shared" ref="O8" si="13">+P8/N8</f>
        <v>228.0478862573508</v>
      </c>
      <c r="P8" s="285">
        <v>135754101.69999999</v>
      </c>
      <c r="Q8" s="366">
        <f t="shared" ref="Q8" si="14">+O8-L8</f>
        <v>75.127457426436365</v>
      </c>
      <c r="R8" s="97" t="s">
        <v>2176</v>
      </c>
      <c r="S8" s="277" t="s">
        <v>2123</v>
      </c>
      <c r="T8" s="231">
        <v>604520.36</v>
      </c>
      <c r="U8" s="231">
        <f t="shared" si="0"/>
        <v>117.8227603450776</v>
      </c>
      <c r="V8" s="289">
        <v>71226257.50000003</v>
      </c>
      <c r="W8" s="231">
        <v>594994.10000000009</v>
      </c>
      <c r="X8" s="231">
        <f t="shared" si="1"/>
        <v>173.88635969667592</v>
      </c>
      <c r="Y8" s="238">
        <v>103461358.08999999</v>
      </c>
      <c r="Z8" s="233">
        <f t="shared" si="2"/>
        <v>56.063599351598327</v>
      </c>
      <c r="AA8" s="221">
        <v>465076</v>
      </c>
      <c r="AB8" s="417">
        <v>594994.1</v>
      </c>
    </row>
    <row r="9" spans="1:28">
      <c r="C9" s="267" t="s">
        <v>2026</v>
      </c>
      <c r="D9" s="300">
        <v>1770201</v>
      </c>
      <c r="J9" s="277" t="s">
        <v>3411</v>
      </c>
      <c r="K9" s="294">
        <v>598526.26</v>
      </c>
      <c r="L9" s="294">
        <f t="shared" ref="L9" si="15">+M9/K9</f>
        <v>150.23713500891344</v>
      </c>
      <c r="M9" s="295">
        <v>89920870.530000031</v>
      </c>
      <c r="N9" s="294">
        <v>485002.92</v>
      </c>
      <c r="O9" s="294">
        <f t="shared" ref="O9" si="16">+P9/N9</f>
        <v>209.3642013124375</v>
      </c>
      <c r="P9" s="285">
        <v>101542248.98000002</v>
      </c>
      <c r="Q9" s="363">
        <f t="shared" ref="Q9" si="17">+O9-L9</f>
        <v>59.12706630352406</v>
      </c>
      <c r="R9" s="97" t="s">
        <v>2176</v>
      </c>
      <c r="S9" s="277" t="s">
        <v>2124</v>
      </c>
      <c r="T9" s="231">
        <v>498019.1</v>
      </c>
      <c r="U9" s="231">
        <f t="shared" si="0"/>
        <v>117.73229251649184</v>
      </c>
      <c r="V9" s="241">
        <v>58632930.359999999</v>
      </c>
      <c r="W9" s="231">
        <v>599632.89999999991</v>
      </c>
      <c r="X9" s="231">
        <f t="shared" si="1"/>
        <v>171.99243588869126</v>
      </c>
      <c r="Y9" s="238">
        <v>103132323.11</v>
      </c>
      <c r="Z9" s="233">
        <f t="shared" si="2"/>
        <v>54.260143372199423</v>
      </c>
      <c r="AA9" s="221">
        <v>463388</v>
      </c>
      <c r="AB9" s="417">
        <v>599632.9</v>
      </c>
    </row>
    <row r="10" spans="1:28" s="272" customFormat="1">
      <c r="C10" s="267" t="s">
        <v>2119</v>
      </c>
      <c r="D10" s="25">
        <v>0</v>
      </c>
      <c r="E10" s="97"/>
      <c r="J10" s="229" t="s">
        <v>1948</v>
      </c>
      <c r="K10" s="233">
        <f>SUM(K5:K9)</f>
        <v>2555357.34</v>
      </c>
      <c r="L10" s="231">
        <f>+M10/K10</f>
        <v>150.68119420824334</v>
      </c>
      <c r="M10" s="233">
        <f>SUM(M5:M9)</f>
        <v>385044295.62000006</v>
      </c>
      <c r="N10" s="233">
        <f>SUM(N5:N9)</f>
        <v>2306758.62</v>
      </c>
      <c r="O10" s="231">
        <f>+P10/N10</f>
        <v>230.40405232776371</v>
      </c>
      <c r="P10" s="233">
        <f>SUM(P5:P9)</f>
        <v>531486533.79000002</v>
      </c>
      <c r="Q10" s="231">
        <f>+O10-L10</f>
        <v>79.722858119520367</v>
      </c>
      <c r="R10" s="348" t="s">
        <v>2176</v>
      </c>
      <c r="S10" s="277" t="s">
        <v>2129</v>
      </c>
      <c r="T10" s="294">
        <v>609575.11</v>
      </c>
      <c r="U10" s="294">
        <f t="shared" si="0"/>
        <v>115.59296887958565</v>
      </c>
      <c r="V10" s="295">
        <v>70462596.719999999</v>
      </c>
      <c r="W10" s="294">
        <v>546433.9</v>
      </c>
      <c r="X10" s="294">
        <f t="shared" si="1"/>
        <v>165.24190744754304</v>
      </c>
      <c r="Y10" s="296">
        <v>90293779.929999992</v>
      </c>
      <c r="Z10" s="311">
        <f t="shared" si="2"/>
        <v>49.648938567957387</v>
      </c>
      <c r="AA10" s="221">
        <v>530455</v>
      </c>
      <c r="AB10" s="417">
        <v>546433.9</v>
      </c>
    </row>
    <row r="11" spans="1:28" s="257" customFormat="1" ht="15.75">
      <c r="A11" s="272"/>
      <c r="C11" s="284" t="s">
        <v>2027</v>
      </c>
      <c r="D11" s="384">
        <f>+D8+D9+D10</f>
        <v>1770201</v>
      </c>
      <c r="E11" s="97" t="s">
        <v>847</v>
      </c>
      <c r="J11" s="322"/>
      <c r="K11" s="322"/>
      <c r="L11" s="4">
        <f>+L8-L9</f>
        <v>2.6832938220009908</v>
      </c>
      <c r="M11" s="322"/>
      <c r="N11" s="4"/>
      <c r="O11" s="4">
        <f>+O8-O9</f>
        <v>18.683684944913296</v>
      </c>
      <c r="P11" s="265"/>
      <c r="Q11" s="260"/>
      <c r="R11"/>
      <c r="S11" s="277" t="s">
        <v>2151</v>
      </c>
      <c r="T11" s="294">
        <v>564302.02999999991</v>
      </c>
      <c r="U11" s="294">
        <f t="shared" si="0"/>
        <v>117.80843370349031</v>
      </c>
      <c r="V11" s="295">
        <v>66479538.289999992</v>
      </c>
      <c r="W11" s="294">
        <v>743253.79999999993</v>
      </c>
      <c r="X11" s="294">
        <f t="shared" si="1"/>
        <v>165.12415188459178</v>
      </c>
      <c r="Y11" s="285">
        <v>122729153.36</v>
      </c>
      <c r="Z11" s="311">
        <f t="shared" si="2"/>
        <v>47.315718181101474</v>
      </c>
      <c r="AA11" s="221">
        <v>505763</v>
      </c>
      <c r="AB11" s="417">
        <v>743253.8</v>
      </c>
    </row>
    <row r="12" spans="1:28" s="257" customFormat="1">
      <c r="A12" s="272"/>
      <c r="C12" s="266"/>
      <c r="D12" s="4"/>
      <c r="J12" s="259"/>
      <c r="K12" s="260"/>
      <c r="L12" s="260"/>
      <c r="M12" s="275"/>
      <c r="N12" s="275"/>
      <c r="O12" s="275"/>
      <c r="P12" s="242"/>
      <c r="Q12" s="242"/>
      <c r="R12" s="280"/>
      <c r="S12" s="277" t="s">
        <v>2159</v>
      </c>
      <c r="T12" s="294">
        <v>591945.54</v>
      </c>
      <c r="U12" s="294">
        <f t="shared" si="0"/>
        <v>121.73734114121373</v>
      </c>
      <c r="V12" s="295">
        <v>72061876.139999986</v>
      </c>
      <c r="W12" s="294">
        <v>715664.90000000014</v>
      </c>
      <c r="X12" s="294">
        <f t="shared" si="1"/>
        <v>174.93486390068873</v>
      </c>
      <c r="Y12" s="285">
        <v>125194741.88000003</v>
      </c>
      <c r="Z12" s="311">
        <f t="shared" si="2"/>
        <v>53.197522759474992</v>
      </c>
      <c r="AA12" s="221">
        <v>467210</v>
      </c>
      <c r="AB12" s="417">
        <v>715664.9</v>
      </c>
    </row>
    <row r="13" spans="1:28" s="292" customFormat="1">
      <c r="C13" s="266"/>
      <c r="D13" s="4"/>
      <c r="J13" s="259"/>
      <c r="K13" s="260"/>
      <c r="L13" s="260"/>
      <c r="M13" s="275"/>
      <c r="N13" s="275"/>
      <c r="O13" s="275"/>
      <c r="P13" s="4"/>
      <c r="Q13" s="280"/>
      <c r="R13" s="280"/>
      <c r="S13" s="277" t="s">
        <v>2164</v>
      </c>
      <c r="T13" s="294">
        <v>517056.39</v>
      </c>
      <c r="U13" s="294">
        <f>+V13/T13</f>
        <v>124.09667407843082</v>
      </c>
      <c r="V13" s="295">
        <v>64164978.310000017</v>
      </c>
      <c r="W13" s="294">
        <v>560251.9</v>
      </c>
      <c r="X13" s="294">
        <f>+Y13/W13</f>
        <v>189.87024590188807</v>
      </c>
      <c r="Y13" s="285">
        <v>106375166.02000001</v>
      </c>
      <c r="Z13" s="311">
        <f>+X13-U13</f>
        <v>65.773571823457246</v>
      </c>
      <c r="AA13" s="221">
        <v>459730</v>
      </c>
      <c r="AB13" s="417">
        <v>560251.9</v>
      </c>
    </row>
    <row r="14" spans="1:28">
      <c r="B14" s="97" t="s">
        <v>3421</v>
      </c>
      <c r="J14" s="259"/>
      <c r="K14" s="260"/>
      <c r="L14" s="260"/>
      <c r="M14" s="261"/>
      <c r="N14" s="261"/>
      <c r="O14" s="261"/>
      <c r="P14" s="280"/>
      <c r="Q14" s="280"/>
      <c r="R14" s="149"/>
      <c r="S14" s="426" t="s">
        <v>844</v>
      </c>
      <c r="T14" s="418">
        <f>SUM(T2:T13)</f>
        <v>6365782.6699999999</v>
      </c>
      <c r="U14" s="421">
        <f>+V14/T14</f>
        <v>118.99399196265684</v>
      </c>
      <c r="V14" s="418">
        <f>SUM(V2:V13)</f>
        <v>757489891.87000012</v>
      </c>
      <c r="W14" s="418">
        <f>SUM(W2:W13)</f>
        <v>6856458.3000000007</v>
      </c>
      <c r="X14" s="422">
        <f>+Y14/W14</f>
        <v>167.57766001289616</v>
      </c>
      <c r="Y14" s="423">
        <f>SUM(Y2:Y13)</f>
        <v>1148989237.8900001</v>
      </c>
      <c r="Z14" s="424">
        <f>+X14-U14</f>
        <v>48.583668050239325</v>
      </c>
      <c r="AA14" s="418">
        <f>SUM(AA2:AA13)</f>
        <v>5327935</v>
      </c>
      <c r="AB14" s="418">
        <f>SUM(AB2:AB13)</f>
        <v>6853346.1000000006</v>
      </c>
    </row>
    <row r="15" spans="1:28">
      <c r="J15" s="259"/>
      <c r="K15" s="260"/>
      <c r="L15" s="260"/>
      <c r="M15" s="261"/>
      <c r="N15" s="261"/>
      <c r="O15" s="261"/>
      <c r="R15" s="286"/>
      <c r="S15" s="414" t="s">
        <v>2540</v>
      </c>
      <c r="T15" s="357" t="s">
        <v>2176</v>
      </c>
    </row>
    <row r="16" spans="1:28" ht="18" customHeight="1">
      <c r="B16" s="469" t="s">
        <v>3413</v>
      </c>
      <c r="C16" s="470"/>
      <c r="D16" s="470"/>
      <c r="E16" s="470"/>
      <c r="F16" s="470"/>
      <c r="G16" s="470"/>
      <c r="H16" s="471"/>
      <c r="J16" s="322"/>
      <c r="K16" s="322"/>
      <c r="L16" s="322"/>
      <c r="M16" s="322"/>
      <c r="N16" s="322"/>
      <c r="O16" s="322"/>
      <c r="P16" s="322"/>
      <c r="Q16" s="322"/>
      <c r="R16" s="322"/>
      <c r="S16" s="277" t="s">
        <v>2177</v>
      </c>
      <c r="T16" s="294">
        <v>756969.14999999991</v>
      </c>
      <c r="U16" s="294">
        <f t="shared" ref="U16:U27" si="18">+V16/T16</f>
        <v>121.37935395385662</v>
      </c>
      <c r="V16" s="295">
        <v>91880426.389999971</v>
      </c>
      <c r="W16" s="294">
        <v>292137.2</v>
      </c>
      <c r="X16" s="294">
        <f t="shared" ref="X16:X27" si="19">+Y16/W16</f>
        <v>176.28737856733068</v>
      </c>
      <c r="Y16" s="285">
        <v>51500101.169999994</v>
      </c>
      <c r="Z16" s="311">
        <f t="shared" ref="Z16:Z28" si="20">+X16-U16</f>
        <v>54.908024613474055</v>
      </c>
      <c r="AA16" s="221">
        <v>464875</v>
      </c>
      <c r="AB16" s="417">
        <v>292137.2</v>
      </c>
    </row>
    <row r="17" spans="1:28" ht="15.75">
      <c r="B17" s="133" t="s">
        <v>839</v>
      </c>
      <c r="C17" s="134" t="s">
        <v>840</v>
      </c>
      <c r="D17" s="134" t="s">
        <v>841</v>
      </c>
      <c r="E17" s="134" t="s">
        <v>842</v>
      </c>
      <c r="F17" s="134" t="s">
        <v>843</v>
      </c>
      <c r="G17" s="135" t="s">
        <v>844</v>
      </c>
      <c r="H17" s="134" t="s">
        <v>845</v>
      </c>
      <c r="J17" s="349"/>
      <c r="K17" s="349"/>
      <c r="L17" s="349"/>
      <c r="M17" s="349"/>
      <c r="N17" s="349"/>
      <c r="O17" s="349"/>
      <c r="P17" s="349"/>
      <c r="Q17" s="349"/>
      <c r="R17" s="349"/>
      <c r="S17" s="277" t="s">
        <v>2195</v>
      </c>
      <c r="T17" s="294">
        <v>473583.36999999994</v>
      </c>
      <c r="U17" s="294">
        <f t="shared" si="18"/>
        <v>117.22124026441216</v>
      </c>
      <c r="V17" s="295">
        <v>55514029.999999993</v>
      </c>
      <c r="W17" s="294">
        <v>459832</v>
      </c>
      <c r="X17" s="294">
        <f t="shared" si="19"/>
        <v>178.56895990274714</v>
      </c>
      <c r="Y17" s="285">
        <v>82111721.970000029</v>
      </c>
      <c r="Z17" s="311">
        <f t="shared" si="20"/>
        <v>61.347719638334979</v>
      </c>
      <c r="AA17" s="221">
        <v>407546</v>
      </c>
      <c r="AB17" s="417">
        <v>459832</v>
      </c>
    </row>
    <row r="18" spans="1:28" ht="15.75">
      <c r="B18" s="136">
        <v>46120</v>
      </c>
      <c r="C18" s="137">
        <v>1679</v>
      </c>
      <c r="D18" s="137">
        <v>839</v>
      </c>
      <c r="E18" s="137">
        <v>55</v>
      </c>
      <c r="F18" s="137">
        <v>0</v>
      </c>
      <c r="G18" s="314">
        <f t="shared" ref="G18:G27" si="21">+C18+D18+E18+F18</f>
        <v>2573</v>
      </c>
      <c r="H18" s="138" t="s">
        <v>3297</v>
      </c>
      <c r="J18" s="349"/>
      <c r="K18" s="349"/>
      <c r="L18" s="349"/>
      <c r="M18" s="349"/>
      <c r="N18" s="349"/>
      <c r="O18" s="349"/>
      <c r="P18" s="349"/>
      <c r="Q18" s="349"/>
      <c r="R18" s="349"/>
      <c r="S18" s="277" t="s">
        <v>2205</v>
      </c>
      <c r="T18" s="294">
        <v>430845.64000000007</v>
      </c>
      <c r="U18" s="294">
        <f t="shared" si="18"/>
        <v>117.47756774328734</v>
      </c>
      <c r="V18" s="295">
        <v>50614697.859999999</v>
      </c>
      <c r="W18" s="294">
        <v>444822.5</v>
      </c>
      <c r="X18" s="294">
        <f t="shared" si="19"/>
        <v>191.32587557958513</v>
      </c>
      <c r="Y18" s="285">
        <v>85106054.290000007</v>
      </c>
      <c r="Z18" s="311">
        <f t="shared" si="20"/>
        <v>73.848307836297792</v>
      </c>
      <c r="AA18" s="221">
        <v>410451</v>
      </c>
      <c r="AB18" s="417">
        <v>444822.5</v>
      </c>
    </row>
    <row r="19" spans="1:28" ht="15.75">
      <c r="B19" s="136">
        <v>46242</v>
      </c>
      <c r="C19" s="137">
        <v>2030</v>
      </c>
      <c r="D19" s="137">
        <v>469</v>
      </c>
      <c r="E19" s="137">
        <v>292</v>
      </c>
      <c r="F19" s="137">
        <v>0</v>
      </c>
      <c r="G19" s="314">
        <f t="shared" si="21"/>
        <v>2791</v>
      </c>
      <c r="H19" s="138" t="s">
        <v>3310</v>
      </c>
      <c r="J19" s="322"/>
      <c r="K19" s="322"/>
      <c r="L19" s="322"/>
      <c r="M19" s="322"/>
      <c r="N19" s="322"/>
      <c r="O19" s="322"/>
      <c r="P19" s="322"/>
      <c r="Q19" s="322"/>
      <c r="R19" s="322"/>
      <c r="S19" s="277" t="s">
        <v>2229</v>
      </c>
      <c r="T19" s="294">
        <v>572685.4</v>
      </c>
      <c r="U19" s="294">
        <f t="shared" si="18"/>
        <v>118.07102768815129</v>
      </c>
      <c r="V19" s="295">
        <v>67617553.719999999</v>
      </c>
      <c r="W19" s="294">
        <v>510650.3</v>
      </c>
      <c r="X19" s="294">
        <f t="shared" si="19"/>
        <v>186.37146861560635</v>
      </c>
      <c r="Y19" s="285">
        <v>95170646.35999997</v>
      </c>
      <c r="Z19" s="311">
        <f t="shared" si="20"/>
        <v>68.300440927455057</v>
      </c>
      <c r="AA19" s="221">
        <v>533251</v>
      </c>
      <c r="AB19" s="417">
        <v>510650.3</v>
      </c>
    </row>
    <row r="20" spans="1:28" ht="15.75">
      <c r="B20" s="136">
        <v>46242</v>
      </c>
      <c r="C20" s="137">
        <v>1966</v>
      </c>
      <c r="D20" s="137">
        <v>1677</v>
      </c>
      <c r="E20" s="137">
        <v>531</v>
      </c>
      <c r="F20" s="137">
        <v>0</v>
      </c>
      <c r="G20" s="314">
        <f t="shared" si="21"/>
        <v>4174</v>
      </c>
      <c r="H20" s="138" t="s">
        <v>3316</v>
      </c>
      <c r="J20" s="322"/>
      <c r="K20" s="322"/>
      <c r="L20" s="322"/>
      <c r="M20" s="322"/>
      <c r="N20" s="322"/>
      <c r="O20" s="322"/>
      <c r="P20" s="322"/>
      <c r="Q20" s="322"/>
      <c r="R20" s="322"/>
      <c r="S20" s="277" t="s">
        <v>2289</v>
      </c>
      <c r="T20" s="294">
        <v>573966.80000000005</v>
      </c>
      <c r="U20" s="294">
        <f t="shared" si="18"/>
        <v>117.56080505004817</v>
      </c>
      <c r="V20" s="295">
        <v>67475999.079999998</v>
      </c>
      <c r="W20" s="294">
        <v>479775.9</v>
      </c>
      <c r="X20" s="294">
        <f t="shared" si="19"/>
        <v>179.13428542367382</v>
      </c>
      <c r="Y20" s="285">
        <v>85944313.00999999</v>
      </c>
      <c r="Z20" s="311">
        <f t="shared" si="20"/>
        <v>61.573480373625642</v>
      </c>
      <c r="AA20" s="221">
        <v>494357</v>
      </c>
      <c r="AB20" s="417">
        <v>479775.9</v>
      </c>
    </row>
    <row r="21" spans="1:28" ht="15.75">
      <c r="B21" s="136" t="s">
        <v>3415</v>
      </c>
      <c r="C21" s="137">
        <v>5128</v>
      </c>
      <c r="D21" s="137">
        <v>2412</v>
      </c>
      <c r="E21" s="137">
        <v>0</v>
      </c>
      <c r="F21" s="137">
        <v>0</v>
      </c>
      <c r="G21" s="314">
        <f t="shared" si="21"/>
        <v>7540</v>
      </c>
      <c r="H21" s="138" t="s">
        <v>3337</v>
      </c>
      <c r="J21" s="343"/>
      <c r="K21" s="292"/>
      <c r="L21" s="292"/>
      <c r="M21" s="292"/>
      <c r="N21" s="292"/>
      <c r="O21" s="292"/>
      <c r="P21" s="292"/>
      <c r="Q21" s="292"/>
      <c r="R21" s="292"/>
      <c r="S21" s="277" t="s">
        <v>2299</v>
      </c>
      <c r="T21" s="294">
        <v>565461.80000000005</v>
      </c>
      <c r="U21" s="294">
        <f t="shared" si="18"/>
        <v>113.57262983989374</v>
      </c>
      <c r="V21" s="295">
        <v>64220983.700000033</v>
      </c>
      <c r="W21" s="294">
        <v>690216.1</v>
      </c>
      <c r="X21" s="294">
        <f t="shared" si="19"/>
        <v>186.14542199175011</v>
      </c>
      <c r="Y21" s="285">
        <v>128480567.19999999</v>
      </c>
      <c r="Z21" s="311">
        <f t="shared" si="20"/>
        <v>72.572792151856376</v>
      </c>
      <c r="AA21" s="221">
        <v>522545</v>
      </c>
      <c r="AB21" s="417">
        <v>690216.1</v>
      </c>
    </row>
    <row r="22" spans="1:28" ht="15.75">
      <c r="B22" s="136" t="s">
        <v>3414</v>
      </c>
      <c r="C22" s="137">
        <v>2954</v>
      </c>
      <c r="D22" s="137">
        <v>1222</v>
      </c>
      <c r="E22" s="137">
        <v>271</v>
      </c>
      <c r="F22" s="137">
        <v>0</v>
      </c>
      <c r="G22" s="314">
        <f t="shared" si="21"/>
        <v>4447</v>
      </c>
      <c r="H22" s="138" t="s">
        <v>3357</v>
      </c>
      <c r="I22" s="280"/>
      <c r="J22" s="343"/>
      <c r="K22" s="343"/>
      <c r="L22" s="343"/>
      <c r="M22" s="343"/>
      <c r="N22" s="343"/>
      <c r="O22" s="343"/>
      <c r="P22" s="343"/>
      <c r="Q22" s="343"/>
      <c r="R22" s="343"/>
      <c r="S22" s="277" t="s">
        <v>2302</v>
      </c>
      <c r="T22" s="294">
        <v>571721.19999999995</v>
      </c>
      <c r="U22" s="294">
        <f t="shared" si="18"/>
        <v>112.2491131866371</v>
      </c>
      <c r="V22" s="295">
        <v>64175197.689999983</v>
      </c>
      <c r="W22" s="294">
        <v>537984.80000000005</v>
      </c>
      <c r="X22" s="294">
        <f t="shared" si="19"/>
        <v>178.59256399065549</v>
      </c>
      <c r="Y22" s="285">
        <v>96080084.820000008</v>
      </c>
      <c r="Z22" s="311">
        <f t="shared" si="20"/>
        <v>66.343450804018389</v>
      </c>
      <c r="AA22" s="221">
        <v>539698</v>
      </c>
      <c r="AB22" s="417">
        <v>537984.80000000005</v>
      </c>
    </row>
    <row r="23" spans="1:28" s="280" customFormat="1" ht="15.75">
      <c r="B23" s="136" t="s">
        <v>3416</v>
      </c>
      <c r="C23" s="137">
        <v>3536</v>
      </c>
      <c r="D23" s="137">
        <v>1086</v>
      </c>
      <c r="E23" s="137">
        <v>40</v>
      </c>
      <c r="F23" s="137">
        <v>0</v>
      </c>
      <c r="G23" s="314">
        <f t="shared" si="21"/>
        <v>4662</v>
      </c>
      <c r="H23" s="138" t="s">
        <v>3363</v>
      </c>
      <c r="J23" s="343"/>
      <c r="K23" s="343"/>
      <c r="L23" s="343"/>
      <c r="M23" s="343"/>
      <c r="N23" s="343"/>
      <c r="O23" s="343"/>
      <c r="P23" s="343"/>
      <c r="Q23" s="343"/>
      <c r="R23" s="343"/>
      <c r="S23" s="277" t="s">
        <v>2305</v>
      </c>
      <c r="T23" s="294">
        <v>440596.55</v>
      </c>
      <c r="U23" s="294">
        <f t="shared" si="18"/>
        <v>110.86506567062317</v>
      </c>
      <c r="V23" s="295">
        <v>48846765.450000003</v>
      </c>
      <c r="W23" s="294">
        <v>477558.5</v>
      </c>
      <c r="X23" s="294">
        <f t="shared" si="19"/>
        <v>171.66995115781626</v>
      </c>
      <c r="Y23" s="285">
        <v>81982444.36999999</v>
      </c>
      <c r="Z23" s="311">
        <f t="shared" si="20"/>
        <v>60.80488548719309</v>
      </c>
      <c r="AA23" s="221">
        <v>428097</v>
      </c>
      <c r="AB23" s="417">
        <v>477558.5</v>
      </c>
    </row>
    <row r="24" spans="1:28" s="280" customFormat="1" ht="15.75">
      <c r="B24" s="136" t="s">
        <v>3417</v>
      </c>
      <c r="C24" s="137">
        <v>2164</v>
      </c>
      <c r="D24" s="137">
        <v>2789</v>
      </c>
      <c r="E24" s="137">
        <v>82</v>
      </c>
      <c r="F24" s="137">
        <v>0</v>
      </c>
      <c r="G24" s="314">
        <f t="shared" si="21"/>
        <v>5035</v>
      </c>
      <c r="H24" s="138" t="s">
        <v>3373</v>
      </c>
      <c r="I24" s="149"/>
      <c r="J24" s="343"/>
      <c r="K24" s="343"/>
      <c r="L24" s="343"/>
      <c r="M24" s="343"/>
      <c r="N24" s="343"/>
      <c r="O24" s="343"/>
      <c r="P24" s="343"/>
      <c r="Q24" s="343"/>
      <c r="R24" s="343"/>
      <c r="S24" s="277" t="s">
        <v>2308</v>
      </c>
      <c r="T24" s="294">
        <v>515991.27999999997</v>
      </c>
      <c r="U24" s="294">
        <f t="shared" si="18"/>
        <v>109.27314818188404</v>
      </c>
      <c r="V24" s="295">
        <v>56383991.600000016</v>
      </c>
      <c r="W24" s="294">
        <v>626206.1</v>
      </c>
      <c r="X24" s="294">
        <f t="shared" si="19"/>
        <v>178.1369842452828</v>
      </c>
      <c r="Y24" s="285">
        <v>111550466.16999999</v>
      </c>
      <c r="Z24" s="311">
        <f t="shared" si="20"/>
        <v>68.863836063398765</v>
      </c>
      <c r="AA24" s="221">
        <v>482833</v>
      </c>
      <c r="AB24" s="417">
        <v>626206.1</v>
      </c>
    </row>
    <row r="25" spans="1:28" s="149" customFormat="1" ht="15.75">
      <c r="A25" s="272"/>
      <c r="B25" s="136" t="s">
        <v>3418</v>
      </c>
      <c r="C25" s="137">
        <v>2469</v>
      </c>
      <c r="D25" s="137">
        <v>1798</v>
      </c>
      <c r="E25" s="137">
        <v>288</v>
      </c>
      <c r="F25" s="137">
        <v>0</v>
      </c>
      <c r="G25" s="314">
        <f t="shared" si="21"/>
        <v>4555</v>
      </c>
      <c r="H25" s="138" t="s">
        <v>3388</v>
      </c>
      <c r="I25" s="322"/>
      <c r="J25" s="343"/>
      <c r="K25" s="343"/>
      <c r="L25" s="343"/>
      <c r="M25" s="343"/>
      <c r="N25" s="343"/>
      <c r="O25" s="343"/>
      <c r="P25" s="343"/>
      <c r="Q25" s="343"/>
      <c r="R25" s="343"/>
      <c r="S25" s="277" t="s">
        <v>2314</v>
      </c>
      <c r="T25" s="294">
        <v>579217.78</v>
      </c>
      <c r="U25" s="294">
        <f t="shared" si="18"/>
        <v>110.21485374637503</v>
      </c>
      <c r="V25" s="295">
        <v>63838402.910000026</v>
      </c>
      <c r="W25" s="294">
        <v>473359.8</v>
      </c>
      <c r="X25" s="294">
        <f t="shared" si="19"/>
        <v>177.36296941565385</v>
      </c>
      <c r="Y25" s="285">
        <v>83956499.730000019</v>
      </c>
      <c r="Z25" s="311">
        <f t="shared" si="20"/>
        <v>67.148115669278823</v>
      </c>
      <c r="AA25" s="221">
        <v>475054</v>
      </c>
      <c r="AB25" s="417">
        <v>473359.8</v>
      </c>
    </row>
    <row r="26" spans="1:28" s="286" customFormat="1" ht="15.75">
      <c r="B26" s="136" t="s">
        <v>3419</v>
      </c>
      <c r="C26" s="137">
        <v>2937</v>
      </c>
      <c r="D26" s="137">
        <v>1176</v>
      </c>
      <c r="E26" s="137">
        <v>207</v>
      </c>
      <c r="F26" s="137">
        <v>0</v>
      </c>
      <c r="G26" s="314">
        <f t="shared" si="21"/>
        <v>4320</v>
      </c>
      <c r="H26" s="138" t="s">
        <v>3396</v>
      </c>
      <c r="I26" s="322"/>
      <c r="J26" s="343"/>
      <c r="K26" s="343"/>
      <c r="L26" s="343"/>
      <c r="M26" s="343"/>
      <c r="N26" s="343"/>
      <c r="O26" s="343"/>
      <c r="P26" s="343"/>
      <c r="Q26" s="343"/>
      <c r="R26" s="343"/>
      <c r="S26" s="277" t="s">
        <v>2322</v>
      </c>
      <c r="T26" s="294">
        <v>507669.08</v>
      </c>
      <c r="U26" s="294">
        <f t="shared" si="18"/>
        <v>116.50723953879559</v>
      </c>
      <c r="V26" s="295">
        <v>59147123.109999985</v>
      </c>
      <c r="W26" s="294">
        <v>462589.4</v>
      </c>
      <c r="X26" s="294">
        <f t="shared" si="19"/>
        <v>174.85135588926161</v>
      </c>
      <c r="Y26" s="285">
        <v>80884383.810000002</v>
      </c>
      <c r="Z26" s="366">
        <f t="shared" si="20"/>
        <v>58.344116350466024</v>
      </c>
      <c r="AA26" s="221">
        <v>404462</v>
      </c>
      <c r="AB26" s="417">
        <v>462589</v>
      </c>
    </row>
    <row r="27" spans="1:28" s="322" customFormat="1" ht="15.75">
      <c r="B27" s="136" t="s">
        <v>3420</v>
      </c>
      <c r="C27" s="137">
        <v>658</v>
      </c>
      <c r="D27" s="137">
        <v>1287</v>
      </c>
      <c r="E27" s="137">
        <v>0</v>
      </c>
      <c r="F27" s="137">
        <v>0</v>
      </c>
      <c r="G27" s="314">
        <f t="shared" si="21"/>
        <v>1945</v>
      </c>
      <c r="H27" s="138" t="s">
        <v>3402</v>
      </c>
      <c r="J27" s="343"/>
      <c r="K27" s="343"/>
      <c r="L27" s="343"/>
      <c r="M27" s="343"/>
      <c r="N27" s="343"/>
      <c r="O27" s="343"/>
      <c r="P27" s="343"/>
      <c r="Q27" s="343"/>
      <c r="R27" s="343"/>
      <c r="S27" s="277" t="s">
        <v>2332</v>
      </c>
      <c r="T27" s="294">
        <v>499128.4</v>
      </c>
      <c r="U27" s="294">
        <f t="shared" si="18"/>
        <v>148.65679793015178</v>
      </c>
      <c r="V27" s="295">
        <v>74198829.699999973</v>
      </c>
      <c r="W27" s="294">
        <v>578392.69999999995</v>
      </c>
      <c r="X27" s="294">
        <f t="shared" si="19"/>
        <v>180.78847226114723</v>
      </c>
      <c r="Y27" s="285">
        <v>104566732.60000004</v>
      </c>
      <c r="Z27" s="366">
        <f t="shared" si="20"/>
        <v>32.131674330995452</v>
      </c>
      <c r="AA27" s="221">
        <v>514365</v>
      </c>
      <c r="AB27" s="417">
        <v>578392.69999999995</v>
      </c>
    </row>
    <row r="28" spans="1:28" s="292" customFormat="1">
      <c r="B28" s="139" t="s">
        <v>844</v>
      </c>
      <c r="C28" s="210">
        <f>SUM(C18:C27)</f>
        <v>25521</v>
      </c>
      <c r="D28" s="210">
        <f>SUM(D18:D27)</f>
        <v>14755</v>
      </c>
      <c r="E28" s="210">
        <f>SUM(E18:E27)</f>
        <v>1766</v>
      </c>
      <c r="F28" s="210">
        <f>SUM(F18:F27)</f>
        <v>0</v>
      </c>
      <c r="G28" s="222">
        <f>SUM(G18:G27)</f>
        <v>42042</v>
      </c>
      <c r="H28" s="140"/>
      <c r="I28" s="364"/>
      <c r="J28" s="364"/>
      <c r="K28" s="364"/>
      <c r="L28" s="364"/>
      <c r="M28" s="364"/>
      <c r="N28" s="364"/>
      <c r="O28" s="364"/>
      <c r="P28" s="364"/>
      <c r="Q28" s="364"/>
      <c r="R28" s="364"/>
      <c r="S28" s="426" t="s">
        <v>844</v>
      </c>
      <c r="T28" s="418">
        <f>SUM(T16:T27)</f>
        <v>6487836.4500000011</v>
      </c>
      <c r="U28" s="419">
        <f>+V28/T28</f>
        <v>117.7455700520934</v>
      </c>
      <c r="V28" s="418">
        <f>SUM(V16:V27)</f>
        <v>763914001.21000004</v>
      </c>
      <c r="W28" s="418">
        <f>SUM(W16:W27)</f>
        <v>6033525.2999999998</v>
      </c>
      <c r="X28" s="419">
        <f>+Y28/W28</f>
        <v>180.21537350643081</v>
      </c>
      <c r="Y28" s="418">
        <f>SUM(Y16:Y27)</f>
        <v>1087334015.5</v>
      </c>
      <c r="Z28" s="420">
        <f t="shared" si="20"/>
        <v>62.469803454337409</v>
      </c>
      <c r="AA28" s="418">
        <f>SUM(AA16:AA27)</f>
        <v>5677534</v>
      </c>
      <c r="AB28" s="418">
        <f>SUM(AB16:AB27)</f>
        <v>6033524.8999999994</v>
      </c>
    </row>
    <row r="29" spans="1:28" s="343" customFormat="1">
      <c r="B29" s="364"/>
      <c r="C29" s="141">
        <v>60</v>
      </c>
      <c r="D29" s="142">
        <v>45</v>
      </c>
      <c r="E29" s="143">
        <v>45</v>
      </c>
      <c r="F29" s="143">
        <v>18</v>
      </c>
      <c r="G29" s="142"/>
      <c r="H29" s="315"/>
      <c r="I29" s="364"/>
      <c r="J29" s="364"/>
      <c r="K29" s="364"/>
      <c r="L29" s="364"/>
      <c r="M29" s="364"/>
      <c r="N29" s="364"/>
      <c r="O29" s="364"/>
      <c r="P29" s="364"/>
      <c r="Q29" s="364"/>
      <c r="R29" s="364"/>
      <c r="T29" s="322"/>
      <c r="U29" s="322"/>
      <c r="V29" s="322"/>
      <c r="W29" s="322"/>
      <c r="X29" s="322"/>
      <c r="Y29" s="292"/>
      <c r="Z29" s="322"/>
      <c r="AA29" s="322"/>
      <c r="AB29" s="292"/>
    </row>
    <row r="30" spans="1:28" s="343" customFormat="1">
      <c r="B30" s="11"/>
      <c r="C30" s="144">
        <f>+C28*C29</f>
        <v>1531260</v>
      </c>
      <c r="D30" s="144">
        <f>+D28*D29</f>
        <v>663975</v>
      </c>
      <c r="E30" s="144">
        <f>+E28*E29</f>
        <v>79470</v>
      </c>
      <c r="F30" s="144">
        <f>+F28*F29</f>
        <v>0</v>
      </c>
      <c r="G30" s="144">
        <f>+G28*12</f>
        <v>504504</v>
      </c>
      <c r="H30" s="364"/>
      <c r="I30" s="364"/>
      <c r="J30" s="364"/>
      <c r="K30" s="364"/>
      <c r="L30" s="364"/>
      <c r="M30" s="364"/>
      <c r="N30" s="364"/>
      <c r="O30" s="364"/>
      <c r="P30" s="364"/>
      <c r="Q30" s="364"/>
      <c r="R30" s="364"/>
      <c r="S30" s="441" t="s">
        <v>2339</v>
      </c>
      <c r="T30" s="474" t="s">
        <v>1937</v>
      </c>
      <c r="U30" s="474"/>
      <c r="V30" s="474"/>
      <c r="W30" s="458" t="s">
        <v>1938</v>
      </c>
      <c r="X30" s="458"/>
      <c r="Y30" s="458"/>
      <c r="Z30" s="274" t="s">
        <v>2122</v>
      </c>
      <c r="AA30" s="274" t="s">
        <v>2186</v>
      </c>
      <c r="AB30" s="274" t="s">
        <v>2539</v>
      </c>
    </row>
    <row r="31" spans="1:28" s="343" customFormat="1">
      <c r="B31" s="364"/>
      <c r="C31" s="145"/>
      <c r="D31" s="145"/>
      <c r="E31" s="145"/>
      <c r="F31" s="145"/>
      <c r="G31" s="385">
        <f>+F32-G30</f>
        <v>1770201</v>
      </c>
      <c r="H31" s="468" t="s">
        <v>846</v>
      </c>
      <c r="I31" s="364"/>
      <c r="J31" s="364"/>
      <c r="K31" s="364"/>
      <c r="L31" s="364"/>
      <c r="M31" s="364"/>
      <c r="N31" s="364"/>
      <c r="O31" s="364"/>
      <c r="P31" s="364"/>
      <c r="Q31" s="364"/>
      <c r="R31" s="364"/>
      <c r="S31" s="277" t="s">
        <v>2338</v>
      </c>
      <c r="T31" s="294">
        <v>506866.57999999996</v>
      </c>
      <c r="U31" s="294">
        <f>+V31/T31</f>
        <v>165.4492585405809</v>
      </c>
      <c r="V31" s="295">
        <v>83860699.840000018</v>
      </c>
      <c r="W31" s="294">
        <v>405825</v>
      </c>
      <c r="X31" s="294">
        <f>+Y31/W31</f>
        <v>220.19842173350582</v>
      </c>
      <c r="Y31" s="285">
        <v>89362024.5</v>
      </c>
      <c r="Z31" s="366">
        <f>+X31-U31</f>
        <v>54.749163192924925</v>
      </c>
      <c r="AA31" s="69">
        <v>416165</v>
      </c>
      <c r="AB31" s="417">
        <v>405825</v>
      </c>
    </row>
    <row r="32" spans="1:28" s="343" customFormat="1" ht="15.75" customHeight="1">
      <c r="B32" s="364"/>
      <c r="C32" s="364"/>
      <c r="D32" s="316"/>
      <c r="E32" s="316"/>
      <c r="F32" s="386">
        <f>+C30+D30+E30+F30</f>
        <v>2274705</v>
      </c>
      <c r="G32" s="317"/>
      <c r="H32" s="468"/>
      <c r="I32" s="364"/>
      <c r="J32" s="364"/>
      <c r="K32" s="364"/>
      <c r="L32" s="364"/>
      <c r="M32" s="364"/>
      <c r="N32" s="364"/>
      <c r="O32" s="364"/>
      <c r="P32" s="364"/>
      <c r="Q32" s="364"/>
      <c r="R32" s="364"/>
      <c r="S32" s="277" t="s">
        <v>2356</v>
      </c>
      <c r="T32" s="294">
        <v>428496.94</v>
      </c>
      <c r="U32" s="294">
        <f>+V32/T32</f>
        <v>129.78420718710379</v>
      </c>
      <c r="V32" s="295">
        <v>55612135.639999986</v>
      </c>
      <c r="W32" s="294">
        <v>487917</v>
      </c>
      <c r="X32" s="294">
        <f>+Y32/W32</f>
        <v>250.40064226087631</v>
      </c>
      <c r="Y32" s="285">
        <v>122174730.16999999</v>
      </c>
      <c r="Z32" s="366">
        <f>+X32-U32</f>
        <v>120.61643507377252</v>
      </c>
      <c r="AA32" s="395">
        <v>419864</v>
      </c>
      <c r="AB32" s="417">
        <v>487917</v>
      </c>
    </row>
    <row r="33" spans="4:28" s="343" customFormat="1">
      <c r="D33" s="364"/>
      <c r="E33" s="364"/>
      <c r="F33" s="364"/>
      <c r="G33" s="364"/>
      <c r="H33" s="364"/>
      <c r="I33" s="364"/>
      <c r="J33" s="364"/>
      <c r="K33" s="364"/>
      <c r="L33" s="364"/>
      <c r="M33" s="364"/>
      <c r="N33" s="364"/>
      <c r="O33" s="364"/>
      <c r="P33" s="364"/>
      <c r="Q33" s="364"/>
      <c r="R33" s="364"/>
      <c r="S33" s="277" t="s">
        <v>2366</v>
      </c>
      <c r="T33" s="294">
        <v>473714.1399999999</v>
      </c>
      <c r="U33" s="294">
        <f>+V33/T33</f>
        <v>151.75375961967276</v>
      </c>
      <c r="V33" s="295">
        <v>71887901.729999989</v>
      </c>
      <c r="W33" s="294">
        <v>332726</v>
      </c>
      <c r="X33" s="294">
        <f>+Y33/W33</f>
        <v>248.41289361216135</v>
      </c>
      <c r="Y33" s="285">
        <v>82653428.439999998</v>
      </c>
      <c r="Z33" s="366">
        <f>+X33-U33</f>
        <v>96.659133992488592</v>
      </c>
      <c r="AA33" s="395">
        <v>413289</v>
      </c>
      <c r="AB33" s="417">
        <v>332726</v>
      </c>
    </row>
    <row r="34" spans="4:28" s="343" customFormat="1">
      <c r="D34" s="364"/>
      <c r="E34" s="364"/>
      <c r="F34" s="364"/>
      <c r="G34" s="364"/>
      <c r="H34" s="364"/>
      <c r="I34" s="364"/>
      <c r="J34" s="364"/>
      <c r="K34" s="364"/>
      <c r="L34" s="364"/>
      <c r="M34" s="364"/>
      <c r="N34" s="364"/>
      <c r="O34" s="364"/>
      <c r="P34" s="364"/>
      <c r="Q34" s="364"/>
      <c r="R34" s="364"/>
      <c r="S34" s="277" t="s">
        <v>2507</v>
      </c>
      <c r="T34" s="294">
        <v>547753.42000000004</v>
      </c>
      <c r="U34" s="294">
        <f>+V34/T34</f>
        <v>152.92042883091443</v>
      </c>
      <c r="V34" s="295">
        <v>83762687.879999995</v>
      </c>
      <c r="W34" s="294">
        <v>595287.70000000007</v>
      </c>
      <c r="X34" s="294">
        <f>+Y34/W34</f>
        <v>228.0478862573508</v>
      </c>
      <c r="Y34" s="285">
        <v>135754101.69999999</v>
      </c>
      <c r="Z34" s="366">
        <f>+X34-U34</f>
        <v>75.127457426436365</v>
      </c>
      <c r="AA34" s="395">
        <v>481055</v>
      </c>
      <c r="AB34" s="417">
        <v>595287.69999999995</v>
      </c>
    </row>
    <row r="35" spans="4:28">
      <c r="S35" s="277" t="s">
        <v>3411</v>
      </c>
      <c r="T35" s="294">
        <v>598526.26</v>
      </c>
      <c r="U35" s="294">
        <f t="shared" ref="U35" si="22">+V35/T35</f>
        <v>150.23713500891344</v>
      </c>
      <c r="V35" s="295">
        <v>89920870.530000031</v>
      </c>
      <c r="W35" s="294">
        <v>485002.92</v>
      </c>
      <c r="X35" s="294">
        <f t="shared" ref="X35" si="23">+Y35/W35</f>
        <v>209.3642013124375</v>
      </c>
      <c r="Y35" s="285">
        <v>101542248.98000002</v>
      </c>
      <c r="Z35" s="363">
        <f t="shared" ref="Z35" si="24">+X35-U35</f>
        <v>59.12706630352406</v>
      </c>
      <c r="AA35" s="395">
        <v>534170</v>
      </c>
      <c r="AB35" s="417">
        <v>485002.92</v>
      </c>
    </row>
    <row r="36" spans="4:28">
      <c r="S36" s="450" t="s">
        <v>844</v>
      </c>
      <c r="T36" s="425">
        <f>SUM(T31:T35)</f>
        <v>2555357.34</v>
      </c>
      <c r="U36" s="419">
        <f>+V36/T36</f>
        <v>150.68119420824334</v>
      </c>
      <c r="V36" s="425">
        <f>SUM(V31:V35)</f>
        <v>385044295.62000006</v>
      </c>
      <c r="W36" s="425">
        <f>SUM(W31:W35)</f>
        <v>2306758.62</v>
      </c>
      <c r="X36" s="419">
        <f>+Y36/W36</f>
        <v>230.40405232776371</v>
      </c>
      <c r="Y36" s="424">
        <f>SUM(Y31:Y35)</f>
        <v>531486533.79000002</v>
      </c>
      <c r="Z36" s="420">
        <f t="shared" ref="Z36" si="25">+X36-U36</f>
        <v>79.722858119520367</v>
      </c>
      <c r="AA36" s="418">
        <f>SUM(AA31:AA35)</f>
        <v>2264543</v>
      </c>
      <c r="AB36" s="418">
        <f>SUM(AB31:AB35)</f>
        <v>2306758.62</v>
      </c>
    </row>
  </sheetData>
  <mergeCells count="10">
    <mergeCell ref="H31:H32"/>
    <mergeCell ref="B16:H16"/>
    <mergeCell ref="W1:Y1"/>
    <mergeCell ref="N2:P2"/>
    <mergeCell ref="B3:B4"/>
    <mergeCell ref="K2:M2"/>
    <mergeCell ref="T1:V1"/>
    <mergeCell ref="B2:D2"/>
    <mergeCell ref="T30:V30"/>
    <mergeCell ref="W30:Y30"/>
  </mergeCells>
  <pageMargins left="0.7" right="0.7" top="0.75" bottom="0.75" header="0.3" footer="0.3"/>
  <pageSetup orientation="portrait" verticalDpi="0" r:id="rId1"/>
  <ignoredErrors>
    <ignoredError sqref="Z14 X14 U14 U28 X28 Z28 L10 O10 U36 X36 Z36" formula="1"/>
    <ignoredError sqref="M10:N10 K10 P10" formulaRange="1"/>
    <ignoredError sqref="L7 O7 Q7" evalError="1"/>
  </ignoredError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S669"/>
  <sheetViews>
    <sheetView workbookViewId="0">
      <selection activeCell="G19" sqref="G19"/>
    </sheetView>
  </sheetViews>
  <sheetFormatPr defaultRowHeight="12.75"/>
  <cols>
    <col min="1" max="1" width="34.42578125" style="1" customWidth="1"/>
    <col min="2" max="3" width="14.85546875" style="1" customWidth="1"/>
    <col min="4" max="4" width="13" style="1" customWidth="1"/>
    <col min="5" max="5" width="12.85546875" style="1" customWidth="1"/>
    <col min="6" max="6" width="8.28515625" style="1" bestFit="1" customWidth="1"/>
    <col min="7" max="7" width="6.5703125" style="1" bestFit="1" customWidth="1"/>
    <col min="8" max="8" width="26" style="10" bestFit="1" customWidth="1"/>
    <col min="9" max="9" width="23.5703125" style="1" customWidth="1"/>
    <col min="10" max="10" width="16.28515625" style="1" bestFit="1" customWidth="1"/>
    <col min="11" max="11" width="14.85546875" style="1" bestFit="1" customWidth="1"/>
    <col min="12" max="12" width="43" style="1" bestFit="1" customWidth="1"/>
    <col min="13" max="13" width="16.7109375" style="1" bestFit="1" customWidth="1"/>
    <col min="14" max="14" width="15.140625" style="1" bestFit="1" customWidth="1"/>
    <col min="15" max="15" width="17.7109375" style="1" bestFit="1" customWidth="1"/>
    <col min="16" max="16" width="19.42578125" style="1" bestFit="1" customWidth="1"/>
    <col min="17" max="17" width="14.5703125" style="1" bestFit="1" customWidth="1"/>
    <col min="18" max="18" width="23.28515625" style="1" bestFit="1" customWidth="1"/>
    <col min="19" max="19" width="39.140625" style="1" customWidth="1"/>
    <col min="20" max="20" width="12.5703125" style="1" bestFit="1" customWidth="1"/>
    <col min="21" max="21" width="13.42578125" style="1" bestFit="1" customWidth="1"/>
    <col min="22" max="22" width="29.7109375" style="1" customWidth="1"/>
    <col min="23" max="23" width="14.85546875" style="1" bestFit="1" customWidth="1"/>
    <col min="24" max="24" width="13.5703125" style="1" bestFit="1" customWidth="1"/>
    <col min="25" max="26" width="13.42578125" style="1" bestFit="1" customWidth="1"/>
    <col min="27" max="27" width="13.28515625" style="1" bestFit="1" customWidth="1"/>
    <col min="28" max="28" width="12.85546875" style="1" bestFit="1" customWidth="1"/>
    <col min="29" max="29" width="12.7109375" style="1" bestFit="1" customWidth="1"/>
    <col min="30" max="30" width="14.42578125" style="1" bestFit="1" customWidth="1"/>
    <col min="31" max="31" width="12.7109375" style="1" bestFit="1" customWidth="1"/>
    <col min="32" max="32" width="8.28515625" style="1" bestFit="1" customWidth="1"/>
    <col min="33" max="33" width="17.28515625" style="1" bestFit="1" customWidth="1"/>
    <col min="34" max="34" width="8.85546875" style="1" bestFit="1" customWidth="1"/>
    <col min="35" max="36" width="13.28515625" style="1" bestFit="1" customWidth="1"/>
    <col min="37" max="37" width="12" style="1" bestFit="1" customWidth="1"/>
    <col min="38" max="38" width="11.42578125" style="1" bestFit="1" customWidth="1"/>
    <col min="39" max="39" width="7.28515625" style="1" bestFit="1" customWidth="1"/>
    <col min="40" max="40" width="19.85546875" style="1" bestFit="1" customWidth="1"/>
    <col min="41" max="41" width="26.85546875" style="1" bestFit="1" customWidth="1"/>
    <col min="42" max="42" width="33.42578125" style="1" bestFit="1" customWidth="1"/>
    <col min="43" max="43" width="14.85546875" style="1" bestFit="1" customWidth="1"/>
    <col min="44" max="44" width="36.7109375" style="1" bestFit="1" customWidth="1"/>
    <col min="45" max="45" width="11.28515625" style="1" bestFit="1" customWidth="1"/>
    <col min="46" max="16384" width="9.140625" style="1"/>
  </cols>
  <sheetData>
    <row r="1" spans="1:45" ht="15">
      <c r="A1" s="3" t="s">
        <v>26</v>
      </c>
      <c r="B1" s="364" t="s">
        <v>382</v>
      </c>
      <c r="C1"/>
      <c r="D1"/>
      <c r="E1"/>
      <c r="F1"/>
      <c r="G1"/>
      <c r="H1" s="1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</row>
    <row r="2" spans="1:45" ht="15">
      <c r="A2"/>
      <c r="B2"/>
      <c r="C2"/>
      <c r="D2"/>
      <c r="E2"/>
      <c r="F2"/>
      <c r="G2"/>
      <c r="H2" s="11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</row>
    <row r="3" spans="1:45" ht="15">
      <c r="A3" s="3" t="s">
        <v>83</v>
      </c>
      <c r="B3" s="364" t="s">
        <v>85</v>
      </c>
      <c r="C3" s="364" t="s">
        <v>239</v>
      </c>
      <c r="D3"/>
      <c r="E3"/>
      <c r="F3"/>
      <c r="G3"/>
      <c r="H3" s="11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</row>
    <row r="4" spans="1:45" ht="15">
      <c r="A4" s="440" t="s">
        <v>58</v>
      </c>
      <c r="B4" s="96">
        <v>69586.52</v>
      </c>
      <c r="C4" s="206">
        <v>15301217.960000005</v>
      </c>
      <c r="D4" s="4">
        <f>+GETPIVOTDATA("Sum of Amount",$A$3,"purchase Group Name","JUMBO BAG")/GETPIVOTDATA("Sum of Quantity",$A$3,"purchase Group Name","JUMBO BAG")</f>
        <v>219.88767307231348</v>
      </c>
      <c r="E4"/>
      <c r="F4"/>
      <c r="G4"/>
      <c r="H4" s="340" t="s">
        <v>2158</v>
      </c>
      <c r="I4" s="301" t="s">
        <v>2160</v>
      </c>
      <c r="J4" s="301" t="s">
        <v>38</v>
      </c>
      <c r="K4" s="301" t="s">
        <v>2161</v>
      </c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</row>
    <row r="5" spans="1:45" ht="15">
      <c r="A5" s="440" t="s">
        <v>82</v>
      </c>
      <c r="B5" s="205">
        <v>111762.26</v>
      </c>
      <c r="C5" s="96">
        <v>19825740.700000003</v>
      </c>
      <c r="D5" s="96">
        <f>+GETPIVOTDATA("Sum of Amount",$A$3,"purchase Group Name","LLDPE Bags")/GETPIVOTDATA("Sum of Quantity",$A$3,"purchase Group Name","LLDPE Bags")</f>
        <v>177.39208834896507</v>
      </c>
      <c r="E5" s="4">
        <f>+GETPIVOTDATA("Sum of Quantity",$A$3,"purchase Group Name","LLDPE Bags")+GETPIVOTDATA("Sum of Quantity",$A$3,"purchase Group Name","LLDPE Doc")</f>
        <v>113356.26</v>
      </c>
      <c r="F5"/>
      <c r="G5"/>
      <c r="H5" s="341" t="s">
        <v>82</v>
      </c>
      <c r="I5" s="298">
        <f>+GETPIVOTDATA("Sum of Quantity",$A$3,"purchase Group Name","LLDPE Bags")</f>
        <v>111762.26</v>
      </c>
      <c r="J5" s="299">
        <f>+GETPIVOTDATA("Sum of Amount",$A$3,"purchase Group Name","LLDPE Bags")</f>
        <v>19825740.700000003</v>
      </c>
      <c r="K5" s="302">
        <f>+J5/I5</f>
        <v>177.39208834896507</v>
      </c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</row>
    <row r="6" spans="1:45" ht="15">
      <c r="A6" s="440" t="s">
        <v>384</v>
      </c>
      <c r="B6" s="205">
        <v>1594</v>
      </c>
      <c r="C6" s="206">
        <v>272494.3</v>
      </c>
      <c r="D6" s="96">
        <f>+GETPIVOTDATA("Sum of Amount",$A$3,"purchase Group Name","LLDPE Doc")/GETPIVOTDATA("Sum of Quantity",$A$3,"purchase Group Name","LLDPE Doc")</f>
        <v>170.95</v>
      </c>
      <c r="E6">
        <f>+GETPIVOTDATA("Sum of Amount",$A$3,"purchase Group Name","LLDPE Bags")+GETPIVOTDATA("Sum of Amount",$A$3,"purchase Group Name","LLDPE Doc")</f>
        <v>20098235.000000004</v>
      </c>
      <c r="F6" s="4">
        <f>+E6/E5</f>
        <v>177.30150059643822</v>
      </c>
      <c r="H6" s="341" t="s">
        <v>384</v>
      </c>
      <c r="I6" s="298">
        <f>+GETPIVOTDATA("Sum of Quantity",$A$3,"purchase Group Name","LLDPE Doc")</f>
        <v>1594</v>
      </c>
      <c r="J6" s="299">
        <f>+GETPIVOTDATA("Sum of Amount",$A$3,"purchase Group Name","LLDPE Doc")</f>
        <v>272494.3</v>
      </c>
      <c r="K6" s="302">
        <f>+J6/I6</f>
        <v>170.95</v>
      </c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</row>
    <row r="7" spans="1:45" ht="15">
      <c r="A7" s="440" t="s">
        <v>101</v>
      </c>
      <c r="B7" s="205">
        <v>13006.600000000002</v>
      </c>
      <c r="C7" s="206">
        <v>2028566.49</v>
      </c>
      <c r="D7" s="96">
        <f>+GETPIVOTDATA("Sum of Amount",$A$3,"purchase Group Name","PP Filament Yarn")/GETPIVOTDATA("Sum of Quantity",$A$3,"purchase Group Name","PP Filament Yarn")</f>
        <v>155.96439423062134</v>
      </c>
      <c r="E7" s="283"/>
      <c r="F7" s="283"/>
      <c r="G7"/>
      <c r="H7" s="341" t="s">
        <v>101</v>
      </c>
      <c r="I7" s="298">
        <f>+GETPIVOTDATA("Sum of Quantity",$A$3,"purchase Group Name","PP Filament Yarn")</f>
        <v>13006.600000000002</v>
      </c>
      <c r="J7" s="299">
        <f>+GETPIVOTDATA("Sum of Amount",$A$3,"purchase Group Name","PP Filament Yarn")</f>
        <v>2028566.49</v>
      </c>
      <c r="K7" s="302">
        <f t="shared" ref="K7:K12" si="0">+J7/I7</f>
        <v>155.96439423062134</v>
      </c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</row>
    <row r="8" spans="1:45" ht="15">
      <c r="A8" s="440" t="s">
        <v>77</v>
      </c>
      <c r="B8" s="205">
        <v>43739</v>
      </c>
      <c r="C8" s="96">
        <v>6408711.4400000004</v>
      </c>
      <c r="D8" s="96">
        <f>+GETPIVOTDATA("Sum of Amount",$A$3,"purchase Group Name","PP Laminated Woven Fabric")/GETPIVOTDATA("Sum of Quantity",$A$3,"purchase Group Name","PP Laminated Woven Fabric")</f>
        <v>146.52167264912322</v>
      </c>
      <c r="E8"/>
      <c r="F8"/>
      <c r="G8"/>
      <c r="H8" s="341" t="s">
        <v>77</v>
      </c>
      <c r="I8" s="298">
        <f>+GETPIVOTDATA("Sum of Quantity",$A$3,"purchase Group Name","PP Laminated Woven Fabric")</f>
        <v>43739</v>
      </c>
      <c r="J8" s="299">
        <f>+GETPIVOTDATA("Sum of Amount",$A$3,"purchase Group Name","PP Laminated Woven Fabric")</f>
        <v>6408711.4400000004</v>
      </c>
      <c r="K8" s="302">
        <f t="shared" si="0"/>
        <v>146.52167264912322</v>
      </c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</row>
    <row r="9" spans="1:45" ht="15">
      <c r="A9" s="440" t="s">
        <v>79</v>
      </c>
      <c r="B9" s="205">
        <v>62896.500000000007</v>
      </c>
      <c r="C9" s="96">
        <v>9192614.6700000037</v>
      </c>
      <c r="D9" s="96">
        <f>+GETPIVOTDATA("Sum of Amount",$A$3,"purchase Group Name","PP Webbing")/GETPIVOTDATA("Sum of Quantity",$A$3,"purchase Group Name","PP Webbing")</f>
        <v>146.15462974887319</v>
      </c>
      <c r="E9" s="4">
        <f>+GETPIVOTDATA("Sum of Amount",$A$3,"purchase Group Name","PP Laminated Woven Fabric")+GETPIVOTDATA("Sum of Amount",$A$3,"purchase Group Name","PP Woven Fabric")</f>
        <v>58033249.030000009</v>
      </c>
      <c r="F9"/>
      <c r="G9"/>
      <c r="H9" s="341" t="s">
        <v>79</v>
      </c>
      <c r="I9" s="298">
        <f>+GETPIVOTDATA("Sum of Quantity",$A$3,"purchase Group Name","PP Webbing")</f>
        <v>62896.500000000007</v>
      </c>
      <c r="J9" s="299">
        <f>+GETPIVOTDATA("Sum of Amount",$A$3,"purchase Group Name","PP Webbing")</f>
        <v>9192614.6700000037</v>
      </c>
      <c r="K9" s="302">
        <f>+J9/I9</f>
        <v>146.15462974887319</v>
      </c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</row>
    <row r="10" spans="1:45" ht="15">
      <c r="A10" s="440" t="s">
        <v>64</v>
      </c>
      <c r="B10" s="205">
        <v>361737</v>
      </c>
      <c r="C10" s="206">
        <v>51624537.590000011</v>
      </c>
      <c r="D10" s="96">
        <f>+GETPIVOTDATA("Sum of Amount",$A$3,"purchase Group Name","PP Woven Fabric")/GETPIVOTDATA("Sum of Quantity",$A$3,"purchase Group Name","PP Woven Fabric")</f>
        <v>142.7129035459464</v>
      </c>
      <c r="E10" s="4">
        <f>+GETPIVOTDATA("Sum of Quantity",$A$3,"purchase Group Name","PP Laminated Woven Fabric")+GETPIVOTDATA("Sum of Quantity",$A$3,"purchase Group Name","PP Woven Fabric")</f>
        <v>405476</v>
      </c>
      <c r="F10" s="4">
        <f>+E9/E10</f>
        <v>143.12375832355062</v>
      </c>
      <c r="G10"/>
      <c r="H10" s="341" t="s">
        <v>64</v>
      </c>
      <c r="I10" s="298">
        <f>+GETPIVOTDATA("Sum of Quantity",$A$3,"purchase Group Name","PP Woven Fabric")+GETPIVOTDATA("Sum of Quantity",$A$3,"purchase Group Name","FIBC WIP")</f>
        <v>364217</v>
      </c>
      <c r="J10" s="299">
        <f>+GETPIVOTDATA("Sum of Amount",$A$3,"purchase Group Name","PP Woven Fabric")+GETPIVOTDATA("Sum of Amount",$A$3,"purchase Group Name","FIBC WIP")</f>
        <v>51974006.150000013</v>
      </c>
      <c r="K10" s="302">
        <f t="shared" si="0"/>
        <v>142.70065963422908</v>
      </c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</row>
    <row r="11" spans="1:45" ht="15">
      <c r="A11" s="440" t="s">
        <v>622</v>
      </c>
      <c r="B11" s="205">
        <v>1310.9</v>
      </c>
      <c r="C11" s="206">
        <v>218736.78</v>
      </c>
      <c r="D11" s="96">
        <f>+GETPIVOTDATA("Sum of Amount",$A$3,"purchase Group Name","LLDPE FILM")/GETPIVOTDATA("Sum of Quantity",$A$3,"purchase Group Name","LLDPE FILM")</f>
        <v>166.86000457700814</v>
      </c>
      <c r="E11"/>
      <c r="F11"/>
      <c r="G11"/>
      <c r="H11" s="341" t="s">
        <v>622</v>
      </c>
      <c r="I11" s="298">
        <f>+GETPIVOTDATA("Sum of Quantity",$A$3,"purchase Group Name","LLDPE FILM")</f>
        <v>1310.9</v>
      </c>
      <c r="J11" s="299">
        <f>+GETPIVOTDATA("Sum of Amount",$A$3,"purchase Group Name","LLDPE FILM")</f>
        <v>218736.78</v>
      </c>
      <c r="K11" s="302">
        <f t="shared" si="0"/>
        <v>166.86000457700814</v>
      </c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</row>
    <row r="12" spans="1:45" ht="15">
      <c r="A12" s="440" t="s">
        <v>765</v>
      </c>
      <c r="B12" s="288">
        <v>5100</v>
      </c>
      <c r="C12" s="206">
        <v>601800</v>
      </c>
      <c r="D12" s="96">
        <f>+GETPIVOTDATA("Sum of Amount",$A$3,"purchase Group Name","Thinner")/GETPIVOTDATA("Sum of Quantity",$A$3,"purchase Group Name","Thinner")</f>
        <v>118</v>
      </c>
      <c r="E12"/>
      <c r="F12"/>
      <c r="G12"/>
      <c r="H12" s="245" t="s">
        <v>2162</v>
      </c>
      <c r="I12" s="300">
        <f>SUM(I5:I11)</f>
        <v>598526.26</v>
      </c>
      <c r="J12" s="2">
        <f>SUM(J5:J11)</f>
        <v>89920870.530000031</v>
      </c>
      <c r="K12" s="303">
        <f t="shared" si="0"/>
        <v>150.23713500891344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</row>
    <row r="13" spans="1:45" ht="15">
      <c r="A13" s="440" t="s">
        <v>2371</v>
      </c>
      <c r="B13" s="205">
        <v>1425</v>
      </c>
      <c r="C13" s="206">
        <v>429675</v>
      </c>
      <c r="D13" s="96">
        <f>+GETPIVOTDATA("Sum of Amount",$A$3,"purchase Group Name","Printing Inks")/GETPIVOTDATA("Sum of Quantity",$A$3,"purchase Group Name","Printing Inks")</f>
        <v>301.5263157894737</v>
      </c>
      <c r="E13"/>
      <c r="F13"/>
      <c r="G13"/>
      <c r="H13" s="11"/>
      <c r="I13" s="4"/>
      <c r="J13" s="4"/>
      <c r="K13" s="4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</row>
    <row r="14" spans="1:45" ht="15">
      <c r="A14" s="440" t="s">
        <v>2076</v>
      </c>
      <c r="B14" s="96">
        <v>2480</v>
      </c>
      <c r="C14" s="206">
        <v>349468.56</v>
      </c>
      <c r="D14" s="96">
        <f>+GETPIVOTDATA("Sum of Amount",$A$3,"purchase Group Name","FIBC WIP")/GETPIVOTDATA("Sum of Quantity",$A$3,"purchase Group Name","FIBC WIP")</f>
        <v>140.91474193548387</v>
      </c>
      <c r="F14"/>
      <c r="G14"/>
      <c r="H14" s="11"/>
      <c r="I14" s="4">
        <v>0</v>
      </c>
      <c r="J14" s="307" t="s">
        <v>2163</v>
      </c>
      <c r="K14" s="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</row>
    <row r="15" spans="1:45" ht="15">
      <c r="A15" s="440" t="s">
        <v>349</v>
      </c>
      <c r="B15" s="205">
        <v>10178</v>
      </c>
      <c r="C15" s="206">
        <v>1663687.76</v>
      </c>
      <c r="D15" s="4">
        <f>+GETPIVOTDATA("Sum of Amount",$A$3,"purchase Group Name","PP Woven Sacks")/GETPIVOTDATA("Sum of Quantity",$A$3,"purchase Group Name","PP Woven Sacks")</f>
        <v>163.4592022008253</v>
      </c>
      <c r="F15" s="4"/>
      <c r="G15"/>
      <c r="H15" s="11"/>
      <c r="I15" s="305">
        <f>+I13+I14</f>
        <v>0</v>
      </c>
      <c r="J15" s="96"/>
      <c r="K15"/>
    </row>
    <row r="16" spans="1:45" ht="15">
      <c r="A16" s="440" t="s">
        <v>2149</v>
      </c>
      <c r="B16" s="205">
        <v>188.9</v>
      </c>
      <c r="C16" s="206">
        <v>47591.4</v>
      </c>
      <c r="D16" s="4">
        <f>+GETPIVOTDATA("Sum of Amount",$A$3,"purchase Group Name","PE Labels (Kgs)")/GETPIVOTDATA("Sum of Quantity",$A$3,"purchase Group Name","PE Labels (Kgs)")</f>
        <v>251.93965060878773</v>
      </c>
      <c r="E16"/>
      <c r="F16"/>
      <c r="G16"/>
      <c r="H16" s="11"/>
      <c r="I16"/>
      <c r="J16" s="96"/>
      <c r="K16" s="93"/>
    </row>
    <row r="17" spans="1:39" s="244" customFormat="1" ht="15">
      <c r="A17" s="440" t="s">
        <v>84</v>
      </c>
      <c r="B17" s="4">
        <v>685004.68</v>
      </c>
      <c r="C17" s="4">
        <v>107964842.65000004</v>
      </c>
      <c r="D17" s="308"/>
      <c r="E17" s="308"/>
      <c r="F17" s="308"/>
      <c r="G17" s="308"/>
      <c r="H17" s="11"/>
      <c r="I17" s="308"/>
      <c r="J17" s="96"/>
      <c r="K17" s="308"/>
    </row>
    <row r="18" spans="1:39" ht="15">
      <c r="A18" s="312" t="s">
        <v>2178</v>
      </c>
      <c r="B18" s="313">
        <f>+GETPIVOTDATA("Sum of Quantity",$A$3,"purchase Group Name","LLDPE Bags")+GETPIVOTDATA("Sum of Quantity",$A$3,"purchase Group Name","LLDPE Doc")+GETPIVOTDATA("Sum of Quantity",$A$3,"purchase Group Name","PP Filament Yarn")+GETPIVOTDATA("Sum of Quantity",$A$3,"purchase Group Name","PP Laminated Woven Fabric")+GETPIVOTDATA("Sum of Quantity",$A$3,"purchase Group Name","PP Webbing")+GETPIVOTDATA("Sum of Quantity",$A$3,"purchase Group Name","PP Woven Fabric")+GETPIVOTDATA("Sum of Quantity",$A$3,"purchase Group Name","LLDPE FILM")</f>
        <v>596046.26</v>
      </c>
      <c r="C18" s="313">
        <f>+GETPIVOTDATA("Sum of Amount",$A$3,"purchase Group Name","LLDPE Bags")+GETPIVOTDATA("Sum of Amount",$A$3,"purchase Group Name","LLDPE Doc")+GETPIVOTDATA("Sum of Amount",$A$3,"purchase Group Name","PP Filament Yarn")+GETPIVOTDATA("Sum of Amount",$A$3,"purchase Group Name","PP Laminated Woven Fabric")+GETPIVOTDATA("Sum of Amount",$A$3,"purchase Group Name","PP Webbing")+GETPIVOTDATA("Sum of Amount",$A$3,"purchase Group Name","PP Woven Fabric")+GETPIVOTDATA("Sum of Amount",$A$3,"purchase Group Name","LLDPE FILM")</f>
        <v>89571401.970000029</v>
      </c>
      <c r="D18" s="313">
        <f>+C18/B18</f>
        <v>150.27592316408465</v>
      </c>
      <c r="E18"/>
      <c r="F18"/>
      <c r="G18"/>
      <c r="I18" s="93"/>
      <c r="J18" s="96"/>
      <c r="K18" s="93"/>
    </row>
    <row r="19" spans="1:39" ht="15">
      <c r="A19" s="309" t="s">
        <v>2179</v>
      </c>
      <c r="B19" s="313">
        <f>+GETPIVOTDATA("Sum of Quantity",$A$3,"purchase Group Name","PP Woven Fabric")+GETPIVOTDATA("Sum of Quantity",$A$3,"purchase Group Name","PP Laminated Woven Fabric")</f>
        <v>405476</v>
      </c>
      <c r="C19" s="223">
        <f>+GETPIVOTDATA("Sum of Amount",$A$3,"purchase Group Name","PP Woven Fabric")+GETPIVOTDATA("Sum of Amount",$A$3,"purchase Group Name","PP Laminated Woven Fabric")</f>
        <v>58033249.030000009</v>
      </c>
      <c r="D19" s="313">
        <f>+C19/B19</f>
        <v>143.12375832355062</v>
      </c>
      <c r="E19" s="115"/>
      <c r="F19" s="93"/>
      <c r="G19" s="93"/>
      <c r="H19" s="11"/>
      <c r="I19" s="93"/>
      <c r="J19" s="96"/>
      <c r="K19" s="93"/>
    </row>
    <row r="20" spans="1:39" ht="15">
      <c r="A20" s="445" t="s">
        <v>3412</v>
      </c>
      <c r="B20" s="25">
        <f>+B18+GETPIVOTDATA("Sum of Quantity",$A$3,"purchase Group Name","FIBC WIP")+GETPIVOTDATA("Sum of Quantity",$A$3,"purchase Group Name","PE Labels (Kgs)")</f>
        <v>598715.16</v>
      </c>
      <c r="C20" s="25">
        <f>+C18+GETPIVOTDATA("Sum of Amount",$A$3,"purchase Group Name","FIBC WIP")+GETPIVOTDATA("Sum of Amount",$A$3,"purchase Group Name","PE Labels (Kgs)")</f>
        <v>89968461.930000037</v>
      </c>
      <c r="D20" s="25">
        <f>+C20/B20</f>
        <v>150.26922306426988</v>
      </c>
      <c r="E20" s="93"/>
      <c r="F20" s="93"/>
      <c r="G20" s="93"/>
      <c r="H20" s="11"/>
      <c r="I20" s="93"/>
      <c r="J20" s="96"/>
      <c r="K20" s="93"/>
    </row>
    <row r="21" spans="1:39" ht="15">
      <c r="A21"/>
      <c r="B21"/>
      <c r="C21"/>
      <c r="D21"/>
      <c r="E21"/>
      <c r="F21"/>
      <c r="G21"/>
      <c r="H21" s="11"/>
      <c r="I21"/>
      <c r="J21"/>
      <c r="K21"/>
    </row>
    <row r="22" spans="1:39" ht="15">
      <c r="A22" s="464" t="s">
        <v>267</v>
      </c>
      <c r="B22" s="464"/>
      <c r="C22" s="464"/>
      <c r="D22" s="464"/>
    </row>
    <row r="23" spans="1:39" ht="15">
      <c r="A23" s="3" t="s">
        <v>83</v>
      </c>
      <c r="B23" t="s">
        <v>239</v>
      </c>
      <c r="C23" s="17" t="s">
        <v>265</v>
      </c>
      <c r="D23" s="17" t="s">
        <v>266</v>
      </c>
      <c r="G23" s="344"/>
      <c r="H23" s="5" t="s">
        <v>25</v>
      </c>
      <c r="I23" s="5" t="s">
        <v>26</v>
      </c>
      <c r="J23" s="5" t="s">
        <v>27</v>
      </c>
      <c r="K23" s="5" t="s">
        <v>28</v>
      </c>
      <c r="L23" s="5" t="s">
        <v>29</v>
      </c>
      <c r="M23" s="5" t="s">
        <v>30</v>
      </c>
      <c r="N23" s="5" t="s">
        <v>31</v>
      </c>
      <c r="O23" s="5" t="s">
        <v>32</v>
      </c>
      <c r="P23" s="5" t="s">
        <v>33</v>
      </c>
      <c r="Q23" s="5" t="s">
        <v>34</v>
      </c>
      <c r="R23" s="5" t="s">
        <v>86</v>
      </c>
      <c r="S23" s="5" t="s">
        <v>36</v>
      </c>
      <c r="T23" s="5" t="s">
        <v>37</v>
      </c>
      <c r="U23" s="5" t="s">
        <v>38</v>
      </c>
      <c r="V23" s="5" t="s">
        <v>39</v>
      </c>
      <c r="W23" s="5" t="s">
        <v>40</v>
      </c>
      <c r="X23" s="5" t="s">
        <v>41</v>
      </c>
      <c r="Y23" s="5" t="s">
        <v>42</v>
      </c>
      <c r="Z23" s="5" t="s">
        <v>43</v>
      </c>
      <c r="AA23" s="5" t="s">
        <v>44</v>
      </c>
      <c r="AB23" s="5" t="s">
        <v>45</v>
      </c>
      <c r="AC23" s="5" t="s">
        <v>46</v>
      </c>
      <c r="AD23" s="5" t="s">
        <v>47</v>
      </c>
      <c r="AE23" s="5" t="s">
        <v>48</v>
      </c>
      <c r="AF23" s="5" t="s">
        <v>49</v>
      </c>
      <c r="AG23" s="5" t="s">
        <v>50</v>
      </c>
      <c r="AH23" s="5" t="s">
        <v>0</v>
      </c>
      <c r="AI23" s="5" t="s">
        <v>51</v>
      </c>
      <c r="AJ23" s="5" t="s">
        <v>52</v>
      </c>
      <c r="AK23" s="5" t="s">
        <v>53</v>
      </c>
      <c r="AL23" s="5" t="s">
        <v>54</v>
      </c>
      <c r="AM23" s="5" t="s">
        <v>1904</v>
      </c>
    </row>
    <row r="24" spans="1:39" ht="15" customHeight="1">
      <c r="A24" s="440" t="s">
        <v>2320</v>
      </c>
      <c r="B24" s="4">
        <v>272494.3</v>
      </c>
      <c r="C24" s="23">
        <v>0</v>
      </c>
      <c r="D24" s="23">
        <f>+GETPIVOTDATA("Amount",$A$23,"Type","Branch Transfer In - Raw Material")-C24</f>
        <v>272494.3</v>
      </c>
      <c r="G24" s="344"/>
      <c r="H24" s="345">
        <v>46030</v>
      </c>
      <c r="I24" s="8" t="s">
        <v>87</v>
      </c>
      <c r="J24" s="8" t="s">
        <v>96</v>
      </c>
      <c r="K24" s="8" t="s">
        <v>2620</v>
      </c>
      <c r="L24" s="8" t="s">
        <v>97</v>
      </c>
      <c r="M24" s="8" t="s">
        <v>2621</v>
      </c>
      <c r="N24" s="7">
        <v>46030</v>
      </c>
      <c r="O24" s="8" t="s">
        <v>2</v>
      </c>
      <c r="P24" s="8" t="s">
        <v>67</v>
      </c>
      <c r="Q24" s="8" t="s">
        <v>68</v>
      </c>
      <c r="R24" s="8" t="s">
        <v>69</v>
      </c>
      <c r="S24" s="8" t="s">
        <v>70</v>
      </c>
      <c r="T24" s="9">
        <v>389</v>
      </c>
      <c r="U24" s="9">
        <v>18672</v>
      </c>
      <c r="V24" s="8" t="s">
        <v>70</v>
      </c>
      <c r="W24" s="8">
        <v>22014.29</v>
      </c>
      <c r="X24" s="8">
        <v>9</v>
      </c>
      <c r="Y24" s="8">
        <v>1680.48</v>
      </c>
      <c r="Z24" s="8">
        <v>9</v>
      </c>
      <c r="AA24" s="8">
        <v>1680.48</v>
      </c>
      <c r="AB24" s="8">
        <v>0</v>
      </c>
      <c r="AC24" s="8">
        <v>0</v>
      </c>
      <c r="AD24" s="8">
        <v>0</v>
      </c>
      <c r="AE24" s="8">
        <v>3360.96</v>
      </c>
      <c r="AF24" s="8">
        <v>0</v>
      </c>
      <c r="AG24" s="8" t="s">
        <v>65</v>
      </c>
      <c r="AH24" s="8" t="s">
        <v>11</v>
      </c>
      <c r="AI24" s="8">
        <v>73063090</v>
      </c>
      <c r="AJ24" s="8" t="s">
        <v>60</v>
      </c>
      <c r="AK24" s="8">
        <v>1</v>
      </c>
      <c r="AL24" s="8">
        <v>0</v>
      </c>
      <c r="AM24" s="8" t="s">
        <v>1905</v>
      </c>
    </row>
    <row r="25" spans="1:39" ht="15" customHeight="1">
      <c r="A25" s="440" t="s">
        <v>98</v>
      </c>
      <c r="B25" s="4">
        <v>90028673.730000004</v>
      </c>
      <c r="C25" s="23">
        <v>0</v>
      </c>
      <c r="D25" s="23">
        <f>+GETPIVOTDATA("Amount",$A$23,"Type","Purchase Withinstate - Raw Material")-C25</f>
        <v>90028673.730000004</v>
      </c>
      <c r="G25" s="344"/>
      <c r="H25" s="345">
        <v>46030</v>
      </c>
      <c r="I25" s="8" t="s">
        <v>87</v>
      </c>
      <c r="J25" s="8" t="s">
        <v>91</v>
      </c>
      <c r="K25" s="8" t="s">
        <v>2622</v>
      </c>
      <c r="L25" s="8" t="s">
        <v>98</v>
      </c>
      <c r="M25" s="8" t="s">
        <v>2623</v>
      </c>
      <c r="N25" s="7">
        <v>46030</v>
      </c>
      <c r="O25" s="8" t="s">
        <v>13</v>
      </c>
      <c r="P25" s="8" t="s">
        <v>62</v>
      </c>
      <c r="Q25" s="8" t="s">
        <v>63</v>
      </c>
      <c r="R25" s="8" t="s">
        <v>64</v>
      </c>
      <c r="S25" s="8" t="s">
        <v>19</v>
      </c>
      <c r="T25" s="9">
        <v>239</v>
      </c>
      <c r="U25" s="9">
        <v>35011.11</v>
      </c>
      <c r="V25" s="8" t="s">
        <v>19</v>
      </c>
      <c r="W25" s="8">
        <v>2035936.64</v>
      </c>
      <c r="X25" s="8">
        <v>9</v>
      </c>
      <c r="Y25" s="8">
        <v>3151</v>
      </c>
      <c r="Z25" s="8">
        <v>9</v>
      </c>
      <c r="AA25" s="8">
        <v>3151</v>
      </c>
      <c r="AB25" s="8">
        <v>0</v>
      </c>
      <c r="AC25" s="8">
        <v>0</v>
      </c>
      <c r="AD25" s="8">
        <v>0</v>
      </c>
      <c r="AE25" s="8">
        <v>6302</v>
      </c>
      <c r="AF25" s="8">
        <v>0</v>
      </c>
      <c r="AG25" s="8" t="s">
        <v>65</v>
      </c>
      <c r="AH25" s="8" t="s">
        <v>11</v>
      </c>
      <c r="AI25" s="8">
        <v>39269080</v>
      </c>
      <c r="AJ25" s="8" t="s">
        <v>60</v>
      </c>
      <c r="AK25" s="8">
        <v>1</v>
      </c>
      <c r="AL25" s="8">
        <v>239</v>
      </c>
      <c r="AM25" s="8" t="s">
        <v>1905</v>
      </c>
    </row>
    <row r="26" spans="1:39" ht="15" customHeight="1">
      <c r="A26" s="440" t="s">
        <v>2348</v>
      </c>
      <c r="B26" s="4">
        <v>14776611.130000005</v>
      </c>
      <c r="C26" s="23">
        <v>0</v>
      </c>
      <c r="D26" s="23">
        <f>+GETPIVOTDATA("Amount",$A$23,"Type","Purchase Withinstate - Traded Goods")-C26</f>
        <v>14776611.130000005</v>
      </c>
      <c r="G26" s="344"/>
      <c r="H26" s="345">
        <v>46030</v>
      </c>
      <c r="I26" s="8" t="s">
        <v>87</v>
      </c>
      <c r="J26" s="8" t="s">
        <v>91</v>
      </c>
      <c r="K26" s="8" t="s">
        <v>2622</v>
      </c>
      <c r="L26" s="8" t="s">
        <v>98</v>
      </c>
      <c r="M26" s="8" t="s">
        <v>2623</v>
      </c>
      <c r="N26" s="7">
        <v>46030</v>
      </c>
      <c r="O26" s="8" t="s">
        <v>13</v>
      </c>
      <c r="P26" s="8" t="s">
        <v>62</v>
      </c>
      <c r="Q26" s="8" t="s">
        <v>63</v>
      </c>
      <c r="R26" s="8" t="s">
        <v>64</v>
      </c>
      <c r="S26" s="8" t="s">
        <v>19</v>
      </c>
      <c r="T26" s="9">
        <v>7181</v>
      </c>
      <c r="U26" s="9">
        <v>1037582.69</v>
      </c>
      <c r="V26" s="8" t="s">
        <v>19</v>
      </c>
      <c r="W26" s="8">
        <v>0</v>
      </c>
      <c r="X26" s="8">
        <v>9</v>
      </c>
      <c r="Y26" s="8">
        <v>93382.44</v>
      </c>
      <c r="Z26" s="8">
        <v>9</v>
      </c>
      <c r="AA26" s="8">
        <v>93382.44</v>
      </c>
      <c r="AB26" s="8">
        <v>0</v>
      </c>
      <c r="AC26" s="8">
        <v>0</v>
      </c>
      <c r="AD26" s="8">
        <v>0</v>
      </c>
      <c r="AE26" s="8">
        <v>186764.88</v>
      </c>
      <c r="AF26" s="8">
        <v>0</v>
      </c>
      <c r="AG26" s="8" t="s">
        <v>65</v>
      </c>
      <c r="AH26" s="8" t="s">
        <v>11</v>
      </c>
      <c r="AI26" s="8">
        <v>39269080</v>
      </c>
      <c r="AJ26" s="8" t="s">
        <v>60</v>
      </c>
      <c r="AK26" s="8">
        <v>1</v>
      </c>
      <c r="AL26" s="8">
        <v>7181</v>
      </c>
      <c r="AM26" s="8" t="s">
        <v>1905</v>
      </c>
    </row>
    <row r="27" spans="1:39" ht="15" customHeight="1">
      <c r="A27" s="440" t="s">
        <v>623</v>
      </c>
      <c r="B27" s="4">
        <v>1031475</v>
      </c>
      <c r="C27" s="23">
        <v>0</v>
      </c>
      <c r="D27" s="23">
        <f>+GETPIVOTDATA("Amount",$A$23,"Type","Purchase Interstate - Raw Material")-C27</f>
        <v>1031475</v>
      </c>
      <c r="E27" s="106"/>
      <c r="G27" s="344"/>
      <c r="H27" s="345">
        <v>46030</v>
      </c>
      <c r="I27" s="8" t="s">
        <v>87</v>
      </c>
      <c r="J27" s="8" t="s">
        <v>91</v>
      </c>
      <c r="K27" s="8" t="s">
        <v>2622</v>
      </c>
      <c r="L27" s="8" t="s">
        <v>98</v>
      </c>
      <c r="M27" s="8" t="s">
        <v>2623</v>
      </c>
      <c r="N27" s="7">
        <v>46030</v>
      </c>
      <c r="O27" s="8" t="s">
        <v>13</v>
      </c>
      <c r="P27" s="8" t="s">
        <v>24</v>
      </c>
      <c r="Q27" s="8" t="s">
        <v>79</v>
      </c>
      <c r="R27" s="8" t="s">
        <v>79</v>
      </c>
      <c r="S27" s="8" t="s">
        <v>24</v>
      </c>
      <c r="T27" s="9">
        <v>826.6</v>
      </c>
      <c r="U27" s="9">
        <v>123568.43</v>
      </c>
      <c r="V27" s="8" t="s">
        <v>24</v>
      </c>
      <c r="W27" s="8">
        <v>0</v>
      </c>
      <c r="X27" s="8">
        <v>9</v>
      </c>
      <c r="Y27" s="8">
        <v>11121.16</v>
      </c>
      <c r="Z27" s="8">
        <v>9</v>
      </c>
      <c r="AA27" s="8">
        <v>11121.16</v>
      </c>
      <c r="AB27" s="8">
        <v>0</v>
      </c>
      <c r="AC27" s="8">
        <v>0</v>
      </c>
      <c r="AD27" s="8">
        <v>0</v>
      </c>
      <c r="AE27" s="8">
        <v>22242.32</v>
      </c>
      <c r="AF27" s="8">
        <v>0</v>
      </c>
      <c r="AG27" s="8" t="s">
        <v>65</v>
      </c>
      <c r="AH27" s="8" t="s">
        <v>11</v>
      </c>
      <c r="AI27" s="8">
        <v>3926908</v>
      </c>
      <c r="AJ27" s="8" t="s">
        <v>60</v>
      </c>
      <c r="AK27" s="8">
        <v>1</v>
      </c>
      <c r="AL27" s="8">
        <v>826.6</v>
      </c>
      <c r="AM27" s="8" t="s">
        <v>1905</v>
      </c>
    </row>
    <row r="28" spans="1:39" ht="15" customHeight="1">
      <c r="A28" s="440" t="s">
        <v>2335</v>
      </c>
      <c r="B28" s="4">
        <v>2188294.59</v>
      </c>
      <c r="C28" s="23">
        <v>0</v>
      </c>
      <c r="D28" s="23">
        <f>+GETPIVOTDATA("Amount",$A$23,"Type","Branch Transfer In - Trading")-C28</f>
        <v>2188294.59</v>
      </c>
      <c r="G28" s="344"/>
      <c r="H28" s="345">
        <v>46030</v>
      </c>
      <c r="I28" s="8" t="s">
        <v>87</v>
      </c>
      <c r="J28" s="8" t="s">
        <v>91</v>
      </c>
      <c r="K28" s="8" t="s">
        <v>2622</v>
      </c>
      <c r="L28" s="8" t="s">
        <v>98</v>
      </c>
      <c r="M28" s="8" t="s">
        <v>2623</v>
      </c>
      <c r="N28" s="7">
        <v>46030</v>
      </c>
      <c r="O28" s="8" t="s">
        <v>13</v>
      </c>
      <c r="P28" s="8" t="s">
        <v>24</v>
      </c>
      <c r="Q28" s="8" t="s">
        <v>79</v>
      </c>
      <c r="R28" s="8" t="s">
        <v>79</v>
      </c>
      <c r="S28" s="8" t="s">
        <v>24</v>
      </c>
      <c r="T28" s="9">
        <v>611.79999999999995</v>
      </c>
      <c r="U28" s="9">
        <v>89622.58</v>
      </c>
      <c r="V28" s="8" t="s">
        <v>24</v>
      </c>
      <c r="W28" s="8">
        <v>0</v>
      </c>
      <c r="X28" s="8">
        <v>9</v>
      </c>
      <c r="Y28" s="8">
        <v>8066.03</v>
      </c>
      <c r="Z28" s="8">
        <v>9</v>
      </c>
      <c r="AA28" s="8">
        <v>8066.03</v>
      </c>
      <c r="AB28" s="8">
        <v>0</v>
      </c>
      <c r="AC28" s="8">
        <v>0</v>
      </c>
      <c r="AD28" s="8">
        <v>0</v>
      </c>
      <c r="AE28" s="8">
        <v>16132.06</v>
      </c>
      <c r="AF28" s="8">
        <v>0</v>
      </c>
      <c r="AG28" s="8" t="s">
        <v>65</v>
      </c>
      <c r="AH28" s="8" t="s">
        <v>11</v>
      </c>
      <c r="AI28" s="8">
        <v>3926908</v>
      </c>
      <c r="AJ28" s="8" t="s">
        <v>60</v>
      </c>
      <c r="AK28" s="8">
        <v>1</v>
      </c>
      <c r="AL28" s="8">
        <v>611.79999999999995</v>
      </c>
      <c r="AM28" s="8" t="s">
        <v>1905</v>
      </c>
    </row>
    <row r="29" spans="1:39" ht="15" customHeight="1">
      <c r="A29" s="440" t="s">
        <v>84</v>
      </c>
      <c r="B29" s="4">
        <v>108297548.75000001</v>
      </c>
      <c r="C29" s="322"/>
      <c r="D29" s="322"/>
      <c r="G29" s="344"/>
      <c r="H29" s="345">
        <v>46030</v>
      </c>
      <c r="I29" s="8" t="s">
        <v>87</v>
      </c>
      <c r="J29" s="8" t="s">
        <v>91</v>
      </c>
      <c r="K29" s="8" t="s">
        <v>2622</v>
      </c>
      <c r="L29" s="8" t="s">
        <v>98</v>
      </c>
      <c r="M29" s="8" t="s">
        <v>2623</v>
      </c>
      <c r="N29" s="7">
        <v>46030</v>
      </c>
      <c r="O29" s="8" t="s">
        <v>13</v>
      </c>
      <c r="P29" s="8" t="s">
        <v>62</v>
      </c>
      <c r="Q29" s="8" t="s">
        <v>76</v>
      </c>
      <c r="R29" s="8" t="s">
        <v>77</v>
      </c>
      <c r="S29" s="8" t="s">
        <v>21</v>
      </c>
      <c r="T29" s="160">
        <v>1694</v>
      </c>
      <c r="U29" s="9">
        <v>256624.06</v>
      </c>
      <c r="V29" s="8" t="s">
        <v>21</v>
      </c>
      <c r="W29" s="8">
        <v>0</v>
      </c>
      <c r="X29" s="8">
        <v>9</v>
      </c>
      <c r="Y29" s="8">
        <v>23096.17</v>
      </c>
      <c r="Z29" s="8">
        <v>9</v>
      </c>
      <c r="AA29" s="8">
        <v>23096.17</v>
      </c>
      <c r="AB29" s="8">
        <v>0</v>
      </c>
      <c r="AC29" s="8">
        <v>0</v>
      </c>
      <c r="AD29" s="8">
        <v>0</v>
      </c>
      <c r="AE29" s="8">
        <v>46192.34</v>
      </c>
      <c r="AF29" s="8">
        <v>0</v>
      </c>
      <c r="AG29" s="8" t="s">
        <v>65</v>
      </c>
      <c r="AH29" s="8" t="s">
        <v>11</v>
      </c>
      <c r="AI29" s="8">
        <v>63053300</v>
      </c>
      <c r="AJ29" s="8" t="s">
        <v>60</v>
      </c>
      <c r="AK29" s="8">
        <v>1</v>
      </c>
      <c r="AL29" s="8">
        <v>1694</v>
      </c>
      <c r="AM29" s="8" t="s">
        <v>1905</v>
      </c>
    </row>
    <row r="30" spans="1:39" ht="15" customHeight="1">
      <c r="A30"/>
      <c r="B30"/>
      <c r="C30" s="292"/>
      <c r="D30" s="292"/>
      <c r="G30" s="344"/>
      <c r="H30" s="345">
        <v>46030</v>
      </c>
      <c r="I30" s="8" t="s">
        <v>87</v>
      </c>
      <c r="J30" s="8" t="s">
        <v>91</v>
      </c>
      <c r="K30" s="8" t="s">
        <v>2622</v>
      </c>
      <c r="L30" s="8" t="s">
        <v>98</v>
      </c>
      <c r="M30" s="8" t="s">
        <v>2623</v>
      </c>
      <c r="N30" s="7">
        <v>46030</v>
      </c>
      <c r="O30" s="8" t="s">
        <v>13</v>
      </c>
      <c r="P30" s="8" t="s">
        <v>62</v>
      </c>
      <c r="Q30" s="8" t="s">
        <v>76</v>
      </c>
      <c r="R30" s="8" t="s">
        <v>77</v>
      </c>
      <c r="S30" s="8" t="s">
        <v>21</v>
      </c>
      <c r="T30" s="160">
        <v>1242</v>
      </c>
      <c r="U30" s="9">
        <v>184424.58</v>
      </c>
      <c r="V30" s="8" t="s">
        <v>21</v>
      </c>
      <c r="W30" s="8">
        <v>0</v>
      </c>
      <c r="X30" s="8">
        <v>9</v>
      </c>
      <c r="Y30" s="8">
        <v>16598.21</v>
      </c>
      <c r="Z30" s="8">
        <v>9</v>
      </c>
      <c r="AA30" s="8">
        <v>16598.21</v>
      </c>
      <c r="AB30" s="8">
        <v>0</v>
      </c>
      <c r="AC30" s="8">
        <v>0</v>
      </c>
      <c r="AD30" s="8">
        <v>0</v>
      </c>
      <c r="AE30" s="8">
        <v>33196.42</v>
      </c>
      <c r="AF30" s="8">
        <v>0</v>
      </c>
      <c r="AG30" s="8" t="s">
        <v>65</v>
      </c>
      <c r="AH30" s="8" t="s">
        <v>11</v>
      </c>
      <c r="AI30" s="8">
        <v>63053300</v>
      </c>
      <c r="AJ30" s="8" t="s">
        <v>60</v>
      </c>
      <c r="AK30" s="8">
        <v>1</v>
      </c>
      <c r="AL30" s="8">
        <v>1242</v>
      </c>
      <c r="AM30" s="8" t="s">
        <v>1905</v>
      </c>
    </row>
    <row r="31" spans="1:39" ht="15" customHeight="1">
      <c r="A31"/>
      <c r="B31"/>
      <c r="C31"/>
      <c r="G31" s="344"/>
      <c r="H31" s="345">
        <v>46061</v>
      </c>
      <c r="I31" s="8" t="s">
        <v>87</v>
      </c>
      <c r="J31" s="8" t="s">
        <v>96</v>
      </c>
      <c r="K31" s="8" t="s">
        <v>2624</v>
      </c>
      <c r="L31" s="8" t="s">
        <v>97</v>
      </c>
      <c r="M31" s="8" t="s">
        <v>2625</v>
      </c>
      <c r="N31" s="7">
        <v>46061</v>
      </c>
      <c r="O31" s="8" t="s">
        <v>2</v>
      </c>
      <c r="P31" s="8" t="s">
        <v>67</v>
      </c>
      <c r="Q31" s="8" t="s">
        <v>68</v>
      </c>
      <c r="R31" s="8" t="s">
        <v>69</v>
      </c>
      <c r="S31" s="8" t="s">
        <v>70</v>
      </c>
      <c r="T31" s="160">
        <v>433</v>
      </c>
      <c r="U31" s="9">
        <v>20784</v>
      </c>
      <c r="V31" s="8" t="s">
        <v>70</v>
      </c>
      <c r="W31" s="8">
        <v>24504.34</v>
      </c>
      <c r="X31" s="8">
        <v>9</v>
      </c>
      <c r="Y31" s="8">
        <v>1870.56</v>
      </c>
      <c r="Z31" s="8">
        <v>9</v>
      </c>
      <c r="AA31" s="8">
        <v>1870.56</v>
      </c>
      <c r="AB31" s="8">
        <v>0</v>
      </c>
      <c r="AC31" s="8">
        <v>0</v>
      </c>
      <c r="AD31" s="8">
        <v>0</v>
      </c>
      <c r="AE31" s="8">
        <v>3741.12</v>
      </c>
      <c r="AF31" s="8">
        <v>0</v>
      </c>
      <c r="AG31" s="8" t="s">
        <v>65</v>
      </c>
      <c r="AH31" s="8" t="s">
        <v>11</v>
      </c>
      <c r="AI31" s="8">
        <v>73063090</v>
      </c>
      <c r="AJ31" s="8" t="s">
        <v>60</v>
      </c>
      <c r="AK31" s="8">
        <v>1</v>
      </c>
      <c r="AL31" s="8">
        <v>0</v>
      </c>
      <c r="AM31" s="8" t="s">
        <v>1905</v>
      </c>
    </row>
    <row r="32" spans="1:39" ht="15" customHeight="1">
      <c r="A32"/>
      <c r="B32"/>
      <c r="C32"/>
      <c r="G32" s="344"/>
      <c r="H32" s="345">
        <v>46061</v>
      </c>
      <c r="I32" s="8" t="s">
        <v>87</v>
      </c>
      <c r="J32" s="8" t="s">
        <v>91</v>
      </c>
      <c r="K32" s="8" t="s">
        <v>2626</v>
      </c>
      <c r="L32" s="8" t="s">
        <v>98</v>
      </c>
      <c r="M32" s="8" t="s">
        <v>2627</v>
      </c>
      <c r="N32" s="7">
        <v>46061</v>
      </c>
      <c r="O32" s="8" t="s">
        <v>13</v>
      </c>
      <c r="P32" s="8" t="s">
        <v>62</v>
      </c>
      <c r="Q32" s="8" t="s">
        <v>76</v>
      </c>
      <c r="R32" s="8" t="s">
        <v>77</v>
      </c>
      <c r="S32" s="8" t="s">
        <v>21</v>
      </c>
      <c r="T32" s="160">
        <v>470</v>
      </c>
      <c r="U32" s="9">
        <v>68850.3</v>
      </c>
      <c r="V32" s="8" t="s">
        <v>21</v>
      </c>
      <c r="W32" s="8">
        <v>1391939.81</v>
      </c>
      <c r="X32" s="8">
        <v>9</v>
      </c>
      <c r="Y32" s="8">
        <v>6196.53</v>
      </c>
      <c r="Z32" s="8">
        <v>9</v>
      </c>
      <c r="AA32" s="8">
        <v>6196.53</v>
      </c>
      <c r="AB32" s="8">
        <v>0</v>
      </c>
      <c r="AC32" s="8">
        <v>0</v>
      </c>
      <c r="AD32" s="8">
        <v>0</v>
      </c>
      <c r="AE32" s="8">
        <v>12393.06</v>
      </c>
      <c r="AF32" s="8">
        <v>0</v>
      </c>
      <c r="AG32" s="8" t="s">
        <v>65</v>
      </c>
      <c r="AH32" s="8" t="s">
        <v>11</v>
      </c>
      <c r="AI32" s="8">
        <v>63053300</v>
      </c>
      <c r="AJ32" s="8" t="s">
        <v>60</v>
      </c>
      <c r="AK32" s="8">
        <v>1</v>
      </c>
      <c r="AL32" s="8">
        <v>470</v>
      </c>
      <c r="AM32" s="8" t="s">
        <v>1905</v>
      </c>
    </row>
    <row r="33" spans="1:39" ht="15" customHeight="1">
      <c r="A33"/>
      <c r="B33"/>
      <c r="C33"/>
      <c r="G33" s="344"/>
      <c r="H33" s="345">
        <v>46061</v>
      </c>
      <c r="I33" s="8" t="s">
        <v>87</v>
      </c>
      <c r="J33" s="8" t="s">
        <v>91</v>
      </c>
      <c r="K33" s="8" t="s">
        <v>2626</v>
      </c>
      <c r="L33" s="8" t="s">
        <v>98</v>
      </c>
      <c r="M33" s="8" t="s">
        <v>2627</v>
      </c>
      <c r="N33" s="7">
        <v>46061</v>
      </c>
      <c r="O33" s="8" t="s">
        <v>13</v>
      </c>
      <c r="P33" s="8" t="s">
        <v>62</v>
      </c>
      <c r="Q33" s="8" t="s">
        <v>63</v>
      </c>
      <c r="R33" s="8" t="s">
        <v>64</v>
      </c>
      <c r="S33" s="8" t="s">
        <v>19</v>
      </c>
      <c r="T33" s="160">
        <v>1183</v>
      </c>
      <c r="U33" s="9">
        <v>173297.67</v>
      </c>
      <c r="V33" s="8" t="s">
        <v>19</v>
      </c>
      <c r="W33" s="8">
        <v>0</v>
      </c>
      <c r="X33" s="8">
        <v>9</v>
      </c>
      <c r="Y33" s="8">
        <v>15596.79</v>
      </c>
      <c r="Z33" s="8">
        <v>9</v>
      </c>
      <c r="AA33" s="8">
        <v>15596.79</v>
      </c>
      <c r="AB33" s="8">
        <v>0</v>
      </c>
      <c r="AC33" s="8">
        <v>0</v>
      </c>
      <c r="AD33" s="8">
        <v>0</v>
      </c>
      <c r="AE33" s="8">
        <v>31193.58</v>
      </c>
      <c r="AF33" s="8">
        <v>0</v>
      </c>
      <c r="AG33" s="8" t="s">
        <v>65</v>
      </c>
      <c r="AH33" s="8" t="s">
        <v>11</v>
      </c>
      <c r="AI33" s="8">
        <v>39269080</v>
      </c>
      <c r="AJ33" s="8" t="s">
        <v>60</v>
      </c>
      <c r="AK33" s="8">
        <v>1</v>
      </c>
      <c r="AL33" s="8">
        <v>1183</v>
      </c>
      <c r="AM33" s="8" t="s">
        <v>1905</v>
      </c>
    </row>
    <row r="34" spans="1:39" ht="15" customHeight="1">
      <c r="A34"/>
      <c r="B34"/>
      <c r="C34"/>
      <c r="G34" s="344"/>
      <c r="H34" s="345">
        <v>46061</v>
      </c>
      <c r="I34" s="8" t="s">
        <v>87</v>
      </c>
      <c r="J34" s="8" t="s">
        <v>91</v>
      </c>
      <c r="K34" s="8" t="s">
        <v>2626</v>
      </c>
      <c r="L34" s="8" t="s">
        <v>98</v>
      </c>
      <c r="M34" s="8" t="s">
        <v>2627</v>
      </c>
      <c r="N34" s="7">
        <v>46061</v>
      </c>
      <c r="O34" s="8" t="s">
        <v>13</v>
      </c>
      <c r="P34" s="8" t="s">
        <v>62</v>
      </c>
      <c r="Q34" s="8" t="s">
        <v>63</v>
      </c>
      <c r="R34" s="8" t="s">
        <v>64</v>
      </c>
      <c r="S34" s="8" t="s">
        <v>19</v>
      </c>
      <c r="T34" s="160">
        <v>6495</v>
      </c>
      <c r="U34" s="9">
        <v>938462.55</v>
      </c>
      <c r="V34" s="8" t="s">
        <v>19</v>
      </c>
      <c r="W34" s="8">
        <v>0</v>
      </c>
      <c r="X34" s="8">
        <v>9</v>
      </c>
      <c r="Y34" s="8">
        <v>84461.63</v>
      </c>
      <c r="Z34" s="8">
        <v>9</v>
      </c>
      <c r="AA34" s="8">
        <v>84461.63</v>
      </c>
      <c r="AB34" s="8">
        <v>0</v>
      </c>
      <c r="AC34" s="8">
        <v>0</v>
      </c>
      <c r="AD34" s="8">
        <v>0</v>
      </c>
      <c r="AE34" s="8">
        <v>168923.26</v>
      </c>
      <c r="AF34" s="8">
        <v>0</v>
      </c>
      <c r="AG34" s="8" t="s">
        <v>65</v>
      </c>
      <c r="AH34" s="8" t="s">
        <v>11</v>
      </c>
      <c r="AI34" s="8">
        <v>39269080</v>
      </c>
      <c r="AJ34" s="8" t="s">
        <v>60</v>
      </c>
      <c r="AK34" s="8">
        <v>1</v>
      </c>
      <c r="AL34" s="8">
        <v>6495</v>
      </c>
      <c r="AM34" s="8" t="s">
        <v>1905</v>
      </c>
    </row>
    <row r="35" spans="1:39" ht="15">
      <c r="A35"/>
      <c r="B35"/>
      <c r="C35"/>
      <c r="G35" s="344"/>
      <c r="H35" s="345">
        <v>46061</v>
      </c>
      <c r="I35" s="8" t="s">
        <v>87</v>
      </c>
      <c r="J35" s="8" t="s">
        <v>91</v>
      </c>
      <c r="K35" s="8" t="s">
        <v>2628</v>
      </c>
      <c r="L35" s="8" t="s">
        <v>98</v>
      </c>
      <c r="M35" s="8" t="s">
        <v>2629</v>
      </c>
      <c r="N35" s="7">
        <v>46061</v>
      </c>
      <c r="O35" s="8" t="s">
        <v>13</v>
      </c>
      <c r="P35" s="8" t="s">
        <v>62</v>
      </c>
      <c r="Q35" s="8" t="s">
        <v>63</v>
      </c>
      <c r="R35" s="8" t="s">
        <v>64</v>
      </c>
      <c r="S35" s="8" t="s">
        <v>19</v>
      </c>
      <c r="T35" s="160">
        <v>1162</v>
      </c>
      <c r="U35" s="9">
        <v>161610.96</v>
      </c>
      <c r="V35" s="8" t="s">
        <v>19</v>
      </c>
      <c r="W35" s="8">
        <v>768934.33</v>
      </c>
      <c r="X35" s="8">
        <v>9</v>
      </c>
      <c r="Y35" s="8">
        <v>14544.99</v>
      </c>
      <c r="Z35" s="8">
        <v>9</v>
      </c>
      <c r="AA35" s="8">
        <v>14544.99</v>
      </c>
      <c r="AB35" s="8">
        <v>0</v>
      </c>
      <c r="AC35" s="8">
        <v>0</v>
      </c>
      <c r="AD35" s="8">
        <v>0</v>
      </c>
      <c r="AE35" s="8">
        <v>29089.98</v>
      </c>
      <c r="AF35" s="8">
        <v>0</v>
      </c>
      <c r="AG35" s="8" t="s">
        <v>65</v>
      </c>
      <c r="AH35" s="8" t="s">
        <v>11</v>
      </c>
      <c r="AI35" s="8">
        <v>39269080</v>
      </c>
      <c r="AJ35" s="8" t="s">
        <v>60</v>
      </c>
      <c r="AK35" s="8">
        <v>1</v>
      </c>
      <c r="AL35" s="8">
        <v>1162</v>
      </c>
      <c r="AM35" s="8" t="s">
        <v>1905</v>
      </c>
    </row>
    <row r="36" spans="1:39" ht="15" customHeight="1">
      <c r="A36"/>
      <c r="B36"/>
      <c r="C36"/>
      <c r="G36" s="344"/>
      <c r="H36" s="345">
        <v>46061</v>
      </c>
      <c r="I36" s="8" t="s">
        <v>87</v>
      </c>
      <c r="J36" s="8" t="s">
        <v>91</v>
      </c>
      <c r="K36" s="8" t="s">
        <v>2628</v>
      </c>
      <c r="L36" s="8" t="s">
        <v>98</v>
      </c>
      <c r="M36" s="8" t="s">
        <v>2629</v>
      </c>
      <c r="N36" s="7">
        <v>46061</v>
      </c>
      <c r="O36" s="8" t="s">
        <v>13</v>
      </c>
      <c r="P36" s="8" t="s">
        <v>24</v>
      </c>
      <c r="Q36" s="8" t="s">
        <v>79</v>
      </c>
      <c r="R36" s="8" t="s">
        <v>79</v>
      </c>
      <c r="S36" s="8" t="s">
        <v>24</v>
      </c>
      <c r="T36" s="160">
        <v>1485.2</v>
      </c>
      <c r="U36" s="9">
        <v>213987.62</v>
      </c>
      <c r="V36" s="8" t="s">
        <v>24</v>
      </c>
      <c r="W36" s="8">
        <v>0</v>
      </c>
      <c r="X36" s="8">
        <v>9</v>
      </c>
      <c r="Y36" s="8">
        <v>19258.89</v>
      </c>
      <c r="Z36" s="8">
        <v>9</v>
      </c>
      <c r="AA36" s="8">
        <v>19258.89</v>
      </c>
      <c r="AB36" s="8">
        <v>0</v>
      </c>
      <c r="AC36" s="8">
        <v>0</v>
      </c>
      <c r="AD36" s="8">
        <v>0</v>
      </c>
      <c r="AE36" s="8">
        <v>38517.78</v>
      </c>
      <c r="AF36" s="8">
        <v>0</v>
      </c>
      <c r="AG36" s="8" t="s">
        <v>65</v>
      </c>
      <c r="AH36" s="8" t="s">
        <v>11</v>
      </c>
      <c r="AI36" s="8">
        <v>3926908</v>
      </c>
      <c r="AJ36" s="8" t="s">
        <v>60</v>
      </c>
      <c r="AK36" s="8">
        <v>1</v>
      </c>
      <c r="AL36" s="8">
        <v>1485.2</v>
      </c>
      <c r="AM36" s="8" t="s">
        <v>1905</v>
      </c>
    </row>
    <row r="37" spans="1:39" ht="15" customHeight="1">
      <c r="A37"/>
      <c r="B37"/>
      <c r="C37"/>
      <c r="G37" s="344"/>
      <c r="H37" s="345">
        <v>46061</v>
      </c>
      <c r="I37" s="8" t="s">
        <v>87</v>
      </c>
      <c r="J37" s="8" t="s">
        <v>91</v>
      </c>
      <c r="K37" s="8" t="s">
        <v>2628</v>
      </c>
      <c r="L37" s="8" t="s">
        <v>98</v>
      </c>
      <c r="M37" s="8" t="s">
        <v>2629</v>
      </c>
      <c r="N37" s="7">
        <v>46061</v>
      </c>
      <c r="O37" s="8" t="s">
        <v>13</v>
      </c>
      <c r="P37" s="8" t="s">
        <v>24</v>
      </c>
      <c r="Q37" s="8" t="s">
        <v>79</v>
      </c>
      <c r="R37" s="8" t="s">
        <v>79</v>
      </c>
      <c r="S37" s="8" t="s">
        <v>24</v>
      </c>
      <c r="T37" s="9">
        <v>714.8</v>
      </c>
      <c r="U37" s="9">
        <v>100843.98</v>
      </c>
      <c r="V37" s="8" t="s">
        <v>24</v>
      </c>
      <c r="W37" s="8">
        <v>0</v>
      </c>
      <c r="X37" s="8">
        <v>9</v>
      </c>
      <c r="Y37" s="8">
        <v>9075.9599999999991</v>
      </c>
      <c r="Z37" s="8">
        <v>9</v>
      </c>
      <c r="AA37" s="8">
        <v>9075.9599999999991</v>
      </c>
      <c r="AB37" s="8">
        <v>0</v>
      </c>
      <c r="AC37" s="8">
        <v>0</v>
      </c>
      <c r="AD37" s="8">
        <v>0</v>
      </c>
      <c r="AE37" s="8">
        <v>18151.919999999998</v>
      </c>
      <c r="AF37" s="8">
        <v>0</v>
      </c>
      <c r="AG37" s="8" t="s">
        <v>65</v>
      </c>
      <c r="AH37" s="8" t="s">
        <v>11</v>
      </c>
      <c r="AI37" s="8">
        <v>3926908</v>
      </c>
      <c r="AJ37" s="8" t="s">
        <v>60</v>
      </c>
      <c r="AK37" s="8">
        <v>1</v>
      </c>
      <c r="AL37" s="8">
        <v>714.8</v>
      </c>
      <c r="AM37" s="8" t="s">
        <v>1905</v>
      </c>
    </row>
    <row r="38" spans="1:39" ht="15" customHeight="1">
      <c r="A38"/>
      <c r="B38"/>
      <c r="C38"/>
      <c r="G38" s="344"/>
      <c r="H38" s="345">
        <v>46061</v>
      </c>
      <c r="I38" s="8" t="s">
        <v>87</v>
      </c>
      <c r="J38" s="8" t="s">
        <v>91</v>
      </c>
      <c r="K38" s="8" t="s">
        <v>2628</v>
      </c>
      <c r="L38" s="8" t="s">
        <v>98</v>
      </c>
      <c r="M38" s="8" t="s">
        <v>2629</v>
      </c>
      <c r="N38" s="7">
        <v>46061</v>
      </c>
      <c r="O38" s="8" t="s">
        <v>13</v>
      </c>
      <c r="P38" s="8" t="s">
        <v>80</v>
      </c>
      <c r="Q38" s="8" t="s">
        <v>81</v>
      </c>
      <c r="R38" s="8" t="s">
        <v>82</v>
      </c>
      <c r="S38" s="344" t="s">
        <v>17</v>
      </c>
      <c r="T38" s="9">
        <v>351</v>
      </c>
      <c r="U38" s="9">
        <v>62077.86</v>
      </c>
      <c r="V38" s="8" t="s">
        <v>17</v>
      </c>
      <c r="W38" s="8">
        <v>0</v>
      </c>
      <c r="X38" s="8">
        <v>9</v>
      </c>
      <c r="Y38" s="8">
        <v>5587.01</v>
      </c>
      <c r="Z38" s="8">
        <v>9</v>
      </c>
      <c r="AA38" s="8">
        <v>5587.01</v>
      </c>
      <c r="AB38" s="8">
        <v>0</v>
      </c>
      <c r="AC38" s="8">
        <v>0</v>
      </c>
      <c r="AD38" s="8">
        <v>0</v>
      </c>
      <c r="AE38" s="8">
        <v>11174.02</v>
      </c>
      <c r="AF38" s="8">
        <v>0</v>
      </c>
      <c r="AG38" s="8" t="s">
        <v>65</v>
      </c>
      <c r="AH38" s="8" t="s">
        <v>11</v>
      </c>
      <c r="AI38" s="8">
        <v>39200000</v>
      </c>
      <c r="AJ38" s="8" t="s">
        <v>60</v>
      </c>
      <c r="AK38" s="8">
        <v>1</v>
      </c>
      <c r="AL38" s="8">
        <v>351</v>
      </c>
      <c r="AM38" s="8" t="s">
        <v>1905</v>
      </c>
    </row>
    <row r="39" spans="1:39" ht="15" customHeight="1">
      <c r="A39"/>
      <c r="B39"/>
      <c r="C39"/>
      <c r="G39" s="344"/>
      <c r="H39" s="345">
        <v>46061</v>
      </c>
      <c r="I39" s="8" t="s">
        <v>87</v>
      </c>
      <c r="J39" s="8" t="s">
        <v>91</v>
      </c>
      <c r="K39" s="8" t="s">
        <v>2628</v>
      </c>
      <c r="L39" s="8" t="s">
        <v>98</v>
      </c>
      <c r="M39" s="8" t="s">
        <v>2629</v>
      </c>
      <c r="N39" s="7">
        <v>46061</v>
      </c>
      <c r="O39" s="8" t="s">
        <v>13</v>
      </c>
      <c r="P39" s="8" t="s">
        <v>80</v>
      </c>
      <c r="Q39" s="8" t="s">
        <v>81</v>
      </c>
      <c r="R39" s="8" t="s">
        <v>82</v>
      </c>
      <c r="S39" s="344" t="s">
        <v>17</v>
      </c>
      <c r="T39" s="9">
        <v>632</v>
      </c>
      <c r="U39" s="9">
        <v>113671.52</v>
      </c>
      <c r="V39" s="8" t="s">
        <v>17</v>
      </c>
      <c r="W39" s="8">
        <v>0</v>
      </c>
      <c r="X39" s="8">
        <v>9</v>
      </c>
      <c r="Y39" s="8">
        <v>10230.44</v>
      </c>
      <c r="Z39" s="8">
        <v>9</v>
      </c>
      <c r="AA39" s="8">
        <v>10230.44</v>
      </c>
      <c r="AB39" s="8">
        <v>0</v>
      </c>
      <c r="AC39" s="8">
        <v>0</v>
      </c>
      <c r="AD39" s="8">
        <v>0</v>
      </c>
      <c r="AE39" s="8">
        <v>20460.88</v>
      </c>
      <c r="AF39" s="8">
        <v>0</v>
      </c>
      <c r="AG39" s="8" t="s">
        <v>65</v>
      </c>
      <c r="AH39" s="8" t="s">
        <v>11</v>
      </c>
      <c r="AI39" s="8">
        <v>39200000</v>
      </c>
      <c r="AJ39" s="8" t="s">
        <v>60</v>
      </c>
      <c r="AK39" s="8">
        <v>1</v>
      </c>
      <c r="AL39" s="8">
        <v>632</v>
      </c>
      <c r="AM39" s="8" t="s">
        <v>1905</v>
      </c>
    </row>
    <row r="40" spans="1:39" ht="15" customHeight="1">
      <c r="A40"/>
      <c r="B40"/>
      <c r="C40"/>
      <c r="G40" s="344"/>
      <c r="H40" s="345">
        <v>46089</v>
      </c>
      <c r="I40" s="8" t="s">
        <v>107</v>
      </c>
      <c r="J40" s="8" t="s">
        <v>96</v>
      </c>
      <c r="K40" s="8" t="s">
        <v>2630</v>
      </c>
      <c r="L40" s="8" t="s">
        <v>97</v>
      </c>
      <c r="M40" s="8" t="s">
        <v>2631</v>
      </c>
      <c r="N40" s="7">
        <v>46030</v>
      </c>
      <c r="O40" s="8" t="s">
        <v>5</v>
      </c>
      <c r="P40" s="8" t="s">
        <v>5</v>
      </c>
      <c r="Q40" s="8" t="s">
        <v>68</v>
      </c>
      <c r="R40" s="8" t="s">
        <v>69</v>
      </c>
      <c r="S40" s="8" t="s">
        <v>2632</v>
      </c>
      <c r="T40" s="9">
        <v>5</v>
      </c>
      <c r="U40" s="9">
        <v>7415.25</v>
      </c>
      <c r="V40" s="8" t="s">
        <v>2632</v>
      </c>
      <c r="W40" s="8">
        <v>8750</v>
      </c>
      <c r="X40" s="8">
        <v>9</v>
      </c>
      <c r="Y40" s="8">
        <v>667.37</v>
      </c>
      <c r="Z40" s="8">
        <v>9</v>
      </c>
      <c r="AA40" s="8">
        <v>667.37</v>
      </c>
      <c r="AB40" s="8">
        <v>0</v>
      </c>
      <c r="AC40" s="8">
        <v>0</v>
      </c>
      <c r="AD40" s="8">
        <v>0</v>
      </c>
      <c r="AE40" s="8">
        <v>1334.74</v>
      </c>
      <c r="AF40" s="8">
        <v>0</v>
      </c>
      <c r="AG40" s="8" t="s">
        <v>557</v>
      </c>
      <c r="AH40" s="8" t="s">
        <v>2633</v>
      </c>
      <c r="AI40" s="8">
        <v>31021000</v>
      </c>
      <c r="AJ40" s="8" t="s">
        <v>60</v>
      </c>
      <c r="AK40" s="8">
        <v>1</v>
      </c>
      <c r="AL40" s="8">
        <v>0</v>
      </c>
      <c r="AM40" s="8" t="s">
        <v>1905</v>
      </c>
    </row>
    <row r="41" spans="1:39" ht="12.75" customHeight="1">
      <c r="G41" s="344"/>
      <c r="H41" s="345">
        <v>46089</v>
      </c>
      <c r="I41" s="8" t="s">
        <v>107</v>
      </c>
      <c r="J41" s="8" t="s">
        <v>96</v>
      </c>
      <c r="K41" s="8" t="s">
        <v>2634</v>
      </c>
      <c r="L41" s="8" t="s">
        <v>97</v>
      </c>
      <c r="M41" s="8" t="s">
        <v>2635</v>
      </c>
      <c r="N41" s="7">
        <v>46030</v>
      </c>
      <c r="O41" s="8" t="s">
        <v>5</v>
      </c>
      <c r="P41" s="8" t="s">
        <v>108</v>
      </c>
      <c r="Q41" s="8" t="s">
        <v>68</v>
      </c>
      <c r="R41" s="8" t="s">
        <v>69</v>
      </c>
      <c r="S41" s="8" t="s">
        <v>556</v>
      </c>
      <c r="T41" s="9">
        <v>400</v>
      </c>
      <c r="U41" s="9">
        <v>39116</v>
      </c>
      <c r="V41" s="8" t="s">
        <v>556</v>
      </c>
      <c r="W41" s="8">
        <v>39116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 t="s">
        <v>557</v>
      </c>
      <c r="AH41" s="8" t="s">
        <v>6</v>
      </c>
      <c r="AI41" s="8">
        <v>27101930</v>
      </c>
      <c r="AJ41" s="8" t="s">
        <v>60</v>
      </c>
      <c r="AK41" s="8">
        <v>1</v>
      </c>
      <c r="AL41" s="8">
        <v>0</v>
      </c>
      <c r="AM41" s="8" t="s">
        <v>1905</v>
      </c>
    </row>
    <row r="42" spans="1:39" ht="12.75" customHeight="1">
      <c r="G42" s="344"/>
      <c r="H42" s="345">
        <v>46089</v>
      </c>
      <c r="I42" s="8" t="s">
        <v>107</v>
      </c>
      <c r="J42" s="8" t="s">
        <v>96</v>
      </c>
      <c r="K42" s="8" t="s">
        <v>2636</v>
      </c>
      <c r="L42" s="8" t="s">
        <v>97</v>
      </c>
      <c r="M42" s="8" t="s">
        <v>2637</v>
      </c>
      <c r="N42" s="7">
        <v>46030</v>
      </c>
      <c r="O42" s="8" t="s">
        <v>5</v>
      </c>
      <c r="P42" s="8" t="s">
        <v>108</v>
      </c>
      <c r="Q42" s="8" t="s">
        <v>68</v>
      </c>
      <c r="R42" s="8" t="s">
        <v>69</v>
      </c>
      <c r="S42" s="8" t="s">
        <v>556</v>
      </c>
      <c r="T42" s="9">
        <v>200</v>
      </c>
      <c r="U42" s="9">
        <v>19558</v>
      </c>
      <c r="V42" s="8" t="s">
        <v>556</v>
      </c>
      <c r="W42" s="8">
        <v>19558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 t="s">
        <v>557</v>
      </c>
      <c r="AH42" s="8" t="s">
        <v>6</v>
      </c>
      <c r="AI42" s="8">
        <v>27101930</v>
      </c>
      <c r="AJ42" s="8" t="s">
        <v>60</v>
      </c>
      <c r="AK42" s="8">
        <v>1</v>
      </c>
      <c r="AL42" s="8">
        <v>0</v>
      </c>
      <c r="AM42" s="8" t="s">
        <v>1905</v>
      </c>
    </row>
    <row r="43" spans="1:39" ht="12.75" customHeight="1">
      <c r="G43" s="344"/>
      <c r="H43" s="345">
        <v>46089</v>
      </c>
      <c r="I43" s="8" t="s">
        <v>87</v>
      </c>
      <c r="J43" s="8" t="s">
        <v>96</v>
      </c>
      <c r="K43" s="8" t="s">
        <v>2638</v>
      </c>
      <c r="L43" s="8" t="s">
        <v>97</v>
      </c>
      <c r="M43" s="8" t="s">
        <v>2639</v>
      </c>
      <c r="N43" s="7">
        <v>46089</v>
      </c>
      <c r="O43" s="8" t="s">
        <v>2</v>
      </c>
      <c r="P43" s="8" t="s">
        <v>67</v>
      </c>
      <c r="Q43" s="8" t="s">
        <v>68</v>
      </c>
      <c r="R43" s="8" t="s">
        <v>69</v>
      </c>
      <c r="S43" s="8" t="s">
        <v>70</v>
      </c>
      <c r="T43" s="9">
        <v>402</v>
      </c>
      <c r="U43" s="9">
        <v>19296</v>
      </c>
      <c r="V43" s="8" t="s">
        <v>70</v>
      </c>
      <c r="W43" s="8">
        <v>22749.98</v>
      </c>
      <c r="X43" s="8">
        <v>9</v>
      </c>
      <c r="Y43" s="8">
        <v>1736.64</v>
      </c>
      <c r="Z43" s="8">
        <v>9</v>
      </c>
      <c r="AA43" s="8">
        <v>1736.64</v>
      </c>
      <c r="AB43" s="8">
        <v>0</v>
      </c>
      <c r="AC43" s="8">
        <v>0</v>
      </c>
      <c r="AD43" s="8">
        <v>0</v>
      </c>
      <c r="AE43" s="8">
        <v>3473.28</v>
      </c>
      <c r="AF43" s="8">
        <v>0</v>
      </c>
      <c r="AG43" s="8" t="s">
        <v>65</v>
      </c>
      <c r="AH43" s="8" t="s">
        <v>11</v>
      </c>
      <c r="AI43" s="8">
        <v>73063090</v>
      </c>
      <c r="AJ43" s="8" t="s">
        <v>60</v>
      </c>
      <c r="AK43" s="8">
        <v>1</v>
      </c>
      <c r="AL43" s="8">
        <v>0</v>
      </c>
      <c r="AM43" s="8" t="s">
        <v>1905</v>
      </c>
    </row>
    <row r="44" spans="1:39" ht="12.75" customHeight="1">
      <c r="G44" s="344"/>
      <c r="H44" s="345">
        <v>46089</v>
      </c>
      <c r="I44" s="8" t="s">
        <v>87</v>
      </c>
      <c r="J44" s="8" t="s">
        <v>91</v>
      </c>
      <c r="K44" s="8" t="s">
        <v>2640</v>
      </c>
      <c r="L44" s="8" t="s">
        <v>2348</v>
      </c>
      <c r="M44" s="8" t="s">
        <v>2641</v>
      </c>
      <c r="N44" s="7">
        <v>46089</v>
      </c>
      <c r="O44" s="8" t="s">
        <v>15</v>
      </c>
      <c r="P44" s="8" t="s">
        <v>57</v>
      </c>
      <c r="Q44" s="8" t="s">
        <v>57</v>
      </c>
      <c r="R44" s="8" t="s">
        <v>58</v>
      </c>
      <c r="S44" s="8" t="s">
        <v>16</v>
      </c>
      <c r="T44" s="9">
        <v>7506.8</v>
      </c>
      <c r="U44" s="9">
        <v>2076906.36</v>
      </c>
      <c r="V44" s="8" t="s">
        <v>16</v>
      </c>
      <c r="W44" s="8">
        <v>3266648.12</v>
      </c>
      <c r="X44" s="8">
        <v>9</v>
      </c>
      <c r="Y44" s="8">
        <v>186921.57</v>
      </c>
      <c r="Z44" s="8">
        <v>9</v>
      </c>
      <c r="AA44" s="8">
        <v>186921.57</v>
      </c>
      <c r="AB44" s="8">
        <v>0</v>
      </c>
      <c r="AC44" s="8">
        <v>0</v>
      </c>
      <c r="AD44" s="8">
        <v>0</v>
      </c>
      <c r="AE44" s="8">
        <v>373843.14</v>
      </c>
      <c r="AF44" s="8">
        <v>0</v>
      </c>
      <c r="AG44" s="8" t="s">
        <v>65</v>
      </c>
      <c r="AH44" s="8" t="s">
        <v>11</v>
      </c>
      <c r="AI44" s="8">
        <v>63053200</v>
      </c>
      <c r="AJ44" s="8" t="s">
        <v>60</v>
      </c>
      <c r="AK44" s="8">
        <v>1</v>
      </c>
      <c r="AL44" s="8">
        <v>7506.8</v>
      </c>
      <c r="AM44" s="8" t="s">
        <v>1905</v>
      </c>
    </row>
    <row r="45" spans="1:39" ht="12.75" customHeight="1">
      <c r="G45" s="344"/>
      <c r="H45" s="345">
        <v>46089</v>
      </c>
      <c r="I45" s="8" t="s">
        <v>87</v>
      </c>
      <c r="J45" s="8" t="s">
        <v>91</v>
      </c>
      <c r="K45" s="8" t="s">
        <v>2640</v>
      </c>
      <c r="L45" s="8" t="s">
        <v>2348</v>
      </c>
      <c r="M45" s="8" t="s">
        <v>2641</v>
      </c>
      <c r="N45" s="7">
        <v>46089</v>
      </c>
      <c r="O45" s="8" t="s">
        <v>15</v>
      </c>
      <c r="P45" s="8" t="s">
        <v>57</v>
      </c>
      <c r="Q45" s="8" t="s">
        <v>57</v>
      </c>
      <c r="R45" s="8" t="s">
        <v>58</v>
      </c>
      <c r="S45" s="8" t="s">
        <v>16</v>
      </c>
      <c r="T45" s="9">
        <v>2732.2</v>
      </c>
      <c r="U45" s="9">
        <v>693787.55</v>
      </c>
      <c r="V45" s="8" t="s">
        <v>16</v>
      </c>
      <c r="W45" s="8">
        <v>0</v>
      </c>
      <c r="X45" s="8">
        <v>9</v>
      </c>
      <c r="Y45" s="8">
        <v>62440.88</v>
      </c>
      <c r="Z45" s="8">
        <v>9</v>
      </c>
      <c r="AA45" s="8">
        <v>62440.88</v>
      </c>
      <c r="AB45" s="8">
        <v>0</v>
      </c>
      <c r="AC45" s="8">
        <v>0</v>
      </c>
      <c r="AD45" s="8">
        <v>0</v>
      </c>
      <c r="AE45" s="8">
        <v>124881.76</v>
      </c>
      <c r="AF45" s="8">
        <v>0</v>
      </c>
      <c r="AG45" s="8" t="s">
        <v>65</v>
      </c>
      <c r="AH45" s="8" t="s">
        <v>11</v>
      </c>
      <c r="AI45" s="8">
        <v>63053200</v>
      </c>
      <c r="AJ45" s="8" t="s">
        <v>60</v>
      </c>
      <c r="AK45" s="8">
        <v>1</v>
      </c>
      <c r="AL45" s="8">
        <v>2732.2</v>
      </c>
      <c r="AM45" s="8" t="s">
        <v>1905</v>
      </c>
    </row>
    <row r="46" spans="1:39" ht="12.75" customHeight="1">
      <c r="G46" s="344"/>
      <c r="H46" s="345">
        <v>46089</v>
      </c>
      <c r="I46" s="8" t="s">
        <v>87</v>
      </c>
      <c r="J46" s="8" t="s">
        <v>91</v>
      </c>
      <c r="K46" s="8" t="s">
        <v>2642</v>
      </c>
      <c r="L46" s="8" t="s">
        <v>98</v>
      </c>
      <c r="M46" s="8" t="s">
        <v>2643</v>
      </c>
      <c r="N46" s="7">
        <v>46089</v>
      </c>
      <c r="O46" s="8" t="s">
        <v>13</v>
      </c>
      <c r="P46" s="8" t="s">
        <v>62</v>
      </c>
      <c r="Q46" s="8" t="s">
        <v>63</v>
      </c>
      <c r="R46" s="8" t="s">
        <v>64</v>
      </c>
      <c r="S46" s="8" t="s">
        <v>19</v>
      </c>
      <c r="T46" s="9">
        <v>1094</v>
      </c>
      <c r="U46" s="9">
        <v>154341.51999999999</v>
      </c>
      <c r="V46" s="8" t="s">
        <v>19</v>
      </c>
      <c r="W46" s="8">
        <v>1279127.53</v>
      </c>
      <c r="X46" s="8">
        <v>9</v>
      </c>
      <c r="Y46" s="8">
        <v>13890.74</v>
      </c>
      <c r="Z46" s="8">
        <v>9</v>
      </c>
      <c r="AA46" s="8">
        <v>13890.74</v>
      </c>
      <c r="AB46" s="8">
        <v>0</v>
      </c>
      <c r="AC46" s="8">
        <v>0</v>
      </c>
      <c r="AD46" s="8">
        <v>0</v>
      </c>
      <c r="AE46" s="8">
        <v>27781.48</v>
      </c>
      <c r="AF46" s="8">
        <v>0</v>
      </c>
      <c r="AG46" s="8" t="s">
        <v>65</v>
      </c>
      <c r="AH46" s="8" t="s">
        <v>11</v>
      </c>
      <c r="AI46" s="8">
        <v>39269080</v>
      </c>
      <c r="AJ46" s="8" t="s">
        <v>60</v>
      </c>
      <c r="AK46" s="8">
        <v>1</v>
      </c>
      <c r="AL46" s="8">
        <v>1094</v>
      </c>
      <c r="AM46" s="8" t="s">
        <v>1905</v>
      </c>
    </row>
    <row r="47" spans="1:39" ht="12.75" customHeight="1">
      <c r="G47" s="344"/>
      <c r="H47" s="345">
        <v>46089</v>
      </c>
      <c r="I47" s="8" t="s">
        <v>87</v>
      </c>
      <c r="J47" s="8" t="s">
        <v>91</v>
      </c>
      <c r="K47" s="8" t="s">
        <v>2642</v>
      </c>
      <c r="L47" s="8" t="s">
        <v>98</v>
      </c>
      <c r="M47" s="8" t="s">
        <v>2643</v>
      </c>
      <c r="N47" s="7">
        <v>46089</v>
      </c>
      <c r="O47" s="8" t="s">
        <v>13</v>
      </c>
      <c r="P47" s="8" t="s">
        <v>62</v>
      </c>
      <c r="Q47" s="8" t="s">
        <v>63</v>
      </c>
      <c r="R47" s="8" t="s">
        <v>64</v>
      </c>
      <c r="S47" s="8" t="s">
        <v>19</v>
      </c>
      <c r="T47" s="9">
        <v>6691</v>
      </c>
      <c r="U47" s="9">
        <v>930584.28</v>
      </c>
      <c r="V47" s="8" t="s">
        <v>19</v>
      </c>
      <c r="W47" s="8">
        <v>0</v>
      </c>
      <c r="X47" s="8">
        <v>9</v>
      </c>
      <c r="Y47" s="8">
        <v>83752.59</v>
      </c>
      <c r="Z47" s="8">
        <v>9</v>
      </c>
      <c r="AA47" s="8">
        <v>83752.59</v>
      </c>
      <c r="AB47" s="8">
        <v>0</v>
      </c>
      <c r="AC47" s="8">
        <v>0</v>
      </c>
      <c r="AD47" s="8">
        <v>0</v>
      </c>
      <c r="AE47" s="8">
        <v>167505.18</v>
      </c>
      <c r="AF47" s="8">
        <v>0</v>
      </c>
      <c r="AG47" s="8" t="s">
        <v>65</v>
      </c>
      <c r="AH47" s="8" t="s">
        <v>11</v>
      </c>
      <c r="AI47" s="8">
        <v>39269080</v>
      </c>
      <c r="AJ47" s="8" t="s">
        <v>60</v>
      </c>
      <c r="AK47" s="8">
        <v>1</v>
      </c>
      <c r="AL47" s="8">
        <v>6691</v>
      </c>
      <c r="AM47" s="8" t="s">
        <v>1905</v>
      </c>
    </row>
    <row r="48" spans="1:39" ht="12.75" customHeight="1">
      <c r="G48" s="344"/>
      <c r="H48" s="345">
        <v>46089</v>
      </c>
      <c r="I48" s="8" t="s">
        <v>87</v>
      </c>
      <c r="J48" s="8" t="s">
        <v>91</v>
      </c>
      <c r="K48" s="8" t="s">
        <v>2644</v>
      </c>
      <c r="L48" s="8" t="s">
        <v>98</v>
      </c>
      <c r="M48" s="8" t="s">
        <v>2645</v>
      </c>
      <c r="N48" s="7">
        <v>46089</v>
      </c>
      <c r="O48" s="8" t="s">
        <v>13</v>
      </c>
      <c r="P48" s="8" t="s">
        <v>80</v>
      </c>
      <c r="Q48" s="8" t="s">
        <v>81</v>
      </c>
      <c r="R48" s="8" t="s">
        <v>82</v>
      </c>
      <c r="S48" s="8" t="s">
        <v>17</v>
      </c>
      <c r="T48" s="9">
        <v>2886.5</v>
      </c>
      <c r="U48" s="9">
        <v>510506.39</v>
      </c>
      <c r="V48" s="8" t="s">
        <v>17</v>
      </c>
      <c r="W48" s="8">
        <v>1652892.63</v>
      </c>
      <c r="X48" s="8">
        <v>9</v>
      </c>
      <c r="Y48" s="8">
        <v>45945.58</v>
      </c>
      <c r="Z48" s="8">
        <v>9</v>
      </c>
      <c r="AA48" s="8">
        <v>45945.58</v>
      </c>
      <c r="AB48" s="8">
        <v>0</v>
      </c>
      <c r="AC48" s="8">
        <v>0</v>
      </c>
      <c r="AD48" s="8">
        <v>0</v>
      </c>
      <c r="AE48" s="8">
        <v>91891.16</v>
      </c>
      <c r="AF48" s="8">
        <v>0</v>
      </c>
      <c r="AG48" s="8" t="s">
        <v>65</v>
      </c>
      <c r="AH48" s="8" t="s">
        <v>11</v>
      </c>
      <c r="AI48" s="8">
        <v>39200000</v>
      </c>
      <c r="AJ48" s="8" t="s">
        <v>60</v>
      </c>
      <c r="AK48" s="8">
        <v>1</v>
      </c>
      <c r="AL48" s="8">
        <v>2886.5</v>
      </c>
      <c r="AM48" s="8" t="s">
        <v>1905</v>
      </c>
    </row>
    <row r="49" spans="7:39" ht="12.75" customHeight="1">
      <c r="G49" s="344"/>
      <c r="H49" s="345">
        <v>46089</v>
      </c>
      <c r="I49" s="8" t="s">
        <v>87</v>
      </c>
      <c r="J49" s="8" t="s">
        <v>91</v>
      </c>
      <c r="K49" s="8" t="s">
        <v>2644</v>
      </c>
      <c r="L49" s="8" t="s">
        <v>98</v>
      </c>
      <c r="M49" s="8" t="s">
        <v>2645</v>
      </c>
      <c r="N49" s="7">
        <v>46089</v>
      </c>
      <c r="O49" s="8" t="s">
        <v>13</v>
      </c>
      <c r="P49" s="8" t="s">
        <v>24</v>
      </c>
      <c r="Q49" s="8" t="s">
        <v>79</v>
      </c>
      <c r="R49" s="8" t="s">
        <v>79</v>
      </c>
      <c r="S49" s="8" t="s">
        <v>24</v>
      </c>
      <c r="T49" s="9">
        <v>367.3</v>
      </c>
      <c r="U49" s="9">
        <v>51818.68</v>
      </c>
      <c r="V49" s="8" t="s">
        <v>24</v>
      </c>
      <c r="W49" s="8">
        <v>0</v>
      </c>
      <c r="X49" s="8">
        <v>9</v>
      </c>
      <c r="Y49" s="8">
        <v>4663.68</v>
      </c>
      <c r="Z49" s="8">
        <v>9</v>
      </c>
      <c r="AA49" s="8">
        <v>4663.68</v>
      </c>
      <c r="AB49" s="8">
        <v>0</v>
      </c>
      <c r="AC49" s="8">
        <v>0</v>
      </c>
      <c r="AD49" s="8">
        <v>0</v>
      </c>
      <c r="AE49" s="8">
        <v>9327.36</v>
      </c>
      <c r="AF49" s="8">
        <v>0</v>
      </c>
      <c r="AG49" s="8" t="s">
        <v>65</v>
      </c>
      <c r="AH49" s="8" t="s">
        <v>11</v>
      </c>
      <c r="AI49" s="8">
        <v>3926908</v>
      </c>
      <c r="AJ49" s="8" t="s">
        <v>60</v>
      </c>
      <c r="AK49" s="8">
        <v>1</v>
      </c>
      <c r="AL49" s="8">
        <v>367.3</v>
      </c>
      <c r="AM49" s="8" t="s">
        <v>1905</v>
      </c>
    </row>
    <row r="50" spans="7:39" ht="12.75" customHeight="1">
      <c r="G50" s="344"/>
      <c r="H50" s="345">
        <v>46089</v>
      </c>
      <c r="I50" s="8" t="s">
        <v>87</v>
      </c>
      <c r="J50" s="8" t="s">
        <v>91</v>
      </c>
      <c r="K50" s="8" t="s">
        <v>2644</v>
      </c>
      <c r="L50" s="8" t="s">
        <v>98</v>
      </c>
      <c r="M50" s="8" t="s">
        <v>2645</v>
      </c>
      <c r="N50" s="7">
        <v>46089</v>
      </c>
      <c r="O50" s="8" t="s">
        <v>13</v>
      </c>
      <c r="P50" s="8" t="s">
        <v>24</v>
      </c>
      <c r="Q50" s="8" t="s">
        <v>79</v>
      </c>
      <c r="R50" s="8" t="s">
        <v>79</v>
      </c>
      <c r="S50" s="8" t="s">
        <v>24</v>
      </c>
      <c r="T50" s="9">
        <v>1097.7</v>
      </c>
      <c r="U50" s="9">
        <v>158156.62</v>
      </c>
      <c r="V50" s="8" t="s">
        <v>24</v>
      </c>
      <c r="W50" s="8">
        <v>0</v>
      </c>
      <c r="X50" s="8">
        <v>9</v>
      </c>
      <c r="Y50" s="8">
        <v>14234.1</v>
      </c>
      <c r="Z50" s="8">
        <v>9</v>
      </c>
      <c r="AA50" s="8">
        <v>14234.1</v>
      </c>
      <c r="AB50" s="8">
        <v>0</v>
      </c>
      <c r="AC50" s="8">
        <v>0</v>
      </c>
      <c r="AD50" s="8">
        <v>0</v>
      </c>
      <c r="AE50" s="8">
        <v>28468.2</v>
      </c>
      <c r="AF50" s="8">
        <v>0</v>
      </c>
      <c r="AG50" s="8" t="s">
        <v>65</v>
      </c>
      <c r="AH50" s="8" t="s">
        <v>11</v>
      </c>
      <c r="AI50" s="8">
        <v>3926908</v>
      </c>
      <c r="AJ50" s="8" t="s">
        <v>60</v>
      </c>
      <c r="AK50" s="8">
        <v>1</v>
      </c>
      <c r="AL50" s="8">
        <v>1097.7</v>
      </c>
      <c r="AM50" s="8" t="s">
        <v>1905</v>
      </c>
    </row>
    <row r="51" spans="7:39" ht="12.75" customHeight="1">
      <c r="G51" s="344"/>
      <c r="H51" s="345">
        <v>46089</v>
      </c>
      <c r="I51" s="8" t="s">
        <v>87</v>
      </c>
      <c r="J51" s="8" t="s">
        <v>91</v>
      </c>
      <c r="K51" s="8" t="s">
        <v>2644</v>
      </c>
      <c r="L51" s="8" t="s">
        <v>98</v>
      </c>
      <c r="M51" s="8" t="s">
        <v>2645</v>
      </c>
      <c r="N51" s="7">
        <v>46089</v>
      </c>
      <c r="O51" s="8" t="s">
        <v>13</v>
      </c>
      <c r="P51" s="8" t="s">
        <v>62</v>
      </c>
      <c r="Q51" s="8" t="s">
        <v>76</v>
      </c>
      <c r="R51" s="8" t="s">
        <v>77</v>
      </c>
      <c r="S51" s="8" t="s">
        <v>21</v>
      </c>
      <c r="T51" s="9">
        <v>1675</v>
      </c>
      <c r="U51" s="9">
        <v>244684</v>
      </c>
      <c r="V51" s="8" t="s">
        <v>21</v>
      </c>
      <c r="W51" s="8">
        <v>0</v>
      </c>
      <c r="X51" s="8">
        <v>9</v>
      </c>
      <c r="Y51" s="8">
        <v>22021.56</v>
      </c>
      <c r="Z51" s="8">
        <v>9</v>
      </c>
      <c r="AA51" s="8">
        <v>22021.56</v>
      </c>
      <c r="AB51" s="8">
        <v>0</v>
      </c>
      <c r="AC51" s="8">
        <v>0</v>
      </c>
      <c r="AD51" s="8">
        <v>0</v>
      </c>
      <c r="AE51" s="8">
        <v>44043.12</v>
      </c>
      <c r="AF51" s="8">
        <v>0</v>
      </c>
      <c r="AG51" s="8" t="s">
        <v>65</v>
      </c>
      <c r="AH51" s="8" t="s">
        <v>11</v>
      </c>
      <c r="AI51" s="8">
        <v>63053300</v>
      </c>
      <c r="AJ51" s="8" t="s">
        <v>60</v>
      </c>
      <c r="AK51" s="8">
        <v>1</v>
      </c>
      <c r="AL51" s="8">
        <v>1675</v>
      </c>
      <c r="AM51" s="8" t="s">
        <v>1905</v>
      </c>
    </row>
    <row r="52" spans="7:39" ht="12.75" customHeight="1">
      <c r="G52" s="344"/>
      <c r="H52" s="345">
        <v>46089</v>
      </c>
      <c r="I52" s="8" t="s">
        <v>87</v>
      </c>
      <c r="J52" s="8" t="s">
        <v>91</v>
      </c>
      <c r="K52" s="8" t="s">
        <v>2644</v>
      </c>
      <c r="L52" s="8" t="s">
        <v>98</v>
      </c>
      <c r="M52" s="8" t="s">
        <v>2645</v>
      </c>
      <c r="N52" s="7">
        <v>46089</v>
      </c>
      <c r="O52" s="8" t="s">
        <v>13</v>
      </c>
      <c r="P52" s="8" t="s">
        <v>62</v>
      </c>
      <c r="Q52" s="8" t="s">
        <v>76</v>
      </c>
      <c r="R52" s="8" t="s">
        <v>77</v>
      </c>
      <c r="S52" s="8" t="s">
        <v>21</v>
      </c>
      <c r="T52" s="9">
        <v>200</v>
      </c>
      <c r="U52" s="9">
        <v>28616</v>
      </c>
      <c r="V52" s="8" t="s">
        <v>21</v>
      </c>
      <c r="W52" s="8">
        <v>0</v>
      </c>
      <c r="X52" s="8">
        <v>9</v>
      </c>
      <c r="Y52" s="8">
        <v>2575.44</v>
      </c>
      <c r="Z52" s="8">
        <v>9</v>
      </c>
      <c r="AA52" s="8">
        <v>2575.44</v>
      </c>
      <c r="AB52" s="8">
        <v>0</v>
      </c>
      <c r="AC52" s="8">
        <v>0</v>
      </c>
      <c r="AD52" s="8">
        <v>0</v>
      </c>
      <c r="AE52" s="8">
        <v>5150.88</v>
      </c>
      <c r="AF52" s="8">
        <v>0</v>
      </c>
      <c r="AG52" s="8" t="s">
        <v>65</v>
      </c>
      <c r="AH52" s="8" t="s">
        <v>11</v>
      </c>
      <c r="AI52" s="8">
        <v>63053300</v>
      </c>
      <c r="AJ52" s="8" t="s">
        <v>60</v>
      </c>
      <c r="AK52" s="8">
        <v>1</v>
      </c>
      <c r="AL52" s="8">
        <v>200</v>
      </c>
      <c r="AM52" s="8" t="s">
        <v>1905</v>
      </c>
    </row>
    <row r="53" spans="7:39" ht="12.75" customHeight="1">
      <c r="G53" s="344"/>
      <c r="H53" s="345">
        <v>46089</v>
      </c>
      <c r="I53" s="8" t="s">
        <v>87</v>
      </c>
      <c r="J53" s="8" t="s">
        <v>91</v>
      </c>
      <c r="K53" s="8" t="s">
        <v>2644</v>
      </c>
      <c r="L53" s="8" t="s">
        <v>98</v>
      </c>
      <c r="M53" s="8" t="s">
        <v>2645</v>
      </c>
      <c r="N53" s="7">
        <v>46089</v>
      </c>
      <c r="O53" s="8" t="s">
        <v>13</v>
      </c>
      <c r="P53" s="8" t="s">
        <v>62</v>
      </c>
      <c r="Q53" s="8" t="s">
        <v>76</v>
      </c>
      <c r="R53" s="8" t="s">
        <v>77</v>
      </c>
      <c r="S53" s="8" t="s">
        <v>21</v>
      </c>
      <c r="T53" s="9">
        <v>575</v>
      </c>
      <c r="U53" s="9">
        <v>81121</v>
      </c>
      <c r="V53" s="8" t="s">
        <v>21</v>
      </c>
      <c r="W53" s="8">
        <v>0</v>
      </c>
      <c r="X53" s="8">
        <v>9</v>
      </c>
      <c r="Y53" s="8">
        <v>7300.89</v>
      </c>
      <c r="Z53" s="8">
        <v>9</v>
      </c>
      <c r="AA53" s="8">
        <v>7300.89</v>
      </c>
      <c r="AB53" s="8">
        <v>0</v>
      </c>
      <c r="AC53" s="8">
        <v>0</v>
      </c>
      <c r="AD53" s="8">
        <v>0</v>
      </c>
      <c r="AE53" s="8">
        <v>14601.78</v>
      </c>
      <c r="AF53" s="8">
        <v>0</v>
      </c>
      <c r="AG53" s="8" t="s">
        <v>65</v>
      </c>
      <c r="AH53" s="8" t="s">
        <v>11</v>
      </c>
      <c r="AI53" s="8">
        <v>63053300</v>
      </c>
      <c r="AJ53" s="8" t="s">
        <v>60</v>
      </c>
      <c r="AK53" s="8">
        <v>1</v>
      </c>
      <c r="AL53" s="8">
        <v>575</v>
      </c>
      <c r="AM53" s="8" t="s">
        <v>1905</v>
      </c>
    </row>
    <row r="54" spans="7:39" ht="12.75" customHeight="1">
      <c r="G54" s="344"/>
      <c r="H54" s="345">
        <v>46089</v>
      </c>
      <c r="I54" s="8" t="s">
        <v>87</v>
      </c>
      <c r="J54" s="8" t="s">
        <v>91</v>
      </c>
      <c r="K54" s="8" t="s">
        <v>2644</v>
      </c>
      <c r="L54" s="8" t="s">
        <v>98</v>
      </c>
      <c r="M54" s="8" t="s">
        <v>2645</v>
      </c>
      <c r="N54" s="7">
        <v>46089</v>
      </c>
      <c r="O54" s="8" t="s">
        <v>13</v>
      </c>
      <c r="P54" s="8" t="s">
        <v>62</v>
      </c>
      <c r="Q54" s="8" t="s">
        <v>63</v>
      </c>
      <c r="R54" s="8" t="s">
        <v>64</v>
      </c>
      <c r="S54" s="8" t="s">
        <v>19</v>
      </c>
      <c r="T54" s="9">
        <v>2107</v>
      </c>
      <c r="U54" s="9">
        <v>293041.56</v>
      </c>
      <c r="V54" s="8" t="s">
        <v>19</v>
      </c>
      <c r="W54" s="8">
        <v>0</v>
      </c>
      <c r="X54" s="8">
        <v>9</v>
      </c>
      <c r="Y54" s="8">
        <v>26373.74</v>
      </c>
      <c r="Z54" s="8">
        <v>9</v>
      </c>
      <c r="AA54" s="8">
        <v>26373.74</v>
      </c>
      <c r="AB54" s="8">
        <v>0</v>
      </c>
      <c r="AC54" s="8">
        <v>0</v>
      </c>
      <c r="AD54" s="8">
        <v>0</v>
      </c>
      <c r="AE54" s="8">
        <v>52747.48</v>
      </c>
      <c r="AF54" s="8">
        <v>0</v>
      </c>
      <c r="AG54" s="8" t="s">
        <v>65</v>
      </c>
      <c r="AH54" s="8" t="s">
        <v>11</v>
      </c>
      <c r="AI54" s="8">
        <v>39269080</v>
      </c>
      <c r="AJ54" s="8" t="s">
        <v>60</v>
      </c>
      <c r="AK54" s="8">
        <v>1</v>
      </c>
      <c r="AL54" s="8">
        <v>2107</v>
      </c>
      <c r="AM54" s="8" t="s">
        <v>1905</v>
      </c>
    </row>
    <row r="55" spans="7:39" ht="12.75" customHeight="1">
      <c r="G55" s="344"/>
      <c r="H55" s="345">
        <v>46089</v>
      </c>
      <c r="I55" s="8" t="s">
        <v>87</v>
      </c>
      <c r="J55" s="8" t="s">
        <v>91</v>
      </c>
      <c r="K55" s="8" t="s">
        <v>2644</v>
      </c>
      <c r="L55" s="8" t="s">
        <v>98</v>
      </c>
      <c r="M55" s="8" t="s">
        <v>2645</v>
      </c>
      <c r="N55" s="7">
        <v>46089</v>
      </c>
      <c r="O55" s="8" t="s">
        <v>13</v>
      </c>
      <c r="P55" s="8" t="s">
        <v>62</v>
      </c>
      <c r="Q55" s="8" t="s">
        <v>63</v>
      </c>
      <c r="R55" s="8" t="s">
        <v>64</v>
      </c>
      <c r="S55" s="8" t="s">
        <v>19</v>
      </c>
      <c r="T55" s="9">
        <v>241</v>
      </c>
      <c r="U55" s="9">
        <v>34000.28</v>
      </c>
      <c r="V55" s="8" t="s">
        <v>19</v>
      </c>
      <c r="W55" s="8">
        <v>0</v>
      </c>
      <c r="X55" s="8">
        <v>9</v>
      </c>
      <c r="Y55" s="8">
        <v>3060.03</v>
      </c>
      <c r="Z55" s="8">
        <v>9</v>
      </c>
      <c r="AA55" s="8">
        <v>3060.03</v>
      </c>
      <c r="AB55" s="8">
        <v>0</v>
      </c>
      <c r="AC55" s="8">
        <v>0</v>
      </c>
      <c r="AD55" s="8">
        <v>0</v>
      </c>
      <c r="AE55" s="8">
        <v>6120.06</v>
      </c>
      <c r="AF55" s="8">
        <v>0</v>
      </c>
      <c r="AG55" s="8" t="s">
        <v>65</v>
      </c>
      <c r="AH55" s="8" t="s">
        <v>11</v>
      </c>
      <c r="AI55" s="8">
        <v>39269080</v>
      </c>
      <c r="AJ55" s="8" t="s">
        <v>60</v>
      </c>
      <c r="AK55" s="8">
        <v>1</v>
      </c>
      <c r="AL55" s="8">
        <v>241</v>
      </c>
      <c r="AM55" s="8" t="s">
        <v>1905</v>
      </c>
    </row>
    <row r="56" spans="7:39" ht="12.75" customHeight="1">
      <c r="G56" s="344"/>
      <c r="H56" s="345">
        <v>46089</v>
      </c>
      <c r="I56" s="8" t="s">
        <v>87</v>
      </c>
      <c r="J56" s="8" t="s">
        <v>91</v>
      </c>
      <c r="K56" s="8" t="s">
        <v>2646</v>
      </c>
      <c r="L56" s="8" t="s">
        <v>98</v>
      </c>
      <c r="M56" s="8" t="s">
        <v>2647</v>
      </c>
      <c r="N56" s="7">
        <v>46061</v>
      </c>
      <c r="O56" s="8" t="s">
        <v>13</v>
      </c>
      <c r="P56" s="8" t="s">
        <v>62</v>
      </c>
      <c r="Q56" s="8" t="s">
        <v>63</v>
      </c>
      <c r="R56" s="8" t="s">
        <v>64</v>
      </c>
      <c r="S56" s="8" t="s">
        <v>19</v>
      </c>
      <c r="T56" s="9">
        <v>5739</v>
      </c>
      <c r="U56" s="9">
        <v>798180.12</v>
      </c>
      <c r="V56" s="8" t="s">
        <v>19</v>
      </c>
      <c r="W56" s="8">
        <v>1138315.31</v>
      </c>
      <c r="X56" s="8">
        <v>9</v>
      </c>
      <c r="Y56" s="8">
        <v>71836.210000000006</v>
      </c>
      <c r="Z56" s="8">
        <v>9</v>
      </c>
      <c r="AA56" s="8">
        <v>71836.210000000006</v>
      </c>
      <c r="AB56" s="8">
        <v>0</v>
      </c>
      <c r="AC56" s="8">
        <v>0</v>
      </c>
      <c r="AD56" s="8">
        <v>0</v>
      </c>
      <c r="AE56" s="8">
        <v>143672.42000000001</v>
      </c>
      <c r="AF56" s="8">
        <v>0</v>
      </c>
      <c r="AG56" s="8" t="s">
        <v>65</v>
      </c>
      <c r="AH56" s="8" t="s">
        <v>11</v>
      </c>
      <c r="AI56" s="8">
        <v>39269080</v>
      </c>
      <c r="AJ56" s="8" t="s">
        <v>60</v>
      </c>
      <c r="AK56" s="8">
        <v>1</v>
      </c>
      <c r="AL56" s="8">
        <v>5739</v>
      </c>
      <c r="AM56" s="8" t="s">
        <v>1905</v>
      </c>
    </row>
    <row r="57" spans="7:39" ht="12.75" customHeight="1">
      <c r="G57" s="344"/>
      <c r="H57" s="345">
        <v>46089</v>
      </c>
      <c r="I57" s="8" t="s">
        <v>87</v>
      </c>
      <c r="J57" s="8" t="s">
        <v>91</v>
      </c>
      <c r="K57" s="8" t="s">
        <v>2646</v>
      </c>
      <c r="L57" s="8" t="s">
        <v>98</v>
      </c>
      <c r="M57" s="8" t="s">
        <v>2647</v>
      </c>
      <c r="N57" s="7">
        <v>46061</v>
      </c>
      <c r="O57" s="8" t="s">
        <v>13</v>
      </c>
      <c r="P57" s="8" t="s">
        <v>62</v>
      </c>
      <c r="Q57" s="8" t="s">
        <v>76</v>
      </c>
      <c r="R57" s="8" t="s">
        <v>77</v>
      </c>
      <c r="S57" s="8" t="s">
        <v>21</v>
      </c>
      <c r="T57" s="9">
        <v>475</v>
      </c>
      <c r="U57" s="9">
        <v>67013</v>
      </c>
      <c r="V57" s="8" t="s">
        <v>21</v>
      </c>
      <c r="W57" s="8">
        <v>0</v>
      </c>
      <c r="X57" s="8">
        <v>9</v>
      </c>
      <c r="Y57" s="8">
        <v>6031.17</v>
      </c>
      <c r="Z57" s="8">
        <v>9</v>
      </c>
      <c r="AA57" s="8">
        <v>6031.17</v>
      </c>
      <c r="AB57" s="8">
        <v>0</v>
      </c>
      <c r="AC57" s="8">
        <v>0</v>
      </c>
      <c r="AD57" s="8">
        <v>0</v>
      </c>
      <c r="AE57" s="8">
        <v>12062.34</v>
      </c>
      <c r="AF57" s="8">
        <v>0</v>
      </c>
      <c r="AG57" s="8" t="s">
        <v>65</v>
      </c>
      <c r="AH57" s="8" t="s">
        <v>11</v>
      </c>
      <c r="AI57" s="8">
        <v>63053300</v>
      </c>
      <c r="AJ57" s="8" t="s">
        <v>60</v>
      </c>
      <c r="AK57" s="8">
        <v>1</v>
      </c>
      <c r="AL57" s="8">
        <v>475</v>
      </c>
      <c r="AM57" s="8" t="s">
        <v>1905</v>
      </c>
    </row>
    <row r="58" spans="7:39" ht="12.75" customHeight="1">
      <c r="G58" s="344"/>
      <c r="H58" s="345">
        <v>46089</v>
      </c>
      <c r="I58" s="8" t="s">
        <v>87</v>
      </c>
      <c r="J58" s="8" t="s">
        <v>91</v>
      </c>
      <c r="K58" s="8" t="s">
        <v>2646</v>
      </c>
      <c r="L58" s="8" t="s">
        <v>98</v>
      </c>
      <c r="M58" s="8" t="s">
        <v>2647</v>
      </c>
      <c r="N58" s="7">
        <v>46061</v>
      </c>
      <c r="O58" s="8" t="s">
        <v>13</v>
      </c>
      <c r="P58" s="8" t="s">
        <v>62</v>
      </c>
      <c r="Q58" s="8" t="s">
        <v>76</v>
      </c>
      <c r="R58" s="8" t="s">
        <v>77</v>
      </c>
      <c r="S58" s="8" t="s">
        <v>21</v>
      </c>
      <c r="T58" s="9">
        <v>701</v>
      </c>
      <c r="U58" s="9">
        <v>100299.08</v>
      </c>
      <c r="V58" s="8" t="s">
        <v>21</v>
      </c>
      <c r="W58" s="8">
        <v>0</v>
      </c>
      <c r="X58" s="8">
        <v>9</v>
      </c>
      <c r="Y58" s="8">
        <v>9026.92</v>
      </c>
      <c r="Z58" s="8">
        <v>9</v>
      </c>
      <c r="AA58" s="8">
        <v>9026.92</v>
      </c>
      <c r="AB58" s="8">
        <v>0</v>
      </c>
      <c r="AC58" s="8">
        <v>0</v>
      </c>
      <c r="AD58" s="8">
        <v>0</v>
      </c>
      <c r="AE58" s="8">
        <v>18053.84</v>
      </c>
      <c r="AF58" s="8">
        <v>0</v>
      </c>
      <c r="AG58" s="8" t="s">
        <v>65</v>
      </c>
      <c r="AH58" s="8" t="s">
        <v>11</v>
      </c>
      <c r="AI58" s="8">
        <v>63053300</v>
      </c>
      <c r="AJ58" s="8" t="s">
        <v>60</v>
      </c>
      <c r="AK58" s="8">
        <v>1</v>
      </c>
      <c r="AL58" s="8">
        <v>701</v>
      </c>
      <c r="AM58" s="8" t="s">
        <v>1905</v>
      </c>
    </row>
    <row r="59" spans="7:39" ht="12.75" customHeight="1">
      <c r="G59" s="344"/>
      <c r="H59" s="345">
        <v>46120</v>
      </c>
      <c r="I59" s="8" t="s">
        <v>87</v>
      </c>
      <c r="J59" s="8" t="s">
        <v>96</v>
      </c>
      <c r="K59" s="8" t="s">
        <v>2648</v>
      </c>
      <c r="L59" s="8" t="s">
        <v>97</v>
      </c>
      <c r="M59" s="8" t="s">
        <v>2649</v>
      </c>
      <c r="N59" s="7">
        <v>46120</v>
      </c>
      <c r="O59" s="8" t="s">
        <v>2</v>
      </c>
      <c r="P59" s="8" t="s">
        <v>67</v>
      </c>
      <c r="Q59" s="8" t="s">
        <v>68</v>
      </c>
      <c r="R59" s="8" t="s">
        <v>69</v>
      </c>
      <c r="S59" s="8" t="s">
        <v>70</v>
      </c>
      <c r="T59" s="9">
        <v>310</v>
      </c>
      <c r="U59" s="9">
        <v>14880</v>
      </c>
      <c r="V59" s="8" t="s">
        <v>70</v>
      </c>
      <c r="W59" s="8">
        <v>17543.52</v>
      </c>
      <c r="X59" s="8">
        <v>9</v>
      </c>
      <c r="Y59" s="8">
        <v>1339.2</v>
      </c>
      <c r="Z59" s="8">
        <v>9</v>
      </c>
      <c r="AA59" s="8">
        <v>1339.2</v>
      </c>
      <c r="AB59" s="8">
        <v>0</v>
      </c>
      <c r="AC59" s="8">
        <v>0</v>
      </c>
      <c r="AD59" s="8">
        <v>0</v>
      </c>
      <c r="AE59" s="8">
        <v>2678.4</v>
      </c>
      <c r="AF59" s="8">
        <v>0</v>
      </c>
      <c r="AG59" s="8" t="s">
        <v>65</v>
      </c>
      <c r="AH59" s="8" t="s">
        <v>11</v>
      </c>
      <c r="AI59" s="8">
        <v>73063090</v>
      </c>
      <c r="AJ59" s="8" t="s">
        <v>60</v>
      </c>
      <c r="AK59" s="8">
        <v>1</v>
      </c>
      <c r="AL59" s="8">
        <v>0</v>
      </c>
      <c r="AM59" s="8" t="s">
        <v>1905</v>
      </c>
    </row>
    <row r="60" spans="7:39" ht="12.75" customHeight="1">
      <c r="G60" s="344"/>
      <c r="H60" s="345">
        <v>46120</v>
      </c>
      <c r="I60" s="8" t="s">
        <v>87</v>
      </c>
      <c r="J60" s="8" t="s">
        <v>91</v>
      </c>
      <c r="K60" s="8" t="s">
        <v>2650</v>
      </c>
      <c r="L60" s="8" t="s">
        <v>98</v>
      </c>
      <c r="M60" s="8" t="s">
        <v>2651</v>
      </c>
      <c r="N60" s="7">
        <v>46120</v>
      </c>
      <c r="O60" s="8" t="s">
        <v>13</v>
      </c>
      <c r="P60" s="8" t="s">
        <v>62</v>
      </c>
      <c r="Q60" s="8" t="s">
        <v>63</v>
      </c>
      <c r="R60" s="8" t="s">
        <v>64</v>
      </c>
      <c r="S60" s="8" t="s">
        <v>19</v>
      </c>
      <c r="T60" s="9">
        <v>7252</v>
      </c>
      <c r="U60" s="9">
        <v>1008608.16</v>
      </c>
      <c r="V60" s="8" t="s">
        <v>19</v>
      </c>
      <c r="W60" s="8">
        <v>1323380</v>
      </c>
      <c r="X60" s="8">
        <v>9</v>
      </c>
      <c r="Y60" s="8">
        <v>90774.73</v>
      </c>
      <c r="Z60" s="8">
        <v>9</v>
      </c>
      <c r="AA60" s="8">
        <v>90774.73</v>
      </c>
      <c r="AB60" s="8">
        <v>0</v>
      </c>
      <c r="AC60" s="8">
        <v>0</v>
      </c>
      <c r="AD60" s="8">
        <v>0</v>
      </c>
      <c r="AE60" s="8">
        <v>181549.46</v>
      </c>
      <c r="AF60" s="8">
        <v>0</v>
      </c>
      <c r="AG60" s="8" t="s">
        <v>65</v>
      </c>
      <c r="AH60" s="8" t="s">
        <v>11</v>
      </c>
      <c r="AI60" s="8">
        <v>39269080</v>
      </c>
      <c r="AJ60" s="8" t="s">
        <v>60</v>
      </c>
      <c r="AK60" s="8">
        <v>1</v>
      </c>
      <c r="AL60" s="8">
        <v>7252</v>
      </c>
      <c r="AM60" s="8" t="s">
        <v>1905</v>
      </c>
    </row>
    <row r="61" spans="7:39" ht="12.75" customHeight="1">
      <c r="G61" s="344"/>
      <c r="H61" s="345">
        <v>46120</v>
      </c>
      <c r="I61" s="8" t="s">
        <v>87</v>
      </c>
      <c r="J61" s="8" t="s">
        <v>91</v>
      </c>
      <c r="K61" s="8" t="s">
        <v>2650</v>
      </c>
      <c r="L61" s="8" t="s">
        <v>98</v>
      </c>
      <c r="M61" s="8" t="s">
        <v>2651</v>
      </c>
      <c r="N61" s="7">
        <v>46120</v>
      </c>
      <c r="O61" s="8" t="s">
        <v>13</v>
      </c>
      <c r="P61" s="8" t="s">
        <v>62</v>
      </c>
      <c r="Q61" s="8" t="s">
        <v>63</v>
      </c>
      <c r="R61" s="8" t="s">
        <v>64</v>
      </c>
      <c r="S61" s="8" t="s">
        <v>19</v>
      </c>
      <c r="T61" s="9">
        <v>807</v>
      </c>
      <c r="U61" s="9">
        <v>113851.56</v>
      </c>
      <c r="V61" s="8" t="s">
        <v>19</v>
      </c>
      <c r="W61" s="8">
        <v>0</v>
      </c>
      <c r="X61" s="8">
        <v>9</v>
      </c>
      <c r="Y61" s="8">
        <v>10246.64</v>
      </c>
      <c r="Z61" s="8">
        <v>9</v>
      </c>
      <c r="AA61" s="8">
        <v>10246.64</v>
      </c>
      <c r="AB61" s="8">
        <v>0</v>
      </c>
      <c r="AC61" s="8">
        <v>0</v>
      </c>
      <c r="AD61" s="8">
        <v>0</v>
      </c>
      <c r="AE61" s="8">
        <v>20493.28</v>
      </c>
      <c r="AF61" s="8">
        <v>0</v>
      </c>
      <c r="AG61" s="8" t="s">
        <v>65</v>
      </c>
      <c r="AH61" s="8" t="s">
        <v>11</v>
      </c>
      <c r="AI61" s="8">
        <v>39269080</v>
      </c>
      <c r="AJ61" s="8" t="s">
        <v>60</v>
      </c>
      <c r="AK61" s="8">
        <v>1</v>
      </c>
      <c r="AL61" s="8">
        <v>807</v>
      </c>
      <c r="AM61" s="8" t="s">
        <v>1905</v>
      </c>
    </row>
    <row r="62" spans="7:39" ht="12.75" customHeight="1">
      <c r="G62" s="344"/>
      <c r="H62" s="345">
        <v>46120</v>
      </c>
      <c r="I62" s="8" t="s">
        <v>87</v>
      </c>
      <c r="J62" s="8" t="s">
        <v>91</v>
      </c>
      <c r="K62" s="8" t="s">
        <v>2652</v>
      </c>
      <c r="L62" s="8" t="s">
        <v>98</v>
      </c>
      <c r="M62" s="8" t="s">
        <v>2653</v>
      </c>
      <c r="N62" s="7">
        <v>46120</v>
      </c>
      <c r="O62" s="8" t="s">
        <v>13</v>
      </c>
      <c r="P62" s="8" t="s">
        <v>99</v>
      </c>
      <c r="Q62" s="8" t="s">
        <v>100</v>
      </c>
      <c r="R62" s="8" t="s">
        <v>101</v>
      </c>
      <c r="S62" s="8" t="s">
        <v>2654</v>
      </c>
      <c r="T62" s="9">
        <v>963.7</v>
      </c>
      <c r="U62" s="9">
        <v>151609.28</v>
      </c>
      <c r="V62" s="8" t="s">
        <v>2654</v>
      </c>
      <c r="W62" s="8">
        <v>1628233.51</v>
      </c>
      <c r="X62" s="8">
        <v>2.5</v>
      </c>
      <c r="Y62" s="8">
        <v>3790.23</v>
      </c>
      <c r="Z62" s="8">
        <v>2.5</v>
      </c>
      <c r="AA62" s="8">
        <v>3790.23</v>
      </c>
      <c r="AB62" s="8">
        <v>0</v>
      </c>
      <c r="AC62" s="8">
        <v>0</v>
      </c>
      <c r="AD62" s="8">
        <v>0</v>
      </c>
      <c r="AE62" s="8">
        <v>7580.46</v>
      </c>
      <c r="AF62" s="8">
        <v>0</v>
      </c>
      <c r="AG62" s="8" t="s">
        <v>65</v>
      </c>
      <c r="AH62" s="8" t="s">
        <v>11</v>
      </c>
      <c r="AI62" s="8">
        <v>540263</v>
      </c>
      <c r="AJ62" s="8" t="s">
        <v>60</v>
      </c>
      <c r="AK62" s="8">
        <v>1</v>
      </c>
      <c r="AL62" s="8">
        <v>963.7</v>
      </c>
      <c r="AM62" s="8" t="s">
        <v>1905</v>
      </c>
    </row>
    <row r="63" spans="7:39" ht="12.75" customHeight="1">
      <c r="G63" s="344"/>
      <c r="H63" s="345">
        <v>46120</v>
      </c>
      <c r="I63" s="8" t="s">
        <v>87</v>
      </c>
      <c r="J63" s="8" t="s">
        <v>91</v>
      </c>
      <c r="K63" s="8" t="s">
        <v>2652</v>
      </c>
      <c r="L63" s="8" t="s">
        <v>98</v>
      </c>
      <c r="M63" s="8" t="s">
        <v>2653</v>
      </c>
      <c r="N63" s="7">
        <v>46120</v>
      </c>
      <c r="O63" s="8" t="s">
        <v>13</v>
      </c>
      <c r="P63" s="8" t="s">
        <v>62</v>
      </c>
      <c r="Q63" s="8" t="s">
        <v>76</v>
      </c>
      <c r="R63" s="8" t="s">
        <v>77</v>
      </c>
      <c r="S63" s="8" t="s">
        <v>21</v>
      </c>
      <c r="T63" s="9">
        <v>461</v>
      </c>
      <c r="U63" s="9">
        <v>67453.52</v>
      </c>
      <c r="V63" s="8" t="s">
        <v>21</v>
      </c>
      <c r="W63" s="8">
        <v>0</v>
      </c>
      <c r="X63" s="8">
        <v>9</v>
      </c>
      <c r="Y63" s="8">
        <v>6070.82</v>
      </c>
      <c r="Z63" s="8">
        <v>9</v>
      </c>
      <c r="AA63" s="8">
        <v>6070.82</v>
      </c>
      <c r="AB63" s="8">
        <v>0</v>
      </c>
      <c r="AC63" s="8">
        <v>0</v>
      </c>
      <c r="AD63" s="8">
        <v>0</v>
      </c>
      <c r="AE63" s="8">
        <v>12141.64</v>
      </c>
      <c r="AF63" s="8">
        <v>0</v>
      </c>
      <c r="AG63" s="8" t="s">
        <v>65</v>
      </c>
      <c r="AH63" s="8" t="s">
        <v>11</v>
      </c>
      <c r="AI63" s="8">
        <v>63053300</v>
      </c>
      <c r="AJ63" s="8" t="s">
        <v>60</v>
      </c>
      <c r="AK63" s="8">
        <v>1</v>
      </c>
      <c r="AL63" s="8">
        <v>461</v>
      </c>
      <c r="AM63" s="8" t="s">
        <v>1905</v>
      </c>
    </row>
    <row r="64" spans="7:39" ht="12.75" customHeight="1">
      <c r="G64" s="344"/>
      <c r="H64" s="345">
        <v>46120</v>
      </c>
      <c r="I64" s="8" t="s">
        <v>87</v>
      </c>
      <c r="J64" s="8" t="s">
        <v>91</v>
      </c>
      <c r="K64" s="8" t="s">
        <v>2652</v>
      </c>
      <c r="L64" s="8" t="s">
        <v>98</v>
      </c>
      <c r="M64" s="8" t="s">
        <v>2653</v>
      </c>
      <c r="N64" s="7">
        <v>46120</v>
      </c>
      <c r="O64" s="8" t="s">
        <v>13</v>
      </c>
      <c r="P64" s="8" t="s">
        <v>62</v>
      </c>
      <c r="Q64" s="8" t="s">
        <v>76</v>
      </c>
      <c r="R64" s="8" t="s">
        <v>77</v>
      </c>
      <c r="S64" s="8" t="s">
        <v>21</v>
      </c>
      <c r="T64" s="9">
        <v>1685</v>
      </c>
      <c r="U64" s="9">
        <v>251604.2</v>
      </c>
      <c r="V64" s="8" t="s">
        <v>21</v>
      </c>
      <c r="W64" s="8">
        <v>0</v>
      </c>
      <c r="X64" s="8">
        <v>9</v>
      </c>
      <c r="Y64" s="8">
        <v>22644.38</v>
      </c>
      <c r="Z64" s="8">
        <v>9</v>
      </c>
      <c r="AA64" s="8">
        <v>22644.38</v>
      </c>
      <c r="AB64" s="8">
        <v>0</v>
      </c>
      <c r="AC64" s="8">
        <v>0</v>
      </c>
      <c r="AD64" s="8">
        <v>0</v>
      </c>
      <c r="AE64" s="8">
        <v>45288.76</v>
      </c>
      <c r="AF64" s="8">
        <v>0</v>
      </c>
      <c r="AG64" s="8" t="s">
        <v>65</v>
      </c>
      <c r="AH64" s="8" t="s">
        <v>11</v>
      </c>
      <c r="AI64" s="8">
        <v>63053300</v>
      </c>
      <c r="AJ64" s="8" t="s">
        <v>60</v>
      </c>
      <c r="AK64" s="8">
        <v>1</v>
      </c>
      <c r="AL64" s="8">
        <v>1685</v>
      </c>
      <c r="AM64" s="8" t="s">
        <v>1905</v>
      </c>
    </row>
    <row r="65" spans="7:39" ht="12.75" customHeight="1">
      <c r="G65" s="344"/>
      <c r="H65" s="345">
        <v>46120</v>
      </c>
      <c r="I65" s="8" t="s">
        <v>87</v>
      </c>
      <c r="J65" s="8" t="s">
        <v>91</v>
      </c>
      <c r="K65" s="8" t="s">
        <v>2652</v>
      </c>
      <c r="L65" s="8" t="s">
        <v>98</v>
      </c>
      <c r="M65" s="8" t="s">
        <v>2653</v>
      </c>
      <c r="N65" s="7">
        <v>46120</v>
      </c>
      <c r="O65" s="8" t="s">
        <v>13</v>
      </c>
      <c r="P65" s="8" t="s">
        <v>62</v>
      </c>
      <c r="Q65" s="8" t="s">
        <v>63</v>
      </c>
      <c r="R65" s="8" t="s">
        <v>64</v>
      </c>
      <c r="S65" s="8" t="s">
        <v>19</v>
      </c>
      <c r="T65" s="9">
        <v>3912</v>
      </c>
      <c r="U65" s="9">
        <v>556755.84</v>
      </c>
      <c r="V65" s="8" t="s">
        <v>19</v>
      </c>
      <c r="W65" s="8">
        <v>0</v>
      </c>
      <c r="X65" s="8">
        <v>9</v>
      </c>
      <c r="Y65" s="8">
        <v>50108.03</v>
      </c>
      <c r="Z65" s="8">
        <v>9</v>
      </c>
      <c r="AA65" s="8">
        <v>50108.03</v>
      </c>
      <c r="AB65" s="8">
        <v>0</v>
      </c>
      <c r="AC65" s="8">
        <v>0</v>
      </c>
      <c r="AD65" s="8">
        <v>0</v>
      </c>
      <c r="AE65" s="8">
        <v>100216.06</v>
      </c>
      <c r="AF65" s="8">
        <v>0</v>
      </c>
      <c r="AG65" s="8" t="s">
        <v>65</v>
      </c>
      <c r="AH65" s="8" t="s">
        <v>11</v>
      </c>
      <c r="AI65" s="8">
        <v>39269080</v>
      </c>
      <c r="AJ65" s="8" t="s">
        <v>60</v>
      </c>
      <c r="AK65" s="8">
        <v>1</v>
      </c>
      <c r="AL65" s="8">
        <v>3912</v>
      </c>
      <c r="AM65" s="8" t="s">
        <v>1905</v>
      </c>
    </row>
    <row r="66" spans="7:39" ht="12.75" customHeight="1">
      <c r="G66" s="344"/>
      <c r="H66" s="345">
        <v>46120</v>
      </c>
      <c r="I66" s="8" t="s">
        <v>87</v>
      </c>
      <c r="J66" s="8" t="s">
        <v>91</v>
      </c>
      <c r="K66" s="8" t="s">
        <v>2652</v>
      </c>
      <c r="L66" s="8" t="s">
        <v>98</v>
      </c>
      <c r="M66" s="8" t="s">
        <v>2653</v>
      </c>
      <c r="N66" s="7">
        <v>46120</v>
      </c>
      <c r="O66" s="8" t="s">
        <v>13</v>
      </c>
      <c r="P66" s="8" t="s">
        <v>62</v>
      </c>
      <c r="Q66" s="8" t="s">
        <v>63</v>
      </c>
      <c r="R66" s="8" t="s">
        <v>64</v>
      </c>
      <c r="S66" s="8" t="s">
        <v>19</v>
      </c>
      <c r="T66" s="9">
        <v>239</v>
      </c>
      <c r="U66" s="9">
        <v>34492.480000000003</v>
      </c>
      <c r="V66" s="8" t="s">
        <v>19</v>
      </c>
      <c r="W66" s="8">
        <v>0</v>
      </c>
      <c r="X66" s="8">
        <v>9</v>
      </c>
      <c r="Y66" s="8">
        <v>3104.32</v>
      </c>
      <c r="Z66" s="8">
        <v>9</v>
      </c>
      <c r="AA66" s="8">
        <v>3104.32</v>
      </c>
      <c r="AB66" s="8">
        <v>0</v>
      </c>
      <c r="AC66" s="8">
        <v>0</v>
      </c>
      <c r="AD66" s="8">
        <v>0</v>
      </c>
      <c r="AE66" s="8">
        <v>6208.64</v>
      </c>
      <c r="AF66" s="8">
        <v>0</v>
      </c>
      <c r="AG66" s="8" t="s">
        <v>65</v>
      </c>
      <c r="AH66" s="8" t="s">
        <v>11</v>
      </c>
      <c r="AI66" s="8">
        <v>39269080</v>
      </c>
      <c r="AJ66" s="8" t="s">
        <v>60</v>
      </c>
      <c r="AK66" s="8">
        <v>1</v>
      </c>
      <c r="AL66" s="8">
        <v>239</v>
      </c>
      <c r="AM66" s="8" t="s">
        <v>1905</v>
      </c>
    </row>
    <row r="67" spans="7:39" ht="12.75" customHeight="1">
      <c r="G67" s="344"/>
      <c r="H67" s="345">
        <v>46120</v>
      </c>
      <c r="I67" s="8" t="s">
        <v>87</v>
      </c>
      <c r="J67" s="8" t="s">
        <v>91</v>
      </c>
      <c r="K67" s="8" t="s">
        <v>2652</v>
      </c>
      <c r="L67" s="8" t="s">
        <v>98</v>
      </c>
      <c r="M67" s="8" t="s">
        <v>2653</v>
      </c>
      <c r="N67" s="7">
        <v>46120</v>
      </c>
      <c r="O67" s="8" t="s">
        <v>13</v>
      </c>
      <c r="P67" s="8" t="s">
        <v>24</v>
      </c>
      <c r="Q67" s="8" t="s">
        <v>79</v>
      </c>
      <c r="R67" s="8" t="s">
        <v>79</v>
      </c>
      <c r="S67" s="8" t="s">
        <v>24</v>
      </c>
      <c r="T67" s="9">
        <v>1027.5</v>
      </c>
      <c r="U67" s="9">
        <v>148288.79999999999</v>
      </c>
      <c r="V67" s="8" t="s">
        <v>24</v>
      </c>
      <c r="W67" s="8">
        <v>0</v>
      </c>
      <c r="X67" s="8">
        <v>9</v>
      </c>
      <c r="Y67" s="8">
        <v>13345.99</v>
      </c>
      <c r="Z67" s="8">
        <v>9</v>
      </c>
      <c r="AA67" s="8">
        <v>13345.99</v>
      </c>
      <c r="AB67" s="8">
        <v>0</v>
      </c>
      <c r="AC67" s="8">
        <v>0</v>
      </c>
      <c r="AD67" s="8">
        <v>0</v>
      </c>
      <c r="AE67" s="8">
        <v>26691.98</v>
      </c>
      <c r="AF67" s="8">
        <v>0</v>
      </c>
      <c r="AG67" s="8" t="s">
        <v>65</v>
      </c>
      <c r="AH67" s="8" t="s">
        <v>11</v>
      </c>
      <c r="AI67" s="8">
        <v>3926908</v>
      </c>
      <c r="AJ67" s="8" t="s">
        <v>60</v>
      </c>
      <c r="AK67" s="8">
        <v>1</v>
      </c>
      <c r="AL67" s="8">
        <v>1027.5</v>
      </c>
      <c r="AM67" s="8" t="s">
        <v>1905</v>
      </c>
    </row>
    <row r="68" spans="7:39" ht="12.75" customHeight="1">
      <c r="G68" s="344"/>
      <c r="H68" s="345">
        <v>46120</v>
      </c>
      <c r="I68" s="8" t="s">
        <v>87</v>
      </c>
      <c r="J68" s="8" t="s">
        <v>91</v>
      </c>
      <c r="K68" s="8" t="s">
        <v>2652</v>
      </c>
      <c r="L68" s="8" t="s">
        <v>98</v>
      </c>
      <c r="M68" s="8" t="s">
        <v>2653</v>
      </c>
      <c r="N68" s="7">
        <v>46120</v>
      </c>
      <c r="O68" s="8" t="s">
        <v>13</v>
      </c>
      <c r="P68" s="8" t="s">
        <v>24</v>
      </c>
      <c r="Q68" s="8" t="s">
        <v>79</v>
      </c>
      <c r="R68" s="8" t="s">
        <v>79</v>
      </c>
      <c r="S68" s="8" t="s">
        <v>24</v>
      </c>
      <c r="T68" s="9">
        <v>297.3</v>
      </c>
      <c r="U68" s="9">
        <v>43798.239999999998</v>
      </c>
      <c r="V68" s="8" t="s">
        <v>24</v>
      </c>
      <c r="W68" s="8">
        <v>0</v>
      </c>
      <c r="X68" s="8">
        <v>9</v>
      </c>
      <c r="Y68" s="8">
        <v>3941.84</v>
      </c>
      <c r="Z68" s="8">
        <v>9</v>
      </c>
      <c r="AA68" s="8">
        <v>3941.84</v>
      </c>
      <c r="AB68" s="8">
        <v>0</v>
      </c>
      <c r="AC68" s="8">
        <v>0</v>
      </c>
      <c r="AD68" s="8">
        <v>0</v>
      </c>
      <c r="AE68" s="8">
        <v>7883.68</v>
      </c>
      <c r="AF68" s="8">
        <v>0</v>
      </c>
      <c r="AG68" s="8" t="s">
        <v>65</v>
      </c>
      <c r="AH68" s="8" t="s">
        <v>11</v>
      </c>
      <c r="AI68" s="8">
        <v>3926908</v>
      </c>
      <c r="AJ68" s="8" t="s">
        <v>60</v>
      </c>
      <c r="AK68" s="8">
        <v>1</v>
      </c>
      <c r="AL68" s="8">
        <v>297.3</v>
      </c>
      <c r="AM68" s="8" t="s">
        <v>1905</v>
      </c>
    </row>
    <row r="69" spans="7:39" ht="12.75" customHeight="1">
      <c r="G69" s="344"/>
      <c r="H69" s="345">
        <v>46120</v>
      </c>
      <c r="I69" s="8" t="s">
        <v>87</v>
      </c>
      <c r="J69" s="8" t="s">
        <v>91</v>
      </c>
      <c r="K69" s="8" t="s">
        <v>2652</v>
      </c>
      <c r="L69" s="8" t="s">
        <v>98</v>
      </c>
      <c r="M69" s="8" t="s">
        <v>2653</v>
      </c>
      <c r="N69" s="7">
        <v>46120</v>
      </c>
      <c r="O69" s="8" t="s">
        <v>13</v>
      </c>
      <c r="P69" s="8" t="s">
        <v>99</v>
      </c>
      <c r="Q69" s="8" t="s">
        <v>100</v>
      </c>
      <c r="R69" s="8" t="s">
        <v>101</v>
      </c>
      <c r="S69" s="8" t="s">
        <v>553</v>
      </c>
      <c r="T69" s="9">
        <v>1046.9000000000001</v>
      </c>
      <c r="U69" s="9">
        <v>161557.60999999999</v>
      </c>
      <c r="V69" s="8" t="s">
        <v>553</v>
      </c>
      <c r="W69" s="8">
        <v>0</v>
      </c>
      <c r="X69" s="8">
        <v>2.5</v>
      </c>
      <c r="Y69" s="8">
        <v>4038.94</v>
      </c>
      <c r="Z69" s="8">
        <v>2.5</v>
      </c>
      <c r="AA69" s="8">
        <v>4038.94</v>
      </c>
      <c r="AB69" s="8">
        <v>0</v>
      </c>
      <c r="AC69" s="8">
        <v>0</v>
      </c>
      <c r="AD69" s="8">
        <v>0</v>
      </c>
      <c r="AE69" s="8">
        <v>8077.88</v>
      </c>
      <c r="AF69" s="8">
        <v>0</v>
      </c>
      <c r="AG69" s="8" t="s">
        <v>65</v>
      </c>
      <c r="AH69" s="8" t="s">
        <v>3</v>
      </c>
      <c r="AI69" s="8">
        <v>540263</v>
      </c>
      <c r="AJ69" s="8" t="s">
        <v>60</v>
      </c>
      <c r="AK69" s="8">
        <v>1</v>
      </c>
      <c r="AL69" s="8">
        <v>1046.9000000000001</v>
      </c>
      <c r="AM69" s="8" t="s">
        <v>1905</v>
      </c>
    </row>
    <row r="70" spans="7:39" ht="12.75" customHeight="1">
      <c r="G70" s="344"/>
      <c r="H70" s="345">
        <v>46120</v>
      </c>
      <c r="I70" s="8" t="s">
        <v>94</v>
      </c>
      <c r="J70" s="8" t="s">
        <v>96</v>
      </c>
      <c r="K70" s="8" t="s">
        <v>2655</v>
      </c>
      <c r="L70" s="8" t="s">
        <v>97</v>
      </c>
      <c r="M70" s="8" t="s">
        <v>2656</v>
      </c>
      <c r="N70" s="7">
        <v>46120</v>
      </c>
      <c r="O70" s="8" t="s">
        <v>2</v>
      </c>
      <c r="P70" s="8" t="s">
        <v>67</v>
      </c>
      <c r="Q70" s="8" t="s">
        <v>68</v>
      </c>
      <c r="R70" s="8" t="s">
        <v>69</v>
      </c>
      <c r="S70" s="344" t="s">
        <v>70</v>
      </c>
      <c r="T70" s="9">
        <v>5</v>
      </c>
      <c r="U70" s="9">
        <v>240</v>
      </c>
      <c r="V70" s="8" t="s">
        <v>70</v>
      </c>
      <c r="W70" s="8">
        <v>282.95999999999998</v>
      </c>
      <c r="X70" s="8">
        <v>9</v>
      </c>
      <c r="Y70" s="8">
        <v>21.6</v>
      </c>
      <c r="Z70" s="8">
        <v>9</v>
      </c>
      <c r="AA70" s="8">
        <v>21.6</v>
      </c>
      <c r="AB70" s="8">
        <v>0</v>
      </c>
      <c r="AC70" s="8">
        <v>0</v>
      </c>
      <c r="AD70" s="8">
        <v>0</v>
      </c>
      <c r="AE70" s="8">
        <v>43.2</v>
      </c>
      <c r="AF70" s="8">
        <v>0</v>
      </c>
      <c r="AG70" s="8" t="s">
        <v>74</v>
      </c>
      <c r="AH70" s="8" t="s">
        <v>11</v>
      </c>
      <c r="AI70" s="8">
        <v>73063090</v>
      </c>
      <c r="AJ70" s="8" t="s">
        <v>60</v>
      </c>
      <c r="AK70" s="8">
        <v>1</v>
      </c>
      <c r="AL70" s="8">
        <v>0</v>
      </c>
      <c r="AM70" s="8" t="s">
        <v>1905</v>
      </c>
    </row>
    <row r="71" spans="7:39" ht="12.75" customHeight="1">
      <c r="G71" s="344"/>
      <c r="H71" s="345">
        <v>46120</v>
      </c>
      <c r="I71" s="8" t="s">
        <v>94</v>
      </c>
      <c r="J71" s="8" t="s">
        <v>91</v>
      </c>
      <c r="K71" s="8" t="s">
        <v>2657</v>
      </c>
      <c r="L71" s="8" t="s">
        <v>98</v>
      </c>
      <c r="M71" s="8" t="s">
        <v>2658</v>
      </c>
      <c r="N71" s="7">
        <v>46120</v>
      </c>
      <c r="O71" s="8" t="s">
        <v>15</v>
      </c>
      <c r="P71" s="8" t="s">
        <v>2076</v>
      </c>
      <c r="Q71" s="8" t="s">
        <v>2076</v>
      </c>
      <c r="R71" s="8" t="s">
        <v>2076</v>
      </c>
      <c r="S71" s="8" t="s">
        <v>64</v>
      </c>
      <c r="T71" s="9">
        <v>701</v>
      </c>
      <c r="U71" s="9">
        <v>93639.58</v>
      </c>
      <c r="V71" s="8" t="s">
        <v>2076</v>
      </c>
      <c r="W71" s="8">
        <v>192510.9</v>
      </c>
      <c r="X71" s="8">
        <v>9</v>
      </c>
      <c r="Y71" s="8">
        <v>8427.56</v>
      </c>
      <c r="Z71" s="8">
        <v>9</v>
      </c>
      <c r="AA71" s="8">
        <v>8427.56</v>
      </c>
      <c r="AB71" s="8">
        <v>0</v>
      </c>
      <c r="AC71" s="8">
        <v>0</v>
      </c>
      <c r="AD71" s="8">
        <v>0</v>
      </c>
      <c r="AE71" s="8">
        <v>16855.12</v>
      </c>
      <c r="AF71" s="8">
        <v>0</v>
      </c>
      <c r="AG71" s="8" t="s">
        <v>74</v>
      </c>
      <c r="AH71" s="8" t="s">
        <v>11</v>
      </c>
      <c r="AI71" s="8">
        <v>39269080</v>
      </c>
      <c r="AJ71" s="8" t="s">
        <v>60</v>
      </c>
      <c r="AK71" s="8">
        <v>1</v>
      </c>
      <c r="AL71" s="8">
        <v>6</v>
      </c>
      <c r="AM71" s="8" t="s">
        <v>1905</v>
      </c>
    </row>
    <row r="72" spans="7:39" ht="12.75" customHeight="1">
      <c r="G72" s="344"/>
      <c r="H72" s="345">
        <v>46120</v>
      </c>
      <c r="I72" s="8" t="s">
        <v>94</v>
      </c>
      <c r="J72" s="8" t="s">
        <v>91</v>
      </c>
      <c r="K72" s="8" t="s">
        <v>2657</v>
      </c>
      <c r="L72" s="8" t="s">
        <v>98</v>
      </c>
      <c r="M72" s="8" t="s">
        <v>2658</v>
      </c>
      <c r="N72" s="7">
        <v>46120</v>
      </c>
      <c r="O72" s="8" t="s">
        <v>13</v>
      </c>
      <c r="P72" s="8" t="s">
        <v>80</v>
      </c>
      <c r="Q72" s="8" t="s">
        <v>81</v>
      </c>
      <c r="R72" s="8" t="s">
        <v>69</v>
      </c>
      <c r="S72" s="8" t="s">
        <v>2659</v>
      </c>
      <c r="T72" s="9">
        <v>1600</v>
      </c>
      <c r="U72" s="9">
        <v>1620.8</v>
      </c>
      <c r="V72" s="8" t="s">
        <v>2659</v>
      </c>
      <c r="W72" s="8">
        <v>0</v>
      </c>
      <c r="X72" s="8">
        <v>9</v>
      </c>
      <c r="Y72" s="8">
        <v>145.87</v>
      </c>
      <c r="Z72" s="8">
        <v>9</v>
      </c>
      <c r="AA72" s="8">
        <v>145.87</v>
      </c>
      <c r="AB72" s="8">
        <v>0</v>
      </c>
      <c r="AC72" s="8">
        <v>0</v>
      </c>
      <c r="AD72" s="8">
        <v>0</v>
      </c>
      <c r="AE72" s="8">
        <v>291.74</v>
      </c>
      <c r="AF72" s="8">
        <v>0</v>
      </c>
      <c r="AG72" s="8" t="s">
        <v>74</v>
      </c>
      <c r="AH72" s="8" t="s">
        <v>1</v>
      </c>
      <c r="AI72" s="8">
        <v>392300</v>
      </c>
      <c r="AJ72" s="8" t="s">
        <v>60</v>
      </c>
      <c r="AK72" s="8">
        <v>1</v>
      </c>
      <c r="AL72" s="8">
        <v>1600</v>
      </c>
      <c r="AM72" s="8" t="s">
        <v>1905</v>
      </c>
    </row>
    <row r="73" spans="7:39" ht="12.75" customHeight="1">
      <c r="G73" s="344"/>
      <c r="H73" s="345">
        <v>46120</v>
      </c>
      <c r="I73" s="8" t="s">
        <v>94</v>
      </c>
      <c r="J73" s="8" t="s">
        <v>91</v>
      </c>
      <c r="K73" s="8" t="s">
        <v>2657</v>
      </c>
      <c r="L73" s="8" t="s">
        <v>98</v>
      </c>
      <c r="M73" s="8" t="s">
        <v>2658</v>
      </c>
      <c r="N73" s="7">
        <v>46120</v>
      </c>
      <c r="O73" s="8" t="s">
        <v>13</v>
      </c>
      <c r="P73" s="8" t="s">
        <v>62</v>
      </c>
      <c r="Q73" s="8" t="s">
        <v>76</v>
      </c>
      <c r="R73" s="8" t="s">
        <v>77</v>
      </c>
      <c r="S73" s="8" t="s">
        <v>21</v>
      </c>
      <c r="T73" s="9">
        <v>240</v>
      </c>
      <c r="U73" s="9">
        <v>33019.199999999997</v>
      </c>
      <c r="V73" s="8" t="s">
        <v>21</v>
      </c>
      <c r="W73" s="8">
        <v>0</v>
      </c>
      <c r="X73" s="8">
        <v>9</v>
      </c>
      <c r="Y73" s="8">
        <v>2971.73</v>
      </c>
      <c r="Z73" s="8">
        <v>9</v>
      </c>
      <c r="AA73" s="8">
        <v>2971.73</v>
      </c>
      <c r="AB73" s="8">
        <v>0</v>
      </c>
      <c r="AC73" s="8">
        <v>0</v>
      </c>
      <c r="AD73" s="8">
        <v>0</v>
      </c>
      <c r="AE73" s="8">
        <v>5943.46</v>
      </c>
      <c r="AF73" s="8">
        <v>0</v>
      </c>
      <c r="AG73" s="8" t="s">
        <v>74</v>
      </c>
      <c r="AH73" s="8" t="s">
        <v>11</v>
      </c>
      <c r="AI73" s="8">
        <v>63053300</v>
      </c>
      <c r="AJ73" s="8" t="s">
        <v>60</v>
      </c>
      <c r="AK73" s="8">
        <v>1</v>
      </c>
      <c r="AL73" s="8">
        <v>240</v>
      </c>
      <c r="AM73" s="8" t="s">
        <v>1905</v>
      </c>
    </row>
    <row r="74" spans="7:39" ht="12.75" customHeight="1">
      <c r="G74" s="344"/>
      <c r="H74" s="345">
        <v>46120</v>
      </c>
      <c r="I74" s="8" t="s">
        <v>94</v>
      </c>
      <c r="J74" s="8" t="s">
        <v>91</v>
      </c>
      <c r="K74" s="8" t="s">
        <v>2657</v>
      </c>
      <c r="L74" s="8" t="s">
        <v>98</v>
      </c>
      <c r="M74" s="8" t="s">
        <v>2658</v>
      </c>
      <c r="N74" s="7">
        <v>46120</v>
      </c>
      <c r="O74" s="8" t="s">
        <v>13</v>
      </c>
      <c r="P74" s="8" t="s">
        <v>62</v>
      </c>
      <c r="Q74" s="8" t="s">
        <v>76</v>
      </c>
      <c r="R74" s="8" t="s">
        <v>77</v>
      </c>
      <c r="S74" s="8" t="s">
        <v>21</v>
      </c>
      <c r="T74" s="9">
        <v>249</v>
      </c>
      <c r="U74" s="9">
        <v>35004.42</v>
      </c>
      <c r="V74" s="8" t="s">
        <v>21</v>
      </c>
      <c r="W74" s="8">
        <v>0</v>
      </c>
      <c r="X74" s="8">
        <v>9</v>
      </c>
      <c r="Y74" s="8">
        <v>3150.4</v>
      </c>
      <c r="Z74" s="8">
        <v>9</v>
      </c>
      <c r="AA74" s="8">
        <v>3150.4</v>
      </c>
      <c r="AB74" s="8">
        <v>0</v>
      </c>
      <c r="AC74" s="8">
        <v>0</v>
      </c>
      <c r="AD74" s="8">
        <v>0</v>
      </c>
      <c r="AE74" s="8">
        <v>6300.8</v>
      </c>
      <c r="AF74" s="8">
        <v>0</v>
      </c>
      <c r="AG74" s="8" t="s">
        <v>74</v>
      </c>
      <c r="AH74" s="8" t="s">
        <v>11</v>
      </c>
      <c r="AI74" s="8">
        <v>63053300</v>
      </c>
      <c r="AJ74" s="8" t="s">
        <v>60</v>
      </c>
      <c r="AK74" s="8">
        <v>1</v>
      </c>
      <c r="AL74" s="8">
        <v>249</v>
      </c>
      <c r="AM74" s="8" t="s">
        <v>1905</v>
      </c>
    </row>
    <row r="75" spans="7:39" ht="12.75" customHeight="1">
      <c r="G75" s="344"/>
      <c r="H75" s="345">
        <v>46150</v>
      </c>
      <c r="I75" s="8" t="s">
        <v>87</v>
      </c>
      <c r="J75" s="8" t="s">
        <v>96</v>
      </c>
      <c r="K75" s="8" t="s">
        <v>2660</v>
      </c>
      <c r="L75" s="8" t="s">
        <v>97</v>
      </c>
      <c r="M75" s="8" t="s">
        <v>2661</v>
      </c>
      <c r="N75" s="7">
        <v>46150</v>
      </c>
      <c r="O75" s="8" t="s">
        <v>2</v>
      </c>
      <c r="P75" s="8" t="s">
        <v>67</v>
      </c>
      <c r="Q75" s="8" t="s">
        <v>68</v>
      </c>
      <c r="R75" s="8" t="s">
        <v>69</v>
      </c>
      <c r="S75" s="8" t="s">
        <v>70</v>
      </c>
      <c r="T75" s="9">
        <v>302</v>
      </c>
      <c r="U75" s="9">
        <v>14496</v>
      </c>
      <c r="V75" s="8" t="s">
        <v>70</v>
      </c>
      <c r="W75" s="8">
        <v>17090.75</v>
      </c>
      <c r="X75" s="8">
        <v>9</v>
      </c>
      <c r="Y75" s="8">
        <v>1304.6400000000001</v>
      </c>
      <c r="Z75" s="8">
        <v>9</v>
      </c>
      <c r="AA75" s="8">
        <v>1304.6400000000001</v>
      </c>
      <c r="AB75" s="8">
        <v>0</v>
      </c>
      <c r="AC75" s="8">
        <v>0</v>
      </c>
      <c r="AD75" s="8">
        <v>0</v>
      </c>
      <c r="AE75" s="8">
        <v>2609.2800000000002</v>
      </c>
      <c r="AF75" s="8">
        <v>0</v>
      </c>
      <c r="AG75" s="8" t="s">
        <v>65</v>
      </c>
      <c r="AH75" s="8" t="s">
        <v>11</v>
      </c>
      <c r="AI75" s="8">
        <v>73063090</v>
      </c>
      <c r="AJ75" s="8" t="s">
        <v>60</v>
      </c>
      <c r="AK75" s="8">
        <v>1</v>
      </c>
      <c r="AL75" s="8">
        <v>0</v>
      </c>
      <c r="AM75" s="8" t="s">
        <v>1905</v>
      </c>
    </row>
    <row r="76" spans="7:39" ht="12.75" customHeight="1">
      <c r="G76" s="344"/>
      <c r="H76" s="345">
        <v>46150</v>
      </c>
      <c r="I76" s="8" t="s">
        <v>87</v>
      </c>
      <c r="J76" s="8" t="s">
        <v>91</v>
      </c>
      <c r="K76" s="8" t="s">
        <v>2662</v>
      </c>
      <c r="L76" s="8" t="s">
        <v>2348</v>
      </c>
      <c r="M76" s="8" t="s">
        <v>2663</v>
      </c>
      <c r="N76" s="7">
        <v>46150</v>
      </c>
      <c r="O76" s="8" t="s">
        <v>15</v>
      </c>
      <c r="P76" s="8" t="s">
        <v>57</v>
      </c>
      <c r="Q76" s="8" t="s">
        <v>57</v>
      </c>
      <c r="R76" s="8" t="s">
        <v>58</v>
      </c>
      <c r="S76" s="8" t="s">
        <v>16</v>
      </c>
      <c r="T76" s="9">
        <v>727</v>
      </c>
      <c r="U76" s="9">
        <v>140899.87</v>
      </c>
      <c r="V76" s="8" t="s">
        <v>16</v>
      </c>
      <c r="W76" s="8">
        <v>1878624.6</v>
      </c>
      <c r="X76" s="8">
        <v>9</v>
      </c>
      <c r="Y76" s="8">
        <v>12680.99</v>
      </c>
      <c r="Z76" s="8">
        <v>9</v>
      </c>
      <c r="AA76" s="8">
        <v>12680.99</v>
      </c>
      <c r="AB76" s="8">
        <v>0</v>
      </c>
      <c r="AC76" s="8">
        <v>0</v>
      </c>
      <c r="AD76" s="8">
        <v>0</v>
      </c>
      <c r="AE76" s="8">
        <v>25361.98</v>
      </c>
      <c r="AF76" s="8">
        <v>0</v>
      </c>
      <c r="AG76" s="8" t="s">
        <v>65</v>
      </c>
      <c r="AH76" s="8" t="s">
        <v>11</v>
      </c>
      <c r="AI76" s="8">
        <v>63053200</v>
      </c>
      <c r="AJ76" s="8" t="s">
        <v>60</v>
      </c>
      <c r="AK76" s="8">
        <v>1</v>
      </c>
      <c r="AL76" s="8">
        <v>727</v>
      </c>
      <c r="AM76" s="8" t="s">
        <v>1905</v>
      </c>
    </row>
    <row r="77" spans="7:39" ht="12.75" customHeight="1">
      <c r="G77" s="344"/>
      <c r="H77" s="345">
        <v>46150</v>
      </c>
      <c r="I77" s="8" t="s">
        <v>87</v>
      </c>
      <c r="J77" s="8" t="s">
        <v>91</v>
      </c>
      <c r="K77" s="8" t="s">
        <v>2662</v>
      </c>
      <c r="L77" s="8" t="s">
        <v>2348</v>
      </c>
      <c r="M77" s="8" t="s">
        <v>2663</v>
      </c>
      <c r="N77" s="7">
        <v>46150</v>
      </c>
      <c r="O77" s="8" t="s">
        <v>15</v>
      </c>
      <c r="P77" s="8" t="s">
        <v>57</v>
      </c>
      <c r="Q77" s="8" t="s">
        <v>57</v>
      </c>
      <c r="R77" s="8" t="s">
        <v>58</v>
      </c>
      <c r="S77" s="8" t="s">
        <v>16</v>
      </c>
      <c r="T77" s="9">
        <v>3083</v>
      </c>
      <c r="U77" s="9">
        <v>699902.66</v>
      </c>
      <c r="V77" s="8" t="s">
        <v>16</v>
      </c>
      <c r="W77" s="8">
        <v>0</v>
      </c>
      <c r="X77" s="8">
        <v>9</v>
      </c>
      <c r="Y77" s="8">
        <v>62991.24</v>
      </c>
      <c r="Z77" s="8">
        <v>9</v>
      </c>
      <c r="AA77" s="8">
        <v>62991.24</v>
      </c>
      <c r="AB77" s="8">
        <v>0</v>
      </c>
      <c r="AC77" s="8">
        <v>0</v>
      </c>
      <c r="AD77" s="8">
        <v>0</v>
      </c>
      <c r="AE77" s="8">
        <v>125982.48</v>
      </c>
      <c r="AF77" s="8">
        <v>0</v>
      </c>
      <c r="AG77" s="8" t="s">
        <v>65</v>
      </c>
      <c r="AH77" s="8" t="s">
        <v>11</v>
      </c>
      <c r="AI77" s="8">
        <v>63053200</v>
      </c>
      <c r="AJ77" s="8" t="s">
        <v>60</v>
      </c>
      <c r="AK77" s="8">
        <v>1</v>
      </c>
      <c r="AL77" s="8">
        <v>3083</v>
      </c>
      <c r="AM77" s="8" t="s">
        <v>1905</v>
      </c>
    </row>
    <row r="78" spans="7:39" ht="12.75" customHeight="1">
      <c r="G78" s="344"/>
      <c r="H78" s="345">
        <v>46150</v>
      </c>
      <c r="I78" s="8" t="s">
        <v>87</v>
      </c>
      <c r="J78" s="8" t="s">
        <v>91</v>
      </c>
      <c r="K78" s="8" t="s">
        <v>2662</v>
      </c>
      <c r="L78" s="8" t="s">
        <v>2348</v>
      </c>
      <c r="M78" s="8" t="s">
        <v>2663</v>
      </c>
      <c r="N78" s="7">
        <v>46150</v>
      </c>
      <c r="O78" s="8" t="s">
        <v>15</v>
      </c>
      <c r="P78" s="8" t="s">
        <v>57</v>
      </c>
      <c r="Q78" s="8" t="s">
        <v>57</v>
      </c>
      <c r="R78" s="8" t="s">
        <v>58</v>
      </c>
      <c r="S78" s="8" t="s">
        <v>16</v>
      </c>
      <c r="T78" s="9">
        <v>2148</v>
      </c>
      <c r="U78" s="9">
        <v>384857.16</v>
      </c>
      <c r="V78" s="8" t="s">
        <v>16</v>
      </c>
      <c r="W78" s="8">
        <v>0</v>
      </c>
      <c r="X78" s="8">
        <v>9</v>
      </c>
      <c r="Y78" s="8">
        <v>34637.14</v>
      </c>
      <c r="Z78" s="8">
        <v>9</v>
      </c>
      <c r="AA78" s="8">
        <v>34637.14</v>
      </c>
      <c r="AB78" s="8">
        <v>0</v>
      </c>
      <c r="AC78" s="8">
        <v>0</v>
      </c>
      <c r="AD78" s="8">
        <v>0</v>
      </c>
      <c r="AE78" s="8">
        <v>69274.28</v>
      </c>
      <c r="AF78" s="8">
        <v>0</v>
      </c>
      <c r="AG78" s="8" t="s">
        <v>65</v>
      </c>
      <c r="AH78" s="8" t="s">
        <v>11</v>
      </c>
      <c r="AI78" s="8">
        <v>63053200</v>
      </c>
      <c r="AJ78" s="8" t="s">
        <v>60</v>
      </c>
      <c r="AK78" s="8">
        <v>1</v>
      </c>
      <c r="AL78" s="8">
        <v>2148</v>
      </c>
      <c r="AM78" s="8" t="s">
        <v>1905</v>
      </c>
    </row>
    <row r="79" spans="7:39" ht="12.75" customHeight="1">
      <c r="G79" s="344"/>
      <c r="H79" s="345">
        <v>46150</v>
      </c>
      <c r="I79" s="8" t="s">
        <v>87</v>
      </c>
      <c r="J79" s="8" t="s">
        <v>91</v>
      </c>
      <c r="K79" s="8" t="s">
        <v>2662</v>
      </c>
      <c r="L79" s="8" t="s">
        <v>2348</v>
      </c>
      <c r="M79" s="8" t="s">
        <v>2663</v>
      </c>
      <c r="N79" s="7">
        <v>46150</v>
      </c>
      <c r="O79" s="8" t="s">
        <v>15</v>
      </c>
      <c r="P79" s="8" t="s">
        <v>57</v>
      </c>
      <c r="Q79" s="8" t="s">
        <v>57</v>
      </c>
      <c r="R79" s="8" t="s">
        <v>58</v>
      </c>
      <c r="S79" s="8" t="s">
        <v>16</v>
      </c>
      <c r="T79" s="9">
        <v>1845</v>
      </c>
      <c r="U79" s="9">
        <v>367745.4</v>
      </c>
      <c r="V79" s="8" t="s">
        <v>16</v>
      </c>
      <c r="W79" s="8">
        <v>0</v>
      </c>
      <c r="X79" s="8">
        <v>9</v>
      </c>
      <c r="Y79" s="8">
        <v>33097.089999999997</v>
      </c>
      <c r="Z79" s="8">
        <v>9</v>
      </c>
      <c r="AA79" s="8">
        <v>33097.089999999997</v>
      </c>
      <c r="AB79" s="8">
        <v>0</v>
      </c>
      <c r="AC79" s="8">
        <v>0</v>
      </c>
      <c r="AD79" s="8">
        <v>0</v>
      </c>
      <c r="AE79" s="8">
        <v>66194.179999999993</v>
      </c>
      <c r="AF79" s="8">
        <v>0</v>
      </c>
      <c r="AG79" s="8" t="s">
        <v>65</v>
      </c>
      <c r="AH79" s="8" t="s">
        <v>11</v>
      </c>
      <c r="AI79" s="8">
        <v>63053200</v>
      </c>
      <c r="AJ79" s="8" t="s">
        <v>60</v>
      </c>
      <c r="AK79" s="8">
        <v>1</v>
      </c>
      <c r="AL79" s="8">
        <v>1845</v>
      </c>
      <c r="AM79" s="8" t="s">
        <v>1905</v>
      </c>
    </row>
    <row r="80" spans="7:39" ht="12.75" customHeight="1">
      <c r="G80" s="344"/>
      <c r="H80" s="345">
        <v>46150</v>
      </c>
      <c r="I80" s="8" t="s">
        <v>87</v>
      </c>
      <c r="J80" s="8" t="s">
        <v>91</v>
      </c>
      <c r="K80" s="8" t="s">
        <v>2664</v>
      </c>
      <c r="L80" s="8" t="s">
        <v>98</v>
      </c>
      <c r="M80" s="8" t="s">
        <v>2665</v>
      </c>
      <c r="N80" s="7">
        <v>46150</v>
      </c>
      <c r="O80" s="8" t="s">
        <v>13</v>
      </c>
      <c r="P80" s="8" t="s">
        <v>24</v>
      </c>
      <c r="Q80" s="8" t="s">
        <v>79</v>
      </c>
      <c r="R80" s="8" t="s">
        <v>79</v>
      </c>
      <c r="S80" s="8" t="s">
        <v>24</v>
      </c>
      <c r="T80" s="9">
        <v>1780</v>
      </c>
      <c r="U80" s="9">
        <v>262229.59999999998</v>
      </c>
      <c r="V80" s="8" t="s">
        <v>24</v>
      </c>
      <c r="W80" s="8">
        <v>512144.54</v>
      </c>
      <c r="X80" s="8">
        <v>9</v>
      </c>
      <c r="Y80" s="8">
        <v>23600.66</v>
      </c>
      <c r="Z80" s="8">
        <v>9</v>
      </c>
      <c r="AA80" s="8">
        <v>23600.66</v>
      </c>
      <c r="AB80" s="8">
        <v>0</v>
      </c>
      <c r="AC80" s="8">
        <v>0</v>
      </c>
      <c r="AD80" s="8">
        <v>0</v>
      </c>
      <c r="AE80" s="8">
        <v>47201.32</v>
      </c>
      <c r="AF80" s="8">
        <v>0</v>
      </c>
      <c r="AG80" s="8" t="s">
        <v>65</v>
      </c>
      <c r="AH80" s="8" t="s">
        <v>11</v>
      </c>
      <c r="AI80" s="8">
        <v>3926908</v>
      </c>
      <c r="AJ80" s="8" t="s">
        <v>60</v>
      </c>
      <c r="AK80" s="8">
        <v>1</v>
      </c>
      <c r="AL80" s="8">
        <v>1780</v>
      </c>
      <c r="AM80" s="8" t="s">
        <v>1905</v>
      </c>
    </row>
    <row r="81" spans="7:39" ht="12.75" customHeight="1">
      <c r="G81" s="344"/>
      <c r="H81" s="345">
        <v>46150</v>
      </c>
      <c r="I81" s="8" t="s">
        <v>87</v>
      </c>
      <c r="J81" s="8" t="s">
        <v>91</v>
      </c>
      <c r="K81" s="8" t="s">
        <v>2664</v>
      </c>
      <c r="L81" s="8" t="s">
        <v>98</v>
      </c>
      <c r="M81" s="8" t="s">
        <v>2665</v>
      </c>
      <c r="N81" s="7">
        <v>46150</v>
      </c>
      <c r="O81" s="8" t="s">
        <v>13</v>
      </c>
      <c r="P81" s="8" t="s">
        <v>24</v>
      </c>
      <c r="Q81" s="8" t="s">
        <v>79</v>
      </c>
      <c r="R81" s="8" t="s">
        <v>79</v>
      </c>
      <c r="S81" s="8" t="s">
        <v>24</v>
      </c>
      <c r="T81" s="9">
        <v>1192.9000000000001</v>
      </c>
      <c r="U81" s="9">
        <v>172159.33</v>
      </c>
      <c r="V81" s="8" t="s">
        <v>24</v>
      </c>
      <c r="W81" s="8">
        <v>0</v>
      </c>
      <c r="X81" s="8">
        <v>9</v>
      </c>
      <c r="Y81" s="8">
        <v>15494.34</v>
      </c>
      <c r="Z81" s="8">
        <v>9</v>
      </c>
      <c r="AA81" s="8">
        <v>15494.34</v>
      </c>
      <c r="AB81" s="8">
        <v>0</v>
      </c>
      <c r="AC81" s="8">
        <v>0</v>
      </c>
      <c r="AD81" s="8">
        <v>0</v>
      </c>
      <c r="AE81" s="8">
        <v>30988.68</v>
      </c>
      <c r="AF81" s="8">
        <v>0</v>
      </c>
      <c r="AG81" s="8" t="s">
        <v>65</v>
      </c>
      <c r="AH81" s="8" t="s">
        <v>11</v>
      </c>
      <c r="AI81" s="8">
        <v>3926908</v>
      </c>
      <c r="AJ81" s="8" t="s">
        <v>60</v>
      </c>
      <c r="AK81" s="8">
        <v>1</v>
      </c>
      <c r="AL81" s="8">
        <v>1192.9000000000001</v>
      </c>
      <c r="AM81" s="8" t="s">
        <v>1905</v>
      </c>
    </row>
    <row r="82" spans="7:39" ht="12.75" customHeight="1">
      <c r="G82" s="344"/>
      <c r="H82" s="345">
        <v>46150</v>
      </c>
      <c r="I82" s="8" t="s">
        <v>87</v>
      </c>
      <c r="J82" s="8" t="s">
        <v>91</v>
      </c>
      <c r="K82" s="8" t="s">
        <v>2666</v>
      </c>
      <c r="L82" s="8" t="s">
        <v>98</v>
      </c>
      <c r="M82" s="8" t="s">
        <v>2667</v>
      </c>
      <c r="N82" s="7">
        <v>46150</v>
      </c>
      <c r="O82" s="8" t="s">
        <v>13</v>
      </c>
      <c r="P82" s="8" t="s">
        <v>62</v>
      </c>
      <c r="Q82" s="8" t="s">
        <v>63</v>
      </c>
      <c r="R82" s="8" t="s">
        <v>64</v>
      </c>
      <c r="S82" s="344" t="s">
        <v>19</v>
      </c>
      <c r="T82" s="9">
        <v>1025</v>
      </c>
      <c r="U82" s="9">
        <v>144607</v>
      </c>
      <c r="V82" s="8" t="s">
        <v>19</v>
      </c>
      <c r="W82" s="8">
        <v>1165493.8999999999</v>
      </c>
      <c r="X82" s="8">
        <v>9</v>
      </c>
      <c r="Y82" s="8">
        <v>13014.63</v>
      </c>
      <c r="Z82" s="8">
        <v>9</v>
      </c>
      <c r="AA82" s="8">
        <v>13014.63</v>
      </c>
      <c r="AB82" s="8">
        <v>0</v>
      </c>
      <c r="AC82" s="8">
        <v>0</v>
      </c>
      <c r="AD82" s="8">
        <v>0</v>
      </c>
      <c r="AE82" s="8">
        <v>26029.26</v>
      </c>
      <c r="AF82" s="8">
        <v>0</v>
      </c>
      <c r="AG82" s="8" t="s">
        <v>65</v>
      </c>
      <c r="AH82" s="8" t="s">
        <v>11</v>
      </c>
      <c r="AI82" s="8">
        <v>39269080</v>
      </c>
      <c r="AJ82" s="8" t="s">
        <v>60</v>
      </c>
      <c r="AK82" s="8">
        <v>1</v>
      </c>
      <c r="AL82" s="8">
        <v>1025</v>
      </c>
      <c r="AM82" s="8" t="s">
        <v>1905</v>
      </c>
    </row>
    <row r="83" spans="7:39" ht="12.75" customHeight="1">
      <c r="G83" s="344"/>
      <c r="H83" s="345">
        <v>46150</v>
      </c>
      <c r="I83" s="8" t="s">
        <v>87</v>
      </c>
      <c r="J83" s="8" t="s">
        <v>91</v>
      </c>
      <c r="K83" s="8" t="s">
        <v>2666</v>
      </c>
      <c r="L83" s="8" t="s">
        <v>98</v>
      </c>
      <c r="M83" s="8" t="s">
        <v>2667</v>
      </c>
      <c r="N83" s="7">
        <v>46150</v>
      </c>
      <c r="O83" s="8" t="s">
        <v>13</v>
      </c>
      <c r="P83" s="8" t="s">
        <v>62</v>
      </c>
      <c r="Q83" s="8" t="s">
        <v>63</v>
      </c>
      <c r="R83" s="8" t="s">
        <v>64</v>
      </c>
      <c r="S83" s="8" t="s">
        <v>19</v>
      </c>
      <c r="T83" s="9">
        <v>6068</v>
      </c>
      <c r="U83" s="9">
        <v>843937.44</v>
      </c>
      <c r="V83" s="8" t="s">
        <v>19</v>
      </c>
      <c r="W83" s="8">
        <v>0</v>
      </c>
      <c r="X83" s="8">
        <v>9</v>
      </c>
      <c r="Y83" s="8">
        <v>75954.37</v>
      </c>
      <c r="Z83" s="8">
        <v>9</v>
      </c>
      <c r="AA83" s="8">
        <v>75954.37</v>
      </c>
      <c r="AB83" s="8">
        <v>0</v>
      </c>
      <c r="AC83" s="8">
        <v>0</v>
      </c>
      <c r="AD83" s="8">
        <v>0</v>
      </c>
      <c r="AE83" s="8">
        <v>151908.74</v>
      </c>
      <c r="AF83" s="8">
        <v>0</v>
      </c>
      <c r="AG83" s="8" t="s">
        <v>65</v>
      </c>
      <c r="AH83" s="8" t="s">
        <v>11</v>
      </c>
      <c r="AI83" s="8">
        <v>39269080</v>
      </c>
      <c r="AJ83" s="8" t="s">
        <v>60</v>
      </c>
      <c r="AK83" s="8">
        <v>1</v>
      </c>
      <c r="AL83" s="8">
        <v>6068</v>
      </c>
      <c r="AM83" s="8" t="s">
        <v>1905</v>
      </c>
    </row>
    <row r="84" spans="7:39" ht="12.75" customHeight="1">
      <c r="G84" s="344"/>
      <c r="H84" s="345">
        <v>46150</v>
      </c>
      <c r="I84" s="8" t="s">
        <v>87</v>
      </c>
      <c r="J84" s="8" t="s">
        <v>91</v>
      </c>
      <c r="K84" s="8" t="s">
        <v>2668</v>
      </c>
      <c r="L84" s="8" t="s">
        <v>98</v>
      </c>
      <c r="M84" s="8" t="s">
        <v>2669</v>
      </c>
      <c r="N84" s="7">
        <v>46150</v>
      </c>
      <c r="O84" s="8" t="s">
        <v>13</v>
      </c>
      <c r="P84" s="8" t="s">
        <v>62</v>
      </c>
      <c r="Q84" s="8" t="s">
        <v>76</v>
      </c>
      <c r="R84" s="8" t="s">
        <v>77</v>
      </c>
      <c r="S84" s="8" t="s">
        <v>21</v>
      </c>
      <c r="T84" s="9">
        <v>943</v>
      </c>
      <c r="U84" s="9">
        <v>137753.44</v>
      </c>
      <c r="V84" s="8" t="s">
        <v>21</v>
      </c>
      <c r="W84" s="8">
        <v>162411.31</v>
      </c>
      <c r="X84" s="8">
        <v>9</v>
      </c>
      <c r="Y84" s="8">
        <v>12397.81</v>
      </c>
      <c r="Z84" s="8">
        <v>9</v>
      </c>
      <c r="AA84" s="8">
        <v>12397.81</v>
      </c>
      <c r="AB84" s="8">
        <v>0</v>
      </c>
      <c r="AC84" s="8">
        <v>0</v>
      </c>
      <c r="AD84" s="8">
        <v>0</v>
      </c>
      <c r="AE84" s="8">
        <v>24795.62</v>
      </c>
      <c r="AF84" s="8">
        <v>0</v>
      </c>
      <c r="AG84" s="8" t="s">
        <v>65</v>
      </c>
      <c r="AH84" s="8" t="s">
        <v>11</v>
      </c>
      <c r="AI84" s="8">
        <v>63053300</v>
      </c>
      <c r="AJ84" s="8" t="s">
        <v>60</v>
      </c>
      <c r="AK84" s="8">
        <v>1</v>
      </c>
      <c r="AL84" s="8">
        <v>943</v>
      </c>
      <c r="AM84" s="8" t="s">
        <v>1905</v>
      </c>
    </row>
    <row r="85" spans="7:39" ht="12.75" customHeight="1">
      <c r="G85" s="344"/>
      <c r="H85" s="345">
        <v>46150</v>
      </c>
      <c r="I85" s="8" t="s">
        <v>87</v>
      </c>
      <c r="J85" s="8" t="s">
        <v>91</v>
      </c>
      <c r="K85" s="8" t="s">
        <v>2670</v>
      </c>
      <c r="L85" s="8" t="s">
        <v>98</v>
      </c>
      <c r="M85" s="8" t="s">
        <v>2671</v>
      </c>
      <c r="N85" s="7">
        <v>46150</v>
      </c>
      <c r="O85" s="8" t="s">
        <v>13</v>
      </c>
      <c r="P85" s="8" t="s">
        <v>62</v>
      </c>
      <c r="Q85" s="8" t="s">
        <v>76</v>
      </c>
      <c r="R85" s="8" t="s">
        <v>77</v>
      </c>
      <c r="S85" s="8" t="s">
        <v>21</v>
      </c>
      <c r="T85" s="9">
        <v>451</v>
      </c>
      <c r="U85" s="9">
        <v>65088.32</v>
      </c>
      <c r="V85" s="8" t="s">
        <v>21</v>
      </c>
      <c r="W85" s="8">
        <v>1232809.72</v>
      </c>
      <c r="X85" s="8">
        <v>9</v>
      </c>
      <c r="Y85" s="8">
        <v>5857.95</v>
      </c>
      <c r="Z85" s="8">
        <v>9</v>
      </c>
      <c r="AA85" s="8">
        <v>5857.95</v>
      </c>
      <c r="AB85" s="8">
        <v>0</v>
      </c>
      <c r="AC85" s="8">
        <v>0</v>
      </c>
      <c r="AD85" s="8">
        <v>0</v>
      </c>
      <c r="AE85" s="8">
        <v>11715.9</v>
      </c>
      <c r="AF85" s="8">
        <v>0</v>
      </c>
      <c r="AG85" s="8" t="s">
        <v>65</v>
      </c>
      <c r="AH85" s="8" t="s">
        <v>11</v>
      </c>
      <c r="AI85" s="8">
        <v>63053300</v>
      </c>
      <c r="AJ85" s="8" t="s">
        <v>60</v>
      </c>
      <c r="AK85" s="8">
        <v>1</v>
      </c>
      <c r="AL85" s="8">
        <v>451</v>
      </c>
      <c r="AM85" s="8" t="s">
        <v>1905</v>
      </c>
    </row>
    <row r="86" spans="7:39" ht="12.75" customHeight="1">
      <c r="G86" s="344"/>
      <c r="H86" s="345">
        <v>46150</v>
      </c>
      <c r="I86" s="8" t="s">
        <v>87</v>
      </c>
      <c r="J86" s="8" t="s">
        <v>91</v>
      </c>
      <c r="K86" s="8" t="s">
        <v>2670</v>
      </c>
      <c r="L86" s="8" t="s">
        <v>98</v>
      </c>
      <c r="M86" s="8" t="s">
        <v>2671</v>
      </c>
      <c r="N86" s="7">
        <v>46150</v>
      </c>
      <c r="O86" s="8" t="s">
        <v>13</v>
      </c>
      <c r="P86" s="8" t="s">
        <v>62</v>
      </c>
      <c r="Q86" s="8" t="s">
        <v>63</v>
      </c>
      <c r="R86" s="8" t="s">
        <v>64</v>
      </c>
      <c r="S86" s="8" t="s">
        <v>19</v>
      </c>
      <c r="T86" s="9">
        <v>420</v>
      </c>
      <c r="U86" s="9">
        <v>60614.400000000001</v>
      </c>
      <c r="V86" s="8" t="s">
        <v>19</v>
      </c>
      <c r="W86" s="8">
        <v>0</v>
      </c>
      <c r="X86" s="8">
        <v>9</v>
      </c>
      <c r="Y86" s="8">
        <v>5455.3</v>
      </c>
      <c r="Z86" s="8">
        <v>9</v>
      </c>
      <c r="AA86" s="8">
        <v>5455.3</v>
      </c>
      <c r="AB86" s="8">
        <v>0</v>
      </c>
      <c r="AC86" s="8">
        <v>0</v>
      </c>
      <c r="AD86" s="8">
        <v>0</v>
      </c>
      <c r="AE86" s="8">
        <v>10910.6</v>
      </c>
      <c r="AF86" s="8">
        <v>0</v>
      </c>
      <c r="AG86" s="8" t="s">
        <v>65</v>
      </c>
      <c r="AH86" s="8" t="s">
        <v>11</v>
      </c>
      <c r="AI86" s="8">
        <v>39269080</v>
      </c>
      <c r="AJ86" s="8" t="s">
        <v>60</v>
      </c>
      <c r="AK86" s="8">
        <v>1</v>
      </c>
      <c r="AL86" s="8">
        <v>420</v>
      </c>
      <c r="AM86" s="8" t="s">
        <v>1905</v>
      </c>
    </row>
    <row r="87" spans="7:39" ht="12.75" customHeight="1">
      <c r="G87" s="344"/>
      <c r="H87" s="345">
        <v>46150</v>
      </c>
      <c r="I87" s="8" t="s">
        <v>87</v>
      </c>
      <c r="J87" s="8" t="s">
        <v>91</v>
      </c>
      <c r="K87" s="8" t="s">
        <v>2670</v>
      </c>
      <c r="L87" s="8" t="s">
        <v>98</v>
      </c>
      <c r="M87" s="8" t="s">
        <v>2671</v>
      </c>
      <c r="N87" s="7">
        <v>46150</v>
      </c>
      <c r="O87" s="8" t="s">
        <v>13</v>
      </c>
      <c r="P87" s="8" t="s">
        <v>62</v>
      </c>
      <c r="Q87" s="8" t="s">
        <v>63</v>
      </c>
      <c r="R87" s="8" t="s">
        <v>64</v>
      </c>
      <c r="S87" s="8" t="s">
        <v>19</v>
      </c>
      <c r="T87" s="9">
        <v>3295</v>
      </c>
      <c r="U87" s="9">
        <v>468944.4</v>
      </c>
      <c r="V87" s="8" t="s">
        <v>19</v>
      </c>
      <c r="W87" s="8">
        <v>0</v>
      </c>
      <c r="X87" s="8">
        <v>9</v>
      </c>
      <c r="Y87" s="8">
        <v>42205</v>
      </c>
      <c r="Z87" s="8">
        <v>9</v>
      </c>
      <c r="AA87" s="8">
        <v>42205</v>
      </c>
      <c r="AB87" s="8">
        <v>0</v>
      </c>
      <c r="AC87" s="8">
        <v>0</v>
      </c>
      <c r="AD87" s="8">
        <v>0</v>
      </c>
      <c r="AE87" s="8">
        <v>84410</v>
      </c>
      <c r="AF87" s="8">
        <v>0</v>
      </c>
      <c r="AG87" s="8" t="s">
        <v>65</v>
      </c>
      <c r="AH87" s="8" t="s">
        <v>11</v>
      </c>
      <c r="AI87" s="8">
        <v>39269080</v>
      </c>
      <c r="AJ87" s="8" t="s">
        <v>60</v>
      </c>
      <c r="AK87" s="8">
        <v>1</v>
      </c>
      <c r="AL87" s="8">
        <v>3295</v>
      </c>
      <c r="AM87" s="8" t="s">
        <v>1905</v>
      </c>
    </row>
    <row r="88" spans="7:39" ht="12.75" customHeight="1">
      <c r="G88" s="344"/>
      <c r="H88" s="345">
        <v>46150</v>
      </c>
      <c r="I88" s="8" t="s">
        <v>87</v>
      </c>
      <c r="J88" s="8" t="s">
        <v>91</v>
      </c>
      <c r="K88" s="8" t="s">
        <v>2670</v>
      </c>
      <c r="L88" s="8" t="s">
        <v>98</v>
      </c>
      <c r="M88" s="8" t="s">
        <v>2671</v>
      </c>
      <c r="N88" s="7">
        <v>46150</v>
      </c>
      <c r="O88" s="8" t="s">
        <v>8</v>
      </c>
      <c r="P88" s="8" t="s">
        <v>625</v>
      </c>
      <c r="Q88" s="8" t="s">
        <v>625</v>
      </c>
      <c r="R88" s="8" t="s">
        <v>69</v>
      </c>
      <c r="S88" s="8" t="s">
        <v>743</v>
      </c>
      <c r="T88" s="9">
        <v>9400</v>
      </c>
      <c r="U88" s="9">
        <v>29358.080000000002</v>
      </c>
      <c r="V88" s="8" t="s">
        <v>743</v>
      </c>
      <c r="W88" s="8">
        <v>0</v>
      </c>
      <c r="X88" s="8">
        <v>9</v>
      </c>
      <c r="Y88" s="8">
        <v>2642.23</v>
      </c>
      <c r="Z88" s="8">
        <v>9</v>
      </c>
      <c r="AA88" s="8">
        <v>2642.23</v>
      </c>
      <c r="AB88" s="8">
        <v>0</v>
      </c>
      <c r="AC88" s="8">
        <v>0</v>
      </c>
      <c r="AD88" s="8">
        <v>0</v>
      </c>
      <c r="AE88" s="8">
        <v>5284.46</v>
      </c>
      <c r="AF88" s="8">
        <v>0</v>
      </c>
      <c r="AG88" s="8" t="s">
        <v>65</v>
      </c>
      <c r="AH88" s="8" t="s">
        <v>1</v>
      </c>
      <c r="AI88" s="8">
        <v>39232100</v>
      </c>
      <c r="AJ88" s="8" t="s">
        <v>60</v>
      </c>
      <c r="AK88" s="8">
        <v>1</v>
      </c>
      <c r="AL88" s="8">
        <v>9400</v>
      </c>
      <c r="AM88" s="8" t="s">
        <v>1905</v>
      </c>
    </row>
    <row r="89" spans="7:39" ht="12.75" customHeight="1">
      <c r="G89" s="344"/>
      <c r="H89" s="345">
        <v>46150</v>
      </c>
      <c r="I89" s="8" t="s">
        <v>87</v>
      </c>
      <c r="J89" s="8" t="s">
        <v>91</v>
      </c>
      <c r="K89" s="8" t="s">
        <v>2670</v>
      </c>
      <c r="L89" s="8" t="s">
        <v>98</v>
      </c>
      <c r="M89" s="8" t="s">
        <v>2671</v>
      </c>
      <c r="N89" s="7">
        <v>46150</v>
      </c>
      <c r="O89" s="8" t="s">
        <v>13</v>
      </c>
      <c r="P89" s="8" t="s">
        <v>80</v>
      </c>
      <c r="Q89" s="8" t="s">
        <v>81</v>
      </c>
      <c r="R89" s="8" t="s">
        <v>82</v>
      </c>
      <c r="S89" s="8" t="s">
        <v>17</v>
      </c>
      <c r="T89" s="9">
        <v>2384</v>
      </c>
      <c r="U89" s="9">
        <v>421634.24</v>
      </c>
      <c r="V89" s="8" t="s">
        <v>17</v>
      </c>
      <c r="W89" s="8">
        <v>0</v>
      </c>
      <c r="X89" s="8">
        <v>9</v>
      </c>
      <c r="Y89" s="8">
        <v>37947.08</v>
      </c>
      <c r="Z89" s="8">
        <v>9</v>
      </c>
      <c r="AA89" s="8">
        <v>37947.08</v>
      </c>
      <c r="AB89" s="8">
        <v>0</v>
      </c>
      <c r="AC89" s="8">
        <v>0</v>
      </c>
      <c r="AD89" s="8">
        <v>0</v>
      </c>
      <c r="AE89" s="8">
        <v>75894.16</v>
      </c>
      <c r="AF89" s="8">
        <v>0</v>
      </c>
      <c r="AG89" s="8" t="s">
        <v>65</v>
      </c>
      <c r="AH89" s="8" t="s">
        <v>11</v>
      </c>
      <c r="AI89" s="8">
        <v>39200000</v>
      </c>
      <c r="AJ89" s="8" t="s">
        <v>60</v>
      </c>
      <c r="AK89" s="8">
        <v>1</v>
      </c>
      <c r="AL89" s="8">
        <v>2384</v>
      </c>
      <c r="AM89" s="8" t="s">
        <v>1905</v>
      </c>
    </row>
    <row r="90" spans="7:39" ht="12.75" customHeight="1">
      <c r="G90" s="344"/>
      <c r="H90" s="345">
        <v>46150</v>
      </c>
      <c r="I90" s="8" t="s">
        <v>94</v>
      </c>
      <c r="J90" s="8" t="s">
        <v>91</v>
      </c>
      <c r="K90" s="8" t="s">
        <v>2672</v>
      </c>
      <c r="L90" s="8" t="s">
        <v>2348</v>
      </c>
      <c r="M90" s="8" t="s">
        <v>2673</v>
      </c>
      <c r="N90" s="7">
        <v>46150</v>
      </c>
      <c r="O90" s="8" t="s">
        <v>15</v>
      </c>
      <c r="P90" s="8" t="s">
        <v>57</v>
      </c>
      <c r="Q90" s="8" t="s">
        <v>57</v>
      </c>
      <c r="R90" s="8" t="s">
        <v>58</v>
      </c>
      <c r="S90" s="8" t="s">
        <v>16</v>
      </c>
      <c r="T90" s="9">
        <v>2226</v>
      </c>
      <c r="U90" s="9">
        <v>464989.14</v>
      </c>
      <c r="V90" s="8" t="s">
        <v>16</v>
      </c>
      <c r="W90" s="8">
        <v>1205479.2</v>
      </c>
      <c r="X90" s="8">
        <v>9</v>
      </c>
      <c r="Y90" s="8">
        <v>41849.019999999997</v>
      </c>
      <c r="Z90" s="8">
        <v>9</v>
      </c>
      <c r="AA90" s="8">
        <v>41849.019999999997</v>
      </c>
      <c r="AB90" s="8">
        <v>0</v>
      </c>
      <c r="AC90" s="8">
        <v>0</v>
      </c>
      <c r="AD90" s="8">
        <v>0</v>
      </c>
      <c r="AE90" s="8">
        <v>83698.039999999994</v>
      </c>
      <c r="AF90" s="8">
        <v>0</v>
      </c>
      <c r="AG90" s="8" t="s">
        <v>74</v>
      </c>
      <c r="AH90" s="8" t="s">
        <v>11</v>
      </c>
      <c r="AI90" s="8">
        <v>63053200</v>
      </c>
      <c r="AJ90" s="8" t="s">
        <v>60</v>
      </c>
      <c r="AK90" s="8">
        <v>1</v>
      </c>
      <c r="AL90" s="8">
        <v>2226</v>
      </c>
      <c r="AM90" s="8" t="s">
        <v>1905</v>
      </c>
    </row>
    <row r="91" spans="7:39" ht="12.75" customHeight="1">
      <c r="G91" s="344"/>
      <c r="H91" s="345">
        <v>46150</v>
      </c>
      <c r="I91" s="8" t="s">
        <v>94</v>
      </c>
      <c r="J91" s="8" t="s">
        <v>91</v>
      </c>
      <c r="K91" s="8" t="s">
        <v>2672</v>
      </c>
      <c r="L91" s="8" t="s">
        <v>2348</v>
      </c>
      <c r="M91" s="8" t="s">
        <v>2673</v>
      </c>
      <c r="N91" s="7">
        <v>46150</v>
      </c>
      <c r="O91" s="8" t="s">
        <v>15</v>
      </c>
      <c r="P91" s="8" t="s">
        <v>57</v>
      </c>
      <c r="Q91" s="8" t="s">
        <v>57</v>
      </c>
      <c r="R91" s="8" t="s">
        <v>58</v>
      </c>
      <c r="S91" s="8" t="s">
        <v>16</v>
      </c>
      <c r="T91" s="9">
        <v>2697</v>
      </c>
      <c r="U91" s="9">
        <v>557469.9</v>
      </c>
      <c r="V91" s="8" t="s">
        <v>16</v>
      </c>
      <c r="W91" s="8">
        <v>0</v>
      </c>
      <c r="X91" s="8">
        <v>9</v>
      </c>
      <c r="Y91" s="8">
        <v>50172.29</v>
      </c>
      <c r="Z91" s="8">
        <v>9</v>
      </c>
      <c r="AA91" s="8">
        <v>50172.29</v>
      </c>
      <c r="AB91" s="8">
        <v>0</v>
      </c>
      <c r="AC91" s="8">
        <v>0</v>
      </c>
      <c r="AD91" s="8">
        <v>0</v>
      </c>
      <c r="AE91" s="8">
        <v>100344.58</v>
      </c>
      <c r="AF91" s="8">
        <v>0</v>
      </c>
      <c r="AG91" s="8" t="s">
        <v>74</v>
      </c>
      <c r="AH91" s="8" t="s">
        <v>11</v>
      </c>
      <c r="AI91" s="8">
        <v>63053200</v>
      </c>
      <c r="AJ91" s="8" t="s">
        <v>60</v>
      </c>
      <c r="AK91" s="8">
        <v>1</v>
      </c>
      <c r="AL91" s="8">
        <v>2697</v>
      </c>
      <c r="AM91" s="8" t="s">
        <v>1905</v>
      </c>
    </row>
    <row r="92" spans="7:39" ht="12.75" customHeight="1">
      <c r="G92" s="344"/>
      <c r="H92" s="345">
        <v>46181</v>
      </c>
      <c r="I92" s="8" t="s">
        <v>2192</v>
      </c>
      <c r="J92" s="8" t="s">
        <v>96</v>
      </c>
      <c r="K92" s="8" t="s">
        <v>2674</v>
      </c>
      <c r="L92" s="8" t="s">
        <v>97</v>
      </c>
      <c r="M92" s="8" t="s">
        <v>2675</v>
      </c>
      <c r="N92" s="7" t="s">
        <v>2485</v>
      </c>
      <c r="O92" s="8" t="s">
        <v>2</v>
      </c>
      <c r="P92" s="8" t="s">
        <v>1662</v>
      </c>
      <c r="Q92" s="8" t="s">
        <v>68</v>
      </c>
      <c r="R92" s="8" t="s">
        <v>69</v>
      </c>
      <c r="S92" s="8" t="s">
        <v>2383</v>
      </c>
      <c r="T92" s="9">
        <v>30</v>
      </c>
      <c r="U92" s="9">
        <v>7740</v>
      </c>
      <c r="V92" s="8" t="s">
        <v>2383</v>
      </c>
      <c r="W92" s="8">
        <v>8222</v>
      </c>
      <c r="X92" s="8">
        <v>2.5</v>
      </c>
      <c r="Y92" s="8">
        <v>193.5</v>
      </c>
      <c r="Z92" s="8">
        <v>2.5</v>
      </c>
      <c r="AA92" s="8">
        <v>193.5</v>
      </c>
      <c r="AB92" s="8">
        <v>0</v>
      </c>
      <c r="AC92" s="8">
        <v>0</v>
      </c>
      <c r="AD92" s="8">
        <v>4.5</v>
      </c>
      <c r="AE92" s="8">
        <v>391.5</v>
      </c>
      <c r="AF92" s="8">
        <v>0</v>
      </c>
      <c r="AG92" s="8" t="s">
        <v>2327</v>
      </c>
      <c r="AH92" s="8" t="s">
        <v>7</v>
      </c>
      <c r="AI92" s="8">
        <v>84529099</v>
      </c>
      <c r="AJ92" s="8" t="s">
        <v>60</v>
      </c>
      <c r="AK92" s="8">
        <v>1</v>
      </c>
      <c r="AL92" s="8">
        <v>0</v>
      </c>
      <c r="AM92" s="8" t="s">
        <v>1905</v>
      </c>
    </row>
    <row r="93" spans="7:39" ht="12.75" customHeight="1">
      <c r="G93" s="344"/>
      <c r="H93" s="345">
        <v>46181</v>
      </c>
      <c r="I93" s="8" t="s">
        <v>2190</v>
      </c>
      <c r="J93" s="8" t="s">
        <v>113</v>
      </c>
      <c r="K93" s="8" t="s">
        <v>2676</v>
      </c>
      <c r="L93" s="8" t="s">
        <v>114</v>
      </c>
      <c r="M93" s="8" t="s">
        <v>2677</v>
      </c>
      <c r="N93" s="7">
        <v>46089</v>
      </c>
      <c r="O93" s="8" t="s">
        <v>4</v>
      </c>
      <c r="P93" s="8" t="s">
        <v>2678</v>
      </c>
      <c r="Q93" s="8" t="s">
        <v>4</v>
      </c>
      <c r="R93" s="8" t="s">
        <v>4</v>
      </c>
      <c r="S93" s="8" t="s">
        <v>2679</v>
      </c>
      <c r="T93" s="9">
        <v>500</v>
      </c>
      <c r="U93" s="9">
        <v>37500</v>
      </c>
      <c r="V93" s="8" t="s">
        <v>2679</v>
      </c>
      <c r="W93" s="8">
        <v>47200</v>
      </c>
      <c r="X93" s="8">
        <v>9</v>
      </c>
      <c r="Y93" s="8">
        <v>3375</v>
      </c>
      <c r="Z93" s="8">
        <v>9</v>
      </c>
      <c r="AA93" s="8">
        <v>3375</v>
      </c>
      <c r="AB93" s="8">
        <v>0</v>
      </c>
      <c r="AC93" s="8">
        <v>0</v>
      </c>
      <c r="AD93" s="8">
        <v>450</v>
      </c>
      <c r="AE93" s="8">
        <v>7200</v>
      </c>
      <c r="AF93" s="8">
        <v>0</v>
      </c>
      <c r="AG93" s="8" t="s">
        <v>2680</v>
      </c>
      <c r="AH93" s="8" t="s">
        <v>11</v>
      </c>
      <c r="AI93" s="8">
        <v>39206220</v>
      </c>
      <c r="AJ93" s="8" t="s">
        <v>60</v>
      </c>
      <c r="AK93" s="8">
        <v>1</v>
      </c>
      <c r="AL93" s="8">
        <v>0</v>
      </c>
      <c r="AM93" s="8" t="s">
        <v>1905</v>
      </c>
    </row>
    <row r="94" spans="7:39" ht="12.75" customHeight="1">
      <c r="G94" s="344"/>
      <c r="H94" s="345">
        <v>46181</v>
      </c>
      <c r="I94" s="8" t="s">
        <v>2368</v>
      </c>
      <c r="J94" s="8" t="s">
        <v>96</v>
      </c>
      <c r="K94" s="8" t="s">
        <v>2681</v>
      </c>
      <c r="L94" s="8" t="s">
        <v>114</v>
      </c>
      <c r="M94" s="8" t="s">
        <v>2682</v>
      </c>
      <c r="N94" s="7">
        <v>46150</v>
      </c>
      <c r="O94" s="8" t="s">
        <v>4</v>
      </c>
      <c r="P94" s="8" t="s">
        <v>115</v>
      </c>
      <c r="Q94" s="8" t="s">
        <v>115</v>
      </c>
      <c r="R94" s="8" t="s">
        <v>4</v>
      </c>
      <c r="S94" s="8" t="s">
        <v>2128</v>
      </c>
      <c r="T94" s="9">
        <v>50</v>
      </c>
      <c r="U94" s="9">
        <v>35000</v>
      </c>
      <c r="V94" s="8" t="s">
        <v>2128</v>
      </c>
      <c r="W94" s="8">
        <v>240188</v>
      </c>
      <c r="X94" s="8">
        <v>2.5</v>
      </c>
      <c r="Y94" s="8">
        <v>875</v>
      </c>
      <c r="Z94" s="8">
        <v>2.5</v>
      </c>
      <c r="AA94" s="8">
        <v>875</v>
      </c>
      <c r="AB94" s="8">
        <v>0</v>
      </c>
      <c r="AC94" s="8">
        <v>0</v>
      </c>
      <c r="AD94" s="8">
        <v>0</v>
      </c>
      <c r="AE94" s="8">
        <v>1750</v>
      </c>
      <c r="AF94" s="8">
        <v>0</v>
      </c>
      <c r="AG94" s="8" t="s">
        <v>2369</v>
      </c>
      <c r="AH94" s="8" t="s">
        <v>1</v>
      </c>
      <c r="AI94" s="8">
        <v>44152000</v>
      </c>
      <c r="AJ94" s="8" t="s">
        <v>60</v>
      </c>
      <c r="AK94" s="8">
        <v>1</v>
      </c>
      <c r="AL94" s="8">
        <v>0</v>
      </c>
      <c r="AM94" s="8" t="s">
        <v>1905</v>
      </c>
    </row>
    <row r="95" spans="7:39" ht="12.75" customHeight="1">
      <c r="G95" s="344"/>
      <c r="H95" s="345">
        <v>46181</v>
      </c>
      <c r="I95" s="8" t="s">
        <v>2368</v>
      </c>
      <c r="J95" s="8" t="s">
        <v>96</v>
      </c>
      <c r="K95" s="8" t="s">
        <v>2681</v>
      </c>
      <c r="L95" s="8" t="s">
        <v>114</v>
      </c>
      <c r="M95" s="8" t="s">
        <v>2682</v>
      </c>
      <c r="N95" s="7">
        <v>46150</v>
      </c>
      <c r="O95" s="8" t="s">
        <v>4</v>
      </c>
      <c r="P95" s="8" t="s">
        <v>115</v>
      </c>
      <c r="Q95" s="8" t="s">
        <v>115</v>
      </c>
      <c r="R95" s="8" t="s">
        <v>4</v>
      </c>
      <c r="S95" s="8" t="s">
        <v>629</v>
      </c>
      <c r="T95" s="9">
        <v>250</v>
      </c>
      <c r="U95" s="9">
        <v>193750</v>
      </c>
      <c r="V95" s="8" t="s">
        <v>629</v>
      </c>
      <c r="W95" s="8">
        <v>0</v>
      </c>
      <c r="X95" s="8">
        <v>2.5</v>
      </c>
      <c r="Y95" s="8">
        <v>4843.75</v>
      </c>
      <c r="Z95" s="8">
        <v>2.5</v>
      </c>
      <c r="AA95" s="8">
        <v>4843.75</v>
      </c>
      <c r="AB95" s="8">
        <v>0</v>
      </c>
      <c r="AC95" s="8">
        <v>0</v>
      </c>
      <c r="AD95" s="8">
        <v>0</v>
      </c>
      <c r="AE95" s="8">
        <v>9687.5</v>
      </c>
      <c r="AF95" s="8">
        <v>0</v>
      </c>
      <c r="AG95" s="8" t="s">
        <v>2369</v>
      </c>
      <c r="AH95" s="8" t="s">
        <v>1</v>
      </c>
      <c r="AI95" s="8">
        <v>44152000</v>
      </c>
      <c r="AJ95" s="8" t="s">
        <v>60</v>
      </c>
      <c r="AK95" s="8">
        <v>1</v>
      </c>
      <c r="AL95" s="8">
        <v>0</v>
      </c>
      <c r="AM95" s="8" t="s">
        <v>1905</v>
      </c>
    </row>
    <row r="96" spans="7:39" ht="12.75" customHeight="1">
      <c r="G96" s="344"/>
      <c r="H96" s="345">
        <v>46181</v>
      </c>
      <c r="I96" s="8" t="s">
        <v>2683</v>
      </c>
      <c r="J96" s="8" t="s">
        <v>96</v>
      </c>
      <c r="K96" s="8" t="s">
        <v>2684</v>
      </c>
      <c r="L96" s="8" t="s">
        <v>97</v>
      </c>
      <c r="M96" s="8">
        <v>720</v>
      </c>
      <c r="N96" s="7" t="s">
        <v>2490</v>
      </c>
      <c r="O96" s="8" t="s">
        <v>2</v>
      </c>
      <c r="P96" s="8" t="s">
        <v>2685</v>
      </c>
      <c r="Q96" s="8" t="s">
        <v>68</v>
      </c>
      <c r="R96" s="8" t="s">
        <v>69</v>
      </c>
      <c r="S96" s="8" t="s">
        <v>2686</v>
      </c>
      <c r="T96" s="9">
        <v>2</v>
      </c>
      <c r="U96" s="9">
        <v>7780</v>
      </c>
      <c r="V96" s="8" t="s">
        <v>2686</v>
      </c>
      <c r="W96" s="8">
        <v>9251</v>
      </c>
      <c r="X96" s="8">
        <v>9</v>
      </c>
      <c r="Y96" s="8">
        <v>700.2</v>
      </c>
      <c r="Z96" s="8">
        <v>9</v>
      </c>
      <c r="AA96" s="8">
        <v>700.2</v>
      </c>
      <c r="AB96" s="8">
        <v>0</v>
      </c>
      <c r="AC96" s="8">
        <v>0</v>
      </c>
      <c r="AD96" s="8">
        <v>10.8</v>
      </c>
      <c r="AE96" s="8">
        <v>1411.2</v>
      </c>
      <c r="AF96" s="8">
        <v>0</v>
      </c>
      <c r="AG96" s="8" t="s">
        <v>2687</v>
      </c>
      <c r="AH96" s="8" t="s">
        <v>1</v>
      </c>
      <c r="AI96" s="8">
        <v>851680</v>
      </c>
      <c r="AJ96" s="8" t="s">
        <v>60</v>
      </c>
      <c r="AK96" s="8">
        <v>1</v>
      </c>
      <c r="AL96" s="8">
        <v>0</v>
      </c>
      <c r="AM96" s="8" t="s">
        <v>1905</v>
      </c>
    </row>
    <row r="97" spans="7:39" ht="12.75" customHeight="1">
      <c r="G97" s="344"/>
      <c r="H97" s="345">
        <v>46181</v>
      </c>
      <c r="I97" s="8" t="s">
        <v>2688</v>
      </c>
      <c r="J97" s="8" t="s">
        <v>96</v>
      </c>
      <c r="K97" s="8" t="s">
        <v>2689</v>
      </c>
      <c r="L97" s="8" t="s">
        <v>97</v>
      </c>
      <c r="M97" s="8" t="s">
        <v>2690</v>
      </c>
      <c r="N97" s="7" t="s">
        <v>2496</v>
      </c>
      <c r="O97" s="8" t="s">
        <v>2337</v>
      </c>
      <c r="P97" s="8" t="s">
        <v>2691</v>
      </c>
      <c r="Q97" s="8" t="s">
        <v>68</v>
      </c>
      <c r="R97" s="8" t="s">
        <v>69</v>
      </c>
      <c r="S97" s="8" t="s">
        <v>2692</v>
      </c>
      <c r="T97" s="9">
        <v>17</v>
      </c>
      <c r="U97" s="9">
        <v>34680</v>
      </c>
      <c r="V97" s="8" t="s">
        <v>2692</v>
      </c>
      <c r="W97" s="8">
        <v>40922</v>
      </c>
      <c r="X97" s="8">
        <v>9</v>
      </c>
      <c r="Y97" s="8">
        <v>3121.2</v>
      </c>
      <c r="Z97" s="8">
        <v>9</v>
      </c>
      <c r="AA97" s="8">
        <v>3121.2</v>
      </c>
      <c r="AB97" s="8">
        <v>0</v>
      </c>
      <c r="AC97" s="8">
        <v>0</v>
      </c>
      <c r="AD97" s="8">
        <v>0</v>
      </c>
      <c r="AE97" s="8">
        <v>6242.4</v>
      </c>
      <c r="AF97" s="8">
        <v>0</v>
      </c>
      <c r="AG97" s="8" t="s">
        <v>2693</v>
      </c>
      <c r="AH97" s="8" t="s">
        <v>1</v>
      </c>
      <c r="AI97" s="8">
        <v>392690</v>
      </c>
      <c r="AJ97" s="8" t="s">
        <v>60</v>
      </c>
      <c r="AK97" s="8">
        <v>1</v>
      </c>
      <c r="AL97" s="8">
        <v>0</v>
      </c>
      <c r="AM97" s="8" t="s">
        <v>1905</v>
      </c>
    </row>
    <row r="98" spans="7:39" ht="12.75" customHeight="1">
      <c r="G98" s="344"/>
      <c r="H98" s="345">
        <v>46181</v>
      </c>
      <c r="I98" s="8" t="s">
        <v>2694</v>
      </c>
      <c r="J98" s="8" t="s">
        <v>96</v>
      </c>
      <c r="K98" s="8" t="s">
        <v>2695</v>
      </c>
      <c r="L98" s="8" t="s">
        <v>97</v>
      </c>
      <c r="M98" s="8" t="s">
        <v>2696</v>
      </c>
      <c r="N98" s="7" t="s">
        <v>2497</v>
      </c>
      <c r="O98" s="8" t="s">
        <v>2379</v>
      </c>
      <c r="P98" s="8" t="s">
        <v>2380</v>
      </c>
      <c r="Q98" s="8" t="s">
        <v>68</v>
      </c>
      <c r="R98" s="8" t="s">
        <v>69</v>
      </c>
      <c r="S98" s="8" t="s">
        <v>2697</v>
      </c>
      <c r="T98" s="9">
        <v>1</v>
      </c>
      <c r="U98" s="9">
        <v>320</v>
      </c>
      <c r="V98" s="8" t="s">
        <v>2697</v>
      </c>
      <c r="W98" s="8">
        <v>1133</v>
      </c>
      <c r="X98" s="8">
        <v>9</v>
      </c>
      <c r="Y98" s="8">
        <v>28.8</v>
      </c>
      <c r="Z98" s="8">
        <v>9</v>
      </c>
      <c r="AA98" s="8">
        <v>28.8</v>
      </c>
      <c r="AB98" s="8">
        <v>0</v>
      </c>
      <c r="AC98" s="8">
        <v>0</v>
      </c>
      <c r="AD98" s="8">
        <v>0</v>
      </c>
      <c r="AE98" s="8">
        <v>57.6</v>
      </c>
      <c r="AF98" s="8">
        <v>0</v>
      </c>
      <c r="AG98" s="8" t="s">
        <v>2698</v>
      </c>
      <c r="AH98" s="8" t="s">
        <v>1</v>
      </c>
      <c r="AI98" s="8">
        <v>32151110</v>
      </c>
      <c r="AJ98" s="8" t="s">
        <v>60</v>
      </c>
      <c r="AK98" s="8">
        <v>1</v>
      </c>
      <c r="AL98" s="8">
        <v>0</v>
      </c>
      <c r="AM98" s="8" t="s">
        <v>1905</v>
      </c>
    </row>
    <row r="99" spans="7:39" ht="12.75" customHeight="1">
      <c r="G99" s="344"/>
      <c r="H99" s="345">
        <v>46181</v>
      </c>
      <c r="I99" s="8" t="s">
        <v>2694</v>
      </c>
      <c r="J99" s="8" t="s">
        <v>96</v>
      </c>
      <c r="K99" s="8" t="s">
        <v>2695</v>
      </c>
      <c r="L99" s="8" t="s">
        <v>97</v>
      </c>
      <c r="M99" s="8" t="s">
        <v>2696</v>
      </c>
      <c r="N99" s="7" t="s">
        <v>2497</v>
      </c>
      <c r="O99" s="8" t="s">
        <v>2379</v>
      </c>
      <c r="P99" s="8" t="s">
        <v>2380</v>
      </c>
      <c r="Q99" s="8" t="s">
        <v>68</v>
      </c>
      <c r="R99" s="8" t="s">
        <v>69</v>
      </c>
      <c r="S99" s="8" t="s">
        <v>2697</v>
      </c>
      <c r="T99" s="9">
        <v>1</v>
      </c>
      <c r="U99" s="9">
        <v>320</v>
      </c>
      <c r="V99" s="8" t="s">
        <v>2697</v>
      </c>
      <c r="W99" s="8">
        <v>0</v>
      </c>
      <c r="X99" s="8">
        <v>9</v>
      </c>
      <c r="Y99" s="8">
        <v>28.8</v>
      </c>
      <c r="Z99" s="8">
        <v>9</v>
      </c>
      <c r="AA99" s="8">
        <v>28.8</v>
      </c>
      <c r="AB99" s="8">
        <v>0</v>
      </c>
      <c r="AC99" s="8">
        <v>0</v>
      </c>
      <c r="AD99" s="8">
        <v>0</v>
      </c>
      <c r="AE99" s="8">
        <v>57.6</v>
      </c>
      <c r="AF99" s="8">
        <v>0</v>
      </c>
      <c r="AG99" s="8" t="s">
        <v>2698</v>
      </c>
      <c r="AH99" s="8" t="s">
        <v>1</v>
      </c>
      <c r="AI99" s="8">
        <v>32151110</v>
      </c>
      <c r="AJ99" s="8" t="s">
        <v>60</v>
      </c>
      <c r="AK99" s="8">
        <v>1</v>
      </c>
      <c r="AL99" s="8">
        <v>0</v>
      </c>
      <c r="AM99" s="8" t="s">
        <v>1905</v>
      </c>
    </row>
    <row r="100" spans="7:39" ht="12.75" customHeight="1">
      <c r="G100" s="344"/>
      <c r="H100" s="345">
        <v>46181</v>
      </c>
      <c r="I100" s="8" t="s">
        <v>2694</v>
      </c>
      <c r="J100" s="8" t="s">
        <v>96</v>
      </c>
      <c r="K100" s="8" t="s">
        <v>2695</v>
      </c>
      <c r="L100" s="8" t="s">
        <v>97</v>
      </c>
      <c r="M100" s="8" t="s">
        <v>2696</v>
      </c>
      <c r="N100" s="7" t="s">
        <v>2497</v>
      </c>
      <c r="O100" s="8" t="s">
        <v>2379</v>
      </c>
      <c r="P100" s="8" t="s">
        <v>2380</v>
      </c>
      <c r="Q100" s="8" t="s">
        <v>68</v>
      </c>
      <c r="R100" s="8" t="s">
        <v>69</v>
      </c>
      <c r="S100" s="8" t="s">
        <v>2697</v>
      </c>
      <c r="T100" s="9">
        <v>1</v>
      </c>
      <c r="U100" s="9">
        <v>320</v>
      </c>
      <c r="V100" s="8" t="s">
        <v>2697</v>
      </c>
      <c r="W100" s="8">
        <v>0</v>
      </c>
      <c r="X100" s="8">
        <v>9</v>
      </c>
      <c r="Y100" s="8">
        <v>28.8</v>
      </c>
      <c r="Z100" s="8">
        <v>9</v>
      </c>
      <c r="AA100" s="8">
        <v>28.8</v>
      </c>
      <c r="AB100" s="8">
        <v>0</v>
      </c>
      <c r="AC100" s="8">
        <v>0</v>
      </c>
      <c r="AD100" s="8">
        <v>0</v>
      </c>
      <c r="AE100" s="8">
        <v>57.6</v>
      </c>
      <c r="AF100" s="8">
        <v>0</v>
      </c>
      <c r="AG100" s="8" t="s">
        <v>2698</v>
      </c>
      <c r="AH100" s="8" t="s">
        <v>1</v>
      </c>
      <c r="AI100" s="8">
        <v>32151110</v>
      </c>
      <c r="AJ100" s="8" t="s">
        <v>60</v>
      </c>
      <c r="AK100" s="8">
        <v>1</v>
      </c>
      <c r="AL100" s="8">
        <v>0</v>
      </c>
      <c r="AM100" s="8" t="s">
        <v>1905</v>
      </c>
    </row>
    <row r="101" spans="7:39" ht="12.75" customHeight="1">
      <c r="G101" s="344"/>
      <c r="H101" s="345">
        <v>46181</v>
      </c>
      <c r="I101" s="8" t="s">
        <v>87</v>
      </c>
      <c r="J101" s="8" t="s">
        <v>96</v>
      </c>
      <c r="K101" s="8" t="s">
        <v>2699</v>
      </c>
      <c r="L101" s="8" t="s">
        <v>97</v>
      </c>
      <c r="M101" s="8" t="s">
        <v>2700</v>
      </c>
      <c r="N101" s="7">
        <v>46181</v>
      </c>
      <c r="O101" s="8" t="s">
        <v>2</v>
      </c>
      <c r="P101" s="8" t="s">
        <v>67</v>
      </c>
      <c r="Q101" s="8" t="s">
        <v>68</v>
      </c>
      <c r="R101" s="8" t="s">
        <v>69</v>
      </c>
      <c r="S101" s="8" t="s">
        <v>70</v>
      </c>
      <c r="T101" s="9">
        <v>411</v>
      </c>
      <c r="U101" s="9">
        <v>19728</v>
      </c>
      <c r="V101" s="8" t="s">
        <v>70</v>
      </c>
      <c r="W101" s="8">
        <v>23259.31</v>
      </c>
      <c r="X101" s="8">
        <v>9</v>
      </c>
      <c r="Y101" s="8">
        <v>1775.52</v>
      </c>
      <c r="Z101" s="8">
        <v>9</v>
      </c>
      <c r="AA101" s="8">
        <v>1775.52</v>
      </c>
      <c r="AB101" s="8">
        <v>0</v>
      </c>
      <c r="AC101" s="8">
        <v>0</v>
      </c>
      <c r="AD101" s="8">
        <v>0</v>
      </c>
      <c r="AE101" s="8">
        <v>3551.04</v>
      </c>
      <c r="AF101" s="8">
        <v>0</v>
      </c>
      <c r="AG101" s="8" t="s">
        <v>65</v>
      </c>
      <c r="AH101" s="8" t="s">
        <v>11</v>
      </c>
      <c r="AI101" s="8">
        <v>73063090</v>
      </c>
      <c r="AJ101" s="8" t="s">
        <v>60</v>
      </c>
      <c r="AK101" s="8">
        <v>1</v>
      </c>
      <c r="AL101" s="8">
        <v>0</v>
      </c>
      <c r="AM101" s="8" t="s">
        <v>1905</v>
      </c>
    </row>
    <row r="102" spans="7:39" ht="12.75" customHeight="1">
      <c r="G102" s="344"/>
      <c r="H102" s="345">
        <v>46181</v>
      </c>
      <c r="I102" s="8" t="s">
        <v>87</v>
      </c>
      <c r="J102" s="8" t="s">
        <v>91</v>
      </c>
      <c r="K102" s="8" t="s">
        <v>2701</v>
      </c>
      <c r="L102" s="8" t="s">
        <v>2348</v>
      </c>
      <c r="M102" s="8" t="s">
        <v>2702</v>
      </c>
      <c r="N102" s="7">
        <v>46181</v>
      </c>
      <c r="O102" s="8" t="s">
        <v>15</v>
      </c>
      <c r="P102" s="8" t="s">
        <v>57</v>
      </c>
      <c r="Q102" s="8" t="s">
        <v>57</v>
      </c>
      <c r="R102" s="8" t="s">
        <v>58</v>
      </c>
      <c r="S102" s="8" t="s">
        <v>16</v>
      </c>
      <c r="T102" s="9">
        <v>426</v>
      </c>
      <c r="U102" s="9">
        <v>79444.740000000005</v>
      </c>
      <c r="V102" s="8" t="s">
        <v>16</v>
      </c>
      <c r="W102" s="8">
        <v>2336934.73</v>
      </c>
      <c r="X102" s="8">
        <v>9</v>
      </c>
      <c r="Y102" s="8">
        <v>7150.03</v>
      </c>
      <c r="Z102" s="8">
        <v>9</v>
      </c>
      <c r="AA102" s="8">
        <v>7150.03</v>
      </c>
      <c r="AB102" s="8">
        <v>0</v>
      </c>
      <c r="AC102" s="8">
        <v>0</v>
      </c>
      <c r="AD102" s="8">
        <v>0</v>
      </c>
      <c r="AE102" s="8">
        <v>14300.06</v>
      </c>
      <c r="AF102" s="8">
        <v>0</v>
      </c>
      <c r="AG102" s="8" t="s">
        <v>65</v>
      </c>
      <c r="AH102" s="8" t="s">
        <v>11</v>
      </c>
      <c r="AI102" s="8">
        <v>63053200</v>
      </c>
      <c r="AJ102" s="8" t="s">
        <v>60</v>
      </c>
      <c r="AK102" s="8">
        <v>1</v>
      </c>
      <c r="AL102" s="8">
        <v>426</v>
      </c>
      <c r="AM102" s="8" t="s">
        <v>1905</v>
      </c>
    </row>
    <row r="103" spans="7:39" ht="12.75" customHeight="1">
      <c r="G103" s="344"/>
      <c r="H103" s="345">
        <v>46181</v>
      </c>
      <c r="I103" s="8" t="s">
        <v>87</v>
      </c>
      <c r="J103" s="8" t="s">
        <v>91</v>
      </c>
      <c r="K103" s="8" t="s">
        <v>2701</v>
      </c>
      <c r="L103" s="8" t="s">
        <v>2348</v>
      </c>
      <c r="M103" s="8" t="s">
        <v>2702</v>
      </c>
      <c r="N103" s="7">
        <v>46181</v>
      </c>
      <c r="O103" s="8" t="s">
        <v>15</v>
      </c>
      <c r="P103" s="8" t="s">
        <v>57</v>
      </c>
      <c r="Q103" s="8" t="s">
        <v>57</v>
      </c>
      <c r="R103" s="8" t="s">
        <v>58</v>
      </c>
      <c r="S103" s="8" t="s">
        <v>16</v>
      </c>
      <c r="T103" s="9">
        <v>10279.799999999999</v>
      </c>
      <c r="U103" s="9">
        <v>1902688.18</v>
      </c>
      <c r="V103" s="8" t="s">
        <v>16</v>
      </c>
      <c r="W103" s="8">
        <v>0</v>
      </c>
      <c r="X103" s="8">
        <v>9</v>
      </c>
      <c r="Y103" s="8">
        <v>171241.94</v>
      </c>
      <c r="Z103" s="8">
        <v>9</v>
      </c>
      <c r="AA103" s="8">
        <v>171241.94</v>
      </c>
      <c r="AB103" s="8">
        <v>0</v>
      </c>
      <c r="AC103" s="8">
        <v>0</v>
      </c>
      <c r="AD103" s="8">
        <v>0</v>
      </c>
      <c r="AE103" s="8">
        <v>342483.88</v>
      </c>
      <c r="AF103" s="8">
        <v>0</v>
      </c>
      <c r="AG103" s="8" t="s">
        <v>65</v>
      </c>
      <c r="AH103" s="8" t="s">
        <v>11</v>
      </c>
      <c r="AI103" s="8">
        <v>63053200</v>
      </c>
      <c r="AJ103" s="8" t="s">
        <v>60</v>
      </c>
      <c r="AK103" s="8">
        <v>1</v>
      </c>
      <c r="AL103" s="8">
        <v>10279.799999999999</v>
      </c>
      <c r="AM103" s="8" t="s">
        <v>1905</v>
      </c>
    </row>
    <row r="104" spans="7:39" ht="12.75" customHeight="1">
      <c r="G104" s="344"/>
      <c r="H104" s="345">
        <v>46181</v>
      </c>
      <c r="I104" s="8" t="s">
        <v>87</v>
      </c>
      <c r="J104" s="8" t="s">
        <v>91</v>
      </c>
      <c r="K104" s="8" t="s">
        <v>2703</v>
      </c>
      <c r="L104" s="8" t="s">
        <v>98</v>
      </c>
      <c r="M104" s="8" t="s">
        <v>2704</v>
      </c>
      <c r="N104" s="7">
        <v>46120</v>
      </c>
      <c r="O104" s="8" t="s">
        <v>8</v>
      </c>
      <c r="P104" s="8" t="s">
        <v>625</v>
      </c>
      <c r="Q104" s="8" t="s">
        <v>625</v>
      </c>
      <c r="R104" s="8" t="s">
        <v>69</v>
      </c>
      <c r="S104" s="8" t="s">
        <v>743</v>
      </c>
      <c r="T104" s="9">
        <v>8400</v>
      </c>
      <c r="U104" s="9">
        <v>29711.64</v>
      </c>
      <c r="V104" s="8" t="s">
        <v>743</v>
      </c>
      <c r="W104" s="8">
        <v>1417703.19</v>
      </c>
      <c r="X104" s="8">
        <v>9</v>
      </c>
      <c r="Y104" s="8">
        <v>2674.05</v>
      </c>
      <c r="Z104" s="8">
        <v>9</v>
      </c>
      <c r="AA104" s="8">
        <v>2674.05</v>
      </c>
      <c r="AB104" s="8">
        <v>0</v>
      </c>
      <c r="AC104" s="8">
        <v>0</v>
      </c>
      <c r="AD104" s="8">
        <v>0</v>
      </c>
      <c r="AE104" s="8">
        <v>5348.1</v>
      </c>
      <c r="AF104" s="8">
        <v>0</v>
      </c>
      <c r="AG104" s="8" t="s">
        <v>65</v>
      </c>
      <c r="AH104" s="8" t="s">
        <v>1</v>
      </c>
      <c r="AI104" s="8">
        <v>39232100</v>
      </c>
      <c r="AJ104" s="8" t="s">
        <v>60</v>
      </c>
      <c r="AK104" s="8">
        <v>1</v>
      </c>
      <c r="AL104" s="8">
        <v>8400</v>
      </c>
      <c r="AM104" s="8" t="s">
        <v>1905</v>
      </c>
    </row>
    <row r="105" spans="7:39" ht="12.75" customHeight="1">
      <c r="G105" s="344"/>
      <c r="H105" s="345">
        <v>46181</v>
      </c>
      <c r="I105" s="8" t="s">
        <v>87</v>
      </c>
      <c r="J105" s="8" t="s">
        <v>91</v>
      </c>
      <c r="K105" s="8" t="s">
        <v>2703</v>
      </c>
      <c r="L105" s="8" t="s">
        <v>98</v>
      </c>
      <c r="M105" s="8" t="s">
        <v>2704</v>
      </c>
      <c r="N105" s="7">
        <v>46120</v>
      </c>
      <c r="O105" s="8" t="s">
        <v>13</v>
      </c>
      <c r="P105" s="8" t="s">
        <v>80</v>
      </c>
      <c r="Q105" s="8" t="s">
        <v>81</v>
      </c>
      <c r="R105" s="8" t="s">
        <v>82</v>
      </c>
      <c r="S105" s="8" t="s">
        <v>17</v>
      </c>
      <c r="T105" s="9">
        <v>6233</v>
      </c>
      <c r="U105" s="9">
        <v>1102368.3799999999</v>
      </c>
      <c r="V105" s="8" t="s">
        <v>17</v>
      </c>
      <c r="W105" s="8">
        <v>0</v>
      </c>
      <c r="X105" s="8">
        <v>9</v>
      </c>
      <c r="Y105" s="8">
        <v>99213.15</v>
      </c>
      <c r="Z105" s="8">
        <v>9</v>
      </c>
      <c r="AA105" s="8">
        <v>99213.15</v>
      </c>
      <c r="AB105" s="8">
        <v>0</v>
      </c>
      <c r="AC105" s="8">
        <v>0</v>
      </c>
      <c r="AD105" s="8">
        <v>0</v>
      </c>
      <c r="AE105" s="8">
        <v>198426.3</v>
      </c>
      <c r="AF105" s="8">
        <v>0</v>
      </c>
      <c r="AG105" s="8" t="s">
        <v>65</v>
      </c>
      <c r="AH105" s="8" t="s">
        <v>11</v>
      </c>
      <c r="AI105" s="8">
        <v>39200000</v>
      </c>
      <c r="AJ105" s="8" t="s">
        <v>60</v>
      </c>
      <c r="AK105" s="8">
        <v>1</v>
      </c>
      <c r="AL105" s="8">
        <v>6233</v>
      </c>
      <c r="AM105" s="8" t="s">
        <v>1905</v>
      </c>
    </row>
    <row r="106" spans="7:39" ht="12.75" customHeight="1">
      <c r="G106" s="344"/>
      <c r="H106" s="345">
        <v>46181</v>
      </c>
      <c r="I106" s="8" t="s">
        <v>87</v>
      </c>
      <c r="J106" s="8" t="s">
        <v>91</v>
      </c>
      <c r="K106" s="8" t="s">
        <v>2703</v>
      </c>
      <c r="L106" s="8" t="s">
        <v>98</v>
      </c>
      <c r="M106" s="8" t="s">
        <v>2704</v>
      </c>
      <c r="N106" s="7">
        <v>46120</v>
      </c>
      <c r="O106" s="8" t="s">
        <v>13</v>
      </c>
      <c r="P106" s="8" t="s">
        <v>2152</v>
      </c>
      <c r="Q106" s="8" t="s">
        <v>123</v>
      </c>
      <c r="R106" s="8" t="s">
        <v>622</v>
      </c>
      <c r="S106" s="8" t="s">
        <v>12</v>
      </c>
      <c r="T106" s="9">
        <v>421.8</v>
      </c>
      <c r="U106" s="9">
        <v>70381.55</v>
      </c>
      <c r="V106" s="8" t="s">
        <v>12</v>
      </c>
      <c r="W106" s="8">
        <v>0</v>
      </c>
      <c r="X106" s="8">
        <v>9</v>
      </c>
      <c r="Y106" s="8">
        <v>6334.34</v>
      </c>
      <c r="Z106" s="8">
        <v>9</v>
      </c>
      <c r="AA106" s="8">
        <v>6334.34</v>
      </c>
      <c r="AB106" s="8">
        <v>0</v>
      </c>
      <c r="AC106" s="8">
        <v>0</v>
      </c>
      <c r="AD106" s="8">
        <v>0</v>
      </c>
      <c r="AE106" s="8">
        <v>12668.68</v>
      </c>
      <c r="AF106" s="8">
        <v>0</v>
      </c>
      <c r="AG106" s="8" t="s">
        <v>65</v>
      </c>
      <c r="AH106" s="8" t="s">
        <v>11</v>
      </c>
      <c r="AI106" s="8">
        <v>3920101</v>
      </c>
      <c r="AJ106" s="8" t="s">
        <v>60</v>
      </c>
      <c r="AK106" s="8">
        <v>1</v>
      </c>
      <c r="AL106" s="8">
        <v>421.8</v>
      </c>
      <c r="AM106" s="8" t="s">
        <v>1905</v>
      </c>
    </row>
    <row r="107" spans="7:39" ht="12.75" customHeight="1">
      <c r="G107" s="344"/>
      <c r="H107" s="345">
        <v>46181</v>
      </c>
      <c r="I107" s="8" t="s">
        <v>87</v>
      </c>
      <c r="J107" s="8" t="s">
        <v>91</v>
      </c>
      <c r="K107" s="8" t="s">
        <v>2705</v>
      </c>
      <c r="L107" s="8" t="s">
        <v>98</v>
      </c>
      <c r="M107" s="8" t="s">
        <v>2706</v>
      </c>
      <c r="N107" s="7">
        <v>46181</v>
      </c>
      <c r="O107" s="8" t="s">
        <v>13</v>
      </c>
      <c r="P107" s="8" t="s">
        <v>2152</v>
      </c>
      <c r="Q107" s="8" t="s">
        <v>123</v>
      </c>
      <c r="R107" s="8" t="s">
        <v>622</v>
      </c>
      <c r="S107" s="8" t="s">
        <v>12</v>
      </c>
      <c r="T107" s="9">
        <v>326.10000000000002</v>
      </c>
      <c r="U107" s="9">
        <v>54413.05</v>
      </c>
      <c r="V107" s="8" t="s">
        <v>12</v>
      </c>
      <c r="W107" s="8">
        <v>1547752.62</v>
      </c>
      <c r="X107" s="8">
        <v>9</v>
      </c>
      <c r="Y107" s="8">
        <v>4897.17</v>
      </c>
      <c r="Z107" s="8">
        <v>9</v>
      </c>
      <c r="AA107" s="8">
        <v>4897.17</v>
      </c>
      <c r="AB107" s="8">
        <v>0</v>
      </c>
      <c r="AC107" s="8">
        <v>0</v>
      </c>
      <c r="AD107" s="8">
        <v>0</v>
      </c>
      <c r="AE107" s="8">
        <v>9794.34</v>
      </c>
      <c r="AF107" s="8">
        <v>0</v>
      </c>
      <c r="AG107" s="8" t="s">
        <v>65</v>
      </c>
      <c r="AH107" s="8" t="s">
        <v>11</v>
      </c>
      <c r="AI107" s="8">
        <v>3920101</v>
      </c>
      <c r="AJ107" s="8" t="s">
        <v>60</v>
      </c>
      <c r="AK107" s="8">
        <v>1</v>
      </c>
      <c r="AL107" s="8">
        <v>326.10000000000002</v>
      </c>
      <c r="AM107" s="8" t="s">
        <v>1905</v>
      </c>
    </row>
    <row r="108" spans="7:39" ht="12.75" customHeight="1">
      <c r="G108" s="344"/>
      <c r="H108" s="345">
        <v>46181</v>
      </c>
      <c r="I108" s="8" t="s">
        <v>87</v>
      </c>
      <c r="J108" s="8" t="s">
        <v>91</v>
      </c>
      <c r="K108" s="8" t="s">
        <v>2705</v>
      </c>
      <c r="L108" s="8" t="s">
        <v>98</v>
      </c>
      <c r="M108" s="8" t="s">
        <v>2706</v>
      </c>
      <c r="N108" s="7">
        <v>46181</v>
      </c>
      <c r="O108" s="8" t="s">
        <v>13</v>
      </c>
      <c r="P108" s="8" t="s">
        <v>80</v>
      </c>
      <c r="Q108" s="8" t="s">
        <v>81</v>
      </c>
      <c r="R108" s="8" t="s">
        <v>82</v>
      </c>
      <c r="S108" s="8" t="s">
        <v>17</v>
      </c>
      <c r="T108" s="9">
        <v>4116</v>
      </c>
      <c r="U108" s="9">
        <v>727955.76</v>
      </c>
      <c r="V108" s="8" t="s">
        <v>17</v>
      </c>
      <c r="W108" s="8">
        <v>0</v>
      </c>
      <c r="X108" s="8">
        <v>9</v>
      </c>
      <c r="Y108" s="8">
        <v>65516.02</v>
      </c>
      <c r="Z108" s="8">
        <v>9</v>
      </c>
      <c r="AA108" s="8">
        <v>65516.02</v>
      </c>
      <c r="AB108" s="8">
        <v>0</v>
      </c>
      <c r="AC108" s="8">
        <v>0</v>
      </c>
      <c r="AD108" s="8">
        <v>0</v>
      </c>
      <c r="AE108" s="8">
        <v>131032.04</v>
      </c>
      <c r="AF108" s="8">
        <v>0</v>
      </c>
      <c r="AG108" s="8" t="s">
        <v>65</v>
      </c>
      <c r="AH108" s="8" t="s">
        <v>11</v>
      </c>
      <c r="AI108" s="8">
        <v>39200000</v>
      </c>
      <c r="AJ108" s="8" t="s">
        <v>60</v>
      </c>
      <c r="AK108" s="8">
        <v>1</v>
      </c>
      <c r="AL108" s="8">
        <v>4116</v>
      </c>
      <c r="AM108" s="8" t="s">
        <v>1905</v>
      </c>
    </row>
    <row r="109" spans="7:39" ht="12.75" customHeight="1">
      <c r="G109" s="344"/>
      <c r="H109" s="345">
        <v>46181</v>
      </c>
      <c r="I109" s="8" t="s">
        <v>87</v>
      </c>
      <c r="J109" s="8" t="s">
        <v>91</v>
      </c>
      <c r="K109" s="8" t="s">
        <v>2705</v>
      </c>
      <c r="L109" s="8" t="s">
        <v>98</v>
      </c>
      <c r="M109" s="8" t="s">
        <v>2706</v>
      </c>
      <c r="N109" s="7">
        <v>46181</v>
      </c>
      <c r="O109" s="8" t="s">
        <v>13</v>
      </c>
      <c r="P109" s="8" t="s">
        <v>62</v>
      </c>
      <c r="Q109" s="8" t="s">
        <v>63</v>
      </c>
      <c r="R109" s="8" t="s">
        <v>64</v>
      </c>
      <c r="S109" s="8" t="s">
        <v>19</v>
      </c>
      <c r="T109" s="9">
        <v>987</v>
      </c>
      <c r="U109" s="9">
        <v>140469.84</v>
      </c>
      <c r="V109" s="8" t="s">
        <v>19</v>
      </c>
      <c r="W109" s="8">
        <v>0</v>
      </c>
      <c r="X109" s="8">
        <v>9</v>
      </c>
      <c r="Y109" s="8">
        <v>12642.29</v>
      </c>
      <c r="Z109" s="8">
        <v>9</v>
      </c>
      <c r="AA109" s="8">
        <v>12642.29</v>
      </c>
      <c r="AB109" s="8">
        <v>0</v>
      </c>
      <c r="AC109" s="8">
        <v>0</v>
      </c>
      <c r="AD109" s="8">
        <v>0</v>
      </c>
      <c r="AE109" s="8">
        <v>25284.58</v>
      </c>
      <c r="AF109" s="8">
        <v>0</v>
      </c>
      <c r="AG109" s="8" t="s">
        <v>65</v>
      </c>
      <c r="AH109" s="8" t="s">
        <v>11</v>
      </c>
      <c r="AI109" s="8">
        <v>39269080</v>
      </c>
      <c r="AJ109" s="8" t="s">
        <v>60</v>
      </c>
      <c r="AK109" s="8">
        <v>1</v>
      </c>
      <c r="AL109" s="8">
        <v>987</v>
      </c>
      <c r="AM109" s="8" t="s">
        <v>1905</v>
      </c>
    </row>
    <row r="110" spans="7:39" ht="12.75" customHeight="1">
      <c r="G110" s="344"/>
      <c r="H110" s="345">
        <v>46181</v>
      </c>
      <c r="I110" s="8" t="s">
        <v>87</v>
      </c>
      <c r="J110" s="8" t="s">
        <v>91</v>
      </c>
      <c r="K110" s="8" t="s">
        <v>2705</v>
      </c>
      <c r="L110" s="8" t="s">
        <v>98</v>
      </c>
      <c r="M110" s="8" t="s">
        <v>2706</v>
      </c>
      <c r="N110" s="7">
        <v>46181</v>
      </c>
      <c r="O110" s="8" t="s">
        <v>13</v>
      </c>
      <c r="P110" s="8" t="s">
        <v>24</v>
      </c>
      <c r="Q110" s="8" t="s">
        <v>79</v>
      </c>
      <c r="R110" s="8" t="s">
        <v>79</v>
      </c>
      <c r="S110" s="8" t="s">
        <v>24</v>
      </c>
      <c r="T110" s="9">
        <v>1796</v>
      </c>
      <c r="U110" s="9">
        <v>264586.71999999997</v>
      </c>
      <c r="V110" s="8" t="s">
        <v>24</v>
      </c>
      <c r="W110" s="8">
        <v>0</v>
      </c>
      <c r="X110" s="8">
        <v>9</v>
      </c>
      <c r="Y110" s="8">
        <v>23812.799999999999</v>
      </c>
      <c r="Z110" s="8">
        <v>9</v>
      </c>
      <c r="AA110" s="8">
        <v>23812.799999999999</v>
      </c>
      <c r="AB110" s="8">
        <v>0</v>
      </c>
      <c r="AC110" s="8">
        <v>0</v>
      </c>
      <c r="AD110" s="8">
        <v>0</v>
      </c>
      <c r="AE110" s="8">
        <v>47625.599999999999</v>
      </c>
      <c r="AF110" s="8">
        <v>0</v>
      </c>
      <c r="AG110" s="8" t="s">
        <v>65</v>
      </c>
      <c r="AH110" s="8" t="s">
        <v>11</v>
      </c>
      <c r="AI110" s="8">
        <v>3926908</v>
      </c>
      <c r="AJ110" s="8" t="s">
        <v>60</v>
      </c>
      <c r="AK110" s="8">
        <v>1</v>
      </c>
      <c r="AL110" s="8">
        <v>1796</v>
      </c>
      <c r="AM110" s="8" t="s">
        <v>1905</v>
      </c>
    </row>
    <row r="111" spans="7:39" ht="12.75" customHeight="1">
      <c r="G111" s="344"/>
      <c r="H111" s="345">
        <v>46181</v>
      </c>
      <c r="I111" s="8" t="s">
        <v>87</v>
      </c>
      <c r="J111" s="8" t="s">
        <v>91</v>
      </c>
      <c r="K111" s="8" t="s">
        <v>2705</v>
      </c>
      <c r="L111" s="8" t="s">
        <v>98</v>
      </c>
      <c r="M111" s="8" t="s">
        <v>2706</v>
      </c>
      <c r="N111" s="7">
        <v>46181</v>
      </c>
      <c r="O111" s="8" t="s">
        <v>13</v>
      </c>
      <c r="P111" s="8" t="s">
        <v>24</v>
      </c>
      <c r="Q111" s="8" t="s">
        <v>79</v>
      </c>
      <c r="R111" s="8" t="s">
        <v>79</v>
      </c>
      <c r="S111" s="8" t="s">
        <v>24</v>
      </c>
      <c r="T111" s="9">
        <v>868.5</v>
      </c>
      <c r="U111" s="9">
        <v>125341.92</v>
      </c>
      <c r="V111" s="8" t="s">
        <v>24</v>
      </c>
      <c r="W111" s="8">
        <v>0</v>
      </c>
      <c r="X111" s="8">
        <v>9</v>
      </c>
      <c r="Y111" s="8">
        <v>11280.77</v>
      </c>
      <c r="Z111" s="8">
        <v>9</v>
      </c>
      <c r="AA111" s="8">
        <v>11280.77</v>
      </c>
      <c r="AB111" s="8">
        <v>0</v>
      </c>
      <c r="AC111" s="8">
        <v>0</v>
      </c>
      <c r="AD111" s="8">
        <v>0</v>
      </c>
      <c r="AE111" s="8">
        <v>22561.54</v>
      </c>
      <c r="AF111" s="8">
        <v>0</v>
      </c>
      <c r="AG111" s="8" t="s">
        <v>65</v>
      </c>
      <c r="AH111" s="8" t="s">
        <v>11</v>
      </c>
      <c r="AI111" s="8">
        <v>3926908</v>
      </c>
      <c r="AJ111" s="8" t="s">
        <v>60</v>
      </c>
      <c r="AK111" s="8">
        <v>1</v>
      </c>
      <c r="AL111" s="8">
        <v>868.5</v>
      </c>
      <c r="AM111" s="8" t="s">
        <v>1905</v>
      </c>
    </row>
    <row r="112" spans="7:39" ht="12.75" customHeight="1">
      <c r="G112" s="344"/>
      <c r="H112" s="345">
        <v>46181</v>
      </c>
      <c r="I112" s="8" t="s">
        <v>87</v>
      </c>
      <c r="J112" s="8" t="s">
        <v>91</v>
      </c>
      <c r="K112" s="8" t="s">
        <v>2707</v>
      </c>
      <c r="L112" s="8" t="s">
        <v>98</v>
      </c>
      <c r="M112" s="8" t="s">
        <v>2708</v>
      </c>
      <c r="N112" s="7">
        <v>46181</v>
      </c>
      <c r="O112" s="8" t="s">
        <v>13</v>
      </c>
      <c r="P112" s="8" t="s">
        <v>62</v>
      </c>
      <c r="Q112" s="8" t="s">
        <v>63</v>
      </c>
      <c r="R112" s="8" t="s">
        <v>64</v>
      </c>
      <c r="S112" s="8" t="s">
        <v>19</v>
      </c>
      <c r="T112" s="9">
        <v>8930</v>
      </c>
      <c r="U112" s="9">
        <v>1270917.6000000001</v>
      </c>
      <c r="V112" s="8" t="s">
        <v>19</v>
      </c>
      <c r="W112" s="8">
        <v>1930431.01</v>
      </c>
      <c r="X112" s="8">
        <v>9</v>
      </c>
      <c r="Y112" s="8">
        <v>114382.58</v>
      </c>
      <c r="Z112" s="8">
        <v>9</v>
      </c>
      <c r="AA112" s="8">
        <v>114382.58</v>
      </c>
      <c r="AB112" s="8">
        <v>0</v>
      </c>
      <c r="AC112" s="8">
        <v>0</v>
      </c>
      <c r="AD112" s="8">
        <v>0</v>
      </c>
      <c r="AE112" s="8">
        <v>228765.16</v>
      </c>
      <c r="AF112" s="8">
        <v>0</v>
      </c>
      <c r="AG112" s="8" t="s">
        <v>65</v>
      </c>
      <c r="AH112" s="8" t="s">
        <v>11</v>
      </c>
      <c r="AI112" s="8">
        <v>39269080</v>
      </c>
      <c r="AJ112" s="8" t="s">
        <v>60</v>
      </c>
      <c r="AK112" s="8">
        <v>1</v>
      </c>
      <c r="AL112" s="8">
        <v>8930</v>
      </c>
      <c r="AM112" s="8" t="s">
        <v>1905</v>
      </c>
    </row>
    <row r="113" spans="7:39" ht="12.75" customHeight="1">
      <c r="G113" s="344"/>
      <c r="H113" s="345">
        <v>46181</v>
      </c>
      <c r="I113" s="8" t="s">
        <v>87</v>
      </c>
      <c r="J113" s="8" t="s">
        <v>91</v>
      </c>
      <c r="K113" s="8" t="s">
        <v>2707</v>
      </c>
      <c r="L113" s="8" t="s">
        <v>98</v>
      </c>
      <c r="M113" s="8" t="s">
        <v>2708</v>
      </c>
      <c r="N113" s="7">
        <v>46181</v>
      </c>
      <c r="O113" s="8" t="s">
        <v>13</v>
      </c>
      <c r="P113" s="8" t="s">
        <v>62</v>
      </c>
      <c r="Q113" s="8" t="s">
        <v>76</v>
      </c>
      <c r="R113" s="8" t="s">
        <v>77</v>
      </c>
      <c r="S113" s="8" t="s">
        <v>21</v>
      </c>
      <c r="T113" s="9">
        <v>1032</v>
      </c>
      <c r="U113" s="9">
        <v>148938.23999999999</v>
      </c>
      <c r="V113" s="8" t="s">
        <v>21</v>
      </c>
      <c r="W113" s="8">
        <v>0</v>
      </c>
      <c r="X113" s="8">
        <v>9</v>
      </c>
      <c r="Y113" s="8">
        <v>13404.44</v>
      </c>
      <c r="Z113" s="8">
        <v>9</v>
      </c>
      <c r="AA113" s="8">
        <v>13404.44</v>
      </c>
      <c r="AB113" s="8">
        <v>0</v>
      </c>
      <c r="AC113" s="8">
        <v>0</v>
      </c>
      <c r="AD113" s="8">
        <v>0</v>
      </c>
      <c r="AE113" s="8">
        <v>26808.880000000001</v>
      </c>
      <c r="AF113" s="8">
        <v>0</v>
      </c>
      <c r="AG113" s="8" t="s">
        <v>65</v>
      </c>
      <c r="AH113" s="8" t="s">
        <v>11</v>
      </c>
      <c r="AI113" s="8">
        <v>63053300</v>
      </c>
      <c r="AJ113" s="8" t="s">
        <v>60</v>
      </c>
      <c r="AK113" s="8">
        <v>1</v>
      </c>
      <c r="AL113" s="8">
        <v>1032</v>
      </c>
      <c r="AM113" s="8" t="s">
        <v>1905</v>
      </c>
    </row>
    <row r="114" spans="7:39" ht="12.75" customHeight="1">
      <c r="G114" s="344"/>
      <c r="H114" s="345">
        <v>46181</v>
      </c>
      <c r="I114" s="8" t="s">
        <v>87</v>
      </c>
      <c r="J114" s="8" t="s">
        <v>91</v>
      </c>
      <c r="K114" s="8" t="s">
        <v>2707</v>
      </c>
      <c r="L114" s="8" t="s">
        <v>98</v>
      </c>
      <c r="M114" s="8" t="s">
        <v>2708</v>
      </c>
      <c r="N114" s="7">
        <v>46181</v>
      </c>
      <c r="O114" s="8" t="s">
        <v>13</v>
      </c>
      <c r="P114" s="8" t="s">
        <v>62</v>
      </c>
      <c r="Q114" s="8" t="s">
        <v>63</v>
      </c>
      <c r="R114" s="8" t="s">
        <v>64</v>
      </c>
      <c r="S114" s="8" t="s">
        <v>19</v>
      </c>
      <c r="T114" s="9">
        <v>1507</v>
      </c>
      <c r="U114" s="9">
        <v>217490.24</v>
      </c>
      <c r="V114" s="8" t="s">
        <v>19</v>
      </c>
      <c r="W114" s="8">
        <v>0</v>
      </c>
      <c r="X114" s="8">
        <v>9</v>
      </c>
      <c r="Y114" s="8">
        <v>19574.12</v>
      </c>
      <c r="Z114" s="8">
        <v>9</v>
      </c>
      <c r="AA114" s="8">
        <v>19574.12</v>
      </c>
      <c r="AB114" s="8">
        <v>0</v>
      </c>
      <c r="AC114" s="8">
        <v>0</v>
      </c>
      <c r="AD114" s="8">
        <v>0</v>
      </c>
      <c r="AE114" s="8">
        <v>39148.239999999998</v>
      </c>
      <c r="AF114" s="8">
        <v>0</v>
      </c>
      <c r="AG114" s="8" t="s">
        <v>65</v>
      </c>
      <c r="AH114" s="8" t="s">
        <v>11</v>
      </c>
      <c r="AI114" s="8">
        <v>39269080</v>
      </c>
      <c r="AJ114" s="8" t="s">
        <v>60</v>
      </c>
      <c r="AK114" s="8">
        <v>1</v>
      </c>
      <c r="AL114" s="8">
        <v>1507</v>
      </c>
      <c r="AM114" s="8" t="s">
        <v>1905</v>
      </c>
    </row>
    <row r="115" spans="7:39" ht="12.75" customHeight="1">
      <c r="G115" s="344"/>
      <c r="H115" s="345">
        <v>46181</v>
      </c>
      <c r="I115" s="8" t="s">
        <v>89</v>
      </c>
      <c r="J115" s="8" t="s">
        <v>91</v>
      </c>
      <c r="K115" s="8" t="s">
        <v>2709</v>
      </c>
      <c r="L115" s="8" t="s">
        <v>2348</v>
      </c>
      <c r="M115" s="8" t="s">
        <v>2710</v>
      </c>
      <c r="N115" s="7">
        <v>46150</v>
      </c>
      <c r="O115" s="8" t="s">
        <v>15</v>
      </c>
      <c r="P115" s="8" t="s">
        <v>57</v>
      </c>
      <c r="Q115" s="8" t="s">
        <v>57</v>
      </c>
      <c r="R115" s="8" t="s">
        <v>58</v>
      </c>
      <c r="S115" s="8" t="s">
        <v>16</v>
      </c>
      <c r="T115" s="9">
        <v>1035</v>
      </c>
      <c r="U115" s="9">
        <v>200520.9</v>
      </c>
      <c r="V115" s="8" t="s">
        <v>16</v>
      </c>
      <c r="W115" s="8">
        <v>488407.78</v>
      </c>
      <c r="X115" s="8">
        <v>9</v>
      </c>
      <c r="Y115" s="8">
        <v>18046.88</v>
      </c>
      <c r="Z115" s="8">
        <v>9</v>
      </c>
      <c r="AA115" s="8">
        <v>18046.88</v>
      </c>
      <c r="AB115" s="8">
        <v>0</v>
      </c>
      <c r="AC115" s="8">
        <v>0</v>
      </c>
      <c r="AD115" s="8">
        <v>0</v>
      </c>
      <c r="AE115" s="8">
        <v>36093.760000000002</v>
      </c>
      <c r="AF115" s="8">
        <v>0</v>
      </c>
      <c r="AG115" s="8" t="s">
        <v>65</v>
      </c>
      <c r="AH115" s="8" t="s">
        <v>11</v>
      </c>
      <c r="AI115" s="8">
        <v>63053200</v>
      </c>
      <c r="AJ115" s="8" t="s">
        <v>60</v>
      </c>
      <c r="AK115" s="8">
        <v>1</v>
      </c>
      <c r="AL115" s="8">
        <v>1035</v>
      </c>
      <c r="AM115" s="8" t="s">
        <v>1905</v>
      </c>
    </row>
    <row r="116" spans="7:39" ht="12.75" customHeight="1">
      <c r="G116" s="344"/>
      <c r="H116" s="345">
        <v>46181</v>
      </c>
      <c r="I116" s="8" t="s">
        <v>89</v>
      </c>
      <c r="J116" s="8" t="s">
        <v>91</v>
      </c>
      <c r="K116" s="8" t="s">
        <v>2709</v>
      </c>
      <c r="L116" s="8" t="s">
        <v>2348</v>
      </c>
      <c r="M116" s="8" t="s">
        <v>2710</v>
      </c>
      <c r="N116" s="7">
        <v>46150</v>
      </c>
      <c r="O116" s="8" t="s">
        <v>15</v>
      </c>
      <c r="P116" s="8" t="s">
        <v>57</v>
      </c>
      <c r="Q116" s="8" t="s">
        <v>57</v>
      </c>
      <c r="R116" s="8" t="s">
        <v>58</v>
      </c>
      <c r="S116" s="8" t="s">
        <v>16</v>
      </c>
      <c r="T116" s="9">
        <v>1386</v>
      </c>
      <c r="U116" s="9">
        <v>213735.06</v>
      </c>
      <c r="V116" s="8" t="s">
        <v>16</v>
      </c>
      <c r="W116" s="8">
        <v>0</v>
      </c>
      <c r="X116" s="8">
        <v>9</v>
      </c>
      <c r="Y116" s="8">
        <v>19236.16</v>
      </c>
      <c r="Z116" s="8">
        <v>9</v>
      </c>
      <c r="AA116" s="8">
        <v>19236.16</v>
      </c>
      <c r="AB116" s="8">
        <v>0</v>
      </c>
      <c r="AC116" s="8">
        <v>0</v>
      </c>
      <c r="AD116" s="8">
        <v>0</v>
      </c>
      <c r="AE116" s="8">
        <v>38472.32</v>
      </c>
      <c r="AF116" s="8">
        <v>0</v>
      </c>
      <c r="AG116" s="8" t="s">
        <v>65</v>
      </c>
      <c r="AH116" s="8" t="s">
        <v>11</v>
      </c>
      <c r="AI116" s="8">
        <v>63053200</v>
      </c>
      <c r="AJ116" s="8" t="s">
        <v>60</v>
      </c>
      <c r="AK116" s="8">
        <v>1</v>
      </c>
      <c r="AL116" s="8">
        <v>1386</v>
      </c>
      <c r="AM116" s="8" t="s">
        <v>1905</v>
      </c>
    </row>
    <row r="117" spans="7:39" ht="12.75" customHeight="1">
      <c r="G117" s="344"/>
      <c r="H117" s="345">
        <v>46181</v>
      </c>
      <c r="I117" s="8" t="s">
        <v>2389</v>
      </c>
      <c r="J117" s="8" t="s">
        <v>96</v>
      </c>
      <c r="K117" s="8" t="s">
        <v>2711</v>
      </c>
      <c r="L117" s="8" t="s">
        <v>97</v>
      </c>
      <c r="M117" s="8" t="s">
        <v>2712</v>
      </c>
      <c r="N117" s="7" t="s">
        <v>2497</v>
      </c>
      <c r="O117" s="8" t="s">
        <v>2</v>
      </c>
      <c r="P117" s="8" t="s">
        <v>2378</v>
      </c>
      <c r="Q117" s="8" t="s">
        <v>68</v>
      </c>
      <c r="R117" s="8" t="s">
        <v>69</v>
      </c>
      <c r="S117" s="8" t="s">
        <v>2713</v>
      </c>
      <c r="T117" s="9">
        <v>5</v>
      </c>
      <c r="U117" s="9">
        <v>180.4</v>
      </c>
      <c r="V117" s="8" t="s">
        <v>2713</v>
      </c>
      <c r="W117" s="8">
        <v>590</v>
      </c>
      <c r="X117" s="8">
        <v>9</v>
      </c>
      <c r="Y117" s="8">
        <v>16.239999999999998</v>
      </c>
      <c r="Z117" s="8">
        <v>9</v>
      </c>
      <c r="AA117" s="8">
        <v>16.239999999999998</v>
      </c>
      <c r="AB117" s="8">
        <v>0</v>
      </c>
      <c r="AC117" s="8">
        <v>0</v>
      </c>
      <c r="AD117" s="8">
        <v>0</v>
      </c>
      <c r="AE117" s="8">
        <v>32.479999999999997</v>
      </c>
      <c r="AF117" s="8">
        <v>0</v>
      </c>
      <c r="AG117" s="8" t="s">
        <v>2714</v>
      </c>
      <c r="AH117" s="8" t="s">
        <v>1</v>
      </c>
      <c r="AI117" s="8">
        <v>84879000</v>
      </c>
      <c r="AJ117" s="8" t="s">
        <v>60</v>
      </c>
      <c r="AK117" s="8">
        <v>1</v>
      </c>
      <c r="AL117" s="8">
        <v>0</v>
      </c>
      <c r="AM117" s="8" t="s">
        <v>1905</v>
      </c>
    </row>
    <row r="118" spans="7:39" ht="12.75" customHeight="1">
      <c r="G118" s="344"/>
      <c r="H118" s="345">
        <v>46181</v>
      </c>
      <c r="I118" s="8" t="s">
        <v>2389</v>
      </c>
      <c r="J118" s="8" t="s">
        <v>96</v>
      </c>
      <c r="K118" s="8" t="s">
        <v>2711</v>
      </c>
      <c r="L118" s="8" t="s">
        <v>97</v>
      </c>
      <c r="M118" s="8" t="s">
        <v>2712</v>
      </c>
      <c r="N118" s="7" t="s">
        <v>2497</v>
      </c>
      <c r="O118" s="8" t="s">
        <v>2</v>
      </c>
      <c r="P118" s="8" t="s">
        <v>2378</v>
      </c>
      <c r="Q118" s="8" t="s">
        <v>68</v>
      </c>
      <c r="R118" s="8" t="s">
        <v>69</v>
      </c>
      <c r="S118" s="8" t="s">
        <v>2715</v>
      </c>
      <c r="T118" s="9">
        <v>10</v>
      </c>
      <c r="U118" s="9">
        <v>319.8</v>
      </c>
      <c r="V118" s="8" t="s">
        <v>2715</v>
      </c>
      <c r="W118" s="8">
        <v>0</v>
      </c>
      <c r="X118" s="8">
        <v>9</v>
      </c>
      <c r="Y118" s="8">
        <v>28.78</v>
      </c>
      <c r="Z118" s="8">
        <v>9</v>
      </c>
      <c r="AA118" s="8">
        <v>28.78</v>
      </c>
      <c r="AB118" s="8">
        <v>0</v>
      </c>
      <c r="AC118" s="8">
        <v>0</v>
      </c>
      <c r="AD118" s="8">
        <v>0</v>
      </c>
      <c r="AE118" s="8">
        <v>57.56</v>
      </c>
      <c r="AF118" s="8">
        <v>0</v>
      </c>
      <c r="AG118" s="8" t="s">
        <v>2714</v>
      </c>
      <c r="AH118" s="8" t="s">
        <v>1</v>
      </c>
      <c r="AI118" s="8">
        <v>84879000</v>
      </c>
      <c r="AJ118" s="8" t="s">
        <v>60</v>
      </c>
      <c r="AK118" s="8">
        <v>1</v>
      </c>
      <c r="AL118" s="8">
        <v>0</v>
      </c>
      <c r="AM118" s="8" t="s">
        <v>1905</v>
      </c>
    </row>
    <row r="119" spans="7:39" ht="12.75" customHeight="1">
      <c r="G119" s="344"/>
      <c r="H119" s="345">
        <v>46211</v>
      </c>
      <c r="I119" s="8" t="s">
        <v>2384</v>
      </c>
      <c r="J119" s="8" t="s">
        <v>96</v>
      </c>
      <c r="K119" s="8" t="s">
        <v>2716</v>
      </c>
      <c r="L119" s="8" t="s">
        <v>97</v>
      </c>
      <c r="M119" s="8" t="s">
        <v>2717</v>
      </c>
      <c r="N119" s="7">
        <v>46150</v>
      </c>
      <c r="O119" s="8" t="s">
        <v>2</v>
      </c>
      <c r="P119" s="8" t="s">
        <v>2718</v>
      </c>
      <c r="Q119" s="8" t="s">
        <v>68</v>
      </c>
      <c r="R119" s="8" t="s">
        <v>69</v>
      </c>
      <c r="S119" s="8" t="s">
        <v>2719</v>
      </c>
      <c r="T119" s="9">
        <v>10</v>
      </c>
      <c r="U119" s="9">
        <v>1000</v>
      </c>
      <c r="V119" s="8" t="s">
        <v>2719</v>
      </c>
      <c r="W119" s="8">
        <v>1180</v>
      </c>
      <c r="X119" s="8">
        <v>9</v>
      </c>
      <c r="Y119" s="8">
        <v>90</v>
      </c>
      <c r="Z119" s="8">
        <v>9</v>
      </c>
      <c r="AA119" s="8">
        <v>90</v>
      </c>
      <c r="AB119" s="8">
        <v>0</v>
      </c>
      <c r="AC119" s="8">
        <v>0</v>
      </c>
      <c r="AD119" s="8">
        <v>0</v>
      </c>
      <c r="AE119" s="8">
        <v>180</v>
      </c>
      <c r="AF119" s="8">
        <v>0</v>
      </c>
      <c r="AG119" s="8" t="s">
        <v>2385</v>
      </c>
      <c r="AH119" s="8" t="s">
        <v>7</v>
      </c>
      <c r="AI119" s="8">
        <v>853690</v>
      </c>
      <c r="AJ119" s="8" t="s">
        <v>60</v>
      </c>
      <c r="AK119" s="8">
        <v>1</v>
      </c>
      <c r="AL119" s="8">
        <v>0</v>
      </c>
      <c r="AM119" s="8" t="s">
        <v>1905</v>
      </c>
    </row>
    <row r="120" spans="7:39" ht="12.75" customHeight="1">
      <c r="G120" s="344"/>
      <c r="H120" s="345">
        <v>46211</v>
      </c>
      <c r="I120" s="8" t="s">
        <v>2192</v>
      </c>
      <c r="J120" s="8" t="s">
        <v>96</v>
      </c>
      <c r="K120" s="8" t="s">
        <v>2720</v>
      </c>
      <c r="L120" s="8" t="s">
        <v>97</v>
      </c>
      <c r="M120" s="8" t="s">
        <v>2721</v>
      </c>
      <c r="N120" s="7">
        <v>46120</v>
      </c>
      <c r="O120" s="8" t="s">
        <v>2</v>
      </c>
      <c r="P120" s="8" t="s">
        <v>1662</v>
      </c>
      <c r="Q120" s="8" t="s">
        <v>68</v>
      </c>
      <c r="R120" s="8" t="s">
        <v>69</v>
      </c>
      <c r="S120" s="8" t="s">
        <v>2722</v>
      </c>
      <c r="T120" s="9">
        <v>15</v>
      </c>
      <c r="U120" s="9">
        <v>7740</v>
      </c>
      <c r="V120" s="8" t="s">
        <v>2722</v>
      </c>
      <c r="W120" s="8">
        <v>9186</v>
      </c>
      <c r="X120" s="8">
        <v>9</v>
      </c>
      <c r="Y120" s="8">
        <v>696.6</v>
      </c>
      <c r="Z120" s="8">
        <v>9</v>
      </c>
      <c r="AA120" s="8">
        <v>696.6</v>
      </c>
      <c r="AB120" s="8">
        <v>0</v>
      </c>
      <c r="AC120" s="8">
        <v>0</v>
      </c>
      <c r="AD120" s="8">
        <v>8.1</v>
      </c>
      <c r="AE120" s="8">
        <v>1401.3</v>
      </c>
      <c r="AF120" s="8">
        <v>0</v>
      </c>
      <c r="AG120" s="8" t="s">
        <v>2327</v>
      </c>
      <c r="AH120" s="8" t="s">
        <v>1</v>
      </c>
      <c r="AI120" s="8">
        <v>84529099</v>
      </c>
      <c r="AJ120" s="8" t="s">
        <v>60</v>
      </c>
      <c r="AK120" s="8">
        <v>1</v>
      </c>
      <c r="AL120" s="8">
        <v>0</v>
      </c>
      <c r="AM120" s="8" t="s">
        <v>1905</v>
      </c>
    </row>
    <row r="121" spans="7:39" ht="12.75" customHeight="1">
      <c r="G121" s="344"/>
      <c r="H121" s="345">
        <v>46211</v>
      </c>
      <c r="I121" s="8" t="s">
        <v>2428</v>
      </c>
      <c r="J121" s="8" t="s">
        <v>96</v>
      </c>
      <c r="K121" s="8" t="s">
        <v>2723</v>
      </c>
      <c r="L121" s="8" t="s">
        <v>97</v>
      </c>
      <c r="M121" s="8" t="s">
        <v>2724</v>
      </c>
      <c r="N121" s="7" t="s">
        <v>2484</v>
      </c>
      <c r="O121" s="8" t="s">
        <v>2</v>
      </c>
      <c r="P121" s="8" t="s">
        <v>112</v>
      </c>
      <c r="Q121" s="8" t="s">
        <v>68</v>
      </c>
      <c r="R121" s="8" t="s">
        <v>69</v>
      </c>
      <c r="S121" s="8" t="s">
        <v>2725</v>
      </c>
      <c r="T121" s="9">
        <v>104</v>
      </c>
      <c r="U121" s="9">
        <v>5148</v>
      </c>
      <c r="V121" s="8" t="s">
        <v>2725</v>
      </c>
      <c r="W121" s="8">
        <v>32241</v>
      </c>
      <c r="X121" s="8">
        <v>9</v>
      </c>
      <c r="Y121" s="8">
        <v>463.32</v>
      </c>
      <c r="Z121" s="8">
        <v>9</v>
      </c>
      <c r="AA121" s="8">
        <v>463.32</v>
      </c>
      <c r="AB121" s="8">
        <v>0</v>
      </c>
      <c r="AC121" s="8">
        <v>0</v>
      </c>
      <c r="AD121" s="8">
        <v>0</v>
      </c>
      <c r="AE121" s="8">
        <v>926.64</v>
      </c>
      <c r="AF121" s="8">
        <v>0</v>
      </c>
      <c r="AG121" s="8" t="s">
        <v>2726</v>
      </c>
      <c r="AH121" s="8" t="s">
        <v>3</v>
      </c>
      <c r="AI121" s="8">
        <v>721550</v>
      </c>
      <c r="AJ121" s="8" t="s">
        <v>60</v>
      </c>
      <c r="AK121" s="8">
        <v>1</v>
      </c>
      <c r="AL121" s="8">
        <v>0</v>
      </c>
      <c r="AM121" s="8" t="s">
        <v>1905</v>
      </c>
    </row>
    <row r="122" spans="7:39" ht="12.75" customHeight="1">
      <c r="G122" s="344"/>
      <c r="H122" s="345">
        <v>46211</v>
      </c>
      <c r="I122" s="8" t="s">
        <v>2428</v>
      </c>
      <c r="J122" s="8" t="s">
        <v>96</v>
      </c>
      <c r="K122" s="8" t="s">
        <v>2723</v>
      </c>
      <c r="L122" s="8" t="s">
        <v>97</v>
      </c>
      <c r="M122" s="8" t="s">
        <v>2724</v>
      </c>
      <c r="N122" s="7" t="s">
        <v>2484</v>
      </c>
      <c r="O122" s="8" t="s">
        <v>2</v>
      </c>
      <c r="P122" s="8" t="s">
        <v>67</v>
      </c>
      <c r="Q122" s="8" t="s">
        <v>68</v>
      </c>
      <c r="R122" s="8" t="s">
        <v>69</v>
      </c>
      <c r="S122" s="8" t="s">
        <v>2727</v>
      </c>
      <c r="T122" s="9">
        <v>163</v>
      </c>
      <c r="U122" s="9">
        <v>7987</v>
      </c>
      <c r="V122" s="8" t="s">
        <v>2727</v>
      </c>
      <c r="W122" s="8">
        <v>0</v>
      </c>
      <c r="X122" s="8">
        <v>9</v>
      </c>
      <c r="Y122" s="8">
        <v>718.83</v>
      </c>
      <c r="Z122" s="8">
        <v>9</v>
      </c>
      <c r="AA122" s="8">
        <v>718.83</v>
      </c>
      <c r="AB122" s="8">
        <v>0</v>
      </c>
      <c r="AC122" s="8">
        <v>0</v>
      </c>
      <c r="AD122" s="8">
        <v>0</v>
      </c>
      <c r="AE122" s="8">
        <v>1437.66</v>
      </c>
      <c r="AF122" s="8">
        <v>0</v>
      </c>
      <c r="AG122" s="8" t="s">
        <v>2726</v>
      </c>
      <c r="AH122" s="8" t="s">
        <v>3</v>
      </c>
      <c r="AI122" s="8">
        <v>72162100</v>
      </c>
      <c r="AJ122" s="8" t="s">
        <v>60</v>
      </c>
      <c r="AK122" s="8">
        <v>1</v>
      </c>
      <c r="AL122" s="8">
        <v>0</v>
      </c>
      <c r="AM122" s="8" t="s">
        <v>1905</v>
      </c>
    </row>
    <row r="123" spans="7:39" ht="12.75" customHeight="1">
      <c r="G123" s="344"/>
      <c r="H123" s="345">
        <v>46211</v>
      </c>
      <c r="I123" s="8" t="s">
        <v>2428</v>
      </c>
      <c r="J123" s="8" t="s">
        <v>96</v>
      </c>
      <c r="K123" s="8" t="s">
        <v>2723</v>
      </c>
      <c r="L123" s="8" t="s">
        <v>97</v>
      </c>
      <c r="M123" s="8" t="s">
        <v>2724</v>
      </c>
      <c r="N123" s="7" t="s">
        <v>2484</v>
      </c>
      <c r="O123" s="8" t="s">
        <v>2</v>
      </c>
      <c r="P123" s="8" t="s">
        <v>67</v>
      </c>
      <c r="Q123" s="8" t="s">
        <v>68</v>
      </c>
      <c r="R123" s="8" t="s">
        <v>69</v>
      </c>
      <c r="S123" s="8" t="s">
        <v>2728</v>
      </c>
      <c r="T123" s="9">
        <v>227</v>
      </c>
      <c r="U123" s="9">
        <v>14187.5</v>
      </c>
      <c r="V123" s="8" t="s">
        <v>2728</v>
      </c>
      <c r="W123" s="8">
        <v>0</v>
      </c>
      <c r="X123" s="8">
        <v>9</v>
      </c>
      <c r="Y123" s="8">
        <v>1276.8800000000001</v>
      </c>
      <c r="Z123" s="8">
        <v>9</v>
      </c>
      <c r="AA123" s="8">
        <v>1276.8800000000001</v>
      </c>
      <c r="AB123" s="8">
        <v>0</v>
      </c>
      <c r="AC123" s="8">
        <v>0</v>
      </c>
      <c r="AD123" s="8">
        <v>0</v>
      </c>
      <c r="AE123" s="8">
        <v>2553.7600000000002</v>
      </c>
      <c r="AF123" s="8">
        <v>0</v>
      </c>
      <c r="AG123" s="8" t="s">
        <v>2726</v>
      </c>
      <c r="AH123" s="8" t="s">
        <v>3</v>
      </c>
      <c r="AI123" s="8">
        <v>720825</v>
      </c>
      <c r="AJ123" s="8" t="s">
        <v>60</v>
      </c>
      <c r="AK123" s="8">
        <v>1</v>
      </c>
      <c r="AL123" s="8">
        <v>0</v>
      </c>
      <c r="AM123" s="8" t="s">
        <v>1905</v>
      </c>
    </row>
    <row r="124" spans="7:39" ht="12.75" customHeight="1">
      <c r="G124" s="344"/>
      <c r="H124" s="345">
        <v>46211</v>
      </c>
      <c r="I124" s="8" t="s">
        <v>2023</v>
      </c>
      <c r="J124" s="8" t="s">
        <v>96</v>
      </c>
      <c r="K124" s="8" t="s">
        <v>2729</v>
      </c>
      <c r="L124" s="8" t="s">
        <v>97</v>
      </c>
      <c r="M124" s="8">
        <v>262701470</v>
      </c>
      <c r="N124" s="7">
        <v>46150</v>
      </c>
      <c r="O124" s="8" t="s">
        <v>5</v>
      </c>
      <c r="P124" s="8" t="s">
        <v>2730</v>
      </c>
      <c r="Q124" s="8" t="s">
        <v>68</v>
      </c>
      <c r="R124" s="8" t="s">
        <v>69</v>
      </c>
      <c r="S124" s="8" t="s">
        <v>2731</v>
      </c>
      <c r="T124" s="9">
        <v>56</v>
      </c>
      <c r="U124" s="9">
        <v>56000</v>
      </c>
      <c r="V124" s="8" t="s">
        <v>2731</v>
      </c>
      <c r="W124" s="8">
        <v>58800</v>
      </c>
      <c r="X124" s="8">
        <v>2.5</v>
      </c>
      <c r="Y124" s="8">
        <v>1400</v>
      </c>
      <c r="Z124" s="8">
        <v>2.5</v>
      </c>
      <c r="AA124" s="8">
        <v>1400</v>
      </c>
      <c r="AB124" s="8">
        <v>0</v>
      </c>
      <c r="AC124" s="8">
        <v>0</v>
      </c>
      <c r="AD124" s="8">
        <v>0</v>
      </c>
      <c r="AE124" s="8">
        <v>2800</v>
      </c>
      <c r="AF124" s="8">
        <v>0</v>
      </c>
      <c r="AG124" s="8" t="s">
        <v>2732</v>
      </c>
      <c r="AH124" s="8" t="s">
        <v>2733</v>
      </c>
      <c r="AI124" s="8">
        <v>39199090</v>
      </c>
      <c r="AJ124" s="8" t="s">
        <v>60</v>
      </c>
      <c r="AK124" s="8">
        <v>1</v>
      </c>
      <c r="AL124" s="8">
        <v>0</v>
      </c>
      <c r="AM124" s="8" t="s">
        <v>1905</v>
      </c>
    </row>
    <row r="125" spans="7:39" ht="12.75" customHeight="1">
      <c r="G125" s="344"/>
      <c r="H125" s="345">
        <v>46211</v>
      </c>
      <c r="I125" s="8" t="s">
        <v>87</v>
      </c>
      <c r="J125" s="8" t="s">
        <v>96</v>
      </c>
      <c r="K125" s="8" t="s">
        <v>2734</v>
      </c>
      <c r="L125" s="8" t="s">
        <v>97</v>
      </c>
      <c r="M125" s="8" t="s">
        <v>2735</v>
      </c>
      <c r="N125" s="7">
        <v>46211</v>
      </c>
      <c r="O125" s="8" t="s">
        <v>2</v>
      </c>
      <c r="P125" s="8" t="s">
        <v>67</v>
      </c>
      <c r="Q125" s="8" t="s">
        <v>68</v>
      </c>
      <c r="R125" s="8" t="s">
        <v>69</v>
      </c>
      <c r="S125" s="8" t="s">
        <v>70</v>
      </c>
      <c r="T125" s="9">
        <v>424</v>
      </c>
      <c r="U125" s="9">
        <v>20352</v>
      </c>
      <c r="V125" s="8" t="s">
        <v>70</v>
      </c>
      <c r="W125" s="8">
        <v>23995.01</v>
      </c>
      <c r="X125" s="8">
        <v>9</v>
      </c>
      <c r="Y125" s="8">
        <v>1831.68</v>
      </c>
      <c r="Z125" s="8">
        <v>9</v>
      </c>
      <c r="AA125" s="8">
        <v>1831.68</v>
      </c>
      <c r="AB125" s="8">
        <v>0</v>
      </c>
      <c r="AC125" s="8">
        <v>0</v>
      </c>
      <c r="AD125" s="8">
        <v>0</v>
      </c>
      <c r="AE125" s="8">
        <v>3663.36</v>
      </c>
      <c r="AF125" s="8">
        <v>0</v>
      </c>
      <c r="AG125" s="8" t="s">
        <v>65</v>
      </c>
      <c r="AH125" s="8" t="s">
        <v>11</v>
      </c>
      <c r="AI125" s="8">
        <v>73063090</v>
      </c>
      <c r="AJ125" s="8" t="s">
        <v>60</v>
      </c>
      <c r="AK125" s="8">
        <v>1</v>
      </c>
      <c r="AL125" s="8">
        <v>0</v>
      </c>
      <c r="AM125" s="8" t="s">
        <v>1905</v>
      </c>
    </row>
    <row r="126" spans="7:39" ht="12.75" customHeight="1">
      <c r="G126" s="344"/>
      <c r="H126" s="345">
        <v>46211</v>
      </c>
      <c r="I126" s="8" t="s">
        <v>87</v>
      </c>
      <c r="J126" s="8" t="s">
        <v>91</v>
      </c>
      <c r="K126" s="8" t="s">
        <v>2736</v>
      </c>
      <c r="L126" s="8" t="s">
        <v>98</v>
      </c>
      <c r="M126" s="8" t="s">
        <v>2737</v>
      </c>
      <c r="N126" s="7">
        <v>46211</v>
      </c>
      <c r="O126" s="8" t="s">
        <v>13</v>
      </c>
      <c r="P126" s="8" t="s">
        <v>62</v>
      </c>
      <c r="Q126" s="8" t="s">
        <v>63</v>
      </c>
      <c r="R126" s="8" t="s">
        <v>64</v>
      </c>
      <c r="S126" s="8" t="s">
        <v>19</v>
      </c>
      <c r="T126" s="9">
        <v>6786</v>
      </c>
      <c r="U126" s="9">
        <v>965783.52</v>
      </c>
      <c r="V126" s="8" t="s">
        <v>19</v>
      </c>
      <c r="W126" s="8">
        <v>1325316.92</v>
      </c>
      <c r="X126" s="8">
        <v>9</v>
      </c>
      <c r="Y126" s="8">
        <v>86920.52</v>
      </c>
      <c r="Z126" s="8">
        <v>9</v>
      </c>
      <c r="AA126" s="8">
        <v>86920.52</v>
      </c>
      <c r="AB126" s="8">
        <v>0</v>
      </c>
      <c r="AC126" s="8">
        <v>0</v>
      </c>
      <c r="AD126" s="8">
        <v>0</v>
      </c>
      <c r="AE126" s="8">
        <v>173841.04</v>
      </c>
      <c r="AF126" s="8">
        <v>0</v>
      </c>
      <c r="AG126" s="8" t="s">
        <v>65</v>
      </c>
      <c r="AH126" s="8" t="s">
        <v>11</v>
      </c>
      <c r="AI126" s="8">
        <v>39269080</v>
      </c>
      <c r="AJ126" s="8" t="s">
        <v>60</v>
      </c>
      <c r="AK126" s="8">
        <v>1</v>
      </c>
      <c r="AL126" s="8">
        <v>6786</v>
      </c>
      <c r="AM126" s="8" t="s">
        <v>1905</v>
      </c>
    </row>
    <row r="127" spans="7:39" ht="12.75" customHeight="1">
      <c r="G127" s="344"/>
      <c r="H127" s="345">
        <v>46211</v>
      </c>
      <c r="I127" s="8" t="s">
        <v>87</v>
      </c>
      <c r="J127" s="8" t="s">
        <v>91</v>
      </c>
      <c r="K127" s="8" t="s">
        <v>2736</v>
      </c>
      <c r="L127" s="8" t="s">
        <v>98</v>
      </c>
      <c r="M127" s="8" t="s">
        <v>2737</v>
      </c>
      <c r="N127" s="7">
        <v>46211</v>
      </c>
      <c r="O127" s="8" t="s">
        <v>13</v>
      </c>
      <c r="P127" s="8" t="s">
        <v>62</v>
      </c>
      <c r="Q127" s="8" t="s">
        <v>63</v>
      </c>
      <c r="R127" s="8" t="s">
        <v>64</v>
      </c>
      <c r="S127" s="8" t="s">
        <v>19</v>
      </c>
      <c r="T127" s="9">
        <v>1097</v>
      </c>
      <c r="U127" s="9">
        <v>158319.04000000001</v>
      </c>
      <c r="V127" s="8" t="s">
        <v>19</v>
      </c>
      <c r="W127" s="8">
        <v>0</v>
      </c>
      <c r="X127" s="8">
        <v>9</v>
      </c>
      <c r="Y127" s="8">
        <v>14248.71</v>
      </c>
      <c r="Z127" s="8">
        <v>9</v>
      </c>
      <c r="AA127" s="8">
        <v>14248.71</v>
      </c>
      <c r="AB127" s="8">
        <v>0</v>
      </c>
      <c r="AC127" s="8">
        <v>0</v>
      </c>
      <c r="AD127" s="8">
        <v>0</v>
      </c>
      <c r="AE127" s="8">
        <v>28497.42</v>
      </c>
      <c r="AF127" s="8">
        <v>0</v>
      </c>
      <c r="AG127" s="8" t="s">
        <v>65</v>
      </c>
      <c r="AH127" s="8" t="s">
        <v>11</v>
      </c>
      <c r="AI127" s="8">
        <v>39269080</v>
      </c>
      <c r="AJ127" s="8" t="s">
        <v>60</v>
      </c>
      <c r="AK127" s="8">
        <v>1</v>
      </c>
      <c r="AL127" s="8">
        <v>1097</v>
      </c>
      <c r="AM127" s="8" t="s">
        <v>1905</v>
      </c>
    </row>
    <row r="128" spans="7:39" ht="12.75" customHeight="1">
      <c r="G128" s="344"/>
      <c r="H128" s="345">
        <v>46211</v>
      </c>
      <c r="I128" s="8" t="s">
        <v>87</v>
      </c>
      <c r="J128" s="8" t="s">
        <v>91</v>
      </c>
      <c r="K128" s="8" t="s">
        <v>2738</v>
      </c>
      <c r="L128" s="8" t="s">
        <v>98</v>
      </c>
      <c r="M128" s="8" t="s">
        <v>2739</v>
      </c>
      <c r="N128" s="7">
        <v>46211</v>
      </c>
      <c r="O128" s="8" t="s">
        <v>13</v>
      </c>
      <c r="P128" s="8" t="s">
        <v>80</v>
      </c>
      <c r="Q128" s="8" t="s">
        <v>81</v>
      </c>
      <c r="R128" s="8" t="s">
        <v>82</v>
      </c>
      <c r="S128" s="8" t="s">
        <v>17</v>
      </c>
      <c r="T128" s="9">
        <v>635</v>
      </c>
      <c r="U128" s="9">
        <v>117386.1</v>
      </c>
      <c r="V128" s="8" t="s">
        <v>17</v>
      </c>
      <c r="W128" s="8">
        <v>1954589.46</v>
      </c>
      <c r="X128" s="8">
        <v>9</v>
      </c>
      <c r="Y128" s="8">
        <v>10564.75</v>
      </c>
      <c r="Z128" s="8">
        <v>9</v>
      </c>
      <c r="AA128" s="8">
        <v>10564.75</v>
      </c>
      <c r="AB128" s="8">
        <v>0</v>
      </c>
      <c r="AC128" s="8">
        <v>0</v>
      </c>
      <c r="AD128" s="8">
        <v>0</v>
      </c>
      <c r="AE128" s="8">
        <v>21129.5</v>
      </c>
      <c r="AF128" s="8">
        <v>0</v>
      </c>
      <c r="AG128" s="8" t="s">
        <v>65</v>
      </c>
      <c r="AH128" s="8" t="s">
        <v>11</v>
      </c>
      <c r="AI128" s="8">
        <v>39200000</v>
      </c>
      <c r="AJ128" s="8" t="s">
        <v>60</v>
      </c>
      <c r="AK128" s="8">
        <v>1</v>
      </c>
      <c r="AL128" s="8">
        <v>635</v>
      </c>
      <c r="AM128" s="8" t="s">
        <v>1905</v>
      </c>
    </row>
    <row r="129" spans="7:39" ht="12.75" customHeight="1">
      <c r="G129" s="344"/>
      <c r="H129" s="345">
        <v>46211</v>
      </c>
      <c r="I129" s="8" t="s">
        <v>87</v>
      </c>
      <c r="J129" s="8" t="s">
        <v>91</v>
      </c>
      <c r="K129" s="8" t="s">
        <v>2738</v>
      </c>
      <c r="L129" s="8" t="s">
        <v>98</v>
      </c>
      <c r="M129" s="8" t="s">
        <v>2739</v>
      </c>
      <c r="N129" s="7">
        <v>46211</v>
      </c>
      <c r="O129" s="8" t="s">
        <v>13</v>
      </c>
      <c r="P129" s="8" t="s">
        <v>80</v>
      </c>
      <c r="Q129" s="8" t="s">
        <v>81</v>
      </c>
      <c r="R129" s="8" t="s">
        <v>82</v>
      </c>
      <c r="S129" s="344" t="s">
        <v>17</v>
      </c>
      <c r="T129" s="9">
        <v>8710</v>
      </c>
      <c r="U129" s="9">
        <v>1540450.6</v>
      </c>
      <c r="V129" s="8" t="s">
        <v>17</v>
      </c>
      <c r="W129" s="8">
        <v>0</v>
      </c>
      <c r="X129" s="8">
        <v>9</v>
      </c>
      <c r="Y129" s="8">
        <v>138640.54999999999</v>
      </c>
      <c r="Z129" s="8">
        <v>9</v>
      </c>
      <c r="AA129" s="8">
        <v>138640.54999999999</v>
      </c>
      <c r="AB129" s="8">
        <v>0</v>
      </c>
      <c r="AC129" s="8">
        <v>0</v>
      </c>
      <c r="AD129" s="8">
        <v>0</v>
      </c>
      <c r="AE129" s="8">
        <v>277281.09999999998</v>
      </c>
      <c r="AF129" s="8">
        <v>0</v>
      </c>
      <c r="AG129" s="8" t="s">
        <v>65</v>
      </c>
      <c r="AH129" s="8" t="s">
        <v>11</v>
      </c>
      <c r="AI129" s="8">
        <v>39200000</v>
      </c>
      <c r="AJ129" s="8" t="s">
        <v>60</v>
      </c>
      <c r="AK129" s="8">
        <v>1</v>
      </c>
      <c r="AL129" s="8">
        <v>8710</v>
      </c>
      <c r="AM129" s="8" t="s">
        <v>1905</v>
      </c>
    </row>
    <row r="130" spans="7:39" ht="12.75" customHeight="1">
      <c r="G130" s="344"/>
      <c r="H130" s="345">
        <v>46211</v>
      </c>
      <c r="I130" s="8" t="s">
        <v>87</v>
      </c>
      <c r="J130" s="8" t="s">
        <v>91</v>
      </c>
      <c r="K130" s="8" t="s">
        <v>2740</v>
      </c>
      <c r="L130" s="8" t="s">
        <v>98</v>
      </c>
      <c r="M130" s="8" t="s">
        <v>2741</v>
      </c>
      <c r="N130" s="7">
        <v>46211</v>
      </c>
      <c r="O130" s="8" t="s">
        <v>13</v>
      </c>
      <c r="P130" s="8" t="s">
        <v>62</v>
      </c>
      <c r="Q130" s="8" t="s">
        <v>63</v>
      </c>
      <c r="R130" s="8" t="s">
        <v>64</v>
      </c>
      <c r="S130" s="8" t="s">
        <v>19</v>
      </c>
      <c r="T130" s="9">
        <v>2593</v>
      </c>
      <c r="U130" s="9">
        <v>369035.76</v>
      </c>
      <c r="V130" s="8" t="s">
        <v>19</v>
      </c>
      <c r="W130" s="8">
        <v>1309444.3400000001</v>
      </c>
      <c r="X130" s="8">
        <v>9</v>
      </c>
      <c r="Y130" s="8">
        <v>33213.22</v>
      </c>
      <c r="Z130" s="8">
        <v>9</v>
      </c>
      <c r="AA130" s="8">
        <v>33213.22</v>
      </c>
      <c r="AB130" s="8">
        <v>0</v>
      </c>
      <c r="AC130" s="8">
        <v>0</v>
      </c>
      <c r="AD130" s="8">
        <v>0</v>
      </c>
      <c r="AE130" s="8">
        <v>66426.44</v>
      </c>
      <c r="AF130" s="8">
        <v>0</v>
      </c>
      <c r="AG130" s="8" t="s">
        <v>65</v>
      </c>
      <c r="AH130" s="8" t="s">
        <v>11</v>
      </c>
      <c r="AI130" s="8">
        <v>39269080</v>
      </c>
      <c r="AJ130" s="8" t="s">
        <v>60</v>
      </c>
      <c r="AK130" s="8">
        <v>1</v>
      </c>
      <c r="AL130" s="8">
        <v>2593</v>
      </c>
      <c r="AM130" s="8" t="s">
        <v>1905</v>
      </c>
    </row>
    <row r="131" spans="7:39" ht="12.75" customHeight="1">
      <c r="G131" s="344"/>
      <c r="H131" s="345">
        <v>46211</v>
      </c>
      <c r="I131" s="8" t="s">
        <v>87</v>
      </c>
      <c r="J131" s="8" t="s">
        <v>91</v>
      </c>
      <c r="K131" s="8" t="s">
        <v>2740</v>
      </c>
      <c r="L131" s="8" t="s">
        <v>98</v>
      </c>
      <c r="M131" s="8" t="s">
        <v>2741</v>
      </c>
      <c r="N131" s="7">
        <v>46211</v>
      </c>
      <c r="O131" s="8" t="s">
        <v>13</v>
      </c>
      <c r="P131" s="8" t="s">
        <v>62</v>
      </c>
      <c r="Q131" s="8" t="s">
        <v>63</v>
      </c>
      <c r="R131" s="8" t="s">
        <v>64</v>
      </c>
      <c r="S131" s="8" t="s">
        <v>19</v>
      </c>
      <c r="T131" s="9">
        <v>280</v>
      </c>
      <c r="U131" s="9">
        <v>40409.599999999999</v>
      </c>
      <c r="V131" s="8" t="s">
        <v>19</v>
      </c>
      <c r="W131" s="8">
        <v>0</v>
      </c>
      <c r="X131" s="8">
        <v>9</v>
      </c>
      <c r="Y131" s="8">
        <v>3636.86</v>
      </c>
      <c r="Z131" s="8">
        <v>9</v>
      </c>
      <c r="AA131" s="8">
        <v>3636.86</v>
      </c>
      <c r="AB131" s="8">
        <v>0</v>
      </c>
      <c r="AC131" s="8">
        <v>0</v>
      </c>
      <c r="AD131" s="8">
        <v>0</v>
      </c>
      <c r="AE131" s="8">
        <v>7273.72</v>
      </c>
      <c r="AF131" s="8">
        <v>0</v>
      </c>
      <c r="AG131" s="8" t="s">
        <v>65</v>
      </c>
      <c r="AH131" s="8" t="s">
        <v>11</v>
      </c>
      <c r="AI131" s="8">
        <v>39269080</v>
      </c>
      <c r="AJ131" s="8" t="s">
        <v>60</v>
      </c>
      <c r="AK131" s="8">
        <v>1</v>
      </c>
      <c r="AL131" s="8">
        <v>280</v>
      </c>
      <c r="AM131" s="8" t="s">
        <v>1905</v>
      </c>
    </row>
    <row r="132" spans="7:39" ht="12.75" customHeight="1">
      <c r="G132" s="344"/>
      <c r="H132" s="345">
        <v>46211</v>
      </c>
      <c r="I132" s="8" t="s">
        <v>87</v>
      </c>
      <c r="J132" s="8" t="s">
        <v>91</v>
      </c>
      <c r="K132" s="8" t="s">
        <v>2740</v>
      </c>
      <c r="L132" s="8" t="s">
        <v>98</v>
      </c>
      <c r="M132" s="8" t="s">
        <v>2741</v>
      </c>
      <c r="N132" s="7">
        <v>46211</v>
      </c>
      <c r="O132" s="8" t="s">
        <v>13</v>
      </c>
      <c r="P132" s="8" t="s">
        <v>62</v>
      </c>
      <c r="Q132" s="8" t="s">
        <v>76</v>
      </c>
      <c r="R132" s="8" t="s">
        <v>77</v>
      </c>
      <c r="S132" s="8" t="s">
        <v>21</v>
      </c>
      <c r="T132" s="9">
        <v>1076</v>
      </c>
      <c r="U132" s="9">
        <v>155288.32000000001</v>
      </c>
      <c r="V132" s="8" t="s">
        <v>21</v>
      </c>
      <c r="W132" s="8">
        <v>0</v>
      </c>
      <c r="X132" s="8">
        <v>9</v>
      </c>
      <c r="Y132" s="8">
        <v>13975.95</v>
      </c>
      <c r="Z132" s="8">
        <v>9</v>
      </c>
      <c r="AA132" s="8">
        <v>13975.95</v>
      </c>
      <c r="AB132" s="8">
        <v>0</v>
      </c>
      <c r="AC132" s="8">
        <v>0</v>
      </c>
      <c r="AD132" s="8">
        <v>0</v>
      </c>
      <c r="AE132" s="8">
        <v>27951.9</v>
      </c>
      <c r="AF132" s="8">
        <v>0</v>
      </c>
      <c r="AG132" s="8" t="s">
        <v>65</v>
      </c>
      <c r="AH132" s="8" t="s">
        <v>11</v>
      </c>
      <c r="AI132" s="8">
        <v>63053300</v>
      </c>
      <c r="AJ132" s="8" t="s">
        <v>60</v>
      </c>
      <c r="AK132" s="8">
        <v>1</v>
      </c>
      <c r="AL132" s="8">
        <v>1076</v>
      </c>
      <c r="AM132" s="8" t="s">
        <v>1905</v>
      </c>
    </row>
    <row r="133" spans="7:39" ht="12.75" customHeight="1">
      <c r="G133" s="344"/>
      <c r="H133" s="345">
        <v>46211</v>
      </c>
      <c r="I133" s="8" t="s">
        <v>87</v>
      </c>
      <c r="J133" s="8" t="s">
        <v>91</v>
      </c>
      <c r="K133" s="8" t="s">
        <v>2740</v>
      </c>
      <c r="L133" s="8" t="s">
        <v>98</v>
      </c>
      <c r="M133" s="8" t="s">
        <v>2741</v>
      </c>
      <c r="N133" s="7">
        <v>46211</v>
      </c>
      <c r="O133" s="8" t="s">
        <v>13</v>
      </c>
      <c r="P133" s="8" t="s">
        <v>62</v>
      </c>
      <c r="Q133" s="8" t="s">
        <v>76</v>
      </c>
      <c r="R133" s="8" t="s">
        <v>77</v>
      </c>
      <c r="S133" s="8" t="s">
        <v>21</v>
      </c>
      <c r="T133" s="9">
        <v>826</v>
      </c>
      <c r="U133" s="9">
        <v>120860.32</v>
      </c>
      <c r="V133" s="8" t="s">
        <v>21</v>
      </c>
      <c r="W133" s="8">
        <v>0</v>
      </c>
      <c r="X133" s="8">
        <v>9</v>
      </c>
      <c r="Y133" s="8">
        <v>10877.43</v>
      </c>
      <c r="Z133" s="8">
        <v>9</v>
      </c>
      <c r="AA133" s="8">
        <v>10877.4</v>
      </c>
      <c r="AB133" s="8">
        <v>0</v>
      </c>
      <c r="AC133" s="8">
        <v>0</v>
      </c>
      <c r="AD133" s="8">
        <v>0</v>
      </c>
      <c r="AE133" s="8">
        <v>21754.83</v>
      </c>
      <c r="AF133" s="8">
        <v>0</v>
      </c>
      <c r="AG133" s="8" t="s">
        <v>65</v>
      </c>
      <c r="AH133" s="8" t="s">
        <v>11</v>
      </c>
      <c r="AI133" s="8">
        <v>63053300</v>
      </c>
      <c r="AJ133" s="8" t="s">
        <v>60</v>
      </c>
      <c r="AK133" s="8">
        <v>1</v>
      </c>
      <c r="AL133" s="8">
        <v>826</v>
      </c>
      <c r="AM133" s="8" t="s">
        <v>1905</v>
      </c>
    </row>
    <row r="134" spans="7:39" ht="12.75" customHeight="1">
      <c r="G134" s="344"/>
      <c r="H134" s="345">
        <v>46211</v>
      </c>
      <c r="I134" s="8" t="s">
        <v>87</v>
      </c>
      <c r="J134" s="8" t="s">
        <v>91</v>
      </c>
      <c r="K134" s="8" t="s">
        <v>2740</v>
      </c>
      <c r="L134" s="8" t="s">
        <v>98</v>
      </c>
      <c r="M134" s="8" t="s">
        <v>2741</v>
      </c>
      <c r="N134" s="7">
        <v>46211</v>
      </c>
      <c r="O134" s="8" t="s">
        <v>13</v>
      </c>
      <c r="P134" s="8" t="s">
        <v>24</v>
      </c>
      <c r="Q134" s="8" t="s">
        <v>79</v>
      </c>
      <c r="R134" s="8" t="s">
        <v>79</v>
      </c>
      <c r="S134" s="8" t="s">
        <v>24</v>
      </c>
      <c r="T134" s="9">
        <v>1042.7</v>
      </c>
      <c r="U134" s="9">
        <v>150482.46</v>
      </c>
      <c r="V134" s="8" t="s">
        <v>24</v>
      </c>
      <c r="W134" s="8">
        <v>0</v>
      </c>
      <c r="X134" s="8">
        <v>9</v>
      </c>
      <c r="Y134" s="8">
        <v>13543.42</v>
      </c>
      <c r="Z134" s="8">
        <v>9</v>
      </c>
      <c r="AA134" s="8">
        <v>13543.42</v>
      </c>
      <c r="AB134" s="8">
        <v>0</v>
      </c>
      <c r="AC134" s="8">
        <v>0</v>
      </c>
      <c r="AD134" s="8">
        <v>0</v>
      </c>
      <c r="AE134" s="8">
        <v>27086.84</v>
      </c>
      <c r="AF134" s="8">
        <v>0</v>
      </c>
      <c r="AG134" s="8" t="s">
        <v>65</v>
      </c>
      <c r="AH134" s="8" t="s">
        <v>11</v>
      </c>
      <c r="AI134" s="8">
        <v>3926908</v>
      </c>
      <c r="AJ134" s="8" t="s">
        <v>60</v>
      </c>
      <c r="AK134" s="8">
        <v>1</v>
      </c>
      <c r="AL134" s="8">
        <v>1042.7</v>
      </c>
      <c r="AM134" s="8" t="s">
        <v>1905</v>
      </c>
    </row>
    <row r="135" spans="7:39" ht="12.75" customHeight="1">
      <c r="G135" s="344"/>
      <c r="H135" s="345">
        <v>46211</v>
      </c>
      <c r="I135" s="8" t="s">
        <v>87</v>
      </c>
      <c r="J135" s="8" t="s">
        <v>91</v>
      </c>
      <c r="K135" s="8" t="s">
        <v>2740</v>
      </c>
      <c r="L135" s="8" t="s">
        <v>98</v>
      </c>
      <c r="M135" s="8" t="s">
        <v>2741</v>
      </c>
      <c r="N135" s="7">
        <v>46211</v>
      </c>
      <c r="O135" s="8" t="s">
        <v>13</v>
      </c>
      <c r="P135" s="8" t="s">
        <v>24</v>
      </c>
      <c r="Q135" s="8" t="s">
        <v>79</v>
      </c>
      <c r="R135" s="8" t="s">
        <v>79</v>
      </c>
      <c r="S135" s="8" t="s">
        <v>24</v>
      </c>
      <c r="T135" s="9">
        <v>1417.1</v>
      </c>
      <c r="U135" s="9">
        <v>208767.17</v>
      </c>
      <c r="V135" s="8" t="s">
        <v>24</v>
      </c>
      <c r="W135" s="8">
        <v>0</v>
      </c>
      <c r="X135" s="8">
        <v>9</v>
      </c>
      <c r="Y135" s="8">
        <v>18789.05</v>
      </c>
      <c r="Z135" s="8">
        <v>9</v>
      </c>
      <c r="AA135" s="8">
        <v>18789.05</v>
      </c>
      <c r="AB135" s="8">
        <v>0</v>
      </c>
      <c r="AC135" s="8">
        <v>0</v>
      </c>
      <c r="AD135" s="8">
        <v>0</v>
      </c>
      <c r="AE135" s="8">
        <v>37578.1</v>
      </c>
      <c r="AF135" s="8">
        <v>0</v>
      </c>
      <c r="AG135" s="8" t="s">
        <v>65</v>
      </c>
      <c r="AH135" s="8" t="s">
        <v>11</v>
      </c>
      <c r="AI135" s="8">
        <v>3926908</v>
      </c>
      <c r="AJ135" s="8" t="s">
        <v>60</v>
      </c>
      <c r="AK135" s="8">
        <v>1</v>
      </c>
      <c r="AL135" s="8">
        <v>1417.1</v>
      </c>
      <c r="AM135" s="8" t="s">
        <v>1905</v>
      </c>
    </row>
    <row r="136" spans="7:39" ht="12.75" customHeight="1">
      <c r="G136" s="344"/>
      <c r="H136" s="345">
        <v>46211</v>
      </c>
      <c r="I136" s="8" t="s">
        <v>87</v>
      </c>
      <c r="J136" s="8" t="s">
        <v>91</v>
      </c>
      <c r="K136" s="8" t="s">
        <v>2740</v>
      </c>
      <c r="L136" s="8" t="s">
        <v>98</v>
      </c>
      <c r="M136" s="8" t="s">
        <v>2741</v>
      </c>
      <c r="N136" s="7">
        <v>46211</v>
      </c>
      <c r="O136" s="8" t="s">
        <v>13</v>
      </c>
      <c r="P136" s="8" t="s">
        <v>99</v>
      </c>
      <c r="Q136" s="8" t="s">
        <v>100</v>
      </c>
      <c r="R136" s="8" t="s">
        <v>101</v>
      </c>
      <c r="S136" s="8" t="s">
        <v>553</v>
      </c>
      <c r="T136" s="9">
        <v>479.2</v>
      </c>
      <c r="U136" s="9">
        <v>73950.14</v>
      </c>
      <c r="V136" s="8" t="s">
        <v>553</v>
      </c>
      <c r="W136" s="8">
        <v>0</v>
      </c>
      <c r="X136" s="8">
        <v>2.5</v>
      </c>
      <c r="Y136" s="8">
        <v>1848.75</v>
      </c>
      <c r="Z136" s="8">
        <v>2.5</v>
      </c>
      <c r="AA136" s="8">
        <v>1848.75</v>
      </c>
      <c r="AB136" s="8">
        <v>0</v>
      </c>
      <c r="AC136" s="8">
        <v>0</v>
      </c>
      <c r="AD136" s="8">
        <v>0</v>
      </c>
      <c r="AE136" s="8">
        <v>3697.5</v>
      </c>
      <c r="AF136" s="8">
        <v>0</v>
      </c>
      <c r="AG136" s="8" t="s">
        <v>65</v>
      </c>
      <c r="AH136" s="8" t="s">
        <v>3</v>
      </c>
      <c r="AI136" s="8">
        <v>540263</v>
      </c>
      <c r="AJ136" s="8" t="s">
        <v>60</v>
      </c>
      <c r="AK136" s="8">
        <v>1</v>
      </c>
      <c r="AL136" s="8">
        <v>479.2</v>
      </c>
      <c r="AM136" s="8" t="s">
        <v>1905</v>
      </c>
    </row>
    <row r="137" spans="7:39" ht="12.75" customHeight="1">
      <c r="G137" s="344"/>
      <c r="H137" s="345">
        <v>46211</v>
      </c>
      <c r="I137" s="8" t="s">
        <v>94</v>
      </c>
      <c r="J137" s="8" t="s">
        <v>96</v>
      </c>
      <c r="K137" s="8" t="s">
        <v>2742</v>
      </c>
      <c r="L137" s="8" t="s">
        <v>97</v>
      </c>
      <c r="M137" s="8" t="s">
        <v>2743</v>
      </c>
      <c r="N137" s="7">
        <v>46211</v>
      </c>
      <c r="O137" s="8" t="s">
        <v>2</v>
      </c>
      <c r="P137" s="8" t="s">
        <v>67</v>
      </c>
      <c r="Q137" s="8" t="s">
        <v>68</v>
      </c>
      <c r="R137" s="8" t="s">
        <v>69</v>
      </c>
      <c r="S137" s="8" t="s">
        <v>70</v>
      </c>
      <c r="T137" s="9">
        <v>10</v>
      </c>
      <c r="U137" s="9">
        <v>480</v>
      </c>
      <c r="V137" s="8" t="s">
        <v>70</v>
      </c>
      <c r="W137" s="8">
        <v>565.91999999999996</v>
      </c>
      <c r="X137" s="8">
        <v>9</v>
      </c>
      <c r="Y137" s="8">
        <v>43.2</v>
      </c>
      <c r="Z137" s="8">
        <v>9</v>
      </c>
      <c r="AA137" s="8">
        <v>43.2</v>
      </c>
      <c r="AB137" s="8">
        <v>0</v>
      </c>
      <c r="AC137" s="8">
        <v>0</v>
      </c>
      <c r="AD137" s="8">
        <v>0</v>
      </c>
      <c r="AE137" s="8">
        <v>86.4</v>
      </c>
      <c r="AF137" s="8">
        <v>0</v>
      </c>
      <c r="AG137" s="8" t="s">
        <v>74</v>
      </c>
      <c r="AH137" s="8" t="s">
        <v>11</v>
      </c>
      <c r="AI137" s="8">
        <v>73063090</v>
      </c>
      <c r="AJ137" s="8" t="s">
        <v>60</v>
      </c>
      <c r="AK137" s="8">
        <v>1</v>
      </c>
      <c r="AL137" s="8">
        <v>0</v>
      </c>
      <c r="AM137" s="8" t="s">
        <v>1905</v>
      </c>
    </row>
    <row r="138" spans="7:39" ht="12.75" customHeight="1">
      <c r="G138" s="344"/>
      <c r="H138" s="345">
        <v>46211</v>
      </c>
      <c r="I138" s="8" t="s">
        <v>94</v>
      </c>
      <c r="J138" s="8" t="s">
        <v>91</v>
      </c>
      <c r="K138" s="8" t="s">
        <v>2744</v>
      </c>
      <c r="L138" s="8" t="s">
        <v>98</v>
      </c>
      <c r="M138" s="8" t="s">
        <v>2745</v>
      </c>
      <c r="N138" s="7">
        <v>46211</v>
      </c>
      <c r="O138" s="8" t="s">
        <v>15</v>
      </c>
      <c r="P138" s="8" t="s">
        <v>2076</v>
      </c>
      <c r="Q138" s="8" t="s">
        <v>2076</v>
      </c>
      <c r="R138" s="8" t="s">
        <v>2076</v>
      </c>
      <c r="S138" s="8" t="s">
        <v>64</v>
      </c>
      <c r="T138" s="9">
        <v>158</v>
      </c>
      <c r="U138" s="9">
        <v>21105.64</v>
      </c>
      <c r="V138" s="8" t="s">
        <v>2076</v>
      </c>
      <c r="W138" s="8">
        <v>106798</v>
      </c>
      <c r="X138" s="8">
        <v>9</v>
      </c>
      <c r="Y138" s="8">
        <v>1899.51</v>
      </c>
      <c r="Z138" s="8">
        <v>9</v>
      </c>
      <c r="AA138" s="8">
        <v>1899.51</v>
      </c>
      <c r="AB138" s="8">
        <v>0</v>
      </c>
      <c r="AC138" s="8">
        <v>0</v>
      </c>
      <c r="AD138" s="8">
        <v>0</v>
      </c>
      <c r="AE138" s="8">
        <v>3799.02</v>
      </c>
      <c r="AF138" s="8">
        <v>0</v>
      </c>
      <c r="AG138" s="8" t="s">
        <v>74</v>
      </c>
      <c r="AH138" s="8" t="s">
        <v>11</v>
      </c>
      <c r="AI138" s="8">
        <v>39269080</v>
      </c>
      <c r="AJ138" s="8" t="s">
        <v>60</v>
      </c>
      <c r="AK138" s="8">
        <v>1</v>
      </c>
      <c r="AL138" s="8">
        <v>158</v>
      </c>
      <c r="AM138" s="8" t="s">
        <v>1905</v>
      </c>
    </row>
    <row r="139" spans="7:39" ht="12.75" customHeight="1">
      <c r="G139" s="344"/>
      <c r="H139" s="345">
        <v>46211</v>
      </c>
      <c r="I139" s="8" t="s">
        <v>94</v>
      </c>
      <c r="J139" s="8" t="s">
        <v>91</v>
      </c>
      <c r="K139" s="8" t="s">
        <v>2744</v>
      </c>
      <c r="L139" s="8" t="s">
        <v>98</v>
      </c>
      <c r="M139" s="8" t="s">
        <v>2745</v>
      </c>
      <c r="N139" s="7">
        <v>46211</v>
      </c>
      <c r="O139" s="8" t="s">
        <v>13</v>
      </c>
      <c r="P139" s="8" t="s">
        <v>62</v>
      </c>
      <c r="Q139" s="8" t="s">
        <v>76</v>
      </c>
      <c r="R139" s="8" t="s">
        <v>77</v>
      </c>
      <c r="S139" s="8" t="s">
        <v>21</v>
      </c>
      <c r="T139" s="9">
        <v>505</v>
      </c>
      <c r="U139" s="9">
        <v>69477.899999999994</v>
      </c>
      <c r="V139" s="8" t="s">
        <v>21</v>
      </c>
      <c r="W139" s="8">
        <v>0</v>
      </c>
      <c r="X139" s="8">
        <v>9</v>
      </c>
      <c r="Y139" s="8">
        <v>6253.01</v>
      </c>
      <c r="Z139" s="8">
        <v>9</v>
      </c>
      <c r="AA139" s="8">
        <v>6253.01</v>
      </c>
      <c r="AB139" s="8">
        <v>0</v>
      </c>
      <c r="AC139" s="8">
        <v>0</v>
      </c>
      <c r="AD139" s="8">
        <v>0</v>
      </c>
      <c r="AE139" s="8">
        <v>12506.02</v>
      </c>
      <c r="AF139" s="8">
        <v>0</v>
      </c>
      <c r="AG139" s="8" t="s">
        <v>74</v>
      </c>
      <c r="AH139" s="8" t="s">
        <v>11</v>
      </c>
      <c r="AI139" s="8">
        <v>63053300</v>
      </c>
      <c r="AJ139" s="8" t="s">
        <v>60</v>
      </c>
      <c r="AK139" s="8">
        <v>1</v>
      </c>
      <c r="AL139" s="8">
        <v>505</v>
      </c>
      <c r="AM139" s="8" t="s">
        <v>1905</v>
      </c>
    </row>
    <row r="140" spans="7:39" ht="12.75" customHeight="1">
      <c r="G140" s="344"/>
      <c r="H140" s="345">
        <v>46242</v>
      </c>
      <c r="I140" s="8" t="s">
        <v>103</v>
      </c>
      <c r="J140" s="8" t="s">
        <v>88</v>
      </c>
      <c r="K140" s="8" t="s">
        <v>2746</v>
      </c>
      <c r="L140" s="8" t="s">
        <v>2320</v>
      </c>
      <c r="M140" s="8" t="s">
        <v>2747</v>
      </c>
      <c r="N140" s="7">
        <v>46211</v>
      </c>
      <c r="O140" s="8" t="s">
        <v>13</v>
      </c>
      <c r="P140" s="8" t="s">
        <v>80</v>
      </c>
      <c r="Q140" s="8" t="s">
        <v>81</v>
      </c>
      <c r="R140" s="8" t="s">
        <v>384</v>
      </c>
      <c r="S140" s="8" t="s">
        <v>385</v>
      </c>
      <c r="T140" s="9">
        <v>526</v>
      </c>
      <c r="U140" s="9">
        <v>89919.7</v>
      </c>
      <c r="V140" s="8" t="s">
        <v>385</v>
      </c>
      <c r="W140" s="8">
        <v>89919.7</v>
      </c>
      <c r="X140" s="8">
        <v>0</v>
      </c>
      <c r="Y140" s="8">
        <v>0</v>
      </c>
      <c r="Z140" s="8">
        <v>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8" t="s">
        <v>104</v>
      </c>
      <c r="AH140" s="8" t="s">
        <v>11</v>
      </c>
      <c r="AI140" s="8">
        <v>39232100</v>
      </c>
      <c r="AJ140" s="8" t="s">
        <v>60</v>
      </c>
      <c r="AK140" s="8">
        <v>1</v>
      </c>
      <c r="AL140" s="8">
        <v>526</v>
      </c>
      <c r="AM140" s="8" t="s">
        <v>1905</v>
      </c>
    </row>
    <row r="141" spans="7:39" ht="12.75" customHeight="1">
      <c r="G141" s="344"/>
      <c r="H141" s="345">
        <v>46242</v>
      </c>
      <c r="I141" s="8" t="s">
        <v>87</v>
      </c>
      <c r="J141" s="8" t="s">
        <v>96</v>
      </c>
      <c r="K141" s="8" t="s">
        <v>2748</v>
      </c>
      <c r="L141" s="8" t="s">
        <v>97</v>
      </c>
      <c r="M141" s="8" t="s">
        <v>2749</v>
      </c>
      <c r="N141" s="7">
        <v>46242</v>
      </c>
      <c r="O141" s="8" t="s">
        <v>2</v>
      </c>
      <c r="P141" s="8" t="s">
        <v>67</v>
      </c>
      <c r="Q141" s="8" t="s">
        <v>68</v>
      </c>
      <c r="R141" s="8" t="s">
        <v>69</v>
      </c>
      <c r="S141" s="8" t="s">
        <v>70</v>
      </c>
      <c r="T141" s="9">
        <v>366</v>
      </c>
      <c r="U141" s="9">
        <v>17568</v>
      </c>
      <c r="V141" s="8" t="s">
        <v>70</v>
      </c>
      <c r="W141" s="8">
        <v>20712.669999999998</v>
      </c>
      <c r="X141" s="8">
        <v>9</v>
      </c>
      <c r="Y141" s="8">
        <v>1581.12</v>
      </c>
      <c r="Z141" s="8">
        <v>9</v>
      </c>
      <c r="AA141" s="8">
        <v>1581.12</v>
      </c>
      <c r="AB141" s="8">
        <v>0</v>
      </c>
      <c r="AC141" s="8">
        <v>0</v>
      </c>
      <c r="AD141" s="8">
        <v>0</v>
      </c>
      <c r="AE141" s="8">
        <v>3162.24</v>
      </c>
      <c r="AF141" s="8">
        <v>0</v>
      </c>
      <c r="AG141" s="8" t="s">
        <v>65</v>
      </c>
      <c r="AH141" s="8" t="s">
        <v>11</v>
      </c>
      <c r="AI141" s="8">
        <v>73063090</v>
      </c>
      <c r="AJ141" s="8" t="s">
        <v>60</v>
      </c>
      <c r="AK141" s="8">
        <v>1</v>
      </c>
      <c r="AL141" s="8">
        <v>0</v>
      </c>
      <c r="AM141" s="8" t="s">
        <v>1905</v>
      </c>
    </row>
    <row r="142" spans="7:39" ht="12.75" customHeight="1">
      <c r="G142" s="344"/>
      <c r="H142" s="345">
        <v>46242</v>
      </c>
      <c r="I142" s="8" t="s">
        <v>87</v>
      </c>
      <c r="J142" s="8" t="s">
        <v>91</v>
      </c>
      <c r="K142" s="8" t="s">
        <v>2750</v>
      </c>
      <c r="L142" s="8" t="s">
        <v>98</v>
      </c>
      <c r="M142" s="8" t="s">
        <v>2751</v>
      </c>
      <c r="N142" s="7">
        <v>46242</v>
      </c>
      <c r="O142" s="8" t="s">
        <v>13</v>
      </c>
      <c r="P142" s="8" t="s">
        <v>80</v>
      </c>
      <c r="Q142" s="8" t="s">
        <v>81</v>
      </c>
      <c r="R142" s="8" t="s">
        <v>82</v>
      </c>
      <c r="S142" s="8" t="s">
        <v>17</v>
      </c>
      <c r="T142" s="9">
        <v>950.3</v>
      </c>
      <c r="U142" s="9">
        <v>175672.46</v>
      </c>
      <c r="V142" s="8" t="s">
        <v>17</v>
      </c>
      <c r="W142" s="8">
        <v>796726.95</v>
      </c>
      <c r="X142" s="8">
        <v>9</v>
      </c>
      <c r="Y142" s="8">
        <v>15810.52</v>
      </c>
      <c r="Z142" s="8">
        <v>9</v>
      </c>
      <c r="AA142" s="8">
        <v>15810.52</v>
      </c>
      <c r="AB142" s="8">
        <v>0</v>
      </c>
      <c r="AC142" s="8">
        <v>0</v>
      </c>
      <c r="AD142" s="8">
        <v>0</v>
      </c>
      <c r="AE142" s="8">
        <v>31621.040000000001</v>
      </c>
      <c r="AF142" s="8">
        <v>0</v>
      </c>
      <c r="AG142" s="8" t="s">
        <v>65</v>
      </c>
      <c r="AH142" s="8" t="s">
        <v>11</v>
      </c>
      <c r="AI142" s="8">
        <v>39200000</v>
      </c>
      <c r="AJ142" s="8" t="s">
        <v>60</v>
      </c>
      <c r="AK142" s="8">
        <v>1</v>
      </c>
      <c r="AL142" s="8">
        <v>950.3</v>
      </c>
      <c r="AM142" s="8" t="s">
        <v>1905</v>
      </c>
    </row>
    <row r="143" spans="7:39" ht="12.75" customHeight="1">
      <c r="G143" s="344"/>
      <c r="H143" s="345">
        <v>46242</v>
      </c>
      <c r="I143" s="8" t="s">
        <v>87</v>
      </c>
      <c r="J143" s="8" t="s">
        <v>91</v>
      </c>
      <c r="K143" s="8" t="s">
        <v>2750</v>
      </c>
      <c r="L143" s="8" t="s">
        <v>98</v>
      </c>
      <c r="M143" s="8" t="s">
        <v>2751</v>
      </c>
      <c r="N143" s="7">
        <v>46242</v>
      </c>
      <c r="O143" s="8" t="s">
        <v>13</v>
      </c>
      <c r="P143" s="8" t="s">
        <v>80</v>
      </c>
      <c r="Q143" s="8" t="s">
        <v>81</v>
      </c>
      <c r="R143" s="8" t="s">
        <v>82</v>
      </c>
      <c r="S143" s="8" t="s">
        <v>17</v>
      </c>
      <c r="T143" s="9">
        <v>2796</v>
      </c>
      <c r="U143" s="9">
        <v>500092.56</v>
      </c>
      <c r="V143" s="8" t="s">
        <v>17</v>
      </c>
      <c r="W143" s="8">
        <v>0</v>
      </c>
      <c r="X143" s="8">
        <v>9</v>
      </c>
      <c r="Y143" s="8">
        <v>45008.33</v>
      </c>
      <c r="Z143" s="8">
        <v>9</v>
      </c>
      <c r="AA143" s="8">
        <v>45008.33</v>
      </c>
      <c r="AB143" s="8">
        <v>0</v>
      </c>
      <c r="AC143" s="8">
        <v>0</v>
      </c>
      <c r="AD143" s="8">
        <v>0</v>
      </c>
      <c r="AE143" s="8">
        <v>90016.66</v>
      </c>
      <c r="AF143" s="8">
        <v>0</v>
      </c>
      <c r="AG143" s="8" t="s">
        <v>65</v>
      </c>
      <c r="AH143" s="8" t="s">
        <v>11</v>
      </c>
      <c r="AI143" s="8">
        <v>39200000</v>
      </c>
      <c r="AJ143" s="8" t="s">
        <v>60</v>
      </c>
      <c r="AK143" s="8">
        <v>1</v>
      </c>
      <c r="AL143" s="8">
        <v>2796</v>
      </c>
      <c r="AM143" s="8" t="s">
        <v>1905</v>
      </c>
    </row>
    <row r="144" spans="7:39" ht="12.75" customHeight="1">
      <c r="G144" s="344"/>
      <c r="H144" s="345">
        <v>46242</v>
      </c>
      <c r="I144" s="8" t="s">
        <v>87</v>
      </c>
      <c r="J144" s="8" t="s">
        <v>91</v>
      </c>
      <c r="K144" s="8" t="s">
        <v>2752</v>
      </c>
      <c r="L144" s="8" t="s">
        <v>98</v>
      </c>
      <c r="M144" s="8" t="s">
        <v>2753</v>
      </c>
      <c r="N144" s="7">
        <v>46242</v>
      </c>
      <c r="O144" s="8" t="s">
        <v>13</v>
      </c>
      <c r="P144" s="8" t="s">
        <v>62</v>
      </c>
      <c r="Q144" s="8" t="s">
        <v>63</v>
      </c>
      <c r="R144" s="8" t="s">
        <v>64</v>
      </c>
      <c r="S144" s="8" t="s">
        <v>19</v>
      </c>
      <c r="T144" s="9">
        <v>571</v>
      </c>
      <c r="U144" s="9">
        <v>82406.720000000001</v>
      </c>
      <c r="V144" s="8" t="s">
        <v>19</v>
      </c>
      <c r="W144" s="8">
        <v>1232460.3799999999</v>
      </c>
      <c r="X144" s="8">
        <v>9</v>
      </c>
      <c r="Y144" s="8">
        <v>7416.6</v>
      </c>
      <c r="Z144" s="8">
        <v>9</v>
      </c>
      <c r="AA144" s="8">
        <v>7416.6</v>
      </c>
      <c r="AB144" s="8">
        <v>0</v>
      </c>
      <c r="AC144" s="8">
        <v>0</v>
      </c>
      <c r="AD144" s="8">
        <v>0</v>
      </c>
      <c r="AE144" s="8">
        <v>14833.2</v>
      </c>
      <c r="AF144" s="8">
        <v>0</v>
      </c>
      <c r="AG144" s="8" t="s">
        <v>65</v>
      </c>
      <c r="AH144" s="8" t="s">
        <v>11</v>
      </c>
      <c r="AI144" s="8">
        <v>39269080</v>
      </c>
      <c r="AJ144" s="8" t="s">
        <v>60</v>
      </c>
      <c r="AK144" s="8">
        <v>1</v>
      </c>
      <c r="AL144" s="8">
        <v>571</v>
      </c>
      <c r="AM144" s="8" t="s">
        <v>1905</v>
      </c>
    </row>
    <row r="145" spans="7:39" ht="12.75" customHeight="1">
      <c r="G145" s="344"/>
      <c r="H145" s="345">
        <v>46242</v>
      </c>
      <c r="I145" s="8" t="s">
        <v>87</v>
      </c>
      <c r="J145" s="8" t="s">
        <v>91</v>
      </c>
      <c r="K145" s="8" t="s">
        <v>2752</v>
      </c>
      <c r="L145" s="8" t="s">
        <v>98</v>
      </c>
      <c r="M145" s="8" t="s">
        <v>2753</v>
      </c>
      <c r="N145" s="7">
        <v>46242</v>
      </c>
      <c r="O145" s="8" t="s">
        <v>13</v>
      </c>
      <c r="P145" s="8" t="s">
        <v>62</v>
      </c>
      <c r="Q145" s="8" t="s">
        <v>63</v>
      </c>
      <c r="R145" s="8" t="s">
        <v>64</v>
      </c>
      <c r="S145" s="8" t="s">
        <v>19</v>
      </c>
      <c r="T145" s="9">
        <v>6766</v>
      </c>
      <c r="U145" s="9">
        <v>962937.12</v>
      </c>
      <c r="V145" s="8" t="s">
        <v>19</v>
      </c>
      <c r="W145" s="8">
        <v>0</v>
      </c>
      <c r="X145" s="8">
        <v>9</v>
      </c>
      <c r="Y145" s="8">
        <v>86664.34</v>
      </c>
      <c r="Z145" s="8">
        <v>9</v>
      </c>
      <c r="AA145" s="8">
        <v>86664.34</v>
      </c>
      <c r="AB145" s="8">
        <v>0</v>
      </c>
      <c r="AC145" s="8">
        <v>0</v>
      </c>
      <c r="AD145" s="8">
        <v>0</v>
      </c>
      <c r="AE145" s="8">
        <v>173328.68</v>
      </c>
      <c r="AF145" s="8">
        <v>0</v>
      </c>
      <c r="AG145" s="8" t="s">
        <v>65</v>
      </c>
      <c r="AH145" s="8" t="s">
        <v>11</v>
      </c>
      <c r="AI145" s="8">
        <v>39269080</v>
      </c>
      <c r="AJ145" s="8" t="s">
        <v>60</v>
      </c>
      <c r="AK145" s="8">
        <v>1</v>
      </c>
      <c r="AL145" s="8">
        <v>6766</v>
      </c>
      <c r="AM145" s="8" t="s">
        <v>1905</v>
      </c>
    </row>
    <row r="146" spans="7:39" ht="12.75" customHeight="1">
      <c r="G146" s="344"/>
      <c r="H146" s="345">
        <v>46242</v>
      </c>
      <c r="I146" s="8" t="s">
        <v>87</v>
      </c>
      <c r="J146" s="8" t="s">
        <v>91</v>
      </c>
      <c r="K146" s="8" t="s">
        <v>2754</v>
      </c>
      <c r="L146" s="8" t="s">
        <v>98</v>
      </c>
      <c r="M146" s="8" t="s">
        <v>2755</v>
      </c>
      <c r="N146" s="7">
        <v>46242</v>
      </c>
      <c r="O146" s="8" t="s">
        <v>13</v>
      </c>
      <c r="P146" s="8" t="s">
        <v>62</v>
      </c>
      <c r="Q146" s="8" t="s">
        <v>76</v>
      </c>
      <c r="R146" s="8" t="s">
        <v>77</v>
      </c>
      <c r="S146" s="8" t="s">
        <v>21</v>
      </c>
      <c r="T146" s="9">
        <v>1751</v>
      </c>
      <c r="U146" s="9">
        <v>252704.32</v>
      </c>
      <c r="V146" s="8" t="s">
        <v>21</v>
      </c>
      <c r="W146" s="8">
        <v>1334224.2</v>
      </c>
      <c r="X146" s="8">
        <v>9</v>
      </c>
      <c r="Y146" s="8">
        <v>22743.39</v>
      </c>
      <c r="Z146" s="8">
        <v>9</v>
      </c>
      <c r="AA146" s="8">
        <v>22743.39</v>
      </c>
      <c r="AB146" s="8">
        <v>0</v>
      </c>
      <c r="AC146" s="8">
        <v>0</v>
      </c>
      <c r="AD146" s="8">
        <v>0</v>
      </c>
      <c r="AE146" s="8">
        <v>45486.78</v>
      </c>
      <c r="AF146" s="8">
        <v>0</v>
      </c>
      <c r="AG146" s="8" t="s">
        <v>65</v>
      </c>
      <c r="AH146" s="8" t="s">
        <v>11</v>
      </c>
      <c r="AI146" s="8">
        <v>63053300</v>
      </c>
      <c r="AJ146" s="8" t="s">
        <v>60</v>
      </c>
      <c r="AK146" s="8">
        <v>1</v>
      </c>
      <c r="AL146" s="8">
        <v>1751</v>
      </c>
      <c r="AM146" s="8" t="s">
        <v>1905</v>
      </c>
    </row>
    <row r="147" spans="7:39" ht="12.75" customHeight="1">
      <c r="G147" s="344"/>
      <c r="H147" s="345">
        <v>46242</v>
      </c>
      <c r="I147" s="8" t="s">
        <v>87</v>
      </c>
      <c r="J147" s="8" t="s">
        <v>91</v>
      </c>
      <c r="K147" s="8" t="s">
        <v>2754</v>
      </c>
      <c r="L147" s="8" t="s">
        <v>98</v>
      </c>
      <c r="M147" s="8" t="s">
        <v>2755</v>
      </c>
      <c r="N147" s="7">
        <v>46242</v>
      </c>
      <c r="O147" s="8" t="s">
        <v>13</v>
      </c>
      <c r="P147" s="8" t="s">
        <v>62</v>
      </c>
      <c r="Q147" s="8" t="s">
        <v>76</v>
      </c>
      <c r="R147" s="8" t="s">
        <v>77</v>
      </c>
      <c r="S147" s="8" t="s">
        <v>21</v>
      </c>
      <c r="T147" s="9">
        <v>661</v>
      </c>
      <c r="U147" s="9">
        <v>96717.52</v>
      </c>
      <c r="V147" s="8" t="s">
        <v>21</v>
      </c>
      <c r="W147" s="8">
        <v>0</v>
      </c>
      <c r="X147" s="8">
        <v>9</v>
      </c>
      <c r="Y147" s="8">
        <v>8704.58</v>
      </c>
      <c r="Z147" s="8">
        <v>9</v>
      </c>
      <c r="AA147" s="8">
        <v>8704.58</v>
      </c>
      <c r="AB147" s="8">
        <v>0</v>
      </c>
      <c r="AC147" s="8">
        <v>0</v>
      </c>
      <c r="AD147" s="8">
        <v>0</v>
      </c>
      <c r="AE147" s="8">
        <v>17409.16</v>
      </c>
      <c r="AF147" s="8">
        <v>0</v>
      </c>
      <c r="AG147" s="8" t="s">
        <v>65</v>
      </c>
      <c r="AH147" s="8" t="s">
        <v>11</v>
      </c>
      <c r="AI147" s="8">
        <v>63053300</v>
      </c>
      <c r="AJ147" s="8" t="s">
        <v>60</v>
      </c>
      <c r="AK147" s="8">
        <v>1</v>
      </c>
      <c r="AL147" s="8">
        <v>661</v>
      </c>
      <c r="AM147" s="8" t="s">
        <v>1905</v>
      </c>
    </row>
    <row r="148" spans="7:39" ht="12.75" customHeight="1">
      <c r="G148" s="344"/>
      <c r="H148" s="345">
        <v>46242</v>
      </c>
      <c r="I148" s="8" t="s">
        <v>87</v>
      </c>
      <c r="J148" s="8" t="s">
        <v>91</v>
      </c>
      <c r="K148" s="8" t="s">
        <v>2754</v>
      </c>
      <c r="L148" s="8" t="s">
        <v>98</v>
      </c>
      <c r="M148" s="8" t="s">
        <v>2755</v>
      </c>
      <c r="N148" s="7">
        <v>46242</v>
      </c>
      <c r="O148" s="8" t="s">
        <v>13</v>
      </c>
      <c r="P148" s="8" t="s">
        <v>62</v>
      </c>
      <c r="Q148" s="8" t="s">
        <v>63</v>
      </c>
      <c r="R148" s="8" t="s">
        <v>64</v>
      </c>
      <c r="S148" s="8" t="s">
        <v>19</v>
      </c>
      <c r="T148" s="9">
        <v>483</v>
      </c>
      <c r="U148" s="9">
        <v>69706.559999999998</v>
      </c>
      <c r="V148" s="8" t="s">
        <v>19</v>
      </c>
      <c r="W148" s="8">
        <v>0</v>
      </c>
      <c r="X148" s="8">
        <v>9</v>
      </c>
      <c r="Y148" s="8">
        <v>6273.59</v>
      </c>
      <c r="Z148" s="8">
        <v>9</v>
      </c>
      <c r="AA148" s="8">
        <v>6273.59</v>
      </c>
      <c r="AB148" s="8">
        <v>0</v>
      </c>
      <c r="AC148" s="8">
        <v>0</v>
      </c>
      <c r="AD148" s="8">
        <v>0</v>
      </c>
      <c r="AE148" s="8">
        <v>12547.18</v>
      </c>
      <c r="AF148" s="8">
        <v>0</v>
      </c>
      <c r="AG148" s="8" t="s">
        <v>65</v>
      </c>
      <c r="AH148" s="8" t="s">
        <v>11</v>
      </c>
      <c r="AI148" s="8">
        <v>39269080</v>
      </c>
      <c r="AJ148" s="8" t="s">
        <v>60</v>
      </c>
      <c r="AK148" s="8">
        <v>1</v>
      </c>
      <c r="AL148" s="8">
        <v>483</v>
      </c>
      <c r="AM148" s="8" t="s">
        <v>1905</v>
      </c>
    </row>
    <row r="149" spans="7:39" ht="12.75" customHeight="1">
      <c r="G149" s="344"/>
      <c r="H149" s="345">
        <v>46242</v>
      </c>
      <c r="I149" s="8" t="s">
        <v>87</v>
      </c>
      <c r="J149" s="8" t="s">
        <v>91</v>
      </c>
      <c r="K149" s="8" t="s">
        <v>2754</v>
      </c>
      <c r="L149" s="8" t="s">
        <v>98</v>
      </c>
      <c r="M149" s="8" t="s">
        <v>2755</v>
      </c>
      <c r="N149" s="7">
        <v>46242</v>
      </c>
      <c r="O149" s="8" t="s">
        <v>13</v>
      </c>
      <c r="P149" s="8" t="s">
        <v>62</v>
      </c>
      <c r="Q149" s="8" t="s">
        <v>63</v>
      </c>
      <c r="R149" s="8" t="s">
        <v>64</v>
      </c>
      <c r="S149" s="8" t="s">
        <v>19</v>
      </c>
      <c r="T149" s="9">
        <v>2335</v>
      </c>
      <c r="U149" s="9">
        <v>332317.2</v>
      </c>
      <c r="V149" s="8" t="s">
        <v>19</v>
      </c>
      <c r="W149" s="8">
        <v>0</v>
      </c>
      <c r="X149" s="8">
        <v>9</v>
      </c>
      <c r="Y149" s="8">
        <v>29908.55</v>
      </c>
      <c r="Z149" s="8">
        <v>9</v>
      </c>
      <c r="AA149" s="8">
        <v>29908.55</v>
      </c>
      <c r="AB149" s="8">
        <v>0</v>
      </c>
      <c r="AC149" s="8">
        <v>0</v>
      </c>
      <c r="AD149" s="8">
        <v>0</v>
      </c>
      <c r="AE149" s="8">
        <v>59817.1</v>
      </c>
      <c r="AF149" s="8">
        <v>0</v>
      </c>
      <c r="AG149" s="8" t="s">
        <v>65</v>
      </c>
      <c r="AH149" s="8" t="s">
        <v>11</v>
      </c>
      <c r="AI149" s="8">
        <v>39269080</v>
      </c>
      <c r="AJ149" s="8" t="s">
        <v>60</v>
      </c>
      <c r="AK149" s="8">
        <v>1</v>
      </c>
      <c r="AL149" s="8">
        <v>2335</v>
      </c>
      <c r="AM149" s="8" t="s">
        <v>1905</v>
      </c>
    </row>
    <row r="150" spans="7:39" ht="12.75" customHeight="1">
      <c r="G150" s="344"/>
      <c r="H150" s="345">
        <v>46242</v>
      </c>
      <c r="I150" s="8" t="s">
        <v>87</v>
      </c>
      <c r="J150" s="8" t="s">
        <v>91</v>
      </c>
      <c r="K150" s="8" t="s">
        <v>2754</v>
      </c>
      <c r="L150" s="8" t="s">
        <v>98</v>
      </c>
      <c r="M150" s="8" t="s">
        <v>2755</v>
      </c>
      <c r="N150" s="7">
        <v>46242</v>
      </c>
      <c r="O150" s="8" t="s">
        <v>13</v>
      </c>
      <c r="P150" s="8" t="s">
        <v>24</v>
      </c>
      <c r="Q150" s="8" t="s">
        <v>79</v>
      </c>
      <c r="R150" s="8" t="s">
        <v>79</v>
      </c>
      <c r="S150" s="344" t="s">
        <v>24</v>
      </c>
      <c r="T150" s="9">
        <v>1062.8</v>
      </c>
      <c r="U150" s="9">
        <v>153383.29999999999</v>
      </c>
      <c r="V150" s="8" t="s">
        <v>24</v>
      </c>
      <c r="W150" s="8">
        <v>0</v>
      </c>
      <c r="X150" s="8">
        <v>9</v>
      </c>
      <c r="Y150" s="8">
        <v>13804.5</v>
      </c>
      <c r="Z150" s="8">
        <v>9</v>
      </c>
      <c r="AA150" s="8">
        <v>13804.5</v>
      </c>
      <c r="AB150" s="8">
        <v>0</v>
      </c>
      <c r="AC150" s="8">
        <v>0</v>
      </c>
      <c r="AD150" s="8">
        <v>0</v>
      </c>
      <c r="AE150" s="8">
        <v>27609</v>
      </c>
      <c r="AF150" s="8">
        <v>0</v>
      </c>
      <c r="AG150" s="8" t="s">
        <v>65</v>
      </c>
      <c r="AH150" s="8" t="s">
        <v>11</v>
      </c>
      <c r="AI150" s="8">
        <v>3926908</v>
      </c>
      <c r="AJ150" s="8" t="s">
        <v>60</v>
      </c>
      <c r="AK150" s="8">
        <v>1</v>
      </c>
      <c r="AL150" s="8">
        <v>1062.8</v>
      </c>
      <c r="AM150" s="8" t="s">
        <v>1905</v>
      </c>
    </row>
    <row r="151" spans="7:39" ht="12.75" customHeight="1">
      <c r="G151" s="344"/>
      <c r="H151" s="345">
        <v>46242</v>
      </c>
      <c r="I151" s="8" t="s">
        <v>87</v>
      </c>
      <c r="J151" s="8" t="s">
        <v>91</v>
      </c>
      <c r="K151" s="8" t="s">
        <v>2754</v>
      </c>
      <c r="L151" s="8" t="s">
        <v>98</v>
      </c>
      <c r="M151" s="8" t="s">
        <v>2755</v>
      </c>
      <c r="N151" s="7">
        <v>46242</v>
      </c>
      <c r="O151" s="8" t="s">
        <v>13</v>
      </c>
      <c r="P151" s="8" t="s">
        <v>24</v>
      </c>
      <c r="Q151" s="8" t="s">
        <v>79</v>
      </c>
      <c r="R151" s="8" t="s">
        <v>79</v>
      </c>
      <c r="S151" s="8" t="s">
        <v>24</v>
      </c>
      <c r="T151" s="9">
        <v>1539.7</v>
      </c>
      <c r="U151" s="9">
        <v>226828.6</v>
      </c>
      <c r="V151" s="8" t="s">
        <v>24</v>
      </c>
      <c r="W151" s="8">
        <v>0</v>
      </c>
      <c r="X151" s="8">
        <v>9</v>
      </c>
      <c r="Y151" s="8">
        <v>20414.57</v>
      </c>
      <c r="Z151" s="8">
        <v>9</v>
      </c>
      <c r="AA151" s="8">
        <v>20414.57</v>
      </c>
      <c r="AB151" s="8">
        <v>0</v>
      </c>
      <c r="AC151" s="8">
        <v>0</v>
      </c>
      <c r="AD151" s="8">
        <v>0</v>
      </c>
      <c r="AE151" s="8">
        <v>40829.14</v>
      </c>
      <c r="AF151" s="8">
        <v>0</v>
      </c>
      <c r="AG151" s="8" t="s">
        <v>65</v>
      </c>
      <c r="AH151" s="8" t="s">
        <v>11</v>
      </c>
      <c r="AI151" s="8">
        <v>3926908</v>
      </c>
      <c r="AJ151" s="8" t="s">
        <v>60</v>
      </c>
      <c r="AK151" s="8">
        <v>1</v>
      </c>
      <c r="AL151" s="8">
        <v>1539.7</v>
      </c>
      <c r="AM151" s="8" t="s">
        <v>1905</v>
      </c>
    </row>
    <row r="152" spans="7:39" ht="12.75" customHeight="1">
      <c r="G152" s="344"/>
      <c r="H152" s="345">
        <v>46273</v>
      </c>
      <c r="I152" s="8" t="s">
        <v>103</v>
      </c>
      <c r="J152" s="8" t="s">
        <v>88</v>
      </c>
      <c r="K152" s="8" t="s">
        <v>2756</v>
      </c>
      <c r="L152" s="8" t="s">
        <v>2335</v>
      </c>
      <c r="M152" s="8" t="s">
        <v>2757</v>
      </c>
      <c r="N152" s="7">
        <v>46242</v>
      </c>
      <c r="O152" s="8" t="s">
        <v>15</v>
      </c>
      <c r="P152" s="8" t="s">
        <v>2758</v>
      </c>
      <c r="Q152" s="8" t="s">
        <v>2759</v>
      </c>
      <c r="R152" s="8" t="s">
        <v>349</v>
      </c>
      <c r="S152" s="8" t="s">
        <v>2760</v>
      </c>
      <c r="T152" s="9">
        <v>3198.4</v>
      </c>
      <c r="U152" s="9">
        <v>522394.67</v>
      </c>
      <c r="V152" s="8" t="s">
        <v>2760</v>
      </c>
      <c r="W152" s="8">
        <v>522394.67</v>
      </c>
      <c r="X152" s="8">
        <v>0</v>
      </c>
      <c r="Y152" s="8">
        <v>0</v>
      </c>
      <c r="Z152" s="8">
        <v>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8" t="s">
        <v>104</v>
      </c>
      <c r="AH152" s="8" t="s">
        <v>11</v>
      </c>
      <c r="AI152" s="8">
        <v>39232990</v>
      </c>
      <c r="AJ152" s="8" t="s">
        <v>60</v>
      </c>
      <c r="AK152" s="8">
        <v>1</v>
      </c>
      <c r="AL152" s="8">
        <v>3198.4</v>
      </c>
      <c r="AM152" s="8" t="s">
        <v>1905</v>
      </c>
    </row>
    <row r="153" spans="7:39" ht="12.75" customHeight="1">
      <c r="G153" s="344"/>
      <c r="H153" s="345">
        <v>46273</v>
      </c>
      <c r="I153" s="8" t="s">
        <v>2312</v>
      </c>
      <c r="J153" s="8" t="s">
        <v>96</v>
      </c>
      <c r="K153" s="8" t="s">
        <v>2761</v>
      </c>
      <c r="L153" s="8" t="s">
        <v>97</v>
      </c>
      <c r="M153" s="8" t="s">
        <v>2762</v>
      </c>
      <c r="N153" s="7">
        <v>46150</v>
      </c>
      <c r="O153" s="8" t="s">
        <v>2</v>
      </c>
      <c r="P153" s="8" t="s">
        <v>2718</v>
      </c>
      <c r="Q153" s="8" t="s">
        <v>68</v>
      </c>
      <c r="R153" s="8" t="s">
        <v>69</v>
      </c>
      <c r="S153" s="8" t="s">
        <v>2763</v>
      </c>
      <c r="T153" s="9">
        <v>10</v>
      </c>
      <c r="U153" s="9">
        <v>2150</v>
      </c>
      <c r="V153" s="8" t="s">
        <v>2763</v>
      </c>
      <c r="W153" s="8">
        <v>2655</v>
      </c>
      <c r="X153" s="8">
        <v>9</v>
      </c>
      <c r="Y153" s="8">
        <v>193.5</v>
      </c>
      <c r="Z153" s="8">
        <v>9</v>
      </c>
      <c r="AA153" s="8">
        <v>193.5</v>
      </c>
      <c r="AB153" s="8">
        <v>0</v>
      </c>
      <c r="AC153" s="8">
        <v>0</v>
      </c>
      <c r="AD153" s="8">
        <v>18</v>
      </c>
      <c r="AE153" s="8">
        <v>405</v>
      </c>
      <c r="AF153" s="8">
        <v>0</v>
      </c>
      <c r="AG153" s="8" t="s">
        <v>2474</v>
      </c>
      <c r="AH153" s="8" t="s">
        <v>1</v>
      </c>
      <c r="AI153" s="8">
        <v>34039900</v>
      </c>
      <c r="AJ153" s="8" t="s">
        <v>60</v>
      </c>
      <c r="AK153" s="8">
        <v>1</v>
      </c>
      <c r="AL153" s="8">
        <v>0</v>
      </c>
      <c r="AM153" s="8" t="s">
        <v>1905</v>
      </c>
    </row>
    <row r="154" spans="7:39" ht="12.75" customHeight="1">
      <c r="G154" s="344"/>
      <c r="H154" s="345">
        <v>46273</v>
      </c>
      <c r="I154" s="8" t="s">
        <v>87</v>
      </c>
      <c r="J154" s="8" t="s">
        <v>96</v>
      </c>
      <c r="K154" s="8" t="s">
        <v>2764</v>
      </c>
      <c r="L154" s="8" t="s">
        <v>97</v>
      </c>
      <c r="M154" s="8" t="s">
        <v>2765</v>
      </c>
      <c r="N154" s="7">
        <v>46273</v>
      </c>
      <c r="O154" s="8" t="s">
        <v>2</v>
      </c>
      <c r="P154" s="8" t="s">
        <v>67</v>
      </c>
      <c r="Q154" s="8" t="s">
        <v>68</v>
      </c>
      <c r="R154" s="8" t="s">
        <v>69</v>
      </c>
      <c r="S154" s="8" t="s">
        <v>70</v>
      </c>
      <c r="T154" s="9">
        <v>367</v>
      </c>
      <c r="U154" s="9">
        <v>17616</v>
      </c>
      <c r="V154" s="8" t="s">
        <v>70</v>
      </c>
      <c r="W154" s="8">
        <v>20769.259999999998</v>
      </c>
      <c r="X154" s="8">
        <v>9</v>
      </c>
      <c r="Y154" s="8">
        <v>1585.44</v>
      </c>
      <c r="Z154" s="8">
        <v>9</v>
      </c>
      <c r="AA154" s="8">
        <v>1585.44</v>
      </c>
      <c r="AB154" s="8">
        <v>0</v>
      </c>
      <c r="AC154" s="8">
        <v>0</v>
      </c>
      <c r="AD154" s="8">
        <v>0</v>
      </c>
      <c r="AE154" s="8">
        <v>3170.88</v>
      </c>
      <c r="AF154" s="8">
        <v>0</v>
      </c>
      <c r="AG154" s="8" t="s">
        <v>65</v>
      </c>
      <c r="AH154" s="8" t="s">
        <v>11</v>
      </c>
      <c r="AI154" s="8">
        <v>73063090</v>
      </c>
      <c r="AJ154" s="8" t="s">
        <v>60</v>
      </c>
      <c r="AK154" s="8">
        <v>1</v>
      </c>
      <c r="AL154" s="8">
        <v>0</v>
      </c>
      <c r="AM154" s="8" t="s">
        <v>1905</v>
      </c>
    </row>
    <row r="155" spans="7:39" ht="12.75" customHeight="1">
      <c r="G155" s="344"/>
      <c r="H155" s="345">
        <v>46273</v>
      </c>
      <c r="I155" s="8" t="s">
        <v>87</v>
      </c>
      <c r="J155" s="8" t="s">
        <v>91</v>
      </c>
      <c r="K155" s="8" t="s">
        <v>2766</v>
      </c>
      <c r="L155" s="8" t="s">
        <v>98</v>
      </c>
      <c r="M155" s="8" t="s">
        <v>2767</v>
      </c>
      <c r="N155" s="7">
        <v>46273</v>
      </c>
      <c r="O155" s="8" t="s">
        <v>13</v>
      </c>
      <c r="P155" s="8" t="s">
        <v>62</v>
      </c>
      <c r="Q155" s="8" t="s">
        <v>76</v>
      </c>
      <c r="R155" s="8" t="s">
        <v>77</v>
      </c>
      <c r="S155" s="8" t="s">
        <v>21</v>
      </c>
      <c r="T155" s="9">
        <v>1234</v>
      </c>
      <c r="U155" s="9">
        <v>180558.88</v>
      </c>
      <c r="V155" s="8" t="s">
        <v>21</v>
      </c>
      <c r="W155" s="8">
        <v>1373687.69</v>
      </c>
      <c r="X155" s="8">
        <v>9</v>
      </c>
      <c r="Y155" s="8">
        <v>16250.3</v>
      </c>
      <c r="Z155" s="8">
        <v>9</v>
      </c>
      <c r="AA155" s="8">
        <v>16250.3</v>
      </c>
      <c r="AB155" s="8">
        <v>0</v>
      </c>
      <c r="AC155" s="8">
        <v>0</v>
      </c>
      <c r="AD155" s="8">
        <v>0</v>
      </c>
      <c r="AE155" s="8">
        <v>32500.6</v>
      </c>
      <c r="AF155" s="8">
        <v>0</v>
      </c>
      <c r="AG155" s="8" t="s">
        <v>65</v>
      </c>
      <c r="AH155" s="8" t="s">
        <v>11</v>
      </c>
      <c r="AI155" s="8">
        <v>63053300</v>
      </c>
      <c r="AJ155" s="8" t="s">
        <v>60</v>
      </c>
      <c r="AK155" s="8">
        <v>1</v>
      </c>
      <c r="AL155" s="8">
        <v>1234</v>
      </c>
      <c r="AM155" s="8" t="s">
        <v>1905</v>
      </c>
    </row>
    <row r="156" spans="7:39" ht="12.75" customHeight="1">
      <c r="G156" s="344"/>
      <c r="H156" s="345">
        <v>46273</v>
      </c>
      <c r="I156" s="8" t="s">
        <v>87</v>
      </c>
      <c r="J156" s="8" t="s">
        <v>91</v>
      </c>
      <c r="K156" s="8" t="s">
        <v>2766</v>
      </c>
      <c r="L156" s="8" t="s">
        <v>98</v>
      </c>
      <c r="M156" s="8" t="s">
        <v>2767</v>
      </c>
      <c r="N156" s="7">
        <v>46273</v>
      </c>
      <c r="O156" s="8" t="s">
        <v>13</v>
      </c>
      <c r="P156" s="8" t="s">
        <v>62</v>
      </c>
      <c r="Q156" s="8" t="s">
        <v>63</v>
      </c>
      <c r="R156" s="8" t="s">
        <v>64</v>
      </c>
      <c r="S156" s="8" t="s">
        <v>19</v>
      </c>
      <c r="T156" s="9">
        <v>1139</v>
      </c>
      <c r="U156" s="9">
        <v>164380.48000000001</v>
      </c>
      <c r="V156" s="8" t="s">
        <v>19</v>
      </c>
      <c r="W156" s="8">
        <v>0</v>
      </c>
      <c r="X156" s="8">
        <v>9</v>
      </c>
      <c r="Y156" s="8">
        <v>14794.24</v>
      </c>
      <c r="Z156" s="8">
        <v>9</v>
      </c>
      <c r="AA156" s="8">
        <v>14794.24</v>
      </c>
      <c r="AB156" s="8">
        <v>0</v>
      </c>
      <c r="AC156" s="8">
        <v>0</v>
      </c>
      <c r="AD156" s="8">
        <v>0</v>
      </c>
      <c r="AE156" s="8">
        <v>29588.48</v>
      </c>
      <c r="AF156" s="8">
        <v>0</v>
      </c>
      <c r="AG156" s="8" t="s">
        <v>65</v>
      </c>
      <c r="AH156" s="8" t="s">
        <v>11</v>
      </c>
      <c r="AI156" s="8">
        <v>39269080</v>
      </c>
      <c r="AJ156" s="8" t="s">
        <v>60</v>
      </c>
      <c r="AK156" s="8">
        <v>1</v>
      </c>
      <c r="AL156" s="8">
        <v>1139</v>
      </c>
      <c r="AM156" s="8" t="s">
        <v>1905</v>
      </c>
    </row>
    <row r="157" spans="7:39" ht="12.75" customHeight="1">
      <c r="G157" s="344"/>
      <c r="H157" s="345">
        <v>46273</v>
      </c>
      <c r="I157" s="8" t="s">
        <v>87</v>
      </c>
      <c r="J157" s="8" t="s">
        <v>91</v>
      </c>
      <c r="K157" s="8" t="s">
        <v>2766</v>
      </c>
      <c r="L157" s="8" t="s">
        <v>98</v>
      </c>
      <c r="M157" s="8" t="s">
        <v>2767</v>
      </c>
      <c r="N157" s="7">
        <v>46273</v>
      </c>
      <c r="O157" s="8" t="s">
        <v>13</v>
      </c>
      <c r="P157" s="8" t="s">
        <v>62</v>
      </c>
      <c r="Q157" s="8" t="s">
        <v>63</v>
      </c>
      <c r="R157" s="8" t="s">
        <v>64</v>
      </c>
      <c r="S157" s="8" t="s">
        <v>19</v>
      </c>
      <c r="T157" s="9">
        <v>5763</v>
      </c>
      <c r="U157" s="9">
        <v>820190.16</v>
      </c>
      <c r="V157" s="8" t="s">
        <v>19</v>
      </c>
      <c r="W157" s="8">
        <v>0</v>
      </c>
      <c r="X157" s="8">
        <v>9</v>
      </c>
      <c r="Y157" s="8">
        <v>73817.11</v>
      </c>
      <c r="Z157" s="8">
        <v>9</v>
      </c>
      <c r="AA157" s="8">
        <v>73817.11</v>
      </c>
      <c r="AB157" s="8">
        <v>0</v>
      </c>
      <c r="AC157" s="8">
        <v>0</v>
      </c>
      <c r="AD157" s="8">
        <v>0</v>
      </c>
      <c r="AE157" s="8">
        <v>147634.22</v>
      </c>
      <c r="AF157" s="8">
        <v>0</v>
      </c>
      <c r="AG157" s="8" t="s">
        <v>65</v>
      </c>
      <c r="AH157" s="8" t="s">
        <v>11</v>
      </c>
      <c r="AI157" s="8">
        <v>39269080</v>
      </c>
      <c r="AJ157" s="8" t="s">
        <v>60</v>
      </c>
      <c r="AK157" s="8">
        <v>1</v>
      </c>
      <c r="AL157" s="8">
        <v>5763</v>
      </c>
      <c r="AM157" s="8" t="s">
        <v>1905</v>
      </c>
    </row>
    <row r="158" spans="7:39" ht="12.75" customHeight="1">
      <c r="G158" s="344"/>
      <c r="H158" s="345">
        <v>46273</v>
      </c>
      <c r="I158" s="8" t="s">
        <v>87</v>
      </c>
      <c r="J158" s="8" t="s">
        <v>91</v>
      </c>
      <c r="K158" s="8" t="s">
        <v>2768</v>
      </c>
      <c r="L158" s="8" t="s">
        <v>98</v>
      </c>
      <c r="M158" s="8" t="s">
        <v>2769</v>
      </c>
      <c r="N158" s="7">
        <v>46273</v>
      </c>
      <c r="O158" s="8" t="s">
        <v>13</v>
      </c>
      <c r="P158" s="8" t="s">
        <v>62</v>
      </c>
      <c r="Q158" s="8" t="s">
        <v>76</v>
      </c>
      <c r="R158" s="8" t="s">
        <v>77</v>
      </c>
      <c r="S158" s="8" t="s">
        <v>21</v>
      </c>
      <c r="T158" s="9">
        <v>255</v>
      </c>
      <c r="U158" s="9">
        <v>38586.6</v>
      </c>
      <c r="V158" s="8" t="s">
        <v>21</v>
      </c>
      <c r="W158" s="8">
        <v>231711.5</v>
      </c>
      <c r="X158" s="8">
        <v>9</v>
      </c>
      <c r="Y158" s="8">
        <v>3472.79</v>
      </c>
      <c r="Z158" s="8">
        <v>9</v>
      </c>
      <c r="AA158" s="8">
        <v>3472.79</v>
      </c>
      <c r="AB158" s="8">
        <v>0</v>
      </c>
      <c r="AC158" s="8">
        <v>0</v>
      </c>
      <c r="AD158" s="8">
        <v>0</v>
      </c>
      <c r="AE158" s="8">
        <v>6945.58</v>
      </c>
      <c r="AF158" s="8">
        <v>0</v>
      </c>
      <c r="AG158" s="8" t="s">
        <v>65</v>
      </c>
      <c r="AH158" s="8" t="s">
        <v>11</v>
      </c>
      <c r="AI158" s="8">
        <v>63053300</v>
      </c>
      <c r="AJ158" s="8" t="s">
        <v>60</v>
      </c>
      <c r="AK158" s="8">
        <v>1</v>
      </c>
      <c r="AL158" s="8">
        <v>255</v>
      </c>
      <c r="AM158" s="8" t="s">
        <v>1905</v>
      </c>
    </row>
    <row r="159" spans="7:39" ht="12.75" customHeight="1">
      <c r="G159" s="344"/>
      <c r="H159" s="345">
        <v>46273</v>
      </c>
      <c r="I159" s="8" t="s">
        <v>87</v>
      </c>
      <c r="J159" s="8" t="s">
        <v>91</v>
      </c>
      <c r="K159" s="8" t="s">
        <v>2768</v>
      </c>
      <c r="L159" s="8" t="s">
        <v>98</v>
      </c>
      <c r="M159" s="8" t="s">
        <v>2769</v>
      </c>
      <c r="N159" s="7">
        <v>46273</v>
      </c>
      <c r="O159" s="8" t="s">
        <v>13</v>
      </c>
      <c r="P159" s="8" t="s">
        <v>24</v>
      </c>
      <c r="Q159" s="8" t="s">
        <v>79</v>
      </c>
      <c r="R159" s="8" t="s">
        <v>79</v>
      </c>
      <c r="S159" s="8" t="s">
        <v>24</v>
      </c>
      <c r="T159" s="9">
        <v>147.1</v>
      </c>
      <c r="U159" s="9">
        <v>21670.77</v>
      </c>
      <c r="V159" s="8" t="s">
        <v>24</v>
      </c>
      <c r="W159" s="8">
        <v>0</v>
      </c>
      <c r="X159" s="8">
        <v>9</v>
      </c>
      <c r="Y159" s="8">
        <v>1950.37</v>
      </c>
      <c r="Z159" s="8">
        <v>9</v>
      </c>
      <c r="AA159" s="8">
        <v>1950.37</v>
      </c>
      <c r="AB159" s="8">
        <v>0</v>
      </c>
      <c r="AC159" s="8">
        <v>0</v>
      </c>
      <c r="AD159" s="8">
        <v>0</v>
      </c>
      <c r="AE159" s="8">
        <v>3900.74</v>
      </c>
      <c r="AF159" s="8">
        <v>0</v>
      </c>
      <c r="AG159" s="8" t="s">
        <v>65</v>
      </c>
      <c r="AH159" s="8" t="s">
        <v>11</v>
      </c>
      <c r="AI159" s="8">
        <v>3926908</v>
      </c>
      <c r="AJ159" s="8" t="s">
        <v>60</v>
      </c>
      <c r="AK159" s="8">
        <v>1</v>
      </c>
      <c r="AL159" s="8">
        <v>147.1</v>
      </c>
      <c r="AM159" s="8" t="s">
        <v>1905</v>
      </c>
    </row>
    <row r="160" spans="7:39" ht="12.75" customHeight="1">
      <c r="G160" s="344"/>
      <c r="H160" s="345">
        <v>46273</v>
      </c>
      <c r="I160" s="8" t="s">
        <v>87</v>
      </c>
      <c r="J160" s="8" t="s">
        <v>91</v>
      </c>
      <c r="K160" s="8" t="s">
        <v>2768</v>
      </c>
      <c r="L160" s="8" t="s">
        <v>98</v>
      </c>
      <c r="M160" s="8" t="s">
        <v>2769</v>
      </c>
      <c r="N160" s="7">
        <v>46273</v>
      </c>
      <c r="O160" s="8" t="s">
        <v>15</v>
      </c>
      <c r="P160" s="8" t="s">
        <v>2076</v>
      </c>
      <c r="Q160" s="8" t="s">
        <v>2076</v>
      </c>
      <c r="R160" s="8" t="s">
        <v>2076</v>
      </c>
      <c r="S160" s="8" t="s">
        <v>77</v>
      </c>
      <c r="T160" s="9">
        <v>730</v>
      </c>
      <c r="U160" s="9">
        <v>112653.6</v>
      </c>
      <c r="V160" s="8" t="s">
        <v>2076</v>
      </c>
      <c r="W160" s="8">
        <v>0</v>
      </c>
      <c r="X160" s="8">
        <v>9</v>
      </c>
      <c r="Y160" s="8">
        <v>10138.82</v>
      </c>
      <c r="Z160" s="8">
        <v>9</v>
      </c>
      <c r="AA160" s="8">
        <v>10138.82</v>
      </c>
      <c r="AB160" s="8">
        <v>0</v>
      </c>
      <c r="AC160" s="8">
        <v>0</v>
      </c>
      <c r="AD160" s="8">
        <v>0</v>
      </c>
      <c r="AE160" s="8">
        <v>20277.64</v>
      </c>
      <c r="AF160" s="8">
        <v>0</v>
      </c>
      <c r="AG160" s="8" t="s">
        <v>65</v>
      </c>
      <c r="AH160" s="8" t="s">
        <v>11</v>
      </c>
      <c r="AI160" s="8">
        <v>39269080</v>
      </c>
      <c r="AJ160" s="8" t="s">
        <v>60</v>
      </c>
      <c r="AK160" s="8">
        <v>1</v>
      </c>
      <c r="AL160" s="8">
        <v>730</v>
      </c>
      <c r="AM160" s="8" t="s">
        <v>1905</v>
      </c>
    </row>
    <row r="161" spans="7:39" ht="12.75" customHeight="1">
      <c r="G161" s="344"/>
      <c r="H161" s="345">
        <v>46273</v>
      </c>
      <c r="I161" s="8" t="s">
        <v>87</v>
      </c>
      <c r="J161" s="8" t="s">
        <v>91</v>
      </c>
      <c r="K161" s="8" t="s">
        <v>2768</v>
      </c>
      <c r="L161" s="8" t="s">
        <v>98</v>
      </c>
      <c r="M161" s="8" t="s">
        <v>2769</v>
      </c>
      <c r="N161" s="7">
        <v>46273</v>
      </c>
      <c r="O161" s="8" t="s">
        <v>15</v>
      </c>
      <c r="P161" s="8" t="s">
        <v>2076</v>
      </c>
      <c r="Q161" s="8" t="s">
        <v>2076</v>
      </c>
      <c r="R161" s="8" t="s">
        <v>2076</v>
      </c>
      <c r="S161" s="8" t="s">
        <v>79</v>
      </c>
      <c r="T161" s="9">
        <v>72</v>
      </c>
      <c r="U161" s="9">
        <v>10967.04</v>
      </c>
      <c r="V161" s="8" t="s">
        <v>2076</v>
      </c>
      <c r="W161" s="8">
        <v>0</v>
      </c>
      <c r="X161" s="8">
        <v>9</v>
      </c>
      <c r="Y161" s="8">
        <v>987.03</v>
      </c>
      <c r="Z161" s="8">
        <v>9</v>
      </c>
      <c r="AA161" s="8">
        <v>987.03</v>
      </c>
      <c r="AB161" s="8">
        <v>0</v>
      </c>
      <c r="AC161" s="8">
        <v>0</v>
      </c>
      <c r="AD161" s="8">
        <v>0</v>
      </c>
      <c r="AE161" s="8">
        <v>1974.06</v>
      </c>
      <c r="AF161" s="8">
        <v>0</v>
      </c>
      <c r="AG161" s="8" t="s">
        <v>65</v>
      </c>
      <c r="AH161" s="8" t="s">
        <v>11</v>
      </c>
      <c r="AI161" s="8">
        <v>39269080</v>
      </c>
      <c r="AJ161" s="8" t="s">
        <v>60</v>
      </c>
      <c r="AK161" s="8">
        <v>1</v>
      </c>
      <c r="AL161" s="8">
        <v>72</v>
      </c>
      <c r="AM161" s="8" t="s">
        <v>1905</v>
      </c>
    </row>
    <row r="162" spans="7:39" ht="12.75" customHeight="1">
      <c r="G162" s="344"/>
      <c r="H162" s="345">
        <v>46273</v>
      </c>
      <c r="I162" s="8" t="s">
        <v>87</v>
      </c>
      <c r="J162" s="8" t="s">
        <v>91</v>
      </c>
      <c r="K162" s="8" t="s">
        <v>2768</v>
      </c>
      <c r="L162" s="8" t="s">
        <v>98</v>
      </c>
      <c r="M162" s="8" t="s">
        <v>2769</v>
      </c>
      <c r="N162" s="7">
        <v>46273</v>
      </c>
      <c r="O162" s="8" t="s">
        <v>15</v>
      </c>
      <c r="P162" s="8" t="s">
        <v>2076</v>
      </c>
      <c r="Q162" s="8" t="s">
        <v>2076</v>
      </c>
      <c r="R162" s="8" t="s">
        <v>2076</v>
      </c>
      <c r="S162" s="8" t="s">
        <v>77</v>
      </c>
      <c r="T162" s="9">
        <v>82</v>
      </c>
      <c r="U162" s="9">
        <v>12654.24</v>
      </c>
      <c r="V162" s="8" t="s">
        <v>2076</v>
      </c>
      <c r="W162" s="8">
        <v>0</v>
      </c>
      <c r="X162" s="8">
        <v>9</v>
      </c>
      <c r="Y162" s="8">
        <v>1138.8800000000001</v>
      </c>
      <c r="Z162" s="8">
        <v>9</v>
      </c>
      <c r="AA162" s="8">
        <v>1138.8800000000001</v>
      </c>
      <c r="AB162" s="8">
        <v>0</v>
      </c>
      <c r="AC162" s="8">
        <v>0</v>
      </c>
      <c r="AD162" s="8">
        <v>0</v>
      </c>
      <c r="AE162" s="8">
        <v>2277.7600000000002</v>
      </c>
      <c r="AF162" s="8">
        <v>0</v>
      </c>
      <c r="AG162" s="8" t="s">
        <v>65</v>
      </c>
      <c r="AH162" s="8" t="s">
        <v>11</v>
      </c>
      <c r="AI162" s="8">
        <v>39269080</v>
      </c>
      <c r="AJ162" s="8" t="s">
        <v>60</v>
      </c>
      <c r="AK162" s="8">
        <v>1</v>
      </c>
      <c r="AL162" s="8">
        <v>82</v>
      </c>
      <c r="AM162" s="8" t="s">
        <v>1905</v>
      </c>
    </row>
    <row r="163" spans="7:39" ht="12.75" customHeight="1">
      <c r="G163" s="344"/>
      <c r="H163" s="345">
        <v>46273</v>
      </c>
      <c r="I163" s="8" t="s">
        <v>87</v>
      </c>
      <c r="J163" s="8" t="s">
        <v>91</v>
      </c>
      <c r="K163" s="8" t="s">
        <v>2770</v>
      </c>
      <c r="L163" s="8" t="s">
        <v>98</v>
      </c>
      <c r="M163" s="8" t="s">
        <v>2771</v>
      </c>
      <c r="N163" s="7">
        <v>46273</v>
      </c>
      <c r="O163" s="8" t="s">
        <v>13</v>
      </c>
      <c r="P163" s="8" t="s">
        <v>80</v>
      </c>
      <c r="Q163" s="8" t="s">
        <v>81</v>
      </c>
      <c r="R163" s="8" t="s">
        <v>82</v>
      </c>
      <c r="S163" s="8" t="s">
        <v>17</v>
      </c>
      <c r="T163" s="9">
        <v>1625.7</v>
      </c>
      <c r="U163" s="9">
        <v>287521.3</v>
      </c>
      <c r="V163" s="8" t="s">
        <v>17</v>
      </c>
      <c r="W163" s="8">
        <v>1612534.33</v>
      </c>
      <c r="X163" s="8">
        <v>9</v>
      </c>
      <c r="Y163" s="8">
        <v>25876.92</v>
      </c>
      <c r="Z163" s="8">
        <v>9</v>
      </c>
      <c r="AA163" s="8">
        <v>25876.92</v>
      </c>
      <c r="AB163" s="8">
        <v>0</v>
      </c>
      <c r="AC163" s="8">
        <v>0</v>
      </c>
      <c r="AD163" s="8">
        <v>0</v>
      </c>
      <c r="AE163" s="8">
        <v>51753.84</v>
      </c>
      <c r="AF163" s="8">
        <v>0</v>
      </c>
      <c r="AG163" s="8" t="s">
        <v>65</v>
      </c>
      <c r="AH163" s="8" t="s">
        <v>11</v>
      </c>
      <c r="AI163" s="8">
        <v>39200000</v>
      </c>
      <c r="AJ163" s="8" t="s">
        <v>60</v>
      </c>
      <c r="AK163" s="8">
        <v>1</v>
      </c>
      <c r="AL163" s="8">
        <v>1625.7</v>
      </c>
      <c r="AM163" s="8" t="s">
        <v>1905</v>
      </c>
    </row>
    <row r="164" spans="7:39" ht="12.75" customHeight="1">
      <c r="G164" s="344"/>
      <c r="H164" s="345">
        <v>46273</v>
      </c>
      <c r="I164" s="8" t="s">
        <v>87</v>
      </c>
      <c r="J164" s="8" t="s">
        <v>91</v>
      </c>
      <c r="K164" s="8" t="s">
        <v>2770</v>
      </c>
      <c r="L164" s="8" t="s">
        <v>98</v>
      </c>
      <c r="M164" s="8" t="s">
        <v>2771</v>
      </c>
      <c r="N164" s="7">
        <v>46273</v>
      </c>
      <c r="O164" s="8" t="s">
        <v>13</v>
      </c>
      <c r="P164" s="8" t="s">
        <v>80</v>
      </c>
      <c r="Q164" s="8" t="s">
        <v>81</v>
      </c>
      <c r="R164" s="8" t="s">
        <v>82</v>
      </c>
      <c r="S164" s="8" t="s">
        <v>17</v>
      </c>
      <c r="T164" s="9">
        <v>508</v>
      </c>
      <c r="U164" s="9">
        <v>93908.88</v>
      </c>
      <c r="V164" s="8" t="s">
        <v>17</v>
      </c>
      <c r="W164" s="8">
        <v>0</v>
      </c>
      <c r="X164" s="8">
        <v>9</v>
      </c>
      <c r="Y164" s="8">
        <v>8451.7999999999993</v>
      </c>
      <c r="Z164" s="8">
        <v>9</v>
      </c>
      <c r="AA164" s="8">
        <v>8451.7999999999993</v>
      </c>
      <c r="AB164" s="8">
        <v>0</v>
      </c>
      <c r="AC164" s="8">
        <v>0</v>
      </c>
      <c r="AD164" s="8">
        <v>0</v>
      </c>
      <c r="AE164" s="8">
        <v>16903.599999999999</v>
      </c>
      <c r="AF164" s="8">
        <v>0</v>
      </c>
      <c r="AG164" s="8" t="s">
        <v>65</v>
      </c>
      <c r="AH164" s="8" t="s">
        <v>11</v>
      </c>
      <c r="AI164" s="8">
        <v>39200000</v>
      </c>
      <c r="AJ164" s="8" t="s">
        <v>60</v>
      </c>
      <c r="AK164" s="8">
        <v>1</v>
      </c>
      <c r="AL164" s="8">
        <v>508</v>
      </c>
      <c r="AM164" s="8" t="s">
        <v>1905</v>
      </c>
    </row>
    <row r="165" spans="7:39" ht="12.75" customHeight="1">
      <c r="G165" s="344"/>
      <c r="H165" s="345">
        <v>46273</v>
      </c>
      <c r="I165" s="8" t="s">
        <v>87</v>
      </c>
      <c r="J165" s="8" t="s">
        <v>91</v>
      </c>
      <c r="K165" s="8" t="s">
        <v>2770</v>
      </c>
      <c r="L165" s="8" t="s">
        <v>98</v>
      </c>
      <c r="M165" s="8" t="s">
        <v>2771</v>
      </c>
      <c r="N165" s="7">
        <v>46273</v>
      </c>
      <c r="O165" s="8" t="s">
        <v>13</v>
      </c>
      <c r="P165" s="8" t="s">
        <v>80</v>
      </c>
      <c r="Q165" s="8" t="s">
        <v>81</v>
      </c>
      <c r="R165" s="8" t="s">
        <v>82</v>
      </c>
      <c r="S165" s="8" t="s">
        <v>17</v>
      </c>
      <c r="T165" s="9">
        <v>78</v>
      </c>
      <c r="U165" s="9">
        <v>14107.08</v>
      </c>
      <c r="V165" s="8" t="s">
        <v>17</v>
      </c>
      <c r="W165" s="8">
        <v>0</v>
      </c>
      <c r="X165" s="8">
        <v>9</v>
      </c>
      <c r="Y165" s="8">
        <v>1269.6400000000001</v>
      </c>
      <c r="Z165" s="8">
        <v>9</v>
      </c>
      <c r="AA165" s="8">
        <v>1269.6400000000001</v>
      </c>
      <c r="AB165" s="8">
        <v>0</v>
      </c>
      <c r="AC165" s="8">
        <v>0</v>
      </c>
      <c r="AD165" s="8">
        <v>0</v>
      </c>
      <c r="AE165" s="8">
        <v>2539.2800000000002</v>
      </c>
      <c r="AF165" s="8">
        <v>0</v>
      </c>
      <c r="AG165" s="8" t="s">
        <v>65</v>
      </c>
      <c r="AH165" s="8" t="s">
        <v>11</v>
      </c>
      <c r="AI165" s="8">
        <v>39200000</v>
      </c>
      <c r="AJ165" s="8" t="s">
        <v>60</v>
      </c>
      <c r="AK165" s="8">
        <v>1</v>
      </c>
      <c r="AL165" s="8">
        <v>78</v>
      </c>
      <c r="AM165" s="8" t="s">
        <v>1905</v>
      </c>
    </row>
    <row r="166" spans="7:39" ht="12.75" customHeight="1">
      <c r="G166" s="344"/>
      <c r="H166" s="345">
        <v>46273</v>
      </c>
      <c r="I166" s="8" t="s">
        <v>87</v>
      </c>
      <c r="J166" s="8" t="s">
        <v>91</v>
      </c>
      <c r="K166" s="8" t="s">
        <v>2770</v>
      </c>
      <c r="L166" s="8" t="s">
        <v>98</v>
      </c>
      <c r="M166" s="8" t="s">
        <v>2771</v>
      </c>
      <c r="N166" s="7">
        <v>46273</v>
      </c>
      <c r="O166" s="8" t="s">
        <v>13</v>
      </c>
      <c r="P166" s="8" t="s">
        <v>24</v>
      </c>
      <c r="Q166" s="8" t="s">
        <v>79</v>
      </c>
      <c r="R166" s="8" t="s">
        <v>79</v>
      </c>
      <c r="S166" s="8" t="s">
        <v>24</v>
      </c>
      <c r="T166" s="9">
        <v>752.1</v>
      </c>
      <c r="U166" s="9">
        <v>108543.07</v>
      </c>
      <c r="V166" s="8" t="s">
        <v>24</v>
      </c>
      <c r="W166" s="8">
        <v>0</v>
      </c>
      <c r="X166" s="8">
        <v>9</v>
      </c>
      <c r="Y166" s="8">
        <v>9768.8799999999992</v>
      </c>
      <c r="Z166" s="8">
        <v>9</v>
      </c>
      <c r="AA166" s="8">
        <v>9768.8799999999992</v>
      </c>
      <c r="AB166" s="8">
        <v>0</v>
      </c>
      <c r="AC166" s="8">
        <v>0</v>
      </c>
      <c r="AD166" s="8">
        <v>0</v>
      </c>
      <c r="AE166" s="8">
        <v>19537.759999999998</v>
      </c>
      <c r="AF166" s="8">
        <v>0</v>
      </c>
      <c r="AG166" s="8" t="s">
        <v>65</v>
      </c>
      <c r="AH166" s="8" t="s">
        <v>11</v>
      </c>
      <c r="AI166" s="8">
        <v>3926908</v>
      </c>
      <c r="AJ166" s="8" t="s">
        <v>60</v>
      </c>
      <c r="AK166" s="8">
        <v>1</v>
      </c>
      <c r="AL166" s="8">
        <v>752.1</v>
      </c>
      <c r="AM166" s="8" t="s">
        <v>1905</v>
      </c>
    </row>
    <row r="167" spans="7:39" ht="12.75" customHeight="1">
      <c r="G167" s="344"/>
      <c r="H167" s="345">
        <v>46273</v>
      </c>
      <c r="I167" s="8" t="s">
        <v>87</v>
      </c>
      <c r="J167" s="8" t="s">
        <v>91</v>
      </c>
      <c r="K167" s="8" t="s">
        <v>2770</v>
      </c>
      <c r="L167" s="8" t="s">
        <v>98</v>
      </c>
      <c r="M167" s="8" t="s">
        <v>2771</v>
      </c>
      <c r="N167" s="7">
        <v>46273</v>
      </c>
      <c r="O167" s="8" t="s">
        <v>13</v>
      </c>
      <c r="P167" s="8" t="s">
        <v>24</v>
      </c>
      <c r="Q167" s="8" t="s">
        <v>79</v>
      </c>
      <c r="R167" s="8" t="s">
        <v>79</v>
      </c>
      <c r="S167" s="8" t="s">
        <v>24</v>
      </c>
      <c r="T167" s="9">
        <v>1162.9000000000001</v>
      </c>
      <c r="U167" s="9">
        <v>171318.43</v>
      </c>
      <c r="V167" s="8" t="s">
        <v>24</v>
      </c>
      <c r="W167" s="8">
        <v>0</v>
      </c>
      <c r="X167" s="8">
        <v>9</v>
      </c>
      <c r="Y167" s="8">
        <v>15418.66</v>
      </c>
      <c r="Z167" s="8">
        <v>9</v>
      </c>
      <c r="AA167" s="8">
        <v>15418.66</v>
      </c>
      <c r="AB167" s="8">
        <v>0</v>
      </c>
      <c r="AC167" s="8">
        <v>0</v>
      </c>
      <c r="AD167" s="8">
        <v>0</v>
      </c>
      <c r="AE167" s="8">
        <v>30837.32</v>
      </c>
      <c r="AF167" s="8">
        <v>0</v>
      </c>
      <c r="AG167" s="8" t="s">
        <v>65</v>
      </c>
      <c r="AH167" s="8" t="s">
        <v>11</v>
      </c>
      <c r="AI167" s="8">
        <v>3926908</v>
      </c>
      <c r="AJ167" s="8" t="s">
        <v>60</v>
      </c>
      <c r="AK167" s="8">
        <v>1</v>
      </c>
      <c r="AL167" s="8">
        <v>1162.9000000000001</v>
      </c>
      <c r="AM167" s="8" t="s">
        <v>1905</v>
      </c>
    </row>
    <row r="168" spans="7:39" ht="12.75" customHeight="1">
      <c r="G168" s="344"/>
      <c r="H168" s="345">
        <v>46273</v>
      </c>
      <c r="I168" s="8" t="s">
        <v>87</v>
      </c>
      <c r="J168" s="8" t="s">
        <v>91</v>
      </c>
      <c r="K168" s="8" t="s">
        <v>2770</v>
      </c>
      <c r="L168" s="8" t="s">
        <v>98</v>
      </c>
      <c r="M168" s="8" t="s">
        <v>2771</v>
      </c>
      <c r="N168" s="7">
        <v>46273</v>
      </c>
      <c r="O168" s="8" t="s">
        <v>13</v>
      </c>
      <c r="P168" s="8" t="s">
        <v>62</v>
      </c>
      <c r="Q168" s="8" t="s">
        <v>63</v>
      </c>
      <c r="R168" s="8" t="s">
        <v>64</v>
      </c>
      <c r="S168" s="8" t="s">
        <v>19</v>
      </c>
      <c r="T168" s="9">
        <v>479</v>
      </c>
      <c r="U168" s="9">
        <v>69129.279999999999</v>
      </c>
      <c r="V168" s="8" t="s">
        <v>19</v>
      </c>
      <c r="W168" s="8">
        <v>0</v>
      </c>
      <c r="X168" s="8">
        <v>9</v>
      </c>
      <c r="Y168" s="8">
        <v>6221.64</v>
      </c>
      <c r="Z168" s="8">
        <v>9</v>
      </c>
      <c r="AA168" s="8">
        <v>6221.64</v>
      </c>
      <c r="AB168" s="8">
        <v>0</v>
      </c>
      <c r="AC168" s="8">
        <v>0</v>
      </c>
      <c r="AD168" s="8">
        <v>0</v>
      </c>
      <c r="AE168" s="8">
        <v>12443.28</v>
      </c>
      <c r="AF168" s="8">
        <v>0</v>
      </c>
      <c r="AG168" s="8" t="s">
        <v>65</v>
      </c>
      <c r="AH168" s="8" t="s">
        <v>11</v>
      </c>
      <c r="AI168" s="8">
        <v>39269080</v>
      </c>
      <c r="AJ168" s="8" t="s">
        <v>60</v>
      </c>
      <c r="AK168" s="8">
        <v>1</v>
      </c>
      <c r="AL168" s="8">
        <v>479</v>
      </c>
      <c r="AM168" s="8" t="s">
        <v>1905</v>
      </c>
    </row>
    <row r="169" spans="7:39" ht="12.75" customHeight="1">
      <c r="G169" s="344"/>
      <c r="H169" s="345">
        <v>46273</v>
      </c>
      <c r="I169" s="8" t="s">
        <v>87</v>
      </c>
      <c r="J169" s="8" t="s">
        <v>91</v>
      </c>
      <c r="K169" s="8" t="s">
        <v>2770</v>
      </c>
      <c r="L169" s="8" t="s">
        <v>98</v>
      </c>
      <c r="M169" s="8" t="s">
        <v>2771</v>
      </c>
      <c r="N169" s="7">
        <v>46273</v>
      </c>
      <c r="O169" s="8" t="s">
        <v>13</v>
      </c>
      <c r="P169" s="8" t="s">
        <v>62</v>
      </c>
      <c r="Q169" s="8" t="s">
        <v>63</v>
      </c>
      <c r="R169" s="8" t="s">
        <v>64</v>
      </c>
      <c r="S169" s="8" t="s">
        <v>19</v>
      </c>
      <c r="T169" s="9">
        <v>3729</v>
      </c>
      <c r="U169" s="9">
        <v>530711.28</v>
      </c>
      <c r="V169" s="8" t="s">
        <v>19</v>
      </c>
      <c r="W169" s="8">
        <v>0</v>
      </c>
      <c r="X169" s="8">
        <v>9</v>
      </c>
      <c r="Y169" s="8">
        <v>47764.02</v>
      </c>
      <c r="Z169" s="8">
        <v>9</v>
      </c>
      <c r="AA169" s="8">
        <v>47764.02</v>
      </c>
      <c r="AB169" s="8">
        <v>0</v>
      </c>
      <c r="AC169" s="8">
        <v>0</v>
      </c>
      <c r="AD169" s="8">
        <v>0</v>
      </c>
      <c r="AE169" s="8">
        <v>95528.04</v>
      </c>
      <c r="AF169" s="8">
        <v>0</v>
      </c>
      <c r="AG169" s="8" t="s">
        <v>65</v>
      </c>
      <c r="AH169" s="8" t="s">
        <v>11</v>
      </c>
      <c r="AI169" s="8">
        <v>39269080</v>
      </c>
      <c r="AJ169" s="8" t="s">
        <v>60</v>
      </c>
      <c r="AK169" s="8">
        <v>1</v>
      </c>
      <c r="AL169" s="8">
        <v>3729</v>
      </c>
      <c r="AM169" s="8" t="s">
        <v>1905</v>
      </c>
    </row>
    <row r="170" spans="7:39" ht="12.75" customHeight="1">
      <c r="G170" s="344"/>
      <c r="H170" s="345">
        <v>46273</v>
      </c>
      <c r="I170" s="8" t="s">
        <v>87</v>
      </c>
      <c r="J170" s="8" t="s">
        <v>91</v>
      </c>
      <c r="K170" s="8" t="s">
        <v>2770</v>
      </c>
      <c r="L170" s="8" t="s">
        <v>98</v>
      </c>
      <c r="M170" s="8" t="s">
        <v>2771</v>
      </c>
      <c r="N170" s="7">
        <v>46273</v>
      </c>
      <c r="O170" s="8" t="s">
        <v>13</v>
      </c>
      <c r="P170" s="8" t="s">
        <v>62</v>
      </c>
      <c r="Q170" s="8" t="s">
        <v>76</v>
      </c>
      <c r="R170" s="8" t="s">
        <v>77</v>
      </c>
      <c r="S170" s="8" t="s">
        <v>21</v>
      </c>
      <c r="T170" s="9">
        <v>632</v>
      </c>
      <c r="U170" s="9">
        <v>92474.240000000005</v>
      </c>
      <c r="V170" s="8" t="s">
        <v>21</v>
      </c>
      <c r="W170" s="8">
        <v>0</v>
      </c>
      <c r="X170" s="8">
        <v>9</v>
      </c>
      <c r="Y170" s="8">
        <v>8322.68</v>
      </c>
      <c r="Z170" s="8">
        <v>9</v>
      </c>
      <c r="AA170" s="8">
        <v>8322.68</v>
      </c>
      <c r="AB170" s="8">
        <v>0</v>
      </c>
      <c r="AC170" s="8">
        <v>0</v>
      </c>
      <c r="AD170" s="8">
        <v>0</v>
      </c>
      <c r="AE170" s="8">
        <v>16645.36</v>
      </c>
      <c r="AF170" s="8">
        <v>0</v>
      </c>
      <c r="AG170" s="8" t="s">
        <v>65</v>
      </c>
      <c r="AH170" s="8" t="s">
        <v>11</v>
      </c>
      <c r="AI170" s="8">
        <v>63053300</v>
      </c>
      <c r="AJ170" s="8" t="s">
        <v>60</v>
      </c>
      <c r="AK170" s="8">
        <v>1</v>
      </c>
      <c r="AL170" s="8">
        <v>632</v>
      </c>
      <c r="AM170" s="8" t="s">
        <v>1905</v>
      </c>
    </row>
    <row r="171" spans="7:39" ht="12.75" customHeight="1">
      <c r="G171" s="344"/>
      <c r="H171" s="345">
        <v>46273</v>
      </c>
      <c r="I171" s="8" t="s">
        <v>94</v>
      </c>
      <c r="J171" s="8" t="s">
        <v>91</v>
      </c>
      <c r="K171" s="8" t="s">
        <v>2772</v>
      </c>
      <c r="L171" s="8" t="s">
        <v>98</v>
      </c>
      <c r="M171" s="8" t="s">
        <v>2773</v>
      </c>
      <c r="N171" s="7">
        <v>46242</v>
      </c>
      <c r="O171" s="8" t="s">
        <v>13</v>
      </c>
      <c r="P171" s="8" t="s">
        <v>62</v>
      </c>
      <c r="Q171" s="8" t="s">
        <v>76</v>
      </c>
      <c r="R171" s="8" t="s">
        <v>77</v>
      </c>
      <c r="S171" s="344" t="s">
        <v>21</v>
      </c>
      <c r="T171" s="9">
        <v>752</v>
      </c>
      <c r="U171" s="9">
        <v>103460.16</v>
      </c>
      <c r="V171" s="8" t="s">
        <v>21</v>
      </c>
      <c r="W171" s="8">
        <v>202531.02</v>
      </c>
      <c r="X171" s="8">
        <v>9</v>
      </c>
      <c r="Y171" s="8">
        <v>9311.41</v>
      </c>
      <c r="Z171" s="8">
        <v>9</v>
      </c>
      <c r="AA171" s="8">
        <v>9311.41</v>
      </c>
      <c r="AB171" s="8">
        <v>0</v>
      </c>
      <c r="AC171" s="8">
        <v>0</v>
      </c>
      <c r="AD171" s="8">
        <v>0</v>
      </c>
      <c r="AE171" s="8">
        <v>18622.82</v>
      </c>
      <c r="AF171" s="8">
        <v>0</v>
      </c>
      <c r="AG171" s="8" t="s">
        <v>74</v>
      </c>
      <c r="AH171" s="8" t="s">
        <v>11</v>
      </c>
      <c r="AI171" s="8">
        <v>63053300</v>
      </c>
      <c r="AJ171" s="8" t="s">
        <v>60</v>
      </c>
      <c r="AK171" s="8">
        <v>1</v>
      </c>
      <c r="AL171" s="8">
        <v>752</v>
      </c>
      <c r="AM171" s="8" t="s">
        <v>1905</v>
      </c>
    </row>
    <row r="172" spans="7:39" ht="12.75" customHeight="1">
      <c r="G172" s="344"/>
      <c r="H172" s="345">
        <v>46273</v>
      </c>
      <c r="I172" s="8" t="s">
        <v>94</v>
      </c>
      <c r="J172" s="8" t="s">
        <v>91</v>
      </c>
      <c r="K172" s="8" t="s">
        <v>2772</v>
      </c>
      <c r="L172" s="8" t="s">
        <v>98</v>
      </c>
      <c r="M172" s="8" t="s">
        <v>2773</v>
      </c>
      <c r="N172" s="7">
        <v>46242</v>
      </c>
      <c r="O172" s="8" t="s">
        <v>13</v>
      </c>
      <c r="P172" s="8" t="s">
        <v>62</v>
      </c>
      <c r="Q172" s="8" t="s">
        <v>76</v>
      </c>
      <c r="R172" s="8" t="s">
        <v>77</v>
      </c>
      <c r="S172" s="8" t="s">
        <v>21</v>
      </c>
      <c r="T172" s="9">
        <v>486</v>
      </c>
      <c r="U172" s="9">
        <v>68321.88</v>
      </c>
      <c r="V172" s="8" t="s">
        <v>21</v>
      </c>
      <c r="W172" s="8">
        <v>0</v>
      </c>
      <c r="X172" s="8">
        <v>9</v>
      </c>
      <c r="Y172" s="8">
        <v>6148.97</v>
      </c>
      <c r="Z172" s="8">
        <v>9</v>
      </c>
      <c r="AA172" s="8">
        <v>6148.97</v>
      </c>
      <c r="AB172" s="8">
        <v>0</v>
      </c>
      <c r="AC172" s="8">
        <v>0</v>
      </c>
      <c r="AD172" s="8">
        <v>0</v>
      </c>
      <c r="AE172" s="8">
        <v>12297.94</v>
      </c>
      <c r="AF172" s="8">
        <v>0</v>
      </c>
      <c r="AG172" s="8" t="s">
        <v>74</v>
      </c>
      <c r="AH172" s="8" t="s">
        <v>11</v>
      </c>
      <c r="AI172" s="8">
        <v>63053300</v>
      </c>
      <c r="AJ172" s="8" t="s">
        <v>60</v>
      </c>
      <c r="AK172" s="8">
        <v>1</v>
      </c>
      <c r="AL172" s="8">
        <v>486</v>
      </c>
      <c r="AM172" s="8" t="s">
        <v>1905</v>
      </c>
    </row>
    <row r="173" spans="7:39" ht="12.75" customHeight="1">
      <c r="G173" s="344"/>
      <c r="H173" s="345">
        <v>46273</v>
      </c>
      <c r="I173" s="8" t="s">
        <v>94</v>
      </c>
      <c r="J173" s="8" t="s">
        <v>91</v>
      </c>
      <c r="K173" s="8" t="s">
        <v>2774</v>
      </c>
      <c r="L173" s="8" t="s">
        <v>98</v>
      </c>
      <c r="M173" s="8" t="s">
        <v>2775</v>
      </c>
      <c r="N173" s="7">
        <v>46273</v>
      </c>
      <c r="O173" s="8" t="s">
        <v>13</v>
      </c>
      <c r="P173" s="8" t="s">
        <v>24</v>
      </c>
      <c r="Q173" s="8" t="s">
        <v>79</v>
      </c>
      <c r="R173" s="8" t="s">
        <v>79</v>
      </c>
      <c r="S173" s="8" t="s">
        <v>24</v>
      </c>
      <c r="T173" s="9">
        <v>408.8</v>
      </c>
      <c r="U173" s="9">
        <v>56569.74</v>
      </c>
      <c r="V173" s="8" t="s">
        <v>24</v>
      </c>
      <c r="W173" s="8">
        <v>66695.73</v>
      </c>
      <c r="X173" s="8">
        <v>9</v>
      </c>
      <c r="Y173" s="8">
        <v>5091.28</v>
      </c>
      <c r="Z173" s="8">
        <v>9</v>
      </c>
      <c r="AA173" s="8">
        <v>5091.28</v>
      </c>
      <c r="AB173" s="8">
        <v>0</v>
      </c>
      <c r="AC173" s="8">
        <v>0</v>
      </c>
      <c r="AD173" s="8">
        <v>0</v>
      </c>
      <c r="AE173" s="8">
        <v>10182.56</v>
      </c>
      <c r="AF173" s="8">
        <v>0</v>
      </c>
      <c r="AG173" s="8" t="s">
        <v>74</v>
      </c>
      <c r="AH173" s="8" t="s">
        <v>11</v>
      </c>
      <c r="AI173" s="8">
        <v>3926908</v>
      </c>
      <c r="AJ173" s="8" t="s">
        <v>60</v>
      </c>
      <c r="AK173" s="8">
        <v>1</v>
      </c>
      <c r="AL173" s="8">
        <v>408.8</v>
      </c>
      <c r="AM173" s="8" t="s">
        <v>1905</v>
      </c>
    </row>
    <row r="174" spans="7:39" ht="12.75" customHeight="1">
      <c r="G174" s="344"/>
      <c r="H174" s="345">
        <v>46273</v>
      </c>
      <c r="I174" s="8" t="s">
        <v>2776</v>
      </c>
      <c r="J174" s="8" t="s">
        <v>96</v>
      </c>
      <c r="K174" s="8" t="s">
        <v>2777</v>
      </c>
      <c r="L174" s="8" t="s">
        <v>97</v>
      </c>
      <c r="M174" s="8" t="s">
        <v>2778</v>
      </c>
      <c r="N174" s="7" t="s">
        <v>2496</v>
      </c>
      <c r="O174" s="8" t="s">
        <v>5</v>
      </c>
      <c r="P174" s="8" t="s">
        <v>2730</v>
      </c>
      <c r="Q174" s="8" t="s">
        <v>68</v>
      </c>
      <c r="R174" s="8" t="s">
        <v>69</v>
      </c>
      <c r="S174" s="8" t="s">
        <v>2779</v>
      </c>
      <c r="T174" s="9">
        <v>144</v>
      </c>
      <c r="U174" s="9">
        <v>3600</v>
      </c>
      <c r="V174" s="8" t="s">
        <v>2779</v>
      </c>
      <c r="W174" s="8">
        <v>4248</v>
      </c>
      <c r="X174" s="8">
        <v>9</v>
      </c>
      <c r="Y174" s="8">
        <v>324</v>
      </c>
      <c r="Z174" s="8">
        <v>9</v>
      </c>
      <c r="AA174" s="8">
        <v>324</v>
      </c>
      <c r="AB174" s="8">
        <v>0</v>
      </c>
      <c r="AC174" s="8">
        <v>0</v>
      </c>
      <c r="AD174" s="8">
        <v>0</v>
      </c>
      <c r="AE174" s="8">
        <v>648</v>
      </c>
      <c r="AF174" s="8">
        <v>0</v>
      </c>
      <c r="AG174" s="8" t="s">
        <v>2780</v>
      </c>
      <c r="AH174" s="8" t="s">
        <v>7</v>
      </c>
      <c r="AI174" s="8">
        <v>3919909</v>
      </c>
      <c r="AJ174" s="8" t="s">
        <v>60</v>
      </c>
      <c r="AK174" s="8">
        <v>1</v>
      </c>
      <c r="AL174" s="8">
        <v>0</v>
      </c>
      <c r="AM174" s="8" t="s">
        <v>1905</v>
      </c>
    </row>
    <row r="175" spans="7:39" ht="12.75" customHeight="1">
      <c r="G175" s="344"/>
      <c r="H175" s="345">
        <v>46273</v>
      </c>
      <c r="I175" s="8" t="s">
        <v>2389</v>
      </c>
      <c r="J175" s="8" t="s">
        <v>96</v>
      </c>
      <c r="K175" s="8" t="s">
        <v>2781</v>
      </c>
      <c r="L175" s="8" t="s">
        <v>97</v>
      </c>
      <c r="M175" s="8" t="s">
        <v>2782</v>
      </c>
      <c r="N175" s="7">
        <v>46211</v>
      </c>
      <c r="O175" s="8" t="s">
        <v>2</v>
      </c>
      <c r="P175" s="8" t="s">
        <v>2783</v>
      </c>
      <c r="Q175" s="8" t="s">
        <v>68</v>
      </c>
      <c r="R175" s="8" t="s">
        <v>69</v>
      </c>
      <c r="S175" s="8" t="s">
        <v>2784</v>
      </c>
      <c r="T175" s="9">
        <v>2</v>
      </c>
      <c r="U175" s="9">
        <v>4391.92</v>
      </c>
      <c r="V175" s="8" t="s">
        <v>2784</v>
      </c>
      <c r="W175" s="8">
        <v>5182</v>
      </c>
      <c r="X175" s="8">
        <v>9</v>
      </c>
      <c r="Y175" s="8">
        <v>395.27</v>
      </c>
      <c r="Z175" s="8">
        <v>9</v>
      </c>
      <c r="AA175" s="8">
        <v>395.27</v>
      </c>
      <c r="AB175" s="8">
        <v>0</v>
      </c>
      <c r="AC175" s="8">
        <v>0</v>
      </c>
      <c r="AD175" s="8">
        <v>0</v>
      </c>
      <c r="AE175" s="8">
        <v>790.54</v>
      </c>
      <c r="AF175" s="8">
        <v>0</v>
      </c>
      <c r="AG175" s="8" t="s">
        <v>2714</v>
      </c>
      <c r="AH175" s="8" t="s">
        <v>1</v>
      </c>
      <c r="AI175" s="8">
        <v>84123100</v>
      </c>
      <c r="AJ175" s="8" t="s">
        <v>60</v>
      </c>
      <c r="AK175" s="8">
        <v>1</v>
      </c>
      <c r="AL175" s="8">
        <v>0</v>
      </c>
      <c r="AM175" s="8" t="s">
        <v>1905</v>
      </c>
    </row>
    <row r="176" spans="7:39" ht="12.75" customHeight="1">
      <c r="G176" s="344"/>
      <c r="H176" s="345">
        <v>46303</v>
      </c>
      <c r="I176" s="8" t="s">
        <v>87</v>
      </c>
      <c r="J176" s="8" t="s">
        <v>96</v>
      </c>
      <c r="K176" s="8" t="s">
        <v>2785</v>
      </c>
      <c r="L176" s="8" t="s">
        <v>97</v>
      </c>
      <c r="M176" s="8" t="s">
        <v>2786</v>
      </c>
      <c r="N176" s="7">
        <v>46303</v>
      </c>
      <c r="O176" s="8" t="s">
        <v>2</v>
      </c>
      <c r="P176" s="8" t="s">
        <v>67</v>
      </c>
      <c r="Q176" s="8" t="s">
        <v>68</v>
      </c>
      <c r="R176" s="8" t="s">
        <v>69</v>
      </c>
      <c r="S176" s="8" t="s">
        <v>70</v>
      </c>
      <c r="T176" s="9">
        <v>298</v>
      </c>
      <c r="U176" s="9">
        <v>14304</v>
      </c>
      <c r="V176" s="8" t="s">
        <v>70</v>
      </c>
      <c r="W176" s="8">
        <v>16864.419999999998</v>
      </c>
      <c r="X176" s="8">
        <v>9</v>
      </c>
      <c r="Y176" s="8">
        <v>1287.3599999999999</v>
      </c>
      <c r="Z176" s="8">
        <v>9</v>
      </c>
      <c r="AA176" s="8">
        <v>1287.3599999999999</v>
      </c>
      <c r="AB176" s="8">
        <v>0</v>
      </c>
      <c r="AC176" s="8">
        <v>0</v>
      </c>
      <c r="AD176" s="8">
        <v>0</v>
      </c>
      <c r="AE176" s="8">
        <v>2574.7199999999998</v>
      </c>
      <c r="AF176" s="8">
        <v>0</v>
      </c>
      <c r="AG176" s="8" t="s">
        <v>65</v>
      </c>
      <c r="AH176" s="8" t="s">
        <v>11</v>
      </c>
      <c r="AI176" s="8">
        <v>73063090</v>
      </c>
      <c r="AJ176" s="8" t="s">
        <v>60</v>
      </c>
      <c r="AK176" s="8">
        <v>1</v>
      </c>
      <c r="AL176" s="8">
        <v>0</v>
      </c>
      <c r="AM176" s="8" t="s">
        <v>1905</v>
      </c>
    </row>
    <row r="177" spans="7:39" ht="12.75" customHeight="1">
      <c r="G177" s="344"/>
      <c r="H177" s="345">
        <v>46303</v>
      </c>
      <c r="I177" s="8" t="s">
        <v>87</v>
      </c>
      <c r="J177" s="8" t="s">
        <v>91</v>
      </c>
      <c r="K177" s="8" t="s">
        <v>2787</v>
      </c>
      <c r="L177" s="8" t="s">
        <v>98</v>
      </c>
      <c r="M177" s="8" t="s">
        <v>2788</v>
      </c>
      <c r="N177" s="7">
        <v>46303</v>
      </c>
      <c r="O177" s="8" t="s">
        <v>13</v>
      </c>
      <c r="P177" s="8" t="s">
        <v>62</v>
      </c>
      <c r="Q177" s="8" t="s">
        <v>63</v>
      </c>
      <c r="R177" s="8" t="s">
        <v>64</v>
      </c>
      <c r="S177" s="8" t="s">
        <v>19</v>
      </c>
      <c r="T177" s="9">
        <v>6937</v>
      </c>
      <c r="U177" s="9">
        <v>987273.84</v>
      </c>
      <c r="V177" s="8" t="s">
        <v>19</v>
      </c>
      <c r="W177" s="8">
        <v>1260302.6200000001</v>
      </c>
      <c r="X177" s="8">
        <v>9</v>
      </c>
      <c r="Y177" s="8">
        <v>88854.65</v>
      </c>
      <c r="Z177" s="8">
        <v>9</v>
      </c>
      <c r="AA177" s="8">
        <v>88854.65</v>
      </c>
      <c r="AB177" s="8">
        <v>0</v>
      </c>
      <c r="AC177" s="8">
        <v>0</v>
      </c>
      <c r="AD177" s="8">
        <v>0</v>
      </c>
      <c r="AE177" s="8">
        <v>177709.3</v>
      </c>
      <c r="AF177" s="8">
        <v>0</v>
      </c>
      <c r="AG177" s="8" t="s">
        <v>65</v>
      </c>
      <c r="AH177" s="8" t="s">
        <v>11</v>
      </c>
      <c r="AI177" s="8">
        <v>39269080</v>
      </c>
      <c r="AJ177" s="8" t="s">
        <v>60</v>
      </c>
      <c r="AK177" s="8">
        <v>1</v>
      </c>
      <c r="AL177" s="8">
        <v>6937</v>
      </c>
      <c r="AM177" s="8" t="s">
        <v>1905</v>
      </c>
    </row>
    <row r="178" spans="7:39" ht="12.75" customHeight="1">
      <c r="G178" s="344"/>
      <c r="H178" s="345">
        <v>46303</v>
      </c>
      <c r="I178" s="8" t="s">
        <v>87</v>
      </c>
      <c r="J178" s="8" t="s">
        <v>91</v>
      </c>
      <c r="K178" s="8" t="s">
        <v>2787</v>
      </c>
      <c r="L178" s="8" t="s">
        <v>98</v>
      </c>
      <c r="M178" s="8" t="s">
        <v>2788</v>
      </c>
      <c r="N178" s="7">
        <v>46303</v>
      </c>
      <c r="O178" s="8" t="s">
        <v>13</v>
      </c>
      <c r="P178" s="8" t="s">
        <v>62</v>
      </c>
      <c r="Q178" s="8" t="s">
        <v>63</v>
      </c>
      <c r="R178" s="8" t="s">
        <v>64</v>
      </c>
      <c r="S178" s="8" t="s">
        <v>19</v>
      </c>
      <c r="T178" s="9">
        <v>566</v>
      </c>
      <c r="U178" s="9">
        <v>81685.119999999995</v>
      </c>
      <c r="V178" s="8" t="s">
        <v>19</v>
      </c>
      <c r="W178" s="8">
        <v>0</v>
      </c>
      <c r="X178" s="8">
        <v>9</v>
      </c>
      <c r="Y178" s="8">
        <v>7351.66</v>
      </c>
      <c r="Z178" s="8">
        <v>9</v>
      </c>
      <c r="AA178" s="8">
        <v>7351.66</v>
      </c>
      <c r="AB178" s="8">
        <v>0</v>
      </c>
      <c r="AC178" s="8">
        <v>0</v>
      </c>
      <c r="AD178" s="8">
        <v>0</v>
      </c>
      <c r="AE178" s="8">
        <v>14703.32</v>
      </c>
      <c r="AF178" s="8">
        <v>0</v>
      </c>
      <c r="AG178" s="8" t="s">
        <v>65</v>
      </c>
      <c r="AH178" s="8" t="s">
        <v>11</v>
      </c>
      <c r="AI178" s="8">
        <v>39269080</v>
      </c>
      <c r="AJ178" s="8" t="s">
        <v>60</v>
      </c>
      <c r="AK178" s="8">
        <v>1</v>
      </c>
      <c r="AL178" s="8">
        <v>566</v>
      </c>
      <c r="AM178" s="8" t="s">
        <v>1905</v>
      </c>
    </row>
    <row r="179" spans="7:39" ht="12.75" customHeight="1">
      <c r="G179" s="344"/>
      <c r="H179" s="345">
        <v>46303</v>
      </c>
      <c r="I179" s="8" t="s">
        <v>87</v>
      </c>
      <c r="J179" s="8" t="s">
        <v>91</v>
      </c>
      <c r="K179" s="8" t="s">
        <v>2789</v>
      </c>
      <c r="L179" s="8" t="s">
        <v>98</v>
      </c>
      <c r="M179" s="8" t="s">
        <v>2790</v>
      </c>
      <c r="N179" s="7">
        <v>46303</v>
      </c>
      <c r="O179" s="8" t="s">
        <v>13</v>
      </c>
      <c r="P179" s="8" t="s">
        <v>80</v>
      </c>
      <c r="Q179" s="8" t="s">
        <v>81</v>
      </c>
      <c r="R179" s="8" t="s">
        <v>82</v>
      </c>
      <c r="S179" s="8" t="s">
        <v>17</v>
      </c>
      <c r="T179" s="9">
        <v>1828</v>
      </c>
      <c r="U179" s="9">
        <v>323300.08</v>
      </c>
      <c r="V179" s="8" t="s">
        <v>17</v>
      </c>
      <c r="W179" s="8">
        <v>1413463.11</v>
      </c>
      <c r="X179" s="8">
        <v>9</v>
      </c>
      <c r="Y179" s="8">
        <v>29097.01</v>
      </c>
      <c r="Z179" s="8">
        <v>9</v>
      </c>
      <c r="AA179" s="8">
        <v>29097.01</v>
      </c>
      <c r="AB179" s="8">
        <v>0</v>
      </c>
      <c r="AC179" s="8">
        <v>0</v>
      </c>
      <c r="AD179" s="8">
        <v>0</v>
      </c>
      <c r="AE179" s="8">
        <v>58194.02</v>
      </c>
      <c r="AF179" s="8">
        <v>0</v>
      </c>
      <c r="AG179" s="8" t="s">
        <v>65</v>
      </c>
      <c r="AH179" s="8" t="s">
        <v>11</v>
      </c>
      <c r="AI179" s="8">
        <v>39200000</v>
      </c>
      <c r="AJ179" s="8" t="s">
        <v>60</v>
      </c>
      <c r="AK179" s="8">
        <v>1</v>
      </c>
      <c r="AL179" s="8">
        <v>1828</v>
      </c>
      <c r="AM179" s="8" t="s">
        <v>1905</v>
      </c>
    </row>
    <row r="180" spans="7:39" ht="12.75" customHeight="1">
      <c r="G180" s="344"/>
      <c r="H180" s="345">
        <v>46303</v>
      </c>
      <c r="I180" s="8" t="s">
        <v>87</v>
      </c>
      <c r="J180" s="8" t="s">
        <v>91</v>
      </c>
      <c r="K180" s="8" t="s">
        <v>2789</v>
      </c>
      <c r="L180" s="8" t="s">
        <v>98</v>
      </c>
      <c r="M180" s="8" t="s">
        <v>2790</v>
      </c>
      <c r="N180" s="7">
        <v>46303</v>
      </c>
      <c r="O180" s="8" t="s">
        <v>13</v>
      </c>
      <c r="P180" s="8" t="s">
        <v>62</v>
      </c>
      <c r="Q180" s="8" t="s">
        <v>76</v>
      </c>
      <c r="R180" s="8" t="s">
        <v>77</v>
      </c>
      <c r="S180" s="8" t="s">
        <v>21</v>
      </c>
      <c r="T180" s="9">
        <v>545</v>
      </c>
      <c r="U180" s="9">
        <v>81379.399999999994</v>
      </c>
      <c r="V180" s="8" t="s">
        <v>21</v>
      </c>
      <c r="W180" s="8">
        <v>0</v>
      </c>
      <c r="X180" s="8">
        <v>9</v>
      </c>
      <c r="Y180" s="8">
        <v>7324.15</v>
      </c>
      <c r="Z180" s="8">
        <v>9</v>
      </c>
      <c r="AA180" s="8">
        <v>7324.15</v>
      </c>
      <c r="AB180" s="8">
        <v>0</v>
      </c>
      <c r="AC180" s="8">
        <v>0</v>
      </c>
      <c r="AD180" s="8">
        <v>0</v>
      </c>
      <c r="AE180" s="8">
        <v>14648.3</v>
      </c>
      <c r="AF180" s="8">
        <v>0</v>
      </c>
      <c r="AG180" s="8" t="s">
        <v>65</v>
      </c>
      <c r="AH180" s="8" t="s">
        <v>11</v>
      </c>
      <c r="AI180" s="8">
        <v>63053300</v>
      </c>
      <c r="AJ180" s="8" t="s">
        <v>60</v>
      </c>
      <c r="AK180" s="8">
        <v>1</v>
      </c>
      <c r="AL180" s="8">
        <v>545</v>
      </c>
      <c r="AM180" s="8" t="s">
        <v>1905</v>
      </c>
    </row>
    <row r="181" spans="7:39" ht="12.75" customHeight="1">
      <c r="G181" s="344"/>
      <c r="H181" s="345">
        <v>46303</v>
      </c>
      <c r="I181" s="8" t="s">
        <v>87</v>
      </c>
      <c r="J181" s="8" t="s">
        <v>91</v>
      </c>
      <c r="K181" s="8" t="s">
        <v>2789</v>
      </c>
      <c r="L181" s="8" t="s">
        <v>98</v>
      </c>
      <c r="M181" s="8" t="s">
        <v>2790</v>
      </c>
      <c r="N181" s="7">
        <v>46303</v>
      </c>
      <c r="O181" s="8" t="s">
        <v>13</v>
      </c>
      <c r="P181" s="8" t="s">
        <v>62</v>
      </c>
      <c r="Q181" s="8" t="s">
        <v>76</v>
      </c>
      <c r="R181" s="8" t="s">
        <v>77</v>
      </c>
      <c r="S181" s="8" t="s">
        <v>21</v>
      </c>
      <c r="T181" s="9">
        <v>362</v>
      </c>
      <c r="U181" s="9">
        <v>52967.839999999997</v>
      </c>
      <c r="V181" s="8" t="s">
        <v>21</v>
      </c>
      <c r="W181" s="8">
        <v>0</v>
      </c>
      <c r="X181" s="8">
        <v>9</v>
      </c>
      <c r="Y181" s="8">
        <v>4767.1099999999997</v>
      </c>
      <c r="Z181" s="8">
        <v>9</v>
      </c>
      <c r="AA181" s="8">
        <v>4767.1099999999997</v>
      </c>
      <c r="AB181" s="8">
        <v>0</v>
      </c>
      <c r="AC181" s="8">
        <v>0</v>
      </c>
      <c r="AD181" s="8">
        <v>0</v>
      </c>
      <c r="AE181" s="8">
        <v>9534.2199999999993</v>
      </c>
      <c r="AF181" s="8">
        <v>0</v>
      </c>
      <c r="AG181" s="8" t="s">
        <v>65</v>
      </c>
      <c r="AH181" s="8" t="s">
        <v>11</v>
      </c>
      <c r="AI181" s="8">
        <v>63053300</v>
      </c>
      <c r="AJ181" s="8" t="s">
        <v>60</v>
      </c>
      <c r="AK181" s="8">
        <v>1</v>
      </c>
      <c r="AL181" s="8">
        <v>362</v>
      </c>
      <c r="AM181" s="8" t="s">
        <v>1905</v>
      </c>
    </row>
    <row r="182" spans="7:39" ht="12.75" customHeight="1">
      <c r="G182" s="344"/>
      <c r="H182" s="345">
        <v>46303</v>
      </c>
      <c r="I182" s="8" t="s">
        <v>87</v>
      </c>
      <c r="J182" s="8" t="s">
        <v>91</v>
      </c>
      <c r="K182" s="8" t="s">
        <v>2789</v>
      </c>
      <c r="L182" s="8" t="s">
        <v>98</v>
      </c>
      <c r="M182" s="8" t="s">
        <v>2790</v>
      </c>
      <c r="N182" s="7">
        <v>46303</v>
      </c>
      <c r="O182" s="8" t="s">
        <v>13</v>
      </c>
      <c r="P182" s="8" t="s">
        <v>24</v>
      </c>
      <c r="Q182" s="8" t="s">
        <v>79</v>
      </c>
      <c r="R182" s="8" t="s">
        <v>79</v>
      </c>
      <c r="S182" s="8" t="s">
        <v>24</v>
      </c>
      <c r="T182" s="9">
        <v>1426.8</v>
      </c>
      <c r="U182" s="9">
        <v>210196.18</v>
      </c>
      <c r="V182" s="8" t="s">
        <v>24</v>
      </c>
      <c r="W182" s="8">
        <v>0</v>
      </c>
      <c r="X182" s="8">
        <v>9</v>
      </c>
      <c r="Y182" s="8">
        <v>18917.66</v>
      </c>
      <c r="Z182" s="8">
        <v>9</v>
      </c>
      <c r="AA182" s="8">
        <v>18917.66</v>
      </c>
      <c r="AB182" s="8">
        <v>0</v>
      </c>
      <c r="AC182" s="8">
        <v>0</v>
      </c>
      <c r="AD182" s="8">
        <v>0</v>
      </c>
      <c r="AE182" s="8">
        <v>37835.32</v>
      </c>
      <c r="AF182" s="8">
        <v>0</v>
      </c>
      <c r="AG182" s="8" t="s">
        <v>65</v>
      </c>
      <c r="AH182" s="8" t="s">
        <v>11</v>
      </c>
      <c r="AI182" s="8">
        <v>3926908</v>
      </c>
      <c r="AJ182" s="8" t="s">
        <v>60</v>
      </c>
      <c r="AK182" s="8">
        <v>1</v>
      </c>
      <c r="AL182" s="8">
        <v>1426.8</v>
      </c>
      <c r="AM182" s="8" t="s">
        <v>1905</v>
      </c>
    </row>
    <row r="183" spans="7:39" ht="12.75" customHeight="1">
      <c r="G183" s="344"/>
      <c r="H183" s="345">
        <v>46303</v>
      </c>
      <c r="I183" s="8" t="s">
        <v>87</v>
      </c>
      <c r="J183" s="8" t="s">
        <v>91</v>
      </c>
      <c r="K183" s="8" t="s">
        <v>2789</v>
      </c>
      <c r="L183" s="8" t="s">
        <v>98</v>
      </c>
      <c r="M183" s="8" t="s">
        <v>2790</v>
      </c>
      <c r="N183" s="7">
        <v>46303</v>
      </c>
      <c r="O183" s="8" t="s">
        <v>13</v>
      </c>
      <c r="P183" s="8" t="s">
        <v>24</v>
      </c>
      <c r="Q183" s="8" t="s">
        <v>79</v>
      </c>
      <c r="R183" s="8" t="s">
        <v>79</v>
      </c>
      <c r="S183" s="8" t="s">
        <v>24</v>
      </c>
      <c r="T183" s="9">
        <v>974.8</v>
      </c>
      <c r="U183" s="9">
        <v>140683.14000000001</v>
      </c>
      <c r="V183" s="8" t="s">
        <v>24</v>
      </c>
      <c r="W183" s="8">
        <v>0</v>
      </c>
      <c r="X183" s="8">
        <v>9</v>
      </c>
      <c r="Y183" s="8">
        <v>12661.48</v>
      </c>
      <c r="Z183" s="8">
        <v>9</v>
      </c>
      <c r="AA183" s="8">
        <v>12661.48</v>
      </c>
      <c r="AB183" s="8">
        <v>0</v>
      </c>
      <c r="AC183" s="8">
        <v>0</v>
      </c>
      <c r="AD183" s="8">
        <v>0</v>
      </c>
      <c r="AE183" s="8">
        <v>25322.959999999999</v>
      </c>
      <c r="AF183" s="8">
        <v>0</v>
      </c>
      <c r="AG183" s="8" t="s">
        <v>65</v>
      </c>
      <c r="AH183" s="8" t="s">
        <v>11</v>
      </c>
      <c r="AI183" s="8">
        <v>3926908</v>
      </c>
      <c r="AJ183" s="8" t="s">
        <v>60</v>
      </c>
      <c r="AK183" s="8">
        <v>1</v>
      </c>
      <c r="AL183" s="8">
        <v>974.8</v>
      </c>
      <c r="AM183" s="8" t="s">
        <v>1905</v>
      </c>
    </row>
    <row r="184" spans="7:39" ht="12.75" customHeight="1">
      <c r="G184" s="344"/>
      <c r="H184" s="345">
        <v>46303</v>
      </c>
      <c r="I184" s="8" t="s">
        <v>87</v>
      </c>
      <c r="J184" s="8" t="s">
        <v>91</v>
      </c>
      <c r="K184" s="8" t="s">
        <v>2789</v>
      </c>
      <c r="L184" s="8" t="s">
        <v>98</v>
      </c>
      <c r="M184" s="8" t="s">
        <v>2790</v>
      </c>
      <c r="N184" s="7">
        <v>46303</v>
      </c>
      <c r="O184" s="8" t="s">
        <v>13</v>
      </c>
      <c r="P184" s="8" t="s">
        <v>62</v>
      </c>
      <c r="Q184" s="8" t="s">
        <v>63</v>
      </c>
      <c r="R184" s="8" t="s">
        <v>64</v>
      </c>
      <c r="S184" s="8" t="s">
        <v>19</v>
      </c>
      <c r="T184" s="9">
        <v>495</v>
      </c>
      <c r="U184" s="9">
        <v>71438.399999999994</v>
      </c>
      <c r="V184" s="8" t="s">
        <v>19</v>
      </c>
      <c r="W184" s="8">
        <v>0</v>
      </c>
      <c r="X184" s="8">
        <v>9</v>
      </c>
      <c r="Y184" s="8">
        <v>6429.46</v>
      </c>
      <c r="Z184" s="8">
        <v>9</v>
      </c>
      <c r="AA184" s="8">
        <v>6429.46</v>
      </c>
      <c r="AB184" s="8">
        <v>0</v>
      </c>
      <c r="AC184" s="8">
        <v>0</v>
      </c>
      <c r="AD184" s="8">
        <v>0</v>
      </c>
      <c r="AE184" s="8">
        <v>12858.92</v>
      </c>
      <c r="AF184" s="8">
        <v>0</v>
      </c>
      <c r="AG184" s="8" t="s">
        <v>65</v>
      </c>
      <c r="AH184" s="8" t="s">
        <v>11</v>
      </c>
      <c r="AI184" s="8">
        <v>39269080</v>
      </c>
      <c r="AJ184" s="8" t="s">
        <v>60</v>
      </c>
      <c r="AK184" s="8">
        <v>1</v>
      </c>
      <c r="AL184" s="8">
        <v>495</v>
      </c>
      <c r="AM184" s="8" t="s">
        <v>1905</v>
      </c>
    </row>
    <row r="185" spans="7:39" ht="12.75" customHeight="1">
      <c r="G185" s="344"/>
      <c r="H185" s="345">
        <v>46303</v>
      </c>
      <c r="I185" s="8" t="s">
        <v>87</v>
      </c>
      <c r="J185" s="8" t="s">
        <v>91</v>
      </c>
      <c r="K185" s="8" t="s">
        <v>2789</v>
      </c>
      <c r="L185" s="8" t="s">
        <v>98</v>
      </c>
      <c r="M185" s="8" t="s">
        <v>2790</v>
      </c>
      <c r="N185" s="7">
        <v>46303</v>
      </c>
      <c r="O185" s="8" t="s">
        <v>13</v>
      </c>
      <c r="P185" s="8" t="s">
        <v>62</v>
      </c>
      <c r="Q185" s="8" t="s">
        <v>63</v>
      </c>
      <c r="R185" s="8" t="s">
        <v>64</v>
      </c>
      <c r="S185" s="8" t="s">
        <v>19</v>
      </c>
      <c r="T185" s="9">
        <v>2042</v>
      </c>
      <c r="U185" s="9">
        <v>290617.44</v>
      </c>
      <c r="V185" s="8" t="s">
        <v>19</v>
      </c>
      <c r="W185" s="8">
        <v>0</v>
      </c>
      <c r="X185" s="8">
        <v>9</v>
      </c>
      <c r="Y185" s="8">
        <v>26155.57</v>
      </c>
      <c r="Z185" s="8">
        <v>9</v>
      </c>
      <c r="AA185" s="8">
        <v>26155.57</v>
      </c>
      <c r="AB185" s="8">
        <v>0</v>
      </c>
      <c r="AC185" s="8">
        <v>0</v>
      </c>
      <c r="AD185" s="8">
        <v>0</v>
      </c>
      <c r="AE185" s="8">
        <v>52311.14</v>
      </c>
      <c r="AF185" s="8">
        <v>0</v>
      </c>
      <c r="AG185" s="8" t="s">
        <v>65</v>
      </c>
      <c r="AH185" s="8" t="s">
        <v>11</v>
      </c>
      <c r="AI185" s="8">
        <v>39269080</v>
      </c>
      <c r="AJ185" s="8" t="s">
        <v>60</v>
      </c>
      <c r="AK185" s="8">
        <v>1</v>
      </c>
      <c r="AL185" s="8">
        <v>2042</v>
      </c>
      <c r="AM185" s="8" t="s">
        <v>1905</v>
      </c>
    </row>
    <row r="186" spans="7:39" ht="12.75" customHeight="1">
      <c r="G186" s="344"/>
      <c r="H186" s="345">
        <v>46303</v>
      </c>
      <c r="I186" s="8" t="s">
        <v>87</v>
      </c>
      <c r="J186" s="8" t="s">
        <v>91</v>
      </c>
      <c r="K186" s="8" t="s">
        <v>2789</v>
      </c>
      <c r="L186" s="8" t="s">
        <v>98</v>
      </c>
      <c r="M186" s="8" t="s">
        <v>2790</v>
      </c>
      <c r="N186" s="7">
        <v>46303</v>
      </c>
      <c r="O186" s="8" t="s">
        <v>13</v>
      </c>
      <c r="P186" s="8" t="s">
        <v>80</v>
      </c>
      <c r="Q186" s="8" t="s">
        <v>81</v>
      </c>
      <c r="R186" s="8" t="s">
        <v>82</v>
      </c>
      <c r="S186" s="8" t="s">
        <v>17</v>
      </c>
      <c r="T186" s="9">
        <v>153</v>
      </c>
      <c r="U186" s="9">
        <v>28283.58</v>
      </c>
      <c r="V186" s="8" t="s">
        <v>17</v>
      </c>
      <c r="W186" s="8">
        <v>0</v>
      </c>
      <c r="X186" s="8">
        <v>9</v>
      </c>
      <c r="Y186" s="8">
        <v>2545.52</v>
      </c>
      <c r="Z186" s="8">
        <v>9</v>
      </c>
      <c r="AA186" s="8">
        <v>2545.52</v>
      </c>
      <c r="AB186" s="8">
        <v>0</v>
      </c>
      <c r="AC186" s="8">
        <v>0</v>
      </c>
      <c r="AD186" s="8">
        <v>0</v>
      </c>
      <c r="AE186" s="8">
        <v>5091.04</v>
      </c>
      <c r="AF186" s="8">
        <v>0</v>
      </c>
      <c r="AG186" s="8" t="s">
        <v>65</v>
      </c>
      <c r="AH186" s="8" t="s">
        <v>11</v>
      </c>
      <c r="AI186" s="8">
        <v>39200000</v>
      </c>
      <c r="AJ186" s="8" t="s">
        <v>60</v>
      </c>
      <c r="AK186" s="8">
        <v>1</v>
      </c>
      <c r="AL186" s="8">
        <v>153</v>
      </c>
      <c r="AM186" s="8" t="s">
        <v>1905</v>
      </c>
    </row>
    <row r="187" spans="7:39" ht="12.75" customHeight="1">
      <c r="G187" s="344"/>
      <c r="H187" s="345">
        <v>46334</v>
      </c>
      <c r="I187" s="8" t="s">
        <v>103</v>
      </c>
      <c r="J187" s="8" t="s">
        <v>88</v>
      </c>
      <c r="K187" s="8" t="s">
        <v>2791</v>
      </c>
      <c r="L187" s="8" t="s">
        <v>2335</v>
      </c>
      <c r="M187" s="8" t="s">
        <v>2792</v>
      </c>
      <c r="N187" s="7">
        <v>46303</v>
      </c>
      <c r="O187" s="8" t="s">
        <v>15</v>
      </c>
      <c r="P187" s="8" t="s">
        <v>2758</v>
      </c>
      <c r="Q187" s="8" t="s">
        <v>2759</v>
      </c>
      <c r="R187" s="8" t="s">
        <v>349</v>
      </c>
      <c r="S187" s="8" t="s">
        <v>2760</v>
      </c>
      <c r="T187" s="9">
        <v>3385.8</v>
      </c>
      <c r="U187" s="9">
        <v>515217.19</v>
      </c>
      <c r="V187" s="8" t="s">
        <v>2760</v>
      </c>
      <c r="W187" s="8">
        <v>515217.19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 t="s">
        <v>104</v>
      </c>
      <c r="AH187" s="8" t="s">
        <v>11</v>
      </c>
      <c r="AI187" s="8">
        <v>39232990</v>
      </c>
      <c r="AJ187" s="8" t="s">
        <v>60</v>
      </c>
      <c r="AK187" s="8">
        <v>1</v>
      </c>
      <c r="AL187" s="8">
        <v>3385.8</v>
      </c>
      <c r="AM187" s="8" t="s">
        <v>1905</v>
      </c>
    </row>
    <row r="188" spans="7:39" ht="12.75" customHeight="1">
      <c r="G188" s="344"/>
      <c r="H188" s="345">
        <v>46334</v>
      </c>
      <c r="I188" s="8" t="s">
        <v>87</v>
      </c>
      <c r="J188" s="8" t="s">
        <v>96</v>
      </c>
      <c r="K188" s="8" t="s">
        <v>2793</v>
      </c>
      <c r="L188" s="8" t="s">
        <v>97</v>
      </c>
      <c r="M188" s="8" t="s">
        <v>2794</v>
      </c>
      <c r="N188" s="7">
        <v>46334</v>
      </c>
      <c r="O188" s="8" t="s">
        <v>2</v>
      </c>
      <c r="P188" s="8" t="s">
        <v>67</v>
      </c>
      <c r="Q188" s="8" t="s">
        <v>68</v>
      </c>
      <c r="R188" s="8" t="s">
        <v>69</v>
      </c>
      <c r="S188" s="8" t="s">
        <v>70</v>
      </c>
      <c r="T188" s="9">
        <v>346</v>
      </c>
      <c r="U188" s="9">
        <v>16608</v>
      </c>
      <c r="V188" s="8" t="s">
        <v>70</v>
      </c>
      <c r="W188" s="8">
        <v>19580.830000000002</v>
      </c>
      <c r="X188" s="8">
        <v>9</v>
      </c>
      <c r="Y188" s="8">
        <v>1494.72</v>
      </c>
      <c r="Z188" s="8">
        <v>9</v>
      </c>
      <c r="AA188" s="8">
        <v>1494.72</v>
      </c>
      <c r="AB188" s="8">
        <v>0</v>
      </c>
      <c r="AC188" s="8">
        <v>0</v>
      </c>
      <c r="AD188" s="8">
        <v>0</v>
      </c>
      <c r="AE188" s="8">
        <v>2989.44</v>
      </c>
      <c r="AF188" s="8">
        <v>0</v>
      </c>
      <c r="AG188" s="8" t="s">
        <v>65</v>
      </c>
      <c r="AH188" s="8" t="s">
        <v>11</v>
      </c>
      <c r="AI188" s="8">
        <v>73063090</v>
      </c>
      <c r="AJ188" s="8" t="s">
        <v>60</v>
      </c>
      <c r="AK188" s="8">
        <v>1</v>
      </c>
      <c r="AL188" s="8">
        <v>0</v>
      </c>
      <c r="AM188" s="8" t="s">
        <v>1905</v>
      </c>
    </row>
    <row r="189" spans="7:39" ht="12.75" customHeight="1">
      <c r="G189" s="344"/>
      <c r="H189" s="345">
        <v>46334</v>
      </c>
      <c r="I189" s="8" t="s">
        <v>87</v>
      </c>
      <c r="J189" s="8" t="s">
        <v>91</v>
      </c>
      <c r="K189" s="8" t="s">
        <v>2795</v>
      </c>
      <c r="L189" s="8" t="s">
        <v>98</v>
      </c>
      <c r="M189" s="8" t="s">
        <v>2796</v>
      </c>
      <c r="N189" s="7">
        <v>46334</v>
      </c>
      <c r="O189" s="8" t="s">
        <v>13</v>
      </c>
      <c r="P189" s="8" t="s">
        <v>62</v>
      </c>
      <c r="Q189" s="8" t="s">
        <v>63</v>
      </c>
      <c r="R189" s="8" t="s">
        <v>64</v>
      </c>
      <c r="S189" s="8" t="s">
        <v>19</v>
      </c>
      <c r="T189" s="9">
        <v>6969</v>
      </c>
      <c r="U189" s="9">
        <v>991828.08</v>
      </c>
      <c r="V189" s="8" t="s">
        <v>19</v>
      </c>
      <c r="W189" s="8">
        <v>1323524.18</v>
      </c>
      <c r="X189" s="8">
        <v>9</v>
      </c>
      <c r="Y189" s="8">
        <v>89264.53</v>
      </c>
      <c r="Z189" s="8">
        <v>9</v>
      </c>
      <c r="AA189" s="8">
        <v>89264.53</v>
      </c>
      <c r="AB189" s="8">
        <v>0</v>
      </c>
      <c r="AC189" s="8">
        <v>0</v>
      </c>
      <c r="AD189" s="8">
        <v>0</v>
      </c>
      <c r="AE189" s="8">
        <v>178529.06</v>
      </c>
      <c r="AF189" s="8">
        <v>0</v>
      </c>
      <c r="AG189" s="8" t="s">
        <v>65</v>
      </c>
      <c r="AH189" s="8" t="s">
        <v>11</v>
      </c>
      <c r="AI189" s="8">
        <v>39269080</v>
      </c>
      <c r="AJ189" s="8" t="s">
        <v>60</v>
      </c>
      <c r="AK189" s="8">
        <v>1</v>
      </c>
      <c r="AL189" s="8">
        <v>6969</v>
      </c>
      <c r="AM189" s="8" t="s">
        <v>1905</v>
      </c>
    </row>
    <row r="190" spans="7:39" ht="12.75" customHeight="1">
      <c r="G190" s="344"/>
      <c r="H190" s="345">
        <v>46334</v>
      </c>
      <c r="I190" s="8" t="s">
        <v>87</v>
      </c>
      <c r="J190" s="8" t="s">
        <v>91</v>
      </c>
      <c r="K190" s="8" t="s">
        <v>2795</v>
      </c>
      <c r="L190" s="8" t="s">
        <v>98</v>
      </c>
      <c r="M190" s="8" t="s">
        <v>2796</v>
      </c>
      <c r="N190" s="7">
        <v>46334</v>
      </c>
      <c r="O190" s="8" t="s">
        <v>13</v>
      </c>
      <c r="P190" s="8" t="s">
        <v>62</v>
      </c>
      <c r="Q190" s="8" t="s">
        <v>63</v>
      </c>
      <c r="R190" s="8" t="s">
        <v>64</v>
      </c>
      <c r="S190" s="8" t="s">
        <v>19</v>
      </c>
      <c r="T190" s="9">
        <v>906</v>
      </c>
      <c r="U190" s="9">
        <v>130753.92</v>
      </c>
      <c r="V190" s="8" t="s">
        <v>19</v>
      </c>
      <c r="W190" s="8">
        <v>0</v>
      </c>
      <c r="X190" s="8">
        <v>9</v>
      </c>
      <c r="Y190" s="8">
        <v>11767.85</v>
      </c>
      <c r="Z190" s="8">
        <v>9</v>
      </c>
      <c r="AA190" s="8">
        <v>11767.85</v>
      </c>
      <c r="AB190" s="8">
        <v>0</v>
      </c>
      <c r="AC190" s="8">
        <v>0</v>
      </c>
      <c r="AD190" s="8">
        <v>0</v>
      </c>
      <c r="AE190" s="8">
        <v>23535.7</v>
      </c>
      <c r="AF190" s="8">
        <v>0</v>
      </c>
      <c r="AG190" s="8" t="s">
        <v>65</v>
      </c>
      <c r="AH190" s="8" t="s">
        <v>11</v>
      </c>
      <c r="AI190" s="8">
        <v>39269080</v>
      </c>
      <c r="AJ190" s="8" t="s">
        <v>60</v>
      </c>
      <c r="AK190" s="8">
        <v>1</v>
      </c>
      <c r="AL190" s="8">
        <v>906</v>
      </c>
      <c r="AM190" s="8" t="s">
        <v>1905</v>
      </c>
    </row>
    <row r="191" spans="7:39" ht="12.75" customHeight="1">
      <c r="G191" s="344"/>
      <c r="H191" s="345">
        <v>46334</v>
      </c>
      <c r="I191" s="8" t="s">
        <v>87</v>
      </c>
      <c r="J191" s="8" t="s">
        <v>91</v>
      </c>
      <c r="K191" s="8" t="s">
        <v>2797</v>
      </c>
      <c r="L191" s="8" t="s">
        <v>98</v>
      </c>
      <c r="M191" s="8" t="s">
        <v>2798</v>
      </c>
      <c r="N191" s="7">
        <v>46303</v>
      </c>
      <c r="O191" s="8" t="s">
        <v>13</v>
      </c>
      <c r="P191" s="8" t="s">
        <v>99</v>
      </c>
      <c r="Q191" s="8" t="s">
        <v>100</v>
      </c>
      <c r="R191" s="8" t="s">
        <v>101</v>
      </c>
      <c r="S191" s="8" t="s">
        <v>553</v>
      </c>
      <c r="T191" s="9">
        <v>503.3</v>
      </c>
      <c r="U191" s="9">
        <v>77669.259999999995</v>
      </c>
      <c r="V191" s="8" t="s">
        <v>553</v>
      </c>
      <c r="W191" s="8">
        <v>81475.05</v>
      </c>
      <c r="X191" s="8">
        <v>2.5</v>
      </c>
      <c r="Y191" s="8">
        <v>1941.73</v>
      </c>
      <c r="Z191" s="8">
        <v>2.5</v>
      </c>
      <c r="AA191" s="8">
        <v>1941.73</v>
      </c>
      <c r="AB191" s="8">
        <v>0</v>
      </c>
      <c r="AC191" s="8">
        <v>0</v>
      </c>
      <c r="AD191" s="8">
        <v>0</v>
      </c>
      <c r="AE191" s="8">
        <v>3883.46</v>
      </c>
      <c r="AF191" s="8">
        <v>0</v>
      </c>
      <c r="AG191" s="8" t="s">
        <v>65</v>
      </c>
      <c r="AH191" s="8" t="s">
        <v>3</v>
      </c>
      <c r="AI191" s="8">
        <v>540263</v>
      </c>
      <c r="AJ191" s="8" t="s">
        <v>60</v>
      </c>
      <c r="AK191" s="8">
        <v>1</v>
      </c>
      <c r="AL191" s="8">
        <v>503.3</v>
      </c>
      <c r="AM191" s="8" t="s">
        <v>1905</v>
      </c>
    </row>
    <row r="192" spans="7:39" ht="12.75" customHeight="1">
      <c r="G192" s="344"/>
      <c r="H192" s="345">
        <v>46334</v>
      </c>
      <c r="I192" s="8" t="s">
        <v>87</v>
      </c>
      <c r="J192" s="8" t="s">
        <v>91</v>
      </c>
      <c r="K192" s="8" t="s">
        <v>2799</v>
      </c>
      <c r="L192" s="8" t="s">
        <v>98</v>
      </c>
      <c r="M192" s="8" t="s">
        <v>2800</v>
      </c>
      <c r="N192" s="7">
        <v>46334</v>
      </c>
      <c r="O192" s="8" t="s">
        <v>13</v>
      </c>
      <c r="P192" s="8" t="s">
        <v>80</v>
      </c>
      <c r="Q192" s="8" t="s">
        <v>81</v>
      </c>
      <c r="R192" s="8" t="s">
        <v>82</v>
      </c>
      <c r="S192" s="8" t="s">
        <v>17</v>
      </c>
      <c r="T192" s="9">
        <v>3203</v>
      </c>
      <c r="U192" s="9">
        <v>566482.57999999996</v>
      </c>
      <c r="V192" s="8" t="s">
        <v>17</v>
      </c>
      <c r="W192" s="8">
        <v>667882.96</v>
      </c>
      <c r="X192" s="8">
        <v>9</v>
      </c>
      <c r="Y192" s="8">
        <v>50983.43</v>
      </c>
      <c r="Z192" s="8">
        <v>9</v>
      </c>
      <c r="AA192" s="8">
        <v>50983.43</v>
      </c>
      <c r="AB192" s="8">
        <v>0</v>
      </c>
      <c r="AC192" s="8">
        <v>0</v>
      </c>
      <c r="AD192" s="8">
        <v>0</v>
      </c>
      <c r="AE192" s="8">
        <v>101966.86</v>
      </c>
      <c r="AF192" s="8">
        <v>0</v>
      </c>
      <c r="AG192" s="8" t="s">
        <v>65</v>
      </c>
      <c r="AH192" s="8" t="s">
        <v>11</v>
      </c>
      <c r="AI192" s="8">
        <v>39200000</v>
      </c>
      <c r="AJ192" s="8" t="s">
        <v>60</v>
      </c>
      <c r="AK192" s="8">
        <v>1</v>
      </c>
      <c r="AL192" s="8">
        <v>3203</v>
      </c>
      <c r="AM192" s="8" t="s">
        <v>1905</v>
      </c>
    </row>
    <row r="193" spans="7:39" ht="12.75" customHeight="1">
      <c r="G193" s="344"/>
      <c r="H193" s="345">
        <v>46334</v>
      </c>
      <c r="I193" s="8" t="s">
        <v>87</v>
      </c>
      <c r="J193" s="8" t="s">
        <v>91</v>
      </c>
      <c r="K193" s="8" t="s">
        <v>2801</v>
      </c>
      <c r="L193" s="8" t="s">
        <v>98</v>
      </c>
      <c r="M193" s="8" t="s">
        <v>2802</v>
      </c>
      <c r="N193" s="7">
        <v>46334</v>
      </c>
      <c r="O193" s="8" t="s">
        <v>13</v>
      </c>
      <c r="P193" s="8" t="s">
        <v>24</v>
      </c>
      <c r="Q193" s="8" t="s">
        <v>79</v>
      </c>
      <c r="R193" s="8" t="s">
        <v>79</v>
      </c>
      <c r="S193" s="8" t="s">
        <v>24</v>
      </c>
      <c r="T193" s="9">
        <v>1230.8</v>
      </c>
      <c r="U193" s="9">
        <v>177629.06</v>
      </c>
      <c r="V193" s="8" t="s">
        <v>24</v>
      </c>
      <c r="W193" s="8">
        <v>1873765.76</v>
      </c>
      <c r="X193" s="8">
        <v>9</v>
      </c>
      <c r="Y193" s="8">
        <v>15986.62</v>
      </c>
      <c r="Z193" s="8">
        <v>9</v>
      </c>
      <c r="AA193" s="8">
        <v>15986.62</v>
      </c>
      <c r="AB193" s="8">
        <v>0</v>
      </c>
      <c r="AC193" s="8">
        <v>0</v>
      </c>
      <c r="AD193" s="8">
        <v>0</v>
      </c>
      <c r="AE193" s="8">
        <v>31973.24</v>
      </c>
      <c r="AF193" s="8">
        <v>0</v>
      </c>
      <c r="AG193" s="8" t="s">
        <v>65</v>
      </c>
      <c r="AH193" s="8" t="s">
        <v>11</v>
      </c>
      <c r="AI193" s="8">
        <v>3926908</v>
      </c>
      <c r="AJ193" s="8" t="s">
        <v>60</v>
      </c>
      <c r="AK193" s="8">
        <v>1</v>
      </c>
      <c r="AL193" s="8">
        <v>1230.8</v>
      </c>
      <c r="AM193" s="8" t="s">
        <v>1905</v>
      </c>
    </row>
    <row r="194" spans="7:39" ht="12.75" customHeight="1">
      <c r="G194" s="344"/>
      <c r="H194" s="345">
        <v>46334</v>
      </c>
      <c r="I194" s="8" t="s">
        <v>87</v>
      </c>
      <c r="J194" s="8" t="s">
        <v>91</v>
      </c>
      <c r="K194" s="8" t="s">
        <v>2801</v>
      </c>
      <c r="L194" s="8" t="s">
        <v>98</v>
      </c>
      <c r="M194" s="8" t="s">
        <v>2802</v>
      </c>
      <c r="N194" s="7">
        <v>46334</v>
      </c>
      <c r="O194" s="8" t="s">
        <v>13</v>
      </c>
      <c r="P194" s="8" t="s">
        <v>62</v>
      </c>
      <c r="Q194" s="8" t="s">
        <v>76</v>
      </c>
      <c r="R194" s="8" t="s">
        <v>77</v>
      </c>
      <c r="S194" s="8" t="s">
        <v>21</v>
      </c>
      <c r="T194" s="9">
        <v>3118</v>
      </c>
      <c r="U194" s="9">
        <v>465579.76</v>
      </c>
      <c r="V194" s="8" t="s">
        <v>21</v>
      </c>
      <c r="W194" s="8">
        <v>0</v>
      </c>
      <c r="X194" s="8">
        <v>9</v>
      </c>
      <c r="Y194" s="8">
        <v>41902.18</v>
      </c>
      <c r="Z194" s="8">
        <v>9</v>
      </c>
      <c r="AA194" s="8">
        <v>41902.18</v>
      </c>
      <c r="AB194" s="8">
        <v>0</v>
      </c>
      <c r="AC194" s="8">
        <v>0</v>
      </c>
      <c r="AD194" s="8">
        <v>0</v>
      </c>
      <c r="AE194" s="8">
        <v>83804.36</v>
      </c>
      <c r="AF194" s="8">
        <v>0</v>
      </c>
      <c r="AG194" s="8" t="s">
        <v>65</v>
      </c>
      <c r="AH194" s="8" t="s">
        <v>11</v>
      </c>
      <c r="AI194" s="8">
        <v>63053300</v>
      </c>
      <c r="AJ194" s="8" t="s">
        <v>60</v>
      </c>
      <c r="AK194" s="8">
        <v>1</v>
      </c>
      <c r="AL194" s="8">
        <v>3118</v>
      </c>
      <c r="AM194" s="8" t="s">
        <v>1905</v>
      </c>
    </row>
    <row r="195" spans="7:39" ht="12.75" customHeight="1">
      <c r="G195" s="344"/>
      <c r="H195" s="345">
        <v>46334</v>
      </c>
      <c r="I195" s="8" t="s">
        <v>87</v>
      </c>
      <c r="J195" s="8" t="s">
        <v>91</v>
      </c>
      <c r="K195" s="8" t="s">
        <v>2801</v>
      </c>
      <c r="L195" s="8" t="s">
        <v>98</v>
      </c>
      <c r="M195" s="8" t="s">
        <v>2802</v>
      </c>
      <c r="N195" s="7">
        <v>46334</v>
      </c>
      <c r="O195" s="8" t="s">
        <v>13</v>
      </c>
      <c r="P195" s="8" t="s">
        <v>62</v>
      </c>
      <c r="Q195" s="8" t="s">
        <v>76</v>
      </c>
      <c r="R195" s="8" t="s">
        <v>77</v>
      </c>
      <c r="S195" s="8" t="s">
        <v>21</v>
      </c>
      <c r="T195" s="9">
        <v>932</v>
      </c>
      <c r="U195" s="9">
        <v>136370.23999999999</v>
      </c>
      <c r="V195" s="8" t="s">
        <v>21</v>
      </c>
      <c r="W195" s="8">
        <v>0</v>
      </c>
      <c r="X195" s="8">
        <v>9</v>
      </c>
      <c r="Y195" s="8">
        <v>12273.32</v>
      </c>
      <c r="Z195" s="8">
        <v>9</v>
      </c>
      <c r="AA195" s="8">
        <v>12273.32</v>
      </c>
      <c r="AB195" s="8">
        <v>0</v>
      </c>
      <c r="AC195" s="8">
        <v>0</v>
      </c>
      <c r="AD195" s="8">
        <v>0</v>
      </c>
      <c r="AE195" s="8">
        <v>24546.639999999999</v>
      </c>
      <c r="AF195" s="8">
        <v>0</v>
      </c>
      <c r="AG195" s="8" t="s">
        <v>65</v>
      </c>
      <c r="AH195" s="8" t="s">
        <v>11</v>
      </c>
      <c r="AI195" s="8">
        <v>63053300</v>
      </c>
      <c r="AJ195" s="8" t="s">
        <v>60</v>
      </c>
      <c r="AK195" s="8">
        <v>1</v>
      </c>
      <c r="AL195" s="8">
        <v>932</v>
      </c>
      <c r="AM195" s="8" t="s">
        <v>1905</v>
      </c>
    </row>
    <row r="196" spans="7:39" ht="12.75" customHeight="1">
      <c r="G196" s="344"/>
      <c r="H196" s="345">
        <v>46334</v>
      </c>
      <c r="I196" s="8" t="s">
        <v>87</v>
      </c>
      <c r="J196" s="8" t="s">
        <v>91</v>
      </c>
      <c r="K196" s="8" t="s">
        <v>2801</v>
      </c>
      <c r="L196" s="8" t="s">
        <v>98</v>
      </c>
      <c r="M196" s="8" t="s">
        <v>2802</v>
      </c>
      <c r="N196" s="7">
        <v>46334</v>
      </c>
      <c r="O196" s="8" t="s">
        <v>13</v>
      </c>
      <c r="P196" s="8" t="s">
        <v>62</v>
      </c>
      <c r="Q196" s="8" t="s">
        <v>76</v>
      </c>
      <c r="R196" s="8" t="s">
        <v>77</v>
      </c>
      <c r="S196" s="8" t="s">
        <v>21</v>
      </c>
      <c r="T196" s="9">
        <v>831</v>
      </c>
      <c r="U196" s="9">
        <v>119929.92</v>
      </c>
      <c r="V196" s="8" t="s">
        <v>21</v>
      </c>
      <c r="W196" s="8">
        <v>0</v>
      </c>
      <c r="X196" s="8">
        <v>9</v>
      </c>
      <c r="Y196" s="8">
        <v>10793.69</v>
      </c>
      <c r="Z196" s="8">
        <v>9</v>
      </c>
      <c r="AA196" s="8">
        <v>10793.69</v>
      </c>
      <c r="AB196" s="8">
        <v>0</v>
      </c>
      <c r="AC196" s="8">
        <v>0</v>
      </c>
      <c r="AD196" s="8">
        <v>0</v>
      </c>
      <c r="AE196" s="8">
        <v>21587.38</v>
      </c>
      <c r="AF196" s="8">
        <v>0</v>
      </c>
      <c r="AG196" s="8" t="s">
        <v>65</v>
      </c>
      <c r="AH196" s="8" t="s">
        <v>11</v>
      </c>
      <c r="AI196" s="8">
        <v>63053300</v>
      </c>
      <c r="AJ196" s="8" t="s">
        <v>60</v>
      </c>
      <c r="AK196" s="8">
        <v>1</v>
      </c>
      <c r="AL196" s="8">
        <v>831</v>
      </c>
      <c r="AM196" s="8" t="s">
        <v>1905</v>
      </c>
    </row>
    <row r="197" spans="7:39" ht="12.75" customHeight="1">
      <c r="G197" s="344"/>
      <c r="H197" s="345">
        <v>46334</v>
      </c>
      <c r="I197" s="8" t="s">
        <v>87</v>
      </c>
      <c r="J197" s="8" t="s">
        <v>91</v>
      </c>
      <c r="K197" s="8" t="s">
        <v>2801</v>
      </c>
      <c r="L197" s="8" t="s">
        <v>98</v>
      </c>
      <c r="M197" s="8" t="s">
        <v>2802</v>
      </c>
      <c r="N197" s="7">
        <v>46334</v>
      </c>
      <c r="O197" s="8" t="s">
        <v>13</v>
      </c>
      <c r="P197" s="8" t="s">
        <v>24</v>
      </c>
      <c r="Q197" s="8" t="s">
        <v>79</v>
      </c>
      <c r="R197" s="8" t="s">
        <v>79</v>
      </c>
      <c r="S197" s="8" t="s">
        <v>24</v>
      </c>
      <c r="T197" s="9">
        <v>1858</v>
      </c>
      <c r="U197" s="9">
        <v>273720.56</v>
      </c>
      <c r="V197" s="8" t="s">
        <v>24</v>
      </c>
      <c r="W197" s="8">
        <v>0</v>
      </c>
      <c r="X197" s="8">
        <v>9</v>
      </c>
      <c r="Y197" s="8">
        <v>24634.85</v>
      </c>
      <c r="Z197" s="8">
        <v>9</v>
      </c>
      <c r="AA197" s="8">
        <v>24634.85</v>
      </c>
      <c r="AB197" s="8">
        <v>0</v>
      </c>
      <c r="AC197" s="8">
        <v>0</v>
      </c>
      <c r="AD197" s="8">
        <v>0</v>
      </c>
      <c r="AE197" s="8">
        <v>49269.7</v>
      </c>
      <c r="AF197" s="8">
        <v>0</v>
      </c>
      <c r="AG197" s="8" t="s">
        <v>65</v>
      </c>
      <c r="AH197" s="8" t="s">
        <v>11</v>
      </c>
      <c r="AI197" s="8">
        <v>3926908</v>
      </c>
      <c r="AJ197" s="8" t="s">
        <v>60</v>
      </c>
      <c r="AK197" s="8">
        <v>1</v>
      </c>
      <c r="AL197" s="8">
        <v>1858</v>
      </c>
      <c r="AM197" s="8" t="s">
        <v>1905</v>
      </c>
    </row>
    <row r="198" spans="7:39" ht="12.75" customHeight="1">
      <c r="G198" s="344"/>
      <c r="H198" s="345">
        <v>46334</v>
      </c>
      <c r="I198" s="8" t="s">
        <v>87</v>
      </c>
      <c r="J198" s="8" t="s">
        <v>91</v>
      </c>
      <c r="K198" s="8" t="s">
        <v>2801</v>
      </c>
      <c r="L198" s="8" t="s">
        <v>98</v>
      </c>
      <c r="M198" s="8" t="s">
        <v>2802</v>
      </c>
      <c r="N198" s="7">
        <v>46334</v>
      </c>
      <c r="O198" s="8" t="s">
        <v>13</v>
      </c>
      <c r="P198" s="8" t="s">
        <v>62</v>
      </c>
      <c r="Q198" s="8" t="s">
        <v>63</v>
      </c>
      <c r="R198" s="8" t="s">
        <v>64</v>
      </c>
      <c r="S198" s="8" t="s">
        <v>19</v>
      </c>
      <c r="T198" s="9">
        <v>2680</v>
      </c>
      <c r="U198" s="9">
        <v>381417.6</v>
      </c>
      <c r="V198" s="8" t="s">
        <v>19</v>
      </c>
      <c r="W198" s="8">
        <v>0</v>
      </c>
      <c r="X198" s="8">
        <v>9</v>
      </c>
      <c r="Y198" s="8">
        <v>34327.58</v>
      </c>
      <c r="Z198" s="8">
        <v>9</v>
      </c>
      <c r="AA198" s="8">
        <v>34327.58</v>
      </c>
      <c r="AB198" s="8">
        <v>0</v>
      </c>
      <c r="AC198" s="8">
        <v>0</v>
      </c>
      <c r="AD198" s="8">
        <v>0</v>
      </c>
      <c r="AE198" s="8">
        <v>68655.16</v>
      </c>
      <c r="AF198" s="8">
        <v>0</v>
      </c>
      <c r="AG198" s="8" t="s">
        <v>65</v>
      </c>
      <c r="AH198" s="8" t="s">
        <v>11</v>
      </c>
      <c r="AI198" s="8">
        <v>39269080</v>
      </c>
      <c r="AJ198" s="8" t="s">
        <v>60</v>
      </c>
      <c r="AK198" s="8">
        <v>1</v>
      </c>
      <c r="AL198" s="8">
        <v>2680</v>
      </c>
      <c r="AM198" s="8" t="s">
        <v>1905</v>
      </c>
    </row>
    <row r="199" spans="7:39" ht="12.75" customHeight="1">
      <c r="G199" s="344"/>
      <c r="H199" s="345">
        <v>46334</v>
      </c>
      <c r="I199" s="8" t="s">
        <v>87</v>
      </c>
      <c r="J199" s="8" t="s">
        <v>91</v>
      </c>
      <c r="K199" s="8" t="s">
        <v>2801</v>
      </c>
      <c r="L199" s="8" t="s">
        <v>98</v>
      </c>
      <c r="M199" s="8" t="s">
        <v>2802</v>
      </c>
      <c r="N199" s="7">
        <v>46334</v>
      </c>
      <c r="O199" s="8" t="s">
        <v>13</v>
      </c>
      <c r="P199" s="8" t="s">
        <v>62</v>
      </c>
      <c r="Q199" s="8" t="s">
        <v>63</v>
      </c>
      <c r="R199" s="8" t="s">
        <v>64</v>
      </c>
      <c r="S199" s="8" t="s">
        <v>19</v>
      </c>
      <c r="T199" s="9">
        <v>240</v>
      </c>
      <c r="U199" s="9">
        <v>34636.800000000003</v>
      </c>
      <c r="V199" s="8" t="s">
        <v>19</v>
      </c>
      <c r="W199" s="8">
        <v>0</v>
      </c>
      <c r="X199" s="8">
        <v>9</v>
      </c>
      <c r="Y199" s="8">
        <v>3117.31</v>
      </c>
      <c r="Z199" s="8">
        <v>9</v>
      </c>
      <c r="AA199" s="8">
        <v>3117.31</v>
      </c>
      <c r="AB199" s="8">
        <v>0</v>
      </c>
      <c r="AC199" s="8">
        <v>0</v>
      </c>
      <c r="AD199" s="8">
        <v>0</v>
      </c>
      <c r="AE199" s="8">
        <v>6234.62</v>
      </c>
      <c r="AF199" s="8">
        <v>0</v>
      </c>
      <c r="AG199" s="8" t="s">
        <v>65</v>
      </c>
      <c r="AH199" s="8" t="s">
        <v>11</v>
      </c>
      <c r="AI199" s="8">
        <v>39269080</v>
      </c>
      <c r="AJ199" s="8" t="s">
        <v>60</v>
      </c>
      <c r="AK199" s="8">
        <v>1</v>
      </c>
      <c r="AL199" s="8">
        <v>240</v>
      </c>
      <c r="AM199" s="8" t="s">
        <v>1905</v>
      </c>
    </row>
    <row r="200" spans="7:39" ht="12.75" customHeight="1">
      <c r="G200" s="344"/>
      <c r="H200" s="345">
        <v>46334</v>
      </c>
      <c r="I200" s="8" t="s">
        <v>94</v>
      </c>
      <c r="J200" s="8" t="s">
        <v>91</v>
      </c>
      <c r="K200" s="8" t="s">
        <v>2803</v>
      </c>
      <c r="L200" s="8" t="s">
        <v>2348</v>
      </c>
      <c r="M200" s="8" t="s">
        <v>2804</v>
      </c>
      <c r="N200" s="7">
        <v>46334</v>
      </c>
      <c r="O200" s="8" t="s">
        <v>15</v>
      </c>
      <c r="P200" s="8" t="s">
        <v>57</v>
      </c>
      <c r="Q200" s="8" t="s">
        <v>57</v>
      </c>
      <c r="R200" s="8" t="s">
        <v>58</v>
      </c>
      <c r="S200" s="8" t="s">
        <v>16</v>
      </c>
      <c r="T200" s="9">
        <v>3043</v>
      </c>
      <c r="U200" s="9">
        <v>540102.06999999995</v>
      </c>
      <c r="V200" s="8" t="s">
        <v>16</v>
      </c>
      <c r="W200" s="8">
        <v>975064.39</v>
      </c>
      <c r="X200" s="8">
        <v>9</v>
      </c>
      <c r="Y200" s="8">
        <v>48609.19</v>
      </c>
      <c r="Z200" s="8">
        <v>9</v>
      </c>
      <c r="AA200" s="8">
        <v>48609.19</v>
      </c>
      <c r="AB200" s="8">
        <v>0</v>
      </c>
      <c r="AC200" s="8">
        <v>0</v>
      </c>
      <c r="AD200" s="8">
        <v>0</v>
      </c>
      <c r="AE200" s="8">
        <v>97218.38</v>
      </c>
      <c r="AF200" s="8">
        <v>0</v>
      </c>
      <c r="AG200" s="8" t="s">
        <v>74</v>
      </c>
      <c r="AH200" s="8" t="s">
        <v>11</v>
      </c>
      <c r="AI200" s="8">
        <v>63053200</v>
      </c>
      <c r="AJ200" s="8" t="s">
        <v>60</v>
      </c>
      <c r="AK200" s="8">
        <v>1</v>
      </c>
      <c r="AL200" s="8">
        <v>3043</v>
      </c>
      <c r="AM200" s="8" t="s">
        <v>1905</v>
      </c>
    </row>
    <row r="201" spans="7:39" ht="12.75" customHeight="1">
      <c r="G201" s="344"/>
      <c r="H201" s="345">
        <v>46334</v>
      </c>
      <c r="I201" s="8" t="s">
        <v>94</v>
      </c>
      <c r="J201" s="8" t="s">
        <v>91</v>
      </c>
      <c r="K201" s="8" t="s">
        <v>2803</v>
      </c>
      <c r="L201" s="8" t="s">
        <v>2348</v>
      </c>
      <c r="M201" s="8" t="s">
        <v>2804</v>
      </c>
      <c r="N201" s="7">
        <v>46334</v>
      </c>
      <c r="O201" s="8" t="s">
        <v>15</v>
      </c>
      <c r="P201" s="8" t="s">
        <v>57</v>
      </c>
      <c r="Q201" s="8" t="s">
        <v>57</v>
      </c>
      <c r="R201" s="8" t="s">
        <v>58</v>
      </c>
      <c r="S201" s="8" t="s">
        <v>16</v>
      </c>
      <c r="T201" s="9">
        <v>1595</v>
      </c>
      <c r="U201" s="9">
        <v>286924.55</v>
      </c>
      <c r="V201" s="8" t="s">
        <v>16</v>
      </c>
      <c r="W201" s="8">
        <v>0</v>
      </c>
      <c r="X201" s="8">
        <v>9</v>
      </c>
      <c r="Y201" s="8">
        <v>25823.21</v>
      </c>
      <c r="Z201" s="8">
        <v>9</v>
      </c>
      <c r="AA201" s="8">
        <v>25823.21</v>
      </c>
      <c r="AB201" s="8">
        <v>0</v>
      </c>
      <c r="AC201" s="8">
        <v>0</v>
      </c>
      <c r="AD201" s="8">
        <v>0</v>
      </c>
      <c r="AE201" s="8">
        <v>51646.42</v>
      </c>
      <c r="AF201" s="8">
        <v>0</v>
      </c>
      <c r="AG201" s="8" t="s">
        <v>74</v>
      </c>
      <c r="AH201" s="8" t="s">
        <v>11</v>
      </c>
      <c r="AI201" s="8">
        <v>63053200</v>
      </c>
      <c r="AJ201" s="8" t="s">
        <v>60</v>
      </c>
      <c r="AK201" s="8">
        <v>1</v>
      </c>
      <c r="AL201" s="8">
        <v>1595</v>
      </c>
      <c r="AM201" s="8" t="s">
        <v>1905</v>
      </c>
    </row>
    <row r="202" spans="7:39" ht="12.75" customHeight="1">
      <c r="G202" s="344"/>
      <c r="H202" s="345">
        <v>46334</v>
      </c>
      <c r="I202" s="8" t="s">
        <v>94</v>
      </c>
      <c r="J202" s="8" t="s">
        <v>91</v>
      </c>
      <c r="K202" s="8" t="s">
        <v>2805</v>
      </c>
      <c r="L202" s="8" t="s">
        <v>98</v>
      </c>
      <c r="M202" s="8" t="s">
        <v>2806</v>
      </c>
      <c r="N202" s="7">
        <v>46334</v>
      </c>
      <c r="O202" s="8" t="s">
        <v>15</v>
      </c>
      <c r="P202" s="8" t="s">
        <v>2076</v>
      </c>
      <c r="Q202" s="8" t="s">
        <v>2076</v>
      </c>
      <c r="R202" s="8" t="s">
        <v>2076</v>
      </c>
      <c r="S202" s="8" t="s">
        <v>64</v>
      </c>
      <c r="T202" s="9">
        <v>187</v>
      </c>
      <c r="U202" s="9">
        <v>24979.46</v>
      </c>
      <c r="V202" s="8" t="s">
        <v>2076</v>
      </c>
      <c r="W202" s="8">
        <v>29450.78</v>
      </c>
      <c r="X202" s="8">
        <v>9</v>
      </c>
      <c r="Y202" s="8">
        <v>2248.15</v>
      </c>
      <c r="Z202" s="8">
        <v>9</v>
      </c>
      <c r="AA202" s="8">
        <v>2248.15</v>
      </c>
      <c r="AB202" s="8">
        <v>0</v>
      </c>
      <c r="AC202" s="8">
        <v>0</v>
      </c>
      <c r="AD202" s="8">
        <v>0</v>
      </c>
      <c r="AE202" s="8">
        <v>4496.3</v>
      </c>
      <c r="AF202" s="8">
        <v>0</v>
      </c>
      <c r="AG202" s="8" t="s">
        <v>74</v>
      </c>
      <c r="AH202" s="8" t="s">
        <v>11</v>
      </c>
      <c r="AI202" s="8">
        <v>39269080</v>
      </c>
      <c r="AJ202" s="8" t="s">
        <v>60</v>
      </c>
      <c r="AK202" s="8">
        <v>1</v>
      </c>
      <c r="AL202" s="8">
        <v>187</v>
      </c>
      <c r="AM202" s="8" t="s">
        <v>1905</v>
      </c>
    </row>
    <row r="203" spans="7:39" ht="12.75" customHeight="1">
      <c r="G203" s="344"/>
      <c r="H203" s="345">
        <v>46364</v>
      </c>
      <c r="I203" s="8" t="s">
        <v>2368</v>
      </c>
      <c r="J203" s="8" t="s">
        <v>113</v>
      </c>
      <c r="K203" s="8" t="s">
        <v>2807</v>
      </c>
      <c r="L203" s="8" t="s">
        <v>114</v>
      </c>
      <c r="M203" s="8" t="s">
        <v>2808</v>
      </c>
      <c r="N203" s="7">
        <v>46303</v>
      </c>
      <c r="O203" s="8" t="s">
        <v>4</v>
      </c>
      <c r="P203" s="8" t="s">
        <v>115</v>
      </c>
      <c r="Q203" s="8" t="s">
        <v>4</v>
      </c>
      <c r="R203" s="8" t="s">
        <v>4</v>
      </c>
      <c r="S203" s="8" t="s">
        <v>773</v>
      </c>
      <c r="T203" s="9">
        <v>50</v>
      </c>
      <c r="U203" s="9">
        <v>29250</v>
      </c>
      <c r="V203" s="8" t="s">
        <v>773</v>
      </c>
      <c r="W203" s="8">
        <v>185588</v>
      </c>
      <c r="X203" s="8">
        <v>2.5</v>
      </c>
      <c r="Y203" s="8">
        <v>731.25</v>
      </c>
      <c r="Z203" s="8">
        <v>2.5</v>
      </c>
      <c r="AA203" s="8">
        <v>731.25</v>
      </c>
      <c r="AB203" s="8">
        <v>0</v>
      </c>
      <c r="AC203" s="8">
        <v>0</v>
      </c>
      <c r="AD203" s="8">
        <v>0</v>
      </c>
      <c r="AE203" s="8">
        <v>1462.5</v>
      </c>
      <c r="AF203" s="8">
        <v>0</v>
      </c>
      <c r="AG203" s="8" t="s">
        <v>2369</v>
      </c>
      <c r="AH203" s="8" t="s">
        <v>1</v>
      </c>
      <c r="AI203" s="8">
        <v>44152000</v>
      </c>
      <c r="AJ203" s="8" t="s">
        <v>60</v>
      </c>
      <c r="AK203" s="8">
        <v>1</v>
      </c>
      <c r="AL203" s="8">
        <v>0</v>
      </c>
      <c r="AM203" s="8" t="s">
        <v>1905</v>
      </c>
    </row>
    <row r="204" spans="7:39" ht="12.75" customHeight="1">
      <c r="G204" s="344"/>
      <c r="H204" s="345">
        <v>46364</v>
      </c>
      <c r="I204" s="8" t="s">
        <v>2368</v>
      </c>
      <c r="J204" s="8" t="s">
        <v>113</v>
      </c>
      <c r="K204" s="8" t="s">
        <v>2807</v>
      </c>
      <c r="L204" s="8" t="s">
        <v>114</v>
      </c>
      <c r="M204" s="8" t="s">
        <v>2808</v>
      </c>
      <c r="N204" s="7">
        <v>46303</v>
      </c>
      <c r="O204" s="8" t="s">
        <v>4</v>
      </c>
      <c r="P204" s="8" t="s">
        <v>115</v>
      </c>
      <c r="Q204" s="8" t="s">
        <v>115</v>
      </c>
      <c r="R204" s="8" t="s">
        <v>4</v>
      </c>
      <c r="S204" s="8" t="s">
        <v>629</v>
      </c>
      <c r="T204" s="9">
        <v>100</v>
      </c>
      <c r="U204" s="9">
        <v>77500</v>
      </c>
      <c r="V204" s="8" t="s">
        <v>629</v>
      </c>
      <c r="W204" s="8">
        <v>0</v>
      </c>
      <c r="X204" s="8">
        <v>2.5</v>
      </c>
      <c r="Y204" s="8">
        <v>1937.5</v>
      </c>
      <c r="Z204" s="8">
        <v>2.5</v>
      </c>
      <c r="AA204" s="8">
        <v>1937.5</v>
      </c>
      <c r="AB204" s="8">
        <v>0</v>
      </c>
      <c r="AC204" s="8">
        <v>0</v>
      </c>
      <c r="AD204" s="8">
        <v>0</v>
      </c>
      <c r="AE204" s="8">
        <v>3875</v>
      </c>
      <c r="AF204" s="8">
        <v>0</v>
      </c>
      <c r="AG204" s="8" t="s">
        <v>2369</v>
      </c>
      <c r="AH204" s="8" t="s">
        <v>1</v>
      </c>
      <c r="AI204" s="8">
        <v>44152000</v>
      </c>
      <c r="AJ204" s="8" t="s">
        <v>60</v>
      </c>
      <c r="AK204" s="8">
        <v>1</v>
      </c>
      <c r="AL204" s="8">
        <v>0</v>
      </c>
      <c r="AM204" s="8" t="s">
        <v>1905</v>
      </c>
    </row>
    <row r="205" spans="7:39" ht="12.75" customHeight="1">
      <c r="G205" s="344"/>
      <c r="H205" s="345">
        <v>46364</v>
      </c>
      <c r="I205" s="8" t="s">
        <v>2368</v>
      </c>
      <c r="J205" s="8" t="s">
        <v>113</v>
      </c>
      <c r="K205" s="8" t="s">
        <v>2807</v>
      </c>
      <c r="L205" s="8" t="s">
        <v>114</v>
      </c>
      <c r="M205" s="8" t="s">
        <v>2808</v>
      </c>
      <c r="N205" s="7">
        <v>46303</v>
      </c>
      <c r="O205" s="8" t="s">
        <v>4</v>
      </c>
      <c r="P205" s="8" t="s">
        <v>115</v>
      </c>
      <c r="Q205" s="8" t="s">
        <v>115</v>
      </c>
      <c r="R205" s="8" t="s">
        <v>4</v>
      </c>
      <c r="S205" s="8" t="s">
        <v>2128</v>
      </c>
      <c r="T205" s="9">
        <v>100</v>
      </c>
      <c r="U205" s="9">
        <v>70000</v>
      </c>
      <c r="V205" s="8" t="s">
        <v>2128</v>
      </c>
      <c r="W205" s="8">
        <v>0</v>
      </c>
      <c r="X205" s="8">
        <v>2.5</v>
      </c>
      <c r="Y205" s="8">
        <v>1750</v>
      </c>
      <c r="Z205" s="8">
        <v>2.5</v>
      </c>
      <c r="AA205" s="8">
        <v>1750</v>
      </c>
      <c r="AB205" s="8">
        <v>0</v>
      </c>
      <c r="AC205" s="8">
        <v>0</v>
      </c>
      <c r="AD205" s="8">
        <v>0</v>
      </c>
      <c r="AE205" s="8">
        <v>3500</v>
      </c>
      <c r="AF205" s="8">
        <v>0</v>
      </c>
      <c r="AG205" s="8" t="s">
        <v>2369</v>
      </c>
      <c r="AH205" s="8" t="s">
        <v>1</v>
      </c>
      <c r="AI205" s="8">
        <v>44152000</v>
      </c>
      <c r="AJ205" s="8" t="s">
        <v>60</v>
      </c>
      <c r="AK205" s="8">
        <v>1</v>
      </c>
      <c r="AL205" s="8">
        <v>0</v>
      </c>
      <c r="AM205" s="8" t="s">
        <v>1905</v>
      </c>
    </row>
    <row r="206" spans="7:39" ht="12.75" customHeight="1">
      <c r="G206" s="344"/>
      <c r="H206" s="345">
        <v>46364</v>
      </c>
      <c r="I206" s="8" t="s">
        <v>105</v>
      </c>
      <c r="J206" s="8" t="s">
        <v>96</v>
      </c>
      <c r="K206" s="8" t="s">
        <v>2809</v>
      </c>
      <c r="L206" s="8" t="s">
        <v>97</v>
      </c>
      <c r="M206" s="8" t="s">
        <v>2810</v>
      </c>
      <c r="N206" s="7" t="s">
        <v>2476</v>
      </c>
      <c r="O206" s="8" t="s">
        <v>5</v>
      </c>
      <c r="P206" s="8" t="s">
        <v>106</v>
      </c>
      <c r="Q206" s="8" t="s">
        <v>68</v>
      </c>
      <c r="R206" s="8" t="s">
        <v>69</v>
      </c>
      <c r="S206" s="8" t="s">
        <v>9</v>
      </c>
      <c r="T206" s="9">
        <v>2795.07</v>
      </c>
      <c r="U206" s="9">
        <v>3913.1</v>
      </c>
      <c r="V206" s="8" t="s">
        <v>9</v>
      </c>
      <c r="W206" s="8">
        <v>5089</v>
      </c>
      <c r="X206" s="8">
        <v>9</v>
      </c>
      <c r="Y206" s="8">
        <v>352.18</v>
      </c>
      <c r="Z206" s="8">
        <v>9</v>
      </c>
      <c r="AA206" s="8">
        <v>352.18</v>
      </c>
      <c r="AB206" s="8">
        <v>0</v>
      </c>
      <c r="AC206" s="8">
        <v>0</v>
      </c>
      <c r="AD206" s="8">
        <v>72</v>
      </c>
      <c r="AE206" s="8">
        <v>776.36</v>
      </c>
      <c r="AF206" s="8">
        <v>0</v>
      </c>
      <c r="AG206" s="8" t="s">
        <v>2475</v>
      </c>
      <c r="AH206" s="8" t="s">
        <v>10</v>
      </c>
      <c r="AI206" s="8">
        <v>37013000</v>
      </c>
      <c r="AJ206" s="8" t="s">
        <v>60</v>
      </c>
      <c r="AK206" s="8">
        <v>1</v>
      </c>
      <c r="AL206" s="8">
        <v>0</v>
      </c>
      <c r="AM206" s="8" t="s">
        <v>1905</v>
      </c>
    </row>
    <row r="207" spans="7:39" ht="12.75" customHeight="1">
      <c r="G207" s="344"/>
      <c r="H207" s="345">
        <v>46364</v>
      </c>
      <c r="I207" s="8" t="s">
        <v>2301</v>
      </c>
      <c r="J207" s="8" t="s">
        <v>96</v>
      </c>
      <c r="K207" s="8" t="s">
        <v>2811</v>
      </c>
      <c r="L207" s="8" t="s">
        <v>97</v>
      </c>
      <c r="M207" s="8">
        <v>1321</v>
      </c>
      <c r="N207" s="7">
        <v>46120</v>
      </c>
      <c r="O207" s="8" t="s">
        <v>5</v>
      </c>
      <c r="P207" s="8" t="s">
        <v>106</v>
      </c>
      <c r="Q207" s="8" t="s">
        <v>68</v>
      </c>
      <c r="R207" s="8" t="s">
        <v>69</v>
      </c>
      <c r="S207" s="8" t="s">
        <v>2191</v>
      </c>
      <c r="T207" s="9">
        <v>1344</v>
      </c>
      <c r="U207" s="9">
        <v>1545.6</v>
      </c>
      <c r="V207" s="8" t="s">
        <v>2191</v>
      </c>
      <c r="W207" s="8">
        <v>2631</v>
      </c>
      <c r="X207" s="8">
        <v>9</v>
      </c>
      <c r="Y207" s="8">
        <v>139.1</v>
      </c>
      <c r="Z207" s="8">
        <v>9</v>
      </c>
      <c r="AA207" s="8">
        <v>139.1</v>
      </c>
      <c r="AB207" s="8">
        <v>0</v>
      </c>
      <c r="AC207" s="8">
        <v>0</v>
      </c>
      <c r="AD207" s="8">
        <v>0</v>
      </c>
      <c r="AE207" s="8">
        <v>278.2</v>
      </c>
      <c r="AF207" s="8">
        <v>0</v>
      </c>
      <c r="AG207" s="8" t="s">
        <v>2812</v>
      </c>
      <c r="AH207" s="8" t="s">
        <v>7</v>
      </c>
      <c r="AI207" s="8">
        <v>400200</v>
      </c>
      <c r="AJ207" s="8" t="s">
        <v>60</v>
      </c>
      <c r="AK207" s="8">
        <v>1</v>
      </c>
      <c r="AL207" s="8">
        <v>0</v>
      </c>
      <c r="AM207" s="8" t="s">
        <v>1905</v>
      </c>
    </row>
    <row r="208" spans="7:39" ht="12.75" customHeight="1">
      <c r="G208" s="344"/>
      <c r="H208" s="345">
        <v>46364</v>
      </c>
      <c r="I208" s="8" t="s">
        <v>2301</v>
      </c>
      <c r="J208" s="8" t="s">
        <v>96</v>
      </c>
      <c r="K208" s="8" t="s">
        <v>2811</v>
      </c>
      <c r="L208" s="8" t="s">
        <v>97</v>
      </c>
      <c r="M208" s="8">
        <v>1321</v>
      </c>
      <c r="N208" s="7">
        <v>46120</v>
      </c>
      <c r="O208" s="8" t="s">
        <v>5</v>
      </c>
      <c r="P208" s="8" t="s">
        <v>106</v>
      </c>
      <c r="Q208" s="8" t="s">
        <v>68</v>
      </c>
      <c r="R208" s="8" t="s">
        <v>69</v>
      </c>
      <c r="S208" s="8" t="s">
        <v>2191</v>
      </c>
      <c r="T208" s="9">
        <v>595</v>
      </c>
      <c r="U208" s="9">
        <v>684.25</v>
      </c>
      <c r="V208" s="8" t="s">
        <v>2191</v>
      </c>
      <c r="W208" s="8">
        <v>0</v>
      </c>
      <c r="X208" s="8">
        <v>9</v>
      </c>
      <c r="Y208" s="8">
        <v>61.58</v>
      </c>
      <c r="Z208" s="8">
        <v>9</v>
      </c>
      <c r="AA208" s="8">
        <v>61.58</v>
      </c>
      <c r="AB208" s="8">
        <v>0</v>
      </c>
      <c r="AC208" s="8">
        <v>0</v>
      </c>
      <c r="AD208" s="8">
        <v>0</v>
      </c>
      <c r="AE208" s="8">
        <v>123.16</v>
      </c>
      <c r="AF208" s="8">
        <v>0</v>
      </c>
      <c r="AG208" s="8" t="s">
        <v>2812</v>
      </c>
      <c r="AH208" s="8" t="s">
        <v>7</v>
      </c>
      <c r="AI208" s="8">
        <v>400200</v>
      </c>
      <c r="AJ208" s="8" t="s">
        <v>60</v>
      </c>
      <c r="AK208" s="8">
        <v>1</v>
      </c>
      <c r="AL208" s="8">
        <v>0</v>
      </c>
      <c r="AM208" s="8" t="s">
        <v>1905</v>
      </c>
    </row>
    <row r="209" spans="7:39" ht="12.75" customHeight="1">
      <c r="G209" s="344"/>
      <c r="H209" s="345">
        <v>46364</v>
      </c>
      <c r="I209" s="8" t="s">
        <v>2301</v>
      </c>
      <c r="J209" s="8" t="s">
        <v>96</v>
      </c>
      <c r="K209" s="8" t="s">
        <v>2813</v>
      </c>
      <c r="L209" s="8" t="s">
        <v>97</v>
      </c>
      <c r="M209" s="8">
        <v>1266</v>
      </c>
      <c r="N209" s="7" t="s">
        <v>2496</v>
      </c>
      <c r="O209" s="8" t="s">
        <v>5</v>
      </c>
      <c r="P209" s="8" t="s">
        <v>106</v>
      </c>
      <c r="Q209" s="8" t="s">
        <v>68</v>
      </c>
      <c r="R209" s="8" t="s">
        <v>69</v>
      </c>
      <c r="S209" s="8" t="s">
        <v>2191</v>
      </c>
      <c r="T209" s="9">
        <v>728</v>
      </c>
      <c r="U209" s="9">
        <v>837.2</v>
      </c>
      <c r="V209" s="8" t="s">
        <v>2191</v>
      </c>
      <c r="W209" s="8">
        <v>988</v>
      </c>
      <c r="X209" s="8">
        <v>9</v>
      </c>
      <c r="Y209" s="8">
        <v>75.349999999999994</v>
      </c>
      <c r="Z209" s="8">
        <v>9</v>
      </c>
      <c r="AA209" s="8">
        <v>75.349999999999994</v>
      </c>
      <c r="AB209" s="8">
        <v>0</v>
      </c>
      <c r="AC209" s="8">
        <v>0</v>
      </c>
      <c r="AD209" s="8">
        <v>0</v>
      </c>
      <c r="AE209" s="8">
        <v>150.69999999999999</v>
      </c>
      <c r="AF209" s="8">
        <v>0</v>
      </c>
      <c r="AG209" s="8" t="s">
        <v>2812</v>
      </c>
      <c r="AH209" s="8" t="s">
        <v>7</v>
      </c>
      <c r="AI209" s="8">
        <v>400200</v>
      </c>
      <c r="AJ209" s="8" t="s">
        <v>60</v>
      </c>
      <c r="AK209" s="8">
        <v>1</v>
      </c>
      <c r="AL209" s="8">
        <v>0</v>
      </c>
      <c r="AM209" s="8" t="s">
        <v>1905</v>
      </c>
    </row>
    <row r="210" spans="7:39" ht="12.75" customHeight="1">
      <c r="G210" s="344"/>
      <c r="H210" s="345">
        <v>46364</v>
      </c>
      <c r="I210" s="8" t="s">
        <v>93</v>
      </c>
      <c r="J210" s="8" t="s">
        <v>96</v>
      </c>
      <c r="K210" s="8" t="s">
        <v>2814</v>
      </c>
      <c r="L210" s="8" t="s">
        <v>97</v>
      </c>
      <c r="M210" s="8" t="s">
        <v>2815</v>
      </c>
      <c r="N210" s="7" t="s">
        <v>2496</v>
      </c>
      <c r="O210" s="8" t="s">
        <v>2</v>
      </c>
      <c r="P210" s="8" t="s">
        <v>67</v>
      </c>
      <c r="Q210" s="8" t="s">
        <v>68</v>
      </c>
      <c r="R210" s="8" t="s">
        <v>69</v>
      </c>
      <c r="S210" s="8" t="s">
        <v>70</v>
      </c>
      <c r="T210" s="9">
        <v>21</v>
      </c>
      <c r="U210" s="9">
        <v>1008</v>
      </c>
      <c r="V210" s="8" t="s">
        <v>70</v>
      </c>
      <c r="W210" s="8">
        <v>1188.43</v>
      </c>
      <c r="X210" s="8">
        <v>9</v>
      </c>
      <c r="Y210" s="8">
        <v>90.72</v>
      </c>
      <c r="Z210" s="8">
        <v>9</v>
      </c>
      <c r="AA210" s="8">
        <v>90.72</v>
      </c>
      <c r="AB210" s="8">
        <v>0</v>
      </c>
      <c r="AC210" s="8">
        <v>0</v>
      </c>
      <c r="AD210" s="8">
        <v>0</v>
      </c>
      <c r="AE210" s="8">
        <v>181.44</v>
      </c>
      <c r="AF210" s="8">
        <v>0</v>
      </c>
      <c r="AG210" s="8" t="s">
        <v>59</v>
      </c>
      <c r="AH210" s="8" t="s">
        <v>11</v>
      </c>
      <c r="AI210" s="8">
        <v>73063090</v>
      </c>
      <c r="AJ210" s="8" t="s">
        <v>60</v>
      </c>
      <c r="AK210" s="8">
        <v>1</v>
      </c>
      <c r="AL210" s="8">
        <v>0</v>
      </c>
      <c r="AM210" s="8" t="s">
        <v>1905</v>
      </c>
    </row>
    <row r="211" spans="7:39" ht="12.75" customHeight="1">
      <c r="G211" s="344"/>
      <c r="H211" s="345">
        <v>46364</v>
      </c>
      <c r="I211" s="8" t="s">
        <v>261</v>
      </c>
      <c r="J211" s="8" t="s">
        <v>96</v>
      </c>
      <c r="K211" s="8" t="s">
        <v>2816</v>
      </c>
      <c r="L211" s="8" t="s">
        <v>97</v>
      </c>
      <c r="M211" s="8" t="s">
        <v>2817</v>
      </c>
      <c r="N211" s="7">
        <v>46303</v>
      </c>
      <c r="O211" s="8" t="s">
        <v>2</v>
      </c>
      <c r="P211" s="8" t="s">
        <v>67</v>
      </c>
      <c r="Q211" s="8" t="s">
        <v>68</v>
      </c>
      <c r="R211" s="8" t="s">
        <v>69</v>
      </c>
      <c r="S211" s="8" t="s">
        <v>2818</v>
      </c>
      <c r="T211" s="9">
        <v>165</v>
      </c>
      <c r="U211" s="9">
        <v>9075</v>
      </c>
      <c r="V211" s="8" t="s">
        <v>2818</v>
      </c>
      <c r="W211" s="8">
        <v>13423</v>
      </c>
      <c r="X211" s="8">
        <v>9</v>
      </c>
      <c r="Y211" s="8">
        <v>816.75</v>
      </c>
      <c r="Z211" s="8">
        <v>9</v>
      </c>
      <c r="AA211" s="8">
        <v>816.75</v>
      </c>
      <c r="AB211" s="8">
        <v>0</v>
      </c>
      <c r="AC211" s="8">
        <v>0</v>
      </c>
      <c r="AD211" s="8">
        <v>0</v>
      </c>
      <c r="AE211" s="8">
        <v>1633.5</v>
      </c>
      <c r="AF211" s="8">
        <v>0</v>
      </c>
      <c r="AG211" s="8" t="s">
        <v>2819</v>
      </c>
      <c r="AH211" s="8" t="s">
        <v>3</v>
      </c>
      <c r="AI211" s="8">
        <v>73063090</v>
      </c>
      <c r="AJ211" s="8" t="s">
        <v>60</v>
      </c>
      <c r="AK211" s="8">
        <v>1</v>
      </c>
      <c r="AL211" s="8">
        <v>0</v>
      </c>
      <c r="AM211" s="8" t="s">
        <v>1905</v>
      </c>
    </row>
    <row r="212" spans="7:39" ht="12.75" customHeight="1">
      <c r="G212" s="344"/>
      <c r="H212" s="345">
        <v>46364</v>
      </c>
      <c r="I212" s="8" t="s">
        <v>261</v>
      </c>
      <c r="J212" s="8" t="s">
        <v>96</v>
      </c>
      <c r="K212" s="8" t="s">
        <v>2816</v>
      </c>
      <c r="L212" s="8" t="s">
        <v>97</v>
      </c>
      <c r="M212" s="8" t="s">
        <v>2817</v>
      </c>
      <c r="N212" s="7">
        <v>46303</v>
      </c>
      <c r="O212" s="8" t="s">
        <v>2</v>
      </c>
      <c r="P212" s="8" t="s">
        <v>67</v>
      </c>
      <c r="Q212" s="8" t="s">
        <v>68</v>
      </c>
      <c r="R212" s="8" t="s">
        <v>69</v>
      </c>
      <c r="S212" s="8" t="s">
        <v>2820</v>
      </c>
      <c r="T212" s="9">
        <v>46</v>
      </c>
      <c r="U212" s="9">
        <v>2300</v>
      </c>
      <c r="V212" s="8" t="s">
        <v>2820</v>
      </c>
      <c r="W212" s="8">
        <v>0</v>
      </c>
      <c r="X212" s="8">
        <v>9</v>
      </c>
      <c r="Y212" s="8">
        <v>207</v>
      </c>
      <c r="Z212" s="8">
        <v>9</v>
      </c>
      <c r="AA212" s="8">
        <v>207</v>
      </c>
      <c r="AB212" s="8">
        <v>0</v>
      </c>
      <c r="AC212" s="8">
        <v>0</v>
      </c>
      <c r="AD212" s="8">
        <v>0</v>
      </c>
      <c r="AE212" s="8">
        <v>414</v>
      </c>
      <c r="AF212" s="8">
        <v>0</v>
      </c>
      <c r="AG212" s="8" t="s">
        <v>2819</v>
      </c>
      <c r="AH212" s="8" t="s">
        <v>3</v>
      </c>
      <c r="AI212" s="8">
        <v>730690</v>
      </c>
      <c r="AJ212" s="8" t="s">
        <v>60</v>
      </c>
      <c r="AK212" s="8">
        <v>1</v>
      </c>
      <c r="AL212" s="8">
        <v>0</v>
      </c>
      <c r="AM212" s="8" t="s">
        <v>1905</v>
      </c>
    </row>
    <row r="213" spans="7:39" ht="12.75" customHeight="1">
      <c r="G213" s="344"/>
      <c r="H213" s="345">
        <v>46364</v>
      </c>
      <c r="I213" s="8" t="s">
        <v>87</v>
      </c>
      <c r="J213" s="8" t="s">
        <v>96</v>
      </c>
      <c r="K213" s="8" t="s">
        <v>2821</v>
      </c>
      <c r="L213" s="8" t="s">
        <v>97</v>
      </c>
      <c r="M213" s="8" t="s">
        <v>2822</v>
      </c>
      <c r="N213" s="7">
        <v>46364</v>
      </c>
      <c r="O213" s="8" t="s">
        <v>2</v>
      </c>
      <c r="P213" s="8" t="s">
        <v>67</v>
      </c>
      <c r="Q213" s="8" t="s">
        <v>68</v>
      </c>
      <c r="R213" s="8" t="s">
        <v>69</v>
      </c>
      <c r="S213" s="344" t="s">
        <v>70</v>
      </c>
      <c r="T213" s="9">
        <v>288</v>
      </c>
      <c r="U213" s="9">
        <v>13824</v>
      </c>
      <c r="V213" s="8" t="s">
        <v>70</v>
      </c>
      <c r="W213" s="8">
        <v>16298.5</v>
      </c>
      <c r="X213" s="8">
        <v>9</v>
      </c>
      <c r="Y213" s="8">
        <v>1244.1600000000001</v>
      </c>
      <c r="Z213" s="8">
        <v>9</v>
      </c>
      <c r="AA213" s="8">
        <v>1244.1600000000001</v>
      </c>
      <c r="AB213" s="8">
        <v>0</v>
      </c>
      <c r="AC213" s="8">
        <v>0</v>
      </c>
      <c r="AD213" s="8">
        <v>0</v>
      </c>
      <c r="AE213" s="8">
        <v>2488.3200000000002</v>
      </c>
      <c r="AF213" s="8">
        <v>0</v>
      </c>
      <c r="AG213" s="8" t="s">
        <v>65</v>
      </c>
      <c r="AH213" s="8" t="s">
        <v>11</v>
      </c>
      <c r="AI213" s="8">
        <v>73063090</v>
      </c>
      <c r="AJ213" s="8" t="s">
        <v>60</v>
      </c>
      <c r="AK213" s="8">
        <v>1</v>
      </c>
      <c r="AL213" s="8">
        <v>0</v>
      </c>
      <c r="AM213" s="8" t="s">
        <v>1905</v>
      </c>
    </row>
    <row r="214" spans="7:39" ht="12.75" customHeight="1">
      <c r="G214" s="344"/>
      <c r="H214" s="345">
        <v>46364</v>
      </c>
      <c r="I214" s="8" t="s">
        <v>87</v>
      </c>
      <c r="J214" s="8" t="s">
        <v>91</v>
      </c>
      <c r="K214" s="8" t="s">
        <v>2823</v>
      </c>
      <c r="L214" s="8" t="s">
        <v>98</v>
      </c>
      <c r="M214" s="8" t="s">
        <v>2824</v>
      </c>
      <c r="N214" s="7">
        <v>46364</v>
      </c>
      <c r="O214" s="8" t="s">
        <v>13</v>
      </c>
      <c r="P214" s="8" t="s">
        <v>62</v>
      </c>
      <c r="Q214" s="8" t="s">
        <v>63</v>
      </c>
      <c r="R214" s="8" t="s">
        <v>64</v>
      </c>
      <c r="S214" s="8" t="s">
        <v>19</v>
      </c>
      <c r="T214" s="9">
        <v>2531</v>
      </c>
      <c r="U214" s="9">
        <v>360211.92</v>
      </c>
      <c r="V214" s="8" t="s">
        <v>19</v>
      </c>
      <c r="W214" s="8">
        <v>1386932.11</v>
      </c>
      <c r="X214" s="8">
        <v>9</v>
      </c>
      <c r="Y214" s="8">
        <v>32419.07</v>
      </c>
      <c r="Z214" s="8">
        <v>9</v>
      </c>
      <c r="AA214" s="8">
        <v>32419.07</v>
      </c>
      <c r="AB214" s="8">
        <v>0</v>
      </c>
      <c r="AC214" s="8">
        <v>0</v>
      </c>
      <c r="AD214" s="8">
        <v>0</v>
      </c>
      <c r="AE214" s="8">
        <v>64838.14</v>
      </c>
      <c r="AF214" s="8">
        <v>0</v>
      </c>
      <c r="AG214" s="8" t="s">
        <v>65</v>
      </c>
      <c r="AH214" s="8" t="s">
        <v>11</v>
      </c>
      <c r="AI214" s="8">
        <v>39269080</v>
      </c>
      <c r="AJ214" s="8" t="s">
        <v>60</v>
      </c>
      <c r="AK214" s="8">
        <v>1</v>
      </c>
      <c r="AL214" s="8">
        <v>2531</v>
      </c>
      <c r="AM214" s="8" t="s">
        <v>1905</v>
      </c>
    </row>
    <row r="215" spans="7:39">
      <c r="G215" s="344"/>
      <c r="H215" s="345">
        <v>46364</v>
      </c>
      <c r="I215" s="8" t="s">
        <v>87</v>
      </c>
      <c r="J215" s="8" t="s">
        <v>91</v>
      </c>
      <c r="K215" s="8" t="s">
        <v>2823</v>
      </c>
      <c r="L215" s="8" t="s">
        <v>98</v>
      </c>
      <c r="M215" s="8" t="s">
        <v>2824</v>
      </c>
      <c r="N215" s="7">
        <v>46364</v>
      </c>
      <c r="O215" s="8" t="s">
        <v>13</v>
      </c>
      <c r="P215" s="8" t="s">
        <v>62</v>
      </c>
      <c r="Q215" s="8" t="s">
        <v>63</v>
      </c>
      <c r="R215" s="8" t="s">
        <v>64</v>
      </c>
      <c r="S215" s="8" t="s">
        <v>19</v>
      </c>
      <c r="T215" s="9">
        <v>1126</v>
      </c>
      <c r="U215" s="9">
        <v>162504.32000000001</v>
      </c>
      <c r="V215" s="8" t="s">
        <v>19</v>
      </c>
      <c r="W215" s="8">
        <v>0</v>
      </c>
      <c r="X215" s="8">
        <v>9</v>
      </c>
      <c r="Y215" s="8">
        <v>14625.39</v>
      </c>
      <c r="Z215" s="8">
        <v>9</v>
      </c>
      <c r="AA215" s="8">
        <v>14625.39</v>
      </c>
      <c r="AB215" s="8">
        <v>0</v>
      </c>
      <c r="AC215" s="8">
        <v>0</v>
      </c>
      <c r="AD215" s="8">
        <v>0</v>
      </c>
      <c r="AE215" s="8">
        <v>29250.78</v>
      </c>
      <c r="AF215" s="8">
        <v>0</v>
      </c>
      <c r="AG215" s="8" t="s">
        <v>65</v>
      </c>
      <c r="AH215" s="8" t="s">
        <v>11</v>
      </c>
      <c r="AI215" s="8">
        <v>39269080</v>
      </c>
      <c r="AJ215" s="8" t="s">
        <v>60</v>
      </c>
      <c r="AK215" s="8">
        <v>1</v>
      </c>
      <c r="AL215" s="8">
        <v>1126</v>
      </c>
      <c r="AM215" s="8" t="s">
        <v>1905</v>
      </c>
    </row>
    <row r="216" spans="7:39" ht="12.75" customHeight="1">
      <c r="G216" s="344"/>
      <c r="H216" s="345">
        <v>46364</v>
      </c>
      <c r="I216" s="8" t="s">
        <v>87</v>
      </c>
      <c r="J216" s="8" t="s">
        <v>91</v>
      </c>
      <c r="K216" s="8" t="s">
        <v>2823</v>
      </c>
      <c r="L216" s="8" t="s">
        <v>98</v>
      </c>
      <c r="M216" s="8" t="s">
        <v>2824</v>
      </c>
      <c r="N216" s="7">
        <v>46364</v>
      </c>
      <c r="O216" s="8" t="s">
        <v>13</v>
      </c>
      <c r="P216" s="8" t="s">
        <v>24</v>
      </c>
      <c r="Q216" s="8" t="s">
        <v>79</v>
      </c>
      <c r="R216" s="8" t="s">
        <v>79</v>
      </c>
      <c r="S216" s="8" t="s">
        <v>24</v>
      </c>
      <c r="T216" s="9">
        <v>1254.5999999999999</v>
      </c>
      <c r="U216" s="9">
        <v>181063.87</v>
      </c>
      <c r="V216" s="8" t="s">
        <v>24</v>
      </c>
      <c r="W216" s="8">
        <v>0</v>
      </c>
      <c r="X216" s="8">
        <v>9</v>
      </c>
      <c r="Y216" s="8">
        <v>16295.75</v>
      </c>
      <c r="Z216" s="8">
        <v>9</v>
      </c>
      <c r="AA216" s="8">
        <v>16295.75</v>
      </c>
      <c r="AB216" s="8">
        <v>0</v>
      </c>
      <c r="AC216" s="8">
        <v>0</v>
      </c>
      <c r="AD216" s="8">
        <v>0</v>
      </c>
      <c r="AE216" s="8">
        <v>32591.5</v>
      </c>
      <c r="AF216" s="8">
        <v>0</v>
      </c>
      <c r="AG216" s="8" t="s">
        <v>65</v>
      </c>
      <c r="AH216" s="8" t="s">
        <v>11</v>
      </c>
      <c r="AI216" s="8">
        <v>3926908</v>
      </c>
      <c r="AJ216" s="8" t="s">
        <v>60</v>
      </c>
      <c r="AK216" s="8">
        <v>1</v>
      </c>
      <c r="AL216" s="8">
        <v>1254.5999999999999</v>
      </c>
      <c r="AM216" s="8" t="s">
        <v>1905</v>
      </c>
    </row>
    <row r="217" spans="7:39" ht="12.75" customHeight="1">
      <c r="G217" s="344"/>
      <c r="H217" s="345">
        <v>46364</v>
      </c>
      <c r="I217" s="8" t="s">
        <v>87</v>
      </c>
      <c r="J217" s="8" t="s">
        <v>91</v>
      </c>
      <c r="K217" s="8" t="s">
        <v>2823</v>
      </c>
      <c r="L217" s="8" t="s">
        <v>98</v>
      </c>
      <c r="M217" s="8" t="s">
        <v>2824</v>
      </c>
      <c r="N217" s="7">
        <v>46364</v>
      </c>
      <c r="O217" s="8" t="s">
        <v>13</v>
      </c>
      <c r="P217" s="8" t="s">
        <v>24</v>
      </c>
      <c r="Q217" s="8" t="s">
        <v>79</v>
      </c>
      <c r="R217" s="8" t="s">
        <v>79</v>
      </c>
      <c r="S217" s="8" t="s">
        <v>24</v>
      </c>
      <c r="T217" s="9">
        <v>1431.9</v>
      </c>
      <c r="U217" s="9">
        <v>210947.51</v>
      </c>
      <c r="V217" s="8" t="s">
        <v>24</v>
      </c>
      <c r="W217" s="8">
        <v>0</v>
      </c>
      <c r="X217" s="8">
        <v>9</v>
      </c>
      <c r="Y217" s="8">
        <v>18985.28</v>
      </c>
      <c r="Z217" s="8">
        <v>9</v>
      </c>
      <c r="AA217" s="8">
        <v>18985.28</v>
      </c>
      <c r="AB217" s="8">
        <v>0</v>
      </c>
      <c r="AC217" s="8">
        <v>0</v>
      </c>
      <c r="AD217" s="8">
        <v>0</v>
      </c>
      <c r="AE217" s="8">
        <v>37970.559999999998</v>
      </c>
      <c r="AF217" s="8">
        <v>0</v>
      </c>
      <c r="AG217" s="8" t="s">
        <v>65</v>
      </c>
      <c r="AH217" s="8" t="s">
        <v>11</v>
      </c>
      <c r="AI217" s="8">
        <v>3926908</v>
      </c>
      <c r="AJ217" s="8" t="s">
        <v>60</v>
      </c>
      <c r="AK217" s="8">
        <v>1</v>
      </c>
      <c r="AL217" s="8">
        <v>1431.9</v>
      </c>
      <c r="AM217" s="8" t="s">
        <v>1905</v>
      </c>
    </row>
    <row r="218" spans="7:39" ht="12.75" customHeight="1">
      <c r="G218" s="344"/>
      <c r="H218" s="345">
        <v>46364</v>
      </c>
      <c r="I218" s="8" t="s">
        <v>87</v>
      </c>
      <c r="J218" s="8" t="s">
        <v>91</v>
      </c>
      <c r="K218" s="8" t="s">
        <v>2823</v>
      </c>
      <c r="L218" s="8" t="s">
        <v>98</v>
      </c>
      <c r="M218" s="8" t="s">
        <v>2824</v>
      </c>
      <c r="N218" s="7">
        <v>46364</v>
      </c>
      <c r="O218" s="8" t="s">
        <v>13</v>
      </c>
      <c r="P218" s="8" t="s">
        <v>99</v>
      </c>
      <c r="Q218" s="8" t="s">
        <v>100</v>
      </c>
      <c r="R218" s="8" t="s">
        <v>101</v>
      </c>
      <c r="S218" s="8" t="s">
        <v>553</v>
      </c>
      <c r="T218" s="9">
        <v>934.5</v>
      </c>
      <c r="U218" s="9">
        <v>144212.04</v>
      </c>
      <c r="V218" s="8" t="s">
        <v>553</v>
      </c>
      <c r="W218" s="8">
        <v>0</v>
      </c>
      <c r="X218" s="8">
        <v>2.5</v>
      </c>
      <c r="Y218" s="8">
        <v>3605.3</v>
      </c>
      <c r="Z218" s="8">
        <v>2.5</v>
      </c>
      <c r="AA218" s="8">
        <v>3605.3</v>
      </c>
      <c r="AB218" s="8">
        <v>0</v>
      </c>
      <c r="AC218" s="8">
        <v>0</v>
      </c>
      <c r="AD218" s="8">
        <v>0</v>
      </c>
      <c r="AE218" s="8">
        <v>7210.6</v>
      </c>
      <c r="AF218" s="8">
        <v>0</v>
      </c>
      <c r="AG218" s="8" t="s">
        <v>65</v>
      </c>
      <c r="AH218" s="8" t="s">
        <v>3</v>
      </c>
      <c r="AI218" s="8">
        <v>540263</v>
      </c>
      <c r="AJ218" s="8" t="s">
        <v>60</v>
      </c>
      <c r="AK218" s="8">
        <v>1</v>
      </c>
      <c r="AL218" s="8">
        <v>934.5</v>
      </c>
      <c r="AM218" s="8" t="s">
        <v>1905</v>
      </c>
    </row>
    <row r="219" spans="7:39" ht="12.75" customHeight="1">
      <c r="G219" s="344"/>
      <c r="H219" s="345">
        <v>46364</v>
      </c>
      <c r="I219" s="8" t="s">
        <v>87</v>
      </c>
      <c r="J219" s="8" t="s">
        <v>91</v>
      </c>
      <c r="K219" s="8" t="s">
        <v>2823</v>
      </c>
      <c r="L219" s="8" t="s">
        <v>98</v>
      </c>
      <c r="M219" s="8" t="s">
        <v>2824</v>
      </c>
      <c r="N219" s="7">
        <v>46364</v>
      </c>
      <c r="O219" s="8" t="s">
        <v>13</v>
      </c>
      <c r="P219" s="8" t="s">
        <v>99</v>
      </c>
      <c r="Q219" s="8" t="s">
        <v>100</v>
      </c>
      <c r="R219" s="8" t="s">
        <v>101</v>
      </c>
      <c r="S219" s="8" t="s">
        <v>1268</v>
      </c>
      <c r="T219" s="9">
        <v>952.5</v>
      </c>
      <c r="U219" s="9">
        <v>149847.29999999999</v>
      </c>
      <c r="V219" s="8" t="s">
        <v>1268</v>
      </c>
      <c r="W219" s="8">
        <v>0</v>
      </c>
      <c r="X219" s="8">
        <v>2.5</v>
      </c>
      <c r="Y219" s="8">
        <v>3746.18</v>
      </c>
      <c r="Z219" s="8">
        <v>2.5</v>
      </c>
      <c r="AA219" s="8">
        <v>3746.18</v>
      </c>
      <c r="AB219" s="8">
        <v>0</v>
      </c>
      <c r="AC219" s="8">
        <v>0</v>
      </c>
      <c r="AD219" s="8">
        <v>0</v>
      </c>
      <c r="AE219" s="8">
        <v>7492.36</v>
      </c>
      <c r="AF219" s="8">
        <v>0</v>
      </c>
      <c r="AG219" s="8" t="s">
        <v>65</v>
      </c>
      <c r="AH219" s="8" t="s">
        <v>3</v>
      </c>
      <c r="AI219" s="8">
        <v>54026930</v>
      </c>
      <c r="AJ219" s="8" t="s">
        <v>60</v>
      </c>
      <c r="AK219" s="8">
        <v>1</v>
      </c>
      <c r="AL219" s="8">
        <v>952.5</v>
      </c>
      <c r="AM219" s="8" t="s">
        <v>1905</v>
      </c>
    </row>
    <row r="220" spans="7:39" ht="12.75" customHeight="1">
      <c r="G220" s="344"/>
      <c r="H220" s="345">
        <v>46364</v>
      </c>
      <c r="I220" s="8" t="s">
        <v>87</v>
      </c>
      <c r="J220" s="8" t="s">
        <v>91</v>
      </c>
      <c r="K220" s="8" t="s">
        <v>2825</v>
      </c>
      <c r="L220" s="8" t="s">
        <v>98</v>
      </c>
      <c r="M220" s="8" t="s">
        <v>2826</v>
      </c>
      <c r="N220" s="7">
        <v>46364</v>
      </c>
      <c r="O220" s="8" t="s">
        <v>13</v>
      </c>
      <c r="P220" s="8" t="s">
        <v>80</v>
      </c>
      <c r="Q220" s="8" t="s">
        <v>81</v>
      </c>
      <c r="R220" s="8" t="s">
        <v>82</v>
      </c>
      <c r="S220" s="8" t="s">
        <v>17</v>
      </c>
      <c r="T220" s="9">
        <v>109</v>
      </c>
      <c r="U220" s="9">
        <v>19277.740000000002</v>
      </c>
      <c r="V220" s="8" t="s">
        <v>17</v>
      </c>
      <c r="W220" s="8">
        <v>1319931.47</v>
      </c>
      <c r="X220" s="8">
        <v>9</v>
      </c>
      <c r="Y220" s="8">
        <v>1735</v>
      </c>
      <c r="Z220" s="8">
        <v>9</v>
      </c>
      <c r="AA220" s="8">
        <v>1735</v>
      </c>
      <c r="AB220" s="8">
        <v>0</v>
      </c>
      <c r="AC220" s="8">
        <v>0</v>
      </c>
      <c r="AD220" s="8">
        <v>0</v>
      </c>
      <c r="AE220" s="8">
        <v>3470</v>
      </c>
      <c r="AF220" s="8">
        <v>0</v>
      </c>
      <c r="AG220" s="8" t="s">
        <v>65</v>
      </c>
      <c r="AH220" s="8" t="s">
        <v>11</v>
      </c>
      <c r="AI220" s="8">
        <v>39200000</v>
      </c>
      <c r="AJ220" s="8" t="s">
        <v>60</v>
      </c>
      <c r="AK220" s="8">
        <v>1</v>
      </c>
      <c r="AL220" s="8">
        <v>109</v>
      </c>
      <c r="AM220" s="8" t="s">
        <v>1905</v>
      </c>
    </row>
    <row r="221" spans="7:39" ht="12.75" customHeight="1">
      <c r="G221" s="344"/>
      <c r="H221" s="345">
        <v>46364</v>
      </c>
      <c r="I221" s="8" t="s">
        <v>87</v>
      </c>
      <c r="J221" s="8" t="s">
        <v>91</v>
      </c>
      <c r="K221" s="8" t="s">
        <v>2825</v>
      </c>
      <c r="L221" s="8" t="s">
        <v>98</v>
      </c>
      <c r="M221" s="8" t="s">
        <v>2826</v>
      </c>
      <c r="N221" s="7">
        <v>46364</v>
      </c>
      <c r="O221" s="8" t="s">
        <v>13</v>
      </c>
      <c r="P221" s="8" t="s">
        <v>80</v>
      </c>
      <c r="Q221" s="8" t="s">
        <v>81</v>
      </c>
      <c r="R221" s="8" t="s">
        <v>82</v>
      </c>
      <c r="S221" s="8" t="s">
        <v>17</v>
      </c>
      <c r="T221" s="9">
        <v>182</v>
      </c>
      <c r="U221" s="9">
        <v>33644.519999999997</v>
      </c>
      <c r="V221" s="8" t="s">
        <v>17</v>
      </c>
      <c r="W221" s="8">
        <v>0</v>
      </c>
      <c r="X221" s="8">
        <v>9</v>
      </c>
      <c r="Y221" s="8">
        <v>3028.01</v>
      </c>
      <c r="Z221" s="8">
        <v>9</v>
      </c>
      <c r="AA221" s="8">
        <v>3028.01</v>
      </c>
      <c r="AB221" s="8">
        <v>0</v>
      </c>
      <c r="AC221" s="8">
        <v>0</v>
      </c>
      <c r="AD221" s="8">
        <v>0</v>
      </c>
      <c r="AE221" s="8">
        <v>6056.02</v>
      </c>
      <c r="AF221" s="8">
        <v>0</v>
      </c>
      <c r="AG221" s="8" t="s">
        <v>65</v>
      </c>
      <c r="AH221" s="8" t="s">
        <v>11</v>
      </c>
      <c r="AI221" s="8">
        <v>39200000</v>
      </c>
      <c r="AJ221" s="8" t="s">
        <v>60</v>
      </c>
      <c r="AK221" s="8">
        <v>1</v>
      </c>
      <c r="AL221" s="8">
        <v>182</v>
      </c>
      <c r="AM221" s="8" t="s">
        <v>1905</v>
      </c>
    </row>
    <row r="222" spans="7:39" ht="12.75" customHeight="1">
      <c r="G222" s="344"/>
      <c r="H222" s="345">
        <v>46364</v>
      </c>
      <c r="I222" s="8" t="s">
        <v>87</v>
      </c>
      <c r="J222" s="8" t="s">
        <v>91</v>
      </c>
      <c r="K222" s="8" t="s">
        <v>2825</v>
      </c>
      <c r="L222" s="8" t="s">
        <v>98</v>
      </c>
      <c r="M222" s="8" t="s">
        <v>2826</v>
      </c>
      <c r="N222" s="7">
        <v>46364</v>
      </c>
      <c r="O222" s="8" t="s">
        <v>13</v>
      </c>
      <c r="P222" s="8" t="s">
        <v>62</v>
      </c>
      <c r="Q222" s="8" t="s">
        <v>63</v>
      </c>
      <c r="R222" s="8" t="s">
        <v>64</v>
      </c>
      <c r="S222" s="8" t="s">
        <v>19</v>
      </c>
      <c r="T222" s="9">
        <v>7100</v>
      </c>
      <c r="U222" s="9">
        <v>1010472</v>
      </c>
      <c r="V222" s="8" t="s">
        <v>19</v>
      </c>
      <c r="W222" s="8">
        <v>0</v>
      </c>
      <c r="X222" s="8">
        <v>9</v>
      </c>
      <c r="Y222" s="8">
        <v>90942.48</v>
      </c>
      <c r="Z222" s="8">
        <v>9</v>
      </c>
      <c r="AA222" s="8">
        <v>90942.48</v>
      </c>
      <c r="AB222" s="8">
        <v>0</v>
      </c>
      <c r="AC222" s="8">
        <v>0</v>
      </c>
      <c r="AD222" s="8">
        <v>0</v>
      </c>
      <c r="AE222" s="8">
        <v>181884.96</v>
      </c>
      <c r="AF222" s="8">
        <v>0</v>
      </c>
      <c r="AG222" s="8" t="s">
        <v>65</v>
      </c>
      <c r="AH222" s="8" t="s">
        <v>11</v>
      </c>
      <c r="AI222" s="8">
        <v>39269080</v>
      </c>
      <c r="AJ222" s="8" t="s">
        <v>60</v>
      </c>
      <c r="AK222" s="8">
        <v>1</v>
      </c>
      <c r="AL222" s="8">
        <v>7100</v>
      </c>
      <c r="AM222" s="8" t="s">
        <v>1905</v>
      </c>
    </row>
    <row r="223" spans="7:39" ht="12.75" customHeight="1">
      <c r="G223" s="344"/>
      <c r="H223" s="345">
        <v>46364</v>
      </c>
      <c r="I223" s="8" t="s">
        <v>87</v>
      </c>
      <c r="J223" s="8" t="s">
        <v>91</v>
      </c>
      <c r="K223" s="8" t="s">
        <v>2825</v>
      </c>
      <c r="L223" s="8" t="s">
        <v>98</v>
      </c>
      <c r="M223" s="8" t="s">
        <v>2826</v>
      </c>
      <c r="N223" s="7">
        <v>46364</v>
      </c>
      <c r="O223" s="8" t="s">
        <v>13</v>
      </c>
      <c r="P223" s="8" t="s">
        <v>62</v>
      </c>
      <c r="Q223" s="8" t="s">
        <v>63</v>
      </c>
      <c r="R223" s="8" t="s">
        <v>64</v>
      </c>
      <c r="S223" s="8" t="s">
        <v>19</v>
      </c>
      <c r="T223" s="9">
        <v>389</v>
      </c>
      <c r="U223" s="9">
        <v>56140.480000000003</v>
      </c>
      <c r="V223" s="8" t="s">
        <v>19</v>
      </c>
      <c r="W223" s="8">
        <v>0</v>
      </c>
      <c r="X223" s="8">
        <v>9</v>
      </c>
      <c r="Y223" s="8">
        <v>5052.6400000000003</v>
      </c>
      <c r="Z223" s="8">
        <v>9</v>
      </c>
      <c r="AA223" s="8">
        <v>5052.6400000000003</v>
      </c>
      <c r="AB223" s="8">
        <v>0</v>
      </c>
      <c r="AC223" s="8">
        <v>0</v>
      </c>
      <c r="AD223" s="8">
        <v>0</v>
      </c>
      <c r="AE223" s="8">
        <v>10105.280000000001</v>
      </c>
      <c r="AF223" s="8">
        <v>0</v>
      </c>
      <c r="AG223" s="8" t="s">
        <v>65</v>
      </c>
      <c r="AH223" s="8" t="s">
        <v>11</v>
      </c>
      <c r="AI223" s="8">
        <v>39269080</v>
      </c>
      <c r="AJ223" s="8" t="s">
        <v>60</v>
      </c>
      <c r="AK223" s="8">
        <v>1</v>
      </c>
      <c r="AL223" s="8">
        <v>389</v>
      </c>
      <c r="AM223" s="8" t="s">
        <v>1905</v>
      </c>
    </row>
    <row r="224" spans="7:39" ht="12.75" customHeight="1">
      <c r="G224" s="344"/>
      <c r="H224" s="345">
        <v>46364</v>
      </c>
      <c r="I224" s="8" t="s">
        <v>87</v>
      </c>
      <c r="J224" s="8" t="s">
        <v>91</v>
      </c>
      <c r="K224" s="8" t="s">
        <v>2827</v>
      </c>
      <c r="L224" s="8" t="s">
        <v>98</v>
      </c>
      <c r="M224" s="8" t="s">
        <v>2828</v>
      </c>
      <c r="N224" s="7">
        <v>46364</v>
      </c>
      <c r="O224" s="8" t="s">
        <v>13</v>
      </c>
      <c r="P224" s="8" t="s">
        <v>24</v>
      </c>
      <c r="Q224" s="8" t="s">
        <v>79</v>
      </c>
      <c r="R224" s="8" t="s">
        <v>79</v>
      </c>
      <c r="S224" s="8" t="s">
        <v>24</v>
      </c>
      <c r="T224" s="9">
        <v>47.6</v>
      </c>
      <c r="U224" s="9">
        <v>6869.63</v>
      </c>
      <c r="V224" s="8" t="s">
        <v>24</v>
      </c>
      <c r="W224" s="8">
        <v>1479482.7</v>
      </c>
      <c r="X224" s="8">
        <v>9</v>
      </c>
      <c r="Y224" s="8">
        <v>618.27</v>
      </c>
      <c r="Z224" s="8">
        <v>9</v>
      </c>
      <c r="AA224" s="8">
        <v>618.27</v>
      </c>
      <c r="AB224" s="8">
        <v>0</v>
      </c>
      <c r="AC224" s="8">
        <v>0</v>
      </c>
      <c r="AD224" s="8">
        <v>0</v>
      </c>
      <c r="AE224" s="8">
        <v>1236.54</v>
      </c>
      <c r="AF224" s="8">
        <v>0</v>
      </c>
      <c r="AG224" s="8" t="s">
        <v>65</v>
      </c>
      <c r="AH224" s="8" t="s">
        <v>11</v>
      </c>
      <c r="AI224" s="8">
        <v>3926908</v>
      </c>
      <c r="AJ224" s="8" t="s">
        <v>60</v>
      </c>
      <c r="AK224" s="8">
        <v>1</v>
      </c>
      <c r="AL224" s="8">
        <v>47.6</v>
      </c>
      <c r="AM224" s="8" t="s">
        <v>1905</v>
      </c>
    </row>
    <row r="225" spans="7:39" ht="12.75" customHeight="1">
      <c r="G225" s="344"/>
      <c r="H225" s="345">
        <v>46364</v>
      </c>
      <c r="I225" s="8" t="s">
        <v>87</v>
      </c>
      <c r="J225" s="8" t="s">
        <v>91</v>
      </c>
      <c r="K225" s="8" t="s">
        <v>2827</v>
      </c>
      <c r="L225" s="8" t="s">
        <v>98</v>
      </c>
      <c r="M225" s="8" t="s">
        <v>2828</v>
      </c>
      <c r="N225" s="7">
        <v>46364</v>
      </c>
      <c r="O225" s="8" t="s">
        <v>13</v>
      </c>
      <c r="P225" s="8" t="s">
        <v>24</v>
      </c>
      <c r="Q225" s="8" t="s">
        <v>79</v>
      </c>
      <c r="R225" s="8" t="s">
        <v>79</v>
      </c>
      <c r="S225" s="8" t="s">
        <v>24</v>
      </c>
      <c r="T225" s="9">
        <v>111.6</v>
      </c>
      <c r="U225" s="9">
        <v>16440.91</v>
      </c>
      <c r="V225" s="8" t="s">
        <v>24</v>
      </c>
      <c r="W225" s="8">
        <v>0</v>
      </c>
      <c r="X225" s="8">
        <v>9</v>
      </c>
      <c r="Y225" s="8">
        <v>1479.68</v>
      </c>
      <c r="Z225" s="8">
        <v>9</v>
      </c>
      <c r="AA225" s="8">
        <v>1479.68</v>
      </c>
      <c r="AB225" s="8">
        <v>0</v>
      </c>
      <c r="AC225" s="8">
        <v>0</v>
      </c>
      <c r="AD225" s="8">
        <v>0</v>
      </c>
      <c r="AE225" s="8">
        <v>2959.36</v>
      </c>
      <c r="AF225" s="8">
        <v>0</v>
      </c>
      <c r="AG225" s="8" t="s">
        <v>65</v>
      </c>
      <c r="AH225" s="8" t="s">
        <v>11</v>
      </c>
      <c r="AI225" s="8">
        <v>3926908</v>
      </c>
      <c r="AJ225" s="8" t="s">
        <v>60</v>
      </c>
      <c r="AK225" s="8">
        <v>1</v>
      </c>
      <c r="AL225" s="8">
        <v>111.6</v>
      </c>
      <c r="AM225" s="8" t="s">
        <v>1905</v>
      </c>
    </row>
    <row r="226" spans="7:39" ht="12.75" customHeight="1">
      <c r="G226" s="344"/>
      <c r="H226" s="345">
        <v>46364</v>
      </c>
      <c r="I226" s="8" t="s">
        <v>87</v>
      </c>
      <c r="J226" s="8" t="s">
        <v>91</v>
      </c>
      <c r="K226" s="8" t="s">
        <v>2827</v>
      </c>
      <c r="L226" s="8" t="s">
        <v>98</v>
      </c>
      <c r="M226" s="8" t="s">
        <v>2828</v>
      </c>
      <c r="N226" s="7">
        <v>46364</v>
      </c>
      <c r="O226" s="8" t="s">
        <v>13</v>
      </c>
      <c r="P226" s="8" t="s">
        <v>80</v>
      </c>
      <c r="Q226" s="8" t="s">
        <v>81</v>
      </c>
      <c r="R226" s="8" t="s">
        <v>82</v>
      </c>
      <c r="S226" s="8" t="s">
        <v>17</v>
      </c>
      <c r="T226" s="9">
        <v>3409</v>
      </c>
      <c r="U226" s="9">
        <v>616551.74</v>
      </c>
      <c r="V226" s="8" t="s">
        <v>17</v>
      </c>
      <c r="W226" s="8">
        <v>0</v>
      </c>
      <c r="X226" s="8">
        <v>9</v>
      </c>
      <c r="Y226" s="8">
        <v>55489.66</v>
      </c>
      <c r="Z226" s="8">
        <v>9</v>
      </c>
      <c r="AA226" s="8">
        <v>55489.66</v>
      </c>
      <c r="AB226" s="8">
        <v>0</v>
      </c>
      <c r="AC226" s="8">
        <v>0</v>
      </c>
      <c r="AD226" s="8">
        <v>0</v>
      </c>
      <c r="AE226" s="8">
        <v>110979.32</v>
      </c>
      <c r="AF226" s="8">
        <v>0</v>
      </c>
      <c r="AG226" s="8" t="s">
        <v>65</v>
      </c>
      <c r="AH226" s="8" t="s">
        <v>11</v>
      </c>
      <c r="AI226" s="8">
        <v>39200000</v>
      </c>
      <c r="AJ226" s="8" t="s">
        <v>60</v>
      </c>
      <c r="AK226" s="8">
        <v>1</v>
      </c>
      <c r="AL226" s="8">
        <v>3409</v>
      </c>
      <c r="AM226" s="8" t="s">
        <v>1905</v>
      </c>
    </row>
    <row r="227" spans="7:39" ht="12.75" customHeight="1">
      <c r="G227" s="344"/>
      <c r="H227" s="345">
        <v>46364</v>
      </c>
      <c r="I227" s="8" t="s">
        <v>87</v>
      </c>
      <c r="J227" s="8" t="s">
        <v>91</v>
      </c>
      <c r="K227" s="8" t="s">
        <v>2827</v>
      </c>
      <c r="L227" s="8" t="s">
        <v>98</v>
      </c>
      <c r="M227" s="8" t="s">
        <v>2828</v>
      </c>
      <c r="N227" s="7">
        <v>46364</v>
      </c>
      <c r="O227" s="8" t="s">
        <v>13</v>
      </c>
      <c r="P227" s="8" t="s">
        <v>80</v>
      </c>
      <c r="Q227" s="8" t="s">
        <v>81</v>
      </c>
      <c r="R227" s="8" t="s">
        <v>82</v>
      </c>
      <c r="S227" s="8" t="s">
        <v>17</v>
      </c>
      <c r="T227" s="9">
        <v>2651.16</v>
      </c>
      <c r="U227" s="9">
        <v>468884.16</v>
      </c>
      <c r="V227" s="8" t="s">
        <v>17</v>
      </c>
      <c r="W227" s="8">
        <v>0</v>
      </c>
      <c r="X227" s="8">
        <v>9</v>
      </c>
      <c r="Y227" s="8">
        <v>42199.57</v>
      </c>
      <c r="Z227" s="8">
        <v>9</v>
      </c>
      <c r="AA227" s="8">
        <v>42199.57</v>
      </c>
      <c r="AB227" s="8">
        <v>0</v>
      </c>
      <c r="AC227" s="8">
        <v>0</v>
      </c>
      <c r="AD227" s="8">
        <v>0</v>
      </c>
      <c r="AE227" s="8">
        <v>84399.14</v>
      </c>
      <c r="AF227" s="8">
        <v>0</v>
      </c>
      <c r="AG227" s="8" t="s">
        <v>65</v>
      </c>
      <c r="AH227" s="8" t="s">
        <v>11</v>
      </c>
      <c r="AI227" s="8">
        <v>39200000</v>
      </c>
      <c r="AJ227" s="8" t="s">
        <v>60</v>
      </c>
      <c r="AK227" s="8">
        <v>1</v>
      </c>
      <c r="AL227" s="8">
        <v>2651.16</v>
      </c>
      <c r="AM227" s="8" t="s">
        <v>1905</v>
      </c>
    </row>
    <row r="228" spans="7:39" ht="12.75" customHeight="1">
      <c r="G228" s="344"/>
      <c r="H228" s="345">
        <v>46364</v>
      </c>
      <c r="I228" s="8" t="s">
        <v>87</v>
      </c>
      <c r="J228" s="8" t="s">
        <v>91</v>
      </c>
      <c r="K228" s="8" t="s">
        <v>2827</v>
      </c>
      <c r="L228" s="8" t="s">
        <v>98</v>
      </c>
      <c r="M228" s="8" t="s">
        <v>2828</v>
      </c>
      <c r="N228" s="7">
        <v>46364</v>
      </c>
      <c r="O228" s="8" t="s">
        <v>13</v>
      </c>
      <c r="P228" s="8" t="s">
        <v>2152</v>
      </c>
      <c r="Q228" s="8" t="s">
        <v>123</v>
      </c>
      <c r="R228" s="8" t="s">
        <v>622</v>
      </c>
      <c r="S228" s="8" t="s">
        <v>12</v>
      </c>
      <c r="T228" s="9">
        <v>563</v>
      </c>
      <c r="U228" s="9">
        <v>93942.18</v>
      </c>
      <c r="V228" s="8" t="s">
        <v>12</v>
      </c>
      <c r="W228" s="8">
        <v>0</v>
      </c>
      <c r="X228" s="8">
        <v>9</v>
      </c>
      <c r="Y228" s="8">
        <v>8454.7999999999993</v>
      </c>
      <c r="Z228" s="8">
        <v>9</v>
      </c>
      <c r="AA228" s="8">
        <v>8454.7999999999993</v>
      </c>
      <c r="AB228" s="8">
        <v>0</v>
      </c>
      <c r="AC228" s="8">
        <v>0</v>
      </c>
      <c r="AD228" s="8">
        <v>0</v>
      </c>
      <c r="AE228" s="8">
        <v>16909.599999999999</v>
      </c>
      <c r="AF228" s="8">
        <v>0</v>
      </c>
      <c r="AG228" s="8" t="s">
        <v>65</v>
      </c>
      <c r="AH228" s="8" t="s">
        <v>11</v>
      </c>
      <c r="AI228" s="8">
        <v>3920101</v>
      </c>
      <c r="AJ228" s="8" t="s">
        <v>60</v>
      </c>
      <c r="AK228" s="8">
        <v>1</v>
      </c>
      <c r="AL228" s="8">
        <v>563</v>
      </c>
      <c r="AM228" s="8" t="s">
        <v>1905</v>
      </c>
    </row>
    <row r="229" spans="7:39" ht="12.75" customHeight="1">
      <c r="G229" s="344"/>
      <c r="H229" s="345">
        <v>46364</v>
      </c>
      <c r="I229" s="8" t="s">
        <v>87</v>
      </c>
      <c r="J229" s="8" t="s">
        <v>91</v>
      </c>
      <c r="K229" s="8" t="s">
        <v>2827</v>
      </c>
      <c r="L229" s="8" t="s">
        <v>98</v>
      </c>
      <c r="M229" s="8" t="s">
        <v>2828</v>
      </c>
      <c r="N229" s="7">
        <v>46364</v>
      </c>
      <c r="O229" s="8" t="s">
        <v>8</v>
      </c>
      <c r="P229" s="8" t="s">
        <v>625</v>
      </c>
      <c r="Q229" s="8" t="s">
        <v>625</v>
      </c>
      <c r="R229" s="8" t="s">
        <v>69</v>
      </c>
      <c r="S229" s="8" t="s">
        <v>743</v>
      </c>
      <c r="T229" s="9">
        <v>15400</v>
      </c>
      <c r="U229" s="9">
        <v>52173.66</v>
      </c>
      <c r="V229" s="8" t="s">
        <v>743</v>
      </c>
      <c r="W229" s="8">
        <v>0</v>
      </c>
      <c r="X229" s="8">
        <v>9</v>
      </c>
      <c r="Y229" s="8">
        <v>4695.63</v>
      </c>
      <c r="Z229" s="8">
        <v>9</v>
      </c>
      <c r="AA229" s="8">
        <v>4695.63</v>
      </c>
      <c r="AB229" s="8">
        <v>0</v>
      </c>
      <c r="AC229" s="8">
        <v>0</v>
      </c>
      <c r="AD229" s="8">
        <v>0</v>
      </c>
      <c r="AE229" s="8">
        <v>9391.26</v>
      </c>
      <c r="AF229" s="8">
        <v>0</v>
      </c>
      <c r="AG229" s="8" t="s">
        <v>65</v>
      </c>
      <c r="AH229" s="8" t="s">
        <v>1</v>
      </c>
      <c r="AI229" s="8">
        <v>39232100</v>
      </c>
      <c r="AJ229" s="8" t="s">
        <v>60</v>
      </c>
      <c r="AK229" s="8">
        <v>1</v>
      </c>
      <c r="AL229" s="8">
        <v>15400</v>
      </c>
      <c r="AM229" s="8" t="s">
        <v>1905</v>
      </c>
    </row>
    <row r="230" spans="7:39" ht="12.75" customHeight="1">
      <c r="G230" s="344"/>
      <c r="H230" s="345">
        <v>46364</v>
      </c>
      <c r="I230" s="8" t="s">
        <v>89</v>
      </c>
      <c r="J230" s="8" t="s">
        <v>91</v>
      </c>
      <c r="K230" s="8" t="s">
        <v>2829</v>
      </c>
      <c r="L230" s="8" t="s">
        <v>98</v>
      </c>
      <c r="M230" s="8" t="s">
        <v>2830</v>
      </c>
      <c r="N230" s="7">
        <v>46364</v>
      </c>
      <c r="O230" s="8" t="s">
        <v>13</v>
      </c>
      <c r="P230" s="8" t="s">
        <v>62</v>
      </c>
      <c r="Q230" s="8" t="s">
        <v>63</v>
      </c>
      <c r="R230" s="8" t="s">
        <v>64</v>
      </c>
      <c r="S230" s="8" t="s">
        <v>19</v>
      </c>
      <c r="T230" s="9">
        <v>5877.7</v>
      </c>
      <c r="U230" s="9">
        <v>931027.68</v>
      </c>
      <c r="V230" s="8" t="s">
        <v>19</v>
      </c>
      <c r="W230" s="8">
        <v>1097681.53</v>
      </c>
      <c r="X230" s="8">
        <v>9</v>
      </c>
      <c r="Y230" s="8">
        <v>83792.490000000005</v>
      </c>
      <c r="Z230" s="8">
        <v>9</v>
      </c>
      <c r="AA230" s="8">
        <v>83792.490000000005</v>
      </c>
      <c r="AB230" s="8">
        <v>0</v>
      </c>
      <c r="AC230" s="8">
        <v>0</v>
      </c>
      <c r="AD230" s="8">
        <v>0</v>
      </c>
      <c r="AE230" s="8">
        <v>167584.98000000001</v>
      </c>
      <c r="AF230" s="8">
        <v>0</v>
      </c>
      <c r="AG230" s="8" t="s">
        <v>65</v>
      </c>
      <c r="AH230" s="8" t="s">
        <v>11</v>
      </c>
      <c r="AI230" s="8">
        <v>39269080</v>
      </c>
      <c r="AJ230" s="8" t="s">
        <v>60</v>
      </c>
      <c r="AK230" s="8">
        <v>1</v>
      </c>
      <c r="AL230" s="8">
        <v>5877.7</v>
      </c>
      <c r="AM230" s="8" t="s">
        <v>1905</v>
      </c>
    </row>
    <row r="231" spans="7:39" ht="12.75" customHeight="1">
      <c r="G231" s="344"/>
      <c r="H231" s="345">
        <v>46364</v>
      </c>
      <c r="I231" s="8" t="s">
        <v>94</v>
      </c>
      <c r="J231" s="8" t="s">
        <v>96</v>
      </c>
      <c r="K231" s="8" t="s">
        <v>2831</v>
      </c>
      <c r="L231" s="8" t="s">
        <v>98</v>
      </c>
      <c r="M231" s="8" t="s">
        <v>2832</v>
      </c>
      <c r="N231" s="7">
        <v>46364</v>
      </c>
      <c r="O231" s="8" t="s">
        <v>13</v>
      </c>
      <c r="P231" s="8" t="s">
        <v>80</v>
      </c>
      <c r="Q231" s="8" t="s">
        <v>81</v>
      </c>
      <c r="R231" s="8" t="s">
        <v>2149</v>
      </c>
      <c r="S231" s="8" t="s">
        <v>2149</v>
      </c>
      <c r="T231" s="9">
        <v>50</v>
      </c>
      <c r="U231" s="9">
        <v>12950</v>
      </c>
      <c r="V231" s="8" t="s">
        <v>2149</v>
      </c>
      <c r="W231" s="8">
        <v>15268.05</v>
      </c>
      <c r="X231" s="8">
        <v>9</v>
      </c>
      <c r="Y231" s="8">
        <v>1165.5</v>
      </c>
      <c r="Z231" s="8">
        <v>9</v>
      </c>
      <c r="AA231" s="8">
        <v>1165.5</v>
      </c>
      <c r="AB231" s="8">
        <v>0</v>
      </c>
      <c r="AC231" s="8">
        <v>0</v>
      </c>
      <c r="AD231" s="8">
        <v>0</v>
      </c>
      <c r="AE231" s="8">
        <v>2331</v>
      </c>
      <c r="AF231" s="8">
        <v>0</v>
      </c>
      <c r="AG231" s="8" t="s">
        <v>74</v>
      </c>
      <c r="AH231" s="8" t="s">
        <v>11</v>
      </c>
      <c r="AI231" s="8">
        <v>3920101</v>
      </c>
      <c r="AJ231" s="8" t="s">
        <v>60</v>
      </c>
      <c r="AK231" s="8">
        <v>1</v>
      </c>
      <c r="AL231" s="8">
        <v>50</v>
      </c>
      <c r="AM231" s="8" t="s">
        <v>1905</v>
      </c>
    </row>
    <row r="232" spans="7:39" ht="12.75" customHeight="1">
      <c r="G232" s="344"/>
      <c r="H232" s="345">
        <v>46364</v>
      </c>
      <c r="I232" s="8" t="s">
        <v>94</v>
      </c>
      <c r="J232" s="8" t="s">
        <v>91</v>
      </c>
      <c r="K232" s="8" t="s">
        <v>2833</v>
      </c>
      <c r="L232" s="8" t="s">
        <v>98</v>
      </c>
      <c r="M232" s="8" t="s">
        <v>2834</v>
      </c>
      <c r="N232" s="7">
        <v>46364</v>
      </c>
      <c r="O232" s="8" t="s">
        <v>13</v>
      </c>
      <c r="P232" s="8" t="s">
        <v>99</v>
      </c>
      <c r="Q232" s="8" t="s">
        <v>100</v>
      </c>
      <c r="R232" s="8" t="s">
        <v>101</v>
      </c>
      <c r="S232" s="8" t="s">
        <v>553</v>
      </c>
      <c r="T232" s="9">
        <v>382.7</v>
      </c>
      <c r="U232" s="9">
        <v>59854.28</v>
      </c>
      <c r="V232" s="8" t="s">
        <v>553</v>
      </c>
      <c r="W232" s="8">
        <v>62787.15</v>
      </c>
      <c r="X232" s="8">
        <v>2.5</v>
      </c>
      <c r="Y232" s="8">
        <v>1496.36</v>
      </c>
      <c r="Z232" s="8">
        <v>2.5</v>
      </c>
      <c r="AA232" s="8">
        <v>1496.36</v>
      </c>
      <c r="AB232" s="8">
        <v>0</v>
      </c>
      <c r="AC232" s="8">
        <v>0</v>
      </c>
      <c r="AD232" s="8">
        <v>0</v>
      </c>
      <c r="AE232" s="8">
        <v>2992.72</v>
      </c>
      <c r="AF232" s="8">
        <v>0</v>
      </c>
      <c r="AG232" s="8" t="s">
        <v>74</v>
      </c>
      <c r="AH232" s="8" t="s">
        <v>3</v>
      </c>
      <c r="AI232" s="8">
        <v>540263</v>
      </c>
      <c r="AJ232" s="8" t="s">
        <v>60</v>
      </c>
      <c r="AK232" s="8">
        <v>1</v>
      </c>
      <c r="AL232" s="8">
        <v>382.7</v>
      </c>
      <c r="AM232" s="8" t="s">
        <v>1905</v>
      </c>
    </row>
    <row r="233" spans="7:39" ht="12.75" customHeight="1">
      <c r="G233" s="344"/>
      <c r="H233" s="345">
        <v>46364</v>
      </c>
      <c r="I233" s="8" t="s">
        <v>258</v>
      </c>
      <c r="J233" s="8" t="s">
        <v>96</v>
      </c>
      <c r="K233" s="8" t="s">
        <v>2835</v>
      </c>
      <c r="L233" s="8" t="s">
        <v>97</v>
      </c>
      <c r="M233" s="8" t="s">
        <v>2836</v>
      </c>
      <c r="N233" s="7">
        <v>46181</v>
      </c>
      <c r="O233" s="8" t="s">
        <v>5</v>
      </c>
      <c r="P233" s="8" t="s">
        <v>106</v>
      </c>
      <c r="Q233" s="8" t="s">
        <v>68</v>
      </c>
      <c r="R233" s="8" t="s">
        <v>69</v>
      </c>
      <c r="S233" s="8" t="s">
        <v>9</v>
      </c>
      <c r="T233" s="9">
        <v>299</v>
      </c>
      <c r="U233" s="9">
        <v>448.5</v>
      </c>
      <c r="V233" s="8" t="s">
        <v>9</v>
      </c>
      <c r="W233" s="8">
        <v>647</v>
      </c>
      <c r="X233" s="8">
        <v>9</v>
      </c>
      <c r="Y233" s="8">
        <v>40.36</v>
      </c>
      <c r="Z233" s="8">
        <v>9</v>
      </c>
      <c r="AA233" s="8">
        <v>40.36</v>
      </c>
      <c r="AB233" s="8">
        <v>0</v>
      </c>
      <c r="AC233" s="8">
        <v>0</v>
      </c>
      <c r="AD233" s="8">
        <v>18</v>
      </c>
      <c r="AE233" s="8">
        <v>98.72</v>
      </c>
      <c r="AF233" s="8">
        <v>0</v>
      </c>
      <c r="AG233" s="8" t="s">
        <v>454</v>
      </c>
      <c r="AH233" s="8" t="s">
        <v>10</v>
      </c>
      <c r="AI233" s="8">
        <v>37013000</v>
      </c>
      <c r="AJ233" s="8" t="s">
        <v>60</v>
      </c>
      <c r="AK233" s="8">
        <v>1</v>
      </c>
      <c r="AL233" s="8">
        <v>0</v>
      </c>
      <c r="AM233" s="8" t="s">
        <v>1905</v>
      </c>
    </row>
    <row r="234" spans="7:39" ht="12.75" customHeight="1">
      <c r="G234" s="344"/>
      <c r="H234" s="345">
        <v>46364</v>
      </c>
      <c r="I234" s="8" t="s">
        <v>258</v>
      </c>
      <c r="J234" s="8" t="s">
        <v>96</v>
      </c>
      <c r="K234" s="8" t="s">
        <v>2837</v>
      </c>
      <c r="L234" s="8" t="s">
        <v>97</v>
      </c>
      <c r="M234" s="8" t="s">
        <v>2838</v>
      </c>
      <c r="N234" s="7">
        <v>46030</v>
      </c>
      <c r="O234" s="8" t="s">
        <v>5</v>
      </c>
      <c r="P234" s="8" t="s">
        <v>106</v>
      </c>
      <c r="Q234" s="8" t="s">
        <v>68</v>
      </c>
      <c r="R234" s="8" t="s">
        <v>69</v>
      </c>
      <c r="S234" s="8" t="s">
        <v>9</v>
      </c>
      <c r="T234" s="9">
        <v>575</v>
      </c>
      <c r="U234" s="9">
        <v>862.5</v>
      </c>
      <c r="V234" s="8" t="s">
        <v>9</v>
      </c>
      <c r="W234" s="8">
        <v>1136</v>
      </c>
      <c r="X234" s="8">
        <v>9</v>
      </c>
      <c r="Y234" s="8">
        <v>77.62</v>
      </c>
      <c r="Z234" s="8">
        <v>9</v>
      </c>
      <c r="AA234" s="8">
        <v>77.62</v>
      </c>
      <c r="AB234" s="8">
        <v>0</v>
      </c>
      <c r="AC234" s="8">
        <v>0</v>
      </c>
      <c r="AD234" s="8">
        <v>18</v>
      </c>
      <c r="AE234" s="8">
        <v>173.24</v>
      </c>
      <c r="AF234" s="8">
        <v>0</v>
      </c>
      <c r="AG234" s="8" t="s">
        <v>454</v>
      </c>
      <c r="AH234" s="8" t="s">
        <v>10</v>
      </c>
      <c r="AI234" s="8">
        <v>37013000</v>
      </c>
      <c r="AJ234" s="8" t="s">
        <v>60</v>
      </c>
      <c r="AK234" s="8">
        <v>1</v>
      </c>
      <c r="AL234" s="8">
        <v>0</v>
      </c>
      <c r="AM234" s="8" t="s">
        <v>1905</v>
      </c>
    </row>
    <row r="235" spans="7:39" ht="12.75" customHeight="1">
      <c r="G235" s="344"/>
      <c r="H235" s="345">
        <v>46364</v>
      </c>
      <c r="I235" s="8" t="s">
        <v>2194</v>
      </c>
      <c r="J235" s="8" t="s">
        <v>96</v>
      </c>
      <c r="K235" s="8" t="s">
        <v>2839</v>
      </c>
      <c r="L235" s="8" t="s">
        <v>97</v>
      </c>
      <c r="M235" s="8">
        <v>1715</v>
      </c>
      <c r="N235" s="7" t="s">
        <v>2496</v>
      </c>
      <c r="O235" s="8" t="s">
        <v>5</v>
      </c>
      <c r="P235" s="8" t="s">
        <v>106</v>
      </c>
      <c r="Q235" s="8" t="s">
        <v>68</v>
      </c>
      <c r="R235" s="8" t="s">
        <v>69</v>
      </c>
      <c r="S235" s="8" t="s">
        <v>2191</v>
      </c>
      <c r="T235" s="9">
        <v>6048</v>
      </c>
      <c r="U235" s="9">
        <v>2116.8000000000002</v>
      </c>
      <c r="V235" s="8" t="s">
        <v>2191</v>
      </c>
      <c r="W235" s="8">
        <v>4071</v>
      </c>
      <c r="X235" s="8">
        <v>9</v>
      </c>
      <c r="Y235" s="8">
        <v>190.51</v>
      </c>
      <c r="Z235" s="8">
        <v>9</v>
      </c>
      <c r="AA235" s="8">
        <v>190.51</v>
      </c>
      <c r="AB235" s="8">
        <v>0</v>
      </c>
      <c r="AC235" s="8">
        <v>0</v>
      </c>
      <c r="AD235" s="8">
        <v>0</v>
      </c>
      <c r="AE235" s="8">
        <v>381.02</v>
      </c>
      <c r="AF235" s="8">
        <v>0</v>
      </c>
      <c r="AG235" s="8" t="s">
        <v>2300</v>
      </c>
      <c r="AH235" s="8" t="s">
        <v>7</v>
      </c>
      <c r="AI235" s="8">
        <v>400200</v>
      </c>
      <c r="AJ235" s="8" t="s">
        <v>60</v>
      </c>
      <c r="AK235" s="8">
        <v>1</v>
      </c>
      <c r="AL235" s="8">
        <v>0</v>
      </c>
      <c r="AM235" s="8" t="s">
        <v>1905</v>
      </c>
    </row>
    <row r="236" spans="7:39" ht="12.75" customHeight="1">
      <c r="G236" s="344"/>
      <c r="H236" s="345">
        <v>46364</v>
      </c>
      <c r="I236" s="8" t="s">
        <v>2194</v>
      </c>
      <c r="J236" s="8" t="s">
        <v>96</v>
      </c>
      <c r="K236" s="8" t="s">
        <v>2839</v>
      </c>
      <c r="L236" s="8" t="s">
        <v>97</v>
      </c>
      <c r="M236" s="8">
        <v>1715</v>
      </c>
      <c r="N236" s="7" t="s">
        <v>2496</v>
      </c>
      <c r="O236" s="8" t="s">
        <v>5</v>
      </c>
      <c r="P236" s="8" t="s">
        <v>106</v>
      </c>
      <c r="Q236" s="8" t="s">
        <v>68</v>
      </c>
      <c r="R236" s="8" t="s">
        <v>69</v>
      </c>
      <c r="S236" s="8" t="s">
        <v>2191</v>
      </c>
      <c r="T236" s="9">
        <v>3808</v>
      </c>
      <c r="U236" s="9">
        <v>1332.8</v>
      </c>
      <c r="V236" s="8" t="s">
        <v>2191</v>
      </c>
      <c r="W236" s="8">
        <v>0</v>
      </c>
      <c r="X236" s="8">
        <v>9</v>
      </c>
      <c r="Y236" s="8">
        <v>119.95</v>
      </c>
      <c r="Z236" s="8">
        <v>9</v>
      </c>
      <c r="AA236" s="8">
        <v>119.95</v>
      </c>
      <c r="AB236" s="8">
        <v>0</v>
      </c>
      <c r="AC236" s="8">
        <v>0</v>
      </c>
      <c r="AD236" s="8">
        <v>0</v>
      </c>
      <c r="AE236" s="8">
        <v>239.9</v>
      </c>
      <c r="AF236" s="8">
        <v>0</v>
      </c>
      <c r="AG236" s="8" t="s">
        <v>2300</v>
      </c>
      <c r="AH236" s="8" t="s">
        <v>7</v>
      </c>
      <c r="AI236" s="8">
        <v>400200</v>
      </c>
      <c r="AJ236" s="8" t="s">
        <v>60</v>
      </c>
      <c r="AK236" s="8">
        <v>1</v>
      </c>
      <c r="AL236" s="8">
        <v>0</v>
      </c>
      <c r="AM236" s="8" t="s">
        <v>1905</v>
      </c>
    </row>
    <row r="237" spans="7:39" ht="12.75" customHeight="1">
      <c r="G237" s="344"/>
      <c r="H237" s="345">
        <v>46364</v>
      </c>
      <c r="I237" s="8" t="s">
        <v>2194</v>
      </c>
      <c r="J237" s="8" t="s">
        <v>96</v>
      </c>
      <c r="K237" s="8" t="s">
        <v>2840</v>
      </c>
      <c r="L237" s="8" t="s">
        <v>97</v>
      </c>
      <c r="M237" s="8">
        <v>1698</v>
      </c>
      <c r="N237" s="7" t="s">
        <v>2496</v>
      </c>
      <c r="O237" s="8" t="s">
        <v>5</v>
      </c>
      <c r="P237" s="8" t="s">
        <v>106</v>
      </c>
      <c r="Q237" s="8" t="s">
        <v>68</v>
      </c>
      <c r="R237" s="8" t="s">
        <v>69</v>
      </c>
      <c r="S237" s="8" t="s">
        <v>2191</v>
      </c>
      <c r="T237" s="9">
        <v>4050</v>
      </c>
      <c r="U237" s="9">
        <v>1417.5</v>
      </c>
      <c r="V237" s="8" t="s">
        <v>2191</v>
      </c>
      <c r="W237" s="8">
        <v>2478</v>
      </c>
      <c r="X237" s="8">
        <v>9</v>
      </c>
      <c r="Y237" s="8">
        <v>127.58</v>
      </c>
      <c r="Z237" s="8">
        <v>9</v>
      </c>
      <c r="AA237" s="8">
        <v>127.58</v>
      </c>
      <c r="AB237" s="8">
        <v>0</v>
      </c>
      <c r="AC237" s="8">
        <v>0</v>
      </c>
      <c r="AD237" s="8">
        <v>0</v>
      </c>
      <c r="AE237" s="8">
        <v>255.16</v>
      </c>
      <c r="AF237" s="8">
        <v>0</v>
      </c>
      <c r="AG237" s="8" t="s">
        <v>2300</v>
      </c>
      <c r="AH237" s="8" t="s">
        <v>7</v>
      </c>
      <c r="AI237" s="8">
        <v>400200</v>
      </c>
      <c r="AJ237" s="8" t="s">
        <v>60</v>
      </c>
      <c r="AK237" s="8">
        <v>1</v>
      </c>
      <c r="AL237" s="8">
        <v>0</v>
      </c>
      <c r="AM237" s="8" t="s">
        <v>1905</v>
      </c>
    </row>
    <row r="238" spans="7:39" ht="12.75" customHeight="1">
      <c r="G238" s="344"/>
      <c r="H238" s="345">
        <v>46364</v>
      </c>
      <c r="I238" s="8" t="s">
        <v>2194</v>
      </c>
      <c r="J238" s="8" t="s">
        <v>96</v>
      </c>
      <c r="K238" s="8" t="s">
        <v>2840</v>
      </c>
      <c r="L238" s="8" t="s">
        <v>97</v>
      </c>
      <c r="M238" s="8">
        <v>1698</v>
      </c>
      <c r="N238" s="7" t="s">
        <v>2496</v>
      </c>
      <c r="O238" s="8" t="s">
        <v>5</v>
      </c>
      <c r="P238" s="8" t="s">
        <v>106</v>
      </c>
      <c r="Q238" s="8" t="s">
        <v>68</v>
      </c>
      <c r="R238" s="8" t="s">
        <v>69</v>
      </c>
      <c r="S238" s="8" t="s">
        <v>2191</v>
      </c>
      <c r="T238" s="9">
        <v>650</v>
      </c>
      <c r="U238" s="9">
        <v>227.5</v>
      </c>
      <c r="V238" s="8" t="s">
        <v>2191</v>
      </c>
      <c r="W238" s="8">
        <v>0</v>
      </c>
      <c r="X238" s="8">
        <v>9</v>
      </c>
      <c r="Y238" s="8">
        <v>20.47</v>
      </c>
      <c r="Z238" s="8">
        <v>9</v>
      </c>
      <c r="AA238" s="8">
        <v>20.47</v>
      </c>
      <c r="AB238" s="8">
        <v>0</v>
      </c>
      <c r="AC238" s="8">
        <v>0</v>
      </c>
      <c r="AD238" s="8">
        <v>0</v>
      </c>
      <c r="AE238" s="8">
        <v>40.94</v>
      </c>
      <c r="AF238" s="8">
        <v>0</v>
      </c>
      <c r="AG238" s="8" t="s">
        <v>2300</v>
      </c>
      <c r="AH238" s="8" t="s">
        <v>7</v>
      </c>
      <c r="AI238" s="8">
        <v>400200</v>
      </c>
      <c r="AJ238" s="8" t="s">
        <v>60</v>
      </c>
      <c r="AK238" s="8">
        <v>1</v>
      </c>
      <c r="AL238" s="8">
        <v>0</v>
      </c>
      <c r="AM238" s="8" t="s">
        <v>1905</v>
      </c>
    </row>
    <row r="239" spans="7:39" ht="12.75" customHeight="1">
      <c r="G239" s="344"/>
      <c r="H239" s="345">
        <v>46364</v>
      </c>
      <c r="I239" s="8" t="s">
        <v>2194</v>
      </c>
      <c r="J239" s="8" t="s">
        <v>96</v>
      </c>
      <c r="K239" s="8" t="s">
        <v>2840</v>
      </c>
      <c r="L239" s="8" t="s">
        <v>97</v>
      </c>
      <c r="M239" s="8">
        <v>1698</v>
      </c>
      <c r="N239" s="7" t="s">
        <v>2496</v>
      </c>
      <c r="O239" s="8" t="s">
        <v>5</v>
      </c>
      <c r="P239" s="8" t="s">
        <v>106</v>
      </c>
      <c r="Q239" s="8" t="s">
        <v>68</v>
      </c>
      <c r="R239" s="8" t="s">
        <v>69</v>
      </c>
      <c r="S239" s="8" t="s">
        <v>2191</v>
      </c>
      <c r="T239" s="9">
        <v>1300</v>
      </c>
      <c r="U239" s="9">
        <v>455</v>
      </c>
      <c r="V239" s="8" t="s">
        <v>2191</v>
      </c>
      <c r="W239" s="8">
        <v>0</v>
      </c>
      <c r="X239" s="8">
        <v>9</v>
      </c>
      <c r="Y239" s="8">
        <v>40.950000000000003</v>
      </c>
      <c r="Z239" s="8">
        <v>9</v>
      </c>
      <c r="AA239" s="8">
        <v>40.950000000000003</v>
      </c>
      <c r="AB239" s="8">
        <v>0</v>
      </c>
      <c r="AC239" s="8">
        <v>0</v>
      </c>
      <c r="AD239" s="8">
        <v>0</v>
      </c>
      <c r="AE239" s="8">
        <v>81.900000000000006</v>
      </c>
      <c r="AF239" s="8">
        <v>0</v>
      </c>
      <c r="AG239" s="8" t="s">
        <v>2300</v>
      </c>
      <c r="AH239" s="8" t="s">
        <v>7</v>
      </c>
      <c r="AI239" s="8">
        <v>400200</v>
      </c>
      <c r="AJ239" s="8" t="s">
        <v>60</v>
      </c>
      <c r="AK239" s="8">
        <v>1</v>
      </c>
      <c r="AL239" s="8">
        <v>0</v>
      </c>
      <c r="AM239" s="8" t="s">
        <v>1905</v>
      </c>
    </row>
    <row r="240" spans="7:39" ht="12.75" customHeight="1">
      <c r="G240" s="344"/>
      <c r="H240" s="345">
        <v>46364</v>
      </c>
      <c r="I240" s="8" t="s">
        <v>2194</v>
      </c>
      <c r="J240" s="8" t="s">
        <v>96</v>
      </c>
      <c r="K240" s="8" t="s">
        <v>2841</v>
      </c>
      <c r="L240" s="8" t="s">
        <v>97</v>
      </c>
      <c r="M240" s="8">
        <v>1819</v>
      </c>
      <c r="N240" s="7">
        <v>46150</v>
      </c>
      <c r="O240" s="8" t="s">
        <v>5</v>
      </c>
      <c r="P240" s="8" t="s">
        <v>106</v>
      </c>
      <c r="Q240" s="8" t="s">
        <v>68</v>
      </c>
      <c r="R240" s="8" t="s">
        <v>69</v>
      </c>
      <c r="S240" s="8" t="s">
        <v>2191</v>
      </c>
      <c r="T240" s="9">
        <v>4104</v>
      </c>
      <c r="U240" s="9">
        <v>1436.4</v>
      </c>
      <c r="V240" s="8" t="s">
        <v>2191</v>
      </c>
      <c r="W240" s="8">
        <v>7159</v>
      </c>
      <c r="X240" s="8">
        <v>9</v>
      </c>
      <c r="Y240" s="8">
        <v>129.28</v>
      </c>
      <c r="Z240" s="8">
        <v>9</v>
      </c>
      <c r="AA240" s="8">
        <v>129.28</v>
      </c>
      <c r="AB240" s="8">
        <v>0</v>
      </c>
      <c r="AC240" s="8">
        <v>0</v>
      </c>
      <c r="AD240" s="8">
        <v>0</v>
      </c>
      <c r="AE240" s="8">
        <v>258.56</v>
      </c>
      <c r="AF240" s="8">
        <v>0</v>
      </c>
      <c r="AG240" s="8" t="s">
        <v>2300</v>
      </c>
      <c r="AH240" s="8" t="s">
        <v>7</v>
      </c>
      <c r="AI240" s="8">
        <v>400200</v>
      </c>
      <c r="AJ240" s="8" t="s">
        <v>60</v>
      </c>
      <c r="AK240" s="8">
        <v>1</v>
      </c>
      <c r="AL240" s="8">
        <v>0</v>
      </c>
      <c r="AM240" s="8" t="s">
        <v>1905</v>
      </c>
    </row>
    <row r="241" spans="7:39" ht="12.75" customHeight="1">
      <c r="G241" s="344"/>
      <c r="H241" s="345">
        <v>46364</v>
      </c>
      <c r="I241" s="8" t="s">
        <v>2194</v>
      </c>
      <c r="J241" s="8" t="s">
        <v>96</v>
      </c>
      <c r="K241" s="8" t="s">
        <v>2841</v>
      </c>
      <c r="L241" s="8" t="s">
        <v>97</v>
      </c>
      <c r="M241" s="8">
        <v>1819</v>
      </c>
      <c r="N241" s="7">
        <v>46150</v>
      </c>
      <c r="O241" s="8" t="s">
        <v>5</v>
      </c>
      <c r="P241" s="8" t="s">
        <v>106</v>
      </c>
      <c r="Q241" s="8" t="s">
        <v>68</v>
      </c>
      <c r="R241" s="8" t="s">
        <v>69</v>
      </c>
      <c r="S241" s="8" t="s">
        <v>2191</v>
      </c>
      <c r="T241" s="9">
        <v>1728</v>
      </c>
      <c r="U241" s="9">
        <v>604.79999999999995</v>
      </c>
      <c r="V241" s="8" t="s">
        <v>2191</v>
      </c>
      <c r="W241" s="8">
        <v>0</v>
      </c>
      <c r="X241" s="8">
        <v>9</v>
      </c>
      <c r="Y241" s="8">
        <v>54.43</v>
      </c>
      <c r="Z241" s="8">
        <v>9</v>
      </c>
      <c r="AA241" s="8">
        <v>54.43</v>
      </c>
      <c r="AB241" s="8">
        <v>0</v>
      </c>
      <c r="AC241" s="8">
        <v>0</v>
      </c>
      <c r="AD241" s="8">
        <v>0</v>
      </c>
      <c r="AE241" s="8">
        <v>108.86</v>
      </c>
      <c r="AF241" s="8">
        <v>0</v>
      </c>
      <c r="AG241" s="8" t="s">
        <v>2300</v>
      </c>
      <c r="AH241" s="8" t="s">
        <v>7</v>
      </c>
      <c r="AI241" s="8">
        <v>400200</v>
      </c>
      <c r="AJ241" s="8" t="s">
        <v>60</v>
      </c>
      <c r="AK241" s="8">
        <v>1</v>
      </c>
      <c r="AL241" s="8">
        <v>0</v>
      </c>
      <c r="AM241" s="8" t="s">
        <v>1905</v>
      </c>
    </row>
    <row r="242" spans="7:39" ht="12.75" customHeight="1">
      <c r="G242" s="344"/>
      <c r="H242" s="345">
        <v>46364</v>
      </c>
      <c r="I242" s="8" t="s">
        <v>2194</v>
      </c>
      <c r="J242" s="8" t="s">
        <v>96</v>
      </c>
      <c r="K242" s="8" t="s">
        <v>2841</v>
      </c>
      <c r="L242" s="8" t="s">
        <v>97</v>
      </c>
      <c r="M242" s="8">
        <v>1819</v>
      </c>
      <c r="N242" s="7">
        <v>46150</v>
      </c>
      <c r="O242" s="8" t="s">
        <v>5</v>
      </c>
      <c r="P242" s="8" t="s">
        <v>106</v>
      </c>
      <c r="Q242" s="8" t="s">
        <v>68</v>
      </c>
      <c r="R242" s="8" t="s">
        <v>69</v>
      </c>
      <c r="S242" s="344" t="s">
        <v>2191</v>
      </c>
      <c r="T242" s="9">
        <v>495</v>
      </c>
      <c r="U242" s="9">
        <v>173.25</v>
      </c>
      <c r="V242" s="8" t="s">
        <v>2191</v>
      </c>
      <c r="W242" s="8">
        <v>0</v>
      </c>
      <c r="X242" s="8">
        <v>9</v>
      </c>
      <c r="Y242" s="8">
        <v>15.59</v>
      </c>
      <c r="Z242" s="8">
        <v>9</v>
      </c>
      <c r="AA242" s="8">
        <v>15.59</v>
      </c>
      <c r="AB242" s="8">
        <v>0</v>
      </c>
      <c r="AC242" s="8">
        <v>0</v>
      </c>
      <c r="AD242" s="8">
        <v>0</v>
      </c>
      <c r="AE242" s="8">
        <v>31.18</v>
      </c>
      <c r="AF242" s="8">
        <v>0</v>
      </c>
      <c r="AG242" s="8" t="s">
        <v>2300</v>
      </c>
      <c r="AH242" s="8" t="s">
        <v>7</v>
      </c>
      <c r="AI242" s="8">
        <v>400200</v>
      </c>
      <c r="AJ242" s="8" t="s">
        <v>60</v>
      </c>
      <c r="AK242" s="8">
        <v>1</v>
      </c>
      <c r="AL242" s="8">
        <v>0</v>
      </c>
      <c r="AM242" s="8" t="s">
        <v>1905</v>
      </c>
    </row>
    <row r="243" spans="7:39" ht="12.75" customHeight="1">
      <c r="G243" s="344"/>
      <c r="H243" s="345">
        <v>46364</v>
      </c>
      <c r="I243" s="8" t="s">
        <v>2194</v>
      </c>
      <c r="J243" s="8" t="s">
        <v>96</v>
      </c>
      <c r="K243" s="8" t="s">
        <v>2841</v>
      </c>
      <c r="L243" s="8" t="s">
        <v>97</v>
      </c>
      <c r="M243" s="8">
        <v>1819</v>
      </c>
      <c r="N243" s="7">
        <v>46150</v>
      </c>
      <c r="O243" s="8" t="s">
        <v>5</v>
      </c>
      <c r="P243" s="8" t="s">
        <v>106</v>
      </c>
      <c r="Q243" s="8" t="s">
        <v>68</v>
      </c>
      <c r="R243" s="8" t="s">
        <v>69</v>
      </c>
      <c r="S243" s="344" t="s">
        <v>2191</v>
      </c>
      <c r="T243" s="9">
        <v>3920</v>
      </c>
      <c r="U243" s="9">
        <v>1372</v>
      </c>
      <c r="V243" s="8" t="s">
        <v>2191</v>
      </c>
      <c r="W243" s="8">
        <v>0</v>
      </c>
      <c r="X243" s="8">
        <v>9</v>
      </c>
      <c r="Y243" s="8">
        <v>123.48</v>
      </c>
      <c r="Z243" s="8">
        <v>9</v>
      </c>
      <c r="AA243" s="8">
        <v>123.48</v>
      </c>
      <c r="AB243" s="8">
        <v>0</v>
      </c>
      <c r="AC243" s="8">
        <v>0</v>
      </c>
      <c r="AD243" s="8">
        <v>0</v>
      </c>
      <c r="AE243" s="8">
        <v>246.96</v>
      </c>
      <c r="AF243" s="8">
        <v>0</v>
      </c>
      <c r="AG243" s="8" t="s">
        <v>2300</v>
      </c>
      <c r="AH243" s="8" t="s">
        <v>7</v>
      </c>
      <c r="AI243" s="8">
        <v>400200</v>
      </c>
      <c r="AJ243" s="8" t="s">
        <v>60</v>
      </c>
      <c r="AK243" s="8">
        <v>1</v>
      </c>
      <c r="AL243" s="8">
        <v>0</v>
      </c>
      <c r="AM243" s="8" t="s">
        <v>1905</v>
      </c>
    </row>
    <row r="244" spans="7:39" ht="12.75" customHeight="1">
      <c r="G244" s="344"/>
      <c r="H244" s="345">
        <v>46364</v>
      </c>
      <c r="I244" s="8" t="s">
        <v>2194</v>
      </c>
      <c r="J244" s="8" t="s">
        <v>96</v>
      </c>
      <c r="K244" s="8" t="s">
        <v>2841</v>
      </c>
      <c r="L244" s="8" t="s">
        <v>97</v>
      </c>
      <c r="M244" s="8">
        <v>1819</v>
      </c>
      <c r="N244" s="7">
        <v>46150</v>
      </c>
      <c r="O244" s="8" t="s">
        <v>5</v>
      </c>
      <c r="P244" s="8" t="s">
        <v>106</v>
      </c>
      <c r="Q244" s="8" t="s">
        <v>68</v>
      </c>
      <c r="R244" s="8" t="s">
        <v>69</v>
      </c>
      <c r="S244" s="8" t="s">
        <v>2191</v>
      </c>
      <c r="T244" s="9">
        <v>2542</v>
      </c>
      <c r="U244" s="9">
        <v>889.7</v>
      </c>
      <c r="V244" s="8" t="s">
        <v>2191</v>
      </c>
      <c r="W244" s="8">
        <v>0</v>
      </c>
      <c r="X244" s="8">
        <v>9</v>
      </c>
      <c r="Y244" s="8">
        <v>80.069999999999993</v>
      </c>
      <c r="Z244" s="8">
        <v>9</v>
      </c>
      <c r="AA244" s="8">
        <v>80.069999999999993</v>
      </c>
      <c r="AB244" s="8">
        <v>0</v>
      </c>
      <c r="AC244" s="8">
        <v>0</v>
      </c>
      <c r="AD244" s="8">
        <v>0</v>
      </c>
      <c r="AE244" s="8">
        <v>160.13999999999999</v>
      </c>
      <c r="AF244" s="8">
        <v>0</v>
      </c>
      <c r="AG244" s="8" t="s">
        <v>2300</v>
      </c>
      <c r="AH244" s="8" t="s">
        <v>7</v>
      </c>
      <c r="AI244" s="8">
        <v>400200</v>
      </c>
      <c r="AJ244" s="8" t="s">
        <v>60</v>
      </c>
      <c r="AK244" s="8">
        <v>1</v>
      </c>
      <c r="AL244" s="8">
        <v>0</v>
      </c>
      <c r="AM244" s="8" t="s">
        <v>1905</v>
      </c>
    </row>
    <row r="245" spans="7:39" ht="12.75" customHeight="1">
      <c r="G245" s="344"/>
      <c r="H245" s="345">
        <v>46364</v>
      </c>
      <c r="I245" s="8" t="s">
        <v>2194</v>
      </c>
      <c r="J245" s="8" t="s">
        <v>96</v>
      </c>
      <c r="K245" s="8" t="s">
        <v>2841</v>
      </c>
      <c r="L245" s="8" t="s">
        <v>97</v>
      </c>
      <c r="M245" s="8">
        <v>1819</v>
      </c>
      <c r="N245" s="7">
        <v>46150</v>
      </c>
      <c r="O245" s="8" t="s">
        <v>5</v>
      </c>
      <c r="P245" s="8" t="s">
        <v>106</v>
      </c>
      <c r="Q245" s="8" t="s">
        <v>68</v>
      </c>
      <c r="R245" s="8" t="s">
        <v>69</v>
      </c>
      <c r="S245" s="8" t="s">
        <v>2191</v>
      </c>
      <c r="T245" s="9">
        <v>4544</v>
      </c>
      <c r="U245" s="9">
        <v>1590.4</v>
      </c>
      <c r="V245" s="8" t="s">
        <v>2191</v>
      </c>
      <c r="W245" s="8">
        <v>0</v>
      </c>
      <c r="X245" s="8">
        <v>9</v>
      </c>
      <c r="Y245" s="8">
        <v>143.13999999999999</v>
      </c>
      <c r="Z245" s="8">
        <v>9</v>
      </c>
      <c r="AA245" s="8">
        <v>143.13999999999999</v>
      </c>
      <c r="AB245" s="8">
        <v>0</v>
      </c>
      <c r="AC245" s="8">
        <v>0</v>
      </c>
      <c r="AD245" s="8">
        <v>0</v>
      </c>
      <c r="AE245" s="8">
        <v>286.27999999999997</v>
      </c>
      <c r="AF245" s="8">
        <v>0</v>
      </c>
      <c r="AG245" s="8" t="s">
        <v>2300</v>
      </c>
      <c r="AH245" s="8" t="s">
        <v>7</v>
      </c>
      <c r="AI245" s="8">
        <v>400200</v>
      </c>
      <c r="AJ245" s="8" t="s">
        <v>60</v>
      </c>
      <c r="AK245" s="8">
        <v>1</v>
      </c>
      <c r="AL245" s="8">
        <v>0</v>
      </c>
      <c r="AM245" s="8" t="s">
        <v>1905</v>
      </c>
    </row>
    <row r="246" spans="7:39" ht="12.75" customHeight="1">
      <c r="G246" s="344"/>
      <c r="H246" s="345">
        <v>46364</v>
      </c>
      <c r="I246" s="8" t="s">
        <v>2194</v>
      </c>
      <c r="J246" s="8" t="s">
        <v>96</v>
      </c>
      <c r="K246" s="8" t="s">
        <v>2842</v>
      </c>
      <c r="L246" s="8" t="s">
        <v>97</v>
      </c>
      <c r="M246" s="8">
        <v>1800</v>
      </c>
      <c r="N246" s="7">
        <v>46120</v>
      </c>
      <c r="O246" s="8" t="s">
        <v>5</v>
      </c>
      <c r="P246" s="8" t="s">
        <v>106</v>
      </c>
      <c r="Q246" s="8" t="s">
        <v>68</v>
      </c>
      <c r="R246" s="8" t="s">
        <v>69</v>
      </c>
      <c r="S246" s="8" t="s">
        <v>2191</v>
      </c>
      <c r="T246" s="9">
        <v>4640</v>
      </c>
      <c r="U246" s="9">
        <v>1624</v>
      </c>
      <c r="V246" s="8" t="s">
        <v>2191</v>
      </c>
      <c r="W246" s="8">
        <v>1995</v>
      </c>
      <c r="X246" s="8">
        <v>9</v>
      </c>
      <c r="Y246" s="8">
        <v>146.16</v>
      </c>
      <c r="Z246" s="8">
        <v>9</v>
      </c>
      <c r="AA246" s="8">
        <v>146.16</v>
      </c>
      <c r="AB246" s="8">
        <v>0</v>
      </c>
      <c r="AC246" s="8">
        <v>0</v>
      </c>
      <c r="AD246" s="8">
        <v>0</v>
      </c>
      <c r="AE246" s="8">
        <v>292.32</v>
      </c>
      <c r="AF246" s="8">
        <v>0</v>
      </c>
      <c r="AG246" s="8" t="s">
        <v>2300</v>
      </c>
      <c r="AH246" s="8" t="s">
        <v>7</v>
      </c>
      <c r="AI246" s="8">
        <v>400200</v>
      </c>
      <c r="AJ246" s="8" t="s">
        <v>60</v>
      </c>
      <c r="AK246" s="8">
        <v>1</v>
      </c>
      <c r="AL246" s="8">
        <v>0</v>
      </c>
      <c r="AM246" s="8" t="s">
        <v>1905</v>
      </c>
    </row>
    <row r="247" spans="7:39" ht="12.75" customHeight="1">
      <c r="G247" s="344"/>
      <c r="H247" s="345">
        <v>46364</v>
      </c>
      <c r="I247" s="8" t="s">
        <v>2194</v>
      </c>
      <c r="J247" s="8" t="s">
        <v>96</v>
      </c>
      <c r="K247" s="8" t="s">
        <v>2842</v>
      </c>
      <c r="L247" s="8" t="s">
        <v>97</v>
      </c>
      <c r="M247" s="8">
        <v>1800</v>
      </c>
      <c r="N247" s="7">
        <v>46120</v>
      </c>
      <c r="O247" s="8" t="s">
        <v>5</v>
      </c>
      <c r="P247" s="8" t="s">
        <v>106</v>
      </c>
      <c r="Q247" s="8" t="s">
        <v>68</v>
      </c>
      <c r="R247" s="8" t="s">
        <v>69</v>
      </c>
      <c r="S247" s="8" t="s">
        <v>2191</v>
      </c>
      <c r="T247" s="9">
        <v>190</v>
      </c>
      <c r="U247" s="9">
        <v>66.5</v>
      </c>
      <c r="V247" s="8" t="s">
        <v>2191</v>
      </c>
      <c r="W247" s="8">
        <v>0</v>
      </c>
      <c r="X247" s="8">
        <v>9</v>
      </c>
      <c r="Y247" s="8">
        <v>5.98</v>
      </c>
      <c r="Z247" s="8">
        <v>9</v>
      </c>
      <c r="AA247" s="8">
        <v>5.98</v>
      </c>
      <c r="AB247" s="8">
        <v>0</v>
      </c>
      <c r="AC247" s="8">
        <v>0</v>
      </c>
      <c r="AD247" s="8">
        <v>0</v>
      </c>
      <c r="AE247" s="8">
        <v>11.96</v>
      </c>
      <c r="AF247" s="8">
        <v>0</v>
      </c>
      <c r="AG247" s="8" t="s">
        <v>2300</v>
      </c>
      <c r="AH247" s="8" t="s">
        <v>7</v>
      </c>
      <c r="AI247" s="8">
        <v>400200</v>
      </c>
      <c r="AJ247" s="8" t="s">
        <v>60</v>
      </c>
      <c r="AK247" s="8">
        <v>1</v>
      </c>
      <c r="AL247" s="8">
        <v>0</v>
      </c>
      <c r="AM247" s="8" t="s">
        <v>1905</v>
      </c>
    </row>
    <row r="248" spans="7:39" ht="12.75" customHeight="1">
      <c r="G248" s="344"/>
      <c r="H248" s="345">
        <v>46364</v>
      </c>
      <c r="I248" s="8" t="s">
        <v>2194</v>
      </c>
      <c r="J248" s="8" t="s">
        <v>96</v>
      </c>
      <c r="K248" s="8" t="s">
        <v>2843</v>
      </c>
      <c r="L248" s="8" t="s">
        <v>97</v>
      </c>
      <c r="M248" s="8">
        <v>1828</v>
      </c>
      <c r="N248" s="7">
        <v>46181</v>
      </c>
      <c r="O248" s="8" t="s">
        <v>5</v>
      </c>
      <c r="P248" s="8" t="s">
        <v>106</v>
      </c>
      <c r="Q248" s="8" t="s">
        <v>68</v>
      </c>
      <c r="R248" s="8" t="s">
        <v>69</v>
      </c>
      <c r="S248" s="8" t="s">
        <v>2191</v>
      </c>
      <c r="T248" s="9">
        <v>4544</v>
      </c>
      <c r="U248" s="9">
        <v>1590.4</v>
      </c>
      <c r="V248" s="8" t="s">
        <v>2191</v>
      </c>
      <c r="W248" s="8">
        <v>4866</v>
      </c>
      <c r="X248" s="8">
        <v>9</v>
      </c>
      <c r="Y248" s="8">
        <v>143.13999999999999</v>
      </c>
      <c r="Z248" s="8">
        <v>9</v>
      </c>
      <c r="AA248" s="8">
        <v>143.13999999999999</v>
      </c>
      <c r="AB248" s="8">
        <v>0</v>
      </c>
      <c r="AC248" s="8">
        <v>0</v>
      </c>
      <c r="AD248" s="8">
        <v>0</v>
      </c>
      <c r="AE248" s="8">
        <v>286.27999999999997</v>
      </c>
      <c r="AF248" s="8">
        <v>0</v>
      </c>
      <c r="AG248" s="8" t="s">
        <v>2300</v>
      </c>
      <c r="AH248" s="8" t="s">
        <v>7</v>
      </c>
      <c r="AI248" s="8">
        <v>400200</v>
      </c>
      <c r="AJ248" s="8" t="s">
        <v>60</v>
      </c>
      <c r="AK248" s="8">
        <v>1</v>
      </c>
      <c r="AL248" s="8">
        <v>0</v>
      </c>
      <c r="AM248" s="8" t="s">
        <v>1905</v>
      </c>
    </row>
    <row r="249" spans="7:39" ht="12.75" customHeight="1">
      <c r="G249" s="344"/>
      <c r="H249" s="345">
        <v>46364</v>
      </c>
      <c r="I249" s="8" t="s">
        <v>2194</v>
      </c>
      <c r="J249" s="8" t="s">
        <v>96</v>
      </c>
      <c r="K249" s="8" t="s">
        <v>2843</v>
      </c>
      <c r="L249" s="8" t="s">
        <v>97</v>
      </c>
      <c r="M249" s="8">
        <v>1828</v>
      </c>
      <c r="N249" s="7">
        <v>46181</v>
      </c>
      <c r="O249" s="8" t="s">
        <v>5</v>
      </c>
      <c r="P249" s="8" t="s">
        <v>106</v>
      </c>
      <c r="Q249" s="8" t="s">
        <v>68</v>
      </c>
      <c r="R249" s="8" t="s">
        <v>69</v>
      </c>
      <c r="S249" s="8" t="s">
        <v>2191</v>
      </c>
      <c r="T249" s="9">
        <v>2624</v>
      </c>
      <c r="U249" s="9">
        <v>918.4</v>
      </c>
      <c r="V249" s="8" t="s">
        <v>2191</v>
      </c>
      <c r="W249" s="8">
        <v>0</v>
      </c>
      <c r="X249" s="8">
        <v>9</v>
      </c>
      <c r="Y249" s="8">
        <v>82.66</v>
      </c>
      <c r="Z249" s="8">
        <v>9</v>
      </c>
      <c r="AA249" s="8">
        <v>82.66</v>
      </c>
      <c r="AB249" s="8">
        <v>0</v>
      </c>
      <c r="AC249" s="8">
        <v>0</v>
      </c>
      <c r="AD249" s="8">
        <v>0</v>
      </c>
      <c r="AE249" s="8">
        <v>165.32</v>
      </c>
      <c r="AF249" s="8">
        <v>0</v>
      </c>
      <c r="AG249" s="8" t="s">
        <v>2300</v>
      </c>
      <c r="AH249" s="8" t="s">
        <v>7</v>
      </c>
      <c r="AI249" s="8">
        <v>400200</v>
      </c>
      <c r="AJ249" s="8" t="s">
        <v>60</v>
      </c>
      <c r="AK249" s="8">
        <v>1</v>
      </c>
      <c r="AL249" s="8">
        <v>0</v>
      </c>
      <c r="AM249" s="8" t="s">
        <v>1905</v>
      </c>
    </row>
    <row r="250" spans="7:39" ht="12.75" customHeight="1">
      <c r="G250" s="344"/>
      <c r="H250" s="345">
        <v>46364</v>
      </c>
      <c r="I250" s="8" t="s">
        <v>2194</v>
      </c>
      <c r="J250" s="8" t="s">
        <v>96</v>
      </c>
      <c r="K250" s="8" t="s">
        <v>2843</v>
      </c>
      <c r="L250" s="8" t="s">
        <v>97</v>
      </c>
      <c r="M250" s="8">
        <v>1828</v>
      </c>
      <c r="N250" s="7">
        <v>46181</v>
      </c>
      <c r="O250" s="8" t="s">
        <v>5</v>
      </c>
      <c r="P250" s="8" t="s">
        <v>106</v>
      </c>
      <c r="Q250" s="8" t="s">
        <v>68</v>
      </c>
      <c r="R250" s="8" t="s">
        <v>69</v>
      </c>
      <c r="S250" s="8" t="s">
        <v>2191</v>
      </c>
      <c r="T250" s="9">
        <v>1495</v>
      </c>
      <c r="U250" s="9">
        <v>523.25</v>
      </c>
      <c r="V250" s="8" t="s">
        <v>2191</v>
      </c>
      <c r="W250" s="8">
        <v>0</v>
      </c>
      <c r="X250" s="8">
        <v>9</v>
      </c>
      <c r="Y250" s="8">
        <v>47.09</v>
      </c>
      <c r="Z250" s="8">
        <v>9</v>
      </c>
      <c r="AA250" s="8">
        <v>47.09</v>
      </c>
      <c r="AB250" s="8">
        <v>0</v>
      </c>
      <c r="AC250" s="8">
        <v>0</v>
      </c>
      <c r="AD250" s="8">
        <v>0</v>
      </c>
      <c r="AE250" s="8">
        <v>94.18</v>
      </c>
      <c r="AF250" s="8">
        <v>0</v>
      </c>
      <c r="AG250" s="8" t="s">
        <v>2300</v>
      </c>
      <c r="AH250" s="8" t="s">
        <v>7</v>
      </c>
      <c r="AI250" s="8">
        <v>400200</v>
      </c>
      <c r="AJ250" s="8" t="s">
        <v>60</v>
      </c>
      <c r="AK250" s="8">
        <v>1</v>
      </c>
      <c r="AL250" s="8">
        <v>0</v>
      </c>
      <c r="AM250" s="8" t="s">
        <v>1905</v>
      </c>
    </row>
    <row r="251" spans="7:39" ht="12.75" customHeight="1">
      <c r="G251" s="344"/>
      <c r="H251" s="345">
        <v>46364</v>
      </c>
      <c r="I251" s="8" t="s">
        <v>2194</v>
      </c>
      <c r="J251" s="8" t="s">
        <v>96</v>
      </c>
      <c r="K251" s="8" t="s">
        <v>2843</v>
      </c>
      <c r="L251" s="8" t="s">
        <v>97</v>
      </c>
      <c r="M251" s="8">
        <v>1828</v>
      </c>
      <c r="N251" s="7">
        <v>46181</v>
      </c>
      <c r="O251" s="8" t="s">
        <v>5</v>
      </c>
      <c r="P251" s="8" t="s">
        <v>106</v>
      </c>
      <c r="Q251" s="8" t="s">
        <v>68</v>
      </c>
      <c r="R251" s="8" t="s">
        <v>69</v>
      </c>
      <c r="S251" s="8" t="s">
        <v>2191</v>
      </c>
      <c r="T251" s="9">
        <v>3120</v>
      </c>
      <c r="U251" s="9">
        <v>1092</v>
      </c>
      <c r="V251" s="8" t="s">
        <v>2191</v>
      </c>
      <c r="W251" s="8">
        <v>0</v>
      </c>
      <c r="X251" s="8">
        <v>9</v>
      </c>
      <c r="Y251" s="8">
        <v>98.28</v>
      </c>
      <c r="Z251" s="8">
        <v>9</v>
      </c>
      <c r="AA251" s="8">
        <v>98.28</v>
      </c>
      <c r="AB251" s="8">
        <v>0</v>
      </c>
      <c r="AC251" s="8">
        <v>0</v>
      </c>
      <c r="AD251" s="8">
        <v>0</v>
      </c>
      <c r="AE251" s="8">
        <v>196.56</v>
      </c>
      <c r="AF251" s="8">
        <v>0</v>
      </c>
      <c r="AG251" s="8" t="s">
        <v>2300</v>
      </c>
      <c r="AH251" s="8" t="s">
        <v>7</v>
      </c>
      <c r="AI251" s="8">
        <v>400200</v>
      </c>
      <c r="AJ251" s="8" t="s">
        <v>60</v>
      </c>
      <c r="AK251" s="8">
        <v>1</v>
      </c>
      <c r="AL251" s="8">
        <v>0</v>
      </c>
      <c r="AM251" s="8" t="s">
        <v>1905</v>
      </c>
    </row>
    <row r="252" spans="7:39" ht="12.75" customHeight="1">
      <c r="G252" s="344"/>
      <c r="H252" s="345">
        <v>46364</v>
      </c>
      <c r="I252" s="8" t="s">
        <v>740</v>
      </c>
      <c r="J252" s="8" t="s">
        <v>96</v>
      </c>
      <c r="K252" s="8" t="s">
        <v>2844</v>
      </c>
      <c r="L252" s="8" t="s">
        <v>97</v>
      </c>
      <c r="M252" s="8">
        <v>9663</v>
      </c>
      <c r="N252" s="7">
        <v>46120</v>
      </c>
      <c r="O252" s="8" t="s">
        <v>5</v>
      </c>
      <c r="P252" s="8" t="s">
        <v>106</v>
      </c>
      <c r="Q252" s="8" t="s">
        <v>68</v>
      </c>
      <c r="R252" s="8" t="s">
        <v>69</v>
      </c>
      <c r="S252" s="8" t="s">
        <v>9</v>
      </c>
      <c r="T252" s="9">
        <v>2808</v>
      </c>
      <c r="U252" s="9">
        <v>3229.2</v>
      </c>
      <c r="V252" s="8" t="s">
        <v>9</v>
      </c>
      <c r="W252" s="8">
        <v>7048</v>
      </c>
      <c r="X252" s="8">
        <v>9</v>
      </c>
      <c r="Y252" s="8">
        <v>290.63</v>
      </c>
      <c r="Z252" s="8">
        <v>9</v>
      </c>
      <c r="AA252" s="8">
        <v>290.63</v>
      </c>
      <c r="AB252" s="8">
        <v>0</v>
      </c>
      <c r="AC252" s="8">
        <v>0</v>
      </c>
      <c r="AD252" s="8">
        <v>0</v>
      </c>
      <c r="AE252" s="8">
        <v>581.26</v>
      </c>
      <c r="AF252" s="8">
        <v>0</v>
      </c>
      <c r="AG252" s="8" t="s">
        <v>2203</v>
      </c>
      <c r="AH252" s="8" t="s">
        <v>10</v>
      </c>
      <c r="AI252" s="8">
        <v>37013000</v>
      </c>
      <c r="AJ252" s="8" t="s">
        <v>60</v>
      </c>
      <c r="AK252" s="8">
        <v>1</v>
      </c>
      <c r="AL252" s="8">
        <v>0</v>
      </c>
      <c r="AM252" s="8" t="s">
        <v>1905</v>
      </c>
    </row>
    <row r="253" spans="7:39" ht="12.75" customHeight="1">
      <c r="G253" s="344"/>
      <c r="H253" s="345">
        <v>46364</v>
      </c>
      <c r="I253" s="8" t="s">
        <v>740</v>
      </c>
      <c r="J253" s="8" t="s">
        <v>96</v>
      </c>
      <c r="K253" s="8" t="s">
        <v>2844</v>
      </c>
      <c r="L253" s="8" t="s">
        <v>97</v>
      </c>
      <c r="M253" s="8">
        <v>9663</v>
      </c>
      <c r="N253" s="7">
        <v>46120</v>
      </c>
      <c r="O253" s="8" t="s">
        <v>5</v>
      </c>
      <c r="P253" s="8" t="s">
        <v>106</v>
      </c>
      <c r="Q253" s="8" t="s">
        <v>68</v>
      </c>
      <c r="R253" s="8" t="s">
        <v>69</v>
      </c>
      <c r="S253" s="8" t="s">
        <v>9</v>
      </c>
      <c r="T253" s="9">
        <v>1150.8900000000001</v>
      </c>
      <c r="U253" s="9">
        <v>1323.52</v>
      </c>
      <c r="V253" s="8" t="s">
        <v>9</v>
      </c>
      <c r="W253" s="8">
        <v>0</v>
      </c>
      <c r="X253" s="8">
        <v>9</v>
      </c>
      <c r="Y253" s="8">
        <v>119.12</v>
      </c>
      <c r="Z253" s="8">
        <v>9</v>
      </c>
      <c r="AA253" s="8">
        <v>119.12</v>
      </c>
      <c r="AB253" s="8">
        <v>0</v>
      </c>
      <c r="AC253" s="8">
        <v>0</v>
      </c>
      <c r="AD253" s="8">
        <v>0</v>
      </c>
      <c r="AE253" s="8">
        <v>238.24</v>
      </c>
      <c r="AF253" s="8">
        <v>0</v>
      </c>
      <c r="AG253" s="8" t="s">
        <v>2203</v>
      </c>
      <c r="AH253" s="8" t="s">
        <v>10</v>
      </c>
      <c r="AI253" s="8">
        <v>37013000</v>
      </c>
      <c r="AJ253" s="8" t="s">
        <v>60</v>
      </c>
      <c r="AK253" s="8">
        <v>1</v>
      </c>
      <c r="AL253" s="8">
        <v>0</v>
      </c>
      <c r="AM253" s="8" t="s">
        <v>1905</v>
      </c>
    </row>
    <row r="254" spans="7:39" ht="12.75" customHeight="1">
      <c r="G254" s="344"/>
      <c r="H254" s="345">
        <v>46364</v>
      </c>
      <c r="I254" s="8" t="s">
        <v>740</v>
      </c>
      <c r="J254" s="8" t="s">
        <v>96</v>
      </c>
      <c r="K254" s="8" t="s">
        <v>2844</v>
      </c>
      <c r="L254" s="8" t="s">
        <v>97</v>
      </c>
      <c r="M254" s="8">
        <v>9663</v>
      </c>
      <c r="N254" s="7">
        <v>46120</v>
      </c>
      <c r="O254" s="8" t="s">
        <v>5</v>
      </c>
      <c r="P254" s="8" t="s">
        <v>106</v>
      </c>
      <c r="Q254" s="8" t="s">
        <v>68</v>
      </c>
      <c r="R254" s="8" t="s">
        <v>69</v>
      </c>
      <c r="S254" s="8" t="s">
        <v>9</v>
      </c>
      <c r="T254" s="9">
        <v>1234.77</v>
      </c>
      <c r="U254" s="9">
        <v>1419.99</v>
      </c>
      <c r="V254" s="8" t="s">
        <v>9</v>
      </c>
      <c r="W254" s="8">
        <v>0</v>
      </c>
      <c r="X254" s="8">
        <v>9</v>
      </c>
      <c r="Y254" s="8">
        <v>127.8</v>
      </c>
      <c r="Z254" s="8">
        <v>9</v>
      </c>
      <c r="AA254" s="8">
        <v>127.8</v>
      </c>
      <c r="AB254" s="8">
        <v>0</v>
      </c>
      <c r="AC254" s="8">
        <v>0</v>
      </c>
      <c r="AD254" s="8">
        <v>0</v>
      </c>
      <c r="AE254" s="8">
        <v>255.6</v>
      </c>
      <c r="AF254" s="8">
        <v>0</v>
      </c>
      <c r="AG254" s="8" t="s">
        <v>2203</v>
      </c>
      <c r="AH254" s="8" t="s">
        <v>10</v>
      </c>
      <c r="AI254" s="8">
        <v>37013000</v>
      </c>
      <c r="AJ254" s="8" t="s">
        <v>60</v>
      </c>
      <c r="AK254" s="8">
        <v>1</v>
      </c>
      <c r="AL254" s="8">
        <v>0</v>
      </c>
      <c r="AM254" s="8" t="s">
        <v>1905</v>
      </c>
    </row>
    <row r="255" spans="7:39" ht="12.75" customHeight="1">
      <c r="G255" s="344"/>
      <c r="H255" s="345">
        <v>46364</v>
      </c>
      <c r="I255" s="8" t="s">
        <v>740</v>
      </c>
      <c r="J255" s="8" t="s">
        <v>96</v>
      </c>
      <c r="K255" s="8" t="s">
        <v>2845</v>
      </c>
      <c r="L255" s="8" t="s">
        <v>97</v>
      </c>
      <c r="M255" s="8">
        <v>9670</v>
      </c>
      <c r="N255" s="7">
        <v>46150</v>
      </c>
      <c r="O255" s="8" t="s">
        <v>5</v>
      </c>
      <c r="P255" s="8" t="s">
        <v>106</v>
      </c>
      <c r="Q255" s="8" t="s">
        <v>68</v>
      </c>
      <c r="R255" s="8" t="s">
        <v>69</v>
      </c>
      <c r="S255" s="8" t="s">
        <v>9</v>
      </c>
      <c r="T255" s="9">
        <v>5346</v>
      </c>
      <c r="U255" s="9">
        <v>6147.9</v>
      </c>
      <c r="V255" s="8" t="s">
        <v>9</v>
      </c>
      <c r="W255" s="8">
        <v>7255</v>
      </c>
      <c r="X255" s="8">
        <v>9</v>
      </c>
      <c r="Y255" s="8">
        <v>553.30999999999995</v>
      </c>
      <c r="Z255" s="8">
        <v>9</v>
      </c>
      <c r="AA255" s="8">
        <v>553.30999999999995</v>
      </c>
      <c r="AB255" s="8">
        <v>0</v>
      </c>
      <c r="AC255" s="8">
        <v>0</v>
      </c>
      <c r="AD255" s="8">
        <v>0</v>
      </c>
      <c r="AE255" s="8">
        <v>1106.6199999999999</v>
      </c>
      <c r="AF255" s="8">
        <v>0</v>
      </c>
      <c r="AG255" s="8" t="s">
        <v>2203</v>
      </c>
      <c r="AH255" s="8" t="s">
        <v>10</v>
      </c>
      <c r="AI255" s="8">
        <v>37013000</v>
      </c>
      <c r="AJ255" s="8" t="s">
        <v>60</v>
      </c>
      <c r="AK255" s="8">
        <v>1</v>
      </c>
      <c r="AL255" s="8">
        <v>0</v>
      </c>
      <c r="AM255" s="8" t="s">
        <v>1905</v>
      </c>
    </row>
    <row r="256" spans="7:39" ht="12.75" customHeight="1">
      <c r="G256" s="344"/>
      <c r="H256" s="345">
        <v>46364</v>
      </c>
      <c r="I256" s="8" t="s">
        <v>740</v>
      </c>
      <c r="J256" s="8" t="s">
        <v>96</v>
      </c>
      <c r="K256" s="8" t="s">
        <v>2846</v>
      </c>
      <c r="L256" s="8" t="s">
        <v>97</v>
      </c>
      <c r="M256" s="8">
        <v>9619</v>
      </c>
      <c r="N256" s="7" t="s">
        <v>2496</v>
      </c>
      <c r="O256" s="8" t="s">
        <v>5</v>
      </c>
      <c r="P256" s="8" t="s">
        <v>106</v>
      </c>
      <c r="Q256" s="8" t="s">
        <v>68</v>
      </c>
      <c r="R256" s="8" t="s">
        <v>69</v>
      </c>
      <c r="S256" s="8" t="s">
        <v>9</v>
      </c>
      <c r="T256" s="9">
        <v>207.5</v>
      </c>
      <c r="U256" s="9">
        <v>238.63</v>
      </c>
      <c r="V256" s="8" t="s">
        <v>9</v>
      </c>
      <c r="W256" s="8">
        <v>2179.0100000000002</v>
      </c>
      <c r="X256" s="8">
        <v>9</v>
      </c>
      <c r="Y256" s="8">
        <v>21.48</v>
      </c>
      <c r="Z256" s="8">
        <v>9</v>
      </c>
      <c r="AA256" s="8">
        <v>21.48</v>
      </c>
      <c r="AB256" s="8">
        <v>0</v>
      </c>
      <c r="AC256" s="8">
        <v>0</v>
      </c>
      <c r="AD256" s="8">
        <v>0</v>
      </c>
      <c r="AE256" s="8">
        <v>42.96</v>
      </c>
      <c r="AF256" s="8">
        <v>0</v>
      </c>
      <c r="AG256" s="8" t="s">
        <v>2203</v>
      </c>
      <c r="AH256" s="8" t="s">
        <v>10</v>
      </c>
      <c r="AI256" s="8">
        <v>37013000</v>
      </c>
      <c r="AJ256" s="8" t="s">
        <v>60</v>
      </c>
      <c r="AK256" s="8">
        <v>1</v>
      </c>
      <c r="AL256" s="8">
        <v>0</v>
      </c>
      <c r="AM256" s="8" t="s">
        <v>1905</v>
      </c>
    </row>
    <row r="257" spans="7:39" ht="12.75" customHeight="1">
      <c r="G257" s="344"/>
      <c r="H257" s="345">
        <v>46364</v>
      </c>
      <c r="I257" s="8" t="s">
        <v>740</v>
      </c>
      <c r="J257" s="8" t="s">
        <v>96</v>
      </c>
      <c r="K257" s="8" t="s">
        <v>2846</v>
      </c>
      <c r="L257" s="8" t="s">
        <v>97</v>
      </c>
      <c r="M257" s="8">
        <v>9619</v>
      </c>
      <c r="N257" s="7" t="s">
        <v>2496</v>
      </c>
      <c r="O257" s="8" t="s">
        <v>5</v>
      </c>
      <c r="P257" s="8" t="s">
        <v>106</v>
      </c>
      <c r="Q257" s="8" t="s">
        <v>68</v>
      </c>
      <c r="R257" s="8" t="s">
        <v>69</v>
      </c>
      <c r="S257" s="344" t="s">
        <v>9</v>
      </c>
      <c r="T257" s="9">
        <v>354.36</v>
      </c>
      <c r="U257" s="9">
        <v>407.51</v>
      </c>
      <c r="V257" s="8" t="s">
        <v>9</v>
      </c>
      <c r="W257" s="8">
        <v>0</v>
      </c>
      <c r="X257" s="8">
        <v>9</v>
      </c>
      <c r="Y257" s="8">
        <v>36.68</v>
      </c>
      <c r="Z257" s="8">
        <v>9</v>
      </c>
      <c r="AA257" s="8">
        <v>36.68</v>
      </c>
      <c r="AB257" s="8">
        <v>0</v>
      </c>
      <c r="AC257" s="8">
        <v>0</v>
      </c>
      <c r="AD257" s="8">
        <v>0</v>
      </c>
      <c r="AE257" s="8">
        <v>73.36</v>
      </c>
      <c r="AF257" s="8">
        <v>0</v>
      </c>
      <c r="AG257" s="8" t="s">
        <v>2203</v>
      </c>
      <c r="AH257" s="8" t="s">
        <v>10</v>
      </c>
      <c r="AI257" s="8">
        <v>37013000</v>
      </c>
      <c r="AJ257" s="8" t="s">
        <v>60</v>
      </c>
      <c r="AK257" s="8">
        <v>1</v>
      </c>
      <c r="AL257" s="8">
        <v>0</v>
      </c>
      <c r="AM257" s="8" t="s">
        <v>1905</v>
      </c>
    </row>
    <row r="258" spans="7:39" ht="12.75" customHeight="1">
      <c r="G258" s="344"/>
      <c r="H258" s="345">
        <v>46364</v>
      </c>
      <c r="I258" s="8" t="s">
        <v>740</v>
      </c>
      <c r="J258" s="8" t="s">
        <v>96</v>
      </c>
      <c r="K258" s="8" t="s">
        <v>2846</v>
      </c>
      <c r="L258" s="8" t="s">
        <v>97</v>
      </c>
      <c r="M258" s="8">
        <v>9619</v>
      </c>
      <c r="N258" s="7" t="s">
        <v>2496</v>
      </c>
      <c r="O258" s="8" t="s">
        <v>5</v>
      </c>
      <c r="P258" s="8" t="s">
        <v>106</v>
      </c>
      <c r="Q258" s="8" t="s">
        <v>68</v>
      </c>
      <c r="R258" s="8" t="s">
        <v>69</v>
      </c>
      <c r="S258" s="8" t="s">
        <v>9</v>
      </c>
      <c r="T258" s="9">
        <v>1043.6400000000001</v>
      </c>
      <c r="U258" s="9">
        <v>1200.19</v>
      </c>
      <c r="V258" s="8" t="s">
        <v>9</v>
      </c>
      <c r="W258" s="8">
        <v>0</v>
      </c>
      <c r="X258" s="8">
        <v>9</v>
      </c>
      <c r="Y258" s="8">
        <v>108.02</v>
      </c>
      <c r="Z258" s="8">
        <v>9</v>
      </c>
      <c r="AA258" s="8">
        <v>108.02</v>
      </c>
      <c r="AB258" s="8">
        <v>0</v>
      </c>
      <c r="AC258" s="8">
        <v>0</v>
      </c>
      <c r="AD258" s="8">
        <v>0</v>
      </c>
      <c r="AE258" s="8">
        <v>216.04</v>
      </c>
      <c r="AF258" s="8">
        <v>0</v>
      </c>
      <c r="AG258" s="8" t="s">
        <v>2203</v>
      </c>
      <c r="AH258" s="8" t="s">
        <v>10</v>
      </c>
      <c r="AI258" s="8">
        <v>37013000</v>
      </c>
      <c r="AJ258" s="8" t="s">
        <v>60</v>
      </c>
      <c r="AK258" s="8">
        <v>1</v>
      </c>
      <c r="AL258" s="8">
        <v>0</v>
      </c>
      <c r="AM258" s="8" t="s">
        <v>1905</v>
      </c>
    </row>
    <row r="259" spans="7:39" ht="12.75" customHeight="1">
      <c r="G259" s="344"/>
      <c r="H259" s="345" t="s">
        <v>2847</v>
      </c>
      <c r="I259" s="8" t="s">
        <v>87</v>
      </c>
      <c r="J259" s="8" t="s">
        <v>96</v>
      </c>
      <c r="K259" s="8" t="s">
        <v>2848</v>
      </c>
      <c r="L259" s="8" t="s">
        <v>97</v>
      </c>
      <c r="M259" s="8" t="s">
        <v>2849</v>
      </c>
      <c r="N259" s="7" t="s">
        <v>2847</v>
      </c>
      <c r="O259" s="8" t="s">
        <v>2</v>
      </c>
      <c r="P259" s="8" t="s">
        <v>67</v>
      </c>
      <c r="Q259" s="8" t="s">
        <v>68</v>
      </c>
      <c r="R259" s="8" t="s">
        <v>69</v>
      </c>
      <c r="S259" s="8" t="s">
        <v>70</v>
      </c>
      <c r="T259" s="9">
        <v>276</v>
      </c>
      <c r="U259" s="9">
        <v>13248</v>
      </c>
      <c r="V259" s="8" t="s">
        <v>70</v>
      </c>
      <c r="W259" s="8">
        <v>15619.39</v>
      </c>
      <c r="X259" s="8">
        <v>9</v>
      </c>
      <c r="Y259" s="8">
        <v>1192.32</v>
      </c>
      <c r="Z259" s="8">
        <v>9</v>
      </c>
      <c r="AA259" s="8">
        <v>1192.32</v>
      </c>
      <c r="AB259" s="8">
        <v>0</v>
      </c>
      <c r="AC259" s="8">
        <v>0</v>
      </c>
      <c r="AD259" s="8">
        <v>0</v>
      </c>
      <c r="AE259" s="8">
        <v>2384.64</v>
      </c>
      <c r="AF259" s="8">
        <v>0</v>
      </c>
      <c r="AG259" s="8" t="s">
        <v>65</v>
      </c>
      <c r="AH259" s="8" t="s">
        <v>11</v>
      </c>
      <c r="AI259" s="8">
        <v>73063090</v>
      </c>
      <c r="AJ259" s="8" t="s">
        <v>60</v>
      </c>
      <c r="AK259" s="8">
        <v>1</v>
      </c>
      <c r="AL259" s="8">
        <v>0</v>
      </c>
      <c r="AM259" s="8" t="s">
        <v>1905</v>
      </c>
    </row>
    <row r="260" spans="7:39" ht="12.75" customHeight="1">
      <c r="G260" s="344"/>
      <c r="H260" s="345" t="s">
        <v>2847</v>
      </c>
      <c r="I260" s="8" t="s">
        <v>87</v>
      </c>
      <c r="J260" s="8" t="s">
        <v>91</v>
      </c>
      <c r="K260" s="8" t="s">
        <v>2850</v>
      </c>
      <c r="L260" s="8" t="s">
        <v>98</v>
      </c>
      <c r="M260" s="8" t="s">
        <v>2851</v>
      </c>
      <c r="N260" s="7" t="s">
        <v>2847</v>
      </c>
      <c r="O260" s="8" t="s">
        <v>13</v>
      </c>
      <c r="P260" s="8" t="s">
        <v>62</v>
      </c>
      <c r="Q260" s="8" t="s">
        <v>76</v>
      </c>
      <c r="R260" s="8" t="s">
        <v>77</v>
      </c>
      <c r="S260" s="8" t="s">
        <v>21</v>
      </c>
      <c r="T260" s="9">
        <v>1864</v>
      </c>
      <c r="U260" s="9">
        <v>278332.48</v>
      </c>
      <c r="V260" s="8" t="s">
        <v>21</v>
      </c>
      <c r="W260" s="8">
        <v>1827958.77</v>
      </c>
      <c r="X260" s="8">
        <v>9</v>
      </c>
      <c r="Y260" s="8">
        <v>25049.919999999998</v>
      </c>
      <c r="Z260" s="8">
        <v>9</v>
      </c>
      <c r="AA260" s="8">
        <v>25049.919999999998</v>
      </c>
      <c r="AB260" s="8">
        <v>0</v>
      </c>
      <c r="AC260" s="8">
        <v>0</v>
      </c>
      <c r="AD260" s="8">
        <v>0</v>
      </c>
      <c r="AE260" s="8">
        <v>50099.839999999997</v>
      </c>
      <c r="AF260" s="8">
        <v>0</v>
      </c>
      <c r="AG260" s="8" t="s">
        <v>65</v>
      </c>
      <c r="AH260" s="8" t="s">
        <v>11</v>
      </c>
      <c r="AI260" s="8">
        <v>63053300</v>
      </c>
      <c r="AJ260" s="8" t="s">
        <v>60</v>
      </c>
      <c r="AK260" s="8">
        <v>1</v>
      </c>
      <c r="AL260" s="8">
        <v>1864</v>
      </c>
      <c r="AM260" s="8" t="s">
        <v>1905</v>
      </c>
    </row>
    <row r="261" spans="7:39" ht="12.75" customHeight="1">
      <c r="G261" s="344"/>
      <c r="H261" s="345" t="s">
        <v>2847</v>
      </c>
      <c r="I261" s="8" t="s">
        <v>87</v>
      </c>
      <c r="J261" s="8" t="s">
        <v>91</v>
      </c>
      <c r="K261" s="8" t="s">
        <v>2850</v>
      </c>
      <c r="L261" s="8" t="s">
        <v>98</v>
      </c>
      <c r="M261" s="8" t="s">
        <v>2851</v>
      </c>
      <c r="N261" s="7" t="s">
        <v>2847</v>
      </c>
      <c r="O261" s="8" t="s">
        <v>13</v>
      </c>
      <c r="P261" s="8" t="s">
        <v>62</v>
      </c>
      <c r="Q261" s="8" t="s">
        <v>63</v>
      </c>
      <c r="R261" s="8" t="s">
        <v>64</v>
      </c>
      <c r="S261" s="8" t="s">
        <v>19</v>
      </c>
      <c r="T261" s="9">
        <v>7762</v>
      </c>
      <c r="U261" s="9">
        <v>1104687.8400000001</v>
      </c>
      <c r="V261" s="8" t="s">
        <v>19</v>
      </c>
      <c r="W261" s="8">
        <v>0</v>
      </c>
      <c r="X261" s="8">
        <v>9</v>
      </c>
      <c r="Y261" s="8">
        <v>99421.91</v>
      </c>
      <c r="Z261" s="8">
        <v>9</v>
      </c>
      <c r="AA261" s="8">
        <v>99421.91</v>
      </c>
      <c r="AB261" s="8">
        <v>0</v>
      </c>
      <c r="AC261" s="8">
        <v>0</v>
      </c>
      <c r="AD261" s="8">
        <v>0</v>
      </c>
      <c r="AE261" s="8">
        <v>198843.82</v>
      </c>
      <c r="AF261" s="8">
        <v>0</v>
      </c>
      <c r="AG261" s="8" t="s">
        <v>65</v>
      </c>
      <c r="AH261" s="8" t="s">
        <v>11</v>
      </c>
      <c r="AI261" s="8">
        <v>39269080</v>
      </c>
      <c r="AJ261" s="8" t="s">
        <v>60</v>
      </c>
      <c r="AK261" s="8">
        <v>1</v>
      </c>
      <c r="AL261" s="8">
        <v>7762</v>
      </c>
      <c r="AM261" s="8" t="s">
        <v>1905</v>
      </c>
    </row>
    <row r="262" spans="7:39" ht="12.75" customHeight="1">
      <c r="G262" s="344"/>
      <c r="H262" s="345" t="s">
        <v>2847</v>
      </c>
      <c r="I262" s="8" t="s">
        <v>87</v>
      </c>
      <c r="J262" s="8" t="s">
        <v>91</v>
      </c>
      <c r="K262" s="8" t="s">
        <v>2850</v>
      </c>
      <c r="L262" s="8" t="s">
        <v>98</v>
      </c>
      <c r="M262" s="8" t="s">
        <v>2851</v>
      </c>
      <c r="N262" s="7" t="s">
        <v>2847</v>
      </c>
      <c r="O262" s="8" t="s">
        <v>13</v>
      </c>
      <c r="P262" s="8" t="s">
        <v>62</v>
      </c>
      <c r="Q262" s="8" t="s">
        <v>63</v>
      </c>
      <c r="R262" s="8" t="s">
        <v>64</v>
      </c>
      <c r="S262" s="8" t="s">
        <v>19</v>
      </c>
      <c r="T262" s="9">
        <v>1160</v>
      </c>
      <c r="U262" s="9">
        <v>167411.20000000001</v>
      </c>
      <c r="V262" s="8" t="s">
        <v>19</v>
      </c>
      <c r="W262" s="8">
        <v>0</v>
      </c>
      <c r="X262" s="8">
        <v>9</v>
      </c>
      <c r="Y262" s="8">
        <v>15067.01</v>
      </c>
      <c r="Z262" s="8">
        <v>9</v>
      </c>
      <c r="AA262" s="8">
        <v>15067.01</v>
      </c>
      <c r="AB262" s="8">
        <v>0</v>
      </c>
      <c r="AC262" s="8">
        <v>0</v>
      </c>
      <c r="AD262" s="8">
        <v>0</v>
      </c>
      <c r="AE262" s="8">
        <v>30134.02</v>
      </c>
      <c r="AF262" s="8">
        <v>0</v>
      </c>
      <c r="AG262" s="8" t="s">
        <v>65</v>
      </c>
      <c r="AH262" s="8" t="s">
        <v>11</v>
      </c>
      <c r="AI262" s="8">
        <v>39269080</v>
      </c>
      <c r="AJ262" s="8" t="s">
        <v>60</v>
      </c>
      <c r="AK262" s="8">
        <v>1</v>
      </c>
      <c r="AL262" s="8">
        <v>1160</v>
      </c>
      <c r="AM262" s="8" t="s">
        <v>1905</v>
      </c>
    </row>
    <row r="263" spans="7:39" ht="12.75" customHeight="1">
      <c r="G263" s="344"/>
      <c r="H263" s="345" t="s">
        <v>2847</v>
      </c>
      <c r="I263" s="8" t="s">
        <v>87</v>
      </c>
      <c r="J263" s="8" t="s">
        <v>91</v>
      </c>
      <c r="K263" s="8" t="s">
        <v>2852</v>
      </c>
      <c r="L263" s="8" t="s">
        <v>98</v>
      </c>
      <c r="M263" s="8" t="s">
        <v>2853</v>
      </c>
      <c r="N263" s="7" t="s">
        <v>2847</v>
      </c>
      <c r="O263" s="8" t="s">
        <v>13</v>
      </c>
      <c r="P263" s="8" t="s">
        <v>80</v>
      </c>
      <c r="Q263" s="8" t="s">
        <v>81</v>
      </c>
      <c r="R263" s="8" t="s">
        <v>82</v>
      </c>
      <c r="S263" s="8" t="s">
        <v>17</v>
      </c>
      <c r="T263" s="9">
        <v>238</v>
      </c>
      <c r="U263" s="9">
        <v>43996.68</v>
      </c>
      <c r="V263" s="8" t="s">
        <v>17</v>
      </c>
      <c r="W263" s="8">
        <v>1358571.54</v>
      </c>
      <c r="X263" s="8">
        <v>9</v>
      </c>
      <c r="Y263" s="8">
        <v>3959.7</v>
      </c>
      <c r="Z263" s="8">
        <v>9</v>
      </c>
      <c r="AA263" s="8">
        <v>3959.7</v>
      </c>
      <c r="AB263" s="8">
        <v>0</v>
      </c>
      <c r="AC263" s="8">
        <v>0</v>
      </c>
      <c r="AD263" s="8">
        <v>0</v>
      </c>
      <c r="AE263" s="8">
        <v>7919.4</v>
      </c>
      <c r="AF263" s="8">
        <v>0</v>
      </c>
      <c r="AG263" s="8" t="s">
        <v>65</v>
      </c>
      <c r="AH263" s="8" t="s">
        <v>11</v>
      </c>
      <c r="AI263" s="8">
        <v>39200000</v>
      </c>
      <c r="AJ263" s="8" t="s">
        <v>60</v>
      </c>
      <c r="AK263" s="8">
        <v>1</v>
      </c>
      <c r="AL263" s="8">
        <v>238</v>
      </c>
      <c r="AM263" s="8" t="s">
        <v>1905</v>
      </c>
    </row>
    <row r="264" spans="7:39" ht="12.75" customHeight="1">
      <c r="G264" s="344"/>
      <c r="H264" s="345" t="s">
        <v>2847</v>
      </c>
      <c r="I264" s="8" t="s">
        <v>87</v>
      </c>
      <c r="J264" s="8" t="s">
        <v>91</v>
      </c>
      <c r="K264" s="8" t="s">
        <v>2852</v>
      </c>
      <c r="L264" s="8" t="s">
        <v>98</v>
      </c>
      <c r="M264" s="8" t="s">
        <v>2853</v>
      </c>
      <c r="N264" s="7" t="s">
        <v>2847</v>
      </c>
      <c r="O264" s="8" t="s">
        <v>13</v>
      </c>
      <c r="P264" s="8" t="s">
        <v>80</v>
      </c>
      <c r="Q264" s="8" t="s">
        <v>81</v>
      </c>
      <c r="R264" s="8" t="s">
        <v>82</v>
      </c>
      <c r="S264" s="8" t="s">
        <v>17</v>
      </c>
      <c r="T264" s="9">
        <v>2059</v>
      </c>
      <c r="U264" s="9">
        <v>364154.74</v>
      </c>
      <c r="V264" s="8" t="s">
        <v>17</v>
      </c>
      <c r="W264" s="8">
        <v>0</v>
      </c>
      <c r="X264" s="8">
        <v>9</v>
      </c>
      <c r="Y264" s="8">
        <v>32773.93</v>
      </c>
      <c r="Z264" s="8">
        <v>9</v>
      </c>
      <c r="AA264" s="8">
        <v>32773.93</v>
      </c>
      <c r="AB264" s="8">
        <v>0</v>
      </c>
      <c r="AC264" s="8">
        <v>0</v>
      </c>
      <c r="AD264" s="8">
        <v>0</v>
      </c>
      <c r="AE264" s="8">
        <v>65547.86</v>
      </c>
      <c r="AF264" s="8">
        <v>0</v>
      </c>
      <c r="AG264" s="8" t="s">
        <v>65</v>
      </c>
      <c r="AH264" s="8" t="s">
        <v>11</v>
      </c>
      <c r="AI264" s="8">
        <v>39200000</v>
      </c>
      <c r="AJ264" s="8" t="s">
        <v>60</v>
      </c>
      <c r="AK264" s="8">
        <v>1</v>
      </c>
      <c r="AL264" s="8">
        <v>2059</v>
      </c>
      <c r="AM264" s="8" t="s">
        <v>1905</v>
      </c>
    </row>
    <row r="265" spans="7:39" ht="12.75" customHeight="1">
      <c r="G265" s="344"/>
      <c r="H265" s="345" t="s">
        <v>2847</v>
      </c>
      <c r="I265" s="8" t="s">
        <v>87</v>
      </c>
      <c r="J265" s="8" t="s">
        <v>91</v>
      </c>
      <c r="K265" s="8" t="s">
        <v>2852</v>
      </c>
      <c r="L265" s="8" t="s">
        <v>98</v>
      </c>
      <c r="M265" s="8" t="s">
        <v>2853</v>
      </c>
      <c r="N265" s="7" t="s">
        <v>2847</v>
      </c>
      <c r="O265" s="8" t="s">
        <v>13</v>
      </c>
      <c r="P265" s="8" t="s">
        <v>24</v>
      </c>
      <c r="Q265" s="8" t="s">
        <v>79</v>
      </c>
      <c r="R265" s="8" t="s">
        <v>79</v>
      </c>
      <c r="S265" s="8" t="s">
        <v>24</v>
      </c>
      <c r="T265" s="9">
        <v>1354.6</v>
      </c>
      <c r="U265" s="9">
        <v>199559.67</v>
      </c>
      <c r="V265" s="8" t="s">
        <v>24</v>
      </c>
      <c r="W265" s="8">
        <v>0</v>
      </c>
      <c r="X265" s="8">
        <v>9</v>
      </c>
      <c r="Y265" s="8">
        <v>17960.37</v>
      </c>
      <c r="Z265" s="8">
        <v>9</v>
      </c>
      <c r="AA265" s="8">
        <v>17960.37</v>
      </c>
      <c r="AB265" s="8">
        <v>0</v>
      </c>
      <c r="AC265" s="8">
        <v>0</v>
      </c>
      <c r="AD265" s="8">
        <v>0</v>
      </c>
      <c r="AE265" s="8">
        <v>35920.74</v>
      </c>
      <c r="AF265" s="8">
        <v>0</v>
      </c>
      <c r="AG265" s="8" t="s">
        <v>65</v>
      </c>
      <c r="AH265" s="8" t="s">
        <v>11</v>
      </c>
      <c r="AI265" s="8">
        <v>3926908</v>
      </c>
      <c r="AJ265" s="8" t="s">
        <v>60</v>
      </c>
      <c r="AK265" s="8">
        <v>1</v>
      </c>
      <c r="AL265" s="8">
        <v>1354.6</v>
      </c>
      <c r="AM265" s="8" t="s">
        <v>1905</v>
      </c>
    </row>
    <row r="266" spans="7:39" ht="12.75" customHeight="1">
      <c r="G266" s="344"/>
      <c r="H266" s="345" t="s">
        <v>2847</v>
      </c>
      <c r="I266" s="8" t="s">
        <v>87</v>
      </c>
      <c r="J266" s="8" t="s">
        <v>91</v>
      </c>
      <c r="K266" s="8" t="s">
        <v>2852</v>
      </c>
      <c r="L266" s="8" t="s">
        <v>98</v>
      </c>
      <c r="M266" s="8" t="s">
        <v>2853</v>
      </c>
      <c r="N266" s="7" t="s">
        <v>2847</v>
      </c>
      <c r="O266" s="8" t="s">
        <v>13</v>
      </c>
      <c r="P266" s="8" t="s">
        <v>24</v>
      </c>
      <c r="Q266" s="8" t="s">
        <v>79</v>
      </c>
      <c r="R266" s="8" t="s">
        <v>79</v>
      </c>
      <c r="S266" s="8" t="s">
        <v>24</v>
      </c>
      <c r="T266" s="9">
        <v>1067.7</v>
      </c>
      <c r="U266" s="9">
        <v>154090.46</v>
      </c>
      <c r="V266" s="8" t="s">
        <v>24</v>
      </c>
      <c r="W266" s="8">
        <v>0</v>
      </c>
      <c r="X266" s="8">
        <v>9</v>
      </c>
      <c r="Y266" s="8">
        <v>13868.14</v>
      </c>
      <c r="Z266" s="8">
        <v>9</v>
      </c>
      <c r="AA266" s="8">
        <v>13868.14</v>
      </c>
      <c r="AB266" s="8">
        <v>0</v>
      </c>
      <c r="AC266" s="8">
        <v>0</v>
      </c>
      <c r="AD266" s="8">
        <v>0</v>
      </c>
      <c r="AE266" s="8">
        <v>27736.28</v>
      </c>
      <c r="AF266" s="8">
        <v>0</v>
      </c>
      <c r="AG266" s="8" t="s">
        <v>65</v>
      </c>
      <c r="AH266" s="8" t="s">
        <v>11</v>
      </c>
      <c r="AI266" s="8">
        <v>3926908</v>
      </c>
      <c r="AJ266" s="8" t="s">
        <v>60</v>
      </c>
      <c r="AK266" s="8">
        <v>1</v>
      </c>
      <c r="AL266" s="8">
        <v>1067.7</v>
      </c>
      <c r="AM266" s="8" t="s">
        <v>1905</v>
      </c>
    </row>
    <row r="267" spans="7:39" ht="12.75" customHeight="1">
      <c r="G267" s="344"/>
      <c r="H267" s="345" t="s">
        <v>2847</v>
      </c>
      <c r="I267" s="8" t="s">
        <v>87</v>
      </c>
      <c r="J267" s="8" t="s">
        <v>91</v>
      </c>
      <c r="K267" s="8" t="s">
        <v>2852</v>
      </c>
      <c r="L267" s="8" t="s">
        <v>98</v>
      </c>
      <c r="M267" s="8" t="s">
        <v>2853</v>
      </c>
      <c r="N267" s="7" t="s">
        <v>2847</v>
      </c>
      <c r="O267" s="8" t="s">
        <v>13</v>
      </c>
      <c r="P267" s="8" t="s">
        <v>62</v>
      </c>
      <c r="Q267" s="8" t="s">
        <v>63</v>
      </c>
      <c r="R267" s="8" t="s">
        <v>64</v>
      </c>
      <c r="S267" s="8" t="s">
        <v>19</v>
      </c>
      <c r="T267" s="9">
        <v>275</v>
      </c>
      <c r="U267" s="9">
        <v>39688</v>
      </c>
      <c r="V267" s="8" t="s">
        <v>19</v>
      </c>
      <c r="W267" s="8">
        <v>0</v>
      </c>
      <c r="X267" s="8">
        <v>9</v>
      </c>
      <c r="Y267" s="8">
        <v>3571.92</v>
      </c>
      <c r="Z267" s="8">
        <v>9</v>
      </c>
      <c r="AA267" s="8">
        <v>3571.92</v>
      </c>
      <c r="AB267" s="8">
        <v>0</v>
      </c>
      <c r="AC267" s="8">
        <v>0</v>
      </c>
      <c r="AD267" s="8">
        <v>0</v>
      </c>
      <c r="AE267" s="8">
        <v>7143.84</v>
      </c>
      <c r="AF267" s="8">
        <v>0</v>
      </c>
      <c r="AG267" s="8" t="s">
        <v>65</v>
      </c>
      <c r="AH267" s="8" t="s">
        <v>11</v>
      </c>
      <c r="AI267" s="8">
        <v>39269080</v>
      </c>
      <c r="AJ267" s="8" t="s">
        <v>60</v>
      </c>
      <c r="AK267" s="8">
        <v>1</v>
      </c>
      <c r="AL267" s="8">
        <v>275</v>
      </c>
      <c r="AM267" s="8" t="s">
        <v>1905</v>
      </c>
    </row>
    <row r="268" spans="7:39" ht="12.75" customHeight="1">
      <c r="G268" s="344"/>
      <c r="H268" s="345" t="s">
        <v>2847</v>
      </c>
      <c r="I268" s="8" t="s">
        <v>87</v>
      </c>
      <c r="J268" s="8" t="s">
        <v>91</v>
      </c>
      <c r="K268" s="8" t="s">
        <v>2852</v>
      </c>
      <c r="L268" s="8" t="s">
        <v>98</v>
      </c>
      <c r="M268" s="8" t="s">
        <v>2853</v>
      </c>
      <c r="N268" s="7" t="s">
        <v>2847</v>
      </c>
      <c r="O268" s="8" t="s">
        <v>13</v>
      </c>
      <c r="P268" s="8" t="s">
        <v>62</v>
      </c>
      <c r="Q268" s="8" t="s">
        <v>63</v>
      </c>
      <c r="R268" s="8" t="s">
        <v>64</v>
      </c>
      <c r="S268" s="8" t="s">
        <v>19</v>
      </c>
      <c r="T268" s="9">
        <v>2465</v>
      </c>
      <c r="U268" s="9">
        <v>350818.8</v>
      </c>
      <c r="V268" s="8" t="s">
        <v>19</v>
      </c>
      <c r="W268" s="8">
        <v>0</v>
      </c>
      <c r="X268" s="8">
        <v>9</v>
      </c>
      <c r="Y268" s="8">
        <v>31573.69</v>
      </c>
      <c r="Z268" s="8">
        <v>9</v>
      </c>
      <c r="AA268" s="8">
        <v>31573.69</v>
      </c>
      <c r="AB268" s="8">
        <v>0</v>
      </c>
      <c r="AC268" s="8">
        <v>0</v>
      </c>
      <c r="AD268" s="8">
        <v>0</v>
      </c>
      <c r="AE268" s="8">
        <v>63147.38</v>
      </c>
      <c r="AF268" s="8">
        <v>0</v>
      </c>
      <c r="AG268" s="8" t="s">
        <v>65</v>
      </c>
      <c r="AH268" s="8" t="s">
        <v>11</v>
      </c>
      <c r="AI268" s="8">
        <v>39269080</v>
      </c>
      <c r="AJ268" s="8" t="s">
        <v>60</v>
      </c>
      <c r="AK268" s="8">
        <v>1</v>
      </c>
      <c r="AL268" s="8">
        <v>2465</v>
      </c>
      <c r="AM268" s="8" t="s">
        <v>1905</v>
      </c>
    </row>
    <row r="269" spans="7:39" ht="12.75" customHeight="1">
      <c r="G269" s="344"/>
      <c r="H269" s="345" t="s">
        <v>2847</v>
      </c>
      <c r="I269" s="8" t="s">
        <v>94</v>
      </c>
      <c r="J269" s="8" t="s">
        <v>96</v>
      </c>
      <c r="K269" s="8" t="s">
        <v>2854</v>
      </c>
      <c r="L269" s="8" t="s">
        <v>97</v>
      </c>
      <c r="M269" s="8" t="s">
        <v>2855</v>
      </c>
      <c r="N269" s="7" t="s">
        <v>2847</v>
      </c>
      <c r="O269" s="8" t="s">
        <v>13</v>
      </c>
      <c r="P269" s="8" t="s">
        <v>80</v>
      </c>
      <c r="Q269" s="8" t="s">
        <v>81</v>
      </c>
      <c r="R269" s="8" t="s">
        <v>2149</v>
      </c>
      <c r="S269" s="8" t="s">
        <v>2149</v>
      </c>
      <c r="T269" s="9">
        <v>15</v>
      </c>
      <c r="U269" s="9">
        <v>3600</v>
      </c>
      <c r="V269" s="8" t="s">
        <v>2149</v>
      </c>
      <c r="W269" s="8">
        <v>4244.3999999999996</v>
      </c>
      <c r="X269" s="8">
        <v>9</v>
      </c>
      <c r="Y269" s="8">
        <v>324</v>
      </c>
      <c r="Z269" s="8">
        <v>9</v>
      </c>
      <c r="AA269" s="8">
        <v>324</v>
      </c>
      <c r="AB269" s="8">
        <v>0</v>
      </c>
      <c r="AC269" s="8">
        <v>0</v>
      </c>
      <c r="AD269" s="8">
        <v>0</v>
      </c>
      <c r="AE269" s="8">
        <v>648</v>
      </c>
      <c r="AF269" s="8">
        <v>0</v>
      </c>
      <c r="AG269" s="8" t="s">
        <v>74</v>
      </c>
      <c r="AH269" s="8" t="s">
        <v>11</v>
      </c>
      <c r="AI269" s="8">
        <v>3920101</v>
      </c>
      <c r="AJ269" s="8" t="s">
        <v>60</v>
      </c>
      <c r="AK269" s="8">
        <v>1</v>
      </c>
      <c r="AL269" s="8">
        <v>15</v>
      </c>
      <c r="AM269" s="8" t="s">
        <v>1905</v>
      </c>
    </row>
    <row r="270" spans="7:39" ht="12.75" customHeight="1">
      <c r="G270" s="344"/>
      <c r="H270" s="345" t="s">
        <v>2847</v>
      </c>
      <c r="I270" s="8" t="s">
        <v>94</v>
      </c>
      <c r="J270" s="8" t="s">
        <v>91</v>
      </c>
      <c r="K270" s="8" t="s">
        <v>2856</v>
      </c>
      <c r="L270" s="8" t="s">
        <v>2348</v>
      </c>
      <c r="M270" s="8" t="s">
        <v>2857</v>
      </c>
      <c r="N270" s="7" t="s">
        <v>2847</v>
      </c>
      <c r="O270" s="8" t="s">
        <v>15</v>
      </c>
      <c r="P270" s="8" t="s">
        <v>57</v>
      </c>
      <c r="Q270" s="8" t="s">
        <v>57</v>
      </c>
      <c r="R270" s="8" t="s">
        <v>58</v>
      </c>
      <c r="S270" s="8" t="s">
        <v>16</v>
      </c>
      <c r="T270" s="9">
        <v>156</v>
      </c>
      <c r="U270" s="9">
        <v>53972.88</v>
      </c>
      <c r="V270" s="8" t="s">
        <v>16</v>
      </c>
      <c r="W270" s="8">
        <v>63634.03</v>
      </c>
      <c r="X270" s="8">
        <v>9</v>
      </c>
      <c r="Y270" s="8">
        <v>4857.5600000000004</v>
      </c>
      <c r="Z270" s="8">
        <v>9</v>
      </c>
      <c r="AA270" s="8">
        <v>4857.5600000000004</v>
      </c>
      <c r="AB270" s="8">
        <v>0</v>
      </c>
      <c r="AC270" s="8">
        <v>0</v>
      </c>
      <c r="AD270" s="8">
        <v>0</v>
      </c>
      <c r="AE270" s="8">
        <v>9715.1200000000008</v>
      </c>
      <c r="AF270" s="8">
        <v>0</v>
      </c>
      <c r="AG270" s="8" t="s">
        <v>74</v>
      </c>
      <c r="AH270" s="8" t="s">
        <v>11</v>
      </c>
      <c r="AI270" s="8">
        <v>63053200</v>
      </c>
      <c r="AJ270" s="8" t="s">
        <v>60</v>
      </c>
      <c r="AK270" s="8">
        <v>1</v>
      </c>
      <c r="AL270" s="8">
        <v>156</v>
      </c>
      <c r="AM270" s="8" t="s">
        <v>1905</v>
      </c>
    </row>
    <row r="271" spans="7:39" ht="12.75" customHeight="1">
      <c r="G271" s="344"/>
      <c r="H271" s="345" t="s">
        <v>2858</v>
      </c>
      <c r="I271" s="8" t="s">
        <v>2427</v>
      </c>
      <c r="J271" s="8" t="s">
        <v>96</v>
      </c>
      <c r="K271" s="8" t="s">
        <v>2859</v>
      </c>
      <c r="L271" s="8" t="s">
        <v>97</v>
      </c>
      <c r="M271" s="8" t="s">
        <v>2860</v>
      </c>
      <c r="N271" s="7">
        <v>46303</v>
      </c>
      <c r="O271" s="8" t="s">
        <v>2</v>
      </c>
      <c r="P271" s="8" t="s">
        <v>2861</v>
      </c>
      <c r="Q271" s="8" t="s">
        <v>68</v>
      </c>
      <c r="R271" s="8" t="s">
        <v>69</v>
      </c>
      <c r="S271" s="8" t="s">
        <v>2862</v>
      </c>
      <c r="T271" s="9">
        <v>6</v>
      </c>
      <c r="U271" s="9">
        <v>13500</v>
      </c>
      <c r="V271" s="8" t="s">
        <v>2862</v>
      </c>
      <c r="W271" s="8">
        <v>15930</v>
      </c>
      <c r="X271" s="8">
        <v>9</v>
      </c>
      <c r="Y271" s="8">
        <v>1215</v>
      </c>
      <c r="Z271" s="8">
        <v>9</v>
      </c>
      <c r="AA271" s="8">
        <v>1215</v>
      </c>
      <c r="AB271" s="8">
        <v>0</v>
      </c>
      <c r="AC271" s="8">
        <v>0</v>
      </c>
      <c r="AD271" s="8">
        <v>0</v>
      </c>
      <c r="AE271" s="8">
        <v>2430</v>
      </c>
      <c r="AF271" s="8">
        <v>0</v>
      </c>
      <c r="AG271" s="8" t="s">
        <v>2469</v>
      </c>
      <c r="AH271" s="8" t="s">
        <v>7</v>
      </c>
      <c r="AI271" s="8">
        <v>940540</v>
      </c>
      <c r="AJ271" s="8" t="s">
        <v>60</v>
      </c>
      <c r="AK271" s="8">
        <v>1</v>
      </c>
      <c r="AL271" s="8">
        <v>0</v>
      </c>
      <c r="AM271" s="8" t="s">
        <v>1905</v>
      </c>
    </row>
    <row r="272" spans="7:39" ht="12.75" customHeight="1">
      <c r="G272" s="344"/>
      <c r="H272" s="345" t="s">
        <v>2858</v>
      </c>
      <c r="I272" s="8" t="s">
        <v>93</v>
      </c>
      <c r="J272" s="8" t="s">
        <v>91</v>
      </c>
      <c r="K272" s="8" t="s">
        <v>2863</v>
      </c>
      <c r="L272" s="8" t="s">
        <v>98</v>
      </c>
      <c r="M272" s="8" t="s">
        <v>2864</v>
      </c>
      <c r="N272" s="7" t="s">
        <v>2847</v>
      </c>
      <c r="O272" s="8" t="s">
        <v>13</v>
      </c>
      <c r="P272" s="8" t="s">
        <v>99</v>
      </c>
      <c r="Q272" s="8" t="s">
        <v>100</v>
      </c>
      <c r="R272" s="8" t="s">
        <v>101</v>
      </c>
      <c r="S272" s="8" t="s">
        <v>1582</v>
      </c>
      <c r="T272" s="9">
        <v>500</v>
      </c>
      <c r="U272" s="9">
        <v>79700</v>
      </c>
      <c r="V272" s="8" t="s">
        <v>1582</v>
      </c>
      <c r="W272" s="8">
        <v>239465.72</v>
      </c>
      <c r="X272" s="8">
        <v>2.5</v>
      </c>
      <c r="Y272" s="8">
        <v>1992.5</v>
      </c>
      <c r="Z272" s="8">
        <v>2.5</v>
      </c>
      <c r="AA272" s="8">
        <v>1992.5</v>
      </c>
      <c r="AB272" s="8">
        <v>0</v>
      </c>
      <c r="AC272" s="8">
        <v>0</v>
      </c>
      <c r="AD272" s="8">
        <v>0</v>
      </c>
      <c r="AE272" s="8">
        <v>3985</v>
      </c>
      <c r="AF272" s="8">
        <v>0</v>
      </c>
      <c r="AG272" s="8" t="s">
        <v>59</v>
      </c>
      <c r="AH272" s="8" t="s">
        <v>11</v>
      </c>
      <c r="AI272" s="8">
        <v>54026930</v>
      </c>
      <c r="AJ272" s="8" t="s">
        <v>60</v>
      </c>
      <c r="AK272" s="8">
        <v>1</v>
      </c>
      <c r="AL272" s="8">
        <v>500</v>
      </c>
      <c r="AM272" s="8" t="s">
        <v>1905</v>
      </c>
    </row>
    <row r="273" spans="7:39" ht="12.75" customHeight="1">
      <c r="G273" s="344"/>
      <c r="H273" s="345" t="s">
        <v>2858</v>
      </c>
      <c r="I273" s="8" t="s">
        <v>93</v>
      </c>
      <c r="J273" s="8" t="s">
        <v>91</v>
      </c>
      <c r="K273" s="8" t="s">
        <v>2863</v>
      </c>
      <c r="L273" s="8" t="s">
        <v>98</v>
      </c>
      <c r="M273" s="8" t="s">
        <v>2864</v>
      </c>
      <c r="N273" s="7" t="s">
        <v>2847</v>
      </c>
      <c r="O273" s="8" t="s">
        <v>13</v>
      </c>
      <c r="P273" s="8" t="s">
        <v>99</v>
      </c>
      <c r="Q273" s="8" t="s">
        <v>100</v>
      </c>
      <c r="R273" s="8" t="s">
        <v>101</v>
      </c>
      <c r="S273" s="8" t="s">
        <v>2377</v>
      </c>
      <c r="T273" s="9">
        <v>950</v>
      </c>
      <c r="U273" s="9">
        <v>148580</v>
      </c>
      <c r="V273" s="8" t="s">
        <v>2377</v>
      </c>
      <c r="W273" s="8">
        <v>0</v>
      </c>
      <c r="X273" s="8">
        <v>2.5</v>
      </c>
      <c r="Y273" s="8">
        <v>3714.5</v>
      </c>
      <c r="Z273" s="8">
        <v>2.5</v>
      </c>
      <c r="AA273" s="8">
        <v>3714.5</v>
      </c>
      <c r="AB273" s="8">
        <v>0</v>
      </c>
      <c r="AC273" s="8">
        <v>0</v>
      </c>
      <c r="AD273" s="8">
        <v>0</v>
      </c>
      <c r="AE273" s="8">
        <v>7429</v>
      </c>
      <c r="AF273" s="8">
        <v>0</v>
      </c>
      <c r="AG273" s="8" t="s">
        <v>59</v>
      </c>
      <c r="AH273" s="8" t="s">
        <v>11</v>
      </c>
      <c r="AI273" s="8">
        <v>54026930</v>
      </c>
      <c r="AJ273" s="8" t="s">
        <v>60</v>
      </c>
      <c r="AK273" s="8">
        <v>1</v>
      </c>
      <c r="AL273" s="8">
        <v>950</v>
      </c>
      <c r="AM273" s="8" t="s">
        <v>1905</v>
      </c>
    </row>
    <row r="274" spans="7:39" ht="12.75" customHeight="1">
      <c r="G274" s="344"/>
      <c r="H274" s="345" t="s">
        <v>2858</v>
      </c>
      <c r="I274" s="8" t="s">
        <v>2321</v>
      </c>
      <c r="J274" s="8" t="s">
        <v>96</v>
      </c>
      <c r="K274" s="8" t="s">
        <v>2865</v>
      </c>
      <c r="L274" s="8" t="s">
        <v>97</v>
      </c>
      <c r="M274" s="8">
        <v>1377</v>
      </c>
      <c r="N274" s="7">
        <v>46211</v>
      </c>
      <c r="O274" s="8" t="s">
        <v>2</v>
      </c>
      <c r="P274" s="8" t="s">
        <v>112</v>
      </c>
      <c r="Q274" s="8" t="s">
        <v>68</v>
      </c>
      <c r="R274" s="8" t="s">
        <v>69</v>
      </c>
      <c r="S274" s="8" t="s">
        <v>2866</v>
      </c>
      <c r="T274" s="9">
        <v>50</v>
      </c>
      <c r="U274" s="9">
        <v>104.16</v>
      </c>
      <c r="V274" s="8" t="s">
        <v>2866</v>
      </c>
      <c r="W274" s="8">
        <v>5954</v>
      </c>
      <c r="X274" s="8">
        <v>9</v>
      </c>
      <c r="Y274" s="8">
        <v>9.3699999999999992</v>
      </c>
      <c r="Z274" s="8">
        <v>9</v>
      </c>
      <c r="AA274" s="8">
        <v>9.3699999999999992</v>
      </c>
      <c r="AB274" s="8">
        <v>0</v>
      </c>
      <c r="AC274" s="8">
        <v>0</v>
      </c>
      <c r="AD274" s="8">
        <v>0</v>
      </c>
      <c r="AE274" s="8">
        <v>18.739999999999998</v>
      </c>
      <c r="AF274" s="8">
        <v>0</v>
      </c>
      <c r="AG274" s="8" t="s">
        <v>2488</v>
      </c>
      <c r="AH274" s="8" t="s">
        <v>1</v>
      </c>
      <c r="AI274" s="8">
        <v>73181500</v>
      </c>
      <c r="AJ274" s="8" t="s">
        <v>60</v>
      </c>
      <c r="AK274" s="8">
        <v>1</v>
      </c>
      <c r="AL274" s="8">
        <v>0</v>
      </c>
      <c r="AM274" s="8" t="s">
        <v>1905</v>
      </c>
    </row>
    <row r="275" spans="7:39" ht="12.75" customHeight="1">
      <c r="G275" s="344"/>
      <c r="H275" s="345" t="s">
        <v>2858</v>
      </c>
      <c r="I275" s="8" t="s">
        <v>2321</v>
      </c>
      <c r="J275" s="8" t="s">
        <v>96</v>
      </c>
      <c r="K275" s="8" t="s">
        <v>2865</v>
      </c>
      <c r="L275" s="8" t="s">
        <v>97</v>
      </c>
      <c r="M275" s="8">
        <v>1377</v>
      </c>
      <c r="N275" s="7">
        <v>46211</v>
      </c>
      <c r="O275" s="8" t="s">
        <v>2</v>
      </c>
      <c r="P275" s="8" t="s">
        <v>112</v>
      </c>
      <c r="Q275" s="8" t="s">
        <v>68</v>
      </c>
      <c r="R275" s="8" t="s">
        <v>69</v>
      </c>
      <c r="S275" s="8" t="s">
        <v>2867</v>
      </c>
      <c r="T275" s="9">
        <v>5</v>
      </c>
      <c r="U275" s="9">
        <v>329.6</v>
      </c>
      <c r="V275" s="8" t="s">
        <v>2867</v>
      </c>
      <c r="W275" s="8">
        <v>0</v>
      </c>
      <c r="X275" s="8">
        <v>9</v>
      </c>
      <c r="Y275" s="8">
        <v>29.66</v>
      </c>
      <c r="Z275" s="8">
        <v>9</v>
      </c>
      <c r="AA275" s="8">
        <v>29.66</v>
      </c>
      <c r="AB275" s="8">
        <v>0</v>
      </c>
      <c r="AC275" s="8">
        <v>0</v>
      </c>
      <c r="AD275" s="8">
        <v>0</v>
      </c>
      <c r="AE275" s="8">
        <v>59.32</v>
      </c>
      <c r="AF275" s="8">
        <v>0</v>
      </c>
      <c r="AG275" s="8" t="s">
        <v>2488</v>
      </c>
      <c r="AH275" s="8" t="s">
        <v>1</v>
      </c>
      <c r="AI275" s="8">
        <v>82041120</v>
      </c>
      <c r="AJ275" s="8" t="s">
        <v>60</v>
      </c>
      <c r="AK275" s="8">
        <v>1</v>
      </c>
      <c r="AL275" s="8">
        <v>0</v>
      </c>
      <c r="AM275" s="8" t="s">
        <v>1905</v>
      </c>
    </row>
    <row r="276" spans="7:39" ht="12.75" customHeight="1">
      <c r="G276" s="344"/>
      <c r="H276" s="345" t="s">
        <v>2858</v>
      </c>
      <c r="I276" s="8" t="s">
        <v>2321</v>
      </c>
      <c r="J276" s="8" t="s">
        <v>96</v>
      </c>
      <c r="K276" s="8" t="s">
        <v>2865</v>
      </c>
      <c r="L276" s="8" t="s">
        <v>97</v>
      </c>
      <c r="M276" s="8">
        <v>1377</v>
      </c>
      <c r="N276" s="7">
        <v>46211</v>
      </c>
      <c r="O276" s="8" t="s">
        <v>2</v>
      </c>
      <c r="P276" s="8" t="s">
        <v>112</v>
      </c>
      <c r="Q276" s="8" t="s">
        <v>68</v>
      </c>
      <c r="R276" s="8" t="s">
        <v>69</v>
      </c>
      <c r="S276" s="8" t="s">
        <v>2868</v>
      </c>
      <c r="T276" s="9">
        <v>50</v>
      </c>
      <c r="U276" s="9">
        <v>155.61000000000001</v>
      </c>
      <c r="V276" s="8" t="s">
        <v>2868</v>
      </c>
      <c r="W276" s="8">
        <v>0</v>
      </c>
      <c r="X276" s="8">
        <v>9</v>
      </c>
      <c r="Y276" s="8">
        <v>14</v>
      </c>
      <c r="Z276" s="8">
        <v>9</v>
      </c>
      <c r="AA276" s="8">
        <v>14</v>
      </c>
      <c r="AB276" s="8">
        <v>0</v>
      </c>
      <c r="AC276" s="8">
        <v>0</v>
      </c>
      <c r="AD276" s="8">
        <v>0</v>
      </c>
      <c r="AE276" s="8">
        <v>28</v>
      </c>
      <c r="AF276" s="8">
        <v>0</v>
      </c>
      <c r="AG276" s="8" t="s">
        <v>2488</v>
      </c>
      <c r="AH276" s="8" t="s">
        <v>1</v>
      </c>
      <c r="AI276" s="8">
        <v>73181500</v>
      </c>
      <c r="AJ276" s="8" t="s">
        <v>60</v>
      </c>
      <c r="AK276" s="8">
        <v>1</v>
      </c>
      <c r="AL276" s="8">
        <v>0</v>
      </c>
      <c r="AM276" s="8" t="s">
        <v>1905</v>
      </c>
    </row>
    <row r="277" spans="7:39" ht="12.75" customHeight="1">
      <c r="G277" s="344"/>
      <c r="H277" s="345" t="s">
        <v>2858</v>
      </c>
      <c r="I277" s="8" t="s">
        <v>2321</v>
      </c>
      <c r="J277" s="8" t="s">
        <v>96</v>
      </c>
      <c r="K277" s="8" t="s">
        <v>2865</v>
      </c>
      <c r="L277" s="8" t="s">
        <v>97</v>
      </c>
      <c r="M277" s="8">
        <v>1377</v>
      </c>
      <c r="N277" s="7">
        <v>46211</v>
      </c>
      <c r="O277" s="8" t="s">
        <v>2</v>
      </c>
      <c r="P277" s="8" t="s">
        <v>112</v>
      </c>
      <c r="Q277" s="8" t="s">
        <v>68</v>
      </c>
      <c r="R277" s="8" t="s">
        <v>69</v>
      </c>
      <c r="S277" s="8" t="s">
        <v>2869</v>
      </c>
      <c r="T277" s="9">
        <v>50</v>
      </c>
      <c r="U277" s="9">
        <v>123.9</v>
      </c>
      <c r="V277" s="8" t="s">
        <v>2869</v>
      </c>
      <c r="W277" s="8">
        <v>0</v>
      </c>
      <c r="X277" s="8">
        <v>9</v>
      </c>
      <c r="Y277" s="8">
        <v>11.15</v>
      </c>
      <c r="Z277" s="8">
        <v>9</v>
      </c>
      <c r="AA277" s="8">
        <v>11.15</v>
      </c>
      <c r="AB277" s="8">
        <v>0</v>
      </c>
      <c r="AC277" s="8">
        <v>0</v>
      </c>
      <c r="AD277" s="8">
        <v>0</v>
      </c>
      <c r="AE277" s="8">
        <v>22.3</v>
      </c>
      <c r="AF277" s="8">
        <v>0</v>
      </c>
      <c r="AG277" s="8" t="s">
        <v>2488</v>
      </c>
      <c r="AH277" s="8" t="s">
        <v>7</v>
      </c>
      <c r="AI277" s="8">
        <v>73181500</v>
      </c>
      <c r="AJ277" s="8" t="s">
        <v>60</v>
      </c>
      <c r="AK277" s="8">
        <v>1</v>
      </c>
      <c r="AL277" s="8">
        <v>0</v>
      </c>
      <c r="AM277" s="8" t="s">
        <v>1905</v>
      </c>
    </row>
    <row r="278" spans="7:39" ht="12.75" customHeight="1">
      <c r="G278" s="344"/>
      <c r="H278" s="345" t="s">
        <v>2858</v>
      </c>
      <c r="I278" s="8" t="s">
        <v>2321</v>
      </c>
      <c r="J278" s="8" t="s">
        <v>96</v>
      </c>
      <c r="K278" s="8" t="s">
        <v>2865</v>
      </c>
      <c r="L278" s="8" t="s">
        <v>97</v>
      </c>
      <c r="M278" s="8">
        <v>1377</v>
      </c>
      <c r="N278" s="7">
        <v>46211</v>
      </c>
      <c r="O278" s="8" t="s">
        <v>2</v>
      </c>
      <c r="P278" s="8" t="s">
        <v>112</v>
      </c>
      <c r="Q278" s="8" t="s">
        <v>68</v>
      </c>
      <c r="R278" s="8" t="s">
        <v>69</v>
      </c>
      <c r="S278" s="8" t="s">
        <v>2870</v>
      </c>
      <c r="T278" s="9">
        <v>50</v>
      </c>
      <c r="U278" s="9">
        <v>162.33000000000001</v>
      </c>
      <c r="V278" s="8" t="s">
        <v>2870</v>
      </c>
      <c r="W278" s="8">
        <v>0</v>
      </c>
      <c r="X278" s="8">
        <v>9</v>
      </c>
      <c r="Y278" s="8">
        <v>14.61</v>
      </c>
      <c r="Z278" s="8">
        <v>9</v>
      </c>
      <c r="AA278" s="8">
        <v>14.61</v>
      </c>
      <c r="AB278" s="8">
        <v>0</v>
      </c>
      <c r="AC278" s="8">
        <v>0</v>
      </c>
      <c r="AD278" s="8">
        <v>0</v>
      </c>
      <c r="AE278" s="8">
        <v>29.22</v>
      </c>
      <c r="AF278" s="8">
        <v>0</v>
      </c>
      <c r="AG278" s="8" t="s">
        <v>2488</v>
      </c>
      <c r="AH278" s="8" t="s">
        <v>7</v>
      </c>
      <c r="AI278" s="8">
        <v>8452900</v>
      </c>
      <c r="AJ278" s="8" t="s">
        <v>60</v>
      </c>
      <c r="AK278" s="8">
        <v>1</v>
      </c>
      <c r="AL278" s="8">
        <v>0</v>
      </c>
      <c r="AM278" s="8" t="s">
        <v>1905</v>
      </c>
    </row>
    <row r="279" spans="7:39" ht="12.75" customHeight="1">
      <c r="G279" s="344"/>
      <c r="H279" s="345" t="s">
        <v>2858</v>
      </c>
      <c r="I279" s="8" t="s">
        <v>2321</v>
      </c>
      <c r="J279" s="8" t="s">
        <v>96</v>
      </c>
      <c r="K279" s="8" t="s">
        <v>2865</v>
      </c>
      <c r="L279" s="8" t="s">
        <v>97</v>
      </c>
      <c r="M279" s="8">
        <v>1377</v>
      </c>
      <c r="N279" s="7">
        <v>46211</v>
      </c>
      <c r="O279" s="8" t="s">
        <v>2</v>
      </c>
      <c r="P279" s="8" t="s">
        <v>112</v>
      </c>
      <c r="Q279" s="8" t="s">
        <v>68</v>
      </c>
      <c r="R279" s="8" t="s">
        <v>69</v>
      </c>
      <c r="S279" s="8" t="s">
        <v>2871</v>
      </c>
      <c r="T279" s="9">
        <v>50</v>
      </c>
      <c r="U279" s="9">
        <v>97.02</v>
      </c>
      <c r="V279" s="8" t="s">
        <v>2871</v>
      </c>
      <c r="W279" s="8">
        <v>0</v>
      </c>
      <c r="X279" s="8">
        <v>9</v>
      </c>
      <c r="Y279" s="8">
        <v>8.73</v>
      </c>
      <c r="Z279" s="8">
        <v>9</v>
      </c>
      <c r="AA279" s="8">
        <v>8.73</v>
      </c>
      <c r="AB279" s="8">
        <v>0</v>
      </c>
      <c r="AC279" s="8">
        <v>0</v>
      </c>
      <c r="AD279" s="8">
        <v>0</v>
      </c>
      <c r="AE279" s="8">
        <v>17.46</v>
      </c>
      <c r="AF279" s="8">
        <v>0</v>
      </c>
      <c r="AG279" s="8" t="s">
        <v>2488</v>
      </c>
      <c r="AH279" s="8" t="s">
        <v>7</v>
      </c>
      <c r="AI279" s="8">
        <v>73181500</v>
      </c>
      <c r="AJ279" s="8" t="s">
        <v>60</v>
      </c>
      <c r="AK279" s="8">
        <v>1</v>
      </c>
      <c r="AL279" s="8">
        <v>0</v>
      </c>
      <c r="AM279" s="8" t="s">
        <v>1905</v>
      </c>
    </row>
    <row r="280" spans="7:39" ht="12.75" customHeight="1">
      <c r="G280" s="344"/>
      <c r="H280" s="345" t="s">
        <v>2858</v>
      </c>
      <c r="I280" s="8" t="s">
        <v>2321</v>
      </c>
      <c r="J280" s="8" t="s">
        <v>96</v>
      </c>
      <c r="K280" s="8" t="s">
        <v>2865</v>
      </c>
      <c r="L280" s="8" t="s">
        <v>97</v>
      </c>
      <c r="M280" s="8">
        <v>1377</v>
      </c>
      <c r="N280" s="7">
        <v>46211</v>
      </c>
      <c r="O280" s="8" t="s">
        <v>2</v>
      </c>
      <c r="P280" s="8" t="s">
        <v>112</v>
      </c>
      <c r="Q280" s="8" t="s">
        <v>68</v>
      </c>
      <c r="R280" s="8" t="s">
        <v>69</v>
      </c>
      <c r="S280" s="8" t="s">
        <v>2872</v>
      </c>
      <c r="T280" s="9">
        <v>50</v>
      </c>
      <c r="U280" s="9">
        <v>163.80000000000001</v>
      </c>
      <c r="V280" s="8" t="s">
        <v>2872</v>
      </c>
      <c r="W280" s="8">
        <v>0</v>
      </c>
      <c r="X280" s="8">
        <v>9</v>
      </c>
      <c r="Y280" s="8">
        <v>14.74</v>
      </c>
      <c r="Z280" s="8">
        <v>9</v>
      </c>
      <c r="AA280" s="8">
        <v>14.74</v>
      </c>
      <c r="AB280" s="8">
        <v>0</v>
      </c>
      <c r="AC280" s="8">
        <v>0</v>
      </c>
      <c r="AD280" s="8">
        <v>0</v>
      </c>
      <c r="AE280" s="8">
        <v>29.48</v>
      </c>
      <c r="AF280" s="8">
        <v>0</v>
      </c>
      <c r="AG280" s="8" t="s">
        <v>2488</v>
      </c>
      <c r="AH280" s="8" t="s">
        <v>7</v>
      </c>
      <c r="AI280" s="8">
        <v>73181500</v>
      </c>
      <c r="AJ280" s="8" t="s">
        <v>60</v>
      </c>
      <c r="AK280" s="8">
        <v>1</v>
      </c>
      <c r="AL280" s="8">
        <v>0</v>
      </c>
      <c r="AM280" s="8" t="s">
        <v>1905</v>
      </c>
    </row>
    <row r="281" spans="7:39" ht="12.75" customHeight="1">
      <c r="G281" s="344"/>
      <c r="H281" s="345" t="s">
        <v>2858</v>
      </c>
      <c r="I281" s="8" t="s">
        <v>2321</v>
      </c>
      <c r="J281" s="8" t="s">
        <v>96</v>
      </c>
      <c r="K281" s="8" t="s">
        <v>2865</v>
      </c>
      <c r="L281" s="8" t="s">
        <v>97</v>
      </c>
      <c r="M281" s="8">
        <v>1377</v>
      </c>
      <c r="N281" s="7">
        <v>46211</v>
      </c>
      <c r="O281" s="8" t="s">
        <v>2</v>
      </c>
      <c r="P281" s="8" t="s">
        <v>112</v>
      </c>
      <c r="Q281" s="8" t="s">
        <v>68</v>
      </c>
      <c r="R281" s="8" t="s">
        <v>69</v>
      </c>
      <c r="S281" s="8" t="s">
        <v>2873</v>
      </c>
      <c r="T281" s="9">
        <v>50</v>
      </c>
      <c r="U281" s="9">
        <v>202.86</v>
      </c>
      <c r="V281" s="8" t="s">
        <v>2873</v>
      </c>
      <c r="W281" s="8">
        <v>0</v>
      </c>
      <c r="X281" s="8">
        <v>9</v>
      </c>
      <c r="Y281" s="8">
        <v>18.260000000000002</v>
      </c>
      <c r="Z281" s="8">
        <v>9</v>
      </c>
      <c r="AA281" s="8">
        <v>18.260000000000002</v>
      </c>
      <c r="AB281" s="8">
        <v>0</v>
      </c>
      <c r="AC281" s="8">
        <v>0</v>
      </c>
      <c r="AD281" s="8">
        <v>0</v>
      </c>
      <c r="AE281" s="8">
        <v>36.520000000000003</v>
      </c>
      <c r="AF281" s="8">
        <v>0</v>
      </c>
      <c r="AG281" s="8" t="s">
        <v>2488</v>
      </c>
      <c r="AH281" s="8" t="s">
        <v>7</v>
      </c>
      <c r="AI281" s="8">
        <v>73181500</v>
      </c>
      <c r="AJ281" s="8" t="s">
        <v>60</v>
      </c>
      <c r="AK281" s="8">
        <v>1</v>
      </c>
      <c r="AL281" s="8">
        <v>0</v>
      </c>
      <c r="AM281" s="8" t="s">
        <v>1905</v>
      </c>
    </row>
    <row r="282" spans="7:39" ht="12.75" customHeight="1">
      <c r="G282" s="344"/>
      <c r="H282" s="345" t="s">
        <v>2858</v>
      </c>
      <c r="I282" s="8" t="s">
        <v>2321</v>
      </c>
      <c r="J282" s="8" t="s">
        <v>96</v>
      </c>
      <c r="K282" s="8" t="s">
        <v>2865</v>
      </c>
      <c r="L282" s="8" t="s">
        <v>97</v>
      </c>
      <c r="M282" s="8">
        <v>1377</v>
      </c>
      <c r="N282" s="7">
        <v>46211</v>
      </c>
      <c r="O282" s="8" t="s">
        <v>2</v>
      </c>
      <c r="P282" s="8" t="s">
        <v>112</v>
      </c>
      <c r="Q282" s="8" t="s">
        <v>68</v>
      </c>
      <c r="R282" s="8" t="s">
        <v>69</v>
      </c>
      <c r="S282" s="8" t="s">
        <v>2874</v>
      </c>
      <c r="T282" s="9">
        <v>50</v>
      </c>
      <c r="U282" s="9">
        <v>111.51</v>
      </c>
      <c r="V282" s="8" t="s">
        <v>2874</v>
      </c>
      <c r="W282" s="8">
        <v>0</v>
      </c>
      <c r="X282" s="8">
        <v>9</v>
      </c>
      <c r="Y282" s="8">
        <v>10.039999999999999</v>
      </c>
      <c r="Z282" s="8">
        <v>9</v>
      </c>
      <c r="AA282" s="8">
        <v>10.039999999999999</v>
      </c>
      <c r="AB282" s="8">
        <v>0</v>
      </c>
      <c r="AC282" s="8">
        <v>0</v>
      </c>
      <c r="AD282" s="8">
        <v>0</v>
      </c>
      <c r="AE282" s="8">
        <v>20.079999999999998</v>
      </c>
      <c r="AF282" s="8">
        <v>0</v>
      </c>
      <c r="AG282" s="8" t="s">
        <v>2488</v>
      </c>
      <c r="AH282" s="8" t="s">
        <v>1</v>
      </c>
      <c r="AI282" s="8">
        <v>73181500</v>
      </c>
      <c r="AJ282" s="8" t="s">
        <v>60</v>
      </c>
      <c r="AK282" s="8">
        <v>1</v>
      </c>
      <c r="AL282" s="8">
        <v>0</v>
      </c>
      <c r="AM282" s="8" t="s">
        <v>1905</v>
      </c>
    </row>
    <row r="283" spans="7:39" ht="12.75" customHeight="1">
      <c r="G283" s="344"/>
      <c r="H283" s="345" t="s">
        <v>2858</v>
      </c>
      <c r="I283" s="8" t="s">
        <v>2321</v>
      </c>
      <c r="J283" s="8" t="s">
        <v>96</v>
      </c>
      <c r="K283" s="8" t="s">
        <v>2865</v>
      </c>
      <c r="L283" s="8" t="s">
        <v>97</v>
      </c>
      <c r="M283" s="8">
        <v>1377</v>
      </c>
      <c r="N283" s="7">
        <v>46211</v>
      </c>
      <c r="O283" s="8" t="s">
        <v>2</v>
      </c>
      <c r="P283" s="8" t="s">
        <v>112</v>
      </c>
      <c r="Q283" s="8" t="s">
        <v>68</v>
      </c>
      <c r="R283" s="8" t="s">
        <v>69</v>
      </c>
      <c r="S283" s="8" t="s">
        <v>2875</v>
      </c>
      <c r="T283" s="9">
        <v>50</v>
      </c>
      <c r="U283" s="9">
        <v>111.51</v>
      </c>
      <c r="V283" s="8" t="s">
        <v>2875</v>
      </c>
      <c r="W283" s="8">
        <v>0</v>
      </c>
      <c r="X283" s="8">
        <v>9</v>
      </c>
      <c r="Y283" s="8">
        <v>10.039999999999999</v>
      </c>
      <c r="Z283" s="8">
        <v>9</v>
      </c>
      <c r="AA283" s="8">
        <v>10.039999999999999</v>
      </c>
      <c r="AB283" s="8">
        <v>0</v>
      </c>
      <c r="AC283" s="8">
        <v>0</v>
      </c>
      <c r="AD283" s="8">
        <v>0</v>
      </c>
      <c r="AE283" s="8">
        <v>20.079999999999998</v>
      </c>
      <c r="AF283" s="8">
        <v>0</v>
      </c>
      <c r="AG283" s="8" t="s">
        <v>2488</v>
      </c>
      <c r="AH283" s="8" t="s">
        <v>1</v>
      </c>
      <c r="AI283" s="8">
        <v>73181500</v>
      </c>
      <c r="AJ283" s="8" t="s">
        <v>60</v>
      </c>
      <c r="AK283" s="8">
        <v>1</v>
      </c>
      <c r="AL283" s="8">
        <v>0</v>
      </c>
      <c r="AM283" s="8" t="s">
        <v>1905</v>
      </c>
    </row>
    <row r="284" spans="7:39" ht="12.75" customHeight="1">
      <c r="G284" s="344"/>
      <c r="H284" s="345" t="s">
        <v>2858</v>
      </c>
      <c r="I284" s="8" t="s">
        <v>2321</v>
      </c>
      <c r="J284" s="8" t="s">
        <v>96</v>
      </c>
      <c r="K284" s="8" t="s">
        <v>2865</v>
      </c>
      <c r="L284" s="8" t="s">
        <v>97</v>
      </c>
      <c r="M284" s="8">
        <v>1377</v>
      </c>
      <c r="N284" s="7">
        <v>46211</v>
      </c>
      <c r="O284" s="8" t="s">
        <v>2</v>
      </c>
      <c r="P284" s="8" t="s">
        <v>112</v>
      </c>
      <c r="Q284" s="8" t="s">
        <v>68</v>
      </c>
      <c r="R284" s="8" t="s">
        <v>69</v>
      </c>
      <c r="S284" s="344" t="s">
        <v>2876</v>
      </c>
      <c r="T284" s="9">
        <v>50</v>
      </c>
      <c r="U284" s="9">
        <v>124.74</v>
      </c>
      <c r="V284" s="8" t="s">
        <v>2876</v>
      </c>
      <c r="W284" s="8">
        <v>0</v>
      </c>
      <c r="X284" s="8">
        <v>9</v>
      </c>
      <c r="Y284" s="8">
        <v>11.23</v>
      </c>
      <c r="Z284" s="8">
        <v>9</v>
      </c>
      <c r="AA284" s="8">
        <v>11.23</v>
      </c>
      <c r="AB284" s="8">
        <v>0</v>
      </c>
      <c r="AC284" s="8">
        <v>0</v>
      </c>
      <c r="AD284" s="8">
        <v>0</v>
      </c>
      <c r="AE284" s="8">
        <v>22.46</v>
      </c>
      <c r="AF284" s="8">
        <v>0</v>
      </c>
      <c r="AG284" s="8" t="s">
        <v>2488</v>
      </c>
      <c r="AH284" s="8" t="s">
        <v>1</v>
      </c>
      <c r="AI284" s="8">
        <v>73181500</v>
      </c>
      <c r="AJ284" s="8" t="s">
        <v>60</v>
      </c>
      <c r="AK284" s="8">
        <v>1</v>
      </c>
      <c r="AL284" s="8">
        <v>0</v>
      </c>
      <c r="AM284" s="8" t="s">
        <v>1905</v>
      </c>
    </row>
    <row r="285" spans="7:39" ht="12.75" customHeight="1">
      <c r="G285" s="344"/>
      <c r="H285" s="345" t="s">
        <v>2858</v>
      </c>
      <c r="I285" s="8" t="s">
        <v>2321</v>
      </c>
      <c r="J285" s="8" t="s">
        <v>96</v>
      </c>
      <c r="K285" s="8" t="s">
        <v>2865</v>
      </c>
      <c r="L285" s="8" t="s">
        <v>97</v>
      </c>
      <c r="M285" s="8">
        <v>1377</v>
      </c>
      <c r="N285" s="7">
        <v>46211</v>
      </c>
      <c r="O285" s="8" t="s">
        <v>2</v>
      </c>
      <c r="P285" s="8" t="s">
        <v>112</v>
      </c>
      <c r="Q285" s="8" t="s">
        <v>68</v>
      </c>
      <c r="R285" s="8" t="s">
        <v>69</v>
      </c>
      <c r="S285" s="8" t="s">
        <v>2877</v>
      </c>
      <c r="T285" s="9">
        <v>50</v>
      </c>
      <c r="U285" s="9">
        <v>135.44999999999999</v>
      </c>
      <c r="V285" s="8" t="s">
        <v>2877</v>
      </c>
      <c r="W285" s="8">
        <v>0</v>
      </c>
      <c r="X285" s="8">
        <v>9</v>
      </c>
      <c r="Y285" s="8">
        <v>12.19</v>
      </c>
      <c r="Z285" s="8">
        <v>9</v>
      </c>
      <c r="AA285" s="8">
        <v>12.19</v>
      </c>
      <c r="AB285" s="8">
        <v>0</v>
      </c>
      <c r="AC285" s="8">
        <v>0</v>
      </c>
      <c r="AD285" s="8">
        <v>0</v>
      </c>
      <c r="AE285" s="8">
        <v>24.38</v>
      </c>
      <c r="AF285" s="8">
        <v>0</v>
      </c>
      <c r="AG285" s="8" t="s">
        <v>2488</v>
      </c>
      <c r="AH285" s="8" t="s">
        <v>1</v>
      </c>
      <c r="AI285" s="8">
        <v>84821011</v>
      </c>
      <c r="AJ285" s="8" t="s">
        <v>60</v>
      </c>
      <c r="AK285" s="8">
        <v>1</v>
      </c>
      <c r="AL285" s="8">
        <v>0</v>
      </c>
      <c r="AM285" s="8" t="s">
        <v>1905</v>
      </c>
    </row>
    <row r="286" spans="7:39" ht="12.75" customHeight="1">
      <c r="G286" s="344"/>
      <c r="H286" s="345" t="s">
        <v>2858</v>
      </c>
      <c r="I286" s="8" t="s">
        <v>2321</v>
      </c>
      <c r="J286" s="8" t="s">
        <v>96</v>
      </c>
      <c r="K286" s="8" t="s">
        <v>2865</v>
      </c>
      <c r="L286" s="8" t="s">
        <v>97</v>
      </c>
      <c r="M286" s="8">
        <v>1377</v>
      </c>
      <c r="N286" s="7">
        <v>46211</v>
      </c>
      <c r="O286" s="8" t="s">
        <v>2</v>
      </c>
      <c r="P286" s="8" t="s">
        <v>112</v>
      </c>
      <c r="Q286" s="8" t="s">
        <v>68</v>
      </c>
      <c r="R286" s="8" t="s">
        <v>69</v>
      </c>
      <c r="S286" s="8" t="s">
        <v>2878</v>
      </c>
      <c r="T286" s="9">
        <v>50</v>
      </c>
      <c r="U286" s="9">
        <v>116.34</v>
      </c>
      <c r="V286" s="8" t="s">
        <v>2878</v>
      </c>
      <c r="W286" s="8">
        <v>0</v>
      </c>
      <c r="X286" s="8">
        <v>9</v>
      </c>
      <c r="Y286" s="8">
        <v>10.47</v>
      </c>
      <c r="Z286" s="8">
        <v>9</v>
      </c>
      <c r="AA286" s="8">
        <v>10.47</v>
      </c>
      <c r="AB286" s="8">
        <v>0</v>
      </c>
      <c r="AC286" s="8">
        <v>0</v>
      </c>
      <c r="AD286" s="8">
        <v>0</v>
      </c>
      <c r="AE286" s="8">
        <v>20.94</v>
      </c>
      <c r="AF286" s="8">
        <v>0</v>
      </c>
      <c r="AG286" s="8" t="s">
        <v>2488</v>
      </c>
      <c r="AH286" s="8" t="s">
        <v>1</v>
      </c>
      <c r="AI286" s="8">
        <v>73181500</v>
      </c>
      <c r="AJ286" s="8" t="s">
        <v>60</v>
      </c>
      <c r="AK286" s="8">
        <v>1</v>
      </c>
      <c r="AL286" s="8">
        <v>0</v>
      </c>
      <c r="AM286" s="8" t="s">
        <v>1905</v>
      </c>
    </row>
    <row r="287" spans="7:39" ht="12.75" customHeight="1">
      <c r="G287" s="344"/>
      <c r="H287" s="345" t="s">
        <v>2858</v>
      </c>
      <c r="I287" s="8" t="s">
        <v>2321</v>
      </c>
      <c r="J287" s="8" t="s">
        <v>96</v>
      </c>
      <c r="K287" s="8" t="s">
        <v>2865</v>
      </c>
      <c r="L287" s="8" t="s">
        <v>97</v>
      </c>
      <c r="M287" s="8">
        <v>1377</v>
      </c>
      <c r="N287" s="7">
        <v>46211</v>
      </c>
      <c r="O287" s="8" t="s">
        <v>2</v>
      </c>
      <c r="P287" s="8" t="s">
        <v>112</v>
      </c>
      <c r="Q287" s="8" t="s">
        <v>68</v>
      </c>
      <c r="R287" s="8" t="s">
        <v>69</v>
      </c>
      <c r="S287" s="8" t="s">
        <v>2879</v>
      </c>
      <c r="T287" s="9">
        <v>50</v>
      </c>
      <c r="U287" s="9">
        <v>145.74</v>
      </c>
      <c r="V287" s="8" t="s">
        <v>2879</v>
      </c>
      <c r="W287" s="8">
        <v>0</v>
      </c>
      <c r="X287" s="8">
        <v>9</v>
      </c>
      <c r="Y287" s="8">
        <v>13.12</v>
      </c>
      <c r="Z287" s="8">
        <v>9</v>
      </c>
      <c r="AA287" s="8">
        <v>13.12</v>
      </c>
      <c r="AB287" s="8">
        <v>0</v>
      </c>
      <c r="AC287" s="8">
        <v>0</v>
      </c>
      <c r="AD287" s="8">
        <v>0</v>
      </c>
      <c r="AE287" s="8">
        <v>26.24</v>
      </c>
      <c r="AF287" s="8">
        <v>0</v>
      </c>
      <c r="AG287" s="8" t="s">
        <v>2488</v>
      </c>
      <c r="AH287" s="8" t="s">
        <v>7</v>
      </c>
      <c r="AI287" s="8">
        <v>8452900</v>
      </c>
      <c r="AJ287" s="8" t="s">
        <v>60</v>
      </c>
      <c r="AK287" s="8">
        <v>1</v>
      </c>
      <c r="AL287" s="8">
        <v>0</v>
      </c>
      <c r="AM287" s="8" t="s">
        <v>1905</v>
      </c>
    </row>
    <row r="288" spans="7:39" ht="12.75" customHeight="1">
      <c r="G288" s="344"/>
      <c r="H288" s="345" t="s">
        <v>2858</v>
      </c>
      <c r="I288" s="8" t="s">
        <v>2321</v>
      </c>
      <c r="J288" s="8" t="s">
        <v>96</v>
      </c>
      <c r="K288" s="8" t="s">
        <v>2865</v>
      </c>
      <c r="L288" s="8" t="s">
        <v>97</v>
      </c>
      <c r="M288" s="8">
        <v>1377</v>
      </c>
      <c r="N288" s="7">
        <v>46211</v>
      </c>
      <c r="O288" s="8" t="s">
        <v>2</v>
      </c>
      <c r="P288" s="8" t="s">
        <v>112</v>
      </c>
      <c r="Q288" s="8" t="s">
        <v>68</v>
      </c>
      <c r="R288" s="8" t="s">
        <v>69</v>
      </c>
      <c r="S288" s="8" t="s">
        <v>2880</v>
      </c>
      <c r="T288" s="9">
        <v>50</v>
      </c>
      <c r="U288" s="9">
        <v>185.01</v>
      </c>
      <c r="V288" s="8" t="s">
        <v>2880</v>
      </c>
      <c r="W288" s="8">
        <v>0</v>
      </c>
      <c r="X288" s="8">
        <v>9</v>
      </c>
      <c r="Y288" s="8">
        <v>16.649999999999999</v>
      </c>
      <c r="Z288" s="8">
        <v>9</v>
      </c>
      <c r="AA288" s="8">
        <v>16.649999999999999</v>
      </c>
      <c r="AB288" s="8">
        <v>0</v>
      </c>
      <c r="AC288" s="8">
        <v>0</v>
      </c>
      <c r="AD288" s="8">
        <v>0</v>
      </c>
      <c r="AE288" s="8">
        <v>33.299999999999997</v>
      </c>
      <c r="AF288" s="8">
        <v>0</v>
      </c>
      <c r="AG288" s="8" t="s">
        <v>2488</v>
      </c>
      <c r="AH288" s="8" t="s">
        <v>1</v>
      </c>
      <c r="AI288" s="8">
        <v>73181500</v>
      </c>
      <c r="AJ288" s="8" t="s">
        <v>60</v>
      </c>
      <c r="AK288" s="8">
        <v>1</v>
      </c>
      <c r="AL288" s="8">
        <v>0</v>
      </c>
      <c r="AM288" s="8" t="s">
        <v>1905</v>
      </c>
    </row>
    <row r="289" spans="7:39" ht="12.75" customHeight="1">
      <c r="G289" s="344"/>
      <c r="H289" s="345" t="s">
        <v>2858</v>
      </c>
      <c r="I289" s="8" t="s">
        <v>2321</v>
      </c>
      <c r="J289" s="8" t="s">
        <v>96</v>
      </c>
      <c r="K289" s="8" t="s">
        <v>2865</v>
      </c>
      <c r="L289" s="8" t="s">
        <v>97</v>
      </c>
      <c r="M289" s="8">
        <v>1377</v>
      </c>
      <c r="N289" s="7">
        <v>46211</v>
      </c>
      <c r="O289" s="8" t="s">
        <v>2</v>
      </c>
      <c r="P289" s="8" t="s">
        <v>112</v>
      </c>
      <c r="Q289" s="8" t="s">
        <v>68</v>
      </c>
      <c r="R289" s="8" t="s">
        <v>69</v>
      </c>
      <c r="S289" s="8" t="s">
        <v>2881</v>
      </c>
      <c r="T289" s="9">
        <v>50</v>
      </c>
      <c r="U289" s="9">
        <v>220.29</v>
      </c>
      <c r="V289" s="8" t="s">
        <v>2881</v>
      </c>
      <c r="W289" s="8">
        <v>0</v>
      </c>
      <c r="X289" s="8">
        <v>9</v>
      </c>
      <c r="Y289" s="8">
        <v>19.829999999999998</v>
      </c>
      <c r="Z289" s="8">
        <v>9</v>
      </c>
      <c r="AA289" s="8">
        <v>19.829999999999998</v>
      </c>
      <c r="AB289" s="8">
        <v>0</v>
      </c>
      <c r="AC289" s="8">
        <v>0</v>
      </c>
      <c r="AD289" s="8">
        <v>0</v>
      </c>
      <c r="AE289" s="8">
        <v>39.659999999999997</v>
      </c>
      <c r="AF289" s="8">
        <v>0</v>
      </c>
      <c r="AG289" s="8" t="s">
        <v>2488</v>
      </c>
      <c r="AH289" s="8" t="s">
        <v>1</v>
      </c>
      <c r="AI289" s="8">
        <v>73181500</v>
      </c>
      <c r="AJ289" s="8" t="s">
        <v>60</v>
      </c>
      <c r="AK289" s="8">
        <v>1</v>
      </c>
      <c r="AL289" s="8">
        <v>0</v>
      </c>
      <c r="AM289" s="8" t="s">
        <v>1905</v>
      </c>
    </row>
    <row r="290" spans="7:39" ht="12.75" customHeight="1">
      <c r="G290" s="344"/>
      <c r="H290" s="345" t="s">
        <v>2858</v>
      </c>
      <c r="I290" s="8" t="s">
        <v>2321</v>
      </c>
      <c r="J290" s="8" t="s">
        <v>96</v>
      </c>
      <c r="K290" s="8" t="s">
        <v>2865</v>
      </c>
      <c r="L290" s="8" t="s">
        <v>97</v>
      </c>
      <c r="M290" s="8">
        <v>1377</v>
      </c>
      <c r="N290" s="7">
        <v>46211</v>
      </c>
      <c r="O290" s="8" t="s">
        <v>2</v>
      </c>
      <c r="P290" s="8" t="s">
        <v>112</v>
      </c>
      <c r="Q290" s="8" t="s">
        <v>68</v>
      </c>
      <c r="R290" s="8" t="s">
        <v>69</v>
      </c>
      <c r="S290" s="8" t="s">
        <v>2882</v>
      </c>
      <c r="T290" s="9">
        <v>50</v>
      </c>
      <c r="U290" s="9">
        <v>220.29</v>
      </c>
      <c r="V290" s="8" t="s">
        <v>2882</v>
      </c>
      <c r="W290" s="8">
        <v>0</v>
      </c>
      <c r="X290" s="8">
        <v>9</v>
      </c>
      <c r="Y290" s="8">
        <v>19.829999999999998</v>
      </c>
      <c r="Z290" s="8">
        <v>9</v>
      </c>
      <c r="AA290" s="8">
        <v>19.829999999999998</v>
      </c>
      <c r="AB290" s="8">
        <v>0</v>
      </c>
      <c r="AC290" s="8">
        <v>0</v>
      </c>
      <c r="AD290" s="8">
        <v>0</v>
      </c>
      <c r="AE290" s="8">
        <v>39.659999999999997</v>
      </c>
      <c r="AF290" s="8">
        <v>0</v>
      </c>
      <c r="AG290" s="8" t="s">
        <v>2488</v>
      </c>
      <c r="AH290" s="8" t="s">
        <v>7</v>
      </c>
      <c r="AI290" s="8">
        <v>73181500</v>
      </c>
      <c r="AJ290" s="8" t="s">
        <v>60</v>
      </c>
      <c r="AK290" s="8">
        <v>1</v>
      </c>
      <c r="AL290" s="8">
        <v>0</v>
      </c>
      <c r="AM290" s="8" t="s">
        <v>1905</v>
      </c>
    </row>
    <row r="291" spans="7:39" ht="12.75" customHeight="1">
      <c r="G291" s="344"/>
      <c r="H291" s="345" t="s">
        <v>2858</v>
      </c>
      <c r="I291" s="8" t="s">
        <v>2321</v>
      </c>
      <c r="J291" s="8" t="s">
        <v>96</v>
      </c>
      <c r="K291" s="8" t="s">
        <v>2865</v>
      </c>
      <c r="L291" s="8" t="s">
        <v>97</v>
      </c>
      <c r="M291" s="8">
        <v>1377</v>
      </c>
      <c r="N291" s="7">
        <v>46211</v>
      </c>
      <c r="O291" s="8" t="s">
        <v>2</v>
      </c>
      <c r="P291" s="8" t="s">
        <v>112</v>
      </c>
      <c r="Q291" s="8" t="s">
        <v>68</v>
      </c>
      <c r="R291" s="8" t="s">
        <v>69</v>
      </c>
      <c r="S291" s="8" t="s">
        <v>2883</v>
      </c>
      <c r="T291" s="9">
        <v>3</v>
      </c>
      <c r="U291" s="9">
        <v>581.76</v>
      </c>
      <c r="V291" s="8" t="s">
        <v>2883</v>
      </c>
      <c r="W291" s="8">
        <v>0</v>
      </c>
      <c r="X291" s="8">
        <v>9</v>
      </c>
      <c r="Y291" s="8">
        <v>52.36</v>
      </c>
      <c r="Z291" s="8">
        <v>9</v>
      </c>
      <c r="AA291" s="8">
        <v>52.36</v>
      </c>
      <c r="AB291" s="8">
        <v>0</v>
      </c>
      <c r="AC291" s="8">
        <v>0</v>
      </c>
      <c r="AD291" s="8">
        <v>0</v>
      </c>
      <c r="AE291" s="8">
        <v>104.72</v>
      </c>
      <c r="AF291" s="8">
        <v>0</v>
      </c>
      <c r="AG291" s="8" t="s">
        <v>2488</v>
      </c>
      <c r="AH291" s="8" t="s">
        <v>1</v>
      </c>
      <c r="AI291" s="8">
        <v>82032000</v>
      </c>
      <c r="AJ291" s="8" t="s">
        <v>60</v>
      </c>
      <c r="AK291" s="8">
        <v>1</v>
      </c>
      <c r="AL291" s="8">
        <v>0</v>
      </c>
      <c r="AM291" s="8" t="s">
        <v>1905</v>
      </c>
    </row>
    <row r="292" spans="7:39" ht="12.75" customHeight="1">
      <c r="G292" s="344"/>
      <c r="H292" s="345" t="s">
        <v>2858</v>
      </c>
      <c r="I292" s="8" t="s">
        <v>2321</v>
      </c>
      <c r="J292" s="8" t="s">
        <v>96</v>
      </c>
      <c r="K292" s="8" t="s">
        <v>2865</v>
      </c>
      <c r="L292" s="8" t="s">
        <v>97</v>
      </c>
      <c r="M292" s="8">
        <v>1377</v>
      </c>
      <c r="N292" s="7">
        <v>46211</v>
      </c>
      <c r="O292" s="8" t="s">
        <v>2</v>
      </c>
      <c r="P292" s="8" t="s">
        <v>112</v>
      </c>
      <c r="Q292" s="8" t="s">
        <v>68</v>
      </c>
      <c r="R292" s="8" t="s">
        <v>69</v>
      </c>
      <c r="S292" s="8" t="s">
        <v>2884</v>
      </c>
      <c r="T292" s="9">
        <v>5</v>
      </c>
      <c r="U292" s="9">
        <v>128</v>
      </c>
      <c r="V292" s="8" t="s">
        <v>2884</v>
      </c>
      <c r="W292" s="8">
        <v>0</v>
      </c>
      <c r="X292" s="8">
        <v>9</v>
      </c>
      <c r="Y292" s="8">
        <v>11.52</v>
      </c>
      <c r="Z292" s="8">
        <v>9</v>
      </c>
      <c r="AA292" s="8">
        <v>11.52</v>
      </c>
      <c r="AB292" s="8">
        <v>0</v>
      </c>
      <c r="AC292" s="8">
        <v>0</v>
      </c>
      <c r="AD292" s="8">
        <v>0</v>
      </c>
      <c r="AE292" s="8">
        <v>23.04</v>
      </c>
      <c r="AF292" s="8">
        <v>0</v>
      </c>
      <c r="AG292" s="8" t="s">
        <v>2488</v>
      </c>
      <c r="AH292" s="8" t="s">
        <v>1</v>
      </c>
      <c r="AI292" s="8">
        <v>82041110</v>
      </c>
      <c r="AJ292" s="8" t="s">
        <v>60</v>
      </c>
      <c r="AK292" s="8">
        <v>1</v>
      </c>
      <c r="AL292" s="8">
        <v>0</v>
      </c>
      <c r="AM292" s="8" t="s">
        <v>1905</v>
      </c>
    </row>
    <row r="293" spans="7:39" ht="12.75" customHeight="1">
      <c r="G293" s="344"/>
      <c r="H293" s="345" t="s">
        <v>2858</v>
      </c>
      <c r="I293" s="8" t="s">
        <v>2321</v>
      </c>
      <c r="J293" s="8" t="s">
        <v>96</v>
      </c>
      <c r="K293" s="8" t="s">
        <v>2865</v>
      </c>
      <c r="L293" s="8" t="s">
        <v>97</v>
      </c>
      <c r="M293" s="8">
        <v>1377</v>
      </c>
      <c r="N293" s="7">
        <v>46211</v>
      </c>
      <c r="O293" s="8" t="s">
        <v>2</v>
      </c>
      <c r="P293" s="8" t="s">
        <v>112</v>
      </c>
      <c r="Q293" s="8" t="s">
        <v>68</v>
      </c>
      <c r="R293" s="8" t="s">
        <v>69</v>
      </c>
      <c r="S293" s="8" t="s">
        <v>2885</v>
      </c>
      <c r="T293" s="9">
        <v>10</v>
      </c>
      <c r="U293" s="9">
        <v>102.4</v>
      </c>
      <c r="V293" s="8" t="s">
        <v>2885</v>
      </c>
      <c r="W293" s="8">
        <v>0</v>
      </c>
      <c r="X293" s="8">
        <v>9</v>
      </c>
      <c r="Y293" s="8">
        <v>9.2200000000000006</v>
      </c>
      <c r="Z293" s="8">
        <v>9</v>
      </c>
      <c r="AA293" s="8">
        <v>9.2200000000000006</v>
      </c>
      <c r="AB293" s="8">
        <v>0</v>
      </c>
      <c r="AC293" s="8">
        <v>0</v>
      </c>
      <c r="AD293" s="8">
        <v>0</v>
      </c>
      <c r="AE293" s="8">
        <v>18.440000000000001</v>
      </c>
      <c r="AF293" s="8">
        <v>0</v>
      </c>
      <c r="AG293" s="8" t="s">
        <v>2488</v>
      </c>
      <c r="AH293" s="8" t="s">
        <v>7</v>
      </c>
      <c r="AI293" s="8">
        <v>82041120</v>
      </c>
      <c r="AJ293" s="8" t="s">
        <v>60</v>
      </c>
      <c r="AK293" s="8">
        <v>1</v>
      </c>
      <c r="AL293" s="8">
        <v>0</v>
      </c>
      <c r="AM293" s="8" t="s">
        <v>1905</v>
      </c>
    </row>
    <row r="294" spans="7:39" ht="12.75" customHeight="1">
      <c r="G294" s="344"/>
      <c r="H294" s="345" t="s">
        <v>2858</v>
      </c>
      <c r="I294" s="8" t="s">
        <v>2321</v>
      </c>
      <c r="J294" s="8" t="s">
        <v>96</v>
      </c>
      <c r="K294" s="8" t="s">
        <v>2865</v>
      </c>
      <c r="L294" s="8" t="s">
        <v>97</v>
      </c>
      <c r="M294" s="8">
        <v>1377</v>
      </c>
      <c r="N294" s="7">
        <v>46211</v>
      </c>
      <c r="O294" s="8" t="s">
        <v>2</v>
      </c>
      <c r="P294" s="8" t="s">
        <v>112</v>
      </c>
      <c r="Q294" s="8" t="s">
        <v>68</v>
      </c>
      <c r="R294" s="8" t="s">
        <v>69</v>
      </c>
      <c r="S294" s="8" t="s">
        <v>2886</v>
      </c>
      <c r="T294" s="9">
        <v>10</v>
      </c>
      <c r="U294" s="9">
        <v>544</v>
      </c>
      <c r="V294" s="8" t="s">
        <v>2886</v>
      </c>
      <c r="W294" s="8">
        <v>0</v>
      </c>
      <c r="X294" s="8">
        <v>9</v>
      </c>
      <c r="Y294" s="8">
        <v>48.96</v>
      </c>
      <c r="Z294" s="8">
        <v>9</v>
      </c>
      <c r="AA294" s="8">
        <v>48.96</v>
      </c>
      <c r="AB294" s="8">
        <v>0</v>
      </c>
      <c r="AC294" s="8">
        <v>0</v>
      </c>
      <c r="AD294" s="8">
        <v>0</v>
      </c>
      <c r="AE294" s="8">
        <v>97.92</v>
      </c>
      <c r="AF294" s="8">
        <v>0</v>
      </c>
      <c r="AG294" s="8" t="s">
        <v>2488</v>
      </c>
      <c r="AH294" s="8" t="s">
        <v>7</v>
      </c>
      <c r="AI294" s="8">
        <v>82042120</v>
      </c>
      <c r="AJ294" s="8" t="s">
        <v>60</v>
      </c>
      <c r="AK294" s="8">
        <v>1</v>
      </c>
      <c r="AL294" s="8">
        <v>0</v>
      </c>
      <c r="AM294" s="8" t="s">
        <v>1905</v>
      </c>
    </row>
    <row r="295" spans="7:39" ht="12.75" customHeight="1">
      <c r="G295" s="344"/>
      <c r="H295" s="345" t="s">
        <v>2858</v>
      </c>
      <c r="I295" s="8" t="s">
        <v>2321</v>
      </c>
      <c r="J295" s="8" t="s">
        <v>96</v>
      </c>
      <c r="K295" s="8" t="s">
        <v>2865</v>
      </c>
      <c r="L295" s="8" t="s">
        <v>97</v>
      </c>
      <c r="M295" s="8">
        <v>1377</v>
      </c>
      <c r="N295" s="7">
        <v>46211</v>
      </c>
      <c r="O295" s="8" t="s">
        <v>2</v>
      </c>
      <c r="P295" s="8" t="s">
        <v>112</v>
      </c>
      <c r="Q295" s="8" t="s">
        <v>68</v>
      </c>
      <c r="R295" s="8" t="s">
        <v>69</v>
      </c>
      <c r="S295" s="8" t="s">
        <v>2887</v>
      </c>
      <c r="T295" s="9">
        <v>5</v>
      </c>
      <c r="U295" s="9">
        <v>92.8</v>
      </c>
      <c r="V295" s="8" t="s">
        <v>2887</v>
      </c>
      <c r="W295" s="8">
        <v>0</v>
      </c>
      <c r="X295" s="8">
        <v>9</v>
      </c>
      <c r="Y295" s="8">
        <v>8.35</v>
      </c>
      <c r="Z295" s="8">
        <v>9</v>
      </c>
      <c r="AA295" s="8">
        <v>8.35</v>
      </c>
      <c r="AB295" s="8">
        <v>0</v>
      </c>
      <c r="AC295" s="8">
        <v>0</v>
      </c>
      <c r="AD295" s="8">
        <v>0</v>
      </c>
      <c r="AE295" s="8">
        <v>16.7</v>
      </c>
      <c r="AF295" s="8">
        <v>0</v>
      </c>
      <c r="AG295" s="8" t="s">
        <v>2488</v>
      </c>
      <c r="AH295" s="8" t="s">
        <v>7</v>
      </c>
      <c r="AI295" s="8">
        <v>82041120</v>
      </c>
      <c r="AJ295" s="8" t="s">
        <v>60</v>
      </c>
      <c r="AK295" s="8">
        <v>1</v>
      </c>
      <c r="AL295" s="8">
        <v>0</v>
      </c>
      <c r="AM295" s="8" t="s">
        <v>1905</v>
      </c>
    </row>
    <row r="296" spans="7:39" ht="12.75" customHeight="1">
      <c r="G296" s="344"/>
      <c r="H296" s="345" t="s">
        <v>2858</v>
      </c>
      <c r="I296" s="8" t="s">
        <v>2321</v>
      </c>
      <c r="J296" s="8" t="s">
        <v>96</v>
      </c>
      <c r="K296" s="8" t="s">
        <v>2865</v>
      </c>
      <c r="L296" s="8" t="s">
        <v>97</v>
      </c>
      <c r="M296" s="8">
        <v>1377</v>
      </c>
      <c r="N296" s="7">
        <v>46211</v>
      </c>
      <c r="O296" s="8" t="s">
        <v>2</v>
      </c>
      <c r="P296" s="8" t="s">
        <v>112</v>
      </c>
      <c r="Q296" s="8" t="s">
        <v>68</v>
      </c>
      <c r="R296" s="8" t="s">
        <v>69</v>
      </c>
      <c r="S296" s="8" t="s">
        <v>2888</v>
      </c>
      <c r="T296" s="9">
        <v>50</v>
      </c>
      <c r="U296" s="9">
        <v>136.91999999999999</v>
      </c>
      <c r="V296" s="8" t="s">
        <v>2888</v>
      </c>
      <c r="W296" s="8">
        <v>0</v>
      </c>
      <c r="X296" s="8">
        <v>9</v>
      </c>
      <c r="Y296" s="8">
        <v>12.32</v>
      </c>
      <c r="Z296" s="8">
        <v>9</v>
      </c>
      <c r="AA296" s="8">
        <v>12.32</v>
      </c>
      <c r="AB296" s="8">
        <v>0</v>
      </c>
      <c r="AC296" s="8">
        <v>0</v>
      </c>
      <c r="AD296" s="8">
        <v>0</v>
      </c>
      <c r="AE296" s="8">
        <v>24.64</v>
      </c>
      <c r="AF296" s="8">
        <v>0</v>
      </c>
      <c r="AG296" s="8" t="s">
        <v>2488</v>
      </c>
      <c r="AH296" s="8" t="s">
        <v>1</v>
      </c>
      <c r="AI296" s="8">
        <v>73181500</v>
      </c>
      <c r="AJ296" s="8" t="s">
        <v>60</v>
      </c>
      <c r="AK296" s="8">
        <v>1</v>
      </c>
      <c r="AL296" s="8">
        <v>0</v>
      </c>
      <c r="AM296" s="8" t="s">
        <v>1905</v>
      </c>
    </row>
    <row r="297" spans="7:39" ht="12.75" customHeight="1">
      <c r="G297" s="344"/>
      <c r="H297" s="345" t="s">
        <v>2858</v>
      </c>
      <c r="I297" s="8" t="s">
        <v>2321</v>
      </c>
      <c r="J297" s="8" t="s">
        <v>96</v>
      </c>
      <c r="K297" s="8" t="s">
        <v>2865</v>
      </c>
      <c r="L297" s="8" t="s">
        <v>97</v>
      </c>
      <c r="M297" s="8">
        <v>1377</v>
      </c>
      <c r="N297" s="7">
        <v>46211</v>
      </c>
      <c r="O297" s="8" t="s">
        <v>5</v>
      </c>
      <c r="P297" s="8" t="s">
        <v>2486</v>
      </c>
      <c r="Q297" s="8" t="s">
        <v>68</v>
      </c>
      <c r="R297" s="8" t="s">
        <v>69</v>
      </c>
      <c r="S297" s="8" t="s">
        <v>2889</v>
      </c>
      <c r="T297" s="9">
        <v>1</v>
      </c>
      <c r="U297" s="9">
        <v>750</v>
      </c>
      <c r="V297" s="8" t="s">
        <v>2889</v>
      </c>
      <c r="W297" s="8">
        <v>0</v>
      </c>
      <c r="X297" s="8">
        <v>9</v>
      </c>
      <c r="Y297" s="8">
        <v>67.5</v>
      </c>
      <c r="Z297" s="8">
        <v>9</v>
      </c>
      <c r="AA297" s="8">
        <v>67.5</v>
      </c>
      <c r="AB297" s="8">
        <v>0</v>
      </c>
      <c r="AC297" s="8">
        <v>0</v>
      </c>
      <c r="AD297" s="8">
        <v>0</v>
      </c>
      <c r="AE297" s="8">
        <v>135</v>
      </c>
      <c r="AF297" s="8">
        <v>0</v>
      </c>
      <c r="AG297" s="8" t="s">
        <v>2488</v>
      </c>
      <c r="AH297" s="8" t="s">
        <v>1</v>
      </c>
      <c r="AI297" s="8">
        <v>62042290</v>
      </c>
      <c r="AJ297" s="8" t="s">
        <v>60</v>
      </c>
      <c r="AK297" s="8">
        <v>1</v>
      </c>
      <c r="AL297" s="8">
        <v>0</v>
      </c>
      <c r="AM297" s="8" t="s">
        <v>1905</v>
      </c>
    </row>
    <row r="298" spans="7:39" ht="12.75" customHeight="1">
      <c r="G298" s="344"/>
      <c r="H298" s="345" t="s">
        <v>2858</v>
      </c>
      <c r="I298" s="8" t="s">
        <v>87</v>
      </c>
      <c r="J298" s="8" t="s">
        <v>96</v>
      </c>
      <c r="K298" s="8" t="s">
        <v>2890</v>
      </c>
      <c r="L298" s="8" t="s">
        <v>97</v>
      </c>
      <c r="M298" s="8" t="s">
        <v>2891</v>
      </c>
      <c r="N298" s="7" t="s">
        <v>2858</v>
      </c>
      <c r="O298" s="8" t="s">
        <v>2</v>
      </c>
      <c r="P298" s="8" t="s">
        <v>67</v>
      </c>
      <c r="Q298" s="8" t="s">
        <v>68</v>
      </c>
      <c r="R298" s="8" t="s">
        <v>69</v>
      </c>
      <c r="S298" s="8" t="s">
        <v>70</v>
      </c>
      <c r="T298" s="9">
        <v>203</v>
      </c>
      <c r="U298" s="9">
        <v>9744</v>
      </c>
      <c r="V298" s="8" t="s">
        <v>70</v>
      </c>
      <c r="W298" s="8">
        <v>11488.18</v>
      </c>
      <c r="X298" s="8">
        <v>9</v>
      </c>
      <c r="Y298" s="8">
        <v>876.96</v>
      </c>
      <c r="Z298" s="8">
        <v>9</v>
      </c>
      <c r="AA298" s="8">
        <v>876.96</v>
      </c>
      <c r="AB298" s="8">
        <v>0</v>
      </c>
      <c r="AC298" s="8">
        <v>0</v>
      </c>
      <c r="AD298" s="8">
        <v>0</v>
      </c>
      <c r="AE298" s="8">
        <v>1753.92</v>
      </c>
      <c r="AF298" s="8">
        <v>0</v>
      </c>
      <c r="AG298" s="8" t="s">
        <v>65</v>
      </c>
      <c r="AH298" s="8" t="s">
        <v>11</v>
      </c>
      <c r="AI298" s="8">
        <v>73063090</v>
      </c>
      <c r="AJ298" s="8" t="s">
        <v>60</v>
      </c>
      <c r="AK298" s="8">
        <v>1</v>
      </c>
      <c r="AL298" s="8">
        <v>0</v>
      </c>
      <c r="AM298" s="8" t="s">
        <v>1905</v>
      </c>
    </row>
    <row r="299" spans="7:39" ht="12.75" customHeight="1">
      <c r="G299" s="344"/>
      <c r="H299" s="345" t="s">
        <v>2858</v>
      </c>
      <c r="I299" s="8" t="s">
        <v>87</v>
      </c>
      <c r="J299" s="8" t="s">
        <v>91</v>
      </c>
      <c r="K299" s="8" t="s">
        <v>2892</v>
      </c>
      <c r="L299" s="8" t="s">
        <v>98</v>
      </c>
      <c r="M299" s="8" t="s">
        <v>2893</v>
      </c>
      <c r="N299" s="7" t="s">
        <v>2858</v>
      </c>
      <c r="O299" s="8" t="s">
        <v>13</v>
      </c>
      <c r="P299" s="8" t="s">
        <v>62</v>
      </c>
      <c r="Q299" s="8" t="s">
        <v>63</v>
      </c>
      <c r="R299" s="8" t="s">
        <v>64</v>
      </c>
      <c r="S299" s="8" t="s">
        <v>19</v>
      </c>
      <c r="T299" s="9">
        <v>857</v>
      </c>
      <c r="U299" s="9">
        <v>123682.24000000001</v>
      </c>
      <c r="V299" s="8" t="s">
        <v>19</v>
      </c>
      <c r="W299" s="8">
        <v>1294303.5</v>
      </c>
      <c r="X299" s="8">
        <v>9</v>
      </c>
      <c r="Y299" s="8">
        <v>11131.4</v>
      </c>
      <c r="Z299" s="8">
        <v>9</v>
      </c>
      <c r="AA299" s="8">
        <v>11131.4</v>
      </c>
      <c r="AB299" s="8">
        <v>0</v>
      </c>
      <c r="AC299" s="8">
        <v>0</v>
      </c>
      <c r="AD299" s="8">
        <v>0</v>
      </c>
      <c r="AE299" s="8">
        <v>22262.799999999999</v>
      </c>
      <c r="AF299" s="8">
        <v>0</v>
      </c>
      <c r="AG299" s="8" t="s">
        <v>65</v>
      </c>
      <c r="AH299" s="8" t="s">
        <v>11</v>
      </c>
      <c r="AI299" s="8">
        <v>39269080</v>
      </c>
      <c r="AJ299" s="8" t="s">
        <v>60</v>
      </c>
      <c r="AK299" s="8">
        <v>1</v>
      </c>
      <c r="AL299" s="8">
        <v>857</v>
      </c>
      <c r="AM299" s="8" t="s">
        <v>1905</v>
      </c>
    </row>
    <row r="300" spans="7:39" ht="12.75" customHeight="1">
      <c r="G300" s="344"/>
      <c r="H300" s="345" t="s">
        <v>2858</v>
      </c>
      <c r="I300" s="8" t="s">
        <v>87</v>
      </c>
      <c r="J300" s="8" t="s">
        <v>91</v>
      </c>
      <c r="K300" s="8" t="s">
        <v>2892</v>
      </c>
      <c r="L300" s="8" t="s">
        <v>98</v>
      </c>
      <c r="M300" s="8" t="s">
        <v>2893</v>
      </c>
      <c r="N300" s="7" t="s">
        <v>2858</v>
      </c>
      <c r="O300" s="8" t="s">
        <v>13</v>
      </c>
      <c r="P300" s="8" t="s">
        <v>62</v>
      </c>
      <c r="Q300" s="8" t="s">
        <v>63</v>
      </c>
      <c r="R300" s="8" t="s">
        <v>64</v>
      </c>
      <c r="S300" s="8" t="s">
        <v>19</v>
      </c>
      <c r="T300" s="9">
        <v>6576</v>
      </c>
      <c r="U300" s="9">
        <v>935896.32</v>
      </c>
      <c r="V300" s="8" t="s">
        <v>19</v>
      </c>
      <c r="W300" s="8">
        <v>0</v>
      </c>
      <c r="X300" s="8">
        <v>9</v>
      </c>
      <c r="Y300" s="8">
        <v>84230.67</v>
      </c>
      <c r="Z300" s="8">
        <v>9</v>
      </c>
      <c r="AA300" s="8">
        <v>84230.67</v>
      </c>
      <c r="AB300" s="8">
        <v>0</v>
      </c>
      <c r="AC300" s="8">
        <v>0</v>
      </c>
      <c r="AD300" s="8">
        <v>0</v>
      </c>
      <c r="AE300" s="8">
        <v>168461.34</v>
      </c>
      <c r="AF300" s="8">
        <v>0</v>
      </c>
      <c r="AG300" s="8" t="s">
        <v>65</v>
      </c>
      <c r="AH300" s="8" t="s">
        <v>11</v>
      </c>
      <c r="AI300" s="8">
        <v>39269080</v>
      </c>
      <c r="AJ300" s="8" t="s">
        <v>60</v>
      </c>
      <c r="AK300" s="8">
        <v>1</v>
      </c>
      <c r="AL300" s="8">
        <v>6576</v>
      </c>
      <c r="AM300" s="8" t="s">
        <v>1905</v>
      </c>
    </row>
    <row r="301" spans="7:39" ht="12.75" customHeight="1">
      <c r="G301" s="344"/>
      <c r="H301" s="345" t="s">
        <v>2858</v>
      </c>
      <c r="I301" s="8" t="s">
        <v>87</v>
      </c>
      <c r="J301" s="8" t="s">
        <v>91</v>
      </c>
      <c r="K301" s="8" t="s">
        <v>2892</v>
      </c>
      <c r="L301" s="8" t="s">
        <v>98</v>
      </c>
      <c r="M301" s="8" t="s">
        <v>2893</v>
      </c>
      <c r="N301" s="7" t="s">
        <v>2858</v>
      </c>
      <c r="O301" s="8" t="s">
        <v>13</v>
      </c>
      <c r="P301" s="8" t="s">
        <v>62</v>
      </c>
      <c r="Q301" s="8" t="s">
        <v>63</v>
      </c>
      <c r="R301" s="8" t="s">
        <v>64</v>
      </c>
      <c r="S301" s="8" t="s">
        <v>19</v>
      </c>
      <c r="T301" s="9">
        <v>263</v>
      </c>
      <c r="U301" s="9">
        <v>38219.160000000003</v>
      </c>
      <c r="V301" s="8" t="s">
        <v>19</v>
      </c>
      <c r="W301" s="8">
        <v>0</v>
      </c>
      <c r="X301" s="8">
        <v>9</v>
      </c>
      <c r="Y301" s="8">
        <v>3439.72</v>
      </c>
      <c r="Z301" s="8">
        <v>9</v>
      </c>
      <c r="AA301" s="8">
        <v>3439.72</v>
      </c>
      <c r="AB301" s="8">
        <v>0</v>
      </c>
      <c r="AC301" s="8">
        <v>0</v>
      </c>
      <c r="AD301" s="8">
        <v>0</v>
      </c>
      <c r="AE301" s="8">
        <v>6879.44</v>
      </c>
      <c r="AF301" s="8">
        <v>0</v>
      </c>
      <c r="AG301" s="8" t="s">
        <v>65</v>
      </c>
      <c r="AH301" s="8" t="s">
        <v>11</v>
      </c>
      <c r="AI301" s="8">
        <v>39269080</v>
      </c>
      <c r="AJ301" s="8" t="s">
        <v>60</v>
      </c>
      <c r="AK301" s="8">
        <v>1</v>
      </c>
      <c r="AL301" s="8">
        <v>263</v>
      </c>
      <c r="AM301" s="8" t="s">
        <v>1905</v>
      </c>
    </row>
    <row r="302" spans="7:39" ht="12.75" customHeight="1">
      <c r="G302" s="344"/>
      <c r="H302" s="345" t="s">
        <v>2858</v>
      </c>
      <c r="I302" s="8" t="s">
        <v>87</v>
      </c>
      <c r="J302" s="8" t="s">
        <v>91</v>
      </c>
      <c r="K302" s="8" t="s">
        <v>2894</v>
      </c>
      <c r="L302" s="8" t="s">
        <v>98</v>
      </c>
      <c r="M302" s="8" t="s">
        <v>2895</v>
      </c>
      <c r="N302" s="7" t="s">
        <v>2858</v>
      </c>
      <c r="O302" s="8" t="s">
        <v>13</v>
      </c>
      <c r="P302" s="8" t="s">
        <v>24</v>
      </c>
      <c r="Q302" s="8" t="s">
        <v>79</v>
      </c>
      <c r="R302" s="8" t="s">
        <v>79</v>
      </c>
      <c r="S302" s="8" t="s">
        <v>24</v>
      </c>
      <c r="T302" s="9">
        <v>1327.9</v>
      </c>
      <c r="U302" s="9">
        <v>195626.23</v>
      </c>
      <c r="V302" s="8" t="s">
        <v>24</v>
      </c>
      <c r="W302" s="8">
        <v>347759.83</v>
      </c>
      <c r="X302" s="8">
        <v>9</v>
      </c>
      <c r="Y302" s="8">
        <v>17606.36</v>
      </c>
      <c r="Z302" s="8">
        <v>9</v>
      </c>
      <c r="AA302" s="8">
        <v>17606.36</v>
      </c>
      <c r="AB302" s="8">
        <v>0</v>
      </c>
      <c r="AC302" s="8">
        <v>0</v>
      </c>
      <c r="AD302" s="8">
        <v>0</v>
      </c>
      <c r="AE302" s="8">
        <v>35212.720000000001</v>
      </c>
      <c r="AF302" s="8">
        <v>0</v>
      </c>
      <c r="AG302" s="8" t="s">
        <v>65</v>
      </c>
      <c r="AH302" s="8" t="s">
        <v>11</v>
      </c>
      <c r="AI302" s="8">
        <v>3926908</v>
      </c>
      <c r="AJ302" s="8" t="s">
        <v>60</v>
      </c>
      <c r="AK302" s="8">
        <v>1</v>
      </c>
      <c r="AL302" s="8">
        <v>1327.9</v>
      </c>
      <c r="AM302" s="8" t="s">
        <v>1905</v>
      </c>
    </row>
    <row r="303" spans="7:39" ht="12.75" customHeight="1">
      <c r="G303" s="344"/>
      <c r="H303" s="345" t="s">
        <v>2858</v>
      </c>
      <c r="I303" s="8" t="s">
        <v>87</v>
      </c>
      <c r="J303" s="8" t="s">
        <v>91</v>
      </c>
      <c r="K303" s="8" t="s">
        <v>2894</v>
      </c>
      <c r="L303" s="8" t="s">
        <v>98</v>
      </c>
      <c r="M303" s="8" t="s">
        <v>2895</v>
      </c>
      <c r="N303" s="7" t="s">
        <v>2858</v>
      </c>
      <c r="O303" s="8" t="s">
        <v>13</v>
      </c>
      <c r="P303" s="8" t="s">
        <v>24</v>
      </c>
      <c r="Q303" s="8" t="s">
        <v>79</v>
      </c>
      <c r="R303" s="8" t="s">
        <v>79</v>
      </c>
      <c r="S303" s="8" t="s">
        <v>24</v>
      </c>
      <c r="T303" s="9">
        <v>688.3</v>
      </c>
      <c r="U303" s="9">
        <v>99335.46</v>
      </c>
      <c r="V303" s="8" t="s">
        <v>24</v>
      </c>
      <c r="W303" s="8">
        <v>0</v>
      </c>
      <c r="X303" s="8">
        <v>9</v>
      </c>
      <c r="Y303" s="8">
        <v>8940.19</v>
      </c>
      <c r="Z303" s="8">
        <v>9</v>
      </c>
      <c r="AA303" s="8">
        <v>8940.19</v>
      </c>
      <c r="AB303" s="8">
        <v>0</v>
      </c>
      <c r="AC303" s="8">
        <v>0</v>
      </c>
      <c r="AD303" s="8">
        <v>0</v>
      </c>
      <c r="AE303" s="8">
        <v>17880.38</v>
      </c>
      <c r="AF303" s="8">
        <v>0</v>
      </c>
      <c r="AG303" s="8" t="s">
        <v>65</v>
      </c>
      <c r="AH303" s="8" t="s">
        <v>11</v>
      </c>
      <c r="AI303" s="8">
        <v>3926908</v>
      </c>
      <c r="AJ303" s="8" t="s">
        <v>60</v>
      </c>
      <c r="AK303" s="8">
        <v>1</v>
      </c>
      <c r="AL303" s="8">
        <v>688.3</v>
      </c>
      <c r="AM303" s="8" t="s">
        <v>1905</v>
      </c>
    </row>
    <row r="304" spans="7:39" ht="12.75" customHeight="1">
      <c r="G304" s="344"/>
      <c r="H304" s="345" t="s">
        <v>2858</v>
      </c>
      <c r="I304" s="8" t="s">
        <v>87</v>
      </c>
      <c r="J304" s="8" t="s">
        <v>91</v>
      </c>
      <c r="K304" s="8" t="s">
        <v>2896</v>
      </c>
      <c r="L304" s="8" t="s">
        <v>98</v>
      </c>
      <c r="M304" s="8" t="s">
        <v>2897</v>
      </c>
      <c r="N304" s="7" t="s">
        <v>2858</v>
      </c>
      <c r="O304" s="8" t="s">
        <v>13</v>
      </c>
      <c r="P304" s="8" t="s">
        <v>62</v>
      </c>
      <c r="Q304" s="8" t="s">
        <v>76</v>
      </c>
      <c r="R304" s="8" t="s">
        <v>77</v>
      </c>
      <c r="S304" s="8" t="s">
        <v>21</v>
      </c>
      <c r="T304" s="9">
        <v>894</v>
      </c>
      <c r="U304" s="9">
        <v>129022.08</v>
      </c>
      <c r="V304" s="8" t="s">
        <v>21</v>
      </c>
      <c r="W304" s="8">
        <v>1690644.66</v>
      </c>
      <c r="X304" s="8">
        <v>9</v>
      </c>
      <c r="Y304" s="8">
        <v>11611.99</v>
      </c>
      <c r="Z304" s="8">
        <v>9</v>
      </c>
      <c r="AA304" s="8">
        <v>11611.99</v>
      </c>
      <c r="AB304" s="8">
        <v>0</v>
      </c>
      <c r="AC304" s="8">
        <v>0</v>
      </c>
      <c r="AD304" s="8">
        <v>0</v>
      </c>
      <c r="AE304" s="8">
        <v>23223.98</v>
      </c>
      <c r="AF304" s="8">
        <v>0</v>
      </c>
      <c r="AG304" s="8" t="s">
        <v>65</v>
      </c>
      <c r="AH304" s="8" t="s">
        <v>11</v>
      </c>
      <c r="AI304" s="8">
        <v>63053300</v>
      </c>
      <c r="AJ304" s="8" t="s">
        <v>60</v>
      </c>
      <c r="AK304" s="8">
        <v>1</v>
      </c>
      <c r="AL304" s="8">
        <v>894</v>
      </c>
      <c r="AM304" s="8" t="s">
        <v>1905</v>
      </c>
    </row>
    <row r="305" spans="7:39" ht="12.75" customHeight="1">
      <c r="G305" s="344"/>
      <c r="H305" s="345" t="s">
        <v>2858</v>
      </c>
      <c r="I305" s="8" t="s">
        <v>87</v>
      </c>
      <c r="J305" s="8" t="s">
        <v>91</v>
      </c>
      <c r="K305" s="8" t="s">
        <v>2896</v>
      </c>
      <c r="L305" s="8" t="s">
        <v>98</v>
      </c>
      <c r="M305" s="8" t="s">
        <v>2897</v>
      </c>
      <c r="N305" s="7" t="s">
        <v>2858</v>
      </c>
      <c r="O305" s="8" t="s">
        <v>13</v>
      </c>
      <c r="P305" s="8" t="s">
        <v>62</v>
      </c>
      <c r="Q305" s="8" t="s">
        <v>76</v>
      </c>
      <c r="R305" s="8" t="s">
        <v>77</v>
      </c>
      <c r="S305" s="8" t="s">
        <v>21</v>
      </c>
      <c r="T305" s="9">
        <v>1087</v>
      </c>
      <c r="U305" s="9">
        <v>162310.84</v>
      </c>
      <c r="V305" s="8" t="s">
        <v>21</v>
      </c>
      <c r="W305" s="8">
        <v>0</v>
      </c>
      <c r="X305" s="8">
        <v>9</v>
      </c>
      <c r="Y305" s="8">
        <v>14607.98</v>
      </c>
      <c r="Z305" s="8">
        <v>9</v>
      </c>
      <c r="AA305" s="8">
        <v>14607.98</v>
      </c>
      <c r="AB305" s="8">
        <v>0</v>
      </c>
      <c r="AC305" s="8">
        <v>0</v>
      </c>
      <c r="AD305" s="8">
        <v>0</v>
      </c>
      <c r="AE305" s="8">
        <v>29215.96</v>
      </c>
      <c r="AF305" s="8">
        <v>0</v>
      </c>
      <c r="AG305" s="8" t="s">
        <v>65</v>
      </c>
      <c r="AH305" s="8" t="s">
        <v>11</v>
      </c>
      <c r="AI305" s="8">
        <v>63053300</v>
      </c>
      <c r="AJ305" s="8" t="s">
        <v>60</v>
      </c>
      <c r="AK305" s="8">
        <v>1</v>
      </c>
      <c r="AL305" s="8">
        <v>1087</v>
      </c>
      <c r="AM305" s="8" t="s">
        <v>1905</v>
      </c>
    </row>
    <row r="306" spans="7:39" ht="12.75" customHeight="1">
      <c r="G306" s="344"/>
      <c r="H306" s="345" t="s">
        <v>2858</v>
      </c>
      <c r="I306" s="8" t="s">
        <v>87</v>
      </c>
      <c r="J306" s="8" t="s">
        <v>91</v>
      </c>
      <c r="K306" s="8" t="s">
        <v>2896</v>
      </c>
      <c r="L306" s="8" t="s">
        <v>98</v>
      </c>
      <c r="M306" s="8" t="s">
        <v>2897</v>
      </c>
      <c r="N306" s="7" t="s">
        <v>2858</v>
      </c>
      <c r="O306" s="8" t="s">
        <v>13</v>
      </c>
      <c r="P306" s="8" t="s">
        <v>62</v>
      </c>
      <c r="Q306" s="8" t="s">
        <v>63</v>
      </c>
      <c r="R306" s="8" t="s">
        <v>64</v>
      </c>
      <c r="S306" s="8" t="s">
        <v>19</v>
      </c>
      <c r="T306" s="9">
        <v>260</v>
      </c>
      <c r="U306" s="9">
        <v>37003.199999999997</v>
      </c>
      <c r="V306" s="8" t="s">
        <v>19</v>
      </c>
      <c r="W306" s="8">
        <v>0</v>
      </c>
      <c r="X306" s="8">
        <v>9</v>
      </c>
      <c r="Y306" s="8">
        <v>3330.29</v>
      </c>
      <c r="Z306" s="8">
        <v>9</v>
      </c>
      <c r="AA306" s="8">
        <v>3330.29</v>
      </c>
      <c r="AB306" s="8">
        <v>0</v>
      </c>
      <c r="AC306" s="8">
        <v>0</v>
      </c>
      <c r="AD306" s="8">
        <v>0</v>
      </c>
      <c r="AE306" s="8">
        <v>6660.58</v>
      </c>
      <c r="AF306" s="8">
        <v>0</v>
      </c>
      <c r="AG306" s="8" t="s">
        <v>65</v>
      </c>
      <c r="AH306" s="8" t="s">
        <v>11</v>
      </c>
      <c r="AI306" s="8">
        <v>39269080</v>
      </c>
      <c r="AJ306" s="8" t="s">
        <v>60</v>
      </c>
      <c r="AK306" s="8">
        <v>1</v>
      </c>
      <c r="AL306" s="8">
        <v>260</v>
      </c>
      <c r="AM306" s="8" t="s">
        <v>1905</v>
      </c>
    </row>
    <row r="307" spans="7:39" ht="12.75" customHeight="1">
      <c r="G307" s="344"/>
      <c r="H307" s="345" t="s">
        <v>2858</v>
      </c>
      <c r="I307" s="8" t="s">
        <v>87</v>
      </c>
      <c r="J307" s="8" t="s">
        <v>91</v>
      </c>
      <c r="K307" s="8" t="s">
        <v>2896</v>
      </c>
      <c r="L307" s="8" t="s">
        <v>98</v>
      </c>
      <c r="M307" s="8" t="s">
        <v>2897</v>
      </c>
      <c r="N307" s="7" t="s">
        <v>2858</v>
      </c>
      <c r="O307" s="8" t="s">
        <v>13</v>
      </c>
      <c r="P307" s="8" t="s">
        <v>62</v>
      </c>
      <c r="Q307" s="8" t="s">
        <v>63</v>
      </c>
      <c r="R307" s="8" t="s">
        <v>64</v>
      </c>
      <c r="S307" s="8" t="s">
        <v>19</v>
      </c>
      <c r="T307" s="9">
        <v>641</v>
      </c>
      <c r="U307" s="9">
        <v>92509.119999999995</v>
      </c>
      <c r="V307" s="8" t="s">
        <v>19</v>
      </c>
      <c r="W307" s="8">
        <v>0</v>
      </c>
      <c r="X307" s="8">
        <v>9</v>
      </c>
      <c r="Y307" s="8">
        <v>8325.82</v>
      </c>
      <c r="Z307" s="8">
        <v>9</v>
      </c>
      <c r="AA307" s="8">
        <v>8325.82</v>
      </c>
      <c r="AB307" s="8">
        <v>0</v>
      </c>
      <c r="AC307" s="8">
        <v>0</v>
      </c>
      <c r="AD307" s="8">
        <v>0</v>
      </c>
      <c r="AE307" s="8">
        <v>16651.64</v>
      </c>
      <c r="AF307" s="8">
        <v>0</v>
      </c>
      <c r="AG307" s="8" t="s">
        <v>65</v>
      </c>
      <c r="AH307" s="8" t="s">
        <v>11</v>
      </c>
      <c r="AI307" s="8">
        <v>39269080</v>
      </c>
      <c r="AJ307" s="8" t="s">
        <v>60</v>
      </c>
      <c r="AK307" s="8">
        <v>1</v>
      </c>
      <c r="AL307" s="8">
        <v>641</v>
      </c>
      <c r="AM307" s="8" t="s">
        <v>1905</v>
      </c>
    </row>
    <row r="308" spans="7:39" ht="12.75" customHeight="1">
      <c r="G308" s="344"/>
      <c r="H308" s="345" t="s">
        <v>2858</v>
      </c>
      <c r="I308" s="8" t="s">
        <v>87</v>
      </c>
      <c r="J308" s="8" t="s">
        <v>91</v>
      </c>
      <c r="K308" s="8" t="s">
        <v>2896</v>
      </c>
      <c r="L308" s="8" t="s">
        <v>98</v>
      </c>
      <c r="M308" s="8" t="s">
        <v>2897</v>
      </c>
      <c r="N308" s="7" t="s">
        <v>2858</v>
      </c>
      <c r="O308" s="8" t="s">
        <v>13</v>
      </c>
      <c r="P308" s="8" t="s">
        <v>80</v>
      </c>
      <c r="Q308" s="8" t="s">
        <v>81</v>
      </c>
      <c r="R308" s="8" t="s">
        <v>82</v>
      </c>
      <c r="S308" s="8" t="s">
        <v>17</v>
      </c>
      <c r="T308" s="9">
        <v>1253</v>
      </c>
      <c r="U308" s="9">
        <v>226617.58</v>
      </c>
      <c r="V308" s="8" t="s">
        <v>17</v>
      </c>
      <c r="W308" s="8">
        <v>0</v>
      </c>
      <c r="X308" s="8">
        <v>9</v>
      </c>
      <c r="Y308" s="8">
        <v>20395.580000000002</v>
      </c>
      <c r="Z308" s="8">
        <v>9</v>
      </c>
      <c r="AA308" s="8">
        <v>20395.580000000002</v>
      </c>
      <c r="AB308" s="8">
        <v>0</v>
      </c>
      <c r="AC308" s="8">
        <v>0</v>
      </c>
      <c r="AD308" s="8">
        <v>0</v>
      </c>
      <c r="AE308" s="8">
        <v>40791.160000000003</v>
      </c>
      <c r="AF308" s="8">
        <v>0</v>
      </c>
      <c r="AG308" s="8" t="s">
        <v>65</v>
      </c>
      <c r="AH308" s="8" t="s">
        <v>11</v>
      </c>
      <c r="AI308" s="8">
        <v>39200000</v>
      </c>
      <c r="AJ308" s="8" t="s">
        <v>60</v>
      </c>
      <c r="AK308" s="8">
        <v>1</v>
      </c>
      <c r="AL308" s="8">
        <v>1253</v>
      </c>
      <c r="AM308" s="8" t="s">
        <v>1905</v>
      </c>
    </row>
    <row r="309" spans="7:39" ht="12.75" customHeight="1">
      <c r="G309" s="344"/>
      <c r="H309" s="345" t="s">
        <v>2858</v>
      </c>
      <c r="I309" s="8" t="s">
        <v>87</v>
      </c>
      <c r="J309" s="8" t="s">
        <v>91</v>
      </c>
      <c r="K309" s="8" t="s">
        <v>2896</v>
      </c>
      <c r="L309" s="8" t="s">
        <v>98</v>
      </c>
      <c r="M309" s="8" t="s">
        <v>2897</v>
      </c>
      <c r="N309" s="7" t="s">
        <v>2858</v>
      </c>
      <c r="O309" s="8" t="s">
        <v>13</v>
      </c>
      <c r="P309" s="8" t="s">
        <v>80</v>
      </c>
      <c r="Q309" s="8" t="s">
        <v>81</v>
      </c>
      <c r="R309" s="8" t="s">
        <v>82</v>
      </c>
      <c r="S309" s="8" t="s">
        <v>17</v>
      </c>
      <c r="T309" s="9">
        <v>266</v>
      </c>
      <c r="U309" s="9">
        <v>49172.76</v>
      </c>
      <c r="V309" s="8" t="s">
        <v>17</v>
      </c>
      <c r="W309" s="8">
        <v>0</v>
      </c>
      <c r="X309" s="8">
        <v>9</v>
      </c>
      <c r="Y309" s="8">
        <v>4425.55</v>
      </c>
      <c r="Z309" s="8">
        <v>9</v>
      </c>
      <c r="AA309" s="8">
        <v>4425.55</v>
      </c>
      <c r="AB309" s="8">
        <v>0</v>
      </c>
      <c r="AC309" s="8">
        <v>0</v>
      </c>
      <c r="AD309" s="8">
        <v>0</v>
      </c>
      <c r="AE309" s="8">
        <v>8851.1</v>
      </c>
      <c r="AF309" s="8">
        <v>0</v>
      </c>
      <c r="AG309" s="8" t="s">
        <v>65</v>
      </c>
      <c r="AH309" s="8" t="s">
        <v>11</v>
      </c>
      <c r="AI309" s="8">
        <v>39200000</v>
      </c>
      <c r="AJ309" s="8" t="s">
        <v>60</v>
      </c>
      <c r="AK309" s="8">
        <v>1</v>
      </c>
      <c r="AL309" s="8">
        <v>266</v>
      </c>
      <c r="AM309" s="8" t="s">
        <v>1905</v>
      </c>
    </row>
    <row r="310" spans="7:39" ht="12.75" customHeight="1">
      <c r="G310" s="344"/>
      <c r="H310" s="345" t="s">
        <v>2858</v>
      </c>
      <c r="I310" s="8" t="s">
        <v>87</v>
      </c>
      <c r="J310" s="8" t="s">
        <v>91</v>
      </c>
      <c r="K310" s="8" t="s">
        <v>2896</v>
      </c>
      <c r="L310" s="8" t="s">
        <v>98</v>
      </c>
      <c r="M310" s="8" t="s">
        <v>2897</v>
      </c>
      <c r="N310" s="7" t="s">
        <v>2858</v>
      </c>
      <c r="O310" s="8" t="s">
        <v>13</v>
      </c>
      <c r="P310" s="8" t="s">
        <v>80</v>
      </c>
      <c r="Q310" s="8" t="s">
        <v>81</v>
      </c>
      <c r="R310" s="8" t="s">
        <v>82</v>
      </c>
      <c r="S310" s="8" t="s">
        <v>17</v>
      </c>
      <c r="T310" s="9">
        <v>3743</v>
      </c>
      <c r="U310" s="9">
        <v>661986.98</v>
      </c>
      <c r="V310" s="8" t="s">
        <v>17</v>
      </c>
      <c r="W310" s="8">
        <v>0</v>
      </c>
      <c r="X310" s="8">
        <v>9</v>
      </c>
      <c r="Y310" s="8">
        <v>59578.83</v>
      </c>
      <c r="Z310" s="8">
        <v>9</v>
      </c>
      <c r="AA310" s="8">
        <v>59578.83</v>
      </c>
      <c r="AB310" s="8">
        <v>0</v>
      </c>
      <c r="AC310" s="8">
        <v>0</v>
      </c>
      <c r="AD310" s="8">
        <v>0</v>
      </c>
      <c r="AE310" s="8">
        <v>119157.66</v>
      </c>
      <c r="AF310" s="8">
        <v>0</v>
      </c>
      <c r="AG310" s="8" t="s">
        <v>65</v>
      </c>
      <c r="AH310" s="8" t="s">
        <v>11</v>
      </c>
      <c r="AI310" s="8">
        <v>39200000</v>
      </c>
      <c r="AJ310" s="8" t="s">
        <v>60</v>
      </c>
      <c r="AK310" s="8">
        <v>1</v>
      </c>
      <c r="AL310" s="8">
        <v>3743</v>
      </c>
      <c r="AM310" s="8" t="s">
        <v>1905</v>
      </c>
    </row>
    <row r="311" spans="7:39" ht="12.75" customHeight="1">
      <c r="G311" s="344"/>
      <c r="H311" s="345" t="s">
        <v>2858</v>
      </c>
      <c r="I311" s="8" t="s">
        <v>87</v>
      </c>
      <c r="J311" s="8" t="s">
        <v>91</v>
      </c>
      <c r="K311" s="8" t="s">
        <v>2896</v>
      </c>
      <c r="L311" s="8" t="s">
        <v>98</v>
      </c>
      <c r="M311" s="8" t="s">
        <v>2897</v>
      </c>
      <c r="N311" s="7" t="s">
        <v>2858</v>
      </c>
      <c r="O311" s="8" t="s">
        <v>8</v>
      </c>
      <c r="P311" s="8" t="s">
        <v>625</v>
      </c>
      <c r="Q311" s="8" t="s">
        <v>625</v>
      </c>
      <c r="R311" s="8" t="s">
        <v>69</v>
      </c>
      <c r="S311" s="8" t="s">
        <v>743</v>
      </c>
      <c r="T311" s="9">
        <v>22800</v>
      </c>
      <c r="U311" s="9">
        <v>75340.320000000007</v>
      </c>
      <c r="V311" s="8" t="s">
        <v>743</v>
      </c>
      <c r="W311" s="8">
        <v>0</v>
      </c>
      <c r="X311" s="8">
        <v>9</v>
      </c>
      <c r="Y311" s="8">
        <v>6780.63</v>
      </c>
      <c r="Z311" s="8">
        <v>9</v>
      </c>
      <c r="AA311" s="8">
        <v>6780.63</v>
      </c>
      <c r="AB311" s="8">
        <v>0</v>
      </c>
      <c r="AC311" s="8">
        <v>0</v>
      </c>
      <c r="AD311" s="8">
        <v>0</v>
      </c>
      <c r="AE311" s="8">
        <v>13561.26</v>
      </c>
      <c r="AF311" s="8">
        <v>0</v>
      </c>
      <c r="AG311" s="8" t="s">
        <v>65</v>
      </c>
      <c r="AH311" s="8" t="s">
        <v>1</v>
      </c>
      <c r="AI311" s="8">
        <v>39232100</v>
      </c>
      <c r="AJ311" s="8" t="s">
        <v>60</v>
      </c>
      <c r="AK311" s="8">
        <v>1</v>
      </c>
      <c r="AL311" s="8">
        <v>22800</v>
      </c>
      <c r="AM311" s="8" t="s">
        <v>1905</v>
      </c>
    </row>
    <row r="312" spans="7:39" ht="12.75" customHeight="1">
      <c r="G312" s="344"/>
      <c r="H312" s="345" t="s">
        <v>2858</v>
      </c>
      <c r="I312" s="8" t="s">
        <v>87</v>
      </c>
      <c r="J312" s="8" t="s">
        <v>91</v>
      </c>
      <c r="K312" s="8" t="s">
        <v>2898</v>
      </c>
      <c r="L312" s="8" t="s">
        <v>98</v>
      </c>
      <c r="M312" s="8" t="s">
        <v>2899</v>
      </c>
      <c r="N312" s="7" t="s">
        <v>2858</v>
      </c>
      <c r="O312" s="8" t="s">
        <v>13</v>
      </c>
      <c r="P312" s="8" t="s">
        <v>62</v>
      </c>
      <c r="Q312" s="8" t="s">
        <v>63</v>
      </c>
      <c r="R312" s="8" t="s">
        <v>64</v>
      </c>
      <c r="S312" s="8" t="s">
        <v>19</v>
      </c>
      <c r="T312" s="9">
        <v>1521</v>
      </c>
      <c r="U312" s="9">
        <v>216468.72</v>
      </c>
      <c r="V312" s="8" t="s">
        <v>19</v>
      </c>
      <c r="W312" s="8">
        <v>266114.11</v>
      </c>
      <c r="X312" s="8">
        <v>9</v>
      </c>
      <c r="Y312" s="8">
        <v>19482.18</v>
      </c>
      <c r="Z312" s="8">
        <v>9</v>
      </c>
      <c r="AA312" s="8">
        <v>19482.18</v>
      </c>
      <c r="AB312" s="8">
        <v>0</v>
      </c>
      <c r="AC312" s="8">
        <v>0</v>
      </c>
      <c r="AD312" s="8">
        <v>0</v>
      </c>
      <c r="AE312" s="8">
        <v>38964.36</v>
      </c>
      <c r="AF312" s="8">
        <v>0</v>
      </c>
      <c r="AG312" s="8" t="s">
        <v>65</v>
      </c>
      <c r="AH312" s="8" t="s">
        <v>11</v>
      </c>
      <c r="AI312" s="8">
        <v>39269080</v>
      </c>
      <c r="AJ312" s="8" t="s">
        <v>60</v>
      </c>
      <c r="AK312" s="8">
        <v>1</v>
      </c>
      <c r="AL312" s="8">
        <v>1521</v>
      </c>
      <c r="AM312" s="8" t="s">
        <v>1905</v>
      </c>
    </row>
    <row r="313" spans="7:39" ht="12.75" customHeight="1">
      <c r="G313" s="344"/>
      <c r="H313" s="345" t="s">
        <v>2858</v>
      </c>
      <c r="I313" s="8" t="s">
        <v>87</v>
      </c>
      <c r="J313" s="8" t="s">
        <v>91</v>
      </c>
      <c r="K313" s="8" t="s">
        <v>2898</v>
      </c>
      <c r="L313" s="8" t="s">
        <v>98</v>
      </c>
      <c r="M313" s="8" t="s">
        <v>2899</v>
      </c>
      <c r="N313" s="7" t="s">
        <v>2858</v>
      </c>
      <c r="O313" s="8" t="s">
        <v>13</v>
      </c>
      <c r="P313" s="8" t="s">
        <v>80</v>
      </c>
      <c r="Q313" s="8" t="s">
        <v>81</v>
      </c>
      <c r="R313" s="8" t="s">
        <v>82</v>
      </c>
      <c r="S313" s="8" t="s">
        <v>17</v>
      </c>
      <c r="T313" s="9">
        <v>50</v>
      </c>
      <c r="U313" s="9">
        <v>9243</v>
      </c>
      <c r="V313" s="8" t="s">
        <v>17</v>
      </c>
      <c r="W313" s="8">
        <v>0</v>
      </c>
      <c r="X313" s="8">
        <v>9</v>
      </c>
      <c r="Y313" s="8">
        <v>831.87</v>
      </c>
      <c r="Z313" s="8">
        <v>9</v>
      </c>
      <c r="AA313" s="8">
        <v>831.87</v>
      </c>
      <c r="AB313" s="8">
        <v>0</v>
      </c>
      <c r="AC313" s="8">
        <v>0</v>
      </c>
      <c r="AD313" s="8">
        <v>0</v>
      </c>
      <c r="AE313" s="8">
        <v>1663.74</v>
      </c>
      <c r="AF313" s="8">
        <v>0</v>
      </c>
      <c r="AG313" s="8" t="s">
        <v>65</v>
      </c>
      <c r="AH313" s="8" t="s">
        <v>11</v>
      </c>
      <c r="AI313" s="8">
        <v>39200000</v>
      </c>
      <c r="AJ313" s="8" t="s">
        <v>60</v>
      </c>
      <c r="AK313" s="8">
        <v>1</v>
      </c>
      <c r="AL313" s="8">
        <v>50</v>
      </c>
      <c r="AM313" s="8" t="s">
        <v>1905</v>
      </c>
    </row>
    <row r="314" spans="7:39" ht="12.75" customHeight="1">
      <c r="G314" s="344"/>
      <c r="H314" s="345" t="s">
        <v>2858</v>
      </c>
      <c r="I314" s="8" t="s">
        <v>116</v>
      </c>
      <c r="J314" s="8" t="s">
        <v>96</v>
      </c>
      <c r="K314" s="8" t="s">
        <v>2900</v>
      </c>
      <c r="L314" s="8" t="s">
        <v>97</v>
      </c>
      <c r="M314" s="8" t="s">
        <v>2901</v>
      </c>
      <c r="N314" s="7">
        <v>46242</v>
      </c>
      <c r="O314" s="8" t="s">
        <v>5</v>
      </c>
      <c r="P314" s="8" t="s">
        <v>111</v>
      </c>
      <c r="Q314" s="8" t="s">
        <v>68</v>
      </c>
      <c r="R314" s="8" t="s">
        <v>69</v>
      </c>
      <c r="S314" s="8" t="s">
        <v>2902</v>
      </c>
      <c r="T314" s="9">
        <v>10</v>
      </c>
      <c r="U314" s="9">
        <v>200</v>
      </c>
      <c r="V314" s="8" t="s">
        <v>2902</v>
      </c>
      <c r="W314" s="8">
        <v>944</v>
      </c>
      <c r="X314" s="8">
        <v>9</v>
      </c>
      <c r="Y314" s="8">
        <v>18</v>
      </c>
      <c r="Z314" s="8">
        <v>9</v>
      </c>
      <c r="AA314" s="8">
        <v>18</v>
      </c>
      <c r="AB314" s="8">
        <v>0</v>
      </c>
      <c r="AC314" s="8">
        <v>0</v>
      </c>
      <c r="AD314" s="8">
        <v>0</v>
      </c>
      <c r="AE314" s="8">
        <v>36</v>
      </c>
      <c r="AF314" s="8">
        <v>0</v>
      </c>
      <c r="AG314" s="8" t="s">
        <v>2075</v>
      </c>
      <c r="AH314" s="8" t="s">
        <v>1</v>
      </c>
      <c r="AI314" s="8">
        <v>96031000</v>
      </c>
      <c r="AJ314" s="8" t="s">
        <v>60</v>
      </c>
      <c r="AK314" s="8">
        <v>1</v>
      </c>
      <c r="AL314" s="8">
        <v>0</v>
      </c>
      <c r="AM314" s="8" t="s">
        <v>1905</v>
      </c>
    </row>
    <row r="315" spans="7:39" ht="12.75" customHeight="1">
      <c r="G315" s="344"/>
      <c r="H315" s="345" t="s">
        <v>2858</v>
      </c>
      <c r="I315" s="8" t="s">
        <v>116</v>
      </c>
      <c r="J315" s="8" t="s">
        <v>96</v>
      </c>
      <c r="K315" s="8" t="s">
        <v>2900</v>
      </c>
      <c r="L315" s="8" t="s">
        <v>97</v>
      </c>
      <c r="M315" s="8" t="s">
        <v>2901</v>
      </c>
      <c r="N315" s="7">
        <v>46242</v>
      </c>
      <c r="O315" s="8" t="s">
        <v>2379</v>
      </c>
      <c r="P315" s="8" t="s">
        <v>2380</v>
      </c>
      <c r="Q315" s="8" t="s">
        <v>68</v>
      </c>
      <c r="R315" s="8" t="s">
        <v>69</v>
      </c>
      <c r="S315" s="8" t="s">
        <v>2903</v>
      </c>
      <c r="T315" s="9">
        <v>20</v>
      </c>
      <c r="U315" s="9">
        <v>600</v>
      </c>
      <c r="V315" s="8" t="s">
        <v>2903</v>
      </c>
      <c r="W315" s="8">
        <v>0</v>
      </c>
      <c r="X315" s="8">
        <v>9</v>
      </c>
      <c r="Y315" s="8">
        <v>54</v>
      </c>
      <c r="Z315" s="8">
        <v>9</v>
      </c>
      <c r="AA315" s="8">
        <v>54</v>
      </c>
      <c r="AB315" s="8">
        <v>0</v>
      </c>
      <c r="AC315" s="8">
        <v>0</v>
      </c>
      <c r="AD315" s="8">
        <v>0</v>
      </c>
      <c r="AE315" s="8">
        <v>108</v>
      </c>
      <c r="AF315" s="8">
        <v>0</v>
      </c>
      <c r="AG315" s="8" t="s">
        <v>2075</v>
      </c>
      <c r="AH315" s="8" t="s">
        <v>1</v>
      </c>
      <c r="AI315" s="8">
        <v>830590</v>
      </c>
      <c r="AJ315" s="8" t="s">
        <v>60</v>
      </c>
      <c r="AK315" s="8">
        <v>1</v>
      </c>
      <c r="AL315" s="8">
        <v>0</v>
      </c>
      <c r="AM315" s="8" t="s">
        <v>1905</v>
      </c>
    </row>
    <row r="316" spans="7:39" ht="12.75" customHeight="1">
      <c r="G316" s="344"/>
      <c r="H316" s="345" t="s">
        <v>2858</v>
      </c>
      <c r="I316" s="8" t="s">
        <v>2904</v>
      </c>
      <c r="J316" s="8" t="s">
        <v>96</v>
      </c>
      <c r="K316" s="8" t="s">
        <v>2905</v>
      </c>
      <c r="L316" s="8" t="s">
        <v>97</v>
      </c>
      <c r="M316" s="8" t="s">
        <v>2906</v>
      </c>
      <c r="N316" s="7">
        <v>46242</v>
      </c>
      <c r="O316" s="8" t="s">
        <v>2</v>
      </c>
      <c r="P316" s="8" t="s">
        <v>2907</v>
      </c>
      <c r="Q316" s="8" t="s">
        <v>68</v>
      </c>
      <c r="R316" s="8" t="s">
        <v>69</v>
      </c>
      <c r="S316" s="8" t="s">
        <v>2908</v>
      </c>
      <c r="T316" s="9">
        <v>2</v>
      </c>
      <c r="U316" s="9">
        <v>2600</v>
      </c>
      <c r="V316" s="8" t="s">
        <v>2908</v>
      </c>
      <c r="W316" s="8">
        <v>3304</v>
      </c>
      <c r="X316" s="8">
        <v>9</v>
      </c>
      <c r="Y316" s="8">
        <v>234</v>
      </c>
      <c r="Z316" s="8">
        <v>9</v>
      </c>
      <c r="AA316" s="8">
        <v>234</v>
      </c>
      <c r="AB316" s="8">
        <v>0</v>
      </c>
      <c r="AC316" s="8">
        <v>0</v>
      </c>
      <c r="AD316" s="8">
        <v>36</v>
      </c>
      <c r="AE316" s="8">
        <v>504</v>
      </c>
      <c r="AF316" s="8">
        <v>0</v>
      </c>
      <c r="AG316" s="8" t="s">
        <v>2909</v>
      </c>
      <c r="AH316" s="8" t="s">
        <v>1</v>
      </c>
      <c r="AI316" s="8">
        <v>844849</v>
      </c>
      <c r="AJ316" s="8" t="s">
        <v>60</v>
      </c>
      <c r="AK316" s="8">
        <v>1</v>
      </c>
      <c r="AL316" s="8">
        <v>0</v>
      </c>
      <c r="AM316" s="8" t="s">
        <v>1905</v>
      </c>
    </row>
    <row r="317" spans="7:39" ht="12.75" customHeight="1">
      <c r="G317" s="344"/>
      <c r="H317" s="345" t="s">
        <v>2910</v>
      </c>
      <c r="I317" s="8" t="s">
        <v>87</v>
      </c>
      <c r="J317" s="8" t="s">
        <v>96</v>
      </c>
      <c r="K317" s="8" t="s">
        <v>2911</v>
      </c>
      <c r="L317" s="8" t="s">
        <v>97</v>
      </c>
      <c r="M317" s="8" t="s">
        <v>2912</v>
      </c>
      <c r="N317" s="7" t="s">
        <v>2910</v>
      </c>
      <c r="O317" s="8" t="s">
        <v>2</v>
      </c>
      <c r="P317" s="8" t="s">
        <v>67</v>
      </c>
      <c r="Q317" s="8" t="s">
        <v>68</v>
      </c>
      <c r="R317" s="8" t="s">
        <v>69</v>
      </c>
      <c r="S317" s="8" t="s">
        <v>70</v>
      </c>
      <c r="T317" s="9">
        <v>246</v>
      </c>
      <c r="U317" s="9">
        <v>11808</v>
      </c>
      <c r="V317" s="8" t="s">
        <v>70</v>
      </c>
      <c r="W317" s="8">
        <v>13921.63</v>
      </c>
      <c r="X317" s="8">
        <v>9</v>
      </c>
      <c r="Y317" s="8">
        <v>1062.72</v>
      </c>
      <c r="Z317" s="8">
        <v>9</v>
      </c>
      <c r="AA317" s="8">
        <v>1062.72</v>
      </c>
      <c r="AB317" s="8">
        <v>0</v>
      </c>
      <c r="AC317" s="8">
        <v>0</v>
      </c>
      <c r="AD317" s="8">
        <v>0</v>
      </c>
      <c r="AE317" s="8">
        <v>2125.44</v>
      </c>
      <c r="AF317" s="8">
        <v>0</v>
      </c>
      <c r="AG317" s="8" t="s">
        <v>65</v>
      </c>
      <c r="AH317" s="8" t="s">
        <v>11</v>
      </c>
      <c r="AI317" s="8">
        <v>73063090</v>
      </c>
      <c r="AJ317" s="8" t="s">
        <v>60</v>
      </c>
      <c r="AK317" s="8">
        <v>1</v>
      </c>
      <c r="AL317" s="8">
        <v>0</v>
      </c>
      <c r="AM317" s="8" t="s">
        <v>1905</v>
      </c>
    </row>
    <row r="318" spans="7:39" ht="12.75" customHeight="1">
      <c r="G318" s="344"/>
      <c r="H318" s="345" t="s">
        <v>2910</v>
      </c>
      <c r="I318" s="8" t="s">
        <v>87</v>
      </c>
      <c r="J318" s="8" t="s">
        <v>91</v>
      </c>
      <c r="K318" s="8" t="s">
        <v>2913</v>
      </c>
      <c r="L318" s="8" t="s">
        <v>98</v>
      </c>
      <c r="M318" s="8" t="s">
        <v>2914</v>
      </c>
      <c r="N318" s="7" t="s">
        <v>2910</v>
      </c>
      <c r="O318" s="8" t="s">
        <v>13</v>
      </c>
      <c r="P318" s="8" t="s">
        <v>80</v>
      </c>
      <c r="Q318" s="8" t="s">
        <v>81</v>
      </c>
      <c r="R318" s="8" t="s">
        <v>82</v>
      </c>
      <c r="S318" s="8" t="s">
        <v>17</v>
      </c>
      <c r="T318" s="9">
        <v>3769</v>
      </c>
      <c r="U318" s="9">
        <v>666585.34</v>
      </c>
      <c r="V318" s="8" t="s">
        <v>17</v>
      </c>
      <c r="W318" s="8">
        <v>1564096.3</v>
      </c>
      <c r="X318" s="8">
        <v>9</v>
      </c>
      <c r="Y318" s="8">
        <v>59992.68</v>
      </c>
      <c r="Z318" s="8">
        <v>9</v>
      </c>
      <c r="AA318" s="8">
        <v>59992.68</v>
      </c>
      <c r="AB318" s="8">
        <v>0</v>
      </c>
      <c r="AC318" s="8">
        <v>0</v>
      </c>
      <c r="AD318" s="8">
        <v>0</v>
      </c>
      <c r="AE318" s="8">
        <v>119985.36</v>
      </c>
      <c r="AF318" s="8">
        <v>0</v>
      </c>
      <c r="AG318" s="8" t="s">
        <v>65</v>
      </c>
      <c r="AH318" s="8" t="s">
        <v>11</v>
      </c>
      <c r="AI318" s="8">
        <v>39200000</v>
      </c>
      <c r="AJ318" s="8" t="s">
        <v>60</v>
      </c>
      <c r="AK318" s="8">
        <v>1</v>
      </c>
      <c r="AL318" s="8">
        <v>3769</v>
      </c>
      <c r="AM318" s="8" t="s">
        <v>1905</v>
      </c>
    </row>
    <row r="319" spans="7:39" ht="12.75" customHeight="1">
      <c r="G319" s="344"/>
      <c r="H319" s="345" t="s">
        <v>2910</v>
      </c>
      <c r="I319" s="8" t="s">
        <v>87</v>
      </c>
      <c r="J319" s="8" t="s">
        <v>91</v>
      </c>
      <c r="K319" s="8" t="s">
        <v>2913</v>
      </c>
      <c r="L319" s="8" t="s">
        <v>98</v>
      </c>
      <c r="M319" s="8" t="s">
        <v>2914</v>
      </c>
      <c r="N319" s="7" t="s">
        <v>2910</v>
      </c>
      <c r="O319" s="8" t="s">
        <v>13</v>
      </c>
      <c r="P319" s="8" t="s">
        <v>62</v>
      </c>
      <c r="Q319" s="8" t="s">
        <v>63</v>
      </c>
      <c r="R319" s="8" t="s">
        <v>64</v>
      </c>
      <c r="S319" s="8" t="s">
        <v>19</v>
      </c>
      <c r="T319" s="9">
        <v>252</v>
      </c>
      <c r="U319" s="9">
        <v>36368.639999999999</v>
      </c>
      <c r="V319" s="8" t="s">
        <v>19</v>
      </c>
      <c r="W319" s="8">
        <v>0</v>
      </c>
      <c r="X319" s="8">
        <v>9</v>
      </c>
      <c r="Y319" s="8">
        <v>3273.18</v>
      </c>
      <c r="Z319" s="8">
        <v>9</v>
      </c>
      <c r="AA319" s="8">
        <v>3273.18</v>
      </c>
      <c r="AB319" s="8">
        <v>0</v>
      </c>
      <c r="AC319" s="8">
        <v>0</v>
      </c>
      <c r="AD319" s="8">
        <v>0</v>
      </c>
      <c r="AE319" s="8">
        <v>6546.36</v>
      </c>
      <c r="AF319" s="8">
        <v>0</v>
      </c>
      <c r="AG319" s="8" t="s">
        <v>65</v>
      </c>
      <c r="AH319" s="8" t="s">
        <v>11</v>
      </c>
      <c r="AI319" s="8">
        <v>39269080</v>
      </c>
      <c r="AJ319" s="8" t="s">
        <v>60</v>
      </c>
      <c r="AK319" s="8">
        <v>1</v>
      </c>
      <c r="AL319" s="8">
        <v>252</v>
      </c>
      <c r="AM319" s="8" t="s">
        <v>1905</v>
      </c>
    </row>
    <row r="320" spans="7:39" ht="12.75" customHeight="1">
      <c r="G320" s="344"/>
      <c r="H320" s="345" t="s">
        <v>2910</v>
      </c>
      <c r="I320" s="8" t="s">
        <v>87</v>
      </c>
      <c r="J320" s="8" t="s">
        <v>91</v>
      </c>
      <c r="K320" s="8" t="s">
        <v>2913</v>
      </c>
      <c r="L320" s="8" t="s">
        <v>98</v>
      </c>
      <c r="M320" s="8" t="s">
        <v>2914</v>
      </c>
      <c r="N320" s="7" t="s">
        <v>2910</v>
      </c>
      <c r="O320" s="8" t="s">
        <v>13</v>
      </c>
      <c r="P320" s="8" t="s">
        <v>62</v>
      </c>
      <c r="Q320" s="8" t="s">
        <v>63</v>
      </c>
      <c r="R320" s="8" t="s">
        <v>64</v>
      </c>
      <c r="S320" s="344" t="s">
        <v>19</v>
      </c>
      <c r="T320" s="9">
        <v>570</v>
      </c>
      <c r="U320" s="9">
        <v>82832.399999999994</v>
      </c>
      <c r="V320" s="8" t="s">
        <v>19</v>
      </c>
      <c r="W320" s="8">
        <v>0</v>
      </c>
      <c r="X320" s="8">
        <v>9</v>
      </c>
      <c r="Y320" s="8">
        <v>7454.92</v>
      </c>
      <c r="Z320" s="8">
        <v>9</v>
      </c>
      <c r="AA320" s="8">
        <v>7454.92</v>
      </c>
      <c r="AB320" s="8">
        <v>0</v>
      </c>
      <c r="AC320" s="8">
        <v>0</v>
      </c>
      <c r="AD320" s="8">
        <v>0</v>
      </c>
      <c r="AE320" s="8">
        <v>14909.84</v>
      </c>
      <c r="AF320" s="8">
        <v>0</v>
      </c>
      <c r="AG320" s="8" t="s">
        <v>65</v>
      </c>
      <c r="AH320" s="8" t="s">
        <v>11</v>
      </c>
      <c r="AI320" s="8">
        <v>39269080</v>
      </c>
      <c r="AJ320" s="8" t="s">
        <v>60</v>
      </c>
      <c r="AK320" s="8">
        <v>1</v>
      </c>
      <c r="AL320" s="8">
        <v>570</v>
      </c>
      <c r="AM320" s="8" t="s">
        <v>1905</v>
      </c>
    </row>
    <row r="321" spans="7:39" ht="12.75" customHeight="1">
      <c r="G321" s="344"/>
      <c r="H321" s="345" t="s">
        <v>2910</v>
      </c>
      <c r="I321" s="8" t="s">
        <v>87</v>
      </c>
      <c r="J321" s="8" t="s">
        <v>91</v>
      </c>
      <c r="K321" s="8" t="s">
        <v>2913</v>
      </c>
      <c r="L321" s="8" t="s">
        <v>98</v>
      </c>
      <c r="M321" s="8" t="s">
        <v>2914</v>
      </c>
      <c r="N321" s="7" t="s">
        <v>2910</v>
      </c>
      <c r="O321" s="8" t="s">
        <v>13</v>
      </c>
      <c r="P321" s="8" t="s">
        <v>62</v>
      </c>
      <c r="Q321" s="8" t="s">
        <v>63</v>
      </c>
      <c r="R321" s="8" t="s">
        <v>64</v>
      </c>
      <c r="S321" s="8" t="s">
        <v>19</v>
      </c>
      <c r="T321" s="9">
        <v>1536</v>
      </c>
      <c r="U321" s="9">
        <v>218603.51999999999</v>
      </c>
      <c r="V321" s="8" t="s">
        <v>19</v>
      </c>
      <c r="W321" s="8">
        <v>0</v>
      </c>
      <c r="X321" s="8">
        <v>9</v>
      </c>
      <c r="Y321" s="8">
        <v>19674.32</v>
      </c>
      <c r="Z321" s="8">
        <v>9</v>
      </c>
      <c r="AA321" s="8">
        <v>19674.32</v>
      </c>
      <c r="AB321" s="8">
        <v>0</v>
      </c>
      <c r="AC321" s="8">
        <v>0</v>
      </c>
      <c r="AD321" s="8">
        <v>0</v>
      </c>
      <c r="AE321" s="8">
        <v>39348.639999999999</v>
      </c>
      <c r="AF321" s="8">
        <v>0</v>
      </c>
      <c r="AG321" s="8" t="s">
        <v>65</v>
      </c>
      <c r="AH321" s="8" t="s">
        <v>11</v>
      </c>
      <c r="AI321" s="8">
        <v>39269080</v>
      </c>
      <c r="AJ321" s="8" t="s">
        <v>60</v>
      </c>
      <c r="AK321" s="8">
        <v>1</v>
      </c>
      <c r="AL321" s="8">
        <v>1536</v>
      </c>
      <c r="AM321" s="8" t="s">
        <v>1905</v>
      </c>
    </row>
    <row r="322" spans="7:39" ht="12.75" customHeight="1">
      <c r="G322" s="344"/>
      <c r="H322" s="345" t="s">
        <v>2910</v>
      </c>
      <c r="I322" s="8" t="s">
        <v>87</v>
      </c>
      <c r="J322" s="8" t="s">
        <v>91</v>
      </c>
      <c r="K322" s="8" t="s">
        <v>2913</v>
      </c>
      <c r="L322" s="8" t="s">
        <v>98</v>
      </c>
      <c r="M322" s="8" t="s">
        <v>2914</v>
      </c>
      <c r="N322" s="7" t="s">
        <v>2910</v>
      </c>
      <c r="O322" s="8" t="s">
        <v>13</v>
      </c>
      <c r="P322" s="8" t="s">
        <v>24</v>
      </c>
      <c r="Q322" s="8" t="s">
        <v>79</v>
      </c>
      <c r="R322" s="8" t="s">
        <v>79</v>
      </c>
      <c r="S322" s="8" t="s">
        <v>24</v>
      </c>
      <c r="T322" s="9">
        <v>1323.6</v>
      </c>
      <c r="U322" s="9">
        <v>194992.75</v>
      </c>
      <c r="V322" s="8" t="s">
        <v>24</v>
      </c>
      <c r="W322" s="8">
        <v>0</v>
      </c>
      <c r="X322" s="8">
        <v>9</v>
      </c>
      <c r="Y322" s="8">
        <v>17549.349999999999</v>
      </c>
      <c r="Z322" s="8">
        <v>9</v>
      </c>
      <c r="AA322" s="8">
        <v>17549.349999999999</v>
      </c>
      <c r="AB322" s="8">
        <v>0</v>
      </c>
      <c r="AC322" s="8">
        <v>0</v>
      </c>
      <c r="AD322" s="8">
        <v>0</v>
      </c>
      <c r="AE322" s="8">
        <v>35098.699999999997</v>
      </c>
      <c r="AF322" s="8">
        <v>0</v>
      </c>
      <c r="AG322" s="8" t="s">
        <v>65</v>
      </c>
      <c r="AH322" s="8" t="s">
        <v>11</v>
      </c>
      <c r="AI322" s="8">
        <v>3926908</v>
      </c>
      <c r="AJ322" s="8" t="s">
        <v>60</v>
      </c>
      <c r="AK322" s="8">
        <v>1</v>
      </c>
      <c r="AL322" s="8">
        <v>1323.6</v>
      </c>
      <c r="AM322" s="8" t="s">
        <v>1905</v>
      </c>
    </row>
    <row r="323" spans="7:39" ht="12.75" customHeight="1">
      <c r="G323" s="344"/>
      <c r="H323" s="345" t="s">
        <v>2910</v>
      </c>
      <c r="I323" s="8" t="s">
        <v>87</v>
      </c>
      <c r="J323" s="8" t="s">
        <v>91</v>
      </c>
      <c r="K323" s="8" t="s">
        <v>2913</v>
      </c>
      <c r="L323" s="8" t="s">
        <v>98</v>
      </c>
      <c r="M323" s="8" t="s">
        <v>2914</v>
      </c>
      <c r="N323" s="7" t="s">
        <v>2910</v>
      </c>
      <c r="O323" s="8" t="s">
        <v>13</v>
      </c>
      <c r="P323" s="8" t="s">
        <v>24</v>
      </c>
      <c r="Q323" s="8" t="s">
        <v>79</v>
      </c>
      <c r="R323" s="8" t="s">
        <v>79</v>
      </c>
      <c r="S323" s="8" t="s">
        <v>24</v>
      </c>
      <c r="T323" s="9">
        <v>881.7</v>
      </c>
      <c r="U323" s="9">
        <v>127246.94</v>
      </c>
      <c r="V323" s="8" t="s">
        <v>24</v>
      </c>
      <c r="W323" s="8">
        <v>0</v>
      </c>
      <c r="X323" s="8">
        <v>9</v>
      </c>
      <c r="Y323" s="8">
        <v>11452.22</v>
      </c>
      <c r="Z323" s="8">
        <v>9</v>
      </c>
      <c r="AA323" s="8">
        <v>11452.22</v>
      </c>
      <c r="AB323" s="8">
        <v>0</v>
      </c>
      <c r="AC323" s="8">
        <v>0</v>
      </c>
      <c r="AD323" s="8">
        <v>0</v>
      </c>
      <c r="AE323" s="8">
        <v>22904.44</v>
      </c>
      <c r="AF323" s="8">
        <v>0</v>
      </c>
      <c r="AG323" s="8" t="s">
        <v>65</v>
      </c>
      <c r="AH323" s="8" t="s">
        <v>11</v>
      </c>
      <c r="AI323" s="8">
        <v>3926908</v>
      </c>
      <c r="AJ323" s="8" t="s">
        <v>60</v>
      </c>
      <c r="AK323" s="8">
        <v>1</v>
      </c>
      <c r="AL323" s="8">
        <v>881.7</v>
      </c>
      <c r="AM323" s="8" t="s">
        <v>1905</v>
      </c>
    </row>
    <row r="324" spans="7:39" ht="12.75" customHeight="1">
      <c r="G324" s="344"/>
      <c r="H324" s="345" t="s">
        <v>2910</v>
      </c>
      <c r="I324" s="8" t="s">
        <v>87</v>
      </c>
      <c r="J324" s="8" t="s">
        <v>91</v>
      </c>
      <c r="K324" s="8" t="s">
        <v>2915</v>
      </c>
      <c r="L324" s="8" t="s">
        <v>98</v>
      </c>
      <c r="M324" s="8" t="s">
        <v>2916</v>
      </c>
      <c r="N324" s="7" t="s">
        <v>2910</v>
      </c>
      <c r="O324" s="8" t="s">
        <v>13</v>
      </c>
      <c r="P324" s="8" t="s">
        <v>62</v>
      </c>
      <c r="Q324" s="8" t="s">
        <v>63</v>
      </c>
      <c r="R324" s="8" t="s">
        <v>64</v>
      </c>
      <c r="S324" s="8" t="s">
        <v>19</v>
      </c>
      <c r="T324" s="9">
        <v>268</v>
      </c>
      <c r="U324" s="9">
        <v>38945.760000000002</v>
      </c>
      <c r="V324" s="8" t="s">
        <v>19</v>
      </c>
      <c r="W324" s="8">
        <v>1426842.79</v>
      </c>
      <c r="X324" s="8">
        <v>9</v>
      </c>
      <c r="Y324" s="8">
        <v>3505.12</v>
      </c>
      <c r="Z324" s="8">
        <v>9</v>
      </c>
      <c r="AA324" s="8">
        <v>3505.12</v>
      </c>
      <c r="AB324" s="8">
        <v>0</v>
      </c>
      <c r="AC324" s="8">
        <v>0</v>
      </c>
      <c r="AD324" s="8">
        <v>0</v>
      </c>
      <c r="AE324" s="8">
        <v>7010.24</v>
      </c>
      <c r="AF324" s="8">
        <v>0</v>
      </c>
      <c r="AG324" s="8" t="s">
        <v>65</v>
      </c>
      <c r="AH324" s="8" t="s">
        <v>11</v>
      </c>
      <c r="AI324" s="8">
        <v>39269080</v>
      </c>
      <c r="AJ324" s="8" t="s">
        <v>60</v>
      </c>
      <c r="AK324" s="8">
        <v>1</v>
      </c>
      <c r="AL324" s="8">
        <v>268</v>
      </c>
      <c r="AM324" s="8" t="s">
        <v>1905</v>
      </c>
    </row>
    <row r="325" spans="7:39" ht="12.75" customHeight="1">
      <c r="G325" s="344"/>
      <c r="H325" s="345" t="s">
        <v>2910</v>
      </c>
      <c r="I325" s="8" t="s">
        <v>87</v>
      </c>
      <c r="J325" s="8" t="s">
        <v>91</v>
      </c>
      <c r="K325" s="8" t="s">
        <v>2915</v>
      </c>
      <c r="L325" s="8" t="s">
        <v>98</v>
      </c>
      <c r="M325" s="8" t="s">
        <v>2916</v>
      </c>
      <c r="N325" s="7" t="s">
        <v>2910</v>
      </c>
      <c r="O325" s="8" t="s">
        <v>13</v>
      </c>
      <c r="P325" s="8" t="s">
        <v>62</v>
      </c>
      <c r="Q325" s="8" t="s">
        <v>63</v>
      </c>
      <c r="R325" s="8" t="s">
        <v>64</v>
      </c>
      <c r="S325" s="8" t="s">
        <v>19</v>
      </c>
      <c r="T325" s="9">
        <v>1454</v>
      </c>
      <c r="U325" s="9">
        <v>209841.28</v>
      </c>
      <c r="V325" s="8" t="s">
        <v>19</v>
      </c>
      <c r="W325" s="8">
        <v>0</v>
      </c>
      <c r="X325" s="8">
        <v>9</v>
      </c>
      <c r="Y325" s="8">
        <v>18885.72</v>
      </c>
      <c r="Z325" s="8">
        <v>9</v>
      </c>
      <c r="AA325" s="8">
        <v>18885.72</v>
      </c>
      <c r="AB325" s="8">
        <v>0</v>
      </c>
      <c r="AC325" s="8">
        <v>0</v>
      </c>
      <c r="AD325" s="8">
        <v>0</v>
      </c>
      <c r="AE325" s="8">
        <v>37771.440000000002</v>
      </c>
      <c r="AF325" s="8">
        <v>0</v>
      </c>
      <c r="AG325" s="8" t="s">
        <v>65</v>
      </c>
      <c r="AH325" s="8" t="s">
        <v>11</v>
      </c>
      <c r="AI325" s="8">
        <v>39269080</v>
      </c>
      <c r="AJ325" s="8" t="s">
        <v>60</v>
      </c>
      <c r="AK325" s="8">
        <v>1</v>
      </c>
      <c r="AL325" s="8">
        <v>1454</v>
      </c>
      <c r="AM325" s="8" t="s">
        <v>1905</v>
      </c>
    </row>
    <row r="326" spans="7:39" ht="12.75" customHeight="1">
      <c r="G326" s="344"/>
      <c r="H326" s="345" t="s">
        <v>2910</v>
      </c>
      <c r="I326" s="8" t="s">
        <v>87</v>
      </c>
      <c r="J326" s="8" t="s">
        <v>91</v>
      </c>
      <c r="K326" s="8" t="s">
        <v>2915</v>
      </c>
      <c r="L326" s="8" t="s">
        <v>98</v>
      </c>
      <c r="M326" s="8" t="s">
        <v>2916</v>
      </c>
      <c r="N326" s="7" t="s">
        <v>2910</v>
      </c>
      <c r="O326" s="8" t="s">
        <v>13</v>
      </c>
      <c r="P326" s="8" t="s">
        <v>62</v>
      </c>
      <c r="Q326" s="8" t="s">
        <v>76</v>
      </c>
      <c r="R326" s="8" t="s">
        <v>77</v>
      </c>
      <c r="S326" s="8" t="s">
        <v>21</v>
      </c>
      <c r="T326" s="9">
        <v>526</v>
      </c>
      <c r="U326" s="9">
        <v>75912.320000000007</v>
      </c>
      <c r="V326" s="8" t="s">
        <v>21</v>
      </c>
      <c r="W326" s="8">
        <v>0</v>
      </c>
      <c r="X326" s="8">
        <v>9</v>
      </c>
      <c r="Y326" s="8">
        <v>6832.11</v>
      </c>
      <c r="Z326" s="8">
        <v>9</v>
      </c>
      <c r="AA326" s="8">
        <v>6832.11</v>
      </c>
      <c r="AB326" s="8">
        <v>0</v>
      </c>
      <c r="AC326" s="8">
        <v>0</v>
      </c>
      <c r="AD326" s="8">
        <v>0</v>
      </c>
      <c r="AE326" s="8">
        <v>13664.22</v>
      </c>
      <c r="AF326" s="8">
        <v>0</v>
      </c>
      <c r="AG326" s="8" t="s">
        <v>65</v>
      </c>
      <c r="AH326" s="8" t="s">
        <v>11</v>
      </c>
      <c r="AI326" s="8">
        <v>63053300</v>
      </c>
      <c r="AJ326" s="8" t="s">
        <v>60</v>
      </c>
      <c r="AK326" s="8">
        <v>1</v>
      </c>
      <c r="AL326" s="8">
        <v>526</v>
      </c>
      <c r="AM326" s="8" t="s">
        <v>1905</v>
      </c>
    </row>
    <row r="327" spans="7:39" ht="12.75" customHeight="1">
      <c r="G327" s="344"/>
      <c r="H327" s="345" t="s">
        <v>2910</v>
      </c>
      <c r="I327" s="8" t="s">
        <v>87</v>
      </c>
      <c r="J327" s="8" t="s">
        <v>91</v>
      </c>
      <c r="K327" s="8" t="s">
        <v>2915</v>
      </c>
      <c r="L327" s="8" t="s">
        <v>98</v>
      </c>
      <c r="M327" s="8" t="s">
        <v>2916</v>
      </c>
      <c r="N327" s="7" t="s">
        <v>2910</v>
      </c>
      <c r="O327" s="8" t="s">
        <v>13</v>
      </c>
      <c r="P327" s="8" t="s">
        <v>62</v>
      </c>
      <c r="Q327" s="8" t="s">
        <v>63</v>
      </c>
      <c r="R327" s="8" t="s">
        <v>64</v>
      </c>
      <c r="S327" s="8" t="s">
        <v>19</v>
      </c>
      <c r="T327" s="9">
        <v>6222</v>
      </c>
      <c r="U327" s="9">
        <v>885515.04</v>
      </c>
      <c r="V327" s="8" t="s">
        <v>19</v>
      </c>
      <c r="W327" s="8">
        <v>0</v>
      </c>
      <c r="X327" s="8">
        <v>9</v>
      </c>
      <c r="Y327" s="8">
        <v>79696.350000000006</v>
      </c>
      <c r="Z327" s="8">
        <v>9</v>
      </c>
      <c r="AA327" s="8">
        <v>79696.350000000006</v>
      </c>
      <c r="AB327" s="8">
        <v>0</v>
      </c>
      <c r="AC327" s="8">
        <v>0</v>
      </c>
      <c r="AD327" s="8">
        <v>0</v>
      </c>
      <c r="AE327" s="8">
        <v>159392.70000000001</v>
      </c>
      <c r="AF327" s="8">
        <v>0</v>
      </c>
      <c r="AG327" s="8" t="s">
        <v>65</v>
      </c>
      <c r="AH327" s="8" t="s">
        <v>11</v>
      </c>
      <c r="AI327" s="8">
        <v>39269080</v>
      </c>
      <c r="AJ327" s="8" t="s">
        <v>60</v>
      </c>
      <c r="AK327" s="8">
        <v>1</v>
      </c>
      <c r="AL327" s="8">
        <v>6222</v>
      </c>
      <c r="AM327" s="8" t="s">
        <v>1905</v>
      </c>
    </row>
    <row r="328" spans="7:39" ht="12.75" customHeight="1">
      <c r="G328" s="344"/>
      <c r="H328" s="345" t="s">
        <v>2910</v>
      </c>
      <c r="I328" s="8" t="s">
        <v>87</v>
      </c>
      <c r="J328" s="8" t="s">
        <v>91</v>
      </c>
      <c r="K328" s="8" t="s">
        <v>2917</v>
      </c>
      <c r="L328" s="8" t="s">
        <v>98</v>
      </c>
      <c r="M328" s="8" t="s">
        <v>2918</v>
      </c>
      <c r="N328" s="7" t="s">
        <v>2919</v>
      </c>
      <c r="O328" s="8" t="s">
        <v>13</v>
      </c>
      <c r="P328" s="8" t="s">
        <v>80</v>
      </c>
      <c r="Q328" s="8" t="s">
        <v>81</v>
      </c>
      <c r="R328" s="8" t="s">
        <v>82</v>
      </c>
      <c r="S328" s="8" t="s">
        <v>17</v>
      </c>
      <c r="T328" s="9">
        <v>4681</v>
      </c>
      <c r="U328" s="9">
        <v>827881.66</v>
      </c>
      <c r="V328" s="8" t="s">
        <v>17</v>
      </c>
      <c r="W328" s="8">
        <v>2116820.29</v>
      </c>
      <c r="X328" s="8">
        <v>9</v>
      </c>
      <c r="Y328" s="8">
        <v>74509.350000000006</v>
      </c>
      <c r="Z328" s="8">
        <v>9</v>
      </c>
      <c r="AA328" s="8">
        <v>74509.350000000006</v>
      </c>
      <c r="AB328" s="8">
        <v>0</v>
      </c>
      <c r="AC328" s="8">
        <v>0</v>
      </c>
      <c r="AD328" s="8">
        <v>0</v>
      </c>
      <c r="AE328" s="8">
        <v>149018.70000000001</v>
      </c>
      <c r="AF328" s="8">
        <v>0</v>
      </c>
      <c r="AG328" s="8" t="s">
        <v>65</v>
      </c>
      <c r="AH328" s="8" t="s">
        <v>11</v>
      </c>
      <c r="AI328" s="8">
        <v>39200000</v>
      </c>
      <c r="AJ328" s="8" t="s">
        <v>60</v>
      </c>
      <c r="AK328" s="8">
        <v>1</v>
      </c>
      <c r="AL328" s="8">
        <v>4681</v>
      </c>
      <c r="AM328" s="8" t="s">
        <v>1905</v>
      </c>
    </row>
    <row r="329" spans="7:39" ht="12.75" customHeight="1">
      <c r="G329" s="344"/>
      <c r="H329" s="345" t="s">
        <v>2910</v>
      </c>
      <c r="I329" s="8" t="s">
        <v>87</v>
      </c>
      <c r="J329" s="8" t="s">
        <v>91</v>
      </c>
      <c r="K329" s="8" t="s">
        <v>2917</v>
      </c>
      <c r="L329" s="8" t="s">
        <v>98</v>
      </c>
      <c r="M329" s="8" t="s">
        <v>2918</v>
      </c>
      <c r="N329" s="7" t="s">
        <v>2919</v>
      </c>
      <c r="O329" s="8" t="s">
        <v>13</v>
      </c>
      <c r="P329" s="8" t="s">
        <v>62</v>
      </c>
      <c r="Q329" s="8" t="s">
        <v>63</v>
      </c>
      <c r="R329" s="8" t="s">
        <v>64</v>
      </c>
      <c r="S329" s="8" t="s">
        <v>19</v>
      </c>
      <c r="T329" s="9">
        <v>246</v>
      </c>
      <c r="U329" s="9">
        <v>35502.720000000001</v>
      </c>
      <c r="V329" s="8" t="s">
        <v>19</v>
      </c>
      <c r="W329" s="8">
        <v>0</v>
      </c>
      <c r="X329" s="8">
        <v>9</v>
      </c>
      <c r="Y329" s="8">
        <v>3195.24</v>
      </c>
      <c r="Z329" s="8">
        <v>9</v>
      </c>
      <c r="AA329" s="8">
        <v>3195.24</v>
      </c>
      <c r="AB329" s="8">
        <v>0</v>
      </c>
      <c r="AC329" s="8">
        <v>0</v>
      </c>
      <c r="AD329" s="8">
        <v>0</v>
      </c>
      <c r="AE329" s="8">
        <v>6390.48</v>
      </c>
      <c r="AF329" s="8">
        <v>0</v>
      </c>
      <c r="AG329" s="8" t="s">
        <v>65</v>
      </c>
      <c r="AH329" s="8" t="s">
        <v>11</v>
      </c>
      <c r="AI329" s="8">
        <v>39269080</v>
      </c>
      <c r="AJ329" s="8" t="s">
        <v>60</v>
      </c>
      <c r="AK329" s="8">
        <v>1</v>
      </c>
      <c r="AL329" s="8">
        <v>246</v>
      </c>
      <c r="AM329" s="8" t="s">
        <v>1905</v>
      </c>
    </row>
    <row r="330" spans="7:39" ht="12.75" customHeight="1">
      <c r="G330" s="344"/>
      <c r="H330" s="345" t="s">
        <v>2910</v>
      </c>
      <c r="I330" s="8" t="s">
        <v>87</v>
      </c>
      <c r="J330" s="8" t="s">
        <v>91</v>
      </c>
      <c r="K330" s="8" t="s">
        <v>2917</v>
      </c>
      <c r="L330" s="8" t="s">
        <v>98</v>
      </c>
      <c r="M330" s="8" t="s">
        <v>2918</v>
      </c>
      <c r="N330" s="7" t="s">
        <v>2919</v>
      </c>
      <c r="O330" s="8" t="s">
        <v>13</v>
      </c>
      <c r="P330" s="8" t="s">
        <v>62</v>
      </c>
      <c r="Q330" s="8" t="s">
        <v>63</v>
      </c>
      <c r="R330" s="8" t="s">
        <v>64</v>
      </c>
      <c r="S330" s="8" t="s">
        <v>19</v>
      </c>
      <c r="T330" s="9">
        <v>2120</v>
      </c>
      <c r="U330" s="9">
        <v>301718.40000000002</v>
      </c>
      <c r="V330" s="8" t="s">
        <v>19</v>
      </c>
      <c r="W330" s="8">
        <v>0</v>
      </c>
      <c r="X330" s="8">
        <v>9</v>
      </c>
      <c r="Y330" s="8">
        <v>27154.66</v>
      </c>
      <c r="Z330" s="8">
        <v>9</v>
      </c>
      <c r="AA330" s="8">
        <v>27154.66</v>
      </c>
      <c r="AB330" s="8">
        <v>0</v>
      </c>
      <c r="AC330" s="8">
        <v>0</v>
      </c>
      <c r="AD330" s="8">
        <v>0</v>
      </c>
      <c r="AE330" s="8">
        <v>54309.32</v>
      </c>
      <c r="AF330" s="8">
        <v>0</v>
      </c>
      <c r="AG330" s="8" t="s">
        <v>65</v>
      </c>
      <c r="AH330" s="8" t="s">
        <v>11</v>
      </c>
      <c r="AI330" s="8">
        <v>39269080</v>
      </c>
      <c r="AJ330" s="8" t="s">
        <v>60</v>
      </c>
      <c r="AK330" s="8">
        <v>1</v>
      </c>
      <c r="AL330" s="8">
        <v>2120</v>
      </c>
      <c r="AM330" s="8" t="s">
        <v>1905</v>
      </c>
    </row>
    <row r="331" spans="7:39" ht="12.75" customHeight="1">
      <c r="G331" s="344"/>
      <c r="H331" s="345" t="s">
        <v>2910</v>
      </c>
      <c r="I331" s="8" t="s">
        <v>87</v>
      </c>
      <c r="J331" s="8" t="s">
        <v>91</v>
      </c>
      <c r="K331" s="8" t="s">
        <v>2917</v>
      </c>
      <c r="L331" s="8" t="s">
        <v>98</v>
      </c>
      <c r="M331" s="8" t="s">
        <v>2918</v>
      </c>
      <c r="N331" s="7" t="s">
        <v>2919</v>
      </c>
      <c r="O331" s="8" t="s">
        <v>13</v>
      </c>
      <c r="P331" s="8" t="s">
        <v>62</v>
      </c>
      <c r="Q331" s="8" t="s">
        <v>76</v>
      </c>
      <c r="R331" s="8" t="s">
        <v>77</v>
      </c>
      <c r="S331" s="8" t="s">
        <v>21</v>
      </c>
      <c r="T331" s="9">
        <v>1847</v>
      </c>
      <c r="U331" s="9">
        <v>275794.03999999998</v>
      </c>
      <c r="V331" s="8" t="s">
        <v>21</v>
      </c>
      <c r="W331" s="8">
        <v>0</v>
      </c>
      <c r="X331" s="8">
        <v>9</v>
      </c>
      <c r="Y331" s="8">
        <v>24821.46</v>
      </c>
      <c r="Z331" s="8">
        <v>9</v>
      </c>
      <c r="AA331" s="8">
        <v>24821.46</v>
      </c>
      <c r="AB331" s="8">
        <v>0</v>
      </c>
      <c r="AC331" s="8">
        <v>0</v>
      </c>
      <c r="AD331" s="8">
        <v>0</v>
      </c>
      <c r="AE331" s="8">
        <v>49642.92</v>
      </c>
      <c r="AF331" s="8">
        <v>0</v>
      </c>
      <c r="AG331" s="8" t="s">
        <v>65</v>
      </c>
      <c r="AH331" s="8" t="s">
        <v>11</v>
      </c>
      <c r="AI331" s="8">
        <v>63053300</v>
      </c>
      <c r="AJ331" s="8" t="s">
        <v>60</v>
      </c>
      <c r="AK331" s="8">
        <v>1</v>
      </c>
      <c r="AL331" s="8">
        <v>1847</v>
      </c>
      <c r="AM331" s="8" t="s">
        <v>1905</v>
      </c>
    </row>
    <row r="332" spans="7:39" ht="12.75" customHeight="1">
      <c r="G332" s="344"/>
      <c r="H332" s="345" t="s">
        <v>2910</v>
      </c>
      <c r="I332" s="8" t="s">
        <v>87</v>
      </c>
      <c r="J332" s="8" t="s">
        <v>91</v>
      </c>
      <c r="K332" s="8" t="s">
        <v>2917</v>
      </c>
      <c r="L332" s="8" t="s">
        <v>98</v>
      </c>
      <c r="M332" s="8" t="s">
        <v>2918</v>
      </c>
      <c r="N332" s="7" t="s">
        <v>2919</v>
      </c>
      <c r="O332" s="8" t="s">
        <v>13</v>
      </c>
      <c r="P332" s="8" t="s">
        <v>24</v>
      </c>
      <c r="Q332" s="8" t="s">
        <v>79</v>
      </c>
      <c r="R332" s="8" t="s">
        <v>79</v>
      </c>
      <c r="S332" s="8" t="s">
        <v>24</v>
      </c>
      <c r="T332" s="9">
        <v>1559.9</v>
      </c>
      <c r="U332" s="9">
        <v>229804.47</v>
      </c>
      <c r="V332" s="8" t="s">
        <v>24</v>
      </c>
      <c r="W332" s="8">
        <v>0</v>
      </c>
      <c r="X332" s="8">
        <v>9</v>
      </c>
      <c r="Y332" s="8">
        <v>20682.400000000001</v>
      </c>
      <c r="Z332" s="8">
        <v>9</v>
      </c>
      <c r="AA332" s="8">
        <v>20682.400000000001</v>
      </c>
      <c r="AB332" s="8">
        <v>0</v>
      </c>
      <c r="AC332" s="8">
        <v>0</v>
      </c>
      <c r="AD332" s="8">
        <v>0</v>
      </c>
      <c r="AE332" s="8">
        <v>41364.800000000003</v>
      </c>
      <c r="AF332" s="8">
        <v>0</v>
      </c>
      <c r="AG332" s="8" t="s">
        <v>65</v>
      </c>
      <c r="AH332" s="8" t="s">
        <v>11</v>
      </c>
      <c r="AI332" s="8">
        <v>3926908</v>
      </c>
      <c r="AJ332" s="8" t="s">
        <v>60</v>
      </c>
      <c r="AK332" s="8">
        <v>1</v>
      </c>
      <c r="AL332" s="8">
        <v>1559.9</v>
      </c>
      <c r="AM332" s="8" t="s">
        <v>1905</v>
      </c>
    </row>
    <row r="333" spans="7:39" ht="12.75" customHeight="1">
      <c r="G333" s="344"/>
      <c r="H333" s="345" t="s">
        <v>2910</v>
      </c>
      <c r="I333" s="8" t="s">
        <v>87</v>
      </c>
      <c r="J333" s="8" t="s">
        <v>91</v>
      </c>
      <c r="K333" s="8" t="s">
        <v>2917</v>
      </c>
      <c r="L333" s="8" t="s">
        <v>98</v>
      </c>
      <c r="M333" s="8" t="s">
        <v>2918</v>
      </c>
      <c r="N333" s="7" t="s">
        <v>2919</v>
      </c>
      <c r="O333" s="8" t="s">
        <v>13</v>
      </c>
      <c r="P333" s="8" t="s">
        <v>24</v>
      </c>
      <c r="Q333" s="8" t="s">
        <v>79</v>
      </c>
      <c r="R333" s="8" t="s">
        <v>79</v>
      </c>
      <c r="S333" s="8" t="s">
        <v>24</v>
      </c>
      <c r="T333" s="9">
        <v>864.3</v>
      </c>
      <c r="U333" s="9">
        <v>124735.78</v>
      </c>
      <c r="V333" s="8" t="s">
        <v>24</v>
      </c>
      <c r="W333" s="8">
        <v>0</v>
      </c>
      <c r="X333" s="8">
        <v>9</v>
      </c>
      <c r="Y333" s="8">
        <v>11226.22</v>
      </c>
      <c r="Z333" s="8">
        <v>9</v>
      </c>
      <c r="AA333" s="8">
        <v>11226.22</v>
      </c>
      <c r="AB333" s="8">
        <v>0</v>
      </c>
      <c r="AC333" s="8">
        <v>0</v>
      </c>
      <c r="AD333" s="8">
        <v>0</v>
      </c>
      <c r="AE333" s="8">
        <v>22452.44</v>
      </c>
      <c r="AF333" s="8">
        <v>0</v>
      </c>
      <c r="AG333" s="8" t="s">
        <v>65</v>
      </c>
      <c r="AH333" s="8" t="s">
        <v>11</v>
      </c>
      <c r="AI333" s="8">
        <v>3926908</v>
      </c>
      <c r="AJ333" s="8" t="s">
        <v>60</v>
      </c>
      <c r="AK333" s="8">
        <v>1</v>
      </c>
      <c r="AL333" s="8">
        <v>864.3</v>
      </c>
      <c r="AM333" s="8" t="s">
        <v>1905</v>
      </c>
    </row>
    <row r="334" spans="7:39" ht="12.75" customHeight="1">
      <c r="G334" s="344"/>
      <c r="H334" s="345" t="s">
        <v>2919</v>
      </c>
      <c r="I334" s="8" t="s">
        <v>87</v>
      </c>
      <c r="J334" s="8" t="s">
        <v>96</v>
      </c>
      <c r="K334" s="8" t="s">
        <v>2920</v>
      </c>
      <c r="L334" s="8" t="s">
        <v>97</v>
      </c>
      <c r="M334" s="8" t="s">
        <v>2921</v>
      </c>
      <c r="N334" s="7" t="s">
        <v>2919</v>
      </c>
      <c r="O334" s="8" t="s">
        <v>2</v>
      </c>
      <c r="P334" s="8" t="s">
        <v>67</v>
      </c>
      <c r="Q334" s="8" t="s">
        <v>68</v>
      </c>
      <c r="R334" s="8" t="s">
        <v>69</v>
      </c>
      <c r="S334" s="8" t="s">
        <v>70</v>
      </c>
      <c r="T334" s="9">
        <v>325</v>
      </c>
      <c r="U334" s="9">
        <v>15600</v>
      </c>
      <c r="V334" s="8" t="s">
        <v>70</v>
      </c>
      <c r="W334" s="8">
        <v>18392.400000000001</v>
      </c>
      <c r="X334" s="8">
        <v>9</v>
      </c>
      <c r="Y334" s="8">
        <v>1404</v>
      </c>
      <c r="Z334" s="8">
        <v>9</v>
      </c>
      <c r="AA334" s="8">
        <v>1404</v>
      </c>
      <c r="AB334" s="8">
        <v>0</v>
      </c>
      <c r="AC334" s="8">
        <v>0</v>
      </c>
      <c r="AD334" s="8">
        <v>0</v>
      </c>
      <c r="AE334" s="8">
        <v>2808</v>
      </c>
      <c r="AF334" s="8">
        <v>0</v>
      </c>
      <c r="AG334" s="8" t="s">
        <v>65</v>
      </c>
      <c r="AH334" s="8" t="s">
        <v>11</v>
      </c>
      <c r="AI334" s="8">
        <v>73063090</v>
      </c>
      <c r="AJ334" s="8" t="s">
        <v>60</v>
      </c>
      <c r="AK334" s="8">
        <v>1</v>
      </c>
      <c r="AL334" s="8">
        <v>0</v>
      </c>
      <c r="AM334" s="8" t="s">
        <v>1905</v>
      </c>
    </row>
    <row r="335" spans="7:39" ht="12.75" customHeight="1">
      <c r="G335" s="344"/>
      <c r="H335" s="345" t="s">
        <v>2919</v>
      </c>
      <c r="I335" s="8" t="s">
        <v>87</v>
      </c>
      <c r="J335" s="8" t="s">
        <v>91</v>
      </c>
      <c r="K335" s="8" t="s">
        <v>2922</v>
      </c>
      <c r="L335" s="8" t="s">
        <v>98</v>
      </c>
      <c r="M335" s="8" t="s">
        <v>2923</v>
      </c>
      <c r="N335" s="7" t="s">
        <v>2919</v>
      </c>
      <c r="O335" s="8" t="s">
        <v>13</v>
      </c>
      <c r="P335" s="8" t="s">
        <v>62</v>
      </c>
      <c r="Q335" s="8" t="s">
        <v>63</v>
      </c>
      <c r="R335" s="8" t="s">
        <v>64</v>
      </c>
      <c r="S335" s="8" t="s">
        <v>19</v>
      </c>
      <c r="T335" s="9">
        <v>5811</v>
      </c>
      <c r="U335" s="9">
        <v>827021.52</v>
      </c>
      <c r="V335" s="8" t="s">
        <v>19</v>
      </c>
      <c r="W335" s="8">
        <v>1329127.8700000001</v>
      </c>
      <c r="X335" s="8">
        <v>9</v>
      </c>
      <c r="Y335" s="8">
        <v>74431.94</v>
      </c>
      <c r="Z335" s="8">
        <v>9</v>
      </c>
      <c r="AA335" s="8">
        <v>74431.94</v>
      </c>
      <c r="AB335" s="8">
        <v>0</v>
      </c>
      <c r="AC335" s="8">
        <v>0</v>
      </c>
      <c r="AD335" s="8">
        <v>0</v>
      </c>
      <c r="AE335" s="8">
        <v>148863.88</v>
      </c>
      <c r="AF335" s="8">
        <v>0</v>
      </c>
      <c r="AG335" s="8" t="s">
        <v>65</v>
      </c>
      <c r="AH335" s="8" t="s">
        <v>11</v>
      </c>
      <c r="AI335" s="8">
        <v>39269080</v>
      </c>
      <c r="AJ335" s="8" t="s">
        <v>60</v>
      </c>
      <c r="AK335" s="8">
        <v>1</v>
      </c>
      <c r="AL335" s="8">
        <v>5811</v>
      </c>
      <c r="AM335" s="8" t="s">
        <v>1905</v>
      </c>
    </row>
    <row r="336" spans="7:39" ht="12.75" customHeight="1">
      <c r="G336" s="344"/>
      <c r="H336" s="345" t="s">
        <v>2919</v>
      </c>
      <c r="I336" s="8" t="s">
        <v>87</v>
      </c>
      <c r="J336" s="8" t="s">
        <v>91</v>
      </c>
      <c r="K336" s="8" t="s">
        <v>2922</v>
      </c>
      <c r="L336" s="8" t="s">
        <v>98</v>
      </c>
      <c r="M336" s="8" t="s">
        <v>2923</v>
      </c>
      <c r="N336" s="7" t="s">
        <v>2919</v>
      </c>
      <c r="O336" s="8" t="s">
        <v>13</v>
      </c>
      <c r="P336" s="8" t="s">
        <v>62</v>
      </c>
      <c r="Q336" s="8" t="s">
        <v>63</v>
      </c>
      <c r="R336" s="8" t="s">
        <v>64</v>
      </c>
      <c r="S336" s="8" t="s">
        <v>19</v>
      </c>
      <c r="T336" s="9">
        <v>1599</v>
      </c>
      <c r="U336" s="9">
        <v>230767.68</v>
      </c>
      <c r="V336" s="8" t="s">
        <v>19</v>
      </c>
      <c r="W336" s="8">
        <v>0</v>
      </c>
      <c r="X336" s="8">
        <v>9</v>
      </c>
      <c r="Y336" s="8">
        <v>20769.09</v>
      </c>
      <c r="Z336" s="8">
        <v>9</v>
      </c>
      <c r="AA336" s="8">
        <v>20769.09</v>
      </c>
      <c r="AB336" s="8">
        <v>0</v>
      </c>
      <c r="AC336" s="8">
        <v>0</v>
      </c>
      <c r="AD336" s="8">
        <v>0</v>
      </c>
      <c r="AE336" s="8">
        <v>41538.18</v>
      </c>
      <c r="AF336" s="8">
        <v>0</v>
      </c>
      <c r="AG336" s="8" t="s">
        <v>65</v>
      </c>
      <c r="AH336" s="8" t="s">
        <v>11</v>
      </c>
      <c r="AI336" s="8">
        <v>39269080</v>
      </c>
      <c r="AJ336" s="8" t="s">
        <v>60</v>
      </c>
      <c r="AK336" s="8">
        <v>1</v>
      </c>
      <c r="AL336" s="8">
        <v>1599</v>
      </c>
      <c r="AM336" s="8" t="s">
        <v>1905</v>
      </c>
    </row>
    <row r="337" spans="7:39" ht="12.75" customHeight="1">
      <c r="G337" s="344"/>
      <c r="H337" s="345" t="s">
        <v>2919</v>
      </c>
      <c r="I337" s="8" t="s">
        <v>87</v>
      </c>
      <c r="J337" s="8" t="s">
        <v>91</v>
      </c>
      <c r="K337" s="8" t="s">
        <v>2922</v>
      </c>
      <c r="L337" s="8" t="s">
        <v>98</v>
      </c>
      <c r="M337" s="8" t="s">
        <v>2923</v>
      </c>
      <c r="N337" s="7" t="s">
        <v>2919</v>
      </c>
      <c r="O337" s="8" t="s">
        <v>13</v>
      </c>
      <c r="P337" s="8" t="s">
        <v>62</v>
      </c>
      <c r="Q337" s="8" t="s">
        <v>63</v>
      </c>
      <c r="R337" s="8" t="s">
        <v>64</v>
      </c>
      <c r="S337" s="8" t="s">
        <v>19</v>
      </c>
      <c r="T337" s="9">
        <v>196</v>
      </c>
      <c r="U337" s="9">
        <v>28482.720000000001</v>
      </c>
      <c r="V337" s="8" t="s">
        <v>19</v>
      </c>
      <c r="W337" s="8">
        <v>0</v>
      </c>
      <c r="X337" s="8">
        <v>9</v>
      </c>
      <c r="Y337" s="8">
        <v>2563.44</v>
      </c>
      <c r="Z337" s="8">
        <v>9</v>
      </c>
      <c r="AA337" s="8">
        <v>2563.44</v>
      </c>
      <c r="AB337" s="8">
        <v>0</v>
      </c>
      <c r="AC337" s="8">
        <v>0</v>
      </c>
      <c r="AD337" s="8">
        <v>0</v>
      </c>
      <c r="AE337" s="8">
        <v>5126.88</v>
      </c>
      <c r="AF337" s="8">
        <v>0</v>
      </c>
      <c r="AG337" s="8" t="s">
        <v>65</v>
      </c>
      <c r="AH337" s="8" t="s">
        <v>11</v>
      </c>
      <c r="AI337" s="8">
        <v>39269080</v>
      </c>
      <c r="AJ337" s="8" t="s">
        <v>60</v>
      </c>
      <c r="AK337" s="8">
        <v>1</v>
      </c>
      <c r="AL337" s="8">
        <v>196</v>
      </c>
      <c r="AM337" s="8" t="s">
        <v>1905</v>
      </c>
    </row>
    <row r="338" spans="7:39" ht="12.75" customHeight="1">
      <c r="G338" s="344"/>
      <c r="H338" s="6" t="s">
        <v>2919</v>
      </c>
      <c r="I338" s="8" t="s">
        <v>87</v>
      </c>
      <c r="J338" s="8" t="s">
        <v>91</v>
      </c>
      <c r="K338" s="8" t="s">
        <v>2922</v>
      </c>
      <c r="L338" s="8" t="s">
        <v>98</v>
      </c>
      <c r="M338" s="8" t="s">
        <v>2923</v>
      </c>
      <c r="N338" s="7" t="s">
        <v>2919</v>
      </c>
      <c r="O338" s="8" t="s">
        <v>13</v>
      </c>
      <c r="P338" s="8" t="s">
        <v>62</v>
      </c>
      <c r="Q338" s="8" t="s">
        <v>76</v>
      </c>
      <c r="R338" s="8" t="s">
        <v>77</v>
      </c>
      <c r="S338" s="8" t="s">
        <v>21</v>
      </c>
      <c r="T338" s="9">
        <v>275</v>
      </c>
      <c r="U338" s="9">
        <v>41063</v>
      </c>
      <c r="V338" s="8" t="s">
        <v>21</v>
      </c>
      <c r="W338" s="8">
        <v>0</v>
      </c>
      <c r="X338" s="8">
        <v>9</v>
      </c>
      <c r="Y338" s="8">
        <v>3695.67</v>
      </c>
      <c r="Z338" s="8">
        <v>9</v>
      </c>
      <c r="AA338" s="8">
        <v>3695.67</v>
      </c>
      <c r="AB338" s="8">
        <v>0</v>
      </c>
      <c r="AC338" s="8">
        <v>0</v>
      </c>
      <c r="AD338" s="8">
        <v>0</v>
      </c>
      <c r="AE338" s="8">
        <v>7391.34</v>
      </c>
      <c r="AF338" s="8">
        <v>0</v>
      </c>
      <c r="AG338" s="8" t="s">
        <v>65</v>
      </c>
      <c r="AH338" s="8" t="s">
        <v>11</v>
      </c>
      <c r="AI338" s="8">
        <v>63053300</v>
      </c>
      <c r="AJ338" s="8" t="s">
        <v>60</v>
      </c>
      <c r="AK338" s="8">
        <v>1</v>
      </c>
      <c r="AL338" s="8">
        <v>275</v>
      </c>
      <c r="AM338" s="8" t="s">
        <v>1905</v>
      </c>
    </row>
    <row r="339" spans="7:39" ht="12.75" customHeight="1">
      <c r="G339" s="344"/>
      <c r="H339" s="6" t="s">
        <v>2919</v>
      </c>
      <c r="I339" s="8" t="s">
        <v>109</v>
      </c>
      <c r="J339" s="8" t="s">
        <v>91</v>
      </c>
      <c r="K339" s="8" t="s">
        <v>2924</v>
      </c>
      <c r="L339" s="8" t="s">
        <v>623</v>
      </c>
      <c r="M339" s="8" t="s">
        <v>2925</v>
      </c>
      <c r="N339" s="7">
        <v>46273</v>
      </c>
      <c r="O339" s="8" t="s">
        <v>8</v>
      </c>
      <c r="P339" s="8" t="s">
        <v>110</v>
      </c>
      <c r="Q339" s="8" t="s">
        <v>765</v>
      </c>
      <c r="R339" s="8" t="s">
        <v>765</v>
      </c>
      <c r="S339" s="8" t="s">
        <v>766</v>
      </c>
      <c r="T339" s="9">
        <v>5100</v>
      </c>
      <c r="U339" s="9">
        <v>601800</v>
      </c>
      <c r="V339" s="8" t="s">
        <v>766</v>
      </c>
      <c r="W339" s="8">
        <v>710124</v>
      </c>
      <c r="X339" s="8">
        <v>0</v>
      </c>
      <c r="Y339" s="8">
        <v>0</v>
      </c>
      <c r="Z339" s="8">
        <v>0</v>
      </c>
      <c r="AA339" s="8">
        <v>0</v>
      </c>
      <c r="AB339" s="8">
        <v>18</v>
      </c>
      <c r="AC339" s="8">
        <v>108324</v>
      </c>
      <c r="AD339" s="8">
        <v>0</v>
      </c>
      <c r="AE339" s="8">
        <v>108324</v>
      </c>
      <c r="AF339" s="8">
        <v>0</v>
      </c>
      <c r="AG339" s="8" t="s">
        <v>624</v>
      </c>
      <c r="AH339" s="8" t="s">
        <v>11</v>
      </c>
      <c r="AI339" s="8">
        <v>38140010</v>
      </c>
      <c r="AJ339" s="8" t="s">
        <v>60</v>
      </c>
      <c r="AK339" s="8">
        <v>1</v>
      </c>
      <c r="AL339" s="8">
        <v>0</v>
      </c>
      <c r="AM339" s="8" t="s">
        <v>1905</v>
      </c>
    </row>
    <row r="340" spans="7:39" ht="12.75" customHeight="1">
      <c r="G340" s="344"/>
      <c r="H340" s="6" t="s">
        <v>2926</v>
      </c>
      <c r="I340" s="8" t="s">
        <v>87</v>
      </c>
      <c r="J340" s="8" t="s">
        <v>96</v>
      </c>
      <c r="K340" s="8" t="s">
        <v>2927</v>
      </c>
      <c r="L340" s="8" t="s">
        <v>97</v>
      </c>
      <c r="M340" s="8" t="s">
        <v>2928</v>
      </c>
      <c r="N340" s="7" t="s">
        <v>2926</v>
      </c>
      <c r="O340" s="8" t="s">
        <v>2</v>
      </c>
      <c r="P340" s="8" t="s">
        <v>67</v>
      </c>
      <c r="Q340" s="8" t="s">
        <v>68</v>
      </c>
      <c r="R340" s="8" t="s">
        <v>69</v>
      </c>
      <c r="S340" s="8" t="s">
        <v>70</v>
      </c>
      <c r="T340" s="9">
        <v>257</v>
      </c>
      <c r="U340" s="9">
        <v>12336</v>
      </c>
      <c r="V340" s="8" t="s">
        <v>70</v>
      </c>
      <c r="W340" s="8">
        <v>14544.14</v>
      </c>
      <c r="X340" s="8">
        <v>9</v>
      </c>
      <c r="Y340" s="8">
        <v>1110.24</v>
      </c>
      <c r="Z340" s="8">
        <v>9</v>
      </c>
      <c r="AA340" s="8">
        <v>1110.24</v>
      </c>
      <c r="AB340" s="8">
        <v>0</v>
      </c>
      <c r="AC340" s="8">
        <v>0</v>
      </c>
      <c r="AD340" s="8">
        <v>0</v>
      </c>
      <c r="AE340" s="8">
        <v>2220.48</v>
      </c>
      <c r="AF340" s="8">
        <v>0</v>
      </c>
      <c r="AG340" s="8" t="s">
        <v>65</v>
      </c>
      <c r="AH340" s="8" t="s">
        <v>11</v>
      </c>
      <c r="AI340" s="8">
        <v>73063090</v>
      </c>
      <c r="AJ340" s="8" t="s">
        <v>60</v>
      </c>
      <c r="AK340" s="8">
        <v>1</v>
      </c>
      <c r="AL340" s="8">
        <v>0</v>
      </c>
      <c r="AM340" s="8" t="s">
        <v>1905</v>
      </c>
    </row>
    <row r="341" spans="7:39" ht="12.75" customHeight="1">
      <c r="G341" s="344"/>
      <c r="H341" s="6" t="s">
        <v>2926</v>
      </c>
      <c r="I341" s="8" t="s">
        <v>87</v>
      </c>
      <c r="J341" s="8" t="s">
        <v>91</v>
      </c>
      <c r="K341" s="8" t="s">
        <v>2929</v>
      </c>
      <c r="L341" s="8" t="s">
        <v>98</v>
      </c>
      <c r="M341" s="8" t="s">
        <v>2930</v>
      </c>
      <c r="N341" s="7" t="s">
        <v>2926</v>
      </c>
      <c r="O341" s="8" t="s">
        <v>13</v>
      </c>
      <c r="P341" s="8" t="s">
        <v>62</v>
      </c>
      <c r="Q341" s="8" t="s">
        <v>63</v>
      </c>
      <c r="R341" s="8" t="s">
        <v>64</v>
      </c>
      <c r="S341" s="8" t="s">
        <v>19</v>
      </c>
      <c r="T341" s="9">
        <v>6088</v>
      </c>
      <c r="U341" s="9">
        <v>866444.16</v>
      </c>
      <c r="V341" s="8" t="s">
        <v>19</v>
      </c>
      <c r="W341" s="8">
        <v>1307735.47</v>
      </c>
      <c r="X341" s="8">
        <v>9</v>
      </c>
      <c r="Y341" s="8">
        <v>77979.97</v>
      </c>
      <c r="Z341" s="8">
        <v>9</v>
      </c>
      <c r="AA341" s="8">
        <v>77979.97</v>
      </c>
      <c r="AB341" s="8">
        <v>0</v>
      </c>
      <c r="AC341" s="8">
        <v>0</v>
      </c>
      <c r="AD341" s="8">
        <v>0</v>
      </c>
      <c r="AE341" s="8">
        <v>155959.94</v>
      </c>
      <c r="AF341" s="8">
        <v>0</v>
      </c>
      <c r="AG341" s="8" t="s">
        <v>65</v>
      </c>
      <c r="AH341" s="8" t="s">
        <v>11</v>
      </c>
      <c r="AI341" s="8">
        <v>39269080</v>
      </c>
      <c r="AJ341" s="8" t="s">
        <v>60</v>
      </c>
      <c r="AK341" s="8">
        <v>1</v>
      </c>
      <c r="AL341" s="8">
        <v>6088</v>
      </c>
      <c r="AM341" s="8" t="s">
        <v>1905</v>
      </c>
    </row>
    <row r="342" spans="7:39" ht="12.75" customHeight="1">
      <c r="G342" s="344"/>
      <c r="H342" s="6" t="s">
        <v>2926</v>
      </c>
      <c r="I342" s="8" t="s">
        <v>87</v>
      </c>
      <c r="J342" s="8" t="s">
        <v>91</v>
      </c>
      <c r="K342" s="8" t="s">
        <v>2929</v>
      </c>
      <c r="L342" s="8" t="s">
        <v>98</v>
      </c>
      <c r="M342" s="8" t="s">
        <v>2930</v>
      </c>
      <c r="N342" s="7" t="s">
        <v>2926</v>
      </c>
      <c r="O342" s="8" t="s">
        <v>13</v>
      </c>
      <c r="P342" s="8" t="s">
        <v>62</v>
      </c>
      <c r="Q342" s="8" t="s">
        <v>63</v>
      </c>
      <c r="R342" s="8" t="s">
        <v>64</v>
      </c>
      <c r="S342" s="8" t="s">
        <v>19</v>
      </c>
      <c r="T342" s="9">
        <v>1682</v>
      </c>
      <c r="U342" s="9">
        <v>242746.23999999999</v>
      </c>
      <c r="V342" s="8" t="s">
        <v>19</v>
      </c>
      <c r="W342" s="8">
        <v>0</v>
      </c>
      <c r="X342" s="8">
        <v>9</v>
      </c>
      <c r="Y342" s="8">
        <v>21847.16</v>
      </c>
      <c r="Z342" s="8">
        <v>9</v>
      </c>
      <c r="AA342" s="8">
        <v>21847.16</v>
      </c>
      <c r="AB342" s="8">
        <v>0</v>
      </c>
      <c r="AC342" s="8">
        <v>0</v>
      </c>
      <c r="AD342" s="8">
        <v>0</v>
      </c>
      <c r="AE342" s="8">
        <v>43694.32</v>
      </c>
      <c r="AF342" s="8">
        <v>0</v>
      </c>
      <c r="AG342" s="8" t="s">
        <v>65</v>
      </c>
      <c r="AH342" s="8" t="s">
        <v>11</v>
      </c>
      <c r="AI342" s="8">
        <v>39269080</v>
      </c>
      <c r="AJ342" s="8" t="s">
        <v>60</v>
      </c>
      <c r="AK342" s="8">
        <v>1</v>
      </c>
      <c r="AL342" s="8">
        <v>1682</v>
      </c>
      <c r="AM342" s="8" t="s">
        <v>1905</v>
      </c>
    </row>
    <row r="343" spans="7:39" ht="12.75" customHeight="1">
      <c r="G343" s="344"/>
      <c r="H343" s="6" t="s">
        <v>2926</v>
      </c>
      <c r="I343" s="8" t="s">
        <v>87</v>
      </c>
      <c r="J343" s="8" t="s">
        <v>91</v>
      </c>
      <c r="K343" s="8" t="s">
        <v>2931</v>
      </c>
      <c r="L343" s="8" t="s">
        <v>98</v>
      </c>
      <c r="M343" s="8" t="s">
        <v>2932</v>
      </c>
      <c r="N343" s="7" t="s">
        <v>2926</v>
      </c>
      <c r="O343" s="8" t="s">
        <v>13</v>
      </c>
      <c r="P343" s="8" t="s">
        <v>62</v>
      </c>
      <c r="Q343" s="8" t="s">
        <v>63</v>
      </c>
      <c r="R343" s="8" t="s">
        <v>64</v>
      </c>
      <c r="S343" s="8" t="s">
        <v>19</v>
      </c>
      <c r="T343" s="9">
        <v>468</v>
      </c>
      <c r="U343" s="9">
        <v>68009.759999999995</v>
      </c>
      <c r="V343" s="8" t="s">
        <v>19</v>
      </c>
      <c r="W343" s="8">
        <v>698596.85</v>
      </c>
      <c r="X343" s="8">
        <v>9</v>
      </c>
      <c r="Y343" s="8">
        <v>6120.88</v>
      </c>
      <c r="Z343" s="8">
        <v>9</v>
      </c>
      <c r="AA343" s="8">
        <v>6120.88</v>
      </c>
      <c r="AB343" s="8">
        <v>0</v>
      </c>
      <c r="AC343" s="8">
        <v>0</v>
      </c>
      <c r="AD343" s="8">
        <v>0</v>
      </c>
      <c r="AE343" s="8">
        <v>12241.76</v>
      </c>
      <c r="AF343" s="8">
        <v>0</v>
      </c>
      <c r="AG343" s="8" t="s">
        <v>65</v>
      </c>
      <c r="AH343" s="8" t="s">
        <v>11</v>
      </c>
      <c r="AI343" s="8">
        <v>39269080</v>
      </c>
      <c r="AJ343" s="8" t="s">
        <v>60</v>
      </c>
      <c r="AK343" s="8">
        <v>1</v>
      </c>
      <c r="AL343" s="8">
        <v>468</v>
      </c>
      <c r="AM343" s="8" t="s">
        <v>1905</v>
      </c>
    </row>
    <row r="344" spans="7:39" ht="12.75" customHeight="1">
      <c r="G344" s="344"/>
      <c r="H344" s="6" t="s">
        <v>2926</v>
      </c>
      <c r="I344" s="8" t="s">
        <v>87</v>
      </c>
      <c r="J344" s="8" t="s">
        <v>91</v>
      </c>
      <c r="K344" s="8" t="s">
        <v>2931</v>
      </c>
      <c r="L344" s="8" t="s">
        <v>98</v>
      </c>
      <c r="M344" s="8" t="s">
        <v>2932</v>
      </c>
      <c r="N344" s="7" t="s">
        <v>2926</v>
      </c>
      <c r="O344" s="8" t="s">
        <v>13</v>
      </c>
      <c r="P344" s="8" t="s">
        <v>62</v>
      </c>
      <c r="Q344" s="8" t="s">
        <v>63</v>
      </c>
      <c r="R344" s="8" t="s">
        <v>64</v>
      </c>
      <c r="S344" s="8" t="s">
        <v>19</v>
      </c>
      <c r="T344" s="9">
        <v>3287</v>
      </c>
      <c r="U344" s="9">
        <v>467805.84</v>
      </c>
      <c r="V344" s="8" t="s">
        <v>19</v>
      </c>
      <c r="W344" s="8">
        <v>0</v>
      </c>
      <c r="X344" s="8">
        <v>9</v>
      </c>
      <c r="Y344" s="8">
        <v>42102.53</v>
      </c>
      <c r="Z344" s="8">
        <v>9</v>
      </c>
      <c r="AA344" s="8">
        <v>42102.53</v>
      </c>
      <c r="AB344" s="8">
        <v>0</v>
      </c>
      <c r="AC344" s="8">
        <v>0</v>
      </c>
      <c r="AD344" s="8">
        <v>0</v>
      </c>
      <c r="AE344" s="8">
        <v>84205.06</v>
      </c>
      <c r="AF344" s="8">
        <v>0</v>
      </c>
      <c r="AG344" s="8" t="s">
        <v>65</v>
      </c>
      <c r="AH344" s="8" t="s">
        <v>11</v>
      </c>
      <c r="AI344" s="8">
        <v>39269080</v>
      </c>
      <c r="AJ344" s="8" t="s">
        <v>60</v>
      </c>
      <c r="AK344" s="8">
        <v>1</v>
      </c>
      <c r="AL344" s="8">
        <v>3287</v>
      </c>
      <c r="AM344" s="8" t="s">
        <v>1905</v>
      </c>
    </row>
    <row r="345" spans="7:39" ht="12.75" customHeight="1">
      <c r="G345" s="344"/>
      <c r="H345" s="6" t="s">
        <v>2926</v>
      </c>
      <c r="I345" s="8" t="s">
        <v>87</v>
      </c>
      <c r="J345" s="8" t="s">
        <v>91</v>
      </c>
      <c r="K345" s="8" t="s">
        <v>2931</v>
      </c>
      <c r="L345" s="8" t="s">
        <v>98</v>
      </c>
      <c r="M345" s="8" t="s">
        <v>2932</v>
      </c>
      <c r="N345" s="7" t="s">
        <v>2926</v>
      </c>
      <c r="O345" s="8" t="s">
        <v>13</v>
      </c>
      <c r="P345" s="8" t="s">
        <v>62</v>
      </c>
      <c r="Q345" s="8" t="s">
        <v>63</v>
      </c>
      <c r="R345" s="8" t="s">
        <v>64</v>
      </c>
      <c r="S345" s="8" t="s">
        <v>19</v>
      </c>
      <c r="T345" s="9">
        <v>393</v>
      </c>
      <c r="U345" s="9">
        <v>56717.760000000002</v>
      </c>
      <c r="V345" s="8" t="s">
        <v>19</v>
      </c>
      <c r="W345" s="8">
        <v>0</v>
      </c>
      <c r="X345" s="8">
        <v>9</v>
      </c>
      <c r="Y345" s="8">
        <v>5104.6000000000004</v>
      </c>
      <c r="Z345" s="8">
        <v>9</v>
      </c>
      <c r="AA345" s="8">
        <v>5104.6000000000004</v>
      </c>
      <c r="AB345" s="8">
        <v>0</v>
      </c>
      <c r="AC345" s="8">
        <v>0</v>
      </c>
      <c r="AD345" s="8">
        <v>0</v>
      </c>
      <c r="AE345" s="8">
        <v>10209.200000000001</v>
      </c>
      <c r="AF345" s="8">
        <v>0</v>
      </c>
      <c r="AG345" s="8" t="s">
        <v>65</v>
      </c>
      <c r="AH345" s="8" t="s">
        <v>11</v>
      </c>
      <c r="AI345" s="8">
        <v>39269080</v>
      </c>
      <c r="AJ345" s="8" t="s">
        <v>60</v>
      </c>
      <c r="AK345" s="8">
        <v>1</v>
      </c>
      <c r="AL345" s="8">
        <v>393</v>
      </c>
      <c r="AM345" s="8" t="s">
        <v>1905</v>
      </c>
    </row>
    <row r="346" spans="7:39" ht="12.75" customHeight="1">
      <c r="G346" s="344"/>
      <c r="H346" s="6" t="s">
        <v>2926</v>
      </c>
      <c r="I346" s="8" t="s">
        <v>87</v>
      </c>
      <c r="J346" s="8" t="s">
        <v>91</v>
      </c>
      <c r="K346" s="8" t="s">
        <v>2933</v>
      </c>
      <c r="L346" s="8" t="s">
        <v>98</v>
      </c>
      <c r="M346" s="8" t="s">
        <v>2934</v>
      </c>
      <c r="N346" s="7" t="s">
        <v>2926</v>
      </c>
      <c r="O346" s="8" t="s">
        <v>13</v>
      </c>
      <c r="P346" s="8" t="s">
        <v>80</v>
      </c>
      <c r="Q346" s="8" t="s">
        <v>81</v>
      </c>
      <c r="R346" s="8" t="s">
        <v>82</v>
      </c>
      <c r="S346" s="8" t="s">
        <v>17</v>
      </c>
      <c r="T346" s="9">
        <v>3841</v>
      </c>
      <c r="U346" s="9">
        <v>679319.26</v>
      </c>
      <c r="V346" s="8" t="s">
        <v>17</v>
      </c>
      <c r="W346" s="8">
        <v>1264897.95</v>
      </c>
      <c r="X346" s="8">
        <v>9</v>
      </c>
      <c r="Y346" s="8">
        <v>61138.73</v>
      </c>
      <c r="Z346" s="8">
        <v>9</v>
      </c>
      <c r="AA346" s="8">
        <v>61138.73</v>
      </c>
      <c r="AB346" s="8">
        <v>0</v>
      </c>
      <c r="AC346" s="8">
        <v>0</v>
      </c>
      <c r="AD346" s="8">
        <v>0</v>
      </c>
      <c r="AE346" s="8">
        <v>122277.46</v>
      </c>
      <c r="AF346" s="8">
        <v>0</v>
      </c>
      <c r="AG346" s="8" t="s">
        <v>65</v>
      </c>
      <c r="AH346" s="8" t="s">
        <v>11</v>
      </c>
      <c r="AI346" s="8">
        <v>39200000</v>
      </c>
      <c r="AJ346" s="8" t="s">
        <v>60</v>
      </c>
      <c r="AK346" s="8">
        <v>1</v>
      </c>
      <c r="AL346" s="8">
        <v>3841</v>
      </c>
      <c r="AM346" s="8" t="s">
        <v>1905</v>
      </c>
    </row>
    <row r="347" spans="7:39" ht="12.75" customHeight="1">
      <c r="G347" s="344"/>
      <c r="H347" s="6" t="s">
        <v>2926</v>
      </c>
      <c r="I347" s="8" t="s">
        <v>87</v>
      </c>
      <c r="J347" s="8" t="s">
        <v>91</v>
      </c>
      <c r="K347" s="8" t="s">
        <v>2933</v>
      </c>
      <c r="L347" s="8" t="s">
        <v>98</v>
      </c>
      <c r="M347" s="8" t="s">
        <v>2934</v>
      </c>
      <c r="N347" s="7" t="s">
        <v>2926</v>
      </c>
      <c r="O347" s="8" t="s">
        <v>13</v>
      </c>
      <c r="P347" s="8" t="s">
        <v>24</v>
      </c>
      <c r="Q347" s="8" t="s">
        <v>79</v>
      </c>
      <c r="R347" s="8" t="s">
        <v>79</v>
      </c>
      <c r="S347" s="8" t="s">
        <v>24</v>
      </c>
      <c r="T347" s="9">
        <v>1690.4</v>
      </c>
      <c r="U347" s="9">
        <v>249029.73</v>
      </c>
      <c r="V347" s="8" t="s">
        <v>24</v>
      </c>
      <c r="W347" s="8">
        <v>0</v>
      </c>
      <c r="X347" s="8">
        <v>9</v>
      </c>
      <c r="Y347" s="8">
        <v>22412.68</v>
      </c>
      <c r="Z347" s="8">
        <v>9</v>
      </c>
      <c r="AA347" s="8">
        <v>22412.68</v>
      </c>
      <c r="AB347" s="8">
        <v>0</v>
      </c>
      <c r="AC347" s="8">
        <v>0</v>
      </c>
      <c r="AD347" s="8">
        <v>0</v>
      </c>
      <c r="AE347" s="8">
        <v>44825.36</v>
      </c>
      <c r="AF347" s="8">
        <v>0</v>
      </c>
      <c r="AG347" s="8" t="s">
        <v>65</v>
      </c>
      <c r="AH347" s="8" t="s">
        <v>11</v>
      </c>
      <c r="AI347" s="8">
        <v>3926908</v>
      </c>
      <c r="AJ347" s="8" t="s">
        <v>60</v>
      </c>
      <c r="AK347" s="8">
        <v>1</v>
      </c>
      <c r="AL347" s="8">
        <v>1690.4</v>
      </c>
      <c r="AM347" s="8" t="s">
        <v>1905</v>
      </c>
    </row>
    <row r="348" spans="7:39" ht="12.75" customHeight="1">
      <c r="G348" s="344"/>
      <c r="H348" s="6" t="s">
        <v>2926</v>
      </c>
      <c r="I348" s="8" t="s">
        <v>87</v>
      </c>
      <c r="J348" s="8" t="s">
        <v>91</v>
      </c>
      <c r="K348" s="8" t="s">
        <v>2933</v>
      </c>
      <c r="L348" s="8" t="s">
        <v>98</v>
      </c>
      <c r="M348" s="8" t="s">
        <v>2934</v>
      </c>
      <c r="N348" s="7" t="s">
        <v>2926</v>
      </c>
      <c r="O348" s="8" t="s">
        <v>13</v>
      </c>
      <c r="P348" s="8" t="s">
        <v>24</v>
      </c>
      <c r="Q348" s="8" t="s">
        <v>79</v>
      </c>
      <c r="R348" s="8" t="s">
        <v>79</v>
      </c>
      <c r="S348" s="8" t="s">
        <v>24</v>
      </c>
      <c r="T348" s="9">
        <v>1001.3</v>
      </c>
      <c r="U348" s="9">
        <v>144507.62</v>
      </c>
      <c r="V348" s="8" t="s">
        <v>24</v>
      </c>
      <c r="W348" s="8">
        <v>0</v>
      </c>
      <c r="X348" s="8">
        <v>9</v>
      </c>
      <c r="Y348" s="8">
        <v>13005.69</v>
      </c>
      <c r="Z348" s="8">
        <v>9</v>
      </c>
      <c r="AA348" s="8">
        <v>13005.69</v>
      </c>
      <c r="AB348" s="8">
        <v>0</v>
      </c>
      <c r="AC348" s="8">
        <v>0</v>
      </c>
      <c r="AD348" s="8">
        <v>0</v>
      </c>
      <c r="AE348" s="8">
        <v>26011.38</v>
      </c>
      <c r="AF348" s="8">
        <v>0</v>
      </c>
      <c r="AG348" s="8" t="s">
        <v>65</v>
      </c>
      <c r="AH348" s="8" t="s">
        <v>11</v>
      </c>
      <c r="AI348" s="8">
        <v>3926908</v>
      </c>
      <c r="AJ348" s="8" t="s">
        <v>60</v>
      </c>
      <c r="AK348" s="8">
        <v>1</v>
      </c>
      <c r="AL348" s="8">
        <v>1001.3</v>
      </c>
      <c r="AM348" s="8" t="s">
        <v>1905</v>
      </c>
    </row>
    <row r="349" spans="7:39" ht="12.75" customHeight="1">
      <c r="G349" s="344"/>
      <c r="H349" s="6" t="s">
        <v>2926</v>
      </c>
      <c r="I349" s="8" t="s">
        <v>94</v>
      </c>
      <c r="J349" s="8" t="s">
        <v>96</v>
      </c>
      <c r="K349" s="8" t="s">
        <v>2935</v>
      </c>
      <c r="L349" s="8" t="s">
        <v>97</v>
      </c>
      <c r="M349" s="8" t="s">
        <v>2936</v>
      </c>
      <c r="N349" s="7" t="s">
        <v>2919</v>
      </c>
      <c r="O349" s="8" t="s">
        <v>2</v>
      </c>
      <c r="P349" s="8" t="s">
        <v>67</v>
      </c>
      <c r="Q349" s="8" t="s">
        <v>68</v>
      </c>
      <c r="R349" s="8" t="s">
        <v>69</v>
      </c>
      <c r="S349" s="8" t="s">
        <v>70</v>
      </c>
      <c r="T349" s="9">
        <v>40</v>
      </c>
      <c r="U349" s="9">
        <v>1920</v>
      </c>
      <c r="V349" s="8" t="s">
        <v>70</v>
      </c>
      <c r="W349" s="8">
        <v>2263.6799999999998</v>
      </c>
      <c r="X349" s="8">
        <v>9</v>
      </c>
      <c r="Y349" s="8">
        <v>172.8</v>
      </c>
      <c r="Z349" s="8">
        <v>9</v>
      </c>
      <c r="AA349" s="8">
        <v>172.8</v>
      </c>
      <c r="AB349" s="8">
        <v>0</v>
      </c>
      <c r="AC349" s="8">
        <v>0</v>
      </c>
      <c r="AD349" s="8">
        <v>0</v>
      </c>
      <c r="AE349" s="8">
        <v>345.6</v>
      </c>
      <c r="AF349" s="8">
        <v>0</v>
      </c>
      <c r="AG349" s="8" t="s">
        <v>74</v>
      </c>
      <c r="AH349" s="8" t="s">
        <v>11</v>
      </c>
      <c r="AI349" s="8">
        <v>73063090</v>
      </c>
      <c r="AJ349" s="8" t="s">
        <v>60</v>
      </c>
      <c r="AK349" s="8">
        <v>1</v>
      </c>
      <c r="AL349" s="8">
        <v>0</v>
      </c>
      <c r="AM349" s="8" t="s">
        <v>1905</v>
      </c>
    </row>
    <row r="350" spans="7:39" ht="12.75" customHeight="1">
      <c r="G350" s="344"/>
      <c r="H350" s="6" t="s">
        <v>2926</v>
      </c>
      <c r="I350" s="8" t="s">
        <v>94</v>
      </c>
      <c r="J350" s="8" t="s">
        <v>91</v>
      </c>
      <c r="K350" s="8" t="s">
        <v>2937</v>
      </c>
      <c r="L350" s="8" t="s">
        <v>98</v>
      </c>
      <c r="M350" s="8" t="s">
        <v>2938</v>
      </c>
      <c r="N350" s="7" t="s">
        <v>2919</v>
      </c>
      <c r="O350" s="8" t="s">
        <v>13</v>
      </c>
      <c r="P350" s="8" t="s">
        <v>62</v>
      </c>
      <c r="Q350" s="8" t="s">
        <v>76</v>
      </c>
      <c r="R350" s="8" t="s">
        <v>77</v>
      </c>
      <c r="S350" s="8" t="s">
        <v>21</v>
      </c>
      <c r="T350" s="9">
        <v>457</v>
      </c>
      <c r="U350" s="9">
        <v>63331.06</v>
      </c>
      <c r="V350" s="8" t="s">
        <v>21</v>
      </c>
      <c r="W350" s="8">
        <v>271587.93</v>
      </c>
      <c r="X350" s="8">
        <v>9</v>
      </c>
      <c r="Y350" s="8">
        <v>5699.8</v>
      </c>
      <c r="Z350" s="8">
        <v>9</v>
      </c>
      <c r="AA350" s="8">
        <v>5699.8</v>
      </c>
      <c r="AB350" s="8">
        <v>0</v>
      </c>
      <c r="AC350" s="8">
        <v>0</v>
      </c>
      <c r="AD350" s="8">
        <v>0</v>
      </c>
      <c r="AE350" s="8">
        <v>11399.6</v>
      </c>
      <c r="AF350" s="8">
        <v>0</v>
      </c>
      <c r="AG350" s="8" t="s">
        <v>74</v>
      </c>
      <c r="AH350" s="8" t="s">
        <v>11</v>
      </c>
      <c r="AI350" s="8">
        <v>63053300</v>
      </c>
      <c r="AJ350" s="8" t="s">
        <v>60</v>
      </c>
      <c r="AK350" s="8">
        <v>1</v>
      </c>
      <c r="AL350" s="8">
        <v>457</v>
      </c>
      <c r="AM350" s="8" t="s">
        <v>1905</v>
      </c>
    </row>
    <row r="351" spans="7:39" ht="12.75" customHeight="1">
      <c r="G351" s="344"/>
      <c r="H351" s="6" t="s">
        <v>2926</v>
      </c>
      <c r="I351" s="8" t="s">
        <v>94</v>
      </c>
      <c r="J351" s="8" t="s">
        <v>91</v>
      </c>
      <c r="K351" s="8" t="s">
        <v>2937</v>
      </c>
      <c r="L351" s="8" t="s">
        <v>98</v>
      </c>
      <c r="M351" s="8" t="s">
        <v>2938</v>
      </c>
      <c r="N351" s="7" t="s">
        <v>2919</v>
      </c>
      <c r="O351" s="8" t="s">
        <v>13</v>
      </c>
      <c r="P351" s="8" t="s">
        <v>62</v>
      </c>
      <c r="Q351" s="8" t="s">
        <v>76</v>
      </c>
      <c r="R351" s="8" t="s">
        <v>77</v>
      </c>
      <c r="S351" s="8" t="s">
        <v>21</v>
      </c>
      <c r="T351" s="9">
        <v>680</v>
      </c>
      <c r="U351" s="9">
        <v>93554.4</v>
      </c>
      <c r="V351" s="8" t="s">
        <v>21</v>
      </c>
      <c r="W351" s="8">
        <v>0</v>
      </c>
      <c r="X351" s="8">
        <v>9</v>
      </c>
      <c r="Y351" s="8">
        <v>8419.9</v>
      </c>
      <c r="Z351" s="8">
        <v>9</v>
      </c>
      <c r="AA351" s="8">
        <v>8419.9</v>
      </c>
      <c r="AB351" s="8">
        <v>0</v>
      </c>
      <c r="AC351" s="8">
        <v>0</v>
      </c>
      <c r="AD351" s="8">
        <v>0</v>
      </c>
      <c r="AE351" s="8">
        <v>16839.8</v>
      </c>
      <c r="AF351" s="8">
        <v>0</v>
      </c>
      <c r="AG351" s="8" t="s">
        <v>74</v>
      </c>
      <c r="AH351" s="8" t="s">
        <v>11</v>
      </c>
      <c r="AI351" s="8">
        <v>63053300</v>
      </c>
      <c r="AJ351" s="8" t="s">
        <v>60</v>
      </c>
      <c r="AK351" s="8">
        <v>1</v>
      </c>
      <c r="AL351" s="8">
        <v>680</v>
      </c>
      <c r="AM351" s="8" t="s">
        <v>1905</v>
      </c>
    </row>
    <row r="352" spans="7:39" ht="12.75" customHeight="1">
      <c r="G352" s="344"/>
      <c r="H352" s="6" t="s">
        <v>2926</v>
      </c>
      <c r="I352" s="8" t="s">
        <v>94</v>
      </c>
      <c r="J352" s="8" t="s">
        <v>91</v>
      </c>
      <c r="K352" s="8" t="s">
        <v>2937</v>
      </c>
      <c r="L352" s="8" t="s">
        <v>98</v>
      </c>
      <c r="M352" s="8" t="s">
        <v>2938</v>
      </c>
      <c r="N352" s="7" t="s">
        <v>2919</v>
      </c>
      <c r="O352" s="8" t="s">
        <v>15</v>
      </c>
      <c r="P352" s="8" t="s">
        <v>2076</v>
      </c>
      <c r="Q352" s="8" t="s">
        <v>2076</v>
      </c>
      <c r="R352" s="8" t="s">
        <v>2076</v>
      </c>
      <c r="S352" s="8" t="s">
        <v>64</v>
      </c>
      <c r="T352" s="9">
        <v>550</v>
      </c>
      <c r="U352" s="9">
        <v>73469</v>
      </c>
      <c r="V352" s="8" t="s">
        <v>2076</v>
      </c>
      <c r="W352" s="8">
        <v>0</v>
      </c>
      <c r="X352" s="8">
        <v>9</v>
      </c>
      <c r="Y352" s="8">
        <v>6612.21</v>
      </c>
      <c r="Z352" s="8">
        <v>9</v>
      </c>
      <c r="AA352" s="8">
        <v>6612.21</v>
      </c>
      <c r="AB352" s="8">
        <v>0</v>
      </c>
      <c r="AC352" s="8">
        <v>0</v>
      </c>
      <c r="AD352" s="8">
        <v>0</v>
      </c>
      <c r="AE352" s="8">
        <v>13224.42</v>
      </c>
      <c r="AF352" s="8">
        <v>0</v>
      </c>
      <c r="AG352" s="8" t="s">
        <v>74</v>
      </c>
      <c r="AH352" s="8" t="s">
        <v>11</v>
      </c>
      <c r="AI352" s="8">
        <v>39269080</v>
      </c>
      <c r="AJ352" s="8" t="s">
        <v>60</v>
      </c>
      <c r="AK352" s="8">
        <v>1</v>
      </c>
      <c r="AL352" s="8">
        <v>550</v>
      </c>
      <c r="AM352" s="8" t="s">
        <v>1905</v>
      </c>
    </row>
    <row r="353" spans="7:39" ht="12.75" customHeight="1">
      <c r="G353" s="344"/>
      <c r="H353" s="6" t="s">
        <v>2939</v>
      </c>
      <c r="I353" s="8" t="s">
        <v>87</v>
      </c>
      <c r="J353" s="8" t="s">
        <v>96</v>
      </c>
      <c r="K353" s="8" t="s">
        <v>2940</v>
      </c>
      <c r="L353" s="8" t="s">
        <v>97</v>
      </c>
      <c r="M353" s="8" t="s">
        <v>2941</v>
      </c>
      <c r="N353" s="7" t="s">
        <v>2939</v>
      </c>
      <c r="O353" s="8" t="s">
        <v>2</v>
      </c>
      <c r="P353" s="8" t="s">
        <v>67</v>
      </c>
      <c r="Q353" s="8" t="s">
        <v>68</v>
      </c>
      <c r="R353" s="8" t="s">
        <v>69</v>
      </c>
      <c r="S353" s="8" t="s">
        <v>70</v>
      </c>
      <c r="T353" s="9">
        <v>376</v>
      </c>
      <c r="U353" s="9">
        <v>18048</v>
      </c>
      <c r="V353" s="8" t="s">
        <v>70</v>
      </c>
      <c r="W353" s="8">
        <v>21278.59</v>
      </c>
      <c r="X353" s="8">
        <v>9</v>
      </c>
      <c r="Y353" s="8">
        <v>1624.32</v>
      </c>
      <c r="Z353" s="8">
        <v>9</v>
      </c>
      <c r="AA353" s="8">
        <v>1624.32</v>
      </c>
      <c r="AB353" s="8">
        <v>0</v>
      </c>
      <c r="AC353" s="8">
        <v>0</v>
      </c>
      <c r="AD353" s="8">
        <v>0</v>
      </c>
      <c r="AE353" s="8">
        <v>3248.64</v>
      </c>
      <c r="AF353" s="8">
        <v>0</v>
      </c>
      <c r="AG353" s="8" t="s">
        <v>65</v>
      </c>
      <c r="AH353" s="8" t="s">
        <v>11</v>
      </c>
      <c r="AI353" s="8">
        <v>73063090</v>
      </c>
      <c r="AJ353" s="8" t="s">
        <v>60</v>
      </c>
      <c r="AK353" s="8">
        <v>1</v>
      </c>
      <c r="AL353" s="8">
        <v>0</v>
      </c>
      <c r="AM353" s="8" t="s">
        <v>1905</v>
      </c>
    </row>
    <row r="354" spans="7:39" ht="12.75" customHeight="1">
      <c r="G354" s="344"/>
      <c r="H354" s="6" t="s">
        <v>2939</v>
      </c>
      <c r="I354" s="8" t="s">
        <v>87</v>
      </c>
      <c r="J354" s="8" t="s">
        <v>91</v>
      </c>
      <c r="K354" s="8" t="s">
        <v>2942</v>
      </c>
      <c r="L354" s="8" t="s">
        <v>98</v>
      </c>
      <c r="M354" s="8" t="s">
        <v>2943</v>
      </c>
      <c r="N354" s="8" t="s">
        <v>2939</v>
      </c>
      <c r="O354" s="8" t="s">
        <v>13</v>
      </c>
      <c r="P354" s="8" t="s">
        <v>62</v>
      </c>
      <c r="Q354" s="8" t="s">
        <v>63</v>
      </c>
      <c r="R354" s="8" t="s">
        <v>64</v>
      </c>
      <c r="S354" s="8" t="s">
        <v>19</v>
      </c>
      <c r="T354" s="9">
        <v>502</v>
      </c>
      <c r="U354" s="9">
        <v>72950.64</v>
      </c>
      <c r="V354" s="8" t="s">
        <v>19</v>
      </c>
      <c r="W354" s="8">
        <v>3046739.27</v>
      </c>
      <c r="X354" s="8">
        <v>9</v>
      </c>
      <c r="Y354" s="8">
        <v>6565.56</v>
      </c>
      <c r="Z354" s="8">
        <v>9</v>
      </c>
      <c r="AA354" s="8">
        <v>6565.56</v>
      </c>
      <c r="AB354" s="8">
        <v>0</v>
      </c>
      <c r="AC354" s="8">
        <v>0</v>
      </c>
      <c r="AD354" s="8">
        <v>0</v>
      </c>
      <c r="AE354" s="8">
        <v>13131.12</v>
      </c>
      <c r="AF354" s="8">
        <v>0</v>
      </c>
      <c r="AG354" s="8" t="s">
        <v>65</v>
      </c>
      <c r="AH354" s="8" t="s">
        <v>11</v>
      </c>
      <c r="AI354" s="8">
        <v>39269080</v>
      </c>
      <c r="AJ354" s="8" t="s">
        <v>60</v>
      </c>
      <c r="AK354" s="8">
        <v>1</v>
      </c>
      <c r="AL354" s="8">
        <v>502</v>
      </c>
      <c r="AM354" s="8" t="s">
        <v>1905</v>
      </c>
    </row>
    <row r="355" spans="7:39" ht="12.75" customHeight="1">
      <c r="G355" s="344"/>
      <c r="H355" s="6" t="s">
        <v>2939</v>
      </c>
      <c r="I355" s="8" t="s">
        <v>87</v>
      </c>
      <c r="J355" s="8" t="s">
        <v>91</v>
      </c>
      <c r="K355" s="8" t="s">
        <v>2942</v>
      </c>
      <c r="L355" s="8" t="s">
        <v>98</v>
      </c>
      <c r="M355" s="8" t="s">
        <v>2943</v>
      </c>
      <c r="N355" s="7" t="s">
        <v>2939</v>
      </c>
      <c r="O355" s="8" t="s">
        <v>13</v>
      </c>
      <c r="P355" s="8" t="s">
        <v>62</v>
      </c>
      <c r="Q355" s="8" t="s">
        <v>63</v>
      </c>
      <c r="R355" s="8" t="s">
        <v>64</v>
      </c>
      <c r="S355" s="8" t="s">
        <v>19</v>
      </c>
      <c r="T355" s="9">
        <v>1931</v>
      </c>
      <c r="U355" s="9">
        <v>278681.92</v>
      </c>
      <c r="V355" s="8" t="s">
        <v>19</v>
      </c>
      <c r="W355" s="8">
        <v>0</v>
      </c>
      <c r="X355" s="8">
        <v>9</v>
      </c>
      <c r="Y355" s="8">
        <v>25081.37</v>
      </c>
      <c r="Z355" s="8">
        <v>9</v>
      </c>
      <c r="AA355" s="8">
        <v>25081.37</v>
      </c>
      <c r="AB355" s="8">
        <v>0</v>
      </c>
      <c r="AC355" s="8">
        <v>0</v>
      </c>
      <c r="AD355" s="8">
        <v>0</v>
      </c>
      <c r="AE355" s="8">
        <v>50162.74</v>
      </c>
      <c r="AF355" s="8">
        <v>0</v>
      </c>
      <c r="AG355" s="8" t="s">
        <v>65</v>
      </c>
      <c r="AH355" s="8" t="s">
        <v>11</v>
      </c>
      <c r="AI355" s="8">
        <v>39269080</v>
      </c>
      <c r="AJ355" s="8" t="s">
        <v>60</v>
      </c>
      <c r="AK355" s="8">
        <v>1</v>
      </c>
      <c r="AL355" s="8">
        <v>1931</v>
      </c>
      <c r="AM355" s="8" t="s">
        <v>1905</v>
      </c>
    </row>
    <row r="356" spans="7:39" ht="12.75" customHeight="1">
      <c r="G356" s="344"/>
      <c r="H356" s="6" t="s">
        <v>2939</v>
      </c>
      <c r="I356" s="8" t="s">
        <v>87</v>
      </c>
      <c r="J356" s="8" t="s">
        <v>91</v>
      </c>
      <c r="K356" s="8" t="s">
        <v>2942</v>
      </c>
      <c r="L356" s="8" t="s">
        <v>98</v>
      </c>
      <c r="M356" s="8" t="s">
        <v>2943</v>
      </c>
      <c r="N356" s="7" t="s">
        <v>2939</v>
      </c>
      <c r="O356" s="8" t="s">
        <v>13</v>
      </c>
      <c r="P356" s="8" t="s">
        <v>62</v>
      </c>
      <c r="Q356" s="8" t="s">
        <v>63</v>
      </c>
      <c r="R356" s="8" t="s">
        <v>64</v>
      </c>
      <c r="S356" s="8" t="s">
        <v>19</v>
      </c>
      <c r="T356" s="9">
        <v>13927</v>
      </c>
      <c r="U356" s="9">
        <v>1982090.64</v>
      </c>
      <c r="V356" s="8" t="s">
        <v>19</v>
      </c>
      <c r="W356" s="8">
        <v>0</v>
      </c>
      <c r="X356" s="8">
        <v>9</v>
      </c>
      <c r="Y356" s="8">
        <v>178388.16</v>
      </c>
      <c r="Z356" s="8">
        <v>9</v>
      </c>
      <c r="AA356" s="8">
        <v>178388.16</v>
      </c>
      <c r="AB356" s="8">
        <v>0</v>
      </c>
      <c r="AC356" s="8">
        <v>0</v>
      </c>
      <c r="AD356" s="8">
        <v>0</v>
      </c>
      <c r="AE356" s="8">
        <v>356776.32</v>
      </c>
      <c r="AF356" s="8">
        <v>0</v>
      </c>
      <c r="AG356" s="8" t="s">
        <v>65</v>
      </c>
      <c r="AH356" s="8" t="s">
        <v>11</v>
      </c>
      <c r="AI356" s="8">
        <v>39269080</v>
      </c>
      <c r="AJ356" s="8" t="s">
        <v>60</v>
      </c>
      <c r="AK356" s="8">
        <v>1</v>
      </c>
      <c r="AL356" s="8">
        <v>13927</v>
      </c>
      <c r="AM356" s="8" t="s">
        <v>1905</v>
      </c>
    </row>
    <row r="357" spans="7:39" ht="12.75" customHeight="1">
      <c r="G357" s="344"/>
      <c r="H357" s="6" t="s">
        <v>2939</v>
      </c>
      <c r="I357" s="8" t="s">
        <v>87</v>
      </c>
      <c r="J357" s="8" t="s">
        <v>91</v>
      </c>
      <c r="K357" s="8" t="s">
        <v>2942</v>
      </c>
      <c r="L357" s="8" t="s">
        <v>98</v>
      </c>
      <c r="M357" s="8" t="s">
        <v>2943</v>
      </c>
      <c r="N357" s="7" t="s">
        <v>2939</v>
      </c>
      <c r="O357" s="8" t="s">
        <v>13</v>
      </c>
      <c r="P357" s="8" t="s">
        <v>62</v>
      </c>
      <c r="Q357" s="8" t="s">
        <v>76</v>
      </c>
      <c r="R357" s="8" t="s">
        <v>77</v>
      </c>
      <c r="S357" s="8" t="s">
        <v>21</v>
      </c>
      <c r="T357" s="9">
        <v>1300</v>
      </c>
      <c r="U357" s="9">
        <v>194116</v>
      </c>
      <c r="V357" s="8" t="s">
        <v>21</v>
      </c>
      <c r="W357" s="8">
        <v>0</v>
      </c>
      <c r="X357" s="8">
        <v>9</v>
      </c>
      <c r="Y357" s="8">
        <v>17470.439999999999</v>
      </c>
      <c r="Z357" s="8">
        <v>9</v>
      </c>
      <c r="AA357" s="8">
        <v>17470.439999999999</v>
      </c>
      <c r="AB357" s="8">
        <v>0</v>
      </c>
      <c r="AC357" s="8">
        <v>0</v>
      </c>
      <c r="AD357" s="8">
        <v>0</v>
      </c>
      <c r="AE357" s="8">
        <v>34940.879999999997</v>
      </c>
      <c r="AF357" s="8">
        <v>0</v>
      </c>
      <c r="AG357" s="8" t="s">
        <v>65</v>
      </c>
      <c r="AH357" s="8" t="s">
        <v>11</v>
      </c>
      <c r="AI357" s="8">
        <v>63053300</v>
      </c>
      <c r="AJ357" s="8" t="s">
        <v>60</v>
      </c>
      <c r="AK357" s="8">
        <v>1</v>
      </c>
      <c r="AL357" s="8">
        <v>1300</v>
      </c>
      <c r="AM357" s="8" t="s">
        <v>1905</v>
      </c>
    </row>
    <row r="358" spans="7:39" ht="12.75" customHeight="1">
      <c r="G358" s="344"/>
      <c r="H358" s="6" t="s">
        <v>2939</v>
      </c>
      <c r="I358" s="8" t="s">
        <v>87</v>
      </c>
      <c r="J358" s="8" t="s">
        <v>91</v>
      </c>
      <c r="K358" s="8" t="s">
        <v>2942</v>
      </c>
      <c r="L358" s="8" t="s">
        <v>98</v>
      </c>
      <c r="M358" s="8" t="s">
        <v>2943</v>
      </c>
      <c r="N358" s="8" t="s">
        <v>2939</v>
      </c>
      <c r="O358" s="8" t="s">
        <v>13</v>
      </c>
      <c r="P358" s="8" t="s">
        <v>62</v>
      </c>
      <c r="Q358" s="8" t="s">
        <v>76</v>
      </c>
      <c r="R358" s="8" t="s">
        <v>77</v>
      </c>
      <c r="S358" s="8" t="s">
        <v>21</v>
      </c>
      <c r="T358" s="9">
        <v>385</v>
      </c>
      <c r="U358" s="9">
        <v>56333.2</v>
      </c>
      <c r="V358" s="8" t="s">
        <v>21</v>
      </c>
      <c r="W358" s="8">
        <v>0</v>
      </c>
      <c r="X358" s="8">
        <v>9</v>
      </c>
      <c r="Y358" s="8">
        <v>5069.99</v>
      </c>
      <c r="Z358" s="8">
        <v>9</v>
      </c>
      <c r="AA358" s="8">
        <v>5069.99</v>
      </c>
      <c r="AB358" s="8">
        <v>0</v>
      </c>
      <c r="AC358" s="8">
        <v>0</v>
      </c>
      <c r="AD358" s="8">
        <v>0</v>
      </c>
      <c r="AE358" s="8">
        <v>10139.98</v>
      </c>
      <c r="AF358" s="8">
        <v>0</v>
      </c>
      <c r="AG358" s="8" t="s">
        <v>65</v>
      </c>
      <c r="AH358" s="8" t="s">
        <v>11</v>
      </c>
      <c r="AI358" s="8">
        <v>63053300</v>
      </c>
      <c r="AJ358" s="8" t="s">
        <v>60</v>
      </c>
      <c r="AK358" s="8">
        <v>1</v>
      </c>
      <c r="AL358" s="8">
        <v>385</v>
      </c>
      <c r="AM358" s="8" t="s">
        <v>1905</v>
      </c>
    </row>
    <row r="359" spans="7:39" ht="12.75" customHeight="1">
      <c r="G359" s="344"/>
      <c r="H359" s="6" t="s">
        <v>2939</v>
      </c>
      <c r="I359" s="8" t="s">
        <v>87</v>
      </c>
      <c r="J359" s="8" t="s">
        <v>91</v>
      </c>
      <c r="K359" s="8" t="s">
        <v>2944</v>
      </c>
      <c r="L359" s="8" t="s">
        <v>98</v>
      </c>
      <c r="M359" s="8" t="s">
        <v>2945</v>
      </c>
      <c r="N359" s="7" t="s">
        <v>2939</v>
      </c>
      <c r="O359" s="8" t="s">
        <v>13</v>
      </c>
      <c r="P359" s="8" t="s">
        <v>24</v>
      </c>
      <c r="Q359" s="8" t="s">
        <v>79</v>
      </c>
      <c r="R359" s="8" t="s">
        <v>79</v>
      </c>
      <c r="S359" s="8" t="s">
        <v>24</v>
      </c>
      <c r="T359" s="9">
        <v>1499.1</v>
      </c>
      <c r="U359" s="9">
        <v>220847.41</v>
      </c>
      <c r="V359" s="8" t="s">
        <v>24</v>
      </c>
      <c r="W359" s="8">
        <v>799018.64</v>
      </c>
      <c r="X359" s="8">
        <v>9</v>
      </c>
      <c r="Y359" s="8">
        <v>19876.27</v>
      </c>
      <c r="Z359" s="8">
        <v>9</v>
      </c>
      <c r="AA359" s="8">
        <v>19876.27</v>
      </c>
      <c r="AB359" s="8">
        <v>0</v>
      </c>
      <c r="AC359" s="8">
        <v>0</v>
      </c>
      <c r="AD359" s="8">
        <v>0</v>
      </c>
      <c r="AE359" s="8">
        <v>39752.54</v>
      </c>
      <c r="AF359" s="8">
        <v>0</v>
      </c>
      <c r="AG359" s="8" t="s">
        <v>65</v>
      </c>
      <c r="AH359" s="8" t="s">
        <v>11</v>
      </c>
      <c r="AI359" s="8">
        <v>3926908</v>
      </c>
      <c r="AJ359" s="8" t="s">
        <v>60</v>
      </c>
      <c r="AK359" s="8">
        <v>1</v>
      </c>
      <c r="AL359" s="8">
        <v>1499.1</v>
      </c>
      <c r="AM359" s="8" t="s">
        <v>1905</v>
      </c>
    </row>
    <row r="360" spans="7:39" ht="12.75" customHeight="1">
      <c r="G360" s="344"/>
      <c r="H360" s="6" t="s">
        <v>2939</v>
      </c>
      <c r="I360" s="8" t="s">
        <v>87</v>
      </c>
      <c r="J360" s="8" t="s">
        <v>91</v>
      </c>
      <c r="K360" s="8" t="s">
        <v>2944</v>
      </c>
      <c r="L360" s="8" t="s">
        <v>98</v>
      </c>
      <c r="M360" s="8" t="s">
        <v>2945</v>
      </c>
      <c r="N360" s="7" t="s">
        <v>2939</v>
      </c>
      <c r="O360" s="8" t="s">
        <v>13</v>
      </c>
      <c r="P360" s="8" t="s">
        <v>24</v>
      </c>
      <c r="Q360" s="8" t="s">
        <v>79</v>
      </c>
      <c r="R360" s="8" t="s">
        <v>79</v>
      </c>
      <c r="S360" s="8" t="s">
        <v>24</v>
      </c>
      <c r="T360" s="9">
        <v>468.2</v>
      </c>
      <c r="U360" s="9">
        <v>67570.62</v>
      </c>
      <c r="V360" s="8" t="s">
        <v>24</v>
      </c>
      <c r="W360" s="8">
        <v>0</v>
      </c>
      <c r="X360" s="8">
        <v>9</v>
      </c>
      <c r="Y360" s="8">
        <v>6081.36</v>
      </c>
      <c r="Z360" s="8">
        <v>9</v>
      </c>
      <c r="AA360" s="8">
        <v>6081.36</v>
      </c>
      <c r="AB360" s="8">
        <v>0</v>
      </c>
      <c r="AC360" s="8">
        <v>0</v>
      </c>
      <c r="AD360" s="8">
        <v>0</v>
      </c>
      <c r="AE360" s="8">
        <v>12162.72</v>
      </c>
      <c r="AF360" s="8">
        <v>0</v>
      </c>
      <c r="AG360" s="8" t="s">
        <v>65</v>
      </c>
      <c r="AH360" s="8" t="s">
        <v>11</v>
      </c>
      <c r="AI360" s="8">
        <v>3926908</v>
      </c>
      <c r="AJ360" s="8" t="s">
        <v>60</v>
      </c>
      <c r="AK360" s="8">
        <v>1</v>
      </c>
      <c r="AL360" s="8">
        <v>468.2</v>
      </c>
      <c r="AM360" s="8" t="s">
        <v>1905</v>
      </c>
    </row>
    <row r="361" spans="7:39" ht="12.75" customHeight="1">
      <c r="G361" s="344"/>
      <c r="H361" s="6" t="s">
        <v>2939</v>
      </c>
      <c r="I361" s="8" t="s">
        <v>87</v>
      </c>
      <c r="J361" s="8" t="s">
        <v>91</v>
      </c>
      <c r="K361" s="8" t="s">
        <v>2944</v>
      </c>
      <c r="L361" s="8" t="s">
        <v>98</v>
      </c>
      <c r="M361" s="8" t="s">
        <v>2945</v>
      </c>
      <c r="N361" s="7" t="s">
        <v>2939</v>
      </c>
      <c r="O361" s="8" t="s">
        <v>13</v>
      </c>
      <c r="P361" s="8" t="s">
        <v>99</v>
      </c>
      <c r="Q361" s="8" t="s">
        <v>100</v>
      </c>
      <c r="R361" s="8" t="s">
        <v>101</v>
      </c>
      <c r="S361" s="8" t="s">
        <v>1268</v>
      </c>
      <c r="T361" s="9">
        <v>989.2</v>
      </c>
      <c r="U361" s="9">
        <v>155620.94</v>
      </c>
      <c r="V361" s="8" t="s">
        <v>1268</v>
      </c>
      <c r="W361" s="8">
        <v>0</v>
      </c>
      <c r="X361" s="8">
        <v>2.5</v>
      </c>
      <c r="Y361" s="8">
        <v>3890.52</v>
      </c>
      <c r="Z361" s="8">
        <v>2.5</v>
      </c>
      <c r="AA361" s="8">
        <v>3890.52</v>
      </c>
      <c r="AB361" s="8">
        <v>0</v>
      </c>
      <c r="AC361" s="8">
        <v>0</v>
      </c>
      <c r="AD361" s="8">
        <v>0</v>
      </c>
      <c r="AE361" s="8">
        <v>7781.04</v>
      </c>
      <c r="AF361" s="8">
        <v>0</v>
      </c>
      <c r="AG361" s="8" t="s">
        <v>65</v>
      </c>
      <c r="AH361" s="8" t="s">
        <v>3</v>
      </c>
      <c r="AI361" s="8">
        <v>54026930</v>
      </c>
      <c r="AJ361" s="8" t="s">
        <v>60</v>
      </c>
      <c r="AK361" s="8">
        <v>1</v>
      </c>
      <c r="AL361" s="8">
        <v>989.2</v>
      </c>
      <c r="AM361" s="8" t="s">
        <v>1905</v>
      </c>
    </row>
    <row r="362" spans="7:39" ht="12.75" customHeight="1">
      <c r="G362" s="344"/>
      <c r="H362" s="6" t="s">
        <v>2939</v>
      </c>
      <c r="I362" s="8" t="s">
        <v>87</v>
      </c>
      <c r="J362" s="8" t="s">
        <v>91</v>
      </c>
      <c r="K362" s="8" t="s">
        <v>2944</v>
      </c>
      <c r="L362" s="8" t="s">
        <v>98</v>
      </c>
      <c r="M362" s="8" t="s">
        <v>2945</v>
      </c>
      <c r="N362" s="7" t="s">
        <v>2939</v>
      </c>
      <c r="O362" s="8" t="s">
        <v>13</v>
      </c>
      <c r="P362" s="8" t="s">
        <v>99</v>
      </c>
      <c r="Q362" s="8" t="s">
        <v>100</v>
      </c>
      <c r="R362" s="8" t="s">
        <v>101</v>
      </c>
      <c r="S362" s="8" t="s">
        <v>553</v>
      </c>
      <c r="T362" s="9">
        <v>952.2</v>
      </c>
      <c r="U362" s="9">
        <v>146943.5</v>
      </c>
      <c r="V362" s="8" t="s">
        <v>553</v>
      </c>
      <c r="W362" s="8">
        <v>0</v>
      </c>
      <c r="X362" s="8">
        <v>2.5</v>
      </c>
      <c r="Y362" s="8">
        <v>3673.59</v>
      </c>
      <c r="Z362" s="8">
        <v>2.5</v>
      </c>
      <c r="AA362" s="8">
        <v>3673.59</v>
      </c>
      <c r="AB362" s="8">
        <v>0</v>
      </c>
      <c r="AC362" s="8">
        <v>0</v>
      </c>
      <c r="AD362" s="8">
        <v>0</v>
      </c>
      <c r="AE362" s="8">
        <v>7347.18</v>
      </c>
      <c r="AF362" s="8">
        <v>0</v>
      </c>
      <c r="AG362" s="8" t="s">
        <v>65</v>
      </c>
      <c r="AH362" s="8" t="s">
        <v>3</v>
      </c>
      <c r="AI362" s="8">
        <v>540263</v>
      </c>
      <c r="AJ362" s="8" t="s">
        <v>60</v>
      </c>
      <c r="AK362" s="8">
        <v>1</v>
      </c>
      <c r="AL362" s="8">
        <v>952.2</v>
      </c>
      <c r="AM362" s="8" t="s">
        <v>1905</v>
      </c>
    </row>
    <row r="363" spans="7:39" ht="12.75" customHeight="1">
      <c r="G363" s="344"/>
      <c r="H363" s="6" t="s">
        <v>2939</v>
      </c>
      <c r="I363" s="8" t="s">
        <v>87</v>
      </c>
      <c r="J363" s="8" t="s">
        <v>91</v>
      </c>
      <c r="K363" s="8" t="s">
        <v>2944</v>
      </c>
      <c r="L363" s="8" t="s">
        <v>98</v>
      </c>
      <c r="M363" s="8" t="s">
        <v>2945</v>
      </c>
      <c r="N363" s="7" t="s">
        <v>2939</v>
      </c>
      <c r="O363" s="8" t="s">
        <v>13</v>
      </c>
      <c r="P363" s="8" t="s">
        <v>80</v>
      </c>
      <c r="Q363" s="8" t="s">
        <v>81</v>
      </c>
      <c r="R363" s="8" t="s">
        <v>82</v>
      </c>
      <c r="S363" s="8" t="s">
        <v>17</v>
      </c>
      <c r="T363" s="9">
        <v>679</v>
      </c>
      <c r="U363" s="9">
        <v>120087.94</v>
      </c>
      <c r="V363" s="8" t="s">
        <v>17</v>
      </c>
      <c r="W363" s="8">
        <v>0</v>
      </c>
      <c r="X363" s="8">
        <v>9</v>
      </c>
      <c r="Y363" s="8">
        <v>10807.91</v>
      </c>
      <c r="Z363" s="8">
        <v>9</v>
      </c>
      <c r="AA363" s="8">
        <v>10807.91</v>
      </c>
      <c r="AB363" s="8">
        <v>0</v>
      </c>
      <c r="AC363" s="8">
        <v>0</v>
      </c>
      <c r="AD363" s="8">
        <v>0</v>
      </c>
      <c r="AE363" s="8">
        <v>21615.82</v>
      </c>
      <c r="AF363" s="8">
        <v>0</v>
      </c>
      <c r="AG363" s="8" t="s">
        <v>65</v>
      </c>
      <c r="AH363" s="8" t="s">
        <v>11</v>
      </c>
      <c r="AI363" s="8">
        <v>39200000</v>
      </c>
      <c r="AJ363" s="8" t="s">
        <v>60</v>
      </c>
      <c r="AK363" s="8">
        <v>1</v>
      </c>
      <c r="AL363" s="8">
        <v>679</v>
      </c>
      <c r="AM363" s="8" t="s">
        <v>1905</v>
      </c>
    </row>
    <row r="364" spans="7:39" ht="12.75" customHeight="1">
      <c r="G364" s="344"/>
      <c r="H364" s="6" t="s">
        <v>2939</v>
      </c>
      <c r="I364" s="8" t="s">
        <v>94</v>
      </c>
      <c r="J364" s="8" t="s">
        <v>96</v>
      </c>
      <c r="K364" s="8" t="s">
        <v>2946</v>
      </c>
      <c r="L364" s="8" t="s">
        <v>97</v>
      </c>
      <c r="M364" s="8" t="s">
        <v>2947</v>
      </c>
      <c r="N364" s="7" t="s">
        <v>2939</v>
      </c>
      <c r="O364" s="8" t="s">
        <v>2</v>
      </c>
      <c r="P364" s="8" t="s">
        <v>1662</v>
      </c>
      <c r="Q364" s="8" t="s">
        <v>68</v>
      </c>
      <c r="R364" s="8" t="s">
        <v>69</v>
      </c>
      <c r="S364" s="8" t="s">
        <v>2470</v>
      </c>
      <c r="T364" s="9">
        <v>1</v>
      </c>
      <c r="U364" s="9">
        <v>3660</v>
      </c>
      <c r="V364" s="8" t="s">
        <v>2470</v>
      </c>
      <c r="W364" s="8">
        <v>3839.34</v>
      </c>
      <c r="X364" s="8">
        <v>2.5</v>
      </c>
      <c r="Y364" s="8">
        <v>91.5</v>
      </c>
      <c r="Z364" s="8">
        <v>2.5</v>
      </c>
      <c r="AA364" s="8">
        <v>91.5</v>
      </c>
      <c r="AB364" s="8">
        <v>0</v>
      </c>
      <c r="AC364" s="8">
        <v>0</v>
      </c>
      <c r="AD364" s="8">
        <v>0</v>
      </c>
      <c r="AE364" s="8">
        <v>183</v>
      </c>
      <c r="AF364" s="8">
        <v>0</v>
      </c>
      <c r="AG364" s="8" t="s">
        <v>74</v>
      </c>
      <c r="AH364" s="8" t="s">
        <v>1</v>
      </c>
      <c r="AI364" s="8">
        <v>84529099</v>
      </c>
      <c r="AJ364" s="8" t="s">
        <v>60</v>
      </c>
      <c r="AK364" s="8">
        <v>1</v>
      </c>
      <c r="AL364" s="8">
        <v>0</v>
      </c>
      <c r="AM364" s="8" t="s">
        <v>1905</v>
      </c>
    </row>
    <row r="365" spans="7:39" ht="12.75" customHeight="1">
      <c r="G365" s="344"/>
      <c r="H365" s="6" t="s">
        <v>2948</v>
      </c>
      <c r="I365" s="8" t="s">
        <v>2384</v>
      </c>
      <c r="J365" s="8" t="s">
        <v>96</v>
      </c>
      <c r="K365" s="8" t="s">
        <v>2949</v>
      </c>
      <c r="L365" s="8" t="s">
        <v>97</v>
      </c>
      <c r="M365" s="8" t="s">
        <v>2950</v>
      </c>
      <c r="N365" s="7">
        <v>46150</v>
      </c>
      <c r="O365" s="8" t="s">
        <v>2</v>
      </c>
      <c r="P365" s="8" t="s">
        <v>2951</v>
      </c>
      <c r="Q365" s="8" t="s">
        <v>68</v>
      </c>
      <c r="R365" s="8" t="s">
        <v>69</v>
      </c>
      <c r="S365" s="8" t="s">
        <v>2952</v>
      </c>
      <c r="T365" s="9">
        <v>100</v>
      </c>
      <c r="U365" s="9">
        <v>6847</v>
      </c>
      <c r="V365" s="8" t="s">
        <v>2952</v>
      </c>
      <c r="W365" s="8">
        <v>8079</v>
      </c>
      <c r="X365" s="8">
        <v>9</v>
      </c>
      <c r="Y365" s="8">
        <v>616.23</v>
      </c>
      <c r="Z365" s="8">
        <v>9</v>
      </c>
      <c r="AA365" s="8">
        <v>616.23</v>
      </c>
      <c r="AB365" s="8">
        <v>0</v>
      </c>
      <c r="AC365" s="8">
        <v>0</v>
      </c>
      <c r="AD365" s="8">
        <v>0</v>
      </c>
      <c r="AE365" s="8">
        <v>1232.46</v>
      </c>
      <c r="AF365" s="8">
        <v>0</v>
      </c>
      <c r="AG365" s="8" t="s">
        <v>2385</v>
      </c>
      <c r="AH365" s="8" t="s">
        <v>2367</v>
      </c>
      <c r="AI365" s="8">
        <v>854470</v>
      </c>
      <c r="AJ365" s="8" t="s">
        <v>60</v>
      </c>
      <c r="AK365" s="8">
        <v>1</v>
      </c>
      <c r="AL365" s="8">
        <v>0</v>
      </c>
      <c r="AM365" s="8" t="s">
        <v>1905</v>
      </c>
    </row>
    <row r="366" spans="7:39" ht="12.75" customHeight="1">
      <c r="G366" s="344"/>
      <c r="H366" s="6" t="s">
        <v>2948</v>
      </c>
      <c r="I366" s="8" t="s">
        <v>2368</v>
      </c>
      <c r="J366" s="8" t="s">
        <v>96</v>
      </c>
      <c r="K366" s="8" t="s">
        <v>2953</v>
      </c>
      <c r="L366" s="8" t="s">
        <v>114</v>
      </c>
      <c r="M366" s="8" t="s">
        <v>2954</v>
      </c>
      <c r="N366" s="7" t="s">
        <v>2926</v>
      </c>
      <c r="O366" s="8" t="s">
        <v>4</v>
      </c>
      <c r="P366" s="8" t="s">
        <v>115</v>
      </c>
      <c r="Q366" s="8" t="s">
        <v>115</v>
      </c>
      <c r="R366" s="8" t="s">
        <v>4</v>
      </c>
      <c r="S366" s="8" t="s">
        <v>629</v>
      </c>
      <c r="T366" s="9">
        <v>150</v>
      </c>
      <c r="U366" s="9">
        <v>116250</v>
      </c>
      <c r="V366" s="8" t="s">
        <v>629</v>
      </c>
      <c r="W366" s="8">
        <v>122063</v>
      </c>
      <c r="X366" s="8">
        <v>2.5</v>
      </c>
      <c r="Y366" s="8">
        <v>2906.25</v>
      </c>
      <c r="Z366" s="8">
        <v>2.5</v>
      </c>
      <c r="AA366" s="8">
        <v>2906.25</v>
      </c>
      <c r="AB366" s="8">
        <v>0</v>
      </c>
      <c r="AC366" s="8">
        <v>0</v>
      </c>
      <c r="AD366" s="8">
        <v>0</v>
      </c>
      <c r="AE366" s="8">
        <v>5812.5</v>
      </c>
      <c r="AF366" s="8">
        <v>0</v>
      </c>
      <c r="AG366" s="8" t="s">
        <v>2369</v>
      </c>
      <c r="AH366" s="8" t="s">
        <v>1</v>
      </c>
      <c r="AI366" s="8">
        <v>44152000</v>
      </c>
      <c r="AJ366" s="8" t="s">
        <v>60</v>
      </c>
      <c r="AK366" s="8">
        <v>1</v>
      </c>
      <c r="AL366" s="8">
        <v>0</v>
      </c>
      <c r="AM366" s="8" t="s">
        <v>1905</v>
      </c>
    </row>
    <row r="367" spans="7:39" ht="12.75" customHeight="1">
      <c r="G367" s="344"/>
      <c r="H367" s="6" t="s">
        <v>2948</v>
      </c>
      <c r="I367" s="8" t="s">
        <v>87</v>
      </c>
      <c r="J367" s="8" t="s">
        <v>96</v>
      </c>
      <c r="K367" s="8" t="s">
        <v>2955</v>
      </c>
      <c r="L367" s="8" t="s">
        <v>97</v>
      </c>
      <c r="M367" s="8" t="s">
        <v>2956</v>
      </c>
      <c r="N367" s="7" t="s">
        <v>2948</v>
      </c>
      <c r="O367" s="8" t="s">
        <v>2</v>
      </c>
      <c r="P367" s="8" t="s">
        <v>67</v>
      </c>
      <c r="Q367" s="8" t="s">
        <v>68</v>
      </c>
      <c r="R367" s="8" t="s">
        <v>69</v>
      </c>
      <c r="S367" s="8" t="s">
        <v>70</v>
      </c>
      <c r="T367" s="9">
        <v>263</v>
      </c>
      <c r="U367" s="9">
        <v>12624</v>
      </c>
      <c r="V367" s="8" t="s">
        <v>70</v>
      </c>
      <c r="W367" s="8">
        <v>14883.7</v>
      </c>
      <c r="X367" s="8">
        <v>9</v>
      </c>
      <c r="Y367" s="8">
        <v>1136.1600000000001</v>
      </c>
      <c r="Z367" s="8">
        <v>9</v>
      </c>
      <c r="AA367" s="8">
        <v>1136.1600000000001</v>
      </c>
      <c r="AB367" s="8">
        <v>0</v>
      </c>
      <c r="AC367" s="8">
        <v>0</v>
      </c>
      <c r="AD367" s="8">
        <v>0</v>
      </c>
      <c r="AE367" s="8">
        <v>2272.3200000000002</v>
      </c>
      <c r="AF367" s="8">
        <v>0</v>
      </c>
      <c r="AG367" s="8" t="s">
        <v>65</v>
      </c>
      <c r="AH367" s="8" t="s">
        <v>11</v>
      </c>
      <c r="AI367" s="8">
        <v>73063090</v>
      </c>
      <c r="AJ367" s="8" t="s">
        <v>60</v>
      </c>
      <c r="AK367" s="8">
        <v>1</v>
      </c>
      <c r="AL367" s="8">
        <v>0</v>
      </c>
      <c r="AM367" s="8" t="s">
        <v>1905</v>
      </c>
    </row>
    <row r="368" spans="7:39" ht="12.75" customHeight="1">
      <c r="G368" s="344"/>
      <c r="H368" s="6" t="s">
        <v>2948</v>
      </c>
      <c r="I368" s="8" t="s">
        <v>87</v>
      </c>
      <c r="J368" s="8" t="s">
        <v>91</v>
      </c>
      <c r="K368" s="8" t="s">
        <v>2957</v>
      </c>
      <c r="L368" s="8" t="s">
        <v>98</v>
      </c>
      <c r="M368" s="8" t="s">
        <v>2958</v>
      </c>
      <c r="N368" s="7" t="s">
        <v>2948</v>
      </c>
      <c r="O368" s="8" t="s">
        <v>13</v>
      </c>
      <c r="P368" s="8" t="s">
        <v>62</v>
      </c>
      <c r="Q368" s="8" t="s">
        <v>63</v>
      </c>
      <c r="R368" s="8" t="s">
        <v>64</v>
      </c>
      <c r="S368" s="8" t="s">
        <v>19</v>
      </c>
      <c r="T368" s="9">
        <v>2435</v>
      </c>
      <c r="U368" s="9">
        <v>351419.2</v>
      </c>
      <c r="V368" s="8" t="s">
        <v>19</v>
      </c>
      <c r="W368" s="8">
        <v>1944641.52</v>
      </c>
      <c r="X368" s="8">
        <v>9</v>
      </c>
      <c r="Y368" s="8">
        <v>31627.73</v>
      </c>
      <c r="Z368" s="8">
        <v>9</v>
      </c>
      <c r="AA368" s="8">
        <v>31627.73</v>
      </c>
      <c r="AB368" s="8">
        <v>0</v>
      </c>
      <c r="AC368" s="8">
        <v>0</v>
      </c>
      <c r="AD368" s="8">
        <v>0</v>
      </c>
      <c r="AE368" s="8">
        <v>63255.46</v>
      </c>
      <c r="AF368" s="8">
        <v>0</v>
      </c>
      <c r="AG368" s="8" t="s">
        <v>65</v>
      </c>
      <c r="AH368" s="8" t="s">
        <v>11</v>
      </c>
      <c r="AI368" s="8">
        <v>39269080</v>
      </c>
      <c r="AJ368" s="8" t="s">
        <v>60</v>
      </c>
      <c r="AK368" s="8">
        <v>1</v>
      </c>
      <c r="AL368" s="8">
        <v>2435</v>
      </c>
      <c r="AM368" s="8" t="s">
        <v>1905</v>
      </c>
    </row>
    <row r="369" spans="7:39" ht="12.75" customHeight="1">
      <c r="G369" s="344"/>
      <c r="H369" s="6" t="s">
        <v>2948</v>
      </c>
      <c r="I369" s="8" t="s">
        <v>87</v>
      </c>
      <c r="J369" s="8" t="s">
        <v>91</v>
      </c>
      <c r="K369" s="8" t="s">
        <v>2957</v>
      </c>
      <c r="L369" s="8" t="s">
        <v>98</v>
      </c>
      <c r="M369" s="8" t="s">
        <v>2958</v>
      </c>
      <c r="N369" s="7" t="s">
        <v>2948</v>
      </c>
      <c r="O369" s="8" t="s">
        <v>13</v>
      </c>
      <c r="P369" s="8" t="s">
        <v>62</v>
      </c>
      <c r="Q369" s="8" t="s">
        <v>63</v>
      </c>
      <c r="R369" s="8" t="s">
        <v>64</v>
      </c>
      <c r="S369" s="8" t="s">
        <v>19</v>
      </c>
      <c r="T369" s="9">
        <v>529</v>
      </c>
      <c r="U369" s="9">
        <v>76874.28</v>
      </c>
      <c r="V369" s="8" t="s">
        <v>19</v>
      </c>
      <c r="W369" s="8">
        <v>0</v>
      </c>
      <c r="X369" s="8">
        <v>9</v>
      </c>
      <c r="Y369" s="8">
        <v>6918.69</v>
      </c>
      <c r="Z369" s="8">
        <v>9</v>
      </c>
      <c r="AA369" s="8">
        <v>6918.69</v>
      </c>
      <c r="AB369" s="8">
        <v>0</v>
      </c>
      <c r="AC369" s="8">
        <v>0</v>
      </c>
      <c r="AD369" s="8">
        <v>0</v>
      </c>
      <c r="AE369" s="8">
        <v>13837.38</v>
      </c>
      <c r="AF369" s="8">
        <v>0</v>
      </c>
      <c r="AG369" s="8" t="s">
        <v>65</v>
      </c>
      <c r="AH369" s="8" t="s">
        <v>11</v>
      </c>
      <c r="AI369" s="8">
        <v>39269080</v>
      </c>
      <c r="AJ369" s="8" t="s">
        <v>60</v>
      </c>
      <c r="AK369" s="8">
        <v>1</v>
      </c>
      <c r="AL369" s="8">
        <v>529</v>
      </c>
      <c r="AM369" s="8" t="s">
        <v>1905</v>
      </c>
    </row>
    <row r="370" spans="7:39" ht="12.75" customHeight="1">
      <c r="G370" s="344"/>
      <c r="H370" s="6" t="s">
        <v>2948</v>
      </c>
      <c r="I370" s="8" t="s">
        <v>87</v>
      </c>
      <c r="J370" s="8" t="s">
        <v>91</v>
      </c>
      <c r="K370" s="8" t="s">
        <v>2957</v>
      </c>
      <c r="L370" s="8" t="s">
        <v>98</v>
      </c>
      <c r="M370" s="8" t="s">
        <v>2958</v>
      </c>
      <c r="N370" s="7" t="s">
        <v>2948</v>
      </c>
      <c r="O370" s="8" t="s">
        <v>13</v>
      </c>
      <c r="P370" s="8" t="s">
        <v>62</v>
      </c>
      <c r="Q370" s="8" t="s">
        <v>63</v>
      </c>
      <c r="R370" s="8" t="s">
        <v>64</v>
      </c>
      <c r="S370" s="8" t="s">
        <v>19</v>
      </c>
      <c r="T370" s="9">
        <v>8580</v>
      </c>
      <c r="U370" s="9">
        <v>1221105.6000000001</v>
      </c>
      <c r="V370" s="8" t="s">
        <v>19</v>
      </c>
      <c r="W370" s="8">
        <v>0</v>
      </c>
      <c r="X370" s="8">
        <v>9</v>
      </c>
      <c r="Y370" s="8">
        <v>109899.5</v>
      </c>
      <c r="Z370" s="8">
        <v>9</v>
      </c>
      <c r="AA370" s="8">
        <v>109899.5</v>
      </c>
      <c r="AB370" s="8">
        <v>0</v>
      </c>
      <c r="AC370" s="8">
        <v>0</v>
      </c>
      <c r="AD370" s="8">
        <v>0</v>
      </c>
      <c r="AE370" s="8">
        <v>219799</v>
      </c>
      <c r="AF370" s="8">
        <v>0</v>
      </c>
      <c r="AG370" s="8" t="s">
        <v>65</v>
      </c>
      <c r="AH370" s="8" t="s">
        <v>11</v>
      </c>
      <c r="AI370" s="8">
        <v>39269080</v>
      </c>
      <c r="AJ370" s="8" t="s">
        <v>60</v>
      </c>
      <c r="AK370" s="8">
        <v>1</v>
      </c>
      <c r="AL370" s="8">
        <v>8580</v>
      </c>
      <c r="AM370" s="8" t="s">
        <v>1905</v>
      </c>
    </row>
    <row r="371" spans="7:39" ht="12.75" customHeight="1">
      <c r="G371" s="344"/>
      <c r="H371" s="6" t="s">
        <v>2948</v>
      </c>
      <c r="I371" s="8" t="s">
        <v>87</v>
      </c>
      <c r="J371" s="8" t="s">
        <v>91</v>
      </c>
      <c r="K371" s="8" t="s">
        <v>2959</v>
      </c>
      <c r="L371" s="8" t="s">
        <v>98</v>
      </c>
      <c r="M371" s="8" t="s">
        <v>2960</v>
      </c>
      <c r="N371" s="7" t="s">
        <v>2948</v>
      </c>
      <c r="O371" s="8" t="s">
        <v>13</v>
      </c>
      <c r="P371" s="8" t="s">
        <v>80</v>
      </c>
      <c r="Q371" s="8" t="s">
        <v>81</v>
      </c>
      <c r="R371" s="8" t="s">
        <v>82</v>
      </c>
      <c r="S371" s="8" t="s">
        <v>17</v>
      </c>
      <c r="T371" s="9">
        <v>3725</v>
      </c>
      <c r="U371" s="9">
        <v>658803.5</v>
      </c>
      <c r="V371" s="8" t="s">
        <v>17</v>
      </c>
      <c r="W371" s="8">
        <v>1103547.5</v>
      </c>
      <c r="X371" s="8">
        <v>9</v>
      </c>
      <c r="Y371" s="8">
        <v>59292.32</v>
      </c>
      <c r="Z371" s="8">
        <v>9</v>
      </c>
      <c r="AA371" s="8">
        <v>59292.32</v>
      </c>
      <c r="AB371" s="8">
        <v>0</v>
      </c>
      <c r="AC371" s="8">
        <v>0</v>
      </c>
      <c r="AD371" s="8">
        <v>0</v>
      </c>
      <c r="AE371" s="8">
        <v>118584.64</v>
      </c>
      <c r="AF371" s="8">
        <v>0</v>
      </c>
      <c r="AG371" s="8" t="s">
        <v>65</v>
      </c>
      <c r="AH371" s="8" t="s">
        <v>11</v>
      </c>
      <c r="AI371" s="8">
        <v>39200000</v>
      </c>
      <c r="AJ371" s="8" t="s">
        <v>60</v>
      </c>
      <c r="AK371" s="8">
        <v>1</v>
      </c>
      <c r="AL371" s="8">
        <v>3725</v>
      </c>
      <c r="AM371" s="8" t="s">
        <v>1905</v>
      </c>
    </row>
    <row r="372" spans="7:39" ht="12.75" customHeight="1">
      <c r="G372" s="344"/>
      <c r="H372" s="6" t="s">
        <v>2948</v>
      </c>
      <c r="I372" s="8" t="s">
        <v>87</v>
      </c>
      <c r="J372" s="8" t="s">
        <v>91</v>
      </c>
      <c r="K372" s="8" t="s">
        <v>2959</v>
      </c>
      <c r="L372" s="8" t="s">
        <v>98</v>
      </c>
      <c r="M372" s="8" t="s">
        <v>2960</v>
      </c>
      <c r="N372" s="7" t="s">
        <v>2948</v>
      </c>
      <c r="O372" s="8" t="s">
        <v>13</v>
      </c>
      <c r="P372" s="8" t="s">
        <v>24</v>
      </c>
      <c r="Q372" s="8" t="s">
        <v>79</v>
      </c>
      <c r="R372" s="8" t="s">
        <v>79</v>
      </c>
      <c r="S372" s="8" t="s">
        <v>24</v>
      </c>
      <c r="T372" s="9">
        <v>421.6</v>
      </c>
      <c r="U372" s="9">
        <v>60845.31</v>
      </c>
      <c r="V372" s="8" t="s">
        <v>24</v>
      </c>
      <c r="W372" s="8">
        <v>0</v>
      </c>
      <c r="X372" s="8">
        <v>9</v>
      </c>
      <c r="Y372" s="8">
        <v>5476.08</v>
      </c>
      <c r="Z372" s="8">
        <v>9</v>
      </c>
      <c r="AA372" s="8">
        <v>5476.08</v>
      </c>
      <c r="AB372" s="8">
        <v>0</v>
      </c>
      <c r="AC372" s="8">
        <v>0</v>
      </c>
      <c r="AD372" s="8">
        <v>0</v>
      </c>
      <c r="AE372" s="8">
        <v>10952.16</v>
      </c>
      <c r="AF372" s="8">
        <v>0</v>
      </c>
      <c r="AG372" s="8" t="s">
        <v>65</v>
      </c>
      <c r="AH372" s="8" t="s">
        <v>11</v>
      </c>
      <c r="AI372" s="8">
        <v>3926908</v>
      </c>
      <c r="AJ372" s="8" t="s">
        <v>60</v>
      </c>
      <c r="AK372" s="8">
        <v>1</v>
      </c>
      <c r="AL372" s="8">
        <v>421.6</v>
      </c>
      <c r="AM372" s="8" t="s">
        <v>1905</v>
      </c>
    </row>
    <row r="373" spans="7:39" ht="12.75" customHeight="1">
      <c r="G373" s="344"/>
      <c r="H373" s="6" t="s">
        <v>2948</v>
      </c>
      <c r="I373" s="8" t="s">
        <v>87</v>
      </c>
      <c r="J373" s="8" t="s">
        <v>91</v>
      </c>
      <c r="K373" s="8" t="s">
        <v>2959</v>
      </c>
      <c r="L373" s="8" t="s">
        <v>98</v>
      </c>
      <c r="M373" s="8" t="s">
        <v>2960</v>
      </c>
      <c r="N373" s="7" t="s">
        <v>2948</v>
      </c>
      <c r="O373" s="8" t="s">
        <v>13</v>
      </c>
      <c r="P373" s="8" t="s">
        <v>24</v>
      </c>
      <c r="Q373" s="8" t="s">
        <v>79</v>
      </c>
      <c r="R373" s="8" t="s">
        <v>79</v>
      </c>
      <c r="S373" s="8" t="s">
        <v>24</v>
      </c>
      <c r="T373" s="9">
        <v>1468.6</v>
      </c>
      <c r="U373" s="9">
        <v>216354.15</v>
      </c>
      <c r="V373" s="8" t="s">
        <v>24</v>
      </c>
      <c r="W373" s="8">
        <v>0</v>
      </c>
      <c r="X373" s="8">
        <v>9</v>
      </c>
      <c r="Y373" s="8">
        <v>19471.87</v>
      </c>
      <c r="Z373" s="8">
        <v>9</v>
      </c>
      <c r="AA373" s="8">
        <v>19471.87</v>
      </c>
      <c r="AB373" s="8">
        <v>0</v>
      </c>
      <c r="AC373" s="8">
        <v>0</v>
      </c>
      <c r="AD373" s="8">
        <v>0</v>
      </c>
      <c r="AE373" s="8">
        <v>38943.74</v>
      </c>
      <c r="AF373" s="8">
        <v>0</v>
      </c>
      <c r="AG373" s="8" t="s">
        <v>65</v>
      </c>
      <c r="AH373" s="8" t="s">
        <v>11</v>
      </c>
      <c r="AI373" s="8">
        <v>3926908</v>
      </c>
      <c r="AJ373" s="8" t="s">
        <v>60</v>
      </c>
      <c r="AK373" s="8">
        <v>1</v>
      </c>
      <c r="AL373" s="8">
        <v>1468.6</v>
      </c>
      <c r="AM373" s="8" t="s">
        <v>1905</v>
      </c>
    </row>
    <row r="374" spans="7:39" ht="12.75" customHeight="1">
      <c r="G374" s="344"/>
      <c r="H374" s="6" t="s">
        <v>2948</v>
      </c>
      <c r="I374" s="8" t="s">
        <v>94</v>
      </c>
      <c r="J374" s="8" t="s">
        <v>96</v>
      </c>
      <c r="K374" s="8" t="s">
        <v>2961</v>
      </c>
      <c r="L374" s="8" t="s">
        <v>97</v>
      </c>
      <c r="M374" s="8" t="s">
        <v>2962</v>
      </c>
      <c r="N374" s="7" t="s">
        <v>2948</v>
      </c>
      <c r="O374" s="8" t="s">
        <v>2</v>
      </c>
      <c r="P374" s="8" t="s">
        <v>67</v>
      </c>
      <c r="Q374" s="8" t="s">
        <v>68</v>
      </c>
      <c r="R374" s="8" t="s">
        <v>69</v>
      </c>
      <c r="S374" s="8" t="s">
        <v>70</v>
      </c>
      <c r="T374" s="9">
        <v>52</v>
      </c>
      <c r="U374" s="9">
        <v>2496</v>
      </c>
      <c r="V374" s="8" t="s">
        <v>70</v>
      </c>
      <c r="W374" s="8">
        <v>2942.78</v>
      </c>
      <c r="X374" s="8">
        <v>9</v>
      </c>
      <c r="Y374" s="8">
        <v>224.64</v>
      </c>
      <c r="Z374" s="8">
        <v>9</v>
      </c>
      <c r="AA374" s="8">
        <v>224.64</v>
      </c>
      <c r="AB374" s="8">
        <v>0</v>
      </c>
      <c r="AC374" s="8">
        <v>0</v>
      </c>
      <c r="AD374" s="8">
        <v>0</v>
      </c>
      <c r="AE374" s="8">
        <v>449.28</v>
      </c>
      <c r="AF374" s="8">
        <v>0</v>
      </c>
      <c r="AG374" s="8" t="s">
        <v>74</v>
      </c>
      <c r="AH374" s="8" t="s">
        <v>11</v>
      </c>
      <c r="AI374" s="8">
        <v>73063090</v>
      </c>
      <c r="AJ374" s="8" t="s">
        <v>60</v>
      </c>
      <c r="AK374" s="8">
        <v>1</v>
      </c>
      <c r="AL374" s="8">
        <v>0</v>
      </c>
      <c r="AM374" s="8" t="s">
        <v>1905</v>
      </c>
    </row>
    <row r="375" spans="7:39" ht="12.75" customHeight="1">
      <c r="G375" s="344"/>
      <c r="H375" s="6" t="s">
        <v>2948</v>
      </c>
      <c r="I375" s="8" t="s">
        <v>94</v>
      </c>
      <c r="J375" s="8" t="s">
        <v>91</v>
      </c>
      <c r="K375" s="8" t="s">
        <v>2963</v>
      </c>
      <c r="L375" s="8" t="s">
        <v>98</v>
      </c>
      <c r="M375" s="8" t="s">
        <v>2964</v>
      </c>
      <c r="N375" s="7" t="s">
        <v>2948</v>
      </c>
      <c r="O375" s="8" t="s">
        <v>13</v>
      </c>
      <c r="P375" s="8" t="s">
        <v>62</v>
      </c>
      <c r="Q375" s="8" t="s">
        <v>63</v>
      </c>
      <c r="R375" s="8" t="s">
        <v>64</v>
      </c>
      <c r="S375" s="8" t="s">
        <v>19</v>
      </c>
      <c r="T375" s="9">
        <v>947.3</v>
      </c>
      <c r="U375" s="9">
        <v>126540.33</v>
      </c>
      <c r="V375" s="8" t="s">
        <v>19</v>
      </c>
      <c r="W375" s="8">
        <v>168119.89</v>
      </c>
      <c r="X375" s="8">
        <v>9</v>
      </c>
      <c r="Y375" s="8">
        <v>11388.63</v>
      </c>
      <c r="Z375" s="8">
        <v>9</v>
      </c>
      <c r="AA375" s="8">
        <v>11388.63</v>
      </c>
      <c r="AB375" s="8">
        <v>0</v>
      </c>
      <c r="AC375" s="8">
        <v>0</v>
      </c>
      <c r="AD375" s="8">
        <v>0</v>
      </c>
      <c r="AE375" s="8">
        <v>22777.26</v>
      </c>
      <c r="AF375" s="8">
        <v>0</v>
      </c>
      <c r="AG375" s="8" t="s">
        <v>74</v>
      </c>
      <c r="AH375" s="8" t="s">
        <v>11</v>
      </c>
      <c r="AI375" s="8">
        <v>39269080</v>
      </c>
      <c r="AJ375" s="8" t="s">
        <v>60</v>
      </c>
      <c r="AK375" s="8">
        <v>1</v>
      </c>
      <c r="AL375" s="8">
        <v>947.3</v>
      </c>
      <c r="AM375" s="8" t="s">
        <v>1905</v>
      </c>
    </row>
    <row r="376" spans="7:39" ht="12.75" customHeight="1">
      <c r="G376" s="344"/>
      <c r="H376" s="6" t="s">
        <v>2948</v>
      </c>
      <c r="I376" s="8" t="s">
        <v>94</v>
      </c>
      <c r="J376" s="8" t="s">
        <v>91</v>
      </c>
      <c r="K376" s="8" t="s">
        <v>2963</v>
      </c>
      <c r="L376" s="8" t="s">
        <v>98</v>
      </c>
      <c r="M376" s="8" t="s">
        <v>2964</v>
      </c>
      <c r="N376" s="7" t="s">
        <v>2948</v>
      </c>
      <c r="O376" s="8" t="s">
        <v>13</v>
      </c>
      <c r="P376" s="8" t="s">
        <v>80</v>
      </c>
      <c r="Q376" s="8" t="s">
        <v>81</v>
      </c>
      <c r="R376" s="8" t="s">
        <v>2149</v>
      </c>
      <c r="S376" s="8" t="s">
        <v>2149</v>
      </c>
      <c r="T376" s="9">
        <v>65</v>
      </c>
      <c r="U376" s="9">
        <v>16055</v>
      </c>
      <c r="V376" s="8" t="s">
        <v>2149</v>
      </c>
      <c r="W376" s="8">
        <v>0</v>
      </c>
      <c r="X376" s="8">
        <v>9</v>
      </c>
      <c r="Y376" s="8">
        <v>1444.95</v>
      </c>
      <c r="Z376" s="8">
        <v>9</v>
      </c>
      <c r="AA376" s="8">
        <v>1444.95</v>
      </c>
      <c r="AB376" s="8">
        <v>0</v>
      </c>
      <c r="AC376" s="8">
        <v>0</v>
      </c>
      <c r="AD376" s="8">
        <v>0</v>
      </c>
      <c r="AE376" s="8">
        <v>2889.9</v>
      </c>
      <c r="AF376" s="8">
        <v>0</v>
      </c>
      <c r="AG376" s="8" t="s">
        <v>74</v>
      </c>
      <c r="AH376" s="8" t="s">
        <v>11</v>
      </c>
      <c r="AI376" s="8">
        <v>3920101</v>
      </c>
      <c r="AJ376" s="8" t="s">
        <v>60</v>
      </c>
      <c r="AK376" s="8">
        <v>1</v>
      </c>
      <c r="AL376" s="8">
        <v>65</v>
      </c>
      <c r="AM376" s="8" t="s">
        <v>1905</v>
      </c>
    </row>
    <row r="377" spans="7:39" ht="12.75" customHeight="1">
      <c r="G377" s="344"/>
      <c r="H377" s="6" t="s">
        <v>2948</v>
      </c>
      <c r="I377" s="8" t="s">
        <v>116</v>
      </c>
      <c r="J377" s="8" t="s">
        <v>96</v>
      </c>
      <c r="K377" s="8" t="s">
        <v>2965</v>
      </c>
      <c r="L377" s="8" t="s">
        <v>97</v>
      </c>
      <c r="M377" s="8" t="s">
        <v>2966</v>
      </c>
      <c r="N377" s="7" t="s">
        <v>2858</v>
      </c>
      <c r="O377" s="8" t="s">
        <v>5</v>
      </c>
      <c r="P377" s="8" t="s">
        <v>111</v>
      </c>
      <c r="Q377" s="8" t="s">
        <v>68</v>
      </c>
      <c r="R377" s="8" t="s">
        <v>69</v>
      </c>
      <c r="S377" s="8" t="s">
        <v>2967</v>
      </c>
      <c r="T377" s="9">
        <v>5</v>
      </c>
      <c r="U377" s="9">
        <v>300</v>
      </c>
      <c r="V377" s="8" t="s">
        <v>2967</v>
      </c>
      <c r="W377" s="8">
        <v>13189</v>
      </c>
      <c r="X377" s="8">
        <v>9</v>
      </c>
      <c r="Y377" s="8">
        <v>27</v>
      </c>
      <c r="Z377" s="8">
        <v>9</v>
      </c>
      <c r="AA377" s="8">
        <v>27</v>
      </c>
      <c r="AB377" s="8">
        <v>0</v>
      </c>
      <c r="AC377" s="8">
        <v>0</v>
      </c>
      <c r="AD377" s="8">
        <v>0</v>
      </c>
      <c r="AE377" s="8">
        <v>54</v>
      </c>
      <c r="AF377" s="8">
        <v>0</v>
      </c>
      <c r="AG377" s="8" t="s">
        <v>2075</v>
      </c>
      <c r="AH377" s="8" t="s">
        <v>2968</v>
      </c>
      <c r="AI377" s="8">
        <v>39031990</v>
      </c>
      <c r="AJ377" s="8" t="s">
        <v>60</v>
      </c>
      <c r="AK377" s="8">
        <v>1</v>
      </c>
      <c r="AL377" s="8">
        <v>0</v>
      </c>
      <c r="AM377" s="8" t="s">
        <v>1905</v>
      </c>
    </row>
    <row r="378" spans="7:39" ht="12.75" customHeight="1">
      <c r="G378" s="344"/>
      <c r="H378" s="6" t="s">
        <v>2948</v>
      </c>
      <c r="I378" s="8" t="s">
        <v>116</v>
      </c>
      <c r="J378" s="8" t="s">
        <v>96</v>
      </c>
      <c r="K378" s="8" t="s">
        <v>2965</v>
      </c>
      <c r="L378" s="8" t="s">
        <v>97</v>
      </c>
      <c r="M378" s="8" t="s">
        <v>2966</v>
      </c>
      <c r="N378" s="7" t="s">
        <v>2858</v>
      </c>
      <c r="O378" s="8" t="s">
        <v>2379</v>
      </c>
      <c r="P378" s="8" t="s">
        <v>2380</v>
      </c>
      <c r="Q378" s="8" t="s">
        <v>68</v>
      </c>
      <c r="R378" s="8" t="s">
        <v>69</v>
      </c>
      <c r="S378" s="8" t="s">
        <v>2491</v>
      </c>
      <c r="T378" s="9">
        <v>400</v>
      </c>
      <c r="U378" s="9">
        <v>1280</v>
      </c>
      <c r="V378" s="8" t="s">
        <v>2491</v>
      </c>
      <c r="W378" s="8">
        <v>0</v>
      </c>
      <c r="X378" s="8">
        <v>0</v>
      </c>
      <c r="Y378" s="8">
        <v>0</v>
      </c>
      <c r="Z378" s="8">
        <v>0</v>
      </c>
      <c r="AA378" s="8">
        <v>0</v>
      </c>
      <c r="AB378" s="8">
        <v>0</v>
      </c>
      <c r="AC378" s="8">
        <v>0</v>
      </c>
      <c r="AD378" s="8">
        <v>0</v>
      </c>
      <c r="AE378" s="8">
        <v>0</v>
      </c>
      <c r="AF378" s="8">
        <v>0</v>
      </c>
      <c r="AG378" s="8" t="s">
        <v>2075</v>
      </c>
      <c r="AH378" s="8" t="s">
        <v>1</v>
      </c>
      <c r="AI378" s="8">
        <v>84522100</v>
      </c>
      <c r="AJ378" s="8" t="s">
        <v>60</v>
      </c>
      <c r="AK378" s="8">
        <v>1</v>
      </c>
      <c r="AL378" s="8">
        <v>0</v>
      </c>
      <c r="AM378" s="8" t="s">
        <v>1905</v>
      </c>
    </row>
    <row r="379" spans="7:39" ht="12.75" customHeight="1">
      <c r="G379" s="344"/>
      <c r="H379" s="6" t="s">
        <v>2948</v>
      </c>
      <c r="I379" s="8" t="s">
        <v>116</v>
      </c>
      <c r="J379" s="8" t="s">
        <v>96</v>
      </c>
      <c r="K379" s="8" t="s">
        <v>2965</v>
      </c>
      <c r="L379" s="8" t="s">
        <v>97</v>
      </c>
      <c r="M379" s="8" t="s">
        <v>2966</v>
      </c>
      <c r="N379" s="7" t="s">
        <v>2858</v>
      </c>
      <c r="O379" s="8" t="s">
        <v>5</v>
      </c>
      <c r="P379" s="8" t="s">
        <v>5</v>
      </c>
      <c r="Q379" s="8" t="s">
        <v>68</v>
      </c>
      <c r="R379" s="8" t="s">
        <v>69</v>
      </c>
      <c r="S379" s="8" t="s">
        <v>2969</v>
      </c>
      <c r="T379" s="9">
        <v>150</v>
      </c>
      <c r="U379" s="9">
        <v>1050</v>
      </c>
      <c r="V379" s="8" t="s">
        <v>2969</v>
      </c>
      <c r="W379" s="8">
        <v>0</v>
      </c>
      <c r="X379" s="8">
        <v>9</v>
      </c>
      <c r="Y379" s="8">
        <v>94.5</v>
      </c>
      <c r="Z379" s="8">
        <v>9</v>
      </c>
      <c r="AA379" s="8">
        <v>94.5</v>
      </c>
      <c r="AB379" s="8">
        <v>0</v>
      </c>
      <c r="AC379" s="8">
        <v>0</v>
      </c>
      <c r="AD379" s="8">
        <v>0</v>
      </c>
      <c r="AE379" s="8">
        <v>189</v>
      </c>
      <c r="AF379" s="8">
        <v>0</v>
      </c>
      <c r="AG379" s="8" t="s">
        <v>2075</v>
      </c>
      <c r="AH379" s="8" t="s">
        <v>1</v>
      </c>
      <c r="AI379" s="8">
        <v>96082000</v>
      </c>
      <c r="AJ379" s="8" t="s">
        <v>60</v>
      </c>
      <c r="AK379" s="8">
        <v>1</v>
      </c>
      <c r="AL379" s="8">
        <v>0</v>
      </c>
      <c r="AM379" s="8" t="s">
        <v>1905</v>
      </c>
    </row>
    <row r="380" spans="7:39" ht="12.75" customHeight="1">
      <c r="G380" s="344"/>
      <c r="H380" s="6" t="s">
        <v>2948</v>
      </c>
      <c r="I380" s="8" t="s">
        <v>116</v>
      </c>
      <c r="J380" s="8" t="s">
        <v>96</v>
      </c>
      <c r="K380" s="8" t="s">
        <v>2965</v>
      </c>
      <c r="L380" s="8" t="s">
        <v>97</v>
      </c>
      <c r="M380" s="8" t="s">
        <v>2966</v>
      </c>
      <c r="N380" s="7" t="s">
        <v>2858</v>
      </c>
      <c r="O380" s="8" t="s">
        <v>5</v>
      </c>
      <c r="P380" s="8" t="s">
        <v>111</v>
      </c>
      <c r="Q380" s="8" t="s">
        <v>68</v>
      </c>
      <c r="R380" s="8" t="s">
        <v>69</v>
      </c>
      <c r="S380" s="8" t="s">
        <v>2970</v>
      </c>
      <c r="T380" s="9">
        <v>100</v>
      </c>
      <c r="U380" s="9">
        <v>2000</v>
      </c>
      <c r="V380" s="8" t="s">
        <v>2970</v>
      </c>
      <c r="W380" s="8">
        <v>0</v>
      </c>
      <c r="X380" s="8">
        <v>9</v>
      </c>
      <c r="Y380" s="8">
        <v>180</v>
      </c>
      <c r="Z380" s="8">
        <v>9</v>
      </c>
      <c r="AA380" s="8">
        <v>180</v>
      </c>
      <c r="AB380" s="8">
        <v>0</v>
      </c>
      <c r="AC380" s="8">
        <v>0</v>
      </c>
      <c r="AD380" s="8">
        <v>0</v>
      </c>
      <c r="AE380" s="8">
        <v>360</v>
      </c>
      <c r="AF380" s="8">
        <v>0</v>
      </c>
      <c r="AG380" s="8" t="s">
        <v>2075</v>
      </c>
      <c r="AH380" s="8" t="s">
        <v>6</v>
      </c>
      <c r="AI380" s="8">
        <v>340290</v>
      </c>
      <c r="AJ380" s="8" t="s">
        <v>60</v>
      </c>
      <c r="AK380" s="8">
        <v>1</v>
      </c>
      <c r="AL380" s="8">
        <v>0</v>
      </c>
      <c r="AM380" s="8" t="s">
        <v>1905</v>
      </c>
    </row>
    <row r="381" spans="7:39" ht="12.75" customHeight="1">
      <c r="G381" s="344"/>
      <c r="H381" s="6" t="s">
        <v>2948</v>
      </c>
      <c r="I381" s="8" t="s">
        <v>116</v>
      </c>
      <c r="J381" s="8" t="s">
        <v>96</v>
      </c>
      <c r="K381" s="8" t="s">
        <v>2965</v>
      </c>
      <c r="L381" s="8" t="s">
        <v>97</v>
      </c>
      <c r="M381" s="8" t="s">
        <v>2966</v>
      </c>
      <c r="N381" s="7" t="s">
        <v>2858</v>
      </c>
      <c r="O381" s="8" t="s">
        <v>2</v>
      </c>
      <c r="P381" s="8" t="s">
        <v>2494</v>
      </c>
      <c r="Q381" s="8" t="s">
        <v>68</v>
      </c>
      <c r="R381" s="8" t="s">
        <v>69</v>
      </c>
      <c r="S381" s="8" t="s">
        <v>2495</v>
      </c>
      <c r="T381" s="9">
        <v>500</v>
      </c>
      <c r="U381" s="9">
        <v>2800</v>
      </c>
      <c r="V381" s="8" t="s">
        <v>2495</v>
      </c>
      <c r="W381" s="8">
        <v>0</v>
      </c>
      <c r="X381" s="8">
        <v>9</v>
      </c>
      <c r="Y381" s="8">
        <v>252</v>
      </c>
      <c r="Z381" s="8">
        <v>9</v>
      </c>
      <c r="AA381" s="8">
        <v>252</v>
      </c>
      <c r="AB381" s="8">
        <v>0</v>
      </c>
      <c r="AC381" s="8">
        <v>0</v>
      </c>
      <c r="AD381" s="8">
        <v>0</v>
      </c>
      <c r="AE381" s="8">
        <v>504</v>
      </c>
      <c r="AF381" s="8">
        <v>0</v>
      </c>
      <c r="AG381" s="8" t="s">
        <v>2075</v>
      </c>
      <c r="AH381" s="8" t="s">
        <v>7</v>
      </c>
      <c r="AI381" s="8">
        <v>82121010</v>
      </c>
      <c r="AJ381" s="8" t="s">
        <v>60</v>
      </c>
      <c r="AK381" s="8">
        <v>1</v>
      </c>
      <c r="AL381" s="8">
        <v>0</v>
      </c>
      <c r="AM381" s="8" t="s">
        <v>1905</v>
      </c>
    </row>
    <row r="382" spans="7:39" ht="12.75" customHeight="1">
      <c r="G382" s="344"/>
      <c r="H382" s="6" t="s">
        <v>2948</v>
      </c>
      <c r="I382" s="8" t="s">
        <v>116</v>
      </c>
      <c r="J382" s="8" t="s">
        <v>96</v>
      </c>
      <c r="K382" s="8" t="s">
        <v>2965</v>
      </c>
      <c r="L382" s="8" t="s">
        <v>97</v>
      </c>
      <c r="M382" s="8" t="s">
        <v>2966</v>
      </c>
      <c r="N382" s="7" t="s">
        <v>2858</v>
      </c>
      <c r="O382" s="8" t="s">
        <v>2379</v>
      </c>
      <c r="P382" s="8" t="s">
        <v>2380</v>
      </c>
      <c r="Q382" s="8" t="s">
        <v>68</v>
      </c>
      <c r="R382" s="8" t="s">
        <v>69</v>
      </c>
      <c r="S382" s="8" t="s">
        <v>2971</v>
      </c>
      <c r="T382" s="9">
        <v>5</v>
      </c>
      <c r="U382" s="9">
        <v>50</v>
      </c>
      <c r="V382" s="8" t="s">
        <v>2971</v>
      </c>
      <c r="W382" s="8">
        <v>0</v>
      </c>
      <c r="X382" s="8">
        <v>0</v>
      </c>
      <c r="Y382" s="8">
        <v>0</v>
      </c>
      <c r="Z382" s="8">
        <v>0</v>
      </c>
      <c r="AA382" s="8">
        <v>0</v>
      </c>
      <c r="AB382" s="8">
        <v>0</v>
      </c>
      <c r="AC382" s="8">
        <v>0</v>
      </c>
      <c r="AD382" s="8">
        <v>0</v>
      </c>
      <c r="AE382" s="8">
        <v>0</v>
      </c>
      <c r="AF382" s="8">
        <v>0</v>
      </c>
      <c r="AG382" s="8" t="s">
        <v>2075</v>
      </c>
      <c r="AH382" s="8" t="s">
        <v>7</v>
      </c>
      <c r="AI382" s="8">
        <v>25090000</v>
      </c>
      <c r="AJ382" s="8" t="s">
        <v>60</v>
      </c>
      <c r="AK382" s="8">
        <v>1</v>
      </c>
      <c r="AL382" s="8">
        <v>0</v>
      </c>
      <c r="AM382" s="8" t="s">
        <v>1905</v>
      </c>
    </row>
    <row r="383" spans="7:39" ht="12.75" customHeight="1">
      <c r="G383" s="344"/>
      <c r="H383" s="6" t="s">
        <v>2948</v>
      </c>
      <c r="I383" s="8" t="s">
        <v>116</v>
      </c>
      <c r="J383" s="8" t="s">
        <v>96</v>
      </c>
      <c r="K383" s="8" t="s">
        <v>2965</v>
      </c>
      <c r="L383" s="8" t="s">
        <v>97</v>
      </c>
      <c r="M383" s="8" t="s">
        <v>2966</v>
      </c>
      <c r="N383" s="7" t="s">
        <v>2858</v>
      </c>
      <c r="O383" s="8" t="s">
        <v>2379</v>
      </c>
      <c r="P383" s="8" t="s">
        <v>2380</v>
      </c>
      <c r="Q383" s="8" t="s">
        <v>68</v>
      </c>
      <c r="R383" s="8" t="s">
        <v>69</v>
      </c>
      <c r="S383" s="8" t="s">
        <v>2972</v>
      </c>
      <c r="T383" s="9">
        <v>200</v>
      </c>
      <c r="U383" s="9">
        <v>500</v>
      </c>
      <c r="V383" s="8" t="s">
        <v>2972</v>
      </c>
      <c r="W383" s="8">
        <v>0</v>
      </c>
      <c r="X383" s="8">
        <v>9</v>
      </c>
      <c r="Y383" s="8">
        <v>45</v>
      </c>
      <c r="Z383" s="8">
        <v>9</v>
      </c>
      <c r="AA383" s="8">
        <v>45</v>
      </c>
      <c r="AB383" s="8">
        <v>0</v>
      </c>
      <c r="AC383" s="8">
        <v>0</v>
      </c>
      <c r="AD383" s="8">
        <v>0</v>
      </c>
      <c r="AE383" s="8">
        <v>90</v>
      </c>
      <c r="AF383" s="8">
        <v>0</v>
      </c>
      <c r="AG383" s="8" t="s">
        <v>2075</v>
      </c>
      <c r="AH383" s="8" t="s">
        <v>1</v>
      </c>
      <c r="AI383" s="8">
        <v>960810</v>
      </c>
      <c r="AJ383" s="8" t="s">
        <v>60</v>
      </c>
      <c r="AK383" s="8">
        <v>1</v>
      </c>
      <c r="AL383" s="8">
        <v>0</v>
      </c>
      <c r="AM383" s="8" t="s">
        <v>1905</v>
      </c>
    </row>
    <row r="384" spans="7:39" ht="12.75" customHeight="1">
      <c r="G384" s="344"/>
      <c r="H384" s="6" t="s">
        <v>2948</v>
      </c>
      <c r="I384" s="8" t="s">
        <v>116</v>
      </c>
      <c r="J384" s="8" t="s">
        <v>96</v>
      </c>
      <c r="K384" s="8" t="s">
        <v>2965</v>
      </c>
      <c r="L384" s="8" t="s">
        <v>97</v>
      </c>
      <c r="M384" s="8" t="s">
        <v>2966</v>
      </c>
      <c r="N384" s="7" t="s">
        <v>2858</v>
      </c>
      <c r="O384" s="8" t="s">
        <v>5</v>
      </c>
      <c r="P384" s="8" t="s">
        <v>2492</v>
      </c>
      <c r="Q384" s="8" t="s">
        <v>68</v>
      </c>
      <c r="R384" s="8" t="s">
        <v>69</v>
      </c>
      <c r="S384" s="8" t="s">
        <v>2493</v>
      </c>
      <c r="T384" s="9">
        <v>200</v>
      </c>
      <c r="U384" s="9">
        <v>3400</v>
      </c>
      <c r="V384" s="8" t="s">
        <v>2493</v>
      </c>
      <c r="W384" s="8">
        <v>0</v>
      </c>
      <c r="X384" s="8">
        <v>9</v>
      </c>
      <c r="Y384" s="8">
        <v>306</v>
      </c>
      <c r="Z384" s="8">
        <v>9</v>
      </c>
      <c r="AA384" s="8">
        <v>306</v>
      </c>
      <c r="AB384" s="8">
        <v>0</v>
      </c>
      <c r="AC384" s="8">
        <v>0</v>
      </c>
      <c r="AD384" s="8">
        <v>0</v>
      </c>
      <c r="AE384" s="8">
        <v>612</v>
      </c>
      <c r="AF384" s="8">
        <v>0</v>
      </c>
      <c r="AG384" s="8" t="s">
        <v>2075</v>
      </c>
      <c r="AH384" s="8" t="s">
        <v>6</v>
      </c>
      <c r="AI384" s="8">
        <v>340290</v>
      </c>
      <c r="AJ384" s="8" t="s">
        <v>60</v>
      </c>
      <c r="AK384" s="8">
        <v>1</v>
      </c>
      <c r="AL384" s="8">
        <v>0</v>
      </c>
      <c r="AM384" s="8" t="s">
        <v>1905</v>
      </c>
    </row>
    <row r="385" spans="7:39" ht="12.75" customHeight="1">
      <c r="G385" s="344"/>
      <c r="H385" s="6" t="s">
        <v>2948</v>
      </c>
      <c r="I385" s="8" t="s">
        <v>2313</v>
      </c>
      <c r="J385" s="8" t="s">
        <v>96</v>
      </c>
      <c r="K385" s="8" t="s">
        <v>2973</v>
      </c>
      <c r="L385" s="8" t="s">
        <v>97</v>
      </c>
      <c r="M385" s="8" t="s">
        <v>2974</v>
      </c>
      <c r="N385" s="7">
        <v>46089</v>
      </c>
      <c r="O385" s="8" t="s">
        <v>2</v>
      </c>
      <c r="P385" s="8" t="s">
        <v>2861</v>
      </c>
      <c r="Q385" s="8" t="s">
        <v>68</v>
      </c>
      <c r="R385" s="8" t="s">
        <v>69</v>
      </c>
      <c r="S385" s="8" t="s">
        <v>2975</v>
      </c>
      <c r="T385" s="9">
        <v>50</v>
      </c>
      <c r="U385" s="9">
        <v>4500</v>
      </c>
      <c r="V385" s="8" t="s">
        <v>2975</v>
      </c>
      <c r="W385" s="8">
        <v>5310</v>
      </c>
      <c r="X385" s="8">
        <v>9</v>
      </c>
      <c r="Y385" s="8">
        <v>405</v>
      </c>
      <c r="Z385" s="8">
        <v>9</v>
      </c>
      <c r="AA385" s="8">
        <v>405</v>
      </c>
      <c r="AB385" s="8">
        <v>0</v>
      </c>
      <c r="AC385" s="8">
        <v>0</v>
      </c>
      <c r="AD385" s="8">
        <v>0</v>
      </c>
      <c r="AE385" s="8">
        <v>810</v>
      </c>
      <c r="AF385" s="8">
        <v>0</v>
      </c>
      <c r="AG385" s="8" t="s">
        <v>2976</v>
      </c>
      <c r="AH385" s="8" t="s">
        <v>1</v>
      </c>
      <c r="AI385" s="8">
        <v>940540</v>
      </c>
      <c r="AJ385" s="8" t="s">
        <v>60</v>
      </c>
      <c r="AK385" s="8">
        <v>1</v>
      </c>
      <c r="AL385" s="8">
        <v>0</v>
      </c>
      <c r="AM385" s="8" t="s">
        <v>1905</v>
      </c>
    </row>
    <row r="386" spans="7:39" ht="12.75" customHeight="1">
      <c r="G386" s="344"/>
      <c r="H386" s="6" t="s">
        <v>2948</v>
      </c>
      <c r="I386" s="8" t="s">
        <v>2977</v>
      </c>
      <c r="J386" s="8" t="s">
        <v>96</v>
      </c>
      <c r="K386" s="8" t="s">
        <v>2978</v>
      </c>
      <c r="L386" s="8" t="s">
        <v>97</v>
      </c>
      <c r="M386" s="8">
        <v>3921</v>
      </c>
      <c r="N386" s="8" t="s">
        <v>2858</v>
      </c>
      <c r="O386" s="8" t="s">
        <v>2379</v>
      </c>
      <c r="P386" s="8" t="s">
        <v>2380</v>
      </c>
      <c r="Q386" s="8" t="s">
        <v>68</v>
      </c>
      <c r="R386" s="8" t="s">
        <v>69</v>
      </c>
      <c r="S386" s="8" t="s">
        <v>2979</v>
      </c>
      <c r="T386" s="9">
        <v>1000</v>
      </c>
      <c r="U386" s="9">
        <v>2000</v>
      </c>
      <c r="V386" s="8" t="s">
        <v>2979</v>
      </c>
      <c r="W386" s="8">
        <v>2360</v>
      </c>
      <c r="X386" s="8">
        <v>9</v>
      </c>
      <c r="Y386" s="8">
        <v>180</v>
      </c>
      <c r="Z386" s="8">
        <v>9</v>
      </c>
      <c r="AA386" s="8">
        <v>180</v>
      </c>
      <c r="AB386" s="8">
        <v>0</v>
      </c>
      <c r="AC386" s="8">
        <v>0</v>
      </c>
      <c r="AD386" s="8">
        <v>0</v>
      </c>
      <c r="AE386" s="8">
        <v>360</v>
      </c>
      <c r="AF386" s="8">
        <v>0</v>
      </c>
      <c r="AG386" s="8" t="s">
        <v>2980</v>
      </c>
      <c r="AH386" s="8" t="s">
        <v>1</v>
      </c>
      <c r="AI386" s="8">
        <v>482010</v>
      </c>
      <c r="AJ386" s="8" t="s">
        <v>60</v>
      </c>
      <c r="AK386" s="8">
        <v>1</v>
      </c>
      <c r="AL386" s="8">
        <v>0</v>
      </c>
      <c r="AM386" s="8" t="s">
        <v>1905</v>
      </c>
    </row>
    <row r="387" spans="7:39" ht="12.75" customHeight="1">
      <c r="G387" s="344"/>
      <c r="H387" s="6" t="s">
        <v>2948</v>
      </c>
      <c r="I387" s="8" t="s">
        <v>109</v>
      </c>
      <c r="J387" s="8" t="s">
        <v>91</v>
      </c>
      <c r="K387" s="8" t="s">
        <v>2981</v>
      </c>
      <c r="L387" s="8" t="s">
        <v>623</v>
      </c>
      <c r="M387" s="8" t="s">
        <v>2982</v>
      </c>
      <c r="N387" s="7">
        <v>46242</v>
      </c>
      <c r="O387" s="8" t="s">
        <v>8</v>
      </c>
      <c r="P387" s="8" t="s">
        <v>110</v>
      </c>
      <c r="Q387" s="8" t="s">
        <v>110</v>
      </c>
      <c r="R387" s="8" t="s">
        <v>2371</v>
      </c>
      <c r="S387" s="8" t="s">
        <v>2983</v>
      </c>
      <c r="T387" s="9">
        <v>25</v>
      </c>
      <c r="U387" s="9">
        <v>12500</v>
      </c>
      <c r="V387" s="8" t="s">
        <v>2983</v>
      </c>
      <c r="W387" s="8">
        <v>14750</v>
      </c>
      <c r="X387" s="8">
        <v>0</v>
      </c>
      <c r="Y387" s="8">
        <v>0</v>
      </c>
      <c r="Z387" s="8">
        <v>0</v>
      </c>
      <c r="AA387" s="8">
        <v>0</v>
      </c>
      <c r="AB387" s="8">
        <v>18</v>
      </c>
      <c r="AC387" s="8">
        <v>2250</v>
      </c>
      <c r="AD387" s="8">
        <v>0</v>
      </c>
      <c r="AE387" s="8">
        <v>2250</v>
      </c>
      <c r="AF387" s="8">
        <v>0</v>
      </c>
      <c r="AG387" s="8" t="s">
        <v>624</v>
      </c>
      <c r="AH387" s="8" t="s">
        <v>11</v>
      </c>
      <c r="AI387" s="8">
        <v>32151910</v>
      </c>
      <c r="AJ387" s="8" t="s">
        <v>60</v>
      </c>
      <c r="AK387" s="8">
        <v>1</v>
      </c>
      <c r="AL387" s="8">
        <v>0</v>
      </c>
      <c r="AM387" s="8" t="s">
        <v>1905</v>
      </c>
    </row>
    <row r="388" spans="7:39" ht="12.75" customHeight="1">
      <c r="G388" s="344"/>
      <c r="H388" s="6" t="s">
        <v>2984</v>
      </c>
      <c r="I388" s="8" t="s">
        <v>2384</v>
      </c>
      <c r="J388" s="8" t="s">
        <v>96</v>
      </c>
      <c r="K388" s="8" t="s">
        <v>2985</v>
      </c>
      <c r="L388" s="8" t="s">
        <v>97</v>
      </c>
      <c r="M388" s="8" t="s">
        <v>2986</v>
      </c>
      <c r="N388" s="8" t="s">
        <v>2984</v>
      </c>
      <c r="O388" s="8" t="s">
        <v>2</v>
      </c>
      <c r="P388" s="8" t="s">
        <v>2861</v>
      </c>
      <c r="Q388" s="8" t="s">
        <v>68</v>
      </c>
      <c r="R388" s="8" t="s">
        <v>69</v>
      </c>
      <c r="S388" s="8" t="s">
        <v>2987</v>
      </c>
      <c r="T388" s="9">
        <v>5</v>
      </c>
      <c r="U388" s="9">
        <v>350</v>
      </c>
      <c r="V388" s="8" t="s">
        <v>2987</v>
      </c>
      <c r="W388" s="8">
        <v>7316</v>
      </c>
      <c r="X388" s="8">
        <v>9</v>
      </c>
      <c r="Y388" s="8">
        <v>31.5</v>
      </c>
      <c r="Z388" s="8">
        <v>9</v>
      </c>
      <c r="AA388" s="8">
        <v>31.5</v>
      </c>
      <c r="AB388" s="8">
        <v>0</v>
      </c>
      <c r="AC388" s="8">
        <v>0</v>
      </c>
      <c r="AD388" s="8">
        <v>0</v>
      </c>
      <c r="AE388" s="8">
        <v>63</v>
      </c>
      <c r="AF388" s="8">
        <v>0</v>
      </c>
      <c r="AG388" s="8" t="s">
        <v>2385</v>
      </c>
      <c r="AH388" s="8" t="s">
        <v>1</v>
      </c>
      <c r="AI388" s="8">
        <v>853921</v>
      </c>
      <c r="AJ388" s="8" t="s">
        <v>60</v>
      </c>
      <c r="AK388" s="8">
        <v>1</v>
      </c>
      <c r="AL388" s="8">
        <v>0</v>
      </c>
      <c r="AM388" s="8" t="s">
        <v>1905</v>
      </c>
    </row>
    <row r="389" spans="7:39" ht="12.75" customHeight="1">
      <c r="G389" s="344"/>
      <c r="H389" s="6" t="s">
        <v>2984</v>
      </c>
      <c r="I389" s="8" t="s">
        <v>2384</v>
      </c>
      <c r="J389" s="8" t="s">
        <v>96</v>
      </c>
      <c r="K389" s="8" t="s">
        <v>2985</v>
      </c>
      <c r="L389" s="8" t="s">
        <v>97</v>
      </c>
      <c r="M389" s="8" t="s">
        <v>2986</v>
      </c>
      <c r="N389" s="8" t="s">
        <v>2984</v>
      </c>
      <c r="O389" s="8" t="s">
        <v>2</v>
      </c>
      <c r="P389" s="8" t="s">
        <v>2718</v>
      </c>
      <c r="Q389" s="8" t="s">
        <v>68</v>
      </c>
      <c r="R389" s="8" t="s">
        <v>69</v>
      </c>
      <c r="S389" s="8" t="s">
        <v>2988</v>
      </c>
      <c r="T389" s="9">
        <v>30</v>
      </c>
      <c r="U389" s="9">
        <v>900</v>
      </c>
      <c r="V389" s="8" t="s">
        <v>2988</v>
      </c>
      <c r="W389" s="8">
        <v>0</v>
      </c>
      <c r="X389" s="8">
        <v>9</v>
      </c>
      <c r="Y389" s="8">
        <v>81</v>
      </c>
      <c r="Z389" s="8">
        <v>9</v>
      </c>
      <c r="AA389" s="8">
        <v>81</v>
      </c>
      <c r="AB389" s="8">
        <v>0</v>
      </c>
      <c r="AC389" s="8">
        <v>0</v>
      </c>
      <c r="AD389" s="8">
        <v>0</v>
      </c>
      <c r="AE389" s="8">
        <v>162</v>
      </c>
      <c r="AF389" s="8">
        <v>0</v>
      </c>
      <c r="AG389" s="8" t="s">
        <v>2385</v>
      </c>
      <c r="AH389" s="8" t="s">
        <v>1</v>
      </c>
      <c r="AI389" s="8">
        <v>853620</v>
      </c>
      <c r="AJ389" s="8" t="s">
        <v>60</v>
      </c>
      <c r="AK389" s="8">
        <v>1</v>
      </c>
      <c r="AL389" s="8">
        <v>0</v>
      </c>
      <c r="AM389" s="8" t="s">
        <v>1905</v>
      </c>
    </row>
    <row r="390" spans="7:39" ht="12.75" customHeight="1">
      <c r="G390" s="344"/>
      <c r="H390" s="6" t="s">
        <v>2984</v>
      </c>
      <c r="I390" s="8" t="s">
        <v>2384</v>
      </c>
      <c r="J390" s="8" t="s">
        <v>96</v>
      </c>
      <c r="K390" s="8" t="s">
        <v>2985</v>
      </c>
      <c r="L390" s="8" t="s">
        <v>97</v>
      </c>
      <c r="M390" s="8" t="s">
        <v>2986</v>
      </c>
      <c r="N390" s="7" t="s">
        <v>2984</v>
      </c>
      <c r="O390" s="8" t="s">
        <v>2</v>
      </c>
      <c r="P390" s="8" t="s">
        <v>2718</v>
      </c>
      <c r="Q390" s="8" t="s">
        <v>68</v>
      </c>
      <c r="R390" s="8" t="s">
        <v>69</v>
      </c>
      <c r="S390" s="8" t="s">
        <v>2989</v>
      </c>
      <c r="T390" s="9">
        <v>30</v>
      </c>
      <c r="U390" s="9">
        <v>900</v>
      </c>
      <c r="V390" s="8" t="s">
        <v>2989</v>
      </c>
      <c r="W390" s="8">
        <v>0</v>
      </c>
      <c r="X390" s="8">
        <v>9</v>
      </c>
      <c r="Y390" s="8">
        <v>81</v>
      </c>
      <c r="Z390" s="8">
        <v>9</v>
      </c>
      <c r="AA390" s="8">
        <v>81</v>
      </c>
      <c r="AB390" s="8">
        <v>0</v>
      </c>
      <c r="AC390" s="8">
        <v>0</v>
      </c>
      <c r="AD390" s="8">
        <v>0</v>
      </c>
      <c r="AE390" s="8">
        <v>162</v>
      </c>
      <c r="AF390" s="8">
        <v>0</v>
      </c>
      <c r="AG390" s="8" t="s">
        <v>2385</v>
      </c>
      <c r="AH390" s="8" t="s">
        <v>1</v>
      </c>
      <c r="AI390" s="8">
        <v>853620</v>
      </c>
      <c r="AJ390" s="8" t="s">
        <v>60</v>
      </c>
      <c r="AK390" s="8">
        <v>1</v>
      </c>
      <c r="AL390" s="8">
        <v>0</v>
      </c>
      <c r="AM390" s="8" t="s">
        <v>1905</v>
      </c>
    </row>
    <row r="391" spans="7:39" ht="12.75" customHeight="1">
      <c r="G391" s="344"/>
      <c r="H391" s="6" t="s">
        <v>2984</v>
      </c>
      <c r="I391" s="8" t="s">
        <v>2384</v>
      </c>
      <c r="J391" s="8" t="s">
        <v>96</v>
      </c>
      <c r="K391" s="8" t="s">
        <v>2985</v>
      </c>
      <c r="L391" s="8" t="s">
        <v>97</v>
      </c>
      <c r="M391" s="8" t="s">
        <v>2986</v>
      </c>
      <c r="N391" s="7" t="s">
        <v>2984</v>
      </c>
      <c r="O391" s="8" t="s">
        <v>2</v>
      </c>
      <c r="P391" s="8" t="s">
        <v>2718</v>
      </c>
      <c r="Q391" s="8" t="s">
        <v>68</v>
      </c>
      <c r="R391" s="8" t="s">
        <v>69</v>
      </c>
      <c r="S391" s="8" t="s">
        <v>2990</v>
      </c>
      <c r="T391" s="9">
        <v>30</v>
      </c>
      <c r="U391" s="9">
        <v>4050</v>
      </c>
      <c r="V391" s="8" t="s">
        <v>2990</v>
      </c>
      <c r="W391" s="8">
        <v>0</v>
      </c>
      <c r="X391" s="8">
        <v>9</v>
      </c>
      <c r="Y391" s="8">
        <v>364.5</v>
      </c>
      <c r="Z391" s="8">
        <v>9</v>
      </c>
      <c r="AA391" s="8">
        <v>364.5</v>
      </c>
      <c r="AB391" s="8">
        <v>0</v>
      </c>
      <c r="AC391" s="8">
        <v>0</v>
      </c>
      <c r="AD391" s="8">
        <v>0</v>
      </c>
      <c r="AE391" s="8">
        <v>729</v>
      </c>
      <c r="AF391" s="8">
        <v>0</v>
      </c>
      <c r="AG391" s="8" t="s">
        <v>2385</v>
      </c>
      <c r="AH391" s="8" t="s">
        <v>2991</v>
      </c>
      <c r="AI391" s="8">
        <v>853690</v>
      </c>
      <c r="AJ391" s="8" t="s">
        <v>60</v>
      </c>
      <c r="AK391" s="8">
        <v>1</v>
      </c>
      <c r="AL391" s="8">
        <v>0</v>
      </c>
      <c r="AM391" s="8" t="s">
        <v>1905</v>
      </c>
    </row>
    <row r="392" spans="7:39" ht="12.75" customHeight="1">
      <c r="G392" s="344"/>
      <c r="H392" s="6" t="s">
        <v>2984</v>
      </c>
      <c r="I392" s="8" t="s">
        <v>2992</v>
      </c>
      <c r="J392" s="8" t="s">
        <v>96</v>
      </c>
      <c r="K392" s="8" t="s">
        <v>2993</v>
      </c>
      <c r="L392" s="8" t="s">
        <v>97</v>
      </c>
      <c r="M392" s="8" t="s">
        <v>2994</v>
      </c>
      <c r="N392" s="7" t="s">
        <v>2948</v>
      </c>
      <c r="O392" s="8" t="s">
        <v>2</v>
      </c>
      <c r="P392" s="8" t="s">
        <v>112</v>
      </c>
      <c r="Q392" s="8" t="s">
        <v>68</v>
      </c>
      <c r="R392" s="8" t="s">
        <v>69</v>
      </c>
      <c r="S392" s="8" t="s">
        <v>2995</v>
      </c>
      <c r="T392" s="9">
        <v>5</v>
      </c>
      <c r="U392" s="9">
        <v>400</v>
      </c>
      <c r="V392" s="8" t="s">
        <v>2995</v>
      </c>
      <c r="W392" s="8">
        <v>1455</v>
      </c>
      <c r="X392" s="8">
        <v>9</v>
      </c>
      <c r="Y392" s="8">
        <v>36</v>
      </c>
      <c r="Z392" s="8">
        <v>9</v>
      </c>
      <c r="AA392" s="8">
        <v>36</v>
      </c>
      <c r="AB392" s="8">
        <v>0</v>
      </c>
      <c r="AC392" s="8">
        <v>0</v>
      </c>
      <c r="AD392" s="8">
        <v>21.6</v>
      </c>
      <c r="AE392" s="8">
        <v>93.6</v>
      </c>
      <c r="AF392" s="8">
        <v>0</v>
      </c>
      <c r="AG392" s="8" t="s">
        <v>2996</v>
      </c>
      <c r="AH392" s="8" t="s">
        <v>1</v>
      </c>
      <c r="AI392" s="8">
        <v>8207500</v>
      </c>
      <c r="AJ392" s="8" t="s">
        <v>60</v>
      </c>
      <c r="AK392" s="8">
        <v>1</v>
      </c>
      <c r="AL392" s="8">
        <v>0</v>
      </c>
      <c r="AM392" s="8" t="s">
        <v>1905</v>
      </c>
    </row>
    <row r="393" spans="7:39" ht="12.75" customHeight="1">
      <c r="G393" s="344"/>
      <c r="H393" s="6" t="s">
        <v>2984</v>
      </c>
      <c r="I393" s="8" t="s">
        <v>2992</v>
      </c>
      <c r="J393" s="8" t="s">
        <v>96</v>
      </c>
      <c r="K393" s="8" t="s">
        <v>2993</v>
      </c>
      <c r="L393" s="8" t="s">
        <v>97</v>
      </c>
      <c r="M393" s="8" t="s">
        <v>2994</v>
      </c>
      <c r="N393" s="7" t="s">
        <v>2948</v>
      </c>
      <c r="O393" s="8" t="s">
        <v>2</v>
      </c>
      <c r="P393" s="8" t="s">
        <v>112</v>
      </c>
      <c r="Q393" s="8" t="s">
        <v>68</v>
      </c>
      <c r="R393" s="8" t="s">
        <v>69</v>
      </c>
      <c r="S393" s="8" t="s">
        <v>2997</v>
      </c>
      <c r="T393" s="9">
        <v>1</v>
      </c>
      <c r="U393" s="9">
        <v>713.18</v>
      </c>
      <c r="V393" s="8" t="s">
        <v>2997</v>
      </c>
      <c r="W393" s="8">
        <v>0</v>
      </c>
      <c r="X393" s="8">
        <v>9</v>
      </c>
      <c r="Y393" s="8">
        <v>64.19</v>
      </c>
      <c r="Z393" s="8">
        <v>9</v>
      </c>
      <c r="AA393" s="8">
        <v>64.19</v>
      </c>
      <c r="AB393" s="8">
        <v>0</v>
      </c>
      <c r="AC393" s="8">
        <v>0</v>
      </c>
      <c r="AD393" s="8">
        <v>21.6</v>
      </c>
      <c r="AE393" s="8">
        <v>149.97999999999999</v>
      </c>
      <c r="AF393" s="8">
        <v>0</v>
      </c>
      <c r="AG393" s="8" t="s">
        <v>2996</v>
      </c>
      <c r="AH393" s="8" t="s">
        <v>7</v>
      </c>
      <c r="AI393" s="8">
        <v>82079090</v>
      </c>
      <c r="AJ393" s="8" t="s">
        <v>60</v>
      </c>
      <c r="AK393" s="8">
        <v>1</v>
      </c>
      <c r="AL393" s="8">
        <v>0</v>
      </c>
      <c r="AM393" s="8" t="s">
        <v>1905</v>
      </c>
    </row>
    <row r="394" spans="7:39" ht="12.75" customHeight="1">
      <c r="G394" s="344"/>
      <c r="H394" s="6" t="s">
        <v>2984</v>
      </c>
      <c r="I394" s="8" t="s">
        <v>93</v>
      </c>
      <c r="J394" s="8" t="s">
        <v>91</v>
      </c>
      <c r="K394" s="8" t="s">
        <v>2998</v>
      </c>
      <c r="L394" s="8" t="s">
        <v>98</v>
      </c>
      <c r="M394" s="8" t="s">
        <v>2999</v>
      </c>
      <c r="N394" s="7" t="s">
        <v>2948</v>
      </c>
      <c r="O394" s="8" t="s">
        <v>13</v>
      </c>
      <c r="P394" s="8" t="s">
        <v>99</v>
      </c>
      <c r="Q394" s="8" t="s">
        <v>100</v>
      </c>
      <c r="R394" s="8" t="s">
        <v>101</v>
      </c>
      <c r="S394" s="8" t="s">
        <v>3000</v>
      </c>
      <c r="T394" s="9">
        <v>398</v>
      </c>
      <c r="U394" s="9">
        <v>63441.2</v>
      </c>
      <c r="V394" s="8" t="s">
        <v>3000</v>
      </c>
      <c r="W394" s="8">
        <v>66549.820000000007</v>
      </c>
      <c r="X394" s="8">
        <v>2.5</v>
      </c>
      <c r="Y394" s="8">
        <v>1586.03</v>
      </c>
      <c r="Z394" s="8">
        <v>2.5</v>
      </c>
      <c r="AA394" s="8">
        <v>1586.03</v>
      </c>
      <c r="AB394" s="8">
        <v>0</v>
      </c>
      <c r="AC394" s="8">
        <v>0</v>
      </c>
      <c r="AD394" s="8">
        <v>0</v>
      </c>
      <c r="AE394" s="8">
        <v>3172.06</v>
      </c>
      <c r="AF394" s="8">
        <v>0</v>
      </c>
      <c r="AG394" s="8" t="s">
        <v>59</v>
      </c>
      <c r="AH394" s="8" t="s">
        <v>11</v>
      </c>
      <c r="AI394" s="8">
        <v>5402693</v>
      </c>
      <c r="AJ394" s="8" t="s">
        <v>60</v>
      </c>
      <c r="AK394" s="8">
        <v>1</v>
      </c>
      <c r="AL394" s="8">
        <v>398</v>
      </c>
      <c r="AM394" s="8" t="s">
        <v>1905</v>
      </c>
    </row>
    <row r="395" spans="7:39" ht="12.75" customHeight="1">
      <c r="G395" s="344"/>
      <c r="H395" s="6" t="s">
        <v>2984</v>
      </c>
      <c r="I395" s="8" t="s">
        <v>2312</v>
      </c>
      <c r="J395" s="8" t="s">
        <v>96</v>
      </c>
      <c r="K395" s="8" t="s">
        <v>3001</v>
      </c>
      <c r="L395" s="8" t="s">
        <v>97</v>
      </c>
      <c r="M395" s="8">
        <v>517</v>
      </c>
      <c r="N395" s="7" t="s">
        <v>2847</v>
      </c>
      <c r="O395" s="8" t="s">
        <v>2</v>
      </c>
      <c r="P395" s="8" t="s">
        <v>2473</v>
      </c>
      <c r="Q395" s="8" t="s">
        <v>68</v>
      </c>
      <c r="R395" s="8" t="s">
        <v>69</v>
      </c>
      <c r="S395" s="8" t="s">
        <v>3002</v>
      </c>
      <c r="T395" s="9">
        <v>4</v>
      </c>
      <c r="U395" s="9">
        <v>17600</v>
      </c>
      <c r="V395" s="8" t="s">
        <v>3002</v>
      </c>
      <c r="W395" s="8">
        <v>42515</v>
      </c>
      <c r="X395" s="8">
        <v>9</v>
      </c>
      <c r="Y395" s="8">
        <v>1584</v>
      </c>
      <c r="Z395" s="8">
        <v>9</v>
      </c>
      <c r="AA395" s="8">
        <v>1584</v>
      </c>
      <c r="AB395" s="8">
        <v>0</v>
      </c>
      <c r="AC395" s="8">
        <v>0</v>
      </c>
      <c r="AD395" s="8">
        <v>45</v>
      </c>
      <c r="AE395" s="8">
        <v>3213</v>
      </c>
      <c r="AF395" s="8">
        <v>0</v>
      </c>
      <c r="AG395" s="8" t="s">
        <v>2474</v>
      </c>
      <c r="AH395" s="8" t="s">
        <v>7</v>
      </c>
      <c r="AI395" s="8">
        <v>853690</v>
      </c>
      <c r="AJ395" s="8" t="s">
        <v>60</v>
      </c>
      <c r="AK395" s="8">
        <v>1</v>
      </c>
      <c r="AL395" s="8">
        <v>0</v>
      </c>
      <c r="AM395" s="8" t="s">
        <v>1905</v>
      </c>
    </row>
    <row r="396" spans="7:39" ht="12.75" customHeight="1">
      <c r="G396" s="344"/>
      <c r="H396" s="6" t="s">
        <v>2984</v>
      </c>
      <c r="I396" s="8" t="s">
        <v>2312</v>
      </c>
      <c r="J396" s="8" t="s">
        <v>96</v>
      </c>
      <c r="K396" s="8" t="s">
        <v>3001</v>
      </c>
      <c r="L396" s="8" t="s">
        <v>97</v>
      </c>
      <c r="M396" s="8">
        <v>517</v>
      </c>
      <c r="N396" s="7" t="s">
        <v>2847</v>
      </c>
      <c r="O396" s="8" t="s">
        <v>2</v>
      </c>
      <c r="P396" s="8" t="s">
        <v>2473</v>
      </c>
      <c r="Q396" s="8" t="s">
        <v>68</v>
      </c>
      <c r="R396" s="8" t="s">
        <v>69</v>
      </c>
      <c r="S396" s="8" t="s">
        <v>3003</v>
      </c>
      <c r="T396" s="9">
        <v>2</v>
      </c>
      <c r="U396" s="9">
        <v>13000</v>
      </c>
      <c r="V396" s="8" t="s">
        <v>3003</v>
      </c>
      <c r="W396" s="8">
        <v>0</v>
      </c>
      <c r="X396" s="8">
        <v>9</v>
      </c>
      <c r="Y396" s="8">
        <v>1170</v>
      </c>
      <c r="Z396" s="8">
        <v>9</v>
      </c>
      <c r="AA396" s="8">
        <v>1170</v>
      </c>
      <c r="AB396" s="8">
        <v>0</v>
      </c>
      <c r="AC396" s="8">
        <v>0</v>
      </c>
      <c r="AD396" s="8">
        <v>45</v>
      </c>
      <c r="AE396" s="8">
        <v>2385</v>
      </c>
      <c r="AF396" s="8">
        <v>0</v>
      </c>
      <c r="AG396" s="8" t="s">
        <v>2474</v>
      </c>
      <c r="AH396" s="8" t="s">
        <v>1</v>
      </c>
      <c r="AI396" s="8">
        <v>853650</v>
      </c>
      <c r="AJ396" s="8" t="s">
        <v>60</v>
      </c>
      <c r="AK396" s="8">
        <v>1</v>
      </c>
      <c r="AL396" s="8">
        <v>0</v>
      </c>
      <c r="AM396" s="8" t="s">
        <v>1905</v>
      </c>
    </row>
    <row r="397" spans="7:39" ht="12.75" customHeight="1">
      <c r="G397" s="344"/>
      <c r="H397" s="6" t="s">
        <v>2984</v>
      </c>
      <c r="I397" s="8" t="s">
        <v>2312</v>
      </c>
      <c r="J397" s="8" t="s">
        <v>96</v>
      </c>
      <c r="K397" s="8" t="s">
        <v>3001</v>
      </c>
      <c r="L397" s="8" t="s">
        <v>97</v>
      </c>
      <c r="M397" s="8">
        <v>517</v>
      </c>
      <c r="N397" s="7" t="s">
        <v>2847</v>
      </c>
      <c r="O397" s="8" t="s">
        <v>2</v>
      </c>
      <c r="P397" s="8" t="s">
        <v>3004</v>
      </c>
      <c r="Q397" s="8" t="s">
        <v>68</v>
      </c>
      <c r="R397" s="8" t="s">
        <v>69</v>
      </c>
      <c r="S397" s="8" t="s">
        <v>3005</v>
      </c>
      <c r="T397" s="9">
        <v>2</v>
      </c>
      <c r="U397" s="9">
        <v>5180</v>
      </c>
      <c r="V397" s="8" t="s">
        <v>3005</v>
      </c>
      <c r="W397" s="8">
        <v>0</v>
      </c>
      <c r="X397" s="8">
        <v>9</v>
      </c>
      <c r="Y397" s="8">
        <v>466.2</v>
      </c>
      <c r="Z397" s="8">
        <v>9</v>
      </c>
      <c r="AA397" s="8">
        <v>466.2</v>
      </c>
      <c r="AB397" s="8">
        <v>0</v>
      </c>
      <c r="AC397" s="8">
        <v>0</v>
      </c>
      <c r="AD397" s="8">
        <v>45</v>
      </c>
      <c r="AE397" s="8">
        <v>977.4</v>
      </c>
      <c r="AF397" s="8">
        <v>0</v>
      </c>
      <c r="AG397" s="8" t="s">
        <v>2474</v>
      </c>
      <c r="AH397" s="8" t="s">
        <v>1</v>
      </c>
      <c r="AI397" s="8">
        <v>85364900</v>
      </c>
      <c r="AJ397" s="8" t="s">
        <v>60</v>
      </c>
      <c r="AK397" s="8">
        <v>1</v>
      </c>
      <c r="AL397" s="8">
        <v>0</v>
      </c>
      <c r="AM397" s="8" t="s">
        <v>1905</v>
      </c>
    </row>
    <row r="398" spans="7:39" ht="12.75" customHeight="1">
      <c r="G398" s="344"/>
      <c r="H398" s="6" t="s">
        <v>2984</v>
      </c>
      <c r="I398" s="8" t="s">
        <v>2193</v>
      </c>
      <c r="J398" s="8" t="s">
        <v>96</v>
      </c>
      <c r="K398" s="8" t="s">
        <v>3006</v>
      </c>
      <c r="L398" s="8" t="s">
        <v>97</v>
      </c>
      <c r="M398" s="8">
        <v>66262702375</v>
      </c>
      <c r="N398" s="7" t="s">
        <v>2984</v>
      </c>
      <c r="O398" s="8" t="s">
        <v>5</v>
      </c>
      <c r="P398" s="8" t="s">
        <v>3007</v>
      </c>
      <c r="Q398" s="8" t="s">
        <v>68</v>
      </c>
      <c r="R398" s="8" t="s">
        <v>69</v>
      </c>
      <c r="S398" s="8" t="s">
        <v>3008</v>
      </c>
      <c r="T398" s="9">
        <v>1</v>
      </c>
      <c r="U398" s="9">
        <v>1850</v>
      </c>
      <c r="V398" s="8" t="s">
        <v>3008</v>
      </c>
      <c r="W398" s="8">
        <v>2183</v>
      </c>
      <c r="X398" s="8">
        <v>9</v>
      </c>
      <c r="Y398" s="8">
        <v>166.5</v>
      </c>
      <c r="Z398" s="8">
        <v>9</v>
      </c>
      <c r="AA398" s="8">
        <v>166.5</v>
      </c>
      <c r="AB398" s="8">
        <v>0</v>
      </c>
      <c r="AC398" s="8">
        <v>0</v>
      </c>
      <c r="AD398" s="8">
        <v>0</v>
      </c>
      <c r="AE398" s="8">
        <v>333</v>
      </c>
      <c r="AF398" s="8">
        <v>0</v>
      </c>
      <c r="AG398" s="8" t="s">
        <v>3009</v>
      </c>
      <c r="AH398" s="8" t="s">
        <v>2991</v>
      </c>
      <c r="AI398" s="8">
        <v>392610</v>
      </c>
      <c r="AJ398" s="8" t="s">
        <v>60</v>
      </c>
      <c r="AK398" s="8">
        <v>1</v>
      </c>
      <c r="AL398" s="8">
        <v>0</v>
      </c>
      <c r="AM398" s="8" t="s">
        <v>1905</v>
      </c>
    </row>
    <row r="399" spans="7:39" ht="12.75" customHeight="1">
      <c r="G399" s="344"/>
      <c r="H399" s="6" t="s">
        <v>2984</v>
      </c>
      <c r="I399" s="8" t="s">
        <v>3010</v>
      </c>
      <c r="J399" s="8" t="s">
        <v>96</v>
      </c>
      <c r="K399" s="8" t="s">
        <v>3011</v>
      </c>
      <c r="L399" s="8" t="s">
        <v>97</v>
      </c>
      <c r="M399" s="8" t="s">
        <v>3012</v>
      </c>
      <c r="N399" s="7">
        <v>46334</v>
      </c>
      <c r="O399" s="8" t="s">
        <v>2</v>
      </c>
      <c r="P399" s="8" t="s">
        <v>3013</v>
      </c>
      <c r="Q399" s="8" t="s">
        <v>68</v>
      </c>
      <c r="R399" s="8" t="s">
        <v>69</v>
      </c>
      <c r="S399" s="8" t="s">
        <v>3014</v>
      </c>
      <c r="T399" s="9">
        <v>100</v>
      </c>
      <c r="U399" s="9">
        <v>12000</v>
      </c>
      <c r="V399" s="8" t="s">
        <v>3014</v>
      </c>
      <c r="W399" s="8">
        <v>12579</v>
      </c>
      <c r="X399" s="8">
        <v>2.5</v>
      </c>
      <c r="Y399" s="8">
        <v>300</v>
      </c>
      <c r="Z399" s="8">
        <v>2.5</v>
      </c>
      <c r="AA399" s="8">
        <v>300</v>
      </c>
      <c r="AB399" s="8">
        <v>0</v>
      </c>
      <c r="AC399" s="8">
        <v>0</v>
      </c>
      <c r="AD399" s="8">
        <v>0</v>
      </c>
      <c r="AE399" s="8">
        <v>600</v>
      </c>
      <c r="AF399" s="8">
        <v>0</v>
      </c>
      <c r="AG399" s="8" t="s">
        <v>3015</v>
      </c>
      <c r="AH399" s="8" t="s">
        <v>2367</v>
      </c>
      <c r="AI399" s="8">
        <v>59119090</v>
      </c>
      <c r="AJ399" s="8" t="s">
        <v>60</v>
      </c>
      <c r="AK399" s="8">
        <v>1</v>
      </c>
      <c r="AL399" s="8">
        <v>0</v>
      </c>
      <c r="AM399" s="8" t="s">
        <v>1905</v>
      </c>
    </row>
    <row r="400" spans="7:39" ht="12.75" customHeight="1">
      <c r="G400" s="344"/>
      <c r="H400" s="6" t="s">
        <v>2984</v>
      </c>
      <c r="I400" s="8" t="s">
        <v>2321</v>
      </c>
      <c r="J400" s="8" t="s">
        <v>96</v>
      </c>
      <c r="K400" s="8" t="s">
        <v>3016</v>
      </c>
      <c r="L400" s="8" t="s">
        <v>97</v>
      </c>
      <c r="M400" s="8">
        <v>1497</v>
      </c>
      <c r="N400" s="7" t="s">
        <v>2858</v>
      </c>
      <c r="O400" s="8" t="s">
        <v>2</v>
      </c>
      <c r="P400" s="8" t="s">
        <v>112</v>
      </c>
      <c r="Q400" s="8" t="s">
        <v>68</v>
      </c>
      <c r="R400" s="8" t="s">
        <v>69</v>
      </c>
      <c r="S400" s="8" t="s">
        <v>3017</v>
      </c>
      <c r="T400" s="9">
        <v>1</v>
      </c>
      <c r="U400" s="9">
        <v>691.5</v>
      </c>
      <c r="V400" s="8" t="s">
        <v>3017</v>
      </c>
      <c r="W400" s="8">
        <v>4133</v>
      </c>
      <c r="X400" s="8">
        <v>9</v>
      </c>
      <c r="Y400" s="8">
        <v>62.24</v>
      </c>
      <c r="Z400" s="8">
        <v>9</v>
      </c>
      <c r="AA400" s="8">
        <v>62.24</v>
      </c>
      <c r="AB400" s="8">
        <v>0</v>
      </c>
      <c r="AC400" s="8">
        <v>0</v>
      </c>
      <c r="AD400" s="8">
        <v>0</v>
      </c>
      <c r="AE400" s="8">
        <v>124.48</v>
      </c>
      <c r="AF400" s="8">
        <v>0</v>
      </c>
      <c r="AG400" s="8" t="s">
        <v>2488</v>
      </c>
      <c r="AH400" s="8" t="s">
        <v>1</v>
      </c>
      <c r="AI400" s="8">
        <v>82079090</v>
      </c>
      <c r="AJ400" s="8" t="s">
        <v>60</v>
      </c>
      <c r="AK400" s="8">
        <v>1</v>
      </c>
      <c r="AL400" s="8">
        <v>0</v>
      </c>
      <c r="AM400" s="8" t="s">
        <v>1905</v>
      </c>
    </row>
    <row r="401" spans="7:39" ht="12.75" customHeight="1">
      <c r="G401" s="344"/>
      <c r="H401" s="6" t="s">
        <v>2984</v>
      </c>
      <c r="I401" s="8" t="s">
        <v>2321</v>
      </c>
      <c r="J401" s="8" t="s">
        <v>96</v>
      </c>
      <c r="K401" s="8" t="s">
        <v>3016</v>
      </c>
      <c r="L401" s="8" t="s">
        <v>97</v>
      </c>
      <c r="M401" s="8">
        <v>1497</v>
      </c>
      <c r="N401" s="7" t="s">
        <v>2858</v>
      </c>
      <c r="O401" s="8" t="s">
        <v>2</v>
      </c>
      <c r="P401" s="8" t="s">
        <v>112</v>
      </c>
      <c r="Q401" s="8" t="s">
        <v>68</v>
      </c>
      <c r="R401" s="8" t="s">
        <v>69</v>
      </c>
      <c r="S401" s="8" t="s">
        <v>3018</v>
      </c>
      <c r="T401" s="9">
        <v>1</v>
      </c>
      <c r="U401" s="9">
        <v>691.5</v>
      </c>
      <c r="V401" s="8" t="s">
        <v>3018</v>
      </c>
      <c r="W401" s="8">
        <v>0</v>
      </c>
      <c r="X401" s="8">
        <v>9</v>
      </c>
      <c r="Y401" s="8">
        <v>62.24</v>
      </c>
      <c r="Z401" s="8">
        <v>9</v>
      </c>
      <c r="AA401" s="8">
        <v>62.24</v>
      </c>
      <c r="AB401" s="8">
        <v>0</v>
      </c>
      <c r="AC401" s="8">
        <v>0</v>
      </c>
      <c r="AD401" s="8">
        <v>0</v>
      </c>
      <c r="AE401" s="8">
        <v>124.48</v>
      </c>
      <c r="AF401" s="8">
        <v>0</v>
      </c>
      <c r="AG401" s="8" t="s">
        <v>2488</v>
      </c>
      <c r="AH401" s="8" t="s">
        <v>1</v>
      </c>
      <c r="AI401" s="8">
        <v>8207909</v>
      </c>
      <c r="AJ401" s="8" t="s">
        <v>60</v>
      </c>
      <c r="AK401" s="8">
        <v>1</v>
      </c>
      <c r="AL401" s="8">
        <v>0</v>
      </c>
      <c r="AM401" s="8" t="s">
        <v>1905</v>
      </c>
    </row>
    <row r="402" spans="7:39" ht="12.75" customHeight="1">
      <c r="G402" s="344"/>
      <c r="H402" s="6" t="s">
        <v>2984</v>
      </c>
      <c r="I402" s="8" t="s">
        <v>2321</v>
      </c>
      <c r="J402" s="8" t="s">
        <v>96</v>
      </c>
      <c r="K402" s="8" t="s">
        <v>3016</v>
      </c>
      <c r="L402" s="8" t="s">
        <v>97</v>
      </c>
      <c r="M402" s="8">
        <v>1497</v>
      </c>
      <c r="N402" s="7" t="s">
        <v>2858</v>
      </c>
      <c r="O402" s="8" t="s">
        <v>2</v>
      </c>
      <c r="P402" s="8" t="s">
        <v>112</v>
      </c>
      <c r="Q402" s="8" t="s">
        <v>68</v>
      </c>
      <c r="R402" s="8" t="s">
        <v>69</v>
      </c>
      <c r="S402" s="8" t="s">
        <v>3019</v>
      </c>
      <c r="T402" s="9">
        <v>1</v>
      </c>
      <c r="U402" s="9">
        <v>832.5</v>
      </c>
      <c r="V402" s="8" t="s">
        <v>3019</v>
      </c>
      <c r="W402" s="8">
        <v>0</v>
      </c>
      <c r="X402" s="8">
        <v>9</v>
      </c>
      <c r="Y402" s="8">
        <v>74.92</v>
      </c>
      <c r="Z402" s="8">
        <v>9</v>
      </c>
      <c r="AA402" s="8">
        <v>74.92</v>
      </c>
      <c r="AB402" s="8">
        <v>0</v>
      </c>
      <c r="AC402" s="8">
        <v>0</v>
      </c>
      <c r="AD402" s="8">
        <v>0</v>
      </c>
      <c r="AE402" s="8">
        <v>149.84</v>
      </c>
      <c r="AF402" s="8">
        <v>0</v>
      </c>
      <c r="AG402" s="8" t="s">
        <v>2488</v>
      </c>
      <c r="AH402" s="8" t="s">
        <v>1</v>
      </c>
      <c r="AI402" s="8">
        <v>8207909</v>
      </c>
      <c r="AJ402" s="8" t="s">
        <v>60</v>
      </c>
      <c r="AK402" s="8">
        <v>1</v>
      </c>
      <c r="AL402" s="8">
        <v>0</v>
      </c>
      <c r="AM402" s="8" t="s">
        <v>1905</v>
      </c>
    </row>
    <row r="403" spans="7:39" ht="12.75" customHeight="1">
      <c r="G403" s="344"/>
      <c r="H403" s="6" t="s">
        <v>2984</v>
      </c>
      <c r="I403" s="8" t="s">
        <v>2321</v>
      </c>
      <c r="J403" s="8" t="s">
        <v>96</v>
      </c>
      <c r="K403" s="8" t="s">
        <v>3016</v>
      </c>
      <c r="L403" s="8" t="s">
        <v>97</v>
      </c>
      <c r="M403" s="8">
        <v>1497</v>
      </c>
      <c r="N403" s="8" t="s">
        <v>2858</v>
      </c>
      <c r="O403" s="8" t="s">
        <v>2</v>
      </c>
      <c r="P403" s="8" t="s">
        <v>112</v>
      </c>
      <c r="Q403" s="8" t="s">
        <v>68</v>
      </c>
      <c r="R403" s="8" t="s">
        <v>69</v>
      </c>
      <c r="S403" s="8" t="s">
        <v>3020</v>
      </c>
      <c r="T403" s="9">
        <v>1</v>
      </c>
      <c r="U403" s="9">
        <v>643.5</v>
      </c>
      <c r="V403" s="8" t="s">
        <v>3020</v>
      </c>
      <c r="W403" s="8">
        <v>0</v>
      </c>
      <c r="X403" s="8">
        <v>9</v>
      </c>
      <c r="Y403" s="8">
        <v>57.92</v>
      </c>
      <c r="Z403" s="8">
        <v>9</v>
      </c>
      <c r="AA403" s="8">
        <v>57.92</v>
      </c>
      <c r="AB403" s="8">
        <v>0</v>
      </c>
      <c r="AC403" s="8">
        <v>0</v>
      </c>
      <c r="AD403" s="8">
        <v>0</v>
      </c>
      <c r="AE403" s="8">
        <v>115.84</v>
      </c>
      <c r="AF403" s="8">
        <v>0</v>
      </c>
      <c r="AG403" s="8" t="s">
        <v>2488</v>
      </c>
      <c r="AH403" s="8" t="s">
        <v>2991</v>
      </c>
      <c r="AI403" s="8">
        <v>73181500</v>
      </c>
      <c r="AJ403" s="8" t="s">
        <v>60</v>
      </c>
      <c r="AK403" s="8">
        <v>1</v>
      </c>
      <c r="AL403" s="8">
        <v>0</v>
      </c>
      <c r="AM403" s="8" t="s">
        <v>1905</v>
      </c>
    </row>
    <row r="404" spans="7:39" ht="12.75" customHeight="1">
      <c r="G404" s="344"/>
      <c r="H404" s="6" t="s">
        <v>2984</v>
      </c>
      <c r="I404" s="8" t="s">
        <v>2321</v>
      </c>
      <c r="J404" s="8" t="s">
        <v>96</v>
      </c>
      <c r="K404" s="8" t="s">
        <v>3016</v>
      </c>
      <c r="L404" s="8" t="s">
        <v>97</v>
      </c>
      <c r="M404" s="8">
        <v>1497</v>
      </c>
      <c r="N404" s="7" t="s">
        <v>2858</v>
      </c>
      <c r="O404" s="8" t="s">
        <v>2</v>
      </c>
      <c r="P404" s="8" t="s">
        <v>112</v>
      </c>
      <c r="Q404" s="8" t="s">
        <v>68</v>
      </c>
      <c r="R404" s="8" t="s">
        <v>69</v>
      </c>
      <c r="S404" s="8" t="s">
        <v>3021</v>
      </c>
      <c r="T404" s="9">
        <v>1</v>
      </c>
      <c r="U404" s="9">
        <v>643.5</v>
      </c>
      <c r="V404" s="8" t="s">
        <v>3021</v>
      </c>
      <c r="W404" s="8">
        <v>0</v>
      </c>
      <c r="X404" s="8">
        <v>9</v>
      </c>
      <c r="Y404" s="8">
        <v>57.92</v>
      </c>
      <c r="Z404" s="8">
        <v>9</v>
      </c>
      <c r="AA404" s="8">
        <v>57.92</v>
      </c>
      <c r="AB404" s="8">
        <v>0</v>
      </c>
      <c r="AC404" s="8">
        <v>0</v>
      </c>
      <c r="AD404" s="8">
        <v>0</v>
      </c>
      <c r="AE404" s="8">
        <v>115.84</v>
      </c>
      <c r="AF404" s="8">
        <v>0</v>
      </c>
      <c r="AG404" s="8" t="s">
        <v>2488</v>
      </c>
      <c r="AH404" s="8" t="s">
        <v>2991</v>
      </c>
      <c r="AI404" s="8">
        <v>73181500</v>
      </c>
      <c r="AJ404" s="8" t="s">
        <v>60</v>
      </c>
      <c r="AK404" s="8">
        <v>1</v>
      </c>
      <c r="AL404" s="8">
        <v>0</v>
      </c>
      <c r="AM404" s="8" t="s">
        <v>1905</v>
      </c>
    </row>
    <row r="405" spans="7:39" ht="12.75" customHeight="1">
      <c r="G405" s="344"/>
      <c r="H405" s="6" t="s">
        <v>2984</v>
      </c>
      <c r="I405" s="8" t="s">
        <v>87</v>
      </c>
      <c r="J405" s="8" t="s">
        <v>96</v>
      </c>
      <c r="K405" s="8" t="s">
        <v>3022</v>
      </c>
      <c r="L405" s="8" t="s">
        <v>97</v>
      </c>
      <c r="M405" s="8" t="s">
        <v>3023</v>
      </c>
      <c r="N405" s="7" t="s">
        <v>2984</v>
      </c>
      <c r="O405" s="8" t="s">
        <v>2</v>
      </c>
      <c r="P405" s="8" t="s">
        <v>67</v>
      </c>
      <c r="Q405" s="8" t="s">
        <v>68</v>
      </c>
      <c r="R405" s="8" t="s">
        <v>69</v>
      </c>
      <c r="S405" s="8" t="s">
        <v>70</v>
      </c>
      <c r="T405" s="9">
        <v>324</v>
      </c>
      <c r="U405" s="9">
        <v>15552</v>
      </c>
      <c r="V405" s="8" t="s">
        <v>70</v>
      </c>
      <c r="W405" s="8">
        <v>18335.810000000001</v>
      </c>
      <c r="X405" s="8">
        <v>9</v>
      </c>
      <c r="Y405" s="8">
        <v>1399.68</v>
      </c>
      <c r="Z405" s="8">
        <v>9</v>
      </c>
      <c r="AA405" s="8">
        <v>1399.68</v>
      </c>
      <c r="AB405" s="8">
        <v>0</v>
      </c>
      <c r="AC405" s="8">
        <v>0</v>
      </c>
      <c r="AD405" s="8">
        <v>0</v>
      </c>
      <c r="AE405" s="8">
        <v>2799.36</v>
      </c>
      <c r="AF405" s="8">
        <v>0</v>
      </c>
      <c r="AG405" s="8" t="s">
        <v>65</v>
      </c>
      <c r="AH405" s="8" t="s">
        <v>11</v>
      </c>
      <c r="AI405" s="8">
        <v>73063090</v>
      </c>
      <c r="AJ405" s="8" t="s">
        <v>60</v>
      </c>
      <c r="AK405" s="8">
        <v>1</v>
      </c>
      <c r="AL405" s="8">
        <v>0</v>
      </c>
      <c r="AM405" s="8" t="s">
        <v>1905</v>
      </c>
    </row>
    <row r="406" spans="7:39" ht="12.75" customHeight="1">
      <c r="G406" s="344"/>
      <c r="H406" s="6" t="s">
        <v>2984</v>
      </c>
      <c r="I406" s="8" t="s">
        <v>87</v>
      </c>
      <c r="J406" s="8" t="s">
        <v>113</v>
      </c>
      <c r="K406" s="8" t="s">
        <v>3024</v>
      </c>
      <c r="L406" s="8" t="s">
        <v>114</v>
      </c>
      <c r="M406" s="8" t="s">
        <v>3025</v>
      </c>
      <c r="N406" s="7" t="s">
        <v>2984</v>
      </c>
      <c r="O406" s="8" t="s">
        <v>4</v>
      </c>
      <c r="P406" s="8" t="s">
        <v>2678</v>
      </c>
      <c r="Q406" s="8" t="s">
        <v>4</v>
      </c>
      <c r="R406" s="8" t="s">
        <v>4</v>
      </c>
      <c r="S406" s="8" t="s">
        <v>3026</v>
      </c>
      <c r="T406" s="9">
        <v>100</v>
      </c>
      <c r="U406" s="9">
        <v>1200</v>
      </c>
      <c r="V406" s="8" t="s">
        <v>3027</v>
      </c>
      <c r="W406" s="8">
        <v>1444.32</v>
      </c>
      <c r="X406" s="8">
        <v>9</v>
      </c>
      <c r="Y406" s="8">
        <v>108</v>
      </c>
      <c r="Z406" s="8">
        <v>9</v>
      </c>
      <c r="AA406" s="8">
        <v>108</v>
      </c>
      <c r="AB406" s="8">
        <v>0</v>
      </c>
      <c r="AC406" s="8">
        <v>0</v>
      </c>
      <c r="AD406" s="8">
        <v>0</v>
      </c>
      <c r="AE406" s="8">
        <v>216</v>
      </c>
      <c r="AF406" s="8">
        <v>0</v>
      </c>
      <c r="AG406" s="8" t="s">
        <v>65</v>
      </c>
      <c r="AH406" s="8" t="s">
        <v>11</v>
      </c>
      <c r="AI406" s="8">
        <v>392390</v>
      </c>
      <c r="AJ406" s="8" t="s">
        <v>60</v>
      </c>
      <c r="AK406" s="8">
        <v>1</v>
      </c>
      <c r="AL406" s="8">
        <v>0</v>
      </c>
      <c r="AM406" s="8" t="s">
        <v>1905</v>
      </c>
    </row>
    <row r="407" spans="7:39" ht="12.75" customHeight="1">
      <c r="G407" s="344"/>
      <c r="H407" s="6" t="s">
        <v>2984</v>
      </c>
      <c r="I407" s="8" t="s">
        <v>87</v>
      </c>
      <c r="J407" s="8" t="s">
        <v>91</v>
      </c>
      <c r="K407" s="8" t="s">
        <v>3028</v>
      </c>
      <c r="L407" s="8" t="s">
        <v>98</v>
      </c>
      <c r="M407" s="8" t="s">
        <v>3029</v>
      </c>
      <c r="N407" s="7" t="s">
        <v>2984</v>
      </c>
      <c r="O407" s="8" t="s">
        <v>13</v>
      </c>
      <c r="P407" s="8" t="s">
        <v>62</v>
      </c>
      <c r="Q407" s="8" t="s">
        <v>63</v>
      </c>
      <c r="R407" s="8" t="s">
        <v>64</v>
      </c>
      <c r="S407" s="8" t="s">
        <v>19</v>
      </c>
      <c r="T407" s="9">
        <v>10657</v>
      </c>
      <c r="U407" s="9">
        <v>1516704.24</v>
      </c>
      <c r="V407" s="8" t="s">
        <v>19</v>
      </c>
      <c r="W407" s="8">
        <v>2148683.92</v>
      </c>
      <c r="X407" s="8">
        <v>9</v>
      </c>
      <c r="Y407" s="8">
        <v>136503.38</v>
      </c>
      <c r="Z407" s="8">
        <v>9</v>
      </c>
      <c r="AA407" s="8">
        <v>136503.38</v>
      </c>
      <c r="AB407" s="8">
        <v>0</v>
      </c>
      <c r="AC407" s="8">
        <v>0</v>
      </c>
      <c r="AD407" s="8">
        <v>0</v>
      </c>
      <c r="AE407" s="8">
        <v>273006.76</v>
      </c>
      <c r="AF407" s="8">
        <v>0</v>
      </c>
      <c r="AG407" s="8" t="s">
        <v>65</v>
      </c>
      <c r="AH407" s="8" t="s">
        <v>11</v>
      </c>
      <c r="AI407" s="8">
        <v>39269080</v>
      </c>
      <c r="AJ407" s="8" t="s">
        <v>60</v>
      </c>
      <c r="AK407" s="8">
        <v>1</v>
      </c>
      <c r="AL407" s="8">
        <v>10657</v>
      </c>
      <c r="AM407" s="8" t="s">
        <v>1905</v>
      </c>
    </row>
    <row r="408" spans="7:39" ht="12.75" customHeight="1">
      <c r="G408" s="344"/>
      <c r="H408" s="6" t="s">
        <v>2984</v>
      </c>
      <c r="I408" s="8" t="s">
        <v>87</v>
      </c>
      <c r="J408" s="8" t="s">
        <v>91</v>
      </c>
      <c r="K408" s="8" t="s">
        <v>3028</v>
      </c>
      <c r="L408" s="8" t="s">
        <v>98</v>
      </c>
      <c r="M408" s="8" t="s">
        <v>3029</v>
      </c>
      <c r="N408" s="7" t="s">
        <v>2984</v>
      </c>
      <c r="O408" s="8" t="s">
        <v>13</v>
      </c>
      <c r="P408" s="8" t="s">
        <v>62</v>
      </c>
      <c r="Q408" s="8" t="s">
        <v>63</v>
      </c>
      <c r="R408" s="8" t="s">
        <v>64</v>
      </c>
      <c r="S408" s="8" t="s">
        <v>19</v>
      </c>
      <c r="T408" s="9">
        <v>1593</v>
      </c>
      <c r="U408" s="9">
        <v>229901.76</v>
      </c>
      <c r="V408" s="8" t="s">
        <v>19</v>
      </c>
      <c r="W408" s="8">
        <v>0</v>
      </c>
      <c r="X408" s="8">
        <v>9</v>
      </c>
      <c r="Y408" s="8">
        <v>20691.16</v>
      </c>
      <c r="Z408" s="8">
        <v>9</v>
      </c>
      <c r="AA408" s="8">
        <v>20691.16</v>
      </c>
      <c r="AB408" s="8">
        <v>0</v>
      </c>
      <c r="AC408" s="8">
        <v>0</v>
      </c>
      <c r="AD408" s="8">
        <v>0</v>
      </c>
      <c r="AE408" s="8">
        <v>41382.32</v>
      </c>
      <c r="AF408" s="8">
        <v>0</v>
      </c>
      <c r="AG408" s="8" t="s">
        <v>65</v>
      </c>
      <c r="AH408" s="8" t="s">
        <v>11</v>
      </c>
      <c r="AI408" s="8">
        <v>39269080</v>
      </c>
      <c r="AJ408" s="8" t="s">
        <v>60</v>
      </c>
      <c r="AK408" s="8">
        <v>1</v>
      </c>
      <c r="AL408" s="8">
        <v>1593</v>
      </c>
      <c r="AM408" s="8" t="s">
        <v>1905</v>
      </c>
    </row>
    <row r="409" spans="7:39" ht="12.75" customHeight="1">
      <c r="G409" s="344"/>
      <c r="H409" s="6" t="s">
        <v>2984</v>
      </c>
      <c r="I409" s="8" t="s">
        <v>87</v>
      </c>
      <c r="J409" s="8" t="s">
        <v>91</v>
      </c>
      <c r="K409" s="8" t="s">
        <v>3028</v>
      </c>
      <c r="L409" s="8" t="s">
        <v>98</v>
      </c>
      <c r="M409" s="8" t="s">
        <v>3029</v>
      </c>
      <c r="N409" s="7" t="s">
        <v>2984</v>
      </c>
      <c r="O409" s="8" t="s">
        <v>13</v>
      </c>
      <c r="P409" s="8" t="s">
        <v>62</v>
      </c>
      <c r="Q409" s="8" t="s">
        <v>63</v>
      </c>
      <c r="R409" s="8" t="s">
        <v>64</v>
      </c>
      <c r="S409" s="8" t="s">
        <v>19</v>
      </c>
      <c r="T409" s="9">
        <v>522</v>
      </c>
      <c r="U409" s="9">
        <v>75857.039999999994</v>
      </c>
      <c r="V409" s="8" t="s">
        <v>19</v>
      </c>
      <c r="W409" s="8">
        <v>0</v>
      </c>
      <c r="X409" s="8">
        <v>9</v>
      </c>
      <c r="Y409" s="8">
        <v>6827.13</v>
      </c>
      <c r="Z409" s="8">
        <v>9</v>
      </c>
      <c r="AA409" s="8">
        <v>6827.13</v>
      </c>
      <c r="AB409" s="8">
        <v>0</v>
      </c>
      <c r="AC409" s="8">
        <v>0</v>
      </c>
      <c r="AD409" s="8">
        <v>0</v>
      </c>
      <c r="AE409" s="8">
        <v>13654.26</v>
      </c>
      <c r="AF409" s="8">
        <v>0</v>
      </c>
      <c r="AG409" s="8" t="s">
        <v>65</v>
      </c>
      <c r="AH409" s="8" t="s">
        <v>11</v>
      </c>
      <c r="AI409" s="8">
        <v>39269080</v>
      </c>
      <c r="AJ409" s="8" t="s">
        <v>60</v>
      </c>
      <c r="AK409" s="8">
        <v>1</v>
      </c>
      <c r="AL409" s="8">
        <v>522</v>
      </c>
      <c r="AM409" s="8" t="s">
        <v>1905</v>
      </c>
    </row>
    <row r="410" spans="7:39" ht="12.75" customHeight="1">
      <c r="G410" s="344"/>
      <c r="H410" s="6" t="s">
        <v>2984</v>
      </c>
      <c r="I410" s="8" t="s">
        <v>87</v>
      </c>
      <c r="J410" s="8" t="s">
        <v>91</v>
      </c>
      <c r="K410" s="8" t="s">
        <v>3030</v>
      </c>
      <c r="L410" s="8" t="s">
        <v>98</v>
      </c>
      <c r="M410" s="8" t="s">
        <v>3031</v>
      </c>
      <c r="N410" s="7" t="s">
        <v>2984</v>
      </c>
      <c r="O410" s="8" t="s">
        <v>13</v>
      </c>
      <c r="P410" s="8" t="s">
        <v>99</v>
      </c>
      <c r="Q410" s="8" t="s">
        <v>100</v>
      </c>
      <c r="R410" s="8" t="s">
        <v>101</v>
      </c>
      <c r="S410" s="8" t="s">
        <v>553</v>
      </c>
      <c r="T410" s="9">
        <v>971.7</v>
      </c>
      <c r="U410" s="9">
        <v>149952.74</v>
      </c>
      <c r="V410" s="8" t="s">
        <v>553</v>
      </c>
      <c r="W410" s="8">
        <v>428094.13</v>
      </c>
      <c r="X410" s="8">
        <v>2.5</v>
      </c>
      <c r="Y410" s="8">
        <v>3748.82</v>
      </c>
      <c r="Z410" s="8">
        <v>2.5</v>
      </c>
      <c r="AA410" s="8">
        <v>3748.82</v>
      </c>
      <c r="AB410" s="8">
        <v>0</v>
      </c>
      <c r="AC410" s="8">
        <v>0</v>
      </c>
      <c r="AD410" s="8">
        <v>0</v>
      </c>
      <c r="AE410" s="8">
        <v>7497.64</v>
      </c>
      <c r="AF410" s="8">
        <v>0</v>
      </c>
      <c r="AG410" s="8" t="s">
        <v>65</v>
      </c>
      <c r="AH410" s="8" t="s">
        <v>3</v>
      </c>
      <c r="AI410" s="8">
        <v>540263</v>
      </c>
      <c r="AJ410" s="8" t="s">
        <v>60</v>
      </c>
      <c r="AK410" s="8">
        <v>1</v>
      </c>
      <c r="AL410" s="8">
        <v>971.7</v>
      </c>
      <c r="AM410" s="8" t="s">
        <v>1905</v>
      </c>
    </row>
    <row r="411" spans="7:39" ht="12.75" customHeight="1">
      <c r="G411" s="344"/>
      <c r="H411" s="6" t="s">
        <v>2984</v>
      </c>
      <c r="I411" s="8" t="s">
        <v>87</v>
      </c>
      <c r="J411" s="8" t="s">
        <v>91</v>
      </c>
      <c r="K411" s="8" t="s">
        <v>3030</v>
      </c>
      <c r="L411" s="8" t="s">
        <v>98</v>
      </c>
      <c r="M411" s="8" t="s">
        <v>3031</v>
      </c>
      <c r="N411" s="8" t="s">
        <v>2984</v>
      </c>
      <c r="O411" s="8" t="s">
        <v>13</v>
      </c>
      <c r="P411" s="8" t="s">
        <v>24</v>
      </c>
      <c r="Q411" s="8" t="s">
        <v>79</v>
      </c>
      <c r="R411" s="8" t="s">
        <v>79</v>
      </c>
      <c r="S411" s="8" t="s">
        <v>24</v>
      </c>
      <c r="T411" s="9">
        <v>999.4</v>
      </c>
      <c r="U411" s="9">
        <v>147231.60999999999</v>
      </c>
      <c r="V411" s="8" t="s">
        <v>24</v>
      </c>
      <c r="W411" s="8">
        <v>0</v>
      </c>
      <c r="X411" s="8">
        <v>9</v>
      </c>
      <c r="Y411" s="8">
        <v>13250.84</v>
      </c>
      <c r="Z411" s="8">
        <v>9</v>
      </c>
      <c r="AA411" s="8">
        <v>13250.84</v>
      </c>
      <c r="AB411" s="8">
        <v>0</v>
      </c>
      <c r="AC411" s="8">
        <v>0</v>
      </c>
      <c r="AD411" s="8">
        <v>0</v>
      </c>
      <c r="AE411" s="8">
        <v>26501.68</v>
      </c>
      <c r="AF411" s="8">
        <v>0</v>
      </c>
      <c r="AG411" s="8" t="s">
        <v>65</v>
      </c>
      <c r="AH411" s="8" t="s">
        <v>11</v>
      </c>
      <c r="AI411" s="8">
        <v>3926908</v>
      </c>
      <c r="AJ411" s="8" t="s">
        <v>60</v>
      </c>
      <c r="AK411" s="8">
        <v>1</v>
      </c>
      <c r="AL411" s="8">
        <v>999.4</v>
      </c>
      <c r="AM411" s="8" t="s">
        <v>1905</v>
      </c>
    </row>
    <row r="412" spans="7:39" ht="12.75" customHeight="1">
      <c r="G412" s="344"/>
      <c r="H412" s="6" t="s">
        <v>2984</v>
      </c>
      <c r="I412" s="8" t="s">
        <v>87</v>
      </c>
      <c r="J412" s="8" t="s">
        <v>91</v>
      </c>
      <c r="K412" s="8" t="s">
        <v>3030</v>
      </c>
      <c r="L412" s="8" t="s">
        <v>98</v>
      </c>
      <c r="M412" s="8" t="s">
        <v>3031</v>
      </c>
      <c r="N412" s="8" t="s">
        <v>2984</v>
      </c>
      <c r="O412" s="8" t="s">
        <v>13</v>
      </c>
      <c r="P412" s="8" t="s">
        <v>24</v>
      </c>
      <c r="Q412" s="8" t="s">
        <v>79</v>
      </c>
      <c r="R412" s="8" t="s">
        <v>79</v>
      </c>
      <c r="S412" s="8" t="s">
        <v>24</v>
      </c>
      <c r="T412" s="9">
        <v>118.1</v>
      </c>
      <c r="U412" s="9">
        <v>17044.189999999999</v>
      </c>
      <c r="V412" s="8" t="s">
        <v>24</v>
      </c>
      <c r="W412" s="8">
        <v>0</v>
      </c>
      <c r="X412" s="8">
        <v>9</v>
      </c>
      <c r="Y412" s="8">
        <v>1533.98</v>
      </c>
      <c r="Z412" s="8">
        <v>9</v>
      </c>
      <c r="AA412" s="8">
        <v>1533.98</v>
      </c>
      <c r="AB412" s="8">
        <v>0</v>
      </c>
      <c r="AC412" s="8">
        <v>0</v>
      </c>
      <c r="AD412" s="8">
        <v>0</v>
      </c>
      <c r="AE412" s="8">
        <v>3067.96</v>
      </c>
      <c r="AF412" s="8">
        <v>0</v>
      </c>
      <c r="AG412" s="8" t="s">
        <v>65</v>
      </c>
      <c r="AH412" s="8" t="s">
        <v>11</v>
      </c>
      <c r="AI412" s="8">
        <v>3926908</v>
      </c>
      <c r="AJ412" s="8" t="s">
        <v>60</v>
      </c>
      <c r="AK412" s="8">
        <v>1</v>
      </c>
      <c r="AL412" s="8">
        <v>118.1</v>
      </c>
      <c r="AM412" s="8" t="s">
        <v>1905</v>
      </c>
    </row>
    <row r="413" spans="7:39" ht="12.75" customHeight="1">
      <c r="G413" s="344"/>
      <c r="H413" s="6" t="s">
        <v>2984</v>
      </c>
      <c r="I413" s="8" t="s">
        <v>87</v>
      </c>
      <c r="J413" s="8" t="s">
        <v>91</v>
      </c>
      <c r="K413" s="8" t="s">
        <v>3030</v>
      </c>
      <c r="L413" s="8" t="s">
        <v>98</v>
      </c>
      <c r="M413" s="8" t="s">
        <v>3031</v>
      </c>
      <c r="N413" s="8" t="s">
        <v>2984</v>
      </c>
      <c r="O413" s="8" t="s">
        <v>13</v>
      </c>
      <c r="P413" s="8" t="s">
        <v>62</v>
      </c>
      <c r="Q413" s="8" t="s">
        <v>76</v>
      </c>
      <c r="R413" s="8" t="s">
        <v>77</v>
      </c>
      <c r="S413" s="8" t="s">
        <v>21</v>
      </c>
      <c r="T413" s="9">
        <v>447</v>
      </c>
      <c r="U413" s="9">
        <v>65405.04</v>
      </c>
      <c r="V413" s="8" t="s">
        <v>21</v>
      </c>
      <c r="W413" s="8">
        <v>0</v>
      </c>
      <c r="X413" s="8">
        <v>9</v>
      </c>
      <c r="Y413" s="8">
        <v>5886.45</v>
      </c>
      <c r="Z413" s="8">
        <v>9</v>
      </c>
      <c r="AA413" s="8">
        <v>5886.45</v>
      </c>
      <c r="AB413" s="8">
        <v>0</v>
      </c>
      <c r="AC413" s="8">
        <v>0</v>
      </c>
      <c r="AD413" s="8">
        <v>0</v>
      </c>
      <c r="AE413" s="8">
        <v>11772.9</v>
      </c>
      <c r="AF413" s="8">
        <v>0</v>
      </c>
      <c r="AG413" s="8" t="s">
        <v>65</v>
      </c>
      <c r="AH413" s="8" t="s">
        <v>11</v>
      </c>
      <c r="AI413" s="8">
        <v>63053300</v>
      </c>
      <c r="AJ413" s="8" t="s">
        <v>60</v>
      </c>
      <c r="AK413" s="8">
        <v>1</v>
      </c>
      <c r="AL413" s="8">
        <v>447</v>
      </c>
      <c r="AM413" s="8" t="s">
        <v>1905</v>
      </c>
    </row>
    <row r="414" spans="7:39" ht="12.75" customHeight="1">
      <c r="G414" s="344"/>
      <c r="H414" s="6" t="s">
        <v>2984</v>
      </c>
      <c r="I414" s="8" t="s">
        <v>87</v>
      </c>
      <c r="J414" s="8" t="s">
        <v>91</v>
      </c>
      <c r="K414" s="8" t="s">
        <v>3032</v>
      </c>
      <c r="L414" s="8" t="s">
        <v>98</v>
      </c>
      <c r="M414" s="8" t="s">
        <v>3033</v>
      </c>
      <c r="N414" s="7" t="s">
        <v>2984</v>
      </c>
      <c r="O414" s="8" t="s">
        <v>13</v>
      </c>
      <c r="P414" s="8" t="s">
        <v>80</v>
      </c>
      <c r="Q414" s="8" t="s">
        <v>81</v>
      </c>
      <c r="R414" s="8" t="s">
        <v>82</v>
      </c>
      <c r="S414" s="8" t="s">
        <v>17</v>
      </c>
      <c r="T414" s="9">
        <v>7472</v>
      </c>
      <c r="U414" s="9">
        <v>1321497.92</v>
      </c>
      <c r="V414" s="8" t="s">
        <v>17</v>
      </c>
      <c r="W414" s="8">
        <v>1558046.04</v>
      </c>
      <c r="X414" s="8">
        <v>9</v>
      </c>
      <c r="Y414" s="8">
        <v>118934.81</v>
      </c>
      <c r="Z414" s="8">
        <v>9</v>
      </c>
      <c r="AA414" s="8">
        <v>118934.81</v>
      </c>
      <c r="AB414" s="8">
        <v>0</v>
      </c>
      <c r="AC414" s="8">
        <v>0</v>
      </c>
      <c r="AD414" s="8">
        <v>0</v>
      </c>
      <c r="AE414" s="8">
        <v>237869.62</v>
      </c>
      <c r="AF414" s="8">
        <v>0</v>
      </c>
      <c r="AG414" s="8" t="s">
        <v>65</v>
      </c>
      <c r="AH414" s="8" t="s">
        <v>11</v>
      </c>
      <c r="AI414" s="8">
        <v>39200000</v>
      </c>
      <c r="AJ414" s="8" t="s">
        <v>60</v>
      </c>
      <c r="AK414" s="8">
        <v>1</v>
      </c>
      <c r="AL414" s="8">
        <v>7472</v>
      </c>
      <c r="AM414" s="8" t="s">
        <v>1905</v>
      </c>
    </row>
    <row r="415" spans="7:39" ht="12.75" customHeight="1">
      <c r="G415" s="344"/>
      <c r="H415" s="6" t="s">
        <v>2984</v>
      </c>
      <c r="I415" s="8" t="s">
        <v>117</v>
      </c>
      <c r="J415" s="8" t="s">
        <v>113</v>
      </c>
      <c r="K415" s="8" t="s">
        <v>3034</v>
      </c>
      <c r="L415" s="8" t="s">
        <v>114</v>
      </c>
      <c r="M415" s="8" t="s">
        <v>3035</v>
      </c>
      <c r="N415" s="7">
        <v>46303</v>
      </c>
      <c r="O415" s="8" t="s">
        <v>4</v>
      </c>
      <c r="P415" s="8" t="s">
        <v>115</v>
      </c>
      <c r="Q415" s="8" t="s">
        <v>4</v>
      </c>
      <c r="R415" s="8" t="s">
        <v>4</v>
      </c>
      <c r="S415" s="8" t="s">
        <v>773</v>
      </c>
      <c r="T415" s="9">
        <v>30</v>
      </c>
      <c r="U415" s="9">
        <v>18000</v>
      </c>
      <c r="V415" s="8" t="s">
        <v>773</v>
      </c>
      <c r="W415" s="8">
        <v>227588</v>
      </c>
      <c r="X415" s="8">
        <v>2.5</v>
      </c>
      <c r="Y415" s="8">
        <v>450</v>
      </c>
      <c r="Z415" s="8">
        <v>2.5</v>
      </c>
      <c r="AA415" s="8">
        <v>450</v>
      </c>
      <c r="AB415" s="8">
        <v>0</v>
      </c>
      <c r="AC415" s="8">
        <v>0</v>
      </c>
      <c r="AD415" s="8">
        <v>0</v>
      </c>
      <c r="AE415" s="8">
        <v>900</v>
      </c>
      <c r="AF415" s="8">
        <v>0</v>
      </c>
      <c r="AG415" s="8" t="s">
        <v>2370</v>
      </c>
      <c r="AH415" s="8" t="s">
        <v>1</v>
      </c>
      <c r="AI415" s="8">
        <v>44152000</v>
      </c>
      <c r="AJ415" s="8" t="s">
        <v>60</v>
      </c>
      <c r="AK415" s="8">
        <v>1</v>
      </c>
      <c r="AL415" s="8">
        <v>0</v>
      </c>
      <c r="AM415" s="8" t="s">
        <v>1905</v>
      </c>
    </row>
    <row r="416" spans="7:39" ht="12.75" customHeight="1">
      <c r="G416" s="344"/>
      <c r="H416" s="6" t="s">
        <v>2984</v>
      </c>
      <c r="I416" s="8" t="s">
        <v>117</v>
      </c>
      <c r="J416" s="8" t="s">
        <v>113</v>
      </c>
      <c r="K416" s="8" t="s">
        <v>3034</v>
      </c>
      <c r="L416" s="8" t="s">
        <v>114</v>
      </c>
      <c r="M416" s="8" t="s">
        <v>3035</v>
      </c>
      <c r="N416" s="7">
        <v>46303</v>
      </c>
      <c r="O416" s="8" t="s">
        <v>4</v>
      </c>
      <c r="P416" s="8" t="s">
        <v>115</v>
      </c>
      <c r="Q416" s="8" t="s">
        <v>115</v>
      </c>
      <c r="R416" s="8" t="s">
        <v>4</v>
      </c>
      <c r="S416" s="8" t="s">
        <v>629</v>
      </c>
      <c r="T416" s="9">
        <v>100</v>
      </c>
      <c r="U416" s="9">
        <v>81500</v>
      </c>
      <c r="V416" s="8" t="s">
        <v>629</v>
      </c>
      <c r="W416" s="8">
        <v>0</v>
      </c>
      <c r="X416" s="8">
        <v>2.5</v>
      </c>
      <c r="Y416" s="8">
        <v>2037.5</v>
      </c>
      <c r="Z416" s="8">
        <v>2.5</v>
      </c>
      <c r="AA416" s="8">
        <v>2037.5</v>
      </c>
      <c r="AB416" s="8">
        <v>0</v>
      </c>
      <c r="AC416" s="8">
        <v>0</v>
      </c>
      <c r="AD416" s="8">
        <v>0</v>
      </c>
      <c r="AE416" s="8">
        <v>4075</v>
      </c>
      <c r="AF416" s="8">
        <v>0</v>
      </c>
      <c r="AG416" s="8" t="s">
        <v>2370</v>
      </c>
      <c r="AH416" s="8" t="s">
        <v>1</v>
      </c>
      <c r="AI416" s="8">
        <v>44152000</v>
      </c>
      <c r="AJ416" s="8" t="s">
        <v>60</v>
      </c>
      <c r="AK416" s="8">
        <v>1</v>
      </c>
      <c r="AL416" s="8">
        <v>0</v>
      </c>
      <c r="AM416" s="8" t="s">
        <v>1905</v>
      </c>
    </row>
    <row r="417" spans="7:39" ht="12.75" customHeight="1">
      <c r="G417" s="344"/>
      <c r="H417" s="6" t="s">
        <v>2984</v>
      </c>
      <c r="I417" s="8" t="s">
        <v>117</v>
      </c>
      <c r="J417" s="8" t="s">
        <v>113</v>
      </c>
      <c r="K417" s="8" t="s">
        <v>3034</v>
      </c>
      <c r="L417" s="8" t="s">
        <v>114</v>
      </c>
      <c r="M417" s="8" t="s">
        <v>3035</v>
      </c>
      <c r="N417" s="7">
        <v>46303</v>
      </c>
      <c r="O417" s="8" t="s">
        <v>4</v>
      </c>
      <c r="P417" s="8" t="s">
        <v>115</v>
      </c>
      <c r="Q417" s="8" t="s">
        <v>115</v>
      </c>
      <c r="R417" s="8" t="s">
        <v>4</v>
      </c>
      <c r="S417" s="8" t="s">
        <v>3036</v>
      </c>
      <c r="T417" s="9">
        <v>50</v>
      </c>
      <c r="U417" s="9">
        <v>40750</v>
      </c>
      <c r="V417" s="8" t="s">
        <v>3036</v>
      </c>
      <c r="W417" s="8">
        <v>0</v>
      </c>
      <c r="X417" s="8">
        <v>2.5</v>
      </c>
      <c r="Y417" s="8">
        <v>1018.75</v>
      </c>
      <c r="Z417" s="8">
        <v>2.5</v>
      </c>
      <c r="AA417" s="8">
        <v>1018.75</v>
      </c>
      <c r="AB417" s="8">
        <v>0</v>
      </c>
      <c r="AC417" s="8">
        <v>0</v>
      </c>
      <c r="AD417" s="8">
        <v>0</v>
      </c>
      <c r="AE417" s="8">
        <v>2037.5</v>
      </c>
      <c r="AF417" s="8">
        <v>0</v>
      </c>
      <c r="AG417" s="8" t="s">
        <v>2370</v>
      </c>
      <c r="AH417" s="8" t="s">
        <v>1</v>
      </c>
      <c r="AI417" s="8">
        <v>44152000</v>
      </c>
      <c r="AJ417" s="8" t="s">
        <v>60</v>
      </c>
      <c r="AK417" s="8">
        <v>1</v>
      </c>
      <c r="AL417" s="8">
        <v>0</v>
      </c>
      <c r="AM417" s="8" t="s">
        <v>1905</v>
      </c>
    </row>
    <row r="418" spans="7:39" ht="12.75" customHeight="1">
      <c r="G418" s="344"/>
      <c r="H418" s="6" t="s">
        <v>2984</v>
      </c>
      <c r="I418" s="8" t="s">
        <v>117</v>
      </c>
      <c r="J418" s="8" t="s">
        <v>113</v>
      </c>
      <c r="K418" s="8" t="s">
        <v>3034</v>
      </c>
      <c r="L418" s="8" t="s">
        <v>114</v>
      </c>
      <c r="M418" s="8" t="s">
        <v>3035</v>
      </c>
      <c r="N418" s="7">
        <v>46303</v>
      </c>
      <c r="O418" s="8" t="s">
        <v>4</v>
      </c>
      <c r="P418" s="8" t="s">
        <v>115</v>
      </c>
      <c r="Q418" s="8" t="s">
        <v>115</v>
      </c>
      <c r="R418" s="8" t="s">
        <v>4</v>
      </c>
      <c r="S418" s="8" t="s">
        <v>2128</v>
      </c>
      <c r="T418" s="9">
        <v>100</v>
      </c>
      <c r="U418" s="9">
        <v>76500</v>
      </c>
      <c r="V418" s="8" t="s">
        <v>2128</v>
      </c>
      <c r="W418" s="8">
        <v>0</v>
      </c>
      <c r="X418" s="8">
        <v>2.5</v>
      </c>
      <c r="Y418" s="8">
        <v>1912.5</v>
      </c>
      <c r="Z418" s="8">
        <v>2.5</v>
      </c>
      <c r="AA418" s="8">
        <v>1912.5</v>
      </c>
      <c r="AB418" s="8">
        <v>0</v>
      </c>
      <c r="AC418" s="8">
        <v>0</v>
      </c>
      <c r="AD418" s="8">
        <v>0</v>
      </c>
      <c r="AE418" s="8">
        <v>3825</v>
      </c>
      <c r="AF418" s="8">
        <v>0</v>
      </c>
      <c r="AG418" s="8" t="s">
        <v>2370</v>
      </c>
      <c r="AH418" s="8" t="s">
        <v>1</v>
      </c>
      <c r="AI418" s="8">
        <v>44152000</v>
      </c>
      <c r="AJ418" s="8" t="s">
        <v>60</v>
      </c>
      <c r="AK418" s="8">
        <v>1</v>
      </c>
      <c r="AL418" s="8">
        <v>0</v>
      </c>
      <c r="AM418" s="8" t="s">
        <v>1905</v>
      </c>
    </row>
    <row r="419" spans="7:39" ht="12.75" customHeight="1">
      <c r="G419" s="344"/>
      <c r="H419" s="6" t="s">
        <v>2984</v>
      </c>
      <c r="I419" s="8" t="s">
        <v>2977</v>
      </c>
      <c r="J419" s="8" t="s">
        <v>96</v>
      </c>
      <c r="K419" s="8" t="s">
        <v>3037</v>
      </c>
      <c r="L419" s="8" t="s">
        <v>97</v>
      </c>
      <c r="M419" s="8">
        <v>3922</v>
      </c>
      <c r="N419" s="7" t="s">
        <v>2948</v>
      </c>
      <c r="O419" s="8" t="s">
        <v>2379</v>
      </c>
      <c r="P419" s="8" t="s">
        <v>2380</v>
      </c>
      <c r="Q419" s="8" t="s">
        <v>68</v>
      </c>
      <c r="R419" s="8" t="s">
        <v>69</v>
      </c>
      <c r="S419" s="8" t="s">
        <v>3038</v>
      </c>
      <c r="T419" s="9">
        <v>20</v>
      </c>
      <c r="U419" s="9">
        <v>1800</v>
      </c>
      <c r="V419" s="8" t="s">
        <v>3038</v>
      </c>
      <c r="W419" s="8">
        <v>2124</v>
      </c>
      <c r="X419" s="8">
        <v>9</v>
      </c>
      <c r="Y419" s="8">
        <v>162</v>
      </c>
      <c r="Z419" s="8">
        <v>9</v>
      </c>
      <c r="AA419" s="8">
        <v>162</v>
      </c>
      <c r="AB419" s="8">
        <v>0</v>
      </c>
      <c r="AC419" s="8">
        <v>0</v>
      </c>
      <c r="AD419" s="8">
        <v>0</v>
      </c>
      <c r="AE419" s="8">
        <v>324</v>
      </c>
      <c r="AF419" s="8">
        <v>0</v>
      </c>
      <c r="AG419" s="8" t="s">
        <v>2980</v>
      </c>
      <c r="AH419" s="8" t="s">
        <v>1</v>
      </c>
      <c r="AI419" s="8">
        <v>49011010</v>
      </c>
      <c r="AJ419" s="8" t="s">
        <v>60</v>
      </c>
      <c r="AK419" s="8">
        <v>1</v>
      </c>
      <c r="AL419" s="8">
        <v>0</v>
      </c>
      <c r="AM419" s="8" t="s">
        <v>1905</v>
      </c>
    </row>
    <row r="420" spans="7:39" ht="12.75" customHeight="1">
      <c r="G420" s="344"/>
      <c r="H420" s="6" t="s">
        <v>3039</v>
      </c>
      <c r="I420" s="8" t="s">
        <v>2192</v>
      </c>
      <c r="J420" s="8" t="s">
        <v>96</v>
      </c>
      <c r="K420" s="8" t="s">
        <v>3040</v>
      </c>
      <c r="L420" s="8" t="s">
        <v>97</v>
      </c>
      <c r="M420" s="8" t="s">
        <v>3041</v>
      </c>
      <c r="N420" s="7" t="s">
        <v>2984</v>
      </c>
      <c r="O420" s="8" t="s">
        <v>2</v>
      </c>
      <c r="P420" s="8" t="s">
        <v>1662</v>
      </c>
      <c r="Q420" s="8" t="s">
        <v>68</v>
      </c>
      <c r="R420" s="8" t="s">
        <v>69</v>
      </c>
      <c r="S420" s="8" t="s">
        <v>3042</v>
      </c>
      <c r="T420" s="9">
        <v>3</v>
      </c>
      <c r="U420" s="9">
        <v>52164</v>
      </c>
      <c r="V420" s="8" t="s">
        <v>3042</v>
      </c>
      <c r="W420" s="8">
        <v>54825</v>
      </c>
      <c r="X420" s="8">
        <v>2.5</v>
      </c>
      <c r="Y420" s="8">
        <v>1304.0999999999999</v>
      </c>
      <c r="Z420" s="8">
        <v>2.5</v>
      </c>
      <c r="AA420" s="8">
        <v>1304.0999999999999</v>
      </c>
      <c r="AB420" s="8">
        <v>0</v>
      </c>
      <c r="AC420" s="8">
        <v>0</v>
      </c>
      <c r="AD420" s="8">
        <v>2.5</v>
      </c>
      <c r="AE420" s="8">
        <v>2610.6999999999998</v>
      </c>
      <c r="AF420" s="8">
        <v>0</v>
      </c>
      <c r="AG420" s="8" t="s">
        <v>2327</v>
      </c>
      <c r="AH420" s="8" t="s">
        <v>1</v>
      </c>
      <c r="AI420" s="8">
        <v>84529099</v>
      </c>
      <c r="AJ420" s="8" t="s">
        <v>60</v>
      </c>
      <c r="AK420" s="8">
        <v>1</v>
      </c>
      <c r="AL420" s="8">
        <v>0</v>
      </c>
      <c r="AM420" s="8" t="s">
        <v>1905</v>
      </c>
    </row>
    <row r="421" spans="7:39" ht="12.75" customHeight="1">
      <c r="G421" s="344"/>
      <c r="H421" s="6" t="s">
        <v>3039</v>
      </c>
      <c r="I421" s="8" t="s">
        <v>2190</v>
      </c>
      <c r="J421" s="8" t="s">
        <v>96</v>
      </c>
      <c r="K421" s="8" t="s">
        <v>3043</v>
      </c>
      <c r="L421" s="8" t="s">
        <v>114</v>
      </c>
      <c r="M421" s="8" t="s">
        <v>3044</v>
      </c>
      <c r="N421" s="7">
        <v>46089</v>
      </c>
      <c r="O421" s="8" t="s">
        <v>4</v>
      </c>
      <c r="P421" s="8" t="s">
        <v>3045</v>
      </c>
      <c r="Q421" s="8" t="s">
        <v>4</v>
      </c>
      <c r="R421" s="8" t="s">
        <v>4</v>
      </c>
      <c r="S421" s="8" t="s">
        <v>3046</v>
      </c>
      <c r="T421" s="9">
        <v>1007.85</v>
      </c>
      <c r="U421" s="9">
        <v>149161.79999999999</v>
      </c>
      <c r="V421" s="8" t="s">
        <v>3046</v>
      </c>
      <c r="W421" s="8">
        <v>179197</v>
      </c>
      <c r="X421" s="8">
        <v>9</v>
      </c>
      <c r="Y421" s="8">
        <v>13424.56</v>
      </c>
      <c r="Z421" s="8">
        <v>9</v>
      </c>
      <c r="AA421" s="8">
        <v>13424.56</v>
      </c>
      <c r="AB421" s="8">
        <v>0</v>
      </c>
      <c r="AC421" s="8">
        <v>0</v>
      </c>
      <c r="AD421" s="8">
        <v>486</v>
      </c>
      <c r="AE421" s="8">
        <v>27335.119999999999</v>
      </c>
      <c r="AF421" s="8">
        <v>0</v>
      </c>
      <c r="AG421" s="8" t="s">
        <v>2680</v>
      </c>
      <c r="AH421" s="8" t="s">
        <v>11</v>
      </c>
      <c r="AI421" s="8">
        <v>39201019</v>
      </c>
      <c r="AJ421" s="8" t="s">
        <v>60</v>
      </c>
      <c r="AK421" s="8">
        <v>1</v>
      </c>
      <c r="AL421" s="8">
        <v>0</v>
      </c>
      <c r="AM421" s="8" t="s">
        <v>1905</v>
      </c>
    </row>
    <row r="422" spans="7:39" ht="12.75" customHeight="1">
      <c r="G422" s="344"/>
      <c r="H422" s="6" t="s">
        <v>3039</v>
      </c>
      <c r="I422" s="8" t="s">
        <v>2328</v>
      </c>
      <c r="J422" s="8" t="s">
        <v>96</v>
      </c>
      <c r="K422" s="8" t="s">
        <v>3047</v>
      </c>
      <c r="L422" s="8" t="s">
        <v>97</v>
      </c>
      <c r="M422" s="8">
        <v>1350</v>
      </c>
      <c r="N422" s="7" t="s">
        <v>3039</v>
      </c>
      <c r="O422" s="8" t="s">
        <v>5</v>
      </c>
      <c r="P422" s="8" t="s">
        <v>111</v>
      </c>
      <c r="Q422" s="8" t="s">
        <v>68</v>
      </c>
      <c r="R422" s="8" t="s">
        <v>69</v>
      </c>
      <c r="S422" s="8" t="s">
        <v>2329</v>
      </c>
      <c r="T422" s="9">
        <v>600</v>
      </c>
      <c r="U422" s="9">
        <v>9600</v>
      </c>
      <c r="V422" s="8" t="s">
        <v>2329</v>
      </c>
      <c r="W422" s="8">
        <v>10080</v>
      </c>
      <c r="X422" s="8">
        <v>2.5</v>
      </c>
      <c r="Y422" s="8">
        <v>240</v>
      </c>
      <c r="Z422" s="8">
        <v>2.5</v>
      </c>
      <c r="AA422" s="8">
        <v>240</v>
      </c>
      <c r="AB422" s="8">
        <v>0</v>
      </c>
      <c r="AC422" s="8">
        <v>0</v>
      </c>
      <c r="AD422" s="8">
        <v>0</v>
      </c>
      <c r="AE422" s="8">
        <v>480</v>
      </c>
      <c r="AF422" s="8">
        <v>0</v>
      </c>
      <c r="AG422" s="8" t="s">
        <v>2330</v>
      </c>
      <c r="AH422" s="8" t="s">
        <v>11</v>
      </c>
      <c r="AI422" s="8">
        <v>631090</v>
      </c>
      <c r="AJ422" s="8" t="s">
        <v>60</v>
      </c>
      <c r="AK422" s="8">
        <v>1</v>
      </c>
      <c r="AL422" s="8">
        <v>0</v>
      </c>
      <c r="AM422" s="8" t="s">
        <v>1905</v>
      </c>
    </row>
    <row r="423" spans="7:39" ht="12.75" customHeight="1">
      <c r="G423" s="344"/>
      <c r="H423" s="6" t="s">
        <v>3039</v>
      </c>
      <c r="I423" s="8" t="s">
        <v>2225</v>
      </c>
      <c r="J423" s="8" t="s">
        <v>96</v>
      </c>
      <c r="K423" s="8" t="s">
        <v>3048</v>
      </c>
      <c r="L423" s="8" t="s">
        <v>97</v>
      </c>
      <c r="M423" s="8" t="s">
        <v>3049</v>
      </c>
      <c r="N423" s="7" t="s">
        <v>2984</v>
      </c>
      <c r="O423" s="8" t="s">
        <v>2</v>
      </c>
      <c r="P423" s="8" t="s">
        <v>2331</v>
      </c>
      <c r="Q423" s="8" t="s">
        <v>68</v>
      </c>
      <c r="R423" s="8" t="s">
        <v>69</v>
      </c>
      <c r="S423" s="8" t="s">
        <v>3050</v>
      </c>
      <c r="T423" s="9">
        <v>50</v>
      </c>
      <c r="U423" s="9">
        <v>4250</v>
      </c>
      <c r="V423" s="8" t="s">
        <v>3050</v>
      </c>
      <c r="W423" s="8">
        <v>5192</v>
      </c>
      <c r="X423" s="8">
        <v>9</v>
      </c>
      <c r="Y423" s="8">
        <v>382.5</v>
      </c>
      <c r="Z423" s="8">
        <v>9</v>
      </c>
      <c r="AA423" s="8">
        <v>382.5</v>
      </c>
      <c r="AB423" s="8">
        <v>0</v>
      </c>
      <c r="AC423" s="8">
        <v>0</v>
      </c>
      <c r="AD423" s="8">
        <v>27</v>
      </c>
      <c r="AE423" s="8">
        <v>792</v>
      </c>
      <c r="AF423" s="8">
        <v>0</v>
      </c>
      <c r="AG423" s="8" t="s">
        <v>3051</v>
      </c>
      <c r="AH423" s="8" t="s">
        <v>7</v>
      </c>
      <c r="AI423" s="8">
        <v>84821011</v>
      </c>
      <c r="AJ423" s="8" t="s">
        <v>60</v>
      </c>
      <c r="AK423" s="8">
        <v>1</v>
      </c>
      <c r="AL423" s="8">
        <v>0</v>
      </c>
      <c r="AM423" s="8" t="s">
        <v>1905</v>
      </c>
    </row>
    <row r="424" spans="7:39" ht="12.75" customHeight="1">
      <c r="G424" s="344"/>
      <c r="H424" s="6" t="s">
        <v>3039</v>
      </c>
      <c r="I424" s="8" t="s">
        <v>87</v>
      </c>
      <c r="J424" s="8" t="s">
        <v>96</v>
      </c>
      <c r="K424" s="8" t="s">
        <v>3052</v>
      </c>
      <c r="L424" s="8" t="s">
        <v>97</v>
      </c>
      <c r="M424" s="8" t="s">
        <v>3053</v>
      </c>
      <c r="N424" s="8" t="s">
        <v>3039</v>
      </c>
      <c r="O424" s="8" t="s">
        <v>2</v>
      </c>
      <c r="P424" s="8" t="s">
        <v>67</v>
      </c>
      <c r="Q424" s="8" t="s">
        <v>68</v>
      </c>
      <c r="R424" s="8" t="s">
        <v>69</v>
      </c>
      <c r="S424" s="8" t="s">
        <v>70</v>
      </c>
      <c r="T424" s="9">
        <v>474</v>
      </c>
      <c r="U424" s="9">
        <v>22752</v>
      </c>
      <c r="V424" s="8" t="s">
        <v>70</v>
      </c>
      <c r="W424" s="8">
        <v>26824.61</v>
      </c>
      <c r="X424" s="8">
        <v>9</v>
      </c>
      <c r="Y424" s="8">
        <v>2047.68</v>
      </c>
      <c r="Z424" s="8">
        <v>9</v>
      </c>
      <c r="AA424" s="8">
        <v>2047.68</v>
      </c>
      <c r="AB424" s="8">
        <v>0</v>
      </c>
      <c r="AC424" s="8">
        <v>0</v>
      </c>
      <c r="AD424" s="8">
        <v>0</v>
      </c>
      <c r="AE424" s="8">
        <v>4095.36</v>
      </c>
      <c r="AF424" s="8">
        <v>0</v>
      </c>
      <c r="AG424" s="8" t="s">
        <v>65</v>
      </c>
      <c r="AH424" s="8" t="s">
        <v>11</v>
      </c>
      <c r="AI424" s="8">
        <v>73063090</v>
      </c>
      <c r="AJ424" s="8" t="s">
        <v>60</v>
      </c>
      <c r="AK424" s="8">
        <v>1</v>
      </c>
      <c r="AL424" s="8">
        <v>0</v>
      </c>
      <c r="AM424" s="8" t="s">
        <v>1905</v>
      </c>
    </row>
    <row r="425" spans="7:39" ht="12.75" customHeight="1">
      <c r="G425" s="344"/>
      <c r="H425" s="6" t="s">
        <v>3039</v>
      </c>
      <c r="I425" s="8" t="s">
        <v>87</v>
      </c>
      <c r="J425" s="8" t="s">
        <v>91</v>
      </c>
      <c r="K425" s="8" t="s">
        <v>3054</v>
      </c>
      <c r="L425" s="8" t="s">
        <v>98</v>
      </c>
      <c r="M425" s="8" t="s">
        <v>3055</v>
      </c>
      <c r="N425" s="8" t="s">
        <v>3039</v>
      </c>
      <c r="O425" s="8" t="s">
        <v>13</v>
      </c>
      <c r="P425" s="8" t="s">
        <v>62</v>
      </c>
      <c r="Q425" s="8" t="s">
        <v>76</v>
      </c>
      <c r="R425" s="8" t="s">
        <v>77</v>
      </c>
      <c r="S425" s="8" t="s">
        <v>21</v>
      </c>
      <c r="T425" s="9">
        <v>1482</v>
      </c>
      <c r="U425" s="9">
        <v>221292.24</v>
      </c>
      <c r="V425" s="8" t="s">
        <v>21</v>
      </c>
      <c r="W425" s="8">
        <v>2818775.22</v>
      </c>
      <c r="X425" s="8">
        <v>9</v>
      </c>
      <c r="Y425" s="8">
        <v>19916.3</v>
      </c>
      <c r="Z425" s="8">
        <v>9</v>
      </c>
      <c r="AA425" s="8">
        <v>19916.3</v>
      </c>
      <c r="AB425" s="8">
        <v>0</v>
      </c>
      <c r="AC425" s="8">
        <v>0</v>
      </c>
      <c r="AD425" s="8">
        <v>0</v>
      </c>
      <c r="AE425" s="8">
        <v>39832.6</v>
      </c>
      <c r="AF425" s="8">
        <v>0</v>
      </c>
      <c r="AG425" s="8" t="s">
        <v>65</v>
      </c>
      <c r="AH425" s="8" t="s">
        <v>11</v>
      </c>
      <c r="AI425" s="8">
        <v>63053300</v>
      </c>
      <c r="AJ425" s="8" t="s">
        <v>60</v>
      </c>
      <c r="AK425" s="8">
        <v>1</v>
      </c>
      <c r="AL425" s="8">
        <v>0</v>
      </c>
      <c r="AM425" s="8" t="s">
        <v>1905</v>
      </c>
    </row>
    <row r="426" spans="7:39" ht="12.75" customHeight="1">
      <c r="G426" s="344"/>
      <c r="H426" s="6" t="s">
        <v>3039</v>
      </c>
      <c r="I426" s="8" t="s">
        <v>87</v>
      </c>
      <c r="J426" s="8" t="s">
        <v>91</v>
      </c>
      <c r="K426" s="8" t="s">
        <v>3054</v>
      </c>
      <c r="L426" s="8" t="s">
        <v>98</v>
      </c>
      <c r="M426" s="8" t="s">
        <v>3055</v>
      </c>
      <c r="N426" s="8" t="s">
        <v>3039</v>
      </c>
      <c r="O426" s="8" t="s">
        <v>13</v>
      </c>
      <c r="P426" s="8" t="s">
        <v>24</v>
      </c>
      <c r="Q426" s="8" t="s">
        <v>79</v>
      </c>
      <c r="R426" s="8" t="s">
        <v>79</v>
      </c>
      <c r="S426" s="8" t="s">
        <v>24</v>
      </c>
      <c r="T426" s="9">
        <v>2.4</v>
      </c>
      <c r="U426" s="9">
        <v>403.97</v>
      </c>
      <c r="V426" s="8" t="s">
        <v>24</v>
      </c>
      <c r="W426" s="8">
        <v>0</v>
      </c>
      <c r="X426" s="8">
        <v>9</v>
      </c>
      <c r="Y426" s="8">
        <v>36.36</v>
      </c>
      <c r="Z426" s="8">
        <v>9</v>
      </c>
      <c r="AA426" s="8">
        <v>36.36</v>
      </c>
      <c r="AB426" s="8">
        <v>0</v>
      </c>
      <c r="AC426" s="8">
        <v>0</v>
      </c>
      <c r="AD426" s="8">
        <v>0</v>
      </c>
      <c r="AE426" s="8">
        <v>72.72</v>
      </c>
      <c r="AF426" s="8">
        <v>0</v>
      </c>
      <c r="AG426" s="8" t="s">
        <v>65</v>
      </c>
      <c r="AH426" s="8" t="s">
        <v>11</v>
      </c>
      <c r="AI426" s="8">
        <v>3926908</v>
      </c>
      <c r="AJ426" s="8" t="s">
        <v>60</v>
      </c>
      <c r="AK426" s="8">
        <v>1</v>
      </c>
      <c r="AL426" s="8">
        <v>0</v>
      </c>
      <c r="AM426" s="8" t="s">
        <v>1905</v>
      </c>
    </row>
    <row r="427" spans="7:39" ht="12.75" customHeight="1">
      <c r="G427" s="344"/>
      <c r="H427" s="6" t="s">
        <v>3039</v>
      </c>
      <c r="I427" s="8" t="s">
        <v>87</v>
      </c>
      <c r="J427" s="8" t="s">
        <v>91</v>
      </c>
      <c r="K427" s="8" t="s">
        <v>3054</v>
      </c>
      <c r="L427" s="8" t="s">
        <v>98</v>
      </c>
      <c r="M427" s="8" t="s">
        <v>3055</v>
      </c>
      <c r="N427" s="8" t="s">
        <v>3039</v>
      </c>
      <c r="O427" s="8" t="s">
        <v>13</v>
      </c>
      <c r="P427" s="8" t="s">
        <v>62</v>
      </c>
      <c r="Q427" s="8" t="s">
        <v>63</v>
      </c>
      <c r="R427" s="8" t="s">
        <v>64</v>
      </c>
      <c r="S427" s="8" t="s">
        <v>19</v>
      </c>
      <c r="T427" s="9">
        <v>1306</v>
      </c>
      <c r="U427" s="9">
        <v>189787.92</v>
      </c>
      <c r="V427" s="8" t="s">
        <v>19</v>
      </c>
      <c r="W427" s="8">
        <v>0</v>
      </c>
      <c r="X427" s="8">
        <v>9</v>
      </c>
      <c r="Y427" s="8">
        <v>17080.91</v>
      </c>
      <c r="Z427" s="8">
        <v>9</v>
      </c>
      <c r="AA427" s="8">
        <v>17080.91</v>
      </c>
      <c r="AB427" s="8">
        <v>0</v>
      </c>
      <c r="AC427" s="8">
        <v>0</v>
      </c>
      <c r="AD427" s="8">
        <v>0</v>
      </c>
      <c r="AE427" s="8">
        <v>34161.82</v>
      </c>
      <c r="AF427" s="8">
        <v>0</v>
      </c>
      <c r="AG427" s="8" t="s">
        <v>65</v>
      </c>
      <c r="AH427" s="8" t="s">
        <v>11</v>
      </c>
      <c r="AI427" s="8">
        <v>39269080</v>
      </c>
      <c r="AJ427" s="8" t="s">
        <v>60</v>
      </c>
      <c r="AK427" s="8">
        <v>1</v>
      </c>
      <c r="AL427" s="8">
        <v>0</v>
      </c>
      <c r="AM427" s="8" t="s">
        <v>1905</v>
      </c>
    </row>
    <row r="428" spans="7:39" ht="12.75" customHeight="1">
      <c r="G428" s="344"/>
      <c r="H428" s="6" t="s">
        <v>3039</v>
      </c>
      <c r="I428" s="8" t="s">
        <v>87</v>
      </c>
      <c r="J428" s="8" t="s">
        <v>91</v>
      </c>
      <c r="K428" s="8" t="s">
        <v>3054</v>
      </c>
      <c r="L428" s="8" t="s">
        <v>98</v>
      </c>
      <c r="M428" s="8" t="s">
        <v>3055</v>
      </c>
      <c r="N428" s="8" t="s">
        <v>3039</v>
      </c>
      <c r="O428" s="8" t="s">
        <v>13</v>
      </c>
      <c r="P428" s="8" t="s">
        <v>62</v>
      </c>
      <c r="Q428" s="8" t="s">
        <v>63</v>
      </c>
      <c r="R428" s="8" t="s">
        <v>64</v>
      </c>
      <c r="S428" s="8" t="s">
        <v>19</v>
      </c>
      <c r="T428" s="9">
        <v>10092</v>
      </c>
      <c r="U428" s="9">
        <v>1436293.44</v>
      </c>
      <c r="V428" s="8" t="s">
        <v>19</v>
      </c>
      <c r="W428" s="8">
        <v>0</v>
      </c>
      <c r="X428" s="8">
        <v>9</v>
      </c>
      <c r="Y428" s="8">
        <v>129266.41</v>
      </c>
      <c r="Z428" s="8">
        <v>9</v>
      </c>
      <c r="AA428" s="8">
        <v>129266.41</v>
      </c>
      <c r="AB428" s="8">
        <v>0</v>
      </c>
      <c r="AC428" s="8">
        <v>0</v>
      </c>
      <c r="AD428" s="8">
        <v>0</v>
      </c>
      <c r="AE428" s="8">
        <v>258532.82</v>
      </c>
      <c r="AF428" s="8">
        <v>0</v>
      </c>
      <c r="AG428" s="8" t="s">
        <v>65</v>
      </c>
      <c r="AH428" s="8" t="s">
        <v>11</v>
      </c>
      <c r="AI428" s="8">
        <v>39269080</v>
      </c>
      <c r="AJ428" s="8" t="s">
        <v>60</v>
      </c>
      <c r="AK428" s="8">
        <v>1</v>
      </c>
      <c r="AL428" s="8">
        <v>0</v>
      </c>
      <c r="AM428" s="8" t="s">
        <v>1905</v>
      </c>
    </row>
    <row r="429" spans="7:39" ht="12.75" customHeight="1">
      <c r="G429" s="344"/>
      <c r="H429" s="6" t="s">
        <v>3039</v>
      </c>
      <c r="I429" s="8" t="s">
        <v>87</v>
      </c>
      <c r="J429" s="8" t="s">
        <v>91</v>
      </c>
      <c r="K429" s="8" t="s">
        <v>3054</v>
      </c>
      <c r="L429" s="8" t="s">
        <v>98</v>
      </c>
      <c r="M429" s="8" t="s">
        <v>3055</v>
      </c>
      <c r="N429" s="8" t="s">
        <v>3039</v>
      </c>
      <c r="O429" s="8" t="s">
        <v>13</v>
      </c>
      <c r="P429" s="8" t="s">
        <v>62</v>
      </c>
      <c r="Q429" s="8" t="s">
        <v>63</v>
      </c>
      <c r="R429" s="8" t="s">
        <v>64</v>
      </c>
      <c r="S429" s="8" t="s">
        <v>19</v>
      </c>
      <c r="T429" s="9">
        <v>1287</v>
      </c>
      <c r="U429" s="9">
        <v>185739.84</v>
      </c>
      <c r="V429" s="8" t="s">
        <v>19</v>
      </c>
      <c r="W429" s="8">
        <v>0</v>
      </c>
      <c r="X429" s="8">
        <v>9</v>
      </c>
      <c r="Y429" s="8">
        <v>16716.59</v>
      </c>
      <c r="Z429" s="8">
        <v>9</v>
      </c>
      <c r="AA429" s="8">
        <v>16716.59</v>
      </c>
      <c r="AB429" s="8">
        <v>0</v>
      </c>
      <c r="AC429" s="8">
        <v>0</v>
      </c>
      <c r="AD429" s="8">
        <v>0</v>
      </c>
      <c r="AE429" s="8">
        <v>33433.18</v>
      </c>
      <c r="AF429" s="8">
        <v>0</v>
      </c>
      <c r="AG429" s="8" t="s">
        <v>65</v>
      </c>
      <c r="AH429" s="8" t="s">
        <v>11</v>
      </c>
      <c r="AI429" s="8">
        <v>39269080</v>
      </c>
      <c r="AJ429" s="8" t="s">
        <v>60</v>
      </c>
      <c r="AK429" s="8">
        <v>1</v>
      </c>
      <c r="AL429" s="8">
        <v>0</v>
      </c>
      <c r="AM429" s="8" t="s">
        <v>1905</v>
      </c>
    </row>
    <row r="430" spans="7:39" ht="12.75" customHeight="1">
      <c r="G430" s="344"/>
      <c r="H430" s="6" t="s">
        <v>3039</v>
      </c>
      <c r="I430" s="8" t="s">
        <v>87</v>
      </c>
      <c r="J430" s="8" t="s">
        <v>91</v>
      </c>
      <c r="K430" s="8" t="s">
        <v>3054</v>
      </c>
      <c r="L430" s="8" t="s">
        <v>98</v>
      </c>
      <c r="M430" s="8" t="s">
        <v>3055</v>
      </c>
      <c r="N430" s="8" t="s">
        <v>3039</v>
      </c>
      <c r="O430" s="8" t="s">
        <v>13</v>
      </c>
      <c r="P430" s="8" t="s">
        <v>24</v>
      </c>
      <c r="Q430" s="8" t="s">
        <v>79</v>
      </c>
      <c r="R430" s="8" t="s">
        <v>79</v>
      </c>
      <c r="S430" s="8" t="s">
        <v>24</v>
      </c>
      <c r="T430" s="9">
        <v>18.2</v>
      </c>
      <c r="U430" s="9">
        <v>3008.82</v>
      </c>
      <c r="V430" s="8" t="s">
        <v>24</v>
      </c>
      <c r="W430" s="8">
        <v>0</v>
      </c>
      <c r="X430" s="8">
        <v>9</v>
      </c>
      <c r="Y430" s="8">
        <v>270.79000000000002</v>
      </c>
      <c r="Z430" s="8">
        <v>9</v>
      </c>
      <c r="AA430" s="8">
        <v>270.79000000000002</v>
      </c>
      <c r="AB430" s="8">
        <v>0</v>
      </c>
      <c r="AC430" s="8">
        <v>0</v>
      </c>
      <c r="AD430" s="8">
        <v>0</v>
      </c>
      <c r="AE430" s="8">
        <v>541.58000000000004</v>
      </c>
      <c r="AF430" s="8">
        <v>0</v>
      </c>
      <c r="AG430" s="8" t="s">
        <v>65</v>
      </c>
      <c r="AH430" s="8" t="s">
        <v>11</v>
      </c>
      <c r="AI430" s="8">
        <v>3926908</v>
      </c>
      <c r="AJ430" s="8" t="s">
        <v>60</v>
      </c>
      <c r="AK430" s="8">
        <v>1</v>
      </c>
      <c r="AL430" s="8">
        <v>0</v>
      </c>
      <c r="AM430" s="8" t="s">
        <v>1905</v>
      </c>
    </row>
    <row r="431" spans="7:39" ht="12.75" customHeight="1">
      <c r="G431" s="344"/>
      <c r="H431" s="6" t="s">
        <v>3039</v>
      </c>
      <c r="I431" s="8" t="s">
        <v>87</v>
      </c>
      <c r="J431" s="8" t="s">
        <v>91</v>
      </c>
      <c r="K431" s="8" t="s">
        <v>3054</v>
      </c>
      <c r="L431" s="8" t="s">
        <v>98</v>
      </c>
      <c r="M431" s="7" t="s">
        <v>3055</v>
      </c>
      <c r="N431" s="8" t="s">
        <v>3039</v>
      </c>
      <c r="O431" s="8" t="s">
        <v>13</v>
      </c>
      <c r="P431" s="8" t="s">
        <v>24</v>
      </c>
      <c r="Q431" s="8" t="s">
        <v>79</v>
      </c>
      <c r="R431" s="8" t="s">
        <v>79</v>
      </c>
      <c r="S431" s="8" t="s">
        <v>24</v>
      </c>
      <c r="T431" s="9">
        <v>967.9</v>
      </c>
      <c r="U431" s="9">
        <v>142591.03</v>
      </c>
      <c r="V431" s="8" t="s">
        <v>24</v>
      </c>
      <c r="W431" s="8">
        <v>0</v>
      </c>
      <c r="X431" s="8">
        <v>9</v>
      </c>
      <c r="Y431" s="8">
        <v>12833.19</v>
      </c>
      <c r="Z431" s="8">
        <v>9</v>
      </c>
      <c r="AA431" s="8">
        <v>12833.19</v>
      </c>
      <c r="AB431" s="8">
        <v>0</v>
      </c>
      <c r="AC431" s="8">
        <v>0</v>
      </c>
      <c r="AD431" s="8">
        <v>0</v>
      </c>
      <c r="AE431" s="8">
        <v>25666.38</v>
      </c>
      <c r="AF431" s="8">
        <v>0</v>
      </c>
      <c r="AG431" s="8" t="s">
        <v>65</v>
      </c>
      <c r="AH431" s="8" t="s">
        <v>11</v>
      </c>
      <c r="AI431" s="8">
        <v>3926908</v>
      </c>
      <c r="AJ431" s="8" t="s">
        <v>60</v>
      </c>
      <c r="AK431" s="8">
        <v>1</v>
      </c>
      <c r="AL431" s="8">
        <v>0</v>
      </c>
      <c r="AM431" s="8" t="s">
        <v>1905</v>
      </c>
    </row>
    <row r="432" spans="7:39" ht="12.75" customHeight="1">
      <c r="G432" s="344"/>
      <c r="H432" s="6" t="s">
        <v>3039</v>
      </c>
      <c r="I432" s="8" t="s">
        <v>87</v>
      </c>
      <c r="J432" s="8" t="s">
        <v>91</v>
      </c>
      <c r="K432" s="8" t="s">
        <v>3054</v>
      </c>
      <c r="L432" s="8" t="s">
        <v>98</v>
      </c>
      <c r="M432" s="8" t="s">
        <v>3055</v>
      </c>
      <c r="N432" s="8" t="s">
        <v>3039</v>
      </c>
      <c r="O432" s="8" t="s">
        <v>13</v>
      </c>
      <c r="P432" s="8" t="s">
        <v>80</v>
      </c>
      <c r="Q432" s="8" t="s">
        <v>81</v>
      </c>
      <c r="R432" s="8" t="s">
        <v>82</v>
      </c>
      <c r="S432" s="8" t="s">
        <v>17</v>
      </c>
      <c r="T432" s="9">
        <v>1197</v>
      </c>
      <c r="U432" s="9">
        <v>211701.42</v>
      </c>
      <c r="V432" s="8" t="s">
        <v>17</v>
      </c>
      <c r="W432" s="8">
        <v>0</v>
      </c>
      <c r="X432" s="8">
        <v>9</v>
      </c>
      <c r="Y432" s="8">
        <v>19053.13</v>
      </c>
      <c r="Z432" s="8">
        <v>9</v>
      </c>
      <c r="AA432" s="8">
        <v>19053.13</v>
      </c>
      <c r="AB432" s="8">
        <v>0</v>
      </c>
      <c r="AC432" s="8">
        <v>0</v>
      </c>
      <c r="AD432" s="8">
        <v>0</v>
      </c>
      <c r="AE432" s="8">
        <v>38106.26</v>
      </c>
      <c r="AF432" s="8">
        <v>0</v>
      </c>
      <c r="AG432" s="8" t="s">
        <v>65</v>
      </c>
      <c r="AH432" s="8" t="s">
        <v>11</v>
      </c>
      <c r="AI432" s="8">
        <v>39200000</v>
      </c>
      <c r="AJ432" s="8" t="s">
        <v>60</v>
      </c>
      <c r="AK432" s="8">
        <v>1</v>
      </c>
      <c r="AL432" s="8">
        <v>0</v>
      </c>
      <c r="AM432" s="8" t="s">
        <v>1905</v>
      </c>
    </row>
    <row r="433" spans="7:39" ht="12.75" customHeight="1">
      <c r="G433" s="344"/>
      <c r="H433" s="6" t="s">
        <v>3039</v>
      </c>
      <c r="I433" s="8" t="s">
        <v>2389</v>
      </c>
      <c r="J433" s="8" t="s">
        <v>96</v>
      </c>
      <c r="K433" s="8" t="s">
        <v>3056</v>
      </c>
      <c r="L433" s="8" t="s">
        <v>97</v>
      </c>
      <c r="M433" s="8" t="s">
        <v>3057</v>
      </c>
      <c r="N433" s="7" t="s">
        <v>2948</v>
      </c>
      <c r="O433" s="8" t="s">
        <v>2</v>
      </c>
      <c r="P433" s="8" t="s">
        <v>2378</v>
      </c>
      <c r="Q433" s="8" t="s">
        <v>68</v>
      </c>
      <c r="R433" s="8" t="s">
        <v>69</v>
      </c>
      <c r="S433" s="8" t="s">
        <v>2713</v>
      </c>
      <c r="T433" s="9">
        <v>5</v>
      </c>
      <c r="U433" s="9">
        <v>180.4</v>
      </c>
      <c r="V433" s="8" t="s">
        <v>2713</v>
      </c>
      <c r="W433" s="8">
        <v>213</v>
      </c>
      <c r="X433" s="8">
        <v>9</v>
      </c>
      <c r="Y433" s="8">
        <v>16.239999999999998</v>
      </c>
      <c r="Z433" s="8">
        <v>9</v>
      </c>
      <c r="AA433" s="8">
        <v>16.239999999999998</v>
      </c>
      <c r="AB433" s="8">
        <v>0</v>
      </c>
      <c r="AC433" s="8">
        <v>0</v>
      </c>
      <c r="AD433" s="8">
        <v>0</v>
      </c>
      <c r="AE433" s="8">
        <v>32.479999999999997</v>
      </c>
      <c r="AF433" s="8">
        <v>0</v>
      </c>
      <c r="AG433" s="8" t="s">
        <v>2714</v>
      </c>
      <c r="AH433" s="8" t="s">
        <v>1</v>
      </c>
      <c r="AI433" s="8">
        <v>84879000</v>
      </c>
      <c r="AJ433" s="8" t="s">
        <v>60</v>
      </c>
      <c r="AK433" s="8">
        <v>1</v>
      </c>
      <c r="AL433" s="8">
        <v>0</v>
      </c>
      <c r="AM433" s="8" t="s">
        <v>1905</v>
      </c>
    </row>
    <row r="434" spans="7:39" ht="12.75" customHeight="1">
      <c r="G434" s="344"/>
      <c r="H434" s="6" t="s">
        <v>3058</v>
      </c>
      <c r="I434" s="8" t="s">
        <v>2384</v>
      </c>
      <c r="J434" s="8" t="s">
        <v>96</v>
      </c>
      <c r="K434" s="8" t="s">
        <v>3059</v>
      </c>
      <c r="L434" s="8" t="s">
        <v>97</v>
      </c>
      <c r="M434" s="8" t="s">
        <v>3060</v>
      </c>
      <c r="N434" s="7" t="s">
        <v>2984</v>
      </c>
      <c r="O434" s="8" t="s">
        <v>2</v>
      </c>
      <c r="P434" s="8" t="s">
        <v>2718</v>
      </c>
      <c r="Q434" s="8" t="s">
        <v>68</v>
      </c>
      <c r="R434" s="8" t="s">
        <v>69</v>
      </c>
      <c r="S434" s="8" t="s">
        <v>3061</v>
      </c>
      <c r="T434" s="9">
        <v>10</v>
      </c>
      <c r="U434" s="9">
        <v>550</v>
      </c>
      <c r="V434" s="8" t="s">
        <v>3061</v>
      </c>
      <c r="W434" s="8">
        <v>649</v>
      </c>
      <c r="X434" s="8">
        <v>9</v>
      </c>
      <c r="Y434" s="8">
        <v>49.5</v>
      </c>
      <c r="Z434" s="8">
        <v>9</v>
      </c>
      <c r="AA434" s="8">
        <v>49.5</v>
      </c>
      <c r="AB434" s="8">
        <v>0</v>
      </c>
      <c r="AC434" s="8">
        <v>0</v>
      </c>
      <c r="AD434" s="8">
        <v>0</v>
      </c>
      <c r="AE434" s="8">
        <v>99</v>
      </c>
      <c r="AF434" s="8">
        <v>0</v>
      </c>
      <c r="AG434" s="8" t="s">
        <v>2385</v>
      </c>
      <c r="AH434" s="8" t="s">
        <v>7</v>
      </c>
      <c r="AI434" s="8">
        <v>853650</v>
      </c>
      <c r="AJ434" s="8" t="s">
        <v>60</v>
      </c>
      <c r="AK434" s="8">
        <v>1</v>
      </c>
      <c r="AL434" s="8">
        <v>0</v>
      </c>
      <c r="AM434" s="8" t="s">
        <v>1905</v>
      </c>
    </row>
    <row r="435" spans="7:39" ht="12.75" customHeight="1">
      <c r="G435" s="344"/>
      <c r="H435" s="6" t="s">
        <v>3058</v>
      </c>
      <c r="I435" s="8" t="s">
        <v>2368</v>
      </c>
      <c r="J435" s="8" t="s">
        <v>96</v>
      </c>
      <c r="K435" s="8" t="s">
        <v>3062</v>
      </c>
      <c r="L435" s="8" t="s">
        <v>114</v>
      </c>
      <c r="M435" s="8" t="s">
        <v>3063</v>
      </c>
      <c r="N435" s="7" t="s">
        <v>3039</v>
      </c>
      <c r="O435" s="8" t="s">
        <v>4</v>
      </c>
      <c r="P435" s="8" t="s">
        <v>115</v>
      </c>
      <c r="Q435" s="8" t="s">
        <v>115</v>
      </c>
      <c r="R435" s="8" t="s">
        <v>4</v>
      </c>
      <c r="S435" s="8" t="s">
        <v>629</v>
      </c>
      <c r="T435" s="9">
        <v>100</v>
      </c>
      <c r="U435" s="9">
        <v>77500</v>
      </c>
      <c r="V435" s="8" t="s">
        <v>629</v>
      </c>
      <c r="W435" s="8">
        <v>118125</v>
      </c>
      <c r="X435" s="8">
        <v>2.5</v>
      </c>
      <c r="Y435" s="8">
        <v>1937.5</v>
      </c>
      <c r="Z435" s="8">
        <v>2.5</v>
      </c>
      <c r="AA435" s="8">
        <v>1937.5</v>
      </c>
      <c r="AB435" s="8">
        <v>0</v>
      </c>
      <c r="AC435" s="8">
        <v>0</v>
      </c>
      <c r="AD435" s="8">
        <v>0</v>
      </c>
      <c r="AE435" s="8">
        <v>3875</v>
      </c>
      <c r="AF435" s="8">
        <v>0</v>
      </c>
      <c r="AG435" s="8" t="s">
        <v>2369</v>
      </c>
      <c r="AH435" s="8" t="s">
        <v>1</v>
      </c>
      <c r="AI435" s="8">
        <v>44152000</v>
      </c>
      <c r="AJ435" s="8" t="s">
        <v>60</v>
      </c>
      <c r="AK435" s="8">
        <v>1</v>
      </c>
      <c r="AL435" s="8">
        <v>0</v>
      </c>
      <c r="AM435" s="8" t="s">
        <v>1905</v>
      </c>
    </row>
    <row r="436" spans="7:39" ht="12.75" customHeight="1">
      <c r="G436" s="344"/>
      <c r="H436" s="6" t="s">
        <v>3058</v>
      </c>
      <c r="I436" s="8" t="s">
        <v>2368</v>
      </c>
      <c r="J436" s="8" t="s">
        <v>96</v>
      </c>
      <c r="K436" s="8" t="s">
        <v>3062</v>
      </c>
      <c r="L436" s="8" t="s">
        <v>114</v>
      </c>
      <c r="M436" s="8" t="s">
        <v>3063</v>
      </c>
      <c r="N436" s="7" t="s">
        <v>3039</v>
      </c>
      <c r="O436" s="8" t="s">
        <v>4</v>
      </c>
      <c r="P436" s="8" t="s">
        <v>115</v>
      </c>
      <c r="Q436" s="8" t="s">
        <v>115</v>
      </c>
      <c r="R436" s="8" t="s">
        <v>4</v>
      </c>
      <c r="S436" s="8" t="s">
        <v>2128</v>
      </c>
      <c r="T436" s="9">
        <v>50</v>
      </c>
      <c r="U436" s="9">
        <v>35000</v>
      </c>
      <c r="V436" s="8" t="s">
        <v>2128</v>
      </c>
      <c r="W436" s="8">
        <v>0</v>
      </c>
      <c r="X436" s="8">
        <v>2.5</v>
      </c>
      <c r="Y436" s="8">
        <v>875</v>
      </c>
      <c r="Z436" s="8">
        <v>2.5</v>
      </c>
      <c r="AA436" s="8">
        <v>875</v>
      </c>
      <c r="AB436" s="8">
        <v>0</v>
      </c>
      <c r="AC436" s="8">
        <v>0</v>
      </c>
      <c r="AD436" s="8">
        <v>0</v>
      </c>
      <c r="AE436" s="8">
        <v>1750</v>
      </c>
      <c r="AF436" s="8">
        <v>0</v>
      </c>
      <c r="AG436" s="8" t="s">
        <v>2369</v>
      </c>
      <c r="AH436" s="8" t="s">
        <v>1</v>
      </c>
      <c r="AI436" s="8">
        <v>44152000</v>
      </c>
      <c r="AJ436" s="8" t="s">
        <v>60</v>
      </c>
      <c r="AK436" s="8">
        <v>1</v>
      </c>
      <c r="AL436" s="8">
        <v>0</v>
      </c>
      <c r="AM436" s="8" t="s">
        <v>1905</v>
      </c>
    </row>
    <row r="437" spans="7:39" ht="12.75" customHeight="1">
      <c r="G437" s="344"/>
      <c r="H437" s="6" t="s">
        <v>3058</v>
      </c>
      <c r="I437" s="8" t="s">
        <v>2307</v>
      </c>
      <c r="J437" s="8" t="s">
        <v>96</v>
      </c>
      <c r="K437" s="8" t="s">
        <v>3064</v>
      </c>
      <c r="L437" s="8" t="s">
        <v>97</v>
      </c>
      <c r="M437" s="8">
        <v>2993</v>
      </c>
      <c r="N437" s="7" t="s">
        <v>2984</v>
      </c>
      <c r="O437" s="8" t="s">
        <v>5</v>
      </c>
      <c r="P437" s="8" t="s">
        <v>108</v>
      </c>
      <c r="Q437" s="8" t="s">
        <v>68</v>
      </c>
      <c r="R437" s="8" t="s">
        <v>69</v>
      </c>
      <c r="S437" s="8" t="s">
        <v>3065</v>
      </c>
      <c r="T437" s="9">
        <v>2100</v>
      </c>
      <c r="U437" s="9">
        <v>277200</v>
      </c>
      <c r="V437" s="8" t="s">
        <v>3065</v>
      </c>
      <c r="W437" s="8">
        <v>327096</v>
      </c>
      <c r="X437" s="8">
        <v>9</v>
      </c>
      <c r="Y437" s="8">
        <v>24948</v>
      </c>
      <c r="Z437" s="8">
        <v>9</v>
      </c>
      <c r="AA437" s="8">
        <v>24948</v>
      </c>
      <c r="AB437" s="8">
        <v>0</v>
      </c>
      <c r="AC437" s="8">
        <v>0</v>
      </c>
      <c r="AD437" s="8">
        <v>0</v>
      </c>
      <c r="AE437" s="8">
        <v>49896</v>
      </c>
      <c r="AF437" s="8">
        <v>0</v>
      </c>
      <c r="AG437" s="8" t="s">
        <v>3066</v>
      </c>
      <c r="AH437" s="8" t="s">
        <v>2633</v>
      </c>
      <c r="AI437" s="8">
        <v>27101990</v>
      </c>
      <c r="AJ437" s="8" t="s">
        <v>60</v>
      </c>
      <c r="AK437" s="8">
        <v>1</v>
      </c>
      <c r="AL437" s="8">
        <v>0</v>
      </c>
      <c r="AM437" s="8" t="s">
        <v>1905</v>
      </c>
    </row>
    <row r="438" spans="7:39" ht="12.75" customHeight="1">
      <c r="G438" s="344"/>
      <c r="H438" s="6" t="s">
        <v>3058</v>
      </c>
      <c r="I438" s="8" t="s">
        <v>103</v>
      </c>
      <c r="J438" s="8" t="s">
        <v>88</v>
      </c>
      <c r="K438" s="8" t="s">
        <v>3067</v>
      </c>
      <c r="L438" s="8" t="s">
        <v>2320</v>
      </c>
      <c r="M438" s="8" t="s">
        <v>3068</v>
      </c>
      <c r="N438" s="7" t="s">
        <v>2948</v>
      </c>
      <c r="O438" s="8" t="s">
        <v>13</v>
      </c>
      <c r="P438" s="8" t="s">
        <v>80</v>
      </c>
      <c r="Q438" s="8" t="s">
        <v>81</v>
      </c>
      <c r="R438" s="8" t="s">
        <v>384</v>
      </c>
      <c r="S438" s="8" t="s">
        <v>385</v>
      </c>
      <c r="T438" s="9">
        <v>178</v>
      </c>
      <c r="U438" s="9">
        <v>30429.1</v>
      </c>
      <c r="V438" s="8" t="s">
        <v>385</v>
      </c>
      <c r="W438" s="8">
        <v>30429.1</v>
      </c>
      <c r="X438" s="8">
        <v>0</v>
      </c>
      <c r="Y438" s="8">
        <v>0</v>
      </c>
      <c r="Z438" s="8">
        <v>0</v>
      </c>
      <c r="AA438" s="8">
        <v>0</v>
      </c>
      <c r="AB438" s="8">
        <v>0</v>
      </c>
      <c r="AC438" s="8">
        <v>0</v>
      </c>
      <c r="AD438" s="8">
        <v>0</v>
      </c>
      <c r="AE438" s="8">
        <v>0</v>
      </c>
      <c r="AF438" s="8">
        <v>0</v>
      </c>
      <c r="AG438" s="8" t="s">
        <v>104</v>
      </c>
      <c r="AH438" s="8" t="s">
        <v>11</v>
      </c>
      <c r="AI438" s="8">
        <v>39232100</v>
      </c>
      <c r="AJ438" s="8" t="s">
        <v>60</v>
      </c>
      <c r="AK438" s="8">
        <v>1</v>
      </c>
      <c r="AL438" s="8">
        <v>0</v>
      </c>
      <c r="AM438" s="8" t="s">
        <v>1905</v>
      </c>
    </row>
    <row r="439" spans="7:39" ht="12.75" customHeight="1">
      <c r="G439" s="344"/>
      <c r="H439" s="6" t="s">
        <v>3058</v>
      </c>
      <c r="I439" s="8" t="s">
        <v>87</v>
      </c>
      <c r="J439" s="8" t="s">
        <v>96</v>
      </c>
      <c r="K439" s="8" t="s">
        <v>3069</v>
      </c>
      <c r="L439" s="8" t="s">
        <v>97</v>
      </c>
      <c r="M439" s="8" t="s">
        <v>3070</v>
      </c>
      <c r="N439" s="7" t="s">
        <v>3058</v>
      </c>
      <c r="O439" s="8" t="s">
        <v>2</v>
      </c>
      <c r="P439" s="8" t="s">
        <v>67</v>
      </c>
      <c r="Q439" s="8" t="s">
        <v>68</v>
      </c>
      <c r="R439" s="8" t="s">
        <v>69</v>
      </c>
      <c r="S439" s="8" t="s">
        <v>70</v>
      </c>
      <c r="T439" s="9">
        <v>395</v>
      </c>
      <c r="U439" s="9">
        <v>18960</v>
      </c>
      <c r="V439" s="8" t="s">
        <v>70</v>
      </c>
      <c r="W439" s="8">
        <v>22353.84</v>
      </c>
      <c r="X439" s="8">
        <v>9</v>
      </c>
      <c r="Y439" s="8">
        <v>1706.4</v>
      </c>
      <c r="Z439" s="8">
        <v>9</v>
      </c>
      <c r="AA439" s="8">
        <v>1706.4</v>
      </c>
      <c r="AB439" s="8">
        <v>0</v>
      </c>
      <c r="AC439" s="8">
        <v>0</v>
      </c>
      <c r="AD439" s="8">
        <v>0</v>
      </c>
      <c r="AE439" s="8">
        <v>3412.8</v>
      </c>
      <c r="AF439" s="8">
        <v>0</v>
      </c>
      <c r="AG439" s="8" t="s">
        <v>65</v>
      </c>
      <c r="AH439" s="8" t="s">
        <v>11</v>
      </c>
      <c r="AI439" s="8">
        <v>73063090</v>
      </c>
      <c r="AJ439" s="8" t="s">
        <v>60</v>
      </c>
      <c r="AK439" s="8">
        <v>1</v>
      </c>
      <c r="AL439" s="8">
        <v>0</v>
      </c>
      <c r="AM439" s="8" t="s">
        <v>1905</v>
      </c>
    </row>
    <row r="440" spans="7:39" ht="12.75" customHeight="1">
      <c r="G440" s="344"/>
      <c r="H440" s="6" t="s">
        <v>3058</v>
      </c>
      <c r="I440" s="8" t="s">
        <v>87</v>
      </c>
      <c r="J440" s="8" t="s">
        <v>91</v>
      </c>
      <c r="K440" s="8" t="s">
        <v>3071</v>
      </c>
      <c r="L440" s="8" t="s">
        <v>98</v>
      </c>
      <c r="M440" s="8" t="s">
        <v>3072</v>
      </c>
      <c r="N440" s="7" t="s">
        <v>3058</v>
      </c>
      <c r="O440" s="8" t="s">
        <v>13</v>
      </c>
      <c r="P440" s="8" t="s">
        <v>62</v>
      </c>
      <c r="Q440" s="8" t="s">
        <v>63</v>
      </c>
      <c r="R440" s="8" t="s">
        <v>64</v>
      </c>
      <c r="S440" s="344" t="s">
        <v>19</v>
      </c>
      <c r="T440" s="9">
        <v>1255</v>
      </c>
      <c r="U440" s="9">
        <v>181121.6</v>
      </c>
      <c r="V440" s="8" t="s">
        <v>19</v>
      </c>
      <c r="W440" s="8">
        <v>2014856.13</v>
      </c>
      <c r="X440" s="8">
        <v>9</v>
      </c>
      <c r="Y440" s="8">
        <v>16300.94</v>
      </c>
      <c r="Z440" s="8">
        <v>9</v>
      </c>
      <c r="AA440" s="8">
        <v>16300.94</v>
      </c>
      <c r="AB440" s="8">
        <v>0</v>
      </c>
      <c r="AC440" s="8">
        <v>0</v>
      </c>
      <c r="AD440" s="8">
        <v>0</v>
      </c>
      <c r="AE440" s="8">
        <v>32601.88</v>
      </c>
      <c r="AF440" s="8">
        <v>0</v>
      </c>
      <c r="AG440" s="8" t="s">
        <v>65</v>
      </c>
      <c r="AH440" s="8" t="s">
        <v>11</v>
      </c>
      <c r="AI440" s="8">
        <v>39269080</v>
      </c>
      <c r="AJ440" s="8" t="s">
        <v>60</v>
      </c>
      <c r="AK440" s="8">
        <v>1</v>
      </c>
      <c r="AL440" s="8">
        <v>0</v>
      </c>
      <c r="AM440" s="8" t="s">
        <v>1905</v>
      </c>
    </row>
    <row r="441" spans="7:39" ht="12.75" customHeight="1">
      <c r="G441" s="344"/>
      <c r="H441" s="6" t="s">
        <v>3058</v>
      </c>
      <c r="I441" s="8" t="s">
        <v>87</v>
      </c>
      <c r="J441" s="8" t="s">
        <v>91</v>
      </c>
      <c r="K441" s="8" t="s">
        <v>3071</v>
      </c>
      <c r="L441" s="8" t="s">
        <v>98</v>
      </c>
      <c r="M441" s="8" t="s">
        <v>3072</v>
      </c>
      <c r="N441" s="7" t="s">
        <v>3058</v>
      </c>
      <c r="O441" s="8" t="s">
        <v>13</v>
      </c>
      <c r="P441" s="8" t="s">
        <v>62</v>
      </c>
      <c r="Q441" s="8" t="s">
        <v>63</v>
      </c>
      <c r="R441" s="8" t="s">
        <v>64</v>
      </c>
      <c r="S441" s="8" t="s">
        <v>19</v>
      </c>
      <c r="T441" s="9">
        <v>718</v>
      </c>
      <c r="U441" s="9">
        <v>104339.76</v>
      </c>
      <c r="V441" s="8" t="s">
        <v>19</v>
      </c>
      <c r="W441" s="8">
        <v>0</v>
      </c>
      <c r="X441" s="8">
        <v>9</v>
      </c>
      <c r="Y441" s="8">
        <v>9390.58</v>
      </c>
      <c r="Z441" s="8">
        <v>9</v>
      </c>
      <c r="AA441" s="8">
        <v>9390.58</v>
      </c>
      <c r="AB441" s="8">
        <v>0</v>
      </c>
      <c r="AC441" s="8">
        <v>0</v>
      </c>
      <c r="AD441" s="8">
        <v>0</v>
      </c>
      <c r="AE441" s="8">
        <v>18781.16</v>
      </c>
      <c r="AF441" s="8">
        <v>0</v>
      </c>
      <c r="AG441" s="8" t="s">
        <v>65</v>
      </c>
      <c r="AH441" s="8" t="s">
        <v>11</v>
      </c>
      <c r="AI441" s="8">
        <v>39269080</v>
      </c>
      <c r="AJ441" s="8" t="s">
        <v>60</v>
      </c>
      <c r="AK441" s="8">
        <v>1</v>
      </c>
      <c r="AL441" s="8">
        <v>0</v>
      </c>
      <c r="AM441" s="8" t="s">
        <v>1905</v>
      </c>
    </row>
    <row r="442" spans="7:39" ht="12.75" customHeight="1">
      <c r="G442" s="344"/>
      <c r="H442" s="6" t="s">
        <v>3058</v>
      </c>
      <c r="I442" s="8" t="s">
        <v>87</v>
      </c>
      <c r="J442" s="8" t="s">
        <v>91</v>
      </c>
      <c r="K442" s="8" t="s">
        <v>3071</v>
      </c>
      <c r="L442" s="8" t="s">
        <v>98</v>
      </c>
      <c r="M442" s="8" t="s">
        <v>3072</v>
      </c>
      <c r="N442" s="7" t="s">
        <v>3058</v>
      </c>
      <c r="O442" s="8" t="s">
        <v>13</v>
      </c>
      <c r="P442" s="8" t="s">
        <v>62</v>
      </c>
      <c r="Q442" s="8" t="s">
        <v>63</v>
      </c>
      <c r="R442" s="8" t="s">
        <v>64</v>
      </c>
      <c r="S442" s="8" t="s">
        <v>19</v>
      </c>
      <c r="T442" s="9">
        <v>8400</v>
      </c>
      <c r="U442" s="9">
        <v>1195488</v>
      </c>
      <c r="V442" s="8" t="s">
        <v>19</v>
      </c>
      <c r="W442" s="8">
        <v>0</v>
      </c>
      <c r="X442" s="8">
        <v>9</v>
      </c>
      <c r="Y442" s="8">
        <v>107593.92</v>
      </c>
      <c r="Z442" s="8">
        <v>9</v>
      </c>
      <c r="AA442" s="8">
        <v>107593.92</v>
      </c>
      <c r="AB442" s="8">
        <v>0</v>
      </c>
      <c r="AC442" s="8">
        <v>0</v>
      </c>
      <c r="AD442" s="8">
        <v>0</v>
      </c>
      <c r="AE442" s="8">
        <v>215187.84</v>
      </c>
      <c r="AF442" s="8">
        <v>0</v>
      </c>
      <c r="AG442" s="8" t="s">
        <v>65</v>
      </c>
      <c r="AH442" s="8" t="s">
        <v>11</v>
      </c>
      <c r="AI442" s="8">
        <v>39269080</v>
      </c>
      <c r="AJ442" s="8" t="s">
        <v>60</v>
      </c>
      <c r="AK442" s="8">
        <v>1</v>
      </c>
      <c r="AL442" s="8">
        <v>0</v>
      </c>
      <c r="AM442" s="8" t="s">
        <v>1905</v>
      </c>
    </row>
    <row r="443" spans="7:39" ht="12.75" customHeight="1">
      <c r="G443" s="344"/>
      <c r="H443" s="6" t="s">
        <v>3058</v>
      </c>
      <c r="I443" s="8" t="s">
        <v>87</v>
      </c>
      <c r="J443" s="8" t="s">
        <v>91</v>
      </c>
      <c r="K443" s="8" t="s">
        <v>3071</v>
      </c>
      <c r="L443" s="8" t="s">
        <v>98</v>
      </c>
      <c r="M443" s="8" t="s">
        <v>3072</v>
      </c>
      <c r="N443" s="7" t="s">
        <v>3058</v>
      </c>
      <c r="O443" s="8" t="s">
        <v>13</v>
      </c>
      <c r="P443" s="8" t="s">
        <v>24</v>
      </c>
      <c r="Q443" s="8" t="s">
        <v>79</v>
      </c>
      <c r="R443" s="8" t="s">
        <v>79</v>
      </c>
      <c r="S443" s="8" t="s">
        <v>24</v>
      </c>
      <c r="T443" s="9">
        <v>1457.3</v>
      </c>
      <c r="U443" s="9">
        <v>214689.44</v>
      </c>
      <c r="V443" s="8" t="s">
        <v>24</v>
      </c>
      <c r="W443" s="8">
        <v>0</v>
      </c>
      <c r="X443" s="8">
        <v>9</v>
      </c>
      <c r="Y443" s="8">
        <v>19322.05</v>
      </c>
      <c r="Z443" s="8">
        <v>9</v>
      </c>
      <c r="AA443" s="8">
        <v>19322.05</v>
      </c>
      <c r="AB443" s="8">
        <v>0</v>
      </c>
      <c r="AC443" s="8">
        <v>0</v>
      </c>
      <c r="AD443" s="8">
        <v>0</v>
      </c>
      <c r="AE443" s="8">
        <v>38644.1</v>
      </c>
      <c r="AF443" s="8">
        <v>0</v>
      </c>
      <c r="AG443" s="8" t="s">
        <v>65</v>
      </c>
      <c r="AH443" s="8" t="s">
        <v>11</v>
      </c>
      <c r="AI443" s="8">
        <v>3926908</v>
      </c>
      <c r="AJ443" s="8" t="s">
        <v>60</v>
      </c>
      <c r="AK443" s="8">
        <v>1</v>
      </c>
      <c r="AL443" s="8">
        <v>0</v>
      </c>
      <c r="AM443" s="8" t="s">
        <v>1905</v>
      </c>
    </row>
    <row r="444" spans="7:39" ht="12.75" customHeight="1">
      <c r="G444" s="344"/>
      <c r="H444" s="6" t="s">
        <v>3058</v>
      </c>
      <c r="I444" s="8" t="s">
        <v>87</v>
      </c>
      <c r="J444" s="8" t="s">
        <v>91</v>
      </c>
      <c r="K444" s="8" t="s">
        <v>3071</v>
      </c>
      <c r="L444" s="8" t="s">
        <v>98</v>
      </c>
      <c r="M444" s="8" t="s">
        <v>3072</v>
      </c>
      <c r="N444" s="7" t="s">
        <v>3058</v>
      </c>
      <c r="O444" s="8" t="s">
        <v>13</v>
      </c>
      <c r="P444" s="8" t="s">
        <v>24</v>
      </c>
      <c r="Q444" s="8" t="s">
        <v>79</v>
      </c>
      <c r="R444" s="8" t="s">
        <v>79</v>
      </c>
      <c r="S444" s="8" t="s">
        <v>24</v>
      </c>
      <c r="T444" s="9">
        <v>64.5</v>
      </c>
      <c r="U444" s="9">
        <v>9308.64</v>
      </c>
      <c r="V444" s="8" t="s">
        <v>24</v>
      </c>
      <c r="W444" s="8">
        <v>0</v>
      </c>
      <c r="X444" s="8">
        <v>9</v>
      </c>
      <c r="Y444" s="8">
        <v>837.78</v>
      </c>
      <c r="Z444" s="8">
        <v>9</v>
      </c>
      <c r="AA444" s="8">
        <v>837.78</v>
      </c>
      <c r="AB444" s="8">
        <v>0</v>
      </c>
      <c r="AC444" s="8">
        <v>0</v>
      </c>
      <c r="AD444" s="8">
        <v>0</v>
      </c>
      <c r="AE444" s="8">
        <v>1675.56</v>
      </c>
      <c r="AF444" s="8">
        <v>0</v>
      </c>
      <c r="AG444" s="8" t="s">
        <v>65</v>
      </c>
      <c r="AH444" s="8" t="s">
        <v>11</v>
      </c>
      <c r="AI444" s="8">
        <v>3926908</v>
      </c>
      <c r="AJ444" s="8" t="s">
        <v>60</v>
      </c>
      <c r="AK444" s="8">
        <v>1</v>
      </c>
      <c r="AL444" s="8">
        <v>0</v>
      </c>
      <c r="AM444" s="8" t="s">
        <v>1905</v>
      </c>
    </row>
    <row r="445" spans="7:39" ht="12.75" customHeight="1">
      <c r="G445" s="344"/>
      <c r="H445" s="6" t="s">
        <v>3058</v>
      </c>
      <c r="I445" s="8" t="s">
        <v>87</v>
      </c>
      <c r="J445" s="8" t="s">
        <v>91</v>
      </c>
      <c r="K445" s="8" t="s">
        <v>3071</v>
      </c>
      <c r="L445" s="8" t="s">
        <v>98</v>
      </c>
      <c r="M445" s="8" t="s">
        <v>3072</v>
      </c>
      <c r="N445" s="7" t="s">
        <v>3058</v>
      </c>
      <c r="O445" s="8" t="s">
        <v>13</v>
      </c>
      <c r="P445" s="8" t="s">
        <v>24</v>
      </c>
      <c r="Q445" s="8" t="s">
        <v>79</v>
      </c>
      <c r="R445" s="8" t="s">
        <v>79</v>
      </c>
      <c r="S445" s="8" t="s">
        <v>24</v>
      </c>
      <c r="T445" s="9">
        <v>23.8</v>
      </c>
      <c r="U445" s="9">
        <v>4006.02</v>
      </c>
      <c r="V445" s="8" t="s">
        <v>24</v>
      </c>
      <c r="W445" s="8">
        <v>0</v>
      </c>
      <c r="X445" s="8">
        <v>9</v>
      </c>
      <c r="Y445" s="8">
        <v>360.54</v>
      </c>
      <c r="Z445" s="8">
        <v>9</v>
      </c>
      <c r="AA445" s="8">
        <v>360.54</v>
      </c>
      <c r="AB445" s="8">
        <v>0</v>
      </c>
      <c r="AC445" s="8">
        <v>0</v>
      </c>
      <c r="AD445" s="8">
        <v>0</v>
      </c>
      <c r="AE445" s="8">
        <v>721.08</v>
      </c>
      <c r="AF445" s="8">
        <v>0</v>
      </c>
      <c r="AG445" s="8" t="s">
        <v>65</v>
      </c>
      <c r="AH445" s="8" t="s">
        <v>11</v>
      </c>
      <c r="AI445" s="8">
        <v>3926908</v>
      </c>
      <c r="AJ445" s="8" t="s">
        <v>60</v>
      </c>
      <c r="AK445" s="8">
        <v>1</v>
      </c>
      <c r="AL445" s="8">
        <v>0</v>
      </c>
      <c r="AM445" s="8" t="s">
        <v>1905</v>
      </c>
    </row>
    <row r="446" spans="7:39" ht="12.75" customHeight="1">
      <c r="G446" s="344"/>
      <c r="H446" s="6" t="s">
        <v>3058</v>
      </c>
      <c r="I446" s="8" t="s">
        <v>87</v>
      </c>
      <c r="J446" s="8" t="s">
        <v>91</v>
      </c>
      <c r="K446" s="8" t="s">
        <v>3073</v>
      </c>
      <c r="L446" s="8" t="s">
        <v>98</v>
      </c>
      <c r="M446" s="8" t="s">
        <v>3074</v>
      </c>
      <c r="N446" s="7" t="s">
        <v>3058</v>
      </c>
      <c r="O446" s="8" t="s">
        <v>13</v>
      </c>
      <c r="P446" s="8" t="s">
        <v>80</v>
      </c>
      <c r="Q446" s="8" t="s">
        <v>81</v>
      </c>
      <c r="R446" s="8" t="s">
        <v>82</v>
      </c>
      <c r="S446" s="8" t="s">
        <v>17</v>
      </c>
      <c r="T446" s="9">
        <v>319</v>
      </c>
      <c r="U446" s="9">
        <v>56418.34</v>
      </c>
      <c r="V446" s="8" t="s">
        <v>17</v>
      </c>
      <c r="W446" s="8">
        <v>276494.78000000003</v>
      </c>
      <c r="X446" s="8">
        <v>9</v>
      </c>
      <c r="Y446" s="8">
        <v>5077.6499999999996</v>
      </c>
      <c r="Z446" s="8">
        <v>9</v>
      </c>
      <c r="AA446" s="8">
        <v>5077.6499999999996</v>
      </c>
      <c r="AB446" s="8">
        <v>0</v>
      </c>
      <c r="AC446" s="8">
        <v>0</v>
      </c>
      <c r="AD446" s="8">
        <v>0</v>
      </c>
      <c r="AE446" s="8">
        <v>10155.299999999999</v>
      </c>
      <c r="AF446" s="8">
        <v>0</v>
      </c>
      <c r="AG446" s="8" t="s">
        <v>65</v>
      </c>
      <c r="AH446" s="8" t="s">
        <v>11</v>
      </c>
      <c r="AI446" s="8">
        <v>39200000</v>
      </c>
      <c r="AJ446" s="8" t="s">
        <v>60</v>
      </c>
      <c r="AK446" s="8">
        <v>1</v>
      </c>
      <c r="AL446" s="8">
        <v>0</v>
      </c>
      <c r="AM446" s="8" t="s">
        <v>1905</v>
      </c>
    </row>
    <row r="447" spans="7:39" ht="12.75" customHeight="1">
      <c r="G447" s="344"/>
      <c r="H447" s="6" t="s">
        <v>3058</v>
      </c>
      <c r="I447" s="8" t="s">
        <v>87</v>
      </c>
      <c r="J447" s="8" t="s">
        <v>91</v>
      </c>
      <c r="K447" s="8" t="s">
        <v>3073</v>
      </c>
      <c r="L447" s="8" t="s">
        <v>98</v>
      </c>
      <c r="M447" s="8" t="s">
        <v>3074</v>
      </c>
      <c r="N447" s="7" t="s">
        <v>3058</v>
      </c>
      <c r="O447" s="8" t="s">
        <v>13</v>
      </c>
      <c r="P447" s="8" t="s">
        <v>80</v>
      </c>
      <c r="Q447" s="8" t="s">
        <v>81</v>
      </c>
      <c r="R447" s="8" t="s">
        <v>82</v>
      </c>
      <c r="S447" s="8" t="s">
        <v>17</v>
      </c>
      <c r="T447" s="9">
        <v>1007</v>
      </c>
      <c r="U447" s="9">
        <v>178098.02</v>
      </c>
      <c r="V447" s="8" t="s">
        <v>17</v>
      </c>
      <c r="W447" s="8">
        <v>0</v>
      </c>
      <c r="X447" s="8">
        <v>9</v>
      </c>
      <c r="Y447" s="8">
        <v>16028.82</v>
      </c>
      <c r="Z447" s="8">
        <v>9</v>
      </c>
      <c r="AA447" s="8">
        <v>16028.82</v>
      </c>
      <c r="AB447" s="8">
        <v>0</v>
      </c>
      <c r="AC447" s="8">
        <v>0</v>
      </c>
      <c r="AD447" s="8">
        <v>0</v>
      </c>
      <c r="AE447" s="8">
        <v>32057.64</v>
      </c>
      <c r="AF447" s="8">
        <v>0</v>
      </c>
      <c r="AG447" s="8" t="s">
        <v>65</v>
      </c>
      <c r="AH447" s="8" t="s">
        <v>11</v>
      </c>
      <c r="AI447" s="8">
        <v>39200000</v>
      </c>
      <c r="AJ447" s="8" t="s">
        <v>60</v>
      </c>
      <c r="AK447" s="8">
        <v>1</v>
      </c>
      <c r="AL447" s="8">
        <v>0</v>
      </c>
      <c r="AM447" s="8" t="s">
        <v>1905</v>
      </c>
    </row>
    <row r="448" spans="7:39" ht="12.75" customHeight="1">
      <c r="G448" s="344"/>
      <c r="H448" s="6" t="s">
        <v>3058</v>
      </c>
      <c r="I448" s="8" t="s">
        <v>2389</v>
      </c>
      <c r="J448" s="8" t="s">
        <v>96</v>
      </c>
      <c r="K448" s="8" t="s">
        <v>3075</v>
      </c>
      <c r="L448" s="8" t="s">
        <v>97</v>
      </c>
      <c r="M448" s="8" t="s">
        <v>3076</v>
      </c>
      <c r="N448" s="7" t="s">
        <v>2926</v>
      </c>
      <c r="O448" s="8" t="s">
        <v>2</v>
      </c>
      <c r="P448" s="8" t="s">
        <v>3077</v>
      </c>
      <c r="Q448" s="8" t="s">
        <v>68</v>
      </c>
      <c r="R448" s="8" t="s">
        <v>69</v>
      </c>
      <c r="S448" s="8" t="s">
        <v>3078</v>
      </c>
      <c r="T448" s="9">
        <v>2</v>
      </c>
      <c r="U448" s="9">
        <v>5684.24</v>
      </c>
      <c r="V448" s="8" t="s">
        <v>3078</v>
      </c>
      <c r="W448" s="8">
        <v>6707</v>
      </c>
      <c r="X448" s="8">
        <v>9</v>
      </c>
      <c r="Y448" s="8">
        <v>511.58</v>
      </c>
      <c r="Z448" s="8">
        <v>9</v>
      </c>
      <c r="AA448" s="8">
        <v>511.58</v>
      </c>
      <c r="AB448" s="8">
        <v>0</v>
      </c>
      <c r="AC448" s="8">
        <v>0</v>
      </c>
      <c r="AD448" s="8">
        <v>0</v>
      </c>
      <c r="AE448" s="8">
        <v>1023.16</v>
      </c>
      <c r="AF448" s="8">
        <v>0</v>
      </c>
      <c r="AG448" s="8" t="s">
        <v>2714</v>
      </c>
      <c r="AH448" s="8" t="s">
        <v>1</v>
      </c>
      <c r="AI448" s="8">
        <v>84818050</v>
      </c>
      <c r="AJ448" s="8" t="s">
        <v>60</v>
      </c>
      <c r="AK448" s="8">
        <v>1</v>
      </c>
      <c r="AL448" s="8">
        <v>0</v>
      </c>
      <c r="AM448" s="8" t="s">
        <v>1905</v>
      </c>
    </row>
    <row r="449" spans="7:39" ht="12.75" customHeight="1">
      <c r="G449" s="344"/>
      <c r="H449" s="6" t="s">
        <v>3058</v>
      </c>
      <c r="I449" s="8" t="s">
        <v>109</v>
      </c>
      <c r="J449" s="8" t="s">
        <v>91</v>
      </c>
      <c r="K449" s="8" t="s">
        <v>3079</v>
      </c>
      <c r="L449" s="8" t="s">
        <v>623</v>
      </c>
      <c r="M449" s="8" t="s">
        <v>3080</v>
      </c>
      <c r="N449" s="7" t="s">
        <v>2926</v>
      </c>
      <c r="O449" s="8" t="s">
        <v>8</v>
      </c>
      <c r="P449" s="8" t="s">
        <v>110</v>
      </c>
      <c r="Q449" s="8" t="s">
        <v>110</v>
      </c>
      <c r="R449" s="8" t="s">
        <v>2371</v>
      </c>
      <c r="S449" s="8" t="s">
        <v>2375</v>
      </c>
      <c r="T449" s="9">
        <v>225</v>
      </c>
      <c r="U449" s="9">
        <v>65700</v>
      </c>
      <c r="V449" s="8" t="s">
        <v>2375</v>
      </c>
      <c r="W449" s="8">
        <v>492267</v>
      </c>
      <c r="X449" s="8">
        <v>0</v>
      </c>
      <c r="Y449" s="8">
        <v>0</v>
      </c>
      <c r="Z449" s="8">
        <v>0</v>
      </c>
      <c r="AA449" s="8">
        <v>0</v>
      </c>
      <c r="AB449" s="8">
        <v>18</v>
      </c>
      <c r="AC449" s="8">
        <v>11826</v>
      </c>
      <c r="AD449" s="8">
        <v>0</v>
      </c>
      <c r="AE449" s="8">
        <v>11826</v>
      </c>
      <c r="AF449" s="8">
        <v>0</v>
      </c>
      <c r="AG449" s="8" t="s">
        <v>624</v>
      </c>
      <c r="AH449" s="8" t="s">
        <v>11</v>
      </c>
      <c r="AI449" s="8">
        <v>32151910</v>
      </c>
      <c r="AJ449" s="8" t="s">
        <v>60</v>
      </c>
      <c r="AK449" s="8">
        <v>1</v>
      </c>
      <c r="AL449" s="8">
        <v>0</v>
      </c>
      <c r="AM449" s="8" t="s">
        <v>1905</v>
      </c>
    </row>
    <row r="450" spans="7:39" ht="12.75" customHeight="1">
      <c r="G450" s="344"/>
      <c r="H450" s="6" t="s">
        <v>3058</v>
      </c>
      <c r="I450" s="8" t="s">
        <v>109</v>
      </c>
      <c r="J450" s="8" t="s">
        <v>91</v>
      </c>
      <c r="K450" s="8" t="s">
        <v>3079</v>
      </c>
      <c r="L450" s="8" t="s">
        <v>623</v>
      </c>
      <c r="M450" s="8" t="s">
        <v>3080</v>
      </c>
      <c r="N450" s="7" t="s">
        <v>2926</v>
      </c>
      <c r="O450" s="8" t="s">
        <v>8</v>
      </c>
      <c r="P450" s="8" t="s">
        <v>110</v>
      </c>
      <c r="Q450" s="8" t="s">
        <v>110</v>
      </c>
      <c r="R450" s="8" t="s">
        <v>2371</v>
      </c>
      <c r="S450" s="8" t="s">
        <v>2387</v>
      </c>
      <c r="T450" s="9">
        <v>150</v>
      </c>
      <c r="U450" s="9">
        <v>48900</v>
      </c>
      <c r="V450" s="8" t="s">
        <v>2387</v>
      </c>
      <c r="W450" s="8">
        <v>0</v>
      </c>
      <c r="X450" s="8">
        <v>0</v>
      </c>
      <c r="Y450" s="8">
        <v>0</v>
      </c>
      <c r="Z450" s="8">
        <v>0</v>
      </c>
      <c r="AA450" s="8">
        <v>0</v>
      </c>
      <c r="AB450" s="8">
        <v>18</v>
      </c>
      <c r="AC450" s="8">
        <v>8802</v>
      </c>
      <c r="AD450" s="8">
        <v>0</v>
      </c>
      <c r="AE450" s="8">
        <v>8802</v>
      </c>
      <c r="AF450" s="8">
        <v>0</v>
      </c>
      <c r="AG450" s="8" t="s">
        <v>624</v>
      </c>
      <c r="AH450" s="8" t="s">
        <v>11</v>
      </c>
      <c r="AI450" s="8">
        <v>32151990</v>
      </c>
      <c r="AJ450" s="8" t="s">
        <v>60</v>
      </c>
      <c r="AK450" s="8">
        <v>1</v>
      </c>
      <c r="AL450" s="8">
        <v>0</v>
      </c>
      <c r="AM450" s="8" t="s">
        <v>1905</v>
      </c>
    </row>
    <row r="451" spans="7:39" ht="12.75" customHeight="1">
      <c r="G451" s="344"/>
      <c r="H451" s="6" t="s">
        <v>3058</v>
      </c>
      <c r="I451" s="8" t="s">
        <v>109</v>
      </c>
      <c r="J451" s="8" t="s">
        <v>91</v>
      </c>
      <c r="K451" s="8" t="s">
        <v>3079</v>
      </c>
      <c r="L451" s="8" t="s">
        <v>623</v>
      </c>
      <c r="M451" s="8" t="s">
        <v>3080</v>
      </c>
      <c r="N451" s="7" t="s">
        <v>2926</v>
      </c>
      <c r="O451" s="8" t="s">
        <v>8</v>
      </c>
      <c r="P451" s="8" t="s">
        <v>110</v>
      </c>
      <c r="Q451" s="8" t="s">
        <v>110</v>
      </c>
      <c r="R451" s="8" t="s">
        <v>2371</v>
      </c>
      <c r="S451" s="8" t="s">
        <v>2373</v>
      </c>
      <c r="T451" s="9">
        <v>300</v>
      </c>
      <c r="U451" s="9">
        <v>89100</v>
      </c>
      <c r="V451" s="8" t="s">
        <v>2373</v>
      </c>
      <c r="W451" s="8">
        <v>0</v>
      </c>
      <c r="X451" s="8">
        <v>0</v>
      </c>
      <c r="Y451" s="8">
        <v>0</v>
      </c>
      <c r="Z451" s="8">
        <v>0</v>
      </c>
      <c r="AA451" s="8">
        <v>0</v>
      </c>
      <c r="AB451" s="8">
        <v>18</v>
      </c>
      <c r="AC451" s="8">
        <v>16038</v>
      </c>
      <c r="AD451" s="8">
        <v>0</v>
      </c>
      <c r="AE451" s="8">
        <v>16038</v>
      </c>
      <c r="AF451" s="8">
        <v>0</v>
      </c>
      <c r="AG451" s="8" t="s">
        <v>624</v>
      </c>
      <c r="AH451" s="8" t="s">
        <v>11</v>
      </c>
      <c r="AI451" s="8">
        <v>84485900</v>
      </c>
      <c r="AJ451" s="8" t="s">
        <v>60</v>
      </c>
      <c r="AK451" s="8">
        <v>1</v>
      </c>
      <c r="AL451" s="8">
        <v>0</v>
      </c>
      <c r="AM451" s="8" t="s">
        <v>1905</v>
      </c>
    </row>
    <row r="452" spans="7:39" ht="12.75" customHeight="1">
      <c r="G452" s="344"/>
      <c r="H452" s="6" t="s">
        <v>3058</v>
      </c>
      <c r="I452" s="8" t="s">
        <v>109</v>
      </c>
      <c r="J452" s="8" t="s">
        <v>91</v>
      </c>
      <c r="K452" s="8" t="s">
        <v>3079</v>
      </c>
      <c r="L452" s="8" t="s">
        <v>623</v>
      </c>
      <c r="M452" s="8" t="s">
        <v>3080</v>
      </c>
      <c r="N452" s="7" t="s">
        <v>2926</v>
      </c>
      <c r="O452" s="8" t="s">
        <v>8</v>
      </c>
      <c r="P452" s="8" t="s">
        <v>110</v>
      </c>
      <c r="Q452" s="8" t="s">
        <v>110</v>
      </c>
      <c r="R452" s="8" t="s">
        <v>2371</v>
      </c>
      <c r="S452" s="8" t="s">
        <v>2374</v>
      </c>
      <c r="T452" s="9">
        <v>50</v>
      </c>
      <c r="U452" s="9">
        <v>15000</v>
      </c>
      <c r="V452" s="8" t="s">
        <v>2374</v>
      </c>
      <c r="W452" s="8">
        <v>0</v>
      </c>
      <c r="X452" s="8">
        <v>0</v>
      </c>
      <c r="Y452" s="8">
        <v>0</v>
      </c>
      <c r="Z452" s="8">
        <v>0</v>
      </c>
      <c r="AA452" s="8">
        <v>0</v>
      </c>
      <c r="AB452" s="8">
        <v>18</v>
      </c>
      <c r="AC452" s="8">
        <v>2700</v>
      </c>
      <c r="AD452" s="8">
        <v>0</v>
      </c>
      <c r="AE452" s="8">
        <v>2700</v>
      </c>
      <c r="AF452" s="8">
        <v>0</v>
      </c>
      <c r="AG452" s="8" t="s">
        <v>624</v>
      </c>
      <c r="AH452" s="8" t="s">
        <v>11</v>
      </c>
      <c r="AI452" s="8">
        <v>84529099</v>
      </c>
      <c r="AJ452" s="8" t="s">
        <v>60</v>
      </c>
      <c r="AK452" s="8">
        <v>1</v>
      </c>
      <c r="AL452" s="8">
        <v>0</v>
      </c>
      <c r="AM452" s="8" t="s">
        <v>1905</v>
      </c>
    </row>
    <row r="453" spans="7:39" ht="12.75" customHeight="1">
      <c r="G453" s="344"/>
      <c r="H453" s="6" t="s">
        <v>3058</v>
      </c>
      <c r="I453" s="8" t="s">
        <v>109</v>
      </c>
      <c r="J453" s="8" t="s">
        <v>91</v>
      </c>
      <c r="K453" s="8" t="s">
        <v>3079</v>
      </c>
      <c r="L453" s="8" t="s">
        <v>623</v>
      </c>
      <c r="M453" s="8" t="s">
        <v>3080</v>
      </c>
      <c r="N453" s="8" t="s">
        <v>2926</v>
      </c>
      <c r="O453" s="8" t="s">
        <v>8</v>
      </c>
      <c r="P453" s="8" t="s">
        <v>110</v>
      </c>
      <c r="Q453" s="8" t="s">
        <v>110</v>
      </c>
      <c r="R453" s="8" t="s">
        <v>2371</v>
      </c>
      <c r="S453" s="8" t="s">
        <v>3081</v>
      </c>
      <c r="T453" s="9">
        <v>50</v>
      </c>
      <c r="U453" s="9">
        <v>17250</v>
      </c>
      <c r="V453" s="8" t="s">
        <v>3081</v>
      </c>
      <c r="W453" s="8">
        <v>0</v>
      </c>
      <c r="X453" s="8">
        <v>0</v>
      </c>
      <c r="Y453" s="8">
        <v>0</v>
      </c>
      <c r="Z453" s="8">
        <v>0</v>
      </c>
      <c r="AA453" s="8">
        <v>0</v>
      </c>
      <c r="AB453" s="8">
        <v>18</v>
      </c>
      <c r="AC453" s="8">
        <v>3105</v>
      </c>
      <c r="AD453" s="8">
        <v>0</v>
      </c>
      <c r="AE453" s="8">
        <v>3105</v>
      </c>
      <c r="AF453" s="8">
        <v>0</v>
      </c>
      <c r="AG453" s="8" t="s">
        <v>624</v>
      </c>
      <c r="AH453" s="8" t="s">
        <v>11</v>
      </c>
      <c r="AI453" s="8">
        <v>32151910</v>
      </c>
      <c r="AJ453" s="8" t="s">
        <v>60</v>
      </c>
      <c r="AK453" s="8">
        <v>1</v>
      </c>
      <c r="AL453" s="8">
        <v>0</v>
      </c>
      <c r="AM453" s="8" t="s">
        <v>1905</v>
      </c>
    </row>
    <row r="454" spans="7:39" ht="12.75" customHeight="1">
      <c r="G454" s="344"/>
      <c r="H454" s="6" t="s">
        <v>3058</v>
      </c>
      <c r="I454" s="8" t="s">
        <v>109</v>
      </c>
      <c r="J454" s="8" t="s">
        <v>91</v>
      </c>
      <c r="K454" s="8" t="s">
        <v>3079</v>
      </c>
      <c r="L454" s="8" t="s">
        <v>623</v>
      </c>
      <c r="M454" s="8" t="s">
        <v>3080</v>
      </c>
      <c r="N454" s="8" t="s">
        <v>2926</v>
      </c>
      <c r="O454" s="8" t="s">
        <v>8</v>
      </c>
      <c r="P454" s="8" t="s">
        <v>110</v>
      </c>
      <c r="Q454" s="8" t="s">
        <v>110</v>
      </c>
      <c r="R454" s="8" t="s">
        <v>2371</v>
      </c>
      <c r="S454" s="8" t="s">
        <v>2388</v>
      </c>
      <c r="T454" s="9">
        <v>100</v>
      </c>
      <c r="U454" s="9">
        <v>29200</v>
      </c>
      <c r="V454" s="8" t="s">
        <v>2388</v>
      </c>
      <c r="W454" s="8">
        <v>0</v>
      </c>
      <c r="X454" s="8">
        <v>0</v>
      </c>
      <c r="Y454" s="8">
        <v>0</v>
      </c>
      <c r="Z454" s="8">
        <v>0</v>
      </c>
      <c r="AA454" s="8">
        <v>0</v>
      </c>
      <c r="AB454" s="8">
        <v>18</v>
      </c>
      <c r="AC454" s="8">
        <v>5256</v>
      </c>
      <c r="AD454" s="8">
        <v>0</v>
      </c>
      <c r="AE454" s="8">
        <v>5256</v>
      </c>
      <c r="AF454" s="8">
        <v>0</v>
      </c>
      <c r="AG454" s="8" t="s">
        <v>624</v>
      </c>
      <c r="AH454" s="8" t="s">
        <v>11</v>
      </c>
      <c r="AI454" s="8">
        <v>84529099</v>
      </c>
      <c r="AJ454" s="8" t="s">
        <v>60</v>
      </c>
      <c r="AK454" s="8">
        <v>1</v>
      </c>
      <c r="AL454" s="8">
        <v>0</v>
      </c>
      <c r="AM454" s="8" t="s">
        <v>1905</v>
      </c>
    </row>
    <row r="455" spans="7:39" ht="12.75" customHeight="1">
      <c r="G455" s="344"/>
      <c r="H455" s="6" t="s">
        <v>3058</v>
      </c>
      <c r="I455" s="8" t="s">
        <v>109</v>
      </c>
      <c r="J455" s="8" t="s">
        <v>91</v>
      </c>
      <c r="K455" s="8" t="s">
        <v>3079</v>
      </c>
      <c r="L455" s="8" t="s">
        <v>623</v>
      </c>
      <c r="M455" s="8" t="s">
        <v>3080</v>
      </c>
      <c r="N455" s="7" t="s">
        <v>2926</v>
      </c>
      <c r="O455" s="8" t="s">
        <v>8</v>
      </c>
      <c r="P455" s="8" t="s">
        <v>110</v>
      </c>
      <c r="Q455" s="8" t="s">
        <v>110</v>
      </c>
      <c r="R455" s="8" t="s">
        <v>2371</v>
      </c>
      <c r="S455" s="8" t="s">
        <v>2983</v>
      </c>
      <c r="T455" s="9">
        <v>25</v>
      </c>
      <c r="U455" s="9">
        <v>12875</v>
      </c>
      <c r="V455" s="8" t="s">
        <v>2983</v>
      </c>
      <c r="W455" s="8">
        <v>0</v>
      </c>
      <c r="X455" s="8">
        <v>0</v>
      </c>
      <c r="Y455" s="8">
        <v>0</v>
      </c>
      <c r="Z455" s="8">
        <v>0</v>
      </c>
      <c r="AA455" s="8">
        <v>0</v>
      </c>
      <c r="AB455" s="8">
        <v>18</v>
      </c>
      <c r="AC455" s="8">
        <v>2317.5</v>
      </c>
      <c r="AD455" s="8">
        <v>0</v>
      </c>
      <c r="AE455" s="8">
        <v>2317.5</v>
      </c>
      <c r="AF455" s="8">
        <v>0</v>
      </c>
      <c r="AG455" s="8" t="s">
        <v>624</v>
      </c>
      <c r="AH455" s="8" t="s">
        <v>11</v>
      </c>
      <c r="AI455" s="8">
        <v>32151910</v>
      </c>
      <c r="AJ455" s="8" t="s">
        <v>60</v>
      </c>
      <c r="AK455" s="8">
        <v>1</v>
      </c>
      <c r="AL455" s="8">
        <v>0</v>
      </c>
      <c r="AM455" s="8" t="s">
        <v>1905</v>
      </c>
    </row>
    <row r="456" spans="7:39" ht="12.75" customHeight="1">
      <c r="G456" s="344"/>
      <c r="H456" s="6" t="s">
        <v>3058</v>
      </c>
      <c r="I456" s="8" t="s">
        <v>109</v>
      </c>
      <c r="J456" s="8" t="s">
        <v>91</v>
      </c>
      <c r="K456" s="8" t="s">
        <v>3079</v>
      </c>
      <c r="L456" s="8" t="s">
        <v>623</v>
      </c>
      <c r="M456" s="8" t="s">
        <v>3080</v>
      </c>
      <c r="N456" s="8" t="s">
        <v>2926</v>
      </c>
      <c r="O456" s="8" t="s">
        <v>8</v>
      </c>
      <c r="P456" s="8" t="s">
        <v>110</v>
      </c>
      <c r="Q456" s="8" t="s">
        <v>110</v>
      </c>
      <c r="R456" s="8" t="s">
        <v>2371</v>
      </c>
      <c r="S456" s="8" t="s">
        <v>2372</v>
      </c>
      <c r="T456" s="9">
        <v>50</v>
      </c>
      <c r="U456" s="9">
        <v>14600</v>
      </c>
      <c r="V456" s="8" t="s">
        <v>2372</v>
      </c>
      <c r="W456" s="8">
        <v>0</v>
      </c>
      <c r="X456" s="8">
        <v>0</v>
      </c>
      <c r="Y456" s="8">
        <v>0</v>
      </c>
      <c r="Z456" s="8">
        <v>0</v>
      </c>
      <c r="AA456" s="8">
        <v>0</v>
      </c>
      <c r="AB456" s="8">
        <v>18</v>
      </c>
      <c r="AC456" s="8">
        <v>2628</v>
      </c>
      <c r="AD456" s="8">
        <v>0</v>
      </c>
      <c r="AE456" s="8">
        <v>2628</v>
      </c>
      <c r="AF456" s="8">
        <v>0</v>
      </c>
      <c r="AG456" s="8" t="s">
        <v>624</v>
      </c>
      <c r="AH456" s="8" t="s">
        <v>11</v>
      </c>
      <c r="AI456" s="8">
        <v>32151910</v>
      </c>
      <c r="AJ456" s="8" t="s">
        <v>60</v>
      </c>
      <c r="AK456" s="8">
        <v>1</v>
      </c>
      <c r="AL456" s="8">
        <v>0</v>
      </c>
      <c r="AM456" s="8" t="s">
        <v>1905</v>
      </c>
    </row>
    <row r="457" spans="7:39" ht="12.75" customHeight="1">
      <c r="G457" s="344"/>
      <c r="H457" s="6" t="s">
        <v>3058</v>
      </c>
      <c r="I457" s="8" t="s">
        <v>109</v>
      </c>
      <c r="J457" s="8" t="s">
        <v>91</v>
      </c>
      <c r="K457" s="8" t="s">
        <v>3079</v>
      </c>
      <c r="L457" s="8" t="s">
        <v>623</v>
      </c>
      <c r="M457" s="8" t="s">
        <v>3080</v>
      </c>
      <c r="N457" s="7" t="s">
        <v>2926</v>
      </c>
      <c r="O457" s="8" t="s">
        <v>8</v>
      </c>
      <c r="P457" s="8" t="s">
        <v>110</v>
      </c>
      <c r="Q457" s="8" t="s">
        <v>110</v>
      </c>
      <c r="R457" s="8" t="s">
        <v>2371</v>
      </c>
      <c r="S457" s="8" t="s">
        <v>2386</v>
      </c>
      <c r="T457" s="9">
        <v>400</v>
      </c>
      <c r="U457" s="9">
        <v>92800</v>
      </c>
      <c r="V457" s="8" t="s">
        <v>2386</v>
      </c>
      <c r="W457" s="8">
        <v>0</v>
      </c>
      <c r="X457" s="8">
        <v>0</v>
      </c>
      <c r="Y457" s="8">
        <v>0</v>
      </c>
      <c r="Z457" s="8">
        <v>0</v>
      </c>
      <c r="AA457" s="8">
        <v>0</v>
      </c>
      <c r="AB457" s="8">
        <v>18</v>
      </c>
      <c r="AC457" s="8">
        <v>16704</v>
      </c>
      <c r="AD457" s="8">
        <v>0</v>
      </c>
      <c r="AE457" s="8">
        <v>16704</v>
      </c>
      <c r="AF457" s="8">
        <v>0</v>
      </c>
      <c r="AG457" s="8" t="s">
        <v>624</v>
      </c>
      <c r="AH457" s="8" t="s">
        <v>11</v>
      </c>
      <c r="AI457" s="8">
        <v>32151910</v>
      </c>
      <c r="AJ457" s="8" t="s">
        <v>60</v>
      </c>
      <c r="AK457" s="8">
        <v>1</v>
      </c>
      <c r="AL457" s="8">
        <v>0</v>
      </c>
      <c r="AM457" s="8" t="s">
        <v>1905</v>
      </c>
    </row>
    <row r="458" spans="7:39" ht="12.75" customHeight="1">
      <c r="G458" s="344"/>
      <c r="H458" s="6" t="s">
        <v>3058</v>
      </c>
      <c r="I458" s="8" t="s">
        <v>109</v>
      </c>
      <c r="J458" s="8" t="s">
        <v>91</v>
      </c>
      <c r="K458" s="8" t="s">
        <v>3079</v>
      </c>
      <c r="L458" s="8" t="s">
        <v>623</v>
      </c>
      <c r="M458" s="8" t="s">
        <v>3080</v>
      </c>
      <c r="N458" s="7" t="s">
        <v>2926</v>
      </c>
      <c r="O458" s="8" t="s">
        <v>8</v>
      </c>
      <c r="P458" s="8" t="s">
        <v>110</v>
      </c>
      <c r="Q458" s="8" t="s">
        <v>2290</v>
      </c>
      <c r="R458" s="8" t="s">
        <v>2371</v>
      </c>
      <c r="S458" s="8" t="s">
        <v>3082</v>
      </c>
      <c r="T458" s="9">
        <v>50</v>
      </c>
      <c r="U458" s="9">
        <v>31750</v>
      </c>
      <c r="V458" s="8" t="s">
        <v>3082</v>
      </c>
      <c r="W458" s="8">
        <v>0</v>
      </c>
      <c r="X458" s="8">
        <v>0</v>
      </c>
      <c r="Y458" s="8">
        <v>0</v>
      </c>
      <c r="Z458" s="8">
        <v>0</v>
      </c>
      <c r="AA458" s="8">
        <v>0</v>
      </c>
      <c r="AB458" s="8">
        <v>18</v>
      </c>
      <c r="AC458" s="8">
        <v>5715</v>
      </c>
      <c r="AD458" s="8">
        <v>0</v>
      </c>
      <c r="AE458" s="8">
        <v>5715</v>
      </c>
      <c r="AF458" s="8">
        <v>0</v>
      </c>
      <c r="AG458" s="8" t="s">
        <v>624</v>
      </c>
      <c r="AH458" s="8" t="s">
        <v>11</v>
      </c>
      <c r="AI458" s="8">
        <v>32151910</v>
      </c>
      <c r="AJ458" s="8" t="s">
        <v>60</v>
      </c>
      <c r="AK458" s="8">
        <v>1</v>
      </c>
      <c r="AL458" s="8">
        <v>0</v>
      </c>
      <c r="AM458" s="8" t="s">
        <v>1905</v>
      </c>
    </row>
    <row r="459" spans="7:39" ht="12.75" customHeight="1">
      <c r="G459" s="344"/>
      <c r="H459" s="6" t="s">
        <v>3083</v>
      </c>
      <c r="I459" s="8" t="s">
        <v>87</v>
      </c>
      <c r="J459" s="8" t="s">
        <v>96</v>
      </c>
      <c r="K459" s="8" t="s">
        <v>3084</v>
      </c>
      <c r="L459" s="8" t="s">
        <v>97</v>
      </c>
      <c r="M459" s="8" t="s">
        <v>3085</v>
      </c>
      <c r="N459" s="7" t="s">
        <v>3083</v>
      </c>
      <c r="O459" s="8" t="s">
        <v>2</v>
      </c>
      <c r="P459" s="8" t="s">
        <v>67</v>
      </c>
      <c r="Q459" s="8" t="s">
        <v>68</v>
      </c>
      <c r="R459" s="8" t="s">
        <v>69</v>
      </c>
      <c r="S459" s="8" t="s">
        <v>70</v>
      </c>
      <c r="T459" s="9">
        <v>452</v>
      </c>
      <c r="U459" s="9">
        <v>21696</v>
      </c>
      <c r="V459" s="8" t="s">
        <v>70</v>
      </c>
      <c r="W459" s="8">
        <v>25579.58</v>
      </c>
      <c r="X459" s="8">
        <v>9</v>
      </c>
      <c r="Y459" s="8">
        <v>1952.64</v>
      </c>
      <c r="Z459" s="8">
        <v>9</v>
      </c>
      <c r="AA459" s="8">
        <v>1952.64</v>
      </c>
      <c r="AB459" s="8">
        <v>0</v>
      </c>
      <c r="AC459" s="8">
        <v>0</v>
      </c>
      <c r="AD459" s="8">
        <v>0</v>
      </c>
      <c r="AE459" s="8">
        <v>3905.28</v>
      </c>
      <c r="AF459" s="8">
        <v>0</v>
      </c>
      <c r="AG459" s="8" t="s">
        <v>65</v>
      </c>
      <c r="AH459" s="8" t="s">
        <v>11</v>
      </c>
      <c r="AI459" s="8">
        <v>73063090</v>
      </c>
      <c r="AJ459" s="8" t="s">
        <v>60</v>
      </c>
      <c r="AK459" s="8">
        <v>1</v>
      </c>
      <c r="AL459" s="8">
        <v>0</v>
      </c>
      <c r="AM459" s="8" t="s">
        <v>1905</v>
      </c>
    </row>
    <row r="460" spans="7:39" ht="12.75" customHeight="1">
      <c r="G460" s="344"/>
      <c r="H460" s="6" t="s">
        <v>3083</v>
      </c>
      <c r="I460" s="8" t="s">
        <v>87</v>
      </c>
      <c r="J460" s="8" t="s">
        <v>91</v>
      </c>
      <c r="K460" s="8" t="s">
        <v>3086</v>
      </c>
      <c r="L460" s="8" t="s">
        <v>98</v>
      </c>
      <c r="M460" s="8" t="s">
        <v>3087</v>
      </c>
      <c r="N460" s="7" t="s">
        <v>3058</v>
      </c>
      <c r="O460" s="8" t="s">
        <v>13</v>
      </c>
      <c r="P460" s="8" t="s">
        <v>80</v>
      </c>
      <c r="Q460" s="8" t="s">
        <v>81</v>
      </c>
      <c r="R460" s="8" t="s">
        <v>82</v>
      </c>
      <c r="S460" s="8" t="s">
        <v>17</v>
      </c>
      <c r="T460" s="9">
        <v>1350</v>
      </c>
      <c r="U460" s="9">
        <v>238761</v>
      </c>
      <c r="V460" s="8" t="s">
        <v>17</v>
      </c>
      <c r="W460" s="8">
        <v>281499.21999999997</v>
      </c>
      <c r="X460" s="8">
        <v>9</v>
      </c>
      <c r="Y460" s="8">
        <v>21488.49</v>
      </c>
      <c r="Z460" s="8">
        <v>9</v>
      </c>
      <c r="AA460" s="8">
        <v>21488.49</v>
      </c>
      <c r="AB460" s="8">
        <v>0</v>
      </c>
      <c r="AC460" s="8">
        <v>0</v>
      </c>
      <c r="AD460" s="8">
        <v>0</v>
      </c>
      <c r="AE460" s="8">
        <v>42976.98</v>
      </c>
      <c r="AF460" s="8">
        <v>0</v>
      </c>
      <c r="AG460" s="8" t="s">
        <v>65</v>
      </c>
      <c r="AH460" s="8" t="s">
        <v>11</v>
      </c>
      <c r="AI460" s="8">
        <v>39200000</v>
      </c>
      <c r="AJ460" s="8" t="s">
        <v>60</v>
      </c>
      <c r="AK460" s="8">
        <v>1</v>
      </c>
      <c r="AL460" s="8">
        <v>0</v>
      </c>
      <c r="AM460" s="8" t="s">
        <v>1905</v>
      </c>
    </row>
    <row r="461" spans="7:39" ht="12.75" customHeight="1">
      <c r="G461" s="344"/>
      <c r="H461" s="6" t="s">
        <v>3083</v>
      </c>
      <c r="I461" s="8" t="s">
        <v>87</v>
      </c>
      <c r="J461" s="8" t="s">
        <v>91</v>
      </c>
      <c r="K461" s="8" t="s">
        <v>3088</v>
      </c>
      <c r="L461" s="8" t="s">
        <v>98</v>
      </c>
      <c r="M461" s="8" t="s">
        <v>3089</v>
      </c>
      <c r="N461" s="7" t="s">
        <v>3083</v>
      </c>
      <c r="O461" s="8" t="s">
        <v>13</v>
      </c>
      <c r="P461" s="8" t="s">
        <v>62</v>
      </c>
      <c r="Q461" s="8" t="s">
        <v>63</v>
      </c>
      <c r="R461" s="8" t="s">
        <v>64</v>
      </c>
      <c r="S461" s="8" t="s">
        <v>19</v>
      </c>
      <c r="T461" s="9">
        <v>976</v>
      </c>
      <c r="U461" s="9">
        <v>140856.32000000001</v>
      </c>
      <c r="V461" s="8" t="s">
        <v>19</v>
      </c>
      <c r="W461" s="8">
        <v>2279053.04</v>
      </c>
      <c r="X461" s="8">
        <v>9</v>
      </c>
      <c r="Y461" s="8">
        <v>12677.07</v>
      </c>
      <c r="Z461" s="8">
        <v>9</v>
      </c>
      <c r="AA461" s="8">
        <v>12677.07</v>
      </c>
      <c r="AB461" s="8">
        <v>0</v>
      </c>
      <c r="AC461" s="8">
        <v>0</v>
      </c>
      <c r="AD461" s="8">
        <v>0</v>
      </c>
      <c r="AE461" s="8">
        <v>25354.14</v>
      </c>
      <c r="AF461" s="8">
        <v>0</v>
      </c>
      <c r="AG461" s="8" t="s">
        <v>65</v>
      </c>
      <c r="AH461" s="8" t="s">
        <v>11</v>
      </c>
      <c r="AI461" s="8">
        <v>39269080</v>
      </c>
      <c r="AJ461" s="8" t="s">
        <v>60</v>
      </c>
      <c r="AK461" s="8">
        <v>1</v>
      </c>
      <c r="AL461" s="8">
        <v>0</v>
      </c>
      <c r="AM461" s="8" t="s">
        <v>1905</v>
      </c>
    </row>
    <row r="462" spans="7:39" ht="12.75" customHeight="1">
      <c r="G462" s="344"/>
      <c r="H462" s="6" t="s">
        <v>3083</v>
      </c>
      <c r="I462" s="8" t="s">
        <v>87</v>
      </c>
      <c r="J462" s="8" t="s">
        <v>91</v>
      </c>
      <c r="K462" s="8" t="s">
        <v>3088</v>
      </c>
      <c r="L462" s="8" t="s">
        <v>98</v>
      </c>
      <c r="M462" s="8" t="s">
        <v>3089</v>
      </c>
      <c r="N462" s="7" t="s">
        <v>3083</v>
      </c>
      <c r="O462" s="8" t="s">
        <v>13</v>
      </c>
      <c r="P462" s="8" t="s">
        <v>62</v>
      </c>
      <c r="Q462" s="8" t="s">
        <v>63</v>
      </c>
      <c r="R462" s="8" t="s">
        <v>64</v>
      </c>
      <c r="S462" s="8" t="s">
        <v>19</v>
      </c>
      <c r="T462" s="9">
        <v>1026</v>
      </c>
      <c r="U462" s="9">
        <v>149098.32</v>
      </c>
      <c r="V462" s="8" t="s">
        <v>19</v>
      </c>
      <c r="W462" s="8">
        <v>0</v>
      </c>
      <c r="X462" s="8">
        <v>9</v>
      </c>
      <c r="Y462" s="8">
        <v>13418.85</v>
      </c>
      <c r="Z462" s="8">
        <v>9</v>
      </c>
      <c r="AA462" s="8">
        <v>13418.85</v>
      </c>
      <c r="AB462" s="8">
        <v>0</v>
      </c>
      <c r="AC462" s="8">
        <v>0</v>
      </c>
      <c r="AD462" s="8">
        <v>0</v>
      </c>
      <c r="AE462" s="8">
        <v>26837.7</v>
      </c>
      <c r="AF462" s="8">
        <v>0</v>
      </c>
      <c r="AG462" s="8" t="s">
        <v>65</v>
      </c>
      <c r="AH462" s="8" t="s">
        <v>11</v>
      </c>
      <c r="AI462" s="8">
        <v>39269080</v>
      </c>
      <c r="AJ462" s="8" t="s">
        <v>60</v>
      </c>
      <c r="AK462" s="8">
        <v>1</v>
      </c>
      <c r="AL462" s="8">
        <v>0</v>
      </c>
      <c r="AM462" s="8" t="s">
        <v>1905</v>
      </c>
    </row>
    <row r="463" spans="7:39" ht="12.75" customHeight="1">
      <c r="G463" s="344"/>
      <c r="H463" s="6" t="s">
        <v>3083</v>
      </c>
      <c r="I463" s="8" t="s">
        <v>87</v>
      </c>
      <c r="J463" s="8" t="s">
        <v>91</v>
      </c>
      <c r="K463" s="8" t="s">
        <v>3088</v>
      </c>
      <c r="L463" s="8" t="s">
        <v>98</v>
      </c>
      <c r="M463" s="8" t="s">
        <v>3089</v>
      </c>
      <c r="N463" s="7" t="s">
        <v>3083</v>
      </c>
      <c r="O463" s="8" t="s">
        <v>13</v>
      </c>
      <c r="P463" s="8" t="s">
        <v>62</v>
      </c>
      <c r="Q463" s="8" t="s">
        <v>63</v>
      </c>
      <c r="R463" s="8" t="s">
        <v>64</v>
      </c>
      <c r="S463" s="8" t="s">
        <v>19</v>
      </c>
      <c r="T463" s="9">
        <v>11545</v>
      </c>
      <c r="U463" s="9">
        <v>1643084.4</v>
      </c>
      <c r="V463" s="8" t="s">
        <v>19</v>
      </c>
      <c r="W463" s="8">
        <v>0</v>
      </c>
      <c r="X463" s="8">
        <v>9</v>
      </c>
      <c r="Y463" s="8">
        <v>147877.6</v>
      </c>
      <c r="Z463" s="8">
        <v>9</v>
      </c>
      <c r="AA463" s="8">
        <v>147877.6</v>
      </c>
      <c r="AB463" s="8">
        <v>0</v>
      </c>
      <c r="AC463" s="8">
        <v>0</v>
      </c>
      <c r="AD463" s="8">
        <v>0</v>
      </c>
      <c r="AE463" s="8">
        <v>295755.2</v>
      </c>
      <c r="AF463" s="8">
        <v>0</v>
      </c>
      <c r="AG463" s="8" t="s">
        <v>65</v>
      </c>
      <c r="AH463" s="8" t="s">
        <v>11</v>
      </c>
      <c r="AI463" s="8">
        <v>39269080</v>
      </c>
      <c r="AJ463" s="8" t="s">
        <v>60</v>
      </c>
      <c r="AK463" s="8">
        <v>1</v>
      </c>
      <c r="AL463" s="8">
        <v>0</v>
      </c>
      <c r="AM463" s="8" t="s">
        <v>1905</v>
      </c>
    </row>
    <row r="464" spans="7:39" ht="12.75" customHeight="1">
      <c r="G464" s="344"/>
      <c r="H464" s="6" t="s">
        <v>3083</v>
      </c>
      <c r="I464" s="8" t="s">
        <v>87</v>
      </c>
      <c r="J464" s="8" t="s">
        <v>91</v>
      </c>
      <c r="K464" s="8" t="s">
        <v>3090</v>
      </c>
      <c r="L464" s="8" t="s">
        <v>2348</v>
      </c>
      <c r="M464" s="8" t="s">
        <v>3091</v>
      </c>
      <c r="N464" s="7" t="s">
        <v>3083</v>
      </c>
      <c r="O464" s="8" t="s">
        <v>15</v>
      </c>
      <c r="P464" s="8" t="s">
        <v>57</v>
      </c>
      <c r="Q464" s="8" t="s">
        <v>57</v>
      </c>
      <c r="R464" s="8" t="s">
        <v>58</v>
      </c>
      <c r="S464" s="8" t="s">
        <v>16</v>
      </c>
      <c r="T464" s="9">
        <v>401</v>
      </c>
      <c r="U464" s="9">
        <v>84330.3</v>
      </c>
      <c r="V464" s="8" t="s">
        <v>16</v>
      </c>
      <c r="W464" s="8">
        <v>99425.43</v>
      </c>
      <c r="X464" s="8">
        <v>9</v>
      </c>
      <c r="Y464" s="8">
        <v>7589.73</v>
      </c>
      <c r="Z464" s="8">
        <v>9</v>
      </c>
      <c r="AA464" s="8">
        <v>7589.73</v>
      </c>
      <c r="AB464" s="8">
        <v>0</v>
      </c>
      <c r="AC464" s="8">
        <v>0</v>
      </c>
      <c r="AD464" s="8">
        <v>0</v>
      </c>
      <c r="AE464" s="8">
        <v>15179.46</v>
      </c>
      <c r="AF464" s="8">
        <v>0</v>
      </c>
      <c r="AG464" s="8" t="s">
        <v>65</v>
      </c>
      <c r="AH464" s="8" t="s">
        <v>11</v>
      </c>
      <c r="AI464" s="8">
        <v>63053200</v>
      </c>
      <c r="AJ464" s="8" t="s">
        <v>60</v>
      </c>
      <c r="AK464" s="8">
        <v>1</v>
      </c>
      <c r="AL464" s="8">
        <v>0</v>
      </c>
      <c r="AM464" s="8" t="s">
        <v>1905</v>
      </c>
    </row>
    <row r="465" spans="7:39" ht="12.75" customHeight="1">
      <c r="G465" s="344"/>
      <c r="H465" s="6" t="s">
        <v>3083</v>
      </c>
      <c r="I465" s="8" t="s">
        <v>87</v>
      </c>
      <c r="J465" s="8" t="s">
        <v>91</v>
      </c>
      <c r="K465" s="8" t="s">
        <v>3092</v>
      </c>
      <c r="L465" s="8" t="s">
        <v>98</v>
      </c>
      <c r="M465" s="8" t="s">
        <v>3093</v>
      </c>
      <c r="N465" s="7" t="s">
        <v>3083</v>
      </c>
      <c r="O465" s="8" t="s">
        <v>13</v>
      </c>
      <c r="P465" s="8" t="s">
        <v>80</v>
      </c>
      <c r="Q465" s="8" t="s">
        <v>81</v>
      </c>
      <c r="R465" s="8" t="s">
        <v>82</v>
      </c>
      <c r="S465" s="8" t="s">
        <v>17</v>
      </c>
      <c r="T465" s="9">
        <v>2697</v>
      </c>
      <c r="U465" s="9">
        <v>476991.42</v>
      </c>
      <c r="V465" s="8" t="s">
        <v>17</v>
      </c>
      <c r="W465" s="8">
        <v>562372.89</v>
      </c>
      <c r="X465" s="8">
        <v>9</v>
      </c>
      <c r="Y465" s="8">
        <v>42929.23</v>
      </c>
      <c r="Z465" s="8">
        <v>9</v>
      </c>
      <c r="AA465" s="8">
        <v>42929.23</v>
      </c>
      <c r="AB465" s="8">
        <v>0</v>
      </c>
      <c r="AC465" s="8">
        <v>0</v>
      </c>
      <c r="AD465" s="8">
        <v>0</v>
      </c>
      <c r="AE465" s="8">
        <v>85858.46</v>
      </c>
      <c r="AF465" s="8">
        <v>0</v>
      </c>
      <c r="AG465" s="8" t="s">
        <v>65</v>
      </c>
      <c r="AH465" s="8" t="s">
        <v>11</v>
      </c>
      <c r="AI465" s="8">
        <v>39200000</v>
      </c>
      <c r="AJ465" s="8" t="s">
        <v>60</v>
      </c>
      <c r="AK465" s="8">
        <v>1</v>
      </c>
      <c r="AL465" s="8">
        <v>0</v>
      </c>
      <c r="AM465" s="8" t="s">
        <v>1905</v>
      </c>
    </row>
    <row r="466" spans="7:39" ht="12.75" customHeight="1">
      <c r="G466" s="344"/>
      <c r="H466" s="6" t="s">
        <v>3083</v>
      </c>
      <c r="I466" s="8" t="s">
        <v>87</v>
      </c>
      <c r="J466" s="8" t="s">
        <v>91</v>
      </c>
      <c r="K466" s="8" t="s">
        <v>3094</v>
      </c>
      <c r="L466" s="8" t="s">
        <v>98</v>
      </c>
      <c r="M466" s="8" t="s">
        <v>3095</v>
      </c>
      <c r="N466" s="8" t="s">
        <v>3083</v>
      </c>
      <c r="O466" s="8" t="s">
        <v>13</v>
      </c>
      <c r="P466" s="8" t="s">
        <v>24</v>
      </c>
      <c r="Q466" s="8" t="s">
        <v>79</v>
      </c>
      <c r="R466" s="8" t="s">
        <v>79</v>
      </c>
      <c r="S466" s="8" t="s">
        <v>24</v>
      </c>
      <c r="T466" s="9">
        <v>65.5</v>
      </c>
      <c r="U466" s="9">
        <v>9452.9599999999991</v>
      </c>
      <c r="V466" s="8" t="s">
        <v>24</v>
      </c>
      <c r="W466" s="8">
        <v>816439.3</v>
      </c>
      <c r="X466" s="8">
        <v>9</v>
      </c>
      <c r="Y466" s="8">
        <v>850.77</v>
      </c>
      <c r="Z466" s="8">
        <v>9</v>
      </c>
      <c r="AA466" s="8">
        <v>850.77</v>
      </c>
      <c r="AB466" s="8">
        <v>0</v>
      </c>
      <c r="AC466" s="8">
        <v>0</v>
      </c>
      <c r="AD466" s="8">
        <v>0</v>
      </c>
      <c r="AE466" s="8">
        <v>1701.54</v>
      </c>
      <c r="AF466" s="8">
        <v>0</v>
      </c>
      <c r="AG466" s="8" t="s">
        <v>65</v>
      </c>
      <c r="AH466" s="8" t="s">
        <v>11</v>
      </c>
      <c r="AI466" s="8">
        <v>3926908</v>
      </c>
      <c r="AJ466" s="8" t="s">
        <v>60</v>
      </c>
      <c r="AK466" s="8">
        <v>1</v>
      </c>
      <c r="AL466" s="8">
        <v>0</v>
      </c>
      <c r="AM466" s="8" t="s">
        <v>1905</v>
      </c>
    </row>
    <row r="467" spans="7:39" ht="12.75" customHeight="1">
      <c r="G467" s="344"/>
      <c r="H467" s="6" t="s">
        <v>3083</v>
      </c>
      <c r="I467" s="8" t="s">
        <v>87</v>
      </c>
      <c r="J467" s="8" t="s">
        <v>91</v>
      </c>
      <c r="K467" s="8" t="s">
        <v>3094</v>
      </c>
      <c r="L467" s="8" t="s">
        <v>98</v>
      </c>
      <c r="M467" s="8" t="s">
        <v>3095</v>
      </c>
      <c r="N467" s="8" t="s">
        <v>3083</v>
      </c>
      <c r="O467" s="8" t="s">
        <v>13</v>
      </c>
      <c r="P467" s="8" t="s">
        <v>24</v>
      </c>
      <c r="Q467" s="8" t="s">
        <v>79</v>
      </c>
      <c r="R467" s="8" t="s">
        <v>79</v>
      </c>
      <c r="S467" s="8" t="s">
        <v>24</v>
      </c>
      <c r="T467" s="9">
        <v>21.2</v>
      </c>
      <c r="U467" s="9">
        <v>3568.38</v>
      </c>
      <c r="V467" s="8" t="s">
        <v>24</v>
      </c>
      <c r="W467" s="8">
        <v>0</v>
      </c>
      <c r="X467" s="8">
        <v>9</v>
      </c>
      <c r="Y467" s="8">
        <v>321.14999999999998</v>
      </c>
      <c r="Z467" s="8">
        <v>9</v>
      </c>
      <c r="AA467" s="8">
        <v>321.14999999999998</v>
      </c>
      <c r="AB467" s="8">
        <v>0</v>
      </c>
      <c r="AC467" s="8">
        <v>0</v>
      </c>
      <c r="AD467" s="8">
        <v>0</v>
      </c>
      <c r="AE467" s="8">
        <v>642.29999999999995</v>
      </c>
      <c r="AF467" s="8">
        <v>0</v>
      </c>
      <c r="AG467" s="8" t="s">
        <v>65</v>
      </c>
      <c r="AH467" s="8" t="s">
        <v>11</v>
      </c>
      <c r="AI467" s="8">
        <v>3926908</v>
      </c>
      <c r="AJ467" s="8" t="s">
        <v>60</v>
      </c>
      <c r="AK467" s="8">
        <v>1</v>
      </c>
      <c r="AL467" s="8">
        <v>0</v>
      </c>
      <c r="AM467" s="8" t="s">
        <v>1905</v>
      </c>
    </row>
    <row r="468" spans="7:39" ht="12.75" customHeight="1">
      <c r="G468" s="344"/>
      <c r="H468" s="6" t="s">
        <v>3083</v>
      </c>
      <c r="I468" s="8" t="s">
        <v>87</v>
      </c>
      <c r="J468" s="8" t="s">
        <v>91</v>
      </c>
      <c r="K468" s="8" t="s">
        <v>3094</v>
      </c>
      <c r="L468" s="8" t="s">
        <v>98</v>
      </c>
      <c r="M468" s="8" t="s">
        <v>3095</v>
      </c>
      <c r="N468" s="8" t="s">
        <v>3083</v>
      </c>
      <c r="O468" s="8" t="s">
        <v>13</v>
      </c>
      <c r="P468" s="8" t="s">
        <v>24</v>
      </c>
      <c r="Q468" s="8" t="s">
        <v>79</v>
      </c>
      <c r="R468" s="8" t="s">
        <v>79</v>
      </c>
      <c r="S468" s="8" t="s">
        <v>24</v>
      </c>
      <c r="T468" s="9">
        <v>1555.4</v>
      </c>
      <c r="U468" s="9">
        <v>229141.53</v>
      </c>
      <c r="V468" s="8" t="s">
        <v>24</v>
      </c>
      <c r="W468" s="8">
        <v>0</v>
      </c>
      <c r="X468" s="8">
        <v>9</v>
      </c>
      <c r="Y468" s="8">
        <v>20622.740000000002</v>
      </c>
      <c r="Z468" s="8">
        <v>9</v>
      </c>
      <c r="AA468" s="8">
        <v>20622.740000000002</v>
      </c>
      <c r="AB468" s="8">
        <v>0</v>
      </c>
      <c r="AC468" s="8">
        <v>0</v>
      </c>
      <c r="AD468" s="8">
        <v>0</v>
      </c>
      <c r="AE468" s="8">
        <v>41245.480000000003</v>
      </c>
      <c r="AF468" s="8">
        <v>0</v>
      </c>
      <c r="AG468" s="8" t="s">
        <v>65</v>
      </c>
      <c r="AH468" s="8" t="s">
        <v>11</v>
      </c>
      <c r="AI468" s="8">
        <v>3926908</v>
      </c>
      <c r="AJ468" s="8" t="s">
        <v>60</v>
      </c>
      <c r="AK468" s="8">
        <v>1</v>
      </c>
      <c r="AL468" s="8">
        <v>0</v>
      </c>
      <c r="AM468" s="8" t="s">
        <v>1905</v>
      </c>
    </row>
    <row r="469" spans="7:39" ht="12.75" customHeight="1">
      <c r="G469" s="344"/>
      <c r="H469" s="6" t="s">
        <v>3083</v>
      </c>
      <c r="I469" s="8" t="s">
        <v>87</v>
      </c>
      <c r="J469" s="8" t="s">
        <v>91</v>
      </c>
      <c r="K469" s="8" t="s">
        <v>3094</v>
      </c>
      <c r="L469" s="8" t="s">
        <v>98</v>
      </c>
      <c r="M469" s="8" t="s">
        <v>3095</v>
      </c>
      <c r="N469" s="8" t="s">
        <v>3083</v>
      </c>
      <c r="O469" s="8" t="s">
        <v>13</v>
      </c>
      <c r="P469" s="8" t="s">
        <v>62</v>
      </c>
      <c r="Q469" s="8" t="s">
        <v>76</v>
      </c>
      <c r="R469" s="8" t="s">
        <v>77</v>
      </c>
      <c r="S469" s="8" t="s">
        <v>21</v>
      </c>
      <c r="T469" s="9">
        <v>335</v>
      </c>
      <c r="U469" s="9">
        <v>48347.199999999997</v>
      </c>
      <c r="V469" s="8" t="s">
        <v>21</v>
      </c>
      <c r="W469" s="8">
        <v>0</v>
      </c>
      <c r="X469" s="8">
        <v>9</v>
      </c>
      <c r="Y469" s="8">
        <v>4351.25</v>
      </c>
      <c r="Z469" s="8">
        <v>9</v>
      </c>
      <c r="AA469" s="8">
        <v>4351.25</v>
      </c>
      <c r="AB469" s="8">
        <v>0</v>
      </c>
      <c r="AC469" s="8">
        <v>0</v>
      </c>
      <c r="AD469" s="8">
        <v>0</v>
      </c>
      <c r="AE469" s="8">
        <v>8702.5</v>
      </c>
      <c r="AF469" s="8">
        <v>0</v>
      </c>
      <c r="AG469" s="8" t="s">
        <v>65</v>
      </c>
      <c r="AH469" s="8" t="s">
        <v>11</v>
      </c>
      <c r="AI469" s="8">
        <v>63053300</v>
      </c>
      <c r="AJ469" s="8" t="s">
        <v>60</v>
      </c>
      <c r="AK469" s="8">
        <v>1</v>
      </c>
      <c r="AL469" s="8">
        <v>0</v>
      </c>
      <c r="AM469" s="8" t="s">
        <v>1905</v>
      </c>
    </row>
    <row r="470" spans="7:39" ht="12.75" customHeight="1">
      <c r="G470" s="344"/>
      <c r="H470" s="6" t="s">
        <v>3083</v>
      </c>
      <c r="I470" s="8" t="s">
        <v>87</v>
      </c>
      <c r="J470" s="8" t="s">
        <v>91</v>
      </c>
      <c r="K470" s="8" t="s">
        <v>3094</v>
      </c>
      <c r="L470" s="8" t="s">
        <v>98</v>
      </c>
      <c r="M470" s="8" t="s">
        <v>3095</v>
      </c>
      <c r="N470" s="8" t="s">
        <v>3083</v>
      </c>
      <c r="O470" s="8" t="s">
        <v>13</v>
      </c>
      <c r="P470" s="8" t="s">
        <v>62</v>
      </c>
      <c r="Q470" s="8" t="s">
        <v>63</v>
      </c>
      <c r="R470" s="8" t="s">
        <v>64</v>
      </c>
      <c r="S470" s="8" t="s">
        <v>19</v>
      </c>
      <c r="T470" s="9">
        <v>260</v>
      </c>
      <c r="U470" s="9">
        <v>37783.199999999997</v>
      </c>
      <c r="V470" s="8" t="s">
        <v>19</v>
      </c>
      <c r="W470" s="8">
        <v>0</v>
      </c>
      <c r="X470" s="8">
        <v>9</v>
      </c>
      <c r="Y470" s="8">
        <v>3400.49</v>
      </c>
      <c r="Z470" s="8">
        <v>9</v>
      </c>
      <c r="AA470" s="8">
        <v>3400.49</v>
      </c>
      <c r="AB470" s="8">
        <v>0</v>
      </c>
      <c r="AC470" s="8">
        <v>0</v>
      </c>
      <c r="AD470" s="8">
        <v>0</v>
      </c>
      <c r="AE470" s="8">
        <v>6800.98</v>
      </c>
      <c r="AF470" s="8">
        <v>0</v>
      </c>
      <c r="AG470" s="8" t="s">
        <v>65</v>
      </c>
      <c r="AH470" s="8" t="s">
        <v>11</v>
      </c>
      <c r="AI470" s="8">
        <v>39269080</v>
      </c>
      <c r="AJ470" s="8" t="s">
        <v>60</v>
      </c>
      <c r="AK470" s="8">
        <v>1</v>
      </c>
      <c r="AL470" s="8">
        <v>0</v>
      </c>
      <c r="AM470" s="8" t="s">
        <v>1905</v>
      </c>
    </row>
    <row r="471" spans="7:39" ht="12.75" customHeight="1">
      <c r="G471" s="344"/>
      <c r="H471" s="6" t="s">
        <v>3083</v>
      </c>
      <c r="I471" s="8" t="s">
        <v>87</v>
      </c>
      <c r="J471" s="8" t="s">
        <v>91</v>
      </c>
      <c r="K471" s="8" t="s">
        <v>3094</v>
      </c>
      <c r="L471" s="8" t="s">
        <v>98</v>
      </c>
      <c r="M471" s="8" t="s">
        <v>3095</v>
      </c>
      <c r="N471" s="8" t="s">
        <v>3083</v>
      </c>
      <c r="O471" s="8" t="s">
        <v>13</v>
      </c>
      <c r="P471" s="8" t="s">
        <v>62</v>
      </c>
      <c r="Q471" s="8" t="s">
        <v>63</v>
      </c>
      <c r="R471" s="8" t="s">
        <v>64</v>
      </c>
      <c r="S471" s="8" t="s">
        <v>19</v>
      </c>
      <c r="T471" s="9">
        <v>745</v>
      </c>
      <c r="U471" s="9">
        <v>107518.39999999999</v>
      </c>
      <c r="V471" s="8" t="s">
        <v>19</v>
      </c>
      <c r="W471" s="8">
        <v>0</v>
      </c>
      <c r="X471" s="8">
        <v>9</v>
      </c>
      <c r="Y471" s="8">
        <v>9676.66</v>
      </c>
      <c r="Z471" s="8">
        <v>9</v>
      </c>
      <c r="AA471" s="8">
        <v>9676.66</v>
      </c>
      <c r="AB471" s="8">
        <v>0</v>
      </c>
      <c r="AC471" s="8">
        <v>0</v>
      </c>
      <c r="AD471" s="8">
        <v>0</v>
      </c>
      <c r="AE471" s="8">
        <v>19353.32</v>
      </c>
      <c r="AF471" s="8">
        <v>0</v>
      </c>
      <c r="AG471" s="8" t="s">
        <v>65</v>
      </c>
      <c r="AH471" s="8" t="s">
        <v>11</v>
      </c>
      <c r="AI471" s="8">
        <v>39269080</v>
      </c>
      <c r="AJ471" s="8" t="s">
        <v>60</v>
      </c>
      <c r="AK471" s="8">
        <v>1</v>
      </c>
      <c r="AL471" s="8">
        <v>0</v>
      </c>
      <c r="AM471" s="8" t="s">
        <v>1905</v>
      </c>
    </row>
    <row r="472" spans="7:39" ht="12.75" customHeight="1">
      <c r="G472" s="344"/>
      <c r="H472" s="6" t="s">
        <v>3083</v>
      </c>
      <c r="I472" s="8" t="s">
        <v>87</v>
      </c>
      <c r="J472" s="8" t="s">
        <v>91</v>
      </c>
      <c r="K472" s="8" t="s">
        <v>3094</v>
      </c>
      <c r="L472" s="8" t="s">
        <v>98</v>
      </c>
      <c r="M472" s="8" t="s">
        <v>3095</v>
      </c>
      <c r="N472" s="7" t="s">
        <v>3083</v>
      </c>
      <c r="O472" s="8" t="s">
        <v>13</v>
      </c>
      <c r="P472" s="8" t="s">
        <v>62</v>
      </c>
      <c r="Q472" s="8" t="s">
        <v>63</v>
      </c>
      <c r="R472" s="8" t="s">
        <v>64</v>
      </c>
      <c r="S472" s="8" t="s">
        <v>19</v>
      </c>
      <c r="T472" s="9">
        <v>1802</v>
      </c>
      <c r="U472" s="9">
        <v>256460.64</v>
      </c>
      <c r="V472" s="8" t="s">
        <v>19</v>
      </c>
      <c r="W472" s="8">
        <v>0</v>
      </c>
      <c r="X472" s="8">
        <v>9</v>
      </c>
      <c r="Y472" s="8">
        <v>23081.46</v>
      </c>
      <c r="Z472" s="8">
        <v>9</v>
      </c>
      <c r="AA472" s="8">
        <v>23081.46</v>
      </c>
      <c r="AB472" s="8">
        <v>0</v>
      </c>
      <c r="AC472" s="8">
        <v>0</v>
      </c>
      <c r="AD472" s="8">
        <v>0</v>
      </c>
      <c r="AE472" s="8">
        <v>46162.92</v>
      </c>
      <c r="AF472" s="8">
        <v>0</v>
      </c>
      <c r="AG472" s="8" t="s">
        <v>65</v>
      </c>
      <c r="AH472" s="8" t="s">
        <v>11</v>
      </c>
      <c r="AI472" s="8">
        <v>39269080</v>
      </c>
      <c r="AJ472" s="8" t="s">
        <v>60</v>
      </c>
      <c r="AK472" s="8">
        <v>1</v>
      </c>
      <c r="AL472" s="8">
        <v>0</v>
      </c>
      <c r="AM472" s="8" t="s">
        <v>1905</v>
      </c>
    </row>
    <row r="473" spans="7:39" ht="12.75" customHeight="1">
      <c r="G473" s="344"/>
      <c r="H473" s="6" t="s">
        <v>3083</v>
      </c>
      <c r="I473" s="8" t="s">
        <v>87</v>
      </c>
      <c r="J473" s="8" t="s">
        <v>91</v>
      </c>
      <c r="K473" s="8" t="s">
        <v>3094</v>
      </c>
      <c r="L473" s="8" t="s">
        <v>98</v>
      </c>
      <c r="M473" s="8" t="s">
        <v>3095</v>
      </c>
      <c r="N473" s="8" t="s">
        <v>3083</v>
      </c>
      <c r="O473" s="8" t="s">
        <v>13</v>
      </c>
      <c r="P473" s="8" t="s">
        <v>80</v>
      </c>
      <c r="Q473" s="8" t="s">
        <v>81</v>
      </c>
      <c r="R473" s="8" t="s">
        <v>82</v>
      </c>
      <c r="S473" s="8" t="s">
        <v>17</v>
      </c>
      <c r="T473" s="9">
        <v>1.2</v>
      </c>
      <c r="U473" s="9">
        <v>212.23</v>
      </c>
      <c r="V473" s="8" t="s">
        <v>17</v>
      </c>
      <c r="W473" s="8">
        <v>0</v>
      </c>
      <c r="X473" s="8">
        <v>9</v>
      </c>
      <c r="Y473" s="8">
        <v>19.100000000000001</v>
      </c>
      <c r="Z473" s="8">
        <v>9</v>
      </c>
      <c r="AA473" s="8">
        <v>19.100000000000001</v>
      </c>
      <c r="AB473" s="8">
        <v>0</v>
      </c>
      <c r="AC473" s="8">
        <v>0</v>
      </c>
      <c r="AD473" s="8">
        <v>0</v>
      </c>
      <c r="AE473" s="8">
        <v>38.200000000000003</v>
      </c>
      <c r="AF473" s="8">
        <v>0</v>
      </c>
      <c r="AG473" s="8" t="s">
        <v>65</v>
      </c>
      <c r="AH473" s="8" t="s">
        <v>11</v>
      </c>
      <c r="AI473" s="8">
        <v>39200000</v>
      </c>
      <c r="AJ473" s="8" t="s">
        <v>60</v>
      </c>
      <c r="AK473" s="8">
        <v>1</v>
      </c>
      <c r="AL473" s="8">
        <v>0</v>
      </c>
      <c r="AM473" s="8" t="s">
        <v>1905</v>
      </c>
    </row>
    <row r="474" spans="7:39" ht="12.75" customHeight="1">
      <c r="G474" s="344"/>
      <c r="H474" s="6" t="s">
        <v>3096</v>
      </c>
      <c r="I474" s="8" t="s">
        <v>2477</v>
      </c>
      <c r="J474" s="8" t="s">
        <v>88</v>
      </c>
      <c r="K474" s="8" t="s">
        <v>3097</v>
      </c>
      <c r="L474" s="8" t="s">
        <v>2335</v>
      </c>
      <c r="M474" s="8" t="s">
        <v>3098</v>
      </c>
      <c r="N474" s="8" t="s">
        <v>3058</v>
      </c>
      <c r="O474" s="8" t="s">
        <v>15</v>
      </c>
      <c r="P474" s="8" t="s">
        <v>57</v>
      </c>
      <c r="Q474" s="8" t="s">
        <v>57</v>
      </c>
      <c r="R474" s="8" t="s">
        <v>58</v>
      </c>
      <c r="S474" s="8" t="s">
        <v>16</v>
      </c>
      <c r="T474" s="9">
        <v>2570.7199999999998</v>
      </c>
      <c r="U474" s="9">
        <v>524606.82999999996</v>
      </c>
      <c r="V474" s="8" t="s">
        <v>16</v>
      </c>
      <c r="W474" s="8">
        <v>524606.82999999996</v>
      </c>
      <c r="X474" s="8">
        <v>0</v>
      </c>
      <c r="Y474" s="8">
        <v>0</v>
      </c>
      <c r="Z474" s="8">
        <v>0</v>
      </c>
      <c r="AA474" s="8">
        <v>0</v>
      </c>
      <c r="AB474" s="8">
        <v>0</v>
      </c>
      <c r="AC474" s="8">
        <v>0</v>
      </c>
      <c r="AD474" s="8">
        <v>0</v>
      </c>
      <c r="AE474" s="8">
        <v>0</v>
      </c>
      <c r="AF474" s="8">
        <v>0</v>
      </c>
      <c r="AG474" s="8" t="s">
        <v>104</v>
      </c>
      <c r="AH474" s="8" t="s">
        <v>11</v>
      </c>
      <c r="AI474" s="8">
        <v>63053200</v>
      </c>
      <c r="AJ474" s="8" t="s">
        <v>60</v>
      </c>
      <c r="AK474" s="8">
        <v>1</v>
      </c>
      <c r="AL474" s="8">
        <v>0</v>
      </c>
      <c r="AM474" s="8" t="s">
        <v>1905</v>
      </c>
    </row>
    <row r="475" spans="7:39" ht="12.75" customHeight="1">
      <c r="G475" s="344"/>
      <c r="H475" s="6" t="s">
        <v>3096</v>
      </c>
      <c r="I475" s="8" t="s">
        <v>87</v>
      </c>
      <c r="J475" s="8" t="s">
        <v>96</v>
      </c>
      <c r="K475" s="8" t="s">
        <v>3099</v>
      </c>
      <c r="L475" s="8" t="s">
        <v>97</v>
      </c>
      <c r="M475" s="8" t="s">
        <v>3100</v>
      </c>
      <c r="N475" s="8" t="s">
        <v>3096</v>
      </c>
      <c r="O475" s="8" t="s">
        <v>2</v>
      </c>
      <c r="P475" s="8" t="s">
        <v>67</v>
      </c>
      <c r="Q475" s="8" t="s">
        <v>68</v>
      </c>
      <c r="R475" s="8" t="s">
        <v>69</v>
      </c>
      <c r="S475" s="8" t="s">
        <v>70</v>
      </c>
      <c r="T475" s="9">
        <v>205</v>
      </c>
      <c r="U475" s="9">
        <v>9840</v>
      </c>
      <c r="V475" s="8" t="s">
        <v>70</v>
      </c>
      <c r="W475" s="8">
        <v>11601.36</v>
      </c>
      <c r="X475" s="8">
        <v>9</v>
      </c>
      <c r="Y475" s="8">
        <v>885.6</v>
      </c>
      <c r="Z475" s="8">
        <v>9</v>
      </c>
      <c r="AA475" s="8">
        <v>885.6</v>
      </c>
      <c r="AB475" s="8">
        <v>0</v>
      </c>
      <c r="AC475" s="8">
        <v>0</v>
      </c>
      <c r="AD475" s="8">
        <v>0</v>
      </c>
      <c r="AE475" s="8">
        <v>1771.2</v>
      </c>
      <c r="AF475" s="8">
        <v>0</v>
      </c>
      <c r="AG475" s="8" t="s">
        <v>65</v>
      </c>
      <c r="AH475" s="8" t="s">
        <v>11</v>
      </c>
      <c r="AI475" s="8">
        <v>73063090</v>
      </c>
      <c r="AJ475" s="8" t="s">
        <v>60</v>
      </c>
      <c r="AK475" s="8">
        <v>1</v>
      </c>
      <c r="AL475" s="8">
        <v>0</v>
      </c>
      <c r="AM475" s="8" t="s">
        <v>1905</v>
      </c>
    </row>
    <row r="476" spans="7:39" ht="12.75" customHeight="1">
      <c r="G476" s="344"/>
      <c r="H476" s="6" t="s">
        <v>3096</v>
      </c>
      <c r="I476" s="8" t="s">
        <v>87</v>
      </c>
      <c r="J476" s="8" t="s">
        <v>96</v>
      </c>
      <c r="K476" s="8" t="s">
        <v>3101</v>
      </c>
      <c r="L476" s="8" t="s">
        <v>97</v>
      </c>
      <c r="M476" s="8" t="s">
        <v>3102</v>
      </c>
      <c r="N476" s="8" t="s">
        <v>3096</v>
      </c>
      <c r="O476" s="8" t="s">
        <v>2</v>
      </c>
      <c r="P476" s="8" t="s">
        <v>67</v>
      </c>
      <c r="Q476" s="8" t="s">
        <v>68</v>
      </c>
      <c r="R476" s="8" t="s">
        <v>69</v>
      </c>
      <c r="S476" s="8" t="s">
        <v>70</v>
      </c>
      <c r="T476" s="9">
        <v>85</v>
      </c>
      <c r="U476" s="9">
        <v>4080</v>
      </c>
      <c r="V476" s="8" t="s">
        <v>70</v>
      </c>
      <c r="W476" s="8">
        <v>4810.32</v>
      </c>
      <c r="X476" s="8">
        <v>9</v>
      </c>
      <c r="Y476" s="8">
        <v>367.2</v>
      </c>
      <c r="Z476" s="8">
        <v>9</v>
      </c>
      <c r="AA476" s="8">
        <v>367.2</v>
      </c>
      <c r="AB476" s="8">
        <v>0</v>
      </c>
      <c r="AC476" s="8">
        <v>0</v>
      </c>
      <c r="AD476" s="8">
        <v>0</v>
      </c>
      <c r="AE476" s="8">
        <v>734.4</v>
      </c>
      <c r="AF476" s="8">
        <v>0</v>
      </c>
      <c r="AG476" s="8" t="s">
        <v>65</v>
      </c>
      <c r="AH476" s="8" t="s">
        <v>11</v>
      </c>
      <c r="AI476" s="8">
        <v>73063090</v>
      </c>
      <c r="AJ476" s="8" t="s">
        <v>60</v>
      </c>
      <c r="AK476" s="8">
        <v>1</v>
      </c>
      <c r="AL476" s="8">
        <v>0</v>
      </c>
      <c r="AM476" s="8" t="s">
        <v>1905</v>
      </c>
    </row>
    <row r="477" spans="7:39" ht="12.75" customHeight="1">
      <c r="G477" s="344"/>
      <c r="H477" s="6" t="s">
        <v>3096</v>
      </c>
      <c r="I477" s="8" t="s">
        <v>87</v>
      </c>
      <c r="J477" s="8" t="s">
        <v>91</v>
      </c>
      <c r="K477" s="8" t="s">
        <v>3103</v>
      </c>
      <c r="L477" s="8" t="s">
        <v>98</v>
      </c>
      <c r="M477" s="8" t="s">
        <v>3104</v>
      </c>
      <c r="N477" s="7" t="s">
        <v>3096</v>
      </c>
      <c r="O477" s="8" t="s">
        <v>13</v>
      </c>
      <c r="P477" s="8" t="s">
        <v>62</v>
      </c>
      <c r="Q477" s="8" t="s">
        <v>76</v>
      </c>
      <c r="R477" s="8" t="s">
        <v>77</v>
      </c>
      <c r="S477" s="8" t="s">
        <v>21</v>
      </c>
      <c r="T477" s="9">
        <v>390</v>
      </c>
      <c r="U477" s="9">
        <v>57064.800000000003</v>
      </c>
      <c r="V477" s="8" t="s">
        <v>21</v>
      </c>
      <c r="W477" s="8">
        <v>1154674.49</v>
      </c>
      <c r="X477" s="8">
        <v>9</v>
      </c>
      <c r="Y477" s="8">
        <v>5135.83</v>
      </c>
      <c r="Z477" s="8">
        <v>9</v>
      </c>
      <c r="AA477" s="8">
        <v>5135.83</v>
      </c>
      <c r="AB477" s="8">
        <v>0</v>
      </c>
      <c r="AC477" s="8">
        <v>0</v>
      </c>
      <c r="AD477" s="8">
        <v>0</v>
      </c>
      <c r="AE477" s="8">
        <v>10271.66</v>
      </c>
      <c r="AF477" s="8">
        <v>0</v>
      </c>
      <c r="AG477" s="8" t="s">
        <v>65</v>
      </c>
      <c r="AH477" s="8" t="s">
        <v>11</v>
      </c>
      <c r="AI477" s="8">
        <v>63053300</v>
      </c>
      <c r="AJ477" s="8" t="s">
        <v>60</v>
      </c>
      <c r="AK477" s="8">
        <v>1</v>
      </c>
      <c r="AL477" s="8">
        <v>0</v>
      </c>
      <c r="AM477" s="8" t="s">
        <v>1905</v>
      </c>
    </row>
    <row r="478" spans="7:39" ht="12.75" customHeight="1">
      <c r="G478" s="344"/>
      <c r="H478" s="6" t="s">
        <v>3096</v>
      </c>
      <c r="I478" s="8" t="s">
        <v>87</v>
      </c>
      <c r="J478" s="8" t="s">
        <v>91</v>
      </c>
      <c r="K478" s="8" t="s">
        <v>3103</v>
      </c>
      <c r="L478" s="8" t="s">
        <v>98</v>
      </c>
      <c r="M478" s="8" t="s">
        <v>3104</v>
      </c>
      <c r="N478" s="8" t="s">
        <v>3096</v>
      </c>
      <c r="O478" s="8" t="s">
        <v>13</v>
      </c>
      <c r="P478" s="8" t="s">
        <v>62</v>
      </c>
      <c r="Q478" s="8" t="s">
        <v>63</v>
      </c>
      <c r="R478" s="8" t="s">
        <v>64</v>
      </c>
      <c r="S478" s="8" t="s">
        <v>19</v>
      </c>
      <c r="T478" s="9">
        <v>5357</v>
      </c>
      <c r="U478" s="9">
        <v>762408.24</v>
      </c>
      <c r="V478" s="8" t="s">
        <v>19</v>
      </c>
      <c r="W478" s="8">
        <v>0</v>
      </c>
      <c r="X478" s="8">
        <v>9</v>
      </c>
      <c r="Y478" s="8">
        <v>68616.740000000005</v>
      </c>
      <c r="Z478" s="8">
        <v>9</v>
      </c>
      <c r="AA478" s="8">
        <v>68616.740000000005</v>
      </c>
      <c r="AB478" s="8">
        <v>0</v>
      </c>
      <c r="AC478" s="8">
        <v>0</v>
      </c>
      <c r="AD478" s="8">
        <v>0</v>
      </c>
      <c r="AE478" s="8">
        <v>137233.48000000001</v>
      </c>
      <c r="AF478" s="8">
        <v>0</v>
      </c>
      <c r="AG478" s="8" t="s">
        <v>65</v>
      </c>
      <c r="AH478" s="8" t="s">
        <v>11</v>
      </c>
      <c r="AI478" s="8">
        <v>39269080</v>
      </c>
      <c r="AJ478" s="8" t="s">
        <v>60</v>
      </c>
      <c r="AK478" s="8">
        <v>1</v>
      </c>
      <c r="AL478" s="8">
        <v>0</v>
      </c>
      <c r="AM478" s="8" t="s">
        <v>1905</v>
      </c>
    </row>
    <row r="479" spans="7:39" ht="12.75" customHeight="1">
      <c r="G479" s="344"/>
      <c r="H479" s="6" t="s">
        <v>3096</v>
      </c>
      <c r="I479" s="8" t="s">
        <v>87</v>
      </c>
      <c r="J479" s="8" t="s">
        <v>91</v>
      </c>
      <c r="K479" s="8" t="s">
        <v>3103</v>
      </c>
      <c r="L479" s="8" t="s">
        <v>98</v>
      </c>
      <c r="M479" s="8" t="s">
        <v>3104</v>
      </c>
      <c r="N479" s="7" t="s">
        <v>3096</v>
      </c>
      <c r="O479" s="8" t="s">
        <v>13</v>
      </c>
      <c r="P479" s="8" t="s">
        <v>62</v>
      </c>
      <c r="Q479" s="8" t="s">
        <v>63</v>
      </c>
      <c r="R479" s="8" t="s">
        <v>64</v>
      </c>
      <c r="S479" s="8" t="s">
        <v>19</v>
      </c>
      <c r="T479" s="9">
        <v>854</v>
      </c>
      <c r="U479" s="9">
        <v>124103.28</v>
      </c>
      <c r="V479" s="8" t="s">
        <v>19</v>
      </c>
      <c r="W479" s="8">
        <v>0</v>
      </c>
      <c r="X479" s="8">
        <v>9</v>
      </c>
      <c r="Y479" s="8">
        <v>11169.3</v>
      </c>
      <c r="Z479" s="8">
        <v>9</v>
      </c>
      <c r="AA479" s="8">
        <v>11169.3</v>
      </c>
      <c r="AB479" s="8">
        <v>0</v>
      </c>
      <c r="AC479" s="8">
        <v>0</v>
      </c>
      <c r="AD479" s="8">
        <v>0</v>
      </c>
      <c r="AE479" s="8">
        <v>22338.6</v>
      </c>
      <c r="AF479" s="8">
        <v>0</v>
      </c>
      <c r="AG479" s="8" t="s">
        <v>65</v>
      </c>
      <c r="AH479" s="8" t="s">
        <v>11</v>
      </c>
      <c r="AI479" s="8">
        <v>39269080</v>
      </c>
      <c r="AJ479" s="8" t="s">
        <v>60</v>
      </c>
      <c r="AK479" s="8">
        <v>1</v>
      </c>
      <c r="AL479" s="8">
        <v>0</v>
      </c>
      <c r="AM479" s="8" t="s">
        <v>1905</v>
      </c>
    </row>
    <row r="480" spans="7:39" ht="12.75" customHeight="1">
      <c r="G480" s="344"/>
      <c r="H480" s="6" t="s">
        <v>3096</v>
      </c>
      <c r="I480" s="8" t="s">
        <v>87</v>
      </c>
      <c r="J480" s="8" t="s">
        <v>91</v>
      </c>
      <c r="K480" s="8" t="s">
        <v>3103</v>
      </c>
      <c r="L480" s="8" t="s">
        <v>98</v>
      </c>
      <c r="M480" s="8" t="s">
        <v>3104</v>
      </c>
      <c r="N480" s="7" t="s">
        <v>3096</v>
      </c>
      <c r="O480" s="8" t="s">
        <v>13</v>
      </c>
      <c r="P480" s="8" t="s">
        <v>62</v>
      </c>
      <c r="Q480" s="8" t="s">
        <v>63</v>
      </c>
      <c r="R480" s="8" t="s">
        <v>64</v>
      </c>
      <c r="S480" s="8" t="s">
        <v>19</v>
      </c>
      <c r="T480" s="9">
        <v>248</v>
      </c>
      <c r="U480" s="9">
        <v>35791.360000000001</v>
      </c>
      <c r="V480" s="8" t="s">
        <v>19</v>
      </c>
      <c r="W480" s="8">
        <v>0</v>
      </c>
      <c r="X480" s="8">
        <v>9</v>
      </c>
      <c r="Y480" s="8">
        <v>3221.22</v>
      </c>
      <c r="Z480" s="8">
        <v>9</v>
      </c>
      <c r="AA480" s="8">
        <v>3221.22</v>
      </c>
      <c r="AB480" s="8">
        <v>0</v>
      </c>
      <c r="AC480" s="8">
        <v>0</v>
      </c>
      <c r="AD480" s="8">
        <v>0</v>
      </c>
      <c r="AE480" s="8">
        <v>6442.44</v>
      </c>
      <c r="AF480" s="8">
        <v>0</v>
      </c>
      <c r="AG480" s="8" t="s">
        <v>65</v>
      </c>
      <c r="AH480" s="8" t="s">
        <v>11</v>
      </c>
      <c r="AI480" s="8">
        <v>39269080</v>
      </c>
      <c r="AJ480" s="8" t="s">
        <v>60</v>
      </c>
      <c r="AK480" s="8">
        <v>1</v>
      </c>
      <c r="AL480" s="8">
        <v>0</v>
      </c>
      <c r="AM480" s="8" t="s">
        <v>1905</v>
      </c>
    </row>
    <row r="481" spans="7:39" ht="12.75" customHeight="1">
      <c r="G481" s="344"/>
      <c r="H481" s="6" t="s">
        <v>3096</v>
      </c>
      <c r="I481" s="8" t="s">
        <v>87</v>
      </c>
      <c r="J481" s="8" t="s">
        <v>91</v>
      </c>
      <c r="K481" s="8" t="s">
        <v>3105</v>
      </c>
      <c r="L481" s="8" t="s">
        <v>98</v>
      </c>
      <c r="M481" s="8" t="s">
        <v>3106</v>
      </c>
      <c r="N481" s="7" t="s">
        <v>3096</v>
      </c>
      <c r="O481" s="8" t="s">
        <v>13</v>
      </c>
      <c r="P481" s="8" t="s">
        <v>80</v>
      </c>
      <c r="Q481" s="8" t="s">
        <v>81</v>
      </c>
      <c r="R481" s="8" t="s">
        <v>82</v>
      </c>
      <c r="S481" s="8" t="s">
        <v>17</v>
      </c>
      <c r="T481" s="9">
        <v>4745</v>
      </c>
      <c r="U481" s="9">
        <v>839200.7</v>
      </c>
      <c r="V481" s="8" t="s">
        <v>17</v>
      </c>
      <c r="W481" s="8">
        <v>1314637.8799999999</v>
      </c>
      <c r="X481" s="8">
        <v>9</v>
      </c>
      <c r="Y481" s="8">
        <v>75528.06</v>
      </c>
      <c r="Z481" s="8">
        <v>9</v>
      </c>
      <c r="AA481" s="8">
        <v>75528.06</v>
      </c>
      <c r="AB481" s="8">
        <v>0</v>
      </c>
      <c r="AC481" s="8">
        <v>0</v>
      </c>
      <c r="AD481" s="8">
        <v>0</v>
      </c>
      <c r="AE481" s="8">
        <v>151056.12</v>
      </c>
      <c r="AF481" s="8">
        <v>0</v>
      </c>
      <c r="AG481" s="8" t="s">
        <v>65</v>
      </c>
      <c r="AH481" s="8" t="s">
        <v>11</v>
      </c>
      <c r="AI481" s="8">
        <v>39200000</v>
      </c>
      <c r="AJ481" s="8" t="s">
        <v>60</v>
      </c>
      <c r="AK481" s="8">
        <v>1</v>
      </c>
      <c r="AL481" s="8">
        <v>0</v>
      </c>
      <c r="AM481" s="8" t="s">
        <v>1905</v>
      </c>
    </row>
    <row r="482" spans="7:39" ht="12.75" customHeight="1">
      <c r="G482" s="344"/>
      <c r="H482" s="6" t="s">
        <v>3096</v>
      </c>
      <c r="I482" s="8" t="s">
        <v>87</v>
      </c>
      <c r="J482" s="8" t="s">
        <v>91</v>
      </c>
      <c r="K482" s="8" t="s">
        <v>3105</v>
      </c>
      <c r="L482" s="8" t="s">
        <v>98</v>
      </c>
      <c r="M482" s="8" t="s">
        <v>3106</v>
      </c>
      <c r="N482" s="7" t="s">
        <v>3096</v>
      </c>
      <c r="O482" s="8" t="s">
        <v>13</v>
      </c>
      <c r="P482" s="8" t="s">
        <v>80</v>
      </c>
      <c r="Q482" s="8" t="s">
        <v>81</v>
      </c>
      <c r="R482" s="8" t="s">
        <v>82</v>
      </c>
      <c r="S482" s="8" t="s">
        <v>17</v>
      </c>
      <c r="T482" s="9">
        <v>289</v>
      </c>
      <c r="U482" s="9">
        <v>53424.54</v>
      </c>
      <c r="V482" s="8" t="s">
        <v>17</v>
      </c>
      <c r="W482" s="8">
        <v>0</v>
      </c>
      <c r="X482" s="8">
        <v>9</v>
      </c>
      <c r="Y482" s="8">
        <v>4808.21</v>
      </c>
      <c r="Z482" s="8">
        <v>9</v>
      </c>
      <c r="AA482" s="8">
        <v>4808.21</v>
      </c>
      <c r="AB482" s="8">
        <v>0</v>
      </c>
      <c r="AC482" s="8">
        <v>0</v>
      </c>
      <c r="AD482" s="8">
        <v>0</v>
      </c>
      <c r="AE482" s="8">
        <v>9616.42</v>
      </c>
      <c r="AF482" s="8">
        <v>0</v>
      </c>
      <c r="AG482" s="8" t="s">
        <v>65</v>
      </c>
      <c r="AH482" s="8" t="s">
        <v>11</v>
      </c>
      <c r="AI482" s="8">
        <v>39200000</v>
      </c>
      <c r="AJ482" s="8" t="s">
        <v>60</v>
      </c>
      <c r="AK482" s="8">
        <v>1</v>
      </c>
      <c r="AL482" s="8">
        <v>0</v>
      </c>
      <c r="AM482" s="8" t="s">
        <v>1905</v>
      </c>
    </row>
    <row r="483" spans="7:39" ht="12.75" customHeight="1">
      <c r="G483" s="344"/>
      <c r="H483" s="6" t="s">
        <v>3096</v>
      </c>
      <c r="I483" s="8" t="s">
        <v>87</v>
      </c>
      <c r="J483" s="8" t="s">
        <v>91</v>
      </c>
      <c r="K483" s="8" t="s">
        <v>3105</v>
      </c>
      <c r="L483" s="8" t="s">
        <v>98</v>
      </c>
      <c r="M483" s="8" t="s">
        <v>3106</v>
      </c>
      <c r="N483" s="7" t="s">
        <v>3096</v>
      </c>
      <c r="O483" s="8" t="s">
        <v>13</v>
      </c>
      <c r="P483" s="8" t="s">
        <v>24</v>
      </c>
      <c r="Q483" s="8" t="s">
        <v>79</v>
      </c>
      <c r="R483" s="8" t="s">
        <v>79</v>
      </c>
      <c r="S483" s="8" t="s">
        <v>24</v>
      </c>
      <c r="T483" s="9">
        <v>1431.8</v>
      </c>
      <c r="U483" s="9">
        <v>210932.78</v>
      </c>
      <c r="V483" s="8" t="s">
        <v>24</v>
      </c>
      <c r="W483" s="8">
        <v>0</v>
      </c>
      <c r="X483" s="8">
        <v>9</v>
      </c>
      <c r="Y483" s="8">
        <v>18983.95</v>
      </c>
      <c r="Z483" s="8">
        <v>9</v>
      </c>
      <c r="AA483" s="8">
        <v>18983.95</v>
      </c>
      <c r="AB483" s="8">
        <v>0</v>
      </c>
      <c r="AC483" s="8">
        <v>0</v>
      </c>
      <c r="AD483" s="8">
        <v>0</v>
      </c>
      <c r="AE483" s="8">
        <v>37967.9</v>
      </c>
      <c r="AF483" s="8">
        <v>0</v>
      </c>
      <c r="AG483" s="8" t="s">
        <v>65</v>
      </c>
      <c r="AH483" s="8" t="s">
        <v>11</v>
      </c>
      <c r="AI483" s="8">
        <v>3926908</v>
      </c>
      <c r="AJ483" s="8" t="s">
        <v>60</v>
      </c>
      <c r="AK483" s="8">
        <v>1</v>
      </c>
      <c r="AL483" s="8">
        <v>0</v>
      </c>
      <c r="AM483" s="8" t="s">
        <v>1905</v>
      </c>
    </row>
    <row r="484" spans="7:39" ht="12.75" customHeight="1">
      <c r="G484" s="344"/>
      <c r="H484" s="6" t="s">
        <v>3096</v>
      </c>
      <c r="I484" s="8" t="s">
        <v>87</v>
      </c>
      <c r="J484" s="8" t="s">
        <v>91</v>
      </c>
      <c r="K484" s="8" t="s">
        <v>3105</v>
      </c>
      <c r="L484" s="8" t="s">
        <v>98</v>
      </c>
      <c r="M484" s="8" t="s">
        <v>3106</v>
      </c>
      <c r="N484" s="7" t="s">
        <v>3096</v>
      </c>
      <c r="O484" s="8" t="s">
        <v>13</v>
      </c>
      <c r="P484" s="8" t="s">
        <v>24</v>
      </c>
      <c r="Q484" s="8" t="s">
        <v>79</v>
      </c>
      <c r="R484" s="8" t="s">
        <v>79</v>
      </c>
      <c r="S484" s="8" t="s">
        <v>24</v>
      </c>
      <c r="T484" s="9">
        <v>56.5</v>
      </c>
      <c r="U484" s="9">
        <v>8154.08</v>
      </c>
      <c r="V484" s="8" t="s">
        <v>24</v>
      </c>
      <c r="W484" s="8">
        <v>0</v>
      </c>
      <c r="X484" s="8">
        <v>9</v>
      </c>
      <c r="Y484" s="8">
        <v>733.87</v>
      </c>
      <c r="Z484" s="8">
        <v>9</v>
      </c>
      <c r="AA484" s="8">
        <v>733.87</v>
      </c>
      <c r="AB484" s="8">
        <v>0</v>
      </c>
      <c r="AC484" s="8">
        <v>0</v>
      </c>
      <c r="AD484" s="8">
        <v>0</v>
      </c>
      <c r="AE484" s="8">
        <v>1467.74</v>
      </c>
      <c r="AF484" s="8">
        <v>0</v>
      </c>
      <c r="AG484" s="8" t="s">
        <v>65</v>
      </c>
      <c r="AH484" s="8" t="s">
        <v>11</v>
      </c>
      <c r="AI484" s="8">
        <v>3926908</v>
      </c>
      <c r="AJ484" s="8" t="s">
        <v>60</v>
      </c>
      <c r="AK484" s="8">
        <v>1</v>
      </c>
      <c r="AL484" s="8">
        <v>0</v>
      </c>
      <c r="AM484" s="8" t="s">
        <v>1905</v>
      </c>
    </row>
    <row r="485" spans="7:39" ht="12.75" customHeight="1">
      <c r="G485" s="344"/>
      <c r="H485" s="6" t="s">
        <v>3096</v>
      </c>
      <c r="I485" s="8" t="s">
        <v>87</v>
      </c>
      <c r="J485" s="8" t="s">
        <v>91</v>
      </c>
      <c r="K485" s="8" t="s">
        <v>3105</v>
      </c>
      <c r="L485" s="8" t="s">
        <v>98</v>
      </c>
      <c r="M485" s="8" t="s">
        <v>3106</v>
      </c>
      <c r="N485" s="7" t="s">
        <v>3096</v>
      </c>
      <c r="O485" s="8" t="s">
        <v>13</v>
      </c>
      <c r="P485" s="8" t="s">
        <v>24</v>
      </c>
      <c r="Q485" s="8" t="s">
        <v>79</v>
      </c>
      <c r="R485" s="8" t="s">
        <v>79</v>
      </c>
      <c r="S485" s="8" t="s">
        <v>24</v>
      </c>
      <c r="T485" s="9">
        <v>19.8</v>
      </c>
      <c r="U485" s="9">
        <v>3332.74</v>
      </c>
      <c r="V485" s="8" t="s">
        <v>24</v>
      </c>
      <c r="W485" s="8">
        <v>0</v>
      </c>
      <c r="X485" s="8">
        <v>9</v>
      </c>
      <c r="Y485" s="8">
        <v>299.95</v>
      </c>
      <c r="Z485" s="8">
        <v>9</v>
      </c>
      <c r="AA485" s="8">
        <v>299.95</v>
      </c>
      <c r="AB485" s="8">
        <v>0</v>
      </c>
      <c r="AC485" s="8">
        <v>0</v>
      </c>
      <c r="AD485" s="8">
        <v>0</v>
      </c>
      <c r="AE485" s="8">
        <v>599.9</v>
      </c>
      <c r="AF485" s="8">
        <v>0</v>
      </c>
      <c r="AG485" s="8" t="s">
        <v>65</v>
      </c>
      <c r="AH485" s="8" t="s">
        <v>11</v>
      </c>
      <c r="AI485" s="8">
        <v>3926908</v>
      </c>
      <c r="AJ485" s="8" t="s">
        <v>60</v>
      </c>
      <c r="AK485" s="8">
        <v>1</v>
      </c>
      <c r="AL485" s="8">
        <v>0</v>
      </c>
      <c r="AM485" s="8" t="s">
        <v>1905</v>
      </c>
    </row>
    <row r="486" spans="7:39" ht="12.75" customHeight="1">
      <c r="G486" s="344"/>
      <c r="H486" s="6" t="s">
        <v>3096</v>
      </c>
      <c r="I486" s="8" t="s">
        <v>87</v>
      </c>
      <c r="J486" s="8" t="s">
        <v>91</v>
      </c>
      <c r="K486" s="8" t="s">
        <v>3107</v>
      </c>
      <c r="L486" s="8" t="s">
        <v>98</v>
      </c>
      <c r="M486" s="8" t="s">
        <v>3108</v>
      </c>
      <c r="N486" s="7" t="s">
        <v>3096</v>
      </c>
      <c r="O486" s="8" t="s">
        <v>13</v>
      </c>
      <c r="P486" s="8" t="s">
        <v>62</v>
      </c>
      <c r="Q486" s="8" t="s">
        <v>63</v>
      </c>
      <c r="R486" s="8" t="s">
        <v>64</v>
      </c>
      <c r="S486" s="8" t="s">
        <v>19</v>
      </c>
      <c r="T486" s="9">
        <v>561</v>
      </c>
      <c r="U486" s="9">
        <v>80963.520000000004</v>
      </c>
      <c r="V486" s="8" t="s">
        <v>19</v>
      </c>
      <c r="W486" s="8">
        <v>449143.41</v>
      </c>
      <c r="X486" s="8">
        <v>9</v>
      </c>
      <c r="Y486" s="8">
        <v>7286.72</v>
      </c>
      <c r="Z486" s="8">
        <v>9</v>
      </c>
      <c r="AA486" s="8">
        <v>7286.72</v>
      </c>
      <c r="AB486" s="8">
        <v>0</v>
      </c>
      <c r="AC486" s="8">
        <v>0</v>
      </c>
      <c r="AD486" s="8">
        <v>0</v>
      </c>
      <c r="AE486" s="8">
        <v>14573.44</v>
      </c>
      <c r="AF486" s="8">
        <v>0</v>
      </c>
      <c r="AG486" s="8" t="s">
        <v>65</v>
      </c>
      <c r="AH486" s="8" t="s">
        <v>11</v>
      </c>
      <c r="AI486" s="8">
        <v>39269080</v>
      </c>
      <c r="AJ486" s="8" t="s">
        <v>60</v>
      </c>
      <c r="AK486" s="8">
        <v>1</v>
      </c>
      <c r="AL486" s="8">
        <v>0</v>
      </c>
      <c r="AM486" s="8" t="s">
        <v>1905</v>
      </c>
    </row>
    <row r="487" spans="7:39" ht="12.75" customHeight="1">
      <c r="G487" s="344"/>
      <c r="H487" s="6" t="s">
        <v>3096</v>
      </c>
      <c r="I487" s="8" t="s">
        <v>87</v>
      </c>
      <c r="J487" s="8" t="s">
        <v>91</v>
      </c>
      <c r="K487" s="8" t="s">
        <v>3107</v>
      </c>
      <c r="L487" s="8" t="s">
        <v>98</v>
      </c>
      <c r="M487" s="8" t="s">
        <v>3108</v>
      </c>
      <c r="N487" s="7" t="s">
        <v>3096</v>
      </c>
      <c r="O487" s="8" t="s">
        <v>13</v>
      </c>
      <c r="P487" s="8" t="s">
        <v>62</v>
      </c>
      <c r="Q487" s="8" t="s">
        <v>63</v>
      </c>
      <c r="R487" s="8" t="s">
        <v>64</v>
      </c>
      <c r="S487" s="8" t="s">
        <v>19</v>
      </c>
      <c r="T487" s="9">
        <v>325</v>
      </c>
      <c r="U487" s="9">
        <v>47229</v>
      </c>
      <c r="V487" s="8" t="s">
        <v>19</v>
      </c>
      <c r="W487" s="8">
        <v>0</v>
      </c>
      <c r="X487" s="8">
        <v>9</v>
      </c>
      <c r="Y487" s="8">
        <v>4250.6099999999997</v>
      </c>
      <c r="Z487" s="8">
        <v>9</v>
      </c>
      <c r="AA487" s="8">
        <v>4250.6099999999997</v>
      </c>
      <c r="AB487" s="8">
        <v>0</v>
      </c>
      <c r="AC487" s="8">
        <v>0</v>
      </c>
      <c r="AD487" s="8">
        <v>0</v>
      </c>
      <c r="AE487" s="8">
        <v>8501.2199999999993</v>
      </c>
      <c r="AF487" s="8">
        <v>0</v>
      </c>
      <c r="AG487" s="8" t="s">
        <v>65</v>
      </c>
      <c r="AH487" s="8" t="s">
        <v>11</v>
      </c>
      <c r="AI487" s="8">
        <v>39269080</v>
      </c>
      <c r="AJ487" s="8" t="s">
        <v>60</v>
      </c>
      <c r="AK487" s="8">
        <v>1</v>
      </c>
      <c r="AL487" s="8">
        <v>0</v>
      </c>
      <c r="AM487" s="8" t="s">
        <v>1905</v>
      </c>
    </row>
    <row r="488" spans="7:39">
      <c r="G488" s="344"/>
      <c r="H488" s="6" t="s">
        <v>3096</v>
      </c>
      <c r="I488" s="8" t="s">
        <v>87</v>
      </c>
      <c r="J488" s="8" t="s">
        <v>91</v>
      </c>
      <c r="K488" s="8" t="s">
        <v>3107</v>
      </c>
      <c r="L488" s="8" t="s">
        <v>98</v>
      </c>
      <c r="M488" s="8" t="s">
        <v>3108</v>
      </c>
      <c r="N488" s="8" t="s">
        <v>3096</v>
      </c>
      <c r="O488" s="8" t="s">
        <v>13</v>
      </c>
      <c r="P488" s="8" t="s">
        <v>62</v>
      </c>
      <c r="Q488" s="8" t="s">
        <v>63</v>
      </c>
      <c r="R488" s="8" t="s">
        <v>64</v>
      </c>
      <c r="S488" s="8" t="s">
        <v>19</v>
      </c>
      <c r="T488" s="9">
        <v>1776</v>
      </c>
      <c r="U488" s="9">
        <v>252760.32000000001</v>
      </c>
      <c r="V488" s="8" t="s">
        <v>19</v>
      </c>
      <c r="W488" s="8">
        <v>0</v>
      </c>
      <c r="X488" s="8">
        <v>9</v>
      </c>
      <c r="Y488" s="8">
        <v>22748.43</v>
      </c>
      <c r="Z488" s="8">
        <v>9</v>
      </c>
      <c r="AA488" s="8">
        <v>22748.43</v>
      </c>
      <c r="AB488" s="8">
        <v>0</v>
      </c>
      <c r="AC488" s="8">
        <v>0</v>
      </c>
      <c r="AD488" s="8">
        <v>0</v>
      </c>
      <c r="AE488" s="8">
        <v>45496.86</v>
      </c>
      <c r="AF488" s="8">
        <v>0</v>
      </c>
      <c r="AG488" s="8" t="s">
        <v>65</v>
      </c>
      <c r="AH488" s="8" t="s">
        <v>11</v>
      </c>
      <c r="AI488" s="8">
        <v>39269080</v>
      </c>
      <c r="AJ488" s="8" t="s">
        <v>60</v>
      </c>
      <c r="AK488" s="8">
        <v>1</v>
      </c>
      <c r="AL488" s="8">
        <v>0</v>
      </c>
      <c r="AM488" s="8" t="s">
        <v>1905</v>
      </c>
    </row>
    <row r="489" spans="7:39">
      <c r="G489" s="344"/>
      <c r="H489" s="6" t="s">
        <v>3109</v>
      </c>
      <c r="I489" s="8" t="s">
        <v>2192</v>
      </c>
      <c r="J489" s="8" t="s">
        <v>96</v>
      </c>
      <c r="K489" s="8" t="s">
        <v>3110</v>
      </c>
      <c r="L489" s="8" t="s">
        <v>97</v>
      </c>
      <c r="M489" s="8" t="s">
        <v>3111</v>
      </c>
      <c r="N489" s="8" t="s">
        <v>2926</v>
      </c>
      <c r="O489" s="8" t="s">
        <v>2</v>
      </c>
      <c r="P489" s="8" t="s">
        <v>1662</v>
      </c>
      <c r="Q489" s="8" t="s">
        <v>68</v>
      </c>
      <c r="R489" s="8" t="s">
        <v>69</v>
      </c>
      <c r="S489" s="8" t="s">
        <v>2472</v>
      </c>
      <c r="T489" s="9">
        <v>5</v>
      </c>
      <c r="U489" s="9">
        <v>21000</v>
      </c>
      <c r="V489" s="8" t="s">
        <v>2472</v>
      </c>
      <c r="W489" s="8">
        <v>142390</v>
      </c>
      <c r="X489" s="8">
        <v>2.5</v>
      </c>
      <c r="Y489" s="8">
        <v>525</v>
      </c>
      <c r="Z489" s="8">
        <v>2.5</v>
      </c>
      <c r="AA489" s="8">
        <v>525</v>
      </c>
      <c r="AB489" s="8">
        <v>0</v>
      </c>
      <c r="AC489" s="8">
        <v>0</v>
      </c>
      <c r="AD489" s="8">
        <v>27</v>
      </c>
      <c r="AE489" s="8">
        <v>1077</v>
      </c>
      <c r="AF489" s="8">
        <v>0</v>
      </c>
      <c r="AG489" s="8" t="s">
        <v>2327</v>
      </c>
      <c r="AH489" s="8" t="s">
        <v>1</v>
      </c>
      <c r="AI489" s="8">
        <v>84529099</v>
      </c>
      <c r="AJ489" s="8" t="s">
        <v>60</v>
      </c>
      <c r="AK489" s="8">
        <v>1</v>
      </c>
      <c r="AL489" s="8">
        <v>0</v>
      </c>
      <c r="AM489" s="8" t="s">
        <v>1905</v>
      </c>
    </row>
    <row r="490" spans="7:39">
      <c r="G490" s="344"/>
      <c r="H490" s="6" t="s">
        <v>3109</v>
      </c>
      <c r="I490" s="8" t="s">
        <v>2192</v>
      </c>
      <c r="J490" s="8" t="s">
        <v>96</v>
      </c>
      <c r="K490" s="8" t="s">
        <v>3110</v>
      </c>
      <c r="L490" s="8" t="s">
        <v>97</v>
      </c>
      <c r="M490" s="8" t="s">
        <v>3111</v>
      </c>
      <c r="N490" s="8" t="s">
        <v>2926</v>
      </c>
      <c r="O490" s="8" t="s">
        <v>2</v>
      </c>
      <c r="P490" s="8" t="s">
        <v>1662</v>
      </c>
      <c r="Q490" s="8" t="s">
        <v>68</v>
      </c>
      <c r="R490" s="8" t="s">
        <v>69</v>
      </c>
      <c r="S490" s="8" t="s">
        <v>3112</v>
      </c>
      <c r="T490" s="9">
        <v>3</v>
      </c>
      <c r="U490" s="9">
        <v>6168</v>
      </c>
      <c r="V490" s="8" t="s">
        <v>3112</v>
      </c>
      <c r="W490" s="8">
        <v>0</v>
      </c>
      <c r="X490" s="8">
        <v>2.5</v>
      </c>
      <c r="Y490" s="8">
        <v>154.19999999999999</v>
      </c>
      <c r="Z490" s="8">
        <v>2.5</v>
      </c>
      <c r="AA490" s="8">
        <v>154.19999999999999</v>
      </c>
      <c r="AB490" s="8">
        <v>0</v>
      </c>
      <c r="AC490" s="8">
        <v>0</v>
      </c>
      <c r="AD490" s="8">
        <v>27</v>
      </c>
      <c r="AE490" s="8">
        <v>335.4</v>
      </c>
      <c r="AF490" s="8">
        <v>0</v>
      </c>
      <c r="AG490" s="8" t="s">
        <v>2327</v>
      </c>
      <c r="AH490" s="8" t="s">
        <v>1</v>
      </c>
      <c r="AI490" s="8">
        <v>84529099</v>
      </c>
      <c r="AJ490" s="8" t="s">
        <v>60</v>
      </c>
      <c r="AK490" s="8">
        <v>1</v>
      </c>
      <c r="AL490" s="8">
        <v>0</v>
      </c>
      <c r="AM490" s="8" t="s">
        <v>1905</v>
      </c>
    </row>
    <row r="491" spans="7:39">
      <c r="G491" s="344"/>
      <c r="H491" s="6" t="s">
        <v>3109</v>
      </c>
      <c r="I491" s="8" t="s">
        <v>2192</v>
      </c>
      <c r="J491" s="8" t="s">
        <v>96</v>
      </c>
      <c r="K491" s="8" t="s">
        <v>3110</v>
      </c>
      <c r="L491" s="8" t="s">
        <v>97</v>
      </c>
      <c r="M491" s="8" t="s">
        <v>3111</v>
      </c>
      <c r="N491" s="8" t="s">
        <v>2926</v>
      </c>
      <c r="O491" s="8" t="s">
        <v>2</v>
      </c>
      <c r="P491" s="8" t="s">
        <v>112</v>
      </c>
      <c r="Q491" s="8" t="s">
        <v>68</v>
      </c>
      <c r="R491" s="8" t="s">
        <v>69</v>
      </c>
      <c r="S491" s="8" t="s">
        <v>3113</v>
      </c>
      <c r="T491" s="8">
        <v>20</v>
      </c>
      <c r="U491" s="9">
        <v>1760</v>
      </c>
      <c r="V491" s="8" t="s">
        <v>3113</v>
      </c>
      <c r="W491" s="8">
        <v>0</v>
      </c>
      <c r="X491" s="8">
        <v>9</v>
      </c>
      <c r="Y491" s="8">
        <v>158.4</v>
      </c>
      <c r="Z491" s="8">
        <v>9</v>
      </c>
      <c r="AA491" s="8">
        <v>158.4</v>
      </c>
      <c r="AB491" s="8">
        <v>0</v>
      </c>
      <c r="AC491" s="8">
        <v>0</v>
      </c>
      <c r="AD491" s="8">
        <v>27</v>
      </c>
      <c r="AE491" s="8">
        <v>343.8</v>
      </c>
      <c r="AF491" s="8">
        <v>0</v>
      </c>
      <c r="AG491" s="8" t="s">
        <v>2327</v>
      </c>
      <c r="AH491" s="8" t="s">
        <v>1</v>
      </c>
      <c r="AI491" s="8">
        <v>73181500</v>
      </c>
      <c r="AJ491" s="8" t="s">
        <v>60</v>
      </c>
      <c r="AK491" s="8">
        <v>1</v>
      </c>
      <c r="AL491" s="8">
        <v>0</v>
      </c>
      <c r="AM491" s="8" t="s">
        <v>1905</v>
      </c>
    </row>
    <row r="492" spans="7:39">
      <c r="G492" s="344"/>
      <c r="H492" s="6" t="s">
        <v>3109</v>
      </c>
      <c r="I492" s="8" t="s">
        <v>2192</v>
      </c>
      <c r="J492" s="8" t="s">
        <v>96</v>
      </c>
      <c r="K492" s="8" t="s">
        <v>3110</v>
      </c>
      <c r="L492" s="8" t="s">
        <v>97</v>
      </c>
      <c r="M492" s="8" t="s">
        <v>3111</v>
      </c>
      <c r="N492" s="8" t="s">
        <v>2926</v>
      </c>
      <c r="O492" s="8" t="s">
        <v>2</v>
      </c>
      <c r="P492" s="8" t="s">
        <v>112</v>
      </c>
      <c r="Q492" s="8" t="s">
        <v>68</v>
      </c>
      <c r="R492" s="8" t="s">
        <v>69</v>
      </c>
      <c r="S492" s="8" t="s">
        <v>2481</v>
      </c>
      <c r="T492" s="9">
        <v>30</v>
      </c>
      <c r="U492" s="9">
        <v>3600</v>
      </c>
      <c r="V492" s="8" t="s">
        <v>2481</v>
      </c>
      <c r="W492" s="8">
        <v>0</v>
      </c>
      <c r="X492" s="8">
        <v>9</v>
      </c>
      <c r="Y492" s="8">
        <v>324</v>
      </c>
      <c r="Z492" s="8">
        <v>9</v>
      </c>
      <c r="AA492" s="8">
        <v>324</v>
      </c>
      <c r="AB492" s="8">
        <v>0</v>
      </c>
      <c r="AC492" s="8">
        <v>0</v>
      </c>
      <c r="AD492" s="8">
        <v>27</v>
      </c>
      <c r="AE492" s="8">
        <v>675</v>
      </c>
      <c r="AF492" s="8">
        <v>0</v>
      </c>
      <c r="AG492" s="8" t="s">
        <v>2327</v>
      </c>
      <c r="AH492" s="8" t="s">
        <v>1</v>
      </c>
      <c r="AI492" s="8">
        <v>73181500</v>
      </c>
      <c r="AJ492" s="8" t="s">
        <v>60</v>
      </c>
      <c r="AK492" s="8">
        <v>1</v>
      </c>
      <c r="AL492" s="8">
        <v>0</v>
      </c>
      <c r="AM492" s="8" t="s">
        <v>1905</v>
      </c>
    </row>
    <row r="493" spans="7:39">
      <c r="G493" s="344"/>
      <c r="H493" s="6" t="s">
        <v>3109</v>
      </c>
      <c r="I493" s="8" t="s">
        <v>2192</v>
      </c>
      <c r="J493" s="8" t="s">
        <v>96</v>
      </c>
      <c r="K493" s="8" t="s">
        <v>3110</v>
      </c>
      <c r="L493" s="8" t="s">
        <v>97</v>
      </c>
      <c r="M493" s="8" t="s">
        <v>3111</v>
      </c>
      <c r="N493" s="8" t="s">
        <v>2926</v>
      </c>
      <c r="O493" s="8" t="s">
        <v>2</v>
      </c>
      <c r="P493" s="8" t="s">
        <v>1662</v>
      </c>
      <c r="Q493" s="8" t="s">
        <v>68</v>
      </c>
      <c r="R493" s="8" t="s">
        <v>69</v>
      </c>
      <c r="S493" s="8" t="s">
        <v>2470</v>
      </c>
      <c r="T493" s="9">
        <v>2</v>
      </c>
      <c r="U493" s="9">
        <v>7288</v>
      </c>
      <c r="V493" s="8" t="s">
        <v>2470</v>
      </c>
      <c r="W493" s="8">
        <v>0</v>
      </c>
      <c r="X493" s="8">
        <v>2.5</v>
      </c>
      <c r="Y493" s="8">
        <v>182.2</v>
      </c>
      <c r="Z493" s="8">
        <v>2.5</v>
      </c>
      <c r="AA493" s="8">
        <v>182.2</v>
      </c>
      <c r="AB493" s="8">
        <v>0</v>
      </c>
      <c r="AC493" s="8">
        <v>0</v>
      </c>
      <c r="AD493" s="8">
        <v>27</v>
      </c>
      <c r="AE493" s="8">
        <v>391.4</v>
      </c>
      <c r="AF493" s="8">
        <v>0</v>
      </c>
      <c r="AG493" s="8" t="s">
        <v>2327</v>
      </c>
      <c r="AH493" s="8" t="s">
        <v>1</v>
      </c>
      <c r="AI493" s="8">
        <v>84529099</v>
      </c>
      <c r="AJ493" s="8" t="s">
        <v>60</v>
      </c>
      <c r="AK493" s="8">
        <v>1</v>
      </c>
      <c r="AL493" s="8">
        <v>0</v>
      </c>
      <c r="AM493" s="8" t="s">
        <v>1905</v>
      </c>
    </row>
    <row r="494" spans="7:39">
      <c r="G494" s="344"/>
      <c r="H494" s="6" t="s">
        <v>3109</v>
      </c>
      <c r="I494" s="8" t="s">
        <v>2192</v>
      </c>
      <c r="J494" s="8" t="s">
        <v>96</v>
      </c>
      <c r="K494" s="8" t="s">
        <v>3110</v>
      </c>
      <c r="L494" s="8" t="s">
        <v>97</v>
      </c>
      <c r="M494" s="8" t="s">
        <v>3111</v>
      </c>
      <c r="N494" s="8" t="s">
        <v>2926</v>
      </c>
      <c r="O494" s="8" t="s">
        <v>2</v>
      </c>
      <c r="P494" s="8" t="s">
        <v>1662</v>
      </c>
      <c r="Q494" s="8" t="s">
        <v>68</v>
      </c>
      <c r="R494" s="8" t="s">
        <v>69</v>
      </c>
      <c r="S494" s="8" t="s">
        <v>2482</v>
      </c>
      <c r="T494" s="9">
        <v>5</v>
      </c>
      <c r="U494" s="9">
        <v>2580</v>
      </c>
      <c r="V494" s="8" t="s">
        <v>2482</v>
      </c>
      <c r="W494" s="8">
        <v>0</v>
      </c>
      <c r="X494" s="8">
        <v>9</v>
      </c>
      <c r="Y494" s="8">
        <v>232.2</v>
      </c>
      <c r="Z494" s="8">
        <v>9</v>
      </c>
      <c r="AA494" s="8">
        <v>232.2</v>
      </c>
      <c r="AB494" s="8">
        <v>0</v>
      </c>
      <c r="AC494" s="8">
        <v>0</v>
      </c>
      <c r="AD494" s="8">
        <v>27</v>
      </c>
      <c r="AE494" s="8">
        <v>491.4</v>
      </c>
      <c r="AF494" s="8">
        <v>0</v>
      </c>
      <c r="AG494" s="8" t="s">
        <v>2327</v>
      </c>
      <c r="AH494" s="8" t="s">
        <v>1</v>
      </c>
      <c r="AI494" s="8">
        <v>84529099</v>
      </c>
      <c r="AJ494" s="8" t="s">
        <v>60</v>
      </c>
      <c r="AK494" s="8">
        <v>1</v>
      </c>
      <c r="AL494" s="8">
        <v>0</v>
      </c>
      <c r="AM494" s="8" t="s">
        <v>1905</v>
      </c>
    </row>
    <row r="495" spans="7:39">
      <c r="G495" s="344"/>
      <c r="H495" s="6" t="s">
        <v>3109</v>
      </c>
      <c r="I495" s="8" t="s">
        <v>2192</v>
      </c>
      <c r="J495" s="8" t="s">
        <v>96</v>
      </c>
      <c r="K495" s="8" t="s">
        <v>3110</v>
      </c>
      <c r="L495" s="8" t="s">
        <v>97</v>
      </c>
      <c r="M495" s="8" t="s">
        <v>3111</v>
      </c>
      <c r="N495" s="8" t="s">
        <v>2926</v>
      </c>
      <c r="O495" s="8" t="s">
        <v>2</v>
      </c>
      <c r="P495" s="8" t="s">
        <v>1662</v>
      </c>
      <c r="Q495" s="8" t="s">
        <v>68</v>
      </c>
      <c r="R495" s="8" t="s">
        <v>69</v>
      </c>
      <c r="S495" s="8" t="s">
        <v>3114</v>
      </c>
      <c r="T495" s="9">
        <v>10</v>
      </c>
      <c r="U495" s="9">
        <v>3720</v>
      </c>
      <c r="V495" s="8" t="s">
        <v>3114</v>
      </c>
      <c r="W495" s="8">
        <v>0</v>
      </c>
      <c r="X495" s="8">
        <v>2.5</v>
      </c>
      <c r="Y495" s="8">
        <v>93</v>
      </c>
      <c r="Z495" s="8">
        <v>2.5</v>
      </c>
      <c r="AA495" s="8">
        <v>93</v>
      </c>
      <c r="AB495" s="8">
        <v>0</v>
      </c>
      <c r="AC495" s="8">
        <v>0</v>
      </c>
      <c r="AD495" s="8">
        <v>27</v>
      </c>
      <c r="AE495" s="8">
        <v>213</v>
      </c>
      <c r="AF495" s="8">
        <v>0</v>
      </c>
      <c r="AG495" s="8" t="s">
        <v>2327</v>
      </c>
      <c r="AH495" s="8" t="s">
        <v>1</v>
      </c>
      <c r="AI495" s="8">
        <v>84529099</v>
      </c>
      <c r="AJ495" s="8" t="s">
        <v>60</v>
      </c>
      <c r="AK495" s="8">
        <v>1</v>
      </c>
      <c r="AL495" s="8">
        <v>0</v>
      </c>
      <c r="AM495" s="8" t="s">
        <v>1905</v>
      </c>
    </row>
    <row r="496" spans="7:39">
      <c r="G496" s="344"/>
      <c r="H496" s="6" t="s">
        <v>3109</v>
      </c>
      <c r="I496" s="8" t="s">
        <v>2192</v>
      </c>
      <c r="J496" s="8" t="s">
        <v>96</v>
      </c>
      <c r="K496" s="8" t="s">
        <v>3110</v>
      </c>
      <c r="L496" s="8" t="s">
        <v>97</v>
      </c>
      <c r="M496" s="8" t="s">
        <v>3111</v>
      </c>
      <c r="N496" s="8" t="s">
        <v>2926</v>
      </c>
      <c r="O496" s="8" t="s">
        <v>2</v>
      </c>
      <c r="P496" s="8" t="s">
        <v>1662</v>
      </c>
      <c r="Q496" s="8" t="s">
        <v>68</v>
      </c>
      <c r="R496" s="8" t="s">
        <v>69</v>
      </c>
      <c r="S496" s="8" t="s">
        <v>3115</v>
      </c>
      <c r="T496" s="9">
        <v>30</v>
      </c>
      <c r="U496" s="9">
        <v>2400</v>
      </c>
      <c r="V496" s="8" t="s">
        <v>3115</v>
      </c>
      <c r="W496" s="8">
        <v>0</v>
      </c>
      <c r="X496" s="8">
        <v>9</v>
      </c>
      <c r="Y496" s="8">
        <v>216</v>
      </c>
      <c r="Z496" s="8">
        <v>9</v>
      </c>
      <c r="AA496" s="8">
        <v>216</v>
      </c>
      <c r="AB496" s="8">
        <v>0</v>
      </c>
      <c r="AC496" s="8">
        <v>0</v>
      </c>
      <c r="AD496" s="8">
        <v>27</v>
      </c>
      <c r="AE496" s="8">
        <v>459</v>
      </c>
      <c r="AF496" s="8">
        <v>0</v>
      </c>
      <c r="AG496" s="8" t="s">
        <v>2327</v>
      </c>
      <c r="AH496" s="8" t="s">
        <v>1</v>
      </c>
      <c r="AI496" s="8">
        <v>84529099</v>
      </c>
      <c r="AJ496" s="8" t="s">
        <v>60</v>
      </c>
      <c r="AK496" s="8">
        <v>1</v>
      </c>
      <c r="AL496" s="8">
        <v>0</v>
      </c>
      <c r="AM496" s="8" t="s">
        <v>1905</v>
      </c>
    </row>
    <row r="497" spans="7:39">
      <c r="G497" s="344"/>
      <c r="H497" s="6" t="s">
        <v>3109</v>
      </c>
      <c r="I497" s="8" t="s">
        <v>2192</v>
      </c>
      <c r="J497" s="8" t="s">
        <v>96</v>
      </c>
      <c r="K497" s="8" t="s">
        <v>3110</v>
      </c>
      <c r="L497" s="8" t="s">
        <v>97</v>
      </c>
      <c r="M497" s="8" t="s">
        <v>3111</v>
      </c>
      <c r="N497" s="8" t="s">
        <v>2926</v>
      </c>
      <c r="O497" s="8" t="s">
        <v>2</v>
      </c>
      <c r="P497" s="8" t="s">
        <v>1662</v>
      </c>
      <c r="Q497" s="8" t="s">
        <v>68</v>
      </c>
      <c r="R497" s="8" t="s">
        <v>69</v>
      </c>
      <c r="S497" s="8" t="s">
        <v>3116</v>
      </c>
      <c r="T497" s="8">
        <v>20</v>
      </c>
      <c r="U497" s="9">
        <v>1920</v>
      </c>
      <c r="V497" s="8" t="s">
        <v>3116</v>
      </c>
      <c r="W497" s="8">
        <v>0</v>
      </c>
      <c r="X497" s="8">
        <v>2.5</v>
      </c>
      <c r="Y497" s="8">
        <v>48</v>
      </c>
      <c r="Z497" s="8">
        <v>2.5</v>
      </c>
      <c r="AA497" s="8">
        <v>48</v>
      </c>
      <c r="AB497" s="8">
        <v>0</v>
      </c>
      <c r="AC497" s="8">
        <v>0</v>
      </c>
      <c r="AD497" s="8">
        <v>27</v>
      </c>
      <c r="AE497" s="8">
        <v>123</v>
      </c>
      <c r="AF497" s="8">
        <v>0</v>
      </c>
      <c r="AG497" s="8" t="s">
        <v>2327</v>
      </c>
      <c r="AH497" s="8" t="s">
        <v>1</v>
      </c>
      <c r="AI497" s="8">
        <v>845210</v>
      </c>
      <c r="AJ497" s="8" t="s">
        <v>60</v>
      </c>
      <c r="AK497" s="8">
        <v>1</v>
      </c>
      <c r="AL497" s="8">
        <v>0</v>
      </c>
      <c r="AM497" s="8" t="s">
        <v>1905</v>
      </c>
    </row>
    <row r="498" spans="7:39">
      <c r="G498" s="344"/>
      <c r="H498" s="6" t="s">
        <v>3109</v>
      </c>
      <c r="I498" s="8" t="s">
        <v>2192</v>
      </c>
      <c r="J498" s="8" t="s">
        <v>96</v>
      </c>
      <c r="K498" s="8" t="s">
        <v>3110</v>
      </c>
      <c r="L498" s="8" t="s">
        <v>97</v>
      </c>
      <c r="M498" s="8" t="s">
        <v>3111</v>
      </c>
      <c r="N498" s="8" t="s">
        <v>2926</v>
      </c>
      <c r="O498" s="8" t="s">
        <v>2</v>
      </c>
      <c r="P498" s="8" t="s">
        <v>1662</v>
      </c>
      <c r="Q498" s="8" t="s">
        <v>68</v>
      </c>
      <c r="R498" s="8" t="s">
        <v>69</v>
      </c>
      <c r="S498" s="8" t="s">
        <v>3117</v>
      </c>
      <c r="T498" s="9">
        <v>16</v>
      </c>
      <c r="U498" s="9">
        <v>6016</v>
      </c>
      <c r="V498" s="8" t="s">
        <v>3117</v>
      </c>
      <c r="W498" s="8">
        <v>0</v>
      </c>
      <c r="X498" s="8">
        <v>2.5</v>
      </c>
      <c r="Y498" s="8">
        <v>150.4</v>
      </c>
      <c r="Z498" s="8">
        <v>2.5</v>
      </c>
      <c r="AA498" s="8">
        <v>150.4</v>
      </c>
      <c r="AB498" s="8">
        <v>0</v>
      </c>
      <c r="AC498" s="8">
        <v>0</v>
      </c>
      <c r="AD498" s="8">
        <v>27</v>
      </c>
      <c r="AE498" s="8">
        <v>327.8</v>
      </c>
      <c r="AF498" s="8">
        <v>0</v>
      </c>
      <c r="AG498" s="8" t="s">
        <v>2327</v>
      </c>
      <c r="AH498" s="8" t="s">
        <v>7</v>
      </c>
      <c r="AI498" s="8">
        <v>73181500</v>
      </c>
      <c r="AJ498" s="8" t="s">
        <v>60</v>
      </c>
      <c r="AK498" s="8">
        <v>1</v>
      </c>
      <c r="AL498" s="8">
        <v>0</v>
      </c>
      <c r="AM498" s="8" t="s">
        <v>1905</v>
      </c>
    </row>
    <row r="499" spans="7:39">
      <c r="G499" s="344"/>
      <c r="H499" s="6" t="s">
        <v>3109</v>
      </c>
      <c r="I499" s="8" t="s">
        <v>2192</v>
      </c>
      <c r="J499" s="8" t="s">
        <v>96</v>
      </c>
      <c r="K499" s="8" t="s">
        <v>3110</v>
      </c>
      <c r="L499" s="8" t="s">
        <v>97</v>
      </c>
      <c r="M499" s="8" t="s">
        <v>3111</v>
      </c>
      <c r="N499" s="8" t="s">
        <v>2926</v>
      </c>
      <c r="O499" s="8" t="s">
        <v>2</v>
      </c>
      <c r="P499" s="8" t="s">
        <v>1662</v>
      </c>
      <c r="Q499" s="8" t="s">
        <v>68</v>
      </c>
      <c r="R499" s="8" t="s">
        <v>69</v>
      </c>
      <c r="S499" s="8" t="s">
        <v>2471</v>
      </c>
      <c r="T499" s="9">
        <v>5</v>
      </c>
      <c r="U499" s="9">
        <v>34440</v>
      </c>
      <c r="V499" s="8" t="s">
        <v>2471</v>
      </c>
      <c r="W499" s="8">
        <v>0</v>
      </c>
      <c r="X499" s="8">
        <v>2.5</v>
      </c>
      <c r="Y499" s="8">
        <v>861</v>
      </c>
      <c r="Z499" s="8">
        <v>2.5</v>
      </c>
      <c r="AA499" s="8">
        <v>861</v>
      </c>
      <c r="AB499" s="8">
        <v>0</v>
      </c>
      <c r="AC499" s="8">
        <v>0</v>
      </c>
      <c r="AD499" s="8">
        <v>27</v>
      </c>
      <c r="AE499" s="8">
        <v>1749</v>
      </c>
      <c r="AF499" s="8">
        <v>0</v>
      </c>
      <c r="AG499" s="8" t="s">
        <v>2327</v>
      </c>
      <c r="AH499" s="8" t="s">
        <v>1</v>
      </c>
      <c r="AI499" s="8">
        <v>84529099</v>
      </c>
      <c r="AJ499" s="8" t="s">
        <v>60</v>
      </c>
      <c r="AK499" s="8">
        <v>1</v>
      </c>
      <c r="AL499" s="8">
        <v>0</v>
      </c>
      <c r="AM499" s="8" t="s">
        <v>1905</v>
      </c>
    </row>
    <row r="500" spans="7:39">
      <c r="G500" s="344"/>
      <c r="H500" s="6" t="s">
        <v>3109</v>
      </c>
      <c r="I500" s="8" t="s">
        <v>2192</v>
      </c>
      <c r="J500" s="8" t="s">
        <v>96</v>
      </c>
      <c r="K500" s="8" t="s">
        <v>3110</v>
      </c>
      <c r="L500" s="8" t="s">
        <v>97</v>
      </c>
      <c r="M500" s="8" t="s">
        <v>3111</v>
      </c>
      <c r="N500" s="8" t="s">
        <v>2926</v>
      </c>
      <c r="O500" s="8" t="s">
        <v>2</v>
      </c>
      <c r="P500" s="8" t="s">
        <v>1662</v>
      </c>
      <c r="Q500" s="8" t="s">
        <v>68</v>
      </c>
      <c r="R500" s="8" t="s">
        <v>69</v>
      </c>
      <c r="S500" s="8" t="s">
        <v>3118</v>
      </c>
      <c r="T500" s="8">
        <v>10</v>
      </c>
      <c r="U500" s="9">
        <v>17760</v>
      </c>
      <c r="V500" s="8" t="s">
        <v>3118</v>
      </c>
      <c r="W500" s="8">
        <v>0</v>
      </c>
      <c r="X500" s="8">
        <v>2.5</v>
      </c>
      <c r="Y500" s="8">
        <v>444</v>
      </c>
      <c r="Z500" s="8">
        <v>2.5</v>
      </c>
      <c r="AA500" s="8">
        <v>444</v>
      </c>
      <c r="AB500" s="8">
        <v>0</v>
      </c>
      <c r="AC500" s="8">
        <v>0</v>
      </c>
      <c r="AD500" s="8">
        <v>27</v>
      </c>
      <c r="AE500" s="8">
        <v>915</v>
      </c>
      <c r="AF500" s="8">
        <v>0</v>
      </c>
      <c r="AG500" s="8" t="s">
        <v>2327</v>
      </c>
      <c r="AH500" s="8" t="s">
        <v>1</v>
      </c>
      <c r="AI500" s="8">
        <v>84522900</v>
      </c>
      <c r="AJ500" s="8" t="s">
        <v>60</v>
      </c>
      <c r="AK500" s="8">
        <v>1</v>
      </c>
      <c r="AL500" s="8">
        <v>0</v>
      </c>
      <c r="AM500" s="8" t="s">
        <v>1905</v>
      </c>
    </row>
    <row r="501" spans="7:39">
      <c r="G501" s="344"/>
      <c r="H501" s="6" t="s">
        <v>3109</v>
      </c>
      <c r="I501" s="8" t="s">
        <v>2192</v>
      </c>
      <c r="J501" s="8" t="s">
        <v>96</v>
      </c>
      <c r="K501" s="8" t="s">
        <v>3110</v>
      </c>
      <c r="L501" s="8" t="s">
        <v>97</v>
      </c>
      <c r="M501" s="8" t="s">
        <v>3111</v>
      </c>
      <c r="N501" s="8" t="s">
        <v>2926</v>
      </c>
      <c r="O501" s="8" t="s">
        <v>2</v>
      </c>
      <c r="P501" s="8" t="s">
        <v>112</v>
      </c>
      <c r="Q501" s="8" t="s">
        <v>68</v>
      </c>
      <c r="R501" s="8" t="s">
        <v>69</v>
      </c>
      <c r="S501" s="8" t="s">
        <v>2489</v>
      </c>
      <c r="T501" s="9">
        <v>10</v>
      </c>
      <c r="U501" s="9">
        <v>4920</v>
      </c>
      <c r="V501" s="8" t="s">
        <v>2489</v>
      </c>
      <c r="W501" s="8">
        <v>0</v>
      </c>
      <c r="X501" s="8">
        <v>9</v>
      </c>
      <c r="Y501" s="8">
        <v>442.8</v>
      </c>
      <c r="Z501" s="8">
        <v>9</v>
      </c>
      <c r="AA501" s="8">
        <v>442.8</v>
      </c>
      <c r="AB501" s="8">
        <v>0</v>
      </c>
      <c r="AC501" s="8">
        <v>0</v>
      </c>
      <c r="AD501" s="8">
        <v>27</v>
      </c>
      <c r="AE501" s="8">
        <v>912.6</v>
      </c>
      <c r="AF501" s="8">
        <v>0</v>
      </c>
      <c r="AG501" s="8" t="s">
        <v>2327</v>
      </c>
      <c r="AH501" s="8" t="s">
        <v>1</v>
      </c>
      <c r="AI501" s="8">
        <v>845290</v>
      </c>
      <c r="AJ501" s="8" t="s">
        <v>60</v>
      </c>
      <c r="AK501" s="8">
        <v>1</v>
      </c>
      <c r="AL501" s="8">
        <v>0</v>
      </c>
      <c r="AM501" s="8" t="s">
        <v>1905</v>
      </c>
    </row>
    <row r="502" spans="7:39">
      <c r="G502" s="344"/>
      <c r="H502" s="6" t="s">
        <v>3109</v>
      </c>
      <c r="I502" s="8" t="s">
        <v>2192</v>
      </c>
      <c r="J502" s="8" t="s">
        <v>96</v>
      </c>
      <c r="K502" s="8" t="s">
        <v>3110</v>
      </c>
      <c r="L502" s="8" t="s">
        <v>97</v>
      </c>
      <c r="M502" s="8" t="s">
        <v>3111</v>
      </c>
      <c r="N502" s="8" t="s">
        <v>2926</v>
      </c>
      <c r="O502" s="8" t="s">
        <v>2</v>
      </c>
      <c r="P502" s="8" t="s">
        <v>1662</v>
      </c>
      <c r="Q502" s="8" t="s">
        <v>68</v>
      </c>
      <c r="R502" s="8" t="s">
        <v>69</v>
      </c>
      <c r="S502" s="8" t="s">
        <v>2382</v>
      </c>
      <c r="T502" s="9">
        <v>5</v>
      </c>
      <c r="U502" s="9">
        <v>6080</v>
      </c>
      <c r="V502" s="8" t="s">
        <v>2382</v>
      </c>
      <c r="W502" s="8">
        <v>0</v>
      </c>
      <c r="X502" s="8">
        <v>2.5</v>
      </c>
      <c r="Y502" s="8">
        <v>152</v>
      </c>
      <c r="Z502" s="8">
        <v>2.5</v>
      </c>
      <c r="AA502" s="8">
        <v>152</v>
      </c>
      <c r="AB502" s="8">
        <v>0</v>
      </c>
      <c r="AC502" s="8">
        <v>0</v>
      </c>
      <c r="AD502" s="8">
        <v>27</v>
      </c>
      <c r="AE502" s="8">
        <v>331</v>
      </c>
      <c r="AF502" s="8">
        <v>0</v>
      </c>
      <c r="AG502" s="8" t="s">
        <v>2327</v>
      </c>
      <c r="AH502" s="8" t="s">
        <v>1</v>
      </c>
      <c r="AI502" s="8">
        <v>84529099</v>
      </c>
      <c r="AJ502" s="8" t="s">
        <v>60</v>
      </c>
      <c r="AK502" s="8">
        <v>1</v>
      </c>
      <c r="AL502" s="8">
        <v>0</v>
      </c>
      <c r="AM502" s="8" t="s">
        <v>1905</v>
      </c>
    </row>
    <row r="503" spans="7:39">
      <c r="G503" s="344"/>
      <c r="H503" s="6" t="s">
        <v>3109</v>
      </c>
      <c r="I503" s="8" t="s">
        <v>2192</v>
      </c>
      <c r="J503" s="8" t="s">
        <v>96</v>
      </c>
      <c r="K503" s="8" t="s">
        <v>3110</v>
      </c>
      <c r="L503" s="8" t="s">
        <v>97</v>
      </c>
      <c r="M503" s="8" t="s">
        <v>3111</v>
      </c>
      <c r="N503" s="8" t="s">
        <v>2926</v>
      </c>
      <c r="O503" s="8" t="s">
        <v>2</v>
      </c>
      <c r="P503" s="8" t="s">
        <v>1662</v>
      </c>
      <c r="Q503" s="8" t="s">
        <v>68</v>
      </c>
      <c r="R503" s="8" t="s">
        <v>69</v>
      </c>
      <c r="S503" s="8" t="s">
        <v>2483</v>
      </c>
      <c r="T503" s="8">
        <v>5</v>
      </c>
      <c r="U503" s="9">
        <v>13900</v>
      </c>
      <c r="V503" s="8" t="s">
        <v>2483</v>
      </c>
      <c r="W503" s="8">
        <v>0</v>
      </c>
      <c r="X503" s="8">
        <v>2.5</v>
      </c>
      <c r="Y503" s="8">
        <v>347.5</v>
      </c>
      <c r="Z503" s="8">
        <v>2.5</v>
      </c>
      <c r="AA503" s="8">
        <v>347.5</v>
      </c>
      <c r="AB503" s="8">
        <v>0</v>
      </c>
      <c r="AC503" s="8">
        <v>0</v>
      </c>
      <c r="AD503" s="8">
        <v>27</v>
      </c>
      <c r="AE503" s="8">
        <v>722</v>
      </c>
      <c r="AF503" s="8">
        <v>0</v>
      </c>
      <c r="AG503" s="8" t="s">
        <v>2327</v>
      </c>
      <c r="AH503" s="8" t="s">
        <v>1</v>
      </c>
      <c r="AI503" s="8">
        <v>84529099</v>
      </c>
      <c r="AJ503" s="8" t="s">
        <v>60</v>
      </c>
      <c r="AK503" s="8">
        <v>1</v>
      </c>
      <c r="AL503" s="8">
        <v>0</v>
      </c>
      <c r="AM503" s="8" t="s">
        <v>1905</v>
      </c>
    </row>
    <row r="504" spans="7:39">
      <c r="G504" s="344"/>
      <c r="H504" s="6" t="s">
        <v>3109</v>
      </c>
      <c r="I504" s="8" t="s">
        <v>2301</v>
      </c>
      <c r="J504" s="8" t="s">
        <v>96</v>
      </c>
      <c r="K504" s="8" t="s">
        <v>3119</v>
      </c>
      <c r="L504" s="8" t="s">
        <v>97</v>
      </c>
      <c r="M504" s="8">
        <v>1375</v>
      </c>
      <c r="N504" s="7">
        <v>46303</v>
      </c>
      <c r="O504" s="8" t="s">
        <v>5</v>
      </c>
      <c r="P504" s="8" t="s">
        <v>106</v>
      </c>
      <c r="Q504" s="8" t="s">
        <v>68</v>
      </c>
      <c r="R504" s="8" t="s">
        <v>69</v>
      </c>
      <c r="S504" s="8" t="s">
        <v>9</v>
      </c>
      <c r="T504" s="9">
        <v>324</v>
      </c>
      <c r="U504" s="9">
        <v>372.6</v>
      </c>
      <c r="V504" s="8" t="s">
        <v>9</v>
      </c>
      <c r="W504" s="8">
        <v>440</v>
      </c>
      <c r="X504" s="8">
        <v>9</v>
      </c>
      <c r="Y504" s="8">
        <v>33.53</v>
      </c>
      <c r="Z504" s="8">
        <v>9</v>
      </c>
      <c r="AA504" s="8">
        <v>33.53</v>
      </c>
      <c r="AB504" s="8">
        <v>0</v>
      </c>
      <c r="AC504" s="8">
        <v>0</v>
      </c>
      <c r="AD504" s="8">
        <v>0</v>
      </c>
      <c r="AE504" s="8">
        <v>67.06</v>
      </c>
      <c r="AF504" s="8">
        <v>0</v>
      </c>
      <c r="AG504" s="8" t="s">
        <v>2812</v>
      </c>
      <c r="AH504" s="8" t="s">
        <v>10</v>
      </c>
      <c r="AI504" s="8">
        <v>37013000</v>
      </c>
      <c r="AJ504" s="8" t="s">
        <v>60</v>
      </c>
      <c r="AK504" s="8">
        <v>1</v>
      </c>
      <c r="AL504" s="8">
        <v>0</v>
      </c>
      <c r="AM504" s="8" t="s">
        <v>1905</v>
      </c>
    </row>
    <row r="505" spans="7:39">
      <c r="G505" s="344"/>
      <c r="H505" s="6" t="s">
        <v>3109</v>
      </c>
      <c r="I505" s="8" t="s">
        <v>2301</v>
      </c>
      <c r="J505" s="8" t="s">
        <v>96</v>
      </c>
      <c r="K505" s="8" t="s">
        <v>3120</v>
      </c>
      <c r="L505" s="8" t="s">
        <v>97</v>
      </c>
      <c r="M505" s="8">
        <v>1360</v>
      </c>
      <c r="N505" s="7">
        <v>46211</v>
      </c>
      <c r="O505" s="8" t="s">
        <v>5</v>
      </c>
      <c r="P505" s="8" t="s">
        <v>106</v>
      </c>
      <c r="Q505" s="8" t="s">
        <v>68</v>
      </c>
      <c r="R505" s="8" t="s">
        <v>69</v>
      </c>
      <c r="S505" s="8" t="s">
        <v>9</v>
      </c>
      <c r="T505" s="9">
        <v>2835</v>
      </c>
      <c r="U505" s="9">
        <v>3260.25</v>
      </c>
      <c r="V505" s="8" t="s">
        <v>9</v>
      </c>
      <c r="W505" s="8">
        <v>3847</v>
      </c>
      <c r="X505" s="8">
        <v>9</v>
      </c>
      <c r="Y505" s="8">
        <v>293.42</v>
      </c>
      <c r="Z505" s="8">
        <v>9</v>
      </c>
      <c r="AA505" s="8">
        <v>293.42</v>
      </c>
      <c r="AB505" s="8">
        <v>0</v>
      </c>
      <c r="AC505" s="8">
        <v>0</v>
      </c>
      <c r="AD505" s="8">
        <v>0</v>
      </c>
      <c r="AE505" s="8">
        <v>586.84</v>
      </c>
      <c r="AF505" s="8">
        <v>0</v>
      </c>
      <c r="AG505" s="8" t="s">
        <v>2812</v>
      </c>
      <c r="AH505" s="8" t="s">
        <v>10</v>
      </c>
      <c r="AI505" s="8">
        <v>37013000</v>
      </c>
      <c r="AJ505" s="8" t="s">
        <v>60</v>
      </c>
      <c r="AK505" s="8">
        <v>1</v>
      </c>
      <c r="AL505" s="8">
        <v>0</v>
      </c>
      <c r="AM505" s="8" t="s">
        <v>1905</v>
      </c>
    </row>
    <row r="506" spans="7:39">
      <c r="G506" s="344"/>
      <c r="H506" s="6" t="s">
        <v>3109</v>
      </c>
      <c r="I506" s="8" t="s">
        <v>93</v>
      </c>
      <c r="J506" s="8" t="s">
        <v>91</v>
      </c>
      <c r="K506" s="8" t="s">
        <v>3121</v>
      </c>
      <c r="L506" s="8" t="s">
        <v>2348</v>
      </c>
      <c r="M506" s="8" t="s">
        <v>3122</v>
      </c>
      <c r="N506" s="7" t="s">
        <v>3096</v>
      </c>
      <c r="O506" s="8" t="s">
        <v>15</v>
      </c>
      <c r="P506" s="8" t="s">
        <v>57</v>
      </c>
      <c r="Q506" s="8" t="s">
        <v>57</v>
      </c>
      <c r="R506" s="8" t="s">
        <v>58</v>
      </c>
      <c r="S506" s="8" t="s">
        <v>16</v>
      </c>
      <c r="T506" s="9">
        <v>3186</v>
      </c>
      <c r="U506" s="9">
        <v>1655827.92</v>
      </c>
      <c r="V506" s="8" t="s">
        <v>16</v>
      </c>
      <c r="W506" s="8">
        <v>5383514.8300000001</v>
      </c>
      <c r="X506" s="8">
        <v>9</v>
      </c>
      <c r="Y506" s="8">
        <v>149024.51</v>
      </c>
      <c r="Z506" s="8">
        <v>9</v>
      </c>
      <c r="AA506" s="8">
        <v>149024.51</v>
      </c>
      <c r="AB506" s="8">
        <v>0</v>
      </c>
      <c r="AC506" s="8">
        <v>0</v>
      </c>
      <c r="AD506" s="8">
        <v>0</v>
      </c>
      <c r="AE506" s="8">
        <v>298049.02</v>
      </c>
      <c r="AF506" s="8">
        <v>0</v>
      </c>
      <c r="AG506" s="8" t="s">
        <v>59</v>
      </c>
      <c r="AH506" s="8" t="s">
        <v>11</v>
      </c>
      <c r="AI506" s="8">
        <v>63053200</v>
      </c>
      <c r="AJ506" s="8" t="s">
        <v>60</v>
      </c>
      <c r="AK506" s="8">
        <v>1</v>
      </c>
      <c r="AL506" s="8">
        <v>0</v>
      </c>
      <c r="AM506" s="8" t="s">
        <v>1905</v>
      </c>
    </row>
    <row r="507" spans="7:39">
      <c r="G507" s="344"/>
      <c r="H507" s="6" t="s">
        <v>3109</v>
      </c>
      <c r="I507" s="8" t="s">
        <v>93</v>
      </c>
      <c r="J507" s="8" t="s">
        <v>91</v>
      </c>
      <c r="K507" s="8" t="s">
        <v>3121</v>
      </c>
      <c r="L507" s="8" t="s">
        <v>2348</v>
      </c>
      <c r="M507" s="8" t="s">
        <v>3122</v>
      </c>
      <c r="N507" s="7" t="s">
        <v>3096</v>
      </c>
      <c r="O507" s="8" t="s">
        <v>15</v>
      </c>
      <c r="P507" s="8" t="s">
        <v>57</v>
      </c>
      <c r="Q507" s="8" t="s">
        <v>57</v>
      </c>
      <c r="R507" s="8" t="s">
        <v>58</v>
      </c>
      <c r="S507" s="8" t="s">
        <v>16</v>
      </c>
      <c r="T507" s="9">
        <v>1617</v>
      </c>
      <c r="U507" s="9">
        <v>318015.39</v>
      </c>
      <c r="V507" s="8" t="s">
        <v>16</v>
      </c>
      <c r="W507" s="8">
        <v>0</v>
      </c>
      <c r="X507" s="8">
        <v>9</v>
      </c>
      <c r="Y507" s="8">
        <v>28621.39</v>
      </c>
      <c r="Z507" s="8">
        <v>9</v>
      </c>
      <c r="AA507" s="8">
        <v>28621.39</v>
      </c>
      <c r="AB507" s="8">
        <v>0</v>
      </c>
      <c r="AC507" s="8">
        <v>0</v>
      </c>
      <c r="AD507" s="8">
        <v>0</v>
      </c>
      <c r="AE507" s="8">
        <v>57242.78</v>
      </c>
      <c r="AF507" s="8">
        <v>0</v>
      </c>
      <c r="AG507" s="8" t="s">
        <v>59</v>
      </c>
      <c r="AH507" s="8" t="s">
        <v>11</v>
      </c>
      <c r="AI507" s="8">
        <v>63053200</v>
      </c>
      <c r="AJ507" s="8" t="s">
        <v>60</v>
      </c>
      <c r="AK507" s="8">
        <v>1</v>
      </c>
      <c r="AL507" s="8">
        <v>0</v>
      </c>
      <c r="AM507" s="8" t="s">
        <v>1905</v>
      </c>
    </row>
    <row r="508" spans="7:39">
      <c r="G508" s="344"/>
      <c r="H508" s="6" t="s">
        <v>3109</v>
      </c>
      <c r="I508" s="8" t="s">
        <v>93</v>
      </c>
      <c r="J508" s="8" t="s">
        <v>91</v>
      </c>
      <c r="K508" s="8" t="s">
        <v>3121</v>
      </c>
      <c r="L508" s="8" t="s">
        <v>2348</v>
      </c>
      <c r="M508" s="8" t="s">
        <v>3122</v>
      </c>
      <c r="N508" s="7" t="s">
        <v>3096</v>
      </c>
      <c r="O508" s="8" t="s">
        <v>15</v>
      </c>
      <c r="P508" s="8" t="s">
        <v>57</v>
      </c>
      <c r="Q508" s="8" t="s">
        <v>57</v>
      </c>
      <c r="R508" s="8" t="s">
        <v>58</v>
      </c>
      <c r="S508" s="344" t="s">
        <v>16</v>
      </c>
      <c r="T508" s="9">
        <v>4989.7</v>
      </c>
      <c r="U508" s="9">
        <v>1101426.3799999999</v>
      </c>
      <c r="V508" s="8" t="s">
        <v>16</v>
      </c>
      <c r="W508" s="8">
        <v>0</v>
      </c>
      <c r="X508" s="8">
        <v>9</v>
      </c>
      <c r="Y508" s="8">
        <v>99128.37</v>
      </c>
      <c r="Z508" s="8">
        <v>9</v>
      </c>
      <c r="AA508" s="8">
        <v>99128.37</v>
      </c>
      <c r="AB508" s="8">
        <v>0</v>
      </c>
      <c r="AC508" s="8">
        <v>0</v>
      </c>
      <c r="AD508" s="8">
        <v>0</v>
      </c>
      <c r="AE508" s="8">
        <v>198256.74</v>
      </c>
      <c r="AF508" s="8">
        <v>0</v>
      </c>
      <c r="AG508" s="8" t="s">
        <v>59</v>
      </c>
      <c r="AH508" s="8" t="s">
        <v>11</v>
      </c>
      <c r="AI508" s="8">
        <v>63053200</v>
      </c>
      <c r="AJ508" s="8" t="s">
        <v>60</v>
      </c>
      <c r="AK508" s="8">
        <v>1</v>
      </c>
      <c r="AL508" s="8">
        <v>0</v>
      </c>
      <c r="AM508" s="8" t="s">
        <v>1905</v>
      </c>
    </row>
    <row r="509" spans="7:39">
      <c r="G509" s="344"/>
      <c r="H509" s="6" t="s">
        <v>3109</v>
      </c>
      <c r="I509" s="8" t="s">
        <v>93</v>
      </c>
      <c r="J509" s="8" t="s">
        <v>91</v>
      </c>
      <c r="K509" s="8" t="s">
        <v>3121</v>
      </c>
      <c r="L509" s="8" t="s">
        <v>2348</v>
      </c>
      <c r="M509" s="8" t="s">
        <v>3122</v>
      </c>
      <c r="N509" s="7" t="s">
        <v>3096</v>
      </c>
      <c r="O509" s="8" t="s">
        <v>15</v>
      </c>
      <c r="P509" s="8" t="s">
        <v>57</v>
      </c>
      <c r="Q509" s="8" t="s">
        <v>57</v>
      </c>
      <c r="R509" s="8" t="s">
        <v>58</v>
      </c>
      <c r="S509" s="8" t="s">
        <v>16</v>
      </c>
      <c r="T509" s="8">
        <v>863</v>
      </c>
      <c r="U509" s="9">
        <v>166343.25</v>
      </c>
      <c r="V509" s="8" t="s">
        <v>16</v>
      </c>
      <c r="W509" s="8">
        <v>0</v>
      </c>
      <c r="X509" s="8">
        <v>9</v>
      </c>
      <c r="Y509" s="8">
        <v>14970.89</v>
      </c>
      <c r="Z509" s="8">
        <v>9</v>
      </c>
      <c r="AA509" s="8">
        <v>14970.89</v>
      </c>
      <c r="AB509" s="8">
        <v>0</v>
      </c>
      <c r="AC509" s="8">
        <v>0</v>
      </c>
      <c r="AD509" s="8">
        <v>0</v>
      </c>
      <c r="AE509" s="8">
        <v>29941.78</v>
      </c>
      <c r="AF509" s="8">
        <v>0</v>
      </c>
      <c r="AG509" s="8" t="s">
        <v>59</v>
      </c>
      <c r="AH509" s="8" t="s">
        <v>11</v>
      </c>
      <c r="AI509" s="8">
        <v>63053200</v>
      </c>
      <c r="AJ509" s="8" t="s">
        <v>60</v>
      </c>
      <c r="AK509" s="8">
        <v>1</v>
      </c>
      <c r="AL509" s="8">
        <v>0</v>
      </c>
      <c r="AM509" s="8" t="s">
        <v>1905</v>
      </c>
    </row>
    <row r="510" spans="7:39">
      <c r="G510" s="344"/>
      <c r="H510" s="6" t="s">
        <v>3109</v>
      </c>
      <c r="I510" s="8" t="s">
        <v>93</v>
      </c>
      <c r="J510" s="8" t="s">
        <v>91</v>
      </c>
      <c r="K510" s="8" t="s">
        <v>3121</v>
      </c>
      <c r="L510" s="8" t="s">
        <v>2348</v>
      </c>
      <c r="M510" s="8" t="s">
        <v>3122</v>
      </c>
      <c r="N510" s="8" t="s">
        <v>3096</v>
      </c>
      <c r="O510" s="8" t="s">
        <v>15</v>
      </c>
      <c r="P510" s="8" t="s">
        <v>57</v>
      </c>
      <c r="Q510" s="8" t="s">
        <v>57</v>
      </c>
      <c r="R510" s="8" t="s">
        <v>58</v>
      </c>
      <c r="S510" s="8" t="s">
        <v>16</v>
      </c>
      <c r="T510" s="9">
        <v>4891.3999999999996</v>
      </c>
      <c r="U510" s="9">
        <v>940029.25</v>
      </c>
      <c r="V510" s="8" t="s">
        <v>16</v>
      </c>
      <c r="W510" s="8">
        <v>0</v>
      </c>
      <c r="X510" s="8">
        <v>9</v>
      </c>
      <c r="Y510" s="8">
        <v>84602.63</v>
      </c>
      <c r="Z510" s="8">
        <v>9</v>
      </c>
      <c r="AA510" s="8">
        <v>84602.63</v>
      </c>
      <c r="AB510" s="8">
        <v>0</v>
      </c>
      <c r="AC510" s="8">
        <v>0</v>
      </c>
      <c r="AD510" s="8">
        <v>0</v>
      </c>
      <c r="AE510" s="8">
        <v>169205.26</v>
      </c>
      <c r="AF510" s="8">
        <v>0</v>
      </c>
      <c r="AG510" s="8" t="s">
        <v>59</v>
      </c>
      <c r="AH510" s="8" t="s">
        <v>11</v>
      </c>
      <c r="AI510" s="8">
        <v>63053200</v>
      </c>
      <c r="AJ510" s="8" t="s">
        <v>60</v>
      </c>
      <c r="AK510" s="8">
        <v>1</v>
      </c>
      <c r="AL510" s="8">
        <v>0</v>
      </c>
      <c r="AM510" s="8" t="s">
        <v>1905</v>
      </c>
    </row>
    <row r="511" spans="7:39">
      <c r="G511" s="344"/>
      <c r="H511" s="6" t="s">
        <v>3109</v>
      </c>
      <c r="I511" s="8" t="s">
        <v>93</v>
      </c>
      <c r="J511" s="8" t="s">
        <v>91</v>
      </c>
      <c r="K511" s="8" t="s">
        <v>3121</v>
      </c>
      <c r="L511" s="8" t="s">
        <v>2348</v>
      </c>
      <c r="M511" s="8" t="s">
        <v>3122</v>
      </c>
      <c r="N511" s="8" t="s">
        <v>3096</v>
      </c>
      <c r="O511" s="8" t="s">
        <v>15</v>
      </c>
      <c r="P511" s="8" t="s">
        <v>57</v>
      </c>
      <c r="Q511" s="8" t="s">
        <v>57</v>
      </c>
      <c r="R511" s="8" t="s">
        <v>58</v>
      </c>
      <c r="S511" s="8" t="s">
        <v>16</v>
      </c>
      <c r="T511" s="9">
        <v>2023.3</v>
      </c>
      <c r="U511" s="9">
        <v>384528.17</v>
      </c>
      <c r="V511" s="8" t="s">
        <v>16</v>
      </c>
      <c r="W511" s="8">
        <v>0</v>
      </c>
      <c r="X511" s="8">
        <v>9</v>
      </c>
      <c r="Y511" s="8">
        <v>34607.53</v>
      </c>
      <c r="Z511" s="8">
        <v>9</v>
      </c>
      <c r="AA511" s="8">
        <v>34607.53</v>
      </c>
      <c r="AB511" s="8">
        <v>0</v>
      </c>
      <c r="AC511" s="8">
        <v>0</v>
      </c>
      <c r="AD511" s="8">
        <v>0</v>
      </c>
      <c r="AE511" s="8">
        <v>69215.06</v>
      </c>
      <c r="AF511" s="8">
        <v>0</v>
      </c>
      <c r="AG511" s="8" t="s">
        <v>59</v>
      </c>
      <c r="AH511" s="8" t="s">
        <v>11</v>
      </c>
      <c r="AI511" s="8">
        <v>63053200</v>
      </c>
      <c r="AJ511" s="8" t="s">
        <v>60</v>
      </c>
      <c r="AK511" s="8">
        <v>1</v>
      </c>
      <c r="AL511" s="8">
        <v>0</v>
      </c>
      <c r="AM511" s="8" t="s">
        <v>1905</v>
      </c>
    </row>
    <row r="512" spans="7:39">
      <c r="G512" s="344"/>
      <c r="H512" s="6" t="s">
        <v>3109</v>
      </c>
      <c r="I512" s="8" t="s">
        <v>3123</v>
      </c>
      <c r="J512" s="8" t="s">
        <v>113</v>
      </c>
      <c r="K512" s="8" t="s">
        <v>3124</v>
      </c>
      <c r="L512" s="8" t="s">
        <v>114</v>
      </c>
      <c r="M512" s="8">
        <v>786</v>
      </c>
      <c r="N512" s="8" t="s">
        <v>3109</v>
      </c>
      <c r="O512" s="8" t="s">
        <v>4</v>
      </c>
      <c r="P512" s="8" t="s">
        <v>115</v>
      </c>
      <c r="Q512" s="8" t="s">
        <v>4</v>
      </c>
      <c r="R512" s="8" t="s">
        <v>4</v>
      </c>
      <c r="S512" s="8" t="s">
        <v>773</v>
      </c>
      <c r="T512" s="9">
        <v>250</v>
      </c>
      <c r="U512" s="9">
        <v>132500</v>
      </c>
      <c r="V512" s="8" t="s">
        <v>773</v>
      </c>
      <c r="W512" s="8">
        <v>227850</v>
      </c>
      <c r="X512" s="8">
        <v>2.5</v>
      </c>
      <c r="Y512" s="8">
        <v>3312.5</v>
      </c>
      <c r="Z512" s="8">
        <v>2.5</v>
      </c>
      <c r="AA512" s="8">
        <v>3312.5</v>
      </c>
      <c r="AB512" s="8">
        <v>0</v>
      </c>
      <c r="AC512" s="8">
        <v>0</v>
      </c>
      <c r="AD512" s="8">
        <v>0</v>
      </c>
      <c r="AE512" s="8">
        <v>6625</v>
      </c>
      <c r="AF512" s="8">
        <v>0</v>
      </c>
      <c r="AG512" s="8" t="s">
        <v>3125</v>
      </c>
      <c r="AH512" s="8" t="s">
        <v>1</v>
      </c>
      <c r="AI512" s="8">
        <v>44152000</v>
      </c>
      <c r="AJ512" s="8" t="s">
        <v>60</v>
      </c>
      <c r="AK512" s="8">
        <v>1</v>
      </c>
      <c r="AL512" s="8">
        <v>0</v>
      </c>
      <c r="AM512" s="8" t="s">
        <v>1905</v>
      </c>
    </row>
    <row r="513" spans="7:39">
      <c r="G513" s="344"/>
      <c r="H513" s="6" t="s">
        <v>3109</v>
      </c>
      <c r="I513" s="8" t="s">
        <v>3123</v>
      </c>
      <c r="J513" s="8" t="s">
        <v>113</v>
      </c>
      <c r="K513" s="8" t="s">
        <v>3124</v>
      </c>
      <c r="L513" s="8" t="s">
        <v>114</v>
      </c>
      <c r="M513" s="8">
        <v>786</v>
      </c>
      <c r="N513" s="7" t="s">
        <v>3109</v>
      </c>
      <c r="O513" s="8" t="s">
        <v>4</v>
      </c>
      <c r="P513" s="8" t="s">
        <v>115</v>
      </c>
      <c r="Q513" s="8" t="s">
        <v>115</v>
      </c>
      <c r="R513" s="8" t="s">
        <v>4</v>
      </c>
      <c r="S513" s="8" t="s">
        <v>629</v>
      </c>
      <c r="T513" s="8">
        <v>100</v>
      </c>
      <c r="U513" s="9">
        <v>84500</v>
      </c>
      <c r="V513" s="8" t="s">
        <v>629</v>
      </c>
      <c r="W513" s="8">
        <v>0</v>
      </c>
      <c r="X513" s="8">
        <v>2.5</v>
      </c>
      <c r="Y513" s="8">
        <v>2112.5</v>
      </c>
      <c r="Z513" s="8">
        <v>2.5</v>
      </c>
      <c r="AA513" s="8">
        <v>2112.5</v>
      </c>
      <c r="AB513" s="8">
        <v>0</v>
      </c>
      <c r="AC513" s="8">
        <v>0</v>
      </c>
      <c r="AD513" s="8">
        <v>0</v>
      </c>
      <c r="AE513" s="8">
        <v>4225</v>
      </c>
      <c r="AF513" s="8">
        <v>0</v>
      </c>
      <c r="AG513" s="8" t="s">
        <v>3125</v>
      </c>
      <c r="AH513" s="8" t="s">
        <v>1</v>
      </c>
      <c r="AI513" s="8">
        <v>44152000</v>
      </c>
      <c r="AJ513" s="8" t="s">
        <v>60</v>
      </c>
      <c r="AK513" s="8">
        <v>1</v>
      </c>
      <c r="AL513" s="8">
        <v>0</v>
      </c>
      <c r="AM513" s="8" t="s">
        <v>1905</v>
      </c>
    </row>
    <row r="514" spans="7:39">
      <c r="G514" s="344"/>
      <c r="H514" s="6" t="s">
        <v>3109</v>
      </c>
      <c r="I514" s="8" t="s">
        <v>87</v>
      </c>
      <c r="J514" s="8" t="s">
        <v>96</v>
      </c>
      <c r="K514" s="8" t="s">
        <v>3126</v>
      </c>
      <c r="L514" s="8" t="s">
        <v>97</v>
      </c>
      <c r="M514" s="8" t="s">
        <v>3127</v>
      </c>
      <c r="N514" s="7" t="s">
        <v>3109</v>
      </c>
      <c r="O514" s="8" t="s">
        <v>2</v>
      </c>
      <c r="P514" s="8" t="s">
        <v>67</v>
      </c>
      <c r="Q514" s="8" t="s">
        <v>68</v>
      </c>
      <c r="R514" s="8" t="s">
        <v>69</v>
      </c>
      <c r="S514" s="8" t="s">
        <v>70</v>
      </c>
      <c r="T514" s="8">
        <v>327</v>
      </c>
      <c r="U514" s="9">
        <v>15696</v>
      </c>
      <c r="V514" s="8" t="s">
        <v>70</v>
      </c>
      <c r="W514" s="8">
        <v>18505.580000000002</v>
      </c>
      <c r="X514" s="8">
        <v>9</v>
      </c>
      <c r="Y514" s="8">
        <v>1412.64</v>
      </c>
      <c r="Z514" s="8">
        <v>9</v>
      </c>
      <c r="AA514" s="8">
        <v>1412.64</v>
      </c>
      <c r="AB514" s="8">
        <v>0</v>
      </c>
      <c r="AC514" s="8">
        <v>0</v>
      </c>
      <c r="AD514" s="8">
        <v>0</v>
      </c>
      <c r="AE514" s="8">
        <v>2825.28</v>
      </c>
      <c r="AF514" s="8">
        <v>0</v>
      </c>
      <c r="AG514" s="8" t="s">
        <v>65</v>
      </c>
      <c r="AH514" s="8" t="s">
        <v>11</v>
      </c>
      <c r="AI514" s="8">
        <v>73063090</v>
      </c>
      <c r="AJ514" s="8" t="s">
        <v>60</v>
      </c>
      <c r="AK514" s="8">
        <v>1</v>
      </c>
      <c r="AL514" s="8">
        <v>0</v>
      </c>
      <c r="AM514" s="8" t="s">
        <v>1905</v>
      </c>
    </row>
    <row r="515" spans="7:39">
      <c r="G515" s="344"/>
      <c r="H515" s="6" t="s">
        <v>3109</v>
      </c>
      <c r="I515" s="8" t="s">
        <v>87</v>
      </c>
      <c r="J515" s="8" t="s">
        <v>91</v>
      </c>
      <c r="K515" s="8" t="s">
        <v>3128</v>
      </c>
      <c r="L515" s="8" t="s">
        <v>98</v>
      </c>
      <c r="M515" s="8" t="s">
        <v>3129</v>
      </c>
      <c r="N515" s="7" t="s">
        <v>3109</v>
      </c>
      <c r="O515" s="8" t="s">
        <v>13</v>
      </c>
      <c r="P515" s="8" t="s">
        <v>62</v>
      </c>
      <c r="Q515" s="8" t="s">
        <v>63</v>
      </c>
      <c r="R515" s="8" t="s">
        <v>64</v>
      </c>
      <c r="S515" s="8" t="s">
        <v>19</v>
      </c>
      <c r="T515" s="9">
        <v>1237</v>
      </c>
      <c r="U515" s="9">
        <v>179760.84</v>
      </c>
      <c r="V515" s="8" t="s">
        <v>19</v>
      </c>
      <c r="W515" s="8">
        <v>1534988.26</v>
      </c>
      <c r="X515" s="8">
        <v>9</v>
      </c>
      <c r="Y515" s="8">
        <v>16178.48</v>
      </c>
      <c r="Z515" s="8">
        <v>9</v>
      </c>
      <c r="AA515" s="8">
        <v>16178.48</v>
      </c>
      <c r="AB515" s="8">
        <v>0</v>
      </c>
      <c r="AC515" s="8">
        <v>0</v>
      </c>
      <c r="AD515" s="8">
        <v>0</v>
      </c>
      <c r="AE515" s="8">
        <v>32356.959999999999</v>
      </c>
      <c r="AF515" s="8">
        <v>0</v>
      </c>
      <c r="AG515" s="8" t="s">
        <v>65</v>
      </c>
      <c r="AH515" s="8" t="s">
        <v>11</v>
      </c>
      <c r="AI515" s="8">
        <v>39269080</v>
      </c>
      <c r="AJ515" s="8" t="s">
        <v>60</v>
      </c>
      <c r="AK515" s="8">
        <v>1</v>
      </c>
      <c r="AL515" s="8">
        <v>0</v>
      </c>
      <c r="AM515" s="8" t="s">
        <v>1905</v>
      </c>
    </row>
    <row r="516" spans="7:39">
      <c r="G516" s="344"/>
      <c r="H516" s="6" t="s">
        <v>3109</v>
      </c>
      <c r="I516" s="8" t="s">
        <v>87</v>
      </c>
      <c r="J516" s="8" t="s">
        <v>91</v>
      </c>
      <c r="K516" s="8" t="s">
        <v>3128</v>
      </c>
      <c r="L516" s="8" t="s">
        <v>98</v>
      </c>
      <c r="M516" s="8" t="s">
        <v>3129</v>
      </c>
      <c r="N516" s="8" t="s">
        <v>3109</v>
      </c>
      <c r="O516" s="8" t="s">
        <v>13</v>
      </c>
      <c r="P516" s="8" t="s">
        <v>62</v>
      </c>
      <c r="Q516" s="8" t="s">
        <v>63</v>
      </c>
      <c r="R516" s="8" t="s">
        <v>64</v>
      </c>
      <c r="S516" s="8" t="s">
        <v>19</v>
      </c>
      <c r="T516" s="9">
        <v>705</v>
      </c>
      <c r="U516" s="9">
        <v>101745.60000000001</v>
      </c>
      <c r="V516" s="8" t="s">
        <v>19</v>
      </c>
      <c r="W516" s="8">
        <v>0</v>
      </c>
      <c r="X516" s="8">
        <v>9</v>
      </c>
      <c r="Y516" s="8">
        <v>9157.1</v>
      </c>
      <c r="Z516" s="8">
        <v>9</v>
      </c>
      <c r="AA516" s="8">
        <v>9157.1</v>
      </c>
      <c r="AB516" s="8">
        <v>0</v>
      </c>
      <c r="AC516" s="8">
        <v>0</v>
      </c>
      <c r="AD516" s="8">
        <v>0</v>
      </c>
      <c r="AE516" s="8">
        <v>18314.2</v>
      </c>
      <c r="AF516" s="8">
        <v>0</v>
      </c>
      <c r="AG516" s="8" t="s">
        <v>65</v>
      </c>
      <c r="AH516" s="8" t="s">
        <v>11</v>
      </c>
      <c r="AI516" s="8">
        <v>39269080</v>
      </c>
      <c r="AJ516" s="8" t="s">
        <v>60</v>
      </c>
      <c r="AK516" s="8">
        <v>1</v>
      </c>
      <c r="AL516" s="8">
        <v>0</v>
      </c>
      <c r="AM516" s="8" t="s">
        <v>1905</v>
      </c>
    </row>
    <row r="517" spans="7:39">
      <c r="G517" s="344"/>
      <c r="H517" s="6" t="s">
        <v>3109</v>
      </c>
      <c r="I517" s="8" t="s">
        <v>87</v>
      </c>
      <c r="J517" s="8" t="s">
        <v>91</v>
      </c>
      <c r="K517" s="8" t="s">
        <v>3128</v>
      </c>
      <c r="L517" s="8" t="s">
        <v>98</v>
      </c>
      <c r="M517" s="8" t="s">
        <v>3129</v>
      </c>
      <c r="N517" s="8" t="s">
        <v>3109</v>
      </c>
      <c r="O517" s="8" t="s">
        <v>13</v>
      </c>
      <c r="P517" s="8" t="s">
        <v>62</v>
      </c>
      <c r="Q517" s="8" t="s">
        <v>63</v>
      </c>
      <c r="R517" s="8" t="s">
        <v>64</v>
      </c>
      <c r="S517" s="8" t="s">
        <v>19</v>
      </c>
      <c r="T517" s="9">
        <v>7170</v>
      </c>
      <c r="U517" s="9">
        <v>1020434.4</v>
      </c>
      <c r="V517" s="8" t="s">
        <v>19</v>
      </c>
      <c r="W517" s="8">
        <v>0</v>
      </c>
      <c r="X517" s="8">
        <v>9</v>
      </c>
      <c r="Y517" s="8">
        <v>91839.1</v>
      </c>
      <c r="Z517" s="8">
        <v>9</v>
      </c>
      <c r="AA517" s="8">
        <v>91839.1</v>
      </c>
      <c r="AB517" s="8">
        <v>0</v>
      </c>
      <c r="AC517" s="8">
        <v>0</v>
      </c>
      <c r="AD517" s="8">
        <v>0</v>
      </c>
      <c r="AE517" s="8">
        <v>183678.2</v>
      </c>
      <c r="AF517" s="8">
        <v>0</v>
      </c>
      <c r="AG517" s="8" t="s">
        <v>65</v>
      </c>
      <c r="AH517" s="8" t="s">
        <v>11</v>
      </c>
      <c r="AI517" s="8">
        <v>39269080</v>
      </c>
      <c r="AJ517" s="8" t="s">
        <v>60</v>
      </c>
      <c r="AK517" s="8">
        <v>1</v>
      </c>
      <c r="AL517" s="8">
        <v>0</v>
      </c>
      <c r="AM517" s="8" t="s">
        <v>1905</v>
      </c>
    </row>
    <row r="518" spans="7:39">
      <c r="G518" s="344"/>
      <c r="H518" s="6" t="s">
        <v>3109</v>
      </c>
      <c r="I518" s="8" t="s">
        <v>87</v>
      </c>
      <c r="J518" s="8" t="s">
        <v>91</v>
      </c>
      <c r="K518" s="8" t="s">
        <v>3130</v>
      </c>
      <c r="L518" s="8" t="s">
        <v>98</v>
      </c>
      <c r="M518" s="8" t="s">
        <v>3131</v>
      </c>
      <c r="N518" s="8" t="s">
        <v>3109</v>
      </c>
      <c r="O518" s="8" t="s">
        <v>13</v>
      </c>
      <c r="P518" s="8" t="s">
        <v>80</v>
      </c>
      <c r="Q518" s="8" t="s">
        <v>81</v>
      </c>
      <c r="R518" s="8" t="s">
        <v>82</v>
      </c>
      <c r="S518" s="8" t="s">
        <v>17</v>
      </c>
      <c r="T518" s="8">
        <v>235</v>
      </c>
      <c r="U518" s="9">
        <v>43442.1</v>
      </c>
      <c r="V518" s="8" t="s">
        <v>17</v>
      </c>
      <c r="W518" s="8">
        <v>266605.27</v>
      </c>
      <c r="X518" s="8">
        <v>9</v>
      </c>
      <c r="Y518" s="8">
        <v>3909.79</v>
      </c>
      <c r="Z518" s="8">
        <v>9</v>
      </c>
      <c r="AA518" s="8">
        <v>3909.79</v>
      </c>
      <c r="AB518" s="8">
        <v>0</v>
      </c>
      <c r="AC518" s="8">
        <v>0</v>
      </c>
      <c r="AD518" s="8">
        <v>0</v>
      </c>
      <c r="AE518" s="8">
        <v>7819.58</v>
      </c>
      <c r="AF518" s="8">
        <v>0</v>
      </c>
      <c r="AG518" s="8" t="s">
        <v>65</v>
      </c>
      <c r="AH518" s="8" t="s">
        <v>11</v>
      </c>
      <c r="AI518" s="8">
        <v>39200000</v>
      </c>
      <c r="AJ518" s="8" t="s">
        <v>60</v>
      </c>
      <c r="AK518" s="8">
        <v>1</v>
      </c>
      <c r="AL518" s="8">
        <v>0</v>
      </c>
      <c r="AM518" s="8" t="s">
        <v>1905</v>
      </c>
    </row>
    <row r="519" spans="7:39">
      <c r="G519" s="344"/>
      <c r="H519" s="6" t="s">
        <v>3109</v>
      </c>
      <c r="I519" s="8" t="s">
        <v>87</v>
      </c>
      <c r="J519" s="8" t="s">
        <v>91</v>
      </c>
      <c r="K519" s="8" t="s">
        <v>3130</v>
      </c>
      <c r="L519" s="8" t="s">
        <v>98</v>
      </c>
      <c r="M519" s="8" t="s">
        <v>3131</v>
      </c>
      <c r="N519" s="8" t="s">
        <v>3109</v>
      </c>
      <c r="O519" s="8" t="s">
        <v>13</v>
      </c>
      <c r="P519" s="8" t="s">
        <v>80</v>
      </c>
      <c r="Q519" s="8" t="s">
        <v>81</v>
      </c>
      <c r="R519" s="8" t="s">
        <v>82</v>
      </c>
      <c r="S519" s="8" t="s">
        <v>17</v>
      </c>
      <c r="T519" s="9">
        <v>763</v>
      </c>
      <c r="U519" s="9">
        <v>137233.18</v>
      </c>
      <c r="V519" s="8" t="s">
        <v>17</v>
      </c>
      <c r="W519" s="8">
        <v>0</v>
      </c>
      <c r="X519" s="8">
        <v>9</v>
      </c>
      <c r="Y519" s="8">
        <v>12350.99</v>
      </c>
      <c r="Z519" s="8">
        <v>9</v>
      </c>
      <c r="AA519" s="8">
        <v>12350.99</v>
      </c>
      <c r="AB519" s="8">
        <v>0</v>
      </c>
      <c r="AC519" s="8">
        <v>0</v>
      </c>
      <c r="AD519" s="8">
        <v>0</v>
      </c>
      <c r="AE519" s="8">
        <v>24701.98</v>
      </c>
      <c r="AF519" s="8">
        <v>0</v>
      </c>
      <c r="AG519" s="8" t="s">
        <v>65</v>
      </c>
      <c r="AH519" s="8" t="s">
        <v>11</v>
      </c>
      <c r="AI519" s="8">
        <v>39200000</v>
      </c>
      <c r="AJ519" s="8" t="s">
        <v>60</v>
      </c>
      <c r="AK519" s="8">
        <v>1</v>
      </c>
      <c r="AL519" s="8">
        <v>0</v>
      </c>
      <c r="AM519" s="8" t="s">
        <v>1905</v>
      </c>
    </row>
    <row r="520" spans="7:39">
      <c r="G520" s="344"/>
      <c r="H520" s="6" t="s">
        <v>3109</v>
      </c>
      <c r="I520" s="8" t="s">
        <v>87</v>
      </c>
      <c r="J520" s="8" t="s">
        <v>91</v>
      </c>
      <c r="K520" s="8" t="s">
        <v>3130</v>
      </c>
      <c r="L520" s="8" t="s">
        <v>98</v>
      </c>
      <c r="M520" s="8" t="s">
        <v>3131</v>
      </c>
      <c r="N520" s="8" t="s">
        <v>3109</v>
      </c>
      <c r="O520" s="8" t="s">
        <v>13</v>
      </c>
      <c r="P520" s="8" t="s">
        <v>80</v>
      </c>
      <c r="Q520" s="8" t="s">
        <v>81</v>
      </c>
      <c r="R520" s="8" t="s">
        <v>82</v>
      </c>
      <c r="S520" s="8" t="s">
        <v>17</v>
      </c>
      <c r="T520" s="9">
        <v>257</v>
      </c>
      <c r="U520" s="9">
        <v>45453.02</v>
      </c>
      <c r="V520" s="8" t="s">
        <v>17</v>
      </c>
      <c r="W520" s="8">
        <v>0</v>
      </c>
      <c r="X520" s="8">
        <v>9</v>
      </c>
      <c r="Y520" s="8">
        <v>4090.77</v>
      </c>
      <c r="Z520" s="8">
        <v>9</v>
      </c>
      <c r="AA520" s="8">
        <v>4090.77</v>
      </c>
      <c r="AB520" s="8">
        <v>0</v>
      </c>
      <c r="AC520" s="8">
        <v>0</v>
      </c>
      <c r="AD520" s="8">
        <v>0</v>
      </c>
      <c r="AE520" s="8">
        <v>8181.54</v>
      </c>
      <c r="AF520" s="8">
        <v>0</v>
      </c>
      <c r="AG520" s="8" t="s">
        <v>65</v>
      </c>
      <c r="AH520" s="8" t="s">
        <v>11</v>
      </c>
      <c r="AI520" s="8">
        <v>39200000</v>
      </c>
      <c r="AJ520" s="8" t="s">
        <v>60</v>
      </c>
      <c r="AK520" s="8">
        <v>1</v>
      </c>
      <c r="AL520" s="8">
        <v>0</v>
      </c>
      <c r="AM520" s="8" t="s">
        <v>1905</v>
      </c>
    </row>
    <row r="521" spans="7:39">
      <c r="G521" s="344"/>
      <c r="H521" s="6" t="s">
        <v>3109</v>
      </c>
      <c r="I521" s="8" t="s">
        <v>87</v>
      </c>
      <c r="J521" s="8" t="s">
        <v>91</v>
      </c>
      <c r="K521" s="8" t="s">
        <v>3132</v>
      </c>
      <c r="L521" s="8" t="s">
        <v>98</v>
      </c>
      <c r="M521" s="8" t="s">
        <v>3133</v>
      </c>
      <c r="N521" s="8" t="s">
        <v>3109</v>
      </c>
      <c r="O521" s="8" t="s">
        <v>13</v>
      </c>
      <c r="P521" s="8" t="s">
        <v>24</v>
      </c>
      <c r="Q521" s="8" t="s">
        <v>79</v>
      </c>
      <c r="R521" s="8" t="s">
        <v>79</v>
      </c>
      <c r="S521" s="344" t="s">
        <v>24</v>
      </c>
      <c r="T521" s="9">
        <v>17.3</v>
      </c>
      <c r="U521" s="9">
        <v>2911.94</v>
      </c>
      <c r="V521" s="8" t="s">
        <v>24</v>
      </c>
      <c r="W521" s="8">
        <v>992726.72</v>
      </c>
      <c r="X521" s="8">
        <v>9</v>
      </c>
      <c r="Y521" s="8">
        <v>262.07</v>
      </c>
      <c r="Z521" s="8">
        <v>9</v>
      </c>
      <c r="AA521" s="8">
        <v>262.07</v>
      </c>
      <c r="AB521" s="8">
        <v>0</v>
      </c>
      <c r="AC521" s="8">
        <v>0</v>
      </c>
      <c r="AD521" s="8">
        <v>0</v>
      </c>
      <c r="AE521" s="8">
        <v>524.14</v>
      </c>
      <c r="AF521" s="8">
        <v>0</v>
      </c>
      <c r="AG521" s="8" t="s">
        <v>65</v>
      </c>
      <c r="AH521" s="8" t="s">
        <v>11</v>
      </c>
      <c r="AI521" s="8">
        <v>3926908</v>
      </c>
      <c r="AJ521" s="8" t="s">
        <v>60</v>
      </c>
      <c r="AK521" s="8">
        <v>1</v>
      </c>
      <c r="AL521" s="8">
        <v>0</v>
      </c>
      <c r="AM521" s="8" t="s">
        <v>1905</v>
      </c>
    </row>
    <row r="522" spans="7:39">
      <c r="G522" s="344"/>
      <c r="H522" s="6" t="s">
        <v>3109</v>
      </c>
      <c r="I522" s="8" t="s">
        <v>87</v>
      </c>
      <c r="J522" s="8" t="s">
        <v>91</v>
      </c>
      <c r="K522" s="8" t="s">
        <v>3132</v>
      </c>
      <c r="L522" s="8" t="s">
        <v>98</v>
      </c>
      <c r="M522" s="8" t="s">
        <v>3133</v>
      </c>
      <c r="N522" s="8" t="s">
        <v>3109</v>
      </c>
      <c r="O522" s="8" t="s">
        <v>13</v>
      </c>
      <c r="P522" s="8" t="s">
        <v>24</v>
      </c>
      <c r="Q522" s="8" t="s">
        <v>79</v>
      </c>
      <c r="R522" s="8" t="s">
        <v>79</v>
      </c>
      <c r="S522" s="8" t="s">
        <v>24</v>
      </c>
      <c r="T522" s="9">
        <v>1281.7</v>
      </c>
      <c r="U522" s="9">
        <v>188820.04</v>
      </c>
      <c r="V522" s="8" t="s">
        <v>24</v>
      </c>
      <c r="W522" s="8">
        <v>0</v>
      </c>
      <c r="X522" s="8">
        <v>9</v>
      </c>
      <c r="Y522" s="8">
        <v>16993.8</v>
      </c>
      <c r="Z522" s="8">
        <v>9</v>
      </c>
      <c r="AA522" s="8">
        <v>16993.8</v>
      </c>
      <c r="AB522" s="8">
        <v>0</v>
      </c>
      <c r="AC522" s="8">
        <v>0</v>
      </c>
      <c r="AD522" s="8">
        <v>0</v>
      </c>
      <c r="AE522" s="8">
        <v>33987.599999999999</v>
      </c>
      <c r="AF522" s="8">
        <v>0</v>
      </c>
      <c r="AG522" s="8" t="s">
        <v>65</v>
      </c>
      <c r="AH522" s="8" t="s">
        <v>11</v>
      </c>
      <c r="AI522" s="8">
        <v>3926908</v>
      </c>
      <c r="AJ522" s="8" t="s">
        <v>60</v>
      </c>
      <c r="AK522" s="8">
        <v>1</v>
      </c>
      <c r="AL522" s="8">
        <v>0</v>
      </c>
      <c r="AM522" s="8" t="s">
        <v>1905</v>
      </c>
    </row>
    <row r="523" spans="7:39">
      <c r="G523" s="344"/>
      <c r="H523" s="6" t="s">
        <v>3109</v>
      </c>
      <c r="I523" s="8" t="s">
        <v>87</v>
      </c>
      <c r="J523" s="8" t="s">
        <v>91</v>
      </c>
      <c r="K523" s="8" t="s">
        <v>3132</v>
      </c>
      <c r="L523" s="8" t="s">
        <v>98</v>
      </c>
      <c r="M523" s="8" t="s">
        <v>3133</v>
      </c>
      <c r="N523" s="8" t="s">
        <v>3109</v>
      </c>
      <c r="O523" s="8" t="s">
        <v>13</v>
      </c>
      <c r="P523" s="8" t="s">
        <v>24</v>
      </c>
      <c r="Q523" s="8" t="s">
        <v>79</v>
      </c>
      <c r="R523" s="8" t="s">
        <v>79</v>
      </c>
      <c r="S523" s="8" t="s">
        <v>24</v>
      </c>
      <c r="T523" s="9">
        <v>243.6</v>
      </c>
      <c r="U523" s="9">
        <v>35156.35</v>
      </c>
      <c r="V523" s="8" t="s">
        <v>24</v>
      </c>
      <c r="W523" s="8">
        <v>0</v>
      </c>
      <c r="X523" s="8">
        <v>9</v>
      </c>
      <c r="Y523" s="8">
        <v>3164.07</v>
      </c>
      <c r="Z523" s="8">
        <v>9</v>
      </c>
      <c r="AA523" s="8">
        <v>3164.07</v>
      </c>
      <c r="AB523" s="8">
        <v>0</v>
      </c>
      <c r="AC523" s="8">
        <v>0</v>
      </c>
      <c r="AD523" s="8">
        <v>0</v>
      </c>
      <c r="AE523" s="8">
        <v>6328.14</v>
      </c>
      <c r="AF523" s="8">
        <v>0</v>
      </c>
      <c r="AG523" s="8" t="s">
        <v>65</v>
      </c>
      <c r="AH523" s="8" t="s">
        <v>11</v>
      </c>
      <c r="AI523" s="8">
        <v>3926908</v>
      </c>
      <c r="AJ523" s="8" t="s">
        <v>60</v>
      </c>
      <c r="AK523" s="8">
        <v>1</v>
      </c>
      <c r="AL523" s="8">
        <v>0</v>
      </c>
      <c r="AM523" s="8" t="s">
        <v>1905</v>
      </c>
    </row>
    <row r="524" spans="7:39">
      <c r="G524" s="344"/>
      <c r="H524" s="10" t="s">
        <v>3109</v>
      </c>
      <c r="I524" s="344" t="s">
        <v>87</v>
      </c>
      <c r="J524" s="344" t="s">
        <v>91</v>
      </c>
      <c r="K524" s="344" t="s">
        <v>3132</v>
      </c>
      <c r="L524" s="344" t="s">
        <v>98</v>
      </c>
      <c r="M524" s="344" t="s">
        <v>3133</v>
      </c>
      <c r="N524" s="344" t="s">
        <v>3109</v>
      </c>
      <c r="O524" s="344" t="s">
        <v>13</v>
      </c>
      <c r="P524" s="344" t="s">
        <v>80</v>
      </c>
      <c r="Q524" s="344" t="s">
        <v>81</v>
      </c>
      <c r="R524" s="344" t="s">
        <v>82</v>
      </c>
      <c r="S524" s="344" t="s">
        <v>17</v>
      </c>
      <c r="T524" s="347">
        <v>3478</v>
      </c>
      <c r="U524" s="347">
        <v>615119.07999999996</v>
      </c>
      <c r="V524" s="344" t="s">
        <v>17</v>
      </c>
      <c r="W524" s="344">
        <v>0</v>
      </c>
      <c r="X524" s="344">
        <v>9</v>
      </c>
      <c r="Y524" s="344">
        <v>55360.72</v>
      </c>
      <c r="Z524" s="344">
        <v>9</v>
      </c>
      <c r="AA524" s="344">
        <v>55360.72</v>
      </c>
      <c r="AB524" s="344">
        <v>0</v>
      </c>
      <c r="AC524" s="344">
        <v>0</v>
      </c>
      <c r="AD524" s="344">
        <v>0</v>
      </c>
      <c r="AE524" s="344">
        <v>110721.44</v>
      </c>
      <c r="AF524" s="344">
        <v>0</v>
      </c>
      <c r="AG524" s="344" t="s">
        <v>65</v>
      </c>
      <c r="AH524" s="344" t="s">
        <v>11</v>
      </c>
      <c r="AI524" s="344">
        <v>39200000</v>
      </c>
      <c r="AJ524" s="344" t="s">
        <v>60</v>
      </c>
      <c r="AK524" s="344">
        <v>1</v>
      </c>
      <c r="AL524" s="344">
        <v>0</v>
      </c>
      <c r="AM524" s="344" t="s">
        <v>1905</v>
      </c>
    </row>
    <row r="525" spans="7:39">
      <c r="G525" s="344"/>
      <c r="H525" s="10" t="s">
        <v>3109</v>
      </c>
      <c r="I525" s="344" t="s">
        <v>2194</v>
      </c>
      <c r="J525" s="344" t="s">
        <v>96</v>
      </c>
      <c r="K525" s="344" t="s">
        <v>3134</v>
      </c>
      <c r="L525" s="344" t="s">
        <v>97</v>
      </c>
      <c r="M525" s="344">
        <v>1862</v>
      </c>
      <c r="N525" s="390">
        <v>46211</v>
      </c>
      <c r="O525" s="344" t="s">
        <v>5</v>
      </c>
      <c r="P525" s="344" t="s">
        <v>106</v>
      </c>
      <c r="Q525" s="344" t="s">
        <v>68</v>
      </c>
      <c r="R525" s="344" t="s">
        <v>69</v>
      </c>
      <c r="S525" s="344" t="s">
        <v>2191</v>
      </c>
      <c r="T525" s="347">
        <v>27494</v>
      </c>
      <c r="U525" s="347">
        <v>9622.9</v>
      </c>
      <c r="V525" s="344" t="s">
        <v>2191</v>
      </c>
      <c r="W525" s="344">
        <v>11355</v>
      </c>
      <c r="X525" s="344">
        <v>9</v>
      </c>
      <c r="Y525" s="344">
        <v>866.06</v>
      </c>
      <c r="Z525" s="344">
        <v>9</v>
      </c>
      <c r="AA525" s="344">
        <v>866.06</v>
      </c>
      <c r="AB525" s="344">
        <v>0</v>
      </c>
      <c r="AC525" s="344">
        <v>0</v>
      </c>
      <c r="AD525" s="344">
        <v>0</v>
      </c>
      <c r="AE525" s="344">
        <v>1732.12</v>
      </c>
      <c r="AF525" s="344">
        <v>0</v>
      </c>
      <c r="AG525" s="344" t="s">
        <v>2300</v>
      </c>
      <c r="AH525" s="344" t="s">
        <v>7</v>
      </c>
      <c r="AI525" s="344">
        <v>400200</v>
      </c>
      <c r="AJ525" s="344" t="s">
        <v>60</v>
      </c>
      <c r="AK525" s="344">
        <v>1</v>
      </c>
      <c r="AL525" s="344">
        <v>0</v>
      </c>
      <c r="AM525" s="344" t="s">
        <v>1905</v>
      </c>
    </row>
    <row r="526" spans="7:39">
      <c r="G526" s="344"/>
      <c r="H526" s="10" t="s">
        <v>3109</v>
      </c>
      <c r="I526" s="344" t="s">
        <v>2194</v>
      </c>
      <c r="J526" s="344" t="s">
        <v>96</v>
      </c>
      <c r="K526" s="344" t="s">
        <v>3135</v>
      </c>
      <c r="L526" s="344" t="s">
        <v>97</v>
      </c>
      <c r="M526" s="344">
        <v>1902</v>
      </c>
      <c r="N526" s="390">
        <v>46303</v>
      </c>
      <c r="O526" s="344" t="s">
        <v>5</v>
      </c>
      <c r="P526" s="344" t="s">
        <v>106</v>
      </c>
      <c r="Q526" s="344" t="s">
        <v>68</v>
      </c>
      <c r="R526" s="344" t="s">
        <v>69</v>
      </c>
      <c r="S526" s="344" t="s">
        <v>2191</v>
      </c>
      <c r="T526" s="347">
        <v>2863</v>
      </c>
      <c r="U526" s="347">
        <v>1002.05</v>
      </c>
      <c r="V526" s="344" t="s">
        <v>2191</v>
      </c>
      <c r="W526" s="344">
        <v>1182</v>
      </c>
      <c r="X526" s="344">
        <v>9</v>
      </c>
      <c r="Y526" s="344">
        <v>90.18</v>
      </c>
      <c r="Z526" s="344">
        <v>9</v>
      </c>
      <c r="AA526" s="344">
        <v>90.18</v>
      </c>
      <c r="AB526" s="344">
        <v>0</v>
      </c>
      <c r="AC526" s="344">
        <v>0</v>
      </c>
      <c r="AD526" s="344">
        <v>0</v>
      </c>
      <c r="AE526" s="344">
        <v>180.36</v>
      </c>
      <c r="AF526" s="344">
        <v>0</v>
      </c>
      <c r="AG526" s="344" t="s">
        <v>2300</v>
      </c>
      <c r="AH526" s="344" t="s">
        <v>7</v>
      </c>
      <c r="AI526" s="344">
        <v>400200</v>
      </c>
      <c r="AJ526" s="344" t="s">
        <v>60</v>
      </c>
      <c r="AK526" s="344">
        <v>1</v>
      </c>
      <c r="AL526" s="344">
        <v>0</v>
      </c>
      <c r="AM526" s="344" t="s">
        <v>1905</v>
      </c>
    </row>
    <row r="527" spans="7:39">
      <c r="G527" s="344"/>
      <c r="H527" s="10" t="s">
        <v>3109</v>
      </c>
      <c r="I527" s="344" t="s">
        <v>740</v>
      </c>
      <c r="J527" s="344" t="s">
        <v>96</v>
      </c>
      <c r="K527" s="344" t="s">
        <v>3136</v>
      </c>
      <c r="L527" s="344" t="s">
        <v>97</v>
      </c>
      <c r="M527" s="344">
        <v>9696</v>
      </c>
      <c r="N527" s="390">
        <v>46242</v>
      </c>
      <c r="O527" s="344" t="s">
        <v>5</v>
      </c>
      <c r="P527" s="344" t="s">
        <v>106</v>
      </c>
      <c r="Q527" s="344" t="s">
        <v>68</v>
      </c>
      <c r="R527" s="344" t="s">
        <v>69</v>
      </c>
      <c r="S527" s="344" t="s">
        <v>9</v>
      </c>
      <c r="T527" s="347">
        <v>16243.48</v>
      </c>
      <c r="U527" s="347">
        <v>18680</v>
      </c>
      <c r="V527" s="344" t="s">
        <v>9</v>
      </c>
      <c r="W527" s="344">
        <v>22042.400000000001</v>
      </c>
      <c r="X527" s="344">
        <v>9</v>
      </c>
      <c r="Y527" s="344">
        <v>1681.2</v>
      </c>
      <c r="Z527" s="344">
        <v>9</v>
      </c>
      <c r="AA527" s="344">
        <v>1681.2</v>
      </c>
      <c r="AB527" s="344">
        <v>0</v>
      </c>
      <c r="AC527" s="344">
        <v>0</v>
      </c>
      <c r="AD527" s="344">
        <v>0</v>
      </c>
      <c r="AE527" s="344">
        <v>3362.4</v>
      </c>
      <c r="AF527" s="344">
        <v>0</v>
      </c>
      <c r="AG527" s="344" t="s">
        <v>2203</v>
      </c>
      <c r="AH527" s="344" t="s">
        <v>10</v>
      </c>
      <c r="AI527" s="344">
        <v>37013000</v>
      </c>
      <c r="AJ527" s="344" t="s">
        <v>60</v>
      </c>
      <c r="AK527" s="344">
        <v>1</v>
      </c>
      <c r="AL527" s="344">
        <v>0</v>
      </c>
      <c r="AM527" s="344" t="s">
        <v>1905</v>
      </c>
    </row>
    <row r="528" spans="7:39">
      <c r="G528" s="344"/>
      <c r="H528" s="10" t="s">
        <v>3109</v>
      </c>
      <c r="I528" s="344" t="s">
        <v>740</v>
      </c>
      <c r="J528" s="344" t="s">
        <v>96</v>
      </c>
      <c r="K528" s="344" t="s">
        <v>3137</v>
      </c>
      <c r="L528" s="344" t="s">
        <v>97</v>
      </c>
      <c r="M528" s="344">
        <v>9710</v>
      </c>
      <c r="N528" s="390">
        <v>46303</v>
      </c>
      <c r="O528" s="344" t="s">
        <v>5</v>
      </c>
      <c r="P528" s="344" t="s">
        <v>106</v>
      </c>
      <c r="Q528" s="344" t="s">
        <v>68</v>
      </c>
      <c r="R528" s="344" t="s">
        <v>69</v>
      </c>
      <c r="S528" s="344" t="s">
        <v>9</v>
      </c>
      <c r="T528" s="347">
        <v>9227.8799999999992</v>
      </c>
      <c r="U528" s="347">
        <v>10612.06</v>
      </c>
      <c r="V528" s="344" t="s">
        <v>9</v>
      </c>
      <c r="W528" s="344">
        <v>12522.23</v>
      </c>
      <c r="X528" s="344">
        <v>9</v>
      </c>
      <c r="Y528" s="344">
        <v>955.09</v>
      </c>
      <c r="Z528" s="344">
        <v>9</v>
      </c>
      <c r="AA528" s="344">
        <v>955.09</v>
      </c>
      <c r="AB528" s="344">
        <v>0</v>
      </c>
      <c r="AC528" s="344">
        <v>0</v>
      </c>
      <c r="AD528" s="344">
        <v>0</v>
      </c>
      <c r="AE528" s="344">
        <v>1910.18</v>
      </c>
      <c r="AF528" s="344">
        <v>0</v>
      </c>
      <c r="AG528" s="344" t="s">
        <v>2203</v>
      </c>
      <c r="AH528" s="344" t="s">
        <v>10</v>
      </c>
      <c r="AI528" s="344">
        <v>37013000</v>
      </c>
      <c r="AJ528" s="344" t="s">
        <v>60</v>
      </c>
      <c r="AK528" s="344">
        <v>1</v>
      </c>
      <c r="AL528" s="344">
        <v>0</v>
      </c>
      <c r="AM528" s="344" t="s">
        <v>1905</v>
      </c>
    </row>
    <row r="529" spans="7:39">
      <c r="G529" s="344"/>
      <c r="H529" s="10" t="s">
        <v>3138</v>
      </c>
      <c r="I529" s="344" t="s">
        <v>93</v>
      </c>
      <c r="J529" s="344" t="s">
        <v>91</v>
      </c>
      <c r="K529" s="344" t="s">
        <v>3139</v>
      </c>
      <c r="L529" s="344" t="s">
        <v>2348</v>
      </c>
      <c r="M529" s="344" t="s">
        <v>3140</v>
      </c>
      <c r="N529" s="344" t="s">
        <v>3109</v>
      </c>
      <c r="O529" s="344" t="s">
        <v>15</v>
      </c>
      <c r="P529" s="344" t="s">
        <v>57</v>
      </c>
      <c r="Q529" s="344" t="s">
        <v>57</v>
      </c>
      <c r="R529" s="344" t="s">
        <v>58</v>
      </c>
      <c r="S529" s="344" t="s">
        <v>16</v>
      </c>
      <c r="T529" s="347">
        <v>7005.6</v>
      </c>
      <c r="U529" s="347">
        <v>1231794.6499999999</v>
      </c>
      <c r="V529" s="344" t="s">
        <v>16</v>
      </c>
      <c r="W529" s="344">
        <v>1452285.9</v>
      </c>
      <c r="X529" s="344">
        <v>9</v>
      </c>
      <c r="Y529" s="344">
        <v>110861.52</v>
      </c>
      <c r="Z529" s="344">
        <v>9</v>
      </c>
      <c r="AA529" s="344">
        <v>110861.52</v>
      </c>
      <c r="AB529" s="344">
        <v>0</v>
      </c>
      <c r="AC529" s="344">
        <v>0</v>
      </c>
      <c r="AD529" s="344">
        <v>0</v>
      </c>
      <c r="AE529" s="344">
        <v>221723.04</v>
      </c>
      <c r="AF529" s="344">
        <v>0</v>
      </c>
      <c r="AG529" s="344" t="s">
        <v>59</v>
      </c>
      <c r="AH529" s="344" t="s">
        <v>11</v>
      </c>
      <c r="AI529" s="344">
        <v>63053200</v>
      </c>
      <c r="AJ529" s="344" t="s">
        <v>60</v>
      </c>
      <c r="AK529" s="344">
        <v>1</v>
      </c>
      <c r="AL529" s="344">
        <v>0</v>
      </c>
      <c r="AM529" s="344" t="s">
        <v>1905</v>
      </c>
    </row>
    <row r="530" spans="7:39">
      <c r="G530" s="344"/>
      <c r="H530" s="10" t="s">
        <v>3138</v>
      </c>
      <c r="I530" s="344" t="s">
        <v>2311</v>
      </c>
      <c r="J530" s="344" t="s">
        <v>96</v>
      </c>
      <c r="K530" s="344" t="s">
        <v>3141</v>
      </c>
      <c r="L530" s="344" t="s">
        <v>97</v>
      </c>
      <c r="M530" s="344" t="s">
        <v>3142</v>
      </c>
      <c r="N530" s="344" t="s">
        <v>3039</v>
      </c>
      <c r="O530" s="344" t="s">
        <v>2</v>
      </c>
      <c r="P530" s="344" t="s">
        <v>2478</v>
      </c>
      <c r="Q530" s="344" t="s">
        <v>68</v>
      </c>
      <c r="R530" s="344" t="s">
        <v>69</v>
      </c>
      <c r="S530" s="344" t="s">
        <v>2479</v>
      </c>
      <c r="T530" s="347">
        <v>300</v>
      </c>
      <c r="U530" s="347">
        <v>28500</v>
      </c>
      <c r="V530" s="344" t="s">
        <v>2479</v>
      </c>
      <c r="W530" s="344">
        <v>30083</v>
      </c>
      <c r="X530" s="344">
        <v>2.5</v>
      </c>
      <c r="Y530" s="344">
        <v>712.5</v>
      </c>
      <c r="Z530" s="344">
        <v>2.5</v>
      </c>
      <c r="AA530" s="344">
        <v>712.5</v>
      </c>
      <c r="AB530" s="344">
        <v>0</v>
      </c>
      <c r="AC530" s="344">
        <v>0</v>
      </c>
      <c r="AD530" s="344">
        <v>7.5</v>
      </c>
      <c r="AE530" s="344">
        <v>1432.5</v>
      </c>
      <c r="AF530" s="344">
        <v>0</v>
      </c>
      <c r="AG530" s="344" t="s">
        <v>2480</v>
      </c>
      <c r="AH530" s="344" t="s">
        <v>1</v>
      </c>
      <c r="AI530" s="344">
        <v>73191020</v>
      </c>
      <c r="AJ530" s="344" t="s">
        <v>60</v>
      </c>
      <c r="AK530" s="344">
        <v>1</v>
      </c>
      <c r="AL530" s="344">
        <v>0</v>
      </c>
      <c r="AM530" s="344" t="s">
        <v>1905</v>
      </c>
    </row>
    <row r="531" spans="7:39">
      <c r="G531" s="344"/>
      <c r="H531" s="10" t="s">
        <v>3138</v>
      </c>
      <c r="I531" s="344" t="s">
        <v>2321</v>
      </c>
      <c r="J531" s="344" t="s">
        <v>96</v>
      </c>
      <c r="K531" s="344" t="s">
        <v>3143</v>
      </c>
      <c r="L531" s="344" t="s">
        <v>97</v>
      </c>
      <c r="M531" s="344">
        <v>1561</v>
      </c>
      <c r="N531" s="344" t="s">
        <v>3039</v>
      </c>
      <c r="O531" s="344" t="s">
        <v>2</v>
      </c>
      <c r="P531" s="344" t="s">
        <v>112</v>
      </c>
      <c r="Q531" s="344" t="s">
        <v>68</v>
      </c>
      <c r="R531" s="344" t="s">
        <v>69</v>
      </c>
      <c r="S531" s="344" t="s">
        <v>3144</v>
      </c>
      <c r="T531" s="347">
        <v>2</v>
      </c>
      <c r="U531" s="347">
        <v>459.95</v>
      </c>
      <c r="V531" s="344" t="s">
        <v>3144</v>
      </c>
      <c r="W531" s="344">
        <v>8538</v>
      </c>
      <c r="X531" s="344">
        <v>9</v>
      </c>
      <c r="Y531" s="344">
        <v>41.4</v>
      </c>
      <c r="Z531" s="344">
        <v>9</v>
      </c>
      <c r="AA531" s="344">
        <v>41.4</v>
      </c>
      <c r="AB531" s="344">
        <v>0</v>
      </c>
      <c r="AC531" s="344">
        <v>0</v>
      </c>
      <c r="AD531" s="344">
        <v>0</v>
      </c>
      <c r="AE531" s="344">
        <v>82.8</v>
      </c>
      <c r="AF531" s="344">
        <v>0</v>
      </c>
      <c r="AG531" s="344" t="s">
        <v>2488</v>
      </c>
      <c r="AH531" s="344" t="s">
        <v>1</v>
      </c>
      <c r="AI531" s="344">
        <v>82074010</v>
      </c>
      <c r="AJ531" s="344" t="s">
        <v>60</v>
      </c>
      <c r="AK531" s="344">
        <v>1</v>
      </c>
      <c r="AL531" s="344">
        <v>0</v>
      </c>
      <c r="AM531" s="344" t="s">
        <v>1905</v>
      </c>
    </row>
    <row r="532" spans="7:39">
      <c r="G532" s="344"/>
      <c r="H532" s="10" t="s">
        <v>3138</v>
      </c>
      <c r="I532" s="344" t="s">
        <v>2321</v>
      </c>
      <c r="J532" s="344" t="s">
        <v>96</v>
      </c>
      <c r="K532" s="344" t="s">
        <v>3143</v>
      </c>
      <c r="L532" s="344" t="s">
        <v>97</v>
      </c>
      <c r="M532" s="344">
        <v>1561</v>
      </c>
      <c r="N532" s="344" t="s">
        <v>3039</v>
      </c>
      <c r="O532" s="344" t="s">
        <v>2</v>
      </c>
      <c r="P532" s="344" t="s">
        <v>112</v>
      </c>
      <c r="Q532" s="344" t="s">
        <v>68</v>
      </c>
      <c r="R532" s="344" t="s">
        <v>69</v>
      </c>
      <c r="S532" s="344" t="s">
        <v>3145</v>
      </c>
      <c r="T532" s="347">
        <v>1</v>
      </c>
      <c r="U532" s="347">
        <v>462.33</v>
      </c>
      <c r="V532" s="344" t="s">
        <v>3145</v>
      </c>
      <c r="W532" s="344">
        <v>0</v>
      </c>
      <c r="X532" s="344">
        <v>9</v>
      </c>
      <c r="Y532" s="344">
        <v>41.61</v>
      </c>
      <c r="Z532" s="344">
        <v>9</v>
      </c>
      <c r="AA532" s="344">
        <v>41.61</v>
      </c>
      <c r="AB532" s="344">
        <v>0</v>
      </c>
      <c r="AC532" s="344">
        <v>0</v>
      </c>
      <c r="AD532" s="344">
        <v>0</v>
      </c>
      <c r="AE532" s="344">
        <v>83.22</v>
      </c>
      <c r="AF532" s="344">
        <v>0</v>
      </c>
      <c r="AG532" s="344" t="s">
        <v>2488</v>
      </c>
      <c r="AH532" s="344" t="s">
        <v>1</v>
      </c>
      <c r="AI532" s="344">
        <v>82079090</v>
      </c>
      <c r="AJ532" s="344" t="s">
        <v>60</v>
      </c>
      <c r="AK532" s="344">
        <v>1</v>
      </c>
      <c r="AL532" s="344">
        <v>0</v>
      </c>
      <c r="AM532" s="344" t="s">
        <v>1905</v>
      </c>
    </row>
    <row r="533" spans="7:39">
      <c r="G533" s="344"/>
      <c r="H533" s="10" t="s">
        <v>3138</v>
      </c>
      <c r="I533" s="344" t="s">
        <v>2321</v>
      </c>
      <c r="J533" s="344" t="s">
        <v>96</v>
      </c>
      <c r="K533" s="344" t="s">
        <v>3143</v>
      </c>
      <c r="L533" s="344" t="s">
        <v>97</v>
      </c>
      <c r="M533" s="344">
        <v>1561</v>
      </c>
      <c r="N533" s="344" t="s">
        <v>3039</v>
      </c>
      <c r="O533" s="344" t="s">
        <v>2</v>
      </c>
      <c r="P533" s="344" t="s">
        <v>112</v>
      </c>
      <c r="Q533" s="344" t="s">
        <v>68</v>
      </c>
      <c r="R533" s="344" t="s">
        <v>69</v>
      </c>
      <c r="S533" s="344" t="s">
        <v>3146</v>
      </c>
      <c r="T533" s="347">
        <v>3</v>
      </c>
      <c r="U533" s="347">
        <v>155.13999999999999</v>
      </c>
      <c r="V533" s="344" t="s">
        <v>3146</v>
      </c>
      <c r="W533" s="344">
        <v>0</v>
      </c>
      <c r="X533" s="344">
        <v>9</v>
      </c>
      <c r="Y533" s="344">
        <v>13.96</v>
      </c>
      <c r="Z533" s="344">
        <v>9</v>
      </c>
      <c r="AA533" s="344">
        <v>13.96</v>
      </c>
      <c r="AB533" s="344">
        <v>0</v>
      </c>
      <c r="AC533" s="344">
        <v>0</v>
      </c>
      <c r="AD533" s="344">
        <v>0</v>
      </c>
      <c r="AE533" s="344">
        <v>27.92</v>
      </c>
      <c r="AF533" s="344">
        <v>0</v>
      </c>
      <c r="AG533" s="344" t="s">
        <v>2488</v>
      </c>
      <c r="AH533" s="344" t="s">
        <v>7</v>
      </c>
      <c r="AI533" s="344">
        <v>30051020</v>
      </c>
      <c r="AJ533" s="344" t="s">
        <v>60</v>
      </c>
      <c r="AK533" s="344">
        <v>1</v>
      </c>
      <c r="AL533" s="344">
        <v>0</v>
      </c>
      <c r="AM533" s="344" t="s">
        <v>1905</v>
      </c>
    </row>
    <row r="534" spans="7:39">
      <c r="G534" s="344"/>
      <c r="H534" s="10" t="s">
        <v>3138</v>
      </c>
      <c r="I534" s="344" t="s">
        <v>2321</v>
      </c>
      <c r="J534" s="344" t="s">
        <v>96</v>
      </c>
      <c r="K534" s="344" t="s">
        <v>3143</v>
      </c>
      <c r="L534" s="344" t="s">
        <v>97</v>
      </c>
      <c r="M534" s="344">
        <v>1561</v>
      </c>
      <c r="N534" s="344" t="s">
        <v>3039</v>
      </c>
      <c r="O534" s="344" t="s">
        <v>2</v>
      </c>
      <c r="P534" s="344" t="s">
        <v>112</v>
      </c>
      <c r="Q534" s="344" t="s">
        <v>68</v>
      </c>
      <c r="R534" s="344" t="s">
        <v>69</v>
      </c>
      <c r="S534" s="344" t="s">
        <v>3147</v>
      </c>
      <c r="T534" s="347">
        <v>3</v>
      </c>
      <c r="U534" s="347">
        <v>298.25</v>
      </c>
      <c r="V534" s="344" t="s">
        <v>3147</v>
      </c>
      <c r="W534" s="344">
        <v>0</v>
      </c>
      <c r="X534" s="344">
        <v>9</v>
      </c>
      <c r="Y534" s="344">
        <v>26.84</v>
      </c>
      <c r="Z534" s="344">
        <v>9</v>
      </c>
      <c r="AA534" s="344">
        <v>26.84</v>
      </c>
      <c r="AB534" s="344">
        <v>0</v>
      </c>
      <c r="AC534" s="344">
        <v>0</v>
      </c>
      <c r="AD534" s="344">
        <v>0</v>
      </c>
      <c r="AE534" s="344">
        <v>53.68</v>
      </c>
      <c r="AF534" s="344">
        <v>0</v>
      </c>
      <c r="AG534" s="344" t="s">
        <v>2488</v>
      </c>
      <c r="AH534" s="344" t="s">
        <v>7</v>
      </c>
      <c r="AI534" s="344">
        <v>82079090</v>
      </c>
      <c r="AJ534" s="344" t="s">
        <v>60</v>
      </c>
      <c r="AK534" s="344">
        <v>1</v>
      </c>
      <c r="AL534" s="344">
        <v>0</v>
      </c>
      <c r="AM534" s="344" t="s">
        <v>1905</v>
      </c>
    </row>
    <row r="535" spans="7:39">
      <c r="G535" s="344"/>
      <c r="H535" s="10" t="s">
        <v>3138</v>
      </c>
      <c r="I535" s="344" t="s">
        <v>2321</v>
      </c>
      <c r="J535" s="344" t="s">
        <v>96</v>
      </c>
      <c r="K535" s="344" t="s">
        <v>3143</v>
      </c>
      <c r="L535" s="344" t="s">
        <v>97</v>
      </c>
      <c r="M535" s="344">
        <v>1561</v>
      </c>
      <c r="N535" s="344" t="s">
        <v>3039</v>
      </c>
      <c r="O535" s="344" t="s">
        <v>2</v>
      </c>
      <c r="P535" s="344" t="s">
        <v>112</v>
      </c>
      <c r="Q535" s="344" t="s">
        <v>68</v>
      </c>
      <c r="R535" s="8" t="s">
        <v>69</v>
      </c>
      <c r="S535" s="344" t="s">
        <v>3148</v>
      </c>
      <c r="T535" s="344">
        <v>2</v>
      </c>
      <c r="U535" s="347">
        <v>694.69</v>
      </c>
      <c r="V535" s="344" t="s">
        <v>3148</v>
      </c>
      <c r="W535" s="344">
        <v>0</v>
      </c>
      <c r="X535" s="344">
        <v>9</v>
      </c>
      <c r="Y535" s="344">
        <v>62.52</v>
      </c>
      <c r="Z535" s="344">
        <v>9</v>
      </c>
      <c r="AA535" s="344">
        <v>62.52</v>
      </c>
      <c r="AB535" s="344">
        <v>0</v>
      </c>
      <c r="AC535" s="344">
        <v>0</v>
      </c>
      <c r="AD535" s="344">
        <v>0</v>
      </c>
      <c r="AE535" s="344">
        <v>125.04</v>
      </c>
      <c r="AF535" s="344">
        <v>0</v>
      </c>
      <c r="AG535" s="344" t="s">
        <v>2488</v>
      </c>
      <c r="AH535" s="344" t="s">
        <v>7</v>
      </c>
      <c r="AI535" s="344">
        <v>83023200</v>
      </c>
      <c r="AJ535" s="344" t="s">
        <v>60</v>
      </c>
      <c r="AK535" s="344">
        <v>1</v>
      </c>
      <c r="AL535" s="344">
        <v>0</v>
      </c>
      <c r="AM535" s="344" t="s">
        <v>1905</v>
      </c>
    </row>
    <row r="536" spans="7:39">
      <c r="G536" s="344"/>
      <c r="H536" s="10" t="s">
        <v>3138</v>
      </c>
      <c r="I536" s="344" t="s">
        <v>2321</v>
      </c>
      <c r="J536" s="344" t="s">
        <v>96</v>
      </c>
      <c r="K536" s="344" t="s">
        <v>3143</v>
      </c>
      <c r="L536" s="344" t="s">
        <v>97</v>
      </c>
      <c r="M536" s="344">
        <v>1561</v>
      </c>
      <c r="N536" s="344" t="s">
        <v>3039</v>
      </c>
      <c r="O536" s="344" t="s">
        <v>2</v>
      </c>
      <c r="P536" s="344" t="s">
        <v>3149</v>
      </c>
      <c r="Q536" s="344" t="s">
        <v>68</v>
      </c>
      <c r="R536" s="344" t="s">
        <v>69</v>
      </c>
      <c r="S536" s="344" t="s">
        <v>3150</v>
      </c>
      <c r="T536" s="344">
        <v>16</v>
      </c>
      <c r="U536" s="347">
        <v>4800</v>
      </c>
      <c r="V536" s="344" t="s">
        <v>3150</v>
      </c>
      <c r="W536" s="344">
        <v>0</v>
      </c>
      <c r="X536" s="344">
        <v>9</v>
      </c>
      <c r="Y536" s="344">
        <v>432</v>
      </c>
      <c r="Z536" s="344">
        <v>9</v>
      </c>
      <c r="AA536" s="344">
        <v>432</v>
      </c>
      <c r="AB536" s="344">
        <v>0</v>
      </c>
      <c r="AC536" s="344">
        <v>0</v>
      </c>
      <c r="AD536" s="344">
        <v>0</v>
      </c>
      <c r="AE536" s="344">
        <v>864</v>
      </c>
      <c r="AF536" s="344">
        <v>0</v>
      </c>
      <c r="AG536" s="344" t="s">
        <v>2488</v>
      </c>
      <c r="AH536" s="344" t="s">
        <v>3151</v>
      </c>
      <c r="AI536" s="344">
        <v>83113090</v>
      </c>
      <c r="AJ536" s="344" t="s">
        <v>60</v>
      </c>
      <c r="AK536" s="344">
        <v>1</v>
      </c>
      <c r="AL536" s="344">
        <v>0</v>
      </c>
      <c r="AM536" s="344" t="s">
        <v>1905</v>
      </c>
    </row>
    <row r="537" spans="7:39">
      <c r="G537" s="344"/>
      <c r="H537" s="10" t="s">
        <v>3138</v>
      </c>
      <c r="I537" s="344" t="s">
        <v>2321</v>
      </c>
      <c r="J537" s="344" t="s">
        <v>96</v>
      </c>
      <c r="K537" s="344" t="s">
        <v>3143</v>
      </c>
      <c r="L537" s="344" t="s">
        <v>97</v>
      </c>
      <c r="M537" s="344">
        <v>1561</v>
      </c>
      <c r="N537" s="344" t="s">
        <v>3039</v>
      </c>
      <c r="O537" s="344" t="s">
        <v>2</v>
      </c>
      <c r="P537" s="344" t="s">
        <v>112</v>
      </c>
      <c r="Q537" s="344" t="s">
        <v>68</v>
      </c>
      <c r="R537" s="344" t="s">
        <v>69</v>
      </c>
      <c r="S537" s="344" t="s">
        <v>3152</v>
      </c>
      <c r="T537" s="347">
        <v>2</v>
      </c>
      <c r="U537" s="347">
        <v>276.27999999999997</v>
      </c>
      <c r="V537" s="344" t="s">
        <v>3152</v>
      </c>
      <c r="W537" s="344">
        <v>0</v>
      </c>
      <c r="X537" s="344">
        <v>9</v>
      </c>
      <c r="Y537" s="344">
        <v>24.87</v>
      </c>
      <c r="Z537" s="344">
        <v>9</v>
      </c>
      <c r="AA537" s="344">
        <v>24.87</v>
      </c>
      <c r="AB537" s="344">
        <v>0</v>
      </c>
      <c r="AC537" s="344">
        <v>0</v>
      </c>
      <c r="AD537" s="344">
        <v>0</v>
      </c>
      <c r="AE537" s="344">
        <v>49.74</v>
      </c>
      <c r="AF537" s="344">
        <v>0</v>
      </c>
      <c r="AG537" s="344" t="s">
        <v>2488</v>
      </c>
      <c r="AH537" s="344" t="s">
        <v>1</v>
      </c>
      <c r="AI537" s="344">
        <v>82074010</v>
      </c>
      <c r="AJ537" s="344" t="s">
        <v>60</v>
      </c>
      <c r="AK537" s="344">
        <v>1</v>
      </c>
      <c r="AL537" s="344">
        <v>0</v>
      </c>
      <c r="AM537" s="344" t="s">
        <v>1905</v>
      </c>
    </row>
    <row r="538" spans="7:39">
      <c r="G538" s="344"/>
      <c r="H538" s="10" t="s">
        <v>3138</v>
      </c>
      <c r="I538" s="344" t="s">
        <v>2321</v>
      </c>
      <c r="J538" s="344" t="s">
        <v>96</v>
      </c>
      <c r="K538" s="344" t="s">
        <v>3143</v>
      </c>
      <c r="L538" s="344" t="s">
        <v>97</v>
      </c>
      <c r="M538" s="344">
        <v>1561</v>
      </c>
      <c r="N538" s="344" t="s">
        <v>3039</v>
      </c>
      <c r="O538" s="344" t="s">
        <v>2</v>
      </c>
      <c r="P538" s="344" t="s">
        <v>112</v>
      </c>
      <c r="Q538" s="344" t="s">
        <v>68</v>
      </c>
      <c r="R538" s="344" t="s">
        <v>69</v>
      </c>
      <c r="S538" s="344" t="s">
        <v>3153</v>
      </c>
      <c r="T538" s="344">
        <v>3</v>
      </c>
      <c r="U538" s="344">
        <v>88.94</v>
      </c>
      <c r="V538" s="344" t="s">
        <v>3153</v>
      </c>
      <c r="W538" s="344">
        <v>0</v>
      </c>
      <c r="X538" s="344">
        <v>9</v>
      </c>
      <c r="Y538" s="344">
        <v>8</v>
      </c>
      <c r="Z538" s="344">
        <v>9</v>
      </c>
      <c r="AA538" s="344">
        <v>8</v>
      </c>
      <c r="AB538" s="344">
        <v>0</v>
      </c>
      <c r="AC538" s="344">
        <v>0</v>
      </c>
      <c r="AD538" s="344">
        <v>0</v>
      </c>
      <c r="AE538" s="344">
        <v>16</v>
      </c>
      <c r="AF538" s="344">
        <v>0</v>
      </c>
      <c r="AG538" s="344" t="s">
        <v>2488</v>
      </c>
      <c r="AH538" s="344" t="s">
        <v>7</v>
      </c>
      <c r="AI538" s="344">
        <v>30051020</v>
      </c>
      <c r="AJ538" s="344" t="s">
        <v>60</v>
      </c>
      <c r="AK538" s="344">
        <v>1</v>
      </c>
      <c r="AL538" s="344">
        <v>0</v>
      </c>
      <c r="AM538" s="344" t="s">
        <v>1905</v>
      </c>
    </row>
    <row r="539" spans="7:39">
      <c r="G539" s="344"/>
      <c r="H539" s="10" t="s">
        <v>3138</v>
      </c>
      <c r="I539" s="344" t="s">
        <v>87</v>
      </c>
      <c r="J539" s="344" t="s">
        <v>96</v>
      </c>
      <c r="K539" s="344" t="s">
        <v>3154</v>
      </c>
      <c r="L539" s="344" t="s">
        <v>97</v>
      </c>
      <c r="M539" s="344" t="s">
        <v>3155</v>
      </c>
      <c r="N539" s="344" t="s">
        <v>3138</v>
      </c>
      <c r="O539" s="344" t="s">
        <v>2</v>
      </c>
      <c r="P539" s="344" t="s">
        <v>67</v>
      </c>
      <c r="Q539" s="344" t="s">
        <v>68</v>
      </c>
      <c r="R539" s="344" t="s">
        <v>69</v>
      </c>
      <c r="S539" s="344" t="s">
        <v>70</v>
      </c>
      <c r="T539" s="344">
        <v>586</v>
      </c>
      <c r="U539" s="347">
        <v>28128</v>
      </c>
      <c r="V539" s="344" t="s">
        <v>70</v>
      </c>
      <c r="W539" s="344">
        <v>33162.910000000003</v>
      </c>
      <c r="X539" s="344">
        <v>9</v>
      </c>
      <c r="Y539" s="344">
        <v>2531.52</v>
      </c>
      <c r="Z539" s="344">
        <v>9</v>
      </c>
      <c r="AA539" s="344">
        <v>2531.52</v>
      </c>
      <c r="AB539" s="344">
        <v>0</v>
      </c>
      <c r="AC539" s="344">
        <v>0</v>
      </c>
      <c r="AD539" s="344">
        <v>0</v>
      </c>
      <c r="AE539" s="344">
        <v>5063.04</v>
      </c>
      <c r="AF539" s="344">
        <v>0</v>
      </c>
      <c r="AG539" s="344" t="s">
        <v>65</v>
      </c>
      <c r="AH539" s="344" t="s">
        <v>11</v>
      </c>
      <c r="AI539" s="344">
        <v>73063090</v>
      </c>
      <c r="AJ539" s="344" t="s">
        <v>60</v>
      </c>
      <c r="AK539" s="344">
        <v>1</v>
      </c>
      <c r="AL539" s="344">
        <v>0</v>
      </c>
      <c r="AM539" s="344" t="s">
        <v>1905</v>
      </c>
    </row>
    <row r="540" spans="7:39">
      <c r="G540" s="344"/>
      <c r="H540" s="10" t="s">
        <v>3138</v>
      </c>
      <c r="I540" s="344" t="s">
        <v>87</v>
      </c>
      <c r="J540" s="344" t="s">
        <v>91</v>
      </c>
      <c r="K540" s="344" t="s">
        <v>3156</v>
      </c>
      <c r="L540" s="344" t="s">
        <v>98</v>
      </c>
      <c r="M540" s="344" t="s">
        <v>3157</v>
      </c>
      <c r="N540" s="344" t="s">
        <v>3138</v>
      </c>
      <c r="O540" s="344" t="s">
        <v>13</v>
      </c>
      <c r="P540" s="344" t="s">
        <v>62</v>
      </c>
      <c r="Q540" s="344" t="s">
        <v>63</v>
      </c>
      <c r="R540" s="344" t="s">
        <v>64</v>
      </c>
      <c r="S540" s="344" t="s">
        <v>19</v>
      </c>
      <c r="T540" s="347">
        <v>6153</v>
      </c>
      <c r="U540" s="347">
        <v>875694.96</v>
      </c>
      <c r="V540" s="344" t="s">
        <v>19</v>
      </c>
      <c r="W540" s="344">
        <v>1324322.6000000001</v>
      </c>
      <c r="X540" s="344">
        <v>9</v>
      </c>
      <c r="Y540" s="344">
        <v>78812.55</v>
      </c>
      <c r="Z540" s="344">
        <v>9</v>
      </c>
      <c r="AA540" s="344">
        <v>78812.55</v>
      </c>
      <c r="AB540" s="344">
        <v>0</v>
      </c>
      <c r="AC540" s="344">
        <v>0</v>
      </c>
      <c r="AD540" s="344">
        <v>0</v>
      </c>
      <c r="AE540" s="344">
        <v>157625.1</v>
      </c>
      <c r="AF540" s="344">
        <v>0</v>
      </c>
      <c r="AG540" s="344" t="s">
        <v>65</v>
      </c>
      <c r="AH540" s="344" t="s">
        <v>11</v>
      </c>
      <c r="AI540" s="344">
        <v>39269080</v>
      </c>
      <c r="AJ540" s="344" t="s">
        <v>60</v>
      </c>
      <c r="AK540" s="344">
        <v>1</v>
      </c>
      <c r="AL540" s="344">
        <v>0</v>
      </c>
      <c r="AM540" s="344" t="s">
        <v>1905</v>
      </c>
    </row>
    <row r="541" spans="7:39">
      <c r="G541" s="344"/>
      <c r="H541" s="10" t="s">
        <v>3138</v>
      </c>
      <c r="I541" s="344" t="s">
        <v>87</v>
      </c>
      <c r="J541" s="344" t="s">
        <v>91</v>
      </c>
      <c r="K541" s="344" t="s">
        <v>3156</v>
      </c>
      <c r="L541" s="344" t="s">
        <v>98</v>
      </c>
      <c r="M541" s="344" t="s">
        <v>3157</v>
      </c>
      <c r="N541" s="344" t="s">
        <v>3138</v>
      </c>
      <c r="O541" s="344" t="s">
        <v>13</v>
      </c>
      <c r="P541" s="344" t="s">
        <v>62</v>
      </c>
      <c r="Q541" s="344" t="s">
        <v>63</v>
      </c>
      <c r="R541" s="344" t="s">
        <v>64</v>
      </c>
      <c r="S541" s="344" t="s">
        <v>19</v>
      </c>
      <c r="T541" s="347">
        <v>1210</v>
      </c>
      <c r="U541" s="347">
        <v>175837.2</v>
      </c>
      <c r="V541" s="344" t="s">
        <v>19</v>
      </c>
      <c r="W541" s="344">
        <v>0</v>
      </c>
      <c r="X541" s="344">
        <v>9</v>
      </c>
      <c r="Y541" s="344">
        <v>15825.35</v>
      </c>
      <c r="Z541" s="344">
        <v>9</v>
      </c>
      <c r="AA541" s="344">
        <v>15825.35</v>
      </c>
      <c r="AB541" s="344">
        <v>0</v>
      </c>
      <c r="AC541" s="344">
        <v>0</v>
      </c>
      <c r="AD541" s="344">
        <v>0</v>
      </c>
      <c r="AE541" s="344">
        <v>31650.7</v>
      </c>
      <c r="AF541" s="344">
        <v>0</v>
      </c>
      <c r="AG541" s="344" t="s">
        <v>65</v>
      </c>
      <c r="AH541" s="344" t="s">
        <v>11</v>
      </c>
      <c r="AI541" s="344">
        <v>39269080</v>
      </c>
      <c r="AJ541" s="344" t="s">
        <v>60</v>
      </c>
      <c r="AK541" s="344">
        <v>1</v>
      </c>
      <c r="AL541" s="344">
        <v>0</v>
      </c>
      <c r="AM541" s="344" t="s">
        <v>1905</v>
      </c>
    </row>
    <row r="542" spans="7:39">
      <c r="G542" s="344"/>
      <c r="H542" s="10" t="s">
        <v>3138</v>
      </c>
      <c r="I542" s="344" t="s">
        <v>87</v>
      </c>
      <c r="J542" s="344" t="s">
        <v>91</v>
      </c>
      <c r="K542" s="344" t="s">
        <v>3156</v>
      </c>
      <c r="L542" s="344" t="s">
        <v>98</v>
      </c>
      <c r="M542" s="344" t="s">
        <v>3157</v>
      </c>
      <c r="N542" s="344" t="s">
        <v>3138</v>
      </c>
      <c r="O542" s="344" t="s">
        <v>13</v>
      </c>
      <c r="P542" s="344" t="s">
        <v>62</v>
      </c>
      <c r="Q542" s="344" t="s">
        <v>63</v>
      </c>
      <c r="R542" s="344" t="s">
        <v>64</v>
      </c>
      <c r="S542" s="344" t="s">
        <v>19</v>
      </c>
      <c r="T542" s="347">
        <v>497</v>
      </c>
      <c r="U542" s="347">
        <v>71727.039999999994</v>
      </c>
      <c r="V542" s="344" t="s">
        <v>19</v>
      </c>
      <c r="W542" s="344">
        <v>0</v>
      </c>
      <c r="X542" s="344">
        <v>9</v>
      </c>
      <c r="Y542" s="344">
        <v>6455.43</v>
      </c>
      <c r="Z542" s="344">
        <v>9</v>
      </c>
      <c r="AA542" s="344">
        <v>6455.43</v>
      </c>
      <c r="AB542" s="344">
        <v>0</v>
      </c>
      <c r="AC542" s="344">
        <v>0</v>
      </c>
      <c r="AD542" s="344">
        <v>0</v>
      </c>
      <c r="AE542" s="344">
        <v>12910.86</v>
      </c>
      <c r="AF542" s="344">
        <v>0</v>
      </c>
      <c r="AG542" s="344" t="s">
        <v>65</v>
      </c>
      <c r="AH542" s="344" t="s">
        <v>11</v>
      </c>
      <c r="AI542" s="344">
        <v>39269080</v>
      </c>
      <c r="AJ542" s="344" t="s">
        <v>60</v>
      </c>
      <c r="AK542" s="344">
        <v>1</v>
      </c>
      <c r="AL542" s="344">
        <v>0</v>
      </c>
      <c r="AM542" s="344" t="s">
        <v>1905</v>
      </c>
    </row>
    <row r="543" spans="7:39">
      <c r="G543" s="344"/>
      <c r="H543" s="10" t="s">
        <v>3138</v>
      </c>
      <c r="I543" s="344" t="s">
        <v>87</v>
      </c>
      <c r="J543" s="344" t="s">
        <v>91</v>
      </c>
      <c r="K543" s="344" t="s">
        <v>3158</v>
      </c>
      <c r="L543" s="344" t="s">
        <v>98</v>
      </c>
      <c r="M543" s="344" t="s">
        <v>3159</v>
      </c>
      <c r="N543" s="344" t="s">
        <v>3138</v>
      </c>
      <c r="O543" s="344" t="s">
        <v>13</v>
      </c>
      <c r="P543" s="344" t="s">
        <v>62</v>
      </c>
      <c r="Q543" s="344" t="s">
        <v>63</v>
      </c>
      <c r="R543" s="344" t="s">
        <v>64</v>
      </c>
      <c r="S543" s="344" t="s">
        <v>19</v>
      </c>
      <c r="T543" s="347">
        <v>4410</v>
      </c>
      <c r="U543" s="344">
        <v>627631.19999999995</v>
      </c>
      <c r="V543" s="344" t="s">
        <v>19</v>
      </c>
      <c r="W543" s="344">
        <v>973882.98</v>
      </c>
      <c r="X543" s="344">
        <v>9</v>
      </c>
      <c r="Y543" s="344">
        <v>56486.81</v>
      </c>
      <c r="Z543" s="344">
        <v>9</v>
      </c>
      <c r="AA543" s="344">
        <v>56486.81</v>
      </c>
      <c r="AB543" s="344">
        <v>0</v>
      </c>
      <c r="AC543" s="344">
        <v>0</v>
      </c>
      <c r="AD543" s="344">
        <v>0</v>
      </c>
      <c r="AE543" s="344">
        <v>112973.62</v>
      </c>
      <c r="AF543" s="344">
        <v>0</v>
      </c>
      <c r="AG543" s="344" t="s">
        <v>65</v>
      </c>
      <c r="AH543" s="344" t="s">
        <v>11</v>
      </c>
      <c r="AI543" s="344">
        <v>39269080</v>
      </c>
      <c r="AJ543" s="344" t="s">
        <v>60</v>
      </c>
      <c r="AK543" s="344">
        <v>1</v>
      </c>
      <c r="AL543" s="344">
        <v>0</v>
      </c>
      <c r="AM543" s="344" t="s">
        <v>1905</v>
      </c>
    </row>
    <row r="544" spans="7:39">
      <c r="G544" s="344"/>
      <c r="H544" s="10" t="s">
        <v>3138</v>
      </c>
      <c r="I544" s="344" t="s">
        <v>87</v>
      </c>
      <c r="J544" s="344" t="s">
        <v>91</v>
      </c>
      <c r="K544" s="344" t="s">
        <v>3158</v>
      </c>
      <c r="L544" s="344" t="s">
        <v>98</v>
      </c>
      <c r="M544" s="344" t="s">
        <v>3159</v>
      </c>
      <c r="N544" s="344" t="s">
        <v>3138</v>
      </c>
      <c r="O544" s="344" t="s">
        <v>13</v>
      </c>
      <c r="P544" s="344" t="s">
        <v>62</v>
      </c>
      <c r="Q544" s="344" t="s">
        <v>63</v>
      </c>
      <c r="R544" s="344" t="s">
        <v>64</v>
      </c>
      <c r="S544" s="344" t="s">
        <v>19</v>
      </c>
      <c r="T544" s="347">
        <v>578</v>
      </c>
      <c r="U544" s="347">
        <v>83416.960000000006</v>
      </c>
      <c r="V544" s="344" t="s">
        <v>19</v>
      </c>
      <c r="W544" s="344">
        <v>0</v>
      </c>
      <c r="X544" s="344">
        <v>9</v>
      </c>
      <c r="Y544" s="344">
        <v>7507.53</v>
      </c>
      <c r="Z544" s="344">
        <v>9</v>
      </c>
      <c r="AA544" s="344">
        <v>7507.53</v>
      </c>
      <c r="AB544" s="344">
        <v>0</v>
      </c>
      <c r="AC544" s="344">
        <v>0</v>
      </c>
      <c r="AD544" s="344">
        <v>0</v>
      </c>
      <c r="AE544" s="344">
        <v>15015.06</v>
      </c>
      <c r="AF544" s="344">
        <v>0</v>
      </c>
      <c r="AG544" s="344" t="s">
        <v>65</v>
      </c>
      <c r="AH544" s="344" t="s">
        <v>11</v>
      </c>
      <c r="AI544" s="344">
        <v>39269080</v>
      </c>
      <c r="AJ544" s="344" t="s">
        <v>60</v>
      </c>
      <c r="AK544" s="344">
        <v>1</v>
      </c>
      <c r="AL544" s="344">
        <v>0</v>
      </c>
      <c r="AM544" s="344" t="s">
        <v>1905</v>
      </c>
    </row>
    <row r="545" spans="7:39">
      <c r="G545" s="344"/>
      <c r="H545" s="10" t="s">
        <v>3138</v>
      </c>
      <c r="I545" s="344" t="s">
        <v>87</v>
      </c>
      <c r="J545" s="344" t="s">
        <v>91</v>
      </c>
      <c r="K545" s="344" t="s">
        <v>3158</v>
      </c>
      <c r="L545" s="344" t="s">
        <v>98</v>
      </c>
      <c r="M545" s="344" t="s">
        <v>3159</v>
      </c>
      <c r="N545" s="344" t="s">
        <v>3138</v>
      </c>
      <c r="O545" s="344" t="s">
        <v>13</v>
      </c>
      <c r="P545" s="344" t="s">
        <v>62</v>
      </c>
      <c r="Q545" s="344" t="s">
        <v>76</v>
      </c>
      <c r="R545" s="344" t="s">
        <v>77</v>
      </c>
      <c r="S545" s="344" t="s">
        <v>21</v>
      </c>
      <c r="T545" s="344">
        <v>770</v>
      </c>
      <c r="U545" s="347">
        <v>114976.4</v>
      </c>
      <c r="V545" s="344" t="s">
        <v>21</v>
      </c>
      <c r="W545" s="344">
        <v>0</v>
      </c>
      <c r="X545" s="344">
        <v>9</v>
      </c>
      <c r="Y545" s="344">
        <v>10347.879999999999</v>
      </c>
      <c r="Z545" s="344">
        <v>9</v>
      </c>
      <c r="AA545" s="344">
        <v>10347.879999999999</v>
      </c>
      <c r="AB545" s="344">
        <v>0</v>
      </c>
      <c r="AC545" s="344">
        <v>0</v>
      </c>
      <c r="AD545" s="344">
        <v>0</v>
      </c>
      <c r="AE545" s="344">
        <v>20695.759999999998</v>
      </c>
      <c r="AF545" s="344">
        <v>0</v>
      </c>
      <c r="AG545" s="344" t="s">
        <v>65</v>
      </c>
      <c r="AH545" s="344" t="s">
        <v>11</v>
      </c>
      <c r="AI545" s="344">
        <v>63053300</v>
      </c>
      <c r="AJ545" s="344" t="s">
        <v>60</v>
      </c>
      <c r="AK545" s="344">
        <v>1</v>
      </c>
      <c r="AL545" s="344">
        <v>0</v>
      </c>
      <c r="AM545" s="344" t="s">
        <v>1905</v>
      </c>
    </row>
    <row r="546" spans="7:39">
      <c r="G546" s="344"/>
      <c r="H546" s="10" t="s">
        <v>3138</v>
      </c>
      <c r="I546" s="344" t="s">
        <v>87</v>
      </c>
      <c r="J546" s="344" t="s">
        <v>91</v>
      </c>
      <c r="K546" s="344" t="s">
        <v>3160</v>
      </c>
      <c r="L546" s="344" t="s">
        <v>98</v>
      </c>
      <c r="M546" s="344" t="s">
        <v>3161</v>
      </c>
      <c r="N546" s="344" t="s">
        <v>3138</v>
      </c>
      <c r="O546" s="344" t="s">
        <v>13</v>
      </c>
      <c r="P546" s="344" t="s">
        <v>62</v>
      </c>
      <c r="Q546" s="344" t="s">
        <v>76</v>
      </c>
      <c r="R546" s="344" t="s">
        <v>77</v>
      </c>
      <c r="S546" s="344" t="s">
        <v>21</v>
      </c>
      <c r="T546" s="347">
        <v>660</v>
      </c>
      <c r="U546" s="347">
        <v>98551.2</v>
      </c>
      <c r="V546" s="344" t="s">
        <v>21</v>
      </c>
      <c r="W546" s="344">
        <v>1224258.49</v>
      </c>
      <c r="X546" s="344">
        <v>9</v>
      </c>
      <c r="Y546" s="344">
        <v>8869.61</v>
      </c>
      <c r="Z546" s="344">
        <v>9</v>
      </c>
      <c r="AA546" s="344">
        <v>8869.61</v>
      </c>
      <c r="AB546" s="344">
        <v>0</v>
      </c>
      <c r="AC546" s="344">
        <v>0</v>
      </c>
      <c r="AD546" s="344">
        <v>0</v>
      </c>
      <c r="AE546" s="344">
        <v>17739.22</v>
      </c>
      <c r="AF546" s="344">
        <v>0</v>
      </c>
      <c r="AG546" s="344" t="s">
        <v>65</v>
      </c>
      <c r="AH546" s="344" t="s">
        <v>11</v>
      </c>
      <c r="AI546" s="344">
        <v>63053300</v>
      </c>
      <c r="AJ546" s="344" t="s">
        <v>60</v>
      </c>
      <c r="AK546" s="344">
        <v>1</v>
      </c>
      <c r="AL546" s="344">
        <v>0</v>
      </c>
      <c r="AM546" s="344" t="s">
        <v>1905</v>
      </c>
    </row>
    <row r="547" spans="7:39">
      <c r="G547" s="344"/>
      <c r="H547" s="10" t="s">
        <v>3138</v>
      </c>
      <c r="I547" s="344" t="s">
        <v>87</v>
      </c>
      <c r="J547" s="344" t="s">
        <v>91</v>
      </c>
      <c r="K547" s="344" t="s">
        <v>3160</v>
      </c>
      <c r="L547" s="344" t="s">
        <v>98</v>
      </c>
      <c r="M547" s="344" t="s">
        <v>3161</v>
      </c>
      <c r="N547" s="344" t="s">
        <v>3138</v>
      </c>
      <c r="O547" s="344" t="s">
        <v>13</v>
      </c>
      <c r="P547" s="344" t="s">
        <v>24</v>
      </c>
      <c r="Q547" s="344" t="s">
        <v>79</v>
      </c>
      <c r="R547" s="344" t="s">
        <v>79</v>
      </c>
      <c r="S547" s="344" t="s">
        <v>24</v>
      </c>
      <c r="T547" s="347">
        <v>15</v>
      </c>
      <c r="U547" s="347">
        <v>2524.8000000000002</v>
      </c>
      <c r="V547" s="344" t="s">
        <v>24</v>
      </c>
      <c r="W547" s="344">
        <v>0</v>
      </c>
      <c r="X547" s="344">
        <v>9</v>
      </c>
      <c r="Y547" s="344">
        <v>227.23</v>
      </c>
      <c r="Z547" s="344">
        <v>9</v>
      </c>
      <c r="AA547" s="344">
        <v>227.23</v>
      </c>
      <c r="AB547" s="344">
        <v>0</v>
      </c>
      <c r="AC547" s="344">
        <v>0</v>
      </c>
      <c r="AD547" s="344">
        <v>0</v>
      </c>
      <c r="AE547" s="344">
        <v>454.46</v>
      </c>
      <c r="AF547" s="344">
        <v>0</v>
      </c>
      <c r="AG547" s="344" t="s">
        <v>65</v>
      </c>
      <c r="AH547" s="344" t="s">
        <v>11</v>
      </c>
      <c r="AI547" s="344">
        <v>3926908</v>
      </c>
      <c r="AJ547" s="344" t="s">
        <v>60</v>
      </c>
      <c r="AK547" s="344">
        <v>1</v>
      </c>
      <c r="AL547" s="344">
        <v>0</v>
      </c>
      <c r="AM547" s="344" t="s">
        <v>1905</v>
      </c>
    </row>
    <row r="548" spans="7:39">
      <c r="G548" s="344"/>
      <c r="H548" s="10" t="s">
        <v>3138</v>
      </c>
      <c r="I548" s="344" t="s">
        <v>87</v>
      </c>
      <c r="J548" s="344" t="s">
        <v>91</v>
      </c>
      <c r="K548" s="344" t="s">
        <v>3160</v>
      </c>
      <c r="L548" s="344" t="s">
        <v>98</v>
      </c>
      <c r="M548" s="344" t="s">
        <v>3161</v>
      </c>
      <c r="N548" s="344" t="s">
        <v>3138</v>
      </c>
      <c r="O548" s="344" t="s">
        <v>13</v>
      </c>
      <c r="P548" s="344" t="s">
        <v>24</v>
      </c>
      <c r="Q548" s="344" t="s">
        <v>79</v>
      </c>
      <c r="R548" s="344" t="s">
        <v>79</v>
      </c>
      <c r="S548" s="344" t="s">
        <v>24</v>
      </c>
      <c r="T548" s="347">
        <v>1153.9000000000001</v>
      </c>
      <c r="U548" s="347">
        <v>169992.55</v>
      </c>
      <c r="V548" s="344" t="s">
        <v>24</v>
      </c>
      <c r="W548" s="344">
        <v>0</v>
      </c>
      <c r="X548" s="344">
        <v>9</v>
      </c>
      <c r="Y548" s="344">
        <v>15299.33</v>
      </c>
      <c r="Z548" s="344">
        <v>9</v>
      </c>
      <c r="AA548" s="344">
        <v>15299.33</v>
      </c>
      <c r="AB548" s="344">
        <v>0</v>
      </c>
      <c r="AC548" s="344">
        <v>0</v>
      </c>
      <c r="AD548" s="344">
        <v>0</v>
      </c>
      <c r="AE548" s="344">
        <v>30598.66</v>
      </c>
      <c r="AF548" s="344">
        <v>0</v>
      </c>
      <c r="AG548" s="344" t="s">
        <v>65</v>
      </c>
      <c r="AH548" s="344" t="s">
        <v>11</v>
      </c>
      <c r="AI548" s="344">
        <v>3926908</v>
      </c>
      <c r="AJ548" s="344" t="s">
        <v>60</v>
      </c>
      <c r="AK548" s="344">
        <v>1</v>
      </c>
      <c r="AL548" s="344">
        <v>0</v>
      </c>
      <c r="AM548" s="344" t="s">
        <v>1905</v>
      </c>
    </row>
    <row r="549" spans="7:39">
      <c r="G549" s="344"/>
      <c r="H549" s="10" t="s">
        <v>3138</v>
      </c>
      <c r="I549" s="344" t="s">
        <v>87</v>
      </c>
      <c r="J549" s="344" t="s">
        <v>91</v>
      </c>
      <c r="K549" s="344" t="s">
        <v>3160</v>
      </c>
      <c r="L549" s="344" t="s">
        <v>98</v>
      </c>
      <c r="M549" s="344" t="s">
        <v>3161</v>
      </c>
      <c r="N549" s="344" t="s">
        <v>3138</v>
      </c>
      <c r="O549" s="344" t="s">
        <v>13</v>
      </c>
      <c r="P549" s="344" t="s">
        <v>24</v>
      </c>
      <c r="Q549" s="344" t="s">
        <v>79</v>
      </c>
      <c r="R549" s="344" t="s">
        <v>79</v>
      </c>
      <c r="S549" s="344" t="s">
        <v>24</v>
      </c>
      <c r="T549" s="344">
        <v>511.3</v>
      </c>
      <c r="U549" s="347">
        <v>73790.820000000007</v>
      </c>
      <c r="V549" s="344" t="s">
        <v>24</v>
      </c>
      <c r="W549" s="344">
        <v>0</v>
      </c>
      <c r="X549" s="344">
        <v>9</v>
      </c>
      <c r="Y549" s="344">
        <v>6641.17</v>
      </c>
      <c r="Z549" s="344">
        <v>9</v>
      </c>
      <c r="AA549" s="344">
        <v>6641.17</v>
      </c>
      <c r="AB549" s="344">
        <v>0</v>
      </c>
      <c r="AC549" s="344">
        <v>0</v>
      </c>
      <c r="AD549" s="344">
        <v>0</v>
      </c>
      <c r="AE549" s="344">
        <v>13282.34</v>
      </c>
      <c r="AF549" s="344">
        <v>0</v>
      </c>
      <c r="AG549" s="344" t="s">
        <v>65</v>
      </c>
      <c r="AH549" s="344" t="s">
        <v>11</v>
      </c>
      <c r="AI549" s="344">
        <v>3926908</v>
      </c>
      <c r="AJ549" s="344" t="s">
        <v>60</v>
      </c>
      <c r="AK549" s="344">
        <v>1</v>
      </c>
      <c r="AL549" s="344">
        <v>0</v>
      </c>
      <c r="AM549" s="344" t="s">
        <v>1905</v>
      </c>
    </row>
    <row r="550" spans="7:39">
      <c r="G550" s="344"/>
      <c r="H550" s="10" t="s">
        <v>3138</v>
      </c>
      <c r="I550" s="344" t="s">
        <v>87</v>
      </c>
      <c r="J550" s="344" t="s">
        <v>91</v>
      </c>
      <c r="K550" s="344" t="s">
        <v>3160</v>
      </c>
      <c r="L550" s="344" t="s">
        <v>98</v>
      </c>
      <c r="M550" s="344" t="s">
        <v>3161</v>
      </c>
      <c r="N550" s="344" t="s">
        <v>3138</v>
      </c>
      <c r="O550" s="344" t="s">
        <v>13</v>
      </c>
      <c r="P550" s="344" t="s">
        <v>80</v>
      </c>
      <c r="Q550" s="344" t="s">
        <v>81</v>
      </c>
      <c r="R550" s="344" t="s">
        <v>82</v>
      </c>
      <c r="S550" s="344" t="s">
        <v>17</v>
      </c>
      <c r="T550" s="347">
        <v>185</v>
      </c>
      <c r="U550" s="347">
        <v>34199.1</v>
      </c>
      <c r="V550" s="344" t="s">
        <v>17</v>
      </c>
      <c r="W550" s="344">
        <v>0</v>
      </c>
      <c r="X550" s="344">
        <v>9</v>
      </c>
      <c r="Y550" s="344">
        <v>3077.92</v>
      </c>
      <c r="Z550" s="344">
        <v>9</v>
      </c>
      <c r="AA550" s="344">
        <v>3077.92</v>
      </c>
      <c r="AB550" s="344">
        <v>0</v>
      </c>
      <c r="AC550" s="344">
        <v>0</v>
      </c>
      <c r="AD550" s="344">
        <v>0</v>
      </c>
      <c r="AE550" s="344">
        <v>6155.84</v>
      </c>
      <c r="AF550" s="344">
        <v>0</v>
      </c>
      <c r="AG550" s="344" t="s">
        <v>65</v>
      </c>
      <c r="AH550" s="344" t="s">
        <v>11</v>
      </c>
      <c r="AI550" s="344">
        <v>39200000</v>
      </c>
      <c r="AJ550" s="344" t="s">
        <v>60</v>
      </c>
      <c r="AK550" s="344">
        <v>1</v>
      </c>
      <c r="AL550" s="344">
        <v>0</v>
      </c>
      <c r="AM550" s="344" t="s">
        <v>1905</v>
      </c>
    </row>
    <row r="551" spans="7:39">
      <c r="G551" s="344"/>
      <c r="H551" s="10" t="s">
        <v>3138</v>
      </c>
      <c r="I551" s="344" t="s">
        <v>87</v>
      </c>
      <c r="J551" s="344" t="s">
        <v>91</v>
      </c>
      <c r="K551" s="344" t="s">
        <v>3160</v>
      </c>
      <c r="L551" s="344" t="s">
        <v>98</v>
      </c>
      <c r="M551" s="344" t="s">
        <v>3161</v>
      </c>
      <c r="N551" s="344" t="s">
        <v>3138</v>
      </c>
      <c r="O551" s="344" t="s">
        <v>13</v>
      </c>
      <c r="P551" s="344" t="s">
        <v>80</v>
      </c>
      <c r="Q551" s="344" t="s">
        <v>81</v>
      </c>
      <c r="R551" s="344" t="s">
        <v>82</v>
      </c>
      <c r="S551" s="344" t="s">
        <v>17</v>
      </c>
      <c r="T551" s="347">
        <v>246</v>
      </c>
      <c r="U551" s="347">
        <v>43507.56</v>
      </c>
      <c r="V551" s="344" t="s">
        <v>17</v>
      </c>
      <c r="W551" s="344">
        <v>0</v>
      </c>
      <c r="X551" s="344">
        <v>9</v>
      </c>
      <c r="Y551" s="344">
        <v>3915.68</v>
      </c>
      <c r="Z551" s="344">
        <v>9</v>
      </c>
      <c r="AA551" s="344">
        <v>3915.68</v>
      </c>
      <c r="AB551" s="344">
        <v>0</v>
      </c>
      <c r="AC551" s="344">
        <v>0</v>
      </c>
      <c r="AD551" s="344">
        <v>0</v>
      </c>
      <c r="AE551" s="344">
        <v>7831.36</v>
      </c>
      <c r="AF551" s="344">
        <v>0</v>
      </c>
      <c r="AG551" s="344" t="s">
        <v>65</v>
      </c>
      <c r="AH551" s="344" t="s">
        <v>11</v>
      </c>
      <c r="AI551" s="344">
        <v>39200000</v>
      </c>
      <c r="AJ551" s="344" t="s">
        <v>60</v>
      </c>
      <c r="AK551" s="344">
        <v>1</v>
      </c>
      <c r="AL551" s="344">
        <v>0</v>
      </c>
      <c r="AM551" s="344" t="s">
        <v>1905</v>
      </c>
    </row>
    <row r="552" spans="7:39">
      <c r="G552" s="344"/>
      <c r="H552" s="10" t="s">
        <v>3138</v>
      </c>
      <c r="I552" s="344" t="s">
        <v>87</v>
      </c>
      <c r="J552" s="344" t="s">
        <v>91</v>
      </c>
      <c r="K552" s="344" t="s">
        <v>3160</v>
      </c>
      <c r="L552" s="344" t="s">
        <v>98</v>
      </c>
      <c r="M552" s="344" t="s">
        <v>3161</v>
      </c>
      <c r="N552" s="344" t="s">
        <v>3138</v>
      </c>
      <c r="O552" s="344" t="s">
        <v>13</v>
      </c>
      <c r="P552" s="344" t="s">
        <v>62</v>
      </c>
      <c r="Q552" s="344" t="s">
        <v>63</v>
      </c>
      <c r="R552" s="344" t="s">
        <v>64</v>
      </c>
      <c r="S552" s="344" t="s">
        <v>19</v>
      </c>
      <c r="T552" s="347">
        <v>261</v>
      </c>
      <c r="U552" s="347">
        <v>37928.519999999997</v>
      </c>
      <c r="V552" s="344" t="s">
        <v>19</v>
      </c>
      <c r="W552" s="344">
        <v>0</v>
      </c>
      <c r="X552" s="344">
        <v>9</v>
      </c>
      <c r="Y552" s="344">
        <v>3413.57</v>
      </c>
      <c r="Z552" s="344">
        <v>9</v>
      </c>
      <c r="AA552" s="344">
        <v>3413.57</v>
      </c>
      <c r="AB552" s="344">
        <v>0</v>
      </c>
      <c r="AC552" s="344">
        <v>0</v>
      </c>
      <c r="AD552" s="344">
        <v>0</v>
      </c>
      <c r="AE552" s="344">
        <v>6827.14</v>
      </c>
      <c r="AF552" s="344">
        <v>0</v>
      </c>
      <c r="AG552" s="344" t="s">
        <v>65</v>
      </c>
      <c r="AH552" s="344" t="s">
        <v>11</v>
      </c>
      <c r="AI552" s="344">
        <v>39269080</v>
      </c>
      <c r="AJ552" s="344" t="s">
        <v>60</v>
      </c>
      <c r="AK552" s="344">
        <v>1</v>
      </c>
      <c r="AL552" s="344">
        <v>0</v>
      </c>
      <c r="AM552" s="344" t="s">
        <v>1905</v>
      </c>
    </row>
    <row r="553" spans="7:39">
      <c r="G553" s="344"/>
      <c r="H553" s="10" t="s">
        <v>3138</v>
      </c>
      <c r="I553" s="344" t="s">
        <v>87</v>
      </c>
      <c r="J553" s="344" t="s">
        <v>91</v>
      </c>
      <c r="K553" s="344" t="s">
        <v>3160</v>
      </c>
      <c r="L553" s="344" t="s">
        <v>98</v>
      </c>
      <c r="M553" s="344" t="s">
        <v>3161</v>
      </c>
      <c r="N553" s="344" t="s">
        <v>3138</v>
      </c>
      <c r="O553" s="344" t="s">
        <v>13</v>
      </c>
      <c r="P553" s="344" t="s">
        <v>62</v>
      </c>
      <c r="Q553" s="344" t="s">
        <v>63</v>
      </c>
      <c r="R553" s="344" t="s">
        <v>64</v>
      </c>
      <c r="S553" s="344" t="s">
        <v>19</v>
      </c>
      <c r="T553" s="347">
        <v>822</v>
      </c>
      <c r="U553" s="344">
        <v>116987.04</v>
      </c>
      <c r="V553" s="344" t="s">
        <v>19</v>
      </c>
      <c r="W553" s="344">
        <v>0</v>
      </c>
      <c r="X553" s="344">
        <v>9</v>
      </c>
      <c r="Y553" s="344">
        <v>10528.83</v>
      </c>
      <c r="Z553" s="344">
        <v>9</v>
      </c>
      <c r="AA553" s="344">
        <v>10528.83</v>
      </c>
      <c r="AB553" s="344">
        <v>0</v>
      </c>
      <c r="AC553" s="344">
        <v>0</v>
      </c>
      <c r="AD553" s="344">
        <v>0</v>
      </c>
      <c r="AE553" s="344">
        <v>21057.66</v>
      </c>
      <c r="AF553" s="344">
        <v>0</v>
      </c>
      <c r="AG553" s="344" t="s">
        <v>65</v>
      </c>
      <c r="AH553" s="344" t="s">
        <v>11</v>
      </c>
      <c r="AI553" s="344">
        <v>39269080</v>
      </c>
      <c r="AJ553" s="344" t="s">
        <v>60</v>
      </c>
      <c r="AK553" s="344">
        <v>1</v>
      </c>
      <c r="AL553" s="344">
        <v>0</v>
      </c>
      <c r="AM553" s="344" t="s">
        <v>1905</v>
      </c>
    </row>
    <row r="554" spans="7:39">
      <c r="G554" s="344"/>
      <c r="H554" s="10" t="s">
        <v>3138</v>
      </c>
      <c r="I554" s="344" t="s">
        <v>87</v>
      </c>
      <c r="J554" s="344" t="s">
        <v>91</v>
      </c>
      <c r="K554" s="344" t="s">
        <v>3160</v>
      </c>
      <c r="L554" s="344" t="s">
        <v>98</v>
      </c>
      <c r="M554" s="344" t="s">
        <v>3161</v>
      </c>
      <c r="N554" s="344" t="s">
        <v>3138</v>
      </c>
      <c r="O554" s="344" t="s">
        <v>13</v>
      </c>
      <c r="P554" s="344" t="s">
        <v>62</v>
      </c>
      <c r="Q554" s="344" t="s">
        <v>63</v>
      </c>
      <c r="R554" s="344" t="s">
        <v>64</v>
      </c>
      <c r="S554" s="344" t="s">
        <v>19</v>
      </c>
      <c r="T554" s="344">
        <v>952</v>
      </c>
      <c r="U554" s="347">
        <v>137392.64000000001</v>
      </c>
      <c r="V554" s="344" t="s">
        <v>19</v>
      </c>
      <c r="W554" s="344">
        <v>0</v>
      </c>
      <c r="X554" s="344">
        <v>9</v>
      </c>
      <c r="Y554" s="344">
        <v>12365.34</v>
      </c>
      <c r="Z554" s="344">
        <v>9</v>
      </c>
      <c r="AA554" s="344">
        <v>12365.34</v>
      </c>
      <c r="AB554" s="344">
        <v>0</v>
      </c>
      <c r="AC554" s="344">
        <v>0</v>
      </c>
      <c r="AD554" s="344">
        <v>0</v>
      </c>
      <c r="AE554" s="344">
        <v>24730.68</v>
      </c>
      <c r="AF554" s="344">
        <v>0</v>
      </c>
      <c r="AG554" s="344" t="s">
        <v>65</v>
      </c>
      <c r="AH554" s="344" t="s">
        <v>11</v>
      </c>
      <c r="AI554" s="344">
        <v>39269080</v>
      </c>
      <c r="AJ554" s="344" t="s">
        <v>60</v>
      </c>
      <c r="AK554" s="344">
        <v>1</v>
      </c>
      <c r="AL554" s="344">
        <v>0</v>
      </c>
      <c r="AM554" s="344" t="s">
        <v>1905</v>
      </c>
    </row>
    <row r="555" spans="7:39">
      <c r="G555" s="344"/>
      <c r="H555" s="10" t="s">
        <v>3138</v>
      </c>
      <c r="I555" s="344" t="s">
        <v>87</v>
      </c>
      <c r="J555" s="344" t="s">
        <v>91</v>
      </c>
      <c r="K555" s="344" t="s">
        <v>3160</v>
      </c>
      <c r="L555" s="344" t="s">
        <v>98</v>
      </c>
      <c r="M555" s="344" t="s">
        <v>3161</v>
      </c>
      <c r="N555" s="344" t="s">
        <v>3138</v>
      </c>
      <c r="O555" s="344" t="s">
        <v>13</v>
      </c>
      <c r="P555" s="344" t="s">
        <v>99</v>
      </c>
      <c r="Q555" s="344" t="s">
        <v>100</v>
      </c>
      <c r="R555" s="344" t="s">
        <v>101</v>
      </c>
      <c r="S555" s="344" t="s">
        <v>3162</v>
      </c>
      <c r="T555" s="347">
        <v>391.5</v>
      </c>
      <c r="U555" s="347">
        <v>61590.78</v>
      </c>
      <c r="V555" s="344" t="s">
        <v>3162</v>
      </c>
      <c r="W555" s="344">
        <v>0</v>
      </c>
      <c r="X555" s="344">
        <v>2.5</v>
      </c>
      <c r="Y555" s="344">
        <v>1539.77</v>
      </c>
      <c r="Z555" s="344">
        <v>2.5</v>
      </c>
      <c r="AA555" s="344">
        <v>1539.77</v>
      </c>
      <c r="AB555" s="344">
        <v>0</v>
      </c>
      <c r="AC555" s="344">
        <v>0</v>
      </c>
      <c r="AD555" s="344">
        <v>0</v>
      </c>
      <c r="AE555" s="344">
        <v>3079.54</v>
      </c>
      <c r="AF555" s="344">
        <v>0</v>
      </c>
      <c r="AG555" s="344" t="s">
        <v>65</v>
      </c>
      <c r="AH555" s="344" t="s">
        <v>11</v>
      </c>
      <c r="AI555" s="344">
        <v>54026930</v>
      </c>
      <c r="AJ555" s="344" t="s">
        <v>60</v>
      </c>
      <c r="AK555" s="344">
        <v>1</v>
      </c>
      <c r="AL555" s="344">
        <v>0</v>
      </c>
      <c r="AM555" s="344" t="s">
        <v>1905</v>
      </c>
    </row>
    <row r="556" spans="7:39">
      <c r="G556" s="344"/>
      <c r="H556" s="10" t="s">
        <v>3138</v>
      </c>
      <c r="I556" s="344" t="s">
        <v>87</v>
      </c>
      <c r="J556" s="344" t="s">
        <v>91</v>
      </c>
      <c r="K556" s="344" t="s">
        <v>3160</v>
      </c>
      <c r="L556" s="344" t="s">
        <v>98</v>
      </c>
      <c r="M556" s="344" t="s">
        <v>3161</v>
      </c>
      <c r="N556" s="344" t="s">
        <v>3138</v>
      </c>
      <c r="O556" s="344" t="s">
        <v>13</v>
      </c>
      <c r="P556" s="344" t="s">
        <v>99</v>
      </c>
      <c r="Q556" s="344" t="s">
        <v>100</v>
      </c>
      <c r="R556" s="344" t="s">
        <v>101</v>
      </c>
      <c r="S556" s="344" t="s">
        <v>553</v>
      </c>
      <c r="T556" s="347">
        <v>1020.2</v>
      </c>
      <c r="U556" s="347">
        <v>157437.26</v>
      </c>
      <c r="V556" s="344" t="s">
        <v>553</v>
      </c>
      <c r="W556" s="344">
        <v>0</v>
      </c>
      <c r="X556" s="344">
        <v>2.5</v>
      </c>
      <c r="Y556" s="344">
        <v>3935.93</v>
      </c>
      <c r="Z556" s="344">
        <v>2.5</v>
      </c>
      <c r="AA556" s="344">
        <v>3935.93</v>
      </c>
      <c r="AB556" s="344">
        <v>0</v>
      </c>
      <c r="AC556" s="344">
        <v>0</v>
      </c>
      <c r="AD556" s="344">
        <v>0</v>
      </c>
      <c r="AE556" s="344">
        <v>7871.86</v>
      </c>
      <c r="AF556" s="344">
        <v>0</v>
      </c>
      <c r="AG556" s="344" t="s">
        <v>65</v>
      </c>
      <c r="AH556" s="344" t="s">
        <v>3</v>
      </c>
      <c r="AI556" s="344">
        <v>540263</v>
      </c>
      <c r="AJ556" s="344" t="s">
        <v>60</v>
      </c>
      <c r="AK556" s="344">
        <v>1</v>
      </c>
      <c r="AL556" s="344">
        <v>0</v>
      </c>
      <c r="AM556" s="344" t="s">
        <v>1905</v>
      </c>
    </row>
    <row r="557" spans="7:39">
      <c r="G557" s="344"/>
      <c r="H557" s="10" t="s">
        <v>3138</v>
      </c>
      <c r="I557" s="344" t="s">
        <v>87</v>
      </c>
      <c r="J557" s="344" t="s">
        <v>91</v>
      </c>
      <c r="K557" s="344" t="s">
        <v>3160</v>
      </c>
      <c r="L557" s="344" t="s">
        <v>98</v>
      </c>
      <c r="M557" s="344" t="s">
        <v>3161</v>
      </c>
      <c r="N557" s="344" t="s">
        <v>3138</v>
      </c>
      <c r="O557" s="344" t="s">
        <v>13</v>
      </c>
      <c r="P557" s="344" t="s">
        <v>99</v>
      </c>
      <c r="Q557" s="344" t="s">
        <v>100</v>
      </c>
      <c r="R557" s="344" t="s">
        <v>101</v>
      </c>
      <c r="S557" s="344" t="s">
        <v>1268</v>
      </c>
      <c r="T557" s="344">
        <v>919</v>
      </c>
      <c r="U557" s="344">
        <v>144577.07999999999</v>
      </c>
      <c r="V557" s="344" t="s">
        <v>1268</v>
      </c>
      <c r="W557" s="344">
        <v>0</v>
      </c>
      <c r="X557" s="344">
        <v>2.5</v>
      </c>
      <c r="Y557" s="344">
        <v>3614.43</v>
      </c>
      <c r="Z557" s="344">
        <v>2.5</v>
      </c>
      <c r="AA557" s="344">
        <v>3614.43</v>
      </c>
      <c r="AB557" s="344">
        <v>0</v>
      </c>
      <c r="AC557" s="344">
        <v>0</v>
      </c>
      <c r="AD557" s="344">
        <v>0</v>
      </c>
      <c r="AE557" s="344">
        <v>7228.86</v>
      </c>
      <c r="AF557" s="344">
        <v>0</v>
      </c>
      <c r="AG557" s="344" t="s">
        <v>65</v>
      </c>
      <c r="AH557" s="344" t="s">
        <v>3</v>
      </c>
      <c r="AI557" s="344">
        <v>54026930</v>
      </c>
      <c r="AJ557" s="344" t="s">
        <v>60</v>
      </c>
      <c r="AK557" s="344">
        <v>1</v>
      </c>
      <c r="AL557" s="344">
        <v>0</v>
      </c>
      <c r="AM557" s="344" t="s">
        <v>1905</v>
      </c>
    </row>
    <row r="558" spans="7:39">
      <c r="G558" s="344"/>
      <c r="H558" s="10" t="s">
        <v>3138</v>
      </c>
      <c r="I558" s="344" t="s">
        <v>94</v>
      </c>
      <c r="J558" s="344" t="s">
        <v>96</v>
      </c>
      <c r="K558" s="344" t="s">
        <v>3163</v>
      </c>
      <c r="L558" s="344" t="s">
        <v>97</v>
      </c>
      <c r="M558" s="344" t="s">
        <v>3164</v>
      </c>
      <c r="N558" s="344" t="s">
        <v>3138</v>
      </c>
      <c r="O558" s="344" t="s">
        <v>2</v>
      </c>
      <c r="P558" s="344" t="s">
        <v>67</v>
      </c>
      <c r="Q558" s="344" t="s">
        <v>68</v>
      </c>
      <c r="R558" s="344" t="s">
        <v>69</v>
      </c>
      <c r="S558" s="344" t="s">
        <v>70</v>
      </c>
      <c r="T558" s="347">
        <v>14</v>
      </c>
      <c r="U558" s="347">
        <v>672</v>
      </c>
      <c r="V558" s="344" t="s">
        <v>70</v>
      </c>
      <c r="W558" s="344">
        <v>792.29</v>
      </c>
      <c r="X558" s="344">
        <v>9</v>
      </c>
      <c r="Y558" s="344">
        <v>60.48</v>
      </c>
      <c r="Z558" s="344">
        <v>9</v>
      </c>
      <c r="AA558" s="344">
        <v>60.48</v>
      </c>
      <c r="AB558" s="344">
        <v>0</v>
      </c>
      <c r="AC558" s="344">
        <v>0</v>
      </c>
      <c r="AD558" s="344">
        <v>0</v>
      </c>
      <c r="AE558" s="344">
        <v>120.96</v>
      </c>
      <c r="AF558" s="344">
        <v>0</v>
      </c>
      <c r="AG558" s="344" t="s">
        <v>74</v>
      </c>
      <c r="AH558" s="344" t="s">
        <v>11</v>
      </c>
      <c r="AI558" s="344">
        <v>73063090</v>
      </c>
      <c r="AJ558" s="344" t="s">
        <v>60</v>
      </c>
      <c r="AK558" s="344">
        <v>1</v>
      </c>
      <c r="AL558" s="344">
        <v>0</v>
      </c>
      <c r="AM558" s="344" t="s">
        <v>1905</v>
      </c>
    </row>
    <row r="559" spans="7:39">
      <c r="G559" s="344"/>
      <c r="H559" s="10" t="s">
        <v>3138</v>
      </c>
      <c r="I559" s="344" t="s">
        <v>94</v>
      </c>
      <c r="J559" s="344" t="s">
        <v>91</v>
      </c>
      <c r="K559" s="344" t="s">
        <v>3165</v>
      </c>
      <c r="L559" s="344" t="s">
        <v>98</v>
      </c>
      <c r="M559" s="344" t="s">
        <v>3166</v>
      </c>
      <c r="N559" s="344" t="s">
        <v>3138</v>
      </c>
      <c r="O559" s="344" t="s">
        <v>13</v>
      </c>
      <c r="P559" s="344" t="s">
        <v>62</v>
      </c>
      <c r="Q559" s="344" t="s">
        <v>76</v>
      </c>
      <c r="R559" s="344" t="s">
        <v>77</v>
      </c>
      <c r="S559" s="344" t="s">
        <v>21</v>
      </c>
      <c r="T559" s="347">
        <v>346</v>
      </c>
      <c r="U559" s="347">
        <v>47602.68</v>
      </c>
      <c r="V559" s="344" t="s">
        <v>21</v>
      </c>
      <c r="W559" s="344">
        <v>89106.58</v>
      </c>
      <c r="X559" s="344">
        <v>9</v>
      </c>
      <c r="Y559" s="344">
        <v>4284.24</v>
      </c>
      <c r="Z559" s="344">
        <v>9</v>
      </c>
      <c r="AA559" s="344">
        <v>4284.24</v>
      </c>
      <c r="AB559" s="344">
        <v>0</v>
      </c>
      <c r="AC559" s="344">
        <v>0</v>
      </c>
      <c r="AD559" s="344">
        <v>0</v>
      </c>
      <c r="AE559" s="344">
        <v>8568.48</v>
      </c>
      <c r="AF559" s="344">
        <v>0</v>
      </c>
      <c r="AG559" s="344" t="s">
        <v>74</v>
      </c>
      <c r="AH559" s="344" t="s">
        <v>11</v>
      </c>
      <c r="AI559" s="344">
        <v>63053300</v>
      </c>
      <c r="AJ559" s="344" t="s">
        <v>60</v>
      </c>
      <c r="AK559" s="344">
        <v>1</v>
      </c>
      <c r="AL559" s="344">
        <v>0</v>
      </c>
      <c r="AM559" s="344" t="s">
        <v>1905</v>
      </c>
    </row>
    <row r="560" spans="7:39">
      <c r="G560" s="344"/>
      <c r="H560" s="10" t="s">
        <v>3138</v>
      </c>
      <c r="I560" s="344" t="s">
        <v>94</v>
      </c>
      <c r="J560" s="344" t="s">
        <v>91</v>
      </c>
      <c r="K560" s="344" t="s">
        <v>3165</v>
      </c>
      <c r="L560" s="344" t="s">
        <v>98</v>
      </c>
      <c r="M560" s="344" t="s">
        <v>3166</v>
      </c>
      <c r="N560" s="344" t="s">
        <v>3138</v>
      </c>
      <c r="O560" s="344" t="s">
        <v>13</v>
      </c>
      <c r="P560" s="344" t="s">
        <v>62</v>
      </c>
      <c r="Q560" s="344" t="s">
        <v>76</v>
      </c>
      <c r="R560" s="344" t="s">
        <v>77</v>
      </c>
      <c r="S560" s="344" t="s">
        <v>21</v>
      </c>
      <c r="T560" s="344">
        <v>199</v>
      </c>
      <c r="U560" s="347">
        <v>27975.42</v>
      </c>
      <c r="V560" s="344" t="s">
        <v>21</v>
      </c>
      <c r="W560" s="344">
        <v>0</v>
      </c>
      <c r="X560" s="344">
        <v>9</v>
      </c>
      <c r="Y560" s="344">
        <v>2517.79</v>
      </c>
      <c r="Z560" s="344">
        <v>9</v>
      </c>
      <c r="AA560" s="344">
        <v>2517.79</v>
      </c>
      <c r="AB560" s="344">
        <v>0</v>
      </c>
      <c r="AC560" s="344">
        <v>0</v>
      </c>
      <c r="AD560" s="344">
        <v>0</v>
      </c>
      <c r="AE560" s="344">
        <v>5035.58</v>
      </c>
      <c r="AF560" s="344">
        <v>0</v>
      </c>
      <c r="AG560" s="344" t="s">
        <v>74</v>
      </c>
      <c r="AH560" s="344" t="s">
        <v>11</v>
      </c>
      <c r="AI560" s="344">
        <v>63053300</v>
      </c>
      <c r="AJ560" s="344" t="s">
        <v>60</v>
      </c>
      <c r="AK560" s="344">
        <v>1</v>
      </c>
      <c r="AL560" s="344">
        <v>0</v>
      </c>
      <c r="AM560" s="344" t="s">
        <v>1905</v>
      </c>
    </row>
    <row r="561" spans="7:39">
      <c r="G561" s="344"/>
      <c r="H561" s="10" t="s">
        <v>3138</v>
      </c>
      <c r="I561" s="344" t="s">
        <v>94</v>
      </c>
      <c r="J561" s="344" t="s">
        <v>91</v>
      </c>
      <c r="K561" s="344" t="s">
        <v>3167</v>
      </c>
      <c r="L561" s="344" t="s">
        <v>98</v>
      </c>
      <c r="M561" s="344" t="s">
        <v>3168</v>
      </c>
      <c r="N561" s="344" t="s">
        <v>3138</v>
      </c>
      <c r="O561" s="344" t="s">
        <v>13</v>
      </c>
      <c r="P561" s="344" t="s">
        <v>80</v>
      </c>
      <c r="Q561" s="344" t="s">
        <v>81</v>
      </c>
      <c r="R561" s="8" t="s">
        <v>2149</v>
      </c>
      <c r="S561" s="344" t="s">
        <v>2149</v>
      </c>
      <c r="T561" s="344">
        <v>35.5</v>
      </c>
      <c r="U561" s="347">
        <v>9230</v>
      </c>
      <c r="V561" s="344" t="s">
        <v>2149</v>
      </c>
      <c r="W561" s="344">
        <v>10882.17</v>
      </c>
      <c r="X561" s="344">
        <v>9</v>
      </c>
      <c r="Y561" s="344">
        <v>830.7</v>
      </c>
      <c r="Z561" s="344">
        <v>9</v>
      </c>
      <c r="AA561" s="344">
        <v>830.7</v>
      </c>
      <c r="AB561" s="344">
        <v>0</v>
      </c>
      <c r="AC561" s="344">
        <v>0</v>
      </c>
      <c r="AD561" s="344">
        <v>0</v>
      </c>
      <c r="AE561" s="344">
        <v>1661.4</v>
      </c>
      <c r="AF561" s="344">
        <v>0</v>
      </c>
      <c r="AG561" s="344" t="s">
        <v>74</v>
      </c>
      <c r="AH561" s="344" t="s">
        <v>11</v>
      </c>
      <c r="AI561" s="344">
        <v>3920101</v>
      </c>
      <c r="AJ561" s="344" t="s">
        <v>60</v>
      </c>
      <c r="AK561" s="344">
        <v>1</v>
      </c>
      <c r="AL561" s="344">
        <v>0</v>
      </c>
      <c r="AM561" s="344" t="s">
        <v>1905</v>
      </c>
    </row>
    <row r="562" spans="7:39">
      <c r="G562" s="344"/>
      <c r="H562" s="10" t="s">
        <v>3138</v>
      </c>
      <c r="I562" s="344" t="s">
        <v>94</v>
      </c>
      <c r="J562" s="344" t="s">
        <v>91</v>
      </c>
      <c r="K562" s="344" t="s">
        <v>3169</v>
      </c>
      <c r="L562" s="344" t="s">
        <v>98</v>
      </c>
      <c r="M562" s="344" t="s">
        <v>3170</v>
      </c>
      <c r="N562" s="344" t="s">
        <v>3138</v>
      </c>
      <c r="O562" s="344" t="s">
        <v>13</v>
      </c>
      <c r="P562" s="344" t="s">
        <v>62</v>
      </c>
      <c r="Q562" s="344" t="s">
        <v>63</v>
      </c>
      <c r="R562" s="8" t="s">
        <v>64</v>
      </c>
      <c r="S562" s="344" t="s">
        <v>19</v>
      </c>
      <c r="T562" s="344">
        <v>533.70000000000005</v>
      </c>
      <c r="U562" s="347">
        <v>72359.05</v>
      </c>
      <c r="V562" s="344" t="s">
        <v>19</v>
      </c>
      <c r="W562" s="344">
        <v>85311.31</v>
      </c>
      <c r="X562" s="344">
        <v>9</v>
      </c>
      <c r="Y562" s="344">
        <v>6512.31</v>
      </c>
      <c r="Z562" s="344">
        <v>9</v>
      </c>
      <c r="AA562" s="344">
        <v>6512.31</v>
      </c>
      <c r="AB562" s="344">
        <v>0</v>
      </c>
      <c r="AC562" s="344">
        <v>0</v>
      </c>
      <c r="AD562" s="344">
        <v>0</v>
      </c>
      <c r="AE562" s="344">
        <v>13024.62</v>
      </c>
      <c r="AF562" s="344">
        <v>0</v>
      </c>
      <c r="AG562" s="344" t="s">
        <v>74</v>
      </c>
      <c r="AH562" s="344" t="s">
        <v>11</v>
      </c>
      <c r="AI562" s="344">
        <v>39269080</v>
      </c>
      <c r="AJ562" s="344" t="s">
        <v>60</v>
      </c>
      <c r="AK562" s="344">
        <v>1</v>
      </c>
      <c r="AL562" s="344">
        <v>0</v>
      </c>
      <c r="AM562" s="344" t="s">
        <v>1905</v>
      </c>
    </row>
    <row r="563" spans="7:39">
      <c r="G563" s="344"/>
      <c r="H563" s="10" t="s">
        <v>3138</v>
      </c>
      <c r="I563" s="344" t="s">
        <v>258</v>
      </c>
      <c r="J563" s="344" t="s">
        <v>96</v>
      </c>
      <c r="K563" s="344" t="s">
        <v>3171</v>
      </c>
      <c r="L563" s="344" t="s">
        <v>97</v>
      </c>
      <c r="M563" s="344" t="s">
        <v>3172</v>
      </c>
      <c r="N563" s="390">
        <v>46211</v>
      </c>
      <c r="O563" s="344" t="s">
        <v>5</v>
      </c>
      <c r="P563" s="344" t="s">
        <v>106</v>
      </c>
      <c r="Q563" s="344" t="s">
        <v>68</v>
      </c>
      <c r="R563" s="344" t="s">
        <v>69</v>
      </c>
      <c r="S563" s="344" t="s">
        <v>9</v>
      </c>
      <c r="T563" s="344">
        <v>280</v>
      </c>
      <c r="U563" s="347">
        <v>420</v>
      </c>
      <c r="V563" s="344" t="s">
        <v>9</v>
      </c>
      <c r="W563" s="344">
        <v>614</v>
      </c>
      <c r="X563" s="344">
        <v>9</v>
      </c>
      <c r="Y563" s="344">
        <v>37.799999999999997</v>
      </c>
      <c r="Z563" s="344">
        <v>9</v>
      </c>
      <c r="AA563" s="344">
        <v>37.799999999999997</v>
      </c>
      <c r="AB563" s="344">
        <v>0</v>
      </c>
      <c r="AC563" s="344">
        <v>0</v>
      </c>
      <c r="AD563" s="344">
        <v>18</v>
      </c>
      <c r="AE563" s="344">
        <v>93.6</v>
      </c>
      <c r="AF563" s="344">
        <v>0</v>
      </c>
      <c r="AG563" s="344" t="s">
        <v>454</v>
      </c>
      <c r="AH563" s="344" t="s">
        <v>10</v>
      </c>
      <c r="AI563" s="344">
        <v>37013000</v>
      </c>
      <c r="AJ563" s="344" t="s">
        <v>60</v>
      </c>
      <c r="AK563" s="344">
        <v>1</v>
      </c>
      <c r="AL563" s="344">
        <v>0</v>
      </c>
      <c r="AM563" s="344" t="s">
        <v>1905</v>
      </c>
    </row>
    <row r="564" spans="7:39">
      <c r="G564" s="344"/>
      <c r="H564" s="10" t="s">
        <v>3173</v>
      </c>
      <c r="I564" s="344" t="s">
        <v>87</v>
      </c>
      <c r="J564" s="344" t="s">
        <v>96</v>
      </c>
      <c r="K564" s="344" t="s">
        <v>3174</v>
      </c>
      <c r="L564" s="344" t="s">
        <v>97</v>
      </c>
      <c r="M564" s="344" t="s">
        <v>3175</v>
      </c>
      <c r="N564" s="344" t="s">
        <v>3173</v>
      </c>
      <c r="O564" s="344" t="s">
        <v>2</v>
      </c>
      <c r="P564" s="344" t="s">
        <v>67</v>
      </c>
      <c r="Q564" s="344" t="s">
        <v>68</v>
      </c>
      <c r="R564" s="344" t="s">
        <v>69</v>
      </c>
      <c r="S564" s="344" t="s">
        <v>70</v>
      </c>
      <c r="T564" s="344">
        <v>101</v>
      </c>
      <c r="U564" s="347">
        <v>4848</v>
      </c>
      <c r="V564" s="344" t="s">
        <v>70</v>
      </c>
      <c r="W564" s="344">
        <v>17260.560000000001</v>
      </c>
      <c r="X564" s="344">
        <v>9</v>
      </c>
      <c r="Y564" s="344">
        <v>436.32</v>
      </c>
      <c r="Z564" s="344">
        <v>9</v>
      </c>
      <c r="AA564" s="344">
        <v>436.32</v>
      </c>
      <c r="AB564" s="344">
        <v>0</v>
      </c>
      <c r="AC564" s="344">
        <v>0</v>
      </c>
      <c r="AD564" s="344">
        <v>0</v>
      </c>
      <c r="AE564" s="344">
        <v>872.64</v>
      </c>
      <c r="AF564" s="344">
        <v>0</v>
      </c>
      <c r="AG564" s="344" t="s">
        <v>65</v>
      </c>
      <c r="AH564" s="344" t="s">
        <v>11</v>
      </c>
      <c r="AI564" s="344">
        <v>73063090</v>
      </c>
      <c r="AJ564" s="344" t="s">
        <v>60</v>
      </c>
      <c r="AK564" s="344">
        <v>1</v>
      </c>
      <c r="AL564" s="344">
        <v>0</v>
      </c>
      <c r="AM564" s="344" t="s">
        <v>1905</v>
      </c>
    </row>
    <row r="565" spans="7:39">
      <c r="G565" s="344"/>
      <c r="H565" s="10" t="s">
        <v>3173</v>
      </c>
      <c r="I565" s="344" t="s">
        <v>87</v>
      </c>
      <c r="J565" s="344" t="s">
        <v>96</v>
      </c>
      <c r="K565" s="344" t="s">
        <v>3174</v>
      </c>
      <c r="L565" s="344" t="s">
        <v>97</v>
      </c>
      <c r="M565" s="344" t="s">
        <v>3175</v>
      </c>
      <c r="N565" s="344" t="s">
        <v>3173</v>
      </c>
      <c r="O565" s="344" t="s">
        <v>2</v>
      </c>
      <c r="P565" s="344" t="s">
        <v>67</v>
      </c>
      <c r="Q565" s="344" t="s">
        <v>68</v>
      </c>
      <c r="R565" s="344" t="s">
        <v>69</v>
      </c>
      <c r="S565" s="344" t="s">
        <v>70</v>
      </c>
      <c r="T565" s="344">
        <v>204</v>
      </c>
      <c r="U565" s="347">
        <v>9792</v>
      </c>
      <c r="V565" s="344" t="s">
        <v>70</v>
      </c>
      <c r="W565" s="344">
        <v>0</v>
      </c>
      <c r="X565" s="344">
        <v>9</v>
      </c>
      <c r="Y565" s="344">
        <v>881.28</v>
      </c>
      <c r="Z565" s="344">
        <v>9</v>
      </c>
      <c r="AA565" s="344">
        <v>881.28</v>
      </c>
      <c r="AB565" s="344">
        <v>0</v>
      </c>
      <c r="AC565" s="344">
        <v>0</v>
      </c>
      <c r="AD565" s="344">
        <v>0</v>
      </c>
      <c r="AE565" s="344">
        <v>1762.56</v>
      </c>
      <c r="AF565" s="344">
        <v>0</v>
      </c>
      <c r="AG565" s="344" t="s">
        <v>65</v>
      </c>
      <c r="AH565" s="344" t="s">
        <v>11</v>
      </c>
      <c r="AI565" s="344">
        <v>73063090</v>
      </c>
      <c r="AJ565" s="344" t="s">
        <v>60</v>
      </c>
      <c r="AK565" s="344">
        <v>1</v>
      </c>
      <c r="AL565" s="344">
        <v>0</v>
      </c>
      <c r="AM565" s="344" t="s">
        <v>1905</v>
      </c>
    </row>
    <row r="566" spans="7:39">
      <c r="G566" s="344"/>
      <c r="H566" s="10" t="s">
        <v>3173</v>
      </c>
      <c r="I566" s="344" t="s">
        <v>87</v>
      </c>
      <c r="J566" s="344" t="s">
        <v>91</v>
      </c>
      <c r="K566" s="344" t="s">
        <v>3176</v>
      </c>
      <c r="L566" s="344" t="s">
        <v>98</v>
      </c>
      <c r="M566" s="344" t="s">
        <v>3177</v>
      </c>
      <c r="N566" s="344" t="s">
        <v>3173</v>
      </c>
      <c r="O566" s="344" t="s">
        <v>13</v>
      </c>
      <c r="P566" s="344" t="s">
        <v>62</v>
      </c>
      <c r="Q566" s="344" t="s">
        <v>63</v>
      </c>
      <c r="R566" s="344" t="s">
        <v>64</v>
      </c>
      <c r="S566" s="344" t="s">
        <v>19</v>
      </c>
      <c r="T566" s="347">
        <v>6995</v>
      </c>
      <c r="U566" s="347">
        <v>995528.4</v>
      </c>
      <c r="V566" s="344" t="s">
        <v>19</v>
      </c>
      <c r="W566" s="344">
        <v>1600221.49</v>
      </c>
      <c r="X566" s="344">
        <v>9</v>
      </c>
      <c r="Y566" s="344">
        <v>89597.56</v>
      </c>
      <c r="Z566" s="344">
        <v>9</v>
      </c>
      <c r="AA566" s="344">
        <v>89597.56</v>
      </c>
      <c r="AB566" s="344">
        <v>0</v>
      </c>
      <c r="AC566" s="344">
        <v>0</v>
      </c>
      <c r="AD566" s="344">
        <v>0</v>
      </c>
      <c r="AE566" s="344">
        <v>179195.12</v>
      </c>
      <c r="AF566" s="344">
        <v>0</v>
      </c>
      <c r="AG566" s="344" t="s">
        <v>65</v>
      </c>
      <c r="AH566" s="344" t="s">
        <v>11</v>
      </c>
      <c r="AI566" s="344">
        <v>39269080</v>
      </c>
      <c r="AJ566" s="344" t="s">
        <v>60</v>
      </c>
      <c r="AK566" s="344">
        <v>1</v>
      </c>
      <c r="AL566" s="344">
        <v>0</v>
      </c>
      <c r="AM566" s="344" t="s">
        <v>1905</v>
      </c>
    </row>
    <row r="567" spans="7:39">
      <c r="G567" s="344"/>
      <c r="H567" s="10" t="s">
        <v>3173</v>
      </c>
      <c r="I567" s="344" t="s">
        <v>87</v>
      </c>
      <c r="J567" s="344" t="s">
        <v>91</v>
      </c>
      <c r="K567" s="344" t="s">
        <v>3176</v>
      </c>
      <c r="L567" s="344" t="s">
        <v>98</v>
      </c>
      <c r="M567" s="344" t="s">
        <v>3177</v>
      </c>
      <c r="N567" s="344" t="s">
        <v>3173</v>
      </c>
      <c r="O567" s="344" t="s">
        <v>13</v>
      </c>
      <c r="P567" s="344" t="s">
        <v>62</v>
      </c>
      <c r="Q567" s="344" t="s">
        <v>63</v>
      </c>
      <c r="R567" s="344" t="s">
        <v>64</v>
      </c>
      <c r="S567" s="344" t="s">
        <v>19</v>
      </c>
      <c r="T567" s="347">
        <v>1519</v>
      </c>
      <c r="U567" s="347">
        <v>220741.08</v>
      </c>
      <c r="V567" s="344" t="s">
        <v>19</v>
      </c>
      <c r="W567" s="344">
        <v>0</v>
      </c>
      <c r="X567" s="344">
        <v>9</v>
      </c>
      <c r="Y567" s="344">
        <v>19866.7</v>
      </c>
      <c r="Z567" s="344">
        <v>9</v>
      </c>
      <c r="AA567" s="344">
        <v>19866.7</v>
      </c>
      <c r="AB567" s="344">
        <v>0</v>
      </c>
      <c r="AC567" s="344">
        <v>0</v>
      </c>
      <c r="AD567" s="344">
        <v>0</v>
      </c>
      <c r="AE567" s="344">
        <v>39733.4</v>
      </c>
      <c r="AF567" s="344">
        <v>0</v>
      </c>
      <c r="AG567" s="344" t="s">
        <v>65</v>
      </c>
      <c r="AH567" s="344" t="s">
        <v>11</v>
      </c>
      <c r="AI567" s="344">
        <v>39269080</v>
      </c>
      <c r="AJ567" s="344" t="s">
        <v>60</v>
      </c>
      <c r="AK567" s="344">
        <v>1</v>
      </c>
      <c r="AL567" s="344">
        <v>0</v>
      </c>
      <c r="AM567" s="344" t="s">
        <v>1905</v>
      </c>
    </row>
    <row r="568" spans="7:39">
      <c r="G568" s="344"/>
      <c r="H568" s="10" t="s">
        <v>3173</v>
      </c>
      <c r="I568" s="344" t="s">
        <v>87</v>
      </c>
      <c r="J568" s="344" t="s">
        <v>91</v>
      </c>
      <c r="K568" s="344" t="s">
        <v>3176</v>
      </c>
      <c r="L568" s="344" t="s">
        <v>98</v>
      </c>
      <c r="M568" s="344" t="s">
        <v>3177</v>
      </c>
      <c r="N568" s="344" t="s">
        <v>3173</v>
      </c>
      <c r="O568" s="344" t="s">
        <v>13</v>
      </c>
      <c r="P568" s="344" t="s">
        <v>62</v>
      </c>
      <c r="Q568" s="344" t="s">
        <v>63</v>
      </c>
      <c r="R568" s="344" t="s">
        <v>64</v>
      </c>
      <c r="S568" s="344" t="s">
        <v>19</v>
      </c>
      <c r="T568" s="347">
        <v>977</v>
      </c>
      <c r="U568" s="344">
        <v>141000.64000000001</v>
      </c>
      <c r="V568" s="344" t="s">
        <v>19</v>
      </c>
      <c r="W568" s="344">
        <v>0</v>
      </c>
      <c r="X568" s="344">
        <v>9</v>
      </c>
      <c r="Y568" s="344">
        <v>12690.06</v>
      </c>
      <c r="Z568" s="344">
        <v>9</v>
      </c>
      <c r="AA568" s="344">
        <v>12690.06</v>
      </c>
      <c r="AB568" s="344">
        <v>0</v>
      </c>
      <c r="AC568" s="344">
        <v>0</v>
      </c>
      <c r="AD568" s="344">
        <v>0</v>
      </c>
      <c r="AE568" s="344">
        <v>25380.12</v>
      </c>
      <c r="AF568" s="344">
        <v>0</v>
      </c>
      <c r="AG568" s="344" t="s">
        <v>65</v>
      </c>
      <c r="AH568" s="344" t="s">
        <v>11</v>
      </c>
      <c r="AI568" s="344">
        <v>39269080</v>
      </c>
      <c r="AJ568" s="344" t="s">
        <v>60</v>
      </c>
      <c r="AK568" s="344">
        <v>1</v>
      </c>
      <c r="AL568" s="344">
        <v>0</v>
      </c>
      <c r="AM568" s="344" t="s">
        <v>1905</v>
      </c>
    </row>
    <row r="569" spans="7:39">
      <c r="G569" s="344"/>
      <c r="H569" s="10" t="s">
        <v>3173</v>
      </c>
      <c r="I569" s="344" t="s">
        <v>87</v>
      </c>
      <c r="J569" s="344" t="s">
        <v>91</v>
      </c>
      <c r="K569" s="344" t="s">
        <v>3178</v>
      </c>
      <c r="L569" s="344" t="s">
        <v>98</v>
      </c>
      <c r="M569" s="344" t="s">
        <v>3179</v>
      </c>
      <c r="N569" s="344" t="s">
        <v>3173</v>
      </c>
      <c r="O569" s="344" t="s">
        <v>13</v>
      </c>
      <c r="P569" s="344" t="s">
        <v>80</v>
      </c>
      <c r="Q569" s="344" t="s">
        <v>81</v>
      </c>
      <c r="R569" s="344" t="s">
        <v>82</v>
      </c>
      <c r="S569" s="344" t="s">
        <v>17</v>
      </c>
      <c r="T569" s="347">
        <v>150</v>
      </c>
      <c r="U569" s="347">
        <v>27729</v>
      </c>
      <c r="V569" s="344" t="s">
        <v>17</v>
      </c>
      <c r="W569" s="344">
        <v>1522819.68</v>
      </c>
      <c r="X569" s="344">
        <v>9</v>
      </c>
      <c r="Y569" s="344">
        <v>2495.61</v>
      </c>
      <c r="Z569" s="344">
        <v>9</v>
      </c>
      <c r="AA569" s="344">
        <v>2495.61</v>
      </c>
      <c r="AB569" s="344">
        <v>0</v>
      </c>
      <c r="AC569" s="344">
        <v>0</v>
      </c>
      <c r="AD569" s="344">
        <v>0</v>
      </c>
      <c r="AE569" s="344">
        <v>4991.22</v>
      </c>
      <c r="AF569" s="344">
        <v>0</v>
      </c>
      <c r="AG569" s="344" t="s">
        <v>65</v>
      </c>
      <c r="AH569" s="344" t="s">
        <v>11</v>
      </c>
      <c r="AI569" s="344">
        <v>39200000</v>
      </c>
      <c r="AJ569" s="344" t="s">
        <v>60</v>
      </c>
      <c r="AK569" s="344">
        <v>1</v>
      </c>
      <c r="AL569" s="344">
        <v>0</v>
      </c>
      <c r="AM569" s="344" t="s">
        <v>1905</v>
      </c>
    </row>
    <row r="570" spans="7:39">
      <c r="G570" s="344"/>
      <c r="H570" s="10" t="s">
        <v>3173</v>
      </c>
      <c r="I570" s="344" t="s">
        <v>87</v>
      </c>
      <c r="J570" s="344" t="s">
        <v>91</v>
      </c>
      <c r="K570" s="344" t="s">
        <v>3178</v>
      </c>
      <c r="L570" s="344" t="s">
        <v>98</v>
      </c>
      <c r="M570" s="344" t="s">
        <v>3179</v>
      </c>
      <c r="N570" s="344" t="s">
        <v>3173</v>
      </c>
      <c r="O570" s="344" t="s">
        <v>13</v>
      </c>
      <c r="P570" s="344" t="s">
        <v>80</v>
      </c>
      <c r="Q570" s="344" t="s">
        <v>81</v>
      </c>
      <c r="R570" s="344" t="s">
        <v>82</v>
      </c>
      <c r="S570" s="344" t="s">
        <v>17</v>
      </c>
      <c r="T570" s="347">
        <v>5140.3999999999996</v>
      </c>
      <c r="U570" s="347">
        <v>909131.14</v>
      </c>
      <c r="V570" s="344" t="s">
        <v>17</v>
      </c>
      <c r="W570" s="344">
        <v>0</v>
      </c>
      <c r="X570" s="344">
        <v>9</v>
      </c>
      <c r="Y570" s="344">
        <v>81821.8</v>
      </c>
      <c r="Z570" s="344">
        <v>9</v>
      </c>
      <c r="AA570" s="344">
        <v>81821.8</v>
      </c>
      <c r="AB570" s="344">
        <v>0</v>
      </c>
      <c r="AC570" s="344">
        <v>0</v>
      </c>
      <c r="AD570" s="344">
        <v>0</v>
      </c>
      <c r="AE570" s="344">
        <v>163643.6</v>
      </c>
      <c r="AF570" s="344">
        <v>0</v>
      </c>
      <c r="AG570" s="344" t="s">
        <v>65</v>
      </c>
      <c r="AH570" s="344" t="s">
        <v>11</v>
      </c>
      <c r="AI570" s="344">
        <v>39200000</v>
      </c>
      <c r="AJ570" s="344" t="s">
        <v>60</v>
      </c>
      <c r="AK570" s="344">
        <v>1</v>
      </c>
      <c r="AL570" s="344">
        <v>0</v>
      </c>
      <c r="AM570" s="344" t="s">
        <v>1905</v>
      </c>
    </row>
    <row r="571" spans="7:39">
      <c r="G571" s="344"/>
      <c r="H571" s="10" t="s">
        <v>3173</v>
      </c>
      <c r="I571" s="344" t="s">
        <v>87</v>
      </c>
      <c r="J571" s="344" t="s">
        <v>91</v>
      </c>
      <c r="K571" s="344" t="s">
        <v>3178</v>
      </c>
      <c r="L571" s="344" t="s">
        <v>98</v>
      </c>
      <c r="M571" s="344" t="s">
        <v>3179</v>
      </c>
      <c r="N571" s="344" t="s">
        <v>3173</v>
      </c>
      <c r="O571" s="344" t="s">
        <v>8</v>
      </c>
      <c r="P571" s="344" t="s">
        <v>625</v>
      </c>
      <c r="Q571" s="344" t="s">
        <v>625</v>
      </c>
      <c r="R571" s="344" t="s">
        <v>4</v>
      </c>
      <c r="S571" s="344" t="s">
        <v>743</v>
      </c>
      <c r="T571" s="347">
        <v>9600</v>
      </c>
      <c r="U571" s="347">
        <v>38024.639999999999</v>
      </c>
      <c r="V571" s="344" t="s">
        <v>743</v>
      </c>
      <c r="W571" s="344">
        <v>0</v>
      </c>
      <c r="X571" s="344">
        <v>9</v>
      </c>
      <c r="Y571" s="344">
        <v>3422.22</v>
      </c>
      <c r="Z571" s="344">
        <v>9</v>
      </c>
      <c r="AA571" s="344">
        <v>3422.22</v>
      </c>
      <c r="AB571" s="344">
        <v>0</v>
      </c>
      <c r="AC571" s="344">
        <v>0</v>
      </c>
      <c r="AD571" s="344">
        <v>0</v>
      </c>
      <c r="AE571" s="344">
        <v>6844.44</v>
      </c>
      <c r="AF571" s="344">
        <v>0</v>
      </c>
      <c r="AG571" s="344" t="s">
        <v>65</v>
      </c>
      <c r="AH571" s="344" t="s">
        <v>1</v>
      </c>
      <c r="AI571" s="344">
        <v>39232100</v>
      </c>
      <c r="AJ571" s="344" t="s">
        <v>60</v>
      </c>
      <c r="AK571" s="344">
        <v>1</v>
      </c>
      <c r="AL571" s="344">
        <v>215</v>
      </c>
      <c r="AM571" s="344" t="s">
        <v>1905</v>
      </c>
    </row>
    <row r="572" spans="7:39">
      <c r="G572" s="344"/>
      <c r="H572" s="10" t="s">
        <v>3173</v>
      </c>
      <c r="I572" s="344" t="s">
        <v>87</v>
      </c>
      <c r="J572" s="344" t="s">
        <v>91</v>
      </c>
      <c r="K572" s="344" t="s">
        <v>3178</v>
      </c>
      <c r="L572" s="344" t="s">
        <v>98</v>
      </c>
      <c r="M572" s="344" t="s">
        <v>3179</v>
      </c>
      <c r="N572" s="344" t="s">
        <v>3173</v>
      </c>
      <c r="O572" s="344" t="s">
        <v>13</v>
      </c>
      <c r="P572" s="344" t="s">
        <v>24</v>
      </c>
      <c r="Q572" s="344" t="s">
        <v>79</v>
      </c>
      <c r="R572" s="344" t="s">
        <v>79</v>
      </c>
      <c r="S572" s="344" t="s">
        <v>24</v>
      </c>
      <c r="T572" s="344">
        <v>30.9</v>
      </c>
      <c r="U572" s="347">
        <v>5201.09</v>
      </c>
      <c r="V572" s="344" t="s">
        <v>24</v>
      </c>
      <c r="W572" s="344">
        <v>0</v>
      </c>
      <c r="X572" s="344">
        <v>9</v>
      </c>
      <c r="Y572" s="344">
        <v>468.1</v>
      </c>
      <c r="Z572" s="344">
        <v>9</v>
      </c>
      <c r="AA572" s="344">
        <v>468.1</v>
      </c>
      <c r="AB572" s="344">
        <v>0</v>
      </c>
      <c r="AC572" s="344">
        <v>0</v>
      </c>
      <c r="AD572" s="344">
        <v>0</v>
      </c>
      <c r="AE572" s="344">
        <v>936.2</v>
      </c>
      <c r="AF572" s="344">
        <v>0</v>
      </c>
      <c r="AG572" s="344" t="s">
        <v>65</v>
      </c>
      <c r="AH572" s="344" t="s">
        <v>11</v>
      </c>
      <c r="AI572" s="344">
        <v>3926908</v>
      </c>
      <c r="AJ572" s="344" t="s">
        <v>60</v>
      </c>
      <c r="AK572" s="344">
        <v>1</v>
      </c>
      <c r="AL572" s="344">
        <v>0</v>
      </c>
      <c r="AM572" s="344" t="s">
        <v>1905</v>
      </c>
    </row>
    <row r="573" spans="7:39">
      <c r="G573" s="344"/>
      <c r="H573" s="10" t="s">
        <v>3173</v>
      </c>
      <c r="I573" s="344" t="s">
        <v>87</v>
      </c>
      <c r="J573" s="344" t="s">
        <v>91</v>
      </c>
      <c r="K573" s="344" t="s">
        <v>3178</v>
      </c>
      <c r="L573" s="344" t="s">
        <v>98</v>
      </c>
      <c r="M573" s="344" t="s">
        <v>3179</v>
      </c>
      <c r="N573" s="344" t="s">
        <v>3173</v>
      </c>
      <c r="O573" s="344" t="s">
        <v>13</v>
      </c>
      <c r="P573" s="344" t="s">
        <v>24</v>
      </c>
      <c r="Q573" s="344" t="s">
        <v>79</v>
      </c>
      <c r="R573" s="344" t="s">
        <v>79</v>
      </c>
      <c r="S573" s="344" t="s">
        <v>24</v>
      </c>
      <c r="T573" s="344">
        <v>954</v>
      </c>
      <c r="U573" s="347">
        <v>137681.28</v>
      </c>
      <c r="V573" s="344" t="s">
        <v>24</v>
      </c>
      <c r="W573" s="344">
        <v>0</v>
      </c>
      <c r="X573" s="344">
        <v>9</v>
      </c>
      <c r="Y573" s="344">
        <v>12391.32</v>
      </c>
      <c r="Z573" s="344">
        <v>9</v>
      </c>
      <c r="AA573" s="344">
        <v>12391.32</v>
      </c>
      <c r="AB573" s="344">
        <v>0</v>
      </c>
      <c r="AC573" s="344">
        <v>0</v>
      </c>
      <c r="AD573" s="344">
        <v>0</v>
      </c>
      <c r="AE573" s="344">
        <v>24782.639999999999</v>
      </c>
      <c r="AF573" s="344">
        <v>0</v>
      </c>
      <c r="AG573" s="344" t="s">
        <v>65</v>
      </c>
      <c r="AH573" s="344" t="s">
        <v>11</v>
      </c>
      <c r="AI573" s="344">
        <v>3926908</v>
      </c>
      <c r="AJ573" s="344" t="s">
        <v>60</v>
      </c>
      <c r="AK573" s="344">
        <v>1</v>
      </c>
      <c r="AL573" s="344">
        <v>0</v>
      </c>
      <c r="AM573" s="344" t="s">
        <v>1905</v>
      </c>
    </row>
    <row r="574" spans="7:39">
      <c r="G574" s="344"/>
      <c r="H574" s="10" t="s">
        <v>3173</v>
      </c>
      <c r="I574" s="344" t="s">
        <v>87</v>
      </c>
      <c r="J574" s="344" t="s">
        <v>91</v>
      </c>
      <c r="K574" s="344" t="s">
        <v>3178</v>
      </c>
      <c r="L574" s="344" t="s">
        <v>98</v>
      </c>
      <c r="M574" s="344" t="s">
        <v>3179</v>
      </c>
      <c r="N574" s="344" t="s">
        <v>3173</v>
      </c>
      <c r="O574" s="344" t="s">
        <v>13</v>
      </c>
      <c r="P574" s="344" t="s">
        <v>24</v>
      </c>
      <c r="Q574" s="344" t="s">
        <v>79</v>
      </c>
      <c r="R574" s="344" t="s">
        <v>79</v>
      </c>
      <c r="S574" s="344" t="s">
        <v>24</v>
      </c>
      <c r="T574" s="347">
        <v>1180.0999999999999</v>
      </c>
      <c r="U574" s="347">
        <v>173852.33</v>
      </c>
      <c r="V574" s="344" t="s">
        <v>24</v>
      </c>
      <c r="W574" s="344">
        <v>0</v>
      </c>
      <c r="X574" s="344">
        <v>9</v>
      </c>
      <c r="Y574" s="344">
        <v>15646.71</v>
      </c>
      <c r="Z574" s="344">
        <v>9</v>
      </c>
      <c r="AA574" s="344">
        <v>15646.71</v>
      </c>
      <c r="AB574" s="344">
        <v>0</v>
      </c>
      <c r="AC574" s="344">
        <v>0</v>
      </c>
      <c r="AD574" s="344">
        <v>0</v>
      </c>
      <c r="AE574" s="344">
        <v>31293.42</v>
      </c>
      <c r="AF574" s="344">
        <v>0</v>
      </c>
      <c r="AG574" s="344" t="s">
        <v>65</v>
      </c>
      <c r="AH574" s="344" t="s">
        <v>11</v>
      </c>
      <c r="AI574" s="344">
        <v>3926908</v>
      </c>
      <c r="AJ574" s="344" t="s">
        <v>60</v>
      </c>
      <c r="AK574" s="344">
        <v>1</v>
      </c>
      <c r="AL574" s="344">
        <v>0</v>
      </c>
      <c r="AM574" s="344" t="s">
        <v>1905</v>
      </c>
    </row>
    <row r="575" spans="7:39">
      <c r="G575" s="344"/>
      <c r="H575" s="10" t="s">
        <v>3173</v>
      </c>
      <c r="I575" s="344" t="s">
        <v>87</v>
      </c>
      <c r="J575" s="344" t="s">
        <v>91</v>
      </c>
      <c r="K575" s="344" t="s">
        <v>3180</v>
      </c>
      <c r="L575" s="344" t="s">
        <v>98</v>
      </c>
      <c r="M575" s="344" t="s">
        <v>3181</v>
      </c>
      <c r="N575" s="344" t="s">
        <v>3173</v>
      </c>
      <c r="O575" s="344" t="s">
        <v>13</v>
      </c>
      <c r="P575" s="344" t="s">
        <v>62</v>
      </c>
      <c r="Q575" s="344" t="s">
        <v>63</v>
      </c>
      <c r="R575" s="344" t="s">
        <v>64</v>
      </c>
      <c r="S575" s="344" t="s">
        <v>19</v>
      </c>
      <c r="T575" s="347">
        <v>1549</v>
      </c>
      <c r="U575" s="347">
        <v>220453.68</v>
      </c>
      <c r="V575" s="344" t="s">
        <v>19</v>
      </c>
      <c r="W575" s="344">
        <v>259914.89</v>
      </c>
      <c r="X575" s="344">
        <v>9</v>
      </c>
      <c r="Y575" s="344">
        <v>19840.830000000002</v>
      </c>
      <c r="Z575" s="344">
        <v>9</v>
      </c>
      <c r="AA575" s="344">
        <v>19840.830000000002</v>
      </c>
      <c r="AB575" s="344">
        <v>0</v>
      </c>
      <c r="AC575" s="344">
        <v>0</v>
      </c>
      <c r="AD575" s="344">
        <v>0</v>
      </c>
      <c r="AE575" s="344">
        <v>39681.660000000003</v>
      </c>
      <c r="AF575" s="344">
        <v>0</v>
      </c>
      <c r="AG575" s="344" t="s">
        <v>65</v>
      </c>
      <c r="AH575" s="344" t="s">
        <v>11</v>
      </c>
      <c r="AI575" s="344">
        <v>39269080</v>
      </c>
      <c r="AJ575" s="344" t="s">
        <v>60</v>
      </c>
      <c r="AK575" s="344">
        <v>1</v>
      </c>
      <c r="AL575" s="344">
        <v>0</v>
      </c>
      <c r="AM575" s="344" t="s">
        <v>1905</v>
      </c>
    </row>
    <row r="576" spans="7:39">
      <c r="G576" s="344"/>
      <c r="H576" s="10" t="s">
        <v>3182</v>
      </c>
      <c r="I576" s="344" t="s">
        <v>87</v>
      </c>
      <c r="J576" s="344" t="s">
        <v>96</v>
      </c>
      <c r="K576" s="344" t="s">
        <v>3183</v>
      </c>
      <c r="L576" s="344" t="s">
        <v>97</v>
      </c>
      <c r="M576" s="344" t="s">
        <v>3184</v>
      </c>
      <c r="N576" s="344" t="s">
        <v>3182</v>
      </c>
      <c r="O576" s="344" t="s">
        <v>2</v>
      </c>
      <c r="P576" s="344" t="s">
        <v>67</v>
      </c>
      <c r="Q576" s="344" t="s">
        <v>68</v>
      </c>
      <c r="R576" s="344" t="s">
        <v>69</v>
      </c>
      <c r="S576" s="344" t="s">
        <v>70</v>
      </c>
      <c r="T576" s="347">
        <v>310</v>
      </c>
      <c r="U576" s="347">
        <v>14880</v>
      </c>
      <c r="V576" s="344" t="s">
        <v>70</v>
      </c>
      <c r="W576" s="344">
        <v>17543.52</v>
      </c>
      <c r="X576" s="344">
        <v>9</v>
      </c>
      <c r="Y576" s="344">
        <v>1339.2</v>
      </c>
      <c r="Z576" s="344">
        <v>9</v>
      </c>
      <c r="AA576" s="344">
        <v>1339.2</v>
      </c>
      <c r="AB576" s="344">
        <v>0</v>
      </c>
      <c r="AC576" s="344">
        <v>0</v>
      </c>
      <c r="AD576" s="344">
        <v>0</v>
      </c>
      <c r="AE576" s="344">
        <v>2678.4</v>
      </c>
      <c r="AF576" s="344">
        <v>0</v>
      </c>
      <c r="AG576" s="344" t="s">
        <v>65</v>
      </c>
      <c r="AH576" s="344" t="s">
        <v>11</v>
      </c>
      <c r="AI576" s="344">
        <v>73063090</v>
      </c>
      <c r="AJ576" s="344" t="s">
        <v>60</v>
      </c>
      <c r="AK576" s="344">
        <v>1</v>
      </c>
      <c r="AL576" s="344">
        <v>0</v>
      </c>
      <c r="AM576" s="344" t="s">
        <v>1905</v>
      </c>
    </row>
    <row r="577" spans="7:39">
      <c r="G577" s="344"/>
      <c r="H577" s="10" t="s">
        <v>3182</v>
      </c>
      <c r="I577" s="344" t="s">
        <v>87</v>
      </c>
      <c r="J577" s="344" t="s">
        <v>91</v>
      </c>
      <c r="K577" s="344" t="s">
        <v>3185</v>
      </c>
      <c r="L577" s="344" t="s">
        <v>98</v>
      </c>
      <c r="M577" s="344" t="s">
        <v>3186</v>
      </c>
      <c r="N577" s="344" t="s">
        <v>3182</v>
      </c>
      <c r="O577" s="344" t="s">
        <v>13</v>
      </c>
      <c r="P577" s="344" t="s">
        <v>62</v>
      </c>
      <c r="Q577" s="344" t="s">
        <v>63</v>
      </c>
      <c r="R577" s="344" t="s">
        <v>64</v>
      </c>
      <c r="S577" s="344" t="s">
        <v>19</v>
      </c>
      <c r="T577" s="347">
        <v>999</v>
      </c>
      <c r="U577" s="344">
        <v>144175.67999999999</v>
      </c>
      <c r="V577" s="344" t="s">
        <v>19</v>
      </c>
      <c r="W577" s="344">
        <v>2023734.66</v>
      </c>
      <c r="X577" s="344">
        <v>9</v>
      </c>
      <c r="Y577" s="344">
        <v>12975.81</v>
      </c>
      <c r="Z577" s="344">
        <v>9</v>
      </c>
      <c r="AA577" s="344">
        <v>12975.81</v>
      </c>
      <c r="AB577" s="344">
        <v>0</v>
      </c>
      <c r="AC577" s="344">
        <v>0</v>
      </c>
      <c r="AD577" s="344">
        <v>0</v>
      </c>
      <c r="AE577" s="344">
        <v>25951.62</v>
      </c>
      <c r="AF577" s="344">
        <v>0</v>
      </c>
      <c r="AG577" s="344" t="s">
        <v>65</v>
      </c>
      <c r="AH577" s="344" t="s">
        <v>11</v>
      </c>
      <c r="AI577" s="344">
        <v>39269080</v>
      </c>
      <c r="AJ577" s="344" t="s">
        <v>60</v>
      </c>
      <c r="AK577" s="344">
        <v>1</v>
      </c>
      <c r="AL577" s="344">
        <v>0</v>
      </c>
      <c r="AM577" s="344" t="s">
        <v>1905</v>
      </c>
    </row>
    <row r="578" spans="7:39">
      <c r="G578" s="344"/>
      <c r="H578" s="10" t="s">
        <v>3182</v>
      </c>
      <c r="I578" s="344" t="s">
        <v>87</v>
      </c>
      <c r="J578" s="344" t="s">
        <v>91</v>
      </c>
      <c r="K578" s="344" t="s">
        <v>3185</v>
      </c>
      <c r="L578" s="344" t="s">
        <v>98</v>
      </c>
      <c r="M578" s="344" t="s">
        <v>3186</v>
      </c>
      <c r="N578" s="344" t="s">
        <v>3182</v>
      </c>
      <c r="O578" s="344" t="s">
        <v>13</v>
      </c>
      <c r="P578" s="344" t="s">
        <v>62</v>
      </c>
      <c r="Q578" s="344" t="s">
        <v>63</v>
      </c>
      <c r="R578" s="344" t="s">
        <v>64</v>
      </c>
      <c r="S578" s="344" t="s">
        <v>19</v>
      </c>
      <c r="T578" s="347">
        <v>1593</v>
      </c>
      <c r="U578" s="344">
        <v>231494.76</v>
      </c>
      <c r="V578" s="344" t="s">
        <v>19</v>
      </c>
      <c r="W578" s="344">
        <v>0</v>
      </c>
      <c r="X578" s="344">
        <v>9</v>
      </c>
      <c r="Y578" s="344">
        <v>20834.53</v>
      </c>
      <c r="Z578" s="344">
        <v>9</v>
      </c>
      <c r="AA578" s="344">
        <v>20834.53</v>
      </c>
      <c r="AB578" s="344">
        <v>0</v>
      </c>
      <c r="AC578" s="344">
        <v>0</v>
      </c>
      <c r="AD578" s="344">
        <v>0</v>
      </c>
      <c r="AE578" s="344">
        <v>41669.06</v>
      </c>
      <c r="AF578" s="344">
        <v>0</v>
      </c>
      <c r="AG578" s="344" t="s">
        <v>65</v>
      </c>
      <c r="AH578" s="344" t="s">
        <v>11</v>
      </c>
      <c r="AI578" s="344">
        <v>39269080</v>
      </c>
      <c r="AJ578" s="344" t="s">
        <v>60</v>
      </c>
      <c r="AK578" s="344">
        <v>1</v>
      </c>
      <c r="AL578" s="344">
        <v>0</v>
      </c>
      <c r="AM578" s="344" t="s">
        <v>1905</v>
      </c>
    </row>
    <row r="579" spans="7:39">
      <c r="G579" s="344"/>
      <c r="H579" s="10" t="s">
        <v>3182</v>
      </c>
      <c r="I579" s="344" t="s">
        <v>87</v>
      </c>
      <c r="J579" s="344" t="s">
        <v>91</v>
      </c>
      <c r="K579" s="344" t="s">
        <v>3185</v>
      </c>
      <c r="L579" s="344" t="s">
        <v>98</v>
      </c>
      <c r="M579" s="344" t="s">
        <v>3186</v>
      </c>
      <c r="N579" s="344" t="s">
        <v>3182</v>
      </c>
      <c r="O579" s="344" t="s">
        <v>13</v>
      </c>
      <c r="P579" s="344" t="s">
        <v>62</v>
      </c>
      <c r="Q579" s="344" t="s">
        <v>63</v>
      </c>
      <c r="R579" s="344" t="s">
        <v>64</v>
      </c>
      <c r="S579" s="344" t="s">
        <v>19</v>
      </c>
      <c r="T579" s="347">
        <v>7188</v>
      </c>
      <c r="U579" s="344">
        <v>1022996.16</v>
      </c>
      <c r="V579" s="344" t="s">
        <v>19</v>
      </c>
      <c r="W579" s="344">
        <v>0</v>
      </c>
      <c r="X579" s="344">
        <v>9</v>
      </c>
      <c r="Y579" s="344">
        <v>92069.65</v>
      </c>
      <c r="Z579" s="344">
        <v>9</v>
      </c>
      <c r="AA579" s="344">
        <v>92069.65</v>
      </c>
      <c r="AB579" s="344">
        <v>0</v>
      </c>
      <c r="AC579" s="344">
        <v>0</v>
      </c>
      <c r="AD579" s="344">
        <v>0</v>
      </c>
      <c r="AE579" s="344">
        <v>184139.3</v>
      </c>
      <c r="AF579" s="344">
        <v>0</v>
      </c>
      <c r="AG579" s="344" t="s">
        <v>65</v>
      </c>
      <c r="AH579" s="344" t="s">
        <v>11</v>
      </c>
      <c r="AI579" s="344">
        <v>39269080</v>
      </c>
      <c r="AJ579" s="344" t="s">
        <v>60</v>
      </c>
      <c r="AK579" s="344">
        <v>1</v>
      </c>
      <c r="AL579" s="344">
        <v>0</v>
      </c>
      <c r="AM579" s="344" t="s">
        <v>1905</v>
      </c>
    </row>
    <row r="580" spans="7:39">
      <c r="G580" s="344"/>
      <c r="H580" s="10" t="s">
        <v>3182</v>
      </c>
      <c r="I580" s="344" t="s">
        <v>87</v>
      </c>
      <c r="J580" s="344" t="s">
        <v>91</v>
      </c>
      <c r="K580" s="344" t="s">
        <v>3185</v>
      </c>
      <c r="L580" s="344" t="s">
        <v>98</v>
      </c>
      <c r="M580" s="344" t="s">
        <v>3186</v>
      </c>
      <c r="N580" s="344" t="s">
        <v>3182</v>
      </c>
      <c r="O580" s="344" t="s">
        <v>13</v>
      </c>
      <c r="P580" s="344" t="s">
        <v>80</v>
      </c>
      <c r="Q580" s="344" t="s">
        <v>81</v>
      </c>
      <c r="R580" s="344" t="s">
        <v>82</v>
      </c>
      <c r="S580" s="344" t="s">
        <v>17</v>
      </c>
      <c r="T580" s="347">
        <v>1797</v>
      </c>
      <c r="U580" s="344">
        <v>317817.42</v>
      </c>
      <c r="V580" s="344" t="s">
        <v>17</v>
      </c>
      <c r="W580" s="344">
        <v>0</v>
      </c>
      <c r="X580" s="344">
        <v>9</v>
      </c>
      <c r="Y580" s="344">
        <v>28603.57</v>
      </c>
      <c r="Z580" s="344">
        <v>9</v>
      </c>
      <c r="AA580" s="344">
        <v>28603.57</v>
      </c>
      <c r="AB580" s="344">
        <v>0</v>
      </c>
      <c r="AC580" s="344">
        <v>0</v>
      </c>
      <c r="AD580" s="344">
        <v>0</v>
      </c>
      <c r="AE580" s="344">
        <v>57207.14</v>
      </c>
      <c r="AF580" s="344">
        <v>0</v>
      </c>
      <c r="AG580" s="344" t="s">
        <v>65</v>
      </c>
      <c r="AH580" s="344" t="s">
        <v>11</v>
      </c>
      <c r="AI580" s="344">
        <v>39200000</v>
      </c>
      <c r="AJ580" s="344" t="s">
        <v>60</v>
      </c>
      <c r="AK580" s="344">
        <v>1</v>
      </c>
      <c r="AL580" s="344">
        <v>0</v>
      </c>
      <c r="AM580" s="344" t="s">
        <v>1905</v>
      </c>
    </row>
    <row r="581" spans="7:39">
      <c r="G581" s="344"/>
      <c r="H581" s="10" t="s">
        <v>3182</v>
      </c>
      <c r="I581" s="344" t="s">
        <v>87</v>
      </c>
      <c r="J581" s="344" t="s">
        <v>91</v>
      </c>
      <c r="K581" s="344" t="s">
        <v>3187</v>
      </c>
      <c r="L581" s="344" t="s">
        <v>98</v>
      </c>
      <c r="M581" s="344" t="s">
        <v>3188</v>
      </c>
      <c r="N581" s="390" t="s">
        <v>3182</v>
      </c>
      <c r="O581" s="344" t="s">
        <v>13</v>
      </c>
      <c r="P581" s="344" t="s">
        <v>80</v>
      </c>
      <c r="Q581" s="344" t="s">
        <v>81</v>
      </c>
      <c r="R581" s="344" t="s">
        <v>82</v>
      </c>
      <c r="S581" s="344" t="s">
        <v>17</v>
      </c>
      <c r="T581" s="347">
        <v>3483</v>
      </c>
      <c r="U581" s="347">
        <v>616003.38</v>
      </c>
      <c r="V581" s="344" t="s">
        <v>17</v>
      </c>
      <c r="W581" s="344">
        <v>1182589.3500000001</v>
      </c>
      <c r="X581" s="344">
        <v>9</v>
      </c>
      <c r="Y581" s="344">
        <v>55440.3</v>
      </c>
      <c r="Z581" s="344">
        <v>9</v>
      </c>
      <c r="AA581" s="344">
        <v>55440.3</v>
      </c>
      <c r="AB581" s="344">
        <v>0</v>
      </c>
      <c r="AC581" s="344">
        <v>0</v>
      </c>
      <c r="AD581" s="344">
        <v>0</v>
      </c>
      <c r="AE581" s="344">
        <v>110880.6</v>
      </c>
      <c r="AF581" s="344">
        <v>0</v>
      </c>
      <c r="AG581" s="344" t="s">
        <v>65</v>
      </c>
      <c r="AH581" s="344" t="s">
        <v>11</v>
      </c>
      <c r="AI581" s="344">
        <v>39200000</v>
      </c>
      <c r="AJ581" s="344" t="s">
        <v>60</v>
      </c>
      <c r="AK581" s="344">
        <v>1</v>
      </c>
      <c r="AL581" s="344">
        <v>3483</v>
      </c>
      <c r="AM581" s="344" t="s">
        <v>1905</v>
      </c>
    </row>
    <row r="582" spans="7:39">
      <c r="G582" s="344"/>
      <c r="H582" s="10" t="s">
        <v>3182</v>
      </c>
      <c r="I582" s="344" t="s">
        <v>87</v>
      </c>
      <c r="J582" s="344" t="s">
        <v>91</v>
      </c>
      <c r="K582" s="344" t="s">
        <v>3187</v>
      </c>
      <c r="L582" s="344" t="s">
        <v>98</v>
      </c>
      <c r="M582" s="344" t="s">
        <v>3188</v>
      </c>
      <c r="N582" s="344" t="s">
        <v>3182</v>
      </c>
      <c r="O582" s="344" t="s">
        <v>8</v>
      </c>
      <c r="P582" s="344" t="s">
        <v>625</v>
      </c>
      <c r="Q582" s="344" t="s">
        <v>625</v>
      </c>
      <c r="R582" s="344" t="s">
        <v>69</v>
      </c>
      <c r="S582" s="344" t="s">
        <v>743</v>
      </c>
      <c r="T582" s="347">
        <v>22800</v>
      </c>
      <c r="U582" s="347">
        <v>80470.320000000007</v>
      </c>
      <c r="V582" s="344" t="s">
        <v>743</v>
      </c>
      <c r="W582" s="344">
        <v>0</v>
      </c>
      <c r="X582" s="344">
        <v>9</v>
      </c>
      <c r="Y582" s="344">
        <v>7242.33</v>
      </c>
      <c r="Z582" s="344">
        <v>9</v>
      </c>
      <c r="AA582" s="344">
        <v>7242.33</v>
      </c>
      <c r="AB582" s="344">
        <v>0</v>
      </c>
      <c r="AC582" s="344">
        <v>0</v>
      </c>
      <c r="AD582" s="344">
        <v>0</v>
      </c>
      <c r="AE582" s="344">
        <v>14484.66</v>
      </c>
      <c r="AF582" s="344">
        <v>0</v>
      </c>
      <c r="AG582" s="344" t="s">
        <v>65</v>
      </c>
      <c r="AH582" s="344" t="s">
        <v>1</v>
      </c>
      <c r="AI582" s="344">
        <v>39232100</v>
      </c>
      <c r="AJ582" s="344" t="s">
        <v>60</v>
      </c>
      <c r="AK582" s="344">
        <v>1</v>
      </c>
      <c r="AL582" s="344">
        <v>22800</v>
      </c>
      <c r="AM582" s="344" t="s">
        <v>1905</v>
      </c>
    </row>
    <row r="583" spans="7:39">
      <c r="G583" s="344"/>
      <c r="H583" s="10" t="s">
        <v>3182</v>
      </c>
      <c r="I583" s="344" t="s">
        <v>87</v>
      </c>
      <c r="J583" s="344" t="s">
        <v>91</v>
      </c>
      <c r="K583" s="344" t="s">
        <v>3187</v>
      </c>
      <c r="L583" s="344" t="s">
        <v>98</v>
      </c>
      <c r="M583" s="344" t="s">
        <v>3188</v>
      </c>
      <c r="N583" s="344" t="s">
        <v>3182</v>
      </c>
      <c r="O583" s="344" t="s">
        <v>13</v>
      </c>
      <c r="P583" s="344" t="s">
        <v>24</v>
      </c>
      <c r="Q583" s="344" t="s">
        <v>79</v>
      </c>
      <c r="R583" s="8" t="s">
        <v>79</v>
      </c>
      <c r="S583" s="344" t="s">
        <v>24</v>
      </c>
      <c r="T583" s="347">
        <v>1104.3</v>
      </c>
      <c r="U583" s="347">
        <v>159372.57999999999</v>
      </c>
      <c r="V583" s="344" t="s">
        <v>24</v>
      </c>
      <c r="W583" s="344">
        <v>0</v>
      </c>
      <c r="X583" s="344">
        <v>9</v>
      </c>
      <c r="Y583" s="344">
        <v>14343.53</v>
      </c>
      <c r="Z583" s="344">
        <v>9</v>
      </c>
      <c r="AA583" s="344">
        <v>14343.53</v>
      </c>
      <c r="AB583" s="344">
        <v>0</v>
      </c>
      <c r="AC583" s="344">
        <v>0</v>
      </c>
      <c r="AD583" s="344">
        <v>0</v>
      </c>
      <c r="AE583" s="344">
        <v>28687.06</v>
      </c>
      <c r="AF583" s="344">
        <v>0</v>
      </c>
      <c r="AG583" s="344" t="s">
        <v>65</v>
      </c>
      <c r="AH583" s="344" t="s">
        <v>11</v>
      </c>
      <c r="AI583" s="344">
        <v>3926908</v>
      </c>
      <c r="AJ583" s="344" t="s">
        <v>60</v>
      </c>
      <c r="AK583" s="344">
        <v>1</v>
      </c>
      <c r="AL583" s="344">
        <v>1104.3</v>
      </c>
      <c r="AM583" s="344" t="s">
        <v>1905</v>
      </c>
    </row>
    <row r="584" spans="7:39">
      <c r="G584" s="344"/>
      <c r="H584" s="10" t="s">
        <v>3182</v>
      </c>
      <c r="I584" s="344" t="s">
        <v>87</v>
      </c>
      <c r="J584" s="344" t="s">
        <v>91</v>
      </c>
      <c r="K584" s="344" t="s">
        <v>3187</v>
      </c>
      <c r="L584" s="344" t="s">
        <v>98</v>
      </c>
      <c r="M584" s="344" t="s">
        <v>3188</v>
      </c>
      <c r="N584" s="344" t="s">
        <v>3182</v>
      </c>
      <c r="O584" s="344" t="s">
        <v>13</v>
      </c>
      <c r="P584" s="344" t="s">
        <v>24</v>
      </c>
      <c r="Q584" s="344" t="s">
        <v>79</v>
      </c>
      <c r="R584" s="344" t="s">
        <v>79</v>
      </c>
      <c r="S584" s="344" t="s">
        <v>24</v>
      </c>
      <c r="T584" s="344">
        <v>17.3</v>
      </c>
      <c r="U584" s="347">
        <v>2911.94</v>
      </c>
      <c r="V584" s="344" t="s">
        <v>24</v>
      </c>
      <c r="W584" s="344">
        <v>0</v>
      </c>
      <c r="X584" s="344">
        <v>9</v>
      </c>
      <c r="Y584" s="344">
        <v>262.07</v>
      </c>
      <c r="Z584" s="344">
        <v>9</v>
      </c>
      <c r="AA584" s="344">
        <v>262.07</v>
      </c>
      <c r="AB584" s="344">
        <v>0</v>
      </c>
      <c r="AC584" s="344">
        <v>0</v>
      </c>
      <c r="AD584" s="344">
        <v>0</v>
      </c>
      <c r="AE584" s="344">
        <v>524.14</v>
      </c>
      <c r="AF584" s="344">
        <v>0</v>
      </c>
      <c r="AG584" s="344" t="s">
        <v>65</v>
      </c>
      <c r="AH584" s="344" t="s">
        <v>11</v>
      </c>
      <c r="AI584" s="344">
        <v>3926908</v>
      </c>
      <c r="AJ584" s="344" t="s">
        <v>60</v>
      </c>
      <c r="AK584" s="344">
        <v>1</v>
      </c>
      <c r="AL584" s="344">
        <v>17.3</v>
      </c>
      <c r="AM584" s="344" t="s">
        <v>1905</v>
      </c>
    </row>
    <row r="585" spans="7:39">
      <c r="G585" s="344"/>
      <c r="H585" s="10" t="s">
        <v>3182</v>
      </c>
      <c r="I585" s="344" t="s">
        <v>87</v>
      </c>
      <c r="J585" s="344" t="s">
        <v>91</v>
      </c>
      <c r="K585" s="344" t="s">
        <v>3187</v>
      </c>
      <c r="L585" s="344" t="s">
        <v>98</v>
      </c>
      <c r="M585" s="344" t="s">
        <v>3188</v>
      </c>
      <c r="N585" s="344" t="s">
        <v>3182</v>
      </c>
      <c r="O585" s="344" t="s">
        <v>13</v>
      </c>
      <c r="P585" s="344" t="s">
        <v>24</v>
      </c>
      <c r="Q585" s="344" t="s">
        <v>79</v>
      </c>
      <c r="R585" s="344" t="s">
        <v>79</v>
      </c>
      <c r="S585" s="344" t="s">
        <v>24</v>
      </c>
      <c r="T585" s="344">
        <v>979.4</v>
      </c>
      <c r="U585" s="347">
        <v>144285.21</v>
      </c>
      <c r="V585" s="344" t="s">
        <v>24</v>
      </c>
      <c r="W585" s="344">
        <v>0</v>
      </c>
      <c r="X585" s="344">
        <v>9</v>
      </c>
      <c r="Y585" s="344">
        <v>12985.67</v>
      </c>
      <c r="Z585" s="344">
        <v>9</v>
      </c>
      <c r="AA585" s="344">
        <v>12985.67</v>
      </c>
      <c r="AB585" s="344">
        <v>0</v>
      </c>
      <c r="AC585" s="344">
        <v>0</v>
      </c>
      <c r="AD585" s="344">
        <v>0</v>
      </c>
      <c r="AE585" s="344">
        <v>25971.34</v>
      </c>
      <c r="AF585" s="344">
        <v>0</v>
      </c>
      <c r="AG585" s="344" t="s">
        <v>65</v>
      </c>
      <c r="AH585" s="344" t="s">
        <v>11</v>
      </c>
      <c r="AI585" s="344">
        <v>3926908</v>
      </c>
      <c r="AJ585" s="344" t="s">
        <v>60</v>
      </c>
      <c r="AK585" s="344">
        <v>1</v>
      </c>
      <c r="AL585" s="344">
        <v>979.4</v>
      </c>
      <c r="AM585" s="344" t="s">
        <v>1905</v>
      </c>
    </row>
    <row r="586" spans="7:39">
      <c r="G586" s="344"/>
      <c r="H586" s="10" t="s">
        <v>3182</v>
      </c>
      <c r="I586" s="344" t="s">
        <v>94</v>
      </c>
      <c r="J586" s="344" t="s">
        <v>96</v>
      </c>
      <c r="K586" s="344" t="s">
        <v>3189</v>
      </c>
      <c r="L586" s="344" t="s">
        <v>97</v>
      </c>
      <c r="M586" s="344" t="s">
        <v>3190</v>
      </c>
      <c r="N586" s="344" t="s">
        <v>3182</v>
      </c>
      <c r="O586" s="344" t="s">
        <v>2</v>
      </c>
      <c r="P586" s="344" t="s">
        <v>1662</v>
      </c>
      <c r="Q586" s="344" t="s">
        <v>68</v>
      </c>
      <c r="R586" s="344" t="s">
        <v>69</v>
      </c>
      <c r="S586" s="344" t="s">
        <v>3191</v>
      </c>
      <c r="T586" s="344">
        <v>2</v>
      </c>
      <c r="U586" s="344">
        <v>610</v>
      </c>
      <c r="V586" s="344" t="s">
        <v>3191</v>
      </c>
      <c r="W586" s="344">
        <v>5022.54</v>
      </c>
      <c r="X586" s="344">
        <v>9</v>
      </c>
      <c r="Y586" s="344">
        <v>54.9</v>
      </c>
      <c r="Z586" s="344">
        <v>9</v>
      </c>
      <c r="AA586" s="344">
        <v>54.9</v>
      </c>
      <c r="AB586" s="344">
        <v>0</v>
      </c>
      <c r="AC586" s="344">
        <v>0</v>
      </c>
      <c r="AD586" s="344">
        <v>0</v>
      </c>
      <c r="AE586" s="344">
        <v>109.8</v>
      </c>
      <c r="AF586" s="344">
        <v>0</v>
      </c>
      <c r="AG586" s="344" t="s">
        <v>74</v>
      </c>
      <c r="AH586" s="344" t="s">
        <v>1</v>
      </c>
      <c r="AI586" s="344">
        <v>84529099</v>
      </c>
      <c r="AJ586" s="344" t="s">
        <v>60</v>
      </c>
      <c r="AK586" s="344">
        <v>1</v>
      </c>
      <c r="AL586" s="344">
        <v>0</v>
      </c>
      <c r="AM586" s="344" t="s">
        <v>1905</v>
      </c>
    </row>
    <row r="587" spans="7:39">
      <c r="G587" s="344"/>
      <c r="H587" s="10" t="s">
        <v>3182</v>
      </c>
      <c r="I587" s="344" t="s">
        <v>94</v>
      </c>
      <c r="J587" s="344" t="s">
        <v>96</v>
      </c>
      <c r="K587" s="344" t="s">
        <v>3189</v>
      </c>
      <c r="L587" s="344" t="s">
        <v>97</v>
      </c>
      <c r="M587" s="344" t="s">
        <v>3190</v>
      </c>
      <c r="N587" s="344" t="s">
        <v>3182</v>
      </c>
      <c r="O587" s="344" t="s">
        <v>2</v>
      </c>
      <c r="P587" s="344" t="s">
        <v>1662</v>
      </c>
      <c r="Q587" s="344" t="s">
        <v>68</v>
      </c>
      <c r="R587" s="344" t="s">
        <v>69</v>
      </c>
      <c r="S587" s="344" t="s">
        <v>2470</v>
      </c>
      <c r="T587" s="347">
        <v>1</v>
      </c>
      <c r="U587" s="347">
        <v>3650</v>
      </c>
      <c r="V587" s="344" t="s">
        <v>2470</v>
      </c>
      <c r="W587" s="344">
        <v>0</v>
      </c>
      <c r="X587" s="344">
        <v>9</v>
      </c>
      <c r="Y587" s="344">
        <v>328.5</v>
      </c>
      <c r="Z587" s="344">
        <v>9</v>
      </c>
      <c r="AA587" s="344">
        <v>328.5</v>
      </c>
      <c r="AB587" s="344">
        <v>0</v>
      </c>
      <c r="AC587" s="344">
        <v>0</v>
      </c>
      <c r="AD587" s="344">
        <v>0</v>
      </c>
      <c r="AE587" s="344">
        <v>657</v>
      </c>
      <c r="AF587" s="344">
        <v>0</v>
      </c>
      <c r="AG587" s="344" t="s">
        <v>74</v>
      </c>
      <c r="AH587" s="344" t="s">
        <v>1</v>
      </c>
      <c r="AI587" s="344">
        <v>84529099</v>
      </c>
      <c r="AJ587" s="344" t="s">
        <v>60</v>
      </c>
      <c r="AK587" s="344">
        <v>1</v>
      </c>
      <c r="AL587" s="344">
        <v>0</v>
      </c>
      <c r="AM587" s="344" t="s">
        <v>1905</v>
      </c>
    </row>
    <row r="588" spans="7:39">
      <c r="G588" s="344"/>
      <c r="H588" s="10" t="s">
        <v>3192</v>
      </c>
      <c r="I588" s="344" t="s">
        <v>3193</v>
      </c>
      <c r="J588" s="344" t="s">
        <v>96</v>
      </c>
      <c r="K588" s="344" t="s">
        <v>3194</v>
      </c>
      <c r="L588" s="344" t="s">
        <v>97</v>
      </c>
      <c r="M588" s="344" t="s">
        <v>3195</v>
      </c>
      <c r="N588" s="344" t="s">
        <v>3173</v>
      </c>
      <c r="O588" s="344" t="s">
        <v>5</v>
      </c>
      <c r="P588" s="344" t="s">
        <v>3196</v>
      </c>
      <c r="Q588" s="344" t="s">
        <v>68</v>
      </c>
      <c r="R588" s="344" t="s">
        <v>69</v>
      </c>
      <c r="S588" s="344" t="s">
        <v>3197</v>
      </c>
      <c r="T588" s="347">
        <v>20</v>
      </c>
      <c r="U588" s="347">
        <v>4097.4399999999996</v>
      </c>
      <c r="V588" s="344" t="s">
        <v>3197</v>
      </c>
      <c r="W588" s="344">
        <v>8139</v>
      </c>
      <c r="X588" s="344">
        <v>9</v>
      </c>
      <c r="Y588" s="344">
        <v>368.77</v>
      </c>
      <c r="Z588" s="344">
        <v>9</v>
      </c>
      <c r="AA588" s="344">
        <v>368.77</v>
      </c>
      <c r="AB588" s="344">
        <v>0</v>
      </c>
      <c r="AC588" s="344">
        <v>0</v>
      </c>
      <c r="AD588" s="344">
        <v>0</v>
      </c>
      <c r="AE588" s="344">
        <v>737.54</v>
      </c>
      <c r="AF588" s="344">
        <v>0</v>
      </c>
      <c r="AG588" s="344" t="s">
        <v>3198</v>
      </c>
      <c r="AH588" s="344" t="s">
        <v>6</v>
      </c>
      <c r="AI588" s="344">
        <v>32081010</v>
      </c>
      <c r="AJ588" s="344" t="s">
        <v>60</v>
      </c>
      <c r="AK588" s="344">
        <v>1</v>
      </c>
      <c r="AL588" s="344">
        <v>0</v>
      </c>
      <c r="AM588" s="344" t="s">
        <v>1905</v>
      </c>
    </row>
    <row r="589" spans="7:39">
      <c r="G589" s="344"/>
      <c r="H589" s="10" t="s">
        <v>3192</v>
      </c>
      <c r="I589" s="344" t="s">
        <v>3193</v>
      </c>
      <c r="J589" s="344" t="s">
        <v>96</v>
      </c>
      <c r="K589" s="344" t="s">
        <v>3194</v>
      </c>
      <c r="L589" s="344" t="s">
        <v>97</v>
      </c>
      <c r="M589" s="344" t="s">
        <v>3195</v>
      </c>
      <c r="N589" s="344" t="s">
        <v>3173</v>
      </c>
      <c r="O589" s="344" t="s">
        <v>5</v>
      </c>
      <c r="P589" s="344" t="s">
        <v>3196</v>
      </c>
      <c r="Q589" s="344" t="s">
        <v>68</v>
      </c>
      <c r="R589" s="344" t="s">
        <v>69</v>
      </c>
      <c r="S589" s="344" t="s">
        <v>3199</v>
      </c>
      <c r="T589" s="344">
        <v>5</v>
      </c>
      <c r="U589" s="344">
        <v>600</v>
      </c>
      <c r="V589" s="344" t="s">
        <v>3199</v>
      </c>
      <c r="W589" s="344">
        <v>0</v>
      </c>
      <c r="X589" s="344">
        <v>9</v>
      </c>
      <c r="Y589" s="344">
        <v>54</v>
      </c>
      <c r="Z589" s="344">
        <v>9</v>
      </c>
      <c r="AA589" s="344">
        <v>54</v>
      </c>
      <c r="AB589" s="344">
        <v>0</v>
      </c>
      <c r="AC589" s="344">
        <v>0</v>
      </c>
      <c r="AD589" s="344">
        <v>0</v>
      </c>
      <c r="AE589" s="344">
        <v>108</v>
      </c>
      <c r="AF589" s="344">
        <v>0</v>
      </c>
      <c r="AG589" s="344" t="s">
        <v>3198</v>
      </c>
      <c r="AH589" s="344" t="s">
        <v>1</v>
      </c>
      <c r="AI589" s="344">
        <v>9603400</v>
      </c>
      <c r="AJ589" s="344" t="s">
        <v>60</v>
      </c>
      <c r="AK589" s="344">
        <v>1</v>
      </c>
      <c r="AL589" s="344">
        <v>0</v>
      </c>
      <c r="AM589" s="344" t="s">
        <v>1905</v>
      </c>
    </row>
    <row r="590" spans="7:39">
      <c r="G590" s="344"/>
      <c r="H590" s="10" t="s">
        <v>3192</v>
      </c>
      <c r="I590" s="344" t="s">
        <v>3193</v>
      </c>
      <c r="J590" s="344" t="s">
        <v>96</v>
      </c>
      <c r="K590" s="344" t="s">
        <v>3194</v>
      </c>
      <c r="L590" s="344" t="s">
        <v>97</v>
      </c>
      <c r="M590" s="344" t="s">
        <v>3195</v>
      </c>
      <c r="N590" s="344" t="s">
        <v>3173</v>
      </c>
      <c r="O590" s="344" t="s">
        <v>5</v>
      </c>
      <c r="P590" s="344" t="s">
        <v>3196</v>
      </c>
      <c r="Q590" s="344" t="s">
        <v>68</v>
      </c>
      <c r="R590" s="344" t="s">
        <v>69</v>
      </c>
      <c r="S590" s="344" t="s">
        <v>3200</v>
      </c>
      <c r="T590" s="344">
        <v>20</v>
      </c>
      <c r="U590" s="347">
        <v>2200</v>
      </c>
      <c r="V590" s="344" t="s">
        <v>3200</v>
      </c>
      <c r="W590" s="344">
        <v>0</v>
      </c>
      <c r="X590" s="344">
        <v>9</v>
      </c>
      <c r="Y590" s="344">
        <v>198</v>
      </c>
      <c r="Z590" s="344">
        <v>9</v>
      </c>
      <c r="AA590" s="344">
        <v>198</v>
      </c>
      <c r="AB590" s="344">
        <v>0</v>
      </c>
      <c r="AC590" s="344">
        <v>0</v>
      </c>
      <c r="AD590" s="344">
        <v>0</v>
      </c>
      <c r="AE590" s="344">
        <v>396</v>
      </c>
      <c r="AF590" s="344">
        <v>0</v>
      </c>
      <c r="AG590" s="344" t="s">
        <v>3198</v>
      </c>
      <c r="AH590" s="344" t="s">
        <v>6</v>
      </c>
      <c r="AI590" s="344">
        <v>380510</v>
      </c>
      <c r="AJ590" s="344" t="s">
        <v>60</v>
      </c>
      <c r="AK590" s="344">
        <v>1</v>
      </c>
      <c r="AL590" s="344">
        <v>0</v>
      </c>
      <c r="AM590" s="344" t="s">
        <v>1905</v>
      </c>
    </row>
    <row r="591" spans="7:39">
      <c r="G591" s="344"/>
      <c r="H591" s="10" t="s">
        <v>3192</v>
      </c>
      <c r="I591" s="344" t="s">
        <v>2336</v>
      </c>
      <c r="J591" s="344" t="s">
        <v>96</v>
      </c>
      <c r="K591" s="344" t="s">
        <v>3201</v>
      </c>
      <c r="L591" s="344" t="s">
        <v>97</v>
      </c>
      <c r="M591" s="344" t="s">
        <v>3202</v>
      </c>
      <c r="N591" s="344" t="s">
        <v>3096</v>
      </c>
      <c r="O591" s="344" t="s">
        <v>2</v>
      </c>
      <c r="P591" s="344" t="s">
        <v>112</v>
      </c>
      <c r="Q591" s="344" t="s">
        <v>68</v>
      </c>
      <c r="R591" s="344" t="s">
        <v>69</v>
      </c>
      <c r="S591" s="344" t="s">
        <v>3203</v>
      </c>
      <c r="T591" s="347">
        <v>50</v>
      </c>
      <c r="U591" s="347">
        <v>2372.5</v>
      </c>
      <c r="V591" s="344" t="s">
        <v>3203</v>
      </c>
      <c r="W591" s="344">
        <v>3724</v>
      </c>
      <c r="X591" s="344">
        <v>9</v>
      </c>
      <c r="Y591" s="344">
        <v>213.52</v>
      </c>
      <c r="Z591" s="344">
        <v>9</v>
      </c>
      <c r="AA591" s="344">
        <v>213.52</v>
      </c>
      <c r="AB591" s="344">
        <v>0</v>
      </c>
      <c r="AC591" s="344">
        <v>0</v>
      </c>
      <c r="AD591" s="344">
        <v>25.2</v>
      </c>
      <c r="AE591" s="344">
        <v>452.24</v>
      </c>
      <c r="AF591" s="344">
        <v>0</v>
      </c>
      <c r="AG591" s="344" t="s">
        <v>2376</v>
      </c>
      <c r="AH591" s="344" t="s">
        <v>1</v>
      </c>
      <c r="AI591" s="344">
        <v>82041110</v>
      </c>
      <c r="AJ591" s="344" t="s">
        <v>60</v>
      </c>
      <c r="AK591" s="344">
        <v>1</v>
      </c>
      <c r="AL591" s="344">
        <v>0</v>
      </c>
      <c r="AM591" s="344" t="s">
        <v>1905</v>
      </c>
    </row>
    <row r="592" spans="7:39">
      <c r="G592" s="344"/>
      <c r="H592" s="10" t="s">
        <v>3192</v>
      </c>
      <c r="I592" s="344" t="s">
        <v>2336</v>
      </c>
      <c r="J592" s="344" t="s">
        <v>96</v>
      </c>
      <c r="K592" s="344" t="s">
        <v>3201</v>
      </c>
      <c r="L592" s="344" t="s">
        <v>97</v>
      </c>
      <c r="M592" s="344" t="s">
        <v>3202</v>
      </c>
      <c r="N592" s="344" t="s">
        <v>3096</v>
      </c>
      <c r="O592" s="344" t="s">
        <v>2</v>
      </c>
      <c r="P592" s="344" t="s">
        <v>112</v>
      </c>
      <c r="Q592" s="344" t="s">
        <v>68</v>
      </c>
      <c r="R592" s="344" t="s">
        <v>69</v>
      </c>
      <c r="S592" s="344" t="s">
        <v>3204</v>
      </c>
      <c r="T592" s="347">
        <v>10</v>
      </c>
      <c r="U592" s="347">
        <v>643.5</v>
      </c>
      <c r="V592" s="344" t="s">
        <v>3204</v>
      </c>
      <c r="W592" s="344">
        <v>0</v>
      </c>
      <c r="X592" s="344">
        <v>9</v>
      </c>
      <c r="Y592" s="344">
        <v>57.92</v>
      </c>
      <c r="Z592" s="344">
        <v>9</v>
      </c>
      <c r="AA592" s="344">
        <v>57.92</v>
      </c>
      <c r="AB592" s="344">
        <v>0</v>
      </c>
      <c r="AC592" s="344">
        <v>0</v>
      </c>
      <c r="AD592" s="344">
        <v>25.2</v>
      </c>
      <c r="AE592" s="344">
        <v>141.04</v>
      </c>
      <c r="AF592" s="344">
        <v>0</v>
      </c>
      <c r="AG592" s="344" t="s">
        <v>2376</v>
      </c>
      <c r="AH592" s="344" t="s">
        <v>1</v>
      </c>
      <c r="AI592" s="344">
        <v>73141410</v>
      </c>
      <c r="AJ592" s="344" t="s">
        <v>60</v>
      </c>
      <c r="AK592" s="344">
        <v>1</v>
      </c>
      <c r="AL592" s="344">
        <v>0</v>
      </c>
      <c r="AM592" s="344" t="s">
        <v>1905</v>
      </c>
    </row>
    <row r="593" spans="7:39">
      <c r="G593" s="344"/>
      <c r="H593" s="10" t="s">
        <v>3192</v>
      </c>
      <c r="I593" s="344" t="s">
        <v>2321</v>
      </c>
      <c r="J593" s="344" t="s">
        <v>96</v>
      </c>
      <c r="K593" s="344" t="s">
        <v>3205</v>
      </c>
      <c r="L593" s="344" t="s">
        <v>97</v>
      </c>
      <c r="M593" s="344">
        <v>1608</v>
      </c>
      <c r="N593" s="344" t="s">
        <v>3109</v>
      </c>
      <c r="O593" s="344" t="s">
        <v>5</v>
      </c>
      <c r="P593" s="344" t="s">
        <v>2486</v>
      </c>
      <c r="Q593" s="344" t="s">
        <v>68</v>
      </c>
      <c r="R593" s="344" t="s">
        <v>69</v>
      </c>
      <c r="S593" s="344" t="s">
        <v>2487</v>
      </c>
      <c r="T593" s="347">
        <v>100</v>
      </c>
      <c r="U593" s="347">
        <v>1200</v>
      </c>
      <c r="V593" s="344" t="s">
        <v>2487</v>
      </c>
      <c r="W593" s="344">
        <v>1416</v>
      </c>
      <c r="X593" s="344">
        <v>9</v>
      </c>
      <c r="Y593" s="344">
        <v>108</v>
      </c>
      <c r="Z593" s="344">
        <v>9</v>
      </c>
      <c r="AA593" s="344">
        <v>108</v>
      </c>
      <c r="AB593" s="344">
        <v>0</v>
      </c>
      <c r="AC593" s="344">
        <v>0</v>
      </c>
      <c r="AD593" s="344">
        <v>0</v>
      </c>
      <c r="AE593" s="344">
        <v>216</v>
      </c>
      <c r="AF593" s="344">
        <v>0</v>
      </c>
      <c r="AG593" s="344" t="s">
        <v>2488</v>
      </c>
      <c r="AH593" s="344" t="s">
        <v>1</v>
      </c>
      <c r="AI593" s="344">
        <v>68042290</v>
      </c>
      <c r="AJ593" s="344" t="s">
        <v>60</v>
      </c>
      <c r="AK593" s="344">
        <v>1</v>
      </c>
      <c r="AL593" s="344">
        <v>0</v>
      </c>
      <c r="AM593" s="344" t="s">
        <v>1905</v>
      </c>
    </row>
    <row r="594" spans="7:39">
      <c r="G594" s="344"/>
      <c r="H594" s="10" t="s">
        <v>3192</v>
      </c>
      <c r="I594" s="344" t="s">
        <v>87</v>
      </c>
      <c r="J594" s="344" t="s">
        <v>96</v>
      </c>
      <c r="K594" s="344" t="s">
        <v>3206</v>
      </c>
      <c r="L594" s="344" t="s">
        <v>97</v>
      </c>
      <c r="M594" s="344" t="s">
        <v>3207</v>
      </c>
      <c r="N594" s="344" t="s">
        <v>3192</v>
      </c>
      <c r="O594" s="344" t="s">
        <v>2</v>
      </c>
      <c r="P594" s="344" t="s">
        <v>67</v>
      </c>
      <c r="Q594" s="344" t="s">
        <v>68</v>
      </c>
      <c r="R594" s="344" t="s">
        <v>69</v>
      </c>
      <c r="S594" s="344" t="s">
        <v>70</v>
      </c>
      <c r="T594" s="344">
        <v>314</v>
      </c>
      <c r="U594" s="347">
        <v>15072</v>
      </c>
      <c r="V594" s="344" t="s">
        <v>70</v>
      </c>
      <c r="W594" s="344">
        <v>17769.89</v>
      </c>
      <c r="X594" s="344">
        <v>9</v>
      </c>
      <c r="Y594" s="344">
        <v>1356.48</v>
      </c>
      <c r="Z594" s="344">
        <v>9</v>
      </c>
      <c r="AA594" s="344">
        <v>1356.48</v>
      </c>
      <c r="AB594" s="344">
        <v>0</v>
      </c>
      <c r="AC594" s="344">
        <v>0</v>
      </c>
      <c r="AD594" s="344">
        <v>0</v>
      </c>
      <c r="AE594" s="344">
        <v>2712.96</v>
      </c>
      <c r="AF594" s="344">
        <v>0</v>
      </c>
      <c r="AG594" s="344" t="s">
        <v>65</v>
      </c>
      <c r="AH594" s="344" t="s">
        <v>11</v>
      </c>
      <c r="AI594" s="344">
        <v>73063090</v>
      </c>
      <c r="AJ594" s="344" t="s">
        <v>60</v>
      </c>
      <c r="AK594" s="344">
        <v>1</v>
      </c>
      <c r="AL594" s="344">
        <v>0</v>
      </c>
      <c r="AM594" s="344" t="s">
        <v>1905</v>
      </c>
    </row>
    <row r="595" spans="7:39">
      <c r="G595" s="344"/>
      <c r="H595" s="10" t="s">
        <v>3192</v>
      </c>
      <c r="I595" s="344" t="s">
        <v>87</v>
      </c>
      <c r="J595" s="344" t="s">
        <v>91</v>
      </c>
      <c r="K595" s="344" t="s">
        <v>3208</v>
      </c>
      <c r="L595" s="344" t="s">
        <v>98</v>
      </c>
      <c r="M595" s="344" t="s">
        <v>3209</v>
      </c>
      <c r="N595" s="390" t="s">
        <v>3192</v>
      </c>
      <c r="O595" s="344" t="s">
        <v>13</v>
      </c>
      <c r="P595" s="344" t="s">
        <v>62</v>
      </c>
      <c r="Q595" s="344" t="s">
        <v>76</v>
      </c>
      <c r="R595" s="344" t="s">
        <v>77</v>
      </c>
      <c r="S595" s="344" t="s">
        <v>21</v>
      </c>
      <c r="T595" s="347">
        <v>15</v>
      </c>
      <c r="U595" s="347">
        <v>5925</v>
      </c>
      <c r="V595" s="344" t="s">
        <v>21</v>
      </c>
      <c r="W595" s="344">
        <v>1665659.13</v>
      </c>
      <c r="X595" s="344">
        <v>9</v>
      </c>
      <c r="Y595" s="344">
        <v>533.25</v>
      </c>
      <c r="Z595" s="344">
        <v>9</v>
      </c>
      <c r="AA595" s="344">
        <v>533.25</v>
      </c>
      <c r="AB595" s="344">
        <v>0</v>
      </c>
      <c r="AC595" s="344">
        <v>0</v>
      </c>
      <c r="AD595" s="344">
        <v>0</v>
      </c>
      <c r="AE595" s="344">
        <v>1066.5</v>
      </c>
      <c r="AF595" s="344">
        <v>0</v>
      </c>
      <c r="AG595" s="344" t="s">
        <v>65</v>
      </c>
      <c r="AH595" s="344" t="s">
        <v>11</v>
      </c>
      <c r="AI595" s="344">
        <v>63053300</v>
      </c>
      <c r="AJ595" s="344" t="s">
        <v>60</v>
      </c>
      <c r="AK595" s="344">
        <v>1</v>
      </c>
      <c r="AL595" s="344">
        <v>0</v>
      </c>
      <c r="AM595" s="344" t="s">
        <v>1905</v>
      </c>
    </row>
    <row r="596" spans="7:39">
      <c r="G596" s="344"/>
      <c r="H596" s="10" t="s">
        <v>3192</v>
      </c>
      <c r="I596" s="344" t="s">
        <v>87</v>
      </c>
      <c r="J596" s="344" t="s">
        <v>91</v>
      </c>
      <c r="K596" s="344" t="s">
        <v>3208</v>
      </c>
      <c r="L596" s="344" t="s">
        <v>98</v>
      </c>
      <c r="M596" s="344" t="s">
        <v>3209</v>
      </c>
      <c r="N596" s="344" t="s">
        <v>3192</v>
      </c>
      <c r="O596" s="344" t="s">
        <v>13</v>
      </c>
      <c r="P596" s="344" t="s">
        <v>62</v>
      </c>
      <c r="Q596" s="344" t="s">
        <v>76</v>
      </c>
      <c r="R596" s="344" t="s">
        <v>77</v>
      </c>
      <c r="S596" s="344" t="s">
        <v>21</v>
      </c>
      <c r="T596" s="344">
        <v>566</v>
      </c>
      <c r="U596" s="347">
        <v>82817.119999999995</v>
      </c>
      <c r="V596" s="344" t="s">
        <v>21</v>
      </c>
      <c r="W596" s="344">
        <v>0</v>
      </c>
      <c r="X596" s="344">
        <v>9</v>
      </c>
      <c r="Y596" s="344">
        <v>7453.54</v>
      </c>
      <c r="Z596" s="344">
        <v>9</v>
      </c>
      <c r="AA596" s="344">
        <v>7453.54</v>
      </c>
      <c r="AB596" s="344">
        <v>0</v>
      </c>
      <c r="AC596" s="344">
        <v>0</v>
      </c>
      <c r="AD596" s="344">
        <v>0</v>
      </c>
      <c r="AE596" s="344">
        <v>14907.08</v>
      </c>
      <c r="AF596" s="344">
        <v>0</v>
      </c>
      <c r="AG596" s="344" t="s">
        <v>65</v>
      </c>
      <c r="AH596" s="344" t="s">
        <v>11</v>
      </c>
      <c r="AI596" s="344">
        <v>63053300</v>
      </c>
      <c r="AJ596" s="344" t="s">
        <v>60</v>
      </c>
      <c r="AK596" s="344">
        <v>1</v>
      </c>
      <c r="AL596" s="344">
        <v>0</v>
      </c>
      <c r="AM596" s="344" t="s">
        <v>1905</v>
      </c>
    </row>
    <row r="597" spans="7:39">
      <c r="G597" s="344"/>
      <c r="H597" s="10" t="s">
        <v>3192</v>
      </c>
      <c r="I597" s="344" t="s">
        <v>87</v>
      </c>
      <c r="J597" s="344" t="s">
        <v>91</v>
      </c>
      <c r="K597" s="344" t="s">
        <v>3208</v>
      </c>
      <c r="L597" s="344" t="s">
        <v>98</v>
      </c>
      <c r="M597" s="344" t="s">
        <v>3209</v>
      </c>
      <c r="N597" s="344" t="s">
        <v>3192</v>
      </c>
      <c r="O597" s="344" t="s">
        <v>13</v>
      </c>
      <c r="P597" s="344" t="s">
        <v>62</v>
      </c>
      <c r="Q597" s="344" t="s">
        <v>63</v>
      </c>
      <c r="R597" s="344" t="s">
        <v>64</v>
      </c>
      <c r="S597" s="344" t="s">
        <v>19</v>
      </c>
      <c r="T597" s="347">
        <v>1713</v>
      </c>
      <c r="U597" s="347">
        <v>248933.16</v>
      </c>
      <c r="V597" s="344" t="s">
        <v>19</v>
      </c>
      <c r="W597" s="344">
        <v>0</v>
      </c>
      <c r="X597" s="344">
        <v>9</v>
      </c>
      <c r="Y597" s="344">
        <v>22403.98</v>
      </c>
      <c r="Z597" s="344">
        <v>9</v>
      </c>
      <c r="AA597" s="344">
        <v>22403.98</v>
      </c>
      <c r="AB597" s="344">
        <v>0</v>
      </c>
      <c r="AC597" s="344">
        <v>0</v>
      </c>
      <c r="AD597" s="344">
        <v>0</v>
      </c>
      <c r="AE597" s="344">
        <v>44807.96</v>
      </c>
      <c r="AF597" s="344">
        <v>0</v>
      </c>
      <c r="AG597" s="344" t="s">
        <v>65</v>
      </c>
      <c r="AH597" s="344" t="s">
        <v>11</v>
      </c>
      <c r="AI597" s="344">
        <v>39269080</v>
      </c>
      <c r="AJ597" s="344" t="s">
        <v>60</v>
      </c>
      <c r="AK597" s="344">
        <v>1</v>
      </c>
      <c r="AL597" s="344">
        <v>0</v>
      </c>
      <c r="AM597" s="344" t="s">
        <v>1905</v>
      </c>
    </row>
    <row r="598" spans="7:39">
      <c r="G598" s="344"/>
      <c r="H598" s="10" t="s">
        <v>3192</v>
      </c>
      <c r="I598" s="344" t="s">
        <v>87</v>
      </c>
      <c r="J598" s="344" t="s">
        <v>91</v>
      </c>
      <c r="K598" s="344" t="s">
        <v>3208</v>
      </c>
      <c r="L598" s="344" t="s">
        <v>98</v>
      </c>
      <c r="M598" s="344" t="s">
        <v>3209</v>
      </c>
      <c r="N598" s="344" t="s">
        <v>3192</v>
      </c>
      <c r="O598" s="344" t="s">
        <v>13</v>
      </c>
      <c r="P598" s="344" t="s">
        <v>62</v>
      </c>
      <c r="Q598" s="344" t="s">
        <v>63</v>
      </c>
      <c r="R598" s="344" t="s">
        <v>64</v>
      </c>
      <c r="S598" s="344" t="s">
        <v>19</v>
      </c>
      <c r="T598" s="347">
        <v>1287</v>
      </c>
      <c r="U598" s="347">
        <v>185739.84</v>
      </c>
      <c r="V598" s="344" t="s">
        <v>19</v>
      </c>
      <c r="W598" s="344">
        <v>0</v>
      </c>
      <c r="X598" s="344">
        <v>9</v>
      </c>
      <c r="Y598" s="344">
        <v>16716.59</v>
      </c>
      <c r="Z598" s="344">
        <v>9</v>
      </c>
      <c r="AA598" s="344">
        <v>16716.59</v>
      </c>
      <c r="AB598" s="344">
        <v>0</v>
      </c>
      <c r="AC598" s="344">
        <v>0</v>
      </c>
      <c r="AD598" s="344">
        <v>0</v>
      </c>
      <c r="AE598" s="344">
        <v>33433.18</v>
      </c>
      <c r="AF598" s="344">
        <v>0</v>
      </c>
      <c r="AG598" s="344" t="s">
        <v>65</v>
      </c>
      <c r="AH598" s="344" t="s">
        <v>11</v>
      </c>
      <c r="AI598" s="344">
        <v>39269080</v>
      </c>
      <c r="AJ598" s="344" t="s">
        <v>60</v>
      </c>
      <c r="AK598" s="344">
        <v>1</v>
      </c>
      <c r="AL598" s="344">
        <v>0</v>
      </c>
      <c r="AM598" s="344" t="s">
        <v>1905</v>
      </c>
    </row>
    <row r="599" spans="7:39">
      <c r="G599" s="344"/>
      <c r="H599" s="10" t="s">
        <v>3192</v>
      </c>
      <c r="I599" s="344" t="s">
        <v>87</v>
      </c>
      <c r="J599" s="344" t="s">
        <v>91</v>
      </c>
      <c r="K599" s="344" t="s">
        <v>3208</v>
      </c>
      <c r="L599" s="344" t="s">
        <v>98</v>
      </c>
      <c r="M599" s="344" t="s">
        <v>3209</v>
      </c>
      <c r="N599" s="344" t="s">
        <v>3192</v>
      </c>
      <c r="O599" s="344" t="s">
        <v>13</v>
      </c>
      <c r="P599" s="344" t="s">
        <v>62</v>
      </c>
      <c r="Q599" s="344" t="s">
        <v>63</v>
      </c>
      <c r="R599" s="344" t="s">
        <v>64</v>
      </c>
      <c r="S599" s="344" t="s">
        <v>19</v>
      </c>
      <c r="T599" s="347">
        <v>6249</v>
      </c>
      <c r="U599" s="347">
        <v>889357.68</v>
      </c>
      <c r="V599" s="344" t="s">
        <v>19</v>
      </c>
      <c r="W599" s="344">
        <v>0</v>
      </c>
      <c r="X599" s="344">
        <v>9</v>
      </c>
      <c r="Y599" s="344">
        <v>80042.19</v>
      </c>
      <c r="Z599" s="344">
        <v>9</v>
      </c>
      <c r="AA599" s="344">
        <v>80042.19</v>
      </c>
      <c r="AB599" s="344">
        <v>0</v>
      </c>
      <c r="AC599" s="344">
        <v>0</v>
      </c>
      <c r="AD599" s="344">
        <v>0</v>
      </c>
      <c r="AE599" s="344">
        <v>160084.38</v>
      </c>
      <c r="AF599" s="344">
        <v>0</v>
      </c>
      <c r="AG599" s="344" t="s">
        <v>65</v>
      </c>
      <c r="AH599" s="344" t="s">
        <v>11</v>
      </c>
      <c r="AI599" s="344">
        <v>39269080</v>
      </c>
      <c r="AJ599" s="344" t="s">
        <v>60</v>
      </c>
      <c r="AK599" s="344">
        <v>1</v>
      </c>
      <c r="AL599" s="344">
        <v>0</v>
      </c>
      <c r="AM599" s="344" t="s">
        <v>1905</v>
      </c>
    </row>
    <row r="600" spans="7:39">
      <c r="G600" s="344"/>
      <c r="H600" s="10" t="s">
        <v>3192</v>
      </c>
      <c r="I600" s="344" t="s">
        <v>87</v>
      </c>
      <c r="J600" s="344" t="s">
        <v>91</v>
      </c>
      <c r="K600" s="344" t="s">
        <v>3210</v>
      </c>
      <c r="L600" s="344" t="s">
        <v>98</v>
      </c>
      <c r="M600" s="344" t="s">
        <v>3211</v>
      </c>
      <c r="N600" s="344" t="s">
        <v>3192</v>
      </c>
      <c r="O600" s="344" t="s">
        <v>13</v>
      </c>
      <c r="P600" s="344" t="s">
        <v>62</v>
      </c>
      <c r="Q600" s="344" t="s">
        <v>63</v>
      </c>
      <c r="R600" s="344" t="s">
        <v>64</v>
      </c>
      <c r="S600" s="344" t="s">
        <v>19</v>
      </c>
      <c r="T600" s="347">
        <v>443</v>
      </c>
      <c r="U600" s="347">
        <v>63047.76</v>
      </c>
      <c r="V600" s="344" t="s">
        <v>19</v>
      </c>
      <c r="W600" s="344">
        <v>505729.58</v>
      </c>
      <c r="X600" s="344">
        <v>9</v>
      </c>
      <c r="Y600" s="344">
        <v>5674.3</v>
      </c>
      <c r="Z600" s="344">
        <v>9</v>
      </c>
      <c r="AA600" s="344">
        <v>5674.3</v>
      </c>
      <c r="AB600" s="344">
        <v>0</v>
      </c>
      <c r="AC600" s="344">
        <v>0</v>
      </c>
      <c r="AD600" s="344">
        <v>0</v>
      </c>
      <c r="AE600" s="344">
        <v>11348.6</v>
      </c>
      <c r="AF600" s="344">
        <v>0</v>
      </c>
      <c r="AG600" s="344" t="s">
        <v>65</v>
      </c>
      <c r="AH600" s="344" t="s">
        <v>11</v>
      </c>
      <c r="AI600" s="344">
        <v>39269080</v>
      </c>
      <c r="AJ600" s="344" t="s">
        <v>60</v>
      </c>
      <c r="AK600" s="344">
        <v>1</v>
      </c>
      <c r="AL600" s="344">
        <v>0</v>
      </c>
      <c r="AM600" s="344" t="s">
        <v>1905</v>
      </c>
    </row>
    <row r="601" spans="7:39">
      <c r="G601" s="344"/>
      <c r="H601" s="10" t="s">
        <v>3192</v>
      </c>
      <c r="I601" s="344" t="s">
        <v>87</v>
      </c>
      <c r="J601" s="344" t="s">
        <v>91</v>
      </c>
      <c r="K601" s="344" t="s">
        <v>3210</v>
      </c>
      <c r="L601" s="344" t="s">
        <v>98</v>
      </c>
      <c r="M601" s="344" t="s">
        <v>3211</v>
      </c>
      <c r="N601" s="344" t="s">
        <v>3192</v>
      </c>
      <c r="O601" s="344" t="s">
        <v>13</v>
      </c>
      <c r="P601" s="344" t="s">
        <v>24</v>
      </c>
      <c r="Q601" s="344" t="s">
        <v>79</v>
      </c>
      <c r="R601" s="344" t="s">
        <v>79</v>
      </c>
      <c r="S601" s="344" t="s">
        <v>24</v>
      </c>
      <c r="T601" s="347">
        <v>704</v>
      </c>
      <c r="U601" s="344">
        <v>103713.28</v>
      </c>
      <c r="V601" s="344" t="s">
        <v>24</v>
      </c>
      <c r="W601" s="344">
        <v>0</v>
      </c>
      <c r="X601" s="344">
        <v>9</v>
      </c>
      <c r="Y601" s="344">
        <v>9334.2000000000007</v>
      </c>
      <c r="Z601" s="344">
        <v>9</v>
      </c>
      <c r="AA601" s="344">
        <v>9334.2000000000007</v>
      </c>
      <c r="AB601" s="344">
        <v>0</v>
      </c>
      <c r="AC601" s="344">
        <v>0</v>
      </c>
      <c r="AD601" s="344">
        <v>0</v>
      </c>
      <c r="AE601" s="344">
        <v>18668.400000000001</v>
      </c>
      <c r="AF601" s="344">
        <v>0</v>
      </c>
      <c r="AG601" s="344" t="s">
        <v>65</v>
      </c>
      <c r="AH601" s="344" t="s">
        <v>11</v>
      </c>
      <c r="AI601" s="344">
        <v>3926908</v>
      </c>
      <c r="AJ601" s="344" t="s">
        <v>60</v>
      </c>
      <c r="AK601" s="344">
        <v>1</v>
      </c>
      <c r="AL601" s="344">
        <v>0</v>
      </c>
      <c r="AM601" s="344" t="s">
        <v>1905</v>
      </c>
    </row>
    <row r="602" spans="7:39">
      <c r="G602" s="344"/>
      <c r="H602" s="10" t="s">
        <v>3192</v>
      </c>
      <c r="I602" s="344" t="s">
        <v>87</v>
      </c>
      <c r="J602" s="344" t="s">
        <v>91</v>
      </c>
      <c r="K602" s="344" t="s">
        <v>3210</v>
      </c>
      <c r="L602" s="344" t="s">
        <v>98</v>
      </c>
      <c r="M602" s="344" t="s">
        <v>3211</v>
      </c>
      <c r="N602" s="344" t="s">
        <v>3192</v>
      </c>
      <c r="O602" s="344" t="s">
        <v>13</v>
      </c>
      <c r="P602" s="344" t="s">
        <v>24</v>
      </c>
      <c r="Q602" s="344" t="s">
        <v>79</v>
      </c>
      <c r="R602" s="344" t="s">
        <v>79</v>
      </c>
      <c r="S602" s="344" t="s">
        <v>24</v>
      </c>
      <c r="T602" s="347">
        <v>709.3</v>
      </c>
      <c r="U602" s="347">
        <v>102366.18</v>
      </c>
      <c r="V602" s="344" t="s">
        <v>24</v>
      </c>
      <c r="W602" s="344">
        <v>0</v>
      </c>
      <c r="X602" s="344">
        <v>9</v>
      </c>
      <c r="Y602" s="344">
        <v>9212.9599999999991</v>
      </c>
      <c r="Z602" s="344">
        <v>9</v>
      </c>
      <c r="AA602" s="344">
        <v>9212.9599999999991</v>
      </c>
      <c r="AB602" s="344">
        <v>0</v>
      </c>
      <c r="AC602" s="344">
        <v>0</v>
      </c>
      <c r="AD602" s="344">
        <v>0</v>
      </c>
      <c r="AE602" s="344">
        <v>18425.919999999998</v>
      </c>
      <c r="AF602" s="344">
        <v>0</v>
      </c>
      <c r="AG602" s="344" t="s">
        <v>65</v>
      </c>
      <c r="AH602" s="344" t="s">
        <v>11</v>
      </c>
      <c r="AI602" s="344">
        <v>3926908</v>
      </c>
      <c r="AJ602" s="344" t="s">
        <v>60</v>
      </c>
      <c r="AK602" s="344">
        <v>1</v>
      </c>
      <c r="AL602" s="344">
        <v>0</v>
      </c>
      <c r="AM602" s="344" t="s">
        <v>1905</v>
      </c>
    </row>
    <row r="603" spans="7:39">
      <c r="G603" s="344"/>
      <c r="H603" s="10" t="s">
        <v>3192</v>
      </c>
      <c r="I603" s="344" t="s">
        <v>87</v>
      </c>
      <c r="J603" s="344" t="s">
        <v>91</v>
      </c>
      <c r="K603" s="344" t="s">
        <v>3210</v>
      </c>
      <c r="L603" s="344" t="s">
        <v>98</v>
      </c>
      <c r="M603" s="344" t="s">
        <v>3211</v>
      </c>
      <c r="N603" s="344" t="s">
        <v>3192</v>
      </c>
      <c r="O603" s="344" t="s">
        <v>13</v>
      </c>
      <c r="P603" s="344" t="s">
        <v>24</v>
      </c>
      <c r="Q603" s="344" t="s">
        <v>79</v>
      </c>
      <c r="R603" s="344" t="s">
        <v>79</v>
      </c>
      <c r="S603" s="344" t="s">
        <v>24</v>
      </c>
      <c r="T603" s="344">
        <v>15.4</v>
      </c>
      <c r="U603" s="347">
        <v>2592.13</v>
      </c>
      <c r="V603" s="344" t="s">
        <v>24</v>
      </c>
      <c r="W603" s="344">
        <v>0</v>
      </c>
      <c r="X603" s="344">
        <v>9</v>
      </c>
      <c r="Y603" s="344">
        <v>233.29</v>
      </c>
      <c r="Z603" s="344">
        <v>9</v>
      </c>
      <c r="AA603" s="344">
        <v>233.29</v>
      </c>
      <c r="AB603" s="344">
        <v>0</v>
      </c>
      <c r="AC603" s="344">
        <v>0</v>
      </c>
      <c r="AD603" s="344">
        <v>0</v>
      </c>
      <c r="AE603" s="344">
        <v>466.58</v>
      </c>
      <c r="AF603" s="344">
        <v>0</v>
      </c>
      <c r="AG603" s="344" t="s">
        <v>65</v>
      </c>
      <c r="AH603" s="344" t="s">
        <v>11</v>
      </c>
      <c r="AI603" s="344">
        <v>3926908</v>
      </c>
      <c r="AJ603" s="344" t="s">
        <v>60</v>
      </c>
      <c r="AK603" s="344">
        <v>1</v>
      </c>
      <c r="AL603" s="344">
        <v>0</v>
      </c>
      <c r="AM603" s="344" t="s">
        <v>1905</v>
      </c>
    </row>
    <row r="604" spans="7:39">
      <c r="G604" s="344"/>
      <c r="H604" s="10" t="s">
        <v>3192</v>
      </c>
      <c r="I604" s="344" t="s">
        <v>87</v>
      </c>
      <c r="J604" s="344" t="s">
        <v>91</v>
      </c>
      <c r="K604" s="344" t="s">
        <v>3210</v>
      </c>
      <c r="L604" s="344" t="s">
        <v>98</v>
      </c>
      <c r="M604" s="344" t="s">
        <v>3211</v>
      </c>
      <c r="N604" s="344" t="s">
        <v>3192</v>
      </c>
      <c r="O604" s="344" t="s">
        <v>13</v>
      </c>
      <c r="P604" s="344" t="s">
        <v>80</v>
      </c>
      <c r="Q604" s="344" t="s">
        <v>81</v>
      </c>
      <c r="R604" s="344" t="s">
        <v>82</v>
      </c>
      <c r="S604" s="344" t="s">
        <v>17</v>
      </c>
      <c r="T604" s="347">
        <v>50</v>
      </c>
      <c r="U604" s="347">
        <v>8843</v>
      </c>
      <c r="V604" s="344" t="s">
        <v>17</v>
      </c>
      <c r="W604" s="344">
        <v>0</v>
      </c>
      <c r="X604" s="344">
        <v>9</v>
      </c>
      <c r="Y604" s="344">
        <v>795.87</v>
      </c>
      <c r="Z604" s="344">
        <v>9</v>
      </c>
      <c r="AA604" s="344">
        <v>795.87</v>
      </c>
      <c r="AB604" s="344">
        <v>0</v>
      </c>
      <c r="AC604" s="344">
        <v>0</v>
      </c>
      <c r="AD604" s="344">
        <v>0</v>
      </c>
      <c r="AE604" s="344">
        <v>1591.74</v>
      </c>
      <c r="AF604" s="344">
        <v>0</v>
      </c>
      <c r="AG604" s="344" t="s">
        <v>65</v>
      </c>
      <c r="AH604" s="344" t="s">
        <v>11</v>
      </c>
      <c r="AI604" s="344">
        <v>39200000</v>
      </c>
      <c r="AJ604" s="344" t="s">
        <v>60</v>
      </c>
      <c r="AK604" s="344">
        <v>1</v>
      </c>
      <c r="AL604" s="344">
        <v>0</v>
      </c>
      <c r="AM604" s="344" t="s">
        <v>1905</v>
      </c>
    </row>
    <row r="605" spans="7:39">
      <c r="G605" s="344"/>
      <c r="H605" s="10" t="s">
        <v>3192</v>
      </c>
      <c r="I605" s="344" t="s">
        <v>87</v>
      </c>
      <c r="J605" s="344" t="s">
        <v>91</v>
      </c>
      <c r="K605" s="344" t="s">
        <v>3210</v>
      </c>
      <c r="L605" s="344" t="s">
        <v>98</v>
      </c>
      <c r="M605" s="344" t="s">
        <v>3211</v>
      </c>
      <c r="N605" s="344" t="s">
        <v>3192</v>
      </c>
      <c r="O605" s="344" t="s">
        <v>13</v>
      </c>
      <c r="P605" s="344" t="s">
        <v>80</v>
      </c>
      <c r="Q605" s="344" t="s">
        <v>81</v>
      </c>
      <c r="R605" s="344" t="s">
        <v>82</v>
      </c>
      <c r="S605" s="344" t="s">
        <v>17</v>
      </c>
      <c r="T605" s="344">
        <v>839</v>
      </c>
      <c r="U605" s="347">
        <v>148385.54</v>
      </c>
      <c r="V605" s="344" t="s">
        <v>17</v>
      </c>
      <c r="W605" s="344">
        <v>0</v>
      </c>
      <c r="X605" s="344">
        <v>9</v>
      </c>
      <c r="Y605" s="344">
        <v>13354.7</v>
      </c>
      <c r="Z605" s="344">
        <v>9</v>
      </c>
      <c r="AA605" s="344">
        <v>13354.7</v>
      </c>
      <c r="AB605" s="344">
        <v>0</v>
      </c>
      <c r="AC605" s="344">
        <v>0</v>
      </c>
      <c r="AD605" s="344">
        <v>0</v>
      </c>
      <c r="AE605" s="344">
        <v>26709.4</v>
      </c>
      <c r="AF605" s="344">
        <v>0</v>
      </c>
      <c r="AG605" s="344" t="s">
        <v>65</v>
      </c>
      <c r="AH605" s="344" t="s">
        <v>11</v>
      </c>
      <c r="AI605" s="344">
        <v>39200000</v>
      </c>
      <c r="AJ605" s="344" t="s">
        <v>60</v>
      </c>
      <c r="AK605" s="344">
        <v>1</v>
      </c>
      <c r="AL605" s="344">
        <v>0</v>
      </c>
      <c r="AM605" s="344" t="s">
        <v>1905</v>
      </c>
    </row>
    <row r="606" spans="7:39">
      <c r="G606" s="344"/>
      <c r="H606" s="10" t="s">
        <v>3192</v>
      </c>
      <c r="I606" s="344" t="s">
        <v>87</v>
      </c>
      <c r="J606" s="344" t="s">
        <v>91</v>
      </c>
      <c r="K606" s="344" t="s">
        <v>3212</v>
      </c>
      <c r="L606" s="344" t="s">
        <v>98</v>
      </c>
      <c r="M606" s="344" t="s">
        <v>3213</v>
      </c>
      <c r="N606" s="344" t="s">
        <v>3192</v>
      </c>
      <c r="O606" s="344" t="s">
        <v>13</v>
      </c>
      <c r="P606" s="344" t="s">
        <v>62</v>
      </c>
      <c r="Q606" s="344" t="s">
        <v>76</v>
      </c>
      <c r="R606" s="344" t="s">
        <v>77</v>
      </c>
      <c r="S606" s="344" t="s">
        <v>21</v>
      </c>
      <c r="T606" s="347">
        <v>546</v>
      </c>
      <c r="U606" s="347">
        <v>81528.72</v>
      </c>
      <c r="V606" s="344" t="s">
        <v>21</v>
      </c>
      <c r="W606" s="344">
        <v>96122.35</v>
      </c>
      <c r="X606" s="344">
        <v>9</v>
      </c>
      <c r="Y606" s="344">
        <v>7337.58</v>
      </c>
      <c r="Z606" s="344">
        <v>9</v>
      </c>
      <c r="AA606" s="344">
        <v>7337.58</v>
      </c>
      <c r="AB606" s="344">
        <v>0</v>
      </c>
      <c r="AC606" s="344">
        <v>0</v>
      </c>
      <c r="AD606" s="344">
        <v>0</v>
      </c>
      <c r="AE606" s="344">
        <v>14675.16</v>
      </c>
      <c r="AF606" s="344">
        <v>0</v>
      </c>
      <c r="AG606" s="344" t="s">
        <v>65</v>
      </c>
      <c r="AH606" s="344" t="s">
        <v>11</v>
      </c>
      <c r="AI606" s="344">
        <v>63053300</v>
      </c>
      <c r="AJ606" s="344" t="s">
        <v>60</v>
      </c>
      <c r="AK606" s="344">
        <v>1</v>
      </c>
      <c r="AL606" s="344">
        <v>0</v>
      </c>
      <c r="AM606" s="344" t="s">
        <v>1905</v>
      </c>
    </row>
    <row r="607" spans="7:39">
      <c r="G607" s="344"/>
      <c r="H607" s="10" t="s">
        <v>3192</v>
      </c>
      <c r="I607" s="344" t="s">
        <v>94</v>
      </c>
      <c r="J607" s="344" t="s">
        <v>96</v>
      </c>
      <c r="K607" s="344" t="s">
        <v>3214</v>
      </c>
      <c r="L607" s="344" t="s">
        <v>97</v>
      </c>
      <c r="M607" s="344" t="s">
        <v>3215</v>
      </c>
      <c r="N607" s="344" t="s">
        <v>3192</v>
      </c>
      <c r="O607" s="344" t="s">
        <v>2</v>
      </c>
      <c r="P607" s="344" t="s">
        <v>67</v>
      </c>
      <c r="Q607" s="344" t="s">
        <v>68</v>
      </c>
      <c r="R607" s="344" t="s">
        <v>69</v>
      </c>
      <c r="S607" s="344" t="s">
        <v>70</v>
      </c>
      <c r="T607" s="347">
        <v>29</v>
      </c>
      <c r="U607" s="347">
        <v>1392</v>
      </c>
      <c r="V607" s="344" t="s">
        <v>70</v>
      </c>
      <c r="W607" s="344">
        <v>1641.17</v>
      </c>
      <c r="X607" s="344">
        <v>9</v>
      </c>
      <c r="Y607" s="344">
        <v>125.28</v>
      </c>
      <c r="Z607" s="344">
        <v>9</v>
      </c>
      <c r="AA607" s="344">
        <v>125.28</v>
      </c>
      <c r="AB607" s="344">
        <v>0</v>
      </c>
      <c r="AC607" s="344">
        <v>0</v>
      </c>
      <c r="AD607" s="344">
        <v>0</v>
      </c>
      <c r="AE607" s="344">
        <v>250.56</v>
      </c>
      <c r="AF607" s="344">
        <v>0</v>
      </c>
      <c r="AG607" s="344" t="s">
        <v>74</v>
      </c>
      <c r="AH607" s="344" t="s">
        <v>11</v>
      </c>
      <c r="AI607" s="344">
        <v>73063090</v>
      </c>
      <c r="AJ607" s="344" t="s">
        <v>60</v>
      </c>
      <c r="AK607" s="344">
        <v>1</v>
      </c>
      <c r="AL607" s="344">
        <v>0</v>
      </c>
      <c r="AM607" s="344" t="s">
        <v>1905</v>
      </c>
    </row>
    <row r="608" spans="7:39">
      <c r="G608" s="344"/>
      <c r="H608" s="10" t="s">
        <v>3192</v>
      </c>
      <c r="I608" s="344" t="s">
        <v>94</v>
      </c>
      <c r="J608" s="344" t="s">
        <v>91</v>
      </c>
      <c r="K608" s="344" t="s">
        <v>3216</v>
      </c>
      <c r="L608" s="344" t="s">
        <v>98</v>
      </c>
      <c r="M608" s="344" t="s">
        <v>3217</v>
      </c>
      <c r="N608" s="344" t="s">
        <v>3192</v>
      </c>
      <c r="O608" s="344" t="s">
        <v>13</v>
      </c>
      <c r="P608" s="344" t="s">
        <v>62</v>
      </c>
      <c r="Q608" s="344" t="s">
        <v>63</v>
      </c>
      <c r="R608" s="344" t="s">
        <v>64</v>
      </c>
      <c r="S608" s="344" t="s">
        <v>19</v>
      </c>
      <c r="T608" s="344">
        <v>788.3</v>
      </c>
      <c r="U608" s="347">
        <v>105301.11</v>
      </c>
      <c r="V608" s="344" t="s">
        <v>19</v>
      </c>
      <c r="W608" s="344">
        <v>163241.85</v>
      </c>
      <c r="X608" s="344">
        <v>9</v>
      </c>
      <c r="Y608" s="344">
        <v>9477.1</v>
      </c>
      <c r="Z608" s="344">
        <v>9</v>
      </c>
      <c r="AA608" s="344">
        <v>9477.1</v>
      </c>
      <c r="AB608" s="344">
        <v>0</v>
      </c>
      <c r="AC608" s="344">
        <v>0</v>
      </c>
      <c r="AD608" s="344">
        <v>0</v>
      </c>
      <c r="AE608" s="344">
        <v>18954.2</v>
      </c>
      <c r="AF608" s="344">
        <v>0</v>
      </c>
      <c r="AG608" s="344" t="s">
        <v>74</v>
      </c>
      <c r="AH608" s="344" t="s">
        <v>11</v>
      </c>
      <c r="AI608" s="344">
        <v>39269080</v>
      </c>
      <c r="AJ608" s="344" t="s">
        <v>60</v>
      </c>
      <c r="AK608" s="344">
        <v>1</v>
      </c>
      <c r="AL608" s="344">
        <v>0</v>
      </c>
      <c r="AM608" s="344" t="s">
        <v>1905</v>
      </c>
    </row>
    <row r="609" spans="7:39">
      <c r="G609" s="344"/>
      <c r="H609" s="10" t="s">
        <v>3192</v>
      </c>
      <c r="I609" s="344" t="s">
        <v>94</v>
      </c>
      <c r="J609" s="344" t="s">
        <v>91</v>
      </c>
      <c r="K609" s="344" t="s">
        <v>3216</v>
      </c>
      <c r="L609" s="344" t="s">
        <v>98</v>
      </c>
      <c r="M609" s="344" t="s">
        <v>3217</v>
      </c>
      <c r="N609" s="344" t="s">
        <v>3192</v>
      </c>
      <c r="O609" s="344" t="s">
        <v>13</v>
      </c>
      <c r="P609" s="344" t="s">
        <v>62</v>
      </c>
      <c r="Q609" s="344" t="s">
        <v>76</v>
      </c>
      <c r="R609" s="344" t="s">
        <v>77</v>
      </c>
      <c r="S609" s="344" t="s">
        <v>21</v>
      </c>
      <c r="T609" s="347">
        <v>241</v>
      </c>
      <c r="U609" s="347">
        <v>33156.78</v>
      </c>
      <c r="V609" s="344" t="s">
        <v>21</v>
      </c>
      <c r="W609" s="344">
        <v>0</v>
      </c>
      <c r="X609" s="344">
        <v>9</v>
      </c>
      <c r="Y609" s="344">
        <v>2984.11</v>
      </c>
      <c r="Z609" s="344">
        <v>9</v>
      </c>
      <c r="AA609" s="344">
        <v>2984.11</v>
      </c>
      <c r="AB609" s="344">
        <v>0</v>
      </c>
      <c r="AC609" s="344">
        <v>0</v>
      </c>
      <c r="AD609" s="344">
        <v>0</v>
      </c>
      <c r="AE609" s="344">
        <v>5968.22</v>
      </c>
      <c r="AF609" s="344">
        <v>0</v>
      </c>
      <c r="AG609" s="344" t="s">
        <v>74</v>
      </c>
      <c r="AH609" s="344" t="s">
        <v>11</v>
      </c>
      <c r="AI609" s="344">
        <v>63053300</v>
      </c>
      <c r="AJ609" s="344" t="s">
        <v>60</v>
      </c>
      <c r="AK609" s="344">
        <v>1</v>
      </c>
      <c r="AL609" s="344">
        <v>0</v>
      </c>
      <c r="AM609" s="344" t="s">
        <v>1905</v>
      </c>
    </row>
    <row r="610" spans="7:39">
      <c r="G610" s="344"/>
      <c r="H610" s="10" t="s">
        <v>3192</v>
      </c>
      <c r="I610" s="344" t="s">
        <v>117</v>
      </c>
      <c r="J610" s="344" t="s">
        <v>113</v>
      </c>
      <c r="K610" s="344" t="s">
        <v>3218</v>
      </c>
      <c r="L610" s="344" t="s">
        <v>114</v>
      </c>
      <c r="M610" s="344" t="s">
        <v>3219</v>
      </c>
      <c r="N610" s="344" t="s">
        <v>3173</v>
      </c>
      <c r="O610" s="344" t="s">
        <v>4</v>
      </c>
      <c r="P610" s="344" t="s">
        <v>115</v>
      </c>
      <c r="Q610" s="344" t="s">
        <v>115</v>
      </c>
      <c r="R610" s="344" t="s">
        <v>4</v>
      </c>
      <c r="S610" s="344" t="s">
        <v>629</v>
      </c>
      <c r="T610" s="344">
        <v>200</v>
      </c>
      <c r="U610" s="347">
        <v>163000</v>
      </c>
      <c r="V610" s="344" t="s">
        <v>629</v>
      </c>
      <c r="W610" s="344">
        <v>171150</v>
      </c>
      <c r="X610" s="344">
        <v>2.5</v>
      </c>
      <c r="Y610" s="344">
        <v>4075</v>
      </c>
      <c r="Z610" s="344">
        <v>2.5</v>
      </c>
      <c r="AA610" s="344">
        <v>4075</v>
      </c>
      <c r="AB610" s="344">
        <v>0</v>
      </c>
      <c r="AC610" s="344">
        <v>0</v>
      </c>
      <c r="AD610" s="344">
        <v>0</v>
      </c>
      <c r="AE610" s="344">
        <v>8150</v>
      </c>
      <c r="AF610" s="344">
        <v>0</v>
      </c>
      <c r="AG610" s="344" t="s">
        <v>2370</v>
      </c>
      <c r="AH610" s="344" t="s">
        <v>1</v>
      </c>
      <c r="AI610" s="344">
        <v>44152000</v>
      </c>
      <c r="AJ610" s="344" t="s">
        <v>60</v>
      </c>
      <c r="AK610" s="344">
        <v>1</v>
      </c>
      <c r="AL610" s="344">
        <v>0</v>
      </c>
      <c r="AM610" s="344" t="s">
        <v>1905</v>
      </c>
    </row>
    <row r="611" spans="7:39">
      <c r="G611" s="344"/>
      <c r="H611" s="10" t="s">
        <v>3220</v>
      </c>
      <c r="I611" s="344" t="s">
        <v>103</v>
      </c>
      <c r="J611" s="344" t="s">
        <v>88</v>
      </c>
      <c r="K611" s="344" t="s">
        <v>3221</v>
      </c>
      <c r="L611" s="344" t="s">
        <v>2320</v>
      </c>
      <c r="M611" s="344" t="s">
        <v>3222</v>
      </c>
      <c r="N611" s="344" t="s">
        <v>3173</v>
      </c>
      <c r="O611" s="344" t="s">
        <v>13</v>
      </c>
      <c r="P611" s="344" t="s">
        <v>80</v>
      </c>
      <c r="Q611" s="344" t="s">
        <v>81</v>
      </c>
      <c r="R611" s="344" t="s">
        <v>384</v>
      </c>
      <c r="S611" s="344" t="s">
        <v>385</v>
      </c>
      <c r="T611" s="347">
        <v>890</v>
      </c>
      <c r="U611" s="347">
        <v>152145.5</v>
      </c>
      <c r="V611" s="344" t="s">
        <v>385</v>
      </c>
      <c r="W611" s="344">
        <v>152145.5</v>
      </c>
      <c r="X611" s="344">
        <v>0</v>
      </c>
      <c r="Y611" s="344">
        <v>0</v>
      </c>
      <c r="Z611" s="344">
        <v>0</v>
      </c>
      <c r="AA611" s="344">
        <v>0</v>
      </c>
      <c r="AB611" s="344">
        <v>0</v>
      </c>
      <c r="AC611" s="344">
        <v>0</v>
      </c>
      <c r="AD611" s="344">
        <v>0</v>
      </c>
      <c r="AE611" s="344">
        <v>0</v>
      </c>
      <c r="AF611" s="344">
        <v>0</v>
      </c>
      <c r="AG611" s="344" t="s">
        <v>104</v>
      </c>
      <c r="AH611" s="344" t="s">
        <v>11</v>
      </c>
      <c r="AI611" s="344">
        <v>39232100</v>
      </c>
      <c r="AJ611" s="344" t="s">
        <v>60</v>
      </c>
      <c r="AK611" s="344">
        <v>1</v>
      </c>
      <c r="AL611" s="344">
        <v>0</v>
      </c>
      <c r="AM611" s="344" t="s">
        <v>1905</v>
      </c>
    </row>
    <row r="612" spans="7:39">
      <c r="G612" s="344"/>
      <c r="H612" s="10" t="s">
        <v>3220</v>
      </c>
      <c r="I612" s="344" t="s">
        <v>103</v>
      </c>
      <c r="J612" s="344" t="s">
        <v>88</v>
      </c>
      <c r="K612" s="344" t="s">
        <v>3223</v>
      </c>
      <c r="L612" s="344" t="s">
        <v>2335</v>
      </c>
      <c r="M612" s="344" t="s">
        <v>3224</v>
      </c>
      <c r="N612" s="344" t="s">
        <v>3192</v>
      </c>
      <c r="O612" s="344" t="s">
        <v>15</v>
      </c>
      <c r="P612" s="344" t="s">
        <v>2758</v>
      </c>
      <c r="Q612" s="344" t="s">
        <v>2759</v>
      </c>
      <c r="R612" s="344" t="s">
        <v>349</v>
      </c>
      <c r="S612" s="344" t="s">
        <v>2760</v>
      </c>
      <c r="T612" s="347">
        <v>3593.8</v>
      </c>
      <c r="U612" s="347">
        <v>626075.9</v>
      </c>
      <c r="V612" s="344" t="s">
        <v>2760</v>
      </c>
      <c r="W612" s="344">
        <v>626075.9</v>
      </c>
      <c r="X612" s="344">
        <v>0</v>
      </c>
      <c r="Y612" s="344">
        <v>0</v>
      </c>
      <c r="Z612" s="344">
        <v>0</v>
      </c>
      <c r="AA612" s="344">
        <v>0</v>
      </c>
      <c r="AB612" s="344">
        <v>0</v>
      </c>
      <c r="AC612" s="344">
        <v>0</v>
      </c>
      <c r="AD612" s="344">
        <v>0</v>
      </c>
      <c r="AE612" s="344">
        <v>0</v>
      </c>
      <c r="AF612" s="344">
        <v>0</v>
      </c>
      <c r="AG612" s="344" t="s">
        <v>104</v>
      </c>
      <c r="AH612" s="344" t="s">
        <v>11</v>
      </c>
      <c r="AI612" s="344">
        <v>39232990</v>
      </c>
      <c r="AJ612" s="344" t="s">
        <v>60</v>
      </c>
      <c r="AK612" s="344">
        <v>1</v>
      </c>
      <c r="AL612" s="344">
        <v>0</v>
      </c>
      <c r="AM612" s="344" t="s">
        <v>1905</v>
      </c>
    </row>
    <row r="613" spans="7:39">
      <c r="G613" s="344"/>
      <c r="H613" s="10" t="s">
        <v>3220</v>
      </c>
      <c r="I613" s="344" t="s">
        <v>87</v>
      </c>
      <c r="J613" s="344" t="s">
        <v>96</v>
      </c>
      <c r="K613" s="344" t="s">
        <v>3225</v>
      </c>
      <c r="L613" s="344" t="s">
        <v>97</v>
      </c>
      <c r="M613" s="344" t="s">
        <v>3226</v>
      </c>
      <c r="N613" s="344" t="s">
        <v>3220</v>
      </c>
      <c r="O613" s="344" t="s">
        <v>2</v>
      </c>
      <c r="P613" s="344" t="s">
        <v>67</v>
      </c>
      <c r="Q613" s="344" t="s">
        <v>68</v>
      </c>
      <c r="R613" s="344" t="s">
        <v>69</v>
      </c>
      <c r="S613" s="344" t="s">
        <v>70</v>
      </c>
      <c r="T613" s="347">
        <v>254</v>
      </c>
      <c r="U613" s="347">
        <v>12192</v>
      </c>
      <c r="V613" s="344" t="s">
        <v>70</v>
      </c>
      <c r="W613" s="344">
        <v>14374.37</v>
      </c>
      <c r="X613" s="344">
        <v>9</v>
      </c>
      <c r="Y613" s="344">
        <v>1097.28</v>
      </c>
      <c r="Z613" s="344">
        <v>9</v>
      </c>
      <c r="AA613" s="344">
        <v>1097.28</v>
      </c>
      <c r="AB613" s="344">
        <v>0</v>
      </c>
      <c r="AC613" s="344">
        <v>0</v>
      </c>
      <c r="AD613" s="344">
        <v>0</v>
      </c>
      <c r="AE613" s="344">
        <v>2194.56</v>
      </c>
      <c r="AF613" s="344">
        <v>0</v>
      </c>
      <c r="AG613" s="344" t="s">
        <v>65</v>
      </c>
      <c r="AH613" s="344" t="s">
        <v>11</v>
      </c>
      <c r="AI613" s="344">
        <v>73063090</v>
      </c>
      <c r="AJ613" s="344" t="s">
        <v>60</v>
      </c>
      <c r="AK613" s="344">
        <v>1</v>
      </c>
      <c r="AL613" s="344">
        <v>0</v>
      </c>
      <c r="AM613" s="344" t="s">
        <v>1905</v>
      </c>
    </row>
    <row r="614" spans="7:39">
      <c r="G614" s="344"/>
      <c r="H614" s="10" t="s">
        <v>3220</v>
      </c>
      <c r="I614" s="344" t="s">
        <v>87</v>
      </c>
      <c r="J614" s="344" t="s">
        <v>91</v>
      </c>
      <c r="K614" s="344" t="s">
        <v>3227</v>
      </c>
      <c r="L614" s="344" t="s">
        <v>98</v>
      </c>
      <c r="M614" s="344" t="s">
        <v>3228</v>
      </c>
      <c r="N614" s="344" t="s">
        <v>3192</v>
      </c>
      <c r="O614" s="344" t="s">
        <v>13</v>
      </c>
      <c r="P614" s="344" t="s">
        <v>80</v>
      </c>
      <c r="Q614" s="344" t="s">
        <v>81</v>
      </c>
      <c r="R614" s="344" t="s">
        <v>82</v>
      </c>
      <c r="S614" s="344" t="s">
        <v>17</v>
      </c>
      <c r="T614" s="347">
        <v>1208</v>
      </c>
      <c r="U614" s="347">
        <v>213646.88</v>
      </c>
      <c r="V614" s="344" t="s">
        <v>17</v>
      </c>
      <c r="W614" s="344">
        <v>251889.67</v>
      </c>
      <c r="X614" s="344">
        <v>9</v>
      </c>
      <c r="Y614" s="344">
        <v>19228.22</v>
      </c>
      <c r="Z614" s="344">
        <v>9</v>
      </c>
      <c r="AA614" s="344">
        <v>19228.22</v>
      </c>
      <c r="AB614" s="344">
        <v>0</v>
      </c>
      <c r="AC614" s="344">
        <v>0</v>
      </c>
      <c r="AD614" s="344">
        <v>0</v>
      </c>
      <c r="AE614" s="344">
        <v>38456.44</v>
      </c>
      <c r="AF614" s="344">
        <v>0</v>
      </c>
      <c r="AG614" s="344" t="s">
        <v>65</v>
      </c>
      <c r="AH614" s="344" t="s">
        <v>11</v>
      </c>
      <c r="AI614" s="344">
        <v>39200000</v>
      </c>
      <c r="AJ614" s="344" t="s">
        <v>60</v>
      </c>
      <c r="AK614" s="344">
        <v>1</v>
      </c>
      <c r="AL614" s="344">
        <v>0</v>
      </c>
      <c r="AM614" s="344" t="s">
        <v>1905</v>
      </c>
    </row>
    <row r="615" spans="7:39">
      <c r="G615" s="344"/>
      <c r="H615" s="10" t="s">
        <v>3220</v>
      </c>
      <c r="I615" s="344" t="s">
        <v>87</v>
      </c>
      <c r="J615" s="344" t="s">
        <v>91</v>
      </c>
      <c r="K615" s="344" t="s">
        <v>3229</v>
      </c>
      <c r="L615" s="344" t="s">
        <v>98</v>
      </c>
      <c r="M615" s="344" t="s">
        <v>3230</v>
      </c>
      <c r="N615" s="344" t="s">
        <v>3220</v>
      </c>
      <c r="O615" s="344" t="s">
        <v>13</v>
      </c>
      <c r="P615" s="344" t="s">
        <v>62</v>
      </c>
      <c r="Q615" s="344" t="s">
        <v>63</v>
      </c>
      <c r="R615" s="344" t="s">
        <v>64</v>
      </c>
      <c r="S615" s="344" t="s">
        <v>19</v>
      </c>
      <c r="T615" s="347">
        <v>8120</v>
      </c>
      <c r="U615" s="347">
        <v>1155638.3999999999</v>
      </c>
      <c r="V615" s="344" t="s">
        <v>19</v>
      </c>
      <c r="W615" s="344">
        <v>1720383.61</v>
      </c>
      <c r="X615" s="344">
        <v>9</v>
      </c>
      <c r="Y615" s="344">
        <v>104007.46</v>
      </c>
      <c r="Z615" s="344">
        <v>9</v>
      </c>
      <c r="AA615" s="344">
        <v>104007.46</v>
      </c>
      <c r="AB615" s="344">
        <v>0</v>
      </c>
      <c r="AC615" s="344">
        <v>0</v>
      </c>
      <c r="AD615" s="344">
        <v>0</v>
      </c>
      <c r="AE615" s="344">
        <v>208014.92</v>
      </c>
      <c r="AF615" s="344">
        <v>0</v>
      </c>
      <c r="AG615" s="344" t="s">
        <v>65</v>
      </c>
      <c r="AH615" s="344" t="s">
        <v>11</v>
      </c>
      <c r="AI615" s="344">
        <v>39269080</v>
      </c>
      <c r="AJ615" s="344" t="s">
        <v>60</v>
      </c>
      <c r="AK615" s="344">
        <v>1</v>
      </c>
      <c r="AL615" s="344">
        <v>0</v>
      </c>
      <c r="AM615" s="344" t="s">
        <v>1905</v>
      </c>
    </row>
    <row r="616" spans="7:39">
      <c r="G616" s="344"/>
      <c r="H616" s="10" t="s">
        <v>3220</v>
      </c>
      <c r="I616" s="344" t="s">
        <v>87</v>
      </c>
      <c r="J616" s="344" t="s">
        <v>91</v>
      </c>
      <c r="K616" s="344" t="s">
        <v>3229</v>
      </c>
      <c r="L616" s="344" t="s">
        <v>98</v>
      </c>
      <c r="M616" s="344" t="s">
        <v>3230</v>
      </c>
      <c r="N616" s="344" t="s">
        <v>3220</v>
      </c>
      <c r="O616" s="344" t="s">
        <v>13</v>
      </c>
      <c r="P616" s="344" t="s">
        <v>62</v>
      </c>
      <c r="Q616" s="344" t="s">
        <v>63</v>
      </c>
      <c r="R616" s="344" t="s">
        <v>64</v>
      </c>
      <c r="S616" s="344" t="s">
        <v>19</v>
      </c>
      <c r="T616" s="347">
        <v>1200</v>
      </c>
      <c r="U616" s="344">
        <v>174384</v>
      </c>
      <c r="V616" s="344" t="s">
        <v>19</v>
      </c>
      <c r="W616" s="344">
        <v>0</v>
      </c>
      <c r="X616" s="344">
        <v>9</v>
      </c>
      <c r="Y616" s="344">
        <v>15694.56</v>
      </c>
      <c r="Z616" s="344">
        <v>9</v>
      </c>
      <c r="AA616" s="344">
        <v>15694.56</v>
      </c>
      <c r="AB616" s="344">
        <v>0</v>
      </c>
      <c r="AC616" s="344">
        <v>0</v>
      </c>
      <c r="AD616" s="344">
        <v>0</v>
      </c>
      <c r="AE616" s="344">
        <v>31389.119999999999</v>
      </c>
      <c r="AF616" s="344">
        <v>0</v>
      </c>
      <c r="AG616" s="344" t="s">
        <v>65</v>
      </c>
      <c r="AH616" s="344" t="s">
        <v>11</v>
      </c>
      <c r="AI616" s="344">
        <v>39269080</v>
      </c>
      <c r="AJ616" s="344" t="s">
        <v>60</v>
      </c>
      <c r="AK616" s="344">
        <v>1</v>
      </c>
      <c r="AL616" s="344">
        <v>0</v>
      </c>
      <c r="AM616" s="344" t="s">
        <v>1905</v>
      </c>
    </row>
    <row r="617" spans="7:39">
      <c r="G617" s="344"/>
      <c r="H617" s="10" t="s">
        <v>3220</v>
      </c>
      <c r="I617" s="344" t="s">
        <v>87</v>
      </c>
      <c r="J617" s="344" t="s">
        <v>91</v>
      </c>
      <c r="K617" s="344" t="s">
        <v>3229</v>
      </c>
      <c r="L617" s="344" t="s">
        <v>98</v>
      </c>
      <c r="M617" s="344" t="s">
        <v>3230</v>
      </c>
      <c r="N617" s="344" t="s">
        <v>3220</v>
      </c>
      <c r="O617" s="344" t="s">
        <v>13</v>
      </c>
      <c r="P617" s="344" t="s">
        <v>62</v>
      </c>
      <c r="Q617" s="344" t="s">
        <v>63</v>
      </c>
      <c r="R617" s="344" t="s">
        <v>64</v>
      </c>
      <c r="S617" s="344" t="s">
        <v>19</v>
      </c>
      <c r="T617" s="344">
        <v>895</v>
      </c>
      <c r="U617" s="347">
        <v>129166.39999999999</v>
      </c>
      <c r="V617" s="344" t="s">
        <v>19</v>
      </c>
      <c r="W617" s="344">
        <v>0</v>
      </c>
      <c r="X617" s="344">
        <v>9</v>
      </c>
      <c r="Y617" s="344">
        <v>11624.98</v>
      </c>
      <c r="Z617" s="344">
        <v>9</v>
      </c>
      <c r="AA617" s="344">
        <v>11624.98</v>
      </c>
      <c r="AB617" s="344">
        <v>0</v>
      </c>
      <c r="AC617" s="344">
        <v>0</v>
      </c>
      <c r="AD617" s="344">
        <v>0</v>
      </c>
      <c r="AE617" s="344">
        <v>23249.96</v>
      </c>
      <c r="AF617" s="344">
        <v>0</v>
      </c>
      <c r="AG617" s="344" t="s">
        <v>65</v>
      </c>
      <c r="AH617" s="344" t="s">
        <v>11</v>
      </c>
      <c r="AI617" s="344">
        <v>39269080</v>
      </c>
      <c r="AJ617" s="344" t="s">
        <v>60</v>
      </c>
      <c r="AK617" s="344">
        <v>1</v>
      </c>
      <c r="AL617" s="344">
        <v>0</v>
      </c>
      <c r="AM617" s="344" t="s">
        <v>1905</v>
      </c>
    </row>
    <row r="618" spans="7:39">
      <c r="G618" s="344"/>
      <c r="H618" s="10" t="s">
        <v>3220</v>
      </c>
      <c r="I618" s="344" t="s">
        <v>87</v>
      </c>
      <c r="J618" s="344" t="s">
        <v>91</v>
      </c>
      <c r="K618" s="344" t="s">
        <v>3231</v>
      </c>
      <c r="L618" s="344" t="s">
        <v>98</v>
      </c>
      <c r="M618" s="344" t="s">
        <v>3232</v>
      </c>
      <c r="N618" s="344" t="s">
        <v>3220</v>
      </c>
      <c r="O618" s="344" t="s">
        <v>13</v>
      </c>
      <c r="P618" s="344" t="s">
        <v>62</v>
      </c>
      <c r="Q618" s="344" t="s">
        <v>76</v>
      </c>
      <c r="R618" s="344" t="s">
        <v>77</v>
      </c>
      <c r="S618" s="344" t="s">
        <v>21</v>
      </c>
      <c r="T618" s="347">
        <v>1487</v>
      </c>
      <c r="U618" s="347">
        <v>217577.84</v>
      </c>
      <c r="V618" s="344" t="s">
        <v>21</v>
      </c>
      <c r="W618" s="344">
        <v>2013633.88</v>
      </c>
      <c r="X618" s="344">
        <v>9</v>
      </c>
      <c r="Y618" s="344">
        <v>19582.009999999998</v>
      </c>
      <c r="Z618" s="344">
        <v>9</v>
      </c>
      <c r="AA618" s="344">
        <v>19582.009999999998</v>
      </c>
      <c r="AB618" s="344">
        <v>0</v>
      </c>
      <c r="AC618" s="344">
        <v>0</v>
      </c>
      <c r="AD618" s="344">
        <v>0</v>
      </c>
      <c r="AE618" s="344">
        <v>39164.019999999997</v>
      </c>
      <c r="AF618" s="344">
        <v>0</v>
      </c>
      <c r="AG618" s="344" t="s">
        <v>65</v>
      </c>
      <c r="AH618" s="344" t="s">
        <v>11</v>
      </c>
      <c r="AI618" s="344">
        <v>63053300</v>
      </c>
      <c r="AJ618" s="344" t="s">
        <v>60</v>
      </c>
      <c r="AK618" s="344">
        <v>1</v>
      </c>
      <c r="AL618" s="344">
        <v>0</v>
      </c>
      <c r="AM618" s="344" t="s">
        <v>1905</v>
      </c>
    </row>
    <row r="619" spans="7:39">
      <c r="G619" s="344"/>
      <c r="H619" s="10" t="s">
        <v>3220</v>
      </c>
      <c r="I619" s="344" t="s">
        <v>87</v>
      </c>
      <c r="J619" s="344" t="s">
        <v>91</v>
      </c>
      <c r="K619" s="344" t="s">
        <v>3231</v>
      </c>
      <c r="L619" s="344" t="s">
        <v>98</v>
      </c>
      <c r="M619" s="344" t="s">
        <v>3232</v>
      </c>
      <c r="N619" s="344" t="s">
        <v>3220</v>
      </c>
      <c r="O619" s="344" t="s">
        <v>13</v>
      </c>
      <c r="P619" s="344" t="s">
        <v>62</v>
      </c>
      <c r="Q619" s="344" t="s">
        <v>76</v>
      </c>
      <c r="R619" s="344" t="s">
        <v>77</v>
      </c>
      <c r="S619" s="344" t="s">
        <v>21</v>
      </c>
      <c r="T619" s="347">
        <v>185</v>
      </c>
      <c r="U619" s="347">
        <v>27624.2</v>
      </c>
      <c r="V619" s="344" t="s">
        <v>21</v>
      </c>
      <c r="W619" s="344">
        <v>0</v>
      </c>
      <c r="X619" s="344">
        <v>9</v>
      </c>
      <c r="Y619" s="344">
        <v>2486.1799999999998</v>
      </c>
      <c r="Z619" s="344">
        <v>9</v>
      </c>
      <c r="AA619" s="344">
        <v>2486.1799999999998</v>
      </c>
      <c r="AB619" s="344">
        <v>0</v>
      </c>
      <c r="AC619" s="344">
        <v>0</v>
      </c>
      <c r="AD619" s="344">
        <v>0</v>
      </c>
      <c r="AE619" s="344">
        <v>4972.3599999999997</v>
      </c>
      <c r="AF619" s="344">
        <v>0</v>
      </c>
      <c r="AG619" s="344" t="s">
        <v>65</v>
      </c>
      <c r="AH619" s="344" t="s">
        <v>11</v>
      </c>
      <c r="AI619" s="344">
        <v>63053300</v>
      </c>
      <c r="AJ619" s="344" t="s">
        <v>60</v>
      </c>
      <c r="AK619" s="344">
        <v>1</v>
      </c>
      <c r="AL619" s="344">
        <v>0</v>
      </c>
      <c r="AM619" s="344" t="s">
        <v>1905</v>
      </c>
    </row>
    <row r="620" spans="7:39">
      <c r="G620" s="344"/>
      <c r="H620" s="10" t="s">
        <v>3220</v>
      </c>
      <c r="I620" s="344" t="s">
        <v>87</v>
      </c>
      <c r="J620" s="344" t="s">
        <v>91</v>
      </c>
      <c r="K620" s="344" t="s">
        <v>3231</v>
      </c>
      <c r="L620" s="344" t="s">
        <v>98</v>
      </c>
      <c r="M620" s="344" t="s">
        <v>3232</v>
      </c>
      <c r="N620" s="344" t="s">
        <v>3220</v>
      </c>
      <c r="O620" s="344" t="s">
        <v>13</v>
      </c>
      <c r="P620" s="344" t="s">
        <v>62</v>
      </c>
      <c r="Q620" s="344" t="s">
        <v>63</v>
      </c>
      <c r="R620" s="344" t="s">
        <v>64</v>
      </c>
      <c r="S620" s="344" t="s">
        <v>19</v>
      </c>
      <c r="T620" s="347">
        <v>1466</v>
      </c>
      <c r="U620" s="344">
        <v>208641.12</v>
      </c>
      <c r="V620" s="344" t="s">
        <v>19</v>
      </c>
      <c r="W620" s="344">
        <v>0</v>
      </c>
      <c r="X620" s="344">
        <v>9</v>
      </c>
      <c r="Y620" s="344">
        <v>18777.7</v>
      </c>
      <c r="Z620" s="344">
        <v>9</v>
      </c>
      <c r="AA620" s="344">
        <v>18777.7</v>
      </c>
      <c r="AB620" s="344">
        <v>0</v>
      </c>
      <c r="AC620" s="344">
        <v>0</v>
      </c>
      <c r="AD620" s="344">
        <v>0</v>
      </c>
      <c r="AE620" s="344">
        <v>37555.4</v>
      </c>
      <c r="AF620" s="344">
        <v>0</v>
      </c>
      <c r="AG620" s="344" t="s">
        <v>65</v>
      </c>
      <c r="AH620" s="344" t="s">
        <v>11</v>
      </c>
      <c r="AI620" s="344">
        <v>39269080</v>
      </c>
      <c r="AJ620" s="344" t="s">
        <v>60</v>
      </c>
      <c r="AK620" s="344">
        <v>1</v>
      </c>
      <c r="AL620" s="344">
        <v>0</v>
      </c>
      <c r="AM620" s="344" t="s">
        <v>1905</v>
      </c>
    </row>
    <row r="621" spans="7:39">
      <c r="G621" s="344"/>
      <c r="H621" s="10" t="s">
        <v>3220</v>
      </c>
      <c r="I621" s="344" t="s">
        <v>87</v>
      </c>
      <c r="J621" s="344" t="s">
        <v>91</v>
      </c>
      <c r="K621" s="344" t="s">
        <v>3231</v>
      </c>
      <c r="L621" s="344" t="s">
        <v>98</v>
      </c>
      <c r="M621" s="344" t="s">
        <v>3232</v>
      </c>
      <c r="N621" s="344" t="s">
        <v>3220</v>
      </c>
      <c r="O621" s="344" t="s">
        <v>13</v>
      </c>
      <c r="P621" s="344" t="s">
        <v>62</v>
      </c>
      <c r="Q621" s="344" t="s">
        <v>63</v>
      </c>
      <c r="R621" s="344" t="s">
        <v>64</v>
      </c>
      <c r="S621" s="344" t="s">
        <v>19</v>
      </c>
      <c r="T621" s="344">
        <v>262</v>
      </c>
      <c r="U621" s="347">
        <v>38073.839999999997</v>
      </c>
      <c r="V621" s="344" t="s">
        <v>19</v>
      </c>
      <c r="W621" s="344">
        <v>0</v>
      </c>
      <c r="X621" s="344">
        <v>9</v>
      </c>
      <c r="Y621" s="344">
        <v>3426.65</v>
      </c>
      <c r="Z621" s="344">
        <v>9</v>
      </c>
      <c r="AA621" s="344">
        <v>3426.65</v>
      </c>
      <c r="AB621" s="344">
        <v>0</v>
      </c>
      <c r="AC621" s="344">
        <v>0</v>
      </c>
      <c r="AD621" s="344">
        <v>0</v>
      </c>
      <c r="AE621" s="344">
        <v>6853.3</v>
      </c>
      <c r="AF621" s="344">
        <v>0</v>
      </c>
      <c r="AG621" s="344" t="s">
        <v>65</v>
      </c>
      <c r="AH621" s="344" t="s">
        <v>11</v>
      </c>
      <c r="AI621" s="344">
        <v>39269080</v>
      </c>
      <c r="AJ621" s="344" t="s">
        <v>60</v>
      </c>
      <c r="AK621" s="344">
        <v>1</v>
      </c>
      <c r="AL621" s="344">
        <v>0</v>
      </c>
      <c r="AM621" s="344" t="s">
        <v>1905</v>
      </c>
    </row>
    <row r="622" spans="7:39">
      <c r="G622" s="344"/>
      <c r="H622" s="10" t="s">
        <v>3220</v>
      </c>
      <c r="I622" s="344" t="s">
        <v>87</v>
      </c>
      <c r="J622" s="344" t="s">
        <v>91</v>
      </c>
      <c r="K622" s="344" t="s">
        <v>3231</v>
      </c>
      <c r="L622" s="344" t="s">
        <v>98</v>
      </c>
      <c r="M622" s="344" t="s">
        <v>3232</v>
      </c>
      <c r="N622" s="344" t="s">
        <v>3220</v>
      </c>
      <c r="O622" s="344" t="s">
        <v>13</v>
      </c>
      <c r="P622" s="344" t="s">
        <v>24</v>
      </c>
      <c r="Q622" s="344" t="s">
        <v>79</v>
      </c>
      <c r="R622" s="344" t="s">
        <v>79</v>
      </c>
      <c r="S622" s="344" t="s">
        <v>24</v>
      </c>
      <c r="T622" s="344">
        <v>12.4</v>
      </c>
      <c r="U622" s="347">
        <v>2087.17</v>
      </c>
      <c r="V622" s="344" t="s">
        <v>24</v>
      </c>
      <c r="W622" s="344">
        <v>0</v>
      </c>
      <c r="X622" s="344">
        <v>9</v>
      </c>
      <c r="Y622" s="344">
        <v>187.85</v>
      </c>
      <c r="Z622" s="344">
        <v>9</v>
      </c>
      <c r="AA622" s="344">
        <v>187.85</v>
      </c>
      <c r="AB622" s="344">
        <v>0</v>
      </c>
      <c r="AC622" s="344">
        <v>0</v>
      </c>
      <c r="AD622" s="344">
        <v>0</v>
      </c>
      <c r="AE622" s="344">
        <v>375.7</v>
      </c>
      <c r="AF622" s="344">
        <v>0</v>
      </c>
      <c r="AG622" s="344" t="s">
        <v>65</v>
      </c>
      <c r="AH622" s="344" t="s">
        <v>11</v>
      </c>
      <c r="AI622" s="344">
        <v>3926908</v>
      </c>
      <c r="AJ622" s="344" t="s">
        <v>60</v>
      </c>
      <c r="AK622" s="344">
        <v>1</v>
      </c>
      <c r="AL622" s="344">
        <v>0</v>
      </c>
      <c r="AM622" s="344" t="s">
        <v>1905</v>
      </c>
    </row>
    <row r="623" spans="7:39">
      <c r="G623" s="344"/>
      <c r="H623" s="10" t="s">
        <v>3220</v>
      </c>
      <c r="I623" s="344" t="s">
        <v>87</v>
      </c>
      <c r="J623" s="344" t="s">
        <v>91</v>
      </c>
      <c r="K623" s="344" t="s">
        <v>3231</v>
      </c>
      <c r="L623" s="344" t="s">
        <v>98</v>
      </c>
      <c r="M623" s="344" t="s">
        <v>3232</v>
      </c>
      <c r="N623" s="344" t="s">
        <v>3220</v>
      </c>
      <c r="O623" s="344" t="s">
        <v>13</v>
      </c>
      <c r="P623" s="344" t="s">
        <v>24</v>
      </c>
      <c r="Q623" s="344" t="s">
        <v>79</v>
      </c>
      <c r="R623" s="344" t="s">
        <v>79</v>
      </c>
      <c r="S623" s="344" t="s">
        <v>24</v>
      </c>
      <c r="T623" s="344">
        <v>6.8</v>
      </c>
      <c r="U623" s="347">
        <v>1124.18</v>
      </c>
      <c r="V623" s="344" t="s">
        <v>24</v>
      </c>
      <c r="W623" s="344">
        <v>0</v>
      </c>
      <c r="X623" s="344">
        <v>9</v>
      </c>
      <c r="Y623" s="344">
        <v>101.18</v>
      </c>
      <c r="Z623" s="344">
        <v>9</v>
      </c>
      <c r="AA623" s="344">
        <v>101.18</v>
      </c>
      <c r="AB623" s="344">
        <v>0</v>
      </c>
      <c r="AC623" s="344">
        <v>0</v>
      </c>
      <c r="AD623" s="344">
        <v>0</v>
      </c>
      <c r="AE623" s="344">
        <v>202.36</v>
      </c>
      <c r="AF623" s="344">
        <v>0</v>
      </c>
      <c r="AG623" s="344" t="s">
        <v>65</v>
      </c>
      <c r="AH623" s="344" t="s">
        <v>11</v>
      </c>
      <c r="AI623" s="344">
        <v>3926908</v>
      </c>
      <c r="AJ623" s="344" t="s">
        <v>60</v>
      </c>
      <c r="AK623" s="344">
        <v>1</v>
      </c>
      <c r="AL623" s="344">
        <v>0</v>
      </c>
      <c r="AM623" s="344" t="s">
        <v>1905</v>
      </c>
    </row>
    <row r="624" spans="7:39">
      <c r="G624" s="344"/>
      <c r="H624" s="10" t="s">
        <v>3220</v>
      </c>
      <c r="I624" s="344" t="s">
        <v>87</v>
      </c>
      <c r="J624" s="344" t="s">
        <v>91</v>
      </c>
      <c r="K624" s="344" t="s">
        <v>3231</v>
      </c>
      <c r="L624" s="344" t="s">
        <v>98</v>
      </c>
      <c r="M624" s="344" t="s">
        <v>3232</v>
      </c>
      <c r="N624" s="344" t="s">
        <v>3220</v>
      </c>
      <c r="O624" s="344" t="s">
        <v>13</v>
      </c>
      <c r="P624" s="344" t="s">
        <v>24</v>
      </c>
      <c r="Q624" s="344" t="s">
        <v>79</v>
      </c>
      <c r="R624" s="344" t="s">
        <v>79</v>
      </c>
      <c r="S624" s="344" t="s">
        <v>24</v>
      </c>
      <c r="T624" s="344">
        <v>927.2</v>
      </c>
      <c r="U624" s="347">
        <v>136595.1</v>
      </c>
      <c r="V624" s="344" t="s">
        <v>24</v>
      </c>
      <c r="W624" s="344">
        <v>0</v>
      </c>
      <c r="X624" s="344">
        <v>9</v>
      </c>
      <c r="Y624" s="344">
        <v>12293.56</v>
      </c>
      <c r="Z624" s="344">
        <v>9</v>
      </c>
      <c r="AA624" s="344">
        <v>12293.56</v>
      </c>
      <c r="AB624" s="344">
        <v>0</v>
      </c>
      <c r="AC624" s="344">
        <v>0</v>
      </c>
      <c r="AD624" s="344">
        <v>0</v>
      </c>
      <c r="AE624" s="344">
        <v>24587.119999999999</v>
      </c>
      <c r="AF624" s="344">
        <v>0</v>
      </c>
      <c r="AG624" s="344" t="s">
        <v>65</v>
      </c>
      <c r="AH624" s="344" t="s">
        <v>11</v>
      </c>
      <c r="AI624" s="344">
        <v>3926908</v>
      </c>
      <c r="AJ624" s="344" t="s">
        <v>60</v>
      </c>
      <c r="AK624" s="344">
        <v>1</v>
      </c>
      <c r="AL624" s="344">
        <v>0</v>
      </c>
      <c r="AM624" s="344" t="s">
        <v>1905</v>
      </c>
    </row>
    <row r="625" spans="7:39">
      <c r="G625" s="344"/>
      <c r="H625" s="10" t="s">
        <v>3220</v>
      </c>
      <c r="I625" s="344" t="s">
        <v>87</v>
      </c>
      <c r="J625" s="344" t="s">
        <v>91</v>
      </c>
      <c r="K625" s="344" t="s">
        <v>3231</v>
      </c>
      <c r="L625" s="344" t="s">
        <v>98</v>
      </c>
      <c r="M625" s="344" t="s">
        <v>3232</v>
      </c>
      <c r="N625" s="344" t="s">
        <v>3220</v>
      </c>
      <c r="O625" s="344" t="s">
        <v>13</v>
      </c>
      <c r="P625" s="344" t="s">
        <v>24</v>
      </c>
      <c r="Q625" s="344" t="s">
        <v>79</v>
      </c>
      <c r="R625" s="344" t="s">
        <v>79</v>
      </c>
      <c r="S625" s="344" t="s">
        <v>24</v>
      </c>
      <c r="T625" s="347">
        <v>1118.9000000000001</v>
      </c>
      <c r="U625" s="347">
        <v>161479.65</v>
      </c>
      <c r="V625" s="344" t="s">
        <v>24</v>
      </c>
      <c r="W625" s="344">
        <v>0</v>
      </c>
      <c r="X625" s="344">
        <v>9</v>
      </c>
      <c r="Y625" s="344">
        <v>14533.17</v>
      </c>
      <c r="Z625" s="344">
        <v>9</v>
      </c>
      <c r="AA625" s="344">
        <v>14533.17</v>
      </c>
      <c r="AB625" s="344">
        <v>0</v>
      </c>
      <c r="AC625" s="344">
        <v>0</v>
      </c>
      <c r="AD625" s="344">
        <v>0</v>
      </c>
      <c r="AE625" s="344">
        <v>29066.34</v>
      </c>
      <c r="AF625" s="344">
        <v>0</v>
      </c>
      <c r="AG625" s="344" t="s">
        <v>65</v>
      </c>
      <c r="AH625" s="344" t="s">
        <v>11</v>
      </c>
      <c r="AI625" s="344">
        <v>3926908</v>
      </c>
      <c r="AJ625" s="344" t="s">
        <v>60</v>
      </c>
      <c r="AK625" s="344">
        <v>1</v>
      </c>
      <c r="AL625" s="344">
        <v>0</v>
      </c>
      <c r="AM625" s="344" t="s">
        <v>1905</v>
      </c>
    </row>
    <row r="626" spans="7:39">
      <c r="G626" s="344"/>
      <c r="H626" s="10" t="s">
        <v>3220</v>
      </c>
      <c r="I626" s="344" t="s">
        <v>87</v>
      </c>
      <c r="J626" s="344" t="s">
        <v>91</v>
      </c>
      <c r="K626" s="344" t="s">
        <v>3231</v>
      </c>
      <c r="L626" s="344" t="s">
        <v>98</v>
      </c>
      <c r="M626" s="344" t="s">
        <v>3232</v>
      </c>
      <c r="N626" s="344" t="s">
        <v>3220</v>
      </c>
      <c r="O626" s="344" t="s">
        <v>13</v>
      </c>
      <c r="P626" s="344" t="s">
        <v>80</v>
      </c>
      <c r="Q626" s="344" t="s">
        <v>81</v>
      </c>
      <c r="R626" s="344" t="s">
        <v>82</v>
      </c>
      <c r="S626" s="344" t="s">
        <v>17</v>
      </c>
      <c r="T626" s="347">
        <v>4944</v>
      </c>
      <c r="U626" s="344">
        <v>874395.84</v>
      </c>
      <c r="V626" s="344" t="s">
        <v>17</v>
      </c>
      <c r="W626" s="344">
        <v>0</v>
      </c>
      <c r="X626" s="344">
        <v>9</v>
      </c>
      <c r="Y626" s="344">
        <v>78695.63</v>
      </c>
      <c r="Z626" s="344">
        <v>9</v>
      </c>
      <c r="AA626" s="344">
        <v>78695.63</v>
      </c>
      <c r="AB626" s="344">
        <v>0</v>
      </c>
      <c r="AC626" s="344">
        <v>0</v>
      </c>
      <c r="AD626" s="344">
        <v>0</v>
      </c>
      <c r="AE626" s="344">
        <v>157391.26</v>
      </c>
      <c r="AF626" s="344">
        <v>0</v>
      </c>
      <c r="AG626" s="344" t="s">
        <v>65</v>
      </c>
      <c r="AH626" s="344" t="s">
        <v>11</v>
      </c>
      <c r="AI626" s="344">
        <v>39200000</v>
      </c>
      <c r="AJ626" s="344" t="s">
        <v>60</v>
      </c>
      <c r="AK626" s="344">
        <v>1</v>
      </c>
      <c r="AL626" s="344">
        <v>0</v>
      </c>
      <c r="AM626" s="344" t="s">
        <v>1905</v>
      </c>
    </row>
    <row r="627" spans="7:39">
      <c r="G627" s="344"/>
      <c r="H627" s="10" t="s">
        <v>3220</v>
      </c>
      <c r="I627" s="344" t="s">
        <v>87</v>
      </c>
      <c r="J627" s="344" t="s">
        <v>91</v>
      </c>
      <c r="K627" s="344" t="s">
        <v>3231</v>
      </c>
      <c r="L627" s="344" t="s">
        <v>98</v>
      </c>
      <c r="M627" s="344" t="s">
        <v>3232</v>
      </c>
      <c r="N627" s="344" t="s">
        <v>3220</v>
      </c>
      <c r="O627" s="344" t="s">
        <v>8</v>
      </c>
      <c r="P627" s="344" t="s">
        <v>625</v>
      </c>
      <c r="Q627" s="344" t="s">
        <v>625</v>
      </c>
      <c r="R627" s="344" t="s">
        <v>4</v>
      </c>
      <c r="S627" s="344" t="s">
        <v>743</v>
      </c>
      <c r="T627" s="347">
        <v>8400</v>
      </c>
      <c r="U627" s="347">
        <v>29606.639999999999</v>
      </c>
      <c r="V627" s="344" t="s">
        <v>743</v>
      </c>
      <c r="W627" s="344">
        <v>0</v>
      </c>
      <c r="X627" s="344">
        <v>9</v>
      </c>
      <c r="Y627" s="344">
        <v>2664.6</v>
      </c>
      <c r="Z627" s="344">
        <v>9</v>
      </c>
      <c r="AA627" s="344">
        <v>2664.6</v>
      </c>
      <c r="AB627" s="344">
        <v>0</v>
      </c>
      <c r="AC627" s="344">
        <v>0</v>
      </c>
      <c r="AD627" s="344">
        <v>0</v>
      </c>
      <c r="AE627" s="344">
        <v>5329.2</v>
      </c>
      <c r="AF627" s="344">
        <v>0</v>
      </c>
      <c r="AG627" s="344" t="s">
        <v>65</v>
      </c>
      <c r="AH627" s="344" t="s">
        <v>1</v>
      </c>
      <c r="AI627" s="344">
        <v>39232100</v>
      </c>
      <c r="AJ627" s="344" t="s">
        <v>60</v>
      </c>
      <c r="AK627" s="344">
        <v>1</v>
      </c>
      <c r="AL627" s="344">
        <v>167.4</v>
      </c>
      <c r="AM627" s="344" t="s">
        <v>1905</v>
      </c>
    </row>
    <row r="628" spans="7:39">
      <c r="G628" s="344"/>
      <c r="H628" s="10" t="s">
        <v>3220</v>
      </c>
      <c r="I628" s="344" t="s">
        <v>87</v>
      </c>
      <c r="J628" s="344" t="s">
        <v>91</v>
      </c>
      <c r="K628" s="344" t="s">
        <v>3231</v>
      </c>
      <c r="L628" s="344" t="s">
        <v>98</v>
      </c>
      <c r="M628" s="344" t="s">
        <v>3232</v>
      </c>
      <c r="N628" s="344" t="s">
        <v>3220</v>
      </c>
      <c r="O628" s="344" t="s">
        <v>13</v>
      </c>
      <c r="P628" s="344" t="s">
        <v>99</v>
      </c>
      <c r="Q628" s="344" t="s">
        <v>100</v>
      </c>
      <c r="R628" s="344" t="s">
        <v>101</v>
      </c>
      <c r="S628" s="344" t="s">
        <v>1582</v>
      </c>
      <c r="T628" s="347">
        <v>84</v>
      </c>
      <c r="U628" s="347">
        <v>12038.88</v>
      </c>
      <c r="V628" s="344" t="s">
        <v>1582</v>
      </c>
      <c r="W628" s="344">
        <v>0</v>
      </c>
      <c r="X628" s="344">
        <v>2.5</v>
      </c>
      <c r="Y628" s="344">
        <v>300.97000000000003</v>
      </c>
      <c r="Z628" s="344">
        <v>2.5</v>
      </c>
      <c r="AA628" s="344">
        <v>300.97000000000003</v>
      </c>
      <c r="AB628" s="344">
        <v>0</v>
      </c>
      <c r="AC628" s="344">
        <v>0</v>
      </c>
      <c r="AD628" s="344">
        <v>0</v>
      </c>
      <c r="AE628" s="344">
        <v>601.94000000000005</v>
      </c>
      <c r="AF628" s="344">
        <v>0</v>
      </c>
      <c r="AG628" s="344" t="s">
        <v>65</v>
      </c>
      <c r="AH628" s="344" t="s">
        <v>11</v>
      </c>
      <c r="AI628" s="344">
        <v>54026930</v>
      </c>
      <c r="AJ628" s="344" t="s">
        <v>60</v>
      </c>
      <c r="AK628" s="344">
        <v>1</v>
      </c>
      <c r="AL628" s="344">
        <v>0</v>
      </c>
      <c r="AM628" s="344" t="s">
        <v>1905</v>
      </c>
    </row>
    <row r="629" spans="7:39">
      <c r="G629" s="344"/>
      <c r="H629" s="10" t="s">
        <v>3233</v>
      </c>
      <c r="I629" s="344" t="s">
        <v>107</v>
      </c>
      <c r="J629" s="344" t="s">
        <v>96</v>
      </c>
      <c r="K629" s="344" t="s">
        <v>3234</v>
      </c>
      <c r="L629" s="344" t="s">
        <v>97</v>
      </c>
      <c r="M629" s="344" t="s">
        <v>3235</v>
      </c>
      <c r="N629" s="344" t="s">
        <v>3173</v>
      </c>
      <c r="O629" s="344" t="s">
        <v>5</v>
      </c>
      <c r="P629" s="344" t="s">
        <v>108</v>
      </c>
      <c r="Q629" s="344" t="s">
        <v>68</v>
      </c>
      <c r="R629" s="8" t="s">
        <v>69</v>
      </c>
      <c r="S629" s="344" t="s">
        <v>556</v>
      </c>
      <c r="T629" s="344">
        <v>600</v>
      </c>
      <c r="U629" s="347">
        <v>58674</v>
      </c>
      <c r="V629" s="344" t="s">
        <v>556</v>
      </c>
      <c r="W629" s="344">
        <v>58674</v>
      </c>
      <c r="X629" s="344">
        <v>0</v>
      </c>
      <c r="Y629" s="344">
        <v>0</v>
      </c>
      <c r="Z629" s="344">
        <v>0</v>
      </c>
      <c r="AA629" s="344">
        <v>0</v>
      </c>
      <c r="AB629" s="344">
        <v>0</v>
      </c>
      <c r="AC629" s="344">
        <v>0</v>
      </c>
      <c r="AD629" s="344">
        <v>0</v>
      </c>
      <c r="AE629" s="344">
        <v>0</v>
      </c>
      <c r="AF629" s="344">
        <v>0</v>
      </c>
      <c r="AG629" s="344" t="s">
        <v>557</v>
      </c>
      <c r="AH629" s="344" t="s">
        <v>6</v>
      </c>
      <c r="AI629" s="344">
        <v>27101930</v>
      </c>
      <c r="AJ629" s="344" t="s">
        <v>60</v>
      </c>
      <c r="AK629" s="344">
        <v>1</v>
      </c>
      <c r="AL629" s="344">
        <v>0</v>
      </c>
      <c r="AM629" s="344" t="s">
        <v>1905</v>
      </c>
    </row>
    <row r="630" spans="7:39">
      <c r="G630" s="344"/>
      <c r="H630" s="10" t="s">
        <v>3233</v>
      </c>
      <c r="I630" s="344" t="s">
        <v>93</v>
      </c>
      <c r="J630" s="344" t="s">
        <v>91</v>
      </c>
      <c r="K630" s="344" t="s">
        <v>3236</v>
      </c>
      <c r="L630" s="344" t="s">
        <v>98</v>
      </c>
      <c r="M630" s="344" t="s">
        <v>3237</v>
      </c>
      <c r="N630" s="344" t="s">
        <v>3220</v>
      </c>
      <c r="O630" s="344" t="s">
        <v>13</v>
      </c>
      <c r="P630" s="344" t="s">
        <v>99</v>
      </c>
      <c r="Q630" s="344" t="s">
        <v>100</v>
      </c>
      <c r="R630" s="8" t="s">
        <v>101</v>
      </c>
      <c r="S630" s="8" t="s">
        <v>1582</v>
      </c>
      <c r="T630" s="347">
        <v>383</v>
      </c>
      <c r="U630" s="347">
        <v>61050.2</v>
      </c>
      <c r="V630" s="344" t="s">
        <v>1582</v>
      </c>
      <c r="W630" s="344">
        <v>94393.44</v>
      </c>
      <c r="X630" s="344">
        <v>2.5</v>
      </c>
      <c r="Y630" s="344">
        <v>1526.26</v>
      </c>
      <c r="Z630" s="344">
        <v>2.5</v>
      </c>
      <c r="AA630" s="344">
        <v>1526.26</v>
      </c>
      <c r="AB630" s="344">
        <v>0</v>
      </c>
      <c r="AC630" s="344">
        <v>0</v>
      </c>
      <c r="AD630" s="344">
        <v>0</v>
      </c>
      <c r="AE630" s="344">
        <v>3052.52</v>
      </c>
      <c r="AF630" s="344">
        <v>0</v>
      </c>
      <c r="AG630" s="344" t="s">
        <v>59</v>
      </c>
      <c r="AH630" s="344" t="s">
        <v>11</v>
      </c>
      <c r="AI630" s="344">
        <v>54026930</v>
      </c>
      <c r="AJ630" s="344" t="s">
        <v>60</v>
      </c>
      <c r="AK630" s="344">
        <v>1</v>
      </c>
      <c r="AL630" s="344">
        <v>0</v>
      </c>
      <c r="AM630" s="344" t="s">
        <v>1905</v>
      </c>
    </row>
    <row r="631" spans="7:39">
      <c r="G631" s="344"/>
      <c r="H631" s="10" t="s">
        <v>3233</v>
      </c>
      <c r="I631" s="344" t="s">
        <v>93</v>
      </c>
      <c r="J631" s="344" t="s">
        <v>91</v>
      </c>
      <c r="K631" s="344" t="s">
        <v>3236</v>
      </c>
      <c r="L631" s="344" t="s">
        <v>98</v>
      </c>
      <c r="M631" s="344" t="s">
        <v>3237</v>
      </c>
      <c r="N631" s="344" t="s">
        <v>3220</v>
      </c>
      <c r="O631" s="344" t="s">
        <v>13</v>
      </c>
      <c r="P631" s="344" t="s">
        <v>99</v>
      </c>
      <c r="Q631" s="344" t="s">
        <v>100</v>
      </c>
      <c r="R631" s="344" t="s">
        <v>101</v>
      </c>
      <c r="S631" s="344" t="s">
        <v>2377</v>
      </c>
      <c r="T631" s="347">
        <v>185</v>
      </c>
      <c r="U631" s="347">
        <v>28934</v>
      </c>
      <c r="V631" s="344" t="s">
        <v>2377</v>
      </c>
      <c r="W631" s="344">
        <v>0</v>
      </c>
      <c r="X631" s="344">
        <v>2.5</v>
      </c>
      <c r="Y631" s="344">
        <v>723.35</v>
      </c>
      <c r="Z631" s="344">
        <v>2.5</v>
      </c>
      <c r="AA631" s="344">
        <v>723.35</v>
      </c>
      <c r="AB631" s="344">
        <v>0</v>
      </c>
      <c r="AC631" s="344">
        <v>0</v>
      </c>
      <c r="AD631" s="344">
        <v>0</v>
      </c>
      <c r="AE631" s="344">
        <v>1446.7</v>
      </c>
      <c r="AF631" s="344">
        <v>0</v>
      </c>
      <c r="AG631" s="344" t="s">
        <v>59</v>
      </c>
      <c r="AH631" s="344" t="s">
        <v>11</v>
      </c>
      <c r="AI631" s="344">
        <v>54026930</v>
      </c>
      <c r="AJ631" s="344" t="s">
        <v>60</v>
      </c>
      <c r="AK631" s="344">
        <v>1</v>
      </c>
      <c r="AL631" s="344">
        <v>0</v>
      </c>
      <c r="AM631" s="344" t="s">
        <v>1905</v>
      </c>
    </row>
    <row r="632" spans="7:39">
      <c r="G632" s="344"/>
      <c r="H632" s="10" t="s">
        <v>3233</v>
      </c>
      <c r="I632" s="344" t="s">
        <v>87</v>
      </c>
      <c r="J632" s="344" t="s">
        <v>96</v>
      </c>
      <c r="K632" s="344" t="s">
        <v>3238</v>
      </c>
      <c r="L632" s="344" t="s">
        <v>97</v>
      </c>
      <c r="M632" s="344" t="s">
        <v>3239</v>
      </c>
      <c r="N632" s="344" t="s">
        <v>3233</v>
      </c>
      <c r="O632" s="344" t="s">
        <v>2</v>
      </c>
      <c r="P632" s="344" t="s">
        <v>67</v>
      </c>
      <c r="Q632" s="344" t="s">
        <v>68</v>
      </c>
      <c r="R632" s="344" t="s">
        <v>69</v>
      </c>
      <c r="S632" s="344" t="s">
        <v>70</v>
      </c>
      <c r="T632" s="344">
        <v>366</v>
      </c>
      <c r="U632" s="347">
        <v>17568</v>
      </c>
      <c r="V632" s="344" t="s">
        <v>70</v>
      </c>
      <c r="W632" s="344">
        <v>20712.669999999998</v>
      </c>
      <c r="X632" s="344">
        <v>9</v>
      </c>
      <c r="Y632" s="344">
        <v>1581.12</v>
      </c>
      <c r="Z632" s="344">
        <v>9</v>
      </c>
      <c r="AA632" s="344">
        <v>1581.12</v>
      </c>
      <c r="AB632" s="344">
        <v>0</v>
      </c>
      <c r="AC632" s="344">
        <v>0</v>
      </c>
      <c r="AD632" s="344">
        <v>0</v>
      </c>
      <c r="AE632" s="344">
        <v>3162.24</v>
      </c>
      <c r="AF632" s="344">
        <v>0</v>
      </c>
      <c r="AG632" s="344" t="s">
        <v>65</v>
      </c>
      <c r="AH632" s="344" t="s">
        <v>11</v>
      </c>
      <c r="AI632" s="344">
        <v>73063090</v>
      </c>
      <c r="AJ632" s="344" t="s">
        <v>60</v>
      </c>
      <c r="AK632" s="344">
        <v>1</v>
      </c>
      <c r="AL632" s="344">
        <v>0</v>
      </c>
      <c r="AM632" s="344" t="s">
        <v>1905</v>
      </c>
    </row>
    <row r="633" spans="7:39">
      <c r="G633" s="344"/>
      <c r="H633" s="10" t="s">
        <v>3233</v>
      </c>
      <c r="I633" s="344" t="s">
        <v>87</v>
      </c>
      <c r="J633" s="344" t="s">
        <v>91</v>
      </c>
      <c r="K633" s="344" t="s">
        <v>3240</v>
      </c>
      <c r="L633" s="344" t="s">
        <v>98</v>
      </c>
      <c r="M633" s="344" t="s">
        <v>3241</v>
      </c>
      <c r="N633" s="344" t="s">
        <v>3233</v>
      </c>
      <c r="O633" s="344" t="s">
        <v>13</v>
      </c>
      <c r="P633" s="344" t="s">
        <v>62</v>
      </c>
      <c r="Q633" s="344" t="s">
        <v>63</v>
      </c>
      <c r="R633" s="344" t="s">
        <v>64</v>
      </c>
      <c r="S633" s="344" t="s">
        <v>19</v>
      </c>
      <c r="T633" s="347">
        <v>1337</v>
      </c>
      <c r="U633" s="344">
        <v>194292.84</v>
      </c>
      <c r="V633" s="344" t="s">
        <v>19</v>
      </c>
      <c r="W633" s="344">
        <v>1380377.22</v>
      </c>
      <c r="X633" s="344">
        <v>9</v>
      </c>
      <c r="Y633" s="344">
        <v>17486.36</v>
      </c>
      <c r="Z633" s="344">
        <v>9</v>
      </c>
      <c r="AA633" s="344">
        <v>17486.36</v>
      </c>
      <c r="AB633" s="344">
        <v>0</v>
      </c>
      <c r="AC633" s="344">
        <v>0</v>
      </c>
      <c r="AD633" s="344">
        <v>0</v>
      </c>
      <c r="AE633" s="344">
        <v>34972.720000000001</v>
      </c>
      <c r="AF633" s="344">
        <v>0</v>
      </c>
      <c r="AG633" s="344" t="s">
        <v>65</v>
      </c>
      <c r="AH633" s="344" t="s">
        <v>11</v>
      </c>
      <c r="AI633" s="344">
        <v>39269080</v>
      </c>
      <c r="AJ633" s="344" t="s">
        <v>60</v>
      </c>
      <c r="AK633" s="344">
        <v>1</v>
      </c>
      <c r="AL633" s="344">
        <v>0</v>
      </c>
      <c r="AM633" s="344" t="s">
        <v>1905</v>
      </c>
    </row>
    <row r="634" spans="7:39">
      <c r="G634" s="344"/>
      <c r="H634" s="10" t="s">
        <v>3233</v>
      </c>
      <c r="I634" s="344" t="s">
        <v>87</v>
      </c>
      <c r="J634" s="344" t="s">
        <v>91</v>
      </c>
      <c r="K634" s="344" t="s">
        <v>3240</v>
      </c>
      <c r="L634" s="344" t="s">
        <v>98</v>
      </c>
      <c r="M634" s="344" t="s">
        <v>3241</v>
      </c>
      <c r="N634" s="344" t="s">
        <v>3233</v>
      </c>
      <c r="O634" s="344" t="s">
        <v>13</v>
      </c>
      <c r="P634" s="344" t="s">
        <v>62</v>
      </c>
      <c r="Q634" s="344" t="s">
        <v>63</v>
      </c>
      <c r="R634" s="344" t="s">
        <v>64</v>
      </c>
      <c r="S634" s="344" t="s">
        <v>19</v>
      </c>
      <c r="T634" s="344">
        <v>240</v>
      </c>
      <c r="U634" s="347">
        <v>34636.800000000003</v>
      </c>
      <c r="V634" s="344" t="s">
        <v>19</v>
      </c>
      <c r="W634" s="344">
        <v>0</v>
      </c>
      <c r="X634" s="344">
        <v>9</v>
      </c>
      <c r="Y634" s="344">
        <v>3117.31</v>
      </c>
      <c r="Z634" s="344">
        <v>9</v>
      </c>
      <c r="AA634" s="344">
        <v>3117.31</v>
      </c>
      <c r="AB634" s="344">
        <v>0</v>
      </c>
      <c r="AC634" s="344">
        <v>0</v>
      </c>
      <c r="AD634" s="344">
        <v>0</v>
      </c>
      <c r="AE634" s="344">
        <v>6234.62</v>
      </c>
      <c r="AF634" s="344">
        <v>0</v>
      </c>
      <c r="AG634" s="344" t="s">
        <v>65</v>
      </c>
      <c r="AH634" s="344" t="s">
        <v>11</v>
      </c>
      <c r="AI634" s="344">
        <v>39269080</v>
      </c>
      <c r="AJ634" s="344" t="s">
        <v>60</v>
      </c>
      <c r="AK634" s="344">
        <v>1</v>
      </c>
      <c r="AL634" s="344">
        <v>0</v>
      </c>
      <c r="AM634" s="344" t="s">
        <v>1905</v>
      </c>
    </row>
    <row r="635" spans="7:39">
      <c r="G635" s="344"/>
      <c r="H635" s="10" t="s">
        <v>3233</v>
      </c>
      <c r="I635" s="344" t="s">
        <v>87</v>
      </c>
      <c r="J635" s="344" t="s">
        <v>91</v>
      </c>
      <c r="K635" s="344" t="s">
        <v>3240</v>
      </c>
      <c r="L635" s="344" t="s">
        <v>98</v>
      </c>
      <c r="M635" s="344" t="s">
        <v>3241</v>
      </c>
      <c r="N635" s="344" t="s">
        <v>3233</v>
      </c>
      <c r="O635" s="344" t="s">
        <v>13</v>
      </c>
      <c r="P635" s="344" t="s">
        <v>62</v>
      </c>
      <c r="Q635" s="344" t="s">
        <v>63</v>
      </c>
      <c r="R635" s="344" t="s">
        <v>64</v>
      </c>
      <c r="S635" s="344" t="s">
        <v>19</v>
      </c>
      <c r="T635" s="347">
        <v>6618</v>
      </c>
      <c r="U635" s="347">
        <v>941873.76</v>
      </c>
      <c r="V635" s="344" t="s">
        <v>19</v>
      </c>
      <c r="W635" s="344">
        <v>0</v>
      </c>
      <c r="X635" s="344">
        <v>9</v>
      </c>
      <c r="Y635" s="344">
        <v>84768.639999999999</v>
      </c>
      <c r="Z635" s="344">
        <v>9</v>
      </c>
      <c r="AA635" s="344">
        <v>84768.639999999999</v>
      </c>
      <c r="AB635" s="344">
        <v>0</v>
      </c>
      <c r="AC635" s="344">
        <v>0</v>
      </c>
      <c r="AD635" s="344">
        <v>0</v>
      </c>
      <c r="AE635" s="344">
        <v>169537.28</v>
      </c>
      <c r="AF635" s="344">
        <v>0</v>
      </c>
      <c r="AG635" s="344" t="s">
        <v>65</v>
      </c>
      <c r="AH635" s="344" t="s">
        <v>11</v>
      </c>
      <c r="AI635" s="344">
        <v>39269080</v>
      </c>
      <c r="AJ635" s="344" t="s">
        <v>60</v>
      </c>
      <c r="AK635" s="344">
        <v>1</v>
      </c>
      <c r="AL635" s="344">
        <v>0</v>
      </c>
      <c r="AM635" s="344" t="s">
        <v>1905</v>
      </c>
    </row>
    <row r="636" spans="7:39">
      <c r="G636" s="344"/>
      <c r="H636" s="10" t="s">
        <v>3233</v>
      </c>
      <c r="I636" s="344" t="s">
        <v>87</v>
      </c>
      <c r="J636" s="344" t="s">
        <v>91</v>
      </c>
      <c r="K636" s="344" t="s">
        <v>3242</v>
      </c>
      <c r="L636" s="344" t="s">
        <v>98</v>
      </c>
      <c r="M636" s="344" t="s">
        <v>3243</v>
      </c>
      <c r="N636" s="344" t="s">
        <v>3233</v>
      </c>
      <c r="O636" s="344" t="s">
        <v>13</v>
      </c>
      <c r="P636" s="344" t="s">
        <v>80</v>
      </c>
      <c r="Q636" s="344" t="s">
        <v>81</v>
      </c>
      <c r="R636" s="344" t="s">
        <v>82</v>
      </c>
      <c r="S636" s="344" t="s">
        <v>17</v>
      </c>
      <c r="T636" s="347">
        <v>2165</v>
      </c>
      <c r="U636" s="344">
        <v>382901.9</v>
      </c>
      <c r="V636" s="344" t="s">
        <v>17</v>
      </c>
      <c r="W636" s="344">
        <v>1460945.24</v>
      </c>
      <c r="X636" s="344">
        <v>9</v>
      </c>
      <c r="Y636" s="344">
        <v>34461.17</v>
      </c>
      <c r="Z636" s="344">
        <v>9</v>
      </c>
      <c r="AA636" s="344">
        <v>34461.17</v>
      </c>
      <c r="AB636" s="344">
        <v>0</v>
      </c>
      <c r="AC636" s="344">
        <v>0</v>
      </c>
      <c r="AD636" s="344">
        <v>0</v>
      </c>
      <c r="AE636" s="344">
        <v>68922.34</v>
      </c>
      <c r="AF636" s="344">
        <v>0</v>
      </c>
      <c r="AG636" s="344" t="s">
        <v>65</v>
      </c>
      <c r="AH636" s="344" t="s">
        <v>11</v>
      </c>
      <c r="AI636" s="344">
        <v>39200000</v>
      </c>
      <c r="AJ636" s="344" t="s">
        <v>60</v>
      </c>
      <c r="AK636" s="344">
        <v>1</v>
      </c>
      <c r="AL636" s="344">
        <v>0</v>
      </c>
      <c r="AM636" s="344" t="s">
        <v>1905</v>
      </c>
    </row>
    <row r="637" spans="7:39">
      <c r="G637" s="344"/>
      <c r="H637" s="10" t="s">
        <v>3233</v>
      </c>
      <c r="I637" s="344" t="s">
        <v>87</v>
      </c>
      <c r="J637" s="344" t="s">
        <v>91</v>
      </c>
      <c r="K637" s="344" t="s">
        <v>3242</v>
      </c>
      <c r="L637" s="344" t="s">
        <v>98</v>
      </c>
      <c r="M637" s="344" t="s">
        <v>3243</v>
      </c>
      <c r="N637" s="344" t="s">
        <v>3233</v>
      </c>
      <c r="O637" s="344" t="s">
        <v>13</v>
      </c>
      <c r="P637" s="344" t="s">
        <v>62</v>
      </c>
      <c r="Q637" s="344" t="s">
        <v>63</v>
      </c>
      <c r="R637" s="344" t="s">
        <v>64</v>
      </c>
      <c r="S637" s="344" t="s">
        <v>19</v>
      </c>
      <c r="T637" s="347">
        <v>2264</v>
      </c>
      <c r="U637" s="347">
        <v>322212.47999999998</v>
      </c>
      <c r="V637" s="344" t="s">
        <v>19</v>
      </c>
      <c r="W637" s="344">
        <v>0</v>
      </c>
      <c r="X637" s="344">
        <v>9</v>
      </c>
      <c r="Y637" s="344">
        <v>28999.119999999999</v>
      </c>
      <c r="Z637" s="344">
        <v>9</v>
      </c>
      <c r="AA637" s="344">
        <v>28999.119999999999</v>
      </c>
      <c r="AB637" s="344">
        <v>0</v>
      </c>
      <c r="AC637" s="344">
        <v>0</v>
      </c>
      <c r="AD637" s="344">
        <v>0</v>
      </c>
      <c r="AE637" s="344">
        <v>57998.239999999998</v>
      </c>
      <c r="AF637" s="344">
        <v>0</v>
      </c>
      <c r="AG637" s="344" t="s">
        <v>65</v>
      </c>
      <c r="AH637" s="344" t="s">
        <v>11</v>
      </c>
      <c r="AI637" s="344">
        <v>39269080</v>
      </c>
      <c r="AJ637" s="344" t="s">
        <v>60</v>
      </c>
      <c r="AK637" s="344">
        <v>1</v>
      </c>
      <c r="AL637" s="344">
        <v>0</v>
      </c>
      <c r="AM637" s="344" t="s">
        <v>1905</v>
      </c>
    </row>
    <row r="638" spans="7:39">
      <c r="G638" s="344"/>
      <c r="H638" s="10" t="s">
        <v>3233</v>
      </c>
      <c r="I638" s="344" t="s">
        <v>87</v>
      </c>
      <c r="J638" s="344" t="s">
        <v>91</v>
      </c>
      <c r="K638" s="344" t="s">
        <v>3242</v>
      </c>
      <c r="L638" s="344" t="s">
        <v>98</v>
      </c>
      <c r="M638" s="344" t="s">
        <v>3243</v>
      </c>
      <c r="N638" s="344" t="s">
        <v>3233</v>
      </c>
      <c r="O638" s="344" t="s">
        <v>13</v>
      </c>
      <c r="P638" s="344" t="s">
        <v>62</v>
      </c>
      <c r="Q638" s="344" t="s">
        <v>63</v>
      </c>
      <c r="R638" s="8" t="s">
        <v>64</v>
      </c>
      <c r="S638" s="344" t="s">
        <v>19</v>
      </c>
      <c r="T638" s="347">
        <v>1133</v>
      </c>
      <c r="U638" s="347">
        <v>164647.56</v>
      </c>
      <c r="V638" s="344" t="s">
        <v>19</v>
      </c>
      <c r="W638" s="344">
        <v>0</v>
      </c>
      <c r="X638" s="344">
        <v>9</v>
      </c>
      <c r="Y638" s="344">
        <v>14818.28</v>
      </c>
      <c r="Z638" s="344">
        <v>9</v>
      </c>
      <c r="AA638" s="344">
        <v>14818.28</v>
      </c>
      <c r="AB638" s="344">
        <v>0</v>
      </c>
      <c r="AC638" s="344">
        <v>0</v>
      </c>
      <c r="AD638" s="344">
        <v>0</v>
      </c>
      <c r="AE638" s="344">
        <v>29636.560000000001</v>
      </c>
      <c r="AF638" s="344">
        <v>0</v>
      </c>
      <c r="AG638" s="344" t="s">
        <v>65</v>
      </c>
      <c r="AH638" s="344" t="s">
        <v>11</v>
      </c>
      <c r="AI638" s="344">
        <v>39269080</v>
      </c>
      <c r="AJ638" s="344" t="s">
        <v>60</v>
      </c>
      <c r="AK638" s="344">
        <v>1</v>
      </c>
      <c r="AL638" s="344">
        <v>0</v>
      </c>
      <c r="AM638" s="344" t="s">
        <v>1905</v>
      </c>
    </row>
    <row r="639" spans="7:39">
      <c r="G639" s="344"/>
      <c r="H639" s="10" t="s">
        <v>3233</v>
      </c>
      <c r="I639" s="344" t="s">
        <v>87</v>
      </c>
      <c r="J639" s="344" t="s">
        <v>91</v>
      </c>
      <c r="K639" s="344" t="s">
        <v>3242</v>
      </c>
      <c r="L639" s="344" t="s">
        <v>98</v>
      </c>
      <c r="M639" s="344" t="s">
        <v>3243</v>
      </c>
      <c r="N639" s="344" t="s">
        <v>3233</v>
      </c>
      <c r="O639" s="344" t="s">
        <v>13</v>
      </c>
      <c r="P639" s="344" t="s">
        <v>62</v>
      </c>
      <c r="Q639" s="344" t="s">
        <v>63</v>
      </c>
      <c r="R639" s="344" t="s">
        <v>64</v>
      </c>
      <c r="S639" s="344" t="s">
        <v>19</v>
      </c>
      <c r="T639" s="344">
        <v>251</v>
      </c>
      <c r="U639" s="347">
        <v>36224.32</v>
      </c>
      <c r="V639" s="344" t="s">
        <v>19</v>
      </c>
      <c r="W639" s="344">
        <v>0</v>
      </c>
      <c r="X639" s="344">
        <v>9</v>
      </c>
      <c r="Y639" s="344">
        <v>3260.19</v>
      </c>
      <c r="Z639" s="344">
        <v>9</v>
      </c>
      <c r="AA639" s="344">
        <v>3260.19</v>
      </c>
      <c r="AB639" s="344">
        <v>0</v>
      </c>
      <c r="AC639" s="344">
        <v>0</v>
      </c>
      <c r="AD639" s="344">
        <v>0</v>
      </c>
      <c r="AE639" s="344">
        <v>6520.38</v>
      </c>
      <c r="AF639" s="344">
        <v>0</v>
      </c>
      <c r="AG639" s="344" t="s">
        <v>65</v>
      </c>
      <c r="AH639" s="344" t="s">
        <v>11</v>
      </c>
      <c r="AI639" s="344">
        <v>39269080</v>
      </c>
      <c r="AJ639" s="344" t="s">
        <v>60</v>
      </c>
      <c r="AK639" s="344">
        <v>1</v>
      </c>
      <c r="AL639" s="344">
        <v>0</v>
      </c>
      <c r="AM639" s="344" t="s">
        <v>1905</v>
      </c>
    </row>
    <row r="640" spans="7:39">
      <c r="G640" s="344"/>
      <c r="H640" s="10" t="s">
        <v>3233</v>
      </c>
      <c r="I640" s="344" t="s">
        <v>87</v>
      </c>
      <c r="J640" s="344" t="s">
        <v>91</v>
      </c>
      <c r="K640" s="344" t="s">
        <v>3242</v>
      </c>
      <c r="L640" s="344" t="s">
        <v>98</v>
      </c>
      <c r="M640" s="344" t="s">
        <v>3243</v>
      </c>
      <c r="N640" s="344" t="s">
        <v>3233</v>
      </c>
      <c r="O640" s="344" t="s">
        <v>13</v>
      </c>
      <c r="P640" s="344" t="s">
        <v>62</v>
      </c>
      <c r="Q640" s="344" t="s">
        <v>76</v>
      </c>
      <c r="R640" s="344" t="s">
        <v>77</v>
      </c>
      <c r="S640" s="344" t="s">
        <v>21</v>
      </c>
      <c r="T640" s="344">
        <v>696</v>
      </c>
      <c r="U640" s="347">
        <v>103926.72</v>
      </c>
      <c r="V640" s="344" t="s">
        <v>21</v>
      </c>
      <c r="W640" s="344">
        <v>0</v>
      </c>
      <c r="X640" s="344">
        <v>9</v>
      </c>
      <c r="Y640" s="344">
        <v>9353.4</v>
      </c>
      <c r="Z640" s="344">
        <v>9</v>
      </c>
      <c r="AA640" s="344">
        <v>9353.4</v>
      </c>
      <c r="AB640" s="344">
        <v>0</v>
      </c>
      <c r="AC640" s="344">
        <v>0</v>
      </c>
      <c r="AD640" s="344">
        <v>0</v>
      </c>
      <c r="AE640" s="344">
        <v>18706.8</v>
      </c>
      <c r="AF640" s="344">
        <v>0</v>
      </c>
      <c r="AG640" s="344" t="s">
        <v>65</v>
      </c>
      <c r="AH640" s="344" t="s">
        <v>11</v>
      </c>
      <c r="AI640" s="344">
        <v>63053300</v>
      </c>
      <c r="AJ640" s="344" t="s">
        <v>60</v>
      </c>
      <c r="AK640" s="344">
        <v>1</v>
      </c>
      <c r="AL640" s="344">
        <v>0</v>
      </c>
      <c r="AM640" s="344" t="s">
        <v>1905</v>
      </c>
    </row>
    <row r="641" spans="7:39">
      <c r="G641" s="344"/>
      <c r="H641" s="10" t="s">
        <v>3233</v>
      </c>
      <c r="I641" s="344" t="s">
        <v>87</v>
      </c>
      <c r="J641" s="344" t="s">
        <v>91</v>
      </c>
      <c r="K641" s="344" t="s">
        <v>3242</v>
      </c>
      <c r="L641" s="344" t="s">
        <v>98</v>
      </c>
      <c r="M641" s="344" t="s">
        <v>3243</v>
      </c>
      <c r="N641" s="344" t="s">
        <v>3233</v>
      </c>
      <c r="O641" s="344" t="s">
        <v>13</v>
      </c>
      <c r="P641" s="344" t="s">
        <v>24</v>
      </c>
      <c r="Q641" s="344" t="s">
        <v>79</v>
      </c>
      <c r="R641" s="344" t="s">
        <v>79</v>
      </c>
      <c r="S641" s="344" t="s">
        <v>24</v>
      </c>
      <c r="T641" s="344">
        <v>5.8</v>
      </c>
      <c r="U641" s="347">
        <v>958.86</v>
      </c>
      <c r="V641" s="344" t="s">
        <v>24</v>
      </c>
      <c r="W641" s="344">
        <v>0</v>
      </c>
      <c r="X641" s="344">
        <v>9</v>
      </c>
      <c r="Y641" s="344">
        <v>86.3</v>
      </c>
      <c r="Z641" s="344">
        <v>9</v>
      </c>
      <c r="AA641" s="344">
        <v>86.3</v>
      </c>
      <c r="AB641" s="344">
        <v>0</v>
      </c>
      <c r="AC641" s="344">
        <v>0</v>
      </c>
      <c r="AD641" s="344">
        <v>0</v>
      </c>
      <c r="AE641" s="344">
        <v>172.6</v>
      </c>
      <c r="AF641" s="344">
        <v>0</v>
      </c>
      <c r="AG641" s="344" t="s">
        <v>65</v>
      </c>
      <c r="AH641" s="344" t="s">
        <v>11</v>
      </c>
      <c r="AI641" s="344">
        <v>3926908</v>
      </c>
      <c r="AJ641" s="344" t="s">
        <v>60</v>
      </c>
      <c r="AK641" s="344">
        <v>1</v>
      </c>
      <c r="AL641" s="344">
        <v>0</v>
      </c>
      <c r="AM641" s="344" t="s">
        <v>1905</v>
      </c>
    </row>
    <row r="642" spans="7:39">
      <c r="G642" s="344"/>
      <c r="H642" s="10" t="s">
        <v>3233</v>
      </c>
      <c r="I642" s="344" t="s">
        <v>87</v>
      </c>
      <c r="J642" s="344" t="s">
        <v>91</v>
      </c>
      <c r="K642" s="344" t="s">
        <v>3242</v>
      </c>
      <c r="L642" s="344" t="s">
        <v>98</v>
      </c>
      <c r="M642" s="344" t="s">
        <v>3243</v>
      </c>
      <c r="N642" s="344" t="s">
        <v>3233</v>
      </c>
      <c r="O642" s="344" t="s">
        <v>13</v>
      </c>
      <c r="P642" s="344" t="s">
        <v>24</v>
      </c>
      <c r="Q642" s="344" t="s">
        <v>79</v>
      </c>
      <c r="R642" s="344" t="s">
        <v>79</v>
      </c>
      <c r="S642" s="344" t="s">
        <v>24</v>
      </c>
      <c r="T642" s="344">
        <v>14.2</v>
      </c>
      <c r="U642" s="347">
        <v>2390.14</v>
      </c>
      <c r="V642" s="344" t="s">
        <v>24</v>
      </c>
      <c r="W642" s="344">
        <v>0</v>
      </c>
      <c r="X642" s="344">
        <v>9</v>
      </c>
      <c r="Y642" s="344">
        <v>215.11</v>
      </c>
      <c r="Z642" s="344">
        <v>9</v>
      </c>
      <c r="AA642" s="344">
        <v>215.11</v>
      </c>
      <c r="AB642" s="344">
        <v>0</v>
      </c>
      <c r="AC642" s="344">
        <v>0</v>
      </c>
      <c r="AD642" s="344">
        <v>0</v>
      </c>
      <c r="AE642" s="344">
        <v>430.22</v>
      </c>
      <c r="AF642" s="344">
        <v>0</v>
      </c>
      <c r="AG642" s="344" t="s">
        <v>65</v>
      </c>
      <c r="AH642" s="344" t="s">
        <v>11</v>
      </c>
      <c r="AI642" s="344">
        <v>3926908</v>
      </c>
      <c r="AJ642" s="344" t="s">
        <v>60</v>
      </c>
      <c r="AK642" s="344">
        <v>1</v>
      </c>
      <c r="AL642" s="344">
        <v>0</v>
      </c>
      <c r="AM642" s="344" t="s">
        <v>1905</v>
      </c>
    </row>
    <row r="643" spans="7:39">
      <c r="G643" s="344"/>
      <c r="H643" s="10" t="s">
        <v>3233</v>
      </c>
      <c r="I643" s="344" t="s">
        <v>87</v>
      </c>
      <c r="J643" s="344" t="s">
        <v>91</v>
      </c>
      <c r="K643" s="344" t="s">
        <v>3242</v>
      </c>
      <c r="L643" s="344" t="s">
        <v>98</v>
      </c>
      <c r="M643" s="344" t="s">
        <v>3243</v>
      </c>
      <c r="N643" s="344" t="s">
        <v>3233</v>
      </c>
      <c r="O643" s="344" t="s">
        <v>13</v>
      </c>
      <c r="P643" s="344" t="s">
        <v>24</v>
      </c>
      <c r="Q643" s="344" t="s">
        <v>79</v>
      </c>
      <c r="R643" s="344" t="s">
        <v>79</v>
      </c>
      <c r="S643" s="344" t="s">
        <v>24</v>
      </c>
      <c r="T643" s="344">
        <v>322</v>
      </c>
      <c r="U643" s="347">
        <v>46471.040000000001</v>
      </c>
      <c r="V643" s="344" t="s">
        <v>24</v>
      </c>
      <c r="W643" s="344">
        <v>0</v>
      </c>
      <c r="X643" s="344">
        <v>9</v>
      </c>
      <c r="Y643" s="344">
        <v>4182.3900000000003</v>
      </c>
      <c r="Z643" s="344">
        <v>9</v>
      </c>
      <c r="AA643" s="344">
        <v>4182.3900000000003</v>
      </c>
      <c r="AB643" s="344">
        <v>0</v>
      </c>
      <c r="AC643" s="344">
        <v>0</v>
      </c>
      <c r="AD643" s="344">
        <v>0</v>
      </c>
      <c r="AE643" s="344">
        <v>8364.7800000000007</v>
      </c>
      <c r="AF643" s="344">
        <v>0</v>
      </c>
      <c r="AG643" s="344" t="s">
        <v>65</v>
      </c>
      <c r="AH643" s="344" t="s">
        <v>11</v>
      </c>
      <c r="AI643" s="344">
        <v>3926908</v>
      </c>
      <c r="AJ643" s="344" t="s">
        <v>60</v>
      </c>
      <c r="AK643" s="344">
        <v>1</v>
      </c>
      <c r="AL643" s="344">
        <v>0</v>
      </c>
      <c r="AM643" s="344" t="s">
        <v>1905</v>
      </c>
    </row>
    <row r="644" spans="7:39">
      <c r="G644" s="344"/>
      <c r="H644" s="10" t="s">
        <v>3233</v>
      </c>
      <c r="I644" s="344" t="s">
        <v>87</v>
      </c>
      <c r="J644" s="344" t="s">
        <v>91</v>
      </c>
      <c r="K644" s="344" t="s">
        <v>3242</v>
      </c>
      <c r="L644" s="344" t="s">
        <v>98</v>
      </c>
      <c r="M644" s="344" t="s">
        <v>3243</v>
      </c>
      <c r="N644" s="344" t="s">
        <v>3233</v>
      </c>
      <c r="O644" s="344" t="s">
        <v>13</v>
      </c>
      <c r="P644" s="344" t="s">
        <v>24</v>
      </c>
      <c r="Q644" s="344" t="s">
        <v>79</v>
      </c>
      <c r="R644" s="344" t="s">
        <v>79</v>
      </c>
      <c r="S644" s="344" t="s">
        <v>24</v>
      </c>
      <c r="T644" s="347">
        <v>1217.8</v>
      </c>
      <c r="U644" s="347">
        <v>179406.3</v>
      </c>
      <c r="V644" s="344" t="s">
        <v>24</v>
      </c>
      <c r="W644" s="344">
        <v>0</v>
      </c>
      <c r="X644" s="344">
        <v>9</v>
      </c>
      <c r="Y644" s="344">
        <v>16146.57</v>
      </c>
      <c r="Z644" s="344">
        <v>9</v>
      </c>
      <c r="AA644" s="344">
        <v>16146.57</v>
      </c>
      <c r="AB644" s="344">
        <v>0</v>
      </c>
      <c r="AC644" s="344">
        <v>0</v>
      </c>
      <c r="AD644" s="344">
        <v>0</v>
      </c>
      <c r="AE644" s="344">
        <v>32293.14</v>
      </c>
      <c r="AF644" s="344">
        <v>0</v>
      </c>
      <c r="AG644" s="344" t="s">
        <v>65</v>
      </c>
      <c r="AH644" s="344" t="s">
        <v>11</v>
      </c>
      <c r="AI644" s="344">
        <v>3926908</v>
      </c>
      <c r="AJ644" s="344" t="s">
        <v>60</v>
      </c>
      <c r="AK644" s="344">
        <v>1</v>
      </c>
      <c r="AL644" s="344">
        <v>0</v>
      </c>
      <c r="AM644" s="344" t="s">
        <v>1905</v>
      </c>
    </row>
    <row r="645" spans="7:39">
      <c r="G645" s="344"/>
      <c r="H645" s="10" t="s">
        <v>3233</v>
      </c>
      <c r="I645" s="344" t="s">
        <v>87</v>
      </c>
      <c r="J645" s="344" t="s">
        <v>91</v>
      </c>
      <c r="K645" s="344" t="s">
        <v>3244</v>
      </c>
      <c r="L645" s="344" t="s">
        <v>98</v>
      </c>
      <c r="M645" s="344" t="s">
        <v>3245</v>
      </c>
      <c r="N645" s="344" t="s">
        <v>3233</v>
      </c>
      <c r="O645" s="344" t="s">
        <v>13</v>
      </c>
      <c r="P645" s="344" t="s">
        <v>62</v>
      </c>
      <c r="Q645" s="344" t="s">
        <v>63</v>
      </c>
      <c r="R645" s="8" t="s">
        <v>64</v>
      </c>
      <c r="S645" s="344" t="s">
        <v>19</v>
      </c>
      <c r="T645" s="347">
        <v>514</v>
      </c>
      <c r="U645" s="347">
        <v>73152.479999999996</v>
      </c>
      <c r="V645" s="344" t="s">
        <v>19</v>
      </c>
      <c r="W645" s="344">
        <v>174654.22</v>
      </c>
      <c r="X645" s="344">
        <v>9</v>
      </c>
      <c r="Y645" s="344">
        <v>6583.72</v>
      </c>
      <c r="Z645" s="344">
        <v>9</v>
      </c>
      <c r="AA645" s="344">
        <v>6583.72</v>
      </c>
      <c r="AB645" s="344">
        <v>0</v>
      </c>
      <c r="AC645" s="344">
        <v>0</v>
      </c>
      <c r="AD645" s="344">
        <v>0</v>
      </c>
      <c r="AE645" s="344">
        <v>13167.44</v>
      </c>
      <c r="AF645" s="344">
        <v>0</v>
      </c>
      <c r="AG645" s="344" t="s">
        <v>65</v>
      </c>
      <c r="AH645" s="344" t="s">
        <v>11</v>
      </c>
      <c r="AI645" s="344">
        <v>39269080</v>
      </c>
      <c r="AJ645" s="344" t="s">
        <v>60</v>
      </c>
      <c r="AK645" s="344">
        <v>1</v>
      </c>
      <c r="AL645" s="344">
        <v>0</v>
      </c>
      <c r="AM645" s="344" t="s">
        <v>1905</v>
      </c>
    </row>
    <row r="646" spans="7:39">
      <c r="G646" s="344"/>
      <c r="H646" s="10" t="s">
        <v>3233</v>
      </c>
      <c r="I646" s="344" t="s">
        <v>87</v>
      </c>
      <c r="J646" s="344" t="s">
        <v>91</v>
      </c>
      <c r="K646" s="344" t="s">
        <v>3244</v>
      </c>
      <c r="L646" s="344" t="s">
        <v>98</v>
      </c>
      <c r="M646" s="344" t="s">
        <v>3245</v>
      </c>
      <c r="N646" s="344" t="s">
        <v>3233</v>
      </c>
      <c r="O646" s="344" t="s">
        <v>13</v>
      </c>
      <c r="P646" s="344" t="s">
        <v>62</v>
      </c>
      <c r="Q646" s="344" t="s">
        <v>63</v>
      </c>
      <c r="R646" s="8" t="s">
        <v>64</v>
      </c>
      <c r="S646" s="344" t="s">
        <v>19</v>
      </c>
      <c r="T646" s="344">
        <v>516</v>
      </c>
      <c r="U646" s="347">
        <v>74985.119999999995</v>
      </c>
      <c r="V646" s="344" t="s">
        <v>19</v>
      </c>
      <c r="W646" s="344">
        <v>0</v>
      </c>
      <c r="X646" s="344">
        <v>9</v>
      </c>
      <c r="Y646" s="344">
        <v>6748.66</v>
      </c>
      <c r="Z646" s="344">
        <v>9</v>
      </c>
      <c r="AA646" s="344">
        <v>6748.66</v>
      </c>
      <c r="AB646" s="344">
        <v>0</v>
      </c>
      <c r="AC646" s="344">
        <v>0</v>
      </c>
      <c r="AD646" s="344">
        <v>0</v>
      </c>
      <c r="AE646" s="344">
        <v>13497.32</v>
      </c>
      <c r="AF646" s="344">
        <v>0</v>
      </c>
      <c r="AG646" s="344" t="s">
        <v>65</v>
      </c>
      <c r="AH646" s="344" t="s">
        <v>11</v>
      </c>
      <c r="AI646" s="344">
        <v>39269080</v>
      </c>
      <c r="AJ646" s="344" t="s">
        <v>60</v>
      </c>
      <c r="AK646" s="344">
        <v>1</v>
      </c>
      <c r="AL646" s="344">
        <v>0</v>
      </c>
      <c r="AM646" s="344" t="s">
        <v>1905</v>
      </c>
    </row>
    <row r="647" spans="7:39">
      <c r="G647" s="344"/>
      <c r="H647" s="10" t="s">
        <v>3233</v>
      </c>
      <c r="I647" s="344" t="s">
        <v>94</v>
      </c>
      <c r="J647" s="344" t="s">
        <v>96</v>
      </c>
      <c r="K647" s="344" t="s">
        <v>3246</v>
      </c>
      <c r="L647" s="344" t="s">
        <v>97</v>
      </c>
      <c r="M647" s="344" t="s">
        <v>3247</v>
      </c>
      <c r="N647" s="344" t="s">
        <v>3233</v>
      </c>
      <c r="O647" s="344" t="s">
        <v>2</v>
      </c>
      <c r="P647" s="344" t="s">
        <v>67</v>
      </c>
      <c r="Q647" s="344" t="s">
        <v>68</v>
      </c>
      <c r="R647" s="8" t="s">
        <v>69</v>
      </c>
      <c r="S647" s="344" t="s">
        <v>70</v>
      </c>
      <c r="T647" s="344">
        <v>12</v>
      </c>
      <c r="U647" s="347">
        <v>576</v>
      </c>
      <c r="V647" s="344" t="s">
        <v>70</v>
      </c>
      <c r="W647" s="344">
        <v>679.1</v>
      </c>
      <c r="X647" s="344">
        <v>9</v>
      </c>
      <c r="Y647" s="344">
        <v>51.84</v>
      </c>
      <c r="Z647" s="344">
        <v>9</v>
      </c>
      <c r="AA647" s="344">
        <v>51.84</v>
      </c>
      <c r="AB647" s="344">
        <v>0</v>
      </c>
      <c r="AC647" s="344">
        <v>0</v>
      </c>
      <c r="AD647" s="344">
        <v>0</v>
      </c>
      <c r="AE647" s="344">
        <v>103.68</v>
      </c>
      <c r="AF647" s="344">
        <v>0</v>
      </c>
      <c r="AG647" s="344" t="s">
        <v>74</v>
      </c>
      <c r="AH647" s="344" t="s">
        <v>11</v>
      </c>
      <c r="AI647" s="344">
        <v>73063090</v>
      </c>
      <c r="AJ647" s="344" t="s">
        <v>60</v>
      </c>
      <c r="AK647" s="344">
        <v>1</v>
      </c>
      <c r="AL647" s="344">
        <v>0</v>
      </c>
      <c r="AM647" s="344" t="s">
        <v>1905</v>
      </c>
    </row>
    <row r="648" spans="7:39">
      <c r="G648" s="344"/>
      <c r="H648" s="10" t="s">
        <v>3233</v>
      </c>
      <c r="I648" s="344" t="s">
        <v>94</v>
      </c>
      <c r="J648" s="344" t="s">
        <v>96</v>
      </c>
      <c r="K648" s="344" t="s">
        <v>3248</v>
      </c>
      <c r="L648" s="344" t="s">
        <v>97</v>
      </c>
      <c r="M648" s="344" t="s">
        <v>3249</v>
      </c>
      <c r="N648" s="344" t="s">
        <v>3233</v>
      </c>
      <c r="O648" s="344" t="s">
        <v>2</v>
      </c>
      <c r="P648" s="344" t="s">
        <v>1662</v>
      </c>
      <c r="Q648" s="344" t="s">
        <v>68</v>
      </c>
      <c r="R648" s="344" t="s">
        <v>69</v>
      </c>
      <c r="S648" s="344" t="s">
        <v>2470</v>
      </c>
      <c r="T648" s="347">
        <v>1</v>
      </c>
      <c r="U648" s="347">
        <v>3650</v>
      </c>
      <c r="V648" s="344" t="s">
        <v>2470</v>
      </c>
      <c r="W648" s="344">
        <v>5428.57</v>
      </c>
      <c r="X648" s="344">
        <v>2.5</v>
      </c>
      <c r="Y648" s="344">
        <v>91.25</v>
      </c>
      <c r="Z648" s="344">
        <v>2.5</v>
      </c>
      <c r="AA648" s="344">
        <v>91.25</v>
      </c>
      <c r="AB648" s="344">
        <v>0</v>
      </c>
      <c r="AC648" s="344">
        <v>0</v>
      </c>
      <c r="AD648" s="344">
        <v>0</v>
      </c>
      <c r="AE648" s="344">
        <v>182.5</v>
      </c>
      <c r="AF648" s="344">
        <v>0</v>
      </c>
      <c r="AG648" s="344" t="s">
        <v>74</v>
      </c>
      <c r="AH648" s="344" t="s">
        <v>1</v>
      </c>
      <c r="AI648" s="344">
        <v>84529099</v>
      </c>
      <c r="AJ648" s="344" t="s">
        <v>60</v>
      </c>
      <c r="AK648" s="344">
        <v>1</v>
      </c>
      <c r="AL648" s="344">
        <v>0</v>
      </c>
      <c r="AM648" s="344" t="s">
        <v>1905</v>
      </c>
    </row>
    <row r="649" spans="7:39">
      <c r="G649" s="344"/>
      <c r="H649" s="10" t="s">
        <v>3233</v>
      </c>
      <c r="I649" s="344" t="s">
        <v>94</v>
      </c>
      <c r="J649" s="344" t="s">
        <v>96</v>
      </c>
      <c r="K649" s="344" t="s">
        <v>3248</v>
      </c>
      <c r="L649" s="344" t="s">
        <v>97</v>
      </c>
      <c r="M649" s="344" t="s">
        <v>3249</v>
      </c>
      <c r="N649" s="344" t="s">
        <v>3233</v>
      </c>
      <c r="O649" s="344" t="s">
        <v>2</v>
      </c>
      <c r="P649" s="344" t="s">
        <v>1662</v>
      </c>
      <c r="Q649" s="344" t="s">
        <v>68</v>
      </c>
      <c r="R649" s="344" t="s">
        <v>69</v>
      </c>
      <c r="S649" s="344" t="s">
        <v>3191</v>
      </c>
      <c r="T649" s="347">
        <v>5</v>
      </c>
      <c r="U649" s="347">
        <v>1525</v>
      </c>
      <c r="V649" s="344" t="s">
        <v>3191</v>
      </c>
      <c r="W649" s="344">
        <v>0</v>
      </c>
      <c r="X649" s="344">
        <v>2.5</v>
      </c>
      <c r="Y649" s="344">
        <v>38.119999999999997</v>
      </c>
      <c r="Z649" s="344">
        <v>2.5</v>
      </c>
      <c r="AA649" s="344">
        <v>38.119999999999997</v>
      </c>
      <c r="AB649" s="344">
        <v>0</v>
      </c>
      <c r="AC649" s="344">
        <v>0</v>
      </c>
      <c r="AD649" s="344">
        <v>0</v>
      </c>
      <c r="AE649" s="344">
        <v>76.239999999999995</v>
      </c>
      <c r="AF649" s="344">
        <v>0</v>
      </c>
      <c r="AG649" s="344" t="s">
        <v>74</v>
      </c>
      <c r="AH649" s="344" t="s">
        <v>1</v>
      </c>
      <c r="AI649" s="344">
        <v>84529099</v>
      </c>
      <c r="AJ649" s="344" t="s">
        <v>60</v>
      </c>
      <c r="AK649" s="344">
        <v>1</v>
      </c>
      <c r="AL649" s="344">
        <v>0</v>
      </c>
      <c r="AM649" s="344" t="s">
        <v>1905</v>
      </c>
    </row>
    <row r="650" spans="7:39">
      <c r="G650" s="344"/>
      <c r="H650" s="10" t="s">
        <v>3233</v>
      </c>
      <c r="I650" s="344" t="s">
        <v>94</v>
      </c>
      <c r="J650" s="344" t="s">
        <v>91</v>
      </c>
      <c r="K650" s="344" t="s">
        <v>3250</v>
      </c>
      <c r="L650" s="344" t="s">
        <v>2348</v>
      </c>
      <c r="M650" s="344" t="s">
        <v>3251</v>
      </c>
      <c r="N650" s="344" t="s">
        <v>3233</v>
      </c>
      <c r="O650" s="344" t="s">
        <v>15</v>
      </c>
      <c r="P650" s="344" t="s">
        <v>57</v>
      </c>
      <c r="Q650" s="344" t="s">
        <v>57</v>
      </c>
      <c r="R650" s="344" t="s">
        <v>58</v>
      </c>
      <c r="S650" s="344" t="s">
        <v>16</v>
      </c>
      <c r="T650" s="347">
        <v>1153</v>
      </c>
      <c r="U650" s="347">
        <v>230369.4</v>
      </c>
      <c r="V650" s="344" t="s">
        <v>16</v>
      </c>
      <c r="W650" s="344">
        <v>271605.53000000003</v>
      </c>
      <c r="X650" s="344">
        <v>9</v>
      </c>
      <c r="Y650" s="344">
        <v>20733.25</v>
      </c>
      <c r="Z650" s="344">
        <v>9</v>
      </c>
      <c r="AA650" s="344">
        <v>20733.25</v>
      </c>
      <c r="AB650" s="344">
        <v>0</v>
      </c>
      <c r="AC650" s="344">
        <v>0</v>
      </c>
      <c r="AD650" s="344">
        <v>0</v>
      </c>
      <c r="AE650" s="344">
        <v>41466.5</v>
      </c>
      <c r="AF650" s="344">
        <v>0</v>
      </c>
      <c r="AG650" s="344" t="s">
        <v>74</v>
      </c>
      <c r="AH650" s="344" t="s">
        <v>11</v>
      </c>
      <c r="AI650" s="344">
        <v>63053200</v>
      </c>
      <c r="AJ650" s="344" t="s">
        <v>60</v>
      </c>
      <c r="AK650" s="344">
        <v>1</v>
      </c>
      <c r="AL650" s="344">
        <v>0</v>
      </c>
      <c r="AM650" s="344" t="s">
        <v>1905</v>
      </c>
    </row>
    <row r="651" spans="7:39">
      <c r="G651" s="344"/>
      <c r="H651" s="10" t="s">
        <v>3233</v>
      </c>
      <c r="I651" s="344" t="s">
        <v>94</v>
      </c>
      <c r="J651" s="344" t="s">
        <v>91</v>
      </c>
      <c r="K651" s="344" t="s">
        <v>3252</v>
      </c>
      <c r="L651" s="344" t="s">
        <v>98</v>
      </c>
      <c r="M651" s="344" t="s">
        <v>3253</v>
      </c>
      <c r="N651" s="344" t="s">
        <v>3233</v>
      </c>
      <c r="O651" s="344" t="s">
        <v>13</v>
      </c>
      <c r="P651" s="344" t="s">
        <v>80</v>
      </c>
      <c r="Q651" s="344" t="s">
        <v>81</v>
      </c>
      <c r="R651" s="8" t="s">
        <v>2149</v>
      </c>
      <c r="S651" s="344" t="s">
        <v>2149</v>
      </c>
      <c r="T651" s="344">
        <v>23.4</v>
      </c>
      <c r="U651" s="347">
        <v>5756.4</v>
      </c>
      <c r="V651" s="344" t="s">
        <v>2149</v>
      </c>
      <c r="W651" s="344">
        <v>6786.8</v>
      </c>
      <c r="X651" s="344">
        <v>9</v>
      </c>
      <c r="Y651" s="344">
        <v>518.08000000000004</v>
      </c>
      <c r="Z651" s="344">
        <v>9</v>
      </c>
      <c r="AA651" s="344">
        <v>518.08000000000004</v>
      </c>
      <c r="AB651" s="344">
        <v>0</v>
      </c>
      <c r="AC651" s="344">
        <v>0</v>
      </c>
      <c r="AD651" s="344">
        <v>0</v>
      </c>
      <c r="AE651" s="344">
        <v>1036.1600000000001</v>
      </c>
      <c r="AF651" s="344">
        <v>0</v>
      </c>
      <c r="AG651" s="344" t="s">
        <v>74</v>
      </c>
      <c r="AH651" s="344" t="s">
        <v>11</v>
      </c>
      <c r="AI651" s="344">
        <v>3920101</v>
      </c>
      <c r="AJ651" s="344" t="s">
        <v>60</v>
      </c>
      <c r="AK651" s="344">
        <v>1</v>
      </c>
      <c r="AL651" s="344">
        <v>0</v>
      </c>
      <c r="AM651" s="344" t="s">
        <v>1905</v>
      </c>
    </row>
    <row r="652" spans="7:39">
      <c r="G652" s="344"/>
      <c r="H652" s="10" t="s">
        <v>3233</v>
      </c>
      <c r="I652" s="344" t="s">
        <v>94</v>
      </c>
      <c r="J652" s="344" t="s">
        <v>91</v>
      </c>
      <c r="K652" s="344" t="s">
        <v>3254</v>
      </c>
      <c r="L652" s="344" t="s">
        <v>98</v>
      </c>
      <c r="M652" s="344" t="s">
        <v>3255</v>
      </c>
      <c r="N652" s="344" t="s">
        <v>3233</v>
      </c>
      <c r="O652" s="344" t="s">
        <v>13</v>
      </c>
      <c r="P652" s="344" t="s">
        <v>62</v>
      </c>
      <c r="Q652" s="344" t="s">
        <v>63</v>
      </c>
      <c r="R652" s="344" t="s">
        <v>64</v>
      </c>
      <c r="S652" s="344" t="s">
        <v>19</v>
      </c>
      <c r="T652" s="347">
        <v>510</v>
      </c>
      <c r="U652" s="347">
        <v>68125.8</v>
      </c>
      <c r="V652" s="344" t="s">
        <v>19</v>
      </c>
      <c r="W652" s="344">
        <v>80320.31</v>
      </c>
      <c r="X652" s="344">
        <v>9</v>
      </c>
      <c r="Y652" s="344">
        <v>6131.32</v>
      </c>
      <c r="Z652" s="344">
        <v>9</v>
      </c>
      <c r="AA652" s="344">
        <v>6131.32</v>
      </c>
      <c r="AB652" s="344">
        <v>0</v>
      </c>
      <c r="AC652" s="344">
        <v>0</v>
      </c>
      <c r="AD652" s="344">
        <v>0</v>
      </c>
      <c r="AE652" s="344">
        <v>12262.64</v>
      </c>
      <c r="AF652" s="344">
        <v>0</v>
      </c>
      <c r="AG652" s="344" t="s">
        <v>74</v>
      </c>
      <c r="AH652" s="344" t="s">
        <v>11</v>
      </c>
      <c r="AI652" s="344">
        <v>39269080</v>
      </c>
      <c r="AJ652" s="344" t="s">
        <v>60</v>
      </c>
      <c r="AK652" s="344">
        <v>1</v>
      </c>
      <c r="AL652" s="344">
        <v>0</v>
      </c>
      <c r="AM652" s="344" t="s">
        <v>1905</v>
      </c>
    </row>
    <row r="653" spans="7:39">
      <c r="G653" s="344"/>
      <c r="H653" s="10" t="s">
        <v>3233</v>
      </c>
      <c r="I653" s="344" t="s">
        <v>116</v>
      </c>
      <c r="J653" s="344" t="s">
        <v>96</v>
      </c>
      <c r="K653" s="344" t="s">
        <v>3256</v>
      </c>
      <c r="L653" s="344" t="s">
        <v>97</v>
      </c>
      <c r="M653" s="344" t="s">
        <v>3257</v>
      </c>
      <c r="N653" s="344" t="s">
        <v>3192</v>
      </c>
      <c r="O653" s="344" t="s">
        <v>2379</v>
      </c>
      <c r="P653" s="344" t="s">
        <v>2380</v>
      </c>
      <c r="Q653" s="344" t="s">
        <v>68</v>
      </c>
      <c r="R653" s="344" t="s">
        <v>69</v>
      </c>
      <c r="S653" s="344" t="s">
        <v>3258</v>
      </c>
      <c r="T653" s="347">
        <v>500</v>
      </c>
      <c r="U653" s="347">
        <v>2750</v>
      </c>
      <c r="V653" s="344" t="s">
        <v>3258</v>
      </c>
      <c r="W653" s="344">
        <v>11652.5</v>
      </c>
      <c r="X653" s="344">
        <v>9</v>
      </c>
      <c r="Y653" s="344">
        <v>247.5</v>
      </c>
      <c r="Z653" s="344">
        <v>9</v>
      </c>
      <c r="AA653" s="344">
        <v>247.5</v>
      </c>
      <c r="AB653" s="344">
        <v>0</v>
      </c>
      <c r="AC653" s="344">
        <v>0</v>
      </c>
      <c r="AD653" s="344">
        <v>0</v>
      </c>
      <c r="AE653" s="344">
        <v>495</v>
      </c>
      <c r="AF653" s="344">
        <v>0</v>
      </c>
      <c r="AG653" s="344" t="s">
        <v>2075</v>
      </c>
      <c r="AH653" s="344" t="s">
        <v>1</v>
      </c>
      <c r="AI653" s="344">
        <v>630492</v>
      </c>
      <c r="AJ653" s="344" t="s">
        <v>60</v>
      </c>
      <c r="AK653" s="344">
        <v>1</v>
      </c>
      <c r="AL653" s="344">
        <v>0</v>
      </c>
      <c r="AM653" s="344" t="s">
        <v>1905</v>
      </c>
    </row>
    <row r="654" spans="7:39">
      <c r="G654" s="344"/>
      <c r="H654" s="10" t="s">
        <v>3233</v>
      </c>
      <c r="I654" s="344" t="s">
        <v>116</v>
      </c>
      <c r="J654" s="344" t="s">
        <v>96</v>
      </c>
      <c r="K654" s="344" t="s">
        <v>3256</v>
      </c>
      <c r="L654" s="344" t="s">
        <v>97</v>
      </c>
      <c r="M654" s="344" t="s">
        <v>3257</v>
      </c>
      <c r="N654" s="344" t="s">
        <v>3192</v>
      </c>
      <c r="O654" s="344" t="s">
        <v>2379</v>
      </c>
      <c r="P654" s="344" t="s">
        <v>2380</v>
      </c>
      <c r="Q654" s="344" t="s">
        <v>68</v>
      </c>
      <c r="R654" s="344" t="s">
        <v>69</v>
      </c>
      <c r="S654" s="344" t="s">
        <v>2381</v>
      </c>
      <c r="T654" s="347">
        <v>750</v>
      </c>
      <c r="U654" s="347">
        <v>7125</v>
      </c>
      <c r="V654" s="344" t="s">
        <v>2381</v>
      </c>
      <c r="W654" s="344">
        <v>0</v>
      </c>
      <c r="X654" s="344">
        <v>9</v>
      </c>
      <c r="Y654" s="344">
        <v>641.25</v>
      </c>
      <c r="Z654" s="344">
        <v>9</v>
      </c>
      <c r="AA654" s="344">
        <v>641.25</v>
      </c>
      <c r="AB654" s="344">
        <v>0</v>
      </c>
      <c r="AC654" s="344">
        <v>0</v>
      </c>
      <c r="AD654" s="344">
        <v>0</v>
      </c>
      <c r="AE654" s="344">
        <v>1282.5</v>
      </c>
      <c r="AF654" s="344">
        <v>0</v>
      </c>
      <c r="AG654" s="344" t="s">
        <v>2075</v>
      </c>
      <c r="AH654" s="344" t="s">
        <v>1</v>
      </c>
      <c r="AI654" s="344">
        <v>96082000</v>
      </c>
      <c r="AJ654" s="344" t="s">
        <v>60</v>
      </c>
      <c r="AK654" s="344">
        <v>1</v>
      </c>
      <c r="AL654" s="344">
        <v>0</v>
      </c>
      <c r="AM654" s="344" t="s">
        <v>1905</v>
      </c>
    </row>
    <row r="655" spans="7:39">
      <c r="G655" s="344"/>
      <c r="H655" s="10" t="s">
        <v>3233</v>
      </c>
      <c r="I655" s="344" t="s">
        <v>3259</v>
      </c>
      <c r="J655" s="344" t="s">
        <v>96</v>
      </c>
      <c r="K655" s="344" t="s">
        <v>3260</v>
      </c>
      <c r="L655" s="344" t="s">
        <v>97</v>
      </c>
      <c r="M655" s="344">
        <v>958</v>
      </c>
      <c r="N655" s="344" t="s">
        <v>3192</v>
      </c>
      <c r="O655" s="344" t="s">
        <v>2</v>
      </c>
      <c r="P655" s="344" t="s">
        <v>3261</v>
      </c>
      <c r="Q655" s="344" t="s">
        <v>68</v>
      </c>
      <c r="R655" s="344" t="s">
        <v>69</v>
      </c>
      <c r="S655" s="344" t="s">
        <v>3262</v>
      </c>
      <c r="T655" s="347">
        <v>2</v>
      </c>
      <c r="U655" s="347">
        <v>14000</v>
      </c>
      <c r="V655" s="344" t="s">
        <v>3262</v>
      </c>
      <c r="W655" s="344">
        <v>16520</v>
      </c>
      <c r="X655" s="344">
        <v>9</v>
      </c>
      <c r="Y655" s="344">
        <v>1260</v>
      </c>
      <c r="Z655" s="344">
        <v>9</v>
      </c>
      <c r="AA655" s="344">
        <v>1260</v>
      </c>
      <c r="AB655" s="344">
        <v>0</v>
      </c>
      <c r="AC655" s="344">
        <v>0</v>
      </c>
      <c r="AD655" s="344">
        <v>0</v>
      </c>
      <c r="AE655" s="344">
        <v>2520</v>
      </c>
      <c r="AF655" s="344">
        <v>0</v>
      </c>
      <c r="AG655" s="344" t="s">
        <v>3263</v>
      </c>
      <c r="AH655" s="344" t="s">
        <v>1</v>
      </c>
      <c r="AI655" s="344">
        <v>842199</v>
      </c>
      <c r="AJ655" s="344" t="s">
        <v>60</v>
      </c>
      <c r="AK655" s="344">
        <v>1</v>
      </c>
      <c r="AL655" s="344">
        <v>0</v>
      </c>
      <c r="AM655" s="344" t="s">
        <v>1905</v>
      </c>
    </row>
    <row r="656" spans="7:39">
      <c r="G656" s="344"/>
      <c r="H656" s="10" t="s">
        <v>3233</v>
      </c>
      <c r="I656" s="344" t="s">
        <v>740</v>
      </c>
      <c r="J656" s="344" t="s">
        <v>96</v>
      </c>
      <c r="K656" s="344" t="s">
        <v>3264</v>
      </c>
      <c r="L656" s="344" t="s">
        <v>97</v>
      </c>
      <c r="M656" s="344">
        <v>9727</v>
      </c>
      <c r="N656" s="390">
        <v>46364</v>
      </c>
      <c r="O656" s="344" t="s">
        <v>5</v>
      </c>
      <c r="P656" s="344" t="s">
        <v>106</v>
      </c>
      <c r="Q656" s="344" t="s">
        <v>68</v>
      </c>
      <c r="R656" s="344" t="s">
        <v>69</v>
      </c>
      <c r="S656" s="344" t="s">
        <v>9</v>
      </c>
      <c r="T656" s="347">
        <v>6900.33</v>
      </c>
      <c r="U656" s="347">
        <v>7935.38</v>
      </c>
      <c r="V656" s="344" t="s">
        <v>9</v>
      </c>
      <c r="W656" s="344">
        <v>9363.75</v>
      </c>
      <c r="X656" s="344">
        <v>9</v>
      </c>
      <c r="Y656" s="344">
        <v>714.18</v>
      </c>
      <c r="Z656" s="344">
        <v>9</v>
      </c>
      <c r="AA656" s="344">
        <v>714.18</v>
      </c>
      <c r="AB656" s="344">
        <v>0</v>
      </c>
      <c r="AC656" s="344">
        <v>0</v>
      </c>
      <c r="AD656" s="344">
        <v>0</v>
      </c>
      <c r="AE656" s="344">
        <v>1428.36</v>
      </c>
      <c r="AF656" s="344">
        <v>0</v>
      </c>
      <c r="AG656" s="344" t="s">
        <v>2203</v>
      </c>
      <c r="AH656" s="344" t="s">
        <v>10</v>
      </c>
      <c r="AI656" s="344">
        <v>37013000</v>
      </c>
      <c r="AJ656" s="344" t="s">
        <v>60</v>
      </c>
      <c r="AK656" s="344">
        <v>1</v>
      </c>
      <c r="AL656" s="344">
        <v>0</v>
      </c>
      <c r="AM656" s="344" t="s">
        <v>1905</v>
      </c>
    </row>
    <row r="657" spans="7:39">
      <c r="G657" s="344"/>
      <c r="H657" s="10" t="s">
        <v>3233</v>
      </c>
      <c r="I657" s="344" t="s">
        <v>740</v>
      </c>
      <c r="J657" s="344" t="s">
        <v>96</v>
      </c>
      <c r="K657" s="344" t="s">
        <v>3265</v>
      </c>
      <c r="L657" s="344" t="s">
        <v>97</v>
      </c>
      <c r="M657" s="344">
        <v>9734</v>
      </c>
      <c r="N657" s="344" t="s">
        <v>2847</v>
      </c>
      <c r="O657" s="344" t="s">
        <v>5</v>
      </c>
      <c r="P657" s="344" t="s">
        <v>106</v>
      </c>
      <c r="Q657" s="344" t="s">
        <v>68</v>
      </c>
      <c r="R657" s="344" t="s">
        <v>69</v>
      </c>
      <c r="S657" s="344" t="s">
        <v>9</v>
      </c>
      <c r="T657" s="347">
        <v>5228.2</v>
      </c>
      <c r="U657" s="347">
        <v>6012.43</v>
      </c>
      <c r="V657" s="344" t="s">
        <v>9</v>
      </c>
      <c r="W657" s="344">
        <v>14569</v>
      </c>
      <c r="X657" s="344">
        <v>9</v>
      </c>
      <c r="Y657" s="344">
        <v>541.12</v>
      </c>
      <c r="Z657" s="344">
        <v>9</v>
      </c>
      <c r="AA657" s="344">
        <v>541.12</v>
      </c>
      <c r="AB657" s="344">
        <v>0</v>
      </c>
      <c r="AC657" s="344">
        <v>0</v>
      </c>
      <c r="AD657" s="344">
        <v>0</v>
      </c>
      <c r="AE657" s="344">
        <v>1082.24</v>
      </c>
      <c r="AF657" s="344">
        <v>0</v>
      </c>
      <c r="AG657" s="344" t="s">
        <v>2203</v>
      </c>
      <c r="AH657" s="344" t="s">
        <v>10</v>
      </c>
      <c r="AI657" s="344">
        <v>37013000</v>
      </c>
      <c r="AJ657" s="344" t="s">
        <v>60</v>
      </c>
      <c r="AK657" s="344">
        <v>1</v>
      </c>
      <c r="AL657" s="344">
        <v>0</v>
      </c>
      <c r="AM657" s="344" t="s">
        <v>1905</v>
      </c>
    </row>
    <row r="658" spans="7:39">
      <c r="G658" s="344"/>
      <c r="H658" s="10" t="s">
        <v>3233</v>
      </c>
      <c r="I658" s="344" t="s">
        <v>740</v>
      </c>
      <c r="J658" s="344" t="s">
        <v>96</v>
      </c>
      <c r="K658" s="344" t="s">
        <v>3265</v>
      </c>
      <c r="L658" s="344" t="s">
        <v>97</v>
      </c>
      <c r="M658" s="344">
        <v>9734</v>
      </c>
      <c r="N658" s="344" t="s">
        <v>2847</v>
      </c>
      <c r="O658" s="344" t="s">
        <v>5</v>
      </c>
      <c r="P658" s="344" t="s">
        <v>106</v>
      </c>
      <c r="Q658" s="344" t="s">
        <v>68</v>
      </c>
      <c r="R658" s="344" t="s">
        <v>69</v>
      </c>
      <c r="S658" s="344" t="s">
        <v>9</v>
      </c>
      <c r="T658" s="347">
        <v>5507.84</v>
      </c>
      <c r="U658" s="347">
        <v>6334.02</v>
      </c>
      <c r="V658" s="344" t="s">
        <v>9</v>
      </c>
      <c r="W658" s="344">
        <v>0</v>
      </c>
      <c r="X658" s="344">
        <v>9</v>
      </c>
      <c r="Y658" s="344">
        <v>570.05999999999995</v>
      </c>
      <c r="Z658" s="344">
        <v>9</v>
      </c>
      <c r="AA658" s="344">
        <v>570.05999999999995</v>
      </c>
      <c r="AB658" s="344">
        <v>0</v>
      </c>
      <c r="AC658" s="344">
        <v>0</v>
      </c>
      <c r="AD658" s="344">
        <v>0</v>
      </c>
      <c r="AE658" s="344">
        <v>1140.1199999999999</v>
      </c>
      <c r="AF658" s="344">
        <v>0</v>
      </c>
      <c r="AG658" s="344" t="s">
        <v>2203</v>
      </c>
      <c r="AH658" s="344" t="s">
        <v>10</v>
      </c>
      <c r="AI658" s="344">
        <v>37013000</v>
      </c>
      <c r="AJ658" s="344" t="s">
        <v>60</v>
      </c>
      <c r="AK658" s="344">
        <v>1</v>
      </c>
      <c r="AL658" s="344">
        <v>0</v>
      </c>
      <c r="AM658" s="344" t="s">
        <v>1905</v>
      </c>
    </row>
    <row r="659" spans="7:39">
      <c r="G659" s="344"/>
      <c r="H659" s="10" t="s">
        <v>3233</v>
      </c>
      <c r="I659" s="344" t="s">
        <v>740</v>
      </c>
      <c r="J659" s="344" t="s">
        <v>96</v>
      </c>
      <c r="K659" s="344" t="s">
        <v>3266</v>
      </c>
      <c r="L659" s="344" t="s">
        <v>97</v>
      </c>
      <c r="M659" s="344">
        <v>9800</v>
      </c>
      <c r="N659" s="344" t="s">
        <v>3039</v>
      </c>
      <c r="O659" s="344" t="s">
        <v>5</v>
      </c>
      <c r="P659" s="344" t="s">
        <v>106</v>
      </c>
      <c r="Q659" s="344" t="s">
        <v>68</v>
      </c>
      <c r="R659" s="344" t="s">
        <v>69</v>
      </c>
      <c r="S659" s="344" t="s">
        <v>9</v>
      </c>
      <c r="T659" s="347">
        <v>925.4</v>
      </c>
      <c r="U659" s="347">
        <v>1064.21</v>
      </c>
      <c r="V659" s="344" t="s">
        <v>9</v>
      </c>
      <c r="W659" s="344">
        <v>1374</v>
      </c>
      <c r="X659" s="344">
        <v>9</v>
      </c>
      <c r="Y659" s="344">
        <v>95.78</v>
      </c>
      <c r="Z659" s="344">
        <v>9</v>
      </c>
      <c r="AA659" s="344">
        <v>95.78</v>
      </c>
      <c r="AB659" s="344">
        <v>0</v>
      </c>
      <c r="AC659" s="344">
        <v>0</v>
      </c>
      <c r="AD659" s="344">
        <v>18</v>
      </c>
      <c r="AE659" s="344">
        <v>209.56</v>
      </c>
      <c r="AF659" s="344">
        <v>0</v>
      </c>
      <c r="AG659" s="344" t="s">
        <v>2203</v>
      </c>
      <c r="AH659" s="344" t="s">
        <v>10</v>
      </c>
      <c r="AI659" s="344">
        <v>37013000</v>
      </c>
      <c r="AJ659" s="344" t="s">
        <v>60</v>
      </c>
      <c r="AK659" s="344">
        <v>1</v>
      </c>
      <c r="AL659" s="344">
        <v>0</v>
      </c>
      <c r="AM659" s="344" t="s">
        <v>1905</v>
      </c>
    </row>
    <row r="660" spans="7:39">
      <c r="G660" s="344"/>
      <c r="H660" s="10" t="s">
        <v>3233</v>
      </c>
      <c r="I660" s="344" t="s">
        <v>740</v>
      </c>
      <c r="J660" s="344" t="s">
        <v>96</v>
      </c>
      <c r="K660" s="344" t="s">
        <v>3267</v>
      </c>
      <c r="L660" s="344" t="s">
        <v>97</v>
      </c>
      <c r="M660" s="344">
        <v>9782</v>
      </c>
      <c r="N660" s="344" t="s">
        <v>2948</v>
      </c>
      <c r="O660" s="344" t="s">
        <v>5</v>
      </c>
      <c r="P660" s="344" t="s">
        <v>106</v>
      </c>
      <c r="Q660" s="344" t="s">
        <v>68</v>
      </c>
      <c r="R660" s="344" t="s">
        <v>69</v>
      </c>
      <c r="S660" s="344" t="s">
        <v>9</v>
      </c>
      <c r="T660" s="347">
        <v>23455.48</v>
      </c>
      <c r="U660" s="347">
        <v>26973.8</v>
      </c>
      <c r="V660" s="344" t="s">
        <v>9</v>
      </c>
      <c r="W660" s="344">
        <v>31829</v>
      </c>
      <c r="X660" s="344">
        <v>9</v>
      </c>
      <c r="Y660" s="344">
        <v>2427.64</v>
      </c>
      <c r="Z660" s="344">
        <v>9</v>
      </c>
      <c r="AA660" s="344">
        <v>2427.64</v>
      </c>
      <c r="AB660" s="344">
        <v>0</v>
      </c>
      <c r="AC660" s="344">
        <v>0</v>
      </c>
      <c r="AD660" s="344">
        <v>0</v>
      </c>
      <c r="AE660" s="344">
        <v>4855.28</v>
      </c>
      <c r="AF660" s="344">
        <v>0</v>
      </c>
      <c r="AG660" s="344" t="s">
        <v>2203</v>
      </c>
      <c r="AH660" s="344" t="s">
        <v>10</v>
      </c>
      <c r="AI660" s="344">
        <v>37013000</v>
      </c>
      <c r="AJ660" s="344" t="s">
        <v>60</v>
      </c>
      <c r="AK660" s="344">
        <v>1</v>
      </c>
      <c r="AL660" s="344">
        <v>0</v>
      </c>
      <c r="AM660" s="344" t="s">
        <v>1905</v>
      </c>
    </row>
    <row r="661" spans="7:39">
      <c r="G661" s="344"/>
      <c r="H661" s="10" t="s">
        <v>3233</v>
      </c>
      <c r="I661" s="344" t="s">
        <v>740</v>
      </c>
      <c r="J661" s="344" t="s">
        <v>96</v>
      </c>
      <c r="K661" s="344" t="s">
        <v>3268</v>
      </c>
      <c r="L661" s="344" t="s">
        <v>97</v>
      </c>
      <c r="M661" s="344">
        <v>9820</v>
      </c>
      <c r="N661" s="344" t="s">
        <v>3096</v>
      </c>
      <c r="O661" s="344" t="s">
        <v>5</v>
      </c>
      <c r="P661" s="344" t="s">
        <v>106</v>
      </c>
      <c r="Q661" s="344" t="s">
        <v>68</v>
      </c>
      <c r="R661" s="344" t="s">
        <v>69</v>
      </c>
      <c r="S661" s="344" t="s">
        <v>9</v>
      </c>
      <c r="T661" s="347">
        <v>1277.6500000000001</v>
      </c>
      <c r="U661" s="347">
        <v>1469.3</v>
      </c>
      <c r="V661" s="344" t="s">
        <v>9</v>
      </c>
      <c r="W661" s="344">
        <v>1846</v>
      </c>
      <c r="X661" s="344">
        <v>9</v>
      </c>
      <c r="Y661" s="344">
        <v>138.24</v>
      </c>
      <c r="Z661" s="344">
        <v>9</v>
      </c>
      <c r="AA661" s="344">
        <v>138.24</v>
      </c>
      <c r="AB661" s="344">
        <v>0</v>
      </c>
      <c r="AC661" s="344">
        <v>0</v>
      </c>
      <c r="AD661" s="344">
        <v>0</v>
      </c>
      <c r="AE661" s="344">
        <v>276.48</v>
      </c>
      <c r="AF661" s="344">
        <v>0</v>
      </c>
      <c r="AG661" s="344" t="s">
        <v>2203</v>
      </c>
      <c r="AH661" s="344" t="s">
        <v>10</v>
      </c>
      <c r="AI661" s="344">
        <v>37013000</v>
      </c>
      <c r="AJ661" s="344" t="s">
        <v>60</v>
      </c>
      <c r="AK661" s="344">
        <v>1</v>
      </c>
      <c r="AL661" s="344">
        <v>0</v>
      </c>
      <c r="AM661" s="344" t="s">
        <v>1905</v>
      </c>
    </row>
    <row r="662" spans="7:39">
      <c r="G662" s="344"/>
      <c r="H662" s="10" t="s">
        <v>3233</v>
      </c>
      <c r="I662" s="344" t="s">
        <v>2977</v>
      </c>
      <c r="J662" s="344" t="s">
        <v>96</v>
      </c>
      <c r="K662" s="344" t="s">
        <v>3269</v>
      </c>
      <c r="L662" s="344" t="s">
        <v>97</v>
      </c>
      <c r="M662" s="344">
        <v>3941</v>
      </c>
      <c r="N662" s="344" t="s">
        <v>3233</v>
      </c>
      <c r="O662" s="344" t="s">
        <v>2379</v>
      </c>
      <c r="P662" s="344" t="s">
        <v>2380</v>
      </c>
      <c r="Q662" s="344" t="s">
        <v>68</v>
      </c>
      <c r="R662" s="344" t="s">
        <v>69</v>
      </c>
      <c r="S662" s="344" t="s">
        <v>3038</v>
      </c>
      <c r="T662" s="344">
        <v>80</v>
      </c>
      <c r="U662" s="347">
        <v>7200</v>
      </c>
      <c r="V662" s="344" t="s">
        <v>3038</v>
      </c>
      <c r="W662" s="344">
        <v>8496</v>
      </c>
      <c r="X662" s="344">
        <v>9</v>
      </c>
      <c r="Y662" s="344">
        <v>648</v>
      </c>
      <c r="Z662" s="344">
        <v>9</v>
      </c>
      <c r="AA662" s="344">
        <v>648</v>
      </c>
      <c r="AB662" s="344">
        <v>0</v>
      </c>
      <c r="AC662" s="344">
        <v>0</v>
      </c>
      <c r="AD662" s="344">
        <v>0</v>
      </c>
      <c r="AE662" s="344">
        <v>1296</v>
      </c>
      <c r="AF662" s="344">
        <v>0</v>
      </c>
      <c r="AG662" s="344" t="s">
        <v>2980</v>
      </c>
      <c r="AH662" s="344" t="s">
        <v>1</v>
      </c>
      <c r="AI662" s="344">
        <v>49011010</v>
      </c>
      <c r="AJ662" s="344" t="s">
        <v>60</v>
      </c>
      <c r="AK662" s="344">
        <v>1</v>
      </c>
      <c r="AL662" s="344">
        <v>0</v>
      </c>
      <c r="AM662" s="344" t="s">
        <v>1905</v>
      </c>
    </row>
    <row r="663" spans="7:39">
      <c r="G663" s="344"/>
      <c r="H663" s="10" t="s">
        <v>3233</v>
      </c>
      <c r="I663" s="344" t="s">
        <v>2977</v>
      </c>
      <c r="J663" s="344" t="s">
        <v>96</v>
      </c>
      <c r="K663" s="344" t="s">
        <v>3270</v>
      </c>
      <c r="L663" s="344" t="s">
        <v>97</v>
      </c>
      <c r="M663" s="344">
        <v>3942</v>
      </c>
      <c r="N663" s="344" t="s">
        <v>3233</v>
      </c>
      <c r="O663" s="344" t="s">
        <v>2379</v>
      </c>
      <c r="P663" s="344" t="s">
        <v>2380</v>
      </c>
      <c r="Q663" s="344" t="s">
        <v>68</v>
      </c>
      <c r="R663" s="344" t="s">
        <v>69</v>
      </c>
      <c r="S663" s="344" t="s">
        <v>3271</v>
      </c>
      <c r="T663" s="347">
        <v>10</v>
      </c>
      <c r="U663" s="347">
        <v>900</v>
      </c>
      <c r="V663" s="344" t="s">
        <v>3271</v>
      </c>
      <c r="W663" s="344">
        <v>9676</v>
      </c>
      <c r="X663" s="344">
        <v>9</v>
      </c>
      <c r="Y663" s="344">
        <v>81</v>
      </c>
      <c r="Z663" s="344">
        <v>9</v>
      </c>
      <c r="AA663" s="344">
        <v>81</v>
      </c>
      <c r="AB663" s="344">
        <v>0</v>
      </c>
      <c r="AC663" s="344">
        <v>0</v>
      </c>
      <c r="AD663" s="344">
        <v>0</v>
      </c>
      <c r="AE663" s="344">
        <v>162</v>
      </c>
      <c r="AF663" s="344">
        <v>0</v>
      </c>
      <c r="AG663" s="344" t="s">
        <v>2980</v>
      </c>
      <c r="AH663" s="344" t="s">
        <v>1</v>
      </c>
      <c r="AI663" s="344">
        <v>490110</v>
      </c>
      <c r="AJ663" s="344" t="s">
        <v>60</v>
      </c>
      <c r="AK663" s="344">
        <v>1</v>
      </c>
      <c r="AL663" s="344">
        <v>0</v>
      </c>
      <c r="AM663" s="344" t="s">
        <v>1905</v>
      </c>
    </row>
    <row r="664" spans="7:39">
      <c r="G664" s="344"/>
      <c r="H664" s="10" t="s">
        <v>3233</v>
      </c>
      <c r="I664" s="344" t="s">
        <v>2977</v>
      </c>
      <c r="J664" s="344" t="s">
        <v>96</v>
      </c>
      <c r="K664" s="344" t="s">
        <v>3270</v>
      </c>
      <c r="L664" s="344" t="s">
        <v>97</v>
      </c>
      <c r="M664" s="344">
        <v>3942</v>
      </c>
      <c r="N664" s="344" t="s">
        <v>3233</v>
      </c>
      <c r="O664" s="344" t="s">
        <v>2379</v>
      </c>
      <c r="P664" s="344" t="s">
        <v>2380</v>
      </c>
      <c r="Q664" s="344" t="s">
        <v>68</v>
      </c>
      <c r="R664" s="344" t="s">
        <v>69</v>
      </c>
      <c r="S664" s="344" t="s">
        <v>3272</v>
      </c>
      <c r="T664" s="344">
        <v>30</v>
      </c>
      <c r="U664" s="347">
        <v>3000</v>
      </c>
      <c r="V664" s="344" t="s">
        <v>3272</v>
      </c>
      <c r="W664" s="344">
        <v>0</v>
      </c>
      <c r="X664" s="344">
        <v>9</v>
      </c>
      <c r="Y664" s="344">
        <v>270</v>
      </c>
      <c r="Z664" s="344">
        <v>9</v>
      </c>
      <c r="AA664" s="344">
        <v>270</v>
      </c>
      <c r="AB664" s="344">
        <v>0</v>
      </c>
      <c r="AC664" s="344">
        <v>0</v>
      </c>
      <c r="AD664" s="344">
        <v>0</v>
      </c>
      <c r="AE664" s="344">
        <v>540</v>
      </c>
      <c r="AF664" s="344">
        <v>0</v>
      </c>
      <c r="AG664" s="344" t="s">
        <v>2980</v>
      </c>
      <c r="AH664" s="344" t="s">
        <v>1</v>
      </c>
      <c r="AI664" s="344">
        <v>482060</v>
      </c>
      <c r="AJ664" s="344" t="s">
        <v>60</v>
      </c>
      <c r="AK664" s="344">
        <v>1</v>
      </c>
      <c r="AL664" s="344">
        <v>0</v>
      </c>
      <c r="AM664" s="344" t="s">
        <v>1905</v>
      </c>
    </row>
    <row r="665" spans="7:39">
      <c r="G665" s="344"/>
      <c r="H665" s="10" t="s">
        <v>3233</v>
      </c>
      <c r="I665" s="344" t="s">
        <v>2977</v>
      </c>
      <c r="J665" s="344" t="s">
        <v>96</v>
      </c>
      <c r="K665" s="344" t="s">
        <v>3270</v>
      </c>
      <c r="L665" s="344" t="s">
        <v>97</v>
      </c>
      <c r="M665" s="344">
        <v>3942</v>
      </c>
      <c r="N665" s="344" t="s">
        <v>3233</v>
      </c>
      <c r="O665" s="344" t="s">
        <v>2379</v>
      </c>
      <c r="P665" s="344" t="s">
        <v>2380</v>
      </c>
      <c r="Q665" s="344" t="s">
        <v>68</v>
      </c>
      <c r="R665" s="344" t="s">
        <v>69</v>
      </c>
      <c r="S665" s="344" t="s">
        <v>3273</v>
      </c>
      <c r="T665" s="344">
        <v>50</v>
      </c>
      <c r="U665" s="347">
        <v>2500</v>
      </c>
      <c r="V665" s="344" t="s">
        <v>3273</v>
      </c>
      <c r="W665" s="344">
        <v>0</v>
      </c>
      <c r="X665" s="344">
        <v>9</v>
      </c>
      <c r="Y665" s="344">
        <v>225</v>
      </c>
      <c r="Z665" s="344">
        <v>9</v>
      </c>
      <c r="AA665" s="344">
        <v>225</v>
      </c>
      <c r="AB665" s="344">
        <v>0</v>
      </c>
      <c r="AC665" s="344">
        <v>0</v>
      </c>
      <c r="AD665" s="344">
        <v>0</v>
      </c>
      <c r="AE665" s="344">
        <v>450</v>
      </c>
      <c r="AF665" s="344">
        <v>0</v>
      </c>
      <c r="AG665" s="344" t="s">
        <v>2980</v>
      </c>
      <c r="AH665" s="344" t="s">
        <v>1</v>
      </c>
      <c r="AI665" s="344">
        <v>482010</v>
      </c>
      <c r="AJ665" s="344" t="s">
        <v>60</v>
      </c>
      <c r="AK665" s="344">
        <v>1</v>
      </c>
      <c r="AL665" s="344">
        <v>0</v>
      </c>
      <c r="AM665" s="344" t="s">
        <v>1905</v>
      </c>
    </row>
    <row r="666" spans="7:39">
      <c r="G666" s="344"/>
      <c r="H666" s="10" t="s">
        <v>3233</v>
      </c>
      <c r="I666" s="344" t="s">
        <v>2977</v>
      </c>
      <c r="J666" s="344" t="s">
        <v>96</v>
      </c>
      <c r="K666" s="344" t="s">
        <v>3270</v>
      </c>
      <c r="L666" s="344" t="s">
        <v>97</v>
      </c>
      <c r="M666" s="344">
        <v>3942</v>
      </c>
      <c r="N666" s="344" t="s">
        <v>3233</v>
      </c>
      <c r="O666" s="344" t="s">
        <v>2379</v>
      </c>
      <c r="P666" s="344" t="s">
        <v>2380</v>
      </c>
      <c r="Q666" s="344" t="s">
        <v>68</v>
      </c>
      <c r="R666" s="344" t="s">
        <v>69</v>
      </c>
      <c r="S666" s="344" t="s">
        <v>3274</v>
      </c>
      <c r="T666" s="347">
        <v>20</v>
      </c>
      <c r="U666" s="347">
        <v>1800</v>
      </c>
      <c r="V666" s="344" t="s">
        <v>3274</v>
      </c>
      <c r="W666" s="344">
        <v>0</v>
      </c>
      <c r="X666" s="344">
        <v>9</v>
      </c>
      <c r="Y666" s="344">
        <v>162</v>
      </c>
      <c r="Z666" s="344">
        <v>9</v>
      </c>
      <c r="AA666" s="344">
        <v>162</v>
      </c>
      <c r="AB666" s="344">
        <v>0</v>
      </c>
      <c r="AC666" s="344">
        <v>0</v>
      </c>
      <c r="AD666" s="344">
        <v>0</v>
      </c>
      <c r="AE666" s="344">
        <v>324</v>
      </c>
      <c r="AF666" s="344">
        <v>0</v>
      </c>
      <c r="AG666" s="344" t="s">
        <v>2980</v>
      </c>
      <c r="AH666" s="344" t="s">
        <v>3275</v>
      </c>
      <c r="AI666" s="344">
        <v>482010</v>
      </c>
      <c r="AJ666" s="344" t="s">
        <v>60</v>
      </c>
      <c r="AK666" s="344">
        <v>1</v>
      </c>
      <c r="AL666" s="344">
        <v>0</v>
      </c>
      <c r="AM666" s="344" t="s">
        <v>1905</v>
      </c>
    </row>
    <row r="667" spans="7:39">
      <c r="G667" s="344"/>
      <c r="I667" s="344"/>
      <c r="J667" s="344"/>
      <c r="K667" s="344"/>
      <c r="L667" s="344"/>
      <c r="M667" s="344"/>
      <c r="N667" s="344"/>
      <c r="O667" s="344"/>
      <c r="P667" s="344"/>
      <c r="Q667" s="344"/>
      <c r="R667" s="344"/>
      <c r="S667" s="344"/>
      <c r="T667" s="347"/>
      <c r="U667" s="347"/>
      <c r="V667" s="344"/>
      <c r="W667" s="344"/>
      <c r="X667" s="344"/>
      <c r="Y667" s="344"/>
      <c r="Z667" s="344"/>
      <c r="AA667" s="344"/>
      <c r="AB667" s="344"/>
      <c r="AC667" s="344"/>
      <c r="AD667" s="344"/>
      <c r="AE667" s="344"/>
      <c r="AF667" s="344"/>
      <c r="AG667" s="344"/>
      <c r="AH667" s="344"/>
      <c r="AI667" s="344"/>
      <c r="AJ667" s="344"/>
      <c r="AK667" s="344"/>
      <c r="AL667" s="344"/>
      <c r="AM667" s="344"/>
    </row>
    <row r="668" spans="7:39">
      <c r="G668" s="344"/>
      <c r="I668" s="344"/>
      <c r="J668" s="344"/>
      <c r="K668" s="344"/>
      <c r="L668" s="344"/>
      <c r="M668" s="344"/>
      <c r="N668" s="344"/>
      <c r="O668" s="344"/>
      <c r="P668" s="344"/>
      <c r="Q668" s="344"/>
      <c r="R668" s="8"/>
      <c r="S668" s="344"/>
      <c r="T668" s="347"/>
      <c r="U668" s="347"/>
      <c r="V668" s="344"/>
      <c r="W668" s="344"/>
      <c r="X668" s="344"/>
      <c r="Y668" s="344"/>
      <c r="Z668" s="344"/>
      <c r="AA668" s="344"/>
      <c r="AB668" s="344"/>
      <c r="AC668" s="344"/>
      <c r="AD668" s="344"/>
      <c r="AE668" s="344"/>
      <c r="AF668" s="344"/>
      <c r="AG668" s="344"/>
      <c r="AH668" s="344"/>
      <c r="AI668" s="344"/>
      <c r="AJ668" s="344"/>
      <c r="AK668" s="344"/>
      <c r="AL668" s="344"/>
      <c r="AM668" s="344"/>
    </row>
    <row r="669" spans="7:39">
      <c r="G669" s="344"/>
      <c r="I669" s="344"/>
      <c r="J669" s="344"/>
      <c r="K669" s="344"/>
      <c r="L669" s="344"/>
      <c r="M669" s="344"/>
      <c r="N669" s="344"/>
      <c r="O669" s="344"/>
      <c r="P669" s="344"/>
      <c r="Q669" s="344"/>
      <c r="R669" s="344"/>
      <c r="S669" s="344"/>
      <c r="T669" s="347"/>
      <c r="U669" s="344"/>
      <c r="V669" s="344"/>
      <c r="W669" s="344"/>
      <c r="X669" s="344"/>
      <c r="Y669" s="344"/>
      <c r="Z669" s="344"/>
      <c r="AA669" s="344"/>
      <c r="AB669" s="344"/>
      <c r="AC669" s="344"/>
      <c r="AD669" s="344"/>
      <c r="AE669" s="344"/>
      <c r="AF669" s="344"/>
      <c r="AG669" s="344"/>
      <c r="AH669" s="344"/>
      <c r="AI669" s="344"/>
      <c r="AJ669" s="344"/>
      <c r="AK669" s="344"/>
      <c r="AL669" s="344"/>
      <c r="AM669" s="344"/>
    </row>
  </sheetData>
  <autoFilter ref="H23:AL669"/>
  <mergeCells count="1">
    <mergeCell ref="A22:D22"/>
  </mergeCells>
  <pageMargins left="0.7" right="0.7" top="0.75" bottom="0.75" header="0.3" footer="0.3"/>
  <pageSetup orientation="portrait" verticalDpi="0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N200"/>
  <sheetViews>
    <sheetView workbookViewId="0">
      <selection activeCell="I9" sqref="I9"/>
    </sheetView>
  </sheetViews>
  <sheetFormatPr defaultRowHeight="12.75"/>
  <cols>
    <col min="1" max="1" width="38.42578125" style="1" bestFit="1" customWidth="1"/>
    <col min="2" max="2" width="15.42578125" style="1" customWidth="1"/>
    <col min="3" max="3" width="14.85546875" style="1" customWidth="1"/>
    <col min="4" max="4" width="12" style="1" bestFit="1" customWidth="1"/>
    <col min="5" max="5" width="12.140625" style="1" bestFit="1" customWidth="1"/>
    <col min="6" max="6" width="12.5703125" style="1" bestFit="1" customWidth="1"/>
    <col min="7" max="7" width="10.5703125" style="1" bestFit="1" customWidth="1"/>
    <col min="8" max="8" width="10.7109375" style="1" bestFit="1" customWidth="1"/>
    <col min="9" max="9" width="27.140625" style="1" bestFit="1" customWidth="1"/>
    <col min="10" max="10" width="10.5703125" style="1" customWidth="1"/>
    <col min="11" max="11" width="15" style="10" bestFit="1" customWidth="1"/>
    <col min="12" max="12" width="42.28515625" style="1" bestFit="1" customWidth="1"/>
    <col min="13" max="13" width="15.5703125" style="1" bestFit="1" customWidth="1"/>
    <col min="14" max="14" width="12" style="1" bestFit="1" customWidth="1"/>
    <col min="15" max="15" width="13.42578125" style="1" bestFit="1" customWidth="1"/>
    <col min="16" max="16" width="18" style="1" bestFit="1" customWidth="1"/>
    <col min="17" max="17" width="15.85546875" style="1" bestFit="1" customWidth="1"/>
    <col min="18" max="18" width="21.5703125" style="1" bestFit="1" customWidth="1"/>
    <col min="19" max="19" width="30.28515625" style="1" bestFit="1" customWidth="1"/>
    <col min="20" max="20" width="10.140625" style="1" bestFit="1" customWidth="1"/>
    <col min="21" max="21" width="13.42578125" style="1" bestFit="1" customWidth="1"/>
    <col min="22" max="22" width="13.42578125" style="344" customWidth="1"/>
    <col min="23" max="23" width="29.7109375" style="1" customWidth="1"/>
    <col min="24" max="24" width="11.42578125" style="1" bestFit="1" customWidth="1"/>
    <col min="25" max="25" width="10" style="1" bestFit="1" customWidth="1"/>
    <col min="26" max="26" width="9.7109375" style="1" bestFit="1" customWidth="1"/>
    <col min="27" max="27" width="9.85546875" style="1" bestFit="1" customWidth="1"/>
    <col min="28" max="28" width="9.5703125" style="1" bestFit="1" customWidth="1"/>
    <col min="29" max="29" width="9.42578125" style="1" bestFit="1" customWidth="1"/>
    <col min="30" max="30" width="9.140625" style="1"/>
    <col min="31" max="31" width="11.140625" style="1" bestFit="1" customWidth="1"/>
    <col min="32" max="32" width="10" style="1" bestFit="1" customWidth="1"/>
    <col min="33" max="33" width="9" style="1" bestFit="1" customWidth="1"/>
    <col min="34" max="34" width="18.140625" style="1" bestFit="1" customWidth="1"/>
    <col min="35" max="35" width="4.85546875" style="1" bestFit="1" customWidth="1"/>
    <col min="36" max="36" width="9.7109375" style="1" bestFit="1" customWidth="1"/>
    <col min="37" max="37" width="9.5703125" style="1" bestFit="1" customWidth="1"/>
    <col min="38" max="38" width="8.42578125" style="1" bestFit="1" customWidth="1"/>
    <col min="39" max="39" width="8" style="1" bestFit="1" customWidth="1"/>
    <col min="40" max="16384" width="9.140625" style="1"/>
  </cols>
  <sheetData>
    <row r="1" spans="1:40" ht="15">
      <c r="A1" s="3" t="s">
        <v>83</v>
      </c>
      <c r="B1" s="364" t="s">
        <v>85</v>
      </c>
      <c r="C1" s="364" t="s">
        <v>239</v>
      </c>
    </row>
    <row r="2" spans="1:40" ht="15">
      <c r="A2" s="440" t="s">
        <v>72</v>
      </c>
      <c r="B2" s="288">
        <v>42042</v>
      </c>
      <c r="C2" s="4">
        <v>504504</v>
      </c>
      <c r="D2" s="124">
        <f>+GETPIVOTDATA("Sum of Amount",$A$1,"sales Group Name","HDPE/PP Plastik Waste")/GETPIVOTDATA("Sum of Quantity",$A$1,"sales Group Name","HDPE/PP Plastik Waste")</f>
        <v>12</v>
      </c>
      <c r="F2" s="258"/>
      <c r="G2" s="261"/>
      <c r="H2" s="261"/>
      <c r="I2" s="264"/>
      <c r="J2" s="264"/>
      <c r="K2" s="368"/>
      <c r="L2" s="262"/>
      <c r="M2" s="276"/>
    </row>
    <row r="3" spans="1:40" ht="15">
      <c r="A3" s="440" t="s">
        <v>58</v>
      </c>
      <c r="B3" s="288">
        <v>485002.92</v>
      </c>
      <c r="C3" s="4">
        <v>101542248.98000002</v>
      </c>
      <c r="D3" s="124">
        <f>+GETPIVOTDATA("Sum of Amount",$A$1,"sales Group Name","JUMBO BAG")/GETPIVOTDATA("Sum of Quantity",$A$1,"sales Group Name","JUMBO BAG")</f>
        <v>209.3642013124375</v>
      </c>
      <c r="E3" s="124"/>
      <c r="F3" s="262"/>
      <c r="G3" s="261"/>
      <c r="H3" s="261"/>
      <c r="I3" s="265"/>
      <c r="J3" s="265"/>
      <c r="K3" s="368"/>
      <c r="L3" s="262"/>
      <c r="M3" s="276"/>
    </row>
    <row r="4" spans="1:40" ht="15">
      <c r="A4" s="440" t="s">
        <v>64</v>
      </c>
      <c r="B4" s="288">
        <v>2871</v>
      </c>
      <c r="C4" s="4">
        <v>410514.72</v>
      </c>
      <c r="D4" s="124">
        <f>+GETPIVOTDATA("Sum of Amount",$A$1,"sales Group Name","PP Woven Fabric")/GETPIVOTDATA("Sum of Quantity",$A$1,"sales Group Name","PP Woven Fabric")</f>
        <v>142.98666666666665</v>
      </c>
      <c r="E4" s="256"/>
      <c r="F4" s="260"/>
      <c r="G4" s="275"/>
      <c r="H4" s="275"/>
      <c r="I4" s="265"/>
      <c r="J4" s="275"/>
      <c r="K4" s="368"/>
      <c r="L4" s="262"/>
      <c r="M4" s="276"/>
    </row>
    <row r="5" spans="1:40" ht="15">
      <c r="A5" s="440" t="s">
        <v>82</v>
      </c>
      <c r="B5" s="205">
        <v>724</v>
      </c>
      <c r="C5" s="4">
        <v>128918.64</v>
      </c>
      <c r="D5" s="124">
        <f>+GETPIVOTDATA("Sum of Amount",$A$1,"sales Group Name","LLDPE Bags")/GETPIVOTDATA("Sum of Quantity",$A$1,"sales Group Name","LLDPE Bags")</f>
        <v>178.06441988950277</v>
      </c>
      <c r="F5" s="275">
        <f>+D3*0.95</f>
        <v>198.89599124681561</v>
      </c>
      <c r="G5" s="275"/>
      <c r="H5" s="275"/>
      <c r="I5" s="265"/>
      <c r="J5" s="275"/>
      <c r="K5" s="368"/>
      <c r="L5" s="262"/>
      <c r="M5" s="276"/>
    </row>
    <row r="6" spans="1:40" ht="15">
      <c r="A6" s="440" t="s">
        <v>101</v>
      </c>
      <c r="B6" s="205">
        <v>108.8</v>
      </c>
      <c r="C6" s="4">
        <v>17342.72</v>
      </c>
      <c r="D6" s="124">
        <f>+GETPIVOTDATA("Sum of Amount",$A$1,"sales Group Name","PP Filament Yarn")/GETPIVOTDATA("Sum of Quantity",$A$1,"sales Group Name","PP Filament Yarn")</f>
        <v>159.4</v>
      </c>
      <c r="F6" s="259"/>
      <c r="G6" s="275"/>
      <c r="H6" s="275"/>
      <c r="I6" s="265"/>
      <c r="J6" s="275"/>
      <c r="K6" s="368"/>
      <c r="L6" s="262"/>
      <c r="M6" s="276"/>
    </row>
    <row r="7" spans="1:40" ht="15">
      <c r="A7" s="440" t="s">
        <v>765</v>
      </c>
      <c r="B7" s="205">
        <v>360</v>
      </c>
      <c r="C7" s="4">
        <v>42480</v>
      </c>
      <c r="D7" s="124">
        <f>+GETPIVOTDATA("Sum of Amount",$A$1,"sales Group Name","Thinner")/GETPIVOTDATA("Sum of Quantity",$A$1,"sales Group Name","Thinner")</f>
        <v>118</v>
      </c>
      <c r="F7" s="258"/>
      <c r="G7" s="262"/>
      <c r="H7" s="262"/>
      <c r="I7" s="263"/>
      <c r="J7" s="262"/>
      <c r="K7" s="262"/>
      <c r="L7" s="264"/>
      <c r="M7" s="276"/>
    </row>
    <row r="8" spans="1:40" ht="15">
      <c r="A8" s="440" t="s">
        <v>79</v>
      </c>
      <c r="B8" s="205">
        <v>482.5</v>
      </c>
      <c r="C8" s="4">
        <v>71009.010000000009</v>
      </c>
      <c r="D8" s="124">
        <f>+GETPIVOTDATA("Sum of Amount",$A$1,"sales Group Name","PP Webbing")/GETPIVOTDATA("Sum of Quantity",$A$1,"sales Group Name","PP Webbing")</f>
        <v>147.16893264248708</v>
      </c>
      <c r="F8" s="258"/>
      <c r="G8" s="262"/>
      <c r="H8" s="260"/>
      <c r="I8" s="265"/>
      <c r="J8" s="262"/>
      <c r="K8" s="260"/>
      <c r="L8" s="265"/>
      <c r="M8" s="260"/>
    </row>
    <row r="9" spans="1:40" ht="15">
      <c r="A9" s="440" t="s">
        <v>349</v>
      </c>
      <c r="B9" s="205">
        <v>10153.9</v>
      </c>
      <c r="C9" s="4">
        <v>1659489.2999999998</v>
      </c>
      <c r="D9" s="124">
        <f>+GETPIVOTDATA("Sum of Amount",$A$1,"sales Group Name","PP Woven Sacks")/GETPIVOTDATA("Sum of Quantity",$A$1,"sales Group Name","PP Woven Sacks")</f>
        <v>163.4336855789401</v>
      </c>
      <c r="F9" s="124"/>
      <c r="G9" s="124"/>
    </row>
    <row r="10" spans="1:40" ht="15">
      <c r="A10" s="440" t="s">
        <v>2076</v>
      </c>
      <c r="B10" s="205">
        <v>8857</v>
      </c>
      <c r="C10" s="4">
        <v>393377.08</v>
      </c>
      <c r="D10" s="124">
        <f>+GETPIVOTDATA("Sum of Amount",$A$1,"sales Group Name","FIBC WIP")/GETPIVOTDATA("Sum of Quantity",$A$1,"sales Group Name","FIBC WIP")</f>
        <v>44.414257649316923</v>
      </c>
      <c r="E10" s="106"/>
    </row>
    <row r="11" spans="1:40" ht="15">
      <c r="A11" s="440" t="s">
        <v>84</v>
      </c>
      <c r="B11" s="4">
        <v>550602.12</v>
      </c>
      <c r="C11" s="4">
        <v>104769884.45000002</v>
      </c>
      <c r="D11" s="124"/>
    </row>
    <row r="12" spans="1:40" ht="15">
      <c r="A12"/>
      <c r="B12"/>
      <c r="C12"/>
      <c r="D12" s="124"/>
    </row>
    <row r="13" spans="1:40" ht="15">
      <c r="A13"/>
      <c r="B13"/>
      <c r="C13"/>
      <c r="D13" s="124"/>
    </row>
    <row r="14" spans="1:40" ht="15">
      <c r="A14" s="174"/>
      <c r="B14" s="174"/>
      <c r="C14" s="174"/>
    </row>
    <row r="15" spans="1:40" ht="15">
      <c r="A15" s="464" t="s">
        <v>268</v>
      </c>
      <c r="B15" s="464"/>
      <c r="C15" s="464"/>
      <c r="D15" s="464"/>
    </row>
    <row r="16" spans="1:40" ht="15">
      <c r="A16" s="401" t="s">
        <v>83</v>
      </c>
      <c r="B16" s="402" t="s">
        <v>239</v>
      </c>
      <c r="C16" s="187" t="s">
        <v>265</v>
      </c>
      <c r="D16" s="187" t="s">
        <v>266</v>
      </c>
      <c r="G16" s="344"/>
      <c r="H16" s="5" t="s">
        <v>25</v>
      </c>
      <c r="I16" s="5" t="s">
        <v>26</v>
      </c>
      <c r="J16" s="5" t="s">
        <v>27</v>
      </c>
      <c r="K16" s="5" t="s">
        <v>28</v>
      </c>
      <c r="L16" s="5" t="s">
        <v>29</v>
      </c>
      <c r="M16" s="5" t="s">
        <v>30</v>
      </c>
      <c r="N16" s="5" t="s">
        <v>31</v>
      </c>
      <c r="O16" s="5" t="s">
        <v>32</v>
      </c>
      <c r="P16" s="5" t="s">
        <v>33</v>
      </c>
      <c r="Q16" s="5" t="s">
        <v>34</v>
      </c>
      <c r="R16" s="5" t="s">
        <v>35</v>
      </c>
      <c r="S16" s="5" t="s">
        <v>36</v>
      </c>
      <c r="T16" s="5" t="s">
        <v>37</v>
      </c>
      <c r="U16" s="5" t="s">
        <v>38</v>
      </c>
      <c r="V16" s="5"/>
      <c r="W16" s="5" t="s">
        <v>39</v>
      </c>
      <c r="X16" s="5" t="s">
        <v>40</v>
      </c>
      <c r="Y16" s="5" t="s">
        <v>41</v>
      </c>
      <c r="Z16" s="5" t="s">
        <v>42</v>
      </c>
      <c r="AA16" s="5" t="s">
        <v>43</v>
      </c>
      <c r="AB16" s="5" t="s">
        <v>44</v>
      </c>
      <c r="AC16" s="5" t="s">
        <v>45</v>
      </c>
      <c r="AD16" s="5" t="s">
        <v>46</v>
      </c>
      <c r="AE16" s="5" t="s">
        <v>47</v>
      </c>
      <c r="AF16" s="5" t="s">
        <v>48</v>
      </c>
      <c r="AG16" s="5" t="s">
        <v>49</v>
      </c>
      <c r="AH16" s="5" t="s">
        <v>50</v>
      </c>
      <c r="AI16" s="5" t="s">
        <v>0</v>
      </c>
      <c r="AJ16" s="5" t="s">
        <v>51</v>
      </c>
      <c r="AK16" s="5" t="s">
        <v>52</v>
      </c>
      <c r="AL16" s="5" t="s">
        <v>53</v>
      </c>
      <c r="AM16" s="5" t="s">
        <v>54</v>
      </c>
      <c r="AN16" s="5" t="s">
        <v>1904</v>
      </c>
    </row>
    <row r="17" spans="1:40" ht="15" customHeight="1">
      <c r="A17" s="403" t="s">
        <v>2426</v>
      </c>
      <c r="B17" s="398">
        <v>721345.02</v>
      </c>
      <c r="C17" s="25">
        <v>0</v>
      </c>
      <c r="D17" s="23">
        <f>+GETPIVOTDATA("Amount",$A$16,"Type","Sales - Kasez - Mfg - U/B")-C17</f>
        <v>721345.02</v>
      </c>
      <c r="G17" s="344"/>
      <c r="H17" s="7">
        <v>46030</v>
      </c>
      <c r="I17" s="8" t="s">
        <v>61</v>
      </c>
      <c r="J17" s="8" t="s">
        <v>56</v>
      </c>
      <c r="K17" s="6">
        <v>190</v>
      </c>
      <c r="L17" s="8" t="s">
        <v>1663</v>
      </c>
      <c r="M17" s="8" t="s">
        <v>3276</v>
      </c>
      <c r="N17" s="7">
        <v>46030</v>
      </c>
      <c r="O17" s="8" t="s">
        <v>15</v>
      </c>
      <c r="P17" s="8" t="s">
        <v>57</v>
      </c>
      <c r="Q17" s="8" t="s">
        <v>57</v>
      </c>
      <c r="R17" s="8" t="s">
        <v>58</v>
      </c>
      <c r="S17" s="8" t="s">
        <v>16</v>
      </c>
      <c r="T17" s="9">
        <v>378</v>
      </c>
      <c r="U17" s="9">
        <v>73116.539999999994</v>
      </c>
      <c r="V17" s="9"/>
      <c r="W17" s="8" t="s">
        <v>3277</v>
      </c>
      <c r="X17" s="8">
        <v>2062060.32</v>
      </c>
      <c r="Y17" s="8">
        <v>9</v>
      </c>
      <c r="Z17" s="8">
        <v>6580.49</v>
      </c>
      <c r="AA17" s="8">
        <v>9</v>
      </c>
      <c r="AB17" s="8">
        <v>6580.49</v>
      </c>
      <c r="AC17" s="8">
        <v>0</v>
      </c>
      <c r="AD17" s="8">
        <v>0</v>
      </c>
      <c r="AE17" s="8">
        <v>0</v>
      </c>
      <c r="AF17" s="8">
        <v>13160.98</v>
      </c>
      <c r="AG17" s="8">
        <v>0</v>
      </c>
      <c r="AH17" s="8" t="s">
        <v>65</v>
      </c>
      <c r="AI17" s="8" t="s">
        <v>3</v>
      </c>
      <c r="AJ17" s="8">
        <v>63053200</v>
      </c>
      <c r="AK17" s="8" t="s">
        <v>60</v>
      </c>
      <c r="AL17" s="8">
        <v>1</v>
      </c>
      <c r="AM17" s="8">
        <v>378</v>
      </c>
      <c r="AN17" s="8" t="s">
        <v>1905</v>
      </c>
    </row>
    <row r="18" spans="1:40" ht="15" customHeight="1">
      <c r="A18" s="397" t="s">
        <v>75</v>
      </c>
      <c r="B18" s="399">
        <v>7141078.8500000006</v>
      </c>
      <c r="C18" s="25">
        <v>0</v>
      </c>
      <c r="D18" s="23">
        <f>+GETPIVOTDATA("Amount",$A$16,"Type","Sales - Within State - Traded Goods")-C18</f>
        <v>7141078.8500000006</v>
      </c>
      <c r="E18" s="344"/>
      <c r="F18" s="344"/>
      <c r="G18" s="344"/>
      <c r="H18" s="7">
        <v>46030</v>
      </c>
      <c r="I18" s="8" t="s">
        <v>61</v>
      </c>
      <c r="J18" s="8" t="s">
        <v>56</v>
      </c>
      <c r="K18" s="6">
        <v>190</v>
      </c>
      <c r="L18" s="8" t="s">
        <v>1663</v>
      </c>
      <c r="M18" s="8" t="s">
        <v>3276</v>
      </c>
      <c r="N18" s="7">
        <v>46030</v>
      </c>
      <c r="O18" s="8" t="s">
        <v>15</v>
      </c>
      <c r="P18" s="8" t="s">
        <v>57</v>
      </c>
      <c r="Q18" s="8" t="s">
        <v>57</v>
      </c>
      <c r="R18" s="8" t="s">
        <v>58</v>
      </c>
      <c r="S18" s="8" t="s">
        <v>16</v>
      </c>
      <c r="T18" s="9">
        <v>3552</v>
      </c>
      <c r="U18" s="9">
        <v>622772.16</v>
      </c>
      <c r="V18" s="9"/>
      <c r="W18" s="8" t="s">
        <v>2504</v>
      </c>
      <c r="X18" s="8">
        <v>0</v>
      </c>
      <c r="Y18" s="8">
        <v>9</v>
      </c>
      <c r="Z18" s="8">
        <v>56049.49</v>
      </c>
      <c r="AA18" s="8">
        <v>9</v>
      </c>
      <c r="AB18" s="8">
        <v>56049.49</v>
      </c>
      <c r="AC18" s="8">
        <v>0</v>
      </c>
      <c r="AD18" s="8">
        <v>0</v>
      </c>
      <c r="AE18" s="8">
        <v>0</v>
      </c>
      <c r="AF18" s="8">
        <v>112098.98</v>
      </c>
      <c r="AG18" s="8">
        <v>0</v>
      </c>
      <c r="AH18" s="8" t="s">
        <v>65</v>
      </c>
      <c r="AI18" s="8" t="s">
        <v>3</v>
      </c>
      <c r="AJ18" s="8">
        <v>63053200</v>
      </c>
      <c r="AK18" s="8" t="s">
        <v>60</v>
      </c>
      <c r="AL18" s="8">
        <v>1</v>
      </c>
      <c r="AM18" s="8">
        <v>3552</v>
      </c>
      <c r="AN18" s="8" t="s">
        <v>1905</v>
      </c>
    </row>
    <row r="19" spans="1:40" ht="15" customHeight="1">
      <c r="A19" s="397" t="s">
        <v>1663</v>
      </c>
      <c r="B19" s="399">
        <v>35327517.290000007</v>
      </c>
      <c r="C19" s="25">
        <v>0</v>
      </c>
      <c r="D19" s="23">
        <f>+GETPIVOTDATA("Amount",$A$16,"Type","Sales - Within State  Manufactured Goods")-C19</f>
        <v>35327517.290000007</v>
      </c>
      <c r="E19" s="344"/>
      <c r="F19" s="344"/>
      <c r="G19" s="344"/>
      <c r="H19" s="7">
        <v>46030</v>
      </c>
      <c r="I19" s="8" t="s">
        <v>61</v>
      </c>
      <c r="J19" s="8" t="s">
        <v>56</v>
      </c>
      <c r="K19" s="6">
        <v>190</v>
      </c>
      <c r="L19" s="8" t="s">
        <v>1663</v>
      </c>
      <c r="M19" s="8" t="s">
        <v>3276</v>
      </c>
      <c r="N19" s="7">
        <v>46030</v>
      </c>
      <c r="O19" s="8" t="s">
        <v>15</v>
      </c>
      <c r="P19" s="8" t="s">
        <v>57</v>
      </c>
      <c r="Q19" s="8" t="s">
        <v>57</v>
      </c>
      <c r="R19" s="8" t="s">
        <v>58</v>
      </c>
      <c r="S19" s="8" t="s">
        <v>16</v>
      </c>
      <c r="T19" s="9">
        <v>1793</v>
      </c>
      <c r="U19" s="9">
        <v>323475.13</v>
      </c>
      <c r="V19" s="9"/>
      <c r="W19" s="8" t="s">
        <v>3278</v>
      </c>
      <c r="X19" s="8">
        <v>0</v>
      </c>
      <c r="Y19" s="8">
        <v>9</v>
      </c>
      <c r="Z19" s="8">
        <v>29112.76</v>
      </c>
      <c r="AA19" s="8">
        <v>9</v>
      </c>
      <c r="AB19" s="8">
        <v>29112.76</v>
      </c>
      <c r="AC19" s="8">
        <v>0</v>
      </c>
      <c r="AD19" s="8">
        <v>0</v>
      </c>
      <c r="AE19" s="8">
        <v>0</v>
      </c>
      <c r="AF19" s="8">
        <v>58225.52</v>
      </c>
      <c r="AG19" s="8">
        <v>0</v>
      </c>
      <c r="AH19" s="8" t="s">
        <v>65</v>
      </c>
      <c r="AI19" s="8" t="s">
        <v>3</v>
      </c>
      <c r="AJ19" s="8">
        <v>63053200</v>
      </c>
      <c r="AK19" s="8" t="s">
        <v>60</v>
      </c>
      <c r="AL19" s="8">
        <v>1</v>
      </c>
      <c r="AM19" s="8">
        <v>1793</v>
      </c>
      <c r="AN19" s="8" t="s">
        <v>1905</v>
      </c>
    </row>
    <row r="20" spans="1:40" ht="15" customHeight="1">
      <c r="A20" s="397" t="s">
        <v>2286</v>
      </c>
      <c r="B20" s="399">
        <v>36024046.260000005</v>
      </c>
      <c r="C20" s="25">
        <v>0</v>
      </c>
      <c r="D20" s="23">
        <f>+GETPIVOTDATA("Amount",$A$16,"Type","Sales - Direct Export - Mfg - U/R")-C20</f>
        <v>36024046.260000005</v>
      </c>
      <c r="E20" s="344"/>
      <c r="F20" s="344"/>
      <c r="G20" s="344"/>
      <c r="H20" s="7">
        <v>46030</v>
      </c>
      <c r="I20" s="8" t="s">
        <v>61</v>
      </c>
      <c r="J20" s="8" t="s">
        <v>56</v>
      </c>
      <c r="K20" s="6">
        <v>190</v>
      </c>
      <c r="L20" s="8" t="s">
        <v>1663</v>
      </c>
      <c r="M20" s="8" t="s">
        <v>3276</v>
      </c>
      <c r="N20" s="7">
        <v>46030</v>
      </c>
      <c r="O20" s="8" t="s">
        <v>15</v>
      </c>
      <c r="P20" s="8" t="s">
        <v>57</v>
      </c>
      <c r="Q20" s="8" t="s">
        <v>57</v>
      </c>
      <c r="R20" s="8" t="s">
        <v>58</v>
      </c>
      <c r="S20" s="8" t="s">
        <v>16</v>
      </c>
      <c r="T20" s="9">
        <v>2934</v>
      </c>
      <c r="U20" s="9">
        <v>729627.12</v>
      </c>
      <c r="V20" s="9"/>
      <c r="W20" s="8" t="s">
        <v>3279</v>
      </c>
      <c r="X20" s="8">
        <v>0</v>
      </c>
      <c r="Y20" s="8">
        <v>9</v>
      </c>
      <c r="Z20" s="8">
        <v>65666.44</v>
      </c>
      <c r="AA20" s="8">
        <v>9</v>
      </c>
      <c r="AB20" s="8">
        <v>65666.44</v>
      </c>
      <c r="AC20" s="8">
        <v>0</v>
      </c>
      <c r="AD20" s="8">
        <v>0</v>
      </c>
      <c r="AE20" s="8">
        <v>0</v>
      </c>
      <c r="AF20" s="8">
        <v>131332.88</v>
      </c>
      <c r="AG20" s="8">
        <v>0</v>
      </c>
      <c r="AH20" s="8" t="s">
        <v>65</v>
      </c>
      <c r="AI20" s="8" t="s">
        <v>3</v>
      </c>
      <c r="AJ20" s="8">
        <v>63053200</v>
      </c>
      <c r="AK20" s="8" t="s">
        <v>60</v>
      </c>
      <c r="AL20" s="8">
        <v>1</v>
      </c>
      <c r="AM20" s="8">
        <v>2934</v>
      </c>
      <c r="AN20" s="8" t="s">
        <v>1905</v>
      </c>
    </row>
    <row r="21" spans="1:40" ht="15" customHeight="1">
      <c r="A21" s="397" t="s">
        <v>2180</v>
      </c>
      <c r="B21" s="399">
        <v>504504</v>
      </c>
      <c r="C21" s="25">
        <v>0</v>
      </c>
      <c r="D21" s="23">
        <f>+GETPIVOTDATA("Amount",$A$16,"Type","Sales - Waste &amp; Scrape")-C21</f>
        <v>504504</v>
      </c>
      <c r="E21" s="344"/>
      <c r="F21" s="344"/>
      <c r="G21" s="344"/>
      <c r="H21" s="7">
        <v>46030</v>
      </c>
      <c r="I21" s="8" t="s">
        <v>61</v>
      </c>
      <c r="J21" s="8" t="s">
        <v>56</v>
      </c>
      <c r="K21" s="6">
        <v>191</v>
      </c>
      <c r="L21" s="8" t="s">
        <v>75</v>
      </c>
      <c r="M21" s="8" t="s">
        <v>3280</v>
      </c>
      <c r="N21" s="7">
        <v>46030</v>
      </c>
      <c r="O21" s="8" t="s">
        <v>2</v>
      </c>
      <c r="P21" s="8" t="s">
        <v>67</v>
      </c>
      <c r="Q21" s="8" t="s">
        <v>68</v>
      </c>
      <c r="R21" s="8" t="s">
        <v>69</v>
      </c>
      <c r="S21" s="8" t="s">
        <v>70</v>
      </c>
      <c r="T21" s="9">
        <v>448</v>
      </c>
      <c r="U21" s="9">
        <v>21504</v>
      </c>
      <c r="V21" s="9"/>
      <c r="W21" s="8" t="s">
        <v>558</v>
      </c>
      <c r="X21" s="8">
        <v>25353.22</v>
      </c>
      <c r="Y21" s="8">
        <v>9</v>
      </c>
      <c r="Z21" s="8">
        <v>1935.36</v>
      </c>
      <c r="AA21" s="8">
        <v>9</v>
      </c>
      <c r="AB21" s="8">
        <v>1935.36</v>
      </c>
      <c r="AC21" s="8">
        <v>0</v>
      </c>
      <c r="AD21" s="8">
        <v>0</v>
      </c>
      <c r="AE21" s="8">
        <v>0</v>
      </c>
      <c r="AF21" s="8">
        <v>3870.72</v>
      </c>
      <c r="AG21" s="8">
        <v>0</v>
      </c>
      <c r="AH21" s="8" t="s">
        <v>65</v>
      </c>
      <c r="AI21" s="8" t="s">
        <v>3</v>
      </c>
      <c r="AJ21" s="8">
        <v>73063090</v>
      </c>
      <c r="AK21" s="8" t="s">
        <v>60</v>
      </c>
      <c r="AL21" s="8">
        <v>1</v>
      </c>
      <c r="AM21" s="8">
        <v>448</v>
      </c>
      <c r="AN21" s="8" t="s">
        <v>1905</v>
      </c>
    </row>
    <row r="22" spans="1:40" ht="15" customHeight="1">
      <c r="A22" s="397" t="s">
        <v>2288</v>
      </c>
      <c r="B22" s="399">
        <v>25539165.630000006</v>
      </c>
      <c r="C22" s="25">
        <v>0</v>
      </c>
      <c r="D22" s="23">
        <f>+GETPIVOTDATA("Amount",$A$16,"Type","Sales - Merchant Export")-C22</f>
        <v>25539165.630000006</v>
      </c>
      <c r="E22" s="344"/>
      <c r="F22" s="344"/>
      <c r="G22" s="344"/>
      <c r="H22" s="7">
        <v>46089</v>
      </c>
      <c r="I22" s="8" t="s">
        <v>61</v>
      </c>
      <c r="J22" s="8" t="s">
        <v>56</v>
      </c>
      <c r="K22" s="6">
        <v>192</v>
      </c>
      <c r="L22" s="8" t="s">
        <v>75</v>
      </c>
      <c r="M22" s="8" t="s">
        <v>3281</v>
      </c>
      <c r="N22" s="7">
        <v>46089</v>
      </c>
      <c r="O22" s="8" t="s">
        <v>2</v>
      </c>
      <c r="P22" s="8" t="s">
        <v>67</v>
      </c>
      <c r="Q22" s="8" t="s">
        <v>68</v>
      </c>
      <c r="R22" s="8" t="s">
        <v>69</v>
      </c>
      <c r="S22" s="8" t="s">
        <v>70</v>
      </c>
      <c r="T22" s="9">
        <v>381</v>
      </c>
      <c r="U22" s="9">
        <v>18288</v>
      </c>
      <c r="V22" s="9"/>
      <c r="W22" s="8" t="s">
        <v>558</v>
      </c>
      <c r="X22" s="8">
        <v>21561.55</v>
      </c>
      <c r="Y22" s="8">
        <v>9</v>
      </c>
      <c r="Z22" s="8">
        <v>1645.92</v>
      </c>
      <c r="AA22" s="8">
        <v>9</v>
      </c>
      <c r="AB22" s="8">
        <v>1645.92</v>
      </c>
      <c r="AC22" s="8">
        <v>0</v>
      </c>
      <c r="AD22" s="8">
        <v>0</v>
      </c>
      <c r="AE22" s="8">
        <v>0</v>
      </c>
      <c r="AF22" s="8">
        <v>3291.84</v>
      </c>
      <c r="AG22" s="8">
        <v>0</v>
      </c>
      <c r="AH22" s="8" t="s">
        <v>65</v>
      </c>
      <c r="AI22" s="8" t="s">
        <v>3</v>
      </c>
      <c r="AJ22" s="8">
        <v>73063090</v>
      </c>
      <c r="AK22" s="8" t="s">
        <v>60</v>
      </c>
      <c r="AL22" s="8">
        <v>1</v>
      </c>
      <c r="AM22" s="8">
        <v>381</v>
      </c>
      <c r="AN22" s="8" t="s">
        <v>1905</v>
      </c>
    </row>
    <row r="23" spans="1:40" ht="15" customHeight="1">
      <c r="A23" s="404" t="s">
        <v>2390</v>
      </c>
      <c r="B23" s="400">
        <v>37665.4</v>
      </c>
      <c r="C23" s="25">
        <v>0</v>
      </c>
      <c r="D23" s="23">
        <f>+GETPIVOTDATA("Amount",$A$16,"Type","Sales - Kasez - Trading - U/B")-C23</f>
        <v>37665.4</v>
      </c>
      <c r="E23" s="344"/>
      <c r="F23" s="344"/>
      <c r="G23" s="344"/>
      <c r="H23" s="7">
        <v>46089</v>
      </c>
      <c r="I23" s="8" t="s">
        <v>61</v>
      </c>
      <c r="J23" s="8" t="s">
        <v>56</v>
      </c>
      <c r="K23" s="6">
        <v>193</v>
      </c>
      <c r="L23" s="8" t="s">
        <v>75</v>
      </c>
      <c r="M23" s="8" t="s">
        <v>3282</v>
      </c>
      <c r="N23" s="7">
        <v>46089</v>
      </c>
      <c r="O23" s="8" t="s">
        <v>15</v>
      </c>
      <c r="P23" s="8" t="s">
        <v>2076</v>
      </c>
      <c r="Q23" s="8" t="s">
        <v>2076</v>
      </c>
      <c r="R23" s="344" t="s">
        <v>2076</v>
      </c>
      <c r="S23" s="8" t="s">
        <v>79</v>
      </c>
      <c r="T23" s="9">
        <v>50</v>
      </c>
      <c r="U23" s="9">
        <v>7204</v>
      </c>
      <c r="V23" s="9">
        <f>+U23/T23</f>
        <v>144.08000000000001</v>
      </c>
      <c r="W23" s="8" t="s">
        <v>3283</v>
      </c>
      <c r="X23" s="8">
        <v>8493.52</v>
      </c>
      <c r="Y23" s="8">
        <v>9</v>
      </c>
      <c r="Z23" s="8">
        <v>648.36</v>
      </c>
      <c r="AA23" s="8">
        <v>9</v>
      </c>
      <c r="AB23" s="8">
        <v>648.36</v>
      </c>
      <c r="AC23" s="8">
        <v>0</v>
      </c>
      <c r="AD23" s="8">
        <v>0</v>
      </c>
      <c r="AE23" s="8">
        <v>0</v>
      </c>
      <c r="AF23" s="8">
        <v>1296.72</v>
      </c>
      <c r="AG23" s="8">
        <v>0</v>
      </c>
      <c r="AH23" s="8" t="s">
        <v>65</v>
      </c>
      <c r="AI23" s="8" t="s">
        <v>3</v>
      </c>
      <c r="AJ23" s="8">
        <v>39269080</v>
      </c>
      <c r="AK23" s="8" t="s">
        <v>60</v>
      </c>
      <c r="AL23" s="8">
        <v>1</v>
      </c>
      <c r="AM23" s="8">
        <v>50</v>
      </c>
      <c r="AN23" s="8" t="s">
        <v>1905</v>
      </c>
    </row>
    <row r="24" spans="1:40" ht="15" customHeight="1">
      <c r="A24" s="397" t="s">
        <v>84</v>
      </c>
      <c r="B24" s="25">
        <v>105295322.45000003</v>
      </c>
      <c r="C24" s="25">
        <v>0</v>
      </c>
      <c r="D24" s="23"/>
      <c r="E24" s="344"/>
      <c r="F24" s="344"/>
      <c r="G24" s="344"/>
      <c r="H24" s="7">
        <v>46120</v>
      </c>
      <c r="I24" s="8" t="s">
        <v>61</v>
      </c>
      <c r="J24" s="8" t="s">
        <v>56</v>
      </c>
      <c r="K24" s="6">
        <v>194</v>
      </c>
      <c r="L24" s="8" t="s">
        <v>1663</v>
      </c>
      <c r="M24" s="8" t="s">
        <v>3284</v>
      </c>
      <c r="N24" s="7">
        <v>46120</v>
      </c>
      <c r="O24" s="8" t="s">
        <v>15</v>
      </c>
      <c r="P24" s="8" t="s">
        <v>57</v>
      </c>
      <c r="Q24" s="8" t="s">
        <v>57</v>
      </c>
      <c r="R24" s="8" t="s">
        <v>58</v>
      </c>
      <c r="S24" s="8" t="s">
        <v>16</v>
      </c>
      <c r="T24" s="9">
        <v>7506.8</v>
      </c>
      <c r="U24" s="9">
        <v>2076906.36</v>
      </c>
      <c r="V24" s="9"/>
      <c r="W24" s="8" t="s">
        <v>3285</v>
      </c>
      <c r="X24" s="8">
        <v>6285781.3899999997</v>
      </c>
      <c r="Y24" s="8">
        <v>9</v>
      </c>
      <c r="Z24" s="8">
        <v>186921.57</v>
      </c>
      <c r="AA24" s="8">
        <v>9</v>
      </c>
      <c r="AB24" s="8">
        <v>186921.57</v>
      </c>
      <c r="AC24" s="8">
        <v>0</v>
      </c>
      <c r="AD24" s="8">
        <v>0</v>
      </c>
      <c r="AE24" s="8">
        <v>0</v>
      </c>
      <c r="AF24" s="8">
        <v>373843.14</v>
      </c>
      <c r="AG24" s="8">
        <v>0</v>
      </c>
      <c r="AH24" s="8" t="s">
        <v>65</v>
      </c>
      <c r="AI24" s="8" t="s">
        <v>3</v>
      </c>
      <c r="AJ24" s="8">
        <v>63053200</v>
      </c>
      <c r="AK24" s="8" t="s">
        <v>60</v>
      </c>
      <c r="AL24" s="8">
        <v>1</v>
      </c>
      <c r="AM24" s="8">
        <v>7506.8</v>
      </c>
      <c r="AN24" s="8" t="s">
        <v>1905</v>
      </c>
    </row>
    <row r="25" spans="1:40" ht="15" customHeight="1">
      <c r="A25"/>
      <c r="B25"/>
      <c r="C25" s="364"/>
      <c r="D25" s="344"/>
      <c r="E25" s="344"/>
      <c r="F25" s="344"/>
      <c r="G25" s="344"/>
      <c r="H25" s="7">
        <v>46120</v>
      </c>
      <c r="I25" s="8" t="s">
        <v>61</v>
      </c>
      <c r="J25" s="8" t="s">
        <v>56</v>
      </c>
      <c r="K25" s="6">
        <v>194</v>
      </c>
      <c r="L25" s="8" t="s">
        <v>1663</v>
      </c>
      <c r="M25" s="8" t="s">
        <v>3284</v>
      </c>
      <c r="N25" s="7">
        <v>46120</v>
      </c>
      <c r="O25" s="8" t="s">
        <v>15</v>
      </c>
      <c r="P25" s="8" t="s">
        <v>57</v>
      </c>
      <c r="Q25" s="8" t="s">
        <v>57</v>
      </c>
      <c r="R25" s="8" t="s">
        <v>58</v>
      </c>
      <c r="S25" s="8" t="s">
        <v>16</v>
      </c>
      <c r="T25" s="9">
        <v>2732.2</v>
      </c>
      <c r="U25" s="9">
        <v>693787.55</v>
      </c>
      <c r="V25" s="9"/>
      <c r="W25" s="8" t="s">
        <v>3286</v>
      </c>
      <c r="X25" s="8">
        <v>0</v>
      </c>
      <c r="Y25" s="8">
        <v>9</v>
      </c>
      <c r="Z25" s="8">
        <v>62440.88</v>
      </c>
      <c r="AA25" s="8">
        <v>9</v>
      </c>
      <c r="AB25" s="8">
        <v>62440.88</v>
      </c>
      <c r="AC25" s="8">
        <v>0</v>
      </c>
      <c r="AD25" s="8">
        <v>0</v>
      </c>
      <c r="AE25" s="8">
        <v>0</v>
      </c>
      <c r="AF25" s="8">
        <v>124881.76</v>
      </c>
      <c r="AG25" s="8">
        <v>0</v>
      </c>
      <c r="AH25" s="8" t="s">
        <v>65</v>
      </c>
      <c r="AI25" s="8" t="s">
        <v>3</v>
      </c>
      <c r="AJ25" s="8">
        <v>63053200</v>
      </c>
      <c r="AK25" s="8" t="s">
        <v>60</v>
      </c>
      <c r="AL25" s="8">
        <v>1</v>
      </c>
      <c r="AM25" s="8">
        <v>2732.2</v>
      </c>
      <c r="AN25" s="8" t="s">
        <v>1905</v>
      </c>
    </row>
    <row r="26" spans="1:40" ht="15" customHeight="1">
      <c r="A26"/>
      <c r="B26"/>
      <c r="C26" s="364"/>
      <c r="D26" s="344"/>
      <c r="E26" s="344"/>
      <c r="F26" s="344"/>
      <c r="G26" s="344"/>
      <c r="H26" s="7">
        <v>46120</v>
      </c>
      <c r="I26" s="8" t="s">
        <v>61</v>
      </c>
      <c r="J26" s="8" t="s">
        <v>56</v>
      </c>
      <c r="K26" s="6">
        <v>194</v>
      </c>
      <c r="L26" s="8" t="s">
        <v>1663</v>
      </c>
      <c r="M26" s="8" t="s">
        <v>3284</v>
      </c>
      <c r="N26" s="7">
        <v>46120</v>
      </c>
      <c r="O26" s="8" t="s">
        <v>15</v>
      </c>
      <c r="P26" s="8" t="s">
        <v>57</v>
      </c>
      <c r="Q26" s="8" t="s">
        <v>57</v>
      </c>
      <c r="R26" s="8" t="s">
        <v>58</v>
      </c>
      <c r="S26" s="8" t="s">
        <v>16</v>
      </c>
      <c r="T26" s="9">
        <v>955</v>
      </c>
      <c r="U26" s="9">
        <v>203653.75</v>
      </c>
      <c r="V26" s="9"/>
      <c r="W26" s="8" t="s">
        <v>3287</v>
      </c>
      <c r="X26" s="8">
        <v>0</v>
      </c>
      <c r="Y26" s="8">
        <v>9</v>
      </c>
      <c r="Z26" s="8">
        <v>18328.84</v>
      </c>
      <c r="AA26" s="8">
        <v>9</v>
      </c>
      <c r="AB26" s="8">
        <v>18328.84</v>
      </c>
      <c r="AC26" s="8">
        <v>0</v>
      </c>
      <c r="AD26" s="8">
        <v>0</v>
      </c>
      <c r="AE26" s="8">
        <v>0</v>
      </c>
      <c r="AF26" s="8">
        <v>36657.68</v>
      </c>
      <c r="AG26" s="8">
        <v>0</v>
      </c>
      <c r="AH26" s="8" t="s">
        <v>65</v>
      </c>
      <c r="AI26" s="8" t="s">
        <v>3</v>
      </c>
      <c r="AJ26" s="8">
        <v>63053200</v>
      </c>
      <c r="AK26" s="8" t="s">
        <v>60</v>
      </c>
      <c r="AL26" s="8">
        <v>1</v>
      </c>
      <c r="AM26" s="8">
        <v>955</v>
      </c>
      <c r="AN26" s="8" t="s">
        <v>1905</v>
      </c>
    </row>
    <row r="27" spans="1:40" ht="15" customHeight="1">
      <c r="A27"/>
      <c r="B27"/>
      <c r="C27" s="344"/>
      <c r="D27" s="344"/>
      <c r="E27" s="344"/>
      <c r="F27" s="344"/>
      <c r="G27" s="344"/>
      <c r="H27" s="7">
        <v>46120</v>
      </c>
      <c r="I27" s="8" t="s">
        <v>61</v>
      </c>
      <c r="J27" s="8" t="s">
        <v>56</v>
      </c>
      <c r="K27" s="6">
        <v>194</v>
      </c>
      <c r="L27" s="8" t="s">
        <v>1663</v>
      </c>
      <c r="M27" s="8" t="s">
        <v>3284</v>
      </c>
      <c r="N27" s="7">
        <v>46120</v>
      </c>
      <c r="O27" s="8" t="s">
        <v>15</v>
      </c>
      <c r="P27" s="8" t="s">
        <v>57</v>
      </c>
      <c r="Q27" s="8" t="s">
        <v>57</v>
      </c>
      <c r="R27" s="8" t="s">
        <v>58</v>
      </c>
      <c r="S27" s="8" t="s">
        <v>16</v>
      </c>
      <c r="T27" s="9">
        <v>468</v>
      </c>
      <c r="U27" s="9">
        <v>101560.68</v>
      </c>
      <c r="V27" s="9"/>
      <c r="W27" s="8" t="s">
        <v>3288</v>
      </c>
      <c r="X27" s="8">
        <v>0</v>
      </c>
      <c r="Y27" s="8">
        <v>9</v>
      </c>
      <c r="Z27" s="8">
        <v>9140.4599999999991</v>
      </c>
      <c r="AA27" s="8">
        <v>9</v>
      </c>
      <c r="AB27" s="8">
        <v>9140.4599999999991</v>
      </c>
      <c r="AC27" s="8">
        <v>0</v>
      </c>
      <c r="AD27" s="8">
        <v>0</v>
      </c>
      <c r="AE27" s="8">
        <v>0</v>
      </c>
      <c r="AF27" s="8">
        <v>18280.919999999998</v>
      </c>
      <c r="AG27" s="8">
        <v>0</v>
      </c>
      <c r="AH27" s="8" t="s">
        <v>65</v>
      </c>
      <c r="AI27" s="8" t="s">
        <v>3</v>
      </c>
      <c r="AJ27" s="8">
        <v>63053200</v>
      </c>
      <c r="AK27" s="8" t="s">
        <v>60</v>
      </c>
      <c r="AL27" s="8">
        <v>1</v>
      </c>
      <c r="AM27" s="8">
        <v>468</v>
      </c>
      <c r="AN27" s="8" t="s">
        <v>1905</v>
      </c>
    </row>
    <row r="28" spans="1:40" ht="15" customHeight="1">
      <c r="A28"/>
      <c r="B28"/>
      <c r="C28" s="344"/>
      <c r="D28" s="344"/>
      <c r="E28" s="344"/>
      <c r="F28" s="344"/>
      <c r="G28" s="344"/>
      <c r="H28" s="7">
        <v>46120</v>
      </c>
      <c r="I28" s="8" t="s">
        <v>61</v>
      </c>
      <c r="J28" s="8" t="s">
        <v>56</v>
      </c>
      <c r="K28" s="6">
        <v>194</v>
      </c>
      <c r="L28" s="8" t="s">
        <v>1663</v>
      </c>
      <c r="M28" s="8" t="s">
        <v>3284</v>
      </c>
      <c r="N28" s="7">
        <v>46120</v>
      </c>
      <c r="O28" s="8" t="s">
        <v>15</v>
      </c>
      <c r="P28" s="8" t="s">
        <v>57</v>
      </c>
      <c r="Q28" s="8" t="s">
        <v>57</v>
      </c>
      <c r="R28" s="8" t="s">
        <v>58</v>
      </c>
      <c r="S28" s="8" t="s">
        <v>14</v>
      </c>
      <c r="T28" s="9">
        <v>910</v>
      </c>
      <c r="U28" s="9">
        <v>206297</v>
      </c>
      <c r="V28" s="9"/>
      <c r="W28" s="8" t="s">
        <v>3289</v>
      </c>
      <c r="X28" s="8">
        <v>0</v>
      </c>
      <c r="Y28" s="8">
        <v>9</v>
      </c>
      <c r="Z28" s="8">
        <v>18566.73</v>
      </c>
      <c r="AA28" s="8">
        <v>9</v>
      </c>
      <c r="AB28" s="8">
        <v>18566.73</v>
      </c>
      <c r="AC28" s="8">
        <v>0</v>
      </c>
      <c r="AD28" s="8">
        <v>0</v>
      </c>
      <c r="AE28" s="8">
        <v>0</v>
      </c>
      <c r="AF28" s="8">
        <v>37133.46</v>
      </c>
      <c r="AG28" s="8">
        <v>0</v>
      </c>
      <c r="AH28" s="8" t="s">
        <v>65</v>
      </c>
      <c r="AI28" s="8" t="s">
        <v>3</v>
      </c>
      <c r="AJ28" s="8">
        <v>63053200</v>
      </c>
      <c r="AK28" s="8" t="s">
        <v>60</v>
      </c>
      <c r="AL28" s="8">
        <v>1</v>
      </c>
      <c r="AM28" s="8">
        <v>910</v>
      </c>
      <c r="AN28" s="8" t="s">
        <v>1905</v>
      </c>
    </row>
    <row r="29" spans="1:40" ht="15" customHeight="1">
      <c r="A29"/>
      <c r="B29"/>
      <c r="C29" s="344"/>
      <c r="D29" s="344"/>
      <c r="E29" s="344"/>
      <c r="F29" s="344"/>
      <c r="G29" s="344"/>
      <c r="H29" s="7">
        <v>46120</v>
      </c>
      <c r="I29" s="8" t="s">
        <v>61</v>
      </c>
      <c r="J29" s="8" t="s">
        <v>56</v>
      </c>
      <c r="K29" s="6">
        <v>194</v>
      </c>
      <c r="L29" s="8" t="s">
        <v>1663</v>
      </c>
      <c r="M29" s="8" t="s">
        <v>3284</v>
      </c>
      <c r="N29" s="7">
        <v>46120</v>
      </c>
      <c r="O29" s="8" t="s">
        <v>15</v>
      </c>
      <c r="P29" s="8" t="s">
        <v>57</v>
      </c>
      <c r="Q29" s="8" t="s">
        <v>57</v>
      </c>
      <c r="R29" s="8" t="s">
        <v>58</v>
      </c>
      <c r="S29" s="8" t="s">
        <v>14</v>
      </c>
      <c r="T29" s="9">
        <v>490</v>
      </c>
      <c r="U29" s="9">
        <v>103394.9</v>
      </c>
      <c r="V29" s="9"/>
      <c r="W29" s="8" t="s">
        <v>3289</v>
      </c>
      <c r="X29" s="8">
        <v>0</v>
      </c>
      <c r="Y29" s="8">
        <v>9</v>
      </c>
      <c r="Z29" s="8">
        <v>9305.5400000000009</v>
      </c>
      <c r="AA29" s="8">
        <v>9</v>
      </c>
      <c r="AB29" s="8">
        <v>9305.5400000000009</v>
      </c>
      <c r="AC29" s="8">
        <v>0</v>
      </c>
      <c r="AD29" s="8">
        <v>0</v>
      </c>
      <c r="AE29" s="8">
        <v>0</v>
      </c>
      <c r="AF29" s="8">
        <v>18611.080000000002</v>
      </c>
      <c r="AG29" s="8">
        <v>0</v>
      </c>
      <c r="AH29" s="8" t="s">
        <v>65</v>
      </c>
      <c r="AI29" s="8" t="s">
        <v>3</v>
      </c>
      <c r="AJ29" s="8">
        <v>63053200</v>
      </c>
      <c r="AK29" s="8" t="s">
        <v>60</v>
      </c>
      <c r="AL29" s="8">
        <v>1</v>
      </c>
      <c r="AM29" s="8">
        <v>490</v>
      </c>
      <c r="AN29" s="8" t="s">
        <v>1905</v>
      </c>
    </row>
    <row r="30" spans="1:40" ht="15" customHeight="1">
      <c r="A30"/>
      <c r="B30"/>
      <c r="C30" s="344"/>
      <c r="D30" s="344"/>
      <c r="E30" s="344"/>
      <c r="F30" s="344"/>
      <c r="G30" s="344"/>
      <c r="H30" s="7">
        <v>46120</v>
      </c>
      <c r="I30" s="8" t="s">
        <v>61</v>
      </c>
      <c r="J30" s="8" t="s">
        <v>56</v>
      </c>
      <c r="K30" s="6">
        <v>194</v>
      </c>
      <c r="L30" s="8" t="s">
        <v>1663</v>
      </c>
      <c r="M30" s="8" t="s">
        <v>3284</v>
      </c>
      <c r="N30" s="7">
        <v>46120</v>
      </c>
      <c r="O30" s="8" t="s">
        <v>15</v>
      </c>
      <c r="P30" s="8" t="s">
        <v>57</v>
      </c>
      <c r="Q30" s="8" t="s">
        <v>57</v>
      </c>
      <c r="R30" s="8" t="s">
        <v>58</v>
      </c>
      <c r="S30" s="8" t="s">
        <v>16</v>
      </c>
      <c r="T30" s="9">
        <v>1403</v>
      </c>
      <c r="U30" s="9">
        <v>322086.71000000002</v>
      </c>
      <c r="V30" s="9"/>
      <c r="W30" s="8" t="s">
        <v>3287</v>
      </c>
      <c r="X30" s="8">
        <v>0</v>
      </c>
      <c r="Y30" s="8">
        <v>9</v>
      </c>
      <c r="Z30" s="8">
        <v>28987.8</v>
      </c>
      <c r="AA30" s="8">
        <v>9</v>
      </c>
      <c r="AB30" s="8">
        <v>28987.8</v>
      </c>
      <c r="AC30" s="8">
        <v>0</v>
      </c>
      <c r="AD30" s="8">
        <v>0</v>
      </c>
      <c r="AE30" s="8">
        <v>0</v>
      </c>
      <c r="AF30" s="8">
        <v>57975.6</v>
      </c>
      <c r="AG30" s="8">
        <v>0</v>
      </c>
      <c r="AH30" s="8" t="s">
        <v>65</v>
      </c>
      <c r="AI30" s="8" t="s">
        <v>3</v>
      </c>
      <c r="AJ30" s="8">
        <v>63053200</v>
      </c>
      <c r="AK30" s="8" t="s">
        <v>60</v>
      </c>
      <c r="AL30" s="8">
        <v>1</v>
      </c>
      <c r="AM30" s="8">
        <v>1403</v>
      </c>
      <c r="AN30" s="8" t="s">
        <v>1905</v>
      </c>
    </row>
    <row r="31" spans="1:40" ht="15" customHeight="1">
      <c r="A31"/>
      <c r="B31"/>
      <c r="C31" s="344"/>
      <c r="D31" s="344"/>
      <c r="E31" s="344"/>
      <c r="F31" s="344"/>
      <c r="G31" s="344"/>
      <c r="H31" s="7">
        <v>46120</v>
      </c>
      <c r="I31" s="8" t="s">
        <v>61</v>
      </c>
      <c r="J31" s="8" t="s">
        <v>56</v>
      </c>
      <c r="K31" s="6">
        <v>194</v>
      </c>
      <c r="L31" s="8" t="s">
        <v>1663</v>
      </c>
      <c r="M31" s="8" t="s">
        <v>3284</v>
      </c>
      <c r="N31" s="7">
        <v>46120</v>
      </c>
      <c r="O31" s="8" t="s">
        <v>15</v>
      </c>
      <c r="P31" s="8" t="s">
        <v>57</v>
      </c>
      <c r="Q31" s="8" t="s">
        <v>57</v>
      </c>
      <c r="R31" s="8" t="s">
        <v>58</v>
      </c>
      <c r="S31" s="8" t="s">
        <v>16</v>
      </c>
      <c r="T31" s="9">
        <v>1828</v>
      </c>
      <c r="U31" s="9">
        <v>423803.52</v>
      </c>
      <c r="V31" s="9"/>
      <c r="W31" s="8" t="s">
        <v>3290</v>
      </c>
      <c r="X31" s="8">
        <v>0</v>
      </c>
      <c r="Y31" s="8">
        <v>9</v>
      </c>
      <c r="Z31" s="8">
        <v>38142.32</v>
      </c>
      <c r="AA31" s="8">
        <v>9</v>
      </c>
      <c r="AB31" s="8">
        <v>38142.32</v>
      </c>
      <c r="AC31" s="8">
        <v>0</v>
      </c>
      <c r="AD31" s="8">
        <v>0</v>
      </c>
      <c r="AE31" s="8">
        <v>0</v>
      </c>
      <c r="AF31" s="8">
        <v>76284.639999999999</v>
      </c>
      <c r="AG31" s="8">
        <v>0</v>
      </c>
      <c r="AH31" s="8" t="s">
        <v>65</v>
      </c>
      <c r="AI31" s="8" t="s">
        <v>3</v>
      </c>
      <c r="AJ31" s="8">
        <v>63053200</v>
      </c>
      <c r="AK31" s="8" t="s">
        <v>60</v>
      </c>
      <c r="AL31" s="8">
        <v>1</v>
      </c>
      <c r="AM31" s="8">
        <v>1828</v>
      </c>
      <c r="AN31" s="8" t="s">
        <v>1905</v>
      </c>
    </row>
    <row r="32" spans="1:40" ht="15" customHeight="1">
      <c r="A32"/>
      <c r="B32"/>
      <c r="C32" s="344"/>
      <c r="D32" s="344"/>
      <c r="E32" s="344"/>
      <c r="F32" s="344"/>
      <c r="G32" s="344"/>
      <c r="H32" s="7">
        <v>46120</v>
      </c>
      <c r="I32" s="8" t="s">
        <v>61</v>
      </c>
      <c r="J32" s="8" t="s">
        <v>56</v>
      </c>
      <c r="K32" s="6">
        <v>194</v>
      </c>
      <c r="L32" s="8" t="s">
        <v>1663</v>
      </c>
      <c r="M32" s="8" t="s">
        <v>3284</v>
      </c>
      <c r="N32" s="7">
        <v>46120</v>
      </c>
      <c r="O32" s="8" t="s">
        <v>15</v>
      </c>
      <c r="P32" s="8" t="s">
        <v>57</v>
      </c>
      <c r="Q32" s="8" t="s">
        <v>57</v>
      </c>
      <c r="R32" s="8" t="s">
        <v>58</v>
      </c>
      <c r="S32" s="8" t="s">
        <v>16</v>
      </c>
      <c r="T32" s="9">
        <v>913</v>
      </c>
      <c r="U32" s="9">
        <v>211432.54</v>
      </c>
      <c r="V32" s="9"/>
      <c r="W32" s="8" t="s">
        <v>3291</v>
      </c>
      <c r="X32" s="8">
        <v>0</v>
      </c>
      <c r="Y32" s="8">
        <v>9</v>
      </c>
      <c r="Z32" s="8">
        <v>19028.93</v>
      </c>
      <c r="AA32" s="8">
        <v>9</v>
      </c>
      <c r="AB32" s="8">
        <v>19028.93</v>
      </c>
      <c r="AC32" s="8">
        <v>0</v>
      </c>
      <c r="AD32" s="8">
        <v>0</v>
      </c>
      <c r="AE32" s="8">
        <v>0</v>
      </c>
      <c r="AF32" s="8">
        <v>38057.86</v>
      </c>
      <c r="AG32" s="8">
        <v>0</v>
      </c>
      <c r="AH32" s="8" t="s">
        <v>65</v>
      </c>
      <c r="AI32" s="8" t="s">
        <v>3</v>
      </c>
      <c r="AJ32" s="8">
        <v>63053200</v>
      </c>
      <c r="AK32" s="8" t="s">
        <v>60</v>
      </c>
      <c r="AL32" s="8">
        <v>1</v>
      </c>
      <c r="AM32" s="8">
        <v>913</v>
      </c>
      <c r="AN32" s="8" t="s">
        <v>1905</v>
      </c>
    </row>
    <row r="33" spans="1:40" ht="15" customHeight="1">
      <c r="A33"/>
      <c r="B33"/>
      <c r="C33" s="344"/>
      <c r="D33" s="344"/>
      <c r="E33" s="344"/>
      <c r="F33" s="344"/>
      <c r="G33" s="344"/>
      <c r="H33" s="7">
        <v>46120</v>
      </c>
      <c r="I33" s="8" t="s">
        <v>61</v>
      </c>
      <c r="J33" s="8" t="s">
        <v>56</v>
      </c>
      <c r="K33" s="6">
        <v>194</v>
      </c>
      <c r="L33" s="8" t="s">
        <v>1663</v>
      </c>
      <c r="M33" s="8" t="s">
        <v>3284</v>
      </c>
      <c r="N33" s="7">
        <v>46120</v>
      </c>
      <c r="O33" s="8" t="s">
        <v>15</v>
      </c>
      <c r="P33" s="8" t="s">
        <v>57</v>
      </c>
      <c r="Q33" s="8" t="s">
        <v>57</v>
      </c>
      <c r="R33" s="8" t="s">
        <v>58</v>
      </c>
      <c r="S33" s="8" t="s">
        <v>16</v>
      </c>
      <c r="T33" s="9">
        <v>1354</v>
      </c>
      <c r="U33" s="9">
        <v>283202.64</v>
      </c>
      <c r="V33" s="9"/>
      <c r="W33" s="8" t="s">
        <v>2498</v>
      </c>
      <c r="X33" s="8">
        <v>0</v>
      </c>
      <c r="Y33" s="8">
        <v>9</v>
      </c>
      <c r="Z33" s="8">
        <v>25488.240000000002</v>
      </c>
      <c r="AA33" s="8">
        <v>9</v>
      </c>
      <c r="AB33" s="8">
        <v>25488.240000000002</v>
      </c>
      <c r="AC33" s="8">
        <v>0</v>
      </c>
      <c r="AD33" s="8">
        <v>0</v>
      </c>
      <c r="AE33" s="8">
        <v>0</v>
      </c>
      <c r="AF33" s="8">
        <v>50976.480000000003</v>
      </c>
      <c r="AG33" s="8">
        <v>0</v>
      </c>
      <c r="AH33" s="8" t="s">
        <v>65</v>
      </c>
      <c r="AI33" s="8" t="s">
        <v>3</v>
      </c>
      <c r="AJ33" s="8">
        <v>63053200</v>
      </c>
      <c r="AK33" s="8" t="s">
        <v>60</v>
      </c>
      <c r="AL33" s="8">
        <v>1</v>
      </c>
      <c r="AM33" s="8">
        <v>1354</v>
      </c>
      <c r="AN33" s="8" t="s">
        <v>1905</v>
      </c>
    </row>
    <row r="34" spans="1:40" ht="15" customHeight="1">
      <c r="A34"/>
      <c r="B34"/>
      <c r="C34" s="344"/>
      <c r="D34" s="344"/>
      <c r="E34" s="344"/>
      <c r="F34" s="344"/>
      <c r="G34" s="344"/>
      <c r="H34" s="7">
        <v>46120</v>
      </c>
      <c r="I34" s="8" t="s">
        <v>61</v>
      </c>
      <c r="J34" s="8" t="s">
        <v>56</v>
      </c>
      <c r="K34" s="6">
        <v>194</v>
      </c>
      <c r="L34" s="8" t="s">
        <v>1663</v>
      </c>
      <c r="M34" s="8" t="s">
        <v>3284</v>
      </c>
      <c r="N34" s="7">
        <v>46120</v>
      </c>
      <c r="O34" s="8" t="s">
        <v>15</v>
      </c>
      <c r="P34" s="8" t="s">
        <v>57</v>
      </c>
      <c r="Q34" s="8" t="s">
        <v>57</v>
      </c>
      <c r="R34" s="8" t="s">
        <v>58</v>
      </c>
      <c r="S34" s="8" t="s">
        <v>16</v>
      </c>
      <c r="T34" s="9">
        <v>1929</v>
      </c>
      <c r="U34" s="9">
        <v>401829.99</v>
      </c>
      <c r="V34" s="9"/>
      <c r="W34" s="8" t="s">
        <v>3292</v>
      </c>
      <c r="X34" s="8">
        <v>0</v>
      </c>
      <c r="Y34" s="8">
        <v>9</v>
      </c>
      <c r="Z34" s="8">
        <v>36164.699999999997</v>
      </c>
      <c r="AA34" s="8">
        <v>9</v>
      </c>
      <c r="AB34" s="8">
        <v>36164.699999999997</v>
      </c>
      <c r="AC34" s="8">
        <v>0</v>
      </c>
      <c r="AD34" s="8">
        <v>0</v>
      </c>
      <c r="AE34" s="8">
        <v>0</v>
      </c>
      <c r="AF34" s="8">
        <v>72329.399999999994</v>
      </c>
      <c r="AG34" s="8">
        <v>0</v>
      </c>
      <c r="AH34" s="8" t="s">
        <v>65</v>
      </c>
      <c r="AI34" s="8" t="s">
        <v>3</v>
      </c>
      <c r="AJ34" s="8">
        <v>63053200</v>
      </c>
      <c r="AK34" s="8" t="s">
        <v>60</v>
      </c>
      <c r="AL34" s="8">
        <v>1</v>
      </c>
      <c r="AM34" s="8">
        <v>1929</v>
      </c>
      <c r="AN34" s="8" t="s">
        <v>1905</v>
      </c>
    </row>
    <row r="35" spans="1:40" ht="15" customHeight="1">
      <c r="A35"/>
      <c r="B35"/>
      <c r="C35" s="344"/>
      <c r="D35" s="344"/>
      <c r="E35" s="344"/>
      <c r="F35" s="344"/>
      <c r="G35" s="344"/>
      <c r="H35" s="7">
        <v>46120</v>
      </c>
      <c r="I35" s="8" t="s">
        <v>61</v>
      </c>
      <c r="J35" s="8" t="s">
        <v>56</v>
      </c>
      <c r="K35" s="6">
        <v>194</v>
      </c>
      <c r="L35" s="8" t="s">
        <v>1663</v>
      </c>
      <c r="M35" s="8" t="s">
        <v>3284</v>
      </c>
      <c r="N35" s="7">
        <v>46120</v>
      </c>
      <c r="O35" s="8" t="s">
        <v>15</v>
      </c>
      <c r="P35" s="8" t="s">
        <v>57</v>
      </c>
      <c r="Q35" s="8" t="s">
        <v>57</v>
      </c>
      <c r="R35" s="8" t="s">
        <v>58</v>
      </c>
      <c r="S35" s="8" t="s">
        <v>16</v>
      </c>
      <c r="T35" s="9">
        <v>1316</v>
      </c>
      <c r="U35" s="9">
        <v>303495.92</v>
      </c>
      <c r="V35" s="9"/>
      <c r="W35" s="8" t="s">
        <v>3293</v>
      </c>
      <c r="X35" s="8">
        <v>0</v>
      </c>
      <c r="Y35" s="8">
        <v>9</v>
      </c>
      <c r="Z35" s="8">
        <v>27314.63</v>
      </c>
      <c r="AA35" s="8">
        <v>9</v>
      </c>
      <c r="AB35" s="8">
        <v>27314.63</v>
      </c>
      <c r="AC35" s="8">
        <v>0</v>
      </c>
      <c r="AD35" s="8">
        <v>0</v>
      </c>
      <c r="AE35" s="8">
        <v>0</v>
      </c>
      <c r="AF35" s="8">
        <v>54629.26</v>
      </c>
      <c r="AG35" s="8">
        <v>0</v>
      </c>
      <c r="AH35" s="8" t="s">
        <v>65</v>
      </c>
      <c r="AI35" s="8" t="s">
        <v>3</v>
      </c>
      <c r="AJ35" s="8">
        <v>63053200</v>
      </c>
      <c r="AK35" s="8" t="s">
        <v>60</v>
      </c>
      <c r="AL35" s="8">
        <v>1</v>
      </c>
      <c r="AM35" s="8">
        <v>1316</v>
      </c>
      <c r="AN35" s="8" t="s">
        <v>1905</v>
      </c>
    </row>
    <row r="36" spans="1:40" ht="15" customHeight="1">
      <c r="A36"/>
      <c r="B36"/>
      <c r="C36" s="344"/>
      <c r="D36" s="344"/>
      <c r="E36" s="344"/>
      <c r="F36" s="344"/>
      <c r="G36" s="344"/>
      <c r="H36" s="7">
        <v>46120</v>
      </c>
      <c r="I36" s="8" t="s">
        <v>61</v>
      </c>
      <c r="J36" s="8" t="s">
        <v>56</v>
      </c>
      <c r="K36" s="6">
        <v>195</v>
      </c>
      <c r="L36" s="8" t="s">
        <v>75</v>
      </c>
      <c r="M36" s="8" t="s">
        <v>3294</v>
      </c>
      <c r="N36" s="7">
        <v>46120</v>
      </c>
      <c r="O36" s="8" t="s">
        <v>2</v>
      </c>
      <c r="P36" s="8" t="s">
        <v>67</v>
      </c>
      <c r="Q36" s="8" t="s">
        <v>68</v>
      </c>
      <c r="R36" s="8" t="s">
        <v>69</v>
      </c>
      <c r="S36" s="8" t="s">
        <v>70</v>
      </c>
      <c r="T36" s="9">
        <v>390</v>
      </c>
      <c r="U36" s="9">
        <v>18720</v>
      </c>
      <c r="V36" s="9"/>
      <c r="W36" s="8" t="s">
        <v>558</v>
      </c>
      <c r="X36" s="8">
        <v>22070.880000000001</v>
      </c>
      <c r="Y36" s="8">
        <v>9</v>
      </c>
      <c r="Z36" s="8">
        <v>1684.8</v>
      </c>
      <c r="AA36" s="8">
        <v>9</v>
      </c>
      <c r="AB36" s="8">
        <v>1684.8</v>
      </c>
      <c r="AC36" s="8">
        <v>0</v>
      </c>
      <c r="AD36" s="8">
        <v>0</v>
      </c>
      <c r="AE36" s="8">
        <v>0</v>
      </c>
      <c r="AF36" s="8">
        <v>3369.6</v>
      </c>
      <c r="AG36" s="8">
        <v>0</v>
      </c>
      <c r="AH36" s="8" t="s">
        <v>65</v>
      </c>
      <c r="AI36" s="8" t="s">
        <v>3</v>
      </c>
      <c r="AJ36" s="8">
        <v>73063090</v>
      </c>
      <c r="AK36" s="8" t="s">
        <v>60</v>
      </c>
      <c r="AL36" s="8">
        <v>1</v>
      </c>
      <c r="AM36" s="8">
        <v>390</v>
      </c>
      <c r="AN36" s="8" t="s">
        <v>1905</v>
      </c>
    </row>
    <row r="37" spans="1:40" ht="15" customHeight="1">
      <c r="A37"/>
      <c r="B37"/>
      <c r="C37" s="344"/>
      <c r="D37" s="344"/>
      <c r="E37" s="344"/>
      <c r="F37" s="344"/>
      <c r="G37" s="344"/>
      <c r="H37" s="7">
        <v>46120</v>
      </c>
      <c r="I37" s="8" t="s">
        <v>61</v>
      </c>
      <c r="J37" s="8" t="s">
        <v>56</v>
      </c>
      <c r="K37" s="6">
        <v>196</v>
      </c>
      <c r="L37" s="8" t="s">
        <v>75</v>
      </c>
      <c r="M37" s="8" t="s">
        <v>3295</v>
      </c>
      <c r="N37" s="7">
        <v>46120</v>
      </c>
      <c r="O37" s="8" t="s">
        <v>13</v>
      </c>
      <c r="P37" s="8" t="s">
        <v>80</v>
      </c>
      <c r="Q37" s="8" t="s">
        <v>81</v>
      </c>
      <c r="R37" s="8" t="s">
        <v>82</v>
      </c>
      <c r="S37" s="8" t="s">
        <v>17</v>
      </c>
      <c r="T37" s="9">
        <v>615</v>
      </c>
      <c r="U37" s="9">
        <v>108768.9</v>
      </c>
      <c r="V37" s="9"/>
      <c r="W37" s="8" t="s">
        <v>3296</v>
      </c>
      <c r="X37" s="8">
        <v>128238.53</v>
      </c>
      <c r="Y37" s="8">
        <v>9</v>
      </c>
      <c r="Z37" s="8">
        <v>9789.2000000000007</v>
      </c>
      <c r="AA37" s="8">
        <v>9</v>
      </c>
      <c r="AB37" s="8">
        <v>9789.2000000000007</v>
      </c>
      <c r="AC37" s="8">
        <v>0</v>
      </c>
      <c r="AD37" s="8">
        <v>0</v>
      </c>
      <c r="AE37" s="8">
        <v>0</v>
      </c>
      <c r="AF37" s="8">
        <v>19578.400000000001</v>
      </c>
      <c r="AG37" s="8">
        <v>0</v>
      </c>
      <c r="AH37" s="8" t="s">
        <v>65</v>
      </c>
      <c r="AI37" s="8" t="s">
        <v>3</v>
      </c>
      <c r="AJ37" s="8">
        <v>39232100</v>
      </c>
      <c r="AK37" s="8" t="s">
        <v>60</v>
      </c>
      <c r="AL37" s="8">
        <v>1</v>
      </c>
      <c r="AM37" s="8">
        <v>615</v>
      </c>
      <c r="AN37" s="8" t="s">
        <v>1905</v>
      </c>
    </row>
    <row r="38" spans="1:40" ht="15" customHeight="1">
      <c r="A38"/>
      <c r="B38"/>
      <c r="C38" s="344"/>
      <c r="D38" s="344"/>
      <c r="E38" s="344"/>
      <c r="F38" s="344"/>
      <c r="G38" s="344"/>
      <c r="H38" s="7">
        <v>46120</v>
      </c>
      <c r="I38" s="8" t="s">
        <v>61</v>
      </c>
      <c r="J38" s="8" t="s">
        <v>56</v>
      </c>
      <c r="K38" s="6">
        <v>197</v>
      </c>
      <c r="L38" s="8" t="s">
        <v>2180</v>
      </c>
      <c r="M38" s="8" t="s">
        <v>3297</v>
      </c>
      <c r="N38" s="7">
        <v>46120</v>
      </c>
      <c r="O38" s="8" t="s">
        <v>13</v>
      </c>
      <c r="P38" s="8" t="s">
        <v>71</v>
      </c>
      <c r="Q38" s="8" t="s">
        <v>71</v>
      </c>
      <c r="R38" s="8" t="s">
        <v>72</v>
      </c>
      <c r="S38" s="8" t="s">
        <v>22</v>
      </c>
      <c r="T38" s="9">
        <v>2573</v>
      </c>
      <c r="U38" s="9">
        <v>30876</v>
      </c>
      <c r="V38" s="9"/>
      <c r="W38" s="8" t="s">
        <v>22</v>
      </c>
      <c r="X38" s="8">
        <v>37162.35</v>
      </c>
      <c r="Y38" s="8">
        <v>9</v>
      </c>
      <c r="Z38" s="8">
        <v>2778.84</v>
      </c>
      <c r="AA38" s="8">
        <v>9</v>
      </c>
      <c r="AB38" s="8">
        <v>2778.84</v>
      </c>
      <c r="AC38" s="8">
        <v>0</v>
      </c>
      <c r="AD38" s="8">
        <v>0</v>
      </c>
      <c r="AE38" s="8">
        <v>0</v>
      </c>
      <c r="AF38" s="8">
        <v>5557.68</v>
      </c>
      <c r="AG38" s="8">
        <v>728.67</v>
      </c>
      <c r="AH38" s="8" t="s">
        <v>65</v>
      </c>
      <c r="AI38" s="8" t="s">
        <v>3</v>
      </c>
      <c r="AJ38" s="8">
        <v>39159029</v>
      </c>
      <c r="AK38" s="8" t="s">
        <v>60</v>
      </c>
      <c r="AL38" s="8">
        <v>1</v>
      </c>
      <c r="AM38" s="8">
        <v>2573</v>
      </c>
      <c r="AN38" s="8" t="s">
        <v>1905</v>
      </c>
    </row>
    <row r="39" spans="1:40" ht="15" customHeight="1">
      <c r="A39"/>
      <c r="B39"/>
      <c r="C39" s="344"/>
      <c r="D39" s="344"/>
      <c r="E39" s="344"/>
      <c r="F39" s="344"/>
      <c r="G39" s="344"/>
      <c r="H39" s="7">
        <v>46120</v>
      </c>
      <c r="I39" s="8" t="s">
        <v>61</v>
      </c>
      <c r="J39" s="8" t="s">
        <v>56</v>
      </c>
      <c r="K39" s="6">
        <v>198</v>
      </c>
      <c r="L39" s="8" t="s">
        <v>75</v>
      </c>
      <c r="M39" s="8" t="s">
        <v>3298</v>
      </c>
      <c r="N39" s="7">
        <v>46120</v>
      </c>
      <c r="O39" s="8" t="s">
        <v>15</v>
      </c>
      <c r="P39" s="8" t="s">
        <v>2076</v>
      </c>
      <c r="Q39" s="8" t="s">
        <v>2076</v>
      </c>
      <c r="R39" s="344" t="s">
        <v>2076</v>
      </c>
      <c r="S39" s="8" t="s">
        <v>64</v>
      </c>
      <c r="T39" s="9">
        <v>847</v>
      </c>
      <c r="U39" s="9">
        <v>23716</v>
      </c>
      <c r="V39" s="9">
        <f>+U39/T39</f>
        <v>28</v>
      </c>
      <c r="W39" s="8" t="s">
        <v>2315</v>
      </c>
      <c r="X39" s="8">
        <v>27961.16</v>
      </c>
      <c r="Y39" s="8">
        <v>9</v>
      </c>
      <c r="Z39" s="8">
        <v>2134.44</v>
      </c>
      <c r="AA39" s="8">
        <v>9</v>
      </c>
      <c r="AB39" s="8">
        <v>2134.44</v>
      </c>
      <c r="AC39" s="8">
        <v>0</v>
      </c>
      <c r="AD39" s="8">
        <v>0</v>
      </c>
      <c r="AE39" s="8">
        <v>0</v>
      </c>
      <c r="AF39" s="8">
        <v>4268.88</v>
      </c>
      <c r="AG39" s="8">
        <v>0</v>
      </c>
      <c r="AH39" s="8" t="s">
        <v>65</v>
      </c>
      <c r="AI39" s="8" t="s">
        <v>3</v>
      </c>
      <c r="AJ39" s="8">
        <v>39269080</v>
      </c>
      <c r="AK39" s="8" t="s">
        <v>60</v>
      </c>
      <c r="AL39" s="8">
        <v>1</v>
      </c>
      <c r="AM39" s="8">
        <v>847</v>
      </c>
      <c r="AN39" s="8" t="s">
        <v>1905</v>
      </c>
    </row>
    <row r="40" spans="1:40" ht="15" customHeight="1">
      <c r="A40"/>
      <c r="B40"/>
      <c r="C40" s="344"/>
      <c r="D40" s="344"/>
      <c r="E40" s="344"/>
      <c r="F40" s="344"/>
      <c r="G40" s="344"/>
      <c r="H40" s="7">
        <v>46150</v>
      </c>
      <c r="I40" s="8" t="s">
        <v>61</v>
      </c>
      <c r="J40" s="8" t="s">
        <v>56</v>
      </c>
      <c r="K40" s="6">
        <v>200</v>
      </c>
      <c r="L40" s="8" t="s">
        <v>75</v>
      </c>
      <c r="M40" s="8" t="s">
        <v>3299</v>
      </c>
      <c r="N40" s="7">
        <v>46150</v>
      </c>
      <c r="O40" s="8" t="s">
        <v>2</v>
      </c>
      <c r="P40" s="8" t="s">
        <v>67</v>
      </c>
      <c r="Q40" s="8" t="s">
        <v>68</v>
      </c>
      <c r="R40" s="8" t="s">
        <v>69</v>
      </c>
      <c r="S40" s="8" t="s">
        <v>70</v>
      </c>
      <c r="T40" s="9">
        <v>301</v>
      </c>
      <c r="U40" s="9">
        <v>14448</v>
      </c>
      <c r="V40" s="9"/>
      <c r="W40" s="8" t="s">
        <v>558</v>
      </c>
      <c r="X40" s="8">
        <v>17034.189999999999</v>
      </c>
      <c r="Y40" s="8">
        <v>9</v>
      </c>
      <c r="Z40" s="8">
        <v>1300.32</v>
      </c>
      <c r="AA40" s="8">
        <v>9</v>
      </c>
      <c r="AB40" s="8">
        <v>1300.32</v>
      </c>
      <c r="AC40" s="8">
        <v>0</v>
      </c>
      <c r="AD40" s="8">
        <v>0</v>
      </c>
      <c r="AE40" s="8">
        <v>0</v>
      </c>
      <c r="AF40" s="8">
        <v>2600.64</v>
      </c>
      <c r="AG40" s="8">
        <v>0</v>
      </c>
      <c r="AH40" s="8" t="s">
        <v>65</v>
      </c>
      <c r="AI40" s="8" t="s">
        <v>3</v>
      </c>
      <c r="AJ40" s="8">
        <v>73063090</v>
      </c>
      <c r="AK40" s="8" t="s">
        <v>60</v>
      </c>
      <c r="AL40" s="8">
        <v>1</v>
      </c>
      <c r="AM40" s="8">
        <v>301</v>
      </c>
      <c r="AN40" s="8" t="s">
        <v>1905</v>
      </c>
    </row>
    <row r="41" spans="1:40" ht="15" customHeight="1">
      <c r="A41"/>
      <c r="B41"/>
      <c r="C41" s="344"/>
      <c r="D41" s="344"/>
      <c r="E41" s="344"/>
      <c r="F41" s="344"/>
      <c r="G41" s="344"/>
      <c r="H41" s="7">
        <v>46150</v>
      </c>
      <c r="I41" s="8" t="s">
        <v>73</v>
      </c>
      <c r="J41" s="8" t="s">
        <v>56</v>
      </c>
      <c r="K41" s="6">
        <v>199</v>
      </c>
      <c r="L41" s="8" t="s">
        <v>75</v>
      </c>
      <c r="M41" s="8" t="s">
        <v>3300</v>
      </c>
      <c r="N41" s="7">
        <v>46150</v>
      </c>
      <c r="O41" s="8" t="s">
        <v>15</v>
      </c>
      <c r="P41" s="8" t="s">
        <v>2076</v>
      </c>
      <c r="Q41" s="8" t="s">
        <v>2076</v>
      </c>
      <c r="R41" s="344" t="s">
        <v>2076</v>
      </c>
      <c r="S41" s="8" t="s">
        <v>79</v>
      </c>
      <c r="T41" s="9">
        <v>370</v>
      </c>
      <c r="U41" s="9">
        <v>54508.4</v>
      </c>
      <c r="V41" s="9">
        <f>+U41/T41</f>
        <v>147.32</v>
      </c>
      <c r="W41" s="8" t="s">
        <v>2500</v>
      </c>
      <c r="X41" s="8">
        <v>64265.41</v>
      </c>
      <c r="Y41" s="8">
        <v>9</v>
      </c>
      <c r="Z41" s="8">
        <v>4905.76</v>
      </c>
      <c r="AA41" s="8">
        <v>9</v>
      </c>
      <c r="AB41" s="8">
        <v>4905.76</v>
      </c>
      <c r="AC41" s="8">
        <v>0</v>
      </c>
      <c r="AD41" s="8">
        <v>0</v>
      </c>
      <c r="AE41" s="8">
        <v>0</v>
      </c>
      <c r="AF41" s="8">
        <v>9811.52</v>
      </c>
      <c r="AG41" s="8">
        <v>0</v>
      </c>
      <c r="AH41" s="8" t="s">
        <v>74</v>
      </c>
      <c r="AI41" s="8" t="s">
        <v>3</v>
      </c>
      <c r="AJ41" s="8">
        <v>39269080</v>
      </c>
      <c r="AK41" s="8" t="s">
        <v>60</v>
      </c>
      <c r="AL41" s="8">
        <v>1</v>
      </c>
      <c r="AM41" s="8">
        <v>370</v>
      </c>
      <c r="AN41" s="8" t="s">
        <v>1905</v>
      </c>
    </row>
    <row r="42" spans="1:40" ht="15" customHeight="1">
      <c r="A42"/>
      <c r="B42"/>
      <c r="C42" s="344"/>
      <c r="D42" s="344"/>
      <c r="E42" s="344"/>
      <c r="F42" s="344"/>
      <c r="G42" s="344"/>
      <c r="H42" s="7">
        <v>46181</v>
      </c>
      <c r="I42" s="8" t="s">
        <v>78</v>
      </c>
      <c r="J42" s="8" t="s">
        <v>56</v>
      </c>
      <c r="K42" s="6" t="s">
        <v>3301</v>
      </c>
      <c r="L42" s="8" t="s">
        <v>2288</v>
      </c>
      <c r="M42" s="8" t="s">
        <v>3301</v>
      </c>
      <c r="N42" s="7">
        <v>46181</v>
      </c>
      <c r="O42" s="8" t="s">
        <v>15</v>
      </c>
      <c r="P42" s="8" t="s">
        <v>57</v>
      </c>
      <c r="Q42" s="8" t="s">
        <v>57</v>
      </c>
      <c r="R42" s="344" t="s">
        <v>58</v>
      </c>
      <c r="S42" s="8" t="s">
        <v>16</v>
      </c>
      <c r="T42" s="9">
        <v>3153</v>
      </c>
      <c r="U42" s="9">
        <v>646175.81999999995</v>
      </c>
      <c r="V42" s="9"/>
      <c r="W42" s="8" t="s">
        <v>2504</v>
      </c>
      <c r="X42" s="8">
        <v>4561853.46</v>
      </c>
      <c r="Y42" s="8">
        <v>0.05</v>
      </c>
      <c r="Z42" s="8">
        <v>323.08999999999997</v>
      </c>
      <c r="AA42" s="8">
        <v>0.05</v>
      </c>
      <c r="AB42" s="8">
        <v>323.08999999999997</v>
      </c>
      <c r="AC42" s="8">
        <v>0</v>
      </c>
      <c r="AD42" s="8">
        <v>0</v>
      </c>
      <c r="AE42" s="8">
        <v>0</v>
      </c>
      <c r="AF42" s="8">
        <v>646.17999999999995</v>
      </c>
      <c r="AG42" s="8">
        <v>0</v>
      </c>
      <c r="AH42" s="8" t="s">
        <v>59</v>
      </c>
      <c r="AI42" s="8" t="s">
        <v>3</v>
      </c>
      <c r="AJ42" s="8">
        <v>63053200</v>
      </c>
      <c r="AK42" s="8" t="s">
        <v>60</v>
      </c>
      <c r="AL42" s="8">
        <v>1</v>
      </c>
      <c r="AM42" s="8">
        <v>3153</v>
      </c>
      <c r="AN42" s="8" t="s">
        <v>1905</v>
      </c>
    </row>
    <row r="43" spans="1:40" ht="15" customHeight="1">
      <c r="A43"/>
      <c r="B43"/>
      <c r="C43" s="344"/>
      <c r="D43" s="344"/>
      <c r="E43" s="344"/>
      <c r="F43" s="344"/>
      <c r="G43" s="344"/>
      <c r="H43" s="7">
        <v>46181</v>
      </c>
      <c r="I43" s="8" t="s">
        <v>78</v>
      </c>
      <c r="J43" s="8" t="s">
        <v>56</v>
      </c>
      <c r="K43" s="6" t="s">
        <v>3301</v>
      </c>
      <c r="L43" s="8" t="s">
        <v>2288</v>
      </c>
      <c r="M43" s="8" t="s">
        <v>3301</v>
      </c>
      <c r="N43" s="7">
        <v>46181</v>
      </c>
      <c r="O43" s="8" t="s">
        <v>15</v>
      </c>
      <c r="P43" s="8" t="s">
        <v>57</v>
      </c>
      <c r="Q43" s="8" t="s">
        <v>57</v>
      </c>
      <c r="R43" s="8" t="s">
        <v>58</v>
      </c>
      <c r="S43" s="8" t="s">
        <v>16</v>
      </c>
      <c r="T43" s="9">
        <v>1264</v>
      </c>
      <c r="U43" s="9">
        <v>298796.96000000002</v>
      </c>
      <c r="V43" s="9"/>
      <c r="W43" s="8" t="s">
        <v>2504</v>
      </c>
      <c r="X43" s="8">
        <v>0</v>
      </c>
      <c r="Y43" s="8">
        <v>0.05</v>
      </c>
      <c r="Z43" s="8">
        <v>149.4</v>
      </c>
      <c r="AA43" s="8">
        <v>0.05</v>
      </c>
      <c r="AB43" s="8">
        <v>149.4</v>
      </c>
      <c r="AC43" s="8">
        <v>0</v>
      </c>
      <c r="AD43" s="8">
        <v>0</v>
      </c>
      <c r="AE43" s="8">
        <v>0</v>
      </c>
      <c r="AF43" s="8">
        <v>298.8</v>
      </c>
      <c r="AG43" s="8">
        <v>0</v>
      </c>
      <c r="AH43" s="8" t="s">
        <v>59</v>
      </c>
      <c r="AI43" s="8" t="s">
        <v>3</v>
      </c>
      <c r="AJ43" s="8">
        <v>63053200</v>
      </c>
      <c r="AK43" s="8" t="s">
        <v>60</v>
      </c>
      <c r="AL43" s="8">
        <v>1</v>
      </c>
      <c r="AM43" s="8">
        <v>1264</v>
      </c>
      <c r="AN43" s="8" t="s">
        <v>1905</v>
      </c>
    </row>
    <row r="44" spans="1:40" ht="15" customHeight="1">
      <c r="A44"/>
      <c r="B44"/>
      <c r="C44" s="344"/>
      <c r="D44" s="344"/>
      <c r="E44" s="344"/>
      <c r="F44" s="344"/>
      <c r="G44" s="344"/>
      <c r="H44" s="7">
        <v>46181</v>
      </c>
      <c r="I44" s="8" t="s">
        <v>78</v>
      </c>
      <c r="J44" s="8" t="s">
        <v>56</v>
      </c>
      <c r="K44" s="6" t="s">
        <v>3301</v>
      </c>
      <c r="L44" s="8" t="s">
        <v>2288</v>
      </c>
      <c r="M44" s="8" t="s">
        <v>3301</v>
      </c>
      <c r="N44" s="7">
        <v>46181</v>
      </c>
      <c r="O44" s="8" t="s">
        <v>15</v>
      </c>
      <c r="P44" s="8" t="s">
        <v>57</v>
      </c>
      <c r="Q44" s="8" t="s">
        <v>57</v>
      </c>
      <c r="R44" s="8" t="s">
        <v>58</v>
      </c>
      <c r="S44" s="8" t="s">
        <v>16</v>
      </c>
      <c r="T44" s="9">
        <v>3435</v>
      </c>
      <c r="U44" s="9">
        <v>831579.15</v>
      </c>
      <c r="V44" s="9"/>
      <c r="W44" s="8" t="s">
        <v>2504</v>
      </c>
      <c r="X44" s="8">
        <v>0</v>
      </c>
      <c r="Y44" s="8">
        <v>0.05</v>
      </c>
      <c r="Z44" s="8">
        <v>415.79</v>
      </c>
      <c r="AA44" s="8">
        <v>0.05</v>
      </c>
      <c r="AB44" s="8">
        <v>415.79</v>
      </c>
      <c r="AC44" s="8">
        <v>0</v>
      </c>
      <c r="AD44" s="8">
        <v>0</v>
      </c>
      <c r="AE44" s="8">
        <v>0</v>
      </c>
      <c r="AF44" s="8">
        <v>831.58</v>
      </c>
      <c r="AG44" s="8">
        <v>0</v>
      </c>
      <c r="AH44" s="8" t="s">
        <v>59</v>
      </c>
      <c r="AI44" s="8" t="s">
        <v>3</v>
      </c>
      <c r="AJ44" s="8">
        <v>63053200</v>
      </c>
      <c r="AK44" s="8" t="s">
        <v>60</v>
      </c>
      <c r="AL44" s="8">
        <v>1</v>
      </c>
      <c r="AM44" s="8">
        <v>3435</v>
      </c>
      <c r="AN44" s="8" t="s">
        <v>1905</v>
      </c>
    </row>
    <row r="45" spans="1:40" ht="15" customHeight="1">
      <c r="A45"/>
      <c r="B45"/>
      <c r="C45" s="344"/>
      <c r="D45" s="344"/>
      <c r="E45" s="344"/>
      <c r="F45" s="344"/>
      <c r="G45" s="344"/>
      <c r="H45" s="7">
        <v>46181</v>
      </c>
      <c r="I45" s="8" t="s">
        <v>78</v>
      </c>
      <c r="J45" s="8" t="s">
        <v>56</v>
      </c>
      <c r="K45" s="6" t="s">
        <v>3301</v>
      </c>
      <c r="L45" s="8" t="s">
        <v>2288</v>
      </c>
      <c r="M45" s="8" t="s">
        <v>3301</v>
      </c>
      <c r="N45" s="7">
        <v>46181</v>
      </c>
      <c r="O45" s="8" t="s">
        <v>15</v>
      </c>
      <c r="P45" s="8" t="s">
        <v>57</v>
      </c>
      <c r="Q45" s="8" t="s">
        <v>57</v>
      </c>
      <c r="R45" s="8" t="s">
        <v>58</v>
      </c>
      <c r="S45" s="8" t="s">
        <v>16</v>
      </c>
      <c r="T45" s="9">
        <v>2258</v>
      </c>
      <c r="U45" s="9">
        <v>516788.46</v>
      </c>
      <c r="V45" s="9"/>
      <c r="W45" s="8" t="s">
        <v>2498</v>
      </c>
      <c r="X45" s="8">
        <v>0</v>
      </c>
      <c r="Y45" s="8">
        <v>0.05</v>
      </c>
      <c r="Z45" s="8">
        <v>258.39</v>
      </c>
      <c r="AA45" s="8">
        <v>0.05</v>
      </c>
      <c r="AB45" s="8">
        <v>258.39</v>
      </c>
      <c r="AC45" s="8">
        <v>0</v>
      </c>
      <c r="AD45" s="8">
        <v>0</v>
      </c>
      <c r="AE45" s="8">
        <v>0</v>
      </c>
      <c r="AF45" s="8">
        <v>516.78</v>
      </c>
      <c r="AG45" s="8">
        <v>0</v>
      </c>
      <c r="AH45" s="8" t="s">
        <v>59</v>
      </c>
      <c r="AI45" s="8" t="s">
        <v>3</v>
      </c>
      <c r="AJ45" s="8">
        <v>63053200</v>
      </c>
      <c r="AK45" s="8" t="s">
        <v>60</v>
      </c>
      <c r="AL45" s="8">
        <v>1</v>
      </c>
      <c r="AM45" s="8">
        <v>2258</v>
      </c>
      <c r="AN45" s="8" t="s">
        <v>1905</v>
      </c>
    </row>
    <row r="46" spans="1:40" ht="15" customHeight="1">
      <c r="A46"/>
      <c r="B46"/>
      <c r="C46" s="344"/>
      <c r="D46" s="344"/>
      <c r="E46" s="344"/>
      <c r="F46" s="344"/>
      <c r="G46" s="344"/>
      <c r="H46" s="7">
        <v>46181</v>
      </c>
      <c r="I46" s="8" t="s">
        <v>78</v>
      </c>
      <c r="J46" s="8" t="s">
        <v>56</v>
      </c>
      <c r="K46" s="6" t="s">
        <v>3301</v>
      </c>
      <c r="L46" s="8" t="s">
        <v>2288</v>
      </c>
      <c r="M46" s="8" t="s">
        <v>3301</v>
      </c>
      <c r="N46" s="7">
        <v>46181</v>
      </c>
      <c r="O46" s="8" t="s">
        <v>15</v>
      </c>
      <c r="P46" s="8" t="s">
        <v>57</v>
      </c>
      <c r="Q46" s="8" t="s">
        <v>57</v>
      </c>
      <c r="R46" s="8" t="s">
        <v>58</v>
      </c>
      <c r="S46" s="8" t="s">
        <v>16</v>
      </c>
      <c r="T46" s="342">
        <v>426</v>
      </c>
      <c r="U46" s="9">
        <v>90840.24</v>
      </c>
      <c r="V46" s="9"/>
      <c r="W46" s="8" t="s">
        <v>2503</v>
      </c>
      <c r="X46" s="8">
        <v>0</v>
      </c>
      <c r="Y46" s="8">
        <v>0.05</v>
      </c>
      <c r="Z46" s="8">
        <v>45.42</v>
      </c>
      <c r="AA46" s="8">
        <v>0.05</v>
      </c>
      <c r="AB46" s="8">
        <v>45.42</v>
      </c>
      <c r="AC46" s="8">
        <v>0</v>
      </c>
      <c r="AD46" s="8">
        <v>0</v>
      </c>
      <c r="AE46" s="8">
        <v>0</v>
      </c>
      <c r="AF46" s="8">
        <v>90.84</v>
      </c>
      <c r="AG46" s="8">
        <v>0</v>
      </c>
      <c r="AH46" s="8" t="s">
        <v>59</v>
      </c>
      <c r="AI46" s="8" t="s">
        <v>3</v>
      </c>
      <c r="AJ46" s="8">
        <v>63053200</v>
      </c>
      <c r="AK46" s="8" t="s">
        <v>60</v>
      </c>
      <c r="AL46" s="8">
        <v>1</v>
      </c>
      <c r="AM46" s="8">
        <v>426</v>
      </c>
      <c r="AN46" s="8" t="s">
        <v>1905</v>
      </c>
    </row>
    <row r="47" spans="1:40" ht="15" customHeight="1">
      <c r="A47"/>
      <c r="B47"/>
      <c r="C47" s="344"/>
      <c r="D47" s="344"/>
      <c r="E47" s="344"/>
      <c r="F47" s="344"/>
      <c r="G47" s="344"/>
      <c r="H47" s="7">
        <v>46181</v>
      </c>
      <c r="I47" s="8" t="s">
        <v>78</v>
      </c>
      <c r="J47" s="8" t="s">
        <v>56</v>
      </c>
      <c r="K47" s="6" t="s">
        <v>3301</v>
      </c>
      <c r="L47" s="8" t="s">
        <v>2288</v>
      </c>
      <c r="M47" s="8" t="s">
        <v>3301</v>
      </c>
      <c r="N47" s="7">
        <v>46181</v>
      </c>
      <c r="O47" s="8" t="s">
        <v>15</v>
      </c>
      <c r="P47" s="8" t="s">
        <v>57</v>
      </c>
      <c r="Q47" s="8" t="s">
        <v>57</v>
      </c>
      <c r="R47" s="8" t="s">
        <v>58</v>
      </c>
      <c r="S47" s="8" t="s">
        <v>16</v>
      </c>
      <c r="T47" s="9">
        <v>10279.799999999999</v>
      </c>
      <c r="U47" s="9">
        <v>2177672.83</v>
      </c>
      <c r="V47" s="9"/>
      <c r="W47" s="8" t="s">
        <v>2503</v>
      </c>
      <c r="X47" s="8">
        <v>0</v>
      </c>
      <c r="Y47" s="8">
        <v>0.05</v>
      </c>
      <c r="Z47" s="8">
        <v>1088.8399999999999</v>
      </c>
      <c r="AA47" s="8">
        <v>0.05</v>
      </c>
      <c r="AB47" s="8">
        <v>1088.8399999999999</v>
      </c>
      <c r="AC47" s="8">
        <v>0</v>
      </c>
      <c r="AD47" s="8">
        <v>0</v>
      </c>
      <c r="AE47" s="8">
        <v>0</v>
      </c>
      <c r="AF47" s="8">
        <v>2177.6799999999998</v>
      </c>
      <c r="AG47" s="8">
        <v>0</v>
      </c>
      <c r="AH47" s="8" t="s">
        <v>59</v>
      </c>
      <c r="AI47" s="8" t="s">
        <v>3</v>
      </c>
      <c r="AJ47" s="8">
        <v>63053200</v>
      </c>
      <c r="AK47" s="8" t="s">
        <v>60</v>
      </c>
      <c r="AL47" s="8">
        <v>1</v>
      </c>
      <c r="AM47" s="8">
        <v>10279.799999999999</v>
      </c>
      <c r="AN47" s="8" t="s">
        <v>1905</v>
      </c>
    </row>
    <row r="48" spans="1:40" ht="15" customHeight="1">
      <c r="A48"/>
      <c r="B48"/>
      <c r="C48" s="344"/>
      <c r="D48" s="344"/>
      <c r="E48" s="344"/>
      <c r="F48" s="344"/>
      <c r="G48" s="344"/>
      <c r="H48" s="7">
        <v>46181</v>
      </c>
      <c r="I48" s="8" t="s">
        <v>61</v>
      </c>
      <c r="J48" s="8" t="s">
        <v>56</v>
      </c>
      <c r="K48" s="6">
        <v>201</v>
      </c>
      <c r="L48" s="8" t="s">
        <v>1663</v>
      </c>
      <c r="M48" s="8" t="s">
        <v>3302</v>
      </c>
      <c r="N48" s="7">
        <v>46181</v>
      </c>
      <c r="O48" s="8" t="s">
        <v>15</v>
      </c>
      <c r="P48" s="8" t="s">
        <v>57</v>
      </c>
      <c r="Q48" s="8" t="s">
        <v>57</v>
      </c>
      <c r="R48" s="344" t="s">
        <v>58</v>
      </c>
      <c r="S48" s="8" t="s">
        <v>16</v>
      </c>
      <c r="T48" s="9">
        <v>2148</v>
      </c>
      <c r="U48" s="9">
        <v>385995.6</v>
      </c>
      <c r="V48" s="9"/>
      <c r="W48" s="8" t="s">
        <v>3287</v>
      </c>
      <c r="X48" s="8">
        <v>4378326.8899999997</v>
      </c>
      <c r="Y48" s="8">
        <v>9</v>
      </c>
      <c r="Z48" s="8">
        <v>34739.599999999999</v>
      </c>
      <c r="AA48" s="8">
        <v>9</v>
      </c>
      <c r="AB48" s="8">
        <v>34739.599999999999</v>
      </c>
      <c r="AC48" s="8">
        <v>0</v>
      </c>
      <c r="AD48" s="8">
        <v>0</v>
      </c>
      <c r="AE48" s="8">
        <v>0</v>
      </c>
      <c r="AF48" s="8">
        <v>69479.199999999997</v>
      </c>
      <c r="AG48" s="8">
        <v>0</v>
      </c>
      <c r="AH48" s="8" t="s">
        <v>65</v>
      </c>
      <c r="AI48" s="8" t="s">
        <v>3</v>
      </c>
      <c r="AJ48" s="8">
        <v>63053200</v>
      </c>
      <c r="AK48" s="8" t="s">
        <v>60</v>
      </c>
      <c r="AL48" s="8">
        <v>1</v>
      </c>
      <c r="AM48" s="8">
        <v>2148</v>
      </c>
      <c r="AN48" s="8" t="s">
        <v>1905</v>
      </c>
    </row>
    <row r="49" spans="1:40" ht="15" customHeight="1">
      <c r="A49"/>
      <c r="B49"/>
      <c r="C49" s="344"/>
      <c r="D49" s="344"/>
      <c r="E49" s="344"/>
      <c r="F49" s="344"/>
      <c r="G49" s="344"/>
      <c r="H49" s="7">
        <v>46181</v>
      </c>
      <c r="I49" s="8" t="s">
        <v>61</v>
      </c>
      <c r="J49" s="8" t="s">
        <v>56</v>
      </c>
      <c r="K49" s="6">
        <v>201</v>
      </c>
      <c r="L49" s="8" t="s">
        <v>1663</v>
      </c>
      <c r="M49" s="8" t="s">
        <v>3302</v>
      </c>
      <c r="N49" s="7">
        <v>46181</v>
      </c>
      <c r="O49" s="8" t="s">
        <v>15</v>
      </c>
      <c r="P49" s="8" t="s">
        <v>57</v>
      </c>
      <c r="Q49" s="8" t="s">
        <v>57</v>
      </c>
      <c r="R49" s="8" t="s">
        <v>58</v>
      </c>
      <c r="S49" s="8" t="s">
        <v>16</v>
      </c>
      <c r="T49" s="9">
        <v>1845</v>
      </c>
      <c r="U49" s="9">
        <v>367745.4</v>
      </c>
      <c r="V49" s="9"/>
      <c r="W49" s="8" t="s">
        <v>3290</v>
      </c>
      <c r="X49" s="8">
        <v>0</v>
      </c>
      <c r="Y49" s="8">
        <v>9</v>
      </c>
      <c r="Z49" s="8">
        <v>33097.089999999997</v>
      </c>
      <c r="AA49" s="8">
        <v>9</v>
      </c>
      <c r="AB49" s="8">
        <v>33097.089999999997</v>
      </c>
      <c r="AC49" s="8">
        <v>0</v>
      </c>
      <c r="AD49" s="8">
        <v>0</v>
      </c>
      <c r="AE49" s="8">
        <v>0</v>
      </c>
      <c r="AF49" s="8">
        <v>66194.179999999993</v>
      </c>
      <c r="AG49" s="8">
        <v>0</v>
      </c>
      <c r="AH49" s="8" t="s">
        <v>65</v>
      </c>
      <c r="AI49" s="8" t="s">
        <v>3</v>
      </c>
      <c r="AJ49" s="8">
        <v>63053200</v>
      </c>
      <c r="AK49" s="8" t="s">
        <v>60</v>
      </c>
      <c r="AL49" s="8">
        <v>1</v>
      </c>
      <c r="AM49" s="8">
        <v>1845</v>
      </c>
      <c r="AN49" s="8" t="s">
        <v>1905</v>
      </c>
    </row>
    <row r="50" spans="1:40" ht="15" customHeight="1">
      <c r="A50"/>
      <c r="B50"/>
      <c r="C50" s="344"/>
      <c r="D50" s="344"/>
      <c r="E50" s="344"/>
      <c r="F50" s="344"/>
      <c r="G50" s="344"/>
      <c r="H50" s="7">
        <v>46181</v>
      </c>
      <c r="I50" s="8" t="s">
        <v>61</v>
      </c>
      <c r="J50" s="8" t="s">
        <v>56</v>
      </c>
      <c r="K50" s="6">
        <v>201</v>
      </c>
      <c r="L50" s="8" t="s">
        <v>1663</v>
      </c>
      <c r="M50" s="8" t="s">
        <v>3302</v>
      </c>
      <c r="N50" s="7">
        <v>46181</v>
      </c>
      <c r="O50" s="8" t="s">
        <v>15</v>
      </c>
      <c r="P50" s="8" t="s">
        <v>57</v>
      </c>
      <c r="Q50" s="8" t="s">
        <v>57</v>
      </c>
      <c r="R50" s="8" t="s">
        <v>58</v>
      </c>
      <c r="S50" s="8" t="s">
        <v>16</v>
      </c>
      <c r="T50" s="9">
        <v>727</v>
      </c>
      <c r="U50" s="9">
        <v>140899.87</v>
      </c>
      <c r="V50" s="9"/>
      <c r="W50" s="8" t="s">
        <v>3290</v>
      </c>
      <c r="X50" s="8">
        <v>0</v>
      </c>
      <c r="Y50" s="8">
        <v>9</v>
      </c>
      <c r="Z50" s="8">
        <v>12680.99</v>
      </c>
      <c r="AA50" s="8">
        <v>9</v>
      </c>
      <c r="AB50" s="8">
        <v>12680.99</v>
      </c>
      <c r="AC50" s="8">
        <v>0</v>
      </c>
      <c r="AD50" s="8">
        <v>0</v>
      </c>
      <c r="AE50" s="8">
        <v>0</v>
      </c>
      <c r="AF50" s="8">
        <v>25361.98</v>
      </c>
      <c r="AG50" s="8">
        <v>0</v>
      </c>
      <c r="AH50" s="8" t="s">
        <v>65</v>
      </c>
      <c r="AI50" s="8" t="s">
        <v>3</v>
      </c>
      <c r="AJ50" s="8">
        <v>63053200</v>
      </c>
      <c r="AK50" s="8" t="s">
        <v>60</v>
      </c>
      <c r="AL50" s="8">
        <v>1</v>
      </c>
      <c r="AM50" s="8">
        <v>727</v>
      </c>
      <c r="AN50" s="8" t="s">
        <v>1905</v>
      </c>
    </row>
    <row r="51" spans="1:40" ht="15" customHeight="1">
      <c r="A51"/>
      <c r="B51"/>
      <c r="C51" s="344"/>
      <c r="D51" s="344"/>
      <c r="E51" s="344"/>
      <c r="F51" s="344"/>
      <c r="G51" s="344"/>
      <c r="H51" s="7">
        <v>46181</v>
      </c>
      <c r="I51" s="8" t="s">
        <v>61</v>
      </c>
      <c r="J51" s="8" t="s">
        <v>56</v>
      </c>
      <c r="K51" s="6">
        <v>201</v>
      </c>
      <c r="L51" s="8" t="s">
        <v>1663</v>
      </c>
      <c r="M51" s="8" t="s">
        <v>3302</v>
      </c>
      <c r="N51" s="7">
        <v>46181</v>
      </c>
      <c r="O51" s="8" t="s">
        <v>15</v>
      </c>
      <c r="P51" s="8" t="s">
        <v>57</v>
      </c>
      <c r="Q51" s="8" t="s">
        <v>57</v>
      </c>
      <c r="R51" s="8" t="s">
        <v>58</v>
      </c>
      <c r="S51" s="8" t="s">
        <v>16</v>
      </c>
      <c r="T51" s="9">
        <v>3083</v>
      </c>
      <c r="U51" s="9">
        <v>699902.66</v>
      </c>
      <c r="V51" s="9"/>
      <c r="W51" s="8" t="s">
        <v>3303</v>
      </c>
      <c r="X51" s="8">
        <v>0</v>
      </c>
      <c r="Y51" s="8">
        <v>9</v>
      </c>
      <c r="Z51" s="8">
        <v>62991.24</v>
      </c>
      <c r="AA51" s="8">
        <v>9</v>
      </c>
      <c r="AB51" s="8">
        <v>62991.24</v>
      </c>
      <c r="AC51" s="8">
        <v>0</v>
      </c>
      <c r="AD51" s="8">
        <v>0</v>
      </c>
      <c r="AE51" s="8">
        <v>0</v>
      </c>
      <c r="AF51" s="8">
        <v>125982.48</v>
      </c>
      <c r="AG51" s="8">
        <v>0</v>
      </c>
      <c r="AH51" s="8" t="s">
        <v>65</v>
      </c>
      <c r="AI51" s="8" t="s">
        <v>3</v>
      </c>
      <c r="AJ51" s="8">
        <v>63053200</v>
      </c>
      <c r="AK51" s="8" t="s">
        <v>60</v>
      </c>
      <c r="AL51" s="8">
        <v>1</v>
      </c>
      <c r="AM51" s="8">
        <v>3083</v>
      </c>
      <c r="AN51" s="8" t="s">
        <v>1905</v>
      </c>
    </row>
    <row r="52" spans="1:40" ht="15" customHeight="1">
      <c r="A52"/>
      <c r="B52"/>
      <c r="C52" s="344"/>
      <c r="D52" s="344"/>
      <c r="E52" s="344"/>
      <c r="F52" s="344"/>
      <c r="G52" s="344"/>
      <c r="H52" s="7">
        <v>46181</v>
      </c>
      <c r="I52" s="8" t="s">
        <v>61</v>
      </c>
      <c r="J52" s="8" t="s">
        <v>56</v>
      </c>
      <c r="K52" s="6">
        <v>201</v>
      </c>
      <c r="L52" s="8" t="s">
        <v>1663</v>
      </c>
      <c r="M52" s="8" t="s">
        <v>3302</v>
      </c>
      <c r="N52" s="7">
        <v>46181</v>
      </c>
      <c r="O52" s="8" t="s">
        <v>15</v>
      </c>
      <c r="P52" s="8" t="s">
        <v>57</v>
      </c>
      <c r="Q52" s="8" t="s">
        <v>57</v>
      </c>
      <c r="R52" s="8" t="s">
        <v>58</v>
      </c>
      <c r="S52" s="8" t="s">
        <v>16</v>
      </c>
      <c r="T52" s="9">
        <v>5061</v>
      </c>
      <c r="U52" s="9">
        <v>1050359.94</v>
      </c>
      <c r="V52" s="9"/>
      <c r="W52" s="8" t="s">
        <v>3287</v>
      </c>
      <c r="X52" s="8">
        <v>0</v>
      </c>
      <c r="Y52" s="8">
        <v>9</v>
      </c>
      <c r="Z52" s="8">
        <v>94532.39</v>
      </c>
      <c r="AA52" s="8">
        <v>9</v>
      </c>
      <c r="AB52" s="8">
        <v>94532.39</v>
      </c>
      <c r="AC52" s="8">
        <v>0</v>
      </c>
      <c r="AD52" s="8">
        <v>0</v>
      </c>
      <c r="AE52" s="8">
        <v>0</v>
      </c>
      <c r="AF52" s="8">
        <v>189064.78</v>
      </c>
      <c r="AG52" s="8">
        <v>0</v>
      </c>
      <c r="AH52" s="8" t="s">
        <v>65</v>
      </c>
      <c r="AI52" s="8" t="s">
        <v>3</v>
      </c>
      <c r="AJ52" s="8">
        <v>63053200</v>
      </c>
      <c r="AK52" s="8" t="s">
        <v>60</v>
      </c>
      <c r="AL52" s="8">
        <v>1</v>
      </c>
      <c r="AM52" s="8">
        <v>5061</v>
      </c>
      <c r="AN52" s="8" t="s">
        <v>1905</v>
      </c>
    </row>
    <row r="53" spans="1:40" ht="15" customHeight="1">
      <c r="A53"/>
      <c r="B53"/>
      <c r="C53" s="344"/>
      <c r="D53" s="344"/>
      <c r="E53" s="344"/>
      <c r="F53" s="344"/>
      <c r="G53" s="344"/>
      <c r="H53" s="7">
        <v>46181</v>
      </c>
      <c r="I53" s="8" t="s">
        <v>61</v>
      </c>
      <c r="J53" s="8" t="s">
        <v>56</v>
      </c>
      <c r="K53" s="6">
        <v>201</v>
      </c>
      <c r="L53" s="8" t="s">
        <v>1663</v>
      </c>
      <c r="M53" s="8" t="s">
        <v>3302</v>
      </c>
      <c r="N53" s="7">
        <v>46181</v>
      </c>
      <c r="O53" s="8" t="s">
        <v>15</v>
      </c>
      <c r="P53" s="8" t="s">
        <v>57</v>
      </c>
      <c r="Q53" s="8" t="s">
        <v>57</v>
      </c>
      <c r="R53" s="344" t="s">
        <v>58</v>
      </c>
      <c r="S53" s="8" t="s">
        <v>16</v>
      </c>
      <c r="T53" s="9">
        <v>460</v>
      </c>
      <c r="U53" s="9">
        <v>96374.6</v>
      </c>
      <c r="V53" s="9"/>
      <c r="W53" s="8" t="s">
        <v>3290</v>
      </c>
      <c r="X53" s="8">
        <v>0</v>
      </c>
      <c r="Y53" s="8">
        <v>9</v>
      </c>
      <c r="Z53" s="8">
        <v>8673.7099999999991</v>
      </c>
      <c r="AA53" s="8">
        <v>9</v>
      </c>
      <c r="AB53" s="8">
        <v>8673.7099999999991</v>
      </c>
      <c r="AC53" s="8">
        <v>0</v>
      </c>
      <c r="AD53" s="8">
        <v>0</v>
      </c>
      <c r="AE53" s="8">
        <v>0</v>
      </c>
      <c r="AF53" s="8">
        <v>17347.419999999998</v>
      </c>
      <c r="AG53" s="8">
        <v>0</v>
      </c>
      <c r="AH53" s="8" t="s">
        <v>65</v>
      </c>
      <c r="AI53" s="8" t="s">
        <v>3</v>
      </c>
      <c r="AJ53" s="8">
        <v>63053200</v>
      </c>
      <c r="AK53" s="8" t="s">
        <v>60</v>
      </c>
      <c r="AL53" s="8">
        <v>1</v>
      </c>
      <c r="AM53" s="8">
        <v>460</v>
      </c>
      <c r="AN53" s="8" t="s">
        <v>1905</v>
      </c>
    </row>
    <row r="54" spans="1:40" ht="15" customHeight="1">
      <c r="A54"/>
      <c r="B54"/>
      <c r="C54" s="344"/>
      <c r="D54" s="344"/>
      <c r="E54" s="344"/>
      <c r="F54" s="344"/>
      <c r="G54" s="344"/>
      <c r="H54" s="7">
        <v>46181</v>
      </c>
      <c r="I54" s="8" t="s">
        <v>61</v>
      </c>
      <c r="J54" s="8" t="s">
        <v>56</v>
      </c>
      <c r="K54" s="6">
        <v>201</v>
      </c>
      <c r="L54" s="8" t="s">
        <v>1663</v>
      </c>
      <c r="M54" s="8" t="s">
        <v>3302</v>
      </c>
      <c r="N54" s="7">
        <v>46181</v>
      </c>
      <c r="O54" s="8" t="s">
        <v>15</v>
      </c>
      <c r="P54" s="8" t="s">
        <v>57</v>
      </c>
      <c r="Q54" s="8" t="s">
        <v>57</v>
      </c>
      <c r="R54" s="8" t="s">
        <v>58</v>
      </c>
      <c r="S54" s="8" t="s">
        <v>16</v>
      </c>
      <c r="T54" s="9">
        <v>1810</v>
      </c>
      <c r="U54" s="9">
        <v>391195.3</v>
      </c>
      <c r="V54" s="9"/>
      <c r="W54" s="8" t="s">
        <v>3290</v>
      </c>
      <c r="X54" s="8">
        <v>0</v>
      </c>
      <c r="Y54" s="8">
        <v>9</v>
      </c>
      <c r="Z54" s="8">
        <v>35207.58</v>
      </c>
      <c r="AA54" s="8">
        <v>9</v>
      </c>
      <c r="AB54" s="8">
        <v>35207.58</v>
      </c>
      <c r="AC54" s="8">
        <v>0</v>
      </c>
      <c r="AD54" s="8">
        <v>0</v>
      </c>
      <c r="AE54" s="8">
        <v>0</v>
      </c>
      <c r="AF54" s="8">
        <v>70415.16</v>
      </c>
      <c r="AG54" s="8">
        <v>0</v>
      </c>
      <c r="AH54" s="8" t="s">
        <v>65</v>
      </c>
      <c r="AI54" s="8" t="s">
        <v>3</v>
      </c>
      <c r="AJ54" s="8">
        <v>63053200</v>
      </c>
      <c r="AK54" s="8" t="s">
        <v>60</v>
      </c>
      <c r="AL54" s="8">
        <v>1</v>
      </c>
      <c r="AM54" s="8">
        <v>1810</v>
      </c>
      <c r="AN54" s="8" t="s">
        <v>1905</v>
      </c>
    </row>
    <row r="55" spans="1:40" ht="15" customHeight="1">
      <c r="A55"/>
      <c r="B55"/>
      <c r="C55" s="344"/>
      <c r="D55" s="344"/>
      <c r="E55" s="344"/>
      <c r="F55" s="344"/>
      <c r="G55" s="344"/>
      <c r="H55" s="7">
        <v>46181</v>
      </c>
      <c r="I55" s="8" t="s">
        <v>61</v>
      </c>
      <c r="J55" s="8" t="s">
        <v>56</v>
      </c>
      <c r="K55" s="6">
        <v>201</v>
      </c>
      <c r="L55" s="8" t="s">
        <v>1663</v>
      </c>
      <c r="M55" s="8" t="s">
        <v>3302</v>
      </c>
      <c r="N55" s="7">
        <v>46181</v>
      </c>
      <c r="O55" s="8" t="s">
        <v>15</v>
      </c>
      <c r="P55" s="8" t="s">
        <v>57</v>
      </c>
      <c r="Q55" s="8" t="s">
        <v>57</v>
      </c>
      <c r="R55" s="8" t="s">
        <v>58</v>
      </c>
      <c r="S55" s="8" t="s">
        <v>16</v>
      </c>
      <c r="T55" s="9">
        <v>915</v>
      </c>
      <c r="U55" s="9">
        <v>189633.75</v>
      </c>
      <c r="V55" s="9"/>
      <c r="W55" s="8" t="s">
        <v>3290</v>
      </c>
      <c r="X55" s="8">
        <v>0</v>
      </c>
      <c r="Y55" s="8">
        <v>9</v>
      </c>
      <c r="Z55" s="8">
        <v>17067.04</v>
      </c>
      <c r="AA55" s="8">
        <v>9</v>
      </c>
      <c r="AB55" s="8">
        <v>17067.04</v>
      </c>
      <c r="AC55" s="8">
        <v>0</v>
      </c>
      <c r="AD55" s="8">
        <v>0</v>
      </c>
      <c r="AE55" s="8">
        <v>0</v>
      </c>
      <c r="AF55" s="8">
        <v>34134.080000000002</v>
      </c>
      <c r="AG55" s="8">
        <v>0</v>
      </c>
      <c r="AH55" s="8" t="s">
        <v>65</v>
      </c>
      <c r="AI55" s="8" t="s">
        <v>3</v>
      </c>
      <c r="AJ55" s="8">
        <v>63053200</v>
      </c>
      <c r="AK55" s="8" t="s">
        <v>60</v>
      </c>
      <c r="AL55" s="8">
        <v>1</v>
      </c>
      <c r="AM55" s="8">
        <v>915</v>
      </c>
      <c r="AN55" s="8" t="s">
        <v>1905</v>
      </c>
    </row>
    <row r="56" spans="1:40" ht="15" customHeight="1">
      <c r="A56"/>
      <c r="B56"/>
      <c r="C56" s="344"/>
      <c r="D56" s="344"/>
      <c r="E56" s="344"/>
      <c r="F56" s="344"/>
      <c r="G56" s="344"/>
      <c r="H56" s="7">
        <v>46181</v>
      </c>
      <c r="I56" s="8" t="s">
        <v>61</v>
      </c>
      <c r="J56" s="8" t="s">
        <v>56</v>
      </c>
      <c r="K56" s="6">
        <v>201</v>
      </c>
      <c r="L56" s="8" t="s">
        <v>1663</v>
      </c>
      <c r="M56" s="8" t="s">
        <v>3302</v>
      </c>
      <c r="N56" s="7">
        <v>46181</v>
      </c>
      <c r="O56" s="8" t="s">
        <v>15</v>
      </c>
      <c r="P56" s="8" t="s">
        <v>57</v>
      </c>
      <c r="Q56" s="8" t="s">
        <v>57</v>
      </c>
      <c r="R56" s="8" t="s">
        <v>58</v>
      </c>
      <c r="S56" s="8" t="s">
        <v>16</v>
      </c>
      <c r="T56" s="9">
        <v>1851</v>
      </c>
      <c r="U56" s="9">
        <v>391486.5</v>
      </c>
      <c r="V56" s="9"/>
      <c r="W56" s="8" t="s">
        <v>3290</v>
      </c>
      <c r="X56" s="8">
        <v>0</v>
      </c>
      <c r="Y56" s="8">
        <v>9</v>
      </c>
      <c r="Z56" s="8">
        <v>35233.79</v>
      </c>
      <c r="AA56" s="8">
        <v>9</v>
      </c>
      <c r="AB56" s="8">
        <v>35233.79</v>
      </c>
      <c r="AC56" s="8">
        <v>0</v>
      </c>
      <c r="AD56" s="8">
        <v>0</v>
      </c>
      <c r="AE56" s="8">
        <v>0</v>
      </c>
      <c r="AF56" s="8">
        <v>70467.58</v>
      </c>
      <c r="AG56" s="8">
        <v>0</v>
      </c>
      <c r="AH56" s="8" t="s">
        <v>65</v>
      </c>
      <c r="AI56" s="8" t="s">
        <v>3</v>
      </c>
      <c r="AJ56" s="8">
        <v>63053200</v>
      </c>
      <c r="AK56" s="8" t="s">
        <v>60</v>
      </c>
      <c r="AL56" s="8">
        <v>1</v>
      </c>
      <c r="AM56" s="8">
        <v>1851</v>
      </c>
      <c r="AN56" s="8" t="s">
        <v>1905</v>
      </c>
    </row>
    <row r="57" spans="1:40" ht="15" customHeight="1">
      <c r="A57"/>
      <c r="B57"/>
      <c r="C57" s="344"/>
      <c r="D57" s="344"/>
      <c r="E57" s="344"/>
      <c r="F57" s="344"/>
      <c r="G57" s="344"/>
      <c r="H57" s="7">
        <v>46211</v>
      </c>
      <c r="I57" s="8" t="s">
        <v>232</v>
      </c>
      <c r="J57" s="8" t="s">
        <v>2350</v>
      </c>
      <c r="K57" s="6" t="s">
        <v>3304</v>
      </c>
      <c r="L57" s="8" t="s">
        <v>2390</v>
      </c>
      <c r="M57" s="8" t="s">
        <v>3304</v>
      </c>
      <c r="N57" s="7">
        <v>46211</v>
      </c>
      <c r="O57" s="8" t="s">
        <v>4</v>
      </c>
      <c r="P57" s="8" t="s">
        <v>3045</v>
      </c>
      <c r="Q57" s="8" t="s">
        <v>68</v>
      </c>
      <c r="R57" s="8" t="s">
        <v>69</v>
      </c>
      <c r="S57" s="8" t="s">
        <v>3046</v>
      </c>
      <c r="T57" s="9">
        <v>108</v>
      </c>
      <c r="U57" s="9">
        <v>15984</v>
      </c>
      <c r="V57" s="9"/>
      <c r="W57" s="8" t="s">
        <v>3305</v>
      </c>
      <c r="X57" s="8">
        <v>15984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 t="s">
        <v>2351</v>
      </c>
      <c r="AI57" s="8" t="s">
        <v>3</v>
      </c>
      <c r="AJ57" s="8">
        <v>39201019</v>
      </c>
      <c r="AK57" s="8" t="s">
        <v>60</v>
      </c>
      <c r="AL57" s="8">
        <v>1</v>
      </c>
      <c r="AM57" s="8">
        <v>108</v>
      </c>
      <c r="AN57" s="8" t="s">
        <v>1905</v>
      </c>
    </row>
    <row r="58" spans="1:40" ht="15" customHeight="1">
      <c r="A58"/>
      <c r="B58"/>
      <c r="C58" s="344"/>
      <c r="D58" s="344"/>
      <c r="E58" s="344"/>
      <c r="F58" s="344"/>
      <c r="G58" s="344"/>
      <c r="H58" s="7">
        <v>46211</v>
      </c>
      <c r="I58" s="8" t="s">
        <v>61</v>
      </c>
      <c r="J58" s="8" t="s">
        <v>56</v>
      </c>
      <c r="K58" s="6">
        <v>202</v>
      </c>
      <c r="L58" s="8" t="s">
        <v>1663</v>
      </c>
      <c r="M58" s="8" t="s">
        <v>3306</v>
      </c>
      <c r="N58" s="7">
        <v>46211</v>
      </c>
      <c r="O58" s="8" t="s">
        <v>15</v>
      </c>
      <c r="P58" s="8" t="s">
        <v>57</v>
      </c>
      <c r="Q58" s="8" t="s">
        <v>57</v>
      </c>
      <c r="R58" s="8" t="s">
        <v>58</v>
      </c>
      <c r="S58" s="8" t="s">
        <v>16</v>
      </c>
      <c r="T58" s="9">
        <v>1578</v>
      </c>
      <c r="U58" s="9">
        <v>298099.98</v>
      </c>
      <c r="V58" s="9"/>
      <c r="W58" s="8" t="s">
        <v>3307</v>
      </c>
      <c r="X58" s="8">
        <v>351459.88</v>
      </c>
      <c r="Y58" s="8">
        <v>9</v>
      </c>
      <c r="Z58" s="8">
        <v>26829</v>
      </c>
      <c r="AA58" s="8">
        <v>9</v>
      </c>
      <c r="AB58" s="8">
        <v>26829</v>
      </c>
      <c r="AC58" s="8">
        <v>0</v>
      </c>
      <c r="AD58" s="8">
        <v>0</v>
      </c>
      <c r="AE58" s="8">
        <v>0</v>
      </c>
      <c r="AF58" s="8">
        <v>53658</v>
      </c>
      <c r="AG58" s="8">
        <v>0</v>
      </c>
      <c r="AH58" s="8" t="s">
        <v>65</v>
      </c>
      <c r="AI58" s="8" t="s">
        <v>3</v>
      </c>
      <c r="AJ58" s="8">
        <v>63053200</v>
      </c>
      <c r="AK58" s="8" t="s">
        <v>60</v>
      </c>
      <c r="AL58" s="8">
        <v>1</v>
      </c>
      <c r="AM58" s="8">
        <v>1578</v>
      </c>
      <c r="AN58" s="8" t="s">
        <v>1905</v>
      </c>
    </row>
    <row r="59" spans="1:40" ht="15" customHeight="1">
      <c r="A59"/>
      <c r="B59"/>
      <c r="C59" s="344"/>
      <c r="D59" s="344"/>
      <c r="E59" s="344"/>
      <c r="F59" s="344"/>
      <c r="G59" s="344"/>
      <c r="H59" s="7">
        <v>46211</v>
      </c>
      <c r="I59" s="8" t="s">
        <v>61</v>
      </c>
      <c r="J59" s="8" t="s">
        <v>56</v>
      </c>
      <c r="K59" s="6">
        <v>203</v>
      </c>
      <c r="L59" s="8" t="s">
        <v>75</v>
      </c>
      <c r="M59" s="8" t="s">
        <v>3308</v>
      </c>
      <c r="N59" s="7">
        <v>46211</v>
      </c>
      <c r="O59" s="8" t="s">
        <v>2</v>
      </c>
      <c r="P59" s="8" t="s">
        <v>67</v>
      </c>
      <c r="Q59" s="8" t="s">
        <v>68</v>
      </c>
      <c r="R59" s="8" t="s">
        <v>69</v>
      </c>
      <c r="S59" s="8" t="s">
        <v>70</v>
      </c>
      <c r="T59" s="9">
        <v>473</v>
      </c>
      <c r="U59" s="9">
        <v>22704</v>
      </c>
      <c r="V59" s="9"/>
      <c r="W59" s="8" t="s">
        <v>558</v>
      </c>
      <c r="X59" s="8">
        <v>26768.02</v>
      </c>
      <c r="Y59" s="8">
        <v>9</v>
      </c>
      <c r="Z59" s="8">
        <v>2043.36</v>
      </c>
      <c r="AA59" s="8">
        <v>9</v>
      </c>
      <c r="AB59" s="8">
        <v>2043.36</v>
      </c>
      <c r="AC59" s="8">
        <v>0</v>
      </c>
      <c r="AD59" s="8">
        <v>0</v>
      </c>
      <c r="AE59" s="8">
        <v>0</v>
      </c>
      <c r="AF59" s="8">
        <v>4086.72</v>
      </c>
      <c r="AG59" s="8">
        <v>0</v>
      </c>
      <c r="AH59" s="8" t="s">
        <v>65</v>
      </c>
      <c r="AI59" s="8" t="s">
        <v>3</v>
      </c>
      <c r="AJ59" s="8">
        <v>73063090</v>
      </c>
      <c r="AK59" s="8" t="s">
        <v>60</v>
      </c>
      <c r="AL59" s="8">
        <v>1</v>
      </c>
      <c r="AM59" s="8">
        <v>473</v>
      </c>
      <c r="AN59" s="8" t="s">
        <v>1905</v>
      </c>
    </row>
    <row r="60" spans="1:40" ht="15" customHeight="1">
      <c r="A60"/>
      <c r="B60"/>
      <c r="C60" s="344"/>
      <c r="D60" s="344"/>
      <c r="E60" s="344"/>
      <c r="F60" s="344"/>
      <c r="G60" s="344"/>
      <c r="H60" s="7">
        <v>46211</v>
      </c>
      <c r="I60" s="8" t="s">
        <v>2352</v>
      </c>
      <c r="J60" s="8" t="s">
        <v>2188</v>
      </c>
      <c r="K60" s="6" t="s">
        <v>3309</v>
      </c>
      <c r="L60" s="8" t="s">
        <v>2286</v>
      </c>
      <c r="M60" s="8" t="s">
        <v>3309</v>
      </c>
      <c r="N60" s="7">
        <v>46211</v>
      </c>
      <c r="O60" s="8" t="s">
        <v>15</v>
      </c>
      <c r="P60" s="8" t="s">
        <v>57</v>
      </c>
      <c r="Q60" s="8" t="s">
        <v>57</v>
      </c>
      <c r="R60" s="8" t="s">
        <v>58</v>
      </c>
      <c r="S60" s="8" t="s">
        <v>16</v>
      </c>
      <c r="T60" s="9">
        <v>15803</v>
      </c>
      <c r="U60" s="9">
        <v>2707926.88</v>
      </c>
      <c r="V60" s="9"/>
      <c r="W60" s="8" t="s">
        <v>2349</v>
      </c>
      <c r="X60" s="8">
        <v>3202057.3</v>
      </c>
      <c r="Y60" s="8">
        <v>0</v>
      </c>
      <c r="Z60" s="8">
        <v>0</v>
      </c>
      <c r="AA60" s="8">
        <v>0</v>
      </c>
      <c r="AB60" s="8">
        <v>0</v>
      </c>
      <c r="AC60" s="8">
        <v>18</v>
      </c>
      <c r="AD60" s="8">
        <v>487426.81390000001</v>
      </c>
      <c r="AE60" s="8">
        <v>0.23</v>
      </c>
      <c r="AF60" s="8">
        <v>487427.04389999999</v>
      </c>
      <c r="AG60" s="8">
        <v>0</v>
      </c>
      <c r="AH60" s="8" t="s">
        <v>2204</v>
      </c>
      <c r="AI60" s="8" t="s">
        <v>3</v>
      </c>
      <c r="AJ60" s="8">
        <v>63053200</v>
      </c>
      <c r="AK60" s="8" t="s">
        <v>2353</v>
      </c>
      <c r="AL60" s="8">
        <v>126.1</v>
      </c>
      <c r="AM60" s="8">
        <v>15803</v>
      </c>
      <c r="AN60" s="8" t="s">
        <v>2354</v>
      </c>
    </row>
    <row r="61" spans="1:40" ht="15" customHeight="1">
      <c r="A61"/>
      <c r="B61"/>
      <c r="C61" s="344"/>
      <c r="D61" s="344"/>
      <c r="E61" s="344"/>
      <c r="F61" s="344"/>
      <c r="G61" s="344"/>
      <c r="H61" s="7">
        <v>46242</v>
      </c>
      <c r="I61" s="8" t="s">
        <v>61</v>
      </c>
      <c r="J61" s="8" t="s">
        <v>56</v>
      </c>
      <c r="K61" s="6">
        <v>205</v>
      </c>
      <c r="L61" s="8" t="s">
        <v>2180</v>
      </c>
      <c r="M61" s="8" t="s">
        <v>3310</v>
      </c>
      <c r="N61" s="7">
        <v>46242</v>
      </c>
      <c r="O61" s="8" t="s">
        <v>13</v>
      </c>
      <c r="P61" s="8" t="s">
        <v>71</v>
      </c>
      <c r="Q61" s="8" t="s">
        <v>71</v>
      </c>
      <c r="R61" s="8" t="s">
        <v>72</v>
      </c>
      <c r="S61" s="8" t="s">
        <v>22</v>
      </c>
      <c r="T61" s="9">
        <v>2791</v>
      </c>
      <c r="U61" s="9">
        <v>33492</v>
      </c>
      <c r="V61" s="9"/>
      <c r="W61" s="8" t="s">
        <v>22</v>
      </c>
      <c r="X61" s="8">
        <v>40310.97</v>
      </c>
      <c r="Y61" s="8">
        <v>9</v>
      </c>
      <c r="Z61" s="8">
        <v>3014.28</v>
      </c>
      <c r="AA61" s="8">
        <v>9</v>
      </c>
      <c r="AB61" s="8">
        <v>3014.28</v>
      </c>
      <c r="AC61" s="8">
        <v>0</v>
      </c>
      <c r="AD61" s="8">
        <v>0</v>
      </c>
      <c r="AE61" s="8">
        <v>0</v>
      </c>
      <c r="AF61" s="8">
        <v>6028.56</v>
      </c>
      <c r="AG61" s="8">
        <v>790.41</v>
      </c>
      <c r="AH61" s="8" t="s">
        <v>65</v>
      </c>
      <c r="AI61" s="8" t="s">
        <v>3</v>
      </c>
      <c r="AJ61" s="8">
        <v>39159029</v>
      </c>
      <c r="AK61" s="8" t="s">
        <v>60</v>
      </c>
      <c r="AL61" s="8">
        <v>1</v>
      </c>
      <c r="AM61" s="8">
        <v>2791</v>
      </c>
      <c r="AN61" s="8" t="s">
        <v>1905</v>
      </c>
    </row>
    <row r="62" spans="1:40" ht="15" customHeight="1">
      <c r="A62"/>
      <c r="B62"/>
      <c r="C62" s="344"/>
      <c r="D62" s="344"/>
      <c r="E62" s="344"/>
      <c r="F62" s="344"/>
      <c r="G62" s="344"/>
      <c r="H62" s="7">
        <v>46242</v>
      </c>
      <c r="I62" s="8" t="s">
        <v>61</v>
      </c>
      <c r="J62" s="8" t="s">
        <v>56</v>
      </c>
      <c r="K62" s="6">
        <v>206</v>
      </c>
      <c r="L62" s="8" t="s">
        <v>75</v>
      </c>
      <c r="M62" s="8" t="s">
        <v>3311</v>
      </c>
      <c r="N62" s="7">
        <v>46242</v>
      </c>
      <c r="O62" s="8" t="s">
        <v>15</v>
      </c>
      <c r="P62" s="8" t="s">
        <v>2076</v>
      </c>
      <c r="Q62" s="8" t="s">
        <v>2076</v>
      </c>
      <c r="R62" s="344" t="s">
        <v>2076</v>
      </c>
      <c r="S62" s="8" t="s">
        <v>64</v>
      </c>
      <c r="T62" s="9">
        <v>749</v>
      </c>
      <c r="U62" s="9">
        <v>20972</v>
      </c>
      <c r="V62" s="9">
        <f>+U62/T62</f>
        <v>28</v>
      </c>
      <c r="W62" s="8" t="s">
        <v>2315</v>
      </c>
      <c r="X62" s="8">
        <v>24725.99</v>
      </c>
      <c r="Y62" s="8">
        <v>9</v>
      </c>
      <c r="Z62" s="8">
        <v>1887.48</v>
      </c>
      <c r="AA62" s="8">
        <v>9</v>
      </c>
      <c r="AB62" s="8">
        <v>1887.48</v>
      </c>
      <c r="AC62" s="8">
        <v>0</v>
      </c>
      <c r="AD62" s="8">
        <v>0</v>
      </c>
      <c r="AE62" s="8">
        <v>0</v>
      </c>
      <c r="AF62" s="8">
        <v>3774.96</v>
      </c>
      <c r="AG62" s="8">
        <v>0</v>
      </c>
      <c r="AH62" s="8" t="s">
        <v>65</v>
      </c>
      <c r="AI62" s="8" t="s">
        <v>3</v>
      </c>
      <c r="AJ62" s="8">
        <v>39269080</v>
      </c>
      <c r="AK62" s="8" t="s">
        <v>60</v>
      </c>
      <c r="AL62" s="8">
        <v>1</v>
      </c>
      <c r="AM62" s="8">
        <v>749</v>
      </c>
      <c r="AN62" s="8" t="s">
        <v>1905</v>
      </c>
    </row>
    <row r="63" spans="1:40" ht="15" customHeight="1">
      <c r="A63"/>
      <c r="B63"/>
      <c r="C63" s="344"/>
      <c r="D63" s="344"/>
      <c r="E63" s="344"/>
      <c r="F63" s="344"/>
      <c r="G63" s="344"/>
      <c r="H63" s="7">
        <v>46242</v>
      </c>
      <c r="I63" s="8" t="s">
        <v>61</v>
      </c>
      <c r="J63" s="8" t="s">
        <v>56</v>
      </c>
      <c r="K63" s="6">
        <v>207</v>
      </c>
      <c r="L63" s="8" t="s">
        <v>1663</v>
      </c>
      <c r="M63" s="8" t="s">
        <v>3312</v>
      </c>
      <c r="N63" s="7">
        <v>46242</v>
      </c>
      <c r="O63" s="8" t="s">
        <v>15</v>
      </c>
      <c r="P63" s="8" t="s">
        <v>57</v>
      </c>
      <c r="Q63" s="8" t="s">
        <v>57</v>
      </c>
      <c r="R63" s="344" t="s">
        <v>58</v>
      </c>
      <c r="S63" s="8" t="s">
        <v>16</v>
      </c>
      <c r="T63" s="9">
        <v>19408</v>
      </c>
      <c r="U63" s="9">
        <v>3680339.04</v>
      </c>
      <c r="V63" s="9"/>
      <c r="W63" s="8" t="s">
        <v>2127</v>
      </c>
      <c r="X63" s="8">
        <v>5060081.3499999996</v>
      </c>
      <c r="Y63" s="8">
        <v>9</v>
      </c>
      <c r="Z63" s="8">
        <v>331230.51</v>
      </c>
      <c r="AA63" s="8">
        <v>9</v>
      </c>
      <c r="AB63" s="8">
        <v>331230.51</v>
      </c>
      <c r="AC63" s="8">
        <v>0</v>
      </c>
      <c r="AD63" s="8">
        <v>0</v>
      </c>
      <c r="AE63" s="8">
        <v>0</v>
      </c>
      <c r="AF63" s="8">
        <v>662461.02</v>
      </c>
      <c r="AG63" s="8">
        <v>0</v>
      </c>
      <c r="AH63" s="8" t="s">
        <v>65</v>
      </c>
      <c r="AI63" s="8" t="s">
        <v>3</v>
      </c>
      <c r="AJ63" s="8">
        <v>63053200</v>
      </c>
      <c r="AK63" s="8" t="s">
        <v>60</v>
      </c>
      <c r="AL63" s="8">
        <v>1</v>
      </c>
      <c r="AM63" s="8">
        <v>19408</v>
      </c>
      <c r="AN63" s="8" t="s">
        <v>1905</v>
      </c>
    </row>
    <row r="64" spans="1:40" ht="15" customHeight="1">
      <c r="A64"/>
      <c r="B64"/>
      <c r="C64" s="344"/>
      <c r="D64" s="344"/>
      <c r="E64" s="344"/>
      <c r="F64" s="344"/>
      <c r="G64" s="344"/>
      <c r="H64" s="7">
        <v>46242</v>
      </c>
      <c r="I64" s="8" t="s">
        <v>61</v>
      </c>
      <c r="J64" s="8" t="s">
        <v>56</v>
      </c>
      <c r="K64" s="6">
        <v>207</v>
      </c>
      <c r="L64" s="8" t="s">
        <v>1663</v>
      </c>
      <c r="M64" s="8" t="s">
        <v>3312</v>
      </c>
      <c r="N64" s="7">
        <v>46242</v>
      </c>
      <c r="O64" s="8" t="s">
        <v>15</v>
      </c>
      <c r="P64" s="8" t="s">
        <v>57</v>
      </c>
      <c r="Q64" s="8" t="s">
        <v>57</v>
      </c>
      <c r="R64" s="8" t="s">
        <v>58</v>
      </c>
      <c r="S64" s="8" t="s">
        <v>16</v>
      </c>
      <c r="T64" s="9">
        <v>3949</v>
      </c>
      <c r="U64" s="9">
        <v>611502.65</v>
      </c>
      <c r="V64" s="9"/>
      <c r="W64" s="8" t="s">
        <v>2127</v>
      </c>
      <c r="X64" s="8">
        <v>0</v>
      </c>
      <c r="Y64" s="8">
        <v>9</v>
      </c>
      <c r="Z64" s="8">
        <v>55035.24</v>
      </c>
      <c r="AA64" s="8">
        <v>9</v>
      </c>
      <c r="AB64" s="8">
        <v>55035.24</v>
      </c>
      <c r="AC64" s="8">
        <v>0</v>
      </c>
      <c r="AD64" s="8">
        <v>0</v>
      </c>
      <c r="AE64" s="8">
        <v>0</v>
      </c>
      <c r="AF64" s="8">
        <v>110070.48</v>
      </c>
      <c r="AG64" s="8">
        <v>0</v>
      </c>
      <c r="AH64" s="8" t="s">
        <v>65</v>
      </c>
      <c r="AI64" s="8" t="s">
        <v>3</v>
      </c>
      <c r="AJ64" s="8">
        <v>63053200</v>
      </c>
      <c r="AK64" s="8" t="s">
        <v>60</v>
      </c>
      <c r="AL64" s="8">
        <v>1</v>
      </c>
      <c r="AM64" s="8">
        <v>3949</v>
      </c>
      <c r="AN64" s="8" t="s">
        <v>1905</v>
      </c>
    </row>
    <row r="65" spans="1:40" ht="15" customHeight="1">
      <c r="A65"/>
      <c r="B65"/>
      <c r="C65" s="344"/>
      <c r="D65" s="344"/>
      <c r="E65" s="344"/>
      <c r="F65" s="344"/>
      <c r="G65" s="344"/>
      <c r="H65" s="7">
        <v>46242</v>
      </c>
      <c r="I65" s="8" t="s">
        <v>61</v>
      </c>
      <c r="J65" s="8" t="s">
        <v>56</v>
      </c>
      <c r="K65" s="6">
        <v>208</v>
      </c>
      <c r="L65" s="8" t="s">
        <v>75</v>
      </c>
      <c r="M65" s="8" t="s">
        <v>3313</v>
      </c>
      <c r="N65" s="7">
        <v>46242</v>
      </c>
      <c r="O65" s="8" t="s">
        <v>15</v>
      </c>
      <c r="P65" s="8" t="s">
        <v>2076</v>
      </c>
      <c r="Q65" s="8" t="s">
        <v>2076</v>
      </c>
      <c r="R65" s="344" t="s">
        <v>2076</v>
      </c>
      <c r="S65" s="8" t="s">
        <v>79</v>
      </c>
      <c r="T65" s="9">
        <v>92</v>
      </c>
      <c r="U65" s="9">
        <v>13277.44</v>
      </c>
      <c r="V65" s="9">
        <f>+U65/T65</f>
        <v>144.32</v>
      </c>
      <c r="W65" s="8" t="s">
        <v>3314</v>
      </c>
      <c r="X65" s="8">
        <v>15654.1</v>
      </c>
      <c r="Y65" s="8">
        <v>9</v>
      </c>
      <c r="Z65" s="8">
        <v>1194.97</v>
      </c>
      <c r="AA65" s="8">
        <v>9</v>
      </c>
      <c r="AB65" s="8">
        <v>1194.97</v>
      </c>
      <c r="AC65" s="8">
        <v>0</v>
      </c>
      <c r="AD65" s="8">
        <v>0</v>
      </c>
      <c r="AE65" s="8">
        <v>0</v>
      </c>
      <c r="AF65" s="8">
        <v>2389.94</v>
      </c>
      <c r="AG65" s="8">
        <v>0</v>
      </c>
      <c r="AH65" s="8" t="s">
        <v>65</v>
      </c>
      <c r="AI65" s="8" t="s">
        <v>3</v>
      </c>
      <c r="AJ65" s="8">
        <v>39269080</v>
      </c>
      <c r="AK65" s="8" t="s">
        <v>60</v>
      </c>
      <c r="AL65" s="8">
        <v>1</v>
      </c>
      <c r="AM65" s="8">
        <v>92</v>
      </c>
      <c r="AN65" s="8" t="s">
        <v>1905</v>
      </c>
    </row>
    <row r="66" spans="1:40" ht="12.75" customHeight="1">
      <c r="C66" s="344"/>
      <c r="D66" s="344"/>
      <c r="E66" s="344"/>
      <c r="F66" s="344"/>
      <c r="G66" s="344"/>
      <c r="H66" s="7">
        <v>46242</v>
      </c>
      <c r="I66" s="8" t="s">
        <v>61</v>
      </c>
      <c r="J66" s="8" t="s">
        <v>56</v>
      </c>
      <c r="K66" s="6">
        <v>209</v>
      </c>
      <c r="L66" s="8" t="s">
        <v>75</v>
      </c>
      <c r="M66" s="8" t="s">
        <v>3315</v>
      </c>
      <c r="N66" s="7">
        <v>46242</v>
      </c>
      <c r="O66" s="8" t="s">
        <v>2</v>
      </c>
      <c r="P66" s="8" t="s">
        <v>67</v>
      </c>
      <c r="Q66" s="8" t="s">
        <v>68</v>
      </c>
      <c r="R66" s="8" t="s">
        <v>69</v>
      </c>
      <c r="S66" s="8" t="s">
        <v>70</v>
      </c>
      <c r="T66" s="9">
        <v>487</v>
      </c>
      <c r="U66" s="9">
        <v>23376</v>
      </c>
      <c r="V66" s="9"/>
      <c r="W66" s="8" t="s">
        <v>558</v>
      </c>
      <c r="X66" s="8">
        <v>27560.3</v>
      </c>
      <c r="Y66" s="8">
        <v>9</v>
      </c>
      <c r="Z66" s="8">
        <v>2103.84</v>
      </c>
      <c r="AA66" s="8">
        <v>9</v>
      </c>
      <c r="AB66" s="8">
        <v>2103.84</v>
      </c>
      <c r="AC66" s="8">
        <v>0</v>
      </c>
      <c r="AD66" s="8">
        <v>0</v>
      </c>
      <c r="AE66" s="8">
        <v>0</v>
      </c>
      <c r="AF66" s="8">
        <v>4207.68</v>
      </c>
      <c r="AG66" s="8">
        <v>0</v>
      </c>
      <c r="AH66" s="8" t="s">
        <v>65</v>
      </c>
      <c r="AI66" s="8" t="s">
        <v>3</v>
      </c>
      <c r="AJ66" s="8">
        <v>73063090</v>
      </c>
      <c r="AK66" s="8" t="s">
        <v>60</v>
      </c>
      <c r="AL66" s="8">
        <v>1</v>
      </c>
      <c r="AM66" s="8">
        <v>487</v>
      </c>
      <c r="AN66" s="8" t="s">
        <v>1905</v>
      </c>
    </row>
    <row r="67" spans="1:40" ht="12.75" customHeight="1">
      <c r="C67" s="344"/>
      <c r="D67" s="344"/>
      <c r="E67" s="344"/>
      <c r="F67" s="344"/>
      <c r="G67" s="344"/>
      <c r="H67" s="7">
        <v>46242</v>
      </c>
      <c r="I67" s="8" t="s">
        <v>61</v>
      </c>
      <c r="J67" s="8" t="s">
        <v>56</v>
      </c>
      <c r="K67" s="6">
        <v>210</v>
      </c>
      <c r="L67" s="8" t="s">
        <v>2180</v>
      </c>
      <c r="M67" s="8" t="s">
        <v>3316</v>
      </c>
      <c r="N67" s="7">
        <v>46242</v>
      </c>
      <c r="O67" s="8" t="s">
        <v>13</v>
      </c>
      <c r="P67" s="8" t="s">
        <v>71</v>
      </c>
      <c r="Q67" s="8" t="s">
        <v>71</v>
      </c>
      <c r="R67" s="8" t="s">
        <v>72</v>
      </c>
      <c r="S67" s="8" t="s">
        <v>22</v>
      </c>
      <c r="T67" s="9">
        <v>4174</v>
      </c>
      <c r="U67" s="9">
        <v>50088</v>
      </c>
      <c r="V67" s="9"/>
      <c r="W67" s="8" t="s">
        <v>22</v>
      </c>
      <c r="X67" s="8">
        <v>60285.919999999998</v>
      </c>
      <c r="Y67" s="8">
        <v>9</v>
      </c>
      <c r="Z67" s="8">
        <v>4507.92</v>
      </c>
      <c r="AA67" s="8">
        <v>9</v>
      </c>
      <c r="AB67" s="8">
        <v>4507.92</v>
      </c>
      <c r="AC67" s="8">
        <v>0</v>
      </c>
      <c r="AD67" s="8">
        <v>0</v>
      </c>
      <c r="AE67" s="8">
        <v>0</v>
      </c>
      <c r="AF67" s="8">
        <v>9015.84</v>
      </c>
      <c r="AG67" s="8">
        <v>1182.08</v>
      </c>
      <c r="AH67" s="8" t="s">
        <v>65</v>
      </c>
      <c r="AI67" s="8" t="s">
        <v>3</v>
      </c>
      <c r="AJ67" s="8">
        <v>39159029</v>
      </c>
      <c r="AK67" s="8" t="s">
        <v>60</v>
      </c>
      <c r="AL67" s="8">
        <v>1</v>
      </c>
      <c r="AM67" s="8">
        <v>4174</v>
      </c>
      <c r="AN67" s="8" t="s">
        <v>1905</v>
      </c>
    </row>
    <row r="68" spans="1:40" ht="12.75" customHeight="1">
      <c r="C68" s="344"/>
      <c r="D68" s="344"/>
      <c r="E68" s="344"/>
      <c r="F68" s="344"/>
      <c r="G68" s="344"/>
      <c r="H68" s="7">
        <v>46242</v>
      </c>
      <c r="I68" s="8" t="s">
        <v>61</v>
      </c>
      <c r="J68" s="8" t="s">
        <v>56</v>
      </c>
      <c r="K68" s="6">
        <v>211</v>
      </c>
      <c r="L68" s="8" t="s">
        <v>75</v>
      </c>
      <c r="M68" s="8" t="s">
        <v>3317</v>
      </c>
      <c r="N68" s="7">
        <v>46242</v>
      </c>
      <c r="O68" s="8" t="s">
        <v>15</v>
      </c>
      <c r="P68" s="8" t="s">
        <v>2076</v>
      </c>
      <c r="Q68" s="8" t="s">
        <v>2076</v>
      </c>
      <c r="R68" s="344" t="s">
        <v>2076</v>
      </c>
      <c r="S68" s="8" t="s">
        <v>79</v>
      </c>
      <c r="T68" s="9">
        <v>736</v>
      </c>
      <c r="U68" s="9">
        <v>20608</v>
      </c>
      <c r="V68" s="9">
        <f>+U68/T68</f>
        <v>28</v>
      </c>
      <c r="W68" s="8" t="s">
        <v>2315</v>
      </c>
      <c r="X68" s="8">
        <v>24296.83</v>
      </c>
      <c r="Y68" s="8">
        <v>9</v>
      </c>
      <c r="Z68" s="8">
        <v>1854.72</v>
      </c>
      <c r="AA68" s="8">
        <v>9</v>
      </c>
      <c r="AB68" s="8">
        <v>1854.72</v>
      </c>
      <c r="AC68" s="8">
        <v>0</v>
      </c>
      <c r="AD68" s="8">
        <v>0</v>
      </c>
      <c r="AE68" s="8">
        <v>0</v>
      </c>
      <c r="AF68" s="8">
        <v>3709.44</v>
      </c>
      <c r="AG68" s="8">
        <v>0</v>
      </c>
      <c r="AH68" s="8" t="s">
        <v>65</v>
      </c>
      <c r="AI68" s="8" t="s">
        <v>3</v>
      </c>
      <c r="AJ68" s="8">
        <v>39269080</v>
      </c>
      <c r="AK68" s="8" t="s">
        <v>60</v>
      </c>
      <c r="AL68" s="8">
        <v>1</v>
      </c>
      <c r="AM68" s="8">
        <v>736</v>
      </c>
      <c r="AN68" s="8" t="s">
        <v>1905</v>
      </c>
    </row>
    <row r="69" spans="1:40" ht="12.75" customHeight="1">
      <c r="C69" s="344"/>
      <c r="D69" s="344"/>
      <c r="E69" s="344"/>
      <c r="F69" s="344"/>
      <c r="G69" s="344"/>
      <c r="H69" s="7">
        <v>46242</v>
      </c>
      <c r="I69" s="8" t="s">
        <v>73</v>
      </c>
      <c r="J69" s="8" t="s">
        <v>56</v>
      </c>
      <c r="K69" s="6">
        <v>204</v>
      </c>
      <c r="L69" s="8" t="s">
        <v>1663</v>
      </c>
      <c r="M69" s="8" t="s">
        <v>3318</v>
      </c>
      <c r="N69" s="7">
        <v>46242</v>
      </c>
      <c r="O69" s="8" t="s">
        <v>15</v>
      </c>
      <c r="P69" s="8" t="s">
        <v>57</v>
      </c>
      <c r="Q69" s="8" t="s">
        <v>57</v>
      </c>
      <c r="R69" s="8" t="s">
        <v>58</v>
      </c>
      <c r="S69" s="8" t="s">
        <v>14</v>
      </c>
      <c r="T69" s="9">
        <v>3171</v>
      </c>
      <c r="U69" s="9">
        <v>800265.27</v>
      </c>
      <c r="V69" s="9"/>
      <c r="W69" s="8" t="s">
        <v>3319</v>
      </c>
      <c r="X69" s="8">
        <v>1680173.95</v>
      </c>
      <c r="Y69" s="8">
        <v>9</v>
      </c>
      <c r="Z69" s="8">
        <v>72023.87</v>
      </c>
      <c r="AA69" s="8">
        <v>9</v>
      </c>
      <c r="AB69" s="8">
        <v>72023.87</v>
      </c>
      <c r="AC69" s="8">
        <v>0</v>
      </c>
      <c r="AD69" s="8">
        <v>0</v>
      </c>
      <c r="AE69" s="8">
        <v>0</v>
      </c>
      <c r="AF69" s="8">
        <v>144047.74</v>
      </c>
      <c r="AG69" s="8">
        <v>0</v>
      </c>
      <c r="AH69" s="8" t="s">
        <v>74</v>
      </c>
      <c r="AI69" s="8" t="s">
        <v>3</v>
      </c>
      <c r="AJ69" s="8">
        <v>63053200</v>
      </c>
      <c r="AK69" s="8" t="s">
        <v>60</v>
      </c>
      <c r="AL69" s="8">
        <v>1</v>
      </c>
      <c r="AM69" s="8">
        <v>3171</v>
      </c>
      <c r="AN69" s="8" t="s">
        <v>1905</v>
      </c>
    </row>
    <row r="70" spans="1:40" ht="12.75" customHeight="1">
      <c r="C70" s="344"/>
      <c r="D70" s="344"/>
      <c r="E70" s="344"/>
      <c r="F70" s="344"/>
      <c r="G70" s="344"/>
      <c r="H70" s="7">
        <v>46242</v>
      </c>
      <c r="I70" s="8" t="s">
        <v>73</v>
      </c>
      <c r="J70" s="8" t="s">
        <v>56</v>
      </c>
      <c r="K70" s="6">
        <v>204</v>
      </c>
      <c r="L70" s="8" t="s">
        <v>1663</v>
      </c>
      <c r="M70" s="8" t="s">
        <v>3318</v>
      </c>
      <c r="N70" s="7">
        <v>46242</v>
      </c>
      <c r="O70" s="8" t="s">
        <v>15</v>
      </c>
      <c r="P70" s="8" t="s">
        <v>57</v>
      </c>
      <c r="Q70" s="8" t="s">
        <v>57</v>
      </c>
      <c r="R70" s="8" t="s">
        <v>58</v>
      </c>
      <c r="S70" s="8" t="s">
        <v>14</v>
      </c>
      <c r="T70" s="9">
        <v>1633</v>
      </c>
      <c r="U70" s="9">
        <v>415369.88</v>
      </c>
      <c r="V70" s="9"/>
      <c r="W70" s="8" t="s">
        <v>3319</v>
      </c>
      <c r="X70" s="8">
        <v>0</v>
      </c>
      <c r="Y70" s="8">
        <v>9</v>
      </c>
      <c r="Z70" s="8">
        <v>37383.29</v>
      </c>
      <c r="AA70" s="8">
        <v>9</v>
      </c>
      <c r="AB70" s="8">
        <v>37383.29</v>
      </c>
      <c r="AC70" s="8">
        <v>0</v>
      </c>
      <c r="AD70" s="8">
        <v>0</v>
      </c>
      <c r="AE70" s="8">
        <v>0</v>
      </c>
      <c r="AF70" s="8">
        <v>74766.58</v>
      </c>
      <c r="AG70" s="8">
        <v>0</v>
      </c>
      <c r="AH70" s="8" t="s">
        <v>74</v>
      </c>
      <c r="AI70" s="8" t="s">
        <v>3</v>
      </c>
      <c r="AJ70" s="8">
        <v>63053200</v>
      </c>
      <c r="AK70" s="8" t="s">
        <v>60</v>
      </c>
      <c r="AL70" s="8">
        <v>1</v>
      </c>
      <c r="AM70" s="8">
        <v>1633</v>
      </c>
      <c r="AN70" s="8" t="s">
        <v>1905</v>
      </c>
    </row>
    <row r="71" spans="1:40" ht="12.75" customHeight="1">
      <c r="C71" s="344"/>
      <c r="D71" s="344"/>
      <c r="E71" s="344"/>
      <c r="F71" s="344"/>
      <c r="G71" s="344"/>
      <c r="H71" s="7">
        <v>46242</v>
      </c>
      <c r="I71" s="8" t="s">
        <v>73</v>
      </c>
      <c r="J71" s="8" t="s">
        <v>56</v>
      </c>
      <c r="K71" s="6">
        <v>204</v>
      </c>
      <c r="L71" s="8" t="s">
        <v>1663</v>
      </c>
      <c r="M71" s="8" t="s">
        <v>3318</v>
      </c>
      <c r="N71" s="7">
        <v>46242</v>
      </c>
      <c r="O71" s="8" t="s">
        <v>15</v>
      </c>
      <c r="P71" s="8" t="s">
        <v>57</v>
      </c>
      <c r="Q71" s="8" t="s">
        <v>57</v>
      </c>
      <c r="R71" s="8" t="s">
        <v>58</v>
      </c>
      <c r="S71" s="8" t="s">
        <v>14</v>
      </c>
      <c r="T71" s="9">
        <v>807</v>
      </c>
      <c r="U71" s="9">
        <v>209448.78</v>
      </c>
      <c r="V71" s="9"/>
      <c r="W71" s="8" t="s">
        <v>3319</v>
      </c>
      <c r="X71" s="8">
        <v>0</v>
      </c>
      <c r="Y71" s="8">
        <v>9</v>
      </c>
      <c r="Z71" s="8">
        <v>18850.39</v>
      </c>
      <c r="AA71" s="8">
        <v>9</v>
      </c>
      <c r="AB71" s="8">
        <v>18850.39</v>
      </c>
      <c r="AC71" s="8">
        <v>0</v>
      </c>
      <c r="AD71" s="8">
        <v>0</v>
      </c>
      <c r="AE71" s="8">
        <v>0</v>
      </c>
      <c r="AF71" s="8">
        <v>37700.78</v>
      </c>
      <c r="AG71" s="8">
        <v>0</v>
      </c>
      <c r="AH71" s="8" t="s">
        <v>74</v>
      </c>
      <c r="AI71" s="8" t="s">
        <v>3</v>
      </c>
      <c r="AJ71" s="8">
        <v>63053200</v>
      </c>
      <c r="AK71" s="8" t="s">
        <v>60</v>
      </c>
      <c r="AL71" s="8">
        <v>1</v>
      </c>
      <c r="AM71" s="8">
        <v>807</v>
      </c>
      <c r="AN71" s="8" t="s">
        <v>1905</v>
      </c>
    </row>
    <row r="72" spans="1:40" ht="12.75" customHeight="1">
      <c r="C72" s="344"/>
      <c r="D72" s="344"/>
      <c r="E72" s="344"/>
      <c r="F72" s="344"/>
      <c r="G72" s="344"/>
      <c r="H72" s="7">
        <v>46303</v>
      </c>
      <c r="I72" s="8" t="s">
        <v>61</v>
      </c>
      <c r="J72" s="8" t="s">
        <v>56</v>
      </c>
      <c r="K72" s="6">
        <v>212</v>
      </c>
      <c r="L72" s="8" t="s">
        <v>75</v>
      </c>
      <c r="M72" s="8" t="s">
        <v>3320</v>
      </c>
      <c r="N72" s="7">
        <v>46303</v>
      </c>
      <c r="O72" s="8" t="s">
        <v>2</v>
      </c>
      <c r="P72" s="8" t="s">
        <v>67</v>
      </c>
      <c r="Q72" s="8" t="s">
        <v>68</v>
      </c>
      <c r="R72" s="8" t="s">
        <v>69</v>
      </c>
      <c r="S72" s="8" t="s">
        <v>70</v>
      </c>
      <c r="T72" s="9">
        <v>693</v>
      </c>
      <c r="U72" s="9">
        <v>33264</v>
      </c>
      <c r="V72" s="9"/>
      <c r="W72" s="8" t="s">
        <v>558</v>
      </c>
      <c r="X72" s="8">
        <v>39218.26</v>
      </c>
      <c r="Y72" s="8">
        <v>9</v>
      </c>
      <c r="Z72" s="8">
        <v>2993.76</v>
      </c>
      <c r="AA72" s="8">
        <v>9</v>
      </c>
      <c r="AB72" s="8">
        <v>2993.76</v>
      </c>
      <c r="AC72" s="8">
        <v>0</v>
      </c>
      <c r="AD72" s="8">
        <v>0</v>
      </c>
      <c r="AE72" s="8">
        <v>0</v>
      </c>
      <c r="AF72" s="8">
        <v>5987.52</v>
      </c>
      <c r="AG72" s="8">
        <v>0</v>
      </c>
      <c r="AH72" s="8" t="s">
        <v>65</v>
      </c>
      <c r="AI72" s="8" t="s">
        <v>3</v>
      </c>
      <c r="AJ72" s="8">
        <v>73063090</v>
      </c>
      <c r="AK72" s="8" t="s">
        <v>60</v>
      </c>
      <c r="AL72" s="8">
        <v>1</v>
      </c>
      <c r="AM72" s="8">
        <v>693</v>
      </c>
      <c r="AN72" s="8" t="s">
        <v>1905</v>
      </c>
    </row>
    <row r="73" spans="1:40" ht="12.75" customHeight="1">
      <c r="C73" s="344"/>
      <c r="D73" s="344"/>
      <c r="E73" s="344"/>
      <c r="F73" s="344"/>
      <c r="G73" s="344"/>
      <c r="H73" s="7">
        <v>46303</v>
      </c>
      <c r="I73" s="8" t="s">
        <v>2226</v>
      </c>
      <c r="J73" s="8" t="s">
        <v>2188</v>
      </c>
      <c r="K73" s="6" t="s">
        <v>3321</v>
      </c>
      <c r="L73" s="8" t="s">
        <v>2286</v>
      </c>
      <c r="M73" s="8" t="s">
        <v>3321</v>
      </c>
      <c r="N73" s="7">
        <v>46303</v>
      </c>
      <c r="O73" s="8" t="s">
        <v>15</v>
      </c>
      <c r="P73" s="8" t="s">
        <v>57</v>
      </c>
      <c r="Q73" s="8" t="s">
        <v>57</v>
      </c>
      <c r="R73" s="8" t="s">
        <v>58</v>
      </c>
      <c r="S73" s="8" t="s">
        <v>14</v>
      </c>
      <c r="T73" s="9">
        <v>17520</v>
      </c>
      <c r="U73" s="9">
        <v>4771730.88</v>
      </c>
      <c r="V73" s="9"/>
      <c r="W73" s="8" t="s">
        <v>2227</v>
      </c>
      <c r="X73" s="8">
        <v>4771730.88</v>
      </c>
      <c r="Y73" s="8">
        <v>0</v>
      </c>
      <c r="Z73" s="8">
        <v>0</v>
      </c>
      <c r="AA73" s="8">
        <v>0</v>
      </c>
      <c r="AB73" s="8">
        <v>0</v>
      </c>
      <c r="AC73" s="8">
        <v>18</v>
      </c>
      <c r="AD73" s="8">
        <v>858911.55839999998</v>
      </c>
      <c r="AE73" s="8">
        <v>0</v>
      </c>
      <c r="AF73" s="8">
        <v>858911.55839999998</v>
      </c>
      <c r="AG73" s="8">
        <v>0</v>
      </c>
      <c r="AH73" s="8" t="s">
        <v>2204</v>
      </c>
      <c r="AI73" s="8" t="s">
        <v>3</v>
      </c>
      <c r="AJ73" s="8">
        <v>63053200</v>
      </c>
      <c r="AK73" s="8" t="s">
        <v>2189</v>
      </c>
      <c r="AL73" s="8">
        <v>94.3</v>
      </c>
      <c r="AM73" s="8">
        <v>17520</v>
      </c>
      <c r="AN73" s="8" t="s">
        <v>2228</v>
      </c>
    </row>
    <row r="74" spans="1:40" ht="12.75" customHeight="1">
      <c r="C74" s="344"/>
      <c r="D74" s="344"/>
      <c r="E74" s="344"/>
      <c r="F74" s="344"/>
      <c r="G74" s="344"/>
      <c r="H74" s="7">
        <v>46334</v>
      </c>
      <c r="I74" s="8" t="s">
        <v>78</v>
      </c>
      <c r="J74" s="8" t="s">
        <v>56</v>
      </c>
      <c r="K74" s="6" t="s">
        <v>3322</v>
      </c>
      <c r="L74" s="8" t="s">
        <v>75</v>
      </c>
      <c r="M74" s="8" t="s">
        <v>3322</v>
      </c>
      <c r="N74" s="7">
        <v>46334</v>
      </c>
      <c r="O74" s="8" t="s">
        <v>15</v>
      </c>
      <c r="P74" s="8" t="s">
        <v>2758</v>
      </c>
      <c r="Q74" s="8" t="s">
        <v>2759</v>
      </c>
      <c r="R74" s="8" t="s">
        <v>349</v>
      </c>
      <c r="S74" s="8" t="s">
        <v>2760</v>
      </c>
      <c r="T74" s="9">
        <v>3385.8</v>
      </c>
      <c r="U74" s="9">
        <v>515217.19</v>
      </c>
      <c r="V74" s="9"/>
      <c r="W74" s="8" t="s">
        <v>2760</v>
      </c>
      <c r="X74" s="8">
        <v>515217.19</v>
      </c>
      <c r="Y74" s="8">
        <v>0.05</v>
      </c>
      <c r="Z74" s="8">
        <v>257.61</v>
      </c>
      <c r="AA74" s="8">
        <v>0.05</v>
      </c>
      <c r="AB74" s="8">
        <v>257.61</v>
      </c>
      <c r="AC74" s="8">
        <v>0</v>
      </c>
      <c r="AD74" s="8">
        <v>0</v>
      </c>
      <c r="AE74" s="8">
        <v>0</v>
      </c>
      <c r="AF74" s="8">
        <v>515.22</v>
      </c>
      <c r="AG74" s="8">
        <v>0</v>
      </c>
      <c r="AH74" s="8" t="s">
        <v>59</v>
      </c>
      <c r="AI74" s="8" t="s">
        <v>3</v>
      </c>
      <c r="AJ74" s="8">
        <v>39232999</v>
      </c>
      <c r="AK74" s="8" t="s">
        <v>60</v>
      </c>
      <c r="AL74" s="8">
        <v>1</v>
      </c>
      <c r="AM74" s="8">
        <v>3385.8</v>
      </c>
      <c r="AN74" s="8" t="s">
        <v>1905</v>
      </c>
    </row>
    <row r="75" spans="1:40" ht="12.75" customHeight="1">
      <c r="C75" s="344"/>
      <c r="D75" s="344"/>
      <c r="E75" s="344"/>
      <c r="F75" s="344"/>
      <c r="G75" s="344"/>
      <c r="H75" s="7">
        <v>46334</v>
      </c>
      <c r="I75" s="8" t="s">
        <v>78</v>
      </c>
      <c r="J75" s="8" t="s">
        <v>56</v>
      </c>
      <c r="K75" s="6" t="s">
        <v>3323</v>
      </c>
      <c r="L75" s="8" t="s">
        <v>2288</v>
      </c>
      <c r="M75" s="8" t="s">
        <v>3323</v>
      </c>
      <c r="N75" s="7">
        <v>46334</v>
      </c>
      <c r="O75" s="8" t="s">
        <v>15</v>
      </c>
      <c r="P75" s="8" t="s">
        <v>57</v>
      </c>
      <c r="Q75" s="8" t="s">
        <v>57</v>
      </c>
      <c r="R75" s="8" t="s">
        <v>58</v>
      </c>
      <c r="S75" s="8" t="s">
        <v>16</v>
      </c>
      <c r="T75" s="9">
        <v>3217</v>
      </c>
      <c r="U75" s="9">
        <v>582727.38</v>
      </c>
      <c r="V75" s="9"/>
      <c r="W75" s="8" t="s">
        <v>2127</v>
      </c>
      <c r="X75" s="8">
        <v>3003635.32</v>
      </c>
      <c r="Y75" s="8">
        <v>0.05</v>
      </c>
      <c r="Z75" s="8">
        <v>291.36</v>
      </c>
      <c r="AA75" s="8">
        <v>0.05</v>
      </c>
      <c r="AB75" s="8">
        <v>291.36</v>
      </c>
      <c r="AC75" s="8">
        <v>0</v>
      </c>
      <c r="AD75" s="8">
        <v>0</v>
      </c>
      <c r="AE75" s="8">
        <v>0</v>
      </c>
      <c r="AF75" s="8">
        <v>582.72</v>
      </c>
      <c r="AG75" s="8">
        <v>0</v>
      </c>
      <c r="AH75" s="8" t="s">
        <v>59</v>
      </c>
      <c r="AI75" s="8" t="s">
        <v>3</v>
      </c>
      <c r="AJ75" s="8">
        <v>63053200</v>
      </c>
      <c r="AK75" s="8" t="s">
        <v>60</v>
      </c>
      <c r="AL75" s="8">
        <v>1</v>
      </c>
      <c r="AM75" s="8">
        <v>3217</v>
      </c>
      <c r="AN75" s="8" t="s">
        <v>1905</v>
      </c>
    </row>
    <row r="76" spans="1:40" ht="12.75" customHeight="1">
      <c r="C76" s="344"/>
      <c r="D76" s="344"/>
      <c r="E76" s="344"/>
      <c r="F76" s="344"/>
      <c r="G76" s="344"/>
      <c r="H76" s="390">
        <v>46334</v>
      </c>
      <c r="I76" s="344" t="s">
        <v>78</v>
      </c>
      <c r="J76" s="344" t="s">
        <v>56</v>
      </c>
      <c r="K76" s="10" t="s">
        <v>3323</v>
      </c>
      <c r="L76" s="344" t="s">
        <v>2288</v>
      </c>
      <c r="M76" s="344" t="s">
        <v>3323</v>
      </c>
      <c r="N76" s="390">
        <v>46334</v>
      </c>
      <c r="O76" s="344" t="s">
        <v>15</v>
      </c>
      <c r="P76" s="344" t="s">
        <v>57</v>
      </c>
      <c r="Q76" s="344" t="s">
        <v>57</v>
      </c>
      <c r="R76" s="8" t="s">
        <v>58</v>
      </c>
      <c r="S76" s="8" t="s">
        <v>16</v>
      </c>
      <c r="T76" s="347">
        <v>3047</v>
      </c>
      <c r="U76" s="347">
        <v>538404.9</v>
      </c>
      <c r="V76" s="347"/>
      <c r="W76" s="344" t="s">
        <v>2127</v>
      </c>
      <c r="X76" s="344">
        <v>0</v>
      </c>
      <c r="Y76" s="344">
        <v>0.05</v>
      </c>
      <c r="Z76" s="344">
        <v>269.2</v>
      </c>
      <c r="AA76" s="344">
        <v>0.05</v>
      </c>
      <c r="AB76" s="344">
        <v>269.2</v>
      </c>
      <c r="AC76" s="344">
        <v>0</v>
      </c>
      <c r="AD76" s="344">
        <v>0</v>
      </c>
      <c r="AE76" s="344">
        <v>0</v>
      </c>
      <c r="AF76" s="344">
        <v>538.4</v>
      </c>
      <c r="AG76" s="344">
        <v>0</v>
      </c>
      <c r="AH76" s="344" t="s">
        <v>59</v>
      </c>
      <c r="AI76" s="344" t="s">
        <v>3</v>
      </c>
      <c r="AJ76" s="344">
        <v>63053200</v>
      </c>
      <c r="AK76" s="344" t="s">
        <v>60</v>
      </c>
      <c r="AL76" s="344">
        <v>1</v>
      </c>
      <c r="AM76" s="344">
        <v>3047</v>
      </c>
      <c r="AN76" s="8" t="s">
        <v>1905</v>
      </c>
    </row>
    <row r="77" spans="1:40" ht="12.75" customHeight="1">
      <c r="C77" s="344"/>
      <c r="D77" s="344"/>
      <c r="E77" s="344"/>
      <c r="F77" s="344"/>
      <c r="G77" s="344"/>
      <c r="H77" s="390">
        <v>46334</v>
      </c>
      <c r="I77" s="344" t="s">
        <v>78</v>
      </c>
      <c r="J77" s="344" t="s">
        <v>56</v>
      </c>
      <c r="K77" s="10" t="s">
        <v>3323</v>
      </c>
      <c r="L77" s="344" t="s">
        <v>2288</v>
      </c>
      <c r="M77" s="344" t="s">
        <v>3323</v>
      </c>
      <c r="N77" s="390">
        <v>46334</v>
      </c>
      <c r="O77" s="344" t="s">
        <v>15</v>
      </c>
      <c r="P77" s="344" t="s">
        <v>57</v>
      </c>
      <c r="Q77" s="344" t="s">
        <v>57</v>
      </c>
      <c r="R77" s="8" t="s">
        <v>58</v>
      </c>
      <c r="S77" s="8" t="s">
        <v>16</v>
      </c>
      <c r="T77" s="347">
        <v>1595</v>
      </c>
      <c r="U77" s="347">
        <v>329590.8</v>
      </c>
      <c r="V77" s="347"/>
      <c r="W77" s="344" t="s">
        <v>3324</v>
      </c>
      <c r="X77" s="344">
        <v>0</v>
      </c>
      <c r="Y77" s="344">
        <v>0.05</v>
      </c>
      <c r="Z77" s="344">
        <v>164.8</v>
      </c>
      <c r="AA77" s="344">
        <v>0.05</v>
      </c>
      <c r="AB77" s="344">
        <v>164.8</v>
      </c>
      <c r="AC77" s="344">
        <v>0</v>
      </c>
      <c r="AD77" s="344">
        <v>0</v>
      </c>
      <c r="AE77" s="344">
        <v>0</v>
      </c>
      <c r="AF77" s="344">
        <v>329.6</v>
      </c>
      <c r="AG77" s="344">
        <v>0</v>
      </c>
      <c r="AH77" s="344" t="s">
        <v>59</v>
      </c>
      <c r="AI77" s="344" t="s">
        <v>3</v>
      </c>
      <c r="AJ77" s="344">
        <v>63053200</v>
      </c>
      <c r="AK77" s="344" t="s">
        <v>60</v>
      </c>
      <c r="AL77" s="344">
        <v>1</v>
      </c>
      <c r="AM77" s="344">
        <v>1595</v>
      </c>
      <c r="AN77" s="8" t="s">
        <v>1905</v>
      </c>
    </row>
    <row r="78" spans="1:40" ht="12.75" customHeight="1">
      <c r="C78" s="344"/>
      <c r="D78" s="344"/>
      <c r="E78" s="344"/>
      <c r="F78" s="344"/>
      <c r="G78" s="344"/>
      <c r="H78" s="390">
        <v>46334</v>
      </c>
      <c r="I78" s="344" t="s">
        <v>78</v>
      </c>
      <c r="J78" s="344" t="s">
        <v>56</v>
      </c>
      <c r="K78" s="10" t="s">
        <v>3323</v>
      </c>
      <c r="L78" s="344" t="s">
        <v>2288</v>
      </c>
      <c r="M78" s="344" t="s">
        <v>3323</v>
      </c>
      <c r="N78" s="390">
        <v>46334</v>
      </c>
      <c r="O78" s="344" t="s">
        <v>15</v>
      </c>
      <c r="P78" s="344" t="s">
        <v>57</v>
      </c>
      <c r="Q78" s="344" t="s">
        <v>57</v>
      </c>
      <c r="R78" s="8" t="s">
        <v>58</v>
      </c>
      <c r="S78" s="8" t="s">
        <v>16</v>
      </c>
      <c r="T78" s="347">
        <v>3043</v>
      </c>
      <c r="U78" s="347">
        <v>621502.31999999995</v>
      </c>
      <c r="V78" s="347"/>
      <c r="W78" s="344" t="s">
        <v>3325</v>
      </c>
      <c r="X78" s="344">
        <v>0</v>
      </c>
      <c r="Y78" s="344">
        <v>0.05</v>
      </c>
      <c r="Z78" s="344">
        <v>310.75</v>
      </c>
      <c r="AA78" s="344">
        <v>0.05</v>
      </c>
      <c r="AB78" s="344">
        <v>310.75</v>
      </c>
      <c r="AC78" s="344">
        <v>0</v>
      </c>
      <c r="AD78" s="344">
        <v>0</v>
      </c>
      <c r="AE78" s="344">
        <v>0</v>
      </c>
      <c r="AF78" s="344">
        <v>621.5</v>
      </c>
      <c r="AG78" s="344">
        <v>0</v>
      </c>
      <c r="AH78" s="344" t="s">
        <v>59</v>
      </c>
      <c r="AI78" s="344" t="s">
        <v>3</v>
      </c>
      <c r="AJ78" s="344">
        <v>63053200</v>
      </c>
      <c r="AK78" s="344" t="s">
        <v>60</v>
      </c>
      <c r="AL78" s="344">
        <v>1</v>
      </c>
      <c r="AM78" s="344">
        <v>3043</v>
      </c>
      <c r="AN78" s="8" t="s">
        <v>1905</v>
      </c>
    </row>
    <row r="79" spans="1:40" ht="12.75" customHeight="1">
      <c r="C79" s="344"/>
      <c r="D79" s="344"/>
      <c r="E79" s="344"/>
      <c r="F79" s="344"/>
      <c r="G79" s="344"/>
      <c r="H79" s="390">
        <v>46334</v>
      </c>
      <c r="I79" s="344" t="s">
        <v>78</v>
      </c>
      <c r="J79" s="344" t="s">
        <v>56</v>
      </c>
      <c r="K79" s="10" t="s">
        <v>3323</v>
      </c>
      <c r="L79" s="344" t="s">
        <v>2288</v>
      </c>
      <c r="M79" s="344" t="s">
        <v>3323</v>
      </c>
      <c r="N79" s="390">
        <v>46334</v>
      </c>
      <c r="O79" s="344" t="s">
        <v>15</v>
      </c>
      <c r="P79" s="344" t="s">
        <v>57</v>
      </c>
      <c r="Q79" s="344" t="s">
        <v>57</v>
      </c>
      <c r="R79" s="8" t="s">
        <v>58</v>
      </c>
      <c r="S79" s="8" t="s">
        <v>16</v>
      </c>
      <c r="T79" s="347">
        <v>4984</v>
      </c>
      <c r="U79" s="347">
        <v>931409.92000000004</v>
      </c>
      <c r="V79" s="347"/>
      <c r="W79" s="344" t="s">
        <v>2127</v>
      </c>
      <c r="X79" s="344">
        <v>0</v>
      </c>
      <c r="Y79" s="344">
        <v>0.05</v>
      </c>
      <c r="Z79" s="344">
        <v>465.7</v>
      </c>
      <c r="AA79" s="344">
        <v>0.05</v>
      </c>
      <c r="AB79" s="344">
        <v>465.7</v>
      </c>
      <c r="AC79" s="344">
        <v>0</v>
      </c>
      <c r="AD79" s="344">
        <v>0</v>
      </c>
      <c r="AE79" s="344">
        <v>0</v>
      </c>
      <c r="AF79" s="344">
        <v>931.4</v>
      </c>
      <c r="AG79" s="344">
        <v>0</v>
      </c>
      <c r="AH79" s="344" t="s">
        <v>59</v>
      </c>
      <c r="AI79" s="344" t="s">
        <v>3</v>
      </c>
      <c r="AJ79" s="344">
        <v>63053200</v>
      </c>
      <c r="AK79" s="344" t="s">
        <v>60</v>
      </c>
      <c r="AL79" s="344">
        <v>1</v>
      </c>
      <c r="AM79" s="344">
        <v>4984</v>
      </c>
      <c r="AN79" s="8" t="s">
        <v>1905</v>
      </c>
    </row>
    <row r="80" spans="1:40" ht="12.75" customHeight="1">
      <c r="C80" s="344"/>
      <c r="D80" s="344"/>
      <c r="E80" s="344"/>
      <c r="F80" s="344"/>
      <c r="G80" s="344"/>
      <c r="H80" s="390">
        <v>46334</v>
      </c>
      <c r="I80" s="344" t="s">
        <v>61</v>
      </c>
      <c r="J80" s="344" t="s">
        <v>56</v>
      </c>
      <c r="K80" s="10">
        <v>213</v>
      </c>
      <c r="L80" s="344" t="s">
        <v>75</v>
      </c>
      <c r="M80" s="344" t="s">
        <v>3326</v>
      </c>
      <c r="N80" s="390">
        <v>46334</v>
      </c>
      <c r="O80" s="344" t="s">
        <v>13</v>
      </c>
      <c r="P80" s="344" t="s">
        <v>62</v>
      </c>
      <c r="Q80" s="344" t="s">
        <v>63</v>
      </c>
      <c r="R80" s="344" t="s">
        <v>64</v>
      </c>
      <c r="S80" s="344" t="s">
        <v>19</v>
      </c>
      <c r="T80" s="347">
        <v>1735</v>
      </c>
      <c r="U80" s="347">
        <v>246925.2</v>
      </c>
      <c r="V80" s="347"/>
      <c r="W80" s="344" t="s">
        <v>3327</v>
      </c>
      <c r="X80" s="344">
        <v>291124.81</v>
      </c>
      <c r="Y80" s="344">
        <v>9</v>
      </c>
      <c r="Z80" s="344">
        <v>22223.27</v>
      </c>
      <c r="AA80" s="344">
        <v>9</v>
      </c>
      <c r="AB80" s="344">
        <v>22223.27</v>
      </c>
      <c r="AC80" s="344">
        <v>0</v>
      </c>
      <c r="AD80" s="344">
        <v>0</v>
      </c>
      <c r="AE80" s="344">
        <v>0</v>
      </c>
      <c r="AF80" s="344">
        <v>44446.54</v>
      </c>
      <c r="AG80" s="344">
        <v>0</v>
      </c>
      <c r="AH80" s="344" t="s">
        <v>65</v>
      </c>
      <c r="AI80" s="344" t="s">
        <v>3</v>
      </c>
      <c r="AJ80" s="344">
        <v>39269080</v>
      </c>
      <c r="AK80" s="344" t="s">
        <v>60</v>
      </c>
      <c r="AL80" s="344">
        <v>1</v>
      </c>
      <c r="AM80" s="344">
        <v>1735</v>
      </c>
      <c r="AN80" s="8" t="s">
        <v>1905</v>
      </c>
    </row>
    <row r="81" spans="7:40" ht="12.75" customHeight="1">
      <c r="G81" s="344"/>
      <c r="H81" s="390">
        <v>46334</v>
      </c>
      <c r="I81" s="344" t="s">
        <v>61</v>
      </c>
      <c r="J81" s="344" t="s">
        <v>56</v>
      </c>
      <c r="K81" s="10">
        <v>214</v>
      </c>
      <c r="L81" s="344" t="s">
        <v>75</v>
      </c>
      <c r="M81" s="344" t="s">
        <v>3328</v>
      </c>
      <c r="N81" s="390">
        <v>46334</v>
      </c>
      <c r="O81" s="344" t="s">
        <v>2</v>
      </c>
      <c r="P81" s="344" t="s">
        <v>67</v>
      </c>
      <c r="Q81" s="344" t="s">
        <v>68</v>
      </c>
      <c r="R81" s="8" t="s">
        <v>69</v>
      </c>
      <c r="S81" s="8" t="s">
        <v>70</v>
      </c>
      <c r="T81" s="347">
        <v>49</v>
      </c>
      <c r="U81" s="347">
        <v>2352</v>
      </c>
      <c r="V81" s="347"/>
      <c r="W81" s="344" t="s">
        <v>3329</v>
      </c>
      <c r="X81" s="344">
        <v>2773.01</v>
      </c>
      <c r="Y81" s="344">
        <v>9</v>
      </c>
      <c r="Z81" s="344">
        <v>211.68</v>
      </c>
      <c r="AA81" s="344">
        <v>9</v>
      </c>
      <c r="AB81" s="344">
        <v>211.68</v>
      </c>
      <c r="AC81" s="344">
        <v>0</v>
      </c>
      <c r="AD81" s="344">
        <v>0</v>
      </c>
      <c r="AE81" s="344">
        <v>0</v>
      </c>
      <c r="AF81" s="344">
        <v>423.36</v>
      </c>
      <c r="AG81" s="344">
        <v>0</v>
      </c>
      <c r="AH81" s="344" t="s">
        <v>65</v>
      </c>
      <c r="AI81" s="344" t="s">
        <v>3</v>
      </c>
      <c r="AJ81" s="344">
        <v>73063090</v>
      </c>
      <c r="AK81" s="344" t="s">
        <v>60</v>
      </c>
      <c r="AL81" s="344">
        <v>1</v>
      </c>
      <c r="AM81" s="344">
        <v>49</v>
      </c>
      <c r="AN81" s="8" t="s">
        <v>1905</v>
      </c>
    </row>
    <row r="82" spans="7:40" ht="12.75" customHeight="1">
      <c r="G82" s="344"/>
      <c r="H82" s="390">
        <v>46364</v>
      </c>
      <c r="I82" s="344" t="s">
        <v>61</v>
      </c>
      <c r="J82" s="344" t="s">
        <v>56</v>
      </c>
      <c r="K82" s="10">
        <v>215</v>
      </c>
      <c r="L82" s="344" t="s">
        <v>75</v>
      </c>
      <c r="M82" s="344" t="s">
        <v>3330</v>
      </c>
      <c r="N82" s="390">
        <v>46364</v>
      </c>
      <c r="O82" s="344" t="s">
        <v>2</v>
      </c>
      <c r="P82" s="344" t="s">
        <v>67</v>
      </c>
      <c r="Q82" s="344" t="s">
        <v>68</v>
      </c>
      <c r="R82" s="8" t="s">
        <v>69</v>
      </c>
      <c r="S82" s="8" t="s">
        <v>70</v>
      </c>
      <c r="T82" s="347">
        <v>433</v>
      </c>
      <c r="U82" s="347">
        <v>20784</v>
      </c>
      <c r="V82" s="347"/>
      <c r="W82" s="344" t="s">
        <v>558</v>
      </c>
      <c r="X82" s="344">
        <v>24504.34</v>
      </c>
      <c r="Y82" s="344">
        <v>9</v>
      </c>
      <c r="Z82" s="344">
        <v>1870.56</v>
      </c>
      <c r="AA82" s="344">
        <v>9</v>
      </c>
      <c r="AB82" s="344">
        <v>1870.56</v>
      </c>
      <c r="AC82" s="344">
        <v>0</v>
      </c>
      <c r="AD82" s="344">
        <v>0</v>
      </c>
      <c r="AE82" s="344">
        <v>0</v>
      </c>
      <c r="AF82" s="344">
        <v>3741.12</v>
      </c>
      <c r="AG82" s="344">
        <v>0</v>
      </c>
      <c r="AH82" s="344" t="s">
        <v>65</v>
      </c>
      <c r="AI82" s="344" t="s">
        <v>3</v>
      </c>
      <c r="AJ82" s="344">
        <v>73063090</v>
      </c>
      <c r="AK82" s="344" t="s">
        <v>60</v>
      </c>
      <c r="AL82" s="344">
        <v>1</v>
      </c>
      <c r="AM82" s="344">
        <v>433</v>
      </c>
      <c r="AN82" s="8" t="s">
        <v>1905</v>
      </c>
    </row>
    <row r="83" spans="7:40" ht="12.75" customHeight="1">
      <c r="G83" s="344"/>
      <c r="H83" s="390">
        <v>46364</v>
      </c>
      <c r="I83" s="344" t="s">
        <v>61</v>
      </c>
      <c r="J83" s="344" t="s">
        <v>56</v>
      </c>
      <c r="K83" s="10">
        <v>216</v>
      </c>
      <c r="L83" s="344" t="s">
        <v>1663</v>
      </c>
      <c r="M83" s="344" t="s">
        <v>3331</v>
      </c>
      <c r="N83" s="390">
        <v>46364</v>
      </c>
      <c r="O83" s="344" t="s">
        <v>15</v>
      </c>
      <c r="P83" s="344" t="s">
        <v>57</v>
      </c>
      <c r="Q83" s="344" t="s">
        <v>57</v>
      </c>
      <c r="R83" s="344" t="s">
        <v>58</v>
      </c>
      <c r="S83" s="8" t="s">
        <v>14</v>
      </c>
      <c r="T83" s="347">
        <v>963</v>
      </c>
      <c r="U83" s="347">
        <v>202807.8</v>
      </c>
      <c r="V83" s="347"/>
      <c r="W83" s="344" t="s">
        <v>3332</v>
      </c>
      <c r="X83" s="344">
        <v>1144448.51</v>
      </c>
      <c r="Y83" s="344">
        <v>9</v>
      </c>
      <c r="Z83" s="344">
        <v>18252.7</v>
      </c>
      <c r="AA83" s="344">
        <v>9</v>
      </c>
      <c r="AB83" s="344">
        <v>18252.7</v>
      </c>
      <c r="AC83" s="344">
        <v>0</v>
      </c>
      <c r="AD83" s="344">
        <v>0</v>
      </c>
      <c r="AE83" s="344">
        <v>0</v>
      </c>
      <c r="AF83" s="344">
        <v>36505.4</v>
      </c>
      <c r="AG83" s="344">
        <v>0</v>
      </c>
      <c r="AH83" s="344" t="s">
        <v>65</v>
      </c>
      <c r="AI83" s="344" t="s">
        <v>3</v>
      </c>
      <c r="AJ83" s="344">
        <v>63053200</v>
      </c>
      <c r="AK83" s="344" t="s">
        <v>60</v>
      </c>
      <c r="AL83" s="344">
        <v>1</v>
      </c>
      <c r="AM83" s="344">
        <v>963</v>
      </c>
      <c r="AN83" s="8" t="s">
        <v>1905</v>
      </c>
    </row>
    <row r="84" spans="7:40" ht="12.75" customHeight="1">
      <c r="G84" s="344"/>
      <c r="H84" s="390">
        <v>46364</v>
      </c>
      <c r="I84" s="344" t="s">
        <v>61</v>
      </c>
      <c r="J84" s="344" t="s">
        <v>56</v>
      </c>
      <c r="K84" s="10">
        <v>216</v>
      </c>
      <c r="L84" s="344" t="s">
        <v>1663</v>
      </c>
      <c r="M84" s="344" t="s">
        <v>3331</v>
      </c>
      <c r="N84" s="390">
        <v>46364</v>
      </c>
      <c r="O84" s="344" t="s">
        <v>15</v>
      </c>
      <c r="P84" s="344" t="s">
        <v>57</v>
      </c>
      <c r="Q84" s="344" t="s">
        <v>57</v>
      </c>
      <c r="R84" s="8" t="s">
        <v>58</v>
      </c>
      <c r="S84" s="8" t="s">
        <v>16</v>
      </c>
      <c r="T84" s="347">
        <v>3994</v>
      </c>
      <c r="U84" s="347">
        <v>767886.44</v>
      </c>
      <c r="V84" s="347"/>
      <c r="W84" s="344" t="s">
        <v>2296</v>
      </c>
      <c r="X84" s="344">
        <v>0</v>
      </c>
      <c r="Y84" s="344">
        <v>9</v>
      </c>
      <c r="Z84" s="344">
        <v>69109.78</v>
      </c>
      <c r="AA84" s="344">
        <v>9</v>
      </c>
      <c r="AB84" s="344">
        <v>69109.78</v>
      </c>
      <c r="AC84" s="344">
        <v>0</v>
      </c>
      <c r="AD84" s="344">
        <v>0</v>
      </c>
      <c r="AE84" s="344">
        <v>0</v>
      </c>
      <c r="AF84" s="344">
        <v>138219.56</v>
      </c>
      <c r="AG84" s="344">
        <v>0</v>
      </c>
      <c r="AH84" s="344" t="s">
        <v>65</v>
      </c>
      <c r="AI84" s="344" t="s">
        <v>3</v>
      </c>
      <c r="AJ84" s="344">
        <v>63053200</v>
      </c>
      <c r="AK84" s="344" t="s">
        <v>60</v>
      </c>
      <c r="AL84" s="344">
        <v>1</v>
      </c>
      <c r="AM84" s="344">
        <v>3994</v>
      </c>
      <c r="AN84" s="8" t="s">
        <v>1905</v>
      </c>
    </row>
    <row r="85" spans="7:40" ht="12.75" customHeight="1">
      <c r="G85" s="344"/>
      <c r="H85" s="390">
        <v>46364</v>
      </c>
      <c r="I85" s="344" t="s">
        <v>61</v>
      </c>
      <c r="J85" s="344" t="s">
        <v>56</v>
      </c>
      <c r="K85" s="10">
        <v>217</v>
      </c>
      <c r="L85" s="344" t="s">
        <v>75</v>
      </c>
      <c r="M85" s="344" t="s">
        <v>3333</v>
      </c>
      <c r="N85" s="390">
        <v>46364</v>
      </c>
      <c r="O85" s="344" t="s">
        <v>13</v>
      </c>
      <c r="P85" s="344" t="s">
        <v>62</v>
      </c>
      <c r="Q85" s="344" t="s">
        <v>63</v>
      </c>
      <c r="R85" s="8" t="s">
        <v>64</v>
      </c>
      <c r="S85" s="8" t="s">
        <v>19</v>
      </c>
      <c r="T85" s="347">
        <v>250</v>
      </c>
      <c r="U85" s="347">
        <v>35580</v>
      </c>
      <c r="V85" s="347"/>
      <c r="W85" s="344" t="s">
        <v>3327</v>
      </c>
      <c r="X85" s="344">
        <v>68559.08</v>
      </c>
      <c r="Y85" s="344">
        <v>9</v>
      </c>
      <c r="Z85" s="344">
        <v>3202.2</v>
      </c>
      <c r="AA85" s="344">
        <v>9</v>
      </c>
      <c r="AB85" s="344">
        <v>3202.2</v>
      </c>
      <c r="AC85" s="344">
        <v>0</v>
      </c>
      <c r="AD85" s="344">
        <v>0</v>
      </c>
      <c r="AE85" s="344">
        <v>0</v>
      </c>
      <c r="AF85" s="344">
        <v>6404.4</v>
      </c>
      <c r="AG85" s="344">
        <v>0</v>
      </c>
      <c r="AH85" s="344" t="s">
        <v>65</v>
      </c>
      <c r="AI85" s="344" t="s">
        <v>3</v>
      </c>
      <c r="AJ85" s="344">
        <v>39269080</v>
      </c>
      <c r="AK85" s="344" t="s">
        <v>60</v>
      </c>
      <c r="AL85" s="344">
        <v>1</v>
      </c>
      <c r="AM85" s="344">
        <v>250</v>
      </c>
      <c r="AN85" s="8" t="s">
        <v>1905</v>
      </c>
    </row>
    <row r="86" spans="7:40" ht="12.75" customHeight="1">
      <c r="G86" s="344"/>
      <c r="H86" s="390">
        <v>46364</v>
      </c>
      <c r="I86" s="344" t="s">
        <v>61</v>
      </c>
      <c r="J86" s="344" t="s">
        <v>56</v>
      </c>
      <c r="K86" s="10">
        <v>217</v>
      </c>
      <c r="L86" s="344" t="s">
        <v>75</v>
      </c>
      <c r="M86" s="344" t="s">
        <v>3333</v>
      </c>
      <c r="N86" s="390">
        <v>46364</v>
      </c>
      <c r="O86" s="344" t="s">
        <v>13</v>
      </c>
      <c r="P86" s="344" t="s">
        <v>24</v>
      </c>
      <c r="Q86" s="344" t="s">
        <v>79</v>
      </c>
      <c r="R86" s="344" t="s">
        <v>79</v>
      </c>
      <c r="S86" s="344" t="s">
        <v>24</v>
      </c>
      <c r="T86" s="347">
        <v>24.3</v>
      </c>
      <c r="U86" s="347">
        <v>3506.98</v>
      </c>
      <c r="V86" s="347"/>
      <c r="W86" s="344" t="s">
        <v>3314</v>
      </c>
      <c r="X86" s="344">
        <v>0</v>
      </c>
      <c r="Y86" s="344">
        <v>9</v>
      </c>
      <c r="Z86" s="344">
        <v>315.63</v>
      </c>
      <c r="AA86" s="344">
        <v>9</v>
      </c>
      <c r="AB86" s="344">
        <v>315.63</v>
      </c>
      <c r="AC86" s="344">
        <v>0</v>
      </c>
      <c r="AD86" s="344">
        <v>0</v>
      </c>
      <c r="AE86" s="344">
        <v>0</v>
      </c>
      <c r="AF86" s="344">
        <v>631.26</v>
      </c>
      <c r="AG86" s="344">
        <v>0</v>
      </c>
      <c r="AH86" s="344" t="s">
        <v>65</v>
      </c>
      <c r="AI86" s="344" t="s">
        <v>3</v>
      </c>
      <c r="AJ86" s="344">
        <v>39269080</v>
      </c>
      <c r="AK86" s="344" t="s">
        <v>60</v>
      </c>
      <c r="AL86" s="344">
        <v>1</v>
      </c>
      <c r="AM86" s="344">
        <v>24.3</v>
      </c>
      <c r="AN86" s="8" t="s">
        <v>1905</v>
      </c>
    </row>
    <row r="87" spans="7:40" ht="12.75" customHeight="1">
      <c r="G87" s="344"/>
      <c r="H87" s="7">
        <v>46364</v>
      </c>
      <c r="I87" s="8" t="s">
        <v>61</v>
      </c>
      <c r="J87" s="8" t="s">
        <v>56</v>
      </c>
      <c r="K87" s="6">
        <v>217</v>
      </c>
      <c r="L87" s="8" t="s">
        <v>75</v>
      </c>
      <c r="M87" s="8" t="s">
        <v>3333</v>
      </c>
      <c r="N87" s="7">
        <v>46364</v>
      </c>
      <c r="O87" s="8" t="s">
        <v>13</v>
      </c>
      <c r="P87" s="8" t="s">
        <v>24</v>
      </c>
      <c r="Q87" s="8" t="s">
        <v>79</v>
      </c>
      <c r="R87" s="8" t="s">
        <v>79</v>
      </c>
      <c r="S87" s="8" t="s">
        <v>24</v>
      </c>
      <c r="T87" s="9">
        <v>129.4</v>
      </c>
      <c r="U87" s="9">
        <v>19063.21</v>
      </c>
      <c r="V87" s="9"/>
      <c r="W87" s="8" t="s">
        <v>2500</v>
      </c>
      <c r="X87" s="8">
        <v>0</v>
      </c>
      <c r="Y87" s="8">
        <v>9</v>
      </c>
      <c r="Z87" s="8">
        <v>1715.69</v>
      </c>
      <c r="AA87" s="8">
        <v>9</v>
      </c>
      <c r="AB87" s="8">
        <v>1715.69</v>
      </c>
      <c r="AC87" s="8">
        <v>0</v>
      </c>
      <c r="AD87" s="8">
        <v>0</v>
      </c>
      <c r="AE87" s="8">
        <v>0</v>
      </c>
      <c r="AF87" s="8">
        <v>3431.38</v>
      </c>
      <c r="AG87" s="8">
        <v>0</v>
      </c>
      <c r="AH87" s="8" t="s">
        <v>65</v>
      </c>
      <c r="AI87" s="8" t="s">
        <v>3</v>
      </c>
      <c r="AJ87" s="8">
        <v>39269080</v>
      </c>
      <c r="AK87" s="8" t="s">
        <v>60</v>
      </c>
      <c r="AL87" s="8">
        <v>1</v>
      </c>
      <c r="AM87" s="8">
        <v>129.4</v>
      </c>
      <c r="AN87" s="8" t="s">
        <v>1905</v>
      </c>
    </row>
    <row r="88" spans="7:40" ht="12.75" customHeight="1">
      <c r="G88" s="344"/>
      <c r="H88" s="8" t="s">
        <v>2847</v>
      </c>
      <c r="I88" s="8" t="s">
        <v>3334</v>
      </c>
      <c r="J88" s="8" t="s">
        <v>2188</v>
      </c>
      <c r="K88" s="6" t="s">
        <v>3335</v>
      </c>
      <c r="L88" s="8" t="s">
        <v>2286</v>
      </c>
      <c r="M88" s="8" t="s">
        <v>3335</v>
      </c>
      <c r="N88" s="8" t="s">
        <v>2847</v>
      </c>
      <c r="O88" s="8" t="s">
        <v>15</v>
      </c>
      <c r="P88" s="8" t="s">
        <v>57</v>
      </c>
      <c r="Q88" s="8" t="s">
        <v>57</v>
      </c>
      <c r="R88" s="8" t="s">
        <v>58</v>
      </c>
      <c r="S88" s="8" t="s">
        <v>14</v>
      </c>
      <c r="T88" s="9">
        <v>17951</v>
      </c>
      <c r="U88" s="9">
        <v>3802176</v>
      </c>
      <c r="V88" s="9"/>
      <c r="W88" s="8" t="s">
        <v>2227</v>
      </c>
      <c r="X88" s="8">
        <v>3802176</v>
      </c>
      <c r="Y88" s="8">
        <v>0</v>
      </c>
      <c r="Z88" s="8">
        <v>0</v>
      </c>
      <c r="AA88" s="8">
        <v>0</v>
      </c>
      <c r="AB88" s="8">
        <v>0</v>
      </c>
      <c r="AC88" s="8">
        <v>18</v>
      </c>
      <c r="AD88" s="8">
        <v>684391.68</v>
      </c>
      <c r="AE88" s="8">
        <v>0</v>
      </c>
      <c r="AF88" s="8">
        <v>684391.68</v>
      </c>
      <c r="AG88" s="8">
        <v>0</v>
      </c>
      <c r="AH88" s="8" t="s">
        <v>2204</v>
      </c>
      <c r="AI88" s="8" t="s">
        <v>3</v>
      </c>
      <c r="AJ88" s="8">
        <v>63053200</v>
      </c>
      <c r="AK88" s="8" t="s">
        <v>2189</v>
      </c>
      <c r="AL88" s="8">
        <v>94.3</v>
      </c>
      <c r="AM88" s="8">
        <v>17951</v>
      </c>
      <c r="AN88" s="8" t="s">
        <v>2298</v>
      </c>
    </row>
    <row r="89" spans="7:40" ht="12.75" customHeight="1">
      <c r="G89" s="344"/>
      <c r="H89" s="7" t="s">
        <v>2847</v>
      </c>
      <c r="I89" s="8" t="s">
        <v>61</v>
      </c>
      <c r="J89" s="8" t="s">
        <v>56</v>
      </c>
      <c r="K89" s="6">
        <v>218</v>
      </c>
      <c r="L89" s="8" t="s">
        <v>75</v>
      </c>
      <c r="M89" s="8" t="s">
        <v>3336</v>
      </c>
      <c r="N89" s="7" t="s">
        <v>2847</v>
      </c>
      <c r="O89" s="8" t="s">
        <v>2</v>
      </c>
      <c r="P89" s="8" t="s">
        <v>67</v>
      </c>
      <c r="Q89" s="8" t="s">
        <v>68</v>
      </c>
      <c r="R89" s="8" t="s">
        <v>69</v>
      </c>
      <c r="S89" s="8" t="s">
        <v>70</v>
      </c>
      <c r="T89" s="9">
        <v>558</v>
      </c>
      <c r="U89" s="9">
        <v>26784</v>
      </c>
      <c r="V89" s="9"/>
      <c r="W89" s="8" t="s">
        <v>558</v>
      </c>
      <c r="X89" s="8">
        <v>31578.34</v>
      </c>
      <c r="Y89" s="8">
        <v>9</v>
      </c>
      <c r="Z89" s="8">
        <v>2410.56</v>
      </c>
      <c r="AA89" s="8">
        <v>9</v>
      </c>
      <c r="AB89" s="8">
        <v>2410.56</v>
      </c>
      <c r="AC89" s="8">
        <v>0</v>
      </c>
      <c r="AD89" s="8">
        <v>0</v>
      </c>
      <c r="AE89" s="8">
        <v>0</v>
      </c>
      <c r="AF89" s="8">
        <v>4821.12</v>
      </c>
      <c r="AG89" s="8">
        <v>0</v>
      </c>
      <c r="AH89" s="8" t="s">
        <v>65</v>
      </c>
      <c r="AI89" s="8" t="s">
        <v>3</v>
      </c>
      <c r="AJ89" s="8">
        <v>73063090</v>
      </c>
      <c r="AK89" s="8" t="s">
        <v>60</v>
      </c>
      <c r="AL89" s="8">
        <v>1</v>
      </c>
      <c r="AM89" s="8">
        <v>558</v>
      </c>
      <c r="AN89" s="8" t="s">
        <v>1905</v>
      </c>
    </row>
    <row r="90" spans="7:40" ht="12.75" customHeight="1">
      <c r="G90" s="344"/>
      <c r="H90" s="7" t="s">
        <v>2847</v>
      </c>
      <c r="I90" s="8" t="s">
        <v>61</v>
      </c>
      <c r="J90" s="8" t="s">
        <v>56</v>
      </c>
      <c r="K90" s="6">
        <v>219</v>
      </c>
      <c r="L90" s="8" t="s">
        <v>2180</v>
      </c>
      <c r="M90" s="8" t="s">
        <v>3337</v>
      </c>
      <c r="N90" s="7" t="s">
        <v>2847</v>
      </c>
      <c r="O90" s="8" t="s">
        <v>13</v>
      </c>
      <c r="P90" s="8" t="s">
        <v>71</v>
      </c>
      <c r="Q90" s="8" t="s">
        <v>71</v>
      </c>
      <c r="R90" s="8" t="s">
        <v>72</v>
      </c>
      <c r="S90" s="8" t="s">
        <v>22</v>
      </c>
      <c r="T90" s="9">
        <v>7540</v>
      </c>
      <c r="U90" s="9">
        <v>90480</v>
      </c>
      <c r="V90" s="9"/>
      <c r="W90" s="8" t="s">
        <v>22</v>
      </c>
      <c r="X90" s="8">
        <v>108901.73</v>
      </c>
      <c r="Y90" s="8">
        <v>9</v>
      </c>
      <c r="Z90" s="8">
        <v>8143.2</v>
      </c>
      <c r="AA90" s="8">
        <v>9</v>
      </c>
      <c r="AB90" s="8">
        <v>8143.2</v>
      </c>
      <c r="AC90" s="8">
        <v>0</v>
      </c>
      <c r="AD90" s="8">
        <v>0</v>
      </c>
      <c r="AE90" s="8">
        <v>0</v>
      </c>
      <c r="AF90" s="8">
        <v>16286.4</v>
      </c>
      <c r="AG90" s="8">
        <v>2135.33</v>
      </c>
      <c r="AH90" s="8" t="s">
        <v>65</v>
      </c>
      <c r="AI90" s="8" t="s">
        <v>3</v>
      </c>
      <c r="AJ90" s="8">
        <v>39159029</v>
      </c>
      <c r="AK90" s="8" t="s">
        <v>60</v>
      </c>
      <c r="AL90" s="8">
        <v>1</v>
      </c>
      <c r="AM90" s="8">
        <v>7540</v>
      </c>
      <c r="AN90" s="8" t="s">
        <v>1905</v>
      </c>
    </row>
    <row r="91" spans="7:40" ht="12.75" customHeight="1">
      <c r="G91" s="344"/>
      <c r="H91" s="7" t="s">
        <v>2847</v>
      </c>
      <c r="I91" s="8" t="s">
        <v>2226</v>
      </c>
      <c r="J91" s="8" t="s">
        <v>2188</v>
      </c>
      <c r="K91" s="6" t="s">
        <v>3338</v>
      </c>
      <c r="L91" s="8" t="s">
        <v>2286</v>
      </c>
      <c r="M91" s="8" t="s">
        <v>3338</v>
      </c>
      <c r="N91" s="7" t="s">
        <v>2847</v>
      </c>
      <c r="O91" s="8" t="s">
        <v>15</v>
      </c>
      <c r="P91" s="8" t="s">
        <v>57</v>
      </c>
      <c r="Q91" s="8" t="s">
        <v>57</v>
      </c>
      <c r="R91" s="8" t="s">
        <v>58</v>
      </c>
      <c r="S91" s="8" t="s">
        <v>14</v>
      </c>
      <c r="T91" s="9">
        <v>14900</v>
      </c>
      <c r="U91" s="9">
        <v>3194789.7</v>
      </c>
      <c r="V91" s="9"/>
      <c r="W91" s="8" t="s">
        <v>2227</v>
      </c>
      <c r="X91" s="8">
        <v>4102521.5</v>
      </c>
      <c r="Y91" s="8">
        <v>0</v>
      </c>
      <c r="Z91" s="8">
        <v>0</v>
      </c>
      <c r="AA91" s="8">
        <v>0</v>
      </c>
      <c r="AB91" s="8">
        <v>0</v>
      </c>
      <c r="AC91" s="8">
        <v>18</v>
      </c>
      <c r="AD91" s="8">
        <v>575062.14599999995</v>
      </c>
      <c r="AE91" s="8">
        <v>0</v>
      </c>
      <c r="AF91" s="8">
        <v>575062.14599999995</v>
      </c>
      <c r="AG91" s="8">
        <v>0</v>
      </c>
      <c r="AH91" s="8" t="s">
        <v>2204</v>
      </c>
      <c r="AI91" s="8" t="s">
        <v>3</v>
      </c>
      <c r="AJ91" s="8">
        <v>63053200</v>
      </c>
      <c r="AK91" s="8" t="s">
        <v>2189</v>
      </c>
      <c r="AL91" s="8">
        <v>94.3</v>
      </c>
      <c r="AM91" s="8">
        <v>14900</v>
      </c>
      <c r="AN91" s="8" t="s">
        <v>2228</v>
      </c>
    </row>
    <row r="92" spans="7:40" ht="12.75" customHeight="1">
      <c r="G92" s="344"/>
      <c r="H92" s="7" t="s">
        <v>2847</v>
      </c>
      <c r="I92" s="8" t="s">
        <v>2226</v>
      </c>
      <c r="J92" s="8" t="s">
        <v>2188</v>
      </c>
      <c r="K92" s="6" t="s">
        <v>3338</v>
      </c>
      <c r="L92" s="8" t="s">
        <v>2286</v>
      </c>
      <c r="M92" s="8" t="s">
        <v>3338</v>
      </c>
      <c r="N92" s="7" t="s">
        <v>2847</v>
      </c>
      <c r="O92" s="8" t="s">
        <v>15</v>
      </c>
      <c r="P92" s="8" t="s">
        <v>57</v>
      </c>
      <c r="Q92" s="8" t="s">
        <v>57</v>
      </c>
      <c r="R92" s="8" t="s">
        <v>58</v>
      </c>
      <c r="S92" s="8" t="s">
        <v>16</v>
      </c>
      <c r="T92" s="9">
        <v>4025</v>
      </c>
      <c r="U92" s="9">
        <v>907731.8</v>
      </c>
      <c r="V92" s="9"/>
      <c r="W92" s="8" t="s">
        <v>2349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18</v>
      </c>
      <c r="AD92" s="8">
        <v>163391.72399999999</v>
      </c>
      <c r="AE92" s="8">
        <v>0</v>
      </c>
      <c r="AF92" s="8">
        <v>163391.72399999999</v>
      </c>
      <c r="AG92" s="8">
        <v>0</v>
      </c>
      <c r="AH92" s="8" t="s">
        <v>2204</v>
      </c>
      <c r="AI92" s="8" t="s">
        <v>3</v>
      </c>
      <c r="AJ92" s="8">
        <v>63053200</v>
      </c>
      <c r="AK92" s="8" t="s">
        <v>2189</v>
      </c>
      <c r="AL92" s="8">
        <v>94.3</v>
      </c>
      <c r="AM92" s="8">
        <v>4025</v>
      </c>
      <c r="AN92" s="8" t="s">
        <v>2228</v>
      </c>
    </row>
    <row r="93" spans="7:40" ht="12.75" customHeight="1">
      <c r="G93" s="344"/>
      <c r="H93" s="7" t="s">
        <v>2858</v>
      </c>
      <c r="I93" s="8" t="s">
        <v>232</v>
      </c>
      <c r="J93" s="8" t="s">
        <v>2350</v>
      </c>
      <c r="K93" s="6" t="s">
        <v>3339</v>
      </c>
      <c r="L93" s="8" t="s">
        <v>75</v>
      </c>
      <c r="M93" s="8" t="s">
        <v>3339</v>
      </c>
      <c r="N93" s="7" t="s">
        <v>2858</v>
      </c>
      <c r="O93" s="8" t="s">
        <v>8</v>
      </c>
      <c r="P93" s="8" t="s">
        <v>110</v>
      </c>
      <c r="Q93" s="8" t="s">
        <v>765</v>
      </c>
      <c r="R93" s="8" t="s">
        <v>765</v>
      </c>
      <c r="S93" s="8" t="s">
        <v>766</v>
      </c>
      <c r="T93" s="9">
        <v>360</v>
      </c>
      <c r="U93" s="9">
        <v>42480</v>
      </c>
      <c r="V93" s="9"/>
      <c r="W93" s="8" t="s">
        <v>766</v>
      </c>
      <c r="X93" s="8">
        <v>42480</v>
      </c>
      <c r="Y93" s="8"/>
      <c r="Z93" s="8">
        <v>0</v>
      </c>
      <c r="AA93" s="8"/>
      <c r="AB93" s="8">
        <v>0</v>
      </c>
      <c r="AC93" s="8"/>
      <c r="AD93" s="8">
        <v>0</v>
      </c>
      <c r="AE93" s="8">
        <v>0</v>
      </c>
      <c r="AF93" s="8">
        <v>0</v>
      </c>
      <c r="AG93" s="8">
        <v>0</v>
      </c>
      <c r="AH93" s="8" t="s">
        <v>2351</v>
      </c>
      <c r="AI93" s="8" t="s">
        <v>3</v>
      </c>
      <c r="AJ93" s="8">
        <v>38140011</v>
      </c>
      <c r="AK93" s="8" t="s">
        <v>60</v>
      </c>
      <c r="AL93" s="8">
        <v>1</v>
      </c>
      <c r="AM93" s="8">
        <v>360</v>
      </c>
      <c r="AN93" s="8" t="s">
        <v>1905</v>
      </c>
    </row>
    <row r="94" spans="7:40" ht="12.75" customHeight="1">
      <c r="G94" s="344"/>
      <c r="H94" s="7" t="s">
        <v>2858</v>
      </c>
      <c r="I94" s="8" t="s">
        <v>61</v>
      </c>
      <c r="J94" s="8" t="s">
        <v>56</v>
      </c>
      <c r="K94" s="6">
        <v>220</v>
      </c>
      <c r="L94" s="8" t="s">
        <v>1663</v>
      </c>
      <c r="M94" s="8" t="s">
        <v>3340</v>
      </c>
      <c r="N94" s="7" t="s">
        <v>2858</v>
      </c>
      <c r="O94" s="8" t="s">
        <v>15</v>
      </c>
      <c r="P94" s="8" t="s">
        <v>57</v>
      </c>
      <c r="Q94" s="8" t="s">
        <v>57</v>
      </c>
      <c r="R94" s="8" t="s">
        <v>58</v>
      </c>
      <c r="S94" s="8" t="s">
        <v>16</v>
      </c>
      <c r="T94" s="9">
        <v>14412</v>
      </c>
      <c r="U94" s="9">
        <v>2677893.7200000002</v>
      </c>
      <c r="V94" s="9"/>
      <c r="W94" s="8" t="s">
        <v>2127</v>
      </c>
      <c r="X94" s="8">
        <v>4924553.43</v>
      </c>
      <c r="Y94" s="8">
        <v>9</v>
      </c>
      <c r="Z94" s="8">
        <v>241010.43</v>
      </c>
      <c r="AA94" s="8">
        <v>9</v>
      </c>
      <c r="AB94" s="8">
        <v>241010.43</v>
      </c>
      <c r="AC94" s="8">
        <v>0</v>
      </c>
      <c r="AD94" s="8">
        <v>0</v>
      </c>
      <c r="AE94" s="8">
        <v>0</v>
      </c>
      <c r="AF94" s="8">
        <v>482020.86</v>
      </c>
      <c r="AG94" s="8">
        <v>0</v>
      </c>
      <c r="AH94" s="8" t="s">
        <v>65</v>
      </c>
      <c r="AI94" s="8" t="s">
        <v>3</v>
      </c>
      <c r="AJ94" s="8">
        <v>63053200</v>
      </c>
      <c r="AK94" s="8" t="s">
        <v>60</v>
      </c>
      <c r="AL94" s="8">
        <v>1</v>
      </c>
      <c r="AM94" s="8">
        <v>14412</v>
      </c>
      <c r="AN94" s="8" t="s">
        <v>1905</v>
      </c>
    </row>
    <row r="95" spans="7:40" ht="12.75" customHeight="1">
      <c r="G95" s="344"/>
      <c r="H95" s="7" t="s">
        <v>2858</v>
      </c>
      <c r="I95" s="8" t="s">
        <v>61</v>
      </c>
      <c r="J95" s="8" t="s">
        <v>56</v>
      </c>
      <c r="K95" s="6">
        <v>220</v>
      </c>
      <c r="L95" s="8" t="s">
        <v>1663</v>
      </c>
      <c r="M95" s="8" t="s">
        <v>3340</v>
      </c>
      <c r="N95" s="7" t="s">
        <v>2858</v>
      </c>
      <c r="O95" s="8" t="s">
        <v>15</v>
      </c>
      <c r="P95" s="8" t="s">
        <v>57</v>
      </c>
      <c r="Q95" s="8" t="s">
        <v>57</v>
      </c>
      <c r="R95" s="8" t="s">
        <v>58</v>
      </c>
      <c r="S95" s="8" t="s">
        <v>16</v>
      </c>
      <c r="T95" s="9">
        <v>4836</v>
      </c>
      <c r="U95" s="9">
        <v>903026.28</v>
      </c>
      <c r="V95" s="9"/>
      <c r="W95" s="8" t="s">
        <v>2127</v>
      </c>
      <c r="X95" s="8">
        <v>0</v>
      </c>
      <c r="Y95" s="8">
        <v>9</v>
      </c>
      <c r="Z95" s="8">
        <v>81272.37</v>
      </c>
      <c r="AA95" s="8">
        <v>9</v>
      </c>
      <c r="AB95" s="8">
        <v>81272.37</v>
      </c>
      <c r="AC95" s="8">
        <v>0</v>
      </c>
      <c r="AD95" s="8">
        <v>0</v>
      </c>
      <c r="AE95" s="8">
        <v>0</v>
      </c>
      <c r="AF95" s="8">
        <v>162544.74</v>
      </c>
      <c r="AG95" s="8">
        <v>0</v>
      </c>
      <c r="AH95" s="8" t="s">
        <v>65</v>
      </c>
      <c r="AI95" s="8" t="s">
        <v>3</v>
      </c>
      <c r="AJ95" s="8">
        <v>63053200</v>
      </c>
      <c r="AK95" s="8" t="s">
        <v>60</v>
      </c>
      <c r="AL95" s="8">
        <v>1</v>
      </c>
      <c r="AM95" s="8">
        <v>4836</v>
      </c>
      <c r="AN95" s="8" t="s">
        <v>1905</v>
      </c>
    </row>
    <row r="96" spans="7:40" ht="12.75" customHeight="1">
      <c r="G96" s="344"/>
      <c r="H96" s="7" t="s">
        <v>2858</v>
      </c>
      <c r="I96" s="8" t="s">
        <v>61</v>
      </c>
      <c r="J96" s="8" t="s">
        <v>56</v>
      </c>
      <c r="K96" s="6">
        <v>220</v>
      </c>
      <c r="L96" s="8" t="s">
        <v>1663</v>
      </c>
      <c r="M96" s="8" t="s">
        <v>3340</v>
      </c>
      <c r="N96" s="7" t="s">
        <v>2858</v>
      </c>
      <c r="O96" s="8" t="s">
        <v>15</v>
      </c>
      <c r="P96" s="8" t="s">
        <v>57</v>
      </c>
      <c r="Q96" s="8" t="s">
        <v>57</v>
      </c>
      <c r="R96" s="8" t="s">
        <v>58</v>
      </c>
      <c r="S96" s="8" t="s">
        <v>16</v>
      </c>
      <c r="T96" s="9">
        <v>3330</v>
      </c>
      <c r="U96" s="9">
        <v>595970.1</v>
      </c>
      <c r="V96" s="9"/>
      <c r="W96" s="8" t="s">
        <v>2127</v>
      </c>
      <c r="X96" s="8">
        <v>0</v>
      </c>
      <c r="Y96" s="8">
        <v>9</v>
      </c>
      <c r="Z96" s="8">
        <v>53637.31</v>
      </c>
      <c r="AA96" s="8">
        <v>9</v>
      </c>
      <c r="AB96" s="8">
        <v>53637.31</v>
      </c>
      <c r="AC96" s="8">
        <v>0</v>
      </c>
      <c r="AD96" s="8">
        <v>0</v>
      </c>
      <c r="AE96" s="8">
        <v>0</v>
      </c>
      <c r="AF96" s="8">
        <v>107274.62</v>
      </c>
      <c r="AG96" s="8">
        <v>0</v>
      </c>
      <c r="AH96" s="8" t="s">
        <v>65</v>
      </c>
      <c r="AI96" s="8" t="s">
        <v>3</v>
      </c>
      <c r="AJ96" s="8">
        <v>63053200</v>
      </c>
      <c r="AK96" s="8" t="s">
        <v>60</v>
      </c>
      <c r="AL96" s="8">
        <v>1</v>
      </c>
      <c r="AM96" s="8">
        <v>3330</v>
      </c>
      <c r="AN96" s="8" t="s">
        <v>1905</v>
      </c>
    </row>
    <row r="97" spans="7:40" ht="12.75" customHeight="1">
      <c r="G97" s="344"/>
      <c r="H97" s="7" t="s">
        <v>2858</v>
      </c>
      <c r="I97" s="8" t="s">
        <v>61</v>
      </c>
      <c r="J97" s="8" t="s">
        <v>56</v>
      </c>
      <c r="K97" s="6">
        <v>221</v>
      </c>
      <c r="L97" s="8" t="s">
        <v>75</v>
      </c>
      <c r="M97" s="8" t="s">
        <v>3341</v>
      </c>
      <c r="N97" s="7" t="s">
        <v>2858</v>
      </c>
      <c r="O97" s="8" t="s">
        <v>2</v>
      </c>
      <c r="P97" s="8" t="s">
        <v>67</v>
      </c>
      <c r="Q97" s="8" t="s">
        <v>68</v>
      </c>
      <c r="R97" s="8" t="s">
        <v>69</v>
      </c>
      <c r="S97" s="8" t="s">
        <v>70</v>
      </c>
      <c r="T97" s="9">
        <v>312</v>
      </c>
      <c r="U97" s="9">
        <v>14976</v>
      </c>
      <c r="V97" s="9"/>
      <c r="W97" s="8" t="s">
        <v>3342</v>
      </c>
      <c r="X97" s="8">
        <v>17656.7</v>
      </c>
      <c r="Y97" s="8">
        <v>9</v>
      </c>
      <c r="Z97" s="8">
        <v>1347.84</v>
      </c>
      <c r="AA97" s="8">
        <v>9</v>
      </c>
      <c r="AB97" s="8">
        <v>1347.84</v>
      </c>
      <c r="AC97" s="8">
        <v>0</v>
      </c>
      <c r="AD97" s="8">
        <v>0</v>
      </c>
      <c r="AE97" s="8">
        <v>0</v>
      </c>
      <c r="AF97" s="8">
        <v>2695.68</v>
      </c>
      <c r="AG97" s="8">
        <v>0</v>
      </c>
      <c r="AH97" s="8" t="s">
        <v>65</v>
      </c>
      <c r="AI97" s="8" t="s">
        <v>3</v>
      </c>
      <c r="AJ97" s="8">
        <v>73063090</v>
      </c>
      <c r="AK97" s="8" t="s">
        <v>60</v>
      </c>
      <c r="AL97" s="8">
        <v>1</v>
      </c>
      <c r="AM97" s="8">
        <v>312</v>
      </c>
      <c r="AN97" s="8" t="s">
        <v>1905</v>
      </c>
    </row>
    <row r="98" spans="7:40" ht="12.75" customHeight="1">
      <c r="G98" s="344"/>
      <c r="H98" s="7" t="s">
        <v>2919</v>
      </c>
      <c r="I98" s="8" t="s">
        <v>61</v>
      </c>
      <c r="J98" s="8" t="s">
        <v>56</v>
      </c>
      <c r="K98" s="6">
        <v>222</v>
      </c>
      <c r="L98" s="8" t="s">
        <v>75</v>
      </c>
      <c r="M98" s="8" t="s">
        <v>3343</v>
      </c>
      <c r="N98" s="7" t="s">
        <v>2919</v>
      </c>
      <c r="O98" s="8" t="s">
        <v>2</v>
      </c>
      <c r="P98" s="8" t="s">
        <v>67</v>
      </c>
      <c r="Q98" s="8" t="s">
        <v>68</v>
      </c>
      <c r="R98" s="8" t="s">
        <v>69</v>
      </c>
      <c r="S98" s="8" t="s">
        <v>70</v>
      </c>
      <c r="T98" s="9">
        <v>438</v>
      </c>
      <c r="U98" s="9">
        <v>21024</v>
      </c>
      <c r="V98" s="9"/>
      <c r="W98" s="8" t="s">
        <v>3344</v>
      </c>
      <c r="X98" s="8">
        <v>24787.3</v>
      </c>
      <c r="Y98" s="8">
        <v>9</v>
      </c>
      <c r="Z98" s="8">
        <v>1892.16</v>
      </c>
      <c r="AA98" s="8">
        <v>9</v>
      </c>
      <c r="AB98" s="8">
        <v>1892.16</v>
      </c>
      <c r="AC98" s="8">
        <v>0</v>
      </c>
      <c r="AD98" s="8">
        <v>0</v>
      </c>
      <c r="AE98" s="8">
        <v>0</v>
      </c>
      <c r="AF98" s="8">
        <v>3784.32</v>
      </c>
      <c r="AG98" s="8">
        <v>0</v>
      </c>
      <c r="AH98" s="8" t="s">
        <v>65</v>
      </c>
      <c r="AI98" s="8" t="s">
        <v>3</v>
      </c>
      <c r="AJ98" s="8">
        <v>73063090</v>
      </c>
      <c r="AK98" s="8" t="s">
        <v>60</v>
      </c>
      <c r="AL98" s="8">
        <v>1</v>
      </c>
      <c r="AM98" s="8">
        <v>438</v>
      </c>
      <c r="AN98" s="8" t="s">
        <v>1905</v>
      </c>
    </row>
    <row r="99" spans="7:40" ht="12.75" customHeight="1">
      <c r="G99" s="344"/>
      <c r="H99" s="7" t="s">
        <v>2926</v>
      </c>
      <c r="I99" s="8" t="s">
        <v>61</v>
      </c>
      <c r="J99" s="8" t="s">
        <v>56</v>
      </c>
      <c r="K99" s="6">
        <v>223</v>
      </c>
      <c r="L99" s="8" t="s">
        <v>75</v>
      </c>
      <c r="M99" s="8" t="s">
        <v>3345</v>
      </c>
      <c r="N99" s="7" t="s">
        <v>2926</v>
      </c>
      <c r="O99" s="8" t="s">
        <v>15</v>
      </c>
      <c r="P99" s="8" t="s">
        <v>2076</v>
      </c>
      <c r="Q99" s="8" t="s">
        <v>2076</v>
      </c>
      <c r="R99" s="344" t="s">
        <v>2076</v>
      </c>
      <c r="S99" s="8" t="s">
        <v>79</v>
      </c>
      <c r="T99" s="9">
        <v>47</v>
      </c>
      <c r="U99" s="9">
        <v>6783.04</v>
      </c>
      <c r="V99" s="9">
        <f>+U99/T99</f>
        <v>144.32</v>
      </c>
      <c r="W99" s="8" t="s">
        <v>3314</v>
      </c>
      <c r="X99" s="8">
        <v>123612.14</v>
      </c>
      <c r="Y99" s="8">
        <v>9</v>
      </c>
      <c r="Z99" s="8">
        <v>610.47</v>
      </c>
      <c r="AA99" s="8">
        <v>9</v>
      </c>
      <c r="AB99" s="8">
        <v>610.47</v>
      </c>
      <c r="AC99" s="8">
        <v>0</v>
      </c>
      <c r="AD99" s="8">
        <v>0</v>
      </c>
      <c r="AE99" s="8">
        <v>0</v>
      </c>
      <c r="AF99" s="8">
        <v>1220.94</v>
      </c>
      <c r="AG99" s="8">
        <v>0</v>
      </c>
      <c r="AH99" s="8" t="s">
        <v>65</v>
      </c>
      <c r="AI99" s="8" t="s">
        <v>3</v>
      </c>
      <c r="AJ99" s="8">
        <v>39269080</v>
      </c>
      <c r="AK99" s="8" t="s">
        <v>60</v>
      </c>
      <c r="AL99" s="8">
        <v>1</v>
      </c>
      <c r="AM99" s="8">
        <v>47</v>
      </c>
      <c r="AN99" s="8" t="s">
        <v>1905</v>
      </c>
    </row>
    <row r="100" spans="7:40" ht="12.75" customHeight="1">
      <c r="G100" s="344"/>
      <c r="H100" s="7" t="s">
        <v>2926</v>
      </c>
      <c r="I100" s="8" t="s">
        <v>61</v>
      </c>
      <c r="J100" s="8" t="s">
        <v>56</v>
      </c>
      <c r="K100" s="6">
        <v>223</v>
      </c>
      <c r="L100" s="8" t="s">
        <v>75</v>
      </c>
      <c r="M100" s="8" t="s">
        <v>3345</v>
      </c>
      <c r="N100" s="7" t="s">
        <v>2926</v>
      </c>
      <c r="O100" s="8" t="s">
        <v>13</v>
      </c>
      <c r="P100" s="8" t="s">
        <v>62</v>
      </c>
      <c r="Q100" s="8" t="s">
        <v>63</v>
      </c>
      <c r="R100" s="344" t="s">
        <v>64</v>
      </c>
      <c r="S100" s="8" t="s">
        <v>19</v>
      </c>
      <c r="T100" s="9">
        <v>638</v>
      </c>
      <c r="U100" s="9">
        <v>92714.16</v>
      </c>
      <c r="V100" s="9"/>
      <c r="W100" s="8" t="s">
        <v>3327</v>
      </c>
      <c r="X100" s="8">
        <v>0</v>
      </c>
      <c r="Y100" s="8">
        <v>9</v>
      </c>
      <c r="Z100" s="8">
        <v>8344.27</v>
      </c>
      <c r="AA100" s="8">
        <v>9</v>
      </c>
      <c r="AB100" s="8">
        <v>8344.27</v>
      </c>
      <c r="AC100" s="8">
        <v>0</v>
      </c>
      <c r="AD100" s="8">
        <v>0</v>
      </c>
      <c r="AE100" s="8">
        <v>0</v>
      </c>
      <c r="AF100" s="8">
        <v>16688.54</v>
      </c>
      <c r="AG100" s="8">
        <v>0</v>
      </c>
      <c r="AH100" s="8" t="s">
        <v>65</v>
      </c>
      <c r="AI100" s="8" t="s">
        <v>3</v>
      </c>
      <c r="AJ100" s="8">
        <v>39269080</v>
      </c>
      <c r="AK100" s="8" t="s">
        <v>60</v>
      </c>
      <c r="AL100" s="8">
        <v>1</v>
      </c>
      <c r="AM100" s="8">
        <v>638</v>
      </c>
      <c r="AN100" s="8" t="s">
        <v>1905</v>
      </c>
    </row>
    <row r="101" spans="7:40" ht="12.75" customHeight="1">
      <c r="G101" s="344"/>
      <c r="H101" s="7" t="s">
        <v>2926</v>
      </c>
      <c r="I101" s="8" t="s">
        <v>61</v>
      </c>
      <c r="J101" s="8" t="s">
        <v>56</v>
      </c>
      <c r="K101" s="6">
        <v>223</v>
      </c>
      <c r="L101" s="8" t="s">
        <v>75</v>
      </c>
      <c r="M101" s="8" t="s">
        <v>3345</v>
      </c>
      <c r="N101" s="7" t="s">
        <v>2926</v>
      </c>
      <c r="O101" s="8" t="s">
        <v>13</v>
      </c>
      <c r="P101" s="8" t="s">
        <v>24</v>
      </c>
      <c r="Q101" s="8" t="s">
        <v>79</v>
      </c>
      <c r="R101" s="8" t="s">
        <v>79</v>
      </c>
      <c r="S101" s="8" t="s">
        <v>24</v>
      </c>
      <c r="T101" s="9">
        <v>36.299999999999997</v>
      </c>
      <c r="U101" s="9">
        <v>5347.72</v>
      </c>
      <c r="V101" s="9"/>
      <c r="W101" s="8" t="s">
        <v>2500</v>
      </c>
      <c r="X101" s="8">
        <v>0</v>
      </c>
      <c r="Y101" s="8">
        <v>9</v>
      </c>
      <c r="Z101" s="8">
        <v>481.29</v>
      </c>
      <c r="AA101" s="8">
        <v>9</v>
      </c>
      <c r="AB101" s="8">
        <v>481.29</v>
      </c>
      <c r="AC101" s="8">
        <v>0</v>
      </c>
      <c r="AD101" s="8">
        <v>0</v>
      </c>
      <c r="AE101" s="8">
        <v>0</v>
      </c>
      <c r="AF101" s="8">
        <v>962.58</v>
      </c>
      <c r="AG101" s="8">
        <v>0</v>
      </c>
      <c r="AH101" s="8" t="s">
        <v>65</v>
      </c>
      <c r="AI101" s="8" t="s">
        <v>3</v>
      </c>
      <c r="AJ101" s="8">
        <v>39269080</v>
      </c>
      <c r="AK101" s="8" t="s">
        <v>60</v>
      </c>
      <c r="AL101" s="8">
        <v>1</v>
      </c>
      <c r="AM101" s="8">
        <v>36.299999999999997</v>
      </c>
      <c r="AN101" s="8" t="s">
        <v>1905</v>
      </c>
    </row>
    <row r="102" spans="7:40" ht="12.75" customHeight="1">
      <c r="G102" s="344"/>
      <c r="H102" s="7" t="s">
        <v>2939</v>
      </c>
      <c r="I102" s="8" t="s">
        <v>66</v>
      </c>
      <c r="J102" s="8" t="s">
        <v>2188</v>
      </c>
      <c r="K102" s="6" t="s">
        <v>3346</v>
      </c>
      <c r="L102" s="8" t="s">
        <v>2426</v>
      </c>
      <c r="M102" s="8" t="s">
        <v>3346</v>
      </c>
      <c r="N102" s="7" t="s">
        <v>2939</v>
      </c>
      <c r="O102" s="8" t="s">
        <v>15</v>
      </c>
      <c r="P102" s="8" t="s">
        <v>57</v>
      </c>
      <c r="Q102" s="8" t="s">
        <v>57</v>
      </c>
      <c r="R102" s="8" t="s">
        <v>58</v>
      </c>
      <c r="S102" s="8" t="s">
        <v>16</v>
      </c>
      <c r="T102" s="9">
        <v>3734</v>
      </c>
      <c r="U102" s="9">
        <v>721345.02</v>
      </c>
      <c r="V102" s="9"/>
      <c r="W102" s="8" t="s">
        <v>2501</v>
      </c>
      <c r="X102" s="8">
        <v>720623.62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8">
        <v>0</v>
      </c>
      <c r="AH102" s="8" t="s">
        <v>2502</v>
      </c>
      <c r="AI102" s="8" t="s">
        <v>3</v>
      </c>
      <c r="AJ102" s="8">
        <v>63053200</v>
      </c>
      <c r="AK102" s="8" t="s">
        <v>2189</v>
      </c>
      <c r="AL102" s="8">
        <v>94.3</v>
      </c>
      <c r="AM102" s="8">
        <v>3734</v>
      </c>
      <c r="AN102" s="8" t="s">
        <v>1905</v>
      </c>
    </row>
    <row r="103" spans="7:40" ht="12.75" customHeight="1">
      <c r="G103" s="344"/>
      <c r="H103" s="7" t="s">
        <v>2939</v>
      </c>
      <c r="I103" s="8" t="s">
        <v>78</v>
      </c>
      <c r="J103" s="8" t="s">
        <v>56</v>
      </c>
      <c r="K103" s="6" t="s">
        <v>3347</v>
      </c>
      <c r="L103" s="8" t="s">
        <v>2288</v>
      </c>
      <c r="M103" s="8" t="s">
        <v>3347</v>
      </c>
      <c r="N103" s="7" t="s">
        <v>2939</v>
      </c>
      <c r="O103" s="8" t="s">
        <v>15</v>
      </c>
      <c r="P103" s="8" t="s">
        <v>57</v>
      </c>
      <c r="Q103" s="8" t="s">
        <v>57</v>
      </c>
      <c r="R103" s="8" t="s">
        <v>58</v>
      </c>
      <c r="S103" s="8" t="s">
        <v>16</v>
      </c>
      <c r="T103" s="9">
        <v>882</v>
      </c>
      <c r="U103" s="9">
        <v>167394.78</v>
      </c>
      <c r="V103" s="9"/>
      <c r="W103" s="8" t="s">
        <v>2127</v>
      </c>
      <c r="X103" s="8">
        <v>3074602.08</v>
      </c>
      <c r="Y103" s="8">
        <v>0.05</v>
      </c>
      <c r="Z103" s="8">
        <v>83.7</v>
      </c>
      <c r="AA103" s="8">
        <v>0.05</v>
      </c>
      <c r="AB103" s="8">
        <v>83.7</v>
      </c>
      <c r="AC103" s="8">
        <v>0</v>
      </c>
      <c r="AD103" s="8">
        <v>0</v>
      </c>
      <c r="AE103" s="8">
        <v>0</v>
      </c>
      <c r="AF103" s="8">
        <v>167.4</v>
      </c>
      <c r="AG103" s="8">
        <v>0</v>
      </c>
      <c r="AH103" s="8" t="s">
        <v>59</v>
      </c>
      <c r="AI103" s="8" t="s">
        <v>3</v>
      </c>
      <c r="AJ103" s="8">
        <v>63053200</v>
      </c>
      <c r="AK103" s="8" t="s">
        <v>60</v>
      </c>
      <c r="AL103" s="8">
        <v>1</v>
      </c>
      <c r="AM103" s="8">
        <v>882</v>
      </c>
      <c r="AN103" s="8" t="s">
        <v>1905</v>
      </c>
    </row>
    <row r="104" spans="7:40" ht="12.75" customHeight="1">
      <c r="G104" s="344"/>
      <c r="H104" s="7" t="s">
        <v>2939</v>
      </c>
      <c r="I104" s="8" t="s">
        <v>78</v>
      </c>
      <c r="J104" s="8" t="s">
        <v>56</v>
      </c>
      <c r="K104" s="6" t="s">
        <v>3347</v>
      </c>
      <c r="L104" s="8" t="s">
        <v>2288</v>
      </c>
      <c r="M104" s="8" t="s">
        <v>3347</v>
      </c>
      <c r="N104" s="7" t="s">
        <v>2939</v>
      </c>
      <c r="O104" s="8" t="s">
        <v>15</v>
      </c>
      <c r="P104" s="8" t="s">
        <v>57</v>
      </c>
      <c r="Q104" s="8" t="s">
        <v>57</v>
      </c>
      <c r="R104" s="8" t="s">
        <v>58</v>
      </c>
      <c r="S104" s="8" t="s">
        <v>16</v>
      </c>
      <c r="T104" s="9">
        <v>4473</v>
      </c>
      <c r="U104" s="9">
        <v>842757.93</v>
      </c>
      <c r="V104" s="9"/>
      <c r="W104" s="8" t="s">
        <v>2127</v>
      </c>
      <c r="X104" s="8">
        <v>0</v>
      </c>
      <c r="Y104" s="8">
        <v>0.05</v>
      </c>
      <c r="Z104" s="8">
        <v>421.38</v>
      </c>
      <c r="AA104" s="8">
        <v>0.05</v>
      </c>
      <c r="AB104" s="8">
        <v>421.38</v>
      </c>
      <c r="AC104" s="8">
        <v>0</v>
      </c>
      <c r="AD104" s="8">
        <v>0</v>
      </c>
      <c r="AE104" s="8">
        <v>0</v>
      </c>
      <c r="AF104" s="8">
        <v>842.76</v>
      </c>
      <c r="AG104" s="8">
        <v>0</v>
      </c>
      <c r="AH104" s="8" t="s">
        <v>59</v>
      </c>
      <c r="AI104" s="8" t="s">
        <v>3</v>
      </c>
      <c r="AJ104" s="8">
        <v>63053200</v>
      </c>
      <c r="AK104" s="8" t="s">
        <v>60</v>
      </c>
      <c r="AL104" s="8">
        <v>1</v>
      </c>
      <c r="AM104" s="8">
        <v>4473</v>
      </c>
      <c r="AN104" s="8" t="s">
        <v>1905</v>
      </c>
    </row>
    <row r="105" spans="7:40">
      <c r="G105" s="344"/>
      <c r="H105" s="7" t="s">
        <v>2939</v>
      </c>
      <c r="I105" s="8" t="s">
        <v>78</v>
      </c>
      <c r="J105" s="8" t="s">
        <v>56</v>
      </c>
      <c r="K105" s="6" t="s">
        <v>3347</v>
      </c>
      <c r="L105" s="8" t="s">
        <v>2288</v>
      </c>
      <c r="M105" s="8" t="s">
        <v>3347</v>
      </c>
      <c r="N105" s="7" t="s">
        <v>2939</v>
      </c>
      <c r="O105" s="8" t="s">
        <v>15</v>
      </c>
      <c r="P105" s="8" t="s">
        <v>57</v>
      </c>
      <c r="Q105" s="8" t="s">
        <v>57</v>
      </c>
      <c r="R105" s="8" t="s">
        <v>58</v>
      </c>
      <c r="S105" s="8" t="s">
        <v>16</v>
      </c>
      <c r="T105" s="9">
        <v>942</v>
      </c>
      <c r="U105" s="9">
        <v>213127.5</v>
      </c>
      <c r="V105" s="9"/>
      <c r="W105" s="8" t="s">
        <v>2127</v>
      </c>
      <c r="X105" s="8">
        <v>0</v>
      </c>
      <c r="Y105" s="8">
        <v>0.05</v>
      </c>
      <c r="Z105" s="8">
        <v>106.56</v>
      </c>
      <c r="AA105" s="8">
        <v>0.05</v>
      </c>
      <c r="AB105" s="8">
        <v>106.56</v>
      </c>
      <c r="AC105" s="8">
        <v>0</v>
      </c>
      <c r="AD105" s="8">
        <v>0</v>
      </c>
      <c r="AE105" s="8">
        <v>0</v>
      </c>
      <c r="AF105" s="8">
        <v>213.12</v>
      </c>
      <c r="AG105" s="8">
        <v>0</v>
      </c>
      <c r="AH105" s="8" t="s">
        <v>59</v>
      </c>
      <c r="AI105" s="8" t="s">
        <v>3</v>
      </c>
      <c r="AJ105" s="8">
        <v>63053200</v>
      </c>
      <c r="AK105" s="8" t="s">
        <v>60</v>
      </c>
      <c r="AL105" s="8">
        <v>1</v>
      </c>
      <c r="AM105" s="8">
        <v>942</v>
      </c>
      <c r="AN105" s="8" t="s">
        <v>1905</v>
      </c>
    </row>
    <row r="106" spans="7:40">
      <c r="G106" s="344"/>
      <c r="H106" s="344" t="s">
        <v>2939</v>
      </c>
      <c r="I106" s="344" t="s">
        <v>78</v>
      </c>
      <c r="J106" s="344" t="s">
        <v>56</v>
      </c>
      <c r="K106" s="10" t="s">
        <v>3347</v>
      </c>
      <c r="L106" s="344" t="s">
        <v>2288</v>
      </c>
      <c r="M106" s="344" t="s">
        <v>3347</v>
      </c>
      <c r="N106" s="344" t="s">
        <v>2939</v>
      </c>
      <c r="O106" s="344" t="s">
        <v>15</v>
      </c>
      <c r="P106" s="344" t="s">
        <v>57</v>
      </c>
      <c r="Q106" s="344" t="s">
        <v>57</v>
      </c>
      <c r="R106" s="344" t="s">
        <v>58</v>
      </c>
      <c r="S106" s="344" t="s">
        <v>16</v>
      </c>
      <c r="T106" s="347">
        <v>1330</v>
      </c>
      <c r="U106" s="347">
        <v>240610.3</v>
      </c>
      <c r="V106" s="347"/>
      <c r="W106" s="344" t="s">
        <v>2127</v>
      </c>
      <c r="X106" s="344">
        <v>0</v>
      </c>
      <c r="Y106" s="344">
        <v>0.05</v>
      </c>
      <c r="Z106" s="344">
        <v>120.31</v>
      </c>
      <c r="AA106" s="344">
        <v>0.05</v>
      </c>
      <c r="AB106" s="344">
        <v>120.31</v>
      </c>
      <c r="AC106" s="344">
        <v>0</v>
      </c>
      <c r="AD106" s="344">
        <v>0</v>
      </c>
      <c r="AE106" s="344">
        <v>0</v>
      </c>
      <c r="AF106" s="344">
        <v>240.62</v>
      </c>
      <c r="AG106" s="344">
        <v>0</v>
      </c>
      <c r="AH106" s="344" t="s">
        <v>59</v>
      </c>
      <c r="AI106" s="344" t="s">
        <v>3</v>
      </c>
      <c r="AJ106" s="344">
        <v>63053200</v>
      </c>
      <c r="AK106" s="344" t="s">
        <v>60</v>
      </c>
      <c r="AL106" s="344">
        <v>1</v>
      </c>
      <c r="AM106" s="344">
        <v>1330</v>
      </c>
      <c r="AN106" s="344" t="s">
        <v>1905</v>
      </c>
    </row>
    <row r="107" spans="7:40">
      <c r="G107" s="344"/>
      <c r="H107" s="344" t="s">
        <v>2939</v>
      </c>
      <c r="I107" s="344" t="s">
        <v>78</v>
      </c>
      <c r="J107" s="344" t="s">
        <v>56</v>
      </c>
      <c r="K107" s="10" t="s">
        <v>3347</v>
      </c>
      <c r="L107" s="344" t="s">
        <v>2288</v>
      </c>
      <c r="M107" s="344" t="s">
        <v>3347</v>
      </c>
      <c r="N107" s="344" t="s">
        <v>2939</v>
      </c>
      <c r="O107" s="344" t="s">
        <v>15</v>
      </c>
      <c r="P107" s="344" t="s">
        <v>57</v>
      </c>
      <c r="Q107" s="344" t="s">
        <v>57</v>
      </c>
      <c r="R107" s="344" t="s">
        <v>58</v>
      </c>
      <c r="S107" s="8" t="s">
        <v>16</v>
      </c>
      <c r="T107" s="347">
        <v>8539</v>
      </c>
      <c r="U107" s="347">
        <v>1610711.57</v>
      </c>
      <c r="V107" s="347"/>
      <c r="W107" s="344" t="s">
        <v>2127</v>
      </c>
      <c r="X107" s="344">
        <v>0</v>
      </c>
      <c r="Y107" s="344">
        <v>0.05</v>
      </c>
      <c r="Z107" s="344">
        <v>805.36</v>
      </c>
      <c r="AA107" s="344">
        <v>0.05</v>
      </c>
      <c r="AB107" s="344">
        <v>805.36</v>
      </c>
      <c r="AC107" s="344">
        <v>0</v>
      </c>
      <c r="AD107" s="344">
        <v>0</v>
      </c>
      <c r="AE107" s="344">
        <v>0</v>
      </c>
      <c r="AF107" s="344">
        <v>1610.72</v>
      </c>
      <c r="AG107" s="344">
        <v>0</v>
      </c>
      <c r="AH107" s="344" t="s">
        <v>59</v>
      </c>
      <c r="AI107" s="344" t="s">
        <v>3</v>
      </c>
      <c r="AJ107" s="344">
        <v>63053200</v>
      </c>
      <c r="AK107" s="344" t="s">
        <v>60</v>
      </c>
      <c r="AL107" s="344">
        <v>1</v>
      </c>
      <c r="AM107" s="344">
        <v>8539</v>
      </c>
      <c r="AN107" s="344" t="s">
        <v>1905</v>
      </c>
    </row>
    <row r="108" spans="7:40">
      <c r="G108" s="344"/>
      <c r="H108" s="344" t="s">
        <v>2939</v>
      </c>
      <c r="I108" s="344" t="s">
        <v>78</v>
      </c>
      <c r="J108" s="344" t="s">
        <v>56</v>
      </c>
      <c r="K108" s="10" t="s">
        <v>3348</v>
      </c>
      <c r="L108" s="344" t="s">
        <v>2288</v>
      </c>
      <c r="M108" s="344" t="s">
        <v>3348</v>
      </c>
      <c r="N108" s="344" t="s">
        <v>2939</v>
      </c>
      <c r="O108" s="344" t="s">
        <v>15</v>
      </c>
      <c r="P108" s="344" t="s">
        <v>2758</v>
      </c>
      <c r="Q108" s="344" t="s">
        <v>2759</v>
      </c>
      <c r="R108" s="344" t="s">
        <v>349</v>
      </c>
      <c r="S108" s="344" t="s">
        <v>2760</v>
      </c>
      <c r="T108" s="347">
        <v>3198.4</v>
      </c>
      <c r="U108" s="344">
        <v>522394.67</v>
      </c>
      <c r="W108" s="344" t="s">
        <v>3349</v>
      </c>
      <c r="X108" s="344">
        <v>522394.67</v>
      </c>
      <c r="Y108" s="344">
        <v>0.05</v>
      </c>
      <c r="Z108" s="344">
        <v>261.2</v>
      </c>
      <c r="AA108" s="344">
        <v>0.05</v>
      </c>
      <c r="AB108" s="344">
        <v>261.2</v>
      </c>
      <c r="AC108" s="344">
        <v>0</v>
      </c>
      <c r="AD108" s="344">
        <v>0</v>
      </c>
      <c r="AE108" s="344">
        <v>0</v>
      </c>
      <c r="AF108" s="344">
        <v>522.4</v>
      </c>
      <c r="AG108" s="344">
        <v>0</v>
      </c>
      <c r="AH108" s="344" t="s">
        <v>59</v>
      </c>
      <c r="AI108" s="344" t="s">
        <v>3</v>
      </c>
      <c r="AJ108" s="344">
        <v>39232999</v>
      </c>
      <c r="AK108" s="344" t="s">
        <v>60</v>
      </c>
      <c r="AL108" s="344">
        <v>1</v>
      </c>
      <c r="AM108" s="344">
        <v>3198.4</v>
      </c>
      <c r="AN108" s="344" t="s">
        <v>1905</v>
      </c>
    </row>
    <row r="109" spans="7:40">
      <c r="G109" s="344"/>
      <c r="H109" s="344" t="s">
        <v>2939</v>
      </c>
      <c r="I109" s="344" t="s">
        <v>78</v>
      </c>
      <c r="J109" s="344" t="s">
        <v>56</v>
      </c>
      <c r="K109" s="10" t="s">
        <v>3350</v>
      </c>
      <c r="L109" s="344" t="s">
        <v>2288</v>
      </c>
      <c r="M109" s="344" t="s">
        <v>3350</v>
      </c>
      <c r="N109" s="344" t="s">
        <v>2939</v>
      </c>
      <c r="O109" s="344" t="s">
        <v>15</v>
      </c>
      <c r="P109" s="344" t="s">
        <v>57</v>
      </c>
      <c r="Q109" s="344" t="s">
        <v>57</v>
      </c>
      <c r="R109" s="344" t="s">
        <v>58</v>
      </c>
      <c r="S109" s="344" t="s">
        <v>16</v>
      </c>
      <c r="T109" s="347">
        <v>4658</v>
      </c>
      <c r="U109" s="344">
        <v>860192.86</v>
      </c>
      <c r="W109" s="344" t="s">
        <v>2127</v>
      </c>
      <c r="X109" s="344">
        <v>3616964.8</v>
      </c>
      <c r="Y109" s="344">
        <v>0.05</v>
      </c>
      <c r="Z109" s="344">
        <v>430.1</v>
      </c>
      <c r="AA109" s="344">
        <v>0.05</v>
      </c>
      <c r="AB109" s="344">
        <v>430.1</v>
      </c>
      <c r="AC109" s="344">
        <v>0</v>
      </c>
      <c r="AD109" s="344">
        <v>0</v>
      </c>
      <c r="AE109" s="344">
        <v>0</v>
      </c>
      <c r="AF109" s="344">
        <v>860.2</v>
      </c>
      <c r="AG109" s="344">
        <v>0</v>
      </c>
      <c r="AH109" s="344" t="s">
        <v>59</v>
      </c>
      <c r="AI109" s="344" t="s">
        <v>3</v>
      </c>
      <c r="AJ109" s="344">
        <v>63053200</v>
      </c>
      <c r="AK109" s="344" t="s">
        <v>60</v>
      </c>
      <c r="AL109" s="344">
        <v>1</v>
      </c>
      <c r="AM109" s="344">
        <v>4658</v>
      </c>
      <c r="AN109" s="344" t="s">
        <v>1905</v>
      </c>
    </row>
    <row r="110" spans="7:40">
      <c r="G110" s="344"/>
      <c r="H110" s="344" t="s">
        <v>2939</v>
      </c>
      <c r="I110" s="344" t="s">
        <v>78</v>
      </c>
      <c r="J110" s="344" t="s">
        <v>56</v>
      </c>
      <c r="K110" s="10" t="s">
        <v>3350</v>
      </c>
      <c r="L110" s="344" t="s">
        <v>2288</v>
      </c>
      <c r="M110" s="344" t="s">
        <v>3350</v>
      </c>
      <c r="N110" s="344" t="s">
        <v>2939</v>
      </c>
      <c r="O110" s="344" t="s">
        <v>15</v>
      </c>
      <c r="P110" s="344" t="s">
        <v>57</v>
      </c>
      <c r="Q110" s="344" t="s">
        <v>57</v>
      </c>
      <c r="R110" s="344" t="s">
        <v>58</v>
      </c>
      <c r="S110" s="344" t="s">
        <v>16</v>
      </c>
      <c r="T110" s="347">
        <v>5240</v>
      </c>
      <c r="U110" s="344">
        <v>912074.4</v>
      </c>
      <c r="W110" s="344" t="s">
        <v>2127</v>
      </c>
      <c r="X110" s="344">
        <v>0</v>
      </c>
      <c r="Y110" s="344">
        <v>0.05</v>
      </c>
      <c r="Z110" s="344">
        <v>456.04</v>
      </c>
      <c r="AA110" s="344">
        <v>0.05</v>
      </c>
      <c r="AB110" s="344">
        <v>456.04</v>
      </c>
      <c r="AC110" s="344">
        <v>0</v>
      </c>
      <c r="AD110" s="344">
        <v>0</v>
      </c>
      <c r="AE110" s="344">
        <v>0</v>
      </c>
      <c r="AF110" s="344">
        <v>912.08</v>
      </c>
      <c r="AG110" s="344">
        <v>0</v>
      </c>
      <c r="AH110" s="344" t="s">
        <v>59</v>
      </c>
      <c r="AI110" s="344" t="s">
        <v>3</v>
      </c>
      <c r="AJ110" s="344">
        <v>63053200</v>
      </c>
      <c r="AK110" s="344" t="s">
        <v>60</v>
      </c>
      <c r="AL110" s="344">
        <v>1</v>
      </c>
      <c r="AM110" s="344">
        <v>5240</v>
      </c>
      <c r="AN110" s="344" t="s">
        <v>1905</v>
      </c>
    </row>
    <row r="111" spans="7:40">
      <c r="G111" s="344"/>
      <c r="H111" s="344" t="s">
        <v>2939</v>
      </c>
      <c r="I111" s="344" t="s">
        <v>78</v>
      </c>
      <c r="J111" s="344" t="s">
        <v>56</v>
      </c>
      <c r="K111" s="10" t="s">
        <v>3350</v>
      </c>
      <c r="L111" s="344" t="s">
        <v>2288</v>
      </c>
      <c r="M111" s="344" t="s">
        <v>3350</v>
      </c>
      <c r="N111" s="344" t="s">
        <v>2939</v>
      </c>
      <c r="O111" s="344" t="s">
        <v>15</v>
      </c>
      <c r="P111" s="344" t="s">
        <v>57</v>
      </c>
      <c r="Q111" s="344" t="s">
        <v>57</v>
      </c>
      <c r="R111" s="344" t="s">
        <v>58</v>
      </c>
      <c r="S111" s="344" t="s">
        <v>16</v>
      </c>
      <c r="T111" s="347">
        <v>10266</v>
      </c>
      <c r="U111" s="344">
        <v>1844697.54</v>
      </c>
      <c r="W111" s="344" t="s">
        <v>2127</v>
      </c>
      <c r="X111" s="344">
        <v>0</v>
      </c>
      <c r="Y111" s="344">
        <v>0.05</v>
      </c>
      <c r="Z111" s="344">
        <v>922.35</v>
      </c>
      <c r="AA111" s="344">
        <v>0.05</v>
      </c>
      <c r="AB111" s="344">
        <v>922.35</v>
      </c>
      <c r="AC111" s="344">
        <v>0</v>
      </c>
      <c r="AD111" s="344">
        <v>0</v>
      </c>
      <c r="AE111" s="344">
        <v>0</v>
      </c>
      <c r="AF111" s="344">
        <v>1844.7</v>
      </c>
      <c r="AG111" s="344">
        <v>0</v>
      </c>
      <c r="AH111" s="344" t="s">
        <v>59</v>
      </c>
      <c r="AI111" s="344" t="s">
        <v>3</v>
      </c>
      <c r="AJ111" s="344">
        <v>63053200</v>
      </c>
      <c r="AK111" s="344" t="s">
        <v>60</v>
      </c>
      <c r="AL111" s="344">
        <v>1</v>
      </c>
      <c r="AM111" s="344">
        <v>10266</v>
      </c>
      <c r="AN111" s="344" t="s">
        <v>1905</v>
      </c>
    </row>
    <row r="112" spans="7:40">
      <c r="G112" s="344"/>
      <c r="H112" s="344" t="s">
        <v>2939</v>
      </c>
      <c r="I112" s="344" t="s">
        <v>232</v>
      </c>
      <c r="J112" s="344" t="s">
        <v>2350</v>
      </c>
      <c r="K112" s="10" t="s">
        <v>3351</v>
      </c>
      <c r="L112" s="344" t="s">
        <v>2390</v>
      </c>
      <c r="M112" s="344" t="s">
        <v>3351</v>
      </c>
      <c r="N112" s="344" t="s">
        <v>2939</v>
      </c>
      <c r="O112" s="344" t="s">
        <v>15</v>
      </c>
      <c r="P112" s="344" t="s">
        <v>2076</v>
      </c>
      <c r="Q112" s="344" t="s">
        <v>2076</v>
      </c>
      <c r="R112" s="344" t="s">
        <v>2076</v>
      </c>
      <c r="S112" s="344" t="s">
        <v>64</v>
      </c>
      <c r="T112" s="347">
        <v>155</v>
      </c>
      <c r="U112" s="347">
        <v>21681.4</v>
      </c>
      <c r="V112" s="9">
        <f>+U112/T112</f>
        <v>139.88</v>
      </c>
      <c r="W112" s="344" t="s">
        <v>3352</v>
      </c>
      <c r="X112" s="344">
        <v>21681.4</v>
      </c>
      <c r="Y112" s="344"/>
      <c r="Z112" s="344">
        <v>0</v>
      </c>
      <c r="AA112" s="344"/>
      <c r="AB112" s="344">
        <v>0</v>
      </c>
      <c r="AC112" s="344"/>
      <c r="AD112" s="344">
        <v>0</v>
      </c>
      <c r="AE112" s="344">
        <v>0</v>
      </c>
      <c r="AF112" s="344">
        <v>0</v>
      </c>
      <c r="AG112" s="344">
        <v>0</v>
      </c>
      <c r="AH112" s="344" t="s">
        <v>2351</v>
      </c>
      <c r="AI112" s="344" t="s">
        <v>3</v>
      </c>
      <c r="AJ112" s="344">
        <v>39269080</v>
      </c>
      <c r="AK112" s="344" t="s">
        <v>60</v>
      </c>
      <c r="AL112" s="344">
        <v>1</v>
      </c>
      <c r="AM112" s="344">
        <v>155</v>
      </c>
      <c r="AN112" s="344" t="s">
        <v>1905</v>
      </c>
    </row>
    <row r="113" spans="7:40">
      <c r="G113" s="344"/>
      <c r="H113" s="344" t="s">
        <v>2939</v>
      </c>
      <c r="I113" s="344" t="s">
        <v>61</v>
      </c>
      <c r="J113" s="344" t="s">
        <v>56</v>
      </c>
      <c r="K113" s="10">
        <v>224</v>
      </c>
      <c r="L113" s="344" t="s">
        <v>1663</v>
      </c>
      <c r="M113" s="344" t="s">
        <v>3353</v>
      </c>
      <c r="N113" s="344" t="s">
        <v>2939</v>
      </c>
      <c r="O113" s="344" t="s">
        <v>15</v>
      </c>
      <c r="P113" s="344" t="s">
        <v>57</v>
      </c>
      <c r="Q113" s="344" t="s">
        <v>57</v>
      </c>
      <c r="R113" s="344" t="s">
        <v>58</v>
      </c>
      <c r="S113" s="344" t="s">
        <v>16</v>
      </c>
      <c r="T113" s="344">
        <v>392</v>
      </c>
      <c r="U113" s="347">
        <v>74327.12</v>
      </c>
      <c r="V113" s="347"/>
      <c r="W113" s="344" t="s">
        <v>3278</v>
      </c>
      <c r="X113" s="344">
        <v>3488744.51</v>
      </c>
      <c r="Y113" s="344">
        <v>9</v>
      </c>
      <c r="Z113" s="344">
        <v>6689.44</v>
      </c>
      <c r="AA113" s="344">
        <v>9</v>
      </c>
      <c r="AB113" s="344">
        <v>6689.44</v>
      </c>
      <c r="AC113" s="344">
        <v>0</v>
      </c>
      <c r="AD113" s="344">
        <v>0</v>
      </c>
      <c r="AE113" s="344">
        <v>0</v>
      </c>
      <c r="AF113" s="344">
        <v>13378.88</v>
      </c>
      <c r="AG113" s="344">
        <v>0</v>
      </c>
      <c r="AH113" s="344" t="s">
        <v>65</v>
      </c>
      <c r="AI113" s="344" t="s">
        <v>3</v>
      </c>
      <c r="AJ113" s="344">
        <v>63053200</v>
      </c>
      <c r="AK113" s="344" t="s">
        <v>60</v>
      </c>
      <c r="AL113" s="344">
        <v>1</v>
      </c>
      <c r="AM113" s="344">
        <v>392</v>
      </c>
      <c r="AN113" s="344" t="s">
        <v>1905</v>
      </c>
    </row>
    <row r="114" spans="7:40">
      <c r="G114" s="344"/>
      <c r="H114" s="344" t="s">
        <v>2939</v>
      </c>
      <c r="I114" s="344" t="s">
        <v>61</v>
      </c>
      <c r="J114" s="344" t="s">
        <v>56</v>
      </c>
      <c r="K114" s="10">
        <v>224</v>
      </c>
      <c r="L114" s="344" t="s">
        <v>1663</v>
      </c>
      <c r="M114" s="344" t="s">
        <v>3353</v>
      </c>
      <c r="N114" s="344" t="s">
        <v>2939</v>
      </c>
      <c r="O114" s="344" t="s">
        <v>15</v>
      </c>
      <c r="P114" s="344" t="s">
        <v>57</v>
      </c>
      <c r="Q114" s="344" t="s">
        <v>57</v>
      </c>
      <c r="R114" s="344" t="s">
        <v>58</v>
      </c>
      <c r="S114" s="344" t="s">
        <v>16</v>
      </c>
      <c r="T114" s="347">
        <v>7388</v>
      </c>
      <c r="U114" s="347">
        <v>1480776.84</v>
      </c>
      <c r="V114" s="347"/>
      <c r="W114" s="344" t="s">
        <v>2504</v>
      </c>
      <c r="X114" s="344">
        <v>0</v>
      </c>
      <c r="Y114" s="344">
        <v>9</v>
      </c>
      <c r="Z114" s="344">
        <v>133269.92000000001</v>
      </c>
      <c r="AA114" s="344">
        <v>9</v>
      </c>
      <c r="AB114" s="344">
        <v>133269.92000000001</v>
      </c>
      <c r="AC114" s="344">
        <v>0</v>
      </c>
      <c r="AD114" s="344">
        <v>0</v>
      </c>
      <c r="AE114" s="344">
        <v>0</v>
      </c>
      <c r="AF114" s="344">
        <v>266539.84000000003</v>
      </c>
      <c r="AG114" s="344">
        <v>0</v>
      </c>
      <c r="AH114" s="344" t="s">
        <v>65</v>
      </c>
      <c r="AI114" s="344" t="s">
        <v>3</v>
      </c>
      <c r="AJ114" s="344">
        <v>63053200</v>
      </c>
      <c r="AK114" s="344" t="s">
        <v>60</v>
      </c>
      <c r="AL114" s="344">
        <v>1</v>
      </c>
      <c r="AM114" s="344">
        <v>7388</v>
      </c>
      <c r="AN114" s="344" t="s">
        <v>1905</v>
      </c>
    </row>
    <row r="115" spans="7:40">
      <c r="G115" s="344"/>
      <c r="H115" s="344" t="s">
        <v>2939</v>
      </c>
      <c r="I115" s="344" t="s">
        <v>61</v>
      </c>
      <c r="J115" s="344" t="s">
        <v>56</v>
      </c>
      <c r="K115" s="10">
        <v>224</v>
      </c>
      <c r="L115" s="344" t="s">
        <v>1663</v>
      </c>
      <c r="M115" s="344" t="s">
        <v>3353</v>
      </c>
      <c r="N115" s="344" t="s">
        <v>2939</v>
      </c>
      <c r="O115" s="344" t="s">
        <v>15</v>
      </c>
      <c r="P115" s="344" t="s">
        <v>57</v>
      </c>
      <c r="Q115" s="344" t="s">
        <v>57</v>
      </c>
      <c r="R115" s="344" t="s">
        <v>58</v>
      </c>
      <c r="S115" s="344" t="s">
        <v>16</v>
      </c>
      <c r="T115" s="347">
        <v>7162</v>
      </c>
      <c r="U115" s="347">
        <v>1403966.86</v>
      </c>
      <c r="V115" s="347"/>
      <c r="W115" s="344" t="s">
        <v>2504</v>
      </c>
      <c r="X115" s="344">
        <v>0</v>
      </c>
      <c r="Y115" s="344">
        <v>9</v>
      </c>
      <c r="Z115" s="344">
        <v>126357.02</v>
      </c>
      <c r="AA115" s="344">
        <v>9</v>
      </c>
      <c r="AB115" s="344">
        <v>126357.02</v>
      </c>
      <c r="AC115" s="344">
        <v>0</v>
      </c>
      <c r="AD115" s="344">
        <v>0</v>
      </c>
      <c r="AE115" s="344">
        <v>0</v>
      </c>
      <c r="AF115" s="344">
        <v>252714.04</v>
      </c>
      <c r="AG115" s="344">
        <v>0</v>
      </c>
      <c r="AH115" s="344" t="s">
        <v>65</v>
      </c>
      <c r="AI115" s="344" t="s">
        <v>3</v>
      </c>
      <c r="AJ115" s="344">
        <v>63053200</v>
      </c>
      <c r="AK115" s="344" t="s">
        <v>60</v>
      </c>
      <c r="AL115" s="344">
        <v>1</v>
      </c>
      <c r="AM115" s="344">
        <v>7162</v>
      </c>
      <c r="AN115" s="344" t="s">
        <v>1905</v>
      </c>
    </row>
    <row r="116" spans="7:40">
      <c r="G116" s="344"/>
      <c r="H116" s="344" t="s">
        <v>2939</v>
      </c>
      <c r="I116" s="344" t="s">
        <v>61</v>
      </c>
      <c r="J116" s="344" t="s">
        <v>56</v>
      </c>
      <c r="K116" s="10">
        <v>225</v>
      </c>
      <c r="L116" s="344" t="s">
        <v>75</v>
      </c>
      <c r="M116" s="344" t="s">
        <v>3354</v>
      </c>
      <c r="N116" s="344" t="s">
        <v>2939</v>
      </c>
      <c r="O116" s="344" t="s">
        <v>2</v>
      </c>
      <c r="P116" s="344" t="s">
        <v>67</v>
      </c>
      <c r="Q116" s="344" t="s">
        <v>68</v>
      </c>
      <c r="R116" s="344" t="s">
        <v>69</v>
      </c>
      <c r="S116" s="344" t="s">
        <v>70</v>
      </c>
      <c r="T116" s="344">
        <v>381</v>
      </c>
      <c r="U116" s="347">
        <v>18288</v>
      </c>
      <c r="V116" s="347"/>
      <c r="W116" s="344" t="s">
        <v>3355</v>
      </c>
      <c r="X116" s="344">
        <v>21561.55</v>
      </c>
      <c r="Y116" s="344">
        <v>9</v>
      </c>
      <c r="Z116" s="344">
        <v>1645.92</v>
      </c>
      <c r="AA116" s="344">
        <v>9</v>
      </c>
      <c r="AB116" s="344">
        <v>1645.92</v>
      </c>
      <c r="AC116" s="344">
        <v>0</v>
      </c>
      <c r="AD116" s="344">
        <v>0</v>
      </c>
      <c r="AE116" s="344">
        <v>0</v>
      </c>
      <c r="AF116" s="344">
        <v>3291.84</v>
      </c>
      <c r="AG116" s="344">
        <v>0</v>
      </c>
      <c r="AH116" s="344" t="s">
        <v>65</v>
      </c>
      <c r="AI116" s="344" t="s">
        <v>3</v>
      </c>
      <c r="AJ116" s="344">
        <v>73063090</v>
      </c>
      <c r="AK116" s="344" t="s">
        <v>60</v>
      </c>
      <c r="AL116" s="344">
        <v>1</v>
      </c>
      <c r="AM116" s="344">
        <v>381</v>
      </c>
      <c r="AN116" s="344" t="s">
        <v>1905</v>
      </c>
    </row>
    <row r="117" spans="7:40">
      <c r="G117" s="344"/>
      <c r="H117" s="344" t="s">
        <v>2948</v>
      </c>
      <c r="I117" s="344" t="s">
        <v>78</v>
      </c>
      <c r="J117" s="344" t="s">
        <v>56</v>
      </c>
      <c r="K117" s="10" t="s">
        <v>3356</v>
      </c>
      <c r="L117" s="344" t="s">
        <v>2288</v>
      </c>
      <c r="M117" s="344" t="s">
        <v>3356</v>
      </c>
      <c r="N117" s="344" t="s">
        <v>2948</v>
      </c>
      <c r="O117" s="344" t="s">
        <v>15</v>
      </c>
      <c r="P117" s="344" t="s">
        <v>57</v>
      </c>
      <c r="Q117" s="344" t="s">
        <v>57</v>
      </c>
      <c r="R117" s="344" t="s">
        <v>58</v>
      </c>
      <c r="S117" s="344" t="s">
        <v>16</v>
      </c>
      <c r="T117" s="347">
        <v>1469</v>
      </c>
      <c r="U117" s="347">
        <v>263788.33</v>
      </c>
      <c r="V117" s="347"/>
      <c r="W117" s="344" t="s">
        <v>2499</v>
      </c>
      <c r="X117" s="344">
        <v>3438155.49</v>
      </c>
      <c r="Y117" s="344">
        <v>0.05</v>
      </c>
      <c r="Z117" s="344">
        <v>131.88999999999999</v>
      </c>
      <c r="AA117" s="344">
        <v>0.05</v>
      </c>
      <c r="AB117" s="344">
        <v>131.88999999999999</v>
      </c>
      <c r="AC117" s="344">
        <v>0</v>
      </c>
      <c r="AD117" s="344">
        <v>0</v>
      </c>
      <c r="AE117" s="344">
        <v>0</v>
      </c>
      <c r="AF117" s="344">
        <v>263.77999999999997</v>
      </c>
      <c r="AG117" s="344">
        <v>0</v>
      </c>
      <c r="AH117" s="344" t="s">
        <v>59</v>
      </c>
      <c r="AI117" s="344" t="s">
        <v>3</v>
      </c>
      <c r="AJ117" s="344">
        <v>63053200</v>
      </c>
      <c r="AK117" s="344" t="s">
        <v>60</v>
      </c>
      <c r="AL117" s="344">
        <v>1</v>
      </c>
      <c r="AM117" s="344">
        <v>1469</v>
      </c>
      <c r="AN117" s="344" t="s">
        <v>1905</v>
      </c>
    </row>
    <row r="118" spans="7:40">
      <c r="G118" s="344"/>
      <c r="H118" s="344" t="s">
        <v>2948</v>
      </c>
      <c r="I118" s="344" t="s">
        <v>78</v>
      </c>
      <c r="J118" s="344" t="s">
        <v>56</v>
      </c>
      <c r="K118" s="10" t="s">
        <v>3356</v>
      </c>
      <c r="L118" s="344" t="s">
        <v>2288</v>
      </c>
      <c r="M118" s="344" t="s">
        <v>3356</v>
      </c>
      <c r="N118" s="344" t="s">
        <v>2948</v>
      </c>
      <c r="O118" s="344" t="s">
        <v>15</v>
      </c>
      <c r="P118" s="344" t="s">
        <v>57</v>
      </c>
      <c r="Q118" s="344" t="s">
        <v>57</v>
      </c>
      <c r="R118" s="344" t="s">
        <v>58</v>
      </c>
      <c r="S118" s="344" t="s">
        <v>16</v>
      </c>
      <c r="T118" s="347">
        <v>3142</v>
      </c>
      <c r="U118" s="344">
        <v>561443.98</v>
      </c>
      <c r="W118" s="344" t="s">
        <v>2127</v>
      </c>
      <c r="X118" s="344">
        <v>0</v>
      </c>
      <c r="Y118" s="344">
        <v>0.05</v>
      </c>
      <c r="Z118" s="344">
        <v>280.72000000000003</v>
      </c>
      <c r="AA118" s="344">
        <v>0.05</v>
      </c>
      <c r="AB118" s="344">
        <v>280.72000000000003</v>
      </c>
      <c r="AC118" s="344">
        <v>0</v>
      </c>
      <c r="AD118" s="344">
        <v>0</v>
      </c>
      <c r="AE118" s="344">
        <v>0</v>
      </c>
      <c r="AF118" s="344">
        <v>561.44000000000005</v>
      </c>
      <c r="AG118" s="344">
        <v>0</v>
      </c>
      <c r="AH118" s="344" t="s">
        <v>59</v>
      </c>
      <c r="AI118" s="344" t="s">
        <v>3</v>
      </c>
      <c r="AJ118" s="344">
        <v>63053200</v>
      </c>
      <c r="AK118" s="344" t="s">
        <v>60</v>
      </c>
      <c r="AL118" s="344">
        <v>1</v>
      </c>
      <c r="AM118" s="344">
        <v>3142</v>
      </c>
      <c r="AN118" s="344" t="s">
        <v>1905</v>
      </c>
    </row>
    <row r="119" spans="7:40">
      <c r="G119" s="344"/>
      <c r="H119" s="344" t="s">
        <v>2948</v>
      </c>
      <c r="I119" s="344" t="s">
        <v>78</v>
      </c>
      <c r="J119" s="344" t="s">
        <v>56</v>
      </c>
      <c r="K119" s="10" t="s">
        <v>3356</v>
      </c>
      <c r="L119" s="344" t="s">
        <v>2288</v>
      </c>
      <c r="M119" s="344" t="s">
        <v>3356</v>
      </c>
      <c r="N119" s="344" t="s">
        <v>2948</v>
      </c>
      <c r="O119" s="344" t="s">
        <v>15</v>
      </c>
      <c r="P119" s="344" t="s">
        <v>57</v>
      </c>
      <c r="Q119" s="344" t="s">
        <v>57</v>
      </c>
      <c r="R119" s="344" t="s">
        <v>58</v>
      </c>
      <c r="S119" s="344" t="s">
        <v>16</v>
      </c>
      <c r="T119" s="347">
        <v>1065</v>
      </c>
      <c r="U119" s="344">
        <v>196737.45</v>
      </c>
      <c r="W119" s="344" t="s">
        <v>2127</v>
      </c>
      <c r="X119" s="344">
        <v>0</v>
      </c>
      <c r="Y119" s="344">
        <v>0.05</v>
      </c>
      <c r="Z119" s="344">
        <v>98.37</v>
      </c>
      <c r="AA119" s="344">
        <v>0.05</v>
      </c>
      <c r="AB119" s="344">
        <v>98.37</v>
      </c>
      <c r="AC119" s="344">
        <v>0</v>
      </c>
      <c r="AD119" s="344">
        <v>0</v>
      </c>
      <c r="AE119" s="344">
        <v>0</v>
      </c>
      <c r="AF119" s="344">
        <v>196.74</v>
      </c>
      <c r="AG119" s="344">
        <v>0</v>
      </c>
      <c r="AH119" s="344" t="s">
        <v>59</v>
      </c>
      <c r="AI119" s="344" t="s">
        <v>3</v>
      </c>
      <c r="AJ119" s="344">
        <v>63053200</v>
      </c>
      <c r="AK119" s="344" t="s">
        <v>60</v>
      </c>
      <c r="AL119" s="344">
        <v>1</v>
      </c>
      <c r="AM119" s="344">
        <v>1065</v>
      </c>
      <c r="AN119" s="344" t="s">
        <v>1905</v>
      </c>
    </row>
    <row r="120" spans="7:40">
      <c r="G120" s="344"/>
      <c r="H120" s="344" t="s">
        <v>2948</v>
      </c>
      <c r="I120" s="344" t="s">
        <v>78</v>
      </c>
      <c r="J120" s="344" t="s">
        <v>56</v>
      </c>
      <c r="K120" s="10" t="s">
        <v>3356</v>
      </c>
      <c r="L120" s="344" t="s">
        <v>2288</v>
      </c>
      <c r="M120" s="344" t="s">
        <v>3356</v>
      </c>
      <c r="N120" s="344" t="s">
        <v>2948</v>
      </c>
      <c r="O120" s="344" t="s">
        <v>15</v>
      </c>
      <c r="P120" s="344" t="s">
        <v>57</v>
      </c>
      <c r="Q120" s="344" t="s">
        <v>57</v>
      </c>
      <c r="R120" s="344" t="s">
        <v>58</v>
      </c>
      <c r="S120" s="344" t="s">
        <v>16</v>
      </c>
      <c r="T120" s="347">
        <v>1195</v>
      </c>
      <c r="U120" s="347">
        <v>219151.05</v>
      </c>
      <c r="V120" s="347"/>
      <c r="W120" s="344" t="s">
        <v>2504</v>
      </c>
      <c r="X120" s="344">
        <v>0</v>
      </c>
      <c r="Y120" s="344">
        <v>0.05</v>
      </c>
      <c r="Z120" s="344">
        <v>109.58</v>
      </c>
      <c r="AA120" s="344">
        <v>0.05</v>
      </c>
      <c r="AB120" s="344">
        <v>109.58</v>
      </c>
      <c r="AC120" s="344">
        <v>0</v>
      </c>
      <c r="AD120" s="344">
        <v>0</v>
      </c>
      <c r="AE120" s="344">
        <v>0</v>
      </c>
      <c r="AF120" s="344">
        <v>219.16</v>
      </c>
      <c r="AG120" s="344">
        <v>0</v>
      </c>
      <c r="AH120" s="344" t="s">
        <v>59</v>
      </c>
      <c r="AI120" s="344" t="s">
        <v>3</v>
      </c>
      <c r="AJ120" s="344">
        <v>63053200</v>
      </c>
      <c r="AK120" s="344" t="s">
        <v>60</v>
      </c>
      <c r="AL120" s="344">
        <v>1</v>
      </c>
      <c r="AM120" s="344">
        <v>1195</v>
      </c>
      <c r="AN120" s="344" t="s">
        <v>1905</v>
      </c>
    </row>
    <row r="121" spans="7:40">
      <c r="G121" s="344"/>
      <c r="H121" s="344" t="s">
        <v>2948</v>
      </c>
      <c r="I121" s="344" t="s">
        <v>78</v>
      </c>
      <c r="J121" s="344" t="s">
        <v>56</v>
      </c>
      <c r="K121" s="10" t="s">
        <v>3356</v>
      </c>
      <c r="L121" s="344" t="s">
        <v>2288</v>
      </c>
      <c r="M121" s="344" t="s">
        <v>3356</v>
      </c>
      <c r="N121" s="344" t="s">
        <v>2948</v>
      </c>
      <c r="O121" s="344" t="s">
        <v>15</v>
      </c>
      <c r="P121" s="344" t="s">
        <v>57</v>
      </c>
      <c r="Q121" s="344" t="s">
        <v>57</v>
      </c>
      <c r="R121" s="344" t="s">
        <v>58</v>
      </c>
      <c r="S121" s="344" t="s">
        <v>16</v>
      </c>
      <c r="T121" s="347">
        <v>1517</v>
      </c>
      <c r="U121" s="347">
        <v>331267.28999999998</v>
      </c>
      <c r="V121" s="347"/>
      <c r="W121" s="344" t="s">
        <v>2392</v>
      </c>
      <c r="X121" s="344">
        <v>0</v>
      </c>
      <c r="Y121" s="344">
        <v>0.05</v>
      </c>
      <c r="Z121" s="344">
        <v>165.63</v>
      </c>
      <c r="AA121" s="344">
        <v>0.05</v>
      </c>
      <c r="AB121" s="344">
        <v>165.63</v>
      </c>
      <c r="AC121" s="344">
        <v>0</v>
      </c>
      <c r="AD121" s="344">
        <v>0</v>
      </c>
      <c r="AE121" s="344">
        <v>0</v>
      </c>
      <c r="AF121" s="344">
        <v>331.26</v>
      </c>
      <c r="AG121" s="344">
        <v>0</v>
      </c>
      <c r="AH121" s="344" t="s">
        <v>59</v>
      </c>
      <c r="AI121" s="344" t="s">
        <v>3</v>
      </c>
      <c r="AJ121" s="344">
        <v>63053200</v>
      </c>
      <c r="AK121" s="344" t="s">
        <v>60</v>
      </c>
      <c r="AL121" s="344">
        <v>1</v>
      </c>
      <c r="AM121" s="344">
        <v>1517</v>
      </c>
      <c r="AN121" s="344" t="s">
        <v>1905</v>
      </c>
    </row>
    <row r="122" spans="7:40">
      <c r="G122" s="344"/>
      <c r="H122" s="344" t="s">
        <v>2948</v>
      </c>
      <c r="I122" s="344" t="s">
        <v>78</v>
      </c>
      <c r="J122" s="344" t="s">
        <v>56</v>
      </c>
      <c r="K122" s="10" t="s">
        <v>3356</v>
      </c>
      <c r="L122" s="344" t="s">
        <v>2288</v>
      </c>
      <c r="M122" s="344" t="s">
        <v>3356</v>
      </c>
      <c r="N122" s="344" t="s">
        <v>2948</v>
      </c>
      <c r="O122" s="344" t="s">
        <v>15</v>
      </c>
      <c r="P122" s="344" t="s">
        <v>57</v>
      </c>
      <c r="Q122" s="344" t="s">
        <v>57</v>
      </c>
      <c r="R122" s="344" t="s">
        <v>58</v>
      </c>
      <c r="S122" s="344" t="s">
        <v>16</v>
      </c>
      <c r="T122" s="347">
        <v>2897</v>
      </c>
      <c r="U122" s="347">
        <v>578791.63</v>
      </c>
      <c r="V122" s="347"/>
      <c r="W122" s="344" t="s">
        <v>2392</v>
      </c>
      <c r="X122" s="344">
        <v>0</v>
      </c>
      <c r="Y122" s="344">
        <v>0.05</v>
      </c>
      <c r="Z122" s="344">
        <v>289.39999999999998</v>
      </c>
      <c r="AA122" s="344">
        <v>0.05</v>
      </c>
      <c r="AB122" s="344">
        <v>289.39999999999998</v>
      </c>
      <c r="AC122" s="344">
        <v>0</v>
      </c>
      <c r="AD122" s="344">
        <v>0</v>
      </c>
      <c r="AE122" s="344">
        <v>0</v>
      </c>
      <c r="AF122" s="344">
        <v>578.79999999999995</v>
      </c>
      <c r="AG122" s="344">
        <v>0</v>
      </c>
      <c r="AH122" s="344" t="s">
        <v>59</v>
      </c>
      <c r="AI122" s="344" t="s">
        <v>3</v>
      </c>
      <c r="AJ122" s="344">
        <v>63053200</v>
      </c>
      <c r="AK122" s="344" t="s">
        <v>60</v>
      </c>
      <c r="AL122" s="344">
        <v>1</v>
      </c>
      <c r="AM122" s="344">
        <v>2897</v>
      </c>
      <c r="AN122" s="344" t="s">
        <v>1905</v>
      </c>
    </row>
    <row r="123" spans="7:40">
      <c r="G123" s="344"/>
      <c r="H123" s="344" t="s">
        <v>2948</v>
      </c>
      <c r="I123" s="344" t="s">
        <v>78</v>
      </c>
      <c r="J123" s="344" t="s">
        <v>56</v>
      </c>
      <c r="K123" s="10" t="s">
        <v>3356</v>
      </c>
      <c r="L123" s="344" t="s">
        <v>2288</v>
      </c>
      <c r="M123" s="344" t="s">
        <v>3356</v>
      </c>
      <c r="N123" s="344" t="s">
        <v>2948</v>
      </c>
      <c r="O123" s="344" t="s">
        <v>15</v>
      </c>
      <c r="P123" s="344" t="s">
        <v>57</v>
      </c>
      <c r="Q123" s="344" t="s">
        <v>57</v>
      </c>
      <c r="R123" s="344" t="s">
        <v>58</v>
      </c>
      <c r="S123" s="344" t="s">
        <v>16</v>
      </c>
      <c r="T123" s="347">
        <v>7492</v>
      </c>
      <c r="U123" s="347">
        <v>1286975.76</v>
      </c>
      <c r="V123" s="347"/>
      <c r="W123" s="344" t="s">
        <v>2127</v>
      </c>
      <c r="X123" s="344">
        <v>0</v>
      </c>
      <c r="Y123" s="344">
        <v>0.05</v>
      </c>
      <c r="Z123" s="344">
        <v>643.49</v>
      </c>
      <c r="AA123" s="344">
        <v>0.05</v>
      </c>
      <c r="AB123" s="344">
        <v>643.49</v>
      </c>
      <c r="AC123" s="344">
        <v>0</v>
      </c>
      <c r="AD123" s="344">
        <v>0</v>
      </c>
      <c r="AE123" s="344">
        <v>0</v>
      </c>
      <c r="AF123" s="344">
        <v>1286.98</v>
      </c>
      <c r="AG123" s="344">
        <v>0</v>
      </c>
      <c r="AH123" s="344" t="s">
        <v>59</v>
      </c>
      <c r="AI123" s="344" t="s">
        <v>3</v>
      </c>
      <c r="AJ123" s="344">
        <v>63053200</v>
      </c>
      <c r="AK123" s="344" t="s">
        <v>60</v>
      </c>
      <c r="AL123" s="344">
        <v>1</v>
      </c>
      <c r="AM123" s="344">
        <v>7492</v>
      </c>
      <c r="AN123" s="344" t="s">
        <v>1905</v>
      </c>
    </row>
    <row r="124" spans="7:40">
      <c r="G124" s="344"/>
      <c r="H124" s="344" t="s">
        <v>2948</v>
      </c>
      <c r="I124" s="344" t="s">
        <v>61</v>
      </c>
      <c r="J124" s="344" t="s">
        <v>56</v>
      </c>
      <c r="K124" s="10">
        <v>226</v>
      </c>
      <c r="L124" s="344" t="s">
        <v>2180</v>
      </c>
      <c r="M124" s="344" t="s">
        <v>3357</v>
      </c>
      <c r="N124" s="344" t="s">
        <v>2948</v>
      </c>
      <c r="O124" s="344" t="s">
        <v>13</v>
      </c>
      <c r="P124" s="344" t="s">
        <v>71</v>
      </c>
      <c r="Q124" s="344" t="s">
        <v>71</v>
      </c>
      <c r="R124" s="344" t="s">
        <v>72</v>
      </c>
      <c r="S124" s="344" t="s">
        <v>22</v>
      </c>
      <c r="T124" s="347">
        <v>4447</v>
      </c>
      <c r="U124" s="347">
        <v>53364</v>
      </c>
      <c r="V124" s="347"/>
      <c r="W124" s="344" t="s">
        <v>22</v>
      </c>
      <c r="X124" s="344">
        <v>64228.91</v>
      </c>
      <c r="Y124" s="344">
        <v>9</v>
      </c>
      <c r="Z124" s="344">
        <v>4802.76</v>
      </c>
      <c r="AA124" s="344">
        <v>9</v>
      </c>
      <c r="AB124" s="344">
        <v>4802.76</v>
      </c>
      <c r="AC124" s="344">
        <v>0</v>
      </c>
      <c r="AD124" s="344">
        <v>0</v>
      </c>
      <c r="AE124" s="344">
        <v>0</v>
      </c>
      <c r="AF124" s="344">
        <v>9605.52</v>
      </c>
      <c r="AG124" s="344">
        <v>1259.3900000000001</v>
      </c>
      <c r="AH124" s="344" t="s">
        <v>65</v>
      </c>
      <c r="AI124" s="344" t="s">
        <v>3</v>
      </c>
      <c r="AJ124" s="344">
        <v>39159029</v>
      </c>
      <c r="AK124" s="344" t="s">
        <v>60</v>
      </c>
      <c r="AL124" s="344">
        <v>1</v>
      </c>
      <c r="AM124" s="344">
        <v>4447</v>
      </c>
      <c r="AN124" s="344" t="s">
        <v>1905</v>
      </c>
    </row>
    <row r="125" spans="7:40">
      <c r="G125" s="344"/>
      <c r="H125" s="344" t="s">
        <v>2948</v>
      </c>
      <c r="I125" s="344" t="s">
        <v>61</v>
      </c>
      <c r="J125" s="344" t="s">
        <v>56</v>
      </c>
      <c r="K125" s="10">
        <v>227</v>
      </c>
      <c r="L125" s="344" t="s">
        <v>75</v>
      </c>
      <c r="M125" s="344" t="s">
        <v>3358</v>
      </c>
      <c r="N125" s="344" t="s">
        <v>2948</v>
      </c>
      <c r="O125" s="344" t="s">
        <v>15</v>
      </c>
      <c r="P125" s="344" t="s">
        <v>2076</v>
      </c>
      <c r="Q125" s="344" t="s">
        <v>2076</v>
      </c>
      <c r="R125" s="344" t="s">
        <v>2076</v>
      </c>
      <c r="S125" s="344" t="s">
        <v>64</v>
      </c>
      <c r="T125" s="347">
        <v>1103</v>
      </c>
      <c r="U125" s="347">
        <v>30884</v>
      </c>
      <c r="V125" s="9">
        <f>+U125/T125</f>
        <v>28</v>
      </c>
      <c r="W125" s="344" t="s">
        <v>2315</v>
      </c>
      <c r="X125" s="344">
        <v>36412.239999999998</v>
      </c>
      <c r="Y125" s="344">
        <v>9</v>
      </c>
      <c r="Z125" s="344">
        <v>2779.56</v>
      </c>
      <c r="AA125" s="344">
        <v>9</v>
      </c>
      <c r="AB125" s="344">
        <v>2779.56</v>
      </c>
      <c r="AC125" s="344">
        <v>0</v>
      </c>
      <c r="AD125" s="344">
        <v>0</v>
      </c>
      <c r="AE125" s="344">
        <v>0</v>
      </c>
      <c r="AF125" s="344">
        <v>5559.12</v>
      </c>
      <c r="AG125" s="344">
        <v>0</v>
      </c>
      <c r="AH125" s="344" t="s">
        <v>65</v>
      </c>
      <c r="AI125" s="344" t="s">
        <v>3</v>
      </c>
      <c r="AJ125" s="344">
        <v>39269080</v>
      </c>
      <c r="AK125" s="344" t="s">
        <v>60</v>
      </c>
      <c r="AL125" s="344">
        <v>1</v>
      </c>
      <c r="AM125" s="344">
        <v>1103</v>
      </c>
      <c r="AN125" s="344" t="s">
        <v>1905</v>
      </c>
    </row>
    <row r="126" spans="7:40">
      <c r="G126" s="344"/>
      <c r="H126" s="344" t="s">
        <v>2948</v>
      </c>
      <c r="I126" s="344" t="s">
        <v>61</v>
      </c>
      <c r="J126" s="344" t="s">
        <v>56</v>
      </c>
      <c r="K126" s="10">
        <v>228</v>
      </c>
      <c r="L126" s="344" t="s">
        <v>75</v>
      </c>
      <c r="M126" s="344" t="s">
        <v>3359</v>
      </c>
      <c r="N126" s="344" t="s">
        <v>2948</v>
      </c>
      <c r="O126" s="344" t="s">
        <v>2</v>
      </c>
      <c r="P126" s="344" t="s">
        <v>67</v>
      </c>
      <c r="Q126" s="344" t="s">
        <v>68</v>
      </c>
      <c r="R126" s="344" t="s">
        <v>69</v>
      </c>
      <c r="S126" s="344" t="s">
        <v>70</v>
      </c>
      <c r="T126" s="347">
        <v>459</v>
      </c>
      <c r="U126" s="347">
        <v>22032</v>
      </c>
      <c r="V126" s="347"/>
      <c r="W126" s="344" t="s">
        <v>558</v>
      </c>
      <c r="X126" s="344">
        <v>25975.73</v>
      </c>
      <c r="Y126" s="344">
        <v>9</v>
      </c>
      <c r="Z126" s="344">
        <v>1982.88</v>
      </c>
      <c r="AA126" s="344">
        <v>9</v>
      </c>
      <c r="AB126" s="344">
        <v>1982.88</v>
      </c>
      <c r="AC126" s="344">
        <v>0</v>
      </c>
      <c r="AD126" s="344">
        <v>0</v>
      </c>
      <c r="AE126" s="344">
        <v>0</v>
      </c>
      <c r="AF126" s="344">
        <v>3965.76</v>
      </c>
      <c r="AG126" s="344">
        <v>0</v>
      </c>
      <c r="AH126" s="344" t="s">
        <v>65</v>
      </c>
      <c r="AI126" s="344" t="s">
        <v>3</v>
      </c>
      <c r="AJ126" s="344">
        <v>73063090</v>
      </c>
      <c r="AK126" s="344" t="s">
        <v>60</v>
      </c>
      <c r="AL126" s="344">
        <v>1</v>
      </c>
      <c r="AM126" s="344">
        <v>459</v>
      </c>
      <c r="AN126" s="344" t="s">
        <v>1905</v>
      </c>
    </row>
    <row r="127" spans="7:40">
      <c r="G127" s="344"/>
      <c r="H127" s="344" t="s">
        <v>2984</v>
      </c>
      <c r="I127" s="344" t="s">
        <v>2297</v>
      </c>
      <c r="J127" s="344" t="s">
        <v>2188</v>
      </c>
      <c r="K127" s="10" t="s">
        <v>3360</v>
      </c>
      <c r="L127" s="344" t="s">
        <v>2286</v>
      </c>
      <c r="M127" s="344" t="s">
        <v>3360</v>
      </c>
      <c r="N127" s="344" t="s">
        <v>2984</v>
      </c>
      <c r="O127" s="344" t="s">
        <v>15</v>
      </c>
      <c r="P127" s="344" t="s">
        <v>57</v>
      </c>
      <c r="Q127" s="344" t="s">
        <v>57</v>
      </c>
      <c r="R127" s="344" t="s">
        <v>58</v>
      </c>
      <c r="S127" s="344" t="s">
        <v>14</v>
      </c>
      <c r="T127" s="347">
        <v>18274</v>
      </c>
      <c r="U127" s="344">
        <v>4062896.64</v>
      </c>
      <c r="W127" s="344" t="s">
        <v>2227</v>
      </c>
      <c r="X127" s="344">
        <v>4062896.64</v>
      </c>
      <c r="Y127" s="344">
        <v>0</v>
      </c>
      <c r="Z127" s="344">
        <v>0</v>
      </c>
      <c r="AA127" s="344">
        <v>0</v>
      </c>
      <c r="AB127" s="344">
        <v>0</v>
      </c>
      <c r="AC127" s="344">
        <v>18</v>
      </c>
      <c r="AD127" s="344">
        <v>731321.39520000003</v>
      </c>
      <c r="AE127" s="344">
        <v>0</v>
      </c>
      <c r="AF127" s="344">
        <v>731321.39520000003</v>
      </c>
      <c r="AG127" s="344">
        <v>0</v>
      </c>
      <c r="AH127" s="344" t="s">
        <v>2204</v>
      </c>
      <c r="AI127" s="344" t="s">
        <v>3</v>
      </c>
      <c r="AJ127" s="344">
        <v>63053200</v>
      </c>
      <c r="AK127" s="344" t="s">
        <v>2189</v>
      </c>
      <c r="AL127" s="344">
        <v>94.3</v>
      </c>
      <c r="AM127" s="344">
        <v>18274</v>
      </c>
      <c r="AN127" s="344" t="s">
        <v>2298</v>
      </c>
    </row>
    <row r="128" spans="7:40">
      <c r="G128" s="344"/>
      <c r="H128" s="344" t="s">
        <v>2984</v>
      </c>
      <c r="I128" s="344" t="s">
        <v>61</v>
      </c>
      <c r="J128" s="344" t="s">
        <v>56</v>
      </c>
      <c r="K128" s="10">
        <v>229</v>
      </c>
      <c r="L128" s="344" t="s">
        <v>75</v>
      </c>
      <c r="M128" s="344" t="s">
        <v>3361</v>
      </c>
      <c r="N128" s="344" t="s">
        <v>2984</v>
      </c>
      <c r="O128" s="344" t="s">
        <v>13</v>
      </c>
      <c r="P128" s="344" t="s">
        <v>99</v>
      </c>
      <c r="Q128" s="344" t="s">
        <v>100</v>
      </c>
      <c r="R128" s="344" t="s">
        <v>101</v>
      </c>
      <c r="S128" s="344" t="s">
        <v>1582</v>
      </c>
      <c r="T128" s="347">
        <v>108.8</v>
      </c>
      <c r="U128" s="347">
        <v>17342.72</v>
      </c>
      <c r="V128" s="347"/>
      <c r="W128" s="344" t="s">
        <v>3362</v>
      </c>
      <c r="X128" s="344">
        <v>18192.52</v>
      </c>
      <c r="Y128" s="344">
        <v>2.5</v>
      </c>
      <c r="Z128" s="344">
        <v>433.57</v>
      </c>
      <c r="AA128" s="344">
        <v>2.5</v>
      </c>
      <c r="AB128" s="344">
        <v>433.57</v>
      </c>
      <c r="AC128" s="344">
        <v>0</v>
      </c>
      <c r="AD128" s="344">
        <v>0</v>
      </c>
      <c r="AE128" s="344">
        <v>0</v>
      </c>
      <c r="AF128" s="344">
        <v>867.14</v>
      </c>
      <c r="AG128" s="344">
        <v>0</v>
      </c>
      <c r="AH128" s="344" t="s">
        <v>65</v>
      </c>
      <c r="AI128" s="344" t="s">
        <v>3</v>
      </c>
      <c r="AJ128" s="344">
        <v>54026930</v>
      </c>
      <c r="AK128" s="344" t="s">
        <v>60</v>
      </c>
      <c r="AL128" s="344">
        <v>1</v>
      </c>
      <c r="AM128" s="344">
        <v>108.8</v>
      </c>
      <c r="AN128" s="344" t="s">
        <v>1905</v>
      </c>
    </row>
    <row r="129" spans="7:40">
      <c r="G129" s="344"/>
      <c r="H129" s="344" t="s">
        <v>2984</v>
      </c>
      <c r="I129" s="344" t="s">
        <v>61</v>
      </c>
      <c r="J129" s="344" t="s">
        <v>56</v>
      </c>
      <c r="K129" s="10">
        <v>230</v>
      </c>
      <c r="L129" s="344" t="s">
        <v>2180</v>
      </c>
      <c r="M129" s="344" t="s">
        <v>3363</v>
      </c>
      <c r="N129" s="344" t="s">
        <v>2984</v>
      </c>
      <c r="O129" s="344" t="s">
        <v>13</v>
      </c>
      <c r="P129" s="344" t="s">
        <v>71</v>
      </c>
      <c r="Q129" s="344" t="s">
        <v>71</v>
      </c>
      <c r="R129" s="344" t="s">
        <v>72</v>
      </c>
      <c r="S129" s="344" t="s">
        <v>22</v>
      </c>
      <c r="T129" s="347">
        <v>4662</v>
      </c>
      <c r="U129" s="347">
        <v>55944</v>
      </c>
      <c r="V129" s="347"/>
      <c r="W129" s="344" t="s">
        <v>22</v>
      </c>
      <c r="X129" s="344">
        <v>67334.2</v>
      </c>
      <c r="Y129" s="344">
        <v>9</v>
      </c>
      <c r="Z129" s="344">
        <v>5034.96</v>
      </c>
      <c r="AA129" s="344">
        <v>9</v>
      </c>
      <c r="AB129" s="344">
        <v>5034.96</v>
      </c>
      <c r="AC129" s="344">
        <v>0</v>
      </c>
      <c r="AD129" s="344">
        <v>0</v>
      </c>
      <c r="AE129" s="344">
        <v>0</v>
      </c>
      <c r="AF129" s="344">
        <v>10069.92</v>
      </c>
      <c r="AG129" s="344">
        <v>1320.28</v>
      </c>
      <c r="AH129" s="344" t="s">
        <v>65</v>
      </c>
      <c r="AI129" s="344" t="s">
        <v>3</v>
      </c>
      <c r="AJ129" s="344">
        <v>39159029</v>
      </c>
      <c r="AK129" s="344" t="s">
        <v>60</v>
      </c>
      <c r="AL129" s="344">
        <v>1</v>
      </c>
      <c r="AM129" s="344">
        <v>4662</v>
      </c>
      <c r="AN129" s="344" t="s">
        <v>1905</v>
      </c>
    </row>
    <row r="130" spans="7:40">
      <c r="G130" s="344"/>
      <c r="H130" s="344" t="s">
        <v>2984</v>
      </c>
      <c r="I130" s="344" t="s">
        <v>61</v>
      </c>
      <c r="J130" s="344" t="s">
        <v>56</v>
      </c>
      <c r="K130" s="10">
        <v>231</v>
      </c>
      <c r="L130" s="344" t="s">
        <v>75</v>
      </c>
      <c r="M130" s="344" t="s">
        <v>3364</v>
      </c>
      <c r="N130" s="344" t="s">
        <v>2984</v>
      </c>
      <c r="O130" s="344" t="s">
        <v>15</v>
      </c>
      <c r="P130" s="344" t="s">
        <v>2076</v>
      </c>
      <c r="Q130" s="344" t="s">
        <v>2076</v>
      </c>
      <c r="R130" s="344" t="s">
        <v>2076</v>
      </c>
      <c r="S130" s="344" t="s">
        <v>64</v>
      </c>
      <c r="T130" s="344">
        <v>838</v>
      </c>
      <c r="U130" s="347">
        <v>23464</v>
      </c>
      <c r="V130" s="9">
        <f>+U130/T130</f>
        <v>28</v>
      </c>
      <c r="W130" s="344" t="s">
        <v>2315</v>
      </c>
      <c r="X130" s="344">
        <v>27664.06</v>
      </c>
      <c r="Y130" s="344">
        <v>9</v>
      </c>
      <c r="Z130" s="344">
        <v>2111.7600000000002</v>
      </c>
      <c r="AA130" s="344">
        <v>9</v>
      </c>
      <c r="AB130" s="344">
        <v>2111.7600000000002</v>
      </c>
      <c r="AC130" s="344">
        <v>0</v>
      </c>
      <c r="AD130" s="344">
        <v>0</v>
      </c>
      <c r="AE130" s="344">
        <v>0</v>
      </c>
      <c r="AF130" s="344">
        <v>4223.5200000000004</v>
      </c>
      <c r="AG130" s="344">
        <v>0</v>
      </c>
      <c r="AH130" s="344" t="s">
        <v>65</v>
      </c>
      <c r="AI130" s="344" t="s">
        <v>3</v>
      </c>
      <c r="AJ130" s="344">
        <v>39269080</v>
      </c>
      <c r="AK130" s="344" t="s">
        <v>60</v>
      </c>
      <c r="AL130" s="344">
        <v>1</v>
      </c>
      <c r="AM130" s="344">
        <v>838</v>
      </c>
      <c r="AN130" s="344" t="s">
        <v>1905</v>
      </c>
    </row>
    <row r="131" spans="7:40">
      <c r="G131" s="344"/>
      <c r="H131" s="344" t="s">
        <v>2984</v>
      </c>
      <c r="I131" s="344" t="s">
        <v>61</v>
      </c>
      <c r="J131" s="344" t="s">
        <v>56</v>
      </c>
      <c r="K131" s="10">
        <v>232</v>
      </c>
      <c r="L131" s="344" t="s">
        <v>75</v>
      </c>
      <c r="M131" s="344" t="s">
        <v>3365</v>
      </c>
      <c r="N131" s="344" t="s">
        <v>2984</v>
      </c>
      <c r="O131" s="344" t="s">
        <v>2</v>
      </c>
      <c r="P131" s="344" t="s">
        <v>67</v>
      </c>
      <c r="Q131" s="344" t="s">
        <v>68</v>
      </c>
      <c r="R131" s="344" t="s">
        <v>69</v>
      </c>
      <c r="S131" s="344" t="s">
        <v>70</v>
      </c>
      <c r="T131" s="347">
        <v>488</v>
      </c>
      <c r="U131" s="347">
        <v>23424</v>
      </c>
      <c r="V131" s="347"/>
      <c r="W131" s="344" t="s">
        <v>558</v>
      </c>
      <c r="X131" s="344">
        <v>27616.9</v>
      </c>
      <c r="Y131" s="344">
        <v>9</v>
      </c>
      <c r="Z131" s="344">
        <v>2108.16</v>
      </c>
      <c r="AA131" s="344">
        <v>9</v>
      </c>
      <c r="AB131" s="344">
        <v>2108.16</v>
      </c>
      <c r="AC131" s="344">
        <v>0</v>
      </c>
      <c r="AD131" s="344">
        <v>0</v>
      </c>
      <c r="AE131" s="344">
        <v>0</v>
      </c>
      <c r="AF131" s="344">
        <v>4216.32</v>
      </c>
      <c r="AG131" s="344">
        <v>0</v>
      </c>
      <c r="AH131" s="344" t="s">
        <v>65</v>
      </c>
      <c r="AI131" s="344" t="s">
        <v>3</v>
      </c>
      <c r="AJ131" s="344">
        <v>73063090</v>
      </c>
      <c r="AK131" s="344" t="s">
        <v>60</v>
      </c>
      <c r="AL131" s="344">
        <v>1</v>
      </c>
      <c r="AM131" s="344">
        <v>488</v>
      </c>
      <c r="AN131" s="344" t="s">
        <v>1905</v>
      </c>
    </row>
    <row r="132" spans="7:40">
      <c r="G132" s="344"/>
      <c r="H132" s="344" t="s">
        <v>3039</v>
      </c>
      <c r="I132" s="344" t="s">
        <v>61</v>
      </c>
      <c r="J132" s="344" t="s">
        <v>56</v>
      </c>
      <c r="K132" s="10">
        <v>233</v>
      </c>
      <c r="L132" s="344" t="s">
        <v>1663</v>
      </c>
      <c r="M132" s="344" t="s">
        <v>3366</v>
      </c>
      <c r="N132" s="344" t="s">
        <v>3039</v>
      </c>
      <c r="O132" s="344" t="s">
        <v>15</v>
      </c>
      <c r="P132" s="344" t="s">
        <v>57</v>
      </c>
      <c r="Q132" s="344" t="s">
        <v>57</v>
      </c>
      <c r="R132" s="344" t="s">
        <v>58</v>
      </c>
      <c r="S132" s="344" t="s">
        <v>16</v>
      </c>
      <c r="T132" s="347">
        <v>2226</v>
      </c>
      <c r="U132" s="344">
        <v>530144.16</v>
      </c>
      <c r="W132" s="344" t="s">
        <v>2127</v>
      </c>
      <c r="X132" s="344">
        <v>5507405.1200000001</v>
      </c>
      <c r="Y132" s="344">
        <v>9</v>
      </c>
      <c r="Z132" s="344">
        <v>47712.97</v>
      </c>
      <c r="AA132" s="344">
        <v>9</v>
      </c>
      <c r="AB132" s="344">
        <v>47712.97</v>
      </c>
      <c r="AC132" s="344">
        <v>0</v>
      </c>
      <c r="AD132" s="344">
        <v>0</v>
      </c>
      <c r="AE132" s="344">
        <v>0</v>
      </c>
      <c r="AF132" s="344">
        <v>95425.94</v>
      </c>
      <c r="AG132" s="344">
        <v>0</v>
      </c>
      <c r="AH132" s="344" t="s">
        <v>65</v>
      </c>
      <c r="AI132" s="344" t="s">
        <v>3</v>
      </c>
      <c r="AJ132" s="344">
        <v>63053200</v>
      </c>
      <c r="AK132" s="344" t="s">
        <v>60</v>
      </c>
      <c r="AL132" s="344">
        <v>1</v>
      </c>
      <c r="AM132" s="344">
        <v>2226</v>
      </c>
      <c r="AN132" s="344" t="s">
        <v>1905</v>
      </c>
    </row>
    <row r="133" spans="7:40">
      <c r="G133" s="344"/>
      <c r="H133" s="344" t="s">
        <v>3039</v>
      </c>
      <c r="I133" s="344" t="s">
        <v>61</v>
      </c>
      <c r="J133" s="344" t="s">
        <v>56</v>
      </c>
      <c r="K133" s="10">
        <v>233</v>
      </c>
      <c r="L133" s="344" t="s">
        <v>1663</v>
      </c>
      <c r="M133" s="344" t="s">
        <v>3366</v>
      </c>
      <c r="N133" s="344" t="s">
        <v>3039</v>
      </c>
      <c r="O133" s="344" t="s">
        <v>15</v>
      </c>
      <c r="P133" s="344" t="s">
        <v>57</v>
      </c>
      <c r="Q133" s="344" t="s">
        <v>57</v>
      </c>
      <c r="R133" s="344" t="s">
        <v>58</v>
      </c>
      <c r="S133" s="344" t="s">
        <v>16</v>
      </c>
      <c r="T133" s="347">
        <v>2697</v>
      </c>
      <c r="U133" s="344">
        <v>636357.15</v>
      </c>
      <c r="W133" s="344" t="s">
        <v>2127</v>
      </c>
      <c r="X133" s="344">
        <v>0</v>
      </c>
      <c r="Y133" s="344">
        <v>9</v>
      </c>
      <c r="Z133" s="344">
        <v>57272.14</v>
      </c>
      <c r="AA133" s="344">
        <v>9</v>
      </c>
      <c r="AB133" s="344">
        <v>57272.14</v>
      </c>
      <c r="AC133" s="344">
        <v>0</v>
      </c>
      <c r="AD133" s="344">
        <v>0</v>
      </c>
      <c r="AE133" s="344">
        <v>0</v>
      </c>
      <c r="AF133" s="344">
        <v>114544.28</v>
      </c>
      <c r="AG133" s="344">
        <v>0</v>
      </c>
      <c r="AH133" s="344" t="s">
        <v>65</v>
      </c>
      <c r="AI133" s="344" t="s">
        <v>3</v>
      </c>
      <c r="AJ133" s="344">
        <v>63053200</v>
      </c>
      <c r="AK133" s="344" t="s">
        <v>60</v>
      </c>
      <c r="AL133" s="344">
        <v>1</v>
      </c>
      <c r="AM133" s="344">
        <v>2697</v>
      </c>
      <c r="AN133" s="344" t="s">
        <v>1905</v>
      </c>
    </row>
    <row r="134" spans="7:40">
      <c r="G134" s="344"/>
      <c r="H134" s="344" t="s">
        <v>3039</v>
      </c>
      <c r="I134" s="344" t="s">
        <v>61</v>
      </c>
      <c r="J134" s="344" t="s">
        <v>56</v>
      </c>
      <c r="K134" s="10">
        <v>233</v>
      </c>
      <c r="L134" s="344" t="s">
        <v>1663</v>
      </c>
      <c r="M134" s="344" t="s">
        <v>3366</v>
      </c>
      <c r="N134" s="344" t="s">
        <v>3039</v>
      </c>
      <c r="O134" s="344" t="s">
        <v>15</v>
      </c>
      <c r="P134" s="344" t="s">
        <v>57</v>
      </c>
      <c r="Q134" s="344" t="s">
        <v>57</v>
      </c>
      <c r="R134" s="344" t="s">
        <v>58</v>
      </c>
      <c r="S134" s="344" t="s">
        <v>16</v>
      </c>
      <c r="T134" s="347">
        <v>2708</v>
      </c>
      <c r="U134" s="344">
        <v>590777.28</v>
      </c>
      <c r="W134" s="344" t="s">
        <v>2127</v>
      </c>
      <c r="X134" s="344">
        <v>0</v>
      </c>
      <c r="Y134" s="344">
        <v>9</v>
      </c>
      <c r="Z134" s="344">
        <v>53169.96</v>
      </c>
      <c r="AA134" s="344">
        <v>9</v>
      </c>
      <c r="AB134" s="344">
        <v>53169.96</v>
      </c>
      <c r="AC134" s="344">
        <v>0</v>
      </c>
      <c r="AD134" s="344">
        <v>0</v>
      </c>
      <c r="AE134" s="344">
        <v>0</v>
      </c>
      <c r="AF134" s="344">
        <v>106339.92</v>
      </c>
      <c r="AG134" s="344">
        <v>0</v>
      </c>
      <c r="AH134" s="344" t="s">
        <v>65</v>
      </c>
      <c r="AI134" s="344" t="s">
        <v>3</v>
      </c>
      <c r="AJ134" s="344">
        <v>63053200</v>
      </c>
      <c r="AK134" s="344" t="s">
        <v>60</v>
      </c>
      <c r="AL134" s="344">
        <v>1</v>
      </c>
      <c r="AM134" s="344">
        <v>2708</v>
      </c>
      <c r="AN134" s="344" t="s">
        <v>1905</v>
      </c>
    </row>
    <row r="135" spans="7:40">
      <c r="G135" s="344"/>
      <c r="H135" s="344" t="s">
        <v>3039</v>
      </c>
      <c r="I135" s="344" t="s">
        <v>61</v>
      </c>
      <c r="J135" s="344" t="s">
        <v>56</v>
      </c>
      <c r="K135" s="10">
        <v>233</v>
      </c>
      <c r="L135" s="344" t="s">
        <v>1663</v>
      </c>
      <c r="M135" s="344" t="s">
        <v>3366</v>
      </c>
      <c r="N135" s="344" t="s">
        <v>3039</v>
      </c>
      <c r="O135" s="344" t="s">
        <v>15</v>
      </c>
      <c r="P135" s="344" t="s">
        <v>57</v>
      </c>
      <c r="Q135" s="344" t="s">
        <v>57</v>
      </c>
      <c r="R135" s="344" t="s">
        <v>58</v>
      </c>
      <c r="S135" s="344" t="s">
        <v>16</v>
      </c>
      <c r="T135" s="347">
        <v>4546</v>
      </c>
      <c r="U135" s="344">
        <v>941385.68</v>
      </c>
      <c r="W135" s="344" t="s">
        <v>2127</v>
      </c>
      <c r="X135" s="344">
        <v>0</v>
      </c>
      <c r="Y135" s="344">
        <v>9</v>
      </c>
      <c r="Z135" s="344">
        <v>84724.71</v>
      </c>
      <c r="AA135" s="344">
        <v>9</v>
      </c>
      <c r="AB135" s="344">
        <v>84724.71</v>
      </c>
      <c r="AC135" s="344">
        <v>0</v>
      </c>
      <c r="AD135" s="344">
        <v>0</v>
      </c>
      <c r="AE135" s="344">
        <v>0</v>
      </c>
      <c r="AF135" s="344">
        <v>169449.42</v>
      </c>
      <c r="AG135" s="344">
        <v>0</v>
      </c>
      <c r="AH135" s="344" t="s">
        <v>65</v>
      </c>
      <c r="AI135" s="344" t="s">
        <v>3</v>
      </c>
      <c r="AJ135" s="344">
        <v>63053200</v>
      </c>
      <c r="AK135" s="344" t="s">
        <v>60</v>
      </c>
      <c r="AL135" s="344">
        <v>1</v>
      </c>
      <c r="AM135" s="344">
        <v>4546</v>
      </c>
      <c r="AN135" s="344" t="s">
        <v>1905</v>
      </c>
    </row>
    <row r="136" spans="7:40">
      <c r="G136" s="344"/>
      <c r="H136" s="344" t="s">
        <v>3039</v>
      </c>
      <c r="I136" s="344" t="s">
        <v>61</v>
      </c>
      <c r="J136" s="344" t="s">
        <v>56</v>
      </c>
      <c r="K136" s="10">
        <v>233</v>
      </c>
      <c r="L136" s="344" t="s">
        <v>1663</v>
      </c>
      <c r="M136" s="344" t="s">
        <v>3366</v>
      </c>
      <c r="N136" s="344" t="s">
        <v>3039</v>
      </c>
      <c r="O136" s="344" t="s">
        <v>15</v>
      </c>
      <c r="P136" s="344" t="s">
        <v>57</v>
      </c>
      <c r="Q136" s="344" t="s">
        <v>57</v>
      </c>
      <c r="R136" s="344" t="s">
        <v>58</v>
      </c>
      <c r="S136" s="344" t="s">
        <v>16</v>
      </c>
      <c r="T136" s="347">
        <v>1262</v>
      </c>
      <c r="U136" s="344">
        <v>275179.09999999998</v>
      </c>
      <c r="W136" s="344" t="s">
        <v>2127</v>
      </c>
      <c r="X136" s="344">
        <v>0</v>
      </c>
      <c r="Y136" s="344">
        <v>9</v>
      </c>
      <c r="Z136" s="344">
        <v>24766.12</v>
      </c>
      <c r="AA136" s="344">
        <v>9</v>
      </c>
      <c r="AB136" s="344">
        <v>24766.12</v>
      </c>
      <c r="AC136" s="344">
        <v>0</v>
      </c>
      <c r="AD136" s="344">
        <v>0</v>
      </c>
      <c r="AE136" s="344">
        <v>0</v>
      </c>
      <c r="AF136" s="344">
        <v>49532.24</v>
      </c>
      <c r="AG136" s="344">
        <v>0</v>
      </c>
      <c r="AH136" s="344" t="s">
        <v>65</v>
      </c>
      <c r="AI136" s="344" t="s">
        <v>3</v>
      </c>
      <c r="AJ136" s="344">
        <v>63053200</v>
      </c>
      <c r="AK136" s="344" t="s">
        <v>60</v>
      </c>
      <c r="AL136" s="344">
        <v>1</v>
      </c>
      <c r="AM136" s="344">
        <v>1262</v>
      </c>
      <c r="AN136" s="344" t="s">
        <v>1905</v>
      </c>
    </row>
    <row r="137" spans="7:40">
      <c r="G137" s="344"/>
      <c r="H137" s="344" t="s">
        <v>3039</v>
      </c>
      <c r="I137" s="344" t="s">
        <v>61</v>
      </c>
      <c r="J137" s="344" t="s">
        <v>56</v>
      </c>
      <c r="K137" s="10">
        <v>233</v>
      </c>
      <c r="L137" s="344" t="s">
        <v>1663</v>
      </c>
      <c r="M137" s="344" t="s">
        <v>3366</v>
      </c>
      <c r="N137" s="344" t="s">
        <v>3039</v>
      </c>
      <c r="O137" s="344" t="s">
        <v>15</v>
      </c>
      <c r="P137" s="344" t="s">
        <v>57</v>
      </c>
      <c r="Q137" s="344" t="s">
        <v>57</v>
      </c>
      <c r="R137" s="344" t="s">
        <v>58</v>
      </c>
      <c r="S137" s="344" t="s">
        <v>16</v>
      </c>
      <c r="T137" s="347">
        <v>3511</v>
      </c>
      <c r="U137" s="344">
        <v>729024.04</v>
      </c>
      <c r="W137" s="344" t="s">
        <v>2127</v>
      </c>
      <c r="X137" s="344">
        <v>0</v>
      </c>
      <c r="Y137" s="344">
        <v>9</v>
      </c>
      <c r="Z137" s="344">
        <v>65612.160000000003</v>
      </c>
      <c r="AA137" s="344">
        <v>9</v>
      </c>
      <c r="AB137" s="344">
        <v>65612.160000000003</v>
      </c>
      <c r="AC137" s="344">
        <v>0</v>
      </c>
      <c r="AD137" s="344">
        <v>0</v>
      </c>
      <c r="AE137" s="344">
        <v>0</v>
      </c>
      <c r="AF137" s="344">
        <v>131224.32000000001</v>
      </c>
      <c r="AG137" s="344">
        <v>0</v>
      </c>
      <c r="AH137" s="344" t="s">
        <v>65</v>
      </c>
      <c r="AI137" s="344" t="s">
        <v>3</v>
      </c>
      <c r="AJ137" s="344">
        <v>63053200</v>
      </c>
      <c r="AK137" s="344" t="s">
        <v>60</v>
      </c>
      <c r="AL137" s="344">
        <v>1</v>
      </c>
      <c r="AM137" s="344">
        <v>3511</v>
      </c>
      <c r="AN137" s="344" t="s">
        <v>1905</v>
      </c>
    </row>
    <row r="138" spans="7:40">
      <c r="G138" s="344"/>
      <c r="H138" s="344" t="s">
        <v>3039</v>
      </c>
      <c r="I138" s="344" t="s">
        <v>61</v>
      </c>
      <c r="J138" s="344" t="s">
        <v>56</v>
      </c>
      <c r="K138" s="10">
        <v>233</v>
      </c>
      <c r="L138" s="344" t="s">
        <v>1663</v>
      </c>
      <c r="M138" s="344" t="s">
        <v>3366</v>
      </c>
      <c r="N138" s="344" t="s">
        <v>3039</v>
      </c>
      <c r="O138" s="344" t="s">
        <v>15</v>
      </c>
      <c r="P138" s="344" t="s">
        <v>57</v>
      </c>
      <c r="Q138" s="344" t="s">
        <v>57</v>
      </c>
      <c r="R138" s="344" t="s">
        <v>58</v>
      </c>
      <c r="S138" s="344" t="s">
        <v>16</v>
      </c>
      <c r="T138" s="347">
        <v>1835</v>
      </c>
      <c r="U138" s="344">
        <v>383386.55</v>
      </c>
      <c r="W138" s="344" t="s">
        <v>3287</v>
      </c>
      <c r="X138" s="344">
        <v>0</v>
      </c>
      <c r="Y138" s="344">
        <v>9</v>
      </c>
      <c r="Z138" s="344">
        <v>34504.79</v>
      </c>
      <c r="AA138" s="344">
        <v>9</v>
      </c>
      <c r="AB138" s="344">
        <v>34504.79</v>
      </c>
      <c r="AC138" s="344">
        <v>0</v>
      </c>
      <c r="AD138" s="344">
        <v>0</v>
      </c>
      <c r="AE138" s="344">
        <v>0</v>
      </c>
      <c r="AF138" s="344">
        <v>69009.58</v>
      </c>
      <c r="AG138" s="344">
        <v>0</v>
      </c>
      <c r="AH138" s="344" t="s">
        <v>65</v>
      </c>
      <c r="AI138" s="344" t="s">
        <v>3</v>
      </c>
      <c r="AJ138" s="344">
        <v>63053200</v>
      </c>
      <c r="AK138" s="344" t="s">
        <v>60</v>
      </c>
      <c r="AL138" s="344">
        <v>1</v>
      </c>
      <c r="AM138" s="344">
        <v>1835</v>
      </c>
      <c r="AN138" s="344" t="s">
        <v>1905</v>
      </c>
    </row>
    <row r="139" spans="7:40">
      <c r="G139" s="344"/>
      <c r="H139" s="344" t="s">
        <v>3039</v>
      </c>
      <c r="I139" s="344" t="s">
        <v>61</v>
      </c>
      <c r="J139" s="344" t="s">
        <v>56</v>
      </c>
      <c r="K139" s="10">
        <v>233</v>
      </c>
      <c r="L139" s="344" t="s">
        <v>1663</v>
      </c>
      <c r="M139" s="344" t="s">
        <v>3366</v>
      </c>
      <c r="N139" s="344" t="s">
        <v>3039</v>
      </c>
      <c r="O139" s="344" t="s">
        <v>15</v>
      </c>
      <c r="P139" s="344" t="s">
        <v>57</v>
      </c>
      <c r="Q139" s="344" t="s">
        <v>57</v>
      </c>
      <c r="R139" s="344" t="s">
        <v>58</v>
      </c>
      <c r="S139" s="344" t="s">
        <v>16</v>
      </c>
      <c r="T139" s="347">
        <v>2811</v>
      </c>
      <c r="U139" s="344">
        <v>584997.21</v>
      </c>
      <c r="W139" s="344" t="s">
        <v>2127</v>
      </c>
      <c r="X139" s="344">
        <v>0</v>
      </c>
      <c r="Y139" s="344">
        <v>9</v>
      </c>
      <c r="Z139" s="344">
        <v>52649.75</v>
      </c>
      <c r="AA139" s="344">
        <v>9</v>
      </c>
      <c r="AB139" s="344">
        <v>52649.75</v>
      </c>
      <c r="AC139" s="344">
        <v>0</v>
      </c>
      <c r="AD139" s="344">
        <v>0</v>
      </c>
      <c r="AE139" s="344">
        <v>0</v>
      </c>
      <c r="AF139" s="344">
        <v>105299.5</v>
      </c>
      <c r="AG139" s="344">
        <v>0</v>
      </c>
      <c r="AH139" s="344" t="s">
        <v>65</v>
      </c>
      <c r="AI139" s="344" t="s">
        <v>3</v>
      </c>
      <c r="AJ139" s="344">
        <v>63053200</v>
      </c>
      <c r="AK139" s="344" t="s">
        <v>60</v>
      </c>
      <c r="AL139" s="344">
        <v>1</v>
      </c>
      <c r="AM139" s="344">
        <v>2811</v>
      </c>
      <c r="AN139" s="344" t="s">
        <v>1905</v>
      </c>
    </row>
    <row r="140" spans="7:40">
      <c r="G140" s="344"/>
      <c r="H140" s="344" t="s">
        <v>3039</v>
      </c>
      <c r="I140" s="344" t="s">
        <v>61</v>
      </c>
      <c r="J140" s="344" t="s">
        <v>56</v>
      </c>
      <c r="K140" s="10">
        <v>234</v>
      </c>
      <c r="L140" s="344" t="s">
        <v>75</v>
      </c>
      <c r="M140" s="344" t="s">
        <v>3367</v>
      </c>
      <c r="N140" s="344" t="s">
        <v>3039</v>
      </c>
      <c r="O140" s="344" t="s">
        <v>4</v>
      </c>
      <c r="P140" s="344" t="s">
        <v>3045</v>
      </c>
      <c r="Q140" s="344" t="s">
        <v>4</v>
      </c>
      <c r="R140" s="344" t="s">
        <v>4</v>
      </c>
      <c r="S140" s="344" t="s">
        <v>3046</v>
      </c>
      <c r="T140" s="347">
        <v>37.5</v>
      </c>
      <c r="U140" s="347">
        <v>5550</v>
      </c>
      <c r="V140" s="347"/>
      <c r="W140" s="344" t="s">
        <v>3046</v>
      </c>
      <c r="X140" s="344">
        <v>6543.45</v>
      </c>
      <c r="Y140" s="344">
        <v>9</v>
      </c>
      <c r="Z140" s="344">
        <v>499.5</v>
      </c>
      <c r="AA140" s="344">
        <v>9</v>
      </c>
      <c r="AB140" s="344">
        <v>499.5</v>
      </c>
      <c r="AC140" s="344">
        <v>0</v>
      </c>
      <c r="AD140" s="344">
        <v>0</v>
      </c>
      <c r="AE140" s="344">
        <v>0</v>
      </c>
      <c r="AF140" s="344">
        <v>999</v>
      </c>
      <c r="AG140" s="344">
        <v>0</v>
      </c>
      <c r="AH140" s="344" t="s">
        <v>65</v>
      </c>
      <c r="AI140" s="344" t="s">
        <v>3</v>
      </c>
      <c r="AJ140" s="344">
        <v>39201019</v>
      </c>
      <c r="AK140" s="344" t="s">
        <v>60</v>
      </c>
      <c r="AL140" s="344">
        <v>1</v>
      </c>
      <c r="AM140" s="344">
        <v>37.5</v>
      </c>
      <c r="AN140" s="344" t="s">
        <v>1905</v>
      </c>
    </row>
    <row r="141" spans="7:40">
      <c r="G141" s="344"/>
      <c r="H141" s="344" t="s">
        <v>3039</v>
      </c>
      <c r="I141" s="344" t="s">
        <v>61</v>
      </c>
      <c r="J141" s="344" t="s">
        <v>56</v>
      </c>
      <c r="K141" s="10">
        <v>235</v>
      </c>
      <c r="L141" s="344" t="s">
        <v>75</v>
      </c>
      <c r="M141" s="344" t="s">
        <v>3368</v>
      </c>
      <c r="N141" s="344" t="s">
        <v>3039</v>
      </c>
      <c r="O141" s="344" t="s">
        <v>15</v>
      </c>
      <c r="P141" s="344" t="s">
        <v>2076</v>
      </c>
      <c r="Q141" s="344" t="s">
        <v>2076</v>
      </c>
      <c r="R141" s="344" t="s">
        <v>2076</v>
      </c>
      <c r="S141" s="344" t="s">
        <v>79</v>
      </c>
      <c r="T141" s="347">
        <v>73</v>
      </c>
      <c r="U141" s="347">
        <v>10535.36</v>
      </c>
      <c r="V141" s="9">
        <f>+U141/T141</f>
        <v>144.32000000000002</v>
      </c>
      <c r="W141" s="344" t="s">
        <v>3314</v>
      </c>
      <c r="X141" s="344">
        <v>41879.050000000003</v>
      </c>
      <c r="Y141" s="344">
        <v>9</v>
      </c>
      <c r="Z141" s="344">
        <v>948.18</v>
      </c>
      <c r="AA141" s="344">
        <v>9</v>
      </c>
      <c r="AB141" s="344">
        <v>948.18</v>
      </c>
      <c r="AC141" s="344">
        <v>0</v>
      </c>
      <c r="AD141" s="344">
        <v>0</v>
      </c>
      <c r="AE141" s="344">
        <v>0</v>
      </c>
      <c r="AF141" s="344">
        <v>1896.36</v>
      </c>
      <c r="AG141" s="344">
        <v>0</v>
      </c>
      <c r="AH141" s="344" t="s">
        <v>65</v>
      </c>
      <c r="AI141" s="344" t="s">
        <v>3</v>
      </c>
      <c r="AJ141" s="344">
        <v>39269080</v>
      </c>
      <c r="AK141" s="344" t="s">
        <v>60</v>
      </c>
      <c r="AL141" s="344">
        <v>1</v>
      </c>
      <c r="AM141" s="344">
        <v>73</v>
      </c>
      <c r="AN141" s="344" t="s">
        <v>1905</v>
      </c>
    </row>
    <row r="142" spans="7:40">
      <c r="G142" s="344"/>
      <c r="H142" s="344" t="s">
        <v>3039</v>
      </c>
      <c r="I142" s="344" t="s">
        <v>61</v>
      </c>
      <c r="J142" s="344" t="s">
        <v>56</v>
      </c>
      <c r="K142" s="10">
        <v>235</v>
      </c>
      <c r="L142" s="344" t="s">
        <v>75</v>
      </c>
      <c r="M142" s="344" t="s">
        <v>3368</v>
      </c>
      <c r="N142" s="344" t="s">
        <v>3039</v>
      </c>
      <c r="O142" s="344" t="s">
        <v>15</v>
      </c>
      <c r="P142" s="344" t="s">
        <v>2076</v>
      </c>
      <c r="Q142" s="344" t="s">
        <v>2076</v>
      </c>
      <c r="R142" s="344" t="s">
        <v>2076</v>
      </c>
      <c r="S142" s="344" t="s">
        <v>79</v>
      </c>
      <c r="T142" s="344">
        <v>98</v>
      </c>
      <c r="U142" s="347">
        <v>14437.36</v>
      </c>
      <c r="V142" s="9">
        <f>+U142/T142</f>
        <v>147.32</v>
      </c>
      <c r="W142" s="344" t="s">
        <v>2500</v>
      </c>
      <c r="X142" s="344">
        <v>0</v>
      </c>
      <c r="Y142" s="344">
        <v>9</v>
      </c>
      <c r="Z142" s="344">
        <v>1299.3599999999999</v>
      </c>
      <c r="AA142" s="344">
        <v>9</v>
      </c>
      <c r="AB142" s="344">
        <v>1299.3599999999999</v>
      </c>
      <c r="AC142" s="344">
        <v>0</v>
      </c>
      <c r="AD142" s="344">
        <v>0</v>
      </c>
      <c r="AE142" s="344">
        <v>0</v>
      </c>
      <c r="AF142" s="344">
        <v>2598.7199999999998</v>
      </c>
      <c r="AG142" s="344">
        <v>0</v>
      </c>
      <c r="AH142" s="344" t="s">
        <v>65</v>
      </c>
      <c r="AI142" s="344" t="s">
        <v>3</v>
      </c>
      <c r="AJ142" s="344">
        <v>39269080</v>
      </c>
      <c r="AK142" s="344" t="s">
        <v>60</v>
      </c>
      <c r="AL142" s="344">
        <v>1</v>
      </c>
      <c r="AM142" s="344">
        <v>98</v>
      </c>
      <c r="AN142" s="344" t="s">
        <v>1905</v>
      </c>
    </row>
    <row r="143" spans="7:40">
      <c r="G143" s="344"/>
      <c r="H143" s="344" t="s">
        <v>3039</v>
      </c>
      <c r="I143" s="344" t="s">
        <v>61</v>
      </c>
      <c r="J143" s="344" t="s">
        <v>56</v>
      </c>
      <c r="K143" s="10">
        <v>235</v>
      </c>
      <c r="L143" s="344" t="s">
        <v>75</v>
      </c>
      <c r="M143" s="344" t="s">
        <v>3368</v>
      </c>
      <c r="N143" s="344" t="s">
        <v>3039</v>
      </c>
      <c r="O143" s="344" t="s">
        <v>13</v>
      </c>
      <c r="P143" s="344" t="s">
        <v>24</v>
      </c>
      <c r="Q143" s="344" t="s">
        <v>79</v>
      </c>
      <c r="R143" s="344" t="s">
        <v>79</v>
      </c>
      <c r="S143" s="344" t="s">
        <v>24</v>
      </c>
      <c r="T143" s="347">
        <v>71.599999999999994</v>
      </c>
      <c r="U143" s="347">
        <v>10548.11</v>
      </c>
      <c r="V143" s="347"/>
      <c r="W143" s="344" t="s">
        <v>2500</v>
      </c>
      <c r="X143" s="344">
        <v>0</v>
      </c>
      <c r="Y143" s="344">
        <v>9</v>
      </c>
      <c r="Z143" s="344">
        <v>949.33</v>
      </c>
      <c r="AA143" s="344">
        <v>9</v>
      </c>
      <c r="AB143" s="344">
        <v>949.33</v>
      </c>
      <c r="AC143" s="344">
        <v>0</v>
      </c>
      <c r="AD143" s="344">
        <v>0</v>
      </c>
      <c r="AE143" s="344">
        <v>0</v>
      </c>
      <c r="AF143" s="344">
        <v>1898.66</v>
      </c>
      <c r="AG143" s="344">
        <v>0</v>
      </c>
      <c r="AH143" s="344" t="s">
        <v>65</v>
      </c>
      <c r="AI143" s="344" t="s">
        <v>3</v>
      </c>
      <c r="AJ143" s="344">
        <v>39269080</v>
      </c>
      <c r="AK143" s="344" t="s">
        <v>60</v>
      </c>
      <c r="AL143" s="344">
        <v>1</v>
      </c>
      <c r="AM143" s="344">
        <v>71.599999999999994</v>
      </c>
      <c r="AN143" s="344" t="s">
        <v>1905</v>
      </c>
    </row>
    <row r="144" spans="7:40">
      <c r="G144" s="344"/>
      <c r="H144" s="344" t="s">
        <v>3039</v>
      </c>
      <c r="I144" s="344" t="s">
        <v>2287</v>
      </c>
      <c r="J144" s="344" t="s">
        <v>2188</v>
      </c>
      <c r="K144" s="10" t="s">
        <v>3369</v>
      </c>
      <c r="L144" s="344" t="s">
        <v>2286</v>
      </c>
      <c r="M144" s="344" t="s">
        <v>3369</v>
      </c>
      <c r="N144" s="344" t="s">
        <v>3039</v>
      </c>
      <c r="O144" s="344" t="s">
        <v>15</v>
      </c>
      <c r="P144" s="344" t="s">
        <v>57</v>
      </c>
      <c r="Q144" s="344" t="s">
        <v>57</v>
      </c>
      <c r="R144" s="344" t="s">
        <v>58</v>
      </c>
      <c r="S144" s="344" t="s">
        <v>14</v>
      </c>
      <c r="T144" s="347">
        <v>19127</v>
      </c>
      <c r="U144" s="344">
        <v>4403223</v>
      </c>
      <c r="W144" s="344" t="s">
        <v>2227</v>
      </c>
      <c r="X144" s="344">
        <v>4403223</v>
      </c>
      <c r="Y144" s="344">
        <v>0</v>
      </c>
      <c r="Z144" s="344">
        <v>0</v>
      </c>
      <c r="AA144" s="344">
        <v>0</v>
      </c>
      <c r="AB144" s="344">
        <v>0</v>
      </c>
      <c r="AC144" s="344">
        <v>18</v>
      </c>
      <c r="AD144" s="344">
        <v>792580.14</v>
      </c>
      <c r="AE144" s="344">
        <v>0</v>
      </c>
      <c r="AF144" s="344">
        <v>792580.14</v>
      </c>
      <c r="AG144" s="344">
        <v>0</v>
      </c>
      <c r="AH144" s="344" t="s">
        <v>2204</v>
      </c>
      <c r="AI144" s="344" t="s">
        <v>3</v>
      </c>
      <c r="AJ144" s="344">
        <v>63053200</v>
      </c>
      <c r="AK144" s="344" t="s">
        <v>2189</v>
      </c>
      <c r="AL144" s="344">
        <v>94.8</v>
      </c>
      <c r="AM144" s="344">
        <v>19127</v>
      </c>
      <c r="AN144" s="344" t="s">
        <v>2391</v>
      </c>
    </row>
    <row r="145" spans="7:40">
      <c r="G145" s="344"/>
      <c r="H145" s="344" t="s">
        <v>3058</v>
      </c>
      <c r="I145" s="344" t="s">
        <v>61</v>
      </c>
      <c r="J145" s="344" t="s">
        <v>56</v>
      </c>
      <c r="K145" s="10">
        <v>236</v>
      </c>
      <c r="L145" s="344" t="s">
        <v>75</v>
      </c>
      <c r="M145" s="344" t="s">
        <v>3370</v>
      </c>
      <c r="N145" s="344" t="s">
        <v>3058</v>
      </c>
      <c r="O145" s="344" t="s">
        <v>2</v>
      </c>
      <c r="P145" s="344" t="s">
        <v>67</v>
      </c>
      <c r="Q145" s="344" t="s">
        <v>68</v>
      </c>
      <c r="R145" s="344" t="s">
        <v>69</v>
      </c>
      <c r="S145" s="344" t="s">
        <v>70</v>
      </c>
      <c r="T145" s="347">
        <v>819</v>
      </c>
      <c r="U145" s="347">
        <v>39312</v>
      </c>
      <c r="V145" s="347"/>
      <c r="W145" s="344" t="s">
        <v>558</v>
      </c>
      <c r="X145" s="344">
        <v>46348.85</v>
      </c>
      <c r="Y145" s="344">
        <v>9</v>
      </c>
      <c r="Z145" s="344">
        <v>3538.08</v>
      </c>
      <c r="AA145" s="344">
        <v>9</v>
      </c>
      <c r="AB145" s="344">
        <v>3538.08</v>
      </c>
      <c r="AC145" s="344">
        <v>0</v>
      </c>
      <c r="AD145" s="344">
        <v>0</v>
      </c>
      <c r="AE145" s="344">
        <v>0</v>
      </c>
      <c r="AF145" s="344">
        <v>7076.16</v>
      </c>
      <c r="AG145" s="344">
        <v>0</v>
      </c>
      <c r="AH145" s="344" t="s">
        <v>65</v>
      </c>
      <c r="AI145" s="344" t="s">
        <v>3</v>
      </c>
      <c r="AJ145" s="344">
        <v>73063090</v>
      </c>
      <c r="AK145" s="344" t="s">
        <v>60</v>
      </c>
      <c r="AL145" s="344">
        <v>1</v>
      </c>
      <c r="AM145" s="344">
        <v>819</v>
      </c>
      <c r="AN145" s="344" t="s">
        <v>1905</v>
      </c>
    </row>
    <row r="146" spans="7:40">
      <c r="G146" s="344"/>
      <c r="H146" s="344" t="s">
        <v>3083</v>
      </c>
      <c r="I146" s="344" t="s">
        <v>61</v>
      </c>
      <c r="J146" s="344" t="s">
        <v>56</v>
      </c>
      <c r="K146" s="10">
        <v>237</v>
      </c>
      <c r="L146" s="344" t="s">
        <v>75</v>
      </c>
      <c r="M146" s="344" t="s">
        <v>3371</v>
      </c>
      <c r="N146" s="344" t="s">
        <v>3083</v>
      </c>
      <c r="O146" s="344" t="s">
        <v>2</v>
      </c>
      <c r="P146" s="344" t="s">
        <v>67</v>
      </c>
      <c r="Q146" s="344" t="s">
        <v>68</v>
      </c>
      <c r="R146" s="344" t="s">
        <v>69</v>
      </c>
      <c r="S146" s="344" t="s">
        <v>70</v>
      </c>
      <c r="T146" s="347">
        <v>379</v>
      </c>
      <c r="U146" s="347">
        <v>18192</v>
      </c>
      <c r="V146" s="347"/>
      <c r="W146" s="344" t="s">
        <v>558</v>
      </c>
      <c r="X146" s="344">
        <v>21448.37</v>
      </c>
      <c r="Y146" s="344">
        <v>9</v>
      </c>
      <c r="Z146" s="344">
        <v>1637.28</v>
      </c>
      <c r="AA146" s="344">
        <v>9</v>
      </c>
      <c r="AB146" s="344">
        <v>1637.28</v>
      </c>
      <c r="AC146" s="344">
        <v>0</v>
      </c>
      <c r="AD146" s="344">
        <v>0</v>
      </c>
      <c r="AE146" s="344">
        <v>0</v>
      </c>
      <c r="AF146" s="344">
        <v>3274.56</v>
      </c>
      <c r="AG146" s="344">
        <v>0</v>
      </c>
      <c r="AH146" s="344" t="s">
        <v>65</v>
      </c>
      <c r="AI146" s="344" t="s">
        <v>3</v>
      </c>
      <c r="AJ146" s="344">
        <v>73063090</v>
      </c>
      <c r="AK146" s="344" t="s">
        <v>60</v>
      </c>
      <c r="AL146" s="344">
        <v>1</v>
      </c>
      <c r="AM146" s="344">
        <v>379</v>
      </c>
      <c r="AN146" s="344" t="s">
        <v>1905</v>
      </c>
    </row>
    <row r="147" spans="7:40">
      <c r="G147" s="344"/>
      <c r="H147" s="344" t="s">
        <v>3083</v>
      </c>
      <c r="I147" s="344" t="s">
        <v>61</v>
      </c>
      <c r="J147" s="344" t="s">
        <v>56</v>
      </c>
      <c r="K147" s="10">
        <v>238</v>
      </c>
      <c r="L147" s="344" t="s">
        <v>75</v>
      </c>
      <c r="M147" s="344" t="s">
        <v>3372</v>
      </c>
      <c r="N147" s="344" t="s">
        <v>3083</v>
      </c>
      <c r="O147" s="344" t="s">
        <v>15</v>
      </c>
      <c r="P147" s="344" t="s">
        <v>2076</v>
      </c>
      <c r="Q147" s="344" t="s">
        <v>2076</v>
      </c>
      <c r="R147" s="344" t="s">
        <v>2076</v>
      </c>
      <c r="S147" s="344" t="s">
        <v>64</v>
      </c>
      <c r="T147" s="347">
        <v>1005</v>
      </c>
      <c r="U147" s="347">
        <v>28140</v>
      </c>
      <c r="V147" s="9">
        <f>+U147/T147</f>
        <v>28</v>
      </c>
      <c r="W147" s="344" t="s">
        <v>2315</v>
      </c>
      <c r="X147" s="344">
        <v>33177.06</v>
      </c>
      <c r="Y147" s="344">
        <v>9</v>
      </c>
      <c r="Z147" s="344">
        <v>2532.6</v>
      </c>
      <c r="AA147" s="344">
        <v>9</v>
      </c>
      <c r="AB147" s="344">
        <v>2532.6</v>
      </c>
      <c r="AC147" s="344">
        <v>0</v>
      </c>
      <c r="AD147" s="344">
        <v>0</v>
      </c>
      <c r="AE147" s="344">
        <v>0</v>
      </c>
      <c r="AF147" s="344">
        <v>5065.2</v>
      </c>
      <c r="AG147" s="344">
        <v>0</v>
      </c>
      <c r="AH147" s="344" t="s">
        <v>65</v>
      </c>
      <c r="AI147" s="344" t="s">
        <v>3</v>
      </c>
      <c r="AJ147" s="344">
        <v>39269080</v>
      </c>
      <c r="AK147" s="344" t="s">
        <v>60</v>
      </c>
      <c r="AL147" s="344">
        <v>1</v>
      </c>
      <c r="AM147" s="344">
        <v>1005</v>
      </c>
      <c r="AN147" s="344" t="s">
        <v>1905</v>
      </c>
    </row>
    <row r="148" spans="7:40">
      <c r="G148" s="344"/>
      <c r="H148" s="344" t="s">
        <v>3083</v>
      </c>
      <c r="I148" s="344" t="s">
        <v>61</v>
      </c>
      <c r="J148" s="344" t="s">
        <v>56</v>
      </c>
      <c r="K148" s="10">
        <v>239</v>
      </c>
      <c r="L148" s="344" t="s">
        <v>2180</v>
      </c>
      <c r="M148" s="344" t="s">
        <v>3373</v>
      </c>
      <c r="N148" s="344" t="s">
        <v>3083</v>
      </c>
      <c r="O148" s="344" t="s">
        <v>13</v>
      </c>
      <c r="P148" s="344" t="s">
        <v>71</v>
      </c>
      <c r="Q148" s="344" t="s">
        <v>71</v>
      </c>
      <c r="R148" s="344" t="s">
        <v>72</v>
      </c>
      <c r="S148" s="344" t="s">
        <v>22</v>
      </c>
      <c r="T148" s="347">
        <v>5035</v>
      </c>
      <c r="U148" s="347">
        <v>60420</v>
      </c>
      <c r="V148" s="347"/>
      <c r="W148" s="344" t="s">
        <v>22</v>
      </c>
      <c r="X148" s="344">
        <v>72721.509999999995</v>
      </c>
      <c r="Y148" s="344">
        <v>9</v>
      </c>
      <c r="Z148" s="344">
        <v>5437.8</v>
      </c>
      <c r="AA148" s="344">
        <v>9</v>
      </c>
      <c r="AB148" s="344">
        <v>5437.8</v>
      </c>
      <c r="AC148" s="344">
        <v>0</v>
      </c>
      <c r="AD148" s="344">
        <v>0</v>
      </c>
      <c r="AE148" s="344">
        <v>0</v>
      </c>
      <c r="AF148" s="344">
        <v>10875.6</v>
      </c>
      <c r="AG148" s="344">
        <v>1425.91</v>
      </c>
      <c r="AH148" s="344" t="s">
        <v>65</v>
      </c>
      <c r="AI148" s="344" t="s">
        <v>3</v>
      </c>
      <c r="AJ148" s="344">
        <v>39159029</v>
      </c>
      <c r="AK148" s="344" t="s">
        <v>60</v>
      </c>
      <c r="AL148" s="344">
        <v>1</v>
      </c>
      <c r="AM148" s="344">
        <v>5035</v>
      </c>
      <c r="AN148" s="344" t="s">
        <v>1905</v>
      </c>
    </row>
    <row r="149" spans="7:40">
      <c r="G149" s="344"/>
      <c r="H149" s="344" t="s">
        <v>3096</v>
      </c>
      <c r="I149" s="344" t="s">
        <v>61</v>
      </c>
      <c r="J149" s="344" t="s">
        <v>56</v>
      </c>
      <c r="K149" s="10">
        <v>240</v>
      </c>
      <c r="L149" s="344" t="s">
        <v>75</v>
      </c>
      <c r="M149" s="344" t="s">
        <v>3374</v>
      </c>
      <c r="N149" s="344" t="s">
        <v>3096</v>
      </c>
      <c r="O149" s="344" t="s">
        <v>2</v>
      </c>
      <c r="P149" s="344" t="s">
        <v>67</v>
      </c>
      <c r="Q149" s="344" t="s">
        <v>68</v>
      </c>
      <c r="R149" s="344" t="s">
        <v>69</v>
      </c>
      <c r="S149" s="344" t="s">
        <v>70</v>
      </c>
      <c r="T149" s="344">
        <v>457</v>
      </c>
      <c r="U149" s="347">
        <v>21936</v>
      </c>
      <c r="V149" s="347"/>
      <c r="W149" s="344" t="s">
        <v>558</v>
      </c>
      <c r="X149" s="344">
        <v>25862.54</v>
      </c>
      <c r="Y149" s="344">
        <v>9</v>
      </c>
      <c r="Z149" s="344">
        <v>1974.24</v>
      </c>
      <c r="AA149" s="344">
        <v>9</v>
      </c>
      <c r="AB149" s="344">
        <v>1974.24</v>
      </c>
      <c r="AC149" s="344">
        <v>0</v>
      </c>
      <c r="AD149" s="344">
        <v>0</v>
      </c>
      <c r="AE149" s="344">
        <v>0</v>
      </c>
      <c r="AF149" s="344">
        <v>3948.48</v>
      </c>
      <c r="AG149" s="344">
        <v>0</v>
      </c>
      <c r="AH149" s="344" t="s">
        <v>65</v>
      </c>
      <c r="AI149" s="344" t="s">
        <v>3</v>
      </c>
      <c r="AJ149" s="344">
        <v>73063090</v>
      </c>
      <c r="AK149" s="344" t="s">
        <v>60</v>
      </c>
      <c r="AL149" s="344">
        <v>1</v>
      </c>
      <c r="AM149" s="344">
        <v>457</v>
      </c>
      <c r="AN149" s="344" t="s">
        <v>1905</v>
      </c>
    </row>
    <row r="150" spans="7:40">
      <c r="G150" s="344"/>
      <c r="H150" s="344" t="s">
        <v>3109</v>
      </c>
      <c r="I150" s="344" t="s">
        <v>78</v>
      </c>
      <c r="J150" s="344" t="s">
        <v>56</v>
      </c>
      <c r="K150" s="10">
        <v>241</v>
      </c>
      <c r="L150" s="344" t="s">
        <v>75</v>
      </c>
      <c r="M150" s="344" t="s">
        <v>3375</v>
      </c>
      <c r="N150" s="344" t="s">
        <v>3109</v>
      </c>
      <c r="O150" s="344" t="s">
        <v>15</v>
      </c>
      <c r="P150" s="344" t="s">
        <v>57</v>
      </c>
      <c r="Q150" s="344" t="s">
        <v>57</v>
      </c>
      <c r="R150" s="344" t="s">
        <v>58</v>
      </c>
      <c r="S150" s="344" t="s">
        <v>14</v>
      </c>
      <c r="T150" s="347">
        <v>1206</v>
      </c>
      <c r="U150" s="344">
        <v>300245.76000000001</v>
      </c>
      <c r="W150" s="344" t="s">
        <v>3319</v>
      </c>
      <c r="X150" s="344">
        <v>5982772.8600000003</v>
      </c>
      <c r="Y150" s="344">
        <v>9</v>
      </c>
      <c r="Z150" s="344">
        <v>27022.12</v>
      </c>
      <c r="AA150" s="344">
        <v>9</v>
      </c>
      <c r="AB150" s="344">
        <v>27022.12</v>
      </c>
      <c r="AC150" s="344">
        <v>0</v>
      </c>
      <c r="AD150" s="344">
        <v>0</v>
      </c>
      <c r="AE150" s="344">
        <v>0</v>
      </c>
      <c r="AF150" s="344">
        <v>54044.24</v>
      </c>
      <c r="AG150" s="344">
        <v>0</v>
      </c>
      <c r="AH150" s="344" t="s">
        <v>59</v>
      </c>
      <c r="AI150" s="344" t="s">
        <v>3</v>
      </c>
      <c r="AJ150" s="344">
        <v>63053200</v>
      </c>
      <c r="AK150" s="344" t="s">
        <v>60</v>
      </c>
      <c r="AL150" s="344">
        <v>1</v>
      </c>
      <c r="AM150" s="344">
        <v>1206</v>
      </c>
      <c r="AN150" s="344" t="s">
        <v>1905</v>
      </c>
    </row>
    <row r="151" spans="7:40">
      <c r="G151" s="344"/>
      <c r="H151" s="344" t="s">
        <v>3109</v>
      </c>
      <c r="I151" s="344" t="s">
        <v>78</v>
      </c>
      <c r="J151" s="344" t="s">
        <v>56</v>
      </c>
      <c r="K151" s="10">
        <v>241</v>
      </c>
      <c r="L151" s="344" t="s">
        <v>75</v>
      </c>
      <c r="M151" s="344" t="s">
        <v>3375</v>
      </c>
      <c r="N151" s="344" t="s">
        <v>3109</v>
      </c>
      <c r="O151" s="344" t="s">
        <v>15</v>
      </c>
      <c r="P151" s="344" t="s">
        <v>57</v>
      </c>
      <c r="Q151" s="344" t="s">
        <v>57</v>
      </c>
      <c r="R151" s="344" t="s">
        <v>58</v>
      </c>
      <c r="S151" s="344" t="s">
        <v>14</v>
      </c>
      <c r="T151" s="347">
        <v>802</v>
      </c>
      <c r="U151" s="344">
        <v>208030.78</v>
      </c>
      <c r="W151" s="344" t="s">
        <v>3319</v>
      </c>
      <c r="X151" s="344">
        <v>0</v>
      </c>
      <c r="Y151" s="344">
        <v>9</v>
      </c>
      <c r="Z151" s="344">
        <v>18722.77</v>
      </c>
      <c r="AA151" s="344">
        <v>9</v>
      </c>
      <c r="AB151" s="344">
        <v>18722.77</v>
      </c>
      <c r="AC151" s="344">
        <v>0</v>
      </c>
      <c r="AD151" s="344">
        <v>0</v>
      </c>
      <c r="AE151" s="344">
        <v>0</v>
      </c>
      <c r="AF151" s="344">
        <v>37445.54</v>
      </c>
      <c r="AG151" s="344">
        <v>0</v>
      </c>
      <c r="AH151" s="344" t="s">
        <v>59</v>
      </c>
      <c r="AI151" s="344" t="s">
        <v>3</v>
      </c>
      <c r="AJ151" s="344">
        <v>63053200</v>
      </c>
      <c r="AK151" s="344" t="s">
        <v>60</v>
      </c>
      <c r="AL151" s="344">
        <v>1</v>
      </c>
      <c r="AM151" s="344">
        <v>802</v>
      </c>
      <c r="AN151" s="344" t="s">
        <v>1905</v>
      </c>
    </row>
    <row r="152" spans="7:40">
      <c r="G152" s="344"/>
      <c r="H152" s="344" t="s">
        <v>3109</v>
      </c>
      <c r="I152" s="344" t="s">
        <v>78</v>
      </c>
      <c r="J152" s="344" t="s">
        <v>56</v>
      </c>
      <c r="K152" s="10">
        <v>241</v>
      </c>
      <c r="L152" s="344" t="s">
        <v>75</v>
      </c>
      <c r="M152" s="344" t="s">
        <v>3375</v>
      </c>
      <c r="N152" s="344" t="s">
        <v>3109</v>
      </c>
      <c r="O152" s="344" t="s">
        <v>15</v>
      </c>
      <c r="P152" s="344" t="s">
        <v>57</v>
      </c>
      <c r="Q152" s="344" t="s">
        <v>57</v>
      </c>
      <c r="R152" s="344" t="s">
        <v>58</v>
      </c>
      <c r="S152" s="344" t="s">
        <v>16</v>
      </c>
      <c r="T152" s="347">
        <v>4891.3999999999996</v>
      </c>
      <c r="U152" s="344">
        <v>940029.25</v>
      </c>
      <c r="W152" s="344" t="s">
        <v>3376</v>
      </c>
      <c r="X152" s="344">
        <v>0</v>
      </c>
      <c r="Y152" s="344">
        <v>9</v>
      </c>
      <c r="Z152" s="344">
        <v>84602.63</v>
      </c>
      <c r="AA152" s="344">
        <v>9</v>
      </c>
      <c r="AB152" s="344">
        <v>84602.63</v>
      </c>
      <c r="AC152" s="344">
        <v>0</v>
      </c>
      <c r="AD152" s="344">
        <v>0</v>
      </c>
      <c r="AE152" s="344">
        <v>0</v>
      </c>
      <c r="AF152" s="344">
        <v>169205.26</v>
      </c>
      <c r="AG152" s="344">
        <v>0</v>
      </c>
      <c r="AH152" s="344" t="s">
        <v>59</v>
      </c>
      <c r="AI152" s="344" t="s">
        <v>3</v>
      </c>
      <c r="AJ152" s="344">
        <v>63053200</v>
      </c>
      <c r="AK152" s="344" t="s">
        <v>60</v>
      </c>
      <c r="AL152" s="344">
        <v>1</v>
      </c>
      <c r="AM152" s="344">
        <v>4891.3999999999996</v>
      </c>
      <c r="AN152" s="344" t="s">
        <v>1905</v>
      </c>
    </row>
    <row r="153" spans="7:40">
      <c r="G153" s="344"/>
      <c r="H153" s="344" t="s">
        <v>3109</v>
      </c>
      <c r="I153" s="344" t="s">
        <v>78</v>
      </c>
      <c r="J153" s="344" t="s">
        <v>56</v>
      </c>
      <c r="K153" s="10">
        <v>241</v>
      </c>
      <c r="L153" s="344" t="s">
        <v>75</v>
      </c>
      <c r="M153" s="344" t="s">
        <v>3375</v>
      </c>
      <c r="N153" s="344" t="s">
        <v>3109</v>
      </c>
      <c r="O153" s="344" t="s">
        <v>15</v>
      </c>
      <c r="P153" s="344" t="s">
        <v>57</v>
      </c>
      <c r="Q153" s="344" t="s">
        <v>57</v>
      </c>
      <c r="R153" s="344" t="s">
        <v>58</v>
      </c>
      <c r="S153" s="344" t="s">
        <v>16</v>
      </c>
      <c r="T153" s="347">
        <v>2023.3</v>
      </c>
      <c r="U153" s="344">
        <v>384528.16</v>
      </c>
      <c r="W153" s="344" t="s">
        <v>3376</v>
      </c>
      <c r="X153" s="344">
        <v>0</v>
      </c>
      <c r="Y153" s="344">
        <v>9</v>
      </c>
      <c r="Z153" s="344">
        <v>34607.53</v>
      </c>
      <c r="AA153" s="344">
        <v>9</v>
      </c>
      <c r="AB153" s="344">
        <v>34607.53</v>
      </c>
      <c r="AC153" s="344">
        <v>0</v>
      </c>
      <c r="AD153" s="344">
        <v>0</v>
      </c>
      <c r="AE153" s="344">
        <v>0</v>
      </c>
      <c r="AF153" s="344">
        <v>69215.06</v>
      </c>
      <c r="AG153" s="344">
        <v>0</v>
      </c>
      <c r="AH153" s="344" t="s">
        <v>59</v>
      </c>
      <c r="AI153" s="344" t="s">
        <v>3</v>
      </c>
      <c r="AJ153" s="344">
        <v>63053200</v>
      </c>
      <c r="AK153" s="344" t="s">
        <v>60</v>
      </c>
      <c r="AL153" s="344">
        <v>1</v>
      </c>
      <c r="AM153" s="344">
        <v>2023.3</v>
      </c>
      <c r="AN153" s="344" t="s">
        <v>1905</v>
      </c>
    </row>
    <row r="154" spans="7:40">
      <c r="G154" s="344"/>
      <c r="H154" s="344" t="s">
        <v>3109</v>
      </c>
      <c r="I154" s="344" t="s">
        <v>78</v>
      </c>
      <c r="J154" s="344" t="s">
        <v>56</v>
      </c>
      <c r="K154" s="10">
        <v>241</v>
      </c>
      <c r="L154" s="344" t="s">
        <v>75</v>
      </c>
      <c r="M154" s="344" t="s">
        <v>3375</v>
      </c>
      <c r="N154" s="344" t="s">
        <v>3109</v>
      </c>
      <c r="O154" s="344" t="s">
        <v>15</v>
      </c>
      <c r="P154" s="344" t="s">
        <v>57</v>
      </c>
      <c r="Q154" s="344" t="s">
        <v>57</v>
      </c>
      <c r="R154" s="344" t="s">
        <v>58</v>
      </c>
      <c r="S154" s="344" t="s">
        <v>16</v>
      </c>
      <c r="T154" s="347">
        <v>3186</v>
      </c>
      <c r="U154" s="344">
        <v>1655827.92</v>
      </c>
      <c r="W154" s="344" t="s">
        <v>3377</v>
      </c>
      <c r="X154" s="344">
        <v>0</v>
      </c>
      <c r="Y154" s="344">
        <v>9</v>
      </c>
      <c r="Z154" s="344">
        <v>149024.51</v>
      </c>
      <c r="AA154" s="344">
        <v>9</v>
      </c>
      <c r="AB154" s="344">
        <v>149024.51</v>
      </c>
      <c r="AC154" s="344">
        <v>0</v>
      </c>
      <c r="AD154" s="344">
        <v>0</v>
      </c>
      <c r="AE154" s="344">
        <v>0</v>
      </c>
      <c r="AF154" s="344">
        <v>298049.02</v>
      </c>
      <c r="AG154" s="344">
        <v>0</v>
      </c>
      <c r="AH154" s="344" t="s">
        <v>59</v>
      </c>
      <c r="AI154" s="344" t="s">
        <v>3</v>
      </c>
      <c r="AJ154" s="344">
        <v>63053200</v>
      </c>
      <c r="AK154" s="344" t="s">
        <v>60</v>
      </c>
      <c r="AL154" s="344">
        <v>1</v>
      </c>
      <c r="AM154" s="344">
        <v>3186</v>
      </c>
      <c r="AN154" s="344" t="s">
        <v>1905</v>
      </c>
    </row>
    <row r="155" spans="7:40">
      <c r="G155" s="344"/>
      <c r="H155" s="344" t="s">
        <v>3109</v>
      </c>
      <c r="I155" s="344" t="s">
        <v>78</v>
      </c>
      <c r="J155" s="344" t="s">
        <v>56</v>
      </c>
      <c r="K155" s="10">
        <v>241</v>
      </c>
      <c r="L155" s="344" t="s">
        <v>75</v>
      </c>
      <c r="M155" s="344" t="s">
        <v>3375</v>
      </c>
      <c r="N155" s="344" t="s">
        <v>3109</v>
      </c>
      <c r="O155" s="344" t="s">
        <v>15</v>
      </c>
      <c r="P155" s="344" t="s">
        <v>57</v>
      </c>
      <c r="Q155" s="344" t="s">
        <v>57</v>
      </c>
      <c r="R155" s="344" t="s">
        <v>58</v>
      </c>
      <c r="S155" s="344" t="s">
        <v>16</v>
      </c>
      <c r="T155" s="347">
        <v>1617</v>
      </c>
      <c r="U155" s="344">
        <v>318015.39</v>
      </c>
      <c r="W155" s="344" t="s">
        <v>3378</v>
      </c>
      <c r="X155" s="344">
        <v>0</v>
      </c>
      <c r="Y155" s="344">
        <v>9</v>
      </c>
      <c r="Z155" s="344">
        <v>28621.39</v>
      </c>
      <c r="AA155" s="344">
        <v>9</v>
      </c>
      <c r="AB155" s="344">
        <v>28621.39</v>
      </c>
      <c r="AC155" s="344">
        <v>0</v>
      </c>
      <c r="AD155" s="344">
        <v>0</v>
      </c>
      <c r="AE155" s="344">
        <v>0</v>
      </c>
      <c r="AF155" s="344">
        <v>57242.78</v>
      </c>
      <c r="AG155" s="344">
        <v>0</v>
      </c>
      <c r="AH155" s="344" t="s">
        <v>59</v>
      </c>
      <c r="AI155" s="344" t="s">
        <v>3</v>
      </c>
      <c r="AJ155" s="344">
        <v>63053200</v>
      </c>
      <c r="AK155" s="344" t="s">
        <v>60</v>
      </c>
      <c r="AL155" s="344">
        <v>1</v>
      </c>
      <c r="AM155" s="344">
        <v>1617</v>
      </c>
      <c r="AN155" s="344" t="s">
        <v>1905</v>
      </c>
    </row>
    <row r="156" spans="7:40">
      <c r="G156" s="344"/>
      <c r="H156" s="344" t="s">
        <v>3109</v>
      </c>
      <c r="I156" s="344" t="s">
        <v>78</v>
      </c>
      <c r="J156" s="344" t="s">
        <v>56</v>
      </c>
      <c r="K156" s="10">
        <v>241</v>
      </c>
      <c r="L156" s="344" t="s">
        <v>75</v>
      </c>
      <c r="M156" s="344" t="s">
        <v>3375</v>
      </c>
      <c r="N156" s="344" t="s">
        <v>3109</v>
      </c>
      <c r="O156" s="344" t="s">
        <v>15</v>
      </c>
      <c r="P156" s="344" t="s">
        <v>57</v>
      </c>
      <c r="Q156" s="344" t="s">
        <v>57</v>
      </c>
      <c r="R156" s="344" t="s">
        <v>58</v>
      </c>
      <c r="S156" s="344" t="s">
        <v>16</v>
      </c>
      <c r="T156" s="347">
        <v>4989.7</v>
      </c>
      <c r="U156" s="344">
        <v>1101426.3799999999</v>
      </c>
      <c r="W156" s="344" t="s">
        <v>3376</v>
      </c>
      <c r="X156" s="344">
        <v>0</v>
      </c>
      <c r="Y156" s="344">
        <v>9</v>
      </c>
      <c r="Z156" s="344">
        <v>99128.37</v>
      </c>
      <c r="AA156" s="344">
        <v>9</v>
      </c>
      <c r="AB156" s="344">
        <v>99128.37</v>
      </c>
      <c r="AC156" s="344">
        <v>0</v>
      </c>
      <c r="AD156" s="344">
        <v>0</v>
      </c>
      <c r="AE156" s="344">
        <v>0</v>
      </c>
      <c r="AF156" s="344">
        <v>198256.74</v>
      </c>
      <c r="AG156" s="344">
        <v>0</v>
      </c>
      <c r="AH156" s="344" t="s">
        <v>59</v>
      </c>
      <c r="AI156" s="344" t="s">
        <v>3</v>
      </c>
      <c r="AJ156" s="344">
        <v>63053200</v>
      </c>
      <c r="AK156" s="344" t="s">
        <v>60</v>
      </c>
      <c r="AL156" s="344">
        <v>1</v>
      </c>
      <c r="AM156" s="344">
        <v>4989.7</v>
      </c>
      <c r="AN156" s="344" t="s">
        <v>1905</v>
      </c>
    </row>
    <row r="157" spans="7:40">
      <c r="G157" s="344"/>
      <c r="H157" s="344" t="s">
        <v>3109</v>
      </c>
      <c r="I157" s="344" t="s">
        <v>78</v>
      </c>
      <c r="J157" s="344" t="s">
        <v>56</v>
      </c>
      <c r="K157" s="10">
        <v>241</v>
      </c>
      <c r="L157" s="344" t="s">
        <v>75</v>
      </c>
      <c r="M157" s="344" t="s">
        <v>3375</v>
      </c>
      <c r="N157" s="344" t="s">
        <v>3109</v>
      </c>
      <c r="O157" s="344" t="s">
        <v>15</v>
      </c>
      <c r="P157" s="344" t="s">
        <v>57</v>
      </c>
      <c r="Q157" s="344" t="s">
        <v>57</v>
      </c>
      <c r="R157" s="344" t="s">
        <v>58</v>
      </c>
      <c r="S157" s="344" t="s">
        <v>16</v>
      </c>
      <c r="T157" s="344">
        <v>863</v>
      </c>
      <c r="U157" s="344">
        <v>166343.25</v>
      </c>
      <c r="W157" s="344" t="s">
        <v>3379</v>
      </c>
      <c r="X157" s="344">
        <v>0</v>
      </c>
      <c r="Y157" s="344">
        <v>9</v>
      </c>
      <c r="Z157" s="344">
        <v>14970.89</v>
      </c>
      <c r="AA157" s="344">
        <v>9</v>
      </c>
      <c r="AB157" s="344">
        <v>14970.89</v>
      </c>
      <c r="AC157" s="344">
        <v>0</v>
      </c>
      <c r="AD157" s="344">
        <v>0</v>
      </c>
      <c r="AE157" s="344">
        <v>0</v>
      </c>
      <c r="AF157" s="344">
        <v>29941.78</v>
      </c>
      <c r="AG157" s="344">
        <v>0</v>
      </c>
      <c r="AH157" s="344" t="s">
        <v>59</v>
      </c>
      <c r="AI157" s="344" t="s">
        <v>3</v>
      </c>
      <c r="AJ157" s="344">
        <v>63053200</v>
      </c>
      <c r="AK157" s="344" t="s">
        <v>60</v>
      </c>
      <c r="AL157" s="344">
        <v>1</v>
      </c>
      <c r="AM157" s="344">
        <v>863</v>
      </c>
      <c r="AN157" s="344" t="s">
        <v>1905</v>
      </c>
    </row>
    <row r="158" spans="7:40">
      <c r="G158" s="344"/>
      <c r="H158" s="344" t="s">
        <v>3109</v>
      </c>
      <c r="I158" s="344" t="s">
        <v>78</v>
      </c>
      <c r="J158" s="344" t="s">
        <v>56</v>
      </c>
      <c r="K158" s="10" t="s">
        <v>3380</v>
      </c>
      <c r="L158" s="344" t="s">
        <v>2288</v>
      </c>
      <c r="M158" s="344" t="s">
        <v>3380</v>
      </c>
      <c r="N158" s="344" t="s">
        <v>3109</v>
      </c>
      <c r="O158" s="344" t="s">
        <v>15</v>
      </c>
      <c r="P158" s="344" t="s">
        <v>57</v>
      </c>
      <c r="Q158" s="344" t="s">
        <v>57</v>
      </c>
      <c r="R158" s="344" t="s">
        <v>58</v>
      </c>
      <c r="S158" s="344" t="s">
        <v>16</v>
      </c>
      <c r="T158" s="347">
        <v>20591</v>
      </c>
      <c r="U158" s="344">
        <v>3712145.48</v>
      </c>
      <c r="W158" s="344" t="s">
        <v>2127</v>
      </c>
      <c r="X158" s="344">
        <v>3712145.48</v>
      </c>
      <c r="Y158" s="344">
        <v>0.05</v>
      </c>
      <c r="Z158" s="344">
        <v>1856.07</v>
      </c>
      <c r="AA158" s="344">
        <v>0.05</v>
      </c>
      <c r="AB158" s="344">
        <v>1856.07</v>
      </c>
      <c r="AC158" s="344">
        <v>0</v>
      </c>
      <c r="AD158" s="344">
        <v>0</v>
      </c>
      <c r="AE158" s="344">
        <v>0</v>
      </c>
      <c r="AF158" s="344">
        <v>3712.14</v>
      </c>
      <c r="AG158" s="344">
        <v>0</v>
      </c>
      <c r="AH158" s="344" t="s">
        <v>59</v>
      </c>
      <c r="AI158" s="344" t="s">
        <v>3</v>
      </c>
      <c r="AJ158" s="344">
        <v>63053200</v>
      </c>
      <c r="AK158" s="344" t="s">
        <v>60</v>
      </c>
      <c r="AL158" s="344">
        <v>1</v>
      </c>
      <c r="AM158" s="344">
        <v>20591</v>
      </c>
      <c r="AN158" s="344" t="s">
        <v>1905</v>
      </c>
    </row>
    <row r="159" spans="7:40">
      <c r="G159" s="344"/>
      <c r="H159" s="344" t="s">
        <v>3109</v>
      </c>
      <c r="I159" s="344" t="s">
        <v>61</v>
      </c>
      <c r="J159" s="344" t="s">
        <v>56</v>
      </c>
      <c r="K159" s="10">
        <v>242</v>
      </c>
      <c r="L159" s="344" t="s">
        <v>1663</v>
      </c>
      <c r="M159" s="344" t="s">
        <v>3381</v>
      </c>
      <c r="N159" s="344" t="s">
        <v>3109</v>
      </c>
      <c r="O159" s="344" t="s">
        <v>15</v>
      </c>
      <c r="P159" s="344" t="s">
        <v>57</v>
      </c>
      <c r="Q159" s="344" t="s">
        <v>57</v>
      </c>
      <c r="R159" s="344" t="s">
        <v>58</v>
      </c>
      <c r="S159" s="344" t="s">
        <v>16</v>
      </c>
      <c r="T159" s="347">
        <v>1791</v>
      </c>
      <c r="U159" s="344">
        <v>338588.55</v>
      </c>
      <c r="W159" s="344" t="s">
        <v>3290</v>
      </c>
      <c r="X159" s="344">
        <v>4879672.1500000004</v>
      </c>
      <c r="Y159" s="344">
        <v>9</v>
      </c>
      <c r="Z159" s="344">
        <v>30472.97</v>
      </c>
      <c r="AA159" s="344">
        <v>9</v>
      </c>
      <c r="AB159" s="344">
        <v>30472.97</v>
      </c>
      <c r="AC159" s="344">
        <v>0</v>
      </c>
      <c r="AD159" s="344">
        <v>0</v>
      </c>
      <c r="AE159" s="344">
        <v>0</v>
      </c>
      <c r="AF159" s="344">
        <v>60945.94</v>
      </c>
      <c r="AG159" s="344">
        <v>0</v>
      </c>
      <c r="AH159" s="344" t="s">
        <v>65</v>
      </c>
      <c r="AI159" s="344" t="s">
        <v>3</v>
      </c>
      <c r="AJ159" s="344">
        <v>63053200</v>
      </c>
      <c r="AK159" s="344" t="s">
        <v>60</v>
      </c>
      <c r="AL159" s="344">
        <v>1</v>
      </c>
      <c r="AM159" s="344">
        <v>1791</v>
      </c>
      <c r="AN159" s="344" t="s">
        <v>1905</v>
      </c>
    </row>
    <row r="160" spans="7:40">
      <c r="G160" s="344"/>
      <c r="H160" s="344" t="s">
        <v>3109</v>
      </c>
      <c r="I160" s="344" t="s">
        <v>61</v>
      </c>
      <c r="J160" s="344" t="s">
        <v>56</v>
      </c>
      <c r="K160" s="10">
        <v>242</v>
      </c>
      <c r="L160" s="344" t="s">
        <v>1663</v>
      </c>
      <c r="M160" s="344" t="s">
        <v>3381</v>
      </c>
      <c r="N160" s="344" t="s">
        <v>3109</v>
      </c>
      <c r="O160" s="344" t="s">
        <v>15</v>
      </c>
      <c r="P160" s="344" t="s">
        <v>57</v>
      </c>
      <c r="Q160" s="344" t="s">
        <v>57</v>
      </c>
      <c r="R160" s="344" t="s">
        <v>58</v>
      </c>
      <c r="S160" s="344" t="s">
        <v>16</v>
      </c>
      <c r="T160" s="347">
        <v>1489</v>
      </c>
      <c r="U160" s="344">
        <v>297502.2</v>
      </c>
      <c r="W160" s="344" t="s">
        <v>3290</v>
      </c>
      <c r="X160" s="344">
        <v>0</v>
      </c>
      <c r="Y160" s="344">
        <v>9</v>
      </c>
      <c r="Z160" s="344">
        <v>26775.200000000001</v>
      </c>
      <c r="AA160" s="344">
        <v>9</v>
      </c>
      <c r="AB160" s="344">
        <v>26775.200000000001</v>
      </c>
      <c r="AC160" s="344">
        <v>0</v>
      </c>
      <c r="AD160" s="344">
        <v>0</v>
      </c>
      <c r="AE160" s="344">
        <v>0</v>
      </c>
      <c r="AF160" s="344">
        <v>53550.400000000001</v>
      </c>
      <c r="AG160" s="344">
        <v>0</v>
      </c>
      <c r="AH160" s="344" t="s">
        <v>65</v>
      </c>
      <c r="AI160" s="344" t="s">
        <v>3</v>
      </c>
      <c r="AJ160" s="344">
        <v>63053200</v>
      </c>
      <c r="AK160" s="344" t="s">
        <v>60</v>
      </c>
      <c r="AL160" s="344">
        <v>1</v>
      </c>
      <c r="AM160" s="344">
        <v>1489</v>
      </c>
      <c r="AN160" s="344" t="s">
        <v>1905</v>
      </c>
    </row>
    <row r="161" spans="7:40">
      <c r="G161" s="344"/>
      <c r="H161" s="344" t="s">
        <v>3109</v>
      </c>
      <c r="I161" s="344" t="s">
        <v>61</v>
      </c>
      <c r="J161" s="344" t="s">
        <v>56</v>
      </c>
      <c r="K161" s="10">
        <v>242</v>
      </c>
      <c r="L161" s="344" t="s">
        <v>1663</v>
      </c>
      <c r="M161" s="344" t="s">
        <v>3381</v>
      </c>
      <c r="N161" s="344" t="s">
        <v>3109</v>
      </c>
      <c r="O161" s="344" t="s">
        <v>15</v>
      </c>
      <c r="P161" s="344" t="s">
        <v>57</v>
      </c>
      <c r="Q161" s="344" t="s">
        <v>57</v>
      </c>
      <c r="R161" s="344" t="s">
        <v>58</v>
      </c>
      <c r="S161" s="344" t="s">
        <v>16</v>
      </c>
      <c r="T161" s="344">
        <v>920</v>
      </c>
      <c r="U161" s="344">
        <v>192528.4</v>
      </c>
      <c r="W161" s="344" t="s">
        <v>3290</v>
      </c>
      <c r="X161" s="344">
        <v>0</v>
      </c>
      <c r="Y161" s="344">
        <v>9</v>
      </c>
      <c r="Z161" s="344">
        <v>17327.560000000001</v>
      </c>
      <c r="AA161" s="344">
        <v>9</v>
      </c>
      <c r="AB161" s="344">
        <v>17327.560000000001</v>
      </c>
      <c r="AC161" s="344">
        <v>0</v>
      </c>
      <c r="AD161" s="344">
        <v>0</v>
      </c>
      <c r="AE161" s="344">
        <v>0</v>
      </c>
      <c r="AF161" s="344">
        <v>34655.120000000003</v>
      </c>
      <c r="AG161" s="344">
        <v>0</v>
      </c>
      <c r="AH161" s="344" t="s">
        <v>65</v>
      </c>
      <c r="AI161" s="344" t="s">
        <v>3</v>
      </c>
      <c r="AJ161" s="344">
        <v>63053200</v>
      </c>
      <c r="AK161" s="344" t="s">
        <v>60</v>
      </c>
      <c r="AL161" s="344">
        <v>1</v>
      </c>
      <c r="AM161" s="344">
        <v>920</v>
      </c>
      <c r="AN161" s="344" t="s">
        <v>1905</v>
      </c>
    </row>
    <row r="162" spans="7:40">
      <c r="G162" s="344"/>
      <c r="H162" s="344" t="s">
        <v>3109</v>
      </c>
      <c r="I162" s="344" t="s">
        <v>61</v>
      </c>
      <c r="J162" s="344" t="s">
        <v>56</v>
      </c>
      <c r="K162" s="10">
        <v>242</v>
      </c>
      <c r="L162" s="344" t="s">
        <v>1663</v>
      </c>
      <c r="M162" s="344" t="s">
        <v>3381</v>
      </c>
      <c r="N162" s="344" t="s">
        <v>3109</v>
      </c>
      <c r="O162" s="344" t="s">
        <v>15</v>
      </c>
      <c r="P162" s="344" t="s">
        <v>57</v>
      </c>
      <c r="Q162" s="344" t="s">
        <v>57</v>
      </c>
      <c r="R162" s="344" t="s">
        <v>58</v>
      </c>
      <c r="S162" s="344" t="s">
        <v>16</v>
      </c>
      <c r="T162" s="347">
        <v>1834</v>
      </c>
      <c r="U162" s="344">
        <v>390917.1</v>
      </c>
      <c r="W162" s="344" t="s">
        <v>3290</v>
      </c>
      <c r="X162" s="344">
        <v>0</v>
      </c>
      <c r="Y162" s="344">
        <v>9</v>
      </c>
      <c r="Z162" s="344">
        <v>35182.54</v>
      </c>
      <c r="AA162" s="344">
        <v>9</v>
      </c>
      <c r="AB162" s="344">
        <v>35182.54</v>
      </c>
      <c r="AC162" s="344">
        <v>0</v>
      </c>
      <c r="AD162" s="344">
        <v>0</v>
      </c>
      <c r="AE162" s="344">
        <v>0</v>
      </c>
      <c r="AF162" s="344">
        <v>70365.08</v>
      </c>
      <c r="AG162" s="344">
        <v>0</v>
      </c>
      <c r="AH162" s="344" t="s">
        <v>65</v>
      </c>
      <c r="AI162" s="344" t="s">
        <v>3</v>
      </c>
      <c r="AJ162" s="344">
        <v>63053200</v>
      </c>
      <c r="AK162" s="344" t="s">
        <v>60</v>
      </c>
      <c r="AL162" s="344">
        <v>1</v>
      </c>
      <c r="AM162" s="344">
        <v>1834</v>
      </c>
      <c r="AN162" s="344" t="s">
        <v>1905</v>
      </c>
    </row>
    <row r="163" spans="7:40">
      <c r="G163" s="344"/>
      <c r="H163" s="344" t="s">
        <v>3109</v>
      </c>
      <c r="I163" s="344" t="s">
        <v>61</v>
      </c>
      <c r="J163" s="344" t="s">
        <v>56</v>
      </c>
      <c r="K163" s="10">
        <v>242</v>
      </c>
      <c r="L163" s="344" t="s">
        <v>1663</v>
      </c>
      <c r="M163" s="344" t="s">
        <v>3381</v>
      </c>
      <c r="N163" s="344" t="s">
        <v>3109</v>
      </c>
      <c r="O163" s="344" t="s">
        <v>15</v>
      </c>
      <c r="P163" s="344" t="s">
        <v>57</v>
      </c>
      <c r="Q163" s="344" t="s">
        <v>57</v>
      </c>
      <c r="R163" s="344" t="s">
        <v>58</v>
      </c>
      <c r="S163" s="344" t="s">
        <v>16</v>
      </c>
      <c r="T163" s="347">
        <v>5657</v>
      </c>
      <c r="U163" s="344">
        <v>1173827.5</v>
      </c>
      <c r="W163" s="344" t="s">
        <v>3290</v>
      </c>
      <c r="X163" s="344">
        <v>0</v>
      </c>
      <c r="Y163" s="344">
        <v>9</v>
      </c>
      <c r="Z163" s="344">
        <v>105644.48</v>
      </c>
      <c r="AA163" s="344">
        <v>9</v>
      </c>
      <c r="AB163" s="344">
        <v>105644.48</v>
      </c>
      <c r="AC163" s="344">
        <v>0</v>
      </c>
      <c r="AD163" s="344">
        <v>0</v>
      </c>
      <c r="AE163" s="344">
        <v>0</v>
      </c>
      <c r="AF163" s="344">
        <v>211288.95999999999</v>
      </c>
      <c r="AG163" s="344">
        <v>0</v>
      </c>
      <c r="AH163" s="344" t="s">
        <v>65</v>
      </c>
      <c r="AI163" s="344" t="s">
        <v>3</v>
      </c>
      <c r="AJ163" s="344">
        <v>63053200</v>
      </c>
      <c r="AK163" s="344" t="s">
        <v>60</v>
      </c>
      <c r="AL163" s="344">
        <v>1</v>
      </c>
      <c r="AM163" s="344">
        <v>5657</v>
      </c>
      <c r="AN163" s="344" t="s">
        <v>1905</v>
      </c>
    </row>
    <row r="164" spans="7:40">
      <c r="G164" s="344"/>
      <c r="H164" s="344" t="s">
        <v>3109</v>
      </c>
      <c r="I164" s="344" t="s">
        <v>61</v>
      </c>
      <c r="J164" s="344" t="s">
        <v>56</v>
      </c>
      <c r="K164" s="10">
        <v>242</v>
      </c>
      <c r="L164" s="344" t="s">
        <v>1663</v>
      </c>
      <c r="M164" s="344" t="s">
        <v>3381</v>
      </c>
      <c r="N164" s="344" t="s">
        <v>3109</v>
      </c>
      <c r="O164" s="344" t="s">
        <v>15</v>
      </c>
      <c r="P164" s="344" t="s">
        <v>57</v>
      </c>
      <c r="Q164" s="344" t="s">
        <v>57</v>
      </c>
      <c r="R164" s="344" t="s">
        <v>58</v>
      </c>
      <c r="S164" s="344" t="s">
        <v>16</v>
      </c>
      <c r="T164" s="344">
        <v>432</v>
      </c>
      <c r="U164" s="347">
        <v>85047.84</v>
      </c>
      <c r="V164" s="347"/>
      <c r="W164" s="344" t="s">
        <v>2296</v>
      </c>
      <c r="X164" s="344">
        <v>0</v>
      </c>
      <c r="Y164" s="344">
        <v>9</v>
      </c>
      <c r="Z164" s="344">
        <v>7654.31</v>
      </c>
      <c r="AA164" s="344">
        <v>9</v>
      </c>
      <c r="AB164" s="344">
        <v>7654.31</v>
      </c>
      <c r="AC164" s="344">
        <v>0</v>
      </c>
      <c r="AD164" s="344">
        <v>0</v>
      </c>
      <c r="AE164" s="344">
        <v>0</v>
      </c>
      <c r="AF164" s="344">
        <v>15308.62</v>
      </c>
      <c r="AG164" s="344">
        <v>0</v>
      </c>
      <c r="AH164" s="344" t="s">
        <v>65</v>
      </c>
      <c r="AI164" s="344" t="s">
        <v>3</v>
      </c>
      <c r="AJ164" s="344">
        <v>63053200</v>
      </c>
      <c r="AK164" s="344" t="s">
        <v>60</v>
      </c>
      <c r="AL164" s="344">
        <v>1</v>
      </c>
      <c r="AM164" s="344">
        <v>432</v>
      </c>
      <c r="AN164" s="344" t="s">
        <v>1905</v>
      </c>
    </row>
    <row r="165" spans="7:40">
      <c r="G165" s="344"/>
      <c r="H165" s="344" t="s">
        <v>3109</v>
      </c>
      <c r="I165" s="344" t="s">
        <v>61</v>
      </c>
      <c r="J165" s="344" t="s">
        <v>56</v>
      </c>
      <c r="K165" s="10">
        <v>242</v>
      </c>
      <c r="L165" s="344" t="s">
        <v>1663</v>
      </c>
      <c r="M165" s="344" t="s">
        <v>3381</v>
      </c>
      <c r="N165" s="344" t="s">
        <v>3109</v>
      </c>
      <c r="O165" s="344" t="s">
        <v>15</v>
      </c>
      <c r="P165" s="344" t="s">
        <v>57</v>
      </c>
      <c r="Q165" s="344" t="s">
        <v>57</v>
      </c>
      <c r="R165" s="344" t="s">
        <v>58</v>
      </c>
      <c r="S165" s="344" t="s">
        <v>16</v>
      </c>
      <c r="T165" s="344">
        <v>385</v>
      </c>
      <c r="U165" s="344">
        <v>132401.5</v>
      </c>
      <c r="W165" s="344" t="s">
        <v>3382</v>
      </c>
      <c r="X165" s="344">
        <v>0</v>
      </c>
      <c r="Y165" s="344">
        <v>9</v>
      </c>
      <c r="Z165" s="344">
        <v>11916.14</v>
      </c>
      <c r="AA165" s="344">
        <v>9</v>
      </c>
      <c r="AB165" s="344">
        <v>11916.14</v>
      </c>
      <c r="AC165" s="344">
        <v>0</v>
      </c>
      <c r="AD165" s="344">
        <v>0</v>
      </c>
      <c r="AE165" s="344">
        <v>0</v>
      </c>
      <c r="AF165" s="344">
        <v>23832.28</v>
      </c>
      <c r="AG165" s="344">
        <v>0</v>
      </c>
      <c r="AH165" s="344" t="s">
        <v>65</v>
      </c>
      <c r="AI165" s="344" t="s">
        <v>3</v>
      </c>
      <c r="AJ165" s="344">
        <v>63053200</v>
      </c>
      <c r="AK165" s="344" t="s">
        <v>60</v>
      </c>
      <c r="AL165" s="344">
        <v>1</v>
      </c>
      <c r="AM165" s="344">
        <v>385</v>
      </c>
      <c r="AN165" s="344" t="s">
        <v>1905</v>
      </c>
    </row>
    <row r="166" spans="7:40">
      <c r="G166" s="344"/>
      <c r="H166" s="344" t="s">
        <v>3109</v>
      </c>
      <c r="I166" s="344" t="s">
        <v>61</v>
      </c>
      <c r="J166" s="344" t="s">
        <v>56</v>
      </c>
      <c r="K166" s="10">
        <v>242</v>
      </c>
      <c r="L166" s="344" t="s">
        <v>1663</v>
      </c>
      <c r="M166" s="344" t="s">
        <v>3381</v>
      </c>
      <c r="N166" s="344" t="s">
        <v>3109</v>
      </c>
      <c r="O166" s="344" t="s">
        <v>15</v>
      </c>
      <c r="P166" s="344" t="s">
        <v>57</v>
      </c>
      <c r="Q166" s="344" t="s">
        <v>57</v>
      </c>
      <c r="R166" s="344" t="s">
        <v>58</v>
      </c>
      <c r="S166" s="344" t="s">
        <v>16</v>
      </c>
      <c r="T166" s="344">
        <v>385</v>
      </c>
      <c r="U166" s="344">
        <v>132401.5</v>
      </c>
      <c r="W166" s="344" t="s">
        <v>3382</v>
      </c>
      <c r="X166" s="344">
        <v>0</v>
      </c>
      <c r="Y166" s="344">
        <v>9</v>
      </c>
      <c r="Z166" s="344">
        <v>11916.14</v>
      </c>
      <c r="AA166" s="344">
        <v>9</v>
      </c>
      <c r="AB166" s="344">
        <v>11916.14</v>
      </c>
      <c r="AC166" s="344">
        <v>0</v>
      </c>
      <c r="AD166" s="344">
        <v>0</v>
      </c>
      <c r="AE166" s="344">
        <v>0</v>
      </c>
      <c r="AF166" s="344">
        <v>23832.28</v>
      </c>
      <c r="AG166" s="344">
        <v>0</v>
      </c>
      <c r="AH166" s="344" t="s">
        <v>65</v>
      </c>
      <c r="AI166" s="344" t="s">
        <v>3</v>
      </c>
      <c r="AJ166" s="344">
        <v>63053200</v>
      </c>
      <c r="AK166" s="344" t="s">
        <v>60</v>
      </c>
      <c r="AL166" s="344">
        <v>1</v>
      </c>
      <c r="AM166" s="344">
        <v>385</v>
      </c>
      <c r="AN166" s="344" t="s">
        <v>1905</v>
      </c>
    </row>
    <row r="167" spans="7:40">
      <c r="G167" s="344"/>
      <c r="H167" s="344" t="s">
        <v>3109</v>
      </c>
      <c r="I167" s="344" t="s">
        <v>61</v>
      </c>
      <c r="J167" s="344" t="s">
        <v>56</v>
      </c>
      <c r="K167" s="10">
        <v>242</v>
      </c>
      <c r="L167" s="344" t="s">
        <v>1663</v>
      </c>
      <c r="M167" s="344" t="s">
        <v>3381</v>
      </c>
      <c r="N167" s="344" t="s">
        <v>3109</v>
      </c>
      <c r="O167" s="344" t="s">
        <v>15</v>
      </c>
      <c r="P167" s="344" t="s">
        <v>57</v>
      </c>
      <c r="Q167" s="344" t="s">
        <v>57</v>
      </c>
      <c r="R167" s="344" t="s">
        <v>58</v>
      </c>
      <c r="S167" s="344" t="s">
        <v>16</v>
      </c>
      <c r="T167" s="344">
        <v>385</v>
      </c>
      <c r="U167" s="344">
        <v>132401.5</v>
      </c>
      <c r="W167" s="344" t="s">
        <v>3382</v>
      </c>
      <c r="X167" s="344">
        <v>0</v>
      </c>
      <c r="Y167" s="344">
        <v>9</v>
      </c>
      <c r="Z167" s="344">
        <v>11916.14</v>
      </c>
      <c r="AA167" s="344">
        <v>9</v>
      </c>
      <c r="AB167" s="344">
        <v>11916.14</v>
      </c>
      <c r="AC167" s="344">
        <v>0</v>
      </c>
      <c r="AD167" s="344">
        <v>0</v>
      </c>
      <c r="AE167" s="344">
        <v>0</v>
      </c>
      <c r="AF167" s="344">
        <v>23832.28</v>
      </c>
      <c r="AG167" s="344">
        <v>0</v>
      </c>
      <c r="AH167" s="344" t="s">
        <v>65</v>
      </c>
      <c r="AI167" s="344" t="s">
        <v>3</v>
      </c>
      <c r="AJ167" s="344">
        <v>63053200</v>
      </c>
      <c r="AK167" s="344" t="s">
        <v>60</v>
      </c>
      <c r="AL167" s="344">
        <v>1</v>
      </c>
      <c r="AM167" s="344">
        <v>385</v>
      </c>
      <c r="AN167" s="344" t="s">
        <v>1905</v>
      </c>
    </row>
    <row r="168" spans="7:40">
      <c r="G168" s="344"/>
      <c r="H168" s="344" t="s">
        <v>3109</v>
      </c>
      <c r="I168" s="344" t="s">
        <v>61</v>
      </c>
      <c r="J168" s="344" t="s">
        <v>56</v>
      </c>
      <c r="K168" s="10">
        <v>242</v>
      </c>
      <c r="L168" s="344" t="s">
        <v>1663</v>
      </c>
      <c r="M168" s="344" t="s">
        <v>3381</v>
      </c>
      <c r="N168" s="344" t="s">
        <v>3109</v>
      </c>
      <c r="O168" s="344" t="s">
        <v>15</v>
      </c>
      <c r="P168" s="344" t="s">
        <v>57</v>
      </c>
      <c r="Q168" s="344" t="s">
        <v>57</v>
      </c>
      <c r="R168" s="344" t="s">
        <v>58</v>
      </c>
      <c r="S168" s="344" t="s">
        <v>16</v>
      </c>
      <c r="T168" s="344">
        <v>500</v>
      </c>
      <c r="U168" s="347">
        <v>99625</v>
      </c>
      <c r="V168" s="347"/>
      <c r="W168" s="344" t="s">
        <v>2296</v>
      </c>
      <c r="X168" s="344">
        <v>0</v>
      </c>
      <c r="Y168" s="344">
        <v>9</v>
      </c>
      <c r="Z168" s="344">
        <v>8966.25</v>
      </c>
      <c r="AA168" s="344">
        <v>9</v>
      </c>
      <c r="AB168" s="344">
        <v>8966.25</v>
      </c>
      <c r="AC168" s="344">
        <v>0</v>
      </c>
      <c r="AD168" s="344">
        <v>0</v>
      </c>
      <c r="AE168" s="344">
        <v>0</v>
      </c>
      <c r="AF168" s="344">
        <v>17932.5</v>
      </c>
      <c r="AG168" s="344">
        <v>0</v>
      </c>
      <c r="AH168" s="344" t="s">
        <v>65</v>
      </c>
      <c r="AI168" s="344" t="s">
        <v>3</v>
      </c>
      <c r="AJ168" s="344">
        <v>63053200</v>
      </c>
      <c r="AK168" s="344" t="s">
        <v>60</v>
      </c>
      <c r="AL168" s="344">
        <v>1</v>
      </c>
      <c r="AM168" s="344">
        <v>500</v>
      </c>
      <c r="AN168" s="344" t="s">
        <v>1905</v>
      </c>
    </row>
    <row r="169" spans="7:40">
      <c r="G169" s="344"/>
      <c r="H169" s="344" t="s">
        <v>3109</v>
      </c>
      <c r="I169" s="344" t="s">
        <v>61</v>
      </c>
      <c r="J169" s="344" t="s">
        <v>56</v>
      </c>
      <c r="K169" s="10">
        <v>242</v>
      </c>
      <c r="L169" s="344" t="s">
        <v>1663</v>
      </c>
      <c r="M169" s="344" t="s">
        <v>3381</v>
      </c>
      <c r="N169" s="344" t="s">
        <v>3109</v>
      </c>
      <c r="O169" s="344" t="s">
        <v>15</v>
      </c>
      <c r="P169" s="344" t="s">
        <v>57</v>
      </c>
      <c r="Q169" s="344" t="s">
        <v>57</v>
      </c>
      <c r="R169" s="344" t="s">
        <v>58</v>
      </c>
      <c r="S169" s="344" t="s">
        <v>16</v>
      </c>
      <c r="T169" s="347">
        <v>2488</v>
      </c>
      <c r="U169" s="344">
        <v>538776.4</v>
      </c>
      <c r="W169" s="344" t="s">
        <v>3287</v>
      </c>
      <c r="X169" s="344">
        <v>0</v>
      </c>
      <c r="Y169" s="344">
        <v>9</v>
      </c>
      <c r="Z169" s="344">
        <v>48489.88</v>
      </c>
      <c r="AA169" s="344">
        <v>9</v>
      </c>
      <c r="AB169" s="344">
        <v>48489.88</v>
      </c>
      <c r="AC169" s="344">
        <v>0</v>
      </c>
      <c r="AD169" s="344">
        <v>0</v>
      </c>
      <c r="AE169" s="344">
        <v>0</v>
      </c>
      <c r="AF169" s="344">
        <v>96979.76</v>
      </c>
      <c r="AG169" s="344">
        <v>0</v>
      </c>
      <c r="AH169" s="344" t="s">
        <v>65</v>
      </c>
      <c r="AI169" s="344" t="s">
        <v>3</v>
      </c>
      <c r="AJ169" s="344">
        <v>63053200</v>
      </c>
      <c r="AK169" s="344" t="s">
        <v>60</v>
      </c>
      <c r="AL169" s="344">
        <v>1</v>
      </c>
      <c r="AM169" s="344">
        <v>2488</v>
      </c>
      <c r="AN169" s="344" t="s">
        <v>1905</v>
      </c>
    </row>
    <row r="170" spans="7:40">
      <c r="G170" s="344"/>
      <c r="H170" s="344" t="s">
        <v>3109</v>
      </c>
      <c r="I170" s="344" t="s">
        <v>61</v>
      </c>
      <c r="J170" s="344" t="s">
        <v>56</v>
      </c>
      <c r="K170" s="10">
        <v>242</v>
      </c>
      <c r="L170" s="344" t="s">
        <v>1663</v>
      </c>
      <c r="M170" s="344" t="s">
        <v>3381</v>
      </c>
      <c r="N170" s="344" t="s">
        <v>3109</v>
      </c>
      <c r="O170" s="344" t="s">
        <v>15</v>
      </c>
      <c r="P170" s="344" t="s">
        <v>57</v>
      </c>
      <c r="Q170" s="344" t="s">
        <v>57</v>
      </c>
      <c r="R170" s="344" t="s">
        <v>58</v>
      </c>
      <c r="S170" s="344" t="s">
        <v>16</v>
      </c>
      <c r="T170" s="344">
        <v>401</v>
      </c>
      <c r="U170" s="347">
        <v>95057.05</v>
      </c>
      <c r="V170" s="347"/>
      <c r="W170" s="344" t="s">
        <v>3383</v>
      </c>
      <c r="X170" s="344">
        <v>0</v>
      </c>
      <c r="Y170" s="344">
        <v>9</v>
      </c>
      <c r="Z170" s="344">
        <v>8555.1299999999992</v>
      </c>
      <c r="AA170" s="344">
        <v>9</v>
      </c>
      <c r="AB170" s="344">
        <v>8555.1299999999992</v>
      </c>
      <c r="AC170" s="344">
        <v>0</v>
      </c>
      <c r="AD170" s="344">
        <v>0</v>
      </c>
      <c r="AE170" s="344">
        <v>0</v>
      </c>
      <c r="AF170" s="344">
        <v>17110.259999999998</v>
      </c>
      <c r="AG170" s="344">
        <v>0</v>
      </c>
      <c r="AH170" s="344" t="s">
        <v>65</v>
      </c>
      <c r="AI170" s="344" t="s">
        <v>3</v>
      </c>
      <c r="AJ170" s="344">
        <v>63053200</v>
      </c>
      <c r="AK170" s="344" t="s">
        <v>60</v>
      </c>
      <c r="AL170" s="344">
        <v>1</v>
      </c>
      <c r="AM170" s="344">
        <v>401</v>
      </c>
      <c r="AN170" s="344" t="s">
        <v>1905</v>
      </c>
    </row>
    <row r="171" spans="7:40">
      <c r="G171" s="344"/>
      <c r="H171" s="344" t="s">
        <v>3109</v>
      </c>
      <c r="I171" s="344" t="s">
        <v>61</v>
      </c>
      <c r="J171" s="344" t="s">
        <v>56</v>
      </c>
      <c r="K171" s="10">
        <v>242</v>
      </c>
      <c r="L171" s="344" t="s">
        <v>1663</v>
      </c>
      <c r="M171" s="344" t="s">
        <v>3381</v>
      </c>
      <c r="N171" s="344" t="s">
        <v>3109</v>
      </c>
      <c r="O171" s="344" t="s">
        <v>15</v>
      </c>
      <c r="P171" s="344" t="s">
        <v>57</v>
      </c>
      <c r="Q171" s="344" t="s">
        <v>57</v>
      </c>
      <c r="R171" s="344" t="s">
        <v>58</v>
      </c>
      <c r="S171" s="344" t="s">
        <v>16</v>
      </c>
      <c r="T171" s="347">
        <v>2570.7199999999998</v>
      </c>
      <c r="U171" s="344">
        <v>529748.27</v>
      </c>
      <c r="W171" s="344" t="s">
        <v>3287</v>
      </c>
      <c r="X171" s="344">
        <v>0</v>
      </c>
      <c r="Y171" s="344">
        <v>9</v>
      </c>
      <c r="Z171" s="344">
        <v>47677.34</v>
      </c>
      <c r="AA171" s="344">
        <v>9</v>
      </c>
      <c r="AB171" s="344">
        <v>47677.34</v>
      </c>
      <c r="AC171" s="344">
        <v>0</v>
      </c>
      <c r="AD171" s="344">
        <v>0</v>
      </c>
      <c r="AE171" s="344">
        <v>0</v>
      </c>
      <c r="AF171" s="344">
        <v>95354.68</v>
      </c>
      <c r="AG171" s="344">
        <v>0</v>
      </c>
      <c r="AH171" s="344" t="s">
        <v>65</v>
      </c>
      <c r="AI171" s="344" t="s">
        <v>3</v>
      </c>
      <c r="AJ171" s="344">
        <v>63053200</v>
      </c>
      <c r="AK171" s="344" t="s">
        <v>60</v>
      </c>
      <c r="AL171" s="344">
        <v>1</v>
      </c>
      <c r="AM171" s="344">
        <v>2570.7199999999998</v>
      </c>
      <c r="AN171" s="344" t="s">
        <v>1905</v>
      </c>
    </row>
    <row r="172" spans="7:40">
      <c r="G172" s="344"/>
      <c r="H172" s="344" t="s">
        <v>3138</v>
      </c>
      <c r="I172" s="344" t="s">
        <v>2297</v>
      </c>
      <c r="J172" s="344" t="s">
        <v>2188</v>
      </c>
      <c r="K172" s="10" t="s">
        <v>3384</v>
      </c>
      <c r="L172" s="344" t="s">
        <v>2286</v>
      </c>
      <c r="M172" s="344" t="s">
        <v>3384</v>
      </c>
      <c r="N172" s="344" t="s">
        <v>3138</v>
      </c>
      <c r="O172" s="344" t="s">
        <v>15</v>
      </c>
      <c r="P172" s="344" t="s">
        <v>57</v>
      </c>
      <c r="Q172" s="344" t="s">
        <v>57</v>
      </c>
      <c r="R172" s="344" t="s">
        <v>58</v>
      </c>
      <c r="S172" s="344" t="s">
        <v>14</v>
      </c>
      <c r="T172" s="347">
        <v>18368</v>
      </c>
      <c r="U172" s="344">
        <v>4084439.04</v>
      </c>
      <c r="W172" s="344" t="s">
        <v>2227</v>
      </c>
      <c r="X172" s="344">
        <v>4084439.04</v>
      </c>
      <c r="Y172" s="344">
        <v>0</v>
      </c>
      <c r="Z172" s="344">
        <v>0</v>
      </c>
      <c r="AA172" s="344">
        <v>0</v>
      </c>
      <c r="AB172" s="344">
        <v>0</v>
      </c>
      <c r="AC172" s="344">
        <v>18</v>
      </c>
      <c r="AD172" s="344">
        <v>735199.02720000001</v>
      </c>
      <c r="AE172" s="344">
        <v>0</v>
      </c>
      <c r="AF172" s="344">
        <v>735199.02720000001</v>
      </c>
      <c r="AG172" s="344">
        <v>0</v>
      </c>
      <c r="AH172" s="344" t="s">
        <v>2204</v>
      </c>
      <c r="AI172" s="344" t="s">
        <v>3</v>
      </c>
      <c r="AJ172" s="344">
        <v>63053200</v>
      </c>
      <c r="AK172" s="344" t="s">
        <v>2189</v>
      </c>
      <c r="AL172" s="344">
        <v>94.8</v>
      </c>
      <c r="AM172" s="344">
        <v>18368</v>
      </c>
      <c r="AN172" s="344" t="s">
        <v>2298</v>
      </c>
    </row>
    <row r="173" spans="7:40">
      <c r="G173" s="344"/>
      <c r="H173" s="344" t="s">
        <v>3138</v>
      </c>
      <c r="I173" s="344" t="s">
        <v>61</v>
      </c>
      <c r="J173" s="344" t="s">
        <v>56</v>
      </c>
      <c r="K173" s="10">
        <v>245</v>
      </c>
      <c r="L173" s="344" t="s">
        <v>75</v>
      </c>
      <c r="M173" s="344" t="s">
        <v>3385</v>
      </c>
      <c r="N173" s="344" t="s">
        <v>3138</v>
      </c>
      <c r="O173" s="344" t="s">
        <v>2</v>
      </c>
      <c r="P173" s="344" t="s">
        <v>67</v>
      </c>
      <c r="Q173" s="344" t="s">
        <v>68</v>
      </c>
      <c r="R173" s="344" t="s">
        <v>69</v>
      </c>
      <c r="S173" s="344" t="s">
        <v>70</v>
      </c>
      <c r="T173" s="344">
        <v>796</v>
      </c>
      <c r="U173" s="347">
        <v>38208</v>
      </c>
      <c r="V173" s="347"/>
      <c r="W173" s="344" t="s">
        <v>558</v>
      </c>
      <c r="X173" s="344">
        <v>45047.23</v>
      </c>
      <c r="Y173" s="344">
        <v>9</v>
      </c>
      <c r="Z173" s="344">
        <v>3438.72</v>
      </c>
      <c r="AA173" s="344">
        <v>9</v>
      </c>
      <c r="AB173" s="344">
        <v>3438.72</v>
      </c>
      <c r="AC173" s="344">
        <v>0</v>
      </c>
      <c r="AD173" s="344">
        <v>0</v>
      </c>
      <c r="AE173" s="344">
        <v>0</v>
      </c>
      <c r="AF173" s="344">
        <v>6877.44</v>
      </c>
      <c r="AG173" s="344">
        <v>0</v>
      </c>
      <c r="AH173" s="344" t="s">
        <v>65</v>
      </c>
      <c r="AI173" s="344" t="s">
        <v>3</v>
      </c>
      <c r="AJ173" s="344">
        <v>73063090</v>
      </c>
      <c r="AK173" s="344" t="s">
        <v>60</v>
      </c>
      <c r="AL173" s="344">
        <v>1</v>
      </c>
      <c r="AM173" s="344">
        <v>796</v>
      </c>
      <c r="AN173" s="344" t="s">
        <v>1905</v>
      </c>
    </row>
    <row r="174" spans="7:40">
      <c r="G174" s="344"/>
      <c r="H174" s="344" t="s">
        <v>3138</v>
      </c>
      <c r="I174" s="344" t="s">
        <v>73</v>
      </c>
      <c r="J174" s="344" t="s">
        <v>56</v>
      </c>
      <c r="K174" s="10">
        <v>243</v>
      </c>
      <c r="L174" s="344" t="s">
        <v>75</v>
      </c>
      <c r="M174" s="344" t="s">
        <v>3386</v>
      </c>
      <c r="N174" s="344" t="s">
        <v>3138</v>
      </c>
      <c r="O174" s="344" t="s">
        <v>15</v>
      </c>
      <c r="P174" s="344" t="s">
        <v>2076</v>
      </c>
      <c r="Q174" s="344" t="s">
        <v>2076</v>
      </c>
      <c r="R174" s="344" t="s">
        <v>2076</v>
      </c>
      <c r="S174" s="344" t="s">
        <v>64</v>
      </c>
      <c r="T174" s="344">
        <v>344</v>
      </c>
      <c r="U174" s="347">
        <v>51366.080000000002</v>
      </c>
      <c r="V174" s="9">
        <f>+U174/T174</f>
        <v>149.32</v>
      </c>
      <c r="W174" s="344" t="s">
        <v>3352</v>
      </c>
      <c r="X174" s="344">
        <v>60560.61</v>
      </c>
      <c r="Y174" s="344">
        <v>9</v>
      </c>
      <c r="Z174" s="344">
        <v>4622.95</v>
      </c>
      <c r="AA174" s="344">
        <v>9</v>
      </c>
      <c r="AB174" s="344">
        <v>4622.95</v>
      </c>
      <c r="AC174" s="344">
        <v>0</v>
      </c>
      <c r="AD174" s="344">
        <v>0</v>
      </c>
      <c r="AE174" s="344">
        <v>0</v>
      </c>
      <c r="AF174" s="344">
        <v>9245.9</v>
      </c>
      <c r="AG174" s="344">
        <v>0</v>
      </c>
      <c r="AH174" s="344" t="s">
        <v>74</v>
      </c>
      <c r="AI174" s="344" t="s">
        <v>3</v>
      </c>
      <c r="AJ174" s="344">
        <v>39269080</v>
      </c>
      <c r="AK174" s="344" t="s">
        <v>60</v>
      </c>
      <c r="AL174" s="344">
        <v>1</v>
      </c>
      <c r="AM174" s="344">
        <v>344</v>
      </c>
      <c r="AN174" s="344" t="s">
        <v>1905</v>
      </c>
    </row>
    <row r="175" spans="7:40">
      <c r="G175" s="344"/>
      <c r="H175" s="344" t="s">
        <v>3138</v>
      </c>
      <c r="I175" s="344" t="s">
        <v>73</v>
      </c>
      <c r="J175" s="344" t="s">
        <v>56</v>
      </c>
      <c r="K175" s="10">
        <v>244</v>
      </c>
      <c r="L175" s="344" t="s">
        <v>75</v>
      </c>
      <c r="M175" s="344" t="s">
        <v>3387</v>
      </c>
      <c r="N175" s="344" t="s">
        <v>3138</v>
      </c>
      <c r="O175" s="344" t="s">
        <v>2</v>
      </c>
      <c r="P175" s="344" t="s">
        <v>67</v>
      </c>
      <c r="Q175" s="344" t="s">
        <v>68</v>
      </c>
      <c r="R175" s="344" t="s">
        <v>69</v>
      </c>
      <c r="S175" s="344" t="s">
        <v>70</v>
      </c>
      <c r="T175" s="344">
        <v>10</v>
      </c>
      <c r="U175" s="344">
        <v>480</v>
      </c>
      <c r="W175" s="344" t="s">
        <v>3329</v>
      </c>
      <c r="X175" s="344">
        <v>565.91999999999996</v>
      </c>
      <c r="Y175" s="344">
        <v>9</v>
      </c>
      <c r="Z175" s="344">
        <v>43.2</v>
      </c>
      <c r="AA175" s="344">
        <v>9</v>
      </c>
      <c r="AB175" s="344">
        <v>43.2</v>
      </c>
      <c r="AC175" s="344">
        <v>0</v>
      </c>
      <c r="AD175" s="344">
        <v>0</v>
      </c>
      <c r="AE175" s="344">
        <v>0</v>
      </c>
      <c r="AF175" s="344">
        <v>86.4</v>
      </c>
      <c r="AG175" s="344">
        <v>0</v>
      </c>
      <c r="AH175" s="344" t="s">
        <v>74</v>
      </c>
      <c r="AI175" s="344" t="s">
        <v>3</v>
      </c>
      <c r="AJ175" s="344">
        <v>73063090</v>
      </c>
      <c r="AK175" s="344" t="s">
        <v>60</v>
      </c>
      <c r="AL175" s="344">
        <v>1</v>
      </c>
      <c r="AM175" s="344">
        <v>10</v>
      </c>
      <c r="AN175" s="344" t="s">
        <v>1905</v>
      </c>
    </row>
    <row r="176" spans="7:40">
      <c r="G176" s="344"/>
      <c r="H176" s="344" t="s">
        <v>3173</v>
      </c>
      <c r="I176" s="344" t="s">
        <v>61</v>
      </c>
      <c r="J176" s="344" t="s">
        <v>56</v>
      </c>
      <c r="K176" s="10">
        <v>246</v>
      </c>
      <c r="L176" s="344" t="s">
        <v>2180</v>
      </c>
      <c r="M176" s="344" t="s">
        <v>3388</v>
      </c>
      <c r="N176" s="344" t="s">
        <v>3173</v>
      </c>
      <c r="O176" s="344" t="s">
        <v>13</v>
      </c>
      <c r="P176" s="344" t="s">
        <v>71</v>
      </c>
      <c r="Q176" s="344" t="s">
        <v>71</v>
      </c>
      <c r="R176" s="344" t="s">
        <v>72</v>
      </c>
      <c r="S176" s="344" t="s">
        <v>22</v>
      </c>
      <c r="T176" s="347">
        <v>4555</v>
      </c>
      <c r="U176" s="347">
        <v>54660</v>
      </c>
      <c r="V176" s="347"/>
      <c r="W176" s="344" t="s">
        <v>22</v>
      </c>
      <c r="X176" s="344">
        <v>65788.78</v>
      </c>
      <c r="Y176" s="344">
        <v>9</v>
      </c>
      <c r="Z176" s="344">
        <v>4919.3999999999996</v>
      </c>
      <c r="AA176" s="344">
        <v>9</v>
      </c>
      <c r="AB176" s="344">
        <v>4919.3999999999996</v>
      </c>
      <c r="AC176" s="344">
        <v>0</v>
      </c>
      <c r="AD176" s="344">
        <v>0</v>
      </c>
      <c r="AE176" s="344">
        <v>0</v>
      </c>
      <c r="AF176" s="344">
        <v>9838.7999999999993</v>
      </c>
      <c r="AG176" s="344">
        <v>1289.98</v>
      </c>
      <c r="AH176" s="344" t="s">
        <v>65</v>
      </c>
      <c r="AI176" s="344" t="s">
        <v>3</v>
      </c>
      <c r="AJ176" s="344">
        <v>39159029</v>
      </c>
      <c r="AK176" s="344" t="s">
        <v>60</v>
      </c>
      <c r="AL176" s="344">
        <v>1</v>
      </c>
      <c r="AM176" s="344">
        <v>4555</v>
      </c>
      <c r="AN176" s="344" t="s">
        <v>1905</v>
      </c>
    </row>
    <row r="177" spans="7:40">
      <c r="G177" s="344"/>
      <c r="H177" s="344" t="s">
        <v>3173</v>
      </c>
      <c r="I177" s="344" t="s">
        <v>61</v>
      </c>
      <c r="J177" s="344" t="s">
        <v>56</v>
      </c>
      <c r="K177" s="10">
        <v>247</v>
      </c>
      <c r="L177" s="344" t="s">
        <v>75</v>
      </c>
      <c r="M177" s="344" t="s">
        <v>3389</v>
      </c>
      <c r="N177" s="344" t="s">
        <v>3173</v>
      </c>
      <c r="O177" s="344" t="s">
        <v>13</v>
      </c>
      <c r="P177" s="344" t="s">
        <v>80</v>
      </c>
      <c r="Q177" s="344" t="s">
        <v>81</v>
      </c>
      <c r="R177" s="344" t="s">
        <v>82</v>
      </c>
      <c r="S177" s="344" t="s">
        <v>17</v>
      </c>
      <c r="T177" s="344">
        <v>109</v>
      </c>
      <c r="U177" s="347">
        <v>20149.740000000002</v>
      </c>
      <c r="V177" s="347"/>
      <c r="W177" s="344" t="s">
        <v>3390</v>
      </c>
      <c r="X177" s="344">
        <v>23756.55</v>
      </c>
      <c r="Y177" s="344">
        <v>9</v>
      </c>
      <c r="Z177" s="344">
        <v>1813.48</v>
      </c>
      <c r="AA177" s="344">
        <v>9</v>
      </c>
      <c r="AB177" s="344">
        <v>1813.48</v>
      </c>
      <c r="AC177" s="344">
        <v>0</v>
      </c>
      <c r="AD177" s="344">
        <v>0</v>
      </c>
      <c r="AE177" s="344">
        <v>0</v>
      </c>
      <c r="AF177" s="344">
        <v>3626.96</v>
      </c>
      <c r="AG177" s="344">
        <v>0</v>
      </c>
      <c r="AH177" s="344" t="s">
        <v>65</v>
      </c>
      <c r="AI177" s="344" t="s">
        <v>3</v>
      </c>
      <c r="AJ177" s="344">
        <v>39232100</v>
      </c>
      <c r="AK177" s="344" t="s">
        <v>60</v>
      </c>
      <c r="AL177" s="344">
        <v>1</v>
      </c>
      <c r="AM177" s="344">
        <v>109</v>
      </c>
      <c r="AN177" s="344" t="s">
        <v>1905</v>
      </c>
    </row>
    <row r="178" spans="7:40">
      <c r="G178" s="344"/>
      <c r="H178" s="344" t="s">
        <v>3173</v>
      </c>
      <c r="I178" s="344" t="s">
        <v>61</v>
      </c>
      <c r="J178" s="344" t="s">
        <v>56</v>
      </c>
      <c r="K178" s="10">
        <v>248</v>
      </c>
      <c r="L178" s="344" t="s">
        <v>75</v>
      </c>
      <c r="M178" s="344" t="s">
        <v>3391</v>
      </c>
      <c r="N178" s="344" t="s">
        <v>3173</v>
      </c>
      <c r="O178" s="344" t="s">
        <v>15</v>
      </c>
      <c r="P178" s="344" t="s">
        <v>2076</v>
      </c>
      <c r="Q178" s="344" t="s">
        <v>2076</v>
      </c>
      <c r="R178" s="344" t="s">
        <v>2076</v>
      </c>
      <c r="S178" s="344" t="s">
        <v>64</v>
      </c>
      <c r="T178" s="344">
        <v>785</v>
      </c>
      <c r="U178" s="347">
        <v>21980</v>
      </c>
      <c r="V178" s="9">
        <f>+U178/T178</f>
        <v>28</v>
      </c>
      <c r="W178" s="344" t="s">
        <v>2315</v>
      </c>
      <c r="X178" s="344">
        <v>25914.42</v>
      </c>
      <c r="Y178" s="344">
        <v>9</v>
      </c>
      <c r="Z178" s="344">
        <v>1978.2</v>
      </c>
      <c r="AA178" s="344">
        <v>9</v>
      </c>
      <c r="AB178" s="344">
        <v>1978.2</v>
      </c>
      <c r="AC178" s="344">
        <v>0</v>
      </c>
      <c r="AD178" s="344">
        <v>0</v>
      </c>
      <c r="AE178" s="344">
        <v>0</v>
      </c>
      <c r="AF178" s="344">
        <v>3956.4</v>
      </c>
      <c r="AG178" s="344">
        <v>0</v>
      </c>
      <c r="AH178" s="344" t="s">
        <v>65</v>
      </c>
      <c r="AI178" s="344" t="s">
        <v>3</v>
      </c>
      <c r="AJ178" s="344">
        <v>39269080</v>
      </c>
      <c r="AK178" s="344" t="s">
        <v>60</v>
      </c>
      <c r="AL178" s="344">
        <v>1</v>
      </c>
      <c r="AM178" s="344">
        <v>785</v>
      </c>
      <c r="AN178" s="344" t="s">
        <v>1905</v>
      </c>
    </row>
    <row r="179" spans="7:40">
      <c r="G179" s="344"/>
      <c r="H179" s="344" t="s">
        <v>3173</v>
      </c>
      <c r="I179" s="344" t="s">
        <v>61</v>
      </c>
      <c r="J179" s="344" t="s">
        <v>56</v>
      </c>
      <c r="K179" s="10">
        <v>249</v>
      </c>
      <c r="L179" s="344" t="s">
        <v>75</v>
      </c>
      <c r="M179" s="344" t="s">
        <v>3392</v>
      </c>
      <c r="N179" s="344" t="s">
        <v>3173</v>
      </c>
      <c r="O179" s="344" t="s">
        <v>2</v>
      </c>
      <c r="P179" s="344" t="s">
        <v>67</v>
      </c>
      <c r="Q179" s="344" t="s">
        <v>68</v>
      </c>
      <c r="R179" s="344" t="s">
        <v>69</v>
      </c>
      <c r="S179" s="344" t="s">
        <v>70</v>
      </c>
      <c r="T179" s="344">
        <v>433</v>
      </c>
      <c r="U179" s="347">
        <v>20784</v>
      </c>
      <c r="V179" s="347"/>
      <c r="W179" s="344" t="s">
        <v>558</v>
      </c>
      <c r="X179" s="344">
        <v>24504.34</v>
      </c>
      <c r="Y179" s="344">
        <v>9</v>
      </c>
      <c r="Z179" s="344">
        <v>1870.56</v>
      </c>
      <c r="AA179" s="344">
        <v>9</v>
      </c>
      <c r="AB179" s="344">
        <v>1870.56</v>
      </c>
      <c r="AC179" s="344">
        <v>0</v>
      </c>
      <c r="AD179" s="344">
        <v>0</v>
      </c>
      <c r="AE179" s="344">
        <v>0</v>
      </c>
      <c r="AF179" s="344">
        <v>3741.12</v>
      </c>
      <c r="AG179" s="344">
        <v>0</v>
      </c>
      <c r="AH179" s="344" t="s">
        <v>65</v>
      </c>
      <c r="AI179" s="344" t="s">
        <v>3</v>
      </c>
      <c r="AJ179" s="344">
        <v>73063090</v>
      </c>
      <c r="AK179" s="344" t="s">
        <v>60</v>
      </c>
      <c r="AL179" s="344">
        <v>1</v>
      </c>
      <c r="AM179" s="344">
        <v>433</v>
      </c>
      <c r="AN179" s="344" t="s">
        <v>1905</v>
      </c>
    </row>
    <row r="180" spans="7:40">
      <c r="G180" s="344"/>
      <c r="H180" s="344" t="s">
        <v>3173</v>
      </c>
      <c r="I180" s="344" t="s">
        <v>61</v>
      </c>
      <c r="J180" s="344" t="s">
        <v>56</v>
      </c>
      <c r="K180" s="10">
        <v>250</v>
      </c>
      <c r="L180" s="344" t="s">
        <v>75</v>
      </c>
      <c r="M180" s="344" t="s">
        <v>3393</v>
      </c>
      <c r="N180" s="344" t="s">
        <v>3173</v>
      </c>
      <c r="O180" s="344" t="s">
        <v>13</v>
      </c>
      <c r="P180" s="344" t="s">
        <v>62</v>
      </c>
      <c r="Q180" s="344" t="s">
        <v>63</v>
      </c>
      <c r="R180" s="344" t="s">
        <v>64</v>
      </c>
      <c r="S180" s="344" t="s">
        <v>19</v>
      </c>
      <c r="T180" s="344">
        <v>248</v>
      </c>
      <c r="U180" s="347">
        <v>35295.360000000001</v>
      </c>
      <c r="V180" s="347"/>
      <c r="W180" s="344" t="s">
        <v>3327</v>
      </c>
      <c r="X180" s="344">
        <v>41613.22</v>
      </c>
      <c r="Y180" s="344">
        <v>9</v>
      </c>
      <c r="Z180" s="344">
        <v>3176.58</v>
      </c>
      <c r="AA180" s="344">
        <v>9</v>
      </c>
      <c r="AB180" s="344">
        <v>3176.58</v>
      </c>
      <c r="AC180" s="344">
        <v>0</v>
      </c>
      <c r="AD180" s="344">
        <v>0</v>
      </c>
      <c r="AE180" s="344">
        <v>0</v>
      </c>
      <c r="AF180" s="344">
        <v>6353.16</v>
      </c>
      <c r="AG180" s="344">
        <v>0</v>
      </c>
      <c r="AH180" s="344" t="s">
        <v>65</v>
      </c>
      <c r="AI180" s="344" t="s">
        <v>3</v>
      </c>
      <c r="AJ180" s="344">
        <v>39269080</v>
      </c>
      <c r="AK180" s="344" t="s">
        <v>60</v>
      </c>
      <c r="AL180" s="344">
        <v>1</v>
      </c>
      <c r="AM180" s="344">
        <v>248</v>
      </c>
      <c r="AN180" s="344" t="s">
        <v>1905</v>
      </c>
    </row>
    <row r="181" spans="7:40">
      <c r="G181" s="344"/>
      <c r="H181" s="344" t="s">
        <v>3182</v>
      </c>
      <c r="I181" s="344" t="s">
        <v>61</v>
      </c>
      <c r="J181" s="344" t="s">
        <v>56</v>
      </c>
      <c r="K181" s="10">
        <v>251</v>
      </c>
      <c r="L181" s="344" t="s">
        <v>1663</v>
      </c>
      <c r="M181" s="344" t="s">
        <v>3394</v>
      </c>
      <c r="N181" s="344" t="s">
        <v>3182</v>
      </c>
      <c r="O181" s="344" t="s">
        <v>15</v>
      </c>
      <c r="P181" s="344" t="s">
        <v>57</v>
      </c>
      <c r="Q181" s="344" t="s">
        <v>57</v>
      </c>
      <c r="R181" s="344" t="s">
        <v>58</v>
      </c>
      <c r="S181" s="344" t="s">
        <v>16</v>
      </c>
      <c r="T181" s="347">
        <v>1241</v>
      </c>
      <c r="U181" s="344">
        <v>259517.92</v>
      </c>
      <c r="W181" s="344" t="s">
        <v>3278</v>
      </c>
      <c r="X181" s="344">
        <v>1888435.45</v>
      </c>
      <c r="Y181" s="344">
        <v>9</v>
      </c>
      <c r="Z181" s="344">
        <v>23356.61</v>
      </c>
      <c r="AA181" s="344">
        <v>9</v>
      </c>
      <c r="AB181" s="344">
        <v>23356.61</v>
      </c>
      <c r="AC181" s="344">
        <v>0</v>
      </c>
      <c r="AD181" s="344">
        <v>0</v>
      </c>
      <c r="AE181" s="344">
        <v>0</v>
      </c>
      <c r="AF181" s="344">
        <v>46713.22</v>
      </c>
      <c r="AG181" s="344">
        <v>0</v>
      </c>
      <c r="AH181" s="344" t="s">
        <v>65</v>
      </c>
      <c r="AI181" s="344" t="s">
        <v>3</v>
      </c>
      <c r="AJ181" s="344">
        <v>63053200</v>
      </c>
      <c r="AK181" s="344" t="s">
        <v>60</v>
      </c>
      <c r="AL181" s="344">
        <v>1</v>
      </c>
      <c r="AM181" s="344">
        <v>1241</v>
      </c>
      <c r="AN181" s="344" t="s">
        <v>1905</v>
      </c>
    </row>
    <row r="182" spans="7:40">
      <c r="G182" s="344"/>
      <c r="H182" s="344" t="s">
        <v>3182</v>
      </c>
      <c r="I182" s="344" t="s">
        <v>61</v>
      </c>
      <c r="J182" s="344" t="s">
        <v>56</v>
      </c>
      <c r="K182" s="10">
        <v>251</v>
      </c>
      <c r="L182" s="344" t="s">
        <v>1663</v>
      </c>
      <c r="M182" s="344" t="s">
        <v>3394</v>
      </c>
      <c r="N182" s="344" t="s">
        <v>3182</v>
      </c>
      <c r="O182" s="344" t="s">
        <v>15</v>
      </c>
      <c r="P182" s="344" t="s">
        <v>57</v>
      </c>
      <c r="Q182" s="344" t="s">
        <v>57</v>
      </c>
      <c r="R182" s="344" t="s">
        <v>58</v>
      </c>
      <c r="S182" s="344" t="s">
        <v>16</v>
      </c>
      <c r="T182" s="347">
        <v>1628</v>
      </c>
      <c r="U182" s="344">
        <v>294505.2</v>
      </c>
      <c r="W182" s="344" t="s">
        <v>2296</v>
      </c>
      <c r="X182" s="344">
        <v>0</v>
      </c>
      <c r="Y182" s="344">
        <v>9</v>
      </c>
      <c r="Z182" s="344">
        <v>26505.47</v>
      </c>
      <c r="AA182" s="344">
        <v>9</v>
      </c>
      <c r="AB182" s="344">
        <v>26505.47</v>
      </c>
      <c r="AC182" s="344">
        <v>0</v>
      </c>
      <c r="AD182" s="344">
        <v>0</v>
      </c>
      <c r="AE182" s="344">
        <v>0</v>
      </c>
      <c r="AF182" s="344">
        <v>53010.94</v>
      </c>
      <c r="AG182" s="344">
        <v>0</v>
      </c>
      <c r="AH182" s="344" t="s">
        <v>65</v>
      </c>
      <c r="AI182" s="344" t="s">
        <v>3</v>
      </c>
      <c r="AJ182" s="344">
        <v>63053200</v>
      </c>
      <c r="AK182" s="344" t="s">
        <v>60</v>
      </c>
      <c r="AL182" s="344">
        <v>1</v>
      </c>
      <c r="AM182" s="344">
        <v>1628</v>
      </c>
      <c r="AN182" s="344" t="s">
        <v>1905</v>
      </c>
    </row>
    <row r="183" spans="7:40">
      <c r="G183" s="344"/>
      <c r="H183" s="344" t="s">
        <v>3182</v>
      </c>
      <c r="I183" s="344" t="s">
        <v>61</v>
      </c>
      <c r="J183" s="344" t="s">
        <v>56</v>
      </c>
      <c r="K183" s="10">
        <v>251</v>
      </c>
      <c r="L183" s="344" t="s">
        <v>1663</v>
      </c>
      <c r="M183" s="344" t="s">
        <v>3394</v>
      </c>
      <c r="N183" s="344" t="s">
        <v>3182</v>
      </c>
      <c r="O183" s="344" t="s">
        <v>15</v>
      </c>
      <c r="P183" s="344" t="s">
        <v>57</v>
      </c>
      <c r="Q183" s="344" t="s">
        <v>57</v>
      </c>
      <c r="R183" s="344" t="s">
        <v>58</v>
      </c>
      <c r="S183" s="344" t="s">
        <v>16</v>
      </c>
      <c r="T183" s="347">
        <v>5858</v>
      </c>
      <c r="U183" s="344">
        <v>1047703.3</v>
      </c>
      <c r="W183" s="344" t="s">
        <v>3278</v>
      </c>
      <c r="X183" s="344">
        <v>0</v>
      </c>
      <c r="Y183" s="344">
        <v>9</v>
      </c>
      <c r="Z183" s="344">
        <v>94293.3</v>
      </c>
      <c r="AA183" s="344">
        <v>9</v>
      </c>
      <c r="AB183" s="344">
        <v>94293.3</v>
      </c>
      <c r="AC183" s="344">
        <v>0</v>
      </c>
      <c r="AD183" s="344">
        <v>0</v>
      </c>
      <c r="AE183" s="344">
        <v>0</v>
      </c>
      <c r="AF183" s="344">
        <v>188586.6</v>
      </c>
      <c r="AG183" s="344">
        <v>0</v>
      </c>
      <c r="AH183" s="344" t="s">
        <v>65</v>
      </c>
      <c r="AI183" s="344" t="s">
        <v>3</v>
      </c>
      <c r="AJ183" s="344">
        <v>63053200</v>
      </c>
      <c r="AK183" s="344" t="s">
        <v>60</v>
      </c>
      <c r="AL183" s="344">
        <v>1</v>
      </c>
      <c r="AM183" s="344">
        <v>5858</v>
      </c>
      <c r="AN183" s="344" t="s">
        <v>1905</v>
      </c>
    </row>
    <row r="184" spans="7:40">
      <c r="G184" s="344"/>
      <c r="H184" s="344" t="s">
        <v>3182</v>
      </c>
      <c r="I184" s="344" t="s">
        <v>61</v>
      </c>
      <c r="J184" s="344" t="s">
        <v>56</v>
      </c>
      <c r="K184" s="10">
        <v>252</v>
      </c>
      <c r="L184" s="344" t="s">
        <v>75</v>
      </c>
      <c r="M184" s="344" t="s">
        <v>3395</v>
      </c>
      <c r="N184" s="344" t="s">
        <v>3182</v>
      </c>
      <c r="O184" s="344" t="s">
        <v>2</v>
      </c>
      <c r="P184" s="344" t="s">
        <v>67</v>
      </c>
      <c r="Q184" s="344" t="s">
        <v>68</v>
      </c>
      <c r="R184" s="344" t="s">
        <v>69</v>
      </c>
      <c r="S184" s="344" t="s">
        <v>70</v>
      </c>
      <c r="T184" s="344">
        <v>334</v>
      </c>
      <c r="U184" s="347">
        <v>16032</v>
      </c>
      <c r="V184" s="347"/>
      <c r="W184" s="344" t="s">
        <v>558</v>
      </c>
      <c r="X184" s="344">
        <v>18901.73</v>
      </c>
      <c r="Y184" s="344">
        <v>9</v>
      </c>
      <c r="Z184" s="344">
        <v>1442.88</v>
      </c>
      <c r="AA184" s="344">
        <v>9</v>
      </c>
      <c r="AB184" s="344">
        <v>1442.88</v>
      </c>
      <c r="AC184" s="344">
        <v>0</v>
      </c>
      <c r="AD184" s="344">
        <v>0</v>
      </c>
      <c r="AE184" s="344">
        <v>0</v>
      </c>
      <c r="AF184" s="344">
        <v>2885.76</v>
      </c>
      <c r="AG184" s="344">
        <v>0</v>
      </c>
      <c r="AH184" s="344" t="s">
        <v>65</v>
      </c>
      <c r="AI184" s="344" t="s">
        <v>3</v>
      </c>
      <c r="AJ184" s="344">
        <v>73063090</v>
      </c>
      <c r="AK184" s="344" t="s">
        <v>60</v>
      </c>
      <c r="AL184" s="344">
        <v>1</v>
      </c>
      <c r="AM184" s="344">
        <v>334</v>
      </c>
      <c r="AN184" s="344" t="s">
        <v>1905</v>
      </c>
    </row>
    <row r="185" spans="7:40">
      <c r="G185" s="344"/>
      <c r="H185" s="344" t="s">
        <v>3182</v>
      </c>
      <c r="I185" s="344" t="s">
        <v>61</v>
      </c>
      <c r="J185" s="344" t="s">
        <v>56</v>
      </c>
      <c r="K185" s="10">
        <v>253</v>
      </c>
      <c r="L185" s="344" t="s">
        <v>2180</v>
      </c>
      <c r="M185" s="344" t="s">
        <v>3396</v>
      </c>
      <c r="N185" s="344" t="s">
        <v>3182</v>
      </c>
      <c r="O185" s="344" t="s">
        <v>13</v>
      </c>
      <c r="P185" s="344" t="s">
        <v>71</v>
      </c>
      <c r="Q185" s="344" t="s">
        <v>71</v>
      </c>
      <c r="R185" s="344" t="s">
        <v>72</v>
      </c>
      <c r="S185" s="344" t="s">
        <v>22</v>
      </c>
      <c r="T185" s="347">
        <v>4320</v>
      </c>
      <c r="U185" s="347">
        <v>51840</v>
      </c>
      <c r="V185" s="347"/>
      <c r="W185" s="344" t="s">
        <v>22</v>
      </c>
      <c r="X185" s="344">
        <v>62394.62</v>
      </c>
      <c r="Y185" s="344">
        <v>9</v>
      </c>
      <c r="Z185" s="344">
        <v>4665.6000000000004</v>
      </c>
      <c r="AA185" s="344">
        <v>9</v>
      </c>
      <c r="AB185" s="344">
        <v>4665.6000000000004</v>
      </c>
      <c r="AC185" s="344">
        <v>0</v>
      </c>
      <c r="AD185" s="344">
        <v>0</v>
      </c>
      <c r="AE185" s="344">
        <v>0</v>
      </c>
      <c r="AF185" s="344">
        <v>9331.2000000000007</v>
      </c>
      <c r="AG185" s="344">
        <v>1223.42</v>
      </c>
      <c r="AH185" s="344" t="s">
        <v>65</v>
      </c>
      <c r="AI185" s="344" t="s">
        <v>3</v>
      </c>
      <c r="AJ185" s="344">
        <v>39159029</v>
      </c>
      <c r="AK185" s="344" t="s">
        <v>60</v>
      </c>
      <c r="AL185" s="344">
        <v>1</v>
      </c>
      <c r="AM185" s="344">
        <v>4320</v>
      </c>
      <c r="AN185" s="344" t="s">
        <v>1905</v>
      </c>
    </row>
    <row r="186" spans="7:40">
      <c r="G186" s="344"/>
      <c r="H186" s="344" t="s">
        <v>3192</v>
      </c>
      <c r="I186" s="344" t="s">
        <v>2297</v>
      </c>
      <c r="J186" s="344" t="s">
        <v>2188</v>
      </c>
      <c r="K186" s="10" t="s">
        <v>3397</v>
      </c>
      <c r="L186" s="344" t="s">
        <v>2286</v>
      </c>
      <c r="M186" s="344" t="s">
        <v>3397</v>
      </c>
      <c r="N186" s="344" t="s">
        <v>3192</v>
      </c>
      <c r="O186" s="344" t="s">
        <v>15</v>
      </c>
      <c r="P186" s="344" t="s">
        <v>57</v>
      </c>
      <c r="Q186" s="344" t="s">
        <v>57</v>
      </c>
      <c r="R186" s="344" t="s">
        <v>58</v>
      </c>
      <c r="S186" s="344" t="s">
        <v>14</v>
      </c>
      <c r="T186" s="347">
        <v>18493</v>
      </c>
      <c r="U186" s="344">
        <v>4021131.6</v>
      </c>
      <c r="W186" s="344" t="s">
        <v>2227</v>
      </c>
      <c r="X186" s="344">
        <v>4021131.6</v>
      </c>
      <c r="Y186" s="344">
        <v>0</v>
      </c>
      <c r="Z186" s="344">
        <v>0</v>
      </c>
      <c r="AA186" s="344">
        <v>0</v>
      </c>
      <c r="AB186" s="344">
        <v>0</v>
      </c>
      <c r="AC186" s="344">
        <v>18</v>
      </c>
      <c r="AD186" s="344">
        <v>723803.68799999997</v>
      </c>
      <c r="AE186" s="344">
        <v>0</v>
      </c>
      <c r="AF186" s="344">
        <v>723803.68799999997</v>
      </c>
      <c r="AG186" s="344">
        <v>0</v>
      </c>
      <c r="AH186" s="344" t="s">
        <v>2204</v>
      </c>
      <c r="AI186" s="344" t="s">
        <v>3</v>
      </c>
      <c r="AJ186" s="344">
        <v>63053200</v>
      </c>
      <c r="AK186" s="344" t="s">
        <v>2189</v>
      </c>
      <c r="AL186" s="344">
        <v>94.8</v>
      </c>
      <c r="AM186" s="344">
        <v>18493</v>
      </c>
      <c r="AN186" s="344" t="s">
        <v>2298</v>
      </c>
    </row>
    <row r="187" spans="7:40">
      <c r="G187" s="344"/>
      <c r="H187" s="344" t="s">
        <v>3192</v>
      </c>
      <c r="I187" s="344" t="s">
        <v>61</v>
      </c>
      <c r="J187" s="344" t="s">
        <v>56</v>
      </c>
      <c r="K187" s="10">
        <v>254</v>
      </c>
      <c r="L187" s="344" t="s">
        <v>75</v>
      </c>
      <c r="M187" s="344" t="s">
        <v>3398</v>
      </c>
      <c r="N187" s="344" t="s">
        <v>3192</v>
      </c>
      <c r="O187" s="344" t="s">
        <v>13</v>
      </c>
      <c r="P187" s="344" t="s">
        <v>24</v>
      </c>
      <c r="Q187" s="344" t="s">
        <v>79</v>
      </c>
      <c r="R187" s="344" t="s">
        <v>79</v>
      </c>
      <c r="S187" s="344" t="s">
        <v>24</v>
      </c>
      <c r="T187" s="344">
        <v>220.9</v>
      </c>
      <c r="U187" s="347">
        <v>32542.99</v>
      </c>
      <c r="V187" s="347"/>
      <c r="W187" s="344" t="s">
        <v>2500</v>
      </c>
      <c r="X187" s="344">
        <v>38368.19</v>
      </c>
      <c r="Y187" s="344">
        <v>9</v>
      </c>
      <c r="Z187" s="344">
        <v>2928.87</v>
      </c>
      <c r="AA187" s="344">
        <v>9</v>
      </c>
      <c r="AB187" s="344">
        <v>2928.87</v>
      </c>
      <c r="AC187" s="344">
        <v>0</v>
      </c>
      <c r="AD187" s="344">
        <v>0</v>
      </c>
      <c r="AE187" s="344">
        <v>0</v>
      </c>
      <c r="AF187" s="344">
        <v>5857.74</v>
      </c>
      <c r="AG187" s="344">
        <v>0</v>
      </c>
      <c r="AH187" s="344" t="s">
        <v>65</v>
      </c>
      <c r="AI187" s="344" t="s">
        <v>3</v>
      </c>
      <c r="AJ187" s="344">
        <v>39269080</v>
      </c>
      <c r="AK187" s="344" t="s">
        <v>60</v>
      </c>
      <c r="AL187" s="344">
        <v>1</v>
      </c>
      <c r="AM187" s="344">
        <v>220.9</v>
      </c>
      <c r="AN187" s="344" t="s">
        <v>1905</v>
      </c>
    </row>
    <row r="188" spans="7:40">
      <c r="G188" s="344"/>
      <c r="H188" s="344" t="s">
        <v>3192</v>
      </c>
      <c r="I188" s="344" t="s">
        <v>61</v>
      </c>
      <c r="J188" s="344" t="s">
        <v>56</v>
      </c>
      <c r="K188" s="10">
        <v>255</v>
      </c>
      <c r="L188" s="344" t="s">
        <v>75</v>
      </c>
      <c r="M188" s="344" t="s">
        <v>3399</v>
      </c>
      <c r="N188" s="344" t="s">
        <v>3192</v>
      </c>
      <c r="O188" s="344" t="s">
        <v>2</v>
      </c>
      <c r="P188" s="344" t="s">
        <v>67</v>
      </c>
      <c r="Q188" s="344" t="s">
        <v>68</v>
      </c>
      <c r="R188" s="344" t="s">
        <v>69</v>
      </c>
      <c r="S188" s="344" t="s">
        <v>70</v>
      </c>
      <c r="T188" s="344">
        <v>276</v>
      </c>
      <c r="U188" s="347">
        <v>13248</v>
      </c>
      <c r="V188" s="347"/>
      <c r="W188" s="344" t="s">
        <v>558</v>
      </c>
      <c r="X188" s="344">
        <v>15619.39</v>
      </c>
      <c r="Y188" s="344">
        <v>9</v>
      </c>
      <c r="Z188" s="344">
        <v>1192.32</v>
      </c>
      <c r="AA188" s="344">
        <v>9</v>
      </c>
      <c r="AB188" s="344">
        <v>1192.32</v>
      </c>
      <c r="AC188" s="344">
        <v>0</v>
      </c>
      <c r="AD188" s="344">
        <v>0</v>
      </c>
      <c r="AE188" s="344">
        <v>0</v>
      </c>
      <c r="AF188" s="344">
        <v>2384.64</v>
      </c>
      <c r="AG188" s="344">
        <v>0</v>
      </c>
      <c r="AH188" s="344" t="s">
        <v>65</v>
      </c>
      <c r="AI188" s="344" t="s">
        <v>3</v>
      </c>
      <c r="AJ188" s="344">
        <v>73063090</v>
      </c>
      <c r="AK188" s="344" t="s">
        <v>60</v>
      </c>
      <c r="AL188" s="344">
        <v>1</v>
      </c>
      <c r="AM188" s="344">
        <v>276</v>
      </c>
      <c r="AN188" s="344" t="s">
        <v>1905</v>
      </c>
    </row>
    <row r="189" spans="7:40">
      <c r="G189" s="344"/>
      <c r="H189" s="344" t="s">
        <v>3220</v>
      </c>
      <c r="I189" s="344" t="s">
        <v>2297</v>
      </c>
      <c r="J189" s="344" t="s">
        <v>2188</v>
      </c>
      <c r="K189" s="10" t="s">
        <v>3400</v>
      </c>
      <c r="L189" s="344" t="s">
        <v>2286</v>
      </c>
      <c r="M189" s="344" t="s">
        <v>3400</v>
      </c>
      <c r="N189" s="344" t="s">
        <v>3220</v>
      </c>
      <c r="O189" s="344" t="s">
        <v>15</v>
      </c>
      <c r="P189" s="344" t="s">
        <v>57</v>
      </c>
      <c r="Q189" s="344" t="s">
        <v>57</v>
      </c>
      <c r="R189" s="344" t="s">
        <v>58</v>
      </c>
      <c r="S189" s="344" t="s">
        <v>14</v>
      </c>
      <c r="T189" s="347">
        <v>18491</v>
      </c>
      <c r="U189" s="344">
        <v>4068000.72</v>
      </c>
      <c r="W189" s="344" t="s">
        <v>2227</v>
      </c>
      <c r="X189" s="344">
        <v>4068000.72</v>
      </c>
      <c r="Y189" s="344">
        <v>0</v>
      </c>
      <c r="Z189" s="344">
        <v>0</v>
      </c>
      <c r="AA189" s="344">
        <v>0</v>
      </c>
      <c r="AB189" s="344">
        <v>0</v>
      </c>
      <c r="AC189" s="344">
        <v>18</v>
      </c>
      <c r="AD189" s="344">
        <v>732240.12959999999</v>
      </c>
      <c r="AE189" s="344">
        <v>0</v>
      </c>
      <c r="AF189" s="344">
        <v>732240.12959999999</v>
      </c>
      <c r="AG189" s="344">
        <v>0</v>
      </c>
      <c r="AH189" s="344" t="s">
        <v>2204</v>
      </c>
      <c r="AI189" s="344" t="s">
        <v>3</v>
      </c>
      <c r="AJ189" s="344">
        <v>63053200</v>
      </c>
      <c r="AK189" s="344" t="s">
        <v>2189</v>
      </c>
      <c r="AL189" s="344">
        <v>94.8</v>
      </c>
      <c r="AM189" s="344">
        <v>18491</v>
      </c>
      <c r="AN189" s="344" t="s">
        <v>2298</v>
      </c>
    </row>
    <row r="190" spans="7:40">
      <c r="G190" s="344"/>
      <c r="H190" s="344" t="s">
        <v>3220</v>
      </c>
      <c r="I190" s="344" t="s">
        <v>61</v>
      </c>
      <c r="J190" s="344" t="s">
        <v>56</v>
      </c>
      <c r="K190" s="10">
        <v>256</v>
      </c>
      <c r="L190" s="344" t="s">
        <v>75</v>
      </c>
      <c r="M190" s="344" t="s">
        <v>3401</v>
      </c>
      <c r="N190" s="344" t="s">
        <v>3220</v>
      </c>
      <c r="O190" s="344" t="s">
        <v>15</v>
      </c>
      <c r="P190" s="344" t="s">
        <v>2076</v>
      </c>
      <c r="Q190" s="344" t="s">
        <v>2076</v>
      </c>
      <c r="R190" s="344" t="s">
        <v>2076</v>
      </c>
      <c r="S190" s="344" t="s">
        <v>64</v>
      </c>
      <c r="T190" s="347">
        <v>1565</v>
      </c>
      <c r="U190" s="347">
        <v>43820</v>
      </c>
      <c r="V190" s="9">
        <f>+U190/T190</f>
        <v>28</v>
      </c>
      <c r="W190" s="344" t="s">
        <v>2315</v>
      </c>
      <c r="X190" s="344">
        <v>51663.78</v>
      </c>
      <c r="Y190" s="344">
        <v>9</v>
      </c>
      <c r="Z190" s="344">
        <v>3943.8</v>
      </c>
      <c r="AA190" s="344">
        <v>9</v>
      </c>
      <c r="AB190" s="344">
        <v>3943.8</v>
      </c>
      <c r="AC190" s="344">
        <v>0</v>
      </c>
      <c r="AD190" s="344">
        <v>0</v>
      </c>
      <c r="AE190" s="344">
        <v>0</v>
      </c>
      <c r="AF190" s="344">
        <v>7887.6</v>
      </c>
      <c r="AG190" s="344">
        <v>0</v>
      </c>
      <c r="AH190" s="344" t="s">
        <v>65</v>
      </c>
      <c r="AI190" s="344" t="s">
        <v>3</v>
      </c>
      <c r="AJ190" s="344">
        <v>39269080</v>
      </c>
      <c r="AK190" s="344" t="s">
        <v>60</v>
      </c>
      <c r="AL190" s="344">
        <v>1</v>
      </c>
      <c r="AM190" s="344">
        <v>1565</v>
      </c>
      <c r="AN190" s="344" t="s">
        <v>1905</v>
      </c>
    </row>
    <row r="191" spans="7:40">
      <c r="G191" s="344"/>
      <c r="H191" s="344" t="s">
        <v>3220</v>
      </c>
      <c r="I191" s="344" t="s">
        <v>61</v>
      </c>
      <c r="J191" s="344" t="s">
        <v>56</v>
      </c>
      <c r="K191" s="10">
        <v>257</v>
      </c>
      <c r="L191" s="344" t="s">
        <v>2180</v>
      </c>
      <c r="M191" s="344" t="s">
        <v>3402</v>
      </c>
      <c r="N191" s="344" t="s">
        <v>3220</v>
      </c>
      <c r="O191" s="344" t="s">
        <v>13</v>
      </c>
      <c r="P191" s="344" t="s">
        <v>71</v>
      </c>
      <c r="Q191" s="344" t="s">
        <v>71</v>
      </c>
      <c r="R191" s="344" t="s">
        <v>72</v>
      </c>
      <c r="S191" s="344" t="s">
        <v>22</v>
      </c>
      <c r="T191" s="347">
        <v>1945</v>
      </c>
      <c r="U191" s="347">
        <v>23340</v>
      </c>
      <c r="V191" s="347"/>
      <c r="W191" s="344" t="s">
        <v>22</v>
      </c>
      <c r="X191" s="344">
        <v>28092.02</v>
      </c>
      <c r="Y191" s="344">
        <v>9</v>
      </c>
      <c r="Z191" s="344">
        <v>2100.6</v>
      </c>
      <c r="AA191" s="344">
        <v>9</v>
      </c>
      <c r="AB191" s="344">
        <v>2100.6</v>
      </c>
      <c r="AC191" s="344">
        <v>0</v>
      </c>
      <c r="AD191" s="344">
        <v>0</v>
      </c>
      <c r="AE191" s="344">
        <v>0</v>
      </c>
      <c r="AF191" s="344">
        <v>4201.2</v>
      </c>
      <c r="AG191" s="344">
        <v>550.82000000000005</v>
      </c>
      <c r="AH191" s="344" t="s">
        <v>65</v>
      </c>
      <c r="AI191" s="344" t="s">
        <v>3</v>
      </c>
      <c r="AJ191" s="344">
        <v>39159029</v>
      </c>
      <c r="AK191" s="344" t="s">
        <v>60</v>
      </c>
      <c r="AL191" s="344">
        <v>1</v>
      </c>
      <c r="AM191" s="344">
        <v>1945</v>
      </c>
      <c r="AN191" s="344" t="s">
        <v>1905</v>
      </c>
    </row>
    <row r="192" spans="7:40">
      <c r="G192" s="344"/>
      <c r="H192" s="344" t="s">
        <v>3220</v>
      </c>
      <c r="I192" s="344" t="s">
        <v>61</v>
      </c>
      <c r="J192" s="344" t="s">
        <v>56</v>
      </c>
      <c r="K192" s="10">
        <v>258</v>
      </c>
      <c r="L192" s="344" t="s">
        <v>75</v>
      </c>
      <c r="M192" s="344" t="s">
        <v>3403</v>
      </c>
      <c r="N192" s="344" t="s">
        <v>3220</v>
      </c>
      <c r="O192" s="344" t="s">
        <v>2</v>
      </c>
      <c r="P192" s="344" t="s">
        <v>67</v>
      </c>
      <c r="Q192" s="344" t="s">
        <v>68</v>
      </c>
      <c r="R192" s="344" t="s">
        <v>69</v>
      </c>
      <c r="S192" s="344" t="s">
        <v>70</v>
      </c>
      <c r="T192" s="344">
        <v>372</v>
      </c>
      <c r="U192" s="347">
        <v>17856</v>
      </c>
      <c r="V192" s="347"/>
      <c r="W192" s="344" t="s">
        <v>558</v>
      </c>
      <c r="X192" s="344">
        <v>21052.22</v>
      </c>
      <c r="Y192" s="344">
        <v>9</v>
      </c>
      <c r="Z192" s="344">
        <v>1607.04</v>
      </c>
      <c r="AA192" s="344">
        <v>9</v>
      </c>
      <c r="AB192" s="344">
        <v>1607.04</v>
      </c>
      <c r="AC192" s="344">
        <v>0</v>
      </c>
      <c r="AD192" s="344">
        <v>0</v>
      </c>
      <c r="AE192" s="344">
        <v>0</v>
      </c>
      <c r="AF192" s="344">
        <v>3214.08</v>
      </c>
      <c r="AG192" s="344">
        <v>0</v>
      </c>
      <c r="AH192" s="344" t="s">
        <v>65</v>
      </c>
      <c r="AI192" s="344" t="s">
        <v>3</v>
      </c>
      <c r="AJ192" s="344">
        <v>73063090</v>
      </c>
      <c r="AK192" s="344" t="s">
        <v>60</v>
      </c>
      <c r="AL192" s="344">
        <v>1</v>
      </c>
      <c r="AM192" s="344">
        <v>372</v>
      </c>
      <c r="AN192" s="344" t="s">
        <v>1905</v>
      </c>
    </row>
    <row r="193" spans="7:40">
      <c r="G193" s="344"/>
      <c r="H193" s="344" t="s">
        <v>3233</v>
      </c>
      <c r="I193" s="344" t="s">
        <v>78</v>
      </c>
      <c r="J193" s="344" t="s">
        <v>56</v>
      </c>
      <c r="K193" s="10" t="s">
        <v>3404</v>
      </c>
      <c r="L193" s="344" t="s">
        <v>2288</v>
      </c>
      <c r="M193" s="344" t="s">
        <v>3404</v>
      </c>
      <c r="N193" s="344" t="s">
        <v>3233</v>
      </c>
      <c r="O193" s="344" t="s">
        <v>15</v>
      </c>
      <c r="P193" s="344" t="s">
        <v>2758</v>
      </c>
      <c r="Q193" s="344" t="s">
        <v>2759</v>
      </c>
      <c r="R193" s="344" t="s">
        <v>349</v>
      </c>
      <c r="S193" s="344" t="s">
        <v>2760</v>
      </c>
      <c r="T193" s="347">
        <v>3569.7</v>
      </c>
      <c r="U193" s="344">
        <v>621877.43999999994</v>
      </c>
      <c r="W193" s="344" t="s">
        <v>3405</v>
      </c>
      <c r="X193" s="344">
        <v>621877.43999999994</v>
      </c>
      <c r="Y193" s="344">
        <v>0.05</v>
      </c>
      <c r="Z193" s="344">
        <v>310.94</v>
      </c>
      <c r="AA193" s="344">
        <v>0.05</v>
      </c>
      <c r="AB193" s="344">
        <v>310.94</v>
      </c>
      <c r="AC193" s="344">
        <v>0</v>
      </c>
      <c r="AD193" s="344">
        <v>0</v>
      </c>
      <c r="AE193" s="344">
        <v>0</v>
      </c>
      <c r="AF193" s="344">
        <v>621.88</v>
      </c>
      <c r="AG193" s="344">
        <v>0</v>
      </c>
      <c r="AH193" s="344" t="s">
        <v>59</v>
      </c>
      <c r="AI193" s="344" t="s">
        <v>3</v>
      </c>
      <c r="AJ193" s="344">
        <v>39232999</v>
      </c>
      <c r="AK193" s="344" t="s">
        <v>60</v>
      </c>
      <c r="AL193" s="344">
        <v>1</v>
      </c>
      <c r="AM193" s="344">
        <v>3569.7</v>
      </c>
      <c r="AN193" s="344" t="s">
        <v>1905</v>
      </c>
    </row>
    <row r="194" spans="7:40">
      <c r="G194" s="344"/>
      <c r="H194" s="344" t="s">
        <v>3233</v>
      </c>
      <c r="I194" s="344" t="s">
        <v>78</v>
      </c>
      <c r="J194" s="344" t="s">
        <v>56</v>
      </c>
      <c r="K194" s="10" t="s">
        <v>3406</v>
      </c>
      <c r="L194" s="344" t="s">
        <v>2288</v>
      </c>
      <c r="M194" s="344" t="s">
        <v>3406</v>
      </c>
      <c r="N194" s="344" t="s">
        <v>3233</v>
      </c>
      <c r="O194" s="344" t="s">
        <v>15</v>
      </c>
      <c r="P194" s="344" t="s">
        <v>57</v>
      </c>
      <c r="Q194" s="344" t="s">
        <v>57</v>
      </c>
      <c r="R194" s="344" t="s">
        <v>58</v>
      </c>
      <c r="S194" s="344" t="s">
        <v>16</v>
      </c>
      <c r="T194" s="347">
        <v>1153</v>
      </c>
      <c r="U194" s="344">
        <v>261212.15</v>
      </c>
      <c r="W194" s="344" t="s">
        <v>3407</v>
      </c>
      <c r="X194" s="344">
        <v>2987536.89</v>
      </c>
      <c r="Y194" s="344">
        <v>0.05</v>
      </c>
      <c r="Z194" s="344">
        <v>130.61000000000001</v>
      </c>
      <c r="AA194" s="344">
        <v>0.05</v>
      </c>
      <c r="AB194" s="344">
        <v>130.61000000000001</v>
      </c>
      <c r="AC194" s="344">
        <v>0</v>
      </c>
      <c r="AD194" s="344">
        <v>0</v>
      </c>
      <c r="AE194" s="344">
        <v>0</v>
      </c>
      <c r="AF194" s="344">
        <v>261.22000000000003</v>
      </c>
      <c r="AG194" s="344">
        <v>0</v>
      </c>
      <c r="AH194" s="344" t="s">
        <v>59</v>
      </c>
      <c r="AI194" s="344" t="s">
        <v>3</v>
      </c>
      <c r="AJ194" s="344">
        <v>63053200</v>
      </c>
      <c r="AK194" s="344" t="s">
        <v>60</v>
      </c>
      <c r="AL194" s="344">
        <v>1</v>
      </c>
      <c r="AM194" s="344">
        <v>1153</v>
      </c>
      <c r="AN194" s="344" t="s">
        <v>1905</v>
      </c>
    </row>
    <row r="195" spans="7:40">
      <c r="G195" s="344"/>
      <c r="H195" s="344" t="s">
        <v>3233</v>
      </c>
      <c r="I195" s="344" t="s">
        <v>78</v>
      </c>
      <c r="J195" s="344" t="s">
        <v>56</v>
      </c>
      <c r="K195" s="10" t="s">
        <v>3406</v>
      </c>
      <c r="L195" s="344" t="s">
        <v>2288</v>
      </c>
      <c r="M195" s="344" t="s">
        <v>3406</v>
      </c>
      <c r="N195" s="344" t="s">
        <v>3233</v>
      </c>
      <c r="O195" s="344" t="s">
        <v>15</v>
      </c>
      <c r="P195" s="344" t="s">
        <v>57</v>
      </c>
      <c r="Q195" s="344" t="s">
        <v>57</v>
      </c>
      <c r="R195" s="344" t="s">
        <v>58</v>
      </c>
      <c r="S195" s="344" t="s">
        <v>16</v>
      </c>
      <c r="T195" s="347">
        <v>7783</v>
      </c>
      <c r="U195" s="344">
        <v>1427324.37</v>
      </c>
      <c r="W195" s="344" t="s">
        <v>3408</v>
      </c>
      <c r="X195" s="344">
        <v>0</v>
      </c>
      <c r="Y195" s="344">
        <v>0.05</v>
      </c>
      <c r="Z195" s="344">
        <v>713.66</v>
      </c>
      <c r="AA195" s="344">
        <v>0.05</v>
      </c>
      <c r="AB195" s="344">
        <v>713.66</v>
      </c>
      <c r="AC195" s="344">
        <v>0</v>
      </c>
      <c r="AD195" s="344">
        <v>0</v>
      </c>
      <c r="AE195" s="344">
        <v>0</v>
      </c>
      <c r="AF195" s="344">
        <v>1427.32</v>
      </c>
      <c r="AG195" s="344">
        <v>0</v>
      </c>
      <c r="AH195" s="344" t="s">
        <v>59</v>
      </c>
      <c r="AI195" s="344" t="s">
        <v>3</v>
      </c>
      <c r="AJ195" s="344">
        <v>63053200</v>
      </c>
      <c r="AK195" s="344" t="s">
        <v>60</v>
      </c>
      <c r="AL195" s="344">
        <v>1</v>
      </c>
      <c r="AM195" s="344">
        <v>7783</v>
      </c>
      <c r="AN195" s="344" t="s">
        <v>1905</v>
      </c>
    </row>
    <row r="196" spans="7:40">
      <c r="G196" s="344"/>
      <c r="H196" s="344" t="s">
        <v>3233</v>
      </c>
      <c r="I196" s="344" t="s">
        <v>78</v>
      </c>
      <c r="J196" s="344" t="s">
        <v>56</v>
      </c>
      <c r="K196" s="10" t="s">
        <v>3406</v>
      </c>
      <c r="L196" s="344" t="s">
        <v>2288</v>
      </c>
      <c r="M196" s="344" t="s">
        <v>3406</v>
      </c>
      <c r="N196" s="344" t="s">
        <v>3233</v>
      </c>
      <c r="O196" s="344" t="s">
        <v>15</v>
      </c>
      <c r="P196" s="344" t="s">
        <v>57</v>
      </c>
      <c r="Q196" s="344" t="s">
        <v>57</v>
      </c>
      <c r="R196" s="344" t="s">
        <v>58</v>
      </c>
      <c r="S196" s="344" t="s">
        <v>16</v>
      </c>
      <c r="T196" s="347">
        <v>2267</v>
      </c>
      <c r="U196" s="344">
        <v>413500.8</v>
      </c>
      <c r="W196" s="344" t="s">
        <v>2127</v>
      </c>
      <c r="X196" s="344">
        <v>0</v>
      </c>
      <c r="Y196" s="344">
        <v>0.05</v>
      </c>
      <c r="Z196" s="344">
        <v>206.75</v>
      </c>
      <c r="AA196" s="344">
        <v>0.05</v>
      </c>
      <c r="AB196" s="344">
        <v>206.75</v>
      </c>
      <c r="AC196" s="344">
        <v>0</v>
      </c>
      <c r="AD196" s="344">
        <v>0</v>
      </c>
      <c r="AE196" s="344">
        <v>0</v>
      </c>
      <c r="AF196" s="344">
        <v>413.5</v>
      </c>
      <c r="AG196" s="344">
        <v>0</v>
      </c>
      <c r="AH196" s="344" t="s">
        <v>59</v>
      </c>
      <c r="AI196" s="344" t="s">
        <v>3</v>
      </c>
      <c r="AJ196" s="344">
        <v>63053200</v>
      </c>
      <c r="AK196" s="344" t="s">
        <v>60</v>
      </c>
      <c r="AL196" s="344">
        <v>1</v>
      </c>
      <c r="AM196" s="344">
        <v>2267</v>
      </c>
      <c r="AN196" s="344" t="s">
        <v>1905</v>
      </c>
    </row>
    <row r="197" spans="7:40">
      <c r="G197" s="344"/>
      <c r="H197" s="344" t="s">
        <v>3233</v>
      </c>
      <c r="I197" s="344" t="s">
        <v>78</v>
      </c>
      <c r="J197" s="344" t="s">
        <v>56</v>
      </c>
      <c r="K197" s="10" t="s">
        <v>3406</v>
      </c>
      <c r="L197" s="344" t="s">
        <v>2288</v>
      </c>
      <c r="M197" s="344" t="s">
        <v>3406</v>
      </c>
      <c r="N197" s="344" t="s">
        <v>3233</v>
      </c>
      <c r="O197" s="344" t="s">
        <v>15</v>
      </c>
      <c r="P197" s="344" t="s">
        <v>57</v>
      </c>
      <c r="Q197" s="344" t="s">
        <v>57</v>
      </c>
      <c r="R197" s="344" t="s">
        <v>58</v>
      </c>
      <c r="S197" s="344" t="s">
        <v>16</v>
      </c>
      <c r="T197" s="347">
        <v>2383</v>
      </c>
      <c r="U197" s="344">
        <v>445025.25</v>
      </c>
      <c r="W197" s="344" t="s">
        <v>2127</v>
      </c>
      <c r="X197" s="344">
        <v>0</v>
      </c>
      <c r="Y197" s="344">
        <v>0.05</v>
      </c>
      <c r="Z197" s="344">
        <v>222.51</v>
      </c>
      <c r="AA197" s="344">
        <v>0.05</v>
      </c>
      <c r="AB197" s="344">
        <v>222.51</v>
      </c>
      <c r="AC197" s="344">
        <v>0</v>
      </c>
      <c r="AD197" s="344">
        <v>0</v>
      </c>
      <c r="AE197" s="344">
        <v>0</v>
      </c>
      <c r="AF197" s="344">
        <v>445.02</v>
      </c>
      <c r="AG197" s="344">
        <v>0</v>
      </c>
      <c r="AH197" s="344" t="s">
        <v>59</v>
      </c>
      <c r="AI197" s="344" t="s">
        <v>3</v>
      </c>
      <c r="AJ197" s="344">
        <v>63053200</v>
      </c>
      <c r="AK197" s="344" t="s">
        <v>60</v>
      </c>
      <c r="AL197" s="344">
        <v>1</v>
      </c>
      <c r="AM197" s="344">
        <v>2383</v>
      </c>
      <c r="AN197" s="344" t="s">
        <v>1905</v>
      </c>
    </row>
    <row r="198" spans="7:40">
      <c r="G198" s="344"/>
      <c r="H198" s="344" t="s">
        <v>3233</v>
      </c>
      <c r="I198" s="344" t="s">
        <v>78</v>
      </c>
      <c r="J198" s="344" t="s">
        <v>56</v>
      </c>
      <c r="K198" s="10" t="s">
        <v>3406</v>
      </c>
      <c r="L198" s="344" t="s">
        <v>2288</v>
      </c>
      <c r="M198" s="344" t="s">
        <v>3406</v>
      </c>
      <c r="N198" s="344" t="s">
        <v>3233</v>
      </c>
      <c r="O198" s="344" t="s">
        <v>15</v>
      </c>
      <c r="P198" s="344" t="s">
        <v>57</v>
      </c>
      <c r="Q198" s="344" t="s">
        <v>57</v>
      </c>
      <c r="R198" s="344" t="s">
        <v>58</v>
      </c>
      <c r="S198" s="344" t="s">
        <v>14</v>
      </c>
      <c r="T198" s="347">
        <v>1807</v>
      </c>
      <c r="U198" s="344">
        <v>440474.32</v>
      </c>
      <c r="W198" s="344" t="s">
        <v>3409</v>
      </c>
      <c r="X198" s="344">
        <v>0</v>
      </c>
      <c r="Y198" s="344">
        <v>0.05</v>
      </c>
      <c r="Z198" s="344">
        <v>220.24</v>
      </c>
      <c r="AA198" s="344">
        <v>0.05</v>
      </c>
      <c r="AB198" s="344">
        <v>220.24</v>
      </c>
      <c r="AC198" s="344">
        <v>0</v>
      </c>
      <c r="AD198" s="344">
        <v>0</v>
      </c>
      <c r="AE198" s="344">
        <v>0</v>
      </c>
      <c r="AF198" s="344">
        <v>440.48</v>
      </c>
      <c r="AG198" s="344">
        <v>0</v>
      </c>
      <c r="AH198" s="344" t="s">
        <v>59</v>
      </c>
      <c r="AI198" s="344" t="s">
        <v>3</v>
      </c>
      <c r="AJ198" s="344">
        <v>63053200</v>
      </c>
      <c r="AK198" s="344" t="s">
        <v>60</v>
      </c>
      <c r="AL198" s="344">
        <v>1</v>
      </c>
      <c r="AM198" s="344">
        <v>1807</v>
      </c>
      <c r="AN198" s="344" t="s">
        <v>1905</v>
      </c>
    </row>
    <row r="199" spans="7:40">
      <c r="G199" s="344"/>
      <c r="H199" s="344" t="s">
        <v>3233</v>
      </c>
      <c r="I199" s="344" t="s">
        <v>61</v>
      </c>
      <c r="J199" s="344" t="s">
        <v>56</v>
      </c>
      <c r="K199" s="10">
        <v>259</v>
      </c>
      <c r="L199" s="344" t="s">
        <v>75</v>
      </c>
      <c r="M199" s="344" t="s">
        <v>3410</v>
      </c>
      <c r="N199" s="344" t="s">
        <v>3233</v>
      </c>
      <c r="O199" s="344" t="s">
        <v>2</v>
      </c>
      <c r="P199" s="344" t="s">
        <v>67</v>
      </c>
      <c r="Q199" s="344" t="s">
        <v>68</v>
      </c>
      <c r="R199" s="344" t="s">
        <v>69</v>
      </c>
      <c r="S199" s="344" t="s">
        <v>70</v>
      </c>
      <c r="T199" s="344">
        <v>331</v>
      </c>
      <c r="U199" s="347">
        <v>15888</v>
      </c>
      <c r="V199" s="347"/>
      <c r="W199" s="344" t="s">
        <v>558</v>
      </c>
      <c r="X199" s="344">
        <v>18731.95</v>
      </c>
      <c r="Y199" s="344">
        <v>9</v>
      </c>
      <c r="Z199" s="344">
        <v>1429.92</v>
      </c>
      <c r="AA199" s="344">
        <v>9</v>
      </c>
      <c r="AB199" s="344">
        <v>1429.92</v>
      </c>
      <c r="AC199" s="344">
        <v>0</v>
      </c>
      <c r="AD199" s="344">
        <v>0</v>
      </c>
      <c r="AE199" s="344">
        <v>0</v>
      </c>
      <c r="AF199" s="344">
        <v>2859.84</v>
      </c>
      <c r="AG199" s="344">
        <v>0</v>
      </c>
      <c r="AH199" s="344" t="s">
        <v>65</v>
      </c>
      <c r="AI199" s="344" t="s">
        <v>3</v>
      </c>
      <c r="AJ199" s="344">
        <v>73063090</v>
      </c>
      <c r="AK199" s="344" t="s">
        <v>60</v>
      </c>
      <c r="AL199" s="344">
        <v>1</v>
      </c>
      <c r="AM199" s="344">
        <v>331</v>
      </c>
      <c r="AN199" s="344" t="s">
        <v>1905</v>
      </c>
    </row>
    <row r="200" spans="7:40">
      <c r="G200" s="344"/>
      <c r="H200" s="344"/>
      <c r="I200" s="344"/>
      <c r="J200" s="344"/>
      <c r="L200" s="344"/>
      <c r="M200" s="344"/>
      <c r="N200" s="344"/>
      <c r="O200" s="344"/>
      <c r="P200" s="344"/>
      <c r="Q200" s="344"/>
      <c r="R200" s="344"/>
      <c r="S200" s="344"/>
      <c r="T200" s="347"/>
      <c r="U200" s="344"/>
      <c r="W200" s="344"/>
      <c r="X200" s="344"/>
      <c r="Y200" s="344"/>
      <c r="Z200" s="344"/>
      <c r="AA200" s="344"/>
      <c r="AB200" s="344"/>
      <c r="AC200" s="344"/>
      <c r="AD200" s="344"/>
      <c r="AE200" s="344"/>
      <c r="AF200" s="344"/>
      <c r="AG200" s="344"/>
      <c r="AH200" s="344"/>
      <c r="AI200" s="344"/>
      <c r="AJ200" s="344"/>
      <c r="AK200" s="344"/>
      <c r="AL200" s="344"/>
      <c r="AM200" s="344"/>
      <c r="AN200" s="344"/>
    </row>
  </sheetData>
  <autoFilter ref="H16:AM199">
    <sortState ref="H17:AL220">
      <sortCondition ref="I16:I220"/>
    </sortState>
  </autoFilter>
  <mergeCells count="1">
    <mergeCell ref="A15:D15"/>
  </mergeCells>
  <pageMargins left="0.7" right="0.7" top="0.75" bottom="0.75" header="0.3" footer="0.3"/>
  <pageSetup orientation="portrait" verticalDpi="0"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I330"/>
  <sheetViews>
    <sheetView workbookViewId="0">
      <selection activeCell="G20" sqref="G20"/>
    </sheetView>
  </sheetViews>
  <sheetFormatPr defaultRowHeight="12"/>
  <cols>
    <col min="1" max="1" width="44.28515625" style="20" bestFit="1" customWidth="1"/>
    <col min="2" max="2" width="30" style="94" bestFit="1" customWidth="1"/>
    <col min="3" max="3" width="13" style="20" bestFit="1" customWidth="1"/>
    <col min="4" max="4" width="12.5703125" style="20" bestFit="1" customWidth="1"/>
    <col min="5" max="5" width="15.42578125" style="94" bestFit="1" customWidth="1"/>
    <col min="6" max="6" width="9.140625" style="20"/>
    <col min="7" max="7" width="26" style="20" bestFit="1" customWidth="1"/>
    <col min="8" max="8" width="15.42578125" style="20" bestFit="1" customWidth="1"/>
    <col min="9" max="9" width="14.85546875" style="20" bestFit="1" customWidth="1"/>
    <col min="10" max="16384" width="9.140625" style="20"/>
  </cols>
  <sheetData>
    <row r="1" spans="1:5" ht="12.75">
      <c r="A1" s="429"/>
      <c r="B1" s="430"/>
      <c r="C1" s="431"/>
      <c r="D1" s="431"/>
      <c r="E1" s="430"/>
    </row>
    <row r="2" spans="1:5" ht="12.75">
      <c r="A2" s="429"/>
      <c r="B2" s="430"/>
      <c r="C2" s="431"/>
      <c r="D2" s="431"/>
      <c r="E2" s="430"/>
    </row>
    <row r="3" spans="1:5" ht="12.75">
      <c r="A3" s="429"/>
      <c r="B3" s="430"/>
      <c r="C3" s="431"/>
      <c r="D3" s="431"/>
      <c r="E3" s="430"/>
    </row>
    <row r="4" spans="1:5" ht="12.75">
      <c r="A4" s="429"/>
      <c r="B4" s="430"/>
      <c r="C4" s="431"/>
      <c r="D4" s="431"/>
      <c r="E4" s="430"/>
    </row>
    <row r="5" spans="1:5" ht="12.75">
      <c r="A5" s="429"/>
      <c r="B5" s="430"/>
      <c r="C5" s="431"/>
      <c r="D5" s="431"/>
      <c r="E5" s="430"/>
    </row>
    <row r="6" spans="1:5" ht="12.75">
      <c r="A6" s="429"/>
      <c r="B6" s="430"/>
      <c r="C6" s="431"/>
      <c r="D6" s="431"/>
      <c r="E6" s="430"/>
    </row>
    <row r="7" spans="1:5" ht="12.75">
      <c r="A7" s="429"/>
      <c r="B7" s="430"/>
      <c r="C7" s="431"/>
      <c r="D7" s="431"/>
      <c r="E7" s="430"/>
    </row>
    <row r="8" spans="1:5" ht="12.75">
      <c r="A8" s="429"/>
      <c r="B8" s="430"/>
      <c r="C8" s="431"/>
      <c r="D8" s="431"/>
      <c r="E8" s="430"/>
    </row>
    <row r="9" spans="1:5" ht="12.75">
      <c r="A9" s="429"/>
      <c r="B9" s="430"/>
      <c r="C9" s="431"/>
      <c r="D9" s="431"/>
      <c r="E9" s="430"/>
    </row>
    <row r="10" spans="1:5" ht="12.75">
      <c r="A10" s="429"/>
      <c r="B10" s="430"/>
      <c r="C10" s="431"/>
      <c r="D10" s="431"/>
      <c r="E10" s="430"/>
    </row>
    <row r="11" spans="1:5" ht="12.75">
      <c r="A11" s="429"/>
      <c r="B11" s="430"/>
      <c r="C11" s="431"/>
      <c r="D11" s="431"/>
      <c r="E11" s="430"/>
    </row>
    <row r="12" spans="1:5" ht="12.75">
      <c r="A12" s="429"/>
      <c r="B12" s="430"/>
      <c r="C12" s="431"/>
      <c r="D12" s="431"/>
      <c r="E12" s="430"/>
    </row>
    <row r="13" spans="1:5" ht="12.75">
      <c r="A13" s="429"/>
      <c r="B13" s="430"/>
      <c r="C13" s="431"/>
      <c r="D13" s="431"/>
      <c r="E13" s="430"/>
    </row>
    <row r="14" spans="1:5" ht="12.75">
      <c r="A14" s="429"/>
      <c r="B14" s="430"/>
      <c r="C14" s="431"/>
      <c r="D14" s="431"/>
      <c r="E14" s="430"/>
    </row>
    <row r="15" spans="1:5" ht="12.75">
      <c r="A15" s="429"/>
      <c r="B15" s="430"/>
      <c r="C15" s="431"/>
      <c r="D15" s="431"/>
      <c r="E15" s="430"/>
    </row>
    <row r="16" spans="1:5" ht="12.75">
      <c r="A16" s="429"/>
      <c r="B16" s="430"/>
      <c r="C16" s="431"/>
      <c r="D16" s="431"/>
      <c r="E16" s="430"/>
    </row>
    <row r="17" spans="1:5" ht="12.75">
      <c r="A17" s="429"/>
      <c r="B17" s="430"/>
      <c r="C17" s="431"/>
      <c r="D17" s="431"/>
      <c r="E17" s="430"/>
    </row>
    <row r="18" spans="1:5" ht="12.75">
      <c r="A18" s="429"/>
      <c r="B18" s="430"/>
      <c r="C18" s="431"/>
      <c r="D18" s="431"/>
      <c r="E18" s="430"/>
    </row>
    <row r="19" spans="1:5" ht="12.75">
      <c r="A19" s="429"/>
      <c r="B19" s="430"/>
      <c r="C19" s="431"/>
      <c r="D19" s="431"/>
      <c r="E19" s="430"/>
    </row>
    <row r="20" spans="1:5" ht="12.75">
      <c r="A20" s="429"/>
      <c r="B20" s="430"/>
      <c r="C20" s="431"/>
      <c r="D20" s="431"/>
      <c r="E20" s="430"/>
    </row>
    <row r="21" spans="1:5" ht="12.75">
      <c r="A21" s="429"/>
      <c r="B21" s="430"/>
      <c r="C21" s="431"/>
      <c r="D21" s="431"/>
      <c r="E21" s="430"/>
    </row>
    <row r="22" spans="1:5" ht="12.75">
      <c r="A22" s="429"/>
      <c r="B22" s="430"/>
      <c r="C22" s="431"/>
      <c r="D22" s="431"/>
      <c r="E22" s="430"/>
    </row>
    <row r="23" spans="1:5" ht="12.75">
      <c r="A23" s="429"/>
      <c r="B23" s="430"/>
      <c r="C23" s="431"/>
      <c r="D23" s="431"/>
      <c r="E23" s="430"/>
    </row>
    <row r="24" spans="1:5" ht="12.75">
      <c r="A24" s="429"/>
      <c r="B24" s="430"/>
      <c r="C24" s="431"/>
      <c r="D24" s="431"/>
      <c r="E24" s="430"/>
    </row>
    <row r="25" spans="1:5" ht="12.75">
      <c r="A25" s="429"/>
      <c r="B25" s="430"/>
      <c r="C25" s="431"/>
      <c r="D25" s="431"/>
      <c r="E25" s="430"/>
    </row>
    <row r="26" spans="1:5" ht="12.75">
      <c r="A26" s="429"/>
      <c r="B26" s="430"/>
      <c r="C26" s="431"/>
      <c r="D26" s="431"/>
      <c r="E26" s="430"/>
    </row>
    <row r="27" spans="1:5" ht="12.75">
      <c r="A27" s="429"/>
      <c r="B27" s="430"/>
      <c r="C27" s="431"/>
      <c r="D27" s="431"/>
      <c r="E27" s="430"/>
    </row>
    <row r="28" spans="1:5" ht="12.75">
      <c r="A28" s="429"/>
      <c r="B28" s="430"/>
      <c r="C28" s="431"/>
      <c r="D28" s="431"/>
      <c r="E28" s="430"/>
    </row>
    <row r="29" spans="1:5" ht="12.75">
      <c r="A29" s="429"/>
      <c r="B29" s="430"/>
      <c r="C29" s="431"/>
      <c r="D29" s="431"/>
      <c r="E29" s="430"/>
    </row>
    <row r="30" spans="1:5" ht="12.75">
      <c r="A30" s="429"/>
      <c r="B30" s="430"/>
      <c r="C30" s="431"/>
      <c r="D30" s="431"/>
      <c r="E30" s="430"/>
    </row>
    <row r="31" spans="1:5" ht="12.75">
      <c r="A31" s="429"/>
      <c r="B31" s="430"/>
      <c r="C31" s="431"/>
      <c r="D31" s="431"/>
      <c r="E31" s="430"/>
    </row>
    <row r="32" spans="1:5" ht="12.75">
      <c r="A32" s="429"/>
      <c r="B32" s="430"/>
      <c r="C32" s="431"/>
      <c r="D32" s="431"/>
      <c r="E32" s="430"/>
    </row>
    <row r="33" spans="1:5" ht="12.75">
      <c r="A33" s="429"/>
      <c r="B33" s="430"/>
      <c r="C33" s="431"/>
      <c r="D33" s="431"/>
      <c r="E33" s="430"/>
    </row>
    <row r="34" spans="1:5" ht="12.75">
      <c r="A34" s="429"/>
      <c r="B34" s="430"/>
      <c r="C34" s="431"/>
      <c r="D34" s="431"/>
      <c r="E34" s="430"/>
    </row>
    <row r="35" spans="1:5" ht="12.75">
      <c r="A35" s="429"/>
      <c r="B35" s="430"/>
      <c r="C35" s="431"/>
      <c r="D35" s="431"/>
      <c r="E35" s="430"/>
    </row>
    <row r="36" spans="1:5" ht="12.75">
      <c r="A36" s="429"/>
      <c r="B36" s="430"/>
      <c r="C36" s="431"/>
      <c r="D36" s="431"/>
      <c r="E36" s="430"/>
    </row>
    <row r="37" spans="1:5" ht="12.75">
      <c r="A37" s="429"/>
      <c r="B37" s="430"/>
      <c r="C37" s="431"/>
      <c r="D37" s="431"/>
      <c r="E37" s="430"/>
    </row>
    <row r="38" spans="1:5" ht="12.75">
      <c r="A38" s="429"/>
      <c r="B38" s="430"/>
      <c r="C38" s="431"/>
      <c r="D38" s="431"/>
      <c r="E38" s="430"/>
    </row>
    <row r="39" spans="1:5" ht="12.75">
      <c r="A39" s="429"/>
      <c r="B39" s="430"/>
      <c r="C39" s="431"/>
      <c r="D39" s="431"/>
      <c r="E39" s="430"/>
    </row>
    <row r="40" spans="1:5" ht="12.75">
      <c r="A40" s="429"/>
      <c r="B40" s="430"/>
      <c r="C40" s="431"/>
      <c r="D40" s="431"/>
      <c r="E40" s="430"/>
    </row>
    <row r="41" spans="1:5" ht="12.75">
      <c r="A41" s="429"/>
      <c r="B41" s="430"/>
      <c r="C41" s="431"/>
      <c r="D41" s="431"/>
      <c r="E41" s="430"/>
    </row>
    <row r="42" spans="1:5" ht="12.75">
      <c r="A42" s="429"/>
      <c r="B42" s="430"/>
      <c r="C42" s="431"/>
      <c r="D42" s="431"/>
      <c r="E42" s="430"/>
    </row>
    <row r="43" spans="1:5" ht="12.75">
      <c r="A43" s="429"/>
      <c r="B43" s="430"/>
      <c r="C43" s="431"/>
      <c r="D43" s="431"/>
      <c r="E43" s="430"/>
    </row>
    <row r="44" spans="1:5" ht="12.75">
      <c r="A44" s="429"/>
      <c r="B44" s="430"/>
      <c r="C44" s="431"/>
      <c r="D44" s="431"/>
      <c r="E44" s="430"/>
    </row>
    <row r="45" spans="1:5" ht="12.75">
      <c r="A45" s="429"/>
      <c r="B45" s="430"/>
      <c r="C45" s="431"/>
      <c r="D45" s="431"/>
      <c r="E45" s="430"/>
    </row>
    <row r="46" spans="1:5" ht="12.75">
      <c r="A46" s="429"/>
      <c r="B46" s="430"/>
      <c r="C46" s="431"/>
      <c r="D46" s="431"/>
      <c r="E46" s="430"/>
    </row>
    <row r="47" spans="1:5" ht="12.75">
      <c r="A47" s="429"/>
      <c r="B47" s="430"/>
      <c r="C47" s="431"/>
      <c r="D47" s="431"/>
      <c r="E47" s="430"/>
    </row>
    <row r="48" spans="1:5" ht="12.75">
      <c r="A48" s="429"/>
      <c r="B48" s="430"/>
      <c r="C48" s="431"/>
      <c r="D48" s="431"/>
      <c r="E48" s="430"/>
    </row>
    <row r="49" spans="1:5" ht="12.75">
      <c r="A49" s="429"/>
      <c r="B49" s="430"/>
      <c r="C49" s="431"/>
      <c r="D49" s="431"/>
      <c r="E49" s="430"/>
    </row>
    <row r="50" spans="1:5" ht="12.75">
      <c r="A50" s="429"/>
      <c r="B50" s="430"/>
      <c r="C50" s="431"/>
      <c r="D50" s="431"/>
      <c r="E50" s="430"/>
    </row>
    <row r="51" spans="1:5" ht="12.75">
      <c r="A51" s="429"/>
      <c r="B51" s="430"/>
      <c r="C51" s="431"/>
      <c r="D51" s="431"/>
      <c r="E51" s="430"/>
    </row>
    <row r="52" spans="1:5" ht="12.75">
      <c r="A52" s="429"/>
      <c r="B52" s="430"/>
      <c r="C52" s="431"/>
      <c r="D52" s="431"/>
      <c r="E52" s="430"/>
    </row>
    <row r="53" spans="1:5" ht="12.75">
      <c r="A53" s="429"/>
      <c r="B53" s="430"/>
      <c r="C53" s="431"/>
      <c r="D53" s="431"/>
      <c r="E53" s="430"/>
    </row>
    <row r="54" spans="1:5" ht="12.75">
      <c r="A54" s="429"/>
      <c r="B54" s="430"/>
      <c r="C54" s="431"/>
      <c r="D54" s="431"/>
      <c r="E54" s="430"/>
    </row>
    <row r="55" spans="1:5" ht="12.75">
      <c r="A55" s="429"/>
      <c r="B55" s="430"/>
      <c r="C55" s="431"/>
      <c r="D55" s="431"/>
      <c r="E55" s="430"/>
    </row>
    <row r="56" spans="1:5" ht="12.75">
      <c r="A56" s="429"/>
      <c r="B56" s="430"/>
      <c r="C56" s="431"/>
      <c r="D56" s="431"/>
      <c r="E56" s="430"/>
    </row>
    <row r="57" spans="1:5" ht="12.75">
      <c r="A57" s="429"/>
      <c r="B57" s="430"/>
      <c r="C57" s="431"/>
      <c r="D57" s="431"/>
      <c r="E57" s="430"/>
    </row>
    <row r="58" spans="1:5" ht="12.75">
      <c r="A58" s="429"/>
      <c r="B58" s="430"/>
      <c r="C58" s="431"/>
      <c r="D58" s="431"/>
      <c r="E58" s="430"/>
    </row>
    <row r="59" spans="1:5" ht="12.75">
      <c r="A59" s="429"/>
      <c r="B59" s="430"/>
      <c r="C59" s="431"/>
      <c r="D59" s="431"/>
      <c r="E59" s="430"/>
    </row>
    <row r="60" spans="1:5" ht="12.75">
      <c r="A60" s="429"/>
      <c r="B60" s="430"/>
      <c r="C60" s="431"/>
      <c r="D60" s="431"/>
      <c r="E60" s="430"/>
    </row>
    <row r="61" spans="1:5" ht="12.75">
      <c r="A61" s="429"/>
      <c r="B61" s="430"/>
      <c r="C61" s="431"/>
      <c r="D61" s="431"/>
      <c r="E61" s="430"/>
    </row>
    <row r="62" spans="1:5" ht="12.75">
      <c r="A62" s="429"/>
      <c r="B62" s="430"/>
      <c r="C62" s="431"/>
      <c r="D62" s="431"/>
      <c r="E62" s="430"/>
    </row>
    <row r="63" spans="1:5" ht="12.75">
      <c r="A63" s="429"/>
      <c r="B63" s="430"/>
      <c r="C63" s="431"/>
      <c r="D63" s="431"/>
      <c r="E63" s="430"/>
    </row>
    <row r="64" spans="1:5" ht="12.75">
      <c r="A64" s="429"/>
      <c r="B64" s="430"/>
      <c r="C64" s="431"/>
      <c r="D64" s="431"/>
      <c r="E64" s="430"/>
    </row>
    <row r="65" spans="1:5" ht="12.75">
      <c r="A65" s="429"/>
      <c r="B65" s="430"/>
      <c r="C65" s="431"/>
      <c r="D65" s="431"/>
      <c r="E65" s="430"/>
    </row>
    <row r="66" spans="1:5" ht="12.75">
      <c r="A66" s="429"/>
      <c r="B66" s="430"/>
      <c r="C66" s="431"/>
      <c r="D66" s="431"/>
      <c r="E66" s="430"/>
    </row>
    <row r="67" spans="1:5" ht="12.75">
      <c r="A67" s="429"/>
      <c r="B67" s="430"/>
      <c r="C67" s="431"/>
      <c r="D67" s="431"/>
      <c r="E67" s="430"/>
    </row>
    <row r="68" spans="1:5" ht="12.75">
      <c r="A68" s="429"/>
      <c r="B68" s="430"/>
      <c r="C68" s="431"/>
      <c r="D68" s="431"/>
      <c r="E68" s="430"/>
    </row>
    <row r="69" spans="1:5" ht="12.75">
      <c r="A69" s="429"/>
      <c r="B69" s="430"/>
      <c r="C69" s="431"/>
      <c r="D69" s="431"/>
      <c r="E69" s="430"/>
    </row>
    <row r="70" spans="1:5" ht="12.75">
      <c r="A70" s="429"/>
      <c r="B70" s="430"/>
      <c r="C70" s="431"/>
      <c r="D70" s="431"/>
      <c r="E70" s="430"/>
    </row>
    <row r="71" spans="1:5" ht="12.75">
      <c r="A71" s="429"/>
      <c r="B71" s="430"/>
      <c r="C71" s="431"/>
      <c r="D71" s="431"/>
      <c r="E71" s="430"/>
    </row>
    <row r="72" spans="1:5" ht="12.75">
      <c r="A72" s="429"/>
      <c r="B72" s="430"/>
      <c r="C72" s="431"/>
      <c r="D72" s="431"/>
      <c r="E72" s="430"/>
    </row>
    <row r="73" spans="1:5" ht="12.75">
      <c r="A73" s="429"/>
      <c r="B73" s="430"/>
      <c r="C73" s="431"/>
      <c r="D73" s="431"/>
      <c r="E73" s="430"/>
    </row>
    <row r="74" spans="1:5" ht="12.75">
      <c r="A74" s="429"/>
      <c r="B74" s="430"/>
      <c r="C74" s="431"/>
      <c r="D74" s="431"/>
      <c r="E74" s="430"/>
    </row>
    <row r="75" spans="1:5" ht="12.75">
      <c r="A75" s="429"/>
      <c r="B75" s="430"/>
      <c r="C75" s="431"/>
      <c r="D75" s="431"/>
      <c r="E75" s="430"/>
    </row>
    <row r="76" spans="1:5" ht="12.75">
      <c r="A76" s="429"/>
      <c r="B76" s="430"/>
      <c r="C76" s="431"/>
      <c r="D76" s="431"/>
      <c r="E76" s="430"/>
    </row>
    <row r="77" spans="1:5" ht="12.75">
      <c r="A77" s="429"/>
      <c r="B77" s="430"/>
      <c r="C77" s="431"/>
      <c r="D77" s="431"/>
      <c r="E77" s="430"/>
    </row>
    <row r="78" spans="1:5" ht="12.75">
      <c r="A78" s="429"/>
      <c r="B78" s="430"/>
      <c r="C78" s="431"/>
      <c r="D78" s="431"/>
      <c r="E78" s="430"/>
    </row>
    <row r="79" spans="1:5" ht="12.75">
      <c r="A79" s="429"/>
      <c r="B79" s="430"/>
      <c r="C79" s="431"/>
      <c r="D79" s="431"/>
      <c r="E79" s="430"/>
    </row>
    <row r="80" spans="1:5" ht="12.75">
      <c r="A80" s="429"/>
      <c r="B80" s="430"/>
      <c r="C80" s="431"/>
      <c r="D80" s="431"/>
      <c r="E80" s="430"/>
    </row>
    <row r="81" spans="1:9" ht="12.75">
      <c r="A81" s="429"/>
      <c r="B81" s="430"/>
      <c r="C81" s="431"/>
      <c r="D81" s="431"/>
      <c r="E81" s="430"/>
    </row>
    <row r="82" spans="1:9" ht="12.75">
      <c r="A82" s="429"/>
      <c r="B82" s="430"/>
      <c r="C82" s="431"/>
      <c r="D82" s="431"/>
      <c r="E82" s="430"/>
    </row>
    <row r="83" spans="1:9" ht="12.75">
      <c r="A83" s="429"/>
      <c r="B83" s="430"/>
      <c r="C83" s="431"/>
      <c r="D83" s="431"/>
      <c r="E83" s="430"/>
    </row>
    <row r="84" spans="1:9" ht="12.75">
      <c r="A84" s="429"/>
      <c r="B84" s="430"/>
      <c r="C84" s="431"/>
      <c r="D84" s="431"/>
      <c r="E84" s="430"/>
    </row>
    <row r="85" spans="1:9" ht="12.75">
      <c r="A85" s="429"/>
      <c r="B85" s="430"/>
      <c r="C85" s="431"/>
      <c r="D85" s="431"/>
      <c r="E85" s="430"/>
    </row>
    <row r="86" spans="1:9" ht="12.75">
      <c r="A86" s="429"/>
      <c r="B86" s="430"/>
      <c r="C86" s="431"/>
      <c r="D86" s="431"/>
      <c r="E86" s="430"/>
    </row>
    <row r="87" spans="1:9" ht="12.75">
      <c r="A87" s="429"/>
      <c r="B87" s="430"/>
      <c r="C87" s="431"/>
      <c r="D87" s="431"/>
      <c r="E87" s="430"/>
    </row>
    <row r="88" spans="1:9" ht="12.75">
      <c r="A88" s="429"/>
      <c r="B88" s="430"/>
      <c r="C88" s="431"/>
      <c r="D88" s="431"/>
      <c r="E88" s="430"/>
    </row>
    <row r="89" spans="1:9" ht="15">
      <c r="A89" s="429"/>
      <c r="B89" s="430"/>
      <c r="C89" s="431"/>
      <c r="D89" s="431"/>
      <c r="E89" s="430"/>
      <c r="G89" s="364"/>
      <c r="H89" s="364"/>
      <c r="I89" s="364"/>
    </row>
    <row r="90" spans="1:9" ht="15">
      <c r="A90" s="429"/>
      <c r="B90" s="430"/>
      <c r="C90" s="431"/>
      <c r="D90" s="431"/>
      <c r="E90" s="430"/>
      <c r="G90" s="365"/>
      <c r="H90" s="362"/>
      <c r="I90" s="362"/>
    </row>
    <row r="91" spans="1:9" ht="15">
      <c r="A91" s="429"/>
      <c r="B91" s="430"/>
      <c r="C91" s="431"/>
      <c r="D91" s="431"/>
      <c r="E91" s="430"/>
      <c r="G91" s="365"/>
      <c r="H91" s="4"/>
      <c r="I91" s="362"/>
    </row>
    <row r="92" spans="1:9" ht="15">
      <c r="A92" s="429"/>
      <c r="B92" s="430"/>
      <c r="C92" s="431"/>
      <c r="D92" s="431"/>
      <c r="E92" s="430"/>
      <c r="G92" s="365"/>
      <c r="H92" s="362"/>
      <c r="I92" s="362"/>
    </row>
    <row r="93" spans="1:9" ht="15">
      <c r="A93" s="429"/>
      <c r="B93" s="430"/>
      <c r="C93" s="431"/>
      <c r="D93" s="431"/>
      <c r="E93" s="430"/>
      <c r="G93" s="365"/>
      <c r="H93" s="362"/>
      <c r="I93" s="362"/>
    </row>
    <row r="94" spans="1:9" ht="15">
      <c r="A94" s="429"/>
      <c r="B94" s="430"/>
      <c r="C94" s="431"/>
      <c r="D94" s="431"/>
      <c r="E94" s="430"/>
      <c r="G94" s="365"/>
      <c r="H94" s="4"/>
      <c r="I94" s="362"/>
    </row>
    <row r="95" spans="1:9" ht="15">
      <c r="A95" s="429"/>
      <c r="B95" s="430"/>
      <c r="C95" s="431"/>
      <c r="D95" s="431"/>
      <c r="E95" s="430"/>
      <c r="G95" s="365"/>
      <c r="H95" s="362"/>
      <c r="I95" s="362"/>
    </row>
    <row r="96" spans="1:9" ht="15">
      <c r="A96" s="429"/>
      <c r="B96" s="430"/>
      <c r="C96" s="431"/>
      <c r="D96" s="431"/>
      <c r="E96" s="430"/>
      <c r="G96" s="365"/>
      <c r="H96" s="362"/>
      <c r="I96" s="362"/>
    </row>
    <row r="97" spans="1:9" ht="15">
      <c r="A97" s="429"/>
      <c r="B97" s="430"/>
      <c r="C97" s="431"/>
      <c r="D97" s="431"/>
      <c r="E97" s="430"/>
      <c r="G97" s="365"/>
      <c r="H97" s="4"/>
      <c r="I97" s="362"/>
    </row>
    <row r="98" spans="1:9" ht="15">
      <c r="A98" s="429"/>
      <c r="B98" s="430"/>
      <c r="C98" s="431"/>
      <c r="D98" s="431"/>
      <c r="E98" s="430"/>
      <c r="G98" s="365"/>
      <c r="H98" s="4"/>
      <c r="I98" s="362"/>
    </row>
    <row r="99" spans="1:9" ht="15">
      <c r="A99" s="429"/>
      <c r="B99" s="430"/>
      <c r="C99" s="431"/>
      <c r="D99" s="431"/>
      <c r="E99" s="430"/>
      <c r="G99" s="365"/>
      <c r="H99" s="362"/>
      <c r="I99" s="362"/>
    </row>
    <row r="100" spans="1:9" ht="15">
      <c r="A100" s="429"/>
      <c r="B100" s="430"/>
      <c r="C100" s="431"/>
      <c r="D100" s="431"/>
      <c r="E100" s="430"/>
      <c r="G100" s="365"/>
      <c r="H100" s="362"/>
      <c r="I100" s="362"/>
    </row>
    <row r="101" spans="1:9" ht="15">
      <c r="A101" s="429"/>
      <c r="B101" s="430"/>
      <c r="C101" s="431"/>
      <c r="D101" s="431"/>
      <c r="E101" s="430"/>
      <c r="G101" s="365"/>
      <c r="H101" s="362"/>
      <c r="I101" s="362"/>
    </row>
    <row r="102" spans="1:9" ht="15">
      <c r="A102" s="429"/>
      <c r="B102" s="430"/>
      <c r="C102" s="431"/>
      <c r="D102" s="431"/>
      <c r="E102" s="430"/>
      <c r="G102" s="365"/>
      <c r="H102" s="362"/>
      <c r="I102" s="362"/>
    </row>
    <row r="103" spans="1:9" ht="15">
      <c r="A103" s="429"/>
      <c r="B103" s="430"/>
      <c r="C103" s="431"/>
      <c r="D103" s="431"/>
      <c r="E103" s="430"/>
      <c r="G103" s="365"/>
      <c r="H103" s="362"/>
      <c r="I103" s="362"/>
    </row>
    <row r="104" spans="1:9" ht="12.75">
      <c r="A104" s="429"/>
      <c r="B104" s="430"/>
      <c r="C104" s="431"/>
      <c r="D104" s="431"/>
      <c r="E104" s="430"/>
    </row>
    <row r="105" spans="1:9" ht="12.75">
      <c r="A105" s="429"/>
      <c r="B105" s="430"/>
      <c r="C105" s="431"/>
      <c r="D105" s="431"/>
      <c r="E105" s="430"/>
    </row>
    <row r="106" spans="1:9" ht="12.75">
      <c r="A106" s="429"/>
      <c r="B106" s="430"/>
      <c r="C106" s="431"/>
      <c r="D106" s="431"/>
      <c r="E106" s="430"/>
    </row>
    <row r="107" spans="1:9" ht="12.75">
      <c r="A107" s="429"/>
      <c r="B107" s="430"/>
      <c r="C107" s="431"/>
      <c r="D107" s="431"/>
      <c r="E107" s="430"/>
    </row>
    <row r="108" spans="1:9" ht="12.75">
      <c r="A108" s="429"/>
      <c r="B108" s="430"/>
      <c r="C108" s="431"/>
      <c r="D108" s="431"/>
      <c r="E108" s="430"/>
    </row>
    <row r="109" spans="1:9" ht="12.75">
      <c r="A109" s="429"/>
      <c r="B109" s="430"/>
      <c r="C109" s="431"/>
      <c r="D109" s="431"/>
      <c r="E109" s="430"/>
    </row>
    <row r="110" spans="1:9" ht="12.75">
      <c r="A110" s="429"/>
      <c r="B110" s="430"/>
      <c r="C110" s="431"/>
      <c r="D110" s="431"/>
      <c r="E110" s="430"/>
    </row>
    <row r="111" spans="1:9" ht="12.75">
      <c r="A111" s="429"/>
      <c r="B111" s="430"/>
      <c r="C111" s="431"/>
      <c r="D111" s="431"/>
      <c r="E111" s="430"/>
    </row>
    <row r="112" spans="1:9" ht="12.75">
      <c r="A112" s="429"/>
      <c r="B112" s="430"/>
      <c r="C112" s="431"/>
      <c r="D112" s="431"/>
      <c r="E112" s="430"/>
    </row>
    <row r="113" spans="1:5" ht="12.75">
      <c r="A113" s="429"/>
      <c r="B113" s="430"/>
      <c r="C113" s="431"/>
      <c r="D113" s="431"/>
      <c r="E113" s="430"/>
    </row>
    <row r="114" spans="1:5" ht="12.75">
      <c r="A114" s="429"/>
      <c r="B114" s="430"/>
      <c r="C114" s="431"/>
      <c r="D114" s="431"/>
      <c r="E114" s="430"/>
    </row>
    <row r="115" spans="1:5" ht="12.75">
      <c r="A115" s="429"/>
      <c r="B115" s="430"/>
      <c r="C115" s="431"/>
      <c r="D115" s="431"/>
      <c r="E115" s="430"/>
    </row>
    <row r="116" spans="1:5" ht="12.75">
      <c r="A116" s="429"/>
      <c r="B116" s="430"/>
      <c r="C116" s="431"/>
      <c r="D116" s="431"/>
      <c r="E116" s="430"/>
    </row>
    <row r="117" spans="1:5" ht="12.75">
      <c r="A117" s="429"/>
      <c r="B117" s="430"/>
      <c r="C117" s="431"/>
      <c r="D117" s="431"/>
      <c r="E117" s="430"/>
    </row>
    <row r="118" spans="1:5" ht="12.75">
      <c r="A118" s="429"/>
      <c r="B118" s="430"/>
      <c r="C118" s="431"/>
      <c r="D118" s="431"/>
      <c r="E118" s="430"/>
    </row>
    <row r="119" spans="1:5" ht="12.75">
      <c r="A119" s="429"/>
      <c r="B119" s="430"/>
      <c r="C119" s="431"/>
      <c r="D119" s="431"/>
      <c r="E119" s="430"/>
    </row>
    <row r="120" spans="1:5" ht="12.75">
      <c r="A120" s="429"/>
      <c r="B120" s="430"/>
      <c r="C120" s="431"/>
      <c r="D120" s="431"/>
      <c r="E120" s="430"/>
    </row>
    <row r="121" spans="1:5" ht="12.75">
      <c r="A121" s="429"/>
      <c r="B121" s="430"/>
      <c r="C121" s="431"/>
      <c r="D121" s="431"/>
      <c r="E121" s="430"/>
    </row>
    <row r="122" spans="1:5" ht="12.75">
      <c r="A122" s="429"/>
      <c r="B122" s="430"/>
      <c r="C122" s="431"/>
      <c r="D122" s="431"/>
      <c r="E122" s="430"/>
    </row>
    <row r="123" spans="1:5" ht="12.75">
      <c r="A123" s="429"/>
      <c r="B123" s="430"/>
      <c r="C123" s="431"/>
      <c r="D123" s="431"/>
      <c r="E123" s="430"/>
    </row>
    <row r="124" spans="1:5" ht="12.75">
      <c r="A124" s="429"/>
      <c r="B124" s="430"/>
      <c r="C124" s="431"/>
      <c r="D124" s="431"/>
      <c r="E124" s="430"/>
    </row>
    <row r="125" spans="1:5" ht="12.75">
      <c r="A125" s="429"/>
      <c r="B125" s="430"/>
      <c r="C125" s="431"/>
      <c r="D125" s="431"/>
      <c r="E125" s="430"/>
    </row>
    <row r="126" spans="1:5" ht="12.75">
      <c r="A126" s="429"/>
      <c r="B126" s="430"/>
      <c r="C126" s="431"/>
      <c r="D126" s="431"/>
      <c r="E126" s="430"/>
    </row>
    <row r="127" spans="1:5" ht="12.75">
      <c r="A127" s="429"/>
      <c r="B127" s="430"/>
      <c r="C127" s="431"/>
      <c r="D127" s="431"/>
      <c r="E127" s="430"/>
    </row>
    <row r="128" spans="1:5" ht="12.75">
      <c r="A128" s="429"/>
      <c r="B128" s="430"/>
      <c r="C128" s="431"/>
      <c r="D128" s="431"/>
      <c r="E128" s="430"/>
    </row>
    <row r="129" spans="1:5" ht="12.75">
      <c r="A129" s="429"/>
      <c r="B129" s="430"/>
      <c r="C129" s="431"/>
      <c r="D129" s="431"/>
      <c r="E129" s="430"/>
    </row>
    <row r="130" spans="1:5" ht="12.75">
      <c r="A130" s="429"/>
      <c r="B130" s="430"/>
      <c r="C130" s="431"/>
      <c r="D130" s="431"/>
      <c r="E130" s="430"/>
    </row>
    <row r="131" spans="1:5" ht="12.75">
      <c r="A131" s="429"/>
      <c r="B131" s="430"/>
      <c r="C131" s="431"/>
      <c r="D131" s="431"/>
      <c r="E131" s="430"/>
    </row>
    <row r="132" spans="1:5" ht="12.75">
      <c r="A132" s="429"/>
      <c r="B132" s="430"/>
      <c r="C132" s="431"/>
      <c r="D132" s="431"/>
      <c r="E132" s="430"/>
    </row>
    <row r="133" spans="1:5" ht="12.75">
      <c r="A133" s="429"/>
      <c r="B133" s="430"/>
      <c r="C133" s="431"/>
      <c r="D133" s="431"/>
      <c r="E133" s="430"/>
    </row>
    <row r="134" spans="1:5" ht="12.75">
      <c r="A134" s="429"/>
      <c r="B134" s="430"/>
      <c r="C134" s="431"/>
      <c r="D134" s="431"/>
      <c r="E134" s="430"/>
    </row>
    <row r="135" spans="1:5" ht="12.75">
      <c r="A135" s="429"/>
      <c r="B135" s="430"/>
      <c r="C135" s="431"/>
      <c r="D135" s="431"/>
      <c r="E135" s="430"/>
    </row>
    <row r="136" spans="1:5" ht="12.75">
      <c r="A136" s="429"/>
      <c r="B136" s="430"/>
      <c r="C136" s="431"/>
      <c r="D136" s="431"/>
      <c r="E136" s="430"/>
    </row>
    <row r="137" spans="1:5" ht="12.75">
      <c r="A137" s="429"/>
      <c r="B137" s="430"/>
      <c r="C137" s="431"/>
      <c r="D137" s="431"/>
      <c r="E137" s="430"/>
    </row>
    <row r="138" spans="1:5" ht="12.75">
      <c r="A138" s="429"/>
      <c r="B138" s="430"/>
      <c r="C138" s="431"/>
      <c r="D138" s="431"/>
      <c r="E138" s="430"/>
    </row>
    <row r="139" spans="1:5" ht="12.75">
      <c r="A139" s="429"/>
      <c r="B139" s="430"/>
      <c r="C139" s="431"/>
      <c r="D139" s="431"/>
      <c r="E139" s="430"/>
    </row>
    <row r="140" spans="1:5" ht="12.75">
      <c r="A140" s="429"/>
      <c r="B140" s="430"/>
      <c r="C140" s="431"/>
      <c r="D140" s="431"/>
      <c r="E140" s="430"/>
    </row>
    <row r="141" spans="1:5" ht="12.75">
      <c r="A141" s="429"/>
      <c r="B141" s="430"/>
      <c r="C141" s="431"/>
      <c r="D141" s="431"/>
      <c r="E141" s="430"/>
    </row>
    <row r="142" spans="1:5" ht="12.75">
      <c r="A142" s="429"/>
      <c r="B142" s="430"/>
      <c r="C142" s="431"/>
      <c r="D142" s="431"/>
      <c r="E142" s="430"/>
    </row>
    <row r="143" spans="1:5" ht="12.75">
      <c r="A143" s="429"/>
      <c r="B143" s="430"/>
      <c r="C143" s="431"/>
      <c r="D143" s="431"/>
      <c r="E143" s="430"/>
    </row>
    <row r="144" spans="1:5" ht="12.75">
      <c r="A144" s="429"/>
      <c r="B144" s="430"/>
      <c r="C144" s="431"/>
      <c r="D144" s="431"/>
      <c r="E144" s="430"/>
    </row>
    <row r="145" spans="1:5" ht="12.75">
      <c r="A145" s="429"/>
      <c r="B145" s="430"/>
      <c r="C145" s="431"/>
      <c r="D145" s="431"/>
      <c r="E145" s="430"/>
    </row>
    <row r="146" spans="1:5" ht="12.75">
      <c r="A146" s="429"/>
      <c r="B146" s="430"/>
      <c r="C146" s="431"/>
      <c r="D146" s="431"/>
      <c r="E146" s="430"/>
    </row>
    <row r="147" spans="1:5" ht="12.75">
      <c r="A147" s="429"/>
      <c r="B147" s="430"/>
      <c r="C147" s="431"/>
      <c r="D147" s="431"/>
      <c r="E147" s="430"/>
    </row>
    <row r="148" spans="1:5" ht="12.75">
      <c r="A148" s="429"/>
      <c r="B148" s="430"/>
      <c r="C148" s="431"/>
      <c r="D148" s="431"/>
      <c r="E148" s="430"/>
    </row>
    <row r="149" spans="1:5" ht="12.75">
      <c r="A149" s="429"/>
      <c r="B149" s="430"/>
      <c r="C149" s="431"/>
      <c r="D149" s="431"/>
      <c r="E149" s="430"/>
    </row>
    <row r="150" spans="1:5" ht="12.75">
      <c r="A150" s="429"/>
      <c r="B150" s="430"/>
      <c r="C150" s="431"/>
      <c r="D150" s="431"/>
      <c r="E150" s="430"/>
    </row>
    <row r="151" spans="1:5" ht="12.75">
      <c r="A151" s="429"/>
      <c r="B151" s="430"/>
      <c r="C151" s="431"/>
      <c r="D151" s="431"/>
      <c r="E151" s="430"/>
    </row>
    <row r="152" spans="1:5" ht="12.75">
      <c r="A152" s="429"/>
      <c r="B152" s="430"/>
      <c r="C152" s="431"/>
      <c r="D152" s="431"/>
      <c r="E152" s="430"/>
    </row>
    <row r="153" spans="1:5" ht="12.75">
      <c r="A153" s="429"/>
      <c r="B153" s="430"/>
      <c r="C153" s="431"/>
      <c r="D153" s="431"/>
      <c r="E153" s="430"/>
    </row>
    <row r="154" spans="1:5" ht="12.75">
      <c r="A154" s="429"/>
      <c r="B154" s="430"/>
      <c r="C154" s="431"/>
      <c r="D154" s="431"/>
      <c r="E154" s="430"/>
    </row>
    <row r="155" spans="1:5" ht="12.75">
      <c r="A155" s="429"/>
      <c r="B155" s="430"/>
      <c r="C155" s="431"/>
      <c r="D155" s="431"/>
      <c r="E155" s="430"/>
    </row>
    <row r="156" spans="1:5" ht="12.75">
      <c r="A156" s="429"/>
      <c r="B156" s="430"/>
      <c r="C156" s="431"/>
      <c r="D156" s="431"/>
      <c r="E156" s="430"/>
    </row>
    <row r="157" spans="1:5" ht="12.75">
      <c r="A157" s="429"/>
      <c r="B157" s="430"/>
      <c r="C157" s="431"/>
      <c r="D157" s="431"/>
      <c r="E157" s="430"/>
    </row>
    <row r="158" spans="1:5" ht="12.75">
      <c r="A158" s="429"/>
      <c r="B158" s="430"/>
      <c r="C158" s="431"/>
      <c r="D158" s="431"/>
      <c r="E158" s="430"/>
    </row>
    <row r="159" spans="1:5" ht="12.75">
      <c r="A159" s="429"/>
      <c r="B159" s="430"/>
      <c r="C159" s="431"/>
      <c r="D159" s="431"/>
      <c r="E159" s="430"/>
    </row>
    <row r="160" spans="1:5" ht="12.75">
      <c r="A160" s="429"/>
      <c r="B160" s="430"/>
      <c r="C160" s="431"/>
      <c r="D160" s="431"/>
      <c r="E160" s="430"/>
    </row>
    <row r="161" spans="1:5" ht="12.75">
      <c r="A161" s="429"/>
      <c r="B161" s="430"/>
      <c r="C161" s="431"/>
      <c r="D161" s="431"/>
      <c r="E161" s="430"/>
    </row>
    <row r="162" spans="1:5" ht="12.75">
      <c r="A162" s="429"/>
      <c r="B162" s="430"/>
      <c r="C162" s="431"/>
      <c r="D162" s="431"/>
      <c r="E162" s="430"/>
    </row>
    <row r="163" spans="1:5" ht="12.75">
      <c r="A163" s="429"/>
      <c r="B163" s="430"/>
      <c r="C163" s="431"/>
      <c r="D163" s="431"/>
      <c r="E163" s="430"/>
    </row>
    <row r="164" spans="1:5" ht="12.75">
      <c r="A164" s="429"/>
      <c r="B164" s="430"/>
      <c r="C164" s="431"/>
      <c r="D164" s="431"/>
      <c r="E164" s="430"/>
    </row>
    <row r="165" spans="1:5" ht="12.75">
      <c r="A165" s="429"/>
      <c r="B165" s="430"/>
      <c r="C165" s="431"/>
      <c r="D165" s="431"/>
      <c r="E165" s="430"/>
    </row>
    <row r="166" spans="1:5" ht="12.75">
      <c r="A166" s="429"/>
      <c r="B166" s="430"/>
      <c r="C166" s="431"/>
      <c r="D166" s="431"/>
      <c r="E166" s="430"/>
    </row>
    <row r="167" spans="1:5" ht="12.75">
      <c r="A167" s="429"/>
      <c r="B167" s="430"/>
      <c r="C167" s="431"/>
      <c r="D167" s="431"/>
      <c r="E167" s="430"/>
    </row>
    <row r="168" spans="1:5" ht="12.75">
      <c r="A168" s="429"/>
      <c r="B168" s="430"/>
      <c r="C168" s="431"/>
      <c r="D168" s="431"/>
      <c r="E168" s="430"/>
    </row>
    <row r="169" spans="1:5" ht="12.75">
      <c r="A169" s="429"/>
      <c r="B169" s="430"/>
      <c r="C169" s="431"/>
      <c r="D169" s="431"/>
      <c r="E169" s="430"/>
    </row>
    <row r="170" spans="1:5" ht="12.75">
      <c r="A170" s="429"/>
      <c r="B170" s="430"/>
      <c r="C170" s="431"/>
      <c r="D170" s="431"/>
      <c r="E170" s="430"/>
    </row>
    <row r="171" spans="1:5" ht="12.75">
      <c r="A171" s="429"/>
      <c r="B171" s="430"/>
      <c r="C171" s="431"/>
      <c r="D171" s="431"/>
      <c r="E171" s="430"/>
    </row>
    <row r="172" spans="1:5" ht="12.75">
      <c r="A172" s="429"/>
      <c r="B172" s="430"/>
      <c r="C172" s="431"/>
      <c r="D172" s="431"/>
      <c r="E172" s="430"/>
    </row>
    <row r="173" spans="1:5" ht="12.75">
      <c r="A173" s="429"/>
      <c r="B173" s="430"/>
      <c r="C173" s="431"/>
      <c r="D173" s="431"/>
      <c r="E173" s="430"/>
    </row>
    <row r="174" spans="1:5" ht="12.75">
      <c r="A174" s="429"/>
      <c r="B174" s="430"/>
      <c r="C174" s="431"/>
      <c r="D174" s="431"/>
      <c r="E174" s="430"/>
    </row>
    <row r="175" spans="1:5" ht="12.75">
      <c r="A175" s="429"/>
      <c r="B175" s="430"/>
      <c r="C175" s="431"/>
      <c r="D175" s="431"/>
      <c r="E175" s="430"/>
    </row>
    <row r="176" spans="1:5" ht="12.75">
      <c r="A176" s="429"/>
      <c r="B176" s="430"/>
      <c r="C176" s="431"/>
      <c r="D176" s="431"/>
      <c r="E176" s="430"/>
    </row>
    <row r="177" spans="1:5" ht="12.75">
      <c r="A177" s="429"/>
      <c r="B177" s="430"/>
      <c r="C177" s="431"/>
      <c r="D177" s="431"/>
      <c r="E177" s="430"/>
    </row>
    <row r="178" spans="1:5" ht="12.75">
      <c r="A178" s="429"/>
      <c r="B178" s="430"/>
      <c r="C178" s="431"/>
      <c r="D178" s="431"/>
      <c r="E178" s="430"/>
    </row>
    <row r="179" spans="1:5" ht="12.75">
      <c r="A179" s="429"/>
      <c r="B179" s="430"/>
      <c r="C179" s="431"/>
      <c r="D179" s="431"/>
      <c r="E179" s="430"/>
    </row>
    <row r="180" spans="1:5" ht="12.75">
      <c r="A180" s="429"/>
      <c r="B180" s="430"/>
      <c r="C180" s="431"/>
      <c r="D180" s="431"/>
      <c r="E180" s="430"/>
    </row>
    <row r="181" spans="1:5" ht="12.75">
      <c r="A181" s="429"/>
      <c r="B181" s="430"/>
      <c r="C181" s="431"/>
      <c r="D181" s="431"/>
      <c r="E181" s="430"/>
    </row>
    <row r="182" spans="1:5" ht="12.75">
      <c r="A182" s="429"/>
      <c r="B182" s="430"/>
      <c r="C182" s="431"/>
      <c r="D182" s="431"/>
      <c r="E182" s="430"/>
    </row>
    <row r="183" spans="1:5" ht="12.75">
      <c r="A183" s="429"/>
      <c r="B183" s="430"/>
      <c r="C183" s="431"/>
      <c r="D183" s="431"/>
      <c r="E183" s="430"/>
    </row>
    <row r="184" spans="1:5" ht="12.75">
      <c r="A184" s="429"/>
      <c r="B184" s="430"/>
      <c r="C184" s="431"/>
      <c r="D184" s="431"/>
      <c r="E184" s="430"/>
    </row>
    <row r="185" spans="1:5" ht="12.75">
      <c r="A185" s="429"/>
      <c r="B185" s="430"/>
      <c r="C185" s="431"/>
      <c r="D185" s="431"/>
      <c r="E185" s="430"/>
    </row>
    <row r="186" spans="1:5" ht="12.75">
      <c r="A186" s="429"/>
      <c r="B186" s="430"/>
      <c r="C186" s="431"/>
      <c r="D186" s="431"/>
      <c r="E186" s="430"/>
    </row>
    <row r="187" spans="1:5" ht="12.75">
      <c r="A187" s="429"/>
      <c r="B187" s="430"/>
      <c r="C187" s="431"/>
      <c r="D187" s="431"/>
      <c r="E187" s="430"/>
    </row>
    <row r="188" spans="1:5" ht="12.75">
      <c r="A188" s="429"/>
      <c r="B188" s="430"/>
      <c r="C188" s="431"/>
      <c r="D188" s="431"/>
      <c r="E188" s="430"/>
    </row>
    <row r="189" spans="1:5" ht="12.75">
      <c r="A189" s="429"/>
      <c r="B189" s="430"/>
      <c r="C189" s="431"/>
      <c r="D189" s="431"/>
      <c r="E189" s="430"/>
    </row>
    <row r="190" spans="1:5" ht="12.75">
      <c r="A190" s="429"/>
      <c r="B190" s="430"/>
      <c r="C190" s="431"/>
      <c r="D190" s="431"/>
      <c r="E190" s="430"/>
    </row>
    <row r="191" spans="1:5" ht="12.75">
      <c r="A191" s="429"/>
      <c r="B191" s="430"/>
      <c r="C191" s="431"/>
      <c r="D191" s="431"/>
      <c r="E191" s="430"/>
    </row>
    <row r="192" spans="1:5" ht="12.75">
      <c r="A192" s="429"/>
      <c r="B192" s="430"/>
      <c r="C192" s="431"/>
      <c r="D192" s="431"/>
      <c r="E192" s="430"/>
    </row>
    <row r="193" spans="1:5" ht="12.75">
      <c r="A193" s="429"/>
      <c r="B193" s="430"/>
      <c r="C193" s="431"/>
      <c r="D193" s="431"/>
      <c r="E193" s="430"/>
    </row>
    <row r="194" spans="1:5" ht="12.75">
      <c r="A194" s="429"/>
      <c r="B194" s="430"/>
      <c r="C194" s="431"/>
      <c r="D194" s="431"/>
      <c r="E194" s="430"/>
    </row>
    <row r="195" spans="1:5" ht="12.75">
      <c r="A195" s="429"/>
      <c r="B195" s="430"/>
      <c r="C195" s="431"/>
      <c r="D195" s="431"/>
      <c r="E195" s="430"/>
    </row>
    <row r="196" spans="1:5" ht="12.75">
      <c r="A196" s="429"/>
      <c r="B196" s="430"/>
      <c r="C196" s="431"/>
      <c r="D196" s="431"/>
      <c r="E196" s="430"/>
    </row>
    <row r="197" spans="1:5" ht="12.75">
      <c r="A197" s="429"/>
      <c r="B197" s="430"/>
      <c r="C197" s="431"/>
      <c r="D197" s="431"/>
      <c r="E197" s="430"/>
    </row>
    <row r="198" spans="1:5" ht="12.75">
      <c r="A198" s="429"/>
      <c r="B198" s="430"/>
      <c r="C198" s="431"/>
      <c r="D198" s="431"/>
      <c r="E198" s="430"/>
    </row>
    <row r="199" spans="1:5" ht="12.75">
      <c r="A199" s="429"/>
      <c r="B199" s="430"/>
      <c r="C199" s="431"/>
      <c r="D199" s="431"/>
      <c r="E199" s="430"/>
    </row>
    <row r="200" spans="1:5" ht="12.75">
      <c r="A200" s="429"/>
      <c r="B200" s="430"/>
      <c r="C200" s="431"/>
      <c r="D200" s="431"/>
      <c r="E200" s="430"/>
    </row>
    <row r="201" spans="1:5" ht="12.75">
      <c r="A201" s="429"/>
      <c r="B201" s="430"/>
      <c r="C201" s="431"/>
      <c r="D201" s="431"/>
      <c r="E201" s="430"/>
    </row>
    <row r="202" spans="1:5" ht="12.75">
      <c r="A202" s="429"/>
      <c r="B202" s="430"/>
      <c r="C202" s="431"/>
      <c r="D202" s="431"/>
      <c r="E202" s="430"/>
    </row>
    <row r="203" spans="1:5" ht="12.75">
      <c r="A203" s="429"/>
      <c r="B203" s="430"/>
      <c r="C203" s="431"/>
      <c r="D203" s="431"/>
      <c r="E203" s="430"/>
    </row>
    <row r="204" spans="1:5" ht="12.75">
      <c r="A204" s="429"/>
      <c r="B204" s="430"/>
      <c r="C204" s="431"/>
      <c r="D204" s="431"/>
      <c r="E204" s="430"/>
    </row>
    <row r="205" spans="1:5" ht="12.75">
      <c r="A205" s="429"/>
      <c r="B205" s="430"/>
      <c r="C205" s="431"/>
      <c r="D205" s="431"/>
      <c r="E205" s="430"/>
    </row>
    <row r="206" spans="1:5" ht="12.75">
      <c r="A206" s="429"/>
      <c r="B206" s="430"/>
      <c r="C206" s="431"/>
      <c r="D206" s="431"/>
      <c r="E206" s="430"/>
    </row>
    <row r="207" spans="1:5" ht="12.75">
      <c r="A207" s="429"/>
      <c r="B207" s="430"/>
      <c r="C207" s="431"/>
      <c r="D207" s="431"/>
      <c r="E207" s="430"/>
    </row>
    <row r="208" spans="1:5" ht="12.75">
      <c r="A208" s="429"/>
      <c r="B208" s="430"/>
      <c r="C208" s="431"/>
      <c r="D208" s="431"/>
      <c r="E208" s="430"/>
    </row>
    <row r="209" spans="1:5" ht="12.75">
      <c r="A209" s="429"/>
      <c r="B209" s="430"/>
      <c r="C209" s="431"/>
      <c r="D209" s="431"/>
      <c r="E209" s="430"/>
    </row>
    <row r="210" spans="1:5" ht="12.75">
      <c r="A210" s="429"/>
      <c r="B210" s="430"/>
      <c r="C210" s="431"/>
      <c r="D210" s="431"/>
      <c r="E210" s="430"/>
    </row>
    <row r="211" spans="1:5" ht="12.75">
      <c r="A211" s="429"/>
      <c r="B211" s="430"/>
      <c r="C211" s="431"/>
      <c r="D211" s="431"/>
      <c r="E211" s="430"/>
    </row>
    <row r="212" spans="1:5" ht="12.75">
      <c r="A212" s="429"/>
      <c r="B212" s="430"/>
      <c r="C212" s="431"/>
      <c r="D212" s="431"/>
      <c r="E212" s="430"/>
    </row>
    <row r="213" spans="1:5" ht="12.75">
      <c r="A213" s="429"/>
      <c r="B213" s="430"/>
      <c r="C213" s="431"/>
      <c r="D213" s="431"/>
      <c r="E213" s="430"/>
    </row>
    <row r="214" spans="1:5" ht="12.75">
      <c r="A214" s="429"/>
      <c r="B214" s="430"/>
      <c r="C214" s="431"/>
      <c r="D214" s="431"/>
      <c r="E214" s="430"/>
    </row>
    <row r="215" spans="1:5" ht="12.75">
      <c r="A215" s="429"/>
      <c r="B215" s="430"/>
      <c r="C215" s="431"/>
      <c r="D215" s="431"/>
      <c r="E215" s="430"/>
    </row>
    <row r="216" spans="1:5" ht="12.75">
      <c r="A216" s="429"/>
      <c r="B216" s="430"/>
      <c r="C216" s="431"/>
      <c r="D216" s="431"/>
      <c r="E216" s="430"/>
    </row>
    <row r="217" spans="1:5" ht="12.75">
      <c r="A217" s="429"/>
      <c r="B217" s="430"/>
      <c r="C217" s="431"/>
      <c r="D217" s="431"/>
      <c r="E217" s="430"/>
    </row>
    <row r="218" spans="1:5" ht="12.75">
      <c r="A218" s="429"/>
      <c r="B218" s="430"/>
      <c r="C218" s="431"/>
      <c r="D218" s="431"/>
      <c r="E218" s="430"/>
    </row>
    <row r="219" spans="1:5" ht="12.75">
      <c r="A219" s="429"/>
      <c r="B219" s="430"/>
      <c r="C219" s="431"/>
      <c r="D219" s="431"/>
      <c r="E219" s="430"/>
    </row>
    <row r="220" spans="1:5" ht="12.75">
      <c r="A220" s="429"/>
      <c r="B220" s="430"/>
      <c r="C220" s="431"/>
      <c r="D220" s="431"/>
      <c r="E220" s="430"/>
    </row>
    <row r="221" spans="1:5" ht="12.75">
      <c r="A221" s="429"/>
      <c r="B221" s="430"/>
      <c r="C221" s="431"/>
      <c r="D221" s="431"/>
      <c r="E221" s="430"/>
    </row>
    <row r="222" spans="1:5" ht="12.75">
      <c r="A222" s="429"/>
      <c r="B222" s="430"/>
      <c r="C222" s="431"/>
      <c r="D222" s="431"/>
      <c r="E222" s="430"/>
    </row>
    <row r="223" spans="1:5" ht="12.75">
      <c r="A223" s="429"/>
      <c r="B223" s="430"/>
      <c r="C223" s="431"/>
      <c r="D223" s="431"/>
      <c r="E223" s="430"/>
    </row>
    <row r="224" spans="1:5" ht="12.75">
      <c r="A224" s="429"/>
      <c r="B224" s="430"/>
      <c r="C224" s="431"/>
      <c r="D224" s="431"/>
      <c r="E224" s="430"/>
    </row>
    <row r="225" spans="1:5" ht="12.75">
      <c r="A225" s="429"/>
      <c r="B225" s="430"/>
      <c r="C225" s="431"/>
      <c r="D225" s="431"/>
      <c r="E225" s="430"/>
    </row>
    <row r="226" spans="1:5" ht="12.75">
      <c r="A226" s="429"/>
      <c r="B226" s="430"/>
      <c r="C226" s="431"/>
      <c r="D226" s="431"/>
      <c r="E226" s="430"/>
    </row>
    <row r="227" spans="1:5" ht="12.75">
      <c r="A227" s="429"/>
      <c r="B227" s="430"/>
      <c r="C227" s="431"/>
      <c r="D227" s="431"/>
      <c r="E227" s="430"/>
    </row>
    <row r="228" spans="1:5" ht="12.75">
      <c r="A228" s="429"/>
      <c r="B228" s="430"/>
      <c r="C228" s="431"/>
      <c r="D228" s="431"/>
      <c r="E228" s="430"/>
    </row>
    <row r="229" spans="1:5" ht="12.75">
      <c r="A229" s="429"/>
      <c r="B229" s="430"/>
      <c r="C229" s="431"/>
      <c r="D229" s="431"/>
      <c r="E229" s="430"/>
    </row>
    <row r="230" spans="1:5" ht="12.75">
      <c r="A230" s="429"/>
      <c r="B230" s="430"/>
      <c r="C230" s="431"/>
      <c r="D230" s="431"/>
      <c r="E230" s="430"/>
    </row>
    <row r="231" spans="1:5" ht="12.75">
      <c r="A231" s="429"/>
      <c r="B231" s="430"/>
      <c r="C231" s="431"/>
      <c r="D231" s="431"/>
      <c r="E231" s="430"/>
    </row>
    <row r="232" spans="1:5" ht="12.75">
      <c r="A232" s="429"/>
      <c r="B232" s="430"/>
      <c r="C232" s="431"/>
      <c r="D232" s="431"/>
      <c r="E232" s="430"/>
    </row>
    <row r="233" spans="1:5" ht="12.75">
      <c r="A233" s="429"/>
      <c r="B233" s="430"/>
      <c r="C233" s="431"/>
      <c r="D233" s="431"/>
      <c r="E233" s="430"/>
    </row>
    <row r="234" spans="1:5" ht="12.75">
      <c r="A234" s="429"/>
      <c r="B234" s="430"/>
      <c r="C234" s="431"/>
      <c r="D234" s="431"/>
      <c r="E234" s="430"/>
    </row>
    <row r="235" spans="1:5" ht="12.75">
      <c r="A235" s="429"/>
      <c r="B235" s="430"/>
      <c r="C235" s="431"/>
      <c r="D235" s="431"/>
      <c r="E235" s="430"/>
    </row>
    <row r="236" spans="1:5" ht="12.75">
      <c r="A236" s="429"/>
      <c r="B236" s="430"/>
      <c r="C236" s="431"/>
      <c r="D236" s="431"/>
      <c r="E236" s="430"/>
    </row>
    <row r="237" spans="1:5" ht="12.75">
      <c r="A237" s="429"/>
      <c r="B237" s="430"/>
      <c r="C237" s="431"/>
      <c r="D237" s="431"/>
      <c r="E237" s="430"/>
    </row>
    <row r="238" spans="1:5" ht="12.75">
      <c r="A238" s="429"/>
      <c r="B238" s="430"/>
      <c r="C238" s="431"/>
      <c r="D238" s="431"/>
      <c r="E238" s="430"/>
    </row>
    <row r="239" spans="1:5" ht="12.75">
      <c r="A239" s="429"/>
      <c r="B239" s="430"/>
      <c r="C239" s="431"/>
      <c r="D239" s="431"/>
      <c r="E239" s="430"/>
    </row>
    <row r="240" spans="1:5" ht="12.75">
      <c r="A240" s="429"/>
      <c r="B240" s="430"/>
      <c r="C240" s="431"/>
      <c r="D240" s="431"/>
      <c r="E240" s="430"/>
    </row>
    <row r="241" spans="1:5" ht="12.75">
      <c r="A241" s="429"/>
      <c r="B241" s="430"/>
      <c r="C241" s="431"/>
      <c r="D241" s="431"/>
      <c r="E241" s="430"/>
    </row>
    <row r="242" spans="1:5" ht="12.75">
      <c r="A242" s="429"/>
      <c r="B242" s="430"/>
      <c r="C242" s="431"/>
      <c r="D242" s="431"/>
      <c r="E242" s="430"/>
    </row>
    <row r="243" spans="1:5" ht="12.75">
      <c r="A243" s="429"/>
      <c r="B243" s="430"/>
      <c r="C243" s="431"/>
      <c r="D243" s="431"/>
      <c r="E243" s="430"/>
    </row>
    <row r="244" spans="1:5" ht="12.75">
      <c r="A244" s="429"/>
      <c r="B244" s="430"/>
      <c r="C244" s="431"/>
      <c r="D244" s="431"/>
      <c r="E244" s="430"/>
    </row>
    <row r="245" spans="1:5" ht="12.75">
      <c r="A245" s="429"/>
      <c r="B245" s="430"/>
      <c r="C245" s="431"/>
      <c r="D245" s="431"/>
      <c r="E245" s="430"/>
    </row>
    <row r="246" spans="1:5" ht="12.75">
      <c r="A246" s="429"/>
      <c r="B246" s="430"/>
      <c r="C246" s="431"/>
      <c r="D246" s="431"/>
      <c r="E246" s="430"/>
    </row>
    <row r="247" spans="1:5" ht="12.75">
      <c r="A247" s="429"/>
      <c r="B247" s="430"/>
      <c r="C247" s="431"/>
      <c r="D247" s="431"/>
      <c r="E247" s="430"/>
    </row>
    <row r="248" spans="1:5" ht="12.75">
      <c r="A248" s="429"/>
      <c r="B248" s="430"/>
      <c r="C248" s="431"/>
      <c r="D248" s="431"/>
      <c r="E248" s="430"/>
    </row>
    <row r="249" spans="1:5" ht="12.75">
      <c r="A249" s="429"/>
      <c r="B249" s="430"/>
      <c r="C249" s="431"/>
      <c r="D249" s="431"/>
      <c r="E249" s="430"/>
    </row>
    <row r="250" spans="1:5" ht="12.75">
      <c r="A250" s="429"/>
      <c r="B250" s="430"/>
      <c r="C250" s="431"/>
      <c r="D250" s="431"/>
      <c r="E250" s="430"/>
    </row>
    <row r="251" spans="1:5" ht="12.75">
      <c r="A251" s="429"/>
      <c r="B251" s="430"/>
      <c r="C251" s="431"/>
      <c r="D251" s="431"/>
      <c r="E251" s="430"/>
    </row>
    <row r="252" spans="1:5" ht="12.75">
      <c r="A252" s="429"/>
      <c r="B252" s="430"/>
      <c r="C252" s="431"/>
      <c r="D252" s="431"/>
      <c r="E252" s="430"/>
    </row>
    <row r="253" spans="1:5" ht="12.75">
      <c r="A253" s="429"/>
      <c r="B253" s="430"/>
      <c r="C253" s="431"/>
      <c r="D253" s="431"/>
      <c r="E253" s="430"/>
    </row>
    <row r="254" spans="1:5" ht="12.75">
      <c r="A254" s="429"/>
      <c r="B254" s="430"/>
      <c r="C254" s="431"/>
      <c r="D254" s="431"/>
      <c r="E254" s="430"/>
    </row>
    <row r="255" spans="1:5" ht="12.75">
      <c r="A255" s="429"/>
      <c r="B255" s="430"/>
      <c r="C255" s="431"/>
      <c r="D255" s="431"/>
      <c r="E255" s="430"/>
    </row>
    <row r="256" spans="1:5" ht="12.75">
      <c r="A256" s="429"/>
      <c r="B256" s="430"/>
      <c r="C256" s="431"/>
      <c r="D256" s="431"/>
      <c r="E256" s="430"/>
    </row>
    <row r="257" spans="1:5" ht="12.75">
      <c r="A257" s="429"/>
      <c r="B257" s="430"/>
      <c r="C257" s="431"/>
      <c r="D257" s="431"/>
      <c r="E257" s="430"/>
    </row>
    <row r="258" spans="1:5" ht="12.75">
      <c r="A258" s="429"/>
      <c r="B258" s="430"/>
      <c r="C258" s="431"/>
      <c r="D258" s="431"/>
      <c r="E258" s="430"/>
    </row>
    <row r="259" spans="1:5" ht="12.75">
      <c r="A259" s="429"/>
      <c r="B259" s="430"/>
      <c r="C259" s="431"/>
      <c r="D259" s="431"/>
      <c r="E259" s="430"/>
    </row>
    <row r="260" spans="1:5" ht="12.75">
      <c r="A260" s="429"/>
      <c r="B260" s="430"/>
      <c r="C260" s="431"/>
      <c r="D260" s="431"/>
      <c r="E260" s="430"/>
    </row>
    <row r="261" spans="1:5" ht="12.75">
      <c r="A261" s="429"/>
      <c r="B261" s="430"/>
      <c r="C261" s="431"/>
      <c r="D261" s="431"/>
      <c r="E261" s="430"/>
    </row>
    <row r="262" spans="1:5" ht="12.75">
      <c r="A262" s="429"/>
      <c r="B262" s="430"/>
      <c r="C262" s="431"/>
      <c r="D262" s="431"/>
      <c r="E262" s="430"/>
    </row>
    <row r="263" spans="1:5" ht="12.75">
      <c r="A263" s="429"/>
      <c r="B263" s="430"/>
      <c r="C263" s="431"/>
      <c r="D263" s="431"/>
      <c r="E263" s="430"/>
    </row>
    <row r="264" spans="1:5" ht="12.75">
      <c r="A264" s="429"/>
      <c r="B264" s="430"/>
      <c r="C264" s="431"/>
      <c r="D264" s="431"/>
      <c r="E264" s="430"/>
    </row>
    <row r="265" spans="1:5" ht="12.75">
      <c r="A265" s="429"/>
      <c r="B265" s="430"/>
      <c r="C265" s="431"/>
      <c r="D265" s="431"/>
      <c r="E265" s="430"/>
    </row>
    <row r="266" spans="1:5" ht="12.75">
      <c r="A266" s="429"/>
      <c r="B266" s="430"/>
      <c r="C266" s="431"/>
      <c r="D266" s="431"/>
      <c r="E266" s="430"/>
    </row>
    <row r="267" spans="1:5" ht="12.75">
      <c r="A267" s="429"/>
      <c r="B267" s="430"/>
      <c r="C267" s="431"/>
      <c r="D267" s="431"/>
      <c r="E267" s="430"/>
    </row>
    <row r="268" spans="1:5" ht="12.75">
      <c r="A268" s="429"/>
      <c r="B268" s="430"/>
      <c r="C268" s="431"/>
      <c r="D268" s="431"/>
      <c r="E268" s="430"/>
    </row>
    <row r="269" spans="1:5" ht="12.75">
      <c r="A269" s="429"/>
      <c r="B269" s="430"/>
      <c r="C269" s="431"/>
      <c r="D269" s="431"/>
      <c r="E269" s="430"/>
    </row>
    <row r="270" spans="1:5" ht="12.75">
      <c r="A270" s="429"/>
      <c r="B270" s="430"/>
      <c r="C270" s="431"/>
      <c r="D270" s="431"/>
      <c r="E270" s="430"/>
    </row>
    <row r="271" spans="1:5" ht="12.75">
      <c r="A271" s="429"/>
      <c r="B271" s="430"/>
      <c r="C271" s="431"/>
      <c r="D271" s="431"/>
      <c r="E271" s="430"/>
    </row>
    <row r="272" spans="1:5" ht="12.75">
      <c r="A272" s="429"/>
      <c r="B272" s="430"/>
      <c r="C272" s="431"/>
      <c r="D272" s="431"/>
      <c r="E272" s="430"/>
    </row>
    <row r="273" spans="1:5" ht="12.75">
      <c r="A273" s="429"/>
      <c r="B273" s="430"/>
      <c r="C273" s="431"/>
      <c r="D273" s="431"/>
      <c r="E273" s="430"/>
    </row>
    <row r="274" spans="1:5" ht="12.75">
      <c r="A274" s="429"/>
      <c r="B274" s="430"/>
      <c r="C274" s="431"/>
      <c r="D274" s="431"/>
      <c r="E274" s="430"/>
    </row>
    <row r="275" spans="1:5" ht="12.75">
      <c r="A275" s="429"/>
      <c r="B275" s="430"/>
      <c r="C275" s="431"/>
      <c r="D275" s="431"/>
      <c r="E275" s="430"/>
    </row>
    <row r="276" spans="1:5" ht="12.75">
      <c r="A276" s="429"/>
      <c r="B276" s="430"/>
      <c r="C276" s="431"/>
      <c r="D276" s="431"/>
      <c r="E276" s="430"/>
    </row>
    <row r="277" spans="1:5" ht="12.75">
      <c r="A277" s="429"/>
      <c r="B277" s="430"/>
      <c r="C277" s="431"/>
      <c r="D277" s="431"/>
      <c r="E277" s="430"/>
    </row>
    <row r="278" spans="1:5" ht="12.75">
      <c r="A278" s="429"/>
      <c r="B278" s="430"/>
      <c r="C278" s="431"/>
      <c r="D278" s="431"/>
      <c r="E278" s="430"/>
    </row>
    <row r="279" spans="1:5" ht="12.75">
      <c r="A279" s="429"/>
      <c r="B279" s="430"/>
      <c r="C279" s="431"/>
      <c r="D279" s="431"/>
      <c r="E279" s="430"/>
    </row>
    <row r="280" spans="1:5" ht="12.75">
      <c r="A280" s="429"/>
      <c r="B280" s="430"/>
      <c r="C280" s="431"/>
      <c r="D280" s="431"/>
      <c r="E280" s="430"/>
    </row>
    <row r="281" spans="1:5" ht="12.75">
      <c r="A281" s="429"/>
      <c r="B281" s="430"/>
      <c r="C281" s="431"/>
      <c r="D281" s="431"/>
      <c r="E281" s="430"/>
    </row>
    <row r="282" spans="1:5" ht="12.75">
      <c r="A282" s="429"/>
      <c r="B282" s="430"/>
      <c r="C282" s="431"/>
      <c r="D282" s="431"/>
      <c r="E282" s="430"/>
    </row>
    <row r="283" spans="1:5" ht="12.75">
      <c r="A283" s="429"/>
      <c r="B283" s="430"/>
      <c r="C283" s="431"/>
      <c r="D283" s="431"/>
      <c r="E283" s="430"/>
    </row>
    <row r="284" spans="1:5" ht="12.75">
      <c r="A284" s="429"/>
      <c r="B284" s="430"/>
      <c r="C284" s="431"/>
      <c r="D284" s="431"/>
      <c r="E284" s="430"/>
    </row>
    <row r="285" spans="1:5" ht="12.75">
      <c r="A285" s="429"/>
      <c r="B285" s="430"/>
      <c r="C285" s="431"/>
      <c r="D285" s="431"/>
      <c r="E285" s="430"/>
    </row>
    <row r="286" spans="1:5" ht="12.75">
      <c r="A286" s="429"/>
      <c r="B286" s="430"/>
      <c r="C286" s="431"/>
      <c r="D286" s="431"/>
      <c r="E286" s="430"/>
    </row>
    <row r="287" spans="1:5" ht="12.75">
      <c r="A287" s="429"/>
      <c r="B287" s="430"/>
      <c r="C287" s="431"/>
      <c r="D287" s="431"/>
      <c r="E287" s="430"/>
    </row>
    <row r="288" spans="1:5" ht="12.75">
      <c r="A288" s="429"/>
      <c r="B288" s="430"/>
      <c r="C288" s="431"/>
      <c r="D288" s="431"/>
      <c r="E288" s="430"/>
    </row>
    <row r="289" spans="1:5" ht="12.75">
      <c r="A289" s="429"/>
      <c r="B289" s="430"/>
      <c r="C289" s="431"/>
      <c r="D289" s="431"/>
      <c r="E289" s="430"/>
    </row>
    <row r="290" spans="1:5" ht="12.75">
      <c r="A290" s="429"/>
      <c r="B290" s="430"/>
      <c r="C290" s="431"/>
      <c r="D290" s="431"/>
      <c r="E290" s="430"/>
    </row>
    <row r="291" spans="1:5" ht="12.75">
      <c r="A291" s="429"/>
      <c r="B291" s="430"/>
      <c r="C291" s="431"/>
      <c r="D291" s="431"/>
      <c r="E291" s="430"/>
    </row>
    <row r="292" spans="1:5" ht="12.75">
      <c r="A292" s="429"/>
      <c r="B292" s="430"/>
      <c r="C292" s="431"/>
      <c r="D292" s="431"/>
      <c r="E292" s="430"/>
    </row>
    <row r="293" spans="1:5" ht="12.75">
      <c r="A293" s="429"/>
      <c r="B293" s="430"/>
      <c r="C293" s="431"/>
      <c r="D293" s="431"/>
      <c r="E293" s="430"/>
    </row>
    <row r="294" spans="1:5" ht="12.75">
      <c r="A294" s="429"/>
      <c r="B294" s="430"/>
      <c r="C294" s="431"/>
      <c r="D294" s="431"/>
      <c r="E294" s="430"/>
    </row>
    <row r="295" spans="1:5" ht="12.75">
      <c r="A295" s="429"/>
      <c r="B295" s="430"/>
      <c r="C295" s="431"/>
      <c r="D295" s="431"/>
      <c r="E295" s="430"/>
    </row>
    <row r="296" spans="1:5" ht="12.75">
      <c r="A296" s="429"/>
      <c r="B296" s="430"/>
      <c r="C296" s="431"/>
      <c r="D296" s="431"/>
      <c r="E296" s="430"/>
    </row>
    <row r="297" spans="1:5" ht="12.75">
      <c r="A297" s="429"/>
      <c r="B297" s="430"/>
      <c r="C297" s="431"/>
      <c r="D297" s="431"/>
      <c r="E297" s="430"/>
    </row>
    <row r="298" spans="1:5" ht="12.75">
      <c r="A298" s="429"/>
      <c r="B298" s="430"/>
      <c r="C298" s="431"/>
      <c r="D298" s="431"/>
      <c r="E298" s="430"/>
    </row>
    <row r="299" spans="1:5" ht="12.75">
      <c r="A299" s="429"/>
      <c r="B299" s="430"/>
      <c r="C299" s="431"/>
      <c r="D299" s="431"/>
      <c r="E299" s="430"/>
    </row>
    <row r="300" spans="1:5" ht="12.75">
      <c r="A300" s="429"/>
      <c r="B300" s="430"/>
      <c r="C300" s="431"/>
      <c r="D300" s="431"/>
      <c r="E300" s="430"/>
    </row>
    <row r="301" spans="1:5" ht="12.75">
      <c r="A301" s="429"/>
      <c r="B301" s="430"/>
      <c r="C301" s="431"/>
      <c r="D301" s="431"/>
      <c r="E301" s="430"/>
    </row>
    <row r="302" spans="1:5" ht="12.75">
      <c r="A302" s="429"/>
      <c r="B302" s="430"/>
      <c r="C302" s="431"/>
      <c r="D302" s="431"/>
      <c r="E302" s="430"/>
    </row>
    <row r="303" spans="1:5" ht="12.75">
      <c r="A303" s="429"/>
      <c r="B303" s="430"/>
      <c r="C303" s="431"/>
      <c r="D303" s="431"/>
      <c r="E303" s="430"/>
    </row>
    <row r="304" spans="1:5" ht="12.75">
      <c r="A304" s="429"/>
      <c r="B304" s="430"/>
      <c r="C304" s="431"/>
      <c r="D304" s="431"/>
      <c r="E304" s="430"/>
    </row>
    <row r="305" spans="1:5" ht="12.75">
      <c r="A305" s="429"/>
      <c r="B305" s="430"/>
      <c r="C305" s="431"/>
      <c r="D305" s="431"/>
      <c r="E305" s="430"/>
    </row>
    <row r="306" spans="1:5" ht="12.75">
      <c r="A306" s="429"/>
      <c r="B306" s="430"/>
      <c r="C306" s="431"/>
      <c r="D306" s="431"/>
      <c r="E306" s="430"/>
    </row>
    <row r="307" spans="1:5" ht="12.75">
      <c r="A307" s="429"/>
      <c r="B307" s="430"/>
      <c r="C307" s="431"/>
      <c r="D307" s="431"/>
      <c r="E307" s="430"/>
    </row>
    <row r="308" spans="1:5" ht="12.75">
      <c r="A308" s="429"/>
      <c r="B308" s="430"/>
      <c r="C308" s="431"/>
      <c r="D308" s="431"/>
      <c r="E308" s="430"/>
    </row>
    <row r="309" spans="1:5" ht="12.75">
      <c r="A309" s="429"/>
      <c r="B309" s="430"/>
      <c r="C309" s="431"/>
      <c r="D309" s="431"/>
      <c r="E309" s="430"/>
    </row>
    <row r="310" spans="1:5" ht="12.75">
      <c r="A310" s="429"/>
      <c r="B310" s="430"/>
      <c r="C310" s="431"/>
      <c r="D310" s="431"/>
      <c r="E310" s="430"/>
    </row>
    <row r="311" spans="1:5" ht="12.75">
      <c r="A311" s="429"/>
      <c r="B311" s="430"/>
      <c r="C311" s="431"/>
      <c r="D311" s="431"/>
      <c r="E311" s="430"/>
    </row>
    <row r="312" spans="1:5" ht="12.75">
      <c r="A312" s="429"/>
      <c r="B312" s="430"/>
      <c r="C312" s="431"/>
      <c r="D312" s="431"/>
      <c r="E312" s="430"/>
    </row>
    <row r="313" spans="1:5" ht="12.75">
      <c r="A313" s="429"/>
      <c r="B313" s="430"/>
      <c r="C313" s="431"/>
      <c r="D313" s="431"/>
      <c r="E313" s="430"/>
    </row>
    <row r="314" spans="1:5" ht="12.75">
      <c r="A314" s="429"/>
      <c r="B314" s="430"/>
      <c r="C314" s="431"/>
      <c r="D314" s="431"/>
      <c r="E314" s="430"/>
    </row>
    <row r="315" spans="1:5" ht="12.75">
      <c r="A315" s="429"/>
      <c r="B315" s="430"/>
      <c r="C315" s="431"/>
      <c r="D315" s="431"/>
      <c r="E315" s="430"/>
    </row>
    <row r="316" spans="1:5" ht="12.75">
      <c r="A316" s="429"/>
      <c r="B316" s="430"/>
      <c r="C316" s="431"/>
      <c r="D316" s="431"/>
      <c r="E316" s="430"/>
    </row>
    <row r="317" spans="1:5" ht="12.75">
      <c r="A317" s="429"/>
      <c r="B317" s="430"/>
      <c r="C317" s="431"/>
      <c r="D317" s="431"/>
      <c r="E317" s="430"/>
    </row>
    <row r="318" spans="1:5" ht="12.75">
      <c r="A318" s="429"/>
      <c r="B318" s="430"/>
      <c r="C318" s="431"/>
      <c r="D318" s="431"/>
      <c r="E318" s="430"/>
    </row>
    <row r="319" spans="1:5" ht="12.75">
      <c r="A319" s="429"/>
      <c r="B319" s="430"/>
      <c r="C319" s="431"/>
      <c r="D319" s="431"/>
      <c r="E319" s="430"/>
    </row>
    <row r="320" spans="1:5" ht="12.75">
      <c r="A320" s="429"/>
      <c r="B320" s="430"/>
      <c r="C320" s="431"/>
      <c r="D320" s="431"/>
      <c r="E320" s="430"/>
    </row>
    <row r="321" spans="1:5" ht="12.75">
      <c r="A321" s="429"/>
      <c r="B321" s="430"/>
      <c r="C321" s="431"/>
      <c r="D321" s="431"/>
      <c r="E321" s="430"/>
    </row>
    <row r="322" spans="1:5" ht="12.75">
      <c r="A322" s="429"/>
      <c r="B322" s="430"/>
      <c r="C322" s="431"/>
      <c r="D322" s="431"/>
      <c r="E322" s="430"/>
    </row>
    <row r="323" spans="1:5" ht="12.75">
      <c r="A323" s="429"/>
      <c r="B323" s="430"/>
      <c r="C323" s="431"/>
      <c r="D323" s="431"/>
      <c r="E323" s="430"/>
    </row>
    <row r="324" spans="1:5" ht="12.75">
      <c r="A324" s="429"/>
      <c r="B324" s="430"/>
      <c r="C324" s="431"/>
      <c r="D324" s="431"/>
      <c r="E324" s="430"/>
    </row>
    <row r="325" spans="1:5" ht="12.75">
      <c r="A325" s="429"/>
      <c r="B325" s="430"/>
      <c r="C325" s="431"/>
      <c r="D325" s="431"/>
      <c r="E325" s="430"/>
    </row>
    <row r="326" spans="1:5" ht="12.75">
      <c r="A326" s="429"/>
      <c r="B326" s="430"/>
      <c r="C326" s="431"/>
      <c r="D326" s="431"/>
      <c r="E326" s="430"/>
    </row>
    <row r="327" spans="1:5" ht="12.75">
      <c r="A327" s="429"/>
      <c r="B327" s="430"/>
      <c r="C327" s="431"/>
      <c r="D327" s="431"/>
      <c r="E327" s="430"/>
    </row>
    <row r="328" spans="1:5" ht="12.75">
      <c r="A328" s="429"/>
      <c r="B328" s="430"/>
      <c r="C328" s="431"/>
      <c r="D328" s="431"/>
      <c r="E328" s="430"/>
    </row>
    <row r="329" spans="1:5" ht="12.75">
      <c r="A329" s="429"/>
      <c r="B329" s="430"/>
      <c r="C329" s="431"/>
      <c r="D329" s="431"/>
      <c r="E329" s="430"/>
    </row>
    <row r="330" spans="1:5" ht="12.75">
      <c r="A330" s="432"/>
      <c r="B330" s="433"/>
      <c r="C330" s="434"/>
      <c r="D330" s="434"/>
      <c r="E330" s="433"/>
    </row>
  </sheetData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 filterMode="1"/>
  <dimension ref="B3:E35"/>
  <sheetViews>
    <sheetView zoomScaleNormal="100" workbookViewId="0">
      <selection activeCell="D3" sqref="D3"/>
    </sheetView>
  </sheetViews>
  <sheetFormatPr defaultRowHeight="15"/>
  <cols>
    <col min="2" max="2" width="54.5703125" bestFit="1" customWidth="1"/>
    <col min="3" max="3" width="17.140625" bestFit="1" customWidth="1"/>
    <col min="4" max="4" width="25.85546875" style="11" bestFit="1" customWidth="1"/>
    <col min="5" max="5" width="12.28515625" customWidth="1"/>
  </cols>
  <sheetData>
    <row r="3" spans="2:4">
      <c r="B3" s="220" t="s">
        <v>83</v>
      </c>
      <c r="C3" s="221" t="s">
        <v>215</v>
      </c>
      <c r="D3" s="323"/>
    </row>
    <row r="4" spans="2:4">
      <c r="B4" s="444" t="s">
        <v>385</v>
      </c>
      <c r="C4" s="288">
        <v>1594</v>
      </c>
      <c r="D4" s="353" t="s">
        <v>240</v>
      </c>
    </row>
    <row r="5" spans="2:4">
      <c r="B5" s="444" t="s">
        <v>16</v>
      </c>
      <c r="C5" s="288">
        <v>69586.52</v>
      </c>
      <c r="D5" s="352" t="s">
        <v>234</v>
      </c>
    </row>
    <row r="6" spans="2:4">
      <c r="B6" s="444" t="s">
        <v>17</v>
      </c>
      <c r="C6" s="288">
        <v>111762.26</v>
      </c>
      <c r="D6" s="354" t="s">
        <v>240</v>
      </c>
    </row>
    <row r="7" spans="2:4">
      <c r="B7" s="444" t="s">
        <v>19</v>
      </c>
      <c r="C7" s="288">
        <v>361737</v>
      </c>
      <c r="D7" s="351" t="s">
        <v>237</v>
      </c>
    </row>
    <row r="8" spans="2:4">
      <c r="B8" s="444" t="s">
        <v>24</v>
      </c>
      <c r="C8" s="288">
        <v>62896.500000000022</v>
      </c>
      <c r="D8" s="350" t="s">
        <v>238</v>
      </c>
    </row>
    <row r="9" spans="2:4">
      <c r="B9" s="444" t="s">
        <v>21</v>
      </c>
      <c r="C9" s="288">
        <v>43739</v>
      </c>
      <c r="D9" s="350" t="s">
        <v>236</v>
      </c>
    </row>
    <row r="10" spans="2:4">
      <c r="B10" s="207" t="s">
        <v>553</v>
      </c>
      <c r="C10" s="288">
        <v>6290.7</v>
      </c>
      <c r="D10" s="476" t="s">
        <v>235</v>
      </c>
    </row>
    <row r="11" spans="2:4">
      <c r="B11" s="207" t="s">
        <v>1582</v>
      </c>
      <c r="C11" s="288">
        <v>967</v>
      </c>
      <c r="D11" s="477"/>
    </row>
    <row r="12" spans="2:4">
      <c r="B12" s="444" t="s">
        <v>766</v>
      </c>
      <c r="C12" s="288">
        <v>5100</v>
      </c>
      <c r="D12" s="361" t="s">
        <v>822</v>
      </c>
    </row>
    <row r="13" spans="2:4" ht="15" hidden="1" customHeight="1">
      <c r="B13" s="444" t="s">
        <v>743</v>
      </c>
      <c r="C13" s="288">
        <v>96800</v>
      </c>
      <c r="D13" s="351" t="s">
        <v>2511</v>
      </c>
    </row>
    <row r="14" spans="2:4">
      <c r="B14" s="444" t="s">
        <v>1268</v>
      </c>
      <c r="C14" s="288">
        <v>2860.7</v>
      </c>
      <c r="D14" s="358" t="s">
        <v>235</v>
      </c>
    </row>
    <row r="15" spans="2:4">
      <c r="B15" s="444" t="s">
        <v>12</v>
      </c>
      <c r="C15" s="288">
        <v>1310.9</v>
      </c>
      <c r="D15" s="359" t="s">
        <v>240</v>
      </c>
    </row>
    <row r="16" spans="2:4">
      <c r="B16" s="444" t="s">
        <v>2076</v>
      </c>
      <c r="C16" s="288">
        <v>2480</v>
      </c>
      <c r="D16" s="378" t="s">
        <v>2076</v>
      </c>
    </row>
    <row r="17" spans="2:5">
      <c r="B17" s="444" t="s">
        <v>2375</v>
      </c>
      <c r="C17" s="288">
        <v>225</v>
      </c>
      <c r="D17" s="476" t="s">
        <v>2402</v>
      </c>
    </row>
    <row r="18" spans="2:5" ht="15" customHeight="1">
      <c r="B18" s="444" t="s">
        <v>2373</v>
      </c>
      <c r="C18" s="288">
        <v>300</v>
      </c>
      <c r="D18" s="479"/>
    </row>
    <row r="19" spans="2:5">
      <c r="B19" s="444" t="s">
        <v>2374</v>
      </c>
      <c r="C19" s="288">
        <v>50</v>
      </c>
      <c r="D19" s="479"/>
    </row>
    <row r="20" spans="2:5">
      <c r="B20" s="444" t="s">
        <v>2372</v>
      </c>
      <c r="C20" s="288">
        <v>50</v>
      </c>
      <c r="D20" s="479"/>
      <c r="E20" s="97" t="s">
        <v>231</v>
      </c>
    </row>
    <row r="21" spans="2:5">
      <c r="B21" s="444" t="s">
        <v>2377</v>
      </c>
      <c r="C21" s="288">
        <v>1135</v>
      </c>
      <c r="D21" s="416" t="s">
        <v>235</v>
      </c>
      <c r="E21" t="s">
        <v>231</v>
      </c>
    </row>
    <row r="22" spans="2:5">
      <c r="B22" s="444" t="s">
        <v>2387</v>
      </c>
      <c r="C22" s="288">
        <v>150</v>
      </c>
      <c r="D22" s="480" t="s">
        <v>2402</v>
      </c>
    </row>
    <row r="23" spans="2:5">
      <c r="B23" s="444" t="s">
        <v>2386</v>
      </c>
      <c r="C23" s="288">
        <v>400</v>
      </c>
      <c r="D23" s="480"/>
      <c r="E23" t="s">
        <v>231</v>
      </c>
    </row>
    <row r="24" spans="2:5">
      <c r="B24" s="444" t="s">
        <v>2388</v>
      </c>
      <c r="C24" s="288">
        <v>100</v>
      </c>
      <c r="D24" s="480"/>
      <c r="E24" s="97" t="s">
        <v>231</v>
      </c>
    </row>
    <row r="25" spans="2:5">
      <c r="B25" s="444" t="s">
        <v>2659</v>
      </c>
      <c r="C25" s="288">
        <v>1600</v>
      </c>
      <c r="D25" s="443" t="s">
        <v>3724</v>
      </c>
    </row>
    <row r="26" spans="2:5">
      <c r="B26" s="444" t="s">
        <v>2654</v>
      </c>
      <c r="C26" s="288">
        <v>963.7</v>
      </c>
      <c r="D26" s="391" t="s">
        <v>235</v>
      </c>
    </row>
    <row r="27" spans="2:5" ht="15" customHeight="1">
      <c r="B27" s="444" t="s">
        <v>2760</v>
      </c>
      <c r="C27" s="288">
        <v>10178</v>
      </c>
      <c r="D27" s="416" t="s">
        <v>3725</v>
      </c>
    </row>
    <row r="28" spans="2:5">
      <c r="B28" s="444" t="s">
        <v>2149</v>
      </c>
      <c r="C28" s="288">
        <v>123.9</v>
      </c>
      <c r="D28" s="416" t="s">
        <v>3724</v>
      </c>
    </row>
    <row r="29" spans="2:5" ht="15" customHeight="1">
      <c r="B29" s="444" t="s">
        <v>2983</v>
      </c>
      <c r="C29" s="288">
        <v>50</v>
      </c>
      <c r="D29" s="442" t="s">
        <v>2402</v>
      </c>
    </row>
    <row r="30" spans="2:5" ht="15" customHeight="1">
      <c r="B30" s="444" t="s">
        <v>3000</v>
      </c>
      <c r="C30" s="288">
        <v>398</v>
      </c>
      <c r="D30" s="442" t="s">
        <v>235</v>
      </c>
    </row>
    <row r="31" spans="2:5" ht="15" customHeight="1">
      <c r="B31" s="444" t="s">
        <v>3082</v>
      </c>
      <c r="C31" s="288">
        <v>50</v>
      </c>
      <c r="D31" s="478" t="s">
        <v>2402</v>
      </c>
    </row>
    <row r="32" spans="2:5">
      <c r="B32" s="444" t="s">
        <v>3081</v>
      </c>
      <c r="C32" s="288">
        <v>50</v>
      </c>
      <c r="D32" s="478"/>
    </row>
    <row r="33" spans="2:4">
      <c r="B33" s="444" t="s">
        <v>3162</v>
      </c>
      <c r="C33" s="288">
        <v>391.5</v>
      </c>
      <c r="D33" s="442" t="s">
        <v>235</v>
      </c>
    </row>
    <row r="34" spans="2:4" hidden="1">
      <c r="B34" s="444" t="s">
        <v>2506</v>
      </c>
      <c r="C34" s="288"/>
    </row>
    <row r="35" spans="2:4">
      <c r="B35" s="71" t="s">
        <v>84</v>
      </c>
      <c r="C35" s="25">
        <v>783339.67999999993</v>
      </c>
    </row>
  </sheetData>
  <autoFilter ref="B3:E35">
    <filterColumn colId="0">
      <filters>
        <filter val="DOC Pouch"/>
        <filter val="FIBC Bags With UV Without Liner"/>
        <filter val="FIBC WIP"/>
        <filter val="Grand Total"/>
        <filter val="Ink Vyankatesh Poly Black VLX 579"/>
        <filter val="Ink Vyankatesh Poly Opaque White OPEQUE WHITE VLX 624"/>
        <filter val="Ink Vyankatesh Poly Process Blue VLX 643"/>
        <filter val="Ink Vyankatesh Poly Process Yellow VLX 671"/>
        <filter val="Ink Vyankatesh Poly Red Pantone 032C"/>
        <filter val="Ink Vyankatesh Poly Reflex Blue VLX 573"/>
        <filter val="Ink Vyankatesh Poly Robbin Red VLX 876"/>
        <filter val="Ink Vyankatesh Poly Voilet VLX 873"/>
        <filter val="Ink Vyankatesh Red 485c"/>
        <filter val="Ink Vyankatesh Silver Golden VLX 871C"/>
        <filter val="LDPE/LLDPE Bags/Liner"/>
        <filter val="LDPE/LLDPE Film"/>
        <filter val="PE Labels (Kgs)"/>
        <filter val="PE Labels (Pcs)"/>
        <filter val="PP Fibrillated Tape Twisted 3200 Black"/>
        <filter val="PP Fibrillated Tape Twisted 3200 Blue"/>
        <filter val="PP Fibrillated Tape Twisted 3200 MW"/>
        <filter val="PP Lam Fabric With UV"/>
        <filter val="PP MF Yarn Twisted 3000 Black"/>
        <filter val="PP MF Yarn Twisted 3000 Denier UV Deep Blue"/>
        <filter val="PP MF Yarn Twisted 3000 Denier UV NW"/>
        <filter val="PP MF Yarn Twisted 3000 Denier Yellow"/>
        <filter val="PP UL Bags Without UV"/>
        <filter val="PP UL Fabric With UV"/>
        <filter val="Thinner Vyankatesh Thinner"/>
        <filter val="Webbing"/>
      </filters>
    </filterColumn>
  </autoFilter>
  <mergeCells count="4">
    <mergeCell ref="D10:D11"/>
    <mergeCell ref="D31:D32"/>
    <mergeCell ref="D17:D20"/>
    <mergeCell ref="D22:D24"/>
  </mergeCells>
  <pageMargins left="0.7" right="0.7" top="0.75" bottom="0.75" header="0.3" footer="0.3"/>
  <pageSetup orientation="portrait" verticalDpi="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BP450"/>
  <sheetViews>
    <sheetView topLeftCell="A342" workbookViewId="0">
      <selection activeCell="B428" sqref="B428"/>
    </sheetView>
  </sheetViews>
  <sheetFormatPr defaultRowHeight="12"/>
  <cols>
    <col min="1" max="1" width="9.140625" style="20"/>
    <col min="2" max="2" width="29.85546875" style="20" bestFit="1" customWidth="1"/>
    <col min="3" max="3" width="10.7109375" style="20" bestFit="1" customWidth="1"/>
    <col min="4" max="4" width="17.5703125" style="20" bestFit="1" customWidth="1"/>
    <col min="5" max="5" width="13" style="20" bestFit="1" customWidth="1"/>
    <col min="6" max="6" width="31.140625" style="20" customWidth="1"/>
    <col min="7" max="7" width="10.85546875" style="20" customWidth="1"/>
    <col min="8" max="8" width="18" style="20" bestFit="1" customWidth="1"/>
    <col min="9" max="9" width="13.28515625" style="20" bestFit="1" customWidth="1"/>
    <col min="10" max="10" width="13.85546875" style="20" bestFit="1" customWidth="1"/>
    <col min="11" max="11" width="8.85546875" style="20" bestFit="1" customWidth="1"/>
    <col min="12" max="12" width="12" style="20" bestFit="1" customWidth="1"/>
    <col min="13" max="13" width="14.85546875" style="20" bestFit="1" customWidth="1"/>
    <col min="14" max="14" width="15.5703125" style="20" bestFit="1" customWidth="1"/>
    <col min="15" max="15" width="23.42578125" style="20" bestFit="1" customWidth="1"/>
    <col min="16" max="17" width="38.42578125" style="20" bestFit="1" customWidth="1"/>
    <col min="18" max="18" width="16.7109375" style="20" bestFit="1" customWidth="1"/>
    <col min="19" max="19" width="15.42578125" style="20" bestFit="1" customWidth="1"/>
    <col min="20" max="20" width="12.7109375" style="20" bestFit="1" customWidth="1"/>
    <col min="21" max="21" width="20.140625" style="20" bestFit="1" customWidth="1"/>
    <col min="22" max="22" width="10.140625" style="20" bestFit="1" customWidth="1"/>
    <col min="23" max="23" width="11.140625" style="20" bestFit="1" customWidth="1"/>
    <col min="24" max="24" width="12.140625" style="20" bestFit="1" customWidth="1"/>
    <col min="25" max="25" width="16.7109375" style="20" bestFit="1" customWidth="1"/>
    <col min="26" max="26" width="12.140625" style="20" bestFit="1" customWidth="1"/>
    <col min="27" max="27" width="16.140625" style="20" bestFit="1" customWidth="1"/>
    <col min="28" max="28" width="12.28515625" style="20" bestFit="1" customWidth="1"/>
    <col min="29" max="29" width="9.5703125" style="20" bestFit="1" customWidth="1"/>
    <col min="30" max="30" width="19.85546875" style="20" bestFit="1" customWidth="1"/>
    <col min="31" max="31" width="21" style="20" bestFit="1" customWidth="1"/>
    <col min="32" max="32" width="11.85546875" style="20" bestFit="1" customWidth="1"/>
    <col min="33" max="33" width="12.85546875" style="20" bestFit="1" customWidth="1"/>
    <col min="34" max="34" width="16.7109375" style="20" bestFit="1" customWidth="1"/>
    <col min="35" max="35" width="18.28515625" style="20" bestFit="1" customWidth="1"/>
    <col min="36" max="36" width="19.5703125" style="20" bestFit="1" customWidth="1"/>
    <col min="37" max="37" width="17.42578125" style="20" bestFit="1" customWidth="1"/>
    <col min="38" max="38" width="14.5703125" style="20" bestFit="1" customWidth="1"/>
    <col min="39" max="39" width="17.42578125" style="20" bestFit="1" customWidth="1"/>
    <col min="40" max="40" width="11.28515625" style="20" bestFit="1" customWidth="1"/>
    <col min="41" max="41" width="11.42578125" style="20" bestFit="1" customWidth="1"/>
    <col min="42" max="42" width="13" style="20" bestFit="1" customWidth="1"/>
    <col min="43" max="43" width="15.5703125" style="20" bestFit="1" customWidth="1"/>
    <col min="44" max="44" width="14.28515625" style="20" bestFit="1" customWidth="1"/>
    <col min="45" max="45" width="17.28515625" style="20" bestFit="1" customWidth="1"/>
    <col min="46" max="46" width="14.140625" style="20" bestFit="1" customWidth="1"/>
    <col min="47" max="47" width="14.7109375" style="20" bestFit="1" customWidth="1"/>
    <col min="48" max="48" width="15.140625" style="20" bestFit="1" customWidth="1"/>
    <col min="49" max="49" width="18.140625" style="20" bestFit="1" customWidth="1"/>
    <col min="50" max="50" width="18.28515625" style="20" bestFit="1" customWidth="1"/>
    <col min="51" max="51" width="14.42578125" style="20" bestFit="1" customWidth="1"/>
    <col min="52" max="52" width="13.5703125" style="20" bestFit="1" customWidth="1"/>
    <col min="53" max="53" width="16.28515625" style="20" bestFit="1" customWidth="1"/>
    <col min="54" max="54" width="17.140625" style="20" bestFit="1" customWidth="1"/>
    <col min="55" max="55" width="18.7109375" style="20" bestFit="1" customWidth="1"/>
    <col min="56" max="56" width="16.42578125" style="20" bestFit="1" customWidth="1"/>
    <col min="57" max="57" width="13.42578125" style="20" bestFit="1" customWidth="1"/>
    <col min="58" max="58" width="16.140625" style="20" bestFit="1" customWidth="1"/>
    <col min="59" max="59" width="12.28515625" style="20" bestFit="1" customWidth="1"/>
    <col min="60" max="60" width="16" style="20" bestFit="1" customWidth="1"/>
    <col min="61" max="61" width="12.140625" style="20" bestFit="1" customWidth="1"/>
    <col min="62" max="62" width="15.85546875" style="20" bestFit="1" customWidth="1"/>
    <col min="63" max="63" width="11.7109375" style="20" bestFit="1" customWidth="1"/>
    <col min="64" max="64" width="15.42578125" style="20" bestFit="1" customWidth="1"/>
    <col min="65" max="65" width="14.28515625" style="20" bestFit="1" customWidth="1"/>
    <col min="66" max="66" width="12.28515625" style="20" bestFit="1" customWidth="1"/>
    <col min="67" max="67" width="11.85546875" style="20" bestFit="1" customWidth="1"/>
    <col min="68" max="68" width="10.5703125" style="20" bestFit="1" customWidth="1"/>
    <col min="69" max="16384" width="9.140625" style="20"/>
  </cols>
  <sheetData>
    <row r="1" spans="1:68">
      <c r="A1" s="64"/>
      <c r="B1" s="117" t="s">
        <v>161</v>
      </c>
      <c r="C1" s="117" t="s">
        <v>25</v>
      </c>
      <c r="D1" s="117" t="s">
        <v>165</v>
      </c>
      <c r="E1" s="117" t="s">
        <v>166</v>
      </c>
      <c r="F1" s="117" t="s">
        <v>167</v>
      </c>
      <c r="G1" s="117" t="s">
        <v>559</v>
      </c>
      <c r="H1" s="117" t="s">
        <v>168</v>
      </c>
      <c r="I1" s="117" t="s">
        <v>169</v>
      </c>
      <c r="J1" s="117" t="s">
        <v>170</v>
      </c>
      <c r="K1" s="117" t="s">
        <v>0</v>
      </c>
      <c r="L1" s="117" t="s">
        <v>171</v>
      </c>
      <c r="M1" s="117" t="s">
        <v>172</v>
      </c>
      <c r="N1" s="117" t="s">
        <v>173</v>
      </c>
      <c r="O1" s="117" t="s">
        <v>174</v>
      </c>
      <c r="P1" s="117" t="s">
        <v>175</v>
      </c>
      <c r="Q1" s="117" t="s">
        <v>176</v>
      </c>
      <c r="R1" s="117" t="s">
        <v>177</v>
      </c>
      <c r="S1" s="117" t="s">
        <v>178</v>
      </c>
      <c r="T1" s="117" t="s">
        <v>179</v>
      </c>
      <c r="U1" s="117" t="s">
        <v>180</v>
      </c>
      <c r="V1" s="117" t="s">
        <v>181</v>
      </c>
      <c r="W1" s="117" t="s">
        <v>182</v>
      </c>
      <c r="X1" s="117" t="s">
        <v>38</v>
      </c>
      <c r="Y1" s="117" t="s">
        <v>183</v>
      </c>
      <c r="Z1" s="117" t="s">
        <v>158</v>
      </c>
      <c r="AA1" s="117" t="s">
        <v>560</v>
      </c>
      <c r="AB1" s="117" t="s">
        <v>143</v>
      </c>
      <c r="AC1" s="117" t="s">
        <v>561</v>
      </c>
      <c r="AD1" s="117" t="s">
        <v>184</v>
      </c>
      <c r="AE1" s="117" t="s">
        <v>185</v>
      </c>
      <c r="AF1" s="117" t="s">
        <v>562</v>
      </c>
      <c r="AG1" s="117" t="s">
        <v>563</v>
      </c>
      <c r="AH1" s="117" t="s">
        <v>564</v>
      </c>
      <c r="AI1" s="117" t="s">
        <v>565</v>
      </c>
      <c r="AJ1" s="117" t="s">
        <v>566</v>
      </c>
      <c r="AK1" s="117" t="s">
        <v>567</v>
      </c>
      <c r="AL1" s="117" t="s">
        <v>568</v>
      </c>
      <c r="AM1" s="117" t="s">
        <v>569</v>
      </c>
      <c r="AN1" s="117" t="s">
        <v>570</v>
      </c>
      <c r="AO1" s="117" t="s">
        <v>571</v>
      </c>
      <c r="AP1" s="117" t="s">
        <v>572</v>
      </c>
      <c r="AQ1" s="117" t="s">
        <v>573</v>
      </c>
      <c r="AR1" s="117" t="s">
        <v>574</v>
      </c>
      <c r="AS1" s="117" t="s">
        <v>575</v>
      </c>
      <c r="AT1" s="117" t="s">
        <v>186</v>
      </c>
      <c r="AU1" s="117" t="s">
        <v>162</v>
      </c>
      <c r="AV1" s="117" t="s">
        <v>163</v>
      </c>
      <c r="AW1" s="117" t="s">
        <v>164</v>
      </c>
      <c r="AX1" s="117" t="s">
        <v>187</v>
      </c>
      <c r="AY1" s="64" t="s">
        <v>188</v>
      </c>
      <c r="AZ1" s="64" t="s">
        <v>189</v>
      </c>
      <c r="BA1" s="64" t="s">
        <v>190</v>
      </c>
      <c r="BB1" s="64" t="s">
        <v>191</v>
      </c>
      <c r="BC1" s="64" t="s">
        <v>192</v>
      </c>
      <c r="BD1" s="64" t="s">
        <v>193</v>
      </c>
      <c r="BE1" s="64" t="s">
        <v>194</v>
      </c>
      <c r="BF1" s="64" t="s">
        <v>195</v>
      </c>
      <c r="BG1" s="64" t="s">
        <v>196</v>
      </c>
      <c r="BH1" s="64" t="s">
        <v>197</v>
      </c>
      <c r="BI1" s="64" t="s">
        <v>198</v>
      </c>
      <c r="BJ1" s="64" t="s">
        <v>199</v>
      </c>
      <c r="BK1" s="64" t="s">
        <v>200</v>
      </c>
      <c r="BL1" s="64" t="s">
        <v>201</v>
      </c>
      <c r="BM1" s="64" t="s">
        <v>202</v>
      </c>
      <c r="BN1" s="64" t="s">
        <v>203</v>
      </c>
      <c r="BO1" s="64" t="s">
        <v>204</v>
      </c>
      <c r="BP1" s="64" t="s">
        <v>205</v>
      </c>
    </row>
    <row r="2" spans="1:68">
      <c r="A2" s="65"/>
      <c r="B2" s="20" t="s">
        <v>2165</v>
      </c>
      <c r="C2" s="111">
        <v>46030</v>
      </c>
      <c r="D2" s="20" t="s">
        <v>3424</v>
      </c>
      <c r="E2" s="20" t="s">
        <v>18</v>
      </c>
      <c r="F2" s="20" t="s">
        <v>19</v>
      </c>
      <c r="H2" s="20" t="s">
        <v>3425</v>
      </c>
      <c r="I2" s="20">
        <v>239</v>
      </c>
      <c r="J2" s="20">
        <v>239</v>
      </c>
      <c r="K2" s="20" t="s">
        <v>11</v>
      </c>
      <c r="L2" s="20">
        <v>239</v>
      </c>
      <c r="M2" s="20">
        <v>0</v>
      </c>
      <c r="N2" s="20">
        <v>239</v>
      </c>
      <c r="O2" s="20" t="s">
        <v>2154</v>
      </c>
      <c r="P2" s="20" t="s">
        <v>87</v>
      </c>
      <c r="Q2" s="20" t="s">
        <v>87</v>
      </c>
      <c r="R2" s="111" t="s">
        <v>2623</v>
      </c>
      <c r="S2" s="111">
        <v>46030</v>
      </c>
      <c r="T2" s="20" t="s">
        <v>206</v>
      </c>
      <c r="U2" s="20" t="s">
        <v>207</v>
      </c>
      <c r="V2" s="20" t="s">
        <v>2622</v>
      </c>
      <c r="W2" s="20">
        <v>146.49</v>
      </c>
      <c r="X2" s="20">
        <v>146.48999956865299</v>
      </c>
      <c r="Y2" s="111" t="s">
        <v>2623</v>
      </c>
      <c r="Z2" s="111">
        <v>46030</v>
      </c>
      <c r="AB2" s="20" t="s">
        <v>2290</v>
      </c>
      <c r="AD2" s="20" t="s">
        <v>2290</v>
      </c>
      <c r="AE2" s="20" t="s">
        <v>2290</v>
      </c>
      <c r="AF2" s="20">
        <v>0</v>
      </c>
      <c r="AG2" s="20">
        <v>0</v>
      </c>
      <c r="AH2" s="20">
        <v>0</v>
      </c>
      <c r="AI2" s="20">
        <v>0</v>
      </c>
      <c r="AJ2" s="20">
        <v>0</v>
      </c>
      <c r="AK2" s="111" t="s">
        <v>576</v>
      </c>
      <c r="AL2" s="20">
        <v>0</v>
      </c>
      <c r="AM2" s="20">
        <v>0</v>
      </c>
      <c r="AN2" s="20">
        <v>0</v>
      </c>
      <c r="AO2" s="20">
        <v>0</v>
      </c>
      <c r="AP2" s="20">
        <v>0</v>
      </c>
      <c r="AR2" s="20">
        <v>0</v>
      </c>
      <c r="AS2" s="20">
        <v>0</v>
      </c>
      <c r="AT2" s="20">
        <v>2037663.47</v>
      </c>
      <c r="AU2" s="20" t="s">
        <v>13</v>
      </c>
      <c r="AV2" s="20" t="s">
        <v>62</v>
      </c>
      <c r="AW2" s="111" t="s">
        <v>63</v>
      </c>
      <c r="AX2" s="20" t="s">
        <v>208</v>
      </c>
      <c r="AY2" s="19" t="s">
        <v>209</v>
      </c>
      <c r="AZ2" s="19">
        <v>0</v>
      </c>
      <c r="BA2" s="19">
        <v>35011.11</v>
      </c>
      <c r="BB2" s="19">
        <v>1021</v>
      </c>
      <c r="BC2" s="66">
        <v>46030</v>
      </c>
      <c r="BD2" s="19" t="s">
        <v>65</v>
      </c>
      <c r="BE2" s="19" t="s">
        <v>210</v>
      </c>
      <c r="BF2" s="19" t="s">
        <v>210</v>
      </c>
      <c r="BG2" s="19">
        <v>9</v>
      </c>
      <c r="BH2" s="19">
        <v>3151</v>
      </c>
      <c r="BI2" s="19">
        <v>9</v>
      </c>
      <c r="BJ2" s="19">
        <v>3151</v>
      </c>
      <c r="BK2" s="19">
        <v>0</v>
      </c>
      <c r="BL2" s="19">
        <v>0</v>
      </c>
      <c r="BM2" s="19">
        <v>2037663.47</v>
      </c>
      <c r="BN2" s="19">
        <v>682155281132</v>
      </c>
      <c r="BO2" s="66">
        <v>46235</v>
      </c>
      <c r="BP2" s="19">
        <v>0</v>
      </c>
    </row>
    <row r="3" spans="1:68">
      <c r="A3" s="65"/>
      <c r="B3" s="20" t="s">
        <v>2165</v>
      </c>
      <c r="C3" s="111">
        <v>46030</v>
      </c>
      <c r="D3" s="20" t="s">
        <v>3424</v>
      </c>
      <c r="E3" s="20" t="s">
        <v>18</v>
      </c>
      <c r="F3" s="20" t="s">
        <v>19</v>
      </c>
      <c r="H3" s="20" t="s">
        <v>3425</v>
      </c>
      <c r="I3" s="20">
        <v>7181</v>
      </c>
      <c r="J3" s="20">
        <v>7181</v>
      </c>
      <c r="K3" s="20" t="s">
        <v>11</v>
      </c>
      <c r="L3" s="20">
        <v>7181</v>
      </c>
      <c r="M3" s="20">
        <v>0</v>
      </c>
      <c r="N3" s="20">
        <v>7181</v>
      </c>
      <c r="O3" s="20" t="s">
        <v>2154</v>
      </c>
      <c r="P3" s="20" t="s">
        <v>87</v>
      </c>
      <c r="Q3" s="20" t="s">
        <v>87</v>
      </c>
      <c r="R3" s="111" t="s">
        <v>2623</v>
      </c>
      <c r="S3" s="111">
        <v>46030</v>
      </c>
      <c r="T3" s="20" t="s">
        <v>206</v>
      </c>
      <c r="U3" s="20" t="s">
        <v>207</v>
      </c>
      <c r="V3" s="20" t="s">
        <v>2622</v>
      </c>
      <c r="W3" s="20">
        <v>144.49</v>
      </c>
      <c r="X3" s="20">
        <v>144.489999574542</v>
      </c>
      <c r="Y3" s="111" t="s">
        <v>2623</v>
      </c>
      <c r="Z3" s="111">
        <v>46030</v>
      </c>
      <c r="AB3" s="20" t="s">
        <v>2290</v>
      </c>
      <c r="AD3" s="20" t="s">
        <v>2290</v>
      </c>
      <c r="AE3" s="20" t="s">
        <v>2290</v>
      </c>
      <c r="AF3" s="20">
        <v>0</v>
      </c>
      <c r="AG3" s="20">
        <v>0</v>
      </c>
      <c r="AH3" s="20">
        <v>0</v>
      </c>
      <c r="AI3" s="20">
        <v>0</v>
      </c>
      <c r="AJ3" s="20">
        <v>0</v>
      </c>
      <c r="AK3" s="111" t="s">
        <v>576</v>
      </c>
      <c r="AL3" s="20">
        <v>0</v>
      </c>
      <c r="AM3" s="20">
        <v>0</v>
      </c>
      <c r="AN3" s="20">
        <v>0</v>
      </c>
      <c r="AO3" s="20">
        <v>0</v>
      </c>
      <c r="AP3" s="20">
        <v>0</v>
      </c>
      <c r="AR3" s="20">
        <v>0</v>
      </c>
      <c r="AS3" s="20">
        <v>0</v>
      </c>
      <c r="AT3" s="20">
        <v>2037663.47</v>
      </c>
      <c r="AU3" s="20" t="s">
        <v>13</v>
      </c>
      <c r="AV3" s="20" t="s">
        <v>62</v>
      </c>
      <c r="AW3" s="111" t="s">
        <v>63</v>
      </c>
      <c r="AX3" s="20" t="s">
        <v>208</v>
      </c>
      <c r="AY3" s="19" t="s">
        <v>209</v>
      </c>
      <c r="AZ3" s="19">
        <v>0</v>
      </c>
      <c r="BA3" s="19">
        <v>1037582.69</v>
      </c>
      <c r="BB3" s="19">
        <v>1021</v>
      </c>
      <c r="BC3" s="66">
        <v>46030</v>
      </c>
      <c r="BD3" s="19" t="s">
        <v>65</v>
      </c>
      <c r="BE3" s="19" t="s">
        <v>210</v>
      </c>
      <c r="BF3" s="19" t="s">
        <v>210</v>
      </c>
      <c r="BG3" s="19">
        <v>9</v>
      </c>
      <c r="BH3" s="19">
        <v>93382.44</v>
      </c>
      <c r="BI3" s="19">
        <v>9</v>
      </c>
      <c r="BJ3" s="19">
        <v>93382.44</v>
      </c>
      <c r="BK3" s="19">
        <v>0</v>
      </c>
      <c r="BL3" s="19">
        <v>0</v>
      </c>
      <c r="BM3" s="19">
        <v>0</v>
      </c>
      <c r="BN3" s="19">
        <v>682155281132</v>
      </c>
      <c r="BO3" s="66">
        <v>46235</v>
      </c>
      <c r="BP3" s="19">
        <v>0</v>
      </c>
    </row>
    <row r="4" spans="1:68">
      <c r="A4" s="65"/>
      <c r="B4" s="20" t="s">
        <v>2165</v>
      </c>
      <c r="C4" s="111">
        <v>46030</v>
      </c>
      <c r="D4" s="20" t="s">
        <v>3424</v>
      </c>
      <c r="E4" s="20" t="s">
        <v>20</v>
      </c>
      <c r="F4" s="20" t="s">
        <v>21</v>
      </c>
      <c r="H4" s="20" t="s">
        <v>3425</v>
      </c>
      <c r="I4" s="20">
        <v>1694</v>
      </c>
      <c r="J4" s="20">
        <v>1694</v>
      </c>
      <c r="K4" s="20" t="s">
        <v>11</v>
      </c>
      <c r="L4" s="20">
        <v>1694</v>
      </c>
      <c r="M4" s="20">
        <v>0</v>
      </c>
      <c r="N4" s="20">
        <v>1694</v>
      </c>
      <c r="O4" s="20" t="s">
        <v>2154</v>
      </c>
      <c r="P4" s="20" t="s">
        <v>87</v>
      </c>
      <c r="Q4" s="20" t="s">
        <v>87</v>
      </c>
      <c r="R4" s="111" t="s">
        <v>2623</v>
      </c>
      <c r="S4" s="111">
        <v>46030</v>
      </c>
      <c r="T4" s="20" t="s">
        <v>206</v>
      </c>
      <c r="U4" s="20" t="s">
        <v>207</v>
      </c>
      <c r="V4" s="20" t="s">
        <v>2622</v>
      </c>
      <c r="W4" s="20">
        <v>151.49</v>
      </c>
      <c r="X4" s="20">
        <v>151.48999955393001</v>
      </c>
      <c r="Y4" s="111" t="s">
        <v>2623</v>
      </c>
      <c r="Z4" s="111">
        <v>46030</v>
      </c>
      <c r="AB4" s="20" t="s">
        <v>2290</v>
      </c>
      <c r="AD4" s="20" t="s">
        <v>2290</v>
      </c>
      <c r="AE4" s="20" t="s">
        <v>2290</v>
      </c>
      <c r="AF4" s="20">
        <v>0</v>
      </c>
      <c r="AG4" s="20">
        <v>0</v>
      </c>
      <c r="AH4" s="20">
        <v>0</v>
      </c>
      <c r="AI4" s="20">
        <v>0</v>
      </c>
      <c r="AJ4" s="20">
        <v>0</v>
      </c>
      <c r="AK4" s="111" t="s">
        <v>576</v>
      </c>
      <c r="AL4" s="20">
        <v>0</v>
      </c>
      <c r="AM4" s="20">
        <v>0</v>
      </c>
      <c r="AN4" s="20">
        <v>0</v>
      </c>
      <c r="AO4" s="20">
        <v>0</v>
      </c>
      <c r="AP4" s="20">
        <v>0</v>
      </c>
      <c r="AR4" s="20">
        <v>0</v>
      </c>
      <c r="AS4" s="20">
        <v>0</v>
      </c>
      <c r="AT4" s="20">
        <v>2037663.47</v>
      </c>
      <c r="AU4" s="20" t="s">
        <v>13</v>
      </c>
      <c r="AV4" s="20" t="s">
        <v>62</v>
      </c>
      <c r="AW4" s="111" t="s">
        <v>76</v>
      </c>
      <c r="AX4" s="20" t="s">
        <v>208</v>
      </c>
      <c r="AY4" s="19" t="s">
        <v>209</v>
      </c>
      <c r="AZ4" s="19">
        <v>0</v>
      </c>
      <c r="BA4" s="19">
        <v>256624.06</v>
      </c>
      <c r="BB4" s="19">
        <v>1021</v>
      </c>
      <c r="BC4" s="66">
        <v>46030</v>
      </c>
      <c r="BD4" s="19" t="s">
        <v>65</v>
      </c>
      <c r="BE4" s="19" t="s">
        <v>210</v>
      </c>
      <c r="BF4" s="19" t="s">
        <v>210</v>
      </c>
      <c r="BG4" s="19">
        <v>9</v>
      </c>
      <c r="BH4" s="19">
        <v>23096.17</v>
      </c>
      <c r="BI4" s="19">
        <v>9</v>
      </c>
      <c r="BJ4" s="19">
        <v>23096.17</v>
      </c>
      <c r="BK4" s="19">
        <v>0</v>
      </c>
      <c r="BL4" s="19">
        <v>0</v>
      </c>
      <c r="BM4" s="19">
        <v>0</v>
      </c>
      <c r="BN4" s="19">
        <v>682155281132</v>
      </c>
      <c r="BO4" s="66">
        <v>46235</v>
      </c>
      <c r="BP4" s="19">
        <v>0</v>
      </c>
    </row>
    <row r="5" spans="1:68">
      <c r="A5" s="65"/>
      <c r="B5" s="20" t="s">
        <v>2165</v>
      </c>
      <c r="C5" s="111">
        <v>46030</v>
      </c>
      <c r="D5" s="20" t="s">
        <v>3424</v>
      </c>
      <c r="E5" s="20" t="s">
        <v>20</v>
      </c>
      <c r="F5" s="20" t="s">
        <v>21</v>
      </c>
      <c r="H5" s="20" t="s">
        <v>3425</v>
      </c>
      <c r="I5" s="20">
        <v>1242</v>
      </c>
      <c r="J5" s="20">
        <v>1242</v>
      </c>
      <c r="K5" s="20" t="s">
        <v>11</v>
      </c>
      <c r="L5" s="339">
        <v>1242</v>
      </c>
      <c r="M5" s="20">
        <v>0</v>
      </c>
      <c r="N5" s="20">
        <v>1242</v>
      </c>
      <c r="O5" s="20" t="s">
        <v>2154</v>
      </c>
      <c r="P5" s="20" t="s">
        <v>87</v>
      </c>
      <c r="Q5" s="20" t="s">
        <v>87</v>
      </c>
      <c r="R5" s="111" t="s">
        <v>2623</v>
      </c>
      <c r="S5" s="111">
        <v>46030</v>
      </c>
      <c r="T5" s="20" t="s">
        <v>206</v>
      </c>
      <c r="U5" s="20" t="s">
        <v>207</v>
      </c>
      <c r="V5" s="20" t="s">
        <v>2622</v>
      </c>
      <c r="W5" s="20">
        <v>148.49</v>
      </c>
      <c r="X5" s="20">
        <v>148.48999956276401</v>
      </c>
      <c r="Y5" s="111" t="s">
        <v>2623</v>
      </c>
      <c r="Z5" s="111">
        <v>46030</v>
      </c>
      <c r="AB5" s="20" t="s">
        <v>2290</v>
      </c>
      <c r="AD5" s="20" t="s">
        <v>2290</v>
      </c>
      <c r="AE5" s="20" t="s">
        <v>2290</v>
      </c>
      <c r="AF5" s="20">
        <v>0</v>
      </c>
      <c r="AG5" s="20">
        <v>0</v>
      </c>
      <c r="AH5" s="20">
        <v>0</v>
      </c>
      <c r="AI5" s="20">
        <v>0</v>
      </c>
      <c r="AJ5" s="20">
        <v>0</v>
      </c>
      <c r="AK5" s="111" t="s">
        <v>576</v>
      </c>
      <c r="AL5" s="20">
        <v>0</v>
      </c>
      <c r="AM5" s="20">
        <v>0</v>
      </c>
      <c r="AN5" s="20">
        <v>0</v>
      </c>
      <c r="AO5" s="20">
        <v>0</v>
      </c>
      <c r="AP5" s="20">
        <v>0</v>
      </c>
      <c r="AR5" s="20">
        <v>0</v>
      </c>
      <c r="AS5" s="20">
        <v>0</v>
      </c>
      <c r="AT5" s="20">
        <v>2037663.47</v>
      </c>
      <c r="AU5" s="20" t="s">
        <v>13</v>
      </c>
      <c r="AV5" s="20" t="s">
        <v>62</v>
      </c>
      <c r="AW5" s="111" t="s">
        <v>76</v>
      </c>
      <c r="AX5" s="20" t="s">
        <v>208</v>
      </c>
      <c r="AY5" s="19" t="s">
        <v>209</v>
      </c>
      <c r="AZ5" s="19">
        <v>0</v>
      </c>
      <c r="BA5" s="19">
        <v>184424.58</v>
      </c>
      <c r="BB5" s="19">
        <v>1021</v>
      </c>
      <c r="BC5" s="66">
        <v>46030</v>
      </c>
      <c r="BD5" s="19" t="s">
        <v>65</v>
      </c>
      <c r="BE5" s="19" t="s">
        <v>210</v>
      </c>
      <c r="BF5" s="19" t="s">
        <v>210</v>
      </c>
      <c r="BG5" s="19">
        <v>9</v>
      </c>
      <c r="BH5" s="19">
        <v>16598.21</v>
      </c>
      <c r="BI5" s="19">
        <v>9</v>
      </c>
      <c r="BJ5" s="19">
        <v>16598.21</v>
      </c>
      <c r="BK5" s="19">
        <v>0</v>
      </c>
      <c r="BL5" s="19">
        <v>0</v>
      </c>
      <c r="BM5" s="19">
        <v>0</v>
      </c>
      <c r="BN5" s="19">
        <v>682155281132</v>
      </c>
      <c r="BO5" s="66">
        <v>46235</v>
      </c>
      <c r="BP5" s="19">
        <v>0</v>
      </c>
    </row>
    <row r="6" spans="1:68">
      <c r="A6" s="65"/>
      <c r="B6" s="20" t="s">
        <v>2165</v>
      </c>
      <c r="C6" s="111">
        <v>46030</v>
      </c>
      <c r="D6" s="20" t="s">
        <v>3424</v>
      </c>
      <c r="E6" s="20" t="s">
        <v>23</v>
      </c>
      <c r="F6" s="20" t="s">
        <v>24</v>
      </c>
      <c r="H6" s="20" t="s">
        <v>3425</v>
      </c>
      <c r="I6" s="20">
        <v>826.6</v>
      </c>
      <c r="J6" s="20">
        <v>826.6</v>
      </c>
      <c r="K6" s="20" t="s">
        <v>11</v>
      </c>
      <c r="L6" s="20">
        <v>826.6</v>
      </c>
      <c r="M6" s="20">
        <v>0</v>
      </c>
      <c r="N6" s="20">
        <v>826.6</v>
      </c>
      <c r="O6" s="20" t="s">
        <v>2154</v>
      </c>
      <c r="P6" s="20" t="s">
        <v>87</v>
      </c>
      <c r="Q6" s="20" t="s">
        <v>87</v>
      </c>
      <c r="R6" s="111" t="s">
        <v>2623</v>
      </c>
      <c r="S6" s="111">
        <v>46030</v>
      </c>
      <c r="T6" s="20" t="s">
        <v>206</v>
      </c>
      <c r="U6" s="20" t="s">
        <v>207</v>
      </c>
      <c r="V6" s="20" t="s">
        <v>2622</v>
      </c>
      <c r="W6" s="20">
        <v>149.49</v>
      </c>
      <c r="X6" s="20">
        <v>149.48999955981901</v>
      </c>
      <c r="Y6" s="111" t="s">
        <v>2623</v>
      </c>
      <c r="Z6" s="111">
        <v>46030</v>
      </c>
      <c r="AB6" s="20" t="s">
        <v>2290</v>
      </c>
      <c r="AD6" s="20" t="s">
        <v>2290</v>
      </c>
      <c r="AE6" s="20" t="s">
        <v>2290</v>
      </c>
      <c r="AF6" s="20">
        <v>0</v>
      </c>
      <c r="AG6" s="20">
        <v>0</v>
      </c>
      <c r="AH6" s="20">
        <v>0</v>
      </c>
      <c r="AI6" s="20">
        <v>0</v>
      </c>
      <c r="AJ6" s="20">
        <v>0</v>
      </c>
      <c r="AK6" s="111" t="s">
        <v>576</v>
      </c>
      <c r="AL6" s="20">
        <v>0</v>
      </c>
      <c r="AM6" s="20">
        <v>0</v>
      </c>
      <c r="AN6" s="20">
        <v>0</v>
      </c>
      <c r="AO6" s="20">
        <v>0</v>
      </c>
      <c r="AP6" s="20">
        <v>0</v>
      </c>
      <c r="AR6" s="20">
        <v>0</v>
      </c>
      <c r="AS6" s="20">
        <v>0</v>
      </c>
      <c r="AT6" s="20">
        <v>2037663.47</v>
      </c>
      <c r="AU6" s="20" t="s">
        <v>13</v>
      </c>
      <c r="AV6" s="20" t="s">
        <v>24</v>
      </c>
      <c r="AW6" s="111" t="s">
        <v>79</v>
      </c>
      <c r="AX6" s="20" t="s">
        <v>208</v>
      </c>
      <c r="AY6" s="19" t="s">
        <v>209</v>
      </c>
      <c r="AZ6" s="19">
        <v>0</v>
      </c>
      <c r="BA6" s="19">
        <v>123568.43</v>
      </c>
      <c r="BB6" s="19">
        <v>1021</v>
      </c>
      <c r="BC6" s="66">
        <v>46030</v>
      </c>
      <c r="BD6" s="19" t="s">
        <v>65</v>
      </c>
      <c r="BE6" s="19" t="s">
        <v>210</v>
      </c>
      <c r="BF6" s="19" t="s">
        <v>210</v>
      </c>
      <c r="BG6" s="19">
        <v>9</v>
      </c>
      <c r="BH6" s="19">
        <v>11121.16</v>
      </c>
      <c r="BI6" s="19">
        <v>9</v>
      </c>
      <c r="BJ6" s="19">
        <v>11121.16</v>
      </c>
      <c r="BK6" s="19">
        <v>0</v>
      </c>
      <c r="BL6" s="19">
        <v>0</v>
      </c>
      <c r="BM6" s="19">
        <v>0</v>
      </c>
      <c r="BN6" s="19">
        <v>682155281132</v>
      </c>
      <c r="BO6" s="66">
        <v>46235</v>
      </c>
      <c r="BP6" s="19">
        <v>0</v>
      </c>
    </row>
    <row r="7" spans="1:68">
      <c r="A7" s="65"/>
      <c r="B7" s="20" t="s">
        <v>2165</v>
      </c>
      <c r="C7" s="111">
        <v>46030</v>
      </c>
      <c r="D7" s="20" t="s">
        <v>3424</v>
      </c>
      <c r="E7" s="20" t="s">
        <v>23</v>
      </c>
      <c r="F7" s="20" t="s">
        <v>24</v>
      </c>
      <c r="H7" s="20" t="s">
        <v>3425</v>
      </c>
      <c r="I7" s="20">
        <v>611.79999999999995</v>
      </c>
      <c r="J7" s="20">
        <v>611.79999999999995</v>
      </c>
      <c r="K7" s="20" t="s">
        <v>11</v>
      </c>
      <c r="L7" s="20">
        <v>611.79999999999995</v>
      </c>
      <c r="M7" s="20">
        <v>0</v>
      </c>
      <c r="N7" s="20">
        <v>611.79999999999995</v>
      </c>
      <c r="O7" s="20" t="s">
        <v>2154</v>
      </c>
      <c r="P7" s="20" t="s">
        <v>87</v>
      </c>
      <c r="Q7" s="20" t="s">
        <v>87</v>
      </c>
      <c r="R7" s="111" t="s">
        <v>2623</v>
      </c>
      <c r="S7" s="111">
        <v>46030</v>
      </c>
      <c r="T7" s="20" t="s">
        <v>206</v>
      </c>
      <c r="U7" s="20" t="s">
        <v>207</v>
      </c>
      <c r="V7" s="20" t="s">
        <v>2622</v>
      </c>
      <c r="W7" s="20">
        <v>146.49</v>
      </c>
      <c r="X7" s="20">
        <v>146.48999956865299</v>
      </c>
      <c r="Y7" s="111" t="s">
        <v>2623</v>
      </c>
      <c r="Z7" s="111">
        <v>46030</v>
      </c>
      <c r="AB7" s="20" t="s">
        <v>2290</v>
      </c>
      <c r="AD7" s="20" t="s">
        <v>2290</v>
      </c>
      <c r="AE7" s="20" t="s">
        <v>2290</v>
      </c>
      <c r="AF7" s="20">
        <v>0</v>
      </c>
      <c r="AG7" s="20">
        <v>0</v>
      </c>
      <c r="AH7" s="20">
        <v>0</v>
      </c>
      <c r="AI7" s="20">
        <v>0</v>
      </c>
      <c r="AJ7" s="20">
        <v>0</v>
      </c>
      <c r="AK7" s="111" t="s">
        <v>576</v>
      </c>
      <c r="AL7" s="20">
        <v>0</v>
      </c>
      <c r="AM7" s="20">
        <v>0</v>
      </c>
      <c r="AN7" s="20">
        <v>0</v>
      </c>
      <c r="AO7" s="20">
        <v>0</v>
      </c>
      <c r="AP7" s="20">
        <v>0</v>
      </c>
      <c r="AR7" s="20">
        <v>0</v>
      </c>
      <c r="AS7" s="20">
        <v>0</v>
      </c>
      <c r="AT7" s="20">
        <v>2037663.47</v>
      </c>
      <c r="AU7" s="20" t="s">
        <v>13</v>
      </c>
      <c r="AV7" s="20" t="s">
        <v>24</v>
      </c>
      <c r="AW7" s="111" t="s">
        <v>79</v>
      </c>
      <c r="AX7" s="20" t="s">
        <v>208</v>
      </c>
      <c r="AY7" s="19" t="s">
        <v>209</v>
      </c>
      <c r="AZ7" s="19">
        <v>0</v>
      </c>
      <c r="BA7" s="19">
        <v>89622.58</v>
      </c>
      <c r="BB7" s="19">
        <v>1021</v>
      </c>
      <c r="BC7" s="66">
        <v>46030</v>
      </c>
      <c r="BD7" s="19" t="s">
        <v>65</v>
      </c>
      <c r="BE7" s="19" t="s">
        <v>210</v>
      </c>
      <c r="BF7" s="19" t="s">
        <v>210</v>
      </c>
      <c r="BG7" s="19">
        <v>9</v>
      </c>
      <c r="BH7" s="19">
        <v>8066.03</v>
      </c>
      <c r="BI7" s="19">
        <v>9</v>
      </c>
      <c r="BJ7" s="19">
        <v>8066.03</v>
      </c>
      <c r="BK7" s="19">
        <v>0</v>
      </c>
      <c r="BL7" s="19">
        <v>0</v>
      </c>
      <c r="BM7" s="19">
        <v>0</v>
      </c>
      <c r="BN7" s="19">
        <v>682155281132</v>
      </c>
      <c r="BO7" s="66">
        <v>46235</v>
      </c>
      <c r="BP7" s="19">
        <v>0</v>
      </c>
    </row>
    <row r="8" spans="1:68">
      <c r="A8" s="65"/>
      <c r="B8" s="20" t="s">
        <v>2165</v>
      </c>
      <c r="C8" s="111">
        <v>46061</v>
      </c>
      <c r="D8" s="20" t="s">
        <v>3426</v>
      </c>
      <c r="E8" s="20" t="s">
        <v>20</v>
      </c>
      <c r="F8" s="20" t="s">
        <v>21</v>
      </c>
      <c r="H8" s="20" t="s">
        <v>3427</v>
      </c>
      <c r="I8" s="20">
        <v>470</v>
      </c>
      <c r="J8" s="20">
        <v>470</v>
      </c>
      <c r="K8" s="20" t="s">
        <v>11</v>
      </c>
      <c r="L8" s="20">
        <v>470</v>
      </c>
      <c r="M8" s="20">
        <v>0</v>
      </c>
      <c r="N8" s="20">
        <v>470</v>
      </c>
      <c r="O8" s="20" t="s">
        <v>3428</v>
      </c>
      <c r="P8" s="20" t="s">
        <v>87</v>
      </c>
      <c r="Q8" s="20" t="s">
        <v>87</v>
      </c>
      <c r="R8" s="111" t="s">
        <v>2627</v>
      </c>
      <c r="S8" s="111">
        <v>46061</v>
      </c>
      <c r="T8" s="20" t="s">
        <v>206</v>
      </c>
      <c r="U8" s="20" t="s">
        <v>207</v>
      </c>
      <c r="V8" s="20" t="s">
        <v>2626</v>
      </c>
      <c r="W8" s="20">
        <v>146.49</v>
      </c>
      <c r="X8" s="20">
        <v>146.49</v>
      </c>
      <c r="Y8" s="111" t="s">
        <v>2627</v>
      </c>
      <c r="Z8" s="111">
        <v>46061</v>
      </c>
      <c r="AB8" s="20" t="s">
        <v>2290</v>
      </c>
      <c r="AD8" s="20" t="s">
        <v>2290</v>
      </c>
      <c r="AE8" s="20" t="s">
        <v>2290</v>
      </c>
      <c r="AF8" s="20">
        <v>0</v>
      </c>
      <c r="AG8" s="20">
        <v>0</v>
      </c>
      <c r="AH8" s="20">
        <v>0</v>
      </c>
      <c r="AI8" s="20">
        <v>0</v>
      </c>
      <c r="AJ8" s="20">
        <v>0</v>
      </c>
      <c r="AK8" s="111" t="s">
        <v>576</v>
      </c>
      <c r="AL8" s="20">
        <v>0</v>
      </c>
      <c r="AM8" s="20">
        <v>0</v>
      </c>
      <c r="AN8" s="20">
        <v>0</v>
      </c>
      <c r="AO8" s="20">
        <v>0</v>
      </c>
      <c r="AP8" s="20">
        <v>0</v>
      </c>
      <c r="AR8" s="20">
        <v>0</v>
      </c>
      <c r="AS8" s="20">
        <v>0</v>
      </c>
      <c r="AT8" s="20">
        <v>1393120.42</v>
      </c>
      <c r="AU8" s="20" t="s">
        <v>13</v>
      </c>
      <c r="AV8" s="20" t="s">
        <v>62</v>
      </c>
      <c r="AW8" s="111" t="s">
        <v>76</v>
      </c>
      <c r="AX8" s="20" t="s">
        <v>208</v>
      </c>
      <c r="AY8" s="19" t="s">
        <v>209</v>
      </c>
      <c r="AZ8" s="19">
        <v>0</v>
      </c>
      <c r="BA8" s="19">
        <v>68850.3</v>
      </c>
      <c r="BB8" s="19">
        <v>1023</v>
      </c>
      <c r="BC8" s="66">
        <v>46061</v>
      </c>
      <c r="BD8" s="19" t="s">
        <v>65</v>
      </c>
      <c r="BE8" s="19" t="s">
        <v>210</v>
      </c>
      <c r="BF8" s="19" t="s">
        <v>210</v>
      </c>
      <c r="BG8" s="19">
        <v>9</v>
      </c>
      <c r="BH8" s="19">
        <v>6196.53</v>
      </c>
      <c r="BI8" s="19">
        <v>9</v>
      </c>
      <c r="BJ8" s="19">
        <v>6196.53</v>
      </c>
      <c r="BK8" s="19">
        <v>0</v>
      </c>
      <c r="BL8" s="19">
        <v>0</v>
      </c>
      <c r="BM8" s="19">
        <v>1393120.42</v>
      </c>
      <c r="BN8" s="19">
        <v>682155731075</v>
      </c>
      <c r="BO8" s="66">
        <v>46236</v>
      </c>
      <c r="BP8" s="19">
        <v>0</v>
      </c>
    </row>
    <row r="9" spans="1:68">
      <c r="A9" s="65"/>
      <c r="B9" s="20" t="s">
        <v>2165</v>
      </c>
      <c r="C9" s="111">
        <v>46061</v>
      </c>
      <c r="D9" s="20" t="s">
        <v>3426</v>
      </c>
      <c r="E9" s="20" t="s">
        <v>18</v>
      </c>
      <c r="F9" s="20" t="s">
        <v>19</v>
      </c>
      <c r="H9" s="20" t="s">
        <v>3427</v>
      </c>
      <c r="I9" s="20">
        <v>1183</v>
      </c>
      <c r="J9" s="20">
        <v>1183</v>
      </c>
      <c r="K9" s="20" t="s">
        <v>11</v>
      </c>
      <c r="L9" s="20">
        <v>1183</v>
      </c>
      <c r="M9" s="20">
        <v>0</v>
      </c>
      <c r="N9" s="20">
        <v>1183</v>
      </c>
      <c r="O9" s="20" t="s">
        <v>3428</v>
      </c>
      <c r="P9" s="20" t="s">
        <v>87</v>
      </c>
      <c r="Q9" s="20" t="s">
        <v>87</v>
      </c>
      <c r="R9" s="111" t="s">
        <v>2627</v>
      </c>
      <c r="S9" s="111">
        <v>46061</v>
      </c>
      <c r="T9" s="20" t="s">
        <v>206</v>
      </c>
      <c r="U9" s="20" t="s">
        <v>207</v>
      </c>
      <c r="V9" s="20" t="s">
        <v>2626</v>
      </c>
      <c r="W9" s="20">
        <v>146.49</v>
      </c>
      <c r="X9" s="20">
        <v>146.49</v>
      </c>
      <c r="Y9" s="111" t="s">
        <v>2627</v>
      </c>
      <c r="Z9" s="111">
        <v>46061</v>
      </c>
      <c r="AB9" s="20" t="s">
        <v>2290</v>
      </c>
      <c r="AD9" s="20" t="s">
        <v>2290</v>
      </c>
      <c r="AE9" s="20" t="s">
        <v>2290</v>
      </c>
      <c r="AF9" s="20">
        <v>0</v>
      </c>
      <c r="AG9" s="20">
        <v>0</v>
      </c>
      <c r="AH9" s="20">
        <v>0</v>
      </c>
      <c r="AI9" s="20">
        <v>0</v>
      </c>
      <c r="AJ9" s="20">
        <v>0</v>
      </c>
      <c r="AK9" s="111" t="s">
        <v>576</v>
      </c>
      <c r="AL9" s="20">
        <v>0</v>
      </c>
      <c r="AM9" s="20">
        <v>0</v>
      </c>
      <c r="AN9" s="20">
        <v>0</v>
      </c>
      <c r="AO9" s="20">
        <v>0</v>
      </c>
      <c r="AP9" s="20">
        <v>0</v>
      </c>
      <c r="AR9" s="20">
        <v>0</v>
      </c>
      <c r="AS9" s="20">
        <v>0</v>
      </c>
      <c r="AT9" s="20">
        <v>1393120.42</v>
      </c>
      <c r="AU9" s="20" t="s">
        <v>13</v>
      </c>
      <c r="AV9" s="20" t="s">
        <v>62</v>
      </c>
      <c r="AW9" s="111" t="s">
        <v>63</v>
      </c>
      <c r="AX9" s="20" t="s">
        <v>208</v>
      </c>
      <c r="AY9" s="19" t="s">
        <v>209</v>
      </c>
      <c r="AZ9" s="19">
        <v>0</v>
      </c>
      <c r="BA9" s="19">
        <v>173297.67</v>
      </c>
      <c r="BB9" s="19">
        <v>1023</v>
      </c>
      <c r="BC9" s="66">
        <v>46061</v>
      </c>
      <c r="BD9" s="19" t="s">
        <v>65</v>
      </c>
      <c r="BE9" s="19" t="s">
        <v>210</v>
      </c>
      <c r="BF9" s="19" t="s">
        <v>210</v>
      </c>
      <c r="BG9" s="19">
        <v>9</v>
      </c>
      <c r="BH9" s="19">
        <v>15596.79</v>
      </c>
      <c r="BI9" s="19">
        <v>9</v>
      </c>
      <c r="BJ9" s="19">
        <v>15596.79</v>
      </c>
      <c r="BK9" s="19">
        <v>0</v>
      </c>
      <c r="BL9" s="19">
        <v>0</v>
      </c>
      <c r="BM9" s="19">
        <v>0</v>
      </c>
      <c r="BN9" s="19">
        <v>682155731075</v>
      </c>
      <c r="BO9" s="66">
        <v>46236</v>
      </c>
      <c r="BP9" s="19">
        <v>0</v>
      </c>
    </row>
    <row r="10" spans="1:68">
      <c r="A10" s="65"/>
      <c r="B10" s="20" t="s">
        <v>2165</v>
      </c>
      <c r="C10" s="111">
        <v>46061</v>
      </c>
      <c r="D10" s="20" t="s">
        <v>3426</v>
      </c>
      <c r="E10" s="20" t="s">
        <v>18</v>
      </c>
      <c r="F10" s="20" t="s">
        <v>19</v>
      </c>
      <c r="H10" s="20" t="s">
        <v>3427</v>
      </c>
      <c r="I10" s="20">
        <v>6495</v>
      </c>
      <c r="J10" s="20">
        <v>6495</v>
      </c>
      <c r="K10" s="20" t="s">
        <v>11</v>
      </c>
      <c r="L10" s="20">
        <v>6495</v>
      </c>
      <c r="M10" s="20">
        <v>0</v>
      </c>
      <c r="N10" s="20">
        <v>6495</v>
      </c>
      <c r="O10" s="20" t="s">
        <v>3428</v>
      </c>
      <c r="P10" s="20" t="s">
        <v>87</v>
      </c>
      <c r="Q10" s="20" t="s">
        <v>87</v>
      </c>
      <c r="R10" s="111" t="s">
        <v>2627</v>
      </c>
      <c r="S10" s="111">
        <v>46061</v>
      </c>
      <c r="T10" s="20" t="s">
        <v>206</v>
      </c>
      <c r="U10" s="20" t="s">
        <v>207</v>
      </c>
      <c r="V10" s="20" t="s">
        <v>2626</v>
      </c>
      <c r="W10" s="20">
        <v>144.49</v>
      </c>
      <c r="X10" s="20">
        <v>144.49</v>
      </c>
      <c r="Y10" s="111" t="s">
        <v>2627</v>
      </c>
      <c r="Z10" s="111">
        <v>46061</v>
      </c>
      <c r="AB10" s="20" t="s">
        <v>2290</v>
      </c>
      <c r="AD10" s="20" t="s">
        <v>2290</v>
      </c>
      <c r="AE10" s="20" t="s">
        <v>2290</v>
      </c>
      <c r="AF10" s="20">
        <v>0</v>
      </c>
      <c r="AG10" s="20">
        <v>0</v>
      </c>
      <c r="AH10" s="20">
        <v>0</v>
      </c>
      <c r="AI10" s="20">
        <v>0</v>
      </c>
      <c r="AJ10" s="20">
        <v>0</v>
      </c>
      <c r="AK10" s="111" t="s">
        <v>576</v>
      </c>
      <c r="AL10" s="20">
        <v>0</v>
      </c>
      <c r="AM10" s="20">
        <v>0</v>
      </c>
      <c r="AN10" s="20">
        <v>0</v>
      </c>
      <c r="AO10" s="20">
        <v>0</v>
      </c>
      <c r="AP10" s="20">
        <v>0</v>
      </c>
      <c r="AR10" s="20">
        <v>0</v>
      </c>
      <c r="AS10" s="20">
        <v>0</v>
      </c>
      <c r="AT10" s="20">
        <v>1393120.42</v>
      </c>
      <c r="AU10" s="20" t="s">
        <v>13</v>
      </c>
      <c r="AV10" s="20" t="s">
        <v>62</v>
      </c>
      <c r="AW10" s="111" t="s">
        <v>63</v>
      </c>
      <c r="AX10" s="20" t="s">
        <v>208</v>
      </c>
      <c r="AY10" s="19" t="s">
        <v>209</v>
      </c>
      <c r="AZ10" s="19">
        <v>0</v>
      </c>
      <c r="BA10" s="19">
        <v>938462.55</v>
      </c>
      <c r="BB10" s="19">
        <v>1023</v>
      </c>
      <c r="BC10" s="66">
        <v>46061</v>
      </c>
      <c r="BD10" s="19" t="s">
        <v>65</v>
      </c>
      <c r="BE10" s="19" t="s">
        <v>210</v>
      </c>
      <c r="BF10" s="19" t="s">
        <v>210</v>
      </c>
      <c r="BG10" s="19">
        <v>9</v>
      </c>
      <c r="BH10" s="19">
        <v>84461.63</v>
      </c>
      <c r="BI10" s="19">
        <v>9</v>
      </c>
      <c r="BJ10" s="19">
        <v>84461.63</v>
      </c>
      <c r="BK10" s="19">
        <v>0</v>
      </c>
      <c r="BL10" s="19">
        <v>0</v>
      </c>
      <c r="BM10" s="19">
        <v>0</v>
      </c>
      <c r="BN10" s="19">
        <v>682155731075</v>
      </c>
      <c r="BO10" s="66">
        <v>46236</v>
      </c>
      <c r="BP10" s="19">
        <v>0</v>
      </c>
    </row>
    <row r="11" spans="1:68">
      <c r="A11" s="65"/>
      <c r="B11" s="20" t="s">
        <v>2165</v>
      </c>
      <c r="C11" s="111">
        <v>46061</v>
      </c>
      <c r="D11" s="20" t="s">
        <v>3429</v>
      </c>
      <c r="E11" s="20" t="s">
        <v>18</v>
      </c>
      <c r="F11" s="20" t="s">
        <v>19</v>
      </c>
      <c r="H11" s="20" t="s">
        <v>3430</v>
      </c>
      <c r="I11" s="20">
        <v>1162</v>
      </c>
      <c r="J11" s="20">
        <v>1162</v>
      </c>
      <c r="K11" s="20" t="s">
        <v>11</v>
      </c>
      <c r="L11" s="20">
        <v>1162</v>
      </c>
      <c r="M11" s="20">
        <v>0</v>
      </c>
      <c r="N11" s="20">
        <v>1162</v>
      </c>
      <c r="O11" s="20" t="s">
        <v>3428</v>
      </c>
      <c r="P11" s="20" t="s">
        <v>87</v>
      </c>
      <c r="Q11" s="20" t="s">
        <v>87</v>
      </c>
      <c r="R11" s="111" t="s">
        <v>2629</v>
      </c>
      <c r="S11" s="111">
        <v>46061</v>
      </c>
      <c r="T11" s="20" t="s">
        <v>206</v>
      </c>
      <c r="U11" s="20" t="s">
        <v>207</v>
      </c>
      <c r="V11" s="20" t="s">
        <v>2628</v>
      </c>
      <c r="W11" s="20">
        <v>139.08000000000001</v>
      </c>
      <c r="X11" s="20">
        <v>139.08000000000001</v>
      </c>
      <c r="Y11" s="111" t="s">
        <v>2629</v>
      </c>
      <c r="Z11" s="111">
        <v>46061</v>
      </c>
      <c r="AB11" s="20" t="s">
        <v>2290</v>
      </c>
      <c r="AD11" s="20" t="s">
        <v>2290</v>
      </c>
      <c r="AE11" s="20" t="s">
        <v>2290</v>
      </c>
      <c r="AF11" s="20">
        <v>0</v>
      </c>
      <c r="AG11" s="20">
        <v>0</v>
      </c>
      <c r="AH11" s="20">
        <v>0</v>
      </c>
      <c r="AI11" s="20">
        <v>0</v>
      </c>
      <c r="AJ11" s="20">
        <v>0</v>
      </c>
      <c r="AK11" s="111" t="s">
        <v>576</v>
      </c>
      <c r="AL11" s="20">
        <v>0</v>
      </c>
      <c r="AM11" s="20">
        <v>0</v>
      </c>
      <c r="AN11" s="20">
        <v>0</v>
      </c>
      <c r="AO11" s="20">
        <v>0</v>
      </c>
      <c r="AP11" s="20">
        <v>0</v>
      </c>
      <c r="AR11" s="20">
        <v>0</v>
      </c>
      <c r="AS11" s="20">
        <v>0</v>
      </c>
      <c r="AT11" s="20">
        <v>769586.52</v>
      </c>
      <c r="AU11" s="20" t="s">
        <v>13</v>
      </c>
      <c r="AV11" s="20" t="s">
        <v>62</v>
      </c>
      <c r="AW11" s="111" t="s">
        <v>63</v>
      </c>
      <c r="AX11" s="20" t="s">
        <v>208</v>
      </c>
      <c r="AY11" s="19" t="s">
        <v>209</v>
      </c>
      <c r="AZ11" s="19">
        <v>0</v>
      </c>
      <c r="BA11" s="19">
        <v>161610.96</v>
      </c>
      <c r="BB11" s="19">
        <v>1027</v>
      </c>
      <c r="BC11" s="66">
        <v>46061</v>
      </c>
      <c r="BD11" s="19" t="s">
        <v>65</v>
      </c>
      <c r="BE11" s="19" t="s">
        <v>210</v>
      </c>
      <c r="BF11" s="19" t="s">
        <v>210</v>
      </c>
      <c r="BG11" s="19">
        <v>9</v>
      </c>
      <c r="BH11" s="19">
        <v>14544.99</v>
      </c>
      <c r="BI11" s="19">
        <v>9</v>
      </c>
      <c r="BJ11" s="19">
        <v>14544.99</v>
      </c>
      <c r="BK11" s="19">
        <v>0</v>
      </c>
      <c r="BL11" s="19">
        <v>0</v>
      </c>
      <c r="BM11" s="19">
        <v>769586.52</v>
      </c>
      <c r="BN11" s="19">
        <v>672155787963</v>
      </c>
      <c r="BO11" s="66">
        <v>46236</v>
      </c>
      <c r="BP11" s="19">
        <v>0</v>
      </c>
    </row>
    <row r="12" spans="1:68">
      <c r="A12" s="65"/>
      <c r="B12" s="20" t="s">
        <v>2165</v>
      </c>
      <c r="C12" s="111">
        <v>46061</v>
      </c>
      <c r="D12" s="20" t="s">
        <v>3429</v>
      </c>
      <c r="E12" s="20" t="s">
        <v>2510</v>
      </c>
      <c r="F12" s="20" t="s">
        <v>17</v>
      </c>
      <c r="H12" s="20" t="s">
        <v>3430</v>
      </c>
      <c r="I12" s="20">
        <v>632</v>
      </c>
      <c r="J12" s="20">
        <v>632</v>
      </c>
      <c r="K12" s="20" t="s">
        <v>11</v>
      </c>
      <c r="L12" s="20">
        <v>632</v>
      </c>
      <c r="M12" s="20">
        <v>0</v>
      </c>
      <c r="N12" s="20">
        <v>632</v>
      </c>
      <c r="O12" s="20" t="s">
        <v>3428</v>
      </c>
      <c r="P12" s="20" t="s">
        <v>87</v>
      </c>
      <c r="Q12" s="20" t="s">
        <v>87</v>
      </c>
      <c r="R12" s="111" t="s">
        <v>2629</v>
      </c>
      <c r="S12" s="111">
        <v>46061</v>
      </c>
      <c r="T12" s="20" t="s">
        <v>206</v>
      </c>
      <c r="U12" s="20" t="s">
        <v>207</v>
      </c>
      <c r="V12" s="20" t="s">
        <v>2628</v>
      </c>
      <c r="W12" s="20">
        <v>179.86</v>
      </c>
      <c r="X12" s="20">
        <v>179.86</v>
      </c>
      <c r="Y12" s="111" t="s">
        <v>2629</v>
      </c>
      <c r="Z12" s="111">
        <v>46061</v>
      </c>
      <c r="AB12" s="20" t="s">
        <v>2290</v>
      </c>
      <c r="AD12" s="20" t="s">
        <v>2290</v>
      </c>
      <c r="AE12" s="20" t="s">
        <v>2290</v>
      </c>
      <c r="AF12" s="20">
        <v>0</v>
      </c>
      <c r="AG12" s="20">
        <v>0</v>
      </c>
      <c r="AH12" s="20">
        <v>0</v>
      </c>
      <c r="AI12" s="20">
        <v>0</v>
      </c>
      <c r="AJ12" s="20">
        <v>0</v>
      </c>
      <c r="AK12" s="111" t="s">
        <v>576</v>
      </c>
      <c r="AL12" s="20">
        <v>0</v>
      </c>
      <c r="AM12" s="20">
        <v>0</v>
      </c>
      <c r="AN12" s="20">
        <v>0</v>
      </c>
      <c r="AO12" s="20">
        <v>0</v>
      </c>
      <c r="AP12" s="20">
        <v>0</v>
      </c>
      <c r="AR12" s="20">
        <v>0</v>
      </c>
      <c r="AS12" s="20">
        <v>0</v>
      </c>
      <c r="AT12" s="20">
        <v>769586.52</v>
      </c>
      <c r="AU12" s="20" t="s">
        <v>13</v>
      </c>
      <c r="AV12" s="20" t="s">
        <v>80</v>
      </c>
      <c r="AW12" s="111" t="s">
        <v>81</v>
      </c>
      <c r="AX12" s="20" t="s">
        <v>208</v>
      </c>
      <c r="AY12" s="19" t="s">
        <v>209</v>
      </c>
      <c r="AZ12" s="19">
        <v>0</v>
      </c>
      <c r="BA12" s="19">
        <v>113671.52</v>
      </c>
      <c r="BB12" s="19">
        <v>1027</v>
      </c>
      <c r="BC12" s="66">
        <v>46061</v>
      </c>
      <c r="BD12" s="19" t="s">
        <v>65</v>
      </c>
      <c r="BE12" s="19" t="s">
        <v>210</v>
      </c>
      <c r="BF12" s="19" t="s">
        <v>210</v>
      </c>
      <c r="BG12" s="19">
        <v>9</v>
      </c>
      <c r="BH12" s="19">
        <v>10230.44</v>
      </c>
      <c r="BI12" s="19">
        <v>9</v>
      </c>
      <c r="BJ12" s="19">
        <v>10230.44</v>
      </c>
      <c r="BK12" s="19">
        <v>0</v>
      </c>
      <c r="BL12" s="19">
        <v>0</v>
      </c>
      <c r="BM12" s="19">
        <v>0</v>
      </c>
      <c r="BN12" s="19">
        <v>672155787963</v>
      </c>
      <c r="BO12" s="66">
        <v>46236</v>
      </c>
      <c r="BP12" s="19">
        <v>0</v>
      </c>
    </row>
    <row r="13" spans="1:68">
      <c r="A13" s="65"/>
      <c r="B13" s="20" t="s">
        <v>2165</v>
      </c>
      <c r="C13" s="111">
        <v>46061</v>
      </c>
      <c r="D13" s="20" t="s">
        <v>3429</v>
      </c>
      <c r="E13" s="20" t="s">
        <v>160</v>
      </c>
      <c r="F13" s="20" t="s">
        <v>17</v>
      </c>
      <c r="H13" s="20" t="s">
        <v>3430</v>
      </c>
      <c r="I13" s="20">
        <v>351</v>
      </c>
      <c r="J13" s="20">
        <v>351</v>
      </c>
      <c r="K13" s="20" t="s">
        <v>11</v>
      </c>
      <c r="L13" s="20">
        <v>351</v>
      </c>
      <c r="M13" s="20">
        <v>0</v>
      </c>
      <c r="N13" s="20">
        <v>351</v>
      </c>
      <c r="O13" s="20" t="s">
        <v>3428</v>
      </c>
      <c r="P13" s="20" t="s">
        <v>87</v>
      </c>
      <c r="Q13" s="20" t="s">
        <v>87</v>
      </c>
      <c r="R13" s="111" t="s">
        <v>2629</v>
      </c>
      <c r="S13" s="111">
        <v>46061</v>
      </c>
      <c r="T13" s="20" t="s">
        <v>206</v>
      </c>
      <c r="U13" s="20" t="s">
        <v>207</v>
      </c>
      <c r="V13" s="20" t="s">
        <v>2628</v>
      </c>
      <c r="W13" s="20">
        <v>176.86</v>
      </c>
      <c r="X13" s="20">
        <v>176.86</v>
      </c>
      <c r="Y13" s="111" t="s">
        <v>2629</v>
      </c>
      <c r="Z13" s="111">
        <v>46061</v>
      </c>
      <c r="AB13" s="20" t="s">
        <v>2290</v>
      </c>
      <c r="AD13" s="20" t="s">
        <v>2290</v>
      </c>
      <c r="AE13" s="20" t="s">
        <v>2290</v>
      </c>
      <c r="AF13" s="20">
        <v>0</v>
      </c>
      <c r="AG13" s="20">
        <v>0</v>
      </c>
      <c r="AH13" s="20">
        <v>0</v>
      </c>
      <c r="AI13" s="20">
        <v>0</v>
      </c>
      <c r="AJ13" s="20">
        <v>0</v>
      </c>
      <c r="AK13" s="111" t="s">
        <v>576</v>
      </c>
      <c r="AL13" s="20">
        <v>0</v>
      </c>
      <c r="AM13" s="20">
        <v>0</v>
      </c>
      <c r="AN13" s="20">
        <v>0</v>
      </c>
      <c r="AO13" s="20">
        <v>0</v>
      </c>
      <c r="AP13" s="20">
        <v>0</v>
      </c>
      <c r="AR13" s="20">
        <v>0</v>
      </c>
      <c r="AS13" s="20">
        <v>0</v>
      </c>
      <c r="AT13" s="20">
        <v>769586.52</v>
      </c>
      <c r="AU13" s="20" t="s">
        <v>13</v>
      </c>
      <c r="AV13" s="20" t="s">
        <v>80</v>
      </c>
      <c r="AW13" s="111" t="s">
        <v>81</v>
      </c>
      <c r="AX13" s="20" t="s">
        <v>208</v>
      </c>
      <c r="AY13" s="19" t="s">
        <v>209</v>
      </c>
      <c r="AZ13" s="19">
        <v>0</v>
      </c>
      <c r="BA13" s="19">
        <v>62077.86</v>
      </c>
      <c r="BB13" s="19">
        <v>1027</v>
      </c>
      <c r="BC13" s="66">
        <v>46061</v>
      </c>
      <c r="BD13" s="19" t="s">
        <v>65</v>
      </c>
      <c r="BE13" s="19" t="s">
        <v>210</v>
      </c>
      <c r="BF13" s="19" t="s">
        <v>210</v>
      </c>
      <c r="BG13" s="19">
        <v>9</v>
      </c>
      <c r="BH13" s="19">
        <v>5587.01</v>
      </c>
      <c r="BI13" s="19">
        <v>9</v>
      </c>
      <c r="BJ13" s="19">
        <v>5587.01</v>
      </c>
      <c r="BK13" s="19">
        <v>0</v>
      </c>
      <c r="BL13" s="19">
        <v>0</v>
      </c>
      <c r="BM13" s="19">
        <v>0</v>
      </c>
      <c r="BN13" s="19">
        <v>672155787963</v>
      </c>
      <c r="BO13" s="66">
        <v>46236</v>
      </c>
      <c r="BP13" s="19">
        <v>0</v>
      </c>
    </row>
    <row r="14" spans="1:68">
      <c r="A14" s="65"/>
      <c r="B14" s="20" t="s">
        <v>2165</v>
      </c>
      <c r="C14" s="111">
        <v>46061</v>
      </c>
      <c r="D14" s="20" t="s">
        <v>3429</v>
      </c>
      <c r="E14" s="20" t="s">
        <v>23</v>
      </c>
      <c r="F14" s="20" t="s">
        <v>24</v>
      </c>
      <c r="H14" s="20" t="s">
        <v>3430</v>
      </c>
      <c r="I14" s="20">
        <v>1485.2</v>
      </c>
      <c r="J14" s="20">
        <v>1485.2</v>
      </c>
      <c r="K14" s="20" t="s">
        <v>11</v>
      </c>
      <c r="L14" s="20">
        <v>1485.2</v>
      </c>
      <c r="M14" s="20">
        <v>0</v>
      </c>
      <c r="N14" s="20">
        <v>1485.2</v>
      </c>
      <c r="O14" s="20" t="s">
        <v>3428</v>
      </c>
      <c r="P14" s="20" t="s">
        <v>87</v>
      </c>
      <c r="Q14" s="20" t="s">
        <v>87</v>
      </c>
      <c r="R14" s="111" t="s">
        <v>2629</v>
      </c>
      <c r="S14" s="111">
        <v>46061</v>
      </c>
      <c r="T14" s="20" t="s">
        <v>206</v>
      </c>
      <c r="U14" s="20" t="s">
        <v>207</v>
      </c>
      <c r="V14" s="20" t="s">
        <v>2628</v>
      </c>
      <c r="W14" s="20">
        <v>144.08000000000001</v>
      </c>
      <c r="X14" s="20">
        <v>144.08000000000001</v>
      </c>
      <c r="Y14" s="111" t="s">
        <v>2629</v>
      </c>
      <c r="Z14" s="111">
        <v>46061</v>
      </c>
      <c r="AB14" s="20" t="s">
        <v>2290</v>
      </c>
      <c r="AD14" s="20" t="s">
        <v>2290</v>
      </c>
      <c r="AE14" s="20" t="s">
        <v>2290</v>
      </c>
      <c r="AF14" s="20">
        <v>0</v>
      </c>
      <c r="AG14" s="20">
        <v>0</v>
      </c>
      <c r="AH14" s="20">
        <v>0</v>
      </c>
      <c r="AI14" s="20">
        <v>0</v>
      </c>
      <c r="AJ14" s="20">
        <v>0</v>
      </c>
      <c r="AK14" s="111" t="s">
        <v>576</v>
      </c>
      <c r="AL14" s="20">
        <v>0</v>
      </c>
      <c r="AM14" s="20">
        <v>0</v>
      </c>
      <c r="AN14" s="20">
        <v>0</v>
      </c>
      <c r="AO14" s="20">
        <v>0</v>
      </c>
      <c r="AP14" s="20">
        <v>0</v>
      </c>
      <c r="AR14" s="20">
        <v>0</v>
      </c>
      <c r="AS14" s="20">
        <v>0</v>
      </c>
      <c r="AT14" s="20">
        <v>769586.52</v>
      </c>
      <c r="AU14" s="20" t="s">
        <v>13</v>
      </c>
      <c r="AV14" s="20" t="s">
        <v>24</v>
      </c>
      <c r="AW14" s="111" t="s">
        <v>79</v>
      </c>
      <c r="AX14" s="20" t="s">
        <v>208</v>
      </c>
      <c r="AY14" s="19" t="s">
        <v>209</v>
      </c>
      <c r="AZ14" s="19">
        <v>0</v>
      </c>
      <c r="BA14" s="19">
        <v>213987.62</v>
      </c>
      <c r="BB14" s="19">
        <v>1027</v>
      </c>
      <c r="BC14" s="66">
        <v>46061</v>
      </c>
      <c r="BD14" s="19" t="s">
        <v>65</v>
      </c>
      <c r="BE14" s="19" t="s">
        <v>210</v>
      </c>
      <c r="BF14" s="19" t="s">
        <v>210</v>
      </c>
      <c r="BG14" s="19">
        <v>9</v>
      </c>
      <c r="BH14" s="19">
        <v>19258.89</v>
      </c>
      <c r="BI14" s="19">
        <v>9</v>
      </c>
      <c r="BJ14" s="19">
        <v>19258.89</v>
      </c>
      <c r="BK14" s="19">
        <v>0</v>
      </c>
      <c r="BL14" s="19">
        <v>0</v>
      </c>
      <c r="BM14" s="19">
        <v>0</v>
      </c>
      <c r="BN14" s="19">
        <v>672155787963</v>
      </c>
      <c r="BO14" s="66">
        <v>46236</v>
      </c>
      <c r="BP14" s="19">
        <v>0</v>
      </c>
    </row>
    <row r="15" spans="1:68">
      <c r="A15" s="65"/>
      <c r="B15" s="20" t="s">
        <v>2165</v>
      </c>
      <c r="C15" s="111">
        <v>46061</v>
      </c>
      <c r="D15" s="20" t="s">
        <v>3429</v>
      </c>
      <c r="E15" s="20" t="s">
        <v>23</v>
      </c>
      <c r="F15" s="20" t="s">
        <v>24</v>
      </c>
      <c r="H15" s="20" t="s">
        <v>3430</v>
      </c>
      <c r="I15" s="20">
        <v>714.8</v>
      </c>
      <c r="J15" s="20">
        <v>714.8</v>
      </c>
      <c r="K15" s="20" t="s">
        <v>11</v>
      </c>
      <c r="L15" s="20">
        <v>714.8</v>
      </c>
      <c r="M15" s="20">
        <v>0</v>
      </c>
      <c r="N15" s="20">
        <v>714.8</v>
      </c>
      <c r="O15" s="20" t="s">
        <v>3428</v>
      </c>
      <c r="P15" s="20" t="s">
        <v>87</v>
      </c>
      <c r="Q15" s="20" t="s">
        <v>87</v>
      </c>
      <c r="R15" s="111" t="s">
        <v>2629</v>
      </c>
      <c r="S15" s="111">
        <v>46061</v>
      </c>
      <c r="T15" s="20" t="s">
        <v>206</v>
      </c>
      <c r="U15" s="20" t="s">
        <v>207</v>
      </c>
      <c r="V15" s="20" t="s">
        <v>2628</v>
      </c>
      <c r="W15" s="20">
        <v>141.08000000000001</v>
      </c>
      <c r="X15" s="20">
        <v>141.08000000000001</v>
      </c>
      <c r="Y15" s="111" t="s">
        <v>2629</v>
      </c>
      <c r="Z15" s="111">
        <v>46061</v>
      </c>
      <c r="AB15" s="20" t="s">
        <v>2290</v>
      </c>
      <c r="AD15" s="20" t="s">
        <v>2290</v>
      </c>
      <c r="AE15" s="20" t="s">
        <v>2290</v>
      </c>
      <c r="AF15" s="20">
        <v>0</v>
      </c>
      <c r="AG15" s="20">
        <v>0</v>
      </c>
      <c r="AH15" s="20">
        <v>0</v>
      </c>
      <c r="AI15" s="20">
        <v>0</v>
      </c>
      <c r="AJ15" s="20">
        <v>0</v>
      </c>
      <c r="AK15" s="111" t="s">
        <v>576</v>
      </c>
      <c r="AL15" s="20">
        <v>0</v>
      </c>
      <c r="AM15" s="20">
        <v>0</v>
      </c>
      <c r="AN15" s="20">
        <v>0</v>
      </c>
      <c r="AO15" s="20">
        <v>0</v>
      </c>
      <c r="AP15" s="20">
        <v>0</v>
      </c>
      <c r="AR15" s="20">
        <v>0</v>
      </c>
      <c r="AS15" s="20">
        <v>0</v>
      </c>
      <c r="AT15" s="20">
        <v>769586.52</v>
      </c>
      <c r="AU15" s="20" t="s">
        <v>13</v>
      </c>
      <c r="AV15" s="20" t="s">
        <v>24</v>
      </c>
      <c r="AW15" s="111" t="s">
        <v>79</v>
      </c>
      <c r="AX15" s="20" t="s">
        <v>208</v>
      </c>
      <c r="AY15" s="19" t="s">
        <v>209</v>
      </c>
      <c r="AZ15" s="19">
        <v>0</v>
      </c>
      <c r="BA15" s="19">
        <v>100843.98</v>
      </c>
      <c r="BB15" s="19">
        <v>1027</v>
      </c>
      <c r="BC15" s="66">
        <v>46061</v>
      </c>
      <c r="BD15" s="19" t="s">
        <v>65</v>
      </c>
      <c r="BE15" s="19" t="s">
        <v>210</v>
      </c>
      <c r="BF15" s="19" t="s">
        <v>210</v>
      </c>
      <c r="BG15" s="19">
        <v>9</v>
      </c>
      <c r="BH15" s="19">
        <v>9075.9599999999991</v>
      </c>
      <c r="BI15" s="19">
        <v>9</v>
      </c>
      <c r="BJ15" s="19">
        <v>9075.9599999999991</v>
      </c>
      <c r="BK15" s="19">
        <v>0</v>
      </c>
      <c r="BL15" s="19">
        <v>0</v>
      </c>
      <c r="BM15" s="19">
        <v>0</v>
      </c>
      <c r="BN15" s="19">
        <v>672155787963</v>
      </c>
      <c r="BO15" s="66">
        <v>46236</v>
      </c>
      <c r="BP15" s="19">
        <v>0</v>
      </c>
    </row>
    <row r="16" spans="1:68">
      <c r="A16" s="65"/>
      <c r="B16" s="20" t="s">
        <v>2165</v>
      </c>
      <c r="C16" s="111">
        <v>46089</v>
      </c>
      <c r="D16" s="20" t="s">
        <v>3431</v>
      </c>
      <c r="E16" s="20" t="s">
        <v>211</v>
      </c>
      <c r="F16" s="20" t="s">
        <v>16</v>
      </c>
      <c r="H16" s="20" t="s">
        <v>3432</v>
      </c>
      <c r="I16" s="20">
        <v>7506.8</v>
      </c>
      <c r="J16" s="20">
        <v>7506.8</v>
      </c>
      <c r="K16" s="20" t="s">
        <v>11</v>
      </c>
      <c r="L16" s="20">
        <v>7506.8</v>
      </c>
      <c r="M16" s="20">
        <v>0</v>
      </c>
      <c r="N16" s="20">
        <v>7506.8</v>
      </c>
      <c r="O16" s="20" t="s">
        <v>2316</v>
      </c>
      <c r="P16" s="20" t="s">
        <v>87</v>
      </c>
      <c r="Q16" s="20" t="s">
        <v>87</v>
      </c>
      <c r="R16" s="111" t="s">
        <v>2641</v>
      </c>
      <c r="S16" s="111">
        <v>46089</v>
      </c>
      <c r="T16" s="20" t="s">
        <v>206</v>
      </c>
      <c r="U16" s="20" t="s">
        <v>207</v>
      </c>
      <c r="V16" s="20" t="s">
        <v>2640</v>
      </c>
      <c r="W16" s="20">
        <v>276.67</v>
      </c>
      <c r="X16" s="20">
        <v>276.67000067698899</v>
      </c>
      <c r="Y16" s="111" t="s">
        <v>2641</v>
      </c>
      <c r="Z16" s="111">
        <v>46089</v>
      </c>
      <c r="AB16" s="20" t="s">
        <v>2290</v>
      </c>
      <c r="AD16" s="20" t="s">
        <v>2290</v>
      </c>
      <c r="AE16" s="20" t="s">
        <v>2290</v>
      </c>
      <c r="AF16" s="20">
        <v>0</v>
      </c>
      <c r="AG16" s="20">
        <v>0</v>
      </c>
      <c r="AH16" s="20">
        <v>0</v>
      </c>
      <c r="AI16" s="20">
        <v>0</v>
      </c>
      <c r="AJ16" s="20">
        <v>0</v>
      </c>
      <c r="AK16" s="111" t="s">
        <v>576</v>
      </c>
      <c r="AL16" s="20">
        <v>0</v>
      </c>
      <c r="AM16" s="20">
        <v>0</v>
      </c>
      <c r="AN16" s="20">
        <v>0</v>
      </c>
      <c r="AO16" s="20">
        <v>0</v>
      </c>
      <c r="AP16" s="20">
        <v>0</v>
      </c>
      <c r="AR16" s="20">
        <v>0</v>
      </c>
      <c r="AS16" s="20">
        <v>0</v>
      </c>
      <c r="AT16" s="20">
        <v>3269418.81</v>
      </c>
      <c r="AU16" s="20" t="s">
        <v>15</v>
      </c>
      <c r="AV16" s="20" t="s">
        <v>57</v>
      </c>
      <c r="AW16" s="111" t="s">
        <v>57</v>
      </c>
      <c r="AX16" s="20" t="s">
        <v>15</v>
      </c>
      <c r="AY16" s="19" t="s">
        <v>209</v>
      </c>
      <c r="AZ16" s="19">
        <v>0</v>
      </c>
      <c r="BA16" s="19">
        <v>2076906.36</v>
      </c>
      <c r="BB16" s="19">
        <v>1029</v>
      </c>
      <c r="BC16" s="66">
        <v>46089</v>
      </c>
      <c r="BD16" s="19" t="s">
        <v>65</v>
      </c>
      <c r="BE16" s="19" t="s">
        <v>210</v>
      </c>
      <c r="BF16" s="19" t="s">
        <v>210</v>
      </c>
      <c r="BG16" s="19">
        <v>9</v>
      </c>
      <c r="BH16" s="19">
        <v>186921.57</v>
      </c>
      <c r="BI16" s="19">
        <v>9</v>
      </c>
      <c r="BJ16" s="19">
        <v>186921.57</v>
      </c>
      <c r="BK16" s="19">
        <v>0</v>
      </c>
      <c r="BL16" s="19">
        <v>0</v>
      </c>
      <c r="BM16" s="19">
        <v>3269418.81</v>
      </c>
      <c r="BN16" s="19">
        <v>642156046918</v>
      </c>
      <c r="BO16" s="66">
        <v>46237</v>
      </c>
      <c r="BP16" s="19">
        <v>0</v>
      </c>
    </row>
    <row r="17" spans="1:68">
      <c r="A17" s="65"/>
      <c r="B17" s="20" t="s">
        <v>2165</v>
      </c>
      <c r="C17" s="111">
        <v>46089</v>
      </c>
      <c r="D17" s="20" t="s">
        <v>3431</v>
      </c>
      <c r="E17" s="20" t="s">
        <v>211</v>
      </c>
      <c r="F17" s="20" t="s">
        <v>16</v>
      </c>
      <c r="H17" s="20" t="s">
        <v>3432</v>
      </c>
      <c r="I17" s="20">
        <v>2732.2</v>
      </c>
      <c r="J17" s="20">
        <v>2732.2</v>
      </c>
      <c r="K17" s="20" t="s">
        <v>11</v>
      </c>
      <c r="L17" s="20">
        <v>2732.2</v>
      </c>
      <c r="M17" s="20">
        <v>0</v>
      </c>
      <c r="N17" s="20">
        <v>2732.2</v>
      </c>
      <c r="O17" s="20" t="s">
        <v>2316</v>
      </c>
      <c r="P17" s="20" t="s">
        <v>87</v>
      </c>
      <c r="Q17" s="20" t="s">
        <v>87</v>
      </c>
      <c r="R17" s="111" t="s">
        <v>2641</v>
      </c>
      <c r="S17" s="111">
        <v>46089</v>
      </c>
      <c r="T17" s="20" t="s">
        <v>206</v>
      </c>
      <c r="U17" s="20" t="s">
        <v>207</v>
      </c>
      <c r="V17" s="20" t="s">
        <v>2640</v>
      </c>
      <c r="W17" s="20">
        <v>253.93</v>
      </c>
      <c r="X17" s="20">
        <v>253.93000062134601</v>
      </c>
      <c r="Y17" s="111" t="s">
        <v>2641</v>
      </c>
      <c r="Z17" s="111">
        <v>46089</v>
      </c>
      <c r="AB17" s="20" t="s">
        <v>2290</v>
      </c>
      <c r="AD17" s="20" t="s">
        <v>2290</v>
      </c>
      <c r="AE17" s="20" t="s">
        <v>2290</v>
      </c>
      <c r="AF17" s="20">
        <v>0</v>
      </c>
      <c r="AG17" s="20">
        <v>0</v>
      </c>
      <c r="AH17" s="20">
        <v>0</v>
      </c>
      <c r="AI17" s="20">
        <v>0</v>
      </c>
      <c r="AJ17" s="20">
        <v>0</v>
      </c>
      <c r="AK17" s="111" t="s">
        <v>576</v>
      </c>
      <c r="AL17" s="20">
        <v>0</v>
      </c>
      <c r="AM17" s="20">
        <v>0</v>
      </c>
      <c r="AN17" s="20">
        <v>0</v>
      </c>
      <c r="AO17" s="20">
        <v>0</v>
      </c>
      <c r="AP17" s="20">
        <v>0</v>
      </c>
      <c r="AR17" s="20">
        <v>0</v>
      </c>
      <c r="AS17" s="20">
        <v>0</v>
      </c>
      <c r="AT17" s="20">
        <v>3269418.81</v>
      </c>
      <c r="AU17" s="20" t="s">
        <v>15</v>
      </c>
      <c r="AV17" s="20" t="s">
        <v>57</v>
      </c>
      <c r="AW17" s="111" t="s">
        <v>57</v>
      </c>
      <c r="AX17" s="20" t="s">
        <v>15</v>
      </c>
      <c r="AY17" s="19" t="s">
        <v>209</v>
      </c>
      <c r="AZ17" s="19">
        <v>0</v>
      </c>
      <c r="BA17" s="19">
        <v>693787.55</v>
      </c>
      <c r="BB17" s="19">
        <v>1029</v>
      </c>
      <c r="BC17" s="66">
        <v>46089</v>
      </c>
      <c r="BD17" s="19" t="s">
        <v>65</v>
      </c>
      <c r="BE17" s="19" t="s">
        <v>210</v>
      </c>
      <c r="BF17" s="19" t="s">
        <v>210</v>
      </c>
      <c r="BG17" s="19">
        <v>9</v>
      </c>
      <c r="BH17" s="19">
        <v>62440.88</v>
      </c>
      <c r="BI17" s="19">
        <v>9</v>
      </c>
      <c r="BJ17" s="19">
        <v>62440.88</v>
      </c>
      <c r="BK17" s="19">
        <v>0</v>
      </c>
      <c r="BL17" s="19">
        <v>0</v>
      </c>
      <c r="BM17" s="19">
        <v>0</v>
      </c>
      <c r="BN17" s="19">
        <v>642156046918</v>
      </c>
      <c r="BO17" s="66">
        <v>46237</v>
      </c>
      <c r="BP17" s="19">
        <v>0</v>
      </c>
    </row>
    <row r="18" spans="1:68">
      <c r="A18" s="65"/>
      <c r="B18" s="20" t="s">
        <v>2165</v>
      </c>
      <c r="C18" s="111">
        <v>46089</v>
      </c>
      <c r="D18" s="20" t="s">
        <v>3433</v>
      </c>
      <c r="E18" s="20" t="s">
        <v>18</v>
      </c>
      <c r="F18" s="20" t="s">
        <v>19</v>
      </c>
      <c r="H18" s="20" t="s">
        <v>3434</v>
      </c>
      <c r="I18" s="20">
        <v>1094</v>
      </c>
      <c r="J18" s="20">
        <v>1094</v>
      </c>
      <c r="K18" s="20" t="s">
        <v>11</v>
      </c>
      <c r="L18" s="20">
        <v>1094</v>
      </c>
      <c r="M18" s="20">
        <v>0</v>
      </c>
      <c r="N18" s="20">
        <v>1094</v>
      </c>
      <c r="O18" s="20" t="s">
        <v>2156</v>
      </c>
      <c r="P18" s="20" t="s">
        <v>87</v>
      </c>
      <c r="Q18" s="20" t="s">
        <v>87</v>
      </c>
      <c r="R18" s="111" t="s">
        <v>2643</v>
      </c>
      <c r="S18" s="111">
        <v>46089</v>
      </c>
      <c r="T18" s="20" t="s">
        <v>206</v>
      </c>
      <c r="U18" s="20" t="s">
        <v>207</v>
      </c>
      <c r="V18" s="20" t="s">
        <v>2642</v>
      </c>
      <c r="W18" s="20">
        <v>141.08000000000001</v>
      </c>
      <c r="X18" s="20">
        <v>141.08000000000001</v>
      </c>
      <c r="Y18" s="111" t="s">
        <v>2643</v>
      </c>
      <c r="Z18" s="111">
        <v>46089</v>
      </c>
      <c r="AB18" s="20" t="s">
        <v>2290</v>
      </c>
      <c r="AD18" s="20" t="s">
        <v>2290</v>
      </c>
      <c r="AE18" s="20" t="s">
        <v>2290</v>
      </c>
      <c r="AF18" s="20">
        <v>0</v>
      </c>
      <c r="AG18" s="20">
        <v>0</v>
      </c>
      <c r="AH18" s="20">
        <v>0</v>
      </c>
      <c r="AI18" s="20">
        <v>0</v>
      </c>
      <c r="AJ18" s="20">
        <v>0</v>
      </c>
      <c r="AK18" s="111" t="s">
        <v>576</v>
      </c>
      <c r="AL18" s="20">
        <v>0</v>
      </c>
      <c r="AM18" s="20">
        <v>0</v>
      </c>
      <c r="AN18" s="20">
        <v>0</v>
      </c>
      <c r="AO18" s="20">
        <v>0</v>
      </c>
      <c r="AP18" s="20">
        <v>0</v>
      </c>
      <c r="AR18" s="20">
        <v>0</v>
      </c>
      <c r="AS18" s="20">
        <v>0</v>
      </c>
      <c r="AT18" s="20">
        <v>1280212.46</v>
      </c>
      <c r="AU18" s="20" t="s">
        <v>13</v>
      </c>
      <c r="AV18" s="20" t="s">
        <v>62</v>
      </c>
      <c r="AW18" s="111" t="s">
        <v>63</v>
      </c>
      <c r="AX18" s="20" t="s">
        <v>208</v>
      </c>
      <c r="AY18" s="19" t="s">
        <v>209</v>
      </c>
      <c r="AZ18" s="19">
        <v>0</v>
      </c>
      <c r="BA18" s="19">
        <v>154341.51999999999</v>
      </c>
      <c r="BB18" s="19">
        <v>1028</v>
      </c>
      <c r="BC18" s="66">
        <v>46089</v>
      </c>
      <c r="BD18" s="19" t="s">
        <v>65</v>
      </c>
      <c r="BE18" s="19" t="s">
        <v>210</v>
      </c>
      <c r="BF18" s="19" t="s">
        <v>210</v>
      </c>
      <c r="BG18" s="19">
        <v>9</v>
      </c>
      <c r="BH18" s="19">
        <v>13890.74</v>
      </c>
      <c r="BI18" s="19">
        <v>9</v>
      </c>
      <c r="BJ18" s="19">
        <v>13890.74</v>
      </c>
      <c r="BK18" s="19">
        <v>0</v>
      </c>
      <c r="BL18" s="19">
        <v>0</v>
      </c>
      <c r="BM18" s="19">
        <v>1280212.46</v>
      </c>
      <c r="BN18" s="19">
        <v>662155986215</v>
      </c>
      <c r="BO18" s="66">
        <v>46237</v>
      </c>
      <c r="BP18" s="19">
        <v>0</v>
      </c>
    </row>
    <row r="19" spans="1:68">
      <c r="A19" s="65"/>
      <c r="B19" s="20" t="s">
        <v>2165</v>
      </c>
      <c r="C19" s="111">
        <v>46089</v>
      </c>
      <c r="D19" s="20" t="s">
        <v>3433</v>
      </c>
      <c r="E19" s="20" t="s">
        <v>18</v>
      </c>
      <c r="F19" s="20" t="s">
        <v>19</v>
      </c>
      <c r="H19" s="20" t="s">
        <v>3434</v>
      </c>
      <c r="I19" s="20">
        <v>6691</v>
      </c>
      <c r="J19" s="20">
        <v>6691</v>
      </c>
      <c r="K19" s="20" t="s">
        <v>11</v>
      </c>
      <c r="L19" s="20">
        <v>6691</v>
      </c>
      <c r="M19" s="20">
        <v>0</v>
      </c>
      <c r="N19" s="20">
        <v>6691</v>
      </c>
      <c r="O19" s="20" t="s">
        <v>2156</v>
      </c>
      <c r="P19" s="20" t="s">
        <v>87</v>
      </c>
      <c r="Q19" s="20" t="s">
        <v>87</v>
      </c>
      <c r="R19" s="111" t="s">
        <v>2643</v>
      </c>
      <c r="S19" s="111">
        <v>46089</v>
      </c>
      <c r="T19" s="20" t="s">
        <v>206</v>
      </c>
      <c r="U19" s="20" t="s">
        <v>207</v>
      </c>
      <c r="V19" s="20" t="s">
        <v>2642</v>
      </c>
      <c r="W19" s="20">
        <v>139.08000000000001</v>
      </c>
      <c r="X19" s="20">
        <v>139.08000000000001</v>
      </c>
      <c r="Y19" s="111" t="s">
        <v>2643</v>
      </c>
      <c r="Z19" s="111">
        <v>46089</v>
      </c>
      <c r="AB19" s="20" t="s">
        <v>2290</v>
      </c>
      <c r="AD19" s="20" t="s">
        <v>2290</v>
      </c>
      <c r="AE19" s="20" t="s">
        <v>2290</v>
      </c>
      <c r="AF19" s="20">
        <v>0</v>
      </c>
      <c r="AG19" s="20">
        <v>0</v>
      </c>
      <c r="AH19" s="20">
        <v>0</v>
      </c>
      <c r="AI19" s="20">
        <v>0</v>
      </c>
      <c r="AJ19" s="20">
        <v>0</v>
      </c>
      <c r="AK19" s="111" t="s">
        <v>576</v>
      </c>
      <c r="AL19" s="20">
        <v>0</v>
      </c>
      <c r="AM19" s="20">
        <v>0</v>
      </c>
      <c r="AN19" s="20">
        <v>0</v>
      </c>
      <c r="AO19" s="20">
        <v>0</v>
      </c>
      <c r="AP19" s="20">
        <v>0</v>
      </c>
      <c r="AR19" s="20">
        <v>0</v>
      </c>
      <c r="AS19" s="20">
        <v>0</v>
      </c>
      <c r="AT19" s="20">
        <v>1280212.46</v>
      </c>
      <c r="AU19" s="20" t="s">
        <v>13</v>
      </c>
      <c r="AV19" s="20" t="s">
        <v>62</v>
      </c>
      <c r="AW19" s="111" t="s">
        <v>63</v>
      </c>
      <c r="AX19" s="20" t="s">
        <v>208</v>
      </c>
      <c r="AY19" s="19" t="s">
        <v>209</v>
      </c>
      <c r="AZ19" s="19">
        <v>0</v>
      </c>
      <c r="BA19" s="19">
        <v>930584.28</v>
      </c>
      <c r="BB19" s="19">
        <v>1028</v>
      </c>
      <c r="BC19" s="66">
        <v>46089</v>
      </c>
      <c r="BD19" s="19" t="s">
        <v>65</v>
      </c>
      <c r="BE19" s="19" t="s">
        <v>210</v>
      </c>
      <c r="BF19" s="19" t="s">
        <v>210</v>
      </c>
      <c r="BG19" s="19">
        <v>9</v>
      </c>
      <c r="BH19" s="19">
        <v>83752.59</v>
      </c>
      <c r="BI19" s="19">
        <v>9</v>
      </c>
      <c r="BJ19" s="19">
        <v>83752.59</v>
      </c>
      <c r="BK19" s="19">
        <v>0</v>
      </c>
      <c r="BL19" s="19">
        <v>0</v>
      </c>
      <c r="BM19" s="19">
        <v>0</v>
      </c>
      <c r="BN19" s="19">
        <v>662155986215</v>
      </c>
      <c r="BO19" s="66">
        <v>46237</v>
      </c>
      <c r="BP19" s="19">
        <v>0</v>
      </c>
    </row>
    <row r="20" spans="1:68">
      <c r="A20" s="65"/>
      <c r="B20" s="20" t="s">
        <v>2165</v>
      </c>
      <c r="C20" s="111">
        <v>46089</v>
      </c>
      <c r="D20" s="20" t="s">
        <v>3435</v>
      </c>
      <c r="E20" s="20" t="s">
        <v>18</v>
      </c>
      <c r="F20" s="20" t="s">
        <v>19</v>
      </c>
      <c r="H20" s="20" t="s">
        <v>3436</v>
      </c>
      <c r="I20" s="20">
        <v>2107</v>
      </c>
      <c r="J20" s="20">
        <v>2107</v>
      </c>
      <c r="K20" s="20" t="s">
        <v>11</v>
      </c>
      <c r="L20" s="20">
        <v>2107</v>
      </c>
      <c r="M20" s="20">
        <v>0</v>
      </c>
      <c r="N20" s="20">
        <v>2107</v>
      </c>
      <c r="O20" s="20" t="s">
        <v>2156</v>
      </c>
      <c r="P20" s="20" t="s">
        <v>87</v>
      </c>
      <c r="Q20" s="20" t="s">
        <v>87</v>
      </c>
      <c r="R20" s="111" t="s">
        <v>2645</v>
      </c>
      <c r="S20" s="111">
        <v>46089</v>
      </c>
      <c r="T20" s="20" t="s">
        <v>206</v>
      </c>
      <c r="U20" s="20" t="s">
        <v>207</v>
      </c>
      <c r="V20" s="20" t="s">
        <v>2644</v>
      </c>
      <c r="W20" s="20">
        <v>139.08000000000001</v>
      </c>
      <c r="X20" s="20">
        <v>139.08000000000001</v>
      </c>
      <c r="Y20" s="111" t="s">
        <v>2645</v>
      </c>
      <c r="Z20" s="111">
        <v>46089</v>
      </c>
      <c r="AB20" s="20" t="s">
        <v>2290</v>
      </c>
      <c r="AD20" s="20" t="s">
        <v>2290</v>
      </c>
      <c r="AE20" s="20" t="s">
        <v>2290</v>
      </c>
      <c r="AF20" s="20">
        <v>0</v>
      </c>
      <c r="AG20" s="20">
        <v>0</v>
      </c>
      <c r="AH20" s="20">
        <v>0</v>
      </c>
      <c r="AI20" s="20">
        <v>0</v>
      </c>
      <c r="AJ20" s="20">
        <v>0</v>
      </c>
      <c r="AK20" s="111" t="s">
        <v>576</v>
      </c>
      <c r="AL20" s="20">
        <v>0</v>
      </c>
      <c r="AM20" s="20">
        <v>0</v>
      </c>
      <c r="AN20" s="20">
        <v>0</v>
      </c>
      <c r="AO20" s="20">
        <v>0</v>
      </c>
      <c r="AP20" s="20">
        <v>0</v>
      </c>
      <c r="AR20" s="20">
        <v>0</v>
      </c>
      <c r="AS20" s="20">
        <v>0</v>
      </c>
      <c r="AT20" s="20">
        <v>1654294.57</v>
      </c>
      <c r="AU20" s="20" t="s">
        <v>13</v>
      </c>
      <c r="AV20" s="20" t="s">
        <v>62</v>
      </c>
      <c r="AW20" s="111" t="s">
        <v>63</v>
      </c>
      <c r="AX20" s="20" t="s">
        <v>208</v>
      </c>
      <c r="AY20" s="19" t="s">
        <v>209</v>
      </c>
      <c r="AZ20" s="19">
        <v>0</v>
      </c>
      <c r="BA20" s="19">
        <v>293041.56</v>
      </c>
      <c r="BB20" s="19">
        <v>1038</v>
      </c>
      <c r="BC20" s="66">
        <v>46089</v>
      </c>
      <c r="BD20" s="19" t="s">
        <v>65</v>
      </c>
      <c r="BE20" s="19" t="s">
        <v>210</v>
      </c>
      <c r="BF20" s="19" t="s">
        <v>210</v>
      </c>
      <c r="BG20" s="19">
        <v>9</v>
      </c>
      <c r="BH20" s="19">
        <v>26373.74</v>
      </c>
      <c r="BI20" s="19">
        <v>9</v>
      </c>
      <c r="BJ20" s="19">
        <v>26373.74</v>
      </c>
      <c r="BK20" s="19">
        <v>0</v>
      </c>
      <c r="BL20" s="19">
        <v>0</v>
      </c>
      <c r="BM20" s="19">
        <v>1654294.57</v>
      </c>
      <c r="BN20" s="19">
        <v>632156234396</v>
      </c>
      <c r="BO20" s="66">
        <v>46237</v>
      </c>
      <c r="BP20" s="19">
        <v>0</v>
      </c>
    </row>
    <row r="21" spans="1:68">
      <c r="A21" s="65"/>
      <c r="B21" s="20" t="s">
        <v>2165</v>
      </c>
      <c r="C21" s="111">
        <v>46089</v>
      </c>
      <c r="D21" s="20" t="s">
        <v>3435</v>
      </c>
      <c r="E21" s="20" t="s">
        <v>18</v>
      </c>
      <c r="F21" s="20" t="s">
        <v>19</v>
      </c>
      <c r="H21" s="20" t="s">
        <v>3436</v>
      </c>
      <c r="I21" s="20">
        <v>241</v>
      </c>
      <c r="J21" s="20">
        <v>241</v>
      </c>
      <c r="K21" s="20" t="s">
        <v>11</v>
      </c>
      <c r="L21" s="20">
        <v>241</v>
      </c>
      <c r="M21" s="20">
        <v>0</v>
      </c>
      <c r="N21" s="20">
        <v>241</v>
      </c>
      <c r="O21" s="20" t="s">
        <v>2156</v>
      </c>
      <c r="P21" s="20" t="s">
        <v>87</v>
      </c>
      <c r="Q21" s="20" t="s">
        <v>87</v>
      </c>
      <c r="R21" s="111" t="s">
        <v>2645</v>
      </c>
      <c r="S21" s="111">
        <v>46089</v>
      </c>
      <c r="T21" s="20" t="s">
        <v>206</v>
      </c>
      <c r="U21" s="20" t="s">
        <v>207</v>
      </c>
      <c r="V21" s="20" t="s">
        <v>2644</v>
      </c>
      <c r="W21" s="20">
        <v>141.08000000000001</v>
      </c>
      <c r="X21" s="20">
        <v>141.08000000000001</v>
      </c>
      <c r="Y21" s="111" t="s">
        <v>2645</v>
      </c>
      <c r="Z21" s="111">
        <v>46089</v>
      </c>
      <c r="AB21" s="20" t="s">
        <v>2290</v>
      </c>
      <c r="AD21" s="20" t="s">
        <v>2290</v>
      </c>
      <c r="AE21" s="20" t="s">
        <v>2290</v>
      </c>
      <c r="AF21" s="20">
        <v>0</v>
      </c>
      <c r="AG21" s="20">
        <v>0</v>
      </c>
      <c r="AH21" s="20">
        <v>0</v>
      </c>
      <c r="AI21" s="20">
        <v>0</v>
      </c>
      <c r="AJ21" s="20">
        <v>0</v>
      </c>
      <c r="AK21" s="111" t="s">
        <v>576</v>
      </c>
      <c r="AL21" s="20">
        <v>0</v>
      </c>
      <c r="AM21" s="20">
        <v>0</v>
      </c>
      <c r="AN21" s="20">
        <v>0</v>
      </c>
      <c r="AO21" s="20">
        <v>0</v>
      </c>
      <c r="AP21" s="20">
        <v>0</v>
      </c>
      <c r="AR21" s="20">
        <v>0</v>
      </c>
      <c r="AS21" s="20">
        <v>0</v>
      </c>
      <c r="AT21" s="20">
        <v>1654294.57</v>
      </c>
      <c r="AU21" s="20" t="s">
        <v>13</v>
      </c>
      <c r="AV21" s="20" t="s">
        <v>62</v>
      </c>
      <c r="AW21" s="111" t="s">
        <v>63</v>
      </c>
      <c r="AX21" s="20" t="s">
        <v>208</v>
      </c>
      <c r="AY21" s="19" t="s">
        <v>209</v>
      </c>
      <c r="AZ21" s="19">
        <v>0</v>
      </c>
      <c r="BA21" s="19">
        <v>34000.28</v>
      </c>
      <c r="BB21" s="19">
        <v>1038</v>
      </c>
      <c r="BC21" s="66">
        <v>46089</v>
      </c>
      <c r="BD21" s="19" t="s">
        <v>65</v>
      </c>
      <c r="BE21" s="19" t="s">
        <v>210</v>
      </c>
      <c r="BF21" s="19" t="s">
        <v>210</v>
      </c>
      <c r="BG21" s="19">
        <v>9</v>
      </c>
      <c r="BH21" s="19">
        <v>3060.03</v>
      </c>
      <c r="BI21" s="19">
        <v>9</v>
      </c>
      <c r="BJ21" s="19">
        <v>3060.03</v>
      </c>
      <c r="BK21" s="19">
        <v>0</v>
      </c>
      <c r="BL21" s="19">
        <v>0</v>
      </c>
      <c r="BM21" s="19">
        <v>0</v>
      </c>
      <c r="BN21" s="19">
        <v>632156234396</v>
      </c>
      <c r="BO21" s="66">
        <v>46237</v>
      </c>
      <c r="BP21" s="19">
        <v>0</v>
      </c>
    </row>
    <row r="22" spans="1:68">
      <c r="A22" s="65"/>
      <c r="B22" s="20" t="s">
        <v>2165</v>
      </c>
      <c r="C22" s="111">
        <v>46089</v>
      </c>
      <c r="D22" s="20" t="s">
        <v>3435</v>
      </c>
      <c r="E22" s="20" t="s">
        <v>160</v>
      </c>
      <c r="F22" s="20" t="s">
        <v>17</v>
      </c>
      <c r="H22" s="20" t="s">
        <v>3436</v>
      </c>
      <c r="I22" s="20">
        <v>2886.5</v>
      </c>
      <c r="J22" s="20">
        <v>2886.5</v>
      </c>
      <c r="K22" s="20" t="s">
        <v>11</v>
      </c>
      <c r="L22" s="20">
        <v>2886.5</v>
      </c>
      <c r="M22" s="20">
        <v>0</v>
      </c>
      <c r="N22" s="20">
        <v>2886.5</v>
      </c>
      <c r="O22" s="20" t="s">
        <v>2156</v>
      </c>
      <c r="P22" s="20" t="s">
        <v>87</v>
      </c>
      <c r="Q22" s="20" t="s">
        <v>87</v>
      </c>
      <c r="R22" s="111" t="s">
        <v>2645</v>
      </c>
      <c r="S22" s="111">
        <v>46089</v>
      </c>
      <c r="T22" s="20" t="s">
        <v>206</v>
      </c>
      <c r="U22" s="20" t="s">
        <v>207</v>
      </c>
      <c r="V22" s="20" t="s">
        <v>2644</v>
      </c>
      <c r="W22" s="20">
        <v>176.86</v>
      </c>
      <c r="X22" s="20">
        <v>176.86</v>
      </c>
      <c r="Y22" s="111" t="s">
        <v>2645</v>
      </c>
      <c r="Z22" s="111">
        <v>46089</v>
      </c>
      <c r="AB22" s="20" t="s">
        <v>2290</v>
      </c>
      <c r="AD22" s="20" t="s">
        <v>2290</v>
      </c>
      <c r="AE22" s="20" t="s">
        <v>2290</v>
      </c>
      <c r="AF22" s="20">
        <v>0</v>
      </c>
      <c r="AG22" s="20">
        <v>0</v>
      </c>
      <c r="AH22" s="20">
        <v>0</v>
      </c>
      <c r="AI22" s="20">
        <v>0</v>
      </c>
      <c r="AJ22" s="20">
        <v>0</v>
      </c>
      <c r="AK22" s="111" t="s">
        <v>576</v>
      </c>
      <c r="AL22" s="20">
        <v>0</v>
      </c>
      <c r="AM22" s="20">
        <v>0</v>
      </c>
      <c r="AN22" s="20">
        <v>0</v>
      </c>
      <c r="AO22" s="20">
        <v>0</v>
      </c>
      <c r="AP22" s="20">
        <v>0</v>
      </c>
      <c r="AR22" s="20">
        <v>0</v>
      </c>
      <c r="AS22" s="20">
        <v>0</v>
      </c>
      <c r="AT22" s="20">
        <v>1654294.57</v>
      </c>
      <c r="AU22" s="20" t="s">
        <v>13</v>
      </c>
      <c r="AV22" s="20" t="s">
        <v>80</v>
      </c>
      <c r="AW22" s="111" t="s">
        <v>81</v>
      </c>
      <c r="AX22" s="20" t="s">
        <v>208</v>
      </c>
      <c r="AY22" s="19" t="s">
        <v>209</v>
      </c>
      <c r="AZ22" s="19">
        <v>0</v>
      </c>
      <c r="BA22" s="19">
        <v>510506.39</v>
      </c>
      <c r="BB22" s="19">
        <v>1038</v>
      </c>
      <c r="BC22" s="66">
        <v>46089</v>
      </c>
      <c r="BD22" s="19" t="s">
        <v>65</v>
      </c>
      <c r="BE22" s="19" t="s">
        <v>210</v>
      </c>
      <c r="BF22" s="19" t="s">
        <v>210</v>
      </c>
      <c r="BG22" s="19">
        <v>9</v>
      </c>
      <c r="BH22" s="19">
        <v>45945.58</v>
      </c>
      <c r="BI22" s="19">
        <v>9</v>
      </c>
      <c r="BJ22" s="19">
        <v>45945.58</v>
      </c>
      <c r="BK22" s="19">
        <v>0</v>
      </c>
      <c r="BL22" s="19">
        <v>0</v>
      </c>
      <c r="BM22" s="19">
        <v>0</v>
      </c>
      <c r="BN22" s="19">
        <v>632156234396</v>
      </c>
      <c r="BO22" s="66">
        <v>46237</v>
      </c>
      <c r="BP22" s="19">
        <v>0</v>
      </c>
    </row>
    <row r="23" spans="1:68">
      <c r="A23" s="65"/>
      <c r="B23" s="20" t="s">
        <v>2165</v>
      </c>
      <c r="C23" s="111">
        <v>46089</v>
      </c>
      <c r="D23" s="20" t="s">
        <v>3435</v>
      </c>
      <c r="E23" s="20" t="s">
        <v>23</v>
      </c>
      <c r="F23" s="20" t="s">
        <v>24</v>
      </c>
      <c r="H23" s="20" t="s">
        <v>3436</v>
      </c>
      <c r="I23" s="20">
        <v>1097.7</v>
      </c>
      <c r="J23" s="20">
        <v>1097.7</v>
      </c>
      <c r="K23" s="20" t="s">
        <v>11</v>
      </c>
      <c r="L23" s="20">
        <v>1097.7</v>
      </c>
      <c r="M23" s="20">
        <v>0</v>
      </c>
      <c r="N23" s="20">
        <v>1097.7</v>
      </c>
      <c r="O23" s="20" t="s">
        <v>2156</v>
      </c>
      <c r="P23" s="20" t="s">
        <v>87</v>
      </c>
      <c r="Q23" s="20" t="s">
        <v>87</v>
      </c>
      <c r="R23" s="111" t="s">
        <v>2645</v>
      </c>
      <c r="S23" s="111">
        <v>46089</v>
      </c>
      <c r="T23" s="20" t="s">
        <v>206</v>
      </c>
      <c r="U23" s="20" t="s">
        <v>207</v>
      </c>
      <c r="V23" s="20" t="s">
        <v>2644</v>
      </c>
      <c r="W23" s="20">
        <v>144.08000000000001</v>
      </c>
      <c r="X23" s="20">
        <v>144.08000000000001</v>
      </c>
      <c r="Y23" s="111" t="s">
        <v>2645</v>
      </c>
      <c r="Z23" s="111">
        <v>46089</v>
      </c>
      <c r="AB23" s="20" t="s">
        <v>2290</v>
      </c>
      <c r="AD23" s="20" t="s">
        <v>2290</v>
      </c>
      <c r="AE23" s="20" t="s">
        <v>2290</v>
      </c>
      <c r="AF23" s="20">
        <v>0</v>
      </c>
      <c r="AG23" s="20">
        <v>0</v>
      </c>
      <c r="AH23" s="20">
        <v>0</v>
      </c>
      <c r="AI23" s="20">
        <v>0</v>
      </c>
      <c r="AJ23" s="20">
        <v>0</v>
      </c>
      <c r="AK23" s="111" t="s">
        <v>576</v>
      </c>
      <c r="AL23" s="20">
        <v>0</v>
      </c>
      <c r="AM23" s="20">
        <v>0</v>
      </c>
      <c r="AN23" s="20">
        <v>0</v>
      </c>
      <c r="AO23" s="20">
        <v>0</v>
      </c>
      <c r="AP23" s="20">
        <v>0</v>
      </c>
      <c r="AR23" s="20">
        <v>0</v>
      </c>
      <c r="AS23" s="20">
        <v>0</v>
      </c>
      <c r="AT23" s="20">
        <v>1654294.57</v>
      </c>
      <c r="AU23" s="20" t="s">
        <v>13</v>
      </c>
      <c r="AV23" s="20" t="s">
        <v>24</v>
      </c>
      <c r="AW23" s="111" t="s">
        <v>79</v>
      </c>
      <c r="AX23" s="20" t="s">
        <v>208</v>
      </c>
      <c r="AY23" s="19" t="s">
        <v>209</v>
      </c>
      <c r="AZ23" s="19">
        <v>0</v>
      </c>
      <c r="BA23" s="19">
        <v>158156.62</v>
      </c>
      <c r="BB23" s="19">
        <v>1038</v>
      </c>
      <c r="BC23" s="66">
        <v>46089</v>
      </c>
      <c r="BD23" s="19" t="s">
        <v>65</v>
      </c>
      <c r="BE23" s="19" t="s">
        <v>210</v>
      </c>
      <c r="BF23" s="19" t="s">
        <v>210</v>
      </c>
      <c r="BG23" s="19">
        <v>9</v>
      </c>
      <c r="BH23" s="19">
        <v>14234.1</v>
      </c>
      <c r="BI23" s="19">
        <v>9</v>
      </c>
      <c r="BJ23" s="19">
        <v>14234.1</v>
      </c>
      <c r="BK23" s="19">
        <v>0</v>
      </c>
      <c r="BL23" s="19">
        <v>0</v>
      </c>
      <c r="BM23" s="19">
        <v>0</v>
      </c>
      <c r="BN23" s="19">
        <v>632156234396</v>
      </c>
      <c r="BO23" s="66">
        <v>46237</v>
      </c>
      <c r="BP23" s="19">
        <v>0</v>
      </c>
    </row>
    <row r="24" spans="1:68">
      <c r="A24" s="65"/>
      <c r="B24" s="20" t="s">
        <v>2165</v>
      </c>
      <c r="C24" s="111">
        <v>46089</v>
      </c>
      <c r="D24" s="20" t="s">
        <v>3435</v>
      </c>
      <c r="E24" s="20" t="s">
        <v>23</v>
      </c>
      <c r="F24" s="20" t="s">
        <v>24</v>
      </c>
      <c r="H24" s="20" t="s">
        <v>3436</v>
      </c>
      <c r="I24" s="20">
        <v>367.3</v>
      </c>
      <c r="J24" s="20">
        <v>367.3</v>
      </c>
      <c r="K24" s="20" t="s">
        <v>11</v>
      </c>
      <c r="L24" s="20">
        <v>367.3</v>
      </c>
      <c r="M24" s="20">
        <v>0</v>
      </c>
      <c r="N24" s="20">
        <v>367.3</v>
      </c>
      <c r="O24" s="20" t="s">
        <v>2156</v>
      </c>
      <c r="P24" s="20" t="s">
        <v>87</v>
      </c>
      <c r="Q24" s="20" t="s">
        <v>87</v>
      </c>
      <c r="R24" s="111" t="s">
        <v>2645</v>
      </c>
      <c r="S24" s="111">
        <v>46089</v>
      </c>
      <c r="T24" s="20" t="s">
        <v>206</v>
      </c>
      <c r="U24" s="20" t="s">
        <v>207</v>
      </c>
      <c r="V24" s="20" t="s">
        <v>2644</v>
      </c>
      <c r="W24" s="20">
        <v>141.08000000000001</v>
      </c>
      <c r="X24" s="20">
        <v>141.08000000000001</v>
      </c>
      <c r="Y24" s="111" t="s">
        <v>2645</v>
      </c>
      <c r="Z24" s="111">
        <v>46089</v>
      </c>
      <c r="AB24" s="20" t="s">
        <v>2290</v>
      </c>
      <c r="AD24" s="20" t="s">
        <v>2290</v>
      </c>
      <c r="AE24" s="20" t="s">
        <v>2290</v>
      </c>
      <c r="AF24" s="20">
        <v>0</v>
      </c>
      <c r="AG24" s="20">
        <v>0</v>
      </c>
      <c r="AH24" s="20">
        <v>0</v>
      </c>
      <c r="AI24" s="20">
        <v>0</v>
      </c>
      <c r="AJ24" s="20">
        <v>0</v>
      </c>
      <c r="AK24" s="111" t="s">
        <v>576</v>
      </c>
      <c r="AL24" s="20">
        <v>0</v>
      </c>
      <c r="AM24" s="20">
        <v>0</v>
      </c>
      <c r="AN24" s="20">
        <v>0</v>
      </c>
      <c r="AO24" s="20">
        <v>0</v>
      </c>
      <c r="AP24" s="20">
        <v>0</v>
      </c>
      <c r="AR24" s="20">
        <v>0</v>
      </c>
      <c r="AS24" s="20">
        <v>0</v>
      </c>
      <c r="AT24" s="20">
        <v>1654294.57</v>
      </c>
      <c r="AU24" s="20" t="s">
        <v>13</v>
      </c>
      <c r="AV24" s="20" t="s">
        <v>24</v>
      </c>
      <c r="AW24" s="111" t="s">
        <v>79</v>
      </c>
      <c r="AX24" s="20" t="s">
        <v>208</v>
      </c>
      <c r="AY24" s="19" t="s">
        <v>209</v>
      </c>
      <c r="AZ24" s="19">
        <v>0</v>
      </c>
      <c r="BA24" s="19">
        <v>51818.68</v>
      </c>
      <c r="BB24" s="19">
        <v>1038</v>
      </c>
      <c r="BC24" s="66">
        <v>46089</v>
      </c>
      <c r="BD24" s="19" t="s">
        <v>65</v>
      </c>
      <c r="BE24" s="19" t="s">
        <v>210</v>
      </c>
      <c r="BF24" s="19" t="s">
        <v>210</v>
      </c>
      <c r="BG24" s="19">
        <v>9</v>
      </c>
      <c r="BH24" s="19">
        <v>4663.68</v>
      </c>
      <c r="BI24" s="19">
        <v>9</v>
      </c>
      <c r="BJ24" s="19">
        <v>4663.68</v>
      </c>
      <c r="BK24" s="19">
        <v>0</v>
      </c>
      <c r="BL24" s="19">
        <v>0</v>
      </c>
      <c r="BM24" s="19">
        <v>0</v>
      </c>
      <c r="BN24" s="19">
        <v>632156234396</v>
      </c>
      <c r="BO24" s="66">
        <v>46237</v>
      </c>
      <c r="BP24" s="19">
        <v>0</v>
      </c>
    </row>
    <row r="25" spans="1:68">
      <c r="A25" s="65"/>
      <c r="B25" s="20" t="s">
        <v>2165</v>
      </c>
      <c r="C25" s="111">
        <v>46089</v>
      </c>
      <c r="D25" s="20" t="s">
        <v>3435</v>
      </c>
      <c r="E25" s="20" t="s">
        <v>20</v>
      </c>
      <c r="F25" s="20" t="s">
        <v>21</v>
      </c>
      <c r="H25" s="20" t="s">
        <v>3436</v>
      </c>
      <c r="I25" s="20">
        <v>1675</v>
      </c>
      <c r="J25" s="20">
        <v>1675</v>
      </c>
      <c r="K25" s="20" t="s">
        <v>11</v>
      </c>
      <c r="L25" s="20">
        <v>1675</v>
      </c>
      <c r="M25" s="20">
        <v>0</v>
      </c>
      <c r="N25" s="20">
        <v>1675</v>
      </c>
      <c r="O25" s="20" t="s">
        <v>2156</v>
      </c>
      <c r="P25" s="20" t="s">
        <v>87</v>
      </c>
      <c r="Q25" s="20" t="s">
        <v>87</v>
      </c>
      <c r="R25" s="111" t="s">
        <v>2645</v>
      </c>
      <c r="S25" s="111">
        <v>46089</v>
      </c>
      <c r="T25" s="20" t="s">
        <v>206</v>
      </c>
      <c r="U25" s="20" t="s">
        <v>207</v>
      </c>
      <c r="V25" s="20" t="s">
        <v>2644</v>
      </c>
      <c r="W25" s="20">
        <v>146.08000000000001</v>
      </c>
      <c r="X25" s="20">
        <v>146.08000000000001</v>
      </c>
      <c r="Y25" s="111" t="s">
        <v>2645</v>
      </c>
      <c r="Z25" s="111">
        <v>46089</v>
      </c>
      <c r="AB25" s="20" t="s">
        <v>2290</v>
      </c>
      <c r="AD25" s="20" t="s">
        <v>2290</v>
      </c>
      <c r="AE25" s="20" t="s">
        <v>2290</v>
      </c>
      <c r="AF25" s="20">
        <v>0</v>
      </c>
      <c r="AG25" s="20">
        <v>0</v>
      </c>
      <c r="AH25" s="20">
        <v>0</v>
      </c>
      <c r="AI25" s="20">
        <v>0</v>
      </c>
      <c r="AJ25" s="20">
        <v>0</v>
      </c>
      <c r="AK25" s="111" t="s">
        <v>576</v>
      </c>
      <c r="AL25" s="20">
        <v>0</v>
      </c>
      <c r="AM25" s="20">
        <v>0</v>
      </c>
      <c r="AN25" s="20">
        <v>0</v>
      </c>
      <c r="AO25" s="20">
        <v>0</v>
      </c>
      <c r="AP25" s="20">
        <v>0</v>
      </c>
      <c r="AR25" s="20">
        <v>0</v>
      </c>
      <c r="AS25" s="20">
        <v>0</v>
      </c>
      <c r="AT25" s="20">
        <v>1654294.57</v>
      </c>
      <c r="AU25" s="20" t="s">
        <v>13</v>
      </c>
      <c r="AV25" s="20" t="s">
        <v>62</v>
      </c>
      <c r="AW25" s="111" t="s">
        <v>76</v>
      </c>
      <c r="AX25" s="20" t="s">
        <v>208</v>
      </c>
      <c r="AY25" s="19" t="s">
        <v>209</v>
      </c>
      <c r="AZ25" s="19">
        <v>0</v>
      </c>
      <c r="BA25" s="19">
        <v>244684</v>
      </c>
      <c r="BB25" s="19">
        <v>1038</v>
      </c>
      <c r="BC25" s="66">
        <v>46089</v>
      </c>
      <c r="BD25" s="19" t="s">
        <v>65</v>
      </c>
      <c r="BE25" s="19" t="s">
        <v>210</v>
      </c>
      <c r="BF25" s="19" t="s">
        <v>210</v>
      </c>
      <c r="BG25" s="19">
        <v>9</v>
      </c>
      <c r="BH25" s="19">
        <v>22021.56</v>
      </c>
      <c r="BI25" s="19">
        <v>9</v>
      </c>
      <c r="BJ25" s="19">
        <v>22021.56</v>
      </c>
      <c r="BK25" s="19">
        <v>0</v>
      </c>
      <c r="BL25" s="19">
        <v>0</v>
      </c>
      <c r="BM25" s="19">
        <v>0</v>
      </c>
      <c r="BN25" s="19">
        <v>632156234396</v>
      </c>
      <c r="BO25" s="66">
        <v>46237</v>
      </c>
      <c r="BP25" s="19">
        <v>0</v>
      </c>
    </row>
    <row r="26" spans="1:68">
      <c r="A26" s="65"/>
      <c r="B26" s="20" t="s">
        <v>2165</v>
      </c>
      <c r="C26" s="111">
        <v>46089</v>
      </c>
      <c r="D26" s="20" t="s">
        <v>3435</v>
      </c>
      <c r="E26" s="20" t="s">
        <v>20</v>
      </c>
      <c r="F26" s="20" t="s">
        <v>21</v>
      </c>
      <c r="H26" s="20" t="s">
        <v>3436</v>
      </c>
      <c r="I26" s="20">
        <v>200</v>
      </c>
      <c r="J26" s="20">
        <v>200</v>
      </c>
      <c r="K26" s="20" t="s">
        <v>11</v>
      </c>
      <c r="L26" s="20">
        <v>200</v>
      </c>
      <c r="M26" s="20">
        <v>0</v>
      </c>
      <c r="N26" s="20">
        <v>200</v>
      </c>
      <c r="O26" s="20" t="s">
        <v>2156</v>
      </c>
      <c r="P26" s="20" t="s">
        <v>87</v>
      </c>
      <c r="Q26" s="20" t="s">
        <v>87</v>
      </c>
      <c r="R26" s="111" t="s">
        <v>2645</v>
      </c>
      <c r="S26" s="111">
        <v>46089</v>
      </c>
      <c r="T26" s="20" t="s">
        <v>206</v>
      </c>
      <c r="U26" s="20" t="s">
        <v>207</v>
      </c>
      <c r="V26" s="20" t="s">
        <v>2644</v>
      </c>
      <c r="W26" s="20">
        <v>143.08000000000001</v>
      </c>
      <c r="X26" s="20">
        <v>143.08000000000001</v>
      </c>
      <c r="Y26" s="111" t="s">
        <v>2645</v>
      </c>
      <c r="Z26" s="111">
        <v>46089</v>
      </c>
      <c r="AB26" s="20" t="s">
        <v>2290</v>
      </c>
      <c r="AD26" s="20" t="s">
        <v>2290</v>
      </c>
      <c r="AE26" s="20" t="s">
        <v>2290</v>
      </c>
      <c r="AF26" s="20">
        <v>0</v>
      </c>
      <c r="AG26" s="20">
        <v>0</v>
      </c>
      <c r="AH26" s="20">
        <v>0</v>
      </c>
      <c r="AI26" s="20">
        <v>0</v>
      </c>
      <c r="AJ26" s="20">
        <v>0</v>
      </c>
      <c r="AK26" s="111" t="s">
        <v>576</v>
      </c>
      <c r="AL26" s="20">
        <v>0</v>
      </c>
      <c r="AM26" s="20">
        <v>0</v>
      </c>
      <c r="AN26" s="20">
        <v>0</v>
      </c>
      <c r="AO26" s="20">
        <v>0</v>
      </c>
      <c r="AP26" s="20">
        <v>0</v>
      </c>
      <c r="AR26" s="20">
        <v>0</v>
      </c>
      <c r="AS26" s="20">
        <v>0</v>
      </c>
      <c r="AT26" s="20">
        <v>1654294.57</v>
      </c>
      <c r="AU26" s="20" t="s">
        <v>13</v>
      </c>
      <c r="AV26" s="20" t="s">
        <v>62</v>
      </c>
      <c r="AW26" s="111" t="s">
        <v>76</v>
      </c>
      <c r="AX26" s="20" t="s">
        <v>208</v>
      </c>
      <c r="AY26" s="19" t="s">
        <v>209</v>
      </c>
      <c r="AZ26" s="19">
        <v>0</v>
      </c>
      <c r="BA26" s="19">
        <v>28616</v>
      </c>
      <c r="BB26" s="19">
        <v>1038</v>
      </c>
      <c r="BC26" s="66">
        <v>46089</v>
      </c>
      <c r="BD26" s="19" t="s">
        <v>65</v>
      </c>
      <c r="BE26" s="19" t="s">
        <v>210</v>
      </c>
      <c r="BF26" s="19" t="s">
        <v>210</v>
      </c>
      <c r="BG26" s="19">
        <v>9</v>
      </c>
      <c r="BH26" s="19">
        <v>2575.44</v>
      </c>
      <c r="BI26" s="19">
        <v>9</v>
      </c>
      <c r="BJ26" s="19">
        <v>2575.44</v>
      </c>
      <c r="BK26" s="19">
        <v>0</v>
      </c>
      <c r="BL26" s="19">
        <v>0</v>
      </c>
      <c r="BM26" s="19">
        <v>0</v>
      </c>
      <c r="BN26" s="19">
        <v>632156234396</v>
      </c>
      <c r="BO26" s="66">
        <v>46237</v>
      </c>
      <c r="BP26" s="19">
        <v>0</v>
      </c>
    </row>
    <row r="27" spans="1:68">
      <c r="A27" s="65"/>
      <c r="B27" s="20" t="s">
        <v>2165</v>
      </c>
      <c r="C27" s="111">
        <v>46089</v>
      </c>
      <c r="D27" s="20" t="s">
        <v>3435</v>
      </c>
      <c r="E27" s="20" t="s">
        <v>20</v>
      </c>
      <c r="F27" s="20" t="s">
        <v>21</v>
      </c>
      <c r="H27" s="20" t="s">
        <v>3436</v>
      </c>
      <c r="I27" s="20">
        <v>575</v>
      </c>
      <c r="J27" s="20">
        <v>575</v>
      </c>
      <c r="K27" s="20" t="s">
        <v>11</v>
      </c>
      <c r="L27" s="20">
        <v>575</v>
      </c>
      <c r="M27" s="20">
        <v>0</v>
      </c>
      <c r="N27" s="20">
        <v>575</v>
      </c>
      <c r="O27" s="20" t="s">
        <v>2156</v>
      </c>
      <c r="P27" s="20" t="s">
        <v>87</v>
      </c>
      <c r="Q27" s="20" t="s">
        <v>87</v>
      </c>
      <c r="R27" s="111" t="s">
        <v>2645</v>
      </c>
      <c r="S27" s="111">
        <v>46089</v>
      </c>
      <c r="T27" s="20" t="s">
        <v>206</v>
      </c>
      <c r="U27" s="20" t="s">
        <v>207</v>
      </c>
      <c r="V27" s="20" t="s">
        <v>2644</v>
      </c>
      <c r="W27" s="20">
        <v>141.08000000000001</v>
      </c>
      <c r="X27" s="20">
        <v>141.08000000000001</v>
      </c>
      <c r="Y27" s="111" t="s">
        <v>2645</v>
      </c>
      <c r="Z27" s="111">
        <v>46089</v>
      </c>
      <c r="AB27" s="20" t="s">
        <v>2290</v>
      </c>
      <c r="AD27" s="20" t="s">
        <v>2290</v>
      </c>
      <c r="AE27" s="20" t="s">
        <v>2290</v>
      </c>
      <c r="AF27" s="20">
        <v>0</v>
      </c>
      <c r="AG27" s="20">
        <v>0</v>
      </c>
      <c r="AH27" s="20">
        <v>0</v>
      </c>
      <c r="AI27" s="20">
        <v>0</v>
      </c>
      <c r="AJ27" s="20">
        <v>0</v>
      </c>
      <c r="AK27" s="111" t="s">
        <v>576</v>
      </c>
      <c r="AL27" s="20">
        <v>0</v>
      </c>
      <c r="AM27" s="20">
        <v>0</v>
      </c>
      <c r="AN27" s="20">
        <v>0</v>
      </c>
      <c r="AO27" s="20">
        <v>0</v>
      </c>
      <c r="AP27" s="20">
        <v>0</v>
      </c>
      <c r="AR27" s="20">
        <v>0</v>
      </c>
      <c r="AS27" s="20">
        <v>0</v>
      </c>
      <c r="AT27" s="20">
        <v>1654294.57</v>
      </c>
      <c r="AU27" s="20" t="s">
        <v>13</v>
      </c>
      <c r="AV27" s="20" t="s">
        <v>62</v>
      </c>
      <c r="AW27" s="111" t="s">
        <v>76</v>
      </c>
      <c r="AX27" s="20" t="s">
        <v>208</v>
      </c>
      <c r="AY27" s="19" t="s">
        <v>209</v>
      </c>
      <c r="AZ27" s="19">
        <v>0</v>
      </c>
      <c r="BA27" s="19">
        <v>81121</v>
      </c>
      <c r="BB27" s="19">
        <v>1038</v>
      </c>
      <c r="BC27" s="66">
        <v>46089</v>
      </c>
      <c r="BD27" s="19" t="s">
        <v>65</v>
      </c>
      <c r="BE27" s="19" t="s">
        <v>210</v>
      </c>
      <c r="BF27" s="19" t="s">
        <v>210</v>
      </c>
      <c r="BG27" s="19">
        <v>9</v>
      </c>
      <c r="BH27" s="19">
        <v>7300.89</v>
      </c>
      <c r="BI27" s="19">
        <v>9</v>
      </c>
      <c r="BJ27" s="19">
        <v>7300.89</v>
      </c>
      <c r="BK27" s="19">
        <v>0</v>
      </c>
      <c r="BL27" s="19">
        <v>0</v>
      </c>
      <c r="BM27" s="19">
        <v>0</v>
      </c>
      <c r="BN27" s="19">
        <v>632156234396</v>
      </c>
      <c r="BO27" s="66">
        <v>46237</v>
      </c>
      <c r="BP27" s="19">
        <v>0</v>
      </c>
    </row>
    <row r="28" spans="1:68">
      <c r="A28" s="65"/>
      <c r="B28" s="20" t="s">
        <v>2165</v>
      </c>
      <c r="C28" s="111">
        <v>46089</v>
      </c>
      <c r="D28" s="20" t="s">
        <v>3437</v>
      </c>
      <c r="E28" s="20" t="s">
        <v>20</v>
      </c>
      <c r="F28" s="20" t="s">
        <v>21</v>
      </c>
      <c r="H28" s="20" t="s">
        <v>3438</v>
      </c>
      <c r="I28" s="20">
        <v>475</v>
      </c>
      <c r="J28" s="20">
        <v>475</v>
      </c>
      <c r="K28" s="20" t="s">
        <v>11</v>
      </c>
      <c r="L28" s="20">
        <v>475</v>
      </c>
      <c r="M28" s="20">
        <v>0</v>
      </c>
      <c r="N28" s="20">
        <v>475</v>
      </c>
      <c r="O28" s="20" t="s">
        <v>2154</v>
      </c>
      <c r="P28" s="20" t="s">
        <v>87</v>
      </c>
      <c r="Q28" s="20" t="s">
        <v>87</v>
      </c>
      <c r="R28" s="111" t="s">
        <v>2647</v>
      </c>
      <c r="S28" s="111">
        <v>46061</v>
      </c>
      <c r="T28" s="20" t="s">
        <v>206</v>
      </c>
      <c r="U28" s="20" t="s">
        <v>207</v>
      </c>
      <c r="V28" s="20" t="s">
        <v>2646</v>
      </c>
      <c r="W28" s="20">
        <v>141.08000000000001</v>
      </c>
      <c r="X28" s="20">
        <v>141.08000000000001</v>
      </c>
      <c r="Y28" s="111" t="s">
        <v>2647</v>
      </c>
      <c r="Z28" s="111">
        <v>46061</v>
      </c>
      <c r="AB28" s="20" t="s">
        <v>2290</v>
      </c>
      <c r="AD28" s="20" t="s">
        <v>2290</v>
      </c>
      <c r="AE28" s="20" t="s">
        <v>2290</v>
      </c>
      <c r="AF28" s="20">
        <v>0</v>
      </c>
      <c r="AG28" s="20">
        <v>0</v>
      </c>
      <c r="AH28" s="20">
        <v>0</v>
      </c>
      <c r="AI28" s="20">
        <v>0</v>
      </c>
      <c r="AJ28" s="20">
        <v>0</v>
      </c>
      <c r="AK28" s="111" t="s">
        <v>576</v>
      </c>
      <c r="AL28" s="20">
        <v>0</v>
      </c>
      <c r="AM28" s="20">
        <v>0</v>
      </c>
      <c r="AN28" s="20">
        <v>0</v>
      </c>
      <c r="AO28" s="20">
        <v>0</v>
      </c>
      <c r="AP28" s="20">
        <v>0</v>
      </c>
      <c r="AR28" s="20">
        <v>0</v>
      </c>
      <c r="AS28" s="20">
        <v>0</v>
      </c>
      <c r="AT28" s="20">
        <v>1139280.8</v>
      </c>
      <c r="AU28" s="20" t="s">
        <v>13</v>
      </c>
      <c r="AV28" s="20" t="s">
        <v>62</v>
      </c>
      <c r="AW28" s="111" t="s">
        <v>76</v>
      </c>
      <c r="AX28" s="20" t="s">
        <v>208</v>
      </c>
      <c r="AY28" s="19" t="s">
        <v>209</v>
      </c>
      <c r="AZ28" s="19">
        <v>0</v>
      </c>
      <c r="BA28" s="19">
        <v>67013</v>
      </c>
      <c r="BB28" s="19">
        <v>1024</v>
      </c>
      <c r="BC28" s="66">
        <v>46061</v>
      </c>
      <c r="BD28" s="19" t="s">
        <v>65</v>
      </c>
      <c r="BE28" s="19" t="s">
        <v>210</v>
      </c>
      <c r="BF28" s="19" t="s">
        <v>210</v>
      </c>
      <c r="BG28" s="19">
        <v>9</v>
      </c>
      <c r="BH28" s="19">
        <v>6031.17</v>
      </c>
      <c r="BI28" s="19">
        <v>9</v>
      </c>
      <c r="BJ28" s="19">
        <v>6031.17</v>
      </c>
      <c r="BK28" s="19">
        <v>0</v>
      </c>
      <c r="BL28" s="19">
        <v>0</v>
      </c>
      <c r="BM28" s="19">
        <v>1139280.8</v>
      </c>
      <c r="BN28" s="19">
        <v>622155749153</v>
      </c>
      <c r="BO28" s="66">
        <v>46236</v>
      </c>
      <c r="BP28" s="19">
        <v>0</v>
      </c>
    </row>
    <row r="29" spans="1:68">
      <c r="A29" s="65"/>
      <c r="B29" s="20" t="s">
        <v>2165</v>
      </c>
      <c r="C29" s="111">
        <v>46089</v>
      </c>
      <c r="D29" s="20" t="s">
        <v>3437</v>
      </c>
      <c r="E29" s="20" t="s">
        <v>20</v>
      </c>
      <c r="F29" s="20" t="s">
        <v>21</v>
      </c>
      <c r="H29" s="20" t="s">
        <v>3438</v>
      </c>
      <c r="I29" s="20">
        <v>701</v>
      </c>
      <c r="J29" s="20">
        <v>701</v>
      </c>
      <c r="K29" s="20" t="s">
        <v>11</v>
      </c>
      <c r="L29" s="20">
        <v>701</v>
      </c>
      <c r="M29" s="20">
        <v>0</v>
      </c>
      <c r="N29" s="20">
        <v>701</v>
      </c>
      <c r="O29" s="20" t="s">
        <v>2154</v>
      </c>
      <c r="P29" s="20" t="s">
        <v>87</v>
      </c>
      <c r="Q29" s="20" t="s">
        <v>87</v>
      </c>
      <c r="R29" s="111" t="s">
        <v>2647</v>
      </c>
      <c r="S29" s="111">
        <v>46061</v>
      </c>
      <c r="T29" s="20" t="s">
        <v>206</v>
      </c>
      <c r="U29" s="20" t="s">
        <v>207</v>
      </c>
      <c r="V29" s="20" t="s">
        <v>2646</v>
      </c>
      <c r="W29" s="20">
        <v>143.08000000000001</v>
      </c>
      <c r="X29" s="20">
        <v>143.08000000000001</v>
      </c>
      <c r="Y29" s="111" t="s">
        <v>2647</v>
      </c>
      <c r="Z29" s="111">
        <v>46061</v>
      </c>
      <c r="AB29" s="20" t="s">
        <v>2290</v>
      </c>
      <c r="AD29" s="20" t="s">
        <v>2290</v>
      </c>
      <c r="AE29" s="20" t="s">
        <v>2290</v>
      </c>
      <c r="AF29" s="20">
        <v>0</v>
      </c>
      <c r="AG29" s="20">
        <v>0</v>
      </c>
      <c r="AH29" s="20">
        <v>0</v>
      </c>
      <c r="AI29" s="20">
        <v>0</v>
      </c>
      <c r="AJ29" s="20">
        <v>0</v>
      </c>
      <c r="AK29" s="111" t="s">
        <v>576</v>
      </c>
      <c r="AL29" s="20">
        <v>0</v>
      </c>
      <c r="AM29" s="20">
        <v>0</v>
      </c>
      <c r="AN29" s="20">
        <v>0</v>
      </c>
      <c r="AO29" s="20">
        <v>0</v>
      </c>
      <c r="AP29" s="20">
        <v>0</v>
      </c>
      <c r="AR29" s="20">
        <v>0</v>
      </c>
      <c r="AS29" s="20">
        <v>0</v>
      </c>
      <c r="AT29" s="20">
        <v>1139280.8</v>
      </c>
      <c r="AU29" s="20" t="s">
        <v>13</v>
      </c>
      <c r="AV29" s="20" t="s">
        <v>62</v>
      </c>
      <c r="AW29" s="111" t="s">
        <v>76</v>
      </c>
      <c r="AX29" s="20" t="s">
        <v>208</v>
      </c>
      <c r="AY29" s="19" t="s">
        <v>209</v>
      </c>
      <c r="AZ29" s="19">
        <v>0</v>
      </c>
      <c r="BA29" s="19">
        <v>100299.08</v>
      </c>
      <c r="BB29" s="19">
        <v>1024</v>
      </c>
      <c r="BC29" s="66">
        <v>46061</v>
      </c>
      <c r="BD29" s="19" t="s">
        <v>65</v>
      </c>
      <c r="BE29" s="19" t="s">
        <v>210</v>
      </c>
      <c r="BF29" s="19" t="s">
        <v>210</v>
      </c>
      <c r="BG29" s="19">
        <v>9</v>
      </c>
      <c r="BH29" s="19">
        <v>9026.92</v>
      </c>
      <c r="BI29" s="19">
        <v>9</v>
      </c>
      <c r="BJ29" s="19">
        <v>9026.92</v>
      </c>
      <c r="BK29" s="19">
        <v>0</v>
      </c>
      <c r="BL29" s="19">
        <v>0</v>
      </c>
      <c r="BM29" s="19">
        <v>0</v>
      </c>
      <c r="BN29" s="19">
        <v>622155749153</v>
      </c>
      <c r="BO29" s="66">
        <v>46236</v>
      </c>
      <c r="BP29" s="19">
        <v>0</v>
      </c>
    </row>
    <row r="30" spans="1:68">
      <c r="A30" s="65"/>
      <c r="B30" s="20" t="s">
        <v>2165</v>
      </c>
      <c r="C30" s="111">
        <v>46089</v>
      </c>
      <c r="D30" s="20" t="s">
        <v>3437</v>
      </c>
      <c r="E30" s="20" t="s">
        <v>18</v>
      </c>
      <c r="F30" s="20" t="s">
        <v>19</v>
      </c>
      <c r="H30" s="20" t="s">
        <v>3438</v>
      </c>
      <c r="I30" s="20">
        <v>5739</v>
      </c>
      <c r="J30" s="20">
        <v>5739</v>
      </c>
      <c r="K30" s="20" t="s">
        <v>11</v>
      </c>
      <c r="L30" s="20">
        <v>5739</v>
      </c>
      <c r="M30" s="20">
        <v>0</v>
      </c>
      <c r="N30" s="20">
        <v>5739</v>
      </c>
      <c r="O30" s="20" t="s">
        <v>2154</v>
      </c>
      <c r="P30" s="20" t="s">
        <v>87</v>
      </c>
      <c r="Q30" s="20" t="s">
        <v>87</v>
      </c>
      <c r="R30" s="111" t="s">
        <v>2647</v>
      </c>
      <c r="S30" s="111">
        <v>46061</v>
      </c>
      <c r="T30" s="20" t="s">
        <v>206</v>
      </c>
      <c r="U30" s="20" t="s">
        <v>207</v>
      </c>
      <c r="V30" s="20" t="s">
        <v>2646</v>
      </c>
      <c r="W30" s="20">
        <v>139.08000000000001</v>
      </c>
      <c r="X30" s="20">
        <v>139.08000000000001</v>
      </c>
      <c r="Y30" s="111" t="s">
        <v>2647</v>
      </c>
      <c r="Z30" s="111">
        <v>46061</v>
      </c>
      <c r="AB30" s="20" t="s">
        <v>2290</v>
      </c>
      <c r="AD30" s="20" t="s">
        <v>2290</v>
      </c>
      <c r="AE30" s="20" t="s">
        <v>2290</v>
      </c>
      <c r="AF30" s="20">
        <v>0</v>
      </c>
      <c r="AG30" s="20">
        <v>0</v>
      </c>
      <c r="AH30" s="20">
        <v>0</v>
      </c>
      <c r="AI30" s="20">
        <v>0</v>
      </c>
      <c r="AJ30" s="20">
        <v>0</v>
      </c>
      <c r="AK30" s="111" t="s">
        <v>576</v>
      </c>
      <c r="AL30" s="20">
        <v>0</v>
      </c>
      <c r="AM30" s="20">
        <v>0</v>
      </c>
      <c r="AN30" s="20">
        <v>0</v>
      </c>
      <c r="AO30" s="20">
        <v>0</v>
      </c>
      <c r="AP30" s="20">
        <v>0</v>
      </c>
      <c r="AR30" s="20">
        <v>0</v>
      </c>
      <c r="AS30" s="20">
        <v>0</v>
      </c>
      <c r="AT30" s="20">
        <v>1139280.8</v>
      </c>
      <c r="AU30" s="20" t="s">
        <v>13</v>
      </c>
      <c r="AV30" s="20" t="s">
        <v>62</v>
      </c>
      <c r="AW30" s="111" t="s">
        <v>63</v>
      </c>
      <c r="AX30" s="20" t="s">
        <v>208</v>
      </c>
      <c r="AY30" s="19" t="s">
        <v>209</v>
      </c>
      <c r="AZ30" s="19">
        <v>0</v>
      </c>
      <c r="BA30" s="19">
        <v>798180.12</v>
      </c>
      <c r="BB30" s="19">
        <v>1024</v>
      </c>
      <c r="BC30" s="66">
        <v>46061</v>
      </c>
      <c r="BD30" s="19" t="s">
        <v>65</v>
      </c>
      <c r="BE30" s="19" t="s">
        <v>210</v>
      </c>
      <c r="BF30" s="19" t="s">
        <v>210</v>
      </c>
      <c r="BG30" s="19">
        <v>9</v>
      </c>
      <c r="BH30" s="19">
        <v>71836.210000000006</v>
      </c>
      <c r="BI30" s="19">
        <v>9</v>
      </c>
      <c r="BJ30" s="19">
        <v>71836.210000000006</v>
      </c>
      <c r="BK30" s="19">
        <v>0</v>
      </c>
      <c r="BL30" s="19">
        <v>0</v>
      </c>
      <c r="BM30" s="19">
        <v>0</v>
      </c>
      <c r="BN30" s="19">
        <v>622155749153</v>
      </c>
      <c r="BO30" s="66">
        <v>46236</v>
      </c>
      <c r="BP30" s="19">
        <v>0</v>
      </c>
    </row>
    <row r="31" spans="1:68">
      <c r="A31" s="65"/>
      <c r="B31" s="20" t="s">
        <v>2165</v>
      </c>
      <c r="C31" s="111">
        <v>46120</v>
      </c>
      <c r="D31" s="20" t="s">
        <v>3439</v>
      </c>
      <c r="E31" s="20" t="s">
        <v>3440</v>
      </c>
      <c r="F31" s="20" t="s">
        <v>2659</v>
      </c>
      <c r="H31" s="20" t="s">
        <v>3441</v>
      </c>
      <c r="I31" s="20">
        <v>1600</v>
      </c>
      <c r="J31" s="20">
        <v>1600</v>
      </c>
      <c r="K31" s="20" t="s">
        <v>1</v>
      </c>
      <c r="L31" s="20">
        <v>1600</v>
      </c>
      <c r="M31" s="20">
        <v>0</v>
      </c>
      <c r="N31" s="20">
        <v>1600</v>
      </c>
      <c r="O31" s="20" t="s">
        <v>2310</v>
      </c>
      <c r="P31" s="20" t="s">
        <v>94</v>
      </c>
      <c r="Q31" s="20" t="s">
        <v>94</v>
      </c>
      <c r="R31" s="111" t="s">
        <v>2658</v>
      </c>
      <c r="S31" s="111">
        <v>46120</v>
      </c>
      <c r="T31" s="20" t="s">
        <v>206</v>
      </c>
      <c r="U31" s="20" t="s">
        <v>207</v>
      </c>
      <c r="V31" s="20" t="s">
        <v>2657</v>
      </c>
      <c r="W31" s="20">
        <v>1.0129999999999999</v>
      </c>
      <c r="X31" s="20">
        <v>1.0129950578985001</v>
      </c>
      <c r="Y31" s="111" t="s">
        <v>2658</v>
      </c>
      <c r="Z31" s="111">
        <v>46120</v>
      </c>
      <c r="AB31" s="20" t="s">
        <v>2290</v>
      </c>
      <c r="AD31" s="20" t="s">
        <v>2290</v>
      </c>
      <c r="AE31" s="20" t="s">
        <v>2290</v>
      </c>
      <c r="AF31" s="20">
        <v>0</v>
      </c>
      <c r="AG31" s="20">
        <v>0</v>
      </c>
      <c r="AH31" s="20">
        <v>0</v>
      </c>
      <c r="AI31" s="20">
        <v>0</v>
      </c>
      <c r="AJ31" s="20">
        <v>0</v>
      </c>
      <c r="AK31" s="111" t="s">
        <v>576</v>
      </c>
      <c r="AL31" s="20">
        <v>0</v>
      </c>
      <c r="AM31" s="20">
        <v>0</v>
      </c>
      <c r="AN31" s="20">
        <v>0</v>
      </c>
      <c r="AO31" s="20">
        <v>0</v>
      </c>
      <c r="AP31" s="20">
        <v>0</v>
      </c>
      <c r="AR31" s="20">
        <v>0</v>
      </c>
      <c r="AS31" s="20">
        <v>0</v>
      </c>
      <c r="AT31" s="20">
        <v>192674.18</v>
      </c>
      <c r="AU31" s="20" t="s">
        <v>13</v>
      </c>
      <c r="AV31" s="20" t="s">
        <v>80</v>
      </c>
      <c r="AW31" s="111" t="s">
        <v>81</v>
      </c>
      <c r="AX31" s="20" t="s">
        <v>208</v>
      </c>
      <c r="AY31" s="19" t="s">
        <v>209</v>
      </c>
      <c r="AZ31" s="19">
        <v>0</v>
      </c>
      <c r="BA31" s="19">
        <v>1620.79</v>
      </c>
      <c r="BB31" s="19">
        <v>1046</v>
      </c>
      <c r="BC31" s="66">
        <v>46120</v>
      </c>
      <c r="BD31" s="19" t="s">
        <v>74</v>
      </c>
      <c r="BE31" s="19" t="s">
        <v>210</v>
      </c>
      <c r="BF31" s="19" t="s">
        <v>210</v>
      </c>
      <c r="BG31" s="19">
        <v>9</v>
      </c>
      <c r="BH31" s="19">
        <v>145.87</v>
      </c>
      <c r="BI31" s="19">
        <v>9</v>
      </c>
      <c r="BJ31" s="19">
        <v>145.87</v>
      </c>
      <c r="BK31" s="19">
        <v>0</v>
      </c>
      <c r="BL31" s="19">
        <v>0</v>
      </c>
      <c r="BM31" s="19">
        <v>192674.18</v>
      </c>
      <c r="BN31" s="19">
        <v>662157045709</v>
      </c>
      <c r="BO31" s="66">
        <v>46238</v>
      </c>
      <c r="BP31" s="19">
        <v>0</v>
      </c>
    </row>
    <row r="32" spans="1:68">
      <c r="A32" s="65"/>
      <c r="B32" s="20" t="s">
        <v>2165</v>
      </c>
      <c r="C32" s="111">
        <v>46120</v>
      </c>
      <c r="D32" s="20" t="s">
        <v>3439</v>
      </c>
      <c r="E32" s="20" t="s">
        <v>2341</v>
      </c>
      <c r="F32" s="20" t="s">
        <v>2076</v>
      </c>
      <c r="H32" s="20" t="s">
        <v>3441</v>
      </c>
      <c r="I32" s="20">
        <v>701</v>
      </c>
      <c r="J32" s="20">
        <v>701</v>
      </c>
      <c r="K32" s="20" t="s">
        <v>11</v>
      </c>
      <c r="L32" s="20">
        <v>701</v>
      </c>
      <c r="M32" s="20">
        <v>0</v>
      </c>
      <c r="N32" s="20">
        <v>701</v>
      </c>
      <c r="O32" s="20" t="s">
        <v>2310</v>
      </c>
      <c r="P32" s="20" t="s">
        <v>94</v>
      </c>
      <c r="Q32" s="20" t="s">
        <v>94</v>
      </c>
      <c r="R32" s="111" t="s">
        <v>2658</v>
      </c>
      <c r="S32" s="111">
        <v>46120</v>
      </c>
      <c r="T32" s="20" t="s">
        <v>206</v>
      </c>
      <c r="U32" s="20" t="s">
        <v>207</v>
      </c>
      <c r="V32" s="20" t="s">
        <v>2657</v>
      </c>
      <c r="W32" s="20">
        <v>133.58000000000001</v>
      </c>
      <c r="X32" s="20">
        <v>133.57934830610199</v>
      </c>
      <c r="Y32" s="111" t="s">
        <v>2658</v>
      </c>
      <c r="Z32" s="111">
        <v>46120</v>
      </c>
      <c r="AB32" s="20" t="s">
        <v>2290</v>
      </c>
      <c r="AD32" s="20" t="s">
        <v>2290</v>
      </c>
      <c r="AE32" s="20" t="s">
        <v>2290</v>
      </c>
      <c r="AF32" s="20">
        <v>0</v>
      </c>
      <c r="AG32" s="20">
        <v>0</v>
      </c>
      <c r="AH32" s="20">
        <v>0</v>
      </c>
      <c r="AI32" s="20">
        <v>0</v>
      </c>
      <c r="AJ32" s="20">
        <v>0</v>
      </c>
      <c r="AK32" s="111" t="s">
        <v>576</v>
      </c>
      <c r="AL32" s="20">
        <v>0</v>
      </c>
      <c r="AM32" s="20">
        <v>0</v>
      </c>
      <c r="AN32" s="20">
        <v>0</v>
      </c>
      <c r="AO32" s="20">
        <v>0</v>
      </c>
      <c r="AP32" s="20">
        <v>0</v>
      </c>
      <c r="AR32" s="20">
        <v>0</v>
      </c>
      <c r="AS32" s="20">
        <v>0</v>
      </c>
      <c r="AT32" s="20">
        <v>192674.18</v>
      </c>
      <c r="AU32" s="20" t="s">
        <v>15</v>
      </c>
      <c r="AV32" s="20" t="s">
        <v>2076</v>
      </c>
      <c r="AW32" s="111" t="s">
        <v>2076</v>
      </c>
      <c r="AX32" s="20" t="s">
        <v>208</v>
      </c>
      <c r="AY32" s="19" t="s">
        <v>209</v>
      </c>
      <c r="AZ32" s="19">
        <v>0</v>
      </c>
      <c r="BA32" s="19">
        <v>93639.12</v>
      </c>
      <c r="BB32" s="19">
        <v>1046</v>
      </c>
      <c r="BC32" s="66">
        <v>46120</v>
      </c>
      <c r="BD32" s="19" t="s">
        <v>74</v>
      </c>
      <c r="BE32" s="19" t="s">
        <v>210</v>
      </c>
      <c r="BF32" s="19" t="s">
        <v>210</v>
      </c>
      <c r="BG32" s="19">
        <v>9</v>
      </c>
      <c r="BH32" s="19">
        <v>8427.56</v>
      </c>
      <c r="BI32" s="19">
        <v>9</v>
      </c>
      <c r="BJ32" s="19">
        <v>8427.56</v>
      </c>
      <c r="BK32" s="19">
        <v>0</v>
      </c>
      <c r="BL32" s="19">
        <v>0</v>
      </c>
      <c r="BM32" s="19">
        <v>0</v>
      </c>
      <c r="BN32" s="19">
        <v>662157045709</v>
      </c>
      <c r="BO32" s="66">
        <v>46238</v>
      </c>
      <c r="BP32" s="19">
        <v>0</v>
      </c>
    </row>
    <row r="33" spans="1:68">
      <c r="A33" s="65"/>
      <c r="B33" s="20" t="s">
        <v>2165</v>
      </c>
      <c r="C33" s="111">
        <v>46120</v>
      </c>
      <c r="D33" s="20" t="s">
        <v>3439</v>
      </c>
      <c r="E33" s="20" t="s">
        <v>20</v>
      </c>
      <c r="F33" s="20" t="s">
        <v>21</v>
      </c>
      <c r="H33" s="20" t="s">
        <v>3441</v>
      </c>
      <c r="I33" s="20">
        <v>240</v>
      </c>
      <c r="J33" s="20">
        <v>240</v>
      </c>
      <c r="K33" s="20" t="s">
        <v>11</v>
      </c>
      <c r="L33" s="20">
        <v>240</v>
      </c>
      <c r="M33" s="20">
        <v>0</v>
      </c>
      <c r="N33" s="20">
        <v>240</v>
      </c>
      <c r="O33" s="20" t="s">
        <v>2310</v>
      </c>
      <c r="P33" s="20" t="s">
        <v>94</v>
      </c>
      <c r="Q33" s="20" t="s">
        <v>94</v>
      </c>
      <c r="R33" s="111" t="s">
        <v>2658</v>
      </c>
      <c r="S33" s="111">
        <v>46120</v>
      </c>
      <c r="T33" s="20" t="s">
        <v>206</v>
      </c>
      <c r="U33" s="20" t="s">
        <v>207</v>
      </c>
      <c r="V33" s="20" t="s">
        <v>2657</v>
      </c>
      <c r="W33" s="20">
        <v>137.58000000000001</v>
      </c>
      <c r="X33" s="20">
        <v>137.57932879138701</v>
      </c>
      <c r="Y33" s="111" t="s">
        <v>2658</v>
      </c>
      <c r="Z33" s="111">
        <v>46120</v>
      </c>
      <c r="AB33" s="20" t="s">
        <v>2290</v>
      </c>
      <c r="AD33" s="20" t="s">
        <v>2290</v>
      </c>
      <c r="AE33" s="20" t="s">
        <v>2290</v>
      </c>
      <c r="AF33" s="20">
        <v>0</v>
      </c>
      <c r="AG33" s="20">
        <v>0</v>
      </c>
      <c r="AH33" s="20">
        <v>0</v>
      </c>
      <c r="AI33" s="20">
        <v>0</v>
      </c>
      <c r="AJ33" s="20">
        <v>0</v>
      </c>
      <c r="AK33" s="111" t="s">
        <v>576</v>
      </c>
      <c r="AL33" s="20">
        <v>0</v>
      </c>
      <c r="AM33" s="20">
        <v>0</v>
      </c>
      <c r="AN33" s="20">
        <v>0</v>
      </c>
      <c r="AO33" s="20">
        <v>0</v>
      </c>
      <c r="AP33" s="20">
        <v>0</v>
      </c>
      <c r="AR33" s="20">
        <v>0</v>
      </c>
      <c r="AS33" s="20">
        <v>0</v>
      </c>
      <c r="AT33" s="20">
        <v>192674.18</v>
      </c>
      <c r="AU33" s="20" t="s">
        <v>13</v>
      </c>
      <c r="AV33" s="20" t="s">
        <v>62</v>
      </c>
      <c r="AW33" s="111" t="s">
        <v>76</v>
      </c>
      <c r="AX33" s="20" t="s">
        <v>208</v>
      </c>
      <c r="AY33" s="19" t="s">
        <v>209</v>
      </c>
      <c r="AZ33" s="19">
        <v>0</v>
      </c>
      <c r="BA33" s="19">
        <v>33019.040000000001</v>
      </c>
      <c r="BB33" s="19">
        <v>1046</v>
      </c>
      <c r="BC33" s="66">
        <v>46120</v>
      </c>
      <c r="BD33" s="19" t="s">
        <v>74</v>
      </c>
      <c r="BE33" s="19" t="s">
        <v>210</v>
      </c>
      <c r="BF33" s="19" t="s">
        <v>210</v>
      </c>
      <c r="BG33" s="19">
        <v>9</v>
      </c>
      <c r="BH33" s="19">
        <v>2971.73</v>
      </c>
      <c r="BI33" s="19">
        <v>9</v>
      </c>
      <c r="BJ33" s="19">
        <v>2971.73</v>
      </c>
      <c r="BK33" s="19">
        <v>0</v>
      </c>
      <c r="BL33" s="19">
        <v>0</v>
      </c>
      <c r="BM33" s="19">
        <v>0</v>
      </c>
      <c r="BN33" s="19">
        <v>662157045709</v>
      </c>
      <c r="BO33" s="66">
        <v>46238</v>
      </c>
      <c r="BP33" s="19">
        <v>0</v>
      </c>
    </row>
    <row r="34" spans="1:68">
      <c r="A34" s="65"/>
      <c r="B34" s="20" t="s">
        <v>2165</v>
      </c>
      <c r="C34" s="111">
        <v>46120</v>
      </c>
      <c r="D34" s="20" t="s">
        <v>3439</v>
      </c>
      <c r="E34" s="20" t="s">
        <v>20</v>
      </c>
      <c r="F34" s="20" t="s">
        <v>21</v>
      </c>
      <c r="H34" s="20" t="s">
        <v>3441</v>
      </c>
      <c r="I34" s="20">
        <v>249</v>
      </c>
      <c r="J34" s="20">
        <v>249</v>
      </c>
      <c r="K34" s="20" t="s">
        <v>11</v>
      </c>
      <c r="L34" s="20">
        <v>249</v>
      </c>
      <c r="M34" s="20">
        <v>0</v>
      </c>
      <c r="N34" s="20">
        <v>249</v>
      </c>
      <c r="O34" s="20" t="s">
        <v>2310</v>
      </c>
      <c r="P34" s="20" t="s">
        <v>94</v>
      </c>
      <c r="Q34" s="20" t="s">
        <v>94</v>
      </c>
      <c r="R34" s="111" t="s">
        <v>2658</v>
      </c>
      <c r="S34" s="111">
        <v>46120</v>
      </c>
      <c r="T34" s="20" t="s">
        <v>206</v>
      </c>
      <c r="U34" s="20" t="s">
        <v>207</v>
      </c>
      <c r="V34" s="20" t="s">
        <v>2657</v>
      </c>
      <c r="W34" s="20">
        <v>140.58000000000001</v>
      </c>
      <c r="X34" s="20">
        <v>140.579314155351</v>
      </c>
      <c r="Y34" s="111" t="s">
        <v>2658</v>
      </c>
      <c r="Z34" s="111">
        <v>46120</v>
      </c>
      <c r="AB34" s="20" t="s">
        <v>2290</v>
      </c>
      <c r="AD34" s="20" t="s">
        <v>2290</v>
      </c>
      <c r="AE34" s="20" t="s">
        <v>2290</v>
      </c>
      <c r="AF34" s="20">
        <v>0</v>
      </c>
      <c r="AG34" s="20">
        <v>0</v>
      </c>
      <c r="AH34" s="20">
        <v>0</v>
      </c>
      <c r="AI34" s="20">
        <v>0</v>
      </c>
      <c r="AJ34" s="20">
        <v>0</v>
      </c>
      <c r="AK34" s="111" t="s">
        <v>576</v>
      </c>
      <c r="AL34" s="20">
        <v>0</v>
      </c>
      <c r="AM34" s="20">
        <v>0</v>
      </c>
      <c r="AN34" s="20">
        <v>0</v>
      </c>
      <c r="AO34" s="20">
        <v>0</v>
      </c>
      <c r="AP34" s="20">
        <v>0</v>
      </c>
      <c r="AR34" s="20">
        <v>0</v>
      </c>
      <c r="AS34" s="20">
        <v>0</v>
      </c>
      <c r="AT34" s="20">
        <v>192674.18</v>
      </c>
      <c r="AU34" s="20" t="s">
        <v>13</v>
      </c>
      <c r="AV34" s="20" t="s">
        <v>62</v>
      </c>
      <c r="AW34" s="111" t="s">
        <v>76</v>
      </c>
      <c r="AX34" s="20" t="s">
        <v>208</v>
      </c>
      <c r="AY34" s="19" t="s">
        <v>209</v>
      </c>
      <c r="AZ34" s="19">
        <v>0</v>
      </c>
      <c r="BA34" s="19">
        <v>35004.25</v>
      </c>
      <c r="BB34" s="19">
        <v>1046</v>
      </c>
      <c r="BC34" s="66">
        <v>46120</v>
      </c>
      <c r="BD34" s="19" t="s">
        <v>74</v>
      </c>
      <c r="BE34" s="19" t="s">
        <v>210</v>
      </c>
      <c r="BF34" s="19" t="s">
        <v>210</v>
      </c>
      <c r="BG34" s="19">
        <v>9</v>
      </c>
      <c r="BH34" s="19">
        <v>3150.4</v>
      </c>
      <c r="BI34" s="19">
        <v>9</v>
      </c>
      <c r="BJ34" s="19">
        <v>3150.4</v>
      </c>
      <c r="BK34" s="19">
        <v>0</v>
      </c>
      <c r="BL34" s="19">
        <v>0</v>
      </c>
      <c r="BM34" s="19">
        <v>0</v>
      </c>
      <c r="BN34" s="19">
        <v>662157045709</v>
      </c>
      <c r="BO34" s="66">
        <v>46238</v>
      </c>
      <c r="BP34" s="19">
        <v>0</v>
      </c>
    </row>
    <row r="35" spans="1:68">
      <c r="A35" s="65"/>
      <c r="B35" s="20" t="s">
        <v>2165</v>
      </c>
      <c r="C35" s="111">
        <v>46120</v>
      </c>
      <c r="D35" s="20" t="s">
        <v>3442</v>
      </c>
      <c r="E35" s="20" t="s">
        <v>18</v>
      </c>
      <c r="F35" s="20" t="s">
        <v>19</v>
      </c>
      <c r="H35" s="20" t="s">
        <v>3443</v>
      </c>
      <c r="I35" s="20">
        <v>7252</v>
      </c>
      <c r="J35" s="20">
        <v>7252</v>
      </c>
      <c r="K35" s="20" t="s">
        <v>11</v>
      </c>
      <c r="L35" s="20">
        <v>7252</v>
      </c>
      <c r="M35" s="20">
        <v>0</v>
      </c>
      <c r="N35" s="20">
        <v>7252</v>
      </c>
      <c r="O35" s="20" t="s">
        <v>2156</v>
      </c>
      <c r="P35" s="20" t="s">
        <v>87</v>
      </c>
      <c r="Q35" s="20" t="s">
        <v>87</v>
      </c>
      <c r="R35" s="111" t="s">
        <v>2651</v>
      </c>
      <c r="S35" s="111">
        <v>46120</v>
      </c>
      <c r="T35" s="20" t="s">
        <v>206</v>
      </c>
      <c r="U35" s="20" t="s">
        <v>207</v>
      </c>
      <c r="V35" s="20" t="s">
        <v>2650</v>
      </c>
      <c r="W35" s="20">
        <v>139.08000000000001</v>
      </c>
      <c r="X35" s="20">
        <v>139.08000000000001</v>
      </c>
      <c r="Y35" s="111" t="s">
        <v>2651</v>
      </c>
      <c r="Z35" s="111">
        <v>46120</v>
      </c>
      <c r="AB35" s="20" t="s">
        <v>2290</v>
      </c>
      <c r="AD35" s="20" t="s">
        <v>2290</v>
      </c>
      <c r="AE35" s="20" t="s">
        <v>2290</v>
      </c>
      <c r="AF35" s="20">
        <v>0</v>
      </c>
      <c r="AG35" s="20">
        <v>0</v>
      </c>
      <c r="AH35" s="20">
        <v>0</v>
      </c>
      <c r="AI35" s="20">
        <v>0</v>
      </c>
      <c r="AJ35" s="20">
        <v>0</v>
      </c>
      <c r="AK35" s="111" t="s">
        <v>576</v>
      </c>
      <c r="AL35" s="20">
        <v>0</v>
      </c>
      <c r="AM35" s="20">
        <v>0</v>
      </c>
      <c r="AN35" s="20">
        <v>0</v>
      </c>
      <c r="AO35" s="20">
        <v>0</v>
      </c>
      <c r="AP35" s="20">
        <v>0</v>
      </c>
      <c r="AR35" s="20">
        <v>0</v>
      </c>
      <c r="AS35" s="20">
        <v>0</v>
      </c>
      <c r="AT35" s="20">
        <v>1324502.46</v>
      </c>
      <c r="AU35" s="20" t="s">
        <v>13</v>
      </c>
      <c r="AV35" s="20" t="s">
        <v>62</v>
      </c>
      <c r="AW35" s="111" t="s">
        <v>63</v>
      </c>
      <c r="AX35" s="20" t="s">
        <v>208</v>
      </c>
      <c r="AY35" s="19" t="s">
        <v>209</v>
      </c>
      <c r="AZ35" s="19">
        <v>0</v>
      </c>
      <c r="BA35" s="19">
        <v>1008608.16</v>
      </c>
      <c r="BB35" s="19">
        <v>1039</v>
      </c>
      <c r="BC35" s="66">
        <v>46120</v>
      </c>
      <c r="BD35" s="19" t="s">
        <v>65</v>
      </c>
      <c r="BE35" s="19" t="s">
        <v>210</v>
      </c>
      <c r="BF35" s="19" t="s">
        <v>210</v>
      </c>
      <c r="BG35" s="19">
        <v>9</v>
      </c>
      <c r="BH35" s="19">
        <v>90774.73</v>
      </c>
      <c r="BI35" s="19">
        <v>9</v>
      </c>
      <c r="BJ35" s="19">
        <v>90774.73</v>
      </c>
      <c r="BK35" s="19">
        <v>0</v>
      </c>
      <c r="BL35" s="19">
        <v>0</v>
      </c>
      <c r="BM35" s="19">
        <v>1324502.46</v>
      </c>
      <c r="BN35" s="19">
        <v>642156700704</v>
      </c>
      <c r="BO35" s="66">
        <v>46238</v>
      </c>
      <c r="BP35" s="19">
        <v>0</v>
      </c>
    </row>
    <row r="36" spans="1:68">
      <c r="A36" s="65"/>
      <c r="B36" s="20" t="s">
        <v>2165</v>
      </c>
      <c r="C36" s="111">
        <v>46120</v>
      </c>
      <c r="D36" s="20" t="s">
        <v>3442</v>
      </c>
      <c r="E36" s="20" t="s">
        <v>18</v>
      </c>
      <c r="F36" s="20" t="s">
        <v>19</v>
      </c>
      <c r="H36" s="20" t="s">
        <v>3443</v>
      </c>
      <c r="I36" s="20">
        <v>807</v>
      </c>
      <c r="J36" s="20">
        <v>807</v>
      </c>
      <c r="K36" s="20" t="s">
        <v>11</v>
      </c>
      <c r="L36" s="20">
        <v>807</v>
      </c>
      <c r="M36" s="20">
        <v>0</v>
      </c>
      <c r="N36" s="20">
        <v>807</v>
      </c>
      <c r="O36" s="20" t="s">
        <v>2156</v>
      </c>
      <c r="P36" s="20" t="s">
        <v>87</v>
      </c>
      <c r="Q36" s="20" t="s">
        <v>87</v>
      </c>
      <c r="R36" s="111" t="s">
        <v>2651</v>
      </c>
      <c r="S36" s="111">
        <v>46120</v>
      </c>
      <c r="T36" s="20" t="s">
        <v>206</v>
      </c>
      <c r="U36" s="20" t="s">
        <v>207</v>
      </c>
      <c r="V36" s="20" t="s">
        <v>2650</v>
      </c>
      <c r="W36" s="20">
        <v>141.08000000000001</v>
      </c>
      <c r="X36" s="20">
        <v>141.08000000000001</v>
      </c>
      <c r="Y36" s="111" t="s">
        <v>2651</v>
      </c>
      <c r="Z36" s="111">
        <v>46120</v>
      </c>
      <c r="AB36" s="20" t="s">
        <v>2290</v>
      </c>
      <c r="AD36" s="20" t="s">
        <v>2290</v>
      </c>
      <c r="AE36" s="20" t="s">
        <v>2290</v>
      </c>
      <c r="AF36" s="20">
        <v>0</v>
      </c>
      <c r="AG36" s="20">
        <v>0</v>
      </c>
      <c r="AH36" s="20">
        <v>0</v>
      </c>
      <c r="AI36" s="20">
        <v>0</v>
      </c>
      <c r="AJ36" s="20">
        <v>0</v>
      </c>
      <c r="AK36" s="111" t="s">
        <v>576</v>
      </c>
      <c r="AL36" s="20">
        <v>0</v>
      </c>
      <c r="AM36" s="20">
        <v>0</v>
      </c>
      <c r="AN36" s="20">
        <v>0</v>
      </c>
      <c r="AO36" s="20">
        <v>0</v>
      </c>
      <c r="AP36" s="20">
        <v>0</v>
      </c>
      <c r="AR36" s="20">
        <v>0</v>
      </c>
      <c r="AS36" s="20">
        <v>0</v>
      </c>
      <c r="AT36" s="20">
        <v>1324502.46</v>
      </c>
      <c r="AU36" s="20" t="s">
        <v>13</v>
      </c>
      <c r="AV36" s="20" t="s">
        <v>62</v>
      </c>
      <c r="AW36" s="111" t="s">
        <v>63</v>
      </c>
      <c r="AX36" s="20" t="s">
        <v>208</v>
      </c>
      <c r="AY36" s="19" t="s">
        <v>209</v>
      </c>
      <c r="AZ36" s="19">
        <v>0</v>
      </c>
      <c r="BA36" s="19">
        <v>113851.56</v>
      </c>
      <c r="BB36" s="19">
        <v>1039</v>
      </c>
      <c r="BC36" s="66">
        <v>46120</v>
      </c>
      <c r="BD36" s="19" t="s">
        <v>65</v>
      </c>
      <c r="BE36" s="19" t="s">
        <v>210</v>
      </c>
      <c r="BF36" s="19" t="s">
        <v>210</v>
      </c>
      <c r="BG36" s="19">
        <v>9</v>
      </c>
      <c r="BH36" s="19">
        <v>10246.64</v>
      </c>
      <c r="BI36" s="19">
        <v>9</v>
      </c>
      <c r="BJ36" s="19">
        <v>10246.64</v>
      </c>
      <c r="BK36" s="19">
        <v>0</v>
      </c>
      <c r="BL36" s="19">
        <v>0</v>
      </c>
      <c r="BM36" s="19">
        <v>0</v>
      </c>
      <c r="BN36" s="19">
        <v>642156700704</v>
      </c>
      <c r="BO36" s="66">
        <v>46238</v>
      </c>
      <c r="BP36" s="19">
        <v>0</v>
      </c>
    </row>
    <row r="37" spans="1:68">
      <c r="A37" s="65"/>
      <c r="B37" s="20" t="s">
        <v>2165</v>
      </c>
      <c r="C37" s="111">
        <v>46120</v>
      </c>
      <c r="D37" s="20" t="s">
        <v>3444</v>
      </c>
      <c r="E37" s="20" t="s">
        <v>3445</v>
      </c>
      <c r="F37" s="20" t="s">
        <v>2654</v>
      </c>
      <c r="H37" s="20" t="s">
        <v>3446</v>
      </c>
      <c r="I37" s="20">
        <v>963.7</v>
      </c>
      <c r="J37" s="20">
        <v>963.7</v>
      </c>
      <c r="K37" s="20" t="s">
        <v>11</v>
      </c>
      <c r="L37" s="20">
        <v>963.7</v>
      </c>
      <c r="M37" s="20">
        <v>0</v>
      </c>
      <c r="N37" s="20">
        <v>963.7</v>
      </c>
      <c r="O37" s="20" t="s">
        <v>2154</v>
      </c>
      <c r="P37" s="20" t="s">
        <v>87</v>
      </c>
      <c r="Q37" s="20" t="s">
        <v>87</v>
      </c>
      <c r="R37" s="111" t="s">
        <v>2653</v>
      </c>
      <c r="S37" s="111">
        <v>46120</v>
      </c>
      <c r="T37" s="20" t="s">
        <v>206</v>
      </c>
      <c r="U37" s="20" t="s">
        <v>207</v>
      </c>
      <c r="V37" s="20" t="s">
        <v>2652</v>
      </c>
      <c r="W37" s="20">
        <v>157.32</v>
      </c>
      <c r="X37" s="20">
        <v>157.32000019307199</v>
      </c>
      <c r="Y37" s="111" t="s">
        <v>2653</v>
      </c>
      <c r="Z37" s="111">
        <v>46120</v>
      </c>
      <c r="AB37" s="20" t="s">
        <v>2290</v>
      </c>
      <c r="AD37" s="20" t="s">
        <v>2290</v>
      </c>
      <c r="AE37" s="20" t="s">
        <v>2290</v>
      </c>
      <c r="AF37" s="20">
        <v>0</v>
      </c>
      <c r="AG37" s="20">
        <v>0</v>
      </c>
      <c r="AH37" s="20">
        <v>0</v>
      </c>
      <c r="AI37" s="20">
        <v>0</v>
      </c>
      <c r="AJ37" s="20">
        <v>0</v>
      </c>
      <c r="AK37" s="111" t="s">
        <v>576</v>
      </c>
      <c r="AL37" s="20">
        <v>0</v>
      </c>
      <c r="AM37" s="20">
        <v>0</v>
      </c>
      <c r="AN37" s="20">
        <v>0</v>
      </c>
      <c r="AO37" s="20">
        <v>0</v>
      </c>
      <c r="AP37" s="20">
        <v>0</v>
      </c>
      <c r="AR37" s="20">
        <v>0</v>
      </c>
      <c r="AS37" s="20">
        <v>0</v>
      </c>
      <c r="AT37" s="20">
        <v>1629649.07</v>
      </c>
      <c r="AU37" s="20" t="s">
        <v>13</v>
      </c>
      <c r="AV37" s="20" t="s">
        <v>99</v>
      </c>
      <c r="AW37" s="111" t="s">
        <v>100</v>
      </c>
      <c r="AX37" s="20" t="s">
        <v>208</v>
      </c>
      <c r="AY37" s="19" t="s">
        <v>209</v>
      </c>
      <c r="AZ37" s="19">
        <v>0</v>
      </c>
      <c r="BA37" s="19">
        <v>151609.28</v>
      </c>
      <c r="BB37" s="19">
        <v>1043</v>
      </c>
      <c r="BC37" s="66">
        <v>46120</v>
      </c>
      <c r="BD37" s="19" t="s">
        <v>65</v>
      </c>
      <c r="BE37" s="19" t="s">
        <v>210</v>
      </c>
      <c r="BF37" s="19" t="s">
        <v>210</v>
      </c>
      <c r="BG37" s="19">
        <v>2.5</v>
      </c>
      <c r="BH37" s="19">
        <v>3790.23</v>
      </c>
      <c r="BI37" s="19">
        <v>2.5</v>
      </c>
      <c r="BJ37" s="19">
        <v>3790.23</v>
      </c>
      <c r="BK37" s="19">
        <v>0</v>
      </c>
      <c r="BL37" s="19">
        <v>0</v>
      </c>
      <c r="BM37" s="19">
        <v>1629649.07</v>
      </c>
      <c r="BN37" s="19">
        <v>692156821985</v>
      </c>
      <c r="BO37" s="66">
        <v>46238</v>
      </c>
      <c r="BP37" s="19">
        <v>0</v>
      </c>
    </row>
    <row r="38" spans="1:68">
      <c r="A38" s="65"/>
      <c r="B38" s="20" t="s">
        <v>2165</v>
      </c>
      <c r="C38" s="111">
        <v>46120</v>
      </c>
      <c r="D38" s="20" t="s">
        <v>3444</v>
      </c>
      <c r="E38" s="20" t="s">
        <v>20</v>
      </c>
      <c r="F38" s="20" t="s">
        <v>21</v>
      </c>
      <c r="H38" s="20" t="s">
        <v>3446</v>
      </c>
      <c r="I38" s="20">
        <v>461</v>
      </c>
      <c r="J38" s="20">
        <v>461</v>
      </c>
      <c r="K38" s="20" t="s">
        <v>11</v>
      </c>
      <c r="L38" s="20">
        <v>461</v>
      </c>
      <c r="M38" s="20">
        <v>0</v>
      </c>
      <c r="N38" s="20">
        <v>461</v>
      </c>
      <c r="O38" s="20" t="s">
        <v>2154</v>
      </c>
      <c r="P38" s="20" t="s">
        <v>87</v>
      </c>
      <c r="Q38" s="20" t="s">
        <v>87</v>
      </c>
      <c r="R38" s="111" t="s">
        <v>2653</v>
      </c>
      <c r="S38" s="111">
        <v>46120</v>
      </c>
      <c r="T38" s="20" t="s">
        <v>206</v>
      </c>
      <c r="U38" s="20" t="s">
        <v>207</v>
      </c>
      <c r="V38" s="20" t="s">
        <v>2652</v>
      </c>
      <c r="W38" s="20">
        <v>146.32</v>
      </c>
      <c r="X38" s="20">
        <v>146.32000017957199</v>
      </c>
      <c r="Y38" s="111" t="s">
        <v>2653</v>
      </c>
      <c r="Z38" s="111">
        <v>46120</v>
      </c>
      <c r="AB38" s="20" t="s">
        <v>2290</v>
      </c>
      <c r="AD38" s="20" t="s">
        <v>2290</v>
      </c>
      <c r="AE38" s="20" t="s">
        <v>2290</v>
      </c>
      <c r="AF38" s="20">
        <v>0</v>
      </c>
      <c r="AG38" s="20">
        <v>0</v>
      </c>
      <c r="AH38" s="20">
        <v>0</v>
      </c>
      <c r="AI38" s="20">
        <v>0</v>
      </c>
      <c r="AJ38" s="20">
        <v>0</v>
      </c>
      <c r="AK38" s="111" t="s">
        <v>576</v>
      </c>
      <c r="AL38" s="20">
        <v>0</v>
      </c>
      <c r="AM38" s="20">
        <v>0</v>
      </c>
      <c r="AN38" s="20">
        <v>0</v>
      </c>
      <c r="AO38" s="20">
        <v>0</v>
      </c>
      <c r="AP38" s="20">
        <v>0</v>
      </c>
      <c r="AR38" s="20">
        <v>0</v>
      </c>
      <c r="AS38" s="20">
        <v>0</v>
      </c>
      <c r="AT38" s="20">
        <v>1629649.07</v>
      </c>
      <c r="AU38" s="20" t="s">
        <v>13</v>
      </c>
      <c r="AV38" s="20" t="s">
        <v>62</v>
      </c>
      <c r="AW38" s="111" t="s">
        <v>76</v>
      </c>
      <c r="AX38" s="20" t="s">
        <v>208</v>
      </c>
      <c r="AY38" s="19" t="s">
        <v>209</v>
      </c>
      <c r="AZ38" s="19">
        <v>0</v>
      </c>
      <c r="BA38" s="19">
        <v>67453.52</v>
      </c>
      <c r="BB38" s="19">
        <v>1043</v>
      </c>
      <c r="BC38" s="66">
        <v>46120</v>
      </c>
      <c r="BD38" s="19" t="s">
        <v>65</v>
      </c>
      <c r="BE38" s="19" t="s">
        <v>210</v>
      </c>
      <c r="BF38" s="19" t="s">
        <v>210</v>
      </c>
      <c r="BG38" s="19">
        <v>9</v>
      </c>
      <c r="BH38" s="19">
        <v>6070.82</v>
      </c>
      <c r="BI38" s="19">
        <v>9</v>
      </c>
      <c r="BJ38" s="19">
        <v>6070.82</v>
      </c>
      <c r="BK38" s="19">
        <v>0</v>
      </c>
      <c r="BL38" s="19">
        <v>0</v>
      </c>
      <c r="BM38" s="19">
        <v>0</v>
      </c>
      <c r="BN38" s="19">
        <v>692156821985</v>
      </c>
      <c r="BO38" s="66">
        <v>46238</v>
      </c>
      <c r="BP38" s="19">
        <v>0</v>
      </c>
    </row>
    <row r="39" spans="1:68">
      <c r="A39" s="65"/>
      <c r="B39" s="20" t="s">
        <v>2165</v>
      </c>
      <c r="C39" s="111">
        <v>46120</v>
      </c>
      <c r="D39" s="20" t="s">
        <v>3444</v>
      </c>
      <c r="E39" s="20" t="s">
        <v>20</v>
      </c>
      <c r="F39" s="20" t="s">
        <v>21</v>
      </c>
      <c r="H39" s="20" t="s">
        <v>3446</v>
      </c>
      <c r="I39" s="20">
        <v>1685</v>
      </c>
      <c r="J39" s="20">
        <v>1685</v>
      </c>
      <c r="K39" s="20" t="s">
        <v>11</v>
      </c>
      <c r="L39" s="20">
        <v>1685</v>
      </c>
      <c r="M39" s="20">
        <v>0</v>
      </c>
      <c r="N39" s="20">
        <v>1685</v>
      </c>
      <c r="O39" s="20" t="s">
        <v>2154</v>
      </c>
      <c r="P39" s="20" t="s">
        <v>87</v>
      </c>
      <c r="Q39" s="20" t="s">
        <v>87</v>
      </c>
      <c r="R39" s="111" t="s">
        <v>2653</v>
      </c>
      <c r="S39" s="111">
        <v>46120</v>
      </c>
      <c r="T39" s="20" t="s">
        <v>206</v>
      </c>
      <c r="U39" s="20" t="s">
        <v>207</v>
      </c>
      <c r="V39" s="20" t="s">
        <v>2652</v>
      </c>
      <c r="W39" s="20">
        <v>149.32</v>
      </c>
      <c r="X39" s="20">
        <v>149.320000183254</v>
      </c>
      <c r="Y39" s="111" t="s">
        <v>2653</v>
      </c>
      <c r="Z39" s="111">
        <v>46120</v>
      </c>
      <c r="AB39" s="20" t="s">
        <v>2290</v>
      </c>
      <c r="AD39" s="20" t="s">
        <v>2290</v>
      </c>
      <c r="AE39" s="20" t="s">
        <v>2290</v>
      </c>
      <c r="AF39" s="20">
        <v>0</v>
      </c>
      <c r="AG39" s="20">
        <v>0</v>
      </c>
      <c r="AH39" s="20">
        <v>0</v>
      </c>
      <c r="AI39" s="20">
        <v>0</v>
      </c>
      <c r="AJ39" s="20">
        <v>0</v>
      </c>
      <c r="AK39" s="111" t="s">
        <v>576</v>
      </c>
      <c r="AL39" s="20">
        <v>0</v>
      </c>
      <c r="AM39" s="20">
        <v>0</v>
      </c>
      <c r="AN39" s="20">
        <v>0</v>
      </c>
      <c r="AO39" s="20">
        <v>0</v>
      </c>
      <c r="AP39" s="20">
        <v>0</v>
      </c>
      <c r="AR39" s="20">
        <v>0</v>
      </c>
      <c r="AS39" s="20">
        <v>0</v>
      </c>
      <c r="AT39" s="20">
        <v>1629649.07</v>
      </c>
      <c r="AU39" s="20" t="s">
        <v>13</v>
      </c>
      <c r="AV39" s="20" t="s">
        <v>62</v>
      </c>
      <c r="AW39" s="111" t="s">
        <v>76</v>
      </c>
      <c r="AX39" s="20" t="s">
        <v>208</v>
      </c>
      <c r="AY39" s="19" t="s">
        <v>209</v>
      </c>
      <c r="AZ39" s="19">
        <v>0</v>
      </c>
      <c r="BA39" s="19">
        <v>251604.2</v>
      </c>
      <c r="BB39" s="19">
        <v>1043</v>
      </c>
      <c r="BC39" s="66">
        <v>46120</v>
      </c>
      <c r="BD39" s="19" t="s">
        <v>65</v>
      </c>
      <c r="BE39" s="19" t="s">
        <v>210</v>
      </c>
      <c r="BF39" s="19" t="s">
        <v>210</v>
      </c>
      <c r="BG39" s="19">
        <v>9</v>
      </c>
      <c r="BH39" s="19">
        <v>22644.38</v>
      </c>
      <c r="BI39" s="19">
        <v>9</v>
      </c>
      <c r="BJ39" s="19">
        <v>22644.38</v>
      </c>
      <c r="BK39" s="19">
        <v>0</v>
      </c>
      <c r="BL39" s="19">
        <v>0</v>
      </c>
      <c r="BM39" s="19">
        <v>0</v>
      </c>
      <c r="BN39" s="19">
        <v>692156821985</v>
      </c>
      <c r="BO39" s="66">
        <v>46238</v>
      </c>
      <c r="BP39" s="19">
        <v>0</v>
      </c>
    </row>
    <row r="40" spans="1:68">
      <c r="A40" s="65"/>
      <c r="B40" s="20" t="s">
        <v>2165</v>
      </c>
      <c r="C40" s="111">
        <v>46120</v>
      </c>
      <c r="D40" s="20" t="s">
        <v>3444</v>
      </c>
      <c r="E40" s="20" t="s">
        <v>23</v>
      </c>
      <c r="F40" s="20" t="s">
        <v>24</v>
      </c>
      <c r="H40" s="20" t="s">
        <v>3446</v>
      </c>
      <c r="I40" s="20">
        <v>1027.5</v>
      </c>
      <c r="J40" s="20">
        <v>1027.5</v>
      </c>
      <c r="K40" s="20" t="s">
        <v>11</v>
      </c>
      <c r="L40" s="20">
        <v>1027.5</v>
      </c>
      <c r="M40" s="20">
        <v>0</v>
      </c>
      <c r="N40" s="20">
        <v>1027.5</v>
      </c>
      <c r="O40" s="20" t="s">
        <v>2154</v>
      </c>
      <c r="P40" s="20" t="s">
        <v>87</v>
      </c>
      <c r="Q40" s="20" t="s">
        <v>87</v>
      </c>
      <c r="R40" s="111" t="s">
        <v>2653</v>
      </c>
      <c r="S40" s="111">
        <v>46120</v>
      </c>
      <c r="T40" s="20" t="s">
        <v>206</v>
      </c>
      <c r="U40" s="20" t="s">
        <v>207</v>
      </c>
      <c r="V40" s="20" t="s">
        <v>2652</v>
      </c>
      <c r="W40" s="20">
        <v>144.32</v>
      </c>
      <c r="X40" s="20">
        <v>144.320000177118</v>
      </c>
      <c r="Y40" s="111" t="s">
        <v>2653</v>
      </c>
      <c r="Z40" s="111">
        <v>46120</v>
      </c>
      <c r="AB40" s="20" t="s">
        <v>2290</v>
      </c>
      <c r="AD40" s="20" t="s">
        <v>2290</v>
      </c>
      <c r="AE40" s="20" t="s">
        <v>2290</v>
      </c>
      <c r="AF40" s="20">
        <v>0</v>
      </c>
      <c r="AG40" s="20">
        <v>0</v>
      </c>
      <c r="AH40" s="20">
        <v>0</v>
      </c>
      <c r="AI40" s="20">
        <v>0</v>
      </c>
      <c r="AJ40" s="20">
        <v>0</v>
      </c>
      <c r="AK40" s="111" t="s">
        <v>576</v>
      </c>
      <c r="AL40" s="20">
        <v>0</v>
      </c>
      <c r="AM40" s="20">
        <v>0</v>
      </c>
      <c r="AN40" s="20">
        <v>0</v>
      </c>
      <c r="AO40" s="20">
        <v>0</v>
      </c>
      <c r="AP40" s="20">
        <v>0</v>
      </c>
      <c r="AR40" s="20">
        <v>0</v>
      </c>
      <c r="AS40" s="20">
        <v>0</v>
      </c>
      <c r="AT40" s="20">
        <v>1629649.07</v>
      </c>
      <c r="AU40" s="20" t="s">
        <v>13</v>
      </c>
      <c r="AV40" s="20" t="s">
        <v>24</v>
      </c>
      <c r="AW40" s="111" t="s">
        <v>79</v>
      </c>
      <c r="AX40" s="20" t="s">
        <v>208</v>
      </c>
      <c r="AY40" s="19" t="s">
        <v>209</v>
      </c>
      <c r="AZ40" s="19">
        <v>0</v>
      </c>
      <c r="BA40" s="19">
        <v>148288.79999999999</v>
      </c>
      <c r="BB40" s="19">
        <v>1043</v>
      </c>
      <c r="BC40" s="66">
        <v>46120</v>
      </c>
      <c r="BD40" s="19" t="s">
        <v>65</v>
      </c>
      <c r="BE40" s="19" t="s">
        <v>210</v>
      </c>
      <c r="BF40" s="19" t="s">
        <v>210</v>
      </c>
      <c r="BG40" s="19">
        <v>9</v>
      </c>
      <c r="BH40" s="19">
        <v>13345.99</v>
      </c>
      <c r="BI40" s="19">
        <v>9</v>
      </c>
      <c r="BJ40" s="19">
        <v>13345.99</v>
      </c>
      <c r="BK40" s="19">
        <v>0</v>
      </c>
      <c r="BL40" s="19">
        <v>0</v>
      </c>
      <c r="BM40" s="19">
        <v>0</v>
      </c>
      <c r="BN40" s="19">
        <v>692156821985</v>
      </c>
      <c r="BO40" s="66">
        <v>46238</v>
      </c>
      <c r="BP40" s="19">
        <v>0</v>
      </c>
    </row>
    <row r="41" spans="1:68">
      <c r="A41" s="65"/>
      <c r="B41" s="20" t="s">
        <v>2165</v>
      </c>
      <c r="C41" s="111">
        <v>46120</v>
      </c>
      <c r="D41" s="20" t="s">
        <v>3444</v>
      </c>
      <c r="E41" s="20" t="s">
        <v>23</v>
      </c>
      <c r="F41" s="20" t="s">
        <v>24</v>
      </c>
      <c r="H41" s="20" t="s">
        <v>3446</v>
      </c>
      <c r="I41" s="20">
        <v>297.3</v>
      </c>
      <c r="J41" s="20">
        <v>297.3</v>
      </c>
      <c r="K41" s="20" t="s">
        <v>11</v>
      </c>
      <c r="L41" s="20">
        <v>297.3</v>
      </c>
      <c r="M41" s="20">
        <v>0</v>
      </c>
      <c r="N41" s="20">
        <v>297.3</v>
      </c>
      <c r="O41" s="20" t="s">
        <v>2154</v>
      </c>
      <c r="P41" s="20" t="s">
        <v>87</v>
      </c>
      <c r="Q41" s="20" t="s">
        <v>87</v>
      </c>
      <c r="R41" s="111" t="s">
        <v>2653</v>
      </c>
      <c r="S41" s="111">
        <v>46120</v>
      </c>
      <c r="T41" s="20" t="s">
        <v>206</v>
      </c>
      <c r="U41" s="20" t="s">
        <v>207</v>
      </c>
      <c r="V41" s="20" t="s">
        <v>2652</v>
      </c>
      <c r="W41" s="20">
        <v>147.32</v>
      </c>
      <c r="X41" s="20">
        <v>147.32000018080001</v>
      </c>
      <c r="Y41" s="111" t="s">
        <v>2653</v>
      </c>
      <c r="Z41" s="111">
        <v>46120</v>
      </c>
      <c r="AB41" s="20" t="s">
        <v>2290</v>
      </c>
      <c r="AD41" s="20" t="s">
        <v>2290</v>
      </c>
      <c r="AE41" s="20" t="s">
        <v>2290</v>
      </c>
      <c r="AF41" s="20">
        <v>0</v>
      </c>
      <c r="AG41" s="20">
        <v>0</v>
      </c>
      <c r="AH41" s="20">
        <v>0</v>
      </c>
      <c r="AI41" s="20">
        <v>0</v>
      </c>
      <c r="AJ41" s="20">
        <v>0</v>
      </c>
      <c r="AK41" s="111" t="s">
        <v>576</v>
      </c>
      <c r="AL41" s="20">
        <v>0</v>
      </c>
      <c r="AM41" s="20">
        <v>0</v>
      </c>
      <c r="AN41" s="20">
        <v>0</v>
      </c>
      <c r="AO41" s="20">
        <v>0</v>
      </c>
      <c r="AP41" s="20">
        <v>0</v>
      </c>
      <c r="AR41" s="20">
        <v>0</v>
      </c>
      <c r="AS41" s="20">
        <v>0</v>
      </c>
      <c r="AT41" s="20">
        <v>1629649.07</v>
      </c>
      <c r="AU41" s="20" t="s">
        <v>13</v>
      </c>
      <c r="AV41" s="20" t="s">
        <v>24</v>
      </c>
      <c r="AW41" s="111" t="s">
        <v>79</v>
      </c>
      <c r="AX41" s="20" t="s">
        <v>208</v>
      </c>
      <c r="AY41" s="19" t="s">
        <v>209</v>
      </c>
      <c r="AZ41" s="19">
        <v>0</v>
      </c>
      <c r="BA41" s="19">
        <v>43798.239999999998</v>
      </c>
      <c r="BB41" s="19">
        <v>1043</v>
      </c>
      <c r="BC41" s="66">
        <v>46120</v>
      </c>
      <c r="BD41" s="19" t="s">
        <v>65</v>
      </c>
      <c r="BE41" s="19" t="s">
        <v>210</v>
      </c>
      <c r="BF41" s="19" t="s">
        <v>210</v>
      </c>
      <c r="BG41" s="19">
        <v>9</v>
      </c>
      <c r="BH41" s="19">
        <v>3941.84</v>
      </c>
      <c r="BI41" s="19">
        <v>9</v>
      </c>
      <c r="BJ41" s="19">
        <v>3941.84</v>
      </c>
      <c r="BK41" s="19">
        <v>0</v>
      </c>
      <c r="BL41" s="19">
        <v>0</v>
      </c>
      <c r="BM41" s="19">
        <v>0</v>
      </c>
      <c r="BN41" s="19">
        <v>692156821985</v>
      </c>
      <c r="BO41" s="66">
        <v>46238</v>
      </c>
      <c r="BP41" s="19">
        <v>0</v>
      </c>
    </row>
    <row r="42" spans="1:68">
      <c r="A42" s="65"/>
      <c r="B42" s="20" t="s">
        <v>2165</v>
      </c>
      <c r="C42" s="111">
        <v>46120</v>
      </c>
      <c r="D42" s="20" t="s">
        <v>3444</v>
      </c>
      <c r="E42" s="20" t="s">
        <v>554</v>
      </c>
      <c r="F42" s="20" t="s">
        <v>553</v>
      </c>
      <c r="H42" s="20" t="s">
        <v>3446</v>
      </c>
      <c r="I42" s="20">
        <v>1046.9000000000001</v>
      </c>
      <c r="J42" s="20">
        <v>1046.9000000000001</v>
      </c>
      <c r="K42" s="20" t="s">
        <v>3</v>
      </c>
      <c r="L42" s="20">
        <v>1046.9000000000001</v>
      </c>
      <c r="M42" s="20">
        <v>0</v>
      </c>
      <c r="N42" s="20">
        <v>1046.9000000000001</v>
      </c>
      <c r="O42" s="20" t="s">
        <v>2154</v>
      </c>
      <c r="P42" s="20" t="s">
        <v>87</v>
      </c>
      <c r="Q42" s="20" t="s">
        <v>87</v>
      </c>
      <c r="R42" s="111" t="s">
        <v>2653</v>
      </c>
      <c r="S42" s="111">
        <v>46120</v>
      </c>
      <c r="T42" s="20" t="s">
        <v>206</v>
      </c>
      <c r="U42" s="20" t="s">
        <v>207</v>
      </c>
      <c r="V42" s="20" t="s">
        <v>2652</v>
      </c>
      <c r="W42" s="20">
        <v>154.32</v>
      </c>
      <c r="X42" s="20">
        <v>154.32000018938999</v>
      </c>
      <c r="Y42" s="111" t="s">
        <v>2653</v>
      </c>
      <c r="Z42" s="111">
        <v>46120</v>
      </c>
      <c r="AB42" s="20" t="s">
        <v>2290</v>
      </c>
      <c r="AD42" s="20" t="s">
        <v>2290</v>
      </c>
      <c r="AE42" s="20" t="s">
        <v>2290</v>
      </c>
      <c r="AF42" s="20">
        <v>0</v>
      </c>
      <c r="AG42" s="20">
        <v>0</v>
      </c>
      <c r="AH42" s="20">
        <v>0</v>
      </c>
      <c r="AI42" s="20">
        <v>0</v>
      </c>
      <c r="AJ42" s="20">
        <v>0</v>
      </c>
      <c r="AK42" s="111" t="s">
        <v>576</v>
      </c>
      <c r="AL42" s="20">
        <v>0</v>
      </c>
      <c r="AM42" s="20">
        <v>0</v>
      </c>
      <c r="AN42" s="20">
        <v>0</v>
      </c>
      <c r="AO42" s="20">
        <v>0</v>
      </c>
      <c r="AP42" s="20">
        <v>0</v>
      </c>
      <c r="AR42" s="20">
        <v>0</v>
      </c>
      <c r="AS42" s="20">
        <v>0</v>
      </c>
      <c r="AT42" s="20">
        <v>1629649.07</v>
      </c>
      <c r="AU42" s="20" t="s">
        <v>13</v>
      </c>
      <c r="AV42" s="20" t="s">
        <v>99</v>
      </c>
      <c r="AW42" s="111" t="s">
        <v>100</v>
      </c>
      <c r="AX42" s="20" t="s">
        <v>208</v>
      </c>
      <c r="AY42" s="19"/>
      <c r="AZ42" s="19">
        <v>0</v>
      </c>
      <c r="BA42" s="19">
        <v>161557.60999999999</v>
      </c>
      <c r="BB42" s="19">
        <v>1043</v>
      </c>
      <c r="BC42" s="66">
        <v>46120</v>
      </c>
      <c r="BD42" s="19" t="s">
        <v>65</v>
      </c>
      <c r="BE42" s="19" t="s">
        <v>210</v>
      </c>
      <c r="BF42" s="19" t="s">
        <v>210</v>
      </c>
      <c r="BG42" s="19">
        <v>2.5</v>
      </c>
      <c r="BH42" s="19">
        <v>4038.94</v>
      </c>
      <c r="BI42" s="19">
        <v>2.5</v>
      </c>
      <c r="BJ42" s="19">
        <v>4038.94</v>
      </c>
      <c r="BK42" s="19">
        <v>0</v>
      </c>
      <c r="BL42" s="19">
        <v>0</v>
      </c>
      <c r="BM42" s="19">
        <v>0</v>
      </c>
      <c r="BN42" s="19">
        <v>692156821985</v>
      </c>
      <c r="BO42" s="66">
        <v>46238</v>
      </c>
      <c r="BP42" s="19">
        <v>0</v>
      </c>
    </row>
    <row r="43" spans="1:68">
      <c r="A43" s="65"/>
      <c r="B43" s="20" t="s">
        <v>2165</v>
      </c>
      <c r="C43" s="111">
        <v>46120</v>
      </c>
      <c r="D43" s="20" t="s">
        <v>3444</v>
      </c>
      <c r="E43" s="20" t="s">
        <v>18</v>
      </c>
      <c r="F43" s="20" t="s">
        <v>19</v>
      </c>
      <c r="H43" s="20" t="s">
        <v>3446</v>
      </c>
      <c r="I43" s="20">
        <v>3912</v>
      </c>
      <c r="J43" s="20">
        <v>3912</v>
      </c>
      <c r="K43" s="20" t="s">
        <v>11</v>
      </c>
      <c r="L43" s="20">
        <v>3912</v>
      </c>
      <c r="M43" s="20">
        <v>0</v>
      </c>
      <c r="N43" s="20">
        <v>3912</v>
      </c>
      <c r="O43" s="20" t="s">
        <v>2154</v>
      </c>
      <c r="P43" s="20" t="s">
        <v>87</v>
      </c>
      <c r="Q43" s="20" t="s">
        <v>87</v>
      </c>
      <c r="R43" s="111" t="s">
        <v>2653</v>
      </c>
      <c r="S43" s="111">
        <v>46120</v>
      </c>
      <c r="T43" s="20" t="s">
        <v>206</v>
      </c>
      <c r="U43" s="20" t="s">
        <v>207</v>
      </c>
      <c r="V43" s="20" t="s">
        <v>2652</v>
      </c>
      <c r="W43" s="20">
        <v>142.32</v>
      </c>
      <c r="X43" s="20">
        <v>142.32000017466299</v>
      </c>
      <c r="Y43" s="111" t="s">
        <v>2653</v>
      </c>
      <c r="Z43" s="111">
        <v>46120</v>
      </c>
      <c r="AB43" s="20" t="s">
        <v>2290</v>
      </c>
      <c r="AD43" s="20" t="s">
        <v>2290</v>
      </c>
      <c r="AE43" s="20" t="s">
        <v>2290</v>
      </c>
      <c r="AF43" s="20">
        <v>0</v>
      </c>
      <c r="AG43" s="20">
        <v>0</v>
      </c>
      <c r="AH43" s="20">
        <v>0</v>
      </c>
      <c r="AI43" s="20">
        <v>0</v>
      </c>
      <c r="AJ43" s="20">
        <v>0</v>
      </c>
      <c r="AK43" s="111" t="s">
        <v>576</v>
      </c>
      <c r="AL43" s="20">
        <v>0</v>
      </c>
      <c r="AM43" s="20">
        <v>0</v>
      </c>
      <c r="AN43" s="20">
        <v>0</v>
      </c>
      <c r="AO43" s="20">
        <v>0</v>
      </c>
      <c r="AP43" s="20">
        <v>0</v>
      </c>
      <c r="AR43" s="20">
        <v>0</v>
      </c>
      <c r="AS43" s="20">
        <v>0</v>
      </c>
      <c r="AT43" s="20">
        <v>1629649.07</v>
      </c>
      <c r="AU43" s="20" t="s">
        <v>13</v>
      </c>
      <c r="AV43" s="20" t="s">
        <v>62</v>
      </c>
      <c r="AW43" s="111" t="s">
        <v>63</v>
      </c>
      <c r="AX43" s="20" t="s">
        <v>208</v>
      </c>
      <c r="AY43" s="19" t="s">
        <v>209</v>
      </c>
      <c r="AZ43" s="19">
        <v>0</v>
      </c>
      <c r="BA43" s="19">
        <v>556755.84</v>
      </c>
      <c r="BB43" s="19">
        <v>1043</v>
      </c>
      <c r="BC43" s="66">
        <v>46120</v>
      </c>
      <c r="BD43" s="19" t="s">
        <v>65</v>
      </c>
      <c r="BE43" s="19" t="s">
        <v>210</v>
      </c>
      <c r="BF43" s="19" t="s">
        <v>210</v>
      </c>
      <c r="BG43" s="19">
        <v>9</v>
      </c>
      <c r="BH43" s="19">
        <v>50108.03</v>
      </c>
      <c r="BI43" s="19">
        <v>9</v>
      </c>
      <c r="BJ43" s="19">
        <v>50108.03</v>
      </c>
      <c r="BK43" s="19">
        <v>0</v>
      </c>
      <c r="BL43" s="19">
        <v>0</v>
      </c>
      <c r="BM43" s="19">
        <v>0</v>
      </c>
      <c r="BN43" s="19">
        <v>692156821985</v>
      </c>
      <c r="BO43" s="66">
        <v>46238</v>
      </c>
      <c r="BP43" s="19">
        <v>0</v>
      </c>
    </row>
    <row r="44" spans="1:68">
      <c r="A44" s="65"/>
      <c r="B44" s="20" t="s">
        <v>2165</v>
      </c>
      <c r="C44" s="111">
        <v>46120</v>
      </c>
      <c r="D44" s="20" t="s">
        <v>3444</v>
      </c>
      <c r="E44" s="20" t="s">
        <v>18</v>
      </c>
      <c r="F44" s="20" t="s">
        <v>19</v>
      </c>
      <c r="H44" s="20" t="s">
        <v>3446</v>
      </c>
      <c r="I44" s="20">
        <v>239</v>
      </c>
      <c r="J44" s="20">
        <v>239</v>
      </c>
      <c r="K44" s="20" t="s">
        <v>11</v>
      </c>
      <c r="L44" s="20">
        <v>239</v>
      </c>
      <c r="M44" s="20">
        <v>0</v>
      </c>
      <c r="N44" s="20">
        <v>239</v>
      </c>
      <c r="O44" s="20" t="s">
        <v>2154</v>
      </c>
      <c r="P44" s="20" t="s">
        <v>87</v>
      </c>
      <c r="Q44" s="20" t="s">
        <v>87</v>
      </c>
      <c r="R44" s="111" t="s">
        <v>2653</v>
      </c>
      <c r="S44" s="111">
        <v>46120</v>
      </c>
      <c r="T44" s="20" t="s">
        <v>206</v>
      </c>
      <c r="U44" s="20" t="s">
        <v>207</v>
      </c>
      <c r="V44" s="20" t="s">
        <v>2652</v>
      </c>
      <c r="W44" s="20">
        <v>144.32</v>
      </c>
      <c r="X44" s="20">
        <v>144.320000177118</v>
      </c>
      <c r="Y44" s="111" t="s">
        <v>2653</v>
      </c>
      <c r="Z44" s="111">
        <v>46120</v>
      </c>
      <c r="AB44" s="20" t="s">
        <v>2290</v>
      </c>
      <c r="AD44" s="20" t="s">
        <v>2290</v>
      </c>
      <c r="AE44" s="20" t="s">
        <v>2290</v>
      </c>
      <c r="AF44" s="20">
        <v>0</v>
      </c>
      <c r="AG44" s="20">
        <v>0</v>
      </c>
      <c r="AH44" s="20">
        <v>0</v>
      </c>
      <c r="AI44" s="20">
        <v>0</v>
      </c>
      <c r="AJ44" s="20">
        <v>0</v>
      </c>
      <c r="AK44" s="111" t="s">
        <v>576</v>
      </c>
      <c r="AL44" s="20">
        <v>0</v>
      </c>
      <c r="AM44" s="20">
        <v>0</v>
      </c>
      <c r="AN44" s="20">
        <v>0</v>
      </c>
      <c r="AO44" s="20">
        <v>0</v>
      </c>
      <c r="AP44" s="20">
        <v>0</v>
      </c>
      <c r="AR44" s="20">
        <v>0</v>
      </c>
      <c r="AS44" s="20">
        <v>0</v>
      </c>
      <c r="AT44" s="20">
        <v>1629649.07</v>
      </c>
      <c r="AU44" s="20" t="s">
        <v>13</v>
      </c>
      <c r="AV44" s="20" t="s">
        <v>62</v>
      </c>
      <c r="AW44" s="111" t="s">
        <v>63</v>
      </c>
      <c r="AX44" s="20" t="s">
        <v>208</v>
      </c>
      <c r="AY44" s="19" t="s">
        <v>209</v>
      </c>
      <c r="AZ44" s="19">
        <v>0</v>
      </c>
      <c r="BA44" s="19">
        <v>34492.480000000003</v>
      </c>
      <c r="BB44" s="19">
        <v>1043</v>
      </c>
      <c r="BC44" s="66">
        <v>46120</v>
      </c>
      <c r="BD44" s="19" t="s">
        <v>65</v>
      </c>
      <c r="BE44" s="19" t="s">
        <v>210</v>
      </c>
      <c r="BF44" s="19" t="s">
        <v>210</v>
      </c>
      <c r="BG44" s="19">
        <v>9</v>
      </c>
      <c r="BH44" s="19">
        <v>3104.32</v>
      </c>
      <c r="BI44" s="19">
        <v>9</v>
      </c>
      <c r="BJ44" s="19">
        <v>3104.32</v>
      </c>
      <c r="BK44" s="19">
        <v>0</v>
      </c>
      <c r="BL44" s="19">
        <v>0</v>
      </c>
      <c r="BM44" s="19">
        <v>0</v>
      </c>
      <c r="BN44" s="19">
        <v>692156821985</v>
      </c>
      <c r="BO44" s="66">
        <v>46238</v>
      </c>
      <c r="BP44" s="19">
        <v>0</v>
      </c>
    </row>
    <row r="45" spans="1:68">
      <c r="A45" s="65"/>
      <c r="B45" s="20" t="s">
        <v>2165</v>
      </c>
      <c r="C45" s="111">
        <v>46150</v>
      </c>
      <c r="D45" s="20" t="s">
        <v>3447</v>
      </c>
      <c r="E45" s="20" t="s">
        <v>211</v>
      </c>
      <c r="F45" s="20" t="s">
        <v>16</v>
      </c>
      <c r="H45" s="20" t="s">
        <v>3448</v>
      </c>
      <c r="I45" s="20">
        <v>2226</v>
      </c>
      <c r="J45" s="20">
        <v>2226</v>
      </c>
      <c r="K45" s="20" t="s">
        <v>11</v>
      </c>
      <c r="L45" s="20">
        <v>2226</v>
      </c>
      <c r="M45" s="20">
        <v>0</v>
      </c>
      <c r="N45" s="20">
        <v>2226</v>
      </c>
      <c r="O45" s="20" t="s">
        <v>3449</v>
      </c>
      <c r="P45" s="20" t="s">
        <v>94</v>
      </c>
      <c r="Q45" s="20" t="s">
        <v>94</v>
      </c>
      <c r="R45" s="111" t="s">
        <v>2673</v>
      </c>
      <c r="S45" s="111">
        <v>46150</v>
      </c>
      <c r="T45" s="20" t="s">
        <v>206</v>
      </c>
      <c r="U45" s="20" t="s">
        <v>207</v>
      </c>
      <c r="V45" s="20" t="s">
        <v>2672</v>
      </c>
      <c r="W45" s="20">
        <v>208.89</v>
      </c>
      <c r="X45" s="20">
        <v>208.89</v>
      </c>
      <c r="Y45" s="111" t="s">
        <v>2673</v>
      </c>
      <c r="Z45" s="111">
        <v>46150</v>
      </c>
      <c r="AB45" s="20" t="s">
        <v>2290</v>
      </c>
      <c r="AD45" s="20" t="s">
        <v>2290</v>
      </c>
      <c r="AE45" s="20" t="s">
        <v>2290</v>
      </c>
      <c r="AF45" s="20">
        <v>0</v>
      </c>
      <c r="AG45" s="20">
        <v>0</v>
      </c>
      <c r="AH45" s="20">
        <v>0</v>
      </c>
      <c r="AI45" s="20">
        <v>0</v>
      </c>
      <c r="AJ45" s="20">
        <v>0</v>
      </c>
      <c r="AK45" s="111" t="s">
        <v>576</v>
      </c>
      <c r="AL45" s="20">
        <v>0</v>
      </c>
      <c r="AM45" s="20">
        <v>0</v>
      </c>
      <c r="AN45" s="20">
        <v>0</v>
      </c>
      <c r="AO45" s="20">
        <v>0</v>
      </c>
      <c r="AP45" s="20">
        <v>0</v>
      </c>
      <c r="AR45" s="20">
        <v>0</v>
      </c>
      <c r="AS45" s="20">
        <v>0</v>
      </c>
      <c r="AT45" s="20">
        <v>1206501.6599999999</v>
      </c>
      <c r="AU45" s="20" t="s">
        <v>15</v>
      </c>
      <c r="AV45" s="20" t="s">
        <v>57</v>
      </c>
      <c r="AW45" s="111" t="s">
        <v>57</v>
      </c>
      <c r="AX45" s="20" t="s">
        <v>15</v>
      </c>
      <c r="AY45" s="19" t="s">
        <v>209</v>
      </c>
      <c r="AZ45" s="19">
        <v>0</v>
      </c>
      <c r="BA45" s="19">
        <v>464989.14</v>
      </c>
      <c r="BB45" s="19">
        <v>1054</v>
      </c>
      <c r="BC45" s="66">
        <v>46150</v>
      </c>
      <c r="BD45" s="19" t="s">
        <v>74</v>
      </c>
      <c r="BE45" s="19" t="s">
        <v>210</v>
      </c>
      <c r="BF45" s="19" t="s">
        <v>210</v>
      </c>
      <c r="BG45" s="19">
        <v>9</v>
      </c>
      <c r="BH45" s="19">
        <v>41849.019999999997</v>
      </c>
      <c r="BI45" s="19">
        <v>9</v>
      </c>
      <c r="BJ45" s="19">
        <v>41849.019999999997</v>
      </c>
      <c r="BK45" s="19">
        <v>0</v>
      </c>
      <c r="BL45" s="19">
        <v>0</v>
      </c>
      <c r="BM45" s="19">
        <v>1206501.6599999999</v>
      </c>
      <c r="BN45" s="19">
        <v>612157430645</v>
      </c>
      <c r="BO45" s="66">
        <v>46239</v>
      </c>
      <c r="BP45" s="19">
        <v>0</v>
      </c>
    </row>
    <row r="46" spans="1:68">
      <c r="A46" s="65"/>
      <c r="B46" s="20" t="s">
        <v>2165</v>
      </c>
      <c r="C46" s="111">
        <v>46150</v>
      </c>
      <c r="D46" s="20" t="s">
        <v>3447</v>
      </c>
      <c r="E46" s="20" t="s">
        <v>211</v>
      </c>
      <c r="F46" s="20" t="s">
        <v>16</v>
      </c>
      <c r="H46" s="20" t="s">
        <v>3448</v>
      </c>
      <c r="I46" s="20">
        <v>2697</v>
      </c>
      <c r="J46" s="20">
        <v>2697</v>
      </c>
      <c r="K46" s="20" t="s">
        <v>11</v>
      </c>
      <c r="L46" s="20">
        <v>2697</v>
      </c>
      <c r="M46" s="20">
        <v>0</v>
      </c>
      <c r="N46" s="20">
        <v>2697</v>
      </c>
      <c r="O46" s="20" t="s">
        <v>3449</v>
      </c>
      <c r="P46" s="20" t="s">
        <v>94</v>
      </c>
      <c r="Q46" s="20" t="s">
        <v>94</v>
      </c>
      <c r="R46" s="111" t="s">
        <v>2673</v>
      </c>
      <c r="S46" s="111">
        <v>46150</v>
      </c>
      <c r="T46" s="20" t="s">
        <v>206</v>
      </c>
      <c r="U46" s="20" t="s">
        <v>207</v>
      </c>
      <c r="V46" s="20" t="s">
        <v>2672</v>
      </c>
      <c r="W46" s="20">
        <v>206.7</v>
      </c>
      <c r="X46" s="20">
        <v>206.7</v>
      </c>
      <c r="Y46" s="111" t="s">
        <v>2673</v>
      </c>
      <c r="Z46" s="111">
        <v>46150</v>
      </c>
      <c r="AB46" s="20" t="s">
        <v>2290</v>
      </c>
      <c r="AD46" s="20" t="s">
        <v>2290</v>
      </c>
      <c r="AE46" s="20" t="s">
        <v>2290</v>
      </c>
      <c r="AF46" s="20">
        <v>0</v>
      </c>
      <c r="AG46" s="20">
        <v>0</v>
      </c>
      <c r="AH46" s="20">
        <v>0</v>
      </c>
      <c r="AI46" s="20">
        <v>0</v>
      </c>
      <c r="AJ46" s="20">
        <v>0</v>
      </c>
      <c r="AK46" s="111" t="s">
        <v>576</v>
      </c>
      <c r="AL46" s="20">
        <v>0</v>
      </c>
      <c r="AM46" s="20">
        <v>0</v>
      </c>
      <c r="AN46" s="20">
        <v>0</v>
      </c>
      <c r="AO46" s="20">
        <v>0</v>
      </c>
      <c r="AP46" s="20">
        <v>0</v>
      </c>
      <c r="AR46" s="20">
        <v>0</v>
      </c>
      <c r="AS46" s="20">
        <v>0</v>
      </c>
      <c r="AT46" s="20">
        <v>1206501.6599999999</v>
      </c>
      <c r="AU46" s="20" t="s">
        <v>15</v>
      </c>
      <c r="AV46" s="20" t="s">
        <v>57</v>
      </c>
      <c r="AW46" s="111" t="s">
        <v>57</v>
      </c>
      <c r="AX46" s="20" t="s">
        <v>15</v>
      </c>
      <c r="AY46" s="19" t="s">
        <v>209</v>
      </c>
      <c r="AZ46" s="19">
        <v>0</v>
      </c>
      <c r="BA46" s="19">
        <v>557469.9</v>
      </c>
      <c r="BB46" s="19">
        <v>1054</v>
      </c>
      <c r="BC46" s="66">
        <v>46150</v>
      </c>
      <c r="BD46" s="19" t="s">
        <v>74</v>
      </c>
      <c r="BE46" s="19" t="s">
        <v>210</v>
      </c>
      <c r="BF46" s="19" t="s">
        <v>210</v>
      </c>
      <c r="BG46" s="19">
        <v>9</v>
      </c>
      <c r="BH46" s="19">
        <v>50172.29</v>
      </c>
      <c r="BI46" s="19">
        <v>9</v>
      </c>
      <c r="BJ46" s="19">
        <v>50172.29</v>
      </c>
      <c r="BK46" s="19">
        <v>0</v>
      </c>
      <c r="BL46" s="19">
        <v>0</v>
      </c>
      <c r="BM46" s="19">
        <v>0</v>
      </c>
      <c r="BN46" s="19">
        <v>612157430645</v>
      </c>
      <c r="BO46" s="66">
        <v>46239</v>
      </c>
      <c r="BP46" s="19">
        <v>0</v>
      </c>
    </row>
    <row r="47" spans="1:68">
      <c r="A47" s="65"/>
      <c r="B47" s="20" t="s">
        <v>2165</v>
      </c>
      <c r="C47" s="111">
        <v>46150</v>
      </c>
      <c r="D47" s="20" t="s">
        <v>3450</v>
      </c>
      <c r="E47" s="20" t="s">
        <v>211</v>
      </c>
      <c r="F47" s="20" t="s">
        <v>16</v>
      </c>
      <c r="H47" s="20" t="s">
        <v>3451</v>
      </c>
      <c r="I47" s="20">
        <v>2148</v>
      </c>
      <c r="J47" s="20">
        <v>2148</v>
      </c>
      <c r="K47" s="20" t="s">
        <v>11</v>
      </c>
      <c r="L47" s="20">
        <v>2148</v>
      </c>
      <c r="M47" s="20">
        <v>0</v>
      </c>
      <c r="N47" s="20">
        <v>2148</v>
      </c>
      <c r="O47" s="20" t="s">
        <v>2154</v>
      </c>
      <c r="P47" s="20" t="s">
        <v>87</v>
      </c>
      <c r="Q47" s="20" t="s">
        <v>87</v>
      </c>
      <c r="R47" s="111" t="s">
        <v>2663</v>
      </c>
      <c r="S47" s="111">
        <v>46150</v>
      </c>
      <c r="T47" s="20" t="s">
        <v>206</v>
      </c>
      <c r="U47" s="20" t="s">
        <v>207</v>
      </c>
      <c r="V47" s="20" t="s">
        <v>2662</v>
      </c>
      <c r="W47" s="20">
        <v>179.17</v>
      </c>
      <c r="X47" s="20">
        <v>179.17</v>
      </c>
      <c r="Y47" s="111" t="s">
        <v>2663</v>
      </c>
      <c r="Z47" s="111">
        <v>46150</v>
      </c>
      <c r="AB47" s="20" t="s">
        <v>2290</v>
      </c>
      <c r="AD47" s="20" t="s">
        <v>2290</v>
      </c>
      <c r="AE47" s="20" t="s">
        <v>2290</v>
      </c>
      <c r="AF47" s="20">
        <v>0</v>
      </c>
      <c r="AG47" s="20">
        <v>0</v>
      </c>
      <c r="AH47" s="20">
        <v>0</v>
      </c>
      <c r="AI47" s="20">
        <v>0</v>
      </c>
      <c r="AJ47" s="20">
        <v>0</v>
      </c>
      <c r="AK47" s="111" t="s">
        <v>576</v>
      </c>
      <c r="AL47" s="20">
        <v>0</v>
      </c>
      <c r="AM47" s="20">
        <v>0</v>
      </c>
      <c r="AN47" s="20">
        <v>0</v>
      </c>
      <c r="AO47" s="20">
        <v>0</v>
      </c>
      <c r="AP47" s="20">
        <v>0</v>
      </c>
      <c r="AR47" s="20">
        <v>0</v>
      </c>
      <c r="AS47" s="20">
        <v>0</v>
      </c>
      <c r="AT47" s="20">
        <v>1880218.01</v>
      </c>
      <c r="AU47" s="20" t="s">
        <v>15</v>
      </c>
      <c r="AV47" s="20" t="s">
        <v>57</v>
      </c>
      <c r="AW47" s="111" t="s">
        <v>57</v>
      </c>
      <c r="AX47" s="20" t="s">
        <v>15</v>
      </c>
      <c r="AY47" s="19" t="s">
        <v>209</v>
      </c>
      <c r="AZ47" s="19">
        <v>0</v>
      </c>
      <c r="BA47" s="19">
        <v>384857.16</v>
      </c>
      <c r="BB47" s="19">
        <v>1055</v>
      </c>
      <c r="BC47" s="66">
        <v>46150</v>
      </c>
      <c r="BD47" s="19" t="s">
        <v>65</v>
      </c>
      <c r="BE47" s="19" t="s">
        <v>210</v>
      </c>
      <c r="BF47" s="19" t="s">
        <v>210</v>
      </c>
      <c r="BG47" s="19">
        <v>9</v>
      </c>
      <c r="BH47" s="19">
        <v>34637.14</v>
      </c>
      <c r="BI47" s="19">
        <v>9</v>
      </c>
      <c r="BJ47" s="19">
        <v>34637.14</v>
      </c>
      <c r="BK47" s="19">
        <v>0</v>
      </c>
      <c r="BL47" s="19">
        <v>0</v>
      </c>
      <c r="BM47" s="19">
        <v>1880218.01</v>
      </c>
      <c r="BN47" s="19">
        <v>682157391905</v>
      </c>
      <c r="BO47" s="66">
        <v>46239</v>
      </c>
      <c r="BP47" s="19">
        <v>0</v>
      </c>
    </row>
    <row r="48" spans="1:68">
      <c r="A48" s="65"/>
      <c r="B48" s="20" t="s">
        <v>2165</v>
      </c>
      <c r="C48" s="111">
        <v>46150</v>
      </c>
      <c r="D48" s="20" t="s">
        <v>3450</v>
      </c>
      <c r="E48" s="20" t="s">
        <v>211</v>
      </c>
      <c r="F48" s="20" t="s">
        <v>16</v>
      </c>
      <c r="H48" s="20" t="s">
        <v>3451</v>
      </c>
      <c r="I48" s="20">
        <v>1845</v>
      </c>
      <c r="J48" s="20">
        <v>1845</v>
      </c>
      <c r="K48" s="20" t="s">
        <v>11</v>
      </c>
      <c r="L48" s="20">
        <v>1845</v>
      </c>
      <c r="M48" s="20">
        <v>0</v>
      </c>
      <c r="N48" s="20">
        <v>1845</v>
      </c>
      <c r="O48" s="20" t="s">
        <v>2154</v>
      </c>
      <c r="P48" s="20" t="s">
        <v>87</v>
      </c>
      <c r="Q48" s="20" t="s">
        <v>87</v>
      </c>
      <c r="R48" s="111" t="s">
        <v>2663</v>
      </c>
      <c r="S48" s="111">
        <v>46150</v>
      </c>
      <c r="T48" s="20" t="s">
        <v>206</v>
      </c>
      <c r="U48" s="20" t="s">
        <v>207</v>
      </c>
      <c r="V48" s="20" t="s">
        <v>2662</v>
      </c>
      <c r="W48" s="20">
        <v>199.32</v>
      </c>
      <c r="X48" s="20">
        <v>199.32</v>
      </c>
      <c r="Y48" s="111" t="s">
        <v>2663</v>
      </c>
      <c r="Z48" s="111">
        <v>46150</v>
      </c>
      <c r="AB48" s="20" t="s">
        <v>2290</v>
      </c>
      <c r="AD48" s="20" t="s">
        <v>2290</v>
      </c>
      <c r="AE48" s="20" t="s">
        <v>2290</v>
      </c>
      <c r="AF48" s="20">
        <v>0</v>
      </c>
      <c r="AG48" s="20">
        <v>0</v>
      </c>
      <c r="AH48" s="20">
        <v>0</v>
      </c>
      <c r="AI48" s="20">
        <v>0</v>
      </c>
      <c r="AJ48" s="20">
        <v>0</v>
      </c>
      <c r="AK48" s="111" t="s">
        <v>576</v>
      </c>
      <c r="AL48" s="20">
        <v>0</v>
      </c>
      <c r="AM48" s="20">
        <v>0</v>
      </c>
      <c r="AN48" s="20">
        <v>0</v>
      </c>
      <c r="AO48" s="20">
        <v>0</v>
      </c>
      <c r="AP48" s="20">
        <v>0</v>
      </c>
      <c r="AR48" s="20">
        <v>0</v>
      </c>
      <c r="AS48" s="20">
        <v>0</v>
      </c>
      <c r="AT48" s="20">
        <v>1880218.01</v>
      </c>
      <c r="AU48" s="20" t="s">
        <v>15</v>
      </c>
      <c r="AV48" s="20" t="s">
        <v>57</v>
      </c>
      <c r="AW48" s="111" t="s">
        <v>57</v>
      </c>
      <c r="AX48" s="20" t="s">
        <v>15</v>
      </c>
      <c r="AY48" s="19" t="s">
        <v>209</v>
      </c>
      <c r="AZ48" s="19">
        <v>0</v>
      </c>
      <c r="BA48" s="19">
        <v>367745.4</v>
      </c>
      <c r="BB48" s="19">
        <v>1055</v>
      </c>
      <c r="BC48" s="66">
        <v>46150</v>
      </c>
      <c r="BD48" s="19" t="s">
        <v>65</v>
      </c>
      <c r="BE48" s="19" t="s">
        <v>210</v>
      </c>
      <c r="BF48" s="19" t="s">
        <v>210</v>
      </c>
      <c r="BG48" s="19">
        <v>9</v>
      </c>
      <c r="BH48" s="19">
        <v>33097.089999999997</v>
      </c>
      <c r="BI48" s="19">
        <v>9</v>
      </c>
      <c r="BJ48" s="19">
        <v>33097.089999999997</v>
      </c>
      <c r="BK48" s="19">
        <v>0</v>
      </c>
      <c r="BL48" s="19">
        <v>0</v>
      </c>
      <c r="BM48" s="19">
        <v>0</v>
      </c>
      <c r="BN48" s="19">
        <v>682157391905</v>
      </c>
      <c r="BO48" s="66">
        <v>46239</v>
      </c>
      <c r="BP48" s="19">
        <v>0</v>
      </c>
    </row>
    <row r="49" spans="1:68">
      <c r="A49" s="65"/>
      <c r="B49" s="20" t="s">
        <v>2165</v>
      </c>
      <c r="C49" s="111">
        <v>46150</v>
      </c>
      <c r="D49" s="20" t="s">
        <v>3450</v>
      </c>
      <c r="E49" s="20" t="s">
        <v>211</v>
      </c>
      <c r="F49" s="20" t="s">
        <v>16</v>
      </c>
      <c r="H49" s="20" t="s">
        <v>3451</v>
      </c>
      <c r="I49" s="20">
        <v>727</v>
      </c>
      <c r="J49" s="20">
        <v>727</v>
      </c>
      <c r="K49" s="20" t="s">
        <v>11</v>
      </c>
      <c r="L49" s="20">
        <v>727</v>
      </c>
      <c r="M49" s="20">
        <v>0</v>
      </c>
      <c r="N49" s="20">
        <v>727</v>
      </c>
      <c r="O49" s="20" t="s">
        <v>2154</v>
      </c>
      <c r="P49" s="20" t="s">
        <v>87</v>
      </c>
      <c r="Q49" s="20" t="s">
        <v>87</v>
      </c>
      <c r="R49" s="111" t="s">
        <v>2663</v>
      </c>
      <c r="S49" s="111">
        <v>46150</v>
      </c>
      <c r="T49" s="20" t="s">
        <v>206</v>
      </c>
      <c r="U49" s="20" t="s">
        <v>207</v>
      </c>
      <c r="V49" s="20" t="s">
        <v>2662</v>
      </c>
      <c r="W49" s="20">
        <v>193.81</v>
      </c>
      <c r="X49" s="20">
        <v>193.81</v>
      </c>
      <c r="Y49" s="111" t="s">
        <v>2663</v>
      </c>
      <c r="Z49" s="111">
        <v>46150</v>
      </c>
      <c r="AB49" s="20" t="s">
        <v>2290</v>
      </c>
      <c r="AD49" s="20" t="s">
        <v>2290</v>
      </c>
      <c r="AE49" s="20" t="s">
        <v>2290</v>
      </c>
      <c r="AF49" s="20">
        <v>0</v>
      </c>
      <c r="AG49" s="20">
        <v>0</v>
      </c>
      <c r="AH49" s="20">
        <v>0</v>
      </c>
      <c r="AI49" s="20">
        <v>0</v>
      </c>
      <c r="AJ49" s="20">
        <v>0</v>
      </c>
      <c r="AK49" s="111" t="s">
        <v>576</v>
      </c>
      <c r="AL49" s="20">
        <v>0</v>
      </c>
      <c r="AM49" s="20">
        <v>0</v>
      </c>
      <c r="AN49" s="20">
        <v>0</v>
      </c>
      <c r="AO49" s="20">
        <v>0</v>
      </c>
      <c r="AP49" s="20">
        <v>0</v>
      </c>
      <c r="AR49" s="20">
        <v>0</v>
      </c>
      <c r="AS49" s="20">
        <v>0</v>
      </c>
      <c r="AT49" s="20">
        <v>1880218.01</v>
      </c>
      <c r="AU49" s="20" t="s">
        <v>15</v>
      </c>
      <c r="AV49" s="20" t="s">
        <v>57</v>
      </c>
      <c r="AW49" s="111" t="s">
        <v>57</v>
      </c>
      <c r="AX49" s="20" t="s">
        <v>15</v>
      </c>
      <c r="AY49" s="19" t="s">
        <v>209</v>
      </c>
      <c r="AZ49" s="19">
        <v>0</v>
      </c>
      <c r="BA49" s="19">
        <v>140899.87</v>
      </c>
      <c r="BB49" s="19">
        <v>1055</v>
      </c>
      <c r="BC49" s="66">
        <v>46150</v>
      </c>
      <c r="BD49" s="19" t="s">
        <v>65</v>
      </c>
      <c r="BE49" s="19" t="s">
        <v>210</v>
      </c>
      <c r="BF49" s="19" t="s">
        <v>210</v>
      </c>
      <c r="BG49" s="19">
        <v>9</v>
      </c>
      <c r="BH49" s="19">
        <v>12680.99</v>
      </c>
      <c r="BI49" s="19">
        <v>9</v>
      </c>
      <c r="BJ49" s="19">
        <v>12680.99</v>
      </c>
      <c r="BK49" s="19">
        <v>0</v>
      </c>
      <c r="BL49" s="19">
        <v>0</v>
      </c>
      <c r="BM49" s="19">
        <v>0</v>
      </c>
      <c r="BN49" s="19">
        <v>682157391905</v>
      </c>
      <c r="BO49" s="66">
        <v>46239</v>
      </c>
      <c r="BP49" s="19">
        <v>0</v>
      </c>
    </row>
    <row r="50" spans="1:68">
      <c r="A50" s="65"/>
      <c r="B50" s="20" t="s">
        <v>2165</v>
      </c>
      <c r="C50" s="111">
        <v>46150</v>
      </c>
      <c r="D50" s="20" t="s">
        <v>3450</v>
      </c>
      <c r="E50" s="20" t="s">
        <v>211</v>
      </c>
      <c r="F50" s="20" t="s">
        <v>16</v>
      </c>
      <c r="H50" s="20" t="s">
        <v>3451</v>
      </c>
      <c r="I50" s="20">
        <v>3083</v>
      </c>
      <c r="J50" s="20">
        <v>3083</v>
      </c>
      <c r="K50" s="20" t="s">
        <v>11</v>
      </c>
      <c r="L50" s="20">
        <v>3083</v>
      </c>
      <c r="M50" s="20">
        <v>0</v>
      </c>
      <c r="N50" s="20">
        <v>3083</v>
      </c>
      <c r="O50" s="20" t="s">
        <v>2154</v>
      </c>
      <c r="P50" s="20" t="s">
        <v>87</v>
      </c>
      <c r="Q50" s="20" t="s">
        <v>87</v>
      </c>
      <c r="R50" s="111" t="s">
        <v>2663</v>
      </c>
      <c r="S50" s="111">
        <v>46150</v>
      </c>
      <c r="T50" s="20" t="s">
        <v>206</v>
      </c>
      <c r="U50" s="20" t="s">
        <v>207</v>
      </c>
      <c r="V50" s="20" t="s">
        <v>2662</v>
      </c>
      <c r="W50" s="20">
        <v>227.02</v>
      </c>
      <c r="X50" s="20">
        <v>227.02</v>
      </c>
      <c r="Y50" s="111" t="s">
        <v>2663</v>
      </c>
      <c r="Z50" s="111">
        <v>46150</v>
      </c>
      <c r="AB50" s="20" t="s">
        <v>2290</v>
      </c>
      <c r="AD50" s="20" t="s">
        <v>2290</v>
      </c>
      <c r="AE50" s="20" t="s">
        <v>2290</v>
      </c>
      <c r="AF50" s="20">
        <v>0</v>
      </c>
      <c r="AG50" s="20">
        <v>0</v>
      </c>
      <c r="AH50" s="20">
        <v>0</v>
      </c>
      <c r="AI50" s="20">
        <v>0</v>
      </c>
      <c r="AJ50" s="20">
        <v>0</v>
      </c>
      <c r="AK50" s="111" t="s">
        <v>576</v>
      </c>
      <c r="AL50" s="20">
        <v>0</v>
      </c>
      <c r="AM50" s="20">
        <v>0</v>
      </c>
      <c r="AN50" s="20">
        <v>0</v>
      </c>
      <c r="AO50" s="20">
        <v>0</v>
      </c>
      <c r="AP50" s="20">
        <v>0</v>
      </c>
      <c r="AR50" s="20">
        <v>0</v>
      </c>
      <c r="AS50" s="20">
        <v>0</v>
      </c>
      <c r="AT50" s="20">
        <v>1880218.01</v>
      </c>
      <c r="AU50" s="20" t="s">
        <v>15</v>
      </c>
      <c r="AV50" s="20" t="s">
        <v>57</v>
      </c>
      <c r="AW50" s="111" t="s">
        <v>57</v>
      </c>
      <c r="AX50" s="20" t="s">
        <v>15</v>
      </c>
      <c r="AY50" s="19" t="s">
        <v>209</v>
      </c>
      <c r="AZ50" s="19">
        <v>0</v>
      </c>
      <c r="BA50" s="19">
        <v>699902.66</v>
      </c>
      <c r="BB50" s="19">
        <v>1055</v>
      </c>
      <c r="BC50" s="66">
        <v>46150</v>
      </c>
      <c r="BD50" s="19" t="s">
        <v>65</v>
      </c>
      <c r="BE50" s="19" t="s">
        <v>210</v>
      </c>
      <c r="BF50" s="19" t="s">
        <v>210</v>
      </c>
      <c r="BG50" s="19">
        <v>9</v>
      </c>
      <c r="BH50" s="19">
        <v>62991.24</v>
      </c>
      <c r="BI50" s="19">
        <v>9</v>
      </c>
      <c r="BJ50" s="19">
        <v>62991.24</v>
      </c>
      <c r="BK50" s="19">
        <v>0</v>
      </c>
      <c r="BL50" s="19">
        <v>0</v>
      </c>
      <c r="BM50" s="19">
        <v>0</v>
      </c>
      <c r="BN50" s="19">
        <v>682157391905</v>
      </c>
      <c r="BO50" s="66">
        <v>46239</v>
      </c>
      <c r="BP50" s="19">
        <v>0</v>
      </c>
    </row>
    <row r="51" spans="1:68">
      <c r="A51" s="65"/>
      <c r="B51" s="20" t="s">
        <v>2165</v>
      </c>
      <c r="C51" s="111">
        <v>46150</v>
      </c>
      <c r="D51" s="20" t="s">
        <v>3452</v>
      </c>
      <c r="E51" s="20" t="s">
        <v>23</v>
      </c>
      <c r="F51" s="20" t="s">
        <v>24</v>
      </c>
      <c r="H51" s="20" t="s">
        <v>3453</v>
      </c>
      <c r="I51" s="20">
        <v>1780</v>
      </c>
      <c r="J51" s="20">
        <v>1780</v>
      </c>
      <c r="K51" s="20" t="s">
        <v>11</v>
      </c>
      <c r="L51" s="20">
        <v>1780</v>
      </c>
      <c r="M51" s="20">
        <v>0</v>
      </c>
      <c r="N51" s="20">
        <v>1780</v>
      </c>
      <c r="O51" s="20" t="s">
        <v>2154</v>
      </c>
      <c r="P51" s="20" t="s">
        <v>87</v>
      </c>
      <c r="Q51" s="20" t="s">
        <v>87</v>
      </c>
      <c r="R51" s="111" t="s">
        <v>2665</v>
      </c>
      <c r="S51" s="111">
        <v>46150</v>
      </c>
      <c r="T51" s="20" t="s">
        <v>206</v>
      </c>
      <c r="U51" s="20" t="s">
        <v>207</v>
      </c>
      <c r="V51" s="20" t="s">
        <v>2664</v>
      </c>
      <c r="W51" s="20">
        <v>147.32</v>
      </c>
      <c r="X51" s="20">
        <v>147.32000057481901</v>
      </c>
      <c r="Y51" s="111" t="s">
        <v>2665</v>
      </c>
      <c r="Z51" s="111">
        <v>46150</v>
      </c>
      <c r="AB51" s="20" t="s">
        <v>2290</v>
      </c>
      <c r="AD51" s="20" t="s">
        <v>2290</v>
      </c>
      <c r="AE51" s="20" t="s">
        <v>2290</v>
      </c>
      <c r="AF51" s="20">
        <v>0</v>
      </c>
      <c r="AG51" s="20">
        <v>0</v>
      </c>
      <c r="AH51" s="20">
        <v>0</v>
      </c>
      <c r="AI51" s="20">
        <v>0</v>
      </c>
      <c r="AJ51" s="20">
        <v>0</v>
      </c>
      <c r="AK51" s="111" t="s">
        <v>576</v>
      </c>
      <c r="AL51" s="20">
        <v>0</v>
      </c>
      <c r="AM51" s="20">
        <v>0</v>
      </c>
      <c r="AN51" s="20">
        <v>0</v>
      </c>
      <c r="AO51" s="20">
        <v>0</v>
      </c>
      <c r="AP51" s="20">
        <v>0</v>
      </c>
      <c r="AR51" s="20">
        <v>0</v>
      </c>
      <c r="AS51" s="20">
        <v>0</v>
      </c>
      <c r="AT51" s="20">
        <v>512578.93</v>
      </c>
      <c r="AU51" s="20" t="s">
        <v>13</v>
      </c>
      <c r="AV51" s="20" t="s">
        <v>24</v>
      </c>
      <c r="AW51" s="111" t="s">
        <v>79</v>
      </c>
      <c r="AX51" s="20" t="s">
        <v>208</v>
      </c>
      <c r="AY51" s="19" t="s">
        <v>209</v>
      </c>
      <c r="AZ51" s="19">
        <v>0</v>
      </c>
      <c r="BA51" s="19">
        <v>262229.59999999998</v>
      </c>
      <c r="BB51" s="19">
        <v>1056</v>
      </c>
      <c r="BC51" s="66">
        <v>46150</v>
      </c>
      <c r="BD51" s="19" t="s">
        <v>65</v>
      </c>
      <c r="BE51" s="19" t="s">
        <v>210</v>
      </c>
      <c r="BF51" s="19" t="s">
        <v>210</v>
      </c>
      <c r="BG51" s="19">
        <v>9</v>
      </c>
      <c r="BH51" s="19">
        <v>23600.66</v>
      </c>
      <c r="BI51" s="19">
        <v>9</v>
      </c>
      <c r="BJ51" s="19">
        <v>23600.66</v>
      </c>
      <c r="BK51" s="19">
        <v>0</v>
      </c>
      <c r="BL51" s="19">
        <v>0</v>
      </c>
      <c r="BM51" s="19">
        <v>512578.93</v>
      </c>
      <c r="BN51" s="19">
        <v>692157473459</v>
      </c>
      <c r="BO51" s="66">
        <v>46239</v>
      </c>
      <c r="BP51" s="19">
        <v>0</v>
      </c>
    </row>
    <row r="52" spans="1:68">
      <c r="A52" s="65"/>
      <c r="B52" s="20" t="s">
        <v>2165</v>
      </c>
      <c r="C52" s="111">
        <v>46150</v>
      </c>
      <c r="D52" s="20" t="s">
        <v>3452</v>
      </c>
      <c r="E52" s="20" t="s">
        <v>23</v>
      </c>
      <c r="F52" s="20" t="s">
        <v>24</v>
      </c>
      <c r="H52" s="20" t="s">
        <v>3453</v>
      </c>
      <c r="I52" s="20">
        <v>1192.9000000000001</v>
      </c>
      <c r="J52" s="20">
        <v>1192.9000000000001</v>
      </c>
      <c r="K52" s="20" t="s">
        <v>11</v>
      </c>
      <c r="L52" s="20">
        <v>1192.9000000000001</v>
      </c>
      <c r="M52" s="20">
        <v>0</v>
      </c>
      <c r="N52" s="20">
        <v>1192.9000000000001</v>
      </c>
      <c r="O52" s="20" t="s">
        <v>2154</v>
      </c>
      <c r="P52" s="20" t="s">
        <v>87</v>
      </c>
      <c r="Q52" s="20" t="s">
        <v>87</v>
      </c>
      <c r="R52" s="111" t="s">
        <v>2665</v>
      </c>
      <c r="S52" s="111">
        <v>46150</v>
      </c>
      <c r="T52" s="20" t="s">
        <v>206</v>
      </c>
      <c r="U52" s="20" t="s">
        <v>207</v>
      </c>
      <c r="V52" s="20" t="s">
        <v>2664</v>
      </c>
      <c r="W52" s="20">
        <v>144.32</v>
      </c>
      <c r="X52" s="20">
        <v>144.32000056311301</v>
      </c>
      <c r="Y52" s="111" t="s">
        <v>2665</v>
      </c>
      <c r="Z52" s="111">
        <v>46150</v>
      </c>
      <c r="AB52" s="20" t="s">
        <v>2290</v>
      </c>
      <c r="AD52" s="20" t="s">
        <v>2290</v>
      </c>
      <c r="AE52" s="20" t="s">
        <v>2290</v>
      </c>
      <c r="AF52" s="20">
        <v>0</v>
      </c>
      <c r="AG52" s="20">
        <v>0</v>
      </c>
      <c r="AH52" s="20">
        <v>0</v>
      </c>
      <c r="AI52" s="20">
        <v>0</v>
      </c>
      <c r="AJ52" s="20">
        <v>0</v>
      </c>
      <c r="AK52" s="111" t="s">
        <v>576</v>
      </c>
      <c r="AL52" s="20">
        <v>0</v>
      </c>
      <c r="AM52" s="20">
        <v>0</v>
      </c>
      <c r="AN52" s="20">
        <v>0</v>
      </c>
      <c r="AO52" s="20">
        <v>0</v>
      </c>
      <c r="AP52" s="20">
        <v>0</v>
      </c>
      <c r="AR52" s="20">
        <v>0</v>
      </c>
      <c r="AS52" s="20">
        <v>0</v>
      </c>
      <c r="AT52" s="20">
        <v>512578.93</v>
      </c>
      <c r="AU52" s="20" t="s">
        <v>13</v>
      </c>
      <c r="AV52" s="20" t="s">
        <v>24</v>
      </c>
      <c r="AW52" s="111" t="s">
        <v>79</v>
      </c>
      <c r="AX52" s="20" t="s">
        <v>208</v>
      </c>
      <c r="AY52" s="19" t="s">
        <v>209</v>
      </c>
      <c r="AZ52" s="19">
        <v>0</v>
      </c>
      <c r="BA52" s="19">
        <v>172159.33</v>
      </c>
      <c r="BB52" s="19">
        <v>1056</v>
      </c>
      <c r="BC52" s="66">
        <v>46150</v>
      </c>
      <c r="BD52" s="19" t="s">
        <v>65</v>
      </c>
      <c r="BE52" s="19" t="s">
        <v>210</v>
      </c>
      <c r="BF52" s="19" t="s">
        <v>210</v>
      </c>
      <c r="BG52" s="19">
        <v>9</v>
      </c>
      <c r="BH52" s="19">
        <v>15494.34</v>
      </c>
      <c r="BI52" s="19">
        <v>9</v>
      </c>
      <c r="BJ52" s="19">
        <v>15494.34</v>
      </c>
      <c r="BK52" s="19">
        <v>0</v>
      </c>
      <c r="BL52" s="19">
        <v>0</v>
      </c>
      <c r="BM52" s="19">
        <v>0</v>
      </c>
      <c r="BN52" s="19">
        <v>692157473459</v>
      </c>
      <c r="BO52" s="66">
        <v>46239</v>
      </c>
      <c r="BP52" s="19">
        <v>0</v>
      </c>
    </row>
    <row r="53" spans="1:68">
      <c r="A53" s="65"/>
      <c r="B53" s="20" t="s">
        <v>2165</v>
      </c>
      <c r="C53" s="111">
        <v>46150</v>
      </c>
      <c r="D53" s="20" t="s">
        <v>3454</v>
      </c>
      <c r="E53" s="20" t="s">
        <v>18</v>
      </c>
      <c r="F53" s="20" t="s">
        <v>19</v>
      </c>
      <c r="H53" s="20" t="s">
        <v>3453</v>
      </c>
      <c r="I53" s="20">
        <v>1025</v>
      </c>
      <c r="J53" s="20">
        <v>1025</v>
      </c>
      <c r="K53" s="20" t="s">
        <v>11</v>
      </c>
      <c r="L53" s="20">
        <v>1025</v>
      </c>
      <c r="M53" s="20">
        <v>0</v>
      </c>
      <c r="N53" s="20">
        <v>1025</v>
      </c>
      <c r="O53" s="20" t="s">
        <v>2156</v>
      </c>
      <c r="P53" s="20" t="s">
        <v>87</v>
      </c>
      <c r="Q53" s="20" t="s">
        <v>87</v>
      </c>
      <c r="R53" s="111" t="s">
        <v>2667</v>
      </c>
      <c r="S53" s="111">
        <v>46150</v>
      </c>
      <c r="T53" s="20" t="s">
        <v>206</v>
      </c>
      <c r="U53" s="20" t="s">
        <v>207</v>
      </c>
      <c r="V53" s="20" t="s">
        <v>2666</v>
      </c>
      <c r="W53" s="20">
        <v>141.08000000000001</v>
      </c>
      <c r="X53" s="20">
        <v>141.08000000000001</v>
      </c>
      <c r="Y53" s="111" t="s">
        <v>2667</v>
      </c>
      <c r="Z53" s="111">
        <v>46150</v>
      </c>
      <c r="AB53" s="20" t="s">
        <v>2290</v>
      </c>
      <c r="AD53" s="20" t="s">
        <v>2290</v>
      </c>
      <c r="AE53" s="20" t="s">
        <v>2290</v>
      </c>
      <c r="AF53" s="20">
        <v>0</v>
      </c>
      <c r="AG53" s="20">
        <v>0</v>
      </c>
      <c r="AH53" s="20">
        <v>0</v>
      </c>
      <c r="AI53" s="20">
        <v>0</v>
      </c>
      <c r="AJ53" s="20">
        <v>0</v>
      </c>
      <c r="AK53" s="111" t="s">
        <v>576</v>
      </c>
      <c r="AL53" s="20">
        <v>0</v>
      </c>
      <c r="AM53" s="20">
        <v>0</v>
      </c>
      <c r="AN53" s="20">
        <v>0</v>
      </c>
      <c r="AO53" s="20">
        <v>0</v>
      </c>
      <c r="AP53" s="20">
        <v>0</v>
      </c>
      <c r="AR53" s="20">
        <v>0</v>
      </c>
      <c r="AS53" s="20">
        <v>0</v>
      </c>
      <c r="AT53" s="20">
        <v>1166482.44</v>
      </c>
      <c r="AU53" s="20" t="s">
        <v>13</v>
      </c>
      <c r="AV53" s="20" t="s">
        <v>62</v>
      </c>
      <c r="AW53" s="111" t="s">
        <v>63</v>
      </c>
      <c r="AX53" s="20" t="s">
        <v>208</v>
      </c>
      <c r="AY53" s="19" t="s">
        <v>209</v>
      </c>
      <c r="AZ53" s="19">
        <v>0</v>
      </c>
      <c r="BA53" s="19">
        <v>144607</v>
      </c>
      <c r="BB53" s="19">
        <v>1051</v>
      </c>
      <c r="BC53" s="66">
        <v>46150</v>
      </c>
      <c r="BD53" s="19" t="s">
        <v>65</v>
      </c>
      <c r="BE53" s="19" t="s">
        <v>210</v>
      </c>
      <c r="BF53" s="19" t="s">
        <v>210</v>
      </c>
      <c r="BG53" s="19">
        <v>9</v>
      </c>
      <c r="BH53" s="19">
        <v>13014.63</v>
      </c>
      <c r="BI53" s="19">
        <v>9</v>
      </c>
      <c r="BJ53" s="19">
        <v>13014.63</v>
      </c>
      <c r="BK53" s="19">
        <v>0</v>
      </c>
      <c r="BL53" s="19">
        <v>0</v>
      </c>
      <c r="BM53" s="19">
        <v>1166482.44</v>
      </c>
      <c r="BN53" s="19">
        <v>682157364303</v>
      </c>
      <c r="BO53" s="66">
        <v>46239</v>
      </c>
      <c r="BP53" s="19">
        <v>0</v>
      </c>
    </row>
    <row r="54" spans="1:68">
      <c r="A54" s="65"/>
      <c r="B54" s="20" t="s">
        <v>2165</v>
      </c>
      <c r="C54" s="111">
        <v>46150</v>
      </c>
      <c r="D54" s="20" t="s">
        <v>3454</v>
      </c>
      <c r="E54" s="20" t="s">
        <v>18</v>
      </c>
      <c r="F54" s="20" t="s">
        <v>19</v>
      </c>
      <c r="H54" s="20" t="s">
        <v>3453</v>
      </c>
      <c r="I54" s="20">
        <v>6068</v>
      </c>
      <c r="J54" s="20">
        <v>6068</v>
      </c>
      <c r="K54" s="20" t="s">
        <v>11</v>
      </c>
      <c r="L54" s="20">
        <v>6068</v>
      </c>
      <c r="M54" s="20">
        <v>0</v>
      </c>
      <c r="N54" s="20">
        <v>6068</v>
      </c>
      <c r="O54" s="20" t="s">
        <v>2156</v>
      </c>
      <c r="P54" s="20" t="s">
        <v>87</v>
      </c>
      <c r="Q54" s="20" t="s">
        <v>87</v>
      </c>
      <c r="R54" s="111" t="s">
        <v>2667</v>
      </c>
      <c r="S54" s="111">
        <v>46150</v>
      </c>
      <c r="T54" s="20" t="s">
        <v>206</v>
      </c>
      <c r="U54" s="20" t="s">
        <v>207</v>
      </c>
      <c r="V54" s="20" t="s">
        <v>2666</v>
      </c>
      <c r="W54" s="20">
        <v>139.08000000000001</v>
      </c>
      <c r="X54" s="20">
        <v>139.08000000000001</v>
      </c>
      <c r="Y54" s="111" t="s">
        <v>2667</v>
      </c>
      <c r="Z54" s="111">
        <v>46150</v>
      </c>
      <c r="AB54" s="20" t="s">
        <v>2290</v>
      </c>
      <c r="AD54" s="20" t="s">
        <v>2290</v>
      </c>
      <c r="AE54" s="20" t="s">
        <v>2290</v>
      </c>
      <c r="AF54" s="20">
        <v>0</v>
      </c>
      <c r="AG54" s="20">
        <v>0</v>
      </c>
      <c r="AH54" s="20">
        <v>0</v>
      </c>
      <c r="AI54" s="20">
        <v>0</v>
      </c>
      <c r="AJ54" s="20">
        <v>0</v>
      </c>
      <c r="AK54" s="111" t="s">
        <v>576</v>
      </c>
      <c r="AL54" s="20">
        <v>0</v>
      </c>
      <c r="AM54" s="20">
        <v>0</v>
      </c>
      <c r="AN54" s="20">
        <v>0</v>
      </c>
      <c r="AO54" s="20">
        <v>0</v>
      </c>
      <c r="AP54" s="20">
        <v>0</v>
      </c>
      <c r="AR54" s="20">
        <v>0</v>
      </c>
      <c r="AS54" s="20">
        <v>0</v>
      </c>
      <c r="AT54" s="20">
        <v>1166482.44</v>
      </c>
      <c r="AU54" s="20" t="s">
        <v>13</v>
      </c>
      <c r="AV54" s="20" t="s">
        <v>62</v>
      </c>
      <c r="AW54" s="111" t="s">
        <v>63</v>
      </c>
      <c r="AX54" s="20" t="s">
        <v>208</v>
      </c>
      <c r="AY54" s="19" t="s">
        <v>209</v>
      </c>
      <c r="AZ54" s="19">
        <v>0</v>
      </c>
      <c r="BA54" s="19">
        <v>843937.44</v>
      </c>
      <c r="BB54" s="19">
        <v>1051</v>
      </c>
      <c r="BC54" s="66">
        <v>46150</v>
      </c>
      <c r="BD54" s="19" t="s">
        <v>65</v>
      </c>
      <c r="BE54" s="19" t="s">
        <v>210</v>
      </c>
      <c r="BF54" s="19" t="s">
        <v>210</v>
      </c>
      <c r="BG54" s="19">
        <v>9</v>
      </c>
      <c r="BH54" s="19">
        <v>75954.37</v>
      </c>
      <c r="BI54" s="19">
        <v>9</v>
      </c>
      <c r="BJ54" s="19">
        <v>75954.37</v>
      </c>
      <c r="BK54" s="19">
        <v>0</v>
      </c>
      <c r="BL54" s="19">
        <v>0</v>
      </c>
      <c r="BM54" s="19">
        <v>0</v>
      </c>
      <c r="BN54" s="19">
        <v>682157364303</v>
      </c>
      <c r="BO54" s="66">
        <v>46239</v>
      </c>
      <c r="BP54" s="19">
        <v>0</v>
      </c>
    </row>
    <row r="55" spans="1:68">
      <c r="A55" s="65"/>
      <c r="B55" s="20" t="s">
        <v>2165</v>
      </c>
      <c r="C55" s="111">
        <v>46150</v>
      </c>
      <c r="D55" s="20" t="s">
        <v>3455</v>
      </c>
      <c r="E55" s="20" t="s">
        <v>20</v>
      </c>
      <c r="F55" s="20" t="s">
        <v>21</v>
      </c>
      <c r="H55" s="20" t="s">
        <v>3453</v>
      </c>
      <c r="I55" s="20">
        <v>943</v>
      </c>
      <c r="J55" s="20">
        <v>943</v>
      </c>
      <c r="K55" s="20" t="s">
        <v>11</v>
      </c>
      <c r="L55" s="20">
        <v>943</v>
      </c>
      <c r="M55" s="20">
        <v>0</v>
      </c>
      <c r="N55" s="20">
        <v>943</v>
      </c>
      <c r="O55" s="20" t="s">
        <v>2156</v>
      </c>
      <c r="P55" s="20" t="s">
        <v>87</v>
      </c>
      <c r="Q55" s="20" t="s">
        <v>87</v>
      </c>
      <c r="R55" s="111" t="s">
        <v>2669</v>
      </c>
      <c r="S55" s="111">
        <v>46150</v>
      </c>
      <c r="T55" s="20" t="s">
        <v>206</v>
      </c>
      <c r="U55" s="20" t="s">
        <v>207</v>
      </c>
      <c r="V55" s="20" t="s">
        <v>2668</v>
      </c>
      <c r="W55" s="20">
        <v>146.08000000000001</v>
      </c>
      <c r="X55" s="20">
        <v>146.08000000000001</v>
      </c>
      <c r="Y55" s="111" t="s">
        <v>2669</v>
      </c>
      <c r="Z55" s="111">
        <v>46150</v>
      </c>
      <c r="AB55" s="20" t="s">
        <v>2290</v>
      </c>
      <c r="AD55" s="20" t="s">
        <v>2290</v>
      </c>
      <c r="AE55" s="20" t="s">
        <v>2290</v>
      </c>
      <c r="AF55" s="20">
        <v>0</v>
      </c>
      <c r="AG55" s="20">
        <v>0</v>
      </c>
      <c r="AH55" s="20">
        <v>0</v>
      </c>
      <c r="AI55" s="20">
        <v>0</v>
      </c>
      <c r="AJ55" s="20">
        <v>0</v>
      </c>
      <c r="AK55" s="111" t="s">
        <v>576</v>
      </c>
      <c r="AL55" s="20">
        <v>0</v>
      </c>
      <c r="AM55" s="20">
        <v>0</v>
      </c>
      <c r="AN55" s="20">
        <v>0</v>
      </c>
      <c r="AO55" s="20">
        <v>0</v>
      </c>
      <c r="AP55" s="20">
        <v>0</v>
      </c>
      <c r="AR55" s="20">
        <v>0</v>
      </c>
      <c r="AS55" s="20">
        <v>0</v>
      </c>
      <c r="AT55" s="20">
        <v>162549.06</v>
      </c>
      <c r="AU55" s="20" t="s">
        <v>13</v>
      </c>
      <c r="AV55" s="20" t="s">
        <v>62</v>
      </c>
      <c r="AW55" s="111" t="s">
        <v>76</v>
      </c>
      <c r="AX55" s="20" t="s">
        <v>208</v>
      </c>
      <c r="AY55" s="19" t="s">
        <v>209</v>
      </c>
      <c r="AZ55" s="19">
        <v>0</v>
      </c>
      <c r="BA55" s="19">
        <v>137753.44</v>
      </c>
      <c r="BB55" s="19">
        <v>1052</v>
      </c>
      <c r="BC55" s="66">
        <v>46150</v>
      </c>
      <c r="BD55" s="19" t="s">
        <v>65</v>
      </c>
      <c r="BE55" s="19" t="s">
        <v>210</v>
      </c>
      <c r="BF55" s="19" t="s">
        <v>210</v>
      </c>
      <c r="BG55" s="19">
        <v>9</v>
      </c>
      <c r="BH55" s="19">
        <v>12397.81</v>
      </c>
      <c r="BI55" s="19">
        <v>9</v>
      </c>
      <c r="BJ55" s="19">
        <v>12397.81</v>
      </c>
      <c r="BK55" s="19">
        <v>0</v>
      </c>
      <c r="BL55" s="19">
        <v>0</v>
      </c>
      <c r="BM55" s="19">
        <v>162549.06</v>
      </c>
      <c r="BN55" s="19">
        <v>652157379296</v>
      </c>
      <c r="BO55" s="66">
        <v>46239</v>
      </c>
      <c r="BP55" s="19">
        <v>0</v>
      </c>
    </row>
    <row r="56" spans="1:68">
      <c r="A56" s="65"/>
      <c r="B56" s="20" t="s">
        <v>2165</v>
      </c>
      <c r="C56" s="111">
        <v>46150</v>
      </c>
      <c r="D56" s="20" t="s">
        <v>3456</v>
      </c>
      <c r="E56" s="20" t="s">
        <v>20</v>
      </c>
      <c r="F56" s="20" t="s">
        <v>21</v>
      </c>
      <c r="H56" s="20" t="s">
        <v>3457</v>
      </c>
      <c r="I56" s="20">
        <v>451</v>
      </c>
      <c r="J56" s="20">
        <v>451</v>
      </c>
      <c r="K56" s="20" t="s">
        <v>11</v>
      </c>
      <c r="L56" s="20">
        <v>451</v>
      </c>
      <c r="M56" s="20">
        <v>0</v>
      </c>
      <c r="N56" s="20">
        <v>451</v>
      </c>
      <c r="O56" s="20" t="s">
        <v>2156</v>
      </c>
      <c r="P56" s="20" t="s">
        <v>87</v>
      </c>
      <c r="Q56" s="20" t="s">
        <v>87</v>
      </c>
      <c r="R56" s="111" t="s">
        <v>2671</v>
      </c>
      <c r="S56" s="111">
        <v>46150</v>
      </c>
      <c r="T56" s="20" t="s">
        <v>206</v>
      </c>
      <c r="U56" s="20" t="s">
        <v>207</v>
      </c>
      <c r="V56" s="20" t="s">
        <v>2670</v>
      </c>
      <c r="W56" s="20">
        <v>144.32</v>
      </c>
      <c r="X56" s="20">
        <v>144.32009357342699</v>
      </c>
      <c r="Y56" s="111" t="s">
        <v>2671</v>
      </c>
      <c r="Z56" s="111">
        <v>46150</v>
      </c>
      <c r="AB56" s="20" t="s">
        <v>2290</v>
      </c>
      <c r="AD56" s="20" t="s">
        <v>2290</v>
      </c>
      <c r="AE56" s="20" t="s">
        <v>2290</v>
      </c>
      <c r="AF56" s="20">
        <v>0</v>
      </c>
      <c r="AG56" s="20">
        <v>0</v>
      </c>
      <c r="AH56" s="20">
        <v>0</v>
      </c>
      <c r="AI56" s="20">
        <v>0</v>
      </c>
      <c r="AJ56" s="20">
        <v>0</v>
      </c>
      <c r="AK56" s="111" t="s">
        <v>576</v>
      </c>
      <c r="AL56" s="20">
        <v>0</v>
      </c>
      <c r="AM56" s="20">
        <v>0</v>
      </c>
      <c r="AN56" s="20">
        <v>0</v>
      </c>
      <c r="AO56" s="20">
        <v>0</v>
      </c>
      <c r="AP56" s="20">
        <v>0</v>
      </c>
      <c r="AR56" s="20">
        <v>0</v>
      </c>
      <c r="AS56" s="20">
        <v>0</v>
      </c>
      <c r="AT56" s="20">
        <v>1233855.3600000001</v>
      </c>
      <c r="AU56" s="20" t="s">
        <v>13</v>
      </c>
      <c r="AV56" s="20" t="s">
        <v>62</v>
      </c>
      <c r="AW56" s="111" t="s">
        <v>76</v>
      </c>
      <c r="AX56" s="20" t="s">
        <v>208</v>
      </c>
      <c r="AY56" s="19" t="s">
        <v>209</v>
      </c>
      <c r="AZ56" s="19">
        <v>0</v>
      </c>
      <c r="BA56" s="19">
        <v>65088.36</v>
      </c>
      <c r="BB56" s="19">
        <v>1058</v>
      </c>
      <c r="BC56" s="66">
        <v>46150</v>
      </c>
      <c r="BD56" s="19" t="s">
        <v>65</v>
      </c>
      <c r="BE56" s="19" t="s">
        <v>210</v>
      </c>
      <c r="BF56" s="19" t="s">
        <v>210</v>
      </c>
      <c r="BG56" s="19">
        <v>9</v>
      </c>
      <c r="BH56" s="19">
        <v>5857.95</v>
      </c>
      <c r="BI56" s="19">
        <v>9</v>
      </c>
      <c r="BJ56" s="19">
        <v>5857.95</v>
      </c>
      <c r="BK56" s="19">
        <v>0</v>
      </c>
      <c r="BL56" s="19">
        <v>0</v>
      </c>
      <c r="BM56" s="19">
        <v>1233855.3600000001</v>
      </c>
      <c r="BN56" s="19">
        <v>622157652862</v>
      </c>
      <c r="BO56" s="66">
        <v>46239</v>
      </c>
      <c r="BP56" s="19">
        <v>0</v>
      </c>
    </row>
    <row r="57" spans="1:68">
      <c r="A57" s="65"/>
      <c r="B57" s="20" t="s">
        <v>2165</v>
      </c>
      <c r="C57" s="111">
        <v>46150</v>
      </c>
      <c r="D57" s="20" t="s">
        <v>3456</v>
      </c>
      <c r="E57" s="20" t="s">
        <v>18</v>
      </c>
      <c r="F57" s="20" t="s">
        <v>19</v>
      </c>
      <c r="H57" s="20" t="s">
        <v>3457</v>
      </c>
      <c r="I57" s="20">
        <v>420</v>
      </c>
      <c r="J57" s="20">
        <v>420</v>
      </c>
      <c r="K57" s="20" t="s">
        <v>11</v>
      </c>
      <c r="L57" s="20">
        <v>420</v>
      </c>
      <c r="M57" s="20">
        <v>0</v>
      </c>
      <c r="N57" s="20">
        <v>420</v>
      </c>
      <c r="O57" s="20" t="s">
        <v>2156</v>
      </c>
      <c r="P57" s="20" t="s">
        <v>87</v>
      </c>
      <c r="Q57" s="20" t="s">
        <v>87</v>
      </c>
      <c r="R57" s="111" t="s">
        <v>2671</v>
      </c>
      <c r="S57" s="111">
        <v>46150</v>
      </c>
      <c r="T57" s="20" t="s">
        <v>206</v>
      </c>
      <c r="U57" s="20" t="s">
        <v>207</v>
      </c>
      <c r="V57" s="20" t="s">
        <v>2670</v>
      </c>
      <c r="W57" s="20">
        <v>144.32</v>
      </c>
      <c r="X57" s="20">
        <v>144.32009357342699</v>
      </c>
      <c r="Y57" s="111" t="s">
        <v>2671</v>
      </c>
      <c r="Z57" s="111">
        <v>46150</v>
      </c>
      <c r="AB57" s="20" t="s">
        <v>2290</v>
      </c>
      <c r="AD57" s="20" t="s">
        <v>2290</v>
      </c>
      <c r="AE57" s="20" t="s">
        <v>2290</v>
      </c>
      <c r="AF57" s="20">
        <v>0</v>
      </c>
      <c r="AG57" s="20">
        <v>0</v>
      </c>
      <c r="AH57" s="20">
        <v>0</v>
      </c>
      <c r="AI57" s="20">
        <v>0</v>
      </c>
      <c r="AJ57" s="20">
        <v>0</v>
      </c>
      <c r="AK57" s="111" t="s">
        <v>576</v>
      </c>
      <c r="AL57" s="20">
        <v>0</v>
      </c>
      <c r="AM57" s="20">
        <v>0</v>
      </c>
      <c r="AN57" s="20">
        <v>0</v>
      </c>
      <c r="AO57" s="20">
        <v>0</v>
      </c>
      <c r="AP57" s="20">
        <v>0</v>
      </c>
      <c r="AR57" s="20">
        <v>0</v>
      </c>
      <c r="AS57" s="20">
        <v>0</v>
      </c>
      <c r="AT57" s="20">
        <v>1233855.3600000001</v>
      </c>
      <c r="AU57" s="20" t="s">
        <v>13</v>
      </c>
      <c r="AV57" s="20" t="s">
        <v>62</v>
      </c>
      <c r="AW57" s="111" t="s">
        <v>63</v>
      </c>
      <c r="AX57" s="20" t="s">
        <v>208</v>
      </c>
      <c r="AY57" s="19" t="s">
        <v>209</v>
      </c>
      <c r="AZ57" s="19">
        <v>0</v>
      </c>
      <c r="BA57" s="19">
        <v>60614.44</v>
      </c>
      <c r="BB57" s="19">
        <v>1058</v>
      </c>
      <c r="BC57" s="66">
        <v>46150</v>
      </c>
      <c r="BD57" s="19" t="s">
        <v>65</v>
      </c>
      <c r="BE57" s="19" t="s">
        <v>210</v>
      </c>
      <c r="BF57" s="19" t="s">
        <v>210</v>
      </c>
      <c r="BG57" s="19">
        <v>9</v>
      </c>
      <c r="BH57" s="19">
        <v>5455.3</v>
      </c>
      <c r="BI57" s="19">
        <v>9</v>
      </c>
      <c r="BJ57" s="19">
        <v>5455.3</v>
      </c>
      <c r="BK57" s="19">
        <v>0</v>
      </c>
      <c r="BL57" s="19">
        <v>0</v>
      </c>
      <c r="BM57" s="19">
        <v>0</v>
      </c>
      <c r="BN57" s="19">
        <v>622157652862</v>
      </c>
      <c r="BO57" s="66">
        <v>46239</v>
      </c>
      <c r="BP57" s="19">
        <v>0</v>
      </c>
    </row>
    <row r="58" spans="1:68">
      <c r="A58" s="65"/>
      <c r="B58" s="20" t="s">
        <v>2165</v>
      </c>
      <c r="C58" s="111">
        <v>46150</v>
      </c>
      <c r="D58" s="20" t="s">
        <v>3456</v>
      </c>
      <c r="E58" s="20" t="s">
        <v>18</v>
      </c>
      <c r="F58" s="20" t="s">
        <v>19</v>
      </c>
      <c r="H58" s="20" t="s">
        <v>3457</v>
      </c>
      <c r="I58" s="20">
        <v>3295</v>
      </c>
      <c r="J58" s="20">
        <v>3295</v>
      </c>
      <c r="K58" s="20" t="s">
        <v>11</v>
      </c>
      <c r="L58" s="20">
        <v>3295</v>
      </c>
      <c r="M58" s="20">
        <v>0</v>
      </c>
      <c r="N58" s="20">
        <v>3295</v>
      </c>
      <c r="O58" s="20" t="s">
        <v>2156</v>
      </c>
      <c r="P58" s="20" t="s">
        <v>87</v>
      </c>
      <c r="Q58" s="20" t="s">
        <v>87</v>
      </c>
      <c r="R58" s="111" t="s">
        <v>2671</v>
      </c>
      <c r="S58" s="111">
        <v>46150</v>
      </c>
      <c r="T58" s="20" t="s">
        <v>206</v>
      </c>
      <c r="U58" s="20" t="s">
        <v>207</v>
      </c>
      <c r="V58" s="20" t="s">
        <v>2670</v>
      </c>
      <c r="W58" s="20">
        <v>142.32</v>
      </c>
      <c r="X58" s="20">
        <v>142.320092276678</v>
      </c>
      <c r="Y58" s="111" t="s">
        <v>2671</v>
      </c>
      <c r="Z58" s="111">
        <v>46150</v>
      </c>
      <c r="AB58" s="20" t="s">
        <v>2290</v>
      </c>
      <c r="AD58" s="20" t="s">
        <v>2290</v>
      </c>
      <c r="AE58" s="20" t="s">
        <v>2290</v>
      </c>
      <c r="AF58" s="20">
        <v>0</v>
      </c>
      <c r="AG58" s="20">
        <v>0</v>
      </c>
      <c r="AH58" s="20">
        <v>0</v>
      </c>
      <c r="AI58" s="20">
        <v>0</v>
      </c>
      <c r="AJ58" s="20">
        <v>0</v>
      </c>
      <c r="AK58" s="111" t="s">
        <v>576</v>
      </c>
      <c r="AL58" s="20">
        <v>0</v>
      </c>
      <c r="AM58" s="20">
        <v>0</v>
      </c>
      <c r="AN58" s="20">
        <v>0</v>
      </c>
      <c r="AO58" s="20">
        <v>0</v>
      </c>
      <c r="AP58" s="20">
        <v>0</v>
      </c>
      <c r="AR58" s="20">
        <v>0</v>
      </c>
      <c r="AS58" s="20">
        <v>0</v>
      </c>
      <c r="AT58" s="20">
        <v>1233855.3600000001</v>
      </c>
      <c r="AU58" s="20" t="s">
        <v>13</v>
      </c>
      <c r="AV58" s="20" t="s">
        <v>62</v>
      </c>
      <c r="AW58" s="111" t="s">
        <v>63</v>
      </c>
      <c r="AX58" s="20" t="s">
        <v>208</v>
      </c>
      <c r="AY58" s="19" t="s">
        <v>209</v>
      </c>
      <c r="AZ58" s="19">
        <v>0</v>
      </c>
      <c r="BA58" s="19">
        <v>468944.7</v>
      </c>
      <c r="BB58" s="19">
        <v>1058</v>
      </c>
      <c r="BC58" s="66">
        <v>46150</v>
      </c>
      <c r="BD58" s="19" t="s">
        <v>65</v>
      </c>
      <c r="BE58" s="19" t="s">
        <v>210</v>
      </c>
      <c r="BF58" s="19" t="s">
        <v>210</v>
      </c>
      <c r="BG58" s="19">
        <v>9</v>
      </c>
      <c r="BH58" s="19">
        <v>42205</v>
      </c>
      <c r="BI58" s="19">
        <v>9</v>
      </c>
      <c r="BJ58" s="19">
        <v>42205</v>
      </c>
      <c r="BK58" s="19">
        <v>0</v>
      </c>
      <c r="BL58" s="19">
        <v>0</v>
      </c>
      <c r="BM58" s="19">
        <v>0</v>
      </c>
      <c r="BN58" s="19">
        <v>622157652862</v>
      </c>
      <c r="BO58" s="66">
        <v>46239</v>
      </c>
      <c r="BP58" s="19">
        <v>0</v>
      </c>
    </row>
    <row r="59" spans="1:68">
      <c r="A59" s="65"/>
      <c r="B59" s="20" t="s">
        <v>2165</v>
      </c>
      <c r="C59" s="111">
        <v>46150</v>
      </c>
      <c r="D59" s="20" t="s">
        <v>3456</v>
      </c>
      <c r="E59" s="20" t="s">
        <v>160</v>
      </c>
      <c r="F59" s="20" t="s">
        <v>17</v>
      </c>
      <c r="H59" s="20" t="s">
        <v>3457</v>
      </c>
      <c r="I59" s="20">
        <v>2384</v>
      </c>
      <c r="J59" s="20">
        <v>2384</v>
      </c>
      <c r="K59" s="20" t="s">
        <v>11</v>
      </c>
      <c r="L59" s="20">
        <v>2384</v>
      </c>
      <c r="M59" s="20">
        <v>0</v>
      </c>
      <c r="N59" s="20">
        <v>2384</v>
      </c>
      <c r="O59" s="20" t="s">
        <v>2156</v>
      </c>
      <c r="P59" s="20" t="s">
        <v>87</v>
      </c>
      <c r="Q59" s="20" t="s">
        <v>87</v>
      </c>
      <c r="R59" s="111" t="s">
        <v>2671</v>
      </c>
      <c r="S59" s="111">
        <v>46150</v>
      </c>
      <c r="T59" s="20" t="s">
        <v>206</v>
      </c>
      <c r="U59" s="20" t="s">
        <v>207</v>
      </c>
      <c r="V59" s="20" t="s">
        <v>2670</v>
      </c>
      <c r="W59" s="20">
        <v>176.86</v>
      </c>
      <c r="X59" s="20">
        <v>176.86011467153801</v>
      </c>
      <c r="Y59" s="111" t="s">
        <v>2671</v>
      </c>
      <c r="Z59" s="111">
        <v>46150</v>
      </c>
      <c r="AB59" s="20" t="s">
        <v>2290</v>
      </c>
      <c r="AD59" s="20" t="s">
        <v>2290</v>
      </c>
      <c r="AE59" s="20" t="s">
        <v>2290</v>
      </c>
      <c r="AF59" s="20">
        <v>0</v>
      </c>
      <c r="AG59" s="20">
        <v>0</v>
      </c>
      <c r="AH59" s="20">
        <v>0</v>
      </c>
      <c r="AI59" s="20">
        <v>0</v>
      </c>
      <c r="AJ59" s="20">
        <v>0</v>
      </c>
      <c r="AK59" s="111" t="s">
        <v>576</v>
      </c>
      <c r="AL59" s="20">
        <v>0</v>
      </c>
      <c r="AM59" s="20">
        <v>0</v>
      </c>
      <c r="AN59" s="20">
        <v>0</v>
      </c>
      <c r="AO59" s="20">
        <v>0</v>
      </c>
      <c r="AP59" s="20">
        <v>0</v>
      </c>
      <c r="AR59" s="20">
        <v>0</v>
      </c>
      <c r="AS59" s="20">
        <v>0</v>
      </c>
      <c r="AT59" s="20">
        <v>1233855.3600000001</v>
      </c>
      <c r="AU59" s="20" t="s">
        <v>13</v>
      </c>
      <c r="AV59" s="20" t="s">
        <v>80</v>
      </c>
      <c r="AW59" s="111" t="s">
        <v>81</v>
      </c>
      <c r="AX59" s="20" t="s">
        <v>208</v>
      </c>
      <c r="AY59" s="19" t="s">
        <v>209</v>
      </c>
      <c r="AZ59" s="19">
        <v>0</v>
      </c>
      <c r="BA59" s="19">
        <v>421634.51</v>
      </c>
      <c r="BB59" s="19">
        <v>1058</v>
      </c>
      <c r="BC59" s="66">
        <v>46150</v>
      </c>
      <c r="BD59" s="19" t="s">
        <v>65</v>
      </c>
      <c r="BE59" s="19" t="s">
        <v>210</v>
      </c>
      <c r="BF59" s="19" t="s">
        <v>210</v>
      </c>
      <c r="BG59" s="19">
        <v>9</v>
      </c>
      <c r="BH59" s="19">
        <v>37947.08</v>
      </c>
      <c r="BI59" s="19">
        <v>9</v>
      </c>
      <c r="BJ59" s="19">
        <v>37947.08</v>
      </c>
      <c r="BK59" s="19">
        <v>0</v>
      </c>
      <c r="BL59" s="19">
        <v>0</v>
      </c>
      <c r="BM59" s="19">
        <v>0</v>
      </c>
      <c r="BN59" s="19">
        <v>622157652862</v>
      </c>
      <c r="BO59" s="66">
        <v>46239</v>
      </c>
      <c r="BP59" s="19">
        <v>0</v>
      </c>
    </row>
    <row r="60" spans="1:68">
      <c r="A60" s="65"/>
      <c r="B60" s="20" t="s">
        <v>2165</v>
      </c>
      <c r="C60" s="111">
        <v>46150</v>
      </c>
      <c r="D60" s="20" t="s">
        <v>3456</v>
      </c>
      <c r="E60" s="20" t="s">
        <v>820</v>
      </c>
      <c r="F60" s="20" t="s">
        <v>743</v>
      </c>
      <c r="H60" s="20" t="s">
        <v>3457</v>
      </c>
      <c r="I60" s="20">
        <v>9400</v>
      </c>
      <c r="J60" s="20">
        <v>9400</v>
      </c>
      <c r="K60" s="20" t="s">
        <v>1</v>
      </c>
      <c r="L60" s="20">
        <v>9400</v>
      </c>
      <c r="M60" s="20">
        <v>0</v>
      </c>
      <c r="N60" s="20">
        <v>9400</v>
      </c>
      <c r="O60" s="20" t="s">
        <v>2156</v>
      </c>
      <c r="P60" s="20" t="s">
        <v>87</v>
      </c>
      <c r="Q60" s="20" t="s">
        <v>87</v>
      </c>
      <c r="R60" s="111" t="s">
        <v>2671</v>
      </c>
      <c r="S60" s="111">
        <v>46150</v>
      </c>
      <c r="T60" s="20" t="s">
        <v>206</v>
      </c>
      <c r="U60" s="20" t="s">
        <v>207</v>
      </c>
      <c r="V60" s="20" t="s">
        <v>2670</v>
      </c>
      <c r="W60" s="20">
        <v>3.1232000000000002</v>
      </c>
      <c r="X60" s="20">
        <v>3.1232020250036601</v>
      </c>
      <c r="Y60" s="111" t="s">
        <v>2671</v>
      </c>
      <c r="Z60" s="111">
        <v>46150</v>
      </c>
      <c r="AB60" s="20" t="s">
        <v>2290</v>
      </c>
      <c r="AD60" s="20" t="s">
        <v>2290</v>
      </c>
      <c r="AE60" s="20" t="s">
        <v>2290</v>
      </c>
      <c r="AF60" s="20">
        <v>0</v>
      </c>
      <c r="AG60" s="20">
        <v>0</v>
      </c>
      <c r="AH60" s="20">
        <v>0</v>
      </c>
      <c r="AI60" s="20">
        <v>0</v>
      </c>
      <c r="AJ60" s="20">
        <v>0</v>
      </c>
      <c r="AK60" s="111" t="s">
        <v>576</v>
      </c>
      <c r="AL60" s="20">
        <v>0</v>
      </c>
      <c r="AM60" s="20">
        <v>0</v>
      </c>
      <c r="AN60" s="20">
        <v>0</v>
      </c>
      <c r="AO60" s="20">
        <v>0</v>
      </c>
      <c r="AP60" s="20">
        <v>0</v>
      </c>
      <c r="AR60" s="20">
        <v>0</v>
      </c>
      <c r="AS60" s="20">
        <v>0</v>
      </c>
      <c r="AT60" s="20">
        <v>1233855.3600000001</v>
      </c>
      <c r="AU60" s="20" t="s">
        <v>8</v>
      </c>
      <c r="AV60" s="20" t="s">
        <v>625</v>
      </c>
      <c r="AW60" s="111" t="s">
        <v>625</v>
      </c>
      <c r="AX60" s="20" t="s">
        <v>208</v>
      </c>
      <c r="AY60" s="19" t="s">
        <v>821</v>
      </c>
      <c r="AZ60" s="19">
        <v>0</v>
      </c>
      <c r="BA60" s="19">
        <v>29358.1</v>
      </c>
      <c r="BB60" s="19">
        <v>1058</v>
      </c>
      <c r="BC60" s="66">
        <v>46150</v>
      </c>
      <c r="BD60" s="19" t="s">
        <v>65</v>
      </c>
      <c r="BE60" s="19" t="s">
        <v>210</v>
      </c>
      <c r="BF60" s="19" t="s">
        <v>210</v>
      </c>
      <c r="BG60" s="19">
        <v>9</v>
      </c>
      <c r="BH60" s="19">
        <v>2642.23</v>
      </c>
      <c r="BI60" s="19">
        <v>9</v>
      </c>
      <c r="BJ60" s="19">
        <v>2642.23</v>
      </c>
      <c r="BK60" s="19">
        <v>0</v>
      </c>
      <c r="BL60" s="19">
        <v>0</v>
      </c>
      <c r="BM60" s="19">
        <v>0</v>
      </c>
      <c r="BN60" s="19">
        <v>622157652862</v>
      </c>
      <c r="BO60" s="66">
        <v>46239</v>
      </c>
      <c r="BP60" s="19">
        <v>0</v>
      </c>
    </row>
    <row r="61" spans="1:68">
      <c r="A61" s="65"/>
      <c r="B61" s="20" t="s">
        <v>2165</v>
      </c>
      <c r="C61" s="111">
        <v>46181</v>
      </c>
      <c r="D61" s="20" t="s">
        <v>3458</v>
      </c>
      <c r="E61" s="20" t="s">
        <v>211</v>
      </c>
      <c r="F61" s="20" t="s">
        <v>16</v>
      </c>
      <c r="H61" s="20" t="s">
        <v>3459</v>
      </c>
      <c r="I61" s="20">
        <v>426</v>
      </c>
      <c r="J61" s="20">
        <v>426</v>
      </c>
      <c r="K61" s="20" t="s">
        <v>11</v>
      </c>
      <c r="L61" s="20">
        <v>426</v>
      </c>
      <c r="M61" s="20">
        <v>0</v>
      </c>
      <c r="N61" s="20">
        <v>426</v>
      </c>
      <c r="O61" s="20" t="s">
        <v>2316</v>
      </c>
      <c r="P61" s="20" t="s">
        <v>87</v>
      </c>
      <c r="Q61" s="20" t="s">
        <v>87</v>
      </c>
      <c r="R61" s="111" t="s">
        <v>2702</v>
      </c>
      <c r="S61" s="111">
        <v>46181</v>
      </c>
      <c r="T61" s="20" t="s">
        <v>206</v>
      </c>
      <c r="U61" s="20" t="s">
        <v>207</v>
      </c>
      <c r="V61" s="20" t="s">
        <v>2701</v>
      </c>
      <c r="W61" s="20">
        <v>186.49</v>
      </c>
      <c r="X61" s="20">
        <v>186.48999984053299</v>
      </c>
      <c r="Y61" s="111" t="s">
        <v>2702</v>
      </c>
      <c r="Z61" s="111">
        <v>46181</v>
      </c>
      <c r="AB61" s="20" t="s">
        <v>2290</v>
      </c>
      <c r="AD61" s="20" t="s">
        <v>2290</v>
      </c>
      <c r="AE61" s="20" t="s">
        <v>2290</v>
      </c>
      <c r="AF61" s="20">
        <v>0</v>
      </c>
      <c r="AG61" s="20">
        <v>0</v>
      </c>
      <c r="AH61" s="20">
        <v>0</v>
      </c>
      <c r="AI61" s="20">
        <v>0</v>
      </c>
      <c r="AJ61" s="20">
        <v>0</v>
      </c>
      <c r="AK61" s="111" t="s">
        <v>576</v>
      </c>
      <c r="AL61" s="20">
        <v>0</v>
      </c>
      <c r="AM61" s="20">
        <v>0</v>
      </c>
      <c r="AN61" s="20">
        <v>0</v>
      </c>
      <c r="AO61" s="20">
        <v>0</v>
      </c>
      <c r="AP61" s="20">
        <v>0</v>
      </c>
      <c r="AR61" s="20">
        <v>0</v>
      </c>
      <c r="AS61" s="20">
        <v>0</v>
      </c>
      <c r="AT61" s="20">
        <v>2338916.86</v>
      </c>
      <c r="AU61" s="20" t="s">
        <v>15</v>
      </c>
      <c r="AV61" s="20" t="s">
        <v>57</v>
      </c>
      <c r="AW61" s="111" t="s">
        <v>57</v>
      </c>
      <c r="AX61" s="20" t="s">
        <v>15</v>
      </c>
      <c r="AY61" s="19" t="s">
        <v>209</v>
      </c>
      <c r="AZ61" s="19">
        <v>0</v>
      </c>
      <c r="BA61" s="19">
        <v>79444.740000000005</v>
      </c>
      <c r="BB61" s="19">
        <v>1063</v>
      </c>
      <c r="BC61" s="66">
        <v>46181</v>
      </c>
      <c r="BD61" s="19" t="s">
        <v>65</v>
      </c>
      <c r="BE61" s="19" t="s">
        <v>210</v>
      </c>
      <c r="BF61" s="19" t="s">
        <v>210</v>
      </c>
      <c r="BG61" s="19">
        <v>9</v>
      </c>
      <c r="BH61" s="19">
        <v>7150.03</v>
      </c>
      <c r="BI61" s="19">
        <v>9</v>
      </c>
      <c r="BJ61" s="19">
        <v>7150.03</v>
      </c>
      <c r="BK61" s="19">
        <v>0</v>
      </c>
      <c r="BL61" s="19">
        <v>0</v>
      </c>
      <c r="BM61" s="19">
        <v>2338916.86</v>
      </c>
      <c r="BN61" s="19">
        <v>632158045217</v>
      </c>
      <c r="BO61" s="66">
        <v>46240</v>
      </c>
      <c r="BP61" s="19">
        <v>0</v>
      </c>
    </row>
    <row r="62" spans="1:68">
      <c r="A62" s="65"/>
      <c r="B62" s="20" t="s">
        <v>2165</v>
      </c>
      <c r="C62" s="111">
        <v>46181</v>
      </c>
      <c r="D62" s="20" t="s">
        <v>3458</v>
      </c>
      <c r="E62" s="20" t="s">
        <v>211</v>
      </c>
      <c r="F62" s="20" t="s">
        <v>16</v>
      </c>
      <c r="H62" s="20" t="s">
        <v>3459</v>
      </c>
      <c r="I62" s="20">
        <v>10279.799999999999</v>
      </c>
      <c r="J62" s="20">
        <v>10279.799999999999</v>
      </c>
      <c r="K62" s="20" t="s">
        <v>11</v>
      </c>
      <c r="L62" s="20">
        <v>10279.799999999999</v>
      </c>
      <c r="M62" s="20">
        <v>0</v>
      </c>
      <c r="N62" s="20">
        <v>10279.799999999999</v>
      </c>
      <c r="O62" s="20" t="s">
        <v>2316</v>
      </c>
      <c r="P62" s="20" t="s">
        <v>87</v>
      </c>
      <c r="Q62" s="20" t="s">
        <v>87</v>
      </c>
      <c r="R62" s="111" t="s">
        <v>2702</v>
      </c>
      <c r="S62" s="111">
        <v>46181</v>
      </c>
      <c r="T62" s="20" t="s">
        <v>206</v>
      </c>
      <c r="U62" s="20" t="s">
        <v>207</v>
      </c>
      <c r="V62" s="20" t="s">
        <v>2701</v>
      </c>
      <c r="W62" s="20">
        <v>185.09</v>
      </c>
      <c r="X62" s="20">
        <v>185.08999984172999</v>
      </c>
      <c r="Y62" s="111" t="s">
        <v>2702</v>
      </c>
      <c r="Z62" s="111">
        <v>46181</v>
      </c>
      <c r="AB62" s="20" t="s">
        <v>2290</v>
      </c>
      <c r="AD62" s="20" t="s">
        <v>2290</v>
      </c>
      <c r="AE62" s="20" t="s">
        <v>2290</v>
      </c>
      <c r="AF62" s="20">
        <v>0</v>
      </c>
      <c r="AG62" s="20">
        <v>0</v>
      </c>
      <c r="AH62" s="20">
        <v>0</v>
      </c>
      <c r="AI62" s="20">
        <v>0</v>
      </c>
      <c r="AJ62" s="20">
        <v>0</v>
      </c>
      <c r="AK62" s="111" t="s">
        <v>576</v>
      </c>
      <c r="AL62" s="20">
        <v>0</v>
      </c>
      <c r="AM62" s="20">
        <v>0</v>
      </c>
      <c r="AN62" s="20">
        <v>0</v>
      </c>
      <c r="AO62" s="20">
        <v>0</v>
      </c>
      <c r="AP62" s="20">
        <v>0</v>
      </c>
      <c r="AR62" s="20">
        <v>0</v>
      </c>
      <c r="AS62" s="20">
        <v>0</v>
      </c>
      <c r="AT62" s="20">
        <v>2338916.86</v>
      </c>
      <c r="AU62" s="20" t="s">
        <v>15</v>
      </c>
      <c r="AV62" s="20" t="s">
        <v>57</v>
      </c>
      <c r="AW62" s="111" t="s">
        <v>57</v>
      </c>
      <c r="AX62" s="20" t="s">
        <v>15</v>
      </c>
      <c r="AY62" s="19" t="s">
        <v>209</v>
      </c>
      <c r="AZ62" s="19">
        <v>0</v>
      </c>
      <c r="BA62" s="19">
        <v>1902688.18</v>
      </c>
      <c r="BB62" s="19">
        <v>1063</v>
      </c>
      <c r="BC62" s="66">
        <v>46181</v>
      </c>
      <c r="BD62" s="19" t="s">
        <v>65</v>
      </c>
      <c r="BE62" s="19" t="s">
        <v>210</v>
      </c>
      <c r="BF62" s="19" t="s">
        <v>210</v>
      </c>
      <c r="BG62" s="19">
        <v>9</v>
      </c>
      <c r="BH62" s="19">
        <v>171241.94</v>
      </c>
      <c r="BI62" s="19">
        <v>9</v>
      </c>
      <c r="BJ62" s="19">
        <v>171241.94</v>
      </c>
      <c r="BK62" s="19">
        <v>0</v>
      </c>
      <c r="BL62" s="19">
        <v>0</v>
      </c>
      <c r="BM62" s="19">
        <v>0</v>
      </c>
      <c r="BN62" s="19">
        <v>632158045217</v>
      </c>
      <c r="BO62" s="66">
        <v>46240</v>
      </c>
      <c r="BP62" s="19">
        <v>0</v>
      </c>
    </row>
    <row r="63" spans="1:68">
      <c r="A63" s="65"/>
      <c r="B63" s="20" t="s">
        <v>2165</v>
      </c>
      <c r="C63" s="111">
        <v>46181</v>
      </c>
      <c r="D63" s="20" t="s">
        <v>3460</v>
      </c>
      <c r="E63" s="20" t="s">
        <v>211</v>
      </c>
      <c r="F63" s="20" t="s">
        <v>16</v>
      </c>
      <c r="H63" s="20" t="s">
        <v>3461</v>
      </c>
      <c r="I63" s="20">
        <v>1035</v>
      </c>
      <c r="J63" s="20">
        <v>1035</v>
      </c>
      <c r="K63" s="20" t="s">
        <v>11</v>
      </c>
      <c r="L63" s="20">
        <v>1035</v>
      </c>
      <c r="M63" s="20">
        <v>0</v>
      </c>
      <c r="N63" s="20">
        <v>1035</v>
      </c>
      <c r="O63" s="20" t="s">
        <v>3462</v>
      </c>
      <c r="P63" s="20" t="s">
        <v>89</v>
      </c>
      <c r="Q63" s="20" t="s">
        <v>89</v>
      </c>
      <c r="R63" s="111" t="s">
        <v>2710</v>
      </c>
      <c r="S63" s="111">
        <v>46150</v>
      </c>
      <c r="T63" s="20" t="s">
        <v>206</v>
      </c>
      <c r="U63" s="20" t="s">
        <v>207</v>
      </c>
      <c r="V63" s="20" t="s">
        <v>2709</v>
      </c>
      <c r="W63" s="20">
        <v>193.74</v>
      </c>
      <c r="X63" s="20">
        <v>193.74</v>
      </c>
      <c r="Y63" s="111" t="s">
        <v>2710</v>
      </c>
      <c r="Z63" s="111">
        <v>46150</v>
      </c>
      <c r="AB63" s="20" t="s">
        <v>2290</v>
      </c>
      <c r="AD63" s="20" t="s">
        <v>2290</v>
      </c>
      <c r="AE63" s="20" t="s">
        <v>2290</v>
      </c>
      <c r="AF63" s="20">
        <v>0</v>
      </c>
      <c r="AG63" s="20">
        <v>0</v>
      </c>
      <c r="AH63" s="20">
        <v>0</v>
      </c>
      <c r="AI63" s="20">
        <v>0</v>
      </c>
      <c r="AJ63" s="20">
        <v>0</v>
      </c>
      <c r="AK63" s="111" t="s">
        <v>576</v>
      </c>
      <c r="AL63" s="20">
        <v>0</v>
      </c>
      <c r="AM63" s="20">
        <v>0</v>
      </c>
      <c r="AN63" s="20">
        <v>0</v>
      </c>
      <c r="AO63" s="20">
        <v>0</v>
      </c>
      <c r="AP63" s="20">
        <v>0</v>
      </c>
      <c r="AR63" s="20">
        <v>0</v>
      </c>
      <c r="AS63" s="20">
        <v>0</v>
      </c>
      <c r="AT63" s="20">
        <v>488822.04</v>
      </c>
      <c r="AU63" s="20" t="s">
        <v>15</v>
      </c>
      <c r="AV63" s="20" t="s">
        <v>57</v>
      </c>
      <c r="AW63" s="111" t="s">
        <v>57</v>
      </c>
      <c r="AX63" s="20" t="s">
        <v>15</v>
      </c>
      <c r="AY63" s="19" t="s">
        <v>209</v>
      </c>
      <c r="AZ63" s="19">
        <v>0</v>
      </c>
      <c r="BA63" s="19">
        <v>200520.9</v>
      </c>
      <c r="BB63" s="19">
        <v>1065</v>
      </c>
      <c r="BC63" s="66">
        <v>46181</v>
      </c>
      <c r="BD63" s="19" t="s">
        <v>65</v>
      </c>
      <c r="BE63" s="19" t="s">
        <v>210</v>
      </c>
      <c r="BF63" s="19" t="s">
        <v>210</v>
      </c>
      <c r="BG63" s="19">
        <v>9</v>
      </c>
      <c r="BH63" s="19">
        <v>18046.88</v>
      </c>
      <c r="BI63" s="19">
        <v>9</v>
      </c>
      <c r="BJ63" s="19">
        <v>18046.88</v>
      </c>
      <c r="BK63" s="19">
        <v>0</v>
      </c>
      <c r="BL63" s="19">
        <v>0</v>
      </c>
      <c r="BM63" s="19">
        <v>488822.04</v>
      </c>
      <c r="BN63" s="19">
        <v>602157875562</v>
      </c>
      <c r="BO63" s="66">
        <v>46239</v>
      </c>
      <c r="BP63" s="19">
        <v>0</v>
      </c>
    </row>
    <row r="64" spans="1:68">
      <c r="A64" s="65"/>
      <c r="B64" s="20" t="s">
        <v>2165</v>
      </c>
      <c r="C64" s="111">
        <v>46181</v>
      </c>
      <c r="D64" s="20" t="s">
        <v>3460</v>
      </c>
      <c r="E64" s="20" t="s">
        <v>211</v>
      </c>
      <c r="F64" s="20" t="s">
        <v>16</v>
      </c>
      <c r="H64" s="20" t="s">
        <v>3461</v>
      </c>
      <c r="I64" s="20">
        <v>1386</v>
      </c>
      <c r="J64" s="20">
        <v>1386</v>
      </c>
      <c r="K64" s="20" t="s">
        <v>11</v>
      </c>
      <c r="L64" s="20">
        <v>1386</v>
      </c>
      <c r="M64" s="20">
        <v>0</v>
      </c>
      <c r="N64" s="20">
        <v>1386</v>
      </c>
      <c r="O64" s="20" t="s">
        <v>3462</v>
      </c>
      <c r="P64" s="20" t="s">
        <v>89</v>
      </c>
      <c r="Q64" s="20" t="s">
        <v>89</v>
      </c>
      <c r="R64" s="111" t="s">
        <v>2710</v>
      </c>
      <c r="S64" s="111">
        <v>46150</v>
      </c>
      <c r="T64" s="20" t="s">
        <v>206</v>
      </c>
      <c r="U64" s="20" t="s">
        <v>207</v>
      </c>
      <c r="V64" s="20" t="s">
        <v>2709</v>
      </c>
      <c r="W64" s="20">
        <v>154.21</v>
      </c>
      <c r="X64" s="20">
        <v>154.21</v>
      </c>
      <c r="Y64" s="111" t="s">
        <v>2710</v>
      </c>
      <c r="Z64" s="111">
        <v>46150</v>
      </c>
      <c r="AB64" s="20" t="s">
        <v>2290</v>
      </c>
      <c r="AD64" s="20" t="s">
        <v>2290</v>
      </c>
      <c r="AE64" s="20" t="s">
        <v>2290</v>
      </c>
      <c r="AF64" s="20">
        <v>0</v>
      </c>
      <c r="AG64" s="20">
        <v>0</v>
      </c>
      <c r="AH64" s="20">
        <v>0</v>
      </c>
      <c r="AI64" s="20">
        <v>0</v>
      </c>
      <c r="AJ64" s="20">
        <v>0</v>
      </c>
      <c r="AK64" s="111" t="s">
        <v>576</v>
      </c>
      <c r="AL64" s="20">
        <v>0</v>
      </c>
      <c r="AM64" s="20">
        <v>0</v>
      </c>
      <c r="AN64" s="20">
        <v>0</v>
      </c>
      <c r="AO64" s="20">
        <v>0</v>
      </c>
      <c r="AP64" s="20">
        <v>0</v>
      </c>
      <c r="AR64" s="20">
        <v>0</v>
      </c>
      <c r="AS64" s="20">
        <v>0</v>
      </c>
      <c r="AT64" s="20">
        <v>488822.04</v>
      </c>
      <c r="AU64" s="20" t="s">
        <v>15</v>
      </c>
      <c r="AV64" s="20" t="s">
        <v>57</v>
      </c>
      <c r="AW64" s="111" t="s">
        <v>57</v>
      </c>
      <c r="AX64" s="20" t="s">
        <v>15</v>
      </c>
      <c r="AY64" s="19" t="s">
        <v>209</v>
      </c>
      <c r="AZ64" s="19">
        <v>0</v>
      </c>
      <c r="BA64" s="19">
        <v>213735.06</v>
      </c>
      <c r="BB64" s="19">
        <v>1065</v>
      </c>
      <c r="BC64" s="66">
        <v>46181</v>
      </c>
      <c r="BD64" s="19" t="s">
        <v>65</v>
      </c>
      <c r="BE64" s="19" t="s">
        <v>210</v>
      </c>
      <c r="BF64" s="19" t="s">
        <v>210</v>
      </c>
      <c r="BG64" s="19">
        <v>9</v>
      </c>
      <c r="BH64" s="19">
        <v>19236.16</v>
      </c>
      <c r="BI64" s="19">
        <v>9</v>
      </c>
      <c r="BJ64" s="19">
        <v>19236.16</v>
      </c>
      <c r="BK64" s="19">
        <v>0</v>
      </c>
      <c r="BL64" s="19">
        <v>0</v>
      </c>
      <c r="BM64" s="19">
        <v>0</v>
      </c>
      <c r="BN64" s="19">
        <v>602157875562</v>
      </c>
      <c r="BO64" s="66">
        <v>46239</v>
      </c>
      <c r="BP64" s="19">
        <v>0</v>
      </c>
    </row>
    <row r="65" spans="1:68">
      <c r="A65" s="65"/>
      <c r="B65" s="20" t="s">
        <v>2165</v>
      </c>
      <c r="C65" s="111">
        <v>46181</v>
      </c>
      <c r="D65" s="20" t="s">
        <v>3463</v>
      </c>
      <c r="E65" s="20" t="s">
        <v>214</v>
      </c>
      <c r="F65" s="20" t="s">
        <v>12</v>
      </c>
      <c r="H65" s="20" t="s">
        <v>3464</v>
      </c>
      <c r="I65" s="20">
        <v>421.8</v>
      </c>
      <c r="J65" s="20">
        <v>421.8</v>
      </c>
      <c r="K65" s="20" t="s">
        <v>11</v>
      </c>
      <c r="L65" s="20">
        <v>421.8</v>
      </c>
      <c r="M65" s="20">
        <v>0</v>
      </c>
      <c r="N65" s="20">
        <v>421.8</v>
      </c>
      <c r="O65" s="20" t="s">
        <v>2156</v>
      </c>
      <c r="P65" s="20" t="s">
        <v>87</v>
      </c>
      <c r="Q65" s="20" t="s">
        <v>87</v>
      </c>
      <c r="R65" s="111" t="s">
        <v>3465</v>
      </c>
      <c r="S65" s="111">
        <v>46120</v>
      </c>
      <c r="T65" s="20" t="s">
        <v>206</v>
      </c>
      <c r="U65" s="20" t="s">
        <v>207</v>
      </c>
      <c r="V65" s="20" t="s">
        <v>2703</v>
      </c>
      <c r="W65" s="20">
        <v>166.86</v>
      </c>
      <c r="X65" s="20">
        <v>166.86011783295001</v>
      </c>
      <c r="Y65" s="111" t="s">
        <v>3465</v>
      </c>
      <c r="Z65" s="111">
        <v>46120</v>
      </c>
      <c r="AB65" s="20" t="s">
        <v>2290</v>
      </c>
      <c r="AD65" s="20" t="s">
        <v>2290</v>
      </c>
      <c r="AE65" s="20" t="s">
        <v>2290</v>
      </c>
      <c r="AF65" s="20">
        <v>0</v>
      </c>
      <c r="AG65" s="20">
        <v>0</v>
      </c>
      <c r="AH65" s="20">
        <v>0</v>
      </c>
      <c r="AI65" s="20">
        <v>0</v>
      </c>
      <c r="AJ65" s="20">
        <v>0</v>
      </c>
      <c r="AK65" s="111" t="s">
        <v>576</v>
      </c>
      <c r="AL65" s="20">
        <v>0</v>
      </c>
      <c r="AM65" s="20">
        <v>0</v>
      </c>
      <c r="AN65" s="20">
        <v>0</v>
      </c>
      <c r="AO65" s="20">
        <v>0</v>
      </c>
      <c r="AP65" s="20">
        <v>0</v>
      </c>
      <c r="AR65" s="20">
        <v>0</v>
      </c>
      <c r="AS65" s="20">
        <v>0</v>
      </c>
      <c r="AT65" s="20">
        <v>1418905.65</v>
      </c>
      <c r="AU65" s="20" t="s">
        <v>13</v>
      </c>
      <c r="AV65" s="20" t="s">
        <v>2152</v>
      </c>
      <c r="AW65" s="111" t="s">
        <v>123</v>
      </c>
      <c r="AX65" s="20" t="s">
        <v>208</v>
      </c>
      <c r="AY65" s="19" t="s">
        <v>209</v>
      </c>
      <c r="AZ65" s="19">
        <v>0</v>
      </c>
      <c r="BA65" s="19">
        <v>70381.600000000006</v>
      </c>
      <c r="BB65" s="19">
        <v>1044</v>
      </c>
      <c r="BC65" s="66">
        <v>46120</v>
      </c>
      <c r="BD65" s="19" t="s">
        <v>65</v>
      </c>
      <c r="BE65" s="19" t="s">
        <v>210</v>
      </c>
      <c r="BF65" s="19" t="s">
        <v>210</v>
      </c>
      <c r="BG65" s="19">
        <v>9</v>
      </c>
      <c r="BH65" s="19">
        <v>6334.34</v>
      </c>
      <c r="BI65" s="19">
        <v>9</v>
      </c>
      <c r="BJ65" s="19">
        <v>6334.34</v>
      </c>
      <c r="BK65" s="19">
        <v>0</v>
      </c>
      <c r="BL65" s="19">
        <v>0</v>
      </c>
      <c r="BM65" s="19">
        <v>1418905.65</v>
      </c>
      <c r="BN65" s="19">
        <v>672156926271</v>
      </c>
      <c r="BO65" s="66">
        <v>46238</v>
      </c>
      <c r="BP65" s="19">
        <v>0</v>
      </c>
    </row>
    <row r="66" spans="1:68">
      <c r="A66" s="65"/>
      <c r="B66" s="20" t="s">
        <v>2165</v>
      </c>
      <c r="C66" s="111">
        <v>46181</v>
      </c>
      <c r="D66" s="20" t="s">
        <v>3463</v>
      </c>
      <c r="E66" s="20" t="s">
        <v>820</v>
      </c>
      <c r="F66" s="20" t="s">
        <v>743</v>
      </c>
      <c r="H66" s="20" t="s">
        <v>3464</v>
      </c>
      <c r="I66" s="20">
        <v>8400</v>
      </c>
      <c r="J66" s="20">
        <v>8400</v>
      </c>
      <c r="K66" s="20" t="s">
        <v>1</v>
      </c>
      <c r="L66" s="20">
        <v>8400</v>
      </c>
      <c r="M66" s="20">
        <v>0</v>
      </c>
      <c r="N66" s="20">
        <v>8400</v>
      </c>
      <c r="O66" s="20" t="s">
        <v>2156</v>
      </c>
      <c r="P66" s="20" t="s">
        <v>87</v>
      </c>
      <c r="Q66" s="20" t="s">
        <v>87</v>
      </c>
      <c r="R66" s="111" t="s">
        <v>3465</v>
      </c>
      <c r="S66" s="111">
        <v>46120</v>
      </c>
      <c r="T66" s="20" t="s">
        <v>206</v>
      </c>
      <c r="U66" s="20" t="s">
        <v>207</v>
      </c>
      <c r="V66" s="20" t="s">
        <v>2703</v>
      </c>
      <c r="W66" s="20">
        <v>3.5371000000000001</v>
      </c>
      <c r="X66" s="20">
        <v>3.5371024978240801</v>
      </c>
      <c r="Y66" s="111" t="s">
        <v>3465</v>
      </c>
      <c r="Z66" s="111">
        <v>46120</v>
      </c>
      <c r="AB66" s="20" t="s">
        <v>2290</v>
      </c>
      <c r="AD66" s="20" t="s">
        <v>2290</v>
      </c>
      <c r="AE66" s="20" t="s">
        <v>2290</v>
      </c>
      <c r="AF66" s="20">
        <v>0</v>
      </c>
      <c r="AG66" s="20">
        <v>0</v>
      </c>
      <c r="AH66" s="20">
        <v>0</v>
      </c>
      <c r="AI66" s="20">
        <v>0</v>
      </c>
      <c r="AJ66" s="20">
        <v>0</v>
      </c>
      <c r="AK66" s="111" t="s">
        <v>576</v>
      </c>
      <c r="AL66" s="20">
        <v>0</v>
      </c>
      <c r="AM66" s="20">
        <v>0</v>
      </c>
      <c r="AN66" s="20">
        <v>0</v>
      </c>
      <c r="AO66" s="20">
        <v>0</v>
      </c>
      <c r="AP66" s="20">
        <v>0</v>
      </c>
      <c r="AR66" s="20">
        <v>0</v>
      </c>
      <c r="AS66" s="20">
        <v>0</v>
      </c>
      <c r="AT66" s="20">
        <v>1418905.65</v>
      </c>
      <c r="AU66" s="20" t="s">
        <v>8</v>
      </c>
      <c r="AV66" s="20" t="s">
        <v>625</v>
      </c>
      <c r="AW66" s="111" t="s">
        <v>625</v>
      </c>
      <c r="AX66" s="20" t="s">
        <v>208</v>
      </c>
      <c r="AY66" s="19" t="s">
        <v>821</v>
      </c>
      <c r="AZ66" s="19">
        <v>0</v>
      </c>
      <c r="BA66" s="19">
        <v>29711.66</v>
      </c>
      <c r="BB66" s="19">
        <v>1044</v>
      </c>
      <c r="BC66" s="66">
        <v>46120</v>
      </c>
      <c r="BD66" s="19" t="s">
        <v>65</v>
      </c>
      <c r="BE66" s="19" t="s">
        <v>210</v>
      </c>
      <c r="BF66" s="19" t="s">
        <v>210</v>
      </c>
      <c r="BG66" s="19">
        <v>9</v>
      </c>
      <c r="BH66" s="19">
        <v>2674.05</v>
      </c>
      <c r="BI66" s="19">
        <v>9</v>
      </c>
      <c r="BJ66" s="19">
        <v>2674.05</v>
      </c>
      <c r="BK66" s="19">
        <v>0</v>
      </c>
      <c r="BL66" s="19">
        <v>0</v>
      </c>
      <c r="BM66" s="19">
        <v>0</v>
      </c>
      <c r="BN66" s="19">
        <v>672156926271</v>
      </c>
      <c r="BO66" s="66">
        <v>46238</v>
      </c>
      <c r="BP66" s="19">
        <v>0</v>
      </c>
    </row>
    <row r="67" spans="1:68">
      <c r="A67" s="65"/>
      <c r="B67" s="20" t="s">
        <v>2165</v>
      </c>
      <c r="C67" s="111">
        <v>46181</v>
      </c>
      <c r="D67" s="20" t="s">
        <v>3463</v>
      </c>
      <c r="E67" s="20" t="s">
        <v>160</v>
      </c>
      <c r="F67" s="20" t="s">
        <v>17</v>
      </c>
      <c r="H67" s="20" t="s">
        <v>3464</v>
      </c>
      <c r="I67" s="20">
        <v>6233</v>
      </c>
      <c r="J67" s="20">
        <v>6233</v>
      </c>
      <c r="K67" s="20" t="s">
        <v>11</v>
      </c>
      <c r="L67" s="20">
        <v>6233</v>
      </c>
      <c r="M67" s="20">
        <v>0</v>
      </c>
      <c r="N67" s="20">
        <v>6233</v>
      </c>
      <c r="O67" s="20" t="s">
        <v>2156</v>
      </c>
      <c r="P67" s="20" t="s">
        <v>87</v>
      </c>
      <c r="Q67" s="20" t="s">
        <v>87</v>
      </c>
      <c r="R67" s="111" t="s">
        <v>3465</v>
      </c>
      <c r="S67" s="111">
        <v>46120</v>
      </c>
      <c r="T67" s="20" t="s">
        <v>206</v>
      </c>
      <c r="U67" s="20" t="s">
        <v>207</v>
      </c>
      <c r="V67" s="20" t="s">
        <v>2703</v>
      </c>
      <c r="W67" s="20">
        <v>176.86</v>
      </c>
      <c r="X67" s="20">
        <v>176.86012489473501</v>
      </c>
      <c r="Y67" s="111" t="s">
        <v>3465</v>
      </c>
      <c r="Z67" s="111">
        <v>46120</v>
      </c>
      <c r="AB67" s="20" t="s">
        <v>2290</v>
      </c>
      <c r="AD67" s="20" t="s">
        <v>2290</v>
      </c>
      <c r="AE67" s="20" t="s">
        <v>2290</v>
      </c>
      <c r="AF67" s="20">
        <v>0</v>
      </c>
      <c r="AG67" s="20">
        <v>0</v>
      </c>
      <c r="AH67" s="20">
        <v>0</v>
      </c>
      <c r="AI67" s="20">
        <v>0</v>
      </c>
      <c r="AJ67" s="20">
        <v>0</v>
      </c>
      <c r="AK67" s="111" t="s">
        <v>576</v>
      </c>
      <c r="AL67" s="20">
        <v>0</v>
      </c>
      <c r="AM67" s="20">
        <v>0</v>
      </c>
      <c r="AN67" s="20">
        <v>0</v>
      </c>
      <c r="AO67" s="20">
        <v>0</v>
      </c>
      <c r="AP67" s="20">
        <v>0</v>
      </c>
      <c r="AR67" s="20">
        <v>0</v>
      </c>
      <c r="AS67" s="20">
        <v>0</v>
      </c>
      <c r="AT67" s="20">
        <v>1418905.65</v>
      </c>
      <c r="AU67" s="20" t="s">
        <v>13</v>
      </c>
      <c r="AV67" s="20" t="s">
        <v>80</v>
      </c>
      <c r="AW67" s="111" t="s">
        <v>81</v>
      </c>
      <c r="AX67" s="20" t="s">
        <v>208</v>
      </c>
      <c r="AY67" s="19" t="s">
        <v>209</v>
      </c>
      <c r="AZ67" s="19">
        <v>0</v>
      </c>
      <c r="BA67" s="19">
        <v>1102369.1599999999</v>
      </c>
      <c r="BB67" s="19">
        <v>1044</v>
      </c>
      <c r="BC67" s="66">
        <v>46120</v>
      </c>
      <c r="BD67" s="19" t="s">
        <v>65</v>
      </c>
      <c r="BE67" s="19" t="s">
        <v>210</v>
      </c>
      <c r="BF67" s="19" t="s">
        <v>210</v>
      </c>
      <c r="BG67" s="19">
        <v>9</v>
      </c>
      <c r="BH67" s="19">
        <v>99213.15</v>
      </c>
      <c r="BI67" s="19">
        <v>9</v>
      </c>
      <c r="BJ67" s="19">
        <v>99213.15</v>
      </c>
      <c r="BK67" s="19">
        <v>0</v>
      </c>
      <c r="BL67" s="19">
        <v>0</v>
      </c>
      <c r="BM67" s="19">
        <v>0</v>
      </c>
      <c r="BN67" s="19">
        <v>672156926271</v>
      </c>
      <c r="BO67" s="66">
        <v>46238</v>
      </c>
      <c r="BP67" s="19">
        <v>0</v>
      </c>
    </row>
    <row r="68" spans="1:68">
      <c r="A68" s="65"/>
      <c r="B68" s="20" t="s">
        <v>2165</v>
      </c>
      <c r="C68" s="111">
        <v>46181</v>
      </c>
      <c r="D68" s="20" t="s">
        <v>3466</v>
      </c>
      <c r="E68" s="20" t="s">
        <v>214</v>
      </c>
      <c r="F68" s="20" t="s">
        <v>12</v>
      </c>
      <c r="H68" s="20" t="s">
        <v>3467</v>
      </c>
      <c r="I68" s="20">
        <v>326.10000000000002</v>
      </c>
      <c r="J68" s="20">
        <v>326.10000000000002</v>
      </c>
      <c r="K68" s="20" t="s">
        <v>11</v>
      </c>
      <c r="L68" s="20">
        <v>326.10000000000002</v>
      </c>
      <c r="M68" s="20">
        <v>0</v>
      </c>
      <c r="N68" s="20">
        <v>326.10000000000002</v>
      </c>
      <c r="O68" s="20" t="s">
        <v>2156</v>
      </c>
      <c r="P68" s="20" t="s">
        <v>87</v>
      </c>
      <c r="Q68" s="20" t="s">
        <v>87</v>
      </c>
      <c r="R68" s="111" t="s">
        <v>2706</v>
      </c>
      <c r="S68" s="111">
        <v>46181</v>
      </c>
      <c r="T68" s="20" t="s">
        <v>206</v>
      </c>
      <c r="U68" s="20" t="s">
        <v>207</v>
      </c>
      <c r="V68" s="20" t="s">
        <v>2705</v>
      </c>
      <c r="W68" s="20">
        <v>166.86</v>
      </c>
      <c r="X68" s="20">
        <v>166.86000043086599</v>
      </c>
      <c r="Y68" s="111" t="s">
        <v>2706</v>
      </c>
      <c r="Z68" s="111">
        <v>46181</v>
      </c>
      <c r="AB68" s="20" t="s">
        <v>2290</v>
      </c>
      <c r="AD68" s="20" t="s">
        <v>2290</v>
      </c>
      <c r="AE68" s="20" t="s">
        <v>2290</v>
      </c>
      <c r="AF68" s="20">
        <v>0</v>
      </c>
      <c r="AG68" s="20">
        <v>0</v>
      </c>
      <c r="AH68" s="20">
        <v>0</v>
      </c>
      <c r="AI68" s="20">
        <v>0</v>
      </c>
      <c r="AJ68" s="20">
        <v>0</v>
      </c>
      <c r="AK68" s="111" t="s">
        <v>576</v>
      </c>
      <c r="AL68" s="20">
        <v>0</v>
      </c>
      <c r="AM68" s="20">
        <v>0</v>
      </c>
      <c r="AN68" s="20">
        <v>0</v>
      </c>
      <c r="AO68" s="20">
        <v>0</v>
      </c>
      <c r="AP68" s="20">
        <v>0</v>
      </c>
      <c r="AR68" s="20">
        <v>0</v>
      </c>
      <c r="AS68" s="20">
        <v>0</v>
      </c>
      <c r="AT68" s="20">
        <v>1549065.39</v>
      </c>
      <c r="AU68" s="20" t="s">
        <v>13</v>
      </c>
      <c r="AV68" s="20" t="s">
        <v>2152</v>
      </c>
      <c r="AW68" s="111" t="s">
        <v>123</v>
      </c>
      <c r="AX68" s="20" t="s">
        <v>208</v>
      </c>
      <c r="AY68" s="19" t="s">
        <v>209</v>
      </c>
      <c r="AZ68" s="19">
        <v>0</v>
      </c>
      <c r="BA68" s="19">
        <v>54413.05</v>
      </c>
      <c r="BB68" s="19">
        <v>1067</v>
      </c>
      <c r="BC68" s="66">
        <v>46181</v>
      </c>
      <c r="BD68" s="19" t="s">
        <v>65</v>
      </c>
      <c r="BE68" s="19" t="s">
        <v>210</v>
      </c>
      <c r="BF68" s="19" t="s">
        <v>210</v>
      </c>
      <c r="BG68" s="19">
        <v>9</v>
      </c>
      <c r="BH68" s="19">
        <v>4897.17</v>
      </c>
      <c r="BI68" s="19">
        <v>9</v>
      </c>
      <c r="BJ68" s="19">
        <v>4897.17</v>
      </c>
      <c r="BK68" s="19">
        <v>0</v>
      </c>
      <c r="BL68" s="19">
        <v>0</v>
      </c>
      <c r="BM68" s="19">
        <v>1549065.39</v>
      </c>
      <c r="BN68" s="19">
        <v>682158104472</v>
      </c>
      <c r="BO68" s="66">
        <v>46240</v>
      </c>
      <c r="BP68" s="19">
        <v>0</v>
      </c>
    </row>
    <row r="69" spans="1:68">
      <c r="A69" s="65"/>
      <c r="B69" s="20" t="s">
        <v>2165</v>
      </c>
      <c r="C69" s="111">
        <v>46181</v>
      </c>
      <c r="D69" s="20" t="s">
        <v>3466</v>
      </c>
      <c r="E69" s="20" t="s">
        <v>160</v>
      </c>
      <c r="F69" s="20" t="s">
        <v>17</v>
      </c>
      <c r="H69" s="20" t="s">
        <v>3467</v>
      </c>
      <c r="I69" s="20">
        <v>4116</v>
      </c>
      <c r="J69" s="20">
        <v>4116</v>
      </c>
      <c r="K69" s="20" t="s">
        <v>11</v>
      </c>
      <c r="L69" s="20">
        <v>4116</v>
      </c>
      <c r="M69" s="20">
        <v>0</v>
      </c>
      <c r="N69" s="20">
        <v>4116</v>
      </c>
      <c r="O69" s="20" t="s">
        <v>2156</v>
      </c>
      <c r="P69" s="20" t="s">
        <v>87</v>
      </c>
      <c r="Q69" s="20" t="s">
        <v>87</v>
      </c>
      <c r="R69" s="111" t="s">
        <v>2706</v>
      </c>
      <c r="S69" s="111">
        <v>46181</v>
      </c>
      <c r="T69" s="20" t="s">
        <v>206</v>
      </c>
      <c r="U69" s="20" t="s">
        <v>207</v>
      </c>
      <c r="V69" s="20" t="s">
        <v>2705</v>
      </c>
      <c r="W69" s="20">
        <v>176.86</v>
      </c>
      <c r="X69" s="20">
        <v>176.860000456688</v>
      </c>
      <c r="Y69" s="111" t="s">
        <v>2706</v>
      </c>
      <c r="Z69" s="111">
        <v>46181</v>
      </c>
      <c r="AB69" s="20" t="s">
        <v>2290</v>
      </c>
      <c r="AD69" s="20" t="s">
        <v>2290</v>
      </c>
      <c r="AE69" s="20" t="s">
        <v>2290</v>
      </c>
      <c r="AF69" s="20">
        <v>0</v>
      </c>
      <c r="AG69" s="20">
        <v>0</v>
      </c>
      <c r="AH69" s="20">
        <v>0</v>
      </c>
      <c r="AI69" s="20">
        <v>0</v>
      </c>
      <c r="AJ69" s="20">
        <v>0</v>
      </c>
      <c r="AK69" s="111" t="s">
        <v>576</v>
      </c>
      <c r="AL69" s="20">
        <v>0</v>
      </c>
      <c r="AM69" s="20">
        <v>0</v>
      </c>
      <c r="AN69" s="20">
        <v>0</v>
      </c>
      <c r="AO69" s="20">
        <v>0</v>
      </c>
      <c r="AP69" s="20">
        <v>0</v>
      </c>
      <c r="AR69" s="20">
        <v>0</v>
      </c>
      <c r="AS69" s="20">
        <v>0</v>
      </c>
      <c r="AT69" s="20">
        <v>1549065.39</v>
      </c>
      <c r="AU69" s="20" t="s">
        <v>13</v>
      </c>
      <c r="AV69" s="20" t="s">
        <v>80</v>
      </c>
      <c r="AW69" s="111" t="s">
        <v>81</v>
      </c>
      <c r="AX69" s="20" t="s">
        <v>208</v>
      </c>
      <c r="AY69" s="19" t="s">
        <v>209</v>
      </c>
      <c r="AZ69" s="19">
        <v>0</v>
      </c>
      <c r="BA69" s="19">
        <v>727955.76</v>
      </c>
      <c r="BB69" s="19">
        <v>1067</v>
      </c>
      <c r="BC69" s="66">
        <v>46181</v>
      </c>
      <c r="BD69" s="19" t="s">
        <v>65</v>
      </c>
      <c r="BE69" s="19" t="s">
        <v>210</v>
      </c>
      <c r="BF69" s="19" t="s">
        <v>210</v>
      </c>
      <c r="BG69" s="19">
        <v>9</v>
      </c>
      <c r="BH69" s="19">
        <v>65516.02</v>
      </c>
      <c r="BI69" s="19">
        <v>9</v>
      </c>
      <c r="BJ69" s="19">
        <v>65516.02</v>
      </c>
      <c r="BK69" s="19">
        <v>0</v>
      </c>
      <c r="BL69" s="19">
        <v>0</v>
      </c>
      <c r="BM69" s="19">
        <v>0</v>
      </c>
      <c r="BN69" s="19">
        <v>682158104472</v>
      </c>
      <c r="BO69" s="66">
        <v>46240</v>
      </c>
      <c r="BP69" s="19">
        <v>0</v>
      </c>
    </row>
    <row r="70" spans="1:68">
      <c r="A70" s="65"/>
      <c r="B70" s="20" t="s">
        <v>2165</v>
      </c>
      <c r="C70" s="111">
        <v>46181</v>
      </c>
      <c r="D70" s="20" t="s">
        <v>3466</v>
      </c>
      <c r="E70" s="20" t="s">
        <v>18</v>
      </c>
      <c r="F70" s="20" t="s">
        <v>19</v>
      </c>
      <c r="H70" s="20" t="s">
        <v>3467</v>
      </c>
      <c r="I70" s="20">
        <v>987</v>
      </c>
      <c r="J70" s="20">
        <v>987</v>
      </c>
      <c r="K70" s="20" t="s">
        <v>11</v>
      </c>
      <c r="L70" s="20">
        <v>987</v>
      </c>
      <c r="M70" s="20">
        <v>0</v>
      </c>
      <c r="N70" s="20">
        <v>987</v>
      </c>
      <c r="O70" s="20" t="s">
        <v>2156</v>
      </c>
      <c r="P70" s="20" t="s">
        <v>87</v>
      </c>
      <c r="Q70" s="20" t="s">
        <v>87</v>
      </c>
      <c r="R70" s="111" t="s">
        <v>2706</v>
      </c>
      <c r="S70" s="111">
        <v>46181</v>
      </c>
      <c r="T70" s="20" t="s">
        <v>206</v>
      </c>
      <c r="U70" s="20" t="s">
        <v>207</v>
      </c>
      <c r="V70" s="20" t="s">
        <v>2705</v>
      </c>
      <c r="W70" s="20">
        <v>142.32</v>
      </c>
      <c r="X70" s="20">
        <v>142.32000036749901</v>
      </c>
      <c r="Y70" s="111" t="s">
        <v>2706</v>
      </c>
      <c r="Z70" s="111">
        <v>46181</v>
      </c>
      <c r="AB70" s="20" t="s">
        <v>2290</v>
      </c>
      <c r="AD70" s="20" t="s">
        <v>2290</v>
      </c>
      <c r="AE70" s="20" t="s">
        <v>2290</v>
      </c>
      <c r="AF70" s="20">
        <v>0</v>
      </c>
      <c r="AG70" s="20">
        <v>0</v>
      </c>
      <c r="AH70" s="20">
        <v>0</v>
      </c>
      <c r="AI70" s="20">
        <v>0</v>
      </c>
      <c r="AJ70" s="20">
        <v>0</v>
      </c>
      <c r="AK70" s="111" t="s">
        <v>576</v>
      </c>
      <c r="AL70" s="20">
        <v>0</v>
      </c>
      <c r="AM70" s="20">
        <v>0</v>
      </c>
      <c r="AN70" s="20">
        <v>0</v>
      </c>
      <c r="AO70" s="20">
        <v>0</v>
      </c>
      <c r="AP70" s="20">
        <v>0</v>
      </c>
      <c r="AR70" s="20">
        <v>0</v>
      </c>
      <c r="AS70" s="20">
        <v>0</v>
      </c>
      <c r="AT70" s="20">
        <v>1549065.39</v>
      </c>
      <c r="AU70" s="20" t="s">
        <v>13</v>
      </c>
      <c r="AV70" s="20" t="s">
        <v>62</v>
      </c>
      <c r="AW70" s="111" t="s">
        <v>63</v>
      </c>
      <c r="AX70" s="20" t="s">
        <v>208</v>
      </c>
      <c r="AY70" s="19" t="s">
        <v>209</v>
      </c>
      <c r="AZ70" s="19">
        <v>0</v>
      </c>
      <c r="BA70" s="19">
        <v>140469.84</v>
      </c>
      <c r="BB70" s="19">
        <v>1067</v>
      </c>
      <c r="BC70" s="66">
        <v>46181</v>
      </c>
      <c r="BD70" s="19" t="s">
        <v>65</v>
      </c>
      <c r="BE70" s="19" t="s">
        <v>210</v>
      </c>
      <c r="BF70" s="19" t="s">
        <v>210</v>
      </c>
      <c r="BG70" s="19">
        <v>9</v>
      </c>
      <c r="BH70" s="19">
        <v>12642.29</v>
      </c>
      <c r="BI70" s="19">
        <v>9</v>
      </c>
      <c r="BJ70" s="19">
        <v>12642.29</v>
      </c>
      <c r="BK70" s="19">
        <v>0</v>
      </c>
      <c r="BL70" s="19">
        <v>0</v>
      </c>
      <c r="BM70" s="19">
        <v>0</v>
      </c>
      <c r="BN70" s="19">
        <v>682158104472</v>
      </c>
      <c r="BO70" s="66">
        <v>46240</v>
      </c>
      <c r="BP70" s="19">
        <v>0</v>
      </c>
    </row>
    <row r="71" spans="1:68">
      <c r="A71" s="65"/>
      <c r="B71" s="20" t="s">
        <v>2165</v>
      </c>
      <c r="C71" s="111">
        <v>46181</v>
      </c>
      <c r="D71" s="20" t="s">
        <v>3466</v>
      </c>
      <c r="E71" s="20" t="s">
        <v>23</v>
      </c>
      <c r="F71" s="20" t="s">
        <v>24</v>
      </c>
      <c r="H71" s="20" t="s">
        <v>3467</v>
      </c>
      <c r="I71" s="20">
        <v>868.5</v>
      </c>
      <c r="J71" s="20">
        <v>868.5</v>
      </c>
      <c r="K71" s="20" t="s">
        <v>11</v>
      </c>
      <c r="L71" s="20">
        <v>868.5</v>
      </c>
      <c r="M71" s="20">
        <v>0</v>
      </c>
      <c r="N71" s="20">
        <v>868.5</v>
      </c>
      <c r="O71" s="20" t="s">
        <v>2156</v>
      </c>
      <c r="P71" s="20" t="s">
        <v>87</v>
      </c>
      <c r="Q71" s="20" t="s">
        <v>87</v>
      </c>
      <c r="R71" s="111" t="s">
        <v>2706</v>
      </c>
      <c r="S71" s="111">
        <v>46181</v>
      </c>
      <c r="T71" s="20" t="s">
        <v>206</v>
      </c>
      <c r="U71" s="20" t="s">
        <v>207</v>
      </c>
      <c r="V71" s="20" t="s">
        <v>2705</v>
      </c>
      <c r="W71" s="20">
        <v>144.32</v>
      </c>
      <c r="X71" s="20">
        <v>144.320000372663</v>
      </c>
      <c r="Y71" s="111" t="s">
        <v>2706</v>
      </c>
      <c r="Z71" s="111">
        <v>46181</v>
      </c>
      <c r="AB71" s="20" t="s">
        <v>2290</v>
      </c>
      <c r="AD71" s="20" t="s">
        <v>2290</v>
      </c>
      <c r="AE71" s="20" t="s">
        <v>2290</v>
      </c>
      <c r="AF71" s="20">
        <v>0</v>
      </c>
      <c r="AG71" s="20">
        <v>0</v>
      </c>
      <c r="AH71" s="20">
        <v>0</v>
      </c>
      <c r="AI71" s="20">
        <v>0</v>
      </c>
      <c r="AJ71" s="20">
        <v>0</v>
      </c>
      <c r="AK71" s="111" t="s">
        <v>576</v>
      </c>
      <c r="AL71" s="20">
        <v>0</v>
      </c>
      <c r="AM71" s="20">
        <v>0</v>
      </c>
      <c r="AN71" s="20">
        <v>0</v>
      </c>
      <c r="AO71" s="20">
        <v>0</v>
      </c>
      <c r="AP71" s="20">
        <v>0</v>
      </c>
      <c r="AR71" s="20">
        <v>0</v>
      </c>
      <c r="AS71" s="20">
        <v>0</v>
      </c>
      <c r="AT71" s="20">
        <v>1549065.39</v>
      </c>
      <c r="AU71" s="20" t="s">
        <v>13</v>
      </c>
      <c r="AV71" s="20" t="s">
        <v>24</v>
      </c>
      <c r="AW71" s="111" t="s">
        <v>79</v>
      </c>
      <c r="AX71" s="20" t="s">
        <v>208</v>
      </c>
      <c r="AY71" s="19" t="s">
        <v>209</v>
      </c>
      <c r="AZ71" s="19">
        <v>0</v>
      </c>
      <c r="BA71" s="19">
        <v>125341.92</v>
      </c>
      <c r="BB71" s="19">
        <v>1067</v>
      </c>
      <c r="BC71" s="66">
        <v>46181</v>
      </c>
      <c r="BD71" s="19" t="s">
        <v>65</v>
      </c>
      <c r="BE71" s="19" t="s">
        <v>210</v>
      </c>
      <c r="BF71" s="19" t="s">
        <v>210</v>
      </c>
      <c r="BG71" s="19">
        <v>9</v>
      </c>
      <c r="BH71" s="19">
        <v>11280.77</v>
      </c>
      <c r="BI71" s="19">
        <v>9</v>
      </c>
      <c r="BJ71" s="19">
        <v>11280.77</v>
      </c>
      <c r="BK71" s="19">
        <v>0</v>
      </c>
      <c r="BL71" s="19">
        <v>0</v>
      </c>
      <c r="BM71" s="19">
        <v>0</v>
      </c>
      <c r="BN71" s="19">
        <v>682158104472</v>
      </c>
      <c r="BO71" s="66">
        <v>46240</v>
      </c>
      <c r="BP71" s="19">
        <v>0</v>
      </c>
    </row>
    <row r="72" spans="1:68">
      <c r="A72" s="65"/>
      <c r="B72" s="20" t="s">
        <v>2165</v>
      </c>
      <c r="C72" s="111">
        <v>46181</v>
      </c>
      <c r="D72" s="20" t="s">
        <v>3466</v>
      </c>
      <c r="E72" s="20" t="s">
        <v>23</v>
      </c>
      <c r="F72" s="20" t="s">
        <v>24</v>
      </c>
      <c r="H72" s="20" t="s">
        <v>3467</v>
      </c>
      <c r="I72" s="20">
        <v>1796</v>
      </c>
      <c r="J72" s="20">
        <v>1796</v>
      </c>
      <c r="K72" s="20" t="s">
        <v>11</v>
      </c>
      <c r="L72" s="20">
        <v>1796</v>
      </c>
      <c r="M72" s="20">
        <v>0</v>
      </c>
      <c r="N72" s="20">
        <v>1796</v>
      </c>
      <c r="O72" s="20" t="s">
        <v>2156</v>
      </c>
      <c r="P72" s="20" t="s">
        <v>87</v>
      </c>
      <c r="Q72" s="20" t="s">
        <v>87</v>
      </c>
      <c r="R72" s="111" t="s">
        <v>2706</v>
      </c>
      <c r="S72" s="111">
        <v>46181</v>
      </c>
      <c r="T72" s="20" t="s">
        <v>206</v>
      </c>
      <c r="U72" s="20" t="s">
        <v>207</v>
      </c>
      <c r="V72" s="20" t="s">
        <v>2705</v>
      </c>
      <c r="W72" s="20">
        <v>147.32</v>
      </c>
      <c r="X72" s="20">
        <v>147.32000038040999</v>
      </c>
      <c r="Y72" s="111" t="s">
        <v>2706</v>
      </c>
      <c r="Z72" s="111">
        <v>46181</v>
      </c>
      <c r="AB72" s="20" t="s">
        <v>2290</v>
      </c>
      <c r="AD72" s="20" t="s">
        <v>2290</v>
      </c>
      <c r="AE72" s="20" t="s">
        <v>2290</v>
      </c>
      <c r="AF72" s="20">
        <v>0</v>
      </c>
      <c r="AG72" s="20">
        <v>0</v>
      </c>
      <c r="AH72" s="20">
        <v>0</v>
      </c>
      <c r="AI72" s="20">
        <v>0</v>
      </c>
      <c r="AJ72" s="20">
        <v>0</v>
      </c>
      <c r="AK72" s="111" t="s">
        <v>576</v>
      </c>
      <c r="AL72" s="20">
        <v>0</v>
      </c>
      <c r="AM72" s="20">
        <v>0</v>
      </c>
      <c r="AN72" s="20">
        <v>0</v>
      </c>
      <c r="AO72" s="20">
        <v>0</v>
      </c>
      <c r="AP72" s="20">
        <v>0</v>
      </c>
      <c r="AR72" s="20">
        <v>0</v>
      </c>
      <c r="AS72" s="20">
        <v>0</v>
      </c>
      <c r="AT72" s="20">
        <v>1549065.39</v>
      </c>
      <c r="AU72" s="20" t="s">
        <v>13</v>
      </c>
      <c r="AV72" s="20" t="s">
        <v>24</v>
      </c>
      <c r="AW72" s="111" t="s">
        <v>79</v>
      </c>
      <c r="AX72" s="20" t="s">
        <v>208</v>
      </c>
      <c r="AY72" s="19" t="s">
        <v>209</v>
      </c>
      <c r="AZ72" s="19">
        <v>0</v>
      </c>
      <c r="BA72" s="19">
        <v>264586.71999999997</v>
      </c>
      <c r="BB72" s="19">
        <v>1067</v>
      </c>
      <c r="BC72" s="66">
        <v>46181</v>
      </c>
      <c r="BD72" s="19" t="s">
        <v>65</v>
      </c>
      <c r="BE72" s="19" t="s">
        <v>210</v>
      </c>
      <c r="BF72" s="19" t="s">
        <v>210</v>
      </c>
      <c r="BG72" s="19">
        <v>9</v>
      </c>
      <c r="BH72" s="19">
        <v>23812.799999999999</v>
      </c>
      <c r="BI72" s="19">
        <v>9</v>
      </c>
      <c r="BJ72" s="19">
        <v>23812.799999999999</v>
      </c>
      <c r="BK72" s="19">
        <v>0</v>
      </c>
      <c r="BL72" s="19">
        <v>0</v>
      </c>
      <c r="BM72" s="19">
        <v>0</v>
      </c>
      <c r="BN72" s="19">
        <v>682158104472</v>
      </c>
      <c r="BO72" s="66">
        <v>46240</v>
      </c>
      <c r="BP72" s="19">
        <v>0</v>
      </c>
    </row>
    <row r="73" spans="1:68">
      <c r="A73" s="65"/>
      <c r="B73" s="20" t="s">
        <v>2165</v>
      </c>
      <c r="C73" s="111">
        <v>46181</v>
      </c>
      <c r="D73" s="20" t="s">
        <v>3468</v>
      </c>
      <c r="E73" s="20" t="s">
        <v>18</v>
      </c>
      <c r="F73" s="20" t="s">
        <v>19</v>
      </c>
      <c r="H73" s="20" t="s">
        <v>3469</v>
      </c>
      <c r="I73" s="20">
        <v>8930</v>
      </c>
      <c r="J73" s="20">
        <v>8930</v>
      </c>
      <c r="K73" s="20" t="s">
        <v>11</v>
      </c>
      <c r="L73" s="20">
        <v>8930</v>
      </c>
      <c r="M73" s="20">
        <v>0</v>
      </c>
      <c r="N73" s="20">
        <v>8930</v>
      </c>
      <c r="O73" s="20" t="s">
        <v>2154</v>
      </c>
      <c r="P73" s="20" t="s">
        <v>87</v>
      </c>
      <c r="Q73" s="20" t="s">
        <v>87</v>
      </c>
      <c r="R73" s="111" t="s">
        <v>2708</v>
      </c>
      <c r="S73" s="111">
        <v>46181</v>
      </c>
      <c r="T73" s="20" t="s">
        <v>206</v>
      </c>
      <c r="U73" s="20" t="s">
        <v>207</v>
      </c>
      <c r="V73" s="20" t="s">
        <v>2707</v>
      </c>
      <c r="W73" s="20">
        <v>142.32</v>
      </c>
      <c r="X73" s="20">
        <v>142.32</v>
      </c>
      <c r="Y73" s="111" t="s">
        <v>2708</v>
      </c>
      <c r="Z73" s="111">
        <v>46181</v>
      </c>
      <c r="AB73" s="20" t="s">
        <v>2290</v>
      </c>
      <c r="AD73" s="20" t="s">
        <v>2290</v>
      </c>
      <c r="AE73" s="20" t="s">
        <v>2290</v>
      </c>
      <c r="AF73" s="20">
        <v>0</v>
      </c>
      <c r="AG73" s="20">
        <v>0</v>
      </c>
      <c r="AH73" s="20">
        <v>0</v>
      </c>
      <c r="AI73" s="20">
        <v>0</v>
      </c>
      <c r="AJ73" s="20">
        <v>0</v>
      </c>
      <c r="AK73" s="111" t="s">
        <v>576</v>
      </c>
      <c r="AL73" s="20">
        <v>0</v>
      </c>
      <c r="AM73" s="20">
        <v>0</v>
      </c>
      <c r="AN73" s="20">
        <v>0</v>
      </c>
      <c r="AO73" s="20">
        <v>0</v>
      </c>
      <c r="AP73" s="20">
        <v>0</v>
      </c>
      <c r="AR73" s="20">
        <v>0</v>
      </c>
      <c r="AS73" s="20">
        <v>0</v>
      </c>
      <c r="AT73" s="20">
        <v>1932068.36</v>
      </c>
      <c r="AU73" s="20" t="s">
        <v>13</v>
      </c>
      <c r="AV73" s="20" t="s">
        <v>62</v>
      </c>
      <c r="AW73" s="111" t="s">
        <v>63</v>
      </c>
      <c r="AX73" s="20" t="s">
        <v>208</v>
      </c>
      <c r="AY73" s="19" t="s">
        <v>209</v>
      </c>
      <c r="AZ73" s="19">
        <v>0</v>
      </c>
      <c r="BA73" s="19">
        <v>1270917.6000000001</v>
      </c>
      <c r="BB73" s="19">
        <v>1064</v>
      </c>
      <c r="BC73" s="66">
        <v>46181</v>
      </c>
      <c r="BD73" s="19" t="s">
        <v>65</v>
      </c>
      <c r="BE73" s="19" t="s">
        <v>210</v>
      </c>
      <c r="BF73" s="19" t="s">
        <v>210</v>
      </c>
      <c r="BG73" s="19">
        <v>9</v>
      </c>
      <c r="BH73" s="19">
        <v>114382.58</v>
      </c>
      <c r="BI73" s="19">
        <v>9</v>
      </c>
      <c r="BJ73" s="19">
        <v>114382.58</v>
      </c>
      <c r="BK73" s="19">
        <v>0</v>
      </c>
      <c r="BL73" s="19">
        <v>0</v>
      </c>
      <c r="BM73" s="19">
        <v>1932068.36</v>
      </c>
      <c r="BN73" s="19">
        <v>622158039402</v>
      </c>
      <c r="BO73" s="66">
        <v>46240</v>
      </c>
      <c r="BP73" s="19">
        <v>0</v>
      </c>
    </row>
    <row r="74" spans="1:68">
      <c r="A74" s="65"/>
      <c r="B74" s="20" t="s">
        <v>2165</v>
      </c>
      <c r="C74" s="111">
        <v>46181</v>
      </c>
      <c r="D74" s="20" t="s">
        <v>3468</v>
      </c>
      <c r="E74" s="20" t="s">
        <v>18</v>
      </c>
      <c r="F74" s="20" t="s">
        <v>19</v>
      </c>
      <c r="H74" s="20" t="s">
        <v>3469</v>
      </c>
      <c r="I74" s="20">
        <v>1507</v>
      </c>
      <c r="J74" s="20">
        <v>1507</v>
      </c>
      <c r="K74" s="20" t="s">
        <v>11</v>
      </c>
      <c r="L74" s="20">
        <v>1507</v>
      </c>
      <c r="M74" s="20">
        <v>0</v>
      </c>
      <c r="N74" s="20">
        <v>1507</v>
      </c>
      <c r="O74" s="20" t="s">
        <v>2154</v>
      </c>
      <c r="P74" s="20" t="s">
        <v>87</v>
      </c>
      <c r="Q74" s="20" t="s">
        <v>87</v>
      </c>
      <c r="R74" s="111" t="s">
        <v>2708</v>
      </c>
      <c r="S74" s="111">
        <v>46181</v>
      </c>
      <c r="T74" s="20" t="s">
        <v>206</v>
      </c>
      <c r="U74" s="20" t="s">
        <v>207</v>
      </c>
      <c r="V74" s="20" t="s">
        <v>2707</v>
      </c>
      <c r="W74" s="20">
        <v>144.32</v>
      </c>
      <c r="X74" s="20">
        <v>144.32</v>
      </c>
      <c r="Y74" s="111" t="s">
        <v>2708</v>
      </c>
      <c r="Z74" s="111">
        <v>46181</v>
      </c>
      <c r="AB74" s="20" t="s">
        <v>2290</v>
      </c>
      <c r="AD74" s="20" t="s">
        <v>2290</v>
      </c>
      <c r="AE74" s="20" t="s">
        <v>2290</v>
      </c>
      <c r="AF74" s="20">
        <v>0</v>
      </c>
      <c r="AG74" s="20">
        <v>0</v>
      </c>
      <c r="AH74" s="20">
        <v>0</v>
      </c>
      <c r="AI74" s="20">
        <v>0</v>
      </c>
      <c r="AJ74" s="20">
        <v>0</v>
      </c>
      <c r="AK74" s="111" t="s">
        <v>576</v>
      </c>
      <c r="AL74" s="20">
        <v>0</v>
      </c>
      <c r="AM74" s="20">
        <v>0</v>
      </c>
      <c r="AN74" s="20">
        <v>0</v>
      </c>
      <c r="AO74" s="20">
        <v>0</v>
      </c>
      <c r="AP74" s="20">
        <v>0</v>
      </c>
      <c r="AR74" s="20">
        <v>0</v>
      </c>
      <c r="AS74" s="20">
        <v>0</v>
      </c>
      <c r="AT74" s="20">
        <v>1932068.36</v>
      </c>
      <c r="AU74" s="20" t="s">
        <v>13</v>
      </c>
      <c r="AV74" s="20" t="s">
        <v>62</v>
      </c>
      <c r="AW74" s="111" t="s">
        <v>63</v>
      </c>
      <c r="AX74" s="20" t="s">
        <v>208</v>
      </c>
      <c r="AY74" s="19" t="s">
        <v>209</v>
      </c>
      <c r="AZ74" s="19">
        <v>0</v>
      </c>
      <c r="BA74" s="19">
        <v>217490.24</v>
      </c>
      <c r="BB74" s="19">
        <v>1064</v>
      </c>
      <c r="BC74" s="66">
        <v>46181</v>
      </c>
      <c r="BD74" s="19" t="s">
        <v>65</v>
      </c>
      <c r="BE74" s="19" t="s">
        <v>210</v>
      </c>
      <c r="BF74" s="19" t="s">
        <v>210</v>
      </c>
      <c r="BG74" s="19">
        <v>9</v>
      </c>
      <c r="BH74" s="19">
        <v>19574.12</v>
      </c>
      <c r="BI74" s="19">
        <v>9</v>
      </c>
      <c r="BJ74" s="19">
        <v>19574.12</v>
      </c>
      <c r="BK74" s="19">
        <v>0</v>
      </c>
      <c r="BL74" s="19">
        <v>0</v>
      </c>
      <c r="BM74" s="19">
        <v>0</v>
      </c>
      <c r="BN74" s="19">
        <v>622158039402</v>
      </c>
      <c r="BO74" s="66">
        <v>46240</v>
      </c>
      <c r="BP74" s="19">
        <v>0</v>
      </c>
    </row>
    <row r="75" spans="1:68">
      <c r="A75" s="65"/>
      <c r="B75" s="20" t="s">
        <v>2165</v>
      </c>
      <c r="C75" s="111">
        <v>46181</v>
      </c>
      <c r="D75" s="20" t="s">
        <v>3468</v>
      </c>
      <c r="E75" s="20" t="s">
        <v>20</v>
      </c>
      <c r="F75" s="20" t="s">
        <v>21</v>
      </c>
      <c r="H75" s="20" t="s">
        <v>3469</v>
      </c>
      <c r="I75" s="20">
        <v>1032</v>
      </c>
      <c r="J75" s="20">
        <v>1032</v>
      </c>
      <c r="K75" s="20" t="s">
        <v>11</v>
      </c>
      <c r="L75" s="20">
        <v>1032</v>
      </c>
      <c r="M75" s="20">
        <v>0</v>
      </c>
      <c r="N75" s="20">
        <v>1032</v>
      </c>
      <c r="O75" s="20" t="s">
        <v>2154</v>
      </c>
      <c r="P75" s="20" t="s">
        <v>87</v>
      </c>
      <c r="Q75" s="20" t="s">
        <v>87</v>
      </c>
      <c r="R75" s="111" t="s">
        <v>2708</v>
      </c>
      <c r="S75" s="111">
        <v>46181</v>
      </c>
      <c r="T75" s="20" t="s">
        <v>206</v>
      </c>
      <c r="U75" s="20" t="s">
        <v>207</v>
      </c>
      <c r="V75" s="20" t="s">
        <v>2707</v>
      </c>
      <c r="W75" s="20">
        <v>144.32</v>
      </c>
      <c r="X75" s="20">
        <v>144.32</v>
      </c>
      <c r="Y75" s="111" t="s">
        <v>2708</v>
      </c>
      <c r="Z75" s="111">
        <v>46181</v>
      </c>
      <c r="AB75" s="20" t="s">
        <v>2290</v>
      </c>
      <c r="AD75" s="20" t="s">
        <v>2290</v>
      </c>
      <c r="AE75" s="20" t="s">
        <v>2290</v>
      </c>
      <c r="AF75" s="20">
        <v>0</v>
      </c>
      <c r="AG75" s="20">
        <v>0</v>
      </c>
      <c r="AH75" s="20">
        <v>0</v>
      </c>
      <c r="AI75" s="20">
        <v>0</v>
      </c>
      <c r="AJ75" s="20">
        <v>0</v>
      </c>
      <c r="AK75" s="111" t="s">
        <v>576</v>
      </c>
      <c r="AL75" s="20">
        <v>0</v>
      </c>
      <c r="AM75" s="20">
        <v>0</v>
      </c>
      <c r="AN75" s="20">
        <v>0</v>
      </c>
      <c r="AO75" s="20">
        <v>0</v>
      </c>
      <c r="AP75" s="20">
        <v>0</v>
      </c>
      <c r="AR75" s="20">
        <v>0</v>
      </c>
      <c r="AS75" s="20">
        <v>0</v>
      </c>
      <c r="AT75" s="20">
        <v>1932068.36</v>
      </c>
      <c r="AU75" s="20" t="s">
        <v>13</v>
      </c>
      <c r="AV75" s="20" t="s">
        <v>62</v>
      </c>
      <c r="AW75" s="111" t="s">
        <v>76</v>
      </c>
      <c r="AX75" s="20" t="s">
        <v>208</v>
      </c>
      <c r="AY75" s="19" t="s">
        <v>209</v>
      </c>
      <c r="AZ75" s="19">
        <v>0</v>
      </c>
      <c r="BA75" s="19">
        <v>148938.23999999999</v>
      </c>
      <c r="BB75" s="19">
        <v>1064</v>
      </c>
      <c r="BC75" s="66">
        <v>46181</v>
      </c>
      <c r="BD75" s="19" t="s">
        <v>65</v>
      </c>
      <c r="BE75" s="19" t="s">
        <v>210</v>
      </c>
      <c r="BF75" s="19" t="s">
        <v>210</v>
      </c>
      <c r="BG75" s="19">
        <v>9</v>
      </c>
      <c r="BH75" s="19">
        <v>13404.44</v>
      </c>
      <c r="BI75" s="19">
        <v>9</v>
      </c>
      <c r="BJ75" s="19">
        <v>13404.44</v>
      </c>
      <c r="BK75" s="19">
        <v>0</v>
      </c>
      <c r="BL75" s="19">
        <v>0</v>
      </c>
      <c r="BM75" s="19">
        <v>0</v>
      </c>
      <c r="BN75" s="19">
        <v>622158039402</v>
      </c>
      <c r="BO75" s="66">
        <v>46240</v>
      </c>
      <c r="BP75" s="19">
        <v>0</v>
      </c>
    </row>
    <row r="76" spans="1:68">
      <c r="A76" s="65"/>
      <c r="B76" s="20" t="s">
        <v>2165</v>
      </c>
      <c r="C76" s="111">
        <v>46211</v>
      </c>
      <c r="D76" s="20" t="s">
        <v>3470</v>
      </c>
      <c r="E76" s="20" t="s">
        <v>2341</v>
      </c>
      <c r="F76" s="20" t="s">
        <v>2076</v>
      </c>
      <c r="H76" s="20" t="s">
        <v>3471</v>
      </c>
      <c r="I76" s="20">
        <v>158</v>
      </c>
      <c r="J76" s="20">
        <v>158</v>
      </c>
      <c r="K76" s="20" t="s">
        <v>11</v>
      </c>
      <c r="L76" s="20">
        <v>158</v>
      </c>
      <c r="M76" s="20">
        <v>0</v>
      </c>
      <c r="N76" s="20">
        <v>158</v>
      </c>
      <c r="O76" s="20" t="s">
        <v>2310</v>
      </c>
      <c r="P76" s="20" t="s">
        <v>94</v>
      </c>
      <c r="Q76" s="20" t="s">
        <v>94</v>
      </c>
      <c r="R76" s="111" t="s">
        <v>2745</v>
      </c>
      <c r="S76" s="111">
        <v>46211</v>
      </c>
      <c r="T76" s="20" t="s">
        <v>206</v>
      </c>
      <c r="U76" s="20" t="s">
        <v>207</v>
      </c>
      <c r="V76" s="20" t="s">
        <v>2744</v>
      </c>
      <c r="W76" s="20">
        <v>133.58000000000001</v>
      </c>
      <c r="X76" s="20">
        <v>133.58000000000001</v>
      </c>
      <c r="Y76" s="111" t="s">
        <v>2745</v>
      </c>
      <c r="Z76" s="111">
        <v>46211</v>
      </c>
      <c r="AB76" s="20" t="s">
        <v>2290</v>
      </c>
      <c r="AD76" s="20" t="s">
        <v>2290</v>
      </c>
      <c r="AE76" s="20" t="s">
        <v>2290</v>
      </c>
      <c r="AF76" s="20">
        <v>0</v>
      </c>
      <c r="AG76" s="20">
        <v>0</v>
      </c>
      <c r="AH76" s="20">
        <v>0</v>
      </c>
      <c r="AI76" s="20">
        <v>0</v>
      </c>
      <c r="AJ76" s="20">
        <v>0</v>
      </c>
      <c r="AK76" s="111" t="s">
        <v>576</v>
      </c>
      <c r="AL76" s="20">
        <v>0</v>
      </c>
      <c r="AM76" s="20">
        <v>0</v>
      </c>
      <c r="AN76" s="20">
        <v>0</v>
      </c>
      <c r="AO76" s="20">
        <v>0</v>
      </c>
      <c r="AP76" s="20">
        <v>0</v>
      </c>
      <c r="AR76" s="20">
        <v>0</v>
      </c>
      <c r="AS76" s="20">
        <v>0</v>
      </c>
      <c r="AT76" s="20">
        <v>106888.58</v>
      </c>
      <c r="AU76" s="20" t="s">
        <v>15</v>
      </c>
      <c r="AV76" s="20" t="s">
        <v>2076</v>
      </c>
      <c r="AW76" s="111" t="s">
        <v>2076</v>
      </c>
      <c r="AX76" s="20" t="s">
        <v>208</v>
      </c>
      <c r="AY76" s="19" t="s">
        <v>209</v>
      </c>
      <c r="AZ76" s="19">
        <v>0</v>
      </c>
      <c r="BA76" s="19">
        <v>21105.64</v>
      </c>
      <c r="BB76" s="19">
        <v>1071</v>
      </c>
      <c r="BC76" s="66">
        <v>46211</v>
      </c>
      <c r="BD76" s="19" t="s">
        <v>74</v>
      </c>
      <c r="BE76" s="19" t="s">
        <v>210</v>
      </c>
      <c r="BF76" s="19" t="s">
        <v>210</v>
      </c>
      <c r="BG76" s="19">
        <v>9</v>
      </c>
      <c r="BH76" s="19">
        <v>1899.51</v>
      </c>
      <c r="BI76" s="19">
        <v>9</v>
      </c>
      <c r="BJ76" s="19">
        <v>1899.51</v>
      </c>
      <c r="BK76" s="19">
        <v>0</v>
      </c>
      <c r="BL76" s="19">
        <v>0</v>
      </c>
      <c r="BM76" s="19">
        <v>106888.58</v>
      </c>
      <c r="BN76" s="19">
        <v>642158832373</v>
      </c>
      <c r="BO76" s="66">
        <v>46241</v>
      </c>
      <c r="BP76" s="19">
        <v>0</v>
      </c>
    </row>
    <row r="77" spans="1:68">
      <c r="A77" s="65"/>
      <c r="B77" s="20" t="s">
        <v>2165</v>
      </c>
      <c r="C77" s="111">
        <v>46211</v>
      </c>
      <c r="D77" s="20" t="s">
        <v>3470</v>
      </c>
      <c r="E77" s="20" t="s">
        <v>20</v>
      </c>
      <c r="F77" s="20" t="s">
        <v>21</v>
      </c>
      <c r="H77" s="20" t="s">
        <v>3471</v>
      </c>
      <c r="I77" s="20">
        <v>505</v>
      </c>
      <c r="J77" s="20">
        <v>505</v>
      </c>
      <c r="K77" s="20" t="s">
        <v>11</v>
      </c>
      <c r="L77" s="20">
        <v>505</v>
      </c>
      <c r="M77" s="20">
        <v>0</v>
      </c>
      <c r="N77" s="20">
        <v>505</v>
      </c>
      <c r="O77" s="20" t="s">
        <v>2310</v>
      </c>
      <c r="P77" s="20" t="s">
        <v>94</v>
      </c>
      <c r="Q77" s="20" t="s">
        <v>94</v>
      </c>
      <c r="R77" s="111" t="s">
        <v>2745</v>
      </c>
      <c r="S77" s="111">
        <v>46211</v>
      </c>
      <c r="T77" s="20" t="s">
        <v>206</v>
      </c>
      <c r="U77" s="20" t="s">
        <v>207</v>
      </c>
      <c r="V77" s="20" t="s">
        <v>2744</v>
      </c>
      <c r="W77" s="20">
        <v>137.58000000000001</v>
      </c>
      <c r="X77" s="20">
        <v>137.58000000000001</v>
      </c>
      <c r="Y77" s="111" t="s">
        <v>2745</v>
      </c>
      <c r="Z77" s="111">
        <v>46211</v>
      </c>
      <c r="AB77" s="20" t="s">
        <v>2290</v>
      </c>
      <c r="AD77" s="20" t="s">
        <v>2290</v>
      </c>
      <c r="AE77" s="20" t="s">
        <v>2290</v>
      </c>
      <c r="AF77" s="20">
        <v>0</v>
      </c>
      <c r="AG77" s="20">
        <v>0</v>
      </c>
      <c r="AH77" s="20">
        <v>0</v>
      </c>
      <c r="AI77" s="20">
        <v>0</v>
      </c>
      <c r="AJ77" s="20">
        <v>0</v>
      </c>
      <c r="AK77" s="111" t="s">
        <v>576</v>
      </c>
      <c r="AL77" s="20">
        <v>0</v>
      </c>
      <c r="AM77" s="20">
        <v>0</v>
      </c>
      <c r="AN77" s="20">
        <v>0</v>
      </c>
      <c r="AO77" s="20">
        <v>0</v>
      </c>
      <c r="AP77" s="20">
        <v>0</v>
      </c>
      <c r="AR77" s="20">
        <v>0</v>
      </c>
      <c r="AS77" s="20">
        <v>0</v>
      </c>
      <c r="AT77" s="20">
        <v>106888.58</v>
      </c>
      <c r="AU77" s="20" t="s">
        <v>13</v>
      </c>
      <c r="AV77" s="20" t="s">
        <v>62</v>
      </c>
      <c r="AW77" s="111" t="s">
        <v>76</v>
      </c>
      <c r="AX77" s="20" t="s">
        <v>208</v>
      </c>
      <c r="AY77" s="19" t="s">
        <v>209</v>
      </c>
      <c r="AZ77" s="19">
        <v>0</v>
      </c>
      <c r="BA77" s="19">
        <v>69477.899999999994</v>
      </c>
      <c r="BB77" s="19">
        <v>1071</v>
      </c>
      <c r="BC77" s="66">
        <v>46211</v>
      </c>
      <c r="BD77" s="19" t="s">
        <v>74</v>
      </c>
      <c r="BE77" s="19" t="s">
        <v>210</v>
      </c>
      <c r="BF77" s="19" t="s">
        <v>210</v>
      </c>
      <c r="BG77" s="19">
        <v>9</v>
      </c>
      <c r="BH77" s="19">
        <v>6253.01</v>
      </c>
      <c r="BI77" s="19">
        <v>9</v>
      </c>
      <c r="BJ77" s="19">
        <v>6253.01</v>
      </c>
      <c r="BK77" s="19">
        <v>0</v>
      </c>
      <c r="BL77" s="19">
        <v>0</v>
      </c>
      <c r="BM77" s="19">
        <v>0</v>
      </c>
      <c r="BN77" s="19">
        <v>642158832373</v>
      </c>
      <c r="BO77" s="66">
        <v>46241</v>
      </c>
      <c r="BP77" s="19">
        <v>0</v>
      </c>
    </row>
    <row r="78" spans="1:68">
      <c r="A78" s="65"/>
      <c r="B78" s="20" t="s">
        <v>2165</v>
      </c>
      <c r="C78" s="111">
        <v>46211</v>
      </c>
      <c r="D78" s="20" t="s">
        <v>3472</v>
      </c>
      <c r="E78" s="20" t="s">
        <v>18</v>
      </c>
      <c r="F78" s="20" t="s">
        <v>19</v>
      </c>
      <c r="H78" s="20" t="s">
        <v>3473</v>
      </c>
      <c r="I78" s="20">
        <v>6786</v>
      </c>
      <c r="J78" s="20">
        <v>6786</v>
      </c>
      <c r="K78" s="20" t="s">
        <v>11</v>
      </c>
      <c r="L78" s="20">
        <v>6786</v>
      </c>
      <c r="M78" s="20">
        <v>0</v>
      </c>
      <c r="N78" s="20">
        <v>6786</v>
      </c>
      <c r="O78" s="20" t="s">
        <v>2156</v>
      </c>
      <c r="P78" s="20" t="s">
        <v>87</v>
      </c>
      <c r="Q78" s="20" t="s">
        <v>87</v>
      </c>
      <c r="R78" s="111" t="s">
        <v>2737</v>
      </c>
      <c r="S78" s="111">
        <v>46211</v>
      </c>
      <c r="T78" s="20" t="s">
        <v>206</v>
      </c>
      <c r="U78" s="20" t="s">
        <v>207</v>
      </c>
      <c r="V78" s="20" t="s">
        <v>2736</v>
      </c>
      <c r="W78" s="20">
        <v>142.32</v>
      </c>
      <c r="X78" s="20">
        <v>142.32</v>
      </c>
      <c r="Y78" s="111" t="s">
        <v>2737</v>
      </c>
      <c r="Z78" s="111">
        <v>46211</v>
      </c>
      <c r="AB78" s="20" t="s">
        <v>2290</v>
      </c>
      <c r="AD78" s="20" t="s">
        <v>2290</v>
      </c>
      <c r="AE78" s="20" t="s">
        <v>2290</v>
      </c>
      <c r="AF78" s="20">
        <v>0</v>
      </c>
      <c r="AG78" s="20">
        <v>0</v>
      </c>
      <c r="AH78" s="20">
        <v>0</v>
      </c>
      <c r="AI78" s="20">
        <v>0</v>
      </c>
      <c r="AJ78" s="20">
        <v>0</v>
      </c>
      <c r="AK78" s="111" t="s">
        <v>576</v>
      </c>
      <c r="AL78" s="20">
        <v>0</v>
      </c>
      <c r="AM78" s="20">
        <v>0</v>
      </c>
      <c r="AN78" s="20">
        <v>0</v>
      </c>
      <c r="AO78" s="20">
        <v>0</v>
      </c>
      <c r="AP78" s="20">
        <v>0</v>
      </c>
      <c r="AR78" s="20">
        <v>0</v>
      </c>
      <c r="AS78" s="20">
        <v>0</v>
      </c>
      <c r="AT78" s="20">
        <v>1326441.02</v>
      </c>
      <c r="AU78" s="20" t="s">
        <v>13</v>
      </c>
      <c r="AV78" s="20" t="s">
        <v>62</v>
      </c>
      <c r="AW78" s="111" t="s">
        <v>63</v>
      </c>
      <c r="AX78" s="20" t="s">
        <v>208</v>
      </c>
      <c r="AY78" s="19" t="s">
        <v>209</v>
      </c>
      <c r="AZ78" s="19">
        <v>0</v>
      </c>
      <c r="BA78" s="19">
        <v>965783.52</v>
      </c>
      <c r="BB78" s="19">
        <v>1068</v>
      </c>
      <c r="BC78" s="66">
        <v>46211</v>
      </c>
      <c r="BD78" s="19" t="s">
        <v>65</v>
      </c>
      <c r="BE78" s="19" t="s">
        <v>210</v>
      </c>
      <c r="BF78" s="19" t="s">
        <v>210</v>
      </c>
      <c r="BG78" s="19">
        <v>9</v>
      </c>
      <c r="BH78" s="19">
        <v>86920.52</v>
      </c>
      <c r="BI78" s="19">
        <v>9</v>
      </c>
      <c r="BJ78" s="19">
        <v>86920.52</v>
      </c>
      <c r="BK78" s="19">
        <v>0</v>
      </c>
      <c r="BL78" s="19">
        <v>0</v>
      </c>
      <c r="BM78" s="19">
        <v>1326441.02</v>
      </c>
      <c r="BN78" s="19">
        <v>652158696743</v>
      </c>
      <c r="BO78" s="66">
        <v>46241</v>
      </c>
      <c r="BP78" s="19">
        <v>0</v>
      </c>
    </row>
    <row r="79" spans="1:68">
      <c r="A79" s="65"/>
      <c r="B79" s="20" t="s">
        <v>2165</v>
      </c>
      <c r="C79" s="111">
        <v>46211</v>
      </c>
      <c r="D79" s="20" t="s">
        <v>3472</v>
      </c>
      <c r="E79" s="20" t="s">
        <v>18</v>
      </c>
      <c r="F79" s="20" t="s">
        <v>19</v>
      </c>
      <c r="H79" s="20" t="s">
        <v>3473</v>
      </c>
      <c r="I79" s="20">
        <v>1097</v>
      </c>
      <c r="J79" s="20">
        <v>1097</v>
      </c>
      <c r="K79" s="20" t="s">
        <v>11</v>
      </c>
      <c r="L79" s="20">
        <v>1097</v>
      </c>
      <c r="M79" s="20">
        <v>0</v>
      </c>
      <c r="N79" s="20">
        <v>1097</v>
      </c>
      <c r="O79" s="20" t="s">
        <v>2156</v>
      </c>
      <c r="P79" s="20" t="s">
        <v>87</v>
      </c>
      <c r="Q79" s="20" t="s">
        <v>87</v>
      </c>
      <c r="R79" s="111" t="s">
        <v>2737</v>
      </c>
      <c r="S79" s="111">
        <v>46211</v>
      </c>
      <c r="T79" s="20" t="s">
        <v>206</v>
      </c>
      <c r="U79" s="20" t="s">
        <v>207</v>
      </c>
      <c r="V79" s="20" t="s">
        <v>2736</v>
      </c>
      <c r="W79" s="20">
        <v>144.32</v>
      </c>
      <c r="X79" s="20">
        <v>144.32</v>
      </c>
      <c r="Y79" s="111" t="s">
        <v>2737</v>
      </c>
      <c r="Z79" s="111">
        <v>46211</v>
      </c>
      <c r="AB79" s="20" t="s">
        <v>2290</v>
      </c>
      <c r="AD79" s="20" t="s">
        <v>2290</v>
      </c>
      <c r="AE79" s="20" t="s">
        <v>2290</v>
      </c>
      <c r="AF79" s="20">
        <v>0</v>
      </c>
      <c r="AG79" s="20">
        <v>0</v>
      </c>
      <c r="AH79" s="20">
        <v>0</v>
      </c>
      <c r="AI79" s="20">
        <v>0</v>
      </c>
      <c r="AJ79" s="20">
        <v>0</v>
      </c>
      <c r="AK79" s="111" t="s">
        <v>576</v>
      </c>
      <c r="AL79" s="20">
        <v>0</v>
      </c>
      <c r="AM79" s="20">
        <v>0</v>
      </c>
      <c r="AN79" s="20">
        <v>0</v>
      </c>
      <c r="AO79" s="20">
        <v>0</v>
      </c>
      <c r="AP79" s="20">
        <v>0</v>
      </c>
      <c r="AR79" s="20">
        <v>0</v>
      </c>
      <c r="AS79" s="20">
        <v>0</v>
      </c>
      <c r="AT79" s="20">
        <v>1326441.02</v>
      </c>
      <c r="AU79" s="20" t="s">
        <v>13</v>
      </c>
      <c r="AV79" s="20" t="s">
        <v>62</v>
      </c>
      <c r="AW79" s="111" t="s">
        <v>63</v>
      </c>
      <c r="AX79" s="20" t="s">
        <v>208</v>
      </c>
      <c r="AY79" s="19" t="s">
        <v>209</v>
      </c>
      <c r="AZ79" s="19">
        <v>0</v>
      </c>
      <c r="BA79" s="19">
        <v>158319.04000000001</v>
      </c>
      <c r="BB79" s="19">
        <v>1068</v>
      </c>
      <c r="BC79" s="66">
        <v>46211</v>
      </c>
      <c r="BD79" s="19" t="s">
        <v>65</v>
      </c>
      <c r="BE79" s="19" t="s">
        <v>210</v>
      </c>
      <c r="BF79" s="19" t="s">
        <v>210</v>
      </c>
      <c r="BG79" s="19">
        <v>9</v>
      </c>
      <c r="BH79" s="19">
        <v>14248.71</v>
      </c>
      <c r="BI79" s="19">
        <v>9</v>
      </c>
      <c r="BJ79" s="19">
        <v>14248.71</v>
      </c>
      <c r="BK79" s="19">
        <v>0</v>
      </c>
      <c r="BL79" s="19">
        <v>0</v>
      </c>
      <c r="BM79" s="19">
        <v>0</v>
      </c>
      <c r="BN79" s="19">
        <v>652158696743</v>
      </c>
      <c r="BO79" s="66">
        <v>46241</v>
      </c>
      <c r="BP79" s="19">
        <v>0</v>
      </c>
    </row>
    <row r="80" spans="1:68">
      <c r="A80" s="65"/>
      <c r="B80" s="20" t="s">
        <v>2165</v>
      </c>
      <c r="C80" s="111">
        <v>46211</v>
      </c>
      <c r="D80" s="20" t="s">
        <v>3474</v>
      </c>
      <c r="E80" s="20" t="s">
        <v>160</v>
      </c>
      <c r="F80" s="20" t="s">
        <v>17</v>
      </c>
      <c r="H80" s="20" t="s">
        <v>3475</v>
      </c>
      <c r="I80" s="20">
        <v>635</v>
      </c>
      <c r="J80" s="20">
        <v>635</v>
      </c>
      <c r="K80" s="20" t="s">
        <v>11</v>
      </c>
      <c r="L80" s="20">
        <v>635</v>
      </c>
      <c r="M80" s="20">
        <v>0</v>
      </c>
      <c r="N80" s="20">
        <v>635</v>
      </c>
      <c r="O80" s="20" t="s">
        <v>2156</v>
      </c>
      <c r="P80" s="20" t="s">
        <v>87</v>
      </c>
      <c r="Q80" s="20" t="s">
        <v>87</v>
      </c>
      <c r="R80" s="111" t="s">
        <v>2739</v>
      </c>
      <c r="S80" s="111">
        <v>46211</v>
      </c>
      <c r="T80" s="20" t="s">
        <v>206</v>
      </c>
      <c r="U80" s="20" t="s">
        <v>207</v>
      </c>
      <c r="V80" s="20" t="s">
        <v>2738</v>
      </c>
      <c r="W80" s="20">
        <v>184.86</v>
      </c>
      <c r="X80" s="20">
        <v>184.86</v>
      </c>
      <c r="Y80" s="111" t="s">
        <v>2739</v>
      </c>
      <c r="Z80" s="111">
        <v>46211</v>
      </c>
      <c r="AB80" s="20" t="s">
        <v>2290</v>
      </c>
      <c r="AD80" s="20" t="s">
        <v>2290</v>
      </c>
      <c r="AE80" s="20" t="s">
        <v>2290</v>
      </c>
      <c r="AF80" s="20">
        <v>0</v>
      </c>
      <c r="AG80" s="20">
        <v>0</v>
      </c>
      <c r="AH80" s="20">
        <v>0</v>
      </c>
      <c r="AI80" s="20">
        <v>0</v>
      </c>
      <c r="AJ80" s="20">
        <v>0</v>
      </c>
      <c r="AK80" s="111" t="s">
        <v>576</v>
      </c>
      <c r="AL80" s="20">
        <v>0</v>
      </c>
      <c r="AM80" s="20">
        <v>0</v>
      </c>
      <c r="AN80" s="20">
        <v>0</v>
      </c>
      <c r="AO80" s="20">
        <v>0</v>
      </c>
      <c r="AP80" s="20">
        <v>0</v>
      </c>
      <c r="AR80" s="20">
        <v>0</v>
      </c>
      <c r="AS80" s="20">
        <v>0</v>
      </c>
      <c r="AT80" s="20">
        <v>1956247.3</v>
      </c>
      <c r="AU80" s="20" t="s">
        <v>13</v>
      </c>
      <c r="AV80" s="20" t="s">
        <v>80</v>
      </c>
      <c r="AW80" s="111" t="s">
        <v>81</v>
      </c>
      <c r="AX80" s="20" t="s">
        <v>208</v>
      </c>
      <c r="AY80" s="19" t="s">
        <v>209</v>
      </c>
      <c r="AZ80" s="19">
        <v>0</v>
      </c>
      <c r="BA80" s="19">
        <v>117386.1</v>
      </c>
      <c r="BB80" s="19">
        <v>1078</v>
      </c>
      <c r="BC80" s="66">
        <v>46211</v>
      </c>
      <c r="BD80" s="19" t="s">
        <v>65</v>
      </c>
      <c r="BE80" s="19" t="s">
        <v>210</v>
      </c>
      <c r="BF80" s="19" t="s">
        <v>210</v>
      </c>
      <c r="BG80" s="19">
        <v>9</v>
      </c>
      <c r="BH80" s="19">
        <v>10564.75</v>
      </c>
      <c r="BI80" s="19">
        <v>9</v>
      </c>
      <c r="BJ80" s="19">
        <v>10564.75</v>
      </c>
      <c r="BK80" s="19">
        <v>0</v>
      </c>
      <c r="BL80" s="19">
        <v>0</v>
      </c>
      <c r="BM80" s="19">
        <v>1956247.3</v>
      </c>
      <c r="BN80" s="19">
        <v>632158896826</v>
      </c>
      <c r="BO80" s="66">
        <v>46241</v>
      </c>
      <c r="BP80" s="19">
        <v>0</v>
      </c>
    </row>
    <row r="81" spans="1:68">
      <c r="A81" s="65"/>
      <c r="B81" s="20" t="s">
        <v>2165</v>
      </c>
      <c r="C81" s="111">
        <v>46211</v>
      </c>
      <c r="D81" s="20" t="s">
        <v>3474</v>
      </c>
      <c r="E81" s="20" t="s">
        <v>160</v>
      </c>
      <c r="F81" s="20" t="s">
        <v>17</v>
      </c>
      <c r="H81" s="20" t="s">
        <v>3475</v>
      </c>
      <c r="I81" s="20">
        <v>8710</v>
      </c>
      <c r="J81" s="20">
        <v>8710</v>
      </c>
      <c r="K81" s="20" t="s">
        <v>11</v>
      </c>
      <c r="L81" s="20">
        <v>8710</v>
      </c>
      <c r="M81" s="20">
        <v>0</v>
      </c>
      <c r="N81" s="20">
        <v>8710</v>
      </c>
      <c r="O81" s="20" t="s">
        <v>2156</v>
      </c>
      <c r="P81" s="20" t="s">
        <v>87</v>
      </c>
      <c r="Q81" s="20" t="s">
        <v>87</v>
      </c>
      <c r="R81" s="111" t="s">
        <v>2739</v>
      </c>
      <c r="S81" s="111">
        <v>46211</v>
      </c>
      <c r="T81" s="20" t="s">
        <v>206</v>
      </c>
      <c r="U81" s="20" t="s">
        <v>207</v>
      </c>
      <c r="V81" s="20" t="s">
        <v>2738</v>
      </c>
      <c r="W81" s="20">
        <v>176.86</v>
      </c>
      <c r="X81" s="20">
        <v>176.86</v>
      </c>
      <c r="Y81" s="111" t="s">
        <v>2739</v>
      </c>
      <c r="Z81" s="111">
        <v>46211</v>
      </c>
      <c r="AB81" s="20" t="s">
        <v>2290</v>
      </c>
      <c r="AD81" s="20" t="s">
        <v>2290</v>
      </c>
      <c r="AE81" s="20" t="s">
        <v>2290</v>
      </c>
      <c r="AF81" s="20">
        <v>0</v>
      </c>
      <c r="AG81" s="20">
        <v>0</v>
      </c>
      <c r="AH81" s="20">
        <v>0</v>
      </c>
      <c r="AI81" s="20">
        <v>0</v>
      </c>
      <c r="AJ81" s="20">
        <v>0</v>
      </c>
      <c r="AK81" s="111" t="s">
        <v>576</v>
      </c>
      <c r="AL81" s="20">
        <v>0</v>
      </c>
      <c r="AM81" s="20">
        <v>0</v>
      </c>
      <c r="AN81" s="20">
        <v>0</v>
      </c>
      <c r="AO81" s="20">
        <v>0</v>
      </c>
      <c r="AP81" s="20">
        <v>0</v>
      </c>
      <c r="AR81" s="20">
        <v>0</v>
      </c>
      <c r="AS81" s="20">
        <v>0</v>
      </c>
      <c r="AT81" s="20">
        <v>1956247.3</v>
      </c>
      <c r="AU81" s="20" t="s">
        <v>13</v>
      </c>
      <c r="AV81" s="20" t="s">
        <v>80</v>
      </c>
      <c r="AW81" s="111" t="s">
        <v>81</v>
      </c>
      <c r="AX81" s="20" t="s">
        <v>208</v>
      </c>
      <c r="AY81" s="19" t="s">
        <v>209</v>
      </c>
      <c r="AZ81" s="19">
        <v>0</v>
      </c>
      <c r="BA81" s="19">
        <v>1540450.6</v>
      </c>
      <c r="BB81" s="19">
        <v>1078</v>
      </c>
      <c r="BC81" s="66">
        <v>46211</v>
      </c>
      <c r="BD81" s="19" t="s">
        <v>65</v>
      </c>
      <c r="BE81" s="19" t="s">
        <v>210</v>
      </c>
      <c r="BF81" s="19" t="s">
        <v>210</v>
      </c>
      <c r="BG81" s="19">
        <v>9</v>
      </c>
      <c r="BH81" s="19">
        <v>138640.54999999999</v>
      </c>
      <c r="BI81" s="19">
        <v>9</v>
      </c>
      <c r="BJ81" s="19">
        <v>138640.54999999999</v>
      </c>
      <c r="BK81" s="19">
        <v>0</v>
      </c>
      <c r="BL81" s="19">
        <v>0</v>
      </c>
      <c r="BM81" s="19">
        <v>0</v>
      </c>
      <c r="BN81" s="19">
        <v>632158896826</v>
      </c>
      <c r="BO81" s="66">
        <v>46241</v>
      </c>
      <c r="BP81" s="19">
        <v>0</v>
      </c>
    </row>
    <row r="82" spans="1:68">
      <c r="A82" s="65"/>
      <c r="B82" s="20" t="s">
        <v>2165</v>
      </c>
      <c r="C82" s="111">
        <v>46211</v>
      </c>
      <c r="D82" s="20" t="s">
        <v>3476</v>
      </c>
      <c r="E82" s="20" t="s">
        <v>18</v>
      </c>
      <c r="F82" s="20" t="s">
        <v>19</v>
      </c>
      <c r="H82" s="20" t="s">
        <v>3477</v>
      </c>
      <c r="I82" s="20">
        <v>2593</v>
      </c>
      <c r="J82" s="20">
        <v>2593</v>
      </c>
      <c r="K82" s="20" t="s">
        <v>11</v>
      </c>
      <c r="L82" s="20">
        <v>2593</v>
      </c>
      <c r="M82" s="20">
        <v>0</v>
      </c>
      <c r="N82" s="20">
        <v>2593</v>
      </c>
      <c r="O82" s="20" t="s">
        <v>3478</v>
      </c>
      <c r="P82" s="20" t="s">
        <v>87</v>
      </c>
      <c r="Q82" s="20" t="s">
        <v>87</v>
      </c>
      <c r="R82" s="111" t="s">
        <v>2741</v>
      </c>
      <c r="S82" s="111">
        <v>46211</v>
      </c>
      <c r="T82" s="20" t="s">
        <v>206</v>
      </c>
      <c r="U82" s="20" t="s">
        <v>207</v>
      </c>
      <c r="V82" s="20" t="s">
        <v>2740</v>
      </c>
      <c r="W82" s="20">
        <v>142.32</v>
      </c>
      <c r="X82" s="20">
        <v>142.32000217189099</v>
      </c>
      <c r="Y82" s="111" t="s">
        <v>2741</v>
      </c>
      <c r="Z82" s="111">
        <v>46211</v>
      </c>
      <c r="AB82" s="20" t="s">
        <v>2290</v>
      </c>
      <c r="AD82" s="20" t="s">
        <v>2290</v>
      </c>
      <c r="AE82" s="20" t="s">
        <v>2290</v>
      </c>
      <c r="AF82" s="20">
        <v>0</v>
      </c>
      <c r="AG82" s="20">
        <v>0</v>
      </c>
      <c r="AH82" s="20">
        <v>0</v>
      </c>
      <c r="AI82" s="20">
        <v>0</v>
      </c>
      <c r="AJ82" s="20">
        <v>0</v>
      </c>
      <c r="AK82" s="111" t="s">
        <v>576</v>
      </c>
      <c r="AL82" s="20">
        <v>0</v>
      </c>
      <c r="AM82" s="20">
        <v>0</v>
      </c>
      <c r="AN82" s="20">
        <v>0</v>
      </c>
      <c r="AO82" s="20">
        <v>0</v>
      </c>
      <c r="AP82" s="20">
        <v>0</v>
      </c>
      <c r="AR82" s="20">
        <v>0</v>
      </c>
      <c r="AS82" s="20">
        <v>0</v>
      </c>
      <c r="AT82" s="20">
        <v>1310563.1299999999</v>
      </c>
      <c r="AU82" s="20" t="s">
        <v>13</v>
      </c>
      <c r="AV82" s="20" t="s">
        <v>62</v>
      </c>
      <c r="AW82" s="111" t="s">
        <v>63</v>
      </c>
      <c r="AX82" s="20" t="s">
        <v>208</v>
      </c>
      <c r="AY82" s="19" t="s">
        <v>209</v>
      </c>
      <c r="AZ82" s="19">
        <v>0</v>
      </c>
      <c r="BA82" s="19">
        <v>369035.77</v>
      </c>
      <c r="BB82" s="19">
        <v>1070</v>
      </c>
      <c r="BC82" s="66">
        <v>46211</v>
      </c>
      <c r="BD82" s="19" t="s">
        <v>65</v>
      </c>
      <c r="BE82" s="19" t="s">
        <v>210</v>
      </c>
      <c r="BF82" s="19" t="s">
        <v>210</v>
      </c>
      <c r="BG82" s="19">
        <v>9</v>
      </c>
      <c r="BH82" s="19">
        <v>33213.22</v>
      </c>
      <c r="BI82" s="19">
        <v>9</v>
      </c>
      <c r="BJ82" s="19">
        <v>33213.22</v>
      </c>
      <c r="BK82" s="19">
        <v>0</v>
      </c>
      <c r="BL82" s="19">
        <v>0</v>
      </c>
      <c r="BM82" s="19">
        <v>1310563.1299999999</v>
      </c>
      <c r="BN82" s="19">
        <v>602158816151</v>
      </c>
      <c r="BO82" s="66">
        <v>46241</v>
      </c>
      <c r="BP82" s="19">
        <v>0</v>
      </c>
    </row>
    <row r="83" spans="1:68">
      <c r="A83" s="65"/>
      <c r="B83" s="20" t="s">
        <v>2165</v>
      </c>
      <c r="C83" s="111">
        <v>46211</v>
      </c>
      <c r="D83" s="20" t="s">
        <v>3476</v>
      </c>
      <c r="E83" s="20" t="s">
        <v>18</v>
      </c>
      <c r="F83" s="20" t="s">
        <v>19</v>
      </c>
      <c r="H83" s="20" t="s">
        <v>3477</v>
      </c>
      <c r="I83" s="20">
        <v>280</v>
      </c>
      <c r="J83" s="20">
        <v>280</v>
      </c>
      <c r="K83" s="20" t="s">
        <v>11</v>
      </c>
      <c r="L83" s="20">
        <v>280</v>
      </c>
      <c r="M83" s="20">
        <v>0</v>
      </c>
      <c r="N83" s="20">
        <v>280</v>
      </c>
      <c r="O83" s="20" t="s">
        <v>3478</v>
      </c>
      <c r="P83" s="20" t="s">
        <v>87</v>
      </c>
      <c r="Q83" s="20" t="s">
        <v>87</v>
      </c>
      <c r="R83" s="111" t="s">
        <v>2741</v>
      </c>
      <c r="S83" s="111">
        <v>46211</v>
      </c>
      <c r="T83" s="20" t="s">
        <v>206</v>
      </c>
      <c r="U83" s="20" t="s">
        <v>207</v>
      </c>
      <c r="V83" s="20" t="s">
        <v>2740</v>
      </c>
      <c r="W83" s="20">
        <v>144.32</v>
      </c>
      <c r="X83" s="20">
        <v>144.32000220241201</v>
      </c>
      <c r="Y83" s="111" t="s">
        <v>2741</v>
      </c>
      <c r="Z83" s="111">
        <v>46211</v>
      </c>
      <c r="AB83" s="20" t="s">
        <v>2290</v>
      </c>
      <c r="AD83" s="20" t="s">
        <v>2290</v>
      </c>
      <c r="AE83" s="20" t="s">
        <v>2290</v>
      </c>
      <c r="AF83" s="20">
        <v>0</v>
      </c>
      <c r="AG83" s="20">
        <v>0</v>
      </c>
      <c r="AH83" s="20">
        <v>0</v>
      </c>
      <c r="AI83" s="20">
        <v>0</v>
      </c>
      <c r="AJ83" s="20">
        <v>0</v>
      </c>
      <c r="AK83" s="111" t="s">
        <v>576</v>
      </c>
      <c r="AL83" s="20">
        <v>0</v>
      </c>
      <c r="AM83" s="20">
        <v>0</v>
      </c>
      <c r="AN83" s="20">
        <v>0</v>
      </c>
      <c r="AO83" s="20">
        <v>0</v>
      </c>
      <c r="AP83" s="20">
        <v>0</v>
      </c>
      <c r="AR83" s="20">
        <v>0</v>
      </c>
      <c r="AS83" s="20">
        <v>0</v>
      </c>
      <c r="AT83" s="20">
        <v>1310563.1299999999</v>
      </c>
      <c r="AU83" s="20" t="s">
        <v>13</v>
      </c>
      <c r="AV83" s="20" t="s">
        <v>62</v>
      </c>
      <c r="AW83" s="111" t="s">
        <v>63</v>
      </c>
      <c r="AX83" s="20" t="s">
        <v>208</v>
      </c>
      <c r="AY83" s="19" t="s">
        <v>209</v>
      </c>
      <c r="AZ83" s="19">
        <v>0</v>
      </c>
      <c r="BA83" s="19">
        <v>40409.599999999999</v>
      </c>
      <c r="BB83" s="19">
        <v>1070</v>
      </c>
      <c r="BC83" s="66">
        <v>46211</v>
      </c>
      <c r="BD83" s="19" t="s">
        <v>65</v>
      </c>
      <c r="BE83" s="19" t="s">
        <v>210</v>
      </c>
      <c r="BF83" s="19" t="s">
        <v>210</v>
      </c>
      <c r="BG83" s="19">
        <v>9</v>
      </c>
      <c r="BH83" s="19">
        <v>3636.86</v>
      </c>
      <c r="BI83" s="19">
        <v>9</v>
      </c>
      <c r="BJ83" s="19">
        <v>3636.86</v>
      </c>
      <c r="BK83" s="19">
        <v>0</v>
      </c>
      <c r="BL83" s="19">
        <v>0</v>
      </c>
      <c r="BM83" s="19">
        <v>0</v>
      </c>
      <c r="BN83" s="19">
        <v>602158816151</v>
      </c>
      <c r="BO83" s="66">
        <v>46241</v>
      </c>
      <c r="BP83" s="19">
        <v>0</v>
      </c>
    </row>
    <row r="84" spans="1:68">
      <c r="A84" s="65"/>
      <c r="B84" s="20" t="s">
        <v>2165</v>
      </c>
      <c r="C84" s="111">
        <v>46211</v>
      </c>
      <c r="D84" s="20" t="s">
        <v>3476</v>
      </c>
      <c r="E84" s="20" t="s">
        <v>20</v>
      </c>
      <c r="F84" s="20" t="s">
        <v>21</v>
      </c>
      <c r="H84" s="20" t="s">
        <v>3477</v>
      </c>
      <c r="I84" s="20">
        <v>1076</v>
      </c>
      <c r="J84" s="20">
        <v>1076</v>
      </c>
      <c r="K84" s="20" t="s">
        <v>11</v>
      </c>
      <c r="L84" s="20">
        <v>1076</v>
      </c>
      <c r="M84" s="20">
        <v>0</v>
      </c>
      <c r="N84" s="20">
        <v>1076</v>
      </c>
      <c r="O84" s="20" t="s">
        <v>3478</v>
      </c>
      <c r="P84" s="20" t="s">
        <v>87</v>
      </c>
      <c r="Q84" s="20" t="s">
        <v>87</v>
      </c>
      <c r="R84" s="111" t="s">
        <v>2741</v>
      </c>
      <c r="S84" s="111">
        <v>46211</v>
      </c>
      <c r="T84" s="20" t="s">
        <v>206</v>
      </c>
      <c r="U84" s="20" t="s">
        <v>207</v>
      </c>
      <c r="V84" s="20" t="s">
        <v>2740</v>
      </c>
      <c r="W84" s="20">
        <v>144.32</v>
      </c>
      <c r="X84" s="20">
        <v>144.32000220241201</v>
      </c>
      <c r="Y84" s="111" t="s">
        <v>2741</v>
      </c>
      <c r="Z84" s="111">
        <v>46211</v>
      </c>
      <c r="AB84" s="20" t="s">
        <v>2290</v>
      </c>
      <c r="AD84" s="20" t="s">
        <v>2290</v>
      </c>
      <c r="AE84" s="20" t="s">
        <v>2290</v>
      </c>
      <c r="AF84" s="20">
        <v>0</v>
      </c>
      <c r="AG84" s="20">
        <v>0</v>
      </c>
      <c r="AH84" s="20">
        <v>0</v>
      </c>
      <c r="AI84" s="20">
        <v>0</v>
      </c>
      <c r="AJ84" s="20">
        <v>0</v>
      </c>
      <c r="AK84" s="111" t="s">
        <v>576</v>
      </c>
      <c r="AL84" s="20">
        <v>0</v>
      </c>
      <c r="AM84" s="20">
        <v>0</v>
      </c>
      <c r="AN84" s="20">
        <v>0</v>
      </c>
      <c r="AO84" s="20">
        <v>0</v>
      </c>
      <c r="AP84" s="20">
        <v>0</v>
      </c>
      <c r="AR84" s="20">
        <v>0</v>
      </c>
      <c r="AS84" s="20">
        <v>0</v>
      </c>
      <c r="AT84" s="20">
        <v>1310563.1299999999</v>
      </c>
      <c r="AU84" s="20" t="s">
        <v>13</v>
      </c>
      <c r="AV84" s="20" t="s">
        <v>62</v>
      </c>
      <c r="AW84" s="111" t="s">
        <v>76</v>
      </c>
      <c r="AX84" s="20" t="s">
        <v>208</v>
      </c>
      <c r="AY84" s="19" t="s">
        <v>209</v>
      </c>
      <c r="AZ84" s="19">
        <v>0</v>
      </c>
      <c r="BA84" s="19">
        <v>155288.32000000001</v>
      </c>
      <c r="BB84" s="19">
        <v>1070</v>
      </c>
      <c r="BC84" s="66">
        <v>46211</v>
      </c>
      <c r="BD84" s="19" t="s">
        <v>65</v>
      </c>
      <c r="BE84" s="19" t="s">
        <v>210</v>
      </c>
      <c r="BF84" s="19" t="s">
        <v>210</v>
      </c>
      <c r="BG84" s="19">
        <v>9</v>
      </c>
      <c r="BH84" s="19">
        <v>13975.95</v>
      </c>
      <c r="BI84" s="19">
        <v>9</v>
      </c>
      <c r="BJ84" s="19">
        <v>13975.95</v>
      </c>
      <c r="BK84" s="19">
        <v>0</v>
      </c>
      <c r="BL84" s="19">
        <v>0</v>
      </c>
      <c r="BM84" s="19">
        <v>0</v>
      </c>
      <c r="BN84" s="19">
        <v>602158816151</v>
      </c>
      <c r="BO84" s="66">
        <v>46241</v>
      </c>
      <c r="BP84" s="19">
        <v>0</v>
      </c>
    </row>
    <row r="85" spans="1:68">
      <c r="A85" s="65"/>
      <c r="B85" s="20" t="s">
        <v>2165</v>
      </c>
      <c r="C85" s="111">
        <v>46211</v>
      </c>
      <c r="D85" s="20" t="s">
        <v>3476</v>
      </c>
      <c r="E85" s="20" t="s">
        <v>20</v>
      </c>
      <c r="F85" s="20" t="s">
        <v>21</v>
      </c>
      <c r="H85" s="20" t="s">
        <v>3477</v>
      </c>
      <c r="I85" s="20">
        <v>826</v>
      </c>
      <c r="J85" s="20">
        <v>826</v>
      </c>
      <c r="K85" s="20" t="s">
        <v>11</v>
      </c>
      <c r="L85" s="20">
        <v>826</v>
      </c>
      <c r="M85" s="20">
        <v>0</v>
      </c>
      <c r="N85" s="20">
        <v>826</v>
      </c>
      <c r="O85" s="20" t="s">
        <v>3478</v>
      </c>
      <c r="P85" s="20" t="s">
        <v>87</v>
      </c>
      <c r="Q85" s="20" t="s">
        <v>87</v>
      </c>
      <c r="R85" s="111" t="s">
        <v>2741</v>
      </c>
      <c r="S85" s="111">
        <v>46211</v>
      </c>
      <c r="T85" s="20" t="s">
        <v>206</v>
      </c>
      <c r="U85" s="20" t="s">
        <v>207</v>
      </c>
      <c r="V85" s="20" t="s">
        <v>2740</v>
      </c>
      <c r="W85" s="20">
        <v>146.32</v>
      </c>
      <c r="X85" s="20">
        <v>146.32000223293301</v>
      </c>
      <c r="Y85" s="111" t="s">
        <v>2741</v>
      </c>
      <c r="Z85" s="111">
        <v>46211</v>
      </c>
      <c r="AB85" s="20" t="s">
        <v>2290</v>
      </c>
      <c r="AD85" s="20" t="s">
        <v>2290</v>
      </c>
      <c r="AE85" s="20" t="s">
        <v>2290</v>
      </c>
      <c r="AF85" s="20">
        <v>0</v>
      </c>
      <c r="AG85" s="20">
        <v>0</v>
      </c>
      <c r="AH85" s="20">
        <v>0</v>
      </c>
      <c r="AI85" s="20">
        <v>0</v>
      </c>
      <c r="AJ85" s="20">
        <v>0</v>
      </c>
      <c r="AK85" s="111" t="s">
        <v>576</v>
      </c>
      <c r="AL85" s="20">
        <v>0</v>
      </c>
      <c r="AM85" s="20">
        <v>0</v>
      </c>
      <c r="AN85" s="20">
        <v>0</v>
      </c>
      <c r="AO85" s="20">
        <v>0</v>
      </c>
      <c r="AP85" s="20">
        <v>0</v>
      </c>
      <c r="AR85" s="20">
        <v>0</v>
      </c>
      <c r="AS85" s="20">
        <v>0</v>
      </c>
      <c r="AT85" s="20">
        <v>1310563.1299999999</v>
      </c>
      <c r="AU85" s="20" t="s">
        <v>13</v>
      </c>
      <c r="AV85" s="20" t="s">
        <v>62</v>
      </c>
      <c r="AW85" s="111" t="s">
        <v>76</v>
      </c>
      <c r="AX85" s="20" t="s">
        <v>208</v>
      </c>
      <c r="AY85" s="19" t="s">
        <v>209</v>
      </c>
      <c r="AZ85" s="19">
        <v>0</v>
      </c>
      <c r="BA85" s="19">
        <v>120860.32</v>
      </c>
      <c r="BB85" s="19">
        <v>1070</v>
      </c>
      <c r="BC85" s="66">
        <v>46211</v>
      </c>
      <c r="BD85" s="19" t="s">
        <v>65</v>
      </c>
      <c r="BE85" s="19" t="s">
        <v>210</v>
      </c>
      <c r="BF85" s="19" t="s">
        <v>210</v>
      </c>
      <c r="BG85" s="19">
        <v>9</v>
      </c>
      <c r="BH85" s="19">
        <v>10877.43</v>
      </c>
      <c r="BI85" s="19">
        <v>9</v>
      </c>
      <c r="BJ85" s="19">
        <v>10877.4</v>
      </c>
      <c r="BK85" s="19">
        <v>0</v>
      </c>
      <c r="BL85" s="19">
        <v>0</v>
      </c>
      <c r="BM85" s="19">
        <v>0</v>
      </c>
      <c r="BN85" s="19">
        <v>602158816151</v>
      </c>
      <c r="BO85" s="66">
        <v>46241</v>
      </c>
      <c r="BP85" s="19">
        <v>0</v>
      </c>
    </row>
    <row r="86" spans="1:68">
      <c r="A86" s="65"/>
      <c r="B86" s="20" t="s">
        <v>2165</v>
      </c>
      <c r="C86" s="111">
        <v>46211</v>
      </c>
      <c r="D86" s="20" t="s">
        <v>3476</v>
      </c>
      <c r="E86" s="20" t="s">
        <v>23</v>
      </c>
      <c r="F86" s="20" t="s">
        <v>24</v>
      </c>
      <c r="H86" s="20" t="s">
        <v>3477</v>
      </c>
      <c r="I86" s="20">
        <v>1042.7</v>
      </c>
      <c r="J86" s="20">
        <v>1042.7</v>
      </c>
      <c r="K86" s="20" t="s">
        <v>11</v>
      </c>
      <c r="L86" s="20">
        <v>1042.7</v>
      </c>
      <c r="M86" s="20">
        <v>0</v>
      </c>
      <c r="N86" s="20">
        <v>1042.7</v>
      </c>
      <c r="O86" s="20" t="s">
        <v>3478</v>
      </c>
      <c r="P86" s="20" t="s">
        <v>87</v>
      </c>
      <c r="Q86" s="20" t="s">
        <v>87</v>
      </c>
      <c r="R86" s="111" t="s">
        <v>2741</v>
      </c>
      <c r="S86" s="111">
        <v>46211</v>
      </c>
      <c r="T86" s="20" t="s">
        <v>206</v>
      </c>
      <c r="U86" s="20" t="s">
        <v>207</v>
      </c>
      <c r="V86" s="20" t="s">
        <v>2740</v>
      </c>
      <c r="W86" s="20">
        <v>144.32</v>
      </c>
      <c r="X86" s="20">
        <v>144.32000220241201</v>
      </c>
      <c r="Y86" s="111" t="s">
        <v>2741</v>
      </c>
      <c r="Z86" s="111">
        <v>46211</v>
      </c>
      <c r="AB86" s="20" t="s">
        <v>2290</v>
      </c>
      <c r="AD86" s="20" t="s">
        <v>2290</v>
      </c>
      <c r="AE86" s="20" t="s">
        <v>2290</v>
      </c>
      <c r="AF86" s="20">
        <v>0</v>
      </c>
      <c r="AG86" s="20">
        <v>0</v>
      </c>
      <c r="AH86" s="20">
        <v>0</v>
      </c>
      <c r="AI86" s="20">
        <v>0</v>
      </c>
      <c r="AJ86" s="20">
        <v>0</v>
      </c>
      <c r="AK86" s="111" t="s">
        <v>576</v>
      </c>
      <c r="AL86" s="20">
        <v>0</v>
      </c>
      <c r="AM86" s="20">
        <v>0</v>
      </c>
      <c r="AN86" s="20">
        <v>0</v>
      </c>
      <c r="AO86" s="20">
        <v>0</v>
      </c>
      <c r="AP86" s="20">
        <v>0</v>
      </c>
      <c r="AR86" s="20">
        <v>0</v>
      </c>
      <c r="AS86" s="20">
        <v>0</v>
      </c>
      <c r="AT86" s="20">
        <v>1310563.1299999999</v>
      </c>
      <c r="AU86" s="20" t="s">
        <v>13</v>
      </c>
      <c r="AV86" s="20" t="s">
        <v>24</v>
      </c>
      <c r="AW86" s="111" t="s">
        <v>79</v>
      </c>
      <c r="AX86" s="20" t="s">
        <v>208</v>
      </c>
      <c r="AY86" s="19" t="s">
        <v>209</v>
      </c>
      <c r="AZ86" s="19">
        <v>0</v>
      </c>
      <c r="BA86" s="19">
        <v>150482.47</v>
      </c>
      <c r="BB86" s="19">
        <v>1070</v>
      </c>
      <c r="BC86" s="66">
        <v>46211</v>
      </c>
      <c r="BD86" s="19" t="s">
        <v>65</v>
      </c>
      <c r="BE86" s="19" t="s">
        <v>210</v>
      </c>
      <c r="BF86" s="19" t="s">
        <v>210</v>
      </c>
      <c r="BG86" s="19">
        <v>9</v>
      </c>
      <c r="BH86" s="19">
        <v>13543.42</v>
      </c>
      <c r="BI86" s="19">
        <v>9</v>
      </c>
      <c r="BJ86" s="19">
        <v>13543.42</v>
      </c>
      <c r="BK86" s="19">
        <v>0</v>
      </c>
      <c r="BL86" s="19">
        <v>0</v>
      </c>
      <c r="BM86" s="19">
        <v>0</v>
      </c>
      <c r="BN86" s="19">
        <v>602158816151</v>
      </c>
      <c r="BO86" s="66">
        <v>46241</v>
      </c>
      <c r="BP86" s="19">
        <v>0</v>
      </c>
    </row>
    <row r="87" spans="1:68">
      <c r="A87" s="65"/>
      <c r="B87" s="20" t="s">
        <v>2165</v>
      </c>
      <c r="C87" s="111">
        <v>46211</v>
      </c>
      <c r="D87" s="20" t="s">
        <v>3476</v>
      </c>
      <c r="E87" s="20" t="s">
        <v>23</v>
      </c>
      <c r="F87" s="20" t="s">
        <v>24</v>
      </c>
      <c r="H87" s="20" t="s">
        <v>3477</v>
      </c>
      <c r="I87" s="20">
        <v>1417.1</v>
      </c>
      <c r="J87" s="20">
        <v>1417.1</v>
      </c>
      <c r="K87" s="20" t="s">
        <v>11</v>
      </c>
      <c r="L87" s="20">
        <v>1417.1</v>
      </c>
      <c r="M87" s="20">
        <v>0</v>
      </c>
      <c r="N87" s="20">
        <v>1417.1</v>
      </c>
      <c r="O87" s="20" t="s">
        <v>3478</v>
      </c>
      <c r="P87" s="20" t="s">
        <v>87</v>
      </c>
      <c r="Q87" s="20" t="s">
        <v>87</v>
      </c>
      <c r="R87" s="111" t="s">
        <v>2741</v>
      </c>
      <c r="S87" s="111">
        <v>46211</v>
      </c>
      <c r="T87" s="20" t="s">
        <v>206</v>
      </c>
      <c r="U87" s="20" t="s">
        <v>207</v>
      </c>
      <c r="V87" s="20" t="s">
        <v>2740</v>
      </c>
      <c r="W87" s="20">
        <v>147.32</v>
      </c>
      <c r="X87" s="20">
        <v>147.32000224819399</v>
      </c>
      <c r="Y87" s="111" t="s">
        <v>2741</v>
      </c>
      <c r="Z87" s="111">
        <v>46211</v>
      </c>
      <c r="AB87" s="20" t="s">
        <v>2290</v>
      </c>
      <c r="AD87" s="20" t="s">
        <v>2290</v>
      </c>
      <c r="AE87" s="20" t="s">
        <v>2290</v>
      </c>
      <c r="AF87" s="20">
        <v>0</v>
      </c>
      <c r="AG87" s="20">
        <v>0</v>
      </c>
      <c r="AH87" s="20">
        <v>0</v>
      </c>
      <c r="AI87" s="20">
        <v>0</v>
      </c>
      <c r="AJ87" s="20">
        <v>0</v>
      </c>
      <c r="AK87" s="111" t="s">
        <v>576</v>
      </c>
      <c r="AL87" s="20">
        <v>0</v>
      </c>
      <c r="AM87" s="20">
        <v>0</v>
      </c>
      <c r="AN87" s="20">
        <v>0</v>
      </c>
      <c r="AO87" s="20">
        <v>0</v>
      </c>
      <c r="AP87" s="20">
        <v>0</v>
      </c>
      <c r="AR87" s="20">
        <v>0</v>
      </c>
      <c r="AS87" s="20">
        <v>0</v>
      </c>
      <c r="AT87" s="20">
        <v>1310563.1299999999</v>
      </c>
      <c r="AU87" s="20" t="s">
        <v>13</v>
      </c>
      <c r="AV87" s="20" t="s">
        <v>24</v>
      </c>
      <c r="AW87" s="111" t="s">
        <v>79</v>
      </c>
      <c r="AX87" s="20" t="s">
        <v>208</v>
      </c>
      <c r="AY87" s="19" t="s">
        <v>209</v>
      </c>
      <c r="AZ87" s="19">
        <v>0</v>
      </c>
      <c r="BA87" s="19">
        <v>208767.18</v>
      </c>
      <c r="BB87" s="19">
        <v>1070</v>
      </c>
      <c r="BC87" s="66">
        <v>46211</v>
      </c>
      <c r="BD87" s="19" t="s">
        <v>65</v>
      </c>
      <c r="BE87" s="19" t="s">
        <v>210</v>
      </c>
      <c r="BF87" s="19" t="s">
        <v>210</v>
      </c>
      <c r="BG87" s="19">
        <v>9</v>
      </c>
      <c r="BH87" s="19">
        <v>18789.05</v>
      </c>
      <c r="BI87" s="19">
        <v>9</v>
      </c>
      <c r="BJ87" s="19">
        <v>18789.05</v>
      </c>
      <c r="BK87" s="19">
        <v>0</v>
      </c>
      <c r="BL87" s="19">
        <v>0</v>
      </c>
      <c r="BM87" s="19">
        <v>0</v>
      </c>
      <c r="BN87" s="19">
        <v>602158816151</v>
      </c>
      <c r="BO87" s="66">
        <v>46241</v>
      </c>
      <c r="BP87" s="19">
        <v>0</v>
      </c>
    </row>
    <row r="88" spans="1:68">
      <c r="A88" s="65"/>
      <c r="B88" s="20" t="s">
        <v>2165</v>
      </c>
      <c r="C88" s="111">
        <v>46211</v>
      </c>
      <c r="D88" s="20" t="s">
        <v>3476</v>
      </c>
      <c r="E88" s="20" t="s">
        <v>554</v>
      </c>
      <c r="F88" s="20" t="s">
        <v>553</v>
      </c>
      <c r="H88" s="20" t="s">
        <v>3477</v>
      </c>
      <c r="I88" s="20">
        <v>479.2</v>
      </c>
      <c r="J88" s="20">
        <v>479.2</v>
      </c>
      <c r="K88" s="20" t="s">
        <v>3</v>
      </c>
      <c r="L88" s="20">
        <v>479.2</v>
      </c>
      <c r="M88" s="20">
        <v>0</v>
      </c>
      <c r="N88" s="20">
        <v>479.2</v>
      </c>
      <c r="O88" s="20" t="s">
        <v>3478</v>
      </c>
      <c r="P88" s="20" t="s">
        <v>87</v>
      </c>
      <c r="Q88" s="20" t="s">
        <v>87</v>
      </c>
      <c r="R88" s="111" t="s">
        <v>2741</v>
      </c>
      <c r="S88" s="111">
        <v>46211</v>
      </c>
      <c r="T88" s="20" t="s">
        <v>206</v>
      </c>
      <c r="U88" s="20" t="s">
        <v>207</v>
      </c>
      <c r="V88" s="20" t="s">
        <v>2740</v>
      </c>
      <c r="W88" s="20">
        <v>154.32</v>
      </c>
      <c r="X88" s="20">
        <v>154.320002355018</v>
      </c>
      <c r="Y88" s="111" t="s">
        <v>2741</v>
      </c>
      <c r="Z88" s="111">
        <v>46211</v>
      </c>
      <c r="AB88" s="20" t="s">
        <v>2290</v>
      </c>
      <c r="AD88" s="20" t="s">
        <v>2290</v>
      </c>
      <c r="AE88" s="20" t="s">
        <v>2290</v>
      </c>
      <c r="AF88" s="20">
        <v>0</v>
      </c>
      <c r="AG88" s="20">
        <v>0</v>
      </c>
      <c r="AH88" s="20">
        <v>0</v>
      </c>
      <c r="AI88" s="20">
        <v>0</v>
      </c>
      <c r="AJ88" s="20">
        <v>0</v>
      </c>
      <c r="AK88" s="111" t="s">
        <v>576</v>
      </c>
      <c r="AL88" s="20">
        <v>0</v>
      </c>
      <c r="AM88" s="20">
        <v>0</v>
      </c>
      <c r="AN88" s="20">
        <v>0</v>
      </c>
      <c r="AO88" s="20">
        <v>0</v>
      </c>
      <c r="AP88" s="20">
        <v>0</v>
      </c>
      <c r="AR88" s="20">
        <v>0</v>
      </c>
      <c r="AS88" s="20">
        <v>0</v>
      </c>
      <c r="AT88" s="20">
        <v>1310563.1299999999</v>
      </c>
      <c r="AU88" s="20" t="s">
        <v>13</v>
      </c>
      <c r="AV88" s="20" t="s">
        <v>99</v>
      </c>
      <c r="AW88" s="111" t="s">
        <v>100</v>
      </c>
      <c r="AX88" s="20" t="s">
        <v>208</v>
      </c>
      <c r="AY88" s="19"/>
      <c r="AZ88" s="19">
        <v>0</v>
      </c>
      <c r="BA88" s="19">
        <v>73950.149999999994</v>
      </c>
      <c r="BB88" s="19">
        <v>1070</v>
      </c>
      <c r="BC88" s="66">
        <v>46211</v>
      </c>
      <c r="BD88" s="19" t="s">
        <v>65</v>
      </c>
      <c r="BE88" s="19" t="s">
        <v>210</v>
      </c>
      <c r="BF88" s="19" t="s">
        <v>210</v>
      </c>
      <c r="BG88" s="19">
        <v>2.5</v>
      </c>
      <c r="BH88" s="19">
        <v>1848.75</v>
      </c>
      <c r="BI88" s="19">
        <v>2.5</v>
      </c>
      <c r="BJ88" s="19">
        <v>1848.75</v>
      </c>
      <c r="BK88" s="19">
        <v>0</v>
      </c>
      <c r="BL88" s="19">
        <v>0</v>
      </c>
      <c r="BM88" s="19">
        <v>0</v>
      </c>
      <c r="BN88" s="19">
        <v>602158816151</v>
      </c>
      <c r="BO88" s="66">
        <v>46241</v>
      </c>
      <c r="BP88" s="19">
        <v>0</v>
      </c>
    </row>
    <row r="89" spans="1:68">
      <c r="A89" s="65"/>
      <c r="B89" s="20" t="s">
        <v>2165</v>
      </c>
      <c r="C89" s="111">
        <v>46242</v>
      </c>
      <c r="D89" s="20" t="s">
        <v>3479</v>
      </c>
      <c r="E89" s="20" t="s">
        <v>390</v>
      </c>
      <c r="F89" s="20" t="s">
        <v>385</v>
      </c>
      <c r="H89" s="20" t="s">
        <v>3480</v>
      </c>
      <c r="I89" s="20">
        <v>526</v>
      </c>
      <c r="J89" s="20">
        <v>526</v>
      </c>
      <c r="K89" s="20" t="s">
        <v>11</v>
      </c>
      <c r="L89" s="20">
        <v>526</v>
      </c>
      <c r="M89" s="20">
        <v>0</v>
      </c>
      <c r="N89" s="20">
        <v>526</v>
      </c>
      <c r="O89" s="20" t="s">
        <v>2154</v>
      </c>
      <c r="P89" s="20" t="s">
        <v>103</v>
      </c>
      <c r="Q89" s="20" t="s">
        <v>103</v>
      </c>
      <c r="R89" s="111" t="s">
        <v>2747</v>
      </c>
      <c r="S89" s="111">
        <v>46211</v>
      </c>
      <c r="T89" s="20" t="s">
        <v>206</v>
      </c>
      <c r="U89" s="20" t="s">
        <v>207</v>
      </c>
      <c r="V89" s="20" t="s">
        <v>2746</v>
      </c>
      <c r="W89" s="20">
        <v>170.95</v>
      </c>
      <c r="X89" s="20">
        <v>170.95</v>
      </c>
      <c r="Y89" s="111" t="s">
        <v>2747</v>
      </c>
      <c r="Z89" s="111">
        <v>46211</v>
      </c>
      <c r="AB89" s="20" t="s">
        <v>2290</v>
      </c>
      <c r="AD89" s="20" t="s">
        <v>2290</v>
      </c>
      <c r="AE89" s="20" t="s">
        <v>2290</v>
      </c>
      <c r="AF89" s="20">
        <v>0</v>
      </c>
      <c r="AG89" s="20">
        <v>0</v>
      </c>
      <c r="AH89" s="20">
        <v>0</v>
      </c>
      <c r="AI89" s="20">
        <v>0</v>
      </c>
      <c r="AJ89" s="20">
        <v>0</v>
      </c>
      <c r="AK89" s="111" t="s">
        <v>576</v>
      </c>
      <c r="AL89" s="20">
        <v>0</v>
      </c>
      <c r="AM89" s="20">
        <v>0</v>
      </c>
      <c r="AN89" s="20">
        <v>0</v>
      </c>
      <c r="AO89" s="20">
        <v>0</v>
      </c>
      <c r="AP89" s="20">
        <v>0</v>
      </c>
      <c r="AR89" s="20">
        <v>0</v>
      </c>
      <c r="AS89" s="20">
        <v>0</v>
      </c>
      <c r="AT89" s="20">
        <v>89919.7</v>
      </c>
      <c r="AU89" s="20" t="s">
        <v>13</v>
      </c>
      <c r="AV89" s="20" t="s">
        <v>80</v>
      </c>
      <c r="AW89" s="111" t="s">
        <v>81</v>
      </c>
      <c r="AX89" s="20" t="s">
        <v>208</v>
      </c>
      <c r="AY89" s="19" t="s">
        <v>209</v>
      </c>
      <c r="AZ89" s="19">
        <v>0</v>
      </c>
      <c r="BA89" s="19">
        <v>89919.7</v>
      </c>
      <c r="BB89" s="19" t="s">
        <v>3481</v>
      </c>
      <c r="BC89" s="66">
        <v>46242</v>
      </c>
      <c r="BD89" s="19" t="s">
        <v>104</v>
      </c>
      <c r="BE89" s="19" t="s">
        <v>210</v>
      </c>
      <c r="BF89" s="19" t="s">
        <v>210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>
        <v>0</v>
      </c>
      <c r="BM89" s="19">
        <v>89919.7</v>
      </c>
      <c r="BN89" s="19">
        <v>612158962246</v>
      </c>
      <c r="BO89" s="66">
        <v>46241</v>
      </c>
      <c r="BP89" s="19">
        <v>0</v>
      </c>
    </row>
    <row r="90" spans="1:68">
      <c r="A90" s="65"/>
      <c r="B90" s="20" t="s">
        <v>2165</v>
      </c>
      <c r="C90" s="111">
        <v>46242</v>
      </c>
      <c r="D90" s="20" t="s">
        <v>3482</v>
      </c>
      <c r="E90" s="20" t="s">
        <v>2510</v>
      </c>
      <c r="F90" s="20" t="s">
        <v>17</v>
      </c>
      <c r="H90" s="20" t="s">
        <v>3483</v>
      </c>
      <c r="I90" s="20">
        <v>950.3</v>
      </c>
      <c r="J90" s="20">
        <v>950.3</v>
      </c>
      <c r="K90" s="20" t="s">
        <v>11</v>
      </c>
      <c r="L90" s="20">
        <v>950.3</v>
      </c>
      <c r="M90" s="20">
        <v>0</v>
      </c>
      <c r="N90" s="20">
        <v>950.3</v>
      </c>
      <c r="O90" s="20" t="s">
        <v>2154</v>
      </c>
      <c r="P90" s="20" t="s">
        <v>87</v>
      </c>
      <c r="Q90" s="20" t="s">
        <v>87</v>
      </c>
      <c r="R90" s="111" t="s">
        <v>2751</v>
      </c>
      <c r="S90" s="111">
        <v>46242</v>
      </c>
      <c r="T90" s="20" t="s">
        <v>206</v>
      </c>
      <c r="U90" s="20" t="s">
        <v>207</v>
      </c>
      <c r="V90" s="20" t="s">
        <v>2750</v>
      </c>
      <c r="W90" s="20">
        <v>184.86</v>
      </c>
      <c r="X90" s="20">
        <v>184.86000046365501</v>
      </c>
      <c r="Y90" s="111" t="s">
        <v>2751</v>
      </c>
      <c r="Z90" s="111">
        <v>46242</v>
      </c>
      <c r="AB90" s="20" t="s">
        <v>2290</v>
      </c>
      <c r="AD90" s="20" t="s">
        <v>2290</v>
      </c>
      <c r="AE90" s="20" t="s">
        <v>2290</v>
      </c>
      <c r="AF90" s="20">
        <v>0</v>
      </c>
      <c r="AG90" s="20">
        <v>0</v>
      </c>
      <c r="AH90" s="20">
        <v>0</v>
      </c>
      <c r="AI90" s="20">
        <v>0</v>
      </c>
      <c r="AJ90" s="20">
        <v>0</v>
      </c>
      <c r="AK90" s="111" t="s">
        <v>576</v>
      </c>
      <c r="AL90" s="20">
        <v>0</v>
      </c>
      <c r="AM90" s="20">
        <v>0</v>
      </c>
      <c r="AN90" s="20">
        <v>0</v>
      </c>
      <c r="AO90" s="20">
        <v>0</v>
      </c>
      <c r="AP90" s="20">
        <v>0</v>
      </c>
      <c r="AR90" s="20">
        <v>0</v>
      </c>
      <c r="AS90" s="20">
        <v>0</v>
      </c>
      <c r="AT90" s="20">
        <v>797402.72</v>
      </c>
      <c r="AU90" s="20" t="s">
        <v>13</v>
      </c>
      <c r="AV90" s="20" t="s">
        <v>80</v>
      </c>
      <c r="AW90" s="111" t="s">
        <v>81</v>
      </c>
      <c r="AX90" s="20" t="s">
        <v>208</v>
      </c>
      <c r="AY90" s="19" t="s">
        <v>209</v>
      </c>
      <c r="AZ90" s="19">
        <v>0</v>
      </c>
      <c r="BA90" s="19">
        <v>175672.46</v>
      </c>
      <c r="BB90" s="19">
        <v>1082</v>
      </c>
      <c r="BC90" s="66">
        <v>46242</v>
      </c>
      <c r="BD90" s="19" t="s">
        <v>65</v>
      </c>
      <c r="BE90" s="19" t="s">
        <v>210</v>
      </c>
      <c r="BF90" s="19" t="s">
        <v>210</v>
      </c>
      <c r="BG90" s="19">
        <v>9</v>
      </c>
      <c r="BH90" s="19">
        <v>15810.52</v>
      </c>
      <c r="BI90" s="19">
        <v>9</v>
      </c>
      <c r="BJ90" s="19">
        <v>15810.52</v>
      </c>
      <c r="BK90" s="19">
        <v>0</v>
      </c>
      <c r="BL90" s="19">
        <v>0</v>
      </c>
      <c r="BM90" s="19">
        <v>797402.72</v>
      </c>
      <c r="BN90" s="19">
        <v>692159613826</v>
      </c>
      <c r="BO90" s="66">
        <v>46242</v>
      </c>
      <c r="BP90" s="19">
        <v>0</v>
      </c>
    </row>
    <row r="91" spans="1:68">
      <c r="A91" s="65"/>
      <c r="B91" s="20" t="s">
        <v>2165</v>
      </c>
      <c r="C91" s="111">
        <v>46242</v>
      </c>
      <c r="D91" s="20" t="s">
        <v>3482</v>
      </c>
      <c r="E91" s="20" t="s">
        <v>160</v>
      </c>
      <c r="F91" s="20" t="s">
        <v>17</v>
      </c>
      <c r="H91" s="20" t="s">
        <v>3483</v>
      </c>
      <c r="I91" s="20">
        <v>2796</v>
      </c>
      <c r="J91" s="20">
        <v>2796</v>
      </c>
      <c r="K91" s="20" t="s">
        <v>11</v>
      </c>
      <c r="L91" s="20">
        <v>2796</v>
      </c>
      <c r="M91" s="20">
        <v>0</v>
      </c>
      <c r="N91" s="20">
        <v>2796</v>
      </c>
      <c r="O91" s="20" t="s">
        <v>2154</v>
      </c>
      <c r="P91" s="20" t="s">
        <v>87</v>
      </c>
      <c r="Q91" s="20" t="s">
        <v>87</v>
      </c>
      <c r="R91" s="111" t="s">
        <v>2751</v>
      </c>
      <c r="S91" s="111">
        <v>46242</v>
      </c>
      <c r="T91" s="20" t="s">
        <v>206</v>
      </c>
      <c r="U91" s="20" t="s">
        <v>207</v>
      </c>
      <c r="V91" s="20" t="s">
        <v>2750</v>
      </c>
      <c r="W91" s="20">
        <v>178.86</v>
      </c>
      <c r="X91" s="20">
        <v>178.860000448606</v>
      </c>
      <c r="Y91" s="111" t="s">
        <v>2751</v>
      </c>
      <c r="Z91" s="111">
        <v>46242</v>
      </c>
      <c r="AB91" s="20" t="s">
        <v>2290</v>
      </c>
      <c r="AD91" s="20" t="s">
        <v>2290</v>
      </c>
      <c r="AE91" s="20" t="s">
        <v>2290</v>
      </c>
      <c r="AF91" s="20">
        <v>0</v>
      </c>
      <c r="AG91" s="20">
        <v>0</v>
      </c>
      <c r="AH91" s="20">
        <v>0</v>
      </c>
      <c r="AI91" s="20">
        <v>0</v>
      </c>
      <c r="AJ91" s="20">
        <v>0</v>
      </c>
      <c r="AK91" s="111" t="s">
        <v>576</v>
      </c>
      <c r="AL91" s="20">
        <v>0</v>
      </c>
      <c r="AM91" s="20">
        <v>0</v>
      </c>
      <c r="AN91" s="20">
        <v>0</v>
      </c>
      <c r="AO91" s="20">
        <v>0</v>
      </c>
      <c r="AP91" s="20">
        <v>0</v>
      </c>
      <c r="AR91" s="20">
        <v>0</v>
      </c>
      <c r="AS91" s="20">
        <v>0</v>
      </c>
      <c r="AT91" s="20">
        <v>797402.72</v>
      </c>
      <c r="AU91" s="20" t="s">
        <v>13</v>
      </c>
      <c r="AV91" s="20" t="s">
        <v>80</v>
      </c>
      <c r="AW91" s="111" t="s">
        <v>81</v>
      </c>
      <c r="AX91" s="20" t="s">
        <v>208</v>
      </c>
      <c r="AY91" s="19" t="s">
        <v>209</v>
      </c>
      <c r="AZ91" s="19">
        <v>0</v>
      </c>
      <c r="BA91" s="19">
        <v>500092.56</v>
      </c>
      <c r="BB91" s="19">
        <v>1082</v>
      </c>
      <c r="BC91" s="66">
        <v>46242</v>
      </c>
      <c r="BD91" s="19" t="s">
        <v>65</v>
      </c>
      <c r="BE91" s="19" t="s">
        <v>210</v>
      </c>
      <c r="BF91" s="19" t="s">
        <v>210</v>
      </c>
      <c r="BG91" s="19">
        <v>9</v>
      </c>
      <c r="BH91" s="19">
        <v>45008.33</v>
      </c>
      <c r="BI91" s="19">
        <v>9</v>
      </c>
      <c r="BJ91" s="19">
        <v>45008.33</v>
      </c>
      <c r="BK91" s="19">
        <v>0</v>
      </c>
      <c r="BL91" s="19">
        <v>0</v>
      </c>
      <c r="BM91" s="19">
        <v>0</v>
      </c>
      <c r="BN91" s="19">
        <v>692159613826</v>
      </c>
      <c r="BO91" s="66">
        <v>46242</v>
      </c>
      <c r="BP91" s="19">
        <v>0</v>
      </c>
    </row>
    <row r="92" spans="1:68">
      <c r="A92" s="65"/>
      <c r="B92" s="20" t="s">
        <v>2165</v>
      </c>
      <c r="C92" s="111">
        <v>46242</v>
      </c>
      <c r="D92" s="20" t="s">
        <v>3484</v>
      </c>
      <c r="E92" s="20" t="s">
        <v>18</v>
      </c>
      <c r="F92" s="20" t="s">
        <v>19</v>
      </c>
      <c r="H92" s="20" t="s">
        <v>3483</v>
      </c>
      <c r="I92" s="20">
        <v>571</v>
      </c>
      <c r="J92" s="20">
        <v>571</v>
      </c>
      <c r="K92" s="20" t="s">
        <v>11</v>
      </c>
      <c r="L92" s="20">
        <v>571</v>
      </c>
      <c r="M92" s="20">
        <v>0</v>
      </c>
      <c r="N92" s="20">
        <v>571</v>
      </c>
      <c r="O92" s="20" t="s">
        <v>2154</v>
      </c>
      <c r="P92" s="20" t="s">
        <v>87</v>
      </c>
      <c r="Q92" s="20" t="s">
        <v>87</v>
      </c>
      <c r="R92" s="111" t="s">
        <v>2753</v>
      </c>
      <c r="S92" s="111">
        <v>46242</v>
      </c>
      <c r="T92" s="20" t="s">
        <v>206</v>
      </c>
      <c r="U92" s="20" t="s">
        <v>207</v>
      </c>
      <c r="V92" s="20" t="s">
        <v>2752</v>
      </c>
      <c r="W92" s="20">
        <v>144.32</v>
      </c>
      <c r="X92" s="20">
        <v>144.32</v>
      </c>
      <c r="Y92" s="111" t="s">
        <v>2753</v>
      </c>
      <c r="Z92" s="111">
        <v>46242</v>
      </c>
      <c r="AB92" s="20" t="s">
        <v>2290</v>
      </c>
      <c r="AD92" s="20" t="s">
        <v>2290</v>
      </c>
      <c r="AE92" s="20" t="s">
        <v>2290</v>
      </c>
      <c r="AF92" s="20">
        <v>0</v>
      </c>
      <c r="AG92" s="20">
        <v>0</v>
      </c>
      <c r="AH92" s="20">
        <v>0</v>
      </c>
      <c r="AI92" s="20">
        <v>0</v>
      </c>
      <c r="AJ92" s="20">
        <v>0</v>
      </c>
      <c r="AK92" s="111" t="s">
        <v>576</v>
      </c>
      <c r="AL92" s="20">
        <v>0</v>
      </c>
      <c r="AM92" s="20">
        <v>0</v>
      </c>
      <c r="AN92" s="20">
        <v>0</v>
      </c>
      <c r="AO92" s="20">
        <v>0</v>
      </c>
      <c r="AP92" s="20">
        <v>0</v>
      </c>
      <c r="AR92" s="20">
        <v>0</v>
      </c>
      <c r="AS92" s="20">
        <v>0</v>
      </c>
      <c r="AT92" s="20">
        <v>1233505.72</v>
      </c>
      <c r="AU92" s="20" t="s">
        <v>13</v>
      </c>
      <c r="AV92" s="20" t="s">
        <v>62</v>
      </c>
      <c r="AW92" s="111" t="s">
        <v>63</v>
      </c>
      <c r="AX92" s="20" t="s">
        <v>208</v>
      </c>
      <c r="AY92" s="19" t="s">
        <v>209</v>
      </c>
      <c r="AZ92" s="19">
        <v>0</v>
      </c>
      <c r="BA92" s="19">
        <v>82406.720000000001</v>
      </c>
      <c r="BB92" s="19">
        <v>1079</v>
      </c>
      <c r="BC92" s="66">
        <v>46242</v>
      </c>
      <c r="BD92" s="19" t="s">
        <v>65</v>
      </c>
      <c r="BE92" s="19" t="s">
        <v>210</v>
      </c>
      <c r="BF92" s="19" t="s">
        <v>210</v>
      </c>
      <c r="BG92" s="19">
        <v>9</v>
      </c>
      <c r="BH92" s="19">
        <v>7416.6</v>
      </c>
      <c r="BI92" s="19">
        <v>9</v>
      </c>
      <c r="BJ92" s="19">
        <v>7416.6</v>
      </c>
      <c r="BK92" s="19">
        <v>0</v>
      </c>
      <c r="BL92" s="19">
        <v>0</v>
      </c>
      <c r="BM92" s="19">
        <v>1233505.72</v>
      </c>
      <c r="BN92" s="19">
        <v>692159421724</v>
      </c>
      <c r="BO92" s="66">
        <v>46242</v>
      </c>
      <c r="BP92" s="19">
        <v>0</v>
      </c>
    </row>
    <row r="93" spans="1:68">
      <c r="A93" s="65"/>
      <c r="B93" s="20" t="s">
        <v>2165</v>
      </c>
      <c r="C93" s="111">
        <v>46242</v>
      </c>
      <c r="D93" s="20" t="s">
        <v>3484</v>
      </c>
      <c r="E93" s="20" t="s">
        <v>18</v>
      </c>
      <c r="F93" s="20" t="s">
        <v>19</v>
      </c>
      <c r="H93" s="20" t="s">
        <v>3483</v>
      </c>
      <c r="I93" s="20">
        <v>6766</v>
      </c>
      <c r="J93" s="20">
        <v>6766</v>
      </c>
      <c r="K93" s="20" t="s">
        <v>11</v>
      </c>
      <c r="L93" s="20">
        <v>6766</v>
      </c>
      <c r="M93" s="20">
        <v>0</v>
      </c>
      <c r="N93" s="20">
        <v>6766</v>
      </c>
      <c r="O93" s="20" t="s">
        <v>2154</v>
      </c>
      <c r="P93" s="20" t="s">
        <v>87</v>
      </c>
      <c r="Q93" s="20" t="s">
        <v>87</v>
      </c>
      <c r="R93" s="111" t="s">
        <v>2753</v>
      </c>
      <c r="S93" s="111">
        <v>46242</v>
      </c>
      <c r="T93" s="20" t="s">
        <v>206</v>
      </c>
      <c r="U93" s="20" t="s">
        <v>207</v>
      </c>
      <c r="V93" s="20" t="s">
        <v>2752</v>
      </c>
      <c r="W93" s="20">
        <v>142.32</v>
      </c>
      <c r="X93" s="20">
        <v>142.32</v>
      </c>
      <c r="Y93" s="111" t="s">
        <v>2753</v>
      </c>
      <c r="Z93" s="111">
        <v>46242</v>
      </c>
      <c r="AB93" s="20" t="s">
        <v>2290</v>
      </c>
      <c r="AD93" s="20" t="s">
        <v>2290</v>
      </c>
      <c r="AE93" s="20" t="s">
        <v>2290</v>
      </c>
      <c r="AF93" s="20">
        <v>0</v>
      </c>
      <c r="AG93" s="20">
        <v>0</v>
      </c>
      <c r="AH93" s="20">
        <v>0</v>
      </c>
      <c r="AI93" s="20">
        <v>0</v>
      </c>
      <c r="AJ93" s="20">
        <v>0</v>
      </c>
      <c r="AK93" s="111" t="s">
        <v>576</v>
      </c>
      <c r="AL93" s="20">
        <v>0</v>
      </c>
      <c r="AM93" s="20">
        <v>0</v>
      </c>
      <c r="AN93" s="20">
        <v>0</v>
      </c>
      <c r="AO93" s="20">
        <v>0</v>
      </c>
      <c r="AP93" s="20">
        <v>0</v>
      </c>
      <c r="AR93" s="20">
        <v>0</v>
      </c>
      <c r="AS93" s="20">
        <v>0</v>
      </c>
      <c r="AT93" s="20">
        <v>1233505.72</v>
      </c>
      <c r="AU93" s="20" t="s">
        <v>13</v>
      </c>
      <c r="AV93" s="20" t="s">
        <v>62</v>
      </c>
      <c r="AW93" s="111" t="s">
        <v>63</v>
      </c>
      <c r="AX93" s="20" t="s">
        <v>208</v>
      </c>
      <c r="AY93" s="19" t="s">
        <v>209</v>
      </c>
      <c r="AZ93" s="19">
        <v>0</v>
      </c>
      <c r="BA93" s="19">
        <v>962937.12</v>
      </c>
      <c r="BB93" s="19">
        <v>1079</v>
      </c>
      <c r="BC93" s="66">
        <v>46242</v>
      </c>
      <c r="BD93" s="19" t="s">
        <v>65</v>
      </c>
      <c r="BE93" s="19" t="s">
        <v>210</v>
      </c>
      <c r="BF93" s="19" t="s">
        <v>210</v>
      </c>
      <c r="BG93" s="19">
        <v>9</v>
      </c>
      <c r="BH93" s="19">
        <v>86664.34</v>
      </c>
      <c r="BI93" s="19">
        <v>9</v>
      </c>
      <c r="BJ93" s="19">
        <v>86664.34</v>
      </c>
      <c r="BK93" s="19">
        <v>0</v>
      </c>
      <c r="BL93" s="19">
        <v>0</v>
      </c>
      <c r="BM93" s="19">
        <v>0</v>
      </c>
      <c r="BN93" s="19">
        <v>692159421724</v>
      </c>
      <c r="BO93" s="66">
        <v>46242</v>
      </c>
      <c r="BP93" s="19">
        <v>0</v>
      </c>
    </row>
    <row r="94" spans="1:68">
      <c r="A94" s="65"/>
      <c r="B94" s="20" t="s">
        <v>2165</v>
      </c>
      <c r="C94" s="111">
        <v>46242</v>
      </c>
      <c r="D94" s="20" t="s">
        <v>3485</v>
      </c>
      <c r="E94" s="20" t="s">
        <v>18</v>
      </c>
      <c r="F94" s="20" t="s">
        <v>19</v>
      </c>
      <c r="H94" s="20" t="s">
        <v>3486</v>
      </c>
      <c r="I94" s="20">
        <v>483</v>
      </c>
      <c r="J94" s="20">
        <v>483</v>
      </c>
      <c r="K94" s="20" t="s">
        <v>11</v>
      </c>
      <c r="L94" s="20">
        <v>483</v>
      </c>
      <c r="M94" s="20">
        <v>0</v>
      </c>
      <c r="N94" s="20">
        <v>483</v>
      </c>
      <c r="O94" s="20" t="s">
        <v>2154</v>
      </c>
      <c r="P94" s="20" t="s">
        <v>87</v>
      </c>
      <c r="Q94" s="20" t="s">
        <v>87</v>
      </c>
      <c r="R94" s="111" t="s">
        <v>2755</v>
      </c>
      <c r="S94" s="111">
        <v>46242</v>
      </c>
      <c r="T94" s="20" t="s">
        <v>206</v>
      </c>
      <c r="U94" s="20" t="s">
        <v>207</v>
      </c>
      <c r="V94" s="20" t="s">
        <v>2754</v>
      </c>
      <c r="W94" s="20">
        <v>144.32</v>
      </c>
      <c r="X94" s="20">
        <v>144.32</v>
      </c>
      <c r="Y94" s="111" t="s">
        <v>2755</v>
      </c>
      <c r="Z94" s="111">
        <v>46242</v>
      </c>
      <c r="AB94" s="20" t="s">
        <v>2290</v>
      </c>
      <c r="AD94" s="20" t="s">
        <v>2290</v>
      </c>
      <c r="AE94" s="20" t="s">
        <v>2290</v>
      </c>
      <c r="AF94" s="20">
        <v>0</v>
      </c>
      <c r="AG94" s="20">
        <v>0</v>
      </c>
      <c r="AH94" s="20">
        <v>0</v>
      </c>
      <c r="AI94" s="20">
        <v>0</v>
      </c>
      <c r="AJ94" s="20">
        <v>0</v>
      </c>
      <c r="AK94" s="111" t="s">
        <v>576</v>
      </c>
      <c r="AL94" s="20">
        <v>0</v>
      </c>
      <c r="AM94" s="20">
        <v>0</v>
      </c>
      <c r="AN94" s="20">
        <v>0</v>
      </c>
      <c r="AO94" s="20">
        <v>0</v>
      </c>
      <c r="AP94" s="20">
        <v>0</v>
      </c>
      <c r="AR94" s="20">
        <v>0</v>
      </c>
      <c r="AS94" s="20">
        <v>0</v>
      </c>
      <c r="AT94" s="20">
        <v>1335355.8600000001</v>
      </c>
      <c r="AU94" s="20" t="s">
        <v>13</v>
      </c>
      <c r="AV94" s="20" t="s">
        <v>62</v>
      </c>
      <c r="AW94" s="111" t="s">
        <v>63</v>
      </c>
      <c r="AX94" s="20" t="s">
        <v>208</v>
      </c>
      <c r="AY94" s="19" t="s">
        <v>209</v>
      </c>
      <c r="AZ94" s="19">
        <v>0</v>
      </c>
      <c r="BA94" s="19">
        <v>69706.559999999998</v>
      </c>
      <c r="BB94" s="19">
        <v>1081</v>
      </c>
      <c r="BC94" s="66">
        <v>46242</v>
      </c>
      <c r="BD94" s="19" t="s">
        <v>65</v>
      </c>
      <c r="BE94" s="19" t="s">
        <v>210</v>
      </c>
      <c r="BF94" s="19" t="s">
        <v>210</v>
      </c>
      <c r="BG94" s="19">
        <v>9</v>
      </c>
      <c r="BH94" s="19">
        <v>6273.59</v>
      </c>
      <c r="BI94" s="19">
        <v>9</v>
      </c>
      <c r="BJ94" s="19">
        <v>6273.59</v>
      </c>
      <c r="BK94" s="19">
        <v>0</v>
      </c>
      <c r="BL94" s="19">
        <v>0</v>
      </c>
      <c r="BM94" s="19">
        <v>1335355.8600000001</v>
      </c>
      <c r="BN94" s="19">
        <v>672159548564</v>
      </c>
      <c r="BO94" s="66">
        <v>46242</v>
      </c>
      <c r="BP94" s="19">
        <v>0</v>
      </c>
    </row>
    <row r="95" spans="1:68">
      <c r="A95" s="65"/>
      <c r="B95" s="20" t="s">
        <v>2165</v>
      </c>
      <c r="C95" s="111">
        <v>46242</v>
      </c>
      <c r="D95" s="20" t="s">
        <v>3485</v>
      </c>
      <c r="E95" s="20" t="s">
        <v>18</v>
      </c>
      <c r="F95" s="20" t="s">
        <v>19</v>
      </c>
      <c r="H95" s="20" t="s">
        <v>3486</v>
      </c>
      <c r="I95" s="20">
        <v>2335</v>
      </c>
      <c r="J95" s="20">
        <v>2335</v>
      </c>
      <c r="K95" s="20" t="s">
        <v>11</v>
      </c>
      <c r="L95" s="20">
        <v>2335</v>
      </c>
      <c r="M95" s="20">
        <v>0</v>
      </c>
      <c r="N95" s="20">
        <v>2335</v>
      </c>
      <c r="O95" s="20" t="s">
        <v>2154</v>
      </c>
      <c r="P95" s="20" t="s">
        <v>87</v>
      </c>
      <c r="Q95" s="20" t="s">
        <v>87</v>
      </c>
      <c r="R95" s="111" t="s">
        <v>2755</v>
      </c>
      <c r="S95" s="111">
        <v>46242</v>
      </c>
      <c r="T95" s="20" t="s">
        <v>206</v>
      </c>
      <c r="U95" s="20" t="s">
        <v>207</v>
      </c>
      <c r="V95" s="20" t="s">
        <v>2754</v>
      </c>
      <c r="W95" s="20">
        <v>142.32</v>
      </c>
      <c r="X95" s="20">
        <v>142.32</v>
      </c>
      <c r="Y95" s="111" t="s">
        <v>2755</v>
      </c>
      <c r="Z95" s="111">
        <v>46242</v>
      </c>
      <c r="AB95" s="20" t="s">
        <v>2290</v>
      </c>
      <c r="AD95" s="20" t="s">
        <v>2290</v>
      </c>
      <c r="AE95" s="20" t="s">
        <v>2290</v>
      </c>
      <c r="AF95" s="20">
        <v>0</v>
      </c>
      <c r="AG95" s="20">
        <v>0</v>
      </c>
      <c r="AH95" s="20">
        <v>0</v>
      </c>
      <c r="AI95" s="20">
        <v>0</v>
      </c>
      <c r="AJ95" s="20">
        <v>0</v>
      </c>
      <c r="AK95" s="111" t="s">
        <v>576</v>
      </c>
      <c r="AL95" s="20">
        <v>0</v>
      </c>
      <c r="AM95" s="20">
        <v>0</v>
      </c>
      <c r="AN95" s="20">
        <v>0</v>
      </c>
      <c r="AO95" s="20">
        <v>0</v>
      </c>
      <c r="AP95" s="20">
        <v>0</v>
      </c>
      <c r="AR95" s="20">
        <v>0</v>
      </c>
      <c r="AS95" s="20">
        <v>0</v>
      </c>
      <c r="AT95" s="20">
        <v>1335355.8600000001</v>
      </c>
      <c r="AU95" s="20" t="s">
        <v>13</v>
      </c>
      <c r="AV95" s="20" t="s">
        <v>62</v>
      </c>
      <c r="AW95" s="111" t="s">
        <v>63</v>
      </c>
      <c r="AX95" s="20" t="s">
        <v>208</v>
      </c>
      <c r="AY95" s="19" t="s">
        <v>209</v>
      </c>
      <c r="AZ95" s="19">
        <v>0</v>
      </c>
      <c r="BA95" s="19">
        <v>332317.2</v>
      </c>
      <c r="BB95" s="19">
        <v>1081</v>
      </c>
      <c r="BC95" s="66">
        <v>46242</v>
      </c>
      <c r="BD95" s="19" t="s">
        <v>65</v>
      </c>
      <c r="BE95" s="19" t="s">
        <v>210</v>
      </c>
      <c r="BF95" s="19" t="s">
        <v>210</v>
      </c>
      <c r="BG95" s="19">
        <v>9</v>
      </c>
      <c r="BH95" s="19">
        <v>29908.55</v>
      </c>
      <c r="BI95" s="19">
        <v>9</v>
      </c>
      <c r="BJ95" s="19">
        <v>29908.55</v>
      </c>
      <c r="BK95" s="19">
        <v>0</v>
      </c>
      <c r="BL95" s="19">
        <v>0</v>
      </c>
      <c r="BM95" s="19">
        <v>0</v>
      </c>
      <c r="BN95" s="19">
        <v>672159548564</v>
      </c>
      <c r="BO95" s="66">
        <v>46242</v>
      </c>
      <c r="BP95" s="19">
        <v>0</v>
      </c>
    </row>
    <row r="96" spans="1:68">
      <c r="A96" s="65"/>
      <c r="B96" s="20" t="s">
        <v>2165</v>
      </c>
      <c r="C96" s="111">
        <v>46242</v>
      </c>
      <c r="D96" s="20" t="s">
        <v>3485</v>
      </c>
      <c r="E96" s="20" t="s">
        <v>23</v>
      </c>
      <c r="F96" s="20" t="s">
        <v>24</v>
      </c>
      <c r="H96" s="20" t="s">
        <v>3486</v>
      </c>
      <c r="I96" s="20">
        <v>1539.7</v>
      </c>
      <c r="J96" s="20">
        <v>1539.7</v>
      </c>
      <c r="K96" s="20" t="s">
        <v>11</v>
      </c>
      <c r="L96" s="20">
        <v>1539.7</v>
      </c>
      <c r="M96" s="20">
        <v>0</v>
      </c>
      <c r="N96" s="20">
        <v>1539.7</v>
      </c>
      <c r="O96" s="20" t="s">
        <v>2154</v>
      </c>
      <c r="P96" s="20" t="s">
        <v>87</v>
      </c>
      <c r="Q96" s="20" t="s">
        <v>87</v>
      </c>
      <c r="R96" s="111" t="s">
        <v>2755</v>
      </c>
      <c r="S96" s="111">
        <v>46242</v>
      </c>
      <c r="T96" s="20" t="s">
        <v>206</v>
      </c>
      <c r="U96" s="20" t="s">
        <v>207</v>
      </c>
      <c r="V96" s="20" t="s">
        <v>2754</v>
      </c>
      <c r="W96" s="20">
        <v>147.32</v>
      </c>
      <c r="X96" s="20">
        <v>147.32</v>
      </c>
      <c r="Y96" s="111" t="s">
        <v>2755</v>
      </c>
      <c r="Z96" s="111">
        <v>46242</v>
      </c>
      <c r="AB96" s="20" t="s">
        <v>2290</v>
      </c>
      <c r="AD96" s="20" t="s">
        <v>2290</v>
      </c>
      <c r="AE96" s="20" t="s">
        <v>2290</v>
      </c>
      <c r="AF96" s="20">
        <v>0</v>
      </c>
      <c r="AG96" s="20">
        <v>0</v>
      </c>
      <c r="AH96" s="20">
        <v>0</v>
      </c>
      <c r="AI96" s="20">
        <v>0</v>
      </c>
      <c r="AJ96" s="20">
        <v>0</v>
      </c>
      <c r="AK96" s="111" t="s">
        <v>576</v>
      </c>
      <c r="AL96" s="20">
        <v>0</v>
      </c>
      <c r="AM96" s="20">
        <v>0</v>
      </c>
      <c r="AN96" s="20">
        <v>0</v>
      </c>
      <c r="AO96" s="20">
        <v>0</v>
      </c>
      <c r="AP96" s="20">
        <v>0</v>
      </c>
      <c r="AR96" s="20">
        <v>0</v>
      </c>
      <c r="AS96" s="20">
        <v>0</v>
      </c>
      <c r="AT96" s="20">
        <v>1335355.8600000001</v>
      </c>
      <c r="AU96" s="20" t="s">
        <v>13</v>
      </c>
      <c r="AV96" s="20" t="s">
        <v>24</v>
      </c>
      <c r="AW96" s="111" t="s">
        <v>79</v>
      </c>
      <c r="AX96" s="20" t="s">
        <v>208</v>
      </c>
      <c r="AY96" s="19" t="s">
        <v>209</v>
      </c>
      <c r="AZ96" s="19">
        <v>0</v>
      </c>
      <c r="BA96" s="19">
        <v>226828.6</v>
      </c>
      <c r="BB96" s="19">
        <v>1081</v>
      </c>
      <c r="BC96" s="66">
        <v>46242</v>
      </c>
      <c r="BD96" s="19" t="s">
        <v>65</v>
      </c>
      <c r="BE96" s="19" t="s">
        <v>210</v>
      </c>
      <c r="BF96" s="19" t="s">
        <v>210</v>
      </c>
      <c r="BG96" s="19">
        <v>9</v>
      </c>
      <c r="BH96" s="19">
        <v>20414.57</v>
      </c>
      <c r="BI96" s="19">
        <v>9</v>
      </c>
      <c r="BJ96" s="19">
        <v>20414.57</v>
      </c>
      <c r="BK96" s="19">
        <v>0</v>
      </c>
      <c r="BL96" s="19">
        <v>0</v>
      </c>
      <c r="BM96" s="19">
        <v>0</v>
      </c>
      <c r="BN96" s="19">
        <v>672159548564</v>
      </c>
      <c r="BO96" s="66">
        <v>46242</v>
      </c>
      <c r="BP96" s="19">
        <v>0</v>
      </c>
    </row>
    <row r="97" spans="1:68">
      <c r="A97" s="65"/>
      <c r="B97" s="20" t="s">
        <v>2165</v>
      </c>
      <c r="C97" s="111">
        <v>46242</v>
      </c>
      <c r="D97" s="20" t="s">
        <v>3485</v>
      </c>
      <c r="E97" s="20" t="s">
        <v>23</v>
      </c>
      <c r="F97" s="20" t="s">
        <v>24</v>
      </c>
      <c r="H97" s="20" t="s">
        <v>3486</v>
      </c>
      <c r="I97" s="20">
        <v>1062.8</v>
      </c>
      <c r="J97" s="20">
        <v>1062.8</v>
      </c>
      <c r="K97" s="20" t="s">
        <v>11</v>
      </c>
      <c r="L97" s="20">
        <v>1062.8</v>
      </c>
      <c r="M97" s="20">
        <v>0</v>
      </c>
      <c r="N97" s="20">
        <v>1062.8</v>
      </c>
      <c r="O97" s="20" t="s">
        <v>2154</v>
      </c>
      <c r="P97" s="20" t="s">
        <v>87</v>
      </c>
      <c r="Q97" s="20" t="s">
        <v>87</v>
      </c>
      <c r="R97" s="111" t="s">
        <v>2755</v>
      </c>
      <c r="S97" s="111">
        <v>46242</v>
      </c>
      <c r="T97" s="20" t="s">
        <v>206</v>
      </c>
      <c r="U97" s="20" t="s">
        <v>207</v>
      </c>
      <c r="V97" s="20" t="s">
        <v>2754</v>
      </c>
      <c r="W97" s="20">
        <v>144.32</v>
      </c>
      <c r="X97" s="20">
        <v>144.32</v>
      </c>
      <c r="Y97" s="111" t="s">
        <v>2755</v>
      </c>
      <c r="Z97" s="111">
        <v>46242</v>
      </c>
      <c r="AB97" s="20" t="s">
        <v>2290</v>
      </c>
      <c r="AD97" s="20" t="s">
        <v>2290</v>
      </c>
      <c r="AE97" s="20" t="s">
        <v>2290</v>
      </c>
      <c r="AF97" s="20">
        <v>0</v>
      </c>
      <c r="AG97" s="20">
        <v>0</v>
      </c>
      <c r="AH97" s="20">
        <v>0</v>
      </c>
      <c r="AI97" s="20">
        <v>0</v>
      </c>
      <c r="AJ97" s="20">
        <v>0</v>
      </c>
      <c r="AK97" s="20" t="s">
        <v>576</v>
      </c>
      <c r="AL97" s="20">
        <v>0</v>
      </c>
      <c r="AM97" s="20">
        <v>0</v>
      </c>
      <c r="AN97" s="20">
        <v>0</v>
      </c>
      <c r="AO97" s="20">
        <v>0</v>
      </c>
      <c r="AP97" s="20">
        <v>0</v>
      </c>
      <c r="AR97" s="20">
        <v>0</v>
      </c>
      <c r="AS97" s="20">
        <v>0</v>
      </c>
      <c r="AT97" s="20">
        <v>1335355.8600000001</v>
      </c>
      <c r="AU97" s="20" t="s">
        <v>13</v>
      </c>
      <c r="AV97" s="20" t="s">
        <v>24</v>
      </c>
      <c r="AW97" s="111" t="s">
        <v>79</v>
      </c>
      <c r="AX97" s="20" t="s">
        <v>208</v>
      </c>
      <c r="AY97" s="19" t="s">
        <v>209</v>
      </c>
      <c r="AZ97" s="19">
        <v>0</v>
      </c>
      <c r="BA97" s="19">
        <v>153383.29999999999</v>
      </c>
      <c r="BB97" s="19">
        <v>1081</v>
      </c>
      <c r="BC97" s="66">
        <v>46242</v>
      </c>
      <c r="BD97" s="19" t="s">
        <v>65</v>
      </c>
      <c r="BE97" s="19" t="s">
        <v>210</v>
      </c>
      <c r="BF97" s="19" t="s">
        <v>210</v>
      </c>
      <c r="BG97" s="19">
        <v>9</v>
      </c>
      <c r="BH97" s="19">
        <v>13804.5</v>
      </c>
      <c r="BI97" s="19">
        <v>9</v>
      </c>
      <c r="BJ97" s="19">
        <v>13804.5</v>
      </c>
      <c r="BK97" s="19">
        <v>0</v>
      </c>
      <c r="BL97" s="19">
        <v>0</v>
      </c>
      <c r="BM97" s="19">
        <v>0</v>
      </c>
      <c r="BN97" s="19">
        <v>672159548564</v>
      </c>
      <c r="BO97" s="66">
        <v>46242</v>
      </c>
      <c r="BP97" s="19">
        <v>0</v>
      </c>
    </row>
    <row r="98" spans="1:68">
      <c r="A98" s="65"/>
      <c r="B98" s="20" t="s">
        <v>2165</v>
      </c>
      <c r="C98" s="111">
        <v>46242</v>
      </c>
      <c r="D98" s="20" t="s">
        <v>3485</v>
      </c>
      <c r="E98" s="20" t="s">
        <v>20</v>
      </c>
      <c r="F98" s="20" t="s">
        <v>21</v>
      </c>
      <c r="H98" s="20" t="s">
        <v>3486</v>
      </c>
      <c r="I98" s="20">
        <v>1751</v>
      </c>
      <c r="J98" s="20">
        <v>1751</v>
      </c>
      <c r="K98" s="20" t="s">
        <v>11</v>
      </c>
      <c r="L98" s="20">
        <v>1751</v>
      </c>
      <c r="M98" s="20">
        <v>0</v>
      </c>
      <c r="N98" s="20">
        <v>1751</v>
      </c>
      <c r="O98" s="20" t="s">
        <v>2154</v>
      </c>
      <c r="P98" s="20" t="s">
        <v>87</v>
      </c>
      <c r="Q98" s="20" t="s">
        <v>87</v>
      </c>
      <c r="R98" s="20" t="s">
        <v>2755</v>
      </c>
      <c r="S98" s="111">
        <v>46242</v>
      </c>
      <c r="T98" s="20" t="s">
        <v>206</v>
      </c>
      <c r="U98" s="20" t="s">
        <v>207</v>
      </c>
      <c r="V98" s="20" t="s">
        <v>2754</v>
      </c>
      <c r="W98" s="20">
        <v>144.32</v>
      </c>
      <c r="X98" s="20">
        <v>144.32</v>
      </c>
      <c r="Y98" s="20" t="s">
        <v>2755</v>
      </c>
      <c r="Z98" s="111">
        <v>46242</v>
      </c>
      <c r="AB98" s="20" t="s">
        <v>2290</v>
      </c>
      <c r="AD98" s="20" t="s">
        <v>2290</v>
      </c>
      <c r="AE98" s="20" t="s">
        <v>2290</v>
      </c>
      <c r="AF98" s="20">
        <v>0</v>
      </c>
      <c r="AG98" s="20">
        <v>0</v>
      </c>
      <c r="AH98" s="20">
        <v>0</v>
      </c>
      <c r="AI98" s="20">
        <v>0</v>
      </c>
      <c r="AJ98" s="20">
        <v>0</v>
      </c>
      <c r="AK98" s="20" t="s">
        <v>576</v>
      </c>
      <c r="AL98" s="20">
        <v>0</v>
      </c>
      <c r="AM98" s="20">
        <v>0</v>
      </c>
      <c r="AN98" s="20">
        <v>0</v>
      </c>
      <c r="AO98" s="20">
        <v>0</v>
      </c>
      <c r="AP98" s="20">
        <v>0</v>
      </c>
      <c r="AR98" s="20">
        <v>0</v>
      </c>
      <c r="AS98" s="20">
        <v>0</v>
      </c>
      <c r="AT98" s="20">
        <v>1335355.8600000001</v>
      </c>
      <c r="AU98" s="20" t="s">
        <v>13</v>
      </c>
      <c r="AV98" s="20" t="s">
        <v>62</v>
      </c>
      <c r="AW98" s="111" t="s">
        <v>76</v>
      </c>
      <c r="AX98" s="20" t="s">
        <v>208</v>
      </c>
      <c r="AY98" s="19" t="s">
        <v>209</v>
      </c>
      <c r="AZ98" s="19">
        <v>0</v>
      </c>
      <c r="BA98" s="19">
        <v>252704.32</v>
      </c>
      <c r="BB98" s="19">
        <v>1081</v>
      </c>
      <c r="BC98" s="66">
        <v>46242</v>
      </c>
      <c r="BD98" s="19" t="s">
        <v>65</v>
      </c>
      <c r="BE98" s="19" t="s">
        <v>210</v>
      </c>
      <c r="BF98" s="19" t="s">
        <v>210</v>
      </c>
      <c r="BG98" s="19">
        <v>9</v>
      </c>
      <c r="BH98" s="19">
        <v>22743.39</v>
      </c>
      <c r="BI98" s="19">
        <v>9</v>
      </c>
      <c r="BJ98" s="19">
        <v>22743.39</v>
      </c>
      <c r="BK98" s="19">
        <v>0</v>
      </c>
      <c r="BL98" s="19">
        <v>0</v>
      </c>
      <c r="BM98" s="19">
        <v>0</v>
      </c>
      <c r="BN98" s="19">
        <v>672159548564</v>
      </c>
      <c r="BO98" s="66">
        <v>46242</v>
      </c>
      <c r="BP98" s="19">
        <v>0</v>
      </c>
    </row>
    <row r="99" spans="1:68">
      <c r="A99" s="65"/>
      <c r="B99" s="20" t="s">
        <v>2165</v>
      </c>
      <c r="C99" s="111">
        <v>46242</v>
      </c>
      <c r="D99" s="20" t="s">
        <v>3485</v>
      </c>
      <c r="E99" s="20" t="s">
        <v>20</v>
      </c>
      <c r="F99" s="20" t="s">
        <v>21</v>
      </c>
      <c r="H99" s="20" t="s">
        <v>3486</v>
      </c>
      <c r="I99" s="20">
        <v>661</v>
      </c>
      <c r="J99" s="20">
        <v>661</v>
      </c>
      <c r="K99" s="20" t="s">
        <v>11</v>
      </c>
      <c r="L99" s="20">
        <v>661</v>
      </c>
      <c r="M99" s="20">
        <v>0</v>
      </c>
      <c r="N99" s="20">
        <v>661</v>
      </c>
      <c r="O99" s="20" t="s">
        <v>2154</v>
      </c>
      <c r="P99" s="20" t="s">
        <v>87</v>
      </c>
      <c r="Q99" s="20" t="s">
        <v>87</v>
      </c>
      <c r="R99" s="20" t="s">
        <v>2755</v>
      </c>
      <c r="S99" s="111">
        <v>46242</v>
      </c>
      <c r="T99" s="20" t="s">
        <v>206</v>
      </c>
      <c r="U99" s="20" t="s">
        <v>207</v>
      </c>
      <c r="V99" s="20" t="s">
        <v>2754</v>
      </c>
      <c r="W99" s="20">
        <v>146.32</v>
      </c>
      <c r="X99" s="20">
        <v>146.32</v>
      </c>
      <c r="Y99" s="20" t="s">
        <v>2755</v>
      </c>
      <c r="Z99" s="111">
        <v>46242</v>
      </c>
      <c r="AB99" s="20" t="s">
        <v>2290</v>
      </c>
      <c r="AD99" s="20" t="s">
        <v>2290</v>
      </c>
      <c r="AE99" s="20" t="s">
        <v>2290</v>
      </c>
      <c r="AF99" s="20">
        <v>0</v>
      </c>
      <c r="AG99" s="20">
        <v>0</v>
      </c>
      <c r="AH99" s="20">
        <v>0</v>
      </c>
      <c r="AI99" s="20">
        <v>0</v>
      </c>
      <c r="AJ99" s="20">
        <v>0</v>
      </c>
      <c r="AK99" s="20" t="s">
        <v>576</v>
      </c>
      <c r="AL99" s="20">
        <v>0</v>
      </c>
      <c r="AM99" s="20">
        <v>0</v>
      </c>
      <c r="AN99" s="20">
        <v>0</v>
      </c>
      <c r="AO99" s="20">
        <v>0</v>
      </c>
      <c r="AP99" s="20">
        <v>0</v>
      </c>
      <c r="AR99" s="20">
        <v>0</v>
      </c>
      <c r="AS99" s="20">
        <v>0</v>
      </c>
      <c r="AT99" s="20">
        <v>1335355.8600000001</v>
      </c>
      <c r="AU99" s="20" t="s">
        <v>13</v>
      </c>
      <c r="AV99" s="20" t="s">
        <v>62</v>
      </c>
      <c r="AW99" s="111" t="s">
        <v>76</v>
      </c>
      <c r="AX99" s="20" t="s">
        <v>208</v>
      </c>
      <c r="AY99" s="19" t="s">
        <v>209</v>
      </c>
      <c r="AZ99" s="19">
        <v>0</v>
      </c>
      <c r="BA99" s="19">
        <v>96717.52</v>
      </c>
      <c r="BB99" s="19">
        <v>1081</v>
      </c>
      <c r="BC99" s="66">
        <v>46242</v>
      </c>
      <c r="BD99" s="19" t="s">
        <v>65</v>
      </c>
      <c r="BE99" s="19" t="s">
        <v>210</v>
      </c>
      <c r="BF99" s="19" t="s">
        <v>210</v>
      </c>
      <c r="BG99" s="19">
        <v>9</v>
      </c>
      <c r="BH99" s="19">
        <v>8704.58</v>
      </c>
      <c r="BI99" s="19">
        <v>9</v>
      </c>
      <c r="BJ99" s="19">
        <v>8704.58</v>
      </c>
      <c r="BK99" s="19">
        <v>0</v>
      </c>
      <c r="BL99" s="19">
        <v>0</v>
      </c>
      <c r="BM99" s="19">
        <v>0</v>
      </c>
      <c r="BN99" s="19">
        <v>672159548564</v>
      </c>
      <c r="BO99" s="66">
        <v>46242</v>
      </c>
      <c r="BP99" s="19">
        <v>0</v>
      </c>
    </row>
    <row r="100" spans="1:68">
      <c r="A100" s="65"/>
      <c r="B100" s="20" t="s">
        <v>2165</v>
      </c>
      <c r="C100" s="111">
        <v>46273</v>
      </c>
      <c r="D100" s="20" t="s">
        <v>3487</v>
      </c>
      <c r="E100" s="20" t="s">
        <v>3488</v>
      </c>
      <c r="F100" s="20" t="s">
        <v>2760</v>
      </c>
      <c r="H100" s="20" t="s">
        <v>3489</v>
      </c>
      <c r="I100" s="20">
        <v>3198.4</v>
      </c>
      <c r="J100" s="20">
        <v>3198.4</v>
      </c>
      <c r="K100" s="20" t="s">
        <v>11</v>
      </c>
      <c r="L100" s="20">
        <v>3198.4</v>
      </c>
      <c r="M100" s="20">
        <v>0</v>
      </c>
      <c r="N100" s="20">
        <v>3198.4</v>
      </c>
      <c r="O100" s="20" t="s">
        <v>3490</v>
      </c>
      <c r="P100" s="20" t="s">
        <v>103</v>
      </c>
      <c r="Q100" s="20" t="s">
        <v>103</v>
      </c>
      <c r="R100" s="20" t="s">
        <v>2757</v>
      </c>
      <c r="S100" s="111">
        <v>46242</v>
      </c>
      <c r="T100" s="20" t="s">
        <v>206</v>
      </c>
      <c r="U100" s="20" t="s">
        <v>207</v>
      </c>
      <c r="V100" s="20" t="s">
        <v>2756</v>
      </c>
      <c r="W100" s="20">
        <v>163.33000000000001</v>
      </c>
      <c r="X100" s="20">
        <v>163.32999937468699</v>
      </c>
      <c r="Y100" s="20" t="s">
        <v>2757</v>
      </c>
      <c r="Z100" s="111">
        <v>46242</v>
      </c>
      <c r="AB100" s="20" t="s">
        <v>2290</v>
      </c>
      <c r="AD100" s="20" t="s">
        <v>2290</v>
      </c>
      <c r="AE100" s="20" t="s">
        <v>2290</v>
      </c>
      <c r="AF100" s="20">
        <v>0</v>
      </c>
      <c r="AG100" s="20">
        <v>0</v>
      </c>
      <c r="AH100" s="20">
        <v>0</v>
      </c>
      <c r="AI100" s="20">
        <v>0</v>
      </c>
      <c r="AJ100" s="20">
        <v>0</v>
      </c>
      <c r="AK100" s="20" t="s">
        <v>576</v>
      </c>
      <c r="AL100" s="20">
        <v>0</v>
      </c>
      <c r="AM100" s="20">
        <v>0</v>
      </c>
      <c r="AN100" s="20">
        <v>0</v>
      </c>
      <c r="AO100" s="20">
        <v>0</v>
      </c>
      <c r="AP100" s="20">
        <v>0</v>
      </c>
      <c r="AR100" s="20">
        <v>0</v>
      </c>
      <c r="AS100" s="20">
        <v>0</v>
      </c>
      <c r="AT100" s="20">
        <v>522394.67</v>
      </c>
      <c r="AU100" s="20" t="s">
        <v>15</v>
      </c>
      <c r="AV100" s="20" t="s">
        <v>2758</v>
      </c>
      <c r="AW100" s="111" t="s">
        <v>2759</v>
      </c>
      <c r="AX100" s="20" t="s">
        <v>15</v>
      </c>
      <c r="AY100" s="19" t="s">
        <v>209</v>
      </c>
      <c r="AZ100" s="19">
        <v>0</v>
      </c>
      <c r="BA100" s="19">
        <v>522394.67</v>
      </c>
      <c r="BB100" s="19">
        <v>16</v>
      </c>
      <c r="BC100" s="66">
        <v>46273</v>
      </c>
      <c r="BD100" s="19" t="s">
        <v>104</v>
      </c>
      <c r="BE100" s="19" t="s">
        <v>210</v>
      </c>
      <c r="BF100" s="19" t="s">
        <v>210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>
        <v>0</v>
      </c>
      <c r="BM100" s="19">
        <v>522394.67</v>
      </c>
      <c r="BN100" s="19">
        <v>682159832310</v>
      </c>
      <c r="BO100" s="66">
        <v>46242</v>
      </c>
      <c r="BP100" s="19">
        <v>0</v>
      </c>
    </row>
    <row r="101" spans="1:68">
      <c r="A101" s="65"/>
      <c r="B101" s="20" t="s">
        <v>2165</v>
      </c>
      <c r="C101" s="111">
        <v>46273</v>
      </c>
      <c r="D101" s="20" t="s">
        <v>3491</v>
      </c>
      <c r="E101" s="20" t="s">
        <v>20</v>
      </c>
      <c r="F101" s="20" t="s">
        <v>21</v>
      </c>
      <c r="H101" s="20" t="s">
        <v>3492</v>
      </c>
      <c r="I101" s="20">
        <v>752</v>
      </c>
      <c r="J101" s="20">
        <v>752</v>
      </c>
      <c r="K101" s="20" t="s">
        <v>11</v>
      </c>
      <c r="L101" s="20">
        <v>752</v>
      </c>
      <c r="M101" s="20">
        <v>0</v>
      </c>
      <c r="N101" s="20">
        <v>752</v>
      </c>
      <c r="O101" s="20" t="s">
        <v>3493</v>
      </c>
      <c r="P101" s="20" t="s">
        <v>94</v>
      </c>
      <c r="Q101" s="20" t="s">
        <v>94</v>
      </c>
      <c r="R101" s="20" t="s">
        <v>2773</v>
      </c>
      <c r="S101" s="111">
        <v>46242</v>
      </c>
      <c r="T101" s="20" t="s">
        <v>206</v>
      </c>
      <c r="U101" s="20" t="s">
        <v>207</v>
      </c>
      <c r="V101" s="20" t="s">
        <v>2772</v>
      </c>
      <c r="W101" s="20">
        <v>137.58000000000001</v>
      </c>
      <c r="X101" s="20">
        <v>137.58000000000001</v>
      </c>
      <c r="Y101" s="20" t="s">
        <v>2773</v>
      </c>
      <c r="Z101" s="111">
        <v>46242</v>
      </c>
      <c r="AB101" s="20" t="s">
        <v>2290</v>
      </c>
      <c r="AD101" s="20" t="s">
        <v>2290</v>
      </c>
      <c r="AE101" s="20" t="s">
        <v>2290</v>
      </c>
      <c r="AF101" s="20">
        <v>0</v>
      </c>
      <c r="AG101" s="20">
        <v>0</v>
      </c>
      <c r="AH101" s="20">
        <v>0</v>
      </c>
      <c r="AI101" s="20">
        <v>0</v>
      </c>
      <c r="AJ101" s="20">
        <v>0</v>
      </c>
      <c r="AK101" s="20" t="s">
        <v>576</v>
      </c>
      <c r="AL101" s="20">
        <v>0</v>
      </c>
      <c r="AM101" s="20">
        <v>0</v>
      </c>
      <c r="AN101" s="20">
        <v>0</v>
      </c>
      <c r="AO101" s="20">
        <v>0</v>
      </c>
      <c r="AP101" s="20">
        <v>0</v>
      </c>
      <c r="AR101" s="20">
        <v>0</v>
      </c>
      <c r="AS101" s="20">
        <v>0</v>
      </c>
      <c r="AT101" s="20">
        <v>202702.8</v>
      </c>
      <c r="AU101" s="20" t="s">
        <v>13</v>
      </c>
      <c r="AV101" s="20" t="s">
        <v>62</v>
      </c>
      <c r="AW101" s="111" t="s">
        <v>76</v>
      </c>
      <c r="AX101" s="20" t="s">
        <v>208</v>
      </c>
      <c r="AY101" s="19" t="s">
        <v>209</v>
      </c>
      <c r="AZ101" s="19">
        <v>0</v>
      </c>
      <c r="BA101" s="19">
        <v>103460.16</v>
      </c>
      <c r="BB101" s="19">
        <v>1085</v>
      </c>
      <c r="BC101" s="66">
        <v>46273</v>
      </c>
      <c r="BD101" s="19" t="s">
        <v>74</v>
      </c>
      <c r="BE101" s="19" t="s">
        <v>210</v>
      </c>
      <c r="BF101" s="19" t="s">
        <v>210</v>
      </c>
      <c r="BG101" s="19">
        <v>9</v>
      </c>
      <c r="BH101" s="19">
        <v>9311.41</v>
      </c>
      <c r="BI101" s="19">
        <v>9</v>
      </c>
      <c r="BJ101" s="19">
        <v>9311.41</v>
      </c>
      <c r="BK101" s="19">
        <v>0</v>
      </c>
      <c r="BL101" s="19">
        <v>0</v>
      </c>
      <c r="BM101" s="19">
        <v>202702.8</v>
      </c>
      <c r="BN101" s="19">
        <v>602159851982</v>
      </c>
      <c r="BO101" s="66">
        <v>46242</v>
      </c>
      <c r="BP101" s="19">
        <v>0</v>
      </c>
    </row>
    <row r="102" spans="1:68">
      <c r="A102" s="65"/>
      <c r="B102" s="20" t="s">
        <v>2165</v>
      </c>
      <c r="C102" s="111">
        <v>46273</v>
      </c>
      <c r="D102" s="20" t="s">
        <v>3491</v>
      </c>
      <c r="E102" s="20" t="s">
        <v>20</v>
      </c>
      <c r="F102" s="20" t="s">
        <v>21</v>
      </c>
      <c r="H102" s="20" t="s">
        <v>3492</v>
      </c>
      <c r="I102" s="20">
        <v>486</v>
      </c>
      <c r="J102" s="20">
        <v>486</v>
      </c>
      <c r="K102" s="20" t="s">
        <v>11</v>
      </c>
      <c r="L102" s="20">
        <v>486</v>
      </c>
      <c r="M102" s="20">
        <v>0</v>
      </c>
      <c r="N102" s="20">
        <v>486</v>
      </c>
      <c r="O102" s="20" t="s">
        <v>3493</v>
      </c>
      <c r="P102" s="20" t="s">
        <v>94</v>
      </c>
      <c r="Q102" s="20" t="s">
        <v>94</v>
      </c>
      <c r="R102" s="20" t="s">
        <v>2773</v>
      </c>
      <c r="S102" s="111">
        <v>46242</v>
      </c>
      <c r="T102" s="20" t="s">
        <v>206</v>
      </c>
      <c r="U102" s="20" t="s">
        <v>207</v>
      </c>
      <c r="V102" s="20" t="s">
        <v>2772</v>
      </c>
      <c r="W102" s="20">
        <v>140.58000000000001</v>
      </c>
      <c r="X102" s="20">
        <v>140.58000000000001</v>
      </c>
      <c r="Y102" s="20" t="s">
        <v>2773</v>
      </c>
      <c r="Z102" s="111">
        <v>46242</v>
      </c>
      <c r="AB102" s="20" t="s">
        <v>2290</v>
      </c>
      <c r="AD102" s="20" t="s">
        <v>2290</v>
      </c>
      <c r="AE102" s="20" t="s">
        <v>2290</v>
      </c>
      <c r="AF102" s="20">
        <v>0</v>
      </c>
      <c r="AG102" s="20">
        <v>0</v>
      </c>
      <c r="AH102" s="20">
        <v>0</v>
      </c>
      <c r="AI102" s="20">
        <v>0</v>
      </c>
      <c r="AJ102" s="20">
        <v>0</v>
      </c>
      <c r="AK102" s="20" t="s">
        <v>576</v>
      </c>
      <c r="AL102" s="20">
        <v>0</v>
      </c>
      <c r="AM102" s="20">
        <v>0</v>
      </c>
      <c r="AN102" s="20">
        <v>0</v>
      </c>
      <c r="AO102" s="20">
        <v>0</v>
      </c>
      <c r="AP102" s="20">
        <v>0</v>
      </c>
      <c r="AR102" s="20">
        <v>0</v>
      </c>
      <c r="AS102" s="20">
        <v>0</v>
      </c>
      <c r="AT102" s="20">
        <v>202702.8</v>
      </c>
      <c r="AU102" s="20" t="s">
        <v>13</v>
      </c>
      <c r="AV102" s="20" t="s">
        <v>62</v>
      </c>
      <c r="AW102" s="111" t="s">
        <v>76</v>
      </c>
      <c r="AX102" s="20" t="s">
        <v>208</v>
      </c>
      <c r="AY102" s="19" t="s">
        <v>209</v>
      </c>
      <c r="AZ102" s="19">
        <v>0</v>
      </c>
      <c r="BA102" s="19">
        <v>68321.88</v>
      </c>
      <c r="BB102" s="19">
        <v>1085</v>
      </c>
      <c r="BC102" s="66">
        <v>46273</v>
      </c>
      <c r="BD102" s="19" t="s">
        <v>74</v>
      </c>
      <c r="BE102" s="19" t="s">
        <v>210</v>
      </c>
      <c r="BF102" s="19" t="s">
        <v>210</v>
      </c>
      <c r="BG102" s="19">
        <v>9</v>
      </c>
      <c r="BH102" s="19">
        <v>6148.97</v>
      </c>
      <c r="BI102" s="19">
        <v>9</v>
      </c>
      <c r="BJ102" s="19">
        <v>6148.97</v>
      </c>
      <c r="BK102" s="19">
        <v>0</v>
      </c>
      <c r="BL102" s="19">
        <v>0</v>
      </c>
      <c r="BM102" s="19">
        <v>0</v>
      </c>
      <c r="BN102" s="19">
        <v>602159851982</v>
      </c>
      <c r="BO102" s="66">
        <v>46242</v>
      </c>
      <c r="BP102" s="19">
        <v>0</v>
      </c>
    </row>
    <row r="103" spans="1:68">
      <c r="A103" s="65"/>
      <c r="B103" s="20" t="s">
        <v>2165</v>
      </c>
      <c r="C103" s="111">
        <v>46273</v>
      </c>
      <c r="D103" s="20" t="s">
        <v>3494</v>
      </c>
      <c r="E103" s="20" t="s">
        <v>23</v>
      </c>
      <c r="F103" s="20" t="s">
        <v>24</v>
      </c>
      <c r="H103" s="20" t="s">
        <v>3495</v>
      </c>
      <c r="I103" s="20">
        <v>408.8</v>
      </c>
      <c r="J103" s="20">
        <v>408.8</v>
      </c>
      <c r="K103" s="20" t="s">
        <v>11</v>
      </c>
      <c r="L103" s="20">
        <v>408.8</v>
      </c>
      <c r="M103" s="20">
        <v>0</v>
      </c>
      <c r="N103" s="20">
        <v>408.8</v>
      </c>
      <c r="O103" s="20" t="s">
        <v>2310</v>
      </c>
      <c r="P103" s="20" t="s">
        <v>94</v>
      </c>
      <c r="Q103" s="20" t="s">
        <v>94</v>
      </c>
      <c r="R103" s="20" t="s">
        <v>2775</v>
      </c>
      <c r="S103" s="111">
        <v>46273</v>
      </c>
      <c r="T103" s="20" t="s">
        <v>206</v>
      </c>
      <c r="U103" s="20" t="s">
        <v>207</v>
      </c>
      <c r="V103" s="20" t="s">
        <v>2774</v>
      </c>
      <c r="W103" s="20">
        <v>138.38</v>
      </c>
      <c r="X103" s="20">
        <v>138.37999170785201</v>
      </c>
      <c r="Y103" s="20" t="s">
        <v>2775</v>
      </c>
      <c r="Z103" s="111">
        <v>46273</v>
      </c>
      <c r="AB103" s="20" t="s">
        <v>2290</v>
      </c>
      <c r="AD103" s="20" t="s">
        <v>2290</v>
      </c>
      <c r="AE103" s="20" t="s">
        <v>2290</v>
      </c>
      <c r="AF103" s="20">
        <v>0</v>
      </c>
      <c r="AG103" s="20">
        <v>0</v>
      </c>
      <c r="AH103" s="20">
        <v>0</v>
      </c>
      <c r="AI103" s="20">
        <v>0</v>
      </c>
      <c r="AJ103" s="20">
        <v>0</v>
      </c>
      <c r="AK103" s="20" t="s">
        <v>576</v>
      </c>
      <c r="AL103" s="20">
        <v>0</v>
      </c>
      <c r="AM103" s="20">
        <v>0</v>
      </c>
      <c r="AN103" s="20">
        <v>0</v>
      </c>
      <c r="AO103" s="20">
        <v>0</v>
      </c>
      <c r="AP103" s="20">
        <v>0</v>
      </c>
      <c r="AR103" s="20">
        <v>0</v>
      </c>
      <c r="AS103" s="20">
        <v>0</v>
      </c>
      <c r="AT103" s="20">
        <v>66752.3</v>
      </c>
      <c r="AU103" s="20" t="s">
        <v>13</v>
      </c>
      <c r="AV103" s="20" t="s">
        <v>24</v>
      </c>
      <c r="AW103" s="111" t="s">
        <v>79</v>
      </c>
      <c r="AX103" s="20" t="s">
        <v>208</v>
      </c>
      <c r="AY103" s="19" t="s">
        <v>209</v>
      </c>
      <c r="AZ103" s="19">
        <v>0</v>
      </c>
      <c r="BA103" s="19">
        <v>56569.74</v>
      </c>
      <c r="BB103" s="19">
        <v>1084</v>
      </c>
      <c r="BC103" s="66">
        <v>46273</v>
      </c>
      <c r="BD103" s="19" t="s">
        <v>74</v>
      </c>
      <c r="BE103" s="19" t="s">
        <v>210</v>
      </c>
      <c r="BF103" s="19" t="s">
        <v>210</v>
      </c>
      <c r="BG103" s="19">
        <v>9</v>
      </c>
      <c r="BH103" s="19">
        <v>5091.28</v>
      </c>
      <c r="BI103" s="19">
        <v>9</v>
      </c>
      <c r="BJ103" s="19">
        <v>5091.28</v>
      </c>
      <c r="BK103" s="19">
        <v>0</v>
      </c>
      <c r="BL103" s="19">
        <v>0</v>
      </c>
      <c r="BM103" s="19">
        <v>66752.3</v>
      </c>
      <c r="BN103" s="19">
        <v>662160096327</v>
      </c>
      <c r="BO103" s="66">
        <v>46243</v>
      </c>
      <c r="BP103" s="19">
        <v>0</v>
      </c>
    </row>
    <row r="104" spans="1:68">
      <c r="A104" s="65"/>
      <c r="B104" s="20" t="s">
        <v>2165</v>
      </c>
      <c r="C104" s="111">
        <v>46273</v>
      </c>
      <c r="D104" s="20" t="s">
        <v>3496</v>
      </c>
      <c r="E104" s="20" t="s">
        <v>18</v>
      </c>
      <c r="F104" s="20" t="s">
        <v>19</v>
      </c>
      <c r="H104" s="20" t="s">
        <v>3497</v>
      </c>
      <c r="I104" s="20">
        <v>1139</v>
      </c>
      <c r="J104" s="20">
        <v>1139</v>
      </c>
      <c r="K104" s="20" t="s">
        <v>11</v>
      </c>
      <c r="L104" s="20">
        <v>1139</v>
      </c>
      <c r="M104" s="20">
        <v>0</v>
      </c>
      <c r="N104" s="20">
        <v>1139</v>
      </c>
      <c r="O104" s="20" t="s">
        <v>2156</v>
      </c>
      <c r="P104" s="20" t="s">
        <v>87</v>
      </c>
      <c r="Q104" s="20" t="s">
        <v>87</v>
      </c>
      <c r="R104" s="20" t="s">
        <v>2767</v>
      </c>
      <c r="S104" s="111">
        <v>46273</v>
      </c>
      <c r="T104" s="20" t="s">
        <v>206</v>
      </c>
      <c r="U104" s="20" t="s">
        <v>207</v>
      </c>
      <c r="V104" s="20" t="s">
        <v>2766</v>
      </c>
      <c r="W104" s="20">
        <v>144.32</v>
      </c>
      <c r="X104" s="20">
        <v>144.32</v>
      </c>
      <c r="Y104" s="20" t="s">
        <v>2767</v>
      </c>
      <c r="Z104" s="111">
        <v>46273</v>
      </c>
      <c r="AB104" s="20" t="s">
        <v>2290</v>
      </c>
      <c r="AD104" s="20" t="s">
        <v>2290</v>
      </c>
      <c r="AE104" s="20" t="s">
        <v>2290</v>
      </c>
      <c r="AF104" s="20">
        <v>0</v>
      </c>
      <c r="AG104" s="20">
        <v>0</v>
      </c>
      <c r="AH104" s="20">
        <v>0</v>
      </c>
      <c r="AI104" s="20">
        <v>0</v>
      </c>
      <c r="AJ104" s="20">
        <v>0</v>
      </c>
      <c r="AK104" s="20" t="s">
        <v>576</v>
      </c>
      <c r="AL104" s="20">
        <v>0</v>
      </c>
      <c r="AM104" s="20">
        <v>0</v>
      </c>
      <c r="AN104" s="20">
        <v>0</v>
      </c>
      <c r="AO104" s="20">
        <v>0</v>
      </c>
      <c r="AP104" s="20">
        <v>0</v>
      </c>
      <c r="AR104" s="20">
        <v>0</v>
      </c>
      <c r="AS104" s="20">
        <v>0</v>
      </c>
      <c r="AT104" s="20">
        <v>1374852.82</v>
      </c>
      <c r="AU104" s="20" t="s">
        <v>13</v>
      </c>
      <c r="AV104" s="20" t="s">
        <v>62</v>
      </c>
      <c r="AW104" s="111" t="s">
        <v>63</v>
      </c>
      <c r="AX104" s="20" t="s">
        <v>208</v>
      </c>
      <c r="AY104" s="19" t="s">
        <v>209</v>
      </c>
      <c r="AZ104" s="19">
        <v>0</v>
      </c>
      <c r="BA104" s="19">
        <v>164380.48000000001</v>
      </c>
      <c r="BB104" s="19">
        <v>1086</v>
      </c>
      <c r="BC104" s="66">
        <v>46273</v>
      </c>
      <c r="BD104" s="19" t="s">
        <v>65</v>
      </c>
      <c r="BE104" s="19" t="s">
        <v>210</v>
      </c>
      <c r="BF104" s="19" t="s">
        <v>210</v>
      </c>
      <c r="BG104" s="19">
        <v>9</v>
      </c>
      <c r="BH104" s="19">
        <v>14794.24</v>
      </c>
      <c r="BI104" s="19">
        <v>9</v>
      </c>
      <c r="BJ104" s="19">
        <v>14794.24</v>
      </c>
      <c r="BK104" s="19">
        <v>0</v>
      </c>
      <c r="BL104" s="19">
        <v>0</v>
      </c>
      <c r="BM104" s="19">
        <v>1374852.82</v>
      </c>
      <c r="BN104" s="19">
        <v>662160067589</v>
      </c>
      <c r="BO104" s="66">
        <v>46243</v>
      </c>
      <c r="BP104" s="19">
        <v>0</v>
      </c>
    </row>
    <row r="105" spans="1:68">
      <c r="A105" s="65"/>
      <c r="B105" s="20" t="s">
        <v>2165</v>
      </c>
      <c r="C105" s="111">
        <v>46273</v>
      </c>
      <c r="D105" s="20" t="s">
        <v>3496</v>
      </c>
      <c r="E105" s="20" t="s">
        <v>18</v>
      </c>
      <c r="F105" s="20" t="s">
        <v>19</v>
      </c>
      <c r="H105" s="20" t="s">
        <v>3497</v>
      </c>
      <c r="I105" s="20">
        <v>5763</v>
      </c>
      <c r="J105" s="20">
        <v>5763</v>
      </c>
      <c r="K105" s="20" t="s">
        <v>11</v>
      </c>
      <c r="L105" s="20">
        <v>5763</v>
      </c>
      <c r="M105" s="20">
        <v>0</v>
      </c>
      <c r="N105" s="20">
        <v>5763</v>
      </c>
      <c r="O105" s="20" t="s">
        <v>2156</v>
      </c>
      <c r="P105" s="20" t="s">
        <v>87</v>
      </c>
      <c r="Q105" s="20" t="s">
        <v>87</v>
      </c>
      <c r="R105" s="20" t="s">
        <v>2767</v>
      </c>
      <c r="S105" s="111">
        <v>46273</v>
      </c>
      <c r="T105" s="20" t="s">
        <v>206</v>
      </c>
      <c r="U105" s="20" t="s">
        <v>207</v>
      </c>
      <c r="V105" s="20" t="s">
        <v>2766</v>
      </c>
      <c r="W105" s="20">
        <v>142.32</v>
      </c>
      <c r="X105" s="20">
        <v>142.32</v>
      </c>
      <c r="Y105" s="20" t="s">
        <v>2767</v>
      </c>
      <c r="Z105" s="111">
        <v>46273</v>
      </c>
      <c r="AB105" s="20" t="s">
        <v>2290</v>
      </c>
      <c r="AD105" s="20" t="s">
        <v>2290</v>
      </c>
      <c r="AE105" s="20" t="s">
        <v>2290</v>
      </c>
      <c r="AF105" s="20">
        <v>0</v>
      </c>
      <c r="AG105" s="20">
        <v>0</v>
      </c>
      <c r="AH105" s="20">
        <v>0</v>
      </c>
      <c r="AI105" s="20">
        <v>0</v>
      </c>
      <c r="AJ105" s="20">
        <v>0</v>
      </c>
      <c r="AK105" s="20" t="s">
        <v>576</v>
      </c>
      <c r="AL105" s="20">
        <v>0</v>
      </c>
      <c r="AM105" s="20">
        <v>0</v>
      </c>
      <c r="AN105" s="20">
        <v>0</v>
      </c>
      <c r="AO105" s="20">
        <v>0</v>
      </c>
      <c r="AP105" s="20">
        <v>0</v>
      </c>
      <c r="AR105" s="20">
        <v>0</v>
      </c>
      <c r="AS105" s="20">
        <v>0</v>
      </c>
      <c r="AT105" s="20">
        <v>1374852.82</v>
      </c>
      <c r="AU105" s="20" t="s">
        <v>13</v>
      </c>
      <c r="AV105" s="20" t="s">
        <v>62</v>
      </c>
      <c r="AW105" s="111" t="s">
        <v>63</v>
      </c>
      <c r="AX105" s="20" t="s">
        <v>208</v>
      </c>
      <c r="AY105" s="19" t="s">
        <v>209</v>
      </c>
      <c r="AZ105" s="19">
        <v>0</v>
      </c>
      <c r="BA105" s="19">
        <v>820190.16</v>
      </c>
      <c r="BB105" s="19">
        <v>1086</v>
      </c>
      <c r="BC105" s="66">
        <v>46273</v>
      </c>
      <c r="BD105" s="19" t="s">
        <v>65</v>
      </c>
      <c r="BE105" s="19" t="s">
        <v>210</v>
      </c>
      <c r="BF105" s="19" t="s">
        <v>210</v>
      </c>
      <c r="BG105" s="19">
        <v>9</v>
      </c>
      <c r="BH105" s="19">
        <v>73817.11</v>
      </c>
      <c r="BI105" s="19">
        <v>9</v>
      </c>
      <c r="BJ105" s="19">
        <v>73817.11</v>
      </c>
      <c r="BK105" s="19">
        <v>0</v>
      </c>
      <c r="BL105" s="19">
        <v>0</v>
      </c>
      <c r="BM105" s="19">
        <v>0</v>
      </c>
      <c r="BN105" s="19">
        <v>662160067589</v>
      </c>
      <c r="BO105" s="66">
        <v>46243</v>
      </c>
      <c r="BP105" s="19">
        <v>0</v>
      </c>
    </row>
    <row r="106" spans="1:68">
      <c r="A106" s="65"/>
      <c r="B106" s="20" t="s">
        <v>2165</v>
      </c>
      <c r="C106" s="111">
        <v>46273</v>
      </c>
      <c r="D106" s="20" t="s">
        <v>3496</v>
      </c>
      <c r="E106" s="20" t="s">
        <v>20</v>
      </c>
      <c r="F106" s="20" t="s">
        <v>21</v>
      </c>
      <c r="H106" s="20" t="s">
        <v>3497</v>
      </c>
      <c r="I106" s="20">
        <v>1234</v>
      </c>
      <c r="J106" s="20">
        <v>1234</v>
      </c>
      <c r="K106" s="20" t="s">
        <v>11</v>
      </c>
      <c r="L106" s="20">
        <v>1234</v>
      </c>
      <c r="M106" s="20">
        <v>0</v>
      </c>
      <c r="N106" s="20">
        <v>1234</v>
      </c>
      <c r="O106" s="20" t="s">
        <v>2156</v>
      </c>
      <c r="P106" s="20" t="s">
        <v>87</v>
      </c>
      <c r="Q106" s="20" t="s">
        <v>87</v>
      </c>
      <c r="R106" s="20" t="s">
        <v>2767</v>
      </c>
      <c r="S106" s="111">
        <v>46273</v>
      </c>
      <c r="T106" s="20" t="s">
        <v>206</v>
      </c>
      <c r="U106" s="20" t="s">
        <v>207</v>
      </c>
      <c r="V106" s="20" t="s">
        <v>2766</v>
      </c>
      <c r="W106" s="20">
        <v>146.32</v>
      </c>
      <c r="X106" s="20">
        <v>146.32</v>
      </c>
      <c r="Y106" s="20" t="s">
        <v>2767</v>
      </c>
      <c r="Z106" s="111">
        <v>46273</v>
      </c>
      <c r="AB106" s="20" t="s">
        <v>2290</v>
      </c>
      <c r="AD106" s="20" t="s">
        <v>2290</v>
      </c>
      <c r="AE106" s="20" t="s">
        <v>2290</v>
      </c>
      <c r="AF106" s="20">
        <v>0</v>
      </c>
      <c r="AG106" s="20">
        <v>0</v>
      </c>
      <c r="AH106" s="20">
        <v>0</v>
      </c>
      <c r="AI106" s="20">
        <v>0</v>
      </c>
      <c r="AJ106" s="20">
        <v>0</v>
      </c>
      <c r="AK106" s="20" t="s">
        <v>576</v>
      </c>
      <c r="AL106" s="20">
        <v>0</v>
      </c>
      <c r="AM106" s="20">
        <v>0</v>
      </c>
      <c r="AN106" s="20">
        <v>0</v>
      </c>
      <c r="AO106" s="20">
        <v>0</v>
      </c>
      <c r="AP106" s="20">
        <v>0</v>
      </c>
      <c r="AR106" s="20">
        <v>0</v>
      </c>
      <c r="AS106" s="20">
        <v>0</v>
      </c>
      <c r="AT106" s="20">
        <v>1374852.82</v>
      </c>
      <c r="AU106" s="20" t="s">
        <v>13</v>
      </c>
      <c r="AV106" s="20" t="s">
        <v>62</v>
      </c>
      <c r="AW106" s="111" t="s">
        <v>76</v>
      </c>
      <c r="AX106" s="20" t="s">
        <v>208</v>
      </c>
      <c r="AY106" s="19" t="s">
        <v>209</v>
      </c>
      <c r="AZ106" s="19">
        <v>0</v>
      </c>
      <c r="BA106" s="19">
        <v>180558.88</v>
      </c>
      <c r="BB106" s="19">
        <v>1086</v>
      </c>
      <c r="BC106" s="66">
        <v>46273</v>
      </c>
      <c r="BD106" s="19" t="s">
        <v>65</v>
      </c>
      <c r="BE106" s="19" t="s">
        <v>210</v>
      </c>
      <c r="BF106" s="19" t="s">
        <v>210</v>
      </c>
      <c r="BG106" s="19">
        <v>9</v>
      </c>
      <c r="BH106" s="19">
        <v>16250.3</v>
      </c>
      <c r="BI106" s="19">
        <v>9</v>
      </c>
      <c r="BJ106" s="19">
        <v>16250.3</v>
      </c>
      <c r="BK106" s="19">
        <v>0</v>
      </c>
      <c r="BL106" s="19">
        <v>0</v>
      </c>
      <c r="BM106" s="19">
        <v>0</v>
      </c>
      <c r="BN106" s="19">
        <v>662160067589</v>
      </c>
      <c r="BO106" s="66">
        <v>46243</v>
      </c>
      <c r="BP106" s="19">
        <v>0</v>
      </c>
    </row>
    <row r="107" spans="1:68">
      <c r="A107" s="65"/>
      <c r="B107" s="20" t="s">
        <v>2165</v>
      </c>
      <c r="C107" s="111">
        <v>46273</v>
      </c>
      <c r="D107" s="20" t="s">
        <v>3498</v>
      </c>
      <c r="E107" s="20" t="s">
        <v>20</v>
      </c>
      <c r="F107" s="20" t="s">
        <v>21</v>
      </c>
      <c r="H107" s="20" t="s">
        <v>3499</v>
      </c>
      <c r="I107" s="20">
        <v>255</v>
      </c>
      <c r="J107" s="20">
        <v>255</v>
      </c>
      <c r="K107" s="20" t="s">
        <v>11</v>
      </c>
      <c r="L107" s="20">
        <v>255</v>
      </c>
      <c r="M107" s="20">
        <v>0</v>
      </c>
      <c r="N107" s="20">
        <v>255</v>
      </c>
      <c r="O107" s="20" t="s">
        <v>2397</v>
      </c>
      <c r="P107" s="20" t="s">
        <v>87</v>
      </c>
      <c r="Q107" s="20" t="s">
        <v>87</v>
      </c>
      <c r="R107" s="20" t="s">
        <v>2769</v>
      </c>
      <c r="S107" s="111">
        <v>46273</v>
      </c>
      <c r="T107" s="20" t="s">
        <v>206</v>
      </c>
      <c r="U107" s="20" t="s">
        <v>207</v>
      </c>
      <c r="V107" s="20" t="s">
        <v>2768</v>
      </c>
      <c r="W107" s="20">
        <v>151.32</v>
      </c>
      <c r="X107" s="20">
        <v>151.31999869500001</v>
      </c>
      <c r="Y107" s="20" t="s">
        <v>2769</v>
      </c>
      <c r="Z107" s="111">
        <v>46273</v>
      </c>
      <c r="AB107" s="20" t="s">
        <v>2290</v>
      </c>
      <c r="AD107" s="20" t="s">
        <v>2290</v>
      </c>
      <c r="AE107" s="20" t="s">
        <v>2290</v>
      </c>
      <c r="AF107" s="20">
        <v>0</v>
      </c>
      <c r="AG107" s="20">
        <v>0</v>
      </c>
      <c r="AH107" s="20">
        <v>0</v>
      </c>
      <c r="AI107" s="20">
        <v>0</v>
      </c>
      <c r="AJ107" s="20">
        <v>0</v>
      </c>
      <c r="AK107" s="20" t="s">
        <v>576</v>
      </c>
      <c r="AL107" s="20">
        <v>0</v>
      </c>
      <c r="AM107" s="20">
        <v>0</v>
      </c>
      <c r="AN107" s="20">
        <v>0</v>
      </c>
      <c r="AO107" s="20">
        <v>0</v>
      </c>
      <c r="AP107" s="20">
        <v>0</v>
      </c>
      <c r="AR107" s="20">
        <v>0</v>
      </c>
      <c r="AS107" s="20">
        <v>0</v>
      </c>
      <c r="AT107" s="20">
        <v>231908.03</v>
      </c>
      <c r="AU107" s="20" t="s">
        <v>13</v>
      </c>
      <c r="AV107" s="20" t="s">
        <v>62</v>
      </c>
      <c r="AW107" s="111" t="s">
        <v>76</v>
      </c>
      <c r="AX107" s="20" t="s">
        <v>208</v>
      </c>
      <c r="AY107" s="19" t="s">
        <v>209</v>
      </c>
      <c r="AZ107" s="19">
        <v>0</v>
      </c>
      <c r="BA107" s="19">
        <v>38586.6</v>
      </c>
      <c r="BB107" s="19">
        <v>1094</v>
      </c>
      <c r="BC107" s="66">
        <v>46273</v>
      </c>
      <c r="BD107" s="19" t="s">
        <v>65</v>
      </c>
      <c r="BE107" s="19" t="s">
        <v>210</v>
      </c>
      <c r="BF107" s="19" t="s">
        <v>210</v>
      </c>
      <c r="BG107" s="19">
        <v>9</v>
      </c>
      <c r="BH107" s="19">
        <v>3472.79</v>
      </c>
      <c r="BI107" s="19">
        <v>9</v>
      </c>
      <c r="BJ107" s="19">
        <v>3472.79</v>
      </c>
      <c r="BK107" s="19">
        <v>0</v>
      </c>
      <c r="BL107" s="19">
        <v>0</v>
      </c>
      <c r="BM107" s="19">
        <v>231908.03</v>
      </c>
      <c r="BN107" s="19">
        <v>642160159190</v>
      </c>
      <c r="BO107" s="66">
        <v>46243</v>
      </c>
      <c r="BP107" s="19">
        <v>0</v>
      </c>
    </row>
    <row r="108" spans="1:68">
      <c r="A108" s="65"/>
      <c r="B108" s="20" t="s">
        <v>2165</v>
      </c>
      <c r="C108" s="111">
        <v>46273</v>
      </c>
      <c r="D108" s="20" t="s">
        <v>3498</v>
      </c>
      <c r="E108" s="20" t="s">
        <v>23</v>
      </c>
      <c r="F108" s="20" t="s">
        <v>24</v>
      </c>
      <c r="H108" s="20" t="s">
        <v>3499</v>
      </c>
      <c r="I108" s="20">
        <v>147.1</v>
      </c>
      <c r="J108" s="20">
        <v>147.1</v>
      </c>
      <c r="K108" s="20" t="s">
        <v>11</v>
      </c>
      <c r="L108" s="20">
        <v>147.1</v>
      </c>
      <c r="M108" s="20">
        <v>0</v>
      </c>
      <c r="N108" s="20">
        <v>147.1</v>
      </c>
      <c r="O108" s="20" t="s">
        <v>2397</v>
      </c>
      <c r="P108" s="20" t="s">
        <v>87</v>
      </c>
      <c r="Q108" s="20" t="s">
        <v>87</v>
      </c>
      <c r="R108" s="20" t="s">
        <v>2769</v>
      </c>
      <c r="S108" s="111">
        <v>46273</v>
      </c>
      <c r="T108" s="20" t="s">
        <v>206</v>
      </c>
      <c r="U108" s="20" t="s">
        <v>207</v>
      </c>
      <c r="V108" s="20" t="s">
        <v>2768</v>
      </c>
      <c r="W108" s="20">
        <v>147.32</v>
      </c>
      <c r="X108" s="20">
        <v>147.31999872949601</v>
      </c>
      <c r="Y108" s="20" t="s">
        <v>2769</v>
      </c>
      <c r="Z108" s="111">
        <v>46273</v>
      </c>
      <c r="AB108" s="20" t="s">
        <v>2290</v>
      </c>
      <c r="AD108" s="20" t="s">
        <v>2290</v>
      </c>
      <c r="AE108" s="20" t="s">
        <v>2290</v>
      </c>
      <c r="AF108" s="20">
        <v>0</v>
      </c>
      <c r="AG108" s="20">
        <v>0</v>
      </c>
      <c r="AH108" s="20">
        <v>0</v>
      </c>
      <c r="AI108" s="20">
        <v>0</v>
      </c>
      <c r="AJ108" s="20">
        <v>0</v>
      </c>
      <c r="AK108" s="20" t="s">
        <v>576</v>
      </c>
      <c r="AL108" s="20">
        <v>0</v>
      </c>
      <c r="AM108" s="20">
        <v>0</v>
      </c>
      <c r="AN108" s="20">
        <v>0</v>
      </c>
      <c r="AO108" s="20">
        <v>0</v>
      </c>
      <c r="AP108" s="20">
        <v>0</v>
      </c>
      <c r="AR108" s="20">
        <v>0</v>
      </c>
      <c r="AS108" s="20">
        <v>0</v>
      </c>
      <c r="AT108" s="20">
        <v>231908.03</v>
      </c>
      <c r="AU108" s="20" t="s">
        <v>13</v>
      </c>
      <c r="AV108" s="20" t="s">
        <v>24</v>
      </c>
      <c r="AW108" s="111" t="s">
        <v>79</v>
      </c>
      <c r="AX108" s="20" t="s">
        <v>208</v>
      </c>
      <c r="AY108" s="19" t="s">
        <v>209</v>
      </c>
      <c r="AZ108" s="19">
        <v>0</v>
      </c>
      <c r="BA108" s="19">
        <v>21670.77</v>
      </c>
      <c r="BB108" s="19">
        <v>1094</v>
      </c>
      <c r="BC108" s="66">
        <v>46273</v>
      </c>
      <c r="BD108" s="19" t="s">
        <v>65</v>
      </c>
      <c r="BE108" s="19" t="s">
        <v>210</v>
      </c>
      <c r="BF108" s="19" t="s">
        <v>210</v>
      </c>
      <c r="BG108" s="19">
        <v>9</v>
      </c>
      <c r="BH108" s="19">
        <v>1950.37</v>
      </c>
      <c r="BI108" s="19">
        <v>9</v>
      </c>
      <c r="BJ108" s="19">
        <v>1950.37</v>
      </c>
      <c r="BK108" s="19">
        <v>0</v>
      </c>
      <c r="BL108" s="19">
        <v>0</v>
      </c>
      <c r="BM108" s="19">
        <v>0</v>
      </c>
      <c r="BN108" s="19">
        <v>642160159190</v>
      </c>
      <c r="BO108" s="66">
        <v>46243</v>
      </c>
      <c r="BP108" s="19">
        <v>0</v>
      </c>
    </row>
    <row r="109" spans="1:68">
      <c r="A109" s="65"/>
      <c r="B109" s="20" t="s">
        <v>2165</v>
      </c>
      <c r="C109" s="111">
        <v>46273</v>
      </c>
      <c r="D109" s="20" t="s">
        <v>3498</v>
      </c>
      <c r="E109" s="20" t="s">
        <v>2341</v>
      </c>
      <c r="F109" s="20" t="s">
        <v>2076</v>
      </c>
      <c r="H109" s="20" t="s">
        <v>3499</v>
      </c>
      <c r="I109" s="20">
        <v>72</v>
      </c>
      <c r="J109" s="20">
        <v>72</v>
      </c>
      <c r="K109" s="20" t="s">
        <v>11</v>
      </c>
      <c r="L109" s="20">
        <v>72</v>
      </c>
      <c r="M109" s="20">
        <v>0</v>
      </c>
      <c r="N109" s="20">
        <v>72</v>
      </c>
      <c r="O109" s="20" t="s">
        <v>2397</v>
      </c>
      <c r="P109" s="20" t="s">
        <v>87</v>
      </c>
      <c r="Q109" s="20" t="s">
        <v>87</v>
      </c>
      <c r="R109" s="20" t="s">
        <v>2769</v>
      </c>
      <c r="S109" s="111">
        <v>46273</v>
      </c>
      <c r="T109" s="20" t="s">
        <v>206</v>
      </c>
      <c r="U109" s="20" t="s">
        <v>207</v>
      </c>
      <c r="V109" s="20" t="s">
        <v>2768</v>
      </c>
      <c r="W109" s="20">
        <v>152.32</v>
      </c>
      <c r="X109" s="20">
        <v>152.31999868637601</v>
      </c>
      <c r="Y109" s="20" t="s">
        <v>2769</v>
      </c>
      <c r="Z109" s="111">
        <v>46273</v>
      </c>
      <c r="AB109" s="20" t="s">
        <v>2290</v>
      </c>
      <c r="AD109" s="20" t="s">
        <v>2290</v>
      </c>
      <c r="AE109" s="20" t="s">
        <v>2290</v>
      </c>
      <c r="AF109" s="20">
        <v>0</v>
      </c>
      <c r="AG109" s="20">
        <v>0</v>
      </c>
      <c r="AH109" s="20">
        <v>0</v>
      </c>
      <c r="AI109" s="20">
        <v>0</v>
      </c>
      <c r="AJ109" s="20">
        <v>0</v>
      </c>
      <c r="AK109" s="20" t="s">
        <v>576</v>
      </c>
      <c r="AL109" s="20">
        <v>0</v>
      </c>
      <c r="AM109" s="20">
        <v>0</v>
      </c>
      <c r="AN109" s="20">
        <v>0</v>
      </c>
      <c r="AO109" s="20">
        <v>0</v>
      </c>
      <c r="AP109" s="20">
        <v>0</v>
      </c>
      <c r="AR109" s="20">
        <v>0</v>
      </c>
      <c r="AS109" s="20">
        <v>0</v>
      </c>
      <c r="AT109" s="20">
        <v>231908.03</v>
      </c>
      <c r="AU109" s="20" t="s">
        <v>15</v>
      </c>
      <c r="AV109" s="20" t="s">
        <v>2076</v>
      </c>
      <c r="AW109" s="111" t="s">
        <v>2076</v>
      </c>
      <c r="AX109" s="20" t="s">
        <v>208</v>
      </c>
      <c r="AY109" s="19" t="s">
        <v>209</v>
      </c>
      <c r="AZ109" s="19">
        <v>0</v>
      </c>
      <c r="BA109" s="19">
        <v>10967.04</v>
      </c>
      <c r="BB109" s="19">
        <v>1094</v>
      </c>
      <c r="BC109" s="66">
        <v>46273</v>
      </c>
      <c r="BD109" s="19" t="s">
        <v>65</v>
      </c>
      <c r="BE109" s="19" t="s">
        <v>210</v>
      </c>
      <c r="BF109" s="19" t="s">
        <v>210</v>
      </c>
      <c r="BG109" s="19">
        <v>9</v>
      </c>
      <c r="BH109" s="19">
        <v>987.03</v>
      </c>
      <c r="BI109" s="19">
        <v>9</v>
      </c>
      <c r="BJ109" s="19">
        <v>987.03</v>
      </c>
      <c r="BK109" s="19">
        <v>0</v>
      </c>
      <c r="BL109" s="19">
        <v>0</v>
      </c>
      <c r="BM109" s="19">
        <v>0</v>
      </c>
      <c r="BN109" s="19">
        <v>642160159190</v>
      </c>
      <c r="BO109" s="66">
        <v>46243</v>
      </c>
      <c r="BP109" s="19">
        <v>0</v>
      </c>
    </row>
    <row r="110" spans="1:68">
      <c r="A110" s="65"/>
      <c r="B110" s="20" t="s">
        <v>2165</v>
      </c>
      <c r="C110" s="111">
        <v>46273</v>
      </c>
      <c r="D110" s="20" t="s">
        <v>3498</v>
      </c>
      <c r="E110" s="20" t="s">
        <v>2341</v>
      </c>
      <c r="F110" s="20" t="s">
        <v>2076</v>
      </c>
      <c r="H110" s="20" t="s">
        <v>3499</v>
      </c>
      <c r="I110" s="20">
        <v>730</v>
      </c>
      <c r="J110" s="20">
        <v>730</v>
      </c>
      <c r="K110" s="20" t="s">
        <v>11</v>
      </c>
      <c r="L110" s="20">
        <v>730</v>
      </c>
      <c r="M110" s="20">
        <v>0</v>
      </c>
      <c r="N110" s="20">
        <v>730</v>
      </c>
      <c r="O110" s="20" t="s">
        <v>2397</v>
      </c>
      <c r="P110" s="20" t="s">
        <v>87</v>
      </c>
      <c r="Q110" s="20" t="s">
        <v>87</v>
      </c>
      <c r="R110" s="20" t="s">
        <v>2769</v>
      </c>
      <c r="S110" s="111">
        <v>46273</v>
      </c>
      <c r="T110" s="20" t="s">
        <v>206</v>
      </c>
      <c r="U110" s="20" t="s">
        <v>207</v>
      </c>
      <c r="V110" s="20" t="s">
        <v>2768</v>
      </c>
      <c r="W110" s="20">
        <v>154.32</v>
      </c>
      <c r="X110" s="20">
        <v>154.31999866912801</v>
      </c>
      <c r="Y110" s="20" t="s">
        <v>2769</v>
      </c>
      <c r="Z110" s="111">
        <v>46273</v>
      </c>
      <c r="AB110" s="20" t="s">
        <v>2290</v>
      </c>
      <c r="AD110" s="20" t="s">
        <v>2290</v>
      </c>
      <c r="AE110" s="20" t="s">
        <v>2290</v>
      </c>
      <c r="AF110" s="20">
        <v>0</v>
      </c>
      <c r="AG110" s="20">
        <v>0</v>
      </c>
      <c r="AH110" s="20">
        <v>0</v>
      </c>
      <c r="AI110" s="20">
        <v>0</v>
      </c>
      <c r="AJ110" s="20">
        <v>0</v>
      </c>
      <c r="AK110" s="20" t="s">
        <v>576</v>
      </c>
      <c r="AL110" s="20">
        <v>0</v>
      </c>
      <c r="AM110" s="20">
        <v>0</v>
      </c>
      <c r="AN110" s="20">
        <v>0</v>
      </c>
      <c r="AO110" s="20">
        <v>0</v>
      </c>
      <c r="AP110" s="20">
        <v>0</v>
      </c>
      <c r="AR110" s="20">
        <v>0</v>
      </c>
      <c r="AS110" s="20">
        <v>0</v>
      </c>
      <c r="AT110" s="20">
        <v>231908.03</v>
      </c>
      <c r="AU110" s="20" t="s">
        <v>15</v>
      </c>
      <c r="AV110" s="20" t="s">
        <v>2076</v>
      </c>
      <c r="AW110" s="111" t="s">
        <v>2076</v>
      </c>
      <c r="AX110" s="20" t="s">
        <v>208</v>
      </c>
      <c r="AY110" s="19" t="s">
        <v>209</v>
      </c>
      <c r="AZ110" s="19">
        <v>0</v>
      </c>
      <c r="BA110" s="19">
        <v>112653.6</v>
      </c>
      <c r="BB110" s="19">
        <v>1094</v>
      </c>
      <c r="BC110" s="66">
        <v>46273</v>
      </c>
      <c r="BD110" s="19" t="s">
        <v>65</v>
      </c>
      <c r="BE110" s="19" t="s">
        <v>210</v>
      </c>
      <c r="BF110" s="19" t="s">
        <v>210</v>
      </c>
      <c r="BG110" s="19">
        <v>9</v>
      </c>
      <c r="BH110" s="19">
        <v>10138.82</v>
      </c>
      <c r="BI110" s="19">
        <v>9</v>
      </c>
      <c r="BJ110" s="19">
        <v>10138.82</v>
      </c>
      <c r="BK110" s="19">
        <v>0</v>
      </c>
      <c r="BL110" s="19">
        <v>0</v>
      </c>
      <c r="BM110" s="19">
        <v>0</v>
      </c>
      <c r="BN110" s="19">
        <v>642160159190</v>
      </c>
      <c r="BO110" s="66">
        <v>46243</v>
      </c>
      <c r="BP110" s="19">
        <v>0</v>
      </c>
    </row>
    <row r="111" spans="1:68">
      <c r="A111" s="65"/>
      <c r="B111" s="20" t="s">
        <v>2165</v>
      </c>
      <c r="C111" s="111">
        <v>46273</v>
      </c>
      <c r="D111" s="20" t="s">
        <v>3498</v>
      </c>
      <c r="E111" s="20" t="s">
        <v>2341</v>
      </c>
      <c r="F111" s="20" t="s">
        <v>2076</v>
      </c>
      <c r="H111" s="20" t="s">
        <v>3499</v>
      </c>
      <c r="I111" s="20">
        <v>82</v>
      </c>
      <c r="J111" s="20">
        <v>82</v>
      </c>
      <c r="K111" s="20" t="s">
        <v>11</v>
      </c>
      <c r="L111" s="20">
        <v>82</v>
      </c>
      <c r="M111" s="20">
        <v>0</v>
      </c>
      <c r="N111" s="20">
        <v>82</v>
      </c>
      <c r="O111" s="20" t="s">
        <v>2397</v>
      </c>
      <c r="P111" s="20" t="s">
        <v>87</v>
      </c>
      <c r="Q111" s="20" t="s">
        <v>87</v>
      </c>
      <c r="R111" s="20" t="s">
        <v>2769</v>
      </c>
      <c r="S111" s="111">
        <v>46273</v>
      </c>
      <c r="T111" s="20" t="s">
        <v>206</v>
      </c>
      <c r="U111" s="20" t="s">
        <v>207</v>
      </c>
      <c r="V111" s="20" t="s">
        <v>2768</v>
      </c>
      <c r="W111" s="20">
        <v>154.32</v>
      </c>
      <c r="X111" s="20">
        <v>154.31999866912801</v>
      </c>
      <c r="Y111" s="20" t="s">
        <v>2769</v>
      </c>
      <c r="Z111" s="111">
        <v>46273</v>
      </c>
      <c r="AB111" s="20" t="s">
        <v>2290</v>
      </c>
      <c r="AD111" s="20" t="s">
        <v>2290</v>
      </c>
      <c r="AE111" s="20" t="s">
        <v>2290</v>
      </c>
      <c r="AF111" s="20">
        <v>0</v>
      </c>
      <c r="AG111" s="20">
        <v>0</v>
      </c>
      <c r="AH111" s="20">
        <v>0</v>
      </c>
      <c r="AI111" s="20">
        <v>0</v>
      </c>
      <c r="AJ111" s="20">
        <v>0</v>
      </c>
      <c r="AK111" s="20" t="s">
        <v>576</v>
      </c>
      <c r="AL111" s="20">
        <v>0</v>
      </c>
      <c r="AM111" s="20">
        <v>0</v>
      </c>
      <c r="AN111" s="20">
        <v>0</v>
      </c>
      <c r="AO111" s="20">
        <v>0</v>
      </c>
      <c r="AP111" s="20">
        <v>0</v>
      </c>
      <c r="AR111" s="20">
        <v>0</v>
      </c>
      <c r="AS111" s="20">
        <v>0</v>
      </c>
      <c r="AT111" s="20">
        <v>231908.03</v>
      </c>
      <c r="AU111" s="20" t="s">
        <v>15</v>
      </c>
      <c r="AV111" s="20" t="s">
        <v>2076</v>
      </c>
      <c r="AW111" s="111" t="s">
        <v>2076</v>
      </c>
      <c r="AX111" s="20" t="s">
        <v>208</v>
      </c>
      <c r="AY111" s="19" t="s">
        <v>209</v>
      </c>
      <c r="AZ111" s="19">
        <v>0</v>
      </c>
      <c r="BA111" s="19">
        <v>12654.24</v>
      </c>
      <c r="BB111" s="19">
        <v>1094</v>
      </c>
      <c r="BC111" s="66">
        <v>46273</v>
      </c>
      <c r="BD111" s="19" t="s">
        <v>65</v>
      </c>
      <c r="BE111" s="19" t="s">
        <v>210</v>
      </c>
      <c r="BF111" s="19" t="s">
        <v>210</v>
      </c>
      <c r="BG111" s="19">
        <v>9</v>
      </c>
      <c r="BH111" s="19">
        <v>1138.8800000000001</v>
      </c>
      <c r="BI111" s="19">
        <v>9</v>
      </c>
      <c r="BJ111" s="19">
        <v>1138.8800000000001</v>
      </c>
      <c r="BK111" s="19">
        <v>0</v>
      </c>
      <c r="BL111" s="19">
        <v>0</v>
      </c>
      <c r="BM111" s="19">
        <v>0</v>
      </c>
      <c r="BN111" s="19">
        <v>642160159190</v>
      </c>
      <c r="BO111" s="66">
        <v>46243</v>
      </c>
      <c r="BP111" s="19">
        <v>0</v>
      </c>
    </row>
    <row r="112" spans="1:68">
      <c r="A112" s="65"/>
      <c r="B112" s="20" t="s">
        <v>2165</v>
      </c>
      <c r="C112" s="111">
        <v>46273</v>
      </c>
      <c r="D112" s="20" t="s">
        <v>3500</v>
      </c>
      <c r="E112" s="20" t="s">
        <v>18</v>
      </c>
      <c r="F112" s="20" t="s">
        <v>19</v>
      </c>
      <c r="H112" s="20" t="s">
        <v>3501</v>
      </c>
      <c r="I112" s="20">
        <v>479</v>
      </c>
      <c r="J112" s="20">
        <v>479</v>
      </c>
      <c r="K112" s="20" t="s">
        <v>11</v>
      </c>
      <c r="L112" s="20">
        <v>479</v>
      </c>
      <c r="M112" s="20">
        <v>0</v>
      </c>
      <c r="N112" s="20">
        <v>479</v>
      </c>
      <c r="O112" s="20" t="s">
        <v>2154</v>
      </c>
      <c r="P112" s="20" t="s">
        <v>87</v>
      </c>
      <c r="Q112" s="20" t="s">
        <v>87</v>
      </c>
      <c r="R112" s="20" t="s">
        <v>2771</v>
      </c>
      <c r="S112" s="111">
        <v>46273</v>
      </c>
      <c r="T112" s="20" t="s">
        <v>206</v>
      </c>
      <c r="U112" s="20" t="s">
        <v>207</v>
      </c>
      <c r="V112" s="20" t="s">
        <v>2770</v>
      </c>
      <c r="W112" s="20">
        <v>144.32</v>
      </c>
      <c r="X112" s="20">
        <v>144.319999821154</v>
      </c>
      <c r="Y112" s="20" t="s">
        <v>2771</v>
      </c>
      <c r="Z112" s="111">
        <v>46273</v>
      </c>
      <c r="AB112" s="20" t="s">
        <v>2290</v>
      </c>
      <c r="AD112" s="20" t="s">
        <v>2290</v>
      </c>
      <c r="AE112" s="20" t="s">
        <v>2290</v>
      </c>
      <c r="AF112" s="20">
        <v>0</v>
      </c>
      <c r="AG112" s="20">
        <v>0</v>
      </c>
      <c r="AH112" s="20">
        <v>0</v>
      </c>
      <c r="AI112" s="20">
        <v>0</v>
      </c>
      <c r="AJ112" s="20">
        <v>0</v>
      </c>
      <c r="AK112" s="20" t="s">
        <v>576</v>
      </c>
      <c r="AL112" s="20">
        <v>0</v>
      </c>
      <c r="AM112" s="20">
        <v>0</v>
      </c>
      <c r="AN112" s="20">
        <v>0</v>
      </c>
      <c r="AO112" s="20">
        <v>0</v>
      </c>
      <c r="AP112" s="20">
        <v>0</v>
      </c>
      <c r="AR112" s="20">
        <v>0</v>
      </c>
      <c r="AS112" s="20">
        <v>0</v>
      </c>
      <c r="AT112" s="20">
        <v>1613902.04</v>
      </c>
      <c r="AU112" s="20" t="s">
        <v>13</v>
      </c>
      <c r="AV112" s="20" t="s">
        <v>62</v>
      </c>
      <c r="AW112" s="111" t="s">
        <v>63</v>
      </c>
      <c r="AX112" s="20" t="s">
        <v>208</v>
      </c>
      <c r="AY112" s="19" t="s">
        <v>209</v>
      </c>
      <c r="AZ112" s="19">
        <v>0</v>
      </c>
      <c r="BA112" s="19">
        <v>69129.279999999999</v>
      </c>
      <c r="BB112" s="19">
        <v>1088</v>
      </c>
      <c r="BC112" s="66">
        <v>46273</v>
      </c>
      <c r="BD112" s="19" t="s">
        <v>65</v>
      </c>
      <c r="BE112" s="19" t="s">
        <v>210</v>
      </c>
      <c r="BF112" s="19" t="s">
        <v>210</v>
      </c>
      <c r="BG112" s="19">
        <v>9</v>
      </c>
      <c r="BH112" s="19">
        <v>6221.64</v>
      </c>
      <c r="BI112" s="19">
        <v>9</v>
      </c>
      <c r="BJ112" s="19">
        <v>6221.64</v>
      </c>
      <c r="BK112" s="19">
        <v>0</v>
      </c>
      <c r="BL112" s="19">
        <v>0</v>
      </c>
      <c r="BM112" s="19">
        <v>1613902.04</v>
      </c>
      <c r="BN112" s="19">
        <v>692160097527</v>
      </c>
      <c r="BO112" s="66">
        <v>46243</v>
      </c>
      <c r="BP112" s="19">
        <v>0</v>
      </c>
    </row>
    <row r="113" spans="1:68">
      <c r="A113" s="65"/>
      <c r="B113" s="20" t="s">
        <v>2165</v>
      </c>
      <c r="C113" s="111">
        <v>46273</v>
      </c>
      <c r="D113" s="20" t="s">
        <v>3500</v>
      </c>
      <c r="E113" s="20" t="s">
        <v>18</v>
      </c>
      <c r="F113" s="20" t="s">
        <v>19</v>
      </c>
      <c r="H113" s="20" t="s">
        <v>3501</v>
      </c>
      <c r="I113" s="20">
        <v>3729</v>
      </c>
      <c r="J113" s="20">
        <v>3729</v>
      </c>
      <c r="K113" s="20" t="s">
        <v>11</v>
      </c>
      <c r="L113" s="20">
        <v>3729</v>
      </c>
      <c r="M113" s="20">
        <v>0</v>
      </c>
      <c r="N113" s="20">
        <v>3729</v>
      </c>
      <c r="O113" s="20" t="s">
        <v>2154</v>
      </c>
      <c r="P113" s="20" t="s">
        <v>87</v>
      </c>
      <c r="Q113" s="20" t="s">
        <v>87</v>
      </c>
      <c r="R113" s="20" t="s">
        <v>2771</v>
      </c>
      <c r="S113" s="111">
        <v>46273</v>
      </c>
      <c r="T113" s="20" t="s">
        <v>206</v>
      </c>
      <c r="U113" s="20" t="s">
        <v>207</v>
      </c>
      <c r="V113" s="20" t="s">
        <v>2770</v>
      </c>
      <c r="W113" s="20">
        <v>142.32</v>
      </c>
      <c r="X113" s="20">
        <v>142.319999823632</v>
      </c>
      <c r="Y113" s="20" t="s">
        <v>2771</v>
      </c>
      <c r="Z113" s="111">
        <v>46273</v>
      </c>
      <c r="AB113" s="20" t="s">
        <v>2290</v>
      </c>
      <c r="AD113" s="20" t="s">
        <v>2290</v>
      </c>
      <c r="AE113" s="20" t="s">
        <v>2290</v>
      </c>
      <c r="AF113" s="20">
        <v>0</v>
      </c>
      <c r="AG113" s="20">
        <v>0</v>
      </c>
      <c r="AH113" s="20">
        <v>0</v>
      </c>
      <c r="AI113" s="20">
        <v>0</v>
      </c>
      <c r="AJ113" s="20">
        <v>0</v>
      </c>
      <c r="AK113" s="20" t="s">
        <v>576</v>
      </c>
      <c r="AL113" s="20">
        <v>0</v>
      </c>
      <c r="AM113" s="20">
        <v>0</v>
      </c>
      <c r="AN113" s="20">
        <v>0</v>
      </c>
      <c r="AO113" s="20">
        <v>0</v>
      </c>
      <c r="AP113" s="20">
        <v>0</v>
      </c>
      <c r="AR113" s="20">
        <v>0</v>
      </c>
      <c r="AS113" s="20">
        <v>0</v>
      </c>
      <c r="AT113" s="20">
        <v>1613902.04</v>
      </c>
      <c r="AU113" s="20" t="s">
        <v>13</v>
      </c>
      <c r="AV113" s="20" t="s">
        <v>62</v>
      </c>
      <c r="AW113" s="111" t="s">
        <v>63</v>
      </c>
      <c r="AX113" s="20" t="s">
        <v>208</v>
      </c>
      <c r="AY113" s="19" t="s">
        <v>209</v>
      </c>
      <c r="AZ113" s="19">
        <v>0</v>
      </c>
      <c r="BA113" s="19">
        <v>530711.28</v>
      </c>
      <c r="BB113" s="19">
        <v>1088</v>
      </c>
      <c r="BC113" s="66">
        <v>46273</v>
      </c>
      <c r="BD113" s="19" t="s">
        <v>65</v>
      </c>
      <c r="BE113" s="19" t="s">
        <v>210</v>
      </c>
      <c r="BF113" s="19" t="s">
        <v>210</v>
      </c>
      <c r="BG113" s="19">
        <v>9</v>
      </c>
      <c r="BH113" s="19">
        <v>47764.02</v>
      </c>
      <c r="BI113" s="19">
        <v>9</v>
      </c>
      <c r="BJ113" s="19">
        <v>47764.02</v>
      </c>
      <c r="BK113" s="19">
        <v>0</v>
      </c>
      <c r="BL113" s="19">
        <v>0</v>
      </c>
      <c r="BM113" s="19">
        <v>0</v>
      </c>
      <c r="BN113" s="19">
        <v>692160097527</v>
      </c>
      <c r="BO113" s="66">
        <v>46243</v>
      </c>
      <c r="BP113" s="19">
        <v>0</v>
      </c>
    </row>
    <row r="114" spans="1:68">
      <c r="A114" s="65"/>
      <c r="B114" s="20" t="s">
        <v>2165</v>
      </c>
      <c r="C114" s="111">
        <v>46273</v>
      </c>
      <c r="D114" s="20" t="s">
        <v>3500</v>
      </c>
      <c r="E114" s="20" t="s">
        <v>160</v>
      </c>
      <c r="F114" s="20" t="s">
        <v>17</v>
      </c>
      <c r="H114" s="20" t="s">
        <v>3501</v>
      </c>
      <c r="I114" s="20">
        <v>1625.7</v>
      </c>
      <c r="J114" s="20">
        <v>1625.7</v>
      </c>
      <c r="K114" s="20" t="s">
        <v>11</v>
      </c>
      <c r="L114" s="20">
        <v>1625.7</v>
      </c>
      <c r="M114" s="20">
        <v>0</v>
      </c>
      <c r="N114" s="20">
        <v>1625.7</v>
      </c>
      <c r="O114" s="20" t="s">
        <v>2154</v>
      </c>
      <c r="P114" s="20" t="s">
        <v>87</v>
      </c>
      <c r="Q114" s="20" t="s">
        <v>87</v>
      </c>
      <c r="R114" s="20" t="s">
        <v>2771</v>
      </c>
      <c r="S114" s="111">
        <v>46273</v>
      </c>
      <c r="T114" s="20" t="s">
        <v>206</v>
      </c>
      <c r="U114" s="20" t="s">
        <v>207</v>
      </c>
      <c r="V114" s="20" t="s">
        <v>2770</v>
      </c>
      <c r="W114" s="20">
        <v>176.86</v>
      </c>
      <c r="X114" s="20">
        <v>176.85999978082901</v>
      </c>
      <c r="Y114" s="20" t="s">
        <v>2771</v>
      </c>
      <c r="Z114" s="111">
        <v>46273</v>
      </c>
      <c r="AB114" s="20" t="s">
        <v>2290</v>
      </c>
      <c r="AD114" s="20" t="s">
        <v>2290</v>
      </c>
      <c r="AE114" s="20" t="s">
        <v>2290</v>
      </c>
      <c r="AF114" s="20">
        <v>0</v>
      </c>
      <c r="AG114" s="20">
        <v>0</v>
      </c>
      <c r="AH114" s="20">
        <v>0</v>
      </c>
      <c r="AI114" s="20">
        <v>0</v>
      </c>
      <c r="AJ114" s="20">
        <v>0</v>
      </c>
      <c r="AK114" s="20" t="s">
        <v>576</v>
      </c>
      <c r="AL114" s="20">
        <v>0</v>
      </c>
      <c r="AM114" s="20">
        <v>0</v>
      </c>
      <c r="AN114" s="20">
        <v>0</v>
      </c>
      <c r="AO114" s="20">
        <v>0</v>
      </c>
      <c r="AP114" s="20">
        <v>0</v>
      </c>
      <c r="AR114" s="20">
        <v>0</v>
      </c>
      <c r="AS114" s="20">
        <v>0</v>
      </c>
      <c r="AT114" s="20">
        <v>1613902.04</v>
      </c>
      <c r="AU114" s="20" t="s">
        <v>13</v>
      </c>
      <c r="AV114" s="20" t="s">
        <v>80</v>
      </c>
      <c r="AW114" s="111" t="s">
        <v>81</v>
      </c>
      <c r="AX114" s="20" t="s">
        <v>208</v>
      </c>
      <c r="AY114" s="19" t="s">
        <v>209</v>
      </c>
      <c r="AZ114" s="19">
        <v>0</v>
      </c>
      <c r="BA114" s="19">
        <v>287521.3</v>
      </c>
      <c r="BB114" s="19">
        <v>1088</v>
      </c>
      <c r="BC114" s="66">
        <v>46273</v>
      </c>
      <c r="BD114" s="19" t="s">
        <v>65</v>
      </c>
      <c r="BE114" s="19" t="s">
        <v>210</v>
      </c>
      <c r="BF114" s="19" t="s">
        <v>210</v>
      </c>
      <c r="BG114" s="19">
        <v>9</v>
      </c>
      <c r="BH114" s="19">
        <v>25876.92</v>
      </c>
      <c r="BI114" s="19">
        <v>9</v>
      </c>
      <c r="BJ114" s="19">
        <v>25876.92</v>
      </c>
      <c r="BK114" s="19">
        <v>0</v>
      </c>
      <c r="BL114" s="19">
        <v>0</v>
      </c>
      <c r="BM114" s="19">
        <v>0</v>
      </c>
      <c r="BN114" s="19">
        <v>692160097527</v>
      </c>
      <c r="BO114" s="66">
        <v>46243</v>
      </c>
      <c r="BP114" s="19">
        <v>0</v>
      </c>
    </row>
    <row r="115" spans="1:68">
      <c r="A115" s="65"/>
      <c r="B115" s="20" t="s">
        <v>2165</v>
      </c>
      <c r="C115" s="111">
        <v>46273</v>
      </c>
      <c r="D115" s="20" t="s">
        <v>3500</v>
      </c>
      <c r="E115" s="20" t="s">
        <v>160</v>
      </c>
      <c r="F115" s="20" t="s">
        <v>17</v>
      </c>
      <c r="H115" s="20" t="s">
        <v>3501</v>
      </c>
      <c r="I115" s="20">
        <v>508</v>
      </c>
      <c r="J115" s="20">
        <v>508</v>
      </c>
      <c r="K115" s="20" t="s">
        <v>11</v>
      </c>
      <c r="L115" s="20">
        <v>508</v>
      </c>
      <c r="M115" s="20">
        <v>0</v>
      </c>
      <c r="N115" s="20">
        <v>508</v>
      </c>
      <c r="O115" s="20" t="s">
        <v>2154</v>
      </c>
      <c r="P115" s="20" t="s">
        <v>87</v>
      </c>
      <c r="Q115" s="20" t="s">
        <v>87</v>
      </c>
      <c r="R115" s="20" t="s">
        <v>2771</v>
      </c>
      <c r="S115" s="111">
        <v>46273</v>
      </c>
      <c r="T115" s="20" t="s">
        <v>206</v>
      </c>
      <c r="U115" s="20" t="s">
        <v>207</v>
      </c>
      <c r="V115" s="20" t="s">
        <v>2770</v>
      </c>
      <c r="W115" s="20">
        <v>184.86</v>
      </c>
      <c r="X115" s="20">
        <v>184.85999977091501</v>
      </c>
      <c r="Y115" s="20" t="s">
        <v>2771</v>
      </c>
      <c r="Z115" s="111">
        <v>46273</v>
      </c>
      <c r="AB115" s="20" t="s">
        <v>2290</v>
      </c>
      <c r="AD115" s="20" t="s">
        <v>2290</v>
      </c>
      <c r="AE115" s="20" t="s">
        <v>2290</v>
      </c>
      <c r="AF115" s="20">
        <v>0</v>
      </c>
      <c r="AG115" s="20">
        <v>0</v>
      </c>
      <c r="AH115" s="20">
        <v>0</v>
      </c>
      <c r="AI115" s="20">
        <v>0</v>
      </c>
      <c r="AJ115" s="20">
        <v>0</v>
      </c>
      <c r="AK115" s="20" t="s">
        <v>576</v>
      </c>
      <c r="AL115" s="20">
        <v>0</v>
      </c>
      <c r="AM115" s="20">
        <v>0</v>
      </c>
      <c r="AN115" s="20">
        <v>0</v>
      </c>
      <c r="AO115" s="20">
        <v>0</v>
      </c>
      <c r="AP115" s="20">
        <v>0</v>
      </c>
      <c r="AR115" s="20">
        <v>0</v>
      </c>
      <c r="AS115" s="20">
        <v>0</v>
      </c>
      <c r="AT115" s="20">
        <v>1613902.04</v>
      </c>
      <c r="AU115" s="20" t="s">
        <v>13</v>
      </c>
      <c r="AV115" s="20" t="s">
        <v>80</v>
      </c>
      <c r="AW115" s="111" t="s">
        <v>81</v>
      </c>
      <c r="AX115" s="20" t="s">
        <v>208</v>
      </c>
      <c r="AY115" s="19" t="s">
        <v>209</v>
      </c>
      <c r="AZ115" s="19">
        <v>0</v>
      </c>
      <c r="BA115" s="19">
        <v>93908.88</v>
      </c>
      <c r="BB115" s="19">
        <v>1088</v>
      </c>
      <c r="BC115" s="66">
        <v>46273</v>
      </c>
      <c r="BD115" s="19" t="s">
        <v>65</v>
      </c>
      <c r="BE115" s="19" t="s">
        <v>210</v>
      </c>
      <c r="BF115" s="19" t="s">
        <v>210</v>
      </c>
      <c r="BG115" s="19">
        <v>9</v>
      </c>
      <c r="BH115" s="19">
        <v>8451.7999999999993</v>
      </c>
      <c r="BI115" s="19">
        <v>9</v>
      </c>
      <c r="BJ115" s="19">
        <v>8451.7999999999993</v>
      </c>
      <c r="BK115" s="19">
        <v>0</v>
      </c>
      <c r="BL115" s="19">
        <v>0</v>
      </c>
      <c r="BM115" s="19">
        <v>0</v>
      </c>
      <c r="BN115" s="19">
        <v>692160097527</v>
      </c>
      <c r="BO115" s="66">
        <v>46243</v>
      </c>
      <c r="BP115" s="19">
        <v>0</v>
      </c>
    </row>
    <row r="116" spans="1:68">
      <c r="A116" s="65"/>
      <c r="B116" s="20" t="s">
        <v>2165</v>
      </c>
      <c r="C116" s="111">
        <v>46273</v>
      </c>
      <c r="D116" s="20" t="s">
        <v>3500</v>
      </c>
      <c r="E116" s="20" t="s">
        <v>160</v>
      </c>
      <c r="F116" s="20" t="s">
        <v>17</v>
      </c>
      <c r="H116" s="20" t="s">
        <v>3501</v>
      </c>
      <c r="I116" s="20">
        <v>78</v>
      </c>
      <c r="J116" s="20">
        <v>78</v>
      </c>
      <c r="K116" s="20" t="s">
        <v>11</v>
      </c>
      <c r="L116" s="20">
        <v>78</v>
      </c>
      <c r="M116" s="20">
        <v>0</v>
      </c>
      <c r="N116" s="20">
        <v>78</v>
      </c>
      <c r="O116" s="20" t="s">
        <v>2154</v>
      </c>
      <c r="P116" s="20" t="s">
        <v>87</v>
      </c>
      <c r="Q116" s="20" t="s">
        <v>87</v>
      </c>
      <c r="R116" s="20" t="s">
        <v>2771</v>
      </c>
      <c r="S116" s="111">
        <v>46273</v>
      </c>
      <c r="T116" s="20" t="s">
        <v>206</v>
      </c>
      <c r="U116" s="20" t="s">
        <v>207</v>
      </c>
      <c r="V116" s="20" t="s">
        <v>2770</v>
      </c>
      <c r="W116" s="20">
        <v>180.86</v>
      </c>
      <c r="X116" s="20">
        <v>180.85999977587201</v>
      </c>
      <c r="Y116" s="20" t="s">
        <v>2771</v>
      </c>
      <c r="Z116" s="111">
        <v>46273</v>
      </c>
      <c r="AB116" s="20" t="s">
        <v>2290</v>
      </c>
      <c r="AD116" s="20" t="s">
        <v>2290</v>
      </c>
      <c r="AE116" s="20" t="s">
        <v>2290</v>
      </c>
      <c r="AF116" s="20">
        <v>0</v>
      </c>
      <c r="AG116" s="20">
        <v>0</v>
      </c>
      <c r="AH116" s="20">
        <v>0</v>
      </c>
      <c r="AI116" s="20">
        <v>0</v>
      </c>
      <c r="AJ116" s="20">
        <v>0</v>
      </c>
      <c r="AK116" s="20" t="s">
        <v>576</v>
      </c>
      <c r="AL116" s="20">
        <v>0</v>
      </c>
      <c r="AM116" s="20">
        <v>0</v>
      </c>
      <c r="AN116" s="20">
        <v>0</v>
      </c>
      <c r="AO116" s="20">
        <v>0</v>
      </c>
      <c r="AP116" s="20">
        <v>0</v>
      </c>
      <c r="AR116" s="20">
        <v>0</v>
      </c>
      <c r="AS116" s="20">
        <v>0</v>
      </c>
      <c r="AT116" s="20">
        <v>1613902.04</v>
      </c>
      <c r="AU116" s="20" t="s">
        <v>13</v>
      </c>
      <c r="AV116" s="20" t="s">
        <v>80</v>
      </c>
      <c r="AW116" s="111" t="s">
        <v>81</v>
      </c>
      <c r="AX116" s="20" t="s">
        <v>208</v>
      </c>
      <c r="AY116" s="19" t="s">
        <v>209</v>
      </c>
      <c r="AZ116" s="19">
        <v>0</v>
      </c>
      <c r="BA116" s="19">
        <v>14107.08</v>
      </c>
      <c r="BB116" s="19">
        <v>1088</v>
      </c>
      <c r="BC116" s="66">
        <v>46273</v>
      </c>
      <c r="BD116" s="19" t="s">
        <v>65</v>
      </c>
      <c r="BE116" s="19" t="s">
        <v>210</v>
      </c>
      <c r="BF116" s="19" t="s">
        <v>210</v>
      </c>
      <c r="BG116" s="19">
        <v>9</v>
      </c>
      <c r="BH116" s="19">
        <v>1269.6400000000001</v>
      </c>
      <c r="BI116" s="19">
        <v>9</v>
      </c>
      <c r="BJ116" s="19">
        <v>1269.6400000000001</v>
      </c>
      <c r="BK116" s="19">
        <v>0</v>
      </c>
      <c r="BL116" s="19">
        <v>0</v>
      </c>
      <c r="BM116" s="19">
        <v>0</v>
      </c>
      <c r="BN116" s="19">
        <v>692160097527</v>
      </c>
      <c r="BO116" s="66">
        <v>46243</v>
      </c>
      <c r="BP116" s="19">
        <v>0</v>
      </c>
    </row>
    <row r="117" spans="1:68">
      <c r="A117" s="65"/>
      <c r="B117" s="20" t="s">
        <v>2165</v>
      </c>
      <c r="C117" s="111">
        <v>46273</v>
      </c>
      <c r="D117" s="20" t="s">
        <v>3500</v>
      </c>
      <c r="E117" s="20" t="s">
        <v>23</v>
      </c>
      <c r="F117" s="20" t="s">
        <v>24</v>
      </c>
      <c r="H117" s="20" t="s">
        <v>3501</v>
      </c>
      <c r="I117" s="20">
        <v>1162.9000000000001</v>
      </c>
      <c r="J117" s="20">
        <v>1162.9000000000001</v>
      </c>
      <c r="K117" s="20" t="s">
        <v>11</v>
      </c>
      <c r="L117" s="20">
        <v>1162.9000000000001</v>
      </c>
      <c r="M117" s="20">
        <v>0</v>
      </c>
      <c r="N117" s="20">
        <v>1162.9000000000001</v>
      </c>
      <c r="O117" s="20" t="s">
        <v>2154</v>
      </c>
      <c r="P117" s="20" t="s">
        <v>87</v>
      </c>
      <c r="Q117" s="20" t="s">
        <v>87</v>
      </c>
      <c r="R117" s="20" t="s">
        <v>2771</v>
      </c>
      <c r="S117" s="111">
        <v>46273</v>
      </c>
      <c r="T117" s="20" t="s">
        <v>206</v>
      </c>
      <c r="U117" s="20" t="s">
        <v>207</v>
      </c>
      <c r="V117" s="20" t="s">
        <v>2770</v>
      </c>
      <c r="W117" s="20">
        <v>147.32</v>
      </c>
      <c r="X117" s="20">
        <v>147.31999981743601</v>
      </c>
      <c r="Y117" s="20" t="s">
        <v>2771</v>
      </c>
      <c r="Z117" s="111">
        <v>46273</v>
      </c>
      <c r="AB117" s="20" t="s">
        <v>2290</v>
      </c>
      <c r="AD117" s="20" t="s">
        <v>2290</v>
      </c>
      <c r="AE117" s="20" t="s">
        <v>2290</v>
      </c>
      <c r="AF117" s="20">
        <v>0</v>
      </c>
      <c r="AG117" s="20">
        <v>0</v>
      </c>
      <c r="AH117" s="20">
        <v>0</v>
      </c>
      <c r="AI117" s="20">
        <v>0</v>
      </c>
      <c r="AJ117" s="20">
        <v>0</v>
      </c>
      <c r="AK117" s="20" t="s">
        <v>576</v>
      </c>
      <c r="AL117" s="20">
        <v>0</v>
      </c>
      <c r="AM117" s="20">
        <v>0</v>
      </c>
      <c r="AN117" s="20">
        <v>0</v>
      </c>
      <c r="AO117" s="20">
        <v>0</v>
      </c>
      <c r="AP117" s="20">
        <v>0</v>
      </c>
      <c r="AR117" s="20">
        <v>0</v>
      </c>
      <c r="AS117" s="20">
        <v>0</v>
      </c>
      <c r="AT117" s="20">
        <v>1613902.04</v>
      </c>
      <c r="AU117" s="20" t="s">
        <v>13</v>
      </c>
      <c r="AV117" s="20" t="s">
        <v>24</v>
      </c>
      <c r="AW117" s="111" t="s">
        <v>79</v>
      </c>
      <c r="AX117" s="20" t="s">
        <v>208</v>
      </c>
      <c r="AY117" s="19" t="s">
        <v>209</v>
      </c>
      <c r="AZ117" s="19">
        <v>0</v>
      </c>
      <c r="BA117" s="19">
        <v>171318.43</v>
      </c>
      <c r="BB117" s="19">
        <v>1088</v>
      </c>
      <c r="BC117" s="66">
        <v>46273</v>
      </c>
      <c r="BD117" s="19" t="s">
        <v>65</v>
      </c>
      <c r="BE117" s="19" t="s">
        <v>210</v>
      </c>
      <c r="BF117" s="19" t="s">
        <v>210</v>
      </c>
      <c r="BG117" s="19">
        <v>9</v>
      </c>
      <c r="BH117" s="19">
        <v>15418.66</v>
      </c>
      <c r="BI117" s="19">
        <v>9</v>
      </c>
      <c r="BJ117" s="19">
        <v>15418.66</v>
      </c>
      <c r="BK117" s="19">
        <v>0</v>
      </c>
      <c r="BL117" s="19">
        <v>0</v>
      </c>
      <c r="BM117" s="19">
        <v>0</v>
      </c>
      <c r="BN117" s="19">
        <v>692160097527</v>
      </c>
      <c r="BO117" s="66">
        <v>46243</v>
      </c>
      <c r="BP117" s="19">
        <v>0</v>
      </c>
    </row>
    <row r="118" spans="1:68">
      <c r="A118" s="65"/>
      <c r="B118" s="20" t="s">
        <v>2165</v>
      </c>
      <c r="C118" s="111">
        <v>46273</v>
      </c>
      <c r="D118" s="20" t="s">
        <v>3500</v>
      </c>
      <c r="E118" s="20" t="s">
        <v>23</v>
      </c>
      <c r="F118" s="20" t="s">
        <v>24</v>
      </c>
      <c r="H118" s="20" t="s">
        <v>3501</v>
      </c>
      <c r="I118" s="20">
        <v>752.1</v>
      </c>
      <c r="J118" s="20">
        <v>752.1</v>
      </c>
      <c r="K118" s="20" t="s">
        <v>11</v>
      </c>
      <c r="L118" s="20">
        <v>752.1</v>
      </c>
      <c r="M118" s="20">
        <v>0</v>
      </c>
      <c r="N118" s="20">
        <v>752.1</v>
      </c>
      <c r="O118" s="20" t="s">
        <v>2154</v>
      </c>
      <c r="P118" s="20" t="s">
        <v>87</v>
      </c>
      <c r="Q118" s="20" t="s">
        <v>87</v>
      </c>
      <c r="R118" s="20" t="s">
        <v>2771</v>
      </c>
      <c r="S118" s="111">
        <v>46273</v>
      </c>
      <c r="T118" s="20" t="s">
        <v>206</v>
      </c>
      <c r="U118" s="20" t="s">
        <v>207</v>
      </c>
      <c r="V118" s="20" t="s">
        <v>2770</v>
      </c>
      <c r="W118" s="20">
        <v>144.32</v>
      </c>
      <c r="X118" s="20">
        <v>144.319999821154</v>
      </c>
      <c r="Y118" s="20" t="s">
        <v>2771</v>
      </c>
      <c r="Z118" s="111">
        <v>46273</v>
      </c>
      <c r="AB118" s="20" t="s">
        <v>2290</v>
      </c>
      <c r="AD118" s="20" t="s">
        <v>2290</v>
      </c>
      <c r="AE118" s="20" t="s">
        <v>2290</v>
      </c>
      <c r="AF118" s="20">
        <v>0</v>
      </c>
      <c r="AG118" s="20">
        <v>0</v>
      </c>
      <c r="AH118" s="20">
        <v>0</v>
      </c>
      <c r="AI118" s="20">
        <v>0</v>
      </c>
      <c r="AJ118" s="20">
        <v>0</v>
      </c>
      <c r="AK118" s="20" t="s">
        <v>576</v>
      </c>
      <c r="AL118" s="20">
        <v>0</v>
      </c>
      <c r="AM118" s="20">
        <v>0</v>
      </c>
      <c r="AN118" s="20">
        <v>0</v>
      </c>
      <c r="AO118" s="20">
        <v>0</v>
      </c>
      <c r="AP118" s="20">
        <v>0</v>
      </c>
      <c r="AR118" s="20">
        <v>0</v>
      </c>
      <c r="AS118" s="20">
        <v>0</v>
      </c>
      <c r="AT118" s="20">
        <v>1613902.04</v>
      </c>
      <c r="AU118" s="20" t="s">
        <v>13</v>
      </c>
      <c r="AV118" s="20" t="s">
        <v>24</v>
      </c>
      <c r="AW118" s="111" t="s">
        <v>79</v>
      </c>
      <c r="AX118" s="20" t="s">
        <v>208</v>
      </c>
      <c r="AY118" s="19" t="s">
        <v>209</v>
      </c>
      <c r="AZ118" s="19">
        <v>0</v>
      </c>
      <c r="BA118" s="19">
        <v>108543.07</v>
      </c>
      <c r="BB118" s="19">
        <v>1088</v>
      </c>
      <c r="BC118" s="66">
        <v>46273</v>
      </c>
      <c r="BD118" s="19" t="s">
        <v>65</v>
      </c>
      <c r="BE118" s="19" t="s">
        <v>210</v>
      </c>
      <c r="BF118" s="19" t="s">
        <v>210</v>
      </c>
      <c r="BG118" s="19">
        <v>9</v>
      </c>
      <c r="BH118" s="19">
        <v>9768.8799999999992</v>
      </c>
      <c r="BI118" s="19">
        <v>9</v>
      </c>
      <c r="BJ118" s="19">
        <v>9768.8799999999992</v>
      </c>
      <c r="BK118" s="19">
        <v>0</v>
      </c>
      <c r="BL118" s="19">
        <v>0</v>
      </c>
      <c r="BM118" s="19">
        <v>0</v>
      </c>
      <c r="BN118" s="19">
        <v>692160097527</v>
      </c>
      <c r="BO118" s="66">
        <v>46243</v>
      </c>
      <c r="BP118" s="19">
        <v>0</v>
      </c>
    </row>
    <row r="119" spans="1:68">
      <c r="A119" s="65"/>
      <c r="B119" s="20" t="s">
        <v>2165</v>
      </c>
      <c r="C119" s="111">
        <v>46273</v>
      </c>
      <c r="D119" s="20" t="s">
        <v>3500</v>
      </c>
      <c r="E119" s="20" t="s">
        <v>20</v>
      </c>
      <c r="F119" s="20" t="s">
        <v>21</v>
      </c>
      <c r="H119" s="20" t="s">
        <v>3501</v>
      </c>
      <c r="I119" s="20">
        <v>632</v>
      </c>
      <c r="J119" s="20">
        <v>632</v>
      </c>
      <c r="K119" s="20" t="s">
        <v>11</v>
      </c>
      <c r="L119" s="20">
        <v>632</v>
      </c>
      <c r="M119" s="20">
        <v>0</v>
      </c>
      <c r="N119" s="20">
        <v>632</v>
      </c>
      <c r="O119" s="20" t="s">
        <v>2154</v>
      </c>
      <c r="P119" s="20" t="s">
        <v>87</v>
      </c>
      <c r="Q119" s="20" t="s">
        <v>87</v>
      </c>
      <c r="R119" s="20" t="s">
        <v>2771</v>
      </c>
      <c r="S119" s="111">
        <v>46273</v>
      </c>
      <c r="T119" s="20" t="s">
        <v>206</v>
      </c>
      <c r="U119" s="20" t="s">
        <v>207</v>
      </c>
      <c r="V119" s="20" t="s">
        <v>2770</v>
      </c>
      <c r="W119" s="20">
        <v>146.32</v>
      </c>
      <c r="X119" s="20">
        <v>146.319999818675</v>
      </c>
      <c r="Y119" s="20" t="s">
        <v>2771</v>
      </c>
      <c r="Z119" s="111">
        <v>46273</v>
      </c>
      <c r="AB119" s="20" t="s">
        <v>2290</v>
      </c>
      <c r="AD119" s="20" t="s">
        <v>2290</v>
      </c>
      <c r="AE119" s="20" t="s">
        <v>2290</v>
      </c>
      <c r="AF119" s="20">
        <v>0</v>
      </c>
      <c r="AG119" s="20">
        <v>0</v>
      </c>
      <c r="AH119" s="20">
        <v>0</v>
      </c>
      <c r="AI119" s="20">
        <v>0</v>
      </c>
      <c r="AJ119" s="20">
        <v>0</v>
      </c>
      <c r="AK119" s="20" t="s">
        <v>576</v>
      </c>
      <c r="AL119" s="20">
        <v>0</v>
      </c>
      <c r="AM119" s="20">
        <v>0</v>
      </c>
      <c r="AN119" s="20">
        <v>0</v>
      </c>
      <c r="AO119" s="20">
        <v>0</v>
      </c>
      <c r="AP119" s="20">
        <v>0</v>
      </c>
      <c r="AR119" s="20">
        <v>0</v>
      </c>
      <c r="AS119" s="20">
        <v>0</v>
      </c>
      <c r="AT119" s="20">
        <v>1613902.04</v>
      </c>
      <c r="AU119" s="20" t="s">
        <v>13</v>
      </c>
      <c r="AV119" s="20" t="s">
        <v>62</v>
      </c>
      <c r="AW119" s="111" t="s">
        <v>76</v>
      </c>
      <c r="AX119" s="20" t="s">
        <v>208</v>
      </c>
      <c r="AY119" s="19" t="s">
        <v>209</v>
      </c>
      <c r="AZ119" s="19">
        <v>0</v>
      </c>
      <c r="BA119" s="19">
        <v>92474.240000000005</v>
      </c>
      <c r="BB119" s="19">
        <v>1088</v>
      </c>
      <c r="BC119" s="66">
        <v>46273</v>
      </c>
      <c r="BD119" s="19" t="s">
        <v>65</v>
      </c>
      <c r="BE119" s="19" t="s">
        <v>210</v>
      </c>
      <c r="BF119" s="19" t="s">
        <v>210</v>
      </c>
      <c r="BG119" s="19">
        <v>9</v>
      </c>
      <c r="BH119" s="19">
        <v>8322.68</v>
      </c>
      <c r="BI119" s="19">
        <v>9</v>
      </c>
      <c r="BJ119" s="19">
        <v>8322.68</v>
      </c>
      <c r="BK119" s="19">
        <v>0</v>
      </c>
      <c r="BL119" s="19">
        <v>0</v>
      </c>
      <c r="BM119" s="19">
        <v>0</v>
      </c>
      <c r="BN119" s="19">
        <v>692160097527</v>
      </c>
      <c r="BO119" s="66">
        <v>46243</v>
      </c>
      <c r="BP119" s="19">
        <v>0</v>
      </c>
    </row>
    <row r="120" spans="1:68">
      <c r="A120" s="65"/>
      <c r="B120" s="20" t="s">
        <v>2165</v>
      </c>
      <c r="C120" s="111">
        <v>46303</v>
      </c>
      <c r="D120" s="20" t="s">
        <v>3502</v>
      </c>
      <c r="E120" s="20" t="s">
        <v>18</v>
      </c>
      <c r="F120" s="20" t="s">
        <v>19</v>
      </c>
      <c r="H120" s="20" t="s">
        <v>3503</v>
      </c>
      <c r="I120" s="20">
        <v>6937</v>
      </c>
      <c r="J120" s="20">
        <v>6937</v>
      </c>
      <c r="K120" s="20" t="s">
        <v>11</v>
      </c>
      <c r="L120" s="20">
        <v>6937</v>
      </c>
      <c r="M120" s="20">
        <v>0</v>
      </c>
      <c r="N120" s="20">
        <v>6937</v>
      </c>
      <c r="O120" s="20" t="s">
        <v>2156</v>
      </c>
      <c r="P120" s="20" t="s">
        <v>87</v>
      </c>
      <c r="Q120" s="20" t="s">
        <v>87</v>
      </c>
      <c r="R120" s="20" t="s">
        <v>2788</v>
      </c>
      <c r="S120" s="111">
        <v>46303</v>
      </c>
      <c r="T120" s="20" t="s">
        <v>206</v>
      </c>
      <c r="U120" s="20" t="s">
        <v>207</v>
      </c>
      <c r="V120" s="20" t="s">
        <v>2787</v>
      </c>
      <c r="W120" s="20">
        <v>142.32</v>
      </c>
      <c r="X120" s="20">
        <v>142.32</v>
      </c>
      <c r="Y120" s="20" t="s">
        <v>2788</v>
      </c>
      <c r="Z120" s="111">
        <v>46303</v>
      </c>
      <c r="AB120" s="20" t="s">
        <v>2290</v>
      </c>
      <c r="AD120" s="20" t="s">
        <v>2290</v>
      </c>
      <c r="AE120" s="20" t="s">
        <v>2290</v>
      </c>
      <c r="AF120" s="20">
        <v>0</v>
      </c>
      <c r="AG120" s="20">
        <v>0</v>
      </c>
      <c r="AH120" s="20">
        <v>0</v>
      </c>
      <c r="AI120" s="20">
        <v>0</v>
      </c>
      <c r="AJ120" s="20">
        <v>0</v>
      </c>
      <c r="AK120" s="20" t="s">
        <v>576</v>
      </c>
      <c r="AL120" s="20">
        <v>0</v>
      </c>
      <c r="AM120" s="20">
        <v>0</v>
      </c>
      <c r="AN120" s="20">
        <v>0</v>
      </c>
      <c r="AO120" s="20">
        <v>0</v>
      </c>
      <c r="AP120" s="20">
        <v>0</v>
      </c>
      <c r="AR120" s="20">
        <v>0</v>
      </c>
      <c r="AS120" s="20">
        <v>0</v>
      </c>
      <c r="AT120" s="20">
        <v>1261371.58</v>
      </c>
      <c r="AU120" s="20" t="s">
        <v>13</v>
      </c>
      <c r="AV120" s="20" t="s">
        <v>62</v>
      </c>
      <c r="AW120" s="111" t="s">
        <v>63</v>
      </c>
      <c r="AX120" s="20" t="s">
        <v>208</v>
      </c>
      <c r="AY120" s="19" t="s">
        <v>209</v>
      </c>
      <c r="AZ120" s="19">
        <v>0</v>
      </c>
      <c r="BA120" s="19">
        <v>987273.84</v>
      </c>
      <c r="BB120" s="19">
        <v>1095</v>
      </c>
      <c r="BC120" s="66">
        <v>46303</v>
      </c>
      <c r="BD120" s="19" t="s">
        <v>65</v>
      </c>
      <c r="BE120" s="19" t="s">
        <v>210</v>
      </c>
      <c r="BF120" s="19" t="s">
        <v>210</v>
      </c>
      <c r="BG120" s="19">
        <v>9</v>
      </c>
      <c r="BH120" s="19">
        <v>88854.65</v>
      </c>
      <c r="BI120" s="19">
        <v>9</v>
      </c>
      <c r="BJ120" s="19">
        <v>88854.65</v>
      </c>
      <c r="BK120" s="19">
        <v>0</v>
      </c>
      <c r="BL120" s="19">
        <v>0</v>
      </c>
      <c r="BM120" s="19">
        <v>1261371.58</v>
      </c>
      <c r="BN120" s="19">
        <v>632160300922</v>
      </c>
      <c r="BO120" s="66">
        <v>46244</v>
      </c>
      <c r="BP120" s="19">
        <v>0</v>
      </c>
    </row>
    <row r="121" spans="1:68">
      <c r="A121" s="65"/>
      <c r="B121" s="20" t="s">
        <v>2165</v>
      </c>
      <c r="C121" s="111">
        <v>46303</v>
      </c>
      <c r="D121" s="20" t="s">
        <v>3502</v>
      </c>
      <c r="E121" s="20" t="s">
        <v>18</v>
      </c>
      <c r="F121" s="20" t="s">
        <v>19</v>
      </c>
      <c r="H121" s="20" t="s">
        <v>3503</v>
      </c>
      <c r="I121" s="20">
        <v>566</v>
      </c>
      <c r="J121" s="20">
        <v>566</v>
      </c>
      <c r="K121" s="20" t="s">
        <v>11</v>
      </c>
      <c r="L121" s="20">
        <v>566</v>
      </c>
      <c r="M121" s="20">
        <v>0</v>
      </c>
      <c r="N121" s="20">
        <v>566</v>
      </c>
      <c r="O121" s="20" t="s">
        <v>2156</v>
      </c>
      <c r="P121" s="20" t="s">
        <v>87</v>
      </c>
      <c r="Q121" s="20" t="s">
        <v>87</v>
      </c>
      <c r="R121" s="20" t="s">
        <v>2788</v>
      </c>
      <c r="S121" s="111">
        <v>46303</v>
      </c>
      <c r="T121" s="20" t="s">
        <v>206</v>
      </c>
      <c r="U121" s="20" t="s">
        <v>207</v>
      </c>
      <c r="V121" s="20" t="s">
        <v>2787</v>
      </c>
      <c r="W121" s="20">
        <v>144.32</v>
      </c>
      <c r="X121" s="20">
        <v>144.32</v>
      </c>
      <c r="Y121" s="20" t="s">
        <v>2788</v>
      </c>
      <c r="Z121" s="111">
        <v>46303</v>
      </c>
      <c r="AB121" s="20" t="s">
        <v>2290</v>
      </c>
      <c r="AD121" s="20" t="s">
        <v>2290</v>
      </c>
      <c r="AE121" s="20" t="s">
        <v>2290</v>
      </c>
      <c r="AF121" s="20">
        <v>0</v>
      </c>
      <c r="AG121" s="20">
        <v>0</v>
      </c>
      <c r="AH121" s="20">
        <v>0</v>
      </c>
      <c r="AI121" s="20">
        <v>0</v>
      </c>
      <c r="AJ121" s="20">
        <v>0</v>
      </c>
      <c r="AK121" s="20" t="s">
        <v>576</v>
      </c>
      <c r="AL121" s="20">
        <v>0</v>
      </c>
      <c r="AM121" s="20">
        <v>0</v>
      </c>
      <c r="AN121" s="20">
        <v>0</v>
      </c>
      <c r="AO121" s="20">
        <v>0</v>
      </c>
      <c r="AP121" s="20">
        <v>0</v>
      </c>
      <c r="AR121" s="20">
        <v>0</v>
      </c>
      <c r="AS121" s="20">
        <v>0</v>
      </c>
      <c r="AT121" s="20">
        <v>1261371.58</v>
      </c>
      <c r="AU121" s="20" t="s">
        <v>13</v>
      </c>
      <c r="AV121" s="20" t="s">
        <v>62</v>
      </c>
      <c r="AW121" s="111" t="s">
        <v>63</v>
      </c>
      <c r="AX121" s="20" t="s">
        <v>208</v>
      </c>
      <c r="AY121" s="19" t="s">
        <v>209</v>
      </c>
      <c r="AZ121" s="19">
        <v>0</v>
      </c>
      <c r="BA121" s="19">
        <v>81685.119999999995</v>
      </c>
      <c r="BB121" s="19">
        <v>1095</v>
      </c>
      <c r="BC121" s="66">
        <v>46303</v>
      </c>
      <c r="BD121" s="19" t="s">
        <v>65</v>
      </c>
      <c r="BE121" s="19" t="s">
        <v>210</v>
      </c>
      <c r="BF121" s="19" t="s">
        <v>210</v>
      </c>
      <c r="BG121" s="19">
        <v>9</v>
      </c>
      <c r="BH121" s="19">
        <v>7351.66</v>
      </c>
      <c r="BI121" s="19">
        <v>9</v>
      </c>
      <c r="BJ121" s="19">
        <v>7351.66</v>
      </c>
      <c r="BK121" s="19">
        <v>0</v>
      </c>
      <c r="BL121" s="19">
        <v>0</v>
      </c>
      <c r="BM121" s="19">
        <v>0</v>
      </c>
      <c r="BN121" s="19">
        <v>632160300922</v>
      </c>
      <c r="BO121" s="66">
        <v>46244</v>
      </c>
      <c r="BP121" s="19">
        <v>0</v>
      </c>
    </row>
    <row r="122" spans="1:68">
      <c r="A122" s="65"/>
      <c r="B122" s="20" t="s">
        <v>2165</v>
      </c>
      <c r="C122" s="111">
        <v>46303</v>
      </c>
      <c r="D122" s="20" t="s">
        <v>3504</v>
      </c>
      <c r="E122" s="20" t="s">
        <v>18</v>
      </c>
      <c r="F122" s="20" t="s">
        <v>19</v>
      </c>
      <c r="H122" s="20" t="s">
        <v>3505</v>
      </c>
      <c r="I122" s="20">
        <v>495</v>
      </c>
      <c r="J122" s="20">
        <v>495</v>
      </c>
      <c r="K122" s="20" t="s">
        <v>11</v>
      </c>
      <c r="L122" s="20">
        <v>495</v>
      </c>
      <c r="M122" s="20">
        <v>0</v>
      </c>
      <c r="N122" s="20">
        <v>495</v>
      </c>
      <c r="O122" s="20" t="s">
        <v>2156</v>
      </c>
      <c r="P122" s="20" t="s">
        <v>87</v>
      </c>
      <c r="Q122" s="20" t="s">
        <v>87</v>
      </c>
      <c r="R122" s="20" t="s">
        <v>2790</v>
      </c>
      <c r="S122" s="111">
        <v>46303</v>
      </c>
      <c r="T122" s="20" t="s">
        <v>206</v>
      </c>
      <c r="U122" s="20" t="s">
        <v>207</v>
      </c>
      <c r="V122" s="20" t="s">
        <v>2789</v>
      </c>
      <c r="W122" s="20">
        <v>144.32</v>
      </c>
      <c r="X122" s="20">
        <v>144.32000081613799</v>
      </c>
      <c r="Y122" s="20" t="s">
        <v>2790</v>
      </c>
      <c r="Z122" s="111">
        <v>46303</v>
      </c>
      <c r="AB122" s="20" t="s">
        <v>2290</v>
      </c>
      <c r="AD122" s="20" t="s">
        <v>2290</v>
      </c>
      <c r="AE122" s="20" t="s">
        <v>2290</v>
      </c>
      <c r="AF122" s="20">
        <v>0</v>
      </c>
      <c r="AG122" s="20">
        <v>0</v>
      </c>
      <c r="AH122" s="20">
        <v>0</v>
      </c>
      <c r="AI122" s="20">
        <v>0</v>
      </c>
      <c r="AJ122" s="20">
        <v>0</v>
      </c>
      <c r="AK122" s="20" t="s">
        <v>576</v>
      </c>
      <c r="AL122" s="20">
        <v>0</v>
      </c>
      <c r="AM122" s="20">
        <v>0</v>
      </c>
      <c r="AN122" s="20">
        <v>0</v>
      </c>
      <c r="AO122" s="20">
        <v>0</v>
      </c>
      <c r="AP122" s="20">
        <v>0</v>
      </c>
      <c r="AR122" s="20">
        <v>0</v>
      </c>
      <c r="AS122" s="20">
        <v>0</v>
      </c>
      <c r="AT122" s="20">
        <v>1414661.98</v>
      </c>
      <c r="AU122" s="20" t="s">
        <v>13</v>
      </c>
      <c r="AV122" s="20" t="s">
        <v>62</v>
      </c>
      <c r="AW122" s="111" t="s">
        <v>63</v>
      </c>
      <c r="AX122" s="20" t="s">
        <v>208</v>
      </c>
      <c r="AY122" s="19" t="s">
        <v>209</v>
      </c>
      <c r="AZ122" s="19">
        <v>0</v>
      </c>
      <c r="BA122" s="19">
        <v>71438.399999999994</v>
      </c>
      <c r="BB122" s="19">
        <v>1098</v>
      </c>
      <c r="BC122" s="66">
        <v>46303</v>
      </c>
      <c r="BD122" s="19" t="s">
        <v>65</v>
      </c>
      <c r="BE122" s="19" t="s">
        <v>210</v>
      </c>
      <c r="BF122" s="19" t="s">
        <v>210</v>
      </c>
      <c r="BG122" s="19">
        <v>9</v>
      </c>
      <c r="BH122" s="19">
        <v>6429.46</v>
      </c>
      <c r="BI122" s="19">
        <v>9</v>
      </c>
      <c r="BJ122" s="19">
        <v>6429.46</v>
      </c>
      <c r="BK122" s="19">
        <v>0</v>
      </c>
      <c r="BL122" s="19">
        <v>0</v>
      </c>
      <c r="BM122" s="19">
        <v>1414661.98</v>
      </c>
      <c r="BN122" s="19">
        <v>672160456610</v>
      </c>
      <c r="BO122" s="66">
        <v>46244</v>
      </c>
      <c r="BP122" s="19">
        <v>0</v>
      </c>
    </row>
    <row r="123" spans="1:68">
      <c r="A123" s="65"/>
      <c r="B123" s="20" t="s">
        <v>2165</v>
      </c>
      <c r="C123" s="111">
        <v>46303</v>
      </c>
      <c r="D123" s="20" t="s">
        <v>3504</v>
      </c>
      <c r="E123" s="20" t="s">
        <v>18</v>
      </c>
      <c r="F123" s="20" t="s">
        <v>19</v>
      </c>
      <c r="H123" s="20" t="s">
        <v>3505</v>
      </c>
      <c r="I123" s="20">
        <v>2042</v>
      </c>
      <c r="J123" s="20">
        <v>2042</v>
      </c>
      <c r="K123" s="20" t="s">
        <v>11</v>
      </c>
      <c r="L123" s="20">
        <v>2042</v>
      </c>
      <c r="M123" s="20">
        <v>0</v>
      </c>
      <c r="N123" s="20">
        <v>2042</v>
      </c>
      <c r="O123" s="20" t="s">
        <v>2156</v>
      </c>
      <c r="P123" s="20" t="s">
        <v>87</v>
      </c>
      <c r="Q123" s="20" t="s">
        <v>87</v>
      </c>
      <c r="R123" s="20" t="s">
        <v>2790</v>
      </c>
      <c r="S123" s="111">
        <v>46303</v>
      </c>
      <c r="T123" s="20" t="s">
        <v>206</v>
      </c>
      <c r="U123" s="20" t="s">
        <v>207</v>
      </c>
      <c r="V123" s="20" t="s">
        <v>2789</v>
      </c>
      <c r="W123" s="20">
        <v>142.32</v>
      </c>
      <c r="X123" s="20">
        <v>142.320000804828</v>
      </c>
      <c r="Y123" s="20" t="s">
        <v>2790</v>
      </c>
      <c r="Z123" s="111">
        <v>46303</v>
      </c>
      <c r="AB123" s="20" t="s">
        <v>2290</v>
      </c>
      <c r="AD123" s="20" t="s">
        <v>2290</v>
      </c>
      <c r="AE123" s="20" t="s">
        <v>2290</v>
      </c>
      <c r="AF123" s="20">
        <v>0</v>
      </c>
      <c r="AG123" s="20">
        <v>0</v>
      </c>
      <c r="AH123" s="20">
        <v>0</v>
      </c>
      <c r="AI123" s="20">
        <v>0</v>
      </c>
      <c r="AJ123" s="20">
        <v>0</v>
      </c>
      <c r="AK123" s="20" t="s">
        <v>576</v>
      </c>
      <c r="AL123" s="20">
        <v>0</v>
      </c>
      <c r="AM123" s="20">
        <v>0</v>
      </c>
      <c r="AN123" s="20">
        <v>0</v>
      </c>
      <c r="AO123" s="20">
        <v>0</v>
      </c>
      <c r="AP123" s="20">
        <v>0</v>
      </c>
      <c r="AR123" s="20">
        <v>0</v>
      </c>
      <c r="AS123" s="20">
        <v>0</v>
      </c>
      <c r="AT123" s="20">
        <v>1414661.98</v>
      </c>
      <c r="AU123" s="20" t="s">
        <v>13</v>
      </c>
      <c r="AV123" s="20" t="s">
        <v>62</v>
      </c>
      <c r="AW123" s="111" t="s">
        <v>63</v>
      </c>
      <c r="AX123" s="20" t="s">
        <v>208</v>
      </c>
      <c r="AY123" s="19" t="s">
        <v>209</v>
      </c>
      <c r="AZ123" s="19">
        <v>0</v>
      </c>
      <c r="BA123" s="19">
        <v>290617.44</v>
      </c>
      <c r="BB123" s="19">
        <v>1098</v>
      </c>
      <c r="BC123" s="66">
        <v>46303</v>
      </c>
      <c r="BD123" s="19" t="s">
        <v>65</v>
      </c>
      <c r="BE123" s="19" t="s">
        <v>210</v>
      </c>
      <c r="BF123" s="19" t="s">
        <v>210</v>
      </c>
      <c r="BG123" s="19">
        <v>9</v>
      </c>
      <c r="BH123" s="19">
        <v>26155.57</v>
      </c>
      <c r="BI123" s="19">
        <v>9</v>
      </c>
      <c r="BJ123" s="19">
        <v>26155.57</v>
      </c>
      <c r="BK123" s="19">
        <v>0</v>
      </c>
      <c r="BL123" s="19">
        <v>0</v>
      </c>
      <c r="BM123" s="19">
        <v>0</v>
      </c>
      <c r="BN123" s="19">
        <v>672160456610</v>
      </c>
      <c r="BO123" s="66">
        <v>46244</v>
      </c>
      <c r="BP123" s="19">
        <v>0</v>
      </c>
    </row>
    <row r="124" spans="1:68">
      <c r="A124" s="65"/>
      <c r="B124" s="20" t="s">
        <v>2165</v>
      </c>
      <c r="C124" s="111">
        <v>46303</v>
      </c>
      <c r="D124" s="20" t="s">
        <v>3504</v>
      </c>
      <c r="E124" s="20" t="s">
        <v>160</v>
      </c>
      <c r="F124" s="20" t="s">
        <v>17</v>
      </c>
      <c r="H124" s="20" t="s">
        <v>3505</v>
      </c>
      <c r="I124" s="20">
        <v>1828</v>
      </c>
      <c r="J124" s="20">
        <v>1828</v>
      </c>
      <c r="K124" s="20" t="s">
        <v>11</v>
      </c>
      <c r="L124" s="20">
        <v>1828</v>
      </c>
      <c r="M124" s="20">
        <v>0</v>
      </c>
      <c r="N124" s="20">
        <v>1828</v>
      </c>
      <c r="O124" s="20" t="s">
        <v>2156</v>
      </c>
      <c r="P124" s="20" t="s">
        <v>87</v>
      </c>
      <c r="Q124" s="20" t="s">
        <v>87</v>
      </c>
      <c r="R124" s="20" t="s">
        <v>2790</v>
      </c>
      <c r="S124" s="111">
        <v>46303</v>
      </c>
      <c r="T124" s="20" t="s">
        <v>206</v>
      </c>
      <c r="U124" s="20" t="s">
        <v>207</v>
      </c>
      <c r="V124" s="20" t="s">
        <v>2789</v>
      </c>
      <c r="W124" s="20">
        <v>176.86</v>
      </c>
      <c r="X124" s="20">
        <v>176.860001000154</v>
      </c>
      <c r="Y124" s="20" t="s">
        <v>2790</v>
      </c>
      <c r="Z124" s="111">
        <v>46303</v>
      </c>
      <c r="AB124" s="20" t="s">
        <v>2290</v>
      </c>
      <c r="AD124" s="20" t="s">
        <v>2290</v>
      </c>
      <c r="AE124" s="20" t="s">
        <v>2290</v>
      </c>
      <c r="AF124" s="20">
        <v>0</v>
      </c>
      <c r="AG124" s="20">
        <v>0</v>
      </c>
      <c r="AH124" s="20">
        <v>0</v>
      </c>
      <c r="AI124" s="20">
        <v>0</v>
      </c>
      <c r="AJ124" s="20">
        <v>0</v>
      </c>
      <c r="AK124" s="20" t="s">
        <v>576</v>
      </c>
      <c r="AL124" s="20">
        <v>0</v>
      </c>
      <c r="AM124" s="20">
        <v>0</v>
      </c>
      <c r="AN124" s="20">
        <v>0</v>
      </c>
      <c r="AO124" s="20">
        <v>0</v>
      </c>
      <c r="AP124" s="20">
        <v>0</v>
      </c>
      <c r="AR124" s="20">
        <v>0</v>
      </c>
      <c r="AS124" s="20">
        <v>0</v>
      </c>
      <c r="AT124" s="20">
        <v>1414661.98</v>
      </c>
      <c r="AU124" s="20" t="s">
        <v>13</v>
      </c>
      <c r="AV124" s="20" t="s">
        <v>80</v>
      </c>
      <c r="AW124" s="111" t="s">
        <v>81</v>
      </c>
      <c r="AX124" s="20" t="s">
        <v>208</v>
      </c>
      <c r="AY124" s="19" t="s">
        <v>209</v>
      </c>
      <c r="AZ124" s="19">
        <v>0</v>
      </c>
      <c r="BA124" s="19">
        <v>323300.08</v>
      </c>
      <c r="BB124" s="19">
        <v>1098</v>
      </c>
      <c r="BC124" s="66">
        <v>46303</v>
      </c>
      <c r="BD124" s="19" t="s">
        <v>65</v>
      </c>
      <c r="BE124" s="19" t="s">
        <v>210</v>
      </c>
      <c r="BF124" s="19" t="s">
        <v>210</v>
      </c>
      <c r="BG124" s="19">
        <v>9</v>
      </c>
      <c r="BH124" s="19">
        <v>29097.01</v>
      </c>
      <c r="BI124" s="19">
        <v>9</v>
      </c>
      <c r="BJ124" s="19">
        <v>29097.01</v>
      </c>
      <c r="BK124" s="19">
        <v>0</v>
      </c>
      <c r="BL124" s="19">
        <v>0</v>
      </c>
      <c r="BM124" s="19">
        <v>0</v>
      </c>
      <c r="BN124" s="19">
        <v>672160456610</v>
      </c>
      <c r="BO124" s="66">
        <v>46244</v>
      </c>
      <c r="BP124" s="19">
        <v>0</v>
      </c>
    </row>
    <row r="125" spans="1:68">
      <c r="A125" s="65"/>
      <c r="B125" s="20" t="s">
        <v>2165</v>
      </c>
      <c r="C125" s="111">
        <v>46303</v>
      </c>
      <c r="D125" s="20" t="s">
        <v>3504</v>
      </c>
      <c r="E125" s="20" t="s">
        <v>160</v>
      </c>
      <c r="F125" s="20" t="s">
        <v>17</v>
      </c>
      <c r="H125" s="20" t="s">
        <v>3505</v>
      </c>
      <c r="I125" s="20">
        <v>153</v>
      </c>
      <c r="J125" s="20">
        <v>153</v>
      </c>
      <c r="K125" s="20" t="s">
        <v>11</v>
      </c>
      <c r="L125" s="20">
        <v>153</v>
      </c>
      <c r="M125" s="20">
        <v>0</v>
      </c>
      <c r="N125" s="20">
        <v>153</v>
      </c>
      <c r="O125" s="20" t="s">
        <v>2156</v>
      </c>
      <c r="P125" s="20" t="s">
        <v>87</v>
      </c>
      <c r="Q125" s="20" t="s">
        <v>87</v>
      </c>
      <c r="R125" s="20" t="s">
        <v>2790</v>
      </c>
      <c r="S125" s="111">
        <v>46303</v>
      </c>
      <c r="T125" s="20" t="s">
        <v>206</v>
      </c>
      <c r="U125" s="20" t="s">
        <v>207</v>
      </c>
      <c r="V125" s="20" t="s">
        <v>2789</v>
      </c>
      <c r="W125" s="20">
        <v>184.86</v>
      </c>
      <c r="X125" s="20">
        <v>184.86000104539499</v>
      </c>
      <c r="Y125" s="20" t="s">
        <v>2790</v>
      </c>
      <c r="Z125" s="111">
        <v>46303</v>
      </c>
      <c r="AB125" s="20" t="s">
        <v>2290</v>
      </c>
      <c r="AD125" s="20" t="s">
        <v>2290</v>
      </c>
      <c r="AE125" s="20" t="s">
        <v>2290</v>
      </c>
      <c r="AF125" s="20">
        <v>0</v>
      </c>
      <c r="AG125" s="20">
        <v>0</v>
      </c>
      <c r="AH125" s="20">
        <v>0</v>
      </c>
      <c r="AI125" s="20">
        <v>0</v>
      </c>
      <c r="AJ125" s="20">
        <v>0</v>
      </c>
      <c r="AK125" s="20" t="s">
        <v>576</v>
      </c>
      <c r="AL125" s="20">
        <v>0</v>
      </c>
      <c r="AM125" s="20">
        <v>0</v>
      </c>
      <c r="AN125" s="20">
        <v>0</v>
      </c>
      <c r="AO125" s="20">
        <v>0</v>
      </c>
      <c r="AP125" s="20">
        <v>0</v>
      </c>
      <c r="AR125" s="20">
        <v>0</v>
      </c>
      <c r="AS125" s="20">
        <v>0</v>
      </c>
      <c r="AT125" s="20">
        <v>1414661.98</v>
      </c>
      <c r="AU125" s="20" t="s">
        <v>13</v>
      </c>
      <c r="AV125" s="20" t="s">
        <v>80</v>
      </c>
      <c r="AW125" s="111" t="s">
        <v>81</v>
      </c>
      <c r="AX125" s="20" t="s">
        <v>208</v>
      </c>
      <c r="AY125" s="19" t="s">
        <v>209</v>
      </c>
      <c r="AZ125" s="19">
        <v>0</v>
      </c>
      <c r="BA125" s="19">
        <v>28283.58</v>
      </c>
      <c r="BB125" s="19">
        <v>1098</v>
      </c>
      <c r="BC125" s="66">
        <v>46303</v>
      </c>
      <c r="BD125" s="19" t="s">
        <v>65</v>
      </c>
      <c r="BE125" s="19" t="s">
        <v>210</v>
      </c>
      <c r="BF125" s="19" t="s">
        <v>210</v>
      </c>
      <c r="BG125" s="19">
        <v>9</v>
      </c>
      <c r="BH125" s="19">
        <v>2545.52</v>
      </c>
      <c r="BI125" s="19">
        <v>9</v>
      </c>
      <c r="BJ125" s="19">
        <v>2545.52</v>
      </c>
      <c r="BK125" s="19">
        <v>0</v>
      </c>
      <c r="BL125" s="19">
        <v>0</v>
      </c>
      <c r="BM125" s="19">
        <v>0</v>
      </c>
      <c r="BN125" s="19">
        <v>672160456610</v>
      </c>
      <c r="BO125" s="66">
        <v>46244</v>
      </c>
      <c r="BP125" s="19">
        <v>0</v>
      </c>
    </row>
    <row r="126" spans="1:68">
      <c r="A126" s="65"/>
      <c r="B126" s="20" t="s">
        <v>2165</v>
      </c>
      <c r="C126" s="111">
        <v>46303</v>
      </c>
      <c r="D126" s="20" t="s">
        <v>3504</v>
      </c>
      <c r="E126" s="20" t="s">
        <v>20</v>
      </c>
      <c r="F126" s="20" t="s">
        <v>21</v>
      </c>
      <c r="H126" s="20" t="s">
        <v>3505</v>
      </c>
      <c r="I126" s="20">
        <v>545</v>
      </c>
      <c r="J126" s="20">
        <v>545</v>
      </c>
      <c r="K126" s="20" t="s">
        <v>11</v>
      </c>
      <c r="L126" s="20">
        <v>545</v>
      </c>
      <c r="M126" s="20">
        <v>0</v>
      </c>
      <c r="N126" s="20">
        <v>545</v>
      </c>
      <c r="O126" s="20" t="s">
        <v>2156</v>
      </c>
      <c r="P126" s="20" t="s">
        <v>87</v>
      </c>
      <c r="Q126" s="20" t="s">
        <v>87</v>
      </c>
      <c r="R126" s="20" t="s">
        <v>2790</v>
      </c>
      <c r="S126" s="111">
        <v>46303</v>
      </c>
      <c r="T126" s="20" t="s">
        <v>206</v>
      </c>
      <c r="U126" s="20" t="s">
        <v>207</v>
      </c>
      <c r="V126" s="20" t="s">
        <v>2789</v>
      </c>
      <c r="W126" s="20">
        <v>149.32</v>
      </c>
      <c r="X126" s="20">
        <v>149.32000084441401</v>
      </c>
      <c r="Y126" s="20" t="s">
        <v>2790</v>
      </c>
      <c r="Z126" s="111">
        <v>46303</v>
      </c>
      <c r="AB126" s="20" t="s">
        <v>2290</v>
      </c>
      <c r="AD126" s="20" t="s">
        <v>2290</v>
      </c>
      <c r="AE126" s="20" t="s">
        <v>2290</v>
      </c>
      <c r="AF126" s="20">
        <v>0</v>
      </c>
      <c r="AG126" s="20">
        <v>0</v>
      </c>
      <c r="AH126" s="20">
        <v>0</v>
      </c>
      <c r="AI126" s="20">
        <v>0</v>
      </c>
      <c r="AJ126" s="20">
        <v>0</v>
      </c>
      <c r="AK126" s="20" t="s">
        <v>576</v>
      </c>
      <c r="AL126" s="20">
        <v>0</v>
      </c>
      <c r="AM126" s="20">
        <v>0</v>
      </c>
      <c r="AN126" s="20">
        <v>0</v>
      </c>
      <c r="AO126" s="20">
        <v>0</v>
      </c>
      <c r="AP126" s="20">
        <v>0</v>
      </c>
      <c r="AR126" s="20">
        <v>0</v>
      </c>
      <c r="AS126" s="20">
        <v>0</v>
      </c>
      <c r="AT126" s="20">
        <v>1414661.98</v>
      </c>
      <c r="AU126" s="20" t="s">
        <v>13</v>
      </c>
      <c r="AV126" s="20" t="s">
        <v>62</v>
      </c>
      <c r="AW126" s="111" t="s">
        <v>76</v>
      </c>
      <c r="AX126" s="20" t="s">
        <v>208</v>
      </c>
      <c r="AY126" s="19" t="s">
        <v>209</v>
      </c>
      <c r="AZ126" s="19">
        <v>0</v>
      </c>
      <c r="BA126" s="19">
        <v>81379.399999999994</v>
      </c>
      <c r="BB126" s="19">
        <v>1098</v>
      </c>
      <c r="BC126" s="66">
        <v>46303</v>
      </c>
      <c r="BD126" s="19" t="s">
        <v>65</v>
      </c>
      <c r="BE126" s="19" t="s">
        <v>210</v>
      </c>
      <c r="BF126" s="19" t="s">
        <v>210</v>
      </c>
      <c r="BG126" s="19">
        <v>9</v>
      </c>
      <c r="BH126" s="19">
        <v>7324.15</v>
      </c>
      <c r="BI126" s="19">
        <v>9</v>
      </c>
      <c r="BJ126" s="19">
        <v>7324.15</v>
      </c>
      <c r="BK126" s="19">
        <v>0</v>
      </c>
      <c r="BL126" s="19">
        <v>0</v>
      </c>
      <c r="BM126" s="19">
        <v>0</v>
      </c>
      <c r="BN126" s="19">
        <v>672160456610</v>
      </c>
      <c r="BO126" s="66">
        <v>46244</v>
      </c>
      <c r="BP126" s="19">
        <v>0</v>
      </c>
    </row>
    <row r="127" spans="1:68">
      <c r="A127" s="65"/>
      <c r="B127" s="20" t="s">
        <v>2165</v>
      </c>
      <c r="C127" s="111">
        <v>46303</v>
      </c>
      <c r="D127" s="20" t="s">
        <v>3504</v>
      </c>
      <c r="E127" s="20" t="s">
        <v>20</v>
      </c>
      <c r="F127" s="20" t="s">
        <v>21</v>
      </c>
      <c r="H127" s="20" t="s">
        <v>3505</v>
      </c>
      <c r="I127" s="20">
        <v>362</v>
      </c>
      <c r="J127" s="20">
        <v>362</v>
      </c>
      <c r="K127" s="20" t="s">
        <v>11</v>
      </c>
      <c r="L127" s="20">
        <v>362</v>
      </c>
      <c r="M127" s="20">
        <v>0</v>
      </c>
      <c r="N127" s="20">
        <v>362</v>
      </c>
      <c r="O127" s="20" t="s">
        <v>2156</v>
      </c>
      <c r="P127" s="20" t="s">
        <v>87</v>
      </c>
      <c r="Q127" s="20" t="s">
        <v>87</v>
      </c>
      <c r="R127" s="20" t="s">
        <v>2790</v>
      </c>
      <c r="S127" s="111">
        <v>46303</v>
      </c>
      <c r="T127" s="20" t="s">
        <v>206</v>
      </c>
      <c r="U127" s="20" t="s">
        <v>207</v>
      </c>
      <c r="V127" s="20" t="s">
        <v>2789</v>
      </c>
      <c r="W127" s="20">
        <v>146.32</v>
      </c>
      <c r="X127" s="20">
        <v>146.32000082744901</v>
      </c>
      <c r="Y127" s="20" t="s">
        <v>2790</v>
      </c>
      <c r="Z127" s="111">
        <v>46303</v>
      </c>
      <c r="AB127" s="20" t="s">
        <v>2290</v>
      </c>
      <c r="AD127" s="20" t="s">
        <v>2290</v>
      </c>
      <c r="AE127" s="20" t="s">
        <v>2290</v>
      </c>
      <c r="AF127" s="20">
        <v>0</v>
      </c>
      <c r="AG127" s="20">
        <v>0</v>
      </c>
      <c r="AH127" s="20">
        <v>0</v>
      </c>
      <c r="AI127" s="20">
        <v>0</v>
      </c>
      <c r="AJ127" s="20">
        <v>0</v>
      </c>
      <c r="AK127" s="20" t="s">
        <v>576</v>
      </c>
      <c r="AL127" s="20">
        <v>0</v>
      </c>
      <c r="AM127" s="20">
        <v>0</v>
      </c>
      <c r="AN127" s="20">
        <v>0</v>
      </c>
      <c r="AO127" s="20">
        <v>0</v>
      </c>
      <c r="AP127" s="20">
        <v>0</v>
      </c>
      <c r="AR127" s="20">
        <v>0</v>
      </c>
      <c r="AS127" s="20">
        <v>0</v>
      </c>
      <c r="AT127" s="20">
        <v>1414661.98</v>
      </c>
      <c r="AU127" s="20" t="s">
        <v>13</v>
      </c>
      <c r="AV127" s="20" t="s">
        <v>62</v>
      </c>
      <c r="AW127" s="111" t="s">
        <v>76</v>
      </c>
      <c r="AX127" s="20" t="s">
        <v>208</v>
      </c>
      <c r="AY127" s="19" t="s">
        <v>209</v>
      </c>
      <c r="AZ127" s="19">
        <v>0</v>
      </c>
      <c r="BA127" s="19">
        <v>52967.839999999997</v>
      </c>
      <c r="BB127" s="19">
        <v>1098</v>
      </c>
      <c r="BC127" s="66">
        <v>46303</v>
      </c>
      <c r="BD127" s="19" t="s">
        <v>65</v>
      </c>
      <c r="BE127" s="19" t="s">
        <v>210</v>
      </c>
      <c r="BF127" s="19" t="s">
        <v>210</v>
      </c>
      <c r="BG127" s="19">
        <v>9</v>
      </c>
      <c r="BH127" s="19">
        <v>4767.1099999999997</v>
      </c>
      <c r="BI127" s="19">
        <v>9</v>
      </c>
      <c r="BJ127" s="19">
        <v>4767.1099999999997</v>
      </c>
      <c r="BK127" s="19">
        <v>0</v>
      </c>
      <c r="BL127" s="19">
        <v>0</v>
      </c>
      <c r="BM127" s="19">
        <v>0</v>
      </c>
      <c r="BN127" s="19">
        <v>672160456610</v>
      </c>
      <c r="BO127" s="66">
        <v>46244</v>
      </c>
      <c r="BP127" s="19">
        <v>0</v>
      </c>
    </row>
    <row r="128" spans="1:68">
      <c r="A128" s="65"/>
      <c r="B128" s="20" t="s">
        <v>2165</v>
      </c>
      <c r="C128" s="111">
        <v>46303</v>
      </c>
      <c r="D128" s="20" t="s">
        <v>3504</v>
      </c>
      <c r="E128" s="20" t="s">
        <v>23</v>
      </c>
      <c r="F128" s="20" t="s">
        <v>24</v>
      </c>
      <c r="H128" s="20" t="s">
        <v>3505</v>
      </c>
      <c r="I128" s="20">
        <v>1426.8</v>
      </c>
      <c r="J128" s="20">
        <v>1426.8</v>
      </c>
      <c r="K128" s="20" t="s">
        <v>11</v>
      </c>
      <c r="L128" s="20">
        <v>1426.8</v>
      </c>
      <c r="M128" s="20">
        <v>0</v>
      </c>
      <c r="N128" s="20">
        <v>1426.8</v>
      </c>
      <c r="O128" s="20" t="s">
        <v>2156</v>
      </c>
      <c r="P128" s="20" t="s">
        <v>87</v>
      </c>
      <c r="Q128" s="20" t="s">
        <v>87</v>
      </c>
      <c r="R128" s="20" t="s">
        <v>2790</v>
      </c>
      <c r="S128" s="111">
        <v>46303</v>
      </c>
      <c r="T128" s="20" t="s">
        <v>206</v>
      </c>
      <c r="U128" s="20" t="s">
        <v>207</v>
      </c>
      <c r="V128" s="20" t="s">
        <v>2789</v>
      </c>
      <c r="W128" s="20">
        <v>147.32</v>
      </c>
      <c r="X128" s="20">
        <v>147.32000083310399</v>
      </c>
      <c r="Y128" s="20" t="s">
        <v>2790</v>
      </c>
      <c r="Z128" s="111">
        <v>46303</v>
      </c>
      <c r="AB128" s="20" t="s">
        <v>2290</v>
      </c>
      <c r="AD128" s="20" t="s">
        <v>2290</v>
      </c>
      <c r="AE128" s="20" t="s">
        <v>2290</v>
      </c>
      <c r="AF128" s="20">
        <v>0</v>
      </c>
      <c r="AG128" s="20">
        <v>0</v>
      </c>
      <c r="AH128" s="20">
        <v>0</v>
      </c>
      <c r="AI128" s="20">
        <v>0</v>
      </c>
      <c r="AJ128" s="20">
        <v>0</v>
      </c>
      <c r="AK128" s="20" t="s">
        <v>576</v>
      </c>
      <c r="AL128" s="20">
        <v>0</v>
      </c>
      <c r="AM128" s="20">
        <v>0</v>
      </c>
      <c r="AN128" s="20">
        <v>0</v>
      </c>
      <c r="AO128" s="20">
        <v>0</v>
      </c>
      <c r="AP128" s="20">
        <v>0</v>
      </c>
      <c r="AR128" s="20">
        <v>0</v>
      </c>
      <c r="AS128" s="20">
        <v>0</v>
      </c>
      <c r="AT128" s="20">
        <v>1414661.98</v>
      </c>
      <c r="AU128" s="20" t="s">
        <v>13</v>
      </c>
      <c r="AV128" s="20" t="s">
        <v>24</v>
      </c>
      <c r="AW128" s="111" t="s">
        <v>79</v>
      </c>
      <c r="AX128" s="20" t="s">
        <v>208</v>
      </c>
      <c r="AY128" s="19" t="s">
        <v>209</v>
      </c>
      <c r="AZ128" s="19">
        <v>0</v>
      </c>
      <c r="BA128" s="19">
        <v>210196.18</v>
      </c>
      <c r="BB128" s="19">
        <v>1098</v>
      </c>
      <c r="BC128" s="66">
        <v>46303</v>
      </c>
      <c r="BD128" s="19" t="s">
        <v>65</v>
      </c>
      <c r="BE128" s="19" t="s">
        <v>210</v>
      </c>
      <c r="BF128" s="19" t="s">
        <v>210</v>
      </c>
      <c r="BG128" s="19">
        <v>9</v>
      </c>
      <c r="BH128" s="19">
        <v>18917.66</v>
      </c>
      <c r="BI128" s="19">
        <v>9</v>
      </c>
      <c r="BJ128" s="19">
        <v>18917.66</v>
      </c>
      <c r="BK128" s="19">
        <v>0</v>
      </c>
      <c r="BL128" s="19">
        <v>0</v>
      </c>
      <c r="BM128" s="19">
        <v>0</v>
      </c>
      <c r="BN128" s="19">
        <v>672160456610</v>
      </c>
      <c r="BO128" s="66">
        <v>46244</v>
      </c>
      <c r="BP128" s="19">
        <v>0</v>
      </c>
    </row>
    <row r="129" spans="1:68">
      <c r="A129" s="65"/>
      <c r="B129" s="20" t="s">
        <v>2165</v>
      </c>
      <c r="C129" s="111">
        <v>46303</v>
      </c>
      <c r="D129" s="20" t="s">
        <v>3504</v>
      </c>
      <c r="E129" s="20" t="s">
        <v>23</v>
      </c>
      <c r="F129" s="20" t="s">
        <v>24</v>
      </c>
      <c r="H129" s="20" t="s">
        <v>3505</v>
      </c>
      <c r="I129" s="20">
        <v>974.8</v>
      </c>
      <c r="J129" s="20">
        <v>974.8</v>
      </c>
      <c r="K129" s="20" t="s">
        <v>11</v>
      </c>
      <c r="L129" s="20">
        <v>974.8</v>
      </c>
      <c r="M129" s="20">
        <v>0</v>
      </c>
      <c r="N129" s="20">
        <v>974.8</v>
      </c>
      <c r="O129" s="20" t="s">
        <v>2156</v>
      </c>
      <c r="P129" s="20" t="s">
        <v>87</v>
      </c>
      <c r="Q129" s="20" t="s">
        <v>87</v>
      </c>
      <c r="R129" s="20" t="s">
        <v>2790</v>
      </c>
      <c r="S129" s="111">
        <v>46303</v>
      </c>
      <c r="T129" s="20" t="s">
        <v>206</v>
      </c>
      <c r="U129" s="20" t="s">
        <v>207</v>
      </c>
      <c r="V129" s="20" t="s">
        <v>2789</v>
      </c>
      <c r="W129" s="20">
        <v>144.32</v>
      </c>
      <c r="X129" s="20">
        <v>144.32000081613799</v>
      </c>
      <c r="Y129" s="20" t="s">
        <v>2790</v>
      </c>
      <c r="Z129" s="111">
        <v>46303</v>
      </c>
      <c r="AB129" s="20" t="s">
        <v>2290</v>
      </c>
      <c r="AD129" s="20" t="s">
        <v>2290</v>
      </c>
      <c r="AE129" s="20" t="s">
        <v>2290</v>
      </c>
      <c r="AF129" s="20">
        <v>0</v>
      </c>
      <c r="AG129" s="20">
        <v>0</v>
      </c>
      <c r="AH129" s="20">
        <v>0</v>
      </c>
      <c r="AI129" s="20">
        <v>0</v>
      </c>
      <c r="AJ129" s="20">
        <v>0</v>
      </c>
      <c r="AK129" s="20" t="s">
        <v>576</v>
      </c>
      <c r="AL129" s="20">
        <v>0</v>
      </c>
      <c r="AM129" s="20">
        <v>0</v>
      </c>
      <c r="AN129" s="20">
        <v>0</v>
      </c>
      <c r="AO129" s="20">
        <v>0</v>
      </c>
      <c r="AP129" s="20">
        <v>0</v>
      </c>
      <c r="AR129" s="20">
        <v>0</v>
      </c>
      <c r="AS129" s="20">
        <v>0</v>
      </c>
      <c r="AT129" s="20">
        <v>1414661.98</v>
      </c>
      <c r="AU129" s="20" t="s">
        <v>13</v>
      </c>
      <c r="AV129" s="20" t="s">
        <v>24</v>
      </c>
      <c r="AW129" s="111" t="s">
        <v>79</v>
      </c>
      <c r="AX129" s="20" t="s">
        <v>208</v>
      </c>
      <c r="AY129" s="19" t="s">
        <v>209</v>
      </c>
      <c r="AZ129" s="19">
        <v>0</v>
      </c>
      <c r="BA129" s="19">
        <v>140683.14000000001</v>
      </c>
      <c r="BB129" s="19">
        <v>1098</v>
      </c>
      <c r="BC129" s="66">
        <v>46303</v>
      </c>
      <c r="BD129" s="19" t="s">
        <v>65</v>
      </c>
      <c r="BE129" s="19" t="s">
        <v>210</v>
      </c>
      <c r="BF129" s="19" t="s">
        <v>210</v>
      </c>
      <c r="BG129" s="19">
        <v>9</v>
      </c>
      <c r="BH129" s="19">
        <v>12661.48</v>
      </c>
      <c r="BI129" s="19">
        <v>9</v>
      </c>
      <c r="BJ129" s="19">
        <v>12661.48</v>
      </c>
      <c r="BK129" s="19">
        <v>0</v>
      </c>
      <c r="BL129" s="19">
        <v>0</v>
      </c>
      <c r="BM129" s="19">
        <v>0</v>
      </c>
      <c r="BN129" s="19">
        <v>672160456610</v>
      </c>
      <c r="BO129" s="66">
        <v>46244</v>
      </c>
      <c r="BP129" s="19">
        <v>0</v>
      </c>
    </row>
    <row r="130" spans="1:68">
      <c r="A130" s="65"/>
      <c r="B130" s="20" t="s">
        <v>2165</v>
      </c>
      <c r="C130" s="111">
        <v>46334</v>
      </c>
      <c r="D130" s="20" t="s">
        <v>3506</v>
      </c>
      <c r="E130" s="20" t="s">
        <v>3488</v>
      </c>
      <c r="F130" s="20" t="s">
        <v>2760</v>
      </c>
      <c r="H130" s="20" t="s">
        <v>3507</v>
      </c>
      <c r="I130" s="20">
        <v>3385.8</v>
      </c>
      <c r="J130" s="20">
        <v>3385.8</v>
      </c>
      <c r="K130" s="20" t="s">
        <v>11</v>
      </c>
      <c r="L130" s="20">
        <v>3385.8</v>
      </c>
      <c r="M130" s="20">
        <v>0</v>
      </c>
      <c r="N130" s="20">
        <v>3385.8</v>
      </c>
      <c r="O130" s="20" t="s">
        <v>3508</v>
      </c>
      <c r="P130" s="20" t="s">
        <v>103</v>
      </c>
      <c r="Q130" s="20" t="s">
        <v>103</v>
      </c>
      <c r="R130" s="20" t="s">
        <v>2792</v>
      </c>
      <c r="S130" s="111">
        <v>46303</v>
      </c>
      <c r="T130" s="20" t="s">
        <v>206</v>
      </c>
      <c r="U130" s="20" t="s">
        <v>207</v>
      </c>
      <c r="V130" s="20" t="s">
        <v>2791</v>
      </c>
      <c r="W130" s="20">
        <v>152.16999999999999</v>
      </c>
      <c r="X130" s="20">
        <v>152.17000118140501</v>
      </c>
      <c r="Y130" s="20" t="s">
        <v>2792</v>
      </c>
      <c r="Z130" s="111">
        <v>46303</v>
      </c>
      <c r="AB130" s="20" t="s">
        <v>2290</v>
      </c>
      <c r="AD130" s="20" t="s">
        <v>3509</v>
      </c>
      <c r="AE130" s="20" t="s">
        <v>2290</v>
      </c>
      <c r="AF130" s="20">
        <v>0</v>
      </c>
      <c r="AG130" s="20">
        <v>0</v>
      </c>
      <c r="AH130" s="20">
        <v>0</v>
      </c>
      <c r="AI130" s="20">
        <v>0</v>
      </c>
      <c r="AJ130" s="20">
        <v>0</v>
      </c>
      <c r="AK130" s="20" t="s">
        <v>576</v>
      </c>
      <c r="AL130" s="20">
        <v>0</v>
      </c>
      <c r="AM130" s="20">
        <v>0</v>
      </c>
      <c r="AN130" s="20">
        <v>0</v>
      </c>
      <c r="AO130" s="20">
        <v>0</v>
      </c>
      <c r="AP130" s="20">
        <v>0</v>
      </c>
      <c r="AR130" s="20">
        <v>0</v>
      </c>
      <c r="AS130" s="20">
        <v>0</v>
      </c>
      <c r="AT130" s="20">
        <v>515217.19</v>
      </c>
      <c r="AU130" s="20" t="s">
        <v>15</v>
      </c>
      <c r="AV130" s="20" t="s">
        <v>2758</v>
      </c>
      <c r="AW130" s="111" t="s">
        <v>2759</v>
      </c>
      <c r="AX130" s="20" t="s">
        <v>15</v>
      </c>
      <c r="AY130" s="19" t="s">
        <v>209</v>
      </c>
      <c r="AZ130" s="19">
        <v>0</v>
      </c>
      <c r="BA130" s="19">
        <v>515217.19</v>
      </c>
      <c r="BB130" s="19">
        <v>17</v>
      </c>
      <c r="BC130" s="66">
        <v>46334</v>
      </c>
      <c r="BD130" s="19" t="s">
        <v>104</v>
      </c>
      <c r="BE130" s="19" t="s">
        <v>210</v>
      </c>
      <c r="BF130" s="19" t="s">
        <v>210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>
        <v>0</v>
      </c>
      <c r="BM130" s="19">
        <v>515217.19</v>
      </c>
      <c r="BN130" s="19">
        <v>672160894175</v>
      </c>
      <c r="BO130" s="66">
        <v>46244</v>
      </c>
      <c r="BP130" s="19">
        <v>0</v>
      </c>
    </row>
    <row r="131" spans="1:68">
      <c r="A131" s="65"/>
      <c r="B131" s="20" t="s">
        <v>2165</v>
      </c>
      <c r="C131" s="111">
        <v>46334</v>
      </c>
      <c r="D131" s="20" t="s">
        <v>3510</v>
      </c>
      <c r="E131" s="20" t="s">
        <v>211</v>
      </c>
      <c r="F131" s="20" t="s">
        <v>16</v>
      </c>
      <c r="H131" s="20" t="s">
        <v>3511</v>
      </c>
      <c r="I131" s="20">
        <v>1595</v>
      </c>
      <c r="J131" s="20">
        <v>1595</v>
      </c>
      <c r="K131" s="20" t="s">
        <v>11</v>
      </c>
      <c r="L131" s="20">
        <v>1595</v>
      </c>
      <c r="M131" s="20">
        <v>0</v>
      </c>
      <c r="N131" s="20">
        <v>1595</v>
      </c>
      <c r="O131" s="20" t="s">
        <v>3449</v>
      </c>
      <c r="P131" s="20" t="s">
        <v>94</v>
      </c>
      <c r="Q131" s="20" t="s">
        <v>94</v>
      </c>
      <c r="R131" s="20" t="s">
        <v>2804</v>
      </c>
      <c r="S131" s="111">
        <v>46334</v>
      </c>
      <c r="T131" s="20" t="s">
        <v>206</v>
      </c>
      <c r="U131" s="20" t="s">
        <v>207</v>
      </c>
      <c r="V131" s="20" t="s">
        <v>2803</v>
      </c>
      <c r="W131" s="20">
        <v>179.89</v>
      </c>
      <c r="X131" s="20">
        <v>179.89</v>
      </c>
      <c r="Y131" s="20" t="s">
        <v>2804</v>
      </c>
      <c r="Z131" s="111">
        <v>46334</v>
      </c>
      <c r="AB131" s="20" t="s">
        <v>2290</v>
      </c>
      <c r="AD131" s="20" t="s">
        <v>2290</v>
      </c>
      <c r="AE131" s="20" t="s">
        <v>2290</v>
      </c>
      <c r="AF131" s="20">
        <v>0</v>
      </c>
      <c r="AG131" s="20">
        <v>0</v>
      </c>
      <c r="AH131" s="20">
        <v>0</v>
      </c>
      <c r="AI131" s="20">
        <v>0</v>
      </c>
      <c r="AJ131" s="20">
        <v>0</v>
      </c>
      <c r="AK131" s="20" t="s">
        <v>576</v>
      </c>
      <c r="AL131" s="20">
        <v>0</v>
      </c>
      <c r="AM131" s="20">
        <v>0</v>
      </c>
      <c r="AN131" s="20">
        <v>0</v>
      </c>
      <c r="AO131" s="20">
        <v>0</v>
      </c>
      <c r="AP131" s="20">
        <v>0</v>
      </c>
      <c r="AR131" s="20">
        <v>0</v>
      </c>
      <c r="AS131" s="20">
        <v>0</v>
      </c>
      <c r="AT131" s="20">
        <v>975891.42</v>
      </c>
      <c r="AU131" s="20" t="s">
        <v>15</v>
      </c>
      <c r="AV131" s="20" t="s">
        <v>57</v>
      </c>
      <c r="AW131" s="111" t="s">
        <v>57</v>
      </c>
      <c r="AX131" s="20" t="s">
        <v>15</v>
      </c>
      <c r="AY131" s="19" t="s">
        <v>209</v>
      </c>
      <c r="AZ131" s="19">
        <v>0</v>
      </c>
      <c r="BA131" s="19">
        <v>286924.55</v>
      </c>
      <c r="BB131" s="19">
        <v>1101</v>
      </c>
      <c r="BC131" s="66">
        <v>46334</v>
      </c>
      <c r="BD131" s="19" t="s">
        <v>74</v>
      </c>
      <c r="BE131" s="19" t="s">
        <v>210</v>
      </c>
      <c r="BF131" s="19" t="s">
        <v>210</v>
      </c>
      <c r="BG131" s="19">
        <v>9</v>
      </c>
      <c r="BH131" s="19">
        <v>25823.21</v>
      </c>
      <c r="BI131" s="19">
        <v>9</v>
      </c>
      <c r="BJ131" s="19">
        <v>25823.21</v>
      </c>
      <c r="BK131" s="19">
        <v>0</v>
      </c>
      <c r="BL131" s="19">
        <v>0</v>
      </c>
      <c r="BM131" s="19">
        <v>975891.42</v>
      </c>
      <c r="BN131" s="19">
        <v>652161163742</v>
      </c>
      <c r="BO131" s="66">
        <v>46245</v>
      </c>
      <c r="BP131" s="19">
        <v>0</v>
      </c>
    </row>
    <row r="132" spans="1:68">
      <c r="A132" s="65"/>
      <c r="B132" s="20" t="s">
        <v>2165</v>
      </c>
      <c r="C132" s="111">
        <v>46334</v>
      </c>
      <c r="D132" s="20" t="s">
        <v>3510</v>
      </c>
      <c r="E132" s="20" t="s">
        <v>211</v>
      </c>
      <c r="F132" s="20" t="s">
        <v>16</v>
      </c>
      <c r="H132" s="20" t="s">
        <v>3511</v>
      </c>
      <c r="I132" s="20">
        <v>3043</v>
      </c>
      <c r="J132" s="20">
        <v>3043</v>
      </c>
      <c r="K132" s="20" t="s">
        <v>11</v>
      </c>
      <c r="L132" s="20">
        <v>3043</v>
      </c>
      <c r="M132" s="20">
        <v>0</v>
      </c>
      <c r="N132" s="20">
        <v>3043</v>
      </c>
      <c r="O132" s="20" t="s">
        <v>3449</v>
      </c>
      <c r="P132" s="20" t="s">
        <v>94</v>
      </c>
      <c r="Q132" s="20" t="s">
        <v>94</v>
      </c>
      <c r="R132" s="20" t="s">
        <v>2804</v>
      </c>
      <c r="S132" s="111">
        <v>46334</v>
      </c>
      <c r="T132" s="20" t="s">
        <v>206</v>
      </c>
      <c r="U132" s="20" t="s">
        <v>207</v>
      </c>
      <c r="V132" s="20" t="s">
        <v>2803</v>
      </c>
      <c r="W132" s="20">
        <v>177.49</v>
      </c>
      <c r="X132" s="20">
        <v>177.49</v>
      </c>
      <c r="Y132" s="20" t="s">
        <v>2804</v>
      </c>
      <c r="Z132" s="111">
        <v>46334</v>
      </c>
      <c r="AB132" s="20" t="s">
        <v>2290</v>
      </c>
      <c r="AD132" s="20" t="s">
        <v>2290</v>
      </c>
      <c r="AE132" s="20" t="s">
        <v>2290</v>
      </c>
      <c r="AF132" s="20">
        <v>0</v>
      </c>
      <c r="AG132" s="20">
        <v>0</v>
      </c>
      <c r="AH132" s="20">
        <v>0</v>
      </c>
      <c r="AI132" s="20">
        <v>0</v>
      </c>
      <c r="AJ132" s="20">
        <v>0</v>
      </c>
      <c r="AK132" s="20" t="s">
        <v>576</v>
      </c>
      <c r="AL132" s="20">
        <v>0</v>
      </c>
      <c r="AM132" s="20">
        <v>0</v>
      </c>
      <c r="AN132" s="20">
        <v>0</v>
      </c>
      <c r="AO132" s="20">
        <v>0</v>
      </c>
      <c r="AP132" s="20">
        <v>0</v>
      </c>
      <c r="AR132" s="20">
        <v>0</v>
      </c>
      <c r="AS132" s="20">
        <v>0</v>
      </c>
      <c r="AT132" s="20">
        <v>975891.42</v>
      </c>
      <c r="AU132" s="20" t="s">
        <v>15</v>
      </c>
      <c r="AV132" s="20" t="s">
        <v>57</v>
      </c>
      <c r="AW132" s="111" t="s">
        <v>57</v>
      </c>
      <c r="AX132" s="20" t="s">
        <v>15</v>
      </c>
      <c r="AY132" s="19" t="s">
        <v>209</v>
      </c>
      <c r="AZ132" s="19">
        <v>0</v>
      </c>
      <c r="BA132" s="19">
        <v>540102.06999999995</v>
      </c>
      <c r="BB132" s="19">
        <v>1101</v>
      </c>
      <c r="BC132" s="66">
        <v>46334</v>
      </c>
      <c r="BD132" s="19" t="s">
        <v>74</v>
      </c>
      <c r="BE132" s="19" t="s">
        <v>210</v>
      </c>
      <c r="BF132" s="19" t="s">
        <v>210</v>
      </c>
      <c r="BG132" s="19">
        <v>9</v>
      </c>
      <c r="BH132" s="19">
        <v>48609.19</v>
      </c>
      <c r="BI132" s="19">
        <v>9</v>
      </c>
      <c r="BJ132" s="19">
        <v>48609.19</v>
      </c>
      <c r="BK132" s="19">
        <v>0</v>
      </c>
      <c r="BL132" s="19">
        <v>0</v>
      </c>
      <c r="BM132" s="19">
        <v>0</v>
      </c>
      <c r="BN132" s="19">
        <v>652161163742</v>
      </c>
      <c r="BO132" s="66">
        <v>46245</v>
      </c>
      <c r="BP132" s="19">
        <v>0</v>
      </c>
    </row>
    <row r="133" spans="1:68">
      <c r="A133" s="65"/>
      <c r="B133" s="20" t="s">
        <v>2165</v>
      </c>
      <c r="C133" s="111">
        <v>46334</v>
      </c>
      <c r="D133" s="20" t="s">
        <v>3512</v>
      </c>
      <c r="E133" s="20" t="s">
        <v>18</v>
      </c>
      <c r="F133" s="20" t="s">
        <v>19</v>
      </c>
      <c r="H133" s="20" t="s">
        <v>3513</v>
      </c>
      <c r="I133" s="20">
        <v>906</v>
      </c>
      <c r="J133" s="20">
        <v>906</v>
      </c>
      <c r="K133" s="20" t="s">
        <v>11</v>
      </c>
      <c r="L133" s="20">
        <v>906</v>
      </c>
      <c r="M133" s="20">
        <v>0</v>
      </c>
      <c r="N133" s="20">
        <v>906</v>
      </c>
      <c r="O133" s="20" t="s">
        <v>2156</v>
      </c>
      <c r="P133" s="20" t="s">
        <v>87</v>
      </c>
      <c r="Q133" s="20" t="s">
        <v>87</v>
      </c>
      <c r="R133" s="20" t="s">
        <v>2796</v>
      </c>
      <c r="S133" s="111">
        <v>46334</v>
      </c>
      <c r="T133" s="20" t="s">
        <v>206</v>
      </c>
      <c r="U133" s="20" t="s">
        <v>207</v>
      </c>
      <c r="V133" s="20" t="s">
        <v>2795</v>
      </c>
      <c r="W133" s="20">
        <v>144.32</v>
      </c>
      <c r="X133" s="20">
        <v>144.32</v>
      </c>
      <c r="Y133" s="20" t="s">
        <v>2796</v>
      </c>
      <c r="Z133" s="111">
        <v>46334</v>
      </c>
      <c r="AB133" s="20" t="s">
        <v>2290</v>
      </c>
      <c r="AD133" s="20" t="s">
        <v>2290</v>
      </c>
      <c r="AE133" s="20" t="s">
        <v>2290</v>
      </c>
      <c r="AF133" s="20">
        <v>0</v>
      </c>
      <c r="AG133" s="20">
        <v>0</v>
      </c>
      <c r="AH133" s="20">
        <v>0</v>
      </c>
      <c r="AI133" s="20">
        <v>0</v>
      </c>
      <c r="AJ133" s="20">
        <v>0</v>
      </c>
      <c r="AK133" s="20" t="s">
        <v>576</v>
      </c>
      <c r="AL133" s="20">
        <v>0</v>
      </c>
      <c r="AM133" s="20">
        <v>0</v>
      </c>
      <c r="AN133" s="20">
        <v>0</v>
      </c>
      <c r="AO133" s="20">
        <v>0</v>
      </c>
      <c r="AP133" s="20">
        <v>0</v>
      </c>
      <c r="AR133" s="20">
        <v>0</v>
      </c>
      <c r="AS133" s="20">
        <v>0</v>
      </c>
      <c r="AT133" s="20">
        <v>1324646.76</v>
      </c>
      <c r="AU133" s="20" t="s">
        <v>13</v>
      </c>
      <c r="AV133" s="20" t="s">
        <v>62</v>
      </c>
      <c r="AW133" s="111" t="s">
        <v>63</v>
      </c>
      <c r="AX133" s="20" t="s">
        <v>208</v>
      </c>
      <c r="AY133" s="19" t="s">
        <v>209</v>
      </c>
      <c r="AZ133" s="19">
        <v>0</v>
      </c>
      <c r="BA133" s="19">
        <v>130753.92</v>
      </c>
      <c r="BB133" s="19">
        <v>1100</v>
      </c>
      <c r="BC133" s="66">
        <v>46334</v>
      </c>
      <c r="BD133" s="19" t="s">
        <v>65</v>
      </c>
      <c r="BE133" s="19" t="s">
        <v>210</v>
      </c>
      <c r="BF133" s="19" t="s">
        <v>210</v>
      </c>
      <c r="BG133" s="19">
        <v>9</v>
      </c>
      <c r="BH133" s="19">
        <v>11767.85</v>
      </c>
      <c r="BI133" s="19">
        <v>9</v>
      </c>
      <c r="BJ133" s="19">
        <v>11767.85</v>
      </c>
      <c r="BK133" s="19">
        <v>0</v>
      </c>
      <c r="BL133" s="19">
        <v>0</v>
      </c>
      <c r="BM133" s="19">
        <v>1324646.76</v>
      </c>
      <c r="BN133" s="19">
        <v>662161019125</v>
      </c>
      <c r="BO133" s="66">
        <v>46245</v>
      </c>
      <c r="BP133" s="19">
        <v>0</v>
      </c>
    </row>
    <row r="134" spans="1:68">
      <c r="A134" s="65"/>
      <c r="B134" s="20" t="s">
        <v>2165</v>
      </c>
      <c r="C134" s="111">
        <v>46334</v>
      </c>
      <c r="D134" s="20" t="s">
        <v>3512</v>
      </c>
      <c r="E134" s="20" t="s">
        <v>18</v>
      </c>
      <c r="F134" s="20" t="s">
        <v>19</v>
      </c>
      <c r="H134" s="20" t="s">
        <v>3513</v>
      </c>
      <c r="I134" s="20">
        <v>6969</v>
      </c>
      <c r="J134" s="20">
        <v>6969</v>
      </c>
      <c r="K134" s="20" t="s">
        <v>11</v>
      </c>
      <c r="L134" s="20">
        <v>6969</v>
      </c>
      <c r="M134" s="20">
        <v>0</v>
      </c>
      <c r="N134" s="20">
        <v>6969</v>
      </c>
      <c r="O134" s="20" t="s">
        <v>2156</v>
      </c>
      <c r="P134" s="20" t="s">
        <v>87</v>
      </c>
      <c r="Q134" s="20" t="s">
        <v>87</v>
      </c>
      <c r="R134" s="20" t="s">
        <v>2796</v>
      </c>
      <c r="S134" s="111">
        <v>46334</v>
      </c>
      <c r="T134" s="20" t="s">
        <v>206</v>
      </c>
      <c r="U134" s="20" t="s">
        <v>207</v>
      </c>
      <c r="V134" s="20" t="s">
        <v>2795</v>
      </c>
      <c r="W134" s="20">
        <v>142.32</v>
      </c>
      <c r="X134" s="20">
        <v>142.32</v>
      </c>
      <c r="Y134" s="20" t="s">
        <v>2796</v>
      </c>
      <c r="Z134" s="111">
        <v>46334</v>
      </c>
      <c r="AB134" s="20" t="s">
        <v>2290</v>
      </c>
      <c r="AD134" s="20" t="s">
        <v>2290</v>
      </c>
      <c r="AE134" s="20" t="s">
        <v>2290</v>
      </c>
      <c r="AF134" s="20">
        <v>0</v>
      </c>
      <c r="AG134" s="20">
        <v>0</v>
      </c>
      <c r="AH134" s="20">
        <v>0</v>
      </c>
      <c r="AI134" s="20">
        <v>0</v>
      </c>
      <c r="AJ134" s="20">
        <v>0</v>
      </c>
      <c r="AK134" s="20" t="s">
        <v>576</v>
      </c>
      <c r="AL134" s="20">
        <v>0</v>
      </c>
      <c r="AM134" s="20">
        <v>0</v>
      </c>
      <c r="AN134" s="20">
        <v>0</v>
      </c>
      <c r="AO134" s="20">
        <v>0</v>
      </c>
      <c r="AP134" s="20">
        <v>0</v>
      </c>
      <c r="AR134" s="20">
        <v>0</v>
      </c>
      <c r="AS134" s="20">
        <v>0</v>
      </c>
      <c r="AT134" s="20">
        <v>1324646.76</v>
      </c>
      <c r="AU134" s="20" t="s">
        <v>13</v>
      </c>
      <c r="AV134" s="20" t="s">
        <v>62</v>
      </c>
      <c r="AW134" s="111" t="s">
        <v>63</v>
      </c>
      <c r="AX134" s="20" t="s">
        <v>208</v>
      </c>
      <c r="AY134" s="19" t="s">
        <v>209</v>
      </c>
      <c r="AZ134" s="19">
        <v>0</v>
      </c>
      <c r="BA134" s="19">
        <v>991828.08</v>
      </c>
      <c r="BB134" s="19">
        <v>1100</v>
      </c>
      <c r="BC134" s="66">
        <v>46334</v>
      </c>
      <c r="BD134" s="19" t="s">
        <v>65</v>
      </c>
      <c r="BE134" s="19" t="s">
        <v>210</v>
      </c>
      <c r="BF134" s="19" t="s">
        <v>210</v>
      </c>
      <c r="BG134" s="19">
        <v>9</v>
      </c>
      <c r="BH134" s="19">
        <v>89264.53</v>
      </c>
      <c r="BI134" s="19">
        <v>9</v>
      </c>
      <c r="BJ134" s="19">
        <v>89264.53</v>
      </c>
      <c r="BK134" s="19">
        <v>0</v>
      </c>
      <c r="BL134" s="19">
        <v>0</v>
      </c>
      <c r="BM134" s="19">
        <v>0</v>
      </c>
      <c r="BN134" s="19">
        <v>662161019125</v>
      </c>
      <c r="BO134" s="66">
        <v>46245</v>
      </c>
      <c r="BP134" s="19">
        <v>0</v>
      </c>
    </row>
    <row r="135" spans="1:68">
      <c r="A135" s="65"/>
      <c r="B135" s="20" t="s">
        <v>2165</v>
      </c>
      <c r="C135" s="111">
        <v>46334</v>
      </c>
      <c r="D135" s="20" t="s">
        <v>3514</v>
      </c>
      <c r="E135" s="20" t="s">
        <v>554</v>
      </c>
      <c r="F135" s="20" t="s">
        <v>553</v>
      </c>
      <c r="H135" s="20" t="s">
        <v>3513</v>
      </c>
      <c r="I135" s="20">
        <v>503.3</v>
      </c>
      <c r="J135" s="20">
        <v>503.3</v>
      </c>
      <c r="K135" s="20" t="s">
        <v>3</v>
      </c>
      <c r="L135" s="20">
        <v>503.3</v>
      </c>
      <c r="M135" s="20">
        <v>0</v>
      </c>
      <c r="N135" s="20">
        <v>503.3</v>
      </c>
      <c r="O135" s="20" t="s">
        <v>2156</v>
      </c>
      <c r="P135" s="20" t="s">
        <v>87</v>
      </c>
      <c r="Q135" s="20" t="s">
        <v>87</v>
      </c>
      <c r="R135" s="20" t="s">
        <v>2798</v>
      </c>
      <c r="S135" s="111">
        <v>46303</v>
      </c>
      <c r="T135" s="20" t="s">
        <v>206</v>
      </c>
      <c r="U135" s="20" t="s">
        <v>207</v>
      </c>
      <c r="V135" s="20" t="s">
        <v>2797</v>
      </c>
      <c r="W135" s="20">
        <v>154.32</v>
      </c>
      <c r="X135" s="20">
        <v>154.32000756909201</v>
      </c>
      <c r="Y135" s="20" t="s">
        <v>2798</v>
      </c>
      <c r="Z135" s="111">
        <v>46303</v>
      </c>
      <c r="AB135" s="20" t="s">
        <v>2290</v>
      </c>
      <c r="AD135" s="20" t="s">
        <v>2290</v>
      </c>
      <c r="AE135" s="20" t="s">
        <v>2290</v>
      </c>
      <c r="AF135" s="20">
        <v>0</v>
      </c>
      <c r="AG135" s="20">
        <v>0</v>
      </c>
      <c r="AH135" s="20">
        <v>0</v>
      </c>
      <c r="AI135" s="20">
        <v>0</v>
      </c>
      <c r="AJ135" s="20">
        <v>0</v>
      </c>
      <c r="AK135" s="20" t="s">
        <v>576</v>
      </c>
      <c r="AL135" s="20">
        <v>0</v>
      </c>
      <c r="AM135" s="20">
        <v>0</v>
      </c>
      <c r="AN135" s="20">
        <v>0</v>
      </c>
      <c r="AO135" s="20">
        <v>0</v>
      </c>
      <c r="AP135" s="20">
        <v>0</v>
      </c>
      <c r="AR135" s="20">
        <v>0</v>
      </c>
      <c r="AS135" s="20">
        <v>0</v>
      </c>
      <c r="AT135" s="20">
        <v>81552.72</v>
      </c>
      <c r="AU135" s="20" t="s">
        <v>13</v>
      </c>
      <c r="AV135" s="20" t="s">
        <v>99</v>
      </c>
      <c r="AW135" s="111" t="s">
        <v>100</v>
      </c>
      <c r="AX135" s="20" t="s">
        <v>208</v>
      </c>
      <c r="AY135" s="19"/>
      <c r="AZ135" s="19">
        <v>0</v>
      </c>
      <c r="BA135" s="19">
        <v>77669.259999999995</v>
      </c>
      <c r="BB135" s="19">
        <v>1099</v>
      </c>
      <c r="BC135" s="66">
        <v>46334</v>
      </c>
      <c r="BD135" s="19" t="s">
        <v>65</v>
      </c>
      <c r="BE135" s="19" t="s">
        <v>210</v>
      </c>
      <c r="BF135" s="19" t="s">
        <v>210</v>
      </c>
      <c r="BG135" s="19">
        <v>2.5</v>
      </c>
      <c r="BH135" s="19">
        <v>1941.73</v>
      </c>
      <c r="BI135" s="19">
        <v>2.5</v>
      </c>
      <c r="BJ135" s="19">
        <v>1941.73</v>
      </c>
      <c r="BK135" s="19">
        <v>0</v>
      </c>
      <c r="BL135" s="19">
        <v>0</v>
      </c>
      <c r="BM135" s="19">
        <v>81552.72</v>
      </c>
      <c r="BN135" s="19">
        <v>642160569021</v>
      </c>
      <c r="BO135" s="66">
        <v>46244</v>
      </c>
      <c r="BP135" s="19">
        <v>0</v>
      </c>
    </row>
    <row r="136" spans="1:68">
      <c r="A136" s="65"/>
      <c r="B136" s="20" t="s">
        <v>2165</v>
      </c>
      <c r="C136" s="111">
        <v>46334</v>
      </c>
      <c r="D136" s="20" t="s">
        <v>3515</v>
      </c>
      <c r="E136" s="20" t="s">
        <v>2341</v>
      </c>
      <c r="F136" s="20" t="s">
        <v>2076</v>
      </c>
      <c r="H136" s="20" t="s">
        <v>3516</v>
      </c>
      <c r="I136" s="20">
        <v>187</v>
      </c>
      <c r="J136" s="20">
        <v>187</v>
      </c>
      <c r="K136" s="20" t="s">
        <v>11</v>
      </c>
      <c r="L136" s="20">
        <v>187</v>
      </c>
      <c r="M136" s="20">
        <v>0</v>
      </c>
      <c r="N136" s="20">
        <v>187</v>
      </c>
      <c r="O136" s="20" t="s">
        <v>3449</v>
      </c>
      <c r="P136" s="20" t="s">
        <v>94</v>
      </c>
      <c r="Q136" s="20" t="s">
        <v>94</v>
      </c>
      <c r="R136" s="20" t="s">
        <v>2806</v>
      </c>
      <c r="S136" s="111">
        <v>46334</v>
      </c>
      <c r="T136" s="20" t="s">
        <v>206</v>
      </c>
      <c r="U136" s="20" t="s">
        <v>207</v>
      </c>
      <c r="V136" s="20" t="s">
        <v>2805</v>
      </c>
      <c r="W136" s="20">
        <v>133.58000000000001</v>
      </c>
      <c r="X136" s="20">
        <v>133.58000000000001</v>
      </c>
      <c r="Y136" s="20" t="s">
        <v>2806</v>
      </c>
      <c r="Z136" s="111">
        <v>46334</v>
      </c>
      <c r="AB136" s="20" t="s">
        <v>2290</v>
      </c>
      <c r="AD136" s="20" t="s">
        <v>2290</v>
      </c>
      <c r="AE136" s="20" t="s">
        <v>2290</v>
      </c>
      <c r="AF136" s="20">
        <v>0</v>
      </c>
      <c r="AG136" s="20">
        <v>0</v>
      </c>
      <c r="AH136" s="20">
        <v>0</v>
      </c>
      <c r="AI136" s="20">
        <v>0</v>
      </c>
      <c r="AJ136" s="20">
        <v>0</v>
      </c>
      <c r="AK136" s="20" t="s">
        <v>576</v>
      </c>
      <c r="AL136" s="20">
        <v>0</v>
      </c>
      <c r="AM136" s="20">
        <v>0</v>
      </c>
      <c r="AN136" s="20">
        <v>0</v>
      </c>
      <c r="AO136" s="20">
        <v>0</v>
      </c>
      <c r="AP136" s="20">
        <v>0</v>
      </c>
      <c r="AR136" s="20">
        <v>0</v>
      </c>
      <c r="AS136" s="20">
        <v>0</v>
      </c>
      <c r="AT136" s="20">
        <v>29475.759999999998</v>
      </c>
      <c r="AU136" s="20" t="s">
        <v>15</v>
      </c>
      <c r="AV136" s="20" t="s">
        <v>2076</v>
      </c>
      <c r="AW136" s="111" t="s">
        <v>2076</v>
      </c>
      <c r="AX136" s="20" t="s">
        <v>208</v>
      </c>
      <c r="AY136" s="19" t="s">
        <v>209</v>
      </c>
      <c r="AZ136" s="19">
        <v>0</v>
      </c>
      <c r="BA136" s="19">
        <v>24979.46</v>
      </c>
      <c r="BB136" s="19">
        <v>1103</v>
      </c>
      <c r="BC136" s="66">
        <v>46334</v>
      </c>
      <c r="BD136" s="19" t="s">
        <v>74</v>
      </c>
      <c r="BE136" s="19" t="s">
        <v>210</v>
      </c>
      <c r="BF136" s="19" t="s">
        <v>210</v>
      </c>
      <c r="BG136" s="19">
        <v>9</v>
      </c>
      <c r="BH136" s="19">
        <v>2248.15</v>
      </c>
      <c r="BI136" s="19">
        <v>9</v>
      </c>
      <c r="BJ136" s="19">
        <v>2248.15</v>
      </c>
      <c r="BK136" s="19">
        <v>0</v>
      </c>
      <c r="BL136" s="19">
        <v>0</v>
      </c>
      <c r="BM136" s="19">
        <v>29475.759999999998</v>
      </c>
      <c r="BN136" s="19">
        <v>662161201483</v>
      </c>
      <c r="BO136" s="66">
        <v>46245</v>
      </c>
      <c r="BP136" s="19">
        <v>0</v>
      </c>
    </row>
    <row r="137" spans="1:68">
      <c r="A137" s="65"/>
      <c r="B137" s="20" t="s">
        <v>2165</v>
      </c>
      <c r="C137" s="111">
        <v>46334</v>
      </c>
      <c r="D137" s="20" t="s">
        <v>3517</v>
      </c>
      <c r="E137" s="20" t="s">
        <v>160</v>
      </c>
      <c r="F137" s="20" t="s">
        <v>17</v>
      </c>
      <c r="H137" s="20" t="s">
        <v>3518</v>
      </c>
      <c r="I137" s="20">
        <v>3203</v>
      </c>
      <c r="J137" s="20">
        <v>3203</v>
      </c>
      <c r="K137" s="20" t="s">
        <v>11</v>
      </c>
      <c r="L137" s="20">
        <v>3203</v>
      </c>
      <c r="M137" s="20">
        <v>0</v>
      </c>
      <c r="N137" s="20">
        <v>3203</v>
      </c>
      <c r="O137" s="20" t="s">
        <v>2154</v>
      </c>
      <c r="P137" s="20" t="s">
        <v>87</v>
      </c>
      <c r="Q137" s="20" t="s">
        <v>87</v>
      </c>
      <c r="R137" s="20" t="s">
        <v>2800</v>
      </c>
      <c r="S137" s="111">
        <v>46334</v>
      </c>
      <c r="T137" s="20" t="s">
        <v>206</v>
      </c>
      <c r="U137" s="20" t="s">
        <v>207</v>
      </c>
      <c r="V137" s="20" t="s">
        <v>2799</v>
      </c>
      <c r="W137" s="20">
        <v>176.86</v>
      </c>
      <c r="X137" s="20">
        <v>176.86</v>
      </c>
      <c r="Y137" s="20" t="s">
        <v>2800</v>
      </c>
      <c r="Z137" s="111">
        <v>46334</v>
      </c>
      <c r="AB137" s="20" t="s">
        <v>2290</v>
      </c>
      <c r="AD137" s="20" t="s">
        <v>2290</v>
      </c>
      <c r="AE137" s="20" t="s">
        <v>2290</v>
      </c>
      <c r="AF137" s="20">
        <v>0</v>
      </c>
      <c r="AG137" s="20">
        <v>0</v>
      </c>
      <c r="AH137" s="20">
        <v>0</v>
      </c>
      <c r="AI137" s="20">
        <v>0</v>
      </c>
      <c r="AJ137" s="20">
        <v>0</v>
      </c>
      <c r="AK137" s="20" t="s">
        <v>576</v>
      </c>
      <c r="AL137" s="20">
        <v>0</v>
      </c>
      <c r="AM137" s="20">
        <v>0</v>
      </c>
      <c r="AN137" s="20">
        <v>0</v>
      </c>
      <c r="AO137" s="20">
        <v>0</v>
      </c>
      <c r="AP137" s="20">
        <v>0</v>
      </c>
      <c r="AR137" s="20">
        <v>0</v>
      </c>
      <c r="AS137" s="20">
        <v>0</v>
      </c>
      <c r="AT137" s="20">
        <v>668449.43999999994</v>
      </c>
      <c r="AU137" s="20" t="s">
        <v>13</v>
      </c>
      <c r="AV137" s="20" t="s">
        <v>80</v>
      </c>
      <c r="AW137" s="111" t="s">
        <v>81</v>
      </c>
      <c r="AX137" s="20" t="s">
        <v>208</v>
      </c>
      <c r="AY137" s="19" t="s">
        <v>209</v>
      </c>
      <c r="AZ137" s="19">
        <v>0</v>
      </c>
      <c r="BA137" s="19">
        <v>566482.57999999996</v>
      </c>
      <c r="BB137" s="19">
        <v>1107</v>
      </c>
      <c r="BC137" s="66">
        <v>46334</v>
      </c>
      <c r="BD137" s="19" t="s">
        <v>65</v>
      </c>
      <c r="BE137" s="19" t="s">
        <v>210</v>
      </c>
      <c r="BF137" s="19" t="s">
        <v>210</v>
      </c>
      <c r="BG137" s="19">
        <v>9</v>
      </c>
      <c r="BH137" s="19">
        <v>50983.43</v>
      </c>
      <c r="BI137" s="19">
        <v>9</v>
      </c>
      <c r="BJ137" s="19">
        <v>50983.43</v>
      </c>
      <c r="BK137" s="19">
        <v>0</v>
      </c>
      <c r="BL137" s="19">
        <v>0</v>
      </c>
      <c r="BM137" s="19">
        <v>668449.43999999994</v>
      </c>
      <c r="BN137" s="19">
        <v>632161312281</v>
      </c>
      <c r="BO137" s="66">
        <v>46245</v>
      </c>
      <c r="BP137" s="19">
        <v>0</v>
      </c>
    </row>
    <row r="138" spans="1:68">
      <c r="A138" s="65"/>
      <c r="B138" s="20" t="s">
        <v>2165</v>
      </c>
      <c r="C138" s="111">
        <v>46334</v>
      </c>
      <c r="D138" s="20" t="s">
        <v>3519</v>
      </c>
      <c r="E138" s="20" t="s">
        <v>18</v>
      </c>
      <c r="F138" s="20" t="s">
        <v>19</v>
      </c>
      <c r="H138" s="20" t="s">
        <v>3520</v>
      </c>
      <c r="I138" s="20">
        <v>240</v>
      </c>
      <c r="J138" s="20">
        <v>240</v>
      </c>
      <c r="K138" s="20" t="s">
        <v>11</v>
      </c>
      <c r="L138" s="20">
        <v>240</v>
      </c>
      <c r="M138" s="20">
        <v>0</v>
      </c>
      <c r="N138" s="20">
        <v>240</v>
      </c>
      <c r="O138" s="20" t="s">
        <v>2154</v>
      </c>
      <c r="P138" s="20" t="s">
        <v>87</v>
      </c>
      <c r="Q138" s="20" t="s">
        <v>87</v>
      </c>
      <c r="R138" s="20" t="s">
        <v>2802</v>
      </c>
      <c r="S138" s="111">
        <v>46334</v>
      </c>
      <c r="T138" s="20" t="s">
        <v>206</v>
      </c>
      <c r="U138" s="20" t="s">
        <v>207</v>
      </c>
      <c r="V138" s="20" t="s">
        <v>2801</v>
      </c>
      <c r="W138" s="20">
        <v>144.32</v>
      </c>
      <c r="X138" s="20">
        <v>144.32000030782399</v>
      </c>
      <c r="Y138" s="20" t="s">
        <v>2802</v>
      </c>
      <c r="Z138" s="111">
        <v>46334</v>
      </c>
      <c r="AB138" s="20" t="s">
        <v>2290</v>
      </c>
      <c r="AD138" s="20" t="s">
        <v>2290</v>
      </c>
      <c r="AE138" s="20" t="s">
        <v>2290</v>
      </c>
      <c r="AF138" s="20">
        <v>0</v>
      </c>
      <c r="AG138" s="20">
        <v>0</v>
      </c>
      <c r="AH138" s="20">
        <v>0</v>
      </c>
      <c r="AI138" s="20">
        <v>0</v>
      </c>
      <c r="AJ138" s="20">
        <v>0</v>
      </c>
      <c r="AK138" s="20" t="s">
        <v>576</v>
      </c>
      <c r="AL138" s="20">
        <v>0</v>
      </c>
      <c r="AM138" s="20">
        <v>0</v>
      </c>
      <c r="AN138" s="20">
        <v>0</v>
      </c>
      <c r="AO138" s="20">
        <v>0</v>
      </c>
      <c r="AP138" s="20">
        <v>0</v>
      </c>
      <c r="AR138" s="20">
        <v>0</v>
      </c>
      <c r="AS138" s="20">
        <v>0</v>
      </c>
      <c r="AT138" s="20">
        <v>1875355.04</v>
      </c>
      <c r="AU138" s="20" t="s">
        <v>13</v>
      </c>
      <c r="AV138" s="20" t="s">
        <v>62</v>
      </c>
      <c r="AW138" s="111" t="s">
        <v>63</v>
      </c>
      <c r="AX138" s="20" t="s">
        <v>208</v>
      </c>
      <c r="AY138" s="19" t="s">
        <v>209</v>
      </c>
      <c r="AZ138" s="19">
        <v>0</v>
      </c>
      <c r="BA138" s="19">
        <v>34636.800000000003</v>
      </c>
      <c r="BB138" s="19">
        <v>1106</v>
      </c>
      <c r="BC138" s="66">
        <v>46334</v>
      </c>
      <c r="BD138" s="19" t="s">
        <v>65</v>
      </c>
      <c r="BE138" s="19" t="s">
        <v>210</v>
      </c>
      <c r="BF138" s="19" t="s">
        <v>210</v>
      </c>
      <c r="BG138" s="19">
        <v>9</v>
      </c>
      <c r="BH138" s="19">
        <v>3117.31</v>
      </c>
      <c r="BI138" s="19">
        <v>9</v>
      </c>
      <c r="BJ138" s="19">
        <v>3117.31</v>
      </c>
      <c r="BK138" s="19">
        <v>0</v>
      </c>
      <c r="BL138" s="19">
        <v>0</v>
      </c>
      <c r="BM138" s="19">
        <v>1875355.04</v>
      </c>
      <c r="BN138" s="19">
        <v>642161249940</v>
      </c>
      <c r="BO138" s="66">
        <v>46245</v>
      </c>
      <c r="BP138" s="19">
        <v>0</v>
      </c>
    </row>
    <row r="139" spans="1:68">
      <c r="A139" s="65"/>
      <c r="B139" s="20" t="s">
        <v>2165</v>
      </c>
      <c r="C139" s="111">
        <v>46334</v>
      </c>
      <c r="D139" s="20" t="s">
        <v>3519</v>
      </c>
      <c r="E139" s="20" t="s">
        <v>18</v>
      </c>
      <c r="F139" s="20" t="s">
        <v>19</v>
      </c>
      <c r="H139" s="20" t="s">
        <v>3520</v>
      </c>
      <c r="I139" s="20">
        <v>2680</v>
      </c>
      <c r="J139" s="20">
        <v>2680</v>
      </c>
      <c r="K139" s="20" t="s">
        <v>11</v>
      </c>
      <c r="L139" s="20">
        <v>2680</v>
      </c>
      <c r="M139" s="20">
        <v>0</v>
      </c>
      <c r="N139" s="20">
        <v>2680</v>
      </c>
      <c r="O139" s="20" t="s">
        <v>2154</v>
      </c>
      <c r="P139" s="20" t="s">
        <v>87</v>
      </c>
      <c r="Q139" s="20" t="s">
        <v>87</v>
      </c>
      <c r="R139" s="20" t="s">
        <v>2802</v>
      </c>
      <c r="S139" s="111">
        <v>46334</v>
      </c>
      <c r="T139" s="20" t="s">
        <v>206</v>
      </c>
      <c r="U139" s="20" t="s">
        <v>207</v>
      </c>
      <c r="V139" s="20" t="s">
        <v>2801</v>
      </c>
      <c r="W139" s="20">
        <v>142.32</v>
      </c>
      <c r="X139" s="20">
        <v>142.320000303558</v>
      </c>
      <c r="Y139" s="20" t="s">
        <v>2802</v>
      </c>
      <c r="Z139" s="111">
        <v>46334</v>
      </c>
      <c r="AB139" s="20" t="s">
        <v>2290</v>
      </c>
      <c r="AD139" s="20" t="s">
        <v>2290</v>
      </c>
      <c r="AE139" s="20" t="s">
        <v>2290</v>
      </c>
      <c r="AF139" s="20">
        <v>0</v>
      </c>
      <c r="AG139" s="20">
        <v>0</v>
      </c>
      <c r="AH139" s="20">
        <v>0</v>
      </c>
      <c r="AI139" s="20">
        <v>0</v>
      </c>
      <c r="AJ139" s="20">
        <v>0</v>
      </c>
      <c r="AK139" s="20" t="s">
        <v>576</v>
      </c>
      <c r="AL139" s="20">
        <v>0</v>
      </c>
      <c r="AM139" s="20">
        <v>0</v>
      </c>
      <c r="AN139" s="20">
        <v>0</v>
      </c>
      <c r="AO139" s="20">
        <v>0</v>
      </c>
      <c r="AP139" s="20">
        <v>0</v>
      </c>
      <c r="AR139" s="20">
        <v>0</v>
      </c>
      <c r="AS139" s="20">
        <v>0</v>
      </c>
      <c r="AT139" s="20">
        <v>1875355.04</v>
      </c>
      <c r="AU139" s="20" t="s">
        <v>13</v>
      </c>
      <c r="AV139" s="20" t="s">
        <v>62</v>
      </c>
      <c r="AW139" s="111" t="s">
        <v>63</v>
      </c>
      <c r="AX139" s="20" t="s">
        <v>208</v>
      </c>
      <c r="AY139" s="19" t="s">
        <v>209</v>
      </c>
      <c r="AZ139" s="19">
        <v>0</v>
      </c>
      <c r="BA139" s="19">
        <v>381417.6</v>
      </c>
      <c r="BB139" s="19">
        <v>1106</v>
      </c>
      <c r="BC139" s="66">
        <v>46334</v>
      </c>
      <c r="BD139" s="19" t="s">
        <v>65</v>
      </c>
      <c r="BE139" s="19" t="s">
        <v>210</v>
      </c>
      <c r="BF139" s="19" t="s">
        <v>210</v>
      </c>
      <c r="BG139" s="19">
        <v>9</v>
      </c>
      <c r="BH139" s="19">
        <v>34327.58</v>
      </c>
      <c r="BI139" s="19">
        <v>9</v>
      </c>
      <c r="BJ139" s="19">
        <v>34327.58</v>
      </c>
      <c r="BK139" s="19">
        <v>0</v>
      </c>
      <c r="BL139" s="19">
        <v>0</v>
      </c>
      <c r="BM139" s="19">
        <v>0</v>
      </c>
      <c r="BN139" s="19">
        <v>642161249940</v>
      </c>
      <c r="BO139" s="66">
        <v>46245</v>
      </c>
      <c r="BP139" s="19">
        <v>0</v>
      </c>
    </row>
    <row r="140" spans="1:68">
      <c r="A140" s="65"/>
      <c r="B140" s="20" t="s">
        <v>2165</v>
      </c>
      <c r="C140" s="111">
        <v>46334</v>
      </c>
      <c r="D140" s="20" t="s">
        <v>3519</v>
      </c>
      <c r="E140" s="20" t="s">
        <v>23</v>
      </c>
      <c r="F140" s="20" t="s">
        <v>24</v>
      </c>
      <c r="H140" s="20" t="s">
        <v>3520</v>
      </c>
      <c r="I140" s="20">
        <v>1858</v>
      </c>
      <c r="J140" s="20">
        <v>1858</v>
      </c>
      <c r="K140" s="20" t="s">
        <v>11</v>
      </c>
      <c r="L140" s="20">
        <v>1858</v>
      </c>
      <c r="M140" s="20">
        <v>0</v>
      </c>
      <c r="N140" s="20">
        <v>1858</v>
      </c>
      <c r="O140" s="20" t="s">
        <v>2154</v>
      </c>
      <c r="P140" s="20" t="s">
        <v>87</v>
      </c>
      <c r="Q140" s="20" t="s">
        <v>87</v>
      </c>
      <c r="R140" s="20" t="s">
        <v>2802</v>
      </c>
      <c r="S140" s="111">
        <v>46334</v>
      </c>
      <c r="T140" s="20" t="s">
        <v>206</v>
      </c>
      <c r="U140" s="20" t="s">
        <v>207</v>
      </c>
      <c r="V140" s="20" t="s">
        <v>2801</v>
      </c>
      <c r="W140" s="20">
        <v>147.32</v>
      </c>
      <c r="X140" s="20">
        <v>147.32000031422299</v>
      </c>
      <c r="Y140" s="20" t="s">
        <v>2802</v>
      </c>
      <c r="Z140" s="111">
        <v>46334</v>
      </c>
      <c r="AB140" s="20" t="s">
        <v>2290</v>
      </c>
      <c r="AD140" s="20" t="s">
        <v>2290</v>
      </c>
      <c r="AE140" s="20" t="s">
        <v>2290</v>
      </c>
      <c r="AF140" s="20">
        <v>0</v>
      </c>
      <c r="AG140" s="20">
        <v>0</v>
      </c>
      <c r="AH140" s="20">
        <v>0</v>
      </c>
      <c r="AI140" s="20">
        <v>0</v>
      </c>
      <c r="AJ140" s="20">
        <v>0</v>
      </c>
      <c r="AK140" s="20" t="s">
        <v>576</v>
      </c>
      <c r="AL140" s="20">
        <v>0</v>
      </c>
      <c r="AM140" s="20">
        <v>0</v>
      </c>
      <c r="AN140" s="20">
        <v>0</v>
      </c>
      <c r="AO140" s="20">
        <v>0</v>
      </c>
      <c r="AP140" s="20">
        <v>0</v>
      </c>
      <c r="AR140" s="20">
        <v>0</v>
      </c>
      <c r="AS140" s="20">
        <v>0</v>
      </c>
      <c r="AT140" s="20">
        <v>1875355.04</v>
      </c>
      <c r="AU140" s="20" t="s">
        <v>13</v>
      </c>
      <c r="AV140" s="20" t="s">
        <v>24</v>
      </c>
      <c r="AW140" s="111" t="s">
        <v>79</v>
      </c>
      <c r="AX140" s="20" t="s">
        <v>208</v>
      </c>
      <c r="AY140" s="19" t="s">
        <v>209</v>
      </c>
      <c r="AZ140" s="19">
        <v>0</v>
      </c>
      <c r="BA140" s="19">
        <v>273720.56</v>
      </c>
      <c r="BB140" s="19">
        <v>1106</v>
      </c>
      <c r="BC140" s="66">
        <v>46334</v>
      </c>
      <c r="BD140" s="19" t="s">
        <v>65</v>
      </c>
      <c r="BE140" s="19" t="s">
        <v>210</v>
      </c>
      <c r="BF140" s="19" t="s">
        <v>210</v>
      </c>
      <c r="BG140" s="19">
        <v>9</v>
      </c>
      <c r="BH140" s="19">
        <v>24634.85</v>
      </c>
      <c r="BI140" s="19">
        <v>9</v>
      </c>
      <c r="BJ140" s="19">
        <v>24634.85</v>
      </c>
      <c r="BK140" s="19">
        <v>0</v>
      </c>
      <c r="BL140" s="19">
        <v>0</v>
      </c>
      <c r="BM140" s="19">
        <v>0</v>
      </c>
      <c r="BN140" s="19">
        <v>642161249940</v>
      </c>
      <c r="BO140" s="66">
        <v>46245</v>
      </c>
      <c r="BP140" s="19">
        <v>0</v>
      </c>
    </row>
    <row r="141" spans="1:68">
      <c r="A141" s="65"/>
      <c r="B141" s="20" t="s">
        <v>2165</v>
      </c>
      <c r="C141" s="111">
        <v>46334</v>
      </c>
      <c r="D141" s="20" t="s">
        <v>3519</v>
      </c>
      <c r="E141" s="20" t="s">
        <v>23</v>
      </c>
      <c r="F141" s="20" t="s">
        <v>24</v>
      </c>
      <c r="H141" s="20" t="s">
        <v>3520</v>
      </c>
      <c r="I141" s="20">
        <v>1230.8</v>
      </c>
      <c r="J141" s="20">
        <v>1230.8</v>
      </c>
      <c r="K141" s="20" t="s">
        <v>11</v>
      </c>
      <c r="L141" s="20">
        <v>1230.8</v>
      </c>
      <c r="M141" s="20">
        <v>0</v>
      </c>
      <c r="N141" s="20">
        <v>1230.8</v>
      </c>
      <c r="O141" s="20" t="s">
        <v>2154</v>
      </c>
      <c r="P141" s="20" t="s">
        <v>87</v>
      </c>
      <c r="Q141" s="20" t="s">
        <v>87</v>
      </c>
      <c r="R141" s="20" t="s">
        <v>2802</v>
      </c>
      <c r="S141" s="111">
        <v>46334</v>
      </c>
      <c r="T141" s="20" t="s">
        <v>206</v>
      </c>
      <c r="U141" s="20" t="s">
        <v>207</v>
      </c>
      <c r="V141" s="20" t="s">
        <v>2801</v>
      </c>
      <c r="W141" s="20">
        <v>144.32</v>
      </c>
      <c r="X141" s="20">
        <v>144.32000030782399</v>
      </c>
      <c r="Y141" s="20" t="s">
        <v>2802</v>
      </c>
      <c r="Z141" s="111">
        <v>46334</v>
      </c>
      <c r="AB141" s="20" t="s">
        <v>2290</v>
      </c>
      <c r="AD141" s="20" t="s">
        <v>2290</v>
      </c>
      <c r="AE141" s="20" t="s">
        <v>2290</v>
      </c>
      <c r="AF141" s="20">
        <v>0</v>
      </c>
      <c r="AG141" s="20">
        <v>0</v>
      </c>
      <c r="AH141" s="20">
        <v>0</v>
      </c>
      <c r="AI141" s="20">
        <v>0</v>
      </c>
      <c r="AJ141" s="20">
        <v>0</v>
      </c>
      <c r="AK141" s="20" t="s">
        <v>576</v>
      </c>
      <c r="AL141" s="20">
        <v>0</v>
      </c>
      <c r="AM141" s="20">
        <v>0</v>
      </c>
      <c r="AN141" s="20">
        <v>0</v>
      </c>
      <c r="AO141" s="20">
        <v>0</v>
      </c>
      <c r="AP141" s="20">
        <v>0</v>
      </c>
      <c r="AR141" s="20">
        <v>0</v>
      </c>
      <c r="AS141" s="20">
        <v>0</v>
      </c>
      <c r="AT141" s="20">
        <v>1875355.04</v>
      </c>
      <c r="AU141" s="20" t="s">
        <v>13</v>
      </c>
      <c r="AV141" s="20" t="s">
        <v>24</v>
      </c>
      <c r="AW141" s="111" t="s">
        <v>79</v>
      </c>
      <c r="AX141" s="20" t="s">
        <v>208</v>
      </c>
      <c r="AY141" s="19" t="s">
        <v>209</v>
      </c>
      <c r="AZ141" s="19">
        <v>0</v>
      </c>
      <c r="BA141" s="19">
        <v>177629.06</v>
      </c>
      <c r="BB141" s="19">
        <v>1106</v>
      </c>
      <c r="BC141" s="66">
        <v>46334</v>
      </c>
      <c r="BD141" s="19" t="s">
        <v>65</v>
      </c>
      <c r="BE141" s="19" t="s">
        <v>210</v>
      </c>
      <c r="BF141" s="19" t="s">
        <v>210</v>
      </c>
      <c r="BG141" s="19">
        <v>9</v>
      </c>
      <c r="BH141" s="19">
        <v>15986.62</v>
      </c>
      <c r="BI141" s="19">
        <v>9</v>
      </c>
      <c r="BJ141" s="19">
        <v>15986.62</v>
      </c>
      <c r="BK141" s="19">
        <v>0</v>
      </c>
      <c r="BL141" s="19">
        <v>0</v>
      </c>
      <c r="BM141" s="19">
        <v>0</v>
      </c>
      <c r="BN141" s="19">
        <v>642161249940</v>
      </c>
      <c r="BO141" s="66">
        <v>46245</v>
      </c>
      <c r="BP141" s="19">
        <v>0</v>
      </c>
    </row>
    <row r="142" spans="1:68">
      <c r="A142" s="65"/>
      <c r="B142" s="20" t="s">
        <v>2165</v>
      </c>
      <c r="C142" s="111">
        <v>46334</v>
      </c>
      <c r="D142" s="20" t="s">
        <v>3519</v>
      </c>
      <c r="E142" s="20" t="s">
        <v>20</v>
      </c>
      <c r="F142" s="20" t="s">
        <v>21</v>
      </c>
      <c r="H142" s="20" t="s">
        <v>3520</v>
      </c>
      <c r="I142" s="20">
        <v>3118</v>
      </c>
      <c r="J142" s="20">
        <v>3118</v>
      </c>
      <c r="K142" s="20" t="s">
        <v>11</v>
      </c>
      <c r="L142" s="20">
        <v>3118</v>
      </c>
      <c r="M142" s="20">
        <v>0</v>
      </c>
      <c r="N142" s="20">
        <v>3118</v>
      </c>
      <c r="O142" s="20" t="s">
        <v>2154</v>
      </c>
      <c r="P142" s="20" t="s">
        <v>87</v>
      </c>
      <c r="Q142" s="20" t="s">
        <v>87</v>
      </c>
      <c r="R142" s="20" t="s">
        <v>2802</v>
      </c>
      <c r="S142" s="111">
        <v>46334</v>
      </c>
      <c r="T142" s="20" t="s">
        <v>206</v>
      </c>
      <c r="U142" s="20" t="s">
        <v>207</v>
      </c>
      <c r="V142" s="20" t="s">
        <v>2801</v>
      </c>
      <c r="W142" s="20">
        <v>149.32</v>
      </c>
      <c r="X142" s="20">
        <v>149.32000031848901</v>
      </c>
      <c r="Y142" s="20" t="s">
        <v>2802</v>
      </c>
      <c r="Z142" s="111">
        <v>46334</v>
      </c>
      <c r="AB142" s="20" t="s">
        <v>2290</v>
      </c>
      <c r="AD142" s="20" t="s">
        <v>2290</v>
      </c>
      <c r="AE142" s="20" t="s">
        <v>2290</v>
      </c>
      <c r="AF142" s="20">
        <v>0</v>
      </c>
      <c r="AG142" s="20">
        <v>0</v>
      </c>
      <c r="AH142" s="20">
        <v>0</v>
      </c>
      <c r="AI142" s="20">
        <v>0</v>
      </c>
      <c r="AJ142" s="20">
        <v>0</v>
      </c>
      <c r="AK142" s="20" t="s">
        <v>576</v>
      </c>
      <c r="AL142" s="20">
        <v>0</v>
      </c>
      <c r="AM142" s="20">
        <v>0</v>
      </c>
      <c r="AN142" s="20">
        <v>0</v>
      </c>
      <c r="AO142" s="20">
        <v>0</v>
      </c>
      <c r="AP142" s="20">
        <v>0</v>
      </c>
      <c r="AR142" s="20">
        <v>0</v>
      </c>
      <c r="AS142" s="20">
        <v>0</v>
      </c>
      <c r="AT142" s="20">
        <v>1875355.04</v>
      </c>
      <c r="AU142" s="20" t="s">
        <v>13</v>
      </c>
      <c r="AV142" s="20" t="s">
        <v>62</v>
      </c>
      <c r="AW142" s="111" t="s">
        <v>76</v>
      </c>
      <c r="AX142" s="20" t="s">
        <v>208</v>
      </c>
      <c r="AY142" s="19" t="s">
        <v>209</v>
      </c>
      <c r="AZ142" s="19">
        <v>0</v>
      </c>
      <c r="BA142" s="19">
        <v>465579.76</v>
      </c>
      <c r="BB142" s="19">
        <v>1106</v>
      </c>
      <c r="BC142" s="66">
        <v>46334</v>
      </c>
      <c r="BD142" s="19" t="s">
        <v>65</v>
      </c>
      <c r="BE142" s="19" t="s">
        <v>210</v>
      </c>
      <c r="BF142" s="19" t="s">
        <v>210</v>
      </c>
      <c r="BG142" s="19">
        <v>9</v>
      </c>
      <c r="BH142" s="19">
        <v>41902.18</v>
      </c>
      <c r="BI142" s="19">
        <v>9</v>
      </c>
      <c r="BJ142" s="19">
        <v>41902.18</v>
      </c>
      <c r="BK142" s="19">
        <v>0</v>
      </c>
      <c r="BL142" s="19">
        <v>0</v>
      </c>
      <c r="BM142" s="19">
        <v>0</v>
      </c>
      <c r="BN142" s="19">
        <v>642161249940</v>
      </c>
      <c r="BO142" s="66">
        <v>46245</v>
      </c>
      <c r="BP142" s="19">
        <v>0</v>
      </c>
    </row>
    <row r="143" spans="1:68">
      <c r="A143" s="65"/>
      <c r="B143" s="20" t="s">
        <v>2165</v>
      </c>
      <c r="C143" s="111">
        <v>46334</v>
      </c>
      <c r="D143" s="20" t="s">
        <v>3519</v>
      </c>
      <c r="E143" s="20" t="s">
        <v>20</v>
      </c>
      <c r="F143" s="20" t="s">
        <v>21</v>
      </c>
      <c r="H143" s="20" t="s">
        <v>3520</v>
      </c>
      <c r="I143" s="20">
        <v>932</v>
      </c>
      <c r="J143" s="20">
        <v>932</v>
      </c>
      <c r="K143" s="20" t="s">
        <v>11</v>
      </c>
      <c r="L143" s="20">
        <v>932</v>
      </c>
      <c r="M143" s="20">
        <v>0</v>
      </c>
      <c r="N143" s="20">
        <v>932</v>
      </c>
      <c r="O143" s="20" t="s">
        <v>2154</v>
      </c>
      <c r="P143" s="20" t="s">
        <v>87</v>
      </c>
      <c r="Q143" s="20" t="s">
        <v>87</v>
      </c>
      <c r="R143" s="20" t="s">
        <v>2802</v>
      </c>
      <c r="S143" s="111">
        <v>46334</v>
      </c>
      <c r="T143" s="20" t="s">
        <v>206</v>
      </c>
      <c r="U143" s="20" t="s">
        <v>207</v>
      </c>
      <c r="V143" s="20" t="s">
        <v>2801</v>
      </c>
      <c r="W143" s="20">
        <v>146.32</v>
      </c>
      <c r="X143" s="20">
        <v>146.32000031209</v>
      </c>
      <c r="Y143" s="20" t="s">
        <v>2802</v>
      </c>
      <c r="Z143" s="111">
        <v>46334</v>
      </c>
      <c r="AB143" s="20" t="s">
        <v>2290</v>
      </c>
      <c r="AD143" s="20" t="s">
        <v>2290</v>
      </c>
      <c r="AE143" s="20" t="s">
        <v>2290</v>
      </c>
      <c r="AF143" s="20">
        <v>0</v>
      </c>
      <c r="AG143" s="20">
        <v>0</v>
      </c>
      <c r="AH143" s="20">
        <v>0</v>
      </c>
      <c r="AI143" s="20">
        <v>0</v>
      </c>
      <c r="AJ143" s="20">
        <v>0</v>
      </c>
      <c r="AK143" s="20" t="s">
        <v>576</v>
      </c>
      <c r="AL143" s="20">
        <v>0</v>
      </c>
      <c r="AM143" s="20">
        <v>0</v>
      </c>
      <c r="AN143" s="20">
        <v>0</v>
      </c>
      <c r="AO143" s="20">
        <v>0</v>
      </c>
      <c r="AP143" s="20">
        <v>0</v>
      </c>
      <c r="AR143" s="20">
        <v>0</v>
      </c>
      <c r="AS143" s="20">
        <v>0</v>
      </c>
      <c r="AT143" s="20">
        <v>1875355.04</v>
      </c>
      <c r="AU143" s="20" t="s">
        <v>13</v>
      </c>
      <c r="AV143" s="20" t="s">
        <v>62</v>
      </c>
      <c r="AW143" s="111" t="s">
        <v>76</v>
      </c>
      <c r="AX143" s="20" t="s">
        <v>208</v>
      </c>
      <c r="AY143" s="19" t="s">
        <v>209</v>
      </c>
      <c r="AZ143" s="19">
        <v>0</v>
      </c>
      <c r="BA143" s="19">
        <v>136370.23999999999</v>
      </c>
      <c r="BB143" s="19">
        <v>1106</v>
      </c>
      <c r="BC143" s="66">
        <v>46334</v>
      </c>
      <c r="BD143" s="19" t="s">
        <v>65</v>
      </c>
      <c r="BE143" s="19" t="s">
        <v>210</v>
      </c>
      <c r="BF143" s="19" t="s">
        <v>210</v>
      </c>
      <c r="BG143" s="19">
        <v>9</v>
      </c>
      <c r="BH143" s="19">
        <v>12273.32</v>
      </c>
      <c r="BI143" s="19">
        <v>9</v>
      </c>
      <c r="BJ143" s="19">
        <v>12273.32</v>
      </c>
      <c r="BK143" s="19">
        <v>0</v>
      </c>
      <c r="BL143" s="19">
        <v>0</v>
      </c>
      <c r="BM143" s="19">
        <v>0</v>
      </c>
      <c r="BN143" s="19">
        <v>642161249940</v>
      </c>
      <c r="BO143" s="66">
        <v>46245</v>
      </c>
      <c r="BP143" s="19">
        <v>0</v>
      </c>
    </row>
    <row r="144" spans="1:68">
      <c r="A144" s="65"/>
      <c r="B144" s="20" t="s">
        <v>2165</v>
      </c>
      <c r="C144" s="111">
        <v>46334</v>
      </c>
      <c r="D144" s="20" t="s">
        <v>3519</v>
      </c>
      <c r="E144" s="20" t="s">
        <v>20</v>
      </c>
      <c r="F144" s="20" t="s">
        <v>21</v>
      </c>
      <c r="H144" s="20" t="s">
        <v>3520</v>
      </c>
      <c r="I144" s="20">
        <v>831</v>
      </c>
      <c r="J144" s="20">
        <v>831</v>
      </c>
      <c r="K144" s="20" t="s">
        <v>11</v>
      </c>
      <c r="L144" s="20">
        <v>831</v>
      </c>
      <c r="M144" s="20">
        <v>0</v>
      </c>
      <c r="N144" s="20">
        <v>831</v>
      </c>
      <c r="O144" s="20" t="s">
        <v>2154</v>
      </c>
      <c r="P144" s="20" t="s">
        <v>87</v>
      </c>
      <c r="Q144" s="20" t="s">
        <v>87</v>
      </c>
      <c r="R144" s="20" t="s">
        <v>2802</v>
      </c>
      <c r="S144" s="111">
        <v>46334</v>
      </c>
      <c r="T144" s="20" t="s">
        <v>206</v>
      </c>
      <c r="U144" s="20" t="s">
        <v>207</v>
      </c>
      <c r="V144" s="20" t="s">
        <v>2801</v>
      </c>
      <c r="W144" s="20">
        <v>144.32</v>
      </c>
      <c r="X144" s="20">
        <v>144.32000030782399</v>
      </c>
      <c r="Y144" s="20" t="s">
        <v>2802</v>
      </c>
      <c r="Z144" s="111">
        <v>46334</v>
      </c>
      <c r="AB144" s="20" t="s">
        <v>2290</v>
      </c>
      <c r="AD144" s="20" t="s">
        <v>2290</v>
      </c>
      <c r="AE144" s="20" t="s">
        <v>2290</v>
      </c>
      <c r="AF144" s="20">
        <v>0</v>
      </c>
      <c r="AG144" s="20">
        <v>0</v>
      </c>
      <c r="AH144" s="20">
        <v>0</v>
      </c>
      <c r="AI144" s="20">
        <v>0</v>
      </c>
      <c r="AJ144" s="20">
        <v>0</v>
      </c>
      <c r="AK144" s="20" t="s">
        <v>576</v>
      </c>
      <c r="AL144" s="20">
        <v>0</v>
      </c>
      <c r="AM144" s="20">
        <v>0</v>
      </c>
      <c r="AN144" s="20">
        <v>0</v>
      </c>
      <c r="AO144" s="20">
        <v>0</v>
      </c>
      <c r="AP144" s="20">
        <v>0</v>
      </c>
      <c r="AR144" s="20">
        <v>0</v>
      </c>
      <c r="AS144" s="20">
        <v>0</v>
      </c>
      <c r="AT144" s="20">
        <v>1875355.04</v>
      </c>
      <c r="AU144" s="20" t="s">
        <v>13</v>
      </c>
      <c r="AV144" s="20" t="s">
        <v>62</v>
      </c>
      <c r="AW144" s="111" t="s">
        <v>76</v>
      </c>
      <c r="AX144" s="20" t="s">
        <v>208</v>
      </c>
      <c r="AY144" s="19" t="s">
        <v>209</v>
      </c>
      <c r="AZ144" s="19">
        <v>0</v>
      </c>
      <c r="BA144" s="19">
        <v>119929.92</v>
      </c>
      <c r="BB144" s="19">
        <v>1106</v>
      </c>
      <c r="BC144" s="66">
        <v>46334</v>
      </c>
      <c r="BD144" s="19" t="s">
        <v>65</v>
      </c>
      <c r="BE144" s="19" t="s">
        <v>210</v>
      </c>
      <c r="BF144" s="19" t="s">
        <v>210</v>
      </c>
      <c r="BG144" s="19">
        <v>9</v>
      </c>
      <c r="BH144" s="19">
        <v>10793.69</v>
      </c>
      <c r="BI144" s="19">
        <v>9</v>
      </c>
      <c r="BJ144" s="19">
        <v>10793.69</v>
      </c>
      <c r="BK144" s="19">
        <v>0</v>
      </c>
      <c r="BL144" s="19">
        <v>0</v>
      </c>
      <c r="BM144" s="19">
        <v>0</v>
      </c>
      <c r="BN144" s="19">
        <v>642161249940</v>
      </c>
      <c r="BO144" s="66">
        <v>46245</v>
      </c>
      <c r="BP144" s="19">
        <v>0</v>
      </c>
    </row>
    <row r="145" spans="1:68">
      <c r="A145" s="65"/>
      <c r="B145" s="20" t="s">
        <v>2165</v>
      </c>
      <c r="C145" s="111">
        <v>46364</v>
      </c>
      <c r="D145" s="20" t="s">
        <v>3521</v>
      </c>
      <c r="E145" s="20" t="s">
        <v>23</v>
      </c>
      <c r="F145" s="20" t="s">
        <v>24</v>
      </c>
      <c r="H145" s="20" t="s">
        <v>3522</v>
      </c>
      <c r="I145" s="20">
        <v>1254.5999999999999</v>
      </c>
      <c r="J145" s="20">
        <v>1254.5999999999999</v>
      </c>
      <c r="K145" s="20" t="s">
        <v>11</v>
      </c>
      <c r="L145" s="20">
        <v>1254.5999999999999</v>
      </c>
      <c r="M145" s="20">
        <v>0</v>
      </c>
      <c r="N145" s="20">
        <v>1254.5999999999999</v>
      </c>
      <c r="O145" s="20" t="s">
        <v>2154</v>
      </c>
      <c r="P145" s="20" t="s">
        <v>87</v>
      </c>
      <c r="Q145" s="20" t="s">
        <v>87</v>
      </c>
      <c r="R145" s="20" t="s">
        <v>2824</v>
      </c>
      <c r="S145" s="111">
        <v>46364</v>
      </c>
      <c r="T145" s="20" t="s">
        <v>206</v>
      </c>
      <c r="U145" s="20" t="s">
        <v>207</v>
      </c>
      <c r="V145" s="20" t="s">
        <v>2823</v>
      </c>
      <c r="W145" s="20">
        <v>144.32</v>
      </c>
      <c r="X145" s="20">
        <v>144.32</v>
      </c>
      <c r="Y145" s="20" t="s">
        <v>2824</v>
      </c>
      <c r="Z145" s="111">
        <v>46364</v>
      </c>
      <c r="AB145" s="20" t="s">
        <v>2290</v>
      </c>
      <c r="AD145" s="20" t="s">
        <v>2290</v>
      </c>
      <c r="AE145" s="20" t="s">
        <v>2290</v>
      </c>
      <c r="AF145" s="20">
        <v>0</v>
      </c>
      <c r="AG145" s="20">
        <v>0</v>
      </c>
      <c r="AH145" s="20">
        <v>0</v>
      </c>
      <c r="AI145" s="20">
        <v>0</v>
      </c>
      <c r="AJ145" s="20">
        <v>0</v>
      </c>
      <c r="AK145" s="20" t="s">
        <v>576</v>
      </c>
      <c r="AL145" s="20">
        <v>0</v>
      </c>
      <c r="AM145" s="20">
        <v>0</v>
      </c>
      <c r="AN145" s="20">
        <v>0</v>
      </c>
      <c r="AO145" s="20">
        <v>0</v>
      </c>
      <c r="AP145" s="20">
        <v>0</v>
      </c>
      <c r="AR145" s="20">
        <v>0</v>
      </c>
      <c r="AS145" s="20">
        <v>0</v>
      </c>
      <c r="AT145" s="20">
        <v>1388140.9</v>
      </c>
      <c r="AU145" s="20" t="s">
        <v>13</v>
      </c>
      <c r="AV145" s="20" t="s">
        <v>24</v>
      </c>
      <c r="AW145" s="111" t="s">
        <v>79</v>
      </c>
      <c r="AX145" s="20" t="s">
        <v>208</v>
      </c>
      <c r="AY145" s="19" t="s">
        <v>209</v>
      </c>
      <c r="AZ145" s="19">
        <v>0</v>
      </c>
      <c r="BA145" s="19">
        <v>181063.87</v>
      </c>
      <c r="BB145" s="19">
        <v>1115</v>
      </c>
      <c r="BC145" s="66">
        <v>46364</v>
      </c>
      <c r="BD145" s="19" t="s">
        <v>65</v>
      </c>
      <c r="BE145" s="19" t="s">
        <v>210</v>
      </c>
      <c r="BF145" s="19" t="s">
        <v>210</v>
      </c>
      <c r="BG145" s="19">
        <v>9</v>
      </c>
      <c r="BH145" s="19">
        <v>16295.75</v>
      </c>
      <c r="BI145" s="19">
        <v>9</v>
      </c>
      <c r="BJ145" s="19">
        <v>16295.75</v>
      </c>
      <c r="BK145" s="19">
        <v>0</v>
      </c>
      <c r="BL145" s="19">
        <v>0</v>
      </c>
      <c r="BM145" s="19">
        <v>1388140.9</v>
      </c>
      <c r="BN145" s="19">
        <v>632161813474</v>
      </c>
      <c r="BO145" s="66">
        <v>46246</v>
      </c>
      <c r="BP145" s="19">
        <v>0</v>
      </c>
    </row>
    <row r="146" spans="1:68">
      <c r="A146" s="65"/>
      <c r="B146" s="20" t="s">
        <v>2165</v>
      </c>
      <c r="C146" s="111">
        <v>46364</v>
      </c>
      <c r="D146" s="20" t="s">
        <v>3521</v>
      </c>
      <c r="E146" s="20" t="s">
        <v>23</v>
      </c>
      <c r="F146" s="20" t="s">
        <v>24</v>
      </c>
      <c r="H146" s="20" t="s">
        <v>3522</v>
      </c>
      <c r="I146" s="20">
        <v>1431.9</v>
      </c>
      <c r="J146" s="20">
        <v>1431.9</v>
      </c>
      <c r="K146" s="20" t="s">
        <v>11</v>
      </c>
      <c r="L146" s="20">
        <v>1431.9</v>
      </c>
      <c r="M146" s="20">
        <v>0</v>
      </c>
      <c r="N146" s="20">
        <v>1431.9</v>
      </c>
      <c r="O146" s="20" t="s">
        <v>2154</v>
      </c>
      <c r="P146" s="20" t="s">
        <v>87</v>
      </c>
      <c r="Q146" s="20" t="s">
        <v>87</v>
      </c>
      <c r="R146" s="20" t="s">
        <v>2824</v>
      </c>
      <c r="S146" s="111">
        <v>46364</v>
      </c>
      <c r="T146" s="20" t="s">
        <v>206</v>
      </c>
      <c r="U146" s="20" t="s">
        <v>207</v>
      </c>
      <c r="V146" s="20" t="s">
        <v>2823</v>
      </c>
      <c r="W146" s="20">
        <v>147.32</v>
      </c>
      <c r="X146" s="20">
        <v>147.32</v>
      </c>
      <c r="Y146" s="20" t="s">
        <v>2824</v>
      </c>
      <c r="Z146" s="111">
        <v>46364</v>
      </c>
      <c r="AB146" s="20" t="s">
        <v>2290</v>
      </c>
      <c r="AD146" s="20" t="s">
        <v>2290</v>
      </c>
      <c r="AE146" s="20" t="s">
        <v>2290</v>
      </c>
      <c r="AF146" s="20">
        <v>0</v>
      </c>
      <c r="AG146" s="20">
        <v>0</v>
      </c>
      <c r="AH146" s="20">
        <v>0</v>
      </c>
      <c r="AI146" s="20">
        <v>0</v>
      </c>
      <c r="AJ146" s="20">
        <v>0</v>
      </c>
      <c r="AK146" s="20" t="s">
        <v>576</v>
      </c>
      <c r="AL146" s="20">
        <v>0</v>
      </c>
      <c r="AM146" s="20">
        <v>0</v>
      </c>
      <c r="AN146" s="20">
        <v>0</v>
      </c>
      <c r="AO146" s="20">
        <v>0</v>
      </c>
      <c r="AP146" s="20">
        <v>0</v>
      </c>
      <c r="AR146" s="20">
        <v>0</v>
      </c>
      <c r="AS146" s="20">
        <v>0</v>
      </c>
      <c r="AT146" s="20">
        <v>1388140.9</v>
      </c>
      <c r="AU146" s="20" t="s">
        <v>13</v>
      </c>
      <c r="AV146" s="20" t="s">
        <v>24</v>
      </c>
      <c r="AW146" s="111" t="s">
        <v>79</v>
      </c>
      <c r="AX146" s="20" t="s">
        <v>208</v>
      </c>
      <c r="AY146" s="19" t="s">
        <v>209</v>
      </c>
      <c r="AZ146" s="19">
        <v>0</v>
      </c>
      <c r="BA146" s="19">
        <v>210947.51</v>
      </c>
      <c r="BB146" s="19">
        <v>1115</v>
      </c>
      <c r="BC146" s="66">
        <v>46364</v>
      </c>
      <c r="BD146" s="19" t="s">
        <v>65</v>
      </c>
      <c r="BE146" s="19" t="s">
        <v>210</v>
      </c>
      <c r="BF146" s="19" t="s">
        <v>210</v>
      </c>
      <c r="BG146" s="19">
        <v>9</v>
      </c>
      <c r="BH146" s="19">
        <v>18985.28</v>
      </c>
      <c r="BI146" s="19">
        <v>9</v>
      </c>
      <c r="BJ146" s="19">
        <v>18985.28</v>
      </c>
      <c r="BK146" s="19">
        <v>0</v>
      </c>
      <c r="BL146" s="19">
        <v>0</v>
      </c>
      <c r="BM146" s="19">
        <v>0</v>
      </c>
      <c r="BN146" s="19">
        <v>632161813474</v>
      </c>
      <c r="BO146" s="66">
        <v>46246</v>
      </c>
      <c r="BP146" s="19">
        <v>0</v>
      </c>
    </row>
    <row r="147" spans="1:68">
      <c r="A147" s="65"/>
      <c r="B147" s="20" t="s">
        <v>2165</v>
      </c>
      <c r="C147" s="111">
        <v>46364</v>
      </c>
      <c r="D147" s="20" t="s">
        <v>3521</v>
      </c>
      <c r="E147" s="20" t="s">
        <v>554</v>
      </c>
      <c r="F147" s="20" t="s">
        <v>553</v>
      </c>
      <c r="H147" s="20" t="s">
        <v>3522</v>
      </c>
      <c r="I147" s="20">
        <v>934.5</v>
      </c>
      <c r="J147" s="20">
        <v>934.5</v>
      </c>
      <c r="K147" s="20" t="s">
        <v>3</v>
      </c>
      <c r="L147" s="20">
        <v>934.5</v>
      </c>
      <c r="M147" s="20">
        <v>0</v>
      </c>
      <c r="N147" s="20">
        <v>934.5</v>
      </c>
      <c r="O147" s="20" t="s">
        <v>2154</v>
      </c>
      <c r="P147" s="20" t="s">
        <v>87</v>
      </c>
      <c r="Q147" s="20" t="s">
        <v>87</v>
      </c>
      <c r="R147" s="20" t="s">
        <v>2824</v>
      </c>
      <c r="S147" s="111">
        <v>46364</v>
      </c>
      <c r="T147" s="20" t="s">
        <v>206</v>
      </c>
      <c r="U147" s="20" t="s">
        <v>207</v>
      </c>
      <c r="V147" s="20" t="s">
        <v>2823</v>
      </c>
      <c r="W147" s="20">
        <v>154.32</v>
      </c>
      <c r="X147" s="20">
        <v>154.32</v>
      </c>
      <c r="Y147" s="20" t="s">
        <v>2824</v>
      </c>
      <c r="Z147" s="111">
        <v>46364</v>
      </c>
      <c r="AB147" s="20" t="s">
        <v>2290</v>
      </c>
      <c r="AD147" s="20" t="s">
        <v>2290</v>
      </c>
      <c r="AE147" s="20" t="s">
        <v>2290</v>
      </c>
      <c r="AF147" s="20">
        <v>0</v>
      </c>
      <c r="AG147" s="20">
        <v>0</v>
      </c>
      <c r="AH147" s="20">
        <v>0</v>
      </c>
      <c r="AI147" s="20">
        <v>0</v>
      </c>
      <c r="AJ147" s="20">
        <v>0</v>
      </c>
      <c r="AK147" s="20" t="s">
        <v>576</v>
      </c>
      <c r="AL147" s="20">
        <v>0</v>
      </c>
      <c r="AM147" s="20">
        <v>0</v>
      </c>
      <c r="AN147" s="20">
        <v>0</v>
      </c>
      <c r="AO147" s="20">
        <v>0</v>
      </c>
      <c r="AP147" s="20">
        <v>0</v>
      </c>
      <c r="AR147" s="20">
        <v>0</v>
      </c>
      <c r="AS147" s="20">
        <v>0</v>
      </c>
      <c r="AT147" s="20">
        <v>1388140.9</v>
      </c>
      <c r="AU147" s="20" t="s">
        <v>13</v>
      </c>
      <c r="AV147" s="20" t="s">
        <v>99</v>
      </c>
      <c r="AW147" s="111" t="s">
        <v>100</v>
      </c>
      <c r="AX147" s="20" t="s">
        <v>208</v>
      </c>
      <c r="AY147" s="19"/>
      <c r="AZ147" s="19">
        <v>0</v>
      </c>
      <c r="BA147" s="19">
        <v>144212.04</v>
      </c>
      <c r="BB147" s="19">
        <v>1115</v>
      </c>
      <c r="BC147" s="66">
        <v>46364</v>
      </c>
      <c r="BD147" s="19" t="s">
        <v>65</v>
      </c>
      <c r="BE147" s="19" t="s">
        <v>210</v>
      </c>
      <c r="BF147" s="19" t="s">
        <v>210</v>
      </c>
      <c r="BG147" s="19">
        <v>2.5</v>
      </c>
      <c r="BH147" s="19">
        <v>3605.3</v>
      </c>
      <c r="BI147" s="19">
        <v>2.5</v>
      </c>
      <c r="BJ147" s="19">
        <v>3605.3</v>
      </c>
      <c r="BK147" s="19">
        <v>0</v>
      </c>
      <c r="BL147" s="19">
        <v>0</v>
      </c>
      <c r="BM147" s="19">
        <v>0</v>
      </c>
      <c r="BN147" s="19">
        <v>632161813474</v>
      </c>
      <c r="BO147" s="66">
        <v>46246</v>
      </c>
      <c r="BP147" s="19">
        <v>0</v>
      </c>
    </row>
    <row r="148" spans="1:68">
      <c r="A148" s="65"/>
      <c r="B148" s="20" t="s">
        <v>2165</v>
      </c>
      <c r="C148" s="111">
        <v>46364</v>
      </c>
      <c r="D148" s="20" t="s">
        <v>3521</v>
      </c>
      <c r="E148" s="20" t="s">
        <v>18</v>
      </c>
      <c r="F148" s="20" t="s">
        <v>19</v>
      </c>
      <c r="H148" s="20" t="s">
        <v>3522</v>
      </c>
      <c r="I148" s="20">
        <v>2531</v>
      </c>
      <c r="J148" s="20">
        <v>2531</v>
      </c>
      <c r="K148" s="20" t="s">
        <v>11</v>
      </c>
      <c r="L148" s="20">
        <v>2531</v>
      </c>
      <c r="M148" s="20">
        <v>0</v>
      </c>
      <c r="N148" s="20">
        <v>2531</v>
      </c>
      <c r="O148" s="20" t="s">
        <v>2154</v>
      </c>
      <c r="P148" s="20" t="s">
        <v>87</v>
      </c>
      <c r="Q148" s="20" t="s">
        <v>87</v>
      </c>
      <c r="R148" s="20" t="s">
        <v>2824</v>
      </c>
      <c r="S148" s="111">
        <v>46364</v>
      </c>
      <c r="T148" s="20" t="s">
        <v>206</v>
      </c>
      <c r="U148" s="20" t="s">
        <v>207</v>
      </c>
      <c r="V148" s="20" t="s">
        <v>2823</v>
      </c>
      <c r="W148" s="20">
        <v>142.32</v>
      </c>
      <c r="X148" s="20">
        <v>142.32</v>
      </c>
      <c r="Y148" s="20" t="s">
        <v>2824</v>
      </c>
      <c r="Z148" s="111">
        <v>46364</v>
      </c>
      <c r="AB148" s="20" t="s">
        <v>2290</v>
      </c>
      <c r="AD148" s="20" t="s">
        <v>2290</v>
      </c>
      <c r="AE148" s="20" t="s">
        <v>2290</v>
      </c>
      <c r="AF148" s="20">
        <v>0</v>
      </c>
      <c r="AG148" s="20">
        <v>0</v>
      </c>
      <c r="AH148" s="20">
        <v>0</v>
      </c>
      <c r="AI148" s="20">
        <v>0</v>
      </c>
      <c r="AJ148" s="20">
        <v>0</v>
      </c>
      <c r="AK148" s="20" t="s">
        <v>576</v>
      </c>
      <c r="AL148" s="20">
        <v>0</v>
      </c>
      <c r="AM148" s="20">
        <v>0</v>
      </c>
      <c r="AN148" s="20">
        <v>0</v>
      </c>
      <c r="AO148" s="20">
        <v>0</v>
      </c>
      <c r="AP148" s="20">
        <v>0</v>
      </c>
      <c r="AR148" s="20">
        <v>0</v>
      </c>
      <c r="AS148" s="20">
        <v>0</v>
      </c>
      <c r="AT148" s="20">
        <v>1388140.9</v>
      </c>
      <c r="AU148" s="20" t="s">
        <v>13</v>
      </c>
      <c r="AV148" s="20" t="s">
        <v>62</v>
      </c>
      <c r="AW148" s="111" t="s">
        <v>63</v>
      </c>
      <c r="AX148" s="20" t="s">
        <v>208</v>
      </c>
      <c r="AY148" s="19" t="s">
        <v>209</v>
      </c>
      <c r="AZ148" s="19">
        <v>0</v>
      </c>
      <c r="BA148" s="19">
        <v>360211.92</v>
      </c>
      <c r="BB148" s="19">
        <v>1115</v>
      </c>
      <c r="BC148" s="66">
        <v>46364</v>
      </c>
      <c r="BD148" s="19" t="s">
        <v>65</v>
      </c>
      <c r="BE148" s="19" t="s">
        <v>210</v>
      </c>
      <c r="BF148" s="19" t="s">
        <v>210</v>
      </c>
      <c r="BG148" s="19">
        <v>9</v>
      </c>
      <c r="BH148" s="19">
        <v>32419.07</v>
      </c>
      <c r="BI148" s="19">
        <v>9</v>
      </c>
      <c r="BJ148" s="19">
        <v>32419.07</v>
      </c>
      <c r="BK148" s="19">
        <v>0</v>
      </c>
      <c r="BL148" s="19">
        <v>0</v>
      </c>
      <c r="BM148" s="19">
        <v>0</v>
      </c>
      <c r="BN148" s="19">
        <v>632161813474</v>
      </c>
      <c r="BO148" s="66">
        <v>46246</v>
      </c>
      <c r="BP148" s="19">
        <v>0</v>
      </c>
    </row>
    <row r="149" spans="1:68">
      <c r="A149" s="65"/>
      <c r="B149" s="20" t="s">
        <v>2165</v>
      </c>
      <c r="C149" s="111">
        <v>46364</v>
      </c>
      <c r="D149" s="20" t="s">
        <v>3521</v>
      </c>
      <c r="E149" s="20" t="s">
        <v>18</v>
      </c>
      <c r="F149" s="20" t="s">
        <v>19</v>
      </c>
      <c r="H149" s="20" t="s">
        <v>3522</v>
      </c>
      <c r="I149" s="20">
        <v>1126</v>
      </c>
      <c r="J149" s="20">
        <v>1126</v>
      </c>
      <c r="K149" s="20" t="s">
        <v>11</v>
      </c>
      <c r="L149" s="20">
        <v>1126</v>
      </c>
      <c r="M149" s="20">
        <v>0</v>
      </c>
      <c r="N149" s="20">
        <v>1126</v>
      </c>
      <c r="O149" s="20" t="s">
        <v>2154</v>
      </c>
      <c r="P149" s="20" t="s">
        <v>87</v>
      </c>
      <c r="Q149" s="20" t="s">
        <v>87</v>
      </c>
      <c r="R149" s="20" t="s">
        <v>2824</v>
      </c>
      <c r="S149" s="111">
        <v>46364</v>
      </c>
      <c r="T149" s="20" t="s">
        <v>206</v>
      </c>
      <c r="U149" s="20" t="s">
        <v>207</v>
      </c>
      <c r="V149" s="20" t="s">
        <v>2823</v>
      </c>
      <c r="W149" s="20">
        <v>144.32</v>
      </c>
      <c r="X149" s="20">
        <v>144.32</v>
      </c>
      <c r="Y149" s="20" t="s">
        <v>2824</v>
      </c>
      <c r="Z149" s="111">
        <v>46364</v>
      </c>
      <c r="AB149" s="20" t="s">
        <v>2290</v>
      </c>
      <c r="AD149" s="20" t="s">
        <v>2290</v>
      </c>
      <c r="AE149" s="20" t="s">
        <v>2290</v>
      </c>
      <c r="AF149" s="20">
        <v>0</v>
      </c>
      <c r="AG149" s="20">
        <v>0</v>
      </c>
      <c r="AH149" s="20">
        <v>0</v>
      </c>
      <c r="AI149" s="20">
        <v>0</v>
      </c>
      <c r="AJ149" s="20">
        <v>0</v>
      </c>
      <c r="AK149" s="20" t="s">
        <v>576</v>
      </c>
      <c r="AL149" s="20">
        <v>0</v>
      </c>
      <c r="AM149" s="20">
        <v>0</v>
      </c>
      <c r="AN149" s="20">
        <v>0</v>
      </c>
      <c r="AO149" s="20">
        <v>0</v>
      </c>
      <c r="AP149" s="20">
        <v>0</v>
      </c>
      <c r="AR149" s="20">
        <v>0</v>
      </c>
      <c r="AS149" s="20">
        <v>0</v>
      </c>
      <c r="AT149" s="20">
        <v>1388140.9</v>
      </c>
      <c r="AU149" s="20" t="s">
        <v>13</v>
      </c>
      <c r="AV149" s="20" t="s">
        <v>62</v>
      </c>
      <c r="AW149" s="111" t="s">
        <v>63</v>
      </c>
      <c r="AX149" s="20" t="s">
        <v>208</v>
      </c>
      <c r="AY149" s="19" t="s">
        <v>209</v>
      </c>
      <c r="AZ149" s="19">
        <v>0</v>
      </c>
      <c r="BA149" s="19">
        <v>162504.32000000001</v>
      </c>
      <c r="BB149" s="19">
        <v>1115</v>
      </c>
      <c r="BC149" s="66">
        <v>46364</v>
      </c>
      <c r="BD149" s="19" t="s">
        <v>65</v>
      </c>
      <c r="BE149" s="19" t="s">
        <v>210</v>
      </c>
      <c r="BF149" s="19" t="s">
        <v>210</v>
      </c>
      <c r="BG149" s="19">
        <v>9</v>
      </c>
      <c r="BH149" s="19">
        <v>14625.39</v>
      </c>
      <c r="BI149" s="19">
        <v>9</v>
      </c>
      <c r="BJ149" s="19">
        <v>14625.39</v>
      </c>
      <c r="BK149" s="19">
        <v>0</v>
      </c>
      <c r="BL149" s="19">
        <v>0</v>
      </c>
      <c r="BM149" s="19">
        <v>0</v>
      </c>
      <c r="BN149" s="19">
        <v>632161813474</v>
      </c>
      <c r="BO149" s="66">
        <v>46246</v>
      </c>
      <c r="BP149" s="19">
        <v>0</v>
      </c>
    </row>
    <row r="150" spans="1:68">
      <c r="A150" s="65"/>
      <c r="B150" s="20" t="s">
        <v>2165</v>
      </c>
      <c r="C150" s="111">
        <v>46364</v>
      </c>
      <c r="D150" s="20" t="s">
        <v>3521</v>
      </c>
      <c r="E150" s="20" t="s">
        <v>1324</v>
      </c>
      <c r="F150" s="20" t="s">
        <v>1268</v>
      </c>
      <c r="H150" s="20" t="s">
        <v>3522</v>
      </c>
      <c r="I150" s="20">
        <v>952.5</v>
      </c>
      <c r="J150" s="20">
        <v>952.5</v>
      </c>
      <c r="K150" s="20" t="s">
        <v>3</v>
      </c>
      <c r="L150" s="20">
        <v>952.5</v>
      </c>
      <c r="M150" s="20">
        <v>0</v>
      </c>
      <c r="N150" s="20">
        <v>952.5</v>
      </c>
      <c r="O150" s="20" t="s">
        <v>2154</v>
      </c>
      <c r="P150" s="20" t="s">
        <v>87</v>
      </c>
      <c r="Q150" s="20" t="s">
        <v>87</v>
      </c>
      <c r="R150" s="20" t="s">
        <v>2824</v>
      </c>
      <c r="S150" s="111">
        <v>46364</v>
      </c>
      <c r="T150" s="20" t="s">
        <v>206</v>
      </c>
      <c r="U150" s="20" t="s">
        <v>207</v>
      </c>
      <c r="V150" s="20" t="s">
        <v>2823</v>
      </c>
      <c r="W150" s="20">
        <v>157.32</v>
      </c>
      <c r="X150" s="20">
        <v>157.32</v>
      </c>
      <c r="Y150" s="20" t="s">
        <v>2824</v>
      </c>
      <c r="Z150" s="111">
        <v>46364</v>
      </c>
      <c r="AB150" s="20" t="s">
        <v>2290</v>
      </c>
      <c r="AD150" s="20" t="s">
        <v>2290</v>
      </c>
      <c r="AE150" s="20" t="s">
        <v>2290</v>
      </c>
      <c r="AF150" s="20">
        <v>0</v>
      </c>
      <c r="AG150" s="20">
        <v>0</v>
      </c>
      <c r="AH150" s="20">
        <v>0</v>
      </c>
      <c r="AI150" s="20">
        <v>0</v>
      </c>
      <c r="AJ150" s="20">
        <v>0</v>
      </c>
      <c r="AK150" s="20" t="s">
        <v>576</v>
      </c>
      <c r="AL150" s="20">
        <v>0</v>
      </c>
      <c r="AM150" s="20">
        <v>0</v>
      </c>
      <c r="AN150" s="20">
        <v>0</v>
      </c>
      <c r="AO150" s="20">
        <v>0</v>
      </c>
      <c r="AP150" s="20">
        <v>0</v>
      </c>
      <c r="AR150" s="20">
        <v>0</v>
      </c>
      <c r="AS150" s="20">
        <v>0</v>
      </c>
      <c r="AT150" s="20">
        <v>1388140.9</v>
      </c>
      <c r="AU150" s="20" t="s">
        <v>13</v>
      </c>
      <c r="AV150" s="20" t="s">
        <v>99</v>
      </c>
      <c r="AW150" s="111" t="s">
        <v>100</v>
      </c>
      <c r="AX150" s="20" t="s">
        <v>208</v>
      </c>
      <c r="AY150" s="19"/>
      <c r="AZ150" s="19">
        <v>0</v>
      </c>
      <c r="BA150" s="19">
        <v>149847.29999999999</v>
      </c>
      <c r="BB150" s="19">
        <v>1115</v>
      </c>
      <c r="BC150" s="66">
        <v>46364</v>
      </c>
      <c r="BD150" s="19" t="s">
        <v>65</v>
      </c>
      <c r="BE150" s="19" t="s">
        <v>210</v>
      </c>
      <c r="BF150" s="19" t="s">
        <v>210</v>
      </c>
      <c r="BG150" s="19">
        <v>2.5</v>
      </c>
      <c r="BH150" s="19">
        <v>3746.18</v>
      </c>
      <c r="BI150" s="19">
        <v>2.5</v>
      </c>
      <c r="BJ150" s="19">
        <v>3746.18</v>
      </c>
      <c r="BK150" s="19">
        <v>0</v>
      </c>
      <c r="BL150" s="19">
        <v>0</v>
      </c>
      <c r="BM150" s="19">
        <v>0</v>
      </c>
      <c r="BN150" s="19">
        <v>632161813474</v>
      </c>
      <c r="BO150" s="66">
        <v>46246</v>
      </c>
      <c r="BP150" s="19">
        <v>0</v>
      </c>
    </row>
    <row r="151" spans="1:68">
      <c r="A151" s="65"/>
      <c r="B151" s="20" t="s">
        <v>2165</v>
      </c>
      <c r="C151" s="111">
        <v>46364</v>
      </c>
      <c r="D151" s="20" t="s">
        <v>3523</v>
      </c>
      <c r="E151" s="20" t="s">
        <v>554</v>
      </c>
      <c r="F151" s="20" t="s">
        <v>553</v>
      </c>
      <c r="H151" s="20" t="s">
        <v>3524</v>
      </c>
      <c r="I151" s="20">
        <v>382.7</v>
      </c>
      <c r="J151" s="20">
        <v>382.7</v>
      </c>
      <c r="K151" s="20" t="s">
        <v>3</v>
      </c>
      <c r="L151" s="20">
        <v>382.7</v>
      </c>
      <c r="M151" s="20">
        <v>0</v>
      </c>
      <c r="N151" s="20">
        <v>382.7</v>
      </c>
      <c r="O151" s="20" t="s">
        <v>2310</v>
      </c>
      <c r="P151" s="20" t="s">
        <v>94</v>
      </c>
      <c r="Q151" s="20" t="s">
        <v>94</v>
      </c>
      <c r="R151" s="20" t="s">
        <v>2834</v>
      </c>
      <c r="S151" s="111">
        <v>46364</v>
      </c>
      <c r="T151" s="20" t="s">
        <v>206</v>
      </c>
      <c r="U151" s="20" t="s">
        <v>207</v>
      </c>
      <c r="V151" s="20" t="s">
        <v>2833</v>
      </c>
      <c r="W151" s="20">
        <v>156.4</v>
      </c>
      <c r="X151" s="20">
        <v>156.4</v>
      </c>
      <c r="Y151" s="20" t="s">
        <v>2834</v>
      </c>
      <c r="Z151" s="111">
        <v>46364</v>
      </c>
      <c r="AB151" s="20" t="s">
        <v>2290</v>
      </c>
      <c r="AD151" s="20" t="s">
        <v>2290</v>
      </c>
      <c r="AE151" s="20" t="s">
        <v>2290</v>
      </c>
      <c r="AF151" s="20">
        <v>0</v>
      </c>
      <c r="AG151" s="20">
        <v>0</v>
      </c>
      <c r="AH151" s="20">
        <v>0</v>
      </c>
      <c r="AI151" s="20">
        <v>0</v>
      </c>
      <c r="AJ151" s="20">
        <v>0</v>
      </c>
      <c r="AK151" s="20" t="s">
        <v>576</v>
      </c>
      <c r="AL151" s="20">
        <v>0</v>
      </c>
      <c r="AM151" s="20">
        <v>0</v>
      </c>
      <c r="AN151" s="20">
        <v>0</v>
      </c>
      <c r="AO151" s="20">
        <v>0</v>
      </c>
      <c r="AP151" s="20">
        <v>0</v>
      </c>
      <c r="AR151" s="20">
        <v>0</v>
      </c>
      <c r="AS151" s="20">
        <v>0</v>
      </c>
      <c r="AT151" s="20">
        <v>62847</v>
      </c>
      <c r="AU151" s="20" t="s">
        <v>13</v>
      </c>
      <c r="AV151" s="20" t="s">
        <v>99</v>
      </c>
      <c r="AW151" s="111" t="s">
        <v>100</v>
      </c>
      <c r="AX151" s="20" t="s">
        <v>208</v>
      </c>
      <c r="AY151" s="19"/>
      <c r="AZ151" s="19">
        <v>0</v>
      </c>
      <c r="BA151" s="19">
        <v>59854.28</v>
      </c>
      <c r="BB151" s="19">
        <v>1117</v>
      </c>
      <c r="BC151" s="66">
        <v>46364</v>
      </c>
      <c r="BD151" s="19" t="s">
        <v>74</v>
      </c>
      <c r="BE151" s="19" t="s">
        <v>210</v>
      </c>
      <c r="BF151" s="19" t="s">
        <v>210</v>
      </c>
      <c r="BG151" s="19">
        <v>2.5</v>
      </c>
      <c r="BH151" s="19">
        <v>1496.36</v>
      </c>
      <c r="BI151" s="19">
        <v>2.5</v>
      </c>
      <c r="BJ151" s="19">
        <v>1496.36</v>
      </c>
      <c r="BK151" s="19">
        <v>0</v>
      </c>
      <c r="BL151" s="19">
        <v>0</v>
      </c>
      <c r="BM151" s="19">
        <v>62847</v>
      </c>
      <c r="BN151" s="19">
        <v>682161936903</v>
      </c>
      <c r="BO151" s="66">
        <v>46246</v>
      </c>
      <c r="BP151" s="19">
        <v>0</v>
      </c>
    </row>
    <row r="152" spans="1:68">
      <c r="A152" s="65"/>
      <c r="B152" s="20" t="s">
        <v>2165</v>
      </c>
      <c r="C152" s="111">
        <v>46364</v>
      </c>
      <c r="D152" s="20" t="s">
        <v>3525</v>
      </c>
      <c r="E152" s="20" t="s">
        <v>18</v>
      </c>
      <c r="F152" s="20" t="s">
        <v>19</v>
      </c>
      <c r="H152" s="20" t="s">
        <v>3526</v>
      </c>
      <c r="I152" s="20">
        <v>7100</v>
      </c>
      <c r="J152" s="20">
        <v>7100</v>
      </c>
      <c r="K152" s="20" t="s">
        <v>11</v>
      </c>
      <c r="L152" s="20">
        <v>7100</v>
      </c>
      <c r="M152" s="20">
        <v>0</v>
      </c>
      <c r="N152" s="20">
        <v>7100</v>
      </c>
      <c r="O152" s="20" t="s">
        <v>2156</v>
      </c>
      <c r="P152" s="20" t="s">
        <v>87</v>
      </c>
      <c r="Q152" s="20" t="s">
        <v>87</v>
      </c>
      <c r="R152" s="20" t="s">
        <v>2826</v>
      </c>
      <c r="S152" s="111">
        <v>46364</v>
      </c>
      <c r="T152" s="20" t="s">
        <v>206</v>
      </c>
      <c r="U152" s="20" t="s">
        <v>207</v>
      </c>
      <c r="V152" s="20" t="s">
        <v>2825</v>
      </c>
      <c r="W152" s="20">
        <v>142.32</v>
      </c>
      <c r="X152" s="20">
        <v>142.32</v>
      </c>
      <c r="Y152" s="20" t="s">
        <v>2826</v>
      </c>
      <c r="Z152" s="111">
        <v>46364</v>
      </c>
      <c r="AB152" s="20" t="s">
        <v>2290</v>
      </c>
      <c r="AD152" s="20" t="s">
        <v>2290</v>
      </c>
      <c r="AE152" s="20" t="s">
        <v>2290</v>
      </c>
      <c r="AF152" s="20">
        <v>0</v>
      </c>
      <c r="AG152" s="20">
        <v>0</v>
      </c>
      <c r="AH152" s="20">
        <v>0</v>
      </c>
      <c r="AI152" s="20">
        <v>0</v>
      </c>
      <c r="AJ152" s="20">
        <v>0</v>
      </c>
      <c r="AK152" s="20" t="s">
        <v>576</v>
      </c>
      <c r="AL152" s="20">
        <v>0</v>
      </c>
      <c r="AM152" s="20">
        <v>0</v>
      </c>
      <c r="AN152" s="20">
        <v>0</v>
      </c>
      <c r="AO152" s="20">
        <v>0</v>
      </c>
      <c r="AP152" s="20">
        <v>0</v>
      </c>
      <c r="AR152" s="20">
        <v>0</v>
      </c>
      <c r="AS152" s="20">
        <v>0</v>
      </c>
      <c r="AT152" s="20">
        <v>1321051</v>
      </c>
      <c r="AU152" s="20" t="s">
        <v>13</v>
      </c>
      <c r="AV152" s="20" t="s">
        <v>62</v>
      </c>
      <c r="AW152" s="111" t="s">
        <v>63</v>
      </c>
      <c r="AX152" s="20" t="s">
        <v>208</v>
      </c>
      <c r="AY152" s="19" t="s">
        <v>209</v>
      </c>
      <c r="AZ152" s="19">
        <v>0</v>
      </c>
      <c r="BA152" s="19">
        <v>1010472</v>
      </c>
      <c r="BB152" s="19">
        <v>1112</v>
      </c>
      <c r="BC152" s="66">
        <v>46364</v>
      </c>
      <c r="BD152" s="19" t="s">
        <v>65</v>
      </c>
      <c r="BE152" s="19" t="s">
        <v>210</v>
      </c>
      <c r="BF152" s="19" t="s">
        <v>210</v>
      </c>
      <c r="BG152" s="19">
        <v>9</v>
      </c>
      <c r="BH152" s="19">
        <v>90942.48</v>
      </c>
      <c r="BI152" s="19">
        <v>9</v>
      </c>
      <c r="BJ152" s="19">
        <v>90942.48</v>
      </c>
      <c r="BK152" s="19">
        <v>0</v>
      </c>
      <c r="BL152" s="19">
        <v>0</v>
      </c>
      <c r="BM152" s="19">
        <v>1321051</v>
      </c>
      <c r="BN152" s="19">
        <v>642161733539</v>
      </c>
      <c r="BO152" s="66">
        <v>46246</v>
      </c>
      <c r="BP152" s="19">
        <v>0</v>
      </c>
    </row>
    <row r="153" spans="1:68">
      <c r="A153" s="65"/>
      <c r="B153" s="20" t="s">
        <v>2165</v>
      </c>
      <c r="C153" s="111">
        <v>46364</v>
      </c>
      <c r="D153" s="20" t="s">
        <v>3525</v>
      </c>
      <c r="E153" s="20" t="s">
        <v>18</v>
      </c>
      <c r="F153" s="20" t="s">
        <v>19</v>
      </c>
      <c r="H153" s="20" t="s">
        <v>3526</v>
      </c>
      <c r="I153" s="20">
        <v>389</v>
      </c>
      <c r="J153" s="20">
        <v>389</v>
      </c>
      <c r="K153" s="20" t="s">
        <v>11</v>
      </c>
      <c r="L153" s="20">
        <v>389</v>
      </c>
      <c r="M153" s="20">
        <v>0</v>
      </c>
      <c r="N153" s="20">
        <v>389</v>
      </c>
      <c r="O153" s="20" t="s">
        <v>2156</v>
      </c>
      <c r="P153" s="20" t="s">
        <v>87</v>
      </c>
      <c r="Q153" s="20" t="s">
        <v>87</v>
      </c>
      <c r="R153" s="20" t="s">
        <v>2826</v>
      </c>
      <c r="S153" s="111">
        <v>46364</v>
      </c>
      <c r="T153" s="20" t="s">
        <v>206</v>
      </c>
      <c r="U153" s="20" t="s">
        <v>207</v>
      </c>
      <c r="V153" s="20" t="s">
        <v>2825</v>
      </c>
      <c r="W153" s="20">
        <v>144.32</v>
      </c>
      <c r="X153" s="20">
        <v>144.32</v>
      </c>
      <c r="Y153" s="20" t="s">
        <v>2826</v>
      </c>
      <c r="Z153" s="111">
        <v>46364</v>
      </c>
      <c r="AB153" s="20" t="s">
        <v>2290</v>
      </c>
      <c r="AD153" s="20" t="s">
        <v>2290</v>
      </c>
      <c r="AE153" s="20" t="s">
        <v>2290</v>
      </c>
      <c r="AF153" s="20">
        <v>0</v>
      </c>
      <c r="AG153" s="20">
        <v>0</v>
      </c>
      <c r="AH153" s="20">
        <v>0</v>
      </c>
      <c r="AI153" s="20">
        <v>0</v>
      </c>
      <c r="AJ153" s="20">
        <v>0</v>
      </c>
      <c r="AK153" s="20" t="s">
        <v>576</v>
      </c>
      <c r="AL153" s="20">
        <v>0</v>
      </c>
      <c r="AM153" s="20">
        <v>0</v>
      </c>
      <c r="AN153" s="20">
        <v>0</v>
      </c>
      <c r="AO153" s="20">
        <v>0</v>
      </c>
      <c r="AP153" s="20">
        <v>0</v>
      </c>
      <c r="AR153" s="20">
        <v>0</v>
      </c>
      <c r="AS153" s="20">
        <v>0</v>
      </c>
      <c r="AT153" s="20">
        <v>1321051</v>
      </c>
      <c r="AU153" s="20" t="s">
        <v>13</v>
      </c>
      <c r="AV153" s="20" t="s">
        <v>62</v>
      </c>
      <c r="AW153" s="111" t="s">
        <v>63</v>
      </c>
      <c r="AX153" s="20" t="s">
        <v>208</v>
      </c>
      <c r="AY153" s="19" t="s">
        <v>209</v>
      </c>
      <c r="AZ153" s="19">
        <v>0</v>
      </c>
      <c r="BA153" s="19">
        <v>56140.480000000003</v>
      </c>
      <c r="BB153" s="19">
        <v>1112</v>
      </c>
      <c r="BC153" s="66">
        <v>46364</v>
      </c>
      <c r="BD153" s="19" t="s">
        <v>65</v>
      </c>
      <c r="BE153" s="19" t="s">
        <v>210</v>
      </c>
      <c r="BF153" s="19" t="s">
        <v>210</v>
      </c>
      <c r="BG153" s="19">
        <v>9</v>
      </c>
      <c r="BH153" s="19">
        <v>5052.6400000000003</v>
      </c>
      <c r="BI153" s="19">
        <v>9</v>
      </c>
      <c r="BJ153" s="19">
        <v>5052.6400000000003</v>
      </c>
      <c r="BK153" s="19">
        <v>0</v>
      </c>
      <c r="BL153" s="19">
        <v>0</v>
      </c>
      <c r="BM153" s="19">
        <v>0</v>
      </c>
      <c r="BN153" s="19">
        <v>642161733539</v>
      </c>
      <c r="BO153" s="66">
        <v>46246</v>
      </c>
      <c r="BP153" s="19">
        <v>0</v>
      </c>
    </row>
    <row r="154" spans="1:68">
      <c r="A154" s="65"/>
      <c r="B154" s="20" t="s">
        <v>2165</v>
      </c>
      <c r="C154" s="111">
        <v>46364</v>
      </c>
      <c r="D154" s="20" t="s">
        <v>3525</v>
      </c>
      <c r="E154" s="20" t="s">
        <v>160</v>
      </c>
      <c r="F154" s="20" t="s">
        <v>17</v>
      </c>
      <c r="H154" s="20" t="s">
        <v>3526</v>
      </c>
      <c r="I154" s="20">
        <v>109</v>
      </c>
      <c r="J154" s="20">
        <v>109</v>
      </c>
      <c r="K154" s="20" t="s">
        <v>11</v>
      </c>
      <c r="L154" s="20">
        <v>109</v>
      </c>
      <c r="M154" s="20">
        <v>0</v>
      </c>
      <c r="N154" s="20">
        <v>109</v>
      </c>
      <c r="O154" s="20" t="s">
        <v>2156</v>
      </c>
      <c r="P154" s="20" t="s">
        <v>87</v>
      </c>
      <c r="Q154" s="20" t="s">
        <v>87</v>
      </c>
      <c r="R154" s="20" t="s">
        <v>2826</v>
      </c>
      <c r="S154" s="111">
        <v>46364</v>
      </c>
      <c r="T154" s="20" t="s">
        <v>206</v>
      </c>
      <c r="U154" s="20" t="s">
        <v>207</v>
      </c>
      <c r="V154" s="20" t="s">
        <v>2825</v>
      </c>
      <c r="W154" s="20">
        <v>176.86</v>
      </c>
      <c r="X154" s="20">
        <v>176.86</v>
      </c>
      <c r="Y154" s="20" t="s">
        <v>2826</v>
      </c>
      <c r="Z154" s="111">
        <v>46364</v>
      </c>
      <c r="AB154" s="20" t="s">
        <v>2290</v>
      </c>
      <c r="AD154" s="20" t="s">
        <v>2290</v>
      </c>
      <c r="AE154" s="20" t="s">
        <v>2290</v>
      </c>
      <c r="AF154" s="20">
        <v>0</v>
      </c>
      <c r="AG154" s="20">
        <v>0</v>
      </c>
      <c r="AH154" s="20">
        <v>0</v>
      </c>
      <c r="AI154" s="20">
        <v>0</v>
      </c>
      <c r="AJ154" s="20">
        <v>0</v>
      </c>
      <c r="AK154" s="20" t="s">
        <v>576</v>
      </c>
      <c r="AL154" s="20">
        <v>0</v>
      </c>
      <c r="AM154" s="20">
        <v>0</v>
      </c>
      <c r="AN154" s="20">
        <v>0</v>
      </c>
      <c r="AO154" s="20">
        <v>0</v>
      </c>
      <c r="AP154" s="20">
        <v>0</v>
      </c>
      <c r="AR154" s="20">
        <v>0</v>
      </c>
      <c r="AS154" s="20">
        <v>0</v>
      </c>
      <c r="AT154" s="20">
        <v>1321051</v>
      </c>
      <c r="AU154" s="20" t="s">
        <v>13</v>
      </c>
      <c r="AV154" s="20" t="s">
        <v>80</v>
      </c>
      <c r="AW154" s="111" t="s">
        <v>81</v>
      </c>
      <c r="AX154" s="20" t="s">
        <v>208</v>
      </c>
      <c r="AY154" s="19" t="s">
        <v>209</v>
      </c>
      <c r="AZ154" s="19">
        <v>0</v>
      </c>
      <c r="BA154" s="19">
        <v>19277.740000000002</v>
      </c>
      <c r="BB154" s="19">
        <v>1112</v>
      </c>
      <c r="BC154" s="66">
        <v>46364</v>
      </c>
      <c r="BD154" s="19" t="s">
        <v>65</v>
      </c>
      <c r="BE154" s="19" t="s">
        <v>210</v>
      </c>
      <c r="BF154" s="19" t="s">
        <v>210</v>
      </c>
      <c r="BG154" s="19">
        <v>9</v>
      </c>
      <c r="BH154" s="19">
        <v>1735</v>
      </c>
      <c r="BI154" s="19">
        <v>9</v>
      </c>
      <c r="BJ154" s="19">
        <v>1735</v>
      </c>
      <c r="BK154" s="19">
        <v>0</v>
      </c>
      <c r="BL154" s="19">
        <v>0</v>
      </c>
      <c r="BM154" s="19">
        <v>0</v>
      </c>
      <c r="BN154" s="19">
        <v>642161733539</v>
      </c>
      <c r="BO154" s="66">
        <v>46246</v>
      </c>
      <c r="BP154" s="19">
        <v>0</v>
      </c>
    </row>
    <row r="155" spans="1:68">
      <c r="A155" s="65"/>
      <c r="B155" s="20" t="s">
        <v>2165</v>
      </c>
      <c r="C155" s="111">
        <v>46364</v>
      </c>
      <c r="D155" s="20" t="s">
        <v>3525</v>
      </c>
      <c r="E155" s="20" t="s">
        <v>160</v>
      </c>
      <c r="F155" s="20" t="s">
        <v>17</v>
      </c>
      <c r="H155" s="20" t="s">
        <v>3526</v>
      </c>
      <c r="I155" s="20">
        <v>182</v>
      </c>
      <c r="J155" s="20">
        <v>182</v>
      </c>
      <c r="K155" s="20" t="s">
        <v>11</v>
      </c>
      <c r="L155" s="20">
        <v>182</v>
      </c>
      <c r="M155" s="20">
        <v>0</v>
      </c>
      <c r="N155" s="20">
        <v>182</v>
      </c>
      <c r="O155" s="20" t="s">
        <v>2156</v>
      </c>
      <c r="P155" s="20" t="s">
        <v>87</v>
      </c>
      <c r="Q155" s="20" t="s">
        <v>87</v>
      </c>
      <c r="R155" s="20" t="s">
        <v>2826</v>
      </c>
      <c r="S155" s="111">
        <v>46364</v>
      </c>
      <c r="T155" s="20" t="s">
        <v>206</v>
      </c>
      <c r="U155" s="20" t="s">
        <v>207</v>
      </c>
      <c r="V155" s="20" t="s">
        <v>2825</v>
      </c>
      <c r="W155" s="20">
        <v>184.86</v>
      </c>
      <c r="X155" s="20">
        <v>184.86</v>
      </c>
      <c r="Y155" s="20" t="s">
        <v>2826</v>
      </c>
      <c r="Z155" s="111">
        <v>46364</v>
      </c>
      <c r="AB155" s="20" t="s">
        <v>2290</v>
      </c>
      <c r="AD155" s="20" t="s">
        <v>2290</v>
      </c>
      <c r="AE155" s="20" t="s">
        <v>2290</v>
      </c>
      <c r="AF155" s="20">
        <v>0</v>
      </c>
      <c r="AG155" s="20">
        <v>0</v>
      </c>
      <c r="AH155" s="20">
        <v>0</v>
      </c>
      <c r="AI155" s="20">
        <v>0</v>
      </c>
      <c r="AJ155" s="20">
        <v>0</v>
      </c>
      <c r="AK155" s="20" t="s">
        <v>576</v>
      </c>
      <c r="AL155" s="20">
        <v>0</v>
      </c>
      <c r="AM155" s="20">
        <v>0</v>
      </c>
      <c r="AN155" s="20">
        <v>0</v>
      </c>
      <c r="AO155" s="20">
        <v>0</v>
      </c>
      <c r="AP155" s="20">
        <v>0</v>
      </c>
      <c r="AR155" s="20">
        <v>0</v>
      </c>
      <c r="AS155" s="20">
        <v>0</v>
      </c>
      <c r="AT155" s="20">
        <v>1321051</v>
      </c>
      <c r="AU155" s="20" t="s">
        <v>13</v>
      </c>
      <c r="AV155" s="20" t="s">
        <v>80</v>
      </c>
      <c r="AW155" s="111" t="s">
        <v>81</v>
      </c>
      <c r="AX155" s="20" t="s">
        <v>208</v>
      </c>
      <c r="AY155" s="19" t="s">
        <v>209</v>
      </c>
      <c r="AZ155" s="19">
        <v>0</v>
      </c>
      <c r="BA155" s="19">
        <v>33644.519999999997</v>
      </c>
      <c r="BB155" s="19">
        <v>1112</v>
      </c>
      <c r="BC155" s="66">
        <v>46364</v>
      </c>
      <c r="BD155" s="19" t="s">
        <v>65</v>
      </c>
      <c r="BE155" s="19" t="s">
        <v>210</v>
      </c>
      <c r="BF155" s="19" t="s">
        <v>210</v>
      </c>
      <c r="BG155" s="19">
        <v>9</v>
      </c>
      <c r="BH155" s="19">
        <v>3028.01</v>
      </c>
      <c r="BI155" s="19">
        <v>9</v>
      </c>
      <c r="BJ155" s="19">
        <v>3028.01</v>
      </c>
      <c r="BK155" s="19">
        <v>0</v>
      </c>
      <c r="BL155" s="19">
        <v>0</v>
      </c>
      <c r="BM155" s="19">
        <v>0</v>
      </c>
      <c r="BN155" s="19">
        <v>642161733539</v>
      </c>
      <c r="BO155" s="66">
        <v>46246</v>
      </c>
      <c r="BP155" s="19">
        <v>0</v>
      </c>
    </row>
    <row r="156" spans="1:68">
      <c r="A156" s="65"/>
      <c r="B156" s="20" t="s">
        <v>2165</v>
      </c>
      <c r="C156" s="111">
        <v>46364</v>
      </c>
      <c r="D156" s="20" t="s">
        <v>3527</v>
      </c>
      <c r="E156" s="20" t="s">
        <v>18</v>
      </c>
      <c r="F156" s="20" t="s">
        <v>19</v>
      </c>
      <c r="H156" s="20" t="s">
        <v>3528</v>
      </c>
      <c r="I156" s="20">
        <v>5877.7</v>
      </c>
      <c r="J156" s="20">
        <v>5877.7</v>
      </c>
      <c r="K156" s="20" t="s">
        <v>11</v>
      </c>
      <c r="L156" s="20">
        <v>5877.7</v>
      </c>
      <c r="M156" s="20">
        <v>0</v>
      </c>
      <c r="N156" s="20">
        <v>5877.7</v>
      </c>
      <c r="O156" s="20" t="s">
        <v>3529</v>
      </c>
      <c r="P156" s="20" t="s">
        <v>89</v>
      </c>
      <c r="Q156" s="20" t="s">
        <v>89</v>
      </c>
      <c r="R156" s="20" t="s">
        <v>2830</v>
      </c>
      <c r="S156" s="111">
        <v>46364</v>
      </c>
      <c r="T156" s="20" t="s">
        <v>206</v>
      </c>
      <c r="U156" s="20" t="s">
        <v>207</v>
      </c>
      <c r="V156" s="20" t="s">
        <v>2829</v>
      </c>
      <c r="W156" s="20">
        <v>158.4</v>
      </c>
      <c r="X156" s="20">
        <v>158.399985581816</v>
      </c>
      <c r="Y156" s="20" t="s">
        <v>2830</v>
      </c>
      <c r="Z156" s="111">
        <v>46364</v>
      </c>
      <c r="AB156" s="20" t="s">
        <v>2290</v>
      </c>
      <c r="AD156" s="20" t="s">
        <v>2290</v>
      </c>
      <c r="AE156" s="20" t="s">
        <v>2290</v>
      </c>
      <c r="AF156" s="20">
        <v>0</v>
      </c>
      <c r="AG156" s="20">
        <v>0</v>
      </c>
      <c r="AH156" s="20">
        <v>0</v>
      </c>
      <c r="AI156" s="20">
        <v>0</v>
      </c>
      <c r="AJ156" s="20">
        <v>0</v>
      </c>
      <c r="AK156" s="20" t="s">
        <v>576</v>
      </c>
      <c r="AL156" s="20">
        <v>0</v>
      </c>
      <c r="AM156" s="20">
        <v>0</v>
      </c>
      <c r="AN156" s="20">
        <v>0</v>
      </c>
      <c r="AO156" s="20">
        <v>0</v>
      </c>
      <c r="AP156" s="20">
        <v>0</v>
      </c>
      <c r="AR156" s="20">
        <v>0</v>
      </c>
      <c r="AS156" s="20">
        <v>0</v>
      </c>
      <c r="AT156" s="20">
        <v>1098612.56</v>
      </c>
      <c r="AU156" s="20" t="s">
        <v>13</v>
      </c>
      <c r="AV156" s="20" t="s">
        <v>62</v>
      </c>
      <c r="AW156" s="111" t="s">
        <v>63</v>
      </c>
      <c r="AX156" s="20" t="s">
        <v>208</v>
      </c>
      <c r="AY156" s="19" t="s">
        <v>209</v>
      </c>
      <c r="AZ156" s="19">
        <v>0</v>
      </c>
      <c r="BA156" s="19">
        <v>931027.6</v>
      </c>
      <c r="BB156" s="19">
        <v>1108</v>
      </c>
      <c r="BC156" s="66">
        <v>46364</v>
      </c>
      <c r="BD156" s="19" t="s">
        <v>65</v>
      </c>
      <c r="BE156" s="19" t="s">
        <v>210</v>
      </c>
      <c r="BF156" s="19" t="s">
        <v>210</v>
      </c>
      <c r="BG156" s="19">
        <v>9</v>
      </c>
      <c r="BH156" s="19">
        <v>83792.490000000005</v>
      </c>
      <c r="BI156" s="19">
        <v>9</v>
      </c>
      <c r="BJ156" s="19">
        <v>83792.490000000005</v>
      </c>
      <c r="BK156" s="19">
        <v>0</v>
      </c>
      <c r="BL156" s="19">
        <v>0</v>
      </c>
      <c r="BM156" s="19">
        <v>1098612.56</v>
      </c>
      <c r="BN156" s="19">
        <v>632160607869</v>
      </c>
      <c r="BO156" s="66">
        <v>46244</v>
      </c>
      <c r="BP156" s="19">
        <v>0</v>
      </c>
    </row>
    <row r="157" spans="1:68">
      <c r="A157" s="65"/>
      <c r="B157" s="20" t="s">
        <v>2165</v>
      </c>
      <c r="C157" s="111">
        <v>46364</v>
      </c>
      <c r="D157" s="20" t="s">
        <v>3530</v>
      </c>
      <c r="E157" s="20" t="s">
        <v>160</v>
      </c>
      <c r="F157" s="20" t="s">
        <v>17</v>
      </c>
      <c r="H157" s="20" t="s">
        <v>3531</v>
      </c>
      <c r="I157" s="20">
        <v>3409</v>
      </c>
      <c r="J157" s="20">
        <v>3409</v>
      </c>
      <c r="K157" s="20" t="s">
        <v>11</v>
      </c>
      <c r="L157" s="20">
        <v>3409</v>
      </c>
      <c r="M157" s="20">
        <v>0</v>
      </c>
      <c r="N157" s="20">
        <v>3409</v>
      </c>
      <c r="O157" s="20" t="s">
        <v>2156</v>
      </c>
      <c r="P157" s="20" t="s">
        <v>87</v>
      </c>
      <c r="Q157" s="20" t="s">
        <v>87</v>
      </c>
      <c r="R157" s="20" t="s">
        <v>2828</v>
      </c>
      <c r="S157" s="111">
        <v>46364</v>
      </c>
      <c r="T157" s="20" t="s">
        <v>206</v>
      </c>
      <c r="U157" s="20" t="s">
        <v>207</v>
      </c>
      <c r="V157" s="20" t="s">
        <v>2827</v>
      </c>
      <c r="W157" s="20">
        <v>180.86</v>
      </c>
      <c r="X157" s="20">
        <v>180.860007133083</v>
      </c>
      <c r="Y157" s="20" t="s">
        <v>2828</v>
      </c>
      <c r="Z157" s="111">
        <v>46364</v>
      </c>
      <c r="AB157" s="20" t="s">
        <v>2290</v>
      </c>
      <c r="AD157" s="20" t="s">
        <v>2290</v>
      </c>
      <c r="AE157" s="20" t="s">
        <v>2290</v>
      </c>
      <c r="AF157" s="20">
        <v>0</v>
      </c>
      <c r="AG157" s="20">
        <v>0</v>
      </c>
      <c r="AH157" s="20">
        <v>0</v>
      </c>
      <c r="AI157" s="20">
        <v>0</v>
      </c>
      <c r="AJ157" s="20">
        <v>0</v>
      </c>
      <c r="AK157" s="20" t="s">
        <v>576</v>
      </c>
      <c r="AL157" s="20">
        <v>0</v>
      </c>
      <c r="AM157" s="20">
        <v>0</v>
      </c>
      <c r="AN157" s="20">
        <v>0</v>
      </c>
      <c r="AO157" s="20">
        <v>0</v>
      </c>
      <c r="AP157" s="20">
        <v>0</v>
      </c>
      <c r="AR157" s="20">
        <v>0</v>
      </c>
      <c r="AS157" s="20">
        <v>0</v>
      </c>
      <c r="AT157" s="20">
        <v>1480737.56</v>
      </c>
      <c r="AU157" s="20" t="s">
        <v>13</v>
      </c>
      <c r="AV157" s="20" t="s">
        <v>80</v>
      </c>
      <c r="AW157" s="111" t="s">
        <v>81</v>
      </c>
      <c r="AX157" s="20" t="s">
        <v>208</v>
      </c>
      <c r="AY157" s="19" t="s">
        <v>209</v>
      </c>
      <c r="AZ157" s="19">
        <v>0</v>
      </c>
      <c r="BA157" s="19">
        <v>616551.76</v>
      </c>
      <c r="BB157" s="19">
        <v>1118</v>
      </c>
      <c r="BC157" s="66">
        <v>46364</v>
      </c>
      <c r="BD157" s="19" t="s">
        <v>65</v>
      </c>
      <c r="BE157" s="19" t="s">
        <v>210</v>
      </c>
      <c r="BF157" s="19" t="s">
        <v>210</v>
      </c>
      <c r="BG157" s="19">
        <v>9</v>
      </c>
      <c r="BH157" s="19">
        <v>55489.66</v>
      </c>
      <c r="BI157" s="19">
        <v>9</v>
      </c>
      <c r="BJ157" s="19">
        <v>55489.66</v>
      </c>
      <c r="BK157" s="19">
        <v>0</v>
      </c>
      <c r="BL157" s="19">
        <v>0</v>
      </c>
      <c r="BM157" s="19">
        <v>1480737.56</v>
      </c>
      <c r="BN157" s="19">
        <v>632161970526</v>
      </c>
      <c r="BO157" s="66">
        <v>46246</v>
      </c>
      <c r="BP157" s="19">
        <v>0</v>
      </c>
    </row>
    <row r="158" spans="1:68">
      <c r="A158" s="65"/>
      <c r="B158" s="20" t="s">
        <v>2165</v>
      </c>
      <c r="C158" s="111">
        <v>46364</v>
      </c>
      <c r="D158" s="20" t="s">
        <v>3530</v>
      </c>
      <c r="E158" s="20" t="s">
        <v>160</v>
      </c>
      <c r="F158" s="20" t="s">
        <v>17</v>
      </c>
      <c r="H158" s="20" t="s">
        <v>3531</v>
      </c>
      <c r="I158" s="20">
        <v>2651.16</v>
      </c>
      <c r="J158" s="20">
        <v>2651.16</v>
      </c>
      <c r="K158" s="20" t="s">
        <v>11</v>
      </c>
      <c r="L158" s="20">
        <v>2651.16</v>
      </c>
      <c r="M158" s="20">
        <v>0</v>
      </c>
      <c r="N158" s="20">
        <v>2651.16</v>
      </c>
      <c r="O158" s="20" t="s">
        <v>2156</v>
      </c>
      <c r="P158" s="20" t="s">
        <v>87</v>
      </c>
      <c r="Q158" s="20" t="s">
        <v>87</v>
      </c>
      <c r="R158" s="20" t="s">
        <v>2828</v>
      </c>
      <c r="S158" s="111">
        <v>46364</v>
      </c>
      <c r="T158" s="20" t="s">
        <v>206</v>
      </c>
      <c r="U158" s="20" t="s">
        <v>207</v>
      </c>
      <c r="V158" s="20" t="s">
        <v>2827</v>
      </c>
      <c r="W158" s="20">
        <v>176.86</v>
      </c>
      <c r="X158" s="20">
        <v>176.86000697532401</v>
      </c>
      <c r="Y158" s="20" t="s">
        <v>2828</v>
      </c>
      <c r="Z158" s="111">
        <v>46364</v>
      </c>
      <c r="AB158" s="20" t="s">
        <v>2290</v>
      </c>
      <c r="AD158" s="20" t="s">
        <v>2290</v>
      </c>
      <c r="AE158" s="20" t="s">
        <v>2290</v>
      </c>
      <c r="AF158" s="20">
        <v>0</v>
      </c>
      <c r="AG158" s="20">
        <v>0</v>
      </c>
      <c r="AH158" s="20">
        <v>0</v>
      </c>
      <c r="AI158" s="20">
        <v>0</v>
      </c>
      <c r="AJ158" s="20">
        <v>0</v>
      </c>
      <c r="AK158" s="20" t="s">
        <v>576</v>
      </c>
      <c r="AL158" s="20">
        <v>0</v>
      </c>
      <c r="AM158" s="20">
        <v>0</v>
      </c>
      <c r="AN158" s="20">
        <v>0</v>
      </c>
      <c r="AO158" s="20">
        <v>0</v>
      </c>
      <c r="AP158" s="20">
        <v>0</v>
      </c>
      <c r="AR158" s="20">
        <v>0</v>
      </c>
      <c r="AS158" s="20">
        <v>0</v>
      </c>
      <c r="AT158" s="20">
        <v>1480737.56</v>
      </c>
      <c r="AU158" s="20" t="s">
        <v>13</v>
      </c>
      <c r="AV158" s="20" t="s">
        <v>80</v>
      </c>
      <c r="AW158" s="111" t="s">
        <v>81</v>
      </c>
      <c r="AX158" s="20" t="s">
        <v>208</v>
      </c>
      <c r="AY158" s="19" t="s">
        <v>209</v>
      </c>
      <c r="AZ158" s="19">
        <v>0</v>
      </c>
      <c r="BA158" s="19">
        <v>468884.18</v>
      </c>
      <c r="BB158" s="19">
        <v>1118</v>
      </c>
      <c r="BC158" s="66">
        <v>46364</v>
      </c>
      <c r="BD158" s="19" t="s">
        <v>65</v>
      </c>
      <c r="BE158" s="19" t="s">
        <v>210</v>
      </c>
      <c r="BF158" s="19" t="s">
        <v>210</v>
      </c>
      <c r="BG158" s="19">
        <v>9</v>
      </c>
      <c r="BH158" s="19">
        <v>42199.57</v>
      </c>
      <c r="BI158" s="19">
        <v>9</v>
      </c>
      <c r="BJ158" s="19">
        <v>42199.57</v>
      </c>
      <c r="BK158" s="19">
        <v>0</v>
      </c>
      <c r="BL158" s="19">
        <v>0</v>
      </c>
      <c r="BM158" s="19">
        <v>0</v>
      </c>
      <c r="BN158" s="19">
        <v>632161970526</v>
      </c>
      <c r="BO158" s="66">
        <v>46246</v>
      </c>
      <c r="BP158" s="19">
        <v>0</v>
      </c>
    </row>
    <row r="159" spans="1:68">
      <c r="A159" s="65"/>
      <c r="B159" s="20" t="s">
        <v>2165</v>
      </c>
      <c r="C159" s="111">
        <v>46364</v>
      </c>
      <c r="D159" s="20" t="s">
        <v>3530</v>
      </c>
      <c r="E159" s="20" t="s">
        <v>820</v>
      </c>
      <c r="F159" s="20" t="s">
        <v>743</v>
      </c>
      <c r="H159" s="20" t="s">
        <v>3531</v>
      </c>
      <c r="I159" s="20">
        <v>15400</v>
      </c>
      <c r="J159" s="20">
        <v>15400</v>
      </c>
      <c r="K159" s="20" t="s">
        <v>1</v>
      </c>
      <c r="L159" s="20">
        <v>15400</v>
      </c>
      <c r="M159" s="20">
        <v>0</v>
      </c>
      <c r="N159" s="20">
        <v>15400</v>
      </c>
      <c r="O159" s="20" t="s">
        <v>2156</v>
      </c>
      <c r="P159" s="20" t="s">
        <v>87</v>
      </c>
      <c r="Q159" s="20" t="s">
        <v>87</v>
      </c>
      <c r="R159" s="20" t="s">
        <v>2828</v>
      </c>
      <c r="S159" s="111">
        <v>46364</v>
      </c>
      <c r="T159" s="20" t="s">
        <v>206</v>
      </c>
      <c r="U159" s="20" t="s">
        <v>207</v>
      </c>
      <c r="V159" s="20" t="s">
        <v>2827</v>
      </c>
      <c r="W159" s="20">
        <v>3.3879000000000001</v>
      </c>
      <c r="X159" s="20">
        <v>3.3879001336181198</v>
      </c>
      <c r="Y159" s="20" t="s">
        <v>2828</v>
      </c>
      <c r="Z159" s="111">
        <v>46364</v>
      </c>
      <c r="AB159" s="20" t="s">
        <v>2290</v>
      </c>
      <c r="AD159" s="20" t="s">
        <v>2290</v>
      </c>
      <c r="AE159" s="20" t="s">
        <v>2290</v>
      </c>
      <c r="AF159" s="20">
        <v>0</v>
      </c>
      <c r="AG159" s="20">
        <v>0</v>
      </c>
      <c r="AH159" s="20">
        <v>0</v>
      </c>
      <c r="AI159" s="20">
        <v>0</v>
      </c>
      <c r="AJ159" s="20">
        <v>0</v>
      </c>
      <c r="AK159" s="20" t="s">
        <v>576</v>
      </c>
      <c r="AL159" s="20">
        <v>0</v>
      </c>
      <c r="AM159" s="20">
        <v>0</v>
      </c>
      <c r="AN159" s="20">
        <v>0</v>
      </c>
      <c r="AO159" s="20">
        <v>0</v>
      </c>
      <c r="AP159" s="20">
        <v>0</v>
      </c>
      <c r="AR159" s="20">
        <v>0</v>
      </c>
      <c r="AS159" s="20">
        <v>0</v>
      </c>
      <c r="AT159" s="20">
        <v>1480737.56</v>
      </c>
      <c r="AU159" s="20" t="s">
        <v>8</v>
      </c>
      <c r="AV159" s="20" t="s">
        <v>625</v>
      </c>
      <c r="AW159" s="111" t="s">
        <v>625</v>
      </c>
      <c r="AX159" s="20" t="s">
        <v>208</v>
      </c>
      <c r="AY159" s="19" t="s">
        <v>821</v>
      </c>
      <c r="AZ159" s="19">
        <v>0</v>
      </c>
      <c r="BA159" s="19">
        <v>52173.66</v>
      </c>
      <c r="BB159" s="19">
        <v>1118</v>
      </c>
      <c r="BC159" s="66">
        <v>46364</v>
      </c>
      <c r="BD159" s="19" t="s">
        <v>65</v>
      </c>
      <c r="BE159" s="19" t="s">
        <v>210</v>
      </c>
      <c r="BF159" s="19" t="s">
        <v>210</v>
      </c>
      <c r="BG159" s="19">
        <v>9</v>
      </c>
      <c r="BH159" s="19">
        <v>4695.63</v>
      </c>
      <c r="BI159" s="19">
        <v>9</v>
      </c>
      <c r="BJ159" s="19">
        <v>4695.63</v>
      </c>
      <c r="BK159" s="19">
        <v>0</v>
      </c>
      <c r="BL159" s="19">
        <v>0</v>
      </c>
      <c r="BM159" s="19">
        <v>0</v>
      </c>
      <c r="BN159" s="19">
        <v>632161970526</v>
      </c>
      <c r="BO159" s="66">
        <v>46246</v>
      </c>
      <c r="BP159" s="19">
        <v>0</v>
      </c>
    </row>
    <row r="160" spans="1:68">
      <c r="A160" s="65"/>
      <c r="B160" s="20" t="s">
        <v>2165</v>
      </c>
      <c r="C160" s="111">
        <v>46364</v>
      </c>
      <c r="D160" s="20" t="s">
        <v>3530</v>
      </c>
      <c r="E160" s="20" t="s">
        <v>214</v>
      </c>
      <c r="F160" s="20" t="s">
        <v>12</v>
      </c>
      <c r="H160" s="20" t="s">
        <v>3531</v>
      </c>
      <c r="I160" s="20">
        <v>563</v>
      </c>
      <c r="J160" s="20">
        <v>563</v>
      </c>
      <c r="K160" s="20" t="s">
        <v>11</v>
      </c>
      <c r="L160" s="20">
        <v>563</v>
      </c>
      <c r="M160" s="20">
        <v>0</v>
      </c>
      <c r="N160" s="20">
        <v>563</v>
      </c>
      <c r="O160" s="20" t="s">
        <v>2156</v>
      </c>
      <c r="P160" s="20" t="s">
        <v>87</v>
      </c>
      <c r="Q160" s="20" t="s">
        <v>87</v>
      </c>
      <c r="R160" s="20" t="s">
        <v>2828</v>
      </c>
      <c r="S160" s="111">
        <v>46364</v>
      </c>
      <c r="T160" s="20" t="s">
        <v>206</v>
      </c>
      <c r="U160" s="20" t="s">
        <v>207</v>
      </c>
      <c r="V160" s="20" t="s">
        <v>2827</v>
      </c>
      <c r="W160" s="20">
        <v>166.86</v>
      </c>
      <c r="X160" s="20">
        <v>166.86000658092601</v>
      </c>
      <c r="Y160" s="20" t="s">
        <v>2828</v>
      </c>
      <c r="Z160" s="111">
        <v>46364</v>
      </c>
      <c r="AB160" s="20" t="s">
        <v>2290</v>
      </c>
      <c r="AD160" s="20" t="s">
        <v>2290</v>
      </c>
      <c r="AE160" s="20" t="s">
        <v>2290</v>
      </c>
      <c r="AF160" s="20">
        <v>0</v>
      </c>
      <c r="AG160" s="20">
        <v>0</v>
      </c>
      <c r="AH160" s="20">
        <v>0</v>
      </c>
      <c r="AI160" s="20">
        <v>0</v>
      </c>
      <c r="AJ160" s="20">
        <v>0</v>
      </c>
      <c r="AK160" s="20" t="s">
        <v>576</v>
      </c>
      <c r="AL160" s="20">
        <v>0</v>
      </c>
      <c r="AM160" s="20">
        <v>0</v>
      </c>
      <c r="AN160" s="20">
        <v>0</v>
      </c>
      <c r="AO160" s="20">
        <v>0</v>
      </c>
      <c r="AP160" s="20">
        <v>0</v>
      </c>
      <c r="AR160" s="20">
        <v>0</v>
      </c>
      <c r="AS160" s="20">
        <v>0</v>
      </c>
      <c r="AT160" s="20">
        <v>1480737.56</v>
      </c>
      <c r="AU160" s="20" t="s">
        <v>13</v>
      </c>
      <c r="AV160" s="20" t="s">
        <v>2152</v>
      </c>
      <c r="AW160" s="111" t="s">
        <v>123</v>
      </c>
      <c r="AX160" s="20" t="s">
        <v>208</v>
      </c>
      <c r="AY160" s="19" t="s">
        <v>209</v>
      </c>
      <c r="AZ160" s="19">
        <v>0</v>
      </c>
      <c r="BA160" s="19">
        <v>93942.18</v>
      </c>
      <c r="BB160" s="19">
        <v>1118</v>
      </c>
      <c r="BC160" s="66">
        <v>46364</v>
      </c>
      <c r="BD160" s="19" t="s">
        <v>65</v>
      </c>
      <c r="BE160" s="19" t="s">
        <v>210</v>
      </c>
      <c r="BF160" s="19" t="s">
        <v>210</v>
      </c>
      <c r="BG160" s="19">
        <v>9</v>
      </c>
      <c r="BH160" s="19">
        <v>8454.7999999999993</v>
      </c>
      <c r="BI160" s="19">
        <v>9</v>
      </c>
      <c r="BJ160" s="19">
        <v>8454.7999999999993</v>
      </c>
      <c r="BK160" s="19">
        <v>0</v>
      </c>
      <c r="BL160" s="19">
        <v>0</v>
      </c>
      <c r="BM160" s="19">
        <v>0</v>
      </c>
      <c r="BN160" s="19">
        <v>632161970526</v>
      </c>
      <c r="BO160" s="66">
        <v>46246</v>
      </c>
      <c r="BP160" s="19">
        <v>0</v>
      </c>
    </row>
    <row r="161" spans="1:68">
      <c r="A161" s="65"/>
      <c r="B161" s="20" t="s">
        <v>2165</v>
      </c>
      <c r="C161" s="111">
        <v>46364</v>
      </c>
      <c r="D161" s="20" t="s">
        <v>3530</v>
      </c>
      <c r="E161" s="20" t="s">
        <v>23</v>
      </c>
      <c r="F161" s="20" t="s">
        <v>24</v>
      </c>
      <c r="H161" s="20" t="s">
        <v>3531</v>
      </c>
      <c r="I161" s="20">
        <v>47.6</v>
      </c>
      <c r="J161" s="20">
        <v>47.6</v>
      </c>
      <c r="K161" s="20" t="s">
        <v>11</v>
      </c>
      <c r="L161" s="20">
        <v>47.6</v>
      </c>
      <c r="M161" s="20">
        <v>0</v>
      </c>
      <c r="N161" s="20">
        <v>47.6</v>
      </c>
      <c r="O161" s="20" t="s">
        <v>2156</v>
      </c>
      <c r="P161" s="20" t="s">
        <v>87</v>
      </c>
      <c r="Q161" s="20" t="s">
        <v>87</v>
      </c>
      <c r="R161" s="20" t="s">
        <v>2828</v>
      </c>
      <c r="S161" s="111">
        <v>46364</v>
      </c>
      <c r="T161" s="20" t="s">
        <v>206</v>
      </c>
      <c r="U161" s="20" t="s">
        <v>207</v>
      </c>
      <c r="V161" s="20" t="s">
        <v>2827</v>
      </c>
      <c r="W161" s="20">
        <v>144.32</v>
      </c>
      <c r="X161" s="20">
        <v>144.32000569195301</v>
      </c>
      <c r="Y161" s="20" t="s">
        <v>2828</v>
      </c>
      <c r="Z161" s="111">
        <v>46364</v>
      </c>
      <c r="AB161" s="20" t="s">
        <v>2290</v>
      </c>
      <c r="AD161" s="20" t="s">
        <v>2290</v>
      </c>
      <c r="AE161" s="20" t="s">
        <v>2290</v>
      </c>
      <c r="AF161" s="20">
        <v>0</v>
      </c>
      <c r="AG161" s="20">
        <v>0</v>
      </c>
      <c r="AH161" s="20">
        <v>0</v>
      </c>
      <c r="AI161" s="20">
        <v>0</v>
      </c>
      <c r="AJ161" s="20">
        <v>0</v>
      </c>
      <c r="AK161" s="20" t="s">
        <v>576</v>
      </c>
      <c r="AL161" s="20">
        <v>0</v>
      </c>
      <c r="AM161" s="20">
        <v>0</v>
      </c>
      <c r="AN161" s="20">
        <v>0</v>
      </c>
      <c r="AO161" s="20">
        <v>0</v>
      </c>
      <c r="AP161" s="20">
        <v>0</v>
      </c>
      <c r="AR161" s="20">
        <v>0</v>
      </c>
      <c r="AS161" s="20">
        <v>0</v>
      </c>
      <c r="AT161" s="20">
        <v>1480737.56</v>
      </c>
      <c r="AU161" s="20" t="s">
        <v>13</v>
      </c>
      <c r="AV161" s="20" t="s">
        <v>24</v>
      </c>
      <c r="AW161" s="111" t="s">
        <v>79</v>
      </c>
      <c r="AX161" s="20" t="s">
        <v>208</v>
      </c>
      <c r="AY161" s="19" t="s">
        <v>209</v>
      </c>
      <c r="AZ161" s="19">
        <v>0</v>
      </c>
      <c r="BA161" s="19">
        <v>6869.63</v>
      </c>
      <c r="BB161" s="19">
        <v>1118</v>
      </c>
      <c r="BC161" s="66">
        <v>46364</v>
      </c>
      <c r="BD161" s="19" t="s">
        <v>65</v>
      </c>
      <c r="BE161" s="19" t="s">
        <v>210</v>
      </c>
      <c r="BF161" s="19" t="s">
        <v>210</v>
      </c>
      <c r="BG161" s="19">
        <v>9</v>
      </c>
      <c r="BH161" s="19">
        <v>618.27</v>
      </c>
      <c r="BI161" s="19">
        <v>9</v>
      </c>
      <c r="BJ161" s="19">
        <v>618.27</v>
      </c>
      <c r="BK161" s="19">
        <v>0</v>
      </c>
      <c r="BL161" s="19">
        <v>0</v>
      </c>
      <c r="BM161" s="19">
        <v>0</v>
      </c>
      <c r="BN161" s="19">
        <v>632161970526</v>
      </c>
      <c r="BO161" s="66">
        <v>46246</v>
      </c>
      <c r="BP161" s="19">
        <v>0</v>
      </c>
    </row>
    <row r="162" spans="1:68">
      <c r="A162" s="65"/>
      <c r="B162" s="20" t="s">
        <v>2165</v>
      </c>
      <c r="C162" s="111">
        <v>46364</v>
      </c>
      <c r="D162" s="20" t="s">
        <v>3530</v>
      </c>
      <c r="E162" s="20" t="s">
        <v>23</v>
      </c>
      <c r="F162" s="20" t="s">
        <v>24</v>
      </c>
      <c r="H162" s="20" t="s">
        <v>3531</v>
      </c>
      <c r="I162" s="20">
        <v>111.6</v>
      </c>
      <c r="J162" s="20">
        <v>111.6</v>
      </c>
      <c r="K162" s="20" t="s">
        <v>11</v>
      </c>
      <c r="L162" s="20">
        <v>111.6</v>
      </c>
      <c r="M162" s="20">
        <v>0</v>
      </c>
      <c r="N162" s="20">
        <v>111.6</v>
      </c>
      <c r="O162" s="20" t="s">
        <v>2156</v>
      </c>
      <c r="P162" s="20" t="s">
        <v>87</v>
      </c>
      <c r="Q162" s="20" t="s">
        <v>87</v>
      </c>
      <c r="R162" s="20" t="s">
        <v>2828</v>
      </c>
      <c r="S162" s="111">
        <v>46364</v>
      </c>
      <c r="T162" s="20" t="s">
        <v>206</v>
      </c>
      <c r="U162" s="20" t="s">
        <v>207</v>
      </c>
      <c r="V162" s="20" t="s">
        <v>2827</v>
      </c>
      <c r="W162" s="20">
        <v>147.32</v>
      </c>
      <c r="X162" s="20">
        <v>147.32000581027199</v>
      </c>
      <c r="Y162" s="20" t="s">
        <v>2828</v>
      </c>
      <c r="Z162" s="111">
        <v>46364</v>
      </c>
      <c r="AB162" s="20" t="s">
        <v>2290</v>
      </c>
      <c r="AD162" s="20" t="s">
        <v>2290</v>
      </c>
      <c r="AE162" s="20" t="s">
        <v>2290</v>
      </c>
      <c r="AF162" s="20">
        <v>0</v>
      </c>
      <c r="AG162" s="20">
        <v>0</v>
      </c>
      <c r="AH162" s="20">
        <v>0</v>
      </c>
      <c r="AI162" s="20">
        <v>0</v>
      </c>
      <c r="AJ162" s="20">
        <v>0</v>
      </c>
      <c r="AK162" s="20" t="s">
        <v>576</v>
      </c>
      <c r="AL162" s="20">
        <v>0</v>
      </c>
      <c r="AM162" s="20">
        <v>0</v>
      </c>
      <c r="AN162" s="20">
        <v>0</v>
      </c>
      <c r="AO162" s="20">
        <v>0</v>
      </c>
      <c r="AP162" s="20">
        <v>0</v>
      </c>
      <c r="AR162" s="20">
        <v>0</v>
      </c>
      <c r="AS162" s="20">
        <v>0</v>
      </c>
      <c r="AT162" s="20">
        <v>1480737.56</v>
      </c>
      <c r="AU162" s="20" t="s">
        <v>13</v>
      </c>
      <c r="AV162" s="20" t="s">
        <v>24</v>
      </c>
      <c r="AW162" s="111" t="s">
        <v>79</v>
      </c>
      <c r="AX162" s="20" t="s">
        <v>208</v>
      </c>
      <c r="AY162" s="19" t="s">
        <v>209</v>
      </c>
      <c r="AZ162" s="19">
        <v>0</v>
      </c>
      <c r="BA162" s="19">
        <v>16440.91</v>
      </c>
      <c r="BB162" s="19">
        <v>1118</v>
      </c>
      <c r="BC162" s="66">
        <v>46364</v>
      </c>
      <c r="BD162" s="19" t="s">
        <v>65</v>
      </c>
      <c r="BE162" s="19" t="s">
        <v>210</v>
      </c>
      <c r="BF162" s="19" t="s">
        <v>210</v>
      </c>
      <c r="BG162" s="19">
        <v>9</v>
      </c>
      <c r="BH162" s="19">
        <v>1479.68</v>
      </c>
      <c r="BI162" s="19">
        <v>9</v>
      </c>
      <c r="BJ162" s="19">
        <v>1479.68</v>
      </c>
      <c r="BK162" s="19">
        <v>0</v>
      </c>
      <c r="BL162" s="19">
        <v>0</v>
      </c>
      <c r="BM162" s="19">
        <v>0</v>
      </c>
      <c r="BN162" s="19">
        <v>632161970526</v>
      </c>
      <c r="BO162" s="66">
        <v>46246</v>
      </c>
      <c r="BP162" s="19">
        <v>0</v>
      </c>
    </row>
    <row r="163" spans="1:68">
      <c r="A163" s="65"/>
      <c r="B163" s="20" t="s">
        <v>2165</v>
      </c>
      <c r="C163" s="111" t="s">
        <v>2847</v>
      </c>
      <c r="D163" s="20" t="s">
        <v>3532</v>
      </c>
      <c r="E163" s="20" t="s">
        <v>211</v>
      </c>
      <c r="F163" s="20" t="s">
        <v>16</v>
      </c>
      <c r="H163" s="20" t="s">
        <v>3533</v>
      </c>
      <c r="I163" s="20">
        <v>156</v>
      </c>
      <c r="J163" s="20">
        <v>156</v>
      </c>
      <c r="K163" s="20" t="s">
        <v>11</v>
      </c>
      <c r="L163" s="20">
        <v>156</v>
      </c>
      <c r="M163" s="20">
        <v>0</v>
      </c>
      <c r="N163" s="20">
        <v>156</v>
      </c>
      <c r="O163" s="20" t="s">
        <v>2310</v>
      </c>
      <c r="P163" s="20" t="s">
        <v>94</v>
      </c>
      <c r="Q163" s="20" t="s">
        <v>94</v>
      </c>
      <c r="R163" s="20" t="s">
        <v>2857</v>
      </c>
      <c r="S163" s="111" t="s">
        <v>2847</v>
      </c>
      <c r="T163" s="20" t="s">
        <v>206</v>
      </c>
      <c r="U163" s="20" t="s">
        <v>207</v>
      </c>
      <c r="V163" s="20" t="s">
        <v>2856</v>
      </c>
      <c r="W163" s="20">
        <v>345.98</v>
      </c>
      <c r="X163" s="20">
        <v>345.98</v>
      </c>
      <c r="Y163" s="20" t="s">
        <v>2857</v>
      </c>
      <c r="Z163" s="111" t="s">
        <v>2847</v>
      </c>
      <c r="AB163" s="20" t="s">
        <v>2290</v>
      </c>
      <c r="AD163" s="20" t="s">
        <v>2290</v>
      </c>
      <c r="AE163" s="20" t="s">
        <v>2290</v>
      </c>
      <c r="AF163" s="20">
        <v>0</v>
      </c>
      <c r="AG163" s="20">
        <v>0</v>
      </c>
      <c r="AH163" s="20">
        <v>0</v>
      </c>
      <c r="AI163" s="20">
        <v>0</v>
      </c>
      <c r="AJ163" s="20">
        <v>0</v>
      </c>
      <c r="AK163" s="20" t="s">
        <v>576</v>
      </c>
      <c r="AL163" s="20">
        <v>0</v>
      </c>
      <c r="AM163" s="20">
        <v>0</v>
      </c>
      <c r="AN163" s="20">
        <v>0</v>
      </c>
      <c r="AO163" s="20">
        <v>0</v>
      </c>
      <c r="AP163" s="20">
        <v>0</v>
      </c>
      <c r="AR163" s="20">
        <v>0</v>
      </c>
      <c r="AS163" s="20">
        <v>0</v>
      </c>
      <c r="AT163" s="20">
        <v>63688</v>
      </c>
      <c r="AU163" s="20" t="s">
        <v>15</v>
      </c>
      <c r="AV163" s="20" t="s">
        <v>57</v>
      </c>
      <c r="AW163" s="111" t="s">
        <v>57</v>
      </c>
      <c r="AX163" s="20" t="s">
        <v>15</v>
      </c>
      <c r="AY163" s="19" t="s">
        <v>209</v>
      </c>
      <c r="AZ163" s="19">
        <v>0</v>
      </c>
      <c r="BA163" s="19">
        <v>53972.88</v>
      </c>
      <c r="BB163" s="19">
        <v>1120</v>
      </c>
      <c r="BC163" s="66" t="s">
        <v>2847</v>
      </c>
      <c r="BD163" s="19" t="s">
        <v>74</v>
      </c>
      <c r="BE163" s="19" t="s">
        <v>210</v>
      </c>
      <c r="BF163" s="19" t="s">
        <v>210</v>
      </c>
      <c r="BG163" s="19">
        <v>9</v>
      </c>
      <c r="BH163" s="19">
        <v>4857.5600000000004</v>
      </c>
      <c r="BI163" s="19">
        <v>9</v>
      </c>
      <c r="BJ163" s="19">
        <v>4857.5600000000004</v>
      </c>
      <c r="BK163" s="19">
        <v>0</v>
      </c>
      <c r="BL163" s="19">
        <v>0</v>
      </c>
      <c r="BM163" s="19">
        <v>63688</v>
      </c>
      <c r="BN163" s="19">
        <v>602162721700</v>
      </c>
      <c r="BO163" s="66">
        <v>46247</v>
      </c>
      <c r="BP163" s="19">
        <v>0</v>
      </c>
    </row>
    <row r="164" spans="1:68">
      <c r="A164" s="65"/>
      <c r="B164" s="20" t="s">
        <v>2165</v>
      </c>
      <c r="C164" s="111" t="s">
        <v>2847</v>
      </c>
      <c r="D164" s="20" t="s">
        <v>3534</v>
      </c>
      <c r="E164" s="20" t="s">
        <v>20</v>
      </c>
      <c r="F164" s="20" t="s">
        <v>21</v>
      </c>
      <c r="H164" s="20" t="s">
        <v>3535</v>
      </c>
      <c r="I164" s="20">
        <v>1864</v>
      </c>
      <c r="J164" s="20">
        <v>1864</v>
      </c>
      <c r="K164" s="20" t="s">
        <v>11</v>
      </c>
      <c r="L164" s="20">
        <v>1864</v>
      </c>
      <c r="M164" s="20">
        <v>0</v>
      </c>
      <c r="N164" s="20">
        <v>1864</v>
      </c>
      <c r="O164" s="20" t="s">
        <v>2154</v>
      </c>
      <c r="P164" s="20" t="s">
        <v>87</v>
      </c>
      <c r="Q164" s="20" t="s">
        <v>87</v>
      </c>
      <c r="R164" s="20" t="s">
        <v>2851</v>
      </c>
      <c r="S164" s="111" t="s">
        <v>2847</v>
      </c>
      <c r="T164" s="20" t="s">
        <v>206</v>
      </c>
      <c r="U164" s="20" t="s">
        <v>207</v>
      </c>
      <c r="V164" s="20" t="s">
        <v>2850</v>
      </c>
      <c r="W164" s="20">
        <v>149.32</v>
      </c>
      <c r="X164" s="20">
        <v>149.32</v>
      </c>
      <c r="Y164" s="20" t="s">
        <v>2851</v>
      </c>
      <c r="Z164" s="111" t="s">
        <v>2847</v>
      </c>
      <c r="AB164" s="20" t="s">
        <v>2290</v>
      </c>
      <c r="AD164" s="20" t="s">
        <v>2290</v>
      </c>
      <c r="AE164" s="20" t="s">
        <v>2290</v>
      </c>
      <c r="AF164" s="20">
        <v>0</v>
      </c>
      <c r="AG164" s="20">
        <v>0</v>
      </c>
      <c r="AH164" s="20">
        <v>0</v>
      </c>
      <c r="AI164" s="20">
        <v>0</v>
      </c>
      <c r="AJ164" s="20">
        <v>0</v>
      </c>
      <c r="AK164" s="20" t="s">
        <v>576</v>
      </c>
      <c r="AL164" s="20">
        <v>0</v>
      </c>
      <c r="AM164" s="20">
        <v>0</v>
      </c>
      <c r="AN164" s="20">
        <v>0</v>
      </c>
      <c r="AO164" s="20">
        <v>0</v>
      </c>
      <c r="AP164" s="20">
        <v>0</v>
      </c>
      <c r="AR164" s="20">
        <v>0</v>
      </c>
      <c r="AS164" s="20">
        <v>0</v>
      </c>
      <c r="AT164" s="20">
        <v>1829509.2</v>
      </c>
      <c r="AU164" s="20" t="s">
        <v>13</v>
      </c>
      <c r="AV164" s="20" t="s">
        <v>62</v>
      </c>
      <c r="AW164" s="111" t="s">
        <v>76</v>
      </c>
      <c r="AX164" s="20" t="s">
        <v>208</v>
      </c>
      <c r="AY164" s="19" t="s">
        <v>209</v>
      </c>
      <c r="AZ164" s="19">
        <v>0</v>
      </c>
      <c r="BA164" s="19">
        <v>278332.48</v>
      </c>
      <c r="BB164" s="19">
        <v>1119</v>
      </c>
      <c r="BC164" s="66" t="s">
        <v>2847</v>
      </c>
      <c r="BD164" s="19" t="s">
        <v>65</v>
      </c>
      <c r="BE164" s="19" t="s">
        <v>210</v>
      </c>
      <c r="BF164" s="19" t="s">
        <v>210</v>
      </c>
      <c r="BG164" s="19">
        <v>9</v>
      </c>
      <c r="BH164" s="19">
        <v>25049.919999999998</v>
      </c>
      <c r="BI164" s="19">
        <v>9</v>
      </c>
      <c r="BJ164" s="19">
        <v>25049.919999999998</v>
      </c>
      <c r="BK164" s="19">
        <v>0</v>
      </c>
      <c r="BL164" s="19">
        <v>0</v>
      </c>
      <c r="BM164" s="19">
        <v>1829509.2</v>
      </c>
      <c r="BN164" s="19">
        <v>622162400991</v>
      </c>
      <c r="BO164" s="66">
        <v>46247</v>
      </c>
      <c r="BP164" s="19">
        <v>0</v>
      </c>
    </row>
    <row r="165" spans="1:68">
      <c r="A165" s="65"/>
      <c r="B165" s="20" t="s">
        <v>2165</v>
      </c>
      <c r="C165" s="111" t="s">
        <v>2847</v>
      </c>
      <c r="D165" s="20" t="s">
        <v>3534</v>
      </c>
      <c r="E165" s="20" t="s">
        <v>18</v>
      </c>
      <c r="F165" s="20" t="s">
        <v>19</v>
      </c>
      <c r="H165" s="20" t="s">
        <v>3535</v>
      </c>
      <c r="I165" s="20">
        <v>1160</v>
      </c>
      <c r="J165" s="20">
        <v>1160</v>
      </c>
      <c r="K165" s="20" t="s">
        <v>11</v>
      </c>
      <c r="L165" s="20">
        <v>1160</v>
      </c>
      <c r="M165" s="20">
        <v>0</v>
      </c>
      <c r="N165" s="20">
        <v>1160</v>
      </c>
      <c r="O165" s="20" t="s">
        <v>2154</v>
      </c>
      <c r="P165" s="20" t="s">
        <v>87</v>
      </c>
      <c r="Q165" s="20" t="s">
        <v>87</v>
      </c>
      <c r="R165" s="20" t="s">
        <v>2851</v>
      </c>
      <c r="S165" s="111" t="s">
        <v>2847</v>
      </c>
      <c r="T165" s="20" t="s">
        <v>206</v>
      </c>
      <c r="U165" s="20" t="s">
        <v>207</v>
      </c>
      <c r="V165" s="20" t="s">
        <v>2850</v>
      </c>
      <c r="W165" s="20">
        <v>144.32</v>
      </c>
      <c r="X165" s="20">
        <v>144.32</v>
      </c>
      <c r="Y165" s="20" t="s">
        <v>2851</v>
      </c>
      <c r="Z165" s="111" t="s">
        <v>2847</v>
      </c>
      <c r="AB165" s="20" t="s">
        <v>2290</v>
      </c>
      <c r="AD165" s="20" t="s">
        <v>2290</v>
      </c>
      <c r="AE165" s="20" t="s">
        <v>2290</v>
      </c>
      <c r="AF165" s="20">
        <v>0</v>
      </c>
      <c r="AG165" s="20">
        <v>0</v>
      </c>
      <c r="AH165" s="20">
        <v>0</v>
      </c>
      <c r="AI165" s="20">
        <v>0</v>
      </c>
      <c r="AJ165" s="20">
        <v>0</v>
      </c>
      <c r="AK165" s="20" t="s">
        <v>576</v>
      </c>
      <c r="AL165" s="20">
        <v>0</v>
      </c>
      <c r="AM165" s="20">
        <v>0</v>
      </c>
      <c r="AN165" s="20">
        <v>0</v>
      </c>
      <c r="AO165" s="20">
        <v>0</v>
      </c>
      <c r="AP165" s="20">
        <v>0</v>
      </c>
      <c r="AR165" s="20">
        <v>0</v>
      </c>
      <c r="AS165" s="20">
        <v>0</v>
      </c>
      <c r="AT165" s="20">
        <v>1829509.2</v>
      </c>
      <c r="AU165" s="20" t="s">
        <v>13</v>
      </c>
      <c r="AV165" s="20" t="s">
        <v>62</v>
      </c>
      <c r="AW165" s="111" t="s">
        <v>63</v>
      </c>
      <c r="AX165" s="20" t="s">
        <v>208</v>
      </c>
      <c r="AY165" s="19" t="s">
        <v>209</v>
      </c>
      <c r="AZ165" s="19">
        <v>0</v>
      </c>
      <c r="BA165" s="19">
        <v>167411.20000000001</v>
      </c>
      <c r="BB165" s="19">
        <v>1119</v>
      </c>
      <c r="BC165" s="66" t="s">
        <v>2847</v>
      </c>
      <c r="BD165" s="19" t="s">
        <v>65</v>
      </c>
      <c r="BE165" s="19" t="s">
        <v>210</v>
      </c>
      <c r="BF165" s="19" t="s">
        <v>210</v>
      </c>
      <c r="BG165" s="19">
        <v>9</v>
      </c>
      <c r="BH165" s="19">
        <v>15067.01</v>
      </c>
      <c r="BI165" s="19">
        <v>9</v>
      </c>
      <c r="BJ165" s="19">
        <v>15067.01</v>
      </c>
      <c r="BK165" s="19">
        <v>0</v>
      </c>
      <c r="BL165" s="19">
        <v>0</v>
      </c>
      <c r="BM165" s="19">
        <v>0</v>
      </c>
      <c r="BN165" s="19">
        <v>622162400991</v>
      </c>
      <c r="BO165" s="66">
        <v>46247</v>
      </c>
      <c r="BP165" s="19">
        <v>0</v>
      </c>
    </row>
    <row r="166" spans="1:68">
      <c r="A166" s="65"/>
      <c r="B166" s="20" t="s">
        <v>2165</v>
      </c>
      <c r="C166" s="111" t="s">
        <v>2847</v>
      </c>
      <c r="D166" s="20" t="s">
        <v>3534</v>
      </c>
      <c r="E166" s="20" t="s">
        <v>18</v>
      </c>
      <c r="F166" s="20" t="s">
        <v>19</v>
      </c>
      <c r="H166" s="20" t="s">
        <v>3535</v>
      </c>
      <c r="I166" s="20">
        <v>7762</v>
      </c>
      <c r="J166" s="20">
        <v>7762</v>
      </c>
      <c r="K166" s="20" t="s">
        <v>11</v>
      </c>
      <c r="L166" s="20">
        <v>7762</v>
      </c>
      <c r="M166" s="20">
        <v>0</v>
      </c>
      <c r="N166" s="20">
        <v>7762</v>
      </c>
      <c r="O166" s="20" t="s">
        <v>2154</v>
      </c>
      <c r="P166" s="20" t="s">
        <v>87</v>
      </c>
      <c r="Q166" s="20" t="s">
        <v>87</v>
      </c>
      <c r="R166" s="20" t="s">
        <v>2851</v>
      </c>
      <c r="S166" s="111" t="s">
        <v>2847</v>
      </c>
      <c r="T166" s="20" t="s">
        <v>206</v>
      </c>
      <c r="U166" s="20" t="s">
        <v>207</v>
      </c>
      <c r="V166" s="20" t="s">
        <v>2850</v>
      </c>
      <c r="W166" s="20">
        <v>142.32</v>
      </c>
      <c r="X166" s="20">
        <v>142.32</v>
      </c>
      <c r="Y166" s="20" t="s">
        <v>2851</v>
      </c>
      <c r="Z166" s="111" t="s">
        <v>2847</v>
      </c>
      <c r="AB166" s="20" t="s">
        <v>2290</v>
      </c>
      <c r="AD166" s="20" t="s">
        <v>2290</v>
      </c>
      <c r="AE166" s="20" t="s">
        <v>2290</v>
      </c>
      <c r="AF166" s="20">
        <v>0</v>
      </c>
      <c r="AG166" s="20">
        <v>0</v>
      </c>
      <c r="AH166" s="20">
        <v>0</v>
      </c>
      <c r="AI166" s="20">
        <v>0</v>
      </c>
      <c r="AJ166" s="20">
        <v>0</v>
      </c>
      <c r="AK166" s="20" t="s">
        <v>576</v>
      </c>
      <c r="AL166" s="20">
        <v>0</v>
      </c>
      <c r="AM166" s="20">
        <v>0</v>
      </c>
      <c r="AN166" s="20">
        <v>0</v>
      </c>
      <c r="AO166" s="20">
        <v>0</v>
      </c>
      <c r="AP166" s="20">
        <v>0</v>
      </c>
      <c r="AR166" s="20">
        <v>0</v>
      </c>
      <c r="AS166" s="20">
        <v>0</v>
      </c>
      <c r="AT166" s="20">
        <v>1829509.2</v>
      </c>
      <c r="AU166" s="20" t="s">
        <v>13</v>
      </c>
      <c r="AV166" s="20" t="s">
        <v>62</v>
      </c>
      <c r="AW166" s="111" t="s">
        <v>63</v>
      </c>
      <c r="AX166" s="20" t="s">
        <v>208</v>
      </c>
      <c r="AY166" s="19" t="s">
        <v>209</v>
      </c>
      <c r="AZ166" s="19">
        <v>0</v>
      </c>
      <c r="BA166" s="19">
        <v>1104687.8400000001</v>
      </c>
      <c r="BB166" s="19">
        <v>1119</v>
      </c>
      <c r="BC166" s="66" t="s">
        <v>2847</v>
      </c>
      <c r="BD166" s="19" t="s">
        <v>65</v>
      </c>
      <c r="BE166" s="19" t="s">
        <v>210</v>
      </c>
      <c r="BF166" s="19" t="s">
        <v>210</v>
      </c>
      <c r="BG166" s="19">
        <v>9</v>
      </c>
      <c r="BH166" s="19">
        <v>99421.91</v>
      </c>
      <c r="BI166" s="19">
        <v>9</v>
      </c>
      <c r="BJ166" s="19">
        <v>99421.91</v>
      </c>
      <c r="BK166" s="19">
        <v>0</v>
      </c>
      <c r="BL166" s="19">
        <v>0</v>
      </c>
      <c r="BM166" s="19">
        <v>0</v>
      </c>
      <c r="BN166" s="19">
        <v>622162400991</v>
      </c>
      <c r="BO166" s="66">
        <v>46247</v>
      </c>
      <c r="BP166" s="19">
        <v>0</v>
      </c>
    </row>
    <row r="167" spans="1:68">
      <c r="A167" s="65"/>
      <c r="B167" s="20" t="s">
        <v>2165</v>
      </c>
      <c r="C167" s="111" t="s">
        <v>2847</v>
      </c>
      <c r="D167" s="20" t="s">
        <v>3536</v>
      </c>
      <c r="E167" s="20" t="s">
        <v>18</v>
      </c>
      <c r="F167" s="20" t="s">
        <v>19</v>
      </c>
      <c r="H167" s="20" t="s">
        <v>3537</v>
      </c>
      <c r="I167" s="20">
        <v>275</v>
      </c>
      <c r="J167" s="20">
        <v>275</v>
      </c>
      <c r="K167" s="20" t="s">
        <v>11</v>
      </c>
      <c r="L167" s="20">
        <v>275</v>
      </c>
      <c r="M167" s="20">
        <v>0</v>
      </c>
      <c r="N167" s="20">
        <v>275</v>
      </c>
      <c r="O167" s="20" t="s">
        <v>2156</v>
      </c>
      <c r="P167" s="20" t="s">
        <v>87</v>
      </c>
      <c r="Q167" s="20" t="s">
        <v>87</v>
      </c>
      <c r="R167" s="20" t="s">
        <v>2853</v>
      </c>
      <c r="S167" s="111" t="s">
        <v>2847</v>
      </c>
      <c r="T167" s="20" t="s">
        <v>206</v>
      </c>
      <c r="U167" s="20" t="s">
        <v>207</v>
      </c>
      <c r="V167" s="20" t="s">
        <v>2852</v>
      </c>
      <c r="W167" s="20">
        <v>144.32</v>
      </c>
      <c r="X167" s="20">
        <v>144.31999936316501</v>
      </c>
      <c r="Y167" s="20" t="s">
        <v>2853</v>
      </c>
      <c r="Z167" s="111" t="s">
        <v>2847</v>
      </c>
      <c r="AB167" s="20" t="s">
        <v>2290</v>
      </c>
      <c r="AD167" s="20" t="s">
        <v>2290</v>
      </c>
      <c r="AE167" s="20" t="s">
        <v>2290</v>
      </c>
      <c r="AF167" s="20">
        <v>0</v>
      </c>
      <c r="AG167" s="20">
        <v>0</v>
      </c>
      <c r="AH167" s="20">
        <v>0</v>
      </c>
      <c r="AI167" s="20">
        <v>0</v>
      </c>
      <c r="AJ167" s="20">
        <v>0</v>
      </c>
      <c r="AK167" s="20" t="s">
        <v>576</v>
      </c>
      <c r="AL167" s="20">
        <v>0</v>
      </c>
      <c r="AM167" s="20">
        <v>0</v>
      </c>
      <c r="AN167" s="20">
        <v>0</v>
      </c>
      <c r="AO167" s="20">
        <v>0</v>
      </c>
      <c r="AP167" s="20">
        <v>0</v>
      </c>
      <c r="AR167" s="20">
        <v>0</v>
      </c>
      <c r="AS167" s="20">
        <v>0</v>
      </c>
      <c r="AT167" s="20">
        <v>1359723.85</v>
      </c>
      <c r="AU167" s="20" t="s">
        <v>13</v>
      </c>
      <c r="AV167" s="20" t="s">
        <v>62</v>
      </c>
      <c r="AW167" s="111" t="s">
        <v>63</v>
      </c>
      <c r="AX167" s="20" t="s">
        <v>208</v>
      </c>
      <c r="AY167" s="19" t="s">
        <v>209</v>
      </c>
      <c r="AZ167" s="19">
        <v>0</v>
      </c>
      <c r="BA167" s="19">
        <v>39688</v>
      </c>
      <c r="BB167" s="19">
        <v>1130</v>
      </c>
      <c r="BC167" s="66" t="s">
        <v>2847</v>
      </c>
      <c r="BD167" s="19" t="s">
        <v>65</v>
      </c>
      <c r="BE167" s="19" t="s">
        <v>210</v>
      </c>
      <c r="BF167" s="19" t="s">
        <v>210</v>
      </c>
      <c r="BG167" s="19">
        <v>9</v>
      </c>
      <c r="BH167" s="19">
        <v>3571.92</v>
      </c>
      <c r="BI167" s="19">
        <v>9</v>
      </c>
      <c r="BJ167" s="19">
        <v>3571.92</v>
      </c>
      <c r="BK167" s="19">
        <v>0</v>
      </c>
      <c r="BL167" s="19">
        <v>0</v>
      </c>
      <c r="BM167" s="19">
        <v>1359723.85</v>
      </c>
      <c r="BN167" s="19">
        <v>622162805716</v>
      </c>
      <c r="BO167" s="66">
        <v>46247</v>
      </c>
      <c r="BP167" s="19">
        <v>0</v>
      </c>
    </row>
    <row r="168" spans="1:68">
      <c r="A168" s="65"/>
      <c r="B168" s="20" t="s">
        <v>2165</v>
      </c>
      <c r="C168" s="111" t="s">
        <v>2847</v>
      </c>
      <c r="D168" s="20" t="s">
        <v>3536</v>
      </c>
      <c r="E168" s="20" t="s">
        <v>18</v>
      </c>
      <c r="F168" s="20" t="s">
        <v>19</v>
      </c>
      <c r="H168" s="20" t="s">
        <v>3537</v>
      </c>
      <c r="I168" s="20">
        <v>2465</v>
      </c>
      <c r="J168" s="20">
        <v>2465</v>
      </c>
      <c r="K168" s="20" t="s">
        <v>11</v>
      </c>
      <c r="L168" s="20">
        <v>2465</v>
      </c>
      <c r="M168" s="20">
        <v>0</v>
      </c>
      <c r="N168" s="20">
        <v>2465</v>
      </c>
      <c r="O168" s="20" t="s">
        <v>2156</v>
      </c>
      <c r="P168" s="20" t="s">
        <v>87</v>
      </c>
      <c r="Q168" s="20" t="s">
        <v>87</v>
      </c>
      <c r="R168" s="20" t="s">
        <v>2853</v>
      </c>
      <c r="S168" s="111" t="s">
        <v>2847</v>
      </c>
      <c r="T168" s="20" t="s">
        <v>206</v>
      </c>
      <c r="U168" s="20" t="s">
        <v>207</v>
      </c>
      <c r="V168" s="20" t="s">
        <v>2852</v>
      </c>
      <c r="W168" s="20">
        <v>142.32</v>
      </c>
      <c r="X168" s="20">
        <v>142.31999937199001</v>
      </c>
      <c r="Y168" s="20" t="s">
        <v>2853</v>
      </c>
      <c r="Z168" s="111" t="s">
        <v>2847</v>
      </c>
      <c r="AB168" s="20" t="s">
        <v>2290</v>
      </c>
      <c r="AD168" s="20" t="s">
        <v>2290</v>
      </c>
      <c r="AE168" s="20" t="s">
        <v>2290</v>
      </c>
      <c r="AF168" s="20">
        <v>0</v>
      </c>
      <c r="AG168" s="20">
        <v>0</v>
      </c>
      <c r="AH168" s="20">
        <v>0</v>
      </c>
      <c r="AI168" s="20">
        <v>0</v>
      </c>
      <c r="AJ168" s="20">
        <v>0</v>
      </c>
      <c r="AK168" s="20" t="s">
        <v>576</v>
      </c>
      <c r="AL168" s="20">
        <v>0</v>
      </c>
      <c r="AM168" s="20">
        <v>0</v>
      </c>
      <c r="AN168" s="20">
        <v>0</v>
      </c>
      <c r="AO168" s="20">
        <v>0</v>
      </c>
      <c r="AP168" s="20">
        <v>0</v>
      </c>
      <c r="AR168" s="20">
        <v>0</v>
      </c>
      <c r="AS168" s="20">
        <v>0</v>
      </c>
      <c r="AT168" s="20">
        <v>1359723.85</v>
      </c>
      <c r="AU168" s="20" t="s">
        <v>13</v>
      </c>
      <c r="AV168" s="20" t="s">
        <v>62</v>
      </c>
      <c r="AW168" s="111" t="s">
        <v>63</v>
      </c>
      <c r="AX168" s="20" t="s">
        <v>208</v>
      </c>
      <c r="AY168" s="19" t="s">
        <v>209</v>
      </c>
      <c r="AZ168" s="19">
        <v>0</v>
      </c>
      <c r="BA168" s="19">
        <v>350818.8</v>
      </c>
      <c r="BB168" s="19">
        <v>1130</v>
      </c>
      <c r="BC168" s="66" t="s">
        <v>2847</v>
      </c>
      <c r="BD168" s="19" t="s">
        <v>65</v>
      </c>
      <c r="BE168" s="19" t="s">
        <v>210</v>
      </c>
      <c r="BF168" s="19" t="s">
        <v>210</v>
      </c>
      <c r="BG168" s="19">
        <v>9</v>
      </c>
      <c r="BH168" s="19">
        <v>31573.69</v>
      </c>
      <c r="BI168" s="19">
        <v>9</v>
      </c>
      <c r="BJ168" s="19">
        <v>31573.69</v>
      </c>
      <c r="BK168" s="19">
        <v>0</v>
      </c>
      <c r="BL168" s="19">
        <v>0</v>
      </c>
      <c r="BM168" s="19">
        <v>0</v>
      </c>
      <c r="BN168" s="19">
        <v>622162805716</v>
      </c>
      <c r="BO168" s="66">
        <v>46247</v>
      </c>
      <c r="BP168" s="19">
        <v>0</v>
      </c>
    </row>
    <row r="169" spans="1:68">
      <c r="A169" s="65"/>
      <c r="B169" s="20" t="s">
        <v>2165</v>
      </c>
      <c r="C169" s="111" t="s">
        <v>2847</v>
      </c>
      <c r="D169" s="20" t="s">
        <v>3536</v>
      </c>
      <c r="E169" s="20" t="s">
        <v>160</v>
      </c>
      <c r="F169" s="20" t="s">
        <v>17</v>
      </c>
      <c r="H169" s="20" t="s">
        <v>3537</v>
      </c>
      <c r="I169" s="20">
        <v>238</v>
      </c>
      <c r="J169" s="20">
        <v>238</v>
      </c>
      <c r="K169" s="20" t="s">
        <v>11</v>
      </c>
      <c r="L169" s="20">
        <v>238</v>
      </c>
      <c r="M169" s="20">
        <v>0</v>
      </c>
      <c r="N169" s="20">
        <v>238</v>
      </c>
      <c r="O169" s="20" t="s">
        <v>2156</v>
      </c>
      <c r="P169" s="20" t="s">
        <v>87</v>
      </c>
      <c r="Q169" s="20" t="s">
        <v>87</v>
      </c>
      <c r="R169" s="20" t="s">
        <v>2853</v>
      </c>
      <c r="S169" s="111" t="s">
        <v>2847</v>
      </c>
      <c r="T169" s="20" t="s">
        <v>206</v>
      </c>
      <c r="U169" s="20" t="s">
        <v>207</v>
      </c>
      <c r="V169" s="20" t="s">
        <v>2852</v>
      </c>
      <c r="W169" s="20">
        <v>184.86</v>
      </c>
      <c r="X169" s="20">
        <v>184.85999918427601</v>
      </c>
      <c r="Y169" s="20" t="s">
        <v>2853</v>
      </c>
      <c r="Z169" s="111" t="s">
        <v>2847</v>
      </c>
      <c r="AB169" s="20" t="s">
        <v>2290</v>
      </c>
      <c r="AD169" s="20" t="s">
        <v>2290</v>
      </c>
      <c r="AE169" s="20" t="s">
        <v>2290</v>
      </c>
      <c r="AF169" s="20">
        <v>0</v>
      </c>
      <c r="AG169" s="20">
        <v>0</v>
      </c>
      <c r="AH169" s="20">
        <v>0</v>
      </c>
      <c r="AI169" s="20">
        <v>0</v>
      </c>
      <c r="AJ169" s="20">
        <v>0</v>
      </c>
      <c r="AK169" s="20" t="s">
        <v>576</v>
      </c>
      <c r="AL169" s="20">
        <v>0</v>
      </c>
      <c r="AM169" s="20">
        <v>0</v>
      </c>
      <c r="AN169" s="20">
        <v>0</v>
      </c>
      <c r="AO169" s="20">
        <v>0</v>
      </c>
      <c r="AP169" s="20">
        <v>0</v>
      </c>
      <c r="AR169" s="20">
        <v>0</v>
      </c>
      <c r="AS169" s="20">
        <v>0</v>
      </c>
      <c r="AT169" s="20">
        <v>1359723.85</v>
      </c>
      <c r="AU169" s="20" t="s">
        <v>13</v>
      </c>
      <c r="AV169" s="20" t="s">
        <v>80</v>
      </c>
      <c r="AW169" s="111" t="s">
        <v>81</v>
      </c>
      <c r="AX169" s="20" t="s">
        <v>208</v>
      </c>
      <c r="AY169" s="19" t="s">
        <v>209</v>
      </c>
      <c r="AZ169" s="19">
        <v>0</v>
      </c>
      <c r="BA169" s="19">
        <v>43996.68</v>
      </c>
      <c r="BB169" s="19">
        <v>1130</v>
      </c>
      <c r="BC169" s="66" t="s">
        <v>2847</v>
      </c>
      <c r="BD169" s="19" t="s">
        <v>65</v>
      </c>
      <c r="BE169" s="19" t="s">
        <v>210</v>
      </c>
      <c r="BF169" s="19" t="s">
        <v>210</v>
      </c>
      <c r="BG169" s="19">
        <v>9</v>
      </c>
      <c r="BH169" s="19">
        <v>3959.7</v>
      </c>
      <c r="BI169" s="19">
        <v>9</v>
      </c>
      <c r="BJ169" s="19">
        <v>3959.7</v>
      </c>
      <c r="BK169" s="19">
        <v>0</v>
      </c>
      <c r="BL169" s="19">
        <v>0</v>
      </c>
      <c r="BM169" s="19">
        <v>0</v>
      </c>
      <c r="BN169" s="19">
        <v>622162805716</v>
      </c>
      <c r="BO169" s="66">
        <v>46247</v>
      </c>
      <c r="BP169" s="19">
        <v>0</v>
      </c>
    </row>
    <row r="170" spans="1:68">
      <c r="A170" s="65"/>
      <c r="B170" s="20" t="s">
        <v>2165</v>
      </c>
      <c r="C170" s="111" t="s">
        <v>2847</v>
      </c>
      <c r="D170" s="20" t="s">
        <v>3536</v>
      </c>
      <c r="E170" s="20" t="s">
        <v>160</v>
      </c>
      <c r="F170" s="20" t="s">
        <v>17</v>
      </c>
      <c r="H170" s="20" t="s">
        <v>3537</v>
      </c>
      <c r="I170" s="20">
        <v>2059</v>
      </c>
      <c r="J170" s="20">
        <v>2059</v>
      </c>
      <c r="K170" s="20" t="s">
        <v>11</v>
      </c>
      <c r="L170" s="20">
        <v>2059</v>
      </c>
      <c r="M170" s="20">
        <v>0</v>
      </c>
      <c r="N170" s="20">
        <v>2059</v>
      </c>
      <c r="O170" s="20" t="s">
        <v>2156</v>
      </c>
      <c r="P170" s="20" t="s">
        <v>87</v>
      </c>
      <c r="Q170" s="20" t="s">
        <v>87</v>
      </c>
      <c r="R170" s="20" t="s">
        <v>2853</v>
      </c>
      <c r="S170" s="111" t="s">
        <v>2847</v>
      </c>
      <c r="T170" s="20" t="s">
        <v>206</v>
      </c>
      <c r="U170" s="20" t="s">
        <v>207</v>
      </c>
      <c r="V170" s="20" t="s">
        <v>2852</v>
      </c>
      <c r="W170" s="20">
        <v>176.86</v>
      </c>
      <c r="X170" s="20">
        <v>176.85999921957699</v>
      </c>
      <c r="Y170" s="20" t="s">
        <v>2853</v>
      </c>
      <c r="Z170" s="111" t="s">
        <v>2847</v>
      </c>
      <c r="AB170" s="20" t="s">
        <v>2290</v>
      </c>
      <c r="AD170" s="20" t="s">
        <v>2290</v>
      </c>
      <c r="AE170" s="20" t="s">
        <v>2290</v>
      </c>
      <c r="AF170" s="20">
        <v>0</v>
      </c>
      <c r="AG170" s="20">
        <v>0</v>
      </c>
      <c r="AH170" s="20">
        <v>0</v>
      </c>
      <c r="AI170" s="20">
        <v>0</v>
      </c>
      <c r="AJ170" s="20">
        <v>0</v>
      </c>
      <c r="AK170" s="20" t="s">
        <v>576</v>
      </c>
      <c r="AL170" s="20">
        <v>0</v>
      </c>
      <c r="AM170" s="20">
        <v>0</v>
      </c>
      <c r="AN170" s="20">
        <v>0</v>
      </c>
      <c r="AO170" s="20">
        <v>0</v>
      </c>
      <c r="AP170" s="20">
        <v>0</v>
      </c>
      <c r="AR170" s="20">
        <v>0</v>
      </c>
      <c r="AS170" s="20">
        <v>0</v>
      </c>
      <c r="AT170" s="20">
        <v>1359723.85</v>
      </c>
      <c r="AU170" s="20" t="s">
        <v>13</v>
      </c>
      <c r="AV170" s="20" t="s">
        <v>80</v>
      </c>
      <c r="AW170" s="111" t="s">
        <v>81</v>
      </c>
      <c r="AX170" s="20" t="s">
        <v>208</v>
      </c>
      <c r="AY170" s="19" t="s">
        <v>209</v>
      </c>
      <c r="AZ170" s="19">
        <v>0</v>
      </c>
      <c r="BA170" s="19">
        <v>364154.74</v>
      </c>
      <c r="BB170" s="19">
        <v>1130</v>
      </c>
      <c r="BC170" s="66" t="s">
        <v>2847</v>
      </c>
      <c r="BD170" s="19" t="s">
        <v>65</v>
      </c>
      <c r="BE170" s="19" t="s">
        <v>210</v>
      </c>
      <c r="BF170" s="19" t="s">
        <v>210</v>
      </c>
      <c r="BG170" s="19">
        <v>9</v>
      </c>
      <c r="BH170" s="19">
        <v>32773.93</v>
      </c>
      <c r="BI170" s="19">
        <v>9</v>
      </c>
      <c r="BJ170" s="19">
        <v>32773.93</v>
      </c>
      <c r="BK170" s="19">
        <v>0</v>
      </c>
      <c r="BL170" s="19">
        <v>0</v>
      </c>
      <c r="BM170" s="19">
        <v>0</v>
      </c>
      <c r="BN170" s="19">
        <v>622162805716</v>
      </c>
      <c r="BO170" s="66">
        <v>46247</v>
      </c>
      <c r="BP170" s="19">
        <v>0</v>
      </c>
    </row>
    <row r="171" spans="1:68">
      <c r="A171" s="65"/>
      <c r="B171" s="20" t="s">
        <v>2165</v>
      </c>
      <c r="C171" s="111" t="s">
        <v>2847</v>
      </c>
      <c r="D171" s="20" t="s">
        <v>3536</v>
      </c>
      <c r="E171" s="20" t="s">
        <v>23</v>
      </c>
      <c r="F171" s="20" t="s">
        <v>24</v>
      </c>
      <c r="H171" s="20" t="s">
        <v>3537</v>
      </c>
      <c r="I171" s="20">
        <v>1354.6</v>
      </c>
      <c r="J171" s="20">
        <v>1354.6</v>
      </c>
      <c r="K171" s="20" t="s">
        <v>11</v>
      </c>
      <c r="L171" s="20">
        <v>1354.6</v>
      </c>
      <c r="M171" s="20">
        <v>0</v>
      </c>
      <c r="N171" s="20">
        <v>1354.6</v>
      </c>
      <c r="O171" s="20" t="s">
        <v>2156</v>
      </c>
      <c r="P171" s="20" t="s">
        <v>87</v>
      </c>
      <c r="Q171" s="20" t="s">
        <v>87</v>
      </c>
      <c r="R171" s="20" t="s">
        <v>2853</v>
      </c>
      <c r="S171" s="111" t="s">
        <v>2847</v>
      </c>
      <c r="T171" s="20" t="s">
        <v>206</v>
      </c>
      <c r="U171" s="20" t="s">
        <v>207</v>
      </c>
      <c r="V171" s="20" t="s">
        <v>2852</v>
      </c>
      <c r="W171" s="20">
        <v>147.32</v>
      </c>
      <c r="X171" s="20">
        <v>147.319999349927</v>
      </c>
      <c r="Y171" s="20" t="s">
        <v>2853</v>
      </c>
      <c r="Z171" s="111" t="s">
        <v>2847</v>
      </c>
      <c r="AB171" s="20" t="s">
        <v>2290</v>
      </c>
      <c r="AD171" s="20" t="s">
        <v>2290</v>
      </c>
      <c r="AE171" s="20" t="s">
        <v>2290</v>
      </c>
      <c r="AF171" s="20">
        <v>0</v>
      </c>
      <c r="AG171" s="20">
        <v>0</v>
      </c>
      <c r="AH171" s="20">
        <v>0</v>
      </c>
      <c r="AI171" s="20">
        <v>0</v>
      </c>
      <c r="AJ171" s="20">
        <v>0</v>
      </c>
      <c r="AK171" s="20" t="s">
        <v>576</v>
      </c>
      <c r="AL171" s="20">
        <v>0</v>
      </c>
      <c r="AM171" s="20">
        <v>0</v>
      </c>
      <c r="AN171" s="20">
        <v>0</v>
      </c>
      <c r="AO171" s="20">
        <v>0</v>
      </c>
      <c r="AP171" s="20">
        <v>0</v>
      </c>
      <c r="AR171" s="20">
        <v>0</v>
      </c>
      <c r="AS171" s="20">
        <v>0</v>
      </c>
      <c r="AT171" s="20">
        <v>1359723.85</v>
      </c>
      <c r="AU171" s="20" t="s">
        <v>13</v>
      </c>
      <c r="AV171" s="20" t="s">
        <v>24</v>
      </c>
      <c r="AW171" s="111" t="s">
        <v>79</v>
      </c>
      <c r="AX171" s="20" t="s">
        <v>208</v>
      </c>
      <c r="AY171" s="19" t="s">
        <v>209</v>
      </c>
      <c r="AZ171" s="19">
        <v>0</v>
      </c>
      <c r="BA171" s="19">
        <v>199559.67</v>
      </c>
      <c r="BB171" s="19">
        <v>1130</v>
      </c>
      <c r="BC171" s="66" t="s">
        <v>2847</v>
      </c>
      <c r="BD171" s="19" t="s">
        <v>65</v>
      </c>
      <c r="BE171" s="19" t="s">
        <v>210</v>
      </c>
      <c r="BF171" s="19" t="s">
        <v>210</v>
      </c>
      <c r="BG171" s="19">
        <v>9</v>
      </c>
      <c r="BH171" s="19">
        <v>17960.37</v>
      </c>
      <c r="BI171" s="19">
        <v>9</v>
      </c>
      <c r="BJ171" s="19">
        <v>17960.37</v>
      </c>
      <c r="BK171" s="19">
        <v>0</v>
      </c>
      <c r="BL171" s="19">
        <v>0</v>
      </c>
      <c r="BM171" s="19">
        <v>0</v>
      </c>
      <c r="BN171" s="19">
        <v>622162805716</v>
      </c>
      <c r="BO171" s="66">
        <v>46247</v>
      </c>
      <c r="BP171" s="19">
        <v>0</v>
      </c>
    </row>
    <row r="172" spans="1:68">
      <c r="A172" s="65"/>
      <c r="B172" s="20" t="s">
        <v>2165</v>
      </c>
      <c r="C172" s="111" t="s">
        <v>2847</v>
      </c>
      <c r="D172" s="20" t="s">
        <v>3536</v>
      </c>
      <c r="E172" s="20" t="s">
        <v>23</v>
      </c>
      <c r="F172" s="20" t="s">
        <v>24</v>
      </c>
      <c r="H172" s="20" t="s">
        <v>3537</v>
      </c>
      <c r="I172" s="20">
        <v>1067.7</v>
      </c>
      <c r="J172" s="20">
        <v>1067.7</v>
      </c>
      <c r="K172" s="20" t="s">
        <v>11</v>
      </c>
      <c r="L172" s="20">
        <v>1067.7</v>
      </c>
      <c r="M172" s="20">
        <v>0</v>
      </c>
      <c r="N172" s="20">
        <v>1067.7</v>
      </c>
      <c r="O172" s="20" t="s">
        <v>2156</v>
      </c>
      <c r="P172" s="20" t="s">
        <v>87</v>
      </c>
      <c r="Q172" s="20" t="s">
        <v>87</v>
      </c>
      <c r="R172" s="20" t="s">
        <v>2853</v>
      </c>
      <c r="S172" s="111" t="s">
        <v>2847</v>
      </c>
      <c r="T172" s="20" t="s">
        <v>206</v>
      </c>
      <c r="U172" s="20" t="s">
        <v>207</v>
      </c>
      <c r="V172" s="20" t="s">
        <v>2852</v>
      </c>
      <c r="W172" s="20">
        <v>144.32</v>
      </c>
      <c r="X172" s="20">
        <v>144.31999936316501</v>
      </c>
      <c r="Y172" s="20" t="s">
        <v>2853</v>
      </c>
      <c r="Z172" s="111" t="s">
        <v>2847</v>
      </c>
      <c r="AB172" s="20" t="s">
        <v>2290</v>
      </c>
      <c r="AD172" s="20" t="s">
        <v>2290</v>
      </c>
      <c r="AE172" s="20" t="s">
        <v>2290</v>
      </c>
      <c r="AF172" s="20">
        <v>0</v>
      </c>
      <c r="AG172" s="20">
        <v>0</v>
      </c>
      <c r="AH172" s="20">
        <v>0</v>
      </c>
      <c r="AI172" s="20">
        <v>0</v>
      </c>
      <c r="AJ172" s="20">
        <v>0</v>
      </c>
      <c r="AK172" s="20" t="s">
        <v>576</v>
      </c>
      <c r="AL172" s="20">
        <v>0</v>
      </c>
      <c r="AM172" s="20">
        <v>0</v>
      </c>
      <c r="AN172" s="20">
        <v>0</v>
      </c>
      <c r="AO172" s="20">
        <v>0</v>
      </c>
      <c r="AP172" s="20">
        <v>0</v>
      </c>
      <c r="AR172" s="20">
        <v>0</v>
      </c>
      <c r="AS172" s="20">
        <v>0</v>
      </c>
      <c r="AT172" s="20">
        <v>1359723.85</v>
      </c>
      <c r="AU172" s="20" t="s">
        <v>13</v>
      </c>
      <c r="AV172" s="20" t="s">
        <v>24</v>
      </c>
      <c r="AW172" s="111" t="s">
        <v>79</v>
      </c>
      <c r="AX172" s="20" t="s">
        <v>208</v>
      </c>
      <c r="AY172" s="19" t="s">
        <v>209</v>
      </c>
      <c r="AZ172" s="19">
        <v>0</v>
      </c>
      <c r="BA172" s="19">
        <v>154090.46</v>
      </c>
      <c r="BB172" s="19">
        <v>1130</v>
      </c>
      <c r="BC172" s="66" t="s">
        <v>2847</v>
      </c>
      <c r="BD172" s="19" t="s">
        <v>65</v>
      </c>
      <c r="BE172" s="19" t="s">
        <v>210</v>
      </c>
      <c r="BF172" s="19" t="s">
        <v>210</v>
      </c>
      <c r="BG172" s="19">
        <v>9</v>
      </c>
      <c r="BH172" s="19">
        <v>13868.14</v>
      </c>
      <c r="BI172" s="19">
        <v>9</v>
      </c>
      <c r="BJ172" s="19">
        <v>13868.14</v>
      </c>
      <c r="BK172" s="19">
        <v>0</v>
      </c>
      <c r="BL172" s="19">
        <v>0</v>
      </c>
      <c r="BM172" s="19">
        <v>0</v>
      </c>
      <c r="BN172" s="19">
        <v>622162805716</v>
      </c>
      <c r="BO172" s="66">
        <v>46247</v>
      </c>
      <c r="BP172" s="19">
        <v>0</v>
      </c>
    </row>
    <row r="173" spans="1:68">
      <c r="A173" s="65"/>
      <c r="B173" s="20" t="s">
        <v>2165</v>
      </c>
      <c r="C173" s="111" t="s">
        <v>2858</v>
      </c>
      <c r="D173" s="20" t="s">
        <v>3538</v>
      </c>
      <c r="E173" s="20" t="s">
        <v>2396</v>
      </c>
      <c r="F173" s="20" t="s">
        <v>2377</v>
      </c>
      <c r="H173" s="20" t="s">
        <v>3539</v>
      </c>
      <c r="I173" s="20">
        <v>950</v>
      </c>
      <c r="J173" s="20">
        <v>950</v>
      </c>
      <c r="K173" s="20" t="s">
        <v>11</v>
      </c>
      <c r="L173" s="20">
        <v>950</v>
      </c>
      <c r="M173" s="20">
        <v>0</v>
      </c>
      <c r="N173" s="20">
        <v>950</v>
      </c>
      <c r="O173" s="20" t="s">
        <v>3540</v>
      </c>
      <c r="P173" s="20" t="s">
        <v>93</v>
      </c>
      <c r="Q173" s="20" t="s">
        <v>93</v>
      </c>
      <c r="R173" s="20" t="s">
        <v>2864</v>
      </c>
      <c r="S173" s="111" t="s">
        <v>2847</v>
      </c>
      <c r="T173" s="20" t="s">
        <v>206</v>
      </c>
      <c r="U173" s="20" t="s">
        <v>207</v>
      </c>
      <c r="V173" s="20" t="s">
        <v>2863</v>
      </c>
      <c r="W173" s="20">
        <v>156.4</v>
      </c>
      <c r="X173" s="20">
        <v>156.4</v>
      </c>
      <c r="Y173" s="20" t="s">
        <v>2864</v>
      </c>
      <c r="Z173" s="111" t="s">
        <v>2847</v>
      </c>
      <c r="AB173" s="20" t="s">
        <v>212</v>
      </c>
      <c r="AD173" s="20" t="s">
        <v>3541</v>
      </c>
      <c r="AE173" s="20" t="s">
        <v>3542</v>
      </c>
      <c r="AF173" s="20">
        <v>0</v>
      </c>
      <c r="AG173" s="20">
        <v>0</v>
      </c>
      <c r="AH173" s="20">
        <v>0</v>
      </c>
      <c r="AI173" s="20">
        <v>0</v>
      </c>
      <c r="AJ173" s="20">
        <v>0</v>
      </c>
      <c r="AK173" s="20" t="s">
        <v>576</v>
      </c>
      <c r="AL173" s="20">
        <v>0</v>
      </c>
      <c r="AM173" s="20">
        <v>0</v>
      </c>
      <c r="AN173" s="20">
        <v>0</v>
      </c>
      <c r="AO173" s="20">
        <v>0</v>
      </c>
      <c r="AP173" s="20">
        <v>0</v>
      </c>
      <c r="AR173" s="20">
        <v>0</v>
      </c>
      <c r="AS173" s="20">
        <v>0</v>
      </c>
      <c r="AT173" s="20">
        <v>239694</v>
      </c>
      <c r="AU173" s="20" t="s">
        <v>13</v>
      </c>
      <c r="AV173" s="20" t="s">
        <v>99</v>
      </c>
      <c r="AW173" s="111" t="s">
        <v>100</v>
      </c>
      <c r="AX173" s="20" t="s">
        <v>208</v>
      </c>
      <c r="AY173" s="19" t="s">
        <v>209</v>
      </c>
      <c r="AZ173" s="19">
        <v>0</v>
      </c>
      <c r="BA173" s="19">
        <v>148580</v>
      </c>
      <c r="BB173" s="19">
        <v>1132</v>
      </c>
      <c r="BC173" s="66" t="s">
        <v>2858</v>
      </c>
      <c r="BD173" s="19" t="s">
        <v>59</v>
      </c>
      <c r="BE173" s="19" t="s">
        <v>210</v>
      </c>
      <c r="BF173" s="19" t="s">
        <v>210</v>
      </c>
      <c r="BG173" s="19">
        <v>2.5</v>
      </c>
      <c r="BH173" s="19">
        <v>3714.5</v>
      </c>
      <c r="BI173" s="19">
        <v>2.5</v>
      </c>
      <c r="BJ173" s="19">
        <v>3714.5</v>
      </c>
      <c r="BK173" s="19">
        <v>0</v>
      </c>
      <c r="BL173" s="19">
        <v>0</v>
      </c>
      <c r="BM173" s="19">
        <v>239694</v>
      </c>
      <c r="BN173" s="19">
        <v>612162844505</v>
      </c>
      <c r="BO173" s="66">
        <v>46247</v>
      </c>
      <c r="BP173" s="19">
        <v>0</v>
      </c>
    </row>
    <row r="174" spans="1:68">
      <c r="A174" s="65"/>
      <c r="B174" s="20" t="s">
        <v>2165</v>
      </c>
      <c r="C174" s="111" t="s">
        <v>2858</v>
      </c>
      <c r="D174" s="20" t="s">
        <v>3538</v>
      </c>
      <c r="E174" s="20" t="s">
        <v>1583</v>
      </c>
      <c r="F174" s="20" t="s">
        <v>1582</v>
      </c>
      <c r="H174" s="20" t="s">
        <v>3539</v>
      </c>
      <c r="I174" s="20">
        <v>500</v>
      </c>
      <c r="J174" s="20">
        <v>500</v>
      </c>
      <c r="K174" s="20" t="s">
        <v>11</v>
      </c>
      <c r="L174" s="20">
        <v>500</v>
      </c>
      <c r="M174" s="20">
        <v>0</v>
      </c>
      <c r="N174" s="20">
        <v>500</v>
      </c>
      <c r="O174" s="20" t="s">
        <v>3540</v>
      </c>
      <c r="P174" s="20" t="s">
        <v>93</v>
      </c>
      <c r="Q174" s="20" t="s">
        <v>93</v>
      </c>
      <c r="R174" s="20" t="s">
        <v>2864</v>
      </c>
      <c r="S174" s="111" t="s">
        <v>2847</v>
      </c>
      <c r="T174" s="20" t="s">
        <v>206</v>
      </c>
      <c r="U174" s="20" t="s">
        <v>207</v>
      </c>
      <c r="V174" s="20" t="s">
        <v>2863</v>
      </c>
      <c r="W174" s="20">
        <v>159.4</v>
      </c>
      <c r="X174" s="20">
        <v>159.4</v>
      </c>
      <c r="Y174" s="20" t="s">
        <v>2864</v>
      </c>
      <c r="Z174" s="111" t="s">
        <v>2847</v>
      </c>
      <c r="AB174" s="20" t="s">
        <v>212</v>
      </c>
      <c r="AD174" s="20" t="s">
        <v>3541</v>
      </c>
      <c r="AE174" s="20" t="s">
        <v>3542</v>
      </c>
      <c r="AF174" s="20">
        <v>0</v>
      </c>
      <c r="AG174" s="20">
        <v>0</v>
      </c>
      <c r="AH174" s="20">
        <v>0</v>
      </c>
      <c r="AI174" s="20">
        <v>0</v>
      </c>
      <c r="AJ174" s="20">
        <v>0</v>
      </c>
      <c r="AK174" s="20" t="s">
        <v>576</v>
      </c>
      <c r="AL174" s="20">
        <v>0</v>
      </c>
      <c r="AM174" s="20">
        <v>0</v>
      </c>
      <c r="AN174" s="20">
        <v>0</v>
      </c>
      <c r="AO174" s="20">
        <v>0</v>
      </c>
      <c r="AP174" s="20">
        <v>0</v>
      </c>
      <c r="AR174" s="20">
        <v>0</v>
      </c>
      <c r="AS174" s="20">
        <v>0</v>
      </c>
      <c r="AT174" s="20">
        <v>239694</v>
      </c>
      <c r="AU174" s="20" t="s">
        <v>13</v>
      </c>
      <c r="AV174" s="20" t="s">
        <v>99</v>
      </c>
      <c r="AW174" s="111" t="s">
        <v>100</v>
      </c>
      <c r="AX174" s="20" t="s">
        <v>208</v>
      </c>
      <c r="AY174" s="19" t="s">
        <v>209</v>
      </c>
      <c r="AZ174" s="19">
        <v>0</v>
      </c>
      <c r="BA174" s="19">
        <v>79700</v>
      </c>
      <c r="BB174" s="19">
        <v>1132</v>
      </c>
      <c r="BC174" s="66" t="s">
        <v>2858</v>
      </c>
      <c r="BD174" s="19" t="s">
        <v>59</v>
      </c>
      <c r="BE174" s="19" t="s">
        <v>210</v>
      </c>
      <c r="BF174" s="19" t="s">
        <v>210</v>
      </c>
      <c r="BG174" s="19">
        <v>2.5</v>
      </c>
      <c r="BH174" s="19">
        <v>1992.5</v>
      </c>
      <c r="BI174" s="19">
        <v>2.5</v>
      </c>
      <c r="BJ174" s="19">
        <v>1992.5</v>
      </c>
      <c r="BK174" s="19">
        <v>0</v>
      </c>
      <c r="BL174" s="19">
        <v>0</v>
      </c>
      <c r="BM174" s="19">
        <v>0</v>
      </c>
      <c r="BN174" s="19">
        <v>612162844505</v>
      </c>
      <c r="BO174" s="66">
        <v>46247</v>
      </c>
      <c r="BP174" s="19">
        <v>0</v>
      </c>
    </row>
    <row r="175" spans="1:68">
      <c r="A175" s="65"/>
      <c r="B175" s="20" t="s">
        <v>2165</v>
      </c>
      <c r="C175" s="111" t="s">
        <v>2858</v>
      </c>
      <c r="D175" s="20" t="s">
        <v>3543</v>
      </c>
      <c r="E175" s="20" t="s">
        <v>18</v>
      </c>
      <c r="F175" s="20" t="s">
        <v>19</v>
      </c>
      <c r="H175" s="20" t="s">
        <v>3544</v>
      </c>
      <c r="I175" s="20">
        <v>857</v>
      </c>
      <c r="J175" s="20">
        <v>857</v>
      </c>
      <c r="K175" s="20" t="s">
        <v>11</v>
      </c>
      <c r="L175" s="20">
        <v>857</v>
      </c>
      <c r="M175" s="20">
        <v>0</v>
      </c>
      <c r="N175" s="20">
        <v>857</v>
      </c>
      <c r="O175" s="20" t="s">
        <v>2156</v>
      </c>
      <c r="P175" s="20" t="s">
        <v>87</v>
      </c>
      <c r="Q175" s="20" t="s">
        <v>87</v>
      </c>
      <c r="R175" s="20" t="s">
        <v>2893</v>
      </c>
      <c r="S175" s="111" t="s">
        <v>2858</v>
      </c>
      <c r="T175" s="20" t="s">
        <v>206</v>
      </c>
      <c r="U175" s="20" t="s">
        <v>207</v>
      </c>
      <c r="V175" s="20" t="s">
        <v>2892</v>
      </c>
      <c r="W175" s="20">
        <v>144.32</v>
      </c>
      <c r="X175" s="20">
        <v>144.32</v>
      </c>
      <c r="Y175" s="20" t="s">
        <v>2893</v>
      </c>
      <c r="Z175" s="111" t="s">
        <v>2858</v>
      </c>
      <c r="AB175" s="20" t="s">
        <v>212</v>
      </c>
      <c r="AD175" s="20" t="s">
        <v>213</v>
      </c>
      <c r="AE175" s="20" t="s">
        <v>212</v>
      </c>
      <c r="AF175" s="20">
        <v>0</v>
      </c>
      <c r="AG175" s="20">
        <v>0</v>
      </c>
      <c r="AH175" s="20">
        <v>0</v>
      </c>
      <c r="AI175" s="20">
        <v>0</v>
      </c>
      <c r="AJ175" s="20">
        <v>0</v>
      </c>
      <c r="AK175" s="20" t="s">
        <v>576</v>
      </c>
      <c r="AL175" s="20">
        <v>0</v>
      </c>
      <c r="AM175" s="20">
        <v>0</v>
      </c>
      <c r="AN175" s="20">
        <v>0</v>
      </c>
      <c r="AO175" s="20">
        <v>0</v>
      </c>
      <c r="AP175" s="20">
        <v>0</v>
      </c>
      <c r="AR175" s="20">
        <v>0</v>
      </c>
      <c r="AS175" s="20">
        <v>0</v>
      </c>
      <c r="AT175" s="20">
        <v>1295401.3</v>
      </c>
      <c r="AU175" s="20" t="s">
        <v>13</v>
      </c>
      <c r="AV175" s="20" t="s">
        <v>62</v>
      </c>
      <c r="AW175" s="111" t="s">
        <v>63</v>
      </c>
      <c r="AX175" s="20" t="s">
        <v>208</v>
      </c>
      <c r="AY175" s="19" t="s">
        <v>209</v>
      </c>
      <c r="AZ175" s="19">
        <v>0</v>
      </c>
      <c r="BA175" s="19">
        <v>123682.24000000001</v>
      </c>
      <c r="BB175" s="19">
        <v>1134</v>
      </c>
      <c r="BC175" s="66" t="s">
        <v>2858</v>
      </c>
      <c r="BD175" s="19" t="s">
        <v>65</v>
      </c>
      <c r="BE175" s="19" t="s">
        <v>210</v>
      </c>
      <c r="BF175" s="19" t="s">
        <v>210</v>
      </c>
      <c r="BG175" s="19">
        <v>9</v>
      </c>
      <c r="BH175" s="19">
        <v>11131.4</v>
      </c>
      <c r="BI175" s="19">
        <v>9</v>
      </c>
      <c r="BJ175" s="19">
        <v>11131.4</v>
      </c>
      <c r="BK175" s="19">
        <v>0</v>
      </c>
      <c r="BL175" s="19">
        <v>0</v>
      </c>
      <c r="BM175" s="19">
        <v>1295401.3</v>
      </c>
      <c r="BN175" s="19">
        <v>662163089788</v>
      </c>
      <c r="BO175" s="66">
        <v>46248</v>
      </c>
      <c r="BP175" s="19">
        <v>0</v>
      </c>
    </row>
    <row r="176" spans="1:68">
      <c r="A176" s="65"/>
      <c r="B176" s="20" t="s">
        <v>2165</v>
      </c>
      <c r="C176" s="111" t="s">
        <v>2858</v>
      </c>
      <c r="D176" s="20" t="s">
        <v>3543</v>
      </c>
      <c r="E176" s="20" t="s">
        <v>18</v>
      </c>
      <c r="F176" s="20" t="s">
        <v>19</v>
      </c>
      <c r="H176" s="20" t="s">
        <v>3544</v>
      </c>
      <c r="I176" s="20">
        <v>6576</v>
      </c>
      <c r="J176" s="20">
        <v>6576</v>
      </c>
      <c r="K176" s="20" t="s">
        <v>11</v>
      </c>
      <c r="L176" s="20">
        <v>6576</v>
      </c>
      <c r="M176" s="20">
        <v>0</v>
      </c>
      <c r="N176" s="20">
        <v>6576</v>
      </c>
      <c r="O176" s="20" t="s">
        <v>2156</v>
      </c>
      <c r="P176" s="20" t="s">
        <v>87</v>
      </c>
      <c r="Q176" s="20" t="s">
        <v>87</v>
      </c>
      <c r="R176" s="20" t="s">
        <v>2893</v>
      </c>
      <c r="S176" s="111" t="s">
        <v>2858</v>
      </c>
      <c r="T176" s="20" t="s">
        <v>206</v>
      </c>
      <c r="U176" s="20" t="s">
        <v>207</v>
      </c>
      <c r="V176" s="20" t="s">
        <v>2892</v>
      </c>
      <c r="W176" s="20">
        <v>142.32</v>
      </c>
      <c r="X176" s="20">
        <v>142.32</v>
      </c>
      <c r="Y176" s="20" t="s">
        <v>2893</v>
      </c>
      <c r="Z176" s="111" t="s">
        <v>2858</v>
      </c>
      <c r="AB176" s="20" t="s">
        <v>212</v>
      </c>
      <c r="AD176" s="20" t="s">
        <v>213</v>
      </c>
      <c r="AE176" s="20" t="s">
        <v>212</v>
      </c>
      <c r="AF176" s="20">
        <v>0</v>
      </c>
      <c r="AG176" s="20">
        <v>0</v>
      </c>
      <c r="AH176" s="20">
        <v>0</v>
      </c>
      <c r="AI176" s="20">
        <v>0</v>
      </c>
      <c r="AJ176" s="20">
        <v>0</v>
      </c>
      <c r="AK176" s="20" t="s">
        <v>576</v>
      </c>
      <c r="AL176" s="20">
        <v>0</v>
      </c>
      <c r="AM176" s="20">
        <v>0</v>
      </c>
      <c r="AN176" s="20">
        <v>0</v>
      </c>
      <c r="AO176" s="20">
        <v>0</v>
      </c>
      <c r="AP176" s="20">
        <v>0</v>
      </c>
      <c r="AR176" s="20">
        <v>0</v>
      </c>
      <c r="AS176" s="20">
        <v>0</v>
      </c>
      <c r="AT176" s="20">
        <v>1295401.3</v>
      </c>
      <c r="AU176" s="20" t="s">
        <v>13</v>
      </c>
      <c r="AV176" s="20" t="s">
        <v>62</v>
      </c>
      <c r="AW176" s="111" t="s">
        <v>63</v>
      </c>
      <c r="AX176" s="20" t="s">
        <v>208</v>
      </c>
      <c r="AY176" s="19" t="s">
        <v>209</v>
      </c>
      <c r="AZ176" s="19">
        <v>0</v>
      </c>
      <c r="BA176" s="19">
        <v>935896.32</v>
      </c>
      <c r="BB176" s="19">
        <v>1134</v>
      </c>
      <c r="BC176" s="66" t="s">
        <v>2858</v>
      </c>
      <c r="BD176" s="19" t="s">
        <v>65</v>
      </c>
      <c r="BE176" s="19" t="s">
        <v>210</v>
      </c>
      <c r="BF176" s="19" t="s">
        <v>210</v>
      </c>
      <c r="BG176" s="19">
        <v>9</v>
      </c>
      <c r="BH176" s="19">
        <v>84230.67</v>
      </c>
      <c r="BI176" s="19">
        <v>9</v>
      </c>
      <c r="BJ176" s="19">
        <v>84230.67</v>
      </c>
      <c r="BK176" s="19">
        <v>0</v>
      </c>
      <c r="BL176" s="19">
        <v>0</v>
      </c>
      <c r="BM176" s="19">
        <v>0</v>
      </c>
      <c r="BN176" s="19">
        <v>662163089788</v>
      </c>
      <c r="BO176" s="66">
        <v>46248</v>
      </c>
      <c r="BP176" s="19">
        <v>0</v>
      </c>
    </row>
    <row r="177" spans="1:68">
      <c r="A177" s="65"/>
      <c r="B177" s="20" t="s">
        <v>2165</v>
      </c>
      <c r="C177" s="111" t="s">
        <v>2858</v>
      </c>
      <c r="D177" s="20" t="s">
        <v>3543</v>
      </c>
      <c r="E177" s="20" t="s">
        <v>18</v>
      </c>
      <c r="F177" s="20" t="s">
        <v>19</v>
      </c>
      <c r="H177" s="20" t="s">
        <v>3544</v>
      </c>
      <c r="I177" s="20">
        <v>263</v>
      </c>
      <c r="J177" s="20">
        <v>263</v>
      </c>
      <c r="K177" s="20" t="s">
        <v>11</v>
      </c>
      <c r="L177" s="20">
        <v>263</v>
      </c>
      <c r="M177" s="20">
        <v>0</v>
      </c>
      <c r="N177" s="20">
        <v>263</v>
      </c>
      <c r="O177" s="20" t="s">
        <v>2156</v>
      </c>
      <c r="P177" s="20" t="s">
        <v>87</v>
      </c>
      <c r="Q177" s="20" t="s">
        <v>87</v>
      </c>
      <c r="R177" s="20" t="s">
        <v>2893</v>
      </c>
      <c r="S177" s="111" t="s">
        <v>2858</v>
      </c>
      <c r="T177" s="20" t="s">
        <v>206</v>
      </c>
      <c r="U177" s="20" t="s">
        <v>207</v>
      </c>
      <c r="V177" s="20" t="s">
        <v>2892</v>
      </c>
      <c r="W177" s="20">
        <v>145.32</v>
      </c>
      <c r="X177" s="20">
        <v>145.32</v>
      </c>
      <c r="Y177" s="20" t="s">
        <v>2893</v>
      </c>
      <c r="Z177" s="111" t="s">
        <v>2858</v>
      </c>
      <c r="AB177" s="20" t="s">
        <v>212</v>
      </c>
      <c r="AD177" s="20" t="s">
        <v>213</v>
      </c>
      <c r="AE177" s="20" t="s">
        <v>212</v>
      </c>
      <c r="AF177" s="20">
        <v>0</v>
      </c>
      <c r="AG177" s="20">
        <v>0</v>
      </c>
      <c r="AH177" s="20">
        <v>0</v>
      </c>
      <c r="AI177" s="20">
        <v>0</v>
      </c>
      <c r="AJ177" s="20">
        <v>0</v>
      </c>
      <c r="AK177" s="20" t="s">
        <v>576</v>
      </c>
      <c r="AL177" s="20">
        <v>0</v>
      </c>
      <c r="AM177" s="20">
        <v>0</v>
      </c>
      <c r="AN177" s="20">
        <v>0</v>
      </c>
      <c r="AO177" s="20">
        <v>0</v>
      </c>
      <c r="AP177" s="20">
        <v>0</v>
      </c>
      <c r="AR177" s="20">
        <v>0</v>
      </c>
      <c r="AS177" s="20">
        <v>0</v>
      </c>
      <c r="AT177" s="20">
        <v>1295401.3</v>
      </c>
      <c r="AU177" s="20" t="s">
        <v>13</v>
      </c>
      <c r="AV177" s="20" t="s">
        <v>62</v>
      </c>
      <c r="AW177" s="111" t="s">
        <v>63</v>
      </c>
      <c r="AX177" s="20" t="s">
        <v>208</v>
      </c>
      <c r="AY177" s="19" t="s">
        <v>209</v>
      </c>
      <c r="AZ177" s="19">
        <v>0</v>
      </c>
      <c r="BA177" s="19">
        <v>38219.160000000003</v>
      </c>
      <c r="BB177" s="19">
        <v>1134</v>
      </c>
      <c r="BC177" s="66" t="s">
        <v>2858</v>
      </c>
      <c r="BD177" s="19" t="s">
        <v>65</v>
      </c>
      <c r="BE177" s="19" t="s">
        <v>210</v>
      </c>
      <c r="BF177" s="19" t="s">
        <v>210</v>
      </c>
      <c r="BG177" s="19">
        <v>9</v>
      </c>
      <c r="BH177" s="19">
        <v>3439.72</v>
      </c>
      <c r="BI177" s="19">
        <v>9</v>
      </c>
      <c r="BJ177" s="19">
        <v>3439.72</v>
      </c>
      <c r="BK177" s="19">
        <v>0</v>
      </c>
      <c r="BL177" s="19">
        <v>0</v>
      </c>
      <c r="BM177" s="19">
        <v>0</v>
      </c>
      <c r="BN177" s="19">
        <v>662163089788</v>
      </c>
      <c r="BO177" s="66">
        <v>46248</v>
      </c>
      <c r="BP177" s="19">
        <v>0</v>
      </c>
    </row>
    <row r="178" spans="1:68">
      <c r="A178" s="65"/>
      <c r="B178" s="20" t="s">
        <v>2165</v>
      </c>
      <c r="C178" s="111" t="s">
        <v>2858</v>
      </c>
      <c r="D178" s="20" t="s">
        <v>3545</v>
      </c>
      <c r="E178" s="20" t="s">
        <v>23</v>
      </c>
      <c r="F178" s="20" t="s">
        <v>24</v>
      </c>
      <c r="H178" s="20" t="s">
        <v>3546</v>
      </c>
      <c r="I178" s="20">
        <v>1327.9</v>
      </c>
      <c r="J178" s="20">
        <v>1327.9</v>
      </c>
      <c r="K178" s="20" t="s">
        <v>11</v>
      </c>
      <c r="L178" s="20">
        <v>1327.9</v>
      </c>
      <c r="M178" s="20">
        <v>0</v>
      </c>
      <c r="N178" s="20">
        <v>1327.9</v>
      </c>
      <c r="O178" s="20" t="s">
        <v>2154</v>
      </c>
      <c r="P178" s="20" t="s">
        <v>87</v>
      </c>
      <c r="Q178" s="20" t="s">
        <v>87</v>
      </c>
      <c r="R178" s="20" t="s">
        <v>2895</v>
      </c>
      <c r="S178" s="111" t="s">
        <v>2858</v>
      </c>
      <c r="T178" s="20" t="s">
        <v>206</v>
      </c>
      <c r="U178" s="20" t="s">
        <v>207</v>
      </c>
      <c r="V178" s="20" t="s">
        <v>2894</v>
      </c>
      <c r="W178" s="20">
        <v>147.32</v>
      </c>
      <c r="X178" s="20">
        <v>147.32000253960001</v>
      </c>
      <c r="Y178" s="20" t="s">
        <v>2895</v>
      </c>
      <c r="Z178" s="111" t="s">
        <v>2858</v>
      </c>
      <c r="AB178" s="20" t="s">
        <v>212</v>
      </c>
      <c r="AD178" s="20" t="s">
        <v>2125</v>
      </c>
      <c r="AE178" s="20" t="s">
        <v>3547</v>
      </c>
      <c r="AF178" s="20">
        <v>0</v>
      </c>
      <c r="AG178" s="20">
        <v>0</v>
      </c>
      <c r="AH178" s="20">
        <v>0</v>
      </c>
      <c r="AI178" s="20">
        <v>0</v>
      </c>
      <c r="AJ178" s="20">
        <v>0</v>
      </c>
      <c r="AK178" s="20" t="s">
        <v>576</v>
      </c>
      <c r="AL178" s="20">
        <v>0</v>
      </c>
      <c r="AM178" s="20">
        <v>0</v>
      </c>
      <c r="AN178" s="20">
        <v>0</v>
      </c>
      <c r="AO178" s="20">
        <v>0</v>
      </c>
      <c r="AP178" s="20">
        <v>0</v>
      </c>
      <c r="AR178" s="20">
        <v>0</v>
      </c>
      <c r="AS178" s="20">
        <v>0</v>
      </c>
      <c r="AT178" s="20">
        <v>348054.79</v>
      </c>
      <c r="AU178" s="20" t="s">
        <v>13</v>
      </c>
      <c r="AV178" s="20" t="s">
        <v>24</v>
      </c>
      <c r="AW178" s="111" t="s">
        <v>79</v>
      </c>
      <c r="AX178" s="20" t="s">
        <v>208</v>
      </c>
      <c r="AY178" s="19" t="s">
        <v>209</v>
      </c>
      <c r="AZ178" s="19">
        <v>0</v>
      </c>
      <c r="BA178" s="19">
        <v>195626.23</v>
      </c>
      <c r="BB178" s="19">
        <v>1133</v>
      </c>
      <c r="BC178" s="66" t="s">
        <v>2858</v>
      </c>
      <c r="BD178" s="19" t="s">
        <v>65</v>
      </c>
      <c r="BE178" s="19" t="s">
        <v>210</v>
      </c>
      <c r="BF178" s="19" t="s">
        <v>210</v>
      </c>
      <c r="BG178" s="19">
        <v>9</v>
      </c>
      <c r="BH178" s="19">
        <v>17606.36</v>
      </c>
      <c r="BI178" s="19">
        <v>9</v>
      </c>
      <c r="BJ178" s="19">
        <v>17606.36</v>
      </c>
      <c r="BK178" s="19">
        <v>0</v>
      </c>
      <c r="BL178" s="19">
        <v>0</v>
      </c>
      <c r="BM178" s="19">
        <v>348054.79</v>
      </c>
      <c r="BN178" s="19">
        <v>652163217906</v>
      </c>
      <c r="BO178" s="66">
        <v>46248</v>
      </c>
      <c r="BP178" s="19">
        <v>0</v>
      </c>
    </row>
    <row r="179" spans="1:68">
      <c r="A179" s="65"/>
      <c r="B179" s="20" t="s">
        <v>2165</v>
      </c>
      <c r="C179" s="111" t="s">
        <v>2858</v>
      </c>
      <c r="D179" s="20" t="s">
        <v>3545</v>
      </c>
      <c r="E179" s="20" t="s">
        <v>23</v>
      </c>
      <c r="F179" s="20" t="s">
        <v>24</v>
      </c>
      <c r="H179" s="20" t="s">
        <v>3546</v>
      </c>
      <c r="I179" s="20">
        <v>688.3</v>
      </c>
      <c r="J179" s="20">
        <v>688.3</v>
      </c>
      <c r="K179" s="20" t="s">
        <v>11</v>
      </c>
      <c r="L179" s="20">
        <v>688.3</v>
      </c>
      <c r="M179" s="20">
        <v>0</v>
      </c>
      <c r="N179" s="20">
        <v>688.3</v>
      </c>
      <c r="O179" s="20" t="s">
        <v>2154</v>
      </c>
      <c r="P179" s="20" t="s">
        <v>87</v>
      </c>
      <c r="Q179" s="20" t="s">
        <v>87</v>
      </c>
      <c r="R179" s="20" t="s">
        <v>2895</v>
      </c>
      <c r="S179" s="111" t="s">
        <v>2858</v>
      </c>
      <c r="T179" s="20" t="s">
        <v>206</v>
      </c>
      <c r="U179" s="20" t="s">
        <v>207</v>
      </c>
      <c r="V179" s="20" t="s">
        <v>2894</v>
      </c>
      <c r="W179" s="20">
        <v>144.32</v>
      </c>
      <c r="X179" s="20">
        <v>144.32000248788401</v>
      </c>
      <c r="Y179" s="20" t="s">
        <v>2895</v>
      </c>
      <c r="Z179" s="111" t="s">
        <v>2858</v>
      </c>
      <c r="AB179" s="20" t="s">
        <v>212</v>
      </c>
      <c r="AD179" s="20" t="s">
        <v>2125</v>
      </c>
      <c r="AE179" s="20" t="s">
        <v>3547</v>
      </c>
      <c r="AF179" s="20">
        <v>0</v>
      </c>
      <c r="AG179" s="20">
        <v>0</v>
      </c>
      <c r="AH179" s="20">
        <v>0</v>
      </c>
      <c r="AI179" s="20">
        <v>0</v>
      </c>
      <c r="AJ179" s="20">
        <v>0</v>
      </c>
      <c r="AK179" s="20" t="s">
        <v>576</v>
      </c>
      <c r="AL179" s="20">
        <v>0</v>
      </c>
      <c r="AM179" s="20">
        <v>0</v>
      </c>
      <c r="AN179" s="20">
        <v>0</v>
      </c>
      <c r="AO179" s="20">
        <v>0</v>
      </c>
      <c r="AP179" s="20">
        <v>0</v>
      </c>
      <c r="AR179" s="20">
        <v>0</v>
      </c>
      <c r="AS179" s="20">
        <v>0</v>
      </c>
      <c r="AT179" s="20">
        <v>348054.79</v>
      </c>
      <c r="AU179" s="20" t="s">
        <v>13</v>
      </c>
      <c r="AV179" s="20" t="s">
        <v>24</v>
      </c>
      <c r="AW179" s="111" t="s">
        <v>79</v>
      </c>
      <c r="AX179" s="20" t="s">
        <v>208</v>
      </c>
      <c r="AY179" s="19" t="s">
        <v>209</v>
      </c>
      <c r="AZ179" s="19">
        <v>0</v>
      </c>
      <c r="BA179" s="19">
        <v>99335.46</v>
      </c>
      <c r="BB179" s="19">
        <v>1133</v>
      </c>
      <c r="BC179" s="66" t="s">
        <v>2858</v>
      </c>
      <c r="BD179" s="19" t="s">
        <v>65</v>
      </c>
      <c r="BE179" s="19" t="s">
        <v>210</v>
      </c>
      <c r="BF179" s="19" t="s">
        <v>210</v>
      </c>
      <c r="BG179" s="19">
        <v>9</v>
      </c>
      <c r="BH179" s="19">
        <v>8940.19</v>
      </c>
      <c r="BI179" s="19">
        <v>9</v>
      </c>
      <c r="BJ179" s="19">
        <v>8940.19</v>
      </c>
      <c r="BK179" s="19">
        <v>0</v>
      </c>
      <c r="BL179" s="19">
        <v>0</v>
      </c>
      <c r="BM179" s="19">
        <v>0</v>
      </c>
      <c r="BN179" s="19">
        <v>652163217906</v>
      </c>
      <c r="BO179" s="66">
        <v>46248</v>
      </c>
      <c r="BP179" s="19">
        <v>0</v>
      </c>
    </row>
    <row r="180" spans="1:68">
      <c r="A180" s="65"/>
      <c r="B180" s="20" t="s">
        <v>2165</v>
      </c>
      <c r="C180" s="111" t="s">
        <v>2858</v>
      </c>
      <c r="D180" s="20" t="s">
        <v>3548</v>
      </c>
      <c r="E180" s="20" t="s">
        <v>160</v>
      </c>
      <c r="F180" s="20" t="s">
        <v>17</v>
      </c>
      <c r="H180" s="20" t="s">
        <v>3549</v>
      </c>
      <c r="I180" s="20">
        <v>266</v>
      </c>
      <c r="J180" s="20">
        <v>266</v>
      </c>
      <c r="K180" s="20" t="s">
        <v>11</v>
      </c>
      <c r="L180" s="20">
        <v>266</v>
      </c>
      <c r="M180" s="20">
        <v>0</v>
      </c>
      <c r="N180" s="20">
        <v>266</v>
      </c>
      <c r="O180" s="20" t="s">
        <v>2156</v>
      </c>
      <c r="P180" s="20" t="s">
        <v>87</v>
      </c>
      <c r="Q180" s="20" t="s">
        <v>87</v>
      </c>
      <c r="R180" s="20" t="s">
        <v>2897</v>
      </c>
      <c r="S180" s="111" t="s">
        <v>2858</v>
      </c>
      <c r="T180" s="20" t="s">
        <v>206</v>
      </c>
      <c r="U180" s="20" t="s">
        <v>207</v>
      </c>
      <c r="V180" s="20" t="s">
        <v>2896</v>
      </c>
      <c r="W180" s="20">
        <v>184.86</v>
      </c>
      <c r="X180" s="20">
        <v>184.86026220095499</v>
      </c>
      <c r="Y180" s="20" t="s">
        <v>2897</v>
      </c>
      <c r="Z180" s="111" t="s">
        <v>2858</v>
      </c>
      <c r="AB180" s="20" t="s">
        <v>212</v>
      </c>
      <c r="AD180" s="20" t="s">
        <v>213</v>
      </c>
      <c r="AE180" s="20" t="s">
        <v>212</v>
      </c>
      <c r="AF180" s="20">
        <v>0</v>
      </c>
      <c r="AG180" s="20">
        <v>0</v>
      </c>
      <c r="AH180" s="20">
        <v>0</v>
      </c>
      <c r="AI180" s="20">
        <v>0</v>
      </c>
      <c r="AJ180" s="20">
        <v>0</v>
      </c>
      <c r="AK180" s="20" t="s">
        <v>576</v>
      </c>
      <c r="AL180" s="20">
        <v>0</v>
      </c>
      <c r="AM180" s="20">
        <v>0</v>
      </c>
      <c r="AN180" s="20">
        <v>0</v>
      </c>
      <c r="AO180" s="20">
        <v>0</v>
      </c>
      <c r="AP180" s="20">
        <v>0</v>
      </c>
      <c r="AR180" s="20">
        <v>0</v>
      </c>
      <c r="AS180" s="20">
        <v>0</v>
      </c>
      <c r="AT180" s="20">
        <v>1692078.62</v>
      </c>
      <c r="AU180" s="20" t="s">
        <v>13</v>
      </c>
      <c r="AV180" s="20" t="s">
        <v>80</v>
      </c>
      <c r="AW180" s="111" t="s">
        <v>81</v>
      </c>
      <c r="AX180" s="20" t="s">
        <v>208</v>
      </c>
      <c r="AY180" s="19" t="s">
        <v>209</v>
      </c>
      <c r="AZ180" s="19">
        <v>0</v>
      </c>
      <c r="BA180" s="19">
        <v>49172.83</v>
      </c>
      <c r="BB180" s="19">
        <v>1136</v>
      </c>
      <c r="BC180" s="66" t="s">
        <v>2858</v>
      </c>
      <c r="BD180" s="19" t="s">
        <v>65</v>
      </c>
      <c r="BE180" s="19" t="s">
        <v>210</v>
      </c>
      <c r="BF180" s="19" t="s">
        <v>210</v>
      </c>
      <c r="BG180" s="19">
        <v>9</v>
      </c>
      <c r="BH180" s="19">
        <v>4425.55</v>
      </c>
      <c r="BI180" s="19">
        <v>9</v>
      </c>
      <c r="BJ180" s="19">
        <v>4425.55</v>
      </c>
      <c r="BK180" s="19">
        <v>0</v>
      </c>
      <c r="BL180" s="19">
        <v>0</v>
      </c>
      <c r="BM180" s="19">
        <v>1692078.62</v>
      </c>
      <c r="BN180" s="19">
        <v>652163341081</v>
      </c>
      <c r="BO180" s="66">
        <v>46248</v>
      </c>
      <c r="BP180" s="19">
        <v>0</v>
      </c>
    </row>
    <row r="181" spans="1:68">
      <c r="A181" s="65"/>
      <c r="B181" s="20" t="s">
        <v>2165</v>
      </c>
      <c r="C181" s="111" t="s">
        <v>2858</v>
      </c>
      <c r="D181" s="20" t="s">
        <v>3548</v>
      </c>
      <c r="E181" s="20" t="s">
        <v>160</v>
      </c>
      <c r="F181" s="20" t="s">
        <v>17</v>
      </c>
      <c r="H181" s="20" t="s">
        <v>3549</v>
      </c>
      <c r="I181" s="20">
        <v>3743</v>
      </c>
      <c r="J181" s="20">
        <v>3743</v>
      </c>
      <c r="K181" s="20" t="s">
        <v>11</v>
      </c>
      <c r="L181" s="20">
        <v>3743</v>
      </c>
      <c r="M181" s="20">
        <v>0</v>
      </c>
      <c r="N181" s="20">
        <v>3743</v>
      </c>
      <c r="O181" s="20" t="s">
        <v>2156</v>
      </c>
      <c r="P181" s="20" t="s">
        <v>87</v>
      </c>
      <c r="Q181" s="20" t="s">
        <v>87</v>
      </c>
      <c r="R181" s="20" t="s">
        <v>2897</v>
      </c>
      <c r="S181" s="111" t="s">
        <v>2858</v>
      </c>
      <c r="T181" s="20" t="s">
        <v>206</v>
      </c>
      <c r="U181" s="20" t="s">
        <v>207</v>
      </c>
      <c r="V181" s="20" t="s">
        <v>2896</v>
      </c>
      <c r="W181" s="20">
        <v>176.86</v>
      </c>
      <c r="X181" s="20">
        <v>176.860250853948</v>
      </c>
      <c r="Y181" s="20" t="s">
        <v>2897</v>
      </c>
      <c r="Z181" s="111" t="s">
        <v>2858</v>
      </c>
      <c r="AB181" s="20" t="s">
        <v>212</v>
      </c>
      <c r="AD181" s="20" t="s">
        <v>213</v>
      </c>
      <c r="AE181" s="20" t="s">
        <v>212</v>
      </c>
      <c r="AF181" s="20">
        <v>0</v>
      </c>
      <c r="AG181" s="20">
        <v>0</v>
      </c>
      <c r="AH181" s="20">
        <v>0</v>
      </c>
      <c r="AI181" s="20">
        <v>0</v>
      </c>
      <c r="AJ181" s="20">
        <v>0</v>
      </c>
      <c r="AK181" s="20" t="s">
        <v>576</v>
      </c>
      <c r="AL181" s="20">
        <v>0</v>
      </c>
      <c r="AM181" s="20">
        <v>0</v>
      </c>
      <c r="AN181" s="20">
        <v>0</v>
      </c>
      <c r="AO181" s="20">
        <v>0</v>
      </c>
      <c r="AP181" s="20">
        <v>0</v>
      </c>
      <c r="AR181" s="20">
        <v>0</v>
      </c>
      <c r="AS181" s="20">
        <v>0</v>
      </c>
      <c r="AT181" s="20">
        <v>1692078.62</v>
      </c>
      <c r="AU181" s="20" t="s">
        <v>13</v>
      </c>
      <c r="AV181" s="20" t="s">
        <v>80</v>
      </c>
      <c r="AW181" s="111" t="s">
        <v>81</v>
      </c>
      <c r="AX181" s="20" t="s">
        <v>208</v>
      </c>
      <c r="AY181" s="19" t="s">
        <v>209</v>
      </c>
      <c r="AZ181" s="19">
        <v>0</v>
      </c>
      <c r="BA181" s="19">
        <v>661987.92000000004</v>
      </c>
      <c r="BB181" s="19">
        <v>1136</v>
      </c>
      <c r="BC181" s="66" t="s">
        <v>2858</v>
      </c>
      <c r="BD181" s="19" t="s">
        <v>65</v>
      </c>
      <c r="BE181" s="19" t="s">
        <v>210</v>
      </c>
      <c r="BF181" s="19" t="s">
        <v>210</v>
      </c>
      <c r="BG181" s="19">
        <v>9</v>
      </c>
      <c r="BH181" s="19">
        <v>59578.83</v>
      </c>
      <c r="BI181" s="19">
        <v>9</v>
      </c>
      <c r="BJ181" s="19">
        <v>59578.83</v>
      </c>
      <c r="BK181" s="19">
        <v>0</v>
      </c>
      <c r="BL181" s="19">
        <v>0</v>
      </c>
      <c r="BM181" s="19">
        <v>0</v>
      </c>
      <c r="BN181" s="19">
        <v>652163341081</v>
      </c>
      <c r="BO181" s="66">
        <v>46248</v>
      </c>
      <c r="BP181" s="19">
        <v>0</v>
      </c>
    </row>
    <row r="182" spans="1:68">
      <c r="A182" s="65"/>
      <c r="B182" s="20" t="s">
        <v>2165</v>
      </c>
      <c r="C182" s="111" t="s">
        <v>2858</v>
      </c>
      <c r="D182" s="20" t="s">
        <v>3548</v>
      </c>
      <c r="E182" s="20" t="s">
        <v>160</v>
      </c>
      <c r="F182" s="20" t="s">
        <v>17</v>
      </c>
      <c r="H182" s="20" t="s">
        <v>3549</v>
      </c>
      <c r="I182" s="20">
        <v>1253</v>
      </c>
      <c r="J182" s="20">
        <v>1253</v>
      </c>
      <c r="K182" s="20" t="s">
        <v>11</v>
      </c>
      <c r="L182" s="20">
        <v>1253</v>
      </c>
      <c r="M182" s="20">
        <v>0</v>
      </c>
      <c r="N182" s="20">
        <v>1253</v>
      </c>
      <c r="O182" s="20" t="s">
        <v>2156</v>
      </c>
      <c r="P182" s="20" t="s">
        <v>87</v>
      </c>
      <c r="Q182" s="20" t="s">
        <v>87</v>
      </c>
      <c r="R182" s="20" t="s">
        <v>2897</v>
      </c>
      <c r="S182" s="111" t="s">
        <v>2858</v>
      </c>
      <c r="T182" s="20" t="s">
        <v>206</v>
      </c>
      <c r="U182" s="20" t="s">
        <v>207</v>
      </c>
      <c r="V182" s="20" t="s">
        <v>2896</v>
      </c>
      <c r="W182" s="20">
        <v>180.86</v>
      </c>
      <c r="X182" s="20">
        <v>180.86025652745101</v>
      </c>
      <c r="Y182" s="20" t="s">
        <v>2897</v>
      </c>
      <c r="Z182" s="111" t="s">
        <v>2858</v>
      </c>
      <c r="AB182" s="20" t="s">
        <v>212</v>
      </c>
      <c r="AD182" s="20" t="s">
        <v>213</v>
      </c>
      <c r="AE182" s="20" t="s">
        <v>212</v>
      </c>
      <c r="AF182" s="20">
        <v>0</v>
      </c>
      <c r="AG182" s="20">
        <v>0</v>
      </c>
      <c r="AH182" s="20">
        <v>0</v>
      </c>
      <c r="AI182" s="20">
        <v>0</v>
      </c>
      <c r="AJ182" s="20">
        <v>0</v>
      </c>
      <c r="AK182" s="20" t="s">
        <v>576</v>
      </c>
      <c r="AL182" s="20">
        <v>0</v>
      </c>
      <c r="AM182" s="20">
        <v>0</v>
      </c>
      <c r="AN182" s="20">
        <v>0</v>
      </c>
      <c r="AO182" s="20">
        <v>0</v>
      </c>
      <c r="AP182" s="20">
        <v>0</v>
      </c>
      <c r="AR182" s="20">
        <v>0</v>
      </c>
      <c r="AS182" s="20">
        <v>0</v>
      </c>
      <c r="AT182" s="20">
        <v>1692078.62</v>
      </c>
      <c r="AU182" s="20" t="s">
        <v>13</v>
      </c>
      <c r="AV182" s="20" t="s">
        <v>80</v>
      </c>
      <c r="AW182" s="111" t="s">
        <v>81</v>
      </c>
      <c r="AX182" s="20" t="s">
        <v>208</v>
      </c>
      <c r="AY182" s="19" t="s">
        <v>209</v>
      </c>
      <c r="AZ182" s="19">
        <v>0</v>
      </c>
      <c r="BA182" s="19">
        <v>226617.9</v>
      </c>
      <c r="BB182" s="19">
        <v>1136</v>
      </c>
      <c r="BC182" s="66" t="s">
        <v>2858</v>
      </c>
      <c r="BD182" s="19" t="s">
        <v>65</v>
      </c>
      <c r="BE182" s="19" t="s">
        <v>210</v>
      </c>
      <c r="BF182" s="19" t="s">
        <v>210</v>
      </c>
      <c r="BG182" s="19">
        <v>9</v>
      </c>
      <c r="BH182" s="19">
        <v>20395.580000000002</v>
      </c>
      <c r="BI182" s="19">
        <v>9</v>
      </c>
      <c r="BJ182" s="19">
        <v>20395.580000000002</v>
      </c>
      <c r="BK182" s="19">
        <v>0</v>
      </c>
      <c r="BL182" s="19">
        <v>0</v>
      </c>
      <c r="BM182" s="19">
        <v>0</v>
      </c>
      <c r="BN182" s="19">
        <v>652163341081</v>
      </c>
      <c r="BO182" s="66">
        <v>46248</v>
      </c>
      <c r="BP182" s="19">
        <v>0</v>
      </c>
    </row>
    <row r="183" spans="1:68">
      <c r="A183" s="65"/>
      <c r="B183" s="20" t="s">
        <v>2165</v>
      </c>
      <c r="C183" s="111" t="s">
        <v>2858</v>
      </c>
      <c r="D183" s="20" t="s">
        <v>3548</v>
      </c>
      <c r="E183" s="20" t="s">
        <v>820</v>
      </c>
      <c r="F183" s="20" t="s">
        <v>743</v>
      </c>
      <c r="H183" s="20" t="s">
        <v>3549</v>
      </c>
      <c r="I183" s="20">
        <v>22800</v>
      </c>
      <c r="J183" s="20">
        <v>22800</v>
      </c>
      <c r="K183" s="20" t="s">
        <v>1</v>
      </c>
      <c r="L183" s="20">
        <v>22800</v>
      </c>
      <c r="M183" s="20">
        <v>0</v>
      </c>
      <c r="N183" s="20">
        <v>22800</v>
      </c>
      <c r="O183" s="20" t="s">
        <v>2156</v>
      </c>
      <c r="P183" s="20" t="s">
        <v>87</v>
      </c>
      <c r="Q183" s="20" t="s">
        <v>87</v>
      </c>
      <c r="R183" s="20" t="s">
        <v>2897</v>
      </c>
      <c r="S183" s="111" t="s">
        <v>2858</v>
      </c>
      <c r="T183" s="20" t="s">
        <v>206</v>
      </c>
      <c r="U183" s="20" t="s">
        <v>207</v>
      </c>
      <c r="V183" s="20" t="s">
        <v>2896</v>
      </c>
      <c r="W183" s="20">
        <v>3.3043999999999998</v>
      </c>
      <c r="X183" s="20">
        <v>3.3044046868810701</v>
      </c>
      <c r="Y183" s="20" t="s">
        <v>2897</v>
      </c>
      <c r="Z183" s="111" t="s">
        <v>2858</v>
      </c>
      <c r="AB183" s="20" t="s">
        <v>212</v>
      </c>
      <c r="AD183" s="20" t="s">
        <v>213</v>
      </c>
      <c r="AE183" s="20" t="s">
        <v>212</v>
      </c>
      <c r="AF183" s="20">
        <v>0</v>
      </c>
      <c r="AG183" s="20">
        <v>0</v>
      </c>
      <c r="AH183" s="20">
        <v>0</v>
      </c>
      <c r="AI183" s="20">
        <v>0</v>
      </c>
      <c r="AJ183" s="20">
        <v>0</v>
      </c>
      <c r="AK183" s="20" t="s">
        <v>576</v>
      </c>
      <c r="AL183" s="20">
        <v>0</v>
      </c>
      <c r="AM183" s="20">
        <v>0</v>
      </c>
      <c r="AN183" s="20">
        <v>0</v>
      </c>
      <c r="AO183" s="20">
        <v>0</v>
      </c>
      <c r="AP183" s="20">
        <v>0</v>
      </c>
      <c r="AR183" s="20">
        <v>0</v>
      </c>
      <c r="AS183" s="20">
        <v>0</v>
      </c>
      <c r="AT183" s="20">
        <v>1692078.62</v>
      </c>
      <c r="AU183" s="20" t="s">
        <v>8</v>
      </c>
      <c r="AV183" s="20" t="s">
        <v>625</v>
      </c>
      <c r="AW183" s="111" t="s">
        <v>625</v>
      </c>
      <c r="AX183" s="20" t="s">
        <v>208</v>
      </c>
      <c r="AY183" s="19" t="s">
        <v>821</v>
      </c>
      <c r="AZ183" s="19">
        <v>0</v>
      </c>
      <c r="BA183" s="19">
        <v>75340.429999999993</v>
      </c>
      <c r="BB183" s="19">
        <v>1136</v>
      </c>
      <c r="BC183" s="66" t="s">
        <v>2858</v>
      </c>
      <c r="BD183" s="19" t="s">
        <v>65</v>
      </c>
      <c r="BE183" s="19" t="s">
        <v>210</v>
      </c>
      <c r="BF183" s="19" t="s">
        <v>210</v>
      </c>
      <c r="BG183" s="19">
        <v>9</v>
      </c>
      <c r="BH183" s="19">
        <v>6780.63</v>
      </c>
      <c r="BI183" s="19">
        <v>9</v>
      </c>
      <c r="BJ183" s="19">
        <v>6780.63</v>
      </c>
      <c r="BK183" s="19">
        <v>0</v>
      </c>
      <c r="BL183" s="19">
        <v>0</v>
      </c>
      <c r="BM183" s="19">
        <v>0</v>
      </c>
      <c r="BN183" s="19">
        <v>652163341081</v>
      </c>
      <c r="BO183" s="66">
        <v>46248</v>
      </c>
      <c r="BP183" s="19">
        <v>0</v>
      </c>
    </row>
    <row r="184" spans="1:68">
      <c r="A184" s="65"/>
      <c r="B184" s="20" t="s">
        <v>2165</v>
      </c>
      <c r="C184" s="111" t="s">
        <v>2858</v>
      </c>
      <c r="D184" s="20" t="s">
        <v>3548</v>
      </c>
      <c r="E184" s="20" t="s">
        <v>20</v>
      </c>
      <c r="F184" s="20" t="s">
        <v>21</v>
      </c>
      <c r="H184" s="20" t="s">
        <v>3549</v>
      </c>
      <c r="I184" s="20">
        <v>894</v>
      </c>
      <c r="J184" s="20">
        <v>894</v>
      </c>
      <c r="K184" s="20" t="s">
        <v>11</v>
      </c>
      <c r="L184" s="20">
        <v>894</v>
      </c>
      <c r="M184" s="20">
        <v>0</v>
      </c>
      <c r="N184" s="20">
        <v>894</v>
      </c>
      <c r="O184" s="20" t="s">
        <v>2156</v>
      </c>
      <c r="P184" s="20" t="s">
        <v>87</v>
      </c>
      <c r="Q184" s="20" t="s">
        <v>87</v>
      </c>
      <c r="R184" s="20" t="s">
        <v>2897</v>
      </c>
      <c r="S184" s="111" t="s">
        <v>2858</v>
      </c>
      <c r="T184" s="20" t="s">
        <v>206</v>
      </c>
      <c r="U184" s="20" t="s">
        <v>207</v>
      </c>
      <c r="V184" s="20" t="s">
        <v>2896</v>
      </c>
      <c r="W184" s="20">
        <v>144.32</v>
      </c>
      <c r="X184" s="20">
        <v>144.32020469999901</v>
      </c>
      <c r="Y184" s="20" t="s">
        <v>2897</v>
      </c>
      <c r="Z184" s="111" t="s">
        <v>2858</v>
      </c>
      <c r="AB184" s="20" t="s">
        <v>212</v>
      </c>
      <c r="AD184" s="20" t="s">
        <v>213</v>
      </c>
      <c r="AE184" s="20" t="s">
        <v>212</v>
      </c>
      <c r="AF184" s="20">
        <v>0</v>
      </c>
      <c r="AG184" s="20">
        <v>0</v>
      </c>
      <c r="AH184" s="20">
        <v>0</v>
      </c>
      <c r="AI184" s="20">
        <v>0</v>
      </c>
      <c r="AJ184" s="20">
        <v>0</v>
      </c>
      <c r="AK184" s="20" t="s">
        <v>576</v>
      </c>
      <c r="AL184" s="20">
        <v>0</v>
      </c>
      <c r="AM184" s="20">
        <v>0</v>
      </c>
      <c r="AN184" s="20">
        <v>0</v>
      </c>
      <c r="AO184" s="20">
        <v>0</v>
      </c>
      <c r="AP184" s="20">
        <v>0</v>
      </c>
      <c r="AR184" s="20">
        <v>0</v>
      </c>
      <c r="AS184" s="20">
        <v>0</v>
      </c>
      <c r="AT184" s="20">
        <v>1692078.62</v>
      </c>
      <c r="AU184" s="20" t="s">
        <v>13</v>
      </c>
      <c r="AV184" s="20" t="s">
        <v>62</v>
      </c>
      <c r="AW184" s="111" t="s">
        <v>76</v>
      </c>
      <c r="AX184" s="20" t="s">
        <v>208</v>
      </c>
      <c r="AY184" s="19" t="s">
        <v>209</v>
      </c>
      <c r="AZ184" s="19">
        <v>0</v>
      </c>
      <c r="BA184" s="19">
        <v>129022.26</v>
      </c>
      <c r="BB184" s="19">
        <v>1136</v>
      </c>
      <c r="BC184" s="66" t="s">
        <v>2858</v>
      </c>
      <c r="BD184" s="19" t="s">
        <v>65</v>
      </c>
      <c r="BE184" s="19" t="s">
        <v>210</v>
      </c>
      <c r="BF184" s="19" t="s">
        <v>210</v>
      </c>
      <c r="BG184" s="19">
        <v>9</v>
      </c>
      <c r="BH184" s="19">
        <v>11611.99</v>
      </c>
      <c r="BI184" s="19">
        <v>9</v>
      </c>
      <c r="BJ184" s="19">
        <v>11611.99</v>
      </c>
      <c r="BK184" s="19">
        <v>0</v>
      </c>
      <c r="BL184" s="19">
        <v>0</v>
      </c>
      <c r="BM184" s="19">
        <v>0</v>
      </c>
      <c r="BN184" s="19">
        <v>652163341081</v>
      </c>
      <c r="BO184" s="66">
        <v>46248</v>
      </c>
      <c r="BP184" s="19">
        <v>0</v>
      </c>
    </row>
    <row r="185" spans="1:68">
      <c r="A185" s="65"/>
      <c r="B185" s="20" t="s">
        <v>2165</v>
      </c>
      <c r="C185" s="111" t="s">
        <v>2858</v>
      </c>
      <c r="D185" s="20" t="s">
        <v>3548</v>
      </c>
      <c r="E185" s="20" t="s">
        <v>20</v>
      </c>
      <c r="F185" s="20" t="s">
        <v>21</v>
      </c>
      <c r="H185" s="20" t="s">
        <v>3549</v>
      </c>
      <c r="I185" s="20">
        <v>1087</v>
      </c>
      <c r="J185" s="20">
        <v>1087</v>
      </c>
      <c r="K185" s="20" t="s">
        <v>11</v>
      </c>
      <c r="L185" s="20">
        <v>1087</v>
      </c>
      <c r="M185" s="20">
        <v>0</v>
      </c>
      <c r="N185" s="20">
        <v>1087</v>
      </c>
      <c r="O185" s="20" t="s">
        <v>2156</v>
      </c>
      <c r="P185" s="20" t="s">
        <v>87</v>
      </c>
      <c r="Q185" s="20" t="s">
        <v>87</v>
      </c>
      <c r="R185" s="20" t="s">
        <v>2897</v>
      </c>
      <c r="S185" s="111" t="s">
        <v>2858</v>
      </c>
      <c r="T185" s="20" t="s">
        <v>206</v>
      </c>
      <c r="U185" s="20" t="s">
        <v>207</v>
      </c>
      <c r="V185" s="20" t="s">
        <v>2896</v>
      </c>
      <c r="W185" s="20">
        <v>149.32</v>
      </c>
      <c r="X185" s="20">
        <v>149.32021179187799</v>
      </c>
      <c r="Y185" s="20" t="s">
        <v>2897</v>
      </c>
      <c r="Z185" s="111" t="s">
        <v>2858</v>
      </c>
      <c r="AB185" s="20" t="s">
        <v>212</v>
      </c>
      <c r="AD185" s="20" t="s">
        <v>213</v>
      </c>
      <c r="AE185" s="20" t="s">
        <v>212</v>
      </c>
      <c r="AF185" s="20">
        <v>0</v>
      </c>
      <c r="AG185" s="20">
        <v>0</v>
      </c>
      <c r="AH185" s="20">
        <v>0</v>
      </c>
      <c r="AI185" s="20">
        <v>0</v>
      </c>
      <c r="AJ185" s="20">
        <v>0</v>
      </c>
      <c r="AK185" s="20" t="s">
        <v>576</v>
      </c>
      <c r="AL185" s="20">
        <v>0</v>
      </c>
      <c r="AM185" s="20">
        <v>0</v>
      </c>
      <c r="AN185" s="20">
        <v>0</v>
      </c>
      <c r="AO185" s="20">
        <v>0</v>
      </c>
      <c r="AP185" s="20">
        <v>0</v>
      </c>
      <c r="AR185" s="20">
        <v>0</v>
      </c>
      <c r="AS185" s="20">
        <v>0</v>
      </c>
      <c r="AT185" s="20">
        <v>1692078.62</v>
      </c>
      <c r="AU185" s="20" t="s">
        <v>13</v>
      </c>
      <c r="AV185" s="20" t="s">
        <v>62</v>
      </c>
      <c r="AW185" s="111" t="s">
        <v>76</v>
      </c>
      <c r="AX185" s="20" t="s">
        <v>208</v>
      </c>
      <c r="AY185" s="19" t="s">
        <v>209</v>
      </c>
      <c r="AZ185" s="19">
        <v>0</v>
      </c>
      <c r="BA185" s="19">
        <v>162311.07</v>
      </c>
      <c r="BB185" s="19">
        <v>1136</v>
      </c>
      <c r="BC185" s="66" t="s">
        <v>2858</v>
      </c>
      <c r="BD185" s="19" t="s">
        <v>65</v>
      </c>
      <c r="BE185" s="19" t="s">
        <v>210</v>
      </c>
      <c r="BF185" s="19" t="s">
        <v>210</v>
      </c>
      <c r="BG185" s="19">
        <v>9</v>
      </c>
      <c r="BH185" s="19">
        <v>14607.98</v>
      </c>
      <c r="BI185" s="19">
        <v>9</v>
      </c>
      <c r="BJ185" s="19">
        <v>14607.98</v>
      </c>
      <c r="BK185" s="19">
        <v>0</v>
      </c>
      <c r="BL185" s="19">
        <v>0</v>
      </c>
      <c r="BM185" s="19">
        <v>0</v>
      </c>
      <c r="BN185" s="19">
        <v>652163341081</v>
      </c>
      <c r="BO185" s="66">
        <v>46248</v>
      </c>
      <c r="BP185" s="19">
        <v>0</v>
      </c>
    </row>
    <row r="186" spans="1:68">
      <c r="A186" s="65"/>
      <c r="B186" s="20" t="s">
        <v>2165</v>
      </c>
      <c r="C186" s="111" t="s">
        <v>2858</v>
      </c>
      <c r="D186" s="20" t="s">
        <v>3548</v>
      </c>
      <c r="E186" s="20" t="s">
        <v>18</v>
      </c>
      <c r="F186" s="20" t="s">
        <v>19</v>
      </c>
      <c r="H186" s="20" t="s">
        <v>3549</v>
      </c>
      <c r="I186" s="20">
        <v>260</v>
      </c>
      <c r="J186" s="20">
        <v>260</v>
      </c>
      <c r="K186" s="20" t="s">
        <v>11</v>
      </c>
      <c r="L186" s="20">
        <v>260</v>
      </c>
      <c r="M186" s="20">
        <v>0</v>
      </c>
      <c r="N186" s="20">
        <v>260</v>
      </c>
      <c r="O186" s="20" t="s">
        <v>2156</v>
      </c>
      <c r="P186" s="20" t="s">
        <v>87</v>
      </c>
      <c r="Q186" s="20" t="s">
        <v>87</v>
      </c>
      <c r="R186" s="20" t="s">
        <v>2897</v>
      </c>
      <c r="S186" s="111" t="s">
        <v>2858</v>
      </c>
      <c r="T186" s="20" t="s">
        <v>206</v>
      </c>
      <c r="U186" s="20" t="s">
        <v>207</v>
      </c>
      <c r="V186" s="20" t="s">
        <v>2896</v>
      </c>
      <c r="W186" s="20">
        <v>142.32</v>
      </c>
      <c r="X186" s="20">
        <v>142.32020186324701</v>
      </c>
      <c r="Y186" s="20" t="s">
        <v>2897</v>
      </c>
      <c r="Z186" s="111" t="s">
        <v>2858</v>
      </c>
      <c r="AB186" s="20" t="s">
        <v>212</v>
      </c>
      <c r="AD186" s="20" t="s">
        <v>213</v>
      </c>
      <c r="AE186" s="20" t="s">
        <v>212</v>
      </c>
      <c r="AF186" s="20">
        <v>0</v>
      </c>
      <c r="AG186" s="20">
        <v>0</v>
      </c>
      <c r="AH186" s="20">
        <v>0</v>
      </c>
      <c r="AI186" s="20">
        <v>0</v>
      </c>
      <c r="AJ186" s="20">
        <v>0</v>
      </c>
      <c r="AK186" s="20" t="s">
        <v>576</v>
      </c>
      <c r="AL186" s="20">
        <v>0</v>
      </c>
      <c r="AM186" s="20">
        <v>0</v>
      </c>
      <c r="AN186" s="20">
        <v>0</v>
      </c>
      <c r="AO186" s="20">
        <v>0</v>
      </c>
      <c r="AP186" s="20">
        <v>0</v>
      </c>
      <c r="AR186" s="20">
        <v>0</v>
      </c>
      <c r="AS186" s="20">
        <v>0</v>
      </c>
      <c r="AT186" s="20">
        <v>1692078.62</v>
      </c>
      <c r="AU186" s="20" t="s">
        <v>13</v>
      </c>
      <c r="AV186" s="20" t="s">
        <v>62</v>
      </c>
      <c r="AW186" s="111" t="s">
        <v>63</v>
      </c>
      <c r="AX186" s="20" t="s">
        <v>208</v>
      </c>
      <c r="AY186" s="19" t="s">
        <v>209</v>
      </c>
      <c r="AZ186" s="19">
        <v>0</v>
      </c>
      <c r="BA186" s="19">
        <v>37003.25</v>
      </c>
      <c r="BB186" s="19">
        <v>1136</v>
      </c>
      <c r="BC186" s="66" t="s">
        <v>2858</v>
      </c>
      <c r="BD186" s="19" t="s">
        <v>65</v>
      </c>
      <c r="BE186" s="19" t="s">
        <v>210</v>
      </c>
      <c r="BF186" s="19" t="s">
        <v>210</v>
      </c>
      <c r="BG186" s="19">
        <v>9</v>
      </c>
      <c r="BH186" s="19">
        <v>3330.29</v>
      </c>
      <c r="BI186" s="19">
        <v>9</v>
      </c>
      <c r="BJ186" s="19">
        <v>3330.29</v>
      </c>
      <c r="BK186" s="19">
        <v>0</v>
      </c>
      <c r="BL186" s="19">
        <v>0</v>
      </c>
      <c r="BM186" s="19">
        <v>0</v>
      </c>
      <c r="BN186" s="19">
        <v>652163341081</v>
      </c>
      <c r="BO186" s="66">
        <v>46248</v>
      </c>
      <c r="BP186" s="19">
        <v>0</v>
      </c>
    </row>
    <row r="187" spans="1:68">
      <c r="A187" s="65"/>
      <c r="B187" s="20" t="s">
        <v>2165</v>
      </c>
      <c r="C187" s="111" t="s">
        <v>2858</v>
      </c>
      <c r="D187" s="20" t="s">
        <v>3548</v>
      </c>
      <c r="E187" s="20" t="s">
        <v>18</v>
      </c>
      <c r="F187" s="20" t="s">
        <v>19</v>
      </c>
      <c r="H187" s="20" t="s">
        <v>3549</v>
      </c>
      <c r="I187" s="20">
        <v>641</v>
      </c>
      <c r="J187" s="20">
        <v>641</v>
      </c>
      <c r="K187" s="20" t="s">
        <v>11</v>
      </c>
      <c r="L187" s="20">
        <v>641</v>
      </c>
      <c r="M187" s="20">
        <v>0</v>
      </c>
      <c r="N187" s="20">
        <v>641</v>
      </c>
      <c r="O187" s="20" t="s">
        <v>2156</v>
      </c>
      <c r="P187" s="20" t="s">
        <v>87</v>
      </c>
      <c r="Q187" s="20" t="s">
        <v>87</v>
      </c>
      <c r="R187" s="20" t="s">
        <v>2897</v>
      </c>
      <c r="S187" s="111" t="s">
        <v>2858</v>
      </c>
      <c r="T187" s="20" t="s">
        <v>206</v>
      </c>
      <c r="U187" s="20" t="s">
        <v>207</v>
      </c>
      <c r="V187" s="20" t="s">
        <v>2896</v>
      </c>
      <c r="W187" s="20">
        <v>144.32</v>
      </c>
      <c r="X187" s="20">
        <v>144.32020469999901</v>
      </c>
      <c r="Y187" s="20" t="s">
        <v>2897</v>
      </c>
      <c r="Z187" s="111" t="s">
        <v>2858</v>
      </c>
      <c r="AB187" s="20" t="s">
        <v>212</v>
      </c>
      <c r="AD187" s="20" t="s">
        <v>213</v>
      </c>
      <c r="AE187" s="20" t="s">
        <v>212</v>
      </c>
      <c r="AF187" s="20">
        <v>0</v>
      </c>
      <c r="AG187" s="20">
        <v>0</v>
      </c>
      <c r="AH187" s="20">
        <v>0</v>
      </c>
      <c r="AI187" s="20">
        <v>0</v>
      </c>
      <c r="AJ187" s="20">
        <v>0</v>
      </c>
      <c r="AK187" s="20" t="s">
        <v>576</v>
      </c>
      <c r="AL187" s="20">
        <v>0</v>
      </c>
      <c r="AM187" s="20">
        <v>0</v>
      </c>
      <c r="AN187" s="20">
        <v>0</v>
      </c>
      <c r="AO187" s="20">
        <v>0</v>
      </c>
      <c r="AP187" s="20">
        <v>0</v>
      </c>
      <c r="AR187" s="20">
        <v>0</v>
      </c>
      <c r="AS187" s="20">
        <v>0</v>
      </c>
      <c r="AT187" s="20">
        <v>1692078.62</v>
      </c>
      <c r="AU187" s="20" t="s">
        <v>13</v>
      </c>
      <c r="AV187" s="20" t="s">
        <v>62</v>
      </c>
      <c r="AW187" s="111" t="s">
        <v>63</v>
      </c>
      <c r="AX187" s="20" t="s">
        <v>208</v>
      </c>
      <c r="AY187" s="19" t="s">
        <v>209</v>
      </c>
      <c r="AZ187" s="19">
        <v>0</v>
      </c>
      <c r="BA187" s="19">
        <v>92509.25</v>
      </c>
      <c r="BB187" s="19">
        <v>1136</v>
      </c>
      <c r="BC187" s="66" t="s">
        <v>2858</v>
      </c>
      <c r="BD187" s="19" t="s">
        <v>65</v>
      </c>
      <c r="BE187" s="19" t="s">
        <v>210</v>
      </c>
      <c r="BF187" s="19" t="s">
        <v>210</v>
      </c>
      <c r="BG187" s="19">
        <v>9</v>
      </c>
      <c r="BH187" s="19">
        <v>8325.82</v>
      </c>
      <c r="BI187" s="19">
        <v>9</v>
      </c>
      <c r="BJ187" s="19">
        <v>8325.82</v>
      </c>
      <c r="BK187" s="19">
        <v>0</v>
      </c>
      <c r="BL187" s="19">
        <v>0</v>
      </c>
      <c r="BM187" s="19">
        <v>0</v>
      </c>
      <c r="BN187" s="19">
        <v>652163341081</v>
      </c>
      <c r="BO187" s="66">
        <v>46248</v>
      </c>
      <c r="BP187" s="19">
        <v>0</v>
      </c>
    </row>
    <row r="188" spans="1:68">
      <c r="A188" s="65"/>
      <c r="B188" s="20" t="s">
        <v>2165</v>
      </c>
      <c r="C188" s="111" t="s">
        <v>2858</v>
      </c>
      <c r="D188" s="20" t="s">
        <v>3550</v>
      </c>
      <c r="E188" s="20" t="s">
        <v>18</v>
      </c>
      <c r="F188" s="20" t="s">
        <v>19</v>
      </c>
      <c r="H188" s="20" t="s">
        <v>3551</v>
      </c>
      <c r="I188" s="20">
        <v>1521</v>
      </c>
      <c r="J188" s="20">
        <v>1521</v>
      </c>
      <c r="K188" s="20" t="s">
        <v>11</v>
      </c>
      <c r="L188" s="20">
        <v>1521</v>
      </c>
      <c r="M188" s="20">
        <v>0</v>
      </c>
      <c r="N188" s="20">
        <v>1521</v>
      </c>
      <c r="O188" s="20" t="s">
        <v>2397</v>
      </c>
      <c r="P188" s="20" t="s">
        <v>87</v>
      </c>
      <c r="Q188" s="20" t="s">
        <v>87</v>
      </c>
      <c r="R188" s="20" t="s">
        <v>2899</v>
      </c>
      <c r="S188" s="111" t="s">
        <v>2858</v>
      </c>
      <c r="T188" s="20" t="s">
        <v>206</v>
      </c>
      <c r="U188" s="20" t="s">
        <v>207</v>
      </c>
      <c r="V188" s="20" t="s">
        <v>2898</v>
      </c>
      <c r="W188" s="20">
        <v>142.32</v>
      </c>
      <c r="X188" s="20">
        <v>142.32</v>
      </c>
      <c r="Y188" s="20" t="s">
        <v>2899</v>
      </c>
      <c r="Z188" s="111" t="s">
        <v>2858</v>
      </c>
      <c r="AB188" s="20" t="s">
        <v>212</v>
      </c>
      <c r="AD188" s="20" t="s">
        <v>213</v>
      </c>
      <c r="AE188" s="20" t="s">
        <v>212</v>
      </c>
      <c r="AF188" s="20">
        <v>0</v>
      </c>
      <c r="AG188" s="20">
        <v>0</v>
      </c>
      <c r="AH188" s="20">
        <v>0</v>
      </c>
      <c r="AI188" s="20">
        <v>0</v>
      </c>
      <c r="AJ188" s="20">
        <v>0</v>
      </c>
      <c r="AK188" s="20" t="s">
        <v>576</v>
      </c>
      <c r="AL188" s="20">
        <v>0</v>
      </c>
      <c r="AM188" s="20">
        <v>0</v>
      </c>
      <c r="AN188" s="20">
        <v>0</v>
      </c>
      <c r="AO188" s="20">
        <v>0</v>
      </c>
      <c r="AP188" s="20">
        <v>0</v>
      </c>
      <c r="AR188" s="20">
        <v>0</v>
      </c>
      <c r="AS188" s="20">
        <v>0</v>
      </c>
      <c r="AT188" s="20">
        <v>266339.82</v>
      </c>
      <c r="AU188" s="20" t="s">
        <v>13</v>
      </c>
      <c r="AV188" s="20" t="s">
        <v>62</v>
      </c>
      <c r="AW188" s="111" t="s">
        <v>63</v>
      </c>
      <c r="AX188" s="20" t="s">
        <v>208</v>
      </c>
      <c r="AY188" s="19" t="s">
        <v>209</v>
      </c>
      <c r="AZ188" s="19">
        <v>0</v>
      </c>
      <c r="BA188" s="19">
        <v>216468.72</v>
      </c>
      <c r="BB188" s="19">
        <v>1137</v>
      </c>
      <c r="BC188" s="66" t="s">
        <v>2858</v>
      </c>
      <c r="BD188" s="19" t="s">
        <v>65</v>
      </c>
      <c r="BE188" s="19" t="s">
        <v>210</v>
      </c>
      <c r="BF188" s="19" t="s">
        <v>210</v>
      </c>
      <c r="BG188" s="19">
        <v>9</v>
      </c>
      <c r="BH188" s="19">
        <v>19482.18</v>
      </c>
      <c r="BI188" s="19">
        <v>9</v>
      </c>
      <c r="BJ188" s="19">
        <v>19482.18</v>
      </c>
      <c r="BK188" s="19">
        <v>0</v>
      </c>
      <c r="BL188" s="19">
        <v>0</v>
      </c>
      <c r="BM188" s="19">
        <v>266339.82</v>
      </c>
      <c r="BN188" s="19">
        <v>662163454283</v>
      </c>
      <c r="BO188" s="66">
        <v>46248</v>
      </c>
      <c r="BP188" s="19">
        <v>0</v>
      </c>
    </row>
    <row r="189" spans="1:68">
      <c r="A189" s="65"/>
      <c r="B189" s="20" t="s">
        <v>2165</v>
      </c>
      <c r="C189" s="111" t="s">
        <v>2858</v>
      </c>
      <c r="D189" s="20" t="s">
        <v>3550</v>
      </c>
      <c r="E189" s="20" t="s">
        <v>160</v>
      </c>
      <c r="F189" s="20" t="s">
        <v>17</v>
      </c>
      <c r="H189" s="20" t="s">
        <v>3551</v>
      </c>
      <c r="I189" s="20">
        <v>50</v>
      </c>
      <c r="J189" s="20">
        <v>50</v>
      </c>
      <c r="K189" s="20" t="s">
        <v>11</v>
      </c>
      <c r="L189" s="20">
        <v>50</v>
      </c>
      <c r="M189" s="20">
        <v>0</v>
      </c>
      <c r="N189" s="20">
        <v>50</v>
      </c>
      <c r="O189" s="20" t="s">
        <v>2397</v>
      </c>
      <c r="P189" s="20" t="s">
        <v>87</v>
      </c>
      <c r="Q189" s="20" t="s">
        <v>87</v>
      </c>
      <c r="R189" s="20" t="s">
        <v>2899</v>
      </c>
      <c r="S189" s="111" t="s">
        <v>2858</v>
      </c>
      <c r="T189" s="20" t="s">
        <v>206</v>
      </c>
      <c r="U189" s="20" t="s">
        <v>207</v>
      </c>
      <c r="V189" s="20" t="s">
        <v>2898</v>
      </c>
      <c r="W189" s="20">
        <v>184.86</v>
      </c>
      <c r="X189" s="20">
        <v>184.86</v>
      </c>
      <c r="Y189" s="20" t="s">
        <v>2899</v>
      </c>
      <c r="Z189" s="111" t="s">
        <v>2858</v>
      </c>
      <c r="AB189" s="20" t="s">
        <v>212</v>
      </c>
      <c r="AD189" s="20" t="s">
        <v>213</v>
      </c>
      <c r="AE189" s="20" t="s">
        <v>212</v>
      </c>
      <c r="AF189" s="20">
        <v>0</v>
      </c>
      <c r="AG189" s="20">
        <v>0</v>
      </c>
      <c r="AH189" s="20">
        <v>0</v>
      </c>
      <c r="AI189" s="20">
        <v>0</v>
      </c>
      <c r="AJ189" s="20">
        <v>0</v>
      </c>
      <c r="AK189" s="20" t="s">
        <v>576</v>
      </c>
      <c r="AL189" s="20">
        <v>0</v>
      </c>
      <c r="AM189" s="20">
        <v>0</v>
      </c>
      <c r="AN189" s="20">
        <v>0</v>
      </c>
      <c r="AO189" s="20">
        <v>0</v>
      </c>
      <c r="AP189" s="20">
        <v>0</v>
      </c>
      <c r="AR189" s="20">
        <v>0</v>
      </c>
      <c r="AS189" s="20">
        <v>0</v>
      </c>
      <c r="AT189" s="20">
        <v>266339.82</v>
      </c>
      <c r="AU189" s="20" t="s">
        <v>13</v>
      </c>
      <c r="AV189" s="20" t="s">
        <v>80</v>
      </c>
      <c r="AW189" s="111" t="s">
        <v>81</v>
      </c>
      <c r="AX189" s="20" t="s">
        <v>208</v>
      </c>
      <c r="AY189" s="19" t="s">
        <v>209</v>
      </c>
      <c r="AZ189" s="19">
        <v>0</v>
      </c>
      <c r="BA189" s="19">
        <v>9243</v>
      </c>
      <c r="BB189" s="19">
        <v>1137</v>
      </c>
      <c r="BC189" s="66" t="s">
        <v>2858</v>
      </c>
      <c r="BD189" s="19" t="s">
        <v>65</v>
      </c>
      <c r="BE189" s="19" t="s">
        <v>210</v>
      </c>
      <c r="BF189" s="19" t="s">
        <v>210</v>
      </c>
      <c r="BG189" s="19">
        <v>9</v>
      </c>
      <c r="BH189" s="19">
        <v>831.87</v>
      </c>
      <c r="BI189" s="19">
        <v>9</v>
      </c>
      <c r="BJ189" s="19">
        <v>831.87</v>
      </c>
      <c r="BK189" s="19">
        <v>0</v>
      </c>
      <c r="BL189" s="19">
        <v>0</v>
      </c>
      <c r="BM189" s="19">
        <v>0</v>
      </c>
      <c r="BN189" s="19">
        <v>662163454283</v>
      </c>
      <c r="BO189" s="66">
        <v>46248</v>
      </c>
      <c r="BP189" s="19">
        <v>0</v>
      </c>
    </row>
    <row r="190" spans="1:68">
      <c r="A190" s="65"/>
      <c r="B190" s="20" t="s">
        <v>2165</v>
      </c>
      <c r="C190" s="111" t="s">
        <v>2910</v>
      </c>
      <c r="D190" s="20" t="s">
        <v>3552</v>
      </c>
      <c r="E190" s="20" t="s">
        <v>160</v>
      </c>
      <c r="F190" s="20" t="s">
        <v>17</v>
      </c>
      <c r="H190" s="20" t="s">
        <v>3553</v>
      </c>
      <c r="I190" s="20">
        <v>3769</v>
      </c>
      <c r="J190" s="20">
        <v>3769</v>
      </c>
      <c r="K190" s="20" t="s">
        <v>11</v>
      </c>
      <c r="L190" s="20">
        <v>3769</v>
      </c>
      <c r="M190" s="20">
        <v>0</v>
      </c>
      <c r="N190" s="20">
        <v>3769</v>
      </c>
      <c r="O190" s="20" t="s">
        <v>2154</v>
      </c>
      <c r="P190" s="20" t="s">
        <v>87</v>
      </c>
      <c r="Q190" s="20" t="s">
        <v>87</v>
      </c>
      <c r="R190" s="20" t="s">
        <v>2914</v>
      </c>
      <c r="S190" s="111" t="s">
        <v>2910</v>
      </c>
      <c r="T190" s="20" t="s">
        <v>206</v>
      </c>
      <c r="U190" s="20" t="s">
        <v>207</v>
      </c>
      <c r="V190" s="20" t="s">
        <v>2913</v>
      </c>
      <c r="W190" s="20">
        <v>176.86</v>
      </c>
      <c r="X190" s="20">
        <v>176.85999932212599</v>
      </c>
      <c r="Y190" s="20" t="s">
        <v>2914</v>
      </c>
      <c r="Z190" s="111" t="s">
        <v>2910</v>
      </c>
      <c r="AB190" s="20" t="s">
        <v>212</v>
      </c>
      <c r="AD190" s="20" t="s">
        <v>2125</v>
      </c>
      <c r="AE190" s="20" t="s">
        <v>3554</v>
      </c>
      <c r="AF190" s="20">
        <v>0</v>
      </c>
      <c r="AG190" s="20">
        <v>0</v>
      </c>
      <c r="AH190" s="20">
        <v>0</v>
      </c>
      <c r="AI190" s="20">
        <v>0</v>
      </c>
      <c r="AJ190" s="20">
        <v>0</v>
      </c>
      <c r="AK190" s="20" t="s">
        <v>576</v>
      </c>
      <c r="AL190" s="20">
        <v>0</v>
      </c>
      <c r="AM190" s="20">
        <v>0</v>
      </c>
      <c r="AN190" s="20">
        <v>0</v>
      </c>
      <c r="AO190" s="20">
        <v>0</v>
      </c>
      <c r="AP190" s="20">
        <v>0</v>
      </c>
      <c r="AR190" s="20">
        <v>0</v>
      </c>
      <c r="AS190" s="20">
        <v>0</v>
      </c>
      <c r="AT190" s="20">
        <v>1565422.93</v>
      </c>
      <c r="AU190" s="20" t="s">
        <v>13</v>
      </c>
      <c r="AV190" s="20" t="s">
        <v>80</v>
      </c>
      <c r="AW190" s="111" t="s">
        <v>81</v>
      </c>
      <c r="AX190" s="20" t="s">
        <v>208</v>
      </c>
      <c r="AY190" s="19" t="s">
        <v>209</v>
      </c>
      <c r="AZ190" s="19">
        <v>0</v>
      </c>
      <c r="BA190" s="19">
        <v>666585.34</v>
      </c>
      <c r="BB190" s="19">
        <v>1140</v>
      </c>
      <c r="BC190" s="66" t="s">
        <v>2910</v>
      </c>
      <c r="BD190" s="19" t="s">
        <v>65</v>
      </c>
      <c r="BE190" s="19" t="s">
        <v>210</v>
      </c>
      <c r="BF190" s="19" t="s">
        <v>210</v>
      </c>
      <c r="BG190" s="19">
        <v>9</v>
      </c>
      <c r="BH190" s="19">
        <v>59992.68</v>
      </c>
      <c r="BI190" s="19">
        <v>9</v>
      </c>
      <c r="BJ190" s="19">
        <v>59992.68</v>
      </c>
      <c r="BK190" s="19">
        <v>0</v>
      </c>
      <c r="BL190" s="19">
        <v>0</v>
      </c>
      <c r="BM190" s="19">
        <v>1565422.93</v>
      </c>
      <c r="BN190" s="19">
        <v>672163815649</v>
      </c>
      <c r="BO190" s="66">
        <v>46249</v>
      </c>
      <c r="BP190" s="19">
        <v>0</v>
      </c>
    </row>
    <row r="191" spans="1:68">
      <c r="A191" s="65"/>
      <c r="B191" s="20" t="s">
        <v>2165</v>
      </c>
      <c r="C191" s="111" t="s">
        <v>2910</v>
      </c>
      <c r="D191" s="20" t="s">
        <v>3552</v>
      </c>
      <c r="E191" s="20" t="s">
        <v>18</v>
      </c>
      <c r="F191" s="20" t="s">
        <v>19</v>
      </c>
      <c r="H191" s="20" t="s">
        <v>3553</v>
      </c>
      <c r="I191" s="20">
        <v>252</v>
      </c>
      <c r="J191" s="20">
        <v>252</v>
      </c>
      <c r="K191" s="20" t="s">
        <v>11</v>
      </c>
      <c r="L191" s="20">
        <v>252</v>
      </c>
      <c r="M191" s="20">
        <v>0</v>
      </c>
      <c r="N191" s="20">
        <v>252</v>
      </c>
      <c r="O191" s="20" t="s">
        <v>2154</v>
      </c>
      <c r="P191" s="20" t="s">
        <v>87</v>
      </c>
      <c r="Q191" s="20" t="s">
        <v>87</v>
      </c>
      <c r="R191" s="20" t="s">
        <v>2914</v>
      </c>
      <c r="S191" s="111" t="s">
        <v>2910</v>
      </c>
      <c r="T191" s="20" t="s">
        <v>206</v>
      </c>
      <c r="U191" s="20" t="s">
        <v>207</v>
      </c>
      <c r="V191" s="20" t="s">
        <v>2913</v>
      </c>
      <c r="W191" s="20">
        <v>144.32</v>
      </c>
      <c r="X191" s="20">
        <v>144.319999446846</v>
      </c>
      <c r="Y191" s="20" t="s">
        <v>2914</v>
      </c>
      <c r="Z191" s="111" t="s">
        <v>2910</v>
      </c>
      <c r="AB191" s="20" t="s">
        <v>212</v>
      </c>
      <c r="AD191" s="20" t="s">
        <v>2125</v>
      </c>
      <c r="AE191" s="20" t="s">
        <v>3554</v>
      </c>
      <c r="AF191" s="20">
        <v>0</v>
      </c>
      <c r="AG191" s="20">
        <v>0</v>
      </c>
      <c r="AH191" s="20">
        <v>0</v>
      </c>
      <c r="AI191" s="20">
        <v>0</v>
      </c>
      <c r="AJ191" s="20">
        <v>0</v>
      </c>
      <c r="AK191" s="20" t="s">
        <v>576</v>
      </c>
      <c r="AL191" s="20">
        <v>0</v>
      </c>
      <c r="AM191" s="20">
        <v>0</v>
      </c>
      <c r="AN191" s="20">
        <v>0</v>
      </c>
      <c r="AO191" s="20">
        <v>0</v>
      </c>
      <c r="AP191" s="20">
        <v>0</v>
      </c>
      <c r="AR191" s="20">
        <v>0</v>
      </c>
      <c r="AS191" s="20">
        <v>0</v>
      </c>
      <c r="AT191" s="20">
        <v>1565422.93</v>
      </c>
      <c r="AU191" s="20" t="s">
        <v>13</v>
      </c>
      <c r="AV191" s="20" t="s">
        <v>62</v>
      </c>
      <c r="AW191" s="111" t="s">
        <v>63</v>
      </c>
      <c r="AX191" s="20" t="s">
        <v>208</v>
      </c>
      <c r="AY191" s="19" t="s">
        <v>209</v>
      </c>
      <c r="AZ191" s="19">
        <v>0</v>
      </c>
      <c r="BA191" s="19">
        <v>36368.639999999999</v>
      </c>
      <c r="BB191" s="19">
        <v>1140</v>
      </c>
      <c r="BC191" s="66" t="s">
        <v>2910</v>
      </c>
      <c r="BD191" s="19" t="s">
        <v>65</v>
      </c>
      <c r="BE191" s="19" t="s">
        <v>210</v>
      </c>
      <c r="BF191" s="19" t="s">
        <v>210</v>
      </c>
      <c r="BG191" s="19">
        <v>9</v>
      </c>
      <c r="BH191" s="19">
        <v>3273.18</v>
      </c>
      <c r="BI191" s="19">
        <v>9</v>
      </c>
      <c r="BJ191" s="19">
        <v>3273.18</v>
      </c>
      <c r="BK191" s="19">
        <v>0</v>
      </c>
      <c r="BL191" s="19">
        <v>0</v>
      </c>
      <c r="BM191" s="19">
        <v>0</v>
      </c>
      <c r="BN191" s="19">
        <v>672163815649</v>
      </c>
      <c r="BO191" s="66">
        <v>46249</v>
      </c>
      <c r="BP191" s="19">
        <v>0</v>
      </c>
    </row>
    <row r="192" spans="1:68">
      <c r="A192" s="65"/>
      <c r="B192" s="20" t="s">
        <v>2165</v>
      </c>
      <c r="C192" s="111" t="s">
        <v>2910</v>
      </c>
      <c r="D192" s="20" t="s">
        <v>3552</v>
      </c>
      <c r="E192" s="20" t="s">
        <v>18</v>
      </c>
      <c r="F192" s="20" t="s">
        <v>19</v>
      </c>
      <c r="H192" s="20" t="s">
        <v>3553</v>
      </c>
      <c r="I192" s="20">
        <v>570</v>
      </c>
      <c r="J192" s="20">
        <v>570</v>
      </c>
      <c r="K192" s="20" t="s">
        <v>11</v>
      </c>
      <c r="L192" s="20">
        <v>570</v>
      </c>
      <c r="M192" s="20">
        <v>0</v>
      </c>
      <c r="N192" s="20">
        <v>570</v>
      </c>
      <c r="O192" s="20" t="s">
        <v>2154</v>
      </c>
      <c r="P192" s="20" t="s">
        <v>87</v>
      </c>
      <c r="Q192" s="20" t="s">
        <v>87</v>
      </c>
      <c r="R192" s="20" t="s">
        <v>2914</v>
      </c>
      <c r="S192" s="111" t="s">
        <v>2910</v>
      </c>
      <c r="T192" s="20" t="s">
        <v>206</v>
      </c>
      <c r="U192" s="20" t="s">
        <v>207</v>
      </c>
      <c r="V192" s="20" t="s">
        <v>2913</v>
      </c>
      <c r="W192" s="20">
        <v>145.32</v>
      </c>
      <c r="X192" s="20">
        <v>145.31999944301299</v>
      </c>
      <c r="Y192" s="20" t="s">
        <v>2914</v>
      </c>
      <c r="Z192" s="111" t="s">
        <v>2910</v>
      </c>
      <c r="AB192" s="20" t="s">
        <v>212</v>
      </c>
      <c r="AD192" s="20" t="s">
        <v>2125</v>
      </c>
      <c r="AE192" s="20" t="s">
        <v>3554</v>
      </c>
      <c r="AF192" s="20">
        <v>0</v>
      </c>
      <c r="AG192" s="20">
        <v>0</v>
      </c>
      <c r="AH192" s="20">
        <v>0</v>
      </c>
      <c r="AI192" s="20">
        <v>0</v>
      </c>
      <c r="AJ192" s="20">
        <v>0</v>
      </c>
      <c r="AK192" s="20" t="s">
        <v>576</v>
      </c>
      <c r="AL192" s="20">
        <v>0</v>
      </c>
      <c r="AM192" s="20">
        <v>0</v>
      </c>
      <c r="AN192" s="20">
        <v>0</v>
      </c>
      <c r="AO192" s="20">
        <v>0</v>
      </c>
      <c r="AP192" s="20">
        <v>0</v>
      </c>
      <c r="AR192" s="20">
        <v>0</v>
      </c>
      <c r="AS192" s="20">
        <v>0</v>
      </c>
      <c r="AT192" s="20">
        <v>1565422.93</v>
      </c>
      <c r="AU192" s="20" t="s">
        <v>13</v>
      </c>
      <c r="AV192" s="20" t="s">
        <v>62</v>
      </c>
      <c r="AW192" s="111" t="s">
        <v>63</v>
      </c>
      <c r="AX192" s="20" t="s">
        <v>208</v>
      </c>
      <c r="AY192" s="19" t="s">
        <v>209</v>
      </c>
      <c r="AZ192" s="19">
        <v>0</v>
      </c>
      <c r="BA192" s="19">
        <v>82832.399999999994</v>
      </c>
      <c r="BB192" s="19">
        <v>1140</v>
      </c>
      <c r="BC192" s="66" t="s">
        <v>2910</v>
      </c>
      <c r="BD192" s="19" t="s">
        <v>65</v>
      </c>
      <c r="BE192" s="19" t="s">
        <v>210</v>
      </c>
      <c r="BF192" s="19" t="s">
        <v>210</v>
      </c>
      <c r="BG192" s="19">
        <v>9</v>
      </c>
      <c r="BH192" s="19">
        <v>7454.92</v>
      </c>
      <c r="BI192" s="19">
        <v>9</v>
      </c>
      <c r="BJ192" s="19">
        <v>7454.92</v>
      </c>
      <c r="BK192" s="19">
        <v>0</v>
      </c>
      <c r="BL192" s="19">
        <v>0</v>
      </c>
      <c r="BM192" s="19">
        <v>0</v>
      </c>
      <c r="BN192" s="19">
        <v>672163815649</v>
      </c>
      <c r="BO192" s="66">
        <v>46249</v>
      </c>
      <c r="BP192" s="19">
        <v>0</v>
      </c>
    </row>
    <row r="193" spans="1:68">
      <c r="A193" s="65"/>
      <c r="B193" s="20" t="s">
        <v>2165</v>
      </c>
      <c r="C193" s="111" t="s">
        <v>2910</v>
      </c>
      <c r="D193" s="20" t="s">
        <v>3552</v>
      </c>
      <c r="E193" s="20" t="s">
        <v>18</v>
      </c>
      <c r="F193" s="20" t="s">
        <v>19</v>
      </c>
      <c r="H193" s="20" t="s">
        <v>3553</v>
      </c>
      <c r="I193" s="20">
        <v>1536</v>
      </c>
      <c r="J193" s="20">
        <v>1536</v>
      </c>
      <c r="K193" s="20" t="s">
        <v>11</v>
      </c>
      <c r="L193" s="20">
        <v>1536</v>
      </c>
      <c r="M193" s="20">
        <v>0</v>
      </c>
      <c r="N193" s="20">
        <v>1536</v>
      </c>
      <c r="O193" s="20" t="s">
        <v>2154</v>
      </c>
      <c r="P193" s="20" t="s">
        <v>87</v>
      </c>
      <c r="Q193" s="20" t="s">
        <v>87</v>
      </c>
      <c r="R193" s="20" t="s">
        <v>2914</v>
      </c>
      <c r="S193" s="111" t="s">
        <v>2910</v>
      </c>
      <c r="T193" s="20" t="s">
        <v>206</v>
      </c>
      <c r="U193" s="20" t="s">
        <v>207</v>
      </c>
      <c r="V193" s="20" t="s">
        <v>2913</v>
      </c>
      <c r="W193" s="20">
        <v>142.32</v>
      </c>
      <c r="X193" s="20">
        <v>142.31999945451199</v>
      </c>
      <c r="Y193" s="20" t="s">
        <v>2914</v>
      </c>
      <c r="Z193" s="111" t="s">
        <v>2910</v>
      </c>
      <c r="AB193" s="20" t="s">
        <v>212</v>
      </c>
      <c r="AD193" s="20" t="s">
        <v>2125</v>
      </c>
      <c r="AE193" s="20" t="s">
        <v>3554</v>
      </c>
      <c r="AF193" s="20">
        <v>0</v>
      </c>
      <c r="AG193" s="20">
        <v>0</v>
      </c>
      <c r="AH193" s="20">
        <v>0</v>
      </c>
      <c r="AI193" s="20">
        <v>0</v>
      </c>
      <c r="AJ193" s="20">
        <v>0</v>
      </c>
      <c r="AK193" s="20" t="s">
        <v>576</v>
      </c>
      <c r="AL193" s="20">
        <v>0</v>
      </c>
      <c r="AM193" s="20">
        <v>0</v>
      </c>
      <c r="AN193" s="20">
        <v>0</v>
      </c>
      <c r="AO193" s="20">
        <v>0</v>
      </c>
      <c r="AP193" s="20">
        <v>0</v>
      </c>
      <c r="AR193" s="20">
        <v>0</v>
      </c>
      <c r="AS193" s="20">
        <v>0</v>
      </c>
      <c r="AT193" s="20">
        <v>1565422.93</v>
      </c>
      <c r="AU193" s="20" t="s">
        <v>13</v>
      </c>
      <c r="AV193" s="20" t="s">
        <v>62</v>
      </c>
      <c r="AW193" s="111" t="s">
        <v>63</v>
      </c>
      <c r="AX193" s="20" t="s">
        <v>208</v>
      </c>
      <c r="AY193" s="19" t="s">
        <v>209</v>
      </c>
      <c r="AZ193" s="19">
        <v>0</v>
      </c>
      <c r="BA193" s="19">
        <v>218603.51999999999</v>
      </c>
      <c r="BB193" s="19">
        <v>1140</v>
      </c>
      <c r="BC193" s="66" t="s">
        <v>2910</v>
      </c>
      <c r="BD193" s="19" t="s">
        <v>65</v>
      </c>
      <c r="BE193" s="19" t="s">
        <v>210</v>
      </c>
      <c r="BF193" s="19" t="s">
        <v>210</v>
      </c>
      <c r="BG193" s="19">
        <v>9</v>
      </c>
      <c r="BH193" s="19">
        <v>19674.32</v>
      </c>
      <c r="BI193" s="19">
        <v>9</v>
      </c>
      <c r="BJ193" s="19">
        <v>19674.32</v>
      </c>
      <c r="BK193" s="19">
        <v>0</v>
      </c>
      <c r="BL193" s="19">
        <v>0</v>
      </c>
      <c r="BM193" s="19">
        <v>0</v>
      </c>
      <c r="BN193" s="19">
        <v>672163815649</v>
      </c>
      <c r="BO193" s="66">
        <v>46249</v>
      </c>
      <c r="BP193" s="19">
        <v>0</v>
      </c>
    </row>
    <row r="194" spans="1:68">
      <c r="A194" s="65"/>
      <c r="B194" s="20" t="s">
        <v>2165</v>
      </c>
      <c r="C194" s="111" t="s">
        <v>2910</v>
      </c>
      <c r="D194" s="20" t="s">
        <v>3552</v>
      </c>
      <c r="E194" s="20" t="s">
        <v>23</v>
      </c>
      <c r="F194" s="20" t="s">
        <v>24</v>
      </c>
      <c r="H194" s="20" t="s">
        <v>3553</v>
      </c>
      <c r="I194" s="20">
        <v>1323.6</v>
      </c>
      <c r="J194" s="20">
        <v>1323.6</v>
      </c>
      <c r="K194" s="20" t="s">
        <v>11</v>
      </c>
      <c r="L194" s="20">
        <v>1323.6</v>
      </c>
      <c r="M194" s="20">
        <v>0</v>
      </c>
      <c r="N194" s="20">
        <v>1323.6</v>
      </c>
      <c r="O194" s="20" t="s">
        <v>2154</v>
      </c>
      <c r="P194" s="20" t="s">
        <v>87</v>
      </c>
      <c r="Q194" s="20" t="s">
        <v>87</v>
      </c>
      <c r="R194" s="20" t="s">
        <v>2914</v>
      </c>
      <c r="S194" s="111" t="s">
        <v>2910</v>
      </c>
      <c r="T194" s="20" t="s">
        <v>206</v>
      </c>
      <c r="U194" s="20" t="s">
        <v>207</v>
      </c>
      <c r="V194" s="20" t="s">
        <v>2913</v>
      </c>
      <c r="W194" s="20">
        <v>147.32</v>
      </c>
      <c r="X194" s="20">
        <v>147.319999435347</v>
      </c>
      <c r="Y194" s="20" t="s">
        <v>2914</v>
      </c>
      <c r="Z194" s="111" t="s">
        <v>2910</v>
      </c>
      <c r="AB194" s="20" t="s">
        <v>212</v>
      </c>
      <c r="AD194" s="20" t="s">
        <v>2125</v>
      </c>
      <c r="AE194" s="20" t="s">
        <v>3554</v>
      </c>
      <c r="AF194" s="20">
        <v>0</v>
      </c>
      <c r="AG194" s="20">
        <v>0</v>
      </c>
      <c r="AH194" s="20">
        <v>0</v>
      </c>
      <c r="AI194" s="20">
        <v>0</v>
      </c>
      <c r="AJ194" s="20">
        <v>0</v>
      </c>
      <c r="AK194" s="20" t="s">
        <v>576</v>
      </c>
      <c r="AL194" s="20">
        <v>0</v>
      </c>
      <c r="AM194" s="20">
        <v>0</v>
      </c>
      <c r="AN194" s="20">
        <v>0</v>
      </c>
      <c r="AO194" s="20">
        <v>0</v>
      </c>
      <c r="AP194" s="20">
        <v>0</v>
      </c>
      <c r="AR194" s="20">
        <v>0</v>
      </c>
      <c r="AS194" s="20">
        <v>0</v>
      </c>
      <c r="AT194" s="20">
        <v>1565422.93</v>
      </c>
      <c r="AU194" s="20" t="s">
        <v>13</v>
      </c>
      <c r="AV194" s="20" t="s">
        <v>24</v>
      </c>
      <c r="AW194" s="111" t="s">
        <v>79</v>
      </c>
      <c r="AX194" s="20" t="s">
        <v>208</v>
      </c>
      <c r="AY194" s="19" t="s">
        <v>209</v>
      </c>
      <c r="AZ194" s="19">
        <v>0</v>
      </c>
      <c r="BA194" s="19">
        <v>194992.75</v>
      </c>
      <c r="BB194" s="19">
        <v>1140</v>
      </c>
      <c r="BC194" s="66" t="s">
        <v>2910</v>
      </c>
      <c r="BD194" s="19" t="s">
        <v>65</v>
      </c>
      <c r="BE194" s="19" t="s">
        <v>210</v>
      </c>
      <c r="BF194" s="19" t="s">
        <v>210</v>
      </c>
      <c r="BG194" s="19">
        <v>9</v>
      </c>
      <c r="BH194" s="19">
        <v>17549.349999999999</v>
      </c>
      <c r="BI194" s="19">
        <v>9</v>
      </c>
      <c r="BJ194" s="19">
        <v>17549.349999999999</v>
      </c>
      <c r="BK194" s="19">
        <v>0</v>
      </c>
      <c r="BL194" s="19">
        <v>0</v>
      </c>
      <c r="BM194" s="19">
        <v>0</v>
      </c>
      <c r="BN194" s="19">
        <v>672163815649</v>
      </c>
      <c r="BO194" s="66">
        <v>46249</v>
      </c>
      <c r="BP194" s="19">
        <v>0</v>
      </c>
    </row>
    <row r="195" spans="1:68">
      <c r="A195" s="65"/>
      <c r="B195" s="20" t="s">
        <v>2165</v>
      </c>
      <c r="C195" s="111" t="s">
        <v>2910</v>
      </c>
      <c r="D195" s="20" t="s">
        <v>3552</v>
      </c>
      <c r="E195" s="20" t="s">
        <v>23</v>
      </c>
      <c r="F195" s="20" t="s">
        <v>24</v>
      </c>
      <c r="H195" s="20" t="s">
        <v>3553</v>
      </c>
      <c r="I195" s="20">
        <v>881.7</v>
      </c>
      <c r="J195" s="20">
        <v>881.7</v>
      </c>
      <c r="K195" s="20" t="s">
        <v>11</v>
      </c>
      <c r="L195" s="20">
        <v>881.7</v>
      </c>
      <c r="M195" s="20">
        <v>0</v>
      </c>
      <c r="N195" s="20">
        <v>881.7</v>
      </c>
      <c r="O195" s="20" t="s">
        <v>2154</v>
      </c>
      <c r="P195" s="20" t="s">
        <v>87</v>
      </c>
      <c r="Q195" s="20" t="s">
        <v>87</v>
      </c>
      <c r="R195" s="20" t="s">
        <v>2914</v>
      </c>
      <c r="S195" s="111" t="s">
        <v>2910</v>
      </c>
      <c r="T195" s="20" t="s">
        <v>206</v>
      </c>
      <c r="U195" s="20" t="s">
        <v>207</v>
      </c>
      <c r="V195" s="20" t="s">
        <v>2913</v>
      </c>
      <c r="W195" s="20">
        <v>144.32</v>
      </c>
      <c r="X195" s="20">
        <v>144.319999446846</v>
      </c>
      <c r="Y195" s="20" t="s">
        <v>2914</v>
      </c>
      <c r="Z195" s="111" t="s">
        <v>2910</v>
      </c>
      <c r="AB195" s="20" t="s">
        <v>212</v>
      </c>
      <c r="AD195" s="20" t="s">
        <v>2125</v>
      </c>
      <c r="AE195" s="20" t="s">
        <v>3554</v>
      </c>
      <c r="AF195" s="20">
        <v>0</v>
      </c>
      <c r="AG195" s="20">
        <v>0</v>
      </c>
      <c r="AH195" s="20">
        <v>0</v>
      </c>
      <c r="AI195" s="20">
        <v>0</v>
      </c>
      <c r="AJ195" s="20">
        <v>0</v>
      </c>
      <c r="AK195" s="20" t="s">
        <v>576</v>
      </c>
      <c r="AL195" s="20">
        <v>0</v>
      </c>
      <c r="AM195" s="20">
        <v>0</v>
      </c>
      <c r="AN195" s="20">
        <v>0</v>
      </c>
      <c r="AO195" s="20">
        <v>0</v>
      </c>
      <c r="AP195" s="20">
        <v>0</v>
      </c>
      <c r="AR195" s="20">
        <v>0</v>
      </c>
      <c r="AS195" s="20">
        <v>0</v>
      </c>
      <c r="AT195" s="20">
        <v>1565422.93</v>
      </c>
      <c r="AU195" s="20" t="s">
        <v>13</v>
      </c>
      <c r="AV195" s="20" t="s">
        <v>24</v>
      </c>
      <c r="AW195" s="111" t="s">
        <v>79</v>
      </c>
      <c r="AX195" s="20" t="s">
        <v>208</v>
      </c>
      <c r="AY195" s="19" t="s">
        <v>209</v>
      </c>
      <c r="AZ195" s="19">
        <v>0</v>
      </c>
      <c r="BA195" s="19">
        <v>127246.94</v>
      </c>
      <c r="BB195" s="19">
        <v>1140</v>
      </c>
      <c r="BC195" s="66" t="s">
        <v>2910</v>
      </c>
      <c r="BD195" s="19" t="s">
        <v>65</v>
      </c>
      <c r="BE195" s="19" t="s">
        <v>210</v>
      </c>
      <c r="BF195" s="19" t="s">
        <v>210</v>
      </c>
      <c r="BG195" s="19">
        <v>9</v>
      </c>
      <c r="BH195" s="19">
        <v>11452.22</v>
      </c>
      <c r="BI195" s="19">
        <v>9</v>
      </c>
      <c r="BJ195" s="19">
        <v>11452.22</v>
      </c>
      <c r="BK195" s="19">
        <v>0</v>
      </c>
      <c r="BL195" s="19">
        <v>0</v>
      </c>
      <c r="BM195" s="19">
        <v>0</v>
      </c>
      <c r="BN195" s="19">
        <v>672163815649</v>
      </c>
      <c r="BO195" s="66">
        <v>46249</v>
      </c>
      <c r="BP195" s="19">
        <v>0</v>
      </c>
    </row>
    <row r="196" spans="1:68">
      <c r="A196" s="65"/>
      <c r="B196" s="20" t="s">
        <v>2165</v>
      </c>
      <c r="C196" s="111" t="s">
        <v>2910</v>
      </c>
      <c r="D196" s="20" t="s">
        <v>3555</v>
      </c>
      <c r="E196" s="20" t="s">
        <v>18</v>
      </c>
      <c r="F196" s="20" t="s">
        <v>19</v>
      </c>
      <c r="H196" s="20" t="s">
        <v>3556</v>
      </c>
      <c r="I196" s="20">
        <v>1454</v>
      </c>
      <c r="J196" s="20">
        <v>1454</v>
      </c>
      <c r="K196" s="20" t="s">
        <v>11</v>
      </c>
      <c r="L196" s="20">
        <v>1454</v>
      </c>
      <c r="M196" s="20">
        <v>0</v>
      </c>
      <c r="N196" s="20">
        <v>1454</v>
      </c>
      <c r="O196" s="20" t="s">
        <v>2156</v>
      </c>
      <c r="P196" s="20" t="s">
        <v>87</v>
      </c>
      <c r="Q196" s="20" t="s">
        <v>87</v>
      </c>
      <c r="R196" s="20" t="s">
        <v>2916</v>
      </c>
      <c r="S196" s="111" t="s">
        <v>2910</v>
      </c>
      <c r="T196" s="20" t="s">
        <v>206</v>
      </c>
      <c r="U196" s="20" t="s">
        <v>207</v>
      </c>
      <c r="V196" s="20" t="s">
        <v>2915</v>
      </c>
      <c r="W196" s="20">
        <v>144.32</v>
      </c>
      <c r="X196" s="20">
        <v>144.32</v>
      </c>
      <c r="Y196" s="20" t="s">
        <v>2916</v>
      </c>
      <c r="Z196" s="111" t="s">
        <v>2910</v>
      </c>
      <c r="AB196" s="20" t="s">
        <v>212</v>
      </c>
      <c r="AD196" s="20" t="s">
        <v>213</v>
      </c>
      <c r="AE196" s="20" t="s">
        <v>212</v>
      </c>
      <c r="AF196" s="20">
        <v>0</v>
      </c>
      <c r="AG196" s="20">
        <v>0</v>
      </c>
      <c r="AH196" s="20">
        <v>0</v>
      </c>
      <c r="AI196" s="20">
        <v>0</v>
      </c>
      <c r="AJ196" s="20">
        <v>0</v>
      </c>
      <c r="AK196" s="20" t="s">
        <v>576</v>
      </c>
      <c r="AL196" s="20">
        <v>0</v>
      </c>
      <c r="AM196" s="20">
        <v>0</v>
      </c>
      <c r="AN196" s="20">
        <v>0</v>
      </c>
      <c r="AO196" s="20">
        <v>0</v>
      </c>
      <c r="AP196" s="20">
        <v>0</v>
      </c>
      <c r="AR196" s="20">
        <v>0</v>
      </c>
      <c r="AS196" s="20">
        <v>0</v>
      </c>
      <c r="AT196" s="20">
        <v>1428053</v>
      </c>
      <c r="AU196" s="20" t="s">
        <v>13</v>
      </c>
      <c r="AV196" s="20" t="s">
        <v>62</v>
      </c>
      <c r="AW196" s="111" t="s">
        <v>63</v>
      </c>
      <c r="AX196" s="20" t="s">
        <v>208</v>
      </c>
      <c r="AY196" s="19" t="s">
        <v>209</v>
      </c>
      <c r="AZ196" s="19">
        <v>0</v>
      </c>
      <c r="BA196" s="19">
        <v>209841.28</v>
      </c>
      <c r="BB196" s="19">
        <v>1138</v>
      </c>
      <c r="BC196" s="66" t="s">
        <v>2910</v>
      </c>
      <c r="BD196" s="19" t="s">
        <v>65</v>
      </c>
      <c r="BE196" s="19" t="s">
        <v>210</v>
      </c>
      <c r="BF196" s="19" t="s">
        <v>210</v>
      </c>
      <c r="BG196" s="19">
        <v>9</v>
      </c>
      <c r="BH196" s="19">
        <v>18885.72</v>
      </c>
      <c r="BI196" s="19">
        <v>9</v>
      </c>
      <c r="BJ196" s="19">
        <v>18885.72</v>
      </c>
      <c r="BK196" s="19">
        <v>0</v>
      </c>
      <c r="BL196" s="19">
        <v>0</v>
      </c>
      <c r="BM196" s="19">
        <v>1428053</v>
      </c>
      <c r="BN196" s="19">
        <v>662163795070</v>
      </c>
      <c r="BO196" s="66">
        <v>46249</v>
      </c>
      <c r="BP196" s="19">
        <v>0</v>
      </c>
    </row>
    <row r="197" spans="1:68">
      <c r="A197" s="65"/>
      <c r="B197" s="20" t="s">
        <v>2165</v>
      </c>
      <c r="C197" s="111" t="s">
        <v>2910</v>
      </c>
      <c r="D197" s="20" t="s">
        <v>3555</v>
      </c>
      <c r="E197" s="20" t="s">
        <v>18</v>
      </c>
      <c r="F197" s="20" t="s">
        <v>19</v>
      </c>
      <c r="H197" s="20" t="s">
        <v>3556</v>
      </c>
      <c r="I197" s="20">
        <v>6222</v>
      </c>
      <c r="J197" s="20">
        <v>6222</v>
      </c>
      <c r="K197" s="20" t="s">
        <v>11</v>
      </c>
      <c r="L197" s="20">
        <v>6222</v>
      </c>
      <c r="M197" s="20">
        <v>0</v>
      </c>
      <c r="N197" s="20">
        <v>6222</v>
      </c>
      <c r="O197" s="20" t="s">
        <v>2156</v>
      </c>
      <c r="P197" s="20" t="s">
        <v>87</v>
      </c>
      <c r="Q197" s="20" t="s">
        <v>87</v>
      </c>
      <c r="R197" s="20" t="s">
        <v>2916</v>
      </c>
      <c r="S197" s="111" t="s">
        <v>2910</v>
      </c>
      <c r="T197" s="20" t="s">
        <v>206</v>
      </c>
      <c r="U197" s="20" t="s">
        <v>207</v>
      </c>
      <c r="V197" s="20" t="s">
        <v>2915</v>
      </c>
      <c r="W197" s="20">
        <v>142.32</v>
      </c>
      <c r="X197" s="20">
        <v>142.32</v>
      </c>
      <c r="Y197" s="20" t="s">
        <v>2916</v>
      </c>
      <c r="Z197" s="111" t="s">
        <v>2910</v>
      </c>
      <c r="AB197" s="20" t="s">
        <v>212</v>
      </c>
      <c r="AD197" s="20" t="s">
        <v>213</v>
      </c>
      <c r="AE197" s="20" t="s">
        <v>212</v>
      </c>
      <c r="AF197" s="20">
        <v>0</v>
      </c>
      <c r="AG197" s="20">
        <v>0</v>
      </c>
      <c r="AH197" s="20">
        <v>0</v>
      </c>
      <c r="AI197" s="20">
        <v>0</v>
      </c>
      <c r="AJ197" s="20">
        <v>0</v>
      </c>
      <c r="AK197" s="20" t="s">
        <v>576</v>
      </c>
      <c r="AL197" s="20">
        <v>0</v>
      </c>
      <c r="AM197" s="20">
        <v>0</v>
      </c>
      <c r="AN197" s="20">
        <v>0</v>
      </c>
      <c r="AO197" s="20">
        <v>0</v>
      </c>
      <c r="AP197" s="20">
        <v>0</v>
      </c>
      <c r="AR197" s="20">
        <v>0</v>
      </c>
      <c r="AS197" s="20">
        <v>0</v>
      </c>
      <c r="AT197" s="20">
        <v>1428053</v>
      </c>
      <c r="AU197" s="20" t="s">
        <v>13</v>
      </c>
      <c r="AV197" s="20" t="s">
        <v>62</v>
      </c>
      <c r="AW197" s="111" t="s">
        <v>63</v>
      </c>
      <c r="AX197" s="20" t="s">
        <v>208</v>
      </c>
      <c r="AY197" s="19" t="s">
        <v>209</v>
      </c>
      <c r="AZ197" s="19">
        <v>0</v>
      </c>
      <c r="BA197" s="19">
        <v>885515.04</v>
      </c>
      <c r="BB197" s="19">
        <v>1138</v>
      </c>
      <c r="BC197" s="66" t="s">
        <v>2910</v>
      </c>
      <c r="BD197" s="19" t="s">
        <v>65</v>
      </c>
      <c r="BE197" s="19" t="s">
        <v>210</v>
      </c>
      <c r="BF197" s="19" t="s">
        <v>210</v>
      </c>
      <c r="BG197" s="19">
        <v>9</v>
      </c>
      <c r="BH197" s="19">
        <v>79696.350000000006</v>
      </c>
      <c r="BI197" s="19">
        <v>9</v>
      </c>
      <c r="BJ197" s="19">
        <v>79696.350000000006</v>
      </c>
      <c r="BK197" s="19">
        <v>0</v>
      </c>
      <c r="BL197" s="19">
        <v>0</v>
      </c>
      <c r="BM197" s="19">
        <v>0</v>
      </c>
      <c r="BN197" s="19">
        <v>662163795070</v>
      </c>
      <c r="BO197" s="66">
        <v>46249</v>
      </c>
      <c r="BP197" s="19">
        <v>0</v>
      </c>
    </row>
    <row r="198" spans="1:68">
      <c r="A198" s="65"/>
      <c r="B198" s="20" t="s">
        <v>2165</v>
      </c>
      <c r="C198" s="111" t="s">
        <v>2910</v>
      </c>
      <c r="D198" s="20" t="s">
        <v>3555</v>
      </c>
      <c r="E198" s="20" t="s">
        <v>18</v>
      </c>
      <c r="F198" s="20" t="s">
        <v>19</v>
      </c>
      <c r="H198" s="20" t="s">
        <v>3556</v>
      </c>
      <c r="I198" s="20">
        <v>268</v>
      </c>
      <c r="J198" s="20">
        <v>268</v>
      </c>
      <c r="K198" s="20" t="s">
        <v>11</v>
      </c>
      <c r="L198" s="20">
        <v>268</v>
      </c>
      <c r="M198" s="20">
        <v>0</v>
      </c>
      <c r="N198" s="20">
        <v>268</v>
      </c>
      <c r="O198" s="20" t="s">
        <v>2156</v>
      </c>
      <c r="P198" s="20" t="s">
        <v>87</v>
      </c>
      <c r="Q198" s="20" t="s">
        <v>87</v>
      </c>
      <c r="R198" s="20" t="s">
        <v>2916</v>
      </c>
      <c r="S198" s="111" t="s">
        <v>2910</v>
      </c>
      <c r="T198" s="20" t="s">
        <v>206</v>
      </c>
      <c r="U198" s="20" t="s">
        <v>207</v>
      </c>
      <c r="V198" s="20" t="s">
        <v>2915</v>
      </c>
      <c r="W198" s="20">
        <v>145.32</v>
      </c>
      <c r="X198" s="20">
        <v>145.32</v>
      </c>
      <c r="Y198" s="20" t="s">
        <v>2916</v>
      </c>
      <c r="Z198" s="111" t="s">
        <v>2910</v>
      </c>
      <c r="AB198" s="20" t="s">
        <v>212</v>
      </c>
      <c r="AD198" s="20" t="s">
        <v>213</v>
      </c>
      <c r="AE198" s="20" t="s">
        <v>212</v>
      </c>
      <c r="AF198" s="20">
        <v>0</v>
      </c>
      <c r="AG198" s="20">
        <v>0</v>
      </c>
      <c r="AH198" s="20">
        <v>0</v>
      </c>
      <c r="AI198" s="20">
        <v>0</v>
      </c>
      <c r="AJ198" s="20">
        <v>0</v>
      </c>
      <c r="AK198" s="20" t="s">
        <v>576</v>
      </c>
      <c r="AL198" s="20">
        <v>0</v>
      </c>
      <c r="AM198" s="20">
        <v>0</v>
      </c>
      <c r="AN198" s="20">
        <v>0</v>
      </c>
      <c r="AO198" s="20">
        <v>0</v>
      </c>
      <c r="AP198" s="20">
        <v>0</v>
      </c>
      <c r="AR198" s="20">
        <v>0</v>
      </c>
      <c r="AS198" s="20">
        <v>0</v>
      </c>
      <c r="AT198" s="20">
        <v>1428053</v>
      </c>
      <c r="AU198" s="20" t="s">
        <v>13</v>
      </c>
      <c r="AV198" s="20" t="s">
        <v>62</v>
      </c>
      <c r="AW198" s="111" t="s">
        <v>63</v>
      </c>
      <c r="AX198" s="20" t="s">
        <v>208</v>
      </c>
      <c r="AY198" s="19" t="s">
        <v>209</v>
      </c>
      <c r="AZ198" s="19">
        <v>0</v>
      </c>
      <c r="BA198" s="19">
        <v>38945.760000000002</v>
      </c>
      <c r="BB198" s="19">
        <v>1138</v>
      </c>
      <c r="BC198" s="66" t="s">
        <v>2910</v>
      </c>
      <c r="BD198" s="19" t="s">
        <v>65</v>
      </c>
      <c r="BE198" s="19" t="s">
        <v>210</v>
      </c>
      <c r="BF198" s="19" t="s">
        <v>210</v>
      </c>
      <c r="BG198" s="19">
        <v>9</v>
      </c>
      <c r="BH198" s="19">
        <v>3505.12</v>
      </c>
      <c r="BI198" s="19">
        <v>9</v>
      </c>
      <c r="BJ198" s="19">
        <v>3505.12</v>
      </c>
      <c r="BK198" s="19">
        <v>0</v>
      </c>
      <c r="BL198" s="19">
        <v>0</v>
      </c>
      <c r="BM198" s="19">
        <v>0</v>
      </c>
      <c r="BN198" s="19">
        <v>662163795070</v>
      </c>
      <c r="BO198" s="66">
        <v>46249</v>
      </c>
      <c r="BP198" s="19">
        <v>0</v>
      </c>
    </row>
    <row r="199" spans="1:68">
      <c r="A199" s="65"/>
      <c r="B199" s="20" t="s">
        <v>2165</v>
      </c>
      <c r="C199" s="111" t="s">
        <v>2910</v>
      </c>
      <c r="D199" s="20" t="s">
        <v>3555</v>
      </c>
      <c r="E199" s="20" t="s">
        <v>20</v>
      </c>
      <c r="F199" s="20" t="s">
        <v>21</v>
      </c>
      <c r="H199" s="20" t="s">
        <v>3556</v>
      </c>
      <c r="I199" s="20">
        <v>526</v>
      </c>
      <c r="J199" s="20">
        <v>526</v>
      </c>
      <c r="K199" s="20" t="s">
        <v>11</v>
      </c>
      <c r="L199" s="20">
        <v>526</v>
      </c>
      <c r="M199" s="20">
        <v>0</v>
      </c>
      <c r="N199" s="20">
        <v>526</v>
      </c>
      <c r="O199" s="20" t="s">
        <v>2156</v>
      </c>
      <c r="P199" s="20" t="s">
        <v>87</v>
      </c>
      <c r="Q199" s="20" t="s">
        <v>87</v>
      </c>
      <c r="R199" s="20" t="s">
        <v>2916</v>
      </c>
      <c r="S199" s="111" t="s">
        <v>2910</v>
      </c>
      <c r="T199" s="20" t="s">
        <v>206</v>
      </c>
      <c r="U199" s="20" t="s">
        <v>207</v>
      </c>
      <c r="V199" s="20" t="s">
        <v>2915</v>
      </c>
      <c r="W199" s="20">
        <v>144.32</v>
      </c>
      <c r="X199" s="20">
        <v>144.32</v>
      </c>
      <c r="Y199" s="20" t="s">
        <v>2916</v>
      </c>
      <c r="Z199" s="111" t="s">
        <v>2910</v>
      </c>
      <c r="AB199" s="20" t="s">
        <v>212</v>
      </c>
      <c r="AD199" s="20" t="s">
        <v>213</v>
      </c>
      <c r="AE199" s="20" t="s">
        <v>212</v>
      </c>
      <c r="AF199" s="20">
        <v>0</v>
      </c>
      <c r="AG199" s="20">
        <v>0</v>
      </c>
      <c r="AH199" s="20">
        <v>0</v>
      </c>
      <c r="AI199" s="20">
        <v>0</v>
      </c>
      <c r="AJ199" s="20">
        <v>0</v>
      </c>
      <c r="AK199" s="20" t="s">
        <v>576</v>
      </c>
      <c r="AL199" s="20">
        <v>0</v>
      </c>
      <c r="AM199" s="20">
        <v>0</v>
      </c>
      <c r="AN199" s="20">
        <v>0</v>
      </c>
      <c r="AO199" s="20">
        <v>0</v>
      </c>
      <c r="AP199" s="20">
        <v>0</v>
      </c>
      <c r="AR199" s="20">
        <v>0</v>
      </c>
      <c r="AS199" s="20">
        <v>0</v>
      </c>
      <c r="AT199" s="20">
        <v>1428053</v>
      </c>
      <c r="AU199" s="20" t="s">
        <v>13</v>
      </c>
      <c r="AV199" s="20" t="s">
        <v>62</v>
      </c>
      <c r="AW199" s="111" t="s">
        <v>76</v>
      </c>
      <c r="AX199" s="20" t="s">
        <v>208</v>
      </c>
      <c r="AY199" s="19" t="s">
        <v>209</v>
      </c>
      <c r="AZ199" s="19">
        <v>0</v>
      </c>
      <c r="BA199" s="19">
        <v>75912.320000000007</v>
      </c>
      <c r="BB199" s="19">
        <v>1138</v>
      </c>
      <c r="BC199" s="66" t="s">
        <v>2910</v>
      </c>
      <c r="BD199" s="19" t="s">
        <v>65</v>
      </c>
      <c r="BE199" s="19" t="s">
        <v>210</v>
      </c>
      <c r="BF199" s="19" t="s">
        <v>210</v>
      </c>
      <c r="BG199" s="19">
        <v>9</v>
      </c>
      <c r="BH199" s="19">
        <v>6832.11</v>
      </c>
      <c r="BI199" s="19">
        <v>9</v>
      </c>
      <c r="BJ199" s="19">
        <v>6832.11</v>
      </c>
      <c r="BK199" s="19">
        <v>0</v>
      </c>
      <c r="BL199" s="19">
        <v>0</v>
      </c>
      <c r="BM199" s="19">
        <v>0</v>
      </c>
      <c r="BN199" s="19">
        <v>662163795070</v>
      </c>
      <c r="BO199" s="66">
        <v>46249</v>
      </c>
      <c r="BP199" s="19">
        <v>0</v>
      </c>
    </row>
    <row r="200" spans="1:68">
      <c r="A200" s="65"/>
      <c r="B200" s="20" t="s">
        <v>2165</v>
      </c>
      <c r="C200" s="111" t="s">
        <v>2910</v>
      </c>
      <c r="D200" s="20" t="s">
        <v>3557</v>
      </c>
      <c r="E200" s="20" t="s">
        <v>18</v>
      </c>
      <c r="F200" s="20" t="s">
        <v>19</v>
      </c>
      <c r="H200" s="20" t="s">
        <v>3558</v>
      </c>
      <c r="I200" s="20">
        <v>246</v>
      </c>
      <c r="J200" s="20">
        <v>246</v>
      </c>
      <c r="K200" s="20" t="s">
        <v>11</v>
      </c>
      <c r="L200" s="20">
        <v>246</v>
      </c>
      <c r="M200" s="20">
        <v>0</v>
      </c>
      <c r="N200" s="20">
        <v>246</v>
      </c>
      <c r="O200" s="20" t="s">
        <v>2154</v>
      </c>
      <c r="P200" s="20" t="s">
        <v>87</v>
      </c>
      <c r="Q200" s="20" t="s">
        <v>87</v>
      </c>
      <c r="R200" s="20" t="s">
        <v>2918</v>
      </c>
      <c r="S200" s="111" t="s">
        <v>2919</v>
      </c>
      <c r="T200" s="20" t="s">
        <v>206</v>
      </c>
      <c r="U200" s="20" t="s">
        <v>207</v>
      </c>
      <c r="V200" s="20" t="s">
        <v>2917</v>
      </c>
      <c r="W200" s="20">
        <v>144.32</v>
      </c>
      <c r="X200" s="20">
        <v>144.32000040872001</v>
      </c>
      <c r="Y200" s="20" t="s">
        <v>2918</v>
      </c>
      <c r="Z200" s="111" t="s">
        <v>2919</v>
      </c>
      <c r="AB200" s="20" t="s">
        <v>212</v>
      </c>
      <c r="AD200" s="20" t="s">
        <v>2125</v>
      </c>
      <c r="AE200" s="20" t="s">
        <v>3559</v>
      </c>
      <c r="AF200" s="20">
        <v>0</v>
      </c>
      <c r="AG200" s="20">
        <v>0</v>
      </c>
      <c r="AH200" s="20">
        <v>0</v>
      </c>
      <c r="AI200" s="20">
        <v>0</v>
      </c>
      <c r="AJ200" s="20">
        <v>0</v>
      </c>
      <c r="AK200" s="20" t="s">
        <v>576</v>
      </c>
      <c r="AL200" s="20">
        <v>0</v>
      </c>
      <c r="AM200" s="20">
        <v>0</v>
      </c>
      <c r="AN200" s="20">
        <v>0</v>
      </c>
      <c r="AO200" s="20">
        <v>0</v>
      </c>
      <c r="AP200" s="20">
        <v>0</v>
      </c>
      <c r="AR200" s="20">
        <v>0</v>
      </c>
      <c r="AS200" s="20">
        <v>0</v>
      </c>
      <c r="AT200" s="20">
        <v>2118615.73</v>
      </c>
      <c r="AU200" s="20" t="s">
        <v>13</v>
      </c>
      <c r="AV200" s="20" t="s">
        <v>62</v>
      </c>
      <c r="AW200" s="111" t="s">
        <v>63</v>
      </c>
      <c r="AX200" s="20" t="s">
        <v>208</v>
      </c>
      <c r="AY200" s="19" t="s">
        <v>209</v>
      </c>
      <c r="AZ200" s="19">
        <v>0</v>
      </c>
      <c r="BA200" s="19">
        <v>35502.720000000001</v>
      </c>
      <c r="BB200" s="19">
        <v>1143</v>
      </c>
      <c r="BC200" s="66" t="s">
        <v>2919</v>
      </c>
      <c r="BD200" s="19" t="s">
        <v>65</v>
      </c>
      <c r="BE200" s="19" t="s">
        <v>210</v>
      </c>
      <c r="BF200" s="19" t="s">
        <v>210</v>
      </c>
      <c r="BG200" s="19">
        <v>9</v>
      </c>
      <c r="BH200" s="19">
        <v>3195.24</v>
      </c>
      <c r="BI200" s="19">
        <v>9</v>
      </c>
      <c r="BJ200" s="19">
        <v>3195.24</v>
      </c>
      <c r="BK200" s="19">
        <v>0</v>
      </c>
      <c r="BL200" s="19">
        <v>0</v>
      </c>
      <c r="BM200" s="19">
        <v>2118615.73</v>
      </c>
      <c r="BN200" s="19">
        <v>662164111754</v>
      </c>
      <c r="BO200" s="66">
        <v>46250</v>
      </c>
      <c r="BP200" s="19">
        <v>0</v>
      </c>
    </row>
    <row r="201" spans="1:68">
      <c r="A201" s="65"/>
      <c r="B201" s="20" t="s">
        <v>2165</v>
      </c>
      <c r="C201" s="111" t="s">
        <v>2910</v>
      </c>
      <c r="D201" s="20" t="s">
        <v>3557</v>
      </c>
      <c r="E201" s="20" t="s">
        <v>18</v>
      </c>
      <c r="F201" s="20" t="s">
        <v>19</v>
      </c>
      <c r="H201" s="20" t="s">
        <v>3558</v>
      </c>
      <c r="I201" s="20">
        <v>2120</v>
      </c>
      <c r="J201" s="20">
        <v>2120</v>
      </c>
      <c r="K201" s="20" t="s">
        <v>11</v>
      </c>
      <c r="L201" s="20">
        <v>2120</v>
      </c>
      <c r="M201" s="20">
        <v>0</v>
      </c>
      <c r="N201" s="20">
        <v>2120</v>
      </c>
      <c r="O201" s="20" t="s">
        <v>2154</v>
      </c>
      <c r="P201" s="20" t="s">
        <v>87</v>
      </c>
      <c r="Q201" s="20" t="s">
        <v>87</v>
      </c>
      <c r="R201" s="20" t="s">
        <v>2918</v>
      </c>
      <c r="S201" s="111" t="s">
        <v>2919</v>
      </c>
      <c r="T201" s="20" t="s">
        <v>206</v>
      </c>
      <c r="U201" s="20" t="s">
        <v>207</v>
      </c>
      <c r="V201" s="20" t="s">
        <v>2917</v>
      </c>
      <c r="W201" s="20">
        <v>142.32</v>
      </c>
      <c r="X201" s="20">
        <v>142.32000040305601</v>
      </c>
      <c r="Y201" s="20" t="s">
        <v>2918</v>
      </c>
      <c r="Z201" s="111" t="s">
        <v>2919</v>
      </c>
      <c r="AB201" s="20" t="s">
        <v>212</v>
      </c>
      <c r="AD201" s="20" t="s">
        <v>2125</v>
      </c>
      <c r="AE201" s="20" t="s">
        <v>3559</v>
      </c>
      <c r="AF201" s="20">
        <v>0</v>
      </c>
      <c r="AG201" s="20">
        <v>0</v>
      </c>
      <c r="AH201" s="20">
        <v>0</v>
      </c>
      <c r="AI201" s="20">
        <v>0</v>
      </c>
      <c r="AJ201" s="20">
        <v>0</v>
      </c>
      <c r="AK201" s="20" t="s">
        <v>576</v>
      </c>
      <c r="AL201" s="20">
        <v>0</v>
      </c>
      <c r="AM201" s="20">
        <v>0</v>
      </c>
      <c r="AN201" s="20">
        <v>0</v>
      </c>
      <c r="AO201" s="20">
        <v>0</v>
      </c>
      <c r="AP201" s="20">
        <v>0</v>
      </c>
      <c r="AR201" s="20">
        <v>0</v>
      </c>
      <c r="AS201" s="20">
        <v>0</v>
      </c>
      <c r="AT201" s="20">
        <v>2118615.73</v>
      </c>
      <c r="AU201" s="20" t="s">
        <v>13</v>
      </c>
      <c r="AV201" s="20" t="s">
        <v>62</v>
      </c>
      <c r="AW201" s="111" t="s">
        <v>63</v>
      </c>
      <c r="AX201" s="20" t="s">
        <v>208</v>
      </c>
      <c r="AY201" s="19" t="s">
        <v>209</v>
      </c>
      <c r="AZ201" s="19">
        <v>0</v>
      </c>
      <c r="BA201" s="19">
        <v>301718.40000000002</v>
      </c>
      <c r="BB201" s="19">
        <v>1143</v>
      </c>
      <c r="BC201" s="66" t="s">
        <v>2919</v>
      </c>
      <c r="BD201" s="19" t="s">
        <v>65</v>
      </c>
      <c r="BE201" s="19" t="s">
        <v>210</v>
      </c>
      <c r="BF201" s="19" t="s">
        <v>210</v>
      </c>
      <c r="BG201" s="19">
        <v>9</v>
      </c>
      <c r="BH201" s="19">
        <v>27154.66</v>
      </c>
      <c r="BI201" s="19">
        <v>9</v>
      </c>
      <c r="BJ201" s="19">
        <v>27154.66</v>
      </c>
      <c r="BK201" s="19">
        <v>0</v>
      </c>
      <c r="BL201" s="19">
        <v>0</v>
      </c>
      <c r="BM201" s="19">
        <v>0</v>
      </c>
      <c r="BN201" s="19">
        <v>662164111754</v>
      </c>
      <c r="BO201" s="66">
        <v>46250</v>
      </c>
      <c r="BP201" s="19">
        <v>0</v>
      </c>
    </row>
    <row r="202" spans="1:68">
      <c r="A202" s="65"/>
      <c r="B202" s="20" t="s">
        <v>2165</v>
      </c>
      <c r="C202" s="111" t="s">
        <v>2910</v>
      </c>
      <c r="D202" s="20" t="s">
        <v>3557</v>
      </c>
      <c r="E202" s="20" t="s">
        <v>20</v>
      </c>
      <c r="F202" s="20" t="s">
        <v>21</v>
      </c>
      <c r="H202" s="20" t="s">
        <v>3558</v>
      </c>
      <c r="I202" s="20">
        <v>1847</v>
      </c>
      <c r="J202" s="20">
        <v>1847</v>
      </c>
      <c r="K202" s="20" t="s">
        <v>11</v>
      </c>
      <c r="L202" s="20">
        <v>1847</v>
      </c>
      <c r="M202" s="20">
        <v>0</v>
      </c>
      <c r="N202" s="20">
        <v>1847</v>
      </c>
      <c r="O202" s="20" t="s">
        <v>2154</v>
      </c>
      <c r="P202" s="20" t="s">
        <v>87</v>
      </c>
      <c r="Q202" s="20" t="s">
        <v>87</v>
      </c>
      <c r="R202" s="20" t="s">
        <v>2918</v>
      </c>
      <c r="S202" s="111" t="s">
        <v>2919</v>
      </c>
      <c r="T202" s="20" t="s">
        <v>206</v>
      </c>
      <c r="U202" s="20" t="s">
        <v>207</v>
      </c>
      <c r="V202" s="20" t="s">
        <v>2917</v>
      </c>
      <c r="W202" s="20">
        <v>149.32</v>
      </c>
      <c r="X202" s="20">
        <v>149.32000042288001</v>
      </c>
      <c r="Y202" s="20" t="s">
        <v>2918</v>
      </c>
      <c r="Z202" s="111" t="s">
        <v>2919</v>
      </c>
      <c r="AB202" s="20" t="s">
        <v>212</v>
      </c>
      <c r="AD202" s="20" t="s">
        <v>2125</v>
      </c>
      <c r="AE202" s="20" t="s">
        <v>3559</v>
      </c>
      <c r="AF202" s="20">
        <v>0</v>
      </c>
      <c r="AG202" s="20">
        <v>0</v>
      </c>
      <c r="AH202" s="20">
        <v>0</v>
      </c>
      <c r="AI202" s="20">
        <v>0</v>
      </c>
      <c r="AJ202" s="20">
        <v>0</v>
      </c>
      <c r="AK202" s="20" t="s">
        <v>576</v>
      </c>
      <c r="AL202" s="20">
        <v>0</v>
      </c>
      <c r="AM202" s="20">
        <v>0</v>
      </c>
      <c r="AN202" s="20">
        <v>0</v>
      </c>
      <c r="AO202" s="20">
        <v>0</v>
      </c>
      <c r="AP202" s="20">
        <v>0</v>
      </c>
      <c r="AR202" s="20">
        <v>0</v>
      </c>
      <c r="AS202" s="20">
        <v>0</v>
      </c>
      <c r="AT202" s="20">
        <v>2118615.73</v>
      </c>
      <c r="AU202" s="20" t="s">
        <v>13</v>
      </c>
      <c r="AV202" s="20" t="s">
        <v>62</v>
      </c>
      <c r="AW202" s="111" t="s">
        <v>76</v>
      </c>
      <c r="AX202" s="20" t="s">
        <v>208</v>
      </c>
      <c r="AY202" s="19" t="s">
        <v>209</v>
      </c>
      <c r="AZ202" s="19">
        <v>0</v>
      </c>
      <c r="BA202" s="19">
        <v>275794.03999999998</v>
      </c>
      <c r="BB202" s="19">
        <v>1143</v>
      </c>
      <c r="BC202" s="66" t="s">
        <v>2919</v>
      </c>
      <c r="BD202" s="19" t="s">
        <v>65</v>
      </c>
      <c r="BE202" s="19" t="s">
        <v>210</v>
      </c>
      <c r="BF202" s="19" t="s">
        <v>210</v>
      </c>
      <c r="BG202" s="19">
        <v>9</v>
      </c>
      <c r="BH202" s="19">
        <v>24821.46</v>
      </c>
      <c r="BI202" s="19">
        <v>9</v>
      </c>
      <c r="BJ202" s="19">
        <v>24821.46</v>
      </c>
      <c r="BK202" s="19">
        <v>0</v>
      </c>
      <c r="BL202" s="19">
        <v>0</v>
      </c>
      <c r="BM202" s="19">
        <v>0</v>
      </c>
      <c r="BN202" s="19">
        <v>662164111754</v>
      </c>
      <c r="BO202" s="66">
        <v>46250</v>
      </c>
      <c r="BP202" s="19">
        <v>0</v>
      </c>
    </row>
    <row r="203" spans="1:68">
      <c r="A203" s="65"/>
      <c r="B203" s="20" t="s">
        <v>2165</v>
      </c>
      <c r="C203" s="111" t="s">
        <v>2910</v>
      </c>
      <c r="D203" s="20" t="s">
        <v>3557</v>
      </c>
      <c r="E203" s="20" t="s">
        <v>160</v>
      </c>
      <c r="F203" s="20" t="s">
        <v>17</v>
      </c>
      <c r="H203" s="20" t="s">
        <v>3558</v>
      </c>
      <c r="I203" s="20">
        <v>4681</v>
      </c>
      <c r="J203" s="20">
        <v>4681</v>
      </c>
      <c r="K203" s="20" t="s">
        <v>11</v>
      </c>
      <c r="L203" s="20">
        <v>4681</v>
      </c>
      <c r="M203" s="20">
        <v>0</v>
      </c>
      <c r="N203" s="20">
        <v>4681</v>
      </c>
      <c r="O203" s="20" t="s">
        <v>2154</v>
      </c>
      <c r="P203" s="20" t="s">
        <v>87</v>
      </c>
      <c r="Q203" s="20" t="s">
        <v>87</v>
      </c>
      <c r="R203" s="20" t="s">
        <v>2918</v>
      </c>
      <c r="S203" s="111" t="s">
        <v>2919</v>
      </c>
      <c r="T203" s="20" t="s">
        <v>206</v>
      </c>
      <c r="U203" s="20" t="s">
        <v>207</v>
      </c>
      <c r="V203" s="20" t="s">
        <v>2917</v>
      </c>
      <c r="W203" s="20">
        <v>176.86</v>
      </c>
      <c r="X203" s="20">
        <v>176.86000050087401</v>
      </c>
      <c r="Y203" s="20" t="s">
        <v>2918</v>
      </c>
      <c r="Z203" s="111" t="s">
        <v>2919</v>
      </c>
      <c r="AB203" s="20" t="s">
        <v>212</v>
      </c>
      <c r="AD203" s="20" t="s">
        <v>2125</v>
      </c>
      <c r="AE203" s="20" t="s">
        <v>3559</v>
      </c>
      <c r="AF203" s="20">
        <v>0</v>
      </c>
      <c r="AG203" s="20">
        <v>0</v>
      </c>
      <c r="AH203" s="20">
        <v>0</v>
      </c>
      <c r="AI203" s="20">
        <v>0</v>
      </c>
      <c r="AJ203" s="20">
        <v>0</v>
      </c>
      <c r="AK203" s="20" t="s">
        <v>576</v>
      </c>
      <c r="AL203" s="20">
        <v>0</v>
      </c>
      <c r="AM203" s="20">
        <v>0</v>
      </c>
      <c r="AN203" s="20">
        <v>0</v>
      </c>
      <c r="AO203" s="20">
        <v>0</v>
      </c>
      <c r="AP203" s="20">
        <v>0</v>
      </c>
      <c r="AR203" s="20">
        <v>0</v>
      </c>
      <c r="AS203" s="20">
        <v>0</v>
      </c>
      <c r="AT203" s="20">
        <v>2118615.73</v>
      </c>
      <c r="AU203" s="20" t="s">
        <v>13</v>
      </c>
      <c r="AV203" s="20" t="s">
        <v>80</v>
      </c>
      <c r="AW203" s="111" t="s">
        <v>81</v>
      </c>
      <c r="AX203" s="20" t="s">
        <v>208</v>
      </c>
      <c r="AY203" s="19" t="s">
        <v>209</v>
      </c>
      <c r="AZ203" s="19">
        <v>0</v>
      </c>
      <c r="BA203" s="19">
        <v>827881.66</v>
      </c>
      <c r="BB203" s="19">
        <v>1143</v>
      </c>
      <c r="BC203" s="66" t="s">
        <v>2919</v>
      </c>
      <c r="BD203" s="19" t="s">
        <v>65</v>
      </c>
      <c r="BE203" s="19" t="s">
        <v>210</v>
      </c>
      <c r="BF203" s="19" t="s">
        <v>210</v>
      </c>
      <c r="BG203" s="19">
        <v>9</v>
      </c>
      <c r="BH203" s="19">
        <v>74509.350000000006</v>
      </c>
      <c r="BI203" s="19">
        <v>9</v>
      </c>
      <c r="BJ203" s="19">
        <v>74509.350000000006</v>
      </c>
      <c r="BK203" s="19">
        <v>0</v>
      </c>
      <c r="BL203" s="19">
        <v>0</v>
      </c>
      <c r="BM203" s="19">
        <v>0</v>
      </c>
      <c r="BN203" s="19">
        <v>662164111754</v>
      </c>
      <c r="BO203" s="66">
        <v>46250</v>
      </c>
      <c r="BP203" s="19">
        <v>0</v>
      </c>
    </row>
    <row r="204" spans="1:68">
      <c r="A204" s="65"/>
      <c r="B204" s="20" t="s">
        <v>2165</v>
      </c>
      <c r="C204" s="111" t="s">
        <v>2910</v>
      </c>
      <c r="D204" s="20" t="s">
        <v>3557</v>
      </c>
      <c r="E204" s="20" t="s">
        <v>23</v>
      </c>
      <c r="F204" s="20" t="s">
        <v>24</v>
      </c>
      <c r="H204" s="20" t="s">
        <v>3558</v>
      </c>
      <c r="I204" s="20">
        <v>1559.9</v>
      </c>
      <c r="J204" s="20">
        <v>1559.9</v>
      </c>
      <c r="K204" s="20" t="s">
        <v>11</v>
      </c>
      <c r="L204" s="20">
        <v>1559.9</v>
      </c>
      <c r="M204" s="20">
        <v>0</v>
      </c>
      <c r="N204" s="20">
        <v>1559.9</v>
      </c>
      <c r="O204" s="20" t="s">
        <v>2154</v>
      </c>
      <c r="P204" s="20" t="s">
        <v>87</v>
      </c>
      <c r="Q204" s="20" t="s">
        <v>87</v>
      </c>
      <c r="R204" s="20" t="s">
        <v>2918</v>
      </c>
      <c r="S204" s="111" t="s">
        <v>2919</v>
      </c>
      <c r="T204" s="20" t="s">
        <v>206</v>
      </c>
      <c r="U204" s="20" t="s">
        <v>207</v>
      </c>
      <c r="V204" s="20" t="s">
        <v>2917</v>
      </c>
      <c r="W204" s="20">
        <v>147.32</v>
      </c>
      <c r="X204" s="20">
        <v>147.32000041721599</v>
      </c>
      <c r="Y204" s="20" t="s">
        <v>2918</v>
      </c>
      <c r="Z204" s="111" t="s">
        <v>2919</v>
      </c>
      <c r="AB204" s="20" t="s">
        <v>212</v>
      </c>
      <c r="AD204" s="20" t="s">
        <v>2125</v>
      </c>
      <c r="AE204" s="20" t="s">
        <v>3559</v>
      </c>
      <c r="AF204" s="20">
        <v>0</v>
      </c>
      <c r="AG204" s="20">
        <v>0</v>
      </c>
      <c r="AH204" s="20">
        <v>0</v>
      </c>
      <c r="AI204" s="20">
        <v>0</v>
      </c>
      <c r="AJ204" s="20">
        <v>0</v>
      </c>
      <c r="AK204" s="20" t="s">
        <v>576</v>
      </c>
      <c r="AL204" s="20">
        <v>0</v>
      </c>
      <c r="AM204" s="20">
        <v>0</v>
      </c>
      <c r="AN204" s="20">
        <v>0</v>
      </c>
      <c r="AO204" s="20">
        <v>0</v>
      </c>
      <c r="AP204" s="20">
        <v>0</v>
      </c>
      <c r="AR204" s="20">
        <v>0</v>
      </c>
      <c r="AS204" s="20">
        <v>0</v>
      </c>
      <c r="AT204" s="20">
        <v>2118615.73</v>
      </c>
      <c r="AU204" s="20" t="s">
        <v>13</v>
      </c>
      <c r="AV204" s="20" t="s">
        <v>24</v>
      </c>
      <c r="AW204" s="111" t="s">
        <v>79</v>
      </c>
      <c r="AX204" s="20" t="s">
        <v>208</v>
      </c>
      <c r="AY204" s="19" t="s">
        <v>209</v>
      </c>
      <c r="AZ204" s="19">
        <v>0</v>
      </c>
      <c r="BA204" s="19">
        <v>229804.47</v>
      </c>
      <c r="BB204" s="19">
        <v>1143</v>
      </c>
      <c r="BC204" s="66" t="s">
        <v>2919</v>
      </c>
      <c r="BD204" s="19" t="s">
        <v>65</v>
      </c>
      <c r="BE204" s="19" t="s">
        <v>210</v>
      </c>
      <c r="BF204" s="19" t="s">
        <v>210</v>
      </c>
      <c r="BG204" s="19">
        <v>9</v>
      </c>
      <c r="BH204" s="19">
        <v>20682.400000000001</v>
      </c>
      <c r="BI204" s="19">
        <v>9</v>
      </c>
      <c r="BJ204" s="19">
        <v>20682.400000000001</v>
      </c>
      <c r="BK204" s="19">
        <v>0</v>
      </c>
      <c r="BL204" s="19">
        <v>0</v>
      </c>
      <c r="BM204" s="19">
        <v>0</v>
      </c>
      <c r="BN204" s="19">
        <v>662164111754</v>
      </c>
      <c r="BO204" s="66">
        <v>46250</v>
      </c>
      <c r="BP204" s="19">
        <v>0</v>
      </c>
    </row>
    <row r="205" spans="1:68">
      <c r="A205" s="65"/>
      <c r="B205" s="20" t="s">
        <v>2165</v>
      </c>
      <c r="C205" s="111" t="s">
        <v>2910</v>
      </c>
      <c r="D205" s="20" t="s">
        <v>3557</v>
      </c>
      <c r="E205" s="20" t="s">
        <v>23</v>
      </c>
      <c r="F205" s="20" t="s">
        <v>24</v>
      </c>
      <c r="H205" s="20" t="s">
        <v>3558</v>
      </c>
      <c r="I205" s="20">
        <v>864.3</v>
      </c>
      <c r="J205" s="20">
        <v>864.3</v>
      </c>
      <c r="K205" s="20" t="s">
        <v>11</v>
      </c>
      <c r="L205" s="20">
        <v>864.3</v>
      </c>
      <c r="M205" s="20">
        <v>0</v>
      </c>
      <c r="N205" s="20">
        <v>864.3</v>
      </c>
      <c r="O205" s="20" t="s">
        <v>2154</v>
      </c>
      <c r="P205" s="20" t="s">
        <v>87</v>
      </c>
      <c r="Q205" s="20" t="s">
        <v>87</v>
      </c>
      <c r="R205" s="20" t="s">
        <v>2918</v>
      </c>
      <c r="S205" s="111" t="s">
        <v>2919</v>
      </c>
      <c r="T205" s="20" t="s">
        <v>206</v>
      </c>
      <c r="U205" s="20" t="s">
        <v>207</v>
      </c>
      <c r="V205" s="20" t="s">
        <v>2917</v>
      </c>
      <c r="W205" s="20">
        <v>144.32</v>
      </c>
      <c r="X205" s="20">
        <v>144.32000040872001</v>
      </c>
      <c r="Y205" s="20" t="s">
        <v>2918</v>
      </c>
      <c r="Z205" s="111" t="s">
        <v>2919</v>
      </c>
      <c r="AB205" s="20" t="s">
        <v>212</v>
      </c>
      <c r="AD205" s="20" t="s">
        <v>2125</v>
      </c>
      <c r="AE205" s="20" t="s">
        <v>3559</v>
      </c>
      <c r="AF205" s="20">
        <v>0</v>
      </c>
      <c r="AG205" s="20">
        <v>0</v>
      </c>
      <c r="AH205" s="20">
        <v>0</v>
      </c>
      <c r="AI205" s="20">
        <v>0</v>
      </c>
      <c r="AJ205" s="20">
        <v>0</v>
      </c>
      <c r="AK205" s="20" t="s">
        <v>576</v>
      </c>
      <c r="AL205" s="20">
        <v>0</v>
      </c>
      <c r="AM205" s="20">
        <v>0</v>
      </c>
      <c r="AN205" s="20">
        <v>0</v>
      </c>
      <c r="AO205" s="20">
        <v>0</v>
      </c>
      <c r="AP205" s="20">
        <v>0</v>
      </c>
      <c r="AR205" s="20">
        <v>0</v>
      </c>
      <c r="AS205" s="20">
        <v>0</v>
      </c>
      <c r="AT205" s="20">
        <v>2118615.73</v>
      </c>
      <c r="AU205" s="20" t="s">
        <v>13</v>
      </c>
      <c r="AV205" s="20" t="s">
        <v>24</v>
      </c>
      <c r="AW205" s="111" t="s">
        <v>79</v>
      </c>
      <c r="AX205" s="20" t="s">
        <v>208</v>
      </c>
      <c r="AY205" s="19" t="s">
        <v>209</v>
      </c>
      <c r="AZ205" s="19">
        <v>0</v>
      </c>
      <c r="BA205" s="19">
        <v>124735.78</v>
      </c>
      <c r="BB205" s="19">
        <v>1143</v>
      </c>
      <c r="BC205" s="66" t="s">
        <v>2919</v>
      </c>
      <c r="BD205" s="19" t="s">
        <v>65</v>
      </c>
      <c r="BE205" s="19" t="s">
        <v>210</v>
      </c>
      <c r="BF205" s="19" t="s">
        <v>210</v>
      </c>
      <c r="BG205" s="19">
        <v>9</v>
      </c>
      <c r="BH205" s="19">
        <v>11226.22</v>
      </c>
      <c r="BI205" s="19">
        <v>9</v>
      </c>
      <c r="BJ205" s="19">
        <v>11226.22</v>
      </c>
      <c r="BK205" s="19">
        <v>0</v>
      </c>
      <c r="BL205" s="19">
        <v>0</v>
      </c>
      <c r="BM205" s="19">
        <v>0</v>
      </c>
      <c r="BN205" s="19">
        <v>662164111754</v>
      </c>
      <c r="BO205" s="66">
        <v>46250</v>
      </c>
      <c r="BP205" s="19">
        <v>0</v>
      </c>
    </row>
    <row r="206" spans="1:68">
      <c r="A206" s="65"/>
      <c r="B206" s="20" t="s">
        <v>2165</v>
      </c>
      <c r="C206" s="111" t="s">
        <v>2919</v>
      </c>
      <c r="D206" s="20" t="s">
        <v>3560</v>
      </c>
      <c r="E206" s="20" t="s">
        <v>20</v>
      </c>
      <c r="F206" s="20" t="s">
        <v>21</v>
      </c>
      <c r="H206" s="20" t="s">
        <v>3561</v>
      </c>
      <c r="I206" s="20">
        <v>275</v>
      </c>
      <c r="J206" s="20">
        <v>275</v>
      </c>
      <c r="K206" s="20" t="s">
        <v>11</v>
      </c>
      <c r="L206" s="20">
        <v>275</v>
      </c>
      <c r="M206" s="20">
        <v>0</v>
      </c>
      <c r="N206" s="20">
        <v>275</v>
      </c>
      <c r="O206" s="20" t="s">
        <v>2156</v>
      </c>
      <c r="P206" s="20" t="s">
        <v>87</v>
      </c>
      <c r="Q206" s="20" t="s">
        <v>87</v>
      </c>
      <c r="R206" s="20" t="s">
        <v>2923</v>
      </c>
      <c r="S206" s="111" t="s">
        <v>2919</v>
      </c>
      <c r="T206" s="20" t="s">
        <v>206</v>
      </c>
      <c r="U206" s="20" t="s">
        <v>207</v>
      </c>
      <c r="V206" s="20" t="s">
        <v>2922</v>
      </c>
      <c r="W206" s="20">
        <v>149.32</v>
      </c>
      <c r="X206" s="20">
        <v>149.32</v>
      </c>
      <c r="Y206" s="20" t="s">
        <v>2923</v>
      </c>
      <c r="Z206" s="111" t="s">
        <v>2919</v>
      </c>
      <c r="AB206" s="20" t="s">
        <v>212</v>
      </c>
      <c r="AD206" s="20" t="s">
        <v>213</v>
      </c>
      <c r="AE206" s="20" t="s">
        <v>212</v>
      </c>
      <c r="AF206" s="20">
        <v>0</v>
      </c>
      <c r="AG206" s="20">
        <v>0</v>
      </c>
      <c r="AH206" s="20">
        <v>0</v>
      </c>
      <c r="AI206" s="20">
        <v>0</v>
      </c>
      <c r="AJ206" s="20">
        <v>0</v>
      </c>
      <c r="AK206" s="20" t="s">
        <v>576</v>
      </c>
      <c r="AL206" s="20">
        <v>0</v>
      </c>
      <c r="AM206" s="20">
        <v>0</v>
      </c>
      <c r="AN206" s="20">
        <v>0</v>
      </c>
      <c r="AO206" s="20">
        <v>0</v>
      </c>
      <c r="AP206" s="20">
        <v>0</v>
      </c>
      <c r="AR206" s="20">
        <v>0</v>
      </c>
      <c r="AS206" s="20">
        <v>0</v>
      </c>
      <c r="AT206" s="20">
        <v>1330255.2</v>
      </c>
      <c r="AU206" s="20" t="s">
        <v>13</v>
      </c>
      <c r="AV206" s="20" t="s">
        <v>62</v>
      </c>
      <c r="AW206" s="111" t="s">
        <v>76</v>
      </c>
      <c r="AX206" s="20" t="s">
        <v>208</v>
      </c>
      <c r="AY206" s="19" t="s">
        <v>209</v>
      </c>
      <c r="AZ206" s="19">
        <v>0</v>
      </c>
      <c r="BA206" s="19">
        <v>41063</v>
      </c>
      <c r="BB206" s="19">
        <v>1141</v>
      </c>
      <c r="BC206" s="66" t="s">
        <v>2919</v>
      </c>
      <c r="BD206" s="19" t="s">
        <v>65</v>
      </c>
      <c r="BE206" s="19" t="s">
        <v>210</v>
      </c>
      <c r="BF206" s="19" t="s">
        <v>210</v>
      </c>
      <c r="BG206" s="19">
        <v>9</v>
      </c>
      <c r="BH206" s="19">
        <v>3695.67</v>
      </c>
      <c r="BI206" s="19">
        <v>9</v>
      </c>
      <c r="BJ206" s="19">
        <v>3695.67</v>
      </c>
      <c r="BK206" s="19">
        <v>0</v>
      </c>
      <c r="BL206" s="19">
        <v>0</v>
      </c>
      <c r="BM206" s="19">
        <v>1330255.2</v>
      </c>
      <c r="BN206" s="19">
        <v>612164083726</v>
      </c>
      <c r="BO206" s="66">
        <v>46250</v>
      </c>
      <c r="BP206" s="19">
        <v>0</v>
      </c>
    </row>
    <row r="207" spans="1:68">
      <c r="A207" s="65"/>
      <c r="B207" s="20" t="s">
        <v>2165</v>
      </c>
      <c r="C207" s="111" t="s">
        <v>2919</v>
      </c>
      <c r="D207" s="20" t="s">
        <v>3560</v>
      </c>
      <c r="E207" s="20" t="s">
        <v>18</v>
      </c>
      <c r="F207" s="20" t="s">
        <v>19</v>
      </c>
      <c r="H207" s="20" t="s">
        <v>3561</v>
      </c>
      <c r="I207" s="20">
        <v>1599</v>
      </c>
      <c r="J207" s="20">
        <v>1599</v>
      </c>
      <c r="K207" s="20" t="s">
        <v>11</v>
      </c>
      <c r="L207" s="20">
        <v>1599</v>
      </c>
      <c r="M207" s="20">
        <v>0</v>
      </c>
      <c r="N207" s="20">
        <v>1599</v>
      </c>
      <c r="O207" s="20" t="s">
        <v>2156</v>
      </c>
      <c r="P207" s="20" t="s">
        <v>87</v>
      </c>
      <c r="Q207" s="20" t="s">
        <v>87</v>
      </c>
      <c r="R207" s="20" t="s">
        <v>2923</v>
      </c>
      <c r="S207" s="111" t="s">
        <v>2919</v>
      </c>
      <c r="T207" s="20" t="s">
        <v>206</v>
      </c>
      <c r="U207" s="20" t="s">
        <v>207</v>
      </c>
      <c r="V207" s="20" t="s">
        <v>2922</v>
      </c>
      <c r="W207" s="20">
        <v>144.32</v>
      </c>
      <c r="X207" s="20">
        <v>144.32</v>
      </c>
      <c r="Y207" s="20" t="s">
        <v>2923</v>
      </c>
      <c r="Z207" s="111" t="s">
        <v>2919</v>
      </c>
      <c r="AB207" s="20" t="s">
        <v>212</v>
      </c>
      <c r="AD207" s="20" t="s">
        <v>213</v>
      </c>
      <c r="AE207" s="20" t="s">
        <v>212</v>
      </c>
      <c r="AF207" s="20">
        <v>0</v>
      </c>
      <c r="AG207" s="20">
        <v>0</v>
      </c>
      <c r="AH207" s="20">
        <v>0</v>
      </c>
      <c r="AI207" s="20">
        <v>0</v>
      </c>
      <c r="AJ207" s="20">
        <v>0</v>
      </c>
      <c r="AK207" s="20" t="s">
        <v>576</v>
      </c>
      <c r="AL207" s="20">
        <v>0</v>
      </c>
      <c r="AM207" s="20">
        <v>0</v>
      </c>
      <c r="AN207" s="20">
        <v>0</v>
      </c>
      <c r="AO207" s="20">
        <v>0</v>
      </c>
      <c r="AP207" s="20">
        <v>0</v>
      </c>
      <c r="AR207" s="20">
        <v>0</v>
      </c>
      <c r="AS207" s="20">
        <v>0</v>
      </c>
      <c r="AT207" s="20">
        <v>1330255.2</v>
      </c>
      <c r="AU207" s="20" t="s">
        <v>13</v>
      </c>
      <c r="AV207" s="20" t="s">
        <v>62</v>
      </c>
      <c r="AW207" s="111" t="s">
        <v>63</v>
      </c>
      <c r="AX207" s="20" t="s">
        <v>208</v>
      </c>
      <c r="AY207" s="19" t="s">
        <v>209</v>
      </c>
      <c r="AZ207" s="19">
        <v>0</v>
      </c>
      <c r="BA207" s="19">
        <v>230767.68</v>
      </c>
      <c r="BB207" s="19">
        <v>1141</v>
      </c>
      <c r="BC207" s="66" t="s">
        <v>2919</v>
      </c>
      <c r="BD207" s="19" t="s">
        <v>65</v>
      </c>
      <c r="BE207" s="19" t="s">
        <v>210</v>
      </c>
      <c r="BF207" s="19" t="s">
        <v>210</v>
      </c>
      <c r="BG207" s="19">
        <v>9</v>
      </c>
      <c r="BH207" s="19">
        <v>20769.09</v>
      </c>
      <c r="BI207" s="19">
        <v>9</v>
      </c>
      <c r="BJ207" s="19">
        <v>20769.09</v>
      </c>
      <c r="BK207" s="19">
        <v>0</v>
      </c>
      <c r="BL207" s="19">
        <v>0</v>
      </c>
      <c r="BM207" s="19">
        <v>0</v>
      </c>
      <c r="BN207" s="19">
        <v>612164083726</v>
      </c>
      <c r="BO207" s="66">
        <v>46250</v>
      </c>
      <c r="BP207" s="19">
        <v>0</v>
      </c>
    </row>
    <row r="208" spans="1:68">
      <c r="A208" s="65"/>
      <c r="B208" s="20" t="s">
        <v>2165</v>
      </c>
      <c r="C208" s="111" t="s">
        <v>2919</v>
      </c>
      <c r="D208" s="20" t="s">
        <v>3560</v>
      </c>
      <c r="E208" s="20" t="s">
        <v>18</v>
      </c>
      <c r="F208" s="20" t="s">
        <v>19</v>
      </c>
      <c r="H208" s="20" t="s">
        <v>3561</v>
      </c>
      <c r="I208" s="20">
        <v>196</v>
      </c>
      <c r="J208" s="20">
        <v>196</v>
      </c>
      <c r="K208" s="20" t="s">
        <v>11</v>
      </c>
      <c r="L208" s="20">
        <v>196</v>
      </c>
      <c r="M208" s="20">
        <v>0</v>
      </c>
      <c r="N208" s="20">
        <v>196</v>
      </c>
      <c r="O208" s="20" t="s">
        <v>2156</v>
      </c>
      <c r="P208" s="20" t="s">
        <v>87</v>
      </c>
      <c r="Q208" s="20" t="s">
        <v>87</v>
      </c>
      <c r="R208" s="20" t="s">
        <v>2923</v>
      </c>
      <c r="S208" s="111" t="s">
        <v>2919</v>
      </c>
      <c r="T208" s="20" t="s">
        <v>206</v>
      </c>
      <c r="U208" s="20" t="s">
        <v>207</v>
      </c>
      <c r="V208" s="20" t="s">
        <v>2922</v>
      </c>
      <c r="W208" s="20">
        <v>145.32</v>
      </c>
      <c r="X208" s="20">
        <v>145.32</v>
      </c>
      <c r="Y208" s="20" t="s">
        <v>2923</v>
      </c>
      <c r="Z208" s="111" t="s">
        <v>2919</v>
      </c>
      <c r="AB208" s="20" t="s">
        <v>212</v>
      </c>
      <c r="AD208" s="20" t="s">
        <v>213</v>
      </c>
      <c r="AE208" s="20" t="s">
        <v>212</v>
      </c>
      <c r="AF208" s="20">
        <v>0</v>
      </c>
      <c r="AG208" s="20">
        <v>0</v>
      </c>
      <c r="AH208" s="20">
        <v>0</v>
      </c>
      <c r="AI208" s="20">
        <v>0</v>
      </c>
      <c r="AJ208" s="20">
        <v>0</v>
      </c>
      <c r="AK208" s="20" t="s">
        <v>576</v>
      </c>
      <c r="AL208" s="20">
        <v>0</v>
      </c>
      <c r="AM208" s="20">
        <v>0</v>
      </c>
      <c r="AN208" s="20">
        <v>0</v>
      </c>
      <c r="AO208" s="20">
        <v>0</v>
      </c>
      <c r="AP208" s="20">
        <v>0</v>
      </c>
      <c r="AR208" s="20">
        <v>0</v>
      </c>
      <c r="AS208" s="20">
        <v>0</v>
      </c>
      <c r="AT208" s="20">
        <v>1330255.2</v>
      </c>
      <c r="AU208" s="20" t="s">
        <v>13</v>
      </c>
      <c r="AV208" s="20" t="s">
        <v>62</v>
      </c>
      <c r="AW208" s="111" t="s">
        <v>63</v>
      </c>
      <c r="AX208" s="20" t="s">
        <v>208</v>
      </c>
      <c r="AY208" s="19" t="s">
        <v>209</v>
      </c>
      <c r="AZ208" s="19">
        <v>0</v>
      </c>
      <c r="BA208" s="19">
        <v>28482.720000000001</v>
      </c>
      <c r="BB208" s="19">
        <v>1141</v>
      </c>
      <c r="BC208" s="66" t="s">
        <v>2919</v>
      </c>
      <c r="BD208" s="19" t="s">
        <v>65</v>
      </c>
      <c r="BE208" s="19" t="s">
        <v>210</v>
      </c>
      <c r="BF208" s="19" t="s">
        <v>210</v>
      </c>
      <c r="BG208" s="19">
        <v>9</v>
      </c>
      <c r="BH208" s="19">
        <v>2563.44</v>
      </c>
      <c r="BI208" s="19">
        <v>9</v>
      </c>
      <c r="BJ208" s="19">
        <v>2563.44</v>
      </c>
      <c r="BK208" s="19">
        <v>0</v>
      </c>
      <c r="BL208" s="19">
        <v>0</v>
      </c>
      <c r="BM208" s="19">
        <v>0</v>
      </c>
      <c r="BN208" s="19">
        <v>612164083726</v>
      </c>
      <c r="BO208" s="66">
        <v>46250</v>
      </c>
      <c r="BP208" s="19">
        <v>0</v>
      </c>
    </row>
    <row r="209" spans="1:68">
      <c r="A209" s="65"/>
      <c r="B209" s="20" t="s">
        <v>2165</v>
      </c>
      <c r="C209" s="20" t="s">
        <v>2919</v>
      </c>
      <c r="D209" s="20" t="s">
        <v>3560</v>
      </c>
      <c r="E209" s="20" t="s">
        <v>18</v>
      </c>
      <c r="F209" s="20" t="s">
        <v>19</v>
      </c>
      <c r="H209" s="20" t="s">
        <v>3561</v>
      </c>
      <c r="I209" s="20">
        <v>5811</v>
      </c>
      <c r="J209" s="20">
        <v>5811</v>
      </c>
      <c r="K209" s="20" t="s">
        <v>11</v>
      </c>
      <c r="L209" s="20">
        <v>5811</v>
      </c>
      <c r="M209" s="20">
        <v>0</v>
      </c>
      <c r="N209" s="20">
        <v>5811</v>
      </c>
      <c r="O209" s="20" t="s">
        <v>2156</v>
      </c>
      <c r="P209" s="20" t="s">
        <v>87</v>
      </c>
      <c r="Q209" s="20" t="s">
        <v>87</v>
      </c>
      <c r="R209" s="20" t="s">
        <v>2923</v>
      </c>
      <c r="S209" s="20" t="s">
        <v>2919</v>
      </c>
      <c r="T209" s="20" t="s">
        <v>206</v>
      </c>
      <c r="U209" s="20" t="s">
        <v>207</v>
      </c>
      <c r="V209" s="20" t="s">
        <v>2922</v>
      </c>
      <c r="W209" s="20">
        <v>142.32</v>
      </c>
      <c r="X209" s="20">
        <v>142.32</v>
      </c>
      <c r="Y209" s="20" t="s">
        <v>2923</v>
      </c>
      <c r="Z209" s="20" t="s">
        <v>2919</v>
      </c>
      <c r="AB209" s="20" t="s">
        <v>212</v>
      </c>
      <c r="AD209" s="20" t="s">
        <v>213</v>
      </c>
      <c r="AE209" s="20" t="s">
        <v>212</v>
      </c>
      <c r="AF209" s="20">
        <v>0</v>
      </c>
      <c r="AG209" s="20">
        <v>0</v>
      </c>
      <c r="AH209" s="20">
        <v>0</v>
      </c>
      <c r="AI209" s="20">
        <v>0</v>
      </c>
      <c r="AJ209" s="20">
        <v>0</v>
      </c>
      <c r="AK209" s="20" t="s">
        <v>576</v>
      </c>
      <c r="AL209" s="20">
        <v>0</v>
      </c>
      <c r="AM209" s="20">
        <v>0</v>
      </c>
      <c r="AN209" s="20">
        <v>0</v>
      </c>
      <c r="AO209" s="20">
        <v>0</v>
      </c>
      <c r="AP209" s="20">
        <v>0</v>
      </c>
      <c r="AR209" s="20">
        <v>0</v>
      </c>
      <c r="AS209" s="20">
        <v>0</v>
      </c>
      <c r="AT209" s="20">
        <v>1330255.2</v>
      </c>
      <c r="AU209" s="20" t="s">
        <v>13</v>
      </c>
      <c r="AV209" s="20" t="s">
        <v>62</v>
      </c>
      <c r="AW209" s="111" t="s">
        <v>63</v>
      </c>
      <c r="AX209" s="20" t="s">
        <v>208</v>
      </c>
      <c r="AY209" s="19" t="s">
        <v>209</v>
      </c>
      <c r="AZ209" s="19">
        <v>0</v>
      </c>
      <c r="BA209" s="19">
        <v>827021.52</v>
      </c>
      <c r="BB209" s="19">
        <v>1141</v>
      </c>
      <c r="BC209" s="19" t="s">
        <v>2919</v>
      </c>
      <c r="BD209" s="19" t="s">
        <v>65</v>
      </c>
      <c r="BE209" s="19" t="s">
        <v>210</v>
      </c>
      <c r="BF209" s="19" t="s">
        <v>210</v>
      </c>
      <c r="BG209" s="19">
        <v>9</v>
      </c>
      <c r="BH209" s="19">
        <v>74431.94</v>
      </c>
      <c r="BI209" s="19">
        <v>9</v>
      </c>
      <c r="BJ209" s="19">
        <v>74431.94</v>
      </c>
      <c r="BK209" s="19">
        <v>0</v>
      </c>
      <c r="BL209" s="19">
        <v>0</v>
      </c>
      <c r="BM209" s="19">
        <v>0</v>
      </c>
      <c r="BN209" s="19">
        <v>612164083726</v>
      </c>
      <c r="BO209" s="66">
        <v>46250</v>
      </c>
      <c r="BP209" s="19">
        <v>0</v>
      </c>
    </row>
    <row r="210" spans="1:68">
      <c r="A210" s="65"/>
      <c r="B210" s="20" t="s">
        <v>2165</v>
      </c>
      <c r="C210" s="20" t="s">
        <v>2919</v>
      </c>
      <c r="D210" s="20" t="s">
        <v>3562</v>
      </c>
      <c r="E210" s="20" t="s">
        <v>819</v>
      </c>
      <c r="F210" s="20" t="s">
        <v>766</v>
      </c>
      <c r="G210" s="20" t="s">
        <v>3563</v>
      </c>
      <c r="H210" s="20" t="s">
        <v>3564</v>
      </c>
      <c r="I210" s="20">
        <v>5100</v>
      </c>
      <c r="J210" s="20">
        <v>5100</v>
      </c>
      <c r="K210" s="20" t="s">
        <v>11</v>
      </c>
      <c r="L210" s="20">
        <v>5100</v>
      </c>
      <c r="M210" s="20">
        <v>0</v>
      </c>
      <c r="N210" s="20">
        <v>5100</v>
      </c>
      <c r="O210" s="20" t="s">
        <v>3565</v>
      </c>
      <c r="P210" s="20" t="s">
        <v>109</v>
      </c>
      <c r="Q210" s="20" t="s">
        <v>109</v>
      </c>
      <c r="R210" s="20" t="s">
        <v>2925</v>
      </c>
      <c r="S210" s="111">
        <v>46273</v>
      </c>
      <c r="T210" s="20" t="s">
        <v>206</v>
      </c>
      <c r="U210" s="20" t="s">
        <v>207</v>
      </c>
      <c r="V210" s="20" t="s">
        <v>2924</v>
      </c>
      <c r="W210" s="20">
        <v>118</v>
      </c>
      <c r="X210" s="20">
        <v>118</v>
      </c>
      <c r="Y210" s="20" t="s">
        <v>2925</v>
      </c>
      <c r="Z210" s="111">
        <v>46273</v>
      </c>
      <c r="AB210" s="20" t="s">
        <v>212</v>
      </c>
      <c r="AD210" s="20" t="s">
        <v>3566</v>
      </c>
      <c r="AE210" s="20">
        <v>4102516694</v>
      </c>
      <c r="AF210" s="20">
        <v>0</v>
      </c>
      <c r="AG210" s="20">
        <v>0</v>
      </c>
      <c r="AH210" s="20">
        <v>0</v>
      </c>
      <c r="AI210" s="20">
        <v>0</v>
      </c>
      <c r="AJ210" s="20">
        <v>0</v>
      </c>
      <c r="AK210" s="20" t="s">
        <v>576</v>
      </c>
      <c r="AL210" s="20">
        <v>0</v>
      </c>
      <c r="AM210" s="20">
        <v>0</v>
      </c>
      <c r="AN210" s="20">
        <v>0</v>
      </c>
      <c r="AO210" s="20">
        <v>0</v>
      </c>
      <c r="AP210" s="20">
        <v>0</v>
      </c>
      <c r="AR210" s="20">
        <v>0</v>
      </c>
      <c r="AS210" s="20">
        <v>0</v>
      </c>
      <c r="AT210" s="20">
        <v>710124</v>
      </c>
      <c r="AU210" s="20" t="s">
        <v>8</v>
      </c>
      <c r="AV210" s="20" t="s">
        <v>110</v>
      </c>
      <c r="AW210" s="111" t="s">
        <v>765</v>
      </c>
      <c r="AX210" s="20" t="s">
        <v>208</v>
      </c>
      <c r="AY210" s="19" t="s">
        <v>209</v>
      </c>
      <c r="AZ210" s="19">
        <v>0</v>
      </c>
      <c r="BA210" s="19">
        <v>601800</v>
      </c>
      <c r="BB210" s="19">
        <v>1121</v>
      </c>
      <c r="BC210" s="19" t="s">
        <v>2847</v>
      </c>
      <c r="BD210" s="19" t="s">
        <v>624</v>
      </c>
      <c r="BE210" s="19" t="s">
        <v>210</v>
      </c>
      <c r="BF210" s="19" t="s">
        <v>2509</v>
      </c>
      <c r="BG210" s="19">
        <v>0</v>
      </c>
      <c r="BH210" s="19">
        <v>0</v>
      </c>
      <c r="BI210" s="19">
        <v>0</v>
      </c>
      <c r="BJ210" s="19">
        <v>0</v>
      </c>
      <c r="BK210" s="19">
        <v>18</v>
      </c>
      <c r="BL210" s="19">
        <v>108324</v>
      </c>
      <c r="BM210" s="19">
        <v>710124</v>
      </c>
      <c r="BN210" s="19">
        <v>252261769853</v>
      </c>
      <c r="BO210" s="66">
        <v>46243</v>
      </c>
      <c r="BP210" s="19">
        <v>0</v>
      </c>
    </row>
    <row r="211" spans="1:68">
      <c r="A211" s="65"/>
      <c r="B211" s="20" t="s">
        <v>2165</v>
      </c>
      <c r="C211" s="20" t="s">
        <v>2926</v>
      </c>
      <c r="D211" s="20" t="s">
        <v>3567</v>
      </c>
      <c r="E211" s="20" t="s">
        <v>18</v>
      </c>
      <c r="F211" s="20" t="s">
        <v>19</v>
      </c>
      <c r="H211" s="20" t="s">
        <v>3568</v>
      </c>
      <c r="I211" s="20">
        <v>1682</v>
      </c>
      <c r="J211" s="20">
        <v>1682</v>
      </c>
      <c r="K211" s="20" t="s">
        <v>11</v>
      </c>
      <c r="L211" s="20">
        <v>1682</v>
      </c>
      <c r="M211" s="20">
        <v>0</v>
      </c>
      <c r="N211" s="20">
        <v>1682</v>
      </c>
      <c r="O211" s="20" t="s">
        <v>2156</v>
      </c>
      <c r="P211" s="20" t="s">
        <v>87</v>
      </c>
      <c r="Q211" s="20" t="s">
        <v>87</v>
      </c>
      <c r="R211" s="20" t="s">
        <v>2930</v>
      </c>
      <c r="S211" s="20" t="s">
        <v>2926</v>
      </c>
      <c r="T211" s="20" t="s">
        <v>206</v>
      </c>
      <c r="U211" s="20" t="s">
        <v>207</v>
      </c>
      <c r="V211" s="20" t="s">
        <v>2929</v>
      </c>
      <c r="W211" s="20">
        <v>144.32</v>
      </c>
      <c r="X211" s="20">
        <v>144.32</v>
      </c>
      <c r="Y211" s="20" t="s">
        <v>2930</v>
      </c>
      <c r="Z211" s="20" t="s">
        <v>2926</v>
      </c>
      <c r="AB211" s="20" t="s">
        <v>212</v>
      </c>
      <c r="AD211" s="20" t="s">
        <v>213</v>
      </c>
      <c r="AE211" s="20" t="s">
        <v>212</v>
      </c>
      <c r="AF211" s="20">
        <v>0</v>
      </c>
      <c r="AG211" s="20">
        <v>0</v>
      </c>
      <c r="AH211" s="20">
        <v>0</v>
      </c>
      <c r="AI211" s="20">
        <v>0</v>
      </c>
      <c r="AJ211" s="20">
        <v>0</v>
      </c>
      <c r="AK211" s="20" t="s">
        <v>576</v>
      </c>
      <c r="AL211" s="20">
        <v>0</v>
      </c>
      <c r="AM211" s="20">
        <v>0</v>
      </c>
      <c r="AN211" s="20">
        <v>0</v>
      </c>
      <c r="AO211" s="20">
        <v>0</v>
      </c>
      <c r="AP211" s="20">
        <v>0</v>
      </c>
      <c r="AR211" s="20">
        <v>0</v>
      </c>
      <c r="AS211" s="20">
        <v>0</v>
      </c>
      <c r="AT211" s="20">
        <v>1308844.6599999999</v>
      </c>
      <c r="AU211" s="20" t="s">
        <v>13</v>
      </c>
      <c r="AV211" s="20" t="s">
        <v>62</v>
      </c>
      <c r="AW211" s="111" t="s">
        <v>63</v>
      </c>
      <c r="AX211" s="20" t="s">
        <v>208</v>
      </c>
      <c r="AY211" s="19" t="s">
        <v>209</v>
      </c>
      <c r="AZ211" s="19">
        <v>0</v>
      </c>
      <c r="BA211" s="19">
        <v>242746.23999999999</v>
      </c>
      <c r="BB211" s="19">
        <v>1144</v>
      </c>
      <c r="BC211" s="19" t="s">
        <v>2926</v>
      </c>
      <c r="BD211" s="19" t="s">
        <v>65</v>
      </c>
      <c r="BE211" s="19" t="s">
        <v>210</v>
      </c>
      <c r="BF211" s="19" t="s">
        <v>210</v>
      </c>
      <c r="BG211" s="19">
        <v>9</v>
      </c>
      <c r="BH211" s="19">
        <v>21847.16</v>
      </c>
      <c r="BI211" s="19">
        <v>9</v>
      </c>
      <c r="BJ211" s="19">
        <v>21847.16</v>
      </c>
      <c r="BK211" s="19">
        <v>0</v>
      </c>
      <c r="BL211" s="19">
        <v>0</v>
      </c>
      <c r="BM211" s="19">
        <v>1308844.6599999999</v>
      </c>
      <c r="BN211" s="19">
        <v>632164415954</v>
      </c>
      <c r="BO211" s="66">
        <v>46251</v>
      </c>
      <c r="BP211" s="19">
        <v>0</v>
      </c>
    </row>
    <row r="212" spans="1:68">
      <c r="A212" s="65"/>
      <c r="B212" s="20" t="s">
        <v>2165</v>
      </c>
      <c r="C212" s="20" t="s">
        <v>2926</v>
      </c>
      <c r="D212" s="20" t="s">
        <v>3567</v>
      </c>
      <c r="E212" s="20" t="s">
        <v>18</v>
      </c>
      <c r="F212" s="20" t="s">
        <v>19</v>
      </c>
      <c r="H212" s="20" t="s">
        <v>3568</v>
      </c>
      <c r="I212" s="20">
        <v>6088</v>
      </c>
      <c r="J212" s="20">
        <v>6088</v>
      </c>
      <c r="K212" s="20" t="s">
        <v>11</v>
      </c>
      <c r="L212" s="20">
        <v>6088</v>
      </c>
      <c r="M212" s="20">
        <v>0</v>
      </c>
      <c r="N212" s="20">
        <v>6088</v>
      </c>
      <c r="O212" s="20" t="s">
        <v>2156</v>
      </c>
      <c r="P212" s="20" t="s">
        <v>87</v>
      </c>
      <c r="Q212" s="20" t="s">
        <v>87</v>
      </c>
      <c r="R212" s="20" t="s">
        <v>2930</v>
      </c>
      <c r="S212" s="111" t="s">
        <v>2926</v>
      </c>
      <c r="T212" s="20" t="s">
        <v>206</v>
      </c>
      <c r="U212" s="20" t="s">
        <v>207</v>
      </c>
      <c r="V212" s="20" t="s">
        <v>2929</v>
      </c>
      <c r="W212" s="20">
        <v>142.32</v>
      </c>
      <c r="X212" s="20">
        <v>142.32</v>
      </c>
      <c r="Y212" s="20" t="s">
        <v>2930</v>
      </c>
      <c r="Z212" s="111" t="s">
        <v>2926</v>
      </c>
      <c r="AB212" s="20" t="s">
        <v>212</v>
      </c>
      <c r="AD212" s="20" t="s">
        <v>213</v>
      </c>
      <c r="AE212" s="20" t="s">
        <v>212</v>
      </c>
      <c r="AF212" s="20">
        <v>0</v>
      </c>
      <c r="AG212" s="20">
        <v>0</v>
      </c>
      <c r="AH212" s="20">
        <v>0</v>
      </c>
      <c r="AI212" s="20">
        <v>0</v>
      </c>
      <c r="AJ212" s="20">
        <v>0</v>
      </c>
      <c r="AK212" s="20" t="s">
        <v>576</v>
      </c>
      <c r="AL212" s="20">
        <v>0</v>
      </c>
      <c r="AM212" s="20">
        <v>0</v>
      </c>
      <c r="AN212" s="20">
        <v>0</v>
      </c>
      <c r="AO212" s="20">
        <v>0</v>
      </c>
      <c r="AP212" s="20">
        <v>0</v>
      </c>
      <c r="AR212" s="20">
        <v>0</v>
      </c>
      <c r="AS212" s="20">
        <v>0</v>
      </c>
      <c r="AT212" s="20">
        <v>1308844.6599999999</v>
      </c>
      <c r="AU212" s="20" t="s">
        <v>13</v>
      </c>
      <c r="AV212" s="20" t="s">
        <v>62</v>
      </c>
      <c r="AW212" s="111" t="s">
        <v>63</v>
      </c>
      <c r="AX212" s="20" t="s">
        <v>208</v>
      </c>
      <c r="AY212" s="19" t="s">
        <v>209</v>
      </c>
      <c r="AZ212" s="19">
        <v>0</v>
      </c>
      <c r="BA212" s="19">
        <v>866444.16</v>
      </c>
      <c r="BB212" s="19">
        <v>1144</v>
      </c>
      <c r="BC212" s="19" t="s">
        <v>2926</v>
      </c>
      <c r="BD212" s="19" t="s">
        <v>65</v>
      </c>
      <c r="BE212" s="19" t="s">
        <v>210</v>
      </c>
      <c r="BF212" s="19" t="s">
        <v>210</v>
      </c>
      <c r="BG212" s="19">
        <v>9</v>
      </c>
      <c r="BH212" s="19">
        <v>77979.97</v>
      </c>
      <c r="BI212" s="19">
        <v>9</v>
      </c>
      <c r="BJ212" s="19">
        <v>77979.97</v>
      </c>
      <c r="BK212" s="19">
        <v>0</v>
      </c>
      <c r="BL212" s="19">
        <v>0</v>
      </c>
      <c r="BM212" s="19">
        <v>0</v>
      </c>
      <c r="BN212" s="19">
        <v>632164415954</v>
      </c>
      <c r="BO212" s="66">
        <v>46251</v>
      </c>
      <c r="BP212" s="19">
        <v>0</v>
      </c>
    </row>
    <row r="213" spans="1:68">
      <c r="A213" s="65"/>
      <c r="B213" s="20" t="s">
        <v>2165</v>
      </c>
      <c r="C213" s="20" t="s">
        <v>2926</v>
      </c>
      <c r="D213" s="20" t="s">
        <v>3569</v>
      </c>
      <c r="E213" s="20" t="s">
        <v>20</v>
      </c>
      <c r="F213" s="20" t="s">
        <v>21</v>
      </c>
      <c r="H213" s="20" t="s">
        <v>3570</v>
      </c>
      <c r="I213" s="20">
        <v>457</v>
      </c>
      <c r="J213" s="20">
        <v>457</v>
      </c>
      <c r="K213" s="20" t="s">
        <v>11</v>
      </c>
      <c r="L213" s="20">
        <v>457</v>
      </c>
      <c r="M213" s="20">
        <v>0</v>
      </c>
      <c r="N213" s="20">
        <v>457</v>
      </c>
      <c r="O213" s="20" t="s">
        <v>2397</v>
      </c>
      <c r="P213" s="20" t="s">
        <v>94</v>
      </c>
      <c r="Q213" s="20" t="s">
        <v>94</v>
      </c>
      <c r="R213" s="20" t="s">
        <v>2938</v>
      </c>
      <c r="S213" s="111" t="s">
        <v>2919</v>
      </c>
      <c r="T213" s="20" t="s">
        <v>206</v>
      </c>
      <c r="U213" s="20" t="s">
        <v>207</v>
      </c>
      <c r="V213" s="20" t="s">
        <v>2937</v>
      </c>
      <c r="W213" s="20">
        <v>138.58000000000001</v>
      </c>
      <c r="X213" s="20">
        <v>138.58000000000001</v>
      </c>
      <c r="Y213" s="20" t="s">
        <v>2938</v>
      </c>
      <c r="Z213" s="111" t="s">
        <v>2919</v>
      </c>
      <c r="AB213" s="20" t="s">
        <v>212</v>
      </c>
      <c r="AD213" s="20" t="s">
        <v>213</v>
      </c>
      <c r="AE213" s="20" t="s">
        <v>212</v>
      </c>
      <c r="AF213" s="20">
        <v>0</v>
      </c>
      <c r="AG213" s="20">
        <v>0</v>
      </c>
      <c r="AH213" s="20">
        <v>0</v>
      </c>
      <c r="AI213" s="20">
        <v>0</v>
      </c>
      <c r="AJ213" s="20">
        <v>0</v>
      </c>
      <c r="AK213" s="20" t="s">
        <v>576</v>
      </c>
      <c r="AL213" s="20">
        <v>0</v>
      </c>
      <c r="AM213" s="20">
        <v>0</v>
      </c>
      <c r="AN213" s="20">
        <v>0</v>
      </c>
      <c r="AO213" s="20">
        <v>0</v>
      </c>
      <c r="AP213" s="20">
        <v>0</v>
      </c>
      <c r="AR213" s="20">
        <v>0</v>
      </c>
      <c r="AS213" s="20">
        <v>0</v>
      </c>
      <c r="AT213" s="20">
        <v>271818.28000000003</v>
      </c>
      <c r="AU213" s="20" t="s">
        <v>13</v>
      </c>
      <c r="AV213" s="20" t="s">
        <v>62</v>
      </c>
      <c r="AW213" s="111" t="s">
        <v>76</v>
      </c>
      <c r="AX213" s="20" t="s">
        <v>208</v>
      </c>
      <c r="AY213" s="19" t="s">
        <v>209</v>
      </c>
      <c r="AZ213" s="19">
        <v>0</v>
      </c>
      <c r="BA213" s="19">
        <v>63331.06</v>
      </c>
      <c r="BB213" s="19">
        <v>1152</v>
      </c>
      <c r="BC213" s="19" t="s">
        <v>2926</v>
      </c>
      <c r="BD213" s="19" t="s">
        <v>74</v>
      </c>
      <c r="BE213" s="19" t="s">
        <v>210</v>
      </c>
      <c r="BF213" s="19" t="s">
        <v>210</v>
      </c>
      <c r="BG213" s="19">
        <v>9</v>
      </c>
      <c r="BH213" s="19">
        <v>5699.8</v>
      </c>
      <c r="BI213" s="19">
        <v>9</v>
      </c>
      <c r="BJ213" s="19">
        <v>5699.8</v>
      </c>
      <c r="BK213" s="19">
        <v>0</v>
      </c>
      <c r="BL213" s="19">
        <v>0</v>
      </c>
      <c r="BM213" s="19">
        <v>271818.28000000003</v>
      </c>
      <c r="BN213" s="19">
        <v>682164190692</v>
      </c>
      <c r="BO213" s="66">
        <v>46250</v>
      </c>
      <c r="BP213" s="19">
        <v>0</v>
      </c>
    </row>
    <row r="214" spans="1:68">
      <c r="A214" s="65"/>
      <c r="B214" s="20" t="s">
        <v>2165</v>
      </c>
      <c r="C214" s="20" t="s">
        <v>2926</v>
      </c>
      <c r="D214" s="20" t="s">
        <v>3569</v>
      </c>
      <c r="E214" s="20" t="s">
        <v>20</v>
      </c>
      <c r="F214" s="20" t="s">
        <v>21</v>
      </c>
      <c r="H214" s="20" t="s">
        <v>3570</v>
      </c>
      <c r="I214" s="20">
        <v>680</v>
      </c>
      <c r="J214" s="20">
        <v>680</v>
      </c>
      <c r="K214" s="20" t="s">
        <v>11</v>
      </c>
      <c r="L214" s="20">
        <v>680</v>
      </c>
      <c r="M214" s="20">
        <v>0</v>
      </c>
      <c r="N214" s="20">
        <v>680</v>
      </c>
      <c r="O214" s="20" t="s">
        <v>2397</v>
      </c>
      <c r="P214" s="20" t="s">
        <v>94</v>
      </c>
      <c r="Q214" s="20" t="s">
        <v>94</v>
      </c>
      <c r="R214" s="20" t="s">
        <v>2938</v>
      </c>
      <c r="S214" s="111" t="s">
        <v>2919</v>
      </c>
      <c r="T214" s="20" t="s">
        <v>206</v>
      </c>
      <c r="U214" s="20" t="s">
        <v>207</v>
      </c>
      <c r="V214" s="20" t="s">
        <v>2937</v>
      </c>
      <c r="W214" s="20">
        <v>137.58000000000001</v>
      </c>
      <c r="X214" s="20">
        <v>137.58000000000001</v>
      </c>
      <c r="Y214" s="20" t="s">
        <v>2938</v>
      </c>
      <c r="Z214" s="111" t="s">
        <v>2919</v>
      </c>
      <c r="AB214" s="20" t="s">
        <v>212</v>
      </c>
      <c r="AD214" s="20" t="s">
        <v>213</v>
      </c>
      <c r="AE214" s="20" t="s">
        <v>212</v>
      </c>
      <c r="AF214" s="20">
        <v>0</v>
      </c>
      <c r="AG214" s="20">
        <v>0</v>
      </c>
      <c r="AH214" s="20">
        <v>0</v>
      </c>
      <c r="AI214" s="20">
        <v>0</v>
      </c>
      <c r="AJ214" s="20">
        <v>0</v>
      </c>
      <c r="AK214" s="20" t="s">
        <v>576</v>
      </c>
      <c r="AL214" s="20">
        <v>0</v>
      </c>
      <c r="AM214" s="20">
        <v>0</v>
      </c>
      <c r="AN214" s="20">
        <v>0</v>
      </c>
      <c r="AO214" s="20">
        <v>0</v>
      </c>
      <c r="AP214" s="20">
        <v>0</v>
      </c>
      <c r="AR214" s="20">
        <v>0</v>
      </c>
      <c r="AS214" s="20">
        <v>0</v>
      </c>
      <c r="AT214" s="20">
        <v>271818.28000000003</v>
      </c>
      <c r="AU214" s="20" t="s">
        <v>13</v>
      </c>
      <c r="AV214" s="20" t="s">
        <v>62</v>
      </c>
      <c r="AW214" s="111" t="s">
        <v>76</v>
      </c>
      <c r="AX214" s="20" t="s">
        <v>208</v>
      </c>
      <c r="AY214" s="19" t="s">
        <v>209</v>
      </c>
      <c r="AZ214" s="19">
        <v>0</v>
      </c>
      <c r="BA214" s="19">
        <v>93554.4</v>
      </c>
      <c r="BB214" s="19">
        <v>1152</v>
      </c>
      <c r="BC214" s="19" t="s">
        <v>2926</v>
      </c>
      <c r="BD214" s="19" t="s">
        <v>74</v>
      </c>
      <c r="BE214" s="19" t="s">
        <v>210</v>
      </c>
      <c r="BF214" s="19" t="s">
        <v>210</v>
      </c>
      <c r="BG214" s="19">
        <v>9</v>
      </c>
      <c r="BH214" s="19">
        <v>8419.9</v>
      </c>
      <c r="BI214" s="19">
        <v>9</v>
      </c>
      <c r="BJ214" s="19">
        <v>8419.9</v>
      </c>
      <c r="BK214" s="19">
        <v>0</v>
      </c>
      <c r="BL214" s="19">
        <v>0</v>
      </c>
      <c r="BM214" s="19">
        <v>0</v>
      </c>
      <c r="BN214" s="19">
        <v>682164190692</v>
      </c>
      <c r="BO214" s="66">
        <v>46250</v>
      </c>
      <c r="BP214" s="19">
        <v>0</v>
      </c>
    </row>
    <row r="215" spans="1:68">
      <c r="A215" s="65"/>
      <c r="B215" s="20" t="s">
        <v>2165</v>
      </c>
      <c r="C215" s="20" t="s">
        <v>2926</v>
      </c>
      <c r="D215" s="20" t="s">
        <v>3569</v>
      </c>
      <c r="E215" s="20" t="s">
        <v>2341</v>
      </c>
      <c r="F215" s="20" t="s">
        <v>2076</v>
      </c>
      <c r="H215" s="20" t="s">
        <v>3570</v>
      </c>
      <c r="I215" s="20">
        <v>550</v>
      </c>
      <c r="J215" s="20">
        <v>550</v>
      </c>
      <c r="K215" s="20" t="s">
        <v>11</v>
      </c>
      <c r="L215" s="20">
        <v>550</v>
      </c>
      <c r="M215" s="20">
        <v>0</v>
      </c>
      <c r="N215" s="20">
        <v>550</v>
      </c>
      <c r="O215" s="20" t="s">
        <v>2397</v>
      </c>
      <c r="P215" s="20" t="s">
        <v>94</v>
      </c>
      <c r="Q215" s="20" t="s">
        <v>94</v>
      </c>
      <c r="R215" s="20" t="s">
        <v>2938</v>
      </c>
      <c r="S215" s="20" t="s">
        <v>2919</v>
      </c>
      <c r="T215" s="20" t="s">
        <v>206</v>
      </c>
      <c r="U215" s="20" t="s">
        <v>207</v>
      </c>
      <c r="V215" s="20" t="s">
        <v>2937</v>
      </c>
      <c r="W215" s="20">
        <v>133.58000000000001</v>
      </c>
      <c r="X215" s="20">
        <v>133.58000000000001</v>
      </c>
      <c r="Y215" s="20" t="s">
        <v>2938</v>
      </c>
      <c r="Z215" s="20" t="s">
        <v>2919</v>
      </c>
      <c r="AB215" s="20" t="s">
        <v>212</v>
      </c>
      <c r="AD215" s="20" t="s">
        <v>213</v>
      </c>
      <c r="AE215" s="20" t="s">
        <v>212</v>
      </c>
      <c r="AF215" s="20">
        <v>0</v>
      </c>
      <c r="AG215" s="20">
        <v>0</v>
      </c>
      <c r="AH215" s="20">
        <v>0</v>
      </c>
      <c r="AI215" s="20">
        <v>0</v>
      </c>
      <c r="AJ215" s="20">
        <v>0</v>
      </c>
      <c r="AK215" s="20" t="s">
        <v>576</v>
      </c>
      <c r="AL215" s="20">
        <v>0</v>
      </c>
      <c r="AM215" s="20">
        <v>0</v>
      </c>
      <c r="AN215" s="20">
        <v>0</v>
      </c>
      <c r="AO215" s="20">
        <v>0</v>
      </c>
      <c r="AP215" s="20">
        <v>0</v>
      </c>
      <c r="AR215" s="20">
        <v>0</v>
      </c>
      <c r="AS215" s="20">
        <v>0</v>
      </c>
      <c r="AT215" s="20">
        <v>271818.28000000003</v>
      </c>
      <c r="AU215" s="20" t="s">
        <v>15</v>
      </c>
      <c r="AV215" s="20" t="s">
        <v>2076</v>
      </c>
      <c r="AW215" s="111" t="s">
        <v>2076</v>
      </c>
      <c r="AX215" s="20" t="s">
        <v>208</v>
      </c>
      <c r="AY215" s="19" t="s">
        <v>209</v>
      </c>
      <c r="AZ215" s="19">
        <v>0</v>
      </c>
      <c r="BA215" s="19">
        <v>73469</v>
      </c>
      <c r="BB215" s="19">
        <v>1152</v>
      </c>
      <c r="BC215" s="19" t="s">
        <v>2926</v>
      </c>
      <c r="BD215" s="19" t="s">
        <v>74</v>
      </c>
      <c r="BE215" s="19" t="s">
        <v>210</v>
      </c>
      <c r="BF215" s="19" t="s">
        <v>210</v>
      </c>
      <c r="BG215" s="19">
        <v>9</v>
      </c>
      <c r="BH215" s="19">
        <v>6612.21</v>
      </c>
      <c r="BI215" s="19">
        <v>9</v>
      </c>
      <c r="BJ215" s="19">
        <v>6612.21</v>
      </c>
      <c r="BK215" s="19">
        <v>0</v>
      </c>
      <c r="BL215" s="19">
        <v>0</v>
      </c>
      <c r="BM215" s="19">
        <v>0</v>
      </c>
      <c r="BN215" s="19">
        <v>682164190692</v>
      </c>
      <c r="BO215" s="66">
        <v>46250</v>
      </c>
      <c r="BP215" s="19">
        <v>0</v>
      </c>
    </row>
    <row r="216" spans="1:68">
      <c r="A216" s="65"/>
      <c r="B216" s="20" t="s">
        <v>2165</v>
      </c>
      <c r="C216" s="20" t="s">
        <v>2926</v>
      </c>
      <c r="D216" s="20" t="s">
        <v>3571</v>
      </c>
      <c r="E216" s="20" t="s">
        <v>18</v>
      </c>
      <c r="F216" s="20" t="s">
        <v>19</v>
      </c>
      <c r="H216" s="20" t="s">
        <v>3572</v>
      </c>
      <c r="I216" s="20">
        <v>393</v>
      </c>
      <c r="J216" s="20">
        <v>393</v>
      </c>
      <c r="K216" s="20" t="s">
        <v>11</v>
      </c>
      <c r="L216" s="20">
        <v>393</v>
      </c>
      <c r="M216" s="20">
        <v>0</v>
      </c>
      <c r="N216" s="20">
        <v>393</v>
      </c>
      <c r="O216" s="20" t="s">
        <v>2156</v>
      </c>
      <c r="P216" s="20" t="s">
        <v>87</v>
      </c>
      <c r="Q216" s="20" t="s">
        <v>87</v>
      </c>
      <c r="R216" s="20" t="s">
        <v>2932</v>
      </c>
      <c r="S216" s="20" t="s">
        <v>2926</v>
      </c>
      <c r="T216" s="20" t="s">
        <v>206</v>
      </c>
      <c r="U216" s="20" t="s">
        <v>207</v>
      </c>
      <c r="V216" s="20" t="s">
        <v>2931</v>
      </c>
      <c r="W216" s="20">
        <v>144.32</v>
      </c>
      <c r="X216" s="20">
        <v>144.32</v>
      </c>
      <c r="Y216" s="20" t="s">
        <v>2932</v>
      </c>
      <c r="Z216" s="20" t="s">
        <v>2926</v>
      </c>
      <c r="AB216" s="20" t="s">
        <v>212</v>
      </c>
      <c r="AD216" s="20" t="s">
        <v>213</v>
      </c>
      <c r="AE216" s="20" t="s">
        <v>212</v>
      </c>
      <c r="AF216" s="20">
        <v>0</v>
      </c>
      <c r="AG216" s="20">
        <v>0</v>
      </c>
      <c r="AH216" s="20">
        <v>0</v>
      </c>
      <c r="AI216" s="20">
        <v>0</v>
      </c>
      <c r="AJ216" s="20">
        <v>0</v>
      </c>
      <c r="AK216" s="20" t="s">
        <v>576</v>
      </c>
      <c r="AL216" s="20">
        <v>0</v>
      </c>
      <c r="AM216" s="20">
        <v>0</v>
      </c>
      <c r="AN216" s="20">
        <v>0</v>
      </c>
      <c r="AO216" s="20">
        <v>0</v>
      </c>
      <c r="AP216" s="20">
        <v>0</v>
      </c>
      <c r="AR216" s="20">
        <v>0</v>
      </c>
      <c r="AS216" s="20">
        <v>0</v>
      </c>
      <c r="AT216" s="20">
        <v>699189.38</v>
      </c>
      <c r="AU216" s="20" t="s">
        <v>13</v>
      </c>
      <c r="AV216" s="20" t="s">
        <v>62</v>
      </c>
      <c r="AW216" s="111" t="s">
        <v>63</v>
      </c>
      <c r="AX216" s="20" t="s">
        <v>208</v>
      </c>
      <c r="AY216" s="19" t="s">
        <v>209</v>
      </c>
      <c r="AZ216" s="19">
        <v>0</v>
      </c>
      <c r="BA216" s="19">
        <v>56717.760000000002</v>
      </c>
      <c r="BB216" s="19">
        <v>1145</v>
      </c>
      <c r="BC216" s="19" t="s">
        <v>2926</v>
      </c>
      <c r="BD216" s="19" t="s">
        <v>65</v>
      </c>
      <c r="BE216" s="19" t="s">
        <v>210</v>
      </c>
      <c r="BF216" s="19" t="s">
        <v>210</v>
      </c>
      <c r="BG216" s="19">
        <v>9</v>
      </c>
      <c r="BH216" s="19">
        <v>5104.6000000000004</v>
      </c>
      <c r="BI216" s="19">
        <v>9</v>
      </c>
      <c r="BJ216" s="19">
        <v>5104.6000000000004</v>
      </c>
      <c r="BK216" s="19">
        <v>0</v>
      </c>
      <c r="BL216" s="19">
        <v>0</v>
      </c>
      <c r="BM216" s="19">
        <v>699189.38</v>
      </c>
      <c r="BN216" s="19">
        <v>602164433069</v>
      </c>
      <c r="BO216" s="66">
        <v>46251</v>
      </c>
      <c r="BP216" s="19">
        <v>0</v>
      </c>
    </row>
    <row r="217" spans="1:68">
      <c r="A217" s="65"/>
      <c r="B217" s="20" t="s">
        <v>2165</v>
      </c>
      <c r="C217" s="20" t="s">
        <v>2926</v>
      </c>
      <c r="D217" s="20" t="s">
        <v>3571</v>
      </c>
      <c r="E217" s="20" t="s">
        <v>18</v>
      </c>
      <c r="F217" s="20" t="s">
        <v>19</v>
      </c>
      <c r="H217" s="20" t="s">
        <v>3572</v>
      </c>
      <c r="I217" s="20">
        <v>468</v>
      </c>
      <c r="J217" s="20">
        <v>468</v>
      </c>
      <c r="K217" s="20" t="s">
        <v>11</v>
      </c>
      <c r="L217" s="20">
        <v>468</v>
      </c>
      <c r="M217" s="20">
        <v>0</v>
      </c>
      <c r="N217" s="20">
        <v>468</v>
      </c>
      <c r="O217" s="20" t="s">
        <v>2156</v>
      </c>
      <c r="P217" s="20" t="s">
        <v>87</v>
      </c>
      <c r="Q217" s="20" t="s">
        <v>87</v>
      </c>
      <c r="R217" s="20" t="s">
        <v>2932</v>
      </c>
      <c r="S217" s="111" t="s">
        <v>2926</v>
      </c>
      <c r="T217" s="20" t="s">
        <v>206</v>
      </c>
      <c r="U217" s="20" t="s">
        <v>207</v>
      </c>
      <c r="V217" s="20" t="s">
        <v>2931</v>
      </c>
      <c r="W217" s="20">
        <v>145.32</v>
      </c>
      <c r="X217" s="20">
        <v>145.32</v>
      </c>
      <c r="Y217" s="20" t="s">
        <v>2932</v>
      </c>
      <c r="Z217" s="111" t="s">
        <v>2926</v>
      </c>
      <c r="AB217" s="20" t="s">
        <v>212</v>
      </c>
      <c r="AD217" s="20" t="s">
        <v>213</v>
      </c>
      <c r="AE217" s="20" t="s">
        <v>212</v>
      </c>
      <c r="AF217" s="20">
        <v>0</v>
      </c>
      <c r="AG217" s="20">
        <v>0</v>
      </c>
      <c r="AH217" s="20">
        <v>0</v>
      </c>
      <c r="AI217" s="20">
        <v>0</v>
      </c>
      <c r="AJ217" s="20">
        <v>0</v>
      </c>
      <c r="AK217" s="20" t="s">
        <v>576</v>
      </c>
      <c r="AL217" s="20">
        <v>0</v>
      </c>
      <c r="AM217" s="20">
        <v>0</v>
      </c>
      <c r="AN217" s="20">
        <v>0</v>
      </c>
      <c r="AO217" s="20">
        <v>0</v>
      </c>
      <c r="AP217" s="20">
        <v>0</v>
      </c>
      <c r="AR217" s="20">
        <v>0</v>
      </c>
      <c r="AS217" s="20">
        <v>0</v>
      </c>
      <c r="AT217" s="20">
        <v>699189.38</v>
      </c>
      <c r="AU217" s="20" t="s">
        <v>13</v>
      </c>
      <c r="AV217" s="20" t="s">
        <v>62</v>
      </c>
      <c r="AW217" s="111" t="s">
        <v>63</v>
      </c>
      <c r="AX217" s="20" t="s">
        <v>208</v>
      </c>
      <c r="AY217" s="19" t="s">
        <v>209</v>
      </c>
      <c r="AZ217" s="19">
        <v>0</v>
      </c>
      <c r="BA217" s="19">
        <v>68009.759999999995</v>
      </c>
      <c r="BB217" s="19">
        <v>1145</v>
      </c>
      <c r="BC217" s="19" t="s">
        <v>2926</v>
      </c>
      <c r="BD217" s="19" t="s">
        <v>65</v>
      </c>
      <c r="BE217" s="19" t="s">
        <v>210</v>
      </c>
      <c r="BF217" s="19" t="s">
        <v>210</v>
      </c>
      <c r="BG217" s="19">
        <v>9</v>
      </c>
      <c r="BH217" s="19">
        <v>6120.88</v>
      </c>
      <c r="BI217" s="19">
        <v>9</v>
      </c>
      <c r="BJ217" s="19">
        <v>6120.88</v>
      </c>
      <c r="BK217" s="19">
        <v>0</v>
      </c>
      <c r="BL217" s="19">
        <v>0</v>
      </c>
      <c r="BM217" s="19">
        <v>0</v>
      </c>
      <c r="BN217" s="19">
        <v>602164433069</v>
      </c>
      <c r="BO217" s="66">
        <v>46251</v>
      </c>
      <c r="BP217" s="19">
        <v>0</v>
      </c>
    </row>
    <row r="218" spans="1:68">
      <c r="A218" s="65"/>
      <c r="B218" s="20" t="s">
        <v>2165</v>
      </c>
      <c r="C218" s="20" t="s">
        <v>2926</v>
      </c>
      <c r="D218" s="20" t="s">
        <v>3571</v>
      </c>
      <c r="E218" s="20" t="s">
        <v>18</v>
      </c>
      <c r="F218" s="20" t="s">
        <v>19</v>
      </c>
      <c r="H218" s="20" t="s">
        <v>3572</v>
      </c>
      <c r="I218" s="20">
        <v>3287</v>
      </c>
      <c r="J218" s="20">
        <v>3287</v>
      </c>
      <c r="K218" s="20" t="s">
        <v>11</v>
      </c>
      <c r="L218" s="20">
        <v>3287</v>
      </c>
      <c r="M218" s="20">
        <v>0</v>
      </c>
      <c r="N218" s="20">
        <v>3287</v>
      </c>
      <c r="O218" s="20" t="s">
        <v>2156</v>
      </c>
      <c r="P218" s="20" t="s">
        <v>87</v>
      </c>
      <c r="Q218" s="20" t="s">
        <v>87</v>
      </c>
      <c r="R218" s="20" t="s">
        <v>2932</v>
      </c>
      <c r="S218" s="20" t="s">
        <v>2926</v>
      </c>
      <c r="T218" s="20" t="s">
        <v>206</v>
      </c>
      <c r="U218" s="20" t="s">
        <v>207</v>
      </c>
      <c r="V218" s="20" t="s">
        <v>2931</v>
      </c>
      <c r="W218" s="20">
        <v>142.32</v>
      </c>
      <c r="X218" s="20">
        <v>142.32</v>
      </c>
      <c r="Y218" s="20" t="s">
        <v>2932</v>
      </c>
      <c r="Z218" s="20" t="s">
        <v>2926</v>
      </c>
      <c r="AB218" s="20" t="s">
        <v>212</v>
      </c>
      <c r="AD218" s="20" t="s">
        <v>213</v>
      </c>
      <c r="AE218" s="20" t="s">
        <v>212</v>
      </c>
      <c r="AF218" s="20">
        <v>0</v>
      </c>
      <c r="AG218" s="20">
        <v>0</v>
      </c>
      <c r="AH218" s="20">
        <v>0</v>
      </c>
      <c r="AI218" s="20">
        <v>0</v>
      </c>
      <c r="AJ218" s="20">
        <v>0</v>
      </c>
      <c r="AK218" s="20" t="s">
        <v>576</v>
      </c>
      <c r="AL218" s="20">
        <v>0</v>
      </c>
      <c r="AM218" s="20">
        <v>0</v>
      </c>
      <c r="AN218" s="20">
        <v>0</v>
      </c>
      <c r="AO218" s="20">
        <v>0</v>
      </c>
      <c r="AP218" s="20">
        <v>0</v>
      </c>
      <c r="AR218" s="20">
        <v>0</v>
      </c>
      <c r="AS218" s="20">
        <v>0</v>
      </c>
      <c r="AT218" s="20">
        <v>699189.38</v>
      </c>
      <c r="AU218" s="20" t="s">
        <v>13</v>
      </c>
      <c r="AV218" s="20" t="s">
        <v>62</v>
      </c>
      <c r="AW218" s="111" t="s">
        <v>63</v>
      </c>
      <c r="AX218" s="20" t="s">
        <v>208</v>
      </c>
      <c r="AY218" s="19" t="s">
        <v>209</v>
      </c>
      <c r="AZ218" s="19">
        <v>0</v>
      </c>
      <c r="BA218" s="19">
        <v>467805.84</v>
      </c>
      <c r="BB218" s="19">
        <v>1145</v>
      </c>
      <c r="BC218" s="19" t="s">
        <v>2926</v>
      </c>
      <c r="BD218" s="19" t="s">
        <v>65</v>
      </c>
      <c r="BE218" s="19" t="s">
        <v>210</v>
      </c>
      <c r="BF218" s="19" t="s">
        <v>210</v>
      </c>
      <c r="BG218" s="19">
        <v>9</v>
      </c>
      <c r="BH218" s="19">
        <v>42102.53</v>
      </c>
      <c r="BI218" s="19">
        <v>9</v>
      </c>
      <c r="BJ218" s="19">
        <v>42102.53</v>
      </c>
      <c r="BK218" s="19">
        <v>0</v>
      </c>
      <c r="BL218" s="19">
        <v>0</v>
      </c>
      <c r="BM218" s="19">
        <v>0</v>
      </c>
      <c r="BN218" s="19">
        <v>602164433069</v>
      </c>
      <c r="BO218" s="66">
        <v>46251</v>
      </c>
      <c r="BP218" s="19">
        <v>0</v>
      </c>
    </row>
    <row r="219" spans="1:68">
      <c r="A219" s="65"/>
      <c r="B219" s="20" t="s">
        <v>2165</v>
      </c>
      <c r="C219" s="20" t="s">
        <v>2926</v>
      </c>
      <c r="D219" s="20" t="s">
        <v>3573</v>
      </c>
      <c r="E219" s="20" t="s">
        <v>160</v>
      </c>
      <c r="F219" s="20" t="s">
        <v>17</v>
      </c>
      <c r="H219" s="20" t="s">
        <v>3574</v>
      </c>
      <c r="I219" s="20">
        <v>3841</v>
      </c>
      <c r="J219" s="20">
        <v>3841</v>
      </c>
      <c r="K219" s="20" t="s">
        <v>11</v>
      </c>
      <c r="L219" s="20">
        <v>3841</v>
      </c>
      <c r="M219" s="20">
        <v>0</v>
      </c>
      <c r="N219" s="20">
        <v>3841</v>
      </c>
      <c r="O219" s="20" t="s">
        <v>2156</v>
      </c>
      <c r="P219" s="20" t="s">
        <v>87</v>
      </c>
      <c r="Q219" s="20" t="s">
        <v>87</v>
      </c>
      <c r="R219" s="20" t="s">
        <v>2934</v>
      </c>
      <c r="S219" s="20" t="s">
        <v>2926</v>
      </c>
      <c r="T219" s="20" t="s">
        <v>206</v>
      </c>
      <c r="U219" s="20" t="s">
        <v>207</v>
      </c>
      <c r="V219" s="20" t="s">
        <v>2933</v>
      </c>
      <c r="W219" s="20">
        <v>176.86</v>
      </c>
      <c r="X219" s="20">
        <v>176.86000083821801</v>
      </c>
      <c r="Y219" s="20" t="s">
        <v>2934</v>
      </c>
      <c r="Z219" s="20" t="s">
        <v>2926</v>
      </c>
      <c r="AB219" s="20" t="s">
        <v>212</v>
      </c>
      <c r="AD219" s="20" t="s">
        <v>213</v>
      </c>
      <c r="AE219" s="20" t="s">
        <v>212</v>
      </c>
      <c r="AF219" s="20">
        <v>0</v>
      </c>
      <c r="AG219" s="20">
        <v>0</v>
      </c>
      <c r="AH219" s="20">
        <v>0</v>
      </c>
      <c r="AI219" s="20">
        <v>0</v>
      </c>
      <c r="AJ219" s="20">
        <v>0</v>
      </c>
      <c r="AK219" s="20" t="s">
        <v>576</v>
      </c>
      <c r="AL219" s="20">
        <v>0</v>
      </c>
      <c r="AM219" s="20">
        <v>0</v>
      </c>
      <c r="AN219" s="20">
        <v>0</v>
      </c>
      <c r="AO219" s="20">
        <v>0</v>
      </c>
      <c r="AP219" s="20">
        <v>0</v>
      </c>
      <c r="AR219" s="20">
        <v>0</v>
      </c>
      <c r="AS219" s="20">
        <v>0</v>
      </c>
      <c r="AT219" s="20">
        <v>1265970.81</v>
      </c>
      <c r="AU219" s="20" t="s">
        <v>13</v>
      </c>
      <c r="AV219" s="20" t="s">
        <v>80</v>
      </c>
      <c r="AW219" s="111" t="s">
        <v>81</v>
      </c>
      <c r="AX219" s="20" t="s">
        <v>208</v>
      </c>
      <c r="AY219" s="19" t="s">
        <v>209</v>
      </c>
      <c r="AZ219" s="19">
        <v>0</v>
      </c>
      <c r="BA219" s="19">
        <v>679319.26</v>
      </c>
      <c r="BB219" s="19">
        <v>1154</v>
      </c>
      <c r="BC219" s="19" t="s">
        <v>2926</v>
      </c>
      <c r="BD219" s="19" t="s">
        <v>65</v>
      </c>
      <c r="BE219" s="19" t="s">
        <v>210</v>
      </c>
      <c r="BF219" s="19" t="s">
        <v>210</v>
      </c>
      <c r="BG219" s="19">
        <v>9</v>
      </c>
      <c r="BH219" s="19">
        <v>61138.73</v>
      </c>
      <c r="BI219" s="19">
        <v>9</v>
      </c>
      <c r="BJ219" s="19">
        <v>61138.73</v>
      </c>
      <c r="BK219" s="19">
        <v>0</v>
      </c>
      <c r="BL219" s="19">
        <v>0</v>
      </c>
      <c r="BM219" s="19">
        <v>1265970.81</v>
      </c>
      <c r="BN219" s="19">
        <v>602164608641</v>
      </c>
      <c r="BO219" s="66">
        <v>46251</v>
      </c>
      <c r="BP219" s="19">
        <v>0</v>
      </c>
    </row>
    <row r="220" spans="1:68">
      <c r="A220" s="65"/>
      <c r="B220" s="20" t="s">
        <v>2165</v>
      </c>
      <c r="C220" s="20" t="s">
        <v>2926</v>
      </c>
      <c r="D220" s="20" t="s">
        <v>3573</v>
      </c>
      <c r="E220" s="20" t="s">
        <v>23</v>
      </c>
      <c r="F220" s="20" t="s">
        <v>24</v>
      </c>
      <c r="H220" s="20" t="s">
        <v>3574</v>
      </c>
      <c r="I220" s="20">
        <v>1690.4</v>
      </c>
      <c r="J220" s="20">
        <v>1690.4</v>
      </c>
      <c r="K220" s="20" t="s">
        <v>11</v>
      </c>
      <c r="L220" s="20">
        <v>1690.4</v>
      </c>
      <c r="M220" s="20">
        <v>0</v>
      </c>
      <c r="N220" s="20">
        <v>1690.4</v>
      </c>
      <c r="O220" s="20" t="s">
        <v>2156</v>
      </c>
      <c r="P220" s="20" t="s">
        <v>87</v>
      </c>
      <c r="Q220" s="20" t="s">
        <v>87</v>
      </c>
      <c r="R220" s="20" t="s">
        <v>2934</v>
      </c>
      <c r="S220" s="20" t="s">
        <v>2926</v>
      </c>
      <c r="T220" s="20" t="s">
        <v>206</v>
      </c>
      <c r="U220" s="20" t="s">
        <v>207</v>
      </c>
      <c r="V220" s="20" t="s">
        <v>2933</v>
      </c>
      <c r="W220" s="20">
        <v>147.32</v>
      </c>
      <c r="X220" s="20">
        <v>147.32000069821501</v>
      </c>
      <c r="Y220" s="20" t="s">
        <v>2934</v>
      </c>
      <c r="Z220" s="20" t="s">
        <v>2926</v>
      </c>
      <c r="AB220" s="20" t="s">
        <v>212</v>
      </c>
      <c r="AD220" s="20" t="s">
        <v>213</v>
      </c>
      <c r="AE220" s="20" t="s">
        <v>212</v>
      </c>
      <c r="AF220" s="20">
        <v>0</v>
      </c>
      <c r="AG220" s="20">
        <v>0</v>
      </c>
      <c r="AH220" s="20">
        <v>0</v>
      </c>
      <c r="AI220" s="20">
        <v>0</v>
      </c>
      <c r="AJ220" s="20">
        <v>0</v>
      </c>
      <c r="AK220" s="20" t="s">
        <v>576</v>
      </c>
      <c r="AL220" s="20">
        <v>0</v>
      </c>
      <c r="AM220" s="20">
        <v>0</v>
      </c>
      <c r="AN220" s="20">
        <v>0</v>
      </c>
      <c r="AO220" s="20">
        <v>0</v>
      </c>
      <c r="AP220" s="20">
        <v>0</v>
      </c>
      <c r="AR220" s="20">
        <v>0</v>
      </c>
      <c r="AS220" s="20">
        <v>0</v>
      </c>
      <c r="AT220" s="20">
        <v>1265970.81</v>
      </c>
      <c r="AU220" s="20" t="s">
        <v>13</v>
      </c>
      <c r="AV220" s="20" t="s">
        <v>24</v>
      </c>
      <c r="AW220" s="111" t="s">
        <v>79</v>
      </c>
      <c r="AX220" s="20" t="s">
        <v>208</v>
      </c>
      <c r="AY220" s="19" t="s">
        <v>209</v>
      </c>
      <c r="AZ220" s="19">
        <v>0</v>
      </c>
      <c r="BA220" s="19">
        <v>249029.73</v>
      </c>
      <c r="BB220" s="19">
        <v>1154</v>
      </c>
      <c r="BC220" s="19" t="s">
        <v>2926</v>
      </c>
      <c r="BD220" s="19" t="s">
        <v>65</v>
      </c>
      <c r="BE220" s="19" t="s">
        <v>210</v>
      </c>
      <c r="BF220" s="19" t="s">
        <v>210</v>
      </c>
      <c r="BG220" s="19">
        <v>9</v>
      </c>
      <c r="BH220" s="19">
        <v>22412.68</v>
      </c>
      <c r="BI220" s="19">
        <v>9</v>
      </c>
      <c r="BJ220" s="19">
        <v>22412.68</v>
      </c>
      <c r="BK220" s="19">
        <v>0</v>
      </c>
      <c r="BL220" s="19">
        <v>0</v>
      </c>
      <c r="BM220" s="19">
        <v>0</v>
      </c>
      <c r="BN220" s="19">
        <v>602164608641</v>
      </c>
      <c r="BO220" s="66">
        <v>46251</v>
      </c>
      <c r="BP220" s="19">
        <v>0</v>
      </c>
    </row>
    <row r="221" spans="1:68">
      <c r="A221" s="65"/>
      <c r="B221" s="20" t="s">
        <v>2165</v>
      </c>
      <c r="C221" s="20" t="s">
        <v>2926</v>
      </c>
      <c r="D221" s="20" t="s">
        <v>3573</v>
      </c>
      <c r="E221" s="20" t="s">
        <v>23</v>
      </c>
      <c r="F221" s="20" t="s">
        <v>24</v>
      </c>
      <c r="H221" s="20" t="s">
        <v>3574</v>
      </c>
      <c r="I221" s="20">
        <v>1001.3</v>
      </c>
      <c r="J221" s="20">
        <v>1001.3</v>
      </c>
      <c r="K221" s="20" t="s">
        <v>11</v>
      </c>
      <c r="L221" s="20">
        <v>1001.3</v>
      </c>
      <c r="M221" s="20">
        <v>0</v>
      </c>
      <c r="N221" s="20">
        <v>1001.3</v>
      </c>
      <c r="O221" s="20" t="s">
        <v>2156</v>
      </c>
      <c r="P221" s="20" t="s">
        <v>87</v>
      </c>
      <c r="Q221" s="20" t="s">
        <v>87</v>
      </c>
      <c r="R221" s="20" t="s">
        <v>2934</v>
      </c>
      <c r="S221" s="111" t="s">
        <v>2926</v>
      </c>
      <c r="T221" s="20" t="s">
        <v>206</v>
      </c>
      <c r="U221" s="20" t="s">
        <v>207</v>
      </c>
      <c r="V221" s="20" t="s">
        <v>2933</v>
      </c>
      <c r="W221" s="20">
        <v>144.32</v>
      </c>
      <c r="X221" s="20">
        <v>144.32000068399699</v>
      </c>
      <c r="Y221" s="20" t="s">
        <v>2934</v>
      </c>
      <c r="Z221" s="111" t="s">
        <v>2926</v>
      </c>
      <c r="AB221" s="20" t="s">
        <v>212</v>
      </c>
      <c r="AD221" s="20" t="s">
        <v>213</v>
      </c>
      <c r="AE221" s="20" t="s">
        <v>212</v>
      </c>
      <c r="AF221" s="20">
        <v>0</v>
      </c>
      <c r="AG221" s="20">
        <v>0</v>
      </c>
      <c r="AH221" s="20">
        <v>0</v>
      </c>
      <c r="AI221" s="20">
        <v>0</v>
      </c>
      <c r="AJ221" s="20">
        <v>0</v>
      </c>
      <c r="AK221" s="20" t="s">
        <v>576</v>
      </c>
      <c r="AL221" s="20">
        <v>0</v>
      </c>
      <c r="AM221" s="20">
        <v>0</v>
      </c>
      <c r="AN221" s="20">
        <v>0</v>
      </c>
      <c r="AO221" s="20">
        <v>0</v>
      </c>
      <c r="AP221" s="20">
        <v>0</v>
      </c>
      <c r="AR221" s="20">
        <v>0</v>
      </c>
      <c r="AS221" s="20">
        <v>0</v>
      </c>
      <c r="AT221" s="20">
        <v>1265970.81</v>
      </c>
      <c r="AU221" s="20" t="s">
        <v>13</v>
      </c>
      <c r="AV221" s="20" t="s">
        <v>24</v>
      </c>
      <c r="AW221" s="111" t="s">
        <v>79</v>
      </c>
      <c r="AX221" s="20" t="s">
        <v>208</v>
      </c>
      <c r="AY221" s="19" t="s">
        <v>209</v>
      </c>
      <c r="AZ221" s="19">
        <v>0</v>
      </c>
      <c r="BA221" s="19">
        <v>144507.62</v>
      </c>
      <c r="BB221" s="19">
        <v>1154</v>
      </c>
      <c r="BC221" s="19" t="s">
        <v>2926</v>
      </c>
      <c r="BD221" s="19" t="s">
        <v>65</v>
      </c>
      <c r="BE221" s="19" t="s">
        <v>210</v>
      </c>
      <c r="BF221" s="19" t="s">
        <v>210</v>
      </c>
      <c r="BG221" s="19">
        <v>9</v>
      </c>
      <c r="BH221" s="19">
        <v>13005.69</v>
      </c>
      <c r="BI221" s="19">
        <v>9</v>
      </c>
      <c r="BJ221" s="19">
        <v>13005.69</v>
      </c>
      <c r="BK221" s="19">
        <v>0</v>
      </c>
      <c r="BL221" s="19">
        <v>0</v>
      </c>
      <c r="BM221" s="19">
        <v>0</v>
      </c>
      <c r="BN221" s="19">
        <v>602164608641</v>
      </c>
      <c r="BO221" s="66">
        <v>46251</v>
      </c>
      <c r="BP221" s="19">
        <v>0</v>
      </c>
    </row>
    <row r="222" spans="1:68">
      <c r="A222" s="65"/>
      <c r="B222" s="20" t="s">
        <v>2165</v>
      </c>
      <c r="C222" s="20" t="s">
        <v>2939</v>
      </c>
      <c r="D222" s="20" t="s">
        <v>3575</v>
      </c>
      <c r="E222" s="20" t="s">
        <v>18</v>
      </c>
      <c r="F222" s="20" t="s">
        <v>19</v>
      </c>
      <c r="H222" s="20" t="s">
        <v>3576</v>
      </c>
      <c r="I222" s="20">
        <v>1931</v>
      </c>
      <c r="J222" s="20">
        <v>1931</v>
      </c>
      <c r="K222" s="20" t="s">
        <v>11</v>
      </c>
      <c r="L222" s="20">
        <v>1931</v>
      </c>
      <c r="M222" s="20">
        <v>0</v>
      </c>
      <c r="N222" s="20">
        <v>1931</v>
      </c>
      <c r="O222" s="20" t="s">
        <v>3577</v>
      </c>
      <c r="P222" s="20" t="s">
        <v>87</v>
      </c>
      <c r="Q222" s="20" t="s">
        <v>87</v>
      </c>
      <c r="R222" s="20" t="s">
        <v>2943</v>
      </c>
      <c r="S222" s="111" t="s">
        <v>2939</v>
      </c>
      <c r="T222" s="20" t="s">
        <v>206</v>
      </c>
      <c r="U222" s="20" t="s">
        <v>207</v>
      </c>
      <c r="V222" s="20" t="s">
        <v>2942</v>
      </c>
      <c r="W222" s="20">
        <v>144.32</v>
      </c>
      <c r="X222" s="20">
        <v>144.32</v>
      </c>
      <c r="Y222" s="20" t="s">
        <v>2943</v>
      </c>
      <c r="Z222" s="111" t="s">
        <v>2939</v>
      </c>
      <c r="AB222" s="20" t="s">
        <v>212</v>
      </c>
      <c r="AD222" s="20" t="s">
        <v>213</v>
      </c>
      <c r="AE222" s="20" t="s">
        <v>212</v>
      </c>
      <c r="AF222" s="20">
        <v>0</v>
      </c>
      <c r="AG222" s="20">
        <v>0</v>
      </c>
      <c r="AH222" s="20">
        <v>0</v>
      </c>
      <c r="AI222" s="20">
        <v>0</v>
      </c>
      <c r="AJ222" s="20">
        <v>0</v>
      </c>
      <c r="AK222" s="20" t="s">
        <v>576</v>
      </c>
      <c r="AL222" s="20">
        <v>0</v>
      </c>
      <c r="AM222" s="20">
        <v>0</v>
      </c>
      <c r="AN222" s="20">
        <v>0</v>
      </c>
      <c r="AO222" s="20">
        <v>0</v>
      </c>
      <c r="AP222" s="20">
        <v>0</v>
      </c>
      <c r="AR222" s="20">
        <v>0</v>
      </c>
      <c r="AS222" s="20">
        <v>0</v>
      </c>
      <c r="AT222" s="20">
        <v>3049323.44</v>
      </c>
      <c r="AU222" s="20" t="s">
        <v>13</v>
      </c>
      <c r="AV222" s="20" t="s">
        <v>62</v>
      </c>
      <c r="AW222" s="111" t="s">
        <v>63</v>
      </c>
      <c r="AX222" s="20" t="s">
        <v>208</v>
      </c>
      <c r="AY222" s="19" t="s">
        <v>209</v>
      </c>
      <c r="AZ222" s="19">
        <v>0</v>
      </c>
      <c r="BA222" s="19">
        <v>278681.92</v>
      </c>
      <c r="BB222" s="19">
        <v>1156</v>
      </c>
      <c r="BC222" s="19" t="s">
        <v>2939</v>
      </c>
      <c r="BD222" s="19" t="s">
        <v>65</v>
      </c>
      <c r="BE222" s="19" t="s">
        <v>210</v>
      </c>
      <c r="BF222" s="19" t="s">
        <v>210</v>
      </c>
      <c r="BG222" s="19">
        <v>9</v>
      </c>
      <c r="BH222" s="19">
        <v>25081.37</v>
      </c>
      <c r="BI222" s="19">
        <v>9</v>
      </c>
      <c r="BJ222" s="19">
        <v>25081.37</v>
      </c>
      <c r="BK222" s="19">
        <v>0</v>
      </c>
      <c r="BL222" s="19">
        <v>0</v>
      </c>
      <c r="BM222" s="19">
        <v>3049323.44</v>
      </c>
      <c r="BN222" s="19">
        <v>672165149281</v>
      </c>
      <c r="BO222" s="66">
        <v>46252</v>
      </c>
      <c r="BP222" s="19">
        <v>0</v>
      </c>
    </row>
    <row r="223" spans="1:68">
      <c r="A223" s="65"/>
      <c r="B223" s="20" t="s">
        <v>2165</v>
      </c>
      <c r="C223" s="20" t="s">
        <v>2939</v>
      </c>
      <c r="D223" s="20" t="s">
        <v>3575</v>
      </c>
      <c r="E223" s="20" t="s">
        <v>18</v>
      </c>
      <c r="F223" s="20" t="s">
        <v>19</v>
      </c>
      <c r="H223" s="20" t="s">
        <v>3576</v>
      </c>
      <c r="I223" s="20">
        <v>13927</v>
      </c>
      <c r="J223" s="20">
        <v>13927</v>
      </c>
      <c r="K223" s="20" t="s">
        <v>11</v>
      </c>
      <c r="L223" s="20">
        <v>13927</v>
      </c>
      <c r="M223" s="20">
        <v>0</v>
      </c>
      <c r="N223" s="20">
        <v>13927</v>
      </c>
      <c r="O223" s="20" t="s">
        <v>3577</v>
      </c>
      <c r="P223" s="20" t="s">
        <v>87</v>
      </c>
      <c r="Q223" s="20" t="s">
        <v>87</v>
      </c>
      <c r="R223" s="20" t="s">
        <v>2943</v>
      </c>
      <c r="S223" s="111" t="s">
        <v>2939</v>
      </c>
      <c r="T223" s="20" t="s">
        <v>206</v>
      </c>
      <c r="U223" s="20" t="s">
        <v>207</v>
      </c>
      <c r="V223" s="20" t="s">
        <v>2942</v>
      </c>
      <c r="W223" s="20">
        <v>142.32</v>
      </c>
      <c r="X223" s="20">
        <v>142.32</v>
      </c>
      <c r="Y223" s="20" t="s">
        <v>2943</v>
      </c>
      <c r="Z223" s="111" t="s">
        <v>2939</v>
      </c>
      <c r="AB223" s="20" t="s">
        <v>212</v>
      </c>
      <c r="AD223" s="20" t="s">
        <v>213</v>
      </c>
      <c r="AE223" s="20" t="s">
        <v>212</v>
      </c>
      <c r="AF223" s="20">
        <v>0</v>
      </c>
      <c r="AG223" s="20">
        <v>0</v>
      </c>
      <c r="AH223" s="20">
        <v>0</v>
      </c>
      <c r="AI223" s="20">
        <v>0</v>
      </c>
      <c r="AJ223" s="20">
        <v>0</v>
      </c>
      <c r="AK223" s="20" t="s">
        <v>576</v>
      </c>
      <c r="AL223" s="20">
        <v>0</v>
      </c>
      <c r="AM223" s="20">
        <v>0</v>
      </c>
      <c r="AN223" s="20">
        <v>0</v>
      </c>
      <c r="AO223" s="20">
        <v>0</v>
      </c>
      <c r="AP223" s="20">
        <v>0</v>
      </c>
      <c r="AR223" s="20">
        <v>0</v>
      </c>
      <c r="AS223" s="20">
        <v>0</v>
      </c>
      <c r="AT223" s="20">
        <v>3049323.44</v>
      </c>
      <c r="AU223" s="20" t="s">
        <v>13</v>
      </c>
      <c r="AV223" s="20" t="s">
        <v>62</v>
      </c>
      <c r="AW223" s="111" t="s">
        <v>63</v>
      </c>
      <c r="AX223" s="20" t="s">
        <v>208</v>
      </c>
      <c r="AY223" s="19" t="s">
        <v>209</v>
      </c>
      <c r="AZ223" s="19">
        <v>0</v>
      </c>
      <c r="BA223" s="19">
        <v>1982090.64</v>
      </c>
      <c r="BB223" s="19">
        <v>1156</v>
      </c>
      <c r="BC223" s="19" t="s">
        <v>2939</v>
      </c>
      <c r="BD223" s="19" t="s">
        <v>65</v>
      </c>
      <c r="BE223" s="19" t="s">
        <v>210</v>
      </c>
      <c r="BF223" s="19" t="s">
        <v>210</v>
      </c>
      <c r="BG223" s="19">
        <v>9</v>
      </c>
      <c r="BH223" s="19">
        <v>178388.16</v>
      </c>
      <c r="BI223" s="19">
        <v>9</v>
      </c>
      <c r="BJ223" s="19">
        <v>178388.16</v>
      </c>
      <c r="BK223" s="19">
        <v>0</v>
      </c>
      <c r="BL223" s="19">
        <v>0</v>
      </c>
      <c r="BM223" s="19">
        <v>0</v>
      </c>
      <c r="BN223" s="19">
        <v>672165149281</v>
      </c>
      <c r="BO223" s="66">
        <v>46252</v>
      </c>
      <c r="BP223" s="19">
        <v>0</v>
      </c>
    </row>
    <row r="224" spans="1:68">
      <c r="A224" s="65"/>
      <c r="B224" s="20" t="s">
        <v>2165</v>
      </c>
      <c r="C224" s="20" t="s">
        <v>2939</v>
      </c>
      <c r="D224" s="20" t="s">
        <v>3575</v>
      </c>
      <c r="E224" s="20" t="s">
        <v>18</v>
      </c>
      <c r="F224" s="20" t="s">
        <v>19</v>
      </c>
      <c r="H224" s="20" t="s">
        <v>3576</v>
      </c>
      <c r="I224" s="20">
        <v>502</v>
      </c>
      <c r="J224" s="20">
        <v>502</v>
      </c>
      <c r="K224" s="20" t="s">
        <v>11</v>
      </c>
      <c r="L224" s="20">
        <v>502</v>
      </c>
      <c r="M224" s="20">
        <v>0</v>
      </c>
      <c r="N224" s="20">
        <v>502</v>
      </c>
      <c r="O224" s="20" t="s">
        <v>3577</v>
      </c>
      <c r="P224" s="20" t="s">
        <v>87</v>
      </c>
      <c r="Q224" s="20" t="s">
        <v>87</v>
      </c>
      <c r="R224" s="20" t="s">
        <v>2943</v>
      </c>
      <c r="S224" s="111" t="s">
        <v>2939</v>
      </c>
      <c r="T224" s="20" t="s">
        <v>206</v>
      </c>
      <c r="U224" s="20" t="s">
        <v>207</v>
      </c>
      <c r="V224" s="20" t="s">
        <v>2942</v>
      </c>
      <c r="W224" s="20">
        <v>145.32</v>
      </c>
      <c r="X224" s="20">
        <v>145.32</v>
      </c>
      <c r="Y224" s="20" t="s">
        <v>2943</v>
      </c>
      <c r="Z224" s="111" t="s">
        <v>2939</v>
      </c>
      <c r="AB224" s="20" t="s">
        <v>212</v>
      </c>
      <c r="AD224" s="20" t="s">
        <v>213</v>
      </c>
      <c r="AE224" s="20" t="s">
        <v>212</v>
      </c>
      <c r="AF224" s="20">
        <v>0</v>
      </c>
      <c r="AG224" s="20">
        <v>0</v>
      </c>
      <c r="AH224" s="20">
        <v>0</v>
      </c>
      <c r="AI224" s="20">
        <v>0</v>
      </c>
      <c r="AJ224" s="20">
        <v>0</v>
      </c>
      <c r="AK224" s="20" t="s">
        <v>576</v>
      </c>
      <c r="AL224" s="20">
        <v>0</v>
      </c>
      <c r="AM224" s="20">
        <v>0</v>
      </c>
      <c r="AN224" s="20">
        <v>0</v>
      </c>
      <c r="AO224" s="20">
        <v>0</v>
      </c>
      <c r="AP224" s="20">
        <v>0</v>
      </c>
      <c r="AR224" s="20">
        <v>0</v>
      </c>
      <c r="AS224" s="20">
        <v>0</v>
      </c>
      <c r="AT224" s="20">
        <v>3049323.44</v>
      </c>
      <c r="AU224" s="20" t="s">
        <v>13</v>
      </c>
      <c r="AV224" s="20" t="s">
        <v>62</v>
      </c>
      <c r="AW224" s="111" t="s">
        <v>63</v>
      </c>
      <c r="AX224" s="20" t="s">
        <v>208</v>
      </c>
      <c r="AY224" s="19" t="s">
        <v>209</v>
      </c>
      <c r="AZ224" s="19">
        <v>0</v>
      </c>
      <c r="BA224" s="19">
        <v>72950.64</v>
      </c>
      <c r="BB224" s="19">
        <v>1156</v>
      </c>
      <c r="BC224" s="19" t="s">
        <v>2939</v>
      </c>
      <c r="BD224" s="19" t="s">
        <v>65</v>
      </c>
      <c r="BE224" s="19" t="s">
        <v>210</v>
      </c>
      <c r="BF224" s="19" t="s">
        <v>210</v>
      </c>
      <c r="BG224" s="19">
        <v>9</v>
      </c>
      <c r="BH224" s="19">
        <v>6565.56</v>
      </c>
      <c r="BI224" s="19">
        <v>9</v>
      </c>
      <c r="BJ224" s="19">
        <v>6565.56</v>
      </c>
      <c r="BK224" s="19">
        <v>0</v>
      </c>
      <c r="BL224" s="19">
        <v>0</v>
      </c>
      <c r="BM224" s="19">
        <v>0</v>
      </c>
      <c r="BN224" s="19">
        <v>672165149281</v>
      </c>
      <c r="BO224" s="66">
        <v>46252</v>
      </c>
      <c r="BP224" s="19">
        <v>0</v>
      </c>
    </row>
    <row r="225" spans="1:68">
      <c r="A225" s="65"/>
      <c r="B225" s="20" t="s">
        <v>2165</v>
      </c>
      <c r="C225" s="20" t="s">
        <v>2939</v>
      </c>
      <c r="D225" s="20" t="s">
        <v>3575</v>
      </c>
      <c r="E225" s="20" t="s">
        <v>20</v>
      </c>
      <c r="F225" s="20" t="s">
        <v>21</v>
      </c>
      <c r="H225" s="20" t="s">
        <v>3576</v>
      </c>
      <c r="I225" s="20">
        <v>1300</v>
      </c>
      <c r="J225" s="20">
        <v>1300</v>
      </c>
      <c r="K225" s="20" t="s">
        <v>11</v>
      </c>
      <c r="L225" s="20">
        <v>1300</v>
      </c>
      <c r="M225" s="20">
        <v>0</v>
      </c>
      <c r="N225" s="20">
        <v>1300</v>
      </c>
      <c r="O225" s="20" t="s">
        <v>3577</v>
      </c>
      <c r="P225" s="20" t="s">
        <v>87</v>
      </c>
      <c r="Q225" s="20" t="s">
        <v>87</v>
      </c>
      <c r="R225" s="20" t="s">
        <v>2943</v>
      </c>
      <c r="S225" s="111" t="s">
        <v>2939</v>
      </c>
      <c r="T225" s="20" t="s">
        <v>206</v>
      </c>
      <c r="U225" s="20" t="s">
        <v>207</v>
      </c>
      <c r="V225" s="20" t="s">
        <v>2942</v>
      </c>
      <c r="W225" s="20">
        <v>149.32</v>
      </c>
      <c r="X225" s="20">
        <v>149.32</v>
      </c>
      <c r="Y225" s="20" t="s">
        <v>2943</v>
      </c>
      <c r="Z225" s="111" t="s">
        <v>2939</v>
      </c>
      <c r="AB225" s="20" t="s">
        <v>212</v>
      </c>
      <c r="AD225" s="20" t="s">
        <v>213</v>
      </c>
      <c r="AE225" s="20" t="s">
        <v>212</v>
      </c>
      <c r="AF225" s="20">
        <v>0</v>
      </c>
      <c r="AG225" s="20">
        <v>0</v>
      </c>
      <c r="AH225" s="20">
        <v>0</v>
      </c>
      <c r="AI225" s="20">
        <v>0</v>
      </c>
      <c r="AJ225" s="20">
        <v>0</v>
      </c>
      <c r="AK225" s="20" t="s">
        <v>576</v>
      </c>
      <c r="AL225" s="20">
        <v>0</v>
      </c>
      <c r="AM225" s="20">
        <v>0</v>
      </c>
      <c r="AN225" s="20">
        <v>0</v>
      </c>
      <c r="AO225" s="20">
        <v>0</v>
      </c>
      <c r="AP225" s="20">
        <v>0</v>
      </c>
      <c r="AR225" s="20">
        <v>0</v>
      </c>
      <c r="AS225" s="20">
        <v>0</v>
      </c>
      <c r="AT225" s="20">
        <v>3049323.44</v>
      </c>
      <c r="AU225" s="20" t="s">
        <v>13</v>
      </c>
      <c r="AV225" s="20" t="s">
        <v>62</v>
      </c>
      <c r="AW225" s="111" t="s">
        <v>76</v>
      </c>
      <c r="AX225" s="20" t="s">
        <v>208</v>
      </c>
      <c r="AY225" s="19" t="s">
        <v>209</v>
      </c>
      <c r="AZ225" s="19">
        <v>0</v>
      </c>
      <c r="BA225" s="19">
        <v>194116</v>
      </c>
      <c r="BB225" s="19">
        <v>1156</v>
      </c>
      <c r="BC225" s="19" t="s">
        <v>2939</v>
      </c>
      <c r="BD225" s="19" t="s">
        <v>65</v>
      </c>
      <c r="BE225" s="19" t="s">
        <v>210</v>
      </c>
      <c r="BF225" s="19" t="s">
        <v>210</v>
      </c>
      <c r="BG225" s="19">
        <v>9</v>
      </c>
      <c r="BH225" s="19">
        <v>17470.439999999999</v>
      </c>
      <c r="BI225" s="19">
        <v>9</v>
      </c>
      <c r="BJ225" s="19">
        <v>17470.439999999999</v>
      </c>
      <c r="BK225" s="19">
        <v>0</v>
      </c>
      <c r="BL225" s="19">
        <v>0</v>
      </c>
      <c r="BM225" s="19">
        <v>0</v>
      </c>
      <c r="BN225" s="19">
        <v>672165149281</v>
      </c>
      <c r="BO225" s="66">
        <v>46252</v>
      </c>
      <c r="BP225" s="19">
        <v>0</v>
      </c>
    </row>
    <row r="226" spans="1:68">
      <c r="A226" s="65"/>
      <c r="B226" s="20" t="s">
        <v>2165</v>
      </c>
      <c r="C226" s="20" t="s">
        <v>2939</v>
      </c>
      <c r="D226" s="20" t="s">
        <v>3575</v>
      </c>
      <c r="E226" s="20" t="s">
        <v>20</v>
      </c>
      <c r="F226" s="20" t="s">
        <v>21</v>
      </c>
      <c r="H226" s="20" t="s">
        <v>3576</v>
      </c>
      <c r="I226" s="20">
        <v>385</v>
      </c>
      <c r="J226" s="20">
        <v>385</v>
      </c>
      <c r="K226" s="20" t="s">
        <v>11</v>
      </c>
      <c r="L226" s="20">
        <v>385</v>
      </c>
      <c r="M226" s="20">
        <v>0</v>
      </c>
      <c r="N226" s="20">
        <v>385</v>
      </c>
      <c r="O226" s="20" t="s">
        <v>3577</v>
      </c>
      <c r="P226" s="20" t="s">
        <v>87</v>
      </c>
      <c r="Q226" s="20" t="s">
        <v>87</v>
      </c>
      <c r="R226" s="20" t="s">
        <v>2943</v>
      </c>
      <c r="S226" s="111" t="s">
        <v>2939</v>
      </c>
      <c r="T226" s="20" t="s">
        <v>206</v>
      </c>
      <c r="U226" s="20" t="s">
        <v>207</v>
      </c>
      <c r="V226" s="20" t="s">
        <v>2942</v>
      </c>
      <c r="W226" s="20">
        <v>146.32</v>
      </c>
      <c r="X226" s="20">
        <v>146.32</v>
      </c>
      <c r="Y226" s="20" t="s">
        <v>2943</v>
      </c>
      <c r="Z226" s="111" t="s">
        <v>2939</v>
      </c>
      <c r="AB226" s="20" t="s">
        <v>212</v>
      </c>
      <c r="AD226" s="20" t="s">
        <v>213</v>
      </c>
      <c r="AE226" s="20" t="s">
        <v>212</v>
      </c>
      <c r="AF226" s="20">
        <v>0</v>
      </c>
      <c r="AG226" s="20">
        <v>0</v>
      </c>
      <c r="AH226" s="20">
        <v>0</v>
      </c>
      <c r="AI226" s="20">
        <v>0</v>
      </c>
      <c r="AJ226" s="20">
        <v>0</v>
      </c>
      <c r="AK226" s="20" t="s">
        <v>576</v>
      </c>
      <c r="AL226" s="20">
        <v>0</v>
      </c>
      <c r="AM226" s="20">
        <v>0</v>
      </c>
      <c r="AN226" s="20">
        <v>0</v>
      </c>
      <c r="AO226" s="20">
        <v>0</v>
      </c>
      <c r="AP226" s="20">
        <v>0</v>
      </c>
      <c r="AR226" s="20">
        <v>0</v>
      </c>
      <c r="AS226" s="20">
        <v>0</v>
      </c>
      <c r="AT226" s="20">
        <v>3049323.44</v>
      </c>
      <c r="AU226" s="20" t="s">
        <v>13</v>
      </c>
      <c r="AV226" s="20" t="s">
        <v>62</v>
      </c>
      <c r="AW226" s="111" t="s">
        <v>76</v>
      </c>
      <c r="AX226" s="20" t="s">
        <v>208</v>
      </c>
      <c r="AY226" s="19" t="s">
        <v>209</v>
      </c>
      <c r="AZ226" s="19">
        <v>0</v>
      </c>
      <c r="BA226" s="19">
        <v>56333.2</v>
      </c>
      <c r="BB226" s="19">
        <v>1156</v>
      </c>
      <c r="BC226" s="19" t="s">
        <v>2939</v>
      </c>
      <c r="BD226" s="19" t="s">
        <v>65</v>
      </c>
      <c r="BE226" s="19" t="s">
        <v>210</v>
      </c>
      <c r="BF226" s="19" t="s">
        <v>210</v>
      </c>
      <c r="BG226" s="19">
        <v>9</v>
      </c>
      <c r="BH226" s="19">
        <v>5069.99</v>
      </c>
      <c r="BI226" s="19">
        <v>9</v>
      </c>
      <c r="BJ226" s="19">
        <v>5069.99</v>
      </c>
      <c r="BK226" s="19">
        <v>0</v>
      </c>
      <c r="BL226" s="19">
        <v>0</v>
      </c>
      <c r="BM226" s="19">
        <v>0</v>
      </c>
      <c r="BN226" s="19">
        <v>672165149281</v>
      </c>
      <c r="BO226" s="66">
        <v>46252</v>
      </c>
      <c r="BP226" s="19">
        <v>0</v>
      </c>
    </row>
    <row r="227" spans="1:68">
      <c r="A227" s="65"/>
      <c r="B227" s="20" t="s">
        <v>2165</v>
      </c>
      <c r="C227" s="20" t="s">
        <v>2939</v>
      </c>
      <c r="D227" s="20" t="s">
        <v>3578</v>
      </c>
      <c r="E227" s="20" t="s">
        <v>554</v>
      </c>
      <c r="F227" s="20" t="s">
        <v>553</v>
      </c>
      <c r="H227" s="20" t="s">
        <v>3579</v>
      </c>
      <c r="I227" s="20">
        <v>952.2</v>
      </c>
      <c r="J227" s="20">
        <v>952.2</v>
      </c>
      <c r="K227" s="20" t="s">
        <v>3</v>
      </c>
      <c r="L227" s="20">
        <v>952.2</v>
      </c>
      <c r="M227" s="20">
        <v>0</v>
      </c>
      <c r="N227" s="20">
        <v>952.2</v>
      </c>
      <c r="O227" s="20" t="s">
        <v>2156</v>
      </c>
      <c r="P227" s="20" t="s">
        <v>87</v>
      </c>
      <c r="Q227" s="20" t="s">
        <v>87</v>
      </c>
      <c r="R227" s="20" t="s">
        <v>2945</v>
      </c>
      <c r="S227" s="111" t="s">
        <v>2939</v>
      </c>
      <c r="T227" s="20" t="s">
        <v>206</v>
      </c>
      <c r="U227" s="20" t="s">
        <v>207</v>
      </c>
      <c r="V227" s="20" t="s">
        <v>2944</v>
      </c>
      <c r="W227" s="20">
        <v>154.32</v>
      </c>
      <c r="X227" s="20">
        <v>154.31999729848701</v>
      </c>
      <c r="Y227" s="20" t="s">
        <v>2945</v>
      </c>
      <c r="Z227" s="111" t="s">
        <v>2939</v>
      </c>
      <c r="AB227" s="20" t="s">
        <v>212</v>
      </c>
      <c r="AD227" s="20" t="s">
        <v>213</v>
      </c>
      <c r="AE227" s="20" t="s">
        <v>212</v>
      </c>
      <c r="AF227" s="20">
        <v>0</v>
      </c>
      <c r="AG227" s="20">
        <v>0</v>
      </c>
      <c r="AH227" s="20">
        <v>0</v>
      </c>
      <c r="AI227" s="20">
        <v>0</v>
      </c>
      <c r="AJ227" s="20">
        <v>0</v>
      </c>
      <c r="AK227" s="20" t="s">
        <v>576</v>
      </c>
      <c r="AL227" s="20">
        <v>0</v>
      </c>
      <c r="AM227" s="20">
        <v>0</v>
      </c>
      <c r="AN227" s="20">
        <v>0</v>
      </c>
      <c r="AO227" s="20">
        <v>0</v>
      </c>
      <c r="AP227" s="20">
        <v>0</v>
      </c>
      <c r="AR227" s="20">
        <v>0</v>
      </c>
      <c r="AS227" s="20">
        <v>0</v>
      </c>
      <c r="AT227" s="20">
        <v>799729.71</v>
      </c>
      <c r="AU227" s="20" t="s">
        <v>13</v>
      </c>
      <c r="AV227" s="20" t="s">
        <v>99</v>
      </c>
      <c r="AW227" s="111" t="s">
        <v>100</v>
      </c>
      <c r="AX227" s="20" t="s">
        <v>208</v>
      </c>
      <c r="AY227" s="19"/>
      <c r="AZ227" s="19">
        <v>0</v>
      </c>
      <c r="BA227" s="19">
        <v>146943.5</v>
      </c>
      <c r="BB227" s="19">
        <v>1159</v>
      </c>
      <c r="BC227" s="19" t="s">
        <v>2939</v>
      </c>
      <c r="BD227" s="19" t="s">
        <v>65</v>
      </c>
      <c r="BE227" s="19" t="s">
        <v>210</v>
      </c>
      <c r="BF227" s="19" t="s">
        <v>210</v>
      </c>
      <c r="BG227" s="19">
        <v>2.5</v>
      </c>
      <c r="BH227" s="19">
        <v>3673.59</v>
      </c>
      <c r="BI227" s="19">
        <v>2.5</v>
      </c>
      <c r="BJ227" s="19">
        <v>3673.59</v>
      </c>
      <c r="BK227" s="19">
        <v>0</v>
      </c>
      <c r="BL227" s="19">
        <v>0</v>
      </c>
      <c r="BM227" s="19">
        <v>799729.71</v>
      </c>
      <c r="BN227" s="19">
        <v>662165405838</v>
      </c>
      <c r="BO227" s="66">
        <v>46252</v>
      </c>
      <c r="BP227" s="19">
        <v>0</v>
      </c>
    </row>
    <row r="228" spans="1:68">
      <c r="A228" s="65"/>
      <c r="B228" s="20" t="s">
        <v>2165</v>
      </c>
      <c r="C228" s="20" t="s">
        <v>2939</v>
      </c>
      <c r="D228" s="20" t="s">
        <v>3578</v>
      </c>
      <c r="E228" s="20" t="s">
        <v>1324</v>
      </c>
      <c r="F228" s="20" t="s">
        <v>1268</v>
      </c>
      <c r="H228" s="20" t="s">
        <v>3579</v>
      </c>
      <c r="I228" s="20">
        <v>989.2</v>
      </c>
      <c r="J228" s="20">
        <v>989.2</v>
      </c>
      <c r="K228" s="20" t="s">
        <v>3</v>
      </c>
      <c r="L228" s="20">
        <v>989.2</v>
      </c>
      <c r="M228" s="20">
        <v>0</v>
      </c>
      <c r="N228" s="20">
        <v>989.2</v>
      </c>
      <c r="O228" s="20" t="s">
        <v>2156</v>
      </c>
      <c r="P228" s="20" t="s">
        <v>87</v>
      </c>
      <c r="Q228" s="20" t="s">
        <v>87</v>
      </c>
      <c r="R228" s="20" t="s">
        <v>2945</v>
      </c>
      <c r="S228" s="111" t="s">
        <v>2939</v>
      </c>
      <c r="T228" s="20" t="s">
        <v>206</v>
      </c>
      <c r="U228" s="20" t="s">
        <v>207</v>
      </c>
      <c r="V228" s="20" t="s">
        <v>2944</v>
      </c>
      <c r="W228" s="20">
        <v>157.32</v>
      </c>
      <c r="X228" s="20">
        <v>157.31999724597</v>
      </c>
      <c r="Y228" s="20" t="s">
        <v>2945</v>
      </c>
      <c r="Z228" s="111" t="s">
        <v>2939</v>
      </c>
      <c r="AB228" s="20" t="s">
        <v>212</v>
      </c>
      <c r="AD228" s="20" t="s">
        <v>213</v>
      </c>
      <c r="AE228" s="20" t="s">
        <v>212</v>
      </c>
      <c r="AF228" s="20">
        <v>0</v>
      </c>
      <c r="AG228" s="20">
        <v>0</v>
      </c>
      <c r="AH228" s="20">
        <v>0</v>
      </c>
      <c r="AI228" s="20">
        <v>0</v>
      </c>
      <c r="AJ228" s="20">
        <v>0</v>
      </c>
      <c r="AK228" s="20" t="s">
        <v>576</v>
      </c>
      <c r="AL228" s="20">
        <v>0</v>
      </c>
      <c r="AM228" s="20">
        <v>0</v>
      </c>
      <c r="AN228" s="20">
        <v>0</v>
      </c>
      <c r="AO228" s="20">
        <v>0</v>
      </c>
      <c r="AP228" s="20">
        <v>0</v>
      </c>
      <c r="AR228" s="20">
        <v>0</v>
      </c>
      <c r="AS228" s="20">
        <v>0</v>
      </c>
      <c r="AT228" s="20">
        <v>799729.71</v>
      </c>
      <c r="AU228" s="20" t="s">
        <v>13</v>
      </c>
      <c r="AV228" s="20" t="s">
        <v>99</v>
      </c>
      <c r="AW228" s="111" t="s">
        <v>100</v>
      </c>
      <c r="AX228" s="20" t="s">
        <v>208</v>
      </c>
      <c r="AY228" s="19"/>
      <c r="AZ228" s="19">
        <v>0</v>
      </c>
      <c r="BA228" s="19">
        <v>155620.94</v>
      </c>
      <c r="BB228" s="19">
        <v>1159</v>
      </c>
      <c r="BC228" s="19" t="s">
        <v>2939</v>
      </c>
      <c r="BD228" s="19" t="s">
        <v>65</v>
      </c>
      <c r="BE228" s="19" t="s">
        <v>210</v>
      </c>
      <c r="BF228" s="19" t="s">
        <v>210</v>
      </c>
      <c r="BG228" s="19">
        <v>2.5</v>
      </c>
      <c r="BH228" s="19">
        <v>3890.52</v>
      </c>
      <c r="BI228" s="19">
        <v>2.5</v>
      </c>
      <c r="BJ228" s="19">
        <v>3890.52</v>
      </c>
      <c r="BK228" s="19">
        <v>0</v>
      </c>
      <c r="BL228" s="19">
        <v>0</v>
      </c>
      <c r="BM228" s="19">
        <v>0</v>
      </c>
      <c r="BN228" s="19">
        <v>662165405838</v>
      </c>
      <c r="BO228" s="66">
        <v>46252</v>
      </c>
      <c r="BP228" s="19">
        <v>0</v>
      </c>
    </row>
    <row r="229" spans="1:68">
      <c r="A229" s="65"/>
      <c r="B229" s="20" t="s">
        <v>2165</v>
      </c>
      <c r="C229" s="20" t="s">
        <v>2939</v>
      </c>
      <c r="D229" s="20" t="s">
        <v>3578</v>
      </c>
      <c r="E229" s="20" t="s">
        <v>160</v>
      </c>
      <c r="F229" s="20" t="s">
        <v>17</v>
      </c>
      <c r="H229" s="20" t="s">
        <v>3579</v>
      </c>
      <c r="I229" s="20">
        <v>679</v>
      </c>
      <c r="J229" s="20">
        <v>679</v>
      </c>
      <c r="K229" s="20" t="s">
        <v>11</v>
      </c>
      <c r="L229" s="20">
        <v>679</v>
      </c>
      <c r="M229" s="20">
        <v>0</v>
      </c>
      <c r="N229" s="20">
        <v>679</v>
      </c>
      <c r="O229" s="20" t="s">
        <v>2156</v>
      </c>
      <c r="P229" s="20" t="s">
        <v>87</v>
      </c>
      <c r="Q229" s="20" t="s">
        <v>87</v>
      </c>
      <c r="R229" s="20" t="s">
        <v>2945</v>
      </c>
      <c r="S229" s="111" t="s">
        <v>2939</v>
      </c>
      <c r="T229" s="20" t="s">
        <v>206</v>
      </c>
      <c r="U229" s="20" t="s">
        <v>207</v>
      </c>
      <c r="V229" s="20" t="s">
        <v>2944</v>
      </c>
      <c r="W229" s="20">
        <v>176.86</v>
      </c>
      <c r="X229" s="20">
        <v>176.859996903904</v>
      </c>
      <c r="Y229" s="20" t="s">
        <v>2945</v>
      </c>
      <c r="Z229" s="111" t="s">
        <v>2939</v>
      </c>
      <c r="AB229" s="20" t="s">
        <v>212</v>
      </c>
      <c r="AD229" s="20" t="s">
        <v>213</v>
      </c>
      <c r="AE229" s="20" t="s">
        <v>212</v>
      </c>
      <c r="AF229" s="20">
        <v>0</v>
      </c>
      <c r="AG229" s="20">
        <v>0</v>
      </c>
      <c r="AH229" s="20">
        <v>0</v>
      </c>
      <c r="AI229" s="20">
        <v>0</v>
      </c>
      <c r="AJ229" s="20">
        <v>0</v>
      </c>
      <c r="AK229" s="20" t="s">
        <v>576</v>
      </c>
      <c r="AL229" s="20">
        <v>0</v>
      </c>
      <c r="AM229" s="20">
        <v>0</v>
      </c>
      <c r="AN229" s="20">
        <v>0</v>
      </c>
      <c r="AO229" s="20">
        <v>0</v>
      </c>
      <c r="AP229" s="20">
        <v>0</v>
      </c>
      <c r="AR229" s="20">
        <v>0</v>
      </c>
      <c r="AS229" s="20">
        <v>0</v>
      </c>
      <c r="AT229" s="20">
        <v>799729.71</v>
      </c>
      <c r="AU229" s="20" t="s">
        <v>13</v>
      </c>
      <c r="AV229" s="20" t="s">
        <v>80</v>
      </c>
      <c r="AW229" s="111" t="s">
        <v>81</v>
      </c>
      <c r="AX229" s="20" t="s">
        <v>208</v>
      </c>
      <c r="AY229" s="19" t="s">
        <v>209</v>
      </c>
      <c r="AZ229" s="19">
        <v>0</v>
      </c>
      <c r="BA229" s="19">
        <v>120087.94</v>
      </c>
      <c r="BB229" s="19">
        <v>1159</v>
      </c>
      <c r="BC229" s="19" t="s">
        <v>2939</v>
      </c>
      <c r="BD229" s="19" t="s">
        <v>65</v>
      </c>
      <c r="BE229" s="19" t="s">
        <v>210</v>
      </c>
      <c r="BF229" s="19" t="s">
        <v>210</v>
      </c>
      <c r="BG229" s="19">
        <v>9</v>
      </c>
      <c r="BH229" s="19">
        <v>10807.91</v>
      </c>
      <c r="BI229" s="19">
        <v>9</v>
      </c>
      <c r="BJ229" s="19">
        <v>10807.91</v>
      </c>
      <c r="BK229" s="19">
        <v>0</v>
      </c>
      <c r="BL229" s="19">
        <v>0</v>
      </c>
      <c r="BM229" s="19">
        <v>0</v>
      </c>
      <c r="BN229" s="19">
        <v>662165405838</v>
      </c>
      <c r="BO229" s="66">
        <v>46252</v>
      </c>
      <c r="BP229" s="19">
        <v>0</v>
      </c>
    </row>
    <row r="230" spans="1:68">
      <c r="A230" s="65"/>
      <c r="B230" s="20" t="s">
        <v>2165</v>
      </c>
      <c r="C230" s="20" t="s">
        <v>2939</v>
      </c>
      <c r="D230" s="20" t="s">
        <v>3578</v>
      </c>
      <c r="E230" s="20" t="s">
        <v>23</v>
      </c>
      <c r="F230" s="20" t="s">
        <v>24</v>
      </c>
      <c r="H230" s="20" t="s">
        <v>3579</v>
      </c>
      <c r="I230" s="20">
        <v>1499.1</v>
      </c>
      <c r="J230" s="20">
        <v>1499.1</v>
      </c>
      <c r="K230" s="20" t="s">
        <v>11</v>
      </c>
      <c r="L230" s="20">
        <v>1499.1</v>
      </c>
      <c r="M230" s="20">
        <v>0</v>
      </c>
      <c r="N230" s="20">
        <v>1499.1</v>
      </c>
      <c r="O230" s="20" t="s">
        <v>2156</v>
      </c>
      <c r="P230" s="20" t="s">
        <v>87</v>
      </c>
      <c r="Q230" s="20" t="s">
        <v>87</v>
      </c>
      <c r="R230" s="20" t="s">
        <v>2945</v>
      </c>
      <c r="S230" s="111" t="s">
        <v>2939</v>
      </c>
      <c r="T230" s="20" t="s">
        <v>206</v>
      </c>
      <c r="U230" s="20" t="s">
        <v>207</v>
      </c>
      <c r="V230" s="20" t="s">
        <v>2944</v>
      </c>
      <c r="W230" s="20">
        <v>147.32</v>
      </c>
      <c r="X230" s="20">
        <v>147.319997421029</v>
      </c>
      <c r="Y230" s="20" t="s">
        <v>2945</v>
      </c>
      <c r="Z230" s="111" t="s">
        <v>2939</v>
      </c>
      <c r="AB230" s="20" t="s">
        <v>212</v>
      </c>
      <c r="AD230" s="20" t="s">
        <v>213</v>
      </c>
      <c r="AE230" s="20" t="s">
        <v>212</v>
      </c>
      <c r="AF230" s="20">
        <v>0</v>
      </c>
      <c r="AG230" s="20">
        <v>0</v>
      </c>
      <c r="AH230" s="20">
        <v>0</v>
      </c>
      <c r="AI230" s="20">
        <v>0</v>
      </c>
      <c r="AJ230" s="20">
        <v>0</v>
      </c>
      <c r="AK230" s="20" t="s">
        <v>576</v>
      </c>
      <c r="AL230" s="20">
        <v>0</v>
      </c>
      <c r="AM230" s="20">
        <v>0</v>
      </c>
      <c r="AN230" s="20">
        <v>0</v>
      </c>
      <c r="AO230" s="20">
        <v>0</v>
      </c>
      <c r="AP230" s="20">
        <v>0</v>
      </c>
      <c r="AR230" s="20">
        <v>0</v>
      </c>
      <c r="AS230" s="20">
        <v>0</v>
      </c>
      <c r="AT230" s="20">
        <v>799729.71</v>
      </c>
      <c r="AU230" s="20" t="s">
        <v>13</v>
      </c>
      <c r="AV230" s="20" t="s">
        <v>24</v>
      </c>
      <c r="AW230" s="111" t="s">
        <v>79</v>
      </c>
      <c r="AX230" s="20" t="s">
        <v>208</v>
      </c>
      <c r="AY230" s="19" t="s">
        <v>209</v>
      </c>
      <c r="AZ230" s="19">
        <v>0</v>
      </c>
      <c r="BA230" s="19">
        <v>220847.41</v>
      </c>
      <c r="BB230" s="19">
        <v>1159</v>
      </c>
      <c r="BC230" s="19" t="s">
        <v>2939</v>
      </c>
      <c r="BD230" s="19" t="s">
        <v>65</v>
      </c>
      <c r="BE230" s="19" t="s">
        <v>210</v>
      </c>
      <c r="BF230" s="19" t="s">
        <v>210</v>
      </c>
      <c r="BG230" s="19">
        <v>9</v>
      </c>
      <c r="BH230" s="19">
        <v>19876.27</v>
      </c>
      <c r="BI230" s="19">
        <v>9</v>
      </c>
      <c r="BJ230" s="19">
        <v>19876.27</v>
      </c>
      <c r="BK230" s="19">
        <v>0</v>
      </c>
      <c r="BL230" s="19">
        <v>0</v>
      </c>
      <c r="BM230" s="19">
        <v>0</v>
      </c>
      <c r="BN230" s="19">
        <v>662165405838</v>
      </c>
      <c r="BO230" s="66">
        <v>46252</v>
      </c>
      <c r="BP230" s="19">
        <v>0</v>
      </c>
    </row>
    <row r="231" spans="1:68">
      <c r="A231" s="65"/>
      <c r="B231" s="20" t="s">
        <v>2165</v>
      </c>
      <c r="C231" s="20" t="s">
        <v>2939</v>
      </c>
      <c r="D231" s="20" t="s">
        <v>3578</v>
      </c>
      <c r="E231" s="20" t="s">
        <v>23</v>
      </c>
      <c r="F231" s="20" t="s">
        <v>24</v>
      </c>
      <c r="H231" s="20" t="s">
        <v>3579</v>
      </c>
      <c r="I231" s="20">
        <v>468.2</v>
      </c>
      <c r="J231" s="20">
        <v>468.2</v>
      </c>
      <c r="K231" s="20" t="s">
        <v>11</v>
      </c>
      <c r="L231" s="20">
        <v>468.2</v>
      </c>
      <c r="M231" s="20">
        <v>0</v>
      </c>
      <c r="N231" s="20">
        <v>468.2</v>
      </c>
      <c r="O231" s="20" t="s">
        <v>2156</v>
      </c>
      <c r="P231" s="20" t="s">
        <v>87</v>
      </c>
      <c r="Q231" s="20" t="s">
        <v>87</v>
      </c>
      <c r="R231" s="20" t="s">
        <v>2945</v>
      </c>
      <c r="S231" s="111" t="s">
        <v>2939</v>
      </c>
      <c r="T231" s="20" t="s">
        <v>206</v>
      </c>
      <c r="U231" s="20" t="s">
        <v>207</v>
      </c>
      <c r="V231" s="20" t="s">
        <v>2944</v>
      </c>
      <c r="W231" s="20">
        <v>144.32</v>
      </c>
      <c r="X231" s="20">
        <v>144.31999747354601</v>
      </c>
      <c r="Y231" s="20" t="s">
        <v>2945</v>
      </c>
      <c r="Z231" s="111" t="s">
        <v>2939</v>
      </c>
      <c r="AB231" s="20" t="s">
        <v>212</v>
      </c>
      <c r="AD231" s="20" t="s">
        <v>213</v>
      </c>
      <c r="AE231" s="20" t="s">
        <v>212</v>
      </c>
      <c r="AF231" s="20">
        <v>0</v>
      </c>
      <c r="AG231" s="20">
        <v>0</v>
      </c>
      <c r="AH231" s="20">
        <v>0</v>
      </c>
      <c r="AI231" s="20">
        <v>0</v>
      </c>
      <c r="AJ231" s="20">
        <v>0</v>
      </c>
      <c r="AK231" s="20" t="s">
        <v>576</v>
      </c>
      <c r="AL231" s="20">
        <v>0</v>
      </c>
      <c r="AM231" s="20">
        <v>0</v>
      </c>
      <c r="AN231" s="20">
        <v>0</v>
      </c>
      <c r="AO231" s="20">
        <v>0</v>
      </c>
      <c r="AP231" s="20">
        <v>0</v>
      </c>
      <c r="AR231" s="20">
        <v>0</v>
      </c>
      <c r="AS231" s="20">
        <v>0</v>
      </c>
      <c r="AT231" s="20">
        <v>799729.71</v>
      </c>
      <c r="AU231" s="20" t="s">
        <v>13</v>
      </c>
      <c r="AV231" s="20" t="s">
        <v>24</v>
      </c>
      <c r="AW231" s="111" t="s">
        <v>79</v>
      </c>
      <c r="AX231" s="20" t="s">
        <v>208</v>
      </c>
      <c r="AY231" s="19" t="s">
        <v>209</v>
      </c>
      <c r="AZ231" s="19">
        <v>0</v>
      </c>
      <c r="BA231" s="19">
        <v>67570.62</v>
      </c>
      <c r="BB231" s="19">
        <v>1159</v>
      </c>
      <c r="BC231" s="19" t="s">
        <v>2939</v>
      </c>
      <c r="BD231" s="19" t="s">
        <v>65</v>
      </c>
      <c r="BE231" s="19" t="s">
        <v>210</v>
      </c>
      <c r="BF231" s="19" t="s">
        <v>210</v>
      </c>
      <c r="BG231" s="19">
        <v>9</v>
      </c>
      <c r="BH231" s="19">
        <v>6081.36</v>
      </c>
      <c r="BI231" s="19">
        <v>9</v>
      </c>
      <c r="BJ231" s="19">
        <v>6081.36</v>
      </c>
      <c r="BK231" s="19">
        <v>0</v>
      </c>
      <c r="BL231" s="19">
        <v>0</v>
      </c>
      <c r="BM231" s="19">
        <v>0</v>
      </c>
      <c r="BN231" s="19">
        <v>662165405838</v>
      </c>
      <c r="BO231" s="66">
        <v>46252</v>
      </c>
      <c r="BP231" s="19">
        <v>0</v>
      </c>
    </row>
    <row r="232" spans="1:68">
      <c r="A232" s="65"/>
      <c r="B232" s="20" t="s">
        <v>2165</v>
      </c>
      <c r="C232" s="20" t="s">
        <v>2948</v>
      </c>
      <c r="D232" s="20" t="s">
        <v>3580</v>
      </c>
      <c r="E232" s="20" t="s">
        <v>2150</v>
      </c>
      <c r="F232" s="20" t="s">
        <v>2149</v>
      </c>
      <c r="H232" s="20" t="s">
        <v>3581</v>
      </c>
      <c r="I232" s="20">
        <v>65</v>
      </c>
      <c r="J232" s="20">
        <v>65</v>
      </c>
      <c r="K232" s="20" t="s">
        <v>11</v>
      </c>
      <c r="L232" s="20">
        <v>65</v>
      </c>
      <c r="M232" s="20">
        <v>0</v>
      </c>
      <c r="N232" s="20">
        <v>65</v>
      </c>
      <c r="O232" s="20" t="s">
        <v>2397</v>
      </c>
      <c r="P232" s="20" t="s">
        <v>94</v>
      </c>
      <c r="Q232" s="20" t="s">
        <v>94</v>
      </c>
      <c r="R232" s="20" t="s">
        <v>2964</v>
      </c>
      <c r="S232" s="111" t="s">
        <v>2948</v>
      </c>
      <c r="T232" s="20" t="s">
        <v>206</v>
      </c>
      <c r="U232" s="20" t="s">
        <v>207</v>
      </c>
      <c r="V232" s="20" t="s">
        <v>2963</v>
      </c>
      <c r="W232" s="20">
        <v>247</v>
      </c>
      <c r="X232" s="20">
        <v>246.999994128222</v>
      </c>
      <c r="Y232" s="20" t="s">
        <v>2964</v>
      </c>
      <c r="Z232" s="111" t="s">
        <v>2948</v>
      </c>
      <c r="AB232" s="20" t="s">
        <v>212</v>
      </c>
      <c r="AD232" s="20" t="s">
        <v>213</v>
      </c>
      <c r="AE232" s="20" t="s">
        <v>212</v>
      </c>
      <c r="AF232" s="20">
        <v>0</v>
      </c>
      <c r="AG232" s="20">
        <v>0</v>
      </c>
      <c r="AH232" s="20">
        <v>0</v>
      </c>
      <c r="AI232" s="20">
        <v>0</v>
      </c>
      <c r="AJ232" s="20">
        <v>0</v>
      </c>
      <c r="AK232" s="20" t="s">
        <v>576</v>
      </c>
      <c r="AL232" s="20">
        <v>0</v>
      </c>
      <c r="AM232" s="20">
        <v>0</v>
      </c>
      <c r="AN232" s="20">
        <v>0</v>
      </c>
      <c r="AO232" s="20">
        <v>0</v>
      </c>
      <c r="AP232" s="20">
        <v>0</v>
      </c>
      <c r="AR232" s="20">
        <v>0</v>
      </c>
      <c r="AS232" s="20">
        <v>0</v>
      </c>
      <c r="AT232" s="20">
        <v>168262.49</v>
      </c>
      <c r="AU232" s="20" t="s">
        <v>13</v>
      </c>
      <c r="AV232" s="20" t="s">
        <v>80</v>
      </c>
      <c r="AW232" s="111" t="s">
        <v>81</v>
      </c>
      <c r="AX232" s="20" t="s">
        <v>208</v>
      </c>
      <c r="AY232" s="19" t="s">
        <v>209</v>
      </c>
      <c r="AZ232" s="19">
        <v>0</v>
      </c>
      <c r="BA232" s="19">
        <v>16055</v>
      </c>
      <c r="BB232" s="19">
        <v>1161</v>
      </c>
      <c r="BC232" s="19" t="s">
        <v>2948</v>
      </c>
      <c r="BD232" s="19" t="s">
        <v>74</v>
      </c>
      <c r="BE232" s="19" t="s">
        <v>210</v>
      </c>
      <c r="BF232" s="19" t="s">
        <v>210</v>
      </c>
      <c r="BG232" s="19">
        <v>9</v>
      </c>
      <c r="BH232" s="19">
        <v>1444.95</v>
      </c>
      <c r="BI232" s="19">
        <v>9</v>
      </c>
      <c r="BJ232" s="19">
        <v>1444.95</v>
      </c>
      <c r="BK232" s="19">
        <v>0</v>
      </c>
      <c r="BL232" s="19">
        <v>0</v>
      </c>
      <c r="BM232" s="19">
        <v>168262.49</v>
      </c>
      <c r="BN232" s="19">
        <v>652165977396</v>
      </c>
      <c r="BO232" s="66">
        <v>46253</v>
      </c>
      <c r="BP232" s="19">
        <v>0</v>
      </c>
    </row>
    <row r="233" spans="1:68">
      <c r="A233" s="65"/>
      <c r="B233" s="20" t="s">
        <v>2165</v>
      </c>
      <c r="C233" s="20" t="s">
        <v>2948</v>
      </c>
      <c r="D233" s="20" t="s">
        <v>3580</v>
      </c>
      <c r="E233" s="20" t="s">
        <v>18</v>
      </c>
      <c r="F233" s="20" t="s">
        <v>19</v>
      </c>
      <c r="H233" s="20" t="s">
        <v>3581</v>
      </c>
      <c r="I233" s="20">
        <v>947.3</v>
      </c>
      <c r="J233" s="20">
        <v>947.3</v>
      </c>
      <c r="K233" s="20" t="s">
        <v>11</v>
      </c>
      <c r="L233" s="20">
        <v>947.3</v>
      </c>
      <c r="M233" s="20">
        <v>0</v>
      </c>
      <c r="N233" s="20">
        <v>947.3</v>
      </c>
      <c r="O233" s="20" t="s">
        <v>2397</v>
      </c>
      <c r="P233" s="20" t="s">
        <v>94</v>
      </c>
      <c r="Q233" s="20" t="s">
        <v>94</v>
      </c>
      <c r="R233" s="20" t="s">
        <v>2964</v>
      </c>
      <c r="S233" s="111" t="s">
        <v>2948</v>
      </c>
      <c r="T233" s="20" t="s">
        <v>206</v>
      </c>
      <c r="U233" s="20" t="s">
        <v>207</v>
      </c>
      <c r="V233" s="20" t="s">
        <v>2963</v>
      </c>
      <c r="W233" s="20">
        <v>133.58000000000001</v>
      </c>
      <c r="X233" s="20">
        <v>133.57999682448499</v>
      </c>
      <c r="Y233" s="20" t="s">
        <v>2964</v>
      </c>
      <c r="Z233" s="111" t="s">
        <v>2948</v>
      </c>
      <c r="AB233" s="20" t="s">
        <v>212</v>
      </c>
      <c r="AD233" s="20" t="s">
        <v>213</v>
      </c>
      <c r="AE233" s="20" t="s">
        <v>212</v>
      </c>
      <c r="AF233" s="20">
        <v>0</v>
      </c>
      <c r="AG233" s="20">
        <v>0</v>
      </c>
      <c r="AH233" s="20">
        <v>0</v>
      </c>
      <c r="AI233" s="20">
        <v>0</v>
      </c>
      <c r="AJ233" s="20">
        <v>0</v>
      </c>
      <c r="AK233" s="20" t="s">
        <v>576</v>
      </c>
      <c r="AL233" s="20">
        <v>0</v>
      </c>
      <c r="AM233" s="20">
        <v>0</v>
      </c>
      <c r="AN233" s="20">
        <v>0</v>
      </c>
      <c r="AO233" s="20">
        <v>0</v>
      </c>
      <c r="AP233" s="20">
        <v>0</v>
      </c>
      <c r="AR233" s="20">
        <v>0</v>
      </c>
      <c r="AS233" s="20">
        <v>0</v>
      </c>
      <c r="AT233" s="20">
        <v>168262.49</v>
      </c>
      <c r="AU233" s="20" t="s">
        <v>13</v>
      </c>
      <c r="AV233" s="20" t="s">
        <v>62</v>
      </c>
      <c r="AW233" s="111" t="s">
        <v>63</v>
      </c>
      <c r="AX233" s="20" t="s">
        <v>208</v>
      </c>
      <c r="AY233" s="19" t="s">
        <v>209</v>
      </c>
      <c r="AZ233" s="19">
        <v>0</v>
      </c>
      <c r="BA233" s="19">
        <v>126540.33</v>
      </c>
      <c r="BB233" s="19">
        <v>1161</v>
      </c>
      <c r="BC233" s="19" t="s">
        <v>2948</v>
      </c>
      <c r="BD233" s="19" t="s">
        <v>74</v>
      </c>
      <c r="BE233" s="19" t="s">
        <v>210</v>
      </c>
      <c r="BF233" s="19" t="s">
        <v>210</v>
      </c>
      <c r="BG233" s="19">
        <v>9</v>
      </c>
      <c r="BH233" s="19">
        <v>11388.63</v>
      </c>
      <c r="BI233" s="19">
        <v>9</v>
      </c>
      <c r="BJ233" s="19">
        <v>11388.63</v>
      </c>
      <c r="BK233" s="19">
        <v>0</v>
      </c>
      <c r="BL233" s="19">
        <v>0</v>
      </c>
      <c r="BM233" s="19">
        <v>0</v>
      </c>
      <c r="BN233" s="19">
        <v>652165977396</v>
      </c>
      <c r="BO233" s="66">
        <v>46253</v>
      </c>
      <c r="BP233" s="19">
        <v>0</v>
      </c>
    </row>
    <row r="234" spans="1:68">
      <c r="A234" s="65"/>
      <c r="B234" s="20" t="s">
        <v>2165</v>
      </c>
      <c r="C234" s="20" t="s">
        <v>2948</v>
      </c>
      <c r="D234" s="20" t="s">
        <v>3582</v>
      </c>
      <c r="E234" s="20" t="s">
        <v>18</v>
      </c>
      <c r="F234" s="20" t="s">
        <v>19</v>
      </c>
      <c r="H234" s="20" t="s">
        <v>3583</v>
      </c>
      <c r="I234" s="20">
        <v>2435</v>
      </c>
      <c r="J234" s="20">
        <v>2435</v>
      </c>
      <c r="K234" s="20" t="s">
        <v>11</v>
      </c>
      <c r="L234" s="20">
        <v>2435</v>
      </c>
      <c r="M234" s="20">
        <v>0</v>
      </c>
      <c r="N234" s="20">
        <v>2435</v>
      </c>
      <c r="O234" s="20" t="s">
        <v>3584</v>
      </c>
      <c r="P234" s="20" t="s">
        <v>87</v>
      </c>
      <c r="Q234" s="20" t="s">
        <v>87</v>
      </c>
      <c r="R234" s="20" t="s">
        <v>2958</v>
      </c>
      <c r="S234" s="111" t="s">
        <v>2948</v>
      </c>
      <c r="T234" s="20" t="s">
        <v>206</v>
      </c>
      <c r="U234" s="20" t="s">
        <v>207</v>
      </c>
      <c r="V234" s="20" t="s">
        <v>2957</v>
      </c>
      <c r="W234" s="20">
        <v>144.32</v>
      </c>
      <c r="X234" s="20">
        <v>144.32</v>
      </c>
      <c r="Y234" s="20" t="s">
        <v>2958</v>
      </c>
      <c r="Z234" s="111" t="s">
        <v>2948</v>
      </c>
      <c r="AB234" s="20" t="s">
        <v>212</v>
      </c>
      <c r="AD234" s="20" t="s">
        <v>2125</v>
      </c>
      <c r="AE234" s="20" t="s">
        <v>3585</v>
      </c>
      <c r="AF234" s="20">
        <v>0</v>
      </c>
      <c r="AG234" s="20">
        <v>0</v>
      </c>
      <c r="AH234" s="20">
        <v>0</v>
      </c>
      <c r="AI234" s="20">
        <v>0</v>
      </c>
      <c r="AJ234" s="20">
        <v>0</v>
      </c>
      <c r="AK234" s="20" t="s">
        <v>576</v>
      </c>
      <c r="AL234" s="20">
        <v>0</v>
      </c>
      <c r="AM234" s="20">
        <v>0</v>
      </c>
      <c r="AN234" s="20">
        <v>0</v>
      </c>
      <c r="AO234" s="20">
        <v>0</v>
      </c>
      <c r="AP234" s="20">
        <v>0</v>
      </c>
      <c r="AR234" s="20">
        <v>0</v>
      </c>
      <c r="AS234" s="20">
        <v>0</v>
      </c>
      <c r="AT234" s="20">
        <v>1946290.92</v>
      </c>
      <c r="AU234" s="20" t="s">
        <v>13</v>
      </c>
      <c r="AV234" s="20" t="s">
        <v>62</v>
      </c>
      <c r="AW234" s="111" t="s">
        <v>63</v>
      </c>
      <c r="AX234" s="20" t="s">
        <v>208</v>
      </c>
      <c r="AY234" s="19" t="s">
        <v>209</v>
      </c>
      <c r="AZ234" s="19">
        <v>0</v>
      </c>
      <c r="BA234" s="19">
        <v>351419.2</v>
      </c>
      <c r="BB234" s="19">
        <v>1162</v>
      </c>
      <c r="BC234" s="19" t="s">
        <v>2948</v>
      </c>
      <c r="BD234" s="19" t="s">
        <v>65</v>
      </c>
      <c r="BE234" s="19" t="s">
        <v>210</v>
      </c>
      <c r="BF234" s="19" t="s">
        <v>210</v>
      </c>
      <c r="BG234" s="19">
        <v>9</v>
      </c>
      <c r="BH234" s="19">
        <v>31627.73</v>
      </c>
      <c r="BI234" s="19">
        <v>9</v>
      </c>
      <c r="BJ234" s="19">
        <v>31627.73</v>
      </c>
      <c r="BK234" s="19">
        <v>0</v>
      </c>
      <c r="BL234" s="19">
        <v>0</v>
      </c>
      <c r="BM234" s="19">
        <v>1946290.92</v>
      </c>
      <c r="BN234" s="19">
        <v>692165845260</v>
      </c>
      <c r="BO234" s="66">
        <v>46253</v>
      </c>
      <c r="BP234" s="19">
        <v>0</v>
      </c>
    </row>
    <row r="235" spans="1:68">
      <c r="A235" s="65"/>
      <c r="B235" s="20" t="s">
        <v>2165</v>
      </c>
      <c r="C235" s="20" t="s">
        <v>2948</v>
      </c>
      <c r="D235" s="20" t="s">
        <v>3582</v>
      </c>
      <c r="E235" s="20" t="s">
        <v>18</v>
      </c>
      <c r="F235" s="20" t="s">
        <v>19</v>
      </c>
      <c r="H235" s="20" t="s">
        <v>3583</v>
      </c>
      <c r="I235" s="20">
        <v>529</v>
      </c>
      <c r="J235" s="20">
        <v>529</v>
      </c>
      <c r="K235" s="20" t="s">
        <v>11</v>
      </c>
      <c r="L235" s="20">
        <v>529</v>
      </c>
      <c r="M235" s="20">
        <v>0</v>
      </c>
      <c r="N235" s="20">
        <v>529</v>
      </c>
      <c r="O235" s="20" t="s">
        <v>3584</v>
      </c>
      <c r="P235" s="20" t="s">
        <v>87</v>
      </c>
      <c r="Q235" s="20" t="s">
        <v>87</v>
      </c>
      <c r="R235" s="20" t="s">
        <v>2958</v>
      </c>
      <c r="S235" s="111" t="s">
        <v>2948</v>
      </c>
      <c r="T235" s="20" t="s">
        <v>206</v>
      </c>
      <c r="U235" s="20" t="s">
        <v>207</v>
      </c>
      <c r="V235" s="20" t="s">
        <v>2957</v>
      </c>
      <c r="W235" s="20">
        <v>145.32</v>
      </c>
      <c r="X235" s="20">
        <v>145.32</v>
      </c>
      <c r="Y235" s="20" t="s">
        <v>2958</v>
      </c>
      <c r="Z235" s="111" t="s">
        <v>2948</v>
      </c>
      <c r="AB235" s="20" t="s">
        <v>212</v>
      </c>
      <c r="AD235" s="20" t="s">
        <v>2125</v>
      </c>
      <c r="AE235" s="20" t="s">
        <v>3585</v>
      </c>
      <c r="AF235" s="20">
        <v>0</v>
      </c>
      <c r="AG235" s="20">
        <v>0</v>
      </c>
      <c r="AH235" s="20">
        <v>0</v>
      </c>
      <c r="AI235" s="20">
        <v>0</v>
      </c>
      <c r="AJ235" s="20">
        <v>0</v>
      </c>
      <c r="AK235" s="20" t="s">
        <v>576</v>
      </c>
      <c r="AL235" s="20">
        <v>0</v>
      </c>
      <c r="AM235" s="20">
        <v>0</v>
      </c>
      <c r="AN235" s="20">
        <v>0</v>
      </c>
      <c r="AO235" s="20">
        <v>0</v>
      </c>
      <c r="AP235" s="20">
        <v>0</v>
      </c>
      <c r="AR235" s="20">
        <v>0</v>
      </c>
      <c r="AS235" s="20">
        <v>0</v>
      </c>
      <c r="AT235" s="20">
        <v>1946290.92</v>
      </c>
      <c r="AU235" s="20" t="s">
        <v>13</v>
      </c>
      <c r="AV235" s="20" t="s">
        <v>62</v>
      </c>
      <c r="AW235" s="111" t="s">
        <v>63</v>
      </c>
      <c r="AX235" s="20" t="s">
        <v>208</v>
      </c>
      <c r="AY235" s="19" t="s">
        <v>209</v>
      </c>
      <c r="AZ235" s="19">
        <v>0</v>
      </c>
      <c r="BA235" s="19">
        <v>76874.28</v>
      </c>
      <c r="BB235" s="19">
        <v>1162</v>
      </c>
      <c r="BC235" s="19" t="s">
        <v>2948</v>
      </c>
      <c r="BD235" s="19" t="s">
        <v>65</v>
      </c>
      <c r="BE235" s="19" t="s">
        <v>210</v>
      </c>
      <c r="BF235" s="19" t="s">
        <v>210</v>
      </c>
      <c r="BG235" s="19">
        <v>9</v>
      </c>
      <c r="BH235" s="19">
        <v>6918.69</v>
      </c>
      <c r="BI235" s="19">
        <v>9</v>
      </c>
      <c r="BJ235" s="19">
        <v>6918.69</v>
      </c>
      <c r="BK235" s="19">
        <v>0</v>
      </c>
      <c r="BL235" s="19">
        <v>0</v>
      </c>
      <c r="BM235" s="19">
        <v>0</v>
      </c>
      <c r="BN235" s="19">
        <v>692165845260</v>
      </c>
      <c r="BO235" s="66">
        <v>46253</v>
      </c>
      <c r="BP235" s="19">
        <v>0</v>
      </c>
    </row>
    <row r="236" spans="1:68">
      <c r="A236" s="65"/>
      <c r="B236" s="20" t="s">
        <v>2165</v>
      </c>
      <c r="C236" s="20" t="s">
        <v>2948</v>
      </c>
      <c r="D236" s="20" t="s">
        <v>3582</v>
      </c>
      <c r="E236" s="20" t="s">
        <v>18</v>
      </c>
      <c r="F236" s="20" t="s">
        <v>19</v>
      </c>
      <c r="H236" s="20" t="s">
        <v>3583</v>
      </c>
      <c r="I236" s="20">
        <v>8580</v>
      </c>
      <c r="J236" s="20">
        <v>8580</v>
      </c>
      <c r="K236" s="20" t="s">
        <v>11</v>
      </c>
      <c r="L236" s="20">
        <v>8580</v>
      </c>
      <c r="M236" s="20">
        <v>0</v>
      </c>
      <c r="N236" s="20">
        <v>8580</v>
      </c>
      <c r="O236" s="20" t="s">
        <v>3584</v>
      </c>
      <c r="P236" s="20" t="s">
        <v>87</v>
      </c>
      <c r="Q236" s="20" t="s">
        <v>87</v>
      </c>
      <c r="R236" s="20" t="s">
        <v>2958</v>
      </c>
      <c r="S236" s="111" t="s">
        <v>2948</v>
      </c>
      <c r="T236" s="20" t="s">
        <v>206</v>
      </c>
      <c r="U236" s="20" t="s">
        <v>207</v>
      </c>
      <c r="V236" s="20" t="s">
        <v>2957</v>
      </c>
      <c r="W236" s="20">
        <v>142.32</v>
      </c>
      <c r="X236" s="20">
        <v>142.32</v>
      </c>
      <c r="Y236" s="20" t="s">
        <v>2958</v>
      </c>
      <c r="Z236" s="111" t="s">
        <v>2948</v>
      </c>
      <c r="AB236" s="20" t="s">
        <v>212</v>
      </c>
      <c r="AD236" s="20" t="s">
        <v>2125</v>
      </c>
      <c r="AE236" s="20" t="s">
        <v>3585</v>
      </c>
      <c r="AF236" s="20">
        <v>0</v>
      </c>
      <c r="AG236" s="20">
        <v>0</v>
      </c>
      <c r="AH236" s="20">
        <v>0</v>
      </c>
      <c r="AI236" s="20">
        <v>0</v>
      </c>
      <c r="AJ236" s="20">
        <v>0</v>
      </c>
      <c r="AK236" s="20" t="s">
        <v>576</v>
      </c>
      <c r="AL236" s="20">
        <v>0</v>
      </c>
      <c r="AM236" s="20">
        <v>0</v>
      </c>
      <c r="AN236" s="20">
        <v>0</v>
      </c>
      <c r="AO236" s="20">
        <v>0</v>
      </c>
      <c r="AP236" s="20">
        <v>0</v>
      </c>
      <c r="AR236" s="20">
        <v>0</v>
      </c>
      <c r="AS236" s="20">
        <v>0</v>
      </c>
      <c r="AT236" s="20">
        <v>1946290.92</v>
      </c>
      <c r="AU236" s="20" t="s">
        <v>13</v>
      </c>
      <c r="AV236" s="20" t="s">
        <v>62</v>
      </c>
      <c r="AW236" s="111" t="s">
        <v>63</v>
      </c>
      <c r="AX236" s="20" t="s">
        <v>208</v>
      </c>
      <c r="AY236" s="19" t="s">
        <v>209</v>
      </c>
      <c r="AZ236" s="19">
        <v>0</v>
      </c>
      <c r="BA236" s="19">
        <v>1221105.6000000001</v>
      </c>
      <c r="BB236" s="19">
        <v>1162</v>
      </c>
      <c r="BC236" s="19" t="s">
        <v>2948</v>
      </c>
      <c r="BD236" s="19" t="s">
        <v>65</v>
      </c>
      <c r="BE236" s="19" t="s">
        <v>210</v>
      </c>
      <c r="BF236" s="19" t="s">
        <v>210</v>
      </c>
      <c r="BG236" s="19">
        <v>9</v>
      </c>
      <c r="BH236" s="19">
        <v>109899.5</v>
      </c>
      <c r="BI236" s="19">
        <v>9</v>
      </c>
      <c r="BJ236" s="19">
        <v>109899.5</v>
      </c>
      <c r="BK236" s="19">
        <v>0</v>
      </c>
      <c r="BL236" s="19">
        <v>0</v>
      </c>
      <c r="BM236" s="19">
        <v>0</v>
      </c>
      <c r="BN236" s="19">
        <v>692165845260</v>
      </c>
      <c r="BO236" s="66">
        <v>46253</v>
      </c>
      <c r="BP236" s="19">
        <v>0</v>
      </c>
    </row>
    <row r="237" spans="1:68">
      <c r="A237" s="65"/>
      <c r="B237" s="20" t="s">
        <v>2165</v>
      </c>
      <c r="C237" s="20" t="s">
        <v>2948</v>
      </c>
      <c r="D237" s="20" t="s">
        <v>3586</v>
      </c>
      <c r="E237" s="20" t="s">
        <v>160</v>
      </c>
      <c r="F237" s="20" t="s">
        <v>17</v>
      </c>
      <c r="H237" s="20" t="s">
        <v>3587</v>
      </c>
      <c r="I237" s="20">
        <v>3725</v>
      </c>
      <c r="J237" s="20">
        <v>3725</v>
      </c>
      <c r="K237" s="20" t="s">
        <v>11</v>
      </c>
      <c r="L237" s="20">
        <v>3725</v>
      </c>
      <c r="M237" s="20">
        <v>0</v>
      </c>
      <c r="N237" s="20">
        <v>3725</v>
      </c>
      <c r="O237" s="20" t="s">
        <v>2154</v>
      </c>
      <c r="P237" s="20" t="s">
        <v>87</v>
      </c>
      <c r="Q237" s="20" t="s">
        <v>87</v>
      </c>
      <c r="R237" s="20" t="s">
        <v>2960</v>
      </c>
      <c r="S237" s="111" t="s">
        <v>2948</v>
      </c>
      <c r="T237" s="20" t="s">
        <v>206</v>
      </c>
      <c r="U237" s="20" t="s">
        <v>207</v>
      </c>
      <c r="V237" s="20" t="s">
        <v>2959</v>
      </c>
      <c r="W237" s="20">
        <v>176.86</v>
      </c>
      <c r="X237" s="20">
        <v>176.859999359483</v>
      </c>
      <c r="Y237" s="20" t="s">
        <v>2960</v>
      </c>
      <c r="Z237" s="111" t="s">
        <v>2948</v>
      </c>
      <c r="AB237" s="20" t="s">
        <v>212</v>
      </c>
      <c r="AD237" s="20" t="s">
        <v>213</v>
      </c>
      <c r="AE237" s="20" t="s">
        <v>212</v>
      </c>
      <c r="AF237" s="20">
        <v>0</v>
      </c>
      <c r="AG237" s="20">
        <v>0</v>
      </c>
      <c r="AH237" s="20">
        <v>0</v>
      </c>
      <c r="AI237" s="20">
        <v>0</v>
      </c>
      <c r="AJ237" s="20">
        <v>0</v>
      </c>
      <c r="AK237" s="20" t="s">
        <v>576</v>
      </c>
      <c r="AL237" s="20">
        <v>0</v>
      </c>
      <c r="AM237" s="20">
        <v>0</v>
      </c>
      <c r="AN237" s="20">
        <v>0</v>
      </c>
      <c r="AO237" s="20">
        <v>0</v>
      </c>
      <c r="AP237" s="20">
        <v>0</v>
      </c>
      <c r="AR237" s="20">
        <v>0</v>
      </c>
      <c r="AS237" s="20">
        <v>0</v>
      </c>
      <c r="AT237" s="20">
        <v>1104483.5</v>
      </c>
      <c r="AU237" s="20" t="s">
        <v>13</v>
      </c>
      <c r="AV237" s="20" t="s">
        <v>80</v>
      </c>
      <c r="AW237" s="111" t="s">
        <v>81</v>
      </c>
      <c r="AX237" s="20" t="s">
        <v>208</v>
      </c>
      <c r="AY237" s="19" t="s">
        <v>209</v>
      </c>
      <c r="AZ237" s="19">
        <v>0</v>
      </c>
      <c r="BA237" s="19">
        <v>658803.5</v>
      </c>
      <c r="BB237" s="19">
        <v>1163</v>
      </c>
      <c r="BC237" s="19" t="s">
        <v>2948</v>
      </c>
      <c r="BD237" s="19" t="s">
        <v>65</v>
      </c>
      <c r="BE237" s="19" t="s">
        <v>210</v>
      </c>
      <c r="BF237" s="19" t="s">
        <v>210</v>
      </c>
      <c r="BG237" s="19">
        <v>9</v>
      </c>
      <c r="BH237" s="19">
        <v>59292.32</v>
      </c>
      <c r="BI237" s="19">
        <v>9</v>
      </c>
      <c r="BJ237" s="19">
        <v>59292.32</v>
      </c>
      <c r="BK237" s="19">
        <v>0</v>
      </c>
      <c r="BL237" s="19">
        <v>0</v>
      </c>
      <c r="BM237" s="19">
        <v>1104483.5</v>
      </c>
      <c r="BN237" s="19">
        <v>632165889570</v>
      </c>
      <c r="BO237" s="66">
        <v>46253</v>
      </c>
      <c r="BP237" s="19">
        <v>0</v>
      </c>
    </row>
    <row r="238" spans="1:68">
      <c r="A238" s="65"/>
      <c r="B238" s="20" t="s">
        <v>2165</v>
      </c>
      <c r="C238" s="20" t="s">
        <v>2948</v>
      </c>
      <c r="D238" s="20" t="s">
        <v>3586</v>
      </c>
      <c r="E238" s="20" t="s">
        <v>23</v>
      </c>
      <c r="F238" s="20" t="s">
        <v>24</v>
      </c>
      <c r="H238" s="20" t="s">
        <v>3587</v>
      </c>
      <c r="I238" s="20">
        <v>421.6</v>
      </c>
      <c r="J238" s="20">
        <v>421.6</v>
      </c>
      <c r="K238" s="20" t="s">
        <v>11</v>
      </c>
      <c r="L238" s="20">
        <v>421.6</v>
      </c>
      <c r="M238" s="20">
        <v>0</v>
      </c>
      <c r="N238" s="20">
        <v>421.6</v>
      </c>
      <c r="O238" s="20" t="s">
        <v>2154</v>
      </c>
      <c r="P238" s="20" t="s">
        <v>87</v>
      </c>
      <c r="Q238" s="20" t="s">
        <v>87</v>
      </c>
      <c r="R238" s="20" t="s">
        <v>2960</v>
      </c>
      <c r="S238" s="111" t="s">
        <v>2948</v>
      </c>
      <c r="T238" s="20" t="s">
        <v>206</v>
      </c>
      <c r="U238" s="20" t="s">
        <v>207</v>
      </c>
      <c r="V238" s="20" t="s">
        <v>2959</v>
      </c>
      <c r="W238" s="20">
        <v>144.32</v>
      </c>
      <c r="X238" s="20">
        <v>144.31999947732999</v>
      </c>
      <c r="Y238" s="20" t="s">
        <v>2960</v>
      </c>
      <c r="Z238" s="111" t="s">
        <v>2948</v>
      </c>
      <c r="AB238" s="20" t="s">
        <v>212</v>
      </c>
      <c r="AD238" s="20" t="s">
        <v>213</v>
      </c>
      <c r="AE238" s="20" t="s">
        <v>212</v>
      </c>
      <c r="AF238" s="20">
        <v>0</v>
      </c>
      <c r="AG238" s="20">
        <v>0</v>
      </c>
      <c r="AH238" s="20">
        <v>0</v>
      </c>
      <c r="AI238" s="20">
        <v>0</v>
      </c>
      <c r="AJ238" s="20">
        <v>0</v>
      </c>
      <c r="AK238" s="20" t="s">
        <v>576</v>
      </c>
      <c r="AL238" s="20">
        <v>0</v>
      </c>
      <c r="AM238" s="20">
        <v>0</v>
      </c>
      <c r="AN238" s="20">
        <v>0</v>
      </c>
      <c r="AO238" s="20">
        <v>0</v>
      </c>
      <c r="AP238" s="20">
        <v>0</v>
      </c>
      <c r="AR238" s="20">
        <v>0</v>
      </c>
      <c r="AS238" s="20">
        <v>0</v>
      </c>
      <c r="AT238" s="20">
        <v>1104483.5</v>
      </c>
      <c r="AU238" s="20" t="s">
        <v>13</v>
      </c>
      <c r="AV238" s="20" t="s">
        <v>24</v>
      </c>
      <c r="AW238" s="111" t="s">
        <v>79</v>
      </c>
      <c r="AX238" s="20" t="s">
        <v>208</v>
      </c>
      <c r="AY238" s="19" t="s">
        <v>209</v>
      </c>
      <c r="AZ238" s="19">
        <v>0</v>
      </c>
      <c r="BA238" s="19">
        <v>60845.31</v>
      </c>
      <c r="BB238" s="19">
        <v>1163</v>
      </c>
      <c r="BC238" s="19" t="s">
        <v>2948</v>
      </c>
      <c r="BD238" s="19" t="s">
        <v>65</v>
      </c>
      <c r="BE238" s="19" t="s">
        <v>210</v>
      </c>
      <c r="BF238" s="19" t="s">
        <v>210</v>
      </c>
      <c r="BG238" s="19">
        <v>9</v>
      </c>
      <c r="BH238" s="19">
        <v>5476.08</v>
      </c>
      <c r="BI238" s="19">
        <v>9</v>
      </c>
      <c r="BJ238" s="19">
        <v>5476.08</v>
      </c>
      <c r="BK238" s="19">
        <v>0</v>
      </c>
      <c r="BL238" s="19">
        <v>0</v>
      </c>
      <c r="BM238" s="19">
        <v>0</v>
      </c>
      <c r="BN238" s="19">
        <v>632165889570</v>
      </c>
      <c r="BO238" s="66">
        <v>46253</v>
      </c>
      <c r="BP238" s="19">
        <v>0</v>
      </c>
    </row>
    <row r="239" spans="1:68">
      <c r="A239" s="65"/>
      <c r="B239" s="20" t="s">
        <v>2165</v>
      </c>
      <c r="C239" s="20" t="s">
        <v>2948</v>
      </c>
      <c r="D239" s="20" t="s">
        <v>3586</v>
      </c>
      <c r="E239" s="20" t="s">
        <v>23</v>
      </c>
      <c r="F239" s="20" t="s">
        <v>24</v>
      </c>
      <c r="H239" s="20" t="s">
        <v>3587</v>
      </c>
      <c r="I239" s="20">
        <v>1468.6</v>
      </c>
      <c r="J239" s="20">
        <v>1468.6</v>
      </c>
      <c r="K239" s="20" t="s">
        <v>11</v>
      </c>
      <c r="L239" s="20">
        <v>1468.6</v>
      </c>
      <c r="M239" s="20">
        <v>0</v>
      </c>
      <c r="N239" s="20">
        <v>1468.6</v>
      </c>
      <c r="O239" s="20" t="s">
        <v>2154</v>
      </c>
      <c r="P239" s="20" t="s">
        <v>87</v>
      </c>
      <c r="Q239" s="20" t="s">
        <v>87</v>
      </c>
      <c r="R239" s="20" t="s">
        <v>2960</v>
      </c>
      <c r="S239" s="111" t="s">
        <v>2948</v>
      </c>
      <c r="T239" s="20" t="s">
        <v>206</v>
      </c>
      <c r="U239" s="20" t="s">
        <v>207</v>
      </c>
      <c r="V239" s="20" t="s">
        <v>2959</v>
      </c>
      <c r="W239" s="20">
        <v>147.32</v>
      </c>
      <c r="X239" s="20">
        <v>147.31999946646599</v>
      </c>
      <c r="Y239" s="20" t="s">
        <v>2960</v>
      </c>
      <c r="Z239" s="111" t="s">
        <v>2948</v>
      </c>
      <c r="AB239" s="20" t="s">
        <v>212</v>
      </c>
      <c r="AD239" s="20" t="s">
        <v>213</v>
      </c>
      <c r="AE239" s="20" t="s">
        <v>212</v>
      </c>
      <c r="AF239" s="20">
        <v>0</v>
      </c>
      <c r="AG239" s="20">
        <v>0</v>
      </c>
      <c r="AH239" s="20">
        <v>0</v>
      </c>
      <c r="AI239" s="20">
        <v>0</v>
      </c>
      <c r="AJ239" s="20">
        <v>0</v>
      </c>
      <c r="AK239" s="20" t="s">
        <v>576</v>
      </c>
      <c r="AL239" s="20">
        <v>0</v>
      </c>
      <c r="AM239" s="20">
        <v>0</v>
      </c>
      <c r="AN239" s="20">
        <v>0</v>
      </c>
      <c r="AO239" s="20">
        <v>0</v>
      </c>
      <c r="AP239" s="20">
        <v>0</v>
      </c>
      <c r="AR239" s="20">
        <v>0</v>
      </c>
      <c r="AS239" s="20">
        <v>0</v>
      </c>
      <c r="AT239" s="20">
        <v>1104483.5</v>
      </c>
      <c r="AU239" s="20" t="s">
        <v>13</v>
      </c>
      <c r="AV239" s="20" t="s">
        <v>24</v>
      </c>
      <c r="AW239" s="111" t="s">
        <v>79</v>
      </c>
      <c r="AX239" s="20" t="s">
        <v>208</v>
      </c>
      <c r="AY239" s="19" t="s">
        <v>209</v>
      </c>
      <c r="AZ239" s="19">
        <v>0</v>
      </c>
      <c r="BA239" s="19">
        <v>216354.15</v>
      </c>
      <c r="BB239" s="19">
        <v>1163</v>
      </c>
      <c r="BC239" s="19" t="s">
        <v>2948</v>
      </c>
      <c r="BD239" s="19" t="s">
        <v>65</v>
      </c>
      <c r="BE239" s="19" t="s">
        <v>210</v>
      </c>
      <c r="BF239" s="19" t="s">
        <v>210</v>
      </c>
      <c r="BG239" s="19">
        <v>9</v>
      </c>
      <c r="BH239" s="19">
        <v>19471.87</v>
      </c>
      <c r="BI239" s="19">
        <v>9</v>
      </c>
      <c r="BJ239" s="19">
        <v>19471.87</v>
      </c>
      <c r="BK239" s="19">
        <v>0</v>
      </c>
      <c r="BL239" s="19">
        <v>0</v>
      </c>
      <c r="BM239" s="19">
        <v>0</v>
      </c>
      <c r="BN239" s="19">
        <v>632165889570</v>
      </c>
      <c r="BO239" s="66">
        <v>46253</v>
      </c>
      <c r="BP239" s="19">
        <v>0</v>
      </c>
    </row>
    <row r="240" spans="1:68">
      <c r="A240" s="65"/>
      <c r="B240" s="20" t="s">
        <v>2165</v>
      </c>
      <c r="C240" s="20" t="s">
        <v>2948</v>
      </c>
      <c r="D240" s="20" t="s">
        <v>3588</v>
      </c>
      <c r="E240" s="20" t="s">
        <v>3589</v>
      </c>
      <c r="F240" s="20" t="s">
        <v>2983</v>
      </c>
      <c r="G240" s="20" t="s">
        <v>3590</v>
      </c>
      <c r="H240" s="20" t="s">
        <v>3591</v>
      </c>
      <c r="I240" s="20">
        <v>25</v>
      </c>
      <c r="J240" s="20">
        <v>25</v>
      </c>
      <c r="K240" s="20" t="s">
        <v>11</v>
      </c>
      <c r="L240" s="20">
        <v>25</v>
      </c>
      <c r="M240" s="20">
        <v>0</v>
      </c>
      <c r="N240" s="20">
        <v>25</v>
      </c>
      <c r="O240" s="20" t="s">
        <v>2306</v>
      </c>
      <c r="P240" s="20" t="s">
        <v>109</v>
      </c>
      <c r="Q240" s="20" t="s">
        <v>109</v>
      </c>
      <c r="R240" s="20" t="s">
        <v>2982</v>
      </c>
      <c r="S240" s="111">
        <v>46242</v>
      </c>
      <c r="T240" s="20" t="s">
        <v>206</v>
      </c>
      <c r="U240" s="20" t="s">
        <v>207</v>
      </c>
      <c r="V240" s="20" t="s">
        <v>2981</v>
      </c>
      <c r="W240" s="20">
        <v>500</v>
      </c>
      <c r="X240" s="20">
        <v>500</v>
      </c>
      <c r="Y240" s="20" t="s">
        <v>2982</v>
      </c>
      <c r="Z240" s="111">
        <v>46242</v>
      </c>
      <c r="AB240" s="20" t="s">
        <v>212</v>
      </c>
      <c r="AD240" s="20" t="s">
        <v>3566</v>
      </c>
      <c r="AE240" s="20">
        <v>4102516692</v>
      </c>
      <c r="AF240" s="20">
        <v>0</v>
      </c>
      <c r="AG240" s="20">
        <v>0</v>
      </c>
      <c r="AH240" s="20">
        <v>0</v>
      </c>
      <c r="AI240" s="20">
        <v>0</v>
      </c>
      <c r="AJ240" s="20">
        <v>0</v>
      </c>
      <c r="AK240" s="20" t="s">
        <v>576</v>
      </c>
      <c r="AL240" s="20">
        <v>0</v>
      </c>
      <c r="AM240" s="20">
        <v>0</v>
      </c>
      <c r="AN240" s="20">
        <v>0</v>
      </c>
      <c r="AO240" s="20">
        <v>0</v>
      </c>
      <c r="AP240" s="20">
        <v>0</v>
      </c>
      <c r="AR240" s="20">
        <v>0</v>
      </c>
      <c r="AS240" s="20">
        <v>0</v>
      </c>
      <c r="AT240" s="20">
        <v>14750</v>
      </c>
      <c r="AU240" s="20" t="s">
        <v>8</v>
      </c>
      <c r="AV240" s="20" t="s">
        <v>110</v>
      </c>
      <c r="AW240" s="111" t="s">
        <v>110</v>
      </c>
      <c r="AX240" s="20" t="s">
        <v>208</v>
      </c>
      <c r="AY240" s="19" t="s">
        <v>209</v>
      </c>
      <c r="AZ240" s="19">
        <v>0</v>
      </c>
      <c r="BA240" s="19">
        <v>12500</v>
      </c>
      <c r="BB240" s="19">
        <v>1149</v>
      </c>
      <c r="BC240" s="19" t="s">
        <v>2926</v>
      </c>
      <c r="BD240" s="19" t="s">
        <v>624</v>
      </c>
      <c r="BE240" s="19" t="s">
        <v>210</v>
      </c>
      <c r="BF240" s="19" t="s">
        <v>2509</v>
      </c>
      <c r="BG240" s="19">
        <v>0</v>
      </c>
      <c r="BH240" s="19">
        <v>0</v>
      </c>
      <c r="BI240" s="19">
        <v>0</v>
      </c>
      <c r="BJ240" s="19">
        <v>0</v>
      </c>
      <c r="BK240" s="19">
        <v>18</v>
      </c>
      <c r="BL240" s="19">
        <v>2250</v>
      </c>
      <c r="BM240" s="19">
        <v>14750</v>
      </c>
      <c r="BN240" s="19" t="s">
        <v>212</v>
      </c>
      <c r="BO240" s="66">
        <v>46253</v>
      </c>
      <c r="BP240" s="19">
        <v>0</v>
      </c>
    </row>
    <row r="241" spans="1:68">
      <c r="A241" s="65"/>
      <c r="B241" s="20" t="s">
        <v>2165</v>
      </c>
      <c r="C241" s="20" t="s">
        <v>2984</v>
      </c>
      <c r="D241" s="20" t="s">
        <v>3592</v>
      </c>
      <c r="E241" s="20" t="s">
        <v>3593</v>
      </c>
      <c r="F241" s="20" t="s">
        <v>3000</v>
      </c>
      <c r="H241" s="20" t="s">
        <v>3594</v>
      </c>
      <c r="I241" s="20">
        <v>398</v>
      </c>
      <c r="J241" s="20">
        <v>398</v>
      </c>
      <c r="K241" s="20" t="s">
        <v>11</v>
      </c>
      <c r="L241" s="20">
        <v>398</v>
      </c>
      <c r="M241" s="20">
        <v>0</v>
      </c>
      <c r="N241" s="20">
        <v>398</v>
      </c>
      <c r="O241" s="20" t="s">
        <v>3595</v>
      </c>
      <c r="P241" s="20" t="s">
        <v>93</v>
      </c>
      <c r="Q241" s="20" t="s">
        <v>93</v>
      </c>
      <c r="R241" s="20" t="s">
        <v>2999</v>
      </c>
      <c r="S241" s="20" t="s">
        <v>2948</v>
      </c>
      <c r="T241" s="20" t="s">
        <v>206</v>
      </c>
      <c r="U241" s="20" t="s">
        <v>207</v>
      </c>
      <c r="V241" s="20" t="s">
        <v>2998</v>
      </c>
      <c r="W241" s="20">
        <v>159.4</v>
      </c>
      <c r="X241" s="20">
        <v>159.4</v>
      </c>
      <c r="Y241" s="20" t="s">
        <v>2999</v>
      </c>
      <c r="Z241" s="20" t="s">
        <v>2948</v>
      </c>
      <c r="AB241" s="20" t="s">
        <v>212</v>
      </c>
      <c r="AD241" s="20" t="s">
        <v>213</v>
      </c>
      <c r="AE241" s="20" t="s">
        <v>212</v>
      </c>
      <c r="AF241" s="20">
        <v>0</v>
      </c>
      <c r="AG241" s="20">
        <v>0</v>
      </c>
      <c r="AH241" s="20">
        <v>0</v>
      </c>
      <c r="AI241" s="20">
        <v>0</v>
      </c>
      <c r="AJ241" s="20">
        <v>0</v>
      </c>
      <c r="AK241" s="20" t="s">
        <v>576</v>
      </c>
      <c r="AL241" s="20">
        <v>0</v>
      </c>
      <c r="AM241" s="20">
        <v>0</v>
      </c>
      <c r="AN241" s="20">
        <v>0</v>
      </c>
      <c r="AO241" s="20">
        <v>0</v>
      </c>
      <c r="AP241" s="20">
        <v>0</v>
      </c>
      <c r="AR241" s="20">
        <v>0</v>
      </c>
      <c r="AS241" s="20">
        <v>0</v>
      </c>
      <c r="AT241" s="20">
        <v>66613.259999999995</v>
      </c>
      <c r="AU241" s="20" t="s">
        <v>13</v>
      </c>
      <c r="AV241" s="20" t="s">
        <v>99</v>
      </c>
      <c r="AW241" s="111" t="s">
        <v>100</v>
      </c>
      <c r="AX241" s="20" t="s">
        <v>208</v>
      </c>
      <c r="AY241" s="19" t="s">
        <v>209</v>
      </c>
      <c r="AZ241" s="19">
        <v>0</v>
      </c>
      <c r="BA241" s="19">
        <v>63441.2</v>
      </c>
      <c r="BB241" s="19">
        <v>1167</v>
      </c>
      <c r="BC241" s="19" t="s">
        <v>2984</v>
      </c>
      <c r="BD241" s="19" t="s">
        <v>59</v>
      </c>
      <c r="BE241" s="19" t="s">
        <v>210</v>
      </c>
      <c r="BF241" s="19" t="s">
        <v>210</v>
      </c>
      <c r="BG241" s="19">
        <v>2.5</v>
      </c>
      <c r="BH241" s="19">
        <v>1586.03</v>
      </c>
      <c r="BI241" s="19">
        <v>2.5</v>
      </c>
      <c r="BJ241" s="19">
        <v>1586.03</v>
      </c>
      <c r="BK241" s="19">
        <v>0</v>
      </c>
      <c r="BL241" s="19">
        <v>0</v>
      </c>
      <c r="BM241" s="19">
        <v>66613.259999999995</v>
      </c>
      <c r="BN241" s="19">
        <v>672166184517</v>
      </c>
      <c r="BO241" s="66">
        <v>46253</v>
      </c>
      <c r="BP241" s="19">
        <v>0</v>
      </c>
    </row>
    <row r="242" spans="1:68">
      <c r="A242" s="65"/>
      <c r="B242" s="20" t="s">
        <v>2165</v>
      </c>
      <c r="C242" s="20" t="s">
        <v>2984</v>
      </c>
      <c r="D242" s="20" t="s">
        <v>3596</v>
      </c>
      <c r="E242" s="20" t="s">
        <v>18</v>
      </c>
      <c r="F242" s="20" t="s">
        <v>19</v>
      </c>
      <c r="H242" s="20" t="s">
        <v>3597</v>
      </c>
      <c r="I242" s="20">
        <v>1593</v>
      </c>
      <c r="J242" s="20">
        <v>1593</v>
      </c>
      <c r="K242" s="20" t="s">
        <v>11</v>
      </c>
      <c r="L242" s="20">
        <v>1593</v>
      </c>
      <c r="M242" s="20">
        <v>0</v>
      </c>
      <c r="N242" s="20">
        <v>1593</v>
      </c>
      <c r="O242" s="20" t="s">
        <v>3584</v>
      </c>
      <c r="P242" s="20" t="s">
        <v>87</v>
      </c>
      <c r="Q242" s="20" t="s">
        <v>87</v>
      </c>
      <c r="R242" s="20" t="s">
        <v>3029</v>
      </c>
      <c r="S242" s="20" t="s">
        <v>2984</v>
      </c>
      <c r="T242" s="20" t="s">
        <v>206</v>
      </c>
      <c r="U242" s="20" t="s">
        <v>207</v>
      </c>
      <c r="V242" s="20" t="s">
        <v>3028</v>
      </c>
      <c r="W242" s="20">
        <v>144.32</v>
      </c>
      <c r="X242" s="20">
        <v>144.32</v>
      </c>
      <c r="Y242" s="20" t="s">
        <v>3029</v>
      </c>
      <c r="Z242" s="20" t="s">
        <v>2984</v>
      </c>
      <c r="AB242" s="20" t="s">
        <v>212</v>
      </c>
      <c r="AD242" s="20" t="s">
        <v>2125</v>
      </c>
      <c r="AE242" s="20" t="s">
        <v>3598</v>
      </c>
      <c r="AF242" s="20">
        <v>0</v>
      </c>
      <c r="AG242" s="20">
        <v>0</v>
      </c>
      <c r="AH242" s="20">
        <v>0</v>
      </c>
      <c r="AI242" s="20">
        <v>0</v>
      </c>
      <c r="AJ242" s="20">
        <v>0</v>
      </c>
      <c r="AK242" s="20" t="s">
        <v>576</v>
      </c>
      <c r="AL242" s="20">
        <v>0</v>
      </c>
      <c r="AM242" s="20">
        <v>0</v>
      </c>
      <c r="AN242" s="20">
        <v>0</v>
      </c>
      <c r="AO242" s="20">
        <v>0</v>
      </c>
      <c r="AP242" s="20">
        <v>0</v>
      </c>
      <c r="AR242" s="20">
        <v>0</v>
      </c>
      <c r="AS242" s="20">
        <v>0</v>
      </c>
      <c r="AT242" s="20">
        <v>2150506.38</v>
      </c>
      <c r="AU242" s="20" t="s">
        <v>13</v>
      </c>
      <c r="AV242" s="20" t="s">
        <v>62</v>
      </c>
      <c r="AW242" s="111" t="s">
        <v>63</v>
      </c>
      <c r="AX242" s="20" t="s">
        <v>208</v>
      </c>
      <c r="AY242" s="19" t="s">
        <v>209</v>
      </c>
      <c r="AZ242" s="19">
        <v>0</v>
      </c>
      <c r="BA242" s="19">
        <v>229901.76</v>
      </c>
      <c r="BB242" s="19">
        <v>1168</v>
      </c>
      <c r="BC242" s="19" t="s">
        <v>2984</v>
      </c>
      <c r="BD242" s="19" t="s">
        <v>65</v>
      </c>
      <c r="BE242" s="19" t="s">
        <v>210</v>
      </c>
      <c r="BF242" s="19" t="s">
        <v>210</v>
      </c>
      <c r="BG242" s="19">
        <v>9</v>
      </c>
      <c r="BH242" s="19">
        <v>20691.16</v>
      </c>
      <c r="BI242" s="19">
        <v>9</v>
      </c>
      <c r="BJ242" s="19">
        <v>20691.16</v>
      </c>
      <c r="BK242" s="19">
        <v>0</v>
      </c>
      <c r="BL242" s="19">
        <v>0</v>
      </c>
      <c r="BM242" s="19">
        <v>2150506.38</v>
      </c>
      <c r="BN242" s="19">
        <v>682166550427</v>
      </c>
      <c r="BO242" s="66">
        <v>46254</v>
      </c>
      <c r="BP242" s="19">
        <v>0</v>
      </c>
    </row>
    <row r="243" spans="1:68">
      <c r="A243" s="65"/>
      <c r="B243" s="20" t="s">
        <v>2165</v>
      </c>
      <c r="C243" s="20" t="s">
        <v>2984</v>
      </c>
      <c r="D243" s="20" t="s">
        <v>3596</v>
      </c>
      <c r="E243" s="20" t="s">
        <v>18</v>
      </c>
      <c r="F243" s="20" t="s">
        <v>19</v>
      </c>
      <c r="H243" s="20" t="s">
        <v>3597</v>
      </c>
      <c r="I243" s="20">
        <v>522</v>
      </c>
      <c r="J243" s="20">
        <v>522</v>
      </c>
      <c r="K243" s="20" t="s">
        <v>11</v>
      </c>
      <c r="L243" s="20">
        <v>522</v>
      </c>
      <c r="M243" s="20">
        <v>0</v>
      </c>
      <c r="N243" s="20">
        <v>522</v>
      </c>
      <c r="O243" s="20" t="s">
        <v>3584</v>
      </c>
      <c r="P243" s="20" t="s">
        <v>87</v>
      </c>
      <c r="Q243" s="20" t="s">
        <v>87</v>
      </c>
      <c r="R243" s="20" t="s">
        <v>3029</v>
      </c>
      <c r="S243" s="20" t="s">
        <v>2984</v>
      </c>
      <c r="T243" s="20" t="s">
        <v>206</v>
      </c>
      <c r="U243" s="20" t="s">
        <v>207</v>
      </c>
      <c r="V243" s="20" t="s">
        <v>3028</v>
      </c>
      <c r="W243" s="20">
        <v>145.32</v>
      </c>
      <c r="X243" s="20">
        <v>145.32</v>
      </c>
      <c r="Y243" s="20" t="s">
        <v>3029</v>
      </c>
      <c r="Z243" s="20" t="s">
        <v>2984</v>
      </c>
      <c r="AB243" s="20" t="s">
        <v>212</v>
      </c>
      <c r="AD243" s="20" t="s">
        <v>2125</v>
      </c>
      <c r="AE243" s="20" t="s">
        <v>3598</v>
      </c>
      <c r="AF243" s="20">
        <v>0</v>
      </c>
      <c r="AG243" s="20">
        <v>0</v>
      </c>
      <c r="AH243" s="20">
        <v>0</v>
      </c>
      <c r="AI243" s="20">
        <v>0</v>
      </c>
      <c r="AJ243" s="20">
        <v>0</v>
      </c>
      <c r="AK243" s="20" t="s">
        <v>576</v>
      </c>
      <c r="AL243" s="20">
        <v>0</v>
      </c>
      <c r="AM243" s="20">
        <v>0</v>
      </c>
      <c r="AN243" s="20">
        <v>0</v>
      </c>
      <c r="AO243" s="20">
        <v>0</v>
      </c>
      <c r="AP243" s="20">
        <v>0</v>
      </c>
      <c r="AR243" s="20">
        <v>0</v>
      </c>
      <c r="AS243" s="20">
        <v>0</v>
      </c>
      <c r="AT243" s="20">
        <v>2150506.38</v>
      </c>
      <c r="AU243" s="20" t="s">
        <v>13</v>
      </c>
      <c r="AV243" s="20" t="s">
        <v>62</v>
      </c>
      <c r="AW243" s="111" t="s">
        <v>63</v>
      </c>
      <c r="AX243" s="20" t="s">
        <v>208</v>
      </c>
      <c r="AY243" s="19" t="s">
        <v>209</v>
      </c>
      <c r="AZ243" s="19">
        <v>0</v>
      </c>
      <c r="BA243" s="19">
        <v>75857.039999999994</v>
      </c>
      <c r="BB243" s="19">
        <v>1168</v>
      </c>
      <c r="BC243" s="19" t="s">
        <v>2984</v>
      </c>
      <c r="BD243" s="19" t="s">
        <v>65</v>
      </c>
      <c r="BE243" s="19" t="s">
        <v>210</v>
      </c>
      <c r="BF243" s="19" t="s">
        <v>210</v>
      </c>
      <c r="BG243" s="19">
        <v>9</v>
      </c>
      <c r="BH243" s="19">
        <v>6827.13</v>
      </c>
      <c r="BI243" s="19">
        <v>9</v>
      </c>
      <c r="BJ243" s="19">
        <v>6827.13</v>
      </c>
      <c r="BK243" s="19">
        <v>0</v>
      </c>
      <c r="BL243" s="19">
        <v>0</v>
      </c>
      <c r="BM243" s="19">
        <v>0</v>
      </c>
      <c r="BN243" s="19">
        <v>682166550427</v>
      </c>
      <c r="BO243" s="66">
        <v>46254</v>
      </c>
      <c r="BP243" s="19">
        <v>0</v>
      </c>
    </row>
    <row r="244" spans="1:68">
      <c r="A244" s="65"/>
      <c r="B244" s="19" t="s">
        <v>2165</v>
      </c>
      <c r="C244" s="19" t="s">
        <v>2984</v>
      </c>
      <c r="D244" s="19" t="s">
        <v>3596</v>
      </c>
      <c r="E244" s="19" t="s">
        <v>18</v>
      </c>
      <c r="F244" s="19" t="s">
        <v>19</v>
      </c>
      <c r="G244" s="19"/>
      <c r="H244" s="19" t="s">
        <v>3597</v>
      </c>
      <c r="I244" s="19">
        <v>10657</v>
      </c>
      <c r="J244" s="19">
        <v>10657</v>
      </c>
      <c r="K244" s="19" t="s">
        <v>11</v>
      </c>
      <c r="L244" s="19">
        <v>10657</v>
      </c>
      <c r="M244" s="19">
        <v>0</v>
      </c>
      <c r="N244" s="19">
        <v>10657</v>
      </c>
      <c r="O244" s="19" t="s">
        <v>3584</v>
      </c>
      <c r="P244" s="19" t="s">
        <v>87</v>
      </c>
      <c r="Q244" s="19" t="s">
        <v>87</v>
      </c>
      <c r="R244" s="19" t="s">
        <v>3029</v>
      </c>
      <c r="S244" s="66" t="s">
        <v>2984</v>
      </c>
      <c r="T244" s="19" t="s">
        <v>206</v>
      </c>
      <c r="U244" s="19" t="s">
        <v>207</v>
      </c>
      <c r="V244" s="19" t="s">
        <v>3028</v>
      </c>
      <c r="W244" s="19">
        <v>142.32</v>
      </c>
      <c r="X244" s="112">
        <v>142.32</v>
      </c>
      <c r="Y244" s="19" t="s">
        <v>3029</v>
      </c>
      <c r="Z244" s="66" t="s">
        <v>2984</v>
      </c>
      <c r="AA244" s="19"/>
      <c r="AB244" s="19" t="s">
        <v>212</v>
      </c>
      <c r="AC244" s="19"/>
      <c r="AD244" s="19" t="s">
        <v>2125</v>
      </c>
      <c r="AE244" s="19" t="s">
        <v>3598</v>
      </c>
      <c r="AF244" s="19">
        <v>0</v>
      </c>
      <c r="AG244" s="19">
        <v>0</v>
      </c>
      <c r="AH244" s="19">
        <v>0</v>
      </c>
      <c r="AI244" s="19">
        <v>0</v>
      </c>
      <c r="AJ244" s="19">
        <v>0</v>
      </c>
      <c r="AK244" s="19" t="s">
        <v>576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/>
      <c r="AR244" s="19">
        <v>0</v>
      </c>
      <c r="AS244" s="19">
        <v>0</v>
      </c>
      <c r="AT244" s="19">
        <v>2150506.38</v>
      </c>
      <c r="AU244" s="19" t="s">
        <v>13</v>
      </c>
      <c r="AV244" s="19" t="s">
        <v>62</v>
      </c>
      <c r="AW244" s="19" t="s">
        <v>63</v>
      </c>
      <c r="AX244" s="19" t="s">
        <v>208</v>
      </c>
      <c r="AY244" s="19" t="s">
        <v>209</v>
      </c>
      <c r="AZ244" s="19">
        <v>0</v>
      </c>
      <c r="BA244" s="19">
        <v>1516704.24</v>
      </c>
      <c r="BB244" s="19">
        <v>1168</v>
      </c>
      <c r="BC244" s="66" t="s">
        <v>2984</v>
      </c>
      <c r="BD244" s="19" t="s">
        <v>65</v>
      </c>
      <c r="BE244" s="19" t="s">
        <v>210</v>
      </c>
      <c r="BF244" s="19" t="s">
        <v>210</v>
      </c>
      <c r="BG244" s="19">
        <v>9</v>
      </c>
      <c r="BH244" s="19">
        <v>136503.38</v>
      </c>
      <c r="BI244" s="19">
        <v>9</v>
      </c>
      <c r="BJ244" s="19">
        <v>136503.38</v>
      </c>
      <c r="BK244" s="19">
        <v>0</v>
      </c>
      <c r="BL244" s="19">
        <v>0</v>
      </c>
      <c r="BM244" s="19">
        <v>0</v>
      </c>
      <c r="BN244" s="19">
        <v>682166550427</v>
      </c>
      <c r="BO244" s="66">
        <v>46254</v>
      </c>
      <c r="BP244" s="19">
        <v>0</v>
      </c>
    </row>
    <row r="245" spans="1:68">
      <c r="A245" s="65"/>
      <c r="B245" s="19" t="s">
        <v>2165</v>
      </c>
      <c r="C245" s="19" t="s">
        <v>2984</v>
      </c>
      <c r="D245" s="19" t="s">
        <v>3599</v>
      </c>
      <c r="E245" s="19" t="s">
        <v>20</v>
      </c>
      <c r="F245" s="19" t="s">
        <v>21</v>
      </c>
      <c r="G245" s="19"/>
      <c r="H245" s="19" t="s">
        <v>3600</v>
      </c>
      <c r="I245" s="19">
        <v>447</v>
      </c>
      <c r="J245" s="19">
        <v>447</v>
      </c>
      <c r="K245" s="19" t="s">
        <v>11</v>
      </c>
      <c r="L245" s="19">
        <v>447</v>
      </c>
      <c r="M245" s="19">
        <v>0</v>
      </c>
      <c r="N245" s="19">
        <v>447</v>
      </c>
      <c r="O245" s="19" t="s">
        <v>2154</v>
      </c>
      <c r="P245" s="19" t="s">
        <v>87</v>
      </c>
      <c r="Q245" s="19" t="s">
        <v>87</v>
      </c>
      <c r="R245" s="19" t="s">
        <v>3031</v>
      </c>
      <c r="S245" s="19" t="s">
        <v>2984</v>
      </c>
      <c r="T245" s="19" t="s">
        <v>206</v>
      </c>
      <c r="U245" s="19" t="s">
        <v>207</v>
      </c>
      <c r="V245" s="19" t="s">
        <v>3030</v>
      </c>
      <c r="W245" s="19">
        <v>146.32</v>
      </c>
      <c r="X245" s="112">
        <v>146.31999863403499</v>
      </c>
      <c r="Y245" s="19" t="s">
        <v>3031</v>
      </c>
      <c r="Z245" s="19" t="s">
        <v>2984</v>
      </c>
      <c r="AA245" s="19"/>
      <c r="AB245" s="19" t="s">
        <v>212</v>
      </c>
      <c r="AC245" s="19"/>
      <c r="AD245" s="19" t="s">
        <v>213</v>
      </c>
      <c r="AE245" s="19" t="s">
        <v>212</v>
      </c>
      <c r="AF245" s="19">
        <v>0</v>
      </c>
      <c r="AG245" s="19">
        <v>0</v>
      </c>
      <c r="AH245" s="19">
        <v>0</v>
      </c>
      <c r="AI245" s="19">
        <v>0</v>
      </c>
      <c r="AJ245" s="19">
        <v>0</v>
      </c>
      <c r="AK245" s="19" t="s">
        <v>576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/>
      <c r="AR245" s="19">
        <v>0</v>
      </c>
      <c r="AS245" s="19">
        <v>0</v>
      </c>
      <c r="AT245" s="19">
        <v>428473.76</v>
      </c>
      <c r="AU245" s="19" t="s">
        <v>13</v>
      </c>
      <c r="AV245" s="19" t="s">
        <v>62</v>
      </c>
      <c r="AW245" s="19" t="s">
        <v>76</v>
      </c>
      <c r="AX245" s="19" t="s">
        <v>208</v>
      </c>
      <c r="AY245" s="19" t="s">
        <v>209</v>
      </c>
      <c r="AZ245" s="19">
        <v>0</v>
      </c>
      <c r="BA245" s="19">
        <v>65405.04</v>
      </c>
      <c r="BB245" s="19">
        <v>1171</v>
      </c>
      <c r="BC245" s="19" t="s">
        <v>2984</v>
      </c>
      <c r="BD245" s="19" t="s">
        <v>65</v>
      </c>
      <c r="BE245" s="19" t="s">
        <v>210</v>
      </c>
      <c r="BF245" s="19" t="s">
        <v>210</v>
      </c>
      <c r="BG245" s="19">
        <v>9</v>
      </c>
      <c r="BH245" s="19">
        <v>5886.45</v>
      </c>
      <c r="BI245" s="19">
        <v>9</v>
      </c>
      <c r="BJ245" s="19">
        <v>5886.45</v>
      </c>
      <c r="BK245" s="19">
        <v>0</v>
      </c>
      <c r="BL245" s="19">
        <v>0</v>
      </c>
      <c r="BM245" s="19">
        <v>428473.76</v>
      </c>
      <c r="BN245" s="19">
        <v>632166636087</v>
      </c>
      <c r="BO245" s="66">
        <v>46254</v>
      </c>
      <c r="BP245" s="19">
        <v>0</v>
      </c>
    </row>
    <row r="246" spans="1:68">
      <c r="A246" s="65"/>
      <c r="B246" s="19" t="s">
        <v>2165</v>
      </c>
      <c r="C246" s="19" t="s">
        <v>2984</v>
      </c>
      <c r="D246" s="19" t="s">
        <v>3599</v>
      </c>
      <c r="E246" s="19" t="s">
        <v>23</v>
      </c>
      <c r="F246" s="19" t="s">
        <v>24</v>
      </c>
      <c r="G246" s="19"/>
      <c r="H246" s="19" t="s">
        <v>3600</v>
      </c>
      <c r="I246" s="19">
        <v>999.4</v>
      </c>
      <c r="J246" s="19">
        <v>999.4</v>
      </c>
      <c r="K246" s="19" t="s">
        <v>11</v>
      </c>
      <c r="L246" s="19">
        <v>999.4</v>
      </c>
      <c r="M246" s="19">
        <v>0</v>
      </c>
      <c r="N246" s="19">
        <v>999.4</v>
      </c>
      <c r="O246" s="19" t="s">
        <v>2154</v>
      </c>
      <c r="P246" s="19" t="s">
        <v>87</v>
      </c>
      <c r="Q246" s="19" t="s">
        <v>87</v>
      </c>
      <c r="R246" s="19" t="s">
        <v>3031</v>
      </c>
      <c r="S246" s="19" t="s">
        <v>2984</v>
      </c>
      <c r="T246" s="19" t="s">
        <v>206</v>
      </c>
      <c r="U246" s="19" t="s">
        <v>207</v>
      </c>
      <c r="V246" s="19" t="s">
        <v>3030</v>
      </c>
      <c r="W246" s="19">
        <v>147.32</v>
      </c>
      <c r="X246" s="112">
        <v>147.31999862469999</v>
      </c>
      <c r="Y246" s="19" t="s">
        <v>3031</v>
      </c>
      <c r="Z246" s="19" t="s">
        <v>2984</v>
      </c>
      <c r="AA246" s="19"/>
      <c r="AB246" s="19" t="s">
        <v>212</v>
      </c>
      <c r="AC246" s="19"/>
      <c r="AD246" s="19" t="s">
        <v>213</v>
      </c>
      <c r="AE246" s="19" t="s">
        <v>212</v>
      </c>
      <c r="AF246" s="19">
        <v>0</v>
      </c>
      <c r="AG246" s="19">
        <v>0</v>
      </c>
      <c r="AH246" s="19">
        <v>0</v>
      </c>
      <c r="AI246" s="19">
        <v>0</v>
      </c>
      <c r="AJ246" s="19">
        <v>0</v>
      </c>
      <c r="AK246" s="19" t="s">
        <v>576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/>
      <c r="AR246" s="19">
        <v>0</v>
      </c>
      <c r="AS246" s="19">
        <v>0</v>
      </c>
      <c r="AT246" s="19">
        <v>428473.76</v>
      </c>
      <c r="AU246" s="19" t="s">
        <v>13</v>
      </c>
      <c r="AV246" s="19" t="s">
        <v>24</v>
      </c>
      <c r="AW246" s="19" t="s">
        <v>79</v>
      </c>
      <c r="AX246" s="19" t="s">
        <v>208</v>
      </c>
      <c r="AY246" s="19" t="s">
        <v>209</v>
      </c>
      <c r="AZ246" s="19">
        <v>0</v>
      </c>
      <c r="BA246" s="19">
        <v>147231.60999999999</v>
      </c>
      <c r="BB246" s="19">
        <v>1171</v>
      </c>
      <c r="BC246" s="19" t="s">
        <v>2984</v>
      </c>
      <c r="BD246" s="19" t="s">
        <v>65</v>
      </c>
      <c r="BE246" s="19" t="s">
        <v>210</v>
      </c>
      <c r="BF246" s="19" t="s">
        <v>210</v>
      </c>
      <c r="BG246" s="19">
        <v>9</v>
      </c>
      <c r="BH246" s="19">
        <v>13250.84</v>
      </c>
      <c r="BI246" s="19">
        <v>9</v>
      </c>
      <c r="BJ246" s="19">
        <v>13250.84</v>
      </c>
      <c r="BK246" s="19">
        <v>0</v>
      </c>
      <c r="BL246" s="19">
        <v>0</v>
      </c>
      <c r="BM246" s="19">
        <v>0</v>
      </c>
      <c r="BN246" s="19">
        <v>632166636087</v>
      </c>
      <c r="BO246" s="66">
        <v>46254</v>
      </c>
      <c r="BP246" s="19">
        <v>0</v>
      </c>
    </row>
    <row r="247" spans="1:68">
      <c r="A247" s="65"/>
      <c r="B247" s="19" t="s">
        <v>2165</v>
      </c>
      <c r="C247" s="19" t="s">
        <v>2984</v>
      </c>
      <c r="D247" s="19" t="s">
        <v>3599</v>
      </c>
      <c r="E247" s="19" t="s">
        <v>23</v>
      </c>
      <c r="F247" s="19" t="s">
        <v>24</v>
      </c>
      <c r="G247" s="19"/>
      <c r="H247" s="19" t="s">
        <v>3600</v>
      </c>
      <c r="I247" s="19">
        <v>118.1</v>
      </c>
      <c r="J247" s="19">
        <v>118.1</v>
      </c>
      <c r="K247" s="19" t="s">
        <v>11</v>
      </c>
      <c r="L247" s="19">
        <v>118.1</v>
      </c>
      <c r="M247" s="19">
        <v>0</v>
      </c>
      <c r="N247" s="19">
        <v>118.1</v>
      </c>
      <c r="O247" s="19" t="s">
        <v>2154</v>
      </c>
      <c r="P247" s="19" t="s">
        <v>87</v>
      </c>
      <c r="Q247" s="19" t="s">
        <v>87</v>
      </c>
      <c r="R247" s="19" t="s">
        <v>3031</v>
      </c>
      <c r="S247" s="19" t="s">
        <v>2984</v>
      </c>
      <c r="T247" s="19" t="s">
        <v>206</v>
      </c>
      <c r="U247" s="19" t="s">
        <v>207</v>
      </c>
      <c r="V247" s="19" t="s">
        <v>3030</v>
      </c>
      <c r="W247" s="19">
        <v>144.32</v>
      </c>
      <c r="X247" s="112">
        <v>144.319998652706</v>
      </c>
      <c r="Y247" s="19" t="s">
        <v>3031</v>
      </c>
      <c r="Z247" s="19" t="s">
        <v>2984</v>
      </c>
      <c r="AA247" s="19"/>
      <c r="AB247" s="19" t="s">
        <v>212</v>
      </c>
      <c r="AC247" s="19"/>
      <c r="AD247" s="19" t="s">
        <v>213</v>
      </c>
      <c r="AE247" s="19" t="s">
        <v>212</v>
      </c>
      <c r="AF247" s="19">
        <v>0</v>
      </c>
      <c r="AG247" s="19">
        <v>0</v>
      </c>
      <c r="AH247" s="19">
        <v>0</v>
      </c>
      <c r="AI247" s="19">
        <v>0</v>
      </c>
      <c r="AJ247" s="19">
        <v>0</v>
      </c>
      <c r="AK247" s="19" t="s">
        <v>576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/>
      <c r="AR247" s="19">
        <v>0</v>
      </c>
      <c r="AS247" s="19">
        <v>0</v>
      </c>
      <c r="AT247" s="19">
        <v>428473.76</v>
      </c>
      <c r="AU247" s="19" t="s">
        <v>13</v>
      </c>
      <c r="AV247" s="19" t="s">
        <v>24</v>
      </c>
      <c r="AW247" s="19" t="s">
        <v>79</v>
      </c>
      <c r="AX247" s="19" t="s">
        <v>208</v>
      </c>
      <c r="AY247" s="19" t="s">
        <v>209</v>
      </c>
      <c r="AZ247" s="19">
        <v>0</v>
      </c>
      <c r="BA247" s="19">
        <v>17044.189999999999</v>
      </c>
      <c r="BB247" s="19">
        <v>1171</v>
      </c>
      <c r="BC247" s="19" t="s">
        <v>2984</v>
      </c>
      <c r="BD247" s="19" t="s">
        <v>65</v>
      </c>
      <c r="BE247" s="19" t="s">
        <v>210</v>
      </c>
      <c r="BF247" s="19" t="s">
        <v>210</v>
      </c>
      <c r="BG247" s="19">
        <v>9</v>
      </c>
      <c r="BH247" s="19">
        <v>1533.98</v>
      </c>
      <c r="BI247" s="19">
        <v>9</v>
      </c>
      <c r="BJ247" s="19">
        <v>1533.98</v>
      </c>
      <c r="BK247" s="19">
        <v>0</v>
      </c>
      <c r="BL247" s="19">
        <v>0</v>
      </c>
      <c r="BM247" s="19">
        <v>0</v>
      </c>
      <c r="BN247" s="19">
        <v>632166636087</v>
      </c>
      <c r="BO247" s="66">
        <v>46254</v>
      </c>
      <c r="BP247" s="19">
        <v>0</v>
      </c>
    </row>
    <row r="248" spans="1:68">
      <c r="A248" s="65"/>
      <c r="B248" s="19" t="s">
        <v>2165</v>
      </c>
      <c r="C248" s="19" t="s">
        <v>2984</v>
      </c>
      <c r="D248" s="19" t="s">
        <v>3599</v>
      </c>
      <c r="E248" s="19" t="s">
        <v>554</v>
      </c>
      <c r="F248" s="19" t="s">
        <v>553</v>
      </c>
      <c r="G248" s="19"/>
      <c r="H248" s="19" t="s">
        <v>3600</v>
      </c>
      <c r="I248" s="19">
        <v>971.7</v>
      </c>
      <c r="J248" s="19">
        <v>971.7</v>
      </c>
      <c r="K248" s="19" t="s">
        <v>3</v>
      </c>
      <c r="L248" s="19">
        <v>971.7</v>
      </c>
      <c r="M248" s="19">
        <v>0</v>
      </c>
      <c r="N248" s="19">
        <v>971.7</v>
      </c>
      <c r="O248" s="19" t="s">
        <v>2154</v>
      </c>
      <c r="P248" s="19" t="s">
        <v>87</v>
      </c>
      <c r="Q248" s="19" t="s">
        <v>87</v>
      </c>
      <c r="R248" s="19" t="s">
        <v>3031</v>
      </c>
      <c r="S248" s="66" t="s">
        <v>2984</v>
      </c>
      <c r="T248" s="19" t="s">
        <v>206</v>
      </c>
      <c r="U248" s="19" t="s">
        <v>207</v>
      </c>
      <c r="V248" s="19" t="s">
        <v>3030</v>
      </c>
      <c r="W248" s="19">
        <v>154.32</v>
      </c>
      <c r="X248" s="112">
        <v>154.319998559352</v>
      </c>
      <c r="Y248" s="19" t="s">
        <v>3031</v>
      </c>
      <c r="Z248" s="66" t="s">
        <v>2984</v>
      </c>
      <c r="AA248" s="19"/>
      <c r="AB248" s="19" t="s">
        <v>212</v>
      </c>
      <c r="AC248" s="19"/>
      <c r="AD248" s="19" t="s">
        <v>213</v>
      </c>
      <c r="AE248" s="19" t="s">
        <v>212</v>
      </c>
      <c r="AF248" s="19">
        <v>0</v>
      </c>
      <c r="AG248" s="19">
        <v>0</v>
      </c>
      <c r="AH248" s="19">
        <v>0</v>
      </c>
      <c r="AI248" s="19">
        <v>0</v>
      </c>
      <c r="AJ248" s="19">
        <v>0</v>
      </c>
      <c r="AK248" s="19" t="s">
        <v>576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/>
      <c r="AR248" s="19">
        <v>0</v>
      </c>
      <c r="AS248" s="19">
        <v>0</v>
      </c>
      <c r="AT248" s="19">
        <v>428473.76</v>
      </c>
      <c r="AU248" s="19" t="s">
        <v>13</v>
      </c>
      <c r="AV248" s="19" t="s">
        <v>99</v>
      </c>
      <c r="AW248" s="19" t="s">
        <v>100</v>
      </c>
      <c r="AX248" s="19" t="s">
        <v>208</v>
      </c>
      <c r="AY248" s="19"/>
      <c r="AZ248" s="19">
        <v>0</v>
      </c>
      <c r="BA248" s="19">
        <v>149952.74</v>
      </c>
      <c r="BB248" s="19">
        <v>1171</v>
      </c>
      <c r="BC248" s="19" t="s">
        <v>2984</v>
      </c>
      <c r="BD248" s="19" t="s">
        <v>65</v>
      </c>
      <c r="BE248" s="19" t="s">
        <v>210</v>
      </c>
      <c r="BF248" s="19" t="s">
        <v>210</v>
      </c>
      <c r="BG248" s="19">
        <v>2.5</v>
      </c>
      <c r="BH248" s="19">
        <v>3748.82</v>
      </c>
      <c r="BI248" s="19">
        <v>2.5</v>
      </c>
      <c r="BJ248" s="19">
        <v>3748.82</v>
      </c>
      <c r="BK248" s="19">
        <v>0</v>
      </c>
      <c r="BL248" s="19">
        <v>0</v>
      </c>
      <c r="BM248" s="19">
        <v>0</v>
      </c>
      <c r="BN248" s="19">
        <v>632166636087</v>
      </c>
      <c r="BO248" s="66">
        <v>46254</v>
      </c>
      <c r="BP248" s="19">
        <v>0</v>
      </c>
    </row>
    <row r="249" spans="1:68">
      <c r="A249" s="65"/>
      <c r="B249" s="19" t="s">
        <v>2165</v>
      </c>
      <c r="C249" s="19" t="s">
        <v>2984</v>
      </c>
      <c r="D249" s="19" t="s">
        <v>3601</v>
      </c>
      <c r="E249" s="19" t="s">
        <v>160</v>
      </c>
      <c r="F249" s="19" t="s">
        <v>17</v>
      </c>
      <c r="G249" s="19"/>
      <c r="H249" s="19" t="s">
        <v>3602</v>
      </c>
      <c r="I249" s="19">
        <v>7472</v>
      </c>
      <c r="J249" s="19">
        <v>7472</v>
      </c>
      <c r="K249" s="19" t="s">
        <v>11</v>
      </c>
      <c r="L249" s="19">
        <v>7472</v>
      </c>
      <c r="M249" s="19">
        <v>0</v>
      </c>
      <c r="N249" s="19">
        <v>7472</v>
      </c>
      <c r="O249" s="19" t="s">
        <v>2156</v>
      </c>
      <c r="P249" s="19" t="s">
        <v>87</v>
      </c>
      <c r="Q249" s="19" t="s">
        <v>87</v>
      </c>
      <c r="R249" s="19" t="s">
        <v>3033</v>
      </c>
      <c r="S249" s="66" t="s">
        <v>2984</v>
      </c>
      <c r="T249" s="19" t="s">
        <v>206</v>
      </c>
      <c r="U249" s="19" t="s">
        <v>207</v>
      </c>
      <c r="V249" s="19" t="s">
        <v>3032</v>
      </c>
      <c r="W249" s="19">
        <v>176.86</v>
      </c>
      <c r="X249" s="112">
        <v>176.86</v>
      </c>
      <c r="Y249" s="19" t="s">
        <v>3033</v>
      </c>
      <c r="Z249" s="66" t="s">
        <v>2984</v>
      </c>
      <c r="AA249" s="19"/>
      <c r="AB249" s="19" t="s">
        <v>212</v>
      </c>
      <c r="AC249" s="19"/>
      <c r="AD249" s="19" t="s">
        <v>213</v>
      </c>
      <c r="AE249" s="19" t="s">
        <v>212</v>
      </c>
      <c r="AF249" s="19">
        <v>0</v>
      </c>
      <c r="AG249" s="19">
        <v>0</v>
      </c>
      <c r="AH249" s="19">
        <v>0</v>
      </c>
      <c r="AI249" s="19">
        <v>0</v>
      </c>
      <c r="AJ249" s="19">
        <v>0</v>
      </c>
      <c r="AK249" s="19" t="s">
        <v>576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/>
      <c r="AR249" s="19">
        <v>0</v>
      </c>
      <c r="AS249" s="19">
        <v>0</v>
      </c>
      <c r="AT249" s="19">
        <v>1559367.54</v>
      </c>
      <c r="AU249" s="19" t="s">
        <v>13</v>
      </c>
      <c r="AV249" s="19" t="s">
        <v>80</v>
      </c>
      <c r="AW249" s="19" t="s">
        <v>81</v>
      </c>
      <c r="AX249" s="19" t="s">
        <v>208</v>
      </c>
      <c r="AY249" s="19" t="s">
        <v>209</v>
      </c>
      <c r="AZ249" s="19">
        <v>0</v>
      </c>
      <c r="BA249" s="19">
        <v>1321497.92</v>
      </c>
      <c r="BB249" s="19">
        <v>1175</v>
      </c>
      <c r="BC249" s="19" t="s">
        <v>2984</v>
      </c>
      <c r="BD249" s="19" t="s">
        <v>65</v>
      </c>
      <c r="BE249" s="19" t="s">
        <v>210</v>
      </c>
      <c r="BF249" s="19" t="s">
        <v>210</v>
      </c>
      <c r="BG249" s="19">
        <v>9</v>
      </c>
      <c r="BH249" s="19">
        <v>118934.81</v>
      </c>
      <c r="BI249" s="19">
        <v>9</v>
      </c>
      <c r="BJ249" s="19">
        <v>118934.81</v>
      </c>
      <c r="BK249" s="19">
        <v>0</v>
      </c>
      <c r="BL249" s="19">
        <v>0</v>
      </c>
      <c r="BM249" s="19">
        <v>1559367.54</v>
      </c>
      <c r="BN249" s="19">
        <v>642166681952</v>
      </c>
      <c r="BO249" s="66">
        <v>46254</v>
      </c>
      <c r="BP249" s="19">
        <v>0</v>
      </c>
    </row>
    <row r="250" spans="1:68">
      <c r="A250" s="65"/>
      <c r="B250" s="19" t="s">
        <v>2165</v>
      </c>
      <c r="C250" s="19" t="s">
        <v>3039</v>
      </c>
      <c r="D250" s="19" t="s">
        <v>3603</v>
      </c>
      <c r="E250" s="19" t="s">
        <v>160</v>
      </c>
      <c r="F250" s="19" t="s">
        <v>17</v>
      </c>
      <c r="G250" s="19"/>
      <c r="H250" s="19" t="s">
        <v>3604</v>
      </c>
      <c r="I250" s="19">
        <v>1197</v>
      </c>
      <c r="J250" s="19">
        <v>1197</v>
      </c>
      <c r="K250" s="19" t="s">
        <v>11</v>
      </c>
      <c r="L250" s="19">
        <v>1197</v>
      </c>
      <c r="M250" s="19">
        <v>0</v>
      </c>
      <c r="N250" s="19">
        <v>1197</v>
      </c>
      <c r="O250" s="19" t="s">
        <v>3577</v>
      </c>
      <c r="P250" s="19" t="s">
        <v>87</v>
      </c>
      <c r="Q250" s="19" t="s">
        <v>87</v>
      </c>
      <c r="R250" s="19" t="s">
        <v>3055</v>
      </c>
      <c r="S250" s="66" t="s">
        <v>3039</v>
      </c>
      <c r="T250" s="19" t="s">
        <v>206</v>
      </c>
      <c r="U250" s="19" t="s">
        <v>207</v>
      </c>
      <c r="V250" s="19" t="s">
        <v>3054</v>
      </c>
      <c r="W250" s="19">
        <v>176.86</v>
      </c>
      <c r="X250" s="19">
        <v>176.86</v>
      </c>
      <c r="Y250" s="19" t="s">
        <v>3055</v>
      </c>
      <c r="Z250" s="66" t="s">
        <v>3039</v>
      </c>
      <c r="AA250" s="19"/>
      <c r="AB250" s="19" t="s">
        <v>212</v>
      </c>
      <c r="AC250" s="19"/>
      <c r="AD250" s="19" t="s">
        <v>2125</v>
      </c>
      <c r="AE250" s="19" t="s">
        <v>3605</v>
      </c>
      <c r="AF250" s="19">
        <v>0</v>
      </c>
      <c r="AG250" s="19">
        <v>0</v>
      </c>
      <c r="AH250" s="19">
        <v>0</v>
      </c>
      <c r="AI250" s="19">
        <v>0</v>
      </c>
      <c r="AJ250" s="19">
        <v>0</v>
      </c>
      <c r="AK250" s="19" t="s">
        <v>576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/>
      <c r="AR250" s="19">
        <v>0</v>
      </c>
      <c r="AS250" s="19">
        <v>0</v>
      </c>
      <c r="AT250" s="19">
        <v>2821166.04</v>
      </c>
      <c r="AU250" s="19" t="s">
        <v>13</v>
      </c>
      <c r="AV250" s="19" t="s">
        <v>80</v>
      </c>
      <c r="AW250" s="19" t="s">
        <v>81</v>
      </c>
      <c r="AX250" s="19" t="s">
        <v>208</v>
      </c>
      <c r="AY250" s="19" t="s">
        <v>209</v>
      </c>
      <c r="AZ250" s="19">
        <v>0</v>
      </c>
      <c r="BA250" s="19">
        <v>211701.42</v>
      </c>
      <c r="BB250" s="19">
        <v>1185</v>
      </c>
      <c r="BC250" s="19" t="s">
        <v>3039</v>
      </c>
      <c r="BD250" s="19" t="s">
        <v>65</v>
      </c>
      <c r="BE250" s="19" t="s">
        <v>210</v>
      </c>
      <c r="BF250" s="19" t="s">
        <v>210</v>
      </c>
      <c r="BG250" s="19">
        <v>9</v>
      </c>
      <c r="BH250" s="19">
        <v>19053.13</v>
      </c>
      <c r="BI250" s="19">
        <v>9</v>
      </c>
      <c r="BJ250" s="19">
        <v>19053.13</v>
      </c>
      <c r="BK250" s="19">
        <v>0</v>
      </c>
      <c r="BL250" s="19">
        <v>0</v>
      </c>
      <c r="BM250" s="19">
        <v>2821166.04</v>
      </c>
      <c r="BN250" s="19">
        <v>622167354073</v>
      </c>
      <c r="BO250" s="66">
        <v>46255</v>
      </c>
      <c r="BP250" s="19">
        <v>0</v>
      </c>
    </row>
    <row r="251" spans="1:68">
      <c r="A251" s="65"/>
      <c r="B251" s="19" t="s">
        <v>2165</v>
      </c>
      <c r="C251" s="19" t="s">
        <v>3039</v>
      </c>
      <c r="D251" s="19" t="s">
        <v>3603</v>
      </c>
      <c r="E251" s="19" t="s">
        <v>18</v>
      </c>
      <c r="F251" s="19" t="s">
        <v>19</v>
      </c>
      <c r="G251" s="19"/>
      <c r="H251" s="19" t="s">
        <v>3604</v>
      </c>
      <c r="I251" s="19">
        <v>1306</v>
      </c>
      <c r="J251" s="19">
        <v>1306</v>
      </c>
      <c r="K251" s="19" t="s">
        <v>11</v>
      </c>
      <c r="L251" s="19">
        <v>1306</v>
      </c>
      <c r="M251" s="19">
        <v>0</v>
      </c>
      <c r="N251" s="19">
        <v>1306</v>
      </c>
      <c r="O251" s="19" t="s">
        <v>3577</v>
      </c>
      <c r="P251" s="19" t="s">
        <v>87</v>
      </c>
      <c r="Q251" s="19" t="s">
        <v>87</v>
      </c>
      <c r="R251" s="19" t="s">
        <v>3055</v>
      </c>
      <c r="S251" s="66" t="s">
        <v>3039</v>
      </c>
      <c r="T251" s="19" t="s">
        <v>206</v>
      </c>
      <c r="U251" s="19" t="s">
        <v>207</v>
      </c>
      <c r="V251" s="19" t="s">
        <v>3054</v>
      </c>
      <c r="W251" s="19">
        <v>145.32</v>
      </c>
      <c r="X251" s="19">
        <v>145.32</v>
      </c>
      <c r="Y251" s="19" t="s">
        <v>3055</v>
      </c>
      <c r="Z251" s="66" t="s">
        <v>3039</v>
      </c>
      <c r="AA251" s="19"/>
      <c r="AB251" s="19" t="s">
        <v>212</v>
      </c>
      <c r="AC251" s="19"/>
      <c r="AD251" s="19" t="s">
        <v>2125</v>
      </c>
      <c r="AE251" s="19" t="s">
        <v>3605</v>
      </c>
      <c r="AF251" s="19">
        <v>0</v>
      </c>
      <c r="AG251" s="19">
        <v>0</v>
      </c>
      <c r="AH251" s="19">
        <v>0</v>
      </c>
      <c r="AI251" s="19">
        <v>0</v>
      </c>
      <c r="AJ251" s="19">
        <v>0</v>
      </c>
      <c r="AK251" s="19" t="s">
        <v>576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/>
      <c r="AR251" s="19">
        <v>0</v>
      </c>
      <c r="AS251" s="19">
        <v>0</v>
      </c>
      <c r="AT251" s="19">
        <v>2821166.04</v>
      </c>
      <c r="AU251" s="19" t="s">
        <v>13</v>
      </c>
      <c r="AV251" s="19" t="s">
        <v>62</v>
      </c>
      <c r="AW251" s="19" t="s">
        <v>63</v>
      </c>
      <c r="AX251" s="19" t="s">
        <v>208</v>
      </c>
      <c r="AY251" s="19" t="s">
        <v>209</v>
      </c>
      <c r="AZ251" s="19">
        <v>0</v>
      </c>
      <c r="BA251" s="19">
        <v>189787.92</v>
      </c>
      <c r="BB251" s="19">
        <v>1185</v>
      </c>
      <c r="BC251" s="19" t="s">
        <v>3039</v>
      </c>
      <c r="BD251" s="19" t="s">
        <v>65</v>
      </c>
      <c r="BE251" s="19" t="s">
        <v>210</v>
      </c>
      <c r="BF251" s="19" t="s">
        <v>210</v>
      </c>
      <c r="BG251" s="19">
        <v>9</v>
      </c>
      <c r="BH251" s="19">
        <v>17080.91</v>
      </c>
      <c r="BI251" s="19">
        <v>9</v>
      </c>
      <c r="BJ251" s="19">
        <v>17080.91</v>
      </c>
      <c r="BK251" s="19">
        <v>0</v>
      </c>
      <c r="BL251" s="19">
        <v>0</v>
      </c>
      <c r="BM251" s="19">
        <v>0</v>
      </c>
      <c r="BN251" s="19">
        <v>622167354073</v>
      </c>
      <c r="BO251" s="66">
        <v>46255</v>
      </c>
      <c r="BP251" s="19">
        <v>0</v>
      </c>
    </row>
    <row r="252" spans="1:68">
      <c r="A252" s="65"/>
      <c r="B252" s="19" t="s">
        <v>2165</v>
      </c>
      <c r="C252" s="19" t="s">
        <v>3039</v>
      </c>
      <c r="D252" s="19" t="s">
        <v>3603</v>
      </c>
      <c r="E252" s="19" t="s">
        <v>18</v>
      </c>
      <c r="F252" s="19" t="s">
        <v>19</v>
      </c>
      <c r="G252" s="19"/>
      <c r="H252" s="19" t="s">
        <v>3604</v>
      </c>
      <c r="I252" s="19">
        <v>10092</v>
      </c>
      <c r="J252" s="19">
        <v>10092</v>
      </c>
      <c r="K252" s="19" t="s">
        <v>11</v>
      </c>
      <c r="L252" s="19">
        <v>10092</v>
      </c>
      <c r="M252" s="19">
        <v>0</v>
      </c>
      <c r="N252" s="19">
        <v>10092</v>
      </c>
      <c r="O252" s="19" t="s">
        <v>3577</v>
      </c>
      <c r="P252" s="19" t="s">
        <v>87</v>
      </c>
      <c r="Q252" s="19" t="s">
        <v>87</v>
      </c>
      <c r="R252" s="19" t="s">
        <v>3055</v>
      </c>
      <c r="S252" s="66" t="s">
        <v>3039</v>
      </c>
      <c r="T252" s="19" t="s">
        <v>206</v>
      </c>
      <c r="U252" s="19" t="s">
        <v>207</v>
      </c>
      <c r="V252" s="19" t="s">
        <v>3054</v>
      </c>
      <c r="W252" s="19">
        <v>142.32</v>
      </c>
      <c r="X252" s="19">
        <v>142.32</v>
      </c>
      <c r="Y252" s="19" t="s">
        <v>3055</v>
      </c>
      <c r="Z252" s="66" t="s">
        <v>3039</v>
      </c>
      <c r="AA252" s="19"/>
      <c r="AB252" s="19" t="s">
        <v>212</v>
      </c>
      <c r="AC252" s="19"/>
      <c r="AD252" s="19" t="s">
        <v>2125</v>
      </c>
      <c r="AE252" s="19" t="s">
        <v>3605</v>
      </c>
      <c r="AF252" s="19">
        <v>0</v>
      </c>
      <c r="AG252" s="19">
        <v>0</v>
      </c>
      <c r="AH252" s="19">
        <v>0</v>
      </c>
      <c r="AI252" s="19">
        <v>0</v>
      </c>
      <c r="AJ252" s="19">
        <v>0</v>
      </c>
      <c r="AK252" s="19" t="s">
        <v>576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/>
      <c r="AR252" s="19">
        <v>0</v>
      </c>
      <c r="AS252" s="19">
        <v>0</v>
      </c>
      <c r="AT252" s="19">
        <v>2821166.04</v>
      </c>
      <c r="AU252" s="19" t="s">
        <v>13</v>
      </c>
      <c r="AV252" s="19" t="s">
        <v>62</v>
      </c>
      <c r="AW252" s="19" t="s">
        <v>63</v>
      </c>
      <c r="AX252" s="19" t="s">
        <v>208</v>
      </c>
      <c r="AY252" s="19" t="s">
        <v>209</v>
      </c>
      <c r="AZ252" s="19">
        <v>0</v>
      </c>
      <c r="BA252" s="19">
        <v>1436293.44</v>
      </c>
      <c r="BB252" s="19">
        <v>1185</v>
      </c>
      <c r="BC252" s="66" t="s">
        <v>3039</v>
      </c>
      <c r="BD252" s="19" t="s">
        <v>65</v>
      </c>
      <c r="BE252" s="19" t="s">
        <v>210</v>
      </c>
      <c r="BF252" s="19" t="s">
        <v>210</v>
      </c>
      <c r="BG252" s="19">
        <v>9</v>
      </c>
      <c r="BH252" s="19">
        <v>129266.41</v>
      </c>
      <c r="BI252" s="19">
        <v>9</v>
      </c>
      <c r="BJ252" s="19">
        <v>129266.41</v>
      </c>
      <c r="BK252" s="19">
        <v>0</v>
      </c>
      <c r="BL252" s="19">
        <v>0</v>
      </c>
      <c r="BM252" s="19">
        <v>0</v>
      </c>
      <c r="BN252" s="19">
        <v>622167354073</v>
      </c>
      <c r="BO252" s="66">
        <v>46255</v>
      </c>
      <c r="BP252" s="19">
        <v>0</v>
      </c>
    </row>
    <row r="253" spans="1:68">
      <c r="B253" s="20" t="s">
        <v>2165</v>
      </c>
      <c r="C253" s="20" t="s">
        <v>3039</v>
      </c>
      <c r="D253" s="20" t="s">
        <v>3603</v>
      </c>
      <c r="E253" s="20" t="s">
        <v>18</v>
      </c>
      <c r="F253" s="20" t="s">
        <v>19</v>
      </c>
      <c r="H253" s="20" t="s">
        <v>3604</v>
      </c>
      <c r="I253" s="20">
        <v>1287</v>
      </c>
      <c r="J253" s="20">
        <v>1287</v>
      </c>
      <c r="K253" s="20" t="s">
        <v>11</v>
      </c>
      <c r="L253" s="20">
        <v>1287</v>
      </c>
      <c r="M253" s="20">
        <v>0</v>
      </c>
      <c r="N253" s="20">
        <v>1287</v>
      </c>
      <c r="O253" s="20" t="s">
        <v>3577</v>
      </c>
      <c r="P253" s="20" t="s">
        <v>87</v>
      </c>
      <c r="Q253" s="20" t="s">
        <v>87</v>
      </c>
      <c r="R253" s="20" t="s">
        <v>3055</v>
      </c>
      <c r="S253" s="111" t="s">
        <v>3039</v>
      </c>
      <c r="T253" s="20" t="s">
        <v>206</v>
      </c>
      <c r="U253" s="20" t="s">
        <v>207</v>
      </c>
      <c r="V253" s="20" t="s">
        <v>3054</v>
      </c>
      <c r="W253" s="20">
        <v>144.32</v>
      </c>
      <c r="X253" s="20">
        <v>144.32</v>
      </c>
      <c r="Y253" s="20" t="s">
        <v>3055</v>
      </c>
      <c r="Z253" s="111" t="s">
        <v>3039</v>
      </c>
      <c r="AB253" s="20" t="s">
        <v>212</v>
      </c>
      <c r="AD253" s="20" t="s">
        <v>2125</v>
      </c>
      <c r="AE253" s="20" t="s">
        <v>3605</v>
      </c>
      <c r="AF253" s="20">
        <v>0</v>
      </c>
      <c r="AG253" s="20">
        <v>0</v>
      </c>
      <c r="AH253" s="20">
        <v>0</v>
      </c>
      <c r="AI253" s="20">
        <v>0</v>
      </c>
      <c r="AJ253" s="20">
        <v>0</v>
      </c>
      <c r="AK253" s="20" t="s">
        <v>576</v>
      </c>
      <c r="AL253" s="20">
        <v>0</v>
      </c>
      <c r="AM253" s="20">
        <v>0</v>
      </c>
      <c r="AN253" s="20">
        <v>0</v>
      </c>
      <c r="AO253" s="20">
        <v>0</v>
      </c>
      <c r="AP253" s="20">
        <v>0</v>
      </c>
      <c r="AR253" s="20">
        <v>0</v>
      </c>
      <c r="AS253" s="20">
        <v>0</v>
      </c>
      <c r="AT253" s="20">
        <v>2821166.04</v>
      </c>
      <c r="AU253" s="20" t="s">
        <v>13</v>
      </c>
      <c r="AV253" s="20" t="s">
        <v>62</v>
      </c>
      <c r="AW253" s="20" t="s">
        <v>63</v>
      </c>
      <c r="AX253" s="20" t="s">
        <v>208</v>
      </c>
      <c r="AY253" s="20" t="s">
        <v>209</v>
      </c>
      <c r="AZ253" s="20">
        <v>0</v>
      </c>
      <c r="BA253" s="20">
        <v>185739.84</v>
      </c>
      <c r="BB253" s="20">
        <v>1185</v>
      </c>
      <c r="BC253" s="20" t="s">
        <v>3039</v>
      </c>
      <c r="BD253" s="20" t="s">
        <v>65</v>
      </c>
      <c r="BE253" s="20" t="s">
        <v>210</v>
      </c>
      <c r="BF253" s="20" t="s">
        <v>210</v>
      </c>
      <c r="BG253" s="20">
        <v>9</v>
      </c>
      <c r="BH253" s="20">
        <v>16716.59</v>
      </c>
      <c r="BI253" s="20">
        <v>9</v>
      </c>
      <c r="BJ253" s="20">
        <v>16716.59</v>
      </c>
      <c r="BK253" s="20">
        <v>0</v>
      </c>
      <c r="BL253" s="20">
        <v>0</v>
      </c>
      <c r="BM253" s="20">
        <v>0</v>
      </c>
      <c r="BN253" s="20">
        <v>622167354073</v>
      </c>
      <c r="BO253" s="111">
        <v>46255</v>
      </c>
      <c r="BP253" s="20">
        <v>0</v>
      </c>
    </row>
    <row r="254" spans="1:68">
      <c r="B254" s="20" t="s">
        <v>2165</v>
      </c>
      <c r="C254" s="20" t="s">
        <v>3039</v>
      </c>
      <c r="D254" s="20" t="s">
        <v>3603</v>
      </c>
      <c r="E254" s="20" t="s">
        <v>23</v>
      </c>
      <c r="F254" s="20" t="s">
        <v>24</v>
      </c>
      <c r="H254" s="20" t="s">
        <v>3604</v>
      </c>
      <c r="I254" s="20">
        <v>2.4</v>
      </c>
      <c r="J254" s="20">
        <v>2.4</v>
      </c>
      <c r="K254" s="20" t="s">
        <v>11</v>
      </c>
      <c r="L254" s="20">
        <v>2.4</v>
      </c>
      <c r="M254" s="20">
        <v>0</v>
      </c>
      <c r="N254" s="20">
        <v>2.4</v>
      </c>
      <c r="O254" s="20" t="s">
        <v>3577</v>
      </c>
      <c r="P254" s="20" t="s">
        <v>87</v>
      </c>
      <c r="Q254" s="20" t="s">
        <v>87</v>
      </c>
      <c r="R254" s="20" t="s">
        <v>3055</v>
      </c>
      <c r="S254" s="111" t="s">
        <v>3039</v>
      </c>
      <c r="T254" s="20" t="s">
        <v>206</v>
      </c>
      <c r="U254" s="20" t="s">
        <v>207</v>
      </c>
      <c r="V254" s="20" t="s">
        <v>3054</v>
      </c>
      <c r="W254" s="20">
        <v>168.32</v>
      </c>
      <c r="X254" s="20">
        <v>168.32</v>
      </c>
      <c r="Y254" s="20" t="s">
        <v>3055</v>
      </c>
      <c r="Z254" s="111" t="s">
        <v>3039</v>
      </c>
      <c r="AB254" s="20" t="s">
        <v>212</v>
      </c>
      <c r="AD254" s="20" t="s">
        <v>2125</v>
      </c>
      <c r="AE254" s="20" t="s">
        <v>3605</v>
      </c>
      <c r="AF254" s="20">
        <v>0</v>
      </c>
      <c r="AG254" s="20">
        <v>0</v>
      </c>
      <c r="AH254" s="20">
        <v>0</v>
      </c>
      <c r="AI254" s="20">
        <v>0</v>
      </c>
      <c r="AJ254" s="20">
        <v>0</v>
      </c>
      <c r="AK254" s="20" t="s">
        <v>576</v>
      </c>
      <c r="AL254" s="20">
        <v>0</v>
      </c>
      <c r="AM254" s="20">
        <v>0</v>
      </c>
      <c r="AN254" s="20">
        <v>0</v>
      </c>
      <c r="AO254" s="20">
        <v>0</v>
      </c>
      <c r="AP254" s="20">
        <v>0</v>
      </c>
      <c r="AR254" s="20">
        <v>0</v>
      </c>
      <c r="AS254" s="20">
        <v>0</v>
      </c>
      <c r="AT254" s="20">
        <v>2821166.04</v>
      </c>
      <c r="AU254" s="20" t="s">
        <v>13</v>
      </c>
      <c r="AV254" s="20" t="s">
        <v>24</v>
      </c>
      <c r="AW254" s="20" t="s">
        <v>79</v>
      </c>
      <c r="AX254" s="20" t="s">
        <v>208</v>
      </c>
      <c r="AY254" s="20" t="s">
        <v>209</v>
      </c>
      <c r="AZ254" s="20">
        <v>0</v>
      </c>
      <c r="BA254" s="20">
        <v>403.97</v>
      </c>
      <c r="BB254" s="20">
        <v>1185</v>
      </c>
      <c r="BC254" s="20" t="s">
        <v>3039</v>
      </c>
      <c r="BD254" s="20" t="s">
        <v>65</v>
      </c>
      <c r="BE254" s="20" t="s">
        <v>210</v>
      </c>
      <c r="BF254" s="20" t="s">
        <v>210</v>
      </c>
      <c r="BG254" s="20">
        <v>9</v>
      </c>
      <c r="BH254" s="20">
        <v>36.36</v>
      </c>
      <c r="BI254" s="20">
        <v>9</v>
      </c>
      <c r="BJ254" s="20">
        <v>36.36</v>
      </c>
      <c r="BK254" s="20">
        <v>0</v>
      </c>
      <c r="BL254" s="20">
        <v>0</v>
      </c>
      <c r="BM254" s="20">
        <v>0</v>
      </c>
      <c r="BN254" s="20">
        <v>622167354073</v>
      </c>
      <c r="BO254" s="111">
        <v>46255</v>
      </c>
      <c r="BP254" s="20">
        <v>0</v>
      </c>
    </row>
    <row r="255" spans="1:68">
      <c r="B255" s="20" t="s">
        <v>2165</v>
      </c>
      <c r="C255" s="20" t="s">
        <v>3039</v>
      </c>
      <c r="D255" s="20" t="s">
        <v>3603</v>
      </c>
      <c r="E255" s="20" t="s">
        <v>23</v>
      </c>
      <c r="F255" s="20" t="s">
        <v>24</v>
      </c>
      <c r="H255" s="20" t="s">
        <v>3604</v>
      </c>
      <c r="I255" s="20">
        <v>18.2</v>
      </c>
      <c r="J255" s="20">
        <v>18.2</v>
      </c>
      <c r="K255" s="20" t="s">
        <v>11</v>
      </c>
      <c r="L255" s="20">
        <v>18.2</v>
      </c>
      <c r="M255" s="20">
        <v>0</v>
      </c>
      <c r="N255" s="20">
        <v>18.2</v>
      </c>
      <c r="O255" s="20" t="s">
        <v>3577</v>
      </c>
      <c r="P255" s="20" t="s">
        <v>87</v>
      </c>
      <c r="Q255" s="20" t="s">
        <v>87</v>
      </c>
      <c r="R255" s="20" t="s">
        <v>3055</v>
      </c>
      <c r="S255" s="111" t="s">
        <v>3039</v>
      </c>
      <c r="T255" s="20" t="s">
        <v>206</v>
      </c>
      <c r="U255" s="20" t="s">
        <v>207</v>
      </c>
      <c r="V255" s="20" t="s">
        <v>3054</v>
      </c>
      <c r="W255" s="20">
        <v>165.32</v>
      </c>
      <c r="X255" s="20">
        <v>165.32</v>
      </c>
      <c r="Y255" s="20" t="s">
        <v>3055</v>
      </c>
      <c r="Z255" s="111" t="s">
        <v>3039</v>
      </c>
      <c r="AB255" s="20" t="s">
        <v>212</v>
      </c>
      <c r="AD255" s="20" t="s">
        <v>2125</v>
      </c>
      <c r="AE255" s="20" t="s">
        <v>3605</v>
      </c>
      <c r="AF255" s="20">
        <v>0</v>
      </c>
      <c r="AG255" s="20">
        <v>0</v>
      </c>
      <c r="AH255" s="20">
        <v>0</v>
      </c>
      <c r="AI255" s="20">
        <v>0</v>
      </c>
      <c r="AJ255" s="20">
        <v>0</v>
      </c>
      <c r="AK255" s="20" t="s">
        <v>576</v>
      </c>
      <c r="AL255" s="20">
        <v>0</v>
      </c>
      <c r="AM255" s="20">
        <v>0</v>
      </c>
      <c r="AN255" s="20">
        <v>0</v>
      </c>
      <c r="AO255" s="20">
        <v>0</v>
      </c>
      <c r="AP255" s="20">
        <v>0</v>
      </c>
      <c r="AR255" s="20">
        <v>0</v>
      </c>
      <c r="AS255" s="20">
        <v>0</v>
      </c>
      <c r="AT255" s="20">
        <v>2821166.04</v>
      </c>
      <c r="AU255" s="20" t="s">
        <v>13</v>
      </c>
      <c r="AV255" s="20" t="s">
        <v>24</v>
      </c>
      <c r="AW255" s="20" t="s">
        <v>79</v>
      </c>
      <c r="AX255" s="20" t="s">
        <v>208</v>
      </c>
      <c r="AY255" s="20" t="s">
        <v>209</v>
      </c>
      <c r="AZ255" s="20">
        <v>0</v>
      </c>
      <c r="BA255" s="20">
        <v>3008.82</v>
      </c>
      <c r="BB255" s="20">
        <v>1185</v>
      </c>
      <c r="BC255" s="20" t="s">
        <v>3039</v>
      </c>
      <c r="BD255" s="20" t="s">
        <v>65</v>
      </c>
      <c r="BE255" s="20" t="s">
        <v>210</v>
      </c>
      <c r="BF255" s="20" t="s">
        <v>210</v>
      </c>
      <c r="BG255" s="20">
        <v>9</v>
      </c>
      <c r="BH255" s="20">
        <v>270.79000000000002</v>
      </c>
      <c r="BI255" s="20">
        <v>9</v>
      </c>
      <c r="BJ255" s="20">
        <v>270.79000000000002</v>
      </c>
      <c r="BK255" s="20">
        <v>0</v>
      </c>
      <c r="BL255" s="20">
        <v>0</v>
      </c>
      <c r="BM255" s="20">
        <v>0</v>
      </c>
      <c r="BN255" s="20">
        <v>622167354073</v>
      </c>
      <c r="BO255" s="111">
        <v>46255</v>
      </c>
      <c r="BP255" s="20">
        <v>0</v>
      </c>
    </row>
    <row r="256" spans="1:68">
      <c r="B256" s="20" t="s">
        <v>2165</v>
      </c>
      <c r="C256" s="20" t="s">
        <v>3039</v>
      </c>
      <c r="D256" s="20" t="s">
        <v>3603</v>
      </c>
      <c r="E256" s="20" t="s">
        <v>23</v>
      </c>
      <c r="F256" s="20" t="s">
        <v>24</v>
      </c>
      <c r="H256" s="20" t="s">
        <v>3604</v>
      </c>
      <c r="I256" s="20">
        <v>967.9</v>
      </c>
      <c r="J256" s="20">
        <v>967.9</v>
      </c>
      <c r="K256" s="20" t="s">
        <v>11</v>
      </c>
      <c r="L256" s="20">
        <v>967.9</v>
      </c>
      <c r="M256" s="20">
        <v>0</v>
      </c>
      <c r="N256" s="20">
        <v>967.9</v>
      </c>
      <c r="O256" s="20" t="s">
        <v>3577</v>
      </c>
      <c r="P256" s="20" t="s">
        <v>87</v>
      </c>
      <c r="Q256" s="20" t="s">
        <v>87</v>
      </c>
      <c r="R256" s="20" t="s">
        <v>3055</v>
      </c>
      <c r="S256" s="111" t="s">
        <v>3039</v>
      </c>
      <c r="T256" s="20" t="s">
        <v>206</v>
      </c>
      <c r="U256" s="20" t="s">
        <v>207</v>
      </c>
      <c r="V256" s="20" t="s">
        <v>3054</v>
      </c>
      <c r="W256" s="20">
        <v>147.32</v>
      </c>
      <c r="X256" s="20">
        <v>147.32</v>
      </c>
      <c r="Y256" s="20" t="s">
        <v>3055</v>
      </c>
      <c r="Z256" s="111" t="s">
        <v>3039</v>
      </c>
      <c r="AB256" s="20" t="s">
        <v>212</v>
      </c>
      <c r="AD256" s="20" t="s">
        <v>2125</v>
      </c>
      <c r="AE256" s="20" t="s">
        <v>3605</v>
      </c>
      <c r="AF256" s="20">
        <v>0</v>
      </c>
      <c r="AG256" s="20">
        <v>0</v>
      </c>
      <c r="AH256" s="20">
        <v>0</v>
      </c>
      <c r="AI256" s="20">
        <v>0</v>
      </c>
      <c r="AJ256" s="20">
        <v>0</v>
      </c>
      <c r="AK256" s="20" t="s">
        <v>576</v>
      </c>
      <c r="AL256" s="20">
        <v>0</v>
      </c>
      <c r="AM256" s="20">
        <v>0</v>
      </c>
      <c r="AN256" s="20">
        <v>0</v>
      </c>
      <c r="AO256" s="20">
        <v>0</v>
      </c>
      <c r="AP256" s="20">
        <v>0</v>
      </c>
      <c r="AR256" s="20">
        <v>0</v>
      </c>
      <c r="AS256" s="20">
        <v>0</v>
      </c>
      <c r="AT256" s="20">
        <v>2821166.04</v>
      </c>
      <c r="AU256" s="20" t="s">
        <v>13</v>
      </c>
      <c r="AV256" s="20" t="s">
        <v>24</v>
      </c>
      <c r="AW256" s="20" t="s">
        <v>79</v>
      </c>
      <c r="AX256" s="20" t="s">
        <v>208</v>
      </c>
      <c r="AY256" s="20" t="s">
        <v>209</v>
      </c>
      <c r="AZ256" s="20">
        <v>0</v>
      </c>
      <c r="BA256" s="20">
        <v>142591.03</v>
      </c>
      <c r="BB256" s="20">
        <v>1185</v>
      </c>
      <c r="BC256" s="20" t="s">
        <v>3039</v>
      </c>
      <c r="BD256" s="20" t="s">
        <v>65</v>
      </c>
      <c r="BE256" s="20" t="s">
        <v>210</v>
      </c>
      <c r="BF256" s="20" t="s">
        <v>210</v>
      </c>
      <c r="BG256" s="20">
        <v>9</v>
      </c>
      <c r="BH256" s="20">
        <v>12833.19</v>
      </c>
      <c r="BI256" s="20">
        <v>9</v>
      </c>
      <c r="BJ256" s="20">
        <v>12833.19</v>
      </c>
      <c r="BK256" s="20">
        <v>0</v>
      </c>
      <c r="BL256" s="20">
        <v>0</v>
      </c>
      <c r="BM256" s="20">
        <v>0</v>
      </c>
      <c r="BN256" s="20">
        <v>622167354073</v>
      </c>
      <c r="BO256" s="111">
        <v>46255</v>
      </c>
      <c r="BP256" s="20">
        <v>0</v>
      </c>
    </row>
    <row r="257" spans="2:68">
      <c r="B257" s="20" t="s">
        <v>2165</v>
      </c>
      <c r="C257" s="20" t="s">
        <v>3039</v>
      </c>
      <c r="D257" s="20" t="s">
        <v>3603</v>
      </c>
      <c r="E257" s="20" t="s">
        <v>20</v>
      </c>
      <c r="F257" s="20" t="s">
        <v>21</v>
      </c>
      <c r="H257" s="20" t="s">
        <v>3604</v>
      </c>
      <c r="I257" s="20">
        <v>1482</v>
      </c>
      <c r="J257" s="20">
        <v>1482</v>
      </c>
      <c r="K257" s="20" t="s">
        <v>11</v>
      </c>
      <c r="L257" s="20">
        <v>1482</v>
      </c>
      <c r="M257" s="20">
        <v>0</v>
      </c>
      <c r="N257" s="20">
        <v>1482</v>
      </c>
      <c r="O257" s="20" t="s">
        <v>3577</v>
      </c>
      <c r="P257" s="20" t="s">
        <v>87</v>
      </c>
      <c r="Q257" s="20" t="s">
        <v>87</v>
      </c>
      <c r="R257" s="20" t="s">
        <v>3055</v>
      </c>
      <c r="S257" s="111" t="s">
        <v>3039</v>
      </c>
      <c r="T257" s="20" t="s">
        <v>206</v>
      </c>
      <c r="U257" s="20" t="s">
        <v>207</v>
      </c>
      <c r="V257" s="20" t="s">
        <v>3054</v>
      </c>
      <c r="W257" s="20">
        <v>149.32</v>
      </c>
      <c r="X257" s="20">
        <v>149.32</v>
      </c>
      <c r="Y257" s="20" t="s">
        <v>3055</v>
      </c>
      <c r="Z257" s="111" t="s">
        <v>3039</v>
      </c>
      <c r="AB257" s="20" t="s">
        <v>212</v>
      </c>
      <c r="AD257" s="20" t="s">
        <v>2125</v>
      </c>
      <c r="AE257" s="20" t="s">
        <v>3605</v>
      </c>
      <c r="AF257" s="20">
        <v>0</v>
      </c>
      <c r="AG257" s="20">
        <v>0</v>
      </c>
      <c r="AH257" s="20">
        <v>0</v>
      </c>
      <c r="AI257" s="20">
        <v>0</v>
      </c>
      <c r="AJ257" s="20">
        <v>0</v>
      </c>
      <c r="AK257" s="20" t="s">
        <v>576</v>
      </c>
      <c r="AL257" s="20">
        <v>0</v>
      </c>
      <c r="AM257" s="20">
        <v>0</v>
      </c>
      <c r="AN257" s="20">
        <v>0</v>
      </c>
      <c r="AO257" s="20">
        <v>0</v>
      </c>
      <c r="AP257" s="20">
        <v>0</v>
      </c>
      <c r="AR257" s="20">
        <v>0</v>
      </c>
      <c r="AS257" s="20">
        <v>0</v>
      </c>
      <c r="AT257" s="20">
        <v>2821166.04</v>
      </c>
      <c r="AU257" s="20" t="s">
        <v>13</v>
      </c>
      <c r="AV257" s="20" t="s">
        <v>62</v>
      </c>
      <c r="AW257" s="20" t="s">
        <v>76</v>
      </c>
      <c r="AX257" s="20" t="s">
        <v>208</v>
      </c>
      <c r="AY257" s="20" t="s">
        <v>209</v>
      </c>
      <c r="AZ257" s="20">
        <v>0</v>
      </c>
      <c r="BA257" s="20">
        <v>221292.24</v>
      </c>
      <c r="BB257" s="20">
        <v>1185</v>
      </c>
      <c r="BC257" s="20" t="s">
        <v>3039</v>
      </c>
      <c r="BD257" s="20" t="s">
        <v>65</v>
      </c>
      <c r="BE257" s="20" t="s">
        <v>210</v>
      </c>
      <c r="BF257" s="20" t="s">
        <v>210</v>
      </c>
      <c r="BG257" s="20">
        <v>9</v>
      </c>
      <c r="BH257" s="20">
        <v>19916.3</v>
      </c>
      <c r="BI257" s="20">
        <v>9</v>
      </c>
      <c r="BJ257" s="20">
        <v>19916.3</v>
      </c>
      <c r="BK257" s="20">
        <v>0</v>
      </c>
      <c r="BL257" s="20">
        <v>0</v>
      </c>
      <c r="BM257" s="20">
        <v>0</v>
      </c>
      <c r="BN257" s="20">
        <v>622167354073</v>
      </c>
      <c r="BO257" s="111">
        <v>46255</v>
      </c>
      <c r="BP257" s="20">
        <v>0</v>
      </c>
    </row>
    <row r="258" spans="2:68">
      <c r="B258" s="20" t="s">
        <v>2165</v>
      </c>
      <c r="C258" s="20" t="s">
        <v>3058</v>
      </c>
      <c r="D258" s="20" t="s">
        <v>3606</v>
      </c>
      <c r="E258" s="20" t="s">
        <v>3607</v>
      </c>
      <c r="F258" s="20" t="s">
        <v>3082</v>
      </c>
      <c r="G258" s="20" t="s">
        <v>3608</v>
      </c>
      <c r="H258" s="20" t="s">
        <v>3609</v>
      </c>
      <c r="I258" s="20">
        <v>50</v>
      </c>
      <c r="J258" s="20">
        <v>50</v>
      </c>
      <c r="K258" s="20" t="s">
        <v>11</v>
      </c>
      <c r="L258" s="20">
        <v>50</v>
      </c>
      <c r="M258" s="20">
        <v>0</v>
      </c>
      <c r="N258" s="20">
        <v>50</v>
      </c>
      <c r="O258" s="20" t="s">
        <v>3610</v>
      </c>
      <c r="P258" s="20" t="s">
        <v>109</v>
      </c>
      <c r="Q258" s="20" t="s">
        <v>109</v>
      </c>
      <c r="R258" s="20" t="s">
        <v>3080</v>
      </c>
      <c r="S258" s="111" t="s">
        <v>2926</v>
      </c>
      <c r="T258" s="20" t="s">
        <v>206</v>
      </c>
      <c r="U258" s="20" t="s">
        <v>207</v>
      </c>
      <c r="V258" s="20" t="s">
        <v>3079</v>
      </c>
      <c r="W258" s="20">
        <v>635</v>
      </c>
      <c r="X258" s="20">
        <v>659.01975438781403</v>
      </c>
      <c r="Y258" s="20" t="s">
        <v>3080</v>
      </c>
      <c r="Z258" s="111" t="s">
        <v>2926</v>
      </c>
      <c r="AB258" s="20" t="s">
        <v>212</v>
      </c>
      <c r="AD258" s="20" t="s">
        <v>3611</v>
      </c>
      <c r="AE258" s="20">
        <v>4102516917</v>
      </c>
      <c r="AF258" s="20">
        <v>0</v>
      </c>
      <c r="AG258" s="20">
        <v>0</v>
      </c>
      <c r="AH258" s="20">
        <v>0</v>
      </c>
      <c r="AI258" s="20">
        <v>0</v>
      </c>
      <c r="AJ258" s="20">
        <v>0</v>
      </c>
      <c r="AK258" s="20" t="s">
        <v>576</v>
      </c>
      <c r="AL258" s="20">
        <v>0</v>
      </c>
      <c r="AM258" s="20">
        <v>0</v>
      </c>
      <c r="AN258" s="20">
        <v>0</v>
      </c>
      <c r="AO258" s="20">
        <v>0</v>
      </c>
      <c r="AP258" s="20">
        <v>0</v>
      </c>
      <c r="AR258" s="20">
        <v>0</v>
      </c>
      <c r="AS258" s="20">
        <v>0</v>
      </c>
      <c r="AT258" s="20">
        <v>492267</v>
      </c>
      <c r="AU258" s="20" t="s">
        <v>8</v>
      </c>
      <c r="AV258" s="20" t="s">
        <v>110</v>
      </c>
      <c r="AW258" s="20" t="s">
        <v>2290</v>
      </c>
      <c r="AX258" s="20" t="s">
        <v>208</v>
      </c>
      <c r="AZ258" s="20">
        <v>0</v>
      </c>
      <c r="BA258" s="20">
        <v>32950.99</v>
      </c>
      <c r="BB258" s="20">
        <v>1183</v>
      </c>
      <c r="BC258" s="20" t="s">
        <v>3039</v>
      </c>
      <c r="BD258" s="20" t="s">
        <v>624</v>
      </c>
      <c r="BE258" s="20" t="s">
        <v>210</v>
      </c>
      <c r="BF258" s="20" t="s">
        <v>2509</v>
      </c>
      <c r="BG258" s="20">
        <v>0</v>
      </c>
      <c r="BH258" s="20">
        <v>0</v>
      </c>
      <c r="BI258" s="20">
        <v>0</v>
      </c>
      <c r="BJ258" s="20">
        <v>0</v>
      </c>
      <c r="BK258" s="20">
        <v>18</v>
      </c>
      <c r="BL258" s="20">
        <v>5715</v>
      </c>
      <c r="BM258" s="20">
        <v>492267</v>
      </c>
      <c r="BN258" s="20">
        <v>292266943272</v>
      </c>
      <c r="BO258" s="111">
        <v>46251</v>
      </c>
      <c r="BP258" s="20">
        <v>0</v>
      </c>
    </row>
    <row r="259" spans="2:68">
      <c r="B259" s="20" t="s">
        <v>2165</v>
      </c>
      <c r="C259" s="20" t="s">
        <v>3058</v>
      </c>
      <c r="D259" s="20" t="s">
        <v>3606</v>
      </c>
      <c r="E259" s="20" t="s">
        <v>2393</v>
      </c>
      <c r="F259" s="20" t="s">
        <v>2375</v>
      </c>
      <c r="G259" s="20" t="s">
        <v>3612</v>
      </c>
      <c r="H259" s="20" t="s">
        <v>3609</v>
      </c>
      <c r="I259" s="20">
        <v>225</v>
      </c>
      <c r="J259" s="20">
        <v>225</v>
      </c>
      <c r="K259" s="20" t="s">
        <v>11</v>
      </c>
      <c r="L259" s="20">
        <v>225</v>
      </c>
      <c r="M259" s="20">
        <v>0</v>
      </c>
      <c r="N259" s="20">
        <v>225</v>
      </c>
      <c r="O259" s="20" t="s">
        <v>3610</v>
      </c>
      <c r="P259" s="20" t="s">
        <v>109</v>
      </c>
      <c r="Q259" s="20" t="s">
        <v>109</v>
      </c>
      <c r="R259" s="20" t="s">
        <v>3080</v>
      </c>
      <c r="S259" s="20" t="s">
        <v>2926</v>
      </c>
      <c r="T259" s="20" t="s">
        <v>206</v>
      </c>
      <c r="U259" s="20" t="s">
        <v>207</v>
      </c>
      <c r="V259" s="20" t="s">
        <v>3079</v>
      </c>
      <c r="W259" s="20">
        <v>292</v>
      </c>
      <c r="X259" s="20">
        <v>268.45828905469398</v>
      </c>
      <c r="Y259" s="20" t="s">
        <v>3080</v>
      </c>
      <c r="Z259" s="20" t="s">
        <v>2926</v>
      </c>
      <c r="AB259" s="20" t="s">
        <v>212</v>
      </c>
      <c r="AD259" s="20" t="s">
        <v>3611</v>
      </c>
      <c r="AE259" s="20">
        <v>4102516917</v>
      </c>
      <c r="AF259" s="20">
        <v>0</v>
      </c>
      <c r="AG259" s="20">
        <v>0</v>
      </c>
      <c r="AH259" s="20">
        <v>0</v>
      </c>
      <c r="AI259" s="20">
        <v>0</v>
      </c>
      <c r="AJ259" s="20">
        <v>0</v>
      </c>
      <c r="AK259" s="20" t="s">
        <v>576</v>
      </c>
      <c r="AL259" s="20">
        <v>0</v>
      </c>
      <c r="AM259" s="20">
        <v>0</v>
      </c>
      <c r="AN259" s="20">
        <v>0</v>
      </c>
      <c r="AO259" s="20">
        <v>0</v>
      </c>
      <c r="AP259" s="20">
        <v>0</v>
      </c>
      <c r="AR259" s="20">
        <v>0</v>
      </c>
      <c r="AS259" s="20">
        <v>0</v>
      </c>
      <c r="AT259" s="20">
        <v>492267</v>
      </c>
      <c r="AU259" s="20" t="s">
        <v>8</v>
      </c>
      <c r="AV259" s="20" t="s">
        <v>110</v>
      </c>
      <c r="AW259" s="20" t="s">
        <v>110</v>
      </c>
      <c r="AX259" s="20" t="s">
        <v>208</v>
      </c>
      <c r="AY259" s="20" t="s">
        <v>209</v>
      </c>
      <c r="AZ259" s="20">
        <v>0</v>
      </c>
      <c r="BA259" s="20">
        <v>60403.12</v>
      </c>
      <c r="BB259" s="20">
        <v>1183</v>
      </c>
      <c r="BC259" s="20" t="s">
        <v>3039</v>
      </c>
      <c r="BD259" s="20" t="s">
        <v>624</v>
      </c>
      <c r="BE259" s="20" t="s">
        <v>210</v>
      </c>
      <c r="BF259" s="20" t="s">
        <v>2509</v>
      </c>
      <c r="BG259" s="20">
        <v>0</v>
      </c>
      <c r="BH259" s="20">
        <v>0</v>
      </c>
      <c r="BI259" s="20">
        <v>0</v>
      </c>
      <c r="BJ259" s="20">
        <v>0</v>
      </c>
      <c r="BK259" s="20">
        <v>18</v>
      </c>
      <c r="BL259" s="20">
        <v>11826</v>
      </c>
      <c r="BM259" s="20">
        <v>0</v>
      </c>
      <c r="BN259" s="20">
        <v>292266943272</v>
      </c>
      <c r="BO259" s="111">
        <v>46251</v>
      </c>
      <c r="BP259" s="20">
        <v>0</v>
      </c>
    </row>
    <row r="260" spans="2:68">
      <c r="B260" s="20" t="s">
        <v>2165</v>
      </c>
      <c r="C260" s="20" t="s">
        <v>3058</v>
      </c>
      <c r="D260" s="20" t="s">
        <v>3606</v>
      </c>
      <c r="E260" s="20" t="s">
        <v>2398</v>
      </c>
      <c r="F260" s="20" t="s">
        <v>2387</v>
      </c>
      <c r="G260" s="20" t="s">
        <v>3613</v>
      </c>
      <c r="H260" s="20" t="s">
        <v>3609</v>
      </c>
      <c r="I260" s="20">
        <v>150</v>
      </c>
      <c r="J260" s="20">
        <v>150</v>
      </c>
      <c r="K260" s="20" t="s">
        <v>11</v>
      </c>
      <c r="L260" s="20">
        <v>150</v>
      </c>
      <c r="M260" s="20">
        <v>0</v>
      </c>
      <c r="N260" s="20">
        <v>150</v>
      </c>
      <c r="O260" s="20" t="s">
        <v>3610</v>
      </c>
      <c r="P260" s="20" t="s">
        <v>109</v>
      </c>
      <c r="Q260" s="20" t="s">
        <v>109</v>
      </c>
      <c r="R260" s="20" t="s">
        <v>3080</v>
      </c>
      <c r="S260" s="20" t="s">
        <v>2926</v>
      </c>
      <c r="T260" s="20" t="s">
        <v>206</v>
      </c>
      <c r="U260" s="20" t="s">
        <v>207</v>
      </c>
      <c r="V260" s="20" t="s">
        <v>3079</v>
      </c>
      <c r="W260" s="20">
        <v>326</v>
      </c>
      <c r="X260" s="20">
        <v>317.65762131454198</v>
      </c>
      <c r="Y260" s="20" t="s">
        <v>3080</v>
      </c>
      <c r="Z260" s="20" t="s">
        <v>2926</v>
      </c>
      <c r="AB260" s="20" t="s">
        <v>212</v>
      </c>
      <c r="AD260" s="20" t="s">
        <v>3611</v>
      </c>
      <c r="AE260" s="20">
        <v>4102516917</v>
      </c>
      <c r="AF260" s="20">
        <v>0</v>
      </c>
      <c r="AG260" s="20">
        <v>0</v>
      </c>
      <c r="AH260" s="20">
        <v>0</v>
      </c>
      <c r="AI260" s="20">
        <v>0</v>
      </c>
      <c r="AJ260" s="20">
        <v>0</v>
      </c>
      <c r="AK260" s="20" t="s">
        <v>576</v>
      </c>
      <c r="AL260" s="20">
        <v>0</v>
      </c>
      <c r="AM260" s="20">
        <v>0</v>
      </c>
      <c r="AN260" s="20">
        <v>0</v>
      </c>
      <c r="AO260" s="20">
        <v>0</v>
      </c>
      <c r="AP260" s="20">
        <v>0</v>
      </c>
      <c r="AR260" s="20">
        <v>0</v>
      </c>
      <c r="AS260" s="20">
        <v>0</v>
      </c>
      <c r="AT260" s="20">
        <v>492267</v>
      </c>
      <c r="AU260" s="20" t="s">
        <v>8</v>
      </c>
      <c r="AV260" s="20" t="s">
        <v>110</v>
      </c>
      <c r="AW260" s="20" t="s">
        <v>110</v>
      </c>
      <c r="AX260" s="20" t="s">
        <v>208</v>
      </c>
      <c r="AY260" s="20" t="s">
        <v>209</v>
      </c>
      <c r="AZ260" s="20">
        <v>0</v>
      </c>
      <c r="BA260" s="20">
        <v>47648.639999999999</v>
      </c>
      <c r="BB260" s="20">
        <v>1183</v>
      </c>
      <c r="BC260" s="20" t="s">
        <v>3039</v>
      </c>
      <c r="BD260" s="20" t="s">
        <v>624</v>
      </c>
      <c r="BE260" s="20" t="s">
        <v>210</v>
      </c>
      <c r="BF260" s="20" t="s">
        <v>2509</v>
      </c>
      <c r="BG260" s="20">
        <v>0</v>
      </c>
      <c r="BH260" s="20">
        <v>0</v>
      </c>
      <c r="BI260" s="20">
        <v>0</v>
      </c>
      <c r="BJ260" s="20">
        <v>0</v>
      </c>
      <c r="BK260" s="20">
        <v>18</v>
      </c>
      <c r="BL260" s="20">
        <v>8802</v>
      </c>
      <c r="BM260" s="20">
        <v>0</v>
      </c>
      <c r="BN260" s="20">
        <v>292266943272</v>
      </c>
      <c r="BO260" s="111">
        <v>46251</v>
      </c>
      <c r="BP260" s="20">
        <v>0</v>
      </c>
    </row>
    <row r="261" spans="2:68">
      <c r="B261" s="20" t="s">
        <v>2165</v>
      </c>
      <c r="C261" s="20" t="s">
        <v>3058</v>
      </c>
      <c r="D261" s="20" t="s">
        <v>3606</v>
      </c>
      <c r="E261" s="20" t="s">
        <v>2399</v>
      </c>
      <c r="F261" s="20" t="s">
        <v>2373</v>
      </c>
      <c r="G261" s="20" t="s">
        <v>3614</v>
      </c>
      <c r="H261" s="20" t="s">
        <v>3609</v>
      </c>
      <c r="I261" s="20">
        <v>300</v>
      </c>
      <c r="J261" s="20">
        <v>300</v>
      </c>
      <c r="K261" s="20" t="s">
        <v>11</v>
      </c>
      <c r="L261" s="20">
        <v>300</v>
      </c>
      <c r="M261" s="20">
        <v>0</v>
      </c>
      <c r="N261" s="20">
        <v>300</v>
      </c>
      <c r="O261" s="20" t="s">
        <v>3610</v>
      </c>
      <c r="P261" s="20" t="s">
        <v>109</v>
      </c>
      <c r="Q261" s="20" t="s">
        <v>109</v>
      </c>
      <c r="R261" s="20" t="s">
        <v>3080</v>
      </c>
      <c r="S261" s="20" t="s">
        <v>2926</v>
      </c>
      <c r="T261" s="20" t="s">
        <v>206</v>
      </c>
      <c r="U261" s="20" t="s">
        <v>207</v>
      </c>
      <c r="V261" s="20" t="s">
        <v>3079</v>
      </c>
      <c r="W261" s="20">
        <v>297</v>
      </c>
      <c r="X261" s="20">
        <v>253.141776973622</v>
      </c>
      <c r="Y261" s="20" t="s">
        <v>3080</v>
      </c>
      <c r="Z261" s="20" t="s">
        <v>2926</v>
      </c>
      <c r="AB261" s="20" t="s">
        <v>212</v>
      </c>
      <c r="AD261" s="20" t="s">
        <v>3611</v>
      </c>
      <c r="AE261" s="20">
        <v>4102516917</v>
      </c>
      <c r="AF261" s="20">
        <v>0</v>
      </c>
      <c r="AG261" s="20">
        <v>0</v>
      </c>
      <c r="AH261" s="20">
        <v>0</v>
      </c>
      <c r="AI261" s="20">
        <v>0</v>
      </c>
      <c r="AJ261" s="20">
        <v>0</v>
      </c>
      <c r="AK261" s="20" t="s">
        <v>576</v>
      </c>
      <c r="AL261" s="20">
        <v>0</v>
      </c>
      <c r="AM261" s="20">
        <v>0</v>
      </c>
      <c r="AN261" s="20">
        <v>0</v>
      </c>
      <c r="AO261" s="20">
        <v>0</v>
      </c>
      <c r="AP261" s="20">
        <v>0</v>
      </c>
      <c r="AR261" s="20">
        <v>0</v>
      </c>
      <c r="AS261" s="20">
        <v>0</v>
      </c>
      <c r="AT261" s="20">
        <v>492267</v>
      </c>
      <c r="AU261" s="20" t="s">
        <v>8</v>
      </c>
      <c r="AV261" s="20" t="s">
        <v>110</v>
      </c>
      <c r="AW261" s="20" t="s">
        <v>110</v>
      </c>
      <c r="AX261" s="20" t="s">
        <v>208</v>
      </c>
      <c r="AY261" s="20" t="s">
        <v>209</v>
      </c>
      <c r="AZ261" s="20">
        <v>0</v>
      </c>
      <c r="BA261" s="20">
        <v>75942.53</v>
      </c>
      <c r="BB261" s="20">
        <v>1183</v>
      </c>
      <c r="BC261" s="20" t="s">
        <v>3039</v>
      </c>
      <c r="BD261" s="20" t="s">
        <v>624</v>
      </c>
      <c r="BE261" s="20" t="s">
        <v>210</v>
      </c>
      <c r="BF261" s="20" t="s">
        <v>2509</v>
      </c>
      <c r="BG261" s="20">
        <v>0</v>
      </c>
      <c r="BH261" s="20">
        <v>0</v>
      </c>
      <c r="BI261" s="20">
        <v>0</v>
      </c>
      <c r="BJ261" s="20">
        <v>0</v>
      </c>
      <c r="BK261" s="20">
        <v>18</v>
      </c>
      <c r="BL261" s="20">
        <v>16038</v>
      </c>
      <c r="BM261" s="20">
        <v>0</v>
      </c>
      <c r="BN261" s="20">
        <v>292266943272</v>
      </c>
      <c r="BO261" s="111">
        <v>46251</v>
      </c>
      <c r="BP261" s="20">
        <v>0</v>
      </c>
    </row>
    <row r="262" spans="2:68">
      <c r="B262" s="20" t="s">
        <v>2165</v>
      </c>
      <c r="C262" s="20" t="s">
        <v>3058</v>
      </c>
      <c r="D262" s="20" t="s">
        <v>3606</v>
      </c>
      <c r="E262" s="20" t="s">
        <v>2394</v>
      </c>
      <c r="F262" s="20" t="s">
        <v>2374</v>
      </c>
      <c r="G262" s="20" t="s">
        <v>3615</v>
      </c>
      <c r="H262" s="20" t="s">
        <v>3609</v>
      </c>
      <c r="I262" s="20">
        <v>50</v>
      </c>
      <c r="J262" s="20">
        <v>50</v>
      </c>
      <c r="K262" s="20" t="s">
        <v>11</v>
      </c>
      <c r="L262" s="20">
        <v>50</v>
      </c>
      <c r="M262" s="20">
        <v>0</v>
      </c>
      <c r="N262" s="20">
        <v>50</v>
      </c>
      <c r="O262" s="20" t="s">
        <v>3610</v>
      </c>
      <c r="P262" s="20" t="s">
        <v>109</v>
      </c>
      <c r="Q262" s="20" t="s">
        <v>109</v>
      </c>
      <c r="R262" s="20" t="s">
        <v>3080</v>
      </c>
      <c r="S262" s="20" t="s">
        <v>2926</v>
      </c>
      <c r="T262" s="20" t="s">
        <v>206</v>
      </c>
      <c r="U262" s="20" t="s">
        <v>207</v>
      </c>
      <c r="V262" s="20" t="s">
        <v>3079</v>
      </c>
      <c r="W262" s="20">
        <v>300</v>
      </c>
      <c r="X262" s="20">
        <v>332.481792086452</v>
      </c>
      <c r="Y262" s="20" t="s">
        <v>3080</v>
      </c>
      <c r="Z262" s="20" t="s">
        <v>2926</v>
      </c>
      <c r="AB262" s="20" t="s">
        <v>212</v>
      </c>
      <c r="AD262" s="20" t="s">
        <v>3611</v>
      </c>
      <c r="AE262" s="20">
        <v>4102516917</v>
      </c>
      <c r="AF262" s="20">
        <v>0</v>
      </c>
      <c r="AG262" s="20">
        <v>0</v>
      </c>
      <c r="AH262" s="20">
        <v>0</v>
      </c>
      <c r="AI262" s="20">
        <v>0</v>
      </c>
      <c r="AJ262" s="20">
        <v>0</v>
      </c>
      <c r="AK262" s="20" t="s">
        <v>576</v>
      </c>
      <c r="AL262" s="20">
        <v>0</v>
      </c>
      <c r="AM262" s="20">
        <v>0</v>
      </c>
      <c r="AN262" s="20">
        <v>0</v>
      </c>
      <c r="AO262" s="20">
        <v>0</v>
      </c>
      <c r="AP262" s="20">
        <v>0</v>
      </c>
      <c r="AR262" s="20">
        <v>0</v>
      </c>
      <c r="AS262" s="20">
        <v>0</v>
      </c>
      <c r="AT262" s="20">
        <v>492267</v>
      </c>
      <c r="AU262" s="20" t="s">
        <v>8</v>
      </c>
      <c r="AV262" s="20" t="s">
        <v>110</v>
      </c>
      <c r="AW262" s="20" t="s">
        <v>110</v>
      </c>
      <c r="AX262" s="20" t="s">
        <v>208</v>
      </c>
      <c r="AY262" s="20" t="s">
        <v>209</v>
      </c>
      <c r="AZ262" s="20">
        <v>0</v>
      </c>
      <c r="BA262" s="20">
        <v>16624.09</v>
      </c>
      <c r="BB262" s="20">
        <v>1183</v>
      </c>
      <c r="BC262" s="20" t="s">
        <v>3039</v>
      </c>
      <c r="BD262" s="20" t="s">
        <v>624</v>
      </c>
      <c r="BE262" s="20" t="s">
        <v>210</v>
      </c>
      <c r="BF262" s="20" t="s">
        <v>2509</v>
      </c>
      <c r="BG262" s="20">
        <v>0</v>
      </c>
      <c r="BH262" s="20">
        <v>0</v>
      </c>
      <c r="BI262" s="20">
        <v>0</v>
      </c>
      <c r="BJ262" s="20">
        <v>0</v>
      </c>
      <c r="BK262" s="20">
        <v>18</v>
      </c>
      <c r="BL262" s="20">
        <v>2700</v>
      </c>
      <c r="BM262" s="20">
        <v>0</v>
      </c>
      <c r="BN262" s="20">
        <v>292266943272</v>
      </c>
      <c r="BO262" s="111">
        <v>46251</v>
      </c>
      <c r="BP262" s="20">
        <v>0</v>
      </c>
    </row>
    <row r="263" spans="2:68">
      <c r="B263" s="20" t="s">
        <v>2165</v>
      </c>
      <c r="C263" s="20" t="s">
        <v>3058</v>
      </c>
      <c r="D263" s="20" t="s">
        <v>3606</v>
      </c>
      <c r="E263" s="20" t="s">
        <v>3616</v>
      </c>
      <c r="F263" s="20" t="s">
        <v>3081</v>
      </c>
      <c r="G263" s="20" t="s">
        <v>3617</v>
      </c>
      <c r="H263" s="20" t="s">
        <v>3609</v>
      </c>
      <c r="I263" s="20">
        <v>50</v>
      </c>
      <c r="J263" s="20">
        <v>50</v>
      </c>
      <c r="K263" s="20" t="s">
        <v>11</v>
      </c>
      <c r="L263" s="20">
        <v>50</v>
      </c>
      <c r="M263" s="20">
        <v>0</v>
      </c>
      <c r="N263" s="20">
        <v>50</v>
      </c>
      <c r="O263" s="20" t="s">
        <v>3610</v>
      </c>
      <c r="P263" s="20" t="s">
        <v>109</v>
      </c>
      <c r="Q263" s="20" t="s">
        <v>109</v>
      </c>
      <c r="R263" s="20" t="s">
        <v>3080</v>
      </c>
      <c r="S263" s="111" t="s">
        <v>2926</v>
      </c>
      <c r="T263" s="20" t="s">
        <v>206</v>
      </c>
      <c r="U263" s="20" t="s">
        <v>207</v>
      </c>
      <c r="V263" s="20" t="s">
        <v>3079</v>
      </c>
      <c r="W263" s="20">
        <v>345</v>
      </c>
      <c r="X263" s="20">
        <v>378.89924702995103</v>
      </c>
      <c r="Y263" s="20" t="s">
        <v>3080</v>
      </c>
      <c r="Z263" s="111" t="s">
        <v>2926</v>
      </c>
      <c r="AB263" s="20" t="s">
        <v>212</v>
      </c>
      <c r="AD263" s="20" t="s">
        <v>3611</v>
      </c>
      <c r="AE263" s="20">
        <v>4102516917</v>
      </c>
      <c r="AF263" s="20">
        <v>0</v>
      </c>
      <c r="AG263" s="20">
        <v>0</v>
      </c>
      <c r="AH263" s="20">
        <v>0</v>
      </c>
      <c r="AI263" s="20">
        <v>0</v>
      </c>
      <c r="AJ263" s="20">
        <v>0</v>
      </c>
      <c r="AK263" s="20" t="s">
        <v>576</v>
      </c>
      <c r="AL263" s="20">
        <v>0</v>
      </c>
      <c r="AM263" s="20">
        <v>0</v>
      </c>
      <c r="AN263" s="20">
        <v>0</v>
      </c>
      <c r="AO263" s="20">
        <v>0</v>
      </c>
      <c r="AP263" s="20">
        <v>0</v>
      </c>
      <c r="AR263" s="20">
        <v>0</v>
      </c>
      <c r="AS263" s="20">
        <v>0</v>
      </c>
      <c r="AT263" s="20">
        <v>492267</v>
      </c>
      <c r="AU263" s="20" t="s">
        <v>8</v>
      </c>
      <c r="AV263" s="20" t="s">
        <v>110</v>
      </c>
      <c r="AW263" s="20" t="s">
        <v>110</v>
      </c>
      <c r="AX263" s="20" t="s">
        <v>208</v>
      </c>
      <c r="AY263" s="20" t="s">
        <v>209</v>
      </c>
      <c r="AZ263" s="20">
        <v>0</v>
      </c>
      <c r="BA263" s="20">
        <v>18944.96</v>
      </c>
      <c r="BB263" s="20">
        <v>1183</v>
      </c>
      <c r="BC263" s="20" t="s">
        <v>3039</v>
      </c>
      <c r="BD263" s="20" t="s">
        <v>624</v>
      </c>
      <c r="BE263" s="20" t="s">
        <v>210</v>
      </c>
      <c r="BF263" s="20" t="s">
        <v>2509</v>
      </c>
      <c r="BG263" s="20">
        <v>0</v>
      </c>
      <c r="BH263" s="20">
        <v>0</v>
      </c>
      <c r="BI263" s="20">
        <v>0</v>
      </c>
      <c r="BJ263" s="20">
        <v>0</v>
      </c>
      <c r="BK263" s="20">
        <v>18</v>
      </c>
      <c r="BL263" s="20">
        <v>3105</v>
      </c>
      <c r="BM263" s="20">
        <v>0</v>
      </c>
      <c r="BN263" s="20">
        <v>292266943272</v>
      </c>
      <c r="BO263" s="111">
        <v>46251</v>
      </c>
      <c r="BP263" s="20">
        <v>0</v>
      </c>
    </row>
    <row r="264" spans="2:68">
      <c r="B264" s="20" t="s">
        <v>2165</v>
      </c>
      <c r="C264" s="20" t="s">
        <v>3058</v>
      </c>
      <c r="D264" s="20" t="s">
        <v>3606</v>
      </c>
      <c r="E264" s="20" t="s">
        <v>2401</v>
      </c>
      <c r="F264" s="20" t="s">
        <v>2388</v>
      </c>
      <c r="G264" s="20" t="s">
        <v>3618</v>
      </c>
      <c r="H264" s="20" t="s">
        <v>3609</v>
      </c>
      <c r="I264" s="20">
        <v>100</v>
      </c>
      <c r="J264" s="20">
        <v>100</v>
      </c>
      <c r="K264" s="20" t="s">
        <v>11</v>
      </c>
      <c r="L264" s="20">
        <v>100</v>
      </c>
      <c r="M264" s="20">
        <v>0</v>
      </c>
      <c r="N264" s="20">
        <v>100</v>
      </c>
      <c r="O264" s="20" t="s">
        <v>3610</v>
      </c>
      <c r="P264" s="20" t="s">
        <v>109</v>
      </c>
      <c r="Q264" s="20" t="s">
        <v>109</v>
      </c>
      <c r="R264" s="20" t="s">
        <v>3080</v>
      </c>
      <c r="S264" s="111" t="s">
        <v>2926</v>
      </c>
      <c r="T264" s="20" t="s">
        <v>206</v>
      </c>
      <c r="U264" s="20" t="s">
        <v>207</v>
      </c>
      <c r="V264" s="20" t="s">
        <v>3079</v>
      </c>
      <c r="W264" s="20">
        <v>292</v>
      </c>
      <c r="X264" s="20">
        <v>306.00650153810102</v>
      </c>
      <c r="Y264" s="20" t="s">
        <v>3080</v>
      </c>
      <c r="Z264" s="111" t="s">
        <v>2926</v>
      </c>
      <c r="AB264" s="20" t="s">
        <v>212</v>
      </c>
      <c r="AD264" s="20" t="s">
        <v>3611</v>
      </c>
      <c r="AE264" s="20">
        <v>4102516917</v>
      </c>
      <c r="AF264" s="20">
        <v>0</v>
      </c>
      <c r="AG264" s="20">
        <v>0</v>
      </c>
      <c r="AH264" s="20">
        <v>0</v>
      </c>
      <c r="AI264" s="20">
        <v>0</v>
      </c>
      <c r="AJ264" s="20">
        <v>0</v>
      </c>
      <c r="AK264" s="20" t="s">
        <v>576</v>
      </c>
      <c r="AL264" s="20">
        <v>0</v>
      </c>
      <c r="AM264" s="20">
        <v>0</v>
      </c>
      <c r="AN264" s="20">
        <v>0</v>
      </c>
      <c r="AO264" s="20">
        <v>0</v>
      </c>
      <c r="AP264" s="20">
        <v>0</v>
      </c>
      <c r="AR264" s="20">
        <v>0</v>
      </c>
      <c r="AS264" s="20">
        <v>0</v>
      </c>
      <c r="AT264" s="20">
        <v>492267</v>
      </c>
      <c r="AU264" s="20" t="s">
        <v>8</v>
      </c>
      <c r="AV264" s="20" t="s">
        <v>110</v>
      </c>
      <c r="AW264" s="20" t="s">
        <v>110</v>
      </c>
      <c r="AX264" s="20" t="s">
        <v>208</v>
      </c>
      <c r="AY264" s="20" t="s">
        <v>209</v>
      </c>
      <c r="AZ264" s="20">
        <v>0</v>
      </c>
      <c r="BA264" s="20">
        <v>30600.65</v>
      </c>
      <c r="BB264" s="20">
        <v>1183</v>
      </c>
      <c r="BC264" s="20" t="s">
        <v>3039</v>
      </c>
      <c r="BD264" s="20" t="s">
        <v>624</v>
      </c>
      <c r="BE264" s="20" t="s">
        <v>210</v>
      </c>
      <c r="BF264" s="20" t="s">
        <v>2509</v>
      </c>
      <c r="BG264" s="20">
        <v>0</v>
      </c>
      <c r="BH264" s="20">
        <v>0</v>
      </c>
      <c r="BI264" s="20">
        <v>0</v>
      </c>
      <c r="BJ264" s="20">
        <v>0</v>
      </c>
      <c r="BK264" s="20">
        <v>18</v>
      </c>
      <c r="BL264" s="20">
        <v>5256</v>
      </c>
      <c r="BM264" s="20">
        <v>0</v>
      </c>
      <c r="BN264" s="20">
        <v>292266943272</v>
      </c>
      <c r="BO264" s="111">
        <v>46251</v>
      </c>
      <c r="BP264" s="20">
        <v>0</v>
      </c>
    </row>
    <row r="265" spans="2:68">
      <c r="B265" s="20" t="s">
        <v>2165</v>
      </c>
      <c r="C265" s="20" t="s">
        <v>3058</v>
      </c>
      <c r="D265" s="20" t="s">
        <v>3606</v>
      </c>
      <c r="E265" s="20" t="s">
        <v>3589</v>
      </c>
      <c r="F265" s="20" t="s">
        <v>2983</v>
      </c>
      <c r="G265" s="20" t="s">
        <v>3619</v>
      </c>
      <c r="H265" s="20" t="s">
        <v>3609</v>
      </c>
      <c r="I265" s="20">
        <v>25</v>
      </c>
      <c r="J265" s="20">
        <v>25</v>
      </c>
      <c r="K265" s="20" t="s">
        <v>11</v>
      </c>
      <c r="L265" s="20">
        <v>25</v>
      </c>
      <c r="M265" s="20">
        <v>0</v>
      </c>
      <c r="N265" s="20">
        <v>25</v>
      </c>
      <c r="O265" s="20" t="s">
        <v>3610</v>
      </c>
      <c r="P265" s="20" t="s">
        <v>109</v>
      </c>
      <c r="Q265" s="20" t="s">
        <v>109</v>
      </c>
      <c r="R265" s="20" t="s">
        <v>3080</v>
      </c>
      <c r="S265" s="111" t="s">
        <v>2926</v>
      </c>
      <c r="T265" s="20" t="s">
        <v>206</v>
      </c>
      <c r="U265" s="20" t="s">
        <v>207</v>
      </c>
      <c r="V265" s="20" t="s">
        <v>3079</v>
      </c>
      <c r="W265" s="20">
        <v>515</v>
      </c>
      <c r="X265" s="20">
        <v>575.71819007607598</v>
      </c>
      <c r="Y265" s="20" t="s">
        <v>3080</v>
      </c>
      <c r="Z265" s="111" t="s">
        <v>2926</v>
      </c>
      <c r="AB265" s="20" t="s">
        <v>212</v>
      </c>
      <c r="AD265" s="20" t="s">
        <v>3611</v>
      </c>
      <c r="AE265" s="20">
        <v>4102516917</v>
      </c>
      <c r="AF265" s="20">
        <v>0</v>
      </c>
      <c r="AG265" s="20">
        <v>0</v>
      </c>
      <c r="AH265" s="20">
        <v>0</v>
      </c>
      <c r="AI265" s="20">
        <v>0</v>
      </c>
      <c r="AJ265" s="20">
        <v>0</v>
      </c>
      <c r="AK265" s="20" t="s">
        <v>576</v>
      </c>
      <c r="AL265" s="20">
        <v>0</v>
      </c>
      <c r="AM265" s="20">
        <v>0</v>
      </c>
      <c r="AN265" s="20">
        <v>0</v>
      </c>
      <c r="AO265" s="20">
        <v>0</v>
      </c>
      <c r="AP265" s="20">
        <v>0</v>
      </c>
      <c r="AR265" s="20">
        <v>0</v>
      </c>
      <c r="AS265" s="20">
        <v>0</v>
      </c>
      <c r="AT265" s="20">
        <v>492267</v>
      </c>
      <c r="AU265" s="20" t="s">
        <v>8</v>
      </c>
      <c r="AV265" s="20" t="s">
        <v>110</v>
      </c>
      <c r="AW265" s="20" t="s">
        <v>110</v>
      </c>
      <c r="AX265" s="20" t="s">
        <v>208</v>
      </c>
      <c r="AY265" s="20" t="s">
        <v>209</v>
      </c>
      <c r="AZ265" s="20">
        <v>0</v>
      </c>
      <c r="BA265" s="20">
        <v>14392.95</v>
      </c>
      <c r="BB265" s="20">
        <v>1183</v>
      </c>
      <c r="BC265" s="20" t="s">
        <v>3039</v>
      </c>
      <c r="BD265" s="20" t="s">
        <v>624</v>
      </c>
      <c r="BE265" s="20" t="s">
        <v>210</v>
      </c>
      <c r="BF265" s="20" t="s">
        <v>2509</v>
      </c>
      <c r="BG265" s="20">
        <v>0</v>
      </c>
      <c r="BH265" s="20">
        <v>0</v>
      </c>
      <c r="BI265" s="20">
        <v>0</v>
      </c>
      <c r="BJ265" s="20">
        <v>0</v>
      </c>
      <c r="BK265" s="20">
        <v>18</v>
      </c>
      <c r="BL265" s="20">
        <v>2317.5</v>
      </c>
      <c r="BM265" s="20">
        <v>0</v>
      </c>
      <c r="BN265" s="20">
        <v>292266943272</v>
      </c>
      <c r="BO265" s="111">
        <v>46251</v>
      </c>
      <c r="BP265" s="20">
        <v>0</v>
      </c>
    </row>
    <row r="266" spans="2:68">
      <c r="B266" s="20" t="s">
        <v>2165</v>
      </c>
      <c r="C266" s="20" t="s">
        <v>3058</v>
      </c>
      <c r="D266" s="20" t="s">
        <v>3606</v>
      </c>
      <c r="E266" s="20" t="s">
        <v>2395</v>
      </c>
      <c r="F266" s="20" t="s">
        <v>2372</v>
      </c>
      <c r="G266" s="20" t="s">
        <v>3620</v>
      </c>
      <c r="H266" s="20" t="s">
        <v>3609</v>
      </c>
      <c r="I266" s="20">
        <v>50</v>
      </c>
      <c r="J266" s="20">
        <v>50</v>
      </c>
      <c r="K266" s="20" t="s">
        <v>11</v>
      </c>
      <c r="L266" s="20">
        <v>50</v>
      </c>
      <c r="M266" s="20">
        <v>0</v>
      </c>
      <c r="N266" s="20">
        <v>50</v>
      </c>
      <c r="O266" s="20" t="s">
        <v>3610</v>
      </c>
      <c r="P266" s="20" t="s">
        <v>109</v>
      </c>
      <c r="Q266" s="20" t="s">
        <v>109</v>
      </c>
      <c r="R266" s="20" t="s">
        <v>3080</v>
      </c>
      <c r="S266" s="111" t="s">
        <v>2926</v>
      </c>
      <c r="T266" s="20" t="s">
        <v>206</v>
      </c>
      <c r="U266" s="20" t="s">
        <v>207</v>
      </c>
      <c r="V266" s="20" t="s">
        <v>3079</v>
      </c>
      <c r="W266" s="20">
        <v>292</v>
      </c>
      <c r="X266" s="20">
        <v>324.14103798581601</v>
      </c>
      <c r="Y266" s="20" t="s">
        <v>3080</v>
      </c>
      <c r="Z266" s="111" t="s">
        <v>2926</v>
      </c>
      <c r="AB266" s="20" t="s">
        <v>212</v>
      </c>
      <c r="AD266" s="20" t="s">
        <v>3611</v>
      </c>
      <c r="AE266" s="20">
        <v>4102516917</v>
      </c>
      <c r="AF266" s="20">
        <v>0</v>
      </c>
      <c r="AG266" s="20">
        <v>0</v>
      </c>
      <c r="AH266" s="20">
        <v>0</v>
      </c>
      <c r="AI266" s="20">
        <v>0</v>
      </c>
      <c r="AJ266" s="20">
        <v>0</v>
      </c>
      <c r="AK266" s="20" t="s">
        <v>576</v>
      </c>
      <c r="AL266" s="20">
        <v>0</v>
      </c>
      <c r="AM266" s="20">
        <v>0</v>
      </c>
      <c r="AN266" s="20">
        <v>0</v>
      </c>
      <c r="AO266" s="20">
        <v>0</v>
      </c>
      <c r="AP266" s="20">
        <v>0</v>
      </c>
      <c r="AR266" s="20">
        <v>0</v>
      </c>
      <c r="AS266" s="20">
        <v>0</v>
      </c>
      <c r="AT266" s="20">
        <v>492267</v>
      </c>
      <c r="AU266" s="20" t="s">
        <v>8</v>
      </c>
      <c r="AV266" s="20" t="s">
        <v>110</v>
      </c>
      <c r="AW266" s="20" t="s">
        <v>110</v>
      </c>
      <c r="AX266" s="20" t="s">
        <v>208</v>
      </c>
      <c r="AY266" s="20" t="s">
        <v>209</v>
      </c>
      <c r="AZ266" s="20">
        <v>0</v>
      </c>
      <c r="BA266" s="20">
        <v>16207.05</v>
      </c>
      <c r="BB266" s="20">
        <v>1183</v>
      </c>
      <c r="BC266" s="20" t="s">
        <v>3039</v>
      </c>
      <c r="BD266" s="20" t="s">
        <v>624</v>
      </c>
      <c r="BE266" s="20" t="s">
        <v>210</v>
      </c>
      <c r="BF266" s="20" t="s">
        <v>2509</v>
      </c>
      <c r="BG266" s="20">
        <v>0</v>
      </c>
      <c r="BH266" s="20">
        <v>0</v>
      </c>
      <c r="BI266" s="20">
        <v>0</v>
      </c>
      <c r="BJ266" s="20">
        <v>0</v>
      </c>
      <c r="BK266" s="20">
        <v>18</v>
      </c>
      <c r="BL266" s="20">
        <v>2628</v>
      </c>
      <c r="BM266" s="20">
        <v>0</v>
      </c>
      <c r="BN266" s="20">
        <v>292266943272</v>
      </c>
      <c r="BO266" s="111">
        <v>46251</v>
      </c>
      <c r="BP266" s="20">
        <v>0</v>
      </c>
    </row>
    <row r="267" spans="2:68">
      <c r="B267" s="20" t="s">
        <v>2165</v>
      </c>
      <c r="C267" s="20" t="s">
        <v>3058</v>
      </c>
      <c r="D267" s="20" t="s">
        <v>3606</v>
      </c>
      <c r="E267" s="20" t="s">
        <v>2400</v>
      </c>
      <c r="F267" s="20" t="s">
        <v>2386</v>
      </c>
      <c r="G267" s="20" t="s">
        <v>3621</v>
      </c>
      <c r="H267" s="20" t="s">
        <v>3609</v>
      </c>
      <c r="I267" s="20">
        <v>400</v>
      </c>
      <c r="J267" s="20">
        <v>400</v>
      </c>
      <c r="K267" s="20" t="s">
        <v>11</v>
      </c>
      <c r="L267" s="20">
        <v>400</v>
      </c>
      <c r="M267" s="20">
        <v>0</v>
      </c>
      <c r="N267" s="20">
        <v>400</v>
      </c>
      <c r="O267" s="20" t="s">
        <v>3610</v>
      </c>
      <c r="P267" s="20" t="s">
        <v>109</v>
      </c>
      <c r="Q267" s="20" t="s">
        <v>109</v>
      </c>
      <c r="R267" s="20" t="s">
        <v>3080</v>
      </c>
      <c r="S267" s="111" t="s">
        <v>2926</v>
      </c>
      <c r="T267" s="20" t="s">
        <v>206</v>
      </c>
      <c r="U267" s="20" t="s">
        <v>207</v>
      </c>
      <c r="V267" s="20" t="s">
        <v>3079</v>
      </c>
      <c r="W267" s="20">
        <v>232</v>
      </c>
      <c r="X267" s="20">
        <v>195.48615492584099</v>
      </c>
      <c r="Y267" s="20" t="s">
        <v>3080</v>
      </c>
      <c r="Z267" s="111" t="s">
        <v>2926</v>
      </c>
      <c r="AB267" s="20" t="s">
        <v>212</v>
      </c>
      <c r="AD267" s="20" t="s">
        <v>3611</v>
      </c>
      <c r="AE267" s="20">
        <v>4102516917</v>
      </c>
      <c r="AF267" s="20">
        <v>0</v>
      </c>
      <c r="AG267" s="20">
        <v>0</v>
      </c>
      <c r="AH267" s="20">
        <v>0</v>
      </c>
      <c r="AI267" s="20">
        <v>0</v>
      </c>
      <c r="AJ267" s="20">
        <v>0</v>
      </c>
      <c r="AK267" s="20" t="s">
        <v>576</v>
      </c>
      <c r="AL267" s="20">
        <v>0</v>
      </c>
      <c r="AM267" s="20">
        <v>0</v>
      </c>
      <c r="AN267" s="20">
        <v>0</v>
      </c>
      <c r="AO267" s="20">
        <v>0</v>
      </c>
      <c r="AP267" s="20">
        <v>0</v>
      </c>
      <c r="AR267" s="20">
        <v>0</v>
      </c>
      <c r="AS267" s="20">
        <v>0</v>
      </c>
      <c r="AT267" s="20">
        <v>492267</v>
      </c>
      <c r="AU267" s="20" t="s">
        <v>8</v>
      </c>
      <c r="AV267" s="20" t="s">
        <v>110</v>
      </c>
      <c r="AW267" s="20" t="s">
        <v>110</v>
      </c>
      <c r="AX267" s="20" t="s">
        <v>208</v>
      </c>
      <c r="AY267" s="20" t="s">
        <v>209</v>
      </c>
      <c r="AZ267" s="20">
        <v>0</v>
      </c>
      <c r="BA267" s="20">
        <v>78194.460000000006</v>
      </c>
      <c r="BB267" s="20">
        <v>1183</v>
      </c>
      <c r="BC267" s="20" t="s">
        <v>3039</v>
      </c>
      <c r="BD267" s="20" t="s">
        <v>624</v>
      </c>
      <c r="BE267" s="20" t="s">
        <v>210</v>
      </c>
      <c r="BF267" s="20" t="s">
        <v>2509</v>
      </c>
      <c r="BG267" s="20">
        <v>0</v>
      </c>
      <c r="BH267" s="20">
        <v>0</v>
      </c>
      <c r="BI267" s="20">
        <v>0</v>
      </c>
      <c r="BJ267" s="20">
        <v>0</v>
      </c>
      <c r="BK267" s="20">
        <v>18</v>
      </c>
      <c r="BL267" s="20">
        <v>16704</v>
      </c>
      <c r="BM267" s="20">
        <v>0</v>
      </c>
      <c r="BN267" s="20">
        <v>292266943272</v>
      </c>
      <c r="BO267" s="111">
        <v>46251</v>
      </c>
      <c r="BP267" s="20">
        <v>0</v>
      </c>
    </row>
    <row r="268" spans="2:68">
      <c r="B268" s="20" t="s">
        <v>2165</v>
      </c>
      <c r="C268" s="20" t="s">
        <v>3058</v>
      </c>
      <c r="D268" s="20" t="s">
        <v>3622</v>
      </c>
      <c r="E268" s="20" t="s">
        <v>390</v>
      </c>
      <c r="F268" s="20" t="s">
        <v>385</v>
      </c>
      <c r="H268" s="20" t="s">
        <v>3623</v>
      </c>
      <c r="I268" s="20">
        <v>178</v>
      </c>
      <c r="J268" s="20">
        <v>178</v>
      </c>
      <c r="K268" s="20" t="s">
        <v>11</v>
      </c>
      <c r="L268" s="20">
        <v>178</v>
      </c>
      <c r="M268" s="20">
        <v>0</v>
      </c>
      <c r="N268" s="20">
        <v>178</v>
      </c>
      <c r="O268" s="20" t="s">
        <v>3624</v>
      </c>
      <c r="P268" s="20" t="s">
        <v>103</v>
      </c>
      <c r="Q268" s="20" t="s">
        <v>103</v>
      </c>
      <c r="R268" s="20" t="s">
        <v>3068</v>
      </c>
      <c r="S268" s="111" t="s">
        <v>2948</v>
      </c>
      <c r="T268" s="20" t="s">
        <v>206</v>
      </c>
      <c r="U268" s="20" t="s">
        <v>207</v>
      </c>
      <c r="V268" s="20" t="s">
        <v>3067</v>
      </c>
      <c r="W268" s="20">
        <v>170.95</v>
      </c>
      <c r="X268" s="20">
        <v>170.95</v>
      </c>
      <c r="Y268" s="20" t="s">
        <v>3068</v>
      </c>
      <c r="Z268" s="111" t="s">
        <v>2948</v>
      </c>
      <c r="AB268" s="20" t="s">
        <v>212</v>
      </c>
      <c r="AD268" s="20" t="s">
        <v>213</v>
      </c>
      <c r="AE268" s="20" t="s">
        <v>212</v>
      </c>
      <c r="AF268" s="20">
        <v>0</v>
      </c>
      <c r="AG268" s="20">
        <v>0</v>
      </c>
      <c r="AH268" s="20">
        <v>0</v>
      </c>
      <c r="AI268" s="20">
        <v>0</v>
      </c>
      <c r="AJ268" s="20">
        <v>0</v>
      </c>
      <c r="AK268" s="20" t="s">
        <v>576</v>
      </c>
      <c r="AL268" s="20">
        <v>0</v>
      </c>
      <c r="AM268" s="20">
        <v>0</v>
      </c>
      <c r="AN268" s="20">
        <v>0</v>
      </c>
      <c r="AO268" s="20">
        <v>0</v>
      </c>
      <c r="AP268" s="20">
        <v>0</v>
      </c>
      <c r="AR268" s="20">
        <v>0</v>
      </c>
      <c r="AS268" s="20">
        <v>0</v>
      </c>
      <c r="AT268" s="20">
        <v>30429.1</v>
      </c>
      <c r="AU268" s="20" t="s">
        <v>13</v>
      </c>
      <c r="AV268" s="20" t="s">
        <v>80</v>
      </c>
      <c r="AW268" s="20" t="s">
        <v>81</v>
      </c>
      <c r="AX268" s="20" t="s">
        <v>208</v>
      </c>
      <c r="AY268" s="20" t="s">
        <v>209</v>
      </c>
      <c r="AZ268" s="20">
        <v>0</v>
      </c>
      <c r="BA268" s="20">
        <v>30429.1</v>
      </c>
      <c r="BB268" s="20">
        <v>18</v>
      </c>
      <c r="BC268" s="20" t="s">
        <v>3058</v>
      </c>
      <c r="BD268" s="20" t="s">
        <v>104</v>
      </c>
      <c r="BE268" s="20" t="s">
        <v>210</v>
      </c>
      <c r="BF268" s="20" t="s">
        <v>210</v>
      </c>
      <c r="BG268" s="20">
        <v>0</v>
      </c>
      <c r="BH268" s="20">
        <v>0</v>
      </c>
      <c r="BI268" s="20">
        <v>0</v>
      </c>
      <c r="BJ268" s="20">
        <v>0</v>
      </c>
      <c r="BK268" s="20">
        <v>0</v>
      </c>
      <c r="BL268" s="20">
        <v>0</v>
      </c>
      <c r="BM268" s="20">
        <v>30429.1</v>
      </c>
      <c r="BN268" s="20">
        <v>652166179715</v>
      </c>
      <c r="BO268" s="111">
        <v>46255</v>
      </c>
      <c r="BP268" s="20">
        <v>0</v>
      </c>
    </row>
    <row r="269" spans="2:68">
      <c r="B269" s="20" t="s">
        <v>2165</v>
      </c>
      <c r="C269" s="20" t="s">
        <v>3058</v>
      </c>
      <c r="D269" s="20" t="s">
        <v>3625</v>
      </c>
      <c r="E269" s="20" t="s">
        <v>18</v>
      </c>
      <c r="F269" s="20" t="s">
        <v>19</v>
      </c>
      <c r="H269" s="20" t="s">
        <v>3626</v>
      </c>
      <c r="I269" s="20">
        <v>1255</v>
      </c>
      <c r="J269" s="20">
        <v>1255</v>
      </c>
      <c r="K269" s="20" t="s">
        <v>11</v>
      </c>
      <c r="L269" s="20">
        <v>1255</v>
      </c>
      <c r="M269" s="20">
        <v>0</v>
      </c>
      <c r="N269" s="20">
        <v>1255</v>
      </c>
      <c r="O269" s="20" t="s">
        <v>3577</v>
      </c>
      <c r="P269" s="20" t="s">
        <v>87</v>
      </c>
      <c r="Q269" s="20" t="s">
        <v>87</v>
      </c>
      <c r="R269" s="20" t="s">
        <v>3072</v>
      </c>
      <c r="S269" s="111" t="s">
        <v>3058</v>
      </c>
      <c r="T269" s="20" t="s">
        <v>206</v>
      </c>
      <c r="U269" s="20" t="s">
        <v>207</v>
      </c>
      <c r="V269" s="20" t="s">
        <v>3071</v>
      </c>
      <c r="W269" s="20">
        <v>144.32</v>
      </c>
      <c r="X269" s="20">
        <v>144.32000057253799</v>
      </c>
      <c r="Y269" s="20" t="s">
        <v>3072</v>
      </c>
      <c r="Z269" s="111" t="s">
        <v>3058</v>
      </c>
      <c r="AB269" s="20" t="s">
        <v>212</v>
      </c>
      <c r="AD269" s="20" t="s">
        <v>213</v>
      </c>
      <c r="AE269" s="20" t="s">
        <v>212</v>
      </c>
      <c r="AF269" s="20">
        <v>0</v>
      </c>
      <c r="AG269" s="20">
        <v>0</v>
      </c>
      <c r="AH269" s="20">
        <v>0</v>
      </c>
      <c r="AI269" s="20">
        <v>0</v>
      </c>
      <c r="AJ269" s="20">
        <v>0</v>
      </c>
      <c r="AK269" s="20" t="s">
        <v>576</v>
      </c>
      <c r="AL269" s="20">
        <v>0</v>
      </c>
      <c r="AM269" s="20">
        <v>0</v>
      </c>
      <c r="AN269" s="20">
        <v>0</v>
      </c>
      <c r="AO269" s="20">
        <v>0</v>
      </c>
      <c r="AP269" s="20">
        <v>0</v>
      </c>
      <c r="AR269" s="20">
        <v>0</v>
      </c>
      <c r="AS269" s="20">
        <v>0</v>
      </c>
      <c r="AT269" s="20">
        <v>2016565.08</v>
      </c>
      <c r="AU269" s="20" t="s">
        <v>13</v>
      </c>
      <c r="AV269" s="20" t="s">
        <v>62</v>
      </c>
      <c r="AW269" s="20" t="s">
        <v>63</v>
      </c>
      <c r="AX269" s="20" t="s">
        <v>208</v>
      </c>
      <c r="AY269" s="20" t="s">
        <v>209</v>
      </c>
      <c r="AZ269" s="20">
        <v>0</v>
      </c>
      <c r="BA269" s="20">
        <v>181121.6</v>
      </c>
      <c r="BB269" s="20">
        <v>1193</v>
      </c>
      <c r="BC269" s="20" t="s">
        <v>3058</v>
      </c>
      <c r="BD269" s="20" t="s">
        <v>65</v>
      </c>
      <c r="BE269" s="20" t="s">
        <v>210</v>
      </c>
      <c r="BF269" s="20" t="s">
        <v>210</v>
      </c>
      <c r="BG269" s="20">
        <v>9</v>
      </c>
      <c r="BH269" s="20">
        <v>16300.94</v>
      </c>
      <c r="BI269" s="20">
        <v>9</v>
      </c>
      <c r="BJ269" s="20">
        <v>16300.94</v>
      </c>
      <c r="BK269" s="20">
        <v>0</v>
      </c>
      <c r="BL269" s="20">
        <v>0</v>
      </c>
      <c r="BM269" s="20">
        <v>2016565.08</v>
      </c>
      <c r="BN269" s="20" t="s">
        <v>3627</v>
      </c>
      <c r="BO269" s="111">
        <v>46256</v>
      </c>
      <c r="BP269" s="20">
        <v>0</v>
      </c>
    </row>
    <row r="270" spans="2:68">
      <c r="B270" s="20" t="s">
        <v>2165</v>
      </c>
      <c r="C270" s="20" t="s">
        <v>3058</v>
      </c>
      <c r="D270" s="20" t="s">
        <v>3625</v>
      </c>
      <c r="E270" s="20" t="s">
        <v>18</v>
      </c>
      <c r="F270" s="20" t="s">
        <v>19</v>
      </c>
      <c r="H270" s="20" t="s">
        <v>3626</v>
      </c>
      <c r="I270" s="20">
        <v>718</v>
      </c>
      <c r="J270" s="20">
        <v>718</v>
      </c>
      <c r="K270" s="20" t="s">
        <v>11</v>
      </c>
      <c r="L270" s="20">
        <v>718</v>
      </c>
      <c r="M270" s="20">
        <v>0</v>
      </c>
      <c r="N270" s="20">
        <v>718</v>
      </c>
      <c r="O270" s="20" t="s">
        <v>3577</v>
      </c>
      <c r="P270" s="20" t="s">
        <v>87</v>
      </c>
      <c r="Q270" s="20" t="s">
        <v>87</v>
      </c>
      <c r="R270" s="20" t="s">
        <v>3072</v>
      </c>
      <c r="S270" s="111" t="s">
        <v>3058</v>
      </c>
      <c r="T270" s="20" t="s">
        <v>206</v>
      </c>
      <c r="U270" s="20" t="s">
        <v>207</v>
      </c>
      <c r="V270" s="20" t="s">
        <v>3071</v>
      </c>
      <c r="W270" s="20">
        <v>145.32</v>
      </c>
      <c r="X270" s="20">
        <v>145.32000057650501</v>
      </c>
      <c r="Y270" s="20" t="s">
        <v>3072</v>
      </c>
      <c r="Z270" s="111" t="s">
        <v>3058</v>
      </c>
      <c r="AB270" s="20" t="s">
        <v>212</v>
      </c>
      <c r="AD270" s="20" t="s">
        <v>213</v>
      </c>
      <c r="AE270" s="20" t="s">
        <v>212</v>
      </c>
      <c r="AF270" s="20">
        <v>0</v>
      </c>
      <c r="AG270" s="20">
        <v>0</v>
      </c>
      <c r="AH270" s="20">
        <v>0</v>
      </c>
      <c r="AI270" s="20">
        <v>0</v>
      </c>
      <c r="AJ270" s="20">
        <v>0</v>
      </c>
      <c r="AK270" s="20" t="s">
        <v>576</v>
      </c>
      <c r="AL270" s="20">
        <v>0</v>
      </c>
      <c r="AM270" s="20">
        <v>0</v>
      </c>
      <c r="AN270" s="20">
        <v>0</v>
      </c>
      <c r="AO270" s="20">
        <v>0</v>
      </c>
      <c r="AP270" s="20">
        <v>0</v>
      </c>
      <c r="AR270" s="20">
        <v>0</v>
      </c>
      <c r="AS270" s="20">
        <v>0</v>
      </c>
      <c r="AT270" s="20">
        <v>2016565.08</v>
      </c>
      <c r="AU270" s="20" t="s">
        <v>13</v>
      </c>
      <c r="AV270" s="20" t="s">
        <v>62</v>
      </c>
      <c r="AW270" s="20" t="s">
        <v>63</v>
      </c>
      <c r="AX270" s="20" t="s">
        <v>208</v>
      </c>
      <c r="AY270" s="20" t="s">
        <v>209</v>
      </c>
      <c r="AZ270" s="20">
        <v>0</v>
      </c>
      <c r="BA270" s="20">
        <v>104339.76</v>
      </c>
      <c r="BB270" s="20">
        <v>1193</v>
      </c>
      <c r="BC270" s="20" t="s">
        <v>3058</v>
      </c>
      <c r="BD270" s="20" t="s">
        <v>65</v>
      </c>
      <c r="BE270" s="20" t="s">
        <v>210</v>
      </c>
      <c r="BF270" s="20" t="s">
        <v>210</v>
      </c>
      <c r="BG270" s="20">
        <v>9</v>
      </c>
      <c r="BH270" s="20">
        <v>9390.58</v>
      </c>
      <c r="BI270" s="20">
        <v>9</v>
      </c>
      <c r="BJ270" s="20">
        <v>9390.58</v>
      </c>
      <c r="BK270" s="20">
        <v>0</v>
      </c>
      <c r="BL270" s="20">
        <v>0</v>
      </c>
      <c r="BM270" s="20">
        <v>0</v>
      </c>
      <c r="BN270" s="20" t="s">
        <v>3627</v>
      </c>
      <c r="BO270" s="111">
        <v>46256</v>
      </c>
      <c r="BP270" s="20">
        <v>0</v>
      </c>
    </row>
    <row r="271" spans="2:68">
      <c r="B271" s="20" t="s">
        <v>2165</v>
      </c>
      <c r="C271" s="20" t="s">
        <v>3058</v>
      </c>
      <c r="D271" s="20" t="s">
        <v>3625</v>
      </c>
      <c r="E271" s="20" t="s">
        <v>18</v>
      </c>
      <c r="F271" s="20" t="s">
        <v>19</v>
      </c>
      <c r="H271" s="20" t="s">
        <v>3626</v>
      </c>
      <c r="I271" s="20">
        <v>8400</v>
      </c>
      <c r="J271" s="20">
        <v>8400</v>
      </c>
      <c r="K271" s="20" t="s">
        <v>11</v>
      </c>
      <c r="L271" s="20">
        <v>8400</v>
      </c>
      <c r="M271" s="20">
        <v>0</v>
      </c>
      <c r="N271" s="20">
        <v>8400</v>
      </c>
      <c r="O271" s="20" t="s">
        <v>3577</v>
      </c>
      <c r="P271" s="20" t="s">
        <v>87</v>
      </c>
      <c r="Q271" s="20" t="s">
        <v>87</v>
      </c>
      <c r="R271" s="20" t="s">
        <v>3072</v>
      </c>
      <c r="S271" s="111" t="s">
        <v>3058</v>
      </c>
      <c r="T271" s="20" t="s">
        <v>206</v>
      </c>
      <c r="U271" s="20" t="s">
        <v>207</v>
      </c>
      <c r="V271" s="20" t="s">
        <v>3071</v>
      </c>
      <c r="W271" s="20">
        <v>142.32</v>
      </c>
      <c r="X271" s="20">
        <v>142.32000056460399</v>
      </c>
      <c r="Y271" s="20" t="s">
        <v>3072</v>
      </c>
      <c r="Z271" s="111" t="s">
        <v>3058</v>
      </c>
      <c r="AB271" s="20" t="s">
        <v>212</v>
      </c>
      <c r="AD271" s="20" t="s">
        <v>213</v>
      </c>
      <c r="AE271" s="20" t="s">
        <v>212</v>
      </c>
      <c r="AF271" s="20">
        <v>0</v>
      </c>
      <c r="AG271" s="20">
        <v>0</v>
      </c>
      <c r="AH271" s="20">
        <v>0</v>
      </c>
      <c r="AI271" s="20">
        <v>0</v>
      </c>
      <c r="AJ271" s="20">
        <v>0</v>
      </c>
      <c r="AK271" s="20" t="s">
        <v>576</v>
      </c>
      <c r="AL271" s="20">
        <v>0</v>
      </c>
      <c r="AM271" s="20">
        <v>0</v>
      </c>
      <c r="AN271" s="20">
        <v>0</v>
      </c>
      <c r="AO271" s="20">
        <v>0</v>
      </c>
      <c r="AP271" s="20">
        <v>0</v>
      </c>
      <c r="AR271" s="20">
        <v>0</v>
      </c>
      <c r="AS271" s="20">
        <v>0</v>
      </c>
      <c r="AT271" s="20">
        <v>2016565.08</v>
      </c>
      <c r="AU271" s="20" t="s">
        <v>13</v>
      </c>
      <c r="AV271" s="20" t="s">
        <v>62</v>
      </c>
      <c r="AW271" s="20" t="s">
        <v>63</v>
      </c>
      <c r="AX271" s="20" t="s">
        <v>208</v>
      </c>
      <c r="AY271" s="20" t="s">
        <v>209</v>
      </c>
      <c r="AZ271" s="20">
        <v>0</v>
      </c>
      <c r="BA271" s="20">
        <v>1195488</v>
      </c>
      <c r="BB271" s="20">
        <v>1193</v>
      </c>
      <c r="BC271" s="20" t="s">
        <v>3058</v>
      </c>
      <c r="BD271" s="20" t="s">
        <v>65</v>
      </c>
      <c r="BE271" s="20" t="s">
        <v>210</v>
      </c>
      <c r="BF271" s="20" t="s">
        <v>210</v>
      </c>
      <c r="BG271" s="20">
        <v>9</v>
      </c>
      <c r="BH271" s="20">
        <v>107593.92</v>
      </c>
      <c r="BI271" s="20">
        <v>9</v>
      </c>
      <c r="BJ271" s="20">
        <v>107593.92</v>
      </c>
      <c r="BK271" s="20">
        <v>0</v>
      </c>
      <c r="BL271" s="20">
        <v>0</v>
      </c>
      <c r="BM271" s="20">
        <v>0</v>
      </c>
      <c r="BN271" s="20" t="s">
        <v>3627</v>
      </c>
      <c r="BO271" s="111">
        <v>46256</v>
      </c>
      <c r="BP271" s="20">
        <v>0</v>
      </c>
    </row>
    <row r="272" spans="2:68">
      <c r="B272" s="20" t="s">
        <v>2165</v>
      </c>
      <c r="C272" s="20" t="s">
        <v>3058</v>
      </c>
      <c r="D272" s="20" t="s">
        <v>3625</v>
      </c>
      <c r="E272" s="20" t="s">
        <v>23</v>
      </c>
      <c r="F272" s="20" t="s">
        <v>24</v>
      </c>
      <c r="H272" s="20" t="s">
        <v>3626</v>
      </c>
      <c r="I272" s="20">
        <v>23.8</v>
      </c>
      <c r="J272" s="20">
        <v>23.8</v>
      </c>
      <c r="K272" s="20" t="s">
        <v>11</v>
      </c>
      <c r="L272" s="20">
        <v>23.8</v>
      </c>
      <c r="M272" s="20">
        <v>0</v>
      </c>
      <c r="N272" s="20">
        <v>23.8</v>
      </c>
      <c r="O272" s="20" t="s">
        <v>3577</v>
      </c>
      <c r="P272" s="20" t="s">
        <v>87</v>
      </c>
      <c r="Q272" s="20" t="s">
        <v>87</v>
      </c>
      <c r="R272" s="20" t="s">
        <v>3072</v>
      </c>
      <c r="S272" s="111" t="s">
        <v>3058</v>
      </c>
      <c r="T272" s="20" t="s">
        <v>206</v>
      </c>
      <c r="U272" s="20" t="s">
        <v>207</v>
      </c>
      <c r="V272" s="20" t="s">
        <v>3071</v>
      </c>
      <c r="W272" s="20">
        <v>168.32</v>
      </c>
      <c r="X272" s="20">
        <v>168.32000066774901</v>
      </c>
      <c r="Y272" s="20" t="s">
        <v>3072</v>
      </c>
      <c r="Z272" s="111" t="s">
        <v>3058</v>
      </c>
      <c r="AB272" s="20" t="s">
        <v>212</v>
      </c>
      <c r="AD272" s="20" t="s">
        <v>213</v>
      </c>
      <c r="AE272" s="20" t="s">
        <v>212</v>
      </c>
      <c r="AF272" s="20">
        <v>0</v>
      </c>
      <c r="AG272" s="20">
        <v>0</v>
      </c>
      <c r="AH272" s="20">
        <v>0</v>
      </c>
      <c r="AI272" s="20">
        <v>0</v>
      </c>
      <c r="AJ272" s="20">
        <v>0</v>
      </c>
      <c r="AK272" s="20" t="s">
        <v>576</v>
      </c>
      <c r="AL272" s="20">
        <v>0</v>
      </c>
      <c r="AM272" s="20">
        <v>0</v>
      </c>
      <c r="AN272" s="20">
        <v>0</v>
      </c>
      <c r="AO272" s="20">
        <v>0</v>
      </c>
      <c r="AP272" s="20">
        <v>0</v>
      </c>
      <c r="AR272" s="20">
        <v>0</v>
      </c>
      <c r="AS272" s="20">
        <v>0</v>
      </c>
      <c r="AT272" s="20">
        <v>2016565.08</v>
      </c>
      <c r="AU272" s="20" t="s">
        <v>13</v>
      </c>
      <c r="AV272" s="20" t="s">
        <v>24</v>
      </c>
      <c r="AW272" s="20" t="s">
        <v>79</v>
      </c>
      <c r="AX272" s="20" t="s">
        <v>208</v>
      </c>
      <c r="AY272" s="20" t="s">
        <v>209</v>
      </c>
      <c r="AZ272" s="20">
        <v>0</v>
      </c>
      <c r="BA272" s="20">
        <v>4006.02</v>
      </c>
      <c r="BB272" s="20">
        <v>1193</v>
      </c>
      <c r="BC272" s="20" t="s">
        <v>3058</v>
      </c>
      <c r="BD272" s="20" t="s">
        <v>65</v>
      </c>
      <c r="BE272" s="20" t="s">
        <v>210</v>
      </c>
      <c r="BF272" s="20" t="s">
        <v>210</v>
      </c>
      <c r="BG272" s="20">
        <v>9</v>
      </c>
      <c r="BH272" s="20">
        <v>360.54</v>
      </c>
      <c r="BI272" s="20">
        <v>9</v>
      </c>
      <c r="BJ272" s="20">
        <v>360.54</v>
      </c>
      <c r="BK272" s="20">
        <v>0</v>
      </c>
      <c r="BL272" s="20">
        <v>0</v>
      </c>
      <c r="BM272" s="20">
        <v>0</v>
      </c>
      <c r="BN272" s="20" t="s">
        <v>3627</v>
      </c>
      <c r="BO272" s="111">
        <v>46256</v>
      </c>
      <c r="BP272" s="20">
        <v>0</v>
      </c>
    </row>
    <row r="273" spans="2:68">
      <c r="B273" s="20" t="s">
        <v>2165</v>
      </c>
      <c r="C273" s="20" t="s">
        <v>3058</v>
      </c>
      <c r="D273" s="20" t="s">
        <v>3625</v>
      </c>
      <c r="E273" s="20" t="s">
        <v>23</v>
      </c>
      <c r="F273" s="20" t="s">
        <v>24</v>
      </c>
      <c r="H273" s="20" t="s">
        <v>3626</v>
      </c>
      <c r="I273" s="20">
        <v>1457.3</v>
      </c>
      <c r="J273" s="20">
        <v>1457.3</v>
      </c>
      <c r="K273" s="20" t="s">
        <v>11</v>
      </c>
      <c r="L273" s="20">
        <v>1457.3</v>
      </c>
      <c r="M273" s="20">
        <v>0</v>
      </c>
      <c r="N273" s="20">
        <v>1457.3</v>
      </c>
      <c r="O273" s="20" t="s">
        <v>3577</v>
      </c>
      <c r="P273" s="20" t="s">
        <v>87</v>
      </c>
      <c r="Q273" s="20" t="s">
        <v>87</v>
      </c>
      <c r="R273" s="20" t="s">
        <v>3072</v>
      </c>
      <c r="S273" s="111" t="s">
        <v>3058</v>
      </c>
      <c r="T273" s="20" t="s">
        <v>206</v>
      </c>
      <c r="U273" s="20" t="s">
        <v>207</v>
      </c>
      <c r="V273" s="20" t="s">
        <v>3071</v>
      </c>
      <c r="W273" s="20">
        <v>147.32</v>
      </c>
      <c r="X273" s="20">
        <v>147.32000058443899</v>
      </c>
      <c r="Y273" s="20" t="s">
        <v>3072</v>
      </c>
      <c r="Z273" s="111" t="s">
        <v>3058</v>
      </c>
      <c r="AB273" s="20" t="s">
        <v>212</v>
      </c>
      <c r="AD273" s="20" t="s">
        <v>213</v>
      </c>
      <c r="AE273" s="20" t="s">
        <v>212</v>
      </c>
      <c r="AF273" s="20">
        <v>0</v>
      </c>
      <c r="AG273" s="20">
        <v>0</v>
      </c>
      <c r="AH273" s="20">
        <v>0</v>
      </c>
      <c r="AI273" s="20">
        <v>0</v>
      </c>
      <c r="AJ273" s="20">
        <v>0</v>
      </c>
      <c r="AK273" s="20" t="s">
        <v>576</v>
      </c>
      <c r="AL273" s="20">
        <v>0</v>
      </c>
      <c r="AM273" s="20">
        <v>0</v>
      </c>
      <c r="AN273" s="20">
        <v>0</v>
      </c>
      <c r="AO273" s="20">
        <v>0</v>
      </c>
      <c r="AP273" s="20">
        <v>0</v>
      </c>
      <c r="AR273" s="20">
        <v>0</v>
      </c>
      <c r="AS273" s="20">
        <v>0</v>
      </c>
      <c r="AT273" s="20">
        <v>2016565.08</v>
      </c>
      <c r="AU273" s="20" t="s">
        <v>13</v>
      </c>
      <c r="AV273" s="20" t="s">
        <v>24</v>
      </c>
      <c r="AW273" s="20" t="s">
        <v>79</v>
      </c>
      <c r="AX273" s="20" t="s">
        <v>208</v>
      </c>
      <c r="AY273" s="20" t="s">
        <v>209</v>
      </c>
      <c r="AZ273" s="20">
        <v>0</v>
      </c>
      <c r="BA273" s="20">
        <v>214689.44</v>
      </c>
      <c r="BB273" s="20">
        <v>1193</v>
      </c>
      <c r="BC273" s="20" t="s">
        <v>3058</v>
      </c>
      <c r="BD273" s="20" t="s">
        <v>65</v>
      </c>
      <c r="BE273" s="20" t="s">
        <v>210</v>
      </c>
      <c r="BF273" s="20" t="s">
        <v>210</v>
      </c>
      <c r="BG273" s="20">
        <v>9</v>
      </c>
      <c r="BH273" s="20">
        <v>19322.05</v>
      </c>
      <c r="BI273" s="20">
        <v>9</v>
      </c>
      <c r="BJ273" s="20">
        <v>19322.05</v>
      </c>
      <c r="BK273" s="20">
        <v>0</v>
      </c>
      <c r="BL273" s="20">
        <v>0</v>
      </c>
      <c r="BM273" s="20">
        <v>0</v>
      </c>
      <c r="BN273" s="20" t="s">
        <v>3627</v>
      </c>
      <c r="BO273" s="111">
        <v>46256</v>
      </c>
      <c r="BP273" s="20">
        <v>0</v>
      </c>
    </row>
    <row r="274" spans="2:68">
      <c r="B274" s="20" t="s">
        <v>2165</v>
      </c>
      <c r="C274" s="20" t="s">
        <v>3058</v>
      </c>
      <c r="D274" s="20" t="s">
        <v>3625</v>
      </c>
      <c r="E274" s="20" t="s">
        <v>23</v>
      </c>
      <c r="F274" s="20" t="s">
        <v>24</v>
      </c>
      <c r="H274" s="20" t="s">
        <v>3626</v>
      </c>
      <c r="I274" s="20">
        <v>64.5</v>
      </c>
      <c r="J274" s="20">
        <v>64.5</v>
      </c>
      <c r="K274" s="20" t="s">
        <v>11</v>
      </c>
      <c r="L274" s="20">
        <v>64.5</v>
      </c>
      <c r="M274" s="20">
        <v>0</v>
      </c>
      <c r="N274" s="20">
        <v>64.5</v>
      </c>
      <c r="O274" s="20" t="s">
        <v>3577</v>
      </c>
      <c r="P274" s="20" t="s">
        <v>87</v>
      </c>
      <c r="Q274" s="20" t="s">
        <v>87</v>
      </c>
      <c r="R274" s="20" t="s">
        <v>3072</v>
      </c>
      <c r="S274" s="111" t="s">
        <v>3058</v>
      </c>
      <c r="T274" s="20" t="s">
        <v>206</v>
      </c>
      <c r="U274" s="20" t="s">
        <v>207</v>
      </c>
      <c r="V274" s="20" t="s">
        <v>3071</v>
      </c>
      <c r="W274" s="20">
        <v>144.32</v>
      </c>
      <c r="X274" s="20">
        <v>144.32000057253799</v>
      </c>
      <c r="Y274" s="20" t="s">
        <v>3072</v>
      </c>
      <c r="Z274" s="111" t="s">
        <v>3058</v>
      </c>
      <c r="AB274" s="20" t="s">
        <v>212</v>
      </c>
      <c r="AD274" s="20" t="s">
        <v>213</v>
      </c>
      <c r="AE274" s="20" t="s">
        <v>212</v>
      </c>
      <c r="AF274" s="20">
        <v>0</v>
      </c>
      <c r="AG274" s="20">
        <v>0</v>
      </c>
      <c r="AH274" s="20">
        <v>0</v>
      </c>
      <c r="AI274" s="20">
        <v>0</v>
      </c>
      <c r="AJ274" s="20">
        <v>0</v>
      </c>
      <c r="AK274" s="20" t="s">
        <v>576</v>
      </c>
      <c r="AL274" s="20">
        <v>0</v>
      </c>
      <c r="AM274" s="20">
        <v>0</v>
      </c>
      <c r="AN274" s="20">
        <v>0</v>
      </c>
      <c r="AO274" s="20">
        <v>0</v>
      </c>
      <c r="AP274" s="20">
        <v>0</v>
      </c>
      <c r="AR274" s="20">
        <v>0</v>
      </c>
      <c r="AS274" s="20">
        <v>0</v>
      </c>
      <c r="AT274" s="20">
        <v>2016565.08</v>
      </c>
      <c r="AU274" s="20" t="s">
        <v>13</v>
      </c>
      <c r="AV274" s="20" t="s">
        <v>24</v>
      </c>
      <c r="AW274" s="20" t="s">
        <v>79</v>
      </c>
      <c r="AX274" s="20" t="s">
        <v>208</v>
      </c>
      <c r="AY274" s="20" t="s">
        <v>209</v>
      </c>
      <c r="AZ274" s="20">
        <v>0</v>
      </c>
      <c r="BA274" s="20">
        <v>9308.64</v>
      </c>
      <c r="BB274" s="20">
        <v>1193</v>
      </c>
      <c r="BC274" s="20" t="s">
        <v>3058</v>
      </c>
      <c r="BD274" s="20" t="s">
        <v>65</v>
      </c>
      <c r="BE274" s="20" t="s">
        <v>210</v>
      </c>
      <c r="BF274" s="20" t="s">
        <v>210</v>
      </c>
      <c r="BG274" s="20">
        <v>9</v>
      </c>
      <c r="BH274" s="20">
        <v>837.78</v>
      </c>
      <c r="BI274" s="20">
        <v>9</v>
      </c>
      <c r="BJ274" s="20">
        <v>837.78</v>
      </c>
      <c r="BK274" s="20">
        <v>0</v>
      </c>
      <c r="BL274" s="20">
        <v>0</v>
      </c>
      <c r="BM274" s="20">
        <v>0</v>
      </c>
      <c r="BN274" s="20" t="s">
        <v>3627</v>
      </c>
      <c r="BO274" s="111">
        <v>46256</v>
      </c>
      <c r="BP274" s="20">
        <v>0</v>
      </c>
    </row>
    <row r="275" spans="2:68">
      <c r="B275" s="20" t="s">
        <v>2165</v>
      </c>
      <c r="C275" s="20" t="s">
        <v>3058</v>
      </c>
      <c r="D275" s="20" t="s">
        <v>3628</v>
      </c>
      <c r="E275" s="20" t="s">
        <v>160</v>
      </c>
      <c r="F275" s="20" t="s">
        <v>17</v>
      </c>
      <c r="H275" s="20" t="s">
        <v>3629</v>
      </c>
      <c r="I275" s="20">
        <v>319</v>
      </c>
      <c r="J275" s="20">
        <v>319</v>
      </c>
      <c r="K275" s="20" t="s">
        <v>11</v>
      </c>
      <c r="L275" s="20">
        <v>319</v>
      </c>
      <c r="M275" s="20">
        <v>0</v>
      </c>
      <c r="N275" s="20">
        <v>319</v>
      </c>
      <c r="O275" s="20" t="s">
        <v>3493</v>
      </c>
      <c r="P275" s="20" t="s">
        <v>87</v>
      </c>
      <c r="Q275" s="20" t="s">
        <v>87</v>
      </c>
      <c r="R275" s="20" t="s">
        <v>3074</v>
      </c>
      <c r="S275" s="111" t="s">
        <v>3058</v>
      </c>
      <c r="T275" s="20" t="s">
        <v>206</v>
      </c>
      <c r="U275" s="20" t="s">
        <v>207</v>
      </c>
      <c r="V275" s="20" t="s">
        <v>3073</v>
      </c>
      <c r="W275" s="20">
        <v>176.86</v>
      </c>
      <c r="X275" s="20">
        <v>176.86</v>
      </c>
      <c r="Y275" s="20" t="s">
        <v>3074</v>
      </c>
      <c r="Z275" s="111" t="s">
        <v>3058</v>
      </c>
      <c r="AB275" s="20" t="s">
        <v>212</v>
      </c>
      <c r="AD275" s="20" t="s">
        <v>213</v>
      </c>
      <c r="AE275" s="20" t="s">
        <v>212</v>
      </c>
      <c r="AF275" s="20">
        <v>0</v>
      </c>
      <c r="AG275" s="20">
        <v>0</v>
      </c>
      <c r="AH275" s="20">
        <v>0</v>
      </c>
      <c r="AI275" s="20">
        <v>0</v>
      </c>
      <c r="AJ275" s="20">
        <v>0</v>
      </c>
      <c r="AK275" s="20" t="s">
        <v>576</v>
      </c>
      <c r="AL275" s="20">
        <v>0</v>
      </c>
      <c r="AM275" s="20">
        <v>0</v>
      </c>
      <c r="AN275" s="20">
        <v>0</v>
      </c>
      <c r="AO275" s="20">
        <v>0</v>
      </c>
      <c r="AP275" s="20">
        <v>0</v>
      </c>
      <c r="AR275" s="20">
        <v>0</v>
      </c>
      <c r="AS275" s="20">
        <v>0</v>
      </c>
      <c r="AT275" s="20">
        <v>276729.3</v>
      </c>
      <c r="AU275" s="20" t="s">
        <v>13</v>
      </c>
      <c r="AV275" s="20" t="s">
        <v>80</v>
      </c>
      <c r="AW275" s="20" t="s">
        <v>81</v>
      </c>
      <c r="AX275" s="20" t="s">
        <v>208</v>
      </c>
      <c r="AY275" s="20" t="s">
        <v>209</v>
      </c>
      <c r="AZ275" s="20">
        <v>0</v>
      </c>
      <c r="BA275" s="20">
        <v>56418.34</v>
      </c>
      <c r="BB275" s="20">
        <v>1194</v>
      </c>
      <c r="BC275" s="20" t="s">
        <v>3058</v>
      </c>
      <c r="BD275" s="20" t="s">
        <v>65</v>
      </c>
      <c r="BE275" s="20" t="s">
        <v>210</v>
      </c>
      <c r="BF275" s="20" t="s">
        <v>210</v>
      </c>
      <c r="BG275" s="20">
        <v>9</v>
      </c>
      <c r="BH275" s="20">
        <v>5077.6499999999996</v>
      </c>
      <c r="BI275" s="20">
        <v>9</v>
      </c>
      <c r="BJ275" s="20">
        <v>5077.6499999999996</v>
      </c>
      <c r="BK275" s="20">
        <v>0</v>
      </c>
      <c r="BL275" s="20">
        <v>0</v>
      </c>
      <c r="BM275" s="20">
        <v>276729.3</v>
      </c>
      <c r="BN275" s="20">
        <v>662168475867</v>
      </c>
      <c r="BO275" s="111">
        <v>46256</v>
      </c>
      <c r="BP275" s="20">
        <v>0</v>
      </c>
    </row>
    <row r="276" spans="2:68">
      <c r="B276" s="20" t="s">
        <v>2165</v>
      </c>
      <c r="C276" s="20" t="s">
        <v>3058</v>
      </c>
      <c r="D276" s="20" t="s">
        <v>3628</v>
      </c>
      <c r="E276" s="20" t="s">
        <v>160</v>
      </c>
      <c r="F276" s="20" t="s">
        <v>17</v>
      </c>
      <c r="H276" s="20" t="s">
        <v>3629</v>
      </c>
      <c r="I276" s="20">
        <v>1007</v>
      </c>
      <c r="J276" s="20">
        <v>1007</v>
      </c>
      <c r="K276" s="20" t="s">
        <v>11</v>
      </c>
      <c r="L276" s="20">
        <v>1007</v>
      </c>
      <c r="M276" s="20">
        <v>0</v>
      </c>
      <c r="N276" s="20">
        <v>1007</v>
      </c>
      <c r="O276" s="20" t="s">
        <v>3493</v>
      </c>
      <c r="P276" s="20" t="s">
        <v>87</v>
      </c>
      <c r="Q276" s="20" t="s">
        <v>87</v>
      </c>
      <c r="R276" s="20" t="s">
        <v>3074</v>
      </c>
      <c r="S276" s="111" t="s">
        <v>3058</v>
      </c>
      <c r="T276" s="20" t="s">
        <v>206</v>
      </c>
      <c r="U276" s="20" t="s">
        <v>207</v>
      </c>
      <c r="V276" s="20" t="s">
        <v>3073</v>
      </c>
      <c r="W276" s="20">
        <v>176.86</v>
      </c>
      <c r="X276" s="20">
        <v>176.86</v>
      </c>
      <c r="Y276" s="20" t="s">
        <v>3074</v>
      </c>
      <c r="Z276" s="111" t="s">
        <v>3058</v>
      </c>
      <c r="AB276" s="20" t="s">
        <v>212</v>
      </c>
      <c r="AD276" s="20" t="s">
        <v>213</v>
      </c>
      <c r="AE276" s="20" t="s">
        <v>212</v>
      </c>
      <c r="AF276" s="20">
        <v>0</v>
      </c>
      <c r="AG276" s="20">
        <v>0</v>
      </c>
      <c r="AH276" s="20">
        <v>0</v>
      </c>
      <c r="AI276" s="20">
        <v>0</v>
      </c>
      <c r="AJ276" s="20">
        <v>0</v>
      </c>
      <c r="AK276" s="20" t="s">
        <v>576</v>
      </c>
      <c r="AL276" s="20">
        <v>0</v>
      </c>
      <c r="AM276" s="20">
        <v>0</v>
      </c>
      <c r="AN276" s="20">
        <v>0</v>
      </c>
      <c r="AO276" s="20">
        <v>0</v>
      </c>
      <c r="AP276" s="20">
        <v>0</v>
      </c>
      <c r="AR276" s="20">
        <v>0</v>
      </c>
      <c r="AS276" s="20">
        <v>0</v>
      </c>
      <c r="AT276" s="20">
        <v>276729.3</v>
      </c>
      <c r="AU276" s="20" t="s">
        <v>13</v>
      </c>
      <c r="AV276" s="20" t="s">
        <v>80</v>
      </c>
      <c r="AW276" s="20" t="s">
        <v>81</v>
      </c>
      <c r="AX276" s="20" t="s">
        <v>208</v>
      </c>
      <c r="AY276" s="20" t="s">
        <v>209</v>
      </c>
      <c r="AZ276" s="20">
        <v>0</v>
      </c>
      <c r="BA276" s="20">
        <v>178098.02</v>
      </c>
      <c r="BB276" s="20">
        <v>1194</v>
      </c>
      <c r="BC276" s="20" t="s">
        <v>3058</v>
      </c>
      <c r="BD276" s="20" t="s">
        <v>65</v>
      </c>
      <c r="BE276" s="20" t="s">
        <v>210</v>
      </c>
      <c r="BF276" s="20" t="s">
        <v>210</v>
      </c>
      <c r="BG276" s="20">
        <v>9</v>
      </c>
      <c r="BH276" s="20">
        <v>16028.82</v>
      </c>
      <c r="BI276" s="20">
        <v>9</v>
      </c>
      <c r="BJ276" s="20">
        <v>16028.82</v>
      </c>
      <c r="BK276" s="20">
        <v>0</v>
      </c>
      <c r="BL276" s="20">
        <v>0</v>
      </c>
      <c r="BM276" s="20">
        <v>0</v>
      </c>
      <c r="BN276" s="20">
        <v>662168475867</v>
      </c>
      <c r="BO276" s="111">
        <v>46256</v>
      </c>
      <c r="BP276" s="20">
        <v>0</v>
      </c>
    </row>
    <row r="277" spans="2:68">
      <c r="B277" s="20" t="s">
        <v>2165</v>
      </c>
      <c r="C277" s="20" t="s">
        <v>3083</v>
      </c>
      <c r="D277" s="20" t="s">
        <v>3630</v>
      </c>
      <c r="E277" s="20" t="s">
        <v>160</v>
      </c>
      <c r="F277" s="20" t="s">
        <v>17</v>
      </c>
      <c r="H277" s="20" t="s">
        <v>3631</v>
      </c>
      <c r="I277" s="20">
        <v>1350</v>
      </c>
      <c r="J277" s="20">
        <v>1350</v>
      </c>
      <c r="K277" s="20" t="s">
        <v>11</v>
      </c>
      <c r="L277" s="20">
        <v>1350</v>
      </c>
      <c r="M277" s="20">
        <v>0</v>
      </c>
      <c r="N277" s="20">
        <v>1350</v>
      </c>
      <c r="O277" s="20" t="s">
        <v>2397</v>
      </c>
      <c r="P277" s="20" t="s">
        <v>87</v>
      </c>
      <c r="Q277" s="20" t="s">
        <v>87</v>
      </c>
      <c r="R277" s="20" t="s">
        <v>3087</v>
      </c>
      <c r="S277" s="111" t="s">
        <v>3058</v>
      </c>
      <c r="T277" s="20" t="s">
        <v>206</v>
      </c>
      <c r="U277" s="20" t="s">
        <v>207</v>
      </c>
      <c r="V277" s="20" t="s">
        <v>3086</v>
      </c>
      <c r="W277" s="20">
        <v>176.86</v>
      </c>
      <c r="X277" s="20">
        <v>176.86</v>
      </c>
      <c r="Y277" s="20" t="s">
        <v>3087</v>
      </c>
      <c r="Z277" s="111" t="s">
        <v>3058</v>
      </c>
      <c r="AB277" s="20" t="s">
        <v>212</v>
      </c>
      <c r="AD277" s="20" t="s">
        <v>213</v>
      </c>
      <c r="AE277" s="20" t="s">
        <v>212</v>
      </c>
      <c r="AF277" s="20">
        <v>0</v>
      </c>
      <c r="AG277" s="20">
        <v>0</v>
      </c>
      <c r="AH277" s="20">
        <v>0</v>
      </c>
      <c r="AI277" s="20">
        <v>0</v>
      </c>
      <c r="AJ277" s="20">
        <v>0</v>
      </c>
      <c r="AK277" s="20" t="s">
        <v>576</v>
      </c>
      <c r="AL277" s="20">
        <v>0</v>
      </c>
      <c r="AM277" s="20">
        <v>0</v>
      </c>
      <c r="AN277" s="20">
        <v>0</v>
      </c>
      <c r="AO277" s="20">
        <v>0</v>
      </c>
      <c r="AP277" s="20">
        <v>0</v>
      </c>
      <c r="AR277" s="20">
        <v>0</v>
      </c>
      <c r="AS277" s="20">
        <v>0</v>
      </c>
      <c r="AT277" s="20">
        <v>281737.98</v>
      </c>
      <c r="AU277" s="20" t="s">
        <v>13</v>
      </c>
      <c r="AV277" s="20" t="s">
        <v>80</v>
      </c>
      <c r="AW277" s="20" t="s">
        <v>81</v>
      </c>
      <c r="AX277" s="20" t="s">
        <v>208</v>
      </c>
      <c r="AY277" s="20" t="s">
        <v>209</v>
      </c>
      <c r="AZ277" s="20">
        <v>0</v>
      </c>
      <c r="BA277" s="20">
        <v>238761</v>
      </c>
      <c r="BB277" s="20">
        <v>1195</v>
      </c>
      <c r="BC277" s="20" t="s">
        <v>3083</v>
      </c>
      <c r="BD277" s="20" t="s">
        <v>65</v>
      </c>
      <c r="BE277" s="20" t="s">
        <v>210</v>
      </c>
      <c r="BF277" s="20" t="s">
        <v>210</v>
      </c>
      <c r="BG277" s="20">
        <v>9</v>
      </c>
      <c r="BH277" s="20">
        <v>21488.49</v>
      </c>
      <c r="BI277" s="20">
        <v>9</v>
      </c>
      <c r="BJ277" s="20">
        <v>21488.49</v>
      </c>
      <c r="BK277" s="20">
        <v>0</v>
      </c>
      <c r="BL277" s="20">
        <v>0</v>
      </c>
      <c r="BM277" s="20">
        <v>281737.98</v>
      </c>
      <c r="BN277" s="20">
        <v>632168445270</v>
      </c>
      <c r="BO277" s="111">
        <v>46256</v>
      </c>
      <c r="BP277" s="20">
        <v>0</v>
      </c>
    </row>
    <row r="278" spans="2:68">
      <c r="B278" s="20" t="s">
        <v>2165</v>
      </c>
      <c r="C278" s="20" t="s">
        <v>3083</v>
      </c>
      <c r="D278" s="20" t="s">
        <v>3632</v>
      </c>
      <c r="E278" s="20" t="s">
        <v>18</v>
      </c>
      <c r="F278" s="20" t="s">
        <v>19</v>
      </c>
      <c r="H278" s="20" t="s">
        <v>3633</v>
      </c>
      <c r="I278" s="20">
        <v>976</v>
      </c>
      <c r="J278" s="20">
        <v>976</v>
      </c>
      <c r="K278" s="20" t="s">
        <v>11</v>
      </c>
      <c r="L278" s="20">
        <v>976</v>
      </c>
      <c r="M278" s="20">
        <v>0</v>
      </c>
      <c r="N278" s="20">
        <v>976</v>
      </c>
      <c r="O278" s="20" t="s">
        <v>3577</v>
      </c>
      <c r="P278" s="20" t="s">
        <v>87</v>
      </c>
      <c r="Q278" s="20" t="s">
        <v>87</v>
      </c>
      <c r="R278" s="20" t="s">
        <v>3089</v>
      </c>
      <c r="S278" s="111" t="s">
        <v>3083</v>
      </c>
      <c r="T278" s="20" t="s">
        <v>206</v>
      </c>
      <c r="U278" s="20" t="s">
        <v>207</v>
      </c>
      <c r="V278" s="20" t="s">
        <v>3088</v>
      </c>
      <c r="W278" s="20">
        <v>144.32</v>
      </c>
      <c r="X278" s="20">
        <v>144.32</v>
      </c>
      <c r="Y278" s="20" t="s">
        <v>3089</v>
      </c>
      <c r="Z278" s="111" t="s">
        <v>3083</v>
      </c>
      <c r="AB278" s="20" t="s">
        <v>212</v>
      </c>
      <c r="AD278" s="20" t="s">
        <v>213</v>
      </c>
      <c r="AE278" s="20" t="s">
        <v>212</v>
      </c>
      <c r="AF278" s="20">
        <v>0</v>
      </c>
      <c r="AG278" s="20">
        <v>0</v>
      </c>
      <c r="AH278" s="20">
        <v>0</v>
      </c>
      <c r="AI278" s="20">
        <v>0</v>
      </c>
      <c r="AJ278" s="20">
        <v>0</v>
      </c>
      <c r="AK278" s="20" t="s">
        <v>576</v>
      </c>
      <c r="AL278" s="20">
        <v>0</v>
      </c>
      <c r="AM278" s="20">
        <v>0</v>
      </c>
      <c r="AN278" s="20">
        <v>0</v>
      </c>
      <c r="AO278" s="20">
        <v>0</v>
      </c>
      <c r="AP278" s="20">
        <v>0</v>
      </c>
      <c r="AR278" s="20">
        <v>0</v>
      </c>
      <c r="AS278" s="20">
        <v>0</v>
      </c>
      <c r="AT278" s="20">
        <v>2280986.08</v>
      </c>
      <c r="AU278" s="20" t="s">
        <v>13</v>
      </c>
      <c r="AV278" s="20" t="s">
        <v>62</v>
      </c>
      <c r="AW278" s="20" t="s">
        <v>63</v>
      </c>
      <c r="AX278" s="20" t="s">
        <v>208</v>
      </c>
      <c r="AY278" s="20" t="s">
        <v>209</v>
      </c>
      <c r="AZ278" s="20">
        <v>0</v>
      </c>
      <c r="BA278" s="20">
        <v>140856.32000000001</v>
      </c>
      <c r="BB278" s="20">
        <v>1197</v>
      </c>
      <c r="BC278" s="20" t="s">
        <v>3083</v>
      </c>
      <c r="BD278" s="20" t="s">
        <v>65</v>
      </c>
      <c r="BE278" s="20" t="s">
        <v>210</v>
      </c>
      <c r="BF278" s="20" t="s">
        <v>210</v>
      </c>
      <c r="BG278" s="20">
        <v>9</v>
      </c>
      <c r="BH278" s="20">
        <v>12677.07</v>
      </c>
      <c r="BI278" s="20">
        <v>9</v>
      </c>
      <c r="BJ278" s="20">
        <v>12677.07</v>
      </c>
      <c r="BK278" s="20">
        <v>0</v>
      </c>
      <c r="BL278" s="20">
        <v>0</v>
      </c>
      <c r="BM278" s="20">
        <v>2280986.08</v>
      </c>
      <c r="BN278" s="20">
        <v>652168680905</v>
      </c>
      <c r="BO278" s="111">
        <v>46257</v>
      </c>
      <c r="BP278" s="20">
        <v>0</v>
      </c>
    </row>
    <row r="279" spans="2:68">
      <c r="B279" s="20" t="s">
        <v>2165</v>
      </c>
      <c r="C279" s="20" t="s">
        <v>3083</v>
      </c>
      <c r="D279" s="20" t="s">
        <v>3632</v>
      </c>
      <c r="E279" s="20" t="s">
        <v>18</v>
      </c>
      <c r="F279" s="20" t="s">
        <v>19</v>
      </c>
      <c r="H279" s="20" t="s">
        <v>3633</v>
      </c>
      <c r="I279" s="20">
        <v>1026</v>
      </c>
      <c r="J279" s="20">
        <v>1026</v>
      </c>
      <c r="K279" s="20" t="s">
        <v>11</v>
      </c>
      <c r="L279" s="20">
        <v>1026</v>
      </c>
      <c r="M279" s="20">
        <v>0</v>
      </c>
      <c r="N279" s="20">
        <v>1026</v>
      </c>
      <c r="O279" s="20" t="s">
        <v>3577</v>
      </c>
      <c r="P279" s="20" t="s">
        <v>87</v>
      </c>
      <c r="Q279" s="20" t="s">
        <v>87</v>
      </c>
      <c r="R279" s="20" t="s">
        <v>3089</v>
      </c>
      <c r="S279" s="111" t="s">
        <v>3083</v>
      </c>
      <c r="T279" s="20" t="s">
        <v>206</v>
      </c>
      <c r="U279" s="20" t="s">
        <v>207</v>
      </c>
      <c r="V279" s="20" t="s">
        <v>3088</v>
      </c>
      <c r="W279" s="20">
        <v>145.32</v>
      </c>
      <c r="X279" s="20">
        <v>145.32</v>
      </c>
      <c r="Y279" s="20" t="s">
        <v>3089</v>
      </c>
      <c r="Z279" s="111" t="s">
        <v>3083</v>
      </c>
      <c r="AB279" s="20" t="s">
        <v>212</v>
      </c>
      <c r="AD279" s="20" t="s">
        <v>213</v>
      </c>
      <c r="AE279" s="20" t="s">
        <v>212</v>
      </c>
      <c r="AF279" s="20">
        <v>0</v>
      </c>
      <c r="AG279" s="20">
        <v>0</v>
      </c>
      <c r="AH279" s="20">
        <v>0</v>
      </c>
      <c r="AI279" s="20">
        <v>0</v>
      </c>
      <c r="AJ279" s="20">
        <v>0</v>
      </c>
      <c r="AK279" s="20" t="s">
        <v>576</v>
      </c>
      <c r="AL279" s="20">
        <v>0</v>
      </c>
      <c r="AM279" s="20">
        <v>0</v>
      </c>
      <c r="AN279" s="20">
        <v>0</v>
      </c>
      <c r="AO279" s="20">
        <v>0</v>
      </c>
      <c r="AP279" s="20">
        <v>0</v>
      </c>
      <c r="AR279" s="20">
        <v>0</v>
      </c>
      <c r="AS279" s="20">
        <v>0</v>
      </c>
      <c r="AT279" s="20">
        <v>2280986.08</v>
      </c>
      <c r="AU279" s="20" t="s">
        <v>13</v>
      </c>
      <c r="AV279" s="20" t="s">
        <v>62</v>
      </c>
      <c r="AW279" s="20" t="s">
        <v>63</v>
      </c>
      <c r="AX279" s="20" t="s">
        <v>208</v>
      </c>
      <c r="AY279" s="20" t="s">
        <v>209</v>
      </c>
      <c r="AZ279" s="20">
        <v>0</v>
      </c>
      <c r="BA279" s="20">
        <v>149098.32</v>
      </c>
      <c r="BB279" s="20">
        <v>1197</v>
      </c>
      <c r="BC279" s="20" t="s">
        <v>3083</v>
      </c>
      <c r="BD279" s="20" t="s">
        <v>65</v>
      </c>
      <c r="BE279" s="20" t="s">
        <v>210</v>
      </c>
      <c r="BF279" s="20" t="s">
        <v>210</v>
      </c>
      <c r="BG279" s="20">
        <v>9</v>
      </c>
      <c r="BH279" s="20">
        <v>13418.85</v>
      </c>
      <c r="BI279" s="20">
        <v>9</v>
      </c>
      <c r="BJ279" s="20">
        <v>13418.85</v>
      </c>
      <c r="BK279" s="20">
        <v>0</v>
      </c>
      <c r="BL279" s="20">
        <v>0</v>
      </c>
      <c r="BM279" s="20">
        <v>0</v>
      </c>
      <c r="BN279" s="20">
        <v>652168680905</v>
      </c>
      <c r="BO279" s="111">
        <v>46257</v>
      </c>
      <c r="BP279" s="20">
        <v>0</v>
      </c>
    </row>
    <row r="280" spans="2:68">
      <c r="B280" s="20" t="s">
        <v>2165</v>
      </c>
      <c r="C280" s="20" t="s">
        <v>3083</v>
      </c>
      <c r="D280" s="20" t="s">
        <v>3632</v>
      </c>
      <c r="E280" s="20" t="s">
        <v>18</v>
      </c>
      <c r="F280" s="20" t="s">
        <v>19</v>
      </c>
      <c r="H280" s="20" t="s">
        <v>3633</v>
      </c>
      <c r="I280" s="20">
        <v>11545</v>
      </c>
      <c r="J280" s="20">
        <v>11545</v>
      </c>
      <c r="K280" s="20" t="s">
        <v>11</v>
      </c>
      <c r="L280" s="20">
        <v>11545</v>
      </c>
      <c r="M280" s="20">
        <v>0</v>
      </c>
      <c r="N280" s="20">
        <v>11545</v>
      </c>
      <c r="O280" s="20" t="s">
        <v>3577</v>
      </c>
      <c r="P280" s="20" t="s">
        <v>87</v>
      </c>
      <c r="Q280" s="20" t="s">
        <v>87</v>
      </c>
      <c r="R280" s="20" t="s">
        <v>3089</v>
      </c>
      <c r="S280" s="111" t="s">
        <v>3083</v>
      </c>
      <c r="T280" s="20" t="s">
        <v>206</v>
      </c>
      <c r="U280" s="20" t="s">
        <v>207</v>
      </c>
      <c r="V280" s="20" t="s">
        <v>3088</v>
      </c>
      <c r="W280" s="20">
        <v>142.32</v>
      </c>
      <c r="X280" s="20">
        <v>142.32</v>
      </c>
      <c r="Y280" s="20" t="s">
        <v>3089</v>
      </c>
      <c r="Z280" s="111" t="s">
        <v>3083</v>
      </c>
      <c r="AB280" s="20" t="s">
        <v>212</v>
      </c>
      <c r="AD280" s="20" t="s">
        <v>213</v>
      </c>
      <c r="AE280" s="20" t="s">
        <v>212</v>
      </c>
      <c r="AF280" s="20">
        <v>0</v>
      </c>
      <c r="AG280" s="20">
        <v>0</v>
      </c>
      <c r="AH280" s="20">
        <v>0</v>
      </c>
      <c r="AI280" s="20">
        <v>0</v>
      </c>
      <c r="AJ280" s="20">
        <v>0</v>
      </c>
      <c r="AK280" s="20" t="s">
        <v>576</v>
      </c>
      <c r="AL280" s="20">
        <v>0</v>
      </c>
      <c r="AM280" s="20">
        <v>0</v>
      </c>
      <c r="AN280" s="20">
        <v>0</v>
      </c>
      <c r="AO280" s="20">
        <v>0</v>
      </c>
      <c r="AP280" s="20">
        <v>0</v>
      </c>
      <c r="AR280" s="20">
        <v>0</v>
      </c>
      <c r="AS280" s="20">
        <v>0</v>
      </c>
      <c r="AT280" s="20">
        <v>2280986.08</v>
      </c>
      <c r="AU280" s="20" t="s">
        <v>13</v>
      </c>
      <c r="AV280" s="20" t="s">
        <v>62</v>
      </c>
      <c r="AW280" s="20" t="s">
        <v>63</v>
      </c>
      <c r="AX280" s="20" t="s">
        <v>208</v>
      </c>
      <c r="AY280" s="20" t="s">
        <v>209</v>
      </c>
      <c r="AZ280" s="20">
        <v>0</v>
      </c>
      <c r="BA280" s="20">
        <v>1643084.4</v>
      </c>
      <c r="BB280" s="20">
        <v>1197</v>
      </c>
      <c r="BC280" s="20" t="s">
        <v>3083</v>
      </c>
      <c r="BD280" s="20" t="s">
        <v>65</v>
      </c>
      <c r="BE280" s="20" t="s">
        <v>210</v>
      </c>
      <c r="BF280" s="20" t="s">
        <v>210</v>
      </c>
      <c r="BG280" s="20">
        <v>9</v>
      </c>
      <c r="BH280" s="20">
        <v>147877.6</v>
      </c>
      <c r="BI280" s="20">
        <v>9</v>
      </c>
      <c r="BJ280" s="20">
        <v>147877.6</v>
      </c>
      <c r="BK280" s="20">
        <v>0</v>
      </c>
      <c r="BL280" s="20">
        <v>0</v>
      </c>
      <c r="BM280" s="20">
        <v>0</v>
      </c>
      <c r="BN280" s="20">
        <v>652168680905</v>
      </c>
      <c r="BO280" s="111">
        <v>46257</v>
      </c>
      <c r="BP280" s="20">
        <v>0</v>
      </c>
    </row>
    <row r="281" spans="2:68">
      <c r="B281" s="20" t="s">
        <v>2165</v>
      </c>
      <c r="C281" s="20" t="s">
        <v>3083</v>
      </c>
      <c r="D281" s="20" t="s">
        <v>3634</v>
      </c>
      <c r="E281" s="20" t="s">
        <v>211</v>
      </c>
      <c r="F281" s="20" t="s">
        <v>16</v>
      </c>
      <c r="H281" s="20" t="s">
        <v>3635</v>
      </c>
      <c r="I281" s="20">
        <v>401</v>
      </c>
      <c r="J281" s="20">
        <v>401</v>
      </c>
      <c r="K281" s="20" t="s">
        <v>11</v>
      </c>
      <c r="L281" s="20">
        <v>401</v>
      </c>
      <c r="M281" s="20">
        <v>0</v>
      </c>
      <c r="N281" s="20">
        <v>401</v>
      </c>
      <c r="O281" s="20" t="s">
        <v>2154</v>
      </c>
      <c r="P281" s="20" t="s">
        <v>87</v>
      </c>
      <c r="Q281" s="20" t="s">
        <v>87</v>
      </c>
      <c r="R281" s="20" t="s">
        <v>3091</v>
      </c>
      <c r="S281" s="111" t="s">
        <v>3083</v>
      </c>
      <c r="T281" s="20" t="s">
        <v>206</v>
      </c>
      <c r="U281" s="20" t="s">
        <v>207</v>
      </c>
      <c r="V281" s="20" t="s">
        <v>3090</v>
      </c>
      <c r="W281" s="20">
        <v>210.3</v>
      </c>
      <c r="X281" s="20">
        <v>210.3</v>
      </c>
      <c r="Y281" s="20" t="s">
        <v>3091</v>
      </c>
      <c r="Z281" s="111" t="s">
        <v>3083</v>
      </c>
      <c r="AB281" s="20" t="s">
        <v>212</v>
      </c>
      <c r="AD281" s="20" t="s">
        <v>213</v>
      </c>
      <c r="AE281" s="20" t="s">
        <v>212</v>
      </c>
      <c r="AF281" s="20">
        <v>0</v>
      </c>
      <c r="AG281" s="20">
        <v>0</v>
      </c>
      <c r="AH281" s="20">
        <v>0</v>
      </c>
      <c r="AI281" s="20">
        <v>0</v>
      </c>
      <c r="AJ281" s="20">
        <v>0</v>
      </c>
      <c r="AK281" s="20" t="s">
        <v>576</v>
      </c>
      <c r="AL281" s="20">
        <v>0</v>
      </c>
      <c r="AM281" s="20">
        <v>0</v>
      </c>
      <c r="AN281" s="20">
        <v>0</v>
      </c>
      <c r="AO281" s="20">
        <v>0</v>
      </c>
      <c r="AP281" s="20">
        <v>0</v>
      </c>
      <c r="AR281" s="20">
        <v>0</v>
      </c>
      <c r="AS281" s="20">
        <v>0</v>
      </c>
      <c r="AT281" s="20">
        <v>99509.759999999995</v>
      </c>
      <c r="AU281" s="20" t="s">
        <v>15</v>
      </c>
      <c r="AV281" s="20" t="s">
        <v>57</v>
      </c>
      <c r="AW281" s="20" t="s">
        <v>57</v>
      </c>
      <c r="AX281" s="20" t="s">
        <v>15</v>
      </c>
      <c r="AY281" s="20" t="s">
        <v>209</v>
      </c>
      <c r="AZ281" s="20">
        <v>0</v>
      </c>
      <c r="BA281" s="20">
        <v>84330.3</v>
      </c>
      <c r="BB281" s="20">
        <v>1198</v>
      </c>
      <c r="BC281" s="20" t="s">
        <v>3083</v>
      </c>
      <c r="BD281" s="20" t="s">
        <v>65</v>
      </c>
      <c r="BE281" s="20" t="s">
        <v>210</v>
      </c>
      <c r="BF281" s="20" t="s">
        <v>210</v>
      </c>
      <c r="BG281" s="20">
        <v>9</v>
      </c>
      <c r="BH281" s="20">
        <v>7589.73</v>
      </c>
      <c r="BI281" s="20">
        <v>9</v>
      </c>
      <c r="BJ281" s="20">
        <v>7589.73</v>
      </c>
      <c r="BK281" s="20">
        <v>0</v>
      </c>
      <c r="BL281" s="20">
        <v>0</v>
      </c>
      <c r="BM281" s="20">
        <v>99509.759999999995</v>
      </c>
      <c r="BN281" s="20">
        <v>612168686521</v>
      </c>
      <c r="BO281" s="111">
        <v>46257</v>
      </c>
      <c r="BP281" s="20">
        <v>0</v>
      </c>
    </row>
    <row r="282" spans="2:68">
      <c r="B282" s="20" t="s">
        <v>2165</v>
      </c>
      <c r="C282" s="20" t="s">
        <v>3083</v>
      </c>
      <c r="D282" s="20" t="s">
        <v>3636</v>
      </c>
      <c r="E282" s="20" t="s">
        <v>160</v>
      </c>
      <c r="F282" s="20" t="s">
        <v>17</v>
      </c>
      <c r="H282" s="20" t="s">
        <v>3637</v>
      </c>
      <c r="I282" s="20">
        <v>2697</v>
      </c>
      <c r="J282" s="20">
        <v>2697</v>
      </c>
      <c r="K282" s="20" t="s">
        <v>11</v>
      </c>
      <c r="L282" s="20">
        <v>2697</v>
      </c>
      <c r="M282" s="20">
        <v>0</v>
      </c>
      <c r="N282" s="20">
        <v>2697</v>
      </c>
      <c r="O282" s="20" t="s">
        <v>2156</v>
      </c>
      <c r="P282" s="20" t="s">
        <v>87</v>
      </c>
      <c r="Q282" s="20" t="s">
        <v>87</v>
      </c>
      <c r="R282" s="20" t="s">
        <v>3093</v>
      </c>
      <c r="S282" s="20" t="s">
        <v>3083</v>
      </c>
      <c r="T282" s="20" t="s">
        <v>206</v>
      </c>
      <c r="U282" s="20" t="s">
        <v>207</v>
      </c>
      <c r="V282" s="20" t="s">
        <v>3092</v>
      </c>
      <c r="W282" s="20">
        <v>176.86</v>
      </c>
      <c r="X282" s="20">
        <v>176.86</v>
      </c>
      <c r="Y282" s="20" t="s">
        <v>3093</v>
      </c>
      <c r="Z282" s="20" t="s">
        <v>3083</v>
      </c>
      <c r="AB282" s="20" t="s">
        <v>212</v>
      </c>
      <c r="AD282" s="20" t="s">
        <v>213</v>
      </c>
      <c r="AE282" s="20" t="s">
        <v>212</v>
      </c>
      <c r="AF282" s="20">
        <v>0</v>
      </c>
      <c r="AG282" s="20">
        <v>0</v>
      </c>
      <c r="AH282" s="20">
        <v>0</v>
      </c>
      <c r="AI282" s="20">
        <v>0</v>
      </c>
      <c r="AJ282" s="20">
        <v>0</v>
      </c>
      <c r="AK282" s="20" t="s">
        <v>576</v>
      </c>
      <c r="AL282" s="20">
        <v>0</v>
      </c>
      <c r="AM282" s="20">
        <v>0</v>
      </c>
      <c r="AN282" s="20">
        <v>0</v>
      </c>
      <c r="AO282" s="20">
        <v>0</v>
      </c>
      <c r="AP282" s="20">
        <v>0</v>
      </c>
      <c r="AR282" s="20">
        <v>0</v>
      </c>
      <c r="AS282" s="20">
        <v>0</v>
      </c>
      <c r="AT282" s="20">
        <v>562849.88</v>
      </c>
      <c r="AU282" s="20" t="s">
        <v>13</v>
      </c>
      <c r="AV282" s="20" t="s">
        <v>80</v>
      </c>
      <c r="AW282" s="20" t="s">
        <v>81</v>
      </c>
      <c r="AX282" s="20" t="s">
        <v>208</v>
      </c>
      <c r="AY282" s="20" t="s">
        <v>209</v>
      </c>
      <c r="AZ282" s="20">
        <v>0</v>
      </c>
      <c r="BA282" s="20">
        <v>476991.42</v>
      </c>
      <c r="BB282" s="20">
        <v>1199</v>
      </c>
      <c r="BC282" s="20" t="s">
        <v>3083</v>
      </c>
      <c r="BD282" s="20" t="s">
        <v>65</v>
      </c>
      <c r="BE282" s="20" t="s">
        <v>210</v>
      </c>
      <c r="BF282" s="20" t="s">
        <v>210</v>
      </c>
      <c r="BG282" s="20">
        <v>9</v>
      </c>
      <c r="BH282" s="20">
        <v>42929.23</v>
      </c>
      <c r="BI282" s="20">
        <v>9</v>
      </c>
      <c r="BJ282" s="20">
        <v>42929.23</v>
      </c>
      <c r="BK282" s="20">
        <v>0</v>
      </c>
      <c r="BL282" s="20">
        <v>0</v>
      </c>
      <c r="BM282" s="20">
        <v>562849.88</v>
      </c>
      <c r="BN282" s="20">
        <v>682168694509</v>
      </c>
      <c r="BO282" s="111">
        <v>46257</v>
      </c>
      <c r="BP282" s="20">
        <v>0</v>
      </c>
    </row>
    <row r="283" spans="2:68">
      <c r="B283" s="20" t="s">
        <v>2165</v>
      </c>
      <c r="C283" s="20" t="s">
        <v>3083</v>
      </c>
      <c r="D283" s="20" t="s">
        <v>3638</v>
      </c>
      <c r="E283" s="20" t="s">
        <v>160</v>
      </c>
      <c r="F283" s="20" t="s">
        <v>17</v>
      </c>
      <c r="H283" s="20" t="s">
        <v>3639</v>
      </c>
      <c r="I283" s="20">
        <v>1.2</v>
      </c>
      <c r="J283" s="20">
        <v>1.2</v>
      </c>
      <c r="K283" s="20" t="s">
        <v>11</v>
      </c>
      <c r="L283" s="20">
        <v>1.2</v>
      </c>
      <c r="M283" s="20">
        <v>0</v>
      </c>
      <c r="N283" s="20">
        <v>1.2</v>
      </c>
      <c r="O283" s="20" t="s">
        <v>2156</v>
      </c>
      <c r="P283" s="20" t="s">
        <v>87</v>
      </c>
      <c r="Q283" s="20" t="s">
        <v>87</v>
      </c>
      <c r="R283" s="20" t="s">
        <v>3095</v>
      </c>
      <c r="S283" s="20" t="s">
        <v>3083</v>
      </c>
      <c r="T283" s="20" t="s">
        <v>206</v>
      </c>
      <c r="U283" s="20" t="s">
        <v>207</v>
      </c>
      <c r="V283" s="20" t="s">
        <v>3094</v>
      </c>
      <c r="W283" s="20">
        <v>176.86</v>
      </c>
      <c r="X283" s="20">
        <v>176.85999913424001</v>
      </c>
      <c r="Y283" s="20" t="s">
        <v>3095</v>
      </c>
      <c r="Z283" s="20" t="s">
        <v>3083</v>
      </c>
      <c r="AB283" s="20" t="s">
        <v>212</v>
      </c>
      <c r="AD283" s="20" t="s">
        <v>213</v>
      </c>
      <c r="AE283" s="20" t="s">
        <v>212</v>
      </c>
      <c r="AF283" s="20">
        <v>0</v>
      </c>
      <c r="AG283" s="20">
        <v>0</v>
      </c>
      <c r="AH283" s="20">
        <v>0</v>
      </c>
      <c r="AI283" s="20">
        <v>0</v>
      </c>
      <c r="AJ283" s="20">
        <v>0</v>
      </c>
      <c r="AK283" s="20" t="s">
        <v>576</v>
      </c>
      <c r="AL283" s="20">
        <v>0</v>
      </c>
      <c r="AM283" s="20">
        <v>0</v>
      </c>
      <c r="AN283" s="20">
        <v>0</v>
      </c>
      <c r="AO283" s="20">
        <v>0</v>
      </c>
      <c r="AP283" s="20">
        <v>0</v>
      </c>
      <c r="AR283" s="20">
        <v>0</v>
      </c>
      <c r="AS283" s="20">
        <v>0</v>
      </c>
      <c r="AT283" s="20">
        <v>817131.78</v>
      </c>
      <c r="AU283" s="20" t="s">
        <v>13</v>
      </c>
      <c r="AV283" s="20" t="s">
        <v>80</v>
      </c>
      <c r="AW283" s="20" t="s">
        <v>81</v>
      </c>
      <c r="AX283" s="20" t="s">
        <v>208</v>
      </c>
      <c r="AY283" s="20" t="s">
        <v>209</v>
      </c>
      <c r="AZ283" s="20">
        <v>0</v>
      </c>
      <c r="BA283" s="20">
        <v>212.23</v>
      </c>
      <c r="BB283" s="20">
        <v>1200</v>
      </c>
      <c r="BC283" s="20" t="s">
        <v>3083</v>
      </c>
      <c r="BD283" s="20" t="s">
        <v>65</v>
      </c>
      <c r="BE283" s="20" t="s">
        <v>210</v>
      </c>
      <c r="BF283" s="20" t="s">
        <v>210</v>
      </c>
      <c r="BG283" s="20">
        <v>9</v>
      </c>
      <c r="BH283" s="20">
        <v>19.100000000000001</v>
      </c>
      <c r="BI283" s="20">
        <v>9</v>
      </c>
      <c r="BJ283" s="20">
        <v>19.100000000000001</v>
      </c>
      <c r="BK283" s="20">
        <v>0</v>
      </c>
      <c r="BL283" s="20">
        <v>0</v>
      </c>
      <c r="BM283" s="20">
        <v>817131.78</v>
      </c>
      <c r="BN283" s="20">
        <v>602168768970</v>
      </c>
      <c r="BO283" s="111">
        <v>46257</v>
      </c>
      <c r="BP283" s="20">
        <v>0</v>
      </c>
    </row>
    <row r="284" spans="2:68">
      <c r="B284" s="20" t="s">
        <v>2165</v>
      </c>
      <c r="C284" s="20" t="s">
        <v>3083</v>
      </c>
      <c r="D284" s="20" t="s">
        <v>3638</v>
      </c>
      <c r="E284" s="20" t="s">
        <v>20</v>
      </c>
      <c r="F284" s="20" t="s">
        <v>21</v>
      </c>
      <c r="H284" s="20" t="s">
        <v>3639</v>
      </c>
      <c r="I284" s="20">
        <v>335</v>
      </c>
      <c r="J284" s="20">
        <v>335</v>
      </c>
      <c r="K284" s="20" t="s">
        <v>11</v>
      </c>
      <c r="L284" s="20">
        <v>335</v>
      </c>
      <c r="M284" s="20">
        <v>0</v>
      </c>
      <c r="N284" s="20">
        <v>335</v>
      </c>
      <c r="O284" s="20" t="s">
        <v>2156</v>
      </c>
      <c r="P284" s="20" t="s">
        <v>87</v>
      </c>
      <c r="Q284" s="20" t="s">
        <v>87</v>
      </c>
      <c r="R284" s="20" t="s">
        <v>3095</v>
      </c>
      <c r="S284" s="20" t="s">
        <v>3083</v>
      </c>
      <c r="T284" s="20" t="s">
        <v>206</v>
      </c>
      <c r="U284" s="20" t="s">
        <v>207</v>
      </c>
      <c r="V284" s="20" t="s">
        <v>3094</v>
      </c>
      <c r="W284" s="20">
        <v>144.32</v>
      </c>
      <c r="X284" s="20">
        <v>144.31999929352901</v>
      </c>
      <c r="Y284" s="20" t="s">
        <v>3095</v>
      </c>
      <c r="Z284" s="20" t="s">
        <v>3083</v>
      </c>
      <c r="AB284" s="20" t="s">
        <v>212</v>
      </c>
      <c r="AD284" s="20" t="s">
        <v>213</v>
      </c>
      <c r="AE284" s="20" t="s">
        <v>212</v>
      </c>
      <c r="AF284" s="20">
        <v>0</v>
      </c>
      <c r="AG284" s="20">
        <v>0</v>
      </c>
      <c r="AH284" s="20">
        <v>0</v>
      </c>
      <c r="AI284" s="20">
        <v>0</v>
      </c>
      <c r="AJ284" s="20">
        <v>0</v>
      </c>
      <c r="AK284" s="20" t="s">
        <v>576</v>
      </c>
      <c r="AL284" s="20">
        <v>0</v>
      </c>
      <c r="AM284" s="20">
        <v>0</v>
      </c>
      <c r="AN284" s="20">
        <v>0</v>
      </c>
      <c r="AO284" s="20">
        <v>0</v>
      </c>
      <c r="AP284" s="20">
        <v>0</v>
      </c>
      <c r="AR284" s="20">
        <v>0</v>
      </c>
      <c r="AS284" s="20">
        <v>0</v>
      </c>
      <c r="AT284" s="20">
        <v>817131.78</v>
      </c>
      <c r="AU284" s="20" t="s">
        <v>13</v>
      </c>
      <c r="AV284" s="20" t="s">
        <v>62</v>
      </c>
      <c r="AW284" s="20" t="s">
        <v>76</v>
      </c>
      <c r="AX284" s="20" t="s">
        <v>208</v>
      </c>
      <c r="AY284" s="20" t="s">
        <v>209</v>
      </c>
      <c r="AZ284" s="20">
        <v>0</v>
      </c>
      <c r="BA284" s="20">
        <v>48347.199999999997</v>
      </c>
      <c r="BB284" s="20">
        <v>1200</v>
      </c>
      <c r="BC284" s="20" t="s">
        <v>3083</v>
      </c>
      <c r="BD284" s="20" t="s">
        <v>65</v>
      </c>
      <c r="BE284" s="20" t="s">
        <v>210</v>
      </c>
      <c r="BF284" s="20" t="s">
        <v>210</v>
      </c>
      <c r="BG284" s="20">
        <v>9</v>
      </c>
      <c r="BH284" s="20">
        <v>4351.25</v>
      </c>
      <c r="BI284" s="20">
        <v>9</v>
      </c>
      <c r="BJ284" s="20">
        <v>4351.25</v>
      </c>
      <c r="BK284" s="20">
        <v>0</v>
      </c>
      <c r="BL284" s="20">
        <v>0</v>
      </c>
      <c r="BM284" s="20">
        <v>0</v>
      </c>
      <c r="BN284" s="20">
        <v>602168768970</v>
      </c>
      <c r="BO284" s="111">
        <v>46257</v>
      </c>
      <c r="BP284" s="20">
        <v>0</v>
      </c>
    </row>
    <row r="285" spans="2:68">
      <c r="B285" s="20" t="s">
        <v>2165</v>
      </c>
      <c r="C285" s="20" t="s">
        <v>3083</v>
      </c>
      <c r="D285" s="20" t="s">
        <v>3638</v>
      </c>
      <c r="E285" s="20" t="s">
        <v>18</v>
      </c>
      <c r="F285" s="20" t="s">
        <v>19</v>
      </c>
      <c r="H285" s="20" t="s">
        <v>3639</v>
      </c>
      <c r="I285" s="20">
        <v>745</v>
      </c>
      <c r="J285" s="20">
        <v>745</v>
      </c>
      <c r="K285" s="20" t="s">
        <v>11</v>
      </c>
      <c r="L285" s="20">
        <v>745</v>
      </c>
      <c r="M285" s="20">
        <v>0</v>
      </c>
      <c r="N285" s="20">
        <v>745</v>
      </c>
      <c r="O285" s="20" t="s">
        <v>2156</v>
      </c>
      <c r="P285" s="20" t="s">
        <v>87</v>
      </c>
      <c r="Q285" s="20" t="s">
        <v>87</v>
      </c>
      <c r="R285" s="20" t="s">
        <v>3095</v>
      </c>
      <c r="S285" s="20" t="s">
        <v>3083</v>
      </c>
      <c r="T285" s="20" t="s">
        <v>206</v>
      </c>
      <c r="U285" s="20" t="s">
        <v>207</v>
      </c>
      <c r="V285" s="20" t="s">
        <v>3094</v>
      </c>
      <c r="W285" s="20">
        <v>144.32</v>
      </c>
      <c r="X285" s="20">
        <v>144.31999929352901</v>
      </c>
      <c r="Y285" s="20" t="s">
        <v>3095</v>
      </c>
      <c r="Z285" s="20" t="s">
        <v>3083</v>
      </c>
      <c r="AB285" s="20" t="s">
        <v>212</v>
      </c>
      <c r="AD285" s="20" t="s">
        <v>213</v>
      </c>
      <c r="AE285" s="20" t="s">
        <v>212</v>
      </c>
      <c r="AF285" s="20">
        <v>0</v>
      </c>
      <c r="AG285" s="20">
        <v>0</v>
      </c>
      <c r="AH285" s="20">
        <v>0</v>
      </c>
      <c r="AI285" s="20">
        <v>0</v>
      </c>
      <c r="AJ285" s="20">
        <v>0</v>
      </c>
      <c r="AK285" s="20" t="s">
        <v>576</v>
      </c>
      <c r="AL285" s="20">
        <v>0</v>
      </c>
      <c r="AM285" s="20">
        <v>0</v>
      </c>
      <c r="AN285" s="20">
        <v>0</v>
      </c>
      <c r="AO285" s="20">
        <v>0</v>
      </c>
      <c r="AP285" s="20">
        <v>0</v>
      </c>
      <c r="AR285" s="20">
        <v>0</v>
      </c>
      <c r="AS285" s="20">
        <v>0</v>
      </c>
      <c r="AT285" s="20">
        <v>817131.78</v>
      </c>
      <c r="AU285" s="20" t="s">
        <v>13</v>
      </c>
      <c r="AV285" s="20" t="s">
        <v>62</v>
      </c>
      <c r="AW285" s="20" t="s">
        <v>63</v>
      </c>
      <c r="AX285" s="20" t="s">
        <v>208</v>
      </c>
      <c r="AY285" s="20" t="s">
        <v>209</v>
      </c>
      <c r="AZ285" s="20">
        <v>0</v>
      </c>
      <c r="BA285" s="20">
        <v>107518.39999999999</v>
      </c>
      <c r="BB285" s="20">
        <v>1200</v>
      </c>
      <c r="BC285" s="20" t="s">
        <v>3083</v>
      </c>
      <c r="BD285" s="20" t="s">
        <v>65</v>
      </c>
      <c r="BE285" s="20" t="s">
        <v>210</v>
      </c>
      <c r="BF285" s="20" t="s">
        <v>210</v>
      </c>
      <c r="BG285" s="20">
        <v>9</v>
      </c>
      <c r="BH285" s="20">
        <v>9676.66</v>
      </c>
      <c r="BI285" s="20">
        <v>9</v>
      </c>
      <c r="BJ285" s="20">
        <v>9676.66</v>
      </c>
      <c r="BK285" s="20">
        <v>0</v>
      </c>
      <c r="BL285" s="20">
        <v>0</v>
      </c>
      <c r="BM285" s="20">
        <v>0</v>
      </c>
      <c r="BN285" s="20">
        <v>602168768970</v>
      </c>
      <c r="BO285" s="111">
        <v>46257</v>
      </c>
      <c r="BP285" s="20">
        <v>0</v>
      </c>
    </row>
    <row r="286" spans="2:68">
      <c r="B286" s="20" t="s">
        <v>2165</v>
      </c>
      <c r="C286" s="20" t="s">
        <v>3083</v>
      </c>
      <c r="D286" s="20" t="s">
        <v>3638</v>
      </c>
      <c r="E286" s="20" t="s">
        <v>18</v>
      </c>
      <c r="F286" s="20" t="s">
        <v>19</v>
      </c>
      <c r="H286" s="20" t="s">
        <v>3639</v>
      </c>
      <c r="I286" s="20">
        <v>1802</v>
      </c>
      <c r="J286" s="20">
        <v>1802</v>
      </c>
      <c r="K286" s="20" t="s">
        <v>11</v>
      </c>
      <c r="L286" s="20">
        <v>1802</v>
      </c>
      <c r="M286" s="20">
        <v>0</v>
      </c>
      <c r="N286" s="20">
        <v>1802</v>
      </c>
      <c r="O286" s="20" t="s">
        <v>2156</v>
      </c>
      <c r="P286" s="20" t="s">
        <v>87</v>
      </c>
      <c r="Q286" s="20" t="s">
        <v>87</v>
      </c>
      <c r="R286" s="20" t="s">
        <v>3095</v>
      </c>
      <c r="S286" s="20" t="s">
        <v>3083</v>
      </c>
      <c r="T286" s="20" t="s">
        <v>206</v>
      </c>
      <c r="U286" s="20" t="s">
        <v>207</v>
      </c>
      <c r="V286" s="20" t="s">
        <v>3094</v>
      </c>
      <c r="W286" s="20">
        <v>142.32</v>
      </c>
      <c r="X286" s="20">
        <v>142.31999930331901</v>
      </c>
      <c r="Y286" s="20" t="s">
        <v>3095</v>
      </c>
      <c r="Z286" s="20" t="s">
        <v>3083</v>
      </c>
      <c r="AB286" s="20" t="s">
        <v>212</v>
      </c>
      <c r="AD286" s="20" t="s">
        <v>213</v>
      </c>
      <c r="AE286" s="20" t="s">
        <v>212</v>
      </c>
      <c r="AF286" s="20">
        <v>0</v>
      </c>
      <c r="AG286" s="20">
        <v>0</v>
      </c>
      <c r="AH286" s="20">
        <v>0</v>
      </c>
      <c r="AI286" s="20">
        <v>0</v>
      </c>
      <c r="AJ286" s="20">
        <v>0</v>
      </c>
      <c r="AK286" s="20" t="s">
        <v>576</v>
      </c>
      <c r="AL286" s="20">
        <v>0</v>
      </c>
      <c r="AM286" s="20">
        <v>0</v>
      </c>
      <c r="AN286" s="20">
        <v>0</v>
      </c>
      <c r="AO286" s="20">
        <v>0</v>
      </c>
      <c r="AP286" s="20">
        <v>0</v>
      </c>
      <c r="AR286" s="20">
        <v>0</v>
      </c>
      <c r="AS286" s="20">
        <v>0</v>
      </c>
      <c r="AT286" s="20">
        <v>817131.78</v>
      </c>
      <c r="AU286" s="20" t="s">
        <v>13</v>
      </c>
      <c r="AV286" s="20" t="s">
        <v>62</v>
      </c>
      <c r="AW286" s="20" t="s">
        <v>63</v>
      </c>
      <c r="AX286" s="20" t="s">
        <v>208</v>
      </c>
      <c r="AY286" s="20" t="s">
        <v>209</v>
      </c>
      <c r="AZ286" s="20">
        <v>0</v>
      </c>
      <c r="BA286" s="20">
        <v>256460.64</v>
      </c>
      <c r="BB286" s="20">
        <v>1200</v>
      </c>
      <c r="BC286" s="20" t="s">
        <v>3083</v>
      </c>
      <c r="BD286" s="20" t="s">
        <v>65</v>
      </c>
      <c r="BE286" s="20" t="s">
        <v>210</v>
      </c>
      <c r="BF286" s="20" t="s">
        <v>210</v>
      </c>
      <c r="BG286" s="20">
        <v>9</v>
      </c>
      <c r="BH286" s="20">
        <v>23081.46</v>
      </c>
      <c r="BI286" s="20">
        <v>9</v>
      </c>
      <c r="BJ286" s="20">
        <v>23081.46</v>
      </c>
      <c r="BK286" s="20">
        <v>0</v>
      </c>
      <c r="BL286" s="20">
        <v>0</v>
      </c>
      <c r="BM286" s="20">
        <v>0</v>
      </c>
      <c r="BN286" s="20">
        <v>602168768970</v>
      </c>
      <c r="BO286" s="111">
        <v>46257</v>
      </c>
      <c r="BP286" s="20">
        <v>0</v>
      </c>
    </row>
    <row r="287" spans="2:68">
      <c r="B287" s="20" t="s">
        <v>2165</v>
      </c>
      <c r="C287" s="20" t="s">
        <v>3083</v>
      </c>
      <c r="D287" s="20" t="s">
        <v>3638</v>
      </c>
      <c r="E287" s="20" t="s">
        <v>18</v>
      </c>
      <c r="F287" s="20" t="s">
        <v>19</v>
      </c>
      <c r="H287" s="20" t="s">
        <v>3639</v>
      </c>
      <c r="I287" s="20">
        <v>260</v>
      </c>
      <c r="J287" s="20">
        <v>260</v>
      </c>
      <c r="K287" s="20" t="s">
        <v>11</v>
      </c>
      <c r="L287" s="20">
        <v>260</v>
      </c>
      <c r="M287" s="20">
        <v>0</v>
      </c>
      <c r="N287" s="20">
        <v>260</v>
      </c>
      <c r="O287" s="20" t="s">
        <v>2156</v>
      </c>
      <c r="P287" s="20" t="s">
        <v>87</v>
      </c>
      <c r="Q287" s="20" t="s">
        <v>87</v>
      </c>
      <c r="R287" s="20" t="s">
        <v>3095</v>
      </c>
      <c r="S287" s="20" t="s">
        <v>3083</v>
      </c>
      <c r="T287" s="20" t="s">
        <v>206</v>
      </c>
      <c r="U287" s="20" t="s">
        <v>207</v>
      </c>
      <c r="V287" s="20" t="s">
        <v>3094</v>
      </c>
      <c r="W287" s="20">
        <v>145.32</v>
      </c>
      <c r="X287" s="20">
        <v>145.31999928863399</v>
      </c>
      <c r="Y287" s="20" t="s">
        <v>3095</v>
      </c>
      <c r="Z287" s="20" t="s">
        <v>3083</v>
      </c>
      <c r="AB287" s="20" t="s">
        <v>212</v>
      </c>
      <c r="AD287" s="20" t="s">
        <v>213</v>
      </c>
      <c r="AE287" s="20" t="s">
        <v>212</v>
      </c>
      <c r="AF287" s="20">
        <v>0</v>
      </c>
      <c r="AG287" s="20">
        <v>0</v>
      </c>
      <c r="AH287" s="20">
        <v>0</v>
      </c>
      <c r="AI287" s="20">
        <v>0</v>
      </c>
      <c r="AJ287" s="20">
        <v>0</v>
      </c>
      <c r="AK287" s="20" t="s">
        <v>576</v>
      </c>
      <c r="AL287" s="20">
        <v>0</v>
      </c>
      <c r="AM287" s="20">
        <v>0</v>
      </c>
      <c r="AN287" s="20">
        <v>0</v>
      </c>
      <c r="AO287" s="20">
        <v>0</v>
      </c>
      <c r="AP287" s="20">
        <v>0</v>
      </c>
      <c r="AR287" s="20">
        <v>0</v>
      </c>
      <c r="AS287" s="20">
        <v>0</v>
      </c>
      <c r="AT287" s="20">
        <v>817131.78</v>
      </c>
      <c r="AU287" s="20" t="s">
        <v>13</v>
      </c>
      <c r="AV287" s="20" t="s">
        <v>62</v>
      </c>
      <c r="AW287" s="20" t="s">
        <v>63</v>
      </c>
      <c r="AX287" s="20" t="s">
        <v>208</v>
      </c>
      <c r="AY287" s="20" t="s">
        <v>209</v>
      </c>
      <c r="AZ287" s="20">
        <v>0</v>
      </c>
      <c r="BA287" s="20">
        <v>37783.199999999997</v>
      </c>
      <c r="BB287" s="20">
        <v>1200</v>
      </c>
      <c r="BC287" s="20" t="s">
        <v>3083</v>
      </c>
      <c r="BD287" s="20" t="s">
        <v>65</v>
      </c>
      <c r="BE287" s="20" t="s">
        <v>210</v>
      </c>
      <c r="BF287" s="20" t="s">
        <v>210</v>
      </c>
      <c r="BG287" s="20">
        <v>9</v>
      </c>
      <c r="BH287" s="20">
        <v>3400.49</v>
      </c>
      <c r="BI287" s="20">
        <v>9</v>
      </c>
      <c r="BJ287" s="20">
        <v>3400.49</v>
      </c>
      <c r="BK287" s="20">
        <v>0</v>
      </c>
      <c r="BL287" s="20">
        <v>0</v>
      </c>
      <c r="BM287" s="20">
        <v>0</v>
      </c>
      <c r="BN287" s="20">
        <v>602168768970</v>
      </c>
      <c r="BO287" s="111">
        <v>46257</v>
      </c>
      <c r="BP287" s="20">
        <v>0</v>
      </c>
    </row>
    <row r="288" spans="2:68">
      <c r="B288" s="20" t="s">
        <v>2165</v>
      </c>
      <c r="C288" s="20" t="s">
        <v>3083</v>
      </c>
      <c r="D288" s="20" t="s">
        <v>3638</v>
      </c>
      <c r="E288" s="20" t="s">
        <v>23</v>
      </c>
      <c r="F288" s="20" t="s">
        <v>24</v>
      </c>
      <c r="H288" s="20" t="s">
        <v>3639</v>
      </c>
      <c r="I288" s="20">
        <v>21.2</v>
      </c>
      <c r="J288" s="20">
        <v>21.2</v>
      </c>
      <c r="K288" s="20" t="s">
        <v>11</v>
      </c>
      <c r="L288" s="20">
        <v>21.2</v>
      </c>
      <c r="M288" s="20">
        <v>0</v>
      </c>
      <c r="N288" s="20">
        <v>21.2</v>
      </c>
      <c r="O288" s="20" t="s">
        <v>2156</v>
      </c>
      <c r="P288" s="20" t="s">
        <v>87</v>
      </c>
      <c r="Q288" s="20" t="s">
        <v>87</v>
      </c>
      <c r="R288" s="20" t="s">
        <v>3095</v>
      </c>
      <c r="S288" s="20" t="s">
        <v>3083</v>
      </c>
      <c r="T288" s="20" t="s">
        <v>206</v>
      </c>
      <c r="U288" s="20" t="s">
        <v>207</v>
      </c>
      <c r="V288" s="20" t="s">
        <v>3094</v>
      </c>
      <c r="W288" s="20">
        <v>168.32</v>
      </c>
      <c r="X288" s="20">
        <v>168.319999176045</v>
      </c>
      <c r="Y288" s="20" t="s">
        <v>3095</v>
      </c>
      <c r="Z288" s="20" t="s">
        <v>3083</v>
      </c>
      <c r="AB288" s="20" t="s">
        <v>212</v>
      </c>
      <c r="AD288" s="20" t="s">
        <v>213</v>
      </c>
      <c r="AE288" s="20" t="s">
        <v>212</v>
      </c>
      <c r="AF288" s="20">
        <v>0</v>
      </c>
      <c r="AG288" s="20">
        <v>0</v>
      </c>
      <c r="AH288" s="20">
        <v>0</v>
      </c>
      <c r="AI288" s="20">
        <v>0</v>
      </c>
      <c r="AJ288" s="20">
        <v>0</v>
      </c>
      <c r="AK288" s="20" t="s">
        <v>576</v>
      </c>
      <c r="AL288" s="20">
        <v>0</v>
      </c>
      <c r="AM288" s="20">
        <v>0</v>
      </c>
      <c r="AN288" s="20">
        <v>0</v>
      </c>
      <c r="AO288" s="20">
        <v>0</v>
      </c>
      <c r="AP288" s="20">
        <v>0</v>
      </c>
      <c r="AR288" s="20">
        <v>0</v>
      </c>
      <c r="AS288" s="20">
        <v>0</v>
      </c>
      <c r="AT288" s="20">
        <v>817131.78</v>
      </c>
      <c r="AU288" s="20" t="s">
        <v>13</v>
      </c>
      <c r="AV288" s="20" t="s">
        <v>24</v>
      </c>
      <c r="AW288" s="20" t="s">
        <v>79</v>
      </c>
      <c r="AX288" s="20" t="s">
        <v>208</v>
      </c>
      <c r="AY288" s="20" t="s">
        <v>209</v>
      </c>
      <c r="AZ288" s="20">
        <v>0</v>
      </c>
      <c r="BA288" s="20">
        <v>3568.38</v>
      </c>
      <c r="BB288" s="20">
        <v>1200</v>
      </c>
      <c r="BC288" s="20" t="s">
        <v>3083</v>
      </c>
      <c r="BD288" s="20" t="s">
        <v>65</v>
      </c>
      <c r="BE288" s="20" t="s">
        <v>210</v>
      </c>
      <c r="BF288" s="20" t="s">
        <v>210</v>
      </c>
      <c r="BG288" s="20">
        <v>9</v>
      </c>
      <c r="BH288" s="20">
        <v>321.14999999999998</v>
      </c>
      <c r="BI288" s="20">
        <v>9</v>
      </c>
      <c r="BJ288" s="20">
        <v>321.14999999999998</v>
      </c>
      <c r="BK288" s="20">
        <v>0</v>
      </c>
      <c r="BL288" s="20">
        <v>0</v>
      </c>
      <c r="BM288" s="20">
        <v>0</v>
      </c>
      <c r="BN288" s="20">
        <v>602168768970</v>
      </c>
      <c r="BO288" s="111">
        <v>46257</v>
      </c>
      <c r="BP288" s="20">
        <v>0</v>
      </c>
    </row>
    <row r="289" spans="2:68">
      <c r="B289" s="20" t="s">
        <v>2165</v>
      </c>
      <c r="C289" s="20" t="s">
        <v>3083</v>
      </c>
      <c r="D289" s="20" t="s">
        <v>3638</v>
      </c>
      <c r="E289" s="20" t="s">
        <v>23</v>
      </c>
      <c r="F289" s="20" t="s">
        <v>24</v>
      </c>
      <c r="H289" s="20" t="s">
        <v>3639</v>
      </c>
      <c r="I289" s="20">
        <v>1555.4</v>
      </c>
      <c r="J289" s="20">
        <v>1555.4</v>
      </c>
      <c r="K289" s="20" t="s">
        <v>11</v>
      </c>
      <c r="L289" s="20">
        <v>1555.4</v>
      </c>
      <c r="M289" s="20">
        <v>0</v>
      </c>
      <c r="N289" s="20">
        <v>1555.4</v>
      </c>
      <c r="O289" s="20" t="s">
        <v>2156</v>
      </c>
      <c r="P289" s="20" t="s">
        <v>87</v>
      </c>
      <c r="Q289" s="20" t="s">
        <v>87</v>
      </c>
      <c r="R289" s="20" t="s">
        <v>3095</v>
      </c>
      <c r="S289" s="20" t="s">
        <v>3083</v>
      </c>
      <c r="T289" s="20" t="s">
        <v>206</v>
      </c>
      <c r="U289" s="20" t="s">
        <v>207</v>
      </c>
      <c r="V289" s="20" t="s">
        <v>3094</v>
      </c>
      <c r="W289" s="20">
        <v>147.32</v>
      </c>
      <c r="X289" s="20">
        <v>147.319999278843</v>
      </c>
      <c r="Y289" s="20" t="s">
        <v>3095</v>
      </c>
      <c r="Z289" s="20" t="s">
        <v>3083</v>
      </c>
      <c r="AB289" s="20" t="s">
        <v>212</v>
      </c>
      <c r="AD289" s="20" t="s">
        <v>213</v>
      </c>
      <c r="AE289" s="20" t="s">
        <v>212</v>
      </c>
      <c r="AF289" s="20">
        <v>0</v>
      </c>
      <c r="AG289" s="20">
        <v>0</v>
      </c>
      <c r="AH289" s="20">
        <v>0</v>
      </c>
      <c r="AI289" s="20">
        <v>0</v>
      </c>
      <c r="AJ289" s="20">
        <v>0</v>
      </c>
      <c r="AK289" s="20" t="s">
        <v>576</v>
      </c>
      <c r="AL289" s="20">
        <v>0</v>
      </c>
      <c r="AM289" s="20">
        <v>0</v>
      </c>
      <c r="AN289" s="20">
        <v>0</v>
      </c>
      <c r="AO289" s="20">
        <v>0</v>
      </c>
      <c r="AP289" s="20">
        <v>0</v>
      </c>
      <c r="AR289" s="20">
        <v>0</v>
      </c>
      <c r="AS289" s="20">
        <v>0</v>
      </c>
      <c r="AT289" s="20">
        <v>817131.78</v>
      </c>
      <c r="AU289" s="20" t="s">
        <v>13</v>
      </c>
      <c r="AV289" s="20" t="s">
        <v>24</v>
      </c>
      <c r="AW289" s="20" t="s">
        <v>79</v>
      </c>
      <c r="AX289" s="20" t="s">
        <v>208</v>
      </c>
      <c r="AY289" s="20" t="s">
        <v>209</v>
      </c>
      <c r="AZ289" s="20">
        <v>0</v>
      </c>
      <c r="BA289" s="20">
        <v>229141.53</v>
      </c>
      <c r="BB289" s="20">
        <v>1200</v>
      </c>
      <c r="BC289" s="20" t="s">
        <v>3083</v>
      </c>
      <c r="BD289" s="20" t="s">
        <v>65</v>
      </c>
      <c r="BE289" s="20" t="s">
        <v>210</v>
      </c>
      <c r="BF289" s="20" t="s">
        <v>210</v>
      </c>
      <c r="BG289" s="20">
        <v>9</v>
      </c>
      <c r="BH289" s="20">
        <v>20622.740000000002</v>
      </c>
      <c r="BI289" s="20">
        <v>9</v>
      </c>
      <c r="BJ289" s="20">
        <v>20622.740000000002</v>
      </c>
      <c r="BK289" s="20">
        <v>0</v>
      </c>
      <c r="BL289" s="20">
        <v>0</v>
      </c>
      <c r="BM289" s="20">
        <v>0</v>
      </c>
      <c r="BN289" s="20">
        <v>602168768970</v>
      </c>
      <c r="BO289" s="111">
        <v>46257</v>
      </c>
      <c r="BP289" s="20">
        <v>0</v>
      </c>
    </row>
    <row r="290" spans="2:68">
      <c r="B290" s="20" t="s">
        <v>2165</v>
      </c>
      <c r="C290" s="20" t="s">
        <v>3083</v>
      </c>
      <c r="D290" s="20" t="s">
        <v>3638</v>
      </c>
      <c r="E290" s="20" t="s">
        <v>23</v>
      </c>
      <c r="F290" s="20" t="s">
        <v>24</v>
      </c>
      <c r="H290" s="20" t="s">
        <v>3639</v>
      </c>
      <c r="I290" s="20">
        <v>65.5</v>
      </c>
      <c r="J290" s="20">
        <v>65.5</v>
      </c>
      <c r="K290" s="20" t="s">
        <v>11</v>
      </c>
      <c r="L290" s="20">
        <v>65.5</v>
      </c>
      <c r="M290" s="20">
        <v>0</v>
      </c>
      <c r="N290" s="20">
        <v>65.5</v>
      </c>
      <c r="O290" s="20" t="s">
        <v>2156</v>
      </c>
      <c r="P290" s="20" t="s">
        <v>87</v>
      </c>
      <c r="Q290" s="20" t="s">
        <v>87</v>
      </c>
      <c r="R290" s="20" t="s">
        <v>3095</v>
      </c>
      <c r="S290" s="20" t="s">
        <v>3083</v>
      </c>
      <c r="T290" s="20" t="s">
        <v>206</v>
      </c>
      <c r="U290" s="20" t="s">
        <v>207</v>
      </c>
      <c r="V290" s="20" t="s">
        <v>3094</v>
      </c>
      <c r="W290" s="20">
        <v>144.32</v>
      </c>
      <c r="X290" s="20">
        <v>144.31999929352901</v>
      </c>
      <c r="Y290" s="20" t="s">
        <v>3095</v>
      </c>
      <c r="Z290" s="20" t="s">
        <v>3083</v>
      </c>
      <c r="AB290" s="20" t="s">
        <v>212</v>
      </c>
      <c r="AD290" s="20" t="s">
        <v>213</v>
      </c>
      <c r="AE290" s="20" t="s">
        <v>212</v>
      </c>
      <c r="AF290" s="20">
        <v>0</v>
      </c>
      <c r="AG290" s="20">
        <v>0</v>
      </c>
      <c r="AH290" s="20">
        <v>0</v>
      </c>
      <c r="AI290" s="20">
        <v>0</v>
      </c>
      <c r="AJ290" s="20">
        <v>0</v>
      </c>
      <c r="AK290" s="20" t="s">
        <v>576</v>
      </c>
      <c r="AL290" s="20">
        <v>0</v>
      </c>
      <c r="AM290" s="20">
        <v>0</v>
      </c>
      <c r="AN290" s="20">
        <v>0</v>
      </c>
      <c r="AO290" s="20">
        <v>0</v>
      </c>
      <c r="AP290" s="20">
        <v>0</v>
      </c>
      <c r="AR290" s="20">
        <v>0</v>
      </c>
      <c r="AS290" s="20">
        <v>0</v>
      </c>
      <c r="AT290" s="20">
        <v>817131.78</v>
      </c>
      <c r="AU290" s="20" t="s">
        <v>13</v>
      </c>
      <c r="AV290" s="20" t="s">
        <v>24</v>
      </c>
      <c r="AW290" s="20" t="s">
        <v>79</v>
      </c>
      <c r="AX290" s="20" t="s">
        <v>208</v>
      </c>
      <c r="AY290" s="20" t="s">
        <v>209</v>
      </c>
      <c r="AZ290" s="20">
        <v>0</v>
      </c>
      <c r="BA290" s="20">
        <v>9452.9599999999991</v>
      </c>
      <c r="BB290" s="20">
        <v>1200</v>
      </c>
      <c r="BC290" s="20" t="s">
        <v>3083</v>
      </c>
      <c r="BD290" s="20" t="s">
        <v>65</v>
      </c>
      <c r="BE290" s="20" t="s">
        <v>210</v>
      </c>
      <c r="BF290" s="20" t="s">
        <v>210</v>
      </c>
      <c r="BG290" s="20">
        <v>9</v>
      </c>
      <c r="BH290" s="20">
        <v>850.77</v>
      </c>
      <c r="BI290" s="20">
        <v>9</v>
      </c>
      <c r="BJ290" s="20">
        <v>850.77</v>
      </c>
      <c r="BK290" s="20">
        <v>0</v>
      </c>
      <c r="BL290" s="20">
        <v>0</v>
      </c>
      <c r="BM290" s="20">
        <v>0</v>
      </c>
      <c r="BN290" s="20">
        <v>602168768970</v>
      </c>
      <c r="BO290" s="111">
        <v>46257</v>
      </c>
      <c r="BP290" s="20">
        <v>0</v>
      </c>
    </row>
    <row r="291" spans="2:68">
      <c r="B291" s="20" t="s">
        <v>2165</v>
      </c>
      <c r="C291" s="20" t="s">
        <v>3096</v>
      </c>
      <c r="D291" s="20" t="s">
        <v>3640</v>
      </c>
      <c r="E291" s="20" t="s">
        <v>211</v>
      </c>
      <c r="F291" s="20" t="s">
        <v>16</v>
      </c>
      <c r="H291" s="20" t="s">
        <v>3641</v>
      </c>
      <c r="I291" s="20">
        <v>2570.7199999999998</v>
      </c>
      <c r="J291" s="20">
        <v>2570.7199999999998</v>
      </c>
      <c r="K291" s="20" t="s">
        <v>11</v>
      </c>
      <c r="L291" s="20">
        <v>2570.7199999999998</v>
      </c>
      <c r="M291" s="20">
        <v>0</v>
      </c>
      <c r="N291" s="20">
        <v>2570.7199999999998</v>
      </c>
      <c r="O291" s="20" t="s">
        <v>3642</v>
      </c>
      <c r="P291" s="20" t="s">
        <v>2477</v>
      </c>
      <c r="Q291" s="20" t="s">
        <v>2477</v>
      </c>
      <c r="R291" s="20" t="s">
        <v>3098</v>
      </c>
      <c r="S291" s="20" t="s">
        <v>3058</v>
      </c>
      <c r="T291" s="20" t="s">
        <v>206</v>
      </c>
      <c r="U291" s="20" t="s">
        <v>207</v>
      </c>
      <c r="V291" s="20" t="s">
        <v>3097</v>
      </c>
      <c r="W291" s="20">
        <v>204.07</v>
      </c>
      <c r="X291" s="20">
        <v>204.06999984440199</v>
      </c>
      <c r="Y291" s="20" t="s">
        <v>3098</v>
      </c>
      <c r="Z291" s="20" t="s">
        <v>3058</v>
      </c>
      <c r="AB291" s="20" t="s">
        <v>212</v>
      </c>
      <c r="AD291" s="20" t="s">
        <v>213</v>
      </c>
      <c r="AE291" s="20" t="s">
        <v>212</v>
      </c>
      <c r="AF291" s="20">
        <v>0</v>
      </c>
      <c r="AG291" s="20">
        <v>0</v>
      </c>
      <c r="AH291" s="20">
        <v>0</v>
      </c>
      <c r="AI291" s="20">
        <v>0</v>
      </c>
      <c r="AJ291" s="20">
        <v>0</v>
      </c>
      <c r="AK291" s="20" t="s">
        <v>576</v>
      </c>
      <c r="AL291" s="20">
        <v>0</v>
      </c>
      <c r="AM291" s="20">
        <v>0</v>
      </c>
      <c r="AN291" s="20">
        <v>0</v>
      </c>
      <c r="AO291" s="20">
        <v>0</v>
      </c>
      <c r="AP291" s="20">
        <v>0</v>
      </c>
      <c r="AR291" s="20">
        <v>0</v>
      </c>
      <c r="AS291" s="20">
        <v>0</v>
      </c>
      <c r="AT291" s="20">
        <v>524606.82999999996</v>
      </c>
      <c r="AU291" s="20" t="s">
        <v>15</v>
      </c>
      <c r="AV291" s="20" t="s">
        <v>57</v>
      </c>
      <c r="AW291" s="20" t="s">
        <v>57</v>
      </c>
      <c r="AX291" s="20" t="s">
        <v>15</v>
      </c>
      <c r="AY291" s="20" t="s">
        <v>209</v>
      </c>
      <c r="AZ291" s="20">
        <v>0</v>
      </c>
      <c r="BA291" s="20">
        <v>524606.82999999996</v>
      </c>
      <c r="BB291" s="20">
        <v>19</v>
      </c>
      <c r="BC291" s="20" t="s">
        <v>3096</v>
      </c>
      <c r="BD291" s="20" t="s">
        <v>104</v>
      </c>
      <c r="BE291" s="20" t="s">
        <v>210</v>
      </c>
      <c r="BF291" s="20" t="s">
        <v>210</v>
      </c>
      <c r="BG291" s="20">
        <v>0</v>
      </c>
      <c r="BH291" s="20">
        <v>0</v>
      </c>
      <c r="BI291" s="20">
        <v>0</v>
      </c>
      <c r="BJ291" s="20">
        <v>0</v>
      </c>
      <c r="BK291" s="20">
        <v>0</v>
      </c>
      <c r="BL291" s="20">
        <v>0</v>
      </c>
      <c r="BM291" s="20">
        <v>524606.82999999996</v>
      </c>
      <c r="BN291" s="20">
        <v>612168405843</v>
      </c>
      <c r="BO291" s="111">
        <v>46256</v>
      </c>
      <c r="BP291" s="20">
        <v>0</v>
      </c>
    </row>
    <row r="292" spans="2:68">
      <c r="B292" s="20" t="s">
        <v>2165</v>
      </c>
      <c r="C292" s="20" t="s">
        <v>3096</v>
      </c>
      <c r="D292" s="20" t="s">
        <v>3643</v>
      </c>
      <c r="E292" s="20" t="s">
        <v>18</v>
      </c>
      <c r="F292" s="20" t="s">
        <v>19</v>
      </c>
      <c r="H292" s="20" t="s">
        <v>3644</v>
      </c>
      <c r="I292" s="20">
        <v>5357</v>
      </c>
      <c r="J292" s="20">
        <v>5357</v>
      </c>
      <c r="K292" s="20" t="s">
        <v>11</v>
      </c>
      <c r="L292" s="20">
        <v>5357</v>
      </c>
      <c r="M292" s="20">
        <v>0</v>
      </c>
      <c r="N292" s="20">
        <v>5357</v>
      </c>
      <c r="O292" s="20" t="s">
        <v>2156</v>
      </c>
      <c r="P292" s="20" t="s">
        <v>87</v>
      </c>
      <c r="Q292" s="20" t="s">
        <v>87</v>
      </c>
      <c r="R292" s="20" t="s">
        <v>3104</v>
      </c>
      <c r="S292" s="20" t="s">
        <v>3096</v>
      </c>
      <c r="T292" s="20" t="s">
        <v>206</v>
      </c>
      <c r="U292" s="20" t="s">
        <v>207</v>
      </c>
      <c r="V292" s="20" t="s">
        <v>3103</v>
      </c>
      <c r="W292" s="20">
        <v>142.32</v>
      </c>
      <c r="X292" s="20">
        <v>142.32</v>
      </c>
      <c r="Y292" s="20" t="s">
        <v>3104</v>
      </c>
      <c r="Z292" s="20" t="s">
        <v>3096</v>
      </c>
      <c r="AB292" s="20" t="s">
        <v>212</v>
      </c>
      <c r="AD292" s="20" t="s">
        <v>213</v>
      </c>
      <c r="AE292" s="20" t="s">
        <v>212</v>
      </c>
      <c r="AF292" s="20">
        <v>0</v>
      </c>
      <c r="AG292" s="20">
        <v>0</v>
      </c>
      <c r="AH292" s="20">
        <v>0</v>
      </c>
      <c r="AI292" s="20">
        <v>0</v>
      </c>
      <c r="AJ292" s="20">
        <v>0</v>
      </c>
      <c r="AK292" s="20" t="s">
        <v>576</v>
      </c>
      <c r="AL292" s="20">
        <v>0</v>
      </c>
      <c r="AM292" s="20">
        <v>0</v>
      </c>
      <c r="AN292" s="20">
        <v>0</v>
      </c>
      <c r="AO292" s="20">
        <v>0</v>
      </c>
      <c r="AP292" s="20">
        <v>0</v>
      </c>
      <c r="AR292" s="20">
        <v>0</v>
      </c>
      <c r="AS292" s="20">
        <v>0</v>
      </c>
      <c r="AT292" s="20">
        <v>1155653.8600000001</v>
      </c>
      <c r="AU292" s="20" t="s">
        <v>13</v>
      </c>
      <c r="AV292" s="20" t="s">
        <v>62</v>
      </c>
      <c r="AW292" s="20" t="s">
        <v>63</v>
      </c>
      <c r="AX292" s="20" t="s">
        <v>208</v>
      </c>
      <c r="AY292" s="20" t="s">
        <v>209</v>
      </c>
      <c r="AZ292" s="20">
        <v>0</v>
      </c>
      <c r="BA292" s="20">
        <v>762408.24</v>
      </c>
      <c r="BB292" s="20">
        <v>1201</v>
      </c>
      <c r="BC292" s="20" t="s">
        <v>3096</v>
      </c>
      <c r="BD292" s="20" t="s">
        <v>65</v>
      </c>
      <c r="BE292" s="20" t="s">
        <v>210</v>
      </c>
      <c r="BF292" s="20" t="s">
        <v>210</v>
      </c>
      <c r="BG292" s="20">
        <v>9</v>
      </c>
      <c r="BH292" s="20">
        <v>68616.740000000005</v>
      </c>
      <c r="BI292" s="20">
        <v>9</v>
      </c>
      <c r="BJ292" s="20">
        <v>68616.740000000005</v>
      </c>
      <c r="BK292" s="20">
        <v>0</v>
      </c>
      <c r="BL292" s="20">
        <v>0</v>
      </c>
      <c r="BM292" s="20">
        <v>1155653.8600000001</v>
      </c>
      <c r="BN292" s="20">
        <v>642168943326</v>
      </c>
      <c r="BO292" s="111">
        <v>46258</v>
      </c>
      <c r="BP292" s="20">
        <v>0</v>
      </c>
    </row>
    <row r="293" spans="2:68">
      <c r="B293" s="20" t="s">
        <v>2165</v>
      </c>
      <c r="C293" s="20" t="s">
        <v>3096</v>
      </c>
      <c r="D293" s="20" t="s">
        <v>3643</v>
      </c>
      <c r="E293" s="20" t="s">
        <v>18</v>
      </c>
      <c r="F293" s="20" t="s">
        <v>19</v>
      </c>
      <c r="H293" s="20" t="s">
        <v>3644</v>
      </c>
      <c r="I293" s="20">
        <v>854</v>
      </c>
      <c r="J293" s="20">
        <v>854</v>
      </c>
      <c r="K293" s="20" t="s">
        <v>11</v>
      </c>
      <c r="L293" s="20">
        <v>854</v>
      </c>
      <c r="M293" s="20">
        <v>0</v>
      </c>
      <c r="N293" s="20">
        <v>854</v>
      </c>
      <c r="O293" s="20" t="s">
        <v>2156</v>
      </c>
      <c r="P293" s="20" t="s">
        <v>87</v>
      </c>
      <c r="Q293" s="20" t="s">
        <v>87</v>
      </c>
      <c r="R293" s="20" t="s">
        <v>3104</v>
      </c>
      <c r="S293" s="20" t="s">
        <v>3096</v>
      </c>
      <c r="T293" s="20" t="s">
        <v>206</v>
      </c>
      <c r="U293" s="20" t="s">
        <v>207</v>
      </c>
      <c r="V293" s="20" t="s">
        <v>3103</v>
      </c>
      <c r="W293" s="20">
        <v>145.32</v>
      </c>
      <c r="X293" s="20">
        <v>145.32</v>
      </c>
      <c r="Y293" s="20" t="s">
        <v>3104</v>
      </c>
      <c r="Z293" s="20" t="s">
        <v>3096</v>
      </c>
      <c r="AB293" s="20" t="s">
        <v>212</v>
      </c>
      <c r="AD293" s="20" t="s">
        <v>213</v>
      </c>
      <c r="AE293" s="20" t="s">
        <v>212</v>
      </c>
      <c r="AF293" s="20">
        <v>0</v>
      </c>
      <c r="AG293" s="20">
        <v>0</v>
      </c>
      <c r="AH293" s="20">
        <v>0</v>
      </c>
      <c r="AI293" s="20">
        <v>0</v>
      </c>
      <c r="AJ293" s="20">
        <v>0</v>
      </c>
      <c r="AK293" s="20" t="s">
        <v>576</v>
      </c>
      <c r="AL293" s="20">
        <v>0</v>
      </c>
      <c r="AM293" s="20">
        <v>0</v>
      </c>
      <c r="AN293" s="20">
        <v>0</v>
      </c>
      <c r="AO293" s="20">
        <v>0</v>
      </c>
      <c r="AP293" s="20">
        <v>0</v>
      </c>
      <c r="AR293" s="20">
        <v>0</v>
      </c>
      <c r="AS293" s="20">
        <v>0</v>
      </c>
      <c r="AT293" s="20">
        <v>1155653.8600000001</v>
      </c>
      <c r="AU293" s="20" t="s">
        <v>13</v>
      </c>
      <c r="AV293" s="20" t="s">
        <v>62</v>
      </c>
      <c r="AW293" s="20" t="s">
        <v>63</v>
      </c>
      <c r="AX293" s="20" t="s">
        <v>208</v>
      </c>
      <c r="AY293" s="20" t="s">
        <v>209</v>
      </c>
      <c r="AZ293" s="20">
        <v>0</v>
      </c>
      <c r="BA293" s="20">
        <v>124103.28</v>
      </c>
      <c r="BB293" s="20">
        <v>1201</v>
      </c>
      <c r="BC293" s="20" t="s">
        <v>3096</v>
      </c>
      <c r="BD293" s="20" t="s">
        <v>65</v>
      </c>
      <c r="BE293" s="20" t="s">
        <v>210</v>
      </c>
      <c r="BF293" s="20" t="s">
        <v>210</v>
      </c>
      <c r="BG293" s="20">
        <v>9</v>
      </c>
      <c r="BH293" s="20">
        <v>11169.3</v>
      </c>
      <c r="BI293" s="20">
        <v>9</v>
      </c>
      <c r="BJ293" s="20">
        <v>11169.3</v>
      </c>
      <c r="BK293" s="20">
        <v>0</v>
      </c>
      <c r="BL293" s="20">
        <v>0</v>
      </c>
      <c r="BM293" s="20">
        <v>0</v>
      </c>
      <c r="BN293" s="20">
        <v>642168943326</v>
      </c>
      <c r="BO293" s="111">
        <v>46258</v>
      </c>
      <c r="BP293" s="20">
        <v>0</v>
      </c>
    </row>
    <row r="294" spans="2:68">
      <c r="B294" s="20" t="s">
        <v>2165</v>
      </c>
      <c r="C294" s="20" t="s">
        <v>3096</v>
      </c>
      <c r="D294" s="20" t="s">
        <v>3643</v>
      </c>
      <c r="E294" s="20" t="s">
        <v>18</v>
      </c>
      <c r="F294" s="20" t="s">
        <v>19</v>
      </c>
      <c r="H294" s="20" t="s">
        <v>3644</v>
      </c>
      <c r="I294" s="20">
        <v>248</v>
      </c>
      <c r="J294" s="20">
        <v>248</v>
      </c>
      <c r="K294" s="20" t="s">
        <v>11</v>
      </c>
      <c r="L294" s="20">
        <v>248</v>
      </c>
      <c r="M294" s="20">
        <v>0</v>
      </c>
      <c r="N294" s="20">
        <v>248</v>
      </c>
      <c r="O294" s="20" t="s">
        <v>2156</v>
      </c>
      <c r="P294" s="20" t="s">
        <v>87</v>
      </c>
      <c r="Q294" s="20" t="s">
        <v>87</v>
      </c>
      <c r="R294" s="20" t="s">
        <v>3104</v>
      </c>
      <c r="S294" s="20" t="s">
        <v>3096</v>
      </c>
      <c r="T294" s="20" t="s">
        <v>206</v>
      </c>
      <c r="U294" s="20" t="s">
        <v>207</v>
      </c>
      <c r="V294" s="20" t="s">
        <v>3103</v>
      </c>
      <c r="W294" s="20">
        <v>144.32</v>
      </c>
      <c r="X294" s="20">
        <v>144.32</v>
      </c>
      <c r="Y294" s="20" t="s">
        <v>3104</v>
      </c>
      <c r="Z294" s="20" t="s">
        <v>3096</v>
      </c>
      <c r="AB294" s="20" t="s">
        <v>212</v>
      </c>
      <c r="AD294" s="20" t="s">
        <v>213</v>
      </c>
      <c r="AE294" s="20" t="s">
        <v>212</v>
      </c>
      <c r="AF294" s="20">
        <v>0</v>
      </c>
      <c r="AG294" s="20">
        <v>0</v>
      </c>
      <c r="AH294" s="20">
        <v>0</v>
      </c>
      <c r="AI294" s="20">
        <v>0</v>
      </c>
      <c r="AJ294" s="20">
        <v>0</v>
      </c>
      <c r="AK294" s="20" t="s">
        <v>576</v>
      </c>
      <c r="AL294" s="20">
        <v>0</v>
      </c>
      <c r="AM294" s="20">
        <v>0</v>
      </c>
      <c r="AN294" s="20">
        <v>0</v>
      </c>
      <c r="AO294" s="20">
        <v>0</v>
      </c>
      <c r="AP294" s="20">
        <v>0</v>
      </c>
      <c r="AR294" s="20">
        <v>0</v>
      </c>
      <c r="AS294" s="20">
        <v>0</v>
      </c>
      <c r="AT294" s="20">
        <v>1155653.8600000001</v>
      </c>
      <c r="AU294" s="20" t="s">
        <v>13</v>
      </c>
      <c r="AV294" s="20" t="s">
        <v>62</v>
      </c>
      <c r="AW294" s="20" t="s">
        <v>63</v>
      </c>
      <c r="AX294" s="20" t="s">
        <v>208</v>
      </c>
      <c r="AY294" s="20" t="s">
        <v>209</v>
      </c>
      <c r="AZ294" s="20">
        <v>0</v>
      </c>
      <c r="BA294" s="20">
        <v>35791.360000000001</v>
      </c>
      <c r="BB294" s="20">
        <v>1201</v>
      </c>
      <c r="BC294" s="20" t="s">
        <v>3096</v>
      </c>
      <c r="BD294" s="20" t="s">
        <v>65</v>
      </c>
      <c r="BE294" s="20" t="s">
        <v>210</v>
      </c>
      <c r="BF294" s="20" t="s">
        <v>210</v>
      </c>
      <c r="BG294" s="20">
        <v>9</v>
      </c>
      <c r="BH294" s="20">
        <v>3221.22</v>
      </c>
      <c r="BI294" s="20">
        <v>9</v>
      </c>
      <c r="BJ294" s="20">
        <v>3221.22</v>
      </c>
      <c r="BK294" s="20">
        <v>0</v>
      </c>
      <c r="BL294" s="20">
        <v>0</v>
      </c>
      <c r="BM294" s="20">
        <v>0</v>
      </c>
      <c r="BN294" s="20">
        <v>642168943326</v>
      </c>
      <c r="BO294" s="111">
        <v>46258</v>
      </c>
      <c r="BP294" s="20">
        <v>0</v>
      </c>
    </row>
    <row r="295" spans="2:68">
      <c r="B295" s="20" t="s">
        <v>2165</v>
      </c>
      <c r="C295" s="20" t="s">
        <v>3096</v>
      </c>
      <c r="D295" s="20" t="s">
        <v>3643</v>
      </c>
      <c r="E295" s="20" t="s">
        <v>20</v>
      </c>
      <c r="F295" s="20" t="s">
        <v>21</v>
      </c>
      <c r="H295" s="20" t="s">
        <v>3644</v>
      </c>
      <c r="I295" s="20">
        <v>390</v>
      </c>
      <c r="J295" s="20">
        <v>390</v>
      </c>
      <c r="K295" s="20" t="s">
        <v>11</v>
      </c>
      <c r="L295" s="20">
        <v>390</v>
      </c>
      <c r="M295" s="20">
        <v>0</v>
      </c>
      <c r="N295" s="20">
        <v>390</v>
      </c>
      <c r="O295" s="20" t="s">
        <v>2156</v>
      </c>
      <c r="P295" s="20" t="s">
        <v>87</v>
      </c>
      <c r="Q295" s="20" t="s">
        <v>87</v>
      </c>
      <c r="R295" s="20" t="s">
        <v>3104</v>
      </c>
      <c r="S295" s="20" t="s">
        <v>3096</v>
      </c>
      <c r="T295" s="20" t="s">
        <v>206</v>
      </c>
      <c r="U295" s="20" t="s">
        <v>207</v>
      </c>
      <c r="V295" s="20" t="s">
        <v>3103</v>
      </c>
      <c r="W295" s="20">
        <v>146.32</v>
      </c>
      <c r="X295" s="20">
        <v>146.32</v>
      </c>
      <c r="Y295" s="20" t="s">
        <v>3104</v>
      </c>
      <c r="Z295" s="20" t="s">
        <v>3096</v>
      </c>
      <c r="AB295" s="20" t="s">
        <v>212</v>
      </c>
      <c r="AD295" s="20" t="s">
        <v>213</v>
      </c>
      <c r="AE295" s="20" t="s">
        <v>212</v>
      </c>
      <c r="AF295" s="20">
        <v>0</v>
      </c>
      <c r="AG295" s="20">
        <v>0</v>
      </c>
      <c r="AH295" s="20">
        <v>0</v>
      </c>
      <c r="AI295" s="20">
        <v>0</v>
      </c>
      <c r="AJ295" s="20">
        <v>0</v>
      </c>
      <c r="AK295" s="20" t="s">
        <v>576</v>
      </c>
      <c r="AL295" s="20">
        <v>0</v>
      </c>
      <c r="AM295" s="20">
        <v>0</v>
      </c>
      <c r="AN295" s="20">
        <v>0</v>
      </c>
      <c r="AO295" s="20">
        <v>0</v>
      </c>
      <c r="AP295" s="20">
        <v>0</v>
      </c>
      <c r="AR295" s="20">
        <v>0</v>
      </c>
      <c r="AS295" s="20">
        <v>0</v>
      </c>
      <c r="AT295" s="20">
        <v>1155653.8600000001</v>
      </c>
      <c r="AU295" s="20" t="s">
        <v>13</v>
      </c>
      <c r="AV295" s="20" t="s">
        <v>62</v>
      </c>
      <c r="AW295" s="20" t="s">
        <v>76</v>
      </c>
      <c r="AX295" s="20" t="s">
        <v>208</v>
      </c>
      <c r="AY295" s="20" t="s">
        <v>209</v>
      </c>
      <c r="AZ295" s="20">
        <v>0</v>
      </c>
      <c r="BA295" s="20">
        <v>57064.800000000003</v>
      </c>
      <c r="BB295" s="20">
        <v>1201</v>
      </c>
      <c r="BC295" s="20" t="s">
        <v>3096</v>
      </c>
      <c r="BD295" s="20" t="s">
        <v>65</v>
      </c>
      <c r="BE295" s="20" t="s">
        <v>210</v>
      </c>
      <c r="BF295" s="20" t="s">
        <v>210</v>
      </c>
      <c r="BG295" s="20">
        <v>9</v>
      </c>
      <c r="BH295" s="20">
        <v>5135.83</v>
      </c>
      <c r="BI295" s="20">
        <v>9</v>
      </c>
      <c r="BJ295" s="20">
        <v>5135.83</v>
      </c>
      <c r="BK295" s="20">
        <v>0</v>
      </c>
      <c r="BL295" s="20">
        <v>0</v>
      </c>
      <c r="BM295" s="20">
        <v>0</v>
      </c>
      <c r="BN295" s="20">
        <v>642168943326</v>
      </c>
      <c r="BO295" s="111">
        <v>46258</v>
      </c>
      <c r="BP295" s="20">
        <v>0</v>
      </c>
    </row>
    <row r="296" spans="2:68">
      <c r="B296" s="20" t="s">
        <v>2165</v>
      </c>
      <c r="C296" s="20" t="s">
        <v>3096</v>
      </c>
      <c r="D296" s="20" t="s">
        <v>3645</v>
      </c>
      <c r="E296" s="20" t="s">
        <v>160</v>
      </c>
      <c r="F296" s="20" t="s">
        <v>17</v>
      </c>
      <c r="H296" s="20" t="s">
        <v>3646</v>
      </c>
      <c r="I296" s="20">
        <v>4745</v>
      </c>
      <c r="J296" s="20">
        <v>4745</v>
      </c>
      <c r="K296" s="20" t="s">
        <v>11</v>
      </c>
      <c r="L296" s="20">
        <v>4745</v>
      </c>
      <c r="M296" s="20">
        <v>0</v>
      </c>
      <c r="N296" s="20">
        <v>4745</v>
      </c>
      <c r="O296" s="20" t="s">
        <v>2156</v>
      </c>
      <c r="P296" s="20" t="s">
        <v>87</v>
      </c>
      <c r="Q296" s="20" t="s">
        <v>87</v>
      </c>
      <c r="R296" s="20" t="s">
        <v>3106</v>
      </c>
      <c r="S296" s="20" t="s">
        <v>3096</v>
      </c>
      <c r="T296" s="20" t="s">
        <v>206</v>
      </c>
      <c r="U296" s="20" t="s">
        <v>207</v>
      </c>
      <c r="V296" s="20" t="s">
        <v>3105</v>
      </c>
      <c r="W296" s="20">
        <v>176.86</v>
      </c>
      <c r="X296" s="20">
        <v>176.860001075339</v>
      </c>
      <c r="Y296" s="20" t="s">
        <v>3106</v>
      </c>
      <c r="Z296" s="20" t="s">
        <v>3096</v>
      </c>
      <c r="AB296" s="20" t="s">
        <v>212</v>
      </c>
      <c r="AD296" s="20" t="s">
        <v>213</v>
      </c>
      <c r="AE296" s="20" t="s">
        <v>212</v>
      </c>
      <c r="AF296" s="20">
        <v>0</v>
      </c>
      <c r="AG296" s="20">
        <v>0</v>
      </c>
      <c r="AH296" s="20">
        <v>0</v>
      </c>
      <c r="AI296" s="20">
        <v>0</v>
      </c>
      <c r="AJ296" s="20">
        <v>0</v>
      </c>
      <c r="AK296" s="20" t="s">
        <v>576</v>
      </c>
      <c r="AL296" s="20">
        <v>0</v>
      </c>
      <c r="AM296" s="20">
        <v>0</v>
      </c>
      <c r="AN296" s="20">
        <v>0</v>
      </c>
      <c r="AO296" s="20">
        <v>0</v>
      </c>
      <c r="AP296" s="20">
        <v>0</v>
      </c>
      <c r="AR296" s="20">
        <v>0</v>
      </c>
      <c r="AS296" s="20">
        <v>0</v>
      </c>
      <c r="AT296" s="20">
        <v>1315752.92</v>
      </c>
      <c r="AU296" s="20" t="s">
        <v>13</v>
      </c>
      <c r="AV296" s="20" t="s">
        <v>80</v>
      </c>
      <c r="AW296" s="20" t="s">
        <v>81</v>
      </c>
      <c r="AX296" s="20" t="s">
        <v>208</v>
      </c>
      <c r="AY296" s="20" t="s">
        <v>209</v>
      </c>
      <c r="AZ296" s="20">
        <v>0</v>
      </c>
      <c r="BA296" s="20">
        <v>839200.71</v>
      </c>
      <c r="BB296" s="20">
        <v>1204</v>
      </c>
      <c r="BC296" s="20" t="s">
        <v>3096</v>
      </c>
      <c r="BD296" s="20" t="s">
        <v>65</v>
      </c>
      <c r="BE296" s="20" t="s">
        <v>210</v>
      </c>
      <c r="BF296" s="20" t="s">
        <v>210</v>
      </c>
      <c r="BG296" s="20">
        <v>9</v>
      </c>
      <c r="BH296" s="20">
        <v>75528.06</v>
      </c>
      <c r="BI296" s="20">
        <v>9</v>
      </c>
      <c r="BJ296" s="20">
        <v>75528.06</v>
      </c>
      <c r="BK296" s="20">
        <v>0</v>
      </c>
      <c r="BL296" s="20">
        <v>0</v>
      </c>
      <c r="BM296" s="20">
        <v>1315752.92</v>
      </c>
      <c r="BN296" s="20">
        <v>652169109780</v>
      </c>
      <c r="BO296" s="111">
        <v>46258</v>
      </c>
      <c r="BP296" s="20">
        <v>0</v>
      </c>
    </row>
    <row r="297" spans="2:68">
      <c r="B297" s="20" t="s">
        <v>2165</v>
      </c>
      <c r="C297" s="20" t="s">
        <v>3096</v>
      </c>
      <c r="D297" s="20" t="s">
        <v>3645</v>
      </c>
      <c r="E297" s="20" t="s">
        <v>160</v>
      </c>
      <c r="F297" s="20" t="s">
        <v>17</v>
      </c>
      <c r="H297" s="20" t="s">
        <v>3646</v>
      </c>
      <c r="I297" s="20">
        <v>289</v>
      </c>
      <c r="J297" s="20">
        <v>289</v>
      </c>
      <c r="K297" s="20" t="s">
        <v>11</v>
      </c>
      <c r="L297" s="20">
        <v>289</v>
      </c>
      <c r="M297" s="20">
        <v>0</v>
      </c>
      <c r="N297" s="20">
        <v>289</v>
      </c>
      <c r="O297" s="20" t="s">
        <v>2156</v>
      </c>
      <c r="P297" s="20" t="s">
        <v>87</v>
      </c>
      <c r="Q297" s="20" t="s">
        <v>87</v>
      </c>
      <c r="R297" s="20" t="s">
        <v>3106</v>
      </c>
      <c r="S297" s="20" t="s">
        <v>3096</v>
      </c>
      <c r="T297" s="20" t="s">
        <v>206</v>
      </c>
      <c r="U297" s="20" t="s">
        <v>207</v>
      </c>
      <c r="V297" s="20" t="s">
        <v>3105</v>
      </c>
      <c r="W297" s="20">
        <v>184.86</v>
      </c>
      <c r="X297" s="20">
        <v>184.86000112398</v>
      </c>
      <c r="Y297" s="20" t="s">
        <v>3106</v>
      </c>
      <c r="Z297" s="20" t="s">
        <v>3096</v>
      </c>
      <c r="AB297" s="20" t="s">
        <v>212</v>
      </c>
      <c r="AD297" s="20" t="s">
        <v>213</v>
      </c>
      <c r="AE297" s="20" t="s">
        <v>212</v>
      </c>
      <c r="AF297" s="20">
        <v>0</v>
      </c>
      <c r="AG297" s="20">
        <v>0</v>
      </c>
      <c r="AH297" s="20">
        <v>0</v>
      </c>
      <c r="AI297" s="20">
        <v>0</v>
      </c>
      <c r="AJ297" s="20">
        <v>0</v>
      </c>
      <c r="AK297" s="20" t="s">
        <v>576</v>
      </c>
      <c r="AL297" s="20">
        <v>0</v>
      </c>
      <c r="AM297" s="20">
        <v>0</v>
      </c>
      <c r="AN297" s="20">
        <v>0</v>
      </c>
      <c r="AO297" s="20">
        <v>0</v>
      </c>
      <c r="AP297" s="20">
        <v>0</v>
      </c>
      <c r="AR297" s="20">
        <v>0</v>
      </c>
      <c r="AS297" s="20">
        <v>0</v>
      </c>
      <c r="AT297" s="20">
        <v>1315752.92</v>
      </c>
      <c r="AU297" s="20" t="s">
        <v>13</v>
      </c>
      <c r="AV297" s="20" t="s">
        <v>80</v>
      </c>
      <c r="AW297" s="20" t="s">
        <v>81</v>
      </c>
      <c r="AX297" s="20" t="s">
        <v>208</v>
      </c>
      <c r="AY297" s="20" t="s">
        <v>209</v>
      </c>
      <c r="AZ297" s="20">
        <v>0</v>
      </c>
      <c r="BA297" s="20">
        <v>53424.54</v>
      </c>
      <c r="BB297" s="20">
        <v>1204</v>
      </c>
      <c r="BC297" s="20" t="s">
        <v>3096</v>
      </c>
      <c r="BD297" s="20" t="s">
        <v>65</v>
      </c>
      <c r="BE297" s="20" t="s">
        <v>210</v>
      </c>
      <c r="BF297" s="20" t="s">
        <v>210</v>
      </c>
      <c r="BG297" s="20">
        <v>9</v>
      </c>
      <c r="BH297" s="20">
        <v>4808.21</v>
      </c>
      <c r="BI297" s="20">
        <v>9</v>
      </c>
      <c r="BJ297" s="20">
        <v>4808.21</v>
      </c>
      <c r="BK297" s="20">
        <v>0</v>
      </c>
      <c r="BL297" s="20">
        <v>0</v>
      </c>
      <c r="BM297" s="20">
        <v>0</v>
      </c>
      <c r="BN297" s="20">
        <v>652169109780</v>
      </c>
      <c r="BO297" s="111">
        <v>46258</v>
      </c>
      <c r="BP297" s="20">
        <v>0</v>
      </c>
    </row>
    <row r="298" spans="2:68">
      <c r="B298" s="20" t="s">
        <v>2165</v>
      </c>
      <c r="C298" s="20" t="s">
        <v>3096</v>
      </c>
      <c r="D298" s="20" t="s">
        <v>3645</v>
      </c>
      <c r="E298" s="20" t="s">
        <v>23</v>
      </c>
      <c r="F298" s="20" t="s">
        <v>24</v>
      </c>
      <c r="H298" s="20" t="s">
        <v>3646</v>
      </c>
      <c r="I298" s="20">
        <v>19.8</v>
      </c>
      <c r="J298" s="20">
        <v>19.8</v>
      </c>
      <c r="K298" s="20" t="s">
        <v>11</v>
      </c>
      <c r="L298" s="20">
        <v>19.8</v>
      </c>
      <c r="M298" s="20">
        <v>0</v>
      </c>
      <c r="N298" s="20">
        <v>19.8</v>
      </c>
      <c r="O298" s="20" t="s">
        <v>2156</v>
      </c>
      <c r="P298" s="20" t="s">
        <v>87</v>
      </c>
      <c r="Q298" s="20" t="s">
        <v>87</v>
      </c>
      <c r="R298" s="20" t="s">
        <v>3106</v>
      </c>
      <c r="S298" s="111" t="s">
        <v>3096</v>
      </c>
      <c r="T298" s="20" t="s">
        <v>206</v>
      </c>
      <c r="U298" s="20" t="s">
        <v>207</v>
      </c>
      <c r="V298" s="20" t="s">
        <v>3105</v>
      </c>
      <c r="W298" s="20">
        <v>168.32</v>
      </c>
      <c r="X298" s="20">
        <v>168.32000102341399</v>
      </c>
      <c r="Y298" s="20" t="s">
        <v>3106</v>
      </c>
      <c r="Z298" s="111" t="s">
        <v>3096</v>
      </c>
      <c r="AB298" s="20" t="s">
        <v>212</v>
      </c>
      <c r="AD298" s="20" t="s">
        <v>213</v>
      </c>
      <c r="AE298" s="20" t="s">
        <v>212</v>
      </c>
      <c r="AF298" s="20">
        <v>0</v>
      </c>
      <c r="AG298" s="20">
        <v>0</v>
      </c>
      <c r="AH298" s="20">
        <v>0</v>
      </c>
      <c r="AI298" s="20">
        <v>0</v>
      </c>
      <c r="AJ298" s="20">
        <v>0</v>
      </c>
      <c r="AK298" s="20" t="s">
        <v>576</v>
      </c>
      <c r="AL298" s="20">
        <v>0</v>
      </c>
      <c r="AM298" s="20">
        <v>0</v>
      </c>
      <c r="AN298" s="20">
        <v>0</v>
      </c>
      <c r="AO298" s="20">
        <v>0</v>
      </c>
      <c r="AP298" s="20">
        <v>0</v>
      </c>
      <c r="AR298" s="20">
        <v>0</v>
      </c>
      <c r="AS298" s="20">
        <v>0</v>
      </c>
      <c r="AT298" s="20">
        <v>1315752.92</v>
      </c>
      <c r="AU298" s="20" t="s">
        <v>13</v>
      </c>
      <c r="AV298" s="20" t="s">
        <v>24</v>
      </c>
      <c r="AW298" s="20" t="s">
        <v>79</v>
      </c>
      <c r="AX298" s="20" t="s">
        <v>208</v>
      </c>
      <c r="AY298" s="20" t="s">
        <v>209</v>
      </c>
      <c r="AZ298" s="20">
        <v>0</v>
      </c>
      <c r="BA298" s="20">
        <v>3332.74</v>
      </c>
      <c r="BB298" s="20">
        <v>1204</v>
      </c>
      <c r="BC298" s="20" t="s">
        <v>3096</v>
      </c>
      <c r="BD298" s="20" t="s">
        <v>65</v>
      </c>
      <c r="BE298" s="20" t="s">
        <v>210</v>
      </c>
      <c r="BF298" s="20" t="s">
        <v>210</v>
      </c>
      <c r="BG298" s="20">
        <v>9</v>
      </c>
      <c r="BH298" s="20">
        <v>299.95</v>
      </c>
      <c r="BI298" s="20">
        <v>9</v>
      </c>
      <c r="BJ298" s="20">
        <v>299.95</v>
      </c>
      <c r="BK298" s="20">
        <v>0</v>
      </c>
      <c r="BL298" s="20">
        <v>0</v>
      </c>
      <c r="BM298" s="20">
        <v>0</v>
      </c>
      <c r="BN298" s="20">
        <v>652169109780</v>
      </c>
      <c r="BO298" s="111">
        <v>46258</v>
      </c>
      <c r="BP298" s="20">
        <v>0</v>
      </c>
    </row>
    <row r="299" spans="2:68">
      <c r="B299" s="20" t="s">
        <v>2165</v>
      </c>
      <c r="C299" s="20" t="s">
        <v>3096</v>
      </c>
      <c r="D299" s="20" t="s">
        <v>3645</v>
      </c>
      <c r="E299" s="20" t="s">
        <v>23</v>
      </c>
      <c r="F299" s="20" t="s">
        <v>24</v>
      </c>
      <c r="H299" s="20" t="s">
        <v>3646</v>
      </c>
      <c r="I299" s="20">
        <v>1431.8</v>
      </c>
      <c r="J299" s="20">
        <v>1431.8</v>
      </c>
      <c r="K299" s="20" t="s">
        <v>11</v>
      </c>
      <c r="L299" s="20">
        <v>1431.8</v>
      </c>
      <c r="M299" s="20">
        <v>0</v>
      </c>
      <c r="N299" s="20">
        <v>1431.8</v>
      </c>
      <c r="O299" s="20" t="s">
        <v>2156</v>
      </c>
      <c r="P299" s="20" t="s">
        <v>87</v>
      </c>
      <c r="Q299" s="20" t="s">
        <v>87</v>
      </c>
      <c r="R299" s="20" t="s">
        <v>3106</v>
      </c>
      <c r="S299" s="20" t="s">
        <v>3096</v>
      </c>
      <c r="T299" s="20" t="s">
        <v>206</v>
      </c>
      <c r="U299" s="20" t="s">
        <v>207</v>
      </c>
      <c r="V299" s="20" t="s">
        <v>3105</v>
      </c>
      <c r="W299" s="20">
        <v>147.32</v>
      </c>
      <c r="X299" s="20">
        <v>147.32000089573</v>
      </c>
      <c r="Y299" s="20" t="s">
        <v>3106</v>
      </c>
      <c r="Z299" s="20" t="s">
        <v>3096</v>
      </c>
      <c r="AB299" s="20" t="s">
        <v>212</v>
      </c>
      <c r="AD299" s="20" t="s">
        <v>213</v>
      </c>
      <c r="AE299" s="20" t="s">
        <v>212</v>
      </c>
      <c r="AF299" s="20">
        <v>0</v>
      </c>
      <c r="AG299" s="20">
        <v>0</v>
      </c>
      <c r="AH299" s="20">
        <v>0</v>
      </c>
      <c r="AI299" s="20">
        <v>0</v>
      </c>
      <c r="AJ299" s="20">
        <v>0</v>
      </c>
      <c r="AK299" s="20" t="s">
        <v>576</v>
      </c>
      <c r="AL299" s="20">
        <v>0</v>
      </c>
      <c r="AM299" s="20">
        <v>0</v>
      </c>
      <c r="AN299" s="20">
        <v>0</v>
      </c>
      <c r="AO299" s="20">
        <v>0</v>
      </c>
      <c r="AP299" s="20">
        <v>0</v>
      </c>
      <c r="AR299" s="20">
        <v>0</v>
      </c>
      <c r="AS299" s="20">
        <v>0</v>
      </c>
      <c r="AT299" s="20">
        <v>1315752.92</v>
      </c>
      <c r="AU299" s="20" t="s">
        <v>13</v>
      </c>
      <c r="AV299" s="20" t="s">
        <v>24</v>
      </c>
      <c r="AW299" s="20" t="s">
        <v>79</v>
      </c>
      <c r="AX299" s="20" t="s">
        <v>208</v>
      </c>
      <c r="AY299" s="20" t="s">
        <v>209</v>
      </c>
      <c r="AZ299" s="20">
        <v>0</v>
      </c>
      <c r="BA299" s="20">
        <v>210932.78</v>
      </c>
      <c r="BB299" s="20">
        <v>1204</v>
      </c>
      <c r="BC299" s="20" t="s">
        <v>3096</v>
      </c>
      <c r="BD299" s="20" t="s">
        <v>65</v>
      </c>
      <c r="BE299" s="20" t="s">
        <v>210</v>
      </c>
      <c r="BF299" s="20" t="s">
        <v>210</v>
      </c>
      <c r="BG299" s="20">
        <v>9</v>
      </c>
      <c r="BH299" s="20">
        <v>18983.95</v>
      </c>
      <c r="BI299" s="20">
        <v>9</v>
      </c>
      <c r="BJ299" s="20">
        <v>18983.95</v>
      </c>
      <c r="BK299" s="20">
        <v>0</v>
      </c>
      <c r="BL299" s="20">
        <v>0</v>
      </c>
      <c r="BM299" s="20">
        <v>0</v>
      </c>
      <c r="BN299" s="20">
        <v>652169109780</v>
      </c>
      <c r="BO299" s="111">
        <v>46258</v>
      </c>
      <c r="BP299" s="20">
        <v>0</v>
      </c>
    </row>
    <row r="300" spans="2:68">
      <c r="B300" s="20" t="s">
        <v>2165</v>
      </c>
      <c r="C300" s="20" t="s">
        <v>3096</v>
      </c>
      <c r="D300" s="20" t="s">
        <v>3645</v>
      </c>
      <c r="E300" s="20" t="s">
        <v>23</v>
      </c>
      <c r="F300" s="20" t="s">
        <v>24</v>
      </c>
      <c r="H300" s="20" t="s">
        <v>3646</v>
      </c>
      <c r="I300" s="20">
        <v>56.5</v>
      </c>
      <c r="J300" s="20">
        <v>56.5</v>
      </c>
      <c r="K300" s="20" t="s">
        <v>11</v>
      </c>
      <c r="L300" s="20">
        <v>56.5</v>
      </c>
      <c r="M300" s="20">
        <v>0</v>
      </c>
      <c r="N300" s="20">
        <v>56.5</v>
      </c>
      <c r="O300" s="20" t="s">
        <v>2156</v>
      </c>
      <c r="P300" s="20" t="s">
        <v>87</v>
      </c>
      <c r="Q300" s="20" t="s">
        <v>87</v>
      </c>
      <c r="R300" s="20" t="s">
        <v>3106</v>
      </c>
      <c r="S300" s="20" t="s">
        <v>3096</v>
      </c>
      <c r="T300" s="20" t="s">
        <v>206</v>
      </c>
      <c r="U300" s="20" t="s">
        <v>207</v>
      </c>
      <c r="V300" s="20" t="s">
        <v>3105</v>
      </c>
      <c r="W300" s="20">
        <v>144.32</v>
      </c>
      <c r="X300" s="20">
        <v>144.32000087749</v>
      </c>
      <c r="Y300" s="20" t="s">
        <v>3106</v>
      </c>
      <c r="Z300" s="20" t="s">
        <v>3096</v>
      </c>
      <c r="AB300" s="20" t="s">
        <v>212</v>
      </c>
      <c r="AD300" s="20" t="s">
        <v>213</v>
      </c>
      <c r="AE300" s="20" t="s">
        <v>212</v>
      </c>
      <c r="AF300" s="20">
        <v>0</v>
      </c>
      <c r="AG300" s="20">
        <v>0</v>
      </c>
      <c r="AH300" s="20">
        <v>0</v>
      </c>
      <c r="AI300" s="20">
        <v>0</v>
      </c>
      <c r="AJ300" s="20">
        <v>0</v>
      </c>
      <c r="AK300" s="20" t="s">
        <v>576</v>
      </c>
      <c r="AL300" s="20">
        <v>0</v>
      </c>
      <c r="AM300" s="20">
        <v>0</v>
      </c>
      <c r="AN300" s="20">
        <v>0</v>
      </c>
      <c r="AO300" s="20">
        <v>0</v>
      </c>
      <c r="AP300" s="20">
        <v>0</v>
      </c>
      <c r="AR300" s="20">
        <v>0</v>
      </c>
      <c r="AS300" s="20">
        <v>0</v>
      </c>
      <c r="AT300" s="20">
        <v>1315752.92</v>
      </c>
      <c r="AU300" s="20" t="s">
        <v>13</v>
      </c>
      <c r="AV300" s="20" t="s">
        <v>24</v>
      </c>
      <c r="AW300" s="20" t="s">
        <v>79</v>
      </c>
      <c r="AX300" s="20" t="s">
        <v>208</v>
      </c>
      <c r="AY300" s="20" t="s">
        <v>209</v>
      </c>
      <c r="AZ300" s="20">
        <v>0</v>
      </c>
      <c r="BA300" s="20">
        <v>8154.08</v>
      </c>
      <c r="BB300" s="20">
        <v>1204</v>
      </c>
      <c r="BC300" s="20" t="s">
        <v>3096</v>
      </c>
      <c r="BD300" s="20" t="s">
        <v>65</v>
      </c>
      <c r="BE300" s="20" t="s">
        <v>210</v>
      </c>
      <c r="BF300" s="20" t="s">
        <v>210</v>
      </c>
      <c r="BG300" s="20">
        <v>9</v>
      </c>
      <c r="BH300" s="20">
        <v>733.87</v>
      </c>
      <c r="BI300" s="20">
        <v>9</v>
      </c>
      <c r="BJ300" s="20">
        <v>733.87</v>
      </c>
      <c r="BK300" s="20">
        <v>0</v>
      </c>
      <c r="BL300" s="20">
        <v>0</v>
      </c>
      <c r="BM300" s="20">
        <v>0</v>
      </c>
      <c r="BN300" s="20">
        <v>652169109780</v>
      </c>
      <c r="BO300" s="111">
        <v>46258</v>
      </c>
      <c r="BP300" s="20">
        <v>0</v>
      </c>
    </row>
    <row r="301" spans="2:68">
      <c r="B301" s="20" t="s">
        <v>2165</v>
      </c>
      <c r="C301" s="20" t="s">
        <v>3096</v>
      </c>
      <c r="D301" s="20" t="s">
        <v>3647</v>
      </c>
      <c r="E301" s="20" t="s">
        <v>18</v>
      </c>
      <c r="F301" s="20" t="s">
        <v>19</v>
      </c>
      <c r="H301" s="20" t="s">
        <v>3648</v>
      </c>
      <c r="I301" s="20">
        <v>561</v>
      </c>
      <c r="J301" s="20">
        <v>561</v>
      </c>
      <c r="K301" s="20" t="s">
        <v>11</v>
      </c>
      <c r="L301" s="20">
        <v>561</v>
      </c>
      <c r="M301" s="20">
        <v>0</v>
      </c>
      <c r="N301" s="20">
        <v>561</v>
      </c>
      <c r="O301" s="20" t="s">
        <v>2156</v>
      </c>
      <c r="P301" s="20" t="s">
        <v>87</v>
      </c>
      <c r="Q301" s="20" t="s">
        <v>87</v>
      </c>
      <c r="R301" s="20" t="s">
        <v>3108</v>
      </c>
      <c r="S301" s="20" t="s">
        <v>3096</v>
      </c>
      <c r="T301" s="20" t="s">
        <v>206</v>
      </c>
      <c r="U301" s="20" t="s">
        <v>207</v>
      </c>
      <c r="V301" s="20" t="s">
        <v>3107</v>
      </c>
      <c r="W301" s="20">
        <v>144.32</v>
      </c>
      <c r="X301" s="20">
        <v>144.32</v>
      </c>
      <c r="Y301" s="20" t="s">
        <v>3108</v>
      </c>
      <c r="Z301" s="20" t="s">
        <v>3096</v>
      </c>
      <c r="AB301" s="20" t="s">
        <v>212</v>
      </c>
      <c r="AD301" s="20" t="s">
        <v>213</v>
      </c>
      <c r="AE301" s="20" t="s">
        <v>212</v>
      </c>
      <c r="AF301" s="20">
        <v>0</v>
      </c>
      <c r="AG301" s="20">
        <v>0</v>
      </c>
      <c r="AH301" s="20">
        <v>0</v>
      </c>
      <c r="AI301" s="20">
        <v>0</v>
      </c>
      <c r="AJ301" s="20">
        <v>0</v>
      </c>
      <c r="AK301" s="20" t="s">
        <v>576</v>
      </c>
      <c r="AL301" s="20">
        <v>0</v>
      </c>
      <c r="AM301" s="20">
        <v>0</v>
      </c>
      <c r="AN301" s="20">
        <v>0</v>
      </c>
      <c r="AO301" s="20">
        <v>0</v>
      </c>
      <c r="AP301" s="20">
        <v>0</v>
      </c>
      <c r="AR301" s="20">
        <v>0</v>
      </c>
      <c r="AS301" s="20">
        <v>0</v>
      </c>
      <c r="AT301" s="20">
        <v>449524.36</v>
      </c>
      <c r="AU301" s="20" t="s">
        <v>13</v>
      </c>
      <c r="AV301" s="20" t="s">
        <v>62</v>
      </c>
      <c r="AW301" s="20" t="s">
        <v>63</v>
      </c>
      <c r="AX301" s="20" t="s">
        <v>208</v>
      </c>
      <c r="AY301" s="20" t="s">
        <v>209</v>
      </c>
      <c r="AZ301" s="20">
        <v>0</v>
      </c>
      <c r="BA301" s="20">
        <v>80963.520000000004</v>
      </c>
      <c r="BB301" s="20">
        <v>1206</v>
      </c>
      <c r="BC301" s="20" t="s">
        <v>3096</v>
      </c>
      <c r="BD301" s="20" t="s">
        <v>65</v>
      </c>
      <c r="BE301" s="20" t="s">
        <v>210</v>
      </c>
      <c r="BF301" s="20" t="s">
        <v>210</v>
      </c>
      <c r="BG301" s="20">
        <v>9</v>
      </c>
      <c r="BH301" s="20">
        <v>7286.72</v>
      </c>
      <c r="BI301" s="20">
        <v>9</v>
      </c>
      <c r="BJ301" s="20">
        <v>7286.72</v>
      </c>
      <c r="BK301" s="20">
        <v>0</v>
      </c>
      <c r="BL301" s="20">
        <v>0</v>
      </c>
      <c r="BM301" s="20">
        <v>449524.36</v>
      </c>
      <c r="BN301" s="20">
        <v>692169183885</v>
      </c>
      <c r="BO301" s="111">
        <v>46258</v>
      </c>
      <c r="BP301" s="20">
        <v>0</v>
      </c>
    </row>
    <row r="302" spans="2:68">
      <c r="B302" s="20" t="s">
        <v>2165</v>
      </c>
      <c r="C302" s="20" t="s">
        <v>3096</v>
      </c>
      <c r="D302" s="20" t="s">
        <v>3647</v>
      </c>
      <c r="E302" s="20" t="s">
        <v>18</v>
      </c>
      <c r="F302" s="20" t="s">
        <v>19</v>
      </c>
      <c r="H302" s="20" t="s">
        <v>3648</v>
      </c>
      <c r="I302" s="20">
        <v>325</v>
      </c>
      <c r="J302" s="20">
        <v>325</v>
      </c>
      <c r="K302" s="20" t="s">
        <v>11</v>
      </c>
      <c r="L302" s="20">
        <v>325</v>
      </c>
      <c r="M302" s="20">
        <v>0</v>
      </c>
      <c r="N302" s="20">
        <v>325</v>
      </c>
      <c r="O302" s="20" t="s">
        <v>2156</v>
      </c>
      <c r="P302" s="20" t="s">
        <v>87</v>
      </c>
      <c r="Q302" s="20" t="s">
        <v>87</v>
      </c>
      <c r="R302" s="20" t="s">
        <v>3108</v>
      </c>
      <c r="S302" s="20" t="s">
        <v>3096</v>
      </c>
      <c r="T302" s="20" t="s">
        <v>206</v>
      </c>
      <c r="U302" s="20" t="s">
        <v>207</v>
      </c>
      <c r="V302" s="20" t="s">
        <v>3107</v>
      </c>
      <c r="W302" s="20">
        <v>145.32</v>
      </c>
      <c r="X302" s="20">
        <v>145.32</v>
      </c>
      <c r="Y302" s="20" t="s">
        <v>3108</v>
      </c>
      <c r="Z302" s="20" t="s">
        <v>3096</v>
      </c>
      <c r="AB302" s="20" t="s">
        <v>212</v>
      </c>
      <c r="AD302" s="20" t="s">
        <v>213</v>
      </c>
      <c r="AE302" s="20" t="s">
        <v>212</v>
      </c>
      <c r="AF302" s="20">
        <v>0</v>
      </c>
      <c r="AG302" s="20">
        <v>0</v>
      </c>
      <c r="AH302" s="20">
        <v>0</v>
      </c>
      <c r="AI302" s="20">
        <v>0</v>
      </c>
      <c r="AJ302" s="20">
        <v>0</v>
      </c>
      <c r="AK302" s="20" t="s">
        <v>576</v>
      </c>
      <c r="AL302" s="20">
        <v>0</v>
      </c>
      <c r="AM302" s="20">
        <v>0</v>
      </c>
      <c r="AN302" s="20">
        <v>0</v>
      </c>
      <c r="AO302" s="20">
        <v>0</v>
      </c>
      <c r="AP302" s="20">
        <v>0</v>
      </c>
      <c r="AR302" s="20">
        <v>0</v>
      </c>
      <c r="AS302" s="20">
        <v>0</v>
      </c>
      <c r="AT302" s="20">
        <v>449524.36</v>
      </c>
      <c r="AU302" s="20" t="s">
        <v>13</v>
      </c>
      <c r="AV302" s="20" t="s">
        <v>62</v>
      </c>
      <c r="AW302" s="20" t="s">
        <v>63</v>
      </c>
      <c r="AX302" s="20" t="s">
        <v>208</v>
      </c>
      <c r="AY302" s="20" t="s">
        <v>209</v>
      </c>
      <c r="AZ302" s="20">
        <v>0</v>
      </c>
      <c r="BA302" s="20">
        <v>47229</v>
      </c>
      <c r="BB302" s="20">
        <v>1206</v>
      </c>
      <c r="BC302" s="20" t="s">
        <v>3096</v>
      </c>
      <c r="BD302" s="20" t="s">
        <v>65</v>
      </c>
      <c r="BE302" s="20" t="s">
        <v>210</v>
      </c>
      <c r="BF302" s="20" t="s">
        <v>210</v>
      </c>
      <c r="BG302" s="20">
        <v>9</v>
      </c>
      <c r="BH302" s="20">
        <v>4250.6099999999997</v>
      </c>
      <c r="BI302" s="20">
        <v>9</v>
      </c>
      <c r="BJ302" s="20">
        <v>4250.6099999999997</v>
      </c>
      <c r="BK302" s="20">
        <v>0</v>
      </c>
      <c r="BL302" s="20">
        <v>0</v>
      </c>
      <c r="BM302" s="20">
        <v>0</v>
      </c>
      <c r="BN302" s="20">
        <v>692169183885</v>
      </c>
      <c r="BO302" s="111">
        <v>46258</v>
      </c>
      <c r="BP302" s="20">
        <v>0</v>
      </c>
    </row>
    <row r="303" spans="2:68">
      <c r="B303" s="20" t="s">
        <v>2165</v>
      </c>
      <c r="C303" s="20" t="s">
        <v>3096</v>
      </c>
      <c r="D303" s="20" t="s">
        <v>3647</v>
      </c>
      <c r="E303" s="20" t="s">
        <v>18</v>
      </c>
      <c r="F303" s="20" t="s">
        <v>19</v>
      </c>
      <c r="H303" s="20" t="s">
        <v>3648</v>
      </c>
      <c r="I303" s="20">
        <v>1776</v>
      </c>
      <c r="J303" s="20">
        <v>1776</v>
      </c>
      <c r="K303" s="20" t="s">
        <v>11</v>
      </c>
      <c r="L303" s="20">
        <v>1776</v>
      </c>
      <c r="M303" s="20">
        <v>0</v>
      </c>
      <c r="N303" s="20">
        <v>1776</v>
      </c>
      <c r="O303" s="20" t="s">
        <v>2156</v>
      </c>
      <c r="P303" s="20" t="s">
        <v>87</v>
      </c>
      <c r="Q303" s="20" t="s">
        <v>87</v>
      </c>
      <c r="R303" s="20" t="s">
        <v>3108</v>
      </c>
      <c r="S303" s="20" t="s">
        <v>3096</v>
      </c>
      <c r="T303" s="20" t="s">
        <v>206</v>
      </c>
      <c r="U303" s="20" t="s">
        <v>207</v>
      </c>
      <c r="V303" s="20" t="s">
        <v>3107</v>
      </c>
      <c r="W303" s="20">
        <v>142.32</v>
      </c>
      <c r="X303" s="20">
        <v>142.32</v>
      </c>
      <c r="Y303" s="20" t="s">
        <v>3108</v>
      </c>
      <c r="Z303" s="20" t="s">
        <v>3096</v>
      </c>
      <c r="AB303" s="20" t="s">
        <v>212</v>
      </c>
      <c r="AD303" s="20" t="s">
        <v>213</v>
      </c>
      <c r="AE303" s="20" t="s">
        <v>212</v>
      </c>
      <c r="AF303" s="20">
        <v>0</v>
      </c>
      <c r="AG303" s="20">
        <v>0</v>
      </c>
      <c r="AH303" s="20">
        <v>0</v>
      </c>
      <c r="AI303" s="20">
        <v>0</v>
      </c>
      <c r="AJ303" s="20">
        <v>0</v>
      </c>
      <c r="AK303" s="20" t="s">
        <v>576</v>
      </c>
      <c r="AL303" s="20">
        <v>0</v>
      </c>
      <c r="AM303" s="20">
        <v>0</v>
      </c>
      <c r="AN303" s="20">
        <v>0</v>
      </c>
      <c r="AO303" s="20">
        <v>0</v>
      </c>
      <c r="AP303" s="20">
        <v>0</v>
      </c>
      <c r="AR303" s="20">
        <v>0</v>
      </c>
      <c r="AS303" s="20">
        <v>0</v>
      </c>
      <c r="AT303" s="20">
        <v>449524.36</v>
      </c>
      <c r="AU303" s="20" t="s">
        <v>13</v>
      </c>
      <c r="AV303" s="20" t="s">
        <v>62</v>
      </c>
      <c r="AW303" s="20" t="s">
        <v>63</v>
      </c>
      <c r="AX303" s="20" t="s">
        <v>208</v>
      </c>
      <c r="AY303" s="20" t="s">
        <v>209</v>
      </c>
      <c r="AZ303" s="20">
        <v>0</v>
      </c>
      <c r="BA303" s="20">
        <v>252760.32000000001</v>
      </c>
      <c r="BB303" s="20">
        <v>1206</v>
      </c>
      <c r="BC303" s="20" t="s">
        <v>3096</v>
      </c>
      <c r="BD303" s="20" t="s">
        <v>65</v>
      </c>
      <c r="BE303" s="20" t="s">
        <v>210</v>
      </c>
      <c r="BF303" s="20" t="s">
        <v>210</v>
      </c>
      <c r="BG303" s="20">
        <v>9</v>
      </c>
      <c r="BH303" s="20">
        <v>22748.43</v>
      </c>
      <c r="BI303" s="20">
        <v>9</v>
      </c>
      <c r="BJ303" s="20">
        <v>22748.43</v>
      </c>
      <c r="BK303" s="20">
        <v>0</v>
      </c>
      <c r="BL303" s="20">
        <v>0</v>
      </c>
      <c r="BM303" s="20">
        <v>0</v>
      </c>
      <c r="BN303" s="20">
        <v>692169183885</v>
      </c>
      <c r="BO303" s="111">
        <v>46258</v>
      </c>
      <c r="BP303" s="20">
        <v>0</v>
      </c>
    </row>
    <row r="304" spans="2:68">
      <c r="B304" s="20" t="s">
        <v>2165</v>
      </c>
      <c r="C304" s="20" t="s">
        <v>3109</v>
      </c>
      <c r="D304" s="20" t="s">
        <v>3649</v>
      </c>
      <c r="E304" s="20" t="s">
        <v>211</v>
      </c>
      <c r="F304" s="20" t="s">
        <v>16</v>
      </c>
      <c r="H304" s="20" t="s">
        <v>3650</v>
      </c>
      <c r="I304" s="20">
        <v>4891.3999999999996</v>
      </c>
      <c r="J304" s="20">
        <v>4891.3999999999996</v>
      </c>
      <c r="K304" s="20" t="s">
        <v>11</v>
      </c>
      <c r="L304" s="20">
        <v>4891.3999999999996</v>
      </c>
      <c r="M304" s="20">
        <v>0</v>
      </c>
      <c r="N304" s="20">
        <v>4891.3999999999996</v>
      </c>
      <c r="O304" s="20" t="s">
        <v>3651</v>
      </c>
      <c r="P304" s="20" t="s">
        <v>93</v>
      </c>
      <c r="Q304" s="20" t="s">
        <v>93</v>
      </c>
      <c r="R304" s="20" t="s">
        <v>3122</v>
      </c>
      <c r="S304" s="20" t="s">
        <v>3096</v>
      </c>
      <c r="T304" s="20" t="s">
        <v>206</v>
      </c>
      <c r="U304" s="20" t="s">
        <v>207</v>
      </c>
      <c r="V304" s="20" t="s">
        <v>3121</v>
      </c>
      <c r="W304" s="20">
        <v>192.18</v>
      </c>
      <c r="X304" s="20">
        <v>192.17999982166199</v>
      </c>
      <c r="Y304" s="20" t="s">
        <v>3122</v>
      </c>
      <c r="Z304" s="20" t="s">
        <v>3096</v>
      </c>
      <c r="AB304" s="20" t="s">
        <v>212</v>
      </c>
      <c r="AD304" s="20" t="s">
        <v>213</v>
      </c>
      <c r="AE304" s="20" t="s">
        <v>212</v>
      </c>
      <c r="AF304" s="20">
        <v>0</v>
      </c>
      <c r="AG304" s="20">
        <v>0</v>
      </c>
      <c r="AH304" s="20">
        <v>0</v>
      </c>
      <c r="AI304" s="20">
        <v>0</v>
      </c>
      <c r="AJ304" s="20">
        <v>0</v>
      </c>
      <c r="AK304" s="20" t="s">
        <v>576</v>
      </c>
      <c r="AL304" s="20">
        <v>0</v>
      </c>
      <c r="AM304" s="20">
        <v>0</v>
      </c>
      <c r="AN304" s="20">
        <v>0</v>
      </c>
      <c r="AO304" s="20">
        <v>0</v>
      </c>
      <c r="AP304" s="20">
        <v>0</v>
      </c>
      <c r="AR304" s="20">
        <v>0</v>
      </c>
      <c r="AS304" s="20">
        <v>0</v>
      </c>
      <c r="AT304" s="20">
        <v>5388080.9900000002</v>
      </c>
      <c r="AU304" s="20" t="s">
        <v>15</v>
      </c>
      <c r="AV304" s="20" t="s">
        <v>57</v>
      </c>
      <c r="AW304" s="20" t="s">
        <v>57</v>
      </c>
      <c r="AX304" s="20" t="s">
        <v>15</v>
      </c>
      <c r="AY304" s="20" t="s">
        <v>209</v>
      </c>
      <c r="AZ304" s="20">
        <v>0</v>
      </c>
      <c r="BA304" s="20">
        <v>940029.25</v>
      </c>
      <c r="BB304" s="20">
        <v>1207</v>
      </c>
      <c r="BC304" s="20" t="s">
        <v>3109</v>
      </c>
      <c r="BD304" s="20" t="s">
        <v>59</v>
      </c>
      <c r="BE304" s="20" t="s">
        <v>210</v>
      </c>
      <c r="BF304" s="20" t="s">
        <v>210</v>
      </c>
      <c r="BG304" s="20">
        <v>9</v>
      </c>
      <c r="BH304" s="20">
        <v>84602.63</v>
      </c>
      <c r="BI304" s="20">
        <v>9</v>
      </c>
      <c r="BJ304" s="20">
        <v>84602.63</v>
      </c>
      <c r="BK304" s="20">
        <v>0</v>
      </c>
      <c r="BL304" s="20">
        <v>0</v>
      </c>
      <c r="BM304" s="20">
        <v>5388080.9900000002</v>
      </c>
      <c r="BN304" s="20">
        <v>602169499066</v>
      </c>
      <c r="BO304" s="111">
        <v>46258</v>
      </c>
      <c r="BP304" s="20">
        <v>0</v>
      </c>
    </row>
    <row r="305" spans="2:68">
      <c r="B305" s="20" t="s">
        <v>2165</v>
      </c>
      <c r="C305" s="20" t="s">
        <v>3109</v>
      </c>
      <c r="D305" s="20" t="s">
        <v>3649</v>
      </c>
      <c r="E305" s="20" t="s">
        <v>211</v>
      </c>
      <c r="F305" s="20" t="s">
        <v>16</v>
      </c>
      <c r="H305" s="20" t="s">
        <v>3650</v>
      </c>
      <c r="I305" s="20">
        <v>2023.3</v>
      </c>
      <c r="J305" s="20">
        <v>2023.3</v>
      </c>
      <c r="K305" s="20" t="s">
        <v>11</v>
      </c>
      <c r="L305" s="20">
        <v>2023.3</v>
      </c>
      <c r="M305" s="20">
        <v>0</v>
      </c>
      <c r="N305" s="20">
        <v>2023.3</v>
      </c>
      <c r="O305" s="20" t="s">
        <v>3651</v>
      </c>
      <c r="P305" s="20" t="s">
        <v>93</v>
      </c>
      <c r="Q305" s="20" t="s">
        <v>93</v>
      </c>
      <c r="R305" s="20" t="s">
        <v>3122</v>
      </c>
      <c r="S305" s="20" t="s">
        <v>3096</v>
      </c>
      <c r="T305" s="20" t="s">
        <v>206</v>
      </c>
      <c r="U305" s="20" t="s">
        <v>207</v>
      </c>
      <c r="V305" s="20" t="s">
        <v>3121</v>
      </c>
      <c r="W305" s="20">
        <v>190.05</v>
      </c>
      <c r="X305" s="20">
        <v>190.04999982363901</v>
      </c>
      <c r="Y305" s="20" t="s">
        <v>3122</v>
      </c>
      <c r="Z305" s="20" t="s">
        <v>3096</v>
      </c>
      <c r="AB305" s="20" t="s">
        <v>212</v>
      </c>
      <c r="AD305" s="20" t="s">
        <v>213</v>
      </c>
      <c r="AE305" s="20" t="s">
        <v>212</v>
      </c>
      <c r="AF305" s="20">
        <v>0</v>
      </c>
      <c r="AG305" s="20">
        <v>0</v>
      </c>
      <c r="AH305" s="20">
        <v>0</v>
      </c>
      <c r="AI305" s="20">
        <v>0</v>
      </c>
      <c r="AJ305" s="20">
        <v>0</v>
      </c>
      <c r="AK305" s="20" t="s">
        <v>576</v>
      </c>
      <c r="AL305" s="20">
        <v>0</v>
      </c>
      <c r="AM305" s="20">
        <v>0</v>
      </c>
      <c r="AN305" s="20">
        <v>0</v>
      </c>
      <c r="AO305" s="20">
        <v>0</v>
      </c>
      <c r="AP305" s="20">
        <v>0</v>
      </c>
      <c r="AR305" s="20">
        <v>0</v>
      </c>
      <c r="AS305" s="20">
        <v>0</v>
      </c>
      <c r="AT305" s="20">
        <v>5388080.9900000002</v>
      </c>
      <c r="AU305" s="20" t="s">
        <v>15</v>
      </c>
      <c r="AV305" s="20" t="s">
        <v>57</v>
      </c>
      <c r="AW305" s="20" t="s">
        <v>57</v>
      </c>
      <c r="AX305" s="20" t="s">
        <v>15</v>
      </c>
      <c r="AY305" s="20" t="s">
        <v>209</v>
      </c>
      <c r="AZ305" s="20">
        <v>0</v>
      </c>
      <c r="BA305" s="20">
        <v>384528.16</v>
      </c>
      <c r="BB305" s="20">
        <v>1207</v>
      </c>
      <c r="BC305" s="20" t="s">
        <v>3109</v>
      </c>
      <c r="BD305" s="20" t="s">
        <v>59</v>
      </c>
      <c r="BE305" s="20" t="s">
        <v>210</v>
      </c>
      <c r="BF305" s="20" t="s">
        <v>210</v>
      </c>
      <c r="BG305" s="20">
        <v>9</v>
      </c>
      <c r="BH305" s="20">
        <v>34607.53</v>
      </c>
      <c r="BI305" s="20">
        <v>9</v>
      </c>
      <c r="BJ305" s="20">
        <v>34607.53</v>
      </c>
      <c r="BK305" s="20">
        <v>0</v>
      </c>
      <c r="BL305" s="20">
        <v>0</v>
      </c>
      <c r="BM305" s="20">
        <v>0</v>
      </c>
      <c r="BN305" s="20">
        <v>602169499066</v>
      </c>
      <c r="BO305" s="111">
        <v>46258</v>
      </c>
      <c r="BP305" s="20">
        <v>0</v>
      </c>
    </row>
    <row r="306" spans="2:68">
      <c r="B306" s="20" t="s">
        <v>2165</v>
      </c>
      <c r="C306" s="20" t="s">
        <v>3109</v>
      </c>
      <c r="D306" s="20" t="s">
        <v>3649</v>
      </c>
      <c r="E306" s="20" t="s">
        <v>211</v>
      </c>
      <c r="F306" s="20" t="s">
        <v>16</v>
      </c>
      <c r="H306" s="20" t="s">
        <v>3650</v>
      </c>
      <c r="I306" s="20">
        <v>3186</v>
      </c>
      <c r="J306" s="20">
        <v>3186</v>
      </c>
      <c r="K306" s="20" t="s">
        <v>11</v>
      </c>
      <c r="L306" s="20">
        <v>3186</v>
      </c>
      <c r="M306" s="20">
        <v>0</v>
      </c>
      <c r="N306" s="20">
        <v>3186</v>
      </c>
      <c r="O306" s="20" t="s">
        <v>3651</v>
      </c>
      <c r="P306" s="20" t="s">
        <v>93</v>
      </c>
      <c r="Q306" s="20" t="s">
        <v>93</v>
      </c>
      <c r="R306" s="20" t="s">
        <v>3122</v>
      </c>
      <c r="S306" s="20" t="s">
        <v>3096</v>
      </c>
      <c r="T306" s="20" t="s">
        <v>206</v>
      </c>
      <c r="U306" s="20" t="s">
        <v>207</v>
      </c>
      <c r="V306" s="20" t="s">
        <v>3121</v>
      </c>
      <c r="W306" s="20">
        <v>519.72</v>
      </c>
      <c r="X306" s="20">
        <v>519.71999951771295</v>
      </c>
      <c r="Y306" s="20" t="s">
        <v>3122</v>
      </c>
      <c r="Z306" s="20" t="s">
        <v>3096</v>
      </c>
      <c r="AB306" s="20" t="s">
        <v>212</v>
      </c>
      <c r="AD306" s="20" t="s">
        <v>213</v>
      </c>
      <c r="AE306" s="20" t="s">
        <v>212</v>
      </c>
      <c r="AF306" s="20">
        <v>0</v>
      </c>
      <c r="AG306" s="20">
        <v>0</v>
      </c>
      <c r="AH306" s="20">
        <v>0</v>
      </c>
      <c r="AI306" s="20">
        <v>0</v>
      </c>
      <c r="AJ306" s="20">
        <v>0</v>
      </c>
      <c r="AK306" s="20" t="s">
        <v>576</v>
      </c>
      <c r="AL306" s="20">
        <v>0</v>
      </c>
      <c r="AM306" s="20">
        <v>0</v>
      </c>
      <c r="AN306" s="20">
        <v>0</v>
      </c>
      <c r="AO306" s="20">
        <v>0</v>
      </c>
      <c r="AP306" s="20">
        <v>0</v>
      </c>
      <c r="AR306" s="20">
        <v>0</v>
      </c>
      <c r="AS306" s="20">
        <v>0</v>
      </c>
      <c r="AT306" s="20">
        <v>5388080.9900000002</v>
      </c>
      <c r="AU306" s="20" t="s">
        <v>15</v>
      </c>
      <c r="AV306" s="20" t="s">
        <v>57</v>
      </c>
      <c r="AW306" s="20" t="s">
        <v>57</v>
      </c>
      <c r="AX306" s="20" t="s">
        <v>15</v>
      </c>
      <c r="AY306" s="20" t="s">
        <v>209</v>
      </c>
      <c r="AZ306" s="20">
        <v>0</v>
      </c>
      <c r="BA306" s="20">
        <v>1655827.92</v>
      </c>
      <c r="BB306" s="20">
        <v>1207</v>
      </c>
      <c r="BC306" s="20" t="s">
        <v>3109</v>
      </c>
      <c r="BD306" s="20" t="s">
        <v>59</v>
      </c>
      <c r="BE306" s="20" t="s">
        <v>210</v>
      </c>
      <c r="BF306" s="20" t="s">
        <v>210</v>
      </c>
      <c r="BG306" s="20">
        <v>9</v>
      </c>
      <c r="BH306" s="20">
        <v>149024.51</v>
      </c>
      <c r="BI306" s="20">
        <v>9</v>
      </c>
      <c r="BJ306" s="20">
        <v>149024.51</v>
      </c>
      <c r="BK306" s="20">
        <v>0</v>
      </c>
      <c r="BL306" s="20">
        <v>0</v>
      </c>
      <c r="BM306" s="20">
        <v>0</v>
      </c>
      <c r="BN306" s="20">
        <v>602169499066</v>
      </c>
      <c r="BO306" s="111">
        <v>46258</v>
      </c>
      <c r="BP306" s="20">
        <v>0</v>
      </c>
    </row>
    <row r="307" spans="2:68">
      <c r="B307" s="20" t="s">
        <v>2165</v>
      </c>
      <c r="C307" s="20" t="s">
        <v>3109</v>
      </c>
      <c r="D307" s="20" t="s">
        <v>3649</v>
      </c>
      <c r="E307" s="20" t="s">
        <v>211</v>
      </c>
      <c r="F307" s="20" t="s">
        <v>16</v>
      </c>
      <c r="H307" s="20" t="s">
        <v>3650</v>
      </c>
      <c r="I307" s="20">
        <v>1617</v>
      </c>
      <c r="J307" s="20">
        <v>1617</v>
      </c>
      <c r="K307" s="20" t="s">
        <v>11</v>
      </c>
      <c r="L307" s="20">
        <v>1617</v>
      </c>
      <c r="M307" s="20">
        <v>0</v>
      </c>
      <c r="N307" s="20">
        <v>1617</v>
      </c>
      <c r="O307" s="20" t="s">
        <v>3651</v>
      </c>
      <c r="P307" s="20" t="s">
        <v>93</v>
      </c>
      <c r="Q307" s="20" t="s">
        <v>93</v>
      </c>
      <c r="R307" s="20" t="s">
        <v>3122</v>
      </c>
      <c r="S307" s="20" t="s">
        <v>3096</v>
      </c>
      <c r="T307" s="20" t="s">
        <v>206</v>
      </c>
      <c r="U307" s="20" t="s">
        <v>207</v>
      </c>
      <c r="V307" s="20" t="s">
        <v>3121</v>
      </c>
      <c r="W307" s="20">
        <v>196.67</v>
      </c>
      <c r="X307" s="20">
        <v>196.66999981749501</v>
      </c>
      <c r="Y307" s="20" t="s">
        <v>3122</v>
      </c>
      <c r="Z307" s="20" t="s">
        <v>3096</v>
      </c>
      <c r="AB307" s="20" t="s">
        <v>212</v>
      </c>
      <c r="AD307" s="20" t="s">
        <v>213</v>
      </c>
      <c r="AE307" s="20" t="s">
        <v>212</v>
      </c>
      <c r="AF307" s="20">
        <v>0</v>
      </c>
      <c r="AG307" s="20">
        <v>0</v>
      </c>
      <c r="AH307" s="20">
        <v>0</v>
      </c>
      <c r="AI307" s="20">
        <v>0</v>
      </c>
      <c r="AJ307" s="20">
        <v>0</v>
      </c>
      <c r="AK307" s="20" t="s">
        <v>576</v>
      </c>
      <c r="AL307" s="20">
        <v>0</v>
      </c>
      <c r="AM307" s="20">
        <v>0</v>
      </c>
      <c r="AN307" s="20">
        <v>0</v>
      </c>
      <c r="AO307" s="20">
        <v>0</v>
      </c>
      <c r="AP307" s="20">
        <v>0</v>
      </c>
      <c r="AR307" s="20">
        <v>0</v>
      </c>
      <c r="AS307" s="20">
        <v>0</v>
      </c>
      <c r="AT307" s="20">
        <v>5388080.9900000002</v>
      </c>
      <c r="AU307" s="20" t="s">
        <v>15</v>
      </c>
      <c r="AV307" s="20" t="s">
        <v>57</v>
      </c>
      <c r="AW307" s="20" t="s">
        <v>57</v>
      </c>
      <c r="AX307" s="20" t="s">
        <v>15</v>
      </c>
      <c r="AY307" s="20" t="s">
        <v>209</v>
      </c>
      <c r="AZ307" s="20">
        <v>0</v>
      </c>
      <c r="BA307" s="20">
        <v>318015.39</v>
      </c>
      <c r="BB307" s="20">
        <v>1207</v>
      </c>
      <c r="BC307" s="20" t="s">
        <v>3109</v>
      </c>
      <c r="BD307" s="20" t="s">
        <v>59</v>
      </c>
      <c r="BE307" s="20" t="s">
        <v>210</v>
      </c>
      <c r="BF307" s="20" t="s">
        <v>210</v>
      </c>
      <c r="BG307" s="20">
        <v>9</v>
      </c>
      <c r="BH307" s="20">
        <v>28621.39</v>
      </c>
      <c r="BI307" s="20">
        <v>9</v>
      </c>
      <c r="BJ307" s="20">
        <v>28621.39</v>
      </c>
      <c r="BK307" s="20">
        <v>0</v>
      </c>
      <c r="BL307" s="20">
        <v>0</v>
      </c>
      <c r="BM307" s="20">
        <v>0</v>
      </c>
      <c r="BN307" s="20">
        <v>602169499066</v>
      </c>
      <c r="BO307" s="111">
        <v>46258</v>
      </c>
      <c r="BP307" s="20">
        <v>0</v>
      </c>
    </row>
    <row r="308" spans="2:68">
      <c r="B308" s="20" t="s">
        <v>2165</v>
      </c>
      <c r="C308" s="20" t="s">
        <v>3109</v>
      </c>
      <c r="D308" s="20" t="s">
        <v>3649</v>
      </c>
      <c r="E308" s="20" t="s">
        <v>211</v>
      </c>
      <c r="F308" s="20" t="s">
        <v>16</v>
      </c>
      <c r="H308" s="20" t="s">
        <v>3650</v>
      </c>
      <c r="I308" s="20">
        <v>4989.7</v>
      </c>
      <c r="J308" s="20">
        <v>4989.7</v>
      </c>
      <c r="K308" s="20" t="s">
        <v>11</v>
      </c>
      <c r="L308" s="20">
        <v>4989.7</v>
      </c>
      <c r="M308" s="20">
        <v>0</v>
      </c>
      <c r="N308" s="20">
        <v>4989.7</v>
      </c>
      <c r="O308" s="20" t="s">
        <v>3651</v>
      </c>
      <c r="P308" s="20" t="s">
        <v>93</v>
      </c>
      <c r="Q308" s="20" t="s">
        <v>93</v>
      </c>
      <c r="R308" s="20" t="s">
        <v>3122</v>
      </c>
      <c r="S308" s="20" t="s">
        <v>3096</v>
      </c>
      <c r="T308" s="20" t="s">
        <v>206</v>
      </c>
      <c r="U308" s="20" t="s">
        <v>207</v>
      </c>
      <c r="V308" s="20" t="s">
        <v>3121</v>
      </c>
      <c r="W308" s="20">
        <v>220.74</v>
      </c>
      <c r="X308" s="20">
        <v>220.73999979515901</v>
      </c>
      <c r="Y308" s="20" t="s">
        <v>3122</v>
      </c>
      <c r="Z308" s="20" t="s">
        <v>3096</v>
      </c>
      <c r="AB308" s="20" t="s">
        <v>212</v>
      </c>
      <c r="AD308" s="20" t="s">
        <v>213</v>
      </c>
      <c r="AE308" s="20" t="s">
        <v>212</v>
      </c>
      <c r="AF308" s="20">
        <v>0</v>
      </c>
      <c r="AG308" s="20">
        <v>0</v>
      </c>
      <c r="AH308" s="20">
        <v>0</v>
      </c>
      <c r="AI308" s="20">
        <v>0</v>
      </c>
      <c r="AJ308" s="20">
        <v>0</v>
      </c>
      <c r="AK308" s="20" t="s">
        <v>576</v>
      </c>
      <c r="AL308" s="20">
        <v>0</v>
      </c>
      <c r="AM308" s="20">
        <v>0</v>
      </c>
      <c r="AN308" s="20">
        <v>0</v>
      </c>
      <c r="AO308" s="20">
        <v>0</v>
      </c>
      <c r="AP308" s="20">
        <v>0</v>
      </c>
      <c r="AR308" s="20">
        <v>0</v>
      </c>
      <c r="AS308" s="20">
        <v>0</v>
      </c>
      <c r="AT308" s="20">
        <v>5388080.9900000002</v>
      </c>
      <c r="AU308" s="20" t="s">
        <v>15</v>
      </c>
      <c r="AV308" s="20" t="s">
        <v>57</v>
      </c>
      <c r="AW308" s="20" t="s">
        <v>57</v>
      </c>
      <c r="AX308" s="20" t="s">
        <v>15</v>
      </c>
      <c r="AY308" s="20" t="s">
        <v>209</v>
      </c>
      <c r="AZ308" s="20">
        <v>0</v>
      </c>
      <c r="BA308" s="20">
        <v>1101426.3799999999</v>
      </c>
      <c r="BB308" s="20">
        <v>1207</v>
      </c>
      <c r="BC308" s="20" t="s">
        <v>3109</v>
      </c>
      <c r="BD308" s="20" t="s">
        <v>59</v>
      </c>
      <c r="BE308" s="20" t="s">
        <v>210</v>
      </c>
      <c r="BF308" s="20" t="s">
        <v>210</v>
      </c>
      <c r="BG308" s="20">
        <v>9</v>
      </c>
      <c r="BH308" s="20">
        <v>99128.37</v>
      </c>
      <c r="BI308" s="20">
        <v>9</v>
      </c>
      <c r="BJ308" s="20">
        <v>99128.37</v>
      </c>
      <c r="BK308" s="20">
        <v>0</v>
      </c>
      <c r="BL308" s="20">
        <v>0</v>
      </c>
      <c r="BM308" s="20">
        <v>0</v>
      </c>
      <c r="BN308" s="20">
        <v>602169499066</v>
      </c>
      <c r="BO308" s="111">
        <v>46258</v>
      </c>
      <c r="BP308" s="20">
        <v>0</v>
      </c>
    </row>
    <row r="309" spans="2:68">
      <c r="B309" s="20" t="s">
        <v>2165</v>
      </c>
      <c r="C309" s="20" t="s">
        <v>3109</v>
      </c>
      <c r="D309" s="20" t="s">
        <v>3649</v>
      </c>
      <c r="E309" s="20" t="s">
        <v>211</v>
      </c>
      <c r="F309" s="20" t="s">
        <v>16</v>
      </c>
      <c r="H309" s="20" t="s">
        <v>3650</v>
      </c>
      <c r="I309" s="20">
        <v>863</v>
      </c>
      <c r="J309" s="20">
        <v>863</v>
      </c>
      <c r="K309" s="20" t="s">
        <v>11</v>
      </c>
      <c r="L309" s="20">
        <v>863</v>
      </c>
      <c r="M309" s="20">
        <v>0</v>
      </c>
      <c r="N309" s="20">
        <v>863</v>
      </c>
      <c r="O309" s="20" t="s">
        <v>3651</v>
      </c>
      <c r="P309" s="20" t="s">
        <v>93</v>
      </c>
      <c r="Q309" s="20" t="s">
        <v>93</v>
      </c>
      <c r="R309" s="20" t="s">
        <v>3122</v>
      </c>
      <c r="S309" s="20" t="s">
        <v>3096</v>
      </c>
      <c r="T309" s="20" t="s">
        <v>206</v>
      </c>
      <c r="U309" s="20" t="s">
        <v>207</v>
      </c>
      <c r="V309" s="20" t="s">
        <v>3121</v>
      </c>
      <c r="W309" s="20">
        <v>192.75</v>
      </c>
      <c r="X309" s="20">
        <v>192.749999821133</v>
      </c>
      <c r="Y309" s="20" t="s">
        <v>3122</v>
      </c>
      <c r="Z309" s="20" t="s">
        <v>3096</v>
      </c>
      <c r="AB309" s="20" t="s">
        <v>212</v>
      </c>
      <c r="AD309" s="20" t="s">
        <v>213</v>
      </c>
      <c r="AE309" s="20" t="s">
        <v>212</v>
      </c>
      <c r="AF309" s="20">
        <v>0</v>
      </c>
      <c r="AG309" s="20">
        <v>0</v>
      </c>
      <c r="AH309" s="20">
        <v>0</v>
      </c>
      <c r="AI309" s="20">
        <v>0</v>
      </c>
      <c r="AJ309" s="20">
        <v>0</v>
      </c>
      <c r="AK309" s="20" t="s">
        <v>576</v>
      </c>
      <c r="AL309" s="20">
        <v>0</v>
      </c>
      <c r="AM309" s="20">
        <v>0</v>
      </c>
      <c r="AN309" s="20">
        <v>0</v>
      </c>
      <c r="AO309" s="20">
        <v>0</v>
      </c>
      <c r="AP309" s="20">
        <v>0</v>
      </c>
      <c r="AR309" s="20">
        <v>0</v>
      </c>
      <c r="AS309" s="20">
        <v>0</v>
      </c>
      <c r="AT309" s="20">
        <v>5388080.9900000002</v>
      </c>
      <c r="AU309" s="20" t="s">
        <v>15</v>
      </c>
      <c r="AV309" s="20" t="s">
        <v>57</v>
      </c>
      <c r="AW309" s="20" t="s">
        <v>57</v>
      </c>
      <c r="AX309" s="20" t="s">
        <v>15</v>
      </c>
      <c r="AY309" s="20" t="s">
        <v>209</v>
      </c>
      <c r="AZ309" s="20">
        <v>0</v>
      </c>
      <c r="BA309" s="20">
        <v>166343.25</v>
      </c>
      <c r="BB309" s="20">
        <v>1207</v>
      </c>
      <c r="BC309" s="20" t="s">
        <v>3109</v>
      </c>
      <c r="BD309" s="20" t="s">
        <v>59</v>
      </c>
      <c r="BE309" s="20" t="s">
        <v>210</v>
      </c>
      <c r="BF309" s="20" t="s">
        <v>210</v>
      </c>
      <c r="BG309" s="20">
        <v>9</v>
      </c>
      <c r="BH309" s="20">
        <v>14970.89</v>
      </c>
      <c r="BI309" s="20">
        <v>9</v>
      </c>
      <c r="BJ309" s="20">
        <v>14970.89</v>
      </c>
      <c r="BK309" s="20">
        <v>0</v>
      </c>
      <c r="BL309" s="20">
        <v>0</v>
      </c>
      <c r="BM309" s="20">
        <v>0</v>
      </c>
      <c r="BN309" s="20">
        <v>602169499066</v>
      </c>
      <c r="BO309" s="111">
        <v>46258</v>
      </c>
      <c r="BP309" s="20">
        <v>0</v>
      </c>
    </row>
    <row r="310" spans="2:68">
      <c r="B310" s="20" t="s">
        <v>2165</v>
      </c>
      <c r="C310" s="20" t="s">
        <v>3109</v>
      </c>
      <c r="D310" s="20" t="s">
        <v>3652</v>
      </c>
      <c r="E310" s="20" t="s">
        <v>18</v>
      </c>
      <c r="F310" s="20" t="s">
        <v>19</v>
      </c>
      <c r="H310" s="20" t="s">
        <v>3653</v>
      </c>
      <c r="I310" s="20">
        <v>7170</v>
      </c>
      <c r="J310" s="20">
        <v>7170</v>
      </c>
      <c r="K310" s="20" t="s">
        <v>11</v>
      </c>
      <c r="L310" s="20">
        <v>7170</v>
      </c>
      <c r="M310" s="20">
        <v>0</v>
      </c>
      <c r="N310" s="20">
        <v>7170</v>
      </c>
      <c r="O310" s="20" t="s">
        <v>2154</v>
      </c>
      <c r="P310" s="20" t="s">
        <v>87</v>
      </c>
      <c r="Q310" s="20" t="s">
        <v>87</v>
      </c>
      <c r="R310" s="20" t="s">
        <v>3129</v>
      </c>
      <c r="S310" s="20" t="s">
        <v>3109</v>
      </c>
      <c r="T310" s="20" t="s">
        <v>206</v>
      </c>
      <c r="U310" s="20" t="s">
        <v>207</v>
      </c>
      <c r="V310" s="20" t="s">
        <v>3128</v>
      </c>
      <c r="W310" s="20">
        <v>142.32</v>
      </c>
      <c r="X310" s="20">
        <v>142.32</v>
      </c>
      <c r="Y310" s="20" t="s">
        <v>3129</v>
      </c>
      <c r="Z310" s="20" t="s">
        <v>3109</v>
      </c>
      <c r="AB310" s="20" t="s">
        <v>212</v>
      </c>
      <c r="AD310" s="20" t="s">
        <v>2125</v>
      </c>
      <c r="AE310" s="20" t="s">
        <v>3654</v>
      </c>
      <c r="AF310" s="20">
        <v>0</v>
      </c>
      <c r="AG310" s="20">
        <v>0</v>
      </c>
      <c r="AH310" s="20">
        <v>0</v>
      </c>
      <c r="AI310" s="20">
        <v>0</v>
      </c>
      <c r="AJ310" s="20">
        <v>0</v>
      </c>
      <c r="AK310" s="20" t="s">
        <v>576</v>
      </c>
      <c r="AL310" s="20">
        <v>0</v>
      </c>
      <c r="AM310" s="20">
        <v>0</v>
      </c>
      <c r="AN310" s="20">
        <v>0</v>
      </c>
      <c r="AO310" s="20">
        <v>0</v>
      </c>
      <c r="AP310" s="20">
        <v>0</v>
      </c>
      <c r="AR310" s="20">
        <v>0</v>
      </c>
      <c r="AS310" s="20">
        <v>0</v>
      </c>
      <c r="AT310" s="20">
        <v>1536290.2</v>
      </c>
      <c r="AU310" s="20" t="s">
        <v>13</v>
      </c>
      <c r="AV310" s="20" t="s">
        <v>62</v>
      </c>
      <c r="AW310" s="20" t="s">
        <v>63</v>
      </c>
      <c r="AX310" s="20" t="s">
        <v>208</v>
      </c>
      <c r="AY310" s="20" t="s">
        <v>209</v>
      </c>
      <c r="AZ310" s="20">
        <v>0</v>
      </c>
      <c r="BA310" s="20">
        <v>1020434.4</v>
      </c>
      <c r="BB310" s="20">
        <v>1210</v>
      </c>
      <c r="BC310" s="20" t="s">
        <v>3109</v>
      </c>
      <c r="BD310" s="20" t="s">
        <v>65</v>
      </c>
      <c r="BE310" s="20" t="s">
        <v>210</v>
      </c>
      <c r="BF310" s="20" t="s">
        <v>210</v>
      </c>
      <c r="BG310" s="20">
        <v>9</v>
      </c>
      <c r="BH310" s="20">
        <v>91839.1</v>
      </c>
      <c r="BI310" s="20">
        <v>9</v>
      </c>
      <c r="BJ310" s="20">
        <v>91839.1</v>
      </c>
      <c r="BK310" s="20">
        <v>0</v>
      </c>
      <c r="BL310" s="20">
        <v>0</v>
      </c>
      <c r="BM310" s="20">
        <v>1536290.2</v>
      </c>
      <c r="BN310" s="20">
        <v>662169694601</v>
      </c>
      <c r="BO310" s="111">
        <v>46259</v>
      </c>
      <c r="BP310" s="20">
        <v>0</v>
      </c>
    </row>
    <row r="311" spans="2:68">
      <c r="B311" s="20" t="s">
        <v>2165</v>
      </c>
      <c r="C311" s="20" t="s">
        <v>3109</v>
      </c>
      <c r="D311" s="20" t="s">
        <v>3652</v>
      </c>
      <c r="E311" s="20" t="s">
        <v>18</v>
      </c>
      <c r="F311" s="20" t="s">
        <v>19</v>
      </c>
      <c r="H311" s="20" t="s">
        <v>3653</v>
      </c>
      <c r="I311" s="20">
        <v>1237</v>
      </c>
      <c r="J311" s="20">
        <v>1237</v>
      </c>
      <c r="K311" s="20" t="s">
        <v>11</v>
      </c>
      <c r="L311" s="20">
        <v>1237</v>
      </c>
      <c r="M311" s="20">
        <v>0</v>
      </c>
      <c r="N311" s="20">
        <v>1237</v>
      </c>
      <c r="O311" s="20" t="s">
        <v>2154</v>
      </c>
      <c r="P311" s="20" t="s">
        <v>87</v>
      </c>
      <c r="Q311" s="20" t="s">
        <v>87</v>
      </c>
      <c r="R311" s="20" t="s">
        <v>3129</v>
      </c>
      <c r="S311" s="20" t="s">
        <v>3109</v>
      </c>
      <c r="T311" s="20" t="s">
        <v>206</v>
      </c>
      <c r="U311" s="20" t="s">
        <v>207</v>
      </c>
      <c r="V311" s="20" t="s">
        <v>3128</v>
      </c>
      <c r="W311" s="20">
        <v>145.32</v>
      </c>
      <c r="X311" s="20">
        <v>145.32</v>
      </c>
      <c r="Y311" s="20" t="s">
        <v>3129</v>
      </c>
      <c r="Z311" s="20" t="s">
        <v>3109</v>
      </c>
      <c r="AB311" s="20" t="s">
        <v>212</v>
      </c>
      <c r="AD311" s="20" t="s">
        <v>2125</v>
      </c>
      <c r="AE311" s="20" t="s">
        <v>3654</v>
      </c>
      <c r="AF311" s="20">
        <v>0</v>
      </c>
      <c r="AG311" s="20">
        <v>0</v>
      </c>
      <c r="AH311" s="20">
        <v>0</v>
      </c>
      <c r="AI311" s="20">
        <v>0</v>
      </c>
      <c r="AJ311" s="20">
        <v>0</v>
      </c>
      <c r="AK311" s="20" t="s">
        <v>576</v>
      </c>
      <c r="AL311" s="20">
        <v>0</v>
      </c>
      <c r="AM311" s="20">
        <v>0</v>
      </c>
      <c r="AN311" s="20">
        <v>0</v>
      </c>
      <c r="AO311" s="20">
        <v>0</v>
      </c>
      <c r="AP311" s="20">
        <v>0</v>
      </c>
      <c r="AR311" s="20">
        <v>0</v>
      </c>
      <c r="AS311" s="20">
        <v>0</v>
      </c>
      <c r="AT311" s="20">
        <v>1536290.2</v>
      </c>
      <c r="AU311" s="20" t="s">
        <v>13</v>
      </c>
      <c r="AV311" s="20" t="s">
        <v>62</v>
      </c>
      <c r="AW311" s="20" t="s">
        <v>63</v>
      </c>
      <c r="AX311" s="20" t="s">
        <v>208</v>
      </c>
      <c r="AY311" s="20" t="s">
        <v>209</v>
      </c>
      <c r="AZ311" s="20">
        <v>0</v>
      </c>
      <c r="BA311" s="20">
        <v>179760.84</v>
      </c>
      <c r="BB311" s="20">
        <v>1210</v>
      </c>
      <c r="BC311" s="20" t="s">
        <v>3109</v>
      </c>
      <c r="BD311" s="20" t="s">
        <v>65</v>
      </c>
      <c r="BE311" s="20" t="s">
        <v>210</v>
      </c>
      <c r="BF311" s="20" t="s">
        <v>210</v>
      </c>
      <c r="BG311" s="20">
        <v>9</v>
      </c>
      <c r="BH311" s="20">
        <v>16178.48</v>
      </c>
      <c r="BI311" s="20">
        <v>9</v>
      </c>
      <c r="BJ311" s="20">
        <v>16178.48</v>
      </c>
      <c r="BK311" s="20">
        <v>0</v>
      </c>
      <c r="BL311" s="20">
        <v>0</v>
      </c>
      <c r="BM311" s="20">
        <v>0</v>
      </c>
      <c r="BN311" s="20">
        <v>662169694601</v>
      </c>
      <c r="BO311" s="111">
        <v>46259</v>
      </c>
      <c r="BP311" s="20">
        <v>0</v>
      </c>
    </row>
    <row r="312" spans="2:68">
      <c r="B312" s="20" t="s">
        <v>2165</v>
      </c>
      <c r="C312" s="20" t="s">
        <v>3109</v>
      </c>
      <c r="D312" s="20" t="s">
        <v>3652</v>
      </c>
      <c r="E312" s="20" t="s">
        <v>18</v>
      </c>
      <c r="F312" s="20" t="s">
        <v>19</v>
      </c>
      <c r="H312" s="20" t="s">
        <v>3653</v>
      </c>
      <c r="I312" s="20">
        <v>705</v>
      </c>
      <c r="J312" s="20">
        <v>705</v>
      </c>
      <c r="K312" s="20" t="s">
        <v>11</v>
      </c>
      <c r="L312" s="20">
        <v>705</v>
      </c>
      <c r="M312" s="20">
        <v>0</v>
      </c>
      <c r="N312" s="20">
        <v>705</v>
      </c>
      <c r="O312" s="20" t="s">
        <v>2154</v>
      </c>
      <c r="P312" s="20" t="s">
        <v>87</v>
      </c>
      <c r="Q312" s="20" t="s">
        <v>87</v>
      </c>
      <c r="R312" s="20" t="s">
        <v>3129</v>
      </c>
      <c r="S312" s="20" t="s">
        <v>3109</v>
      </c>
      <c r="T312" s="20" t="s">
        <v>206</v>
      </c>
      <c r="U312" s="20" t="s">
        <v>207</v>
      </c>
      <c r="V312" s="20" t="s">
        <v>3128</v>
      </c>
      <c r="W312" s="20">
        <v>144.32</v>
      </c>
      <c r="X312" s="20">
        <v>144.32</v>
      </c>
      <c r="Y312" s="20" t="s">
        <v>3129</v>
      </c>
      <c r="Z312" s="20" t="s">
        <v>3109</v>
      </c>
      <c r="AB312" s="20" t="s">
        <v>212</v>
      </c>
      <c r="AD312" s="20" t="s">
        <v>2125</v>
      </c>
      <c r="AE312" s="20" t="s">
        <v>3654</v>
      </c>
      <c r="AF312" s="20">
        <v>0</v>
      </c>
      <c r="AG312" s="20">
        <v>0</v>
      </c>
      <c r="AH312" s="20">
        <v>0</v>
      </c>
      <c r="AI312" s="20">
        <v>0</v>
      </c>
      <c r="AJ312" s="20">
        <v>0</v>
      </c>
      <c r="AK312" s="20" t="s">
        <v>576</v>
      </c>
      <c r="AL312" s="20">
        <v>0</v>
      </c>
      <c r="AM312" s="20">
        <v>0</v>
      </c>
      <c r="AN312" s="20">
        <v>0</v>
      </c>
      <c r="AO312" s="20">
        <v>0</v>
      </c>
      <c r="AP312" s="20">
        <v>0</v>
      </c>
      <c r="AR312" s="20">
        <v>0</v>
      </c>
      <c r="AS312" s="20">
        <v>0</v>
      </c>
      <c r="AT312" s="20">
        <v>1536290.2</v>
      </c>
      <c r="AU312" s="20" t="s">
        <v>13</v>
      </c>
      <c r="AV312" s="20" t="s">
        <v>62</v>
      </c>
      <c r="AW312" s="20" t="s">
        <v>63</v>
      </c>
      <c r="AX312" s="20" t="s">
        <v>208</v>
      </c>
      <c r="AY312" s="20" t="s">
        <v>209</v>
      </c>
      <c r="AZ312" s="20">
        <v>0</v>
      </c>
      <c r="BA312" s="20">
        <v>101745.60000000001</v>
      </c>
      <c r="BB312" s="20">
        <v>1210</v>
      </c>
      <c r="BC312" s="20" t="s">
        <v>3109</v>
      </c>
      <c r="BD312" s="20" t="s">
        <v>65</v>
      </c>
      <c r="BE312" s="20" t="s">
        <v>210</v>
      </c>
      <c r="BF312" s="20" t="s">
        <v>210</v>
      </c>
      <c r="BG312" s="20">
        <v>9</v>
      </c>
      <c r="BH312" s="20">
        <v>9157.1</v>
      </c>
      <c r="BI312" s="20">
        <v>9</v>
      </c>
      <c r="BJ312" s="20">
        <v>9157.1</v>
      </c>
      <c r="BK312" s="20">
        <v>0</v>
      </c>
      <c r="BL312" s="20">
        <v>0</v>
      </c>
      <c r="BM312" s="20">
        <v>0</v>
      </c>
      <c r="BN312" s="20">
        <v>662169694601</v>
      </c>
      <c r="BO312" s="111">
        <v>46259</v>
      </c>
      <c r="BP312" s="20">
        <v>0</v>
      </c>
    </row>
    <row r="313" spans="2:68">
      <c r="B313" s="20" t="s">
        <v>2165</v>
      </c>
      <c r="C313" s="20" t="s">
        <v>3109</v>
      </c>
      <c r="D313" s="20" t="s">
        <v>3655</v>
      </c>
      <c r="E313" s="20" t="s">
        <v>160</v>
      </c>
      <c r="F313" s="20" t="s">
        <v>17</v>
      </c>
      <c r="H313" s="20" t="s">
        <v>3656</v>
      </c>
      <c r="I313" s="20">
        <v>235</v>
      </c>
      <c r="J313" s="20">
        <v>235</v>
      </c>
      <c r="K313" s="20" t="s">
        <v>11</v>
      </c>
      <c r="L313" s="20">
        <v>235</v>
      </c>
      <c r="M313" s="20">
        <v>0</v>
      </c>
      <c r="N313" s="20">
        <v>235</v>
      </c>
      <c r="O313" s="20" t="s">
        <v>2154</v>
      </c>
      <c r="P313" s="20" t="s">
        <v>87</v>
      </c>
      <c r="Q313" s="20" t="s">
        <v>87</v>
      </c>
      <c r="R313" s="20" t="s">
        <v>3131</v>
      </c>
      <c r="S313" s="20" t="s">
        <v>3109</v>
      </c>
      <c r="T313" s="20" t="s">
        <v>206</v>
      </c>
      <c r="U313" s="20" t="s">
        <v>207</v>
      </c>
      <c r="V313" s="20" t="s">
        <v>3130</v>
      </c>
      <c r="W313" s="20">
        <v>184.86</v>
      </c>
      <c r="X313" s="20">
        <v>184.86</v>
      </c>
      <c r="Y313" s="20" t="s">
        <v>3131</v>
      </c>
      <c r="Z313" s="20" t="s">
        <v>3109</v>
      </c>
      <c r="AB313" s="20" t="s">
        <v>212</v>
      </c>
      <c r="AD313" s="20" t="s">
        <v>213</v>
      </c>
      <c r="AE313" s="20" t="s">
        <v>212</v>
      </c>
      <c r="AF313" s="20">
        <v>0</v>
      </c>
      <c r="AG313" s="20">
        <v>0</v>
      </c>
      <c r="AH313" s="20">
        <v>0</v>
      </c>
      <c r="AI313" s="20">
        <v>0</v>
      </c>
      <c r="AJ313" s="20">
        <v>0</v>
      </c>
      <c r="AK313" s="20" t="s">
        <v>576</v>
      </c>
      <c r="AL313" s="20">
        <v>0</v>
      </c>
      <c r="AM313" s="20">
        <v>0</v>
      </c>
      <c r="AN313" s="20">
        <v>0</v>
      </c>
      <c r="AO313" s="20">
        <v>0</v>
      </c>
      <c r="AP313" s="20">
        <v>0</v>
      </c>
      <c r="AR313" s="20">
        <v>0</v>
      </c>
      <c r="AS313" s="20">
        <v>0</v>
      </c>
      <c r="AT313" s="20">
        <v>266831.40000000002</v>
      </c>
      <c r="AU313" s="20" t="s">
        <v>13</v>
      </c>
      <c r="AV313" s="20" t="s">
        <v>80</v>
      </c>
      <c r="AW313" s="20" t="s">
        <v>81</v>
      </c>
      <c r="AX313" s="20" t="s">
        <v>208</v>
      </c>
      <c r="AY313" s="20" t="s">
        <v>209</v>
      </c>
      <c r="AZ313" s="20">
        <v>0</v>
      </c>
      <c r="BA313" s="20">
        <v>43442.1</v>
      </c>
      <c r="BB313" s="20">
        <v>1212</v>
      </c>
      <c r="BC313" s="20" t="s">
        <v>3109</v>
      </c>
      <c r="BD313" s="20" t="s">
        <v>65</v>
      </c>
      <c r="BE313" s="20" t="s">
        <v>210</v>
      </c>
      <c r="BF313" s="20" t="s">
        <v>210</v>
      </c>
      <c r="BG313" s="20">
        <v>9</v>
      </c>
      <c r="BH313" s="20">
        <v>3909.79</v>
      </c>
      <c r="BI313" s="20">
        <v>9</v>
      </c>
      <c r="BJ313" s="20">
        <v>3909.79</v>
      </c>
      <c r="BK313" s="20">
        <v>0</v>
      </c>
      <c r="BL313" s="20">
        <v>0</v>
      </c>
      <c r="BM313" s="20">
        <v>266831.40000000002</v>
      </c>
      <c r="BN313" s="20">
        <v>692169730496</v>
      </c>
      <c r="BO313" s="111">
        <v>46259</v>
      </c>
      <c r="BP313" s="20">
        <v>0</v>
      </c>
    </row>
    <row r="314" spans="2:68">
      <c r="B314" s="20" t="s">
        <v>2165</v>
      </c>
      <c r="C314" s="20" t="s">
        <v>3109</v>
      </c>
      <c r="D314" s="20" t="s">
        <v>3655</v>
      </c>
      <c r="E314" s="20" t="s">
        <v>160</v>
      </c>
      <c r="F314" s="20" t="s">
        <v>17</v>
      </c>
      <c r="H314" s="20" t="s">
        <v>3656</v>
      </c>
      <c r="I314" s="20">
        <v>763</v>
      </c>
      <c r="J314" s="20">
        <v>763</v>
      </c>
      <c r="K314" s="20" t="s">
        <v>11</v>
      </c>
      <c r="L314" s="20">
        <v>763</v>
      </c>
      <c r="M314" s="20">
        <v>0</v>
      </c>
      <c r="N314" s="20">
        <v>763</v>
      </c>
      <c r="O314" s="20" t="s">
        <v>2154</v>
      </c>
      <c r="P314" s="20" t="s">
        <v>87</v>
      </c>
      <c r="Q314" s="20" t="s">
        <v>87</v>
      </c>
      <c r="R314" s="20" t="s">
        <v>3131</v>
      </c>
      <c r="S314" s="20" t="s">
        <v>3109</v>
      </c>
      <c r="T314" s="20" t="s">
        <v>206</v>
      </c>
      <c r="U314" s="20" t="s">
        <v>207</v>
      </c>
      <c r="V314" s="20" t="s">
        <v>3130</v>
      </c>
      <c r="W314" s="20">
        <v>179.86</v>
      </c>
      <c r="X314" s="20">
        <v>179.86</v>
      </c>
      <c r="Y314" s="20" t="s">
        <v>3131</v>
      </c>
      <c r="Z314" s="20" t="s">
        <v>3109</v>
      </c>
      <c r="AB314" s="20" t="s">
        <v>212</v>
      </c>
      <c r="AD314" s="20" t="s">
        <v>213</v>
      </c>
      <c r="AE314" s="20" t="s">
        <v>212</v>
      </c>
      <c r="AF314" s="20">
        <v>0</v>
      </c>
      <c r="AG314" s="20">
        <v>0</v>
      </c>
      <c r="AH314" s="20">
        <v>0</v>
      </c>
      <c r="AI314" s="20">
        <v>0</v>
      </c>
      <c r="AJ314" s="20">
        <v>0</v>
      </c>
      <c r="AK314" s="20" t="s">
        <v>576</v>
      </c>
      <c r="AL314" s="20">
        <v>0</v>
      </c>
      <c r="AM314" s="20">
        <v>0</v>
      </c>
      <c r="AN314" s="20">
        <v>0</v>
      </c>
      <c r="AO314" s="20">
        <v>0</v>
      </c>
      <c r="AP314" s="20">
        <v>0</v>
      </c>
      <c r="AR314" s="20">
        <v>0</v>
      </c>
      <c r="AS314" s="20">
        <v>0</v>
      </c>
      <c r="AT314" s="20">
        <v>266831.40000000002</v>
      </c>
      <c r="AU314" s="20" t="s">
        <v>13</v>
      </c>
      <c r="AV314" s="20" t="s">
        <v>80</v>
      </c>
      <c r="AW314" s="20" t="s">
        <v>81</v>
      </c>
      <c r="AX314" s="20" t="s">
        <v>208</v>
      </c>
      <c r="AY314" s="20" t="s">
        <v>209</v>
      </c>
      <c r="AZ314" s="20">
        <v>0</v>
      </c>
      <c r="BA314" s="20">
        <v>137233.18</v>
      </c>
      <c r="BB314" s="20">
        <v>1212</v>
      </c>
      <c r="BC314" s="20" t="s">
        <v>3109</v>
      </c>
      <c r="BD314" s="20" t="s">
        <v>65</v>
      </c>
      <c r="BE314" s="20" t="s">
        <v>210</v>
      </c>
      <c r="BF314" s="20" t="s">
        <v>210</v>
      </c>
      <c r="BG314" s="20">
        <v>9</v>
      </c>
      <c r="BH314" s="20">
        <v>12350.99</v>
      </c>
      <c r="BI314" s="20">
        <v>9</v>
      </c>
      <c r="BJ314" s="20">
        <v>12350.99</v>
      </c>
      <c r="BK314" s="20">
        <v>0</v>
      </c>
      <c r="BL314" s="20">
        <v>0</v>
      </c>
      <c r="BM314" s="20">
        <v>0</v>
      </c>
      <c r="BN314" s="20">
        <v>692169730496</v>
      </c>
      <c r="BO314" s="111">
        <v>46259</v>
      </c>
      <c r="BP314" s="20">
        <v>0</v>
      </c>
    </row>
    <row r="315" spans="2:68">
      <c r="B315" s="20" t="s">
        <v>2165</v>
      </c>
      <c r="C315" s="20" t="s">
        <v>3109</v>
      </c>
      <c r="D315" s="20" t="s">
        <v>3655</v>
      </c>
      <c r="E315" s="20" t="s">
        <v>160</v>
      </c>
      <c r="F315" s="20" t="s">
        <v>17</v>
      </c>
      <c r="H315" s="20" t="s">
        <v>3656</v>
      </c>
      <c r="I315" s="20">
        <v>257</v>
      </c>
      <c r="J315" s="20">
        <v>257</v>
      </c>
      <c r="K315" s="20" t="s">
        <v>11</v>
      </c>
      <c r="L315" s="20">
        <v>257</v>
      </c>
      <c r="M315" s="20">
        <v>0</v>
      </c>
      <c r="N315" s="20">
        <v>257</v>
      </c>
      <c r="O315" s="20" t="s">
        <v>2154</v>
      </c>
      <c r="P315" s="20" t="s">
        <v>87</v>
      </c>
      <c r="Q315" s="20" t="s">
        <v>87</v>
      </c>
      <c r="R315" s="20" t="s">
        <v>3131</v>
      </c>
      <c r="S315" s="20" t="s">
        <v>3109</v>
      </c>
      <c r="T315" s="20" t="s">
        <v>206</v>
      </c>
      <c r="U315" s="20" t="s">
        <v>207</v>
      </c>
      <c r="V315" s="20" t="s">
        <v>3130</v>
      </c>
      <c r="W315" s="20">
        <v>176.86</v>
      </c>
      <c r="X315" s="20">
        <v>176.86</v>
      </c>
      <c r="Y315" s="20" t="s">
        <v>3131</v>
      </c>
      <c r="Z315" s="20" t="s">
        <v>3109</v>
      </c>
      <c r="AB315" s="20" t="s">
        <v>212</v>
      </c>
      <c r="AD315" s="20" t="s">
        <v>213</v>
      </c>
      <c r="AE315" s="20" t="s">
        <v>212</v>
      </c>
      <c r="AF315" s="20">
        <v>0</v>
      </c>
      <c r="AG315" s="20">
        <v>0</v>
      </c>
      <c r="AH315" s="20">
        <v>0</v>
      </c>
      <c r="AI315" s="20">
        <v>0</v>
      </c>
      <c r="AJ315" s="20">
        <v>0</v>
      </c>
      <c r="AK315" s="20" t="s">
        <v>576</v>
      </c>
      <c r="AL315" s="20">
        <v>0</v>
      </c>
      <c r="AM315" s="20">
        <v>0</v>
      </c>
      <c r="AN315" s="20">
        <v>0</v>
      </c>
      <c r="AO315" s="20">
        <v>0</v>
      </c>
      <c r="AP315" s="20">
        <v>0</v>
      </c>
      <c r="AR315" s="20">
        <v>0</v>
      </c>
      <c r="AS315" s="20">
        <v>0</v>
      </c>
      <c r="AT315" s="20">
        <v>266831.40000000002</v>
      </c>
      <c r="AU315" s="20" t="s">
        <v>13</v>
      </c>
      <c r="AV315" s="20" t="s">
        <v>80</v>
      </c>
      <c r="AW315" s="20" t="s">
        <v>81</v>
      </c>
      <c r="AX315" s="20" t="s">
        <v>208</v>
      </c>
      <c r="AY315" s="20" t="s">
        <v>209</v>
      </c>
      <c r="AZ315" s="20">
        <v>0</v>
      </c>
      <c r="BA315" s="20">
        <v>45453.02</v>
      </c>
      <c r="BB315" s="20">
        <v>1212</v>
      </c>
      <c r="BC315" s="20" t="s">
        <v>3109</v>
      </c>
      <c r="BD315" s="20" t="s">
        <v>65</v>
      </c>
      <c r="BE315" s="20" t="s">
        <v>210</v>
      </c>
      <c r="BF315" s="20" t="s">
        <v>210</v>
      </c>
      <c r="BG315" s="20">
        <v>9</v>
      </c>
      <c r="BH315" s="20">
        <v>4090.77</v>
      </c>
      <c r="BI315" s="20">
        <v>9</v>
      </c>
      <c r="BJ315" s="20">
        <v>4090.77</v>
      </c>
      <c r="BK315" s="20">
        <v>0</v>
      </c>
      <c r="BL315" s="20">
        <v>0</v>
      </c>
      <c r="BM315" s="20">
        <v>0</v>
      </c>
      <c r="BN315" s="20">
        <v>692169730496</v>
      </c>
      <c r="BO315" s="111">
        <v>46259</v>
      </c>
      <c r="BP315" s="20">
        <v>0</v>
      </c>
    </row>
    <row r="316" spans="2:68">
      <c r="B316" s="20" t="s">
        <v>2165</v>
      </c>
      <c r="C316" s="20" t="s">
        <v>3109</v>
      </c>
      <c r="D316" s="20" t="s">
        <v>3657</v>
      </c>
      <c r="E316" s="20" t="s">
        <v>160</v>
      </c>
      <c r="F316" s="20" t="s">
        <v>17</v>
      </c>
      <c r="H316" s="20" t="s">
        <v>3658</v>
      </c>
      <c r="I316" s="20">
        <v>3478</v>
      </c>
      <c r="J316" s="20">
        <v>3478</v>
      </c>
      <c r="K316" s="20" t="s">
        <v>11</v>
      </c>
      <c r="L316" s="20">
        <v>3478</v>
      </c>
      <c r="M316" s="20">
        <v>0</v>
      </c>
      <c r="N316" s="20">
        <v>3478</v>
      </c>
      <c r="O316" s="20" t="s">
        <v>2156</v>
      </c>
      <c r="P316" s="20" t="s">
        <v>87</v>
      </c>
      <c r="Q316" s="20" t="s">
        <v>87</v>
      </c>
      <c r="R316" s="20" t="s">
        <v>3133</v>
      </c>
      <c r="S316" s="111" t="s">
        <v>3109</v>
      </c>
      <c r="T316" s="20" t="s">
        <v>206</v>
      </c>
      <c r="U316" s="20" t="s">
        <v>207</v>
      </c>
      <c r="V316" s="20" t="s">
        <v>3132</v>
      </c>
      <c r="W316" s="20">
        <v>176.86</v>
      </c>
      <c r="X316" s="20">
        <v>176.85999964398999</v>
      </c>
      <c r="Y316" s="20" t="s">
        <v>3133</v>
      </c>
      <c r="Z316" s="111" t="s">
        <v>3109</v>
      </c>
      <c r="AB316" s="20" t="s">
        <v>212</v>
      </c>
      <c r="AD316" s="20" t="s">
        <v>213</v>
      </c>
      <c r="AE316" s="20" t="s">
        <v>212</v>
      </c>
      <c r="AF316" s="20">
        <v>0</v>
      </c>
      <c r="AG316" s="20">
        <v>0</v>
      </c>
      <c r="AH316" s="20">
        <v>0</v>
      </c>
      <c r="AI316" s="20">
        <v>0</v>
      </c>
      <c r="AJ316" s="20">
        <v>0</v>
      </c>
      <c r="AK316" s="20" t="s">
        <v>576</v>
      </c>
      <c r="AL316" s="20">
        <v>0</v>
      </c>
      <c r="AM316" s="20">
        <v>0</v>
      </c>
      <c r="AN316" s="20">
        <v>0</v>
      </c>
      <c r="AO316" s="20">
        <v>0</v>
      </c>
      <c r="AP316" s="20">
        <v>0</v>
      </c>
      <c r="AR316" s="20">
        <v>0</v>
      </c>
      <c r="AS316" s="20">
        <v>0</v>
      </c>
      <c r="AT316" s="20">
        <v>993568.73</v>
      </c>
      <c r="AU316" s="20" t="s">
        <v>13</v>
      </c>
      <c r="AV316" s="20" t="s">
        <v>80</v>
      </c>
      <c r="AW316" s="20" t="s">
        <v>81</v>
      </c>
      <c r="AX316" s="20" t="s">
        <v>208</v>
      </c>
      <c r="AY316" s="20" t="s">
        <v>209</v>
      </c>
      <c r="AZ316" s="20">
        <v>0</v>
      </c>
      <c r="BA316" s="20">
        <v>615119.07999999996</v>
      </c>
      <c r="BB316" s="20">
        <v>1213</v>
      </c>
      <c r="BC316" s="20" t="s">
        <v>3109</v>
      </c>
      <c r="BD316" s="20" t="s">
        <v>65</v>
      </c>
      <c r="BE316" s="20" t="s">
        <v>210</v>
      </c>
      <c r="BF316" s="20" t="s">
        <v>210</v>
      </c>
      <c r="BG316" s="20">
        <v>9</v>
      </c>
      <c r="BH316" s="20">
        <v>55360.72</v>
      </c>
      <c r="BI316" s="20">
        <v>9</v>
      </c>
      <c r="BJ316" s="20">
        <v>55360.72</v>
      </c>
      <c r="BK316" s="20">
        <v>0</v>
      </c>
      <c r="BL316" s="20">
        <v>0</v>
      </c>
      <c r="BM316" s="20">
        <v>993568.73</v>
      </c>
      <c r="BN316" s="20">
        <v>662169843472</v>
      </c>
      <c r="BO316" s="111">
        <v>46259</v>
      </c>
      <c r="BP316" s="20">
        <v>0</v>
      </c>
    </row>
    <row r="317" spans="2:68">
      <c r="B317" s="20" t="s">
        <v>2165</v>
      </c>
      <c r="C317" s="20" t="s">
        <v>3109</v>
      </c>
      <c r="D317" s="20" t="s">
        <v>3657</v>
      </c>
      <c r="E317" s="20" t="s">
        <v>23</v>
      </c>
      <c r="F317" s="20" t="s">
        <v>24</v>
      </c>
      <c r="H317" s="20" t="s">
        <v>3658</v>
      </c>
      <c r="I317" s="20">
        <v>17.3</v>
      </c>
      <c r="J317" s="20">
        <v>17.3</v>
      </c>
      <c r="K317" s="20" t="s">
        <v>11</v>
      </c>
      <c r="L317" s="20">
        <v>17.3</v>
      </c>
      <c r="M317" s="20">
        <v>0</v>
      </c>
      <c r="N317" s="20">
        <v>17.3</v>
      </c>
      <c r="O317" s="20" t="s">
        <v>2156</v>
      </c>
      <c r="P317" s="20" t="s">
        <v>87</v>
      </c>
      <c r="Q317" s="20" t="s">
        <v>87</v>
      </c>
      <c r="R317" s="20" t="s">
        <v>3133</v>
      </c>
      <c r="S317" s="111" t="s">
        <v>3109</v>
      </c>
      <c r="T317" s="20" t="s">
        <v>206</v>
      </c>
      <c r="U317" s="20" t="s">
        <v>207</v>
      </c>
      <c r="V317" s="20" t="s">
        <v>3132</v>
      </c>
      <c r="W317" s="20">
        <v>168.32</v>
      </c>
      <c r="X317" s="20">
        <v>168.31999966118099</v>
      </c>
      <c r="Y317" s="20" t="s">
        <v>3133</v>
      </c>
      <c r="Z317" s="111" t="s">
        <v>3109</v>
      </c>
      <c r="AB317" s="20" t="s">
        <v>212</v>
      </c>
      <c r="AD317" s="20" t="s">
        <v>213</v>
      </c>
      <c r="AE317" s="20" t="s">
        <v>212</v>
      </c>
      <c r="AF317" s="20">
        <v>0</v>
      </c>
      <c r="AG317" s="20">
        <v>0</v>
      </c>
      <c r="AH317" s="20">
        <v>0</v>
      </c>
      <c r="AI317" s="20">
        <v>0</v>
      </c>
      <c r="AJ317" s="20">
        <v>0</v>
      </c>
      <c r="AK317" s="20" t="s">
        <v>576</v>
      </c>
      <c r="AL317" s="20">
        <v>0</v>
      </c>
      <c r="AM317" s="20">
        <v>0</v>
      </c>
      <c r="AN317" s="20">
        <v>0</v>
      </c>
      <c r="AO317" s="20">
        <v>0</v>
      </c>
      <c r="AP317" s="20">
        <v>0</v>
      </c>
      <c r="AR317" s="20">
        <v>0</v>
      </c>
      <c r="AS317" s="20">
        <v>0</v>
      </c>
      <c r="AT317" s="20">
        <v>993568.73</v>
      </c>
      <c r="AU317" s="20" t="s">
        <v>13</v>
      </c>
      <c r="AV317" s="20" t="s">
        <v>24</v>
      </c>
      <c r="AW317" s="20" t="s">
        <v>79</v>
      </c>
      <c r="AX317" s="20" t="s">
        <v>208</v>
      </c>
      <c r="AY317" s="20" t="s">
        <v>209</v>
      </c>
      <c r="AZ317" s="20">
        <v>0</v>
      </c>
      <c r="BA317" s="20">
        <v>2911.94</v>
      </c>
      <c r="BB317" s="20">
        <v>1213</v>
      </c>
      <c r="BC317" s="20" t="s">
        <v>3109</v>
      </c>
      <c r="BD317" s="20" t="s">
        <v>65</v>
      </c>
      <c r="BE317" s="20" t="s">
        <v>210</v>
      </c>
      <c r="BF317" s="20" t="s">
        <v>210</v>
      </c>
      <c r="BG317" s="20">
        <v>9</v>
      </c>
      <c r="BH317" s="20">
        <v>262.07</v>
      </c>
      <c r="BI317" s="20">
        <v>9</v>
      </c>
      <c r="BJ317" s="20">
        <v>262.07</v>
      </c>
      <c r="BK317" s="20">
        <v>0</v>
      </c>
      <c r="BL317" s="20">
        <v>0</v>
      </c>
      <c r="BM317" s="20">
        <v>0</v>
      </c>
      <c r="BN317" s="20">
        <v>662169843472</v>
      </c>
      <c r="BO317" s="111">
        <v>46259</v>
      </c>
      <c r="BP317" s="20">
        <v>0</v>
      </c>
    </row>
    <row r="318" spans="2:68">
      <c r="B318" s="20" t="s">
        <v>2165</v>
      </c>
      <c r="C318" s="20" t="s">
        <v>3109</v>
      </c>
      <c r="D318" s="20" t="s">
        <v>3657</v>
      </c>
      <c r="E318" s="20" t="s">
        <v>23</v>
      </c>
      <c r="F318" s="20" t="s">
        <v>24</v>
      </c>
      <c r="H318" s="20" t="s">
        <v>3658</v>
      </c>
      <c r="I318" s="20">
        <v>1281.7</v>
      </c>
      <c r="J318" s="20">
        <v>1281.7</v>
      </c>
      <c r="K318" s="20" t="s">
        <v>11</v>
      </c>
      <c r="L318" s="20">
        <v>1281.7</v>
      </c>
      <c r="M318" s="20">
        <v>0</v>
      </c>
      <c r="N318" s="20">
        <v>1281.7</v>
      </c>
      <c r="O318" s="20" t="s">
        <v>2156</v>
      </c>
      <c r="P318" s="20" t="s">
        <v>87</v>
      </c>
      <c r="Q318" s="20" t="s">
        <v>87</v>
      </c>
      <c r="R318" s="20" t="s">
        <v>3133</v>
      </c>
      <c r="S318" s="111" t="s">
        <v>3109</v>
      </c>
      <c r="T318" s="20" t="s">
        <v>206</v>
      </c>
      <c r="U318" s="20" t="s">
        <v>207</v>
      </c>
      <c r="V318" s="20" t="s">
        <v>3132</v>
      </c>
      <c r="W318" s="20">
        <v>147.32</v>
      </c>
      <c r="X318" s="20">
        <v>147.31999970345299</v>
      </c>
      <c r="Y318" s="20" t="s">
        <v>3133</v>
      </c>
      <c r="Z318" s="111" t="s">
        <v>3109</v>
      </c>
      <c r="AB318" s="20" t="s">
        <v>212</v>
      </c>
      <c r="AD318" s="20" t="s">
        <v>213</v>
      </c>
      <c r="AE318" s="20" t="s">
        <v>212</v>
      </c>
      <c r="AF318" s="20">
        <v>0</v>
      </c>
      <c r="AG318" s="20">
        <v>0</v>
      </c>
      <c r="AH318" s="20">
        <v>0</v>
      </c>
      <c r="AI318" s="20">
        <v>0</v>
      </c>
      <c r="AJ318" s="20">
        <v>0</v>
      </c>
      <c r="AK318" s="20" t="s">
        <v>576</v>
      </c>
      <c r="AL318" s="20">
        <v>0</v>
      </c>
      <c r="AM318" s="20">
        <v>0</v>
      </c>
      <c r="AN318" s="20">
        <v>0</v>
      </c>
      <c r="AO318" s="20">
        <v>0</v>
      </c>
      <c r="AP318" s="20">
        <v>0</v>
      </c>
      <c r="AR318" s="20">
        <v>0</v>
      </c>
      <c r="AS318" s="20">
        <v>0</v>
      </c>
      <c r="AT318" s="20">
        <v>993568.73</v>
      </c>
      <c r="AU318" s="20" t="s">
        <v>13</v>
      </c>
      <c r="AV318" s="20" t="s">
        <v>24</v>
      </c>
      <c r="AW318" s="20" t="s">
        <v>79</v>
      </c>
      <c r="AX318" s="20" t="s">
        <v>208</v>
      </c>
      <c r="AY318" s="20" t="s">
        <v>209</v>
      </c>
      <c r="AZ318" s="20">
        <v>0</v>
      </c>
      <c r="BA318" s="20">
        <v>188820.04</v>
      </c>
      <c r="BB318" s="20">
        <v>1213</v>
      </c>
      <c r="BC318" s="20" t="s">
        <v>3109</v>
      </c>
      <c r="BD318" s="20" t="s">
        <v>65</v>
      </c>
      <c r="BE318" s="20" t="s">
        <v>210</v>
      </c>
      <c r="BF318" s="20" t="s">
        <v>210</v>
      </c>
      <c r="BG318" s="20">
        <v>9</v>
      </c>
      <c r="BH318" s="20">
        <v>16993.8</v>
      </c>
      <c r="BI318" s="20">
        <v>9</v>
      </c>
      <c r="BJ318" s="20">
        <v>16993.8</v>
      </c>
      <c r="BK318" s="20">
        <v>0</v>
      </c>
      <c r="BL318" s="20">
        <v>0</v>
      </c>
      <c r="BM318" s="20">
        <v>0</v>
      </c>
      <c r="BN318" s="20">
        <v>662169843472</v>
      </c>
      <c r="BO318" s="111">
        <v>46259</v>
      </c>
      <c r="BP318" s="20">
        <v>0</v>
      </c>
    </row>
    <row r="319" spans="2:68">
      <c r="B319" s="20" t="s">
        <v>2165</v>
      </c>
      <c r="C319" s="20" t="s">
        <v>3109</v>
      </c>
      <c r="D319" s="20" t="s">
        <v>3657</v>
      </c>
      <c r="E319" s="20" t="s">
        <v>23</v>
      </c>
      <c r="F319" s="20" t="s">
        <v>24</v>
      </c>
      <c r="H319" s="20" t="s">
        <v>3658</v>
      </c>
      <c r="I319" s="20">
        <v>243.6</v>
      </c>
      <c r="J319" s="20">
        <v>243.6</v>
      </c>
      <c r="K319" s="20" t="s">
        <v>11</v>
      </c>
      <c r="L319" s="20">
        <v>243.6</v>
      </c>
      <c r="M319" s="20">
        <v>0</v>
      </c>
      <c r="N319" s="20">
        <v>243.6</v>
      </c>
      <c r="O319" s="20" t="s">
        <v>2156</v>
      </c>
      <c r="P319" s="20" t="s">
        <v>87</v>
      </c>
      <c r="Q319" s="20" t="s">
        <v>87</v>
      </c>
      <c r="R319" s="20" t="s">
        <v>3133</v>
      </c>
      <c r="S319" s="111" t="s">
        <v>3109</v>
      </c>
      <c r="T319" s="20" t="s">
        <v>206</v>
      </c>
      <c r="U319" s="20" t="s">
        <v>207</v>
      </c>
      <c r="V319" s="20" t="s">
        <v>3132</v>
      </c>
      <c r="W319" s="20">
        <v>144.32</v>
      </c>
      <c r="X319" s="20">
        <v>144.31999970949201</v>
      </c>
      <c r="Y319" s="20" t="s">
        <v>3133</v>
      </c>
      <c r="Z319" s="111" t="s">
        <v>3109</v>
      </c>
      <c r="AB319" s="20" t="s">
        <v>212</v>
      </c>
      <c r="AD319" s="20" t="s">
        <v>213</v>
      </c>
      <c r="AE319" s="20" t="s">
        <v>212</v>
      </c>
      <c r="AF319" s="20">
        <v>0</v>
      </c>
      <c r="AG319" s="20">
        <v>0</v>
      </c>
      <c r="AH319" s="20">
        <v>0</v>
      </c>
      <c r="AI319" s="20">
        <v>0</v>
      </c>
      <c r="AJ319" s="20">
        <v>0</v>
      </c>
      <c r="AK319" s="20" t="s">
        <v>576</v>
      </c>
      <c r="AL319" s="20">
        <v>0</v>
      </c>
      <c r="AM319" s="20">
        <v>0</v>
      </c>
      <c r="AN319" s="20">
        <v>0</v>
      </c>
      <c r="AO319" s="20">
        <v>0</v>
      </c>
      <c r="AP319" s="20">
        <v>0</v>
      </c>
      <c r="AR319" s="20">
        <v>0</v>
      </c>
      <c r="AS319" s="20">
        <v>0</v>
      </c>
      <c r="AT319" s="20">
        <v>993568.73</v>
      </c>
      <c r="AU319" s="20" t="s">
        <v>13</v>
      </c>
      <c r="AV319" s="20" t="s">
        <v>24</v>
      </c>
      <c r="AW319" s="20" t="s">
        <v>79</v>
      </c>
      <c r="AX319" s="20" t="s">
        <v>208</v>
      </c>
      <c r="AY319" s="20" t="s">
        <v>209</v>
      </c>
      <c r="AZ319" s="20">
        <v>0</v>
      </c>
      <c r="BA319" s="20">
        <v>35156.35</v>
      </c>
      <c r="BB319" s="20">
        <v>1213</v>
      </c>
      <c r="BC319" s="20" t="s">
        <v>3109</v>
      </c>
      <c r="BD319" s="20" t="s">
        <v>65</v>
      </c>
      <c r="BE319" s="20" t="s">
        <v>210</v>
      </c>
      <c r="BF319" s="20" t="s">
        <v>210</v>
      </c>
      <c r="BG319" s="20">
        <v>9</v>
      </c>
      <c r="BH319" s="20">
        <v>3164.07</v>
      </c>
      <c r="BI319" s="20">
        <v>9</v>
      </c>
      <c r="BJ319" s="20">
        <v>3164.07</v>
      </c>
      <c r="BK319" s="20">
        <v>0</v>
      </c>
      <c r="BL319" s="20">
        <v>0</v>
      </c>
      <c r="BM319" s="20">
        <v>0</v>
      </c>
      <c r="BN319" s="20">
        <v>662169843472</v>
      </c>
      <c r="BO319" s="111">
        <v>46259</v>
      </c>
      <c r="BP319" s="20">
        <v>0</v>
      </c>
    </row>
    <row r="320" spans="2:68">
      <c r="B320" s="20" t="s">
        <v>2165</v>
      </c>
      <c r="C320" s="20" t="s">
        <v>3138</v>
      </c>
      <c r="D320" s="20" t="s">
        <v>3659</v>
      </c>
      <c r="E320" s="20" t="s">
        <v>211</v>
      </c>
      <c r="F320" s="20" t="s">
        <v>16</v>
      </c>
      <c r="H320" s="20" t="s">
        <v>3660</v>
      </c>
      <c r="I320" s="20">
        <v>7005.6</v>
      </c>
      <c r="J320" s="20">
        <v>7005.6</v>
      </c>
      <c r="K320" s="20" t="s">
        <v>11</v>
      </c>
      <c r="L320" s="20">
        <v>7005.6</v>
      </c>
      <c r="M320" s="20">
        <v>0</v>
      </c>
      <c r="N320" s="20">
        <v>7005.6</v>
      </c>
      <c r="O320" s="20" t="s">
        <v>2508</v>
      </c>
      <c r="P320" s="20" t="s">
        <v>93</v>
      </c>
      <c r="Q320" s="20" t="s">
        <v>93</v>
      </c>
      <c r="R320" s="20" t="s">
        <v>3140</v>
      </c>
      <c r="S320" s="111" t="s">
        <v>3109</v>
      </c>
      <c r="T320" s="20" t="s">
        <v>206</v>
      </c>
      <c r="U320" s="20" t="s">
        <v>207</v>
      </c>
      <c r="V320" s="20" t="s">
        <v>3139</v>
      </c>
      <c r="W320" s="20">
        <v>175.83</v>
      </c>
      <c r="X320" s="20">
        <v>175.830000241937</v>
      </c>
      <c r="Y320" s="20" t="s">
        <v>3140</v>
      </c>
      <c r="Z320" s="111" t="s">
        <v>3109</v>
      </c>
      <c r="AB320" s="20" t="s">
        <v>212</v>
      </c>
      <c r="AD320" s="20" t="s">
        <v>3661</v>
      </c>
      <c r="AE320" s="20" t="s">
        <v>3662</v>
      </c>
      <c r="AF320" s="20">
        <v>0</v>
      </c>
      <c r="AG320" s="20">
        <v>0</v>
      </c>
      <c r="AH320" s="20">
        <v>0</v>
      </c>
      <c r="AI320" s="20">
        <v>0</v>
      </c>
      <c r="AJ320" s="20">
        <v>0</v>
      </c>
      <c r="AK320" s="20" t="s">
        <v>576</v>
      </c>
      <c r="AL320" s="20">
        <v>0</v>
      </c>
      <c r="AM320" s="20">
        <v>0</v>
      </c>
      <c r="AN320" s="20">
        <v>0</v>
      </c>
      <c r="AO320" s="20">
        <v>0</v>
      </c>
      <c r="AP320" s="20">
        <v>0</v>
      </c>
      <c r="AR320" s="20">
        <v>0</v>
      </c>
      <c r="AS320" s="20">
        <v>0</v>
      </c>
      <c r="AT320" s="20">
        <v>1453517.69</v>
      </c>
      <c r="AU320" s="20" t="s">
        <v>15</v>
      </c>
      <c r="AV320" s="20" t="s">
        <v>57</v>
      </c>
      <c r="AW320" s="20" t="s">
        <v>57</v>
      </c>
      <c r="AX320" s="20" t="s">
        <v>15</v>
      </c>
      <c r="AY320" s="20" t="s">
        <v>209</v>
      </c>
      <c r="AZ320" s="20">
        <v>0</v>
      </c>
      <c r="BA320" s="20">
        <v>1231794.6499999999</v>
      </c>
      <c r="BB320" s="20">
        <v>1215</v>
      </c>
      <c r="BC320" s="20" t="s">
        <v>3138</v>
      </c>
      <c r="BD320" s="20" t="s">
        <v>59</v>
      </c>
      <c r="BE320" s="20" t="s">
        <v>210</v>
      </c>
      <c r="BF320" s="20" t="s">
        <v>210</v>
      </c>
      <c r="BG320" s="20">
        <v>9</v>
      </c>
      <c r="BH320" s="20">
        <v>110861.52</v>
      </c>
      <c r="BI320" s="20">
        <v>9</v>
      </c>
      <c r="BJ320" s="20">
        <v>110861.52</v>
      </c>
      <c r="BK320" s="20">
        <v>0</v>
      </c>
      <c r="BL320" s="20">
        <v>0</v>
      </c>
      <c r="BM320" s="20">
        <v>1453517.69</v>
      </c>
      <c r="BN320" s="20">
        <v>642170206291</v>
      </c>
      <c r="BO320" s="111">
        <v>46259</v>
      </c>
      <c r="BP320" s="20">
        <v>0</v>
      </c>
    </row>
    <row r="321" spans="2:68">
      <c r="B321" s="20" t="s">
        <v>2165</v>
      </c>
      <c r="C321" s="20" t="s">
        <v>3138</v>
      </c>
      <c r="D321" s="20" t="s">
        <v>3663</v>
      </c>
      <c r="E321" s="20" t="s">
        <v>20</v>
      </c>
      <c r="F321" s="20" t="s">
        <v>21</v>
      </c>
      <c r="H321" s="20" t="s">
        <v>3664</v>
      </c>
      <c r="I321" s="20">
        <v>346</v>
      </c>
      <c r="J321" s="20">
        <v>346</v>
      </c>
      <c r="K321" s="20" t="s">
        <v>11</v>
      </c>
      <c r="L321" s="20">
        <v>346</v>
      </c>
      <c r="M321" s="20">
        <v>0</v>
      </c>
      <c r="N321" s="20">
        <v>346</v>
      </c>
      <c r="O321" s="20" t="s">
        <v>2397</v>
      </c>
      <c r="P321" s="20" t="s">
        <v>94</v>
      </c>
      <c r="Q321" s="20" t="s">
        <v>94</v>
      </c>
      <c r="R321" s="20" t="s">
        <v>3166</v>
      </c>
      <c r="S321" s="111" t="s">
        <v>3138</v>
      </c>
      <c r="T321" s="20" t="s">
        <v>206</v>
      </c>
      <c r="U321" s="20" t="s">
        <v>207</v>
      </c>
      <c r="V321" s="20" t="s">
        <v>3165</v>
      </c>
      <c r="W321" s="20">
        <v>137.58000000000001</v>
      </c>
      <c r="X321" s="20">
        <v>137.58000000000001</v>
      </c>
      <c r="Y321" s="20" t="s">
        <v>3166</v>
      </c>
      <c r="Z321" s="111" t="s">
        <v>3138</v>
      </c>
      <c r="AB321" s="20" t="s">
        <v>212</v>
      </c>
      <c r="AD321" s="20" t="s">
        <v>213</v>
      </c>
      <c r="AE321" s="20" t="s">
        <v>212</v>
      </c>
      <c r="AF321" s="20">
        <v>0</v>
      </c>
      <c r="AG321" s="20">
        <v>0</v>
      </c>
      <c r="AH321" s="20">
        <v>0</v>
      </c>
      <c r="AI321" s="20">
        <v>0</v>
      </c>
      <c r="AJ321" s="20">
        <v>0</v>
      </c>
      <c r="AK321" s="20" t="s">
        <v>576</v>
      </c>
      <c r="AL321" s="20">
        <v>0</v>
      </c>
      <c r="AM321" s="20">
        <v>0</v>
      </c>
      <c r="AN321" s="20">
        <v>0</v>
      </c>
      <c r="AO321" s="20">
        <v>0</v>
      </c>
      <c r="AP321" s="20">
        <v>0</v>
      </c>
      <c r="AR321" s="20">
        <v>0</v>
      </c>
      <c r="AS321" s="20">
        <v>0</v>
      </c>
      <c r="AT321" s="20">
        <v>89182.16</v>
      </c>
      <c r="AU321" s="20" t="s">
        <v>13</v>
      </c>
      <c r="AV321" s="20" t="s">
        <v>62</v>
      </c>
      <c r="AW321" s="20" t="s">
        <v>76</v>
      </c>
      <c r="AX321" s="20" t="s">
        <v>208</v>
      </c>
      <c r="AY321" s="20" t="s">
        <v>209</v>
      </c>
      <c r="AZ321" s="20">
        <v>0</v>
      </c>
      <c r="BA321" s="20">
        <v>47602.68</v>
      </c>
      <c r="BB321" s="20">
        <v>1228</v>
      </c>
      <c r="BC321" s="20" t="s">
        <v>3138</v>
      </c>
      <c r="BD321" s="20" t="s">
        <v>74</v>
      </c>
      <c r="BE321" s="20" t="s">
        <v>210</v>
      </c>
      <c r="BF321" s="20" t="s">
        <v>210</v>
      </c>
      <c r="BG321" s="20">
        <v>9</v>
      </c>
      <c r="BH321" s="20">
        <v>4284.24</v>
      </c>
      <c r="BI321" s="20">
        <v>9</v>
      </c>
      <c r="BJ321" s="20">
        <v>4284.24</v>
      </c>
      <c r="BK321" s="20">
        <v>0</v>
      </c>
      <c r="BL321" s="20">
        <v>0</v>
      </c>
      <c r="BM321" s="20">
        <v>89182.16</v>
      </c>
      <c r="BN321" s="20">
        <v>602170783437</v>
      </c>
      <c r="BO321" s="111">
        <v>46260</v>
      </c>
      <c r="BP321" s="20">
        <v>0</v>
      </c>
    </row>
    <row r="322" spans="2:68">
      <c r="B322" s="20" t="s">
        <v>2165</v>
      </c>
      <c r="C322" s="20" t="s">
        <v>3138</v>
      </c>
      <c r="D322" s="20" t="s">
        <v>3663</v>
      </c>
      <c r="E322" s="20" t="s">
        <v>20</v>
      </c>
      <c r="F322" s="20" t="s">
        <v>21</v>
      </c>
      <c r="H322" s="20" t="s">
        <v>3664</v>
      </c>
      <c r="I322" s="20">
        <v>199</v>
      </c>
      <c r="J322" s="20">
        <v>199</v>
      </c>
      <c r="K322" s="20" t="s">
        <v>11</v>
      </c>
      <c r="L322" s="20">
        <v>199</v>
      </c>
      <c r="M322" s="20">
        <v>0</v>
      </c>
      <c r="N322" s="20">
        <v>199</v>
      </c>
      <c r="O322" s="20" t="s">
        <v>2397</v>
      </c>
      <c r="P322" s="20" t="s">
        <v>94</v>
      </c>
      <c r="Q322" s="20" t="s">
        <v>94</v>
      </c>
      <c r="R322" s="20" t="s">
        <v>3166</v>
      </c>
      <c r="S322" s="111" t="s">
        <v>3138</v>
      </c>
      <c r="T322" s="20" t="s">
        <v>206</v>
      </c>
      <c r="U322" s="20" t="s">
        <v>207</v>
      </c>
      <c r="V322" s="20" t="s">
        <v>3165</v>
      </c>
      <c r="W322" s="20">
        <v>140.58000000000001</v>
      </c>
      <c r="X322" s="20">
        <v>140.58000000000001</v>
      </c>
      <c r="Y322" s="20" t="s">
        <v>3166</v>
      </c>
      <c r="Z322" s="111" t="s">
        <v>3138</v>
      </c>
      <c r="AB322" s="20" t="s">
        <v>212</v>
      </c>
      <c r="AD322" s="20" t="s">
        <v>213</v>
      </c>
      <c r="AE322" s="20" t="s">
        <v>212</v>
      </c>
      <c r="AF322" s="20">
        <v>0</v>
      </c>
      <c r="AG322" s="20">
        <v>0</v>
      </c>
      <c r="AH322" s="20">
        <v>0</v>
      </c>
      <c r="AI322" s="20">
        <v>0</v>
      </c>
      <c r="AJ322" s="20">
        <v>0</v>
      </c>
      <c r="AK322" s="20" t="s">
        <v>576</v>
      </c>
      <c r="AL322" s="20">
        <v>0</v>
      </c>
      <c r="AM322" s="20">
        <v>0</v>
      </c>
      <c r="AN322" s="20">
        <v>0</v>
      </c>
      <c r="AO322" s="20">
        <v>0</v>
      </c>
      <c r="AP322" s="20">
        <v>0</v>
      </c>
      <c r="AR322" s="20">
        <v>0</v>
      </c>
      <c r="AS322" s="20">
        <v>0</v>
      </c>
      <c r="AT322" s="20">
        <v>89182.16</v>
      </c>
      <c r="AU322" s="20" t="s">
        <v>13</v>
      </c>
      <c r="AV322" s="20" t="s">
        <v>62</v>
      </c>
      <c r="AW322" s="20" t="s">
        <v>76</v>
      </c>
      <c r="AX322" s="20" t="s">
        <v>208</v>
      </c>
      <c r="AY322" s="20" t="s">
        <v>209</v>
      </c>
      <c r="AZ322" s="20">
        <v>0</v>
      </c>
      <c r="BA322" s="20">
        <v>27975.42</v>
      </c>
      <c r="BB322" s="20">
        <v>1228</v>
      </c>
      <c r="BC322" s="20" t="s">
        <v>3138</v>
      </c>
      <c r="BD322" s="20" t="s">
        <v>74</v>
      </c>
      <c r="BE322" s="20" t="s">
        <v>210</v>
      </c>
      <c r="BF322" s="20" t="s">
        <v>210</v>
      </c>
      <c r="BG322" s="20">
        <v>9</v>
      </c>
      <c r="BH322" s="20">
        <v>2517.79</v>
      </c>
      <c r="BI322" s="20">
        <v>9</v>
      </c>
      <c r="BJ322" s="20">
        <v>2517.79</v>
      </c>
      <c r="BK322" s="20">
        <v>0</v>
      </c>
      <c r="BL322" s="20">
        <v>0</v>
      </c>
      <c r="BM322" s="20">
        <v>0</v>
      </c>
      <c r="BN322" s="20">
        <v>602170783437</v>
      </c>
      <c r="BO322" s="111">
        <v>46260</v>
      </c>
      <c r="BP322" s="20">
        <v>0</v>
      </c>
    </row>
    <row r="323" spans="2:68">
      <c r="B323" s="20" t="s">
        <v>2165</v>
      </c>
      <c r="C323" s="20" t="s">
        <v>3138</v>
      </c>
      <c r="D323" s="20" t="s">
        <v>3665</v>
      </c>
      <c r="E323" s="20" t="s">
        <v>2150</v>
      </c>
      <c r="F323" s="20" t="s">
        <v>2149</v>
      </c>
      <c r="H323" s="20" t="s">
        <v>3666</v>
      </c>
      <c r="I323" s="20">
        <v>35.5</v>
      </c>
      <c r="J323" s="20">
        <v>35.5</v>
      </c>
      <c r="K323" s="20" t="s">
        <v>11</v>
      </c>
      <c r="L323" s="20">
        <v>35.5</v>
      </c>
      <c r="M323" s="20">
        <v>0</v>
      </c>
      <c r="N323" s="20">
        <v>35.5</v>
      </c>
      <c r="O323" s="20" t="s">
        <v>2397</v>
      </c>
      <c r="P323" s="20" t="s">
        <v>94</v>
      </c>
      <c r="Q323" s="20" t="s">
        <v>94</v>
      </c>
      <c r="R323" s="20" t="s">
        <v>3168</v>
      </c>
      <c r="S323" s="111" t="s">
        <v>3138</v>
      </c>
      <c r="T323" s="20" t="s">
        <v>206</v>
      </c>
      <c r="U323" s="20" t="s">
        <v>207</v>
      </c>
      <c r="V323" s="20" t="s">
        <v>3167</v>
      </c>
      <c r="W323" s="20">
        <v>260</v>
      </c>
      <c r="X323" s="20">
        <v>260</v>
      </c>
      <c r="Y323" s="20" t="s">
        <v>3168</v>
      </c>
      <c r="Z323" s="111" t="s">
        <v>3138</v>
      </c>
      <c r="AB323" s="20" t="s">
        <v>212</v>
      </c>
      <c r="AD323" s="20" t="s">
        <v>213</v>
      </c>
      <c r="AE323" s="20" t="s">
        <v>212</v>
      </c>
      <c r="AF323" s="20">
        <v>0</v>
      </c>
      <c r="AG323" s="20">
        <v>0</v>
      </c>
      <c r="AH323" s="20">
        <v>0</v>
      </c>
      <c r="AI323" s="20">
        <v>0</v>
      </c>
      <c r="AJ323" s="20">
        <v>0</v>
      </c>
      <c r="AK323" s="20" t="s">
        <v>576</v>
      </c>
      <c r="AL323" s="20">
        <v>0</v>
      </c>
      <c r="AM323" s="20">
        <v>0</v>
      </c>
      <c r="AN323" s="20">
        <v>0</v>
      </c>
      <c r="AO323" s="20">
        <v>0</v>
      </c>
      <c r="AP323" s="20">
        <v>0</v>
      </c>
      <c r="AR323" s="20">
        <v>0</v>
      </c>
      <c r="AS323" s="20">
        <v>0</v>
      </c>
      <c r="AT323" s="20">
        <v>10891.4</v>
      </c>
      <c r="AU323" s="20" t="s">
        <v>13</v>
      </c>
      <c r="AV323" s="20" t="s">
        <v>80</v>
      </c>
      <c r="AW323" s="20" t="s">
        <v>81</v>
      </c>
      <c r="AX323" s="20" t="s">
        <v>208</v>
      </c>
      <c r="AY323" s="20" t="s">
        <v>209</v>
      </c>
      <c r="AZ323" s="20">
        <v>0</v>
      </c>
      <c r="BA323" s="20">
        <v>9230</v>
      </c>
      <c r="BB323" s="20">
        <v>1231</v>
      </c>
      <c r="BC323" s="20" t="s">
        <v>3138</v>
      </c>
      <c r="BD323" s="20" t="s">
        <v>74</v>
      </c>
      <c r="BE323" s="20" t="s">
        <v>210</v>
      </c>
      <c r="BF323" s="20" t="s">
        <v>210</v>
      </c>
      <c r="BG323" s="20">
        <v>9</v>
      </c>
      <c r="BH323" s="20">
        <v>830.7</v>
      </c>
      <c r="BI323" s="20">
        <v>9</v>
      </c>
      <c r="BJ323" s="20">
        <v>830.7</v>
      </c>
      <c r="BK323" s="20">
        <v>0</v>
      </c>
      <c r="BL323" s="20">
        <v>0</v>
      </c>
      <c r="BM323" s="20">
        <v>10891.4</v>
      </c>
      <c r="BN323" s="20">
        <v>652170831096</v>
      </c>
      <c r="BO323" s="111">
        <v>46260</v>
      </c>
      <c r="BP323" s="20">
        <v>0</v>
      </c>
    </row>
    <row r="324" spans="2:68">
      <c r="B324" s="20" t="s">
        <v>2165</v>
      </c>
      <c r="C324" s="20" t="s">
        <v>3138</v>
      </c>
      <c r="D324" s="20" t="s">
        <v>3667</v>
      </c>
      <c r="E324" s="20" t="s">
        <v>18</v>
      </c>
      <c r="F324" s="20" t="s">
        <v>19</v>
      </c>
      <c r="H324" s="20" t="s">
        <v>3668</v>
      </c>
      <c r="I324" s="20">
        <v>6153</v>
      </c>
      <c r="J324" s="20">
        <v>6153</v>
      </c>
      <c r="K324" s="20" t="s">
        <v>11</v>
      </c>
      <c r="L324" s="20">
        <v>6153</v>
      </c>
      <c r="M324" s="20">
        <v>0</v>
      </c>
      <c r="N324" s="20">
        <v>6153</v>
      </c>
      <c r="O324" s="20" t="s">
        <v>2156</v>
      </c>
      <c r="P324" s="20" t="s">
        <v>87</v>
      </c>
      <c r="Q324" s="20" t="s">
        <v>87</v>
      </c>
      <c r="R324" s="20" t="s">
        <v>3157</v>
      </c>
      <c r="S324" s="20" t="s">
        <v>3138</v>
      </c>
      <c r="T324" s="20" t="s">
        <v>206</v>
      </c>
      <c r="U324" s="20" t="s">
        <v>207</v>
      </c>
      <c r="V324" s="20" t="s">
        <v>3156</v>
      </c>
      <c r="W324" s="20">
        <v>142.32</v>
      </c>
      <c r="X324" s="20">
        <v>142.32</v>
      </c>
      <c r="Y324" s="20" t="s">
        <v>3157</v>
      </c>
      <c r="Z324" s="20" t="s">
        <v>3138</v>
      </c>
      <c r="AB324" s="20" t="s">
        <v>212</v>
      </c>
      <c r="AD324" s="20" t="s">
        <v>213</v>
      </c>
      <c r="AE324" s="20" t="s">
        <v>212</v>
      </c>
      <c r="AF324" s="20">
        <v>0</v>
      </c>
      <c r="AG324" s="20">
        <v>0</v>
      </c>
      <c r="AH324" s="20">
        <v>0</v>
      </c>
      <c r="AI324" s="20">
        <v>0</v>
      </c>
      <c r="AJ324" s="20">
        <v>0</v>
      </c>
      <c r="AK324" s="20" t="s">
        <v>576</v>
      </c>
      <c r="AL324" s="20">
        <v>0</v>
      </c>
      <c r="AM324" s="20">
        <v>0</v>
      </c>
      <c r="AN324" s="20">
        <v>0</v>
      </c>
      <c r="AO324" s="20">
        <v>0</v>
      </c>
      <c r="AP324" s="20">
        <v>0</v>
      </c>
      <c r="AR324" s="20">
        <v>0</v>
      </c>
      <c r="AS324" s="20">
        <v>0</v>
      </c>
      <c r="AT324" s="20">
        <v>1325445.8600000001</v>
      </c>
      <c r="AU324" s="20" t="s">
        <v>13</v>
      </c>
      <c r="AV324" s="20" t="s">
        <v>62</v>
      </c>
      <c r="AW324" s="20" t="s">
        <v>63</v>
      </c>
      <c r="AX324" s="20" t="s">
        <v>208</v>
      </c>
      <c r="AY324" s="20" t="s">
        <v>209</v>
      </c>
      <c r="AZ324" s="20">
        <v>0</v>
      </c>
      <c r="BA324" s="20">
        <v>875694.96</v>
      </c>
      <c r="BB324" s="20">
        <v>1216</v>
      </c>
      <c r="BC324" s="20" t="s">
        <v>3138</v>
      </c>
      <c r="BD324" s="20" t="s">
        <v>65</v>
      </c>
      <c r="BE324" s="20" t="s">
        <v>210</v>
      </c>
      <c r="BF324" s="20" t="s">
        <v>210</v>
      </c>
      <c r="BG324" s="20">
        <v>9</v>
      </c>
      <c r="BH324" s="20">
        <v>78812.55</v>
      </c>
      <c r="BI324" s="20">
        <v>9</v>
      </c>
      <c r="BJ324" s="20">
        <v>78812.55</v>
      </c>
      <c r="BK324" s="20">
        <v>0</v>
      </c>
      <c r="BL324" s="20">
        <v>0</v>
      </c>
      <c r="BM324" s="20">
        <v>1325445.8600000001</v>
      </c>
      <c r="BN324" s="20">
        <v>682170431754</v>
      </c>
      <c r="BO324" s="111">
        <v>46260</v>
      </c>
      <c r="BP324" s="20">
        <v>0</v>
      </c>
    </row>
    <row r="325" spans="2:68">
      <c r="B325" s="20" t="s">
        <v>2165</v>
      </c>
      <c r="C325" s="20" t="s">
        <v>3138</v>
      </c>
      <c r="D325" s="20" t="s">
        <v>3667</v>
      </c>
      <c r="E325" s="20" t="s">
        <v>18</v>
      </c>
      <c r="F325" s="20" t="s">
        <v>19</v>
      </c>
      <c r="H325" s="20" t="s">
        <v>3668</v>
      </c>
      <c r="I325" s="20">
        <v>1210</v>
      </c>
      <c r="J325" s="20">
        <v>1210</v>
      </c>
      <c r="K325" s="20" t="s">
        <v>11</v>
      </c>
      <c r="L325" s="20">
        <v>1210</v>
      </c>
      <c r="M325" s="20">
        <v>0</v>
      </c>
      <c r="N325" s="20">
        <v>1210</v>
      </c>
      <c r="O325" s="20" t="s">
        <v>2156</v>
      </c>
      <c r="P325" s="20" t="s">
        <v>87</v>
      </c>
      <c r="Q325" s="20" t="s">
        <v>87</v>
      </c>
      <c r="R325" s="20" t="s">
        <v>3157</v>
      </c>
      <c r="S325" s="20" t="s">
        <v>3138</v>
      </c>
      <c r="T325" s="20" t="s">
        <v>206</v>
      </c>
      <c r="U325" s="20" t="s">
        <v>207</v>
      </c>
      <c r="V325" s="20" t="s">
        <v>3156</v>
      </c>
      <c r="W325" s="20">
        <v>145.32</v>
      </c>
      <c r="X325" s="20">
        <v>145.32</v>
      </c>
      <c r="Y325" s="20" t="s">
        <v>3157</v>
      </c>
      <c r="Z325" s="20" t="s">
        <v>3138</v>
      </c>
      <c r="AB325" s="20" t="s">
        <v>212</v>
      </c>
      <c r="AD325" s="20" t="s">
        <v>213</v>
      </c>
      <c r="AE325" s="20" t="s">
        <v>212</v>
      </c>
      <c r="AF325" s="20">
        <v>0</v>
      </c>
      <c r="AG325" s="20">
        <v>0</v>
      </c>
      <c r="AH325" s="20">
        <v>0</v>
      </c>
      <c r="AI325" s="20">
        <v>0</v>
      </c>
      <c r="AJ325" s="20">
        <v>0</v>
      </c>
      <c r="AK325" s="20" t="s">
        <v>576</v>
      </c>
      <c r="AL325" s="20">
        <v>0</v>
      </c>
      <c r="AM325" s="20">
        <v>0</v>
      </c>
      <c r="AN325" s="20">
        <v>0</v>
      </c>
      <c r="AO325" s="20">
        <v>0</v>
      </c>
      <c r="AP325" s="20">
        <v>0</v>
      </c>
      <c r="AR325" s="20">
        <v>0</v>
      </c>
      <c r="AS325" s="20">
        <v>0</v>
      </c>
      <c r="AT325" s="20">
        <v>1325445.8600000001</v>
      </c>
      <c r="AU325" s="20" t="s">
        <v>13</v>
      </c>
      <c r="AV325" s="20" t="s">
        <v>62</v>
      </c>
      <c r="AW325" s="20" t="s">
        <v>63</v>
      </c>
      <c r="AX325" s="20" t="s">
        <v>208</v>
      </c>
      <c r="AY325" s="20" t="s">
        <v>209</v>
      </c>
      <c r="AZ325" s="20">
        <v>0</v>
      </c>
      <c r="BA325" s="20">
        <v>175837.2</v>
      </c>
      <c r="BB325" s="20">
        <v>1216</v>
      </c>
      <c r="BC325" s="20" t="s">
        <v>3138</v>
      </c>
      <c r="BD325" s="20" t="s">
        <v>65</v>
      </c>
      <c r="BE325" s="20" t="s">
        <v>210</v>
      </c>
      <c r="BF325" s="20" t="s">
        <v>210</v>
      </c>
      <c r="BG325" s="20">
        <v>9</v>
      </c>
      <c r="BH325" s="20">
        <v>15825.35</v>
      </c>
      <c r="BI325" s="20">
        <v>9</v>
      </c>
      <c r="BJ325" s="20">
        <v>15825.35</v>
      </c>
      <c r="BK325" s="20">
        <v>0</v>
      </c>
      <c r="BL325" s="20">
        <v>0</v>
      </c>
      <c r="BM325" s="20">
        <v>0</v>
      </c>
      <c r="BN325" s="20">
        <v>682170431754</v>
      </c>
      <c r="BO325" s="111">
        <v>46260</v>
      </c>
      <c r="BP325" s="20">
        <v>0</v>
      </c>
    </row>
    <row r="326" spans="2:68">
      <c r="B326" s="20" t="s">
        <v>2165</v>
      </c>
      <c r="C326" s="20" t="s">
        <v>3138</v>
      </c>
      <c r="D326" s="20" t="s">
        <v>3667</v>
      </c>
      <c r="E326" s="20" t="s">
        <v>18</v>
      </c>
      <c r="F326" s="20" t="s">
        <v>19</v>
      </c>
      <c r="H326" s="20" t="s">
        <v>3668</v>
      </c>
      <c r="I326" s="20">
        <v>497</v>
      </c>
      <c r="J326" s="20">
        <v>497</v>
      </c>
      <c r="K326" s="20" t="s">
        <v>11</v>
      </c>
      <c r="L326" s="20">
        <v>497</v>
      </c>
      <c r="M326" s="20">
        <v>0</v>
      </c>
      <c r="N326" s="20">
        <v>497</v>
      </c>
      <c r="O326" s="20" t="s">
        <v>2156</v>
      </c>
      <c r="P326" s="20" t="s">
        <v>87</v>
      </c>
      <c r="Q326" s="20" t="s">
        <v>87</v>
      </c>
      <c r="R326" s="20" t="s">
        <v>3157</v>
      </c>
      <c r="S326" s="20" t="s">
        <v>3138</v>
      </c>
      <c r="T326" s="20" t="s">
        <v>206</v>
      </c>
      <c r="U326" s="20" t="s">
        <v>207</v>
      </c>
      <c r="V326" s="20" t="s">
        <v>3156</v>
      </c>
      <c r="W326" s="20">
        <v>144.32</v>
      </c>
      <c r="X326" s="20">
        <v>144.32</v>
      </c>
      <c r="Y326" s="20" t="s">
        <v>3157</v>
      </c>
      <c r="Z326" s="20" t="s">
        <v>3138</v>
      </c>
      <c r="AB326" s="20" t="s">
        <v>212</v>
      </c>
      <c r="AD326" s="20" t="s">
        <v>213</v>
      </c>
      <c r="AE326" s="20" t="s">
        <v>212</v>
      </c>
      <c r="AF326" s="20">
        <v>0</v>
      </c>
      <c r="AG326" s="20">
        <v>0</v>
      </c>
      <c r="AH326" s="20">
        <v>0</v>
      </c>
      <c r="AI326" s="20">
        <v>0</v>
      </c>
      <c r="AJ326" s="20">
        <v>0</v>
      </c>
      <c r="AK326" s="20" t="s">
        <v>576</v>
      </c>
      <c r="AL326" s="20">
        <v>0</v>
      </c>
      <c r="AM326" s="20">
        <v>0</v>
      </c>
      <c r="AN326" s="20">
        <v>0</v>
      </c>
      <c r="AO326" s="20">
        <v>0</v>
      </c>
      <c r="AP326" s="20">
        <v>0</v>
      </c>
      <c r="AR326" s="20">
        <v>0</v>
      </c>
      <c r="AS326" s="20">
        <v>0</v>
      </c>
      <c r="AT326" s="20">
        <v>1325445.8600000001</v>
      </c>
      <c r="AU326" s="20" t="s">
        <v>13</v>
      </c>
      <c r="AV326" s="20" t="s">
        <v>62</v>
      </c>
      <c r="AW326" s="20" t="s">
        <v>63</v>
      </c>
      <c r="AX326" s="20" t="s">
        <v>208</v>
      </c>
      <c r="AY326" s="20" t="s">
        <v>209</v>
      </c>
      <c r="AZ326" s="20">
        <v>0</v>
      </c>
      <c r="BA326" s="20">
        <v>71727.039999999994</v>
      </c>
      <c r="BB326" s="20">
        <v>1216</v>
      </c>
      <c r="BC326" s="20" t="s">
        <v>3138</v>
      </c>
      <c r="BD326" s="20" t="s">
        <v>65</v>
      </c>
      <c r="BE326" s="20" t="s">
        <v>210</v>
      </c>
      <c r="BF326" s="20" t="s">
        <v>210</v>
      </c>
      <c r="BG326" s="20">
        <v>9</v>
      </c>
      <c r="BH326" s="20">
        <v>6455.43</v>
      </c>
      <c r="BI326" s="20">
        <v>9</v>
      </c>
      <c r="BJ326" s="20">
        <v>6455.43</v>
      </c>
      <c r="BK326" s="20">
        <v>0</v>
      </c>
      <c r="BL326" s="20">
        <v>0</v>
      </c>
      <c r="BM326" s="20">
        <v>0</v>
      </c>
      <c r="BN326" s="20">
        <v>682170431754</v>
      </c>
      <c r="BO326" s="111">
        <v>46260</v>
      </c>
      <c r="BP326" s="20">
        <v>0</v>
      </c>
    </row>
    <row r="327" spans="2:68">
      <c r="B327" s="20" t="s">
        <v>2165</v>
      </c>
      <c r="C327" s="20" t="s">
        <v>3138</v>
      </c>
      <c r="D327" s="20" t="s">
        <v>3669</v>
      </c>
      <c r="E327" s="20" t="s">
        <v>18</v>
      </c>
      <c r="F327" s="20" t="s">
        <v>19</v>
      </c>
      <c r="H327" s="20" t="s">
        <v>3670</v>
      </c>
      <c r="I327" s="20">
        <v>578</v>
      </c>
      <c r="J327" s="20">
        <v>578</v>
      </c>
      <c r="K327" s="20" t="s">
        <v>11</v>
      </c>
      <c r="L327" s="20">
        <v>578</v>
      </c>
      <c r="M327" s="20">
        <v>0</v>
      </c>
      <c r="N327" s="20">
        <v>578</v>
      </c>
      <c r="O327" s="20" t="s">
        <v>2154</v>
      </c>
      <c r="P327" s="20" t="s">
        <v>87</v>
      </c>
      <c r="Q327" s="20" t="s">
        <v>87</v>
      </c>
      <c r="R327" s="20" t="s">
        <v>3159</v>
      </c>
      <c r="S327" s="20" t="s">
        <v>3138</v>
      </c>
      <c r="T327" s="20" t="s">
        <v>206</v>
      </c>
      <c r="U327" s="20" t="s">
        <v>207</v>
      </c>
      <c r="V327" s="20" t="s">
        <v>3158</v>
      </c>
      <c r="W327" s="20">
        <v>144.32</v>
      </c>
      <c r="X327" s="20">
        <v>144.32</v>
      </c>
      <c r="Y327" s="20" t="s">
        <v>3159</v>
      </c>
      <c r="Z327" s="20" t="s">
        <v>3138</v>
      </c>
      <c r="AB327" s="20" t="s">
        <v>212</v>
      </c>
      <c r="AD327" s="20" t="s">
        <v>2125</v>
      </c>
      <c r="AE327" s="20" t="s">
        <v>3671</v>
      </c>
      <c r="AF327" s="20">
        <v>0</v>
      </c>
      <c r="AG327" s="20">
        <v>0</v>
      </c>
      <c r="AH327" s="20">
        <v>0</v>
      </c>
      <c r="AI327" s="20">
        <v>0</v>
      </c>
      <c r="AJ327" s="20">
        <v>0</v>
      </c>
      <c r="AK327" s="20" t="s">
        <v>576</v>
      </c>
      <c r="AL327" s="20">
        <v>0</v>
      </c>
      <c r="AM327" s="20">
        <v>0</v>
      </c>
      <c r="AN327" s="20">
        <v>0</v>
      </c>
      <c r="AO327" s="20">
        <v>0</v>
      </c>
      <c r="AP327" s="20">
        <v>0</v>
      </c>
      <c r="AR327" s="20">
        <v>0</v>
      </c>
      <c r="AS327" s="20">
        <v>0</v>
      </c>
      <c r="AT327" s="20">
        <v>974709</v>
      </c>
      <c r="AU327" s="20" t="s">
        <v>13</v>
      </c>
      <c r="AV327" s="20" t="s">
        <v>62</v>
      </c>
      <c r="AW327" s="20" t="s">
        <v>63</v>
      </c>
      <c r="AX327" s="20" t="s">
        <v>208</v>
      </c>
      <c r="AY327" s="20" t="s">
        <v>209</v>
      </c>
      <c r="AZ327" s="20">
        <v>0</v>
      </c>
      <c r="BA327" s="20">
        <v>83416.960000000006</v>
      </c>
      <c r="BB327" s="20">
        <v>1217</v>
      </c>
      <c r="BC327" s="20" t="s">
        <v>3138</v>
      </c>
      <c r="BD327" s="20" t="s">
        <v>65</v>
      </c>
      <c r="BE327" s="20" t="s">
        <v>210</v>
      </c>
      <c r="BF327" s="20" t="s">
        <v>210</v>
      </c>
      <c r="BG327" s="20">
        <v>9</v>
      </c>
      <c r="BH327" s="20">
        <v>7507.53</v>
      </c>
      <c r="BI327" s="20">
        <v>9</v>
      </c>
      <c r="BJ327" s="20">
        <v>7507.53</v>
      </c>
      <c r="BK327" s="20">
        <v>0</v>
      </c>
      <c r="BL327" s="20">
        <v>0</v>
      </c>
      <c r="BM327" s="20">
        <v>974709</v>
      </c>
      <c r="BN327" s="20">
        <v>662170500230</v>
      </c>
      <c r="BO327" s="111">
        <v>46260</v>
      </c>
      <c r="BP327" s="20">
        <v>0</v>
      </c>
    </row>
    <row r="328" spans="2:68">
      <c r="B328" s="20" t="s">
        <v>2165</v>
      </c>
      <c r="C328" s="20" t="s">
        <v>3138</v>
      </c>
      <c r="D328" s="20" t="s">
        <v>3669</v>
      </c>
      <c r="E328" s="20" t="s">
        <v>18</v>
      </c>
      <c r="F328" s="20" t="s">
        <v>19</v>
      </c>
      <c r="H328" s="20" t="s">
        <v>3670</v>
      </c>
      <c r="I328" s="20">
        <v>4410</v>
      </c>
      <c r="J328" s="20">
        <v>4410</v>
      </c>
      <c r="K328" s="20" t="s">
        <v>11</v>
      </c>
      <c r="L328" s="20">
        <v>4410</v>
      </c>
      <c r="M328" s="20">
        <v>0</v>
      </c>
      <c r="N328" s="20">
        <v>4410</v>
      </c>
      <c r="O328" s="20" t="s">
        <v>2154</v>
      </c>
      <c r="P328" s="20" t="s">
        <v>87</v>
      </c>
      <c r="Q328" s="20" t="s">
        <v>87</v>
      </c>
      <c r="R328" s="20" t="s">
        <v>3159</v>
      </c>
      <c r="S328" s="111" t="s">
        <v>3138</v>
      </c>
      <c r="T328" s="20" t="s">
        <v>206</v>
      </c>
      <c r="U328" s="20" t="s">
        <v>207</v>
      </c>
      <c r="V328" s="20" t="s">
        <v>3158</v>
      </c>
      <c r="W328" s="20">
        <v>142.32</v>
      </c>
      <c r="X328" s="20">
        <v>142.32</v>
      </c>
      <c r="Y328" s="20" t="s">
        <v>3159</v>
      </c>
      <c r="Z328" s="111" t="s">
        <v>3138</v>
      </c>
      <c r="AB328" s="20" t="s">
        <v>212</v>
      </c>
      <c r="AD328" s="20" t="s">
        <v>2125</v>
      </c>
      <c r="AE328" s="20" t="s">
        <v>3671</v>
      </c>
      <c r="AF328" s="20">
        <v>0</v>
      </c>
      <c r="AG328" s="20">
        <v>0</v>
      </c>
      <c r="AH328" s="20">
        <v>0</v>
      </c>
      <c r="AI328" s="20">
        <v>0</v>
      </c>
      <c r="AJ328" s="20">
        <v>0</v>
      </c>
      <c r="AK328" s="20" t="s">
        <v>576</v>
      </c>
      <c r="AL328" s="20">
        <v>0</v>
      </c>
      <c r="AM328" s="20">
        <v>0</v>
      </c>
      <c r="AN328" s="20">
        <v>0</v>
      </c>
      <c r="AO328" s="20">
        <v>0</v>
      </c>
      <c r="AP328" s="20">
        <v>0</v>
      </c>
      <c r="AR328" s="20">
        <v>0</v>
      </c>
      <c r="AS328" s="20">
        <v>0</v>
      </c>
      <c r="AT328" s="20">
        <v>974709</v>
      </c>
      <c r="AU328" s="20" t="s">
        <v>13</v>
      </c>
      <c r="AV328" s="20" t="s">
        <v>62</v>
      </c>
      <c r="AW328" s="20" t="s">
        <v>63</v>
      </c>
      <c r="AX328" s="20" t="s">
        <v>208</v>
      </c>
      <c r="AY328" s="20" t="s">
        <v>209</v>
      </c>
      <c r="AZ328" s="20">
        <v>0</v>
      </c>
      <c r="BA328" s="20">
        <v>627631.19999999995</v>
      </c>
      <c r="BB328" s="20">
        <v>1217</v>
      </c>
      <c r="BC328" s="20" t="s">
        <v>3138</v>
      </c>
      <c r="BD328" s="20" t="s">
        <v>65</v>
      </c>
      <c r="BE328" s="20" t="s">
        <v>210</v>
      </c>
      <c r="BF328" s="20" t="s">
        <v>210</v>
      </c>
      <c r="BG328" s="20">
        <v>9</v>
      </c>
      <c r="BH328" s="20">
        <v>56486.81</v>
      </c>
      <c r="BI328" s="20">
        <v>9</v>
      </c>
      <c r="BJ328" s="20">
        <v>56486.81</v>
      </c>
      <c r="BK328" s="20">
        <v>0</v>
      </c>
      <c r="BL328" s="20">
        <v>0</v>
      </c>
      <c r="BM328" s="20">
        <v>0</v>
      </c>
      <c r="BN328" s="20">
        <v>662170500230</v>
      </c>
      <c r="BO328" s="111">
        <v>46260</v>
      </c>
      <c r="BP328" s="20">
        <v>0</v>
      </c>
    </row>
    <row r="329" spans="2:68">
      <c r="B329" s="20" t="s">
        <v>2165</v>
      </c>
      <c r="C329" s="20" t="s">
        <v>3138</v>
      </c>
      <c r="D329" s="20" t="s">
        <v>3669</v>
      </c>
      <c r="E329" s="20" t="s">
        <v>20</v>
      </c>
      <c r="F329" s="20" t="s">
        <v>21</v>
      </c>
      <c r="H329" s="20" t="s">
        <v>3670</v>
      </c>
      <c r="I329" s="20">
        <v>770</v>
      </c>
      <c r="J329" s="20">
        <v>770</v>
      </c>
      <c r="K329" s="20" t="s">
        <v>11</v>
      </c>
      <c r="L329" s="20">
        <v>770</v>
      </c>
      <c r="M329" s="20">
        <v>0</v>
      </c>
      <c r="N329" s="20">
        <v>770</v>
      </c>
      <c r="O329" s="20" t="s">
        <v>2154</v>
      </c>
      <c r="P329" s="20" t="s">
        <v>87</v>
      </c>
      <c r="Q329" s="20" t="s">
        <v>87</v>
      </c>
      <c r="R329" s="20" t="s">
        <v>3159</v>
      </c>
      <c r="S329" s="111" t="s">
        <v>3138</v>
      </c>
      <c r="T329" s="20" t="s">
        <v>206</v>
      </c>
      <c r="U329" s="20" t="s">
        <v>207</v>
      </c>
      <c r="V329" s="20" t="s">
        <v>3158</v>
      </c>
      <c r="W329" s="20">
        <v>149.32</v>
      </c>
      <c r="X329" s="20">
        <v>149.32</v>
      </c>
      <c r="Y329" s="20" t="s">
        <v>3159</v>
      </c>
      <c r="Z329" s="111" t="s">
        <v>3138</v>
      </c>
      <c r="AB329" s="20" t="s">
        <v>212</v>
      </c>
      <c r="AD329" s="20" t="s">
        <v>2125</v>
      </c>
      <c r="AE329" s="20" t="s">
        <v>3671</v>
      </c>
      <c r="AF329" s="20">
        <v>0</v>
      </c>
      <c r="AG329" s="20">
        <v>0</v>
      </c>
      <c r="AH329" s="20">
        <v>0</v>
      </c>
      <c r="AI329" s="20">
        <v>0</v>
      </c>
      <c r="AJ329" s="20">
        <v>0</v>
      </c>
      <c r="AK329" s="20" t="s">
        <v>576</v>
      </c>
      <c r="AL329" s="20">
        <v>0</v>
      </c>
      <c r="AM329" s="20">
        <v>0</v>
      </c>
      <c r="AN329" s="20">
        <v>0</v>
      </c>
      <c r="AO329" s="20">
        <v>0</v>
      </c>
      <c r="AP329" s="20">
        <v>0</v>
      </c>
      <c r="AR329" s="20">
        <v>0</v>
      </c>
      <c r="AS329" s="20">
        <v>0</v>
      </c>
      <c r="AT329" s="20">
        <v>974709</v>
      </c>
      <c r="AU329" s="20" t="s">
        <v>13</v>
      </c>
      <c r="AV329" s="20" t="s">
        <v>62</v>
      </c>
      <c r="AW329" s="20" t="s">
        <v>76</v>
      </c>
      <c r="AX329" s="20" t="s">
        <v>208</v>
      </c>
      <c r="AY329" s="20" t="s">
        <v>209</v>
      </c>
      <c r="AZ329" s="20">
        <v>0</v>
      </c>
      <c r="BA329" s="20">
        <v>114976.4</v>
      </c>
      <c r="BB329" s="20">
        <v>1217</v>
      </c>
      <c r="BC329" s="20" t="s">
        <v>3138</v>
      </c>
      <c r="BD329" s="20" t="s">
        <v>65</v>
      </c>
      <c r="BE329" s="20" t="s">
        <v>210</v>
      </c>
      <c r="BF329" s="20" t="s">
        <v>210</v>
      </c>
      <c r="BG329" s="20">
        <v>9</v>
      </c>
      <c r="BH329" s="20">
        <v>10347.879999999999</v>
      </c>
      <c r="BI329" s="20">
        <v>9</v>
      </c>
      <c r="BJ329" s="20">
        <v>10347.879999999999</v>
      </c>
      <c r="BK329" s="20">
        <v>0</v>
      </c>
      <c r="BL329" s="20">
        <v>0</v>
      </c>
      <c r="BM329" s="20">
        <v>0</v>
      </c>
      <c r="BN329" s="20">
        <v>662170500230</v>
      </c>
      <c r="BO329" s="111">
        <v>46260</v>
      </c>
      <c r="BP329" s="20">
        <v>0</v>
      </c>
    </row>
    <row r="330" spans="2:68">
      <c r="B330" s="20" t="s">
        <v>2165</v>
      </c>
      <c r="C330" s="20" t="s">
        <v>3138</v>
      </c>
      <c r="D330" s="20" t="s">
        <v>3672</v>
      </c>
      <c r="E330" s="20" t="s">
        <v>18</v>
      </c>
      <c r="F330" s="20" t="s">
        <v>19</v>
      </c>
      <c r="H330" s="20" t="s">
        <v>3673</v>
      </c>
      <c r="I330" s="20">
        <v>261</v>
      </c>
      <c r="J330" s="20">
        <v>261</v>
      </c>
      <c r="K330" s="20" t="s">
        <v>11</v>
      </c>
      <c r="L330" s="20">
        <v>261</v>
      </c>
      <c r="M330" s="20">
        <v>0</v>
      </c>
      <c r="N330" s="20">
        <v>261</v>
      </c>
      <c r="O330" s="20" t="s">
        <v>2156</v>
      </c>
      <c r="P330" s="20" t="s">
        <v>87</v>
      </c>
      <c r="Q330" s="20" t="s">
        <v>87</v>
      </c>
      <c r="R330" s="20" t="s">
        <v>3161</v>
      </c>
      <c r="S330" s="111" t="s">
        <v>3138</v>
      </c>
      <c r="T330" s="20" t="s">
        <v>206</v>
      </c>
      <c r="U330" s="20" t="s">
        <v>207</v>
      </c>
      <c r="V330" s="20" t="s">
        <v>3160</v>
      </c>
      <c r="W330" s="20">
        <v>145.32</v>
      </c>
      <c r="X330" s="20">
        <v>145.320000237192</v>
      </c>
      <c r="Y330" s="20" t="s">
        <v>3161</v>
      </c>
      <c r="Z330" s="111" t="s">
        <v>3138</v>
      </c>
      <c r="AB330" s="20" t="s">
        <v>212</v>
      </c>
      <c r="AD330" s="20" t="s">
        <v>213</v>
      </c>
      <c r="AE330" s="20" t="s">
        <v>212</v>
      </c>
      <c r="AF330" s="20">
        <v>0</v>
      </c>
      <c r="AG330" s="20">
        <v>0</v>
      </c>
      <c r="AH330" s="20">
        <v>0</v>
      </c>
      <c r="AI330" s="20">
        <v>0</v>
      </c>
      <c r="AJ330" s="20">
        <v>0</v>
      </c>
      <c r="AK330" s="20" t="s">
        <v>576</v>
      </c>
      <c r="AL330" s="20">
        <v>0</v>
      </c>
      <c r="AM330" s="20">
        <v>0</v>
      </c>
      <c r="AN330" s="20">
        <v>0</v>
      </c>
      <c r="AO330" s="20">
        <v>0</v>
      </c>
      <c r="AP330" s="20">
        <v>0</v>
      </c>
      <c r="AR330" s="20">
        <v>0</v>
      </c>
      <c r="AS330" s="20">
        <v>0</v>
      </c>
      <c r="AT330" s="20">
        <v>1225336.97</v>
      </c>
      <c r="AU330" s="20" t="s">
        <v>13</v>
      </c>
      <c r="AV330" s="20" t="s">
        <v>62</v>
      </c>
      <c r="AW330" s="20" t="s">
        <v>63</v>
      </c>
      <c r="AX330" s="20" t="s">
        <v>208</v>
      </c>
      <c r="AY330" s="20" t="s">
        <v>209</v>
      </c>
      <c r="AZ330" s="20">
        <v>0</v>
      </c>
      <c r="BA330" s="20">
        <v>37928.519999999997</v>
      </c>
      <c r="BB330" s="20">
        <v>1219</v>
      </c>
      <c r="BC330" s="20" t="s">
        <v>3138</v>
      </c>
      <c r="BD330" s="20" t="s">
        <v>65</v>
      </c>
      <c r="BE330" s="20" t="s">
        <v>210</v>
      </c>
      <c r="BF330" s="20" t="s">
        <v>210</v>
      </c>
      <c r="BG330" s="20">
        <v>9</v>
      </c>
      <c r="BH330" s="20">
        <v>3413.57</v>
      </c>
      <c r="BI330" s="20">
        <v>9</v>
      </c>
      <c r="BJ330" s="20">
        <v>3413.57</v>
      </c>
      <c r="BK330" s="20">
        <v>0</v>
      </c>
      <c r="BL330" s="20">
        <v>0</v>
      </c>
      <c r="BM330" s="20">
        <v>1225336.97</v>
      </c>
      <c r="BN330" s="20">
        <v>652170678691</v>
      </c>
      <c r="BO330" s="111">
        <v>46260</v>
      </c>
      <c r="BP330" s="20">
        <v>0</v>
      </c>
    </row>
    <row r="331" spans="2:68">
      <c r="B331" s="20" t="s">
        <v>2165</v>
      </c>
      <c r="C331" s="20" t="s">
        <v>3138</v>
      </c>
      <c r="D331" s="20" t="s">
        <v>3672</v>
      </c>
      <c r="E331" s="20" t="s">
        <v>18</v>
      </c>
      <c r="F331" s="20" t="s">
        <v>19</v>
      </c>
      <c r="H331" s="20" t="s">
        <v>3673</v>
      </c>
      <c r="I331" s="20">
        <v>822</v>
      </c>
      <c r="J331" s="20">
        <v>822</v>
      </c>
      <c r="K331" s="20" t="s">
        <v>11</v>
      </c>
      <c r="L331" s="20">
        <v>822</v>
      </c>
      <c r="M331" s="20">
        <v>0</v>
      </c>
      <c r="N331" s="20">
        <v>822</v>
      </c>
      <c r="O331" s="20" t="s">
        <v>2156</v>
      </c>
      <c r="P331" s="20" t="s">
        <v>87</v>
      </c>
      <c r="Q331" s="20" t="s">
        <v>87</v>
      </c>
      <c r="R331" s="20" t="s">
        <v>3161</v>
      </c>
      <c r="S331" s="20" t="s">
        <v>3138</v>
      </c>
      <c r="T331" s="20" t="s">
        <v>206</v>
      </c>
      <c r="U331" s="20" t="s">
        <v>207</v>
      </c>
      <c r="V331" s="20" t="s">
        <v>3160</v>
      </c>
      <c r="W331" s="20">
        <v>142.32</v>
      </c>
      <c r="X331" s="20">
        <v>142.320000232295</v>
      </c>
      <c r="Y331" s="20" t="s">
        <v>3161</v>
      </c>
      <c r="Z331" s="20" t="s">
        <v>3138</v>
      </c>
      <c r="AB331" s="20" t="s">
        <v>212</v>
      </c>
      <c r="AD331" s="20" t="s">
        <v>213</v>
      </c>
      <c r="AE331" s="20" t="s">
        <v>212</v>
      </c>
      <c r="AF331" s="20">
        <v>0</v>
      </c>
      <c r="AG331" s="20">
        <v>0</v>
      </c>
      <c r="AH331" s="20">
        <v>0</v>
      </c>
      <c r="AI331" s="20">
        <v>0</v>
      </c>
      <c r="AJ331" s="20">
        <v>0</v>
      </c>
      <c r="AK331" s="20" t="s">
        <v>576</v>
      </c>
      <c r="AL331" s="20">
        <v>0</v>
      </c>
      <c r="AM331" s="20">
        <v>0</v>
      </c>
      <c r="AN331" s="20">
        <v>0</v>
      </c>
      <c r="AO331" s="20">
        <v>0</v>
      </c>
      <c r="AP331" s="20">
        <v>0</v>
      </c>
      <c r="AR331" s="20">
        <v>0</v>
      </c>
      <c r="AS331" s="20">
        <v>0</v>
      </c>
      <c r="AT331" s="20">
        <v>1225336.97</v>
      </c>
      <c r="AU331" s="20" t="s">
        <v>13</v>
      </c>
      <c r="AV331" s="20" t="s">
        <v>62</v>
      </c>
      <c r="AW331" s="20" t="s">
        <v>63</v>
      </c>
      <c r="AX331" s="20" t="s">
        <v>208</v>
      </c>
      <c r="AY331" s="20" t="s">
        <v>209</v>
      </c>
      <c r="AZ331" s="20">
        <v>0</v>
      </c>
      <c r="BA331" s="20">
        <v>116987.04</v>
      </c>
      <c r="BB331" s="20">
        <v>1219</v>
      </c>
      <c r="BC331" s="20" t="s">
        <v>3138</v>
      </c>
      <c r="BD331" s="20" t="s">
        <v>65</v>
      </c>
      <c r="BE331" s="20" t="s">
        <v>210</v>
      </c>
      <c r="BF331" s="20" t="s">
        <v>210</v>
      </c>
      <c r="BG331" s="20">
        <v>9</v>
      </c>
      <c r="BH331" s="20">
        <v>10528.83</v>
      </c>
      <c r="BI331" s="20">
        <v>9</v>
      </c>
      <c r="BJ331" s="20">
        <v>10528.83</v>
      </c>
      <c r="BK331" s="20">
        <v>0</v>
      </c>
      <c r="BL331" s="20">
        <v>0</v>
      </c>
      <c r="BM331" s="20">
        <v>0</v>
      </c>
      <c r="BN331" s="20">
        <v>652170678691</v>
      </c>
      <c r="BO331" s="111">
        <v>46260</v>
      </c>
      <c r="BP331" s="20">
        <v>0</v>
      </c>
    </row>
    <row r="332" spans="2:68">
      <c r="B332" s="20" t="s">
        <v>2165</v>
      </c>
      <c r="C332" s="20" t="s">
        <v>3138</v>
      </c>
      <c r="D332" s="20" t="s">
        <v>3672</v>
      </c>
      <c r="E332" s="20" t="s">
        <v>18</v>
      </c>
      <c r="F332" s="20" t="s">
        <v>19</v>
      </c>
      <c r="H332" s="20" t="s">
        <v>3673</v>
      </c>
      <c r="I332" s="20">
        <v>952</v>
      </c>
      <c r="J332" s="20">
        <v>952</v>
      </c>
      <c r="K332" s="20" t="s">
        <v>11</v>
      </c>
      <c r="L332" s="20">
        <v>952</v>
      </c>
      <c r="M332" s="20">
        <v>0</v>
      </c>
      <c r="N332" s="20">
        <v>952</v>
      </c>
      <c r="O332" s="20" t="s">
        <v>2156</v>
      </c>
      <c r="P332" s="20" t="s">
        <v>87</v>
      </c>
      <c r="Q332" s="20" t="s">
        <v>87</v>
      </c>
      <c r="R332" s="20" t="s">
        <v>3161</v>
      </c>
      <c r="S332" s="20" t="s">
        <v>3138</v>
      </c>
      <c r="T332" s="20" t="s">
        <v>206</v>
      </c>
      <c r="U332" s="20" t="s">
        <v>207</v>
      </c>
      <c r="V332" s="20" t="s">
        <v>3160</v>
      </c>
      <c r="W332" s="20">
        <v>144.32</v>
      </c>
      <c r="X332" s="20">
        <v>144.32000023556</v>
      </c>
      <c r="Y332" s="20" t="s">
        <v>3161</v>
      </c>
      <c r="Z332" s="20" t="s">
        <v>3138</v>
      </c>
      <c r="AB332" s="20" t="s">
        <v>212</v>
      </c>
      <c r="AD332" s="20" t="s">
        <v>213</v>
      </c>
      <c r="AE332" s="20" t="s">
        <v>212</v>
      </c>
      <c r="AF332" s="20">
        <v>0</v>
      </c>
      <c r="AG332" s="20">
        <v>0</v>
      </c>
      <c r="AH332" s="20">
        <v>0</v>
      </c>
      <c r="AI332" s="20">
        <v>0</v>
      </c>
      <c r="AJ332" s="20">
        <v>0</v>
      </c>
      <c r="AK332" s="20" t="s">
        <v>576</v>
      </c>
      <c r="AL332" s="20">
        <v>0</v>
      </c>
      <c r="AM332" s="20">
        <v>0</v>
      </c>
      <c r="AN332" s="20">
        <v>0</v>
      </c>
      <c r="AO332" s="20">
        <v>0</v>
      </c>
      <c r="AP332" s="20">
        <v>0</v>
      </c>
      <c r="AR332" s="20">
        <v>0</v>
      </c>
      <c r="AS332" s="20">
        <v>0</v>
      </c>
      <c r="AT332" s="20">
        <v>1225336.97</v>
      </c>
      <c r="AU332" s="20" t="s">
        <v>13</v>
      </c>
      <c r="AV332" s="20" t="s">
        <v>62</v>
      </c>
      <c r="AW332" s="20" t="s">
        <v>63</v>
      </c>
      <c r="AX332" s="20" t="s">
        <v>208</v>
      </c>
      <c r="AY332" s="20" t="s">
        <v>209</v>
      </c>
      <c r="AZ332" s="20">
        <v>0</v>
      </c>
      <c r="BA332" s="20">
        <v>137392.64000000001</v>
      </c>
      <c r="BB332" s="20">
        <v>1219</v>
      </c>
      <c r="BC332" s="20" t="s">
        <v>3138</v>
      </c>
      <c r="BD332" s="20" t="s">
        <v>65</v>
      </c>
      <c r="BE332" s="20" t="s">
        <v>210</v>
      </c>
      <c r="BF332" s="20" t="s">
        <v>210</v>
      </c>
      <c r="BG332" s="20">
        <v>9</v>
      </c>
      <c r="BH332" s="20">
        <v>12365.34</v>
      </c>
      <c r="BI332" s="20">
        <v>9</v>
      </c>
      <c r="BJ332" s="20">
        <v>12365.34</v>
      </c>
      <c r="BK332" s="20">
        <v>0</v>
      </c>
      <c r="BL332" s="20">
        <v>0</v>
      </c>
      <c r="BM332" s="20">
        <v>0</v>
      </c>
      <c r="BN332" s="20">
        <v>652170678691</v>
      </c>
      <c r="BO332" s="111">
        <v>46260</v>
      </c>
      <c r="BP332" s="20">
        <v>0</v>
      </c>
    </row>
    <row r="333" spans="2:68">
      <c r="B333" s="20" t="s">
        <v>2165</v>
      </c>
      <c r="C333" s="20" t="s">
        <v>3138</v>
      </c>
      <c r="D333" s="20" t="s">
        <v>3672</v>
      </c>
      <c r="E333" s="20" t="s">
        <v>1324</v>
      </c>
      <c r="F333" s="20" t="s">
        <v>1268</v>
      </c>
      <c r="H333" s="20" t="s">
        <v>3673</v>
      </c>
      <c r="I333" s="20">
        <v>919</v>
      </c>
      <c r="J333" s="20">
        <v>919</v>
      </c>
      <c r="K333" s="20" t="s">
        <v>3</v>
      </c>
      <c r="L333" s="20">
        <v>919</v>
      </c>
      <c r="M333" s="20">
        <v>0</v>
      </c>
      <c r="N333" s="20">
        <v>919</v>
      </c>
      <c r="O333" s="20" t="s">
        <v>2156</v>
      </c>
      <c r="P333" s="20" t="s">
        <v>87</v>
      </c>
      <c r="Q333" s="20" t="s">
        <v>87</v>
      </c>
      <c r="R333" s="20" t="s">
        <v>3161</v>
      </c>
      <c r="S333" s="20" t="s">
        <v>3138</v>
      </c>
      <c r="T333" s="20" t="s">
        <v>206</v>
      </c>
      <c r="U333" s="20" t="s">
        <v>207</v>
      </c>
      <c r="V333" s="20" t="s">
        <v>3160</v>
      </c>
      <c r="W333" s="20">
        <v>157.32</v>
      </c>
      <c r="X333" s="20">
        <v>157.320000256778</v>
      </c>
      <c r="Y333" s="20" t="s">
        <v>3161</v>
      </c>
      <c r="Z333" s="20" t="s">
        <v>3138</v>
      </c>
      <c r="AB333" s="20" t="s">
        <v>212</v>
      </c>
      <c r="AD333" s="20" t="s">
        <v>213</v>
      </c>
      <c r="AE333" s="20" t="s">
        <v>212</v>
      </c>
      <c r="AF333" s="20">
        <v>0</v>
      </c>
      <c r="AG333" s="20">
        <v>0</v>
      </c>
      <c r="AH333" s="20">
        <v>0</v>
      </c>
      <c r="AI333" s="20">
        <v>0</v>
      </c>
      <c r="AJ333" s="20">
        <v>0</v>
      </c>
      <c r="AK333" s="20" t="s">
        <v>576</v>
      </c>
      <c r="AL333" s="20">
        <v>0</v>
      </c>
      <c r="AM333" s="20">
        <v>0</v>
      </c>
      <c r="AN333" s="20">
        <v>0</v>
      </c>
      <c r="AO333" s="20">
        <v>0</v>
      </c>
      <c r="AP333" s="20">
        <v>0</v>
      </c>
      <c r="AR333" s="20">
        <v>0</v>
      </c>
      <c r="AS333" s="20">
        <v>0</v>
      </c>
      <c r="AT333" s="20">
        <v>1225336.97</v>
      </c>
      <c r="AU333" s="20" t="s">
        <v>13</v>
      </c>
      <c r="AV333" s="20" t="s">
        <v>99</v>
      </c>
      <c r="AW333" s="20" t="s">
        <v>100</v>
      </c>
      <c r="AX333" s="20" t="s">
        <v>208</v>
      </c>
      <c r="AZ333" s="20">
        <v>0</v>
      </c>
      <c r="BA333" s="20">
        <v>144577.07999999999</v>
      </c>
      <c r="BB333" s="20">
        <v>1219</v>
      </c>
      <c r="BC333" s="20" t="s">
        <v>3138</v>
      </c>
      <c r="BD333" s="20" t="s">
        <v>65</v>
      </c>
      <c r="BE333" s="20" t="s">
        <v>210</v>
      </c>
      <c r="BF333" s="20" t="s">
        <v>210</v>
      </c>
      <c r="BG333" s="20">
        <v>2.5</v>
      </c>
      <c r="BH333" s="20">
        <v>3614.43</v>
      </c>
      <c r="BI333" s="20">
        <v>2.5</v>
      </c>
      <c r="BJ333" s="20">
        <v>3614.43</v>
      </c>
      <c r="BK333" s="20">
        <v>0</v>
      </c>
      <c r="BL333" s="20">
        <v>0</v>
      </c>
      <c r="BM333" s="20">
        <v>0</v>
      </c>
      <c r="BN333" s="20">
        <v>652170678691</v>
      </c>
      <c r="BO333" s="111">
        <v>46260</v>
      </c>
      <c r="BP333" s="20">
        <v>0</v>
      </c>
    </row>
    <row r="334" spans="2:68">
      <c r="B334" s="20" t="s">
        <v>2165</v>
      </c>
      <c r="C334" s="20" t="s">
        <v>3138</v>
      </c>
      <c r="D334" s="20" t="s">
        <v>3672</v>
      </c>
      <c r="E334" s="20" t="s">
        <v>554</v>
      </c>
      <c r="F334" s="20" t="s">
        <v>553</v>
      </c>
      <c r="H334" s="20" t="s">
        <v>3673</v>
      </c>
      <c r="I334" s="20">
        <v>1020.2</v>
      </c>
      <c r="J334" s="20">
        <v>1020.2</v>
      </c>
      <c r="K334" s="20" t="s">
        <v>3</v>
      </c>
      <c r="L334" s="20">
        <v>1020.2</v>
      </c>
      <c r="M334" s="20">
        <v>0</v>
      </c>
      <c r="N334" s="20">
        <v>1020.2</v>
      </c>
      <c r="O334" s="20" t="s">
        <v>2156</v>
      </c>
      <c r="P334" s="20" t="s">
        <v>87</v>
      </c>
      <c r="Q334" s="20" t="s">
        <v>87</v>
      </c>
      <c r="R334" s="20" t="s">
        <v>3161</v>
      </c>
      <c r="S334" s="20" t="s">
        <v>3138</v>
      </c>
      <c r="T334" s="20" t="s">
        <v>206</v>
      </c>
      <c r="U334" s="20" t="s">
        <v>207</v>
      </c>
      <c r="V334" s="20" t="s">
        <v>3160</v>
      </c>
      <c r="W334" s="20">
        <v>154.32</v>
      </c>
      <c r="X334" s="20">
        <v>154.32000025188199</v>
      </c>
      <c r="Y334" s="20" t="s">
        <v>3161</v>
      </c>
      <c r="Z334" s="20" t="s">
        <v>3138</v>
      </c>
      <c r="AB334" s="20" t="s">
        <v>212</v>
      </c>
      <c r="AD334" s="20" t="s">
        <v>213</v>
      </c>
      <c r="AE334" s="20" t="s">
        <v>212</v>
      </c>
      <c r="AF334" s="20">
        <v>0</v>
      </c>
      <c r="AG334" s="20">
        <v>0</v>
      </c>
      <c r="AH334" s="20">
        <v>0</v>
      </c>
      <c r="AI334" s="20">
        <v>0</v>
      </c>
      <c r="AJ334" s="20">
        <v>0</v>
      </c>
      <c r="AK334" s="20" t="s">
        <v>576</v>
      </c>
      <c r="AL334" s="20">
        <v>0</v>
      </c>
      <c r="AM334" s="20">
        <v>0</v>
      </c>
      <c r="AN334" s="20">
        <v>0</v>
      </c>
      <c r="AO334" s="20">
        <v>0</v>
      </c>
      <c r="AP334" s="20">
        <v>0</v>
      </c>
      <c r="AR334" s="20">
        <v>0</v>
      </c>
      <c r="AS334" s="20">
        <v>0</v>
      </c>
      <c r="AT334" s="20">
        <v>1225336.97</v>
      </c>
      <c r="AU334" s="20" t="s">
        <v>13</v>
      </c>
      <c r="AV334" s="20" t="s">
        <v>99</v>
      </c>
      <c r="AW334" s="20" t="s">
        <v>100</v>
      </c>
      <c r="AX334" s="20" t="s">
        <v>208</v>
      </c>
      <c r="AZ334" s="20">
        <v>0</v>
      </c>
      <c r="BA334" s="20">
        <v>157437.26</v>
      </c>
      <c r="BB334" s="20">
        <v>1219</v>
      </c>
      <c r="BC334" s="20" t="s">
        <v>3138</v>
      </c>
      <c r="BD334" s="20" t="s">
        <v>65</v>
      </c>
      <c r="BE334" s="20" t="s">
        <v>210</v>
      </c>
      <c r="BF334" s="20" t="s">
        <v>210</v>
      </c>
      <c r="BG334" s="20">
        <v>2.5</v>
      </c>
      <c r="BH334" s="20">
        <v>3935.93</v>
      </c>
      <c r="BI334" s="20">
        <v>2.5</v>
      </c>
      <c r="BJ334" s="20">
        <v>3935.93</v>
      </c>
      <c r="BK334" s="20">
        <v>0</v>
      </c>
      <c r="BL334" s="20">
        <v>0</v>
      </c>
      <c r="BM334" s="20">
        <v>0</v>
      </c>
      <c r="BN334" s="20">
        <v>652170678691</v>
      </c>
      <c r="BO334" s="111">
        <v>46260</v>
      </c>
      <c r="BP334" s="20">
        <v>0</v>
      </c>
    </row>
    <row r="335" spans="2:68">
      <c r="B335" s="20" t="s">
        <v>2165</v>
      </c>
      <c r="C335" s="20" t="s">
        <v>3138</v>
      </c>
      <c r="D335" s="20" t="s">
        <v>3672</v>
      </c>
      <c r="E335" s="20" t="s">
        <v>20</v>
      </c>
      <c r="F335" s="20" t="s">
        <v>21</v>
      </c>
      <c r="H335" s="20" t="s">
        <v>3673</v>
      </c>
      <c r="I335" s="20">
        <v>660</v>
      </c>
      <c r="J335" s="20">
        <v>660</v>
      </c>
      <c r="K335" s="20" t="s">
        <v>11</v>
      </c>
      <c r="L335" s="20">
        <v>660</v>
      </c>
      <c r="M335" s="20">
        <v>0</v>
      </c>
      <c r="N335" s="20">
        <v>660</v>
      </c>
      <c r="O335" s="20" t="s">
        <v>2156</v>
      </c>
      <c r="P335" s="20" t="s">
        <v>87</v>
      </c>
      <c r="Q335" s="20" t="s">
        <v>87</v>
      </c>
      <c r="R335" s="20" t="s">
        <v>3161</v>
      </c>
      <c r="S335" s="20" t="s">
        <v>3138</v>
      </c>
      <c r="T335" s="20" t="s">
        <v>206</v>
      </c>
      <c r="U335" s="20" t="s">
        <v>207</v>
      </c>
      <c r="V335" s="20" t="s">
        <v>3160</v>
      </c>
      <c r="W335" s="20">
        <v>149.32</v>
      </c>
      <c r="X335" s="20">
        <v>149.32000024372101</v>
      </c>
      <c r="Y335" s="20" t="s">
        <v>3161</v>
      </c>
      <c r="Z335" s="20" t="s">
        <v>3138</v>
      </c>
      <c r="AB335" s="20" t="s">
        <v>212</v>
      </c>
      <c r="AD335" s="20" t="s">
        <v>213</v>
      </c>
      <c r="AE335" s="20" t="s">
        <v>212</v>
      </c>
      <c r="AF335" s="20">
        <v>0</v>
      </c>
      <c r="AG335" s="20">
        <v>0</v>
      </c>
      <c r="AH335" s="20">
        <v>0</v>
      </c>
      <c r="AI335" s="20">
        <v>0</v>
      </c>
      <c r="AJ335" s="20">
        <v>0</v>
      </c>
      <c r="AK335" s="20" t="s">
        <v>576</v>
      </c>
      <c r="AL335" s="20">
        <v>0</v>
      </c>
      <c r="AM335" s="20">
        <v>0</v>
      </c>
      <c r="AN335" s="20">
        <v>0</v>
      </c>
      <c r="AO335" s="20">
        <v>0</v>
      </c>
      <c r="AP335" s="20">
        <v>0</v>
      </c>
      <c r="AR335" s="20">
        <v>0</v>
      </c>
      <c r="AS335" s="20">
        <v>0</v>
      </c>
      <c r="AT335" s="20">
        <v>1225336.97</v>
      </c>
      <c r="AU335" s="20" t="s">
        <v>13</v>
      </c>
      <c r="AV335" s="20" t="s">
        <v>62</v>
      </c>
      <c r="AW335" s="20" t="s">
        <v>76</v>
      </c>
      <c r="AX335" s="20" t="s">
        <v>208</v>
      </c>
      <c r="AY335" s="20" t="s">
        <v>209</v>
      </c>
      <c r="AZ335" s="20">
        <v>0</v>
      </c>
      <c r="BA335" s="20">
        <v>98551.2</v>
      </c>
      <c r="BB335" s="20">
        <v>1219</v>
      </c>
      <c r="BC335" s="20" t="s">
        <v>3138</v>
      </c>
      <c r="BD335" s="20" t="s">
        <v>65</v>
      </c>
      <c r="BE335" s="20" t="s">
        <v>210</v>
      </c>
      <c r="BF335" s="20" t="s">
        <v>210</v>
      </c>
      <c r="BG335" s="20">
        <v>9</v>
      </c>
      <c r="BH335" s="20">
        <v>8869.61</v>
      </c>
      <c r="BI335" s="20">
        <v>9</v>
      </c>
      <c r="BJ335" s="20">
        <v>8869.61</v>
      </c>
      <c r="BK335" s="20">
        <v>0</v>
      </c>
      <c r="BL335" s="20">
        <v>0</v>
      </c>
      <c r="BM335" s="20">
        <v>0</v>
      </c>
      <c r="BN335" s="20">
        <v>652170678691</v>
      </c>
      <c r="BO335" s="111">
        <v>46260</v>
      </c>
      <c r="BP335" s="20">
        <v>0</v>
      </c>
    </row>
    <row r="336" spans="2:68">
      <c r="B336" s="20" t="s">
        <v>2165</v>
      </c>
      <c r="C336" s="20" t="s">
        <v>3138</v>
      </c>
      <c r="D336" s="20" t="s">
        <v>3672</v>
      </c>
      <c r="E336" s="20" t="s">
        <v>3674</v>
      </c>
      <c r="F336" s="20" t="s">
        <v>3162</v>
      </c>
      <c r="H336" s="20" t="s">
        <v>3673</v>
      </c>
      <c r="I336" s="20">
        <v>391.5</v>
      </c>
      <c r="J336" s="20">
        <v>391.5</v>
      </c>
      <c r="K336" s="20" t="s">
        <v>11</v>
      </c>
      <c r="L336" s="20">
        <v>391.5</v>
      </c>
      <c r="M336" s="20">
        <v>0</v>
      </c>
      <c r="N336" s="20">
        <v>391.5</v>
      </c>
      <c r="O336" s="20" t="s">
        <v>2156</v>
      </c>
      <c r="P336" s="20" t="s">
        <v>87</v>
      </c>
      <c r="Q336" s="20" t="s">
        <v>87</v>
      </c>
      <c r="R336" s="20" t="s">
        <v>3161</v>
      </c>
      <c r="S336" s="20" t="s">
        <v>3138</v>
      </c>
      <c r="T336" s="20" t="s">
        <v>206</v>
      </c>
      <c r="U336" s="20" t="s">
        <v>207</v>
      </c>
      <c r="V336" s="20" t="s">
        <v>3160</v>
      </c>
      <c r="W336" s="20">
        <v>157.32</v>
      </c>
      <c r="X336" s="20">
        <v>157.320000256778</v>
      </c>
      <c r="Y336" s="20" t="s">
        <v>3161</v>
      </c>
      <c r="Z336" s="20" t="s">
        <v>3138</v>
      </c>
      <c r="AB336" s="20" t="s">
        <v>212</v>
      </c>
      <c r="AD336" s="20" t="s">
        <v>213</v>
      </c>
      <c r="AE336" s="20" t="s">
        <v>212</v>
      </c>
      <c r="AF336" s="20">
        <v>0</v>
      </c>
      <c r="AG336" s="20">
        <v>0</v>
      </c>
      <c r="AH336" s="20">
        <v>0</v>
      </c>
      <c r="AI336" s="20">
        <v>0</v>
      </c>
      <c r="AJ336" s="20">
        <v>0</v>
      </c>
      <c r="AK336" s="20" t="s">
        <v>576</v>
      </c>
      <c r="AL336" s="20">
        <v>0</v>
      </c>
      <c r="AM336" s="20">
        <v>0</v>
      </c>
      <c r="AN336" s="20">
        <v>0</v>
      </c>
      <c r="AO336" s="20">
        <v>0</v>
      </c>
      <c r="AP336" s="20">
        <v>0</v>
      </c>
      <c r="AR336" s="20">
        <v>0</v>
      </c>
      <c r="AS336" s="20">
        <v>0</v>
      </c>
      <c r="AT336" s="20">
        <v>1225336.97</v>
      </c>
      <c r="AU336" s="20" t="s">
        <v>13</v>
      </c>
      <c r="AV336" s="20" t="s">
        <v>99</v>
      </c>
      <c r="AW336" s="20" t="s">
        <v>100</v>
      </c>
      <c r="AX336" s="20" t="s">
        <v>208</v>
      </c>
      <c r="AY336" s="20" t="s">
        <v>209</v>
      </c>
      <c r="AZ336" s="20">
        <v>0</v>
      </c>
      <c r="BA336" s="20">
        <v>61590.78</v>
      </c>
      <c r="BB336" s="20">
        <v>1219</v>
      </c>
      <c r="BC336" s="20" t="s">
        <v>3138</v>
      </c>
      <c r="BD336" s="20" t="s">
        <v>65</v>
      </c>
      <c r="BE336" s="20" t="s">
        <v>210</v>
      </c>
      <c r="BF336" s="20" t="s">
        <v>210</v>
      </c>
      <c r="BG336" s="20">
        <v>2.5</v>
      </c>
      <c r="BH336" s="20">
        <v>1539.77</v>
      </c>
      <c r="BI336" s="20">
        <v>2.5</v>
      </c>
      <c r="BJ336" s="20">
        <v>1539.77</v>
      </c>
      <c r="BK336" s="20">
        <v>0</v>
      </c>
      <c r="BL336" s="20">
        <v>0</v>
      </c>
      <c r="BM336" s="20">
        <v>0</v>
      </c>
      <c r="BN336" s="20">
        <v>652170678691</v>
      </c>
      <c r="BO336" s="111">
        <v>46260</v>
      </c>
      <c r="BP336" s="20">
        <v>0</v>
      </c>
    </row>
    <row r="337" spans="2:68">
      <c r="B337" s="20" t="s">
        <v>2165</v>
      </c>
      <c r="C337" s="20" t="s">
        <v>3138</v>
      </c>
      <c r="D337" s="20" t="s">
        <v>3672</v>
      </c>
      <c r="E337" s="20" t="s">
        <v>160</v>
      </c>
      <c r="F337" s="20" t="s">
        <v>17</v>
      </c>
      <c r="H337" s="20" t="s">
        <v>3673</v>
      </c>
      <c r="I337" s="20">
        <v>185</v>
      </c>
      <c r="J337" s="20">
        <v>185</v>
      </c>
      <c r="K337" s="20" t="s">
        <v>11</v>
      </c>
      <c r="L337" s="20">
        <v>185</v>
      </c>
      <c r="M337" s="20">
        <v>0</v>
      </c>
      <c r="N337" s="20">
        <v>185</v>
      </c>
      <c r="O337" s="20" t="s">
        <v>2156</v>
      </c>
      <c r="P337" s="20" t="s">
        <v>87</v>
      </c>
      <c r="Q337" s="20" t="s">
        <v>87</v>
      </c>
      <c r="R337" s="20" t="s">
        <v>3161</v>
      </c>
      <c r="S337" s="20" t="s">
        <v>3138</v>
      </c>
      <c r="T337" s="20" t="s">
        <v>206</v>
      </c>
      <c r="U337" s="20" t="s">
        <v>207</v>
      </c>
      <c r="V337" s="20" t="s">
        <v>3160</v>
      </c>
      <c r="W337" s="20">
        <v>184.86</v>
      </c>
      <c r="X337" s="20">
        <v>184.860000301729</v>
      </c>
      <c r="Y337" s="20" t="s">
        <v>3161</v>
      </c>
      <c r="Z337" s="20" t="s">
        <v>3138</v>
      </c>
      <c r="AB337" s="20" t="s">
        <v>212</v>
      </c>
      <c r="AD337" s="20" t="s">
        <v>213</v>
      </c>
      <c r="AE337" s="20" t="s">
        <v>212</v>
      </c>
      <c r="AF337" s="20">
        <v>0</v>
      </c>
      <c r="AG337" s="20">
        <v>0</v>
      </c>
      <c r="AH337" s="20">
        <v>0</v>
      </c>
      <c r="AI337" s="20">
        <v>0</v>
      </c>
      <c r="AJ337" s="20">
        <v>0</v>
      </c>
      <c r="AK337" s="20" t="s">
        <v>576</v>
      </c>
      <c r="AL337" s="20">
        <v>0</v>
      </c>
      <c r="AM337" s="20">
        <v>0</v>
      </c>
      <c r="AN337" s="20">
        <v>0</v>
      </c>
      <c r="AO337" s="20">
        <v>0</v>
      </c>
      <c r="AP337" s="20">
        <v>0</v>
      </c>
      <c r="AR337" s="20">
        <v>0</v>
      </c>
      <c r="AS337" s="20">
        <v>0</v>
      </c>
      <c r="AT337" s="20">
        <v>1225336.97</v>
      </c>
      <c r="AU337" s="20" t="s">
        <v>13</v>
      </c>
      <c r="AV337" s="20" t="s">
        <v>80</v>
      </c>
      <c r="AW337" s="20" t="s">
        <v>81</v>
      </c>
      <c r="AX337" s="20" t="s">
        <v>208</v>
      </c>
      <c r="AY337" s="20" t="s">
        <v>209</v>
      </c>
      <c r="AZ337" s="20">
        <v>0</v>
      </c>
      <c r="BA337" s="20">
        <v>34199.1</v>
      </c>
      <c r="BB337" s="20">
        <v>1219</v>
      </c>
      <c r="BC337" s="20" t="s">
        <v>3138</v>
      </c>
      <c r="BD337" s="20" t="s">
        <v>65</v>
      </c>
      <c r="BE337" s="20" t="s">
        <v>210</v>
      </c>
      <c r="BF337" s="20" t="s">
        <v>210</v>
      </c>
      <c r="BG337" s="20">
        <v>9</v>
      </c>
      <c r="BH337" s="20">
        <v>3077.92</v>
      </c>
      <c r="BI337" s="20">
        <v>9</v>
      </c>
      <c r="BJ337" s="20">
        <v>3077.92</v>
      </c>
      <c r="BK337" s="20">
        <v>0</v>
      </c>
      <c r="BL337" s="20">
        <v>0</v>
      </c>
      <c r="BM337" s="20">
        <v>0</v>
      </c>
      <c r="BN337" s="20">
        <v>652170678691</v>
      </c>
      <c r="BO337" s="111">
        <v>46260</v>
      </c>
      <c r="BP337" s="20">
        <v>0</v>
      </c>
    </row>
    <row r="338" spans="2:68">
      <c r="B338" s="20" t="s">
        <v>2165</v>
      </c>
      <c r="C338" s="20" t="s">
        <v>3138</v>
      </c>
      <c r="D338" s="20" t="s">
        <v>3672</v>
      </c>
      <c r="E338" s="20" t="s">
        <v>160</v>
      </c>
      <c r="F338" s="20" t="s">
        <v>17</v>
      </c>
      <c r="H338" s="20" t="s">
        <v>3673</v>
      </c>
      <c r="I338" s="20">
        <v>246</v>
      </c>
      <c r="J338" s="20">
        <v>246</v>
      </c>
      <c r="K338" s="20" t="s">
        <v>11</v>
      </c>
      <c r="L338" s="20">
        <v>246</v>
      </c>
      <c r="M338" s="20">
        <v>0</v>
      </c>
      <c r="N338" s="20">
        <v>246</v>
      </c>
      <c r="O338" s="20" t="s">
        <v>2156</v>
      </c>
      <c r="P338" s="20" t="s">
        <v>87</v>
      </c>
      <c r="Q338" s="20" t="s">
        <v>87</v>
      </c>
      <c r="R338" s="20" t="s">
        <v>3161</v>
      </c>
      <c r="S338" s="20" t="s">
        <v>3138</v>
      </c>
      <c r="T338" s="20" t="s">
        <v>206</v>
      </c>
      <c r="U338" s="20" t="s">
        <v>207</v>
      </c>
      <c r="V338" s="20" t="s">
        <v>3160</v>
      </c>
      <c r="W338" s="20">
        <v>176.86</v>
      </c>
      <c r="X338" s="20">
        <v>176.86000028867201</v>
      </c>
      <c r="Y338" s="20" t="s">
        <v>3161</v>
      </c>
      <c r="Z338" s="20" t="s">
        <v>3138</v>
      </c>
      <c r="AB338" s="20" t="s">
        <v>212</v>
      </c>
      <c r="AD338" s="20" t="s">
        <v>213</v>
      </c>
      <c r="AE338" s="20" t="s">
        <v>212</v>
      </c>
      <c r="AF338" s="20">
        <v>0</v>
      </c>
      <c r="AG338" s="20">
        <v>0</v>
      </c>
      <c r="AH338" s="20">
        <v>0</v>
      </c>
      <c r="AI338" s="20">
        <v>0</v>
      </c>
      <c r="AJ338" s="20">
        <v>0</v>
      </c>
      <c r="AK338" s="20" t="s">
        <v>576</v>
      </c>
      <c r="AL338" s="20">
        <v>0</v>
      </c>
      <c r="AM338" s="20">
        <v>0</v>
      </c>
      <c r="AN338" s="20">
        <v>0</v>
      </c>
      <c r="AO338" s="20">
        <v>0</v>
      </c>
      <c r="AP338" s="20">
        <v>0</v>
      </c>
      <c r="AR338" s="20">
        <v>0</v>
      </c>
      <c r="AS338" s="20">
        <v>0</v>
      </c>
      <c r="AT338" s="20">
        <v>1225336.97</v>
      </c>
      <c r="AU338" s="20" t="s">
        <v>13</v>
      </c>
      <c r="AV338" s="20" t="s">
        <v>80</v>
      </c>
      <c r="AW338" s="20" t="s">
        <v>81</v>
      </c>
      <c r="AX338" s="20" t="s">
        <v>208</v>
      </c>
      <c r="AY338" s="20" t="s">
        <v>209</v>
      </c>
      <c r="AZ338" s="20">
        <v>0</v>
      </c>
      <c r="BA338" s="20">
        <v>43507.56</v>
      </c>
      <c r="BB338" s="20">
        <v>1219</v>
      </c>
      <c r="BC338" s="20" t="s">
        <v>3138</v>
      </c>
      <c r="BD338" s="20" t="s">
        <v>65</v>
      </c>
      <c r="BE338" s="20" t="s">
        <v>210</v>
      </c>
      <c r="BF338" s="20" t="s">
        <v>210</v>
      </c>
      <c r="BG338" s="20">
        <v>9</v>
      </c>
      <c r="BH338" s="20">
        <v>3915.68</v>
      </c>
      <c r="BI338" s="20">
        <v>9</v>
      </c>
      <c r="BJ338" s="20">
        <v>3915.68</v>
      </c>
      <c r="BK338" s="20">
        <v>0</v>
      </c>
      <c r="BL338" s="20">
        <v>0</v>
      </c>
      <c r="BM338" s="20">
        <v>0</v>
      </c>
      <c r="BN338" s="20">
        <v>652170678691</v>
      </c>
      <c r="BO338" s="111">
        <v>46260</v>
      </c>
      <c r="BP338" s="20">
        <v>0</v>
      </c>
    </row>
    <row r="339" spans="2:68">
      <c r="B339" s="20" t="s">
        <v>2165</v>
      </c>
      <c r="C339" s="20" t="s">
        <v>3138</v>
      </c>
      <c r="D339" s="20" t="s">
        <v>3672</v>
      </c>
      <c r="E339" s="20" t="s">
        <v>23</v>
      </c>
      <c r="F339" s="20" t="s">
        <v>24</v>
      </c>
      <c r="H339" s="20" t="s">
        <v>3673</v>
      </c>
      <c r="I339" s="20">
        <v>15</v>
      </c>
      <c r="J339" s="20">
        <v>15</v>
      </c>
      <c r="K339" s="20" t="s">
        <v>11</v>
      </c>
      <c r="L339" s="20">
        <v>15</v>
      </c>
      <c r="M339" s="20">
        <v>0</v>
      </c>
      <c r="N339" s="20">
        <v>15</v>
      </c>
      <c r="O339" s="20" t="s">
        <v>2156</v>
      </c>
      <c r="P339" s="20" t="s">
        <v>87</v>
      </c>
      <c r="Q339" s="20" t="s">
        <v>87</v>
      </c>
      <c r="R339" s="20" t="s">
        <v>3161</v>
      </c>
      <c r="S339" s="20" t="s">
        <v>3138</v>
      </c>
      <c r="T339" s="20" t="s">
        <v>206</v>
      </c>
      <c r="U339" s="20" t="s">
        <v>207</v>
      </c>
      <c r="V339" s="20" t="s">
        <v>3160</v>
      </c>
      <c r="W339" s="20">
        <v>168.32</v>
      </c>
      <c r="X339" s="20">
        <v>168.32000027473299</v>
      </c>
      <c r="Y339" s="20" t="s">
        <v>3161</v>
      </c>
      <c r="Z339" s="20" t="s">
        <v>3138</v>
      </c>
      <c r="AB339" s="20" t="s">
        <v>212</v>
      </c>
      <c r="AD339" s="20" t="s">
        <v>213</v>
      </c>
      <c r="AE339" s="20" t="s">
        <v>212</v>
      </c>
      <c r="AF339" s="20">
        <v>0</v>
      </c>
      <c r="AG339" s="20">
        <v>0</v>
      </c>
      <c r="AH339" s="20">
        <v>0</v>
      </c>
      <c r="AI339" s="20">
        <v>0</v>
      </c>
      <c r="AJ339" s="20">
        <v>0</v>
      </c>
      <c r="AK339" s="20" t="s">
        <v>576</v>
      </c>
      <c r="AL339" s="20">
        <v>0</v>
      </c>
      <c r="AM339" s="20">
        <v>0</v>
      </c>
      <c r="AN339" s="20">
        <v>0</v>
      </c>
      <c r="AO339" s="20">
        <v>0</v>
      </c>
      <c r="AP339" s="20">
        <v>0</v>
      </c>
      <c r="AR339" s="20">
        <v>0</v>
      </c>
      <c r="AS339" s="20">
        <v>0</v>
      </c>
      <c r="AT339" s="20">
        <v>1225336.97</v>
      </c>
      <c r="AU339" s="20" t="s">
        <v>13</v>
      </c>
      <c r="AV339" s="20" t="s">
        <v>24</v>
      </c>
      <c r="AW339" s="20" t="s">
        <v>79</v>
      </c>
      <c r="AX339" s="20" t="s">
        <v>208</v>
      </c>
      <c r="AY339" s="20" t="s">
        <v>209</v>
      </c>
      <c r="AZ339" s="20">
        <v>0</v>
      </c>
      <c r="BA339" s="20">
        <v>2524.8000000000002</v>
      </c>
      <c r="BB339" s="20">
        <v>1219</v>
      </c>
      <c r="BC339" s="20" t="s">
        <v>3138</v>
      </c>
      <c r="BD339" s="20" t="s">
        <v>65</v>
      </c>
      <c r="BE339" s="20" t="s">
        <v>210</v>
      </c>
      <c r="BF339" s="20" t="s">
        <v>210</v>
      </c>
      <c r="BG339" s="20">
        <v>9</v>
      </c>
      <c r="BH339" s="20">
        <v>227.23</v>
      </c>
      <c r="BI339" s="20">
        <v>9</v>
      </c>
      <c r="BJ339" s="20">
        <v>227.23</v>
      </c>
      <c r="BK339" s="20">
        <v>0</v>
      </c>
      <c r="BL339" s="20">
        <v>0</v>
      </c>
      <c r="BM339" s="20">
        <v>0</v>
      </c>
      <c r="BN339" s="20">
        <v>652170678691</v>
      </c>
      <c r="BO339" s="111">
        <v>46260</v>
      </c>
      <c r="BP339" s="20">
        <v>0</v>
      </c>
    </row>
    <row r="340" spans="2:68">
      <c r="B340" s="20" t="s">
        <v>2165</v>
      </c>
      <c r="C340" s="20" t="s">
        <v>3138</v>
      </c>
      <c r="D340" s="20" t="s">
        <v>3672</v>
      </c>
      <c r="E340" s="20" t="s">
        <v>23</v>
      </c>
      <c r="F340" s="20" t="s">
        <v>24</v>
      </c>
      <c r="H340" s="20" t="s">
        <v>3673</v>
      </c>
      <c r="I340" s="20">
        <v>1153.9000000000001</v>
      </c>
      <c r="J340" s="20">
        <v>1153.9000000000001</v>
      </c>
      <c r="K340" s="20" t="s">
        <v>11</v>
      </c>
      <c r="L340" s="20">
        <v>1153.9000000000001</v>
      </c>
      <c r="M340" s="20">
        <v>0</v>
      </c>
      <c r="N340" s="20">
        <v>1153.9000000000001</v>
      </c>
      <c r="O340" s="20" t="s">
        <v>2156</v>
      </c>
      <c r="P340" s="20" t="s">
        <v>87</v>
      </c>
      <c r="Q340" s="20" t="s">
        <v>87</v>
      </c>
      <c r="R340" s="20" t="s">
        <v>3161</v>
      </c>
      <c r="S340" s="20" t="s">
        <v>3138</v>
      </c>
      <c r="T340" s="20" t="s">
        <v>206</v>
      </c>
      <c r="U340" s="20" t="s">
        <v>207</v>
      </c>
      <c r="V340" s="20" t="s">
        <v>3160</v>
      </c>
      <c r="W340" s="20">
        <v>147.32</v>
      </c>
      <c r="X340" s="20">
        <v>147.32000024045601</v>
      </c>
      <c r="Y340" s="20" t="s">
        <v>3161</v>
      </c>
      <c r="Z340" s="20" t="s">
        <v>3138</v>
      </c>
      <c r="AB340" s="20" t="s">
        <v>212</v>
      </c>
      <c r="AD340" s="20" t="s">
        <v>213</v>
      </c>
      <c r="AE340" s="20" t="s">
        <v>212</v>
      </c>
      <c r="AF340" s="20">
        <v>0</v>
      </c>
      <c r="AG340" s="20">
        <v>0</v>
      </c>
      <c r="AH340" s="20">
        <v>0</v>
      </c>
      <c r="AI340" s="20">
        <v>0</v>
      </c>
      <c r="AJ340" s="20">
        <v>0</v>
      </c>
      <c r="AK340" s="20" t="s">
        <v>576</v>
      </c>
      <c r="AL340" s="20">
        <v>0</v>
      </c>
      <c r="AM340" s="20">
        <v>0</v>
      </c>
      <c r="AN340" s="20">
        <v>0</v>
      </c>
      <c r="AO340" s="20">
        <v>0</v>
      </c>
      <c r="AP340" s="20">
        <v>0</v>
      </c>
      <c r="AR340" s="20">
        <v>0</v>
      </c>
      <c r="AS340" s="20">
        <v>0</v>
      </c>
      <c r="AT340" s="20">
        <v>1225336.97</v>
      </c>
      <c r="AU340" s="20" t="s">
        <v>13</v>
      </c>
      <c r="AV340" s="20" t="s">
        <v>24</v>
      </c>
      <c r="AW340" s="20" t="s">
        <v>79</v>
      </c>
      <c r="AX340" s="20" t="s">
        <v>208</v>
      </c>
      <c r="AY340" s="20" t="s">
        <v>209</v>
      </c>
      <c r="AZ340" s="20">
        <v>0</v>
      </c>
      <c r="BA340" s="20">
        <v>169992.55</v>
      </c>
      <c r="BB340" s="20">
        <v>1219</v>
      </c>
      <c r="BC340" s="20" t="s">
        <v>3138</v>
      </c>
      <c r="BD340" s="20" t="s">
        <v>65</v>
      </c>
      <c r="BE340" s="20" t="s">
        <v>210</v>
      </c>
      <c r="BF340" s="20" t="s">
        <v>210</v>
      </c>
      <c r="BG340" s="20">
        <v>9</v>
      </c>
      <c r="BH340" s="20">
        <v>15299.33</v>
      </c>
      <c r="BI340" s="20">
        <v>9</v>
      </c>
      <c r="BJ340" s="20">
        <v>15299.33</v>
      </c>
      <c r="BK340" s="20">
        <v>0</v>
      </c>
      <c r="BL340" s="20">
        <v>0</v>
      </c>
      <c r="BM340" s="20">
        <v>0</v>
      </c>
      <c r="BN340" s="20">
        <v>652170678691</v>
      </c>
      <c r="BO340" s="111">
        <v>46260</v>
      </c>
      <c r="BP340" s="20">
        <v>0</v>
      </c>
    </row>
    <row r="341" spans="2:68">
      <c r="B341" s="20" t="s">
        <v>2165</v>
      </c>
      <c r="C341" s="20" t="s">
        <v>3138</v>
      </c>
      <c r="D341" s="20" t="s">
        <v>3672</v>
      </c>
      <c r="E341" s="20" t="s">
        <v>23</v>
      </c>
      <c r="F341" s="20" t="s">
        <v>24</v>
      </c>
      <c r="H341" s="20" t="s">
        <v>3673</v>
      </c>
      <c r="I341" s="20">
        <v>511.3</v>
      </c>
      <c r="J341" s="20">
        <v>511.3</v>
      </c>
      <c r="K341" s="20" t="s">
        <v>11</v>
      </c>
      <c r="L341" s="20">
        <v>511.3</v>
      </c>
      <c r="M341" s="20">
        <v>0</v>
      </c>
      <c r="N341" s="20">
        <v>511.3</v>
      </c>
      <c r="O341" s="20" t="s">
        <v>2156</v>
      </c>
      <c r="P341" s="20" t="s">
        <v>87</v>
      </c>
      <c r="Q341" s="20" t="s">
        <v>87</v>
      </c>
      <c r="R341" s="20" t="s">
        <v>3161</v>
      </c>
      <c r="S341" s="20" t="s">
        <v>3138</v>
      </c>
      <c r="T341" s="20" t="s">
        <v>206</v>
      </c>
      <c r="U341" s="20" t="s">
        <v>207</v>
      </c>
      <c r="V341" s="20" t="s">
        <v>3160</v>
      </c>
      <c r="W341" s="20">
        <v>144.32</v>
      </c>
      <c r="X341" s="20">
        <v>144.32000023556</v>
      </c>
      <c r="Y341" s="20" t="s">
        <v>3161</v>
      </c>
      <c r="Z341" s="20" t="s">
        <v>3138</v>
      </c>
      <c r="AB341" s="20" t="s">
        <v>212</v>
      </c>
      <c r="AD341" s="20" t="s">
        <v>213</v>
      </c>
      <c r="AE341" s="20" t="s">
        <v>212</v>
      </c>
      <c r="AF341" s="20">
        <v>0</v>
      </c>
      <c r="AG341" s="20">
        <v>0</v>
      </c>
      <c r="AH341" s="20">
        <v>0</v>
      </c>
      <c r="AI341" s="20">
        <v>0</v>
      </c>
      <c r="AJ341" s="20">
        <v>0</v>
      </c>
      <c r="AK341" s="20" t="s">
        <v>576</v>
      </c>
      <c r="AL341" s="20">
        <v>0</v>
      </c>
      <c r="AM341" s="20">
        <v>0</v>
      </c>
      <c r="AN341" s="20">
        <v>0</v>
      </c>
      <c r="AO341" s="20">
        <v>0</v>
      </c>
      <c r="AP341" s="20">
        <v>0</v>
      </c>
      <c r="AR341" s="20">
        <v>0</v>
      </c>
      <c r="AS341" s="20">
        <v>0</v>
      </c>
      <c r="AT341" s="20">
        <v>1225336.97</v>
      </c>
      <c r="AU341" s="20" t="s">
        <v>13</v>
      </c>
      <c r="AV341" s="20" t="s">
        <v>24</v>
      </c>
      <c r="AW341" s="20" t="s">
        <v>79</v>
      </c>
      <c r="AX341" s="20" t="s">
        <v>208</v>
      </c>
      <c r="AY341" s="20" t="s">
        <v>209</v>
      </c>
      <c r="AZ341" s="20">
        <v>0</v>
      </c>
      <c r="BA341" s="20">
        <v>73790.820000000007</v>
      </c>
      <c r="BB341" s="20">
        <v>1219</v>
      </c>
      <c r="BC341" s="20" t="s">
        <v>3138</v>
      </c>
      <c r="BD341" s="20" t="s">
        <v>65</v>
      </c>
      <c r="BE341" s="20" t="s">
        <v>210</v>
      </c>
      <c r="BF341" s="20" t="s">
        <v>210</v>
      </c>
      <c r="BG341" s="20">
        <v>9</v>
      </c>
      <c r="BH341" s="20">
        <v>6641.17</v>
      </c>
      <c r="BI341" s="20">
        <v>9</v>
      </c>
      <c r="BJ341" s="20">
        <v>6641.17</v>
      </c>
      <c r="BK341" s="20">
        <v>0</v>
      </c>
      <c r="BL341" s="20">
        <v>0</v>
      </c>
      <c r="BM341" s="20">
        <v>0</v>
      </c>
      <c r="BN341" s="20">
        <v>652170678691</v>
      </c>
      <c r="BO341" s="111">
        <v>46260</v>
      </c>
      <c r="BP341" s="20">
        <v>0</v>
      </c>
    </row>
    <row r="342" spans="2:68">
      <c r="B342" s="20" t="s">
        <v>2165</v>
      </c>
      <c r="C342" s="20" t="s">
        <v>3138</v>
      </c>
      <c r="D342" s="20" t="s">
        <v>3675</v>
      </c>
      <c r="E342" s="20" t="s">
        <v>18</v>
      </c>
      <c r="F342" s="20" t="s">
        <v>19</v>
      </c>
      <c r="H342" s="20" t="s">
        <v>3676</v>
      </c>
      <c r="I342" s="20">
        <v>533.70000000000005</v>
      </c>
      <c r="J342" s="20">
        <v>533.70000000000005</v>
      </c>
      <c r="K342" s="20" t="s">
        <v>11</v>
      </c>
      <c r="L342" s="20">
        <v>533.70000000000005</v>
      </c>
      <c r="M342" s="20">
        <v>0</v>
      </c>
      <c r="N342" s="20">
        <v>533.70000000000005</v>
      </c>
      <c r="O342" s="20" t="s">
        <v>2397</v>
      </c>
      <c r="P342" s="20" t="s">
        <v>94</v>
      </c>
      <c r="Q342" s="20" t="s">
        <v>94</v>
      </c>
      <c r="R342" s="20" t="s">
        <v>3170</v>
      </c>
      <c r="S342" s="20" t="s">
        <v>3138</v>
      </c>
      <c r="T342" s="20" t="s">
        <v>206</v>
      </c>
      <c r="U342" s="20" t="s">
        <v>207</v>
      </c>
      <c r="V342" s="20" t="s">
        <v>3169</v>
      </c>
      <c r="W342" s="20">
        <v>135.58000000000001</v>
      </c>
      <c r="X342" s="20">
        <v>135.580006351566</v>
      </c>
      <c r="Y342" s="20" t="s">
        <v>3170</v>
      </c>
      <c r="Z342" s="20" t="s">
        <v>3138</v>
      </c>
      <c r="AB342" s="20" t="s">
        <v>212</v>
      </c>
      <c r="AD342" s="20" t="s">
        <v>213</v>
      </c>
      <c r="AE342" s="20" t="s">
        <v>212</v>
      </c>
      <c r="AF342" s="20">
        <v>0</v>
      </c>
      <c r="AG342" s="20">
        <v>0</v>
      </c>
      <c r="AH342" s="20">
        <v>0</v>
      </c>
      <c r="AI342" s="20">
        <v>0</v>
      </c>
      <c r="AJ342" s="20">
        <v>0</v>
      </c>
      <c r="AK342" s="20" t="s">
        <v>576</v>
      </c>
      <c r="AL342" s="20">
        <v>0</v>
      </c>
      <c r="AM342" s="20">
        <v>0</v>
      </c>
      <c r="AN342" s="20">
        <v>0</v>
      </c>
      <c r="AO342" s="20">
        <v>0</v>
      </c>
      <c r="AP342" s="20">
        <v>0</v>
      </c>
      <c r="AR342" s="20">
        <v>0</v>
      </c>
      <c r="AS342" s="20">
        <v>0</v>
      </c>
      <c r="AT342" s="20">
        <v>85383.67</v>
      </c>
      <c r="AU342" s="20" t="s">
        <v>13</v>
      </c>
      <c r="AV342" s="20" t="s">
        <v>62</v>
      </c>
      <c r="AW342" s="20" t="s">
        <v>63</v>
      </c>
      <c r="AX342" s="20" t="s">
        <v>208</v>
      </c>
      <c r="AY342" s="20" t="s">
        <v>209</v>
      </c>
      <c r="AZ342" s="20">
        <v>0</v>
      </c>
      <c r="BA342" s="20">
        <v>72359.05</v>
      </c>
      <c r="BB342" s="20">
        <v>1229</v>
      </c>
      <c r="BC342" s="20" t="s">
        <v>3138</v>
      </c>
      <c r="BD342" s="20" t="s">
        <v>74</v>
      </c>
      <c r="BE342" s="20" t="s">
        <v>210</v>
      </c>
      <c r="BF342" s="20" t="s">
        <v>210</v>
      </c>
      <c r="BG342" s="20">
        <v>9</v>
      </c>
      <c r="BH342" s="20">
        <v>6512.31</v>
      </c>
      <c r="BI342" s="20">
        <v>9</v>
      </c>
      <c r="BJ342" s="20">
        <v>6512.31</v>
      </c>
      <c r="BK342" s="20">
        <v>0</v>
      </c>
      <c r="BL342" s="20">
        <v>0</v>
      </c>
      <c r="BM342" s="20">
        <v>85383.67</v>
      </c>
      <c r="BN342" s="20">
        <v>622170815413</v>
      </c>
      <c r="BO342" s="111">
        <v>46260</v>
      </c>
      <c r="BP342" s="20">
        <v>0</v>
      </c>
    </row>
    <row r="343" spans="2:68">
      <c r="B343" s="20" t="s">
        <v>2165</v>
      </c>
      <c r="C343" s="20" t="s">
        <v>3173</v>
      </c>
      <c r="D343" s="20" t="s">
        <v>3677</v>
      </c>
      <c r="E343" s="20" t="s">
        <v>18</v>
      </c>
      <c r="F343" s="20" t="s">
        <v>19</v>
      </c>
      <c r="H343" s="20" t="s">
        <v>3678</v>
      </c>
      <c r="I343" s="20">
        <v>6995</v>
      </c>
      <c r="J343" s="20">
        <v>6995</v>
      </c>
      <c r="K343" s="20" t="s">
        <v>11</v>
      </c>
      <c r="L343" s="20">
        <v>6995</v>
      </c>
      <c r="M343" s="20">
        <v>0</v>
      </c>
      <c r="N343" s="20">
        <v>6995</v>
      </c>
      <c r="O343" s="20" t="s">
        <v>2154</v>
      </c>
      <c r="P343" s="20" t="s">
        <v>87</v>
      </c>
      <c r="Q343" s="20" t="s">
        <v>87</v>
      </c>
      <c r="R343" s="20" t="s">
        <v>3177</v>
      </c>
      <c r="S343" s="20" t="s">
        <v>3173</v>
      </c>
      <c r="T343" s="20" t="s">
        <v>206</v>
      </c>
      <c r="U343" s="20" t="s">
        <v>207</v>
      </c>
      <c r="V343" s="20" t="s">
        <v>3176</v>
      </c>
      <c r="W343" s="20">
        <v>142.32</v>
      </c>
      <c r="X343" s="20">
        <v>142.32</v>
      </c>
      <c r="Y343" s="20" t="s">
        <v>3177</v>
      </c>
      <c r="Z343" s="20" t="s">
        <v>3173</v>
      </c>
      <c r="AB343" s="20" t="s">
        <v>212</v>
      </c>
      <c r="AD343" s="20" t="s">
        <v>213</v>
      </c>
      <c r="AE343" s="20" t="s">
        <v>212</v>
      </c>
      <c r="AF343" s="20">
        <v>0</v>
      </c>
      <c r="AG343" s="20">
        <v>0</v>
      </c>
      <c r="AH343" s="20">
        <v>0</v>
      </c>
      <c r="AI343" s="20">
        <v>0</v>
      </c>
      <c r="AJ343" s="20">
        <v>0</v>
      </c>
      <c r="AK343" s="20" t="s">
        <v>576</v>
      </c>
      <c r="AL343" s="20">
        <v>0</v>
      </c>
      <c r="AM343" s="20">
        <v>0</v>
      </c>
      <c r="AN343" s="20">
        <v>0</v>
      </c>
      <c r="AO343" s="20">
        <v>0</v>
      </c>
      <c r="AP343" s="20">
        <v>0</v>
      </c>
      <c r="AR343" s="20">
        <v>0</v>
      </c>
      <c r="AS343" s="20">
        <v>0</v>
      </c>
      <c r="AT343" s="20">
        <v>1601578.76</v>
      </c>
      <c r="AU343" s="20" t="s">
        <v>13</v>
      </c>
      <c r="AV343" s="20" t="s">
        <v>62</v>
      </c>
      <c r="AW343" s="20" t="s">
        <v>63</v>
      </c>
      <c r="AX343" s="20" t="s">
        <v>208</v>
      </c>
      <c r="AY343" s="20" t="s">
        <v>209</v>
      </c>
      <c r="AZ343" s="20">
        <v>0</v>
      </c>
      <c r="BA343" s="20">
        <v>995528.4</v>
      </c>
      <c r="BB343" s="20">
        <v>1232</v>
      </c>
      <c r="BC343" s="20" t="s">
        <v>3173</v>
      </c>
      <c r="BD343" s="20" t="s">
        <v>65</v>
      </c>
      <c r="BE343" s="20" t="s">
        <v>210</v>
      </c>
      <c r="BF343" s="20" t="s">
        <v>210</v>
      </c>
      <c r="BG343" s="20">
        <v>9</v>
      </c>
      <c r="BH343" s="20">
        <v>89597.56</v>
      </c>
      <c r="BI343" s="20">
        <v>9</v>
      </c>
      <c r="BJ343" s="20">
        <v>89597.56</v>
      </c>
      <c r="BK343" s="20">
        <v>0</v>
      </c>
      <c r="BL343" s="20">
        <v>0</v>
      </c>
      <c r="BM343" s="20">
        <v>1601578.76</v>
      </c>
      <c r="BN343" s="20">
        <v>672171130576</v>
      </c>
      <c r="BO343" s="111">
        <v>46261</v>
      </c>
      <c r="BP343" s="20">
        <v>0</v>
      </c>
    </row>
    <row r="344" spans="2:68">
      <c r="B344" s="20" t="s">
        <v>2165</v>
      </c>
      <c r="C344" s="20" t="s">
        <v>3173</v>
      </c>
      <c r="D344" s="20" t="s">
        <v>3677</v>
      </c>
      <c r="E344" s="20" t="s">
        <v>18</v>
      </c>
      <c r="F344" s="20" t="s">
        <v>19</v>
      </c>
      <c r="H344" s="20" t="s">
        <v>3678</v>
      </c>
      <c r="I344" s="20">
        <v>1519</v>
      </c>
      <c r="J344" s="20">
        <v>1519</v>
      </c>
      <c r="K344" s="20" t="s">
        <v>11</v>
      </c>
      <c r="L344" s="20">
        <v>1519</v>
      </c>
      <c r="M344" s="20">
        <v>0</v>
      </c>
      <c r="N344" s="20">
        <v>1519</v>
      </c>
      <c r="O344" s="20" t="s">
        <v>2154</v>
      </c>
      <c r="P344" s="20" t="s">
        <v>87</v>
      </c>
      <c r="Q344" s="20" t="s">
        <v>87</v>
      </c>
      <c r="R344" s="20" t="s">
        <v>3177</v>
      </c>
      <c r="S344" s="20" t="s">
        <v>3173</v>
      </c>
      <c r="T344" s="20" t="s">
        <v>206</v>
      </c>
      <c r="U344" s="20" t="s">
        <v>207</v>
      </c>
      <c r="V344" s="20" t="s">
        <v>3176</v>
      </c>
      <c r="W344" s="20">
        <v>145.32</v>
      </c>
      <c r="X344" s="20">
        <v>145.32</v>
      </c>
      <c r="Y344" s="20" t="s">
        <v>3177</v>
      </c>
      <c r="Z344" s="20" t="s">
        <v>3173</v>
      </c>
      <c r="AB344" s="20" t="s">
        <v>212</v>
      </c>
      <c r="AD344" s="20" t="s">
        <v>213</v>
      </c>
      <c r="AE344" s="20" t="s">
        <v>212</v>
      </c>
      <c r="AF344" s="20">
        <v>0</v>
      </c>
      <c r="AG344" s="20">
        <v>0</v>
      </c>
      <c r="AH344" s="20">
        <v>0</v>
      </c>
      <c r="AI344" s="20">
        <v>0</v>
      </c>
      <c r="AJ344" s="20">
        <v>0</v>
      </c>
      <c r="AK344" s="20" t="s">
        <v>576</v>
      </c>
      <c r="AL344" s="20">
        <v>0</v>
      </c>
      <c r="AM344" s="20">
        <v>0</v>
      </c>
      <c r="AN344" s="20">
        <v>0</v>
      </c>
      <c r="AO344" s="20">
        <v>0</v>
      </c>
      <c r="AP344" s="20">
        <v>0</v>
      </c>
      <c r="AR344" s="20">
        <v>0</v>
      </c>
      <c r="AS344" s="20">
        <v>0</v>
      </c>
      <c r="AT344" s="20">
        <v>1601578.76</v>
      </c>
      <c r="AU344" s="20" t="s">
        <v>13</v>
      </c>
      <c r="AV344" s="20" t="s">
        <v>62</v>
      </c>
      <c r="AW344" s="20" t="s">
        <v>63</v>
      </c>
      <c r="AX344" s="20" t="s">
        <v>208</v>
      </c>
      <c r="AY344" s="20" t="s">
        <v>209</v>
      </c>
      <c r="AZ344" s="20">
        <v>0</v>
      </c>
      <c r="BA344" s="20">
        <v>220741.08</v>
      </c>
      <c r="BB344" s="20">
        <v>1232</v>
      </c>
      <c r="BC344" s="20" t="s">
        <v>3173</v>
      </c>
      <c r="BD344" s="20" t="s">
        <v>65</v>
      </c>
      <c r="BE344" s="20" t="s">
        <v>210</v>
      </c>
      <c r="BF344" s="20" t="s">
        <v>210</v>
      </c>
      <c r="BG344" s="20">
        <v>9</v>
      </c>
      <c r="BH344" s="20">
        <v>19866.7</v>
      </c>
      <c r="BI344" s="20">
        <v>9</v>
      </c>
      <c r="BJ344" s="20">
        <v>19866.7</v>
      </c>
      <c r="BK344" s="20">
        <v>0</v>
      </c>
      <c r="BL344" s="20">
        <v>0</v>
      </c>
      <c r="BM344" s="20">
        <v>0</v>
      </c>
      <c r="BN344" s="20">
        <v>672171130576</v>
      </c>
      <c r="BO344" s="111">
        <v>46261</v>
      </c>
      <c r="BP344" s="20">
        <v>0</v>
      </c>
    </row>
    <row r="345" spans="2:68">
      <c r="B345" s="20" t="s">
        <v>2165</v>
      </c>
      <c r="C345" s="20" t="s">
        <v>3173</v>
      </c>
      <c r="D345" s="20" t="s">
        <v>3677</v>
      </c>
      <c r="E345" s="20" t="s">
        <v>18</v>
      </c>
      <c r="F345" s="20" t="s">
        <v>19</v>
      </c>
      <c r="H345" s="20" t="s">
        <v>3678</v>
      </c>
      <c r="I345" s="20">
        <v>977</v>
      </c>
      <c r="J345" s="20">
        <v>977</v>
      </c>
      <c r="K345" s="20" t="s">
        <v>11</v>
      </c>
      <c r="L345" s="20">
        <v>977</v>
      </c>
      <c r="M345" s="20">
        <v>0</v>
      </c>
      <c r="N345" s="20">
        <v>977</v>
      </c>
      <c r="O345" s="20" t="s">
        <v>2154</v>
      </c>
      <c r="P345" s="20" t="s">
        <v>87</v>
      </c>
      <c r="Q345" s="20" t="s">
        <v>87</v>
      </c>
      <c r="R345" s="20" t="s">
        <v>3177</v>
      </c>
      <c r="S345" s="20" t="s">
        <v>3173</v>
      </c>
      <c r="T345" s="20" t="s">
        <v>206</v>
      </c>
      <c r="U345" s="20" t="s">
        <v>207</v>
      </c>
      <c r="V345" s="20" t="s">
        <v>3176</v>
      </c>
      <c r="W345" s="20">
        <v>144.32</v>
      </c>
      <c r="X345" s="20">
        <v>144.32</v>
      </c>
      <c r="Y345" s="20" t="s">
        <v>3177</v>
      </c>
      <c r="Z345" s="20" t="s">
        <v>3173</v>
      </c>
      <c r="AB345" s="20" t="s">
        <v>212</v>
      </c>
      <c r="AD345" s="20" t="s">
        <v>213</v>
      </c>
      <c r="AE345" s="20" t="s">
        <v>212</v>
      </c>
      <c r="AF345" s="20">
        <v>0</v>
      </c>
      <c r="AG345" s="20">
        <v>0</v>
      </c>
      <c r="AH345" s="20">
        <v>0</v>
      </c>
      <c r="AI345" s="20">
        <v>0</v>
      </c>
      <c r="AJ345" s="20">
        <v>0</v>
      </c>
      <c r="AK345" s="20" t="s">
        <v>576</v>
      </c>
      <c r="AL345" s="20">
        <v>0</v>
      </c>
      <c r="AM345" s="20">
        <v>0</v>
      </c>
      <c r="AN345" s="20">
        <v>0</v>
      </c>
      <c r="AO345" s="20">
        <v>0</v>
      </c>
      <c r="AP345" s="20">
        <v>0</v>
      </c>
      <c r="AR345" s="20">
        <v>0</v>
      </c>
      <c r="AS345" s="20">
        <v>0</v>
      </c>
      <c r="AT345" s="20">
        <v>1601578.76</v>
      </c>
      <c r="AU345" s="20" t="s">
        <v>13</v>
      </c>
      <c r="AV345" s="20" t="s">
        <v>62</v>
      </c>
      <c r="AW345" s="20" t="s">
        <v>63</v>
      </c>
      <c r="AX345" s="20" t="s">
        <v>208</v>
      </c>
      <c r="AY345" s="20" t="s">
        <v>209</v>
      </c>
      <c r="AZ345" s="20">
        <v>0</v>
      </c>
      <c r="BA345" s="20">
        <v>141000.64000000001</v>
      </c>
      <c r="BB345" s="20">
        <v>1232</v>
      </c>
      <c r="BC345" s="20" t="s">
        <v>3173</v>
      </c>
      <c r="BD345" s="20" t="s">
        <v>65</v>
      </c>
      <c r="BE345" s="20" t="s">
        <v>210</v>
      </c>
      <c r="BF345" s="20" t="s">
        <v>210</v>
      </c>
      <c r="BG345" s="20">
        <v>9</v>
      </c>
      <c r="BH345" s="20">
        <v>12690.06</v>
      </c>
      <c r="BI345" s="20">
        <v>9</v>
      </c>
      <c r="BJ345" s="20">
        <v>12690.06</v>
      </c>
      <c r="BK345" s="20">
        <v>0</v>
      </c>
      <c r="BL345" s="20">
        <v>0</v>
      </c>
      <c r="BM345" s="20">
        <v>0</v>
      </c>
      <c r="BN345" s="20">
        <v>672171130576</v>
      </c>
      <c r="BO345" s="111">
        <v>46261</v>
      </c>
      <c r="BP345" s="20">
        <v>0</v>
      </c>
    </row>
    <row r="346" spans="2:68">
      <c r="B346" s="20" t="s">
        <v>2165</v>
      </c>
      <c r="C346" s="20" t="s">
        <v>3173</v>
      </c>
      <c r="D346" s="20" t="s">
        <v>3679</v>
      </c>
      <c r="E346" s="20" t="s">
        <v>160</v>
      </c>
      <c r="F346" s="20" t="s">
        <v>17</v>
      </c>
      <c r="H346" s="20" t="s">
        <v>3680</v>
      </c>
      <c r="I346" s="20">
        <v>150</v>
      </c>
      <c r="J346" s="20">
        <v>150</v>
      </c>
      <c r="K346" s="20" t="s">
        <v>11</v>
      </c>
      <c r="L346" s="20">
        <v>150</v>
      </c>
      <c r="M346" s="20">
        <v>0</v>
      </c>
      <c r="N346" s="20">
        <v>150</v>
      </c>
      <c r="O346" s="20" t="s">
        <v>2156</v>
      </c>
      <c r="P346" s="20" t="s">
        <v>87</v>
      </c>
      <c r="Q346" s="20" t="s">
        <v>87</v>
      </c>
      <c r="R346" s="20" t="s">
        <v>3179</v>
      </c>
      <c r="S346" s="20" t="s">
        <v>3173</v>
      </c>
      <c r="T346" s="20" t="s">
        <v>206</v>
      </c>
      <c r="U346" s="20" t="s">
        <v>207</v>
      </c>
      <c r="V346" s="20" t="s">
        <v>3178</v>
      </c>
      <c r="W346" s="20">
        <v>184.86</v>
      </c>
      <c r="X346" s="20">
        <v>184.86003590195199</v>
      </c>
      <c r="Y346" s="20" t="s">
        <v>3179</v>
      </c>
      <c r="Z346" s="20" t="s">
        <v>3173</v>
      </c>
      <c r="AB346" s="20" t="s">
        <v>212</v>
      </c>
      <c r="AD346" s="20" t="s">
        <v>213</v>
      </c>
      <c r="AE346" s="20" t="s">
        <v>212</v>
      </c>
      <c r="AF346" s="20">
        <v>0</v>
      </c>
      <c r="AG346" s="20">
        <v>0</v>
      </c>
      <c r="AH346" s="20">
        <v>0</v>
      </c>
      <c r="AI346" s="20">
        <v>0</v>
      </c>
      <c r="AJ346" s="20">
        <v>0</v>
      </c>
      <c r="AK346" s="20" t="s">
        <v>576</v>
      </c>
      <c r="AL346" s="20">
        <v>0</v>
      </c>
      <c r="AM346" s="20">
        <v>0</v>
      </c>
      <c r="AN346" s="20">
        <v>0</v>
      </c>
      <c r="AO346" s="20">
        <v>0</v>
      </c>
      <c r="AP346" s="20">
        <v>0</v>
      </c>
      <c r="AR346" s="20">
        <v>0</v>
      </c>
      <c r="AS346" s="20">
        <v>0</v>
      </c>
      <c r="AT346" s="20">
        <v>1524111.3</v>
      </c>
      <c r="AU346" s="20" t="s">
        <v>13</v>
      </c>
      <c r="AV346" s="20" t="s">
        <v>80</v>
      </c>
      <c r="AW346" s="20" t="s">
        <v>81</v>
      </c>
      <c r="AX346" s="20" t="s">
        <v>208</v>
      </c>
      <c r="AY346" s="20" t="s">
        <v>209</v>
      </c>
      <c r="AZ346" s="20">
        <v>0</v>
      </c>
      <c r="BA346" s="20">
        <v>27729.01</v>
      </c>
      <c r="BB346" s="20">
        <v>1236</v>
      </c>
      <c r="BC346" s="20" t="s">
        <v>3173</v>
      </c>
      <c r="BD346" s="20" t="s">
        <v>65</v>
      </c>
      <c r="BE346" s="20" t="s">
        <v>210</v>
      </c>
      <c r="BF346" s="20" t="s">
        <v>210</v>
      </c>
      <c r="BG346" s="20">
        <v>9</v>
      </c>
      <c r="BH346" s="20">
        <v>2495.61</v>
      </c>
      <c r="BI346" s="20">
        <v>9</v>
      </c>
      <c r="BJ346" s="20">
        <v>2495.61</v>
      </c>
      <c r="BK346" s="20">
        <v>0</v>
      </c>
      <c r="BL346" s="20">
        <v>0</v>
      </c>
      <c r="BM346" s="20">
        <v>1524111.3</v>
      </c>
      <c r="BN346" s="20">
        <v>632171273387</v>
      </c>
      <c r="BO346" s="111">
        <v>46261</v>
      </c>
      <c r="BP346" s="20">
        <v>0</v>
      </c>
    </row>
    <row r="347" spans="2:68">
      <c r="B347" s="20" t="s">
        <v>2165</v>
      </c>
      <c r="C347" s="20" t="s">
        <v>3173</v>
      </c>
      <c r="D347" s="20" t="s">
        <v>3679</v>
      </c>
      <c r="E347" s="20" t="s">
        <v>160</v>
      </c>
      <c r="F347" s="20" t="s">
        <v>17</v>
      </c>
      <c r="H347" s="20" t="s">
        <v>3680</v>
      </c>
      <c r="I347" s="20">
        <v>5140.3999999999996</v>
      </c>
      <c r="J347" s="20">
        <v>5140.3999999999996</v>
      </c>
      <c r="K347" s="20" t="s">
        <v>11</v>
      </c>
      <c r="L347" s="20">
        <v>5140.3999999999996</v>
      </c>
      <c r="M347" s="20">
        <v>0</v>
      </c>
      <c r="N347" s="20">
        <v>5140.3999999999996</v>
      </c>
      <c r="O347" s="20" t="s">
        <v>2156</v>
      </c>
      <c r="P347" s="20" t="s">
        <v>87</v>
      </c>
      <c r="Q347" s="20" t="s">
        <v>87</v>
      </c>
      <c r="R347" s="20" t="s">
        <v>3179</v>
      </c>
      <c r="S347" s="20" t="s">
        <v>3173</v>
      </c>
      <c r="T347" s="20" t="s">
        <v>206</v>
      </c>
      <c r="U347" s="20" t="s">
        <v>207</v>
      </c>
      <c r="V347" s="20" t="s">
        <v>3178</v>
      </c>
      <c r="W347" s="20">
        <v>176.86</v>
      </c>
      <c r="X347" s="20">
        <v>176.86003434825901</v>
      </c>
      <c r="Y347" s="20" t="s">
        <v>3179</v>
      </c>
      <c r="Z347" s="20" t="s">
        <v>3173</v>
      </c>
      <c r="AB347" s="20" t="s">
        <v>212</v>
      </c>
      <c r="AD347" s="20" t="s">
        <v>213</v>
      </c>
      <c r="AE347" s="20" t="s">
        <v>212</v>
      </c>
      <c r="AF347" s="20">
        <v>0</v>
      </c>
      <c r="AG347" s="20">
        <v>0</v>
      </c>
      <c r="AH347" s="20">
        <v>0</v>
      </c>
      <c r="AI347" s="20">
        <v>0</v>
      </c>
      <c r="AJ347" s="20">
        <v>0</v>
      </c>
      <c r="AK347" s="20" t="s">
        <v>576</v>
      </c>
      <c r="AL347" s="20">
        <v>0</v>
      </c>
      <c r="AM347" s="20">
        <v>0</v>
      </c>
      <c r="AN347" s="20">
        <v>0</v>
      </c>
      <c r="AO347" s="20">
        <v>0</v>
      </c>
      <c r="AP347" s="20">
        <v>0</v>
      </c>
      <c r="AR347" s="20">
        <v>0</v>
      </c>
      <c r="AS347" s="20">
        <v>0</v>
      </c>
      <c r="AT347" s="20">
        <v>1524111.3</v>
      </c>
      <c r="AU347" s="20" t="s">
        <v>13</v>
      </c>
      <c r="AV347" s="20" t="s">
        <v>80</v>
      </c>
      <c r="AW347" s="20" t="s">
        <v>81</v>
      </c>
      <c r="AX347" s="20" t="s">
        <v>208</v>
      </c>
      <c r="AY347" s="20" t="s">
        <v>209</v>
      </c>
      <c r="AZ347" s="20">
        <v>0</v>
      </c>
      <c r="BA347" s="20">
        <v>909131.32</v>
      </c>
      <c r="BB347" s="20">
        <v>1236</v>
      </c>
      <c r="BC347" s="20" t="s">
        <v>3173</v>
      </c>
      <c r="BD347" s="20" t="s">
        <v>65</v>
      </c>
      <c r="BE347" s="20" t="s">
        <v>210</v>
      </c>
      <c r="BF347" s="20" t="s">
        <v>210</v>
      </c>
      <c r="BG347" s="20">
        <v>9</v>
      </c>
      <c r="BH347" s="20">
        <v>81821.8</v>
      </c>
      <c r="BI347" s="20">
        <v>9</v>
      </c>
      <c r="BJ347" s="20">
        <v>81821.8</v>
      </c>
      <c r="BK347" s="20">
        <v>0</v>
      </c>
      <c r="BL347" s="20">
        <v>0</v>
      </c>
      <c r="BM347" s="20">
        <v>0</v>
      </c>
      <c r="BN347" s="20">
        <v>632171273387</v>
      </c>
      <c r="BO347" s="111">
        <v>46261</v>
      </c>
      <c r="BP347" s="20">
        <v>0</v>
      </c>
    </row>
    <row r="348" spans="2:68">
      <c r="B348" s="20" t="s">
        <v>2165</v>
      </c>
      <c r="C348" s="20" t="s">
        <v>3173</v>
      </c>
      <c r="D348" s="20" t="s">
        <v>3679</v>
      </c>
      <c r="E348" s="20" t="s">
        <v>820</v>
      </c>
      <c r="F348" s="20" t="s">
        <v>743</v>
      </c>
      <c r="H348" s="20" t="s">
        <v>3680</v>
      </c>
      <c r="I348" s="20">
        <v>9600</v>
      </c>
      <c r="J348" s="20">
        <v>9600</v>
      </c>
      <c r="K348" s="20" t="s">
        <v>1</v>
      </c>
      <c r="L348" s="20">
        <v>9600</v>
      </c>
      <c r="M348" s="20">
        <v>0</v>
      </c>
      <c r="N348" s="20">
        <v>9600</v>
      </c>
      <c r="O348" s="20" t="s">
        <v>2156</v>
      </c>
      <c r="P348" s="20" t="s">
        <v>87</v>
      </c>
      <c r="Q348" s="20" t="s">
        <v>87</v>
      </c>
      <c r="R348" s="20" t="s">
        <v>3179</v>
      </c>
      <c r="S348" s="20" t="s">
        <v>3173</v>
      </c>
      <c r="T348" s="20" t="s">
        <v>206</v>
      </c>
      <c r="U348" s="20" t="s">
        <v>207</v>
      </c>
      <c r="V348" s="20" t="s">
        <v>3178</v>
      </c>
      <c r="W348" s="20">
        <v>3.9609000000000001</v>
      </c>
      <c r="X348" s="20">
        <v>3.9609007692526301</v>
      </c>
      <c r="Y348" s="20" t="s">
        <v>3179</v>
      </c>
      <c r="Z348" s="20" t="s">
        <v>3173</v>
      </c>
      <c r="AB348" s="20" t="s">
        <v>212</v>
      </c>
      <c r="AD348" s="20" t="s">
        <v>213</v>
      </c>
      <c r="AE348" s="20" t="s">
        <v>212</v>
      </c>
      <c r="AF348" s="20">
        <v>0</v>
      </c>
      <c r="AG348" s="20">
        <v>0</v>
      </c>
      <c r="AH348" s="20">
        <v>0</v>
      </c>
      <c r="AI348" s="20">
        <v>0</v>
      </c>
      <c r="AJ348" s="20">
        <v>0</v>
      </c>
      <c r="AK348" s="20" t="s">
        <v>576</v>
      </c>
      <c r="AL348" s="20">
        <v>0</v>
      </c>
      <c r="AM348" s="20">
        <v>0</v>
      </c>
      <c r="AN348" s="20">
        <v>0</v>
      </c>
      <c r="AO348" s="20">
        <v>0</v>
      </c>
      <c r="AP348" s="20">
        <v>0</v>
      </c>
      <c r="AR348" s="20">
        <v>0</v>
      </c>
      <c r="AS348" s="20">
        <v>0</v>
      </c>
      <c r="AT348" s="20">
        <v>1524111.3</v>
      </c>
      <c r="AU348" s="20" t="s">
        <v>8</v>
      </c>
      <c r="AV348" s="20" t="s">
        <v>625</v>
      </c>
      <c r="AW348" s="20" t="s">
        <v>625</v>
      </c>
      <c r="AX348" s="20" t="s">
        <v>208</v>
      </c>
      <c r="AY348" s="20" t="s">
        <v>821</v>
      </c>
      <c r="AZ348" s="20">
        <v>0</v>
      </c>
      <c r="BA348" s="20">
        <v>38024.65</v>
      </c>
      <c r="BB348" s="20">
        <v>1236</v>
      </c>
      <c r="BC348" s="20" t="s">
        <v>3173</v>
      </c>
      <c r="BD348" s="20" t="s">
        <v>65</v>
      </c>
      <c r="BE348" s="20" t="s">
        <v>210</v>
      </c>
      <c r="BF348" s="20" t="s">
        <v>210</v>
      </c>
      <c r="BG348" s="20">
        <v>9</v>
      </c>
      <c r="BH348" s="20">
        <v>3422.22</v>
      </c>
      <c r="BI348" s="20">
        <v>9</v>
      </c>
      <c r="BJ348" s="20">
        <v>3422.22</v>
      </c>
      <c r="BK348" s="20">
        <v>0</v>
      </c>
      <c r="BL348" s="20">
        <v>0</v>
      </c>
      <c r="BM348" s="20">
        <v>0</v>
      </c>
      <c r="BN348" s="20">
        <v>632171273387</v>
      </c>
      <c r="BO348" s="111">
        <v>46261</v>
      </c>
      <c r="BP348" s="20">
        <v>0</v>
      </c>
    </row>
    <row r="349" spans="2:68">
      <c r="B349" s="20" t="s">
        <v>2165</v>
      </c>
      <c r="C349" s="20" t="s">
        <v>3173</v>
      </c>
      <c r="D349" s="20" t="s">
        <v>3679</v>
      </c>
      <c r="E349" s="20" t="s">
        <v>23</v>
      </c>
      <c r="F349" s="20" t="s">
        <v>24</v>
      </c>
      <c r="H349" s="20" t="s">
        <v>3680</v>
      </c>
      <c r="I349" s="20">
        <v>30.9</v>
      </c>
      <c r="J349" s="20">
        <v>30.9</v>
      </c>
      <c r="K349" s="20" t="s">
        <v>11</v>
      </c>
      <c r="L349" s="20">
        <v>30.9</v>
      </c>
      <c r="M349" s="20">
        <v>0</v>
      </c>
      <c r="N349" s="20">
        <v>30.9</v>
      </c>
      <c r="O349" s="20" t="s">
        <v>2156</v>
      </c>
      <c r="P349" s="20" t="s">
        <v>87</v>
      </c>
      <c r="Q349" s="20" t="s">
        <v>87</v>
      </c>
      <c r="R349" s="20" t="s">
        <v>3179</v>
      </c>
      <c r="S349" s="20" t="s">
        <v>3173</v>
      </c>
      <c r="T349" s="20" t="s">
        <v>206</v>
      </c>
      <c r="U349" s="20" t="s">
        <v>207</v>
      </c>
      <c r="V349" s="20" t="s">
        <v>3178</v>
      </c>
      <c r="W349" s="20">
        <v>168.32</v>
      </c>
      <c r="X349" s="20">
        <v>168.320032689692</v>
      </c>
      <c r="Y349" s="20" t="s">
        <v>3179</v>
      </c>
      <c r="Z349" s="20" t="s">
        <v>3173</v>
      </c>
      <c r="AB349" s="20" t="s">
        <v>212</v>
      </c>
      <c r="AD349" s="20" t="s">
        <v>213</v>
      </c>
      <c r="AE349" s="20" t="s">
        <v>212</v>
      </c>
      <c r="AF349" s="20">
        <v>0</v>
      </c>
      <c r="AG349" s="20">
        <v>0</v>
      </c>
      <c r="AH349" s="20">
        <v>0</v>
      </c>
      <c r="AI349" s="20">
        <v>0</v>
      </c>
      <c r="AJ349" s="20">
        <v>0</v>
      </c>
      <c r="AK349" s="20" t="s">
        <v>576</v>
      </c>
      <c r="AL349" s="20">
        <v>0</v>
      </c>
      <c r="AM349" s="20">
        <v>0</v>
      </c>
      <c r="AN349" s="20">
        <v>0</v>
      </c>
      <c r="AO349" s="20">
        <v>0</v>
      </c>
      <c r="AP349" s="20">
        <v>0</v>
      </c>
      <c r="AR349" s="20">
        <v>0</v>
      </c>
      <c r="AS349" s="20">
        <v>0</v>
      </c>
      <c r="AT349" s="20">
        <v>1524111.3</v>
      </c>
      <c r="AU349" s="20" t="s">
        <v>13</v>
      </c>
      <c r="AV349" s="20" t="s">
        <v>24</v>
      </c>
      <c r="AW349" s="20" t="s">
        <v>79</v>
      </c>
      <c r="AX349" s="20" t="s">
        <v>208</v>
      </c>
      <c r="AY349" s="20" t="s">
        <v>209</v>
      </c>
      <c r="AZ349" s="20">
        <v>0</v>
      </c>
      <c r="BA349" s="20">
        <v>5201.09</v>
      </c>
      <c r="BB349" s="20">
        <v>1236</v>
      </c>
      <c r="BC349" s="20" t="s">
        <v>3173</v>
      </c>
      <c r="BD349" s="20" t="s">
        <v>65</v>
      </c>
      <c r="BE349" s="20" t="s">
        <v>210</v>
      </c>
      <c r="BF349" s="20" t="s">
        <v>210</v>
      </c>
      <c r="BG349" s="20">
        <v>9</v>
      </c>
      <c r="BH349" s="20">
        <v>468.1</v>
      </c>
      <c r="BI349" s="20">
        <v>9</v>
      </c>
      <c r="BJ349" s="20">
        <v>468.1</v>
      </c>
      <c r="BK349" s="20">
        <v>0</v>
      </c>
      <c r="BL349" s="20">
        <v>0</v>
      </c>
      <c r="BM349" s="20">
        <v>0</v>
      </c>
      <c r="BN349" s="20">
        <v>632171273387</v>
      </c>
      <c r="BO349" s="111">
        <v>46261</v>
      </c>
      <c r="BP349" s="20">
        <v>0</v>
      </c>
    </row>
    <row r="350" spans="2:68">
      <c r="B350" s="20" t="s">
        <v>2165</v>
      </c>
      <c r="C350" s="20" t="s">
        <v>3173</v>
      </c>
      <c r="D350" s="20" t="s">
        <v>3679</v>
      </c>
      <c r="E350" s="20" t="s">
        <v>23</v>
      </c>
      <c r="F350" s="20" t="s">
        <v>24</v>
      </c>
      <c r="H350" s="20" t="s">
        <v>3680</v>
      </c>
      <c r="I350" s="20">
        <v>954</v>
      </c>
      <c r="J350" s="20">
        <v>954</v>
      </c>
      <c r="K350" s="20" t="s">
        <v>11</v>
      </c>
      <c r="L350" s="20">
        <v>954</v>
      </c>
      <c r="M350" s="20">
        <v>0</v>
      </c>
      <c r="N350" s="20">
        <v>954</v>
      </c>
      <c r="O350" s="20" t="s">
        <v>2156</v>
      </c>
      <c r="P350" s="20" t="s">
        <v>87</v>
      </c>
      <c r="Q350" s="20" t="s">
        <v>87</v>
      </c>
      <c r="R350" s="20" t="s">
        <v>3179</v>
      </c>
      <c r="S350" s="20" t="s">
        <v>3173</v>
      </c>
      <c r="T350" s="20" t="s">
        <v>206</v>
      </c>
      <c r="U350" s="20" t="s">
        <v>207</v>
      </c>
      <c r="V350" s="20" t="s">
        <v>3178</v>
      </c>
      <c r="W350" s="20">
        <v>144.32</v>
      </c>
      <c r="X350" s="20">
        <v>144.32002802861501</v>
      </c>
      <c r="Y350" s="20" t="s">
        <v>3179</v>
      </c>
      <c r="Z350" s="20" t="s">
        <v>3173</v>
      </c>
      <c r="AB350" s="20" t="s">
        <v>212</v>
      </c>
      <c r="AD350" s="20" t="s">
        <v>213</v>
      </c>
      <c r="AE350" s="20" t="s">
        <v>212</v>
      </c>
      <c r="AF350" s="20">
        <v>0</v>
      </c>
      <c r="AG350" s="20">
        <v>0</v>
      </c>
      <c r="AH350" s="20">
        <v>0</v>
      </c>
      <c r="AI350" s="20">
        <v>0</v>
      </c>
      <c r="AJ350" s="20">
        <v>0</v>
      </c>
      <c r="AK350" s="20" t="s">
        <v>576</v>
      </c>
      <c r="AL350" s="20">
        <v>0</v>
      </c>
      <c r="AM350" s="20">
        <v>0</v>
      </c>
      <c r="AN350" s="20">
        <v>0</v>
      </c>
      <c r="AO350" s="20">
        <v>0</v>
      </c>
      <c r="AP350" s="20">
        <v>0</v>
      </c>
      <c r="AR350" s="20">
        <v>0</v>
      </c>
      <c r="AS350" s="20">
        <v>0</v>
      </c>
      <c r="AT350" s="20">
        <v>1524111.3</v>
      </c>
      <c r="AU350" s="20" t="s">
        <v>13</v>
      </c>
      <c r="AV350" s="20" t="s">
        <v>24</v>
      </c>
      <c r="AW350" s="20" t="s">
        <v>79</v>
      </c>
      <c r="AX350" s="20" t="s">
        <v>208</v>
      </c>
      <c r="AY350" s="20" t="s">
        <v>209</v>
      </c>
      <c r="AZ350" s="20">
        <v>0</v>
      </c>
      <c r="BA350" s="20">
        <v>137681.31</v>
      </c>
      <c r="BB350" s="20">
        <v>1236</v>
      </c>
      <c r="BC350" s="20" t="s">
        <v>3173</v>
      </c>
      <c r="BD350" s="20" t="s">
        <v>65</v>
      </c>
      <c r="BE350" s="20" t="s">
        <v>210</v>
      </c>
      <c r="BF350" s="20" t="s">
        <v>210</v>
      </c>
      <c r="BG350" s="20">
        <v>9</v>
      </c>
      <c r="BH350" s="20">
        <v>12391.32</v>
      </c>
      <c r="BI350" s="20">
        <v>9</v>
      </c>
      <c r="BJ350" s="20">
        <v>12391.32</v>
      </c>
      <c r="BK350" s="20">
        <v>0</v>
      </c>
      <c r="BL350" s="20">
        <v>0</v>
      </c>
      <c r="BM350" s="20">
        <v>0</v>
      </c>
      <c r="BN350" s="20">
        <v>632171273387</v>
      </c>
      <c r="BO350" s="111">
        <v>46261</v>
      </c>
      <c r="BP350" s="20">
        <v>0</v>
      </c>
    </row>
    <row r="351" spans="2:68">
      <c r="B351" s="20" t="s">
        <v>2165</v>
      </c>
      <c r="C351" s="20" t="s">
        <v>3173</v>
      </c>
      <c r="D351" s="20" t="s">
        <v>3679</v>
      </c>
      <c r="E351" s="20" t="s">
        <v>23</v>
      </c>
      <c r="F351" s="20" t="s">
        <v>24</v>
      </c>
      <c r="H351" s="20" t="s">
        <v>3680</v>
      </c>
      <c r="I351" s="20">
        <v>1180.0999999999999</v>
      </c>
      <c r="J351" s="20">
        <v>1180.0999999999999</v>
      </c>
      <c r="K351" s="20" t="s">
        <v>11</v>
      </c>
      <c r="L351" s="20">
        <v>1180.0999999999999</v>
      </c>
      <c r="M351" s="20">
        <v>0</v>
      </c>
      <c r="N351" s="20">
        <v>1180.0999999999999</v>
      </c>
      <c r="O351" s="20" t="s">
        <v>2156</v>
      </c>
      <c r="P351" s="20" t="s">
        <v>87</v>
      </c>
      <c r="Q351" s="20" t="s">
        <v>87</v>
      </c>
      <c r="R351" s="20" t="s">
        <v>3179</v>
      </c>
      <c r="S351" s="20" t="s">
        <v>3173</v>
      </c>
      <c r="T351" s="20" t="s">
        <v>206</v>
      </c>
      <c r="U351" s="20" t="s">
        <v>207</v>
      </c>
      <c r="V351" s="20" t="s">
        <v>3178</v>
      </c>
      <c r="W351" s="20">
        <v>147.32</v>
      </c>
      <c r="X351" s="20">
        <v>147.320028611249</v>
      </c>
      <c r="Y351" s="20" t="s">
        <v>3179</v>
      </c>
      <c r="Z351" s="20" t="s">
        <v>3173</v>
      </c>
      <c r="AB351" s="20" t="s">
        <v>212</v>
      </c>
      <c r="AD351" s="20" t="s">
        <v>213</v>
      </c>
      <c r="AE351" s="20" t="s">
        <v>212</v>
      </c>
      <c r="AF351" s="20">
        <v>0</v>
      </c>
      <c r="AG351" s="20">
        <v>0</v>
      </c>
      <c r="AH351" s="20">
        <v>0</v>
      </c>
      <c r="AI351" s="20">
        <v>0</v>
      </c>
      <c r="AJ351" s="20">
        <v>0</v>
      </c>
      <c r="AK351" s="20" t="s">
        <v>576</v>
      </c>
      <c r="AL351" s="20">
        <v>0</v>
      </c>
      <c r="AM351" s="20">
        <v>0</v>
      </c>
      <c r="AN351" s="20">
        <v>0</v>
      </c>
      <c r="AO351" s="20">
        <v>0</v>
      </c>
      <c r="AP351" s="20">
        <v>0</v>
      </c>
      <c r="AR351" s="20">
        <v>0</v>
      </c>
      <c r="AS351" s="20">
        <v>0</v>
      </c>
      <c r="AT351" s="20">
        <v>1524111.3</v>
      </c>
      <c r="AU351" s="20" t="s">
        <v>13</v>
      </c>
      <c r="AV351" s="20" t="s">
        <v>24</v>
      </c>
      <c r="AW351" s="20" t="s">
        <v>79</v>
      </c>
      <c r="AX351" s="20" t="s">
        <v>208</v>
      </c>
      <c r="AY351" s="20" t="s">
        <v>209</v>
      </c>
      <c r="AZ351" s="20">
        <v>0</v>
      </c>
      <c r="BA351" s="20">
        <v>173852.37</v>
      </c>
      <c r="BB351" s="20">
        <v>1236</v>
      </c>
      <c r="BC351" s="20" t="s">
        <v>3173</v>
      </c>
      <c r="BD351" s="20" t="s">
        <v>65</v>
      </c>
      <c r="BE351" s="20" t="s">
        <v>210</v>
      </c>
      <c r="BF351" s="20" t="s">
        <v>210</v>
      </c>
      <c r="BG351" s="20">
        <v>9</v>
      </c>
      <c r="BH351" s="20">
        <v>15646.71</v>
      </c>
      <c r="BI351" s="20">
        <v>9</v>
      </c>
      <c r="BJ351" s="20">
        <v>15646.71</v>
      </c>
      <c r="BK351" s="20">
        <v>0</v>
      </c>
      <c r="BL351" s="20">
        <v>0</v>
      </c>
      <c r="BM351" s="20">
        <v>0</v>
      </c>
      <c r="BN351" s="20">
        <v>632171273387</v>
      </c>
      <c r="BO351" s="111">
        <v>46261</v>
      </c>
      <c r="BP351" s="20">
        <v>0</v>
      </c>
    </row>
    <row r="352" spans="2:68">
      <c r="B352" s="20" t="s">
        <v>2165</v>
      </c>
      <c r="C352" s="20" t="s">
        <v>3173</v>
      </c>
      <c r="D352" s="20" t="s">
        <v>3681</v>
      </c>
      <c r="E352" s="20" t="s">
        <v>18</v>
      </c>
      <c r="F352" s="20" t="s">
        <v>19</v>
      </c>
      <c r="H352" s="20" t="s">
        <v>3682</v>
      </c>
      <c r="I352" s="20">
        <v>1549</v>
      </c>
      <c r="J352" s="20">
        <v>1549</v>
      </c>
      <c r="K352" s="20" t="s">
        <v>11</v>
      </c>
      <c r="L352" s="20">
        <v>1549</v>
      </c>
      <c r="M352" s="20">
        <v>0</v>
      </c>
      <c r="N352" s="20">
        <v>1549</v>
      </c>
      <c r="O352" s="20" t="s">
        <v>2397</v>
      </c>
      <c r="P352" s="20" t="s">
        <v>87</v>
      </c>
      <c r="Q352" s="20" t="s">
        <v>87</v>
      </c>
      <c r="R352" s="20" t="s">
        <v>3181</v>
      </c>
      <c r="S352" s="20" t="s">
        <v>3173</v>
      </c>
      <c r="T352" s="20" t="s">
        <v>206</v>
      </c>
      <c r="U352" s="20" t="s">
        <v>207</v>
      </c>
      <c r="V352" s="20" t="s">
        <v>3180</v>
      </c>
      <c r="W352" s="20">
        <v>142.32</v>
      </c>
      <c r="X352" s="20">
        <v>142.32</v>
      </c>
      <c r="Y352" s="20" t="s">
        <v>3181</v>
      </c>
      <c r="Z352" s="20" t="s">
        <v>3173</v>
      </c>
      <c r="AB352" s="20" t="s">
        <v>212</v>
      </c>
      <c r="AD352" s="20" t="s">
        <v>213</v>
      </c>
      <c r="AE352" s="20" t="s">
        <v>212</v>
      </c>
      <c r="AF352" s="20">
        <v>0</v>
      </c>
      <c r="AG352" s="20">
        <v>0</v>
      </c>
      <c r="AH352" s="20">
        <v>0</v>
      </c>
      <c r="AI352" s="20">
        <v>0</v>
      </c>
      <c r="AJ352" s="20">
        <v>0</v>
      </c>
      <c r="AK352" s="20" t="s">
        <v>576</v>
      </c>
      <c r="AL352" s="20">
        <v>0</v>
      </c>
      <c r="AM352" s="20">
        <v>0</v>
      </c>
      <c r="AN352" s="20">
        <v>0</v>
      </c>
      <c r="AO352" s="20">
        <v>0</v>
      </c>
      <c r="AP352" s="20">
        <v>0</v>
      </c>
      <c r="AR352" s="20">
        <v>0</v>
      </c>
      <c r="AS352" s="20">
        <v>0</v>
      </c>
      <c r="AT352" s="20">
        <v>260135.34</v>
      </c>
      <c r="AU352" s="20" t="s">
        <v>13</v>
      </c>
      <c r="AV352" s="20" t="s">
        <v>62</v>
      </c>
      <c r="AW352" s="20" t="s">
        <v>63</v>
      </c>
      <c r="AX352" s="20" t="s">
        <v>208</v>
      </c>
      <c r="AY352" s="20" t="s">
        <v>209</v>
      </c>
      <c r="AZ352" s="20">
        <v>0</v>
      </c>
      <c r="BA352" s="20">
        <v>220453.68</v>
      </c>
      <c r="BB352" s="20">
        <v>1237</v>
      </c>
      <c r="BC352" s="20" t="s">
        <v>3173</v>
      </c>
      <c r="BD352" s="20" t="s">
        <v>65</v>
      </c>
      <c r="BE352" s="20" t="s">
        <v>210</v>
      </c>
      <c r="BF352" s="20" t="s">
        <v>210</v>
      </c>
      <c r="BG352" s="20">
        <v>9</v>
      </c>
      <c r="BH352" s="20">
        <v>19840.830000000002</v>
      </c>
      <c r="BI352" s="20">
        <v>9</v>
      </c>
      <c r="BJ352" s="20">
        <v>19840.830000000002</v>
      </c>
      <c r="BK352" s="20">
        <v>0</v>
      </c>
      <c r="BL352" s="20">
        <v>0</v>
      </c>
      <c r="BM352" s="20">
        <v>260135.34</v>
      </c>
      <c r="BN352" s="20">
        <v>612171484305</v>
      </c>
      <c r="BO352" s="111">
        <v>46261</v>
      </c>
      <c r="BP352" s="20">
        <v>0</v>
      </c>
    </row>
    <row r="353" spans="2:68">
      <c r="B353" s="20" t="s">
        <v>2165</v>
      </c>
      <c r="C353" s="20" t="s">
        <v>3182</v>
      </c>
      <c r="D353" s="20" t="s">
        <v>3683</v>
      </c>
      <c r="E353" s="20" t="s">
        <v>160</v>
      </c>
      <c r="F353" s="20" t="s">
        <v>17</v>
      </c>
      <c r="H353" s="20" t="s">
        <v>3684</v>
      </c>
      <c r="I353" s="20">
        <v>1797</v>
      </c>
      <c r="J353" s="20">
        <v>1797</v>
      </c>
      <c r="K353" s="20" t="s">
        <v>11</v>
      </c>
      <c r="L353" s="20">
        <v>1797</v>
      </c>
      <c r="M353" s="20">
        <v>0</v>
      </c>
      <c r="N353" s="20">
        <v>1797</v>
      </c>
      <c r="O353" s="20" t="s">
        <v>2154</v>
      </c>
      <c r="P353" s="20" t="s">
        <v>87</v>
      </c>
      <c r="Q353" s="20" t="s">
        <v>87</v>
      </c>
      <c r="R353" s="20" t="s">
        <v>3186</v>
      </c>
      <c r="S353" s="20" t="s">
        <v>2939</v>
      </c>
      <c r="T353" s="20" t="s">
        <v>206</v>
      </c>
      <c r="U353" s="20" t="s">
        <v>207</v>
      </c>
      <c r="V353" s="20" t="s">
        <v>3185</v>
      </c>
      <c r="W353" s="20">
        <v>176.86</v>
      </c>
      <c r="X353" s="20">
        <v>176.86</v>
      </c>
      <c r="Y353" s="20" t="s">
        <v>3186</v>
      </c>
      <c r="Z353" s="20" t="s">
        <v>3182</v>
      </c>
      <c r="AB353" s="20" t="s">
        <v>2290</v>
      </c>
      <c r="AD353" s="20" t="s">
        <v>2290</v>
      </c>
      <c r="AE353" s="20" t="s">
        <v>2290</v>
      </c>
      <c r="AF353" s="20">
        <v>0</v>
      </c>
      <c r="AG353" s="20">
        <v>0</v>
      </c>
      <c r="AH353" s="20">
        <v>0</v>
      </c>
      <c r="AI353" s="20">
        <v>0</v>
      </c>
      <c r="AJ353" s="20">
        <v>0</v>
      </c>
      <c r="AK353" s="20" t="s">
        <v>576</v>
      </c>
      <c r="AL353" s="20">
        <v>0</v>
      </c>
      <c r="AM353" s="20">
        <v>0</v>
      </c>
      <c r="AN353" s="20">
        <v>0</v>
      </c>
      <c r="AO353" s="20">
        <v>0</v>
      </c>
      <c r="AP353" s="20">
        <v>0</v>
      </c>
      <c r="AR353" s="20">
        <v>0</v>
      </c>
      <c r="AS353" s="20">
        <v>0</v>
      </c>
      <c r="AT353" s="20">
        <v>2025451.14</v>
      </c>
      <c r="AU353" s="20" t="s">
        <v>13</v>
      </c>
      <c r="AV353" s="20" t="s">
        <v>80</v>
      </c>
      <c r="AW353" s="20" t="s">
        <v>81</v>
      </c>
      <c r="AX353" s="20" t="s">
        <v>208</v>
      </c>
      <c r="AY353" s="20" t="s">
        <v>209</v>
      </c>
      <c r="AZ353" s="20">
        <v>0</v>
      </c>
      <c r="BA353" s="20">
        <v>317817.42</v>
      </c>
      <c r="BB353" s="20">
        <v>1241</v>
      </c>
      <c r="BC353" s="20" t="s">
        <v>3182</v>
      </c>
      <c r="BD353" s="20" t="s">
        <v>65</v>
      </c>
      <c r="BE353" s="20" t="s">
        <v>210</v>
      </c>
      <c r="BF353" s="20" t="s">
        <v>210</v>
      </c>
      <c r="BG353" s="20">
        <v>9</v>
      </c>
      <c r="BH353" s="20">
        <v>28603.57</v>
      </c>
      <c r="BI353" s="20">
        <v>9</v>
      </c>
      <c r="BJ353" s="20">
        <v>28603.57</v>
      </c>
      <c r="BK353" s="20">
        <v>0</v>
      </c>
      <c r="BL353" s="20">
        <v>0</v>
      </c>
      <c r="BM353" s="20">
        <v>2025451.14</v>
      </c>
      <c r="BN353" s="20">
        <v>602171842258</v>
      </c>
      <c r="BO353" s="111">
        <v>46262</v>
      </c>
      <c r="BP353" s="20">
        <v>0</v>
      </c>
    </row>
    <row r="354" spans="2:68">
      <c r="B354" s="20" t="s">
        <v>2165</v>
      </c>
      <c r="C354" s="20" t="s">
        <v>3182</v>
      </c>
      <c r="D354" s="20" t="s">
        <v>3683</v>
      </c>
      <c r="E354" s="20" t="s">
        <v>18</v>
      </c>
      <c r="F354" s="20" t="s">
        <v>19</v>
      </c>
      <c r="H354" s="20" t="s">
        <v>3684</v>
      </c>
      <c r="I354" s="20">
        <v>999</v>
      </c>
      <c r="J354" s="20">
        <v>999</v>
      </c>
      <c r="K354" s="20" t="s">
        <v>11</v>
      </c>
      <c r="L354" s="20">
        <v>999</v>
      </c>
      <c r="M354" s="20">
        <v>0</v>
      </c>
      <c r="N354" s="20">
        <v>999</v>
      </c>
      <c r="O354" s="20" t="s">
        <v>2154</v>
      </c>
      <c r="P354" s="20" t="s">
        <v>87</v>
      </c>
      <c r="Q354" s="20" t="s">
        <v>87</v>
      </c>
      <c r="R354" s="20" t="s">
        <v>3186</v>
      </c>
      <c r="S354" s="20" t="s">
        <v>2939</v>
      </c>
      <c r="T354" s="20" t="s">
        <v>206</v>
      </c>
      <c r="U354" s="20" t="s">
        <v>207</v>
      </c>
      <c r="V354" s="20" t="s">
        <v>3185</v>
      </c>
      <c r="W354" s="20">
        <v>144.32</v>
      </c>
      <c r="X354" s="20">
        <v>144.32</v>
      </c>
      <c r="Y354" s="20" t="s">
        <v>3186</v>
      </c>
      <c r="Z354" s="20" t="s">
        <v>3182</v>
      </c>
      <c r="AB354" s="20" t="s">
        <v>2290</v>
      </c>
      <c r="AD354" s="20" t="s">
        <v>2290</v>
      </c>
      <c r="AE354" s="20" t="s">
        <v>2290</v>
      </c>
      <c r="AF354" s="20">
        <v>0</v>
      </c>
      <c r="AG354" s="20">
        <v>0</v>
      </c>
      <c r="AH354" s="20">
        <v>0</v>
      </c>
      <c r="AI354" s="20">
        <v>0</v>
      </c>
      <c r="AJ354" s="20">
        <v>0</v>
      </c>
      <c r="AK354" s="20" t="s">
        <v>576</v>
      </c>
      <c r="AL354" s="20">
        <v>0</v>
      </c>
      <c r="AM354" s="20">
        <v>0</v>
      </c>
      <c r="AN354" s="20">
        <v>0</v>
      </c>
      <c r="AO354" s="20">
        <v>0</v>
      </c>
      <c r="AP354" s="20">
        <v>0</v>
      </c>
      <c r="AR354" s="20">
        <v>0</v>
      </c>
      <c r="AS354" s="20">
        <v>0</v>
      </c>
      <c r="AT354" s="20">
        <v>2025451.14</v>
      </c>
      <c r="AU354" s="20" t="s">
        <v>13</v>
      </c>
      <c r="AV354" s="20" t="s">
        <v>62</v>
      </c>
      <c r="AW354" s="20" t="s">
        <v>63</v>
      </c>
      <c r="AX354" s="20" t="s">
        <v>208</v>
      </c>
      <c r="AY354" s="20" t="s">
        <v>209</v>
      </c>
      <c r="AZ354" s="20">
        <v>0</v>
      </c>
      <c r="BA354" s="20">
        <v>144175.67999999999</v>
      </c>
      <c r="BB354" s="20">
        <v>1241</v>
      </c>
      <c r="BC354" s="20" t="s">
        <v>3182</v>
      </c>
      <c r="BD354" s="20" t="s">
        <v>65</v>
      </c>
      <c r="BE354" s="20" t="s">
        <v>210</v>
      </c>
      <c r="BF354" s="20" t="s">
        <v>210</v>
      </c>
      <c r="BG354" s="20">
        <v>9</v>
      </c>
      <c r="BH354" s="20">
        <v>12975.81</v>
      </c>
      <c r="BI354" s="20">
        <v>9</v>
      </c>
      <c r="BJ354" s="20">
        <v>12975.81</v>
      </c>
      <c r="BK354" s="20">
        <v>0</v>
      </c>
      <c r="BL354" s="20">
        <v>0</v>
      </c>
      <c r="BM354" s="20">
        <v>0</v>
      </c>
      <c r="BN354" s="20">
        <v>602171842258</v>
      </c>
      <c r="BO354" s="111">
        <v>46262</v>
      </c>
      <c r="BP354" s="20">
        <v>0</v>
      </c>
    </row>
    <row r="355" spans="2:68">
      <c r="B355" s="20" t="s">
        <v>2165</v>
      </c>
      <c r="C355" s="20" t="s">
        <v>3182</v>
      </c>
      <c r="D355" s="20" t="s">
        <v>3683</v>
      </c>
      <c r="E355" s="20" t="s">
        <v>18</v>
      </c>
      <c r="F355" s="20" t="s">
        <v>19</v>
      </c>
      <c r="H355" s="20" t="s">
        <v>3684</v>
      </c>
      <c r="I355" s="20">
        <v>1593</v>
      </c>
      <c r="J355" s="20">
        <v>1593</v>
      </c>
      <c r="K355" s="20" t="s">
        <v>11</v>
      </c>
      <c r="L355" s="20">
        <v>1593</v>
      </c>
      <c r="M355" s="20">
        <v>0</v>
      </c>
      <c r="N355" s="20">
        <v>1593</v>
      </c>
      <c r="O355" s="20" t="s">
        <v>2154</v>
      </c>
      <c r="P355" s="20" t="s">
        <v>87</v>
      </c>
      <c r="Q355" s="20" t="s">
        <v>87</v>
      </c>
      <c r="R355" s="20" t="s">
        <v>3186</v>
      </c>
      <c r="S355" s="20" t="s">
        <v>2939</v>
      </c>
      <c r="T355" s="20" t="s">
        <v>206</v>
      </c>
      <c r="U355" s="20" t="s">
        <v>207</v>
      </c>
      <c r="V355" s="20" t="s">
        <v>3185</v>
      </c>
      <c r="W355" s="20">
        <v>145.32</v>
      </c>
      <c r="X355" s="20">
        <v>145.32</v>
      </c>
      <c r="Y355" s="20" t="s">
        <v>3186</v>
      </c>
      <c r="Z355" s="20" t="s">
        <v>3182</v>
      </c>
      <c r="AB355" s="20" t="s">
        <v>2290</v>
      </c>
      <c r="AD355" s="20" t="s">
        <v>2290</v>
      </c>
      <c r="AE355" s="20" t="s">
        <v>2290</v>
      </c>
      <c r="AF355" s="20">
        <v>0</v>
      </c>
      <c r="AG355" s="20">
        <v>0</v>
      </c>
      <c r="AH355" s="20">
        <v>0</v>
      </c>
      <c r="AI355" s="20">
        <v>0</v>
      </c>
      <c r="AJ355" s="20">
        <v>0</v>
      </c>
      <c r="AK355" s="20" t="s">
        <v>576</v>
      </c>
      <c r="AL355" s="20">
        <v>0</v>
      </c>
      <c r="AM355" s="20">
        <v>0</v>
      </c>
      <c r="AN355" s="20">
        <v>0</v>
      </c>
      <c r="AO355" s="20">
        <v>0</v>
      </c>
      <c r="AP355" s="20">
        <v>0</v>
      </c>
      <c r="AR355" s="20">
        <v>0</v>
      </c>
      <c r="AS355" s="20">
        <v>0</v>
      </c>
      <c r="AT355" s="20">
        <v>2025451.14</v>
      </c>
      <c r="AU355" s="20" t="s">
        <v>13</v>
      </c>
      <c r="AV355" s="20" t="s">
        <v>62</v>
      </c>
      <c r="AW355" s="20" t="s">
        <v>63</v>
      </c>
      <c r="AX355" s="20" t="s">
        <v>208</v>
      </c>
      <c r="AY355" s="20" t="s">
        <v>209</v>
      </c>
      <c r="AZ355" s="20">
        <v>0</v>
      </c>
      <c r="BA355" s="20">
        <v>231494.76</v>
      </c>
      <c r="BB355" s="20">
        <v>1241</v>
      </c>
      <c r="BC355" s="20" t="s">
        <v>3182</v>
      </c>
      <c r="BD355" s="20" t="s">
        <v>65</v>
      </c>
      <c r="BE355" s="20" t="s">
        <v>210</v>
      </c>
      <c r="BF355" s="20" t="s">
        <v>210</v>
      </c>
      <c r="BG355" s="20">
        <v>9</v>
      </c>
      <c r="BH355" s="20">
        <v>20834.53</v>
      </c>
      <c r="BI355" s="20">
        <v>9</v>
      </c>
      <c r="BJ355" s="20">
        <v>20834.53</v>
      </c>
      <c r="BK355" s="20">
        <v>0</v>
      </c>
      <c r="BL355" s="20">
        <v>0</v>
      </c>
      <c r="BM355" s="20">
        <v>0</v>
      </c>
      <c r="BN355" s="20">
        <v>602171842258</v>
      </c>
      <c r="BO355" s="111">
        <v>46262</v>
      </c>
      <c r="BP355" s="20">
        <v>0</v>
      </c>
    </row>
    <row r="356" spans="2:68">
      <c r="B356" s="20" t="s">
        <v>2165</v>
      </c>
      <c r="C356" s="20" t="s">
        <v>3182</v>
      </c>
      <c r="D356" s="20" t="s">
        <v>3683</v>
      </c>
      <c r="E356" s="20" t="s">
        <v>18</v>
      </c>
      <c r="F356" s="20" t="s">
        <v>19</v>
      </c>
      <c r="H356" s="20" t="s">
        <v>3684</v>
      </c>
      <c r="I356" s="20">
        <v>7188</v>
      </c>
      <c r="J356" s="20">
        <v>7188</v>
      </c>
      <c r="K356" s="20" t="s">
        <v>11</v>
      </c>
      <c r="L356" s="20">
        <v>7188</v>
      </c>
      <c r="M356" s="20">
        <v>0</v>
      </c>
      <c r="N356" s="20">
        <v>7188</v>
      </c>
      <c r="O356" s="20" t="s">
        <v>2154</v>
      </c>
      <c r="P356" s="20" t="s">
        <v>87</v>
      </c>
      <c r="Q356" s="20" t="s">
        <v>87</v>
      </c>
      <c r="R356" s="20" t="s">
        <v>3186</v>
      </c>
      <c r="S356" s="20" t="s">
        <v>2939</v>
      </c>
      <c r="T356" s="20" t="s">
        <v>206</v>
      </c>
      <c r="U356" s="20" t="s">
        <v>207</v>
      </c>
      <c r="V356" s="20" t="s">
        <v>3185</v>
      </c>
      <c r="W356" s="20">
        <v>142.32</v>
      </c>
      <c r="X356" s="20">
        <v>142.32</v>
      </c>
      <c r="Y356" s="20" t="s">
        <v>3186</v>
      </c>
      <c r="Z356" s="20" t="s">
        <v>3182</v>
      </c>
      <c r="AB356" s="20" t="s">
        <v>2290</v>
      </c>
      <c r="AD356" s="20" t="s">
        <v>2290</v>
      </c>
      <c r="AE356" s="20" t="s">
        <v>2290</v>
      </c>
      <c r="AF356" s="20">
        <v>0</v>
      </c>
      <c r="AG356" s="20">
        <v>0</v>
      </c>
      <c r="AH356" s="20">
        <v>0</v>
      </c>
      <c r="AI356" s="20">
        <v>0</v>
      </c>
      <c r="AJ356" s="20">
        <v>0</v>
      </c>
      <c r="AK356" s="20" t="s">
        <v>576</v>
      </c>
      <c r="AL356" s="20">
        <v>0</v>
      </c>
      <c r="AM356" s="20">
        <v>0</v>
      </c>
      <c r="AN356" s="20">
        <v>0</v>
      </c>
      <c r="AO356" s="20">
        <v>0</v>
      </c>
      <c r="AP356" s="20">
        <v>0</v>
      </c>
      <c r="AR356" s="20">
        <v>0</v>
      </c>
      <c r="AS356" s="20">
        <v>0</v>
      </c>
      <c r="AT356" s="20">
        <v>2025451.14</v>
      </c>
      <c r="AU356" s="20" t="s">
        <v>13</v>
      </c>
      <c r="AV356" s="20" t="s">
        <v>62</v>
      </c>
      <c r="AW356" s="20" t="s">
        <v>63</v>
      </c>
      <c r="AX356" s="20" t="s">
        <v>208</v>
      </c>
      <c r="AY356" s="20" t="s">
        <v>209</v>
      </c>
      <c r="AZ356" s="20">
        <v>0</v>
      </c>
      <c r="BA356" s="20">
        <v>1022996.16</v>
      </c>
      <c r="BB356" s="20">
        <v>1241</v>
      </c>
      <c r="BC356" s="20" t="s">
        <v>3182</v>
      </c>
      <c r="BD356" s="20" t="s">
        <v>65</v>
      </c>
      <c r="BE356" s="20" t="s">
        <v>210</v>
      </c>
      <c r="BF356" s="20" t="s">
        <v>210</v>
      </c>
      <c r="BG356" s="20">
        <v>9</v>
      </c>
      <c r="BH356" s="20">
        <v>92069.65</v>
      </c>
      <c r="BI356" s="20">
        <v>9</v>
      </c>
      <c r="BJ356" s="20">
        <v>92069.65</v>
      </c>
      <c r="BK356" s="20">
        <v>0</v>
      </c>
      <c r="BL356" s="20">
        <v>0</v>
      </c>
      <c r="BM356" s="20">
        <v>0</v>
      </c>
      <c r="BN356" s="20">
        <v>602171842258</v>
      </c>
      <c r="BO356" s="111">
        <v>46262</v>
      </c>
      <c r="BP356" s="20">
        <v>0</v>
      </c>
    </row>
    <row r="357" spans="2:68">
      <c r="B357" s="20" t="s">
        <v>2165</v>
      </c>
      <c r="C357" s="20" t="s">
        <v>3182</v>
      </c>
      <c r="D357" s="20" t="s">
        <v>3685</v>
      </c>
      <c r="E357" s="20" t="s">
        <v>160</v>
      </c>
      <c r="F357" s="20" t="s">
        <v>17</v>
      </c>
      <c r="H357" s="20" t="s">
        <v>3686</v>
      </c>
      <c r="I357" s="20">
        <v>3483</v>
      </c>
      <c r="J357" s="20">
        <v>3483</v>
      </c>
      <c r="K357" s="20" t="s">
        <v>11</v>
      </c>
      <c r="L357" s="20">
        <v>3483</v>
      </c>
      <c r="M357" s="20">
        <v>0</v>
      </c>
      <c r="N357" s="20">
        <v>3483</v>
      </c>
      <c r="O357" s="20" t="s">
        <v>2156</v>
      </c>
      <c r="P357" s="20" t="s">
        <v>87</v>
      </c>
      <c r="Q357" s="20" t="s">
        <v>87</v>
      </c>
      <c r="R357" s="20" t="s">
        <v>3188</v>
      </c>
      <c r="S357" s="20" t="s">
        <v>3182</v>
      </c>
      <c r="T357" s="20" t="s">
        <v>206</v>
      </c>
      <c r="U357" s="20" t="s">
        <v>207</v>
      </c>
      <c r="V357" s="20" t="s">
        <v>3187</v>
      </c>
      <c r="W357" s="20">
        <v>176.86</v>
      </c>
      <c r="X357" s="20">
        <v>176.86017482911001</v>
      </c>
      <c r="Y357" s="20" t="s">
        <v>3188</v>
      </c>
      <c r="Z357" s="20" t="s">
        <v>3182</v>
      </c>
      <c r="AB357" s="20" t="s">
        <v>2290</v>
      </c>
      <c r="AD357" s="20" t="s">
        <v>2290</v>
      </c>
      <c r="AE357" s="20" t="s">
        <v>2290</v>
      </c>
      <c r="AF357" s="20">
        <v>0</v>
      </c>
      <c r="AG357" s="20">
        <v>0</v>
      </c>
      <c r="AH357" s="20">
        <v>0</v>
      </c>
      <c r="AI357" s="20">
        <v>0</v>
      </c>
      <c r="AJ357" s="20">
        <v>0</v>
      </c>
      <c r="AK357" s="20" t="s">
        <v>576</v>
      </c>
      <c r="AL357" s="20">
        <v>0</v>
      </c>
      <c r="AM357" s="20">
        <v>0</v>
      </c>
      <c r="AN357" s="20">
        <v>0</v>
      </c>
      <c r="AO357" s="20">
        <v>0</v>
      </c>
      <c r="AP357" s="20">
        <v>0</v>
      </c>
      <c r="AR357" s="20">
        <v>0</v>
      </c>
      <c r="AS357" s="20">
        <v>0</v>
      </c>
      <c r="AT357" s="20">
        <v>1183592.3899999999</v>
      </c>
      <c r="AU357" s="20" t="s">
        <v>13</v>
      </c>
      <c r="AV357" s="20" t="s">
        <v>80</v>
      </c>
      <c r="AW357" s="20" t="s">
        <v>81</v>
      </c>
      <c r="AX357" s="20" t="s">
        <v>208</v>
      </c>
      <c r="AY357" s="20" t="s">
        <v>209</v>
      </c>
      <c r="AZ357" s="20">
        <v>0</v>
      </c>
      <c r="BA357" s="20">
        <v>616003.99</v>
      </c>
      <c r="BB357" s="20">
        <v>1245</v>
      </c>
      <c r="BC357" s="20" t="s">
        <v>3182</v>
      </c>
      <c r="BD357" s="20" t="s">
        <v>65</v>
      </c>
      <c r="BE357" s="20" t="s">
        <v>210</v>
      </c>
      <c r="BF357" s="20" t="s">
        <v>210</v>
      </c>
      <c r="BG357" s="20">
        <v>9</v>
      </c>
      <c r="BH357" s="20">
        <v>55440.3</v>
      </c>
      <c r="BI357" s="20">
        <v>9</v>
      </c>
      <c r="BJ357" s="20">
        <v>55440.3</v>
      </c>
      <c r="BK357" s="20">
        <v>0</v>
      </c>
      <c r="BL357" s="20">
        <v>0</v>
      </c>
      <c r="BM357" s="20">
        <v>1183592.3899999999</v>
      </c>
      <c r="BN357" s="20">
        <v>672171852315</v>
      </c>
      <c r="BO357" s="111">
        <v>46262</v>
      </c>
      <c r="BP357" s="20">
        <v>0</v>
      </c>
    </row>
    <row r="358" spans="2:68">
      <c r="B358" s="20" t="s">
        <v>2165</v>
      </c>
      <c r="C358" s="20" t="s">
        <v>3182</v>
      </c>
      <c r="D358" s="20" t="s">
        <v>3685</v>
      </c>
      <c r="E358" s="20" t="s">
        <v>820</v>
      </c>
      <c r="F358" s="20" t="s">
        <v>743</v>
      </c>
      <c r="H358" s="20" t="s">
        <v>3686</v>
      </c>
      <c r="I358" s="20">
        <v>22800</v>
      </c>
      <c r="J358" s="20">
        <v>22800</v>
      </c>
      <c r="K358" s="20" t="s">
        <v>1</v>
      </c>
      <c r="L358" s="20">
        <v>22800</v>
      </c>
      <c r="M358" s="20">
        <v>0</v>
      </c>
      <c r="N358" s="20">
        <v>22800</v>
      </c>
      <c r="O358" s="20" t="s">
        <v>2156</v>
      </c>
      <c r="P358" s="20" t="s">
        <v>87</v>
      </c>
      <c r="Q358" s="20" t="s">
        <v>87</v>
      </c>
      <c r="R358" s="20" t="s">
        <v>3188</v>
      </c>
      <c r="S358" s="20" t="s">
        <v>3182</v>
      </c>
      <c r="T358" s="20" t="s">
        <v>206</v>
      </c>
      <c r="U358" s="20" t="s">
        <v>207</v>
      </c>
      <c r="V358" s="20" t="s">
        <v>3187</v>
      </c>
      <c r="W358" s="20">
        <v>3.5293999999999999</v>
      </c>
      <c r="X358" s="20">
        <v>3.52940348887177</v>
      </c>
      <c r="Y358" s="20" t="s">
        <v>3188</v>
      </c>
      <c r="Z358" s="20" t="s">
        <v>3182</v>
      </c>
      <c r="AB358" s="20" t="s">
        <v>2290</v>
      </c>
      <c r="AD358" s="20" t="s">
        <v>2290</v>
      </c>
      <c r="AE358" s="20" t="s">
        <v>2290</v>
      </c>
      <c r="AF358" s="20">
        <v>0</v>
      </c>
      <c r="AG358" s="20">
        <v>0</v>
      </c>
      <c r="AH358" s="20">
        <v>0</v>
      </c>
      <c r="AI358" s="20">
        <v>0</v>
      </c>
      <c r="AJ358" s="20">
        <v>0</v>
      </c>
      <c r="AK358" s="20" t="s">
        <v>576</v>
      </c>
      <c r="AL358" s="20">
        <v>0</v>
      </c>
      <c r="AM358" s="20">
        <v>0</v>
      </c>
      <c r="AN358" s="20">
        <v>0</v>
      </c>
      <c r="AO358" s="20">
        <v>0</v>
      </c>
      <c r="AP358" s="20">
        <v>0</v>
      </c>
      <c r="AR358" s="20">
        <v>0</v>
      </c>
      <c r="AS358" s="20">
        <v>0</v>
      </c>
      <c r="AT358" s="20">
        <v>1183592.3899999999</v>
      </c>
      <c r="AU358" s="20" t="s">
        <v>8</v>
      </c>
      <c r="AV358" s="20" t="s">
        <v>625</v>
      </c>
      <c r="AW358" s="20" t="s">
        <v>625</v>
      </c>
      <c r="AX358" s="20" t="s">
        <v>208</v>
      </c>
      <c r="AY358" s="20" t="s">
        <v>821</v>
      </c>
      <c r="AZ358" s="20">
        <v>0</v>
      </c>
      <c r="BA358" s="20">
        <v>80470.399999999994</v>
      </c>
      <c r="BB358" s="20">
        <v>1245</v>
      </c>
      <c r="BC358" s="20" t="s">
        <v>3182</v>
      </c>
      <c r="BD358" s="20" t="s">
        <v>65</v>
      </c>
      <c r="BE358" s="20" t="s">
        <v>210</v>
      </c>
      <c r="BF358" s="20" t="s">
        <v>210</v>
      </c>
      <c r="BG358" s="20">
        <v>9</v>
      </c>
      <c r="BH358" s="20">
        <v>7242.33</v>
      </c>
      <c r="BI358" s="20">
        <v>9</v>
      </c>
      <c r="BJ358" s="20">
        <v>7242.33</v>
      </c>
      <c r="BK358" s="20">
        <v>0</v>
      </c>
      <c r="BL358" s="20">
        <v>0</v>
      </c>
      <c r="BM358" s="20">
        <v>0</v>
      </c>
      <c r="BN358" s="20">
        <v>672171852315</v>
      </c>
      <c r="BO358" s="111">
        <v>46262</v>
      </c>
      <c r="BP358" s="20">
        <v>0</v>
      </c>
    </row>
    <row r="359" spans="2:68">
      <c r="B359" s="20" t="s">
        <v>2165</v>
      </c>
      <c r="C359" s="20" t="s">
        <v>3182</v>
      </c>
      <c r="D359" s="20" t="s">
        <v>3685</v>
      </c>
      <c r="E359" s="20" t="s">
        <v>23</v>
      </c>
      <c r="F359" s="20" t="s">
        <v>24</v>
      </c>
      <c r="H359" s="20" t="s">
        <v>3686</v>
      </c>
      <c r="I359" s="20">
        <v>17.3</v>
      </c>
      <c r="J359" s="20">
        <v>17.3</v>
      </c>
      <c r="K359" s="20" t="s">
        <v>11</v>
      </c>
      <c r="L359" s="20">
        <v>17.3</v>
      </c>
      <c r="M359" s="20">
        <v>0</v>
      </c>
      <c r="N359" s="20">
        <v>17.3</v>
      </c>
      <c r="O359" s="20" t="s">
        <v>2156</v>
      </c>
      <c r="P359" s="20" t="s">
        <v>87</v>
      </c>
      <c r="Q359" s="20" t="s">
        <v>87</v>
      </c>
      <c r="R359" s="20" t="s">
        <v>3188</v>
      </c>
      <c r="S359" s="20" t="s">
        <v>3182</v>
      </c>
      <c r="T359" s="20" t="s">
        <v>206</v>
      </c>
      <c r="U359" s="20" t="s">
        <v>207</v>
      </c>
      <c r="V359" s="20" t="s">
        <v>3187</v>
      </c>
      <c r="W359" s="20">
        <v>168.32</v>
      </c>
      <c r="X359" s="20">
        <v>168.32016638717499</v>
      </c>
      <c r="Y359" s="20" t="s">
        <v>3188</v>
      </c>
      <c r="Z359" s="20" t="s">
        <v>3182</v>
      </c>
      <c r="AB359" s="20" t="s">
        <v>2290</v>
      </c>
      <c r="AD359" s="20" t="s">
        <v>2290</v>
      </c>
      <c r="AE359" s="20" t="s">
        <v>2290</v>
      </c>
      <c r="AF359" s="20">
        <v>0</v>
      </c>
      <c r="AG359" s="20">
        <v>0</v>
      </c>
      <c r="AH359" s="20">
        <v>0</v>
      </c>
      <c r="AI359" s="20">
        <v>0</v>
      </c>
      <c r="AJ359" s="20">
        <v>0</v>
      </c>
      <c r="AK359" s="20" t="s">
        <v>576</v>
      </c>
      <c r="AL359" s="20">
        <v>0</v>
      </c>
      <c r="AM359" s="20">
        <v>0</v>
      </c>
      <c r="AN359" s="20">
        <v>0</v>
      </c>
      <c r="AO359" s="20">
        <v>0</v>
      </c>
      <c r="AP359" s="20">
        <v>0</v>
      </c>
      <c r="AR359" s="20">
        <v>0</v>
      </c>
      <c r="AS359" s="20">
        <v>0</v>
      </c>
      <c r="AT359" s="20">
        <v>1183592.3899999999</v>
      </c>
      <c r="AU359" s="20" t="s">
        <v>13</v>
      </c>
      <c r="AV359" s="20" t="s">
        <v>24</v>
      </c>
      <c r="AW359" s="20" t="s">
        <v>79</v>
      </c>
      <c r="AX359" s="20" t="s">
        <v>208</v>
      </c>
      <c r="AY359" s="20" t="s">
        <v>209</v>
      </c>
      <c r="AZ359" s="20">
        <v>0</v>
      </c>
      <c r="BA359" s="20">
        <v>2911.94</v>
      </c>
      <c r="BB359" s="20">
        <v>1245</v>
      </c>
      <c r="BC359" s="20" t="s">
        <v>3182</v>
      </c>
      <c r="BD359" s="20" t="s">
        <v>65</v>
      </c>
      <c r="BE359" s="20" t="s">
        <v>210</v>
      </c>
      <c r="BF359" s="20" t="s">
        <v>210</v>
      </c>
      <c r="BG359" s="20">
        <v>9</v>
      </c>
      <c r="BH359" s="20">
        <v>262.07</v>
      </c>
      <c r="BI359" s="20">
        <v>9</v>
      </c>
      <c r="BJ359" s="20">
        <v>262.07</v>
      </c>
      <c r="BK359" s="20">
        <v>0</v>
      </c>
      <c r="BL359" s="20">
        <v>0</v>
      </c>
      <c r="BM359" s="20">
        <v>0</v>
      </c>
      <c r="BN359" s="20">
        <v>672171852315</v>
      </c>
      <c r="BO359" s="111">
        <v>46262</v>
      </c>
      <c r="BP359" s="20">
        <v>0</v>
      </c>
    </row>
    <row r="360" spans="2:68">
      <c r="B360" s="20" t="s">
        <v>2165</v>
      </c>
      <c r="C360" s="20" t="s">
        <v>3182</v>
      </c>
      <c r="D360" s="20" t="s">
        <v>3685</v>
      </c>
      <c r="E360" s="20" t="s">
        <v>23</v>
      </c>
      <c r="F360" s="20" t="s">
        <v>24</v>
      </c>
      <c r="H360" s="20" t="s">
        <v>3686</v>
      </c>
      <c r="I360" s="20">
        <v>979.4</v>
      </c>
      <c r="J360" s="20">
        <v>979.4</v>
      </c>
      <c r="K360" s="20" t="s">
        <v>11</v>
      </c>
      <c r="L360" s="20">
        <v>979.4</v>
      </c>
      <c r="M360" s="20">
        <v>0</v>
      </c>
      <c r="N360" s="20">
        <v>979.4</v>
      </c>
      <c r="O360" s="20" t="s">
        <v>2156</v>
      </c>
      <c r="P360" s="20" t="s">
        <v>87</v>
      </c>
      <c r="Q360" s="20" t="s">
        <v>87</v>
      </c>
      <c r="R360" s="20" t="s">
        <v>3188</v>
      </c>
      <c r="S360" s="20" t="s">
        <v>3182</v>
      </c>
      <c r="T360" s="20" t="s">
        <v>206</v>
      </c>
      <c r="U360" s="20" t="s">
        <v>207</v>
      </c>
      <c r="V360" s="20" t="s">
        <v>3187</v>
      </c>
      <c r="W360" s="20">
        <v>147.32</v>
      </c>
      <c r="X360" s="20">
        <v>147.32014562831901</v>
      </c>
      <c r="Y360" s="20" t="s">
        <v>3188</v>
      </c>
      <c r="Z360" s="20" t="s">
        <v>3182</v>
      </c>
      <c r="AB360" s="20" t="s">
        <v>2290</v>
      </c>
      <c r="AD360" s="20" t="s">
        <v>2290</v>
      </c>
      <c r="AE360" s="20" t="s">
        <v>2290</v>
      </c>
      <c r="AF360" s="20">
        <v>0</v>
      </c>
      <c r="AG360" s="20">
        <v>0</v>
      </c>
      <c r="AH360" s="20">
        <v>0</v>
      </c>
      <c r="AI360" s="20">
        <v>0</v>
      </c>
      <c r="AJ360" s="20">
        <v>0</v>
      </c>
      <c r="AK360" s="20" t="s">
        <v>576</v>
      </c>
      <c r="AL360" s="20">
        <v>0</v>
      </c>
      <c r="AM360" s="20">
        <v>0</v>
      </c>
      <c r="AN360" s="20">
        <v>0</v>
      </c>
      <c r="AO360" s="20">
        <v>0</v>
      </c>
      <c r="AP360" s="20">
        <v>0</v>
      </c>
      <c r="AR360" s="20">
        <v>0</v>
      </c>
      <c r="AS360" s="20">
        <v>0</v>
      </c>
      <c r="AT360" s="20">
        <v>1183592.3899999999</v>
      </c>
      <c r="AU360" s="20" t="s">
        <v>13</v>
      </c>
      <c r="AV360" s="20" t="s">
        <v>24</v>
      </c>
      <c r="AW360" s="20" t="s">
        <v>79</v>
      </c>
      <c r="AX360" s="20" t="s">
        <v>208</v>
      </c>
      <c r="AY360" s="20" t="s">
        <v>209</v>
      </c>
      <c r="AZ360" s="20">
        <v>0</v>
      </c>
      <c r="BA360" s="20">
        <v>144285.35</v>
      </c>
      <c r="BB360" s="20">
        <v>1245</v>
      </c>
      <c r="BC360" s="20" t="s">
        <v>3182</v>
      </c>
      <c r="BD360" s="20" t="s">
        <v>65</v>
      </c>
      <c r="BE360" s="20" t="s">
        <v>210</v>
      </c>
      <c r="BF360" s="20" t="s">
        <v>210</v>
      </c>
      <c r="BG360" s="20">
        <v>9</v>
      </c>
      <c r="BH360" s="20">
        <v>12985.67</v>
      </c>
      <c r="BI360" s="20">
        <v>9</v>
      </c>
      <c r="BJ360" s="20">
        <v>12985.67</v>
      </c>
      <c r="BK360" s="20">
        <v>0</v>
      </c>
      <c r="BL360" s="20">
        <v>0</v>
      </c>
      <c r="BM360" s="20">
        <v>0</v>
      </c>
      <c r="BN360" s="20">
        <v>672171852315</v>
      </c>
      <c r="BO360" s="111">
        <v>46262</v>
      </c>
      <c r="BP360" s="20">
        <v>0</v>
      </c>
    </row>
    <row r="361" spans="2:68">
      <c r="B361" s="20" t="s">
        <v>2165</v>
      </c>
      <c r="C361" s="20" t="s">
        <v>3182</v>
      </c>
      <c r="D361" s="20" t="s">
        <v>3685</v>
      </c>
      <c r="E361" s="20" t="s">
        <v>23</v>
      </c>
      <c r="F361" s="20" t="s">
        <v>24</v>
      </c>
      <c r="H361" s="20" t="s">
        <v>3686</v>
      </c>
      <c r="I361" s="20">
        <v>1104.3</v>
      </c>
      <c r="J361" s="20">
        <v>1104.3</v>
      </c>
      <c r="K361" s="20" t="s">
        <v>11</v>
      </c>
      <c r="L361" s="20">
        <v>1104.3</v>
      </c>
      <c r="M361" s="20">
        <v>0</v>
      </c>
      <c r="N361" s="20">
        <v>1104.3</v>
      </c>
      <c r="O361" s="20" t="s">
        <v>2156</v>
      </c>
      <c r="P361" s="20" t="s">
        <v>87</v>
      </c>
      <c r="Q361" s="20" t="s">
        <v>87</v>
      </c>
      <c r="R361" s="20" t="s">
        <v>3188</v>
      </c>
      <c r="S361" s="20" t="s">
        <v>3182</v>
      </c>
      <c r="T361" s="20" t="s">
        <v>206</v>
      </c>
      <c r="U361" s="20" t="s">
        <v>207</v>
      </c>
      <c r="V361" s="20" t="s">
        <v>3187</v>
      </c>
      <c r="W361" s="20">
        <v>144.32</v>
      </c>
      <c r="X361" s="20">
        <v>144.32014266276801</v>
      </c>
      <c r="Y361" s="20" t="s">
        <v>3188</v>
      </c>
      <c r="Z361" s="20" t="s">
        <v>3182</v>
      </c>
      <c r="AB361" s="20" t="s">
        <v>2290</v>
      </c>
      <c r="AD361" s="20" t="s">
        <v>2290</v>
      </c>
      <c r="AE361" s="20" t="s">
        <v>2290</v>
      </c>
      <c r="AF361" s="20">
        <v>0</v>
      </c>
      <c r="AG361" s="20">
        <v>0</v>
      </c>
      <c r="AH361" s="20">
        <v>0</v>
      </c>
      <c r="AI361" s="20">
        <v>0</v>
      </c>
      <c r="AJ361" s="20">
        <v>0</v>
      </c>
      <c r="AK361" s="20" t="s">
        <v>576</v>
      </c>
      <c r="AL361" s="20">
        <v>0</v>
      </c>
      <c r="AM361" s="20">
        <v>0</v>
      </c>
      <c r="AN361" s="20">
        <v>0</v>
      </c>
      <c r="AO361" s="20">
        <v>0</v>
      </c>
      <c r="AP361" s="20">
        <v>0</v>
      </c>
      <c r="AR361" s="20">
        <v>0</v>
      </c>
      <c r="AS361" s="20">
        <v>0</v>
      </c>
      <c r="AT361" s="20">
        <v>1183592.3899999999</v>
      </c>
      <c r="AU361" s="20" t="s">
        <v>13</v>
      </c>
      <c r="AV361" s="20" t="s">
        <v>24</v>
      </c>
      <c r="AW361" s="20" t="s">
        <v>79</v>
      </c>
      <c r="AX361" s="20" t="s">
        <v>208</v>
      </c>
      <c r="AY361" s="20" t="s">
        <v>209</v>
      </c>
      <c r="AZ361" s="20">
        <v>0</v>
      </c>
      <c r="BA361" s="20">
        <v>159372.73000000001</v>
      </c>
      <c r="BB361" s="20">
        <v>1245</v>
      </c>
      <c r="BC361" s="20" t="s">
        <v>3182</v>
      </c>
      <c r="BD361" s="20" t="s">
        <v>65</v>
      </c>
      <c r="BE361" s="20" t="s">
        <v>210</v>
      </c>
      <c r="BF361" s="20" t="s">
        <v>210</v>
      </c>
      <c r="BG361" s="20">
        <v>9</v>
      </c>
      <c r="BH361" s="20">
        <v>14343.53</v>
      </c>
      <c r="BI361" s="20">
        <v>9</v>
      </c>
      <c r="BJ361" s="20">
        <v>14343.53</v>
      </c>
      <c r="BK361" s="20">
        <v>0</v>
      </c>
      <c r="BL361" s="20">
        <v>0</v>
      </c>
      <c r="BM361" s="20">
        <v>0</v>
      </c>
      <c r="BN361" s="20">
        <v>672171852315</v>
      </c>
      <c r="BO361" s="111">
        <v>46262</v>
      </c>
      <c r="BP361" s="20">
        <v>0</v>
      </c>
    </row>
    <row r="362" spans="2:68">
      <c r="B362" s="20" t="s">
        <v>2165</v>
      </c>
      <c r="C362" s="20" t="s">
        <v>3192</v>
      </c>
      <c r="D362" s="20" t="s">
        <v>3687</v>
      </c>
      <c r="E362" s="20" t="s">
        <v>20</v>
      </c>
      <c r="F362" s="20" t="s">
        <v>21</v>
      </c>
      <c r="H362" s="20" t="s">
        <v>3688</v>
      </c>
      <c r="I362" s="20">
        <v>241</v>
      </c>
      <c r="J362" s="20">
        <v>241</v>
      </c>
      <c r="K362" s="20" t="s">
        <v>11</v>
      </c>
      <c r="L362" s="20">
        <v>241</v>
      </c>
      <c r="M362" s="20">
        <v>0</v>
      </c>
      <c r="N362" s="20">
        <v>241</v>
      </c>
      <c r="O362" s="20" t="s">
        <v>2397</v>
      </c>
      <c r="P362" s="20" t="s">
        <v>94</v>
      </c>
      <c r="Q362" s="20" t="s">
        <v>94</v>
      </c>
      <c r="R362" s="20" t="s">
        <v>3217</v>
      </c>
      <c r="S362" s="20" t="s">
        <v>3192</v>
      </c>
      <c r="T362" s="20" t="s">
        <v>206</v>
      </c>
      <c r="U362" s="20" t="s">
        <v>207</v>
      </c>
      <c r="V362" s="20" t="s">
        <v>3216</v>
      </c>
      <c r="W362" s="20">
        <v>137.58000000000001</v>
      </c>
      <c r="X362" s="20">
        <v>137.57999663166299</v>
      </c>
      <c r="Y362" s="20" t="s">
        <v>3217</v>
      </c>
      <c r="Z362" s="20" t="s">
        <v>3192</v>
      </c>
      <c r="AB362" s="20" t="s">
        <v>212</v>
      </c>
      <c r="AD362" s="20" t="s">
        <v>213</v>
      </c>
      <c r="AE362" s="20" t="s">
        <v>212</v>
      </c>
      <c r="AF362" s="20">
        <v>0</v>
      </c>
      <c r="AG362" s="20">
        <v>0</v>
      </c>
      <c r="AH362" s="20">
        <v>0</v>
      </c>
      <c r="AI362" s="20">
        <v>0</v>
      </c>
      <c r="AJ362" s="20">
        <v>0</v>
      </c>
      <c r="AK362" s="20" t="s">
        <v>576</v>
      </c>
      <c r="AL362" s="20">
        <v>0</v>
      </c>
      <c r="AM362" s="20">
        <v>0</v>
      </c>
      <c r="AN362" s="20">
        <v>0</v>
      </c>
      <c r="AO362" s="20">
        <v>0</v>
      </c>
      <c r="AP362" s="20">
        <v>0</v>
      </c>
      <c r="AR362" s="20">
        <v>0</v>
      </c>
      <c r="AS362" s="20">
        <v>0</v>
      </c>
      <c r="AT362" s="20">
        <v>163380.31</v>
      </c>
      <c r="AU362" s="20" t="s">
        <v>13</v>
      </c>
      <c r="AV362" s="20" t="s">
        <v>62</v>
      </c>
      <c r="AW362" s="20" t="s">
        <v>76</v>
      </c>
      <c r="AX362" s="20" t="s">
        <v>208</v>
      </c>
      <c r="AY362" s="20" t="s">
        <v>209</v>
      </c>
      <c r="AZ362" s="20">
        <v>0</v>
      </c>
      <c r="BA362" s="20">
        <v>33156.78</v>
      </c>
      <c r="BB362" s="20">
        <v>1251</v>
      </c>
      <c r="BC362" s="20" t="s">
        <v>3192</v>
      </c>
      <c r="BD362" s="20" t="s">
        <v>74</v>
      </c>
      <c r="BE362" s="20" t="s">
        <v>210</v>
      </c>
      <c r="BF362" s="20" t="s">
        <v>210</v>
      </c>
      <c r="BG362" s="20">
        <v>9</v>
      </c>
      <c r="BH362" s="20">
        <v>2984.11</v>
      </c>
      <c r="BI362" s="20">
        <v>9</v>
      </c>
      <c r="BJ362" s="20">
        <v>2984.11</v>
      </c>
      <c r="BK362" s="20">
        <v>0</v>
      </c>
      <c r="BL362" s="20">
        <v>0</v>
      </c>
      <c r="BM362" s="20">
        <v>163380.31</v>
      </c>
      <c r="BN362" s="20">
        <v>692172332972</v>
      </c>
      <c r="BO362" s="111">
        <v>46263</v>
      </c>
      <c r="BP362" s="20">
        <v>0</v>
      </c>
    </row>
    <row r="363" spans="2:68">
      <c r="B363" s="20" t="s">
        <v>2165</v>
      </c>
      <c r="C363" s="20" t="s">
        <v>3192</v>
      </c>
      <c r="D363" s="20" t="s">
        <v>3687</v>
      </c>
      <c r="E363" s="20" t="s">
        <v>18</v>
      </c>
      <c r="F363" s="20" t="s">
        <v>19</v>
      </c>
      <c r="H363" s="20" t="s">
        <v>3688</v>
      </c>
      <c r="I363" s="20">
        <v>788.3</v>
      </c>
      <c r="J363" s="20">
        <v>788.3</v>
      </c>
      <c r="K363" s="20" t="s">
        <v>11</v>
      </c>
      <c r="L363" s="20">
        <v>788.3</v>
      </c>
      <c r="M363" s="20">
        <v>0</v>
      </c>
      <c r="N363" s="20">
        <v>788.3</v>
      </c>
      <c r="O363" s="20" t="s">
        <v>2397</v>
      </c>
      <c r="P363" s="20" t="s">
        <v>94</v>
      </c>
      <c r="Q363" s="20" t="s">
        <v>94</v>
      </c>
      <c r="R363" s="20" t="s">
        <v>3217</v>
      </c>
      <c r="S363" s="20" t="s">
        <v>3192</v>
      </c>
      <c r="T363" s="20" t="s">
        <v>206</v>
      </c>
      <c r="U363" s="20" t="s">
        <v>207</v>
      </c>
      <c r="V363" s="20" t="s">
        <v>3216</v>
      </c>
      <c r="W363" s="20">
        <v>133.58000000000001</v>
      </c>
      <c r="X363" s="20">
        <v>133.579996729594</v>
      </c>
      <c r="Y363" s="20" t="s">
        <v>3217</v>
      </c>
      <c r="Z363" s="20" t="s">
        <v>3192</v>
      </c>
      <c r="AB363" s="20" t="s">
        <v>212</v>
      </c>
      <c r="AD363" s="20" t="s">
        <v>213</v>
      </c>
      <c r="AE363" s="20" t="s">
        <v>212</v>
      </c>
      <c r="AF363" s="20">
        <v>0</v>
      </c>
      <c r="AG363" s="20">
        <v>0</v>
      </c>
      <c r="AH363" s="20">
        <v>0</v>
      </c>
      <c r="AI363" s="20">
        <v>0</v>
      </c>
      <c r="AJ363" s="20">
        <v>0</v>
      </c>
      <c r="AK363" s="20" t="s">
        <v>576</v>
      </c>
      <c r="AL363" s="20">
        <v>0</v>
      </c>
      <c r="AM363" s="20">
        <v>0</v>
      </c>
      <c r="AN363" s="20">
        <v>0</v>
      </c>
      <c r="AO363" s="20">
        <v>0</v>
      </c>
      <c r="AP363" s="20">
        <v>0</v>
      </c>
      <c r="AR363" s="20">
        <v>0</v>
      </c>
      <c r="AS363" s="20">
        <v>0</v>
      </c>
      <c r="AT363" s="20">
        <v>163380.31</v>
      </c>
      <c r="AU363" s="20" t="s">
        <v>13</v>
      </c>
      <c r="AV363" s="20" t="s">
        <v>62</v>
      </c>
      <c r="AW363" s="20" t="s">
        <v>63</v>
      </c>
      <c r="AX363" s="20" t="s">
        <v>208</v>
      </c>
      <c r="AY363" s="20" t="s">
        <v>209</v>
      </c>
      <c r="AZ363" s="20">
        <v>0</v>
      </c>
      <c r="BA363" s="20">
        <v>105301.11</v>
      </c>
      <c r="BB363" s="20">
        <v>1251</v>
      </c>
      <c r="BC363" s="20" t="s">
        <v>3192</v>
      </c>
      <c r="BD363" s="20" t="s">
        <v>74</v>
      </c>
      <c r="BE363" s="20" t="s">
        <v>210</v>
      </c>
      <c r="BF363" s="20" t="s">
        <v>210</v>
      </c>
      <c r="BG363" s="20">
        <v>9</v>
      </c>
      <c r="BH363" s="20">
        <v>9477.1</v>
      </c>
      <c r="BI363" s="20">
        <v>9</v>
      </c>
      <c r="BJ363" s="20">
        <v>9477.1</v>
      </c>
      <c r="BK363" s="20">
        <v>0</v>
      </c>
      <c r="BL363" s="20">
        <v>0</v>
      </c>
      <c r="BM363" s="20">
        <v>0</v>
      </c>
      <c r="BN363" s="20">
        <v>692172332972</v>
      </c>
      <c r="BO363" s="111">
        <v>46263</v>
      </c>
      <c r="BP363" s="20">
        <v>0</v>
      </c>
    </row>
    <row r="364" spans="2:68">
      <c r="B364" s="20" t="s">
        <v>2165</v>
      </c>
      <c r="C364" s="20" t="s">
        <v>3192</v>
      </c>
      <c r="D364" s="20" t="s">
        <v>3689</v>
      </c>
      <c r="E364" s="20" t="s">
        <v>18</v>
      </c>
      <c r="F364" s="20" t="s">
        <v>19</v>
      </c>
      <c r="H364" s="20" t="s">
        <v>3690</v>
      </c>
      <c r="I364" s="20">
        <v>6249</v>
      </c>
      <c r="J364" s="20">
        <v>6249</v>
      </c>
      <c r="K364" s="20" t="s">
        <v>11</v>
      </c>
      <c r="L364" s="20">
        <v>6249</v>
      </c>
      <c r="M364" s="20">
        <v>0</v>
      </c>
      <c r="N364" s="20">
        <v>6249</v>
      </c>
      <c r="O364" s="20" t="s">
        <v>2154</v>
      </c>
      <c r="P364" s="20" t="s">
        <v>87</v>
      </c>
      <c r="Q364" s="20" t="s">
        <v>87</v>
      </c>
      <c r="R364" s="20" t="s">
        <v>3209</v>
      </c>
      <c r="S364" s="20" t="s">
        <v>3192</v>
      </c>
      <c r="T364" s="20" t="s">
        <v>206</v>
      </c>
      <c r="U364" s="20" t="s">
        <v>207</v>
      </c>
      <c r="V364" s="20" t="s">
        <v>3208</v>
      </c>
      <c r="W364" s="20">
        <v>142.32</v>
      </c>
      <c r="X364" s="20">
        <v>142.32</v>
      </c>
      <c r="Y364" s="20" t="s">
        <v>3209</v>
      </c>
      <c r="Z364" s="20" t="s">
        <v>3192</v>
      </c>
      <c r="AB364" s="20" t="s">
        <v>212</v>
      </c>
      <c r="AD364" s="20" t="s">
        <v>2125</v>
      </c>
      <c r="AE364" s="20" t="s">
        <v>3691</v>
      </c>
      <c r="AF364" s="20">
        <v>0</v>
      </c>
      <c r="AG364" s="20">
        <v>0</v>
      </c>
      <c r="AH364" s="20">
        <v>0</v>
      </c>
      <c r="AI364" s="20">
        <v>0</v>
      </c>
      <c r="AJ364" s="20">
        <v>0</v>
      </c>
      <c r="AK364" s="20" t="s">
        <v>576</v>
      </c>
      <c r="AL364" s="20">
        <v>0</v>
      </c>
      <c r="AM364" s="20">
        <v>0</v>
      </c>
      <c r="AN364" s="20">
        <v>0</v>
      </c>
      <c r="AO364" s="20">
        <v>0</v>
      </c>
      <c r="AP364" s="20">
        <v>0</v>
      </c>
      <c r="AR364" s="20">
        <v>0</v>
      </c>
      <c r="AS364" s="20">
        <v>0</v>
      </c>
      <c r="AT364" s="20">
        <v>1667071.9</v>
      </c>
      <c r="AU364" s="20" t="s">
        <v>13</v>
      </c>
      <c r="AV364" s="20" t="s">
        <v>62</v>
      </c>
      <c r="AW364" s="20" t="s">
        <v>63</v>
      </c>
      <c r="AX364" s="20" t="s">
        <v>208</v>
      </c>
      <c r="AY364" s="20" t="s">
        <v>209</v>
      </c>
      <c r="AZ364" s="20">
        <v>0</v>
      </c>
      <c r="BA364" s="20">
        <v>889357.68</v>
      </c>
      <c r="BB364" s="20">
        <v>1248</v>
      </c>
      <c r="BC364" s="20" t="s">
        <v>3192</v>
      </c>
      <c r="BD364" s="20" t="s">
        <v>65</v>
      </c>
      <c r="BE364" s="20" t="s">
        <v>210</v>
      </c>
      <c r="BF364" s="20" t="s">
        <v>210</v>
      </c>
      <c r="BG364" s="20">
        <v>9</v>
      </c>
      <c r="BH364" s="20">
        <v>80042.19</v>
      </c>
      <c r="BI364" s="20">
        <v>9</v>
      </c>
      <c r="BJ364" s="20">
        <v>80042.19</v>
      </c>
      <c r="BK364" s="20">
        <v>0</v>
      </c>
      <c r="BL364" s="20">
        <v>0</v>
      </c>
      <c r="BM364" s="20">
        <v>1667071.9</v>
      </c>
      <c r="BN364" s="20">
        <v>662172058740</v>
      </c>
      <c r="BO364" s="111">
        <v>46263</v>
      </c>
      <c r="BP364" s="20">
        <v>0</v>
      </c>
    </row>
    <row r="365" spans="2:68">
      <c r="B365" s="20" t="s">
        <v>2165</v>
      </c>
      <c r="C365" s="20" t="s">
        <v>3192</v>
      </c>
      <c r="D365" s="20" t="s">
        <v>3689</v>
      </c>
      <c r="E365" s="20" t="s">
        <v>18</v>
      </c>
      <c r="F365" s="20" t="s">
        <v>19</v>
      </c>
      <c r="H365" s="20" t="s">
        <v>3690</v>
      </c>
      <c r="I365" s="20">
        <v>1713</v>
      </c>
      <c r="J365" s="20">
        <v>1713</v>
      </c>
      <c r="K365" s="20" t="s">
        <v>11</v>
      </c>
      <c r="L365" s="20">
        <v>1713</v>
      </c>
      <c r="M365" s="20">
        <v>0</v>
      </c>
      <c r="N365" s="20">
        <v>1713</v>
      </c>
      <c r="O365" s="20" t="s">
        <v>2154</v>
      </c>
      <c r="P365" s="20" t="s">
        <v>87</v>
      </c>
      <c r="Q365" s="20" t="s">
        <v>87</v>
      </c>
      <c r="R365" s="20" t="s">
        <v>3209</v>
      </c>
      <c r="S365" s="20" t="s">
        <v>3192</v>
      </c>
      <c r="T365" s="20" t="s">
        <v>206</v>
      </c>
      <c r="U365" s="20" t="s">
        <v>207</v>
      </c>
      <c r="V365" s="20" t="s">
        <v>3208</v>
      </c>
      <c r="W365" s="20">
        <v>145.32</v>
      </c>
      <c r="X365" s="20">
        <v>145.32</v>
      </c>
      <c r="Y365" s="20" t="s">
        <v>3209</v>
      </c>
      <c r="Z365" s="20" t="s">
        <v>3192</v>
      </c>
      <c r="AB365" s="20" t="s">
        <v>212</v>
      </c>
      <c r="AD365" s="20" t="s">
        <v>2125</v>
      </c>
      <c r="AE365" s="20" t="s">
        <v>3691</v>
      </c>
      <c r="AF365" s="20">
        <v>0</v>
      </c>
      <c r="AG365" s="20">
        <v>0</v>
      </c>
      <c r="AH365" s="20">
        <v>0</v>
      </c>
      <c r="AI365" s="20">
        <v>0</v>
      </c>
      <c r="AJ365" s="20">
        <v>0</v>
      </c>
      <c r="AK365" s="20" t="s">
        <v>576</v>
      </c>
      <c r="AL365" s="20">
        <v>0</v>
      </c>
      <c r="AM365" s="20">
        <v>0</v>
      </c>
      <c r="AN365" s="20">
        <v>0</v>
      </c>
      <c r="AO365" s="20">
        <v>0</v>
      </c>
      <c r="AP365" s="20">
        <v>0</v>
      </c>
      <c r="AR365" s="20">
        <v>0</v>
      </c>
      <c r="AS365" s="20">
        <v>0</v>
      </c>
      <c r="AT365" s="20">
        <v>1667071.9</v>
      </c>
      <c r="AU365" s="20" t="s">
        <v>13</v>
      </c>
      <c r="AV365" s="20" t="s">
        <v>62</v>
      </c>
      <c r="AW365" s="20" t="s">
        <v>63</v>
      </c>
      <c r="AX365" s="20" t="s">
        <v>208</v>
      </c>
      <c r="AY365" s="20" t="s">
        <v>209</v>
      </c>
      <c r="AZ365" s="20">
        <v>0</v>
      </c>
      <c r="BA365" s="20">
        <v>248933.16</v>
      </c>
      <c r="BB365" s="20">
        <v>1248</v>
      </c>
      <c r="BC365" s="20" t="s">
        <v>3192</v>
      </c>
      <c r="BD365" s="20" t="s">
        <v>65</v>
      </c>
      <c r="BE365" s="20" t="s">
        <v>210</v>
      </c>
      <c r="BF365" s="20" t="s">
        <v>210</v>
      </c>
      <c r="BG365" s="20">
        <v>9</v>
      </c>
      <c r="BH365" s="20">
        <v>22403.98</v>
      </c>
      <c r="BI365" s="20">
        <v>9</v>
      </c>
      <c r="BJ365" s="20">
        <v>22403.98</v>
      </c>
      <c r="BK365" s="20">
        <v>0</v>
      </c>
      <c r="BL365" s="20">
        <v>0</v>
      </c>
      <c r="BM365" s="20">
        <v>0</v>
      </c>
      <c r="BN365" s="20">
        <v>662172058740</v>
      </c>
      <c r="BO365" s="111">
        <v>46263</v>
      </c>
      <c r="BP365" s="20">
        <v>0</v>
      </c>
    </row>
    <row r="366" spans="2:68">
      <c r="B366" s="20" t="s">
        <v>2165</v>
      </c>
      <c r="C366" s="20" t="s">
        <v>3192</v>
      </c>
      <c r="D366" s="20" t="s">
        <v>3689</v>
      </c>
      <c r="E366" s="20" t="s">
        <v>18</v>
      </c>
      <c r="F366" s="20" t="s">
        <v>19</v>
      </c>
      <c r="H366" s="20" t="s">
        <v>3690</v>
      </c>
      <c r="I366" s="20">
        <v>1287</v>
      </c>
      <c r="J366" s="20">
        <v>1287</v>
      </c>
      <c r="K366" s="20" t="s">
        <v>11</v>
      </c>
      <c r="L366" s="20">
        <v>1287</v>
      </c>
      <c r="M366" s="20">
        <v>0</v>
      </c>
      <c r="N366" s="20">
        <v>1287</v>
      </c>
      <c r="O366" s="20" t="s">
        <v>2154</v>
      </c>
      <c r="P366" s="20" t="s">
        <v>87</v>
      </c>
      <c r="Q366" s="20" t="s">
        <v>87</v>
      </c>
      <c r="R366" s="20" t="s">
        <v>3209</v>
      </c>
      <c r="S366" s="20" t="s">
        <v>3192</v>
      </c>
      <c r="T366" s="20" t="s">
        <v>206</v>
      </c>
      <c r="U366" s="20" t="s">
        <v>207</v>
      </c>
      <c r="V366" s="20" t="s">
        <v>3208</v>
      </c>
      <c r="W366" s="20">
        <v>144.32</v>
      </c>
      <c r="X366" s="20">
        <v>144.32</v>
      </c>
      <c r="Y366" s="20" t="s">
        <v>3209</v>
      </c>
      <c r="Z366" s="20" t="s">
        <v>3192</v>
      </c>
      <c r="AB366" s="20" t="s">
        <v>212</v>
      </c>
      <c r="AD366" s="20" t="s">
        <v>2125</v>
      </c>
      <c r="AE366" s="20" t="s">
        <v>3691</v>
      </c>
      <c r="AF366" s="20">
        <v>0</v>
      </c>
      <c r="AG366" s="20">
        <v>0</v>
      </c>
      <c r="AH366" s="20">
        <v>0</v>
      </c>
      <c r="AI366" s="20">
        <v>0</v>
      </c>
      <c r="AJ366" s="20">
        <v>0</v>
      </c>
      <c r="AK366" s="20" t="s">
        <v>576</v>
      </c>
      <c r="AL366" s="20">
        <v>0</v>
      </c>
      <c r="AM366" s="20">
        <v>0</v>
      </c>
      <c r="AN366" s="20">
        <v>0</v>
      </c>
      <c r="AO366" s="20">
        <v>0</v>
      </c>
      <c r="AP366" s="20">
        <v>0</v>
      </c>
      <c r="AR366" s="20">
        <v>0</v>
      </c>
      <c r="AS366" s="20">
        <v>0</v>
      </c>
      <c r="AT366" s="20">
        <v>1667071.9</v>
      </c>
      <c r="AU366" s="20" t="s">
        <v>13</v>
      </c>
      <c r="AV366" s="20" t="s">
        <v>62</v>
      </c>
      <c r="AW366" s="20" t="s">
        <v>63</v>
      </c>
      <c r="AX366" s="20" t="s">
        <v>208</v>
      </c>
      <c r="AY366" s="20" t="s">
        <v>209</v>
      </c>
      <c r="AZ366" s="20">
        <v>0</v>
      </c>
      <c r="BA366" s="20">
        <v>185739.84</v>
      </c>
      <c r="BB366" s="20">
        <v>1248</v>
      </c>
      <c r="BC366" s="20" t="s">
        <v>3192</v>
      </c>
      <c r="BD366" s="20" t="s">
        <v>65</v>
      </c>
      <c r="BE366" s="20" t="s">
        <v>210</v>
      </c>
      <c r="BF366" s="20" t="s">
        <v>210</v>
      </c>
      <c r="BG366" s="20">
        <v>9</v>
      </c>
      <c r="BH366" s="20">
        <v>16716.59</v>
      </c>
      <c r="BI366" s="20">
        <v>9</v>
      </c>
      <c r="BJ366" s="20">
        <v>16716.59</v>
      </c>
      <c r="BK366" s="20">
        <v>0</v>
      </c>
      <c r="BL366" s="20">
        <v>0</v>
      </c>
      <c r="BM366" s="20">
        <v>0</v>
      </c>
      <c r="BN366" s="20">
        <v>662172058740</v>
      </c>
      <c r="BO366" s="111">
        <v>46263</v>
      </c>
      <c r="BP366" s="20">
        <v>0</v>
      </c>
    </row>
    <row r="367" spans="2:68">
      <c r="B367" s="20" t="s">
        <v>2165</v>
      </c>
      <c r="C367" s="20" t="s">
        <v>3192</v>
      </c>
      <c r="D367" s="20" t="s">
        <v>3689</v>
      </c>
      <c r="E367" s="20" t="s">
        <v>20</v>
      </c>
      <c r="F367" s="20" t="s">
        <v>21</v>
      </c>
      <c r="H367" s="20" t="s">
        <v>3690</v>
      </c>
      <c r="I367" s="20">
        <v>15</v>
      </c>
      <c r="J367" s="20">
        <v>15</v>
      </c>
      <c r="K367" s="20" t="s">
        <v>11</v>
      </c>
      <c r="L367" s="20">
        <v>15</v>
      </c>
      <c r="M367" s="20">
        <v>0</v>
      </c>
      <c r="N367" s="20">
        <v>15</v>
      </c>
      <c r="O367" s="20" t="s">
        <v>2154</v>
      </c>
      <c r="P367" s="20" t="s">
        <v>87</v>
      </c>
      <c r="Q367" s="20" t="s">
        <v>87</v>
      </c>
      <c r="R367" s="20" t="s">
        <v>3209</v>
      </c>
      <c r="S367" s="20" t="s">
        <v>3192</v>
      </c>
      <c r="T367" s="20" t="s">
        <v>206</v>
      </c>
      <c r="U367" s="20" t="s">
        <v>207</v>
      </c>
      <c r="V367" s="20" t="s">
        <v>3208</v>
      </c>
      <c r="W367" s="20">
        <v>395</v>
      </c>
      <c r="X367" s="20">
        <v>395</v>
      </c>
      <c r="Y367" s="20" t="s">
        <v>3209</v>
      </c>
      <c r="Z367" s="20" t="s">
        <v>3192</v>
      </c>
      <c r="AB367" s="20" t="s">
        <v>212</v>
      </c>
      <c r="AD367" s="20" t="s">
        <v>2125</v>
      </c>
      <c r="AE367" s="20" t="s">
        <v>3691</v>
      </c>
      <c r="AF367" s="20">
        <v>0</v>
      </c>
      <c r="AG367" s="20">
        <v>0</v>
      </c>
      <c r="AH367" s="20">
        <v>0</v>
      </c>
      <c r="AI367" s="20">
        <v>0</v>
      </c>
      <c r="AJ367" s="20">
        <v>0</v>
      </c>
      <c r="AK367" s="20" t="s">
        <v>576</v>
      </c>
      <c r="AL367" s="20">
        <v>0</v>
      </c>
      <c r="AM367" s="20">
        <v>0</v>
      </c>
      <c r="AN367" s="20">
        <v>0</v>
      </c>
      <c r="AO367" s="20">
        <v>0</v>
      </c>
      <c r="AP367" s="20">
        <v>0</v>
      </c>
      <c r="AR367" s="20">
        <v>0</v>
      </c>
      <c r="AS367" s="20">
        <v>0</v>
      </c>
      <c r="AT367" s="20">
        <v>1667071.9</v>
      </c>
      <c r="AU367" s="20" t="s">
        <v>13</v>
      </c>
      <c r="AV367" s="20" t="s">
        <v>62</v>
      </c>
      <c r="AW367" s="20" t="s">
        <v>76</v>
      </c>
      <c r="AX367" s="20" t="s">
        <v>208</v>
      </c>
      <c r="AY367" s="20" t="s">
        <v>209</v>
      </c>
      <c r="AZ367" s="20">
        <v>0</v>
      </c>
      <c r="BA367" s="20">
        <v>5925</v>
      </c>
      <c r="BB367" s="20">
        <v>1248</v>
      </c>
      <c r="BC367" s="20" t="s">
        <v>3192</v>
      </c>
      <c r="BD367" s="20" t="s">
        <v>65</v>
      </c>
      <c r="BE367" s="20" t="s">
        <v>210</v>
      </c>
      <c r="BF367" s="20" t="s">
        <v>210</v>
      </c>
      <c r="BG367" s="20">
        <v>9</v>
      </c>
      <c r="BH367" s="20">
        <v>533.25</v>
      </c>
      <c r="BI367" s="20">
        <v>9</v>
      </c>
      <c r="BJ367" s="20">
        <v>533.25</v>
      </c>
      <c r="BK367" s="20">
        <v>0</v>
      </c>
      <c r="BL367" s="20">
        <v>0</v>
      </c>
      <c r="BM367" s="20">
        <v>0</v>
      </c>
      <c r="BN367" s="20">
        <v>662172058740</v>
      </c>
      <c r="BO367" s="111">
        <v>46263</v>
      </c>
      <c r="BP367" s="20">
        <v>0</v>
      </c>
    </row>
    <row r="368" spans="2:68">
      <c r="B368" s="20" t="s">
        <v>2165</v>
      </c>
      <c r="C368" s="20" t="s">
        <v>3192</v>
      </c>
      <c r="D368" s="20" t="s">
        <v>3689</v>
      </c>
      <c r="E368" s="20" t="s">
        <v>20</v>
      </c>
      <c r="F368" s="20" t="s">
        <v>21</v>
      </c>
      <c r="H368" s="20" t="s">
        <v>3690</v>
      </c>
      <c r="I368" s="20">
        <v>566</v>
      </c>
      <c r="J368" s="20">
        <v>566</v>
      </c>
      <c r="K368" s="20" t="s">
        <v>11</v>
      </c>
      <c r="L368" s="20">
        <v>566</v>
      </c>
      <c r="M368" s="20">
        <v>0</v>
      </c>
      <c r="N368" s="20">
        <v>566</v>
      </c>
      <c r="O368" s="20" t="s">
        <v>2154</v>
      </c>
      <c r="P368" s="20" t="s">
        <v>87</v>
      </c>
      <c r="Q368" s="20" t="s">
        <v>87</v>
      </c>
      <c r="R368" s="20" t="s">
        <v>3209</v>
      </c>
      <c r="S368" s="20" t="s">
        <v>3192</v>
      </c>
      <c r="T368" s="20" t="s">
        <v>206</v>
      </c>
      <c r="U368" s="20" t="s">
        <v>207</v>
      </c>
      <c r="V368" s="20" t="s">
        <v>3208</v>
      </c>
      <c r="W368" s="20">
        <v>146.32</v>
      </c>
      <c r="X368" s="20">
        <v>146.32</v>
      </c>
      <c r="Y368" s="20" t="s">
        <v>3209</v>
      </c>
      <c r="Z368" s="20" t="s">
        <v>3192</v>
      </c>
      <c r="AB368" s="20" t="s">
        <v>212</v>
      </c>
      <c r="AD368" s="20" t="s">
        <v>2125</v>
      </c>
      <c r="AE368" s="20" t="s">
        <v>3691</v>
      </c>
      <c r="AF368" s="20">
        <v>0</v>
      </c>
      <c r="AG368" s="20">
        <v>0</v>
      </c>
      <c r="AH368" s="20">
        <v>0</v>
      </c>
      <c r="AI368" s="20">
        <v>0</v>
      </c>
      <c r="AJ368" s="20">
        <v>0</v>
      </c>
      <c r="AK368" s="20" t="s">
        <v>576</v>
      </c>
      <c r="AL368" s="20">
        <v>0</v>
      </c>
      <c r="AM368" s="20">
        <v>0</v>
      </c>
      <c r="AN368" s="20">
        <v>0</v>
      </c>
      <c r="AO368" s="20">
        <v>0</v>
      </c>
      <c r="AP368" s="20">
        <v>0</v>
      </c>
      <c r="AR368" s="20">
        <v>0</v>
      </c>
      <c r="AS368" s="20">
        <v>0</v>
      </c>
      <c r="AT368" s="20">
        <v>1667071.9</v>
      </c>
      <c r="AU368" s="20" t="s">
        <v>13</v>
      </c>
      <c r="AV368" s="20" t="s">
        <v>62</v>
      </c>
      <c r="AW368" s="20" t="s">
        <v>76</v>
      </c>
      <c r="AX368" s="20" t="s">
        <v>208</v>
      </c>
      <c r="AY368" s="20" t="s">
        <v>209</v>
      </c>
      <c r="AZ368" s="20">
        <v>0</v>
      </c>
      <c r="BA368" s="20">
        <v>82817.119999999995</v>
      </c>
      <c r="BB368" s="20">
        <v>1248</v>
      </c>
      <c r="BC368" s="20" t="s">
        <v>3192</v>
      </c>
      <c r="BD368" s="20" t="s">
        <v>65</v>
      </c>
      <c r="BE368" s="20" t="s">
        <v>210</v>
      </c>
      <c r="BF368" s="20" t="s">
        <v>210</v>
      </c>
      <c r="BG368" s="20">
        <v>9</v>
      </c>
      <c r="BH368" s="20">
        <v>7453.54</v>
      </c>
      <c r="BI368" s="20">
        <v>9</v>
      </c>
      <c r="BJ368" s="20">
        <v>7453.54</v>
      </c>
      <c r="BK368" s="20">
        <v>0</v>
      </c>
      <c r="BL368" s="20">
        <v>0</v>
      </c>
      <c r="BM368" s="20">
        <v>0</v>
      </c>
      <c r="BN368" s="20">
        <v>662172058740</v>
      </c>
      <c r="BO368" s="111">
        <v>46263</v>
      </c>
      <c r="BP368" s="20">
        <v>0</v>
      </c>
    </row>
    <row r="369" spans="2:68">
      <c r="B369" s="20" t="s">
        <v>2165</v>
      </c>
      <c r="C369" s="20" t="s">
        <v>3192</v>
      </c>
      <c r="D369" s="20" t="s">
        <v>3692</v>
      </c>
      <c r="E369" s="20" t="s">
        <v>18</v>
      </c>
      <c r="F369" s="20" t="s">
        <v>19</v>
      </c>
      <c r="H369" s="20" t="s">
        <v>3693</v>
      </c>
      <c r="I369" s="20">
        <v>443</v>
      </c>
      <c r="J369" s="20">
        <v>443</v>
      </c>
      <c r="K369" s="20" t="s">
        <v>11</v>
      </c>
      <c r="L369" s="20">
        <v>443</v>
      </c>
      <c r="M369" s="20">
        <v>0</v>
      </c>
      <c r="N369" s="20">
        <v>443</v>
      </c>
      <c r="O369" s="20" t="s">
        <v>2156</v>
      </c>
      <c r="P369" s="20" t="s">
        <v>87</v>
      </c>
      <c r="Q369" s="20" t="s">
        <v>87</v>
      </c>
      <c r="R369" s="20" t="s">
        <v>3211</v>
      </c>
      <c r="S369" s="20" t="s">
        <v>3192</v>
      </c>
      <c r="T369" s="20" t="s">
        <v>206</v>
      </c>
      <c r="U369" s="20" t="s">
        <v>207</v>
      </c>
      <c r="V369" s="20" t="s">
        <v>3210</v>
      </c>
      <c r="W369" s="20">
        <v>142.32</v>
      </c>
      <c r="X369" s="20">
        <v>142.32000168706</v>
      </c>
      <c r="Y369" s="20" t="s">
        <v>3211</v>
      </c>
      <c r="Z369" s="20" t="s">
        <v>3192</v>
      </c>
      <c r="AB369" s="20" t="s">
        <v>212</v>
      </c>
      <c r="AD369" s="20" t="s">
        <v>213</v>
      </c>
      <c r="AE369" s="20" t="s">
        <v>212</v>
      </c>
      <c r="AF369" s="20">
        <v>0</v>
      </c>
      <c r="AG369" s="20">
        <v>0</v>
      </c>
      <c r="AH369" s="20">
        <v>0</v>
      </c>
      <c r="AI369" s="20">
        <v>0</v>
      </c>
      <c r="AJ369" s="20">
        <v>0</v>
      </c>
      <c r="AK369" s="20" t="s">
        <v>576</v>
      </c>
      <c r="AL369" s="20">
        <v>0</v>
      </c>
      <c r="AM369" s="20">
        <v>0</v>
      </c>
      <c r="AN369" s="20">
        <v>0</v>
      </c>
      <c r="AO369" s="20">
        <v>0</v>
      </c>
      <c r="AP369" s="20">
        <v>0</v>
      </c>
      <c r="AR369" s="20">
        <v>0</v>
      </c>
      <c r="AS369" s="20">
        <v>0</v>
      </c>
      <c r="AT369" s="20">
        <v>506158.53</v>
      </c>
      <c r="AU369" s="20" t="s">
        <v>13</v>
      </c>
      <c r="AV369" s="20" t="s">
        <v>62</v>
      </c>
      <c r="AW369" s="20" t="s">
        <v>63</v>
      </c>
      <c r="AX369" s="20" t="s">
        <v>208</v>
      </c>
      <c r="AY369" s="20" t="s">
        <v>209</v>
      </c>
      <c r="AZ369" s="20">
        <v>0</v>
      </c>
      <c r="BA369" s="20">
        <v>63047.76</v>
      </c>
      <c r="BB369" s="20">
        <v>1250</v>
      </c>
      <c r="BC369" s="20" t="s">
        <v>3192</v>
      </c>
      <c r="BD369" s="20" t="s">
        <v>65</v>
      </c>
      <c r="BE369" s="20" t="s">
        <v>210</v>
      </c>
      <c r="BF369" s="20" t="s">
        <v>210</v>
      </c>
      <c r="BG369" s="20">
        <v>9</v>
      </c>
      <c r="BH369" s="20">
        <v>5674.3</v>
      </c>
      <c r="BI369" s="20">
        <v>9</v>
      </c>
      <c r="BJ369" s="20">
        <v>5674.3</v>
      </c>
      <c r="BK369" s="20">
        <v>0</v>
      </c>
      <c r="BL369" s="20">
        <v>0</v>
      </c>
      <c r="BM369" s="20">
        <v>506158.53</v>
      </c>
      <c r="BN369" s="20">
        <v>602172107916</v>
      </c>
      <c r="BO369" s="111">
        <v>46263</v>
      </c>
      <c r="BP369" s="20">
        <v>0</v>
      </c>
    </row>
    <row r="370" spans="2:68">
      <c r="B370" s="20" t="s">
        <v>2165</v>
      </c>
      <c r="C370" s="20" t="s">
        <v>3192</v>
      </c>
      <c r="D370" s="20" t="s">
        <v>3692</v>
      </c>
      <c r="E370" s="20" t="s">
        <v>160</v>
      </c>
      <c r="F370" s="20" t="s">
        <v>17</v>
      </c>
      <c r="H370" s="20" t="s">
        <v>3693</v>
      </c>
      <c r="I370" s="20">
        <v>50</v>
      </c>
      <c r="J370" s="20">
        <v>50</v>
      </c>
      <c r="K370" s="20" t="s">
        <v>11</v>
      </c>
      <c r="L370" s="20">
        <v>50</v>
      </c>
      <c r="M370" s="20">
        <v>0</v>
      </c>
      <c r="N370" s="20">
        <v>50</v>
      </c>
      <c r="O370" s="20" t="s">
        <v>2156</v>
      </c>
      <c r="P370" s="20" t="s">
        <v>87</v>
      </c>
      <c r="Q370" s="20" t="s">
        <v>87</v>
      </c>
      <c r="R370" s="20" t="s">
        <v>3211</v>
      </c>
      <c r="S370" s="20" t="s">
        <v>3192</v>
      </c>
      <c r="T370" s="20" t="s">
        <v>206</v>
      </c>
      <c r="U370" s="20" t="s">
        <v>207</v>
      </c>
      <c r="V370" s="20" t="s">
        <v>3210</v>
      </c>
      <c r="W370" s="20">
        <v>176.86</v>
      </c>
      <c r="X370" s="20">
        <v>176.860002096497</v>
      </c>
      <c r="Y370" s="20" t="s">
        <v>3211</v>
      </c>
      <c r="Z370" s="20" t="s">
        <v>3192</v>
      </c>
      <c r="AB370" s="20" t="s">
        <v>212</v>
      </c>
      <c r="AD370" s="20" t="s">
        <v>213</v>
      </c>
      <c r="AE370" s="20" t="s">
        <v>212</v>
      </c>
      <c r="AF370" s="20">
        <v>0</v>
      </c>
      <c r="AG370" s="20">
        <v>0</v>
      </c>
      <c r="AH370" s="20">
        <v>0</v>
      </c>
      <c r="AI370" s="20">
        <v>0</v>
      </c>
      <c r="AJ370" s="20">
        <v>0</v>
      </c>
      <c r="AK370" s="20" t="s">
        <v>576</v>
      </c>
      <c r="AL370" s="20">
        <v>0</v>
      </c>
      <c r="AM370" s="20">
        <v>0</v>
      </c>
      <c r="AN370" s="20">
        <v>0</v>
      </c>
      <c r="AO370" s="20">
        <v>0</v>
      </c>
      <c r="AP370" s="20">
        <v>0</v>
      </c>
      <c r="AR370" s="20">
        <v>0</v>
      </c>
      <c r="AS370" s="20">
        <v>0</v>
      </c>
      <c r="AT370" s="20">
        <v>506158.53</v>
      </c>
      <c r="AU370" s="20" t="s">
        <v>13</v>
      </c>
      <c r="AV370" s="20" t="s">
        <v>80</v>
      </c>
      <c r="AW370" s="20" t="s">
        <v>81</v>
      </c>
      <c r="AX370" s="20" t="s">
        <v>208</v>
      </c>
      <c r="AY370" s="20" t="s">
        <v>209</v>
      </c>
      <c r="AZ370" s="20">
        <v>0</v>
      </c>
      <c r="BA370" s="20">
        <v>8843</v>
      </c>
      <c r="BB370" s="20">
        <v>1250</v>
      </c>
      <c r="BC370" s="20" t="s">
        <v>3192</v>
      </c>
      <c r="BD370" s="20" t="s">
        <v>65</v>
      </c>
      <c r="BE370" s="20" t="s">
        <v>210</v>
      </c>
      <c r="BF370" s="20" t="s">
        <v>210</v>
      </c>
      <c r="BG370" s="20">
        <v>9</v>
      </c>
      <c r="BH370" s="20">
        <v>795.87</v>
      </c>
      <c r="BI370" s="20">
        <v>9</v>
      </c>
      <c r="BJ370" s="20">
        <v>795.87</v>
      </c>
      <c r="BK370" s="20">
        <v>0</v>
      </c>
      <c r="BL370" s="20">
        <v>0</v>
      </c>
      <c r="BM370" s="20">
        <v>0</v>
      </c>
      <c r="BN370" s="20">
        <v>602172107916</v>
      </c>
      <c r="BO370" s="111">
        <v>46263</v>
      </c>
      <c r="BP370" s="20">
        <v>0</v>
      </c>
    </row>
    <row r="371" spans="2:68">
      <c r="B371" s="20" t="s">
        <v>2165</v>
      </c>
      <c r="C371" s="20" t="s">
        <v>3192</v>
      </c>
      <c r="D371" s="20" t="s">
        <v>3692</v>
      </c>
      <c r="E371" s="20" t="s">
        <v>160</v>
      </c>
      <c r="F371" s="20" t="s">
        <v>17</v>
      </c>
      <c r="H371" s="20" t="s">
        <v>3693</v>
      </c>
      <c r="I371" s="20">
        <v>839</v>
      </c>
      <c r="J371" s="20">
        <v>839</v>
      </c>
      <c r="K371" s="20" t="s">
        <v>11</v>
      </c>
      <c r="L371" s="20">
        <v>839</v>
      </c>
      <c r="M371" s="20">
        <v>0</v>
      </c>
      <c r="N371" s="20">
        <v>839</v>
      </c>
      <c r="O371" s="20" t="s">
        <v>2156</v>
      </c>
      <c r="P371" s="20" t="s">
        <v>87</v>
      </c>
      <c r="Q371" s="20" t="s">
        <v>87</v>
      </c>
      <c r="R371" s="20" t="s">
        <v>3211</v>
      </c>
      <c r="S371" s="20" t="s">
        <v>3192</v>
      </c>
      <c r="T371" s="20" t="s">
        <v>206</v>
      </c>
      <c r="U371" s="20" t="s">
        <v>207</v>
      </c>
      <c r="V371" s="20" t="s">
        <v>3210</v>
      </c>
      <c r="W371" s="20">
        <v>176.86</v>
      </c>
      <c r="X371" s="20">
        <v>176.860002096497</v>
      </c>
      <c r="Y371" s="20" t="s">
        <v>3211</v>
      </c>
      <c r="Z371" s="20" t="s">
        <v>3192</v>
      </c>
      <c r="AB371" s="20" t="s">
        <v>212</v>
      </c>
      <c r="AD371" s="20" t="s">
        <v>213</v>
      </c>
      <c r="AE371" s="20" t="s">
        <v>212</v>
      </c>
      <c r="AF371" s="20">
        <v>0</v>
      </c>
      <c r="AG371" s="20">
        <v>0</v>
      </c>
      <c r="AH371" s="20">
        <v>0</v>
      </c>
      <c r="AI371" s="20">
        <v>0</v>
      </c>
      <c r="AJ371" s="20">
        <v>0</v>
      </c>
      <c r="AK371" s="20" t="s">
        <v>576</v>
      </c>
      <c r="AL371" s="20">
        <v>0</v>
      </c>
      <c r="AM371" s="20">
        <v>0</v>
      </c>
      <c r="AN371" s="20">
        <v>0</v>
      </c>
      <c r="AO371" s="20">
        <v>0</v>
      </c>
      <c r="AP371" s="20">
        <v>0</v>
      </c>
      <c r="AR371" s="20">
        <v>0</v>
      </c>
      <c r="AS371" s="20">
        <v>0</v>
      </c>
      <c r="AT371" s="20">
        <v>506158.53</v>
      </c>
      <c r="AU371" s="20" t="s">
        <v>13</v>
      </c>
      <c r="AV371" s="20" t="s">
        <v>80</v>
      </c>
      <c r="AW371" s="20" t="s">
        <v>81</v>
      </c>
      <c r="AX371" s="20" t="s">
        <v>208</v>
      </c>
      <c r="AY371" s="20" t="s">
        <v>209</v>
      </c>
      <c r="AZ371" s="20">
        <v>0</v>
      </c>
      <c r="BA371" s="20">
        <v>148385.54</v>
      </c>
      <c r="BB371" s="20">
        <v>1250</v>
      </c>
      <c r="BC371" s="20" t="s">
        <v>3192</v>
      </c>
      <c r="BD371" s="20" t="s">
        <v>65</v>
      </c>
      <c r="BE371" s="20" t="s">
        <v>210</v>
      </c>
      <c r="BF371" s="20" t="s">
        <v>210</v>
      </c>
      <c r="BG371" s="20">
        <v>9</v>
      </c>
      <c r="BH371" s="20">
        <v>13354.7</v>
      </c>
      <c r="BI371" s="20">
        <v>9</v>
      </c>
      <c r="BJ371" s="20">
        <v>13354.7</v>
      </c>
      <c r="BK371" s="20">
        <v>0</v>
      </c>
      <c r="BL371" s="20">
        <v>0</v>
      </c>
      <c r="BM371" s="20">
        <v>0</v>
      </c>
      <c r="BN371" s="20">
        <v>602172107916</v>
      </c>
      <c r="BO371" s="111">
        <v>46263</v>
      </c>
      <c r="BP371" s="20">
        <v>0</v>
      </c>
    </row>
    <row r="372" spans="2:68">
      <c r="B372" s="20" t="s">
        <v>2165</v>
      </c>
      <c r="C372" s="20" t="s">
        <v>3192</v>
      </c>
      <c r="D372" s="20" t="s">
        <v>3692</v>
      </c>
      <c r="E372" s="20" t="s">
        <v>23</v>
      </c>
      <c r="F372" s="20" t="s">
        <v>24</v>
      </c>
      <c r="H372" s="20" t="s">
        <v>3693</v>
      </c>
      <c r="I372" s="20">
        <v>15.4</v>
      </c>
      <c r="J372" s="20">
        <v>15.4</v>
      </c>
      <c r="K372" s="20" t="s">
        <v>11</v>
      </c>
      <c r="L372" s="20">
        <v>15.4</v>
      </c>
      <c r="M372" s="20">
        <v>0</v>
      </c>
      <c r="N372" s="20">
        <v>15.4</v>
      </c>
      <c r="O372" s="20" t="s">
        <v>2156</v>
      </c>
      <c r="P372" s="20" t="s">
        <v>87</v>
      </c>
      <c r="Q372" s="20" t="s">
        <v>87</v>
      </c>
      <c r="R372" s="20" t="s">
        <v>3211</v>
      </c>
      <c r="S372" s="20" t="s">
        <v>3192</v>
      </c>
      <c r="T372" s="20" t="s">
        <v>206</v>
      </c>
      <c r="U372" s="20" t="s">
        <v>207</v>
      </c>
      <c r="V372" s="20" t="s">
        <v>3210</v>
      </c>
      <c r="W372" s="20">
        <v>168.32</v>
      </c>
      <c r="X372" s="20">
        <v>168.32000199526399</v>
      </c>
      <c r="Y372" s="20" t="s">
        <v>3211</v>
      </c>
      <c r="Z372" s="20" t="s">
        <v>3192</v>
      </c>
      <c r="AB372" s="20" t="s">
        <v>212</v>
      </c>
      <c r="AD372" s="20" t="s">
        <v>213</v>
      </c>
      <c r="AE372" s="20" t="s">
        <v>212</v>
      </c>
      <c r="AF372" s="20">
        <v>0</v>
      </c>
      <c r="AG372" s="20">
        <v>0</v>
      </c>
      <c r="AH372" s="20">
        <v>0</v>
      </c>
      <c r="AI372" s="20">
        <v>0</v>
      </c>
      <c r="AJ372" s="20">
        <v>0</v>
      </c>
      <c r="AK372" s="20" t="s">
        <v>576</v>
      </c>
      <c r="AL372" s="20">
        <v>0</v>
      </c>
      <c r="AM372" s="20">
        <v>0</v>
      </c>
      <c r="AN372" s="20">
        <v>0</v>
      </c>
      <c r="AO372" s="20">
        <v>0</v>
      </c>
      <c r="AP372" s="20">
        <v>0</v>
      </c>
      <c r="AR372" s="20">
        <v>0</v>
      </c>
      <c r="AS372" s="20">
        <v>0</v>
      </c>
      <c r="AT372" s="20">
        <v>506158.53</v>
      </c>
      <c r="AU372" s="20" t="s">
        <v>13</v>
      </c>
      <c r="AV372" s="20" t="s">
        <v>24</v>
      </c>
      <c r="AW372" s="20" t="s">
        <v>79</v>
      </c>
      <c r="AX372" s="20" t="s">
        <v>208</v>
      </c>
      <c r="AY372" s="20" t="s">
        <v>209</v>
      </c>
      <c r="AZ372" s="20">
        <v>0</v>
      </c>
      <c r="BA372" s="20">
        <v>2592.13</v>
      </c>
      <c r="BB372" s="20">
        <v>1250</v>
      </c>
      <c r="BC372" s="20" t="s">
        <v>3192</v>
      </c>
      <c r="BD372" s="20" t="s">
        <v>65</v>
      </c>
      <c r="BE372" s="20" t="s">
        <v>210</v>
      </c>
      <c r="BF372" s="20" t="s">
        <v>210</v>
      </c>
      <c r="BG372" s="20">
        <v>9</v>
      </c>
      <c r="BH372" s="20">
        <v>233.29</v>
      </c>
      <c r="BI372" s="20">
        <v>9</v>
      </c>
      <c r="BJ372" s="20">
        <v>233.29</v>
      </c>
      <c r="BK372" s="20">
        <v>0</v>
      </c>
      <c r="BL372" s="20">
        <v>0</v>
      </c>
      <c r="BM372" s="20">
        <v>0</v>
      </c>
      <c r="BN372" s="20">
        <v>602172107916</v>
      </c>
      <c r="BO372" s="111">
        <v>46263</v>
      </c>
      <c r="BP372" s="20">
        <v>0</v>
      </c>
    </row>
    <row r="373" spans="2:68">
      <c r="B373" s="20" t="s">
        <v>2165</v>
      </c>
      <c r="C373" s="20" t="s">
        <v>3192</v>
      </c>
      <c r="D373" s="20" t="s">
        <v>3692</v>
      </c>
      <c r="E373" s="20" t="s">
        <v>23</v>
      </c>
      <c r="F373" s="20" t="s">
        <v>24</v>
      </c>
      <c r="H373" s="20" t="s">
        <v>3693</v>
      </c>
      <c r="I373" s="20">
        <v>704</v>
      </c>
      <c r="J373" s="20">
        <v>704</v>
      </c>
      <c r="K373" s="20" t="s">
        <v>11</v>
      </c>
      <c r="L373" s="20">
        <v>704</v>
      </c>
      <c r="M373" s="20">
        <v>0</v>
      </c>
      <c r="N373" s="20">
        <v>704</v>
      </c>
      <c r="O373" s="20" t="s">
        <v>2156</v>
      </c>
      <c r="P373" s="20" t="s">
        <v>87</v>
      </c>
      <c r="Q373" s="20" t="s">
        <v>87</v>
      </c>
      <c r="R373" s="20" t="s">
        <v>3211</v>
      </c>
      <c r="S373" s="20" t="s">
        <v>3192</v>
      </c>
      <c r="T373" s="20" t="s">
        <v>206</v>
      </c>
      <c r="U373" s="20" t="s">
        <v>207</v>
      </c>
      <c r="V373" s="20" t="s">
        <v>3210</v>
      </c>
      <c r="W373" s="20">
        <v>147.32</v>
      </c>
      <c r="X373" s="20">
        <v>147.32000174633001</v>
      </c>
      <c r="Y373" s="20" t="s">
        <v>3211</v>
      </c>
      <c r="Z373" s="20" t="s">
        <v>3192</v>
      </c>
      <c r="AB373" s="20" t="s">
        <v>212</v>
      </c>
      <c r="AD373" s="20" t="s">
        <v>213</v>
      </c>
      <c r="AE373" s="20" t="s">
        <v>212</v>
      </c>
      <c r="AF373" s="20">
        <v>0</v>
      </c>
      <c r="AG373" s="20">
        <v>0</v>
      </c>
      <c r="AH373" s="20">
        <v>0</v>
      </c>
      <c r="AI373" s="20">
        <v>0</v>
      </c>
      <c r="AJ373" s="20">
        <v>0</v>
      </c>
      <c r="AK373" s="20" t="s">
        <v>576</v>
      </c>
      <c r="AL373" s="20">
        <v>0</v>
      </c>
      <c r="AM373" s="20">
        <v>0</v>
      </c>
      <c r="AN373" s="20">
        <v>0</v>
      </c>
      <c r="AO373" s="20">
        <v>0</v>
      </c>
      <c r="AP373" s="20">
        <v>0</v>
      </c>
      <c r="AR373" s="20">
        <v>0</v>
      </c>
      <c r="AS373" s="20">
        <v>0</v>
      </c>
      <c r="AT373" s="20">
        <v>506158.53</v>
      </c>
      <c r="AU373" s="20" t="s">
        <v>13</v>
      </c>
      <c r="AV373" s="20" t="s">
        <v>24</v>
      </c>
      <c r="AW373" s="20" t="s">
        <v>79</v>
      </c>
      <c r="AX373" s="20" t="s">
        <v>208</v>
      </c>
      <c r="AY373" s="20" t="s">
        <v>209</v>
      </c>
      <c r="AZ373" s="20">
        <v>0</v>
      </c>
      <c r="BA373" s="20">
        <v>103713.28</v>
      </c>
      <c r="BB373" s="20">
        <v>1250</v>
      </c>
      <c r="BC373" s="20" t="s">
        <v>3192</v>
      </c>
      <c r="BD373" s="20" t="s">
        <v>65</v>
      </c>
      <c r="BE373" s="20" t="s">
        <v>210</v>
      </c>
      <c r="BF373" s="20" t="s">
        <v>210</v>
      </c>
      <c r="BG373" s="20">
        <v>9</v>
      </c>
      <c r="BH373" s="20">
        <v>9334.2000000000007</v>
      </c>
      <c r="BI373" s="20">
        <v>9</v>
      </c>
      <c r="BJ373" s="20">
        <v>9334.2000000000007</v>
      </c>
      <c r="BK373" s="20">
        <v>0</v>
      </c>
      <c r="BL373" s="20">
        <v>0</v>
      </c>
      <c r="BM373" s="20">
        <v>0</v>
      </c>
      <c r="BN373" s="20">
        <v>602172107916</v>
      </c>
      <c r="BO373" s="111">
        <v>46263</v>
      </c>
      <c r="BP373" s="20">
        <v>0</v>
      </c>
    </row>
    <row r="374" spans="2:68">
      <c r="B374" s="20" t="s">
        <v>2165</v>
      </c>
      <c r="C374" s="20" t="s">
        <v>3192</v>
      </c>
      <c r="D374" s="20" t="s">
        <v>3692</v>
      </c>
      <c r="E374" s="20" t="s">
        <v>23</v>
      </c>
      <c r="F374" s="20" t="s">
        <v>24</v>
      </c>
      <c r="H374" s="20" t="s">
        <v>3693</v>
      </c>
      <c r="I374" s="20">
        <v>709.3</v>
      </c>
      <c r="J374" s="20">
        <v>709.3</v>
      </c>
      <c r="K374" s="20" t="s">
        <v>11</v>
      </c>
      <c r="L374" s="20">
        <v>709.3</v>
      </c>
      <c r="M374" s="20">
        <v>0</v>
      </c>
      <c r="N374" s="20">
        <v>709.3</v>
      </c>
      <c r="O374" s="20" t="s">
        <v>2156</v>
      </c>
      <c r="P374" s="20" t="s">
        <v>87</v>
      </c>
      <c r="Q374" s="20" t="s">
        <v>87</v>
      </c>
      <c r="R374" s="20" t="s">
        <v>3211</v>
      </c>
      <c r="S374" s="20" t="s">
        <v>3192</v>
      </c>
      <c r="T374" s="20" t="s">
        <v>206</v>
      </c>
      <c r="U374" s="20" t="s">
        <v>207</v>
      </c>
      <c r="V374" s="20" t="s">
        <v>3210</v>
      </c>
      <c r="W374" s="20">
        <v>144.32</v>
      </c>
      <c r="X374" s="20">
        <v>144.320001710768</v>
      </c>
      <c r="Y374" s="20" t="s">
        <v>3211</v>
      </c>
      <c r="Z374" s="20" t="s">
        <v>3192</v>
      </c>
      <c r="AB374" s="20" t="s">
        <v>212</v>
      </c>
      <c r="AD374" s="20" t="s">
        <v>213</v>
      </c>
      <c r="AE374" s="20" t="s">
        <v>212</v>
      </c>
      <c r="AF374" s="20">
        <v>0</v>
      </c>
      <c r="AG374" s="20">
        <v>0</v>
      </c>
      <c r="AH374" s="20">
        <v>0</v>
      </c>
      <c r="AI374" s="20">
        <v>0</v>
      </c>
      <c r="AJ374" s="20">
        <v>0</v>
      </c>
      <c r="AK374" s="20" t="s">
        <v>576</v>
      </c>
      <c r="AL374" s="20">
        <v>0</v>
      </c>
      <c r="AM374" s="20">
        <v>0</v>
      </c>
      <c r="AN374" s="20">
        <v>0</v>
      </c>
      <c r="AO374" s="20">
        <v>0</v>
      </c>
      <c r="AP374" s="20">
        <v>0</v>
      </c>
      <c r="AR374" s="20">
        <v>0</v>
      </c>
      <c r="AS374" s="20">
        <v>0</v>
      </c>
      <c r="AT374" s="20">
        <v>506158.53</v>
      </c>
      <c r="AU374" s="20" t="s">
        <v>13</v>
      </c>
      <c r="AV374" s="20" t="s">
        <v>24</v>
      </c>
      <c r="AW374" s="20" t="s">
        <v>79</v>
      </c>
      <c r="AX374" s="20" t="s">
        <v>208</v>
      </c>
      <c r="AY374" s="20" t="s">
        <v>209</v>
      </c>
      <c r="AZ374" s="20">
        <v>0</v>
      </c>
      <c r="BA374" s="20">
        <v>102366.18</v>
      </c>
      <c r="BB374" s="20">
        <v>1250</v>
      </c>
      <c r="BC374" s="20" t="s">
        <v>3192</v>
      </c>
      <c r="BD374" s="20" t="s">
        <v>65</v>
      </c>
      <c r="BE374" s="20" t="s">
        <v>210</v>
      </c>
      <c r="BF374" s="20" t="s">
        <v>210</v>
      </c>
      <c r="BG374" s="20">
        <v>9</v>
      </c>
      <c r="BH374" s="20">
        <v>9212.9599999999991</v>
      </c>
      <c r="BI374" s="20">
        <v>9</v>
      </c>
      <c r="BJ374" s="20">
        <v>9212.9599999999991</v>
      </c>
      <c r="BK374" s="20">
        <v>0</v>
      </c>
      <c r="BL374" s="20">
        <v>0</v>
      </c>
      <c r="BM374" s="20">
        <v>0</v>
      </c>
      <c r="BN374" s="20">
        <v>602172107916</v>
      </c>
      <c r="BO374" s="111">
        <v>46263</v>
      </c>
      <c r="BP374" s="20">
        <v>0</v>
      </c>
    </row>
    <row r="375" spans="2:68">
      <c r="B375" s="20" t="s">
        <v>2165</v>
      </c>
      <c r="C375" s="20" t="s">
        <v>3192</v>
      </c>
      <c r="D375" s="20" t="s">
        <v>3694</v>
      </c>
      <c r="E375" s="20" t="s">
        <v>20</v>
      </c>
      <c r="F375" s="20" t="s">
        <v>21</v>
      </c>
      <c r="H375" s="20" t="s">
        <v>3695</v>
      </c>
      <c r="I375" s="20">
        <v>546</v>
      </c>
      <c r="J375" s="20">
        <v>546</v>
      </c>
      <c r="K375" s="20" t="s">
        <v>11</v>
      </c>
      <c r="L375" s="20">
        <v>546</v>
      </c>
      <c r="M375" s="20">
        <v>0</v>
      </c>
      <c r="N375" s="20">
        <v>546</v>
      </c>
      <c r="O375" s="20" t="s">
        <v>2397</v>
      </c>
      <c r="P375" s="20" t="s">
        <v>87</v>
      </c>
      <c r="Q375" s="20" t="s">
        <v>87</v>
      </c>
      <c r="R375" s="20" t="s">
        <v>3213</v>
      </c>
      <c r="S375" s="20" t="s">
        <v>3192</v>
      </c>
      <c r="T375" s="20" t="s">
        <v>206</v>
      </c>
      <c r="U375" s="20" t="s">
        <v>207</v>
      </c>
      <c r="V375" s="20" t="s">
        <v>3212</v>
      </c>
      <c r="W375" s="20">
        <v>149.32</v>
      </c>
      <c r="X375" s="20">
        <v>149.32</v>
      </c>
      <c r="Y375" s="20" t="s">
        <v>3213</v>
      </c>
      <c r="Z375" s="20" t="s">
        <v>3192</v>
      </c>
      <c r="AB375" s="20" t="s">
        <v>212</v>
      </c>
      <c r="AD375" s="20" t="s">
        <v>213</v>
      </c>
      <c r="AE375" s="20" t="s">
        <v>212</v>
      </c>
      <c r="AF375" s="20">
        <v>0</v>
      </c>
      <c r="AG375" s="20">
        <v>0</v>
      </c>
      <c r="AH375" s="20">
        <v>0</v>
      </c>
      <c r="AI375" s="20">
        <v>0</v>
      </c>
      <c r="AJ375" s="20">
        <v>0</v>
      </c>
      <c r="AK375" s="20" t="s">
        <v>576</v>
      </c>
      <c r="AL375" s="20">
        <v>0</v>
      </c>
      <c r="AM375" s="20">
        <v>0</v>
      </c>
      <c r="AN375" s="20">
        <v>0</v>
      </c>
      <c r="AO375" s="20">
        <v>0</v>
      </c>
      <c r="AP375" s="20">
        <v>0</v>
      </c>
      <c r="AR375" s="20">
        <v>0</v>
      </c>
      <c r="AS375" s="20">
        <v>0</v>
      </c>
      <c r="AT375" s="20">
        <v>96203.88</v>
      </c>
      <c r="AU375" s="20" t="s">
        <v>13</v>
      </c>
      <c r="AV375" s="20" t="s">
        <v>62</v>
      </c>
      <c r="AW375" s="20" t="s">
        <v>76</v>
      </c>
      <c r="AX375" s="20" t="s">
        <v>208</v>
      </c>
      <c r="AY375" s="20" t="s">
        <v>209</v>
      </c>
      <c r="AZ375" s="20">
        <v>0</v>
      </c>
      <c r="BA375" s="20">
        <v>81528.72</v>
      </c>
      <c r="BB375" s="20">
        <v>1253</v>
      </c>
      <c r="BC375" s="20" t="s">
        <v>3192</v>
      </c>
      <c r="BD375" s="20" t="s">
        <v>65</v>
      </c>
      <c r="BE375" s="20" t="s">
        <v>210</v>
      </c>
      <c r="BF375" s="20" t="s">
        <v>210</v>
      </c>
      <c r="BG375" s="20">
        <v>9</v>
      </c>
      <c r="BH375" s="20">
        <v>7337.58</v>
      </c>
      <c r="BI375" s="20">
        <v>9</v>
      </c>
      <c r="BJ375" s="20">
        <v>7337.58</v>
      </c>
      <c r="BK375" s="20">
        <v>0</v>
      </c>
      <c r="BL375" s="20">
        <v>0</v>
      </c>
      <c r="BM375" s="20">
        <v>96203.88</v>
      </c>
      <c r="BN375" s="20">
        <v>682172319672</v>
      </c>
      <c r="BO375" s="111">
        <v>46263</v>
      </c>
      <c r="BP375" s="20">
        <v>0</v>
      </c>
    </row>
    <row r="376" spans="2:68">
      <c r="B376" s="20" t="s">
        <v>2165</v>
      </c>
      <c r="C376" s="20" t="s">
        <v>3220</v>
      </c>
      <c r="D376" s="20" t="s">
        <v>3696</v>
      </c>
      <c r="E376" s="20" t="s">
        <v>390</v>
      </c>
      <c r="F376" s="20" t="s">
        <v>385</v>
      </c>
      <c r="H376" s="20" t="s">
        <v>3697</v>
      </c>
      <c r="I376" s="20">
        <v>890</v>
      </c>
      <c r="J376" s="20">
        <v>890</v>
      </c>
      <c r="K376" s="20" t="s">
        <v>11</v>
      </c>
      <c r="L376" s="20">
        <v>890</v>
      </c>
      <c r="M376" s="20">
        <v>0</v>
      </c>
      <c r="N376" s="20">
        <v>890</v>
      </c>
      <c r="O376" s="20" t="s">
        <v>3624</v>
      </c>
      <c r="P376" s="20" t="s">
        <v>103</v>
      </c>
      <c r="Q376" s="20" t="s">
        <v>103</v>
      </c>
      <c r="R376" s="20" t="s">
        <v>3222</v>
      </c>
      <c r="S376" s="20" t="s">
        <v>3173</v>
      </c>
      <c r="T376" s="20" t="s">
        <v>206</v>
      </c>
      <c r="U376" s="20" t="s">
        <v>207</v>
      </c>
      <c r="V376" s="20" t="s">
        <v>3221</v>
      </c>
      <c r="W376" s="20">
        <v>170.95</v>
      </c>
      <c r="X376" s="20">
        <v>170.95</v>
      </c>
      <c r="Y376" s="20" t="s">
        <v>3222</v>
      </c>
      <c r="Z376" s="20" t="s">
        <v>3173</v>
      </c>
      <c r="AB376" s="20" t="s">
        <v>212</v>
      </c>
      <c r="AD376" s="20" t="s">
        <v>213</v>
      </c>
      <c r="AE376" s="20" t="s">
        <v>212</v>
      </c>
      <c r="AF376" s="20">
        <v>0</v>
      </c>
      <c r="AG376" s="20">
        <v>0</v>
      </c>
      <c r="AH376" s="20">
        <v>0</v>
      </c>
      <c r="AI376" s="20">
        <v>0</v>
      </c>
      <c r="AJ376" s="20">
        <v>0</v>
      </c>
      <c r="AK376" s="20" t="s">
        <v>576</v>
      </c>
      <c r="AL376" s="20">
        <v>0</v>
      </c>
      <c r="AM376" s="20">
        <v>0</v>
      </c>
      <c r="AN376" s="20">
        <v>0</v>
      </c>
      <c r="AO376" s="20">
        <v>0</v>
      </c>
      <c r="AP376" s="20">
        <v>0</v>
      </c>
      <c r="AR376" s="20">
        <v>0</v>
      </c>
      <c r="AS376" s="20">
        <v>0</v>
      </c>
      <c r="AT376" s="20">
        <v>152145.5</v>
      </c>
      <c r="AU376" s="20" t="s">
        <v>13</v>
      </c>
      <c r="AV376" s="20" t="s">
        <v>80</v>
      </c>
      <c r="AW376" s="20" t="s">
        <v>81</v>
      </c>
      <c r="AX376" s="20" t="s">
        <v>208</v>
      </c>
      <c r="AY376" s="20" t="s">
        <v>209</v>
      </c>
      <c r="AZ376" s="20">
        <v>0</v>
      </c>
      <c r="BA376" s="20">
        <v>152145.5</v>
      </c>
      <c r="BB376" s="20">
        <v>20</v>
      </c>
      <c r="BC376" s="20" t="s">
        <v>3220</v>
      </c>
      <c r="BD376" s="20" t="s">
        <v>104</v>
      </c>
      <c r="BE376" s="20" t="s">
        <v>210</v>
      </c>
      <c r="BF376" s="20" t="s">
        <v>210</v>
      </c>
      <c r="BG376" s="20">
        <v>0</v>
      </c>
      <c r="BH376" s="20">
        <v>0</v>
      </c>
      <c r="BI376" s="20">
        <v>0</v>
      </c>
      <c r="BJ376" s="20">
        <v>0</v>
      </c>
      <c r="BK376" s="20">
        <v>0</v>
      </c>
      <c r="BL376" s="20">
        <v>0</v>
      </c>
      <c r="BM376" s="20">
        <v>152145.5</v>
      </c>
      <c r="BN376" s="20">
        <v>642171416237</v>
      </c>
      <c r="BO376" s="111">
        <v>46261</v>
      </c>
      <c r="BP376" s="20">
        <v>0</v>
      </c>
    </row>
    <row r="377" spans="2:68">
      <c r="B377" s="20" t="s">
        <v>2165</v>
      </c>
      <c r="C377" s="20" t="s">
        <v>3220</v>
      </c>
      <c r="D377" s="20" t="s">
        <v>3698</v>
      </c>
      <c r="E377" s="20" t="s">
        <v>3488</v>
      </c>
      <c r="F377" s="20" t="s">
        <v>2760</v>
      </c>
      <c r="H377" s="20" t="s">
        <v>3699</v>
      </c>
      <c r="I377" s="20">
        <v>3593.8</v>
      </c>
      <c r="J377" s="20">
        <v>3593.8</v>
      </c>
      <c r="K377" s="20" t="s">
        <v>11</v>
      </c>
      <c r="L377" s="20">
        <v>3593.8</v>
      </c>
      <c r="M377" s="20">
        <v>0</v>
      </c>
      <c r="N377" s="20">
        <v>3593.8</v>
      </c>
      <c r="O377" s="20" t="s">
        <v>3700</v>
      </c>
      <c r="P377" s="20" t="s">
        <v>103</v>
      </c>
      <c r="Q377" s="20" t="s">
        <v>103</v>
      </c>
      <c r="R377" s="20" t="s">
        <v>3224</v>
      </c>
      <c r="S377" s="20" t="s">
        <v>3192</v>
      </c>
      <c r="T377" s="20" t="s">
        <v>206</v>
      </c>
      <c r="U377" s="20" t="s">
        <v>207</v>
      </c>
      <c r="V377" s="20" t="s">
        <v>3223</v>
      </c>
      <c r="W377" s="20">
        <v>174.21</v>
      </c>
      <c r="X377" s="20">
        <v>174.21000055651399</v>
      </c>
      <c r="Y377" s="20" t="s">
        <v>3224</v>
      </c>
      <c r="Z377" s="20" t="s">
        <v>3192</v>
      </c>
      <c r="AB377" s="20" t="s">
        <v>2290</v>
      </c>
      <c r="AD377" s="20" t="s">
        <v>2290</v>
      </c>
      <c r="AE377" s="20" t="s">
        <v>2290</v>
      </c>
      <c r="AF377" s="20">
        <v>0</v>
      </c>
      <c r="AG377" s="20">
        <v>0</v>
      </c>
      <c r="AH377" s="20">
        <v>0</v>
      </c>
      <c r="AI377" s="20">
        <v>0</v>
      </c>
      <c r="AJ377" s="20">
        <v>0</v>
      </c>
      <c r="AK377" s="20" t="s">
        <v>576</v>
      </c>
      <c r="AL377" s="20">
        <v>0</v>
      </c>
      <c r="AM377" s="20">
        <v>0</v>
      </c>
      <c r="AN377" s="20">
        <v>0</v>
      </c>
      <c r="AO377" s="20">
        <v>0</v>
      </c>
      <c r="AP377" s="20">
        <v>0</v>
      </c>
      <c r="AR377" s="20">
        <v>0</v>
      </c>
      <c r="AS377" s="20">
        <v>0</v>
      </c>
      <c r="AT377" s="20">
        <v>626075.9</v>
      </c>
      <c r="AU377" s="20" t="s">
        <v>15</v>
      </c>
      <c r="AV377" s="20" t="s">
        <v>2758</v>
      </c>
      <c r="AW377" s="20" t="s">
        <v>2759</v>
      </c>
      <c r="AX377" s="20" t="s">
        <v>208</v>
      </c>
      <c r="AY377" s="20" t="s">
        <v>209</v>
      </c>
      <c r="AZ377" s="20">
        <v>0</v>
      </c>
      <c r="BA377" s="20">
        <v>626075.9</v>
      </c>
      <c r="BB377" s="20">
        <v>21</v>
      </c>
      <c r="BC377" s="20" t="s">
        <v>3220</v>
      </c>
      <c r="BD377" s="20" t="s">
        <v>104</v>
      </c>
      <c r="BE377" s="20" t="s">
        <v>210</v>
      </c>
      <c r="BF377" s="20" t="s">
        <v>210</v>
      </c>
      <c r="BG377" s="20">
        <v>0</v>
      </c>
      <c r="BH377" s="20">
        <v>0</v>
      </c>
      <c r="BI377" s="20">
        <v>0</v>
      </c>
      <c r="BJ377" s="20">
        <v>0</v>
      </c>
      <c r="BK377" s="20">
        <v>0</v>
      </c>
      <c r="BL377" s="20">
        <v>0</v>
      </c>
      <c r="BM377" s="20">
        <v>626075.9</v>
      </c>
      <c r="BN377" s="20">
        <v>602172376756</v>
      </c>
      <c r="BO377" s="111">
        <v>46263</v>
      </c>
      <c r="BP377" s="20">
        <v>0</v>
      </c>
    </row>
    <row r="378" spans="2:68">
      <c r="B378" s="20" t="s">
        <v>2165</v>
      </c>
      <c r="C378" s="20" t="s">
        <v>3220</v>
      </c>
      <c r="D378" s="20" t="s">
        <v>3701</v>
      </c>
      <c r="E378" s="20" t="s">
        <v>160</v>
      </c>
      <c r="F378" s="20" t="s">
        <v>17</v>
      </c>
      <c r="H378" s="20" t="s">
        <v>3702</v>
      </c>
      <c r="I378" s="20">
        <v>1208</v>
      </c>
      <c r="J378" s="20">
        <v>1208</v>
      </c>
      <c r="K378" s="20" t="s">
        <v>11</v>
      </c>
      <c r="L378" s="20">
        <v>1208</v>
      </c>
      <c r="M378" s="20">
        <v>0</v>
      </c>
      <c r="N378" s="20">
        <v>1208</v>
      </c>
      <c r="O378" s="20" t="s">
        <v>2397</v>
      </c>
      <c r="P378" s="20" t="s">
        <v>87</v>
      </c>
      <c r="Q378" s="20" t="s">
        <v>87</v>
      </c>
      <c r="R378" s="20" t="s">
        <v>3228</v>
      </c>
      <c r="S378" s="20" t="s">
        <v>3192</v>
      </c>
      <c r="T378" s="20" t="s">
        <v>206</v>
      </c>
      <c r="U378" s="20" t="s">
        <v>207</v>
      </c>
      <c r="V378" s="20" t="s">
        <v>3227</v>
      </c>
      <c r="W378" s="20">
        <v>176.86</v>
      </c>
      <c r="X378" s="20">
        <v>176.86</v>
      </c>
      <c r="Y378" s="20" t="s">
        <v>3228</v>
      </c>
      <c r="Z378" s="20" t="s">
        <v>3192</v>
      </c>
      <c r="AB378" s="20" t="s">
        <v>2290</v>
      </c>
      <c r="AD378" s="20" t="s">
        <v>2290</v>
      </c>
      <c r="AE378" s="20" t="s">
        <v>2290</v>
      </c>
      <c r="AF378" s="20">
        <v>0</v>
      </c>
      <c r="AG378" s="20">
        <v>0</v>
      </c>
      <c r="AH378" s="20">
        <v>0</v>
      </c>
      <c r="AI378" s="20">
        <v>0</v>
      </c>
      <c r="AJ378" s="20">
        <v>0</v>
      </c>
      <c r="AK378" s="20" t="s">
        <v>576</v>
      </c>
      <c r="AL378" s="20">
        <v>0</v>
      </c>
      <c r="AM378" s="20">
        <v>0</v>
      </c>
      <c r="AN378" s="20">
        <v>0</v>
      </c>
      <c r="AO378" s="20">
        <v>0</v>
      </c>
      <c r="AP378" s="20">
        <v>0</v>
      </c>
      <c r="AR378" s="20">
        <v>0</v>
      </c>
      <c r="AS378" s="20">
        <v>0</v>
      </c>
      <c r="AT378" s="20">
        <v>252103.32</v>
      </c>
      <c r="AU378" s="20" t="s">
        <v>13</v>
      </c>
      <c r="AV378" s="20" t="s">
        <v>80</v>
      </c>
      <c r="AW378" s="20" t="s">
        <v>81</v>
      </c>
      <c r="AX378" s="20" t="s">
        <v>208</v>
      </c>
      <c r="AY378" s="20" t="s">
        <v>209</v>
      </c>
      <c r="AZ378" s="20">
        <v>0</v>
      </c>
      <c r="BA378" s="20">
        <v>213646.88</v>
      </c>
      <c r="BB378" s="20">
        <v>1254</v>
      </c>
      <c r="BC378" s="20" t="s">
        <v>3220</v>
      </c>
      <c r="BD378" s="20" t="s">
        <v>65</v>
      </c>
      <c r="BE378" s="20" t="s">
        <v>210</v>
      </c>
      <c r="BF378" s="20" t="s">
        <v>210</v>
      </c>
      <c r="BG378" s="20">
        <v>9</v>
      </c>
      <c r="BH378" s="20">
        <v>19228.22</v>
      </c>
      <c r="BI378" s="20">
        <v>9</v>
      </c>
      <c r="BJ378" s="20">
        <v>19228.22</v>
      </c>
      <c r="BK378" s="20">
        <v>0</v>
      </c>
      <c r="BL378" s="20">
        <v>0</v>
      </c>
      <c r="BM378" s="20">
        <v>252103.32</v>
      </c>
      <c r="BN378" s="20">
        <v>692172457381</v>
      </c>
      <c r="BO378" s="111">
        <v>46263</v>
      </c>
      <c r="BP378" s="20">
        <v>0</v>
      </c>
    </row>
    <row r="379" spans="2:68">
      <c r="B379" s="20" t="s">
        <v>2165</v>
      </c>
      <c r="C379" s="20" t="s">
        <v>3220</v>
      </c>
      <c r="D379" s="20" t="s">
        <v>3703</v>
      </c>
      <c r="E379" s="20" t="s">
        <v>18</v>
      </c>
      <c r="F379" s="20" t="s">
        <v>19</v>
      </c>
      <c r="H379" s="20" t="s">
        <v>3704</v>
      </c>
      <c r="I379" s="20">
        <v>8120</v>
      </c>
      <c r="J379" s="20">
        <v>8120</v>
      </c>
      <c r="K379" s="20" t="s">
        <v>11</v>
      </c>
      <c r="L379" s="20">
        <v>8120</v>
      </c>
      <c r="M379" s="20">
        <v>0</v>
      </c>
      <c r="N379" s="20">
        <v>8120</v>
      </c>
      <c r="O379" s="20" t="s">
        <v>2154</v>
      </c>
      <c r="P379" s="20" t="s">
        <v>87</v>
      </c>
      <c r="Q379" s="20" t="s">
        <v>87</v>
      </c>
      <c r="R379" s="20" t="s">
        <v>3230</v>
      </c>
      <c r="S379" s="20" t="s">
        <v>3220</v>
      </c>
      <c r="T379" s="20" t="s">
        <v>206</v>
      </c>
      <c r="U379" s="20" t="s">
        <v>207</v>
      </c>
      <c r="V379" s="20" t="s">
        <v>3229</v>
      </c>
      <c r="W379" s="20">
        <v>142.32</v>
      </c>
      <c r="X379" s="20">
        <v>142.32</v>
      </c>
      <c r="Y379" s="20" t="s">
        <v>3230</v>
      </c>
      <c r="Z379" s="20" t="s">
        <v>3220</v>
      </c>
      <c r="AB379" s="20" t="s">
        <v>2290</v>
      </c>
      <c r="AD379" s="20" t="s">
        <v>2290</v>
      </c>
      <c r="AE379" s="20" t="s">
        <v>2290</v>
      </c>
      <c r="AF379" s="20">
        <v>0</v>
      </c>
      <c r="AG379" s="20">
        <v>0</v>
      </c>
      <c r="AH379" s="20">
        <v>0</v>
      </c>
      <c r="AI379" s="20">
        <v>0</v>
      </c>
      <c r="AJ379" s="20">
        <v>0</v>
      </c>
      <c r="AK379" s="20" t="s">
        <v>576</v>
      </c>
      <c r="AL379" s="20">
        <v>0</v>
      </c>
      <c r="AM379" s="20">
        <v>0</v>
      </c>
      <c r="AN379" s="20">
        <v>0</v>
      </c>
      <c r="AO379" s="20">
        <v>0</v>
      </c>
      <c r="AP379" s="20">
        <v>0</v>
      </c>
      <c r="AR379" s="20">
        <v>0</v>
      </c>
      <c r="AS379" s="20">
        <v>0</v>
      </c>
      <c r="AT379" s="20">
        <v>1721842.8</v>
      </c>
      <c r="AU379" s="20" t="s">
        <v>13</v>
      </c>
      <c r="AV379" s="20" t="s">
        <v>62</v>
      </c>
      <c r="AW379" s="20" t="s">
        <v>63</v>
      </c>
      <c r="AX379" s="20" t="s">
        <v>208</v>
      </c>
      <c r="AY379" s="20" t="s">
        <v>209</v>
      </c>
      <c r="AZ379" s="20">
        <v>0</v>
      </c>
      <c r="BA379" s="20">
        <v>1155638.3999999999</v>
      </c>
      <c r="BB379" s="20">
        <v>1255</v>
      </c>
      <c r="BC379" s="20" t="s">
        <v>3220</v>
      </c>
      <c r="BD379" s="20" t="s">
        <v>65</v>
      </c>
      <c r="BE379" s="20" t="s">
        <v>210</v>
      </c>
      <c r="BF379" s="20" t="s">
        <v>210</v>
      </c>
      <c r="BG379" s="20">
        <v>9</v>
      </c>
      <c r="BH379" s="20">
        <v>104007.46</v>
      </c>
      <c r="BI379" s="20">
        <v>9</v>
      </c>
      <c r="BJ379" s="20">
        <v>104007.46</v>
      </c>
      <c r="BK379" s="20">
        <v>0</v>
      </c>
      <c r="BL379" s="20">
        <v>0</v>
      </c>
      <c r="BM379" s="20">
        <v>1721842.8</v>
      </c>
      <c r="BN379" s="20">
        <v>642172682431</v>
      </c>
      <c r="BO379" s="111">
        <v>46264</v>
      </c>
      <c r="BP379" s="20">
        <v>0</v>
      </c>
    </row>
    <row r="380" spans="2:68">
      <c r="B380" s="20" t="s">
        <v>2165</v>
      </c>
      <c r="C380" s="20" t="s">
        <v>3220</v>
      </c>
      <c r="D380" s="20" t="s">
        <v>3703</v>
      </c>
      <c r="E380" s="20" t="s">
        <v>18</v>
      </c>
      <c r="F380" s="20" t="s">
        <v>19</v>
      </c>
      <c r="H380" s="20" t="s">
        <v>3704</v>
      </c>
      <c r="I380" s="20">
        <v>1200</v>
      </c>
      <c r="J380" s="20">
        <v>1200</v>
      </c>
      <c r="K380" s="20" t="s">
        <v>11</v>
      </c>
      <c r="L380" s="20">
        <v>1200</v>
      </c>
      <c r="M380" s="20">
        <v>0</v>
      </c>
      <c r="N380" s="20">
        <v>1200</v>
      </c>
      <c r="O380" s="20" t="s">
        <v>2154</v>
      </c>
      <c r="P380" s="20" t="s">
        <v>87</v>
      </c>
      <c r="Q380" s="20" t="s">
        <v>87</v>
      </c>
      <c r="R380" s="20" t="s">
        <v>3230</v>
      </c>
      <c r="S380" s="20" t="s">
        <v>3220</v>
      </c>
      <c r="T380" s="20" t="s">
        <v>206</v>
      </c>
      <c r="U380" s="20" t="s">
        <v>207</v>
      </c>
      <c r="V380" s="20" t="s">
        <v>3229</v>
      </c>
      <c r="W380" s="20">
        <v>145.32</v>
      </c>
      <c r="X380" s="20">
        <v>145.32</v>
      </c>
      <c r="Y380" s="20" t="s">
        <v>3230</v>
      </c>
      <c r="Z380" s="20" t="s">
        <v>3220</v>
      </c>
      <c r="AB380" s="20" t="s">
        <v>2290</v>
      </c>
      <c r="AD380" s="20" t="s">
        <v>2290</v>
      </c>
      <c r="AE380" s="20" t="s">
        <v>2290</v>
      </c>
      <c r="AF380" s="20">
        <v>0</v>
      </c>
      <c r="AG380" s="20">
        <v>0</v>
      </c>
      <c r="AH380" s="20">
        <v>0</v>
      </c>
      <c r="AI380" s="20">
        <v>0</v>
      </c>
      <c r="AJ380" s="20">
        <v>0</v>
      </c>
      <c r="AK380" s="20" t="s">
        <v>576</v>
      </c>
      <c r="AL380" s="20">
        <v>0</v>
      </c>
      <c r="AM380" s="20">
        <v>0</v>
      </c>
      <c r="AN380" s="20">
        <v>0</v>
      </c>
      <c r="AO380" s="20">
        <v>0</v>
      </c>
      <c r="AP380" s="20">
        <v>0</v>
      </c>
      <c r="AR380" s="20">
        <v>0</v>
      </c>
      <c r="AS380" s="20">
        <v>0</v>
      </c>
      <c r="AT380" s="20">
        <v>1721842.8</v>
      </c>
      <c r="AU380" s="20" t="s">
        <v>13</v>
      </c>
      <c r="AV380" s="20" t="s">
        <v>62</v>
      </c>
      <c r="AW380" s="20" t="s">
        <v>63</v>
      </c>
      <c r="AX380" s="20" t="s">
        <v>208</v>
      </c>
      <c r="AY380" s="20" t="s">
        <v>209</v>
      </c>
      <c r="AZ380" s="20">
        <v>0</v>
      </c>
      <c r="BA380" s="20">
        <v>174384</v>
      </c>
      <c r="BB380" s="20">
        <v>1255</v>
      </c>
      <c r="BC380" s="20" t="s">
        <v>3220</v>
      </c>
      <c r="BD380" s="20" t="s">
        <v>65</v>
      </c>
      <c r="BE380" s="20" t="s">
        <v>210</v>
      </c>
      <c r="BF380" s="20" t="s">
        <v>210</v>
      </c>
      <c r="BG380" s="20">
        <v>9</v>
      </c>
      <c r="BH380" s="20">
        <v>15694.56</v>
      </c>
      <c r="BI380" s="20">
        <v>9</v>
      </c>
      <c r="BJ380" s="20">
        <v>15694.56</v>
      </c>
      <c r="BK380" s="20">
        <v>0</v>
      </c>
      <c r="BL380" s="20">
        <v>0</v>
      </c>
      <c r="BM380" s="20">
        <v>0</v>
      </c>
      <c r="BN380" s="20">
        <v>642172682431</v>
      </c>
      <c r="BO380" s="111">
        <v>46264</v>
      </c>
      <c r="BP380" s="20">
        <v>0</v>
      </c>
    </row>
    <row r="381" spans="2:68">
      <c r="B381" s="20" t="s">
        <v>2165</v>
      </c>
      <c r="C381" s="20" t="s">
        <v>3220</v>
      </c>
      <c r="D381" s="20" t="s">
        <v>3703</v>
      </c>
      <c r="E381" s="20" t="s">
        <v>18</v>
      </c>
      <c r="F381" s="20" t="s">
        <v>19</v>
      </c>
      <c r="H381" s="20" t="s">
        <v>3704</v>
      </c>
      <c r="I381" s="20">
        <v>895</v>
      </c>
      <c r="J381" s="20">
        <v>895</v>
      </c>
      <c r="K381" s="20" t="s">
        <v>11</v>
      </c>
      <c r="L381" s="20">
        <v>895</v>
      </c>
      <c r="M381" s="20">
        <v>0</v>
      </c>
      <c r="N381" s="20">
        <v>895</v>
      </c>
      <c r="O381" s="20" t="s">
        <v>2154</v>
      </c>
      <c r="P381" s="20" t="s">
        <v>87</v>
      </c>
      <c r="Q381" s="20" t="s">
        <v>87</v>
      </c>
      <c r="R381" s="20" t="s">
        <v>3230</v>
      </c>
      <c r="S381" s="20" t="s">
        <v>3220</v>
      </c>
      <c r="T381" s="20" t="s">
        <v>206</v>
      </c>
      <c r="U381" s="20" t="s">
        <v>207</v>
      </c>
      <c r="V381" s="20" t="s">
        <v>3229</v>
      </c>
      <c r="W381" s="20">
        <v>144.32</v>
      </c>
      <c r="X381" s="20">
        <v>144.32</v>
      </c>
      <c r="Y381" s="20" t="s">
        <v>3230</v>
      </c>
      <c r="Z381" s="20" t="s">
        <v>3220</v>
      </c>
      <c r="AB381" s="20" t="s">
        <v>2290</v>
      </c>
      <c r="AD381" s="20" t="s">
        <v>2290</v>
      </c>
      <c r="AE381" s="20" t="s">
        <v>2290</v>
      </c>
      <c r="AF381" s="20">
        <v>0</v>
      </c>
      <c r="AG381" s="20">
        <v>0</v>
      </c>
      <c r="AH381" s="20">
        <v>0</v>
      </c>
      <c r="AI381" s="20">
        <v>0</v>
      </c>
      <c r="AJ381" s="20">
        <v>0</v>
      </c>
      <c r="AK381" s="20" t="s">
        <v>576</v>
      </c>
      <c r="AL381" s="20">
        <v>0</v>
      </c>
      <c r="AM381" s="20">
        <v>0</v>
      </c>
      <c r="AN381" s="20">
        <v>0</v>
      </c>
      <c r="AO381" s="20">
        <v>0</v>
      </c>
      <c r="AP381" s="20">
        <v>0</v>
      </c>
      <c r="AR381" s="20">
        <v>0</v>
      </c>
      <c r="AS381" s="20">
        <v>0</v>
      </c>
      <c r="AT381" s="20">
        <v>1721842.8</v>
      </c>
      <c r="AU381" s="20" t="s">
        <v>13</v>
      </c>
      <c r="AV381" s="20" t="s">
        <v>62</v>
      </c>
      <c r="AW381" s="20" t="s">
        <v>63</v>
      </c>
      <c r="AX381" s="20" t="s">
        <v>208</v>
      </c>
      <c r="AY381" s="20" t="s">
        <v>209</v>
      </c>
      <c r="AZ381" s="20">
        <v>0</v>
      </c>
      <c r="BA381" s="20">
        <v>129166.39999999999</v>
      </c>
      <c r="BB381" s="20">
        <v>1255</v>
      </c>
      <c r="BC381" s="20" t="s">
        <v>3220</v>
      </c>
      <c r="BD381" s="20" t="s">
        <v>65</v>
      </c>
      <c r="BE381" s="20" t="s">
        <v>210</v>
      </c>
      <c r="BF381" s="20" t="s">
        <v>210</v>
      </c>
      <c r="BG381" s="20">
        <v>9</v>
      </c>
      <c r="BH381" s="20">
        <v>11624.98</v>
      </c>
      <c r="BI381" s="20">
        <v>9</v>
      </c>
      <c r="BJ381" s="20">
        <v>11624.98</v>
      </c>
      <c r="BK381" s="20">
        <v>0</v>
      </c>
      <c r="BL381" s="20">
        <v>0</v>
      </c>
      <c r="BM381" s="20">
        <v>0</v>
      </c>
      <c r="BN381" s="20">
        <v>642172682431</v>
      </c>
      <c r="BO381" s="111">
        <v>46264</v>
      </c>
      <c r="BP381" s="20">
        <v>0</v>
      </c>
    </row>
    <row r="382" spans="2:68">
      <c r="B382" s="20" t="s">
        <v>2165</v>
      </c>
      <c r="C382" s="20" t="s">
        <v>3220</v>
      </c>
      <c r="D382" s="20" t="s">
        <v>3705</v>
      </c>
      <c r="E382" s="20" t="s">
        <v>18</v>
      </c>
      <c r="F382" s="20" t="s">
        <v>19</v>
      </c>
      <c r="H382" s="20" t="s">
        <v>3706</v>
      </c>
      <c r="I382" s="20">
        <v>262</v>
      </c>
      <c r="J382" s="20">
        <v>262</v>
      </c>
      <c r="K382" s="20" t="s">
        <v>11</v>
      </c>
      <c r="L382" s="20">
        <v>262</v>
      </c>
      <c r="M382" s="20">
        <v>0</v>
      </c>
      <c r="N382" s="20">
        <v>262</v>
      </c>
      <c r="O382" s="20" t="s">
        <v>2156</v>
      </c>
      <c r="P382" s="20" t="s">
        <v>87</v>
      </c>
      <c r="Q382" s="20" t="s">
        <v>87</v>
      </c>
      <c r="R382" s="20" t="s">
        <v>3232</v>
      </c>
      <c r="S382" s="20" t="s">
        <v>3220</v>
      </c>
      <c r="T382" s="20" t="s">
        <v>206</v>
      </c>
      <c r="U382" s="20" t="s">
        <v>207</v>
      </c>
      <c r="V382" s="20" t="s">
        <v>3231</v>
      </c>
      <c r="W382" s="20">
        <v>145.32</v>
      </c>
      <c r="X382" s="20">
        <v>145.31997577211001</v>
      </c>
      <c r="Y382" s="20" t="s">
        <v>3232</v>
      </c>
      <c r="Z382" s="20" t="s">
        <v>3220</v>
      </c>
      <c r="AB382" s="20" t="s">
        <v>2290</v>
      </c>
      <c r="AD382" s="20" t="s">
        <v>2290</v>
      </c>
      <c r="AE382" s="20" t="s">
        <v>2290</v>
      </c>
      <c r="AF382" s="20">
        <v>0</v>
      </c>
      <c r="AG382" s="20">
        <v>0</v>
      </c>
      <c r="AH382" s="20">
        <v>0</v>
      </c>
      <c r="AI382" s="20">
        <v>0</v>
      </c>
      <c r="AJ382" s="20">
        <v>0</v>
      </c>
      <c r="AK382" s="20" t="s">
        <v>576</v>
      </c>
      <c r="AL382" s="20">
        <v>0</v>
      </c>
      <c r="AM382" s="20">
        <v>0</v>
      </c>
      <c r="AN382" s="20">
        <v>0</v>
      </c>
      <c r="AO382" s="20">
        <v>0</v>
      </c>
      <c r="AP382" s="20">
        <v>0</v>
      </c>
      <c r="AR382" s="20">
        <v>0</v>
      </c>
      <c r="AS382" s="20">
        <v>0</v>
      </c>
      <c r="AT382" s="20">
        <v>2015343.12</v>
      </c>
      <c r="AU382" s="20" t="s">
        <v>13</v>
      </c>
      <c r="AV382" s="20" t="s">
        <v>62</v>
      </c>
      <c r="AW382" s="20" t="s">
        <v>63</v>
      </c>
      <c r="AX382" s="20" t="s">
        <v>208</v>
      </c>
      <c r="AY382" s="20" t="s">
        <v>209</v>
      </c>
      <c r="AZ382" s="20">
        <v>0</v>
      </c>
      <c r="BA382" s="20">
        <v>38073.83</v>
      </c>
      <c r="BB382" s="20">
        <v>1258</v>
      </c>
      <c r="BC382" s="20" t="s">
        <v>3220</v>
      </c>
      <c r="BD382" s="20" t="s">
        <v>65</v>
      </c>
      <c r="BE382" s="20" t="s">
        <v>210</v>
      </c>
      <c r="BF382" s="20" t="s">
        <v>210</v>
      </c>
      <c r="BG382" s="20">
        <v>9</v>
      </c>
      <c r="BH382" s="20">
        <v>3426.65</v>
      </c>
      <c r="BI382" s="20">
        <v>9</v>
      </c>
      <c r="BJ382" s="20">
        <v>3426.65</v>
      </c>
      <c r="BK382" s="20">
        <v>0</v>
      </c>
      <c r="BL382" s="20">
        <v>0</v>
      </c>
      <c r="BM382" s="20">
        <v>2015343.12</v>
      </c>
      <c r="BN382" s="20">
        <v>672172780916</v>
      </c>
      <c r="BO382" s="111">
        <v>46264</v>
      </c>
      <c r="BP382" s="20">
        <v>0</v>
      </c>
    </row>
    <row r="383" spans="2:68">
      <c r="B383" s="20" t="s">
        <v>2165</v>
      </c>
      <c r="C383" s="20" t="s">
        <v>3220</v>
      </c>
      <c r="D383" s="20" t="s">
        <v>3705</v>
      </c>
      <c r="E383" s="20" t="s">
        <v>18</v>
      </c>
      <c r="F383" s="20" t="s">
        <v>19</v>
      </c>
      <c r="H383" s="20" t="s">
        <v>3706</v>
      </c>
      <c r="I383" s="20">
        <v>1466</v>
      </c>
      <c r="J383" s="20">
        <v>1466</v>
      </c>
      <c r="K383" s="20" t="s">
        <v>11</v>
      </c>
      <c r="L383" s="20">
        <v>1466</v>
      </c>
      <c r="M383" s="20">
        <v>0</v>
      </c>
      <c r="N383" s="20">
        <v>1466</v>
      </c>
      <c r="O383" s="20" t="s">
        <v>2156</v>
      </c>
      <c r="P383" s="20" t="s">
        <v>87</v>
      </c>
      <c r="Q383" s="20" t="s">
        <v>87</v>
      </c>
      <c r="R383" s="20" t="s">
        <v>3232</v>
      </c>
      <c r="S383" s="20" t="s">
        <v>3220</v>
      </c>
      <c r="T383" s="20" t="s">
        <v>206</v>
      </c>
      <c r="U383" s="20" t="s">
        <v>207</v>
      </c>
      <c r="V383" s="20" t="s">
        <v>3231</v>
      </c>
      <c r="W383" s="20">
        <v>142.32</v>
      </c>
      <c r="X383" s="20">
        <v>142.31997627227301</v>
      </c>
      <c r="Y383" s="20" t="s">
        <v>3232</v>
      </c>
      <c r="Z383" s="20" t="s">
        <v>3220</v>
      </c>
      <c r="AB383" s="20" t="s">
        <v>2290</v>
      </c>
      <c r="AD383" s="20" t="s">
        <v>2290</v>
      </c>
      <c r="AE383" s="20" t="s">
        <v>2290</v>
      </c>
      <c r="AF383" s="20">
        <v>0</v>
      </c>
      <c r="AG383" s="20">
        <v>0</v>
      </c>
      <c r="AH383" s="20">
        <v>0</v>
      </c>
      <c r="AI383" s="20">
        <v>0</v>
      </c>
      <c r="AJ383" s="20">
        <v>0</v>
      </c>
      <c r="AK383" s="20" t="s">
        <v>576</v>
      </c>
      <c r="AL383" s="20">
        <v>0</v>
      </c>
      <c r="AM383" s="20">
        <v>0</v>
      </c>
      <c r="AN383" s="20">
        <v>0</v>
      </c>
      <c r="AO383" s="20">
        <v>0</v>
      </c>
      <c r="AP383" s="20">
        <v>0</v>
      </c>
      <c r="AR383" s="20">
        <v>0</v>
      </c>
      <c r="AS383" s="20">
        <v>0</v>
      </c>
      <c r="AT383" s="20">
        <v>2015343.12</v>
      </c>
      <c r="AU383" s="20" t="s">
        <v>13</v>
      </c>
      <c r="AV383" s="20" t="s">
        <v>62</v>
      </c>
      <c r="AW383" s="20" t="s">
        <v>63</v>
      </c>
      <c r="AX383" s="20" t="s">
        <v>208</v>
      </c>
      <c r="AY383" s="20" t="s">
        <v>209</v>
      </c>
      <c r="AZ383" s="20">
        <v>0</v>
      </c>
      <c r="BA383" s="20">
        <v>208641.09</v>
      </c>
      <c r="BB383" s="20">
        <v>1258</v>
      </c>
      <c r="BC383" s="20" t="s">
        <v>3220</v>
      </c>
      <c r="BD383" s="20" t="s">
        <v>65</v>
      </c>
      <c r="BE383" s="20" t="s">
        <v>210</v>
      </c>
      <c r="BF383" s="20" t="s">
        <v>210</v>
      </c>
      <c r="BG383" s="20">
        <v>9</v>
      </c>
      <c r="BH383" s="20">
        <v>18777.7</v>
      </c>
      <c r="BI383" s="20">
        <v>9</v>
      </c>
      <c r="BJ383" s="20">
        <v>18777.7</v>
      </c>
      <c r="BK383" s="20">
        <v>0</v>
      </c>
      <c r="BL383" s="20">
        <v>0</v>
      </c>
      <c r="BM383" s="20">
        <v>0</v>
      </c>
      <c r="BN383" s="20">
        <v>672172780916</v>
      </c>
      <c r="BO383" s="111">
        <v>46264</v>
      </c>
      <c r="BP383" s="20">
        <v>0</v>
      </c>
    </row>
    <row r="384" spans="2:68">
      <c r="B384" s="20" t="s">
        <v>2165</v>
      </c>
      <c r="C384" s="20" t="s">
        <v>3220</v>
      </c>
      <c r="D384" s="20" t="s">
        <v>3705</v>
      </c>
      <c r="E384" s="20" t="s">
        <v>20</v>
      </c>
      <c r="F384" s="20" t="s">
        <v>21</v>
      </c>
      <c r="H384" s="20" t="s">
        <v>3706</v>
      </c>
      <c r="I384" s="20">
        <v>185</v>
      </c>
      <c r="J384" s="20">
        <v>185</v>
      </c>
      <c r="K384" s="20" t="s">
        <v>11</v>
      </c>
      <c r="L384" s="20">
        <v>185</v>
      </c>
      <c r="M384" s="20">
        <v>0</v>
      </c>
      <c r="N384" s="20">
        <v>185</v>
      </c>
      <c r="O384" s="20" t="s">
        <v>2156</v>
      </c>
      <c r="P384" s="20" t="s">
        <v>87</v>
      </c>
      <c r="Q384" s="20" t="s">
        <v>87</v>
      </c>
      <c r="R384" s="20" t="s">
        <v>3232</v>
      </c>
      <c r="S384" s="20" t="s">
        <v>3220</v>
      </c>
      <c r="T384" s="20" t="s">
        <v>206</v>
      </c>
      <c r="U384" s="20" t="s">
        <v>207</v>
      </c>
      <c r="V384" s="20" t="s">
        <v>3231</v>
      </c>
      <c r="W384" s="20">
        <v>149.32</v>
      </c>
      <c r="X384" s="20">
        <v>149.31997510522601</v>
      </c>
      <c r="Y384" s="20" t="s">
        <v>3232</v>
      </c>
      <c r="Z384" s="20" t="s">
        <v>3220</v>
      </c>
      <c r="AB384" s="20" t="s">
        <v>2290</v>
      </c>
      <c r="AD384" s="20" t="s">
        <v>2290</v>
      </c>
      <c r="AE384" s="20" t="s">
        <v>2290</v>
      </c>
      <c r="AF384" s="20">
        <v>0</v>
      </c>
      <c r="AG384" s="20">
        <v>0</v>
      </c>
      <c r="AH384" s="20">
        <v>0</v>
      </c>
      <c r="AI384" s="20">
        <v>0</v>
      </c>
      <c r="AJ384" s="20">
        <v>0</v>
      </c>
      <c r="AK384" s="20" t="s">
        <v>576</v>
      </c>
      <c r="AL384" s="20">
        <v>0</v>
      </c>
      <c r="AM384" s="20">
        <v>0</v>
      </c>
      <c r="AN384" s="20">
        <v>0</v>
      </c>
      <c r="AO384" s="20">
        <v>0</v>
      </c>
      <c r="AP384" s="20">
        <v>0</v>
      </c>
      <c r="AR384" s="20">
        <v>0</v>
      </c>
      <c r="AS384" s="20">
        <v>0</v>
      </c>
      <c r="AT384" s="20">
        <v>2015343.12</v>
      </c>
      <c r="AU384" s="20" t="s">
        <v>13</v>
      </c>
      <c r="AV384" s="20" t="s">
        <v>62</v>
      </c>
      <c r="AW384" s="20" t="s">
        <v>76</v>
      </c>
      <c r="AX384" s="20" t="s">
        <v>208</v>
      </c>
      <c r="AY384" s="20" t="s">
        <v>209</v>
      </c>
      <c r="AZ384" s="20">
        <v>0</v>
      </c>
      <c r="BA384" s="20">
        <v>27624.2</v>
      </c>
      <c r="BB384" s="20">
        <v>1258</v>
      </c>
      <c r="BC384" s="20" t="s">
        <v>3220</v>
      </c>
      <c r="BD384" s="20" t="s">
        <v>65</v>
      </c>
      <c r="BE384" s="20" t="s">
        <v>210</v>
      </c>
      <c r="BF384" s="20" t="s">
        <v>210</v>
      </c>
      <c r="BG384" s="20">
        <v>9</v>
      </c>
      <c r="BH384" s="20">
        <v>2486.1799999999998</v>
      </c>
      <c r="BI384" s="20">
        <v>9</v>
      </c>
      <c r="BJ384" s="20">
        <v>2486.1799999999998</v>
      </c>
      <c r="BK384" s="20">
        <v>0</v>
      </c>
      <c r="BL384" s="20">
        <v>0</v>
      </c>
      <c r="BM384" s="20">
        <v>0</v>
      </c>
      <c r="BN384" s="20">
        <v>672172780916</v>
      </c>
      <c r="BO384" s="111">
        <v>46264</v>
      </c>
      <c r="BP384" s="20">
        <v>0</v>
      </c>
    </row>
    <row r="385" spans="2:68">
      <c r="B385" s="20" t="s">
        <v>2165</v>
      </c>
      <c r="C385" s="20" t="s">
        <v>3220</v>
      </c>
      <c r="D385" s="20" t="s">
        <v>3705</v>
      </c>
      <c r="E385" s="20" t="s">
        <v>20</v>
      </c>
      <c r="F385" s="20" t="s">
        <v>21</v>
      </c>
      <c r="H385" s="20" t="s">
        <v>3706</v>
      </c>
      <c r="I385" s="20">
        <v>1487</v>
      </c>
      <c r="J385" s="20">
        <v>1487</v>
      </c>
      <c r="K385" s="20" t="s">
        <v>11</v>
      </c>
      <c r="L385" s="20">
        <v>1487</v>
      </c>
      <c r="M385" s="20">
        <v>0</v>
      </c>
      <c r="N385" s="20">
        <v>1487</v>
      </c>
      <c r="O385" s="20" t="s">
        <v>2156</v>
      </c>
      <c r="P385" s="20" t="s">
        <v>87</v>
      </c>
      <c r="Q385" s="20" t="s">
        <v>87</v>
      </c>
      <c r="R385" s="20" t="s">
        <v>3232</v>
      </c>
      <c r="S385" s="20" t="s">
        <v>3220</v>
      </c>
      <c r="T385" s="20" t="s">
        <v>206</v>
      </c>
      <c r="U385" s="20" t="s">
        <v>207</v>
      </c>
      <c r="V385" s="20" t="s">
        <v>3231</v>
      </c>
      <c r="W385" s="20">
        <v>146.32</v>
      </c>
      <c r="X385" s="20">
        <v>146.319975605389</v>
      </c>
      <c r="Y385" s="20" t="s">
        <v>3232</v>
      </c>
      <c r="Z385" s="20" t="s">
        <v>3220</v>
      </c>
      <c r="AB385" s="20" t="s">
        <v>2290</v>
      </c>
      <c r="AD385" s="20" t="s">
        <v>2290</v>
      </c>
      <c r="AE385" s="20" t="s">
        <v>2290</v>
      </c>
      <c r="AF385" s="20">
        <v>0</v>
      </c>
      <c r="AG385" s="20">
        <v>0</v>
      </c>
      <c r="AH385" s="20">
        <v>0</v>
      </c>
      <c r="AI385" s="20">
        <v>0</v>
      </c>
      <c r="AJ385" s="20">
        <v>0</v>
      </c>
      <c r="AK385" s="20" t="s">
        <v>576</v>
      </c>
      <c r="AL385" s="20">
        <v>0</v>
      </c>
      <c r="AM385" s="20">
        <v>0</v>
      </c>
      <c r="AN385" s="20">
        <v>0</v>
      </c>
      <c r="AO385" s="20">
        <v>0</v>
      </c>
      <c r="AP385" s="20">
        <v>0</v>
      </c>
      <c r="AR385" s="20">
        <v>0</v>
      </c>
      <c r="AS385" s="20">
        <v>0</v>
      </c>
      <c r="AT385" s="20">
        <v>2015343.12</v>
      </c>
      <c r="AU385" s="20" t="s">
        <v>13</v>
      </c>
      <c r="AV385" s="20" t="s">
        <v>62</v>
      </c>
      <c r="AW385" s="20" t="s">
        <v>76</v>
      </c>
      <c r="AX385" s="20" t="s">
        <v>208</v>
      </c>
      <c r="AY385" s="20" t="s">
        <v>209</v>
      </c>
      <c r="AZ385" s="20">
        <v>0</v>
      </c>
      <c r="BA385" s="20">
        <v>217577.8</v>
      </c>
      <c r="BB385" s="20">
        <v>1258</v>
      </c>
      <c r="BC385" s="20" t="s">
        <v>3220</v>
      </c>
      <c r="BD385" s="20" t="s">
        <v>65</v>
      </c>
      <c r="BE385" s="20" t="s">
        <v>210</v>
      </c>
      <c r="BF385" s="20" t="s">
        <v>210</v>
      </c>
      <c r="BG385" s="20">
        <v>9</v>
      </c>
      <c r="BH385" s="20">
        <v>19582.009999999998</v>
      </c>
      <c r="BI385" s="20">
        <v>9</v>
      </c>
      <c r="BJ385" s="20">
        <v>19582.009999999998</v>
      </c>
      <c r="BK385" s="20">
        <v>0</v>
      </c>
      <c r="BL385" s="20">
        <v>0</v>
      </c>
      <c r="BM385" s="20">
        <v>0</v>
      </c>
      <c r="BN385" s="20">
        <v>672172780916</v>
      </c>
      <c r="BO385" s="111">
        <v>46264</v>
      </c>
      <c r="BP385" s="20">
        <v>0</v>
      </c>
    </row>
    <row r="386" spans="2:68">
      <c r="B386" s="20" t="s">
        <v>2165</v>
      </c>
      <c r="C386" s="20" t="s">
        <v>3220</v>
      </c>
      <c r="D386" s="20" t="s">
        <v>3705</v>
      </c>
      <c r="E386" s="20" t="s">
        <v>160</v>
      </c>
      <c r="F386" s="20" t="s">
        <v>17</v>
      </c>
      <c r="H386" s="20" t="s">
        <v>3706</v>
      </c>
      <c r="I386" s="20">
        <v>4944</v>
      </c>
      <c r="J386" s="20">
        <v>4944</v>
      </c>
      <c r="K386" s="20" t="s">
        <v>11</v>
      </c>
      <c r="L386" s="20">
        <v>4944</v>
      </c>
      <c r="M386" s="20">
        <v>0</v>
      </c>
      <c r="N386" s="20">
        <v>4944</v>
      </c>
      <c r="O386" s="20" t="s">
        <v>2156</v>
      </c>
      <c r="P386" s="20" t="s">
        <v>87</v>
      </c>
      <c r="Q386" s="20" t="s">
        <v>87</v>
      </c>
      <c r="R386" s="20" t="s">
        <v>3232</v>
      </c>
      <c r="S386" s="20" t="s">
        <v>3220</v>
      </c>
      <c r="T386" s="20" t="s">
        <v>206</v>
      </c>
      <c r="U386" s="20" t="s">
        <v>207</v>
      </c>
      <c r="V386" s="20" t="s">
        <v>3231</v>
      </c>
      <c r="W386" s="20">
        <v>176.86</v>
      </c>
      <c r="X386" s="20">
        <v>176.85997051373101</v>
      </c>
      <c r="Y386" s="20" t="s">
        <v>3232</v>
      </c>
      <c r="Z386" s="20" t="s">
        <v>3220</v>
      </c>
      <c r="AB386" s="20" t="s">
        <v>2290</v>
      </c>
      <c r="AD386" s="20" t="s">
        <v>2290</v>
      </c>
      <c r="AE386" s="20" t="s">
        <v>2290</v>
      </c>
      <c r="AF386" s="20">
        <v>0</v>
      </c>
      <c r="AG386" s="20">
        <v>0</v>
      </c>
      <c r="AH386" s="20">
        <v>0</v>
      </c>
      <c r="AI386" s="20">
        <v>0</v>
      </c>
      <c r="AJ386" s="20">
        <v>0</v>
      </c>
      <c r="AK386" s="20" t="s">
        <v>576</v>
      </c>
      <c r="AL386" s="20">
        <v>0</v>
      </c>
      <c r="AM386" s="20">
        <v>0</v>
      </c>
      <c r="AN386" s="20">
        <v>0</v>
      </c>
      <c r="AO386" s="20">
        <v>0</v>
      </c>
      <c r="AP386" s="20">
        <v>0</v>
      </c>
      <c r="AR386" s="20">
        <v>0</v>
      </c>
      <c r="AS386" s="20">
        <v>0</v>
      </c>
      <c r="AT386" s="20">
        <v>2015343.12</v>
      </c>
      <c r="AU386" s="20" t="s">
        <v>13</v>
      </c>
      <c r="AV386" s="20" t="s">
        <v>80</v>
      </c>
      <c r="AW386" s="20" t="s">
        <v>81</v>
      </c>
      <c r="AX386" s="20" t="s">
        <v>208</v>
      </c>
      <c r="AY386" s="20" t="s">
        <v>209</v>
      </c>
      <c r="AZ386" s="20">
        <v>0</v>
      </c>
      <c r="BA386" s="20">
        <v>874395.69</v>
      </c>
      <c r="BB386" s="20">
        <v>1258</v>
      </c>
      <c r="BC386" s="20" t="s">
        <v>3220</v>
      </c>
      <c r="BD386" s="20" t="s">
        <v>65</v>
      </c>
      <c r="BE386" s="20" t="s">
        <v>210</v>
      </c>
      <c r="BF386" s="20" t="s">
        <v>210</v>
      </c>
      <c r="BG386" s="20">
        <v>9</v>
      </c>
      <c r="BH386" s="20">
        <v>78695.63</v>
      </c>
      <c r="BI386" s="20">
        <v>9</v>
      </c>
      <c r="BJ386" s="20">
        <v>78695.63</v>
      </c>
      <c r="BK386" s="20">
        <v>0</v>
      </c>
      <c r="BL386" s="20">
        <v>0</v>
      </c>
      <c r="BM386" s="20">
        <v>0</v>
      </c>
      <c r="BN386" s="20">
        <v>672172780916</v>
      </c>
      <c r="BO386" s="111">
        <v>46264</v>
      </c>
      <c r="BP386" s="20">
        <v>0</v>
      </c>
    </row>
    <row r="387" spans="2:68">
      <c r="B387" s="20" t="s">
        <v>2165</v>
      </c>
      <c r="C387" s="20" t="s">
        <v>3220</v>
      </c>
      <c r="D387" s="20" t="s">
        <v>3705</v>
      </c>
      <c r="E387" s="20" t="s">
        <v>1583</v>
      </c>
      <c r="F387" s="20" t="s">
        <v>1582</v>
      </c>
      <c r="H387" s="20" t="s">
        <v>3706</v>
      </c>
      <c r="I387" s="20">
        <v>84</v>
      </c>
      <c r="J387" s="20">
        <v>84</v>
      </c>
      <c r="K387" s="20" t="s">
        <v>11</v>
      </c>
      <c r="L387" s="20">
        <v>84</v>
      </c>
      <c r="M387" s="20">
        <v>0</v>
      </c>
      <c r="N387" s="20">
        <v>84</v>
      </c>
      <c r="O387" s="20" t="s">
        <v>2156</v>
      </c>
      <c r="P387" s="20" t="s">
        <v>87</v>
      </c>
      <c r="Q387" s="20" t="s">
        <v>87</v>
      </c>
      <c r="R387" s="20" t="s">
        <v>3232</v>
      </c>
      <c r="S387" s="20" t="s">
        <v>3220</v>
      </c>
      <c r="T387" s="20" t="s">
        <v>206</v>
      </c>
      <c r="U387" s="20" t="s">
        <v>207</v>
      </c>
      <c r="V387" s="20" t="s">
        <v>3231</v>
      </c>
      <c r="W387" s="20">
        <v>143.32</v>
      </c>
      <c r="X387" s="20">
        <v>143.319976105552</v>
      </c>
      <c r="Y387" s="20" t="s">
        <v>3232</v>
      </c>
      <c r="Z387" s="20" t="s">
        <v>3220</v>
      </c>
      <c r="AB387" s="20" t="s">
        <v>2290</v>
      </c>
      <c r="AD387" s="20" t="s">
        <v>2290</v>
      </c>
      <c r="AE387" s="20" t="s">
        <v>2290</v>
      </c>
      <c r="AF387" s="20">
        <v>0</v>
      </c>
      <c r="AG387" s="20">
        <v>0</v>
      </c>
      <c r="AH387" s="20">
        <v>0</v>
      </c>
      <c r="AI387" s="20">
        <v>0</v>
      </c>
      <c r="AJ387" s="20">
        <v>0</v>
      </c>
      <c r="AK387" s="20" t="s">
        <v>576</v>
      </c>
      <c r="AL387" s="20">
        <v>0</v>
      </c>
      <c r="AM387" s="20">
        <v>0</v>
      </c>
      <c r="AN387" s="20">
        <v>0</v>
      </c>
      <c r="AO387" s="20">
        <v>0</v>
      </c>
      <c r="AP387" s="20">
        <v>0</v>
      </c>
      <c r="AR387" s="20">
        <v>0</v>
      </c>
      <c r="AS387" s="20">
        <v>0</v>
      </c>
      <c r="AT387" s="20">
        <v>2015343.12</v>
      </c>
      <c r="AU387" s="20" t="s">
        <v>13</v>
      </c>
      <c r="AV387" s="20" t="s">
        <v>99</v>
      </c>
      <c r="AW387" s="20" t="s">
        <v>100</v>
      </c>
      <c r="AX387" s="20" t="s">
        <v>208</v>
      </c>
      <c r="AY387" s="20" t="s">
        <v>209</v>
      </c>
      <c r="AZ387" s="20">
        <v>0</v>
      </c>
      <c r="BA387" s="20">
        <v>12038.88</v>
      </c>
      <c r="BB387" s="20">
        <v>1258</v>
      </c>
      <c r="BC387" s="20" t="s">
        <v>3220</v>
      </c>
      <c r="BD387" s="20" t="s">
        <v>65</v>
      </c>
      <c r="BE387" s="20" t="s">
        <v>210</v>
      </c>
      <c r="BF387" s="20" t="s">
        <v>210</v>
      </c>
      <c r="BG387" s="20">
        <v>2.5</v>
      </c>
      <c r="BH387" s="20">
        <v>300.97000000000003</v>
      </c>
      <c r="BI387" s="20">
        <v>2.5</v>
      </c>
      <c r="BJ387" s="20">
        <v>300.97000000000003</v>
      </c>
      <c r="BK387" s="20">
        <v>0</v>
      </c>
      <c r="BL387" s="20">
        <v>0</v>
      </c>
      <c r="BM387" s="20">
        <v>0</v>
      </c>
      <c r="BN387" s="20">
        <v>672172780916</v>
      </c>
      <c r="BO387" s="111">
        <v>46264</v>
      </c>
      <c r="BP387" s="20">
        <v>0</v>
      </c>
    </row>
    <row r="388" spans="2:68">
      <c r="B388" s="20" t="s">
        <v>2165</v>
      </c>
      <c r="C388" s="20" t="s">
        <v>3220</v>
      </c>
      <c r="D388" s="20" t="s">
        <v>3705</v>
      </c>
      <c r="E388" s="20" t="s">
        <v>820</v>
      </c>
      <c r="F388" s="20" t="s">
        <v>743</v>
      </c>
      <c r="H388" s="20" t="s">
        <v>3706</v>
      </c>
      <c r="I388" s="20">
        <v>8400</v>
      </c>
      <c r="J388" s="20">
        <v>8400</v>
      </c>
      <c r="K388" s="20" t="s">
        <v>1</v>
      </c>
      <c r="L388" s="20">
        <v>8400</v>
      </c>
      <c r="M388" s="20">
        <v>0</v>
      </c>
      <c r="N388" s="20">
        <v>8400</v>
      </c>
      <c r="O388" s="20" t="s">
        <v>2156</v>
      </c>
      <c r="P388" s="20" t="s">
        <v>87</v>
      </c>
      <c r="Q388" s="20" t="s">
        <v>87</v>
      </c>
      <c r="R388" s="20" t="s">
        <v>3232</v>
      </c>
      <c r="S388" s="20" t="s">
        <v>3220</v>
      </c>
      <c r="T388" s="20" t="s">
        <v>206</v>
      </c>
      <c r="U388" s="20" t="s">
        <v>207</v>
      </c>
      <c r="V388" s="20" t="s">
        <v>3231</v>
      </c>
      <c r="W388" s="20">
        <v>3.5246</v>
      </c>
      <c r="X388" s="20">
        <v>3.5245994123752999</v>
      </c>
      <c r="Y388" s="20" t="s">
        <v>3232</v>
      </c>
      <c r="Z388" s="20" t="s">
        <v>3220</v>
      </c>
      <c r="AB388" s="20" t="s">
        <v>2290</v>
      </c>
      <c r="AD388" s="20" t="s">
        <v>2290</v>
      </c>
      <c r="AE388" s="20" t="s">
        <v>2290</v>
      </c>
      <c r="AF388" s="20">
        <v>0</v>
      </c>
      <c r="AG388" s="20">
        <v>0</v>
      </c>
      <c r="AH388" s="20">
        <v>0</v>
      </c>
      <c r="AI388" s="20">
        <v>0</v>
      </c>
      <c r="AJ388" s="20">
        <v>0</v>
      </c>
      <c r="AK388" s="20" t="s">
        <v>576</v>
      </c>
      <c r="AL388" s="20">
        <v>0</v>
      </c>
      <c r="AM388" s="20">
        <v>0</v>
      </c>
      <c r="AN388" s="20">
        <v>0</v>
      </c>
      <c r="AO388" s="20">
        <v>0</v>
      </c>
      <c r="AP388" s="20">
        <v>0</v>
      </c>
      <c r="AR388" s="20">
        <v>0</v>
      </c>
      <c r="AS388" s="20">
        <v>0</v>
      </c>
      <c r="AT388" s="20">
        <v>2015343.12</v>
      </c>
      <c r="AU388" s="20" t="s">
        <v>8</v>
      </c>
      <c r="AV388" s="20" t="s">
        <v>625</v>
      </c>
      <c r="AW388" s="20" t="s">
        <v>625</v>
      </c>
      <c r="AX388" s="20" t="s">
        <v>208</v>
      </c>
      <c r="AY388" s="20" t="s">
        <v>821</v>
      </c>
      <c r="AZ388" s="20">
        <v>0</v>
      </c>
      <c r="BA388" s="20">
        <v>29606.639999999999</v>
      </c>
      <c r="BB388" s="20">
        <v>1258</v>
      </c>
      <c r="BC388" s="20" t="s">
        <v>3220</v>
      </c>
      <c r="BD388" s="20" t="s">
        <v>65</v>
      </c>
      <c r="BE388" s="20" t="s">
        <v>210</v>
      </c>
      <c r="BF388" s="20" t="s">
        <v>210</v>
      </c>
      <c r="BG388" s="20">
        <v>9</v>
      </c>
      <c r="BH388" s="20">
        <v>2664.6</v>
      </c>
      <c r="BI388" s="20">
        <v>9</v>
      </c>
      <c r="BJ388" s="20">
        <v>2664.6</v>
      </c>
      <c r="BK388" s="20">
        <v>0</v>
      </c>
      <c r="BL388" s="20">
        <v>0</v>
      </c>
      <c r="BM388" s="20">
        <v>0</v>
      </c>
      <c r="BN388" s="20">
        <v>672172780916</v>
      </c>
      <c r="BO388" s="111">
        <v>46264</v>
      </c>
      <c r="BP388" s="20">
        <v>0</v>
      </c>
    </row>
    <row r="389" spans="2:68">
      <c r="B389" s="20" t="s">
        <v>2165</v>
      </c>
      <c r="C389" s="20" t="s">
        <v>3220</v>
      </c>
      <c r="D389" s="20" t="s">
        <v>3705</v>
      </c>
      <c r="E389" s="20" t="s">
        <v>23</v>
      </c>
      <c r="F389" s="20" t="s">
        <v>24</v>
      </c>
      <c r="H389" s="20" t="s">
        <v>3706</v>
      </c>
      <c r="I389" s="20">
        <v>12.4</v>
      </c>
      <c r="J389" s="20">
        <v>12.4</v>
      </c>
      <c r="K389" s="20" t="s">
        <v>11</v>
      </c>
      <c r="L389" s="20">
        <v>12.4</v>
      </c>
      <c r="M389" s="20">
        <v>0</v>
      </c>
      <c r="N389" s="20">
        <v>12.4</v>
      </c>
      <c r="O389" s="20" t="s">
        <v>2156</v>
      </c>
      <c r="P389" s="20" t="s">
        <v>87</v>
      </c>
      <c r="Q389" s="20" t="s">
        <v>87</v>
      </c>
      <c r="R389" s="20" t="s">
        <v>3232</v>
      </c>
      <c r="S389" s="20" t="s">
        <v>3220</v>
      </c>
      <c r="T389" s="20" t="s">
        <v>206</v>
      </c>
      <c r="U389" s="20" t="s">
        <v>207</v>
      </c>
      <c r="V389" s="20" t="s">
        <v>3231</v>
      </c>
      <c r="W389" s="20">
        <v>168.32</v>
      </c>
      <c r="X389" s="20">
        <v>168.31997193752801</v>
      </c>
      <c r="Y389" s="20" t="s">
        <v>3232</v>
      </c>
      <c r="Z389" s="20" t="s">
        <v>3220</v>
      </c>
      <c r="AB389" s="20" t="s">
        <v>2290</v>
      </c>
      <c r="AD389" s="20" t="s">
        <v>2290</v>
      </c>
      <c r="AE389" s="20" t="s">
        <v>2290</v>
      </c>
      <c r="AF389" s="20">
        <v>0</v>
      </c>
      <c r="AG389" s="20">
        <v>0</v>
      </c>
      <c r="AH389" s="20">
        <v>0</v>
      </c>
      <c r="AI389" s="20">
        <v>0</v>
      </c>
      <c r="AJ389" s="20">
        <v>0</v>
      </c>
      <c r="AK389" s="20" t="s">
        <v>576</v>
      </c>
      <c r="AL389" s="20">
        <v>0</v>
      </c>
      <c r="AM389" s="20">
        <v>0</v>
      </c>
      <c r="AN389" s="20">
        <v>0</v>
      </c>
      <c r="AO389" s="20">
        <v>0</v>
      </c>
      <c r="AP389" s="20">
        <v>0</v>
      </c>
      <c r="AR389" s="20">
        <v>0</v>
      </c>
      <c r="AS389" s="20">
        <v>0</v>
      </c>
      <c r="AT389" s="20">
        <v>2015343.12</v>
      </c>
      <c r="AU389" s="20" t="s">
        <v>13</v>
      </c>
      <c r="AV389" s="20" t="s">
        <v>24</v>
      </c>
      <c r="AW389" s="20" t="s">
        <v>79</v>
      </c>
      <c r="AX389" s="20" t="s">
        <v>208</v>
      </c>
      <c r="AY389" s="20" t="s">
        <v>209</v>
      </c>
      <c r="AZ389" s="20">
        <v>0</v>
      </c>
      <c r="BA389" s="20">
        <v>2087.17</v>
      </c>
      <c r="BB389" s="20">
        <v>1258</v>
      </c>
      <c r="BC389" s="20" t="s">
        <v>3220</v>
      </c>
      <c r="BD389" s="20" t="s">
        <v>65</v>
      </c>
      <c r="BE389" s="20" t="s">
        <v>210</v>
      </c>
      <c r="BF389" s="20" t="s">
        <v>210</v>
      </c>
      <c r="BG389" s="20">
        <v>9</v>
      </c>
      <c r="BH389" s="20">
        <v>187.85</v>
      </c>
      <c r="BI389" s="20">
        <v>9</v>
      </c>
      <c r="BJ389" s="20">
        <v>187.85</v>
      </c>
      <c r="BK389" s="20">
        <v>0</v>
      </c>
      <c r="BL389" s="20">
        <v>0</v>
      </c>
      <c r="BM389" s="20">
        <v>0</v>
      </c>
      <c r="BN389" s="20">
        <v>672172780916</v>
      </c>
      <c r="BO389" s="111">
        <v>46264</v>
      </c>
      <c r="BP389" s="20">
        <v>0</v>
      </c>
    </row>
    <row r="390" spans="2:68">
      <c r="B390" s="20" t="s">
        <v>2165</v>
      </c>
      <c r="C390" s="20" t="s">
        <v>3220</v>
      </c>
      <c r="D390" s="20" t="s">
        <v>3705</v>
      </c>
      <c r="E390" s="20" t="s">
        <v>23</v>
      </c>
      <c r="F390" s="20" t="s">
        <v>24</v>
      </c>
      <c r="H390" s="20" t="s">
        <v>3706</v>
      </c>
      <c r="I390" s="20">
        <v>6.8</v>
      </c>
      <c r="J390" s="20">
        <v>6.8</v>
      </c>
      <c r="K390" s="20" t="s">
        <v>11</v>
      </c>
      <c r="L390" s="20">
        <v>6.8</v>
      </c>
      <c r="M390" s="20">
        <v>0</v>
      </c>
      <c r="N390" s="20">
        <v>6.8</v>
      </c>
      <c r="O390" s="20" t="s">
        <v>2156</v>
      </c>
      <c r="P390" s="20" t="s">
        <v>87</v>
      </c>
      <c r="Q390" s="20" t="s">
        <v>87</v>
      </c>
      <c r="R390" s="20" t="s">
        <v>3232</v>
      </c>
      <c r="S390" s="20" t="s">
        <v>3220</v>
      </c>
      <c r="T390" s="20" t="s">
        <v>206</v>
      </c>
      <c r="U390" s="20" t="s">
        <v>207</v>
      </c>
      <c r="V390" s="20" t="s">
        <v>3231</v>
      </c>
      <c r="W390" s="20">
        <v>165.32</v>
      </c>
      <c r="X390" s="20">
        <v>165.31997243769101</v>
      </c>
      <c r="Y390" s="20" t="s">
        <v>3232</v>
      </c>
      <c r="Z390" s="20" t="s">
        <v>3220</v>
      </c>
      <c r="AB390" s="20" t="s">
        <v>2290</v>
      </c>
      <c r="AD390" s="20" t="s">
        <v>2290</v>
      </c>
      <c r="AE390" s="20" t="s">
        <v>2290</v>
      </c>
      <c r="AF390" s="20">
        <v>0</v>
      </c>
      <c r="AG390" s="20">
        <v>0</v>
      </c>
      <c r="AH390" s="20">
        <v>0</v>
      </c>
      <c r="AI390" s="20">
        <v>0</v>
      </c>
      <c r="AJ390" s="20">
        <v>0</v>
      </c>
      <c r="AK390" s="20" t="s">
        <v>576</v>
      </c>
      <c r="AL390" s="20">
        <v>0</v>
      </c>
      <c r="AM390" s="20">
        <v>0</v>
      </c>
      <c r="AN390" s="20">
        <v>0</v>
      </c>
      <c r="AO390" s="20">
        <v>0</v>
      </c>
      <c r="AP390" s="20">
        <v>0</v>
      </c>
      <c r="AR390" s="20">
        <v>0</v>
      </c>
      <c r="AS390" s="20">
        <v>0</v>
      </c>
      <c r="AT390" s="20">
        <v>2015343.12</v>
      </c>
      <c r="AU390" s="20" t="s">
        <v>13</v>
      </c>
      <c r="AV390" s="20" t="s">
        <v>24</v>
      </c>
      <c r="AW390" s="20" t="s">
        <v>79</v>
      </c>
      <c r="AX390" s="20" t="s">
        <v>208</v>
      </c>
      <c r="AY390" s="20" t="s">
        <v>209</v>
      </c>
      <c r="AZ390" s="20">
        <v>0</v>
      </c>
      <c r="BA390" s="20">
        <v>1124.18</v>
      </c>
      <c r="BB390" s="20">
        <v>1258</v>
      </c>
      <c r="BC390" s="20" t="s">
        <v>3220</v>
      </c>
      <c r="BD390" s="20" t="s">
        <v>65</v>
      </c>
      <c r="BE390" s="20" t="s">
        <v>210</v>
      </c>
      <c r="BF390" s="20" t="s">
        <v>210</v>
      </c>
      <c r="BG390" s="20">
        <v>9</v>
      </c>
      <c r="BH390" s="20">
        <v>101.18</v>
      </c>
      <c r="BI390" s="20">
        <v>9</v>
      </c>
      <c r="BJ390" s="20">
        <v>101.18</v>
      </c>
      <c r="BK390" s="20">
        <v>0</v>
      </c>
      <c r="BL390" s="20">
        <v>0</v>
      </c>
      <c r="BM390" s="20">
        <v>0</v>
      </c>
      <c r="BN390" s="20">
        <v>672172780916</v>
      </c>
      <c r="BO390" s="111">
        <v>46264</v>
      </c>
      <c r="BP390" s="20">
        <v>0</v>
      </c>
    </row>
    <row r="391" spans="2:68">
      <c r="B391" s="20" t="s">
        <v>2165</v>
      </c>
      <c r="C391" s="20" t="s">
        <v>3220</v>
      </c>
      <c r="D391" s="20" t="s">
        <v>3705</v>
      </c>
      <c r="E391" s="20" t="s">
        <v>23</v>
      </c>
      <c r="F391" s="20" t="s">
        <v>24</v>
      </c>
      <c r="H391" s="20" t="s">
        <v>3706</v>
      </c>
      <c r="I391" s="20">
        <v>927.2</v>
      </c>
      <c r="J391" s="20">
        <v>927.2</v>
      </c>
      <c r="K391" s="20" t="s">
        <v>11</v>
      </c>
      <c r="L391" s="20">
        <v>927.2</v>
      </c>
      <c r="M391" s="20">
        <v>0</v>
      </c>
      <c r="N391" s="20">
        <v>927.2</v>
      </c>
      <c r="O391" s="20" t="s">
        <v>2156</v>
      </c>
      <c r="P391" s="20" t="s">
        <v>87</v>
      </c>
      <c r="Q391" s="20" t="s">
        <v>87</v>
      </c>
      <c r="R391" s="20" t="s">
        <v>3232</v>
      </c>
      <c r="S391" s="20" t="s">
        <v>3220</v>
      </c>
      <c r="T391" s="20" t="s">
        <v>206</v>
      </c>
      <c r="U391" s="20" t="s">
        <v>207</v>
      </c>
      <c r="V391" s="20" t="s">
        <v>3231</v>
      </c>
      <c r="W391" s="20">
        <v>147.32</v>
      </c>
      <c r="X391" s="20">
        <v>147.319975438668</v>
      </c>
      <c r="Y391" s="20" t="s">
        <v>3232</v>
      </c>
      <c r="Z391" s="20" t="s">
        <v>3220</v>
      </c>
      <c r="AB391" s="20" t="s">
        <v>2290</v>
      </c>
      <c r="AD391" s="20" t="s">
        <v>2290</v>
      </c>
      <c r="AE391" s="20" t="s">
        <v>2290</v>
      </c>
      <c r="AF391" s="20">
        <v>0</v>
      </c>
      <c r="AG391" s="20">
        <v>0</v>
      </c>
      <c r="AH391" s="20">
        <v>0</v>
      </c>
      <c r="AI391" s="20">
        <v>0</v>
      </c>
      <c r="AJ391" s="20">
        <v>0</v>
      </c>
      <c r="AK391" s="20" t="s">
        <v>576</v>
      </c>
      <c r="AL391" s="20">
        <v>0</v>
      </c>
      <c r="AM391" s="20">
        <v>0</v>
      </c>
      <c r="AN391" s="20">
        <v>0</v>
      </c>
      <c r="AO391" s="20">
        <v>0</v>
      </c>
      <c r="AP391" s="20">
        <v>0</v>
      </c>
      <c r="AR391" s="20">
        <v>0</v>
      </c>
      <c r="AS391" s="20">
        <v>0</v>
      </c>
      <c r="AT391" s="20">
        <v>2015343.12</v>
      </c>
      <c r="AU391" s="20" t="s">
        <v>13</v>
      </c>
      <c r="AV391" s="20" t="s">
        <v>24</v>
      </c>
      <c r="AW391" s="20" t="s">
        <v>79</v>
      </c>
      <c r="AX391" s="20" t="s">
        <v>208</v>
      </c>
      <c r="AY391" s="20" t="s">
        <v>209</v>
      </c>
      <c r="AZ391" s="20">
        <v>0</v>
      </c>
      <c r="BA391" s="20">
        <v>136595.07999999999</v>
      </c>
      <c r="BB391" s="20">
        <v>1258</v>
      </c>
      <c r="BC391" s="20" t="s">
        <v>3220</v>
      </c>
      <c r="BD391" s="20" t="s">
        <v>65</v>
      </c>
      <c r="BE391" s="20" t="s">
        <v>210</v>
      </c>
      <c r="BF391" s="20" t="s">
        <v>210</v>
      </c>
      <c r="BG391" s="20">
        <v>9</v>
      </c>
      <c r="BH391" s="20">
        <v>12293.56</v>
      </c>
      <c r="BI391" s="20">
        <v>9</v>
      </c>
      <c r="BJ391" s="20">
        <v>12293.56</v>
      </c>
      <c r="BK391" s="20">
        <v>0</v>
      </c>
      <c r="BL391" s="20">
        <v>0</v>
      </c>
      <c r="BM391" s="20">
        <v>0</v>
      </c>
      <c r="BN391" s="20">
        <v>672172780916</v>
      </c>
      <c r="BO391" s="111">
        <v>46264</v>
      </c>
      <c r="BP391" s="20">
        <v>0</v>
      </c>
    </row>
    <row r="392" spans="2:68">
      <c r="B392" s="20" t="s">
        <v>2165</v>
      </c>
      <c r="C392" s="20" t="s">
        <v>3220</v>
      </c>
      <c r="D392" s="20" t="s">
        <v>3705</v>
      </c>
      <c r="E392" s="20" t="s">
        <v>23</v>
      </c>
      <c r="F392" s="20" t="s">
        <v>24</v>
      </c>
      <c r="H392" s="20" t="s">
        <v>3706</v>
      </c>
      <c r="I392" s="20">
        <v>1118.9000000000001</v>
      </c>
      <c r="J392" s="20">
        <v>1118.9000000000001</v>
      </c>
      <c r="K392" s="20" t="s">
        <v>11</v>
      </c>
      <c r="L392" s="20">
        <v>1118.9000000000001</v>
      </c>
      <c r="M392" s="20">
        <v>0</v>
      </c>
      <c r="N392" s="20">
        <v>1118.9000000000001</v>
      </c>
      <c r="O392" s="20" t="s">
        <v>2156</v>
      </c>
      <c r="P392" s="20" t="s">
        <v>87</v>
      </c>
      <c r="Q392" s="20" t="s">
        <v>87</v>
      </c>
      <c r="R392" s="20" t="s">
        <v>3232</v>
      </c>
      <c r="S392" s="20" t="s">
        <v>3220</v>
      </c>
      <c r="T392" s="20" t="s">
        <v>206</v>
      </c>
      <c r="U392" s="20" t="s">
        <v>207</v>
      </c>
      <c r="V392" s="20" t="s">
        <v>3231</v>
      </c>
      <c r="W392" s="20">
        <v>144.32</v>
      </c>
      <c r="X392" s="20">
        <v>144.31997593883099</v>
      </c>
      <c r="Y392" s="20" t="s">
        <v>3232</v>
      </c>
      <c r="Z392" s="20" t="s">
        <v>3220</v>
      </c>
      <c r="AB392" s="20" t="s">
        <v>2290</v>
      </c>
      <c r="AD392" s="20" t="s">
        <v>2290</v>
      </c>
      <c r="AE392" s="20" t="s">
        <v>2290</v>
      </c>
      <c r="AF392" s="20">
        <v>0</v>
      </c>
      <c r="AG392" s="20">
        <v>0</v>
      </c>
      <c r="AH392" s="20">
        <v>0</v>
      </c>
      <c r="AI392" s="20">
        <v>0</v>
      </c>
      <c r="AJ392" s="20">
        <v>0</v>
      </c>
      <c r="AK392" s="20" t="s">
        <v>576</v>
      </c>
      <c r="AL392" s="20">
        <v>0</v>
      </c>
      <c r="AM392" s="20">
        <v>0</v>
      </c>
      <c r="AN392" s="20">
        <v>0</v>
      </c>
      <c r="AO392" s="20">
        <v>0</v>
      </c>
      <c r="AP392" s="20">
        <v>0</v>
      </c>
      <c r="AR392" s="20">
        <v>0</v>
      </c>
      <c r="AS392" s="20">
        <v>0</v>
      </c>
      <c r="AT392" s="20">
        <v>2015343.12</v>
      </c>
      <c r="AU392" s="20" t="s">
        <v>13</v>
      </c>
      <c r="AV392" s="20" t="s">
        <v>24</v>
      </c>
      <c r="AW392" s="20" t="s">
        <v>79</v>
      </c>
      <c r="AX392" s="20" t="s">
        <v>208</v>
      </c>
      <c r="AY392" s="20" t="s">
        <v>209</v>
      </c>
      <c r="AZ392" s="20">
        <v>0</v>
      </c>
      <c r="BA392" s="20">
        <v>161479.62</v>
      </c>
      <c r="BB392" s="20">
        <v>1258</v>
      </c>
      <c r="BC392" s="20" t="s">
        <v>3220</v>
      </c>
      <c r="BD392" s="20" t="s">
        <v>65</v>
      </c>
      <c r="BE392" s="20" t="s">
        <v>210</v>
      </c>
      <c r="BF392" s="20" t="s">
        <v>210</v>
      </c>
      <c r="BG392" s="20">
        <v>9</v>
      </c>
      <c r="BH392" s="20">
        <v>14533.17</v>
      </c>
      <c r="BI392" s="20">
        <v>9</v>
      </c>
      <c r="BJ392" s="20">
        <v>14533.17</v>
      </c>
      <c r="BK392" s="20">
        <v>0</v>
      </c>
      <c r="BL392" s="20">
        <v>0</v>
      </c>
      <c r="BM392" s="20">
        <v>0</v>
      </c>
      <c r="BN392" s="20">
        <v>672172780916</v>
      </c>
      <c r="BO392" s="111">
        <v>46264</v>
      </c>
      <c r="BP392" s="20">
        <v>0</v>
      </c>
    </row>
    <row r="393" spans="2:68">
      <c r="B393" s="20" t="s">
        <v>2165</v>
      </c>
      <c r="C393" s="20" t="s">
        <v>3233</v>
      </c>
      <c r="D393" s="20" t="s">
        <v>3707</v>
      </c>
      <c r="E393" s="20" t="s">
        <v>211</v>
      </c>
      <c r="F393" s="20" t="s">
        <v>16</v>
      </c>
      <c r="H393" s="20" t="s">
        <v>3708</v>
      </c>
      <c r="I393" s="20">
        <v>1153</v>
      </c>
      <c r="J393" s="20">
        <v>1153</v>
      </c>
      <c r="K393" s="20" t="s">
        <v>11</v>
      </c>
      <c r="L393" s="20">
        <v>1153</v>
      </c>
      <c r="M393" s="20">
        <v>0</v>
      </c>
      <c r="N393" s="20">
        <v>1153</v>
      </c>
      <c r="O393" s="20" t="s">
        <v>3709</v>
      </c>
      <c r="P393" s="20" t="s">
        <v>94</v>
      </c>
      <c r="Q393" s="20" t="s">
        <v>94</v>
      </c>
      <c r="R393" s="20" t="s">
        <v>3251</v>
      </c>
      <c r="S393" s="20" t="s">
        <v>3233</v>
      </c>
      <c r="T393" s="20" t="s">
        <v>206</v>
      </c>
      <c r="U393" s="20" t="s">
        <v>207</v>
      </c>
      <c r="V393" s="20" t="s">
        <v>3250</v>
      </c>
      <c r="W393" s="20">
        <v>199.8</v>
      </c>
      <c r="X393" s="20">
        <v>199.8</v>
      </c>
      <c r="Y393" s="20" t="s">
        <v>3251</v>
      </c>
      <c r="Z393" s="20" t="s">
        <v>3233</v>
      </c>
      <c r="AB393" s="20" t="s">
        <v>2290</v>
      </c>
      <c r="AD393" s="20" t="s">
        <v>2290</v>
      </c>
      <c r="AE393" s="20" t="s">
        <v>2290</v>
      </c>
      <c r="AF393" s="20">
        <v>0</v>
      </c>
      <c r="AG393" s="20">
        <v>0</v>
      </c>
      <c r="AH393" s="20">
        <v>0</v>
      </c>
      <c r="AI393" s="20">
        <v>0</v>
      </c>
      <c r="AJ393" s="20">
        <v>0</v>
      </c>
      <c r="AK393" s="20" t="s">
        <v>576</v>
      </c>
      <c r="AL393" s="20">
        <v>0</v>
      </c>
      <c r="AM393" s="20">
        <v>0</v>
      </c>
      <c r="AN393" s="20">
        <v>0</v>
      </c>
      <c r="AO393" s="20">
        <v>0</v>
      </c>
      <c r="AP393" s="20">
        <v>0</v>
      </c>
      <c r="AR393" s="20">
        <v>0</v>
      </c>
      <c r="AS393" s="20">
        <v>0</v>
      </c>
      <c r="AT393" s="20">
        <v>271835.90000000002</v>
      </c>
      <c r="AU393" s="20" t="s">
        <v>15</v>
      </c>
      <c r="AV393" s="20" t="s">
        <v>57</v>
      </c>
      <c r="AW393" s="20" t="s">
        <v>57</v>
      </c>
      <c r="AX393" s="20" t="s">
        <v>208</v>
      </c>
      <c r="AY393" s="20" t="s">
        <v>209</v>
      </c>
      <c r="AZ393" s="20">
        <v>0</v>
      </c>
      <c r="BA393" s="20">
        <v>230369.4</v>
      </c>
      <c r="BB393" s="20">
        <v>1261</v>
      </c>
      <c r="BC393" s="20" t="s">
        <v>3233</v>
      </c>
      <c r="BD393" s="20" t="s">
        <v>74</v>
      </c>
      <c r="BE393" s="20" t="s">
        <v>210</v>
      </c>
      <c r="BF393" s="20" t="s">
        <v>210</v>
      </c>
      <c r="BG393" s="20">
        <v>9</v>
      </c>
      <c r="BH393" s="20">
        <v>20733.25</v>
      </c>
      <c r="BI393" s="20">
        <v>9</v>
      </c>
      <c r="BJ393" s="20">
        <v>20733.25</v>
      </c>
      <c r="BK393" s="20">
        <v>0</v>
      </c>
      <c r="BL393" s="20">
        <v>0</v>
      </c>
      <c r="BM393" s="20">
        <v>271835.90000000002</v>
      </c>
      <c r="BN393" s="20">
        <v>622173072482</v>
      </c>
      <c r="BO393" s="111">
        <v>46265</v>
      </c>
      <c r="BP393" s="20">
        <v>0</v>
      </c>
    </row>
    <row r="394" spans="2:68">
      <c r="B394" s="20" t="s">
        <v>2165</v>
      </c>
      <c r="C394" s="20" t="s">
        <v>3233</v>
      </c>
      <c r="D394" s="20" t="s">
        <v>3710</v>
      </c>
      <c r="E394" s="20" t="s">
        <v>1583</v>
      </c>
      <c r="F394" s="20" t="s">
        <v>1582</v>
      </c>
      <c r="H394" s="20" t="s">
        <v>3711</v>
      </c>
      <c r="I394" s="20">
        <v>383</v>
      </c>
      <c r="J394" s="20">
        <v>383</v>
      </c>
      <c r="K394" s="20" t="s">
        <v>11</v>
      </c>
      <c r="L394" s="20">
        <v>383</v>
      </c>
      <c r="M394" s="20">
        <v>0</v>
      </c>
      <c r="N394" s="20">
        <v>383</v>
      </c>
      <c r="O394" s="20" t="s">
        <v>3712</v>
      </c>
      <c r="P394" s="20" t="s">
        <v>93</v>
      </c>
      <c r="Q394" s="20" t="s">
        <v>93</v>
      </c>
      <c r="R394" s="20" t="s">
        <v>3237</v>
      </c>
      <c r="S394" s="20" t="s">
        <v>3220</v>
      </c>
      <c r="T394" s="20" t="s">
        <v>206</v>
      </c>
      <c r="U394" s="20" t="s">
        <v>207</v>
      </c>
      <c r="V394" s="20" t="s">
        <v>3236</v>
      </c>
      <c r="W394" s="20">
        <v>159.4</v>
      </c>
      <c r="X394" s="20">
        <v>159.4</v>
      </c>
      <c r="Y394" s="20" t="s">
        <v>3237</v>
      </c>
      <c r="Z394" s="20" t="s">
        <v>3220</v>
      </c>
      <c r="AB394" s="20" t="s">
        <v>212</v>
      </c>
      <c r="AD394" s="20" t="s">
        <v>213</v>
      </c>
      <c r="AE394" s="20" t="s">
        <v>212</v>
      </c>
      <c r="AF394" s="20">
        <v>0</v>
      </c>
      <c r="AG394" s="20">
        <v>0</v>
      </c>
      <c r="AH394" s="20">
        <v>0</v>
      </c>
      <c r="AI394" s="20">
        <v>0</v>
      </c>
      <c r="AJ394" s="20">
        <v>0</v>
      </c>
      <c r="AK394" s="20" t="s">
        <v>576</v>
      </c>
      <c r="AL394" s="20">
        <v>0</v>
      </c>
      <c r="AM394" s="20">
        <v>0</v>
      </c>
      <c r="AN394" s="20">
        <v>0</v>
      </c>
      <c r="AO394" s="20">
        <v>0</v>
      </c>
      <c r="AP394" s="20">
        <v>0</v>
      </c>
      <c r="AR394" s="20">
        <v>0</v>
      </c>
      <c r="AS394" s="20">
        <v>0</v>
      </c>
      <c r="AT394" s="20">
        <v>94483.42</v>
      </c>
      <c r="AU394" s="20" t="s">
        <v>13</v>
      </c>
      <c r="AV394" s="20" t="s">
        <v>99</v>
      </c>
      <c r="AW394" s="20" t="s">
        <v>100</v>
      </c>
      <c r="AX394" s="20" t="s">
        <v>208</v>
      </c>
      <c r="AY394" s="20" t="s">
        <v>209</v>
      </c>
      <c r="AZ394" s="20">
        <v>0</v>
      </c>
      <c r="BA394" s="20">
        <v>61050.2</v>
      </c>
      <c r="BB394" s="20">
        <v>1264</v>
      </c>
      <c r="BC394" s="20" t="s">
        <v>3233</v>
      </c>
      <c r="BD394" s="20" t="s">
        <v>59</v>
      </c>
      <c r="BE394" s="20" t="s">
        <v>210</v>
      </c>
      <c r="BF394" s="20" t="s">
        <v>210</v>
      </c>
      <c r="BG394" s="20">
        <v>2.5</v>
      </c>
      <c r="BH394" s="20">
        <v>1526.26</v>
      </c>
      <c r="BI394" s="20">
        <v>2.5</v>
      </c>
      <c r="BJ394" s="20">
        <v>1526.26</v>
      </c>
      <c r="BK394" s="20">
        <v>0</v>
      </c>
      <c r="BL394" s="20">
        <v>0</v>
      </c>
      <c r="BM394" s="20">
        <v>94483.42</v>
      </c>
      <c r="BN394" s="20">
        <v>652172879883</v>
      </c>
      <c r="BO394" s="111">
        <v>46264</v>
      </c>
      <c r="BP394" s="20">
        <v>0</v>
      </c>
    </row>
    <row r="395" spans="2:68">
      <c r="B395" s="20" t="s">
        <v>2165</v>
      </c>
      <c r="C395" s="20" t="s">
        <v>3233</v>
      </c>
      <c r="D395" s="20" t="s">
        <v>3710</v>
      </c>
      <c r="E395" s="20" t="s">
        <v>2396</v>
      </c>
      <c r="F395" s="20" t="s">
        <v>2377</v>
      </c>
      <c r="H395" s="20" t="s">
        <v>3711</v>
      </c>
      <c r="I395" s="20">
        <v>185</v>
      </c>
      <c r="J395" s="20">
        <v>185</v>
      </c>
      <c r="K395" s="20" t="s">
        <v>11</v>
      </c>
      <c r="L395" s="20">
        <v>185</v>
      </c>
      <c r="M395" s="20">
        <v>0</v>
      </c>
      <c r="N395" s="20">
        <v>185</v>
      </c>
      <c r="O395" s="20" t="s">
        <v>3712</v>
      </c>
      <c r="P395" s="20" t="s">
        <v>93</v>
      </c>
      <c r="Q395" s="20" t="s">
        <v>93</v>
      </c>
      <c r="R395" s="20" t="s">
        <v>3237</v>
      </c>
      <c r="S395" s="20" t="s">
        <v>3220</v>
      </c>
      <c r="T395" s="20" t="s">
        <v>206</v>
      </c>
      <c r="U395" s="20" t="s">
        <v>207</v>
      </c>
      <c r="V395" s="20" t="s">
        <v>3236</v>
      </c>
      <c r="W395" s="20">
        <v>156.4</v>
      </c>
      <c r="X395" s="20">
        <v>156.4</v>
      </c>
      <c r="Y395" s="20" t="s">
        <v>3237</v>
      </c>
      <c r="Z395" s="20" t="s">
        <v>3220</v>
      </c>
      <c r="AB395" s="20" t="s">
        <v>212</v>
      </c>
      <c r="AD395" s="20" t="s">
        <v>213</v>
      </c>
      <c r="AE395" s="20" t="s">
        <v>212</v>
      </c>
      <c r="AF395" s="20">
        <v>0</v>
      </c>
      <c r="AG395" s="20">
        <v>0</v>
      </c>
      <c r="AH395" s="20">
        <v>0</v>
      </c>
      <c r="AI395" s="20">
        <v>0</v>
      </c>
      <c r="AJ395" s="20">
        <v>0</v>
      </c>
      <c r="AK395" s="20" t="s">
        <v>576</v>
      </c>
      <c r="AL395" s="20">
        <v>0</v>
      </c>
      <c r="AM395" s="20">
        <v>0</v>
      </c>
      <c r="AN395" s="20">
        <v>0</v>
      </c>
      <c r="AO395" s="20">
        <v>0</v>
      </c>
      <c r="AP395" s="20">
        <v>0</v>
      </c>
      <c r="AR395" s="20">
        <v>0</v>
      </c>
      <c r="AS395" s="20">
        <v>0</v>
      </c>
      <c r="AT395" s="20">
        <v>94483.42</v>
      </c>
      <c r="AU395" s="20" t="s">
        <v>13</v>
      </c>
      <c r="AV395" s="20" t="s">
        <v>99</v>
      </c>
      <c r="AW395" s="20" t="s">
        <v>100</v>
      </c>
      <c r="AX395" s="20" t="s">
        <v>208</v>
      </c>
      <c r="AY395" s="20" t="s">
        <v>209</v>
      </c>
      <c r="AZ395" s="20">
        <v>0</v>
      </c>
      <c r="BA395" s="20">
        <v>28934</v>
      </c>
      <c r="BB395" s="20">
        <v>1264</v>
      </c>
      <c r="BC395" s="20" t="s">
        <v>3233</v>
      </c>
      <c r="BD395" s="20" t="s">
        <v>59</v>
      </c>
      <c r="BE395" s="20" t="s">
        <v>210</v>
      </c>
      <c r="BF395" s="20" t="s">
        <v>210</v>
      </c>
      <c r="BG395" s="20">
        <v>2.5</v>
      </c>
      <c r="BH395" s="20">
        <v>723.35</v>
      </c>
      <c r="BI395" s="20">
        <v>2.5</v>
      </c>
      <c r="BJ395" s="20">
        <v>723.35</v>
      </c>
      <c r="BK395" s="20">
        <v>0</v>
      </c>
      <c r="BL395" s="20">
        <v>0</v>
      </c>
      <c r="BM395" s="20">
        <v>0</v>
      </c>
      <c r="BN395" s="20">
        <v>652172879883</v>
      </c>
      <c r="BO395" s="111">
        <v>46264</v>
      </c>
      <c r="BP395" s="20">
        <v>0</v>
      </c>
    </row>
    <row r="396" spans="2:68">
      <c r="B396" s="20" t="s">
        <v>2165</v>
      </c>
      <c r="C396" s="20" t="s">
        <v>3233</v>
      </c>
      <c r="D396" s="20" t="s">
        <v>3713</v>
      </c>
      <c r="E396" s="20" t="s">
        <v>18</v>
      </c>
      <c r="F396" s="20" t="s">
        <v>19</v>
      </c>
      <c r="H396" s="20" t="s">
        <v>3714</v>
      </c>
      <c r="I396" s="20">
        <v>6618</v>
      </c>
      <c r="J396" s="20">
        <v>6618</v>
      </c>
      <c r="K396" s="20" t="s">
        <v>11</v>
      </c>
      <c r="L396" s="20">
        <v>6618</v>
      </c>
      <c r="M396" s="20">
        <v>0</v>
      </c>
      <c r="N396" s="20">
        <v>6618</v>
      </c>
      <c r="O396" s="20" t="s">
        <v>2156</v>
      </c>
      <c r="P396" s="20" t="s">
        <v>87</v>
      </c>
      <c r="Q396" s="20" t="s">
        <v>87</v>
      </c>
      <c r="R396" s="20" t="s">
        <v>3241</v>
      </c>
      <c r="S396" s="20" t="s">
        <v>3233</v>
      </c>
      <c r="T396" s="20" t="s">
        <v>206</v>
      </c>
      <c r="U396" s="20" t="s">
        <v>207</v>
      </c>
      <c r="V396" s="20" t="s">
        <v>3240</v>
      </c>
      <c r="W396" s="20">
        <v>142.32</v>
      </c>
      <c r="X396" s="20">
        <v>142.32</v>
      </c>
      <c r="Y396" s="20" t="s">
        <v>3241</v>
      </c>
      <c r="Z396" s="20" t="s">
        <v>3233</v>
      </c>
      <c r="AB396" s="20" t="s">
        <v>212</v>
      </c>
      <c r="AD396" s="20" t="s">
        <v>213</v>
      </c>
      <c r="AE396" s="20" t="s">
        <v>212</v>
      </c>
      <c r="AF396" s="20">
        <v>0</v>
      </c>
      <c r="AG396" s="20">
        <v>0</v>
      </c>
      <c r="AH396" s="20">
        <v>0</v>
      </c>
      <c r="AI396" s="20">
        <v>0</v>
      </c>
      <c r="AJ396" s="20">
        <v>0</v>
      </c>
      <c r="AK396" s="20" t="s">
        <v>576</v>
      </c>
      <c r="AL396" s="20">
        <v>0</v>
      </c>
      <c r="AM396" s="20">
        <v>0</v>
      </c>
      <c r="AN396" s="20">
        <v>0</v>
      </c>
      <c r="AO396" s="20">
        <v>0</v>
      </c>
      <c r="AP396" s="20">
        <v>0</v>
      </c>
      <c r="AR396" s="20">
        <v>0</v>
      </c>
      <c r="AS396" s="20">
        <v>0</v>
      </c>
      <c r="AT396" s="20">
        <v>1381548.02</v>
      </c>
      <c r="AU396" s="20" t="s">
        <v>13</v>
      </c>
      <c r="AV396" s="20" t="s">
        <v>62</v>
      </c>
      <c r="AW396" s="20" t="s">
        <v>63</v>
      </c>
      <c r="AX396" s="20" t="s">
        <v>208</v>
      </c>
      <c r="AY396" s="20" t="s">
        <v>209</v>
      </c>
      <c r="AZ396" s="20">
        <v>0</v>
      </c>
      <c r="BA396" s="20">
        <v>941873.76</v>
      </c>
      <c r="BB396" s="20">
        <v>1262</v>
      </c>
      <c r="BC396" s="20" t="s">
        <v>3233</v>
      </c>
      <c r="BD396" s="20" t="s">
        <v>65</v>
      </c>
      <c r="BE396" s="20" t="s">
        <v>210</v>
      </c>
      <c r="BF396" s="20" t="s">
        <v>210</v>
      </c>
      <c r="BG396" s="20">
        <v>9</v>
      </c>
      <c r="BH396" s="20">
        <v>84768.639999999999</v>
      </c>
      <c r="BI396" s="20">
        <v>9</v>
      </c>
      <c r="BJ396" s="20">
        <v>84768.639999999999</v>
      </c>
      <c r="BK396" s="20">
        <v>0</v>
      </c>
      <c r="BL396" s="20">
        <v>0</v>
      </c>
      <c r="BM396" s="20">
        <v>1381548.02</v>
      </c>
      <c r="BN396" s="20">
        <v>662173040676</v>
      </c>
      <c r="BO396" s="111">
        <v>46265</v>
      </c>
      <c r="BP396" s="20">
        <v>0</v>
      </c>
    </row>
    <row r="397" spans="2:68">
      <c r="B397" s="20" t="s">
        <v>2165</v>
      </c>
      <c r="C397" s="20" t="s">
        <v>3233</v>
      </c>
      <c r="D397" s="20" t="s">
        <v>3713</v>
      </c>
      <c r="E397" s="20" t="s">
        <v>18</v>
      </c>
      <c r="F397" s="20" t="s">
        <v>19</v>
      </c>
      <c r="H397" s="20" t="s">
        <v>3714</v>
      </c>
      <c r="I397" s="20">
        <v>1337</v>
      </c>
      <c r="J397" s="20">
        <v>1337</v>
      </c>
      <c r="K397" s="20" t="s">
        <v>11</v>
      </c>
      <c r="L397" s="20">
        <v>1337</v>
      </c>
      <c r="M397" s="20">
        <v>0</v>
      </c>
      <c r="N397" s="20">
        <v>1337</v>
      </c>
      <c r="O397" s="20" t="s">
        <v>2156</v>
      </c>
      <c r="P397" s="20" t="s">
        <v>87</v>
      </c>
      <c r="Q397" s="20" t="s">
        <v>87</v>
      </c>
      <c r="R397" s="20" t="s">
        <v>3241</v>
      </c>
      <c r="S397" s="20" t="s">
        <v>3233</v>
      </c>
      <c r="T397" s="20" t="s">
        <v>206</v>
      </c>
      <c r="U397" s="20" t="s">
        <v>207</v>
      </c>
      <c r="V397" s="20" t="s">
        <v>3240</v>
      </c>
      <c r="W397" s="20">
        <v>145.32</v>
      </c>
      <c r="X397" s="20">
        <v>145.32</v>
      </c>
      <c r="Y397" s="20" t="s">
        <v>3241</v>
      </c>
      <c r="Z397" s="20" t="s">
        <v>3233</v>
      </c>
      <c r="AB397" s="20" t="s">
        <v>212</v>
      </c>
      <c r="AD397" s="20" t="s">
        <v>213</v>
      </c>
      <c r="AE397" s="20" t="s">
        <v>212</v>
      </c>
      <c r="AF397" s="20">
        <v>0</v>
      </c>
      <c r="AG397" s="20">
        <v>0</v>
      </c>
      <c r="AH397" s="20">
        <v>0</v>
      </c>
      <c r="AI397" s="20">
        <v>0</v>
      </c>
      <c r="AJ397" s="20">
        <v>0</v>
      </c>
      <c r="AK397" s="20" t="s">
        <v>576</v>
      </c>
      <c r="AL397" s="20">
        <v>0</v>
      </c>
      <c r="AM397" s="20">
        <v>0</v>
      </c>
      <c r="AN397" s="20">
        <v>0</v>
      </c>
      <c r="AO397" s="20">
        <v>0</v>
      </c>
      <c r="AP397" s="20">
        <v>0</v>
      </c>
      <c r="AR397" s="20">
        <v>0</v>
      </c>
      <c r="AS397" s="20">
        <v>0</v>
      </c>
      <c r="AT397" s="20">
        <v>1381548.02</v>
      </c>
      <c r="AU397" s="20" t="s">
        <v>13</v>
      </c>
      <c r="AV397" s="20" t="s">
        <v>62</v>
      </c>
      <c r="AW397" s="20" t="s">
        <v>63</v>
      </c>
      <c r="AX397" s="20" t="s">
        <v>208</v>
      </c>
      <c r="AY397" s="20" t="s">
        <v>209</v>
      </c>
      <c r="AZ397" s="20">
        <v>0</v>
      </c>
      <c r="BA397" s="20">
        <v>194292.84</v>
      </c>
      <c r="BB397" s="20">
        <v>1262</v>
      </c>
      <c r="BC397" s="20" t="s">
        <v>3233</v>
      </c>
      <c r="BD397" s="20" t="s">
        <v>65</v>
      </c>
      <c r="BE397" s="20" t="s">
        <v>210</v>
      </c>
      <c r="BF397" s="20" t="s">
        <v>210</v>
      </c>
      <c r="BG397" s="20">
        <v>9</v>
      </c>
      <c r="BH397" s="20">
        <v>17486.36</v>
      </c>
      <c r="BI397" s="20">
        <v>9</v>
      </c>
      <c r="BJ397" s="20">
        <v>17486.36</v>
      </c>
      <c r="BK397" s="20">
        <v>0</v>
      </c>
      <c r="BL397" s="20">
        <v>0</v>
      </c>
      <c r="BM397" s="20">
        <v>0</v>
      </c>
      <c r="BN397" s="20">
        <v>662173040676</v>
      </c>
      <c r="BO397" s="111">
        <v>46265</v>
      </c>
      <c r="BP397" s="20">
        <v>0</v>
      </c>
    </row>
    <row r="398" spans="2:68">
      <c r="B398" s="20" t="s">
        <v>2165</v>
      </c>
      <c r="C398" s="20" t="s">
        <v>3233</v>
      </c>
      <c r="D398" s="20" t="s">
        <v>3713</v>
      </c>
      <c r="E398" s="20" t="s">
        <v>18</v>
      </c>
      <c r="F398" s="20" t="s">
        <v>19</v>
      </c>
      <c r="H398" s="20" t="s">
        <v>3714</v>
      </c>
      <c r="I398" s="20">
        <v>240</v>
      </c>
      <c r="J398" s="20">
        <v>240</v>
      </c>
      <c r="K398" s="20" t="s">
        <v>11</v>
      </c>
      <c r="L398" s="20">
        <v>240</v>
      </c>
      <c r="M398" s="20">
        <v>0</v>
      </c>
      <c r="N398" s="20">
        <v>240</v>
      </c>
      <c r="O398" s="20" t="s">
        <v>2156</v>
      </c>
      <c r="P398" s="20" t="s">
        <v>87</v>
      </c>
      <c r="Q398" s="20" t="s">
        <v>87</v>
      </c>
      <c r="R398" s="20" t="s">
        <v>3241</v>
      </c>
      <c r="S398" s="20" t="s">
        <v>3233</v>
      </c>
      <c r="T398" s="20" t="s">
        <v>206</v>
      </c>
      <c r="U398" s="20" t="s">
        <v>207</v>
      </c>
      <c r="V398" s="20" t="s">
        <v>3240</v>
      </c>
      <c r="W398" s="20">
        <v>144.32</v>
      </c>
      <c r="X398" s="20">
        <v>144.32</v>
      </c>
      <c r="Y398" s="20" t="s">
        <v>3241</v>
      </c>
      <c r="Z398" s="20" t="s">
        <v>3233</v>
      </c>
      <c r="AB398" s="20" t="s">
        <v>212</v>
      </c>
      <c r="AD398" s="20" t="s">
        <v>213</v>
      </c>
      <c r="AE398" s="20" t="s">
        <v>212</v>
      </c>
      <c r="AF398" s="20">
        <v>0</v>
      </c>
      <c r="AG398" s="20">
        <v>0</v>
      </c>
      <c r="AH398" s="20">
        <v>0</v>
      </c>
      <c r="AI398" s="20">
        <v>0</v>
      </c>
      <c r="AJ398" s="20">
        <v>0</v>
      </c>
      <c r="AK398" s="20" t="s">
        <v>576</v>
      </c>
      <c r="AL398" s="20">
        <v>0</v>
      </c>
      <c r="AM398" s="20">
        <v>0</v>
      </c>
      <c r="AN398" s="20">
        <v>0</v>
      </c>
      <c r="AO398" s="20">
        <v>0</v>
      </c>
      <c r="AP398" s="20">
        <v>0</v>
      </c>
      <c r="AR398" s="20">
        <v>0</v>
      </c>
      <c r="AS398" s="20">
        <v>0</v>
      </c>
      <c r="AT398" s="20">
        <v>1381548.02</v>
      </c>
      <c r="AU398" s="20" t="s">
        <v>13</v>
      </c>
      <c r="AV398" s="20" t="s">
        <v>62</v>
      </c>
      <c r="AW398" s="20" t="s">
        <v>63</v>
      </c>
      <c r="AX398" s="20" t="s">
        <v>208</v>
      </c>
      <c r="AY398" s="20" t="s">
        <v>209</v>
      </c>
      <c r="AZ398" s="20">
        <v>0</v>
      </c>
      <c r="BA398" s="20">
        <v>34636.800000000003</v>
      </c>
      <c r="BB398" s="20">
        <v>1262</v>
      </c>
      <c r="BC398" s="20" t="s">
        <v>3233</v>
      </c>
      <c r="BD398" s="20" t="s">
        <v>65</v>
      </c>
      <c r="BE398" s="20" t="s">
        <v>210</v>
      </c>
      <c r="BF398" s="20" t="s">
        <v>210</v>
      </c>
      <c r="BG398" s="20">
        <v>9</v>
      </c>
      <c r="BH398" s="20">
        <v>3117.31</v>
      </c>
      <c r="BI398" s="20">
        <v>9</v>
      </c>
      <c r="BJ398" s="20">
        <v>3117.31</v>
      </c>
      <c r="BK398" s="20">
        <v>0</v>
      </c>
      <c r="BL398" s="20">
        <v>0</v>
      </c>
      <c r="BM398" s="20">
        <v>0</v>
      </c>
      <c r="BN398" s="20">
        <v>662173040676</v>
      </c>
      <c r="BO398" s="111">
        <v>46265</v>
      </c>
      <c r="BP398" s="20">
        <v>0</v>
      </c>
    </row>
    <row r="399" spans="2:68">
      <c r="B399" s="20" t="s">
        <v>2165</v>
      </c>
      <c r="C399" s="20" t="s">
        <v>3233</v>
      </c>
      <c r="D399" s="20" t="s">
        <v>3715</v>
      </c>
      <c r="E399" s="20" t="s">
        <v>18</v>
      </c>
      <c r="F399" s="20" t="s">
        <v>19</v>
      </c>
      <c r="H399" s="20" t="s">
        <v>3716</v>
      </c>
      <c r="I399" s="20">
        <v>2264</v>
      </c>
      <c r="J399" s="20">
        <v>2264</v>
      </c>
      <c r="K399" s="20" t="s">
        <v>11</v>
      </c>
      <c r="L399" s="20">
        <v>2264</v>
      </c>
      <c r="M399" s="20">
        <v>0</v>
      </c>
      <c r="N399" s="20">
        <v>2264</v>
      </c>
      <c r="O399" s="20" t="s">
        <v>2316</v>
      </c>
      <c r="P399" s="20" t="s">
        <v>87</v>
      </c>
      <c r="Q399" s="20" t="s">
        <v>87</v>
      </c>
      <c r="R399" s="20" t="s">
        <v>3243</v>
      </c>
      <c r="S399" s="20" t="s">
        <v>3233</v>
      </c>
      <c r="T399" s="20" t="s">
        <v>206</v>
      </c>
      <c r="U399" s="20" t="s">
        <v>207</v>
      </c>
      <c r="V399" s="20" t="s">
        <v>3242</v>
      </c>
      <c r="W399" s="20">
        <v>142.32</v>
      </c>
      <c r="X399" s="20">
        <v>142.32000038933501</v>
      </c>
      <c r="Y399" s="20" t="s">
        <v>3243</v>
      </c>
      <c r="Z399" s="20" t="s">
        <v>3233</v>
      </c>
      <c r="AB399" s="20" t="s">
        <v>212</v>
      </c>
      <c r="AD399" s="20" t="s">
        <v>2125</v>
      </c>
      <c r="AE399" s="20" t="s">
        <v>3717</v>
      </c>
      <c r="AF399" s="20">
        <v>0</v>
      </c>
      <c r="AG399" s="20">
        <v>0</v>
      </c>
      <c r="AH399" s="20">
        <v>0</v>
      </c>
      <c r="AI399" s="20">
        <v>0</v>
      </c>
      <c r="AJ399" s="20">
        <v>0</v>
      </c>
      <c r="AK399" s="20" t="s">
        <v>576</v>
      </c>
      <c r="AL399" s="20">
        <v>0</v>
      </c>
      <c r="AM399" s="20">
        <v>0</v>
      </c>
      <c r="AN399" s="20">
        <v>0</v>
      </c>
      <c r="AO399" s="20">
        <v>0</v>
      </c>
      <c r="AP399" s="20">
        <v>0</v>
      </c>
      <c r="AR399" s="20">
        <v>0</v>
      </c>
      <c r="AS399" s="20">
        <v>0</v>
      </c>
      <c r="AT399" s="20">
        <v>1462184.38</v>
      </c>
      <c r="AU399" s="20" t="s">
        <v>13</v>
      </c>
      <c r="AV399" s="20" t="s">
        <v>62</v>
      </c>
      <c r="AW399" s="20" t="s">
        <v>63</v>
      </c>
      <c r="AX399" s="20" t="s">
        <v>208</v>
      </c>
      <c r="AY399" s="20" t="s">
        <v>209</v>
      </c>
      <c r="AZ399" s="20">
        <v>0</v>
      </c>
      <c r="BA399" s="20">
        <v>322212.47999999998</v>
      </c>
      <c r="BB399" s="20">
        <v>1265</v>
      </c>
      <c r="BC399" s="20" t="s">
        <v>3233</v>
      </c>
      <c r="BD399" s="20" t="s">
        <v>65</v>
      </c>
      <c r="BE399" s="20" t="s">
        <v>210</v>
      </c>
      <c r="BF399" s="20" t="s">
        <v>210</v>
      </c>
      <c r="BG399" s="20">
        <v>9</v>
      </c>
      <c r="BH399" s="20">
        <v>28999.119999999999</v>
      </c>
      <c r="BI399" s="20">
        <v>9</v>
      </c>
      <c r="BJ399" s="20">
        <v>28999.119999999999</v>
      </c>
      <c r="BK399" s="20">
        <v>0</v>
      </c>
      <c r="BL399" s="20">
        <v>0</v>
      </c>
      <c r="BM399" s="20">
        <v>1462184.38</v>
      </c>
      <c r="BN399" s="20">
        <v>662173147203</v>
      </c>
      <c r="BO399" s="111">
        <v>46265</v>
      </c>
      <c r="BP399" s="20">
        <v>0</v>
      </c>
    </row>
    <row r="400" spans="2:68">
      <c r="B400" s="20" t="s">
        <v>2165</v>
      </c>
      <c r="C400" s="20" t="s">
        <v>3233</v>
      </c>
      <c r="D400" s="20" t="s">
        <v>3715</v>
      </c>
      <c r="E400" s="20" t="s">
        <v>18</v>
      </c>
      <c r="F400" s="20" t="s">
        <v>19</v>
      </c>
      <c r="H400" s="20" t="s">
        <v>3716</v>
      </c>
      <c r="I400" s="20">
        <v>1133</v>
      </c>
      <c r="J400" s="20">
        <v>1133</v>
      </c>
      <c r="K400" s="20" t="s">
        <v>11</v>
      </c>
      <c r="L400" s="20">
        <v>1133</v>
      </c>
      <c r="M400" s="20">
        <v>0</v>
      </c>
      <c r="N400" s="20">
        <v>1133</v>
      </c>
      <c r="O400" s="20" t="s">
        <v>2316</v>
      </c>
      <c r="P400" s="20" t="s">
        <v>87</v>
      </c>
      <c r="Q400" s="20" t="s">
        <v>87</v>
      </c>
      <c r="R400" s="20" t="s">
        <v>3243</v>
      </c>
      <c r="S400" s="20" t="s">
        <v>3233</v>
      </c>
      <c r="T400" s="20" t="s">
        <v>206</v>
      </c>
      <c r="U400" s="20" t="s">
        <v>207</v>
      </c>
      <c r="V400" s="20" t="s">
        <v>3242</v>
      </c>
      <c r="W400" s="20">
        <v>145.32</v>
      </c>
      <c r="X400" s="20">
        <v>145.320000397542</v>
      </c>
      <c r="Y400" s="20" t="s">
        <v>3243</v>
      </c>
      <c r="Z400" s="20" t="s">
        <v>3233</v>
      </c>
      <c r="AB400" s="20" t="s">
        <v>212</v>
      </c>
      <c r="AD400" s="20" t="s">
        <v>2125</v>
      </c>
      <c r="AE400" s="20" t="s">
        <v>3717</v>
      </c>
      <c r="AF400" s="20">
        <v>0</v>
      </c>
      <c r="AG400" s="20">
        <v>0</v>
      </c>
      <c r="AH400" s="20">
        <v>0</v>
      </c>
      <c r="AI400" s="20">
        <v>0</v>
      </c>
      <c r="AJ400" s="20">
        <v>0</v>
      </c>
      <c r="AK400" s="20" t="s">
        <v>576</v>
      </c>
      <c r="AL400" s="20">
        <v>0</v>
      </c>
      <c r="AM400" s="20">
        <v>0</v>
      </c>
      <c r="AN400" s="20">
        <v>0</v>
      </c>
      <c r="AO400" s="20">
        <v>0</v>
      </c>
      <c r="AP400" s="20">
        <v>0</v>
      </c>
      <c r="AR400" s="20">
        <v>0</v>
      </c>
      <c r="AS400" s="20">
        <v>0</v>
      </c>
      <c r="AT400" s="20">
        <v>1462184.38</v>
      </c>
      <c r="AU400" s="20" t="s">
        <v>13</v>
      </c>
      <c r="AV400" s="20" t="s">
        <v>62</v>
      </c>
      <c r="AW400" s="20" t="s">
        <v>63</v>
      </c>
      <c r="AX400" s="20" t="s">
        <v>208</v>
      </c>
      <c r="AY400" s="20" t="s">
        <v>209</v>
      </c>
      <c r="AZ400" s="20">
        <v>0</v>
      </c>
      <c r="BA400" s="20">
        <v>164647.56</v>
      </c>
      <c r="BB400" s="20">
        <v>1265</v>
      </c>
      <c r="BC400" s="20" t="s">
        <v>3233</v>
      </c>
      <c r="BD400" s="20" t="s">
        <v>65</v>
      </c>
      <c r="BE400" s="20" t="s">
        <v>210</v>
      </c>
      <c r="BF400" s="20" t="s">
        <v>210</v>
      </c>
      <c r="BG400" s="20">
        <v>9</v>
      </c>
      <c r="BH400" s="20">
        <v>14818.28</v>
      </c>
      <c r="BI400" s="20">
        <v>9</v>
      </c>
      <c r="BJ400" s="20">
        <v>14818.28</v>
      </c>
      <c r="BK400" s="20">
        <v>0</v>
      </c>
      <c r="BL400" s="20">
        <v>0</v>
      </c>
      <c r="BM400" s="20">
        <v>0</v>
      </c>
      <c r="BN400" s="20">
        <v>662173147203</v>
      </c>
      <c r="BO400" s="111">
        <v>46265</v>
      </c>
      <c r="BP400" s="20">
        <v>0</v>
      </c>
    </row>
    <row r="401" spans="2:68">
      <c r="B401" s="20" t="s">
        <v>2165</v>
      </c>
      <c r="C401" s="20" t="s">
        <v>3233</v>
      </c>
      <c r="D401" s="20" t="s">
        <v>3715</v>
      </c>
      <c r="E401" s="20" t="s">
        <v>18</v>
      </c>
      <c r="F401" s="20" t="s">
        <v>19</v>
      </c>
      <c r="H401" s="20" t="s">
        <v>3716</v>
      </c>
      <c r="I401" s="20">
        <v>251</v>
      </c>
      <c r="J401" s="20">
        <v>251</v>
      </c>
      <c r="K401" s="20" t="s">
        <v>11</v>
      </c>
      <c r="L401" s="20">
        <v>251</v>
      </c>
      <c r="M401" s="20">
        <v>0</v>
      </c>
      <c r="N401" s="20">
        <v>251</v>
      </c>
      <c r="O401" s="20" t="s">
        <v>2316</v>
      </c>
      <c r="P401" s="20" t="s">
        <v>87</v>
      </c>
      <c r="Q401" s="20" t="s">
        <v>87</v>
      </c>
      <c r="R401" s="20" t="s">
        <v>3243</v>
      </c>
      <c r="S401" s="20" t="s">
        <v>3233</v>
      </c>
      <c r="T401" s="20" t="s">
        <v>206</v>
      </c>
      <c r="U401" s="20" t="s">
        <v>207</v>
      </c>
      <c r="V401" s="20" t="s">
        <v>3242</v>
      </c>
      <c r="W401" s="20">
        <v>144.32</v>
      </c>
      <c r="X401" s="20">
        <v>144.32000039480701</v>
      </c>
      <c r="Y401" s="20" t="s">
        <v>3243</v>
      </c>
      <c r="Z401" s="20" t="s">
        <v>3233</v>
      </c>
      <c r="AB401" s="20" t="s">
        <v>212</v>
      </c>
      <c r="AD401" s="20" t="s">
        <v>2125</v>
      </c>
      <c r="AE401" s="20" t="s">
        <v>3717</v>
      </c>
      <c r="AF401" s="20">
        <v>0</v>
      </c>
      <c r="AG401" s="20">
        <v>0</v>
      </c>
      <c r="AH401" s="20">
        <v>0</v>
      </c>
      <c r="AI401" s="20">
        <v>0</v>
      </c>
      <c r="AJ401" s="20">
        <v>0</v>
      </c>
      <c r="AK401" s="20" t="s">
        <v>576</v>
      </c>
      <c r="AL401" s="20">
        <v>0</v>
      </c>
      <c r="AM401" s="20">
        <v>0</v>
      </c>
      <c r="AN401" s="20">
        <v>0</v>
      </c>
      <c r="AO401" s="20">
        <v>0</v>
      </c>
      <c r="AP401" s="20">
        <v>0</v>
      </c>
      <c r="AR401" s="20">
        <v>0</v>
      </c>
      <c r="AS401" s="20">
        <v>0</v>
      </c>
      <c r="AT401" s="20">
        <v>1462184.38</v>
      </c>
      <c r="AU401" s="20" t="s">
        <v>13</v>
      </c>
      <c r="AV401" s="20" t="s">
        <v>62</v>
      </c>
      <c r="AW401" s="20" t="s">
        <v>63</v>
      </c>
      <c r="AX401" s="20" t="s">
        <v>208</v>
      </c>
      <c r="AY401" s="20" t="s">
        <v>209</v>
      </c>
      <c r="AZ401" s="20">
        <v>0</v>
      </c>
      <c r="BA401" s="20">
        <v>36224.32</v>
      </c>
      <c r="BB401" s="20">
        <v>1265</v>
      </c>
      <c r="BC401" s="20" t="s">
        <v>3233</v>
      </c>
      <c r="BD401" s="20" t="s">
        <v>65</v>
      </c>
      <c r="BE401" s="20" t="s">
        <v>210</v>
      </c>
      <c r="BF401" s="20" t="s">
        <v>210</v>
      </c>
      <c r="BG401" s="20">
        <v>9</v>
      </c>
      <c r="BH401" s="20">
        <v>3260.19</v>
      </c>
      <c r="BI401" s="20">
        <v>9</v>
      </c>
      <c r="BJ401" s="20">
        <v>3260.19</v>
      </c>
      <c r="BK401" s="20">
        <v>0</v>
      </c>
      <c r="BL401" s="20">
        <v>0</v>
      </c>
      <c r="BM401" s="20">
        <v>0</v>
      </c>
      <c r="BN401" s="20">
        <v>662173147203</v>
      </c>
      <c r="BO401" s="111">
        <v>46265</v>
      </c>
      <c r="BP401" s="20">
        <v>0</v>
      </c>
    </row>
    <row r="402" spans="2:68">
      <c r="B402" s="20" t="s">
        <v>2165</v>
      </c>
      <c r="C402" s="20" t="s">
        <v>3233</v>
      </c>
      <c r="D402" s="20" t="s">
        <v>3715</v>
      </c>
      <c r="E402" s="20" t="s">
        <v>160</v>
      </c>
      <c r="F402" s="20" t="s">
        <v>17</v>
      </c>
      <c r="H402" s="20" t="s">
        <v>3716</v>
      </c>
      <c r="I402" s="20">
        <v>2165</v>
      </c>
      <c r="J402" s="20">
        <v>2165</v>
      </c>
      <c r="K402" s="20" t="s">
        <v>11</v>
      </c>
      <c r="L402" s="20">
        <v>2165</v>
      </c>
      <c r="M402" s="20">
        <v>0</v>
      </c>
      <c r="N402" s="20">
        <v>2165</v>
      </c>
      <c r="O402" s="20" t="s">
        <v>2316</v>
      </c>
      <c r="P402" s="20" t="s">
        <v>87</v>
      </c>
      <c r="Q402" s="20" t="s">
        <v>87</v>
      </c>
      <c r="R402" s="20" t="s">
        <v>3243</v>
      </c>
      <c r="S402" s="20" t="s">
        <v>3233</v>
      </c>
      <c r="T402" s="20" t="s">
        <v>206</v>
      </c>
      <c r="U402" s="20" t="s">
        <v>207</v>
      </c>
      <c r="V402" s="20" t="s">
        <v>3242</v>
      </c>
      <c r="W402" s="20">
        <v>176.86</v>
      </c>
      <c r="X402" s="20">
        <v>176.860000483824</v>
      </c>
      <c r="Y402" s="20" t="s">
        <v>3243</v>
      </c>
      <c r="Z402" s="20" t="s">
        <v>3233</v>
      </c>
      <c r="AB402" s="20" t="s">
        <v>212</v>
      </c>
      <c r="AD402" s="20" t="s">
        <v>2125</v>
      </c>
      <c r="AE402" s="20" t="s">
        <v>3717</v>
      </c>
      <c r="AF402" s="20">
        <v>0</v>
      </c>
      <c r="AG402" s="20">
        <v>0</v>
      </c>
      <c r="AH402" s="20">
        <v>0</v>
      </c>
      <c r="AI402" s="20">
        <v>0</v>
      </c>
      <c r="AJ402" s="20">
        <v>0</v>
      </c>
      <c r="AK402" s="20" t="s">
        <v>576</v>
      </c>
      <c r="AL402" s="20">
        <v>0</v>
      </c>
      <c r="AM402" s="20">
        <v>0</v>
      </c>
      <c r="AN402" s="20">
        <v>0</v>
      </c>
      <c r="AO402" s="20">
        <v>0</v>
      </c>
      <c r="AP402" s="20">
        <v>0</v>
      </c>
      <c r="AR402" s="20">
        <v>0</v>
      </c>
      <c r="AS402" s="20">
        <v>0</v>
      </c>
      <c r="AT402" s="20">
        <v>1462184.38</v>
      </c>
      <c r="AU402" s="20" t="s">
        <v>13</v>
      </c>
      <c r="AV402" s="20" t="s">
        <v>80</v>
      </c>
      <c r="AW402" s="20" t="s">
        <v>81</v>
      </c>
      <c r="AX402" s="20" t="s">
        <v>208</v>
      </c>
      <c r="AY402" s="20" t="s">
        <v>209</v>
      </c>
      <c r="AZ402" s="20">
        <v>0</v>
      </c>
      <c r="BA402" s="20">
        <v>382901.9</v>
      </c>
      <c r="BB402" s="20">
        <v>1265</v>
      </c>
      <c r="BC402" s="20" t="s">
        <v>3233</v>
      </c>
      <c r="BD402" s="20" t="s">
        <v>65</v>
      </c>
      <c r="BE402" s="20" t="s">
        <v>210</v>
      </c>
      <c r="BF402" s="20" t="s">
        <v>210</v>
      </c>
      <c r="BG402" s="20">
        <v>9</v>
      </c>
      <c r="BH402" s="20">
        <v>34461.17</v>
      </c>
      <c r="BI402" s="20">
        <v>9</v>
      </c>
      <c r="BJ402" s="20">
        <v>34461.17</v>
      </c>
      <c r="BK402" s="20">
        <v>0</v>
      </c>
      <c r="BL402" s="20">
        <v>0</v>
      </c>
      <c r="BM402" s="20">
        <v>0</v>
      </c>
      <c r="BN402" s="20">
        <v>662173147203</v>
      </c>
      <c r="BO402" s="111">
        <v>46265</v>
      </c>
      <c r="BP402" s="20">
        <v>0</v>
      </c>
    </row>
    <row r="403" spans="2:68">
      <c r="B403" s="20" t="s">
        <v>2165</v>
      </c>
      <c r="C403" s="20" t="s">
        <v>3233</v>
      </c>
      <c r="D403" s="20" t="s">
        <v>3715</v>
      </c>
      <c r="E403" s="20" t="s">
        <v>20</v>
      </c>
      <c r="F403" s="20" t="s">
        <v>21</v>
      </c>
      <c r="H403" s="20" t="s">
        <v>3716</v>
      </c>
      <c r="I403" s="20">
        <v>696</v>
      </c>
      <c r="J403" s="20">
        <v>696</v>
      </c>
      <c r="K403" s="20" t="s">
        <v>11</v>
      </c>
      <c r="L403" s="20">
        <v>696</v>
      </c>
      <c r="M403" s="20">
        <v>0</v>
      </c>
      <c r="N403" s="20">
        <v>696</v>
      </c>
      <c r="O403" s="20" t="s">
        <v>2316</v>
      </c>
      <c r="P403" s="20" t="s">
        <v>87</v>
      </c>
      <c r="Q403" s="20" t="s">
        <v>87</v>
      </c>
      <c r="R403" s="20" t="s">
        <v>3243</v>
      </c>
      <c r="S403" s="20" t="s">
        <v>3233</v>
      </c>
      <c r="T403" s="20" t="s">
        <v>206</v>
      </c>
      <c r="U403" s="20" t="s">
        <v>207</v>
      </c>
      <c r="V403" s="20" t="s">
        <v>3242</v>
      </c>
      <c r="W403" s="20">
        <v>149.32</v>
      </c>
      <c r="X403" s="20">
        <v>149.32000040848499</v>
      </c>
      <c r="Y403" s="20" t="s">
        <v>3243</v>
      </c>
      <c r="Z403" s="20" t="s">
        <v>3233</v>
      </c>
      <c r="AB403" s="20" t="s">
        <v>212</v>
      </c>
      <c r="AD403" s="20" t="s">
        <v>2125</v>
      </c>
      <c r="AE403" s="20" t="s">
        <v>3717</v>
      </c>
      <c r="AF403" s="20">
        <v>0</v>
      </c>
      <c r="AG403" s="20">
        <v>0</v>
      </c>
      <c r="AH403" s="20">
        <v>0</v>
      </c>
      <c r="AI403" s="20">
        <v>0</v>
      </c>
      <c r="AJ403" s="20">
        <v>0</v>
      </c>
      <c r="AK403" s="20" t="s">
        <v>576</v>
      </c>
      <c r="AL403" s="20">
        <v>0</v>
      </c>
      <c r="AM403" s="20">
        <v>0</v>
      </c>
      <c r="AN403" s="20">
        <v>0</v>
      </c>
      <c r="AO403" s="20">
        <v>0</v>
      </c>
      <c r="AP403" s="20">
        <v>0</v>
      </c>
      <c r="AR403" s="20">
        <v>0</v>
      </c>
      <c r="AS403" s="20">
        <v>0</v>
      </c>
      <c r="AT403" s="20">
        <v>1462184.38</v>
      </c>
      <c r="AU403" s="20" t="s">
        <v>13</v>
      </c>
      <c r="AV403" s="20" t="s">
        <v>62</v>
      </c>
      <c r="AW403" s="20" t="s">
        <v>76</v>
      </c>
      <c r="AX403" s="20" t="s">
        <v>208</v>
      </c>
      <c r="AY403" s="20" t="s">
        <v>209</v>
      </c>
      <c r="AZ403" s="20">
        <v>0</v>
      </c>
      <c r="BA403" s="20">
        <v>103926.72</v>
      </c>
      <c r="BB403" s="20">
        <v>1265</v>
      </c>
      <c r="BC403" s="20" t="s">
        <v>3233</v>
      </c>
      <c r="BD403" s="20" t="s">
        <v>65</v>
      </c>
      <c r="BE403" s="20" t="s">
        <v>210</v>
      </c>
      <c r="BF403" s="20" t="s">
        <v>210</v>
      </c>
      <c r="BG403" s="20">
        <v>9</v>
      </c>
      <c r="BH403" s="20">
        <v>9353.4</v>
      </c>
      <c r="BI403" s="20">
        <v>9</v>
      </c>
      <c r="BJ403" s="20">
        <v>9353.4</v>
      </c>
      <c r="BK403" s="20">
        <v>0</v>
      </c>
      <c r="BL403" s="20">
        <v>0</v>
      </c>
      <c r="BM403" s="20">
        <v>0</v>
      </c>
      <c r="BN403" s="20">
        <v>662173147203</v>
      </c>
      <c r="BO403" s="111">
        <v>46265</v>
      </c>
      <c r="BP403" s="20">
        <v>0</v>
      </c>
    </row>
    <row r="404" spans="2:68">
      <c r="B404" s="20" t="s">
        <v>2165</v>
      </c>
      <c r="C404" s="20" t="s">
        <v>3233</v>
      </c>
      <c r="D404" s="20" t="s">
        <v>3715</v>
      </c>
      <c r="E404" s="20" t="s">
        <v>23</v>
      </c>
      <c r="F404" s="20" t="s">
        <v>24</v>
      </c>
      <c r="H404" s="20" t="s">
        <v>3716</v>
      </c>
      <c r="I404" s="20">
        <v>5.8</v>
      </c>
      <c r="J404" s="20">
        <v>5.8</v>
      </c>
      <c r="K404" s="20" t="s">
        <v>11</v>
      </c>
      <c r="L404" s="20">
        <v>5.8</v>
      </c>
      <c r="M404" s="20">
        <v>0</v>
      </c>
      <c r="N404" s="20">
        <v>5.8</v>
      </c>
      <c r="O404" s="20" t="s">
        <v>2316</v>
      </c>
      <c r="P404" s="20" t="s">
        <v>87</v>
      </c>
      <c r="Q404" s="20" t="s">
        <v>87</v>
      </c>
      <c r="R404" s="20" t="s">
        <v>3243</v>
      </c>
      <c r="S404" s="20" t="s">
        <v>3233</v>
      </c>
      <c r="T404" s="20" t="s">
        <v>206</v>
      </c>
      <c r="U404" s="20" t="s">
        <v>207</v>
      </c>
      <c r="V404" s="20" t="s">
        <v>3242</v>
      </c>
      <c r="W404" s="20">
        <v>165.32</v>
      </c>
      <c r="X404" s="20">
        <v>165.32000045225499</v>
      </c>
      <c r="Y404" s="20" t="s">
        <v>3243</v>
      </c>
      <c r="Z404" s="20" t="s">
        <v>3233</v>
      </c>
      <c r="AB404" s="20" t="s">
        <v>212</v>
      </c>
      <c r="AD404" s="20" t="s">
        <v>2125</v>
      </c>
      <c r="AE404" s="20" t="s">
        <v>3717</v>
      </c>
      <c r="AF404" s="20">
        <v>0</v>
      </c>
      <c r="AG404" s="20">
        <v>0</v>
      </c>
      <c r="AH404" s="20">
        <v>0</v>
      </c>
      <c r="AI404" s="20">
        <v>0</v>
      </c>
      <c r="AJ404" s="20">
        <v>0</v>
      </c>
      <c r="AK404" s="20" t="s">
        <v>576</v>
      </c>
      <c r="AL404" s="20">
        <v>0</v>
      </c>
      <c r="AM404" s="20">
        <v>0</v>
      </c>
      <c r="AN404" s="20">
        <v>0</v>
      </c>
      <c r="AO404" s="20">
        <v>0</v>
      </c>
      <c r="AP404" s="20">
        <v>0</v>
      </c>
      <c r="AR404" s="20">
        <v>0</v>
      </c>
      <c r="AS404" s="20">
        <v>0</v>
      </c>
      <c r="AT404" s="20">
        <v>1462184.38</v>
      </c>
      <c r="AU404" s="20" t="s">
        <v>13</v>
      </c>
      <c r="AV404" s="20" t="s">
        <v>24</v>
      </c>
      <c r="AW404" s="20" t="s">
        <v>79</v>
      </c>
      <c r="AX404" s="20" t="s">
        <v>208</v>
      </c>
      <c r="AY404" s="20" t="s">
        <v>209</v>
      </c>
      <c r="AZ404" s="20">
        <v>0</v>
      </c>
      <c r="BA404" s="20">
        <v>958.86</v>
      </c>
      <c r="BB404" s="20">
        <v>1265</v>
      </c>
      <c r="BC404" s="20" t="s">
        <v>3233</v>
      </c>
      <c r="BD404" s="20" t="s">
        <v>65</v>
      </c>
      <c r="BE404" s="20" t="s">
        <v>210</v>
      </c>
      <c r="BF404" s="20" t="s">
        <v>210</v>
      </c>
      <c r="BG404" s="20">
        <v>9</v>
      </c>
      <c r="BH404" s="20">
        <v>86.3</v>
      </c>
      <c r="BI404" s="20">
        <v>9</v>
      </c>
      <c r="BJ404" s="20">
        <v>86.3</v>
      </c>
      <c r="BK404" s="20">
        <v>0</v>
      </c>
      <c r="BL404" s="20">
        <v>0</v>
      </c>
      <c r="BM404" s="20">
        <v>0</v>
      </c>
      <c r="BN404" s="20">
        <v>662173147203</v>
      </c>
      <c r="BO404" s="111">
        <v>46265</v>
      </c>
      <c r="BP404" s="20">
        <v>0</v>
      </c>
    </row>
    <row r="405" spans="2:68">
      <c r="B405" s="20" t="s">
        <v>2165</v>
      </c>
      <c r="C405" s="20" t="s">
        <v>3233</v>
      </c>
      <c r="D405" s="20" t="s">
        <v>3715</v>
      </c>
      <c r="E405" s="20" t="s">
        <v>23</v>
      </c>
      <c r="F405" s="20" t="s">
        <v>24</v>
      </c>
      <c r="H405" s="20" t="s">
        <v>3716</v>
      </c>
      <c r="I405" s="20">
        <v>14.2</v>
      </c>
      <c r="J405" s="20">
        <v>14.2</v>
      </c>
      <c r="K405" s="20" t="s">
        <v>11</v>
      </c>
      <c r="L405" s="20">
        <v>14.2</v>
      </c>
      <c r="M405" s="20">
        <v>0</v>
      </c>
      <c r="N405" s="20">
        <v>14.2</v>
      </c>
      <c r="O405" s="20" t="s">
        <v>2316</v>
      </c>
      <c r="P405" s="20" t="s">
        <v>87</v>
      </c>
      <c r="Q405" s="20" t="s">
        <v>87</v>
      </c>
      <c r="R405" s="20" t="s">
        <v>3243</v>
      </c>
      <c r="S405" s="20" t="s">
        <v>3233</v>
      </c>
      <c r="T405" s="20" t="s">
        <v>206</v>
      </c>
      <c r="U405" s="20" t="s">
        <v>207</v>
      </c>
      <c r="V405" s="20" t="s">
        <v>3242</v>
      </c>
      <c r="W405" s="20">
        <v>168.32</v>
      </c>
      <c r="X405" s="20">
        <v>168.32000046046201</v>
      </c>
      <c r="Y405" s="20" t="s">
        <v>3243</v>
      </c>
      <c r="Z405" s="20" t="s">
        <v>3233</v>
      </c>
      <c r="AB405" s="20" t="s">
        <v>212</v>
      </c>
      <c r="AD405" s="20" t="s">
        <v>2125</v>
      </c>
      <c r="AE405" s="20" t="s">
        <v>3717</v>
      </c>
      <c r="AF405" s="20">
        <v>0</v>
      </c>
      <c r="AG405" s="20">
        <v>0</v>
      </c>
      <c r="AH405" s="20">
        <v>0</v>
      </c>
      <c r="AI405" s="20">
        <v>0</v>
      </c>
      <c r="AJ405" s="20">
        <v>0</v>
      </c>
      <c r="AK405" s="20" t="s">
        <v>576</v>
      </c>
      <c r="AL405" s="20">
        <v>0</v>
      </c>
      <c r="AM405" s="20">
        <v>0</v>
      </c>
      <c r="AN405" s="20">
        <v>0</v>
      </c>
      <c r="AO405" s="20">
        <v>0</v>
      </c>
      <c r="AP405" s="20">
        <v>0</v>
      </c>
      <c r="AR405" s="20">
        <v>0</v>
      </c>
      <c r="AS405" s="20">
        <v>0</v>
      </c>
      <c r="AT405" s="20">
        <v>1462184.38</v>
      </c>
      <c r="AU405" s="20" t="s">
        <v>13</v>
      </c>
      <c r="AV405" s="20" t="s">
        <v>24</v>
      </c>
      <c r="AW405" s="20" t="s">
        <v>79</v>
      </c>
      <c r="AX405" s="20" t="s">
        <v>208</v>
      </c>
      <c r="AY405" s="20" t="s">
        <v>209</v>
      </c>
      <c r="AZ405" s="20">
        <v>0</v>
      </c>
      <c r="BA405" s="20">
        <v>2390.14</v>
      </c>
      <c r="BB405" s="20">
        <v>1265</v>
      </c>
      <c r="BC405" s="20" t="s">
        <v>3233</v>
      </c>
      <c r="BD405" s="20" t="s">
        <v>65</v>
      </c>
      <c r="BE405" s="20" t="s">
        <v>210</v>
      </c>
      <c r="BF405" s="20" t="s">
        <v>210</v>
      </c>
      <c r="BG405" s="20">
        <v>9</v>
      </c>
      <c r="BH405" s="20">
        <v>215.11</v>
      </c>
      <c r="BI405" s="20">
        <v>9</v>
      </c>
      <c r="BJ405" s="20">
        <v>215.11</v>
      </c>
      <c r="BK405" s="20">
        <v>0</v>
      </c>
      <c r="BL405" s="20">
        <v>0</v>
      </c>
      <c r="BM405" s="20">
        <v>0</v>
      </c>
      <c r="BN405" s="20">
        <v>662173147203</v>
      </c>
      <c r="BO405" s="111">
        <v>46265</v>
      </c>
      <c r="BP405" s="20">
        <v>0</v>
      </c>
    </row>
    <row r="406" spans="2:68">
      <c r="B406" s="20" t="s">
        <v>2165</v>
      </c>
      <c r="C406" s="20" t="s">
        <v>3233</v>
      </c>
      <c r="D406" s="20" t="s">
        <v>3715</v>
      </c>
      <c r="E406" s="20" t="s">
        <v>23</v>
      </c>
      <c r="F406" s="20" t="s">
        <v>24</v>
      </c>
      <c r="H406" s="20" t="s">
        <v>3716</v>
      </c>
      <c r="I406" s="20">
        <v>322</v>
      </c>
      <c r="J406" s="20">
        <v>322</v>
      </c>
      <c r="K406" s="20" t="s">
        <v>11</v>
      </c>
      <c r="L406" s="20">
        <v>322</v>
      </c>
      <c r="M406" s="20">
        <v>0</v>
      </c>
      <c r="N406" s="20">
        <v>322</v>
      </c>
      <c r="O406" s="20" t="s">
        <v>2316</v>
      </c>
      <c r="P406" s="20" t="s">
        <v>87</v>
      </c>
      <c r="Q406" s="20" t="s">
        <v>87</v>
      </c>
      <c r="R406" s="20" t="s">
        <v>3243</v>
      </c>
      <c r="S406" s="20" t="s">
        <v>3233</v>
      </c>
      <c r="T406" s="20" t="s">
        <v>206</v>
      </c>
      <c r="U406" s="20" t="s">
        <v>207</v>
      </c>
      <c r="V406" s="20" t="s">
        <v>3242</v>
      </c>
      <c r="W406" s="20">
        <v>144.32</v>
      </c>
      <c r="X406" s="20">
        <v>144.32000039480701</v>
      </c>
      <c r="Y406" s="20" t="s">
        <v>3243</v>
      </c>
      <c r="Z406" s="20" t="s">
        <v>3233</v>
      </c>
      <c r="AB406" s="20" t="s">
        <v>212</v>
      </c>
      <c r="AD406" s="20" t="s">
        <v>2125</v>
      </c>
      <c r="AE406" s="20" t="s">
        <v>3717</v>
      </c>
      <c r="AF406" s="20">
        <v>0</v>
      </c>
      <c r="AG406" s="20">
        <v>0</v>
      </c>
      <c r="AH406" s="20">
        <v>0</v>
      </c>
      <c r="AI406" s="20">
        <v>0</v>
      </c>
      <c r="AJ406" s="20">
        <v>0</v>
      </c>
      <c r="AK406" s="20" t="s">
        <v>576</v>
      </c>
      <c r="AL406" s="20">
        <v>0</v>
      </c>
      <c r="AM406" s="20">
        <v>0</v>
      </c>
      <c r="AN406" s="20">
        <v>0</v>
      </c>
      <c r="AO406" s="20">
        <v>0</v>
      </c>
      <c r="AP406" s="20">
        <v>0</v>
      </c>
      <c r="AR406" s="20">
        <v>0</v>
      </c>
      <c r="AS406" s="20">
        <v>0</v>
      </c>
      <c r="AT406" s="20">
        <v>1462184.38</v>
      </c>
      <c r="AU406" s="20" t="s">
        <v>13</v>
      </c>
      <c r="AV406" s="20" t="s">
        <v>24</v>
      </c>
      <c r="AW406" s="20" t="s">
        <v>79</v>
      </c>
      <c r="AX406" s="20" t="s">
        <v>208</v>
      </c>
      <c r="AY406" s="20" t="s">
        <v>209</v>
      </c>
      <c r="AZ406" s="20">
        <v>0</v>
      </c>
      <c r="BA406" s="20">
        <v>46471.040000000001</v>
      </c>
      <c r="BB406" s="20">
        <v>1265</v>
      </c>
      <c r="BC406" s="20" t="s">
        <v>3233</v>
      </c>
      <c r="BD406" s="20" t="s">
        <v>65</v>
      </c>
      <c r="BE406" s="20" t="s">
        <v>210</v>
      </c>
      <c r="BF406" s="20" t="s">
        <v>210</v>
      </c>
      <c r="BG406" s="20">
        <v>9</v>
      </c>
      <c r="BH406" s="20">
        <v>4182.3900000000003</v>
      </c>
      <c r="BI406" s="20">
        <v>9</v>
      </c>
      <c r="BJ406" s="20">
        <v>4182.3900000000003</v>
      </c>
      <c r="BK406" s="20">
        <v>0</v>
      </c>
      <c r="BL406" s="20">
        <v>0</v>
      </c>
      <c r="BM406" s="20">
        <v>0</v>
      </c>
      <c r="BN406" s="20">
        <v>662173147203</v>
      </c>
      <c r="BO406" s="111">
        <v>46265</v>
      </c>
      <c r="BP406" s="20">
        <v>0</v>
      </c>
    </row>
    <row r="407" spans="2:68">
      <c r="B407" s="20" t="s">
        <v>2165</v>
      </c>
      <c r="C407" s="20" t="s">
        <v>3233</v>
      </c>
      <c r="D407" s="20" t="s">
        <v>3715</v>
      </c>
      <c r="E407" s="20" t="s">
        <v>23</v>
      </c>
      <c r="F407" s="20" t="s">
        <v>24</v>
      </c>
      <c r="H407" s="20" t="s">
        <v>3716</v>
      </c>
      <c r="I407" s="20">
        <v>1217.8</v>
      </c>
      <c r="J407" s="20">
        <v>1217.8</v>
      </c>
      <c r="K407" s="20" t="s">
        <v>11</v>
      </c>
      <c r="L407" s="20">
        <v>1217.8</v>
      </c>
      <c r="M407" s="20">
        <v>0</v>
      </c>
      <c r="N407" s="20">
        <v>1217.8</v>
      </c>
      <c r="O407" s="20" t="s">
        <v>2316</v>
      </c>
      <c r="P407" s="20" t="s">
        <v>87</v>
      </c>
      <c r="Q407" s="20" t="s">
        <v>87</v>
      </c>
      <c r="R407" s="20" t="s">
        <v>3243</v>
      </c>
      <c r="S407" s="20" t="s">
        <v>3233</v>
      </c>
      <c r="T407" s="20" t="s">
        <v>206</v>
      </c>
      <c r="U407" s="20" t="s">
        <v>207</v>
      </c>
      <c r="V407" s="20" t="s">
        <v>3242</v>
      </c>
      <c r="W407" s="20">
        <v>147.32</v>
      </c>
      <c r="X407" s="20">
        <v>147.32000040301301</v>
      </c>
      <c r="Y407" s="20" t="s">
        <v>3243</v>
      </c>
      <c r="Z407" s="20" t="s">
        <v>3233</v>
      </c>
      <c r="AB407" s="20" t="s">
        <v>212</v>
      </c>
      <c r="AD407" s="20" t="s">
        <v>2125</v>
      </c>
      <c r="AE407" s="20" t="s">
        <v>3717</v>
      </c>
      <c r="AF407" s="20">
        <v>0</v>
      </c>
      <c r="AG407" s="20">
        <v>0</v>
      </c>
      <c r="AH407" s="20">
        <v>0</v>
      </c>
      <c r="AI407" s="20">
        <v>0</v>
      </c>
      <c r="AJ407" s="20">
        <v>0</v>
      </c>
      <c r="AK407" s="20" t="s">
        <v>576</v>
      </c>
      <c r="AL407" s="20">
        <v>0</v>
      </c>
      <c r="AM407" s="20">
        <v>0</v>
      </c>
      <c r="AN407" s="20">
        <v>0</v>
      </c>
      <c r="AO407" s="20">
        <v>0</v>
      </c>
      <c r="AP407" s="20">
        <v>0</v>
      </c>
      <c r="AR407" s="20">
        <v>0</v>
      </c>
      <c r="AS407" s="20">
        <v>0</v>
      </c>
      <c r="AT407" s="20">
        <v>1462184.38</v>
      </c>
      <c r="AU407" s="20" t="s">
        <v>13</v>
      </c>
      <c r="AV407" s="20" t="s">
        <v>24</v>
      </c>
      <c r="AW407" s="20" t="s">
        <v>79</v>
      </c>
      <c r="AX407" s="20" t="s">
        <v>208</v>
      </c>
      <c r="AY407" s="20" t="s">
        <v>209</v>
      </c>
      <c r="AZ407" s="20">
        <v>0</v>
      </c>
      <c r="BA407" s="20">
        <v>179406.3</v>
      </c>
      <c r="BB407" s="20">
        <v>1265</v>
      </c>
      <c r="BC407" s="20" t="s">
        <v>3233</v>
      </c>
      <c r="BD407" s="20" t="s">
        <v>65</v>
      </c>
      <c r="BE407" s="20" t="s">
        <v>210</v>
      </c>
      <c r="BF407" s="20" t="s">
        <v>210</v>
      </c>
      <c r="BG407" s="20">
        <v>9</v>
      </c>
      <c r="BH407" s="20">
        <v>16146.57</v>
      </c>
      <c r="BI407" s="20">
        <v>9</v>
      </c>
      <c r="BJ407" s="20">
        <v>16146.57</v>
      </c>
      <c r="BK407" s="20">
        <v>0</v>
      </c>
      <c r="BL407" s="20">
        <v>0</v>
      </c>
      <c r="BM407" s="20">
        <v>0</v>
      </c>
      <c r="BN407" s="20">
        <v>662173147203</v>
      </c>
      <c r="BO407" s="111">
        <v>46265</v>
      </c>
      <c r="BP407" s="20">
        <v>0</v>
      </c>
    </row>
    <row r="408" spans="2:68">
      <c r="B408" s="20" t="s">
        <v>2165</v>
      </c>
      <c r="C408" s="20" t="s">
        <v>3233</v>
      </c>
      <c r="D408" s="20" t="s">
        <v>3718</v>
      </c>
      <c r="E408" s="20" t="s">
        <v>2150</v>
      </c>
      <c r="F408" s="20" t="s">
        <v>2149</v>
      </c>
      <c r="H408" s="20" t="s">
        <v>3719</v>
      </c>
      <c r="I408" s="20">
        <v>23.4</v>
      </c>
      <c r="J408" s="20">
        <v>23.4</v>
      </c>
      <c r="K408" s="20" t="s">
        <v>11</v>
      </c>
      <c r="L408" s="20">
        <v>23.4</v>
      </c>
      <c r="M408" s="20">
        <v>0</v>
      </c>
      <c r="N408" s="20">
        <v>23.4</v>
      </c>
      <c r="O408" s="20" t="s">
        <v>3709</v>
      </c>
      <c r="P408" s="20" t="s">
        <v>94</v>
      </c>
      <c r="Q408" s="20" t="s">
        <v>94</v>
      </c>
      <c r="R408" s="20" t="s">
        <v>3253</v>
      </c>
      <c r="S408" s="20" t="s">
        <v>3233</v>
      </c>
      <c r="T408" s="20" t="s">
        <v>206</v>
      </c>
      <c r="U408" s="20" t="s">
        <v>207</v>
      </c>
      <c r="V408" s="20" t="s">
        <v>3252</v>
      </c>
      <c r="W408" s="20">
        <v>246</v>
      </c>
      <c r="X408" s="20">
        <v>246</v>
      </c>
      <c r="Y408" s="20" t="s">
        <v>3253</v>
      </c>
      <c r="Z408" s="20" t="s">
        <v>3233</v>
      </c>
      <c r="AB408" s="20" t="s">
        <v>212</v>
      </c>
      <c r="AD408" s="20" t="s">
        <v>213</v>
      </c>
      <c r="AE408" s="20" t="s">
        <v>212</v>
      </c>
      <c r="AF408" s="20">
        <v>0</v>
      </c>
      <c r="AG408" s="20">
        <v>0</v>
      </c>
      <c r="AH408" s="20">
        <v>0</v>
      </c>
      <c r="AI408" s="20">
        <v>0</v>
      </c>
      <c r="AJ408" s="20">
        <v>0</v>
      </c>
      <c r="AK408" s="20" t="s">
        <v>576</v>
      </c>
      <c r="AL408" s="20">
        <v>0</v>
      </c>
      <c r="AM408" s="20">
        <v>0</v>
      </c>
      <c r="AN408" s="20">
        <v>0</v>
      </c>
      <c r="AO408" s="20">
        <v>0</v>
      </c>
      <c r="AP408" s="20">
        <v>0</v>
      </c>
      <c r="AR408" s="20">
        <v>0</v>
      </c>
      <c r="AS408" s="20">
        <v>0</v>
      </c>
      <c r="AT408" s="20">
        <v>6792.56</v>
      </c>
      <c r="AU408" s="20" t="s">
        <v>13</v>
      </c>
      <c r="AV408" s="20" t="s">
        <v>80</v>
      </c>
      <c r="AW408" s="20" t="s">
        <v>81</v>
      </c>
      <c r="AX408" s="20" t="s">
        <v>208</v>
      </c>
      <c r="AY408" s="20" t="s">
        <v>209</v>
      </c>
      <c r="AZ408" s="20">
        <v>0</v>
      </c>
      <c r="BA408" s="20">
        <v>5756.4</v>
      </c>
      <c r="BB408" s="20">
        <v>1263</v>
      </c>
      <c r="BC408" s="20" t="s">
        <v>3233</v>
      </c>
      <c r="BD408" s="20" t="s">
        <v>74</v>
      </c>
      <c r="BE408" s="20" t="s">
        <v>210</v>
      </c>
      <c r="BF408" s="20" t="s">
        <v>210</v>
      </c>
      <c r="BG408" s="20">
        <v>9</v>
      </c>
      <c r="BH408" s="20">
        <v>518.08000000000004</v>
      </c>
      <c r="BI408" s="20">
        <v>9</v>
      </c>
      <c r="BJ408" s="20">
        <v>518.08000000000004</v>
      </c>
      <c r="BK408" s="20">
        <v>0</v>
      </c>
      <c r="BL408" s="20">
        <v>0</v>
      </c>
      <c r="BM408" s="20">
        <v>6792.56</v>
      </c>
      <c r="BN408" s="20">
        <v>622173074392</v>
      </c>
      <c r="BO408" s="111">
        <v>46265</v>
      </c>
      <c r="BP408" s="20">
        <v>0</v>
      </c>
    </row>
    <row r="409" spans="2:68">
      <c r="B409" s="20" t="s">
        <v>2165</v>
      </c>
      <c r="C409" s="20" t="s">
        <v>3233</v>
      </c>
      <c r="D409" s="20" t="s">
        <v>3720</v>
      </c>
      <c r="E409" s="20" t="s">
        <v>18</v>
      </c>
      <c r="F409" s="20" t="s">
        <v>19</v>
      </c>
      <c r="H409" s="20" t="s">
        <v>3721</v>
      </c>
      <c r="I409" s="20">
        <v>510</v>
      </c>
      <c r="J409" s="20">
        <v>510</v>
      </c>
      <c r="K409" s="20" t="s">
        <v>11</v>
      </c>
      <c r="L409" s="20">
        <v>510</v>
      </c>
      <c r="M409" s="20">
        <v>0</v>
      </c>
      <c r="N409" s="20">
        <v>510</v>
      </c>
      <c r="O409" s="20" t="s">
        <v>2397</v>
      </c>
      <c r="P409" s="20" t="s">
        <v>94</v>
      </c>
      <c r="Q409" s="20" t="s">
        <v>94</v>
      </c>
      <c r="R409" s="20" t="s">
        <v>3255</v>
      </c>
      <c r="S409" s="20" t="s">
        <v>3233</v>
      </c>
      <c r="T409" s="20" t="s">
        <v>206</v>
      </c>
      <c r="U409" s="20" t="s">
        <v>207</v>
      </c>
      <c r="V409" s="20" t="s">
        <v>3254</v>
      </c>
      <c r="W409" s="20">
        <v>133.58000000000001</v>
      </c>
      <c r="X409" s="20">
        <v>133.58000000000001</v>
      </c>
      <c r="Y409" s="20" t="s">
        <v>3255</v>
      </c>
      <c r="Z409" s="20" t="s">
        <v>3233</v>
      </c>
      <c r="AB409" s="20" t="s">
        <v>212</v>
      </c>
      <c r="AD409" s="20" t="s">
        <v>213</v>
      </c>
      <c r="AE409" s="20" t="s">
        <v>212</v>
      </c>
      <c r="AF409" s="20">
        <v>0</v>
      </c>
      <c r="AG409" s="20">
        <v>0</v>
      </c>
      <c r="AH409" s="20">
        <v>0</v>
      </c>
      <c r="AI409" s="20">
        <v>0</v>
      </c>
      <c r="AJ409" s="20">
        <v>0</v>
      </c>
      <c r="AK409" s="20" t="s">
        <v>576</v>
      </c>
      <c r="AL409" s="20">
        <v>0</v>
      </c>
      <c r="AM409" s="20">
        <v>0</v>
      </c>
      <c r="AN409" s="20">
        <v>0</v>
      </c>
      <c r="AO409" s="20">
        <v>0</v>
      </c>
      <c r="AP409" s="20">
        <v>0</v>
      </c>
      <c r="AR409" s="20">
        <v>0</v>
      </c>
      <c r="AS409" s="20">
        <v>0</v>
      </c>
      <c r="AT409" s="20">
        <v>80388.44</v>
      </c>
      <c r="AU409" s="20" t="s">
        <v>13</v>
      </c>
      <c r="AV409" s="20" t="s">
        <v>62</v>
      </c>
      <c r="AW409" s="20" t="s">
        <v>63</v>
      </c>
      <c r="AX409" s="20" t="s">
        <v>208</v>
      </c>
      <c r="AY409" s="20" t="s">
        <v>209</v>
      </c>
      <c r="AZ409" s="20">
        <v>0</v>
      </c>
      <c r="BA409" s="20">
        <v>68125.8</v>
      </c>
      <c r="BB409" s="20">
        <v>1267</v>
      </c>
      <c r="BC409" s="20" t="s">
        <v>3233</v>
      </c>
      <c r="BD409" s="20" t="s">
        <v>74</v>
      </c>
      <c r="BE409" s="20" t="s">
        <v>210</v>
      </c>
      <c r="BF409" s="20" t="s">
        <v>210</v>
      </c>
      <c r="BG409" s="20">
        <v>9</v>
      </c>
      <c r="BH409" s="20">
        <v>6131.32</v>
      </c>
      <c r="BI409" s="20">
        <v>9</v>
      </c>
      <c r="BJ409" s="20">
        <v>6131.32</v>
      </c>
      <c r="BK409" s="20">
        <v>0</v>
      </c>
      <c r="BL409" s="20">
        <v>0</v>
      </c>
      <c r="BM409" s="20">
        <v>80388.44</v>
      </c>
      <c r="BN409" s="20">
        <v>662173378548</v>
      </c>
      <c r="BO409" s="111">
        <v>46265</v>
      </c>
      <c r="BP409" s="20">
        <v>0</v>
      </c>
    </row>
    <row r="410" spans="2:68">
      <c r="B410" s="20" t="s">
        <v>2165</v>
      </c>
      <c r="C410" s="20" t="s">
        <v>3233</v>
      </c>
      <c r="D410" s="20" t="s">
        <v>3722</v>
      </c>
      <c r="E410" s="20" t="s">
        <v>18</v>
      </c>
      <c r="F410" s="20" t="s">
        <v>19</v>
      </c>
      <c r="H410" s="20" t="s">
        <v>3723</v>
      </c>
      <c r="I410" s="20">
        <v>514</v>
      </c>
      <c r="J410" s="20">
        <v>514</v>
      </c>
      <c r="K410" s="20" t="s">
        <v>11</v>
      </c>
      <c r="L410" s="20">
        <v>514</v>
      </c>
      <c r="M410" s="20">
        <v>0</v>
      </c>
      <c r="N410" s="20">
        <v>514</v>
      </c>
      <c r="O410" s="20" t="s">
        <v>2397</v>
      </c>
      <c r="P410" s="20" t="s">
        <v>87</v>
      </c>
      <c r="Q410" s="20" t="s">
        <v>87</v>
      </c>
      <c r="R410" s="20" t="s">
        <v>3245</v>
      </c>
      <c r="S410" s="20" t="s">
        <v>3233</v>
      </c>
      <c r="T410" s="20" t="s">
        <v>206</v>
      </c>
      <c r="U410" s="20" t="s">
        <v>207</v>
      </c>
      <c r="V410" s="20" t="s">
        <v>3244</v>
      </c>
      <c r="W410" s="20">
        <v>142.32</v>
      </c>
      <c r="X410" s="20">
        <v>142.32</v>
      </c>
      <c r="Y410" s="20" t="s">
        <v>3245</v>
      </c>
      <c r="Z410" s="20" t="s">
        <v>3233</v>
      </c>
      <c r="AB410" s="20" t="s">
        <v>212</v>
      </c>
      <c r="AD410" s="20" t="s">
        <v>213</v>
      </c>
      <c r="AE410" s="20" t="s">
        <v>212</v>
      </c>
      <c r="AF410" s="20">
        <v>0</v>
      </c>
      <c r="AG410" s="20">
        <v>0</v>
      </c>
      <c r="AH410" s="20">
        <v>0</v>
      </c>
      <c r="AI410" s="20">
        <v>0</v>
      </c>
      <c r="AJ410" s="20">
        <v>0</v>
      </c>
      <c r="AK410" s="20" t="s">
        <v>576</v>
      </c>
      <c r="AL410" s="20">
        <v>0</v>
      </c>
      <c r="AM410" s="20">
        <v>0</v>
      </c>
      <c r="AN410" s="20">
        <v>0</v>
      </c>
      <c r="AO410" s="20">
        <v>0</v>
      </c>
      <c r="AP410" s="20">
        <v>0</v>
      </c>
      <c r="AR410" s="20">
        <v>0</v>
      </c>
      <c r="AS410" s="20">
        <v>0</v>
      </c>
      <c r="AT410" s="20">
        <v>174802.36</v>
      </c>
      <c r="AU410" s="20" t="s">
        <v>13</v>
      </c>
      <c r="AV410" s="20" t="s">
        <v>62</v>
      </c>
      <c r="AW410" s="20" t="s">
        <v>63</v>
      </c>
      <c r="AX410" s="20" t="s">
        <v>208</v>
      </c>
      <c r="AY410" s="20" t="s">
        <v>209</v>
      </c>
      <c r="AZ410" s="20">
        <v>0</v>
      </c>
      <c r="BA410" s="20">
        <v>73152.479999999996</v>
      </c>
      <c r="BB410" s="20">
        <v>1269</v>
      </c>
      <c r="BC410" s="20" t="s">
        <v>3233</v>
      </c>
      <c r="BD410" s="20" t="s">
        <v>65</v>
      </c>
      <c r="BE410" s="20" t="s">
        <v>210</v>
      </c>
      <c r="BF410" s="20" t="s">
        <v>210</v>
      </c>
      <c r="BG410" s="20">
        <v>9</v>
      </c>
      <c r="BH410" s="20">
        <v>6583.72</v>
      </c>
      <c r="BI410" s="20">
        <v>9</v>
      </c>
      <c r="BJ410" s="20">
        <v>6583.72</v>
      </c>
      <c r="BK410" s="20">
        <v>0</v>
      </c>
      <c r="BL410" s="20">
        <v>0</v>
      </c>
      <c r="BM410" s="20">
        <v>174802.36</v>
      </c>
      <c r="BN410" s="20">
        <v>602173431520</v>
      </c>
      <c r="BO410" s="111">
        <v>46265</v>
      </c>
      <c r="BP410" s="20">
        <v>0</v>
      </c>
    </row>
    <row r="411" spans="2:68">
      <c r="B411" s="20" t="s">
        <v>2165</v>
      </c>
      <c r="C411" s="20" t="s">
        <v>3233</v>
      </c>
      <c r="D411" s="20" t="s">
        <v>3722</v>
      </c>
      <c r="E411" s="20" t="s">
        <v>18</v>
      </c>
      <c r="F411" s="20" t="s">
        <v>19</v>
      </c>
      <c r="H411" s="20" t="s">
        <v>3723</v>
      </c>
      <c r="I411" s="20">
        <v>516</v>
      </c>
      <c r="J411" s="20">
        <v>516</v>
      </c>
      <c r="K411" s="20" t="s">
        <v>11</v>
      </c>
      <c r="L411" s="20">
        <v>516</v>
      </c>
      <c r="M411" s="20">
        <v>0</v>
      </c>
      <c r="N411" s="20">
        <v>516</v>
      </c>
      <c r="O411" s="20" t="s">
        <v>2397</v>
      </c>
      <c r="P411" s="20" t="s">
        <v>87</v>
      </c>
      <c r="Q411" s="20" t="s">
        <v>87</v>
      </c>
      <c r="R411" s="20" t="s">
        <v>3245</v>
      </c>
      <c r="S411" s="20" t="s">
        <v>3233</v>
      </c>
      <c r="T411" s="20" t="s">
        <v>206</v>
      </c>
      <c r="U411" s="20" t="s">
        <v>207</v>
      </c>
      <c r="V411" s="20" t="s">
        <v>3244</v>
      </c>
      <c r="W411" s="20">
        <v>145.32</v>
      </c>
      <c r="X411" s="20">
        <v>145.32</v>
      </c>
      <c r="Y411" s="20" t="s">
        <v>3245</v>
      </c>
      <c r="Z411" s="20" t="s">
        <v>3233</v>
      </c>
      <c r="AB411" s="20" t="s">
        <v>212</v>
      </c>
      <c r="AD411" s="20" t="s">
        <v>213</v>
      </c>
      <c r="AE411" s="20" t="s">
        <v>212</v>
      </c>
      <c r="AF411" s="20">
        <v>0</v>
      </c>
      <c r="AG411" s="20">
        <v>0</v>
      </c>
      <c r="AH411" s="20">
        <v>0</v>
      </c>
      <c r="AI411" s="20">
        <v>0</v>
      </c>
      <c r="AJ411" s="20">
        <v>0</v>
      </c>
      <c r="AK411" s="20" t="s">
        <v>576</v>
      </c>
      <c r="AL411" s="20">
        <v>0</v>
      </c>
      <c r="AM411" s="20">
        <v>0</v>
      </c>
      <c r="AN411" s="20">
        <v>0</v>
      </c>
      <c r="AO411" s="20">
        <v>0</v>
      </c>
      <c r="AP411" s="20">
        <v>0</v>
      </c>
      <c r="AR411" s="20">
        <v>0</v>
      </c>
      <c r="AS411" s="20">
        <v>0</v>
      </c>
      <c r="AT411" s="20">
        <v>174802.36</v>
      </c>
      <c r="AU411" s="20" t="s">
        <v>13</v>
      </c>
      <c r="AV411" s="20" t="s">
        <v>62</v>
      </c>
      <c r="AW411" s="20" t="s">
        <v>63</v>
      </c>
      <c r="AX411" s="20" t="s">
        <v>208</v>
      </c>
      <c r="AY411" s="20" t="s">
        <v>209</v>
      </c>
      <c r="AZ411" s="20">
        <v>0</v>
      </c>
      <c r="BA411" s="20">
        <v>74985.119999999995</v>
      </c>
      <c r="BB411" s="20">
        <v>1269</v>
      </c>
      <c r="BC411" s="20" t="s">
        <v>3233</v>
      </c>
      <c r="BD411" s="20" t="s">
        <v>65</v>
      </c>
      <c r="BE411" s="20" t="s">
        <v>210</v>
      </c>
      <c r="BF411" s="20" t="s">
        <v>210</v>
      </c>
      <c r="BG411" s="20">
        <v>9</v>
      </c>
      <c r="BH411" s="20">
        <v>6748.66</v>
      </c>
      <c r="BI411" s="20">
        <v>9</v>
      </c>
      <c r="BJ411" s="20">
        <v>6748.66</v>
      </c>
      <c r="BK411" s="20">
        <v>0</v>
      </c>
      <c r="BL411" s="20">
        <v>0</v>
      </c>
      <c r="BM411" s="20">
        <v>0</v>
      </c>
      <c r="BN411" s="20">
        <v>602173431520</v>
      </c>
      <c r="BO411" s="111">
        <v>46265</v>
      </c>
      <c r="BP411" s="20">
        <v>0</v>
      </c>
    </row>
    <row r="412" spans="2:68">
      <c r="BO412" s="111"/>
    </row>
    <row r="413" spans="2:68">
      <c r="BO413" s="111"/>
    </row>
    <row r="414" spans="2:68">
      <c r="BO414" s="111"/>
    </row>
    <row r="415" spans="2:68">
      <c r="BO415" s="111"/>
    </row>
    <row r="416" spans="2:68">
      <c r="BO416" s="111"/>
    </row>
    <row r="417" spans="67:67">
      <c r="BO417" s="111"/>
    </row>
    <row r="418" spans="67:67">
      <c r="BO418" s="111"/>
    </row>
    <row r="419" spans="67:67">
      <c r="BO419" s="111"/>
    </row>
    <row r="420" spans="67:67">
      <c r="BO420" s="111"/>
    </row>
    <row r="421" spans="67:67">
      <c r="BO421" s="111"/>
    </row>
    <row r="422" spans="67:67">
      <c r="BO422" s="111"/>
    </row>
    <row r="423" spans="67:67">
      <c r="BO423" s="111"/>
    </row>
    <row r="424" spans="67:67">
      <c r="BO424" s="111"/>
    </row>
    <row r="425" spans="67:67">
      <c r="BO425" s="111"/>
    </row>
    <row r="426" spans="67:67">
      <c r="BO426" s="111"/>
    </row>
    <row r="427" spans="67:67">
      <c r="BO427" s="111"/>
    </row>
    <row r="428" spans="67:67">
      <c r="BO428" s="111"/>
    </row>
    <row r="429" spans="67:67">
      <c r="BO429" s="111"/>
    </row>
    <row r="430" spans="67:67">
      <c r="BO430" s="111"/>
    </row>
    <row r="431" spans="67:67">
      <c r="BO431" s="111"/>
    </row>
    <row r="432" spans="67:67">
      <c r="BO432" s="111"/>
    </row>
    <row r="433" spans="67:67">
      <c r="BO433" s="111"/>
    </row>
    <row r="434" spans="67:67">
      <c r="BO434" s="111"/>
    </row>
    <row r="435" spans="67:67">
      <c r="BO435" s="111"/>
    </row>
    <row r="436" spans="67:67">
      <c r="BO436" s="111"/>
    </row>
    <row r="437" spans="67:67">
      <c r="BO437" s="111"/>
    </row>
    <row r="438" spans="67:67">
      <c r="BO438" s="111"/>
    </row>
    <row r="439" spans="67:67">
      <c r="BO439" s="111"/>
    </row>
    <row r="440" spans="67:67">
      <c r="BO440" s="111"/>
    </row>
    <row r="441" spans="67:67">
      <c r="BO441" s="111"/>
    </row>
    <row r="442" spans="67:67">
      <c r="BO442" s="111"/>
    </row>
    <row r="443" spans="67:67">
      <c r="BO443" s="111"/>
    </row>
    <row r="444" spans="67:67">
      <c r="BO444" s="111"/>
    </row>
    <row r="445" spans="67:67">
      <c r="BO445" s="111"/>
    </row>
    <row r="446" spans="67:67">
      <c r="BO446" s="111"/>
    </row>
    <row r="447" spans="67:67">
      <c r="BO447" s="111"/>
    </row>
    <row r="448" spans="67:67">
      <c r="BO448" s="111"/>
    </row>
    <row r="449" spans="67:67">
      <c r="BO449" s="111"/>
    </row>
    <row r="450" spans="67:67">
      <c r="BO450" s="111"/>
    </row>
  </sheetData>
  <autoFilter ref="B1:BP330"/>
  <pageMargins left="0.7" right="0.7" top="0.75" bottom="0.75" header="0.3" footer="0.3"/>
  <pageSetup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V1877"/>
  <sheetViews>
    <sheetView topLeftCell="A1862" zoomScaleNormal="100" workbookViewId="0">
      <selection activeCell="D1880" sqref="D1880"/>
    </sheetView>
  </sheetViews>
  <sheetFormatPr defaultRowHeight="12"/>
  <cols>
    <col min="1" max="1" width="9.140625" style="20"/>
    <col min="2" max="2" width="11.140625" style="20" bestFit="1" customWidth="1"/>
    <col min="3" max="3" width="13.42578125" style="20" bestFit="1" customWidth="1"/>
    <col min="4" max="4" width="16.7109375" style="20" bestFit="1" customWidth="1"/>
    <col min="5" max="5" width="18.28515625" style="67" bestFit="1" customWidth="1"/>
    <col min="6" max="6" width="34.5703125" style="20" bestFit="1" customWidth="1"/>
    <col min="7" max="7" width="28.7109375" style="20" bestFit="1" customWidth="1"/>
    <col min="8" max="8" width="8.7109375" style="94" bestFit="1" customWidth="1"/>
    <col min="9" max="9" width="14.7109375" style="20" bestFit="1" customWidth="1"/>
    <col min="10" max="10" width="11" style="20" bestFit="1" customWidth="1"/>
    <col min="11" max="11" width="4" style="20" bestFit="1" customWidth="1"/>
    <col min="12" max="12" width="10.140625" style="20" bestFit="1" customWidth="1"/>
    <col min="13" max="13" width="12" style="20" bestFit="1" customWidth="1"/>
    <col min="14" max="14" width="18.5703125" style="20" bestFit="1" customWidth="1"/>
    <col min="15" max="15" width="5.7109375" style="20" bestFit="1" customWidth="1"/>
    <col min="16" max="16" width="8" style="20" bestFit="1" customWidth="1"/>
    <col min="17" max="17" width="11.28515625" style="20" bestFit="1" customWidth="1"/>
    <col min="18" max="18" width="16.7109375" style="20" bestFit="1" customWidth="1"/>
    <col min="19" max="19" width="27.42578125" style="20" customWidth="1"/>
    <col min="20" max="20" width="16.5703125" style="20" bestFit="1" customWidth="1"/>
    <col min="21" max="21" width="12.85546875" style="20" bestFit="1" customWidth="1"/>
    <col min="22" max="22" width="9.28515625" style="20" bestFit="1" customWidth="1"/>
    <col min="23" max="16384" width="9.140625" style="20"/>
  </cols>
  <sheetData>
    <row r="1" spans="1:22" ht="12.75">
      <c r="A1" s="64"/>
      <c r="B1" s="427" t="s">
        <v>127</v>
      </c>
      <c r="C1" s="427" t="s">
        <v>128</v>
      </c>
      <c r="D1" s="427" t="s">
        <v>129</v>
      </c>
      <c r="E1" s="427" t="s">
        <v>130</v>
      </c>
      <c r="F1" s="427" t="s">
        <v>131</v>
      </c>
      <c r="G1" s="427" t="s">
        <v>132</v>
      </c>
      <c r="H1" s="427" t="s">
        <v>133</v>
      </c>
      <c r="I1" s="427" t="s">
        <v>134</v>
      </c>
      <c r="J1" s="427" t="s">
        <v>135</v>
      </c>
      <c r="K1" s="427" t="s">
        <v>136</v>
      </c>
      <c r="L1" s="427" t="s">
        <v>137</v>
      </c>
      <c r="M1" s="427" t="s">
        <v>138</v>
      </c>
      <c r="N1" s="427" t="s">
        <v>139</v>
      </c>
      <c r="O1" s="427" t="s">
        <v>140</v>
      </c>
      <c r="P1" s="427" t="s">
        <v>141</v>
      </c>
      <c r="Q1" s="427" t="s">
        <v>142</v>
      </c>
      <c r="R1" s="427" t="s">
        <v>143</v>
      </c>
      <c r="S1" s="427" t="s">
        <v>144</v>
      </c>
      <c r="T1" s="427" t="s">
        <v>145</v>
      </c>
      <c r="U1" s="427" t="s">
        <v>146</v>
      </c>
      <c r="V1" s="427" t="s">
        <v>147</v>
      </c>
    </row>
    <row r="2" spans="1:22" ht="12.75" customHeight="1">
      <c r="A2" s="65"/>
      <c r="B2" s="211">
        <v>46235</v>
      </c>
      <c r="C2" s="211">
        <v>46235</v>
      </c>
      <c r="D2" s="176" t="s">
        <v>3790</v>
      </c>
      <c r="E2" s="176" t="s">
        <v>3791</v>
      </c>
      <c r="F2" s="176" t="s">
        <v>87</v>
      </c>
      <c r="G2" s="176" t="s">
        <v>2514</v>
      </c>
      <c r="H2" s="176">
        <v>55</v>
      </c>
      <c r="I2" s="176">
        <v>43.8</v>
      </c>
      <c r="J2" s="176">
        <v>43.8</v>
      </c>
      <c r="K2" s="176">
        <v>5</v>
      </c>
      <c r="L2" s="176">
        <v>0</v>
      </c>
      <c r="M2" s="176" t="s">
        <v>148</v>
      </c>
      <c r="N2" s="176" t="s">
        <v>149</v>
      </c>
      <c r="O2" s="176" t="s">
        <v>150</v>
      </c>
      <c r="P2" s="176" t="s">
        <v>151</v>
      </c>
      <c r="Q2" s="176"/>
      <c r="R2" s="176" t="s">
        <v>3791</v>
      </c>
      <c r="S2" s="176"/>
      <c r="T2" s="176" t="s">
        <v>2623</v>
      </c>
      <c r="U2" s="176" t="s">
        <v>152</v>
      </c>
      <c r="V2" s="176" t="s">
        <v>23</v>
      </c>
    </row>
    <row r="3" spans="1:22" ht="12.75" customHeight="1">
      <c r="A3" s="65"/>
      <c r="B3" s="211">
        <v>46235</v>
      </c>
      <c r="C3" s="211">
        <v>46235</v>
      </c>
      <c r="D3" s="176" t="s">
        <v>3792</v>
      </c>
      <c r="E3" s="176" t="s">
        <v>3793</v>
      </c>
      <c r="F3" s="176" t="s">
        <v>87</v>
      </c>
      <c r="G3" s="176" t="s">
        <v>2334</v>
      </c>
      <c r="H3" s="176">
        <v>40</v>
      </c>
      <c r="I3" s="176">
        <v>41.2</v>
      </c>
      <c r="J3" s="176">
        <v>41.2</v>
      </c>
      <c r="K3" s="176">
        <v>5</v>
      </c>
      <c r="L3" s="176">
        <v>0</v>
      </c>
      <c r="M3" s="176" t="s">
        <v>148</v>
      </c>
      <c r="N3" s="176" t="s">
        <v>149</v>
      </c>
      <c r="O3" s="176" t="s">
        <v>150</v>
      </c>
      <c r="P3" s="176" t="s">
        <v>151</v>
      </c>
      <c r="Q3" s="176"/>
      <c r="R3" s="176" t="s">
        <v>3793</v>
      </c>
      <c r="S3" s="176"/>
      <c r="T3" s="176" t="s">
        <v>2623</v>
      </c>
      <c r="U3" s="176" t="s">
        <v>152</v>
      </c>
      <c r="V3" s="176" t="s">
        <v>23</v>
      </c>
    </row>
    <row r="4" spans="1:22" ht="12.75" customHeight="1">
      <c r="A4" s="65"/>
      <c r="B4" s="211">
        <v>46235</v>
      </c>
      <c r="C4" s="211">
        <v>46235</v>
      </c>
      <c r="D4" s="176" t="s">
        <v>3794</v>
      </c>
      <c r="E4" s="176" t="s">
        <v>3795</v>
      </c>
      <c r="F4" s="176" t="s">
        <v>87</v>
      </c>
      <c r="G4" s="176" t="s">
        <v>2357</v>
      </c>
      <c r="H4" s="176">
        <v>40</v>
      </c>
      <c r="I4" s="176">
        <v>44.5</v>
      </c>
      <c r="J4" s="176">
        <v>44.5</v>
      </c>
      <c r="K4" s="176">
        <v>5</v>
      </c>
      <c r="L4" s="176">
        <v>0</v>
      </c>
      <c r="M4" s="176" t="s">
        <v>148</v>
      </c>
      <c r="N4" s="176" t="s">
        <v>149</v>
      </c>
      <c r="O4" s="176" t="s">
        <v>150</v>
      </c>
      <c r="P4" s="176" t="s">
        <v>151</v>
      </c>
      <c r="Q4" s="176"/>
      <c r="R4" s="176" t="s">
        <v>3795</v>
      </c>
      <c r="S4" s="176"/>
      <c r="T4" s="176" t="s">
        <v>2623</v>
      </c>
      <c r="U4" s="176" t="s">
        <v>152</v>
      </c>
      <c r="V4" s="176" t="s">
        <v>23</v>
      </c>
    </row>
    <row r="5" spans="1:22" ht="12.75" customHeight="1">
      <c r="A5" s="65"/>
      <c r="B5" s="211">
        <v>46235</v>
      </c>
      <c r="C5" s="211">
        <v>46235</v>
      </c>
      <c r="D5" s="176" t="s">
        <v>3796</v>
      </c>
      <c r="E5" s="176" t="s">
        <v>3797</v>
      </c>
      <c r="F5" s="176" t="s">
        <v>87</v>
      </c>
      <c r="G5" s="176" t="s">
        <v>2334</v>
      </c>
      <c r="H5" s="176">
        <v>40</v>
      </c>
      <c r="I5" s="176">
        <v>36.4</v>
      </c>
      <c r="J5" s="176">
        <v>36.4</v>
      </c>
      <c r="K5" s="176">
        <v>5</v>
      </c>
      <c r="L5" s="176">
        <v>0</v>
      </c>
      <c r="M5" s="176" t="s">
        <v>148</v>
      </c>
      <c r="N5" s="176" t="s">
        <v>149</v>
      </c>
      <c r="O5" s="176" t="s">
        <v>150</v>
      </c>
      <c r="P5" s="176" t="s">
        <v>151</v>
      </c>
      <c r="Q5" s="176"/>
      <c r="R5" s="176" t="s">
        <v>3797</v>
      </c>
      <c r="S5" s="176"/>
      <c r="T5" s="176" t="s">
        <v>2623</v>
      </c>
      <c r="U5" s="176" t="s">
        <v>152</v>
      </c>
      <c r="V5" s="176" t="s">
        <v>23</v>
      </c>
    </row>
    <row r="6" spans="1:22" ht="12.75" customHeight="1">
      <c r="A6" s="65"/>
      <c r="B6" s="211">
        <v>46235</v>
      </c>
      <c r="C6" s="211">
        <v>46235</v>
      </c>
      <c r="D6" s="176" t="s">
        <v>3798</v>
      </c>
      <c r="E6" s="176" t="s">
        <v>3799</v>
      </c>
      <c r="F6" s="176" t="s">
        <v>87</v>
      </c>
      <c r="G6" s="176" t="s">
        <v>2357</v>
      </c>
      <c r="H6" s="176">
        <v>40</v>
      </c>
      <c r="I6" s="176">
        <v>34.299999999999997</v>
      </c>
      <c r="J6" s="176">
        <v>34.299999999999997</v>
      </c>
      <c r="K6" s="176">
        <v>5</v>
      </c>
      <c r="L6" s="176">
        <v>0</v>
      </c>
      <c r="M6" s="176" t="s">
        <v>148</v>
      </c>
      <c r="N6" s="176" t="s">
        <v>149</v>
      </c>
      <c r="O6" s="176" t="s">
        <v>150</v>
      </c>
      <c r="P6" s="176" t="s">
        <v>151</v>
      </c>
      <c r="Q6" s="176"/>
      <c r="R6" s="176" t="s">
        <v>3799</v>
      </c>
      <c r="S6" s="176"/>
      <c r="T6" s="176" t="s">
        <v>2623</v>
      </c>
      <c r="U6" s="176" t="s">
        <v>152</v>
      </c>
      <c r="V6" s="176" t="s">
        <v>23</v>
      </c>
    </row>
    <row r="7" spans="1:22" ht="12.75" customHeight="1">
      <c r="A7" s="65"/>
      <c r="B7" s="211">
        <v>46235</v>
      </c>
      <c r="C7" s="211">
        <v>46235</v>
      </c>
      <c r="D7" s="176" t="s">
        <v>3800</v>
      </c>
      <c r="E7" s="176" t="s">
        <v>3801</v>
      </c>
      <c r="F7" s="176" t="s">
        <v>87</v>
      </c>
      <c r="G7" s="176" t="s">
        <v>2357</v>
      </c>
      <c r="H7" s="176">
        <v>40</v>
      </c>
      <c r="I7" s="176">
        <v>46.1</v>
      </c>
      <c r="J7" s="176">
        <v>46.1</v>
      </c>
      <c r="K7" s="176">
        <v>5</v>
      </c>
      <c r="L7" s="176">
        <v>0</v>
      </c>
      <c r="M7" s="176" t="s">
        <v>148</v>
      </c>
      <c r="N7" s="176" t="s">
        <v>149</v>
      </c>
      <c r="O7" s="176" t="s">
        <v>150</v>
      </c>
      <c r="P7" s="176" t="s">
        <v>151</v>
      </c>
      <c r="Q7" s="176"/>
      <c r="R7" s="176" t="s">
        <v>3801</v>
      </c>
      <c r="S7" s="176"/>
      <c r="T7" s="176" t="s">
        <v>2623</v>
      </c>
      <c r="U7" s="176" t="s">
        <v>152</v>
      </c>
      <c r="V7" s="176" t="s">
        <v>23</v>
      </c>
    </row>
    <row r="8" spans="1:22" ht="12.75" customHeight="1">
      <c r="A8" s="65"/>
      <c r="B8" s="211">
        <v>46235</v>
      </c>
      <c r="C8" s="211">
        <v>46235</v>
      </c>
      <c r="D8" s="176" t="s">
        <v>3802</v>
      </c>
      <c r="E8" s="176" t="s">
        <v>3803</v>
      </c>
      <c r="F8" s="176" t="s">
        <v>87</v>
      </c>
      <c r="G8" s="176" t="s">
        <v>2357</v>
      </c>
      <c r="H8" s="176">
        <v>40</v>
      </c>
      <c r="I8" s="176">
        <v>38.200000000000003</v>
      </c>
      <c r="J8" s="176">
        <v>38.200000000000003</v>
      </c>
      <c r="K8" s="176">
        <v>5</v>
      </c>
      <c r="L8" s="176">
        <v>0</v>
      </c>
      <c r="M8" s="176" t="s">
        <v>148</v>
      </c>
      <c r="N8" s="176" t="s">
        <v>149</v>
      </c>
      <c r="O8" s="176" t="s">
        <v>150</v>
      </c>
      <c r="P8" s="176" t="s">
        <v>151</v>
      </c>
      <c r="Q8" s="176"/>
      <c r="R8" s="176" t="s">
        <v>3803</v>
      </c>
      <c r="S8" s="176"/>
      <c r="T8" s="176" t="s">
        <v>2623</v>
      </c>
      <c r="U8" s="176" t="s">
        <v>152</v>
      </c>
      <c r="V8" s="176" t="s">
        <v>23</v>
      </c>
    </row>
    <row r="9" spans="1:22" ht="12.75" customHeight="1">
      <c r="A9" s="65"/>
      <c r="B9" s="211">
        <v>46235</v>
      </c>
      <c r="C9" s="211">
        <v>46235</v>
      </c>
      <c r="D9" s="176" t="s">
        <v>3804</v>
      </c>
      <c r="E9" s="176" t="s">
        <v>3805</v>
      </c>
      <c r="F9" s="176" t="s">
        <v>87</v>
      </c>
      <c r="G9" s="176" t="s">
        <v>2357</v>
      </c>
      <c r="H9" s="176">
        <v>40</v>
      </c>
      <c r="I9" s="176">
        <v>38.5</v>
      </c>
      <c r="J9" s="176">
        <v>38.5</v>
      </c>
      <c r="K9" s="176">
        <v>5</v>
      </c>
      <c r="L9" s="176">
        <v>0</v>
      </c>
      <c r="M9" s="176" t="s">
        <v>148</v>
      </c>
      <c r="N9" s="176" t="s">
        <v>149</v>
      </c>
      <c r="O9" s="176" t="s">
        <v>150</v>
      </c>
      <c r="P9" s="176" t="s">
        <v>151</v>
      </c>
      <c r="Q9" s="176"/>
      <c r="R9" s="176" t="s">
        <v>3805</v>
      </c>
      <c r="S9" s="176"/>
      <c r="T9" s="176" t="s">
        <v>2623</v>
      </c>
      <c r="U9" s="176" t="s">
        <v>152</v>
      </c>
      <c r="V9" s="176" t="s">
        <v>23</v>
      </c>
    </row>
    <row r="10" spans="1:22" ht="12.75" customHeight="1">
      <c r="A10" s="65"/>
      <c r="B10" s="211">
        <v>46235</v>
      </c>
      <c r="C10" s="211">
        <v>46235</v>
      </c>
      <c r="D10" s="176" t="s">
        <v>3806</v>
      </c>
      <c r="E10" s="176" t="s">
        <v>3807</v>
      </c>
      <c r="F10" s="176" t="s">
        <v>87</v>
      </c>
      <c r="G10" s="176" t="s">
        <v>2334</v>
      </c>
      <c r="H10" s="176">
        <v>40</v>
      </c>
      <c r="I10" s="176">
        <v>25.8</v>
      </c>
      <c r="J10" s="176">
        <v>25.8</v>
      </c>
      <c r="K10" s="176">
        <v>5</v>
      </c>
      <c r="L10" s="176">
        <v>0</v>
      </c>
      <c r="M10" s="176" t="s">
        <v>148</v>
      </c>
      <c r="N10" s="176" t="s">
        <v>149</v>
      </c>
      <c r="O10" s="176" t="s">
        <v>150</v>
      </c>
      <c r="P10" s="176" t="s">
        <v>151</v>
      </c>
      <c r="Q10" s="176"/>
      <c r="R10" s="176" t="s">
        <v>3807</v>
      </c>
      <c r="S10" s="176"/>
      <c r="T10" s="176" t="s">
        <v>2623</v>
      </c>
      <c r="U10" s="176" t="s">
        <v>152</v>
      </c>
      <c r="V10" s="176" t="s">
        <v>23</v>
      </c>
    </row>
    <row r="11" spans="1:22" ht="12.75" customHeight="1">
      <c r="A11" s="65"/>
      <c r="B11" s="211">
        <v>46235</v>
      </c>
      <c r="C11" s="211">
        <v>46235</v>
      </c>
      <c r="D11" s="176" t="s">
        <v>3808</v>
      </c>
      <c r="E11" s="176" t="s">
        <v>3809</v>
      </c>
      <c r="F11" s="176" t="s">
        <v>87</v>
      </c>
      <c r="G11" s="176" t="s">
        <v>2513</v>
      </c>
      <c r="H11" s="176">
        <v>25</v>
      </c>
      <c r="I11" s="176">
        <v>42.8</v>
      </c>
      <c r="J11" s="176">
        <v>42.8</v>
      </c>
      <c r="K11" s="176">
        <v>4</v>
      </c>
      <c r="L11" s="176">
        <v>0</v>
      </c>
      <c r="M11" s="176" t="s">
        <v>148</v>
      </c>
      <c r="N11" s="176" t="s">
        <v>149</v>
      </c>
      <c r="O11" s="176" t="s">
        <v>150</v>
      </c>
      <c r="P11" s="176" t="s">
        <v>151</v>
      </c>
      <c r="Q11" s="176"/>
      <c r="R11" s="176" t="s">
        <v>3809</v>
      </c>
      <c r="S11" s="176"/>
      <c r="T11" s="176" t="s">
        <v>2623</v>
      </c>
      <c r="U11" s="176" t="s">
        <v>152</v>
      </c>
      <c r="V11" s="176" t="s">
        <v>23</v>
      </c>
    </row>
    <row r="12" spans="1:22" ht="12.75" customHeight="1">
      <c r="A12" s="65"/>
      <c r="B12" s="211">
        <v>46235</v>
      </c>
      <c r="C12" s="211">
        <v>46235</v>
      </c>
      <c r="D12" s="176" t="s">
        <v>3810</v>
      </c>
      <c r="E12" s="176" t="s">
        <v>3811</v>
      </c>
      <c r="F12" s="176" t="s">
        <v>87</v>
      </c>
      <c r="G12" s="176" t="s">
        <v>2513</v>
      </c>
      <c r="H12" s="176">
        <v>25</v>
      </c>
      <c r="I12" s="176">
        <v>30.9</v>
      </c>
      <c r="J12" s="176">
        <v>30.9</v>
      </c>
      <c r="K12" s="176">
        <v>4</v>
      </c>
      <c r="L12" s="176">
        <v>0</v>
      </c>
      <c r="M12" s="176" t="s">
        <v>148</v>
      </c>
      <c r="N12" s="176" t="s">
        <v>149</v>
      </c>
      <c r="O12" s="176" t="s">
        <v>150</v>
      </c>
      <c r="P12" s="176" t="s">
        <v>151</v>
      </c>
      <c r="Q12" s="176"/>
      <c r="R12" s="176" t="s">
        <v>3811</v>
      </c>
      <c r="S12" s="176"/>
      <c r="T12" s="176" t="s">
        <v>2623</v>
      </c>
      <c r="U12" s="176" t="s">
        <v>152</v>
      </c>
      <c r="V12" s="176" t="s">
        <v>23</v>
      </c>
    </row>
    <row r="13" spans="1:22" ht="12.75" customHeight="1">
      <c r="A13" s="65"/>
      <c r="B13" s="211">
        <v>46235</v>
      </c>
      <c r="C13" s="211">
        <v>46235</v>
      </c>
      <c r="D13" s="176" t="s">
        <v>3812</v>
      </c>
      <c r="E13" s="176" t="s">
        <v>3813</v>
      </c>
      <c r="F13" s="176" t="s">
        <v>87</v>
      </c>
      <c r="G13" s="176" t="s">
        <v>2334</v>
      </c>
      <c r="H13" s="176">
        <v>40</v>
      </c>
      <c r="I13" s="176">
        <v>39.9</v>
      </c>
      <c r="J13" s="176">
        <v>39.9</v>
      </c>
      <c r="K13" s="176">
        <v>5</v>
      </c>
      <c r="L13" s="176">
        <v>0</v>
      </c>
      <c r="M13" s="176" t="s">
        <v>148</v>
      </c>
      <c r="N13" s="176" t="s">
        <v>149</v>
      </c>
      <c r="O13" s="176" t="s">
        <v>150</v>
      </c>
      <c r="P13" s="176" t="s">
        <v>151</v>
      </c>
      <c r="Q13" s="176"/>
      <c r="R13" s="176" t="s">
        <v>3813</v>
      </c>
      <c r="S13" s="176"/>
      <c r="T13" s="176" t="s">
        <v>2623</v>
      </c>
      <c r="U13" s="176" t="s">
        <v>152</v>
      </c>
      <c r="V13" s="176" t="s">
        <v>23</v>
      </c>
    </row>
    <row r="14" spans="1:22" ht="12.75" customHeight="1">
      <c r="A14" s="65"/>
      <c r="B14" s="211">
        <v>46235</v>
      </c>
      <c r="C14" s="211">
        <v>46235</v>
      </c>
      <c r="D14" s="176" t="s">
        <v>3814</v>
      </c>
      <c r="E14" s="176" t="s">
        <v>3815</v>
      </c>
      <c r="F14" s="176" t="s">
        <v>87</v>
      </c>
      <c r="G14" s="176" t="s">
        <v>2334</v>
      </c>
      <c r="H14" s="176">
        <v>40</v>
      </c>
      <c r="I14" s="176">
        <v>39.700000000000003</v>
      </c>
      <c r="J14" s="176">
        <v>39.700000000000003</v>
      </c>
      <c r="K14" s="176">
        <v>5</v>
      </c>
      <c r="L14" s="176">
        <v>0</v>
      </c>
      <c r="M14" s="176" t="s">
        <v>148</v>
      </c>
      <c r="N14" s="176" t="s">
        <v>149</v>
      </c>
      <c r="O14" s="176" t="s">
        <v>150</v>
      </c>
      <c r="P14" s="176" t="s">
        <v>151</v>
      </c>
      <c r="Q14" s="176"/>
      <c r="R14" s="176" t="s">
        <v>3815</v>
      </c>
      <c r="S14" s="176"/>
      <c r="T14" s="176" t="s">
        <v>2623</v>
      </c>
      <c r="U14" s="176" t="s">
        <v>152</v>
      </c>
      <c r="V14" s="176" t="s">
        <v>23</v>
      </c>
    </row>
    <row r="15" spans="1:22" ht="12.75" customHeight="1">
      <c r="A15" s="65"/>
      <c r="B15" s="211">
        <v>46235</v>
      </c>
      <c r="C15" s="211">
        <v>46235</v>
      </c>
      <c r="D15" s="176" t="s">
        <v>3816</v>
      </c>
      <c r="E15" s="176" t="s">
        <v>3817</v>
      </c>
      <c r="F15" s="176" t="s">
        <v>87</v>
      </c>
      <c r="G15" s="176" t="s">
        <v>2334</v>
      </c>
      <c r="H15" s="176">
        <v>40</v>
      </c>
      <c r="I15" s="176">
        <v>33.799999999999997</v>
      </c>
      <c r="J15" s="176">
        <v>33.799999999999997</v>
      </c>
      <c r="K15" s="176">
        <v>5</v>
      </c>
      <c r="L15" s="176">
        <v>0</v>
      </c>
      <c r="M15" s="176" t="s">
        <v>148</v>
      </c>
      <c r="N15" s="176" t="s">
        <v>149</v>
      </c>
      <c r="O15" s="176" t="s">
        <v>150</v>
      </c>
      <c r="P15" s="176" t="s">
        <v>151</v>
      </c>
      <c r="Q15" s="176"/>
      <c r="R15" s="176" t="s">
        <v>3817</v>
      </c>
      <c r="S15" s="176"/>
      <c r="T15" s="176" t="s">
        <v>2623</v>
      </c>
      <c r="U15" s="176" t="s">
        <v>152</v>
      </c>
      <c r="V15" s="176" t="s">
        <v>23</v>
      </c>
    </row>
    <row r="16" spans="1:22" ht="12.75" customHeight="1">
      <c r="A16" s="65"/>
      <c r="B16" s="211">
        <v>46235</v>
      </c>
      <c r="C16" s="211">
        <v>46235</v>
      </c>
      <c r="D16" s="176" t="s">
        <v>3818</v>
      </c>
      <c r="E16" s="176" t="s">
        <v>3819</v>
      </c>
      <c r="F16" s="176" t="s">
        <v>87</v>
      </c>
      <c r="G16" s="176" t="s">
        <v>2334</v>
      </c>
      <c r="H16" s="176">
        <v>40</v>
      </c>
      <c r="I16" s="176">
        <v>42.4</v>
      </c>
      <c r="J16" s="176">
        <v>42.4</v>
      </c>
      <c r="K16" s="176">
        <v>5</v>
      </c>
      <c r="L16" s="176">
        <v>0</v>
      </c>
      <c r="M16" s="176" t="s">
        <v>148</v>
      </c>
      <c r="N16" s="176" t="s">
        <v>149</v>
      </c>
      <c r="O16" s="176" t="s">
        <v>150</v>
      </c>
      <c r="P16" s="176" t="s">
        <v>151</v>
      </c>
      <c r="Q16" s="176"/>
      <c r="R16" s="176" t="s">
        <v>3819</v>
      </c>
      <c r="S16" s="176"/>
      <c r="T16" s="176" t="s">
        <v>2623</v>
      </c>
      <c r="U16" s="176" t="s">
        <v>152</v>
      </c>
      <c r="V16" s="176" t="s">
        <v>23</v>
      </c>
    </row>
    <row r="17" spans="1:22" ht="12.75" customHeight="1">
      <c r="A17" s="65"/>
      <c r="B17" s="211">
        <v>46235</v>
      </c>
      <c r="C17" s="211">
        <v>46235</v>
      </c>
      <c r="D17" s="176" t="s">
        <v>3820</v>
      </c>
      <c r="E17" s="176" t="s">
        <v>3821</v>
      </c>
      <c r="F17" s="176" t="s">
        <v>87</v>
      </c>
      <c r="G17" s="176" t="s">
        <v>2334</v>
      </c>
      <c r="H17" s="176">
        <v>40</v>
      </c>
      <c r="I17" s="176">
        <v>42.2</v>
      </c>
      <c r="J17" s="176">
        <v>42.2</v>
      </c>
      <c r="K17" s="176">
        <v>5</v>
      </c>
      <c r="L17" s="176">
        <v>0</v>
      </c>
      <c r="M17" s="176" t="s">
        <v>148</v>
      </c>
      <c r="N17" s="176" t="s">
        <v>149</v>
      </c>
      <c r="O17" s="176" t="s">
        <v>150</v>
      </c>
      <c r="P17" s="176" t="s">
        <v>151</v>
      </c>
      <c r="Q17" s="176"/>
      <c r="R17" s="176" t="s">
        <v>3821</v>
      </c>
      <c r="S17" s="176"/>
      <c r="T17" s="176" t="s">
        <v>2623</v>
      </c>
      <c r="U17" s="176" t="s">
        <v>152</v>
      </c>
      <c r="V17" s="176" t="s">
        <v>23</v>
      </c>
    </row>
    <row r="18" spans="1:22" ht="12.75" customHeight="1">
      <c r="A18" s="65"/>
      <c r="B18" s="211">
        <v>46235</v>
      </c>
      <c r="C18" s="211">
        <v>46235</v>
      </c>
      <c r="D18" s="176" t="s">
        <v>3822</v>
      </c>
      <c r="E18" s="176" t="s">
        <v>3823</v>
      </c>
      <c r="F18" s="176" t="s">
        <v>87</v>
      </c>
      <c r="G18" s="176" t="s">
        <v>2357</v>
      </c>
      <c r="H18" s="176">
        <v>40</v>
      </c>
      <c r="I18" s="176">
        <v>35.799999999999997</v>
      </c>
      <c r="J18" s="176">
        <v>35.799999999999997</v>
      </c>
      <c r="K18" s="176">
        <v>5</v>
      </c>
      <c r="L18" s="176">
        <v>0</v>
      </c>
      <c r="M18" s="176" t="s">
        <v>148</v>
      </c>
      <c r="N18" s="176" t="s">
        <v>149</v>
      </c>
      <c r="O18" s="176" t="s">
        <v>150</v>
      </c>
      <c r="P18" s="176" t="s">
        <v>151</v>
      </c>
      <c r="Q18" s="176"/>
      <c r="R18" s="176" t="s">
        <v>3823</v>
      </c>
      <c r="S18" s="176"/>
      <c r="T18" s="176" t="s">
        <v>2623</v>
      </c>
      <c r="U18" s="176" t="s">
        <v>152</v>
      </c>
      <c r="V18" s="176" t="s">
        <v>23</v>
      </c>
    </row>
    <row r="19" spans="1:22" ht="12.75">
      <c r="A19" s="65"/>
      <c r="B19" s="211">
        <v>46235</v>
      </c>
      <c r="C19" s="211">
        <v>46235</v>
      </c>
      <c r="D19" s="176" t="s">
        <v>3824</v>
      </c>
      <c r="E19" s="176" t="s">
        <v>3825</v>
      </c>
      <c r="F19" s="176" t="s">
        <v>87</v>
      </c>
      <c r="G19" s="176" t="s">
        <v>2334</v>
      </c>
      <c r="H19" s="176">
        <v>40</v>
      </c>
      <c r="I19" s="176">
        <v>37.5</v>
      </c>
      <c r="J19" s="176">
        <v>37.5</v>
      </c>
      <c r="K19" s="176">
        <v>5</v>
      </c>
      <c r="L19" s="176">
        <v>0</v>
      </c>
      <c r="M19" s="176" t="s">
        <v>148</v>
      </c>
      <c r="N19" s="176" t="s">
        <v>149</v>
      </c>
      <c r="O19" s="176" t="s">
        <v>150</v>
      </c>
      <c r="P19" s="176" t="s">
        <v>151</v>
      </c>
      <c r="Q19" s="176"/>
      <c r="R19" s="176" t="s">
        <v>3825</v>
      </c>
      <c r="S19" s="176"/>
      <c r="T19" s="176" t="s">
        <v>2623</v>
      </c>
      <c r="U19" s="176" t="s">
        <v>152</v>
      </c>
      <c r="V19" s="176" t="s">
        <v>23</v>
      </c>
    </row>
    <row r="20" spans="1:22" ht="12.75" customHeight="1">
      <c r="A20" s="65"/>
      <c r="B20" s="211">
        <v>46235</v>
      </c>
      <c r="C20" s="211">
        <v>46235</v>
      </c>
      <c r="D20" s="176" t="s">
        <v>3826</v>
      </c>
      <c r="E20" s="176" t="s">
        <v>3827</v>
      </c>
      <c r="F20" s="176" t="s">
        <v>87</v>
      </c>
      <c r="G20" s="176" t="s">
        <v>2334</v>
      </c>
      <c r="H20" s="176">
        <v>40</v>
      </c>
      <c r="I20" s="176">
        <v>40</v>
      </c>
      <c r="J20" s="176">
        <v>40</v>
      </c>
      <c r="K20" s="176">
        <v>5</v>
      </c>
      <c r="L20" s="176">
        <v>0</v>
      </c>
      <c r="M20" s="176" t="s">
        <v>148</v>
      </c>
      <c r="N20" s="176" t="s">
        <v>149</v>
      </c>
      <c r="O20" s="176" t="s">
        <v>150</v>
      </c>
      <c r="P20" s="176" t="s">
        <v>151</v>
      </c>
      <c r="Q20" s="176"/>
      <c r="R20" s="176" t="s">
        <v>3827</v>
      </c>
      <c r="S20" s="176"/>
      <c r="T20" s="176" t="s">
        <v>2623</v>
      </c>
      <c r="U20" s="176" t="s">
        <v>152</v>
      </c>
      <c r="V20" s="176" t="s">
        <v>23</v>
      </c>
    </row>
    <row r="21" spans="1:22" ht="12.75" customHeight="1">
      <c r="A21" s="65"/>
      <c r="B21" s="211">
        <v>46235</v>
      </c>
      <c r="C21" s="211">
        <v>46235</v>
      </c>
      <c r="D21" s="176" t="s">
        <v>3828</v>
      </c>
      <c r="E21" s="176" t="s">
        <v>3829</v>
      </c>
      <c r="F21" s="176" t="s">
        <v>87</v>
      </c>
      <c r="G21" s="176" t="s">
        <v>2514</v>
      </c>
      <c r="H21" s="176">
        <v>55</v>
      </c>
      <c r="I21" s="176">
        <v>38.6</v>
      </c>
      <c r="J21" s="176">
        <v>38.6</v>
      </c>
      <c r="K21" s="176">
        <v>5</v>
      </c>
      <c r="L21" s="176">
        <v>0</v>
      </c>
      <c r="M21" s="176" t="s">
        <v>148</v>
      </c>
      <c r="N21" s="176" t="s">
        <v>149</v>
      </c>
      <c r="O21" s="176" t="s">
        <v>150</v>
      </c>
      <c r="P21" s="176" t="s">
        <v>151</v>
      </c>
      <c r="Q21" s="176"/>
      <c r="R21" s="176" t="s">
        <v>3829</v>
      </c>
      <c r="S21" s="176"/>
      <c r="T21" s="176" t="s">
        <v>2623</v>
      </c>
      <c r="U21" s="176" t="s">
        <v>152</v>
      </c>
      <c r="V21" s="176" t="s">
        <v>23</v>
      </c>
    </row>
    <row r="22" spans="1:22" ht="12.75" customHeight="1">
      <c r="A22" s="65"/>
      <c r="B22" s="211">
        <v>46235</v>
      </c>
      <c r="C22" s="211">
        <v>46235</v>
      </c>
      <c r="D22" s="176" t="s">
        <v>3830</v>
      </c>
      <c r="E22" s="176" t="s">
        <v>3831</v>
      </c>
      <c r="F22" s="176" t="s">
        <v>87</v>
      </c>
      <c r="G22" s="176" t="s">
        <v>2334</v>
      </c>
      <c r="H22" s="176">
        <v>40</v>
      </c>
      <c r="I22" s="176">
        <v>38.6</v>
      </c>
      <c r="J22" s="176">
        <v>38.6</v>
      </c>
      <c r="K22" s="176">
        <v>5</v>
      </c>
      <c r="L22" s="176">
        <v>0</v>
      </c>
      <c r="M22" s="176" t="s">
        <v>148</v>
      </c>
      <c r="N22" s="176" t="s">
        <v>149</v>
      </c>
      <c r="O22" s="176" t="s">
        <v>150</v>
      </c>
      <c r="P22" s="176" t="s">
        <v>151</v>
      </c>
      <c r="Q22" s="176"/>
      <c r="R22" s="176" t="s">
        <v>3831</v>
      </c>
      <c r="S22" s="176"/>
      <c r="T22" s="176" t="s">
        <v>2623</v>
      </c>
      <c r="U22" s="176" t="s">
        <v>152</v>
      </c>
      <c r="V22" s="176" t="s">
        <v>23</v>
      </c>
    </row>
    <row r="23" spans="1:22" ht="12.75" customHeight="1">
      <c r="A23" s="65"/>
      <c r="B23" s="211">
        <v>46235</v>
      </c>
      <c r="C23" s="211">
        <v>46235</v>
      </c>
      <c r="D23" s="176" t="s">
        <v>3832</v>
      </c>
      <c r="E23" s="176" t="s">
        <v>3833</v>
      </c>
      <c r="F23" s="176" t="s">
        <v>87</v>
      </c>
      <c r="G23" s="176" t="s">
        <v>2334</v>
      </c>
      <c r="H23" s="176">
        <v>40</v>
      </c>
      <c r="I23" s="176">
        <v>43.2</v>
      </c>
      <c r="J23" s="176">
        <v>43.2</v>
      </c>
      <c r="K23" s="176">
        <v>5</v>
      </c>
      <c r="L23" s="176">
        <v>0</v>
      </c>
      <c r="M23" s="176" t="s">
        <v>148</v>
      </c>
      <c r="N23" s="176" t="s">
        <v>149</v>
      </c>
      <c r="O23" s="176" t="s">
        <v>150</v>
      </c>
      <c r="P23" s="176" t="s">
        <v>151</v>
      </c>
      <c r="Q23" s="176"/>
      <c r="R23" s="176" t="s">
        <v>3833</v>
      </c>
      <c r="S23" s="176"/>
      <c r="T23" s="176" t="s">
        <v>2623</v>
      </c>
      <c r="U23" s="176" t="s">
        <v>152</v>
      </c>
      <c r="V23" s="176" t="s">
        <v>23</v>
      </c>
    </row>
    <row r="24" spans="1:22" ht="12.75" customHeight="1">
      <c r="A24" s="65"/>
      <c r="B24" s="211">
        <v>46235</v>
      </c>
      <c r="C24" s="211">
        <v>46235</v>
      </c>
      <c r="D24" s="176" t="s">
        <v>3834</v>
      </c>
      <c r="E24" s="176" t="s">
        <v>3835</v>
      </c>
      <c r="F24" s="176" t="s">
        <v>87</v>
      </c>
      <c r="G24" s="176" t="s">
        <v>1966</v>
      </c>
      <c r="H24" s="176">
        <v>6</v>
      </c>
      <c r="I24" s="176">
        <v>13.8</v>
      </c>
      <c r="J24" s="176">
        <v>13.8</v>
      </c>
      <c r="K24" s="176">
        <v>1.5</v>
      </c>
      <c r="L24" s="176">
        <v>0</v>
      </c>
      <c r="M24" s="176" t="s">
        <v>148</v>
      </c>
      <c r="N24" s="176" t="s">
        <v>149</v>
      </c>
      <c r="O24" s="176" t="s">
        <v>150</v>
      </c>
      <c r="P24" s="176" t="s">
        <v>151</v>
      </c>
      <c r="Q24" s="176"/>
      <c r="R24" s="176" t="s">
        <v>3835</v>
      </c>
      <c r="S24" s="176"/>
      <c r="T24" s="176" t="s">
        <v>2623</v>
      </c>
      <c r="U24" s="176" t="s">
        <v>152</v>
      </c>
      <c r="V24" s="176" t="s">
        <v>23</v>
      </c>
    </row>
    <row r="25" spans="1:22" ht="12.75" customHeight="1">
      <c r="A25" s="65"/>
      <c r="B25" s="211">
        <v>46235</v>
      </c>
      <c r="C25" s="211">
        <v>46235</v>
      </c>
      <c r="D25" s="176" t="s">
        <v>3836</v>
      </c>
      <c r="E25" s="176" t="s">
        <v>3837</v>
      </c>
      <c r="F25" s="176" t="s">
        <v>87</v>
      </c>
      <c r="G25" s="176" t="s">
        <v>2514</v>
      </c>
      <c r="H25" s="176">
        <v>55</v>
      </c>
      <c r="I25" s="176">
        <v>29.3</v>
      </c>
      <c r="J25" s="176">
        <v>29.3</v>
      </c>
      <c r="K25" s="176">
        <v>5</v>
      </c>
      <c r="L25" s="176">
        <v>0</v>
      </c>
      <c r="M25" s="176" t="s">
        <v>148</v>
      </c>
      <c r="N25" s="176" t="s">
        <v>149</v>
      </c>
      <c r="O25" s="176" t="s">
        <v>150</v>
      </c>
      <c r="P25" s="176" t="s">
        <v>151</v>
      </c>
      <c r="Q25" s="176"/>
      <c r="R25" s="176" t="s">
        <v>3837</v>
      </c>
      <c r="S25" s="176"/>
      <c r="T25" s="176" t="s">
        <v>2623</v>
      </c>
      <c r="U25" s="176" t="s">
        <v>152</v>
      </c>
      <c r="V25" s="176" t="s">
        <v>23</v>
      </c>
    </row>
    <row r="26" spans="1:22" ht="12.75" customHeight="1">
      <c r="A26" s="65"/>
      <c r="B26" s="211">
        <v>46235</v>
      </c>
      <c r="C26" s="211">
        <v>46235</v>
      </c>
      <c r="D26" s="176" t="s">
        <v>3838</v>
      </c>
      <c r="E26" s="176" t="s">
        <v>3839</v>
      </c>
      <c r="F26" s="176" t="s">
        <v>87</v>
      </c>
      <c r="G26" s="176" t="s">
        <v>2357</v>
      </c>
      <c r="H26" s="176">
        <v>40</v>
      </c>
      <c r="I26" s="176">
        <v>42</v>
      </c>
      <c r="J26" s="176">
        <v>42</v>
      </c>
      <c r="K26" s="176">
        <v>5</v>
      </c>
      <c r="L26" s="176">
        <v>0</v>
      </c>
      <c r="M26" s="176" t="s">
        <v>148</v>
      </c>
      <c r="N26" s="176" t="s">
        <v>149</v>
      </c>
      <c r="O26" s="176" t="s">
        <v>150</v>
      </c>
      <c r="P26" s="176" t="s">
        <v>151</v>
      </c>
      <c r="Q26" s="176"/>
      <c r="R26" s="176" t="s">
        <v>3839</v>
      </c>
      <c r="S26" s="176"/>
      <c r="T26" s="176" t="s">
        <v>2623</v>
      </c>
      <c r="U26" s="176" t="s">
        <v>152</v>
      </c>
      <c r="V26" s="176" t="s">
        <v>23</v>
      </c>
    </row>
    <row r="27" spans="1:22" ht="12.75" customHeight="1">
      <c r="A27" s="65"/>
      <c r="B27" s="211">
        <v>46235</v>
      </c>
      <c r="C27" s="211">
        <v>46235</v>
      </c>
      <c r="D27" s="176" t="s">
        <v>3840</v>
      </c>
      <c r="E27" s="176" t="s">
        <v>3841</v>
      </c>
      <c r="F27" s="176" t="s">
        <v>87</v>
      </c>
      <c r="G27" s="176" t="s">
        <v>2513</v>
      </c>
      <c r="H27" s="176">
        <v>25</v>
      </c>
      <c r="I27" s="176">
        <v>41.4</v>
      </c>
      <c r="J27" s="176">
        <v>41.4</v>
      </c>
      <c r="K27" s="176">
        <v>4</v>
      </c>
      <c r="L27" s="176">
        <v>0</v>
      </c>
      <c r="M27" s="176" t="s">
        <v>148</v>
      </c>
      <c r="N27" s="176" t="s">
        <v>149</v>
      </c>
      <c r="O27" s="176" t="s">
        <v>150</v>
      </c>
      <c r="P27" s="176" t="s">
        <v>151</v>
      </c>
      <c r="Q27" s="176"/>
      <c r="R27" s="176" t="s">
        <v>3841</v>
      </c>
      <c r="S27" s="176"/>
      <c r="T27" s="176" t="s">
        <v>2623</v>
      </c>
      <c r="U27" s="176" t="s">
        <v>152</v>
      </c>
      <c r="V27" s="176" t="s">
        <v>23</v>
      </c>
    </row>
    <row r="28" spans="1:22" ht="12.75" customHeight="1">
      <c r="A28" s="65"/>
      <c r="B28" s="211">
        <v>46235</v>
      </c>
      <c r="C28" s="211">
        <v>46235</v>
      </c>
      <c r="D28" s="176" t="s">
        <v>3842</v>
      </c>
      <c r="E28" s="176" t="s">
        <v>3843</v>
      </c>
      <c r="F28" s="176" t="s">
        <v>87</v>
      </c>
      <c r="G28" s="176" t="s">
        <v>2513</v>
      </c>
      <c r="H28" s="176">
        <v>25</v>
      </c>
      <c r="I28" s="176">
        <v>39.700000000000003</v>
      </c>
      <c r="J28" s="176">
        <v>39.700000000000003</v>
      </c>
      <c r="K28" s="176">
        <v>4</v>
      </c>
      <c r="L28" s="176">
        <v>0</v>
      </c>
      <c r="M28" s="176" t="s">
        <v>148</v>
      </c>
      <c r="N28" s="176" t="s">
        <v>149</v>
      </c>
      <c r="O28" s="176" t="s">
        <v>150</v>
      </c>
      <c r="P28" s="176" t="s">
        <v>151</v>
      </c>
      <c r="Q28" s="176"/>
      <c r="R28" s="176" t="s">
        <v>3843</v>
      </c>
      <c r="S28" s="176"/>
      <c r="T28" s="176" t="s">
        <v>2623</v>
      </c>
      <c r="U28" s="176" t="s">
        <v>152</v>
      </c>
      <c r="V28" s="176" t="s">
        <v>23</v>
      </c>
    </row>
    <row r="29" spans="1:22" ht="12.75" customHeight="1">
      <c r="A29" s="65"/>
      <c r="B29" s="211">
        <v>46235</v>
      </c>
      <c r="C29" s="211">
        <v>46235</v>
      </c>
      <c r="D29" s="176" t="s">
        <v>3844</v>
      </c>
      <c r="E29" s="176" t="s">
        <v>3845</v>
      </c>
      <c r="F29" s="176" t="s">
        <v>87</v>
      </c>
      <c r="G29" s="176" t="s">
        <v>2334</v>
      </c>
      <c r="H29" s="176">
        <v>40</v>
      </c>
      <c r="I29" s="176">
        <v>36.200000000000003</v>
      </c>
      <c r="J29" s="176">
        <v>36.200000000000003</v>
      </c>
      <c r="K29" s="176">
        <v>5</v>
      </c>
      <c r="L29" s="176">
        <v>0</v>
      </c>
      <c r="M29" s="176" t="s">
        <v>148</v>
      </c>
      <c r="N29" s="176" t="s">
        <v>149</v>
      </c>
      <c r="O29" s="176" t="s">
        <v>150</v>
      </c>
      <c r="P29" s="176" t="s">
        <v>151</v>
      </c>
      <c r="Q29" s="176"/>
      <c r="R29" s="176" t="s">
        <v>3845</v>
      </c>
      <c r="S29" s="176"/>
      <c r="T29" s="176" t="s">
        <v>2623</v>
      </c>
      <c r="U29" s="176" t="s">
        <v>152</v>
      </c>
      <c r="V29" s="176" t="s">
        <v>23</v>
      </c>
    </row>
    <row r="30" spans="1:22" ht="12.75" customHeight="1">
      <c r="A30" s="65"/>
      <c r="B30" s="211">
        <v>46235</v>
      </c>
      <c r="C30" s="211">
        <v>46235</v>
      </c>
      <c r="D30" s="176" t="s">
        <v>3846</v>
      </c>
      <c r="E30" s="176" t="s">
        <v>3847</v>
      </c>
      <c r="F30" s="176" t="s">
        <v>87</v>
      </c>
      <c r="G30" s="176" t="s">
        <v>2357</v>
      </c>
      <c r="H30" s="176">
        <v>40</v>
      </c>
      <c r="I30" s="176">
        <v>43.8</v>
      </c>
      <c r="J30" s="176">
        <v>43.8</v>
      </c>
      <c r="K30" s="176">
        <v>5</v>
      </c>
      <c r="L30" s="176">
        <v>0</v>
      </c>
      <c r="M30" s="176" t="s">
        <v>148</v>
      </c>
      <c r="N30" s="176" t="s">
        <v>149</v>
      </c>
      <c r="O30" s="176" t="s">
        <v>150</v>
      </c>
      <c r="P30" s="176" t="s">
        <v>151</v>
      </c>
      <c r="Q30" s="176"/>
      <c r="R30" s="176" t="s">
        <v>3847</v>
      </c>
      <c r="S30" s="176"/>
      <c r="T30" s="176" t="s">
        <v>2623</v>
      </c>
      <c r="U30" s="176" t="s">
        <v>152</v>
      </c>
      <c r="V30" s="176" t="s">
        <v>23</v>
      </c>
    </row>
    <row r="31" spans="1:22" ht="12.75" customHeight="1">
      <c r="A31" s="65"/>
      <c r="B31" s="211">
        <v>46235</v>
      </c>
      <c r="C31" s="211">
        <v>46235</v>
      </c>
      <c r="D31" s="176" t="s">
        <v>3848</v>
      </c>
      <c r="E31" s="176" t="s">
        <v>3849</v>
      </c>
      <c r="F31" s="176" t="s">
        <v>87</v>
      </c>
      <c r="G31" s="176" t="s">
        <v>2357</v>
      </c>
      <c r="H31" s="176">
        <v>40</v>
      </c>
      <c r="I31" s="176">
        <v>41.5</v>
      </c>
      <c r="J31" s="176">
        <v>41.5</v>
      </c>
      <c r="K31" s="176">
        <v>5</v>
      </c>
      <c r="L31" s="176">
        <v>0</v>
      </c>
      <c r="M31" s="176" t="s">
        <v>148</v>
      </c>
      <c r="N31" s="176" t="s">
        <v>149</v>
      </c>
      <c r="O31" s="176" t="s">
        <v>150</v>
      </c>
      <c r="P31" s="176" t="s">
        <v>151</v>
      </c>
      <c r="Q31" s="176"/>
      <c r="R31" s="176" t="s">
        <v>3849</v>
      </c>
      <c r="S31" s="176"/>
      <c r="T31" s="176" t="s">
        <v>2623</v>
      </c>
      <c r="U31" s="176" t="s">
        <v>152</v>
      </c>
      <c r="V31" s="176" t="s">
        <v>23</v>
      </c>
    </row>
    <row r="32" spans="1:22" ht="12.75" customHeight="1">
      <c r="A32" s="65"/>
      <c r="B32" s="211">
        <v>46235</v>
      </c>
      <c r="C32" s="211">
        <v>46235</v>
      </c>
      <c r="D32" s="176" t="s">
        <v>3850</v>
      </c>
      <c r="E32" s="176" t="s">
        <v>3851</v>
      </c>
      <c r="F32" s="176" t="s">
        <v>87</v>
      </c>
      <c r="G32" s="176" t="s">
        <v>2357</v>
      </c>
      <c r="H32" s="176">
        <v>40</v>
      </c>
      <c r="I32" s="176">
        <v>47.1</v>
      </c>
      <c r="J32" s="176">
        <v>47.1</v>
      </c>
      <c r="K32" s="176">
        <v>5</v>
      </c>
      <c r="L32" s="176">
        <v>0</v>
      </c>
      <c r="M32" s="176" t="s">
        <v>148</v>
      </c>
      <c r="N32" s="176" t="s">
        <v>149</v>
      </c>
      <c r="O32" s="176" t="s">
        <v>150</v>
      </c>
      <c r="P32" s="176" t="s">
        <v>151</v>
      </c>
      <c r="Q32" s="176"/>
      <c r="R32" s="176" t="s">
        <v>3851</v>
      </c>
      <c r="S32" s="176"/>
      <c r="T32" s="176" t="s">
        <v>2623</v>
      </c>
      <c r="U32" s="176" t="s">
        <v>152</v>
      </c>
      <c r="V32" s="176" t="s">
        <v>23</v>
      </c>
    </row>
    <row r="33" spans="1:22" ht="12.75" customHeight="1">
      <c r="A33" s="65"/>
      <c r="B33" s="211">
        <v>46235</v>
      </c>
      <c r="C33" s="211">
        <v>46235</v>
      </c>
      <c r="D33" s="176" t="s">
        <v>3852</v>
      </c>
      <c r="E33" s="176" t="s">
        <v>3853</v>
      </c>
      <c r="F33" s="176" t="s">
        <v>87</v>
      </c>
      <c r="G33" s="176" t="s">
        <v>2357</v>
      </c>
      <c r="H33" s="176">
        <v>40</v>
      </c>
      <c r="I33" s="176">
        <v>34.299999999999997</v>
      </c>
      <c r="J33" s="176">
        <v>34.299999999999997</v>
      </c>
      <c r="K33" s="176">
        <v>5</v>
      </c>
      <c r="L33" s="176">
        <v>0</v>
      </c>
      <c r="M33" s="176" t="s">
        <v>148</v>
      </c>
      <c r="N33" s="176" t="s">
        <v>149</v>
      </c>
      <c r="O33" s="176" t="s">
        <v>150</v>
      </c>
      <c r="P33" s="176" t="s">
        <v>151</v>
      </c>
      <c r="Q33" s="176"/>
      <c r="R33" s="176" t="s">
        <v>3853</v>
      </c>
      <c r="S33" s="176"/>
      <c r="T33" s="176" t="s">
        <v>2623</v>
      </c>
      <c r="U33" s="176" t="s">
        <v>152</v>
      </c>
      <c r="V33" s="176" t="s">
        <v>23</v>
      </c>
    </row>
    <row r="34" spans="1:22" ht="12.75" customHeight="1">
      <c r="A34" s="65"/>
      <c r="B34" s="211">
        <v>46235</v>
      </c>
      <c r="C34" s="211">
        <v>46235</v>
      </c>
      <c r="D34" s="176" t="s">
        <v>3854</v>
      </c>
      <c r="E34" s="176" t="s">
        <v>3855</v>
      </c>
      <c r="F34" s="176" t="s">
        <v>87</v>
      </c>
      <c r="G34" s="176" t="s">
        <v>2357</v>
      </c>
      <c r="H34" s="176">
        <v>40</v>
      </c>
      <c r="I34" s="176">
        <v>34.799999999999997</v>
      </c>
      <c r="J34" s="176">
        <v>34.799999999999997</v>
      </c>
      <c r="K34" s="176">
        <v>5</v>
      </c>
      <c r="L34" s="176">
        <v>0</v>
      </c>
      <c r="M34" s="176" t="s">
        <v>148</v>
      </c>
      <c r="N34" s="176" t="s">
        <v>149</v>
      </c>
      <c r="O34" s="176" t="s">
        <v>150</v>
      </c>
      <c r="P34" s="176" t="s">
        <v>151</v>
      </c>
      <c r="Q34" s="176"/>
      <c r="R34" s="176" t="s">
        <v>3855</v>
      </c>
      <c r="S34" s="176"/>
      <c r="T34" s="176" t="s">
        <v>2623</v>
      </c>
      <c r="U34" s="176" t="s">
        <v>152</v>
      </c>
      <c r="V34" s="176" t="s">
        <v>23</v>
      </c>
    </row>
    <row r="35" spans="1:22" ht="12.75" customHeight="1">
      <c r="A35" s="65"/>
      <c r="B35" s="211">
        <v>46235</v>
      </c>
      <c r="C35" s="211">
        <v>46235</v>
      </c>
      <c r="D35" s="176" t="s">
        <v>3856</v>
      </c>
      <c r="E35" s="176" t="s">
        <v>3857</v>
      </c>
      <c r="F35" s="176" t="s">
        <v>87</v>
      </c>
      <c r="G35" s="176" t="s">
        <v>2334</v>
      </c>
      <c r="H35" s="176">
        <v>40</v>
      </c>
      <c r="I35" s="176">
        <v>32.799999999999997</v>
      </c>
      <c r="J35" s="176">
        <v>32.799999999999997</v>
      </c>
      <c r="K35" s="176">
        <v>5</v>
      </c>
      <c r="L35" s="176">
        <v>0</v>
      </c>
      <c r="M35" s="176" t="s">
        <v>148</v>
      </c>
      <c r="N35" s="176" t="s">
        <v>149</v>
      </c>
      <c r="O35" s="176" t="s">
        <v>150</v>
      </c>
      <c r="P35" s="176" t="s">
        <v>151</v>
      </c>
      <c r="Q35" s="176"/>
      <c r="R35" s="176" t="s">
        <v>3857</v>
      </c>
      <c r="S35" s="176"/>
      <c r="T35" s="176" t="s">
        <v>2623</v>
      </c>
      <c r="U35" s="176" t="s">
        <v>152</v>
      </c>
      <c r="V35" s="176" t="s">
        <v>23</v>
      </c>
    </row>
    <row r="36" spans="1:22" ht="12.75" customHeight="1">
      <c r="A36" s="65"/>
      <c r="B36" s="211">
        <v>46235</v>
      </c>
      <c r="C36" s="211">
        <v>46235</v>
      </c>
      <c r="D36" s="176" t="s">
        <v>3858</v>
      </c>
      <c r="E36" s="176" t="s">
        <v>3859</v>
      </c>
      <c r="F36" s="176" t="s">
        <v>87</v>
      </c>
      <c r="G36" s="176" t="s">
        <v>2334</v>
      </c>
      <c r="H36" s="176">
        <v>40</v>
      </c>
      <c r="I36" s="176">
        <v>30.4</v>
      </c>
      <c r="J36" s="176">
        <v>30.4</v>
      </c>
      <c r="K36" s="176">
        <v>5</v>
      </c>
      <c r="L36" s="176">
        <v>0</v>
      </c>
      <c r="M36" s="176" t="s">
        <v>148</v>
      </c>
      <c r="N36" s="176" t="s">
        <v>149</v>
      </c>
      <c r="O36" s="176" t="s">
        <v>150</v>
      </c>
      <c r="P36" s="176" t="s">
        <v>151</v>
      </c>
      <c r="Q36" s="176"/>
      <c r="R36" s="176" t="s">
        <v>3859</v>
      </c>
      <c r="S36" s="176"/>
      <c r="T36" s="176" t="s">
        <v>2623</v>
      </c>
      <c r="U36" s="176" t="s">
        <v>152</v>
      </c>
      <c r="V36" s="176" t="s">
        <v>23</v>
      </c>
    </row>
    <row r="37" spans="1:22" ht="12.75" customHeight="1">
      <c r="A37" s="65"/>
      <c r="B37" s="211">
        <v>46235</v>
      </c>
      <c r="C37" s="211">
        <v>46235</v>
      </c>
      <c r="D37" s="176" t="s">
        <v>3860</v>
      </c>
      <c r="E37" s="176" t="s">
        <v>3861</v>
      </c>
      <c r="F37" s="176" t="s">
        <v>87</v>
      </c>
      <c r="G37" s="176" t="s">
        <v>2357</v>
      </c>
      <c r="H37" s="176">
        <v>40</v>
      </c>
      <c r="I37" s="176">
        <v>29.9</v>
      </c>
      <c r="J37" s="176">
        <v>29.9</v>
      </c>
      <c r="K37" s="176">
        <v>5</v>
      </c>
      <c r="L37" s="176">
        <v>0</v>
      </c>
      <c r="M37" s="176" t="s">
        <v>148</v>
      </c>
      <c r="N37" s="176" t="s">
        <v>149</v>
      </c>
      <c r="O37" s="176" t="s">
        <v>150</v>
      </c>
      <c r="P37" s="176" t="s">
        <v>151</v>
      </c>
      <c r="Q37" s="176"/>
      <c r="R37" s="176" t="s">
        <v>3861</v>
      </c>
      <c r="S37" s="176"/>
      <c r="T37" s="176" t="s">
        <v>2623</v>
      </c>
      <c r="U37" s="176" t="s">
        <v>152</v>
      </c>
      <c r="V37" s="176" t="s">
        <v>23</v>
      </c>
    </row>
    <row r="38" spans="1:22" ht="12.75" customHeight="1">
      <c r="A38" s="65"/>
      <c r="B38" s="211">
        <v>46235</v>
      </c>
      <c r="C38" s="211">
        <v>46235</v>
      </c>
      <c r="D38" s="176" t="s">
        <v>3862</v>
      </c>
      <c r="E38" s="176" t="s">
        <v>3863</v>
      </c>
      <c r="F38" s="176" t="s">
        <v>87</v>
      </c>
      <c r="G38" s="176" t="s">
        <v>1966</v>
      </c>
      <c r="H38" s="176">
        <v>6</v>
      </c>
      <c r="I38" s="176">
        <v>28.6</v>
      </c>
      <c r="J38" s="176">
        <v>28.6</v>
      </c>
      <c r="K38" s="176">
        <v>1.5</v>
      </c>
      <c r="L38" s="176">
        <v>0</v>
      </c>
      <c r="M38" s="176" t="s">
        <v>148</v>
      </c>
      <c r="N38" s="176" t="s">
        <v>149</v>
      </c>
      <c r="O38" s="176" t="s">
        <v>150</v>
      </c>
      <c r="P38" s="176" t="s">
        <v>151</v>
      </c>
      <c r="Q38" s="176"/>
      <c r="R38" s="176" t="s">
        <v>3863</v>
      </c>
      <c r="S38" s="176"/>
      <c r="T38" s="176" t="s">
        <v>2623</v>
      </c>
      <c r="U38" s="176" t="s">
        <v>152</v>
      </c>
      <c r="V38" s="176" t="s">
        <v>23</v>
      </c>
    </row>
    <row r="39" spans="1:22" ht="12.75" customHeight="1">
      <c r="A39" s="65"/>
      <c r="B39" s="211">
        <v>46235</v>
      </c>
      <c r="C39" s="211">
        <v>46235</v>
      </c>
      <c r="D39" s="176" t="s">
        <v>3864</v>
      </c>
      <c r="E39" s="176" t="s">
        <v>3865</v>
      </c>
      <c r="F39" s="176" t="s">
        <v>87</v>
      </c>
      <c r="G39" s="176" t="s">
        <v>2357</v>
      </c>
      <c r="H39" s="176">
        <v>40</v>
      </c>
      <c r="I39" s="176">
        <v>31.8</v>
      </c>
      <c r="J39" s="176">
        <v>31.8</v>
      </c>
      <c r="K39" s="176">
        <v>5</v>
      </c>
      <c r="L39" s="176">
        <v>0</v>
      </c>
      <c r="M39" s="176" t="s">
        <v>148</v>
      </c>
      <c r="N39" s="176" t="s">
        <v>149</v>
      </c>
      <c r="O39" s="176" t="s">
        <v>150</v>
      </c>
      <c r="P39" s="176" t="s">
        <v>151</v>
      </c>
      <c r="Q39" s="176"/>
      <c r="R39" s="176" t="s">
        <v>3865</v>
      </c>
      <c r="S39" s="176"/>
      <c r="T39" s="176" t="s">
        <v>2623</v>
      </c>
      <c r="U39" s="176" t="s">
        <v>152</v>
      </c>
      <c r="V39" s="176" t="s">
        <v>23</v>
      </c>
    </row>
    <row r="40" spans="1:22" ht="12.75" customHeight="1">
      <c r="A40" s="65"/>
      <c r="B40" s="211">
        <v>46235</v>
      </c>
      <c r="C40" s="211">
        <v>46235</v>
      </c>
      <c r="D40" s="176" t="s">
        <v>3866</v>
      </c>
      <c r="E40" s="176" t="s">
        <v>3867</v>
      </c>
      <c r="F40" s="176" t="s">
        <v>87</v>
      </c>
      <c r="G40" s="176" t="s">
        <v>2357</v>
      </c>
      <c r="H40" s="176">
        <v>40</v>
      </c>
      <c r="I40" s="176">
        <v>26.8</v>
      </c>
      <c r="J40" s="176">
        <v>26.8</v>
      </c>
      <c r="K40" s="176">
        <v>5</v>
      </c>
      <c r="L40" s="176">
        <v>0</v>
      </c>
      <c r="M40" s="176" t="s">
        <v>148</v>
      </c>
      <c r="N40" s="176" t="s">
        <v>149</v>
      </c>
      <c r="O40" s="176" t="s">
        <v>150</v>
      </c>
      <c r="P40" s="176" t="s">
        <v>151</v>
      </c>
      <c r="Q40" s="176"/>
      <c r="R40" s="176" t="s">
        <v>3867</v>
      </c>
      <c r="S40" s="176"/>
      <c r="T40" s="176" t="s">
        <v>2623</v>
      </c>
      <c r="U40" s="176" t="s">
        <v>152</v>
      </c>
      <c r="V40" s="176" t="s">
        <v>23</v>
      </c>
    </row>
    <row r="41" spans="1:22" ht="12.75" customHeight="1">
      <c r="A41" s="65"/>
      <c r="B41" s="211">
        <v>46236</v>
      </c>
      <c r="C41" s="211">
        <v>46236</v>
      </c>
      <c r="D41" s="176" t="s">
        <v>3868</v>
      </c>
      <c r="E41" s="176" t="s">
        <v>3869</v>
      </c>
      <c r="F41" s="176" t="s">
        <v>87</v>
      </c>
      <c r="G41" s="176" t="s">
        <v>2513</v>
      </c>
      <c r="H41" s="176">
        <v>25</v>
      </c>
      <c r="I41" s="176">
        <v>39.4</v>
      </c>
      <c r="J41" s="176">
        <v>39.4</v>
      </c>
      <c r="K41" s="176">
        <v>4</v>
      </c>
      <c r="L41" s="176">
        <v>0</v>
      </c>
      <c r="M41" s="176" t="s">
        <v>148</v>
      </c>
      <c r="N41" s="176" t="s">
        <v>149</v>
      </c>
      <c r="O41" s="176" t="s">
        <v>150</v>
      </c>
      <c r="P41" s="176" t="s">
        <v>151</v>
      </c>
      <c r="Q41" s="176"/>
      <c r="R41" s="176" t="s">
        <v>3869</v>
      </c>
      <c r="S41" s="176"/>
      <c r="T41" s="176" t="s">
        <v>2629</v>
      </c>
      <c r="U41" s="176" t="s">
        <v>152</v>
      </c>
      <c r="V41" s="176" t="s">
        <v>23</v>
      </c>
    </row>
    <row r="42" spans="1:22" ht="12.75" customHeight="1">
      <c r="A42" s="65"/>
      <c r="B42" s="211">
        <v>46236</v>
      </c>
      <c r="C42" s="211">
        <v>46236</v>
      </c>
      <c r="D42" s="176" t="s">
        <v>3870</v>
      </c>
      <c r="E42" s="176" t="s">
        <v>3871</v>
      </c>
      <c r="F42" s="176" t="s">
        <v>87</v>
      </c>
      <c r="G42" s="176" t="s">
        <v>2513</v>
      </c>
      <c r="H42" s="176">
        <v>25</v>
      </c>
      <c r="I42" s="176">
        <v>34.799999999999997</v>
      </c>
      <c r="J42" s="176">
        <v>34.799999999999997</v>
      </c>
      <c r="K42" s="176">
        <v>4</v>
      </c>
      <c r="L42" s="176">
        <v>0</v>
      </c>
      <c r="M42" s="176" t="s">
        <v>148</v>
      </c>
      <c r="N42" s="176" t="s">
        <v>149</v>
      </c>
      <c r="O42" s="176" t="s">
        <v>150</v>
      </c>
      <c r="P42" s="176" t="s">
        <v>151</v>
      </c>
      <c r="Q42" s="176"/>
      <c r="R42" s="176" t="s">
        <v>3871</v>
      </c>
      <c r="S42" s="176"/>
      <c r="T42" s="176" t="s">
        <v>2629</v>
      </c>
      <c r="U42" s="176" t="s">
        <v>152</v>
      </c>
      <c r="V42" s="176" t="s">
        <v>23</v>
      </c>
    </row>
    <row r="43" spans="1:22" ht="12.75" customHeight="1">
      <c r="A43" s="65"/>
      <c r="B43" s="211">
        <v>46236</v>
      </c>
      <c r="C43" s="211">
        <v>46236</v>
      </c>
      <c r="D43" s="176" t="s">
        <v>3872</v>
      </c>
      <c r="E43" s="176" t="s">
        <v>3873</v>
      </c>
      <c r="F43" s="176" t="s">
        <v>87</v>
      </c>
      <c r="G43" s="176" t="s">
        <v>2333</v>
      </c>
      <c r="H43" s="176">
        <v>30</v>
      </c>
      <c r="I43" s="176">
        <v>35.5</v>
      </c>
      <c r="J43" s="176">
        <v>35.5</v>
      </c>
      <c r="K43" s="176">
        <v>4</v>
      </c>
      <c r="L43" s="176">
        <v>0</v>
      </c>
      <c r="M43" s="176" t="s">
        <v>148</v>
      </c>
      <c r="N43" s="176" t="s">
        <v>149</v>
      </c>
      <c r="O43" s="176" t="s">
        <v>150</v>
      </c>
      <c r="P43" s="176" t="s">
        <v>151</v>
      </c>
      <c r="Q43" s="176"/>
      <c r="R43" s="176" t="s">
        <v>3873</v>
      </c>
      <c r="S43" s="176"/>
      <c r="T43" s="176" t="s">
        <v>2629</v>
      </c>
      <c r="U43" s="176" t="s">
        <v>152</v>
      </c>
      <c r="V43" s="176" t="s">
        <v>23</v>
      </c>
    </row>
    <row r="44" spans="1:22" ht="12.75" customHeight="1">
      <c r="A44" s="65"/>
      <c r="B44" s="211">
        <v>46236</v>
      </c>
      <c r="C44" s="211">
        <v>46236</v>
      </c>
      <c r="D44" s="176" t="s">
        <v>3874</v>
      </c>
      <c r="E44" s="176" t="s">
        <v>3875</v>
      </c>
      <c r="F44" s="176" t="s">
        <v>87</v>
      </c>
      <c r="G44" s="176" t="s">
        <v>2357</v>
      </c>
      <c r="H44" s="176">
        <v>40</v>
      </c>
      <c r="I44" s="176">
        <v>35.6</v>
      </c>
      <c r="J44" s="176">
        <v>35.6</v>
      </c>
      <c r="K44" s="176">
        <v>5</v>
      </c>
      <c r="L44" s="176">
        <v>0</v>
      </c>
      <c r="M44" s="176" t="s">
        <v>148</v>
      </c>
      <c r="N44" s="176" t="s">
        <v>149</v>
      </c>
      <c r="O44" s="176" t="s">
        <v>150</v>
      </c>
      <c r="P44" s="176" t="s">
        <v>151</v>
      </c>
      <c r="Q44" s="176"/>
      <c r="R44" s="176" t="s">
        <v>3875</v>
      </c>
      <c r="S44" s="176"/>
      <c r="T44" s="176" t="s">
        <v>2629</v>
      </c>
      <c r="U44" s="176" t="s">
        <v>152</v>
      </c>
      <c r="V44" s="176" t="s">
        <v>23</v>
      </c>
    </row>
    <row r="45" spans="1:22" ht="12.75" customHeight="1">
      <c r="A45" s="65"/>
      <c r="B45" s="211">
        <v>46236</v>
      </c>
      <c r="C45" s="211">
        <v>46236</v>
      </c>
      <c r="D45" s="176" t="s">
        <v>3876</v>
      </c>
      <c r="E45" s="176" t="s">
        <v>3877</v>
      </c>
      <c r="F45" s="176" t="s">
        <v>87</v>
      </c>
      <c r="G45" s="176" t="s">
        <v>2333</v>
      </c>
      <c r="H45" s="176">
        <v>30</v>
      </c>
      <c r="I45" s="176">
        <v>44</v>
      </c>
      <c r="J45" s="176">
        <v>44</v>
      </c>
      <c r="K45" s="176">
        <v>4</v>
      </c>
      <c r="L45" s="176">
        <v>0</v>
      </c>
      <c r="M45" s="176" t="s">
        <v>148</v>
      </c>
      <c r="N45" s="176" t="s">
        <v>149</v>
      </c>
      <c r="O45" s="176" t="s">
        <v>150</v>
      </c>
      <c r="P45" s="176" t="s">
        <v>151</v>
      </c>
      <c r="Q45" s="176"/>
      <c r="R45" s="176" t="s">
        <v>3877</v>
      </c>
      <c r="S45" s="176"/>
      <c r="T45" s="176" t="s">
        <v>2629</v>
      </c>
      <c r="U45" s="176" t="s">
        <v>152</v>
      </c>
      <c r="V45" s="176" t="s">
        <v>23</v>
      </c>
    </row>
    <row r="46" spans="1:22" ht="12.75" customHeight="1">
      <c r="A46" s="65"/>
      <c r="B46" s="211">
        <v>46236</v>
      </c>
      <c r="C46" s="211">
        <v>46236</v>
      </c>
      <c r="D46" s="176" t="s">
        <v>3878</v>
      </c>
      <c r="E46" s="176" t="s">
        <v>3879</v>
      </c>
      <c r="F46" s="176" t="s">
        <v>87</v>
      </c>
      <c r="G46" s="176" t="s">
        <v>2333</v>
      </c>
      <c r="H46" s="176">
        <v>30</v>
      </c>
      <c r="I46" s="176">
        <v>40.799999999999997</v>
      </c>
      <c r="J46" s="176">
        <v>40.799999999999997</v>
      </c>
      <c r="K46" s="176">
        <v>4</v>
      </c>
      <c r="L46" s="176">
        <v>0</v>
      </c>
      <c r="M46" s="176" t="s">
        <v>148</v>
      </c>
      <c r="N46" s="176" t="s">
        <v>149</v>
      </c>
      <c r="O46" s="176" t="s">
        <v>150</v>
      </c>
      <c r="P46" s="176" t="s">
        <v>151</v>
      </c>
      <c r="Q46" s="176"/>
      <c r="R46" s="176" t="s">
        <v>3879</v>
      </c>
      <c r="S46" s="176"/>
      <c r="T46" s="176" t="s">
        <v>2629</v>
      </c>
      <c r="U46" s="176" t="s">
        <v>152</v>
      </c>
      <c r="V46" s="176" t="s">
        <v>23</v>
      </c>
    </row>
    <row r="47" spans="1:22" ht="12.75" customHeight="1">
      <c r="A47" s="65"/>
      <c r="B47" s="211">
        <v>46236</v>
      </c>
      <c r="C47" s="211">
        <v>46236</v>
      </c>
      <c r="D47" s="176" t="s">
        <v>3880</v>
      </c>
      <c r="E47" s="176" t="s">
        <v>3881</v>
      </c>
      <c r="F47" s="176" t="s">
        <v>87</v>
      </c>
      <c r="G47" s="176" t="s">
        <v>2334</v>
      </c>
      <c r="H47" s="176">
        <v>40</v>
      </c>
      <c r="I47" s="176">
        <v>42.6</v>
      </c>
      <c r="J47" s="176">
        <v>42.6</v>
      </c>
      <c r="K47" s="176">
        <v>5</v>
      </c>
      <c r="L47" s="176">
        <v>0</v>
      </c>
      <c r="M47" s="176" t="s">
        <v>148</v>
      </c>
      <c r="N47" s="176" t="s">
        <v>149</v>
      </c>
      <c r="O47" s="176" t="s">
        <v>150</v>
      </c>
      <c r="P47" s="176" t="s">
        <v>151</v>
      </c>
      <c r="Q47" s="176"/>
      <c r="R47" s="176" t="s">
        <v>3881</v>
      </c>
      <c r="S47" s="176"/>
      <c r="T47" s="176" t="s">
        <v>2629</v>
      </c>
      <c r="U47" s="176" t="s">
        <v>152</v>
      </c>
      <c r="V47" s="176" t="s">
        <v>23</v>
      </c>
    </row>
    <row r="48" spans="1:22" ht="12.75" customHeight="1">
      <c r="A48" s="65"/>
      <c r="B48" s="211">
        <v>46236</v>
      </c>
      <c r="C48" s="211">
        <v>46236</v>
      </c>
      <c r="D48" s="176" t="s">
        <v>3882</v>
      </c>
      <c r="E48" s="176" t="s">
        <v>3883</v>
      </c>
      <c r="F48" s="176" t="s">
        <v>87</v>
      </c>
      <c r="G48" s="176" t="s">
        <v>2513</v>
      </c>
      <c r="H48" s="176">
        <v>25</v>
      </c>
      <c r="I48" s="176">
        <v>40.200000000000003</v>
      </c>
      <c r="J48" s="176">
        <v>40.200000000000003</v>
      </c>
      <c r="K48" s="176">
        <v>4</v>
      </c>
      <c r="L48" s="176">
        <v>0</v>
      </c>
      <c r="M48" s="176" t="s">
        <v>148</v>
      </c>
      <c r="N48" s="176" t="s">
        <v>149</v>
      </c>
      <c r="O48" s="176" t="s">
        <v>150</v>
      </c>
      <c r="P48" s="176" t="s">
        <v>151</v>
      </c>
      <c r="Q48" s="176"/>
      <c r="R48" s="176" t="s">
        <v>3883</v>
      </c>
      <c r="S48" s="176"/>
      <c r="T48" s="176" t="s">
        <v>2629</v>
      </c>
      <c r="U48" s="176" t="s">
        <v>152</v>
      </c>
      <c r="V48" s="176" t="s">
        <v>23</v>
      </c>
    </row>
    <row r="49" spans="1:22" ht="12.75" customHeight="1">
      <c r="A49" s="65"/>
      <c r="B49" s="211">
        <v>46236</v>
      </c>
      <c r="C49" s="211">
        <v>46236</v>
      </c>
      <c r="D49" s="176" t="s">
        <v>3884</v>
      </c>
      <c r="E49" s="176" t="s">
        <v>3885</v>
      </c>
      <c r="F49" s="176" t="s">
        <v>87</v>
      </c>
      <c r="G49" s="176" t="s">
        <v>2333</v>
      </c>
      <c r="H49" s="176">
        <v>30</v>
      </c>
      <c r="I49" s="176">
        <v>39.200000000000003</v>
      </c>
      <c r="J49" s="176">
        <v>39.200000000000003</v>
      </c>
      <c r="K49" s="176">
        <v>4</v>
      </c>
      <c r="L49" s="176">
        <v>0</v>
      </c>
      <c r="M49" s="176" t="s">
        <v>148</v>
      </c>
      <c r="N49" s="176" t="s">
        <v>149</v>
      </c>
      <c r="O49" s="176" t="s">
        <v>150</v>
      </c>
      <c r="P49" s="176" t="s">
        <v>151</v>
      </c>
      <c r="Q49" s="176"/>
      <c r="R49" s="176" t="s">
        <v>3885</v>
      </c>
      <c r="S49" s="176"/>
      <c r="T49" s="176" t="s">
        <v>2629</v>
      </c>
      <c r="U49" s="176" t="s">
        <v>152</v>
      </c>
      <c r="V49" s="176" t="s">
        <v>23</v>
      </c>
    </row>
    <row r="50" spans="1:22" ht="12.75" customHeight="1">
      <c r="A50" s="65"/>
      <c r="B50" s="211">
        <v>46236</v>
      </c>
      <c r="C50" s="211">
        <v>46236</v>
      </c>
      <c r="D50" s="176" t="s">
        <v>3886</v>
      </c>
      <c r="E50" s="176" t="s">
        <v>3887</v>
      </c>
      <c r="F50" s="176" t="s">
        <v>87</v>
      </c>
      <c r="G50" s="176" t="s">
        <v>2333</v>
      </c>
      <c r="H50" s="176">
        <v>30</v>
      </c>
      <c r="I50" s="176">
        <v>35.799999999999997</v>
      </c>
      <c r="J50" s="176">
        <v>35.799999999999997</v>
      </c>
      <c r="K50" s="176">
        <v>4</v>
      </c>
      <c r="L50" s="176">
        <v>0</v>
      </c>
      <c r="M50" s="176" t="s">
        <v>148</v>
      </c>
      <c r="N50" s="176" t="s">
        <v>149</v>
      </c>
      <c r="O50" s="176" t="s">
        <v>150</v>
      </c>
      <c r="P50" s="176" t="s">
        <v>151</v>
      </c>
      <c r="Q50" s="176"/>
      <c r="R50" s="176" t="s">
        <v>3887</v>
      </c>
      <c r="S50" s="176"/>
      <c r="T50" s="176" t="s">
        <v>2629</v>
      </c>
      <c r="U50" s="176" t="s">
        <v>152</v>
      </c>
      <c r="V50" s="176" t="s">
        <v>23</v>
      </c>
    </row>
    <row r="51" spans="1:22" ht="12.75" customHeight="1">
      <c r="A51" s="65"/>
      <c r="B51" s="211">
        <v>46236</v>
      </c>
      <c r="C51" s="211">
        <v>46236</v>
      </c>
      <c r="D51" s="176" t="s">
        <v>3888</v>
      </c>
      <c r="E51" s="176" t="s">
        <v>3889</v>
      </c>
      <c r="F51" s="176" t="s">
        <v>87</v>
      </c>
      <c r="G51" s="176" t="s">
        <v>2334</v>
      </c>
      <c r="H51" s="176">
        <v>40</v>
      </c>
      <c r="I51" s="176">
        <v>37.799999999999997</v>
      </c>
      <c r="J51" s="176">
        <v>37.799999999999997</v>
      </c>
      <c r="K51" s="176">
        <v>5</v>
      </c>
      <c r="L51" s="176">
        <v>0</v>
      </c>
      <c r="M51" s="176" t="s">
        <v>148</v>
      </c>
      <c r="N51" s="176" t="s">
        <v>149</v>
      </c>
      <c r="O51" s="176" t="s">
        <v>150</v>
      </c>
      <c r="P51" s="176" t="s">
        <v>151</v>
      </c>
      <c r="Q51" s="176"/>
      <c r="R51" s="176" t="s">
        <v>3889</v>
      </c>
      <c r="S51" s="176"/>
      <c r="T51" s="176" t="s">
        <v>2629</v>
      </c>
      <c r="U51" s="176" t="s">
        <v>152</v>
      </c>
      <c r="V51" s="176" t="s">
        <v>23</v>
      </c>
    </row>
    <row r="52" spans="1:22" ht="12.75" customHeight="1">
      <c r="A52" s="65"/>
      <c r="B52" s="211">
        <v>46236</v>
      </c>
      <c r="C52" s="211">
        <v>46236</v>
      </c>
      <c r="D52" s="176" t="s">
        <v>3890</v>
      </c>
      <c r="E52" s="176" t="s">
        <v>3891</v>
      </c>
      <c r="F52" s="176" t="s">
        <v>87</v>
      </c>
      <c r="G52" s="176" t="s">
        <v>2513</v>
      </c>
      <c r="H52" s="176">
        <v>25</v>
      </c>
      <c r="I52" s="176">
        <v>31.2</v>
      </c>
      <c r="J52" s="176">
        <v>31.2</v>
      </c>
      <c r="K52" s="176">
        <v>4</v>
      </c>
      <c r="L52" s="176">
        <v>0</v>
      </c>
      <c r="M52" s="176" t="s">
        <v>148</v>
      </c>
      <c r="N52" s="176" t="s">
        <v>149</v>
      </c>
      <c r="O52" s="176" t="s">
        <v>150</v>
      </c>
      <c r="P52" s="176" t="s">
        <v>151</v>
      </c>
      <c r="Q52" s="176"/>
      <c r="R52" s="176" t="s">
        <v>3891</v>
      </c>
      <c r="S52" s="176"/>
      <c r="T52" s="176" t="s">
        <v>2629</v>
      </c>
      <c r="U52" s="176" t="s">
        <v>152</v>
      </c>
      <c r="V52" s="176" t="s">
        <v>23</v>
      </c>
    </row>
    <row r="53" spans="1:22" ht="12.75" customHeight="1">
      <c r="A53" s="65"/>
      <c r="B53" s="211">
        <v>46236</v>
      </c>
      <c r="C53" s="211">
        <v>46236</v>
      </c>
      <c r="D53" s="176" t="s">
        <v>3892</v>
      </c>
      <c r="E53" s="176" t="s">
        <v>3893</v>
      </c>
      <c r="F53" s="176" t="s">
        <v>87</v>
      </c>
      <c r="G53" s="176" t="s">
        <v>2403</v>
      </c>
      <c r="H53" s="176">
        <v>30</v>
      </c>
      <c r="I53" s="176">
        <v>38.700000000000003</v>
      </c>
      <c r="J53" s="176">
        <v>38.700000000000003</v>
      </c>
      <c r="K53" s="176">
        <v>4</v>
      </c>
      <c r="L53" s="176">
        <v>0</v>
      </c>
      <c r="M53" s="176" t="s">
        <v>148</v>
      </c>
      <c r="N53" s="176" t="s">
        <v>149</v>
      </c>
      <c r="O53" s="176" t="s">
        <v>150</v>
      </c>
      <c r="P53" s="176" t="s">
        <v>151</v>
      </c>
      <c r="Q53" s="176"/>
      <c r="R53" s="176" t="s">
        <v>3893</v>
      </c>
      <c r="S53" s="176"/>
      <c r="T53" s="176" t="s">
        <v>2629</v>
      </c>
      <c r="U53" s="176" t="s">
        <v>152</v>
      </c>
      <c r="V53" s="176" t="s">
        <v>23</v>
      </c>
    </row>
    <row r="54" spans="1:22" ht="12.75" customHeight="1">
      <c r="A54" s="65"/>
      <c r="B54" s="211">
        <v>46236</v>
      </c>
      <c r="C54" s="211">
        <v>46236</v>
      </c>
      <c r="D54" s="176" t="s">
        <v>3894</v>
      </c>
      <c r="E54" s="176" t="s">
        <v>3895</v>
      </c>
      <c r="F54" s="176" t="s">
        <v>87</v>
      </c>
      <c r="G54" s="176" t="s">
        <v>2514</v>
      </c>
      <c r="H54" s="176">
        <v>55</v>
      </c>
      <c r="I54" s="176">
        <v>39.5</v>
      </c>
      <c r="J54" s="176">
        <v>39.5</v>
      </c>
      <c r="K54" s="176">
        <v>5</v>
      </c>
      <c r="L54" s="176">
        <v>0</v>
      </c>
      <c r="M54" s="176" t="s">
        <v>148</v>
      </c>
      <c r="N54" s="176" t="s">
        <v>149</v>
      </c>
      <c r="O54" s="176" t="s">
        <v>150</v>
      </c>
      <c r="P54" s="176" t="s">
        <v>151</v>
      </c>
      <c r="Q54" s="176"/>
      <c r="R54" s="176" t="s">
        <v>3895</v>
      </c>
      <c r="S54" s="176"/>
      <c r="T54" s="176" t="s">
        <v>2629</v>
      </c>
      <c r="U54" s="176" t="s">
        <v>152</v>
      </c>
      <c r="V54" s="176" t="s">
        <v>23</v>
      </c>
    </row>
    <row r="55" spans="1:22" ht="12.75" customHeight="1">
      <c r="A55" s="65"/>
      <c r="B55" s="211">
        <v>46236</v>
      </c>
      <c r="C55" s="211">
        <v>46236</v>
      </c>
      <c r="D55" s="176" t="s">
        <v>3896</v>
      </c>
      <c r="E55" s="176" t="s">
        <v>3897</v>
      </c>
      <c r="F55" s="176" t="s">
        <v>87</v>
      </c>
      <c r="G55" s="176" t="s">
        <v>2357</v>
      </c>
      <c r="H55" s="176">
        <v>40</v>
      </c>
      <c r="I55" s="176">
        <v>25.8</v>
      </c>
      <c r="J55" s="176">
        <v>25.8</v>
      </c>
      <c r="K55" s="176">
        <v>5</v>
      </c>
      <c r="L55" s="176">
        <v>0</v>
      </c>
      <c r="M55" s="176" t="s">
        <v>148</v>
      </c>
      <c r="N55" s="176" t="s">
        <v>149</v>
      </c>
      <c r="O55" s="176" t="s">
        <v>150</v>
      </c>
      <c r="P55" s="176" t="s">
        <v>151</v>
      </c>
      <c r="Q55" s="176"/>
      <c r="R55" s="176" t="s">
        <v>3897</v>
      </c>
      <c r="S55" s="176"/>
      <c r="T55" s="176" t="s">
        <v>2629</v>
      </c>
      <c r="U55" s="176" t="s">
        <v>152</v>
      </c>
      <c r="V55" s="176" t="s">
        <v>23</v>
      </c>
    </row>
    <row r="56" spans="1:22" ht="12.75" customHeight="1">
      <c r="A56" s="65"/>
      <c r="B56" s="211">
        <v>46236</v>
      </c>
      <c r="C56" s="211">
        <v>46236</v>
      </c>
      <c r="D56" s="176" t="s">
        <v>3898</v>
      </c>
      <c r="E56" s="176" t="s">
        <v>3899</v>
      </c>
      <c r="F56" s="176" t="s">
        <v>87</v>
      </c>
      <c r="G56" s="176" t="s">
        <v>2334</v>
      </c>
      <c r="H56" s="176">
        <v>40</v>
      </c>
      <c r="I56" s="176">
        <v>39.200000000000003</v>
      </c>
      <c r="J56" s="176">
        <v>39.200000000000003</v>
      </c>
      <c r="K56" s="176">
        <v>5</v>
      </c>
      <c r="L56" s="176">
        <v>0</v>
      </c>
      <c r="M56" s="176" t="s">
        <v>148</v>
      </c>
      <c r="N56" s="176" t="s">
        <v>149</v>
      </c>
      <c r="O56" s="176" t="s">
        <v>150</v>
      </c>
      <c r="P56" s="176" t="s">
        <v>151</v>
      </c>
      <c r="Q56" s="176"/>
      <c r="R56" s="176" t="s">
        <v>3899</v>
      </c>
      <c r="S56" s="176"/>
      <c r="T56" s="176" t="s">
        <v>2629</v>
      </c>
      <c r="U56" s="176" t="s">
        <v>152</v>
      </c>
      <c r="V56" s="176" t="s">
        <v>23</v>
      </c>
    </row>
    <row r="57" spans="1:22" ht="12.75" customHeight="1">
      <c r="A57" s="65"/>
      <c r="B57" s="211">
        <v>46236</v>
      </c>
      <c r="C57" s="211">
        <v>46236</v>
      </c>
      <c r="D57" s="176" t="s">
        <v>3900</v>
      </c>
      <c r="E57" s="176" t="s">
        <v>3901</v>
      </c>
      <c r="F57" s="176" t="s">
        <v>87</v>
      </c>
      <c r="G57" s="176" t="s">
        <v>2513</v>
      </c>
      <c r="H57" s="176">
        <v>25</v>
      </c>
      <c r="I57" s="176">
        <v>40.799999999999997</v>
      </c>
      <c r="J57" s="176">
        <v>40.799999999999997</v>
      </c>
      <c r="K57" s="176">
        <v>4</v>
      </c>
      <c r="L57" s="176">
        <v>0</v>
      </c>
      <c r="M57" s="176" t="s">
        <v>148</v>
      </c>
      <c r="N57" s="176" t="s">
        <v>149</v>
      </c>
      <c r="O57" s="176" t="s">
        <v>150</v>
      </c>
      <c r="P57" s="176" t="s">
        <v>151</v>
      </c>
      <c r="Q57" s="176"/>
      <c r="R57" s="176" t="s">
        <v>3901</v>
      </c>
      <c r="S57" s="176"/>
      <c r="T57" s="176" t="s">
        <v>2629</v>
      </c>
      <c r="U57" s="176" t="s">
        <v>152</v>
      </c>
      <c r="V57" s="176" t="s">
        <v>23</v>
      </c>
    </row>
    <row r="58" spans="1:22" ht="12.75" customHeight="1">
      <c r="A58" s="65"/>
      <c r="B58" s="211">
        <v>46236</v>
      </c>
      <c r="C58" s="211">
        <v>46236</v>
      </c>
      <c r="D58" s="176" t="s">
        <v>3902</v>
      </c>
      <c r="E58" s="176" t="s">
        <v>3903</v>
      </c>
      <c r="F58" s="176" t="s">
        <v>87</v>
      </c>
      <c r="G58" s="176" t="s">
        <v>2334</v>
      </c>
      <c r="H58" s="176">
        <v>40</v>
      </c>
      <c r="I58" s="176">
        <v>42.8</v>
      </c>
      <c r="J58" s="176">
        <v>42.8</v>
      </c>
      <c r="K58" s="176">
        <v>5</v>
      </c>
      <c r="L58" s="176">
        <v>0</v>
      </c>
      <c r="M58" s="176" t="s">
        <v>148</v>
      </c>
      <c r="N58" s="176" t="s">
        <v>149</v>
      </c>
      <c r="O58" s="176" t="s">
        <v>150</v>
      </c>
      <c r="P58" s="176" t="s">
        <v>151</v>
      </c>
      <c r="Q58" s="176"/>
      <c r="R58" s="176" t="s">
        <v>3903</v>
      </c>
      <c r="S58" s="176"/>
      <c r="T58" s="176" t="s">
        <v>2629</v>
      </c>
      <c r="U58" s="176" t="s">
        <v>152</v>
      </c>
      <c r="V58" s="176" t="s">
        <v>23</v>
      </c>
    </row>
    <row r="59" spans="1:22" ht="12.75" customHeight="1">
      <c r="A59" s="65"/>
      <c r="B59" s="211">
        <v>46236</v>
      </c>
      <c r="C59" s="211">
        <v>46236</v>
      </c>
      <c r="D59" s="176" t="s">
        <v>3904</v>
      </c>
      <c r="E59" s="176" t="s">
        <v>3905</v>
      </c>
      <c r="F59" s="176" t="s">
        <v>87</v>
      </c>
      <c r="G59" s="176" t="s">
        <v>2357</v>
      </c>
      <c r="H59" s="176">
        <v>40</v>
      </c>
      <c r="I59" s="176">
        <v>35.4</v>
      </c>
      <c r="J59" s="176">
        <v>35.4</v>
      </c>
      <c r="K59" s="176">
        <v>5</v>
      </c>
      <c r="L59" s="176">
        <v>0</v>
      </c>
      <c r="M59" s="176" t="s">
        <v>148</v>
      </c>
      <c r="N59" s="176" t="s">
        <v>149</v>
      </c>
      <c r="O59" s="176" t="s">
        <v>150</v>
      </c>
      <c r="P59" s="176" t="s">
        <v>151</v>
      </c>
      <c r="Q59" s="176"/>
      <c r="R59" s="176" t="s">
        <v>3905</v>
      </c>
      <c r="S59" s="176"/>
      <c r="T59" s="176" t="s">
        <v>2629</v>
      </c>
      <c r="U59" s="176" t="s">
        <v>152</v>
      </c>
      <c r="V59" s="176" t="s">
        <v>23</v>
      </c>
    </row>
    <row r="60" spans="1:22" ht="12.75" customHeight="1">
      <c r="A60" s="65"/>
      <c r="B60" s="211">
        <v>46236</v>
      </c>
      <c r="C60" s="211">
        <v>46236</v>
      </c>
      <c r="D60" s="176" t="s">
        <v>3906</v>
      </c>
      <c r="E60" s="176" t="s">
        <v>3907</v>
      </c>
      <c r="F60" s="176" t="s">
        <v>87</v>
      </c>
      <c r="G60" s="176" t="s">
        <v>2357</v>
      </c>
      <c r="H60" s="176">
        <v>40</v>
      </c>
      <c r="I60" s="176">
        <v>33.299999999999997</v>
      </c>
      <c r="J60" s="176">
        <v>33.299999999999997</v>
      </c>
      <c r="K60" s="176">
        <v>5</v>
      </c>
      <c r="L60" s="176">
        <v>0</v>
      </c>
      <c r="M60" s="176" t="s">
        <v>148</v>
      </c>
      <c r="N60" s="176" t="s">
        <v>149</v>
      </c>
      <c r="O60" s="176" t="s">
        <v>150</v>
      </c>
      <c r="P60" s="176" t="s">
        <v>151</v>
      </c>
      <c r="Q60" s="176"/>
      <c r="R60" s="176" t="s">
        <v>3907</v>
      </c>
      <c r="S60" s="176"/>
      <c r="T60" s="176" t="s">
        <v>2629</v>
      </c>
      <c r="U60" s="176" t="s">
        <v>152</v>
      </c>
      <c r="V60" s="176" t="s">
        <v>23</v>
      </c>
    </row>
    <row r="61" spans="1:22" ht="12.75" customHeight="1">
      <c r="A61" s="65"/>
      <c r="B61" s="211">
        <v>46236</v>
      </c>
      <c r="C61" s="211">
        <v>46236</v>
      </c>
      <c r="D61" s="176" t="s">
        <v>3908</v>
      </c>
      <c r="E61" s="176" t="s">
        <v>3909</v>
      </c>
      <c r="F61" s="176" t="s">
        <v>87</v>
      </c>
      <c r="G61" s="176" t="s">
        <v>2357</v>
      </c>
      <c r="H61" s="176">
        <v>40</v>
      </c>
      <c r="I61" s="176">
        <v>35.799999999999997</v>
      </c>
      <c r="J61" s="176">
        <v>35.799999999999997</v>
      </c>
      <c r="K61" s="176">
        <v>5</v>
      </c>
      <c r="L61" s="176">
        <v>0</v>
      </c>
      <c r="M61" s="176" t="s">
        <v>148</v>
      </c>
      <c r="N61" s="176" t="s">
        <v>149</v>
      </c>
      <c r="O61" s="176" t="s">
        <v>150</v>
      </c>
      <c r="P61" s="176" t="s">
        <v>151</v>
      </c>
      <c r="Q61" s="176"/>
      <c r="R61" s="176" t="s">
        <v>3909</v>
      </c>
      <c r="S61" s="176"/>
      <c r="T61" s="176" t="s">
        <v>2629</v>
      </c>
      <c r="U61" s="176" t="s">
        <v>152</v>
      </c>
      <c r="V61" s="176" t="s">
        <v>23</v>
      </c>
    </row>
    <row r="62" spans="1:22" ht="12.75" customHeight="1">
      <c r="A62" s="65"/>
      <c r="B62" s="211">
        <v>46236</v>
      </c>
      <c r="C62" s="211">
        <v>46236</v>
      </c>
      <c r="D62" s="176" t="s">
        <v>3910</v>
      </c>
      <c r="E62" s="176" t="s">
        <v>3911</v>
      </c>
      <c r="F62" s="176" t="s">
        <v>87</v>
      </c>
      <c r="G62" s="176" t="s">
        <v>2357</v>
      </c>
      <c r="H62" s="176">
        <v>40</v>
      </c>
      <c r="I62" s="176">
        <v>37.299999999999997</v>
      </c>
      <c r="J62" s="176">
        <v>37.299999999999997</v>
      </c>
      <c r="K62" s="176">
        <v>5</v>
      </c>
      <c r="L62" s="176">
        <v>0</v>
      </c>
      <c r="M62" s="176" t="s">
        <v>148</v>
      </c>
      <c r="N62" s="176" t="s">
        <v>149</v>
      </c>
      <c r="O62" s="176" t="s">
        <v>150</v>
      </c>
      <c r="P62" s="176" t="s">
        <v>151</v>
      </c>
      <c r="Q62" s="176"/>
      <c r="R62" s="176" t="s">
        <v>3911</v>
      </c>
      <c r="S62" s="176"/>
      <c r="T62" s="176" t="s">
        <v>2629</v>
      </c>
      <c r="U62" s="176" t="s">
        <v>152</v>
      </c>
      <c r="V62" s="176" t="s">
        <v>23</v>
      </c>
    </row>
    <row r="63" spans="1:22" ht="12.75" customHeight="1">
      <c r="A63" s="65"/>
      <c r="B63" s="211">
        <v>46236</v>
      </c>
      <c r="C63" s="211">
        <v>46236</v>
      </c>
      <c r="D63" s="176" t="s">
        <v>3912</v>
      </c>
      <c r="E63" s="176" t="s">
        <v>3913</v>
      </c>
      <c r="F63" s="176" t="s">
        <v>87</v>
      </c>
      <c r="G63" s="176" t="s">
        <v>2334</v>
      </c>
      <c r="H63" s="176">
        <v>40</v>
      </c>
      <c r="I63" s="176">
        <v>37.799999999999997</v>
      </c>
      <c r="J63" s="176">
        <v>37.799999999999997</v>
      </c>
      <c r="K63" s="176">
        <v>5</v>
      </c>
      <c r="L63" s="176">
        <v>0</v>
      </c>
      <c r="M63" s="176" t="s">
        <v>148</v>
      </c>
      <c r="N63" s="176" t="s">
        <v>149</v>
      </c>
      <c r="O63" s="176" t="s">
        <v>150</v>
      </c>
      <c r="P63" s="176" t="s">
        <v>151</v>
      </c>
      <c r="Q63" s="176"/>
      <c r="R63" s="176" t="s">
        <v>3913</v>
      </c>
      <c r="S63" s="176"/>
      <c r="T63" s="176" t="s">
        <v>2629</v>
      </c>
      <c r="U63" s="176" t="s">
        <v>152</v>
      </c>
      <c r="V63" s="176" t="s">
        <v>23</v>
      </c>
    </row>
    <row r="64" spans="1:22" ht="12.75" customHeight="1">
      <c r="A64" s="65"/>
      <c r="B64" s="211">
        <v>46236</v>
      </c>
      <c r="C64" s="211">
        <v>46236</v>
      </c>
      <c r="D64" s="176" t="s">
        <v>3914</v>
      </c>
      <c r="E64" s="176" t="s">
        <v>3915</v>
      </c>
      <c r="F64" s="176" t="s">
        <v>87</v>
      </c>
      <c r="G64" s="176" t="s">
        <v>2514</v>
      </c>
      <c r="H64" s="176">
        <v>55</v>
      </c>
      <c r="I64" s="176">
        <v>37.799999999999997</v>
      </c>
      <c r="J64" s="176">
        <v>37.799999999999997</v>
      </c>
      <c r="K64" s="176">
        <v>5</v>
      </c>
      <c r="L64" s="176">
        <v>0</v>
      </c>
      <c r="M64" s="176" t="s">
        <v>148</v>
      </c>
      <c r="N64" s="176" t="s">
        <v>149</v>
      </c>
      <c r="O64" s="176" t="s">
        <v>150</v>
      </c>
      <c r="P64" s="176" t="s">
        <v>151</v>
      </c>
      <c r="Q64" s="176"/>
      <c r="R64" s="176" t="s">
        <v>3915</v>
      </c>
      <c r="S64" s="176"/>
      <c r="T64" s="176" t="s">
        <v>2629</v>
      </c>
      <c r="U64" s="176" t="s">
        <v>152</v>
      </c>
      <c r="V64" s="176" t="s">
        <v>23</v>
      </c>
    </row>
    <row r="65" spans="1:22" ht="12.75" customHeight="1">
      <c r="A65" s="65"/>
      <c r="B65" s="211">
        <v>46236</v>
      </c>
      <c r="C65" s="211">
        <v>46236</v>
      </c>
      <c r="D65" s="176" t="s">
        <v>3916</v>
      </c>
      <c r="E65" s="176" t="s">
        <v>3917</v>
      </c>
      <c r="F65" s="176" t="s">
        <v>87</v>
      </c>
      <c r="G65" s="176" t="s">
        <v>2334</v>
      </c>
      <c r="H65" s="176">
        <v>40</v>
      </c>
      <c r="I65" s="176">
        <v>43.2</v>
      </c>
      <c r="J65" s="176">
        <v>43.2</v>
      </c>
      <c r="K65" s="176">
        <v>5</v>
      </c>
      <c r="L65" s="176">
        <v>0</v>
      </c>
      <c r="M65" s="176" t="s">
        <v>148</v>
      </c>
      <c r="N65" s="176" t="s">
        <v>149</v>
      </c>
      <c r="O65" s="176" t="s">
        <v>150</v>
      </c>
      <c r="P65" s="176" t="s">
        <v>151</v>
      </c>
      <c r="Q65" s="176"/>
      <c r="R65" s="176" t="s">
        <v>3917</v>
      </c>
      <c r="S65" s="176"/>
      <c r="T65" s="176" t="s">
        <v>2629</v>
      </c>
      <c r="U65" s="176" t="s">
        <v>152</v>
      </c>
      <c r="V65" s="176" t="s">
        <v>23</v>
      </c>
    </row>
    <row r="66" spans="1:22" ht="12.75" customHeight="1">
      <c r="A66" s="65"/>
      <c r="B66" s="211">
        <v>46236</v>
      </c>
      <c r="C66" s="211">
        <v>46236</v>
      </c>
      <c r="D66" s="176" t="s">
        <v>3918</v>
      </c>
      <c r="E66" s="176" t="s">
        <v>3919</v>
      </c>
      <c r="F66" s="176" t="s">
        <v>87</v>
      </c>
      <c r="G66" s="176" t="s">
        <v>2357</v>
      </c>
      <c r="H66" s="176">
        <v>40</v>
      </c>
      <c r="I66" s="176">
        <v>40.9</v>
      </c>
      <c r="J66" s="176">
        <v>40.9</v>
      </c>
      <c r="K66" s="176">
        <v>5</v>
      </c>
      <c r="L66" s="176">
        <v>0</v>
      </c>
      <c r="M66" s="176" t="s">
        <v>148</v>
      </c>
      <c r="N66" s="176" t="s">
        <v>149</v>
      </c>
      <c r="O66" s="176" t="s">
        <v>150</v>
      </c>
      <c r="P66" s="176" t="s">
        <v>151</v>
      </c>
      <c r="Q66" s="176"/>
      <c r="R66" s="176" t="s">
        <v>3919</v>
      </c>
      <c r="S66" s="176"/>
      <c r="T66" s="176" t="s">
        <v>2629</v>
      </c>
      <c r="U66" s="176" t="s">
        <v>152</v>
      </c>
      <c r="V66" s="176" t="s">
        <v>23</v>
      </c>
    </row>
    <row r="67" spans="1:22" ht="12.75" customHeight="1">
      <c r="A67" s="65"/>
      <c r="B67" s="211">
        <v>46236</v>
      </c>
      <c r="C67" s="211">
        <v>46236</v>
      </c>
      <c r="D67" s="176" t="s">
        <v>3920</v>
      </c>
      <c r="E67" s="176" t="s">
        <v>3921</v>
      </c>
      <c r="F67" s="176" t="s">
        <v>87</v>
      </c>
      <c r="G67" s="176" t="s">
        <v>2334</v>
      </c>
      <c r="H67" s="176">
        <v>40</v>
      </c>
      <c r="I67" s="176">
        <v>35.299999999999997</v>
      </c>
      <c r="J67" s="176">
        <v>35.299999999999997</v>
      </c>
      <c r="K67" s="176">
        <v>5</v>
      </c>
      <c r="L67" s="176">
        <v>0</v>
      </c>
      <c r="M67" s="176" t="s">
        <v>148</v>
      </c>
      <c r="N67" s="176" t="s">
        <v>149</v>
      </c>
      <c r="O67" s="176" t="s">
        <v>150</v>
      </c>
      <c r="P67" s="176" t="s">
        <v>151</v>
      </c>
      <c r="Q67" s="176"/>
      <c r="R67" s="176" t="s">
        <v>3921</v>
      </c>
      <c r="S67" s="176"/>
      <c r="T67" s="176" t="s">
        <v>2629</v>
      </c>
      <c r="U67" s="176" t="s">
        <v>152</v>
      </c>
      <c r="V67" s="176" t="s">
        <v>23</v>
      </c>
    </row>
    <row r="68" spans="1:22" ht="12.75" customHeight="1">
      <c r="A68" s="65"/>
      <c r="B68" s="211">
        <v>46236</v>
      </c>
      <c r="C68" s="211">
        <v>46236</v>
      </c>
      <c r="D68" s="176" t="s">
        <v>3922</v>
      </c>
      <c r="E68" s="176" t="s">
        <v>3923</v>
      </c>
      <c r="F68" s="176" t="s">
        <v>87</v>
      </c>
      <c r="G68" s="176" t="s">
        <v>2513</v>
      </c>
      <c r="H68" s="176">
        <v>25</v>
      </c>
      <c r="I68" s="176">
        <v>39.9</v>
      </c>
      <c r="J68" s="176">
        <v>39.9</v>
      </c>
      <c r="K68" s="176">
        <v>4</v>
      </c>
      <c r="L68" s="176">
        <v>0</v>
      </c>
      <c r="M68" s="176" t="s">
        <v>148</v>
      </c>
      <c r="N68" s="176" t="s">
        <v>149</v>
      </c>
      <c r="O68" s="176" t="s">
        <v>150</v>
      </c>
      <c r="P68" s="176" t="s">
        <v>151</v>
      </c>
      <c r="Q68" s="176"/>
      <c r="R68" s="176" t="s">
        <v>3923</v>
      </c>
      <c r="S68" s="176"/>
      <c r="T68" s="176" t="s">
        <v>2629</v>
      </c>
      <c r="U68" s="176" t="s">
        <v>152</v>
      </c>
      <c r="V68" s="176" t="s">
        <v>23</v>
      </c>
    </row>
    <row r="69" spans="1:22" ht="12.75" customHeight="1">
      <c r="A69" s="65"/>
      <c r="B69" s="211">
        <v>46236</v>
      </c>
      <c r="C69" s="211">
        <v>46236</v>
      </c>
      <c r="D69" s="176" t="s">
        <v>3924</v>
      </c>
      <c r="E69" s="176" t="s">
        <v>3925</v>
      </c>
      <c r="F69" s="176" t="s">
        <v>87</v>
      </c>
      <c r="G69" s="176" t="s">
        <v>2334</v>
      </c>
      <c r="H69" s="176">
        <v>40</v>
      </c>
      <c r="I69" s="176">
        <v>20.8</v>
      </c>
      <c r="J69" s="176">
        <v>20.8</v>
      </c>
      <c r="K69" s="176">
        <v>5</v>
      </c>
      <c r="L69" s="176">
        <v>0</v>
      </c>
      <c r="M69" s="176" t="s">
        <v>148</v>
      </c>
      <c r="N69" s="176" t="s">
        <v>149</v>
      </c>
      <c r="O69" s="176" t="s">
        <v>150</v>
      </c>
      <c r="P69" s="176" t="s">
        <v>151</v>
      </c>
      <c r="Q69" s="176"/>
      <c r="R69" s="176" t="s">
        <v>3925</v>
      </c>
      <c r="S69" s="176"/>
      <c r="T69" s="176" t="s">
        <v>2629</v>
      </c>
      <c r="U69" s="176" t="s">
        <v>152</v>
      </c>
      <c r="V69" s="176" t="s">
        <v>23</v>
      </c>
    </row>
    <row r="70" spans="1:22" ht="12.75" customHeight="1">
      <c r="A70" s="65"/>
      <c r="B70" s="211">
        <v>46236</v>
      </c>
      <c r="C70" s="211">
        <v>46236</v>
      </c>
      <c r="D70" s="176" t="s">
        <v>3926</v>
      </c>
      <c r="E70" s="176" t="s">
        <v>3927</v>
      </c>
      <c r="F70" s="176" t="s">
        <v>87</v>
      </c>
      <c r="G70" s="176" t="s">
        <v>2357</v>
      </c>
      <c r="H70" s="176">
        <v>40</v>
      </c>
      <c r="I70" s="176">
        <v>35.4</v>
      </c>
      <c r="J70" s="176">
        <v>35.4</v>
      </c>
      <c r="K70" s="176">
        <v>5</v>
      </c>
      <c r="L70" s="176">
        <v>0</v>
      </c>
      <c r="M70" s="176" t="s">
        <v>148</v>
      </c>
      <c r="N70" s="176" t="s">
        <v>149</v>
      </c>
      <c r="O70" s="176" t="s">
        <v>150</v>
      </c>
      <c r="P70" s="176" t="s">
        <v>151</v>
      </c>
      <c r="Q70" s="176"/>
      <c r="R70" s="176" t="s">
        <v>3927</v>
      </c>
      <c r="S70" s="176"/>
      <c r="T70" s="176" t="s">
        <v>2629</v>
      </c>
      <c r="U70" s="176" t="s">
        <v>152</v>
      </c>
      <c r="V70" s="176" t="s">
        <v>23</v>
      </c>
    </row>
    <row r="71" spans="1:22" ht="12.75" customHeight="1">
      <c r="A71" s="65"/>
      <c r="B71" s="211">
        <v>46236</v>
      </c>
      <c r="C71" s="211">
        <v>46236</v>
      </c>
      <c r="D71" s="176" t="s">
        <v>3928</v>
      </c>
      <c r="E71" s="176" t="s">
        <v>3929</v>
      </c>
      <c r="F71" s="176" t="s">
        <v>87</v>
      </c>
      <c r="G71" s="176" t="s">
        <v>2334</v>
      </c>
      <c r="H71" s="176">
        <v>40</v>
      </c>
      <c r="I71" s="176">
        <v>30.8</v>
      </c>
      <c r="J71" s="176">
        <v>30.8</v>
      </c>
      <c r="K71" s="176">
        <v>5</v>
      </c>
      <c r="L71" s="176">
        <v>0</v>
      </c>
      <c r="M71" s="176" t="s">
        <v>148</v>
      </c>
      <c r="N71" s="176" t="s">
        <v>149</v>
      </c>
      <c r="O71" s="176" t="s">
        <v>150</v>
      </c>
      <c r="P71" s="176" t="s">
        <v>151</v>
      </c>
      <c r="Q71" s="176"/>
      <c r="R71" s="176" t="s">
        <v>3929</v>
      </c>
      <c r="S71" s="176"/>
      <c r="T71" s="176" t="s">
        <v>2629</v>
      </c>
      <c r="U71" s="176" t="s">
        <v>152</v>
      </c>
      <c r="V71" s="176" t="s">
        <v>23</v>
      </c>
    </row>
    <row r="72" spans="1:22" ht="12.75" customHeight="1">
      <c r="A72" s="65"/>
      <c r="B72" s="211">
        <v>46236</v>
      </c>
      <c r="C72" s="211">
        <v>46236</v>
      </c>
      <c r="D72" s="176" t="s">
        <v>3930</v>
      </c>
      <c r="E72" s="176" t="s">
        <v>3931</v>
      </c>
      <c r="F72" s="176" t="s">
        <v>87</v>
      </c>
      <c r="G72" s="176" t="s">
        <v>2334</v>
      </c>
      <c r="H72" s="176">
        <v>40</v>
      </c>
      <c r="I72" s="176">
        <v>40.799999999999997</v>
      </c>
      <c r="J72" s="176">
        <v>40.799999999999997</v>
      </c>
      <c r="K72" s="176">
        <v>5</v>
      </c>
      <c r="L72" s="176">
        <v>0</v>
      </c>
      <c r="M72" s="176" t="s">
        <v>148</v>
      </c>
      <c r="N72" s="176" t="s">
        <v>149</v>
      </c>
      <c r="O72" s="176" t="s">
        <v>150</v>
      </c>
      <c r="P72" s="176" t="s">
        <v>151</v>
      </c>
      <c r="Q72" s="176"/>
      <c r="R72" s="176" t="s">
        <v>3931</v>
      </c>
      <c r="S72" s="176"/>
      <c r="T72" s="176" t="s">
        <v>2629</v>
      </c>
      <c r="U72" s="176" t="s">
        <v>152</v>
      </c>
      <c r="V72" s="176" t="s">
        <v>23</v>
      </c>
    </row>
    <row r="73" spans="1:22" ht="12.75" customHeight="1">
      <c r="A73" s="65"/>
      <c r="B73" s="211">
        <v>46236</v>
      </c>
      <c r="C73" s="211">
        <v>46236</v>
      </c>
      <c r="D73" s="176" t="s">
        <v>3932</v>
      </c>
      <c r="E73" s="176" t="s">
        <v>3933</v>
      </c>
      <c r="F73" s="176" t="s">
        <v>87</v>
      </c>
      <c r="G73" s="176" t="s">
        <v>2357</v>
      </c>
      <c r="H73" s="176">
        <v>40</v>
      </c>
      <c r="I73" s="176">
        <v>33</v>
      </c>
      <c r="J73" s="176">
        <v>33</v>
      </c>
      <c r="K73" s="176">
        <v>5</v>
      </c>
      <c r="L73" s="176">
        <v>0</v>
      </c>
      <c r="M73" s="176" t="s">
        <v>148</v>
      </c>
      <c r="N73" s="176" t="s">
        <v>149</v>
      </c>
      <c r="O73" s="176" t="s">
        <v>150</v>
      </c>
      <c r="P73" s="176" t="s">
        <v>151</v>
      </c>
      <c r="Q73" s="176"/>
      <c r="R73" s="176" t="s">
        <v>3933</v>
      </c>
      <c r="S73" s="176"/>
      <c r="T73" s="176" t="s">
        <v>2629</v>
      </c>
      <c r="U73" s="176" t="s">
        <v>152</v>
      </c>
      <c r="V73" s="176" t="s">
        <v>23</v>
      </c>
    </row>
    <row r="74" spans="1:22" ht="12.75" customHeight="1">
      <c r="A74" s="65"/>
      <c r="B74" s="211">
        <v>46236</v>
      </c>
      <c r="C74" s="211">
        <v>46236</v>
      </c>
      <c r="D74" s="176" t="s">
        <v>3934</v>
      </c>
      <c r="E74" s="176" t="s">
        <v>3935</v>
      </c>
      <c r="F74" s="176" t="s">
        <v>87</v>
      </c>
      <c r="G74" s="176" t="s">
        <v>2357</v>
      </c>
      <c r="H74" s="176">
        <v>40</v>
      </c>
      <c r="I74" s="176">
        <v>36.6</v>
      </c>
      <c r="J74" s="176">
        <v>36.6</v>
      </c>
      <c r="K74" s="176">
        <v>5</v>
      </c>
      <c r="L74" s="176">
        <v>0</v>
      </c>
      <c r="M74" s="176" t="s">
        <v>148</v>
      </c>
      <c r="N74" s="176" t="s">
        <v>149</v>
      </c>
      <c r="O74" s="176" t="s">
        <v>150</v>
      </c>
      <c r="P74" s="176" t="s">
        <v>151</v>
      </c>
      <c r="Q74" s="176"/>
      <c r="R74" s="176" t="s">
        <v>3935</v>
      </c>
      <c r="S74" s="176"/>
      <c r="T74" s="176" t="s">
        <v>2629</v>
      </c>
      <c r="U74" s="176" t="s">
        <v>152</v>
      </c>
      <c r="V74" s="176" t="s">
        <v>23</v>
      </c>
    </row>
    <row r="75" spans="1:22" ht="12.75" customHeight="1">
      <c r="A75" s="65"/>
      <c r="B75" s="211">
        <v>46236</v>
      </c>
      <c r="C75" s="211">
        <v>46236</v>
      </c>
      <c r="D75" s="176" t="s">
        <v>3936</v>
      </c>
      <c r="E75" s="176" t="s">
        <v>3937</v>
      </c>
      <c r="F75" s="176" t="s">
        <v>87</v>
      </c>
      <c r="G75" s="176" t="s">
        <v>2403</v>
      </c>
      <c r="H75" s="176">
        <v>30</v>
      </c>
      <c r="I75" s="176">
        <v>33.299999999999997</v>
      </c>
      <c r="J75" s="176">
        <v>33.299999999999997</v>
      </c>
      <c r="K75" s="176">
        <v>4</v>
      </c>
      <c r="L75" s="176">
        <v>0</v>
      </c>
      <c r="M75" s="176" t="s">
        <v>148</v>
      </c>
      <c r="N75" s="176" t="s">
        <v>149</v>
      </c>
      <c r="O75" s="176" t="s">
        <v>150</v>
      </c>
      <c r="P75" s="176" t="s">
        <v>151</v>
      </c>
      <c r="Q75" s="176"/>
      <c r="R75" s="176" t="s">
        <v>3937</v>
      </c>
      <c r="S75" s="176"/>
      <c r="T75" s="176" t="s">
        <v>2629</v>
      </c>
      <c r="U75" s="176" t="s">
        <v>152</v>
      </c>
      <c r="V75" s="176" t="s">
        <v>23</v>
      </c>
    </row>
    <row r="76" spans="1:22" ht="12.75" customHeight="1">
      <c r="A76" s="65"/>
      <c r="B76" s="211">
        <v>46236</v>
      </c>
      <c r="C76" s="211">
        <v>46236</v>
      </c>
      <c r="D76" s="176" t="s">
        <v>3938</v>
      </c>
      <c r="E76" s="176" t="s">
        <v>3939</v>
      </c>
      <c r="F76" s="176" t="s">
        <v>87</v>
      </c>
      <c r="G76" s="176" t="s">
        <v>2357</v>
      </c>
      <c r="H76" s="176">
        <v>40</v>
      </c>
      <c r="I76" s="176">
        <v>43</v>
      </c>
      <c r="J76" s="176">
        <v>43</v>
      </c>
      <c r="K76" s="176">
        <v>5</v>
      </c>
      <c r="L76" s="176">
        <v>0</v>
      </c>
      <c r="M76" s="176" t="s">
        <v>148</v>
      </c>
      <c r="N76" s="176" t="s">
        <v>149</v>
      </c>
      <c r="O76" s="176" t="s">
        <v>150</v>
      </c>
      <c r="P76" s="176" t="s">
        <v>151</v>
      </c>
      <c r="Q76" s="176"/>
      <c r="R76" s="176" t="s">
        <v>3939</v>
      </c>
      <c r="S76" s="176"/>
      <c r="T76" s="176" t="s">
        <v>2629</v>
      </c>
      <c r="U76" s="176" t="s">
        <v>152</v>
      </c>
      <c r="V76" s="176" t="s">
        <v>23</v>
      </c>
    </row>
    <row r="77" spans="1:22" ht="12.75" customHeight="1">
      <c r="A77" s="65"/>
      <c r="B77" s="211">
        <v>46236</v>
      </c>
      <c r="C77" s="211">
        <v>46236</v>
      </c>
      <c r="D77" s="176" t="s">
        <v>3940</v>
      </c>
      <c r="E77" s="176" t="s">
        <v>3941</v>
      </c>
      <c r="F77" s="176" t="s">
        <v>87</v>
      </c>
      <c r="G77" s="176" t="s">
        <v>2357</v>
      </c>
      <c r="H77" s="176">
        <v>40</v>
      </c>
      <c r="I77" s="176">
        <v>29.4</v>
      </c>
      <c r="J77" s="176">
        <v>29.4</v>
      </c>
      <c r="K77" s="176">
        <v>5</v>
      </c>
      <c r="L77" s="176">
        <v>0</v>
      </c>
      <c r="M77" s="176" t="s">
        <v>148</v>
      </c>
      <c r="N77" s="176" t="s">
        <v>149</v>
      </c>
      <c r="O77" s="176" t="s">
        <v>150</v>
      </c>
      <c r="P77" s="176" t="s">
        <v>151</v>
      </c>
      <c r="Q77" s="176"/>
      <c r="R77" s="176" t="s">
        <v>3941</v>
      </c>
      <c r="S77" s="176"/>
      <c r="T77" s="176" t="s">
        <v>2629</v>
      </c>
      <c r="U77" s="176" t="s">
        <v>152</v>
      </c>
      <c r="V77" s="176" t="s">
        <v>23</v>
      </c>
    </row>
    <row r="78" spans="1:22" ht="12.75" customHeight="1">
      <c r="A78" s="65"/>
      <c r="B78" s="211">
        <v>46236</v>
      </c>
      <c r="C78" s="211">
        <v>46236</v>
      </c>
      <c r="D78" s="176" t="s">
        <v>3942</v>
      </c>
      <c r="E78" s="176" t="s">
        <v>3943</v>
      </c>
      <c r="F78" s="176" t="s">
        <v>87</v>
      </c>
      <c r="G78" s="176" t="s">
        <v>2514</v>
      </c>
      <c r="H78" s="176">
        <v>55</v>
      </c>
      <c r="I78" s="176">
        <v>41</v>
      </c>
      <c r="J78" s="176">
        <v>41</v>
      </c>
      <c r="K78" s="176">
        <v>5</v>
      </c>
      <c r="L78" s="176">
        <v>0</v>
      </c>
      <c r="M78" s="176" t="s">
        <v>148</v>
      </c>
      <c r="N78" s="176" t="s">
        <v>149</v>
      </c>
      <c r="O78" s="176" t="s">
        <v>150</v>
      </c>
      <c r="P78" s="176" t="s">
        <v>151</v>
      </c>
      <c r="Q78" s="176"/>
      <c r="R78" s="176" t="s">
        <v>3943</v>
      </c>
      <c r="S78" s="176"/>
      <c r="T78" s="176" t="s">
        <v>2629</v>
      </c>
      <c r="U78" s="176" t="s">
        <v>152</v>
      </c>
      <c r="V78" s="176" t="s">
        <v>23</v>
      </c>
    </row>
    <row r="79" spans="1:22" ht="12.75" customHeight="1">
      <c r="A79" s="65"/>
      <c r="B79" s="211">
        <v>46236</v>
      </c>
      <c r="C79" s="211">
        <v>46236</v>
      </c>
      <c r="D79" s="176" t="s">
        <v>3944</v>
      </c>
      <c r="E79" s="176" t="s">
        <v>3945</v>
      </c>
      <c r="F79" s="176" t="s">
        <v>87</v>
      </c>
      <c r="G79" s="176" t="s">
        <v>2333</v>
      </c>
      <c r="H79" s="176">
        <v>30</v>
      </c>
      <c r="I79" s="176">
        <v>24.4</v>
      </c>
      <c r="J79" s="176">
        <v>24.4</v>
      </c>
      <c r="K79" s="176">
        <v>4</v>
      </c>
      <c r="L79" s="176">
        <v>0</v>
      </c>
      <c r="M79" s="176" t="s">
        <v>148</v>
      </c>
      <c r="N79" s="176" t="s">
        <v>149</v>
      </c>
      <c r="O79" s="176" t="s">
        <v>150</v>
      </c>
      <c r="P79" s="176" t="s">
        <v>151</v>
      </c>
      <c r="Q79" s="176"/>
      <c r="R79" s="176" t="s">
        <v>3945</v>
      </c>
      <c r="S79" s="176"/>
      <c r="T79" s="176" t="s">
        <v>2629</v>
      </c>
      <c r="U79" s="176" t="s">
        <v>152</v>
      </c>
      <c r="V79" s="176" t="s">
        <v>23</v>
      </c>
    </row>
    <row r="80" spans="1:22" ht="12.75" customHeight="1">
      <c r="A80" s="65"/>
      <c r="B80" s="211">
        <v>46236</v>
      </c>
      <c r="C80" s="211">
        <v>46236</v>
      </c>
      <c r="D80" s="176" t="s">
        <v>3946</v>
      </c>
      <c r="E80" s="176" t="s">
        <v>3947</v>
      </c>
      <c r="F80" s="176" t="s">
        <v>87</v>
      </c>
      <c r="G80" s="176" t="s">
        <v>2334</v>
      </c>
      <c r="H80" s="176">
        <v>40</v>
      </c>
      <c r="I80" s="176">
        <v>38.200000000000003</v>
      </c>
      <c r="J80" s="176">
        <v>38.200000000000003</v>
      </c>
      <c r="K80" s="176">
        <v>5</v>
      </c>
      <c r="L80" s="176">
        <v>0</v>
      </c>
      <c r="M80" s="176" t="s">
        <v>148</v>
      </c>
      <c r="N80" s="176" t="s">
        <v>149</v>
      </c>
      <c r="O80" s="176" t="s">
        <v>150</v>
      </c>
      <c r="P80" s="176" t="s">
        <v>151</v>
      </c>
      <c r="Q80" s="176"/>
      <c r="R80" s="176" t="s">
        <v>3947</v>
      </c>
      <c r="S80" s="176"/>
      <c r="T80" s="176" t="s">
        <v>2629</v>
      </c>
      <c r="U80" s="176" t="s">
        <v>152</v>
      </c>
      <c r="V80" s="176" t="s">
        <v>23</v>
      </c>
    </row>
    <row r="81" spans="1:22" ht="12.75" customHeight="1">
      <c r="A81" s="65"/>
      <c r="B81" s="211">
        <v>46236</v>
      </c>
      <c r="C81" s="211">
        <v>46236</v>
      </c>
      <c r="D81" s="176" t="s">
        <v>3948</v>
      </c>
      <c r="E81" s="176" t="s">
        <v>3949</v>
      </c>
      <c r="F81" s="176" t="s">
        <v>87</v>
      </c>
      <c r="G81" s="176" t="s">
        <v>2334</v>
      </c>
      <c r="H81" s="176">
        <v>40</v>
      </c>
      <c r="I81" s="176">
        <v>38.5</v>
      </c>
      <c r="J81" s="176">
        <v>38.5</v>
      </c>
      <c r="K81" s="176">
        <v>5</v>
      </c>
      <c r="L81" s="176">
        <v>0</v>
      </c>
      <c r="M81" s="176" t="s">
        <v>148</v>
      </c>
      <c r="N81" s="176" t="s">
        <v>149</v>
      </c>
      <c r="O81" s="176" t="s">
        <v>150</v>
      </c>
      <c r="P81" s="176" t="s">
        <v>151</v>
      </c>
      <c r="Q81" s="176"/>
      <c r="R81" s="176" t="s">
        <v>3949</v>
      </c>
      <c r="S81" s="176"/>
      <c r="T81" s="176" t="s">
        <v>2629</v>
      </c>
      <c r="U81" s="176" t="s">
        <v>152</v>
      </c>
      <c r="V81" s="176" t="s">
        <v>23</v>
      </c>
    </row>
    <row r="82" spans="1:22" ht="12.75" customHeight="1">
      <c r="A82" s="65"/>
      <c r="B82" s="211">
        <v>46236</v>
      </c>
      <c r="C82" s="211">
        <v>46236</v>
      </c>
      <c r="D82" s="176" t="s">
        <v>3950</v>
      </c>
      <c r="E82" s="176" t="s">
        <v>3951</v>
      </c>
      <c r="F82" s="176" t="s">
        <v>87</v>
      </c>
      <c r="G82" s="176" t="s">
        <v>2357</v>
      </c>
      <c r="H82" s="176">
        <v>40</v>
      </c>
      <c r="I82" s="176">
        <v>35.200000000000003</v>
      </c>
      <c r="J82" s="176">
        <v>35.200000000000003</v>
      </c>
      <c r="K82" s="176">
        <v>5</v>
      </c>
      <c r="L82" s="176">
        <v>0</v>
      </c>
      <c r="M82" s="176" t="s">
        <v>148</v>
      </c>
      <c r="N82" s="176" t="s">
        <v>149</v>
      </c>
      <c r="O82" s="176" t="s">
        <v>150</v>
      </c>
      <c r="P82" s="176" t="s">
        <v>151</v>
      </c>
      <c r="Q82" s="176"/>
      <c r="R82" s="176" t="s">
        <v>3951</v>
      </c>
      <c r="S82" s="176"/>
      <c r="T82" s="176" t="s">
        <v>2629</v>
      </c>
      <c r="U82" s="176" t="s">
        <v>152</v>
      </c>
      <c r="V82" s="176" t="s">
        <v>23</v>
      </c>
    </row>
    <row r="83" spans="1:22" ht="12.75" customHeight="1">
      <c r="A83" s="65"/>
      <c r="B83" s="211">
        <v>46236</v>
      </c>
      <c r="C83" s="211">
        <v>46236</v>
      </c>
      <c r="D83" s="176" t="s">
        <v>3952</v>
      </c>
      <c r="E83" s="176" t="s">
        <v>3953</v>
      </c>
      <c r="F83" s="176" t="s">
        <v>87</v>
      </c>
      <c r="G83" s="176" t="s">
        <v>2357</v>
      </c>
      <c r="H83" s="176">
        <v>40</v>
      </c>
      <c r="I83" s="176">
        <v>40.200000000000003</v>
      </c>
      <c r="J83" s="176">
        <v>40.200000000000003</v>
      </c>
      <c r="K83" s="176">
        <v>5</v>
      </c>
      <c r="L83" s="176">
        <v>0</v>
      </c>
      <c r="M83" s="176" t="s">
        <v>148</v>
      </c>
      <c r="N83" s="176" t="s">
        <v>149</v>
      </c>
      <c r="O83" s="176" t="s">
        <v>150</v>
      </c>
      <c r="P83" s="176" t="s">
        <v>151</v>
      </c>
      <c r="Q83" s="176"/>
      <c r="R83" s="176" t="s">
        <v>3953</v>
      </c>
      <c r="S83" s="176"/>
      <c r="T83" s="176" t="s">
        <v>2629</v>
      </c>
      <c r="U83" s="176" t="s">
        <v>152</v>
      </c>
      <c r="V83" s="176" t="s">
        <v>23</v>
      </c>
    </row>
    <row r="84" spans="1:22" ht="12.75" customHeight="1">
      <c r="A84" s="65"/>
      <c r="B84" s="211">
        <v>46236</v>
      </c>
      <c r="C84" s="211">
        <v>46236</v>
      </c>
      <c r="D84" s="176" t="s">
        <v>3954</v>
      </c>
      <c r="E84" s="176" t="s">
        <v>3955</v>
      </c>
      <c r="F84" s="176" t="s">
        <v>87</v>
      </c>
      <c r="G84" s="176" t="s">
        <v>2334</v>
      </c>
      <c r="H84" s="176">
        <v>40</v>
      </c>
      <c r="I84" s="176">
        <v>32.5</v>
      </c>
      <c r="J84" s="176">
        <v>32.5</v>
      </c>
      <c r="K84" s="176">
        <v>5</v>
      </c>
      <c r="L84" s="176">
        <v>0</v>
      </c>
      <c r="M84" s="176" t="s">
        <v>148</v>
      </c>
      <c r="N84" s="176" t="s">
        <v>149</v>
      </c>
      <c r="O84" s="176" t="s">
        <v>150</v>
      </c>
      <c r="P84" s="176" t="s">
        <v>151</v>
      </c>
      <c r="Q84" s="176"/>
      <c r="R84" s="176" t="s">
        <v>3955</v>
      </c>
      <c r="S84" s="176"/>
      <c r="T84" s="176" t="s">
        <v>2629</v>
      </c>
      <c r="U84" s="176" t="s">
        <v>152</v>
      </c>
      <c r="V84" s="176" t="s">
        <v>23</v>
      </c>
    </row>
    <row r="85" spans="1:22" ht="12.75" customHeight="1">
      <c r="A85" s="65"/>
      <c r="B85" s="211">
        <v>46236</v>
      </c>
      <c r="C85" s="211">
        <v>46236</v>
      </c>
      <c r="D85" s="176" t="s">
        <v>3956</v>
      </c>
      <c r="E85" s="176" t="s">
        <v>3957</v>
      </c>
      <c r="F85" s="176" t="s">
        <v>87</v>
      </c>
      <c r="G85" s="176" t="s">
        <v>2334</v>
      </c>
      <c r="H85" s="176">
        <v>40</v>
      </c>
      <c r="I85" s="176">
        <v>40</v>
      </c>
      <c r="J85" s="176">
        <v>40</v>
      </c>
      <c r="K85" s="176">
        <v>5</v>
      </c>
      <c r="L85" s="176">
        <v>0</v>
      </c>
      <c r="M85" s="176" t="s">
        <v>148</v>
      </c>
      <c r="N85" s="176" t="s">
        <v>149</v>
      </c>
      <c r="O85" s="176" t="s">
        <v>150</v>
      </c>
      <c r="P85" s="176" t="s">
        <v>151</v>
      </c>
      <c r="Q85" s="176"/>
      <c r="R85" s="176" t="s">
        <v>3957</v>
      </c>
      <c r="S85" s="176"/>
      <c r="T85" s="176" t="s">
        <v>2629</v>
      </c>
      <c r="U85" s="176" t="s">
        <v>152</v>
      </c>
      <c r="V85" s="176" t="s">
        <v>23</v>
      </c>
    </row>
    <row r="86" spans="1:22" ht="12.75" customHeight="1">
      <c r="A86" s="65"/>
      <c r="B86" s="211">
        <v>46236</v>
      </c>
      <c r="C86" s="211">
        <v>46236</v>
      </c>
      <c r="D86" s="176" t="s">
        <v>3958</v>
      </c>
      <c r="E86" s="176" t="s">
        <v>3959</v>
      </c>
      <c r="F86" s="176" t="s">
        <v>87</v>
      </c>
      <c r="G86" s="176" t="s">
        <v>2357</v>
      </c>
      <c r="H86" s="176">
        <v>40</v>
      </c>
      <c r="I86" s="176">
        <v>29.8</v>
      </c>
      <c r="J86" s="176">
        <v>29.8</v>
      </c>
      <c r="K86" s="176">
        <v>5</v>
      </c>
      <c r="L86" s="176">
        <v>0</v>
      </c>
      <c r="M86" s="176" t="s">
        <v>148</v>
      </c>
      <c r="N86" s="176" t="s">
        <v>149</v>
      </c>
      <c r="O86" s="176" t="s">
        <v>150</v>
      </c>
      <c r="P86" s="176" t="s">
        <v>151</v>
      </c>
      <c r="Q86" s="176"/>
      <c r="R86" s="176" t="s">
        <v>3959</v>
      </c>
      <c r="S86" s="176"/>
      <c r="T86" s="176" t="s">
        <v>2629</v>
      </c>
      <c r="U86" s="176" t="s">
        <v>152</v>
      </c>
      <c r="V86" s="176" t="s">
        <v>23</v>
      </c>
    </row>
    <row r="87" spans="1:22" ht="12.75" customHeight="1">
      <c r="A87" s="65"/>
      <c r="B87" s="211">
        <v>46236</v>
      </c>
      <c r="C87" s="211">
        <v>46236</v>
      </c>
      <c r="D87" s="176" t="s">
        <v>3960</v>
      </c>
      <c r="E87" s="176" t="s">
        <v>3961</v>
      </c>
      <c r="F87" s="176" t="s">
        <v>87</v>
      </c>
      <c r="G87" s="176" t="s">
        <v>2334</v>
      </c>
      <c r="H87" s="176">
        <v>40</v>
      </c>
      <c r="I87" s="176">
        <v>39.299999999999997</v>
      </c>
      <c r="J87" s="176">
        <v>39.299999999999997</v>
      </c>
      <c r="K87" s="176">
        <v>5</v>
      </c>
      <c r="L87" s="176">
        <v>0</v>
      </c>
      <c r="M87" s="176" t="s">
        <v>148</v>
      </c>
      <c r="N87" s="176" t="s">
        <v>149</v>
      </c>
      <c r="O87" s="176" t="s">
        <v>150</v>
      </c>
      <c r="P87" s="176" t="s">
        <v>151</v>
      </c>
      <c r="Q87" s="176"/>
      <c r="R87" s="176" t="s">
        <v>3961</v>
      </c>
      <c r="S87" s="176"/>
      <c r="T87" s="176" t="s">
        <v>2629</v>
      </c>
      <c r="U87" s="176" t="s">
        <v>152</v>
      </c>
      <c r="V87" s="176" t="s">
        <v>23</v>
      </c>
    </row>
    <row r="88" spans="1:22" ht="12.75" customHeight="1">
      <c r="A88" s="65"/>
      <c r="B88" s="211">
        <v>46236</v>
      </c>
      <c r="C88" s="211">
        <v>46236</v>
      </c>
      <c r="D88" s="176" t="s">
        <v>3962</v>
      </c>
      <c r="E88" s="176" t="s">
        <v>3963</v>
      </c>
      <c r="F88" s="176" t="s">
        <v>87</v>
      </c>
      <c r="G88" s="176" t="s">
        <v>2333</v>
      </c>
      <c r="H88" s="176">
        <v>30</v>
      </c>
      <c r="I88" s="176">
        <v>39.799999999999997</v>
      </c>
      <c r="J88" s="176">
        <v>39.799999999999997</v>
      </c>
      <c r="K88" s="176">
        <v>4</v>
      </c>
      <c r="L88" s="176">
        <v>0</v>
      </c>
      <c r="M88" s="176" t="s">
        <v>148</v>
      </c>
      <c r="N88" s="176" t="s">
        <v>149</v>
      </c>
      <c r="O88" s="176" t="s">
        <v>150</v>
      </c>
      <c r="P88" s="176" t="s">
        <v>151</v>
      </c>
      <c r="Q88" s="176"/>
      <c r="R88" s="176" t="s">
        <v>3963</v>
      </c>
      <c r="S88" s="176"/>
      <c r="T88" s="176" t="s">
        <v>2629</v>
      </c>
      <c r="U88" s="176" t="s">
        <v>152</v>
      </c>
      <c r="V88" s="176" t="s">
        <v>23</v>
      </c>
    </row>
    <row r="89" spans="1:22" ht="12.75" customHeight="1">
      <c r="A89" s="65"/>
      <c r="B89" s="211">
        <v>46236</v>
      </c>
      <c r="C89" s="211">
        <v>46236</v>
      </c>
      <c r="D89" s="176" t="s">
        <v>3964</v>
      </c>
      <c r="E89" s="176" t="s">
        <v>3965</v>
      </c>
      <c r="F89" s="176" t="s">
        <v>87</v>
      </c>
      <c r="G89" s="176" t="s">
        <v>2334</v>
      </c>
      <c r="H89" s="176">
        <v>40</v>
      </c>
      <c r="I89" s="176">
        <v>39.4</v>
      </c>
      <c r="J89" s="176">
        <v>39.4</v>
      </c>
      <c r="K89" s="176">
        <v>5</v>
      </c>
      <c r="L89" s="176">
        <v>0</v>
      </c>
      <c r="M89" s="176" t="s">
        <v>148</v>
      </c>
      <c r="N89" s="176" t="s">
        <v>149</v>
      </c>
      <c r="O89" s="176" t="s">
        <v>150</v>
      </c>
      <c r="P89" s="176" t="s">
        <v>151</v>
      </c>
      <c r="Q89" s="176"/>
      <c r="R89" s="176" t="s">
        <v>3965</v>
      </c>
      <c r="S89" s="176"/>
      <c r="T89" s="176" t="s">
        <v>2629</v>
      </c>
      <c r="U89" s="176" t="s">
        <v>152</v>
      </c>
      <c r="V89" s="176" t="s">
        <v>23</v>
      </c>
    </row>
    <row r="90" spans="1:22" ht="12.75" customHeight="1">
      <c r="A90" s="65"/>
      <c r="B90" s="211">
        <v>46236</v>
      </c>
      <c r="C90" s="211">
        <v>46236</v>
      </c>
      <c r="D90" s="176" t="s">
        <v>3966</v>
      </c>
      <c r="E90" s="176" t="s">
        <v>3967</v>
      </c>
      <c r="F90" s="176" t="s">
        <v>87</v>
      </c>
      <c r="G90" s="176" t="s">
        <v>2513</v>
      </c>
      <c r="H90" s="176">
        <v>25</v>
      </c>
      <c r="I90" s="176">
        <v>40.799999999999997</v>
      </c>
      <c r="J90" s="176">
        <v>40.799999999999997</v>
      </c>
      <c r="K90" s="176">
        <v>4</v>
      </c>
      <c r="L90" s="176">
        <v>0</v>
      </c>
      <c r="M90" s="176" t="s">
        <v>148</v>
      </c>
      <c r="N90" s="176" t="s">
        <v>149</v>
      </c>
      <c r="O90" s="176" t="s">
        <v>150</v>
      </c>
      <c r="P90" s="176" t="s">
        <v>151</v>
      </c>
      <c r="Q90" s="176"/>
      <c r="R90" s="176" t="s">
        <v>3967</v>
      </c>
      <c r="S90" s="176"/>
      <c r="T90" s="176" t="s">
        <v>2629</v>
      </c>
      <c r="U90" s="176" t="s">
        <v>152</v>
      </c>
      <c r="V90" s="176" t="s">
        <v>23</v>
      </c>
    </row>
    <row r="91" spans="1:22" ht="12.75" customHeight="1">
      <c r="A91" s="65"/>
      <c r="B91" s="211">
        <v>46236</v>
      </c>
      <c r="C91" s="211">
        <v>46236</v>
      </c>
      <c r="D91" s="176" t="s">
        <v>3968</v>
      </c>
      <c r="E91" s="176" t="s">
        <v>3969</v>
      </c>
      <c r="F91" s="176" t="s">
        <v>87</v>
      </c>
      <c r="G91" s="176" t="s">
        <v>2514</v>
      </c>
      <c r="H91" s="176">
        <v>55</v>
      </c>
      <c r="I91" s="176">
        <v>46.3</v>
      </c>
      <c r="J91" s="176">
        <v>46.3</v>
      </c>
      <c r="K91" s="176">
        <v>5</v>
      </c>
      <c r="L91" s="176">
        <v>0</v>
      </c>
      <c r="M91" s="176" t="s">
        <v>148</v>
      </c>
      <c r="N91" s="176" t="s">
        <v>149</v>
      </c>
      <c r="O91" s="176" t="s">
        <v>150</v>
      </c>
      <c r="P91" s="176" t="s">
        <v>151</v>
      </c>
      <c r="Q91" s="176"/>
      <c r="R91" s="176" t="s">
        <v>3969</v>
      </c>
      <c r="S91" s="176"/>
      <c r="T91" s="176" t="s">
        <v>2629</v>
      </c>
      <c r="U91" s="176" t="s">
        <v>152</v>
      </c>
      <c r="V91" s="176" t="s">
        <v>23</v>
      </c>
    </row>
    <row r="92" spans="1:22" ht="12.75" customHeight="1">
      <c r="A92" s="65"/>
      <c r="B92" s="211">
        <v>46236</v>
      </c>
      <c r="C92" s="211">
        <v>46236</v>
      </c>
      <c r="D92" s="176" t="s">
        <v>3970</v>
      </c>
      <c r="E92" s="176" t="s">
        <v>3971</v>
      </c>
      <c r="F92" s="176" t="s">
        <v>87</v>
      </c>
      <c r="G92" s="176" t="s">
        <v>2357</v>
      </c>
      <c r="H92" s="176">
        <v>40</v>
      </c>
      <c r="I92" s="176">
        <v>37.799999999999997</v>
      </c>
      <c r="J92" s="176">
        <v>37.799999999999997</v>
      </c>
      <c r="K92" s="176">
        <v>5</v>
      </c>
      <c r="L92" s="176">
        <v>0</v>
      </c>
      <c r="M92" s="176" t="s">
        <v>148</v>
      </c>
      <c r="N92" s="176" t="s">
        <v>149</v>
      </c>
      <c r="O92" s="176" t="s">
        <v>150</v>
      </c>
      <c r="P92" s="176" t="s">
        <v>151</v>
      </c>
      <c r="Q92" s="176"/>
      <c r="R92" s="176" t="s">
        <v>3971</v>
      </c>
      <c r="S92" s="176"/>
      <c r="T92" s="176" t="s">
        <v>2629</v>
      </c>
      <c r="U92" s="176" t="s">
        <v>152</v>
      </c>
      <c r="V92" s="176" t="s">
        <v>23</v>
      </c>
    </row>
    <row r="93" spans="1:22" ht="12.75" customHeight="1">
      <c r="A93" s="65"/>
      <c r="B93" s="211">
        <v>46236</v>
      </c>
      <c r="C93" s="211">
        <v>46236</v>
      </c>
      <c r="D93" s="176" t="s">
        <v>3972</v>
      </c>
      <c r="E93" s="176" t="s">
        <v>3973</v>
      </c>
      <c r="F93" s="176" t="s">
        <v>87</v>
      </c>
      <c r="G93" s="176" t="s">
        <v>2357</v>
      </c>
      <c r="H93" s="176">
        <v>40</v>
      </c>
      <c r="I93" s="176">
        <v>16.3</v>
      </c>
      <c r="J93" s="176">
        <v>16.3</v>
      </c>
      <c r="K93" s="176">
        <v>5</v>
      </c>
      <c r="L93" s="176">
        <v>0</v>
      </c>
      <c r="M93" s="176" t="s">
        <v>148</v>
      </c>
      <c r="N93" s="176" t="s">
        <v>149</v>
      </c>
      <c r="O93" s="176" t="s">
        <v>150</v>
      </c>
      <c r="P93" s="176" t="s">
        <v>151</v>
      </c>
      <c r="Q93" s="176"/>
      <c r="R93" s="176" t="s">
        <v>3973</v>
      </c>
      <c r="S93" s="176"/>
      <c r="T93" s="176" t="s">
        <v>2629</v>
      </c>
      <c r="U93" s="176" t="s">
        <v>152</v>
      </c>
      <c r="V93" s="176" t="s">
        <v>23</v>
      </c>
    </row>
    <row r="94" spans="1:22" ht="12.75" customHeight="1">
      <c r="A94" s="65"/>
      <c r="B94" s="211">
        <v>46236</v>
      </c>
      <c r="C94" s="211">
        <v>46236</v>
      </c>
      <c r="D94" s="176" t="s">
        <v>3974</v>
      </c>
      <c r="E94" s="176" t="s">
        <v>3975</v>
      </c>
      <c r="F94" s="176" t="s">
        <v>87</v>
      </c>
      <c r="G94" s="176" t="s">
        <v>2357</v>
      </c>
      <c r="H94" s="176">
        <v>40</v>
      </c>
      <c r="I94" s="176">
        <v>32.200000000000003</v>
      </c>
      <c r="J94" s="176">
        <v>32.200000000000003</v>
      </c>
      <c r="K94" s="176">
        <v>5</v>
      </c>
      <c r="L94" s="176">
        <v>0</v>
      </c>
      <c r="M94" s="176" t="s">
        <v>148</v>
      </c>
      <c r="N94" s="176" t="s">
        <v>149</v>
      </c>
      <c r="O94" s="176" t="s">
        <v>150</v>
      </c>
      <c r="P94" s="176" t="s">
        <v>151</v>
      </c>
      <c r="Q94" s="176"/>
      <c r="R94" s="176" t="s">
        <v>3975</v>
      </c>
      <c r="S94" s="176"/>
      <c r="T94" s="176" t="s">
        <v>2629</v>
      </c>
      <c r="U94" s="176" t="s">
        <v>152</v>
      </c>
      <c r="V94" s="176" t="s">
        <v>23</v>
      </c>
    </row>
    <row r="95" spans="1:22" ht="12.75" customHeight="1">
      <c r="A95" s="65"/>
      <c r="B95" s="211">
        <v>46236</v>
      </c>
      <c r="C95" s="211">
        <v>46236</v>
      </c>
      <c r="D95" s="176" t="s">
        <v>3976</v>
      </c>
      <c r="E95" s="176" t="s">
        <v>3977</v>
      </c>
      <c r="F95" s="176" t="s">
        <v>87</v>
      </c>
      <c r="G95" s="176" t="s">
        <v>2334</v>
      </c>
      <c r="H95" s="176">
        <v>40</v>
      </c>
      <c r="I95" s="176">
        <v>36.200000000000003</v>
      </c>
      <c r="J95" s="176">
        <v>36.200000000000003</v>
      </c>
      <c r="K95" s="176">
        <v>5</v>
      </c>
      <c r="L95" s="176">
        <v>0</v>
      </c>
      <c r="M95" s="176" t="s">
        <v>148</v>
      </c>
      <c r="N95" s="176" t="s">
        <v>149</v>
      </c>
      <c r="O95" s="176" t="s">
        <v>150</v>
      </c>
      <c r="P95" s="176" t="s">
        <v>151</v>
      </c>
      <c r="Q95" s="176"/>
      <c r="R95" s="176" t="s">
        <v>3977</v>
      </c>
      <c r="S95" s="176"/>
      <c r="T95" s="176" t="s">
        <v>2629</v>
      </c>
      <c r="U95" s="176" t="s">
        <v>152</v>
      </c>
      <c r="V95" s="176" t="s">
        <v>23</v>
      </c>
    </row>
    <row r="96" spans="1:22" ht="12.75" customHeight="1">
      <c r="A96" s="65"/>
      <c r="B96" s="211">
        <v>46236</v>
      </c>
      <c r="C96" s="211">
        <v>46236</v>
      </c>
      <c r="D96" s="176" t="s">
        <v>3978</v>
      </c>
      <c r="E96" s="176" t="s">
        <v>3979</v>
      </c>
      <c r="F96" s="176" t="s">
        <v>87</v>
      </c>
      <c r="G96" s="176" t="s">
        <v>2513</v>
      </c>
      <c r="H96" s="176">
        <v>25</v>
      </c>
      <c r="I96" s="176">
        <v>39.799999999999997</v>
      </c>
      <c r="J96" s="176">
        <v>39.799999999999997</v>
      </c>
      <c r="K96" s="176">
        <v>4</v>
      </c>
      <c r="L96" s="176">
        <v>0</v>
      </c>
      <c r="M96" s="176" t="s">
        <v>148</v>
      </c>
      <c r="N96" s="176" t="s">
        <v>149</v>
      </c>
      <c r="O96" s="176" t="s">
        <v>150</v>
      </c>
      <c r="P96" s="176" t="s">
        <v>151</v>
      </c>
      <c r="Q96" s="176"/>
      <c r="R96" s="176" t="s">
        <v>3979</v>
      </c>
      <c r="S96" s="176"/>
      <c r="T96" s="176" t="s">
        <v>2629</v>
      </c>
      <c r="U96" s="176" t="s">
        <v>152</v>
      </c>
      <c r="V96" s="176" t="s">
        <v>23</v>
      </c>
    </row>
    <row r="97" spans="1:22" ht="12.75" customHeight="1">
      <c r="A97" s="65"/>
      <c r="B97" s="211">
        <v>46236</v>
      </c>
      <c r="C97" s="211">
        <v>46236</v>
      </c>
      <c r="D97" s="176" t="s">
        <v>3980</v>
      </c>
      <c r="E97" s="176" t="s">
        <v>3981</v>
      </c>
      <c r="F97" s="176" t="s">
        <v>87</v>
      </c>
      <c r="G97" s="176" t="s">
        <v>2357</v>
      </c>
      <c r="H97" s="176">
        <v>40</v>
      </c>
      <c r="I97" s="176">
        <v>29.8</v>
      </c>
      <c r="J97" s="176">
        <v>29.8</v>
      </c>
      <c r="K97" s="176">
        <v>5</v>
      </c>
      <c r="L97" s="176">
        <v>0</v>
      </c>
      <c r="M97" s="176" t="s">
        <v>148</v>
      </c>
      <c r="N97" s="176" t="s">
        <v>149</v>
      </c>
      <c r="O97" s="176" t="s">
        <v>150</v>
      </c>
      <c r="P97" s="176" t="s">
        <v>151</v>
      </c>
      <c r="Q97" s="176"/>
      <c r="R97" s="176" t="s">
        <v>3981</v>
      </c>
      <c r="S97" s="176"/>
      <c r="T97" s="176" t="s">
        <v>2629</v>
      </c>
      <c r="U97" s="176" t="s">
        <v>152</v>
      </c>
      <c r="V97" s="176" t="s">
        <v>23</v>
      </c>
    </row>
    <row r="98" spans="1:22" ht="12.75" customHeight="1">
      <c r="A98" s="65"/>
      <c r="B98" s="211">
        <v>46236</v>
      </c>
      <c r="C98" s="211">
        <v>46236</v>
      </c>
      <c r="D98" s="176" t="s">
        <v>3982</v>
      </c>
      <c r="E98" s="176" t="s">
        <v>3983</v>
      </c>
      <c r="F98" s="176" t="s">
        <v>87</v>
      </c>
      <c r="G98" s="176" t="s">
        <v>2333</v>
      </c>
      <c r="H98" s="176">
        <v>30</v>
      </c>
      <c r="I98" s="176">
        <v>37.299999999999997</v>
      </c>
      <c r="J98" s="176">
        <v>37.299999999999997</v>
      </c>
      <c r="K98" s="176">
        <v>4</v>
      </c>
      <c r="L98" s="176">
        <v>0</v>
      </c>
      <c r="M98" s="176" t="s">
        <v>148</v>
      </c>
      <c r="N98" s="176" t="s">
        <v>149</v>
      </c>
      <c r="O98" s="176" t="s">
        <v>150</v>
      </c>
      <c r="P98" s="176" t="s">
        <v>151</v>
      </c>
      <c r="Q98" s="176"/>
      <c r="R98" s="176" t="s">
        <v>3983</v>
      </c>
      <c r="S98" s="176"/>
      <c r="T98" s="176" t="s">
        <v>2629</v>
      </c>
      <c r="U98" s="176" t="s">
        <v>152</v>
      </c>
      <c r="V98" s="176" t="s">
        <v>23</v>
      </c>
    </row>
    <row r="99" spans="1:22" ht="12.75" customHeight="1">
      <c r="A99" s="65"/>
      <c r="B99" s="211">
        <v>46236</v>
      </c>
      <c r="C99" s="211">
        <v>46236</v>
      </c>
      <c r="D99" s="176" t="s">
        <v>3984</v>
      </c>
      <c r="E99" s="176" t="s">
        <v>3985</v>
      </c>
      <c r="F99" s="176" t="s">
        <v>87</v>
      </c>
      <c r="G99" s="176" t="s">
        <v>2514</v>
      </c>
      <c r="H99" s="176">
        <v>55</v>
      </c>
      <c r="I99" s="176">
        <v>41.3</v>
      </c>
      <c r="J99" s="176">
        <v>41.3</v>
      </c>
      <c r="K99" s="176">
        <v>5</v>
      </c>
      <c r="L99" s="176">
        <v>0</v>
      </c>
      <c r="M99" s="176" t="s">
        <v>148</v>
      </c>
      <c r="N99" s="176" t="s">
        <v>149</v>
      </c>
      <c r="O99" s="176" t="s">
        <v>150</v>
      </c>
      <c r="P99" s="176" t="s">
        <v>151</v>
      </c>
      <c r="Q99" s="176"/>
      <c r="R99" s="176" t="s">
        <v>3985</v>
      </c>
      <c r="S99" s="176"/>
      <c r="T99" s="176" t="s">
        <v>2629</v>
      </c>
      <c r="U99" s="176" t="s">
        <v>152</v>
      </c>
      <c r="V99" s="176" t="s">
        <v>23</v>
      </c>
    </row>
    <row r="100" spans="1:22" ht="12.75" customHeight="1">
      <c r="A100" s="65"/>
      <c r="B100" s="211">
        <v>46236</v>
      </c>
      <c r="C100" s="211">
        <v>46236</v>
      </c>
      <c r="D100" s="176" t="s">
        <v>3986</v>
      </c>
      <c r="E100" s="176" t="s">
        <v>3987</v>
      </c>
      <c r="F100" s="176" t="s">
        <v>87</v>
      </c>
      <c r="G100" s="176" t="s">
        <v>2514</v>
      </c>
      <c r="H100" s="176">
        <v>55</v>
      </c>
      <c r="I100" s="176">
        <v>40.4</v>
      </c>
      <c r="J100" s="176">
        <v>40.4</v>
      </c>
      <c r="K100" s="176">
        <v>5</v>
      </c>
      <c r="L100" s="176">
        <v>0</v>
      </c>
      <c r="M100" s="176" t="s">
        <v>148</v>
      </c>
      <c r="N100" s="176" t="s">
        <v>149</v>
      </c>
      <c r="O100" s="176" t="s">
        <v>150</v>
      </c>
      <c r="P100" s="176" t="s">
        <v>151</v>
      </c>
      <c r="Q100" s="176"/>
      <c r="R100" s="176" t="s">
        <v>3987</v>
      </c>
      <c r="S100" s="176"/>
      <c r="T100" s="176" t="s">
        <v>2629</v>
      </c>
      <c r="U100" s="176" t="s">
        <v>152</v>
      </c>
      <c r="V100" s="176" t="s">
        <v>23</v>
      </c>
    </row>
    <row r="101" spans="1:22" ht="12.75" customHeight="1">
      <c r="A101" s="65"/>
      <c r="B101" s="211">
        <v>46237</v>
      </c>
      <c r="C101" s="211">
        <v>46237</v>
      </c>
      <c r="D101" s="176" t="s">
        <v>3988</v>
      </c>
      <c r="E101" s="176" t="s">
        <v>3989</v>
      </c>
      <c r="F101" s="176" t="s">
        <v>87</v>
      </c>
      <c r="G101" s="176" t="s">
        <v>1678</v>
      </c>
      <c r="H101" s="176">
        <v>30</v>
      </c>
      <c r="I101" s="176">
        <v>32.200000000000003</v>
      </c>
      <c r="J101" s="176">
        <v>32.200000000000003</v>
      </c>
      <c r="K101" s="176">
        <v>4</v>
      </c>
      <c r="L101" s="176">
        <v>0</v>
      </c>
      <c r="M101" s="176" t="s">
        <v>148</v>
      </c>
      <c r="N101" s="176" t="s">
        <v>149</v>
      </c>
      <c r="O101" s="176" t="s">
        <v>150</v>
      </c>
      <c r="P101" s="176" t="s">
        <v>151</v>
      </c>
      <c r="Q101" s="176"/>
      <c r="R101" s="176" t="s">
        <v>3989</v>
      </c>
      <c r="S101" s="176"/>
      <c r="T101" s="176" t="s">
        <v>2645</v>
      </c>
      <c r="U101" s="176" t="s">
        <v>152</v>
      </c>
      <c r="V101" s="176" t="s">
        <v>23</v>
      </c>
    </row>
    <row r="102" spans="1:22" ht="12.75" customHeight="1">
      <c r="A102" s="65"/>
      <c r="B102" s="211">
        <v>46237</v>
      </c>
      <c r="C102" s="211">
        <v>46237</v>
      </c>
      <c r="D102" s="176" t="s">
        <v>3990</v>
      </c>
      <c r="E102" s="176" t="s">
        <v>3991</v>
      </c>
      <c r="F102" s="176" t="s">
        <v>87</v>
      </c>
      <c r="G102" s="176" t="s">
        <v>1678</v>
      </c>
      <c r="H102" s="176">
        <v>30</v>
      </c>
      <c r="I102" s="176">
        <v>19.8</v>
      </c>
      <c r="J102" s="176">
        <v>19.8</v>
      </c>
      <c r="K102" s="176">
        <v>4</v>
      </c>
      <c r="L102" s="176">
        <v>0</v>
      </c>
      <c r="M102" s="176" t="s">
        <v>148</v>
      </c>
      <c r="N102" s="176" t="s">
        <v>149</v>
      </c>
      <c r="O102" s="176" t="s">
        <v>150</v>
      </c>
      <c r="P102" s="176" t="s">
        <v>151</v>
      </c>
      <c r="Q102" s="176"/>
      <c r="R102" s="176" t="s">
        <v>3991</v>
      </c>
      <c r="S102" s="176"/>
      <c r="T102" s="176" t="s">
        <v>2645</v>
      </c>
      <c r="U102" s="176" t="s">
        <v>152</v>
      </c>
      <c r="V102" s="176" t="s">
        <v>23</v>
      </c>
    </row>
    <row r="103" spans="1:22" ht="12.75" customHeight="1">
      <c r="A103" s="65"/>
      <c r="B103" s="211">
        <v>46237</v>
      </c>
      <c r="C103" s="211">
        <v>46237</v>
      </c>
      <c r="D103" s="176" t="s">
        <v>3992</v>
      </c>
      <c r="E103" s="176" t="s">
        <v>3993</v>
      </c>
      <c r="F103" s="176" t="s">
        <v>87</v>
      </c>
      <c r="G103" s="176" t="s">
        <v>1966</v>
      </c>
      <c r="H103" s="176">
        <v>6</v>
      </c>
      <c r="I103" s="176">
        <v>30.7</v>
      </c>
      <c r="J103" s="176">
        <v>30.7</v>
      </c>
      <c r="K103" s="176">
        <v>1.5</v>
      </c>
      <c r="L103" s="176">
        <v>0</v>
      </c>
      <c r="M103" s="176" t="s">
        <v>148</v>
      </c>
      <c r="N103" s="176" t="s">
        <v>149</v>
      </c>
      <c r="O103" s="176" t="s">
        <v>150</v>
      </c>
      <c r="P103" s="176" t="s">
        <v>151</v>
      </c>
      <c r="Q103" s="176"/>
      <c r="R103" s="176" t="s">
        <v>3993</v>
      </c>
      <c r="S103" s="176"/>
      <c r="T103" s="176" t="s">
        <v>2645</v>
      </c>
      <c r="U103" s="176" t="s">
        <v>152</v>
      </c>
      <c r="V103" s="176" t="s">
        <v>23</v>
      </c>
    </row>
    <row r="104" spans="1:22" ht="12.75" customHeight="1">
      <c r="A104" s="65"/>
      <c r="B104" s="211">
        <v>46237</v>
      </c>
      <c r="C104" s="211">
        <v>46237</v>
      </c>
      <c r="D104" s="176" t="s">
        <v>3994</v>
      </c>
      <c r="E104" s="176" t="s">
        <v>3995</v>
      </c>
      <c r="F104" s="176" t="s">
        <v>87</v>
      </c>
      <c r="G104" s="176" t="s">
        <v>2513</v>
      </c>
      <c r="H104" s="176">
        <v>25</v>
      </c>
      <c r="I104" s="176">
        <v>45</v>
      </c>
      <c r="J104" s="176">
        <v>45</v>
      </c>
      <c r="K104" s="176">
        <v>4</v>
      </c>
      <c r="L104" s="176">
        <v>0</v>
      </c>
      <c r="M104" s="176" t="s">
        <v>148</v>
      </c>
      <c r="N104" s="176" t="s">
        <v>149</v>
      </c>
      <c r="O104" s="176" t="s">
        <v>150</v>
      </c>
      <c r="P104" s="176" t="s">
        <v>151</v>
      </c>
      <c r="Q104" s="176"/>
      <c r="R104" s="176" t="s">
        <v>3995</v>
      </c>
      <c r="S104" s="176"/>
      <c r="T104" s="176" t="s">
        <v>2645</v>
      </c>
      <c r="U104" s="176" t="s">
        <v>152</v>
      </c>
      <c r="V104" s="176" t="s">
        <v>23</v>
      </c>
    </row>
    <row r="105" spans="1:22" ht="12.75" customHeight="1">
      <c r="A105" s="65"/>
      <c r="B105" s="211">
        <v>46237</v>
      </c>
      <c r="C105" s="211">
        <v>46237</v>
      </c>
      <c r="D105" s="176" t="s">
        <v>3996</v>
      </c>
      <c r="E105" s="176" t="s">
        <v>3997</v>
      </c>
      <c r="F105" s="176" t="s">
        <v>87</v>
      </c>
      <c r="G105" s="176" t="s">
        <v>1678</v>
      </c>
      <c r="H105" s="176">
        <v>30</v>
      </c>
      <c r="I105" s="176">
        <v>28.8</v>
      </c>
      <c r="J105" s="176">
        <v>28.8</v>
      </c>
      <c r="K105" s="176">
        <v>4</v>
      </c>
      <c r="L105" s="176">
        <v>0</v>
      </c>
      <c r="M105" s="176" t="s">
        <v>148</v>
      </c>
      <c r="N105" s="176" t="s">
        <v>149</v>
      </c>
      <c r="O105" s="176" t="s">
        <v>150</v>
      </c>
      <c r="P105" s="176" t="s">
        <v>151</v>
      </c>
      <c r="Q105" s="176"/>
      <c r="R105" s="176" t="s">
        <v>3997</v>
      </c>
      <c r="S105" s="176"/>
      <c r="T105" s="176" t="s">
        <v>2645</v>
      </c>
      <c r="U105" s="176" t="s">
        <v>152</v>
      </c>
      <c r="V105" s="176" t="s">
        <v>23</v>
      </c>
    </row>
    <row r="106" spans="1:22" ht="12.75" customHeight="1">
      <c r="A106" s="65"/>
      <c r="B106" s="211">
        <v>46237</v>
      </c>
      <c r="C106" s="211">
        <v>46237</v>
      </c>
      <c r="D106" s="176" t="s">
        <v>3998</v>
      </c>
      <c r="E106" s="176" t="s">
        <v>3999</v>
      </c>
      <c r="F106" s="176" t="s">
        <v>87</v>
      </c>
      <c r="G106" s="176" t="s">
        <v>4000</v>
      </c>
      <c r="H106" s="176">
        <v>50</v>
      </c>
      <c r="I106" s="176">
        <v>36.799999999999997</v>
      </c>
      <c r="J106" s="176">
        <v>36.799999999999997</v>
      </c>
      <c r="K106" s="176">
        <v>5</v>
      </c>
      <c r="L106" s="176">
        <v>0</v>
      </c>
      <c r="M106" s="176" t="s">
        <v>148</v>
      </c>
      <c r="N106" s="176" t="s">
        <v>149</v>
      </c>
      <c r="O106" s="176" t="s">
        <v>150</v>
      </c>
      <c r="P106" s="176" t="s">
        <v>151</v>
      </c>
      <c r="Q106" s="176"/>
      <c r="R106" s="176" t="s">
        <v>3999</v>
      </c>
      <c r="S106" s="176"/>
      <c r="T106" s="176" t="s">
        <v>2645</v>
      </c>
      <c r="U106" s="176" t="s">
        <v>152</v>
      </c>
      <c r="V106" s="176" t="s">
        <v>23</v>
      </c>
    </row>
    <row r="107" spans="1:22" ht="12.75" customHeight="1">
      <c r="A107" s="65"/>
      <c r="B107" s="211">
        <v>46237</v>
      </c>
      <c r="C107" s="211">
        <v>46237</v>
      </c>
      <c r="D107" s="176" t="s">
        <v>4001</v>
      </c>
      <c r="E107" s="176" t="s">
        <v>4002</v>
      </c>
      <c r="F107" s="176" t="s">
        <v>87</v>
      </c>
      <c r="G107" s="176" t="s">
        <v>4000</v>
      </c>
      <c r="H107" s="176">
        <v>50</v>
      </c>
      <c r="I107" s="176">
        <v>31.5</v>
      </c>
      <c r="J107" s="176">
        <v>31.5</v>
      </c>
      <c r="K107" s="176">
        <v>5</v>
      </c>
      <c r="L107" s="176">
        <v>0</v>
      </c>
      <c r="M107" s="176" t="s">
        <v>148</v>
      </c>
      <c r="N107" s="176" t="s">
        <v>149</v>
      </c>
      <c r="O107" s="176" t="s">
        <v>150</v>
      </c>
      <c r="P107" s="176" t="s">
        <v>151</v>
      </c>
      <c r="Q107" s="176"/>
      <c r="R107" s="176" t="s">
        <v>4002</v>
      </c>
      <c r="S107" s="176"/>
      <c r="T107" s="176" t="s">
        <v>2645</v>
      </c>
      <c r="U107" s="176" t="s">
        <v>152</v>
      </c>
      <c r="V107" s="176" t="s">
        <v>23</v>
      </c>
    </row>
    <row r="108" spans="1:22" ht="12.75" customHeight="1">
      <c r="A108" s="65"/>
      <c r="B108" s="211">
        <v>46237</v>
      </c>
      <c r="C108" s="211">
        <v>46237</v>
      </c>
      <c r="D108" s="176" t="s">
        <v>4003</v>
      </c>
      <c r="E108" s="176" t="s">
        <v>4004</v>
      </c>
      <c r="F108" s="176" t="s">
        <v>87</v>
      </c>
      <c r="G108" s="176" t="s">
        <v>2078</v>
      </c>
      <c r="H108" s="176">
        <v>6</v>
      </c>
      <c r="I108" s="176">
        <v>17</v>
      </c>
      <c r="J108" s="176">
        <v>17</v>
      </c>
      <c r="K108" s="176">
        <v>1.5</v>
      </c>
      <c r="L108" s="176">
        <v>0</v>
      </c>
      <c r="M108" s="176" t="s">
        <v>148</v>
      </c>
      <c r="N108" s="176" t="s">
        <v>149</v>
      </c>
      <c r="O108" s="176" t="s">
        <v>150</v>
      </c>
      <c r="P108" s="176" t="s">
        <v>151</v>
      </c>
      <c r="Q108" s="176"/>
      <c r="R108" s="176" t="s">
        <v>4004</v>
      </c>
      <c r="S108" s="176"/>
      <c r="T108" s="176" t="s">
        <v>2645</v>
      </c>
      <c r="U108" s="176" t="s">
        <v>152</v>
      </c>
      <c r="V108" s="176" t="s">
        <v>23</v>
      </c>
    </row>
    <row r="109" spans="1:22" ht="12.75" customHeight="1">
      <c r="A109" s="65"/>
      <c r="B109" s="211">
        <v>46237</v>
      </c>
      <c r="C109" s="211">
        <v>46237</v>
      </c>
      <c r="D109" s="176" t="s">
        <v>4005</v>
      </c>
      <c r="E109" s="176" t="s">
        <v>4006</v>
      </c>
      <c r="F109" s="176" t="s">
        <v>87</v>
      </c>
      <c r="G109" s="176" t="s">
        <v>2513</v>
      </c>
      <c r="H109" s="176">
        <v>25</v>
      </c>
      <c r="I109" s="176">
        <v>20.3</v>
      </c>
      <c r="J109" s="176">
        <v>20.3</v>
      </c>
      <c r="K109" s="176">
        <v>4</v>
      </c>
      <c r="L109" s="176">
        <v>0</v>
      </c>
      <c r="M109" s="176" t="s">
        <v>148</v>
      </c>
      <c r="N109" s="176" t="s">
        <v>149</v>
      </c>
      <c r="O109" s="176" t="s">
        <v>150</v>
      </c>
      <c r="P109" s="176" t="s">
        <v>151</v>
      </c>
      <c r="Q109" s="176"/>
      <c r="R109" s="176" t="s">
        <v>4006</v>
      </c>
      <c r="S109" s="176"/>
      <c r="T109" s="176" t="s">
        <v>2645</v>
      </c>
      <c r="U109" s="176" t="s">
        <v>152</v>
      </c>
      <c r="V109" s="176" t="s">
        <v>23</v>
      </c>
    </row>
    <row r="110" spans="1:22" ht="12.75" customHeight="1">
      <c r="A110" s="65"/>
      <c r="B110" s="211">
        <v>46237</v>
      </c>
      <c r="C110" s="211">
        <v>46237</v>
      </c>
      <c r="D110" s="176" t="s">
        <v>4007</v>
      </c>
      <c r="E110" s="176" t="s">
        <v>4008</v>
      </c>
      <c r="F110" s="176" t="s">
        <v>87</v>
      </c>
      <c r="G110" s="176" t="s">
        <v>2334</v>
      </c>
      <c r="H110" s="176">
        <v>40</v>
      </c>
      <c r="I110" s="176">
        <v>38.200000000000003</v>
      </c>
      <c r="J110" s="176">
        <v>38.200000000000003</v>
      </c>
      <c r="K110" s="176">
        <v>5</v>
      </c>
      <c r="L110" s="176">
        <v>0</v>
      </c>
      <c r="M110" s="176" t="s">
        <v>148</v>
      </c>
      <c r="N110" s="176" t="s">
        <v>149</v>
      </c>
      <c r="O110" s="176" t="s">
        <v>150</v>
      </c>
      <c r="P110" s="176" t="s">
        <v>151</v>
      </c>
      <c r="Q110" s="176"/>
      <c r="R110" s="176" t="s">
        <v>4008</v>
      </c>
      <c r="S110" s="176"/>
      <c r="T110" s="176" t="s">
        <v>2645</v>
      </c>
      <c r="U110" s="176" t="s">
        <v>152</v>
      </c>
      <c r="V110" s="176" t="s">
        <v>23</v>
      </c>
    </row>
    <row r="111" spans="1:22" ht="12.75" customHeight="1">
      <c r="A111" s="65"/>
      <c r="B111" s="211">
        <v>46237</v>
      </c>
      <c r="C111" s="211">
        <v>46237</v>
      </c>
      <c r="D111" s="176" t="s">
        <v>4009</v>
      </c>
      <c r="E111" s="176" t="s">
        <v>4010</v>
      </c>
      <c r="F111" s="176" t="s">
        <v>87</v>
      </c>
      <c r="G111" s="176" t="s">
        <v>4000</v>
      </c>
      <c r="H111" s="176">
        <v>50</v>
      </c>
      <c r="I111" s="176">
        <v>35.799999999999997</v>
      </c>
      <c r="J111" s="176">
        <v>35.799999999999997</v>
      </c>
      <c r="K111" s="176">
        <v>5</v>
      </c>
      <c r="L111" s="176">
        <v>0</v>
      </c>
      <c r="M111" s="176" t="s">
        <v>148</v>
      </c>
      <c r="N111" s="176" t="s">
        <v>149</v>
      </c>
      <c r="O111" s="176" t="s">
        <v>150</v>
      </c>
      <c r="P111" s="176" t="s">
        <v>151</v>
      </c>
      <c r="Q111" s="176"/>
      <c r="R111" s="176" t="s">
        <v>4010</v>
      </c>
      <c r="S111" s="176"/>
      <c r="T111" s="176" t="s">
        <v>2645</v>
      </c>
      <c r="U111" s="176" t="s">
        <v>152</v>
      </c>
      <c r="V111" s="176" t="s">
        <v>23</v>
      </c>
    </row>
    <row r="112" spans="1:22" ht="12.75" customHeight="1">
      <c r="A112" s="65"/>
      <c r="B112" s="211">
        <v>46237</v>
      </c>
      <c r="C112" s="211">
        <v>46237</v>
      </c>
      <c r="D112" s="176" t="s">
        <v>4011</v>
      </c>
      <c r="E112" s="176" t="s">
        <v>4012</v>
      </c>
      <c r="F112" s="176" t="s">
        <v>87</v>
      </c>
      <c r="G112" s="176" t="s">
        <v>2513</v>
      </c>
      <c r="H112" s="176">
        <v>25</v>
      </c>
      <c r="I112" s="176">
        <v>40.799999999999997</v>
      </c>
      <c r="J112" s="176">
        <v>40.799999999999997</v>
      </c>
      <c r="K112" s="176">
        <v>4</v>
      </c>
      <c r="L112" s="176">
        <v>0</v>
      </c>
      <c r="M112" s="176" t="s">
        <v>148</v>
      </c>
      <c r="N112" s="176" t="s">
        <v>149</v>
      </c>
      <c r="O112" s="176" t="s">
        <v>150</v>
      </c>
      <c r="P112" s="176" t="s">
        <v>151</v>
      </c>
      <c r="Q112" s="176"/>
      <c r="R112" s="176" t="s">
        <v>4012</v>
      </c>
      <c r="S112" s="176"/>
      <c r="T112" s="176" t="s">
        <v>2645</v>
      </c>
      <c r="U112" s="176" t="s">
        <v>152</v>
      </c>
      <c r="V112" s="176" t="s">
        <v>23</v>
      </c>
    </row>
    <row r="113" spans="1:22" ht="12.75" customHeight="1">
      <c r="A113" s="65"/>
      <c r="B113" s="211">
        <v>46237</v>
      </c>
      <c r="C113" s="211">
        <v>46237</v>
      </c>
      <c r="D113" s="176" t="s">
        <v>4013</v>
      </c>
      <c r="E113" s="176" t="s">
        <v>4014</v>
      </c>
      <c r="F113" s="176" t="s">
        <v>87</v>
      </c>
      <c r="G113" s="176" t="s">
        <v>2513</v>
      </c>
      <c r="H113" s="176">
        <v>25</v>
      </c>
      <c r="I113" s="176">
        <v>43.8</v>
      </c>
      <c r="J113" s="176">
        <v>43.8</v>
      </c>
      <c r="K113" s="176">
        <v>4</v>
      </c>
      <c r="L113" s="176">
        <v>0</v>
      </c>
      <c r="M113" s="176" t="s">
        <v>148</v>
      </c>
      <c r="N113" s="176" t="s">
        <v>149</v>
      </c>
      <c r="O113" s="176" t="s">
        <v>150</v>
      </c>
      <c r="P113" s="176" t="s">
        <v>151</v>
      </c>
      <c r="Q113" s="176"/>
      <c r="R113" s="176" t="s">
        <v>4014</v>
      </c>
      <c r="S113" s="176"/>
      <c r="T113" s="176" t="s">
        <v>2645</v>
      </c>
      <c r="U113" s="176" t="s">
        <v>152</v>
      </c>
      <c r="V113" s="176" t="s">
        <v>23</v>
      </c>
    </row>
    <row r="114" spans="1:22" ht="12.75" customHeight="1">
      <c r="A114" s="65"/>
      <c r="B114" s="211">
        <v>46237</v>
      </c>
      <c r="C114" s="211">
        <v>46237</v>
      </c>
      <c r="D114" s="176" t="s">
        <v>4015</v>
      </c>
      <c r="E114" s="176" t="s">
        <v>4016</v>
      </c>
      <c r="F114" s="176" t="s">
        <v>87</v>
      </c>
      <c r="G114" s="176" t="s">
        <v>1966</v>
      </c>
      <c r="H114" s="176">
        <v>6</v>
      </c>
      <c r="I114" s="176">
        <v>26.3</v>
      </c>
      <c r="J114" s="176">
        <v>26.3</v>
      </c>
      <c r="K114" s="176">
        <v>1.5</v>
      </c>
      <c r="L114" s="176">
        <v>0</v>
      </c>
      <c r="M114" s="176" t="s">
        <v>148</v>
      </c>
      <c r="N114" s="176" t="s">
        <v>149</v>
      </c>
      <c r="O114" s="176" t="s">
        <v>150</v>
      </c>
      <c r="P114" s="176" t="s">
        <v>151</v>
      </c>
      <c r="Q114" s="176"/>
      <c r="R114" s="176" t="s">
        <v>4016</v>
      </c>
      <c r="S114" s="176"/>
      <c r="T114" s="176" t="s">
        <v>2645</v>
      </c>
      <c r="U114" s="176" t="s">
        <v>152</v>
      </c>
      <c r="V114" s="176" t="s">
        <v>23</v>
      </c>
    </row>
    <row r="115" spans="1:22" ht="12.75" customHeight="1">
      <c r="A115" s="65"/>
      <c r="B115" s="211">
        <v>46237</v>
      </c>
      <c r="C115" s="211">
        <v>46237</v>
      </c>
      <c r="D115" s="176" t="s">
        <v>4017</v>
      </c>
      <c r="E115" s="176" t="s">
        <v>4018</v>
      </c>
      <c r="F115" s="176" t="s">
        <v>87</v>
      </c>
      <c r="G115" s="176" t="s">
        <v>2334</v>
      </c>
      <c r="H115" s="176">
        <v>40</v>
      </c>
      <c r="I115" s="176">
        <v>36.799999999999997</v>
      </c>
      <c r="J115" s="176">
        <v>36.799999999999997</v>
      </c>
      <c r="K115" s="176">
        <v>5</v>
      </c>
      <c r="L115" s="176">
        <v>0</v>
      </c>
      <c r="M115" s="176" t="s">
        <v>148</v>
      </c>
      <c r="N115" s="176" t="s">
        <v>149</v>
      </c>
      <c r="O115" s="176" t="s">
        <v>150</v>
      </c>
      <c r="P115" s="176" t="s">
        <v>151</v>
      </c>
      <c r="Q115" s="176"/>
      <c r="R115" s="176" t="s">
        <v>4018</v>
      </c>
      <c r="S115" s="176"/>
      <c r="T115" s="176" t="s">
        <v>2645</v>
      </c>
      <c r="U115" s="176" t="s">
        <v>152</v>
      </c>
      <c r="V115" s="176" t="s">
        <v>23</v>
      </c>
    </row>
    <row r="116" spans="1:22" ht="12.75" customHeight="1">
      <c r="A116" s="65"/>
      <c r="B116" s="211">
        <v>46237</v>
      </c>
      <c r="C116" s="211">
        <v>46237</v>
      </c>
      <c r="D116" s="176" t="s">
        <v>4019</v>
      </c>
      <c r="E116" s="176" t="s">
        <v>4020</v>
      </c>
      <c r="F116" s="176" t="s">
        <v>87</v>
      </c>
      <c r="G116" s="176" t="s">
        <v>2514</v>
      </c>
      <c r="H116" s="176">
        <v>55</v>
      </c>
      <c r="I116" s="176">
        <v>23.2</v>
      </c>
      <c r="J116" s="176">
        <v>23.2</v>
      </c>
      <c r="K116" s="176">
        <v>5</v>
      </c>
      <c r="L116" s="176">
        <v>0</v>
      </c>
      <c r="M116" s="176" t="s">
        <v>148</v>
      </c>
      <c r="N116" s="176" t="s">
        <v>149</v>
      </c>
      <c r="O116" s="176" t="s">
        <v>150</v>
      </c>
      <c r="P116" s="176" t="s">
        <v>151</v>
      </c>
      <c r="Q116" s="176"/>
      <c r="R116" s="176" t="s">
        <v>4020</v>
      </c>
      <c r="S116" s="176"/>
      <c r="T116" s="176" t="s">
        <v>2645</v>
      </c>
      <c r="U116" s="176" t="s">
        <v>152</v>
      </c>
      <c r="V116" s="176" t="s">
        <v>23</v>
      </c>
    </row>
    <row r="117" spans="1:22" ht="12.75" customHeight="1">
      <c r="A117" s="65"/>
      <c r="B117" s="211">
        <v>46237</v>
      </c>
      <c r="C117" s="211">
        <v>46237</v>
      </c>
      <c r="D117" s="176" t="s">
        <v>4021</v>
      </c>
      <c r="E117" s="176" t="s">
        <v>4022</v>
      </c>
      <c r="F117" s="176" t="s">
        <v>87</v>
      </c>
      <c r="G117" s="176" t="s">
        <v>1678</v>
      </c>
      <c r="H117" s="176">
        <v>30</v>
      </c>
      <c r="I117" s="176">
        <v>28.4</v>
      </c>
      <c r="J117" s="176">
        <v>28.4</v>
      </c>
      <c r="K117" s="176">
        <v>4</v>
      </c>
      <c r="L117" s="176">
        <v>0</v>
      </c>
      <c r="M117" s="176" t="s">
        <v>148</v>
      </c>
      <c r="N117" s="176" t="s">
        <v>149</v>
      </c>
      <c r="O117" s="176" t="s">
        <v>150</v>
      </c>
      <c r="P117" s="176" t="s">
        <v>151</v>
      </c>
      <c r="Q117" s="176"/>
      <c r="R117" s="176" t="s">
        <v>4022</v>
      </c>
      <c r="S117" s="176"/>
      <c r="T117" s="176" t="s">
        <v>2645</v>
      </c>
      <c r="U117" s="176" t="s">
        <v>152</v>
      </c>
      <c r="V117" s="176" t="s">
        <v>23</v>
      </c>
    </row>
    <row r="118" spans="1:22" ht="12.75" customHeight="1">
      <c r="A118" s="65"/>
      <c r="B118" s="211">
        <v>46237</v>
      </c>
      <c r="C118" s="211">
        <v>46237</v>
      </c>
      <c r="D118" s="176" t="s">
        <v>4023</v>
      </c>
      <c r="E118" s="176" t="s">
        <v>4024</v>
      </c>
      <c r="F118" s="176" t="s">
        <v>87</v>
      </c>
      <c r="G118" s="176" t="s">
        <v>1678</v>
      </c>
      <c r="H118" s="176">
        <v>30</v>
      </c>
      <c r="I118" s="176">
        <v>28.8</v>
      </c>
      <c r="J118" s="176">
        <v>28.8</v>
      </c>
      <c r="K118" s="176">
        <v>4</v>
      </c>
      <c r="L118" s="176">
        <v>0</v>
      </c>
      <c r="M118" s="176" t="s">
        <v>148</v>
      </c>
      <c r="N118" s="176" t="s">
        <v>149</v>
      </c>
      <c r="O118" s="176" t="s">
        <v>150</v>
      </c>
      <c r="P118" s="176" t="s">
        <v>151</v>
      </c>
      <c r="Q118" s="176"/>
      <c r="R118" s="176" t="s">
        <v>4024</v>
      </c>
      <c r="S118" s="176"/>
      <c r="T118" s="176" t="s">
        <v>2645</v>
      </c>
      <c r="U118" s="176" t="s">
        <v>152</v>
      </c>
      <c r="V118" s="176" t="s">
        <v>23</v>
      </c>
    </row>
    <row r="119" spans="1:22" ht="12.75" customHeight="1">
      <c r="A119" s="65"/>
      <c r="B119" s="211">
        <v>46237</v>
      </c>
      <c r="C119" s="211">
        <v>46237</v>
      </c>
      <c r="D119" s="176" t="s">
        <v>4025</v>
      </c>
      <c r="E119" s="176" t="s">
        <v>4026</v>
      </c>
      <c r="F119" s="176" t="s">
        <v>87</v>
      </c>
      <c r="G119" s="176" t="s">
        <v>4000</v>
      </c>
      <c r="H119" s="176">
        <v>50</v>
      </c>
      <c r="I119" s="176">
        <v>42.3</v>
      </c>
      <c r="J119" s="176">
        <v>42.3</v>
      </c>
      <c r="K119" s="176">
        <v>5</v>
      </c>
      <c r="L119" s="176">
        <v>0</v>
      </c>
      <c r="M119" s="176" t="s">
        <v>148</v>
      </c>
      <c r="N119" s="176" t="s">
        <v>149</v>
      </c>
      <c r="O119" s="176" t="s">
        <v>150</v>
      </c>
      <c r="P119" s="176" t="s">
        <v>151</v>
      </c>
      <c r="Q119" s="176"/>
      <c r="R119" s="176" t="s">
        <v>4026</v>
      </c>
      <c r="S119" s="176"/>
      <c r="T119" s="176" t="s">
        <v>2645</v>
      </c>
      <c r="U119" s="176" t="s">
        <v>152</v>
      </c>
      <c r="V119" s="176" t="s">
        <v>23</v>
      </c>
    </row>
    <row r="120" spans="1:22" ht="12.75" customHeight="1">
      <c r="A120" s="65"/>
      <c r="B120" s="211">
        <v>46237</v>
      </c>
      <c r="C120" s="211">
        <v>46237</v>
      </c>
      <c r="D120" s="176" t="s">
        <v>4027</v>
      </c>
      <c r="E120" s="176" t="s">
        <v>4028</v>
      </c>
      <c r="F120" s="176" t="s">
        <v>87</v>
      </c>
      <c r="G120" s="176" t="s">
        <v>2513</v>
      </c>
      <c r="H120" s="176">
        <v>25</v>
      </c>
      <c r="I120" s="176">
        <v>43.8</v>
      </c>
      <c r="J120" s="176">
        <v>43.8</v>
      </c>
      <c r="K120" s="176">
        <v>4</v>
      </c>
      <c r="L120" s="176">
        <v>0</v>
      </c>
      <c r="M120" s="176" t="s">
        <v>148</v>
      </c>
      <c r="N120" s="176" t="s">
        <v>149</v>
      </c>
      <c r="O120" s="176" t="s">
        <v>150</v>
      </c>
      <c r="P120" s="176" t="s">
        <v>151</v>
      </c>
      <c r="Q120" s="176"/>
      <c r="R120" s="176" t="s">
        <v>4028</v>
      </c>
      <c r="S120" s="176"/>
      <c r="T120" s="176" t="s">
        <v>2645</v>
      </c>
      <c r="U120" s="176" t="s">
        <v>152</v>
      </c>
      <c r="V120" s="176" t="s">
        <v>23</v>
      </c>
    </row>
    <row r="121" spans="1:22" ht="12.75" customHeight="1">
      <c r="A121" s="65"/>
      <c r="B121" s="211">
        <v>46237</v>
      </c>
      <c r="C121" s="211">
        <v>46237</v>
      </c>
      <c r="D121" s="176" t="s">
        <v>4029</v>
      </c>
      <c r="E121" s="176" t="s">
        <v>4030</v>
      </c>
      <c r="F121" s="176" t="s">
        <v>87</v>
      </c>
      <c r="G121" s="176" t="s">
        <v>2334</v>
      </c>
      <c r="H121" s="176">
        <v>40</v>
      </c>
      <c r="I121" s="176">
        <v>43.9</v>
      </c>
      <c r="J121" s="176">
        <v>43.9</v>
      </c>
      <c r="K121" s="176">
        <v>5</v>
      </c>
      <c r="L121" s="176">
        <v>0</v>
      </c>
      <c r="M121" s="176" t="s">
        <v>148</v>
      </c>
      <c r="N121" s="176" t="s">
        <v>149</v>
      </c>
      <c r="O121" s="176" t="s">
        <v>150</v>
      </c>
      <c r="P121" s="176" t="s">
        <v>151</v>
      </c>
      <c r="Q121" s="176"/>
      <c r="R121" s="176" t="s">
        <v>4030</v>
      </c>
      <c r="S121" s="176"/>
      <c r="T121" s="176" t="s">
        <v>2645</v>
      </c>
      <c r="U121" s="176" t="s">
        <v>152</v>
      </c>
      <c r="V121" s="176" t="s">
        <v>23</v>
      </c>
    </row>
    <row r="122" spans="1:22" ht="12.75" customHeight="1">
      <c r="A122" s="65"/>
      <c r="B122" s="211">
        <v>46237</v>
      </c>
      <c r="C122" s="211">
        <v>46237</v>
      </c>
      <c r="D122" s="176" t="s">
        <v>4031</v>
      </c>
      <c r="E122" s="176" t="s">
        <v>4032</v>
      </c>
      <c r="F122" s="176" t="s">
        <v>87</v>
      </c>
      <c r="G122" s="176" t="s">
        <v>2078</v>
      </c>
      <c r="H122" s="176">
        <v>6</v>
      </c>
      <c r="I122" s="176">
        <v>15.8</v>
      </c>
      <c r="J122" s="176">
        <v>15.8</v>
      </c>
      <c r="K122" s="176">
        <v>1.5</v>
      </c>
      <c r="L122" s="176">
        <v>0</v>
      </c>
      <c r="M122" s="176" t="s">
        <v>148</v>
      </c>
      <c r="N122" s="176" t="s">
        <v>149</v>
      </c>
      <c r="O122" s="176" t="s">
        <v>150</v>
      </c>
      <c r="P122" s="176" t="s">
        <v>151</v>
      </c>
      <c r="Q122" s="176"/>
      <c r="R122" s="176" t="s">
        <v>4032</v>
      </c>
      <c r="S122" s="176"/>
      <c r="T122" s="176" t="s">
        <v>2645</v>
      </c>
      <c r="U122" s="176" t="s">
        <v>152</v>
      </c>
      <c r="V122" s="176" t="s">
        <v>23</v>
      </c>
    </row>
    <row r="123" spans="1:22" ht="12.75" customHeight="1">
      <c r="A123" s="65"/>
      <c r="B123" s="211">
        <v>46237</v>
      </c>
      <c r="C123" s="211">
        <v>46237</v>
      </c>
      <c r="D123" s="176" t="s">
        <v>4033</v>
      </c>
      <c r="E123" s="176" t="s">
        <v>4034</v>
      </c>
      <c r="F123" s="176" t="s">
        <v>87</v>
      </c>
      <c r="G123" s="176" t="s">
        <v>2334</v>
      </c>
      <c r="H123" s="176">
        <v>40</v>
      </c>
      <c r="I123" s="176">
        <v>26.8</v>
      </c>
      <c r="J123" s="176">
        <v>26.8</v>
      </c>
      <c r="K123" s="176">
        <v>5</v>
      </c>
      <c r="L123" s="176">
        <v>0</v>
      </c>
      <c r="M123" s="176" t="s">
        <v>148</v>
      </c>
      <c r="N123" s="176" t="s">
        <v>149</v>
      </c>
      <c r="O123" s="176" t="s">
        <v>150</v>
      </c>
      <c r="P123" s="176" t="s">
        <v>151</v>
      </c>
      <c r="Q123" s="176"/>
      <c r="R123" s="176" t="s">
        <v>4034</v>
      </c>
      <c r="S123" s="176"/>
      <c r="T123" s="176" t="s">
        <v>2645</v>
      </c>
      <c r="U123" s="176" t="s">
        <v>152</v>
      </c>
      <c r="V123" s="176" t="s">
        <v>23</v>
      </c>
    </row>
    <row r="124" spans="1:22" ht="12.75" customHeight="1">
      <c r="A124" s="65"/>
      <c r="B124" s="211">
        <v>46237</v>
      </c>
      <c r="C124" s="211">
        <v>46237</v>
      </c>
      <c r="D124" s="176" t="s">
        <v>4035</v>
      </c>
      <c r="E124" s="176" t="s">
        <v>4036</v>
      </c>
      <c r="F124" s="176" t="s">
        <v>87</v>
      </c>
      <c r="G124" s="176" t="s">
        <v>2513</v>
      </c>
      <c r="H124" s="176">
        <v>25</v>
      </c>
      <c r="I124" s="176">
        <v>41.2</v>
      </c>
      <c r="J124" s="176">
        <v>41.2</v>
      </c>
      <c r="K124" s="176">
        <v>4</v>
      </c>
      <c r="L124" s="176">
        <v>0</v>
      </c>
      <c r="M124" s="176" t="s">
        <v>148</v>
      </c>
      <c r="N124" s="176" t="s">
        <v>149</v>
      </c>
      <c r="O124" s="176" t="s">
        <v>150</v>
      </c>
      <c r="P124" s="176" t="s">
        <v>151</v>
      </c>
      <c r="Q124" s="176"/>
      <c r="R124" s="176" t="s">
        <v>4036</v>
      </c>
      <c r="S124" s="176"/>
      <c r="T124" s="176" t="s">
        <v>2645</v>
      </c>
      <c r="U124" s="176" t="s">
        <v>152</v>
      </c>
      <c r="V124" s="176" t="s">
        <v>23</v>
      </c>
    </row>
    <row r="125" spans="1:22" ht="12.75" customHeight="1">
      <c r="A125" s="65"/>
      <c r="B125" s="211">
        <v>46237</v>
      </c>
      <c r="C125" s="211">
        <v>46237</v>
      </c>
      <c r="D125" s="176" t="s">
        <v>4037</v>
      </c>
      <c r="E125" s="176" t="s">
        <v>4038</v>
      </c>
      <c r="F125" s="176" t="s">
        <v>87</v>
      </c>
      <c r="G125" s="176" t="s">
        <v>2513</v>
      </c>
      <c r="H125" s="176">
        <v>25</v>
      </c>
      <c r="I125" s="176">
        <v>41.4</v>
      </c>
      <c r="J125" s="176">
        <v>41.4</v>
      </c>
      <c r="K125" s="176">
        <v>4</v>
      </c>
      <c r="L125" s="176">
        <v>0</v>
      </c>
      <c r="M125" s="176" t="s">
        <v>148</v>
      </c>
      <c r="N125" s="176" t="s">
        <v>149</v>
      </c>
      <c r="O125" s="176" t="s">
        <v>150</v>
      </c>
      <c r="P125" s="176" t="s">
        <v>151</v>
      </c>
      <c r="Q125" s="176"/>
      <c r="R125" s="176" t="s">
        <v>4038</v>
      </c>
      <c r="S125" s="176"/>
      <c r="T125" s="176" t="s">
        <v>2645</v>
      </c>
      <c r="U125" s="176" t="s">
        <v>152</v>
      </c>
      <c r="V125" s="176" t="s">
        <v>23</v>
      </c>
    </row>
    <row r="126" spans="1:22" ht="12.75" customHeight="1">
      <c r="A126" s="65"/>
      <c r="B126" s="211">
        <v>46237</v>
      </c>
      <c r="C126" s="211">
        <v>46237</v>
      </c>
      <c r="D126" s="176" t="s">
        <v>4039</v>
      </c>
      <c r="E126" s="176" t="s">
        <v>4040</v>
      </c>
      <c r="F126" s="176" t="s">
        <v>87</v>
      </c>
      <c r="G126" s="176" t="s">
        <v>2334</v>
      </c>
      <c r="H126" s="176">
        <v>40</v>
      </c>
      <c r="I126" s="176">
        <v>31.4</v>
      </c>
      <c r="J126" s="176">
        <v>31.4</v>
      </c>
      <c r="K126" s="176">
        <v>5</v>
      </c>
      <c r="L126" s="176">
        <v>0</v>
      </c>
      <c r="M126" s="176" t="s">
        <v>148</v>
      </c>
      <c r="N126" s="176" t="s">
        <v>149</v>
      </c>
      <c r="O126" s="176" t="s">
        <v>150</v>
      </c>
      <c r="P126" s="176" t="s">
        <v>151</v>
      </c>
      <c r="Q126" s="176"/>
      <c r="R126" s="176" t="s">
        <v>4040</v>
      </c>
      <c r="S126" s="176"/>
      <c r="T126" s="176" t="s">
        <v>2645</v>
      </c>
      <c r="U126" s="176" t="s">
        <v>152</v>
      </c>
      <c r="V126" s="176" t="s">
        <v>23</v>
      </c>
    </row>
    <row r="127" spans="1:22" ht="12.75" customHeight="1">
      <c r="A127" s="65"/>
      <c r="B127" s="211">
        <v>46237</v>
      </c>
      <c r="C127" s="211">
        <v>46237</v>
      </c>
      <c r="D127" s="176" t="s">
        <v>4041</v>
      </c>
      <c r="E127" s="176" t="s">
        <v>4042</v>
      </c>
      <c r="F127" s="176" t="s">
        <v>87</v>
      </c>
      <c r="G127" s="176" t="s">
        <v>2514</v>
      </c>
      <c r="H127" s="176">
        <v>55</v>
      </c>
      <c r="I127" s="176">
        <v>38.5</v>
      </c>
      <c r="J127" s="176">
        <v>38.5</v>
      </c>
      <c r="K127" s="176">
        <v>5</v>
      </c>
      <c r="L127" s="176">
        <v>0</v>
      </c>
      <c r="M127" s="176" t="s">
        <v>148</v>
      </c>
      <c r="N127" s="176" t="s">
        <v>149</v>
      </c>
      <c r="O127" s="176" t="s">
        <v>150</v>
      </c>
      <c r="P127" s="176" t="s">
        <v>151</v>
      </c>
      <c r="Q127" s="176"/>
      <c r="R127" s="176" t="s">
        <v>4042</v>
      </c>
      <c r="S127" s="176"/>
      <c r="T127" s="176" t="s">
        <v>2645</v>
      </c>
      <c r="U127" s="176" t="s">
        <v>152</v>
      </c>
      <c r="V127" s="176" t="s">
        <v>23</v>
      </c>
    </row>
    <row r="128" spans="1:22" ht="12.75" customHeight="1">
      <c r="A128" s="65"/>
      <c r="B128" s="211">
        <v>46237</v>
      </c>
      <c r="C128" s="211">
        <v>46237</v>
      </c>
      <c r="D128" s="176" t="s">
        <v>4043</v>
      </c>
      <c r="E128" s="176" t="s">
        <v>4044</v>
      </c>
      <c r="F128" s="176" t="s">
        <v>87</v>
      </c>
      <c r="G128" s="176" t="s">
        <v>2514</v>
      </c>
      <c r="H128" s="176">
        <v>55</v>
      </c>
      <c r="I128" s="176">
        <v>40.799999999999997</v>
      </c>
      <c r="J128" s="176">
        <v>40.799999999999997</v>
      </c>
      <c r="K128" s="176">
        <v>5</v>
      </c>
      <c r="L128" s="176">
        <v>0</v>
      </c>
      <c r="M128" s="176" t="s">
        <v>148</v>
      </c>
      <c r="N128" s="176" t="s">
        <v>149</v>
      </c>
      <c r="O128" s="176" t="s">
        <v>150</v>
      </c>
      <c r="P128" s="176" t="s">
        <v>151</v>
      </c>
      <c r="Q128" s="176"/>
      <c r="R128" s="176" t="s">
        <v>4044</v>
      </c>
      <c r="S128" s="176"/>
      <c r="T128" s="176" t="s">
        <v>2645</v>
      </c>
      <c r="U128" s="176" t="s">
        <v>152</v>
      </c>
      <c r="V128" s="176" t="s">
        <v>23</v>
      </c>
    </row>
    <row r="129" spans="1:22" ht="12.75" customHeight="1">
      <c r="A129" s="65"/>
      <c r="B129" s="211">
        <v>46237</v>
      </c>
      <c r="C129" s="211">
        <v>46237</v>
      </c>
      <c r="D129" s="176" t="s">
        <v>4045</v>
      </c>
      <c r="E129" s="176" t="s">
        <v>4046</v>
      </c>
      <c r="F129" s="176" t="s">
        <v>87</v>
      </c>
      <c r="G129" s="176" t="s">
        <v>2512</v>
      </c>
      <c r="H129" s="176">
        <v>40</v>
      </c>
      <c r="I129" s="176">
        <v>28</v>
      </c>
      <c r="J129" s="176">
        <v>28</v>
      </c>
      <c r="K129" s="176">
        <v>5</v>
      </c>
      <c r="L129" s="176">
        <v>0</v>
      </c>
      <c r="M129" s="176" t="s">
        <v>148</v>
      </c>
      <c r="N129" s="176" t="s">
        <v>149</v>
      </c>
      <c r="O129" s="176" t="s">
        <v>150</v>
      </c>
      <c r="P129" s="176" t="s">
        <v>151</v>
      </c>
      <c r="Q129" s="176"/>
      <c r="R129" s="176" t="s">
        <v>4046</v>
      </c>
      <c r="S129" s="176"/>
      <c r="T129" s="176" t="s">
        <v>2645</v>
      </c>
      <c r="U129" s="176" t="s">
        <v>152</v>
      </c>
      <c r="V129" s="176" t="s">
        <v>23</v>
      </c>
    </row>
    <row r="130" spans="1:22" ht="12.75" customHeight="1">
      <c r="A130" s="65"/>
      <c r="B130" s="211">
        <v>46237</v>
      </c>
      <c r="C130" s="211">
        <v>46237</v>
      </c>
      <c r="D130" s="176" t="s">
        <v>4047</v>
      </c>
      <c r="E130" s="176" t="s">
        <v>4048</v>
      </c>
      <c r="F130" s="176" t="s">
        <v>87</v>
      </c>
      <c r="G130" s="176" t="s">
        <v>2514</v>
      </c>
      <c r="H130" s="176">
        <v>55</v>
      </c>
      <c r="I130" s="176">
        <v>28.4</v>
      </c>
      <c r="J130" s="176">
        <v>28.4</v>
      </c>
      <c r="K130" s="176">
        <v>5</v>
      </c>
      <c r="L130" s="176">
        <v>0</v>
      </c>
      <c r="M130" s="176" t="s">
        <v>148</v>
      </c>
      <c r="N130" s="176" t="s">
        <v>149</v>
      </c>
      <c r="O130" s="176" t="s">
        <v>150</v>
      </c>
      <c r="P130" s="176" t="s">
        <v>151</v>
      </c>
      <c r="Q130" s="176"/>
      <c r="R130" s="176" t="s">
        <v>4048</v>
      </c>
      <c r="S130" s="176"/>
      <c r="T130" s="176" t="s">
        <v>2645</v>
      </c>
      <c r="U130" s="176" t="s">
        <v>152</v>
      </c>
      <c r="V130" s="176" t="s">
        <v>23</v>
      </c>
    </row>
    <row r="131" spans="1:22" ht="12.75" customHeight="1">
      <c r="A131" s="65"/>
      <c r="B131" s="211">
        <v>46237</v>
      </c>
      <c r="C131" s="211">
        <v>46237</v>
      </c>
      <c r="D131" s="176" t="s">
        <v>4049</v>
      </c>
      <c r="E131" s="176" t="s">
        <v>4050</v>
      </c>
      <c r="F131" s="176" t="s">
        <v>87</v>
      </c>
      <c r="G131" s="176" t="s">
        <v>2513</v>
      </c>
      <c r="H131" s="176">
        <v>25</v>
      </c>
      <c r="I131" s="176">
        <v>30.2</v>
      </c>
      <c r="J131" s="176">
        <v>30.2</v>
      </c>
      <c r="K131" s="176">
        <v>4</v>
      </c>
      <c r="L131" s="176">
        <v>0</v>
      </c>
      <c r="M131" s="176" t="s">
        <v>148</v>
      </c>
      <c r="N131" s="176" t="s">
        <v>149</v>
      </c>
      <c r="O131" s="176" t="s">
        <v>150</v>
      </c>
      <c r="P131" s="176" t="s">
        <v>151</v>
      </c>
      <c r="Q131" s="176"/>
      <c r="R131" s="176" t="s">
        <v>4050</v>
      </c>
      <c r="S131" s="176"/>
      <c r="T131" s="176" t="s">
        <v>2645</v>
      </c>
      <c r="U131" s="176" t="s">
        <v>152</v>
      </c>
      <c r="V131" s="176" t="s">
        <v>23</v>
      </c>
    </row>
    <row r="132" spans="1:22" ht="12.75" customHeight="1">
      <c r="A132" s="65"/>
      <c r="B132" s="211">
        <v>46237</v>
      </c>
      <c r="C132" s="211">
        <v>46237</v>
      </c>
      <c r="D132" s="176" t="s">
        <v>4051</v>
      </c>
      <c r="E132" s="176" t="s">
        <v>4052</v>
      </c>
      <c r="F132" s="176" t="s">
        <v>87</v>
      </c>
      <c r="G132" s="176" t="s">
        <v>2514</v>
      </c>
      <c r="H132" s="176">
        <v>55</v>
      </c>
      <c r="I132" s="176">
        <v>47.2</v>
      </c>
      <c r="J132" s="176">
        <v>47.2</v>
      </c>
      <c r="K132" s="176">
        <v>5</v>
      </c>
      <c r="L132" s="176">
        <v>0</v>
      </c>
      <c r="M132" s="176" t="s">
        <v>148</v>
      </c>
      <c r="N132" s="176" t="s">
        <v>149</v>
      </c>
      <c r="O132" s="176" t="s">
        <v>150</v>
      </c>
      <c r="P132" s="176" t="s">
        <v>151</v>
      </c>
      <c r="Q132" s="176"/>
      <c r="R132" s="176" t="s">
        <v>4052</v>
      </c>
      <c r="S132" s="176"/>
      <c r="T132" s="176" t="s">
        <v>2645</v>
      </c>
      <c r="U132" s="176" t="s">
        <v>152</v>
      </c>
      <c r="V132" s="176" t="s">
        <v>23</v>
      </c>
    </row>
    <row r="133" spans="1:22" ht="12.75" customHeight="1">
      <c r="A133" s="65"/>
      <c r="B133" s="211">
        <v>46237</v>
      </c>
      <c r="C133" s="211">
        <v>46237</v>
      </c>
      <c r="D133" s="176" t="s">
        <v>4053</v>
      </c>
      <c r="E133" s="176" t="s">
        <v>4054</v>
      </c>
      <c r="F133" s="176" t="s">
        <v>87</v>
      </c>
      <c r="G133" s="176" t="s">
        <v>2513</v>
      </c>
      <c r="H133" s="176">
        <v>25</v>
      </c>
      <c r="I133" s="176">
        <v>39.799999999999997</v>
      </c>
      <c r="J133" s="176">
        <v>39.799999999999997</v>
      </c>
      <c r="K133" s="176">
        <v>4</v>
      </c>
      <c r="L133" s="176">
        <v>0</v>
      </c>
      <c r="M133" s="176" t="s">
        <v>148</v>
      </c>
      <c r="N133" s="176" t="s">
        <v>149</v>
      </c>
      <c r="O133" s="176" t="s">
        <v>150</v>
      </c>
      <c r="P133" s="176" t="s">
        <v>151</v>
      </c>
      <c r="Q133" s="176"/>
      <c r="R133" s="176" t="s">
        <v>4054</v>
      </c>
      <c r="S133" s="176"/>
      <c r="T133" s="176" t="s">
        <v>2645</v>
      </c>
      <c r="U133" s="176" t="s">
        <v>152</v>
      </c>
      <c r="V133" s="176" t="s">
        <v>23</v>
      </c>
    </row>
    <row r="134" spans="1:22" ht="12.75" customHeight="1">
      <c r="A134" s="65"/>
      <c r="B134" s="211">
        <v>46237</v>
      </c>
      <c r="C134" s="211">
        <v>46237</v>
      </c>
      <c r="D134" s="176" t="s">
        <v>4055</v>
      </c>
      <c r="E134" s="176" t="s">
        <v>4056</v>
      </c>
      <c r="F134" s="176" t="s">
        <v>87</v>
      </c>
      <c r="G134" s="176" t="s">
        <v>2334</v>
      </c>
      <c r="H134" s="176">
        <v>40</v>
      </c>
      <c r="I134" s="176">
        <v>38</v>
      </c>
      <c r="J134" s="176">
        <v>38</v>
      </c>
      <c r="K134" s="176">
        <v>5</v>
      </c>
      <c r="L134" s="176">
        <v>0</v>
      </c>
      <c r="M134" s="176" t="s">
        <v>148</v>
      </c>
      <c r="N134" s="176" t="s">
        <v>149</v>
      </c>
      <c r="O134" s="176" t="s">
        <v>150</v>
      </c>
      <c r="P134" s="176" t="s">
        <v>151</v>
      </c>
      <c r="Q134" s="176"/>
      <c r="R134" s="176" t="s">
        <v>4056</v>
      </c>
      <c r="S134" s="176"/>
      <c r="T134" s="176" t="s">
        <v>2645</v>
      </c>
      <c r="U134" s="176" t="s">
        <v>152</v>
      </c>
      <c r="V134" s="176" t="s">
        <v>23</v>
      </c>
    </row>
    <row r="135" spans="1:22" ht="12.75" customHeight="1">
      <c r="A135" s="65"/>
      <c r="B135" s="211">
        <v>46237</v>
      </c>
      <c r="C135" s="211">
        <v>46237</v>
      </c>
      <c r="D135" s="176" t="s">
        <v>4057</v>
      </c>
      <c r="E135" s="176" t="s">
        <v>4058</v>
      </c>
      <c r="F135" s="176" t="s">
        <v>87</v>
      </c>
      <c r="G135" s="176" t="s">
        <v>1966</v>
      </c>
      <c r="H135" s="176">
        <v>6</v>
      </c>
      <c r="I135" s="176">
        <v>25.9</v>
      </c>
      <c r="J135" s="176">
        <v>25.9</v>
      </c>
      <c r="K135" s="176">
        <v>1.5</v>
      </c>
      <c r="L135" s="176">
        <v>0</v>
      </c>
      <c r="M135" s="176" t="s">
        <v>148</v>
      </c>
      <c r="N135" s="176" t="s">
        <v>149</v>
      </c>
      <c r="O135" s="176" t="s">
        <v>150</v>
      </c>
      <c r="P135" s="176" t="s">
        <v>151</v>
      </c>
      <c r="Q135" s="176"/>
      <c r="R135" s="176" t="s">
        <v>4058</v>
      </c>
      <c r="S135" s="176"/>
      <c r="T135" s="176" t="s">
        <v>2645</v>
      </c>
      <c r="U135" s="176" t="s">
        <v>152</v>
      </c>
      <c r="V135" s="176" t="s">
        <v>23</v>
      </c>
    </row>
    <row r="136" spans="1:22" ht="12.75" customHeight="1">
      <c r="A136" s="65"/>
      <c r="B136" s="211">
        <v>46237</v>
      </c>
      <c r="C136" s="211">
        <v>46237</v>
      </c>
      <c r="D136" s="176" t="s">
        <v>4059</v>
      </c>
      <c r="E136" s="176" t="s">
        <v>4060</v>
      </c>
      <c r="F136" s="176" t="s">
        <v>87</v>
      </c>
      <c r="G136" s="176" t="s">
        <v>2513</v>
      </c>
      <c r="H136" s="176">
        <v>25</v>
      </c>
      <c r="I136" s="176">
        <v>33.4</v>
      </c>
      <c r="J136" s="176">
        <v>33.4</v>
      </c>
      <c r="K136" s="176">
        <v>4</v>
      </c>
      <c r="L136" s="176">
        <v>0</v>
      </c>
      <c r="M136" s="176" t="s">
        <v>148</v>
      </c>
      <c r="N136" s="176" t="s">
        <v>149</v>
      </c>
      <c r="O136" s="176" t="s">
        <v>150</v>
      </c>
      <c r="P136" s="176" t="s">
        <v>151</v>
      </c>
      <c r="Q136" s="176"/>
      <c r="R136" s="176" t="s">
        <v>4060</v>
      </c>
      <c r="S136" s="176"/>
      <c r="T136" s="176" t="s">
        <v>2645</v>
      </c>
      <c r="U136" s="176" t="s">
        <v>152</v>
      </c>
      <c r="V136" s="176" t="s">
        <v>23</v>
      </c>
    </row>
    <row r="137" spans="1:22" ht="12.75" customHeight="1">
      <c r="A137" s="65"/>
      <c r="B137" s="211">
        <v>46237</v>
      </c>
      <c r="C137" s="211">
        <v>46237</v>
      </c>
      <c r="D137" s="176" t="s">
        <v>4061</v>
      </c>
      <c r="E137" s="176" t="s">
        <v>4062</v>
      </c>
      <c r="F137" s="176" t="s">
        <v>87</v>
      </c>
      <c r="G137" s="176" t="s">
        <v>2334</v>
      </c>
      <c r="H137" s="176">
        <v>40</v>
      </c>
      <c r="I137" s="176">
        <v>19.3</v>
      </c>
      <c r="J137" s="176">
        <v>19.3</v>
      </c>
      <c r="K137" s="176">
        <v>5</v>
      </c>
      <c r="L137" s="176">
        <v>0</v>
      </c>
      <c r="M137" s="176" t="s">
        <v>148</v>
      </c>
      <c r="N137" s="176" t="s">
        <v>149</v>
      </c>
      <c r="O137" s="176" t="s">
        <v>150</v>
      </c>
      <c r="P137" s="176" t="s">
        <v>151</v>
      </c>
      <c r="Q137" s="176"/>
      <c r="R137" s="176" t="s">
        <v>4062</v>
      </c>
      <c r="S137" s="176"/>
      <c r="T137" s="176" t="s">
        <v>2645</v>
      </c>
      <c r="U137" s="176" t="s">
        <v>152</v>
      </c>
      <c r="V137" s="176" t="s">
        <v>23</v>
      </c>
    </row>
    <row r="138" spans="1:22" ht="12.75" customHeight="1">
      <c r="A138" s="65"/>
      <c r="B138" s="211">
        <v>46237</v>
      </c>
      <c r="C138" s="211">
        <v>46237</v>
      </c>
      <c r="D138" s="176" t="s">
        <v>4063</v>
      </c>
      <c r="E138" s="176" t="s">
        <v>4064</v>
      </c>
      <c r="F138" s="176" t="s">
        <v>87</v>
      </c>
      <c r="G138" s="176" t="s">
        <v>2334</v>
      </c>
      <c r="H138" s="176">
        <v>40</v>
      </c>
      <c r="I138" s="176">
        <v>39.4</v>
      </c>
      <c r="J138" s="176">
        <v>39.4</v>
      </c>
      <c r="K138" s="176">
        <v>5</v>
      </c>
      <c r="L138" s="176">
        <v>0</v>
      </c>
      <c r="M138" s="176" t="s">
        <v>148</v>
      </c>
      <c r="N138" s="176" t="s">
        <v>149</v>
      </c>
      <c r="O138" s="176" t="s">
        <v>150</v>
      </c>
      <c r="P138" s="176" t="s">
        <v>151</v>
      </c>
      <c r="Q138" s="176"/>
      <c r="R138" s="176" t="s">
        <v>4064</v>
      </c>
      <c r="S138" s="176"/>
      <c r="T138" s="176" t="s">
        <v>2645</v>
      </c>
      <c r="U138" s="176" t="s">
        <v>152</v>
      </c>
      <c r="V138" s="176" t="s">
        <v>23</v>
      </c>
    </row>
    <row r="139" spans="1:22" ht="12.75" customHeight="1">
      <c r="A139" s="65"/>
      <c r="B139" s="211">
        <v>46237</v>
      </c>
      <c r="C139" s="211">
        <v>46237</v>
      </c>
      <c r="D139" s="176" t="s">
        <v>4065</v>
      </c>
      <c r="E139" s="176" t="s">
        <v>4066</v>
      </c>
      <c r="F139" s="176" t="s">
        <v>87</v>
      </c>
      <c r="G139" s="176" t="s">
        <v>2514</v>
      </c>
      <c r="H139" s="176">
        <v>55</v>
      </c>
      <c r="I139" s="176">
        <v>45.2</v>
      </c>
      <c r="J139" s="176">
        <v>45.2</v>
      </c>
      <c r="K139" s="176">
        <v>5</v>
      </c>
      <c r="L139" s="176">
        <v>0</v>
      </c>
      <c r="M139" s="176" t="s">
        <v>148</v>
      </c>
      <c r="N139" s="176" t="s">
        <v>149</v>
      </c>
      <c r="O139" s="176" t="s">
        <v>150</v>
      </c>
      <c r="P139" s="176" t="s">
        <v>151</v>
      </c>
      <c r="Q139" s="176"/>
      <c r="R139" s="176" t="s">
        <v>4066</v>
      </c>
      <c r="S139" s="176"/>
      <c r="T139" s="176" t="s">
        <v>2645</v>
      </c>
      <c r="U139" s="176" t="s">
        <v>152</v>
      </c>
      <c r="V139" s="176" t="s">
        <v>23</v>
      </c>
    </row>
    <row r="140" spans="1:22" ht="12.75" customHeight="1">
      <c r="A140" s="65"/>
      <c r="B140" s="211">
        <v>46237</v>
      </c>
      <c r="C140" s="211">
        <v>46237</v>
      </c>
      <c r="D140" s="176" t="s">
        <v>4067</v>
      </c>
      <c r="E140" s="176" t="s">
        <v>4068</v>
      </c>
      <c r="F140" s="176" t="s">
        <v>87</v>
      </c>
      <c r="G140" s="176" t="s">
        <v>2514</v>
      </c>
      <c r="H140" s="176">
        <v>55</v>
      </c>
      <c r="I140" s="176">
        <v>46.1</v>
      </c>
      <c r="J140" s="176">
        <v>46.1</v>
      </c>
      <c r="K140" s="176">
        <v>5</v>
      </c>
      <c r="L140" s="176">
        <v>0</v>
      </c>
      <c r="M140" s="176" t="s">
        <v>148</v>
      </c>
      <c r="N140" s="176" t="s">
        <v>149</v>
      </c>
      <c r="O140" s="176" t="s">
        <v>150</v>
      </c>
      <c r="P140" s="176" t="s">
        <v>151</v>
      </c>
      <c r="Q140" s="176"/>
      <c r="R140" s="176" t="s">
        <v>4068</v>
      </c>
      <c r="S140" s="176"/>
      <c r="T140" s="176" t="s">
        <v>2645</v>
      </c>
      <c r="U140" s="176" t="s">
        <v>152</v>
      </c>
      <c r="V140" s="176" t="s">
        <v>23</v>
      </c>
    </row>
    <row r="141" spans="1:22" ht="12.75" customHeight="1">
      <c r="A141" s="65"/>
      <c r="B141" s="211">
        <v>46237</v>
      </c>
      <c r="C141" s="211">
        <v>46237</v>
      </c>
      <c r="D141" s="176" t="s">
        <v>4069</v>
      </c>
      <c r="E141" s="176" t="s">
        <v>4070</v>
      </c>
      <c r="F141" s="176" t="s">
        <v>87</v>
      </c>
      <c r="G141" s="176" t="s">
        <v>2334</v>
      </c>
      <c r="H141" s="176">
        <v>40</v>
      </c>
      <c r="I141" s="176">
        <v>31.2</v>
      </c>
      <c r="J141" s="176">
        <v>31.2</v>
      </c>
      <c r="K141" s="176">
        <v>5</v>
      </c>
      <c r="L141" s="176">
        <v>0</v>
      </c>
      <c r="M141" s="176" t="s">
        <v>148</v>
      </c>
      <c r="N141" s="176" t="s">
        <v>149</v>
      </c>
      <c r="O141" s="176" t="s">
        <v>150</v>
      </c>
      <c r="P141" s="176" t="s">
        <v>151</v>
      </c>
      <c r="Q141" s="176"/>
      <c r="R141" s="176" t="s">
        <v>4070</v>
      </c>
      <c r="S141" s="176"/>
      <c r="T141" s="176" t="s">
        <v>2645</v>
      </c>
      <c r="U141" s="176" t="s">
        <v>152</v>
      </c>
      <c r="V141" s="176" t="s">
        <v>23</v>
      </c>
    </row>
    <row r="142" spans="1:22" ht="12.75" customHeight="1">
      <c r="A142" s="65"/>
      <c r="B142" s="211">
        <v>46237</v>
      </c>
      <c r="C142" s="211">
        <v>46237</v>
      </c>
      <c r="D142" s="176" t="s">
        <v>4071</v>
      </c>
      <c r="E142" s="176" t="s">
        <v>4072</v>
      </c>
      <c r="F142" s="176" t="s">
        <v>87</v>
      </c>
      <c r="G142" s="176" t="s">
        <v>2514</v>
      </c>
      <c r="H142" s="176">
        <v>55</v>
      </c>
      <c r="I142" s="176">
        <v>40</v>
      </c>
      <c r="J142" s="176">
        <v>40</v>
      </c>
      <c r="K142" s="176">
        <v>5</v>
      </c>
      <c r="L142" s="176">
        <v>0</v>
      </c>
      <c r="M142" s="176" t="s">
        <v>148</v>
      </c>
      <c r="N142" s="176" t="s">
        <v>149</v>
      </c>
      <c r="O142" s="176" t="s">
        <v>150</v>
      </c>
      <c r="P142" s="176" t="s">
        <v>151</v>
      </c>
      <c r="Q142" s="176"/>
      <c r="R142" s="176" t="s">
        <v>4072</v>
      </c>
      <c r="S142" s="176"/>
      <c r="T142" s="176" t="s">
        <v>2645</v>
      </c>
      <c r="U142" s="176" t="s">
        <v>152</v>
      </c>
      <c r="V142" s="176" t="s">
        <v>23</v>
      </c>
    </row>
    <row r="143" spans="1:22" ht="12.75" customHeight="1">
      <c r="A143" s="65"/>
      <c r="B143" s="211">
        <v>46237</v>
      </c>
      <c r="C143" s="211">
        <v>46237</v>
      </c>
      <c r="D143" s="176" t="s">
        <v>4073</v>
      </c>
      <c r="E143" s="176" t="s">
        <v>4074</v>
      </c>
      <c r="F143" s="176" t="s">
        <v>87</v>
      </c>
      <c r="G143" s="176" t="s">
        <v>2514</v>
      </c>
      <c r="H143" s="176">
        <v>55</v>
      </c>
      <c r="I143" s="176">
        <v>42.8</v>
      </c>
      <c r="J143" s="176">
        <v>42.8</v>
      </c>
      <c r="K143" s="176">
        <v>5</v>
      </c>
      <c r="L143" s="176">
        <v>0</v>
      </c>
      <c r="M143" s="176" t="s">
        <v>148</v>
      </c>
      <c r="N143" s="176" t="s">
        <v>149</v>
      </c>
      <c r="O143" s="176" t="s">
        <v>150</v>
      </c>
      <c r="P143" s="176" t="s">
        <v>151</v>
      </c>
      <c r="Q143" s="176"/>
      <c r="R143" s="176" t="s">
        <v>4074</v>
      </c>
      <c r="S143" s="176"/>
      <c r="T143" s="176" t="s">
        <v>2645</v>
      </c>
      <c r="U143" s="176" t="s">
        <v>152</v>
      </c>
      <c r="V143" s="176" t="s">
        <v>23</v>
      </c>
    </row>
    <row r="144" spans="1:22" ht="12.75" customHeight="1">
      <c r="A144" s="65"/>
      <c r="B144" s="211">
        <v>46238</v>
      </c>
      <c r="C144" s="211">
        <v>46238</v>
      </c>
      <c r="D144" s="176" t="s">
        <v>4075</v>
      </c>
      <c r="E144" s="176" t="s">
        <v>4076</v>
      </c>
      <c r="F144" s="176" t="s">
        <v>87</v>
      </c>
      <c r="G144" s="176" t="s">
        <v>1678</v>
      </c>
      <c r="H144" s="176">
        <v>30</v>
      </c>
      <c r="I144" s="176">
        <v>34.799999999999997</v>
      </c>
      <c r="J144" s="176">
        <v>34.799999999999997</v>
      </c>
      <c r="K144" s="176">
        <v>4</v>
      </c>
      <c r="L144" s="176">
        <v>0</v>
      </c>
      <c r="M144" s="176" t="s">
        <v>148</v>
      </c>
      <c r="N144" s="176" t="s">
        <v>149</v>
      </c>
      <c r="O144" s="176" t="s">
        <v>150</v>
      </c>
      <c r="P144" s="176" t="s">
        <v>151</v>
      </c>
      <c r="Q144" s="176"/>
      <c r="R144" s="176" t="s">
        <v>4076</v>
      </c>
      <c r="S144" s="176"/>
      <c r="T144" s="176" t="s">
        <v>2653</v>
      </c>
      <c r="U144" s="176" t="s">
        <v>152</v>
      </c>
      <c r="V144" s="176" t="s">
        <v>23</v>
      </c>
    </row>
    <row r="145" spans="1:22" customFormat="1" ht="15" customHeight="1">
      <c r="A145" s="65"/>
      <c r="B145" s="211">
        <v>46238</v>
      </c>
      <c r="C145" s="211">
        <v>46238</v>
      </c>
      <c r="D145" s="176" t="s">
        <v>4077</v>
      </c>
      <c r="E145" s="176" t="s">
        <v>4078</v>
      </c>
      <c r="F145" s="176" t="s">
        <v>87</v>
      </c>
      <c r="G145" s="176" t="s">
        <v>2357</v>
      </c>
      <c r="H145" s="176">
        <v>40</v>
      </c>
      <c r="I145" s="176">
        <v>43.2</v>
      </c>
      <c r="J145" s="176">
        <v>43.2</v>
      </c>
      <c r="K145" s="176">
        <v>5</v>
      </c>
      <c r="L145" s="176">
        <v>0</v>
      </c>
      <c r="M145" s="176" t="s">
        <v>148</v>
      </c>
      <c r="N145" s="176" t="s">
        <v>149</v>
      </c>
      <c r="O145" s="176" t="s">
        <v>150</v>
      </c>
      <c r="P145" s="176" t="s">
        <v>151</v>
      </c>
      <c r="Q145" s="176"/>
      <c r="R145" s="176" t="s">
        <v>4078</v>
      </c>
      <c r="S145" s="176"/>
      <c r="T145" s="176" t="s">
        <v>2653</v>
      </c>
      <c r="U145" s="176" t="s">
        <v>152</v>
      </c>
      <c r="V145" s="176" t="s">
        <v>23</v>
      </c>
    </row>
    <row r="146" spans="1:22" customFormat="1" ht="15" customHeight="1">
      <c r="A146" s="65"/>
      <c r="B146" s="211">
        <v>46238</v>
      </c>
      <c r="C146" s="211">
        <v>46238</v>
      </c>
      <c r="D146" s="176" t="s">
        <v>4079</v>
      </c>
      <c r="E146" s="176" t="s">
        <v>4080</v>
      </c>
      <c r="F146" s="176" t="s">
        <v>87</v>
      </c>
      <c r="G146" s="176" t="s">
        <v>2357</v>
      </c>
      <c r="H146" s="176">
        <v>40</v>
      </c>
      <c r="I146" s="176">
        <v>34.200000000000003</v>
      </c>
      <c r="J146" s="176">
        <v>34.200000000000003</v>
      </c>
      <c r="K146" s="176">
        <v>5</v>
      </c>
      <c r="L146" s="176">
        <v>0</v>
      </c>
      <c r="M146" s="176" t="s">
        <v>148</v>
      </c>
      <c r="N146" s="176" t="s">
        <v>149</v>
      </c>
      <c r="O146" s="176" t="s">
        <v>150</v>
      </c>
      <c r="P146" s="176" t="s">
        <v>151</v>
      </c>
      <c r="Q146" s="176"/>
      <c r="R146" s="176" t="s">
        <v>4080</v>
      </c>
      <c r="S146" s="176"/>
      <c r="T146" s="176" t="s">
        <v>2653</v>
      </c>
      <c r="U146" s="176" t="s">
        <v>152</v>
      </c>
      <c r="V146" s="176" t="s">
        <v>23</v>
      </c>
    </row>
    <row r="147" spans="1:22" customFormat="1" ht="15" customHeight="1">
      <c r="A147" s="65"/>
      <c r="B147" s="211">
        <v>46238</v>
      </c>
      <c r="C147" s="211">
        <v>46238</v>
      </c>
      <c r="D147" s="176" t="s">
        <v>4081</v>
      </c>
      <c r="E147" s="176" t="s">
        <v>4082</v>
      </c>
      <c r="F147" s="176" t="s">
        <v>87</v>
      </c>
      <c r="G147" s="176" t="s">
        <v>4000</v>
      </c>
      <c r="H147" s="176">
        <v>50</v>
      </c>
      <c r="I147" s="176">
        <v>39.700000000000003</v>
      </c>
      <c r="J147" s="176">
        <v>39.700000000000003</v>
      </c>
      <c r="K147" s="176">
        <v>5</v>
      </c>
      <c r="L147" s="176">
        <v>0</v>
      </c>
      <c r="M147" s="176" t="s">
        <v>148</v>
      </c>
      <c r="N147" s="176" t="s">
        <v>149</v>
      </c>
      <c r="O147" s="176" t="s">
        <v>150</v>
      </c>
      <c r="P147" s="176" t="s">
        <v>151</v>
      </c>
      <c r="Q147" s="176"/>
      <c r="R147" s="176" t="s">
        <v>4082</v>
      </c>
      <c r="S147" s="176"/>
      <c r="T147" s="176" t="s">
        <v>2653</v>
      </c>
      <c r="U147" s="176" t="s">
        <v>152</v>
      </c>
      <c r="V147" s="176" t="s">
        <v>23</v>
      </c>
    </row>
    <row r="148" spans="1:22" customFormat="1" ht="15" customHeight="1">
      <c r="A148" s="65"/>
      <c r="B148" s="211">
        <v>46238</v>
      </c>
      <c r="C148" s="211">
        <v>46238</v>
      </c>
      <c r="D148" s="176" t="s">
        <v>4083</v>
      </c>
      <c r="E148" s="176" t="s">
        <v>4084</v>
      </c>
      <c r="F148" s="176" t="s">
        <v>87</v>
      </c>
      <c r="G148" s="176" t="s">
        <v>2357</v>
      </c>
      <c r="H148" s="176">
        <v>40</v>
      </c>
      <c r="I148" s="176">
        <v>38.799999999999997</v>
      </c>
      <c r="J148" s="176">
        <v>38.799999999999997</v>
      </c>
      <c r="K148" s="176">
        <v>5</v>
      </c>
      <c r="L148" s="176">
        <v>0</v>
      </c>
      <c r="M148" s="176" t="s">
        <v>148</v>
      </c>
      <c r="N148" s="176" t="s">
        <v>149</v>
      </c>
      <c r="O148" s="176" t="s">
        <v>150</v>
      </c>
      <c r="P148" s="176" t="s">
        <v>151</v>
      </c>
      <c r="Q148" s="176"/>
      <c r="R148" s="176" t="s">
        <v>4084</v>
      </c>
      <c r="S148" s="176"/>
      <c r="T148" s="176" t="s">
        <v>2653</v>
      </c>
      <c r="U148" s="176" t="s">
        <v>152</v>
      </c>
      <c r="V148" s="176" t="s">
        <v>23</v>
      </c>
    </row>
    <row r="149" spans="1:22" customFormat="1" ht="15" customHeight="1">
      <c r="A149" s="65"/>
      <c r="B149" s="211">
        <v>46238</v>
      </c>
      <c r="C149" s="211">
        <v>46238</v>
      </c>
      <c r="D149" s="176" t="s">
        <v>4085</v>
      </c>
      <c r="E149" s="176" t="s">
        <v>4086</v>
      </c>
      <c r="F149" s="176" t="s">
        <v>87</v>
      </c>
      <c r="G149" s="176" t="s">
        <v>2357</v>
      </c>
      <c r="H149" s="176">
        <v>40</v>
      </c>
      <c r="I149" s="176">
        <v>30.8</v>
      </c>
      <c r="J149" s="176">
        <v>30.8</v>
      </c>
      <c r="K149" s="176">
        <v>5</v>
      </c>
      <c r="L149" s="176">
        <v>0</v>
      </c>
      <c r="M149" s="176" t="s">
        <v>148</v>
      </c>
      <c r="N149" s="176" t="s">
        <v>149</v>
      </c>
      <c r="O149" s="176" t="s">
        <v>150</v>
      </c>
      <c r="P149" s="176" t="s">
        <v>151</v>
      </c>
      <c r="Q149" s="176"/>
      <c r="R149" s="176" t="s">
        <v>4086</v>
      </c>
      <c r="S149" s="176"/>
      <c r="T149" s="176" t="s">
        <v>2653</v>
      </c>
      <c r="U149" s="176" t="s">
        <v>152</v>
      </c>
      <c r="V149" s="176" t="s">
        <v>23</v>
      </c>
    </row>
    <row r="150" spans="1:22" customFormat="1" ht="15" customHeight="1">
      <c r="A150" s="65"/>
      <c r="B150" s="211">
        <v>46238</v>
      </c>
      <c r="C150" s="211">
        <v>46238</v>
      </c>
      <c r="D150" s="176" t="s">
        <v>4087</v>
      </c>
      <c r="E150" s="176" t="s">
        <v>4088</v>
      </c>
      <c r="F150" s="176" t="s">
        <v>87</v>
      </c>
      <c r="G150" s="176" t="s">
        <v>1678</v>
      </c>
      <c r="H150" s="176">
        <v>30</v>
      </c>
      <c r="I150" s="176">
        <v>34.799999999999997</v>
      </c>
      <c r="J150" s="176">
        <v>34.799999999999997</v>
      </c>
      <c r="K150" s="176">
        <v>4</v>
      </c>
      <c r="L150" s="176">
        <v>0</v>
      </c>
      <c r="M150" s="176" t="s">
        <v>148</v>
      </c>
      <c r="N150" s="176" t="s">
        <v>149</v>
      </c>
      <c r="O150" s="176" t="s">
        <v>150</v>
      </c>
      <c r="P150" s="176" t="s">
        <v>151</v>
      </c>
      <c r="Q150" s="176"/>
      <c r="R150" s="176" t="s">
        <v>4088</v>
      </c>
      <c r="S150" s="176"/>
      <c r="T150" s="176" t="s">
        <v>2653</v>
      </c>
      <c r="U150" s="176" t="s">
        <v>152</v>
      </c>
      <c r="V150" s="176" t="s">
        <v>23</v>
      </c>
    </row>
    <row r="151" spans="1:22" customFormat="1" ht="15" customHeight="1">
      <c r="A151" s="65"/>
      <c r="B151" s="211">
        <v>46238</v>
      </c>
      <c r="C151" s="211">
        <v>46238</v>
      </c>
      <c r="D151" s="176" t="s">
        <v>4089</v>
      </c>
      <c r="E151" s="176" t="s">
        <v>4090</v>
      </c>
      <c r="F151" s="176" t="s">
        <v>87</v>
      </c>
      <c r="G151" s="176" t="s">
        <v>2514</v>
      </c>
      <c r="H151" s="176">
        <v>55</v>
      </c>
      <c r="I151" s="176">
        <v>44</v>
      </c>
      <c r="J151" s="176">
        <v>44</v>
      </c>
      <c r="K151" s="176">
        <v>5</v>
      </c>
      <c r="L151" s="176">
        <v>0</v>
      </c>
      <c r="M151" s="176" t="s">
        <v>148</v>
      </c>
      <c r="N151" s="176" t="s">
        <v>149</v>
      </c>
      <c r="O151" s="176" t="s">
        <v>150</v>
      </c>
      <c r="P151" s="176" t="s">
        <v>151</v>
      </c>
      <c r="Q151" s="176"/>
      <c r="R151" s="176" t="s">
        <v>4090</v>
      </c>
      <c r="S151" s="176"/>
      <c r="T151" s="176" t="s">
        <v>2653</v>
      </c>
      <c r="U151" s="176" t="s">
        <v>152</v>
      </c>
      <c r="V151" s="176" t="s">
        <v>23</v>
      </c>
    </row>
    <row r="152" spans="1:22" ht="12.75" customHeight="1">
      <c r="A152" s="65"/>
      <c r="B152" s="211">
        <v>46238</v>
      </c>
      <c r="C152" s="211">
        <v>46238</v>
      </c>
      <c r="D152" s="176" t="s">
        <v>4091</v>
      </c>
      <c r="E152" s="176" t="s">
        <v>4092</v>
      </c>
      <c r="F152" s="176" t="s">
        <v>87</v>
      </c>
      <c r="G152" s="176" t="s">
        <v>1678</v>
      </c>
      <c r="H152" s="176">
        <v>30</v>
      </c>
      <c r="I152" s="176">
        <v>39.700000000000003</v>
      </c>
      <c r="J152" s="176">
        <v>39.700000000000003</v>
      </c>
      <c r="K152" s="176">
        <v>4</v>
      </c>
      <c r="L152" s="176">
        <v>0</v>
      </c>
      <c r="M152" s="176" t="s">
        <v>148</v>
      </c>
      <c r="N152" s="176" t="s">
        <v>149</v>
      </c>
      <c r="O152" s="176" t="s">
        <v>150</v>
      </c>
      <c r="P152" s="176" t="s">
        <v>151</v>
      </c>
      <c r="Q152" s="176"/>
      <c r="R152" s="176" t="s">
        <v>4092</v>
      </c>
      <c r="S152" s="176"/>
      <c r="T152" s="176" t="s">
        <v>2653</v>
      </c>
      <c r="U152" s="176" t="s">
        <v>152</v>
      </c>
      <c r="V152" s="176" t="s">
        <v>23</v>
      </c>
    </row>
    <row r="153" spans="1:22" ht="12.75" customHeight="1">
      <c r="A153" s="65"/>
      <c r="B153" s="211">
        <v>46238</v>
      </c>
      <c r="C153" s="211">
        <v>46238</v>
      </c>
      <c r="D153" s="176" t="s">
        <v>4093</v>
      </c>
      <c r="E153" s="176" t="s">
        <v>4094</v>
      </c>
      <c r="F153" s="176" t="s">
        <v>87</v>
      </c>
      <c r="G153" s="176" t="s">
        <v>1678</v>
      </c>
      <c r="H153" s="176">
        <v>30</v>
      </c>
      <c r="I153" s="176">
        <v>26.1</v>
      </c>
      <c r="J153" s="176">
        <v>26.1</v>
      </c>
      <c r="K153" s="176">
        <v>4</v>
      </c>
      <c r="L153" s="176">
        <v>0</v>
      </c>
      <c r="M153" s="176" t="s">
        <v>148</v>
      </c>
      <c r="N153" s="176" t="s">
        <v>149</v>
      </c>
      <c r="O153" s="176" t="s">
        <v>150</v>
      </c>
      <c r="P153" s="176" t="s">
        <v>151</v>
      </c>
      <c r="Q153" s="176"/>
      <c r="R153" s="176" t="s">
        <v>4094</v>
      </c>
      <c r="S153" s="176"/>
      <c r="T153" s="176" t="s">
        <v>2653</v>
      </c>
      <c r="U153" s="176" t="s">
        <v>152</v>
      </c>
      <c r="V153" s="176" t="s">
        <v>23</v>
      </c>
    </row>
    <row r="154" spans="1:22" ht="12.75" customHeight="1">
      <c r="A154" s="65"/>
      <c r="B154" s="211">
        <v>46238</v>
      </c>
      <c r="C154" s="211">
        <v>46238</v>
      </c>
      <c r="D154" s="176" t="s">
        <v>4095</v>
      </c>
      <c r="E154" s="176" t="s">
        <v>4096</v>
      </c>
      <c r="F154" s="176" t="s">
        <v>87</v>
      </c>
      <c r="G154" s="176" t="s">
        <v>2357</v>
      </c>
      <c r="H154" s="176">
        <v>40</v>
      </c>
      <c r="I154" s="176">
        <v>38.799999999999997</v>
      </c>
      <c r="J154" s="176">
        <v>38.799999999999997</v>
      </c>
      <c r="K154" s="176">
        <v>5</v>
      </c>
      <c r="L154" s="176">
        <v>0</v>
      </c>
      <c r="M154" s="176" t="s">
        <v>148</v>
      </c>
      <c r="N154" s="176" t="s">
        <v>149</v>
      </c>
      <c r="O154" s="176" t="s">
        <v>150</v>
      </c>
      <c r="P154" s="176" t="s">
        <v>151</v>
      </c>
      <c r="Q154" s="176"/>
      <c r="R154" s="176" t="s">
        <v>4096</v>
      </c>
      <c r="S154" s="176"/>
      <c r="T154" s="176" t="s">
        <v>2653</v>
      </c>
      <c r="U154" s="176" t="s">
        <v>152</v>
      </c>
      <c r="V154" s="176" t="s">
        <v>23</v>
      </c>
    </row>
    <row r="155" spans="1:22" ht="12.75" customHeight="1">
      <c r="A155" s="65"/>
      <c r="B155" s="211">
        <v>46238</v>
      </c>
      <c r="C155" s="211">
        <v>46238</v>
      </c>
      <c r="D155" s="176" t="s">
        <v>4097</v>
      </c>
      <c r="E155" s="176" t="s">
        <v>4098</v>
      </c>
      <c r="F155" s="176" t="s">
        <v>87</v>
      </c>
      <c r="G155" s="176" t="s">
        <v>2514</v>
      </c>
      <c r="H155" s="176">
        <v>55</v>
      </c>
      <c r="I155" s="176">
        <v>37.200000000000003</v>
      </c>
      <c r="J155" s="176">
        <v>37.200000000000003</v>
      </c>
      <c r="K155" s="176">
        <v>5</v>
      </c>
      <c r="L155" s="176">
        <v>0</v>
      </c>
      <c r="M155" s="176" t="s">
        <v>148</v>
      </c>
      <c r="N155" s="176" t="s">
        <v>149</v>
      </c>
      <c r="O155" s="176" t="s">
        <v>150</v>
      </c>
      <c r="P155" s="176" t="s">
        <v>151</v>
      </c>
      <c r="Q155" s="176"/>
      <c r="R155" s="176" t="s">
        <v>4098</v>
      </c>
      <c r="S155" s="176"/>
      <c r="T155" s="176" t="s">
        <v>2653</v>
      </c>
      <c r="U155" s="176" t="s">
        <v>152</v>
      </c>
      <c r="V155" s="176" t="s">
        <v>23</v>
      </c>
    </row>
    <row r="156" spans="1:22" ht="12.75" customHeight="1">
      <c r="A156" s="65"/>
      <c r="B156" s="211">
        <v>46238</v>
      </c>
      <c r="C156" s="211">
        <v>46238</v>
      </c>
      <c r="D156" s="176" t="s">
        <v>4099</v>
      </c>
      <c r="E156" s="176" t="s">
        <v>4100</v>
      </c>
      <c r="F156" s="176" t="s">
        <v>87</v>
      </c>
      <c r="G156" s="176" t="s">
        <v>4000</v>
      </c>
      <c r="H156" s="176">
        <v>50</v>
      </c>
      <c r="I156" s="176">
        <v>37.799999999999997</v>
      </c>
      <c r="J156" s="176">
        <v>37.799999999999997</v>
      </c>
      <c r="K156" s="176">
        <v>5</v>
      </c>
      <c r="L156" s="176">
        <v>0</v>
      </c>
      <c r="M156" s="176" t="s">
        <v>148</v>
      </c>
      <c r="N156" s="176" t="s">
        <v>149</v>
      </c>
      <c r="O156" s="176" t="s">
        <v>150</v>
      </c>
      <c r="P156" s="176" t="s">
        <v>151</v>
      </c>
      <c r="Q156" s="176"/>
      <c r="R156" s="176" t="s">
        <v>4100</v>
      </c>
      <c r="S156" s="176"/>
      <c r="T156" s="176" t="s">
        <v>2653</v>
      </c>
      <c r="U156" s="176" t="s">
        <v>152</v>
      </c>
      <c r="V156" s="176" t="s">
        <v>23</v>
      </c>
    </row>
    <row r="157" spans="1:22" ht="12.75" customHeight="1">
      <c r="A157" s="65"/>
      <c r="B157" s="211">
        <v>46238</v>
      </c>
      <c r="C157" s="211">
        <v>46238</v>
      </c>
      <c r="D157" s="176" t="s">
        <v>4101</v>
      </c>
      <c r="E157" s="176" t="s">
        <v>4102</v>
      </c>
      <c r="F157" s="176" t="s">
        <v>87</v>
      </c>
      <c r="G157" s="176" t="s">
        <v>2357</v>
      </c>
      <c r="H157" s="176">
        <v>40</v>
      </c>
      <c r="I157" s="176">
        <v>32.200000000000003</v>
      </c>
      <c r="J157" s="176">
        <v>32.200000000000003</v>
      </c>
      <c r="K157" s="176">
        <v>5</v>
      </c>
      <c r="L157" s="176">
        <v>0</v>
      </c>
      <c r="M157" s="176" t="s">
        <v>148</v>
      </c>
      <c r="N157" s="176" t="s">
        <v>149</v>
      </c>
      <c r="O157" s="176" t="s">
        <v>150</v>
      </c>
      <c r="P157" s="176" t="s">
        <v>151</v>
      </c>
      <c r="Q157" s="176"/>
      <c r="R157" s="176" t="s">
        <v>4102</v>
      </c>
      <c r="S157" s="176"/>
      <c r="T157" s="176" t="s">
        <v>2653</v>
      </c>
      <c r="U157" s="176" t="s">
        <v>152</v>
      </c>
      <c r="V157" s="176" t="s">
        <v>23</v>
      </c>
    </row>
    <row r="158" spans="1:22" ht="12.75" customHeight="1">
      <c r="A158" s="65"/>
      <c r="B158" s="211">
        <v>46238</v>
      </c>
      <c r="C158" s="211">
        <v>46238</v>
      </c>
      <c r="D158" s="176" t="s">
        <v>4103</v>
      </c>
      <c r="E158" s="176" t="s">
        <v>4104</v>
      </c>
      <c r="F158" s="176" t="s">
        <v>87</v>
      </c>
      <c r="G158" s="176" t="s">
        <v>2512</v>
      </c>
      <c r="H158" s="176">
        <v>40</v>
      </c>
      <c r="I158" s="176">
        <v>26.2</v>
      </c>
      <c r="J158" s="176">
        <v>26.2</v>
      </c>
      <c r="K158" s="176">
        <v>5</v>
      </c>
      <c r="L158" s="176">
        <v>0</v>
      </c>
      <c r="M158" s="176" t="s">
        <v>148</v>
      </c>
      <c r="N158" s="176" t="s">
        <v>149</v>
      </c>
      <c r="O158" s="176" t="s">
        <v>150</v>
      </c>
      <c r="P158" s="176" t="s">
        <v>151</v>
      </c>
      <c r="Q158" s="176"/>
      <c r="R158" s="176" t="s">
        <v>4104</v>
      </c>
      <c r="S158" s="176"/>
      <c r="T158" s="176" t="s">
        <v>2653</v>
      </c>
      <c r="U158" s="176" t="s">
        <v>152</v>
      </c>
      <c r="V158" s="176" t="s">
        <v>23</v>
      </c>
    </row>
    <row r="159" spans="1:22" ht="12.75" customHeight="1">
      <c r="A159" s="65"/>
      <c r="B159" s="211">
        <v>46238</v>
      </c>
      <c r="C159" s="211">
        <v>46238</v>
      </c>
      <c r="D159" s="176" t="s">
        <v>4105</v>
      </c>
      <c r="E159" s="176" t="s">
        <v>4106</v>
      </c>
      <c r="F159" s="176" t="s">
        <v>87</v>
      </c>
      <c r="G159" s="176" t="s">
        <v>1678</v>
      </c>
      <c r="H159" s="176">
        <v>30</v>
      </c>
      <c r="I159" s="176">
        <v>36.299999999999997</v>
      </c>
      <c r="J159" s="176">
        <v>36.299999999999997</v>
      </c>
      <c r="K159" s="176">
        <v>4</v>
      </c>
      <c r="L159" s="176">
        <v>0</v>
      </c>
      <c r="M159" s="176" t="s">
        <v>148</v>
      </c>
      <c r="N159" s="176" t="s">
        <v>149</v>
      </c>
      <c r="O159" s="176" t="s">
        <v>150</v>
      </c>
      <c r="P159" s="176" t="s">
        <v>151</v>
      </c>
      <c r="Q159" s="176"/>
      <c r="R159" s="176" t="s">
        <v>4106</v>
      </c>
      <c r="S159" s="176"/>
      <c r="T159" s="176" t="s">
        <v>2653</v>
      </c>
      <c r="U159" s="176" t="s">
        <v>152</v>
      </c>
      <c r="V159" s="176" t="s">
        <v>23</v>
      </c>
    </row>
    <row r="160" spans="1:22" ht="12.75" customHeight="1">
      <c r="A160" s="65"/>
      <c r="B160" s="211">
        <v>46238</v>
      </c>
      <c r="C160" s="211">
        <v>46238</v>
      </c>
      <c r="D160" s="176" t="s">
        <v>4107</v>
      </c>
      <c r="E160" s="176" t="s">
        <v>4108</v>
      </c>
      <c r="F160" s="176" t="s">
        <v>87</v>
      </c>
      <c r="G160" s="176" t="s">
        <v>4000</v>
      </c>
      <c r="H160" s="176">
        <v>50</v>
      </c>
      <c r="I160" s="176">
        <v>29</v>
      </c>
      <c r="J160" s="176">
        <v>29</v>
      </c>
      <c r="K160" s="176">
        <v>5</v>
      </c>
      <c r="L160" s="176">
        <v>0</v>
      </c>
      <c r="M160" s="176" t="s">
        <v>148</v>
      </c>
      <c r="N160" s="176" t="s">
        <v>149</v>
      </c>
      <c r="O160" s="176" t="s">
        <v>150</v>
      </c>
      <c r="P160" s="176" t="s">
        <v>151</v>
      </c>
      <c r="Q160" s="176"/>
      <c r="R160" s="176" t="s">
        <v>4108</v>
      </c>
      <c r="S160" s="176"/>
      <c r="T160" s="176" t="s">
        <v>2653</v>
      </c>
      <c r="U160" s="176" t="s">
        <v>152</v>
      </c>
      <c r="V160" s="176" t="s">
        <v>23</v>
      </c>
    </row>
    <row r="161" spans="1:22" ht="12.75" customHeight="1">
      <c r="A161" s="65"/>
      <c r="B161" s="211">
        <v>46238</v>
      </c>
      <c r="C161" s="211">
        <v>46238</v>
      </c>
      <c r="D161" s="176" t="s">
        <v>4109</v>
      </c>
      <c r="E161" s="176" t="s">
        <v>4110</v>
      </c>
      <c r="F161" s="176" t="s">
        <v>87</v>
      </c>
      <c r="G161" s="176" t="s">
        <v>2357</v>
      </c>
      <c r="H161" s="176">
        <v>40</v>
      </c>
      <c r="I161" s="176">
        <v>40</v>
      </c>
      <c r="J161" s="176">
        <v>40</v>
      </c>
      <c r="K161" s="176">
        <v>5</v>
      </c>
      <c r="L161" s="176">
        <v>0</v>
      </c>
      <c r="M161" s="176" t="s">
        <v>148</v>
      </c>
      <c r="N161" s="176" t="s">
        <v>149</v>
      </c>
      <c r="O161" s="176" t="s">
        <v>150</v>
      </c>
      <c r="P161" s="176" t="s">
        <v>151</v>
      </c>
      <c r="Q161" s="176"/>
      <c r="R161" s="176" t="s">
        <v>4110</v>
      </c>
      <c r="S161" s="176"/>
      <c r="T161" s="176" t="s">
        <v>2653</v>
      </c>
      <c r="U161" s="176" t="s">
        <v>152</v>
      </c>
      <c r="V161" s="176" t="s">
        <v>23</v>
      </c>
    </row>
    <row r="162" spans="1:22" ht="12.75" customHeight="1">
      <c r="A162" s="65"/>
      <c r="B162" s="211">
        <v>46238</v>
      </c>
      <c r="C162" s="211">
        <v>46238</v>
      </c>
      <c r="D162" s="176" t="s">
        <v>4111</v>
      </c>
      <c r="E162" s="176" t="s">
        <v>4112</v>
      </c>
      <c r="F162" s="176" t="s">
        <v>87</v>
      </c>
      <c r="G162" s="176" t="s">
        <v>2357</v>
      </c>
      <c r="H162" s="176">
        <v>40</v>
      </c>
      <c r="I162" s="176">
        <v>25.2</v>
      </c>
      <c r="J162" s="176">
        <v>25.2</v>
      </c>
      <c r="K162" s="176">
        <v>5</v>
      </c>
      <c r="L162" s="176">
        <v>0</v>
      </c>
      <c r="M162" s="176" t="s">
        <v>148</v>
      </c>
      <c r="N162" s="176" t="s">
        <v>149</v>
      </c>
      <c r="O162" s="176" t="s">
        <v>150</v>
      </c>
      <c r="P162" s="176" t="s">
        <v>151</v>
      </c>
      <c r="Q162" s="176"/>
      <c r="R162" s="176" t="s">
        <v>4112</v>
      </c>
      <c r="S162" s="176"/>
      <c r="T162" s="176" t="s">
        <v>2653</v>
      </c>
      <c r="U162" s="176" t="s">
        <v>152</v>
      </c>
      <c r="V162" s="176" t="s">
        <v>23</v>
      </c>
    </row>
    <row r="163" spans="1:22" ht="12.75" customHeight="1">
      <c r="A163" s="65"/>
      <c r="B163" s="211">
        <v>46238</v>
      </c>
      <c r="C163" s="211">
        <v>46238</v>
      </c>
      <c r="D163" s="176" t="s">
        <v>4113</v>
      </c>
      <c r="E163" s="176" t="s">
        <v>4114</v>
      </c>
      <c r="F163" s="176" t="s">
        <v>87</v>
      </c>
      <c r="G163" s="176" t="s">
        <v>2514</v>
      </c>
      <c r="H163" s="176">
        <v>55</v>
      </c>
      <c r="I163" s="176">
        <v>32.5</v>
      </c>
      <c r="J163" s="176">
        <v>32.5</v>
      </c>
      <c r="K163" s="176">
        <v>5</v>
      </c>
      <c r="L163" s="176">
        <v>0</v>
      </c>
      <c r="M163" s="176" t="s">
        <v>148</v>
      </c>
      <c r="N163" s="176" t="s">
        <v>149</v>
      </c>
      <c r="O163" s="176" t="s">
        <v>150</v>
      </c>
      <c r="P163" s="176" t="s">
        <v>151</v>
      </c>
      <c r="Q163" s="176"/>
      <c r="R163" s="176" t="s">
        <v>4114</v>
      </c>
      <c r="S163" s="176"/>
      <c r="T163" s="176" t="s">
        <v>2653</v>
      </c>
      <c r="U163" s="176" t="s">
        <v>152</v>
      </c>
      <c r="V163" s="176" t="s">
        <v>23</v>
      </c>
    </row>
    <row r="164" spans="1:22" ht="12.75" customHeight="1">
      <c r="A164" s="65"/>
      <c r="B164" s="211">
        <v>46238</v>
      </c>
      <c r="C164" s="211">
        <v>46238</v>
      </c>
      <c r="D164" s="176" t="s">
        <v>4115</v>
      </c>
      <c r="E164" s="176" t="s">
        <v>4116</v>
      </c>
      <c r="F164" s="176" t="s">
        <v>87</v>
      </c>
      <c r="G164" s="176" t="s">
        <v>2357</v>
      </c>
      <c r="H164" s="176">
        <v>40</v>
      </c>
      <c r="I164" s="176">
        <v>35.799999999999997</v>
      </c>
      <c r="J164" s="176">
        <v>35.799999999999997</v>
      </c>
      <c r="K164" s="176">
        <v>5</v>
      </c>
      <c r="L164" s="176">
        <v>0</v>
      </c>
      <c r="M164" s="176" t="s">
        <v>148</v>
      </c>
      <c r="N164" s="176" t="s">
        <v>149</v>
      </c>
      <c r="O164" s="176" t="s">
        <v>150</v>
      </c>
      <c r="P164" s="176" t="s">
        <v>151</v>
      </c>
      <c r="Q164" s="176"/>
      <c r="R164" s="176" t="s">
        <v>4116</v>
      </c>
      <c r="S164" s="176"/>
      <c r="T164" s="176" t="s">
        <v>2653</v>
      </c>
      <c r="U164" s="176" t="s">
        <v>152</v>
      </c>
      <c r="V164" s="176" t="s">
        <v>23</v>
      </c>
    </row>
    <row r="165" spans="1:22" ht="12.75" customHeight="1">
      <c r="A165" s="65"/>
      <c r="B165" s="211">
        <v>46238</v>
      </c>
      <c r="C165" s="211">
        <v>46238</v>
      </c>
      <c r="D165" s="176" t="s">
        <v>4117</v>
      </c>
      <c r="E165" s="176" t="s">
        <v>4118</v>
      </c>
      <c r="F165" s="176" t="s">
        <v>87</v>
      </c>
      <c r="G165" s="176" t="s">
        <v>4000</v>
      </c>
      <c r="H165" s="176">
        <v>50</v>
      </c>
      <c r="I165" s="176">
        <v>39.799999999999997</v>
      </c>
      <c r="J165" s="176">
        <v>39.799999999999997</v>
      </c>
      <c r="K165" s="176">
        <v>5</v>
      </c>
      <c r="L165" s="176">
        <v>0</v>
      </c>
      <c r="M165" s="176" t="s">
        <v>148</v>
      </c>
      <c r="N165" s="176" t="s">
        <v>149</v>
      </c>
      <c r="O165" s="176" t="s">
        <v>150</v>
      </c>
      <c r="P165" s="176" t="s">
        <v>151</v>
      </c>
      <c r="Q165" s="176"/>
      <c r="R165" s="176" t="s">
        <v>4118</v>
      </c>
      <c r="S165" s="176"/>
      <c r="T165" s="176" t="s">
        <v>2653</v>
      </c>
      <c r="U165" s="176" t="s">
        <v>152</v>
      </c>
      <c r="V165" s="176" t="s">
        <v>23</v>
      </c>
    </row>
    <row r="166" spans="1:22" ht="12.75" customHeight="1">
      <c r="A166" s="65"/>
      <c r="B166" s="211">
        <v>46238</v>
      </c>
      <c r="C166" s="211">
        <v>46238</v>
      </c>
      <c r="D166" s="176" t="s">
        <v>4119</v>
      </c>
      <c r="E166" s="176" t="s">
        <v>4120</v>
      </c>
      <c r="F166" s="176" t="s">
        <v>87</v>
      </c>
      <c r="G166" s="176" t="s">
        <v>2514</v>
      </c>
      <c r="H166" s="176">
        <v>55</v>
      </c>
      <c r="I166" s="176">
        <v>35.799999999999997</v>
      </c>
      <c r="J166" s="176">
        <v>35.799999999999997</v>
      </c>
      <c r="K166" s="176">
        <v>5</v>
      </c>
      <c r="L166" s="176">
        <v>0</v>
      </c>
      <c r="M166" s="176" t="s">
        <v>148</v>
      </c>
      <c r="N166" s="176" t="s">
        <v>149</v>
      </c>
      <c r="O166" s="176" t="s">
        <v>150</v>
      </c>
      <c r="P166" s="176" t="s">
        <v>151</v>
      </c>
      <c r="Q166" s="176"/>
      <c r="R166" s="176" t="s">
        <v>4120</v>
      </c>
      <c r="S166" s="176"/>
      <c r="T166" s="176" t="s">
        <v>2653</v>
      </c>
      <c r="U166" s="176" t="s">
        <v>152</v>
      </c>
      <c r="V166" s="176" t="s">
        <v>23</v>
      </c>
    </row>
    <row r="167" spans="1:22" ht="12.75" customHeight="1">
      <c r="A167" s="65"/>
      <c r="B167" s="211">
        <v>46238</v>
      </c>
      <c r="C167" s="211">
        <v>46238</v>
      </c>
      <c r="D167" s="176" t="s">
        <v>4121</v>
      </c>
      <c r="E167" s="176" t="s">
        <v>4122</v>
      </c>
      <c r="F167" s="176" t="s">
        <v>87</v>
      </c>
      <c r="G167" s="176" t="s">
        <v>1678</v>
      </c>
      <c r="H167" s="176">
        <v>30</v>
      </c>
      <c r="I167" s="176">
        <v>36.200000000000003</v>
      </c>
      <c r="J167" s="176">
        <v>36.200000000000003</v>
      </c>
      <c r="K167" s="176">
        <v>4</v>
      </c>
      <c r="L167" s="176">
        <v>0</v>
      </c>
      <c r="M167" s="176" t="s">
        <v>148</v>
      </c>
      <c r="N167" s="176" t="s">
        <v>149</v>
      </c>
      <c r="O167" s="176" t="s">
        <v>150</v>
      </c>
      <c r="P167" s="176" t="s">
        <v>151</v>
      </c>
      <c r="Q167" s="176"/>
      <c r="R167" s="176" t="s">
        <v>4122</v>
      </c>
      <c r="S167" s="176"/>
      <c r="T167" s="176" t="s">
        <v>2653</v>
      </c>
      <c r="U167" s="176" t="s">
        <v>152</v>
      </c>
      <c r="V167" s="176" t="s">
        <v>23</v>
      </c>
    </row>
    <row r="168" spans="1:22" ht="12.75" customHeight="1">
      <c r="A168" s="65"/>
      <c r="B168" s="211">
        <v>46238</v>
      </c>
      <c r="C168" s="211">
        <v>46238</v>
      </c>
      <c r="D168" s="176" t="s">
        <v>4123</v>
      </c>
      <c r="E168" s="176" t="s">
        <v>4124</v>
      </c>
      <c r="F168" s="176" t="s">
        <v>87</v>
      </c>
      <c r="G168" s="176" t="s">
        <v>2357</v>
      </c>
      <c r="H168" s="176">
        <v>40</v>
      </c>
      <c r="I168" s="176">
        <v>34.799999999999997</v>
      </c>
      <c r="J168" s="176">
        <v>34.799999999999997</v>
      </c>
      <c r="K168" s="176">
        <v>5</v>
      </c>
      <c r="L168" s="176">
        <v>0</v>
      </c>
      <c r="M168" s="176" t="s">
        <v>148</v>
      </c>
      <c r="N168" s="176" t="s">
        <v>149</v>
      </c>
      <c r="O168" s="176" t="s">
        <v>150</v>
      </c>
      <c r="P168" s="176" t="s">
        <v>151</v>
      </c>
      <c r="Q168" s="176"/>
      <c r="R168" s="176" t="s">
        <v>4124</v>
      </c>
      <c r="S168" s="176"/>
      <c r="T168" s="176" t="s">
        <v>2653</v>
      </c>
      <c r="U168" s="176" t="s">
        <v>152</v>
      </c>
      <c r="V168" s="176" t="s">
        <v>23</v>
      </c>
    </row>
    <row r="169" spans="1:22" ht="12.75" customHeight="1">
      <c r="A169" s="65"/>
      <c r="B169" s="211">
        <v>46238</v>
      </c>
      <c r="C169" s="211">
        <v>46238</v>
      </c>
      <c r="D169" s="176" t="s">
        <v>4125</v>
      </c>
      <c r="E169" s="176" t="s">
        <v>4126</v>
      </c>
      <c r="F169" s="176" t="s">
        <v>87</v>
      </c>
      <c r="G169" s="176" t="s">
        <v>2514</v>
      </c>
      <c r="H169" s="176">
        <v>55</v>
      </c>
      <c r="I169" s="176">
        <v>36.299999999999997</v>
      </c>
      <c r="J169" s="176">
        <v>36.299999999999997</v>
      </c>
      <c r="K169" s="176">
        <v>5</v>
      </c>
      <c r="L169" s="176">
        <v>0</v>
      </c>
      <c r="M169" s="176" t="s">
        <v>148</v>
      </c>
      <c r="N169" s="176" t="s">
        <v>149</v>
      </c>
      <c r="O169" s="176" t="s">
        <v>150</v>
      </c>
      <c r="P169" s="176" t="s">
        <v>151</v>
      </c>
      <c r="Q169" s="176"/>
      <c r="R169" s="176" t="s">
        <v>4126</v>
      </c>
      <c r="S169" s="176"/>
      <c r="T169" s="176" t="s">
        <v>2653</v>
      </c>
      <c r="U169" s="176" t="s">
        <v>152</v>
      </c>
      <c r="V169" s="176" t="s">
        <v>23</v>
      </c>
    </row>
    <row r="170" spans="1:22" ht="12.75" customHeight="1">
      <c r="A170" s="65"/>
      <c r="B170" s="211">
        <v>46238</v>
      </c>
      <c r="C170" s="211">
        <v>46238</v>
      </c>
      <c r="D170" s="176" t="s">
        <v>4127</v>
      </c>
      <c r="E170" s="176" t="s">
        <v>4128</v>
      </c>
      <c r="F170" s="176" t="s">
        <v>87</v>
      </c>
      <c r="G170" s="176" t="s">
        <v>2357</v>
      </c>
      <c r="H170" s="176">
        <v>40</v>
      </c>
      <c r="I170" s="176">
        <v>33</v>
      </c>
      <c r="J170" s="176">
        <v>33</v>
      </c>
      <c r="K170" s="176">
        <v>5</v>
      </c>
      <c r="L170" s="176">
        <v>0</v>
      </c>
      <c r="M170" s="176" t="s">
        <v>148</v>
      </c>
      <c r="N170" s="176" t="s">
        <v>149</v>
      </c>
      <c r="O170" s="176" t="s">
        <v>150</v>
      </c>
      <c r="P170" s="176" t="s">
        <v>151</v>
      </c>
      <c r="Q170" s="176"/>
      <c r="R170" s="176" t="s">
        <v>4128</v>
      </c>
      <c r="S170" s="176"/>
      <c r="T170" s="176" t="s">
        <v>2653</v>
      </c>
      <c r="U170" s="176" t="s">
        <v>152</v>
      </c>
      <c r="V170" s="176" t="s">
        <v>23</v>
      </c>
    </row>
    <row r="171" spans="1:22" ht="12.75" customHeight="1">
      <c r="A171" s="65"/>
      <c r="B171" s="211">
        <v>46238</v>
      </c>
      <c r="C171" s="211">
        <v>46238</v>
      </c>
      <c r="D171" s="176" t="s">
        <v>4129</v>
      </c>
      <c r="E171" s="176" t="s">
        <v>4130</v>
      </c>
      <c r="F171" s="176" t="s">
        <v>87</v>
      </c>
      <c r="G171" s="176" t="s">
        <v>2357</v>
      </c>
      <c r="H171" s="176">
        <v>40</v>
      </c>
      <c r="I171" s="176">
        <v>21</v>
      </c>
      <c r="J171" s="176">
        <v>21</v>
      </c>
      <c r="K171" s="176">
        <v>5</v>
      </c>
      <c r="L171" s="176">
        <v>0</v>
      </c>
      <c r="M171" s="176" t="s">
        <v>148</v>
      </c>
      <c r="N171" s="176" t="s">
        <v>149</v>
      </c>
      <c r="O171" s="176" t="s">
        <v>150</v>
      </c>
      <c r="P171" s="176" t="s">
        <v>151</v>
      </c>
      <c r="Q171" s="176"/>
      <c r="R171" s="176" t="s">
        <v>4130</v>
      </c>
      <c r="S171" s="176"/>
      <c r="T171" s="176" t="s">
        <v>2653</v>
      </c>
      <c r="U171" s="176" t="s">
        <v>152</v>
      </c>
      <c r="V171" s="176" t="s">
        <v>23</v>
      </c>
    </row>
    <row r="172" spans="1:22" ht="12.75" customHeight="1">
      <c r="A172" s="65"/>
      <c r="B172" s="211">
        <v>46238</v>
      </c>
      <c r="C172" s="211">
        <v>46238</v>
      </c>
      <c r="D172" s="176" t="s">
        <v>4131</v>
      </c>
      <c r="E172" s="176" t="s">
        <v>4132</v>
      </c>
      <c r="F172" s="176" t="s">
        <v>87</v>
      </c>
      <c r="G172" s="176" t="s">
        <v>2357</v>
      </c>
      <c r="H172" s="176">
        <v>40</v>
      </c>
      <c r="I172" s="176">
        <v>38.700000000000003</v>
      </c>
      <c r="J172" s="176">
        <v>38.700000000000003</v>
      </c>
      <c r="K172" s="176">
        <v>5</v>
      </c>
      <c r="L172" s="176">
        <v>0</v>
      </c>
      <c r="M172" s="176" t="s">
        <v>148</v>
      </c>
      <c r="N172" s="176" t="s">
        <v>149</v>
      </c>
      <c r="O172" s="176" t="s">
        <v>150</v>
      </c>
      <c r="P172" s="176" t="s">
        <v>151</v>
      </c>
      <c r="Q172" s="176"/>
      <c r="R172" s="176" t="s">
        <v>4132</v>
      </c>
      <c r="S172" s="176"/>
      <c r="T172" s="176" t="s">
        <v>2653</v>
      </c>
      <c r="U172" s="176" t="s">
        <v>152</v>
      </c>
      <c r="V172" s="176" t="s">
        <v>23</v>
      </c>
    </row>
    <row r="173" spans="1:22" ht="12.75" customHeight="1">
      <c r="A173" s="65"/>
      <c r="B173" s="211">
        <v>46238</v>
      </c>
      <c r="C173" s="211">
        <v>46238</v>
      </c>
      <c r="D173" s="176" t="s">
        <v>4133</v>
      </c>
      <c r="E173" s="176" t="s">
        <v>4134</v>
      </c>
      <c r="F173" s="176" t="s">
        <v>87</v>
      </c>
      <c r="G173" s="176" t="s">
        <v>2357</v>
      </c>
      <c r="H173" s="176">
        <v>40</v>
      </c>
      <c r="I173" s="176">
        <v>41.1</v>
      </c>
      <c r="J173" s="176">
        <v>41.1</v>
      </c>
      <c r="K173" s="176">
        <v>5</v>
      </c>
      <c r="L173" s="176">
        <v>0</v>
      </c>
      <c r="M173" s="176" t="s">
        <v>148</v>
      </c>
      <c r="N173" s="176" t="s">
        <v>149</v>
      </c>
      <c r="O173" s="176" t="s">
        <v>150</v>
      </c>
      <c r="P173" s="176" t="s">
        <v>151</v>
      </c>
      <c r="Q173" s="176"/>
      <c r="R173" s="176" t="s">
        <v>4134</v>
      </c>
      <c r="S173" s="176"/>
      <c r="T173" s="176" t="s">
        <v>2653</v>
      </c>
      <c r="U173" s="176" t="s">
        <v>152</v>
      </c>
      <c r="V173" s="176" t="s">
        <v>23</v>
      </c>
    </row>
    <row r="174" spans="1:22" ht="12.75" customHeight="1">
      <c r="A174" s="65"/>
      <c r="B174" s="211">
        <v>46238</v>
      </c>
      <c r="C174" s="211">
        <v>46238</v>
      </c>
      <c r="D174" s="176" t="s">
        <v>4135</v>
      </c>
      <c r="E174" s="176" t="s">
        <v>4136</v>
      </c>
      <c r="F174" s="176" t="s">
        <v>87</v>
      </c>
      <c r="G174" s="176" t="s">
        <v>4000</v>
      </c>
      <c r="H174" s="176">
        <v>50</v>
      </c>
      <c r="I174" s="176">
        <v>37.799999999999997</v>
      </c>
      <c r="J174" s="176">
        <v>37.799999999999997</v>
      </c>
      <c r="K174" s="176">
        <v>5</v>
      </c>
      <c r="L174" s="176">
        <v>0</v>
      </c>
      <c r="M174" s="176" t="s">
        <v>148</v>
      </c>
      <c r="N174" s="176" t="s">
        <v>149</v>
      </c>
      <c r="O174" s="176" t="s">
        <v>150</v>
      </c>
      <c r="P174" s="176" t="s">
        <v>151</v>
      </c>
      <c r="Q174" s="176"/>
      <c r="R174" s="176" t="s">
        <v>4136</v>
      </c>
      <c r="S174" s="176"/>
      <c r="T174" s="176" t="s">
        <v>2653</v>
      </c>
      <c r="U174" s="176" t="s">
        <v>152</v>
      </c>
      <c r="V174" s="176" t="s">
        <v>23</v>
      </c>
    </row>
    <row r="175" spans="1:22" ht="12.75" customHeight="1">
      <c r="A175" s="65"/>
      <c r="B175" s="211">
        <v>46238</v>
      </c>
      <c r="C175" s="211">
        <v>46238</v>
      </c>
      <c r="D175" s="176" t="s">
        <v>4137</v>
      </c>
      <c r="E175" s="176" t="s">
        <v>4138</v>
      </c>
      <c r="F175" s="176" t="s">
        <v>87</v>
      </c>
      <c r="G175" s="176" t="s">
        <v>1678</v>
      </c>
      <c r="H175" s="176">
        <v>30</v>
      </c>
      <c r="I175" s="176">
        <v>32.4</v>
      </c>
      <c r="J175" s="176">
        <v>32.4</v>
      </c>
      <c r="K175" s="176">
        <v>4</v>
      </c>
      <c r="L175" s="176">
        <v>0</v>
      </c>
      <c r="M175" s="176" t="s">
        <v>148</v>
      </c>
      <c r="N175" s="176" t="s">
        <v>149</v>
      </c>
      <c r="O175" s="176" t="s">
        <v>150</v>
      </c>
      <c r="P175" s="176" t="s">
        <v>151</v>
      </c>
      <c r="Q175" s="176"/>
      <c r="R175" s="176" t="s">
        <v>4138</v>
      </c>
      <c r="S175" s="176"/>
      <c r="T175" s="176" t="s">
        <v>2653</v>
      </c>
      <c r="U175" s="176" t="s">
        <v>152</v>
      </c>
      <c r="V175" s="176" t="s">
        <v>23</v>
      </c>
    </row>
    <row r="176" spans="1:22" ht="12.75" customHeight="1">
      <c r="A176" s="65"/>
      <c r="B176" s="211">
        <v>46238</v>
      </c>
      <c r="C176" s="211">
        <v>46238</v>
      </c>
      <c r="D176" s="176" t="s">
        <v>4139</v>
      </c>
      <c r="E176" s="176" t="s">
        <v>4140</v>
      </c>
      <c r="F176" s="176" t="s">
        <v>87</v>
      </c>
      <c r="G176" s="176" t="s">
        <v>1678</v>
      </c>
      <c r="H176" s="176">
        <v>30</v>
      </c>
      <c r="I176" s="176">
        <v>34.799999999999997</v>
      </c>
      <c r="J176" s="176">
        <v>34.799999999999997</v>
      </c>
      <c r="K176" s="176">
        <v>4</v>
      </c>
      <c r="L176" s="176">
        <v>0</v>
      </c>
      <c r="M176" s="176" t="s">
        <v>148</v>
      </c>
      <c r="N176" s="176" t="s">
        <v>149</v>
      </c>
      <c r="O176" s="176" t="s">
        <v>150</v>
      </c>
      <c r="P176" s="176" t="s">
        <v>151</v>
      </c>
      <c r="Q176" s="176"/>
      <c r="R176" s="176" t="s">
        <v>4140</v>
      </c>
      <c r="S176" s="176"/>
      <c r="T176" s="176" t="s">
        <v>2653</v>
      </c>
      <c r="U176" s="176" t="s">
        <v>152</v>
      </c>
      <c r="V176" s="176" t="s">
        <v>23</v>
      </c>
    </row>
    <row r="177" spans="1:22" ht="12.75" customHeight="1">
      <c r="A177" s="65"/>
      <c r="B177" s="211">
        <v>46238</v>
      </c>
      <c r="C177" s="211">
        <v>46238</v>
      </c>
      <c r="D177" s="176" t="s">
        <v>4141</v>
      </c>
      <c r="E177" s="176" t="s">
        <v>4142</v>
      </c>
      <c r="F177" s="176" t="s">
        <v>87</v>
      </c>
      <c r="G177" s="176" t="s">
        <v>2512</v>
      </c>
      <c r="H177" s="176">
        <v>40</v>
      </c>
      <c r="I177" s="176">
        <v>21.3</v>
      </c>
      <c r="J177" s="176">
        <v>21.3</v>
      </c>
      <c r="K177" s="176">
        <v>5</v>
      </c>
      <c r="L177" s="176">
        <v>0</v>
      </c>
      <c r="M177" s="176" t="s">
        <v>148</v>
      </c>
      <c r="N177" s="176" t="s">
        <v>149</v>
      </c>
      <c r="O177" s="176" t="s">
        <v>150</v>
      </c>
      <c r="P177" s="176" t="s">
        <v>151</v>
      </c>
      <c r="Q177" s="176"/>
      <c r="R177" s="176" t="s">
        <v>4142</v>
      </c>
      <c r="S177" s="176"/>
      <c r="T177" s="176" t="s">
        <v>2653</v>
      </c>
      <c r="U177" s="176" t="s">
        <v>152</v>
      </c>
      <c r="V177" s="176" t="s">
        <v>23</v>
      </c>
    </row>
    <row r="178" spans="1:22" ht="12.75" customHeight="1">
      <c r="A178" s="65"/>
      <c r="B178" s="211">
        <v>46238</v>
      </c>
      <c r="C178" s="211">
        <v>46238</v>
      </c>
      <c r="D178" s="176" t="s">
        <v>4143</v>
      </c>
      <c r="E178" s="176" t="s">
        <v>4144</v>
      </c>
      <c r="F178" s="176" t="s">
        <v>87</v>
      </c>
      <c r="G178" s="176" t="s">
        <v>2514</v>
      </c>
      <c r="H178" s="176">
        <v>55</v>
      </c>
      <c r="I178" s="176">
        <v>36.200000000000003</v>
      </c>
      <c r="J178" s="176">
        <v>36.200000000000003</v>
      </c>
      <c r="K178" s="176">
        <v>5</v>
      </c>
      <c r="L178" s="176">
        <v>0</v>
      </c>
      <c r="M178" s="176" t="s">
        <v>148</v>
      </c>
      <c r="N178" s="176" t="s">
        <v>149</v>
      </c>
      <c r="O178" s="176" t="s">
        <v>150</v>
      </c>
      <c r="P178" s="176" t="s">
        <v>151</v>
      </c>
      <c r="Q178" s="176"/>
      <c r="R178" s="176" t="s">
        <v>4144</v>
      </c>
      <c r="S178" s="176"/>
      <c r="T178" s="176" t="s">
        <v>2653</v>
      </c>
      <c r="U178" s="176" t="s">
        <v>152</v>
      </c>
      <c r="V178" s="176" t="s">
        <v>23</v>
      </c>
    </row>
    <row r="179" spans="1:22" ht="12.75" customHeight="1">
      <c r="A179" s="65"/>
      <c r="B179" s="211">
        <v>46238</v>
      </c>
      <c r="C179" s="211">
        <v>46238</v>
      </c>
      <c r="D179" s="176" t="s">
        <v>4145</v>
      </c>
      <c r="E179" s="176" t="s">
        <v>4146</v>
      </c>
      <c r="F179" s="176" t="s">
        <v>87</v>
      </c>
      <c r="G179" s="176" t="s">
        <v>2357</v>
      </c>
      <c r="H179" s="176">
        <v>40</v>
      </c>
      <c r="I179" s="176">
        <v>41.9</v>
      </c>
      <c r="J179" s="176">
        <v>41.9</v>
      </c>
      <c r="K179" s="176">
        <v>5</v>
      </c>
      <c r="L179" s="176">
        <v>0</v>
      </c>
      <c r="M179" s="176" t="s">
        <v>148</v>
      </c>
      <c r="N179" s="176" t="s">
        <v>149</v>
      </c>
      <c r="O179" s="176" t="s">
        <v>150</v>
      </c>
      <c r="P179" s="176" t="s">
        <v>151</v>
      </c>
      <c r="Q179" s="176"/>
      <c r="R179" s="176" t="s">
        <v>4146</v>
      </c>
      <c r="S179" s="176"/>
      <c r="T179" s="176" t="s">
        <v>2653</v>
      </c>
      <c r="U179" s="176" t="s">
        <v>152</v>
      </c>
      <c r="V179" s="176" t="s">
        <v>23</v>
      </c>
    </row>
    <row r="180" spans="1:22" ht="12.75" customHeight="1">
      <c r="A180" s="65"/>
      <c r="B180" s="211">
        <v>46238</v>
      </c>
      <c r="C180" s="211">
        <v>46238</v>
      </c>
      <c r="D180" s="176" t="s">
        <v>4147</v>
      </c>
      <c r="E180" s="176" t="s">
        <v>4148</v>
      </c>
      <c r="F180" s="176" t="s">
        <v>87</v>
      </c>
      <c r="G180" s="176" t="s">
        <v>4000</v>
      </c>
      <c r="H180" s="176">
        <v>50</v>
      </c>
      <c r="I180" s="176">
        <v>38.799999999999997</v>
      </c>
      <c r="J180" s="176">
        <v>38.799999999999997</v>
      </c>
      <c r="K180" s="176">
        <v>5</v>
      </c>
      <c r="L180" s="176">
        <v>0</v>
      </c>
      <c r="M180" s="176" t="s">
        <v>148</v>
      </c>
      <c r="N180" s="176" t="s">
        <v>149</v>
      </c>
      <c r="O180" s="176" t="s">
        <v>150</v>
      </c>
      <c r="P180" s="176" t="s">
        <v>151</v>
      </c>
      <c r="Q180" s="176"/>
      <c r="R180" s="176" t="s">
        <v>4148</v>
      </c>
      <c r="S180" s="176"/>
      <c r="T180" s="176" t="s">
        <v>2653</v>
      </c>
      <c r="U180" s="176" t="s">
        <v>152</v>
      </c>
      <c r="V180" s="176" t="s">
        <v>23</v>
      </c>
    </row>
    <row r="181" spans="1:22" ht="12.75" customHeight="1">
      <c r="A181" s="65"/>
      <c r="B181" s="211">
        <v>46238</v>
      </c>
      <c r="C181" s="211">
        <v>46238</v>
      </c>
      <c r="D181" s="176" t="s">
        <v>4149</v>
      </c>
      <c r="E181" s="176" t="s">
        <v>4150</v>
      </c>
      <c r="F181" s="176" t="s">
        <v>87</v>
      </c>
      <c r="G181" s="176" t="s">
        <v>2406</v>
      </c>
      <c r="H181" s="176">
        <v>25</v>
      </c>
      <c r="I181" s="176">
        <v>27.8</v>
      </c>
      <c r="J181" s="176">
        <v>27.8</v>
      </c>
      <c r="K181" s="176">
        <v>4</v>
      </c>
      <c r="L181" s="176">
        <v>0</v>
      </c>
      <c r="M181" s="176" t="s">
        <v>148</v>
      </c>
      <c r="N181" s="176" t="s">
        <v>149</v>
      </c>
      <c r="O181" s="176" t="s">
        <v>150</v>
      </c>
      <c r="P181" s="176" t="s">
        <v>151</v>
      </c>
      <c r="Q181" s="176"/>
      <c r="R181" s="176" t="s">
        <v>4150</v>
      </c>
      <c r="S181" s="176"/>
      <c r="T181" s="176" t="s">
        <v>2653</v>
      </c>
      <c r="U181" s="176" t="s">
        <v>152</v>
      </c>
      <c r="V181" s="176" t="s">
        <v>23</v>
      </c>
    </row>
    <row r="182" spans="1:22" ht="12.75" customHeight="1">
      <c r="A182" s="65"/>
      <c r="B182" s="211">
        <v>46239</v>
      </c>
      <c r="C182" s="211">
        <v>46239</v>
      </c>
      <c r="D182" s="176" t="s">
        <v>4151</v>
      </c>
      <c r="E182" s="176" t="s">
        <v>4152</v>
      </c>
      <c r="F182" s="176" t="s">
        <v>87</v>
      </c>
      <c r="G182" s="176" t="s">
        <v>2514</v>
      </c>
      <c r="H182" s="176">
        <v>55</v>
      </c>
      <c r="I182" s="176">
        <v>33</v>
      </c>
      <c r="J182" s="176">
        <v>33</v>
      </c>
      <c r="K182" s="176">
        <v>5</v>
      </c>
      <c r="L182" s="176">
        <v>0</v>
      </c>
      <c r="M182" s="176" t="s">
        <v>148</v>
      </c>
      <c r="N182" s="176" t="s">
        <v>149</v>
      </c>
      <c r="O182" s="176" t="s">
        <v>150</v>
      </c>
      <c r="P182" s="176" t="s">
        <v>151</v>
      </c>
      <c r="Q182" s="176"/>
      <c r="R182" s="176" t="s">
        <v>4152</v>
      </c>
      <c r="S182" s="176"/>
      <c r="T182" s="176" t="s">
        <v>2665</v>
      </c>
      <c r="U182" s="176" t="s">
        <v>152</v>
      </c>
      <c r="V182" s="176" t="s">
        <v>23</v>
      </c>
    </row>
    <row r="183" spans="1:22" ht="12.75" customHeight="1">
      <c r="A183" s="65"/>
      <c r="B183" s="211">
        <v>46239</v>
      </c>
      <c r="C183" s="211">
        <v>46239</v>
      </c>
      <c r="D183" s="176" t="s">
        <v>4153</v>
      </c>
      <c r="E183" s="176" t="s">
        <v>4154</v>
      </c>
      <c r="F183" s="176" t="s">
        <v>87</v>
      </c>
      <c r="G183" s="176" t="s">
        <v>2404</v>
      </c>
      <c r="H183" s="176">
        <v>40</v>
      </c>
      <c r="I183" s="176">
        <v>18.8</v>
      </c>
      <c r="J183" s="176">
        <v>18.8</v>
      </c>
      <c r="K183" s="176">
        <v>5</v>
      </c>
      <c r="L183" s="176">
        <v>0</v>
      </c>
      <c r="M183" s="176" t="s">
        <v>148</v>
      </c>
      <c r="N183" s="176" t="s">
        <v>149</v>
      </c>
      <c r="O183" s="176" t="s">
        <v>150</v>
      </c>
      <c r="P183" s="176" t="s">
        <v>151</v>
      </c>
      <c r="Q183" s="176"/>
      <c r="R183" s="176" t="s">
        <v>4154</v>
      </c>
      <c r="S183" s="176"/>
      <c r="T183" s="176" t="s">
        <v>2665</v>
      </c>
      <c r="U183" s="176" t="s">
        <v>152</v>
      </c>
      <c r="V183" s="176" t="s">
        <v>23</v>
      </c>
    </row>
    <row r="184" spans="1:22" ht="12.75" customHeight="1">
      <c r="A184" s="65"/>
      <c r="B184" s="211">
        <v>46239</v>
      </c>
      <c r="C184" s="211">
        <v>46239</v>
      </c>
      <c r="D184" s="176" t="s">
        <v>4155</v>
      </c>
      <c r="E184" s="176" t="s">
        <v>4156</v>
      </c>
      <c r="F184" s="176" t="s">
        <v>87</v>
      </c>
      <c r="G184" s="176" t="s">
        <v>2334</v>
      </c>
      <c r="H184" s="176">
        <v>40</v>
      </c>
      <c r="I184" s="176">
        <v>33</v>
      </c>
      <c r="J184" s="176">
        <v>33</v>
      </c>
      <c r="K184" s="176">
        <v>5</v>
      </c>
      <c r="L184" s="176">
        <v>0</v>
      </c>
      <c r="M184" s="176" t="s">
        <v>148</v>
      </c>
      <c r="N184" s="176" t="s">
        <v>149</v>
      </c>
      <c r="O184" s="176" t="s">
        <v>150</v>
      </c>
      <c r="P184" s="176" t="s">
        <v>151</v>
      </c>
      <c r="Q184" s="176"/>
      <c r="R184" s="176" t="s">
        <v>4156</v>
      </c>
      <c r="S184" s="176"/>
      <c r="T184" s="176" t="s">
        <v>2665</v>
      </c>
      <c r="U184" s="176" t="s">
        <v>152</v>
      </c>
      <c r="V184" s="176" t="s">
        <v>23</v>
      </c>
    </row>
    <row r="185" spans="1:22" ht="12.75" customHeight="1">
      <c r="A185" s="65"/>
      <c r="B185" s="211">
        <v>46239</v>
      </c>
      <c r="C185" s="211">
        <v>46239</v>
      </c>
      <c r="D185" s="176" t="s">
        <v>4157</v>
      </c>
      <c r="E185" s="176" t="s">
        <v>4158</v>
      </c>
      <c r="F185" s="176" t="s">
        <v>87</v>
      </c>
      <c r="G185" s="176" t="s">
        <v>2334</v>
      </c>
      <c r="H185" s="176">
        <v>40</v>
      </c>
      <c r="I185" s="176">
        <v>39</v>
      </c>
      <c r="J185" s="176">
        <v>39</v>
      </c>
      <c r="K185" s="176">
        <v>5</v>
      </c>
      <c r="L185" s="176">
        <v>0</v>
      </c>
      <c r="M185" s="176" t="s">
        <v>148</v>
      </c>
      <c r="N185" s="176" t="s">
        <v>149</v>
      </c>
      <c r="O185" s="176" t="s">
        <v>150</v>
      </c>
      <c r="P185" s="176" t="s">
        <v>151</v>
      </c>
      <c r="Q185" s="176"/>
      <c r="R185" s="176" t="s">
        <v>4158</v>
      </c>
      <c r="S185" s="176"/>
      <c r="T185" s="176" t="s">
        <v>2665</v>
      </c>
      <c r="U185" s="176" t="s">
        <v>152</v>
      </c>
      <c r="V185" s="176" t="s">
        <v>23</v>
      </c>
    </row>
    <row r="186" spans="1:22" ht="12.75" customHeight="1">
      <c r="A186" s="65"/>
      <c r="B186" s="211">
        <v>46239</v>
      </c>
      <c r="C186" s="211">
        <v>46239</v>
      </c>
      <c r="D186" s="176" t="s">
        <v>4159</v>
      </c>
      <c r="E186" s="176" t="s">
        <v>4160</v>
      </c>
      <c r="F186" s="176" t="s">
        <v>87</v>
      </c>
      <c r="G186" s="176" t="s">
        <v>2334</v>
      </c>
      <c r="H186" s="176">
        <v>40</v>
      </c>
      <c r="I186" s="176">
        <v>34.799999999999997</v>
      </c>
      <c r="J186" s="176">
        <v>34.799999999999997</v>
      </c>
      <c r="K186" s="176">
        <v>5</v>
      </c>
      <c r="L186" s="176">
        <v>0</v>
      </c>
      <c r="M186" s="176" t="s">
        <v>148</v>
      </c>
      <c r="N186" s="176" t="s">
        <v>149</v>
      </c>
      <c r="O186" s="176" t="s">
        <v>150</v>
      </c>
      <c r="P186" s="176" t="s">
        <v>151</v>
      </c>
      <c r="Q186" s="176"/>
      <c r="R186" s="176" t="s">
        <v>4160</v>
      </c>
      <c r="S186" s="176"/>
      <c r="T186" s="176" t="s">
        <v>2665</v>
      </c>
      <c r="U186" s="176" t="s">
        <v>152</v>
      </c>
      <c r="V186" s="176" t="s">
        <v>23</v>
      </c>
    </row>
    <row r="187" spans="1:22" ht="12.75" customHeight="1">
      <c r="A187" s="65"/>
      <c r="B187" s="211">
        <v>46239</v>
      </c>
      <c r="C187" s="211">
        <v>46239</v>
      </c>
      <c r="D187" s="176" t="s">
        <v>4161</v>
      </c>
      <c r="E187" s="176" t="s">
        <v>4162</v>
      </c>
      <c r="F187" s="176" t="s">
        <v>87</v>
      </c>
      <c r="G187" s="176" t="s">
        <v>2357</v>
      </c>
      <c r="H187" s="176">
        <v>40</v>
      </c>
      <c r="I187" s="176">
        <v>35.799999999999997</v>
      </c>
      <c r="J187" s="176">
        <v>35.799999999999997</v>
      </c>
      <c r="K187" s="176">
        <v>5</v>
      </c>
      <c r="L187" s="176">
        <v>0</v>
      </c>
      <c r="M187" s="176" t="s">
        <v>148</v>
      </c>
      <c r="N187" s="176" t="s">
        <v>149</v>
      </c>
      <c r="O187" s="176" t="s">
        <v>150</v>
      </c>
      <c r="P187" s="176" t="s">
        <v>151</v>
      </c>
      <c r="Q187" s="176"/>
      <c r="R187" s="176" t="s">
        <v>4162</v>
      </c>
      <c r="S187" s="176"/>
      <c r="T187" s="176" t="s">
        <v>2665</v>
      </c>
      <c r="U187" s="176" t="s">
        <v>152</v>
      </c>
      <c r="V187" s="176" t="s">
        <v>23</v>
      </c>
    </row>
    <row r="188" spans="1:22" ht="12.75" customHeight="1">
      <c r="A188" s="65"/>
      <c r="B188" s="211">
        <v>46239</v>
      </c>
      <c r="C188" s="211">
        <v>46239</v>
      </c>
      <c r="D188" s="176" t="s">
        <v>4163</v>
      </c>
      <c r="E188" s="176" t="s">
        <v>4164</v>
      </c>
      <c r="F188" s="176" t="s">
        <v>87</v>
      </c>
      <c r="G188" s="176" t="s">
        <v>2334</v>
      </c>
      <c r="H188" s="176">
        <v>40</v>
      </c>
      <c r="I188" s="176">
        <v>39.299999999999997</v>
      </c>
      <c r="J188" s="176">
        <v>39.299999999999997</v>
      </c>
      <c r="K188" s="176">
        <v>5</v>
      </c>
      <c r="L188" s="176">
        <v>0</v>
      </c>
      <c r="M188" s="176" t="s">
        <v>148</v>
      </c>
      <c r="N188" s="176" t="s">
        <v>149</v>
      </c>
      <c r="O188" s="176" t="s">
        <v>150</v>
      </c>
      <c r="P188" s="176" t="s">
        <v>151</v>
      </c>
      <c r="Q188" s="176"/>
      <c r="R188" s="176" t="s">
        <v>4164</v>
      </c>
      <c r="S188" s="176"/>
      <c r="T188" s="176" t="s">
        <v>2665</v>
      </c>
      <c r="U188" s="176" t="s">
        <v>152</v>
      </c>
      <c r="V188" s="176" t="s">
        <v>23</v>
      </c>
    </row>
    <row r="189" spans="1:22" ht="12.75" customHeight="1">
      <c r="A189" s="65"/>
      <c r="B189" s="211">
        <v>46239</v>
      </c>
      <c r="C189" s="211">
        <v>46239</v>
      </c>
      <c r="D189" s="176" t="s">
        <v>4165</v>
      </c>
      <c r="E189" s="176" t="s">
        <v>4166</v>
      </c>
      <c r="F189" s="176" t="s">
        <v>87</v>
      </c>
      <c r="G189" s="176" t="s">
        <v>2357</v>
      </c>
      <c r="H189" s="176">
        <v>40</v>
      </c>
      <c r="I189" s="176">
        <v>28.3</v>
      </c>
      <c r="J189" s="176">
        <v>28.3</v>
      </c>
      <c r="K189" s="176">
        <v>5</v>
      </c>
      <c r="L189" s="176">
        <v>0</v>
      </c>
      <c r="M189" s="176" t="s">
        <v>148</v>
      </c>
      <c r="N189" s="176" t="s">
        <v>149</v>
      </c>
      <c r="O189" s="176" t="s">
        <v>150</v>
      </c>
      <c r="P189" s="176" t="s">
        <v>151</v>
      </c>
      <c r="Q189" s="176"/>
      <c r="R189" s="176" t="s">
        <v>4166</v>
      </c>
      <c r="S189" s="176"/>
      <c r="T189" s="176" t="s">
        <v>2665</v>
      </c>
      <c r="U189" s="176" t="s">
        <v>152</v>
      </c>
      <c r="V189" s="176" t="s">
        <v>23</v>
      </c>
    </row>
    <row r="190" spans="1:22" ht="12.75" customHeight="1">
      <c r="A190" s="65"/>
      <c r="B190" s="211">
        <v>46239</v>
      </c>
      <c r="C190" s="211">
        <v>46239</v>
      </c>
      <c r="D190" s="176" t="s">
        <v>4167</v>
      </c>
      <c r="E190" s="176" t="s">
        <v>4168</v>
      </c>
      <c r="F190" s="176" t="s">
        <v>87</v>
      </c>
      <c r="G190" s="176" t="s">
        <v>2513</v>
      </c>
      <c r="H190" s="176">
        <v>25</v>
      </c>
      <c r="I190" s="176">
        <v>39.799999999999997</v>
      </c>
      <c r="J190" s="176">
        <v>39.799999999999997</v>
      </c>
      <c r="K190" s="176">
        <v>4</v>
      </c>
      <c r="L190" s="176">
        <v>0</v>
      </c>
      <c r="M190" s="176" t="s">
        <v>148</v>
      </c>
      <c r="N190" s="176" t="s">
        <v>149</v>
      </c>
      <c r="O190" s="176" t="s">
        <v>150</v>
      </c>
      <c r="P190" s="176" t="s">
        <v>151</v>
      </c>
      <c r="Q190" s="176"/>
      <c r="R190" s="176" t="s">
        <v>4168</v>
      </c>
      <c r="S190" s="176"/>
      <c r="T190" s="176" t="s">
        <v>2665</v>
      </c>
      <c r="U190" s="176" t="s">
        <v>152</v>
      </c>
      <c r="V190" s="176" t="s">
        <v>23</v>
      </c>
    </row>
    <row r="191" spans="1:22" ht="12.75" customHeight="1">
      <c r="A191" s="65"/>
      <c r="B191" s="211">
        <v>46239</v>
      </c>
      <c r="C191" s="211">
        <v>46239</v>
      </c>
      <c r="D191" s="176" t="s">
        <v>4169</v>
      </c>
      <c r="E191" s="176" t="s">
        <v>4170</v>
      </c>
      <c r="F191" s="176" t="s">
        <v>87</v>
      </c>
      <c r="G191" s="176" t="s">
        <v>2513</v>
      </c>
      <c r="H191" s="176">
        <v>25</v>
      </c>
      <c r="I191" s="176">
        <v>40.799999999999997</v>
      </c>
      <c r="J191" s="176">
        <v>40.799999999999997</v>
      </c>
      <c r="K191" s="176">
        <v>4</v>
      </c>
      <c r="L191" s="176">
        <v>0</v>
      </c>
      <c r="M191" s="176" t="s">
        <v>148</v>
      </c>
      <c r="N191" s="176" t="s">
        <v>149</v>
      </c>
      <c r="O191" s="176" t="s">
        <v>150</v>
      </c>
      <c r="P191" s="176" t="s">
        <v>151</v>
      </c>
      <c r="Q191" s="176"/>
      <c r="R191" s="176" t="s">
        <v>4170</v>
      </c>
      <c r="S191" s="176"/>
      <c r="T191" s="176" t="s">
        <v>2665</v>
      </c>
      <c r="U191" s="176" t="s">
        <v>152</v>
      </c>
      <c r="V191" s="176" t="s">
        <v>23</v>
      </c>
    </row>
    <row r="192" spans="1:22" ht="12.75" customHeight="1">
      <c r="A192" s="65"/>
      <c r="B192" s="211">
        <v>46239</v>
      </c>
      <c r="C192" s="211">
        <v>46239</v>
      </c>
      <c r="D192" s="176" t="s">
        <v>4171</v>
      </c>
      <c r="E192" s="176" t="s">
        <v>4172</v>
      </c>
      <c r="F192" s="176" t="s">
        <v>87</v>
      </c>
      <c r="G192" s="176" t="s">
        <v>2513</v>
      </c>
      <c r="H192" s="176">
        <v>25</v>
      </c>
      <c r="I192" s="176">
        <v>30.8</v>
      </c>
      <c r="J192" s="176">
        <v>30.8</v>
      </c>
      <c r="K192" s="176">
        <v>4</v>
      </c>
      <c r="L192" s="176">
        <v>0</v>
      </c>
      <c r="M192" s="176" t="s">
        <v>148</v>
      </c>
      <c r="N192" s="176" t="s">
        <v>149</v>
      </c>
      <c r="O192" s="176" t="s">
        <v>150</v>
      </c>
      <c r="P192" s="176" t="s">
        <v>151</v>
      </c>
      <c r="Q192" s="176"/>
      <c r="R192" s="176" t="s">
        <v>4172</v>
      </c>
      <c r="S192" s="176"/>
      <c r="T192" s="176" t="s">
        <v>2665</v>
      </c>
      <c r="U192" s="176" t="s">
        <v>152</v>
      </c>
      <c r="V192" s="176" t="s">
        <v>23</v>
      </c>
    </row>
    <row r="193" spans="1:22" ht="12.75" customHeight="1">
      <c r="A193" s="65"/>
      <c r="B193" s="211">
        <v>46239</v>
      </c>
      <c r="C193" s="211">
        <v>46239</v>
      </c>
      <c r="D193" s="176" t="s">
        <v>4173</v>
      </c>
      <c r="E193" s="176" t="s">
        <v>4174</v>
      </c>
      <c r="F193" s="176" t="s">
        <v>87</v>
      </c>
      <c r="G193" s="176" t="s">
        <v>2513</v>
      </c>
      <c r="H193" s="176">
        <v>25</v>
      </c>
      <c r="I193" s="176">
        <v>30.8</v>
      </c>
      <c r="J193" s="176">
        <v>30.8</v>
      </c>
      <c r="K193" s="176">
        <v>4</v>
      </c>
      <c r="L193" s="176">
        <v>0</v>
      </c>
      <c r="M193" s="176" t="s">
        <v>148</v>
      </c>
      <c r="N193" s="176" t="s">
        <v>149</v>
      </c>
      <c r="O193" s="176" t="s">
        <v>150</v>
      </c>
      <c r="P193" s="176" t="s">
        <v>151</v>
      </c>
      <c r="Q193" s="176"/>
      <c r="R193" s="176" t="s">
        <v>4174</v>
      </c>
      <c r="S193" s="176"/>
      <c r="T193" s="176" t="s">
        <v>2665</v>
      </c>
      <c r="U193" s="176" t="s">
        <v>152</v>
      </c>
      <c r="V193" s="176" t="s">
        <v>23</v>
      </c>
    </row>
    <row r="194" spans="1:22" ht="12.75" customHeight="1">
      <c r="A194" s="65"/>
      <c r="B194" s="211">
        <v>46239</v>
      </c>
      <c r="C194" s="211">
        <v>46239</v>
      </c>
      <c r="D194" s="176" t="s">
        <v>4175</v>
      </c>
      <c r="E194" s="176" t="s">
        <v>4176</v>
      </c>
      <c r="F194" s="176" t="s">
        <v>87</v>
      </c>
      <c r="G194" s="176" t="s">
        <v>2514</v>
      </c>
      <c r="H194" s="176">
        <v>55</v>
      </c>
      <c r="I194" s="176">
        <v>42.2</v>
      </c>
      <c r="J194" s="176">
        <v>42.2</v>
      </c>
      <c r="K194" s="176">
        <v>5</v>
      </c>
      <c r="L194" s="176">
        <v>0</v>
      </c>
      <c r="M194" s="176" t="s">
        <v>148</v>
      </c>
      <c r="N194" s="176" t="s">
        <v>149</v>
      </c>
      <c r="O194" s="176" t="s">
        <v>150</v>
      </c>
      <c r="P194" s="176" t="s">
        <v>151</v>
      </c>
      <c r="Q194" s="176"/>
      <c r="R194" s="176" t="s">
        <v>4176</v>
      </c>
      <c r="S194" s="176"/>
      <c r="T194" s="176" t="s">
        <v>2665</v>
      </c>
      <c r="U194" s="176" t="s">
        <v>152</v>
      </c>
      <c r="V194" s="176" t="s">
        <v>23</v>
      </c>
    </row>
    <row r="195" spans="1:22" ht="12.75" customHeight="1">
      <c r="A195" s="65"/>
      <c r="B195" s="211">
        <v>46239</v>
      </c>
      <c r="C195" s="211">
        <v>46239</v>
      </c>
      <c r="D195" s="176" t="s">
        <v>4177</v>
      </c>
      <c r="E195" s="176" t="s">
        <v>4178</v>
      </c>
      <c r="F195" s="176" t="s">
        <v>87</v>
      </c>
      <c r="G195" s="176" t="s">
        <v>2357</v>
      </c>
      <c r="H195" s="176">
        <v>40</v>
      </c>
      <c r="I195" s="176">
        <v>29.8</v>
      </c>
      <c r="J195" s="176">
        <v>29.8</v>
      </c>
      <c r="K195" s="176">
        <v>5</v>
      </c>
      <c r="L195" s="176">
        <v>0</v>
      </c>
      <c r="M195" s="176" t="s">
        <v>148</v>
      </c>
      <c r="N195" s="176" t="s">
        <v>149</v>
      </c>
      <c r="O195" s="176" t="s">
        <v>150</v>
      </c>
      <c r="P195" s="176" t="s">
        <v>151</v>
      </c>
      <c r="Q195" s="176"/>
      <c r="R195" s="176" t="s">
        <v>4178</v>
      </c>
      <c r="S195" s="176"/>
      <c r="T195" s="176" t="s">
        <v>2665</v>
      </c>
      <c r="U195" s="176" t="s">
        <v>152</v>
      </c>
      <c r="V195" s="176" t="s">
        <v>23</v>
      </c>
    </row>
    <row r="196" spans="1:22" ht="12.75" customHeight="1">
      <c r="A196" s="65"/>
      <c r="B196" s="211">
        <v>46239</v>
      </c>
      <c r="C196" s="211">
        <v>46239</v>
      </c>
      <c r="D196" s="176" t="s">
        <v>4179</v>
      </c>
      <c r="E196" s="176" t="s">
        <v>4180</v>
      </c>
      <c r="F196" s="176" t="s">
        <v>87</v>
      </c>
      <c r="G196" s="176" t="s">
        <v>1678</v>
      </c>
      <c r="H196" s="176">
        <v>30</v>
      </c>
      <c r="I196" s="176">
        <v>33.4</v>
      </c>
      <c r="J196" s="176">
        <v>33.4</v>
      </c>
      <c r="K196" s="176">
        <v>4</v>
      </c>
      <c r="L196" s="176">
        <v>0</v>
      </c>
      <c r="M196" s="176" t="s">
        <v>148</v>
      </c>
      <c r="N196" s="176" t="s">
        <v>149</v>
      </c>
      <c r="O196" s="176" t="s">
        <v>150</v>
      </c>
      <c r="P196" s="176" t="s">
        <v>151</v>
      </c>
      <c r="Q196" s="176"/>
      <c r="R196" s="176" t="s">
        <v>4180</v>
      </c>
      <c r="S196" s="176"/>
      <c r="T196" s="176" t="s">
        <v>2665</v>
      </c>
      <c r="U196" s="176" t="s">
        <v>152</v>
      </c>
      <c r="V196" s="176" t="s">
        <v>23</v>
      </c>
    </row>
    <row r="197" spans="1:22" ht="12.75" customHeight="1">
      <c r="A197" s="65"/>
      <c r="B197" s="211">
        <v>46239</v>
      </c>
      <c r="C197" s="211">
        <v>46239</v>
      </c>
      <c r="D197" s="176" t="s">
        <v>4181</v>
      </c>
      <c r="E197" s="176" t="s">
        <v>4182</v>
      </c>
      <c r="F197" s="176" t="s">
        <v>87</v>
      </c>
      <c r="G197" s="176" t="s">
        <v>2357</v>
      </c>
      <c r="H197" s="176">
        <v>40</v>
      </c>
      <c r="I197" s="176">
        <v>30.4</v>
      </c>
      <c r="J197" s="176">
        <v>30.4</v>
      </c>
      <c r="K197" s="176">
        <v>5</v>
      </c>
      <c r="L197" s="176">
        <v>0</v>
      </c>
      <c r="M197" s="176" t="s">
        <v>148</v>
      </c>
      <c r="N197" s="176" t="s">
        <v>149</v>
      </c>
      <c r="O197" s="176" t="s">
        <v>150</v>
      </c>
      <c r="P197" s="176" t="s">
        <v>151</v>
      </c>
      <c r="Q197" s="176"/>
      <c r="R197" s="176" t="s">
        <v>4182</v>
      </c>
      <c r="S197" s="176"/>
      <c r="T197" s="176" t="s">
        <v>2665</v>
      </c>
      <c r="U197" s="176" t="s">
        <v>152</v>
      </c>
      <c r="V197" s="176" t="s">
        <v>23</v>
      </c>
    </row>
    <row r="198" spans="1:22" ht="12.75" customHeight="1">
      <c r="A198" s="65"/>
      <c r="B198" s="211">
        <v>46239</v>
      </c>
      <c r="C198" s="211">
        <v>46239</v>
      </c>
      <c r="D198" s="176" t="s">
        <v>4183</v>
      </c>
      <c r="E198" s="176" t="s">
        <v>4184</v>
      </c>
      <c r="F198" s="176" t="s">
        <v>87</v>
      </c>
      <c r="G198" s="176" t="s">
        <v>4000</v>
      </c>
      <c r="H198" s="176">
        <v>50</v>
      </c>
      <c r="I198" s="176">
        <v>40.4</v>
      </c>
      <c r="J198" s="176">
        <v>40.4</v>
      </c>
      <c r="K198" s="176">
        <v>5</v>
      </c>
      <c r="L198" s="176">
        <v>0</v>
      </c>
      <c r="M198" s="176" t="s">
        <v>148</v>
      </c>
      <c r="N198" s="176" t="s">
        <v>149</v>
      </c>
      <c r="O198" s="176" t="s">
        <v>150</v>
      </c>
      <c r="P198" s="176" t="s">
        <v>151</v>
      </c>
      <c r="Q198" s="176"/>
      <c r="R198" s="176" t="s">
        <v>4184</v>
      </c>
      <c r="S198" s="176"/>
      <c r="T198" s="176" t="s">
        <v>2665</v>
      </c>
      <c r="U198" s="176" t="s">
        <v>152</v>
      </c>
      <c r="V198" s="176" t="s">
        <v>23</v>
      </c>
    </row>
    <row r="199" spans="1:22" ht="12.75" customHeight="1">
      <c r="A199" s="65"/>
      <c r="B199" s="211">
        <v>46239</v>
      </c>
      <c r="C199" s="211">
        <v>46239</v>
      </c>
      <c r="D199" s="176" t="s">
        <v>4185</v>
      </c>
      <c r="E199" s="176" t="s">
        <v>4186</v>
      </c>
      <c r="F199" s="176" t="s">
        <v>87</v>
      </c>
      <c r="G199" s="176" t="s">
        <v>2513</v>
      </c>
      <c r="H199" s="176">
        <v>25</v>
      </c>
      <c r="I199" s="176">
        <v>29.8</v>
      </c>
      <c r="J199" s="176">
        <v>29.8</v>
      </c>
      <c r="K199" s="176">
        <v>4</v>
      </c>
      <c r="L199" s="176">
        <v>0</v>
      </c>
      <c r="M199" s="176" t="s">
        <v>148</v>
      </c>
      <c r="N199" s="176" t="s">
        <v>149</v>
      </c>
      <c r="O199" s="176" t="s">
        <v>150</v>
      </c>
      <c r="P199" s="176" t="s">
        <v>151</v>
      </c>
      <c r="Q199" s="176"/>
      <c r="R199" s="176" t="s">
        <v>4186</v>
      </c>
      <c r="S199" s="176"/>
      <c r="T199" s="176" t="s">
        <v>2665</v>
      </c>
      <c r="U199" s="176" t="s">
        <v>152</v>
      </c>
      <c r="V199" s="176" t="s">
        <v>23</v>
      </c>
    </row>
    <row r="200" spans="1:22" ht="12.75" customHeight="1">
      <c r="A200" s="65"/>
      <c r="B200" s="211">
        <v>46239</v>
      </c>
      <c r="C200" s="211">
        <v>46239</v>
      </c>
      <c r="D200" s="176" t="s">
        <v>4187</v>
      </c>
      <c r="E200" s="176" t="s">
        <v>4188</v>
      </c>
      <c r="F200" s="176" t="s">
        <v>87</v>
      </c>
      <c r="G200" s="176" t="s">
        <v>2334</v>
      </c>
      <c r="H200" s="176">
        <v>40</v>
      </c>
      <c r="I200" s="176">
        <v>43.8</v>
      </c>
      <c r="J200" s="176">
        <v>43.8</v>
      </c>
      <c r="K200" s="176">
        <v>5</v>
      </c>
      <c r="L200" s="176">
        <v>0</v>
      </c>
      <c r="M200" s="176" t="s">
        <v>148</v>
      </c>
      <c r="N200" s="176" t="s">
        <v>149</v>
      </c>
      <c r="O200" s="176" t="s">
        <v>150</v>
      </c>
      <c r="P200" s="176" t="s">
        <v>151</v>
      </c>
      <c r="Q200" s="176"/>
      <c r="R200" s="176" t="s">
        <v>4188</v>
      </c>
      <c r="S200" s="176"/>
      <c r="T200" s="176" t="s">
        <v>2665</v>
      </c>
      <c r="U200" s="176" t="s">
        <v>152</v>
      </c>
      <c r="V200" s="176" t="s">
        <v>23</v>
      </c>
    </row>
    <row r="201" spans="1:22" ht="12.75" customHeight="1">
      <c r="A201" s="65"/>
      <c r="B201" s="211">
        <v>46239</v>
      </c>
      <c r="C201" s="211">
        <v>46239</v>
      </c>
      <c r="D201" s="176" t="s">
        <v>4189</v>
      </c>
      <c r="E201" s="176" t="s">
        <v>4190</v>
      </c>
      <c r="F201" s="176" t="s">
        <v>87</v>
      </c>
      <c r="G201" s="176" t="s">
        <v>2357</v>
      </c>
      <c r="H201" s="176">
        <v>40</v>
      </c>
      <c r="I201" s="176">
        <v>31.4</v>
      </c>
      <c r="J201" s="176">
        <v>31.4</v>
      </c>
      <c r="K201" s="176">
        <v>5</v>
      </c>
      <c r="L201" s="176">
        <v>0</v>
      </c>
      <c r="M201" s="176" t="s">
        <v>148</v>
      </c>
      <c r="N201" s="176" t="s">
        <v>149</v>
      </c>
      <c r="O201" s="176" t="s">
        <v>150</v>
      </c>
      <c r="P201" s="176" t="s">
        <v>151</v>
      </c>
      <c r="Q201" s="176"/>
      <c r="R201" s="176" t="s">
        <v>4190</v>
      </c>
      <c r="S201" s="176"/>
      <c r="T201" s="176" t="s">
        <v>2665</v>
      </c>
      <c r="U201" s="176" t="s">
        <v>152</v>
      </c>
      <c r="V201" s="176" t="s">
        <v>23</v>
      </c>
    </row>
    <row r="202" spans="1:22" ht="12.75" customHeight="1">
      <c r="A202" s="65"/>
      <c r="B202" s="211">
        <v>46239</v>
      </c>
      <c r="C202" s="211">
        <v>46239</v>
      </c>
      <c r="D202" s="176" t="s">
        <v>4191</v>
      </c>
      <c r="E202" s="176" t="s">
        <v>4192</v>
      </c>
      <c r="F202" s="176" t="s">
        <v>87</v>
      </c>
      <c r="G202" s="176" t="s">
        <v>1678</v>
      </c>
      <c r="H202" s="176">
        <v>30</v>
      </c>
      <c r="I202" s="176">
        <v>33.799999999999997</v>
      </c>
      <c r="J202" s="176">
        <v>33.799999999999997</v>
      </c>
      <c r="K202" s="176">
        <v>4</v>
      </c>
      <c r="L202" s="176">
        <v>0</v>
      </c>
      <c r="M202" s="176" t="s">
        <v>148</v>
      </c>
      <c r="N202" s="176" t="s">
        <v>149</v>
      </c>
      <c r="O202" s="176" t="s">
        <v>150</v>
      </c>
      <c r="P202" s="176" t="s">
        <v>151</v>
      </c>
      <c r="Q202" s="176"/>
      <c r="R202" s="176" t="s">
        <v>4192</v>
      </c>
      <c r="S202" s="176"/>
      <c r="T202" s="176" t="s">
        <v>2665</v>
      </c>
      <c r="U202" s="176" t="s">
        <v>152</v>
      </c>
      <c r="V202" s="176" t="s">
        <v>23</v>
      </c>
    </row>
    <row r="203" spans="1:22" ht="12.75" customHeight="1">
      <c r="A203" s="65"/>
      <c r="B203" s="211">
        <v>46239</v>
      </c>
      <c r="C203" s="211">
        <v>46239</v>
      </c>
      <c r="D203" s="176" t="s">
        <v>4193</v>
      </c>
      <c r="E203" s="176" t="s">
        <v>4194</v>
      </c>
      <c r="F203" s="176" t="s">
        <v>87</v>
      </c>
      <c r="G203" s="176" t="s">
        <v>2513</v>
      </c>
      <c r="H203" s="176">
        <v>25</v>
      </c>
      <c r="I203" s="176">
        <v>15.8</v>
      </c>
      <c r="J203" s="176">
        <v>15.8</v>
      </c>
      <c r="K203" s="176">
        <v>4</v>
      </c>
      <c r="L203" s="176">
        <v>0</v>
      </c>
      <c r="M203" s="176" t="s">
        <v>148</v>
      </c>
      <c r="N203" s="176" t="s">
        <v>149</v>
      </c>
      <c r="O203" s="176" t="s">
        <v>150</v>
      </c>
      <c r="P203" s="176" t="s">
        <v>151</v>
      </c>
      <c r="Q203" s="176"/>
      <c r="R203" s="176" t="s">
        <v>4194</v>
      </c>
      <c r="S203" s="176"/>
      <c r="T203" s="176" t="s">
        <v>2665</v>
      </c>
      <c r="U203" s="176" t="s">
        <v>152</v>
      </c>
      <c r="V203" s="176" t="s">
        <v>23</v>
      </c>
    </row>
    <row r="204" spans="1:22" ht="12.75" customHeight="1">
      <c r="A204" s="65"/>
      <c r="B204" s="211">
        <v>46239</v>
      </c>
      <c r="C204" s="211">
        <v>46239</v>
      </c>
      <c r="D204" s="176" t="s">
        <v>4195</v>
      </c>
      <c r="E204" s="176" t="s">
        <v>4196</v>
      </c>
      <c r="F204" s="176" t="s">
        <v>87</v>
      </c>
      <c r="G204" s="176" t="s">
        <v>2513</v>
      </c>
      <c r="H204" s="176">
        <v>25</v>
      </c>
      <c r="I204" s="176">
        <v>34.5</v>
      </c>
      <c r="J204" s="176">
        <v>34.5</v>
      </c>
      <c r="K204" s="176">
        <v>4</v>
      </c>
      <c r="L204" s="176">
        <v>0</v>
      </c>
      <c r="M204" s="176" t="s">
        <v>148</v>
      </c>
      <c r="N204" s="176" t="s">
        <v>149</v>
      </c>
      <c r="O204" s="176" t="s">
        <v>150</v>
      </c>
      <c r="P204" s="176" t="s">
        <v>151</v>
      </c>
      <c r="Q204" s="176"/>
      <c r="R204" s="176" t="s">
        <v>4196</v>
      </c>
      <c r="S204" s="176"/>
      <c r="T204" s="176" t="s">
        <v>2665</v>
      </c>
      <c r="U204" s="176" t="s">
        <v>152</v>
      </c>
      <c r="V204" s="176" t="s">
        <v>23</v>
      </c>
    </row>
    <row r="205" spans="1:22" ht="12.75" customHeight="1">
      <c r="A205" s="65"/>
      <c r="B205" s="211">
        <v>46239</v>
      </c>
      <c r="C205" s="211">
        <v>46239</v>
      </c>
      <c r="D205" s="176" t="s">
        <v>4197</v>
      </c>
      <c r="E205" s="176" t="s">
        <v>4198</v>
      </c>
      <c r="F205" s="176" t="s">
        <v>87</v>
      </c>
      <c r="G205" s="176" t="s">
        <v>2357</v>
      </c>
      <c r="H205" s="176">
        <v>40</v>
      </c>
      <c r="I205" s="176">
        <v>35.799999999999997</v>
      </c>
      <c r="J205" s="176">
        <v>35.799999999999997</v>
      </c>
      <c r="K205" s="176">
        <v>5</v>
      </c>
      <c r="L205" s="176">
        <v>0</v>
      </c>
      <c r="M205" s="176" t="s">
        <v>148</v>
      </c>
      <c r="N205" s="176" t="s">
        <v>149</v>
      </c>
      <c r="O205" s="176" t="s">
        <v>150</v>
      </c>
      <c r="P205" s="176" t="s">
        <v>151</v>
      </c>
      <c r="Q205" s="176"/>
      <c r="R205" s="176" t="s">
        <v>4198</v>
      </c>
      <c r="S205" s="176"/>
      <c r="T205" s="176" t="s">
        <v>2665</v>
      </c>
      <c r="U205" s="176" t="s">
        <v>152</v>
      </c>
      <c r="V205" s="176" t="s">
        <v>23</v>
      </c>
    </row>
    <row r="206" spans="1:22" ht="12.75" customHeight="1">
      <c r="A206" s="65"/>
      <c r="B206" s="211">
        <v>46239</v>
      </c>
      <c r="C206" s="211">
        <v>46239</v>
      </c>
      <c r="D206" s="176" t="s">
        <v>4199</v>
      </c>
      <c r="E206" s="176" t="s">
        <v>4200</v>
      </c>
      <c r="F206" s="176" t="s">
        <v>87</v>
      </c>
      <c r="G206" s="176" t="s">
        <v>2513</v>
      </c>
      <c r="H206" s="176">
        <v>25</v>
      </c>
      <c r="I206" s="176">
        <v>29.3</v>
      </c>
      <c r="J206" s="176">
        <v>29.3</v>
      </c>
      <c r="K206" s="176">
        <v>4</v>
      </c>
      <c r="L206" s="176">
        <v>0</v>
      </c>
      <c r="M206" s="176" t="s">
        <v>148</v>
      </c>
      <c r="N206" s="176" t="s">
        <v>149</v>
      </c>
      <c r="O206" s="176" t="s">
        <v>150</v>
      </c>
      <c r="P206" s="176" t="s">
        <v>151</v>
      </c>
      <c r="Q206" s="176"/>
      <c r="R206" s="176" t="s">
        <v>4200</v>
      </c>
      <c r="S206" s="176"/>
      <c r="T206" s="176" t="s">
        <v>2665</v>
      </c>
      <c r="U206" s="176" t="s">
        <v>152</v>
      </c>
      <c r="V206" s="176" t="s">
        <v>23</v>
      </c>
    </row>
    <row r="207" spans="1:22" ht="12.75" customHeight="1">
      <c r="A207" s="65"/>
      <c r="B207" s="211">
        <v>46239</v>
      </c>
      <c r="C207" s="211">
        <v>46239</v>
      </c>
      <c r="D207" s="176" t="s">
        <v>4201</v>
      </c>
      <c r="E207" s="176" t="s">
        <v>4202</v>
      </c>
      <c r="F207" s="176" t="s">
        <v>87</v>
      </c>
      <c r="G207" s="176" t="s">
        <v>2357</v>
      </c>
      <c r="H207" s="176">
        <v>40</v>
      </c>
      <c r="I207" s="176">
        <v>32.799999999999997</v>
      </c>
      <c r="J207" s="176">
        <v>32.799999999999997</v>
      </c>
      <c r="K207" s="176">
        <v>5</v>
      </c>
      <c r="L207" s="176">
        <v>0</v>
      </c>
      <c r="M207" s="176" t="s">
        <v>148</v>
      </c>
      <c r="N207" s="176" t="s">
        <v>149</v>
      </c>
      <c r="O207" s="176" t="s">
        <v>150</v>
      </c>
      <c r="P207" s="176" t="s">
        <v>151</v>
      </c>
      <c r="Q207" s="176"/>
      <c r="R207" s="176" t="s">
        <v>4202</v>
      </c>
      <c r="S207" s="176"/>
      <c r="T207" s="176" t="s">
        <v>2665</v>
      </c>
      <c r="U207" s="176" t="s">
        <v>152</v>
      </c>
      <c r="V207" s="176" t="s">
        <v>23</v>
      </c>
    </row>
    <row r="208" spans="1:22" ht="12.75" customHeight="1">
      <c r="A208" s="65"/>
      <c r="B208" s="211">
        <v>46239</v>
      </c>
      <c r="C208" s="211">
        <v>46239</v>
      </c>
      <c r="D208" s="176" t="s">
        <v>4203</v>
      </c>
      <c r="E208" s="176" t="s">
        <v>4204</v>
      </c>
      <c r="F208" s="176" t="s">
        <v>87</v>
      </c>
      <c r="G208" s="176" t="s">
        <v>1678</v>
      </c>
      <c r="H208" s="176">
        <v>30</v>
      </c>
      <c r="I208" s="176">
        <v>35.799999999999997</v>
      </c>
      <c r="J208" s="176">
        <v>35.799999999999997</v>
      </c>
      <c r="K208" s="176">
        <v>4</v>
      </c>
      <c r="L208" s="176">
        <v>0</v>
      </c>
      <c r="M208" s="176" t="s">
        <v>148</v>
      </c>
      <c r="N208" s="176" t="s">
        <v>149</v>
      </c>
      <c r="O208" s="176" t="s">
        <v>150</v>
      </c>
      <c r="P208" s="176" t="s">
        <v>151</v>
      </c>
      <c r="Q208" s="176"/>
      <c r="R208" s="176" t="s">
        <v>4204</v>
      </c>
      <c r="S208" s="176"/>
      <c r="T208" s="176" t="s">
        <v>2665</v>
      </c>
      <c r="U208" s="176" t="s">
        <v>152</v>
      </c>
      <c r="V208" s="176" t="s">
        <v>23</v>
      </c>
    </row>
    <row r="209" spans="1:22" ht="12.75" customHeight="1">
      <c r="A209" s="65"/>
      <c r="B209" s="211">
        <v>46239</v>
      </c>
      <c r="C209" s="211">
        <v>46239</v>
      </c>
      <c r="D209" s="176" t="s">
        <v>4205</v>
      </c>
      <c r="E209" s="176" t="s">
        <v>4206</v>
      </c>
      <c r="F209" s="176" t="s">
        <v>87</v>
      </c>
      <c r="G209" s="176" t="s">
        <v>2333</v>
      </c>
      <c r="H209" s="176">
        <v>30</v>
      </c>
      <c r="I209" s="176">
        <v>24.8</v>
      </c>
      <c r="J209" s="176">
        <v>24.8</v>
      </c>
      <c r="K209" s="176">
        <v>4</v>
      </c>
      <c r="L209" s="176">
        <v>0</v>
      </c>
      <c r="M209" s="176" t="s">
        <v>148</v>
      </c>
      <c r="N209" s="176" t="s">
        <v>149</v>
      </c>
      <c r="O209" s="176" t="s">
        <v>150</v>
      </c>
      <c r="P209" s="176" t="s">
        <v>151</v>
      </c>
      <c r="Q209" s="176"/>
      <c r="R209" s="176" t="s">
        <v>4206</v>
      </c>
      <c r="S209" s="176"/>
      <c r="T209" s="176" t="s">
        <v>2665</v>
      </c>
      <c r="U209" s="176" t="s">
        <v>152</v>
      </c>
      <c r="V209" s="176" t="s">
        <v>23</v>
      </c>
    </row>
    <row r="210" spans="1:22" ht="12.75" customHeight="1">
      <c r="A210" s="65"/>
      <c r="B210" s="211">
        <v>46239</v>
      </c>
      <c r="C210" s="211">
        <v>46239</v>
      </c>
      <c r="D210" s="176" t="s">
        <v>4207</v>
      </c>
      <c r="E210" s="176" t="s">
        <v>4208</v>
      </c>
      <c r="F210" s="176" t="s">
        <v>87</v>
      </c>
      <c r="G210" s="176" t="s">
        <v>2514</v>
      </c>
      <c r="H210" s="176">
        <v>55</v>
      </c>
      <c r="I210" s="176">
        <v>27.8</v>
      </c>
      <c r="J210" s="176">
        <v>27.8</v>
      </c>
      <c r="K210" s="176">
        <v>5</v>
      </c>
      <c r="L210" s="176">
        <v>0</v>
      </c>
      <c r="M210" s="176" t="s">
        <v>148</v>
      </c>
      <c r="N210" s="176" t="s">
        <v>149</v>
      </c>
      <c r="O210" s="176" t="s">
        <v>150</v>
      </c>
      <c r="P210" s="176" t="s">
        <v>151</v>
      </c>
      <c r="Q210" s="176"/>
      <c r="R210" s="176" t="s">
        <v>4208</v>
      </c>
      <c r="S210" s="176"/>
      <c r="T210" s="176" t="s">
        <v>2665</v>
      </c>
      <c r="U210" s="176" t="s">
        <v>152</v>
      </c>
      <c r="V210" s="176" t="s">
        <v>23</v>
      </c>
    </row>
    <row r="211" spans="1:22" ht="12.75" customHeight="1">
      <c r="A211" s="65"/>
      <c r="B211" s="211">
        <v>46239</v>
      </c>
      <c r="C211" s="211">
        <v>46239</v>
      </c>
      <c r="D211" s="176" t="s">
        <v>4209</v>
      </c>
      <c r="E211" s="176" t="s">
        <v>4210</v>
      </c>
      <c r="F211" s="176" t="s">
        <v>87</v>
      </c>
      <c r="G211" s="176" t="s">
        <v>2334</v>
      </c>
      <c r="H211" s="176">
        <v>40</v>
      </c>
      <c r="I211" s="176">
        <v>37.299999999999997</v>
      </c>
      <c r="J211" s="176">
        <v>37.299999999999997</v>
      </c>
      <c r="K211" s="176">
        <v>5</v>
      </c>
      <c r="L211" s="176">
        <v>0</v>
      </c>
      <c r="M211" s="176" t="s">
        <v>148</v>
      </c>
      <c r="N211" s="176" t="s">
        <v>149</v>
      </c>
      <c r="O211" s="176" t="s">
        <v>150</v>
      </c>
      <c r="P211" s="176" t="s">
        <v>151</v>
      </c>
      <c r="Q211" s="176"/>
      <c r="R211" s="176" t="s">
        <v>4210</v>
      </c>
      <c r="S211" s="176"/>
      <c r="T211" s="176" t="s">
        <v>2665</v>
      </c>
      <c r="U211" s="176" t="s">
        <v>152</v>
      </c>
      <c r="V211" s="176" t="s">
        <v>23</v>
      </c>
    </row>
    <row r="212" spans="1:22" ht="12.75" customHeight="1">
      <c r="A212" s="65"/>
      <c r="B212" s="211">
        <v>46239</v>
      </c>
      <c r="C212" s="211">
        <v>46239</v>
      </c>
      <c r="D212" s="176" t="s">
        <v>4211</v>
      </c>
      <c r="E212" s="176" t="s">
        <v>4212</v>
      </c>
      <c r="F212" s="176" t="s">
        <v>87</v>
      </c>
      <c r="G212" s="176" t="s">
        <v>2357</v>
      </c>
      <c r="H212" s="176">
        <v>40</v>
      </c>
      <c r="I212" s="176">
        <v>29.3</v>
      </c>
      <c r="J212" s="176">
        <v>29.3</v>
      </c>
      <c r="K212" s="176">
        <v>5</v>
      </c>
      <c r="L212" s="176">
        <v>0</v>
      </c>
      <c r="M212" s="176" t="s">
        <v>148</v>
      </c>
      <c r="N212" s="176" t="s">
        <v>149</v>
      </c>
      <c r="O212" s="176" t="s">
        <v>150</v>
      </c>
      <c r="P212" s="176" t="s">
        <v>151</v>
      </c>
      <c r="Q212" s="176"/>
      <c r="R212" s="176" t="s">
        <v>4212</v>
      </c>
      <c r="S212" s="176"/>
      <c r="T212" s="176" t="s">
        <v>2665</v>
      </c>
      <c r="U212" s="176" t="s">
        <v>152</v>
      </c>
      <c r="V212" s="176" t="s">
        <v>23</v>
      </c>
    </row>
    <row r="213" spans="1:22" ht="12.75" customHeight="1">
      <c r="A213" s="65"/>
      <c r="B213" s="211">
        <v>46239</v>
      </c>
      <c r="C213" s="211">
        <v>46239</v>
      </c>
      <c r="D213" s="176" t="s">
        <v>4213</v>
      </c>
      <c r="E213" s="176" t="s">
        <v>4214</v>
      </c>
      <c r="F213" s="176" t="s">
        <v>87</v>
      </c>
      <c r="G213" s="176" t="s">
        <v>2513</v>
      </c>
      <c r="H213" s="176">
        <v>25</v>
      </c>
      <c r="I213" s="176">
        <v>30.8</v>
      </c>
      <c r="J213" s="176">
        <v>30.8</v>
      </c>
      <c r="K213" s="176">
        <v>4</v>
      </c>
      <c r="L213" s="176">
        <v>0</v>
      </c>
      <c r="M213" s="176" t="s">
        <v>148</v>
      </c>
      <c r="N213" s="176" t="s">
        <v>149</v>
      </c>
      <c r="O213" s="176" t="s">
        <v>150</v>
      </c>
      <c r="P213" s="176" t="s">
        <v>151</v>
      </c>
      <c r="Q213" s="176"/>
      <c r="R213" s="176" t="s">
        <v>4214</v>
      </c>
      <c r="S213" s="176"/>
      <c r="T213" s="176" t="s">
        <v>2665</v>
      </c>
      <c r="U213" s="176" t="s">
        <v>152</v>
      </c>
      <c r="V213" s="176" t="s">
        <v>23</v>
      </c>
    </row>
    <row r="214" spans="1:22" ht="12.75" customHeight="1">
      <c r="A214" s="65"/>
      <c r="B214" s="211">
        <v>46239</v>
      </c>
      <c r="C214" s="211">
        <v>46239</v>
      </c>
      <c r="D214" s="176" t="s">
        <v>4215</v>
      </c>
      <c r="E214" s="176" t="s">
        <v>4216</v>
      </c>
      <c r="F214" s="176" t="s">
        <v>87</v>
      </c>
      <c r="G214" s="176" t="s">
        <v>2513</v>
      </c>
      <c r="H214" s="176">
        <v>25</v>
      </c>
      <c r="I214" s="176">
        <v>40.5</v>
      </c>
      <c r="J214" s="176">
        <v>40.5</v>
      </c>
      <c r="K214" s="176">
        <v>4</v>
      </c>
      <c r="L214" s="176">
        <v>0</v>
      </c>
      <c r="M214" s="176" t="s">
        <v>148</v>
      </c>
      <c r="N214" s="176" t="s">
        <v>149</v>
      </c>
      <c r="O214" s="176" t="s">
        <v>150</v>
      </c>
      <c r="P214" s="176" t="s">
        <v>151</v>
      </c>
      <c r="Q214" s="176"/>
      <c r="R214" s="176" t="s">
        <v>4216</v>
      </c>
      <c r="S214" s="176"/>
      <c r="T214" s="176" t="s">
        <v>2665</v>
      </c>
      <c r="U214" s="176" t="s">
        <v>152</v>
      </c>
      <c r="V214" s="176" t="s">
        <v>23</v>
      </c>
    </row>
    <row r="215" spans="1:22" ht="12.75" customHeight="1">
      <c r="A215" s="65"/>
      <c r="B215" s="211">
        <v>46239</v>
      </c>
      <c r="C215" s="211">
        <v>46239</v>
      </c>
      <c r="D215" s="176" t="s">
        <v>4217</v>
      </c>
      <c r="E215" s="176" t="s">
        <v>4218</v>
      </c>
      <c r="F215" s="176" t="s">
        <v>87</v>
      </c>
      <c r="G215" s="176" t="s">
        <v>1678</v>
      </c>
      <c r="H215" s="176">
        <v>30</v>
      </c>
      <c r="I215" s="176">
        <v>28.2</v>
      </c>
      <c r="J215" s="176">
        <v>28.2</v>
      </c>
      <c r="K215" s="176">
        <v>4</v>
      </c>
      <c r="L215" s="176">
        <v>0</v>
      </c>
      <c r="M215" s="176" t="s">
        <v>148</v>
      </c>
      <c r="N215" s="176" t="s">
        <v>149</v>
      </c>
      <c r="O215" s="176" t="s">
        <v>150</v>
      </c>
      <c r="P215" s="176" t="s">
        <v>151</v>
      </c>
      <c r="Q215" s="176"/>
      <c r="R215" s="176" t="s">
        <v>4218</v>
      </c>
      <c r="S215" s="176"/>
      <c r="T215" s="176" t="s">
        <v>2665</v>
      </c>
      <c r="U215" s="176" t="s">
        <v>152</v>
      </c>
      <c r="V215" s="176" t="s">
        <v>23</v>
      </c>
    </row>
    <row r="216" spans="1:22" ht="12.75">
      <c r="A216" s="65"/>
      <c r="B216" s="211">
        <v>46239</v>
      </c>
      <c r="C216" s="211">
        <v>46239</v>
      </c>
      <c r="D216" s="176" t="s">
        <v>4219</v>
      </c>
      <c r="E216" s="176" t="s">
        <v>4220</v>
      </c>
      <c r="F216" s="176" t="s">
        <v>87</v>
      </c>
      <c r="G216" s="176" t="s">
        <v>2334</v>
      </c>
      <c r="H216" s="176">
        <v>40</v>
      </c>
      <c r="I216" s="176">
        <v>31.7</v>
      </c>
      <c r="J216" s="176">
        <v>31.7</v>
      </c>
      <c r="K216" s="176">
        <v>5</v>
      </c>
      <c r="L216" s="176">
        <v>0</v>
      </c>
      <c r="M216" s="176" t="s">
        <v>148</v>
      </c>
      <c r="N216" s="176" t="s">
        <v>149</v>
      </c>
      <c r="O216" s="176" t="s">
        <v>150</v>
      </c>
      <c r="P216" s="176" t="s">
        <v>151</v>
      </c>
      <c r="Q216" s="176"/>
      <c r="R216" s="176" t="s">
        <v>4220</v>
      </c>
      <c r="S216" s="176"/>
      <c r="T216" s="176" t="s">
        <v>2665</v>
      </c>
      <c r="U216" s="176" t="s">
        <v>152</v>
      </c>
      <c r="V216" s="176" t="s">
        <v>23</v>
      </c>
    </row>
    <row r="217" spans="1:22" ht="12.75">
      <c r="A217" s="65"/>
      <c r="B217" s="211">
        <v>46239</v>
      </c>
      <c r="C217" s="211">
        <v>46239</v>
      </c>
      <c r="D217" s="176" t="s">
        <v>4221</v>
      </c>
      <c r="E217" s="176" t="s">
        <v>4222</v>
      </c>
      <c r="F217" s="176" t="s">
        <v>87</v>
      </c>
      <c r="G217" s="176" t="s">
        <v>2334</v>
      </c>
      <c r="H217" s="176">
        <v>40</v>
      </c>
      <c r="I217" s="176">
        <v>30.5</v>
      </c>
      <c r="J217" s="176">
        <v>30.5</v>
      </c>
      <c r="K217" s="176">
        <v>5</v>
      </c>
      <c r="L217" s="176">
        <v>0</v>
      </c>
      <c r="M217" s="176" t="s">
        <v>148</v>
      </c>
      <c r="N217" s="176" t="s">
        <v>149</v>
      </c>
      <c r="O217" s="176" t="s">
        <v>150</v>
      </c>
      <c r="P217" s="176" t="s">
        <v>151</v>
      </c>
      <c r="Q217" s="176"/>
      <c r="R217" s="176" t="s">
        <v>4222</v>
      </c>
      <c r="S217" s="176"/>
      <c r="T217" s="176" t="s">
        <v>2665</v>
      </c>
      <c r="U217" s="176" t="s">
        <v>152</v>
      </c>
      <c r="V217" s="176" t="s">
        <v>23</v>
      </c>
    </row>
    <row r="218" spans="1:22" customFormat="1" ht="15">
      <c r="A218" s="65"/>
      <c r="B218" s="211">
        <v>46239</v>
      </c>
      <c r="C218" s="211">
        <v>46239</v>
      </c>
      <c r="D218" s="176" t="s">
        <v>4223</v>
      </c>
      <c r="E218" s="176" t="s">
        <v>4224</v>
      </c>
      <c r="F218" s="176" t="s">
        <v>87</v>
      </c>
      <c r="G218" s="176" t="s">
        <v>2334</v>
      </c>
      <c r="H218" s="176">
        <v>40</v>
      </c>
      <c r="I218" s="176">
        <v>33.799999999999997</v>
      </c>
      <c r="J218" s="176">
        <v>33.799999999999997</v>
      </c>
      <c r="K218" s="176">
        <v>5</v>
      </c>
      <c r="L218" s="176">
        <v>0</v>
      </c>
      <c r="M218" s="176" t="s">
        <v>148</v>
      </c>
      <c r="N218" s="176" t="s">
        <v>149</v>
      </c>
      <c r="O218" s="176" t="s">
        <v>150</v>
      </c>
      <c r="P218" s="176" t="s">
        <v>151</v>
      </c>
      <c r="Q218" s="176"/>
      <c r="R218" s="176" t="s">
        <v>4224</v>
      </c>
      <c r="S218" s="176"/>
      <c r="T218" s="176" t="s">
        <v>2665</v>
      </c>
      <c r="U218" s="176" t="s">
        <v>152</v>
      </c>
      <c r="V218" s="176" t="s">
        <v>23</v>
      </c>
    </row>
    <row r="219" spans="1:22" customFormat="1" ht="15">
      <c r="A219" s="65"/>
      <c r="B219" s="211">
        <v>46239</v>
      </c>
      <c r="C219" s="211">
        <v>46239</v>
      </c>
      <c r="D219" s="176" t="s">
        <v>4225</v>
      </c>
      <c r="E219" s="176" t="s">
        <v>4226</v>
      </c>
      <c r="F219" s="176" t="s">
        <v>87</v>
      </c>
      <c r="G219" s="176" t="s">
        <v>2334</v>
      </c>
      <c r="H219" s="176">
        <v>40</v>
      </c>
      <c r="I219" s="176">
        <v>34.5</v>
      </c>
      <c r="J219" s="176">
        <v>34.5</v>
      </c>
      <c r="K219" s="176">
        <v>5</v>
      </c>
      <c r="L219" s="176">
        <v>0</v>
      </c>
      <c r="M219" s="176" t="s">
        <v>148</v>
      </c>
      <c r="N219" s="176" t="s">
        <v>149</v>
      </c>
      <c r="O219" s="176" t="s">
        <v>150</v>
      </c>
      <c r="P219" s="176" t="s">
        <v>151</v>
      </c>
      <c r="Q219" s="176"/>
      <c r="R219" s="176" t="s">
        <v>4226</v>
      </c>
      <c r="S219" s="176"/>
      <c r="T219" s="176" t="s">
        <v>2665</v>
      </c>
      <c r="U219" s="176" t="s">
        <v>152</v>
      </c>
      <c r="V219" s="176" t="s">
        <v>23</v>
      </c>
    </row>
    <row r="220" spans="1:22" customFormat="1" ht="15">
      <c r="A220" s="65"/>
      <c r="B220" s="211">
        <v>46239</v>
      </c>
      <c r="C220" s="211">
        <v>46239</v>
      </c>
      <c r="D220" s="176" t="s">
        <v>4227</v>
      </c>
      <c r="E220" s="176" t="s">
        <v>4228</v>
      </c>
      <c r="F220" s="176" t="s">
        <v>87</v>
      </c>
      <c r="G220" s="176" t="s">
        <v>2406</v>
      </c>
      <c r="H220" s="176">
        <v>25</v>
      </c>
      <c r="I220" s="176">
        <v>41.2</v>
      </c>
      <c r="J220" s="176">
        <v>41.2</v>
      </c>
      <c r="K220" s="176">
        <v>4</v>
      </c>
      <c r="L220" s="176">
        <v>0</v>
      </c>
      <c r="M220" s="176" t="s">
        <v>148</v>
      </c>
      <c r="N220" s="176" t="s">
        <v>149</v>
      </c>
      <c r="O220" s="176" t="s">
        <v>150</v>
      </c>
      <c r="P220" s="176" t="s">
        <v>151</v>
      </c>
      <c r="Q220" s="176"/>
      <c r="R220" s="176" t="s">
        <v>4228</v>
      </c>
      <c r="S220" s="176"/>
      <c r="T220" s="176" t="s">
        <v>2665</v>
      </c>
      <c r="U220" s="176" t="s">
        <v>152</v>
      </c>
      <c r="V220" s="176" t="s">
        <v>23</v>
      </c>
    </row>
    <row r="221" spans="1:22" customFormat="1" ht="15">
      <c r="A221" s="65"/>
      <c r="B221" s="211">
        <v>46239</v>
      </c>
      <c r="C221" s="211">
        <v>46239</v>
      </c>
      <c r="D221" s="176" t="s">
        <v>4229</v>
      </c>
      <c r="E221" s="176" t="s">
        <v>4230</v>
      </c>
      <c r="F221" s="176" t="s">
        <v>87</v>
      </c>
      <c r="G221" s="176" t="s">
        <v>2513</v>
      </c>
      <c r="H221" s="176">
        <v>25</v>
      </c>
      <c r="I221" s="176">
        <v>40.4</v>
      </c>
      <c r="J221" s="176">
        <v>40.4</v>
      </c>
      <c r="K221" s="176">
        <v>4</v>
      </c>
      <c r="L221" s="176">
        <v>0</v>
      </c>
      <c r="M221" s="176" t="s">
        <v>148</v>
      </c>
      <c r="N221" s="176" t="s">
        <v>149</v>
      </c>
      <c r="O221" s="176" t="s">
        <v>150</v>
      </c>
      <c r="P221" s="176" t="s">
        <v>151</v>
      </c>
      <c r="Q221" s="176"/>
      <c r="R221" s="176" t="s">
        <v>4230</v>
      </c>
      <c r="S221" s="176"/>
      <c r="T221" s="176" t="s">
        <v>2665</v>
      </c>
      <c r="U221" s="176" t="s">
        <v>152</v>
      </c>
      <c r="V221" s="176" t="s">
        <v>23</v>
      </c>
    </row>
    <row r="222" spans="1:22" customFormat="1" ht="15">
      <c r="A222" s="65"/>
      <c r="B222" s="211">
        <v>46239</v>
      </c>
      <c r="C222" s="211">
        <v>46239</v>
      </c>
      <c r="D222" s="176" t="s">
        <v>4231</v>
      </c>
      <c r="E222" s="176" t="s">
        <v>4232</v>
      </c>
      <c r="F222" s="176" t="s">
        <v>87</v>
      </c>
      <c r="G222" s="176" t="s">
        <v>2514</v>
      </c>
      <c r="H222" s="176">
        <v>55</v>
      </c>
      <c r="I222" s="176">
        <v>37.299999999999997</v>
      </c>
      <c r="J222" s="176">
        <v>37.299999999999997</v>
      </c>
      <c r="K222" s="176">
        <v>5</v>
      </c>
      <c r="L222" s="176">
        <v>0</v>
      </c>
      <c r="M222" s="176" t="s">
        <v>148</v>
      </c>
      <c r="N222" s="176" t="s">
        <v>149</v>
      </c>
      <c r="O222" s="176" t="s">
        <v>150</v>
      </c>
      <c r="P222" s="176" t="s">
        <v>151</v>
      </c>
      <c r="Q222" s="176"/>
      <c r="R222" s="176" t="s">
        <v>4232</v>
      </c>
      <c r="S222" s="176"/>
      <c r="T222" s="176" t="s">
        <v>2665</v>
      </c>
      <c r="U222" s="176" t="s">
        <v>152</v>
      </c>
      <c r="V222" s="176" t="s">
        <v>23</v>
      </c>
    </row>
    <row r="223" spans="1:22" customFormat="1" ht="15">
      <c r="A223" s="65"/>
      <c r="B223" s="211">
        <v>46239</v>
      </c>
      <c r="C223" s="211">
        <v>46239</v>
      </c>
      <c r="D223" s="176" t="s">
        <v>4233</v>
      </c>
      <c r="E223" s="176" t="s">
        <v>4234</v>
      </c>
      <c r="F223" s="176" t="s">
        <v>87</v>
      </c>
      <c r="G223" s="176" t="s">
        <v>1678</v>
      </c>
      <c r="H223" s="176">
        <v>30</v>
      </c>
      <c r="I223" s="176">
        <v>32.799999999999997</v>
      </c>
      <c r="J223" s="176">
        <v>32.799999999999997</v>
      </c>
      <c r="K223" s="176">
        <v>4</v>
      </c>
      <c r="L223" s="176">
        <v>0</v>
      </c>
      <c r="M223" s="176" t="s">
        <v>148</v>
      </c>
      <c r="N223" s="176" t="s">
        <v>149</v>
      </c>
      <c r="O223" s="176" t="s">
        <v>150</v>
      </c>
      <c r="P223" s="176" t="s">
        <v>151</v>
      </c>
      <c r="Q223" s="176"/>
      <c r="R223" s="176" t="s">
        <v>4234</v>
      </c>
      <c r="S223" s="176"/>
      <c r="T223" s="176" t="s">
        <v>2665</v>
      </c>
      <c r="U223" s="176" t="s">
        <v>152</v>
      </c>
      <c r="V223" s="176" t="s">
        <v>23</v>
      </c>
    </row>
    <row r="224" spans="1:22" customFormat="1" ht="15">
      <c r="A224" s="65"/>
      <c r="B224" s="211">
        <v>46239</v>
      </c>
      <c r="C224" s="211">
        <v>46239</v>
      </c>
      <c r="D224" s="176" t="s">
        <v>4235</v>
      </c>
      <c r="E224" s="176" t="s">
        <v>4236</v>
      </c>
      <c r="F224" s="176" t="s">
        <v>87</v>
      </c>
      <c r="G224" s="176" t="s">
        <v>2357</v>
      </c>
      <c r="H224" s="176">
        <v>40</v>
      </c>
      <c r="I224" s="176">
        <v>27.8</v>
      </c>
      <c r="J224" s="176">
        <v>27.8</v>
      </c>
      <c r="K224" s="176">
        <v>5</v>
      </c>
      <c r="L224" s="176">
        <v>0</v>
      </c>
      <c r="M224" s="176" t="s">
        <v>148</v>
      </c>
      <c r="N224" s="176" t="s">
        <v>149</v>
      </c>
      <c r="O224" s="176" t="s">
        <v>150</v>
      </c>
      <c r="P224" s="176" t="s">
        <v>151</v>
      </c>
      <c r="Q224" s="176"/>
      <c r="R224" s="176" t="s">
        <v>4236</v>
      </c>
      <c r="S224" s="176"/>
      <c r="T224" s="176" t="s">
        <v>2665</v>
      </c>
      <c r="U224" s="176" t="s">
        <v>152</v>
      </c>
      <c r="V224" s="176" t="s">
        <v>23</v>
      </c>
    </row>
    <row r="225" spans="1:22" customFormat="1" ht="15">
      <c r="A225" s="65"/>
      <c r="B225" s="211">
        <v>46239</v>
      </c>
      <c r="C225" s="211">
        <v>46239</v>
      </c>
      <c r="D225" s="176" t="s">
        <v>4237</v>
      </c>
      <c r="E225" s="176" t="s">
        <v>4238</v>
      </c>
      <c r="F225" s="176" t="s">
        <v>87</v>
      </c>
      <c r="G225" s="176" t="s">
        <v>1966</v>
      </c>
      <c r="H225" s="176">
        <v>6</v>
      </c>
      <c r="I225" s="176">
        <v>18.8</v>
      </c>
      <c r="J225" s="176">
        <v>18.8</v>
      </c>
      <c r="K225" s="176">
        <v>1.5</v>
      </c>
      <c r="L225" s="176">
        <v>0</v>
      </c>
      <c r="M225" s="176" t="s">
        <v>148</v>
      </c>
      <c r="N225" s="176" t="s">
        <v>149</v>
      </c>
      <c r="O225" s="176" t="s">
        <v>150</v>
      </c>
      <c r="P225" s="176" t="s">
        <v>151</v>
      </c>
      <c r="Q225" s="176"/>
      <c r="R225" s="176" t="s">
        <v>4238</v>
      </c>
      <c r="S225" s="176"/>
      <c r="T225" s="176" t="s">
        <v>2665</v>
      </c>
      <c r="U225" s="176" t="s">
        <v>152</v>
      </c>
      <c r="V225" s="176" t="s">
        <v>23</v>
      </c>
    </row>
    <row r="226" spans="1:22" customFormat="1" ht="15">
      <c r="A226" s="65"/>
      <c r="B226" s="211">
        <v>46239</v>
      </c>
      <c r="C226" s="211">
        <v>46239</v>
      </c>
      <c r="D226" s="176" t="s">
        <v>4239</v>
      </c>
      <c r="E226" s="176" t="s">
        <v>4240</v>
      </c>
      <c r="F226" s="176" t="s">
        <v>87</v>
      </c>
      <c r="G226" s="176" t="s">
        <v>2357</v>
      </c>
      <c r="H226" s="176">
        <v>40</v>
      </c>
      <c r="I226" s="176">
        <v>28.8</v>
      </c>
      <c r="J226" s="176">
        <v>28.8</v>
      </c>
      <c r="K226" s="176">
        <v>5</v>
      </c>
      <c r="L226" s="176">
        <v>0</v>
      </c>
      <c r="M226" s="176" t="s">
        <v>148</v>
      </c>
      <c r="N226" s="176" t="s">
        <v>149</v>
      </c>
      <c r="O226" s="176" t="s">
        <v>150</v>
      </c>
      <c r="P226" s="176" t="s">
        <v>151</v>
      </c>
      <c r="Q226" s="176"/>
      <c r="R226" s="176" t="s">
        <v>4240</v>
      </c>
      <c r="S226" s="176"/>
      <c r="T226" s="176" t="s">
        <v>2665</v>
      </c>
      <c r="U226" s="176" t="s">
        <v>152</v>
      </c>
      <c r="V226" s="176" t="s">
        <v>23</v>
      </c>
    </row>
    <row r="227" spans="1:22" customFormat="1" ht="15">
      <c r="A227" s="65"/>
      <c r="B227" s="211">
        <v>46239</v>
      </c>
      <c r="C227" s="211">
        <v>46239</v>
      </c>
      <c r="D227" s="176" t="s">
        <v>4241</v>
      </c>
      <c r="E227" s="176" t="s">
        <v>4242</v>
      </c>
      <c r="F227" s="176" t="s">
        <v>87</v>
      </c>
      <c r="G227" s="176" t="s">
        <v>2357</v>
      </c>
      <c r="H227" s="176">
        <v>40</v>
      </c>
      <c r="I227" s="176">
        <v>30.3</v>
      </c>
      <c r="J227" s="176">
        <v>30.3</v>
      </c>
      <c r="K227" s="176">
        <v>5</v>
      </c>
      <c r="L227" s="176">
        <v>0</v>
      </c>
      <c r="M227" s="176" t="s">
        <v>148</v>
      </c>
      <c r="N227" s="176" t="s">
        <v>149</v>
      </c>
      <c r="O227" s="176" t="s">
        <v>150</v>
      </c>
      <c r="P227" s="176" t="s">
        <v>151</v>
      </c>
      <c r="Q227" s="176"/>
      <c r="R227" s="176" t="s">
        <v>4242</v>
      </c>
      <c r="S227" s="176"/>
      <c r="T227" s="176" t="s">
        <v>2665</v>
      </c>
      <c r="U227" s="176" t="s">
        <v>152</v>
      </c>
      <c r="V227" s="176" t="s">
        <v>23</v>
      </c>
    </row>
    <row r="228" spans="1:22" customFormat="1" ht="15">
      <c r="A228" s="65"/>
      <c r="B228" s="211">
        <v>46239</v>
      </c>
      <c r="C228" s="211">
        <v>46239</v>
      </c>
      <c r="D228" s="176" t="s">
        <v>4243</v>
      </c>
      <c r="E228" s="176" t="s">
        <v>4244</v>
      </c>
      <c r="F228" s="176" t="s">
        <v>87</v>
      </c>
      <c r="G228" s="176" t="s">
        <v>2357</v>
      </c>
      <c r="H228" s="176">
        <v>40</v>
      </c>
      <c r="I228" s="176">
        <v>36.200000000000003</v>
      </c>
      <c r="J228" s="176">
        <v>36.200000000000003</v>
      </c>
      <c r="K228" s="176">
        <v>5</v>
      </c>
      <c r="L228" s="176">
        <v>0</v>
      </c>
      <c r="M228" s="176" t="s">
        <v>148</v>
      </c>
      <c r="N228" s="176" t="s">
        <v>149</v>
      </c>
      <c r="O228" s="176" t="s">
        <v>150</v>
      </c>
      <c r="P228" s="176" t="s">
        <v>151</v>
      </c>
      <c r="Q228" s="176"/>
      <c r="R228" s="176" t="s">
        <v>4244</v>
      </c>
      <c r="S228" s="176"/>
      <c r="T228" s="176" t="s">
        <v>2665</v>
      </c>
      <c r="U228" s="176" t="s">
        <v>152</v>
      </c>
      <c r="V228" s="176" t="s">
        <v>23</v>
      </c>
    </row>
    <row r="229" spans="1:22" customFormat="1" ht="15">
      <c r="A229" s="65"/>
      <c r="B229" s="211">
        <v>46239</v>
      </c>
      <c r="C229" s="211">
        <v>46239</v>
      </c>
      <c r="D229" s="176" t="s">
        <v>4245</v>
      </c>
      <c r="E229" s="176" t="s">
        <v>4246</v>
      </c>
      <c r="F229" s="176" t="s">
        <v>87</v>
      </c>
      <c r="G229" s="176" t="s">
        <v>2513</v>
      </c>
      <c r="H229" s="176">
        <v>25</v>
      </c>
      <c r="I229" s="176">
        <v>41.2</v>
      </c>
      <c r="J229" s="176">
        <v>41.2</v>
      </c>
      <c r="K229" s="176">
        <v>4</v>
      </c>
      <c r="L229" s="176">
        <v>0</v>
      </c>
      <c r="M229" s="176" t="s">
        <v>148</v>
      </c>
      <c r="N229" s="176" t="s">
        <v>149</v>
      </c>
      <c r="O229" s="176" t="s">
        <v>150</v>
      </c>
      <c r="P229" s="176" t="s">
        <v>151</v>
      </c>
      <c r="Q229" s="176"/>
      <c r="R229" s="176" t="s">
        <v>4246</v>
      </c>
      <c r="S229" s="176"/>
      <c r="T229" s="176" t="s">
        <v>2665</v>
      </c>
      <c r="U229" s="176" t="s">
        <v>152</v>
      </c>
      <c r="V229" s="176" t="s">
        <v>23</v>
      </c>
    </row>
    <row r="230" spans="1:22" customFormat="1" ht="15">
      <c r="A230" s="65"/>
      <c r="B230" s="211">
        <v>46239</v>
      </c>
      <c r="C230" s="211">
        <v>46239</v>
      </c>
      <c r="D230" s="176" t="s">
        <v>4247</v>
      </c>
      <c r="E230" s="176" t="s">
        <v>4248</v>
      </c>
      <c r="F230" s="176" t="s">
        <v>87</v>
      </c>
      <c r="G230" s="176" t="s">
        <v>2513</v>
      </c>
      <c r="H230" s="176">
        <v>25</v>
      </c>
      <c r="I230" s="176">
        <v>37.799999999999997</v>
      </c>
      <c r="J230" s="176">
        <v>37.799999999999997</v>
      </c>
      <c r="K230" s="176">
        <v>4</v>
      </c>
      <c r="L230" s="176">
        <v>0</v>
      </c>
      <c r="M230" s="176" t="s">
        <v>148</v>
      </c>
      <c r="N230" s="176" t="s">
        <v>149</v>
      </c>
      <c r="O230" s="176" t="s">
        <v>150</v>
      </c>
      <c r="P230" s="176" t="s">
        <v>151</v>
      </c>
      <c r="Q230" s="176"/>
      <c r="R230" s="176" t="s">
        <v>4248</v>
      </c>
      <c r="S230" s="176"/>
      <c r="T230" s="176" t="s">
        <v>2665</v>
      </c>
      <c r="U230" s="176" t="s">
        <v>152</v>
      </c>
      <c r="V230" s="176" t="s">
        <v>23</v>
      </c>
    </row>
    <row r="231" spans="1:22" customFormat="1" ht="15">
      <c r="A231" s="65"/>
      <c r="B231" s="211">
        <v>46239</v>
      </c>
      <c r="C231" s="211">
        <v>46239</v>
      </c>
      <c r="D231" s="176" t="s">
        <v>4249</v>
      </c>
      <c r="E231" s="176" t="s">
        <v>4250</v>
      </c>
      <c r="F231" s="176" t="s">
        <v>87</v>
      </c>
      <c r="G231" s="176" t="s">
        <v>1678</v>
      </c>
      <c r="H231" s="176">
        <v>30</v>
      </c>
      <c r="I231" s="176">
        <v>29.8</v>
      </c>
      <c r="J231" s="176">
        <v>29.8</v>
      </c>
      <c r="K231" s="176">
        <v>4</v>
      </c>
      <c r="L231" s="176">
        <v>0</v>
      </c>
      <c r="M231" s="176" t="s">
        <v>148</v>
      </c>
      <c r="N231" s="176" t="s">
        <v>149</v>
      </c>
      <c r="O231" s="176" t="s">
        <v>150</v>
      </c>
      <c r="P231" s="176" t="s">
        <v>151</v>
      </c>
      <c r="Q231" s="176"/>
      <c r="R231" s="176" t="s">
        <v>4250</v>
      </c>
      <c r="S231" s="176"/>
      <c r="T231" s="176" t="s">
        <v>2665</v>
      </c>
      <c r="U231" s="176" t="s">
        <v>152</v>
      </c>
      <c r="V231" s="176" t="s">
        <v>23</v>
      </c>
    </row>
    <row r="232" spans="1:22" customFormat="1" ht="15">
      <c r="A232" s="65"/>
      <c r="B232" s="211">
        <v>46239</v>
      </c>
      <c r="C232" s="211">
        <v>46239</v>
      </c>
      <c r="D232" s="176" t="s">
        <v>4251</v>
      </c>
      <c r="E232" s="176" t="s">
        <v>4252</v>
      </c>
      <c r="F232" s="176" t="s">
        <v>87</v>
      </c>
      <c r="G232" s="176" t="s">
        <v>2357</v>
      </c>
      <c r="H232" s="176">
        <v>40</v>
      </c>
      <c r="I232" s="176">
        <v>39.200000000000003</v>
      </c>
      <c r="J232" s="176">
        <v>39.200000000000003</v>
      </c>
      <c r="K232" s="176">
        <v>5</v>
      </c>
      <c r="L232" s="176">
        <v>0</v>
      </c>
      <c r="M232" s="176" t="s">
        <v>148</v>
      </c>
      <c r="N232" s="176" t="s">
        <v>149</v>
      </c>
      <c r="O232" s="176" t="s">
        <v>150</v>
      </c>
      <c r="P232" s="176" t="s">
        <v>151</v>
      </c>
      <c r="Q232" s="176"/>
      <c r="R232" s="176" t="s">
        <v>4252</v>
      </c>
      <c r="S232" s="176"/>
      <c r="T232" s="176" t="s">
        <v>2665</v>
      </c>
      <c r="U232" s="176" t="s">
        <v>152</v>
      </c>
      <c r="V232" s="176" t="s">
        <v>23</v>
      </c>
    </row>
    <row r="233" spans="1:22" customFormat="1" ht="15">
      <c r="A233" s="65"/>
      <c r="B233" s="211">
        <v>46239</v>
      </c>
      <c r="C233" s="211">
        <v>46239</v>
      </c>
      <c r="D233" s="176" t="s">
        <v>4253</v>
      </c>
      <c r="E233" s="176" t="s">
        <v>4254</v>
      </c>
      <c r="F233" s="176" t="s">
        <v>87</v>
      </c>
      <c r="G233" s="176" t="s">
        <v>2515</v>
      </c>
      <c r="H233" s="176">
        <v>50</v>
      </c>
      <c r="I233" s="176">
        <v>20.8</v>
      </c>
      <c r="J233" s="176">
        <v>20.8</v>
      </c>
      <c r="K233" s="176">
        <v>5</v>
      </c>
      <c r="L233" s="176">
        <v>0</v>
      </c>
      <c r="M233" s="176" t="s">
        <v>148</v>
      </c>
      <c r="N233" s="176" t="s">
        <v>149</v>
      </c>
      <c r="O233" s="176" t="s">
        <v>150</v>
      </c>
      <c r="P233" s="176" t="s">
        <v>151</v>
      </c>
      <c r="Q233" s="176"/>
      <c r="R233" s="176" t="s">
        <v>4254</v>
      </c>
      <c r="S233" s="176"/>
      <c r="T233" s="176" t="s">
        <v>2665</v>
      </c>
      <c r="U233" s="176" t="s">
        <v>152</v>
      </c>
      <c r="V233" s="176" t="s">
        <v>23</v>
      </c>
    </row>
    <row r="234" spans="1:22" customFormat="1" ht="15">
      <c r="A234" s="65"/>
      <c r="B234" s="211">
        <v>46239</v>
      </c>
      <c r="C234" s="211">
        <v>46239</v>
      </c>
      <c r="D234" s="176" t="s">
        <v>4255</v>
      </c>
      <c r="E234" s="176" t="s">
        <v>4256</v>
      </c>
      <c r="F234" s="176" t="s">
        <v>87</v>
      </c>
      <c r="G234" s="176" t="s">
        <v>2333</v>
      </c>
      <c r="H234" s="176">
        <v>30</v>
      </c>
      <c r="I234" s="176">
        <v>21.8</v>
      </c>
      <c r="J234" s="176">
        <v>21.8</v>
      </c>
      <c r="K234" s="176">
        <v>4</v>
      </c>
      <c r="L234" s="176">
        <v>0</v>
      </c>
      <c r="M234" s="176" t="s">
        <v>148</v>
      </c>
      <c r="N234" s="176" t="s">
        <v>149</v>
      </c>
      <c r="O234" s="176" t="s">
        <v>150</v>
      </c>
      <c r="P234" s="176" t="s">
        <v>151</v>
      </c>
      <c r="Q234" s="176"/>
      <c r="R234" s="176" t="s">
        <v>4256</v>
      </c>
      <c r="S234" s="176"/>
      <c r="T234" s="176" t="s">
        <v>2665</v>
      </c>
      <c r="U234" s="176" t="s">
        <v>152</v>
      </c>
      <c r="V234" s="176" t="s">
        <v>23</v>
      </c>
    </row>
    <row r="235" spans="1:22" customFormat="1" ht="15">
      <c r="A235" s="65"/>
      <c r="B235" s="211">
        <v>46239</v>
      </c>
      <c r="C235" s="211">
        <v>46239</v>
      </c>
      <c r="D235" s="176" t="s">
        <v>4257</v>
      </c>
      <c r="E235" s="176" t="s">
        <v>4258</v>
      </c>
      <c r="F235" s="176" t="s">
        <v>87</v>
      </c>
      <c r="G235" s="176" t="s">
        <v>2357</v>
      </c>
      <c r="H235" s="176">
        <v>40</v>
      </c>
      <c r="I235" s="176">
        <v>35.4</v>
      </c>
      <c r="J235" s="176">
        <v>35.4</v>
      </c>
      <c r="K235" s="176">
        <v>5</v>
      </c>
      <c r="L235" s="176">
        <v>0</v>
      </c>
      <c r="M235" s="176" t="s">
        <v>148</v>
      </c>
      <c r="N235" s="176" t="s">
        <v>149</v>
      </c>
      <c r="O235" s="176" t="s">
        <v>150</v>
      </c>
      <c r="P235" s="176" t="s">
        <v>151</v>
      </c>
      <c r="Q235" s="176"/>
      <c r="R235" s="176" t="s">
        <v>4258</v>
      </c>
      <c r="S235" s="176"/>
      <c r="T235" s="176" t="s">
        <v>2665</v>
      </c>
      <c r="U235" s="176" t="s">
        <v>152</v>
      </c>
      <c r="V235" s="176" t="s">
        <v>23</v>
      </c>
    </row>
    <row r="236" spans="1:22" customFormat="1" ht="15">
      <c r="A236" s="65"/>
      <c r="B236" s="211">
        <v>46239</v>
      </c>
      <c r="C236" s="211">
        <v>46239</v>
      </c>
      <c r="D236" s="176" t="s">
        <v>4259</v>
      </c>
      <c r="E236" s="176" t="s">
        <v>4260</v>
      </c>
      <c r="F236" s="176" t="s">
        <v>87</v>
      </c>
      <c r="G236" s="176" t="s">
        <v>4000</v>
      </c>
      <c r="H236" s="176">
        <v>50</v>
      </c>
      <c r="I236" s="176">
        <v>32.299999999999997</v>
      </c>
      <c r="J236" s="176">
        <v>32.299999999999997</v>
      </c>
      <c r="K236" s="176">
        <v>5</v>
      </c>
      <c r="L236" s="176">
        <v>0</v>
      </c>
      <c r="M236" s="176" t="s">
        <v>148</v>
      </c>
      <c r="N236" s="176" t="s">
        <v>149</v>
      </c>
      <c r="O236" s="176" t="s">
        <v>150</v>
      </c>
      <c r="P236" s="176" t="s">
        <v>151</v>
      </c>
      <c r="Q236" s="176"/>
      <c r="R236" s="176" t="s">
        <v>4260</v>
      </c>
      <c r="S236" s="176"/>
      <c r="T236" s="176" t="s">
        <v>2665</v>
      </c>
      <c r="U236" s="176" t="s">
        <v>152</v>
      </c>
      <c r="V236" s="176" t="s">
        <v>23</v>
      </c>
    </row>
    <row r="237" spans="1:22" customFormat="1" ht="15">
      <c r="A237" s="65"/>
      <c r="B237" s="211">
        <v>46239</v>
      </c>
      <c r="C237" s="211">
        <v>46239</v>
      </c>
      <c r="D237" s="176" t="s">
        <v>4261</v>
      </c>
      <c r="E237" s="176" t="s">
        <v>4262</v>
      </c>
      <c r="F237" s="176" t="s">
        <v>87</v>
      </c>
      <c r="G237" s="176" t="s">
        <v>2512</v>
      </c>
      <c r="H237" s="176">
        <v>40</v>
      </c>
      <c r="I237" s="176">
        <v>27.6</v>
      </c>
      <c r="J237" s="176">
        <v>27.6</v>
      </c>
      <c r="K237" s="176">
        <v>5</v>
      </c>
      <c r="L237" s="176">
        <v>0</v>
      </c>
      <c r="M237" s="176" t="s">
        <v>148</v>
      </c>
      <c r="N237" s="176" t="s">
        <v>149</v>
      </c>
      <c r="O237" s="176" t="s">
        <v>150</v>
      </c>
      <c r="P237" s="176" t="s">
        <v>151</v>
      </c>
      <c r="Q237" s="176"/>
      <c r="R237" s="176" t="s">
        <v>4262</v>
      </c>
      <c r="S237" s="176"/>
      <c r="T237" s="176" t="s">
        <v>2665</v>
      </c>
      <c r="U237" s="176" t="s">
        <v>152</v>
      </c>
      <c r="V237" s="176" t="s">
        <v>23</v>
      </c>
    </row>
    <row r="238" spans="1:22" customFormat="1" ht="15">
      <c r="A238" s="65"/>
      <c r="B238" s="211">
        <v>46239</v>
      </c>
      <c r="C238" s="211">
        <v>46239</v>
      </c>
      <c r="D238" s="176" t="s">
        <v>4263</v>
      </c>
      <c r="E238" s="176" t="s">
        <v>4264</v>
      </c>
      <c r="F238" s="176" t="s">
        <v>87</v>
      </c>
      <c r="G238" s="176" t="s">
        <v>2513</v>
      </c>
      <c r="H238" s="176">
        <v>25</v>
      </c>
      <c r="I238" s="176">
        <v>38.299999999999997</v>
      </c>
      <c r="J238" s="176">
        <v>38.299999999999997</v>
      </c>
      <c r="K238" s="176">
        <v>4</v>
      </c>
      <c r="L238" s="176">
        <v>0</v>
      </c>
      <c r="M238" s="176" t="s">
        <v>148</v>
      </c>
      <c r="N238" s="176" t="s">
        <v>149</v>
      </c>
      <c r="O238" s="176" t="s">
        <v>150</v>
      </c>
      <c r="P238" s="176" t="s">
        <v>151</v>
      </c>
      <c r="Q238" s="176"/>
      <c r="R238" s="176" t="s">
        <v>4264</v>
      </c>
      <c r="S238" s="176"/>
      <c r="T238" s="176" t="s">
        <v>2665</v>
      </c>
      <c r="U238" s="176" t="s">
        <v>152</v>
      </c>
      <c r="V238" s="176" t="s">
        <v>23</v>
      </c>
    </row>
    <row r="239" spans="1:22" customFormat="1" ht="15">
      <c r="A239" s="65"/>
      <c r="B239" s="211">
        <v>46239</v>
      </c>
      <c r="C239" s="211">
        <v>46239</v>
      </c>
      <c r="D239" s="176" t="s">
        <v>4265</v>
      </c>
      <c r="E239" s="176" t="s">
        <v>4266</v>
      </c>
      <c r="F239" s="176" t="s">
        <v>87</v>
      </c>
      <c r="G239" s="176" t="s">
        <v>2513</v>
      </c>
      <c r="H239" s="176">
        <v>25</v>
      </c>
      <c r="I239" s="176">
        <v>34.299999999999997</v>
      </c>
      <c r="J239" s="176">
        <v>34.299999999999997</v>
      </c>
      <c r="K239" s="176">
        <v>4</v>
      </c>
      <c r="L239" s="176">
        <v>0</v>
      </c>
      <c r="M239" s="176" t="s">
        <v>148</v>
      </c>
      <c r="N239" s="176" t="s">
        <v>149</v>
      </c>
      <c r="O239" s="176" t="s">
        <v>150</v>
      </c>
      <c r="P239" s="176" t="s">
        <v>151</v>
      </c>
      <c r="Q239" s="176"/>
      <c r="R239" s="176" t="s">
        <v>4266</v>
      </c>
      <c r="S239" s="176"/>
      <c r="T239" s="176" t="s">
        <v>2665</v>
      </c>
      <c r="U239" s="176" t="s">
        <v>152</v>
      </c>
      <c r="V239" s="176" t="s">
        <v>23</v>
      </c>
    </row>
    <row r="240" spans="1:22" customFormat="1" ht="15">
      <c r="A240" s="65"/>
      <c r="B240" s="211">
        <v>46239</v>
      </c>
      <c r="C240" s="211">
        <v>46239</v>
      </c>
      <c r="D240" s="176" t="s">
        <v>4267</v>
      </c>
      <c r="E240" s="176" t="s">
        <v>4268</v>
      </c>
      <c r="F240" s="176" t="s">
        <v>87</v>
      </c>
      <c r="G240" s="176" t="s">
        <v>2513</v>
      </c>
      <c r="H240" s="176">
        <v>25</v>
      </c>
      <c r="I240" s="176">
        <v>45.2</v>
      </c>
      <c r="J240" s="176">
        <v>45.2</v>
      </c>
      <c r="K240" s="176">
        <v>4</v>
      </c>
      <c r="L240" s="176">
        <v>0</v>
      </c>
      <c r="M240" s="176" t="s">
        <v>148</v>
      </c>
      <c r="N240" s="176" t="s">
        <v>149</v>
      </c>
      <c r="O240" s="176" t="s">
        <v>150</v>
      </c>
      <c r="P240" s="176" t="s">
        <v>151</v>
      </c>
      <c r="Q240" s="176"/>
      <c r="R240" s="176" t="s">
        <v>4268</v>
      </c>
      <c r="S240" s="176"/>
      <c r="T240" s="176" t="s">
        <v>2665</v>
      </c>
      <c r="U240" s="176" t="s">
        <v>152</v>
      </c>
      <c r="V240" s="176" t="s">
        <v>23</v>
      </c>
    </row>
    <row r="241" spans="1:22" customFormat="1" ht="15">
      <c r="A241" s="65"/>
      <c r="B241" s="211">
        <v>46239</v>
      </c>
      <c r="C241" s="211">
        <v>46239</v>
      </c>
      <c r="D241" s="176" t="s">
        <v>4269</v>
      </c>
      <c r="E241" s="176" t="s">
        <v>4270</v>
      </c>
      <c r="F241" s="176" t="s">
        <v>87</v>
      </c>
      <c r="G241" s="176" t="s">
        <v>2357</v>
      </c>
      <c r="H241" s="176">
        <v>40</v>
      </c>
      <c r="I241" s="176">
        <v>28.1</v>
      </c>
      <c r="J241" s="176">
        <v>28.1</v>
      </c>
      <c r="K241" s="176">
        <v>5</v>
      </c>
      <c r="L241" s="176">
        <v>0</v>
      </c>
      <c r="M241" s="176" t="s">
        <v>148</v>
      </c>
      <c r="N241" s="176" t="s">
        <v>149</v>
      </c>
      <c r="O241" s="176" t="s">
        <v>150</v>
      </c>
      <c r="P241" s="176" t="s">
        <v>151</v>
      </c>
      <c r="Q241" s="176"/>
      <c r="R241" s="176" t="s">
        <v>4270</v>
      </c>
      <c r="S241" s="176"/>
      <c r="T241" s="176" t="s">
        <v>2665</v>
      </c>
      <c r="U241" s="176" t="s">
        <v>152</v>
      </c>
      <c r="V241" s="176" t="s">
        <v>23</v>
      </c>
    </row>
    <row r="242" spans="1:22" customFormat="1" ht="15">
      <c r="A242" s="65"/>
      <c r="B242" s="211">
        <v>46239</v>
      </c>
      <c r="C242" s="211">
        <v>46239</v>
      </c>
      <c r="D242" s="176" t="s">
        <v>4271</v>
      </c>
      <c r="E242" s="176" t="s">
        <v>4272</v>
      </c>
      <c r="F242" s="176" t="s">
        <v>87</v>
      </c>
      <c r="G242" s="176" t="s">
        <v>2512</v>
      </c>
      <c r="H242" s="176">
        <v>40</v>
      </c>
      <c r="I242" s="176">
        <v>22.2</v>
      </c>
      <c r="J242" s="176">
        <v>22.2</v>
      </c>
      <c r="K242" s="176">
        <v>5</v>
      </c>
      <c r="L242" s="176">
        <v>0</v>
      </c>
      <c r="M242" s="176" t="s">
        <v>148</v>
      </c>
      <c r="N242" s="176" t="s">
        <v>149</v>
      </c>
      <c r="O242" s="176" t="s">
        <v>150</v>
      </c>
      <c r="P242" s="176" t="s">
        <v>151</v>
      </c>
      <c r="Q242" s="176"/>
      <c r="R242" s="176" t="s">
        <v>4272</v>
      </c>
      <c r="S242" s="176"/>
      <c r="T242" s="176" t="s">
        <v>2665</v>
      </c>
      <c r="U242" s="176" t="s">
        <v>152</v>
      </c>
      <c r="V242" s="176" t="s">
        <v>23</v>
      </c>
    </row>
    <row r="243" spans="1:22" customFormat="1" ht="15">
      <c r="A243" s="65"/>
      <c r="B243" s="211">
        <v>46239</v>
      </c>
      <c r="C243" s="211">
        <v>46239</v>
      </c>
      <c r="D243" s="176" t="s">
        <v>4273</v>
      </c>
      <c r="E243" s="176" t="s">
        <v>4274</v>
      </c>
      <c r="F243" s="176" t="s">
        <v>87</v>
      </c>
      <c r="G243" s="176" t="s">
        <v>1678</v>
      </c>
      <c r="H243" s="176">
        <v>30</v>
      </c>
      <c r="I243" s="176">
        <v>35.799999999999997</v>
      </c>
      <c r="J243" s="176">
        <v>35.799999999999997</v>
      </c>
      <c r="K243" s="176">
        <v>4</v>
      </c>
      <c r="L243" s="176">
        <v>0</v>
      </c>
      <c r="M243" s="176" t="s">
        <v>148</v>
      </c>
      <c r="N243" s="176" t="s">
        <v>149</v>
      </c>
      <c r="O243" s="176" t="s">
        <v>150</v>
      </c>
      <c r="P243" s="176" t="s">
        <v>151</v>
      </c>
      <c r="Q243" s="176"/>
      <c r="R243" s="176" t="s">
        <v>4274</v>
      </c>
      <c r="S243" s="176"/>
      <c r="T243" s="176" t="s">
        <v>2665</v>
      </c>
      <c r="U243" s="176" t="s">
        <v>152</v>
      </c>
      <c r="V243" s="176" t="s">
        <v>23</v>
      </c>
    </row>
    <row r="244" spans="1:22" customFormat="1" ht="15">
      <c r="A244" s="65"/>
      <c r="B244" s="211">
        <v>46239</v>
      </c>
      <c r="C244" s="211">
        <v>46239</v>
      </c>
      <c r="D244" s="176" t="s">
        <v>4275</v>
      </c>
      <c r="E244" s="176" t="s">
        <v>4276</v>
      </c>
      <c r="F244" s="176" t="s">
        <v>87</v>
      </c>
      <c r="G244" s="176" t="s">
        <v>4000</v>
      </c>
      <c r="H244" s="176">
        <v>50</v>
      </c>
      <c r="I244" s="176">
        <v>38</v>
      </c>
      <c r="J244" s="176">
        <v>38</v>
      </c>
      <c r="K244" s="176">
        <v>5</v>
      </c>
      <c r="L244" s="176">
        <v>0</v>
      </c>
      <c r="M244" s="176" t="s">
        <v>148</v>
      </c>
      <c r="N244" s="176" t="s">
        <v>149</v>
      </c>
      <c r="O244" s="176" t="s">
        <v>150</v>
      </c>
      <c r="P244" s="176" t="s">
        <v>151</v>
      </c>
      <c r="Q244" s="176"/>
      <c r="R244" s="176" t="s">
        <v>4276</v>
      </c>
      <c r="S244" s="176"/>
      <c r="T244" s="176" t="s">
        <v>2665</v>
      </c>
      <c r="U244" s="176" t="s">
        <v>152</v>
      </c>
      <c r="V244" s="176" t="s">
        <v>23</v>
      </c>
    </row>
    <row r="245" spans="1:22" customFormat="1" ht="15">
      <c r="A245" s="65"/>
      <c r="B245" s="211">
        <v>46239</v>
      </c>
      <c r="C245" s="211">
        <v>46239</v>
      </c>
      <c r="D245" s="176" t="s">
        <v>4277</v>
      </c>
      <c r="E245" s="176" t="s">
        <v>4278</v>
      </c>
      <c r="F245" s="176" t="s">
        <v>87</v>
      </c>
      <c r="G245" s="176" t="s">
        <v>2406</v>
      </c>
      <c r="H245" s="176">
        <v>25</v>
      </c>
      <c r="I245" s="176">
        <v>30.8</v>
      </c>
      <c r="J245" s="176">
        <v>30.8</v>
      </c>
      <c r="K245" s="176">
        <v>4</v>
      </c>
      <c r="L245" s="176">
        <v>0</v>
      </c>
      <c r="M245" s="176" t="s">
        <v>148</v>
      </c>
      <c r="N245" s="176" t="s">
        <v>149</v>
      </c>
      <c r="O245" s="176" t="s">
        <v>150</v>
      </c>
      <c r="P245" s="176" t="s">
        <v>151</v>
      </c>
      <c r="Q245" s="176"/>
      <c r="R245" s="176" t="s">
        <v>4278</v>
      </c>
      <c r="S245" s="176"/>
      <c r="T245" s="176" t="s">
        <v>2665</v>
      </c>
      <c r="U245" s="176" t="s">
        <v>152</v>
      </c>
      <c r="V245" s="176" t="s">
        <v>23</v>
      </c>
    </row>
    <row r="246" spans="1:22" customFormat="1" ht="15">
      <c r="A246" s="65"/>
      <c r="B246" s="211">
        <v>46239</v>
      </c>
      <c r="C246" s="211">
        <v>46239</v>
      </c>
      <c r="D246" s="176" t="s">
        <v>4279</v>
      </c>
      <c r="E246" s="176" t="s">
        <v>4280</v>
      </c>
      <c r="F246" s="176" t="s">
        <v>87</v>
      </c>
      <c r="G246" s="176" t="s">
        <v>2078</v>
      </c>
      <c r="H246" s="176">
        <v>6</v>
      </c>
      <c r="I246" s="176">
        <v>26.3</v>
      </c>
      <c r="J246" s="176">
        <v>26.3</v>
      </c>
      <c r="K246" s="176">
        <v>1.5</v>
      </c>
      <c r="L246" s="176">
        <v>0</v>
      </c>
      <c r="M246" s="176" t="s">
        <v>148</v>
      </c>
      <c r="N246" s="176" t="s">
        <v>149</v>
      </c>
      <c r="O246" s="176" t="s">
        <v>150</v>
      </c>
      <c r="P246" s="176" t="s">
        <v>151</v>
      </c>
      <c r="Q246" s="176"/>
      <c r="R246" s="176" t="s">
        <v>4280</v>
      </c>
      <c r="S246" s="176"/>
      <c r="T246" s="176" t="s">
        <v>2665</v>
      </c>
      <c r="U246" s="176" t="s">
        <v>152</v>
      </c>
      <c r="V246" s="176" t="s">
        <v>23</v>
      </c>
    </row>
    <row r="247" spans="1:22" customFormat="1" ht="15">
      <c r="A247" s="65"/>
      <c r="B247" s="211">
        <v>46239</v>
      </c>
      <c r="C247" s="211">
        <v>46239</v>
      </c>
      <c r="D247" s="176" t="s">
        <v>4281</v>
      </c>
      <c r="E247" s="176" t="s">
        <v>4282</v>
      </c>
      <c r="F247" s="176" t="s">
        <v>87</v>
      </c>
      <c r="G247" s="176" t="s">
        <v>2513</v>
      </c>
      <c r="H247" s="176">
        <v>25</v>
      </c>
      <c r="I247" s="176">
        <v>43.8</v>
      </c>
      <c r="J247" s="176">
        <v>43.8</v>
      </c>
      <c r="K247" s="176">
        <v>4</v>
      </c>
      <c r="L247" s="176">
        <v>0</v>
      </c>
      <c r="M247" s="176" t="s">
        <v>148</v>
      </c>
      <c r="N247" s="176" t="s">
        <v>149</v>
      </c>
      <c r="O247" s="176" t="s">
        <v>150</v>
      </c>
      <c r="P247" s="176" t="s">
        <v>151</v>
      </c>
      <c r="Q247" s="176"/>
      <c r="R247" s="176" t="s">
        <v>4282</v>
      </c>
      <c r="S247" s="176"/>
      <c r="T247" s="176" t="s">
        <v>2665</v>
      </c>
      <c r="U247" s="176" t="s">
        <v>152</v>
      </c>
      <c r="V247" s="176" t="s">
        <v>23</v>
      </c>
    </row>
    <row r="248" spans="1:22" customFormat="1" ht="15">
      <c r="A248" s="65"/>
      <c r="B248" s="211">
        <v>46239</v>
      </c>
      <c r="C248" s="211">
        <v>46239</v>
      </c>
      <c r="D248" s="176" t="s">
        <v>4283</v>
      </c>
      <c r="E248" s="176" t="s">
        <v>4284</v>
      </c>
      <c r="F248" s="176" t="s">
        <v>87</v>
      </c>
      <c r="G248" s="176" t="s">
        <v>2513</v>
      </c>
      <c r="H248" s="176">
        <v>25</v>
      </c>
      <c r="I248" s="176">
        <v>38.200000000000003</v>
      </c>
      <c r="J248" s="176">
        <v>38.200000000000003</v>
      </c>
      <c r="K248" s="176">
        <v>4</v>
      </c>
      <c r="L248" s="176">
        <v>0</v>
      </c>
      <c r="M248" s="176" t="s">
        <v>148</v>
      </c>
      <c r="N248" s="176" t="s">
        <v>149</v>
      </c>
      <c r="O248" s="176" t="s">
        <v>150</v>
      </c>
      <c r="P248" s="176" t="s">
        <v>151</v>
      </c>
      <c r="Q248" s="176"/>
      <c r="R248" s="176" t="s">
        <v>4284</v>
      </c>
      <c r="S248" s="176"/>
      <c r="T248" s="176" t="s">
        <v>2665</v>
      </c>
      <c r="U248" s="176" t="s">
        <v>152</v>
      </c>
      <c r="V248" s="176" t="s">
        <v>23</v>
      </c>
    </row>
    <row r="249" spans="1:22" customFormat="1" ht="15">
      <c r="A249" s="65"/>
      <c r="B249" s="211">
        <v>46239</v>
      </c>
      <c r="C249" s="211">
        <v>46239</v>
      </c>
      <c r="D249" s="176" t="s">
        <v>4285</v>
      </c>
      <c r="E249" s="176" t="s">
        <v>4286</v>
      </c>
      <c r="F249" s="176" t="s">
        <v>87</v>
      </c>
      <c r="G249" s="176" t="s">
        <v>2513</v>
      </c>
      <c r="H249" s="176">
        <v>25</v>
      </c>
      <c r="I249" s="176">
        <v>42.2</v>
      </c>
      <c r="J249" s="176">
        <v>42.2</v>
      </c>
      <c r="K249" s="176">
        <v>4</v>
      </c>
      <c r="L249" s="176">
        <v>0</v>
      </c>
      <c r="M249" s="176" t="s">
        <v>148</v>
      </c>
      <c r="N249" s="176" t="s">
        <v>149</v>
      </c>
      <c r="O249" s="176" t="s">
        <v>150</v>
      </c>
      <c r="P249" s="176" t="s">
        <v>151</v>
      </c>
      <c r="Q249" s="176"/>
      <c r="R249" s="176" t="s">
        <v>4286</v>
      </c>
      <c r="S249" s="176"/>
      <c r="T249" s="176" t="s">
        <v>2665</v>
      </c>
      <c r="U249" s="176" t="s">
        <v>152</v>
      </c>
      <c r="V249" s="176" t="s">
        <v>23</v>
      </c>
    </row>
    <row r="250" spans="1:22" customFormat="1" ht="15">
      <c r="A250" s="65"/>
      <c r="B250" s="211">
        <v>46239</v>
      </c>
      <c r="C250" s="211">
        <v>46239</v>
      </c>
      <c r="D250" s="176" t="s">
        <v>4287</v>
      </c>
      <c r="E250" s="176" t="s">
        <v>4288</v>
      </c>
      <c r="F250" s="176" t="s">
        <v>87</v>
      </c>
      <c r="G250" s="176" t="s">
        <v>2513</v>
      </c>
      <c r="H250" s="176">
        <v>25</v>
      </c>
      <c r="I250" s="176">
        <v>38.200000000000003</v>
      </c>
      <c r="J250" s="176">
        <v>38.200000000000003</v>
      </c>
      <c r="K250" s="176">
        <v>4</v>
      </c>
      <c r="L250" s="176">
        <v>0</v>
      </c>
      <c r="M250" s="176" t="s">
        <v>148</v>
      </c>
      <c r="N250" s="176" t="s">
        <v>149</v>
      </c>
      <c r="O250" s="176" t="s">
        <v>150</v>
      </c>
      <c r="P250" s="176" t="s">
        <v>151</v>
      </c>
      <c r="Q250" s="176"/>
      <c r="R250" s="176" t="s">
        <v>4288</v>
      </c>
      <c r="S250" s="176"/>
      <c r="T250" s="176" t="s">
        <v>2665</v>
      </c>
      <c r="U250" s="176" t="s">
        <v>152</v>
      </c>
      <c r="V250" s="176" t="s">
        <v>23</v>
      </c>
    </row>
    <row r="251" spans="1:22" customFormat="1" ht="15" customHeight="1">
      <c r="A251" s="65"/>
      <c r="B251" s="211">
        <v>46239</v>
      </c>
      <c r="C251" s="211">
        <v>46239</v>
      </c>
      <c r="D251" s="176" t="s">
        <v>4289</v>
      </c>
      <c r="E251" s="176" t="s">
        <v>4290</v>
      </c>
      <c r="F251" s="176" t="s">
        <v>87</v>
      </c>
      <c r="G251" s="176" t="s">
        <v>2357</v>
      </c>
      <c r="H251" s="176">
        <v>40</v>
      </c>
      <c r="I251" s="176">
        <v>26.6</v>
      </c>
      <c r="J251" s="176">
        <v>26.6</v>
      </c>
      <c r="K251" s="176">
        <v>5</v>
      </c>
      <c r="L251" s="176">
        <v>0</v>
      </c>
      <c r="M251" s="176" t="s">
        <v>148</v>
      </c>
      <c r="N251" s="176" t="s">
        <v>149</v>
      </c>
      <c r="O251" s="176" t="s">
        <v>150</v>
      </c>
      <c r="P251" s="176" t="s">
        <v>151</v>
      </c>
      <c r="Q251" s="176"/>
      <c r="R251" s="176" t="s">
        <v>4290</v>
      </c>
      <c r="S251" s="176"/>
      <c r="T251" s="176" t="s">
        <v>2665</v>
      </c>
      <c r="U251" s="176" t="s">
        <v>152</v>
      </c>
      <c r="V251" s="176" t="s">
        <v>23</v>
      </c>
    </row>
    <row r="252" spans="1:22" customFormat="1" ht="15" customHeight="1">
      <c r="A252" s="65"/>
      <c r="B252" s="211">
        <v>46239</v>
      </c>
      <c r="C252" s="211">
        <v>46239</v>
      </c>
      <c r="D252" s="176" t="s">
        <v>4291</v>
      </c>
      <c r="E252" s="176" t="s">
        <v>4292</v>
      </c>
      <c r="F252" s="176" t="s">
        <v>87</v>
      </c>
      <c r="G252" s="176" t="s">
        <v>2357</v>
      </c>
      <c r="H252" s="176">
        <v>40</v>
      </c>
      <c r="I252" s="176">
        <v>28.8</v>
      </c>
      <c r="J252" s="176">
        <v>28.8</v>
      </c>
      <c r="K252" s="176">
        <v>5</v>
      </c>
      <c r="L252" s="176">
        <v>0</v>
      </c>
      <c r="M252" s="176" t="s">
        <v>148</v>
      </c>
      <c r="N252" s="176" t="s">
        <v>149</v>
      </c>
      <c r="O252" s="176" t="s">
        <v>150</v>
      </c>
      <c r="P252" s="176" t="s">
        <v>151</v>
      </c>
      <c r="Q252" s="176"/>
      <c r="R252" s="176" t="s">
        <v>4292</v>
      </c>
      <c r="S252" s="176"/>
      <c r="T252" s="176" t="s">
        <v>2665</v>
      </c>
      <c r="U252" s="176" t="s">
        <v>152</v>
      </c>
      <c r="V252" s="176" t="s">
        <v>23</v>
      </c>
    </row>
    <row r="253" spans="1:22" customFormat="1" ht="15" customHeight="1">
      <c r="A253" s="65"/>
      <c r="B253" s="211">
        <v>46239</v>
      </c>
      <c r="C253" s="211">
        <v>46239</v>
      </c>
      <c r="D253" s="176" t="s">
        <v>4293</v>
      </c>
      <c r="E253" s="176" t="s">
        <v>4294</v>
      </c>
      <c r="F253" s="176" t="s">
        <v>87</v>
      </c>
      <c r="G253" s="176" t="s">
        <v>2513</v>
      </c>
      <c r="H253" s="176">
        <v>25</v>
      </c>
      <c r="I253" s="176">
        <v>14.2</v>
      </c>
      <c r="J253" s="176">
        <v>14.2</v>
      </c>
      <c r="K253" s="176">
        <v>4</v>
      </c>
      <c r="L253" s="176">
        <v>0</v>
      </c>
      <c r="M253" s="176" t="s">
        <v>148</v>
      </c>
      <c r="N253" s="176" t="s">
        <v>149</v>
      </c>
      <c r="O253" s="176" t="s">
        <v>150</v>
      </c>
      <c r="P253" s="176" t="s">
        <v>151</v>
      </c>
      <c r="Q253" s="176"/>
      <c r="R253" s="176" t="s">
        <v>4294</v>
      </c>
      <c r="S253" s="176"/>
      <c r="T253" s="176" t="s">
        <v>2665</v>
      </c>
      <c r="U253" s="176" t="s">
        <v>152</v>
      </c>
      <c r="V253" s="176" t="s">
        <v>23</v>
      </c>
    </row>
    <row r="254" spans="1:22" customFormat="1" ht="15" customHeight="1">
      <c r="A254" s="65"/>
      <c r="B254" s="211">
        <v>46239</v>
      </c>
      <c r="C254" s="211">
        <v>46239</v>
      </c>
      <c r="D254" s="176" t="s">
        <v>4295</v>
      </c>
      <c r="E254" s="176" t="s">
        <v>4296</v>
      </c>
      <c r="F254" s="176" t="s">
        <v>87</v>
      </c>
      <c r="G254" s="176" t="s">
        <v>2334</v>
      </c>
      <c r="H254" s="176">
        <v>40</v>
      </c>
      <c r="I254" s="176">
        <v>16.8</v>
      </c>
      <c r="J254" s="176">
        <v>16.8</v>
      </c>
      <c r="K254" s="176">
        <v>5</v>
      </c>
      <c r="L254" s="176">
        <v>0</v>
      </c>
      <c r="M254" s="176" t="s">
        <v>148</v>
      </c>
      <c r="N254" s="176" t="s">
        <v>149</v>
      </c>
      <c r="O254" s="176" t="s">
        <v>150</v>
      </c>
      <c r="P254" s="176" t="s">
        <v>151</v>
      </c>
      <c r="Q254" s="176"/>
      <c r="R254" s="176" t="s">
        <v>4296</v>
      </c>
      <c r="S254" s="176"/>
      <c r="T254" s="176" t="s">
        <v>2665</v>
      </c>
      <c r="U254" s="176" t="s">
        <v>152</v>
      </c>
      <c r="V254" s="176" t="s">
        <v>23</v>
      </c>
    </row>
    <row r="255" spans="1:22" customFormat="1" ht="15" customHeight="1">
      <c r="A255" s="65"/>
      <c r="B255" s="211">
        <v>46239</v>
      </c>
      <c r="C255" s="211">
        <v>46239</v>
      </c>
      <c r="D255" s="176" t="s">
        <v>4297</v>
      </c>
      <c r="E255" s="176" t="s">
        <v>4298</v>
      </c>
      <c r="F255" s="176" t="s">
        <v>87</v>
      </c>
      <c r="G255" s="176" t="s">
        <v>2357</v>
      </c>
      <c r="H255" s="176">
        <v>40</v>
      </c>
      <c r="I255" s="176">
        <v>27.8</v>
      </c>
      <c r="J255" s="176">
        <v>27.8</v>
      </c>
      <c r="K255" s="176">
        <v>5</v>
      </c>
      <c r="L255" s="176">
        <v>0</v>
      </c>
      <c r="M255" s="176" t="s">
        <v>148</v>
      </c>
      <c r="N255" s="176" t="s">
        <v>149</v>
      </c>
      <c r="O255" s="176" t="s">
        <v>150</v>
      </c>
      <c r="P255" s="176" t="s">
        <v>151</v>
      </c>
      <c r="Q255" s="176"/>
      <c r="R255" s="176" t="s">
        <v>4298</v>
      </c>
      <c r="S255" s="176"/>
      <c r="T255" s="176" t="s">
        <v>2665</v>
      </c>
      <c r="U255" s="176" t="s">
        <v>152</v>
      </c>
      <c r="V255" s="176" t="s">
        <v>23</v>
      </c>
    </row>
    <row r="256" spans="1:22" customFormat="1" ht="15" customHeight="1">
      <c r="A256" s="65"/>
      <c r="B256" s="211">
        <v>46239</v>
      </c>
      <c r="C256" s="211">
        <v>46239</v>
      </c>
      <c r="D256" s="176" t="s">
        <v>4299</v>
      </c>
      <c r="E256" s="176" t="s">
        <v>4300</v>
      </c>
      <c r="F256" s="176" t="s">
        <v>87</v>
      </c>
      <c r="G256" s="176" t="s">
        <v>2515</v>
      </c>
      <c r="H256" s="176">
        <v>50</v>
      </c>
      <c r="I256" s="176">
        <v>48.2</v>
      </c>
      <c r="J256" s="176">
        <v>48.2</v>
      </c>
      <c r="K256" s="176">
        <v>5</v>
      </c>
      <c r="L256" s="176">
        <v>0</v>
      </c>
      <c r="M256" s="176" t="s">
        <v>148</v>
      </c>
      <c r="N256" s="176" t="s">
        <v>149</v>
      </c>
      <c r="O256" s="176" t="s">
        <v>150</v>
      </c>
      <c r="P256" s="176" t="s">
        <v>151</v>
      </c>
      <c r="Q256" s="176"/>
      <c r="R256" s="176" t="s">
        <v>4300</v>
      </c>
      <c r="S256" s="176"/>
      <c r="T256" s="176" t="s">
        <v>2665</v>
      </c>
      <c r="U256" s="176" t="s">
        <v>152</v>
      </c>
      <c r="V256" s="176" t="s">
        <v>23</v>
      </c>
    </row>
    <row r="257" spans="1:22" customFormat="1" ht="15" customHeight="1">
      <c r="A257" s="65"/>
      <c r="B257" s="211">
        <v>46239</v>
      </c>
      <c r="C257" s="211">
        <v>46239</v>
      </c>
      <c r="D257" s="176" t="s">
        <v>4301</v>
      </c>
      <c r="E257" s="176" t="s">
        <v>4302</v>
      </c>
      <c r="F257" s="176" t="s">
        <v>87</v>
      </c>
      <c r="G257" s="176" t="s">
        <v>1966</v>
      </c>
      <c r="H257" s="176">
        <v>6</v>
      </c>
      <c r="I257" s="176">
        <v>30.2</v>
      </c>
      <c r="J257" s="176">
        <v>30.2</v>
      </c>
      <c r="K257" s="176">
        <v>1.5</v>
      </c>
      <c r="L257" s="176">
        <v>0</v>
      </c>
      <c r="M257" s="176" t="s">
        <v>148</v>
      </c>
      <c r="N257" s="176" t="s">
        <v>149</v>
      </c>
      <c r="O257" s="176" t="s">
        <v>150</v>
      </c>
      <c r="P257" s="176" t="s">
        <v>151</v>
      </c>
      <c r="Q257" s="176"/>
      <c r="R257" s="176" t="s">
        <v>4302</v>
      </c>
      <c r="S257" s="176"/>
      <c r="T257" s="176" t="s">
        <v>2665</v>
      </c>
      <c r="U257" s="176" t="s">
        <v>152</v>
      </c>
      <c r="V257" s="176" t="s">
        <v>23</v>
      </c>
    </row>
    <row r="258" spans="1:22" customFormat="1" ht="15" customHeight="1">
      <c r="A258" s="65"/>
      <c r="B258" s="211">
        <v>46239</v>
      </c>
      <c r="C258" s="211">
        <v>46239</v>
      </c>
      <c r="D258" s="176" t="s">
        <v>4303</v>
      </c>
      <c r="E258" s="176" t="s">
        <v>4304</v>
      </c>
      <c r="F258" s="176" t="s">
        <v>87</v>
      </c>
      <c r="G258" s="176" t="s">
        <v>1966</v>
      </c>
      <c r="H258" s="176">
        <v>6</v>
      </c>
      <c r="I258" s="176">
        <v>9.8000000000000007</v>
      </c>
      <c r="J258" s="176">
        <v>9.8000000000000007</v>
      </c>
      <c r="K258" s="176">
        <v>1.5</v>
      </c>
      <c r="L258" s="176">
        <v>0</v>
      </c>
      <c r="M258" s="176" t="s">
        <v>148</v>
      </c>
      <c r="N258" s="176" t="s">
        <v>149</v>
      </c>
      <c r="O258" s="176" t="s">
        <v>150</v>
      </c>
      <c r="P258" s="176" t="s">
        <v>151</v>
      </c>
      <c r="Q258" s="176"/>
      <c r="R258" s="176" t="s">
        <v>4304</v>
      </c>
      <c r="S258" s="176"/>
      <c r="T258" s="176" t="s">
        <v>2665</v>
      </c>
      <c r="U258" s="176" t="s">
        <v>152</v>
      </c>
      <c r="V258" s="176" t="s">
        <v>23</v>
      </c>
    </row>
    <row r="259" spans="1:22" customFormat="1" ht="15" customHeight="1">
      <c r="A259" s="65"/>
      <c r="B259" s="211">
        <v>46239</v>
      </c>
      <c r="C259" s="211">
        <v>46239</v>
      </c>
      <c r="D259" s="176" t="s">
        <v>4305</v>
      </c>
      <c r="E259" s="176" t="s">
        <v>4306</v>
      </c>
      <c r="F259" s="176" t="s">
        <v>87</v>
      </c>
      <c r="G259" s="176" t="s">
        <v>2513</v>
      </c>
      <c r="H259" s="176">
        <v>25</v>
      </c>
      <c r="I259" s="176">
        <v>40</v>
      </c>
      <c r="J259" s="176">
        <v>40</v>
      </c>
      <c r="K259" s="176">
        <v>4</v>
      </c>
      <c r="L259" s="176">
        <v>0</v>
      </c>
      <c r="M259" s="176" t="s">
        <v>148</v>
      </c>
      <c r="N259" s="176" t="s">
        <v>149</v>
      </c>
      <c r="O259" s="176" t="s">
        <v>150</v>
      </c>
      <c r="P259" s="176" t="s">
        <v>151</v>
      </c>
      <c r="Q259" s="176"/>
      <c r="R259" s="176" t="s">
        <v>4306</v>
      </c>
      <c r="S259" s="176"/>
      <c r="T259" s="176" t="s">
        <v>2665</v>
      </c>
      <c r="U259" s="176" t="s">
        <v>152</v>
      </c>
      <c r="V259" s="176" t="s">
        <v>23</v>
      </c>
    </row>
    <row r="260" spans="1:22" ht="12.75" customHeight="1">
      <c r="A260" s="65"/>
      <c r="B260" s="211">
        <v>46239</v>
      </c>
      <c r="C260" s="211">
        <v>46239</v>
      </c>
      <c r="D260" s="176" t="s">
        <v>4307</v>
      </c>
      <c r="E260" s="176" t="s">
        <v>4308</v>
      </c>
      <c r="F260" s="176" t="s">
        <v>87</v>
      </c>
      <c r="G260" s="176" t="s">
        <v>2513</v>
      </c>
      <c r="H260" s="176">
        <v>25</v>
      </c>
      <c r="I260" s="176">
        <v>41.4</v>
      </c>
      <c r="J260" s="176">
        <v>41.4</v>
      </c>
      <c r="K260" s="176">
        <v>4</v>
      </c>
      <c r="L260" s="176">
        <v>0</v>
      </c>
      <c r="M260" s="176" t="s">
        <v>148</v>
      </c>
      <c r="N260" s="176" t="s">
        <v>149</v>
      </c>
      <c r="O260" s="176" t="s">
        <v>150</v>
      </c>
      <c r="P260" s="176" t="s">
        <v>151</v>
      </c>
      <c r="Q260" s="176"/>
      <c r="R260" s="176" t="s">
        <v>4308</v>
      </c>
      <c r="S260" s="176"/>
      <c r="T260" s="176" t="s">
        <v>2665</v>
      </c>
      <c r="U260" s="176" t="s">
        <v>152</v>
      </c>
      <c r="V260" s="176" t="s">
        <v>23</v>
      </c>
    </row>
    <row r="261" spans="1:22" ht="12.75" customHeight="1">
      <c r="A261" s="65"/>
      <c r="B261" s="211">
        <v>46239</v>
      </c>
      <c r="C261" s="211">
        <v>46239</v>
      </c>
      <c r="D261" s="176" t="s">
        <v>4309</v>
      </c>
      <c r="E261" s="176" t="s">
        <v>4310</v>
      </c>
      <c r="F261" s="176" t="s">
        <v>87</v>
      </c>
      <c r="G261" s="176" t="s">
        <v>2514</v>
      </c>
      <c r="H261" s="176">
        <v>55</v>
      </c>
      <c r="I261" s="176">
        <v>45</v>
      </c>
      <c r="J261" s="176">
        <v>45</v>
      </c>
      <c r="K261" s="176">
        <v>5</v>
      </c>
      <c r="L261" s="176">
        <v>0</v>
      </c>
      <c r="M261" s="176" t="s">
        <v>148</v>
      </c>
      <c r="N261" s="176" t="s">
        <v>149</v>
      </c>
      <c r="O261" s="176" t="s">
        <v>150</v>
      </c>
      <c r="P261" s="176" t="s">
        <v>151</v>
      </c>
      <c r="Q261" s="176"/>
      <c r="R261" s="176" t="s">
        <v>4310</v>
      </c>
      <c r="S261" s="176"/>
      <c r="T261" s="176" t="s">
        <v>2665</v>
      </c>
      <c r="U261" s="176" t="s">
        <v>152</v>
      </c>
      <c r="V261" s="176" t="s">
        <v>23</v>
      </c>
    </row>
    <row r="262" spans="1:22" ht="12.75" customHeight="1">
      <c r="A262" s="65"/>
      <c r="B262" s="211">
        <v>46239</v>
      </c>
      <c r="C262" s="211">
        <v>46239</v>
      </c>
      <c r="D262" s="176" t="s">
        <v>4311</v>
      </c>
      <c r="E262" s="176" t="s">
        <v>4312</v>
      </c>
      <c r="F262" s="176" t="s">
        <v>87</v>
      </c>
      <c r="G262" s="176" t="s">
        <v>2357</v>
      </c>
      <c r="H262" s="176">
        <v>40</v>
      </c>
      <c r="I262" s="176">
        <v>36.299999999999997</v>
      </c>
      <c r="J262" s="176">
        <v>36.299999999999997</v>
      </c>
      <c r="K262" s="176">
        <v>5</v>
      </c>
      <c r="L262" s="176">
        <v>0</v>
      </c>
      <c r="M262" s="176" t="s">
        <v>148</v>
      </c>
      <c r="N262" s="176" t="s">
        <v>149</v>
      </c>
      <c r="O262" s="176" t="s">
        <v>150</v>
      </c>
      <c r="P262" s="176" t="s">
        <v>151</v>
      </c>
      <c r="Q262" s="176"/>
      <c r="R262" s="176" t="s">
        <v>4312</v>
      </c>
      <c r="S262" s="176"/>
      <c r="T262" s="176" t="s">
        <v>2665</v>
      </c>
      <c r="U262" s="176" t="s">
        <v>152</v>
      </c>
      <c r="V262" s="176" t="s">
        <v>23</v>
      </c>
    </row>
    <row r="263" spans="1:22" ht="12.75" customHeight="1">
      <c r="A263" s="65"/>
      <c r="B263" s="211">
        <v>46239</v>
      </c>
      <c r="C263" s="211">
        <v>46239</v>
      </c>
      <c r="D263" s="176" t="s">
        <v>4313</v>
      </c>
      <c r="E263" s="176" t="s">
        <v>4314</v>
      </c>
      <c r="F263" s="176" t="s">
        <v>87</v>
      </c>
      <c r="G263" s="176" t="s">
        <v>2357</v>
      </c>
      <c r="H263" s="176">
        <v>40</v>
      </c>
      <c r="I263" s="176">
        <v>37.799999999999997</v>
      </c>
      <c r="J263" s="176">
        <v>37.799999999999997</v>
      </c>
      <c r="K263" s="176">
        <v>5</v>
      </c>
      <c r="L263" s="176">
        <v>0</v>
      </c>
      <c r="M263" s="176" t="s">
        <v>148</v>
      </c>
      <c r="N263" s="176" t="s">
        <v>149</v>
      </c>
      <c r="O263" s="176" t="s">
        <v>150</v>
      </c>
      <c r="P263" s="176" t="s">
        <v>151</v>
      </c>
      <c r="Q263" s="176"/>
      <c r="R263" s="176" t="s">
        <v>4314</v>
      </c>
      <c r="S263" s="176"/>
      <c r="T263" s="176" t="s">
        <v>2665</v>
      </c>
      <c r="U263" s="176" t="s">
        <v>152</v>
      </c>
      <c r="V263" s="176" t="s">
        <v>23</v>
      </c>
    </row>
    <row r="264" spans="1:22" ht="12.75" customHeight="1">
      <c r="A264" s="65"/>
      <c r="B264" s="211">
        <v>46239</v>
      </c>
      <c r="C264" s="211">
        <v>46239</v>
      </c>
      <c r="D264" s="176" t="s">
        <v>4315</v>
      </c>
      <c r="E264" s="176" t="s">
        <v>4316</v>
      </c>
      <c r="F264" s="176" t="s">
        <v>87</v>
      </c>
      <c r="G264" s="176" t="s">
        <v>2334</v>
      </c>
      <c r="H264" s="176">
        <v>40</v>
      </c>
      <c r="I264" s="176">
        <v>38.799999999999997</v>
      </c>
      <c r="J264" s="176">
        <v>38.799999999999997</v>
      </c>
      <c r="K264" s="176">
        <v>5</v>
      </c>
      <c r="L264" s="176">
        <v>0</v>
      </c>
      <c r="M264" s="176" t="s">
        <v>148</v>
      </c>
      <c r="N264" s="176" t="s">
        <v>149</v>
      </c>
      <c r="O264" s="176" t="s">
        <v>150</v>
      </c>
      <c r="P264" s="176" t="s">
        <v>151</v>
      </c>
      <c r="Q264" s="176"/>
      <c r="R264" s="176" t="s">
        <v>4316</v>
      </c>
      <c r="S264" s="176"/>
      <c r="T264" s="176" t="s">
        <v>2665</v>
      </c>
      <c r="U264" s="176" t="s">
        <v>152</v>
      </c>
      <c r="V264" s="176" t="s">
        <v>23</v>
      </c>
    </row>
    <row r="265" spans="1:22" ht="12.75" customHeight="1">
      <c r="A265" s="65"/>
      <c r="B265" s="211">
        <v>46239</v>
      </c>
      <c r="C265" s="211">
        <v>46239</v>
      </c>
      <c r="D265" s="176" t="s">
        <v>4317</v>
      </c>
      <c r="E265" s="176" t="s">
        <v>4318</v>
      </c>
      <c r="F265" s="176" t="s">
        <v>87</v>
      </c>
      <c r="G265" s="176" t="s">
        <v>1966</v>
      </c>
      <c r="H265" s="176">
        <v>6</v>
      </c>
      <c r="I265" s="176">
        <v>27.8</v>
      </c>
      <c r="J265" s="176">
        <v>27.8</v>
      </c>
      <c r="K265" s="176">
        <v>1.5</v>
      </c>
      <c r="L265" s="176">
        <v>0</v>
      </c>
      <c r="M265" s="176" t="s">
        <v>148</v>
      </c>
      <c r="N265" s="176" t="s">
        <v>149</v>
      </c>
      <c r="O265" s="176" t="s">
        <v>150</v>
      </c>
      <c r="P265" s="176" t="s">
        <v>151</v>
      </c>
      <c r="Q265" s="176"/>
      <c r="R265" s="176" t="s">
        <v>4318</v>
      </c>
      <c r="S265" s="176"/>
      <c r="T265" s="176" t="s">
        <v>2665</v>
      </c>
      <c r="U265" s="176" t="s">
        <v>152</v>
      </c>
      <c r="V265" s="176" t="s">
        <v>23</v>
      </c>
    </row>
    <row r="266" spans="1:22" ht="12.75" customHeight="1">
      <c r="A266" s="65"/>
      <c r="B266" s="211">
        <v>46239</v>
      </c>
      <c r="C266" s="211">
        <v>46239</v>
      </c>
      <c r="D266" s="176" t="s">
        <v>4319</v>
      </c>
      <c r="E266" s="176" t="s">
        <v>4320</v>
      </c>
      <c r="F266" s="176" t="s">
        <v>87</v>
      </c>
      <c r="G266" s="176" t="s">
        <v>1966</v>
      </c>
      <c r="H266" s="176">
        <v>6</v>
      </c>
      <c r="I266" s="176">
        <v>17.399999999999999</v>
      </c>
      <c r="J266" s="176">
        <v>17.399999999999999</v>
      </c>
      <c r="K266" s="176">
        <v>1.5</v>
      </c>
      <c r="L266" s="176">
        <v>0</v>
      </c>
      <c r="M266" s="176" t="s">
        <v>148</v>
      </c>
      <c r="N266" s="176" t="s">
        <v>149</v>
      </c>
      <c r="O266" s="176" t="s">
        <v>150</v>
      </c>
      <c r="P266" s="176" t="s">
        <v>151</v>
      </c>
      <c r="Q266" s="176"/>
      <c r="R266" s="176" t="s">
        <v>4320</v>
      </c>
      <c r="S266" s="176"/>
      <c r="T266" s="176" t="s">
        <v>2665</v>
      </c>
      <c r="U266" s="176" t="s">
        <v>152</v>
      </c>
      <c r="V266" s="176" t="s">
        <v>23</v>
      </c>
    </row>
    <row r="267" spans="1:22" ht="12.75" customHeight="1">
      <c r="A267" s="65"/>
      <c r="B267" s="211">
        <v>46239</v>
      </c>
      <c r="C267" s="211">
        <v>46239</v>
      </c>
      <c r="D267" s="176" t="s">
        <v>4321</v>
      </c>
      <c r="E267" s="176" t="s">
        <v>4322</v>
      </c>
      <c r="F267" s="176" t="s">
        <v>87</v>
      </c>
      <c r="G267" s="176" t="s">
        <v>2357</v>
      </c>
      <c r="H267" s="176">
        <v>40</v>
      </c>
      <c r="I267" s="176">
        <v>37.299999999999997</v>
      </c>
      <c r="J267" s="176">
        <v>37.299999999999997</v>
      </c>
      <c r="K267" s="176">
        <v>5</v>
      </c>
      <c r="L267" s="176">
        <v>0</v>
      </c>
      <c r="M267" s="176" t="s">
        <v>148</v>
      </c>
      <c r="N267" s="176" t="s">
        <v>149</v>
      </c>
      <c r="O267" s="176" t="s">
        <v>150</v>
      </c>
      <c r="P267" s="176" t="s">
        <v>151</v>
      </c>
      <c r="Q267" s="176"/>
      <c r="R267" s="176" t="s">
        <v>4322</v>
      </c>
      <c r="S267" s="176"/>
      <c r="T267" s="176" t="s">
        <v>2665</v>
      </c>
      <c r="U267" s="176" t="s">
        <v>152</v>
      </c>
      <c r="V267" s="176" t="s">
        <v>23</v>
      </c>
    </row>
    <row r="268" spans="1:22" ht="12.75" customHeight="1">
      <c r="A268" s="65"/>
      <c r="B268" s="211">
        <v>46239</v>
      </c>
      <c r="C268" s="211">
        <v>46239</v>
      </c>
      <c r="D268" s="176" t="s">
        <v>4323</v>
      </c>
      <c r="E268" s="176" t="s">
        <v>4324</v>
      </c>
      <c r="F268" s="176" t="s">
        <v>87</v>
      </c>
      <c r="G268" s="176" t="s">
        <v>2513</v>
      </c>
      <c r="H268" s="176">
        <v>25</v>
      </c>
      <c r="I268" s="176">
        <v>45</v>
      </c>
      <c r="J268" s="176">
        <v>45</v>
      </c>
      <c r="K268" s="176">
        <v>4</v>
      </c>
      <c r="L268" s="176">
        <v>0</v>
      </c>
      <c r="M268" s="176" t="s">
        <v>148</v>
      </c>
      <c r="N268" s="176" t="s">
        <v>149</v>
      </c>
      <c r="O268" s="176" t="s">
        <v>150</v>
      </c>
      <c r="P268" s="176" t="s">
        <v>151</v>
      </c>
      <c r="Q268" s="176"/>
      <c r="R268" s="176" t="s">
        <v>4324</v>
      </c>
      <c r="S268" s="176"/>
      <c r="T268" s="176" t="s">
        <v>2665</v>
      </c>
      <c r="U268" s="176" t="s">
        <v>152</v>
      </c>
      <c r="V268" s="176" t="s">
        <v>23</v>
      </c>
    </row>
    <row r="269" spans="1:22" ht="12.75" customHeight="1">
      <c r="A269" s="65"/>
      <c r="B269" s="211">
        <v>46239</v>
      </c>
      <c r="C269" s="211">
        <v>46239</v>
      </c>
      <c r="D269" s="176" t="s">
        <v>4325</v>
      </c>
      <c r="E269" s="176" t="s">
        <v>4326</v>
      </c>
      <c r="F269" s="176" t="s">
        <v>87</v>
      </c>
      <c r="G269" s="176" t="s">
        <v>2513</v>
      </c>
      <c r="H269" s="176">
        <v>25</v>
      </c>
      <c r="I269" s="176">
        <v>35.799999999999997</v>
      </c>
      <c r="J269" s="176">
        <v>35.799999999999997</v>
      </c>
      <c r="K269" s="176">
        <v>4</v>
      </c>
      <c r="L269" s="176">
        <v>0</v>
      </c>
      <c r="M269" s="176" t="s">
        <v>148</v>
      </c>
      <c r="N269" s="176" t="s">
        <v>149</v>
      </c>
      <c r="O269" s="176" t="s">
        <v>150</v>
      </c>
      <c r="P269" s="176" t="s">
        <v>151</v>
      </c>
      <c r="Q269" s="176"/>
      <c r="R269" s="176" t="s">
        <v>4326</v>
      </c>
      <c r="S269" s="176"/>
      <c r="T269" s="176" t="s">
        <v>2665</v>
      </c>
      <c r="U269" s="176" t="s">
        <v>152</v>
      </c>
      <c r="V269" s="176" t="s">
        <v>23</v>
      </c>
    </row>
    <row r="270" spans="1:22" ht="12.75" customHeight="1">
      <c r="A270" s="65"/>
      <c r="B270" s="211">
        <v>46239</v>
      </c>
      <c r="C270" s="211">
        <v>46239</v>
      </c>
      <c r="D270" s="176" t="s">
        <v>4327</v>
      </c>
      <c r="E270" s="176" t="s">
        <v>4328</v>
      </c>
      <c r="F270" s="176" t="s">
        <v>87</v>
      </c>
      <c r="G270" s="176" t="s">
        <v>2357</v>
      </c>
      <c r="H270" s="176">
        <v>40</v>
      </c>
      <c r="I270" s="176">
        <v>40.4</v>
      </c>
      <c r="J270" s="176">
        <v>40.4</v>
      </c>
      <c r="K270" s="176">
        <v>5</v>
      </c>
      <c r="L270" s="176">
        <v>0</v>
      </c>
      <c r="M270" s="176" t="s">
        <v>148</v>
      </c>
      <c r="N270" s="176" t="s">
        <v>149</v>
      </c>
      <c r="O270" s="176" t="s">
        <v>150</v>
      </c>
      <c r="P270" s="176" t="s">
        <v>151</v>
      </c>
      <c r="Q270" s="176"/>
      <c r="R270" s="176" t="s">
        <v>4328</v>
      </c>
      <c r="S270" s="176"/>
      <c r="T270" s="176" t="s">
        <v>2665</v>
      </c>
      <c r="U270" s="176" t="s">
        <v>152</v>
      </c>
      <c r="V270" s="176" t="s">
        <v>23</v>
      </c>
    </row>
    <row r="271" spans="1:22" ht="12.75" customHeight="1">
      <c r="A271" s="65"/>
      <c r="B271" s="211">
        <v>46239</v>
      </c>
      <c r="C271" s="211">
        <v>46239</v>
      </c>
      <c r="D271" s="176" t="s">
        <v>4329</v>
      </c>
      <c r="E271" s="176" t="s">
        <v>4330</v>
      </c>
      <c r="F271" s="176" t="s">
        <v>87</v>
      </c>
      <c r="G271" s="176" t="s">
        <v>2357</v>
      </c>
      <c r="H271" s="176">
        <v>40</v>
      </c>
      <c r="I271" s="176">
        <v>34.200000000000003</v>
      </c>
      <c r="J271" s="176">
        <v>34.200000000000003</v>
      </c>
      <c r="K271" s="176">
        <v>5</v>
      </c>
      <c r="L271" s="176">
        <v>0</v>
      </c>
      <c r="M271" s="176" t="s">
        <v>148</v>
      </c>
      <c r="N271" s="176" t="s">
        <v>149</v>
      </c>
      <c r="O271" s="176" t="s">
        <v>150</v>
      </c>
      <c r="P271" s="176" t="s">
        <v>151</v>
      </c>
      <c r="Q271" s="176"/>
      <c r="R271" s="176" t="s">
        <v>4330</v>
      </c>
      <c r="S271" s="176"/>
      <c r="T271" s="176" t="s">
        <v>2665</v>
      </c>
      <c r="U271" s="176" t="s">
        <v>152</v>
      </c>
      <c r="V271" s="176" t="s">
        <v>23</v>
      </c>
    </row>
    <row r="272" spans="1:22" ht="12.75" customHeight="1">
      <c r="A272" s="65"/>
      <c r="B272" s="211">
        <v>46240</v>
      </c>
      <c r="C272" s="211">
        <v>46240</v>
      </c>
      <c r="D272" s="176" t="s">
        <v>4331</v>
      </c>
      <c r="E272" s="176" t="s">
        <v>4332</v>
      </c>
      <c r="F272" s="176" t="s">
        <v>87</v>
      </c>
      <c r="G272" s="176" t="s">
        <v>2513</v>
      </c>
      <c r="H272" s="176">
        <v>25</v>
      </c>
      <c r="I272" s="176">
        <v>36.200000000000003</v>
      </c>
      <c r="J272" s="176">
        <v>36.200000000000003</v>
      </c>
      <c r="K272" s="176">
        <v>4</v>
      </c>
      <c r="L272" s="176">
        <v>0</v>
      </c>
      <c r="M272" s="176" t="s">
        <v>148</v>
      </c>
      <c r="N272" s="176" t="s">
        <v>149</v>
      </c>
      <c r="O272" s="176" t="s">
        <v>150</v>
      </c>
      <c r="P272" s="176" t="s">
        <v>151</v>
      </c>
      <c r="Q272" s="176"/>
      <c r="R272" s="176" t="s">
        <v>4332</v>
      </c>
      <c r="S272" s="176"/>
      <c r="T272" s="176" t="s">
        <v>2706</v>
      </c>
      <c r="U272" s="176" t="s">
        <v>152</v>
      </c>
      <c r="V272" s="176" t="s">
        <v>23</v>
      </c>
    </row>
    <row r="273" spans="1:22" ht="12.75" customHeight="1">
      <c r="A273" s="65"/>
      <c r="B273" s="211">
        <v>46240</v>
      </c>
      <c r="C273" s="211">
        <v>46240</v>
      </c>
      <c r="D273" s="176" t="s">
        <v>4333</v>
      </c>
      <c r="E273" s="176" t="s">
        <v>4334</v>
      </c>
      <c r="F273" s="176" t="s">
        <v>87</v>
      </c>
      <c r="G273" s="176" t="s">
        <v>4335</v>
      </c>
      <c r="H273" s="176">
        <v>25</v>
      </c>
      <c r="I273" s="176">
        <v>34.799999999999997</v>
      </c>
      <c r="J273" s="176">
        <v>34.799999999999997</v>
      </c>
      <c r="K273" s="176">
        <v>4</v>
      </c>
      <c r="L273" s="176">
        <v>0</v>
      </c>
      <c r="M273" s="176" t="s">
        <v>148</v>
      </c>
      <c r="N273" s="176" t="s">
        <v>149</v>
      </c>
      <c r="O273" s="176" t="s">
        <v>150</v>
      </c>
      <c r="P273" s="176" t="s">
        <v>151</v>
      </c>
      <c r="Q273" s="176"/>
      <c r="R273" s="176" t="s">
        <v>4334</v>
      </c>
      <c r="S273" s="176"/>
      <c r="T273" s="176" t="s">
        <v>2706</v>
      </c>
      <c r="U273" s="176" t="s">
        <v>152</v>
      </c>
      <c r="V273" s="176" t="s">
        <v>23</v>
      </c>
    </row>
    <row r="274" spans="1:22" ht="12.75" customHeight="1">
      <c r="A274" s="65"/>
      <c r="B274" s="211">
        <v>46240</v>
      </c>
      <c r="C274" s="211">
        <v>46240</v>
      </c>
      <c r="D274" s="176" t="s">
        <v>4336</v>
      </c>
      <c r="E274" s="176" t="s">
        <v>4337</v>
      </c>
      <c r="F274" s="176" t="s">
        <v>87</v>
      </c>
      <c r="G274" s="176" t="s">
        <v>2404</v>
      </c>
      <c r="H274" s="176">
        <v>40</v>
      </c>
      <c r="I274" s="176">
        <v>41.2</v>
      </c>
      <c r="J274" s="176">
        <v>41.2</v>
      </c>
      <c r="K274" s="176">
        <v>5</v>
      </c>
      <c r="L274" s="176">
        <v>0</v>
      </c>
      <c r="M274" s="176" t="s">
        <v>148</v>
      </c>
      <c r="N274" s="176" t="s">
        <v>149</v>
      </c>
      <c r="O274" s="176" t="s">
        <v>150</v>
      </c>
      <c r="P274" s="176" t="s">
        <v>151</v>
      </c>
      <c r="Q274" s="176"/>
      <c r="R274" s="176" t="s">
        <v>4337</v>
      </c>
      <c r="S274" s="176"/>
      <c r="T274" s="176" t="s">
        <v>2706</v>
      </c>
      <c r="U274" s="176" t="s">
        <v>152</v>
      </c>
      <c r="V274" s="176" t="s">
        <v>23</v>
      </c>
    </row>
    <row r="275" spans="1:22" ht="12.75" customHeight="1">
      <c r="A275" s="65"/>
      <c r="B275" s="211">
        <v>46240</v>
      </c>
      <c r="C275" s="211">
        <v>46240</v>
      </c>
      <c r="D275" s="176" t="s">
        <v>4338</v>
      </c>
      <c r="E275" s="176" t="s">
        <v>4339</v>
      </c>
      <c r="F275" s="176" t="s">
        <v>87</v>
      </c>
      <c r="G275" s="176" t="s">
        <v>1678</v>
      </c>
      <c r="H275" s="176">
        <v>30</v>
      </c>
      <c r="I275" s="176">
        <v>34.4</v>
      </c>
      <c r="J275" s="176">
        <v>34.4</v>
      </c>
      <c r="K275" s="176">
        <v>4</v>
      </c>
      <c r="L275" s="176">
        <v>0</v>
      </c>
      <c r="M275" s="176" t="s">
        <v>148</v>
      </c>
      <c r="N275" s="176" t="s">
        <v>149</v>
      </c>
      <c r="O275" s="176" t="s">
        <v>150</v>
      </c>
      <c r="P275" s="176" t="s">
        <v>151</v>
      </c>
      <c r="Q275" s="176"/>
      <c r="R275" s="176" t="s">
        <v>4339</v>
      </c>
      <c r="S275" s="176"/>
      <c r="T275" s="176" t="s">
        <v>2706</v>
      </c>
      <c r="U275" s="176" t="s">
        <v>152</v>
      </c>
      <c r="V275" s="176" t="s">
        <v>23</v>
      </c>
    </row>
    <row r="276" spans="1:22" ht="12.75" customHeight="1">
      <c r="A276" s="65"/>
      <c r="B276" s="211">
        <v>46240</v>
      </c>
      <c r="C276" s="211">
        <v>46240</v>
      </c>
      <c r="D276" s="176" t="s">
        <v>4340</v>
      </c>
      <c r="E276" s="176" t="s">
        <v>4341</v>
      </c>
      <c r="F276" s="176" t="s">
        <v>87</v>
      </c>
      <c r="G276" s="176" t="s">
        <v>2357</v>
      </c>
      <c r="H276" s="176">
        <v>40</v>
      </c>
      <c r="I276" s="176">
        <v>37.5</v>
      </c>
      <c r="J276" s="176">
        <v>37.5</v>
      </c>
      <c r="K276" s="176">
        <v>5</v>
      </c>
      <c r="L276" s="176">
        <v>0</v>
      </c>
      <c r="M276" s="176" t="s">
        <v>148</v>
      </c>
      <c r="N276" s="176" t="s">
        <v>149</v>
      </c>
      <c r="O276" s="176" t="s">
        <v>150</v>
      </c>
      <c r="P276" s="176" t="s">
        <v>151</v>
      </c>
      <c r="Q276" s="176"/>
      <c r="R276" s="176" t="s">
        <v>4341</v>
      </c>
      <c r="S276" s="176"/>
      <c r="T276" s="176" t="s">
        <v>2706</v>
      </c>
      <c r="U276" s="176" t="s">
        <v>152</v>
      </c>
      <c r="V276" s="176" t="s">
        <v>23</v>
      </c>
    </row>
    <row r="277" spans="1:22" ht="12.75" customHeight="1">
      <c r="A277" s="65"/>
      <c r="B277" s="211">
        <v>46240</v>
      </c>
      <c r="C277" s="211">
        <v>46240</v>
      </c>
      <c r="D277" s="176" t="s">
        <v>4342</v>
      </c>
      <c r="E277" s="176" t="s">
        <v>4343</v>
      </c>
      <c r="F277" s="176" t="s">
        <v>87</v>
      </c>
      <c r="G277" s="176" t="s">
        <v>1966</v>
      </c>
      <c r="H277" s="176">
        <v>6</v>
      </c>
      <c r="I277" s="176">
        <v>24.2</v>
      </c>
      <c r="J277" s="176">
        <v>24.2</v>
      </c>
      <c r="K277" s="176">
        <v>1.5</v>
      </c>
      <c r="L277" s="176">
        <v>0</v>
      </c>
      <c r="M277" s="176" t="s">
        <v>148</v>
      </c>
      <c r="N277" s="176" t="s">
        <v>149</v>
      </c>
      <c r="O277" s="176" t="s">
        <v>150</v>
      </c>
      <c r="P277" s="176" t="s">
        <v>151</v>
      </c>
      <c r="Q277" s="176"/>
      <c r="R277" s="176" t="s">
        <v>4343</v>
      </c>
      <c r="S277" s="176"/>
      <c r="T277" s="176" t="s">
        <v>2706</v>
      </c>
      <c r="U277" s="176" t="s">
        <v>152</v>
      </c>
      <c r="V277" s="176" t="s">
        <v>23</v>
      </c>
    </row>
    <row r="278" spans="1:22" ht="12.75" customHeight="1">
      <c r="A278" s="65"/>
      <c r="B278" s="211">
        <v>46240</v>
      </c>
      <c r="C278" s="211">
        <v>46240</v>
      </c>
      <c r="D278" s="176" t="s">
        <v>4344</v>
      </c>
      <c r="E278" s="176" t="s">
        <v>4345</v>
      </c>
      <c r="F278" s="176" t="s">
        <v>87</v>
      </c>
      <c r="G278" s="176" t="s">
        <v>2513</v>
      </c>
      <c r="H278" s="176">
        <v>25</v>
      </c>
      <c r="I278" s="176">
        <v>47.3</v>
      </c>
      <c r="J278" s="176">
        <v>47.3</v>
      </c>
      <c r="K278" s="176">
        <v>4</v>
      </c>
      <c r="L278" s="176">
        <v>0</v>
      </c>
      <c r="M278" s="176" t="s">
        <v>148</v>
      </c>
      <c r="N278" s="176" t="s">
        <v>149</v>
      </c>
      <c r="O278" s="176" t="s">
        <v>150</v>
      </c>
      <c r="P278" s="176" t="s">
        <v>151</v>
      </c>
      <c r="Q278" s="176"/>
      <c r="R278" s="176" t="s">
        <v>4345</v>
      </c>
      <c r="S278" s="176"/>
      <c r="T278" s="176" t="s">
        <v>2706</v>
      </c>
      <c r="U278" s="176" t="s">
        <v>152</v>
      </c>
      <c r="V278" s="176" t="s">
        <v>23</v>
      </c>
    </row>
    <row r="279" spans="1:22" ht="12.75" customHeight="1">
      <c r="A279" s="65"/>
      <c r="B279" s="211">
        <v>46240</v>
      </c>
      <c r="C279" s="211">
        <v>46240</v>
      </c>
      <c r="D279" s="176" t="s">
        <v>4346</v>
      </c>
      <c r="E279" s="176" t="s">
        <v>4347</v>
      </c>
      <c r="F279" s="176" t="s">
        <v>87</v>
      </c>
      <c r="G279" s="176" t="s">
        <v>2514</v>
      </c>
      <c r="H279" s="176">
        <v>55</v>
      </c>
      <c r="I279" s="176">
        <v>39</v>
      </c>
      <c r="J279" s="176">
        <v>39</v>
      </c>
      <c r="K279" s="176">
        <v>5</v>
      </c>
      <c r="L279" s="176">
        <v>0</v>
      </c>
      <c r="M279" s="176" t="s">
        <v>148</v>
      </c>
      <c r="N279" s="176" t="s">
        <v>149</v>
      </c>
      <c r="O279" s="176" t="s">
        <v>150</v>
      </c>
      <c r="P279" s="176" t="s">
        <v>151</v>
      </c>
      <c r="Q279" s="176"/>
      <c r="R279" s="176" t="s">
        <v>4347</v>
      </c>
      <c r="S279" s="176"/>
      <c r="T279" s="176" t="s">
        <v>2706</v>
      </c>
      <c r="U279" s="176" t="s">
        <v>152</v>
      </c>
      <c r="V279" s="176" t="s">
        <v>23</v>
      </c>
    </row>
    <row r="280" spans="1:22" ht="12.75" customHeight="1">
      <c r="A280" s="65"/>
      <c r="B280" s="211">
        <v>46240</v>
      </c>
      <c r="C280" s="211">
        <v>46240</v>
      </c>
      <c r="D280" s="176" t="s">
        <v>4348</v>
      </c>
      <c r="E280" s="176" t="s">
        <v>4349</v>
      </c>
      <c r="F280" s="176" t="s">
        <v>87</v>
      </c>
      <c r="G280" s="176" t="s">
        <v>2357</v>
      </c>
      <c r="H280" s="176">
        <v>40</v>
      </c>
      <c r="I280" s="176">
        <v>40.4</v>
      </c>
      <c r="J280" s="176">
        <v>40.4</v>
      </c>
      <c r="K280" s="176">
        <v>5</v>
      </c>
      <c r="L280" s="176">
        <v>0</v>
      </c>
      <c r="M280" s="176" t="s">
        <v>148</v>
      </c>
      <c r="N280" s="176" t="s">
        <v>149</v>
      </c>
      <c r="O280" s="176" t="s">
        <v>150</v>
      </c>
      <c r="P280" s="176" t="s">
        <v>151</v>
      </c>
      <c r="Q280" s="176"/>
      <c r="R280" s="176" t="s">
        <v>4349</v>
      </c>
      <c r="S280" s="176"/>
      <c r="T280" s="176" t="s">
        <v>2706</v>
      </c>
      <c r="U280" s="176" t="s">
        <v>152</v>
      </c>
      <c r="V280" s="176" t="s">
        <v>23</v>
      </c>
    </row>
    <row r="281" spans="1:22" ht="12.75" customHeight="1">
      <c r="A281" s="65"/>
      <c r="B281" s="211">
        <v>46240</v>
      </c>
      <c r="C281" s="211">
        <v>46240</v>
      </c>
      <c r="D281" s="176" t="s">
        <v>4350</v>
      </c>
      <c r="E281" s="176" t="s">
        <v>4351</v>
      </c>
      <c r="F281" s="176" t="s">
        <v>87</v>
      </c>
      <c r="G281" s="176" t="s">
        <v>2406</v>
      </c>
      <c r="H281" s="176">
        <v>25</v>
      </c>
      <c r="I281" s="176">
        <v>24.3</v>
      </c>
      <c r="J281" s="176">
        <v>24.3</v>
      </c>
      <c r="K281" s="176">
        <v>4</v>
      </c>
      <c r="L281" s="176">
        <v>0</v>
      </c>
      <c r="M281" s="176" t="s">
        <v>148</v>
      </c>
      <c r="N281" s="176" t="s">
        <v>149</v>
      </c>
      <c r="O281" s="176" t="s">
        <v>150</v>
      </c>
      <c r="P281" s="176" t="s">
        <v>151</v>
      </c>
      <c r="Q281" s="176"/>
      <c r="R281" s="176" t="s">
        <v>4351</v>
      </c>
      <c r="S281" s="176"/>
      <c r="T281" s="176" t="s">
        <v>2706</v>
      </c>
      <c r="U281" s="176" t="s">
        <v>152</v>
      </c>
      <c r="V281" s="176" t="s">
        <v>23</v>
      </c>
    </row>
    <row r="282" spans="1:22" ht="12.75" customHeight="1">
      <c r="A282" s="65"/>
      <c r="B282" s="211">
        <v>46240</v>
      </c>
      <c r="C282" s="211">
        <v>46240</v>
      </c>
      <c r="D282" s="176" t="s">
        <v>4352</v>
      </c>
      <c r="E282" s="176" t="s">
        <v>4353</v>
      </c>
      <c r="F282" s="176" t="s">
        <v>87</v>
      </c>
      <c r="G282" s="176" t="s">
        <v>2404</v>
      </c>
      <c r="H282" s="176">
        <v>40</v>
      </c>
      <c r="I282" s="176">
        <v>38.799999999999997</v>
      </c>
      <c r="J282" s="176">
        <v>38.799999999999997</v>
      </c>
      <c r="K282" s="176">
        <v>5</v>
      </c>
      <c r="L282" s="176">
        <v>0</v>
      </c>
      <c r="M282" s="176" t="s">
        <v>148</v>
      </c>
      <c r="N282" s="176" t="s">
        <v>149</v>
      </c>
      <c r="O282" s="176" t="s">
        <v>150</v>
      </c>
      <c r="P282" s="176" t="s">
        <v>151</v>
      </c>
      <c r="Q282" s="176"/>
      <c r="R282" s="176" t="s">
        <v>4353</v>
      </c>
      <c r="S282" s="176"/>
      <c r="T282" s="176" t="s">
        <v>2706</v>
      </c>
      <c r="U282" s="176" t="s">
        <v>152</v>
      </c>
      <c r="V282" s="176" t="s">
        <v>23</v>
      </c>
    </row>
    <row r="283" spans="1:22" ht="12.75" customHeight="1">
      <c r="A283" s="65"/>
      <c r="B283" s="211">
        <v>46240</v>
      </c>
      <c r="C283" s="211">
        <v>46240</v>
      </c>
      <c r="D283" s="176" t="s">
        <v>4354</v>
      </c>
      <c r="E283" s="176" t="s">
        <v>4355</v>
      </c>
      <c r="F283" s="176" t="s">
        <v>87</v>
      </c>
      <c r="G283" s="176" t="s">
        <v>2334</v>
      </c>
      <c r="H283" s="176">
        <v>40</v>
      </c>
      <c r="I283" s="176">
        <v>38.200000000000003</v>
      </c>
      <c r="J283" s="176">
        <v>38.200000000000003</v>
      </c>
      <c r="K283" s="176">
        <v>5</v>
      </c>
      <c r="L283" s="176">
        <v>0</v>
      </c>
      <c r="M283" s="176" t="s">
        <v>148</v>
      </c>
      <c r="N283" s="176" t="s">
        <v>149</v>
      </c>
      <c r="O283" s="176" t="s">
        <v>150</v>
      </c>
      <c r="P283" s="176" t="s">
        <v>151</v>
      </c>
      <c r="Q283" s="176"/>
      <c r="R283" s="176" t="s">
        <v>4355</v>
      </c>
      <c r="S283" s="176"/>
      <c r="T283" s="176" t="s">
        <v>2706</v>
      </c>
      <c r="U283" s="176" t="s">
        <v>152</v>
      </c>
      <c r="V283" s="176" t="s">
        <v>23</v>
      </c>
    </row>
    <row r="284" spans="1:22" ht="12.75" customHeight="1">
      <c r="A284" s="65"/>
      <c r="B284" s="211">
        <v>46240</v>
      </c>
      <c r="C284" s="211">
        <v>46240</v>
      </c>
      <c r="D284" s="176" t="s">
        <v>4356</v>
      </c>
      <c r="E284" s="176" t="s">
        <v>4357</v>
      </c>
      <c r="F284" s="176" t="s">
        <v>87</v>
      </c>
      <c r="G284" s="176" t="s">
        <v>2357</v>
      </c>
      <c r="H284" s="176">
        <v>40</v>
      </c>
      <c r="I284" s="176">
        <v>35.5</v>
      </c>
      <c r="J284" s="176">
        <v>35.5</v>
      </c>
      <c r="K284" s="176">
        <v>5</v>
      </c>
      <c r="L284" s="176">
        <v>0</v>
      </c>
      <c r="M284" s="176" t="s">
        <v>148</v>
      </c>
      <c r="N284" s="176" t="s">
        <v>149</v>
      </c>
      <c r="O284" s="176" t="s">
        <v>150</v>
      </c>
      <c r="P284" s="176" t="s">
        <v>151</v>
      </c>
      <c r="Q284" s="176"/>
      <c r="R284" s="176" t="s">
        <v>4357</v>
      </c>
      <c r="S284" s="176"/>
      <c r="T284" s="176" t="s">
        <v>2706</v>
      </c>
      <c r="U284" s="176" t="s">
        <v>152</v>
      </c>
      <c r="V284" s="176" t="s">
        <v>23</v>
      </c>
    </row>
    <row r="285" spans="1:22" ht="12.75" customHeight="1">
      <c r="A285" s="65"/>
      <c r="B285" s="211">
        <v>46240</v>
      </c>
      <c r="C285" s="211">
        <v>46240</v>
      </c>
      <c r="D285" s="176" t="s">
        <v>4358</v>
      </c>
      <c r="E285" s="176" t="s">
        <v>4359</v>
      </c>
      <c r="F285" s="176" t="s">
        <v>87</v>
      </c>
      <c r="G285" s="176" t="s">
        <v>2513</v>
      </c>
      <c r="H285" s="176">
        <v>25</v>
      </c>
      <c r="I285" s="176">
        <v>41.8</v>
      </c>
      <c r="J285" s="176">
        <v>41.8</v>
      </c>
      <c r="K285" s="176">
        <v>4</v>
      </c>
      <c r="L285" s="176">
        <v>0</v>
      </c>
      <c r="M285" s="176" t="s">
        <v>148</v>
      </c>
      <c r="N285" s="176" t="s">
        <v>149</v>
      </c>
      <c r="O285" s="176" t="s">
        <v>150</v>
      </c>
      <c r="P285" s="176" t="s">
        <v>151</v>
      </c>
      <c r="Q285" s="176"/>
      <c r="R285" s="176" t="s">
        <v>4359</v>
      </c>
      <c r="S285" s="176"/>
      <c r="T285" s="176" t="s">
        <v>2706</v>
      </c>
      <c r="U285" s="176" t="s">
        <v>152</v>
      </c>
      <c r="V285" s="176" t="s">
        <v>23</v>
      </c>
    </row>
    <row r="286" spans="1:22" ht="12.75" customHeight="1">
      <c r="A286" s="65"/>
      <c r="B286" s="211">
        <v>46240</v>
      </c>
      <c r="C286" s="211">
        <v>46240</v>
      </c>
      <c r="D286" s="176" t="s">
        <v>4360</v>
      </c>
      <c r="E286" s="176" t="s">
        <v>4361</v>
      </c>
      <c r="F286" s="176" t="s">
        <v>87</v>
      </c>
      <c r="G286" s="176" t="s">
        <v>4335</v>
      </c>
      <c r="H286" s="176">
        <v>25</v>
      </c>
      <c r="I286" s="176">
        <v>40.4</v>
      </c>
      <c r="J286" s="176">
        <v>40.4</v>
      </c>
      <c r="K286" s="176">
        <v>4</v>
      </c>
      <c r="L286" s="176">
        <v>0</v>
      </c>
      <c r="M286" s="176" t="s">
        <v>148</v>
      </c>
      <c r="N286" s="176" t="s">
        <v>149</v>
      </c>
      <c r="O286" s="176" t="s">
        <v>150</v>
      </c>
      <c r="P286" s="176" t="s">
        <v>151</v>
      </c>
      <c r="Q286" s="176"/>
      <c r="R286" s="176" t="s">
        <v>4361</v>
      </c>
      <c r="S286" s="176"/>
      <c r="T286" s="176" t="s">
        <v>2706</v>
      </c>
      <c r="U286" s="176" t="s">
        <v>152</v>
      </c>
      <c r="V286" s="176" t="s">
        <v>23</v>
      </c>
    </row>
    <row r="287" spans="1:22" ht="12.75" customHeight="1">
      <c r="A287" s="65"/>
      <c r="B287" s="211">
        <v>46240</v>
      </c>
      <c r="C287" s="211">
        <v>46240</v>
      </c>
      <c r="D287" s="176" t="s">
        <v>4362</v>
      </c>
      <c r="E287" s="176" t="s">
        <v>4363</v>
      </c>
      <c r="F287" s="176" t="s">
        <v>87</v>
      </c>
      <c r="G287" s="176" t="s">
        <v>4335</v>
      </c>
      <c r="H287" s="176">
        <v>25</v>
      </c>
      <c r="I287" s="176">
        <v>14.3</v>
      </c>
      <c r="J287" s="176">
        <v>14.3</v>
      </c>
      <c r="K287" s="176">
        <v>4</v>
      </c>
      <c r="L287" s="176">
        <v>0</v>
      </c>
      <c r="M287" s="176" t="s">
        <v>148</v>
      </c>
      <c r="N287" s="176" t="s">
        <v>149</v>
      </c>
      <c r="O287" s="176" t="s">
        <v>150</v>
      </c>
      <c r="P287" s="176" t="s">
        <v>151</v>
      </c>
      <c r="Q287" s="176"/>
      <c r="R287" s="176" t="s">
        <v>4363</v>
      </c>
      <c r="S287" s="176"/>
      <c r="T287" s="176" t="s">
        <v>2706</v>
      </c>
      <c r="U287" s="176" t="s">
        <v>152</v>
      </c>
      <c r="V287" s="176" t="s">
        <v>23</v>
      </c>
    </row>
    <row r="288" spans="1:22" ht="12.75" customHeight="1">
      <c r="A288" s="65"/>
      <c r="B288" s="211">
        <v>46240</v>
      </c>
      <c r="C288" s="211">
        <v>46240</v>
      </c>
      <c r="D288" s="176" t="s">
        <v>4364</v>
      </c>
      <c r="E288" s="176" t="s">
        <v>4365</v>
      </c>
      <c r="F288" s="176" t="s">
        <v>87</v>
      </c>
      <c r="G288" s="176" t="s">
        <v>2334</v>
      </c>
      <c r="H288" s="176">
        <v>40</v>
      </c>
      <c r="I288" s="176">
        <v>35.4</v>
      </c>
      <c r="J288" s="176">
        <v>35.4</v>
      </c>
      <c r="K288" s="176">
        <v>5</v>
      </c>
      <c r="L288" s="176">
        <v>0</v>
      </c>
      <c r="M288" s="176" t="s">
        <v>148</v>
      </c>
      <c r="N288" s="176" t="s">
        <v>149</v>
      </c>
      <c r="O288" s="176" t="s">
        <v>150</v>
      </c>
      <c r="P288" s="176" t="s">
        <v>151</v>
      </c>
      <c r="Q288" s="176"/>
      <c r="R288" s="176" t="s">
        <v>4365</v>
      </c>
      <c r="S288" s="176"/>
      <c r="T288" s="176" t="s">
        <v>2706</v>
      </c>
      <c r="U288" s="176" t="s">
        <v>152</v>
      </c>
      <c r="V288" s="176" t="s">
        <v>23</v>
      </c>
    </row>
    <row r="289" spans="1:22" ht="12.75" customHeight="1">
      <c r="A289" s="65"/>
      <c r="B289" s="211">
        <v>46240</v>
      </c>
      <c r="C289" s="211">
        <v>46240</v>
      </c>
      <c r="D289" s="176" t="s">
        <v>4366</v>
      </c>
      <c r="E289" s="176" t="s">
        <v>4367</v>
      </c>
      <c r="F289" s="176" t="s">
        <v>87</v>
      </c>
      <c r="G289" s="176" t="s">
        <v>2515</v>
      </c>
      <c r="H289" s="176">
        <v>50</v>
      </c>
      <c r="I289" s="176">
        <v>48.3</v>
      </c>
      <c r="J289" s="176">
        <v>48.3</v>
      </c>
      <c r="K289" s="176">
        <v>5</v>
      </c>
      <c r="L289" s="176">
        <v>0</v>
      </c>
      <c r="M289" s="176" t="s">
        <v>148</v>
      </c>
      <c r="N289" s="176" t="s">
        <v>149</v>
      </c>
      <c r="O289" s="176" t="s">
        <v>150</v>
      </c>
      <c r="P289" s="176" t="s">
        <v>151</v>
      </c>
      <c r="Q289" s="176"/>
      <c r="R289" s="176" t="s">
        <v>4367</v>
      </c>
      <c r="S289" s="176"/>
      <c r="T289" s="176" t="s">
        <v>2706</v>
      </c>
      <c r="U289" s="176" t="s">
        <v>152</v>
      </c>
      <c r="V289" s="176" t="s">
        <v>23</v>
      </c>
    </row>
    <row r="290" spans="1:22" ht="12.75" customHeight="1">
      <c r="A290" s="65"/>
      <c r="B290" s="211">
        <v>46240</v>
      </c>
      <c r="C290" s="211">
        <v>46240</v>
      </c>
      <c r="D290" s="176" t="s">
        <v>4368</v>
      </c>
      <c r="E290" s="176" t="s">
        <v>4369</v>
      </c>
      <c r="F290" s="176" t="s">
        <v>87</v>
      </c>
      <c r="G290" s="176" t="s">
        <v>2515</v>
      </c>
      <c r="H290" s="176">
        <v>50</v>
      </c>
      <c r="I290" s="176">
        <v>37.799999999999997</v>
      </c>
      <c r="J290" s="176">
        <v>37.799999999999997</v>
      </c>
      <c r="K290" s="176">
        <v>5</v>
      </c>
      <c r="L290" s="176">
        <v>0</v>
      </c>
      <c r="M290" s="176" t="s">
        <v>148</v>
      </c>
      <c r="N290" s="176" t="s">
        <v>149</v>
      </c>
      <c r="O290" s="176" t="s">
        <v>150</v>
      </c>
      <c r="P290" s="176" t="s">
        <v>151</v>
      </c>
      <c r="Q290" s="176"/>
      <c r="R290" s="176" t="s">
        <v>4369</v>
      </c>
      <c r="S290" s="176"/>
      <c r="T290" s="176" t="s">
        <v>2706</v>
      </c>
      <c r="U290" s="176" t="s">
        <v>152</v>
      </c>
      <c r="V290" s="176" t="s">
        <v>23</v>
      </c>
    </row>
    <row r="291" spans="1:22" ht="12.75" customHeight="1">
      <c r="A291" s="65"/>
      <c r="B291" s="211">
        <v>46240</v>
      </c>
      <c r="C291" s="211">
        <v>46240</v>
      </c>
      <c r="D291" s="176" t="s">
        <v>4370</v>
      </c>
      <c r="E291" s="176" t="s">
        <v>4371</v>
      </c>
      <c r="F291" s="176" t="s">
        <v>87</v>
      </c>
      <c r="G291" s="176" t="s">
        <v>2513</v>
      </c>
      <c r="H291" s="176">
        <v>25</v>
      </c>
      <c r="I291" s="176">
        <v>31.5</v>
      </c>
      <c r="J291" s="176">
        <v>31.5</v>
      </c>
      <c r="K291" s="176">
        <v>4</v>
      </c>
      <c r="L291" s="176">
        <v>0</v>
      </c>
      <c r="M291" s="176" t="s">
        <v>148</v>
      </c>
      <c r="N291" s="176" t="s">
        <v>149</v>
      </c>
      <c r="O291" s="176" t="s">
        <v>150</v>
      </c>
      <c r="P291" s="176" t="s">
        <v>151</v>
      </c>
      <c r="Q291" s="176"/>
      <c r="R291" s="176" t="s">
        <v>4371</v>
      </c>
      <c r="S291" s="176"/>
      <c r="T291" s="176" t="s">
        <v>2706</v>
      </c>
      <c r="U291" s="176" t="s">
        <v>152</v>
      </c>
      <c r="V291" s="176" t="s">
        <v>23</v>
      </c>
    </row>
    <row r="292" spans="1:22" ht="12.75" customHeight="1">
      <c r="A292" s="65"/>
      <c r="B292" s="211">
        <v>46240</v>
      </c>
      <c r="C292" s="211">
        <v>46240</v>
      </c>
      <c r="D292" s="176" t="s">
        <v>4372</v>
      </c>
      <c r="E292" s="176" t="s">
        <v>4373</v>
      </c>
      <c r="F292" s="176" t="s">
        <v>87</v>
      </c>
      <c r="G292" s="176" t="s">
        <v>2334</v>
      </c>
      <c r="H292" s="176">
        <v>40</v>
      </c>
      <c r="I292" s="176">
        <v>31.5</v>
      </c>
      <c r="J292" s="176">
        <v>31.5</v>
      </c>
      <c r="K292" s="176">
        <v>5</v>
      </c>
      <c r="L292" s="176">
        <v>0</v>
      </c>
      <c r="M292" s="176" t="s">
        <v>148</v>
      </c>
      <c r="N292" s="176" t="s">
        <v>149</v>
      </c>
      <c r="O292" s="176" t="s">
        <v>150</v>
      </c>
      <c r="P292" s="176" t="s">
        <v>151</v>
      </c>
      <c r="Q292" s="176"/>
      <c r="R292" s="176" t="s">
        <v>4373</v>
      </c>
      <c r="S292" s="176"/>
      <c r="T292" s="176" t="s">
        <v>2706</v>
      </c>
      <c r="U292" s="176" t="s">
        <v>152</v>
      </c>
      <c r="V292" s="176" t="s">
        <v>23</v>
      </c>
    </row>
    <row r="293" spans="1:22" ht="12.75" customHeight="1">
      <c r="A293" s="65"/>
      <c r="B293" s="211">
        <v>46240</v>
      </c>
      <c r="C293" s="211">
        <v>46240</v>
      </c>
      <c r="D293" s="176" t="s">
        <v>4374</v>
      </c>
      <c r="E293" s="176" t="s">
        <v>4375</v>
      </c>
      <c r="F293" s="176" t="s">
        <v>87</v>
      </c>
      <c r="G293" s="176" t="s">
        <v>2334</v>
      </c>
      <c r="H293" s="176">
        <v>40</v>
      </c>
      <c r="I293" s="176">
        <v>34.4</v>
      </c>
      <c r="J293" s="176">
        <v>34.4</v>
      </c>
      <c r="K293" s="176">
        <v>5</v>
      </c>
      <c r="L293" s="176">
        <v>0</v>
      </c>
      <c r="M293" s="176" t="s">
        <v>148</v>
      </c>
      <c r="N293" s="176" t="s">
        <v>149</v>
      </c>
      <c r="O293" s="176" t="s">
        <v>150</v>
      </c>
      <c r="P293" s="176" t="s">
        <v>151</v>
      </c>
      <c r="Q293" s="176"/>
      <c r="R293" s="176" t="s">
        <v>4375</v>
      </c>
      <c r="S293" s="176"/>
      <c r="T293" s="176" t="s">
        <v>2706</v>
      </c>
      <c r="U293" s="176" t="s">
        <v>152</v>
      </c>
      <c r="V293" s="176" t="s">
        <v>23</v>
      </c>
    </row>
    <row r="294" spans="1:22" ht="12.75" customHeight="1">
      <c r="A294" s="65"/>
      <c r="B294" s="211">
        <v>46240</v>
      </c>
      <c r="C294" s="211">
        <v>46240</v>
      </c>
      <c r="D294" s="176" t="s">
        <v>4376</v>
      </c>
      <c r="E294" s="176" t="s">
        <v>4377</v>
      </c>
      <c r="F294" s="176" t="s">
        <v>87</v>
      </c>
      <c r="G294" s="176" t="s">
        <v>2357</v>
      </c>
      <c r="H294" s="176">
        <v>40</v>
      </c>
      <c r="I294" s="176">
        <v>32.799999999999997</v>
      </c>
      <c r="J294" s="176">
        <v>32.799999999999997</v>
      </c>
      <c r="K294" s="176">
        <v>5</v>
      </c>
      <c r="L294" s="176">
        <v>0</v>
      </c>
      <c r="M294" s="176" t="s">
        <v>148</v>
      </c>
      <c r="N294" s="176" t="s">
        <v>149</v>
      </c>
      <c r="O294" s="176" t="s">
        <v>150</v>
      </c>
      <c r="P294" s="176" t="s">
        <v>151</v>
      </c>
      <c r="Q294" s="176"/>
      <c r="R294" s="176" t="s">
        <v>4377</v>
      </c>
      <c r="S294" s="176"/>
      <c r="T294" s="176" t="s">
        <v>2706</v>
      </c>
      <c r="U294" s="176" t="s">
        <v>152</v>
      </c>
      <c r="V294" s="176" t="s">
        <v>23</v>
      </c>
    </row>
    <row r="295" spans="1:22" ht="12.75" customHeight="1">
      <c r="A295" s="65"/>
      <c r="B295" s="211">
        <v>46240</v>
      </c>
      <c r="C295" s="211">
        <v>46240</v>
      </c>
      <c r="D295" s="176" t="s">
        <v>4378</v>
      </c>
      <c r="E295" s="176" t="s">
        <v>4379</v>
      </c>
      <c r="F295" s="176" t="s">
        <v>87</v>
      </c>
      <c r="G295" s="176" t="s">
        <v>2406</v>
      </c>
      <c r="H295" s="176">
        <v>25</v>
      </c>
      <c r="I295" s="176">
        <v>30.2</v>
      </c>
      <c r="J295" s="176">
        <v>30.2</v>
      </c>
      <c r="K295" s="176">
        <v>4</v>
      </c>
      <c r="L295" s="176">
        <v>0</v>
      </c>
      <c r="M295" s="176" t="s">
        <v>148</v>
      </c>
      <c r="N295" s="176" t="s">
        <v>149</v>
      </c>
      <c r="O295" s="176" t="s">
        <v>150</v>
      </c>
      <c r="P295" s="176" t="s">
        <v>151</v>
      </c>
      <c r="Q295" s="176"/>
      <c r="R295" s="176" t="s">
        <v>4379</v>
      </c>
      <c r="S295" s="176"/>
      <c r="T295" s="176" t="s">
        <v>2706</v>
      </c>
      <c r="U295" s="176" t="s">
        <v>152</v>
      </c>
      <c r="V295" s="176" t="s">
        <v>23</v>
      </c>
    </row>
    <row r="296" spans="1:22" ht="12.75" customHeight="1">
      <c r="A296" s="65"/>
      <c r="B296" s="211">
        <v>46240</v>
      </c>
      <c r="C296" s="211">
        <v>46240</v>
      </c>
      <c r="D296" s="176" t="s">
        <v>4380</v>
      </c>
      <c r="E296" s="176" t="s">
        <v>4381</v>
      </c>
      <c r="F296" s="176" t="s">
        <v>87</v>
      </c>
      <c r="G296" s="176" t="s">
        <v>2513</v>
      </c>
      <c r="H296" s="176">
        <v>25</v>
      </c>
      <c r="I296" s="176">
        <v>42.3</v>
      </c>
      <c r="J296" s="176">
        <v>42.3</v>
      </c>
      <c r="K296" s="176">
        <v>4</v>
      </c>
      <c r="L296" s="176">
        <v>0</v>
      </c>
      <c r="M296" s="176" t="s">
        <v>148</v>
      </c>
      <c r="N296" s="176" t="s">
        <v>149</v>
      </c>
      <c r="O296" s="176" t="s">
        <v>150</v>
      </c>
      <c r="P296" s="176" t="s">
        <v>151</v>
      </c>
      <c r="Q296" s="176"/>
      <c r="R296" s="176" t="s">
        <v>4381</v>
      </c>
      <c r="S296" s="176"/>
      <c r="T296" s="176" t="s">
        <v>2706</v>
      </c>
      <c r="U296" s="176" t="s">
        <v>152</v>
      </c>
      <c r="V296" s="176" t="s">
        <v>23</v>
      </c>
    </row>
    <row r="297" spans="1:22" ht="12.75" customHeight="1">
      <c r="A297" s="65"/>
      <c r="B297" s="211">
        <v>46240</v>
      </c>
      <c r="C297" s="211">
        <v>46240</v>
      </c>
      <c r="D297" s="176" t="s">
        <v>4382</v>
      </c>
      <c r="E297" s="176" t="s">
        <v>4383</v>
      </c>
      <c r="F297" s="176" t="s">
        <v>87</v>
      </c>
      <c r="G297" s="176" t="s">
        <v>2334</v>
      </c>
      <c r="H297" s="176">
        <v>40</v>
      </c>
      <c r="I297" s="176">
        <v>34</v>
      </c>
      <c r="J297" s="176">
        <v>34</v>
      </c>
      <c r="K297" s="176">
        <v>5</v>
      </c>
      <c r="L297" s="176">
        <v>0</v>
      </c>
      <c r="M297" s="176" t="s">
        <v>148</v>
      </c>
      <c r="N297" s="176" t="s">
        <v>149</v>
      </c>
      <c r="O297" s="176" t="s">
        <v>150</v>
      </c>
      <c r="P297" s="176" t="s">
        <v>151</v>
      </c>
      <c r="Q297" s="176"/>
      <c r="R297" s="176" t="s">
        <v>4383</v>
      </c>
      <c r="S297" s="176"/>
      <c r="T297" s="176" t="s">
        <v>2706</v>
      </c>
      <c r="U297" s="176" t="s">
        <v>152</v>
      </c>
      <c r="V297" s="176" t="s">
        <v>23</v>
      </c>
    </row>
    <row r="298" spans="1:22" ht="12.75" customHeight="1">
      <c r="A298" s="65"/>
      <c r="B298" s="211">
        <v>46240</v>
      </c>
      <c r="C298" s="211">
        <v>46240</v>
      </c>
      <c r="D298" s="176" t="s">
        <v>4384</v>
      </c>
      <c r="E298" s="176" t="s">
        <v>4385</v>
      </c>
      <c r="F298" s="176" t="s">
        <v>87</v>
      </c>
      <c r="G298" s="176" t="s">
        <v>1678</v>
      </c>
      <c r="H298" s="176">
        <v>30</v>
      </c>
      <c r="I298" s="176">
        <v>40.4</v>
      </c>
      <c r="J298" s="176">
        <v>40.4</v>
      </c>
      <c r="K298" s="176">
        <v>4</v>
      </c>
      <c r="L298" s="176">
        <v>0</v>
      </c>
      <c r="M298" s="176" t="s">
        <v>148</v>
      </c>
      <c r="N298" s="176" t="s">
        <v>149</v>
      </c>
      <c r="O298" s="176" t="s">
        <v>150</v>
      </c>
      <c r="P298" s="176" t="s">
        <v>151</v>
      </c>
      <c r="Q298" s="176"/>
      <c r="R298" s="176" t="s">
        <v>4385</v>
      </c>
      <c r="S298" s="176"/>
      <c r="T298" s="176" t="s">
        <v>2706</v>
      </c>
      <c r="U298" s="176" t="s">
        <v>152</v>
      </c>
      <c r="V298" s="176" t="s">
        <v>23</v>
      </c>
    </row>
    <row r="299" spans="1:22" ht="12.75" customHeight="1">
      <c r="A299" s="65"/>
      <c r="B299" s="211">
        <v>46240</v>
      </c>
      <c r="C299" s="211">
        <v>46240</v>
      </c>
      <c r="D299" s="176" t="s">
        <v>4386</v>
      </c>
      <c r="E299" s="176" t="s">
        <v>4387</v>
      </c>
      <c r="F299" s="176" t="s">
        <v>87</v>
      </c>
      <c r="G299" s="176" t="s">
        <v>4000</v>
      </c>
      <c r="H299" s="176">
        <v>50</v>
      </c>
      <c r="I299" s="176">
        <v>19.5</v>
      </c>
      <c r="J299" s="176">
        <v>19.5</v>
      </c>
      <c r="K299" s="176">
        <v>5</v>
      </c>
      <c r="L299" s="176">
        <v>0</v>
      </c>
      <c r="M299" s="176" t="s">
        <v>148</v>
      </c>
      <c r="N299" s="176" t="s">
        <v>149</v>
      </c>
      <c r="O299" s="176" t="s">
        <v>150</v>
      </c>
      <c r="P299" s="176" t="s">
        <v>151</v>
      </c>
      <c r="Q299" s="176"/>
      <c r="R299" s="176" t="s">
        <v>4387</v>
      </c>
      <c r="S299" s="176"/>
      <c r="T299" s="176" t="s">
        <v>2706</v>
      </c>
      <c r="U299" s="176" t="s">
        <v>152</v>
      </c>
      <c r="V299" s="176" t="s">
        <v>23</v>
      </c>
    </row>
    <row r="300" spans="1:22" ht="12.75" customHeight="1">
      <c r="A300" s="65"/>
      <c r="B300" s="211">
        <v>46240</v>
      </c>
      <c r="C300" s="211">
        <v>46240</v>
      </c>
      <c r="D300" s="176" t="s">
        <v>4388</v>
      </c>
      <c r="E300" s="176" t="s">
        <v>4389</v>
      </c>
      <c r="F300" s="176" t="s">
        <v>87</v>
      </c>
      <c r="G300" s="176" t="s">
        <v>2334</v>
      </c>
      <c r="H300" s="176">
        <v>40</v>
      </c>
      <c r="I300" s="176">
        <v>39.299999999999997</v>
      </c>
      <c r="J300" s="176">
        <v>39.299999999999997</v>
      </c>
      <c r="K300" s="176">
        <v>5</v>
      </c>
      <c r="L300" s="176">
        <v>0</v>
      </c>
      <c r="M300" s="176" t="s">
        <v>148</v>
      </c>
      <c r="N300" s="176" t="s">
        <v>149</v>
      </c>
      <c r="O300" s="176" t="s">
        <v>150</v>
      </c>
      <c r="P300" s="176" t="s">
        <v>151</v>
      </c>
      <c r="Q300" s="176"/>
      <c r="R300" s="176" t="s">
        <v>4389</v>
      </c>
      <c r="S300" s="176"/>
      <c r="T300" s="176" t="s">
        <v>2706</v>
      </c>
      <c r="U300" s="176" t="s">
        <v>152</v>
      </c>
      <c r="V300" s="176" t="s">
        <v>23</v>
      </c>
    </row>
    <row r="301" spans="1:22" ht="12.75" customHeight="1">
      <c r="A301" s="65"/>
      <c r="B301" s="211">
        <v>46240</v>
      </c>
      <c r="C301" s="211">
        <v>46240</v>
      </c>
      <c r="D301" s="176" t="s">
        <v>4390</v>
      </c>
      <c r="E301" s="176" t="s">
        <v>4391</v>
      </c>
      <c r="F301" s="176" t="s">
        <v>87</v>
      </c>
      <c r="G301" s="176" t="s">
        <v>1966</v>
      </c>
      <c r="H301" s="176">
        <v>6</v>
      </c>
      <c r="I301" s="176">
        <v>38.299999999999997</v>
      </c>
      <c r="J301" s="176">
        <v>38.299999999999997</v>
      </c>
      <c r="K301" s="176">
        <v>1.5</v>
      </c>
      <c r="L301" s="176">
        <v>0</v>
      </c>
      <c r="M301" s="176" t="s">
        <v>148</v>
      </c>
      <c r="N301" s="176" t="s">
        <v>149</v>
      </c>
      <c r="O301" s="176" t="s">
        <v>150</v>
      </c>
      <c r="P301" s="176" t="s">
        <v>151</v>
      </c>
      <c r="Q301" s="176"/>
      <c r="R301" s="176" t="s">
        <v>4391</v>
      </c>
      <c r="S301" s="176"/>
      <c r="T301" s="176" t="s">
        <v>2706</v>
      </c>
      <c r="U301" s="176" t="s">
        <v>152</v>
      </c>
      <c r="V301" s="176" t="s">
        <v>23</v>
      </c>
    </row>
    <row r="302" spans="1:22" ht="12.75" customHeight="1">
      <c r="A302" s="65"/>
      <c r="B302" s="211">
        <v>46240</v>
      </c>
      <c r="C302" s="211">
        <v>46240</v>
      </c>
      <c r="D302" s="176" t="s">
        <v>4392</v>
      </c>
      <c r="E302" s="176" t="s">
        <v>4393</v>
      </c>
      <c r="F302" s="176" t="s">
        <v>87</v>
      </c>
      <c r="G302" s="176" t="s">
        <v>1678</v>
      </c>
      <c r="H302" s="176">
        <v>30</v>
      </c>
      <c r="I302" s="176">
        <v>34.200000000000003</v>
      </c>
      <c r="J302" s="176">
        <v>34.200000000000003</v>
      </c>
      <c r="K302" s="176">
        <v>4</v>
      </c>
      <c r="L302" s="176">
        <v>0</v>
      </c>
      <c r="M302" s="176" t="s">
        <v>148</v>
      </c>
      <c r="N302" s="176" t="s">
        <v>149</v>
      </c>
      <c r="O302" s="176" t="s">
        <v>150</v>
      </c>
      <c r="P302" s="176" t="s">
        <v>151</v>
      </c>
      <c r="Q302" s="176"/>
      <c r="R302" s="176" t="s">
        <v>4393</v>
      </c>
      <c r="S302" s="176"/>
      <c r="T302" s="176" t="s">
        <v>2706</v>
      </c>
      <c r="U302" s="176" t="s">
        <v>152</v>
      </c>
      <c r="V302" s="176" t="s">
        <v>23</v>
      </c>
    </row>
    <row r="303" spans="1:22" ht="12.75" customHeight="1">
      <c r="A303" s="65"/>
      <c r="B303" s="211">
        <v>46240</v>
      </c>
      <c r="C303" s="211">
        <v>46240</v>
      </c>
      <c r="D303" s="176" t="s">
        <v>4394</v>
      </c>
      <c r="E303" s="176" t="s">
        <v>4395</v>
      </c>
      <c r="F303" s="176" t="s">
        <v>87</v>
      </c>
      <c r="G303" s="176" t="s">
        <v>1966</v>
      </c>
      <c r="H303" s="176">
        <v>6</v>
      </c>
      <c r="I303" s="176">
        <v>19.2</v>
      </c>
      <c r="J303" s="176">
        <v>19.2</v>
      </c>
      <c r="K303" s="176">
        <v>1.5</v>
      </c>
      <c r="L303" s="176">
        <v>0</v>
      </c>
      <c r="M303" s="176" t="s">
        <v>148</v>
      </c>
      <c r="N303" s="176" t="s">
        <v>149</v>
      </c>
      <c r="O303" s="176" t="s">
        <v>150</v>
      </c>
      <c r="P303" s="176" t="s">
        <v>151</v>
      </c>
      <c r="Q303" s="176"/>
      <c r="R303" s="176" t="s">
        <v>4395</v>
      </c>
      <c r="S303" s="176"/>
      <c r="T303" s="176" t="s">
        <v>2706</v>
      </c>
      <c r="U303" s="176" t="s">
        <v>152</v>
      </c>
      <c r="V303" s="176" t="s">
        <v>23</v>
      </c>
    </row>
    <row r="304" spans="1:22" ht="12.75" customHeight="1">
      <c r="A304" s="65"/>
      <c r="B304" s="211">
        <v>46240</v>
      </c>
      <c r="C304" s="211">
        <v>46240</v>
      </c>
      <c r="D304" s="176" t="s">
        <v>4396</v>
      </c>
      <c r="E304" s="176" t="s">
        <v>4397</v>
      </c>
      <c r="F304" s="176" t="s">
        <v>87</v>
      </c>
      <c r="G304" s="176" t="s">
        <v>2515</v>
      </c>
      <c r="H304" s="176">
        <v>50</v>
      </c>
      <c r="I304" s="176">
        <v>40</v>
      </c>
      <c r="J304" s="176">
        <v>40</v>
      </c>
      <c r="K304" s="176">
        <v>5</v>
      </c>
      <c r="L304" s="176">
        <v>0</v>
      </c>
      <c r="M304" s="176" t="s">
        <v>148</v>
      </c>
      <c r="N304" s="176" t="s">
        <v>149</v>
      </c>
      <c r="O304" s="176" t="s">
        <v>150</v>
      </c>
      <c r="P304" s="176" t="s">
        <v>151</v>
      </c>
      <c r="Q304" s="176"/>
      <c r="R304" s="176" t="s">
        <v>4397</v>
      </c>
      <c r="S304" s="176"/>
      <c r="T304" s="176" t="s">
        <v>2706</v>
      </c>
      <c r="U304" s="176" t="s">
        <v>152</v>
      </c>
      <c r="V304" s="176" t="s">
        <v>23</v>
      </c>
    </row>
    <row r="305" spans="1:22" ht="12.75" customHeight="1">
      <c r="A305" s="65"/>
      <c r="B305" s="211">
        <v>46240</v>
      </c>
      <c r="C305" s="211">
        <v>46240</v>
      </c>
      <c r="D305" s="176" t="s">
        <v>4398</v>
      </c>
      <c r="E305" s="176" t="s">
        <v>4399</v>
      </c>
      <c r="F305" s="176" t="s">
        <v>87</v>
      </c>
      <c r="G305" s="176" t="s">
        <v>4335</v>
      </c>
      <c r="H305" s="176">
        <v>25</v>
      </c>
      <c r="I305" s="176">
        <v>37.4</v>
      </c>
      <c r="J305" s="176">
        <v>37.4</v>
      </c>
      <c r="K305" s="176">
        <v>4</v>
      </c>
      <c r="L305" s="176">
        <v>0</v>
      </c>
      <c r="M305" s="176" t="s">
        <v>148</v>
      </c>
      <c r="N305" s="176" t="s">
        <v>149</v>
      </c>
      <c r="O305" s="176" t="s">
        <v>150</v>
      </c>
      <c r="P305" s="176" t="s">
        <v>151</v>
      </c>
      <c r="Q305" s="176"/>
      <c r="R305" s="176" t="s">
        <v>4399</v>
      </c>
      <c r="S305" s="176"/>
      <c r="T305" s="176" t="s">
        <v>2706</v>
      </c>
      <c r="U305" s="176" t="s">
        <v>152</v>
      </c>
      <c r="V305" s="176" t="s">
        <v>23</v>
      </c>
    </row>
    <row r="306" spans="1:22" ht="12.75" customHeight="1">
      <c r="A306" s="65"/>
      <c r="B306" s="211">
        <v>46240</v>
      </c>
      <c r="C306" s="211">
        <v>46240</v>
      </c>
      <c r="D306" s="176" t="s">
        <v>4400</v>
      </c>
      <c r="E306" s="176" t="s">
        <v>4401</v>
      </c>
      <c r="F306" s="176" t="s">
        <v>87</v>
      </c>
      <c r="G306" s="176" t="s">
        <v>2334</v>
      </c>
      <c r="H306" s="176">
        <v>40</v>
      </c>
      <c r="I306" s="176">
        <v>28.8</v>
      </c>
      <c r="J306" s="176">
        <v>28.8</v>
      </c>
      <c r="K306" s="176">
        <v>5</v>
      </c>
      <c r="L306" s="176">
        <v>0</v>
      </c>
      <c r="M306" s="176" t="s">
        <v>148</v>
      </c>
      <c r="N306" s="176" t="s">
        <v>149</v>
      </c>
      <c r="O306" s="176" t="s">
        <v>150</v>
      </c>
      <c r="P306" s="176" t="s">
        <v>151</v>
      </c>
      <c r="Q306" s="176"/>
      <c r="R306" s="176" t="s">
        <v>4401</v>
      </c>
      <c r="S306" s="176"/>
      <c r="T306" s="176" t="s">
        <v>2706</v>
      </c>
      <c r="U306" s="176" t="s">
        <v>152</v>
      </c>
      <c r="V306" s="176" t="s">
        <v>23</v>
      </c>
    </row>
    <row r="307" spans="1:22" ht="12.75" customHeight="1">
      <c r="A307" s="65"/>
      <c r="B307" s="211">
        <v>46240</v>
      </c>
      <c r="C307" s="211">
        <v>46240</v>
      </c>
      <c r="D307" s="176" t="s">
        <v>4402</v>
      </c>
      <c r="E307" s="176" t="s">
        <v>4403</v>
      </c>
      <c r="F307" s="176" t="s">
        <v>87</v>
      </c>
      <c r="G307" s="176" t="s">
        <v>2334</v>
      </c>
      <c r="H307" s="176">
        <v>40</v>
      </c>
      <c r="I307" s="176">
        <v>39.299999999999997</v>
      </c>
      <c r="J307" s="176">
        <v>39.299999999999997</v>
      </c>
      <c r="K307" s="176">
        <v>5</v>
      </c>
      <c r="L307" s="176">
        <v>0</v>
      </c>
      <c r="M307" s="176" t="s">
        <v>148</v>
      </c>
      <c r="N307" s="176" t="s">
        <v>149</v>
      </c>
      <c r="O307" s="176" t="s">
        <v>150</v>
      </c>
      <c r="P307" s="176" t="s">
        <v>151</v>
      </c>
      <c r="Q307" s="176"/>
      <c r="R307" s="176" t="s">
        <v>4403</v>
      </c>
      <c r="S307" s="176"/>
      <c r="T307" s="176" t="s">
        <v>2706</v>
      </c>
      <c r="U307" s="176" t="s">
        <v>152</v>
      </c>
      <c r="V307" s="176" t="s">
        <v>23</v>
      </c>
    </row>
    <row r="308" spans="1:22" ht="12.75" customHeight="1">
      <c r="A308" s="65"/>
      <c r="B308" s="211">
        <v>46240</v>
      </c>
      <c r="C308" s="211">
        <v>46240</v>
      </c>
      <c r="D308" s="176" t="s">
        <v>4404</v>
      </c>
      <c r="E308" s="176" t="s">
        <v>4405</v>
      </c>
      <c r="F308" s="176" t="s">
        <v>87</v>
      </c>
      <c r="G308" s="176" t="s">
        <v>2334</v>
      </c>
      <c r="H308" s="176">
        <v>40</v>
      </c>
      <c r="I308" s="176">
        <v>38</v>
      </c>
      <c r="J308" s="176">
        <v>38</v>
      </c>
      <c r="K308" s="176">
        <v>5</v>
      </c>
      <c r="L308" s="176">
        <v>0</v>
      </c>
      <c r="M308" s="176" t="s">
        <v>148</v>
      </c>
      <c r="N308" s="176" t="s">
        <v>149</v>
      </c>
      <c r="O308" s="176" t="s">
        <v>150</v>
      </c>
      <c r="P308" s="176" t="s">
        <v>151</v>
      </c>
      <c r="Q308" s="176"/>
      <c r="R308" s="176" t="s">
        <v>4405</v>
      </c>
      <c r="S308" s="176"/>
      <c r="T308" s="176" t="s">
        <v>2706</v>
      </c>
      <c r="U308" s="176" t="s">
        <v>152</v>
      </c>
      <c r="V308" s="176" t="s">
        <v>23</v>
      </c>
    </row>
    <row r="309" spans="1:22" ht="12.75" customHeight="1">
      <c r="A309" s="65"/>
      <c r="B309" s="211">
        <v>46240</v>
      </c>
      <c r="C309" s="211">
        <v>46240</v>
      </c>
      <c r="D309" s="176" t="s">
        <v>4406</v>
      </c>
      <c r="E309" s="176" t="s">
        <v>4407</v>
      </c>
      <c r="F309" s="176" t="s">
        <v>87</v>
      </c>
      <c r="G309" s="176" t="s">
        <v>4335</v>
      </c>
      <c r="H309" s="176">
        <v>25</v>
      </c>
      <c r="I309" s="176">
        <v>36.799999999999997</v>
      </c>
      <c r="J309" s="176">
        <v>36.799999999999997</v>
      </c>
      <c r="K309" s="176">
        <v>4</v>
      </c>
      <c r="L309" s="176">
        <v>0</v>
      </c>
      <c r="M309" s="176" t="s">
        <v>148</v>
      </c>
      <c r="N309" s="176" t="s">
        <v>149</v>
      </c>
      <c r="O309" s="176" t="s">
        <v>150</v>
      </c>
      <c r="P309" s="176" t="s">
        <v>151</v>
      </c>
      <c r="Q309" s="176"/>
      <c r="R309" s="176" t="s">
        <v>4407</v>
      </c>
      <c r="S309" s="176"/>
      <c r="T309" s="176" t="s">
        <v>2706</v>
      </c>
      <c r="U309" s="176" t="s">
        <v>152</v>
      </c>
      <c r="V309" s="176" t="s">
        <v>23</v>
      </c>
    </row>
    <row r="310" spans="1:22" ht="12.75" customHeight="1">
      <c r="A310" s="65"/>
      <c r="B310" s="211">
        <v>46240</v>
      </c>
      <c r="C310" s="211">
        <v>46240</v>
      </c>
      <c r="D310" s="176" t="s">
        <v>4408</v>
      </c>
      <c r="E310" s="176" t="s">
        <v>4409</v>
      </c>
      <c r="F310" s="176" t="s">
        <v>87</v>
      </c>
      <c r="G310" s="176" t="s">
        <v>2514</v>
      </c>
      <c r="H310" s="176">
        <v>55</v>
      </c>
      <c r="I310" s="176">
        <v>21.5</v>
      </c>
      <c r="J310" s="176">
        <v>21.5</v>
      </c>
      <c r="K310" s="176">
        <v>5</v>
      </c>
      <c r="L310" s="176">
        <v>0</v>
      </c>
      <c r="M310" s="176" t="s">
        <v>148</v>
      </c>
      <c r="N310" s="176" t="s">
        <v>149</v>
      </c>
      <c r="O310" s="176" t="s">
        <v>150</v>
      </c>
      <c r="P310" s="176" t="s">
        <v>151</v>
      </c>
      <c r="Q310" s="176"/>
      <c r="R310" s="176" t="s">
        <v>4409</v>
      </c>
      <c r="S310" s="176"/>
      <c r="T310" s="176" t="s">
        <v>2706</v>
      </c>
      <c r="U310" s="176" t="s">
        <v>152</v>
      </c>
      <c r="V310" s="176" t="s">
        <v>23</v>
      </c>
    </row>
    <row r="311" spans="1:22" ht="12.75" customHeight="1">
      <c r="A311" s="65"/>
      <c r="B311" s="211">
        <v>46240</v>
      </c>
      <c r="C311" s="211">
        <v>46240</v>
      </c>
      <c r="D311" s="176" t="s">
        <v>4410</v>
      </c>
      <c r="E311" s="176" t="s">
        <v>4411</v>
      </c>
      <c r="F311" s="176" t="s">
        <v>87</v>
      </c>
      <c r="G311" s="176" t="s">
        <v>2513</v>
      </c>
      <c r="H311" s="176">
        <v>25</v>
      </c>
      <c r="I311" s="176">
        <v>46.2</v>
      </c>
      <c r="J311" s="176">
        <v>46.2</v>
      </c>
      <c r="K311" s="176">
        <v>4</v>
      </c>
      <c r="L311" s="176">
        <v>0</v>
      </c>
      <c r="M311" s="176" t="s">
        <v>148</v>
      </c>
      <c r="N311" s="176" t="s">
        <v>149</v>
      </c>
      <c r="O311" s="176" t="s">
        <v>150</v>
      </c>
      <c r="P311" s="176" t="s">
        <v>151</v>
      </c>
      <c r="Q311" s="176"/>
      <c r="R311" s="176" t="s">
        <v>4411</v>
      </c>
      <c r="S311" s="176"/>
      <c r="T311" s="176" t="s">
        <v>2706</v>
      </c>
      <c r="U311" s="176" t="s">
        <v>152</v>
      </c>
      <c r="V311" s="176" t="s">
        <v>23</v>
      </c>
    </row>
    <row r="312" spans="1:22" ht="12.75" customHeight="1">
      <c r="A312" s="65"/>
      <c r="B312" s="211">
        <v>46240</v>
      </c>
      <c r="C312" s="211">
        <v>46240</v>
      </c>
      <c r="D312" s="176" t="s">
        <v>4412</v>
      </c>
      <c r="E312" s="176" t="s">
        <v>4413</v>
      </c>
      <c r="F312" s="176" t="s">
        <v>87</v>
      </c>
      <c r="G312" s="176" t="s">
        <v>2334</v>
      </c>
      <c r="H312" s="176">
        <v>40</v>
      </c>
      <c r="I312" s="176">
        <v>41.2</v>
      </c>
      <c r="J312" s="176">
        <v>41.2</v>
      </c>
      <c r="K312" s="176">
        <v>5</v>
      </c>
      <c r="L312" s="176">
        <v>0</v>
      </c>
      <c r="M312" s="176" t="s">
        <v>148</v>
      </c>
      <c r="N312" s="176" t="s">
        <v>149</v>
      </c>
      <c r="O312" s="176" t="s">
        <v>150</v>
      </c>
      <c r="P312" s="176" t="s">
        <v>151</v>
      </c>
      <c r="Q312" s="176"/>
      <c r="R312" s="176" t="s">
        <v>4413</v>
      </c>
      <c r="S312" s="176"/>
      <c r="T312" s="176" t="s">
        <v>2706</v>
      </c>
      <c r="U312" s="176" t="s">
        <v>152</v>
      </c>
      <c r="V312" s="176" t="s">
        <v>23</v>
      </c>
    </row>
    <row r="313" spans="1:22" ht="12.75" customHeight="1">
      <c r="A313" s="65"/>
      <c r="B313" s="211">
        <v>46240</v>
      </c>
      <c r="C313" s="211">
        <v>46240</v>
      </c>
      <c r="D313" s="176" t="s">
        <v>4414</v>
      </c>
      <c r="E313" s="176" t="s">
        <v>4415</v>
      </c>
      <c r="F313" s="176" t="s">
        <v>87</v>
      </c>
      <c r="G313" s="176" t="s">
        <v>2513</v>
      </c>
      <c r="H313" s="176">
        <v>25</v>
      </c>
      <c r="I313" s="176">
        <v>37.799999999999997</v>
      </c>
      <c r="J313" s="176">
        <v>37.799999999999997</v>
      </c>
      <c r="K313" s="176">
        <v>4</v>
      </c>
      <c r="L313" s="176">
        <v>0</v>
      </c>
      <c r="M313" s="176" t="s">
        <v>148</v>
      </c>
      <c r="N313" s="176" t="s">
        <v>149</v>
      </c>
      <c r="O313" s="176" t="s">
        <v>150</v>
      </c>
      <c r="P313" s="176" t="s">
        <v>151</v>
      </c>
      <c r="Q313" s="176"/>
      <c r="R313" s="176" t="s">
        <v>4415</v>
      </c>
      <c r="S313" s="176"/>
      <c r="T313" s="176" t="s">
        <v>2706</v>
      </c>
      <c r="U313" s="176" t="s">
        <v>152</v>
      </c>
      <c r="V313" s="176" t="s">
        <v>23</v>
      </c>
    </row>
    <row r="314" spans="1:22" ht="12.75" customHeight="1">
      <c r="A314" s="65"/>
      <c r="B314" s="211">
        <v>46240</v>
      </c>
      <c r="C314" s="211">
        <v>46240</v>
      </c>
      <c r="D314" s="176" t="s">
        <v>4416</v>
      </c>
      <c r="E314" s="176" t="s">
        <v>4417</v>
      </c>
      <c r="F314" s="176" t="s">
        <v>87</v>
      </c>
      <c r="G314" s="176" t="s">
        <v>4335</v>
      </c>
      <c r="H314" s="176">
        <v>25</v>
      </c>
      <c r="I314" s="176">
        <v>37.799999999999997</v>
      </c>
      <c r="J314" s="176">
        <v>37.799999999999997</v>
      </c>
      <c r="K314" s="176">
        <v>4</v>
      </c>
      <c r="L314" s="176">
        <v>0</v>
      </c>
      <c r="M314" s="176" t="s">
        <v>148</v>
      </c>
      <c r="N314" s="176" t="s">
        <v>149</v>
      </c>
      <c r="O314" s="176" t="s">
        <v>150</v>
      </c>
      <c r="P314" s="176" t="s">
        <v>151</v>
      </c>
      <c r="Q314" s="176"/>
      <c r="R314" s="176" t="s">
        <v>4417</v>
      </c>
      <c r="S314" s="176"/>
      <c r="T314" s="176" t="s">
        <v>2706</v>
      </c>
      <c r="U314" s="176" t="s">
        <v>152</v>
      </c>
      <c r="V314" s="176" t="s">
        <v>23</v>
      </c>
    </row>
    <row r="315" spans="1:22" ht="12.75" customHeight="1">
      <c r="A315" s="65"/>
      <c r="B315" s="211">
        <v>46240</v>
      </c>
      <c r="C315" s="211">
        <v>46240</v>
      </c>
      <c r="D315" s="176" t="s">
        <v>4418</v>
      </c>
      <c r="E315" s="176" t="s">
        <v>4419</v>
      </c>
      <c r="F315" s="176" t="s">
        <v>87</v>
      </c>
      <c r="G315" s="176" t="s">
        <v>1678</v>
      </c>
      <c r="H315" s="176">
        <v>30</v>
      </c>
      <c r="I315" s="176">
        <v>35.799999999999997</v>
      </c>
      <c r="J315" s="176">
        <v>35.799999999999997</v>
      </c>
      <c r="K315" s="176">
        <v>4</v>
      </c>
      <c r="L315" s="176">
        <v>0</v>
      </c>
      <c r="M315" s="176" t="s">
        <v>148</v>
      </c>
      <c r="N315" s="176" t="s">
        <v>149</v>
      </c>
      <c r="O315" s="176" t="s">
        <v>150</v>
      </c>
      <c r="P315" s="176" t="s">
        <v>151</v>
      </c>
      <c r="Q315" s="176"/>
      <c r="R315" s="176" t="s">
        <v>4419</v>
      </c>
      <c r="S315" s="176"/>
      <c r="T315" s="176" t="s">
        <v>2706</v>
      </c>
      <c r="U315" s="176" t="s">
        <v>152</v>
      </c>
      <c r="V315" s="176" t="s">
        <v>23</v>
      </c>
    </row>
    <row r="316" spans="1:22" ht="12.75" customHeight="1">
      <c r="A316" s="65"/>
      <c r="B316" s="211">
        <v>46240</v>
      </c>
      <c r="C316" s="211">
        <v>46240</v>
      </c>
      <c r="D316" s="176" t="s">
        <v>4420</v>
      </c>
      <c r="E316" s="176" t="s">
        <v>4421</v>
      </c>
      <c r="F316" s="176" t="s">
        <v>87</v>
      </c>
      <c r="G316" s="176" t="s">
        <v>2514</v>
      </c>
      <c r="H316" s="176">
        <v>55</v>
      </c>
      <c r="I316" s="176">
        <v>40.799999999999997</v>
      </c>
      <c r="J316" s="176">
        <v>40.799999999999997</v>
      </c>
      <c r="K316" s="176">
        <v>5</v>
      </c>
      <c r="L316" s="176">
        <v>0</v>
      </c>
      <c r="M316" s="176" t="s">
        <v>148</v>
      </c>
      <c r="N316" s="176" t="s">
        <v>149</v>
      </c>
      <c r="O316" s="176" t="s">
        <v>150</v>
      </c>
      <c r="P316" s="176" t="s">
        <v>151</v>
      </c>
      <c r="Q316" s="176"/>
      <c r="R316" s="176" t="s">
        <v>4421</v>
      </c>
      <c r="S316" s="176"/>
      <c r="T316" s="176" t="s">
        <v>2706</v>
      </c>
      <c r="U316" s="176" t="s">
        <v>152</v>
      </c>
      <c r="V316" s="176" t="s">
        <v>23</v>
      </c>
    </row>
    <row r="317" spans="1:22" ht="12.75" customHeight="1">
      <c r="A317" s="65"/>
      <c r="B317" s="211">
        <v>46240</v>
      </c>
      <c r="C317" s="211">
        <v>46240</v>
      </c>
      <c r="D317" s="176" t="s">
        <v>4422</v>
      </c>
      <c r="E317" s="176" t="s">
        <v>4423</v>
      </c>
      <c r="F317" s="176" t="s">
        <v>87</v>
      </c>
      <c r="G317" s="176" t="s">
        <v>2357</v>
      </c>
      <c r="H317" s="176">
        <v>40</v>
      </c>
      <c r="I317" s="176">
        <v>43.3</v>
      </c>
      <c r="J317" s="176">
        <v>43.3</v>
      </c>
      <c r="K317" s="176">
        <v>5</v>
      </c>
      <c r="L317" s="176">
        <v>0</v>
      </c>
      <c r="M317" s="176" t="s">
        <v>148</v>
      </c>
      <c r="N317" s="176" t="s">
        <v>149</v>
      </c>
      <c r="O317" s="176" t="s">
        <v>150</v>
      </c>
      <c r="P317" s="176" t="s">
        <v>151</v>
      </c>
      <c r="Q317" s="176"/>
      <c r="R317" s="176" t="s">
        <v>4423</v>
      </c>
      <c r="S317" s="176"/>
      <c r="T317" s="176" t="s">
        <v>2706</v>
      </c>
      <c r="U317" s="176" t="s">
        <v>152</v>
      </c>
      <c r="V317" s="176" t="s">
        <v>23</v>
      </c>
    </row>
    <row r="318" spans="1:22" ht="12.75" customHeight="1">
      <c r="A318" s="65"/>
      <c r="B318" s="211">
        <v>46240</v>
      </c>
      <c r="C318" s="211">
        <v>46240</v>
      </c>
      <c r="D318" s="176" t="s">
        <v>4424</v>
      </c>
      <c r="E318" s="176" t="s">
        <v>4425</v>
      </c>
      <c r="F318" s="176" t="s">
        <v>87</v>
      </c>
      <c r="G318" s="176" t="s">
        <v>1678</v>
      </c>
      <c r="H318" s="176">
        <v>30</v>
      </c>
      <c r="I318" s="176">
        <v>40.4</v>
      </c>
      <c r="J318" s="176">
        <v>40.4</v>
      </c>
      <c r="K318" s="176">
        <v>4</v>
      </c>
      <c r="L318" s="176">
        <v>0</v>
      </c>
      <c r="M318" s="176" t="s">
        <v>148</v>
      </c>
      <c r="N318" s="176" t="s">
        <v>149</v>
      </c>
      <c r="O318" s="176" t="s">
        <v>150</v>
      </c>
      <c r="P318" s="176" t="s">
        <v>151</v>
      </c>
      <c r="Q318" s="176"/>
      <c r="R318" s="176" t="s">
        <v>4425</v>
      </c>
      <c r="S318" s="176"/>
      <c r="T318" s="176" t="s">
        <v>2706</v>
      </c>
      <c r="U318" s="176" t="s">
        <v>152</v>
      </c>
      <c r="V318" s="176" t="s">
        <v>23</v>
      </c>
    </row>
    <row r="319" spans="1:22" ht="12.75" customHeight="1">
      <c r="A319" s="65"/>
      <c r="B319" s="211">
        <v>46240</v>
      </c>
      <c r="C319" s="211">
        <v>46240</v>
      </c>
      <c r="D319" s="176" t="s">
        <v>4426</v>
      </c>
      <c r="E319" s="176" t="s">
        <v>4427</v>
      </c>
      <c r="F319" s="176" t="s">
        <v>87</v>
      </c>
      <c r="G319" s="176" t="s">
        <v>1678</v>
      </c>
      <c r="H319" s="176">
        <v>30</v>
      </c>
      <c r="I319" s="176">
        <v>30.8</v>
      </c>
      <c r="J319" s="176">
        <v>30.8</v>
      </c>
      <c r="K319" s="176">
        <v>4</v>
      </c>
      <c r="L319" s="176">
        <v>0</v>
      </c>
      <c r="M319" s="176" t="s">
        <v>148</v>
      </c>
      <c r="N319" s="176" t="s">
        <v>149</v>
      </c>
      <c r="O319" s="176" t="s">
        <v>150</v>
      </c>
      <c r="P319" s="176" t="s">
        <v>151</v>
      </c>
      <c r="Q319" s="176"/>
      <c r="R319" s="176" t="s">
        <v>4427</v>
      </c>
      <c r="S319" s="176"/>
      <c r="T319" s="176" t="s">
        <v>2706</v>
      </c>
      <c r="U319" s="176" t="s">
        <v>152</v>
      </c>
      <c r="V319" s="176" t="s">
        <v>23</v>
      </c>
    </row>
    <row r="320" spans="1:22" ht="12.75" customHeight="1">
      <c r="A320" s="65"/>
      <c r="B320" s="211">
        <v>46240</v>
      </c>
      <c r="C320" s="211">
        <v>46240</v>
      </c>
      <c r="D320" s="176" t="s">
        <v>4428</v>
      </c>
      <c r="E320" s="176" t="s">
        <v>4429</v>
      </c>
      <c r="F320" s="176" t="s">
        <v>87</v>
      </c>
      <c r="G320" s="176" t="s">
        <v>4335</v>
      </c>
      <c r="H320" s="176">
        <v>25</v>
      </c>
      <c r="I320" s="176">
        <v>38.799999999999997</v>
      </c>
      <c r="J320" s="176">
        <v>38.799999999999997</v>
      </c>
      <c r="K320" s="176">
        <v>4</v>
      </c>
      <c r="L320" s="176">
        <v>0</v>
      </c>
      <c r="M320" s="176" t="s">
        <v>148</v>
      </c>
      <c r="N320" s="176" t="s">
        <v>149</v>
      </c>
      <c r="O320" s="176" t="s">
        <v>150</v>
      </c>
      <c r="P320" s="176" t="s">
        <v>151</v>
      </c>
      <c r="Q320" s="176"/>
      <c r="R320" s="176" t="s">
        <v>4429</v>
      </c>
      <c r="S320" s="176"/>
      <c r="T320" s="176" t="s">
        <v>2706</v>
      </c>
      <c r="U320" s="176" t="s">
        <v>152</v>
      </c>
      <c r="V320" s="176" t="s">
        <v>23</v>
      </c>
    </row>
    <row r="321" spans="1:22" ht="12.75" customHeight="1">
      <c r="A321" s="65"/>
      <c r="B321" s="211">
        <v>46240</v>
      </c>
      <c r="C321" s="211">
        <v>46240</v>
      </c>
      <c r="D321" s="176" t="s">
        <v>4430</v>
      </c>
      <c r="E321" s="176" t="s">
        <v>4431</v>
      </c>
      <c r="F321" s="176" t="s">
        <v>87</v>
      </c>
      <c r="G321" s="176" t="s">
        <v>2334</v>
      </c>
      <c r="H321" s="176">
        <v>40</v>
      </c>
      <c r="I321" s="176">
        <v>31.2</v>
      </c>
      <c r="J321" s="176">
        <v>31.2</v>
      </c>
      <c r="K321" s="176">
        <v>5</v>
      </c>
      <c r="L321" s="176">
        <v>0</v>
      </c>
      <c r="M321" s="176" t="s">
        <v>148</v>
      </c>
      <c r="N321" s="176" t="s">
        <v>149</v>
      </c>
      <c r="O321" s="176" t="s">
        <v>150</v>
      </c>
      <c r="P321" s="176" t="s">
        <v>151</v>
      </c>
      <c r="Q321" s="176"/>
      <c r="R321" s="176" t="s">
        <v>4431</v>
      </c>
      <c r="S321" s="176"/>
      <c r="T321" s="176" t="s">
        <v>2706</v>
      </c>
      <c r="U321" s="176" t="s">
        <v>152</v>
      </c>
      <c r="V321" s="176" t="s">
        <v>23</v>
      </c>
    </row>
    <row r="322" spans="1:22" ht="12.75" customHeight="1">
      <c r="A322" s="65"/>
      <c r="B322" s="211">
        <v>46240</v>
      </c>
      <c r="C322" s="211">
        <v>46240</v>
      </c>
      <c r="D322" s="176" t="s">
        <v>4432</v>
      </c>
      <c r="E322" s="176" t="s">
        <v>4433</v>
      </c>
      <c r="F322" s="176" t="s">
        <v>87</v>
      </c>
      <c r="G322" s="176" t="s">
        <v>2078</v>
      </c>
      <c r="H322" s="176">
        <v>6</v>
      </c>
      <c r="I322" s="176">
        <v>29.8</v>
      </c>
      <c r="J322" s="176">
        <v>29.8</v>
      </c>
      <c r="K322" s="176">
        <v>1.5</v>
      </c>
      <c r="L322" s="176">
        <v>0</v>
      </c>
      <c r="M322" s="176" t="s">
        <v>148</v>
      </c>
      <c r="N322" s="176" t="s">
        <v>149</v>
      </c>
      <c r="O322" s="176" t="s">
        <v>150</v>
      </c>
      <c r="P322" s="176" t="s">
        <v>151</v>
      </c>
      <c r="Q322" s="176"/>
      <c r="R322" s="176" t="s">
        <v>4433</v>
      </c>
      <c r="S322" s="176"/>
      <c r="T322" s="176" t="s">
        <v>2706</v>
      </c>
      <c r="U322" s="176" t="s">
        <v>152</v>
      </c>
      <c r="V322" s="176" t="s">
        <v>23</v>
      </c>
    </row>
    <row r="323" spans="1:22" ht="12.75" customHeight="1">
      <c r="A323" s="65"/>
      <c r="B323" s="211">
        <v>46240</v>
      </c>
      <c r="C323" s="211">
        <v>46240</v>
      </c>
      <c r="D323" s="176" t="s">
        <v>4434</v>
      </c>
      <c r="E323" s="176" t="s">
        <v>4435</v>
      </c>
      <c r="F323" s="176" t="s">
        <v>87</v>
      </c>
      <c r="G323" s="176" t="s">
        <v>2334</v>
      </c>
      <c r="H323" s="176">
        <v>40</v>
      </c>
      <c r="I323" s="176">
        <v>34.799999999999997</v>
      </c>
      <c r="J323" s="176">
        <v>34.799999999999997</v>
      </c>
      <c r="K323" s="176">
        <v>5</v>
      </c>
      <c r="L323" s="176">
        <v>0</v>
      </c>
      <c r="M323" s="176" t="s">
        <v>148</v>
      </c>
      <c r="N323" s="176" t="s">
        <v>149</v>
      </c>
      <c r="O323" s="176" t="s">
        <v>150</v>
      </c>
      <c r="P323" s="176" t="s">
        <v>151</v>
      </c>
      <c r="Q323" s="176"/>
      <c r="R323" s="176" t="s">
        <v>4435</v>
      </c>
      <c r="S323" s="176"/>
      <c r="T323" s="176" t="s">
        <v>2706</v>
      </c>
      <c r="U323" s="176" t="s">
        <v>152</v>
      </c>
      <c r="V323" s="176" t="s">
        <v>23</v>
      </c>
    </row>
    <row r="324" spans="1:22" ht="12.75" customHeight="1">
      <c r="A324" s="65"/>
      <c r="B324" s="211">
        <v>46240</v>
      </c>
      <c r="C324" s="211">
        <v>46240</v>
      </c>
      <c r="D324" s="176" t="s">
        <v>4436</v>
      </c>
      <c r="E324" s="176" t="s">
        <v>4437</v>
      </c>
      <c r="F324" s="176" t="s">
        <v>87</v>
      </c>
      <c r="G324" s="176" t="s">
        <v>2357</v>
      </c>
      <c r="H324" s="176">
        <v>40</v>
      </c>
      <c r="I324" s="176">
        <v>36.299999999999997</v>
      </c>
      <c r="J324" s="176">
        <v>36.299999999999997</v>
      </c>
      <c r="K324" s="176">
        <v>5</v>
      </c>
      <c r="L324" s="176">
        <v>0</v>
      </c>
      <c r="M324" s="176" t="s">
        <v>148</v>
      </c>
      <c r="N324" s="176" t="s">
        <v>149</v>
      </c>
      <c r="O324" s="176" t="s">
        <v>150</v>
      </c>
      <c r="P324" s="176" t="s">
        <v>151</v>
      </c>
      <c r="Q324" s="176"/>
      <c r="R324" s="176" t="s">
        <v>4437</v>
      </c>
      <c r="S324" s="176"/>
      <c r="T324" s="176" t="s">
        <v>2706</v>
      </c>
      <c r="U324" s="176" t="s">
        <v>152</v>
      </c>
      <c r="V324" s="176" t="s">
        <v>23</v>
      </c>
    </row>
    <row r="325" spans="1:22" ht="12.75" customHeight="1">
      <c r="A325" s="65"/>
      <c r="B325" s="211">
        <v>46240</v>
      </c>
      <c r="C325" s="211">
        <v>46240</v>
      </c>
      <c r="D325" s="176" t="s">
        <v>4438</v>
      </c>
      <c r="E325" s="176" t="s">
        <v>4439</v>
      </c>
      <c r="F325" s="176" t="s">
        <v>87</v>
      </c>
      <c r="G325" s="176" t="s">
        <v>2357</v>
      </c>
      <c r="H325" s="176">
        <v>40</v>
      </c>
      <c r="I325" s="176">
        <v>34.299999999999997</v>
      </c>
      <c r="J325" s="176">
        <v>34.299999999999997</v>
      </c>
      <c r="K325" s="176">
        <v>5</v>
      </c>
      <c r="L325" s="176">
        <v>0</v>
      </c>
      <c r="M325" s="176" t="s">
        <v>148</v>
      </c>
      <c r="N325" s="176" t="s">
        <v>149</v>
      </c>
      <c r="O325" s="176" t="s">
        <v>150</v>
      </c>
      <c r="P325" s="176" t="s">
        <v>151</v>
      </c>
      <c r="Q325" s="176"/>
      <c r="R325" s="176" t="s">
        <v>4439</v>
      </c>
      <c r="S325" s="176"/>
      <c r="T325" s="176" t="s">
        <v>2706</v>
      </c>
      <c r="U325" s="176" t="s">
        <v>152</v>
      </c>
      <c r="V325" s="176" t="s">
        <v>23</v>
      </c>
    </row>
    <row r="326" spans="1:22" ht="12.75" customHeight="1">
      <c r="A326" s="65"/>
      <c r="B326" s="211">
        <v>46240</v>
      </c>
      <c r="C326" s="211">
        <v>46240</v>
      </c>
      <c r="D326" s="176" t="s">
        <v>4440</v>
      </c>
      <c r="E326" s="176" t="s">
        <v>4441</v>
      </c>
      <c r="F326" s="176" t="s">
        <v>87</v>
      </c>
      <c r="G326" s="176" t="s">
        <v>2515</v>
      </c>
      <c r="H326" s="176">
        <v>50</v>
      </c>
      <c r="I326" s="176">
        <v>49.8</v>
      </c>
      <c r="J326" s="176">
        <v>49.8</v>
      </c>
      <c r="K326" s="176">
        <v>5</v>
      </c>
      <c r="L326" s="176">
        <v>0</v>
      </c>
      <c r="M326" s="176" t="s">
        <v>148</v>
      </c>
      <c r="N326" s="176" t="s">
        <v>149</v>
      </c>
      <c r="O326" s="176" t="s">
        <v>150</v>
      </c>
      <c r="P326" s="176" t="s">
        <v>151</v>
      </c>
      <c r="Q326" s="176"/>
      <c r="R326" s="176" t="s">
        <v>4441</v>
      </c>
      <c r="S326" s="176"/>
      <c r="T326" s="176" t="s">
        <v>2706</v>
      </c>
      <c r="U326" s="176" t="s">
        <v>152</v>
      </c>
      <c r="V326" s="176" t="s">
        <v>23</v>
      </c>
    </row>
    <row r="327" spans="1:22" ht="12.75" customHeight="1">
      <c r="A327" s="65"/>
      <c r="B327" s="211">
        <v>46240</v>
      </c>
      <c r="C327" s="211">
        <v>46240</v>
      </c>
      <c r="D327" s="176" t="s">
        <v>4442</v>
      </c>
      <c r="E327" s="176" t="s">
        <v>4443</v>
      </c>
      <c r="F327" s="176" t="s">
        <v>87</v>
      </c>
      <c r="G327" s="176" t="s">
        <v>2333</v>
      </c>
      <c r="H327" s="176">
        <v>30</v>
      </c>
      <c r="I327" s="176">
        <v>33.799999999999997</v>
      </c>
      <c r="J327" s="176">
        <v>33.799999999999997</v>
      </c>
      <c r="K327" s="176">
        <v>4</v>
      </c>
      <c r="L327" s="176">
        <v>0</v>
      </c>
      <c r="M327" s="176" t="s">
        <v>148</v>
      </c>
      <c r="N327" s="176" t="s">
        <v>149</v>
      </c>
      <c r="O327" s="176" t="s">
        <v>150</v>
      </c>
      <c r="P327" s="176" t="s">
        <v>151</v>
      </c>
      <c r="Q327" s="176"/>
      <c r="R327" s="176" t="s">
        <v>4443</v>
      </c>
      <c r="S327" s="176"/>
      <c r="T327" s="176" t="s">
        <v>2706</v>
      </c>
      <c r="U327" s="176" t="s">
        <v>152</v>
      </c>
      <c r="V327" s="176" t="s">
        <v>23</v>
      </c>
    </row>
    <row r="328" spans="1:22" ht="12.75" customHeight="1">
      <c r="A328" s="65"/>
      <c r="B328" s="211">
        <v>46240</v>
      </c>
      <c r="C328" s="211">
        <v>46240</v>
      </c>
      <c r="D328" s="176" t="s">
        <v>4444</v>
      </c>
      <c r="E328" s="176" t="s">
        <v>4445</v>
      </c>
      <c r="F328" s="176" t="s">
        <v>87</v>
      </c>
      <c r="G328" s="176" t="s">
        <v>2357</v>
      </c>
      <c r="H328" s="176">
        <v>40</v>
      </c>
      <c r="I328" s="176">
        <v>36.4</v>
      </c>
      <c r="J328" s="176">
        <v>36.4</v>
      </c>
      <c r="K328" s="176">
        <v>5</v>
      </c>
      <c r="L328" s="176">
        <v>0</v>
      </c>
      <c r="M328" s="176" t="s">
        <v>148</v>
      </c>
      <c r="N328" s="176" t="s">
        <v>149</v>
      </c>
      <c r="O328" s="176" t="s">
        <v>150</v>
      </c>
      <c r="P328" s="176" t="s">
        <v>151</v>
      </c>
      <c r="Q328" s="176"/>
      <c r="R328" s="176" t="s">
        <v>4445</v>
      </c>
      <c r="S328" s="176"/>
      <c r="T328" s="176" t="s">
        <v>2706</v>
      </c>
      <c r="U328" s="176" t="s">
        <v>152</v>
      </c>
      <c r="V328" s="176" t="s">
        <v>23</v>
      </c>
    </row>
    <row r="329" spans="1:22" ht="12.75" customHeight="1">
      <c r="A329" s="65"/>
      <c r="B329" s="211">
        <v>46240</v>
      </c>
      <c r="C329" s="211">
        <v>46240</v>
      </c>
      <c r="D329" s="176" t="s">
        <v>4446</v>
      </c>
      <c r="E329" s="176" t="s">
        <v>4447</v>
      </c>
      <c r="F329" s="176" t="s">
        <v>87</v>
      </c>
      <c r="G329" s="176" t="s">
        <v>4000</v>
      </c>
      <c r="H329" s="176">
        <v>50</v>
      </c>
      <c r="I329" s="176">
        <v>29.7</v>
      </c>
      <c r="J329" s="176">
        <v>29.7</v>
      </c>
      <c r="K329" s="176">
        <v>5</v>
      </c>
      <c r="L329" s="176">
        <v>0</v>
      </c>
      <c r="M329" s="176" t="s">
        <v>148</v>
      </c>
      <c r="N329" s="176" t="s">
        <v>149</v>
      </c>
      <c r="O329" s="176" t="s">
        <v>150</v>
      </c>
      <c r="P329" s="176" t="s">
        <v>151</v>
      </c>
      <c r="Q329" s="176"/>
      <c r="R329" s="176" t="s">
        <v>4447</v>
      </c>
      <c r="S329" s="176"/>
      <c r="T329" s="176" t="s">
        <v>2706</v>
      </c>
      <c r="U329" s="176" t="s">
        <v>152</v>
      </c>
      <c r="V329" s="176" t="s">
        <v>23</v>
      </c>
    </row>
    <row r="330" spans="1:22" ht="12.75" customHeight="1">
      <c r="A330" s="65"/>
      <c r="B330" s="211">
        <v>46240</v>
      </c>
      <c r="C330" s="211">
        <v>46240</v>
      </c>
      <c r="D330" s="176" t="s">
        <v>4448</v>
      </c>
      <c r="E330" s="176" t="s">
        <v>4449</v>
      </c>
      <c r="F330" s="176" t="s">
        <v>87</v>
      </c>
      <c r="G330" s="176" t="s">
        <v>2513</v>
      </c>
      <c r="H330" s="176">
        <v>25</v>
      </c>
      <c r="I330" s="176">
        <v>47</v>
      </c>
      <c r="J330" s="176">
        <v>47</v>
      </c>
      <c r="K330" s="176">
        <v>4</v>
      </c>
      <c r="L330" s="176">
        <v>0</v>
      </c>
      <c r="M330" s="176" t="s">
        <v>148</v>
      </c>
      <c r="N330" s="176" t="s">
        <v>149</v>
      </c>
      <c r="O330" s="176" t="s">
        <v>150</v>
      </c>
      <c r="P330" s="176" t="s">
        <v>151</v>
      </c>
      <c r="Q330" s="176"/>
      <c r="R330" s="176" t="s">
        <v>4449</v>
      </c>
      <c r="S330" s="176"/>
      <c r="T330" s="176" t="s">
        <v>2706</v>
      </c>
      <c r="U330" s="176" t="s">
        <v>152</v>
      </c>
      <c r="V330" s="176" t="s">
        <v>23</v>
      </c>
    </row>
    <row r="331" spans="1:22" ht="12.75" customHeight="1">
      <c r="A331" s="65"/>
      <c r="B331" s="211">
        <v>46240</v>
      </c>
      <c r="C331" s="211">
        <v>46240</v>
      </c>
      <c r="D331" s="176" t="s">
        <v>4450</v>
      </c>
      <c r="E331" s="176" t="s">
        <v>4451</v>
      </c>
      <c r="F331" s="176" t="s">
        <v>87</v>
      </c>
      <c r="G331" s="176" t="s">
        <v>2515</v>
      </c>
      <c r="H331" s="176">
        <v>50</v>
      </c>
      <c r="I331" s="176">
        <v>20</v>
      </c>
      <c r="J331" s="176">
        <v>20</v>
      </c>
      <c r="K331" s="176">
        <v>5</v>
      </c>
      <c r="L331" s="176">
        <v>0</v>
      </c>
      <c r="M331" s="176" t="s">
        <v>148</v>
      </c>
      <c r="N331" s="176" t="s">
        <v>149</v>
      </c>
      <c r="O331" s="176" t="s">
        <v>150</v>
      </c>
      <c r="P331" s="176" t="s">
        <v>151</v>
      </c>
      <c r="Q331" s="176"/>
      <c r="R331" s="176" t="s">
        <v>4451</v>
      </c>
      <c r="S331" s="176"/>
      <c r="T331" s="176" t="s">
        <v>2706</v>
      </c>
      <c r="U331" s="176" t="s">
        <v>152</v>
      </c>
      <c r="V331" s="176" t="s">
        <v>23</v>
      </c>
    </row>
    <row r="332" spans="1:22" ht="12.75" customHeight="1">
      <c r="A332" s="65"/>
      <c r="B332" s="211">
        <v>46240</v>
      </c>
      <c r="C332" s="211">
        <v>46240</v>
      </c>
      <c r="D332" s="176" t="s">
        <v>4452</v>
      </c>
      <c r="E332" s="176" t="s">
        <v>4453</v>
      </c>
      <c r="F332" s="176" t="s">
        <v>87</v>
      </c>
      <c r="G332" s="176" t="s">
        <v>2357</v>
      </c>
      <c r="H332" s="176">
        <v>40</v>
      </c>
      <c r="I332" s="176">
        <v>42.5</v>
      </c>
      <c r="J332" s="176">
        <v>42.5</v>
      </c>
      <c r="K332" s="176">
        <v>5</v>
      </c>
      <c r="L332" s="176">
        <v>0</v>
      </c>
      <c r="M332" s="176" t="s">
        <v>148</v>
      </c>
      <c r="N332" s="176" t="s">
        <v>149</v>
      </c>
      <c r="O332" s="176" t="s">
        <v>150</v>
      </c>
      <c r="P332" s="176" t="s">
        <v>151</v>
      </c>
      <c r="Q332" s="176"/>
      <c r="R332" s="176" t="s">
        <v>4453</v>
      </c>
      <c r="S332" s="176"/>
      <c r="T332" s="176" t="s">
        <v>2706</v>
      </c>
      <c r="U332" s="176" t="s">
        <v>152</v>
      </c>
      <c r="V332" s="176" t="s">
        <v>23</v>
      </c>
    </row>
    <row r="333" spans="1:22" ht="12.75" customHeight="1">
      <c r="A333" s="65"/>
      <c r="B333" s="211">
        <v>46240</v>
      </c>
      <c r="C333" s="211">
        <v>46240</v>
      </c>
      <c r="D333" s="176" t="s">
        <v>4454</v>
      </c>
      <c r="E333" s="176" t="s">
        <v>4455</v>
      </c>
      <c r="F333" s="176" t="s">
        <v>87</v>
      </c>
      <c r="G333" s="176" t="s">
        <v>2512</v>
      </c>
      <c r="H333" s="176">
        <v>40</v>
      </c>
      <c r="I333" s="176">
        <v>32.799999999999997</v>
      </c>
      <c r="J333" s="176">
        <v>32.799999999999997</v>
      </c>
      <c r="K333" s="176">
        <v>5</v>
      </c>
      <c r="L333" s="176">
        <v>0</v>
      </c>
      <c r="M333" s="176" t="s">
        <v>148</v>
      </c>
      <c r="N333" s="176" t="s">
        <v>149</v>
      </c>
      <c r="O333" s="176" t="s">
        <v>150</v>
      </c>
      <c r="P333" s="176" t="s">
        <v>151</v>
      </c>
      <c r="Q333" s="176"/>
      <c r="R333" s="176" t="s">
        <v>4455</v>
      </c>
      <c r="S333" s="176"/>
      <c r="T333" s="176" t="s">
        <v>2706</v>
      </c>
      <c r="U333" s="176" t="s">
        <v>152</v>
      </c>
      <c r="V333" s="176" t="s">
        <v>23</v>
      </c>
    </row>
    <row r="334" spans="1:22" ht="12.75" customHeight="1">
      <c r="A334" s="65"/>
      <c r="B334" s="211">
        <v>46240</v>
      </c>
      <c r="C334" s="211">
        <v>46240</v>
      </c>
      <c r="D334" s="176" t="s">
        <v>4456</v>
      </c>
      <c r="E334" s="176" t="s">
        <v>4457</v>
      </c>
      <c r="F334" s="176" t="s">
        <v>87</v>
      </c>
      <c r="G334" s="176" t="s">
        <v>1966</v>
      </c>
      <c r="H334" s="176">
        <v>6</v>
      </c>
      <c r="I334" s="176">
        <v>37.799999999999997</v>
      </c>
      <c r="J334" s="176">
        <v>37.799999999999997</v>
      </c>
      <c r="K334" s="176">
        <v>1.5</v>
      </c>
      <c r="L334" s="176">
        <v>0</v>
      </c>
      <c r="M334" s="176" t="s">
        <v>148</v>
      </c>
      <c r="N334" s="176" t="s">
        <v>149</v>
      </c>
      <c r="O334" s="176" t="s">
        <v>150</v>
      </c>
      <c r="P334" s="176" t="s">
        <v>151</v>
      </c>
      <c r="Q334" s="176"/>
      <c r="R334" s="176" t="s">
        <v>4457</v>
      </c>
      <c r="S334" s="176"/>
      <c r="T334" s="176" t="s">
        <v>2706</v>
      </c>
      <c r="U334" s="176" t="s">
        <v>152</v>
      </c>
      <c r="V334" s="176" t="s">
        <v>23</v>
      </c>
    </row>
    <row r="335" spans="1:22" ht="12.75" customHeight="1">
      <c r="A335" s="65"/>
      <c r="B335" s="211">
        <v>46240</v>
      </c>
      <c r="C335" s="211">
        <v>46240</v>
      </c>
      <c r="D335" s="176" t="s">
        <v>4458</v>
      </c>
      <c r="E335" s="176" t="s">
        <v>4459</v>
      </c>
      <c r="F335" s="176" t="s">
        <v>87</v>
      </c>
      <c r="G335" s="176" t="s">
        <v>1966</v>
      </c>
      <c r="H335" s="176">
        <v>6</v>
      </c>
      <c r="I335" s="176">
        <v>17.399999999999999</v>
      </c>
      <c r="J335" s="176">
        <v>17.399999999999999</v>
      </c>
      <c r="K335" s="176">
        <v>1.5</v>
      </c>
      <c r="L335" s="176">
        <v>0</v>
      </c>
      <c r="M335" s="176" t="s">
        <v>148</v>
      </c>
      <c r="N335" s="176" t="s">
        <v>149</v>
      </c>
      <c r="O335" s="176" t="s">
        <v>150</v>
      </c>
      <c r="P335" s="176" t="s">
        <v>151</v>
      </c>
      <c r="Q335" s="176"/>
      <c r="R335" s="176" t="s">
        <v>4459</v>
      </c>
      <c r="S335" s="176"/>
      <c r="T335" s="176" t="s">
        <v>2706</v>
      </c>
      <c r="U335" s="176" t="s">
        <v>152</v>
      </c>
      <c r="V335" s="176" t="s">
        <v>23</v>
      </c>
    </row>
    <row r="336" spans="1:22" ht="12.75" customHeight="1">
      <c r="A336" s="65"/>
      <c r="B336" s="211">
        <v>46240</v>
      </c>
      <c r="C336" s="211">
        <v>46240</v>
      </c>
      <c r="D336" s="176" t="s">
        <v>4460</v>
      </c>
      <c r="E336" s="176" t="s">
        <v>4461</v>
      </c>
      <c r="F336" s="176" t="s">
        <v>87</v>
      </c>
      <c r="G336" s="176" t="s">
        <v>2513</v>
      </c>
      <c r="H336" s="176">
        <v>25</v>
      </c>
      <c r="I336" s="176">
        <v>40.4</v>
      </c>
      <c r="J336" s="176">
        <v>40.4</v>
      </c>
      <c r="K336" s="176">
        <v>4</v>
      </c>
      <c r="L336" s="176">
        <v>0</v>
      </c>
      <c r="M336" s="176" t="s">
        <v>148</v>
      </c>
      <c r="N336" s="176" t="s">
        <v>149</v>
      </c>
      <c r="O336" s="176" t="s">
        <v>150</v>
      </c>
      <c r="P336" s="176" t="s">
        <v>151</v>
      </c>
      <c r="Q336" s="176"/>
      <c r="R336" s="176" t="s">
        <v>4461</v>
      </c>
      <c r="S336" s="176"/>
      <c r="T336" s="176" t="s">
        <v>2706</v>
      </c>
      <c r="U336" s="176" t="s">
        <v>152</v>
      </c>
      <c r="V336" s="176" t="s">
        <v>23</v>
      </c>
    </row>
    <row r="337" spans="1:22" ht="12.75" customHeight="1">
      <c r="A337" s="65"/>
      <c r="B337" s="211">
        <v>46240</v>
      </c>
      <c r="C337" s="211">
        <v>46240</v>
      </c>
      <c r="D337" s="176" t="s">
        <v>4462</v>
      </c>
      <c r="E337" s="176" t="s">
        <v>4463</v>
      </c>
      <c r="F337" s="176" t="s">
        <v>87</v>
      </c>
      <c r="G337" s="176" t="s">
        <v>2333</v>
      </c>
      <c r="H337" s="176">
        <v>30</v>
      </c>
      <c r="I337" s="176">
        <v>39.799999999999997</v>
      </c>
      <c r="J337" s="176">
        <v>39.799999999999997</v>
      </c>
      <c r="K337" s="176">
        <v>4</v>
      </c>
      <c r="L337" s="176">
        <v>0</v>
      </c>
      <c r="M337" s="176" t="s">
        <v>148</v>
      </c>
      <c r="N337" s="176" t="s">
        <v>149</v>
      </c>
      <c r="O337" s="176" t="s">
        <v>150</v>
      </c>
      <c r="P337" s="176" t="s">
        <v>151</v>
      </c>
      <c r="Q337" s="176"/>
      <c r="R337" s="176" t="s">
        <v>4463</v>
      </c>
      <c r="S337" s="176"/>
      <c r="T337" s="176" t="s">
        <v>2706</v>
      </c>
      <c r="U337" s="176" t="s">
        <v>152</v>
      </c>
      <c r="V337" s="176" t="s">
        <v>23</v>
      </c>
    </row>
    <row r="338" spans="1:22" ht="12.75" customHeight="1">
      <c r="A338" s="65"/>
      <c r="B338" s="211">
        <v>46240</v>
      </c>
      <c r="C338" s="211">
        <v>46240</v>
      </c>
      <c r="D338" s="176" t="s">
        <v>4464</v>
      </c>
      <c r="E338" s="176" t="s">
        <v>4465</v>
      </c>
      <c r="F338" s="176" t="s">
        <v>87</v>
      </c>
      <c r="G338" s="176" t="s">
        <v>4000</v>
      </c>
      <c r="H338" s="176">
        <v>50</v>
      </c>
      <c r="I338" s="176">
        <v>43.2</v>
      </c>
      <c r="J338" s="176">
        <v>43.2</v>
      </c>
      <c r="K338" s="176">
        <v>5</v>
      </c>
      <c r="L338" s="176">
        <v>0</v>
      </c>
      <c r="M338" s="176" t="s">
        <v>148</v>
      </c>
      <c r="N338" s="176" t="s">
        <v>149</v>
      </c>
      <c r="O338" s="176" t="s">
        <v>150</v>
      </c>
      <c r="P338" s="176" t="s">
        <v>151</v>
      </c>
      <c r="Q338" s="176"/>
      <c r="R338" s="176" t="s">
        <v>4465</v>
      </c>
      <c r="S338" s="176"/>
      <c r="T338" s="176" t="s">
        <v>2706</v>
      </c>
      <c r="U338" s="176" t="s">
        <v>152</v>
      </c>
      <c r="V338" s="176" t="s">
        <v>23</v>
      </c>
    </row>
    <row r="339" spans="1:22" ht="12.75" customHeight="1">
      <c r="A339" s="65"/>
      <c r="B339" s="211">
        <v>46240</v>
      </c>
      <c r="C339" s="211">
        <v>46240</v>
      </c>
      <c r="D339" s="176" t="s">
        <v>4466</v>
      </c>
      <c r="E339" s="176" t="s">
        <v>4467</v>
      </c>
      <c r="F339" s="176" t="s">
        <v>87</v>
      </c>
      <c r="G339" s="176" t="s">
        <v>2357</v>
      </c>
      <c r="H339" s="176">
        <v>40</v>
      </c>
      <c r="I339" s="176">
        <v>40.4</v>
      </c>
      <c r="J339" s="176">
        <v>40.4</v>
      </c>
      <c r="K339" s="176">
        <v>5</v>
      </c>
      <c r="L339" s="176">
        <v>0</v>
      </c>
      <c r="M339" s="176" t="s">
        <v>148</v>
      </c>
      <c r="N339" s="176" t="s">
        <v>149</v>
      </c>
      <c r="O339" s="176" t="s">
        <v>150</v>
      </c>
      <c r="P339" s="176" t="s">
        <v>151</v>
      </c>
      <c r="Q339" s="176"/>
      <c r="R339" s="176" t="s">
        <v>4467</v>
      </c>
      <c r="S339" s="176"/>
      <c r="T339" s="176" t="s">
        <v>2706</v>
      </c>
      <c r="U339" s="176" t="s">
        <v>152</v>
      </c>
      <c r="V339" s="176" t="s">
        <v>23</v>
      </c>
    </row>
    <row r="340" spans="1:22" ht="12.75" customHeight="1">
      <c r="A340" s="65"/>
      <c r="B340" s="211">
        <v>46240</v>
      </c>
      <c r="C340" s="211">
        <v>46240</v>
      </c>
      <c r="D340" s="176" t="s">
        <v>4468</v>
      </c>
      <c r="E340" s="176" t="s">
        <v>4469</v>
      </c>
      <c r="F340" s="176" t="s">
        <v>87</v>
      </c>
      <c r="G340" s="176" t="s">
        <v>2334</v>
      </c>
      <c r="H340" s="176">
        <v>40</v>
      </c>
      <c r="I340" s="176">
        <v>24.2</v>
      </c>
      <c r="J340" s="176">
        <v>24.2</v>
      </c>
      <c r="K340" s="176">
        <v>5</v>
      </c>
      <c r="L340" s="176">
        <v>0</v>
      </c>
      <c r="M340" s="176" t="s">
        <v>148</v>
      </c>
      <c r="N340" s="176" t="s">
        <v>149</v>
      </c>
      <c r="O340" s="176" t="s">
        <v>150</v>
      </c>
      <c r="P340" s="176" t="s">
        <v>151</v>
      </c>
      <c r="Q340" s="176"/>
      <c r="R340" s="176" t="s">
        <v>4469</v>
      </c>
      <c r="S340" s="176"/>
      <c r="T340" s="176" t="s">
        <v>2706</v>
      </c>
      <c r="U340" s="176" t="s">
        <v>152</v>
      </c>
      <c r="V340" s="176" t="s">
        <v>23</v>
      </c>
    </row>
    <row r="341" spans="1:22" ht="12.75" customHeight="1">
      <c r="A341" s="65"/>
      <c r="B341" s="211">
        <v>46240</v>
      </c>
      <c r="C341" s="211">
        <v>46240</v>
      </c>
      <c r="D341" s="176" t="s">
        <v>4470</v>
      </c>
      <c r="E341" s="176" t="s">
        <v>4471</v>
      </c>
      <c r="F341" s="176" t="s">
        <v>87</v>
      </c>
      <c r="G341" s="176" t="s">
        <v>2334</v>
      </c>
      <c r="H341" s="176">
        <v>40</v>
      </c>
      <c r="I341" s="176">
        <v>18.2</v>
      </c>
      <c r="J341" s="176">
        <v>18.2</v>
      </c>
      <c r="K341" s="176">
        <v>5</v>
      </c>
      <c r="L341" s="176">
        <v>0</v>
      </c>
      <c r="M341" s="176" t="s">
        <v>148</v>
      </c>
      <c r="N341" s="176" t="s">
        <v>149</v>
      </c>
      <c r="O341" s="176" t="s">
        <v>150</v>
      </c>
      <c r="P341" s="176" t="s">
        <v>151</v>
      </c>
      <c r="Q341" s="176"/>
      <c r="R341" s="176" t="s">
        <v>4471</v>
      </c>
      <c r="S341" s="176"/>
      <c r="T341" s="176" t="s">
        <v>2706</v>
      </c>
      <c r="U341" s="176" t="s">
        <v>152</v>
      </c>
      <c r="V341" s="176" t="s">
        <v>23</v>
      </c>
    </row>
    <row r="342" spans="1:22" ht="12.75" customHeight="1">
      <c r="A342" s="65"/>
      <c r="B342" s="211">
        <v>46240</v>
      </c>
      <c r="C342" s="211">
        <v>46240</v>
      </c>
      <c r="D342" s="176" t="s">
        <v>4472</v>
      </c>
      <c r="E342" s="176" t="s">
        <v>4473</v>
      </c>
      <c r="F342" s="176" t="s">
        <v>87</v>
      </c>
      <c r="G342" s="176" t="s">
        <v>2512</v>
      </c>
      <c r="H342" s="176">
        <v>40</v>
      </c>
      <c r="I342" s="176">
        <v>33.4</v>
      </c>
      <c r="J342" s="176">
        <v>33.4</v>
      </c>
      <c r="K342" s="176">
        <v>5</v>
      </c>
      <c r="L342" s="176">
        <v>0</v>
      </c>
      <c r="M342" s="176" t="s">
        <v>148</v>
      </c>
      <c r="N342" s="176" t="s">
        <v>149</v>
      </c>
      <c r="O342" s="176" t="s">
        <v>150</v>
      </c>
      <c r="P342" s="176" t="s">
        <v>151</v>
      </c>
      <c r="Q342" s="176"/>
      <c r="R342" s="176" t="s">
        <v>4473</v>
      </c>
      <c r="S342" s="176"/>
      <c r="T342" s="176" t="s">
        <v>2706</v>
      </c>
      <c r="U342" s="176" t="s">
        <v>152</v>
      </c>
      <c r="V342" s="176" t="s">
        <v>23</v>
      </c>
    </row>
    <row r="343" spans="1:22" ht="12.75" customHeight="1">
      <c r="A343" s="65"/>
      <c r="B343" s="211">
        <v>46240</v>
      </c>
      <c r="C343" s="211">
        <v>46240</v>
      </c>
      <c r="D343" s="176" t="s">
        <v>4474</v>
      </c>
      <c r="E343" s="176" t="s">
        <v>4475</v>
      </c>
      <c r="F343" s="176" t="s">
        <v>87</v>
      </c>
      <c r="G343" s="176" t="s">
        <v>2514</v>
      </c>
      <c r="H343" s="176">
        <v>55</v>
      </c>
      <c r="I343" s="176">
        <v>37.299999999999997</v>
      </c>
      <c r="J343" s="176">
        <v>37.299999999999997</v>
      </c>
      <c r="K343" s="176">
        <v>5</v>
      </c>
      <c r="L343" s="176">
        <v>0</v>
      </c>
      <c r="M343" s="176" t="s">
        <v>148</v>
      </c>
      <c r="N343" s="176" t="s">
        <v>149</v>
      </c>
      <c r="O343" s="176" t="s">
        <v>150</v>
      </c>
      <c r="P343" s="176" t="s">
        <v>151</v>
      </c>
      <c r="Q343" s="176"/>
      <c r="R343" s="176" t="s">
        <v>4475</v>
      </c>
      <c r="S343" s="176"/>
      <c r="T343" s="176" t="s">
        <v>2706</v>
      </c>
      <c r="U343" s="176" t="s">
        <v>152</v>
      </c>
      <c r="V343" s="176" t="s">
        <v>23</v>
      </c>
    </row>
    <row r="344" spans="1:22" ht="12.75" customHeight="1">
      <c r="A344" s="65"/>
      <c r="B344" s="211">
        <v>46240</v>
      </c>
      <c r="C344" s="211">
        <v>46240</v>
      </c>
      <c r="D344" s="176" t="s">
        <v>4476</v>
      </c>
      <c r="E344" s="176" t="s">
        <v>4477</v>
      </c>
      <c r="F344" s="176" t="s">
        <v>87</v>
      </c>
      <c r="G344" s="176" t="s">
        <v>2357</v>
      </c>
      <c r="H344" s="176">
        <v>40</v>
      </c>
      <c r="I344" s="176">
        <v>43.8</v>
      </c>
      <c r="J344" s="176">
        <v>43.8</v>
      </c>
      <c r="K344" s="176">
        <v>5</v>
      </c>
      <c r="L344" s="176">
        <v>0</v>
      </c>
      <c r="M344" s="176" t="s">
        <v>148</v>
      </c>
      <c r="N344" s="176" t="s">
        <v>149</v>
      </c>
      <c r="O344" s="176" t="s">
        <v>150</v>
      </c>
      <c r="P344" s="176" t="s">
        <v>151</v>
      </c>
      <c r="Q344" s="176"/>
      <c r="R344" s="176" t="s">
        <v>4477</v>
      </c>
      <c r="S344" s="176"/>
      <c r="T344" s="176" t="s">
        <v>2706</v>
      </c>
      <c r="U344" s="176" t="s">
        <v>152</v>
      </c>
      <c r="V344" s="176" t="s">
        <v>23</v>
      </c>
    </row>
    <row r="345" spans="1:22" ht="12.75" customHeight="1">
      <c r="A345" s="65"/>
      <c r="B345" s="211">
        <v>46240</v>
      </c>
      <c r="C345" s="211">
        <v>46240</v>
      </c>
      <c r="D345" s="176" t="s">
        <v>4478</v>
      </c>
      <c r="E345" s="176" t="s">
        <v>4479</v>
      </c>
      <c r="F345" s="176" t="s">
        <v>87</v>
      </c>
      <c r="G345" s="176" t="s">
        <v>2078</v>
      </c>
      <c r="H345" s="176">
        <v>6</v>
      </c>
      <c r="I345" s="176">
        <v>37.299999999999997</v>
      </c>
      <c r="J345" s="176">
        <v>37.299999999999997</v>
      </c>
      <c r="K345" s="176">
        <v>1.5</v>
      </c>
      <c r="L345" s="176">
        <v>0</v>
      </c>
      <c r="M345" s="176" t="s">
        <v>148</v>
      </c>
      <c r="N345" s="176" t="s">
        <v>149</v>
      </c>
      <c r="O345" s="176" t="s">
        <v>150</v>
      </c>
      <c r="P345" s="176" t="s">
        <v>151</v>
      </c>
      <c r="Q345" s="176"/>
      <c r="R345" s="176" t="s">
        <v>4479</v>
      </c>
      <c r="S345" s="176"/>
      <c r="T345" s="176" t="s">
        <v>2706</v>
      </c>
      <c r="U345" s="176" t="s">
        <v>152</v>
      </c>
      <c r="V345" s="176" t="s">
        <v>23</v>
      </c>
    </row>
    <row r="346" spans="1:22" ht="12.75" customHeight="1">
      <c r="A346" s="65"/>
      <c r="B346" s="211">
        <v>46240</v>
      </c>
      <c r="C346" s="211">
        <v>46240</v>
      </c>
      <c r="D346" s="176" t="s">
        <v>4480</v>
      </c>
      <c r="E346" s="176" t="s">
        <v>4481</v>
      </c>
      <c r="F346" s="176" t="s">
        <v>87</v>
      </c>
      <c r="G346" s="176" t="s">
        <v>2515</v>
      </c>
      <c r="H346" s="176">
        <v>50</v>
      </c>
      <c r="I346" s="176">
        <v>40.799999999999997</v>
      </c>
      <c r="J346" s="176">
        <v>40.799999999999997</v>
      </c>
      <c r="K346" s="176">
        <v>5</v>
      </c>
      <c r="L346" s="176">
        <v>0</v>
      </c>
      <c r="M346" s="176" t="s">
        <v>148</v>
      </c>
      <c r="N346" s="176" t="s">
        <v>149</v>
      </c>
      <c r="O346" s="176" t="s">
        <v>150</v>
      </c>
      <c r="P346" s="176" t="s">
        <v>151</v>
      </c>
      <c r="Q346" s="176"/>
      <c r="R346" s="176" t="s">
        <v>4481</v>
      </c>
      <c r="S346" s="176"/>
      <c r="T346" s="176" t="s">
        <v>2706</v>
      </c>
      <c r="U346" s="176" t="s">
        <v>152</v>
      </c>
      <c r="V346" s="176" t="s">
        <v>23</v>
      </c>
    </row>
    <row r="347" spans="1:22" ht="12.75" customHeight="1">
      <c r="A347" s="65"/>
      <c r="B347" s="211">
        <v>46241</v>
      </c>
      <c r="C347" s="211">
        <v>46241</v>
      </c>
      <c r="D347" s="176" t="s">
        <v>4482</v>
      </c>
      <c r="E347" s="176" t="s">
        <v>4483</v>
      </c>
      <c r="F347" s="176" t="s">
        <v>87</v>
      </c>
      <c r="G347" s="176" t="s">
        <v>2513</v>
      </c>
      <c r="H347" s="176">
        <v>25</v>
      </c>
      <c r="I347" s="176">
        <v>42.1</v>
      </c>
      <c r="J347" s="176">
        <v>42.1</v>
      </c>
      <c r="K347" s="176">
        <v>4</v>
      </c>
      <c r="L347" s="176">
        <v>0</v>
      </c>
      <c r="M347" s="176" t="s">
        <v>148</v>
      </c>
      <c r="N347" s="176" t="s">
        <v>149</v>
      </c>
      <c r="O347" s="176" t="s">
        <v>150</v>
      </c>
      <c r="P347" s="176" t="s">
        <v>151</v>
      </c>
      <c r="Q347" s="176"/>
      <c r="R347" s="176" t="s">
        <v>4483</v>
      </c>
      <c r="S347" s="176"/>
      <c r="T347" s="176" t="s">
        <v>2741</v>
      </c>
      <c r="U347" s="176" t="s">
        <v>152</v>
      </c>
      <c r="V347" s="176" t="s">
        <v>23</v>
      </c>
    </row>
    <row r="348" spans="1:22" ht="12.75" customHeight="1">
      <c r="A348" s="65"/>
      <c r="B348" s="211">
        <v>46241</v>
      </c>
      <c r="C348" s="211">
        <v>46241</v>
      </c>
      <c r="D348" s="176" t="s">
        <v>4484</v>
      </c>
      <c r="E348" s="176" t="s">
        <v>4485</v>
      </c>
      <c r="F348" s="176" t="s">
        <v>87</v>
      </c>
      <c r="G348" s="176" t="s">
        <v>1678</v>
      </c>
      <c r="H348" s="176">
        <v>30</v>
      </c>
      <c r="I348" s="176">
        <v>40.700000000000003</v>
      </c>
      <c r="J348" s="176">
        <v>40.700000000000003</v>
      </c>
      <c r="K348" s="176">
        <v>4</v>
      </c>
      <c r="L348" s="176">
        <v>0</v>
      </c>
      <c r="M348" s="176" t="s">
        <v>148</v>
      </c>
      <c r="N348" s="176" t="s">
        <v>149</v>
      </c>
      <c r="O348" s="176" t="s">
        <v>150</v>
      </c>
      <c r="P348" s="176" t="s">
        <v>151</v>
      </c>
      <c r="Q348" s="176"/>
      <c r="R348" s="176" t="s">
        <v>4485</v>
      </c>
      <c r="S348" s="176"/>
      <c r="T348" s="176" t="s">
        <v>2741</v>
      </c>
      <c r="U348" s="176" t="s">
        <v>152</v>
      </c>
      <c r="V348" s="176" t="s">
        <v>23</v>
      </c>
    </row>
    <row r="349" spans="1:22" ht="12.75" customHeight="1">
      <c r="A349" s="65"/>
      <c r="B349" s="211">
        <v>46241</v>
      </c>
      <c r="C349" s="211">
        <v>46241</v>
      </c>
      <c r="D349" s="176" t="s">
        <v>4486</v>
      </c>
      <c r="E349" s="176" t="s">
        <v>4487</v>
      </c>
      <c r="F349" s="176" t="s">
        <v>87</v>
      </c>
      <c r="G349" s="176" t="s">
        <v>2357</v>
      </c>
      <c r="H349" s="176">
        <v>40</v>
      </c>
      <c r="I349" s="176">
        <v>41.1</v>
      </c>
      <c r="J349" s="176">
        <v>41.1</v>
      </c>
      <c r="K349" s="176">
        <v>5</v>
      </c>
      <c r="L349" s="176">
        <v>0</v>
      </c>
      <c r="M349" s="176" t="s">
        <v>148</v>
      </c>
      <c r="N349" s="176" t="s">
        <v>149</v>
      </c>
      <c r="O349" s="176" t="s">
        <v>150</v>
      </c>
      <c r="P349" s="176" t="s">
        <v>151</v>
      </c>
      <c r="Q349" s="176"/>
      <c r="R349" s="176" t="s">
        <v>4487</v>
      </c>
      <c r="S349" s="176"/>
      <c r="T349" s="176" t="s">
        <v>2741</v>
      </c>
      <c r="U349" s="176" t="s">
        <v>152</v>
      </c>
      <c r="V349" s="176" t="s">
        <v>23</v>
      </c>
    </row>
    <row r="350" spans="1:22" ht="12.75" customHeight="1">
      <c r="A350" s="65"/>
      <c r="B350" s="211">
        <v>46241</v>
      </c>
      <c r="C350" s="211">
        <v>46241</v>
      </c>
      <c r="D350" s="176" t="s">
        <v>4488</v>
      </c>
      <c r="E350" s="176" t="s">
        <v>4489</v>
      </c>
      <c r="F350" s="176" t="s">
        <v>87</v>
      </c>
      <c r="G350" s="176" t="s">
        <v>2357</v>
      </c>
      <c r="H350" s="176">
        <v>40</v>
      </c>
      <c r="I350" s="176">
        <v>30.8</v>
      </c>
      <c r="J350" s="176">
        <v>30.8</v>
      </c>
      <c r="K350" s="176">
        <v>5</v>
      </c>
      <c r="L350" s="176">
        <v>0</v>
      </c>
      <c r="M350" s="176" t="s">
        <v>148</v>
      </c>
      <c r="N350" s="176" t="s">
        <v>149</v>
      </c>
      <c r="O350" s="176" t="s">
        <v>150</v>
      </c>
      <c r="P350" s="176" t="s">
        <v>151</v>
      </c>
      <c r="Q350" s="176"/>
      <c r="R350" s="176" t="s">
        <v>4489</v>
      </c>
      <c r="S350" s="176"/>
      <c r="T350" s="176" t="s">
        <v>2741</v>
      </c>
      <c r="U350" s="176" t="s">
        <v>152</v>
      </c>
      <c r="V350" s="176" t="s">
        <v>23</v>
      </c>
    </row>
    <row r="351" spans="1:22" ht="12.75" customHeight="1">
      <c r="A351" s="65"/>
      <c r="B351" s="211">
        <v>46241</v>
      </c>
      <c r="C351" s="211">
        <v>46241</v>
      </c>
      <c r="D351" s="176" t="s">
        <v>4490</v>
      </c>
      <c r="E351" s="176" t="s">
        <v>4491</v>
      </c>
      <c r="F351" s="176" t="s">
        <v>87</v>
      </c>
      <c r="G351" s="176" t="s">
        <v>1678</v>
      </c>
      <c r="H351" s="176">
        <v>30</v>
      </c>
      <c r="I351" s="176">
        <v>36</v>
      </c>
      <c r="J351" s="176">
        <v>36</v>
      </c>
      <c r="K351" s="176">
        <v>4</v>
      </c>
      <c r="L351" s="176">
        <v>0</v>
      </c>
      <c r="M351" s="176" t="s">
        <v>148</v>
      </c>
      <c r="N351" s="176" t="s">
        <v>149</v>
      </c>
      <c r="O351" s="176" t="s">
        <v>150</v>
      </c>
      <c r="P351" s="176" t="s">
        <v>151</v>
      </c>
      <c r="Q351" s="176"/>
      <c r="R351" s="176" t="s">
        <v>4491</v>
      </c>
      <c r="S351" s="176"/>
      <c r="T351" s="176" t="s">
        <v>2741</v>
      </c>
      <c r="U351" s="176" t="s">
        <v>152</v>
      </c>
      <c r="V351" s="176" t="s">
        <v>23</v>
      </c>
    </row>
    <row r="352" spans="1:22" ht="12.75" customHeight="1">
      <c r="A352" s="65"/>
      <c r="B352" s="211">
        <v>46241</v>
      </c>
      <c r="C352" s="211">
        <v>46241</v>
      </c>
      <c r="D352" s="176" t="s">
        <v>4492</v>
      </c>
      <c r="E352" s="176" t="s">
        <v>4493</v>
      </c>
      <c r="F352" s="176" t="s">
        <v>87</v>
      </c>
      <c r="G352" s="176" t="s">
        <v>2357</v>
      </c>
      <c r="H352" s="176">
        <v>40</v>
      </c>
      <c r="I352" s="176">
        <v>39.299999999999997</v>
      </c>
      <c r="J352" s="176">
        <v>39.299999999999997</v>
      </c>
      <c r="K352" s="176">
        <v>5</v>
      </c>
      <c r="L352" s="176">
        <v>0</v>
      </c>
      <c r="M352" s="176" t="s">
        <v>148</v>
      </c>
      <c r="N352" s="176" t="s">
        <v>149</v>
      </c>
      <c r="O352" s="176" t="s">
        <v>150</v>
      </c>
      <c r="P352" s="176" t="s">
        <v>151</v>
      </c>
      <c r="Q352" s="176"/>
      <c r="R352" s="176" t="s">
        <v>4493</v>
      </c>
      <c r="S352" s="176"/>
      <c r="T352" s="176" t="s">
        <v>2741</v>
      </c>
      <c r="U352" s="176" t="s">
        <v>152</v>
      </c>
      <c r="V352" s="176" t="s">
        <v>23</v>
      </c>
    </row>
    <row r="353" spans="1:22" ht="12.75" customHeight="1">
      <c r="A353" s="65"/>
      <c r="B353" s="211">
        <v>46241</v>
      </c>
      <c r="C353" s="211">
        <v>46241</v>
      </c>
      <c r="D353" s="176" t="s">
        <v>4494</v>
      </c>
      <c r="E353" s="176" t="s">
        <v>4495</v>
      </c>
      <c r="F353" s="176" t="s">
        <v>87</v>
      </c>
      <c r="G353" s="176" t="s">
        <v>2357</v>
      </c>
      <c r="H353" s="176">
        <v>40</v>
      </c>
      <c r="I353" s="176">
        <v>40.5</v>
      </c>
      <c r="J353" s="176">
        <v>40.5</v>
      </c>
      <c r="K353" s="176">
        <v>5</v>
      </c>
      <c r="L353" s="176">
        <v>0</v>
      </c>
      <c r="M353" s="176" t="s">
        <v>148</v>
      </c>
      <c r="N353" s="176" t="s">
        <v>149</v>
      </c>
      <c r="O353" s="176" t="s">
        <v>150</v>
      </c>
      <c r="P353" s="176" t="s">
        <v>151</v>
      </c>
      <c r="Q353" s="176"/>
      <c r="R353" s="176" t="s">
        <v>4495</v>
      </c>
      <c r="S353" s="176"/>
      <c r="T353" s="176" t="s">
        <v>2741</v>
      </c>
      <c r="U353" s="176" t="s">
        <v>152</v>
      </c>
      <c r="V353" s="176" t="s">
        <v>23</v>
      </c>
    </row>
    <row r="354" spans="1:22" ht="12.75" customHeight="1">
      <c r="A354" s="65"/>
      <c r="B354" s="211">
        <v>46241</v>
      </c>
      <c r="C354" s="211">
        <v>46241</v>
      </c>
      <c r="D354" s="176" t="s">
        <v>4496</v>
      </c>
      <c r="E354" s="176" t="s">
        <v>4497</v>
      </c>
      <c r="F354" s="176" t="s">
        <v>87</v>
      </c>
      <c r="G354" s="176" t="s">
        <v>1966</v>
      </c>
      <c r="H354" s="176">
        <v>6</v>
      </c>
      <c r="I354" s="176">
        <v>26.4</v>
      </c>
      <c r="J354" s="176">
        <v>26.4</v>
      </c>
      <c r="K354" s="176">
        <v>1.5</v>
      </c>
      <c r="L354" s="176">
        <v>0</v>
      </c>
      <c r="M354" s="176" t="s">
        <v>148</v>
      </c>
      <c r="N354" s="176" t="s">
        <v>149</v>
      </c>
      <c r="O354" s="176" t="s">
        <v>150</v>
      </c>
      <c r="P354" s="176" t="s">
        <v>151</v>
      </c>
      <c r="Q354" s="176"/>
      <c r="R354" s="176" t="s">
        <v>4497</v>
      </c>
      <c r="S354" s="176"/>
      <c r="T354" s="176" t="s">
        <v>2741</v>
      </c>
      <c r="U354" s="176" t="s">
        <v>152</v>
      </c>
      <c r="V354" s="176" t="s">
        <v>23</v>
      </c>
    </row>
    <row r="355" spans="1:22" ht="12.75" customHeight="1">
      <c r="A355" s="65"/>
      <c r="B355" s="211">
        <v>46241</v>
      </c>
      <c r="C355" s="211">
        <v>46241</v>
      </c>
      <c r="D355" s="176" t="s">
        <v>4498</v>
      </c>
      <c r="E355" s="176" t="s">
        <v>4499</v>
      </c>
      <c r="F355" s="176" t="s">
        <v>87</v>
      </c>
      <c r="G355" s="176" t="s">
        <v>4335</v>
      </c>
      <c r="H355" s="176">
        <v>25</v>
      </c>
      <c r="I355" s="176">
        <v>38.200000000000003</v>
      </c>
      <c r="J355" s="176">
        <v>38.200000000000003</v>
      </c>
      <c r="K355" s="176">
        <v>4</v>
      </c>
      <c r="L355" s="176">
        <v>0</v>
      </c>
      <c r="M355" s="176" t="s">
        <v>148</v>
      </c>
      <c r="N355" s="176" t="s">
        <v>149</v>
      </c>
      <c r="O355" s="176" t="s">
        <v>150</v>
      </c>
      <c r="P355" s="176" t="s">
        <v>151</v>
      </c>
      <c r="Q355" s="176"/>
      <c r="R355" s="176" t="s">
        <v>4499</v>
      </c>
      <c r="S355" s="176"/>
      <c r="T355" s="176" t="s">
        <v>2741</v>
      </c>
      <c r="U355" s="176" t="s">
        <v>152</v>
      </c>
      <c r="V355" s="176" t="s">
        <v>23</v>
      </c>
    </row>
    <row r="356" spans="1:22" ht="12.75" customHeight="1">
      <c r="A356" s="65"/>
      <c r="B356" s="211">
        <v>46241</v>
      </c>
      <c r="C356" s="211">
        <v>46241</v>
      </c>
      <c r="D356" s="176" t="s">
        <v>4500</v>
      </c>
      <c r="E356" s="176" t="s">
        <v>4501</v>
      </c>
      <c r="F356" s="176" t="s">
        <v>87</v>
      </c>
      <c r="G356" s="176" t="s">
        <v>4335</v>
      </c>
      <c r="H356" s="176">
        <v>25</v>
      </c>
      <c r="I356" s="176">
        <v>38.6</v>
      </c>
      <c r="J356" s="176">
        <v>38.6</v>
      </c>
      <c r="K356" s="176">
        <v>4</v>
      </c>
      <c r="L356" s="176">
        <v>0</v>
      </c>
      <c r="M356" s="176" t="s">
        <v>148</v>
      </c>
      <c r="N356" s="176" t="s">
        <v>149</v>
      </c>
      <c r="O356" s="176" t="s">
        <v>150</v>
      </c>
      <c r="P356" s="176" t="s">
        <v>151</v>
      </c>
      <c r="Q356" s="176"/>
      <c r="R356" s="176" t="s">
        <v>4501</v>
      </c>
      <c r="S356" s="176"/>
      <c r="T356" s="176" t="s">
        <v>2741</v>
      </c>
      <c r="U356" s="176" t="s">
        <v>152</v>
      </c>
      <c r="V356" s="176" t="s">
        <v>23</v>
      </c>
    </row>
    <row r="357" spans="1:22" ht="12.75" customHeight="1">
      <c r="A357" s="65"/>
      <c r="B357" s="211">
        <v>46241</v>
      </c>
      <c r="C357" s="211">
        <v>46241</v>
      </c>
      <c r="D357" s="176" t="s">
        <v>4502</v>
      </c>
      <c r="E357" s="176" t="s">
        <v>4503</v>
      </c>
      <c r="F357" s="176" t="s">
        <v>87</v>
      </c>
      <c r="G357" s="176" t="s">
        <v>1678</v>
      </c>
      <c r="H357" s="176">
        <v>30</v>
      </c>
      <c r="I357" s="176">
        <v>29.8</v>
      </c>
      <c r="J357" s="176">
        <v>29.8</v>
      </c>
      <c r="K357" s="176">
        <v>4</v>
      </c>
      <c r="L357" s="176">
        <v>0</v>
      </c>
      <c r="M357" s="176" t="s">
        <v>148</v>
      </c>
      <c r="N357" s="176" t="s">
        <v>149</v>
      </c>
      <c r="O357" s="176" t="s">
        <v>150</v>
      </c>
      <c r="P357" s="176" t="s">
        <v>151</v>
      </c>
      <c r="Q357" s="176"/>
      <c r="R357" s="176" t="s">
        <v>4503</v>
      </c>
      <c r="S357" s="176"/>
      <c r="T357" s="176" t="s">
        <v>2741</v>
      </c>
      <c r="U357" s="176" t="s">
        <v>152</v>
      </c>
      <c r="V357" s="176" t="s">
        <v>23</v>
      </c>
    </row>
    <row r="358" spans="1:22" ht="12.75" customHeight="1">
      <c r="A358" s="65"/>
      <c r="B358" s="211">
        <v>46241</v>
      </c>
      <c r="C358" s="211">
        <v>46241</v>
      </c>
      <c r="D358" s="176" t="s">
        <v>4504</v>
      </c>
      <c r="E358" s="176" t="s">
        <v>4505</v>
      </c>
      <c r="F358" s="176" t="s">
        <v>87</v>
      </c>
      <c r="G358" s="176" t="s">
        <v>2357</v>
      </c>
      <c r="H358" s="176">
        <v>40</v>
      </c>
      <c r="I358" s="176">
        <v>37.799999999999997</v>
      </c>
      <c r="J358" s="176">
        <v>37.799999999999997</v>
      </c>
      <c r="K358" s="176">
        <v>5</v>
      </c>
      <c r="L358" s="176">
        <v>0</v>
      </c>
      <c r="M358" s="176" t="s">
        <v>148</v>
      </c>
      <c r="N358" s="176" t="s">
        <v>149</v>
      </c>
      <c r="O358" s="176" t="s">
        <v>150</v>
      </c>
      <c r="P358" s="176" t="s">
        <v>151</v>
      </c>
      <c r="Q358" s="176"/>
      <c r="R358" s="176" t="s">
        <v>4505</v>
      </c>
      <c r="S358" s="176"/>
      <c r="T358" s="176" t="s">
        <v>2741</v>
      </c>
      <c r="U358" s="176" t="s">
        <v>152</v>
      </c>
      <c r="V358" s="176" t="s">
        <v>23</v>
      </c>
    </row>
    <row r="359" spans="1:22" ht="12.75" customHeight="1">
      <c r="A359" s="65"/>
      <c r="B359" s="211">
        <v>46241</v>
      </c>
      <c r="C359" s="211">
        <v>46241</v>
      </c>
      <c r="D359" s="176" t="s">
        <v>4506</v>
      </c>
      <c r="E359" s="176" t="s">
        <v>4507</v>
      </c>
      <c r="F359" s="176" t="s">
        <v>87</v>
      </c>
      <c r="G359" s="176" t="s">
        <v>2357</v>
      </c>
      <c r="H359" s="176">
        <v>40</v>
      </c>
      <c r="I359" s="176">
        <v>36.799999999999997</v>
      </c>
      <c r="J359" s="176">
        <v>36.799999999999997</v>
      </c>
      <c r="K359" s="176">
        <v>5</v>
      </c>
      <c r="L359" s="176">
        <v>0</v>
      </c>
      <c r="M359" s="176" t="s">
        <v>148</v>
      </c>
      <c r="N359" s="176" t="s">
        <v>149</v>
      </c>
      <c r="O359" s="176" t="s">
        <v>150</v>
      </c>
      <c r="P359" s="176" t="s">
        <v>151</v>
      </c>
      <c r="Q359" s="176"/>
      <c r="R359" s="176" t="s">
        <v>4507</v>
      </c>
      <c r="S359" s="176"/>
      <c r="T359" s="176" t="s">
        <v>2741</v>
      </c>
      <c r="U359" s="176" t="s">
        <v>152</v>
      </c>
      <c r="V359" s="176" t="s">
        <v>23</v>
      </c>
    </row>
    <row r="360" spans="1:22" ht="12.75" customHeight="1">
      <c r="A360" s="65"/>
      <c r="B360" s="211">
        <v>46241</v>
      </c>
      <c r="C360" s="211">
        <v>46241</v>
      </c>
      <c r="D360" s="176" t="s">
        <v>4508</v>
      </c>
      <c r="E360" s="176" t="s">
        <v>4509</v>
      </c>
      <c r="F360" s="176" t="s">
        <v>87</v>
      </c>
      <c r="G360" s="176" t="s">
        <v>1966</v>
      </c>
      <c r="H360" s="176">
        <v>6</v>
      </c>
      <c r="I360" s="176">
        <v>28.2</v>
      </c>
      <c r="J360" s="176">
        <v>28.2</v>
      </c>
      <c r="K360" s="176">
        <v>1.5</v>
      </c>
      <c r="L360" s="176">
        <v>0</v>
      </c>
      <c r="M360" s="176" t="s">
        <v>148</v>
      </c>
      <c r="N360" s="176" t="s">
        <v>149</v>
      </c>
      <c r="O360" s="176" t="s">
        <v>150</v>
      </c>
      <c r="P360" s="176" t="s">
        <v>151</v>
      </c>
      <c r="Q360" s="176"/>
      <c r="R360" s="176" t="s">
        <v>4509</v>
      </c>
      <c r="S360" s="176"/>
      <c r="T360" s="176" t="s">
        <v>2741</v>
      </c>
      <c r="U360" s="176" t="s">
        <v>152</v>
      </c>
      <c r="V360" s="176" t="s">
        <v>23</v>
      </c>
    </row>
    <row r="361" spans="1:22" ht="12.75" customHeight="1">
      <c r="A361" s="65"/>
      <c r="B361" s="211">
        <v>46241</v>
      </c>
      <c r="C361" s="211">
        <v>46241</v>
      </c>
      <c r="D361" s="176" t="s">
        <v>4510</v>
      </c>
      <c r="E361" s="176" t="s">
        <v>4511</v>
      </c>
      <c r="F361" s="176" t="s">
        <v>87</v>
      </c>
      <c r="G361" s="176" t="s">
        <v>4512</v>
      </c>
      <c r="H361" s="176">
        <v>55</v>
      </c>
      <c r="I361" s="176">
        <v>37.4</v>
      </c>
      <c r="J361" s="176">
        <v>37.4</v>
      </c>
      <c r="K361" s="176">
        <v>5</v>
      </c>
      <c r="L361" s="176">
        <v>0</v>
      </c>
      <c r="M361" s="176" t="s">
        <v>148</v>
      </c>
      <c r="N361" s="176" t="s">
        <v>149</v>
      </c>
      <c r="O361" s="176" t="s">
        <v>150</v>
      </c>
      <c r="P361" s="176" t="s">
        <v>151</v>
      </c>
      <c r="Q361" s="176"/>
      <c r="R361" s="176" t="s">
        <v>4511</v>
      </c>
      <c r="S361" s="176"/>
      <c r="T361" s="176" t="s">
        <v>2741</v>
      </c>
      <c r="U361" s="176" t="s">
        <v>152</v>
      </c>
      <c r="V361" s="176" t="s">
        <v>23</v>
      </c>
    </row>
    <row r="362" spans="1:22" ht="12.75" customHeight="1">
      <c r="A362" s="65"/>
      <c r="B362" s="211">
        <v>46241</v>
      </c>
      <c r="C362" s="211">
        <v>46241</v>
      </c>
      <c r="D362" s="176" t="s">
        <v>4513</v>
      </c>
      <c r="E362" s="176" t="s">
        <v>4514</v>
      </c>
      <c r="F362" s="176" t="s">
        <v>87</v>
      </c>
      <c r="G362" s="176" t="s">
        <v>2334</v>
      </c>
      <c r="H362" s="176">
        <v>40</v>
      </c>
      <c r="I362" s="176">
        <v>32.799999999999997</v>
      </c>
      <c r="J362" s="176">
        <v>32.799999999999997</v>
      </c>
      <c r="K362" s="176">
        <v>5</v>
      </c>
      <c r="L362" s="176">
        <v>0</v>
      </c>
      <c r="M362" s="176" t="s">
        <v>148</v>
      </c>
      <c r="N362" s="176" t="s">
        <v>149</v>
      </c>
      <c r="O362" s="176" t="s">
        <v>150</v>
      </c>
      <c r="P362" s="176" t="s">
        <v>151</v>
      </c>
      <c r="Q362" s="176"/>
      <c r="R362" s="176" t="s">
        <v>4514</v>
      </c>
      <c r="S362" s="176"/>
      <c r="T362" s="176" t="s">
        <v>2741</v>
      </c>
      <c r="U362" s="176" t="s">
        <v>152</v>
      </c>
      <c r="V362" s="176" t="s">
        <v>23</v>
      </c>
    </row>
    <row r="363" spans="1:22" ht="12.75" customHeight="1">
      <c r="A363" s="65"/>
      <c r="B363" s="211">
        <v>46241</v>
      </c>
      <c r="C363" s="211">
        <v>46241</v>
      </c>
      <c r="D363" s="176" t="s">
        <v>4515</v>
      </c>
      <c r="E363" s="176" t="s">
        <v>4516</v>
      </c>
      <c r="F363" s="176" t="s">
        <v>87</v>
      </c>
      <c r="G363" s="176" t="s">
        <v>1678</v>
      </c>
      <c r="H363" s="176">
        <v>30</v>
      </c>
      <c r="I363" s="176">
        <v>39</v>
      </c>
      <c r="J363" s="176">
        <v>39</v>
      </c>
      <c r="K363" s="176">
        <v>4</v>
      </c>
      <c r="L363" s="176">
        <v>0</v>
      </c>
      <c r="M363" s="176" t="s">
        <v>148</v>
      </c>
      <c r="N363" s="176" t="s">
        <v>149</v>
      </c>
      <c r="O363" s="176" t="s">
        <v>150</v>
      </c>
      <c r="P363" s="176" t="s">
        <v>151</v>
      </c>
      <c r="Q363" s="176"/>
      <c r="R363" s="176" t="s">
        <v>4516</v>
      </c>
      <c r="S363" s="176"/>
      <c r="T363" s="176" t="s">
        <v>2741</v>
      </c>
      <c r="U363" s="176" t="s">
        <v>152</v>
      </c>
      <c r="V363" s="176" t="s">
        <v>23</v>
      </c>
    </row>
    <row r="364" spans="1:22" ht="12.75" customHeight="1">
      <c r="A364" s="65"/>
      <c r="B364" s="211">
        <v>46241</v>
      </c>
      <c r="C364" s="211">
        <v>46241</v>
      </c>
      <c r="D364" s="176" t="s">
        <v>4517</v>
      </c>
      <c r="E364" s="176" t="s">
        <v>4518</v>
      </c>
      <c r="F364" s="176" t="s">
        <v>87</v>
      </c>
      <c r="G364" s="176" t="s">
        <v>2334</v>
      </c>
      <c r="H364" s="176">
        <v>40</v>
      </c>
      <c r="I364" s="176">
        <v>37.799999999999997</v>
      </c>
      <c r="J364" s="176">
        <v>37.799999999999997</v>
      </c>
      <c r="K364" s="176">
        <v>5</v>
      </c>
      <c r="L364" s="176">
        <v>0</v>
      </c>
      <c r="M364" s="176" t="s">
        <v>148</v>
      </c>
      <c r="N364" s="176" t="s">
        <v>149</v>
      </c>
      <c r="O364" s="176" t="s">
        <v>150</v>
      </c>
      <c r="P364" s="176" t="s">
        <v>151</v>
      </c>
      <c r="Q364" s="176"/>
      <c r="R364" s="176" t="s">
        <v>4518</v>
      </c>
      <c r="S364" s="176"/>
      <c r="T364" s="176" t="s">
        <v>2741</v>
      </c>
      <c r="U364" s="176" t="s">
        <v>152</v>
      </c>
      <c r="V364" s="176" t="s">
        <v>23</v>
      </c>
    </row>
    <row r="365" spans="1:22" ht="12.75" customHeight="1">
      <c r="A365" s="65"/>
      <c r="B365" s="211">
        <v>46241</v>
      </c>
      <c r="C365" s="211">
        <v>46241</v>
      </c>
      <c r="D365" s="176" t="s">
        <v>4519</v>
      </c>
      <c r="E365" s="176" t="s">
        <v>4520</v>
      </c>
      <c r="F365" s="176" t="s">
        <v>87</v>
      </c>
      <c r="G365" s="176" t="s">
        <v>2334</v>
      </c>
      <c r="H365" s="176">
        <v>40</v>
      </c>
      <c r="I365" s="176">
        <v>29.8</v>
      </c>
      <c r="J365" s="176">
        <v>29.8</v>
      </c>
      <c r="K365" s="176">
        <v>5</v>
      </c>
      <c r="L365" s="176">
        <v>0</v>
      </c>
      <c r="M365" s="176" t="s">
        <v>148</v>
      </c>
      <c r="N365" s="176" t="s">
        <v>149</v>
      </c>
      <c r="O365" s="176" t="s">
        <v>150</v>
      </c>
      <c r="P365" s="176" t="s">
        <v>151</v>
      </c>
      <c r="Q365" s="176"/>
      <c r="R365" s="176" t="s">
        <v>4520</v>
      </c>
      <c r="S365" s="176"/>
      <c r="T365" s="176" t="s">
        <v>2741</v>
      </c>
      <c r="U365" s="176" t="s">
        <v>152</v>
      </c>
      <c r="V365" s="176" t="s">
        <v>23</v>
      </c>
    </row>
    <row r="366" spans="1:22" ht="12.75" customHeight="1">
      <c r="A366" s="65"/>
      <c r="B366" s="211">
        <v>46241</v>
      </c>
      <c r="C366" s="211">
        <v>46241</v>
      </c>
      <c r="D366" s="176" t="s">
        <v>4521</v>
      </c>
      <c r="E366" s="176" t="s">
        <v>4522</v>
      </c>
      <c r="F366" s="176" t="s">
        <v>87</v>
      </c>
      <c r="G366" s="176" t="s">
        <v>2513</v>
      </c>
      <c r="H366" s="176">
        <v>25</v>
      </c>
      <c r="I366" s="176">
        <v>42.1</v>
      </c>
      <c r="J366" s="176">
        <v>42.1</v>
      </c>
      <c r="K366" s="176">
        <v>4</v>
      </c>
      <c r="L366" s="176">
        <v>0</v>
      </c>
      <c r="M366" s="176" t="s">
        <v>148</v>
      </c>
      <c r="N366" s="176" t="s">
        <v>149</v>
      </c>
      <c r="O366" s="176" t="s">
        <v>150</v>
      </c>
      <c r="P366" s="176" t="s">
        <v>151</v>
      </c>
      <c r="Q366" s="176"/>
      <c r="R366" s="176" t="s">
        <v>4522</v>
      </c>
      <c r="S366" s="176"/>
      <c r="T366" s="176" t="s">
        <v>2741</v>
      </c>
      <c r="U366" s="176" t="s">
        <v>152</v>
      </c>
      <c r="V366" s="176" t="s">
        <v>23</v>
      </c>
    </row>
    <row r="367" spans="1:22" ht="12.75" customHeight="1">
      <c r="A367" s="65"/>
      <c r="B367" s="211">
        <v>46241</v>
      </c>
      <c r="C367" s="211">
        <v>46241</v>
      </c>
      <c r="D367" s="176" t="s">
        <v>4523</v>
      </c>
      <c r="E367" s="176" t="s">
        <v>4524</v>
      </c>
      <c r="F367" s="176" t="s">
        <v>87</v>
      </c>
      <c r="G367" s="176" t="s">
        <v>1678</v>
      </c>
      <c r="H367" s="176">
        <v>30</v>
      </c>
      <c r="I367" s="176">
        <v>33.5</v>
      </c>
      <c r="J367" s="176">
        <v>33.5</v>
      </c>
      <c r="K367" s="176">
        <v>4</v>
      </c>
      <c r="L367" s="176">
        <v>0</v>
      </c>
      <c r="M367" s="176" t="s">
        <v>148</v>
      </c>
      <c r="N367" s="176" t="s">
        <v>149</v>
      </c>
      <c r="O367" s="176" t="s">
        <v>150</v>
      </c>
      <c r="P367" s="176" t="s">
        <v>151</v>
      </c>
      <c r="Q367" s="176"/>
      <c r="R367" s="176" t="s">
        <v>4524</v>
      </c>
      <c r="S367" s="176"/>
      <c r="T367" s="176" t="s">
        <v>2741</v>
      </c>
      <c r="U367" s="176" t="s">
        <v>152</v>
      </c>
      <c r="V367" s="176" t="s">
        <v>23</v>
      </c>
    </row>
    <row r="368" spans="1:22" ht="12.75" customHeight="1">
      <c r="A368" s="65"/>
      <c r="B368" s="211">
        <v>46241</v>
      </c>
      <c r="C368" s="211">
        <v>46241</v>
      </c>
      <c r="D368" s="176" t="s">
        <v>4525</v>
      </c>
      <c r="E368" s="176" t="s">
        <v>4526</v>
      </c>
      <c r="F368" s="176" t="s">
        <v>87</v>
      </c>
      <c r="G368" s="176" t="s">
        <v>2357</v>
      </c>
      <c r="H368" s="176">
        <v>40</v>
      </c>
      <c r="I368" s="176">
        <v>44.8</v>
      </c>
      <c r="J368" s="176">
        <v>44.8</v>
      </c>
      <c r="K368" s="176">
        <v>5</v>
      </c>
      <c r="L368" s="176">
        <v>0</v>
      </c>
      <c r="M368" s="176" t="s">
        <v>148</v>
      </c>
      <c r="N368" s="176" t="s">
        <v>149</v>
      </c>
      <c r="O368" s="176" t="s">
        <v>150</v>
      </c>
      <c r="P368" s="176" t="s">
        <v>151</v>
      </c>
      <c r="Q368" s="176"/>
      <c r="R368" s="176" t="s">
        <v>4526</v>
      </c>
      <c r="S368" s="176"/>
      <c r="T368" s="176" t="s">
        <v>2741</v>
      </c>
      <c r="U368" s="176" t="s">
        <v>152</v>
      </c>
      <c r="V368" s="176" t="s">
        <v>23</v>
      </c>
    </row>
    <row r="369" spans="1:22" ht="12.75" customHeight="1">
      <c r="A369" s="65"/>
      <c r="B369" s="211">
        <v>46241</v>
      </c>
      <c r="C369" s="211">
        <v>46241</v>
      </c>
      <c r="D369" s="176" t="s">
        <v>4527</v>
      </c>
      <c r="E369" s="176" t="s">
        <v>4528</v>
      </c>
      <c r="F369" s="176" t="s">
        <v>87</v>
      </c>
      <c r="G369" s="176" t="s">
        <v>2357</v>
      </c>
      <c r="H369" s="176">
        <v>40</v>
      </c>
      <c r="I369" s="176">
        <v>32.799999999999997</v>
      </c>
      <c r="J369" s="176">
        <v>32.799999999999997</v>
      </c>
      <c r="K369" s="176">
        <v>5</v>
      </c>
      <c r="L369" s="176">
        <v>0</v>
      </c>
      <c r="M369" s="176" t="s">
        <v>148</v>
      </c>
      <c r="N369" s="176" t="s">
        <v>149</v>
      </c>
      <c r="O369" s="176" t="s">
        <v>150</v>
      </c>
      <c r="P369" s="176" t="s">
        <v>151</v>
      </c>
      <c r="Q369" s="176"/>
      <c r="R369" s="176" t="s">
        <v>4528</v>
      </c>
      <c r="S369" s="176"/>
      <c r="T369" s="176" t="s">
        <v>2741</v>
      </c>
      <c r="U369" s="176" t="s">
        <v>152</v>
      </c>
      <c r="V369" s="176" t="s">
        <v>23</v>
      </c>
    </row>
    <row r="370" spans="1:22" ht="12.75" customHeight="1">
      <c r="A370" s="65"/>
      <c r="B370" s="211">
        <v>46241</v>
      </c>
      <c r="C370" s="211">
        <v>46241</v>
      </c>
      <c r="D370" s="176" t="s">
        <v>4529</v>
      </c>
      <c r="E370" s="176" t="s">
        <v>4530</v>
      </c>
      <c r="F370" s="176" t="s">
        <v>87</v>
      </c>
      <c r="G370" s="176" t="s">
        <v>1966</v>
      </c>
      <c r="H370" s="176">
        <v>6</v>
      </c>
      <c r="I370" s="176">
        <v>17.8</v>
      </c>
      <c r="J370" s="176">
        <v>17.8</v>
      </c>
      <c r="K370" s="176">
        <v>1.5</v>
      </c>
      <c r="L370" s="176">
        <v>0</v>
      </c>
      <c r="M370" s="176" t="s">
        <v>148</v>
      </c>
      <c r="N370" s="176" t="s">
        <v>149</v>
      </c>
      <c r="O370" s="176" t="s">
        <v>150</v>
      </c>
      <c r="P370" s="176" t="s">
        <v>151</v>
      </c>
      <c r="Q370" s="176"/>
      <c r="R370" s="176" t="s">
        <v>4530</v>
      </c>
      <c r="S370" s="176"/>
      <c r="T370" s="176" t="s">
        <v>2741</v>
      </c>
      <c r="U370" s="176" t="s">
        <v>152</v>
      </c>
      <c r="V370" s="176" t="s">
        <v>23</v>
      </c>
    </row>
    <row r="371" spans="1:22" ht="12.75" customHeight="1">
      <c r="A371" s="65"/>
      <c r="B371" s="211">
        <v>46241</v>
      </c>
      <c r="C371" s="211">
        <v>46241</v>
      </c>
      <c r="D371" s="176" t="s">
        <v>4531</v>
      </c>
      <c r="E371" s="176" t="s">
        <v>4532</v>
      </c>
      <c r="F371" s="176" t="s">
        <v>87</v>
      </c>
      <c r="G371" s="176" t="s">
        <v>2513</v>
      </c>
      <c r="H371" s="176">
        <v>25</v>
      </c>
      <c r="I371" s="176">
        <v>41.1</v>
      </c>
      <c r="J371" s="176">
        <v>41.1</v>
      </c>
      <c r="K371" s="176">
        <v>4</v>
      </c>
      <c r="L371" s="176">
        <v>0</v>
      </c>
      <c r="M371" s="176" t="s">
        <v>148</v>
      </c>
      <c r="N371" s="176" t="s">
        <v>149</v>
      </c>
      <c r="O371" s="176" t="s">
        <v>150</v>
      </c>
      <c r="P371" s="176" t="s">
        <v>151</v>
      </c>
      <c r="Q371" s="176"/>
      <c r="R371" s="176" t="s">
        <v>4532</v>
      </c>
      <c r="S371" s="176"/>
      <c r="T371" s="176" t="s">
        <v>2741</v>
      </c>
      <c r="U371" s="176" t="s">
        <v>152</v>
      </c>
      <c r="V371" s="176" t="s">
        <v>23</v>
      </c>
    </row>
    <row r="372" spans="1:22" ht="12.75" customHeight="1">
      <c r="A372" s="65"/>
      <c r="B372" s="211">
        <v>46241</v>
      </c>
      <c r="C372" s="211">
        <v>46241</v>
      </c>
      <c r="D372" s="176" t="s">
        <v>4533</v>
      </c>
      <c r="E372" s="176" t="s">
        <v>4534</v>
      </c>
      <c r="F372" s="176" t="s">
        <v>87</v>
      </c>
      <c r="G372" s="176" t="s">
        <v>4335</v>
      </c>
      <c r="H372" s="176">
        <v>25</v>
      </c>
      <c r="I372" s="176">
        <v>37.799999999999997</v>
      </c>
      <c r="J372" s="176">
        <v>37.799999999999997</v>
      </c>
      <c r="K372" s="176">
        <v>4</v>
      </c>
      <c r="L372" s="176">
        <v>0</v>
      </c>
      <c r="M372" s="176" t="s">
        <v>148</v>
      </c>
      <c r="N372" s="176" t="s">
        <v>149</v>
      </c>
      <c r="O372" s="176" t="s">
        <v>150</v>
      </c>
      <c r="P372" s="176" t="s">
        <v>151</v>
      </c>
      <c r="Q372" s="176"/>
      <c r="R372" s="176" t="s">
        <v>4534</v>
      </c>
      <c r="S372" s="176"/>
      <c r="T372" s="176" t="s">
        <v>2741</v>
      </c>
      <c r="U372" s="176" t="s">
        <v>152</v>
      </c>
      <c r="V372" s="176" t="s">
        <v>23</v>
      </c>
    </row>
    <row r="373" spans="1:22" ht="12.75" customHeight="1">
      <c r="A373" s="65"/>
      <c r="B373" s="211">
        <v>46241</v>
      </c>
      <c r="C373" s="211">
        <v>46241</v>
      </c>
      <c r="D373" s="176" t="s">
        <v>4535</v>
      </c>
      <c r="E373" s="176" t="s">
        <v>4536</v>
      </c>
      <c r="F373" s="176" t="s">
        <v>87</v>
      </c>
      <c r="G373" s="176" t="s">
        <v>4335</v>
      </c>
      <c r="H373" s="176">
        <v>25</v>
      </c>
      <c r="I373" s="176">
        <v>28.2</v>
      </c>
      <c r="J373" s="176">
        <v>28.2</v>
      </c>
      <c r="K373" s="176">
        <v>4</v>
      </c>
      <c r="L373" s="176">
        <v>0</v>
      </c>
      <c r="M373" s="176" t="s">
        <v>148</v>
      </c>
      <c r="N373" s="176" t="s">
        <v>149</v>
      </c>
      <c r="O373" s="176" t="s">
        <v>150</v>
      </c>
      <c r="P373" s="176" t="s">
        <v>151</v>
      </c>
      <c r="Q373" s="176"/>
      <c r="R373" s="176" t="s">
        <v>4536</v>
      </c>
      <c r="S373" s="176"/>
      <c r="T373" s="176" t="s">
        <v>2741</v>
      </c>
      <c r="U373" s="176" t="s">
        <v>152</v>
      </c>
      <c r="V373" s="176" t="s">
        <v>23</v>
      </c>
    </row>
    <row r="374" spans="1:22" ht="12.75" customHeight="1">
      <c r="A374" s="65"/>
      <c r="B374" s="211">
        <v>46241</v>
      </c>
      <c r="C374" s="211">
        <v>46241</v>
      </c>
      <c r="D374" s="176" t="s">
        <v>4537</v>
      </c>
      <c r="E374" s="176" t="s">
        <v>4538</v>
      </c>
      <c r="F374" s="176" t="s">
        <v>87</v>
      </c>
      <c r="G374" s="176" t="s">
        <v>4512</v>
      </c>
      <c r="H374" s="176">
        <v>55</v>
      </c>
      <c r="I374" s="176">
        <v>31.4</v>
      </c>
      <c r="J374" s="176">
        <v>31.4</v>
      </c>
      <c r="K374" s="176">
        <v>5</v>
      </c>
      <c r="L374" s="176">
        <v>0</v>
      </c>
      <c r="M374" s="176" t="s">
        <v>148</v>
      </c>
      <c r="N374" s="176" t="s">
        <v>149</v>
      </c>
      <c r="O374" s="176" t="s">
        <v>150</v>
      </c>
      <c r="P374" s="176" t="s">
        <v>151</v>
      </c>
      <c r="Q374" s="176"/>
      <c r="R374" s="176" t="s">
        <v>4538</v>
      </c>
      <c r="S374" s="176"/>
      <c r="T374" s="176" t="s">
        <v>2741</v>
      </c>
      <c r="U374" s="176" t="s">
        <v>152</v>
      </c>
      <c r="V374" s="176" t="s">
        <v>23</v>
      </c>
    </row>
    <row r="375" spans="1:22" ht="12.75" customHeight="1">
      <c r="A375" s="65"/>
      <c r="B375" s="211">
        <v>46241</v>
      </c>
      <c r="C375" s="211">
        <v>46241</v>
      </c>
      <c r="D375" s="176" t="s">
        <v>4539</v>
      </c>
      <c r="E375" s="176" t="s">
        <v>4540</v>
      </c>
      <c r="F375" s="176" t="s">
        <v>87</v>
      </c>
      <c r="G375" s="176" t="s">
        <v>4512</v>
      </c>
      <c r="H375" s="176">
        <v>55</v>
      </c>
      <c r="I375" s="176">
        <v>46.4</v>
      </c>
      <c r="J375" s="176">
        <v>46.4</v>
      </c>
      <c r="K375" s="176">
        <v>5</v>
      </c>
      <c r="L375" s="176">
        <v>0</v>
      </c>
      <c r="M375" s="176" t="s">
        <v>148</v>
      </c>
      <c r="N375" s="176" t="s">
        <v>149</v>
      </c>
      <c r="O375" s="176" t="s">
        <v>150</v>
      </c>
      <c r="P375" s="176" t="s">
        <v>151</v>
      </c>
      <c r="Q375" s="176"/>
      <c r="R375" s="176" t="s">
        <v>4540</v>
      </c>
      <c r="S375" s="176"/>
      <c r="T375" s="176" t="s">
        <v>2741</v>
      </c>
      <c r="U375" s="176" t="s">
        <v>152</v>
      </c>
      <c r="V375" s="176" t="s">
        <v>23</v>
      </c>
    </row>
    <row r="376" spans="1:22" ht="12.75" customHeight="1">
      <c r="A376" s="65"/>
      <c r="B376" s="211">
        <v>46241</v>
      </c>
      <c r="C376" s="211">
        <v>46241</v>
      </c>
      <c r="D376" s="176" t="s">
        <v>4541</v>
      </c>
      <c r="E376" s="176" t="s">
        <v>4542</v>
      </c>
      <c r="F376" s="176" t="s">
        <v>87</v>
      </c>
      <c r="G376" s="176" t="s">
        <v>2404</v>
      </c>
      <c r="H376" s="176">
        <v>40</v>
      </c>
      <c r="I376" s="176">
        <v>45.1</v>
      </c>
      <c r="J376" s="176">
        <v>45.1</v>
      </c>
      <c r="K376" s="176">
        <v>5</v>
      </c>
      <c r="L376" s="176">
        <v>0</v>
      </c>
      <c r="M376" s="176" t="s">
        <v>148</v>
      </c>
      <c r="N376" s="176" t="s">
        <v>149</v>
      </c>
      <c r="O376" s="176" t="s">
        <v>150</v>
      </c>
      <c r="P376" s="176" t="s">
        <v>151</v>
      </c>
      <c r="Q376" s="176"/>
      <c r="R376" s="176" t="s">
        <v>4542</v>
      </c>
      <c r="S376" s="176"/>
      <c r="T376" s="176" t="s">
        <v>2741</v>
      </c>
      <c r="U376" s="176" t="s">
        <v>152</v>
      </c>
      <c r="V376" s="176" t="s">
        <v>23</v>
      </c>
    </row>
    <row r="377" spans="1:22" ht="12.75" customHeight="1">
      <c r="A377" s="65"/>
      <c r="B377" s="211">
        <v>46241</v>
      </c>
      <c r="C377" s="211">
        <v>46241</v>
      </c>
      <c r="D377" s="176" t="s">
        <v>4543</v>
      </c>
      <c r="E377" s="176" t="s">
        <v>4544</v>
      </c>
      <c r="F377" s="176" t="s">
        <v>87</v>
      </c>
      <c r="G377" s="176" t="s">
        <v>2512</v>
      </c>
      <c r="H377" s="176">
        <v>40</v>
      </c>
      <c r="I377" s="176">
        <v>34.200000000000003</v>
      </c>
      <c r="J377" s="176">
        <v>34.200000000000003</v>
      </c>
      <c r="K377" s="176">
        <v>5</v>
      </c>
      <c r="L377" s="176">
        <v>0</v>
      </c>
      <c r="M377" s="176" t="s">
        <v>148</v>
      </c>
      <c r="N377" s="176" t="s">
        <v>149</v>
      </c>
      <c r="O377" s="176" t="s">
        <v>150</v>
      </c>
      <c r="P377" s="176" t="s">
        <v>151</v>
      </c>
      <c r="Q377" s="176"/>
      <c r="R377" s="176" t="s">
        <v>4544</v>
      </c>
      <c r="S377" s="176"/>
      <c r="T377" s="176" t="s">
        <v>2741</v>
      </c>
      <c r="U377" s="176" t="s">
        <v>152</v>
      </c>
      <c r="V377" s="176" t="s">
        <v>23</v>
      </c>
    </row>
    <row r="378" spans="1:22" ht="12.75" customHeight="1">
      <c r="A378" s="65"/>
      <c r="B378" s="211">
        <v>46241</v>
      </c>
      <c r="C378" s="211">
        <v>46241</v>
      </c>
      <c r="D378" s="176" t="s">
        <v>4545</v>
      </c>
      <c r="E378" s="176" t="s">
        <v>4546</v>
      </c>
      <c r="F378" s="176" t="s">
        <v>87</v>
      </c>
      <c r="G378" s="176" t="s">
        <v>2357</v>
      </c>
      <c r="H378" s="176">
        <v>40</v>
      </c>
      <c r="I378" s="176">
        <v>47.3</v>
      </c>
      <c r="J378" s="176">
        <v>47.3</v>
      </c>
      <c r="K378" s="176">
        <v>5</v>
      </c>
      <c r="L378" s="176">
        <v>0</v>
      </c>
      <c r="M378" s="176" t="s">
        <v>148</v>
      </c>
      <c r="N378" s="176" t="s">
        <v>149</v>
      </c>
      <c r="O378" s="176" t="s">
        <v>150</v>
      </c>
      <c r="P378" s="176" t="s">
        <v>151</v>
      </c>
      <c r="Q378" s="176"/>
      <c r="R378" s="176" t="s">
        <v>4546</v>
      </c>
      <c r="S378" s="176"/>
      <c r="T378" s="176" t="s">
        <v>2741</v>
      </c>
      <c r="U378" s="176" t="s">
        <v>152</v>
      </c>
      <c r="V378" s="176" t="s">
        <v>23</v>
      </c>
    </row>
    <row r="379" spans="1:22" ht="12.75" customHeight="1">
      <c r="A379" s="65"/>
      <c r="B379" s="211">
        <v>46241</v>
      </c>
      <c r="C379" s="211">
        <v>46241</v>
      </c>
      <c r="D379" s="176" t="s">
        <v>4547</v>
      </c>
      <c r="E379" s="176" t="s">
        <v>4548</v>
      </c>
      <c r="F379" s="176" t="s">
        <v>87</v>
      </c>
      <c r="G379" s="176" t="s">
        <v>2513</v>
      </c>
      <c r="H379" s="176">
        <v>25</v>
      </c>
      <c r="I379" s="176">
        <v>44.8</v>
      </c>
      <c r="J379" s="176">
        <v>44.8</v>
      </c>
      <c r="K379" s="176">
        <v>4</v>
      </c>
      <c r="L379" s="176">
        <v>0</v>
      </c>
      <c r="M379" s="176" t="s">
        <v>148</v>
      </c>
      <c r="N379" s="176" t="s">
        <v>149</v>
      </c>
      <c r="O379" s="176" t="s">
        <v>150</v>
      </c>
      <c r="P379" s="176" t="s">
        <v>151</v>
      </c>
      <c r="Q379" s="176"/>
      <c r="R379" s="176" t="s">
        <v>4548</v>
      </c>
      <c r="S379" s="176"/>
      <c r="T379" s="176" t="s">
        <v>2741</v>
      </c>
      <c r="U379" s="176" t="s">
        <v>152</v>
      </c>
      <c r="V379" s="176" t="s">
        <v>23</v>
      </c>
    </row>
    <row r="380" spans="1:22" ht="12.75" customHeight="1">
      <c r="A380" s="65"/>
      <c r="B380" s="211">
        <v>46241</v>
      </c>
      <c r="C380" s="211">
        <v>46241</v>
      </c>
      <c r="D380" s="176" t="s">
        <v>4549</v>
      </c>
      <c r="E380" s="176" t="s">
        <v>4550</v>
      </c>
      <c r="F380" s="176" t="s">
        <v>87</v>
      </c>
      <c r="G380" s="176" t="s">
        <v>2513</v>
      </c>
      <c r="H380" s="176">
        <v>25</v>
      </c>
      <c r="I380" s="176">
        <v>45.8</v>
      </c>
      <c r="J380" s="176">
        <v>45.8</v>
      </c>
      <c r="K380" s="176">
        <v>4</v>
      </c>
      <c r="L380" s="176">
        <v>0</v>
      </c>
      <c r="M380" s="176" t="s">
        <v>148</v>
      </c>
      <c r="N380" s="176" t="s">
        <v>149</v>
      </c>
      <c r="O380" s="176" t="s">
        <v>150</v>
      </c>
      <c r="P380" s="176" t="s">
        <v>151</v>
      </c>
      <c r="Q380" s="176"/>
      <c r="R380" s="176" t="s">
        <v>4550</v>
      </c>
      <c r="S380" s="176"/>
      <c r="T380" s="176" t="s">
        <v>2741</v>
      </c>
      <c r="U380" s="176" t="s">
        <v>152</v>
      </c>
      <c r="V380" s="176" t="s">
        <v>23</v>
      </c>
    </row>
    <row r="381" spans="1:22" ht="12.75" customHeight="1">
      <c r="A381" s="65"/>
      <c r="B381" s="211">
        <v>46241</v>
      </c>
      <c r="C381" s="211">
        <v>46241</v>
      </c>
      <c r="D381" s="176" t="s">
        <v>4551</v>
      </c>
      <c r="E381" s="176" t="s">
        <v>4552</v>
      </c>
      <c r="F381" s="176" t="s">
        <v>87</v>
      </c>
      <c r="G381" s="176" t="s">
        <v>2404</v>
      </c>
      <c r="H381" s="176">
        <v>40</v>
      </c>
      <c r="I381" s="176">
        <v>40.1</v>
      </c>
      <c r="J381" s="176">
        <v>40.1</v>
      </c>
      <c r="K381" s="176">
        <v>5</v>
      </c>
      <c r="L381" s="176">
        <v>0</v>
      </c>
      <c r="M381" s="176" t="s">
        <v>148</v>
      </c>
      <c r="N381" s="176" t="s">
        <v>149</v>
      </c>
      <c r="O381" s="176" t="s">
        <v>150</v>
      </c>
      <c r="P381" s="176" t="s">
        <v>151</v>
      </c>
      <c r="Q381" s="176"/>
      <c r="R381" s="176" t="s">
        <v>4552</v>
      </c>
      <c r="S381" s="176"/>
      <c r="T381" s="176" t="s">
        <v>2741</v>
      </c>
      <c r="U381" s="176" t="s">
        <v>152</v>
      </c>
      <c r="V381" s="176" t="s">
        <v>23</v>
      </c>
    </row>
    <row r="382" spans="1:22" ht="12.75" customHeight="1">
      <c r="A382" s="65"/>
      <c r="B382" s="211">
        <v>46241</v>
      </c>
      <c r="C382" s="211">
        <v>46241</v>
      </c>
      <c r="D382" s="176" t="s">
        <v>4553</v>
      </c>
      <c r="E382" s="176" t="s">
        <v>4554</v>
      </c>
      <c r="F382" s="176" t="s">
        <v>87</v>
      </c>
      <c r="G382" s="176" t="s">
        <v>2404</v>
      </c>
      <c r="H382" s="176">
        <v>40</v>
      </c>
      <c r="I382" s="176">
        <v>40.799999999999997</v>
      </c>
      <c r="J382" s="176">
        <v>40.799999999999997</v>
      </c>
      <c r="K382" s="176">
        <v>5</v>
      </c>
      <c r="L382" s="176">
        <v>0</v>
      </c>
      <c r="M382" s="176" t="s">
        <v>148</v>
      </c>
      <c r="N382" s="176" t="s">
        <v>149</v>
      </c>
      <c r="O382" s="176" t="s">
        <v>150</v>
      </c>
      <c r="P382" s="176" t="s">
        <v>151</v>
      </c>
      <c r="Q382" s="176"/>
      <c r="R382" s="176" t="s">
        <v>4554</v>
      </c>
      <c r="S382" s="176"/>
      <c r="T382" s="176" t="s">
        <v>2741</v>
      </c>
      <c r="U382" s="176" t="s">
        <v>152</v>
      </c>
      <c r="V382" s="176" t="s">
        <v>23</v>
      </c>
    </row>
    <row r="383" spans="1:22" ht="12.75" customHeight="1">
      <c r="A383" s="65"/>
      <c r="B383" s="211">
        <v>46241</v>
      </c>
      <c r="C383" s="211">
        <v>46241</v>
      </c>
      <c r="D383" s="176" t="s">
        <v>4555</v>
      </c>
      <c r="E383" s="176" t="s">
        <v>4556</v>
      </c>
      <c r="F383" s="176" t="s">
        <v>87</v>
      </c>
      <c r="G383" s="176" t="s">
        <v>2334</v>
      </c>
      <c r="H383" s="176">
        <v>40</v>
      </c>
      <c r="I383" s="176">
        <v>40</v>
      </c>
      <c r="J383" s="176">
        <v>40</v>
      </c>
      <c r="K383" s="176">
        <v>5</v>
      </c>
      <c r="L383" s="176">
        <v>0</v>
      </c>
      <c r="M383" s="176" t="s">
        <v>148</v>
      </c>
      <c r="N383" s="176" t="s">
        <v>149</v>
      </c>
      <c r="O383" s="176" t="s">
        <v>150</v>
      </c>
      <c r="P383" s="176" t="s">
        <v>151</v>
      </c>
      <c r="Q383" s="176"/>
      <c r="R383" s="176" t="s">
        <v>4556</v>
      </c>
      <c r="S383" s="176"/>
      <c r="T383" s="176" t="s">
        <v>2741</v>
      </c>
      <c r="U383" s="176" t="s">
        <v>152</v>
      </c>
      <c r="V383" s="176" t="s">
        <v>23</v>
      </c>
    </row>
    <row r="384" spans="1:22" ht="12.75" customHeight="1">
      <c r="A384" s="65"/>
      <c r="B384" s="211">
        <v>46241</v>
      </c>
      <c r="C384" s="211">
        <v>46241</v>
      </c>
      <c r="D384" s="176" t="s">
        <v>4557</v>
      </c>
      <c r="E384" s="176" t="s">
        <v>4558</v>
      </c>
      <c r="F384" s="176" t="s">
        <v>87</v>
      </c>
      <c r="G384" s="176" t="s">
        <v>2512</v>
      </c>
      <c r="H384" s="176">
        <v>40</v>
      </c>
      <c r="I384" s="176">
        <v>28.6</v>
      </c>
      <c r="J384" s="176">
        <v>28.6</v>
      </c>
      <c r="K384" s="176">
        <v>5</v>
      </c>
      <c r="L384" s="176">
        <v>0</v>
      </c>
      <c r="M384" s="176" t="s">
        <v>148</v>
      </c>
      <c r="N384" s="176" t="s">
        <v>149</v>
      </c>
      <c r="O384" s="176" t="s">
        <v>150</v>
      </c>
      <c r="P384" s="176" t="s">
        <v>151</v>
      </c>
      <c r="Q384" s="176"/>
      <c r="R384" s="176" t="s">
        <v>4558</v>
      </c>
      <c r="S384" s="176"/>
      <c r="T384" s="176" t="s">
        <v>2741</v>
      </c>
      <c r="U384" s="176" t="s">
        <v>152</v>
      </c>
      <c r="V384" s="176" t="s">
        <v>23</v>
      </c>
    </row>
    <row r="385" spans="1:22" ht="12.75" customHeight="1">
      <c r="A385" s="65"/>
      <c r="B385" s="211">
        <v>46241</v>
      </c>
      <c r="C385" s="211">
        <v>46241</v>
      </c>
      <c r="D385" s="176" t="s">
        <v>4559</v>
      </c>
      <c r="E385" s="176" t="s">
        <v>4560</v>
      </c>
      <c r="F385" s="176" t="s">
        <v>87</v>
      </c>
      <c r="G385" s="176" t="s">
        <v>2334</v>
      </c>
      <c r="H385" s="176">
        <v>40</v>
      </c>
      <c r="I385" s="176">
        <v>36.299999999999997</v>
      </c>
      <c r="J385" s="176">
        <v>36.299999999999997</v>
      </c>
      <c r="K385" s="176">
        <v>5</v>
      </c>
      <c r="L385" s="176">
        <v>0</v>
      </c>
      <c r="M385" s="176" t="s">
        <v>148</v>
      </c>
      <c r="N385" s="176" t="s">
        <v>149</v>
      </c>
      <c r="O385" s="176" t="s">
        <v>150</v>
      </c>
      <c r="P385" s="176" t="s">
        <v>151</v>
      </c>
      <c r="Q385" s="176"/>
      <c r="R385" s="176" t="s">
        <v>4560</v>
      </c>
      <c r="S385" s="176"/>
      <c r="T385" s="176" t="s">
        <v>2741</v>
      </c>
      <c r="U385" s="176" t="s">
        <v>152</v>
      </c>
      <c r="V385" s="176" t="s">
        <v>23</v>
      </c>
    </row>
    <row r="386" spans="1:22" ht="12.75" customHeight="1">
      <c r="A386" s="65"/>
      <c r="B386" s="211">
        <v>46241</v>
      </c>
      <c r="C386" s="211">
        <v>46241</v>
      </c>
      <c r="D386" s="176" t="s">
        <v>4561</v>
      </c>
      <c r="E386" s="176" t="s">
        <v>4562</v>
      </c>
      <c r="F386" s="176" t="s">
        <v>87</v>
      </c>
      <c r="G386" s="176" t="s">
        <v>2334</v>
      </c>
      <c r="H386" s="176">
        <v>40</v>
      </c>
      <c r="I386" s="176">
        <v>34.700000000000003</v>
      </c>
      <c r="J386" s="176">
        <v>34.700000000000003</v>
      </c>
      <c r="K386" s="176">
        <v>5</v>
      </c>
      <c r="L386" s="176">
        <v>0</v>
      </c>
      <c r="M386" s="176" t="s">
        <v>148</v>
      </c>
      <c r="N386" s="176" t="s">
        <v>149</v>
      </c>
      <c r="O386" s="176" t="s">
        <v>150</v>
      </c>
      <c r="P386" s="176" t="s">
        <v>151</v>
      </c>
      <c r="Q386" s="176"/>
      <c r="R386" s="176" t="s">
        <v>4562</v>
      </c>
      <c r="S386" s="176"/>
      <c r="T386" s="176" t="s">
        <v>2741</v>
      </c>
      <c r="U386" s="176" t="s">
        <v>152</v>
      </c>
      <c r="V386" s="176" t="s">
        <v>23</v>
      </c>
    </row>
    <row r="387" spans="1:22" ht="12" customHeight="1">
      <c r="B387" s="211">
        <v>46241</v>
      </c>
      <c r="C387" s="211">
        <v>46241</v>
      </c>
      <c r="D387" s="176" t="s">
        <v>4563</v>
      </c>
      <c r="E387" s="176" t="s">
        <v>4564</v>
      </c>
      <c r="F387" s="176" t="s">
        <v>87</v>
      </c>
      <c r="G387" s="176" t="s">
        <v>1966</v>
      </c>
      <c r="H387" s="176">
        <v>6</v>
      </c>
      <c r="I387" s="176">
        <v>24.3</v>
      </c>
      <c r="J387" s="176">
        <v>24.3</v>
      </c>
      <c r="K387" s="176">
        <v>1.5</v>
      </c>
      <c r="L387" s="176">
        <v>0</v>
      </c>
      <c r="M387" s="176" t="s">
        <v>148</v>
      </c>
      <c r="N387" s="176" t="s">
        <v>149</v>
      </c>
      <c r="O387" s="176" t="s">
        <v>150</v>
      </c>
      <c r="P387" s="176" t="s">
        <v>151</v>
      </c>
      <c r="Q387" s="176"/>
      <c r="R387" s="176" t="s">
        <v>4564</v>
      </c>
      <c r="S387" s="176"/>
      <c r="T387" s="176" t="s">
        <v>2741</v>
      </c>
      <c r="U387" s="176" t="s">
        <v>152</v>
      </c>
      <c r="V387" s="176" t="s">
        <v>23</v>
      </c>
    </row>
    <row r="388" spans="1:22" ht="12" customHeight="1">
      <c r="B388" s="211">
        <v>46241</v>
      </c>
      <c r="C388" s="211">
        <v>46241</v>
      </c>
      <c r="D388" s="176" t="s">
        <v>4565</v>
      </c>
      <c r="E388" s="176" t="s">
        <v>4566</v>
      </c>
      <c r="F388" s="176" t="s">
        <v>87</v>
      </c>
      <c r="G388" s="176" t="s">
        <v>1966</v>
      </c>
      <c r="H388" s="176">
        <v>6</v>
      </c>
      <c r="I388" s="176">
        <v>25</v>
      </c>
      <c r="J388" s="176">
        <v>25</v>
      </c>
      <c r="K388" s="176">
        <v>1.5</v>
      </c>
      <c r="L388" s="176">
        <v>0</v>
      </c>
      <c r="M388" s="176" t="s">
        <v>148</v>
      </c>
      <c r="N388" s="176" t="s">
        <v>149</v>
      </c>
      <c r="O388" s="176" t="s">
        <v>150</v>
      </c>
      <c r="P388" s="176" t="s">
        <v>151</v>
      </c>
      <c r="Q388" s="176"/>
      <c r="R388" s="176" t="s">
        <v>4566</v>
      </c>
      <c r="S388" s="176"/>
      <c r="T388" s="176" t="s">
        <v>2741</v>
      </c>
      <c r="U388" s="176" t="s">
        <v>152</v>
      </c>
      <c r="V388" s="176" t="s">
        <v>23</v>
      </c>
    </row>
    <row r="389" spans="1:22" ht="12" customHeight="1">
      <c r="B389" s="211">
        <v>46241</v>
      </c>
      <c r="C389" s="211">
        <v>46241</v>
      </c>
      <c r="D389" s="176" t="s">
        <v>4567</v>
      </c>
      <c r="E389" s="176" t="s">
        <v>4568</v>
      </c>
      <c r="F389" s="176" t="s">
        <v>87</v>
      </c>
      <c r="G389" s="176" t="s">
        <v>2357</v>
      </c>
      <c r="H389" s="176">
        <v>40</v>
      </c>
      <c r="I389" s="176">
        <v>37.799999999999997</v>
      </c>
      <c r="J389" s="176">
        <v>37.799999999999997</v>
      </c>
      <c r="K389" s="176">
        <v>5</v>
      </c>
      <c r="L389" s="176">
        <v>0</v>
      </c>
      <c r="M389" s="176" t="s">
        <v>148</v>
      </c>
      <c r="N389" s="176" t="s">
        <v>149</v>
      </c>
      <c r="O389" s="176" t="s">
        <v>150</v>
      </c>
      <c r="P389" s="176" t="s">
        <v>151</v>
      </c>
      <c r="Q389" s="176"/>
      <c r="R389" s="176" t="s">
        <v>4568</v>
      </c>
      <c r="S389" s="176"/>
      <c r="T389" s="176" t="s">
        <v>2741</v>
      </c>
      <c r="U389" s="176" t="s">
        <v>152</v>
      </c>
      <c r="V389" s="176" t="s">
        <v>23</v>
      </c>
    </row>
    <row r="390" spans="1:22" ht="12" customHeight="1">
      <c r="B390" s="211">
        <v>46241</v>
      </c>
      <c r="C390" s="211">
        <v>46241</v>
      </c>
      <c r="D390" s="176" t="s">
        <v>4569</v>
      </c>
      <c r="E390" s="176" t="s">
        <v>4570</v>
      </c>
      <c r="F390" s="176" t="s">
        <v>87</v>
      </c>
      <c r="G390" s="176" t="s">
        <v>1678</v>
      </c>
      <c r="H390" s="176">
        <v>30</v>
      </c>
      <c r="I390" s="176">
        <v>40.1</v>
      </c>
      <c r="J390" s="176">
        <v>40.1</v>
      </c>
      <c r="K390" s="176">
        <v>4</v>
      </c>
      <c r="L390" s="176">
        <v>0</v>
      </c>
      <c r="M390" s="176" t="s">
        <v>148</v>
      </c>
      <c r="N390" s="176" t="s">
        <v>149</v>
      </c>
      <c r="O390" s="176" t="s">
        <v>150</v>
      </c>
      <c r="P390" s="176" t="s">
        <v>151</v>
      </c>
      <c r="Q390" s="176"/>
      <c r="R390" s="176" t="s">
        <v>4570</v>
      </c>
      <c r="S390" s="176"/>
      <c r="T390" s="176" t="s">
        <v>2741</v>
      </c>
      <c r="U390" s="176" t="s">
        <v>152</v>
      </c>
      <c r="V390" s="176" t="s">
        <v>23</v>
      </c>
    </row>
    <row r="391" spans="1:22" ht="12" customHeight="1">
      <c r="B391" s="211">
        <v>46241</v>
      </c>
      <c r="C391" s="211">
        <v>46241</v>
      </c>
      <c r="D391" s="176" t="s">
        <v>4571</v>
      </c>
      <c r="E391" s="176" t="s">
        <v>4572</v>
      </c>
      <c r="F391" s="176" t="s">
        <v>87</v>
      </c>
      <c r="G391" s="176" t="s">
        <v>1678</v>
      </c>
      <c r="H391" s="176">
        <v>30</v>
      </c>
      <c r="I391" s="176">
        <v>21.8</v>
      </c>
      <c r="J391" s="176">
        <v>21.8</v>
      </c>
      <c r="K391" s="176">
        <v>4</v>
      </c>
      <c r="L391" s="176">
        <v>0</v>
      </c>
      <c r="M391" s="176" t="s">
        <v>148</v>
      </c>
      <c r="N391" s="176" t="s">
        <v>149</v>
      </c>
      <c r="O391" s="176" t="s">
        <v>150</v>
      </c>
      <c r="P391" s="176" t="s">
        <v>151</v>
      </c>
      <c r="Q391" s="176"/>
      <c r="R391" s="176" t="s">
        <v>4572</v>
      </c>
      <c r="S391" s="176"/>
      <c r="T391" s="176" t="s">
        <v>2741</v>
      </c>
      <c r="U391" s="176" t="s">
        <v>152</v>
      </c>
      <c r="V391" s="176" t="s">
        <v>23</v>
      </c>
    </row>
    <row r="392" spans="1:22" ht="12" customHeight="1">
      <c r="B392" s="211">
        <v>46241</v>
      </c>
      <c r="C392" s="211">
        <v>46241</v>
      </c>
      <c r="D392" s="176" t="s">
        <v>4573</v>
      </c>
      <c r="E392" s="176" t="s">
        <v>4574</v>
      </c>
      <c r="F392" s="176" t="s">
        <v>87</v>
      </c>
      <c r="G392" s="176" t="s">
        <v>2334</v>
      </c>
      <c r="H392" s="176">
        <v>40</v>
      </c>
      <c r="I392" s="176">
        <v>40.1</v>
      </c>
      <c r="J392" s="176">
        <v>40.1</v>
      </c>
      <c r="K392" s="176">
        <v>5</v>
      </c>
      <c r="L392" s="176">
        <v>0</v>
      </c>
      <c r="M392" s="176" t="s">
        <v>148</v>
      </c>
      <c r="N392" s="176" t="s">
        <v>149</v>
      </c>
      <c r="O392" s="176" t="s">
        <v>150</v>
      </c>
      <c r="P392" s="176" t="s">
        <v>151</v>
      </c>
      <c r="Q392" s="176"/>
      <c r="R392" s="176" t="s">
        <v>4574</v>
      </c>
      <c r="S392" s="176"/>
      <c r="T392" s="176" t="s">
        <v>2741</v>
      </c>
      <c r="U392" s="176" t="s">
        <v>152</v>
      </c>
      <c r="V392" s="176" t="s">
        <v>23</v>
      </c>
    </row>
    <row r="393" spans="1:22" ht="12" customHeight="1">
      <c r="B393" s="211">
        <v>46241</v>
      </c>
      <c r="C393" s="211">
        <v>46241</v>
      </c>
      <c r="D393" s="176" t="s">
        <v>4575</v>
      </c>
      <c r="E393" s="176" t="s">
        <v>4576</v>
      </c>
      <c r="F393" s="176" t="s">
        <v>87</v>
      </c>
      <c r="G393" s="176" t="s">
        <v>1966</v>
      </c>
      <c r="H393" s="176">
        <v>6</v>
      </c>
      <c r="I393" s="176">
        <v>25.8</v>
      </c>
      <c r="J393" s="176">
        <v>25.8</v>
      </c>
      <c r="K393" s="176">
        <v>1.5</v>
      </c>
      <c r="L393" s="176">
        <v>0</v>
      </c>
      <c r="M393" s="176" t="s">
        <v>148</v>
      </c>
      <c r="N393" s="176" t="s">
        <v>149</v>
      </c>
      <c r="O393" s="176" t="s">
        <v>150</v>
      </c>
      <c r="P393" s="176" t="s">
        <v>151</v>
      </c>
      <c r="Q393" s="176"/>
      <c r="R393" s="176" t="s">
        <v>4576</v>
      </c>
      <c r="S393" s="176"/>
      <c r="T393" s="176" t="s">
        <v>2741</v>
      </c>
      <c r="U393" s="176" t="s">
        <v>152</v>
      </c>
      <c r="V393" s="176" t="s">
        <v>23</v>
      </c>
    </row>
    <row r="394" spans="1:22" ht="12" customHeight="1">
      <c r="B394" s="211">
        <v>46241</v>
      </c>
      <c r="C394" s="211">
        <v>46241</v>
      </c>
      <c r="D394" s="176" t="s">
        <v>4577</v>
      </c>
      <c r="E394" s="176" t="s">
        <v>4578</v>
      </c>
      <c r="F394" s="176" t="s">
        <v>87</v>
      </c>
      <c r="G394" s="176" t="s">
        <v>2513</v>
      </c>
      <c r="H394" s="176">
        <v>25</v>
      </c>
      <c r="I394" s="176">
        <v>42.4</v>
      </c>
      <c r="J394" s="176">
        <v>42.4</v>
      </c>
      <c r="K394" s="176">
        <v>4</v>
      </c>
      <c r="L394" s="176">
        <v>0</v>
      </c>
      <c r="M394" s="176" t="s">
        <v>148</v>
      </c>
      <c r="N394" s="176" t="s">
        <v>149</v>
      </c>
      <c r="O394" s="176" t="s">
        <v>150</v>
      </c>
      <c r="P394" s="176" t="s">
        <v>151</v>
      </c>
      <c r="Q394" s="176"/>
      <c r="R394" s="176" t="s">
        <v>4578</v>
      </c>
      <c r="S394" s="176"/>
      <c r="T394" s="176" t="s">
        <v>2741</v>
      </c>
      <c r="U394" s="176" t="s">
        <v>152</v>
      </c>
      <c r="V394" s="176" t="s">
        <v>23</v>
      </c>
    </row>
    <row r="395" spans="1:22" ht="12" customHeight="1">
      <c r="B395" s="211">
        <v>46241</v>
      </c>
      <c r="C395" s="211">
        <v>46241</v>
      </c>
      <c r="D395" s="176" t="s">
        <v>4579</v>
      </c>
      <c r="E395" s="176" t="s">
        <v>4580</v>
      </c>
      <c r="F395" s="176" t="s">
        <v>87</v>
      </c>
      <c r="G395" s="176" t="s">
        <v>2513</v>
      </c>
      <c r="H395" s="176">
        <v>25</v>
      </c>
      <c r="I395" s="176">
        <v>40.4</v>
      </c>
      <c r="J395" s="176">
        <v>40.4</v>
      </c>
      <c r="K395" s="176">
        <v>4</v>
      </c>
      <c r="L395" s="176">
        <v>0</v>
      </c>
      <c r="M395" s="176" t="s">
        <v>148</v>
      </c>
      <c r="N395" s="176" t="s">
        <v>149</v>
      </c>
      <c r="O395" s="176" t="s">
        <v>150</v>
      </c>
      <c r="P395" s="176" t="s">
        <v>151</v>
      </c>
      <c r="Q395" s="176"/>
      <c r="R395" s="176" t="s">
        <v>4580</v>
      </c>
      <c r="S395" s="176"/>
      <c r="T395" s="176" t="s">
        <v>2741</v>
      </c>
      <c r="U395" s="176" t="s">
        <v>152</v>
      </c>
      <c r="V395" s="176" t="s">
        <v>23</v>
      </c>
    </row>
    <row r="396" spans="1:22" ht="12" customHeight="1">
      <c r="B396" s="211">
        <v>46241</v>
      </c>
      <c r="C396" s="211">
        <v>46241</v>
      </c>
      <c r="D396" s="176" t="s">
        <v>4581</v>
      </c>
      <c r="E396" s="176" t="s">
        <v>4582</v>
      </c>
      <c r="F396" s="176" t="s">
        <v>87</v>
      </c>
      <c r="G396" s="176" t="s">
        <v>4512</v>
      </c>
      <c r="H396" s="176">
        <v>55</v>
      </c>
      <c r="I396" s="176">
        <v>30.3</v>
      </c>
      <c r="J396" s="176">
        <v>30.3</v>
      </c>
      <c r="K396" s="176">
        <v>5</v>
      </c>
      <c r="L396" s="176">
        <v>0</v>
      </c>
      <c r="M396" s="176" t="s">
        <v>148</v>
      </c>
      <c r="N396" s="176" t="s">
        <v>149</v>
      </c>
      <c r="O396" s="176" t="s">
        <v>150</v>
      </c>
      <c r="P396" s="176" t="s">
        <v>151</v>
      </c>
      <c r="Q396" s="176"/>
      <c r="R396" s="176" t="s">
        <v>4582</v>
      </c>
      <c r="S396" s="176"/>
      <c r="T396" s="176" t="s">
        <v>2741</v>
      </c>
      <c r="U396" s="176" t="s">
        <v>152</v>
      </c>
      <c r="V396" s="176" t="s">
        <v>23</v>
      </c>
    </row>
    <row r="397" spans="1:22" ht="12" customHeight="1">
      <c r="B397" s="211">
        <v>46241</v>
      </c>
      <c r="C397" s="211">
        <v>46241</v>
      </c>
      <c r="D397" s="176" t="s">
        <v>4583</v>
      </c>
      <c r="E397" s="176" t="s">
        <v>4584</v>
      </c>
      <c r="F397" s="176" t="s">
        <v>87</v>
      </c>
      <c r="G397" s="176" t="s">
        <v>2357</v>
      </c>
      <c r="H397" s="176">
        <v>40</v>
      </c>
      <c r="I397" s="176">
        <v>42.8</v>
      </c>
      <c r="J397" s="176">
        <v>42.8</v>
      </c>
      <c r="K397" s="176">
        <v>5</v>
      </c>
      <c r="L397" s="176">
        <v>0</v>
      </c>
      <c r="M397" s="176" t="s">
        <v>148</v>
      </c>
      <c r="N397" s="176" t="s">
        <v>149</v>
      </c>
      <c r="O397" s="176" t="s">
        <v>150</v>
      </c>
      <c r="P397" s="176" t="s">
        <v>151</v>
      </c>
      <c r="Q397" s="176"/>
      <c r="R397" s="176" t="s">
        <v>4584</v>
      </c>
      <c r="S397" s="176"/>
      <c r="T397" s="176" t="s">
        <v>2741</v>
      </c>
      <c r="U397" s="176" t="s">
        <v>152</v>
      </c>
      <c r="V397" s="176" t="s">
        <v>23</v>
      </c>
    </row>
    <row r="398" spans="1:22" ht="12" customHeight="1">
      <c r="B398" s="211">
        <v>46241</v>
      </c>
      <c r="C398" s="211">
        <v>46241</v>
      </c>
      <c r="D398" s="176" t="s">
        <v>4585</v>
      </c>
      <c r="E398" s="176" t="s">
        <v>4586</v>
      </c>
      <c r="F398" s="176" t="s">
        <v>87</v>
      </c>
      <c r="G398" s="176" t="s">
        <v>2513</v>
      </c>
      <c r="H398" s="176">
        <v>25</v>
      </c>
      <c r="I398" s="176">
        <v>40.1</v>
      </c>
      <c r="J398" s="176">
        <v>40.1</v>
      </c>
      <c r="K398" s="176">
        <v>4</v>
      </c>
      <c r="L398" s="176">
        <v>0</v>
      </c>
      <c r="M398" s="176" t="s">
        <v>148</v>
      </c>
      <c r="N398" s="176" t="s">
        <v>149</v>
      </c>
      <c r="O398" s="176" t="s">
        <v>150</v>
      </c>
      <c r="P398" s="176" t="s">
        <v>151</v>
      </c>
      <c r="Q398" s="176"/>
      <c r="R398" s="176" t="s">
        <v>4586</v>
      </c>
      <c r="S398" s="176"/>
      <c r="T398" s="176" t="s">
        <v>2741</v>
      </c>
      <c r="U398" s="176" t="s">
        <v>152</v>
      </c>
      <c r="V398" s="176" t="s">
        <v>23</v>
      </c>
    </row>
    <row r="399" spans="1:22" ht="12" customHeight="1">
      <c r="B399" s="211">
        <v>46241</v>
      </c>
      <c r="C399" s="211">
        <v>46241</v>
      </c>
      <c r="D399" s="176" t="s">
        <v>4587</v>
      </c>
      <c r="E399" s="176" t="s">
        <v>4588</v>
      </c>
      <c r="F399" s="176" t="s">
        <v>87</v>
      </c>
      <c r="G399" s="176" t="s">
        <v>4335</v>
      </c>
      <c r="H399" s="176">
        <v>25</v>
      </c>
      <c r="I399" s="176">
        <v>21.8</v>
      </c>
      <c r="J399" s="176">
        <v>21.8</v>
      </c>
      <c r="K399" s="176">
        <v>4</v>
      </c>
      <c r="L399" s="176">
        <v>0</v>
      </c>
      <c r="M399" s="176" t="s">
        <v>148</v>
      </c>
      <c r="N399" s="176" t="s">
        <v>149</v>
      </c>
      <c r="O399" s="176" t="s">
        <v>150</v>
      </c>
      <c r="P399" s="176" t="s">
        <v>151</v>
      </c>
      <c r="Q399" s="176"/>
      <c r="R399" s="176" t="s">
        <v>4588</v>
      </c>
      <c r="S399" s="176"/>
      <c r="T399" s="176" t="s">
        <v>2741</v>
      </c>
      <c r="U399" s="176" t="s">
        <v>152</v>
      </c>
      <c r="V399" s="176" t="s">
        <v>23</v>
      </c>
    </row>
    <row r="400" spans="1:22" ht="12" customHeight="1">
      <c r="B400" s="211">
        <v>46241</v>
      </c>
      <c r="C400" s="211">
        <v>46241</v>
      </c>
      <c r="D400" s="176" t="s">
        <v>4589</v>
      </c>
      <c r="E400" s="176" t="s">
        <v>4590</v>
      </c>
      <c r="F400" s="176" t="s">
        <v>87</v>
      </c>
      <c r="G400" s="176" t="s">
        <v>2357</v>
      </c>
      <c r="H400" s="176">
        <v>40</v>
      </c>
      <c r="I400" s="176">
        <v>42.8</v>
      </c>
      <c r="J400" s="176">
        <v>42.8</v>
      </c>
      <c r="K400" s="176">
        <v>5</v>
      </c>
      <c r="L400" s="176">
        <v>0</v>
      </c>
      <c r="M400" s="176" t="s">
        <v>148</v>
      </c>
      <c r="N400" s="176" t="s">
        <v>149</v>
      </c>
      <c r="O400" s="176" t="s">
        <v>150</v>
      </c>
      <c r="P400" s="176" t="s">
        <v>151</v>
      </c>
      <c r="Q400" s="176"/>
      <c r="R400" s="176" t="s">
        <v>4590</v>
      </c>
      <c r="S400" s="176"/>
      <c r="T400" s="176" t="s">
        <v>2741</v>
      </c>
      <c r="U400" s="176" t="s">
        <v>152</v>
      </c>
      <c r="V400" s="176" t="s">
        <v>23</v>
      </c>
    </row>
    <row r="401" spans="2:22" ht="12" customHeight="1">
      <c r="B401" s="211">
        <v>46241</v>
      </c>
      <c r="C401" s="211">
        <v>46241</v>
      </c>
      <c r="D401" s="176" t="s">
        <v>4591</v>
      </c>
      <c r="E401" s="176" t="s">
        <v>4592</v>
      </c>
      <c r="F401" s="176" t="s">
        <v>87</v>
      </c>
      <c r="G401" s="176" t="s">
        <v>4335</v>
      </c>
      <c r="H401" s="176">
        <v>25</v>
      </c>
      <c r="I401" s="176">
        <v>34.299999999999997</v>
      </c>
      <c r="J401" s="176">
        <v>34.299999999999997</v>
      </c>
      <c r="K401" s="176">
        <v>4</v>
      </c>
      <c r="L401" s="176">
        <v>0</v>
      </c>
      <c r="M401" s="176" t="s">
        <v>148</v>
      </c>
      <c r="N401" s="176" t="s">
        <v>149</v>
      </c>
      <c r="O401" s="176" t="s">
        <v>150</v>
      </c>
      <c r="P401" s="176" t="s">
        <v>151</v>
      </c>
      <c r="Q401" s="176"/>
      <c r="R401" s="176" t="s">
        <v>4592</v>
      </c>
      <c r="S401" s="176"/>
      <c r="T401" s="176" t="s">
        <v>2741</v>
      </c>
      <c r="U401" s="176" t="s">
        <v>152</v>
      </c>
      <c r="V401" s="176" t="s">
        <v>23</v>
      </c>
    </row>
    <row r="402" spans="2:22" ht="12" customHeight="1">
      <c r="B402" s="211">
        <v>46241</v>
      </c>
      <c r="C402" s="211">
        <v>46241</v>
      </c>
      <c r="D402" s="176" t="s">
        <v>4593</v>
      </c>
      <c r="E402" s="176" t="s">
        <v>4594</v>
      </c>
      <c r="F402" s="176" t="s">
        <v>87</v>
      </c>
      <c r="G402" s="176" t="s">
        <v>2334</v>
      </c>
      <c r="H402" s="176">
        <v>40</v>
      </c>
      <c r="I402" s="176">
        <v>39.799999999999997</v>
      </c>
      <c r="J402" s="176">
        <v>39.799999999999997</v>
      </c>
      <c r="K402" s="176">
        <v>5</v>
      </c>
      <c r="L402" s="176">
        <v>0</v>
      </c>
      <c r="M402" s="176" t="s">
        <v>148</v>
      </c>
      <c r="N402" s="176" t="s">
        <v>149</v>
      </c>
      <c r="O402" s="176" t="s">
        <v>150</v>
      </c>
      <c r="P402" s="176" t="s">
        <v>151</v>
      </c>
      <c r="Q402" s="176"/>
      <c r="R402" s="176" t="s">
        <v>4594</v>
      </c>
      <c r="S402" s="176"/>
      <c r="T402" s="176" t="s">
        <v>2741</v>
      </c>
      <c r="U402" s="176" t="s">
        <v>152</v>
      </c>
      <c r="V402" s="176" t="s">
        <v>23</v>
      </c>
    </row>
    <row r="403" spans="2:22" ht="12" customHeight="1">
      <c r="B403" s="211">
        <v>46241</v>
      </c>
      <c r="C403" s="211">
        <v>46241</v>
      </c>
      <c r="D403" s="176" t="s">
        <v>4595</v>
      </c>
      <c r="E403" s="176" t="s">
        <v>4596</v>
      </c>
      <c r="F403" s="176" t="s">
        <v>87</v>
      </c>
      <c r="G403" s="176" t="s">
        <v>2513</v>
      </c>
      <c r="H403" s="176">
        <v>25</v>
      </c>
      <c r="I403" s="176">
        <v>42.8</v>
      </c>
      <c r="J403" s="176">
        <v>42.8</v>
      </c>
      <c r="K403" s="176">
        <v>4</v>
      </c>
      <c r="L403" s="176">
        <v>0</v>
      </c>
      <c r="M403" s="176" t="s">
        <v>148</v>
      </c>
      <c r="N403" s="176" t="s">
        <v>149</v>
      </c>
      <c r="O403" s="176" t="s">
        <v>150</v>
      </c>
      <c r="P403" s="176" t="s">
        <v>151</v>
      </c>
      <c r="Q403" s="176"/>
      <c r="R403" s="176" t="s">
        <v>4596</v>
      </c>
      <c r="S403" s="176"/>
      <c r="T403" s="176" t="s">
        <v>2741</v>
      </c>
      <c r="U403" s="176" t="s">
        <v>152</v>
      </c>
      <c r="V403" s="176" t="s">
        <v>23</v>
      </c>
    </row>
    <row r="404" spans="2:22" ht="12" customHeight="1">
      <c r="B404" s="211">
        <v>46241</v>
      </c>
      <c r="C404" s="211">
        <v>46241</v>
      </c>
      <c r="D404" s="176" t="s">
        <v>4597</v>
      </c>
      <c r="E404" s="176" t="s">
        <v>4598</v>
      </c>
      <c r="F404" s="176" t="s">
        <v>87</v>
      </c>
      <c r="G404" s="176" t="s">
        <v>2513</v>
      </c>
      <c r="H404" s="176">
        <v>25</v>
      </c>
      <c r="I404" s="176">
        <v>40.6</v>
      </c>
      <c r="J404" s="176">
        <v>40.6</v>
      </c>
      <c r="K404" s="176">
        <v>4</v>
      </c>
      <c r="L404" s="176">
        <v>0</v>
      </c>
      <c r="M404" s="176" t="s">
        <v>148</v>
      </c>
      <c r="N404" s="176" t="s">
        <v>149</v>
      </c>
      <c r="O404" s="176" t="s">
        <v>150</v>
      </c>
      <c r="P404" s="176" t="s">
        <v>151</v>
      </c>
      <c r="Q404" s="176"/>
      <c r="R404" s="176" t="s">
        <v>4598</v>
      </c>
      <c r="S404" s="176"/>
      <c r="T404" s="176" t="s">
        <v>2741</v>
      </c>
      <c r="U404" s="176" t="s">
        <v>152</v>
      </c>
      <c r="V404" s="176" t="s">
        <v>23</v>
      </c>
    </row>
    <row r="405" spans="2:22" ht="12" customHeight="1">
      <c r="B405" s="211">
        <v>46241</v>
      </c>
      <c r="C405" s="211">
        <v>46241</v>
      </c>
      <c r="D405" s="176" t="s">
        <v>4599</v>
      </c>
      <c r="E405" s="176" t="s">
        <v>4600</v>
      </c>
      <c r="F405" s="176" t="s">
        <v>87</v>
      </c>
      <c r="G405" s="176" t="s">
        <v>1678</v>
      </c>
      <c r="H405" s="176">
        <v>30</v>
      </c>
      <c r="I405" s="176">
        <v>22.8</v>
      </c>
      <c r="J405" s="176">
        <v>22.8</v>
      </c>
      <c r="K405" s="176">
        <v>4</v>
      </c>
      <c r="L405" s="176">
        <v>0</v>
      </c>
      <c r="M405" s="176" t="s">
        <v>148</v>
      </c>
      <c r="N405" s="176" t="s">
        <v>149</v>
      </c>
      <c r="O405" s="176" t="s">
        <v>150</v>
      </c>
      <c r="P405" s="176" t="s">
        <v>151</v>
      </c>
      <c r="Q405" s="176"/>
      <c r="R405" s="176" t="s">
        <v>4600</v>
      </c>
      <c r="S405" s="176"/>
      <c r="T405" s="176" t="s">
        <v>2741</v>
      </c>
      <c r="U405" s="176" t="s">
        <v>152</v>
      </c>
      <c r="V405" s="176" t="s">
        <v>23</v>
      </c>
    </row>
    <row r="406" spans="2:22" ht="12" customHeight="1">
      <c r="B406" s="211">
        <v>46241</v>
      </c>
      <c r="C406" s="211">
        <v>46241</v>
      </c>
      <c r="D406" s="176" t="s">
        <v>4601</v>
      </c>
      <c r="E406" s="176" t="s">
        <v>4602</v>
      </c>
      <c r="F406" s="176" t="s">
        <v>87</v>
      </c>
      <c r="G406" s="176" t="s">
        <v>4335</v>
      </c>
      <c r="H406" s="176">
        <v>25</v>
      </c>
      <c r="I406" s="176">
        <v>34.799999999999997</v>
      </c>
      <c r="J406" s="176">
        <v>34.799999999999997</v>
      </c>
      <c r="K406" s="176">
        <v>4</v>
      </c>
      <c r="L406" s="176">
        <v>0</v>
      </c>
      <c r="M406" s="176" t="s">
        <v>148</v>
      </c>
      <c r="N406" s="176" t="s">
        <v>149</v>
      </c>
      <c r="O406" s="176" t="s">
        <v>150</v>
      </c>
      <c r="P406" s="176" t="s">
        <v>151</v>
      </c>
      <c r="Q406" s="176"/>
      <c r="R406" s="176" t="s">
        <v>4602</v>
      </c>
      <c r="S406" s="176"/>
      <c r="T406" s="176" t="s">
        <v>2741</v>
      </c>
      <c r="U406" s="176" t="s">
        <v>152</v>
      </c>
      <c r="V406" s="176" t="s">
        <v>23</v>
      </c>
    </row>
    <row r="407" spans="2:22" ht="12" customHeight="1">
      <c r="B407" s="211">
        <v>46241</v>
      </c>
      <c r="C407" s="211">
        <v>46241</v>
      </c>
      <c r="D407" s="176" t="s">
        <v>4603</v>
      </c>
      <c r="E407" s="176" t="s">
        <v>4604</v>
      </c>
      <c r="F407" s="176" t="s">
        <v>87</v>
      </c>
      <c r="G407" s="176" t="s">
        <v>4335</v>
      </c>
      <c r="H407" s="176">
        <v>25</v>
      </c>
      <c r="I407" s="176">
        <v>37.299999999999997</v>
      </c>
      <c r="J407" s="176">
        <v>37.299999999999997</v>
      </c>
      <c r="K407" s="176">
        <v>4</v>
      </c>
      <c r="L407" s="176">
        <v>0</v>
      </c>
      <c r="M407" s="176" t="s">
        <v>148</v>
      </c>
      <c r="N407" s="176" t="s">
        <v>149</v>
      </c>
      <c r="O407" s="176" t="s">
        <v>150</v>
      </c>
      <c r="P407" s="176" t="s">
        <v>151</v>
      </c>
      <c r="Q407" s="176"/>
      <c r="R407" s="176" t="s">
        <v>4604</v>
      </c>
      <c r="S407" s="176"/>
      <c r="T407" s="176" t="s">
        <v>2741</v>
      </c>
      <c r="U407" s="176" t="s">
        <v>152</v>
      </c>
      <c r="V407" s="176" t="s">
        <v>23</v>
      </c>
    </row>
    <row r="408" spans="2:22" ht="12" customHeight="1">
      <c r="B408" s="211">
        <v>46241</v>
      </c>
      <c r="C408" s="211">
        <v>46241</v>
      </c>
      <c r="D408" s="176" t="s">
        <v>4605</v>
      </c>
      <c r="E408" s="176" t="s">
        <v>4606</v>
      </c>
      <c r="F408" s="176" t="s">
        <v>87</v>
      </c>
      <c r="G408" s="176" t="s">
        <v>1678</v>
      </c>
      <c r="H408" s="176">
        <v>30</v>
      </c>
      <c r="I408" s="176">
        <v>38.4</v>
      </c>
      <c r="J408" s="176">
        <v>38.4</v>
      </c>
      <c r="K408" s="176">
        <v>4</v>
      </c>
      <c r="L408" s="176">
        <v>0</v>
      </c>
      <c r="M408" s="176" t="s">
        <v>148</v>
      </c>
      <c r="N408" s="176" t="s">
        <v>149</v>
      </c>
      <c r="O408" s="176" t="s">
        <v>150</v>
      </c>
      <c r="P408" s="176" t="s">
        <v>151</v>
      </c>
      <c r="Q408" s="176"/>
      <c r="R408" s="176" t="s">
        <v>4606</v>
      </c>
      <c r="S408" s="176"/>
      <c r="T408" s="176" t="s">
        <v>2741</v>
      </c>
      <c r="U408" s="176" t="s">
        <v>152</v>
      </c>
      <c r="V408" s="176" t="s">
        <v>23</v>
      </c>
    </row>
    <row r="409" spans="2:22" ht="12" customHeight="1">
      <c r="B409" s="211">
        <v>46241</v>
      </c>
      <c r="C409" s="211">
        <v>46241</v>
      </c>
      <c r="D409" s="176" t="s">
        <v>4607</v>
      </c>
      <c r="E409" s="176" t="s">
        <v>4608</v>
      </c>
      <c r="F409" s="176" t="s">
        <v>87</v>
      </c>
      <c r="G409" s="176" t="s">
        <v>2357</v>
      </c>
      <c r="H409" s="176">
        <v>40</v>
      </c>
      <c r="I409" s="176">
        <v>40.700000000000003</v>
      </c>
      <c r="J409" s="176">
        <v>40.700000000000003</v>
      </c>
      <c r="K409" s="176">
        <v>5</v>
      </c>
      <c r="L409" s="176">
        <v>0</v>
      </c>
      <c r="M409" s="176" t="s">
        <v>148</v>
      </c>
      <c r="N409" s="176" t="s">
        <v>149</v>
      </c>
      <c r="O409" s="176" t="s">
        <v>150</v>
      </c>
      <c r="P409" s="176" t="s">
        <v>151</v>
      </c>
      <c r="Q409" s="176"/>
      <c r="R409" s="176" t="s">
        <v>4608</v>
      </c>
      <c r="S409" s="176"/>
      <c r="T409" s="176" t="s">
        <v>2741</v>
      </c>
      <c r="U409" s="176" t="s">
        <v>152</v>
      </c>
      <c r="V409" s="176" t="s">
        <v>23</v>
      </c>
    </row>
    <row r="410" spans="2:22" ht="12" customHeight="1">
      <c r="B410" s="211">
        <v>46241</v>
      </c>
      <c r="C410" s="211">
        <v>46241</v>
      </c>
      <c r="D410" s="176" t="s">
        <v>4609</v>
      </c>
      <c r="E410" s="176" t="s">
        <v>4610</v>
      </c>
      <c r="F410" s="176" t="s">
        <v>87</v>
      </c>
      <c r="G410" s="176" t="s">
        <v>2334</v>
      </c>
      <c r="H410" s="176">
        <v>40</v>
      </c>
      <c r="I410" s="176">
        <v>22.5</v>
      </c>
      <c r="J410" s="176">
        <v>22.5</v>
      </c>
      <c r="K410" s="176">
        <v>5</v>
      </c>
      <c r="L410" s="176">
        <v>0</v>
      </c>
      <c r="M410" s="176" t="s">
        <v>148</v>
      </c>
      <c r="N410" s="176" t="s">
        <v>149</v>
      </c>
      <c r="O410" s="176" t="s">
        <v>150</v>
      </c>
      <c r="P410" s="176" t="s">
        <v>151</v>
      </c>
      <c r="Q410" s="176"/>
      <c r="R410" s="176" t="s">
        <v>4610</v>
      </c>
      <c r="S410" s="176"/>
      <c r="T410" s="176" t="s">
        <v>2741</v>
      </c>
      <c r="U410" s="176" t="s">
        <v>152</v>
      </c>
      <c r="V410" s="176" t="s">
        <v>23</v>
      </c>
    </row>
    <row r="411" spans="2:22" ht="12" customHeight="1">
      <c r="B411" s="211">
        <v>46241</v>
      </c>
      <c r="C411" s="211">
        <v>46241</v>
      </c>
      <c r="D411" s="176" t="s">
        <v>4611</v>
      </c>
      <c r="E411" s="176" t="s">
        <v>4612</v>
      </c>
      <c r="F411" s="176" t="s">
        <v>87</v>
      </c>
      <c r="G411" s="176" t="s">
        <v>2357</v>
      </c>
      <c r="H411" s="176">
        <v>40</v>
      </c>
      <c r="I411" s="176">
        <v>38.200000000000003</v>
      </c>
      <c r="J411" s="176">
        <v>38.200000000000003</v>
      </c>
      <c r="K411" s="176">
        <v>5</v>
      </c>
      <c r="L411" s="176">
        <v>0</v>
      </c>
      <c r="M411" s="176" t="s">
        <v>148</v>
      </c>
      <c r="N411" s="176" t="s">
        <v>149</v>
      </c>
      <c r="O411" s="176" t="s">
        <v>150</v>
      </c>
      <c r="P411" s="176" t="s">
        <v>151</v>
      </c>
      <c r="Q411" s="176"/>
      <c r="R411" s="176" t="s">
        <v>4612</v>
      </c>
      <c r="S411" s="176"/>
      <c r="T411" s="176" t="s">
        <v>2741</v>
      </c>
      <c r="U411" s="176" t="s">
        <v>152</v>
      </c>
      <c r="V411" s="176" t="s">
        <v>23</v>
      </c>
    </row>
    <row r="412" spans="2:22" ht="12" customHeight="1">
      <c r="B412" s="211">
        <v>46241</v>
      </c>
      <c r="C412" s="211">
        <v>46241</v>
      </c>
      <c r="D412" s="176" t="s">
        <v>4613</v>
      </c>
      <c r="E412" s="176" t="s">
        <v>4614</v>
      </c>
      <c r="F412" s="176" t="s">
        <v>87</v>
      </c>
      <c r="G412" s="176" t="s">
        <v>2334</v>
      </c>
      <c r="H412" s="176">
        <v>40</v>
      </c>
      <c r="I412" s="176">
        <v>34.200000000000003</v>
      </c>
      <c r="J412" s="176">
        <v>34.200000000000003</v>
      </c>
      <c r="K412" s="176">
        <v>5</v>
      </c>
      <c r="L412" s="176">
        <v>0</v>
      </c>
      <c r="M412" s="176" t="s">
        <v>148</v>
      </c>
      <c r="N412" s="176" t="s">
        <v>149</v>
      </c>
      <c r="O412" s="176" t="s">
        <v>150</v>
      </c>
      <c r="P412" s="176" t="s">
        <v>151</v>
      </c>
      <c r="Q412" s="176"/>
      <c r="R412" s="176" t="s">
        <v>4614</v>
      </c>
      <c r="S412" s="176"/>
      <c r="T412" s="176" t="s">
        <v>2741</v>
      </c>
      <c r="U412" s="176" t="s">
        <v>152</v>
      </c>
      <c r="V412" s="176" t="s">
        <v>23</v>
      </c>
    </row>
    <row r="413" spans="2:22" ht="12" customHeight="1">
      <c r="B413" s="211">
        <v>46241</v>
      </c>
      <c r="C413" s="211">
        <v>46241</v>
      </c>
      <c r="D413" s="176" t="s">
        <v>4615</v>
      </c>
      <c r="E413" s="176" t="s">
        <v>4616</v>
      </c>
      <c r="F413" s="176" t="s">
        <v>87</v>
      </c>
      <c r="G413" s="176" t="s">
        <v>1966</v>
      </c>
      <c r="H413" s="176">
        <v>6</v>
      </c>
      <c r="I413" s="176">
        <v>13.8</v>
      </c>
      <c r="J413" s="176">
        <v>13.8</v>
      </c>
      <c r="K413" s="176">
        <v>1.5</v>
      </c>
      <c r="L413" s="176">
        <v>0</v>
      </c>
      <c r="M413" s="176" t="s">
        <v>148</v>
      </c>
      <c r="N413" s="176" t="s">
        <v>149</v>
      </c>
      <c r="O413" s="176" t="s">
        <v>150</v>
      </c>
      <c r="P413" s="176" t="s">
        <v>151</v>
      </c>
      <c r="Q413" s="176"/>
      <c r="R413" s="176" t="s">
        <v>4616</v>
      </c>
      <c r="S413" s="176"/>
      <c r="T413" s="176" t="s">
        <v>2741</v>
      </c>
      <c r="U413" s="176" t="s">
        <v>152</v>
      </c>
      <c r="V413" s="176" t="s">
        <v>23</v>
      </c>
    </row>
    <row r="414" spans="2:22" ht="12" customHeight="1">
      <c r="B414" s="211">
        <v>46241</v>
      </c>
      <c r="C414" s="211">
        <v>46241</v>
      </c>
      <c r="D414" s="176" t="s">
        <v>4617</v>
      </c>
      <c r="E414" s="176" t="s">
        <v>4618</v>
      </c>
      <c r="F414" s="176" t="s">
        <v>87</v>
      </c>
      <c r="G414" s="176" t="s">
        <v>4335</v>
      </c>
      <c r="H414" s="176">
        <v>25</v>
      </c>
      <c r="I414" s="176">
        <v>41.6</v>
      </c>
      <c r="J414" s="176">
        <v>41.6</v>
      </c>
      <c r="K414" s="176">
        <v>4</v>
      </c>
      <c r="L414" s="176">
        <v>0</v>
      </c>
      <c r="M414" s="176" t="s">
        <v>148</v>
      </c>
      <c r="N414" s="176" t="s">
        <v>149</v>
      </c>
      <c r="O414" s="176" t="s">
        <v>150</v>
      </c>
      <c r="P414" s="176" t="s">
        <v>151</v>
      </c>
      <c r="Q414" s="176"/>
      <c r="R414" s="176" t="s">
        <v>4618</v>
      </c>
      <c r="S414" s="176"/>
      <c r="T414" s="176" t="s">
        <v>2741</v>
      </c>
      <c r="U414" s="176" t="s">
        <v>152</v>
      </c>
      <c r="V414" s="176" t="s">
        <v>23</v>
      </c>
    </row>
    <row r="415" spans="2:22" ht="12" customHeight="1">
      <c r="B415" s="211">
        <v>46241</v>
      </c>
      <c r="C415" s="211">
        <v>46241</v>
      </c>
      <c r="D415" s="176" t="s">
        <v>4619</v>
      </c>
      <c r="E415" s="176" t="s">
        <v>4620</v>
      </c>
      <c r="F415" s="176" t="s">
        <v>87</v>
      </c>
      <c r="G415" s="176" t="s">
        <v>2357</v>
      </c>
      <c r="H415" s="176">
        <v>40</v>
      </c>
      <c r="I415" s="176">
        <v>25.8</v>
      </c>
      <c r="J415" s="176">
        <v>25.8</v>
      </c>
      <c r="K415" s="176">
        <v>5</v>
      </c>
      <c r="L415" s="176">
        <v>0</v>
      </c>
      <c r="M415" s="176" t="s">
        <v>148</v>
      </c>
      <c r="N415" s="176" t="s">
        <v>149</v>
      </c>
      <c r="O415" s="176" t="s">
        <v>150</v>
      </c>
      <c r="P415" s="176" t="s">
        <v>151</v>
      </c>
      <c r="Q415" s="176"/>
      <c r="R415" s="176" t="s">
        <v>4620</v>
      </c>
      <c r="S415" s="176"/>
      <c r="T415" s="176" t="s">
        <v>2741</v>
      </c>
      <c r="U415" s="176" t="s">
        <v>152</v>
      </c>
      <c r="V415" s="176" t="s">
        <v>23</v>
      </c>
    </row>
    <row r="416" spans="2:22" ht="12" customHeight="1">
      <c r="B416" s="211">
        <v>46242</v>
      </c>
      <c r="C416" s="211">
        <v>46242</v>
      </c>
      <c r="D416" s="176" t="s">
        <v>4621</v>
      </c>
      <c r="E416" s="176" t="s">
        <v>4622</v>
      </c>
      <c r="F416" s="176" t="s">
        <v>87</v>
      </c>
      <c r="G416" s="176" t="s">
        <v>4335</v>
      </c>
      <c r="H416" s="176">
        <v>25</v>
      </c>
      <c r="I416" s="176">
        <v>37.799999999999997</v>
      </c>
      <c r="J416" s="176">
        <v>37.799999999999997</v>
      </c>
      <c r="K416" s="176">
        <v>4</v>
      </c>
      <c r="L416" s="176">
        <v>0</v>
      </c>
      <c r="M416" s="176" t="s">
        <v>148</v>
      </c>
      <c r="N416" s="176" t="s">
        <v>149</v>
      </c>
      <c r="O416" s="176" t="s">
        <v>150</v>
      </c>
      <c r="P416" s="176" t="s">
        <v>151</v>
      </c>
      <c r="Q416" s="176"/>
      <c r="R416" s="176" t="s">
        <v>4622</v>
      </c>
      <c r="S416" s="176"/>
      <c r="T416" s="176" t="s">
        <v>2755</v>
      </c>
      <c r="U416" s="176" t="s">
        <v>152</v>
      </c>
      <c r="V416" s="176" t="s">
        <v>23</v>
      </c>
    </row>
    <row r="417" spans="2:22" ht="12" customHeight="1">
      <c r="B417" s="211">
        <v>46242</v>
      </c>
      <c r="C417" s="211">
        <v>46242</v>
      </c>
      <c r="D417" s="176" t="s">
        <v>4623</v>
      </c>
      <c r="E417" s="176" t="s">
        <v>4624</v>
      </c>
      <c r="F417" s="176" t="s">
        <v>87</v>
      </c>
      <c r="G417" s="176" t="s">
        <v>2357</v>
      </c>
      <c r="H417" s="176">
        <v>40</v>
      </c>
      <c r="I417" s="176">
        <v>29.8</v>
      </c>
      <c r="J417" s="176">
        <v>29.8</v>
      </c>
      <c r="K417" s="176">
        <v>5</v>
      </c>
      <c r="L417" s="176">
        <v>0</v>
      </c>
      <c r="M417" s="176" t="s">
        <v>148</v>
      </c>
      <c r="N417" s="176" t="s">
        <v>149</v>
      </c>
      <c r="O417" s="176" t="s">
        <v>150</v>
      </c>
      <c r="P417" s="176" t="s">
        <v>151</v>
      </c>
      <c r="Q417" s="176"/>
      <c r="R417" s="176" t="s">
        <v>4624</v>
      </c>
      <c r="S417" s="176"/>
      <c r="T417" s="176" t="s">
        <v>2755</v>
      </c>
      <c r="U417" s="176" t="s">
        <v>152</v>
      </c>
      <c r="V417" s="176" t="s">
        <v>23</v>
      </c>
    </row>
    <row r="418" spans="2:22" ht="12" customHeight="1">
      <c r="B418" s="211">
        <v>46242</v>
      </c>
      <c r="C418" s="211">
        <v>46242</v>
      </c>
      <c r="D418" s="176" t="s">
        <v>4625</v>
      </c>
      <c r="E418" s="176" t="s">
        <v>4626</v>
      </c>
      <c r="F418" s="176" t="s">
        <v>87</v>
      </c>
      <c r="G418" s="176" t="s">
        <v>2357</v>
      </c>
      <c r="H418" s="176">
        <v>40</v>
      </c>
      <c r="I418" s="176">
        <v>38.200000000000003</v>
      </c>
      <c r="J418" s="176">
        <v>38.200000000000003</v>
      </c>
      <c r="K418" s="176">
        <v>5</v>
      </c>
      <c r="L418" s="176">
        <v>0</v>
      </c>
      <c r="M418" s="176" t="s">
        <v>148</v>
      </c>
      <c r="N418" s="176" t="s">
        <v>149</v>
      </c>
      <c r="O418" s="176" t="s">
        <v>150</v>
      </c>
      <c r="P418" s="176" t="s">
        <v>151</v>
      </c>
      <c r="Q418" s="176"/>
      <c r="R418" s="176" t="s">
        <v>4626</v>
      </c>
      <c r="S418" s="176"/>
      <c r="T418" s="176" t="s">
        <v>2755</v>
      </c>
      <c r="U418" s="176" t="s">
        <v>152</v>
      </c>
      <c r="V418" s="176" t="s">
        <v>23</v>
      </c>
    </row>
    <row r="419" spans="2:22" ht="12" customHeight="1">
      <c r="B419" s="211">
        <v>46242</v>
      </c>
      <c r="C419" s="211">
        <v>46242</v>
      </c>
      <c r="D419" s="176" t="s">
        <v>4627</v>
      </c>
      <c r="E419" s="176" t="s">
        <v>4628</v>
      </c>
      <c r="F419" s="176" t="s">
        <v>87</v>
      </c>
      <c r="G419" s="176" t="s">
        <v>2334</v>
      </c>
      <c r="H419" s="176">
        <v>40</v>
      </c>
      <c r="I419" s="176">
        <v>35.200000000000003</v>
      </c>
      <c r="J419" s="176">
        <v>35.200000000000003</v>
      </c>
      <c r="K419" s="176">
        <v>5</v>
      </c>
      <c r="L419" s="176">
        <v>0</v>
      </c>
      <c r="M419" s="176" t="s">
        <v>148</v>
      </c>
      <c r="N419" s="176" t="s">
        <v>149</v>
      </c>
      <c r="O419" s="176" t="s">
        <v>150</v>
      </c>
      <c r="P419" s="176" t="s">
        <v>151</v>
      </c>
      <c r="Q419" s="176"/>
      <c r="R419" s="176" t="s">
        <v>4628</v>
      </c>
      <c r="S419" s="176"/>
      <c r="T419" s="176" t="s">
        <v>2755</v>
      </c>
      <c r="U419" s="176" t="s">
        <v>152</v>
      </c>
      <c r="V419" s="176" t="s">
        <v>23</v>
      </c>
    </row>
    <row r="420" spans="2:22" ht="12" customHeight="1">
      <c r="B420" s="211">
        <v>46242</v>
      </c>
      <c r="C420" s="211">
        <v>46242</v>
      </c>
      <c r="D420" s="176" t="s">
        <v>4629</v>
      </c>
      <c r="E420" s="176" t="s">
        <v>4630</v>
      </c>
      <c r="F420" s="176" t="s">
        <v>87</v>
      </c>
      <c r="G420" s="176" t="s">
        <v>2513</v>
      </c>
      <c r="H420" s="176">
        <v>25</v>
      </c>
      <c r="I420" s="176">
        <v>43</v>
      </c>
      <c r="J420" s="176">
        <v>43</v>
      </c>
      <c r="K420" s="176">
        <v>4</v>
      </c>
      <c r="L420" s="176">
        <v>0</v>
      </c>
      <c r="M420" s="176" t="s">
        <v>148</v>
      </c>
      <c r="N420" s="176" t="s">
        <v>149</v>
      </c>
      <c r="O420" s="176" t="s">
        <v>150</v>
      </c>
      <c r="P420" s="176" t="s">
        <v>151</v>
      </c>
      <c r="Q420" s="176"/>
      <c r="R420" s="176" t="s">
        <v>4630</v>
      </c>
      <c r="S420" s="176"/>
      <c r="T420" s="176" t="s">
        <v>2755</v>
      </c>
      <c r="U420" s="176" t="s">
        <v>152</v>
      </c>
      <c r="V420" s="176" t="s">
        <v>23</v>
      </c>
    </row>
    <row r="421" spans="2:22" ht="12" customHeight="1">
      <c r="B421" s="211">
        <v>46242</v>
      </c>
      <c r="C421" s="211">
        <v>46242</v>
      </c>
      <c r="D421" s="176" t="s">
        <v>4631</v>
      </c>
      <c r="E421" s="176" t="s">
        <v>4632</v>
      </c>
      <c r="F421" s="176" t="s">
        <v>87</v>
      </c>
      <c r="G421" s="176" t="s">
        <v>4335</v>
      </c>
      <c r="H421" s="176">
        <v>25</v>
      </c>
      <c r="I421" s="176">
        <v>31.8</v>
      </c>
      <c r="J421" s="176">
        <v>31.8</v>
      </c>
      <c r="K421" s="176">
        <v>4</v>
      </c>
      <c r="L421" s="176">
        <v>0</v>
      </c>
      <c r="M421" s="176" t="s">
        <v>148</v>
      </c>
      <c r="N421" s="176" t="s">
        <v>149</v>
      </c>
      <c r="O421" s="176" t="s">
        <v>150</v>
      </c>
      <c r="P421" s="176" t="s">
        <v>151</v>
      </c>
      <c r="Q421" s="176"/>
      <c r="R421" s="176" t="s">
        <v>4632</v>
      </c>
      <c r="S421" s="176"/>
      <c r="T421" s="176" t="s">
        <v>2755</v>
      </c>
      <c r="U421" s="176" t="s">
        <v>152</v>
      </c>
      <c r="V421" s="176" t="s">
        <v>23</v>
      </c>
    </row>
    <row r="422" spans="2:22" ht="12" customHeight="1">
      <c r="B422" s="211">
        <v>46242</v>
      </c>
      <c r="C422" s="211">
        <v>46242</v>
      </c>
      <c r="D422" s="176" t="s">
        <v>4633</v>
      </c>
      <c r="E422" s="176" t="s">
        <v>4634</v>
      </c>
      <c r="F422" s="176" t="s">
        <v>87</v>
      </c>
      <c r="G422" s="176" t="s">
        <v>4635</v>
      </c>
      <c r="H422" s="176">
        <v>30</v>
      </c>
      <c r="I422" s="176">
        <v>24.3</v>
      </c>
      <c r="J422" s="176">
        <v>24.3</v>
      </c>
      <c r="K422" s="176">
        <v>4</v>
      </c>
      <c r="L422" s="176">
        <v>0</v>
      </c>
      <c r="M422" s="176" t="s">
        <v>148</v>
      </c>
      <c r="N422" s="176" t="s">
        <v>149</v>
      </c>
      <c r="O422" s="176" t="s">
        <v>150</v>
      </c>
      <c r="P422" s="176" t="s">
        <v>151</v>
      </c>
      <c r="Q422" s="176"/>
      <c r="R422" s="176" t="s">
        <v>4634</v>
      </c>
      <c r="S422" s="176"/>
      <c r="T422" s="176" t="s">
        <v>2755</v>
      </c>
      <c r="U422" s="176" t="s">
        <v>152</v>
      </c>
      <c r="V422" s="176" t="s">
        <v>23</v>
      </c>
    </row>
    <row r="423" spans="2:22" ht="12" customHeight="1">
      <c r="B423" s="211">
        <v>46242</v>
      </c>
      <c r="C423" s="211">
        <v>46242</v>
      </c>
      <c r="D423" s="176" t="s">
        <v>4636</v>
      </c>
      <c r="E423" s="176" t="s">
        <v>4637</v>
      </c>
      <c r="F423" s="176" t="s">
        <v>87</v>
      </c>
      <c r="G423" s="176" t="s">
        <v>4512</v>
      </c>
      <c r="H423" s="176">
        <v>55</v>
      </c>
      <c r="I423" s="176">
        <v>32.799999999999997</v>
      </c>
      <c r="J423" s="176">
        <v>32.799999999999997</v>
      </c>
      <c r="K423" s="176">
        <v>5</v>
      </c>
      <c r="L423" s="176">
        <v>0</v>
      </c>
      <c r="M423" s="176" t="s">
        <v>148</v>
      </c>
      <c r="N423" s="176" t="s">
        <v>149</v>
      </c>
      <c r="O423" s="176" t="s">
        <v>150</v>
      </c>
      <c r="P423" s="176" t="s">
        <v>151</v>
      </c>
      <c r="Q423" s="176"/>
      <c r="R423" s="176" t="s">
        <v>4637</v>
      </c>
      <c r="S423" s="176"/>
      <c r="T423" s="176" t="s">
        <v>2755</v>
      </c>
      <c r="U423" s="176" t="s">
        <v>152</v>
      </c>
      <c r="V423" s="176" t="s">
        <v>23</v>
      </c>
    </row>
    <row r="424" spans="2:22" ht="12" customHeight="1">
      <c r="B424" s="211">
        <v>46242</v>
      </c>
      <c r="C424" s="211">
        <v>46242</v>
      </c>
      <c r="D424" s="176" t="s">
        <v>4638</v>
      </c>
      <c r="E424" s="176" t="s">
        <v>4639</v>
      </c>
      <c r="F424" s="176" t="s">
        <v>87</v>
      </c>
      <c r="G424" s="176" t="s">
        <v>4512</v>
      </c>
      <c r="H424" s="176">
        <v>55</v>
      </c>
      <c r="I424" s="176">
        <v>41</v>
      </c>
      <c r="J424" s="176">
        <v>41</v>
      </c>
      <c r="K424" s="176">
        <v>5</v>
      </c>
      <c r="L424" s="176">
        <v>0</v>
      </c>
      <c r="M424" s="176" t="s">
        <v>148</v>
      </c>
      <c r="N424" s="176" t="s">
        <v>149</v>
      </c>
      <c r="O424" s="176" t="s">
        <v>150</v>
      </c>
      <c r="P424" s="176" t="s">
        <v>151</v>
      </c>
      <c r="Q424" s="176"/>
      <c r="R424" s="176" t="s">
        <v>4639</v>
      </c>
      <c r="S424" s="176"/>
      <c r="T424" s="176" t="s">
        <v>2755</v>
      </c>
      <c r="U424" s="176" t="s">
        <v>152</v>
      </c>
      <c r="V424" s="176" t="s">
        <v>23</v>
      </c>
    </row>
    <row r="425" spans="2:22" ht="12" customHeight="1">
      <c r="B425" s="211">
        <v>46242</v>
      </c>
      <c r="C425" s="211">
        <v>46242</v>
      </c>
      <c r="D425" s="176" t="s">
        <v>4640</v>
      </c>
      <c r="E425" s="176" t="s">
        <v>4641</v>
      </c>
      <c r="F425" s="176" t="s">
        <v>87</v>
      </c>
      <c r="G425" s="176" t="s">
        <v>1678</v>
      </c>
      <c r="H425" s="176">
        <v>30</v>
      </c>
      <c r="I425" s="176">
        <v>38.299999999999997</v>
      </c>
      <c r="J425" s="176">
        <v>38.299999999999997</v>
      </c>
      <c r="K425" s="176">
        <v>4</v>
      </c>
      <c r="L425" s="176">
        <v>0</v>
      </c>
      <c r="M425" s="176" t="s">
        <v>148</v>
      </c>
      <c r="N425" s="176" t="s">
        <v>149</v>
      </c>
      <c r="O425" s="176" t="s">
        <v>150</v>
      </c>
      <c r="P425" s="176" t="s">
        <v>151</v>
      </c>
      <c r="Q425" s="176"/>
      <c r="R425" s="176" t="s">
        <v>4641</v>
      </c>
      <c r="S425" s="176"/>
      <c r="T425" s="176" t="s">
        <v>2755</v>
      </c>
      <c r="U425" s="176" t="s">
        <v>152</v>
      </c>
      <c r="V425" s="176" t="s">
        <v>23</v>
      </c>
    </row>
    <row r="426" spans="2:22" ht="12" customHeight="1">
      <c r="B426" s="211">
        <v>46242</v>
      </c>
      <c r="C426" s="211">
        <v>46242</v>
      </c>
      <c r="D426" s="176" t="s">
        <v>4642</v>
      </c>
      <c r="E426" s="176" t="s">
        <v>4643</v>
      </c>
      <c r="F426" s="176" t="s">
        <v>87</v>
      </c>
      <c r="G426" s="176" t="s">
        <v>2357</v>
      </c>
      <c r="H426" s="176">
        <v>40</v>
      </c>
      <c r="I426" s="176">
        <v>39.200000000000003</v>
      </c>
      <c r="J426" s="176">
        <v>39.200000000000003</v>
      </c>
      <c r="K426" s="176">
        <v>5</v>
      </c>
      <c r="L426" s="176">
        <v>0</v>
      </c>
      <c r="M426" s="176" t="s">
        <v>148</v>
      </c>
      <c r="N426" s="176" t="s">
        <v>149</v>
      </c>
      <c r="O426" s="176" t="s">
        <v>150</v>
      </c>
      <c r="P426" s="176" t="s">
        <v>151</v>
      </c>
      <c r="Q426" s="176"/>
      <c r="R426" s="176" t="s">
        <v>4643</v>
      </c>
      <c r="S426" s="176"/>
      <c r="T426" s="176" t="s">
        <v>2755</v>
      </c>
      <c r="U426" s="176" t="s">
        <v>152</v>
      </c>
      <c r="V426" s="176" t="s">
        <v>23</v>
      </c>
    </row>
    <row r="427" spans="2:22" ht="12" customHeight="1">
      <c r="B427" s="211">
        <v>46242</v>
      </c>
      <c r="C427" s="211">
        <v>46242</v>
      </c>
      <c r="D427" s="176" t="s">
        <v>4644</v>
      </c>
      <c r="E427" s="176" t="s">
        <v>4645</v>
      </c>
      <c r="F427" s="176" t="s">
        <v>87</v>
      </c>
      <c r="G427" s="176" t="s">
        <v>2513</v>
      </c>
      <c r="H427" s="176">
        <v>25</v>
      </c>
      <c r="I427" s="176">
        <v>35.799999999999997</v>
      </c>
      <c r="J427" s="176">
        <v>35.799999999999997</v>
      </c>
      <c r="K427" s="176">
        <v>4</v>
      </c>
      <c r="L427" s="176">
        <v>0</v>
      </c>
      <c r="M427" s="176" t="s">
        <v>148</v>
      </c>
      <c r="N427" s="176" t="s">
        <v>149</v>
      </c>
      <c r="O427" s="176" t="s">
        <v>150</v>
      </c>
      <c r="P427" s="176" t="s">
        <v>151</v>
      </c>
      <c r="Q427" s="176"/>
      <c r="R427" s="176" t="s">
        <v>4645</v>
      </c>
      <c r="S427" s="176"/>
      <c r="T427" s="176" t="s">
        <v>2755</v>
      </c>
      <c r="U427" s="176" t="s">
        <v>152</v>
      </c>
      <c r="V427" s="176" t="s">
        <v>23</v>
      </c>
    </row>
    <row r="428" spans="2:22" ht="12" customHeight="1">
      <c r="B428" s="211">
        <v>46242</v>
      </c>
      <c r="C428" s="211">
        <v>46242</v>
      </c>
      <c r="D428" s="176" t="s">
        <v>4646</v>
      </c>
      <c r="E428" s="176" t="s">
        <v>4647</v>
      </c>
      <c r="F428" s="176" t="s">
        <v>87</v>
      </c>
      <c r="G428" s="176" t="s">
        <v>2513</v>
      </c>
      <c r="H428" s="176">
        <v>25</v>
      </c>
      <c r="I428" s="176">
        <v>29.8</v>
      </c>
      <c r="J428" s="176">
        <v>29.8</v>
      </c>
      <c r="K428" s="176">
        <v>4</v>
      </c>
      <c r="L428" s="176">
        <v>0</v>
      </c>
      <c r="M428" s="176" t="s">
        <v>148</v>
      </c>
      <c r="N428" s="176" t="s">
        <v>149</v>
      </c>
      <c r="O428" s="176" t="s">
        <v>150</v>
      </c>
      <c r="P428" s="176" t="s">
        <v>151</v>
      </c>
      <c r="Q428" s="176"/>
      <c r="R428" s="176" t="s">
        <v>4647</v>
      </c>
      <c r="S428" s="176"/>
      <c r="T428" s="176" t="s">
        <v>2755</v>
      </c>
      <c r="U428" s="176" t="s">
        <v>152</v>
      </c>
      <c r="V428" s="176" t="s">
        <v>23</v>
      </c>
    </row>
    <row r="429" spans="2:22" ht="12" customHeight="1">
      <c r="B429" s="211">
        <v>46242</v>
      </c>
      <c r="C429" s="211">
        <v>46242</v>
      </c>
      <c r="D429" s="176" t="s">
        <v>4648</v>
      </c>
      <c r="E429" s="176" t="s">
        <v>4649</v>
      </c>
      <c r="F429" s="176" t="s">
        <v>87</v>
      </c>
      <c r="G429" s="176" t="s">
        <v>4512</v>
      </c>
      <c r="H429" s="176">
        <v>55</v>
      </c>
      <c r="I429" s="176">
        <v>29.3</v>
      </c>
      <c r="J429" s="176">
        <v>29.3</v>
      </c>
      <c r="K429" s="176">
        <v>5</v>
      </c>
      <c r="L429" s="176">
        <v>0</v>
      </c>
      <c r="M429" s="176" t="s">
        <v>148</v>
      </c>
      <c r="N429" s="176" t="s">
        <v>149</v>
      </c>
      <c r="O429" s="176" t="s">
        <v>150</v>
      </c>
      <c r="P429" s="176" t="s">
        <v>151</v>
      </c>
      <c r="Q429" s="176"/>
      <c r="R429" s="176" t="s">
        <v>4649</v>
      </c>
      <c r="S429" s="176"/>
      <c r="T429" s="176" t="s">
        <v>2755</v>
      </c>
      <c r="U429" s="176" t="s">
        <v>152</v>
      </c>
      <c r="V429" s="176" t="s">
        <v>23</v>
      </c>
    </row>
    <row r="430" spans="2:22" ht="12" customHeight="1">
      <c r="B430" s="211">
        <v>46242</v>
      </c>
      <c r="C430" s="211">
        <v>46242</v>
      </c>
      <c r="D430" s="176" t="s">
        <v>4650</v>
      </c>
      <c r="E430" s="176" t="s">
        <v>4651</v>
      </c>
      <c r="F430" s="176" t="s">
        <v>87</v>
      </c>
      <c r="G430" s="176" t="s">
        <v>2334</v>
      </c>
      <c r="H430" s="176">
        <v>40</v>
      </c>
      <c r="I430" s="176">
        <v>34.5</v>
      </c>
      <c r="J430" s="176">
        <v>34.5</v>
      </c>
      <c r="K430" s="176">
        <v>5</v>
      </c>
      <c r="L430" s="176">
        <v>0</v>
      </c>
      <c r="M430" s="176" t="s">
        <v>148</v>
      </c>
      <c r="N430" s="176" t="s">
        <v>149</v>
      </c>
      <c r="O430" s="176" t="s">
        <v>150</v>
      </c>
      <c r="P430" s="176" t="s">
        <v>151</v>
      </c>
      <c r="Q430" s="176"/>
      <c r="R430" s="176" t="s">
        <v>4651</v>
      </c>
      <c r="S430" s="176"/>
      <c r="T430" s="176" t="s">
        <v>2755</v>
      </c>
      <c r="U430" s="176" t="s">
        <v>152</v>
      </c>
      <c r="V430" s="176" t="s">
        <v>23</v>
      </c>
    </row>
    <row r="431" spans="2:22" ht="12" customHeight="1">
      <c r="B431" s="211">
        <v>46242</v>
      </c>
      <c r="C431" s="211">
        <v>46242</v>
      </c>
      <c r="D431" s="176" t="s">
        <v>4652</v>
      </c>
      <c r="E431" s="176" t="s">
        <v>4653</v>
      </c>
      <c r="F431" s="176" t="s">
        <v>87</v>
      </c>
      <c r="G431" s="176" t="s">
        <v>2357</v>
      </c>
      <c r="H431" s="176">
        <v>40</v>
      </c>
      <c r="I431" s="176">
        <v>30.4</v>
      </c>
      <c r="J431" s="176">
        <v>30.4</v>
      </c>
      <c r="K431" s="176">
        <v>5</v>
      </c>
      <c r="L431" s="176">
        <v>0</v>
      </c>
      <c r="M431" s="176" t="s">
        <v>148</v>
      </c>
      <c r="N431" s="176" t="s">
        <v>149</v>
      </c>
      <c r="O431" s="176" t="s">
        <v>150</v>
      </c>
      <c r="P431" s="176" t="s">
        <v>151</v>
      </c>
      <c r="Q431" s="176"/>
      <c r="R431" s="176" t="s">
        <v>4653</v>
      </c>
      <c r="S431" s="176"/>
      <c r="T431" s="176" t="s">
        <v>2755</v>
      </c>
      <c r="U431" s="176" t="s">
        <v>152</v>
      </c>
      <c r="V431" s="176" t="s">
        <v>23</v>
      </c>
    </row>
    <row r="432" spans="2:22" ht="12" customHeight="1">
      <c r="B432" s="211">
        <v>46242</v>
      </c>
      <c r="C432" s="211">
        <v>46242</v>
      </c>
      <c r="D432" s="176" t="s">
        <v>4654</v>
      </c>
      <c r="E432" s="176" t="s">
        <v>4655</v>
      </c>
      <c r="F432" s="176" t="s">
        <v>87</v>
      </c>
      <c r="G432" s="176" t="s">
        <v>2078</v>
      </c>
      <c r="H432" s="176">
        <v>6</v>
      </c>
      <c r="I432" s="176">
        <v>34.200000000000003</v>
      </c>
      <c r="J432" s="176">
        <v>34.200000000000003</v>
      </c>
      <c r="K432" s="176">
        <v>1.5</v>
      </c>
      <c r="L432" s="176">
        <v>0</v>
      </c>
      <c r="M432" s="176" t="s">
        <v>148</v>
      </c>
      <c r="N432" s="176" t="s">
        <v>149</v>
      </c>
      <c r="O432" s="176" t="s">
        <v>150</v>
      </c>
      <c r="P432" s="176" t="s">
        <v>151</v>
      </c>
      <c r="Q432" s="176"/>
      <c r="R432" s="176" t="s">
        <v>4655</v>
      </c>
      <c r="S432" s="176"/>
      <c r="T432" s="176" t="s">
        <v>2755</v>
      </c>
      <c r="U432" s="176" t="s">
        <v>152</v>
      </c>
      <c r="V432" s="176" t="s">
        <v>23</v>
      </c>
    </row>
    <row r="433" spans="2:22" ht="12" customHeight="1">
      <c r="B433" s="211">
        <v>46242</v>
      </c>
      <c r="C433" s="211">
        <v>46242</v>
      </c>
      <c r="D433" s="176" t="s">
        <v>4656</v>
      </c>
      <c r="E433" s="176" t="s">
        <v>4657</v>
      </c>
      <c r="F433" s="176" t="s">
        <v>87</v>
      </c>
      <c r="G433" s="176" t="s">
        <v>4658</v>
      </c>
      <c r="H433" s="176">
        <v>32</v>
      </c>
      <c r="I433" s="176">
        <v>30</v>
      </c>
      <c r="J433" s="176">
        <v>30</v>
      </c>
      <c r="K433" s="176">
        <v>5</v>
      </c>
      <c r="L433" s="176">
        <v>0</v>
      </c>
      <c r="M433" s="176" t="s">
        <v>148</v>
      </c>
      <c r="N433" s="176" t="s">
        <v>149</v>
      </c>
      <c r="O433" s="176" t="s">
        <v>150</v>
      </c>
      <c r="P433" s="176" t="s">
        <v>151</v>
      </c>
      <c r="Q433" s="176"/>
      <c r="R433" s="176" t="s">
        <v>4657</v>
      </c>
      <c r="S433" s="176"/>
      <c r="T433" s="176" t="s">
        <v>2755</v>
      </c>
      <c r="U433" s="176" t="s">
        <v>152</v>
      </c>
      <c r="V433" s="176" t="s">
        <v>23</v>
      </c>
    </row>
    <row r="434" spans="2:22" ht="12" customHeight="1">
      <c r="B434" s="211">
        <v>46242</v>
      </c>
      <c r="C434" s="211">
        <v>46242</v>
      </c>
      <c r="D434" s="176" t="s">
        <v>4659</v>
      </c>
      <c r="E434" s="176" t="s">
        <v>4660</v>
      </c>
      <c r="F434" s="176" t="s">
        <v>87</v>
      </c>
      <c r="G434" s="176" t="s">
        <v>2334</v>
      </c>
      <c r="H434" s="176">
        <v>40</v>
      </c>
      <c r="I434" s="176">
        <v>36</v>
      </c>
      <c r="J434" s="176">
        <v>36</v>
      </c>
      <c r="K434" s="176">
        <v>5</v>
      </c>
      <c r="L434" s="176">
        <v>0</v>
      </c>
      <c r="M434" s="176" t="s">
        <v>148</v>
      </c>
      <c r="N434" s="176" t="s">
        <v>149</v>
      </c>
      <c r="O434" s="176" t="s">
        <v>150</v>
      </c>
      <c r="P434" s="176" t="s">
        <v>151</v>
      </c>
      <c r="Q434" s="176"/>
      <c r="R434" s="176" t="s">
        <v>4660</v>
      </c>
      <c r="S434" s="176"/>
      <c r="T434" s="176" t="s">
        <v>2755</v>
      </c>
      <c r="U434" s="176" t="s">
        <v>152</v>
      </c>
      <c r="V434" s="176" t="s">
        <v>23</v>
      </c>
    </row>
    <row r="435" spans="2:22" ht="12" customHeight="1">
      <c r="B435" s="211">
        <v>46242</v>
      </c>
      <c r="C435" s="211">
        <v>46242</v>
      </c>
      <c r="D435" s="176" t="s">
        <v>4661</v>
      </c>
      <c r="E435" s="176" t="s">
        <v>4662</v>
      </c>
      <c r="F435" s="176" t="s">
        <v>87</v>
      </c>
      <c r="G435" s="176" t="s">
        <v>2334</v>
      </c>
      <c r="H435" s="176">
        <v>40</v>
      </c>
      <c r="I435" s="176">
        <v>34.799999999999997</v>
      </c>
      <c r="J435" s="176">
        <v>34.799999999999997</v>
      </c>
      <c r="K435" s="176">
        <v>5</v>
      </c>
      <c r="L435" s="176">
        <v>0</v>
      </c>
      <c r="M435" s="176" t="s">
        <v>148</v>
      </c>
      <c r="N435" s="176" t="s">
        <v>149</v>
      </c>
      <c r="O435" s="176" t="s">
        <v>150</v>
      </c>
      <c r="P435" s="176" t="s">
        <v>151</v>
      </c>
      <c r="Q435" s="176"/>
      <c r="R435" s="176" t="s">
        <v>4662</v>
      </c>
      <c r="S435" s="176"/>
      <c r="T435" s="176" t="s">
        <v>2755</v>
      </c>
      <c r="U435" s="176" t="s">
        <v>152</v>
      </c>
      <c r="V435" s="176" t="s">
        <v>23</v>
      </c>
    </row>
    <row r="436" spans="2:22" ht="12" customHeight="1">
      <c r="B436" s="211">
        <v>46242</v>
      </c>
      <c r="C436" s="211">
        <v>46242</v>
      </c>
      <c r="D436" s="176" t="s">
        <v>4663</v>
      </c>
      <c r="E436" s="176" t="s">
        <v>4664</v>
      </c>
      <c r="F436" s="176" t="s">
        <v>87</v>
      </c>
      <c r="G436" s="176" t="s">
        <v>2404</v>
      </c>
      <c r="H436" s="176">
        <v>40</v>
      </c>
      <c r="I436" s="176">
        <v>37.200000000000003</v>
      </c>
      <c r="J436" s="176">
        <v>37.200000000000003</v>
      </c>
      <c r="K436" s="176">
        <v>5</v>
      </c>
      <c r="L436" s="176">
        <v>0</v>
      </c>
      <c r="M436" s="176" t="s">
        <v>148</v>
      </c>
      <c r="N436" s="176" t="s">
        <v>149</v>
      </c>
      <c r="O436" s="176" t="s">
        <v>150</v>
      </c>
      <c r="P436" s="176" t="s">
        <v>151</v>
      </c>
      <c r="Q436" s="176"/>
      <c r="R436" s="176" t="s">
        <v>4664</v>
      </c>
      <c r="S436" s="176"/>
      <c r="T436" s="176" t="s">
        <v>2755</v>
      </c>
      <c r="U436" s="176" t="s">
        <v>152</v>
      </c>
      <c r="V436" s="176" t="s">
        <v>23</v>
      </c>
    </row>
    <row r="437" spans="2:22" ht="12" customHeight="1">
      <c r="B437" s="211">
        <v>46242</v>
      </c>
      <c r="C437" s="211">
        <v>46242</v>
      </c>
      <c r="D437" s="176" t="s">
        <v>4665</v>
      </c>
      <c r="E437" s="176" t="s">
        <v>4666</v>
      </c>
      <c r="F437" s="176" t="s">
        <v>87</v>
      </c>
      <c r="G437" s="176" t="s">
        <v>1678</v>
      </c>
      <c r="H437" s="176">
        <v>30</v>
      </c>
      <c r="I437" s="176">
        <v>30.2</v>
      </c>
      <c r="J437" s="176">
        <v>30.2</v>
      </c>
      <c r="K437" s="176">
        <v>4</v>
      </c>
      <c r="L437" s="176">
        <v>0</v>
      </c>
      <c r="M437" s="176" t="s">
        <v>148</v>
      </c>
      <c r="N437" s="176" t="s">
        <v>149</v>
      </c>
      <c r="O437" s="176" t="s">
        <v>150</v>
      </c>
      <c r="P437" s="176" t="s">
        <v>151</v>
      </c>
      <c r="Q437" s="176"/>
      <c r="R437" s="176" t="s">
        <v>4666</v>
      </c>
      <c r="S437" s="176"/>
      <c r="T437" s="176" t="s">
        <v>2755</v>
      </c>
      <c r="U437" s="176" t="s">
        <v>152</v>
      </c>
      <c r="V437" s="176" t="s">
        <v>23</v>
      </c>
    </row>
    <row r="438" spans="2:22" ht="12" customHeight="1">
      <c r="B438" s="211">
        <v>46242</v>
      </c>
      <c r="C438" s="211">
        <v>46242</v>
      </c>
      <c r="D438" s="176" t="s">
        <v>4667</v>
      </c>
      <c r="E438" s="176" t="s">
        <v>4668</v>
      </c>
      <c r="F438" s="176" t="s">
        <v>87</v>
      </c>
      <c r="G438" s="176" t="s">
        <v>1678</v>
      </c>
      <c r="H438" s="176">
        <v>30</v>
      </c>
      <c r="I438" s="176">
        <v>35.799999999999997</v>
      </c>
      <c r="J438" s="176">
        <v>35.799999999999997</v>
      </c>
      <c r="K438" s="176">
        <v>4</v>
      </c>
      <c r="L438" s="176">
        <v>0</v>
      </c>
      <c r="M438" s="176" t="s">
        <v>148</v>
      </c>
      <c r="N438" s="176" t="s">
        <v>149</v>
      </c>
      <c r="O438" s="176" t="s">
        <v>150</v>
      </c>
      <c r="P438" s="176" t="s">
        <v>151</v>
      </c>
      <c r="Q438" s="176"/>
      <c r="R438" s="176" t="s">
        <v>4668</v>
      </c>
      <c r="S438" s="176"/>
      <c r="T438" s="176" t="s">
        <v>2755</v>
      </c>
      <c r="U438" s="176" t="s">
        <v>152</v>
      </c>
      <c r="V438" s="176" t="s">
        <v>23</v>
      </c>
    </row>
    <row r="439" spans="2:22" ht="12" customHeight="1">
      <c r="B439" s="211">
        <v>46242</v>
      </c>
      <c r="C439" s="211">
        <v>46242</v>
      </c>
      <c r="D439" s="176" t="s">
        <v>4669</v>
      </c>
      <c r="E439" s="176" t="s">
        <v>4670</v>
      </c>
      <c r="F439" s="176" t="s">
        <v>87</v>
      </c>
      <c r="G439" s="176" t="s">
        <v>2513</v>
      </c>
      <c r="H439" s="176">
        <v>25</v>
      </c>
      <c r="I439" s="176">
        <v>44.7</v>
      </c>
      <c r="J439" s="176">
        <v>44.7</v>
      </c>
      <c r="K439" s="176">
        <v>4</v>
      </c>
      <c r="L439" s="176">
        <v>0</v>
      </c>
      <c r="M439" s="176" t="s">
        <v>148</v>
      </c>
      <c r="N439" s="176" t="s">
        <v>149</v>
      </c>
      <c r="O439" s="176" t="s">
        <v>150</v>
      </c>
      <c r="P439" s="176" t="s">
        <v>151</v>
      </c>
      <c r="Q439" s="176"/>
      <c r="R439" s="176" t="s">
        <v>4670</v>
      </c>
      <c r="S439" s="176"/>
      <c r="T439" s="176" t="s">
        <v>2755</v>
      </c>
      <c r="U439" s="176" t="s">
        <v>152</v>
      </c>
      <c r="V439" s="176" t="s">
        <v>23</v>
      </c>
    </row>
    <row r="440" spans="2:22" ht="12" customHeight="1">
      <c r="B440" s="211">
        <v>46242</v>
      </c>
      <c r="C440" s="211">
        <v>46242</v>
      </c>
      <c r="D440" s="176" t="s">
        <v>4671</v>
      </c>
      <c r="E440" s="176" t="s">
        <v>4672</v>
      </c>
      <c r="F440" s="176" t="s">
        <v>87</v>
      </c>
      <c r="G440" s="176" t="s">
        <v>4673</v>
      </c>
      <c r="H440" s="176">
        <v>55</v>
      </c>
      <c r="I440" s="176">
        <v>16</v>
      </c>
      <c r="J440" s="176">
        <v>16</v>
      </c>
      <c r="K440" s="176">
        <v>5</v>
      </c>
      <c r="L440" s="176">
        <v>0</v>
      </c>
      <c r="M440" s="176" t="s">
        <v>148</v>
      </c>
      <c r="N440" s="176" t="s">
        <v>149</v>
      </c>
      <c r="O440" s="176" t="s">
        <v>150</v>
      </c>
      <c r="P440" s="176" t="s">
        <v>151</v>
      </c>
      <c r="Q440" s="176"/>
      <c r="R440" s="176" t="s">
        <v>4672</v>
      </c>
      <c r="S440" s="176"/>
      <c r="T440" s="176" t="s">
        <v>2755</v>
      </c>
      <c r="U440" s="176" t="s">
        <v>152</v>
      </c>
      <c r="V440" s="176" t="s">
        <v>23</v>
      </c>
    </row>
    <row r="441" spans="2:22" ht="12" customHeight="1">
      <c r="B441" s="211">
        <v>46242</v>
      </c>
      <c r="C441" s="211">
        <v>46242</v>
      </c>
      <c r="D441" s="176" t="s">
        <v>4674</v>
      </c>
      <c r="E441" s="176" t="s">
        <v>4675</v>
      </c>
      <c r="F441" s="176" t="s">
        <v>87</v>
      </c>
      <c r="G441" s="176" t="s">
        <v>1678</v>
      </c>
      <c r="H441" s="176">
        <v>30</v>
      </c>
      <c r="I441" s="176">
        <v>27.5</v>
      </c>
      <c r="J441" s="176">
        <v>27.5</v>
      </c>
      <c r="K441" s="176">
        <v>4</v>
      </c>
      <c r="L441" s="176">
        <v>0</v>
      </c>
      <c r="M441" s="176" t="s">
        <v>148</v>
      </c>
      <c r="N441" s="176" t="s">
        <v>149</v>
      </c>
      <c r="O441" s="176" t="s">
        <v>150</v>
      </c>
      <c r="P441" s="176" t="s">
        <v>151</v>
      </c>
      <c r="Q441" s="176"/>
      <c r="R441" s="176" t="s">
        <v>4675</v>
      </c>
      <c r="S441" s="176"/>
      <c r="T441" s="176" t="s">
        <v>2755</v>
      </c>
      <c r="U441" s="176" t="s">
        <v>152</v>
      </c>
      <c r="V441" s="176" t="s">
        <v>23</v>
      </c>
    </row>
    <row r="442" spans="2:22" ht="12" customHeight="1">
      <c r="B442" s="211">
        <v>46242</v>
      </c>
      <c r="C442" s="211">
        <v>46242</v>
      </c>
      <c r="D442" s="176" t="s">
        <v>4676</v>
      </c>
      <c r="E442" s="176" t="s">
        <v>4677</v>
      </c>
      <c r="F442" s="176" t="s">
        <v>87</v>
      </c>
      <c r="G442" s="176" t="s">
        <v>2357</v>
      </c>
      <c r="H442" s="176">
        <v>40</v>
      </c>
      <c r="I442" s="176">
        <v>38.5</v>
      </c>
      <c r="J442" s="176">
        <v>38.5</v>
      </c>
      <c r="K442" s="176">
        <v>5</v>
      </c>
      <c r="L442" s="176">
        <v>0</v>
      </c>
      <c r="M442" s="176" t="s">
        <v>148</v>
      </c>
      <c r="N442" s="176" t="s">
        <v>149</v>
      </c>
      <c r="O442" s="176" t="s">
        <v>150</v>
      </c>
      <c r="P442" s="176" t="s">
        <v>151</v>
      </c>
      <c r="Q442" s="176"/>
      <c r="R442" s="176" t="s">
        <v>4677</v>
      </c>
      <c r="S442" s="176"/>
      <c r="T442" s="176" t="s">
        <v>2755</v>
      </c>
      <c r="U442" s="176" t="s">
        <v>152</v>
      </c>
      <c r="V442" s="176" t="s">
        <v>23</v>
      </c>
    </row>
    <row r="443" spans="2:22" ht="12" customHeight="1">
      <c r="B443" s="211">
        <v>46242</v>
      </c>
      <c r="C443" s="211">
        <v>46242</v>
      </c>
      <c r="D443" s="176" t="s">
        <v>4678</v>
      </c>
      <c r="E443" s="176" t="s">
        <v>4679</v>
      </c>
      <c r="F443" s="176" t="s">
        <v>87</v>
      </c>
      <c r="G443" s="176" t="s">
        <v>2512</v>
      </c>
      <c r="H443" s="176">
        <v>40</v>
      </c>
      <c r="I443" s="176">
        <v>27.5</v>
      </c>
      <c r="J443" s="176">
        <v>27.5</v>
      </c>
      <c r="K443" s="176">
        <v>5</v>
      </c>
      <c r="L443" s="176">
        <v>0</v>
      </c>
      <c r="M443" s="176" t="s">
        <v>148</v>
      </c>
      <c r="N443" s="176" t="s">
        <v>149</v>
      </c>
      <c r="O443" s="176" t="s">
        <v>150</v>
      </c>
      <c r="P443" s="176" t="s">
        <v>151</v>
      </c>
      <c r="Q443" s="176"/>
      <c r="R443" s="176" t="s">
        <v>4679</v>
      </c>
      <c r="S443" s="176"/>
      <c r="T443" s="176" t="s">
        <v>2755</v>
      </c>
      <c r="U443" s="176" t="s">
        <v>152</v>
      </c>
      <c r="V443" s="176" t="s">
        <v>23</v>
      </c>
    </row>
    <row r="444" spans="2:22" ht="12" customHeight="1">
      <c r="B444" s="211">
        <v>46242</v>
      </c>
      <c r="C444" s="211">
        <v>46242</v>
      </c>
      <c r="D444" s="176" t="s">
        <v>4680</v>
      </c>
      <c r="E444" s="176" t="s">
        <v>4681</v>
      </c>
      <c r="F444" s="176" t="s">
        <v>87</v>
      </c>
      <c r="G444" s="176" t="s">
        <v>2513</v>
      </c>
      <c r="H444" s="176">
        <v>25</v>
      </c>
      <c r="I444" s="176">
        <v>42.2</v>
      </c>
      <c r="J444" s="176">
        <v>42.2</v>
      </c>
      <c r="K444" s="176">
        <v>4</v>
      </c>
      <c r="L444" s="176">
        <v>0</v>
      </c>
      <c r="M444" s="176" t="s">
        <v>148</v>
      </c>
      <c r="N444" s="176" t="s">
        <v>149</v>
      </c>
      <c r="O444" s="176" t="s">
        <v>150</v>
      </c>
      <c r="P444" s="176" t="s">
        <v>151</v>
      </c>
      <c r="Q444" s="176"/>
      <c r="R444" s="176" t="s">
        <v>4681</v>
      </c>
      <c r="S444" s="176"/>
      <c r="T444" s="176" t="s">
        <v>2755</v>
      </c>
      <c r="U444" s="176" t="s">
        <v>152</v>
      </c>
      <c r="V444" s="176" t="s">
        <v>23</v>
      </c>
    </row>
    <row r="445" spans="2:22" ht="12" customHeight="1">
      <c r="B445" s="211">
        <v>46242</v>
      </c>
      <c r="C445" s="211">
        <v>46242</v>
      </c>
      <c r="D445" s="176" t="s">
        <v>4682</v>
      </c>
      <c r="E445" s="176" t="s">
        <v>4683</v>
      </c>
      <c r="F445" s="176" t="s">
        <v>87</v>
      </c>
      <c r="G445" s="176" t="s">
        <v>2513</v>
      </c>
      <c r="H445" s="176">
        <v>25</v>
      </c>
      <c r="I445" s="176">
        <v>36.4</v>
      </c>
      <c r="J445" s="176">
        <v>36.4</v>
      </c>
      <c r="K445" s="176">
        <v>4</v>
      </c>
      <c r="L445" s="176">
        <v>0</v>
      </c>
      <c r="M445" s="176" t="s">
        <v>148</v>
      </c>
      <c r="N445" s="176" t="s">
        <v>149</v>
      </c>
      <c r="O445" s="176" t="s">
        <v>150</v>
      </c>
      <c r="P445" s="176" t="s">
        <v>151</v>
      </c>
      <c r="Q445" s="176"/>
      <c r="R445" s="176" t="s">
        <v>4683</v>
      </c>
      <c r="S445" s="176"/>
      <c r="T445" s="176" t="s">
        <v>2755</v>
      </c>
      <c r="U445" s="176" t="s">
        <v>152</v>
      </c>
      <c r="V445" s="176" t="s">
        <v>23</v>
      </c>
    </row>
    <row r="446" spans="2:22" ht="12" customHeight="1">
      <c r="B446" s="211">
        <v>46242</v>
      </c>
      <c r="C446" s="211">
        <v>46242</v>
      </c>
      <c r="D446" s="176" t="s">
        <v>4684</v>
      </c>
      <c r="E446" s="176" t="s">
        <v>4685</v>
      </c>
      <c r="F446" s="176" t="s">
        <v>87</v>
      </c>
      <c r="G446" s="176" t="s">
        <v>2334</v>
      </c>
      <c r="H446" s="176">
        <v>40</v>
      </c>
      <c r="I446" s="176">
        <v>40.1</v>
      </c>
      <c r="J446" s="176">
        <v>40.1</v>
      </c>
      <c r="K446" s="176">
        <v>5</v>
      </c>
      <c r="L446" s="176">
        <v>0</v>
      </c>
      <c r="M446" s="176" t="s">
        <v>148</v>
      </c>
      <c r="N446" s="176" t="s">
        <v>149</v>
      </c>
      <c r="O446" s="176" t="s">
        <v>150</v>
      </c>
      <c r="P446" s="176" t="s">
        <v>151</v>
      </c>
      <c r="Q446" s="176"/>
      <c r="R446" s="176" t="s">
        <v>4685</v>
      </c>
      <c r="S446" s="176"/>
      <c r="T446" s="176" t="s">
        <v>2755</v>
      </c>
      <c r="U446" s="176" t="s">
        <v>152</v>
      </c>
      <c r="V446" s="176" t="s">
        <v>23</v>
      </c>
    </row>
    <row r="447" spans="2:22" ht="12" customHeight="1">
      <c r="B447" s="211">
        <v>46242</v>
      </c>
      <c r="C447" s="211">
        <v>46242</v>
      </c>
      <c r="D447" s="176" t="s">
        <v>4686</v>
      </c>
      <c r="E447" s="176" t="s">
        <v>4687</v>
      </c>
      <c r="F447" s="176" t="s">
        <v>87</v>
      </c>
      <c r="G447" s="176" t="s">
        <v>2357</v>
      </c>
      <c r="H447" s="176">
        <v>40</v>
      </c>
      <c r="I447" s="176">
        <v>35</v>
      </c>
      <c r="J447" s="176">
        <v>35</v>
      </c>
      <c r="K447" s="176">
        <v>5</v>
      </c>
      <c r="L447" s="176">
        <v>0</v>
      </c>
      <c r="M447" s="176" t="s">
        <v>148</v>
      </c>
      <c r="N447" s="176" t="s">
        <v>149</v>
      </c>
      <c r="O447" s="176" t="s">
        <v>150</v>
      </c>
      <c r="P447" s="176" t="s">
        <v>151</v>
      </c>
      <c r="Q447" s="176"/>
      <c r="R447" s="176" t="s">
        <v>4687</v>
      </c>
      <c r="S447" s="176"/>
      <c r="T447" s="176" t="s">
        <v>2755</v>
      </c>
      <c r="U447" s="176" t="s">
        <v>152</v>
      </c>
      <c r="V447" s="176" t="s">
        <v>23</v>
      </c>
    </row>
    <row r="448" spans="2:22" ht="12" customHeight="1">
      <c r="B448" s="211">
        <v>46242</v>
      </c>
      <c r="C448" s="211">
        <v>46242</v>
      </c>
      <c r="D448" s="176" t="s">
        <v>4688</v>
      </c>
      <c r="E448" s="176" t="s">
        <v>4689</v>
      </c>
      <c r="F448" s="176" t="s">
        <v>87</v>
      </c>
      <c r="G448" s="176" t="s">
        <v>1678</v>
      </c>
      <c r="H448" s="176">
        <v>30</v>
      </c>
      <c r="I448" s="176">
        <v>35.799999999999997</v>
      </c>
      <c r="J448" s="176">
        <v>35.799999999999997</v>
      </c>
      <c r="K448" s="176">
        <v>4</v>
      </c>
      <c r="L448" s="176">
        <v>0</v>
      </c>
      <c r="M448" s="176" t="s">
        <v>148</v>
      </c>
      <c r="N448" s="176" t="s">
        <v>149</v>
      </c>
      <c r="O448" s="176" t="s">
        <v>150</v>
      </c>
      <c r="P448" s="176" t="s">
        <v>151</v>
      </c>
      <c r="Q448" s="176"/>
      <c r="R448" s="176" t="s">
        <v>4689</v>
      </c>
      <c r="S448" s="176"/>
      <c r="T448" s="176" t="s">
        <v>2755</v>
      </c>
      <c r="U448" s="176" t="s">
        <v>152</v>
      </c>
      <c r="V448" s="176" t="s">
        <v>23</v>
      </c>
    </row>
    <row r="449" spans="2:22" ht="12" customHeight="1">
      <c r="B449" s="211">
        <v>46242</v>
      </c>
      <c r="C449" s="211">
        <v>46242</v>
      </c>
      <c r="D449" s="176" t="s">
        <v>4690</v>
      </c>
      <c r="E449" s="176" t="s">
        <v>4691</v>
      </c>
      <c r="F449" s="176" t="s">
        <v>87</v>
      </c>
      <c r="G449" s="176" t="s">
        <v>4000</v>
      </c>
      <c r="H449" s="176">
        <v>50</v>
      </c>
      <c r="I449" s="176">
        <v>35.200000000000003</v>
      </c>
      <c r="J449" s="176">
        <v>35.200000000000003</v>
      </c>
      <c r="K449" s="176">
        <v>5</v>
      </c>
      <c r="L449" s="176">
        <v>0</v>
      </c>
      <c r="M449" s="176" t="s">
        <v>148</v>
      </c>
      <c r="N449" s="176" t="s">
        <v>149</v>
      </c>
      <c r="O449" s="176" t="s">
        <v>150</v>
      </c>
      <c r="P449" s="176" t="s">
        <v>151</v>
      </c>
      <c r="Q449" s="176"/>
      <c r="R449" s="176" t="s">
        <v>4691</v>
      </c>
      <c r="S449" s="176"/>
      <c r="T449" s="176" t="s">
        <v>2755</v>
      </c>
      <c r="U449" s="176" t="s">
        <v>152</v>
      </c>
      <c r="V449" s="176" t="s">
        <v>23</v>
      </c>
    </row>
    <row r="450" spans="2:22" ht="12" customHeight="1">
      <c r="B450" s="211">
        <v>46242</v>
      </c>
      <c r="C450" s="211">
        <v>46242</v>
      </c>
      <c r="D450" s="176" t="s">
        <v>4692</v>
      </c>
      <c r="E450" s="176" t="s">
        <v>4693</v>
      </c>
      <c r="F450" s="176" t="s">
        <v>87</v>
      </c>
      <c r="G450" s="176" t="s">
        <v>2515</v>
      </c>
      <c r="H450" s="176">
        <v>50</v>
      </c>
      <c r="I450" s="176">
        <v>20.6</v>
      </c>
      <c r="J450" s="176">
        <v>20.6</v>
      </c>
      <c r="K450" s="176">
        <v>5</v>
      </c>
      <c r="L450" s="176">
        <v>0</v>
      </c>
      <c r="M450" s="176" t="s">
        <v>148</v>
      </c>
      <c r="N450" s="176" t="s">
        <v>149</v>
      </c>
      <c r="O450" s="176" t="s">
        <v>150</v>
      </c>
      <c r="P450" s="176" t="s">
        <v>151</v>
      </c>
      <c r="Q450" s="176"/>
      <c r="R450" s="176" t="s">
        <v>4693</v>
      </c>
      <c r="S450" s="176"/>
      <c r="T450" s="176" t="s">
        <v>2755</v>
      </c>
      <c r="U450" s="176" t="s">
        <v>152</v>
      </c>
      <c r="V450" s="176" t="s">
        <v>23</v>
      </c>
    </row>
    <row r="451" spans="2:22" ht="12" customHeight="1">
      <c r="B451" s="211">
        <v>46242</v>
      </c>
      <c r="C451" s="211">
        <v>46242</v>
      </c>
      <c r="D451" s="176" t="s">
        <v>4694</v>
      </c>
      <c r="E451" s="176" t="s">
        <v>4695</v>
      </c>
      <c r="F451" s="176" t="s">
        <v>87</v>
      </c>
      <c r="G451" s="176" t="s">
        <v>4658</v>
      </c>
      <c r="H451" s="176">
        <v>32</v>
      </c>
      <c r="I451" s="176">
        <v>41.4</v>
      </c>
      <c r="J451" s="176">
        <v>41.4</v>
      </c>
      <c r="K451" s="176">
        <v>5</v>
      </c>
      <c r="L451" s="176">
        <v>0</v>
      </c>
      <c r="M451" s="176" t="s">
        <v>148</v>
      </c>
      <c r="N451" s="176" t="s">
        <v>149</v>
      </c>
      <c r="O451" s="176" t="s">
        <v>150</v>
      </c>
      <c r="P451" s="176" t="s">
        <v>151</v>
      </c>
      <c r="Q451" s="176"/>
      <c r="R451" s="176" t="s">
        <v>4695</v>
      </c>
      <c r="S451" s="176"/>
      <c r="T451" s="176" t="s">
        <v>2755</v>
      </c>
      <c r="U451" s="176" t="s">
        <v>152</v>
      </c>
      <c r="V451" s="176" t="s">
        <v>23</v>
      </c>
    </row>
    <row r="452" spans="2:22" ht="12" customHeight="1">
      <c r="B452" s="211">
        <v>46242</v>
      </c>
      <c r="C452" s="211">
        <v>46242</v>
      </c>
      <c r="D452" s="176" t="s">
        <v>4696</v>
      </c>
      <c r="E452" s="176" t="s">
        <v>4697</v>
      </c>
      <c r="F452" s="176" t="s">
        <v>87</v>
      </c>
      <c r="G452" s="176" t="s">
        <v>2334</v>
      </c>
      <c r="H452" s="176">
        <v>40</v>
      </c>
      <c r="I452" s="176">
        <v>28.8</v>
      </c>
      <c r="J452" s="176">
        <v>28.8</v>
      </c>
      <c r="K452" s="176">
        <v>5</v>
      </c>
      <c r="L452" s="176">
        <v>0</v>
      </c>
      <c r="M452" s="176" t="s">
        <v>148</v>
      </c>
      <c r="N452" s="176" t="s">
        <v>149</v>
      </c>
      <c r="O452" s="176" t="s">
        <v>150</v>
      </c>
      <c r="P452" s="176" t="s">
        <v>151</v>
      </c>
      <c r="Q452" s="176"/>
      <c r="R452" s="176" t="s">
        <v>4697</v>
      </c>
      <c r="S452" s="176"/>
      <c r="T452" s="176" t="s">
        <v>2755</v>
      </c>
      <c r="U452" s="176" t="s">
        <v>152</v>
      </c>
      <c r="V452" s="176" t="s">
        <v>23</v>
      </c>
    </row>
    <row r="453" spans="2:22" ht="12" customHeight="1">
      <c r="B453" s="211">
        <v>46242</v>
      </c>
      <c r="C453" s="211">
        <v>46242</v>
      </c>
      <c r="D453" s="176" t="s">
        <v>4698</v>
      </c>
      <c r="E453" s="176" t="s">
        <v>4699</v>
      </c>
      <c r="F453" s="176" t="s">
        <v>87</v>
      </c>
      <c r="G453" s="176" t="s">
        <v>2357</v>
      </c>
      <c r="H453" s="176">
        <v>40</v>
      </c>
      <c r="I453" s="176">
        <v>41.7</v>
      </c>
      <c r="J453" s="176">
        <v>41.7</v>
      </c>
      <c r="K453" s="176">
        <v>5</v>
      </c>
      <c r="L453" s="176">
        <v>0</v>
      </c>
      <c r="M453" s="176" t="s">
        <v>148</v>
      </c>
      <c r="N453" s="176" t="s">
        <v>149</v>
      </c>
      <c r="O453" s="176" t="s">
        <v>150</v>
      </c>
      <c r="P453" s="176" t="s">
        <v>151</v>
      </c>
      <c r="Q453" s="176"/>
      <c r="R453" s="176" t="s">
        <v>4699</v>
      </c>
      <c r="S453" s="176"/>
      <c r="T453" s="176" t="s">
        <v>2755</v>
      </c>
      <c r="U453" s="176" t="s">
        <v>152</v>
      </c>
      <c r="V453" s="176" t="s">
        <v>23</v>
      </c>
    </row>
    <row r="454" spans="2:22" ht="12" customHeight="1">
      <c r="B454" s="211">
        <v>46242</v>
      </c>
      <c r="C454" s="211">
        <v>46242</v>
      </c>
      <c r="D454" s="176" t="s">
        <v>4700</v>
      </c>
      <c r="E454" s="176" t="s">
        <v>4701</v>
      </c>
      <c r="F454" s="176" t="s">
        <v>87</v>
      </c>
      <c r="G454" s="176" t="s">
        <v>2334</v>
      </c>
      <c r="H454" s="176">
        <v>40</v>
      </c>
      <c r="I454" s="176">
        <v>37.799999999999997</v>
      </c>
      <c r="J454" s="176">
        <v>37.799999999999997</v>
      </c>
      <c r="K454" s="176">
        <v>5</v>
      </c>
      <c r="L454" s="176">
        <v>0</v>
      </c>
      <c r="M454" s="176" t="s">
        <v>148</v>
      </c>
      <c r="N454" s="176" t="s">
        <v>149</v>
      </c>
      <c r="O454" s="176" t="s">
        <v>150</v>
      </c>
      <c r="P454" s="176" t="s">
        <v>151</v>
      </c>
      <c r="Q454" s="176"/>
      <c r="R454" s="176" t="s">
        <v>4701</v>
      </c>
      <c r="S454" s="176"/>
      <c r="T454" s="176" t="s">
        <v>2755</v>
      </c>
      <c r="U454" s="176" t="s">
        <v>152</v>
      </c>
      <c r="V454" s="176" t="s">
        <v>23</v>
      </c>
    </row>
    <row r="455" spans="2:22" ht="12" customHeight="1">
      <c r="B455" s="211">
        <v>46242</v>
      </c>
      <c r="C455" s="211">
        <v>46242</v>
      </c>
      <c r="D455" s="176" t="s">
        <v>4702</v>
      </c>
      <c r="E455" s="176" t="s">
        <v>4703</v>
      </c>
      <c r="F455" s="176" t="s">
        <v>87</v>
      </c>
      <c r="G455" s="176" t="s">
        <v>2515</v>
      </c>
      <c r="H455" s="176">
        <v>50</v>
      </c>
      <c r="I455" s="176">
        <v>47.1</v>
      </c>
      <c r="J455" s="176">
        <v>47.1</v>
      </c>
      <c r="K455" s="176">
        <v>5</v>
      </c>
      <c r="L455" s="176">
        <v>0</v>
      </c>
      <c r="M455" s="176" t="s">
        <v>148</v>
      </c>
      <c r="N455" s="176" t="s">
        <v>149</v>
      </c>
      <c r="O455" s="176" t="s">
        <v>150</v>
      </c>
      <c r="P455" s="176" t="s">
        <v>151</v>
      </c>
      <c r="Q455" s="176"/>
      <c r="R455" s="176" t="s">
        <v>4703</v>
      </c>
      <c r="S455" s="176"/>
      <c r="T455" s="176" t="s">
        <v>2755</v>
      </c>
      <c r="U455" s="176" t="s">
        <v>152</v>
      </c>
      <c r="V455" s="176" t="s">
        <v>23</v>
      </c>
    </row>
    <row r="456" spans="2:22" ht="12" customHeight="1">
      <c r="B456" s="211">
        <v>46242</v>
      </c>
      <c r="C456" s="211">
        <v>46242</v>
      </c>
      <c r="D456" s="176" t="s">
        <v>4704</v>
      </c>
      <c r="E456" s="176" t="s">
        <v>4705</v>
      </c>
      <c r="F456" s="176" t="s">
        <v>87</v>
      </c>
      <c r="G456" s="176" t="s">
        <v>2404</v>
      </c>
      <c r="H456" s="176">
        <v>40</v>
      </c>
      <c r="I456" s="176">
        <v>42.4</v>
      </c>
      <c r="J456" s="176">
        <v>42.4</v>
      </c>
      <c r="K456" s="176">
        <v>5</v>
      </c>
      <c r="L456" s="176">
        <v>0</v>
      </c>
      <c r="M456" s="176" t="s">
        <v>148</v>
      </c>
      <c r="N456" s="176" t="s">
        <v>149</v>
      </c>
      <c r="O456" s="176" t="s">
        <v>150</v>
      </c>
      <c r="P456" s="176" t="s">
        <v>151</v>
      </c>
      <c r="Q456" s="176"/>
      <c r="R456" s="176" t="s">
        <v>4705</v>
      </c>
      <c r="S456" s="176"/>
      <c r="T456" s="176" t="s">
        <v>2755</v>
      </c>
      <c r="U456" s="176" t="s">
        <v>152</v>
      </c>
      <c r="V456" s="176" t="s">
        <v>23</v>
      </c>
    </row>
    <row r="457" spans="2:22" ht="12" customHeight="1">
      <c r="B457" s="211">
        <v>46242</v>
      </c>
      <c r="C457" s="211">
        <v>46242</v>
      </c>
      <c r="D457" s="176" t="s">
        <v>4706</v>
      </c>
      <c r="E457" s="176" t="s">
        <v>4707</v>
      </c>
      <c r="F457" s="176" t="s">
        <v>87</v>
      </c>
      <c r="G457" s="176" t="s">
        <v>1966</v>
      </c>
      <c r="H457" s="176">
        <v>6</v>
      </c>
      <c r="I457" s="176">
        <v>28.2</v>
      </c>
      <c r="J457" s="176">
        <v>28.2</v>
      </c>
      <c r="K457" s="176">
        <v>1.5</v>
      </c>
      <c r="L457" s="176">
        <v>0</v>
      </c>
      <c r="M457" s="176" t="s">
        <v>148</v>
      </c>
      <c r="N457" s="176" t="s">
        <v>149</v>
      </c>
      <c r="O457" s="176" t="s">
        <v>150</v>
      </c>
      <c r="P457" s="176" t="s">
        <v>151</v>
      </c>
      <c r="Q457" s="176"/>
      <c r="R457" s="176" t="s">
        <v>4707</v>
      </c>
      <c r="S457" s="176"/>
      <c r="T457" s="176" t="s">
        <v>2755</v>
      </c>
      <c r="U457" s="176" t="s">
        <v>152</v>
      </c>
      <c r="V457" s="176" t="s">
        <v>23</v>
      </c>
    </row>
    <row r="458" spans="2:22" ht="12" customHeight="1">
      <c r="B458" s="211">
        <v>46242</v>
      </c>
      <c r="C458" s="211">
        <v>46242</v>
      </c>
      <c r="D458" s="176" t="s">
        <v>4708</v>
      </c>
      <c r="E458" s="176" t="s">
        <v>4709</v>
      </c>
      <c r="F458" s="176" t="s">
        <v>87</v>
      </c>
      <c r="G458" s="176" t="s">
        <v>1966</v>
      </c>
      <c r="H458" s="176">
        <v>6</v>
      </c>
      <c r="I458" s="176">
        <v>15.8</v>
      </c>
      <c r="J458" s="176">
        <v>15.8</v>
      </c>
      <c r="K458" s="176">
        <v>1.5</v>
      </c>
      <c r="L458" s="176">
        <v>0</v>
      </c>
      <c r="M458" s="176" t="s">
        <v>148</v>
      </c>
      <c r="N458" s="176" t="s">
        <v>149</v>
      </c>
      <c r="O458" s="176" t="s">
        <v>150</v>
      </c>
      <c r="P458" s="176" t="s">
        <v>151</v>
      </c>
      <c r="Q458" s="176"/>
      <c r="R458" s="176" t="s">
        <v>4709</v>
      </c>
      <c r="S458" s="176"/>
      <c r="T458" s="176" t="s">
        <v>2755</v>
      </c>
      <c r="U458" s="176" t="s">
        <v>152</v>
      </c>
      <c r="V458" s="176" t="s">
        <v>23</v>
      </c>
    </row>
    <row r="459" spans="2:22" ht="12" customHeight="1">
      <c r="B459" s="211">
        <v>46242</v>
      </c>
      <c r="C459" s="211">
        <v>46242</v>
      </c>
      <c r="D459" s="176" t="s">
        <v>4710</v>
      </c>
      <c r="E459" s="176" t="s">
        <v>4711</v>
      </c>
      <c r="F459" s="176" t="s">
        <v>87</v>
      </c>
      <c r="G459" s="176" t="s">
        <v>2513</v>
      </c>
      <c r="H459" s="176">
        <v>25</v>
      </c>
      <c r="I459" s="176">
        <v>40.200000000000003</v>
      </c>
      <c r="J459" s="176">
        <v>40.200000000000003</v>
      </c>
      <c r="K459" s="176">
        <v>4</v>
      </c>
      <c r="L459" s="176">
        <v>0</v>
      </c>
      <c r="M459" s="176" t="s">
        <v>148</v>
      </c>
      <c r="N459" s="176" t="s">
        <v>149</v>
      </c>
      <c r="O459" s="176" t="s">
        <v>150</v>
      </c>
      <c r="P459" s="176" t="s">
        <v>151</v>
      </c>
      <c r="Q459" s="176"/>
      <c r="R459" s="176" t="s">
        <v>4711</v>
      </c>
      <c r="S459" s="176"/>
      <c r="T459" s="176" t="s">
        <v>2755</v>
      </c>
      <c r="U459" s="176" t="s">
        <v>152</v>
      </c>
      <c r="V459" s="176" t="s">
        <v>23</v>
      </c>
    </row>
    <row r="460" spans="2:22" ht="12" customHeight="1">
      <c r="B460" s="211">
        <v>46242</v>
      </c>
      <c r="C460" s="211">
        <v>46242</v>
      </c>
      <c r="D460" s="176" t="s">
        <v>4712</v>
      </c>
      <c r="E460" s="176" t="s">
        <v>4713</v>
      </c>
      <c r="F460" s="176" t="s">
        <v>87</v>
      </c>
      <c r="G460" s="176" t="s">
        <v>2515</v>
      </c>
      <c r="H460" s="176">
        <v>50</v>
      </c>
      <c r="I460" s="176">
        <v>40.299999999999997</v>
      </c>
      <c r="J460" s="176">
        <v>40.299999999999997</v>
      </c>
      <c r="K460" s="176">
        <v>5</v>
      </c>
      <c r="L460" s="176">
        <v>0</v>
      </c>
      <c r="M460" s="176" t="s">
        <v>148</v>
      </c>
      <c r="N460" s="176" t="s">
        <v>149</v>
      </c>
      <c r="O460" s="176" t="s">
        <v>150</v>
      </c>
      <c r="P460" s="176" t="s">
        <v>151</v>
      </c>
      <c r="Q460" s="176"/>
      <c r="R460" s="176" t="s">
        <v>4713</v>
      </c>
      <c r="S460" s="176"/>
      <c r="T460" s="176" t="s">
        <v>2755</v>
      </c>
      <c r="U460" s="176" t="s">
        <v>152</v>
      </c>
      <c r="V460" s="176" t="s">
        <v>23</v>
      </c>
    </row>
    <row r="461" spans="2:22" ht="12" customHeight="1">
      <c r="B461" s="211">
        <v>46242</v>
      </c>
      <c r="C461" s="211">
        <v>46242</v>
      </c>
      <c r="D461" s="176" t="s">
        <v>4714</v>
      </c>
      <c r="E461" s="176" t="s">
        <v>4715</v>
      </c>
      <c r="F461" s="176" t="s">
        <v>87</v>
      </c>
      <c r="G461" s="176" t="s">
        <v>4716</v>
      </c>
      <c r="H461" s="176">
        <v>50</v>
      </c>
      <c r="I461" s="176">
        <v>32</v>
      </c>
      <c r="J461" s="176">
        <v>32</v>
      </c>
      <c r="K461" s="176">
        <v>4</v>
      </c>
      <c r="L461" s="176">
        <v>0</v>
      </c>
      <c r="M461" s="176" t="s">
        <v>148</v>
      </c>
      <c r="N461" s="176" t="s">
        <v>149</v>
      </c>
      <c r="O461" s="176" t="s">
        <v>150</v>
      </c>
      <c r="P461" s="176" t="s">
        <v>151</v>
      </c>
      <c r="Q461" s="176"/>
      <c r="R461" s="176" t="s">
        <v>4715</v>
      </c>
      <c r="S461" s="176"/>
      <c r="T461" s="176" t="s">
        <v>2755</v>
      </c>
      <c r="U461" s="176" t="s">
        <v>152</v>
      </c>
      <c r="V461" s="176" t="s">
        <v>23</v>
      </c>
    </row>
    <row r="462" spans="2:22" ht="12" customHeight="1">
      <c r="B462" s="211">
        <v>46242</v>
      </c>
      <c r="C462" s="211">
        <v>46242</v>
      </c>
      <c r="D462" s="176" t="s">
        <v>4717</v>
      </c>
      <c r="E462" s="176" t="s">
        <v>4718</v>
      </c>
      <c r="F462" s="176" t="s">
        <v>87</v>
      </c>
      <c r="G462" s="176" t="s">
        <v>1678</v>
      </c>
      <c r="H462" s="176">
        <v>30</v>
      </c>
      <c r="I462" s="176">
        <v>34.299999999999997</v>
      </c>
      <c r="J462" s="176">
        <v>34.299999999999997</v>
      </c>
      <c r="K462" s="176">
        <v>4</v>
      </c>
      <c r="L462" s="176">
        <v>0</v>
      </c>
      <c r="M462" s="176" t="s">
        <v>148</v>
      </c>
      <c r="N462" s="176" t="s">
        <v>149</v>
      </c>
      <c r="O462" s="176" t="s">
        <v>150</v>
      </c>
      <c r="P462" s="176" t="s">
        <v>151</v>
      </c>
      <c r="Q462" s="176"/>
      <c r="R462" s="176" t="s">
        <v>4718</v>
      </c>
      <c r="S462" s="176"/>
      <c r="T462" s="176" t="s">
        <v>2755</v>
      </c>
      <c r="U462" s="176" t="s">
        <v>152</v>
      </c>
      <c r="V462" s="176" t="s">
        <v>23</v>
      </c>
    </row>
    <row r="463" spans="2:22" ht="12" customHeight="1">
      <c r="B463" s="211">
        <v>46242</v>
      </c>
      <c r="C463" s="211">
        <v>46242</v>
      </c>
      <c r="D463" s="176" t="s">
        <v>4719</v>
      </c>
      <c r="E463" s="176" t="s">
        <v>4720</v>
      </c>
      <c r="F463" s="176" t="s">
        <v>87</v>
      </c>
      <c r="G463" s="176" t="s">
        <v>4721</v>
      </c>
      <c r="H463" s="176">
        <v>40</v>
      </c>
      <c r="I463" s="176">
        <v>40</v>
      </c>
      <c r="J463" s="176">
        <v>40</v>
      </c>
      <c r="K463" s="176">
        <v>5</v>
      </c>
      <c r="L463" s="176">
        <v>0</v>
      </c>
      <c r="M463" s="176" t="s">
        <v>148</v>
      </c>
      <c r="N463" s="176" t="s">
        <v>149</v>
      </c>
      <c r="O463" s="176" t="s">
        <v>150</v>
      </c>
      <c r="P463" s="176" t="s">
        <v>151</v>
      </c>
      <c r="Q463" s="176"/>
      <c r="R463" s="176" t="s">
        <v>4720</v>
      </c>
      <c r="S463" s="176"/>
      <c r="T463" s="176" t="s">
        <v>2755</v>
      </c>
      <c r="U463" s="176" t="s">
        <v>152</v>
      </c>
      <c r="V463" s="176" t="s">
        <v>23</v>
      </c>
    </row>
    <row r="464" spans="2:22" ht="12" customHeight="1">
      <c r="B464" s="211">
        <v>46242</v>
      </c>
      <c r="C464" s="211">
        <v>46242</v>
      </c>
      <c r="D464" s="176" t="s">
        <v>4722</v>
      </c>
      <c r="E464" s="176" t="s">
        <v>4723</v>
      </c>
      <c r="F464" s="176" t="s">
        <v>87</v>
      </c>
      <c r="G464" s="176" t="s">
        <v>4724</v>
      </c>
      <c r="H464" s="176">
        <v>30</v>
      </c>
      <c r="I464" s="176">
        <v>32.799999999999997</v>
      </c>
      <c r="J464" s="176">
        <v>32.799999999999997</v>
      </c>
      <c r="K464" s="176">
        <v>1.5</v>
      </c>
      <c r="L464" s="176">
        <v>0</v>
      </c>
      <c r="M464" s="176" t="s">
        <v>148</v>
      </c>
      <c r="N464" s="176" t="s">
        <v>149</v>
      </c>
      <c r="O464" s="176" t="s">
        <v>150</v>
      </c>
      <c r="P464" s="176" t="s">
        <v>151</v>
      </c>
      <c r="Q464" s="176"/>
      <c r="R464" s="176" t="s">
        <v>4723</v>
      </c>
      <c r="S464" s="176"/>
      <c r="T464" s="176" t="s">
        <v>2755</v>
      </c>
      <c r="U464" s="176" t="s">
        <v>152</v>
      </c>
      <c r="V464" s="176" t="s">
        <v>23</v>
      </c>
    </row>
    <row r="465" spans="2:22" ht="12" customHeight="1">
      <c r="B465" s="211">
        <v>46242</v>
      </c>
      <c r="C465" s="211">
        <v>46242</v>
      </c>
      <c r="D465" s="176" t="s">
        <v>4725</v>
      </c>
      <c r="E465" s="176" t="s">
        <v>4726</v>
      </c>
      <c r="F465" s="176" t="s">
        <v>87</v>
      </c>
      <c r="G465" s="176" t="s">
        <v>2078</v>
      </c>
      <c r="H465" s="176">
        <v>6</v>
      </c>
      <c r="I465" s="176">
        <v>32.799999999999997</v>
      </c>
      <c r="J465" s="176">
        <v>32.799999999999997</v>
      </c>
      <c r="K465" s="176">
        <v>1.5</v>
      </c>
      <c r="L465" s="176">
        <v>0</v>
      </c>
      <c r="M465" s="176" t="s">
        <v>148</v>
      </c>
      <c r="N465" s="176" t="s">
        <v>149</v>
      </c>
      <c r="O465" s="176" t="s">
        <v>150</v>
      </c>
      <c r="P465" s="176" t="s">
        <v>151</v>
      </c>
      <c r="Q465" s="176"/>
      <c r="R465" s="176" t="s">
        <v>4726</v>
      </c>
      <c r="S465" s="176"/>
      <c r="T465" s="176" t="s">
        <v>2755</v>
      </c>
      <c r="U465" s="176" t="s">
        <v>152</v>
      </c>
      <c r="V465" s="176" t="s">
        <v>23</v>
      </c>
    </row>
    <row r="466" spans="2:22" ht="12" customHeight="1">
      <c r="B466" s="211">
        <v>46242</v>
      </c>
      <c r="C466" s="211">
        <v>46242</v>
      </c>
      <c r="D466" s="176" t="s">
        <v>4727</v>
      </c>
      <c r="E466" s="176" t="s">
        <v>4728</v>
      </c>
      <c r="F466" s="176" t="s">
        <v>87</v>
      </c>
      <c r="G466" s="176" t="s">
        <v>2513</v>
      </c>
      <c r="H466" s="176">
        <v>25</v>
      </c>
      <c r="I466" s="176">
        <v>43.8</v>
      </c>
      <c r="J466" s="176">
        <v>43.8</v>
      </c>
      <c r="K466" s="176">
        <v>4</v>
      </c>
      <c r="L466" s="176">
        <v>0</v>
      </c>
      <c r="M466" s="176" t="s">
        <v>148</v>
      </c>
      <c r="N466" s="176" t="s">
        <v>149</v>
      </c>
      <c r="O466" s="176" t="s">
        <v>150</v>
      </c>
      <c r="P466" s="176" t="s">
        <v>151</v>
      </c>
      <c r="Q466" s="176"/>
      <c r="R466" s="176" t="s">
        <v>4728</v>
      </c>
      <c r="S466" s="176"/>
      <c r="T466" s="176" t="s">
        <v>2755</v>
      </c>
      <c r="U466" s="176" t="s">
        <v>152</v>
      </c>
      <c r="V466" s="176" t="s">
        <v>23</v>
      </c>
    </row>
    <row r="467" spans="2:22" ht="12" customHeight="1">
      <c r="B467" s="211">
        <v>46242</v>
      </c>
      <c r="C467" s="211">
        <v>46242</v>
      </c>
      <c r="D467" s="176" t="s">
        <v>4729</v>
      </c>
      <c r="E467" s="176" t="s">
        <v>4730</v>
      </c>
      <c r="F467" s="176" t="s">
        <v>87</v>
      </c>
      <c r="G467" s="176" t="s">
        <v>2334</v>
      </c>
      <c r="H467" s="176">
        <v>40</v>
      </c>
      <c r="I467" s="176">
        <v>40.4</v>
      </c>
      <c r="J467" s="176">
        <v>40.4</v>
      </c>
      <c r="K467" s="176">
        <v>5</v>
      </c>
      <c r="L467" s="176">
        <v>0</v>
      </c>
      <c r="M467" s="176" t="s">
        <v>148</v>
      </c>
      <c r="N467" s="176" t="s">
        <v>149</v>
      </c>
      <c r="O467" s="176" t="s">
        <v>150</v>
      </c>
      <c r="P467" s="176" t="s">
        <v>151</v>
      </c>
      <c r="Q467" s="176"/>
      <c r="R467" s="176" t="s">
        <v>4730</v>
      </c>
      <c r="S467" s="176"/>
      <c r="T467" s="176" t="s">
        <v>2755</v>
      </c>
      <c r="U467" s="176" t="s">
        <v>152</v>
      </c>
      <c r="V467" s="176" t="s">
        <v>23</v>
      </c>
    </row>
    <row r="468" spans="2:22" ht="12" customHeight="1">
      <c r="B468" s="211">
        <v>46242</v>
      </c>
      <c r="C468" s="211">
        <v>46242</v>
      </c>
      <c r="D468" s="176" t="s">
        <v>4731</v>
      </c>
      <c r="E468" s="176" t="s">
        <v>4732</v>
      </c>
      <c r="F468" s="176" t="s">
        <v>87</v>
      </c>
      <c r="G468" s="176" t="s">
        <v>2512</v>
      </c>
      <c r="H468" s="176">
        <v>40</v>
      </c>
      <c r="I468" s="176">
        <v>33.799999999999997</v>
      </c>
      <c r="J468" s="176">
        <v>33.799999999999997</v>
      </c>
      <c r="K468" s="176">
        <v>5</v>
      </c>
      <c r="L468" s="176">
        <v>0</v>
      </c>
      <c r="M468" s="176" t="s">
        <v>148</v>
      </c>
      <c r="N468" s="176" t="s">
        <v>149</v>
      </c>
      <c r="O468" s="176" t="s">
        <v>150</v>
      </c>
      <c r="P468" s="176" t="s">
        <v>151</v>
      </c>
      <c r="Q468" s="176"/>
      <c r="R468" s="176" t="s">
        <v>4732</v>
      </c>
      <c r="S468" s="176"/>
      <c r="T468" s="176" t="s">
        <v>2755</v>
      </c>
      <c r="U468" s="176" t="s">
        <v>152</v>
      </c>
      <c r="V468" s="176" t="s">
        <v>23</v>
      </c>
    </row>
    <row r="469" spans="2:22" ht="12" customHeight="1">
      <c r="B469" s="211">
        <v>46242</v>
      </c>
      <c r="C469" s="211">
        <v>46242</v>
      </c>
      <c r="D469" s="176" t="s">
        <v>4733</v>
      </c>
      <c r="E469" s="176" t="s">
        <v>4734</v>
      </c>
      <c r="F469" s="176" t="s">
        <v>87</v>
      </c>
      <c r="G469" s="176" t="s">
        <v>2513</v>
      </c>
      <c r="H469" s="176">
        <v>25</v>
      </c>
      <c r="I469" s="176">
        <v>39.299999999999997</v>
      </c>
      <c r="J469" s="176">
        <v>39.299999999999997</v>
      </c>
      <c r="K469" s="176">
        <v>4</v>
      </c>
      <c r="L469" s="176">
        <v>0</v>
      </c>
      <c r="M469" s="176" t="s">
        <v>148</v>
      </c>
      <c r="N469" s="176" t="s">
        <v>149</v>
      </c>
      <c r="O469" s="176" t="s">
        <v>150</v>
      </c>
      <c r="P469" s="176" t="s">
        <v>151</v>
      </c>
      <c r="Q469" s="176"/>
      <c r="R469" s="176" t="s">
        <v>4734</v>
      </c>
      <c r="S469" s="176"/>
      <c r="T469" s="176" t="s">
        <v>2755</v>
      </c>
      <c r="U469" s="176" t="s">
        <v>152</v>
      </c>
      <c r="V469" s="176" t="s">
        <v>23</v>
      </c>
    </row>
    <row r="470" spans="2:22" ht="12" customHeight="1">
      <c r="B470" s="211">
        <v>46242</v>
      </c>
      <c r="C470" s="211">
        <v>46242</v>
      </c>
      <c r="D470" s="176" t="s">
        <v>4735</v>
      </c>
      <c r="E470" s="176" t="s">
        <v>4736</v>
      </c>
      <c r="F470" s="176" t="s">
        <v>87</v>
      </c>
      <c r="G470" s="176" t="s">
        <v>4335</v>
      </c>
      <c r="H470" s="176">
        <v>25</v>
      </c>
      <c r="I470" s="176">
        <v>41.1</v>
      </c>
      <c r="J470" s="176">
        <v>41.1</v>
      </c>
      <c r="K470" s="176">
        <v>4</v>
      </c>
      <c r="L470" s="176">
        <v>0</v>
      </c>
      <c r="M470" s="176" t="s">
        <v>148</v>
      </c>
      <c r="N470" s="176" t="s">
        <v>149</v>
      </c>
      <c r="O470" s="176" t="s">
        <v>150</v>
      </c>
      <c r="P470" s="176" t="s">
        <v>151</v>
      </c>
      <c r="Q470" s="176"/>
      <c r="R470" s="176" t="s">
        <v>4736</v>
      </c>
      <c r="S470" s="176"/>
      <c r="T470" s="176" t="s">
        <v>2755</v>
      </c>
      <c r="U470" s="176" t="s">
        <v>152</v>
      </c>
      <c r="V470" s="176" t="s">
        <v>23</v>
      </c>
    </row>
    <row r="471" spans="2:22" ht="12" customHeight="1">
      <c r="B471" s="211">
        <v>46242</v>
      </c>
      <c r="C471" s="211">
        <v>46242</v>
      </c>
      <c r="D471" s="176" t="s">
        <v>4737</v>
      </c>
      <c r="E471" s="176" t="s">
        <v>4738</v>
      </c>
      <c r="F471" s="176" t="s">
        <v>87</v>
      </c>
      <c r="G471" s="176" t="s">
        <v>4739</v>
      </c>
      <c r="H471" s="176">
        <v>40</v>
      </c>
      <c r="I471" s="176">
        <v>16.8</v>
      </c>
      <c r="J471" s="176">
        <v>16.8</v>
      </c>
      <c r="K471" s="176">
        <v>4</v>
      </c>
      <c r="L471" s="176">
        <v>0</v>
      </c>
      <c r="M471" s="176" t="s">
        <v>148</v>
      </c>
      <c r="N471" s="176" t="s">
        <v>149</v>
      </c>
      <c r="O471" s="176" t="s">
        <v>150</v>
      </c>
      <c r="P471" s="176" t="s">
        <v>151</v>
      </c>
      <c r="Q471" s="176"/>
      <c r="R471" s="176" t="s">
        <v>4738</v>
      </c>
      <c r="S471" s="176"/>
      <c r="T471" s="176" t="s">
        <v>2755</v>
      </c>
      <c r="U471" s="176" t="s">
        <v>152</v>
      </c>
      <c r="V471" s="176" t="s">
        <v>23</v>
      </c>
    </row>
    <row r="472" spans="2:22" ht="12" customHeight="1">
      <c r="B472" s="211">
        <v>46242</v>
      </c>
      <c r="C472" s="211">
        <v>46242</v>
      </c>
      <c r="D472" s="176" t="s">
        <v>4740</v>
      </c>
      <c r="E472" s="176" t="s">
        <v>4741</v>
      </c>
      <c r="F472" s="176" t="s">
        <v>87</v>
      </c>
      <c r="G472" s="176" t="s">
        <v>2357</v>
      </c>
      <c r="H472" s="176">
        <v>40</v>
      </c>
      <c r="I472" s="176">
        <v>39.299999999999997</v>
      </c>
      <c r="J472" s="176">
        <v>39.299999999999997</v>
      </c>
      <c r="K472" s="176">
        <v>5</v>
      </c>
      <c r="L472" s="176">
        <v>0</v>
      </c>
      <c r="M472" s="176" t="s">
        <v>148</v>
      </c>
      <c r="N472" s="176" t="s">
        <v>149</v>
      </c>
      <c r="O472" s="176" t="s">
        <v>150</v>
      </c>
      <c r="P472" s="176" t="s">
        <v>151</v>
      </c>
      <c r="Q472" s="176"/>
      <c r="R472" s="176" t="s">
        <v>4741</v>
      </c>
      <c r="S472" s="176"/>
      <c r="T472" s="176" t="s">
        <v>2755</v>
      </c>
      <c r="U472" s="176" t="s">
        <v>152</v>
      </c>
      <c r="V472" s="176" t="s">
        <v>23</v>
      </c>
    </row>
    <row r="473" spans="2:22" ht="12" customHeight="1">
      <c r="B473" s="211">
        <v>46242</v>
      </c>
      <c r="C473" s="211">
        <v>46242</v>
      </c>
      <c r="D473" s="176" t="s">
        <v>4742</v>
      </c>
      <c r="E473" s="176" t="s">
        <v>4743</v>
      </c>
      <c r="F473" s="176" t="s">
        <v>87</v>
      </c>
      <c r="G473" s="176" t="s">
        <v>2357</v>
      </c>
      <c r="H473" s="176">
        <v>40</v>
      </c>
      <c r="I473" s="176">
        <v>28.3</v>
      </c>
      <c r="J473" s="176">
        <v>28.3</v>
      </c>
      <c r="K473" s="176">
        <v>5</v>
      </c>
      <c r="L473" s="176">
        <v>0</v>
      </c>
      <c r="M473" s="176" t="s">
        <v>148</v>
      </c>
      <c r="N473" s="176" t="s">
        <v>149</v>
      </c>
      <c r="O473" s="176" t="s">
        <v>150</v>
      </c>
      <c r="P473" s="176" t="s">
        <v>151</v>
      </c>
      <c r="Q473" s="176"/>
      <c r="R473" s="176" t="s">
        <v>4743</v>
      </c>
      <c r="S473" s="176"/>
      <c r="T473" s="176" t="s">
        <v>2755</v>
      </c>
      <c r="U473" s="176" t="s">
        <v>152</v>
      </c>
      <c r="V473" s="176" t="s">
        <v>23</v>
      </c>
    </row>
    <row r="474" spans="2:22" ht="12" customHeight="1">
      <c r="B474" s="211">
        <v>46242</v>
      </c>
      <c r="C474" s="211">
        <v>46242</v>
      </c>
      <c r="D474" s="176" t="s">
        <v>4744</v>
      </c>
      <c r="E474" s="176" t="s">
        <v>4745</v>
      </c>
      <c r="F474" s="176" t="s">
        <v>87</v>
      </c>
      <c r="G474" s="176" t="s">
        <v>1966</v>
      </c>
      <c r="H474" s="176">
        <v>6</v>
      </c>
      <c r="I474" s="176">
        <v>38.799999999999997</v>
      </c>
      <c r="J474" s="176">
        <v>38.799999999999997</v>
      </c>
      <c r="K474" s="176">
        <v>1.5</v>
      </c>
      <c r="L474" s="176">
        <v>0</v>
      </c>
      <c r="M474" s="176" t="s">
        <v>148</v>
      </c>
      <c r="N474" s="176" t="s">
        <v>149</v>
      </c>
      <c r="O474" s="176" t="s">
        <v>150</v>
      </c>
      <c r="P474" s="176" t="s">
        <v>151</v>
      </c>
      <c r="Q474" s="176"/>
      <c r="R474" s="176" t="s">
        <v>4745</v>
      </c>
      <c r="S474" s="176"/>
      <c r="T474" s="176" t="s">
        <v>2755</v>
      </c>
      <c r="U474" s="176" t="s">
        <v>152</v>
      </c>
      <c r="V474" s="176" t="s">
        <v>23</v>
      </c>
    </row>
    <row r="475" spans="2:22" ht="12" customHeight="1">
      <c r="B475" s="211">
        <v>46242</v>
      </c>
      <c r="C475" s="211">
        <v>46242</v>
      </c>
      <c r="D475" s="176" t="s">
        <v>4746</v>
      </c>
      <c r="E475" s="176" t="s">
        <v>4747</v>
      </c>
      <c r="F475" s="176" t="s">
        <v>87</v>
      </c>
      <c r="G475" s="176" t="s">
        <v>4335</v>
      </c>
      <c r="H475" s="176">
        <v>25</v>
      </c>
      <c r="I475" s="176">
        <v>42.8</v>
      </c>
      <c r="J475" s="176">
        <v>42.8</v>
      </c>
      <c r="K475" s="176">
        <v>4</v>
      </c>
      <c r="L475" s="176">
        <v>0</v>
      </c>
      <c r="M475" s="176" t="s">
        <v>148</v>
      </c>
      <c r="N475" s="176" t="s">
        <v>149</v>
      </c>
      <c r="O475" s="176" t="s">
        <v>150</v>
      </c>
      <c r="P475" s="176" t="s">
        <v>151</v>
      </c>
      <c r="Q475" s="176"/>
      <c r="R475" s="176" t="s">
        <v>4747</v>
      </c>
      <c r="S475" s="176"/>
      <c r="T475" s="176" t="s">
        <v>2755</v>
      </c>
      <c r="U475" s="176" t="s">
        <v>152</v>
      </c>
      <c r="V475" s="176" t="s">
        <v>23</v>
      </c>
    </row>
    <row r="476" spans="2:22" ht="12" customHeight="1">
      <c r="B476" s="211">
        <v>46242</v>
      </c>
      <c r="C476" s="211">
        <v>46242</v>
      </c>
      <c r="D476" s="176" t="s">
        <v>4748</v>
      </c>
      <c r="E476" s="176" t="s">
        <v>4749</v>
      </c>
      <c r="F476" s="176" t="s">
        <v>87</v>
      </c>
      <c r="G476" s="176" t="s">
        <v>2357</v>
      </c>
      <c r="H476" s="176">
        <v>40</v>
      </c>
      <c r="I476" s="176">
        <v>36.200000000000003</v>
      </c>
      <c r="J476" s="176">
        <v>36.200000000000003</v>
      </c>
      <c r="K476" s="176">
        <v>5</v>
      </c>
      <c r="L476" s="176">
        <v>0</v>
      </c>
      <c r="M476" s="176" t="s">
        <v>148</v>
      </c>
      <c r="N476" s="176" t="s">
        <v>149</v>
      </c>
      <c r="O476" s="176" t="s">
        <v>150</v>
      </c>
      <c r="P476" s="176" t="s">
        <v>151</v>
      </c>
      <c r="Q476" s="176"/>
      <c r="R476" s="176" t="s">
        <v>4749</v>
      </c>
      <c r="S476" s="176"/>
      <c r="T476" s="176" t="s">
        <v>2755</v>
      </c>
      <c r="U476" s="176" t="s">
        <v>152</v>
      </c>
      <c r="V476" s="176" t="s">
        <v>23</v>
      </c>
    </row>
    <row r="477" spans="2:22" ht="12" customHeight="1">
      <c r="B477" s="211">
        <v>46242</v>
      </c>
      <c r="C477" s="211">
        <v>46242</v>
      </c>
      <c r="D477" s="176" t="s">
        <v>4750</v>
      </c>
      <c r="E477" s="176" t="s">
        <v>4751</v>
      </c>
      <c r="F477" s="176" t="s">
        <v>87</v>
      </c>
      <c r="G477" s="176" t="s">
        <v>2334</v>
      </c>
      <c r="H477" s="176">
        <v>40</v>
      </c>
      <c r="I477" s="176">
        <v>37.799999999999997</v>
      </c>
      <c r="J477" s="176">
        <v>37.799999999999997</v>
      </c>
      <c r="K477" s="176">
        <v>5</v>
      </c>
      <c r="L477" s="176">
        <v>0</v>
      </c>
      <c r="M477" s="176" t="s">
        <v>148</v>
      </c>
      <c r="N477" s="176" t="s">
        <v>149</v>
      </c>
      <c r="O477" s="176" t="s">
        <v>150</v>
      </c>
      <c r="P477" s="176" t="s">
        <v>151</v>
      </c>
      <c r="Q477" s="176"/>
      <c r="R477" s="176" t="s">
        <v>4751</v>
      </c>
      <c r="S477" s="176"/>
      <c r="T477" s="176" t="s">
        <v>2755</v>
      </c>
      <c r="U477" s="176" t="s">
        <v>152</v>
      </c>
      <c r="V477" s="176" t="s">
        <v>23</v>
      </c>
    </row>
    <row r="478" spans="2:22" ht="12" customHeight="1">
      <c r="B478" s="211">
        <v>46242</v>
      </c>
      <c r="C478" s="211">
        <v>46242</v>
      </c>
      <c r="D478" s="176" t="s">
        <v>4752</v>
      </c>
      <c r="E478" s="176" t="s">
        <v>4753</v>
      </c>
      <c r="F478" s="176" t="s">
        <v>87</v>
      </c>
      <c r="G478" s="176" t="s">
        <v>2357</v>
      </c>
      <c r="H478" s="176">
        <v>40</v>
      </c>
      <c r="I478" s="176">
        <v>34.799999999999997</v>
      </c>
      <c r="J478" s="176">
        <v>34.799999999999997</v>
      </c>
      <c r="K478" s="176">
        <v>5</v>
      </c>
      <c r="L478" s="176">
        <v>0</v>
      </c>
      <c r="M478" s="176" t="s">
        <v>148</v>
      </c>
      <c r="N478" s="176" t="s">
        <v>149</v>
      </c>
      <c r="O478" s="176" t="s">
        <v>150</v>
      </c>
      <c r="P478" s="176" t="s">
        <v>151</v>
      </c>
      <c r="Q478" s="176"/>
      <c r="R478" s="176" t="s">
        <v>4753</v>
      </c>
      <c r="S478" s="176"/>
      <c r="T478" s="176" t="s">
        <v>2755</v>
      </c>
      <c r="U478" s="176" t="s">
        <v>152</v>
      </c>
      <c r="V478" s="176" t="s">
        <v>23</v>
      </c>
    </row>
    <row r="479" spans="2:22" ht="12" customHeight="1">
      <c r="B479" s="211">
        <v>46242</v>
      </c>
      <c r="C479" s="211">
        <v>46242</v>
      </c>
      <c r="D479" s="176" t="s">
        <v>4754</v>
      </c>
      <c r="E479" s="176" t="s">
        <v>4755</v>
      </c>
      <c r="F479" s="176" t="s">
        <v>87</v>
      </c>
      <c r="G479" s="176" t="s">
        <v>2513</v>
      </c>
      <c r="H479" s="176">
        <v>25</v>
      </c>
      <c r="I479" s="176">
        <v>40.6</v>
      </c>
      <c r="J479" s="176">
        <v>40.6</v>
      </c>
      <c r="K479" s="176">
        <v>4</v>
      </c>
      <c r="L479" s="176">
        <v>0</v>
      </c>
      <c r="M479" s="176" t="s">
        <v>148</v>
      </c>
      <c r="N479" s="176" t="s">
        <v>149</v>
      </c>
      <c r="O479" s="176" t="s">
        <v>150</v>
      </c>
      <c r="P479" s="176" t="s">
        <v>151</v>
      </c>
      <c r="Q479" s="176"/>
      <c r="R479" s="176" t="s">
        <v>4755</v>
      </c>
      <c r="S479" s="176"/>
      <c r="T479" s="176" t="s">
        <v>2755</v>
      </c>
      <c r="U479" s="176" t="s">
        <v>152</v>
      </c>
      <c r="V479" s="176" t="s">
        <v>23</v>
      </c>
    </row>
    <row r="480" spans="2:22" ht="12" customHeight="1">
      <c r="B480" s="211">
        <v>46242</v>
      </c>
      <c r="C480" s="211">
        <v>46242</v>
      </c>
      <c r="D480" s="176" t="s">
        <v>4756</v>
      </c>
      <c r="E480" s="176" t="s">
        <v>4757</v>
      </c>
      <c r="F480" s="176" t="s">
        <v>87</v>
      </c>
      <c r="G480" s="176" t="s">
        <v>4335</v>
      </c>
      <c r="H480" s="176">
        <v>25</v>
      </c>
      <c r="I480" s="176">
        <v>5.3</v>
      </c>
      <c r="J480" s="176">
        <v>5.3</v>
      </c>
      <c r="K480" s="176">
        <v>4</v>
      </c>
      <c r="L480" s="176">
        <v>0</v>
      </c>
      <c r="M480" s="176" t="s">
        <v>148</v>
      </c>
      <c r="N480" s="176" t="s">
        <v>149</v>
      </c>
      <c r="O480" s="176" t="s">
        <v>150</v>
      </c>
      <c r="P480" s="176" t="s">
        <v>151</v>
      </c>
      <c r="Q480" s="176"/>
      <c r="R480" s="176" t="s">
        <v>4757</v>
      </c>
      <c r="S480" s="176"/>
      <c r="T480" s="176" t="s">
        <v>2755</v>
      </c>
      <c r="U480" s="176" t="s">
        <v>152</v>
      </c>
      <c r="V480" s="176" t="s">
        <v>23</v>
      </c>
    </row>
    <row r="481" spans="2:22" ht="12" customHeight="1">
      <c r="B481" s="211">
        <v>46242</v>
      </c>
      <c r="C481" s="211">
        <v>46242</v>
      </c>
      <c r="D481" s="176" t="s">
        <v>4758</v>
      </c>
      <c r="E481" s="176" t="s">
        <v>4759</v>
      </c>
      <c r="F481" s="176" t="s">
        <v>87</v>
      </c>
      <c r="G481" s="176" t="s">
        <v>2334</v>
      </c>
      <c r="H481" s="176">
        <v>40</v>
      </c>
      <c r="I481" s="176">
        <v>36</v>
      </c>
      <c r="J481" s="176">
        <v>36</v>
      </c>
      <c r="K481" s="176">
        <v>5</v>
      </c>
      <c r="L481" s="176">
        <v>0</v>
      </c>
      <c r="M481" s="176" t="s">
        <v>148</v>
      </c>
      <c r="N481" s="176" t="s">
        <v>149</v>
      </c>
      <c r="O481" s="176" t="s">
        <v>150</v>
      </c>
      <c r="P481" s="176" t="s">
        <v>151</v>
      </c>
      <c r="Q481" s="176"/>
      <c r="R481" s="176" t="s">
        <v>4759</v>
      </c>
      <c r="S481" s="176"/>
      <c r="T481" s="176" t="s">
        <v>2755</v>
      </c>
      <c r="U481" s="176" t="s">
        <v>152</v>
      </c>
      <c r="V481" s="176" t="s">
        <v>23</v>
      </c>
    </row>
    <row r="482" spans="2:22" ht="12" customHeight="1">
      <c r="B482" s="211">
        <v>46242</v>
      </c>
      <c r="C482" s="211">
        <v>46242</v>
      </c>
      <c r="D482" s="176" t="s">
        <v>4760</v>
      </c>
      <c r="E482" s="176" t="s">
        <v>4761</v>
      </c>
      <c r="F482" s="176" t="s">
        <v>87</v>
      </c>
      <c r="G482" s="176" t="s">
        <v>4721</v>
      </c>
      <c r="H482" s="176">
        <v>40</v>
      </c>
      <c r="I482" s="176">
        <v>42.8</v>
      </c>
      <c r="J482" s="176">
        <v>42.8</v>
      </c>
      <c r="K482" s="176">
        <v>5</v>
      </c>
      <c r="L482" s="176">
        <v>0</v>
      </c>
      <c r="M482" s="176" t="s">
        <v>148</v>
      </c>
      <c r="N482" s="176" t="s">
        <v>149</v>
      </c>
      <c r="O482" s="176" t="s">
        <v>150</v>
      </c>
      <c r="P482" s="176" t="s">
        <v>151</v>
      </c>
      <c r="Q482" s="176"/>
      <c r="R482" s="176" t="s">
        <v>4761</v>
      </c>
      <c r="S482" s="176"/>
      <c r="T482" s="176" t="s">
        <v>2755</v>
      </c>
      <c r="U482" s="176" t="s">
        <v>152</v>
      </c>
      <c r="V482" s="176" t="s">
        <v>23</v>
      </c>
    </row>
    <row r="483" spans="2:22" ht="12" customHeight="1">
      <c r="B483" s="211">
        <v>46242</v>
      </c>
      <c r="C483" s="211">
        <v>46242</v>
      </c>
      <c r="D483" s="176" t="s">
        <v>4762</v>
      </c>
      <c r="E483" s="176" t="s">
        <v>4763</v>
      </c>
      <c r="F483" s="176" t="s">
        <v>87</v>
      </c>
      <c r="G483" s="176" t="s">
        <v>1966</v>
      </c>
      <c r="H483" s="176">
        <v>6</v>
      </c>
      <c r="I483" s="176">
        <v>19.8</v>
      </c>
      <c r="J483" s="176">
        <v>19.8</v>
      </c>
      <c r="K483" s="176">
        <v>1.5</v>
      </c>
      <c r="L483" s="176">
        <v>0</v>
      </c>
      <c r="M483" s="176" t="s">
        <v>148</v>
      </c>
      <c r="N483" s="176" t="s">
        <v>149</v>
      </c>
      <c r="O483" s="176" t="s">
        <v>150</v>
      </c>
      <c r="P483" s="176" t="s">
        <v>151</v>
      </c>
      <c r="Q483" s="176"/>
      <c r="R483" s="176" t="s">
        <v>4763</v>
      </c>
      <c r="S483" s="176"/>
      <c r="T483" s="176" t="s">
        <v>2755</v>
      </c>
      <c r="U483" s="176" t="s">
        <v>152</v>
      </c>
      <c r="V483" s="176" t="s">
        <v>23</v>
      </c>
    </row>
    <row r="484" spans="2:22" ht="12" customHeight="1">
      <c r="B484" s="211">
        <v>46242</v>
      </c>
      <c r="C484" s="211">
        <v>46242</v>
      </c>
      <c r="D484" s="176" t="s">
        <v>4764</v>
      </c>
      <c r="E484" s="176" t="s">
        <v>4765</v>
      </c>
      <c r="F484" s="176" t="s">
        <v>87</v>
      </c>
      <c r="G484" s="176" t="s">
        <v>4335</v>
      </c>
      <c r="H484" s="176">
        <v>25</v>
      </c>
      <c r="I484" s="176">
        <v>38.200000000000003</v>
      </c>
      <c r="J484" s="176">
        <v>38.200000000000003</v>
      </c>
      <c r="K484" s="176">
        <v>4</v>
      </c>
      <c r="L484" s="176">
        <v>0</v>
      </c>
      <c r="M484" s="176" t="s">
        <v>148</v>
      </c>
      <c r="N484" s="176" t="s">
        <v>149</v>
      </c>
      <c r="O484" s="176" t="s">
        <v>150</v>
      </c>
      <c r="P484" s="176" t="s">
        <v>151</v>
      </c>
      <c r="Q484" s="176"/>
      <c r="R484" s="176" t="s">
        <v>4765</v>
      </c>
      <c r="S484" s="176"/>
      <c r="T484" s="176" t="s">
        <v>2755</v>
      </c>
      <c r="U484" s="176" t="s">
        <v>152</v>
      </c>
      <c r="V484" s="176" t="s">
        <v>23</v>
      </c>
    </row>
    <row r="485" spans="2:22" ht="12" customHeight="1">
      <c r="B485" s="211">
        <v>46242</v>
      </c>
      <c r="C485" s="211">
        <v>46242</v>
      </c>
      <c r="D485" s="176" t="s">
        <v>4766</v>
      </c>
      <c r="E485" s="176" t="s">
        <v>4767</v>
      </c>
      <c r="F485" s="176" t="s">
        <v>87</v>
      </c>
      <c r="G485" s="176" t="s">
        <v>1678</v>
      </c>
      <c r="H485" s="176">
        <v>30</v>
      </c>
      <c r="I485" s="176">
        <v>27.1</v>
      </c>
      <c r="J485" s="176">
        <v>27.1</v>
      </c>
      <c r="K485" s="176">
        <v>4</v>
      </c>
      <c r="L485" s="176">
        <v>0</v>
      </c>
      <c r="M485" s="176" t="s">
        <v>148</v>
      </c>
      <c r="N485" s="176" t="s">
        <v>149</v>
      </c>
      <c r="O485" s="176" t="s">
        <v>150</v>
      </c>
      <c r="P485" s="176" t="s">
        <v>151</v>
      </c>
      <c r="Q485" s="176"/>
      <c r="R485" s="176" t="s">
        <v>4767</v>
      </c>
      <c r="S485" s="176"/>
      <c r="T485" s="176" t="s">
        <v>2755</v>
      </c>
      <c r="U485" s="176" t="s">
        <v>152</v>
      </c>
      <c r="V485" s="176" t="s">
        <v>23</v>
      </c>
    </row>
    <row r="486" spans="2:22" ht="12" customHeight="1">
      <c r="B486" s="211">
        <v>46242</v>
      </c>
      <c r="C486" s="211">
        <v>46242</v>
      </c>
      <c r="D486" s="176" t="s">
        <v>4768</v>
      </c>
      <c r="E486" s="176" t="s">
        <v>4769</v>
      </c>
      <c r="F486" s="176" t="s">
        <v>87</v>
      </c>
      <c r="G486" s="176" t="s">
        <v>4512</v>
      </c>
      <c r="H486" s="176">
        <v>55</v>
      </c>
      <c r="I486" s="176">
        <v>39.799999999999997</v>
      </c>
      <c r="J486" s="176">
        <v>39.799999999999997</v>
      </c>
      <c r="K486" s="176">
        <v>5</v>
      </c>
      <c r="L486" s="176">
        <v>0</v>
      </c>
      <c r="M486" s="176" t="s">
        <v>148</v>
      </c>
      <c r="N486" s="176" t="s">
        <v>149</v>
      </c>
      <c r="O486" s="176" t="s">
        <v>150</v>
      </c>
      <c r="P486" s="176" t="s">
        <v>151</v>
      </c>
      <c r="Q486" s="176"/>
      <c r="R486" s="176" t="s">
        <v>4769</v>
      </c>
      <c r="S486" s="176"/>
      <c r="T486" s="176" t="s">
        <v>2755</v>
      </c>
      <c r="U486" s="176" t="s">
        <v>152</v>
      </c>
      <c r="V486" s="176" t="s">
        <v>23</v>
      </c>
    </row>
    <row r="487" spans="2:22" ht="12" customHeight="1">
      <c r="B487" s="211">
        <v>46242</v>
      </c>
      <c r="C487" s="211">
        <v>46242</v>
      </c>
      <c r="D487" s="176" t="s">
        <v>4770</v>
      </c>
      <c r="E487" s="176" t="s">
        <v>4771</v>
      </c>
      <c r="F487" s="176" t="s">
        <v>87</v>
      </c>
      <c r="G487" s="176" t="s">
        <v>2357</v>
      </c>
      <c r="H487" s="176">
        <v>40</v>
      </c>
      <c r="I487" s="176">
        <v>39.200000000000003</v>
      </c>
      <c r="J487" s="176">
        <v>39.200000000000003</v>
      </c>
      <c r="K487" s="176">
        <v>5</v>
      </c>
      <c r="L487" s="176">
        <v>0</v>
      </c>
      <c r="M487" s="176" t="s">
        <v>148</v>
      </c>
      <c r="N487" s="176" t="s">
        <v>149</v>
      </c>
      <c r="O487" s="176" t="s">
        <v>150</v>
      </c>
      <c r="P487" s="176" t="s">
        <v>151</v>
      </c>
      <c r="Q487" s="176"/>
      <c r="R487" s="176" t="s">
        <v>4771</v>
      </c>
      <c r="S487" s="176"/>
      <c r="T487" s="176" t="s">
        <v>2755</v>
      </c>
      <c r="U487" s="176" t="s">
        <v>152</v>
      </c>
      <c r="V487" s="176" t="s">
        <v>23</v>
      </c>
    </row>
    <row r="488" spans="2:22" ht="12" customHeight="1">
      <c r="B488" s="211">
        <v>46242</v>
      </c>
      <c r="C488" s="211">
        <v>46242</v>
      </c>
      <c r="D488" s="176" t="s">
        <v>4772</v>
      </c>
      <c r="E488" s="176" t="s">
        <v>4773</v>
      </c>
      <c r="F488" s="176" t="s">
        <v>87</v>
      </c>
      <c r="G488" s="176" t="s">
        <v>2357</v>
      </c>
      <c r="H488" s="176">
        <v>40</v>
      </c>
      <c r="I488" s="176">
        <v>31.2</v>
      </c>
      <c r="J488" s="176">
        <v>31.2</v>
      </c>
      <c r="K488" s="176">
        <v>5</v>
      </c>
      <c r="L488" s="176">
        <v>0</v>
      </c>
      <c r="M488" s="176" t="s">
        <v>148</v>
      </c>
      <c r="N488" s="176" t="s">
        <v>149</v>
      </c>
      <c r="O488" s="176" t="s">
        <v>150</v>
      </c>
      <c r="P488" s="176" t="s">
        <v>151</v>
      </c>
      <c r="Q488" s="176"/>
      <c r="R488" s="176" t="s">
        <v>4773</v>
      </c>
      <c r="S488" s="176"/>
      <c r="T488" s="176" t="s">
        <v>2755</v>
      </c>
      <c r="U488" s="176" t="s">
        <v>152</v>
      </c>
      <c r="V488" s="176" t="s">
        <v>23</v>
      </c>
    </row>
    <row r="489" spans="2:22" ht="12" customHeight="1">
      <c r="B489" s="211">
        <v>46242</v>
      </c>
      <c r="C489" s="211">
        <v>46242</v>
      </c>
      <c r="D489" s="176" t="s">
        <v>4774</v>
      </c>
      <c r="E489" s="176" t="s">
        <v>4775</v>
      </c>
      <c r="F489" s="176" t="s">
        <v>87</v>
      </c>
      <c r="G489" s="176" t="s">
        <v>2334</v>
      </c>
      <c r="H489" s="176">
        <v>40</v>
      </c>
      <c r="I489" s="176">
        <v>15</v>
      </c>
      <c r="J489" s="176">
        <v>15</v>
      </c>
      <c r="K489" s="176">
        <v>5</v>
      </c>
      <c r="L489" s="176">
        <v>0</v>
      </c>
      <c r="M489" s="176" t="s">
        <v>148</v>
      </c>
      <c r="N489" s="176" t="s">
        <v>149</v>
      </c>
      <c r="O489" s="176" t="s">
        <v>150</v>
      </c>
      <c r="P489" s="176" t="s">
        <v>151</v>
      </c>
      <c r="Q489" s="176"/>
      <c r="R489" s="176" t="s">
        <v>4775</v>
      </c>
      <c r="S489" s="176"/>
      <c r="T489" s="176" t="s">
        <v>2755</v>
      </c>
      <c r="U489" s="176" t="s">
        <v>152</v>
      </c>
      <c r="V489" s="176" t="s">
        <v>23</v>
      </c>
    </row>
    <row r="490" spans="2:22" ht="12" customHeight="1">
      <c r="B490" s="211">
        <v>46242</v>
      </c>
      <c r="C490" s="211">
        <v>46242</v>
      </c>
      <c r="D490" s="176" t="s">
        <v>4776</v>
      </c>
      <c r="E490" s="176" t="s">
        <v>4777</v>
      </c>
      <c r="F490" s="176" t="s">
        <v>87</v>
      </c>
      <c r="G490" s="176" t="s">
        <v>2357</v>
      </c>
      <c r="H490" s="176">
        <v>40</v>
      </c>
      <c r="I490" s="176">
        <v>38.5</v>
      </c>
      <c r="J490" s="176">
        <v>38.5</v>
      </c>
      <c r="K490" s="176">
        <v>5</v>
      </c>
      <c r="L490" s="176">
        <v>0</v>
      </c>
      <c r="M490" s="176" t="s">
        <v>148</v>
      </c>
      <c r="N490" s="176" t="s">
        <v>149</v>
      </c>
      <c r="O490" s="176" t="s">
        <v>150</v>
      </c>
      <c r="P490" s="176" t="s">
        <v>151</v>
      </c>
      <c r="Q490" s="176"/>
      <c r="R490" s="176" t="s">
        <v>4777</v>
      </c>
      <c r="S490" s="176"/>
      <c r="T490" s="176" t="s">
        <v>2755</v>
      </c>
      <c r="U490" s="176" t="s">
        <v>152</v>
      </c>
      <c r="V490" s="176" t="s">
        <v>23</v>
      </c>
    </row>
    <row r="491" spans="2:22" ht="12" customHeight="1">
      <c r="B491" s="211">
        <v>46242</v>
      </c>
      <c r="C491" s="211">
        <v>46242</v>
      </c>
      <c r="D491" s="176" t="s">
        <v>4778</v>
      </c>
      <c r="E491" s="176" t="s">
        <v>4779</v>
      </c>
      <c r="F491" s="176" t="s">
        <v>87</v>
      </c>
      <c r="G491" s="176" t="s">
        <v>2357</v>
      </c>
      <c r="H491" s="176">
        <v>40</v>
      </c>
      <c r="I491" s="176">
        <v>31.3</v>
      </c>
      <c r="J491" s="176">
        <v>31.3</v>
      </c>
      <c r="K491" s="176">
        <v>5</v>
      </c>
      <c r="L491" s="176">
        <v>0</v>
      </c>
      <c r="M491" s="176" t="s">
        <v>148</v>
      </c>
      <c r="N491" s="176" t="s">
        <v>149</v>
      </c>
      <c r="O491" s="176" t="s">
        <v>150</v>
      </c>
      <c r="P491" s="176" t="s">
        <v>151</v>
      </c>
      <c r="Q491" s="176"/>
      <c r="R491" s="176" t="s">
        <v>4779</v>
      </c>
      <c r="S491" s="176"/>
      <c r="T491" s="176" t="s">
        <v>2755</v>
      </c>
      <c r="U491" s="176" t="s">
        <v>152</v>
      </c>
      <c r="V491" s="176" t="s">
        <v>23</v>
      </c>
    </row>
    <row r="492" spans="2:22" ht="12" customHeight="1">
      <c r="B492" s="211">
        <v>46243</v>
      </c>
      <c r="C492" s="211">
        <v>46243</v>
      </c>
      <c r="D492" s="176" t="s">
        <v>4780</v>
      </c>
      <c r="E492" s="176" t="s">
        <v>4781</v>
      </c>
      <c r="F492" s="176" t="s">
        <v>87</v>
      </c>
      <c r="G492" s="176" t="s">
        <v>1678</v>
      </c>
      <c r="H492" s="176">
        <v>30</v>
      </c>
      <c r="I492" s="176">
        <v>32.200000000000003</v>
      </c>
      <c r="J492" s="176">
        <v>32.200000000000003</v>
      </c>
      <c r="K492" s="176">
        <v>4</v>
      </c>
      <c r="L492" s="176">
        <v>0</v>
      </c>
      <c r="M492" s="176" t="s">
        <v>148</v>
      </c>
      <c r="N492" s="176" t="s">
        <v>149</v>
      </c>
      <c r="O492" s="176" t="s">
        <v>150</v>
      </c>
      <c r="P492" s="176" t="s">
        <v>151</v>
      </c>
      <c r="Q492" s="176"/>
      <c r="R492" s="176" t="s">
        <v>4781</v>
      </c>
      <c r="S492" s="176"/>
      <c r="T492" s="176" t="s">
        <v>2771</v>
      </c>
      <c r="U492" s="176" t="s">
        <v>152</v>
      </c>
      <c r="V492" s="176" t="s">
        <v>23</v>
      </c>
    </row>
    <row r="493" spans="2:22" ht="12" customHeight="1">
      <c r="B493" s="211">
        <v>46243</v>
      </c>
      <c r="C493" s="211">
        <v>46243</v>
      </c>
      <c r="D493" s="176" t="s">
        <v>4782</v>
      </c>
      <c r="E493" s="176" t="s">
        <v>4783</v>
      </c>
      <c r="F493" s="176" t="s">
        <v>87</v>
      </c>
      <c r="G493" s="176" t="s">
        <v>4512</v>
      </c>
      <c r="H493" s="176">
        <v>55</v>
      </c>
      <c r="I493" s="176">
        <v>40.6</v>
      </c>
      <c r="J493" s="176">
        <v>40.6</v>
      </c>
      <c r="K493" s="176">
        <v>5</v>
      </c>
      <c r="L493" s="176">
        <v>0</v>
      </c>
      <c r="M493" s="176" t="s">
        <v>148</v>
      </c>
      <c r="N493" s="176" t="s">
        <v>149</v>
      </c>
      <c r="O493" s="176" t="s">
        <v>150</v>
      </c>
      <c r="P493" s="176" t="s">
        <v>151</v>
      </c>
      <c r="Q493" s="176"/>
      <c r="R493" s="176" t="s">
        <v>4783</v>
      </c>
      <c r="S493" s="176"/>
      <c r="T493" s="176" t="s">
        <v>2771</v>
      </c>
      <c r="U493" s="176" t="s">
        <v>152</v>
      </c>
      <c r="V493" s="176" t="s">
        <v>23</v>
      </c>
    </row>
    <row r="494" spans="2:22" ht="12" customHeight="1">
      <c r="B494" s="211">
        <v>46243</v>
      </c>
      <c r="C494" s="211">
        <v>46243</v>
      </c>
      <c r="D494" s="176" t="s">
        <v>4784</v>
      </c>
      <c r="E494" s="176" t="s">
        <v>4785</v>
      </c>
      <c r="F494" s="176" t="s">
        <v>87</v>
      </c>
      <c r="G494" s="176" t="s">
        <v>1678</v>
      </c>
      <c r="H494" s="176">
        <v>30</v>
      </c>
      <c r="I494" s="176">
        <v>30.8</v>
      </c>
      <c r="J494" s="176">
        <v>30.8</v>
      </c>
      <c r="K494" s="176">
        <v>4</v>
      </c>
      <c r="L494" s="176">
        <v>0</v>
      </c>
      <c r="M494" s="176" t="s">
        <v>148</v>
      </c>
      <c r="N494" s="176" t="s">
        <v>149</v>
      </c>
      <c r="O494" s="176" t="s">
        <v>150</v>
      </c>
      <c r="P494" s="176" t="s">
        <v>151</v>
      </c>
      <c r="Q494" s="176"/>
      <c r="R494" s="176" t="s">
        <v>4785</v>
      </c>
      <c r="S494" s="176"/>
      <c r="T494" s="176" t="s">
        <v>2771</v>
      </c>
      <c r="U494" s="176" t="s">
        <v>152</v>
      </c>
      <c r="V494" s="176" t="s">
        <v>23</v>
      </c>
    </row>
    <row r="495" spans="2:22" ht="12" customHeight="1">
      <c r="B495" s="211">
        <v>46243</v>
      </c>
      <c r="C495" s="211">
        <v>46243</v>
      </c>
      <c r="D495" s="176" t="s">
        <v>4786</v>
      </c>
      <c r="E495" s="176" t="s">
        <v>4787</v>
      </c>
      <c r="F495" s="176" t="s">
        <v>87</v>
      </c>
      <c r="G495" s="176" t="s">
        <v>2334</v>
      </c>
      <c r="H495" s="176">
        <v>40</v>
      </c>
      <c r="I495" s="176">
        <v>37.799999999999997</v>
      </c>
      <c r="J495" s="176">
        <v>37.799999999999997</v>
      </c>
      <c r="K495" s="176">
        <v>5</v>
      </c>
      <c r="L495" s="176">
        <v>0</v>
      </c>
      <c r="M495" s="176" t="s">
        <v>148</v>
      </c>
      <c r="N495" s="176" t="s">
        <v>149</v>
      </c>
      <c r="O495" s="176" t="s">
        <v>150</v>
      </c>
      <c r="P495" s="176" t="s">
        <v>151</v>
      </c>
      <c r="Q495" s="176"/>
      <c r="R495" s="176" t="s">
        <v>4787</v>
      </c>
      <c r="S495" s="176"/>
      <c r="T495" s="176" t="s">
        <v>2771</v>
      </c>
      <c r="U495" s="176" t="s">
        <v>152</v>
      </c>
      <c r="V495" s="176" t="s">
        <v>23</v>
      </c>
    </row>
    <row r="496" spans="2:22" ht="12" customHeight="1">
      <c r="B496" s="211">
        <v>46243</v>
      </c>
      <c r="C496" s="211">
        <v>46243</v>
      </c>
      <c r="D496" s="176" t="s">
        <v>4788</v>
      </c>
      <c r="E496" s="176" t="s">
        <v>4789</v>
      </c>
      <c r="F496" s="176" t="s">
        <v>87</v>
      </c>
      <c r="G496" s="176" t="s">
        <v>2357</v>
      </c>
      <c r="H496" s="176">
        <v>40</v>
      </c>
      <c r="I496" s="176">
        <v>41.4</v>
      </c>
      <c r="J496" s="176">
        <v>41.4</v>
      </c>
      <c r="K496" s="176">
        <v>5</v>
      </c>
      <c r="L496" s="176">
        <v>0</v>
      </c>
      <c r="M496" s="176" t="s">
        <v>148</v>
      </c>
      <c r="N496" s="176" t="s">
        <v>149</v>
      </c>
      <c r="O496" s="176" t="s">
        <v>150</v>
      </c>
      <c r="P496" s="176" t="s">
        <v>151</v>
      </c>
      <c r="Q496" s="176"/>
      <c r="R496" s="176" t="s">
        <v>4789</v>
      </c>
      <c r="S496" s="176"/>
      <c r="T496" s="176" t="s">
        <v>2771</v>
      </c>
      <c r="U496" s="176" t="s">
        <v>152</v>
      </c>
      <c r="V496" s="176" t="s">
        <v>23</v>
      </c>
    </row>
    <row r="497" spans="2:22" ht="12" customHeight="1">
      <c r="B497" s="211">
        <v>46243</v>
      </c>
      <c r="C497" s="211">
        <v>46243</v>
      </c>
      <c r="D497" s="176" t="s">
        <v>4790</v>
      </c>
      <c r="E497" s="176" t="s">
        <v>4791</v>
      </c>
      <c r="F497" s="176" t="s">
        <v>87</v>
      </c>
      <c r="G497" s="176" t="s">
        <v>2334</v>
      </c>
      <c r="H497" s="176">
        <v>40</v>
      </c>
      <c r="I497" s="176">
        <v>39.799999999999997</v>
      </c>
      <c r="J497" s="176">
        <v>39.799999999999997</v>
      </c>
      <c r="K497" s="176">
        <v>5</v>
      </c>
      <c r="L497" s="176">
        <v>0</v>
      </c>
      <c r="M497" s="176" t="s">
        <v>148</v>
      </c>
      <c r="N497" s="176" t="s">
        <v>149</v>
      </c>
      <c r="O497" s="176" t="s">
        <v>150</v>
      </c>
      <c r="P497" s="176" t="s">
        <v>151</v>
      </c>
      <c r="Q497" s="176"/>
      <c r="R497" s="176" t="s">
        <v>4791</v>
      </c>
      <c r="S497" s="176"/>
      <c r="T497" s="176" t="s">
        <v>2771</v>
      </c>
      <c r="U497" s="176" t="s">
        <v>152</v>
      </c>
      <c r="V497" s="176" t="s">
        <v>23</v>
      </c>
    </row>
    <row r="498" spans="2:22" ht="12.75">
      <c r="B498" s="211">
        <v>46243</v>
      </c>
      <c r="C498" s="211">
        <v>46243</v>
      </c>
      <c r="D498" s="176" t="s">
        <v>4792</v>
      </c>
      <c r="E498" s="176" t="s">
        <v>4793</v>
      </c>
      <c r="F498" s="176" t="s">
        <v>87</v>
      </c>
      <c r="G498" s="176" t="s">
        <v>4335</v>
      </c>
      <c r="H498" s="176">
        <v>25</v>
      </c>
      <c r="I498" s="176">
        <v>38.799999999999997</v>
      </c>
      <c r="J498" s="176">
        <v>38.799999999999997</v>
      </c>
      <c r="K498" s="176">
        <v>4</v>
      </c>
      <c r="L498" s="176">
        <v>0</v>
      </c>
      <c r="M498" s="176" t="s">
        <v>148</v>
      </c>
      <c r="N498" s="176" t="s">
        <v>149</v>
      </c>
      <c r="O498" s="176" t="s">
        <v>150</v>
      </c>
      <c r="P498" s="176" t="s">
        <v>151</v>
      </c>
      <c r="Q498" s="176"/>
      <c r="R498" s="176" t="s">
        <v>4793</v>
      </c>
      <c r="S498" s="176"/>
      <c r="T498" s="176" t="s">
        <v>2771</v>
      </c>
      <c r="U498" s="176" t="s">
        <v>152</v>
      </c>
      <c r="V498" s="176" t="s">
        <v>23</v>
      </c>
    </row>
    <row r="499" spans="2:22" ht="12.75">
      <c r="B499" s="211">
        <v>46243</v>
      </c>
      <c r="C499" s="211">
        <v>46243</v>
      </c>
      <c r="D499" s="176" t="s">
        <v>4794</v>
      </c>
      <c r="E499" s="176" t="s">
        <v>4795</v>
      </c>
      <c r="F499" s="176" t="s">
        <v>87</v>
      </c>
      <c r="G499" s="176" t="s">
        <v>2357</v>
      </c>
      <c r="H499" s="176">
        <v>40</v>
      </c>
      <c r="I499" s="176">
        <v>28.1</v>
      </c>
      <c r="J499" s="176">
        <v>28.1</v>
      </c>
      <c r="K499" s="176">
        <v>5</v>
      </c>
      <c r="L499" s="176">
        <v>0</v>
      </c>
      <c r="M499" s="176" t="s">
        <v>148</v>
      </c>
      <c r="N499" s="176" t="s">
        <v>149</v>
      </c>
      <c r="O499" s="176" t="s">
        <v>150</v>
      </c>
      <c r="P499" s="176" t="s">
        <v>151</v>
      </c>
      <c r="Q499" s="176"/>
      <c r="R499" s="176" t="s">
        <v>4795</v>
      </c>
      <c r="S499" s="176"/>
      <c r="T499" s="176" t="s">
        <v>2771</v>
      </c>
      <c r="U499" s="176" t="s">
        <v>152</v>
      </c>
      <c r="V499" s="176" t="s">
        <v>23</v>
      </c>
    </row>
    <row r="500" spans="2:22" ht="12.75">
      <c r="B500" s="211">
        <v>46243</v>
      </c>
      <c r="C500" s="211">
        <v>46243</v>
      </c>
      <c r="D500" s="176" t="s">
        <v>4796</v>
      </c>
      <c r="E500" s="176" t="s">
        <v>4797</v>
      </c>
      <c r="F500" s="176" t="s">
        <v>87</v>
      </c>
      <c r="G500" s="176" t="s">
        <v>2334</v>
      </c>
      <c r="H500" s="176">
        <v>40</v>
      </c>
      <c r="I500" s="176">
        <v>20.8</v>
      </c>
      <c r="J500" s="176">
        <v>20.8</v>
      </c>
      <c r="K500" s="176">
        <v>5</v>
      </c>
      <c r="L500" s="176">
        <v>0</v>
      </c>
      <c r="M500" s="176" t="s">
        <v>148</v>
      </c>
      <c r="N500" s="176" t="s">
        <v>149</v>
      </c>
      <c r="O500" s="176" t="s">
        <v>150</v>
      </c>
      <c r="P500" s="176" t="s">
        <v>151</v>
      </c>
      <c r="Q500" s="176"/>
      <c r="R500" s="176" t="s">
        <v>4797</v>
      </c>
      <c r="S500" s="176"/>
      <c r="T500" s="176" t="s">
        <v>2771</v>
      </c>
      <c r="U500" s="176" t="s">
        <v>152</v>
      </c>
      <c r="V500" s="176" t="s">
        <v>23</v>
      </c>
    </row>
    <row r="501" spans="2:22" ht="12.75">
      <c r="B501" s="211">
        <v>46243</v>
      </c>
      <c r="C501" s="211">
        <v>46243</v>
      </c>
      <c r="D501" s="176" t="s">
        <v>4798</v>
      </c>
      <c r="E501" s="176" t="s">
        <v>4799</v>
      </c>
      <c r="F501" s="176" t="s">
        <v>87</v>
      </c>
      <c r="G501" s="176" t="s">
        <v>2357</v>
      </c>
      <c r="H501" s="176">
        <v>40</v>
      </c>
      <c r="I501" s="176">
        <v>29.8</v>
      </c>
      <c r="J501" s="176">
        <v>29.8</v>
      </c>
      <c r="K501" s="176">
        <v>5</v>
      </c>
      <c r="L501" s="176">
        <v>0</v>
      </c>
      <c r="M501" s="176" t="s">
        <v>148</v>
      </c>
      <c r="N501" s="176" t="s">
        <v>149</v>
      </c>
      <c r="O501" s="176" t="s">
        <v>150</v>
      </c>
      <c r="P501" s="176" t="s">
        <v>151</v>
      </c>
      <c r="Q501" s="176"/>
      <c r="R501" s="176" t="s">
        <v>4799</v>
      </c>
      <c r="S501" s="176"/>
      <c r="T501" s="176" t="s">
        <v>2771</v>
      </c>
      <c r="U501" s="176" t="s">
        <v>152</v>
      </c>
      <c r="V501" s="176" t="s">
        <v>23</v>
      </c>
    </row>
    <row r="502" spans="2:22" ht="12.75">
      <c r="B502" s="211">
        <v>46243</v>
      </c>
      <c r="C502" s="211">
        <v>46243</v>
      </c>
      <c r="D502" s="176" t="s">
        <v>4800</v>
      </c>
      <c r="E502" s="176" t="s">
        <v>4801</v>
      </c>
      <c r="F502" s="176" t="s">
        <v>87</v>
      </c>
      <c r="G502" s="176" t="s">
        <v>1678</v>
      </c>
      <c r="H502" s="176">
        <v>30</v>
      </c>
      <c r="I502" s="176">
        <v>13.8</v>
      </c>
      <c r="J502" s="176">
        <v>13.8</v>
      </c>
      <c r="K502" s="176">
        <v>4</v>
      </c>
      <c r="L502" s="176">
        <v>0</v>
      </c>
      <c r="M502" s="176" t="s">
        <v>148</v>
      </c>
      <c r="N502" s="176" t="s">
        <v>149</v>
      </c>
      <c r="O502" s="176" t="s">
        <v>150</v>
      </c>
      <c r="P502" s="176" t="s">
        <v>151</v>
      </c>
      <c r="Q502" s="176"/>
      <c r="R502" s="176" t="s">
        <v>4801</v>
      </c>
      <c r="S502" s="176"/>
      <c r="T502" s="176" t="s">
        <v>2771</v>
      </c>
      <c r="U502" s="176" t="s">
        <v>152</v>
      </c>
      <c r="V502" s="176" t="s">
        <v>23</v>
      </c>
    </row>
    <row r="503" spans="2:22" ht="12.75">
      <c r="B503" s="211">
        <v>46243</v>
      </c>
      <c r="C503" s="211">
        <v>46243</v>
      </c>
      <c r="D503" s="176" t="s">
        <v>4802</v>
      </c>
      <c r="E503" s="176" t="s">
        <v>4803</v>
      </c>
      <c r="F503" s="176" t="s">
        <v>87</v>
      </c>
      <c r="G503" s="176" t="s">
        <v>2515</v>
      </c>
      <c r="H503" s="176">
        <v>50</v>
      </c>
      <c r="I503" s="176">
        <v>45.2</v>
      </c>
      <c r="J503" s="176">
        <v>45.2</v>
      </c>
      <c r="K503" s="176">
        <v>5</v>
      </c>
      <c r="L503" s="176">
        <v>0</v>
      </c>
      <c r="M503" s="176" t="s">
        <v>148</v>
      </c>
      <c r="N503" s="176" t="s">
        <v>149</v>
      </c>
      <c r="O503" s="176" t="s">
        <v>150</v>
      </c>
      <c r="P503" s="176" t="s">
        <v>151</v>
      </c>
      <c r="Q503" s="176"/>
      <c r="R503" s="176" t="s">
        <v>4803</v>
      </c>
      <c r="S503" s="176"/>
      <c r="T503" s="176" t="s">
        <v>2771</v>
      </c>
      <c r="U503" s="176" t="s">
        <v>152</v>
      </c>
      <c r="V503" s="176" t="s">
        <v>23</v>
      </c>
    </row>
    <row r="504" spans="2:22" ht="12.75">
      <c r="B504" s="211">
        <v>46243</v>
      </c>
      <c r="C504" s="211">
        <v>46243</v>
      </c>
      <c r="D504" s="176" t="s">
        <v>4804</v>
      </c>
      <c r="E504" s="176" t="s">
        <v>4805</v>
      </c>
      <c r="F504" s="176" t="s">
        <v>87</v>
      </c>
      <c r="G504" s="176" t="s">
        <v>2357</v>
      </c>
      <c r="H504" s="176">
        <v>40</v>
      </c>
      <c r="I504" s="176">
        <v>15.3</v>
      </c>
      <c r="J504" s="176">
        <v>15.3</v>
      </c>
      <c r="K504" s="176">
        <v>5</v>
      </c>
      <c r="L504" s="176">
        <v>0</v>
      </c>
      <c r="M504" s="176" t="s">
        <v>148</v>
      </c>
      <c r="N504" s="176" t="s">
        <v>149</v>
      </c>
      <c r="O504" s="176" t="s">
        <v>150</v>
      </c>
      <c r="P504" s="176" t="s">
        <v>151</v>
      </c>
      <c r="Q504" s="176"/>
      <c r="R504" s="176" t="s">
        <v>4805</v>
      </c>
      <c r="S504" s="176"/>
      <c r="T504" s="176" t="s">
        <v>2771</v>
      </c>
      <c r="U504" s="176" t="s">
        <v>152</v>
      </c>
      <c r="V504" s="176" t="s">
        <v>23</v>
      </c>
    </row>
    <row r="505" spans="2:22" ht="12.75">
      <c r="B505" s="211">
        <v>46243</v>
      </c>
      <c r="C505" s="211">
        <v>46243</v>
      </c>
      <c r="D505" s="176" t="s">
        <v>4806</v>
      </c>
      <c r="E505" s="176" t="s">
        <v>4807</v>
      </c>
      <c r="F505" s="176" t="s">
        <v>87</v>
      </c>
      <c r="G505" s="176" t="s">
        <v>2512</v>
      </c>
      <c r="H505" s="176">
        <v>40</v>
      </c>
      <c r="I505" s="176">
        <v>31.4</v>
      </c>
      <c r="J505" s="176">
        <v>31.4</v>
      </c>
      <c r="K505" s="176">
        <v>5</v>
      </c>
      <c r="L505" s="176">
        <v>0</v>
      </c>
      <c r="M505" s="176" t="s">
        <v>148</v>
      </c>
      <c r="N505" s="176" t="s">
        <v>149</v>
      </c>
      <c r="O505" s="176" t="s">
        <v>150</v>
      </c>
      <c r="P505" s="176" t="s">
        <v>151</v>
      </c>
      <c r="Q505" s="176"/>
      <c r="R505" s="176" t="s">
        <v>4807</v>
      </c>
      <c r="S505" s="176"/>
      <c r="T505" s="176" t="s">
        <v>2771</v>
      </c>
      <c r="U505" s="176" t="s">
        <v>152</v>
      </c>
      <c r="V505" s="176" t="s">
        <v>23</v>
      </c>
    </row>
    <row r="506" spans="2:22" ht="12.75">
      <c r="B506" s="211">
        <v>46243</v>
      </c>
      <c r="C506" s="211">
        <v>46243</v>
      </c>
      <c r="D506" s="176" t="s">
        <v>4808</v>
      </c>
      <c r="E506" s="176" t="s">
        <v>4809</v>
      </c>
      <c r="F506" s="176" t="s">
        <v>87</v>
      </c>
      <c r="G506" s="176" t="s">
        <v>4512</v>
      </c>
      <c r="H506" s="176">
        <v>55</v>
      </c>
      <c r="I506" s="176">
        <v>34.799999999999997</v>
      </c>
      <c r="J506" s="176">
        <v>34.799999999999997</v>
      </c>
      <c r="K506" s="176">
        <v>5</v>
      </c>
      <c r="L506" s="176">
        <v>0</v>
      </c>
      <c r="M506" s="176" t="s">
        <v>148</v>
      </c>
      <c r="N506" s="176" t="s">
        <v>149</v>
      </c>
      <c r="O506" s="176" t="s">
        <v>150</v>
      </c>
      <c r="P506" s="176" t="s">
        <v>151</v>
      </c>
      <c r="Q506" s="176"/>
      <c r="R506" s="176" t="s">
        <v>4809</v>
      </c>
      <c r="S506" s="176"/>
      <c r="T506" s="176" t="s">
        <v>2771</v>
      </c>
      <c r="U506" s="176" t="s">
        <v>152</v>
      </c>
      <c r="V506" s="176" t="s">
        <v>23</v>
      </c>
    </row>
    <row r="507" spans="2:22" ht="12.75">
      <c r="B507" s="211">
        <v>46243</v>
      </c>
      <c r="C507" s="211">
        <v>46243</v>
      </c>
      <c r="D507" s="176" t="s">
        <v>4810</v>
      </c>
      <c r="E507" s="176" t="s">
        <v>4811</v>
      </c>
      <c r="F507" s="176" t="s">
        <v>87</v>
      </c>
      <c r="G507" s="176" t="s">
        <v>2404</v>
      </c>
      <c r="H507" s="176">
        <v>40</v>
      </c>
      <c r="I507" s="176">
        <v>37.4</v>
      </c>
      <c r="J507" s="176">
        <v>37.4</v>
      </c>
      <c r="K507" s="176">
        <v>5</v>
      </c>
      <c r="L507" s="176">
        <v>0</v>
      </c>
      <c r="M507" s="176" t="s">
        <v>148</v>
      </c>
      <c r="N507" s="176" t="s">
        <v>149</v>
      </c>
      <c r="O507" s="176" t="s">
        <v>150</v>
      </c>
      <c r="P507" s="176" t="s">
        <v>151</v>
      </c>
      <c r="Q507" s="176"/>
      <c r="R507" s="176" t="s">
        <v>4811</v>
      </c>
      <c r="S507" s="176"/>
      <c r="T507" s="176" t="s">
        <v>2771</v>
      </c>
      <c r="U507" s="176" t="s">
        <v>152</v>
      </c>
      <c r="V507" s="176" t="s">
        <v>23</v>
      </c>
    </row>
    <row r="508" spans="2:22" ht="12.75">
      <c r="B508" s="211">
        <v>46243</v>
      </c>
      <c r="C508" s="211">
        <v>46243</v>
      </c>
      <c r="D508" s="176" t="s">
        <v>4812</v>
      </c>
      <c r="E508" s="176" t="s">
        <v>4813</v>
      </c>
      <c r="F508" s="176" t="s">
        <v>87</v>
      </c>
      <c r="G508" s="176" t="s">
        <v>2357</v>
      </c>
      <c r="H508" s="176">
        <v>40</v>
      </c>
      <c r="I508" s="176">
        <v>36.799999999999997</v>
      </c>
      <c r="J508" s="176">
        <v>36.799999999999997</v>
      </c>
      <c r="K508" s="176">
        <v>5</v>
      </c>
      <c r="L508" s="176">
        <v>0</v>
      </c>
      <c r="M508" s="176" t="s">
        <v>148</v>
      </c>
      <c r="N508" s="176" t="s">
        <v>149</v>
      </c>
      <c r="O508" s="176" t="s">
        <v>150</v>
      </c>
      <c r="P508" s="176" t="s">
        <v>151</v>
      </c>
      <c r="Q508" s="176"/>
      <c r="R508" s="176" t="s">
        <v>4813</v>
      </c>
      <c r="S508" s="176"/>
      <c r="T508" s="176" t="s">
        <v>2771</v>
      </c>
      <c r="U508" s="176" t="s">
        <v>152</v>
      </c>
      <c r="V508" s="176" t="s">
        <v>23</v>
      </c>
    </row>
    <row r="509" spans="2:22" ht="12.75">
      <c r="B509" s="211">
        <v>46243</v>
      </c>
      <c r="C509" s="211">
        <v>46243</v>
      </c>
      <c r="D509" s="176" t="s">
        <v>4814</v>
      </c>
      <c r="E509" s="176" t="s">
        <v>4815</v>
      </c>
      <c r="F509" s="176" t="s">
        <v>87</v>
      </c>
      <c r="G509" s="176" t="s">
        <v>2357</v>
      </c>
      <c r="H509" s="176">
        <v>40</v>
      </c>
      <c r="I509" s="176">
        <v>30.5</v>
      </c>
      <c r="J509" s="176">
        <v>30.5</v>
      </c>
      <c r="K509" s="176">
        <v>5</v>
      </c>
      <c r="L509" s="176">
        <v>0</v>
      </c>
      <c r="M509" s="176" t="s">
        <v>148</v>
      </c>
      <c r="N509" s="176" t="s">
        <v>149</v>
      </c>
      <c r="O509" s="176" t="s">
        <v>150</v>
      </c>
      <c r="P509" s="176" t="s">
        <v>151</v>
      </c>
      <c r="Q509" s="176"/>
      <c r="R509" s="176" t="s">
        <v>4815</v>
      </c>
      <c r="S509" s="176"/>
      <c r="T509" s="176" t="s">
        <v>2771</v>
      </c>
      <c r="U509" s="176" t="s">
        <v>152</v>
      </c>
      <c r="V509" s="176" t="s">
        <v>23</v>
      </c>
    </row>
    <row r="510" spans="2:22" ht="12.75">
      <c r="B510" s="211">
        <v>46243</v>
      </c>
      <c r="C510" s="211">
        <v>46243</v>
      </c>
      <c r="D510" s="176" t="s">
        <v>4816</v>
      </c>
      <c r="E510" s="176" t="s">
        <v>4817</v>
      </c>
      <c r="F510" s="176" t="s">
        <v>87</v>
      </c>
      <c r="G510" s="176" t="s">
        <v>2357</v>
      </c>
      <c r="H510" s="176">
        <v>40</v>
      </c>
      <c r="I510" s="176">
        <v>18.3</v>
      </c>
      <c r="J510" s="176">
        <v>18.3</v>
      </c>
      <c r="K510" s="176">
        <v>5</v>
      </c>
      <c r="L510" s="176">
        <v>0</v>
      </c>
      <c r="M510" s="176" t="s">
        <v>148</v>
      </c>
      <c r="N510" s="176" t="s">
        <v>149</v>
      </c>
      <c r="O510" s="176" t="s">
        <v>150</v>
      </c>
      <c r="P510" s="176" t="s">
        <v>151</v>
      </c>
      <c r="Q510" s="176"/>
      <c r="R510" s="176" t="s">
        <v>4817</v>
      </c>
      <c r="S510" s="176"/>
      <c r="T510" s="176" t="s">
        <v>2771</v>
      </c>
      <c r="U510" s="176" t="s">
        <v>152</v>
      </c>
      <c r="V510" s="176" t="s">
        <v>23</v>
      </c>
    </row>
    <row r="511" spans="2:22" ht="12.75">
      <c r="B511" s="211">
        <v>46243</v>
      </c>
      <c r="C511" s="211">
        <v>46243</v>
      </c>
      <c r="D511" s="176" t="s">
        <v>4818</v>
      </c>
      <c r="E511" s="176" t="s">
        <v>4819</v>
      </c>
      <c r="F511" s="176" t="s">
        <v>87</v>
      </c>
      <c r="G511" s="176" t="s">
        <v>2513</v>
      </c>
      <c r="H511" s="176">
        <v>25</v>
      </c>
      <c r="I511" s="176">
        <v>36.799999999999997</v>
      </c>
      <c r="J511" s="176">
        <v>36.799999999999997</v>
      </c>
      <c r="K511" s="176">
        <v>4</v>
      </c>
      <c r="L511" s="176">
        <v>0</v>
      </c>
      <c r="M511" s="176" t="s">
        <v>148</v>
      </c>
      <c r="N511" s="176" t="s">
        <v>149</v>
      </c>
      <c r="O511" s="176" t="s">
        <v>150</v>
      </c>
      <c r="P511" s="176" t="s">
        <v>151</v>
      </c>
      <c r="Q511" s="176"/>
      <c r="R511" s="176" t="s">
        <v>4819</v>
      </c>
      <c r="S511" s="176"/>
      <c r="T511" s="176" t="s">
        <v>2771</v>
      </c>
      <c r="U511" s="176" t="s">
        <v>152</v>
      </c>
      <c r="V511" s="176" t="s">
        <v>23</v>
      </c>
    </row>
    <row r="512" spans="2:22" ht="12.75">
      <c r="B512" s="211">
        <v>46243</v>
      </c>
      <c r="C512" s="211">
        <v>46243</v>
      </c>
      <c r="D512" s="176" t="s">
        <v>4820</v>
      </c>
      <c r="E512" s="176" t="s">
        <v>4821</v>
      </c>
      <c r="F512" s="176" t="s">
        <v>87</v>
      </c>
      <c r="G512" s="176" t="s">
        <v>2404</v>
      </c>
      <c r="H512" s="176">
        <v>40</v>
      </c>
      <c r="I512" s="176">
        <v>32.4</v>
      </c>
      <c r="J512" s="176">
        <v>32.4</v>
      </c>
      <c r="K512" s="176">
        <v>5</v>
      </c>
      <c r="L512" s="176">
        <v>0</v>
      </c>
      <c r="M512" s="176" t="s">
        <v>148</v>
      </c>
      <c r="N512" s="176" t="s">
        <v>149</v>
      </c>
      <c r="O512" s="176" t="s">
        <v>150</v>
      </c>
      <c r="P512" s="176" t="s">
        <v>151</v>
      </c>
      <c r="Q512" s="176"/>
      <c r="R512" s="176" t="s">
        <v>4821</v>
      </c>
      <c r="S512" s="176"/>
      <c r="T512" s="176" t="s">
        <v>2771</v>
      </c>
      <c r="U512" s="176" t="s">
        <v>152</v>
      </c>
      <c r="V512" s="176" t="s">
        <v>23</v>
      </c>
    </row>
    <row r="513" spans="2:22" ht="12.75">
      <c r="B513" s="211">
        <v>46243</v>
      </c>
      <c r="C513" s="211">
        <v>46243</v>
      </c>
      <c r="D513" s="176" t="s">
        <v>4822</v>
      </c>
      <c r="E513" s="176" t="s">
        <v>4823</v>
      </c>
      <c r="F513" s="176" t="s">
        <v>87</v>
      </c>
      <c r="G513" s="176" t="s">
        <v>1678</v>
      </c>
      <c r="H513" s="176">
        <v>30</v>
      </c>
      <c r="I513" s="176">
        <v>35.799999999999997</v>
      </c>
      <c r="J513" s="176">
        <v>35.799999999999997</v>
      </c>
      <c r="K513" s="176">
        <v>4</v>
      </c>
      <c r="L513" s="176">
        <v>0</v>
      </c>
      <c r="M513" s="176" t="s">
        <v>148</v>
      </c>
      <c r="N513" s="176" t="s">
        <v>149</v>
      </c>
      <c r="O513" s="176" t="s">
        <v>150</v>
      </c>
      <c r="P513" s="176" t="s">
        <v>151</v>
      </c>
      <c r="Q513" s="176"/>
      <c r="R513" s="176" t="s">
        <v>4823</v>
      </c>
      <c r="S513" s="176"/>
      <c r="T513" s="176" t="s">
        <v>2771</v>
      </c>
      <c r="U513" s="176" t="s">
        <v>152</v>
      </c>
      <c r="V513" s="176" t="s">
        <v>23</v>
      </c>
    </row>
    <row r="514" spans="2:22" ht="12.75">
      <c r="B514" s="211">
        <v>46243</v>
      </c>
      <c r="C514" s="211">
        <v>46243</v>
      </c>
      <c r="D514" s="176" t="s">
        <v>4824</v>
      </c>
      <c r="E514" s="176" t="s">
        <v>4825</v>
      </c>
      <c r="F514" s="176" t="s">
        <v>87</v>
      </c>
      <c r="G514" s="176" t="s">
        <v>2357</v>
      </c>
      <c r="H514" s="176">
        <v>40</v>
      </c>
      <c r="I514" s="176">
        <v>41.7</v>
      </c>
      <c r="J514" s="176">
        <v>41.7</v>
      </c>
      <c r="K514" s="176">
        <v>5</v>
      </c>
      <c r="L514" s="176">
        <v>0</v>
      </c>
      <c r="M514" s="176" t="s">
        <v>148</v>
      </c>
      <c r="N514" s="176" t="s">
        <v>149</v>
      </c>
      <c r="O514" s="176" t="s">
        <v>150</v>
      </c>
      <c r="P514" s="176" t="s">
        <v>151</v>
      </c>
      <c r="Q514" s="176"/>
      <c r="R514" s="176" t="s">
        <v>4825</v>
      </c>
      <c r="S514" s="176"/>
      <c r="T514" s="176" t="s">
        <v>2771</v>
      </c>
      <c r="U514" s="176" t="s">
        <v>152</v>
      </c>
      <c r="V514" s="176" t="s">
        <v>23</v>
      </c>
    </row>
    <row r="515" spans="2:22" ht="12.75">
      <c r="B515" s="211">
        <v>46243</v>
      </c>
      <c r="C515" s="211">
        <v>46243</v>
      </c>
      <c r="D515" s="176" t="s">
        <v>4826</v>
      </c>
      <c r="E515" s="176" t="s">
        <v>4827</v>
      </c>
      <c r="F515" s="176" t="s">
        <v>87</v>
      </c>
      <c r="G515" s="176" t="s">
        <v>2357</v>
      </c>
      <c r="H515" s="176">
        <v>40</v>
      </c>
      <c r="I515" s="176">
        <v>26.4</v>
      </c>
      <c r="J515" s="176">
        <v>26.4</v>
      </c>
      <c r="K515" s="176">
        <v>5</v>
      </c>
      <c r="L515" s="176">
        <v>0</v>
      </c>
      <c r="M515" s="176" t="s">
        <v>148</v>
      </c>
      <c r="N515" s="176" t="s">
        <v>149</v>
      </c>
      <c r="O515" s="176" t="s">
        <v>150</v>
      </c>
      <c r="P515" s="176" t="s">
        <v>151</v>
      </c>
      <c r="Q515" s="176"/>
      <c r="R515" s="176" t="s">
        <v>4827</v>
      </c>
      <c r="S515" s="176"/>
      <c r="T515" s="176" t="s">
        <v>2771</v>
      </c>
      <c r="U515" s="176" t="s">
        <v>152</v>
      </c>
      <c r="V515" s="176" t="s">
        <v>23</v>
      </c>
    </row>
    <row r="516" spans="2:22" ht="12.75">
      <c r="B516" s="211">
        <v>46243</v>
      </c>
      <c r="C516" s="211">
        <v>46243</v>
      </c>
      <c r="D516" s="176" t="s">
        <v>4828</v>
      </c>
      <c r="E516" s="176" t="s">
        <v>4829</v>
      </c>
      <c r="F516" s="176" t="s">
        <v>87</v>
      </c>
      <c r="G516" s="176" t="s">
        <v>4512</v>
      </c>
      <c r="H516" s="176">
        <v>55</v>
      </c>
      <c r="I516" s="176">
        <v>44.1</v>
      </c>
      <c r="J516" s="176">
        <v>44.1</v>
      </c>
      <c r="K516" s="176">
        <v>5</v>
      </c>
      <c r="L516" s="176">
        <v>0</v>
      </c>
      <c r="M516" s="176" t="s">
        <v>148</v>
      </c>
      <c r="N516" s="176" t="s">
        <v>149</v>
      </c>
      <c r="O516" s="176" t="s">
        <v>150</v>
      </c>
      <c r="P516" s="176" t="s">
        <v>151</v>
      </c>
      <c r="Q516" s="176"/>
      <c r="R516" s="176" t="s">
        <v>4829</v>
      </c>
      <c r="S516" s="176"/>
      <c r="T516" s="176" t="s">
        <v>2771</v>
      </c>
      <c r="U516" s="176" t="s">
        <v>152</v>
      </c>
      <c r="V516" s="176" t="s">
        <v>23</v>
      </c>
    </row>
    <row r="517" spans="2:22" ht="12.75">
      <c r="B517" s="211">
        <v>46243</v>
      </c>
      <c r="C517" s="211">
        <v>46243</v>
      </c>
      <c r="D517" s="176" t="s">
        <v>4830</v>
      </c>
      <c r="E517" s="176" t="s">
        <v>4831</v>
      </c>
      <c r="F517" s="176" t="s">
        <v>87</v>
      </c>
      <c r="G517" s="176" t="s">
        <v>2404</v>
      </c>
      <c r="H517" s="176">
        <v>40</v>
      </c>
      <c r="I517" s="176">
        <v>42.3</v>
      </c>
      <c r="J517" s="176">
        <v>42.3</v>
      </c>
      <c r="K517" s="176">
        <v>5</v>
      </c>
      <c r="L517" s="176">
        <v>0</v>
      </c>
      <c r="M517" s="176" t="s">
        <v>148</v>
      </c>
      <c r="N517" s="176" t="s">
        <v>149</v>
      </c>
      <c r="O517" s="176" t="s">
        <v>150</v>
      </c>
      <c r="P517" s="176" t="s">
        <v>151</v>
      </c>
      <c r="Q517" s="176"/>
      <c r="R517" s="176" t="s">
        <v>4831</v>
      </c>
      <c r="S517" s="176"/>
      <c r="T517" s="176" t="s">
        <v>2771</v>
      </c>
      <c r="U517" s="176" t="s">
        <v>152</v>
      </c>
      <c r="V517" s="176" t="s">
        <v>23</v>
      </c>
    </row>
    <row r="518" spans="2:22" ht="12.75">
      <c r="B518" s="211">
        <v>46243</v>
      </c>
      <c r="C518" s="211">
        <v>46243</v>
      </c>
      <c r="D518" s="176" t="s">
        <v>4832</v>
      </c>
      <c r="E518" s="176" t="s">
        <v>4833</v>
      </c>
      <c r="F518" s="176" t="s">
        <v>87</v>
      </c>
      <c r="G518" s="176" t="s">
        <v>2357</v>
      </c>
      <c r="H518" s="176">
        <v>40</v>
      </c>
      <c r="I518" s="176">
        <v>36.799999999999997</v>
      </c>
      <c r="J518" s="176">
        <v>36.799999999999997</v>
      </c>
      <c r="K518" s="176">
        <v>5</v>
      </c>
      <c r="L518" s="176">
        <v>0</v>
      </c>
      <c r="M518" s="176" t="s">
        <v>148</v>
      </c>
      <c r="N518" s="176" t="s">
        <v>149</v>
      </c>
      <c r="O518" s="176" t="s">
        <v>150</v>
      </c>
      <c r="P518" s="176" t="s">
        <v>151</v>
      </c>
      <c r="Q518" s="176"/>
      <c r="R518" s="176" t="s">
        <v>4833</v>
      </c>
      <c r="S518" s="176"/>
      <c r="T518" s="176" t="s">
        <v>2771</v>
      </c>
      <c r="U518" s="176" t="s">
        <v>152</v>
      </c>
      <c r="V518" s="176" t="s">
        <v>23</v>
      </c>
    </row>
    <row r="519" spans="2:22" ht="12.75">
      <c r="B519" s="211">
        <v>46243</v>
      </c>
      <c r="C519" s="211">
        <v>46243</v>
      </c>
      <c r="D519" s="176" t="s">
        <v>4834</v>
      </c>
      <c r="E519" s="176" t="s">
        <v>4835</v>
      </c>
      <c r="F519" s="176" t="s">
        <v>87</v>
      </c>
      <c r="G519" s="176" t="s">
        <v>2334</v>
      </c>
      <c r="H519" s="176">
        <v>40</v>
      </c>
      <c r="I519" s="176">
        <v>36.5</v>
      </c>
      <c r="J519" s="176">
        <v>36.5</v>
      </c>
      <c r="K519" s="176">
        <v>5</v>
      </c>
      <c r="L519" s="176">
        <v>0</v>
      </c>
      <c r="M519" s="176" t="s">
        <v>148</v>
      </c>
      <c r="N519" s="176" t="s">
        <v>149</v>
      </c>
      <c r="O519" s="176" t="s">
        <v>150</v>
      </c>
      <c r="P519" s="176" t="s">
        <v>151</v>
      </c>
      <c r="Q519" s="176"/>
      <c r="R519" s="176" t="s">
        <v>4835</v>
      </c>
      <c r="S519" s="176"/>
      <c r="T519" s="176" t="s">
        <v>2771</v>
      </c>
      <c r="U519" s="176" t="s">
        <v>152</v>
      </c>
      <c r="V519" s="176" t="s">
        <v>23</v>
      </c>
    </row>
    <row r="520" spans="2:22" ht="12.75">
      <c r="B520" s="211">
        <v>46243</v>
      </c>
      <c r="C520" s="211">
        <v>46243</v>
      </c>
      <c r="D520" s="176" t="s">
        <v>4836</v>
      </c>
      <c r="E520" s="176" t="s">
        <v>4837</v>
      </c>
      <c r="F520" s="176" t="s">
        <v>87</v>
      </c>
      <c r="G520" s="176" t="s">
        <v>2513</v>
      </c>
      <c r="H520" s="176">
        <v>25</v>
      </c>
      <c r="I520" s="176">
        <v>41.8</v>
      </c>
      <c r="J520" s="176">
        <v>41.8</v>
      </c>
      <c r="K520" s="176">
        <v>4</v>
      </c>
      <c r="L520" s="176">
        <v>0</v>
      </c>
      <c r="M520" s="176" t="s">
        <v>148</v>
      </c>
      <c r="N520" s="176" t="s">
        <v>149</v>
      </c>
      <c r="O520" s="176" t="s">
        <v>150</v>
      </c>
      <c r="P520" s="176" t="s">
        <v>151</v>
      </c>
      <c r="Q520" s="176"/>
      <c r="R520" s="176" t="s">
        <v>4837</v>
      </c>
      <c r="S520" s="176"/>
      <c r="T520" s="176" t="s">
        <v>2771</v>
      </c>
      <c r="U520" s="176" t="s">
        <v>152</v>
      </c>
      <c r="V520" s="176" t="s">
        <v>23</v>
      </c>
    </row>
    <row r="521" spans="2:22" ht="12.75">
      <c r="B521" s="211">
        <v>46243</v>
      </c>
      <c r="C521" s="211">
        <v>46243</v>
      </c>
      <c r="D521" s="176" t="s">
        <v>4838</v>
      </c>
      <c r="E521" s="176" t="s">
        <v>4839</v>
      </c>
      <c r="F521" s="176" t="s">
        <v>87</v>
      </c>
      <c r="G521" s="176" t="s">
        <v>2513</v>
      </c>
      <c r="H521" s="176">
        <v>25</v>
      </c>
      <c r="I521" s="176">
        <v>25.8</v>
      </c>
      <c r="J521" s="176">
        <v>25.8</v>
      </c>
      <c r="K521" s="176">
        <v>4</v>
      </c>
      <c r="L521" s="176">
        <v>0</v>
      </c>
      <c r="M521" s="176" t="s">
        <v>148</v>
      </c>
      <c r="N521" s="176" t="s">
        <v>149</v>
      </c>
      <c r="O521" s="176" t="s">
        <v>150</v>
      </c>
      <c r="P521" s="176" t="s">
        <v>151</v>
      </c>
      <c r="Q521" s="176"/>
      <c r="R521" s="176" t="s">
        <v>4839</v>
      </c>
      <c r="S521" s="176"/>
      <c r="T521" s="176" t="s">
        <v>2771</v>
      </c>
      <c r="U521" s="176" t="s">
        <v>152</v>
      </c>
      <c r="V521" s="176" t="s">
        <v>23</v>
      </c>
    </row>
    <row r="522" spans="2:22" ht="12.75">
      <c r="B522" s="211">
        <v>46243</v>
      </c>
      <c r="C522" s="211">
        <v>46243</v>
      </c>
      <c r="D522" s="176" t="s">
        <v>4840</v>
      </c>
      <c r="E522" s="176" t="s">
        <v>4841</v>
      </c>
      <c r="F522" s="176" t="s">
        <v>87</v>
      </c>
      <c r="G522" s="176" t="s">
        <v>4335</v>
      </c>
      <c r="H522" s="176">
        <v>25</v>
      </c>
      <c r="I522" s="176">
        <v>27.7</v>
      </c>
      <c r="J522" s="176">
        <v>27.7</v>
      </c>
      <c r="K522" s="176">
        <v>4</v>
      </c>
      <c r="L522" s="176">
        <v>0</v>
      </c>
      <c r="M522" s="176" t="s">
        <v>148</v>
      </c>
      <c r="N522" s="176" t="s">
        <v>149</v>
      </c>
      <c r="O522" s="176" t="s">
        <v>150</v>
      </c>
      <c r="P522" s="176" t="s">
        <v>151</v>
      </c>
      <c r="Q522" s="176"/>
      <c r="R522" s="176" t="s">
        <v>4841</v>
      </c>
      <c r="S522" s="176"/>
      <c r="T522" s="176" t="s">
        <v>2771</v>
      </c>
      <c r="U522" s="176" t="s">
        <v>152</v>
      </c>
      <c r="V522" s="176" t="s">
        <v>23</v>
      </c>
    </row>
    <row r="523" spans="2:22" ht="12.75">
      <c r="B523" s="211">
        <v>46243</v>
      </c>
      <c r="C523" s="211">
        <v>46243</v>
      </c>
      <c r="D523" s="176" t="s">
        <v>4842</v>
      </c>
      <c r="E523" s="176" t="s">
        <v>4843</v>
      </c>
      <c r="F523" s="176" t="s">
        <v>87</v>
      </c>
      <c r="G523" s="176" t="s">
        <v>2334</v>
      </c>
      <c r="H523" s="176">
        <v>40</v>
      </c>
      <c r="I523" s="176">
        <v>41.5</v>
      </c>
      <c r="J523" s="176">
        <v>41.5</v>
      </c>
      <c r="K523" s="176">
        <v>5</v>
      </c>
      <c r="L523" s="176">
        <v>0</v>
      </c>
      <c r="M523" s="176" t="s">
        <v>148</v>
      </c>
      <c r="N523" s="176" t="s">
        <v>149</v>
      </c>
      <c r="O523" s="176" t="s">
        <v>150</v>
      </c>
      <c r="P523" s="176" t="s">
        <v>151</v>
      </c>
      <c r="Q523" s="176"/>
      <c r="R523" s="176" t="s">
        <v>4843</v>
      </c>
      <c r="S523" s="176"/>
      <c r="T523" s="176" t="s">
        <v>2771</v>
      </c>
      <c r="U523" s="176" t="s">
        <v>152</v>
      </c>
      <c r="V523" s="176" t="s">
        <v>23</v>
      </c>
    </row>
    <row r="524" spans="2:22" ht="12.75">
      <c r="B524" s="211">
        <v>46243</v>
      </c>
      <c r="C524" s="211">
        <v>46243</v>
      </c>
      <c r="D524" s="176" t="s">
        <v>4844</v>
      </c>
      <c r="E524" s="176" t="s">
        <v>4845</v>
      </c>
      <c r="F524" s="176" t="s">
        <v>87</v>
      </c>
      <c r="G524" s="176" t="s">
        <v>2357</v>
      </c>
      <c r="H524" s="176">
        <v>40</v>
      </c>
      <c r="I524" s="176">
        <v>32.799999999999997</v>
      </c>
      <c r="J524" s="176">
        <v>32.799999999999997</v>
      </c>
      <c r="K524" s="176">
        <v>5</v>
      </c>
      <c r="L524" s="176">
        <v>0</v>
      </c>
      <c r="M524" s="176" t="s">
        <v>148</v>
      </c>
      <c r="N524" s="176" t="s">
        <v>149</v>
      </c>
      <c r="O524" s="176" t="s">
        <v>150</v>
      </c>
      <c r="P524" s="176" t="s">
        <v>151</v>
      </c>
      <c r="Q524" s="176"/>
      <c r="R524" s="176" t="s">
        <v>4845</v>
      </c>
      <c r="S524" s="176"/>
      <c r="T524" s="176" t="s">
        <v>2771</v>
      </c>
      <c r="U524" s="176" t="s">
        <v>152</v>
      </c>
      <c r="V524" s="176" t="s">
        <v>23</v>
      </c>
    </row>
    <row r="525" spans="2:22" ht="12.75">
      <c r="B525" s="211">
        <v>46243</v>
      </c>
      <c r="C525" s="211">
        <v>46243</v>
      </c>
      <c r="D525" s="176" t="s">
        <v>4846</v>
      </c>
      <c r="E525" s="176" t="s">
        <v>4847</v>
      </c>
      <c r="F525" s="176" t="s">
        <v>87</v>
      </c>
      <c r="G525" s="176" t="s">
        <v>2515</v>
      </c>
      <c r="H525" s="176">
        <v>50</v>
      </c>
      <c r="I525" s="176">
        <v>29.8</v>
      </c>
      <c r="J525" s="176">
        <v>29.8</v>
      </c>
      <c r="K525" s="176">
        <v>5</v>
      </c>
      <c r="L525" s="176">
        <v>0</v>
      </c>
      <c r="M525" s="176" t="s">
        <v>148</v>
      </c>
      <c r="N525" s="176" t="s">
        <v>149</v>
      </c>
      <c r="O525" s="176" t="s">
        <v>150</v>
      </c>
      <c r="P525" s="176" t="s">
        <v>151</v>
      </c>
      <c r="Q525" s="176"/>
      <c r="R525" s="176" t="s">
        <v>4847</v>
      </c>
      <c r="S525" s="176"/>
      <c r="T525" s="176" t="s">
        <v>2771</v>
      </c>
      <c r="U525" s="176" t="s">
        <v>152</v>
      </c>
      <c r="V525" s="176" t="s">
        <v>23</v>
      </c>
    </row>
    <row r="526" spans="2:22" ht="12.75">
      <c r="B526" s="211">
        <v>46243</v>
      </c>
      <c r="C526" s="211">
        <v>46243</v>
      </c>
      <c r="D526" s="176" t="s">
        <v>4848</v>
      </c>
      <c r="E526" s="176" t="s">
        <v>4849</v>
      </c>
      <c r="F526" s="176" t="s">
        <v>87</v>
      </c>
      <c r="G526" s="176" t="s">
        <v>1678</v>
      </c>
      <c r="H526" s="176">
        <v>30</v>
      </c>
      <c r="I526" s="176">
        <v>37.299999999999997</v>
      </c>
      <c r="J526" s="176">
        <v>37.299999999999997</v>
      </c>
      <c r="K526" s="176">
        <v>4</v>
      </c>
      <c r="L526" s="176">
        <v>0</v>
      </c>
      <c r="M526" s="176" t="s">
        <v>148</v>
      </c>
      <c r="N526" s="176" t="s">
        <v>149</v>
      </c>
      <c r="O526" s="176" t="s">
        <v>150</v>
      </c>
      <c r="P526" s="176" t="s">
        <v>151</v>
      </c>
      <c r="Q526" s="176"/>
      <c r="R526" s="176" t="s">
        <v>4849</v>
      </c>
      <c r="S526" s="176"/>
      <c r="T526" s="176" t="s">
        <v>2771</v>
      </c>
      <c r="U526" s="176" t="s">
        <v>152</v>
      </c>
      <c r="V526" s="176" t="s">
        <v>23</v>
      </c>
    </row>
    <row r="527" spans="2:22" ht="12.75">
      <c r="B527" s="211">
        <v>46243</v>
      </c>
      <c r="C527" s="211">
        <v>46243</v>
      </c>
      <c r="D527" s="176" t="s">
        <v>4850</v>
      </c>
      <c r="E527" s="176" t="s">
        <v>4851</v>
      </c>
      <c r="F527" s="176" t="s">
        <v>87</v>
      </c>
      <c r="G527" s="176" t="s">
        <v>4335</v>
      </c>
      <c r="H527" s="176">
        <v>25</v>
      </c>
      <c r="I527" s="176">
        <v>37.9</v>
      </c>
      <c r="J527" s="176">
        <v>37.9</v>
      </c>
      <c r="K527" s="176">
        <v>4</v>
      </c>
      <c r="L527" s="176">
        <v>0</v>
      </c>
      <c r="M527" s="176" t="s">
        <v>148</v>
      </c>
      <c r="N527" s="176" t="s">
        <v>149</v>
      </c>
      <c r="O527" s="176" t="s">
        <v>150</v>
      </c>
      <c r="P527" s="176" t="s">
        <v>151</v>
      </c>
      <c r="Q527" s="176"/>
      <c r="R527" s="176" t="s">
        <v>4851</v>
      </c>
      <c r="S527" s="176"/>
      <c r="T527" s="176" t="s">
        <v>2771</v>
      </c>
      <c r="U527" s="176" t="s">
        <v>152</v>
      </c>
      <c r="V527" s="176" t="s">
        <v>23</v>
      </c>
    </row>
    <row r="528" spans="2:22" ht="12.75">
      <c r="B528" s="211">
        <v>46243</v>
      </c>
      <c r="C528" s="211">
        <v>46243</v>
      </c>
      <c r="D528" s="176" t="s">
        <v>4852</v>
      </c>
      <c r="E528" s="176" t="s">
        <v>4853</v>
      </c>
      <c r="F528" s="176" t="s">
        <v>87</v>
      </c>
      <c r="G528" s="176" t="s">
        <v>2357</v>
      </c>
      <c r="H528" s="176">
        <v>40</v>
      </c>
      <c r="I528" s="176">
        <v>40.1</v>
      </c>
      <c r="J528" s="176">
        <v>40.1</v>
      </c>
      <c r="K528" s="176">
        <v>5</v>
      </c>
      <c r="L528" s="176">
        <v>0</v>
      </c>
      <c r="M528" s="176" t="s">
        <v>148</v>
      </c>
      <c r="N528" s="176" t="s">
        <v>149</v>
      </c>
      <c r="O528" s="176" t="s">
        <v>150</v>
      </c>
      <c r="P528" s="176" t="s">
        <v>151</v>
      </c>
      <c r="Q528" s="176"/>
      <c r="R528" s="176" t="s">
        <v>4853</v>
      </c>
      <c r="S528" s="176"/>
      <c r="T528" s="176" t="s">
        <v>2771</v>
      </c>
      <c r="U528" s="176" t="s">
        <v>152</v>
      </c>
      <c r="V528" s="176" t="s">
        <v>23</v>
      </c>
    </row>
    <row r="529" spans="2:22" ht="12.75">
      <c r="B529" s="211">
        <v>46243</v>
      </c>
      <c r="C529" s="211">
        <v>46243</v>
      </c>
      <c r="D529" s="176" t="s">
        <v>4854</v>
      </c>
      <c r="E529" s="176" t="s">
        <v>4855</v>
      </c>
      <c r="F529" s="176" t="s">
        <v>87</v>
      </c>
      <c r="G529" s="176" t="s">
        <v>2357</v>
      </c>
      <c r="H529" s="176">
        <v>40</v>
      </c>
      <c r="I529" s="176">
        <v>38.9</v>
      </c>
      <c r="J529" s="176">
        <v>38.9</v>
      </c>
      <c r="K529" s="176">
        <v>5</v>
      </c>
      <c r="L529" s="176">
        <v>0</v>
      </c>
      <c r="M529" s="176" t="s">
        <v>148</v>
      </c>
      <c r="N529" s="176" t="s">
        <v>149</v>
      </c>
      <c r="O529" s="176" t="s">
        <v>150</v>
      </c>
      <c r="P529" s="176" t="s">
        <v>151</v>
      </c>
      <c r="Q529" s="176"/>
      <c r="R529" s="176" t="s">
        <v>4855</v>
      </c>
      <c r="S529" s="176"/>
      <c r="T529" s="176" t="s">
        <v>2771</v>
      </c>
      <c r="U529" s="176" t="s">
        <v>152</v>
      </c>
      <c r="V529" s="176" t="s">
        <v>23</v>
      </c>
    </row>
    <row r="530" spans="2:22" ht="12" customHeight="1">
      <c r="B530" s="211">
        <v>46243</v>
      </c>
      <c r="C530" s="211">
        <v>46243</v>
      </c>
      <c r="D530" s="176" t="s">
        <v>4856</v>
      </c>
      <c r="E530" s="176" t="s">
        <v>4857</v>
      </c>
      <c r="F530" s="176" t="s">
        <v>87</v>
      </c>
      <c r="G530" s="176" t="s">
        <v>2334</v>
      </c>
      <c r="H530" s="176">
        <v>40</v>
      </c>
      <c r="I530" s="176">
        <v>31.2</v>
      </c>
      <c r="J530" s="176">
        <v>31.2</v>
      </c>
      <c r="K530" s="176">
        <v>5</v>
      </c>
      <c r="L530" s="176">
        <v>0</v>
      </c>
      <c r="M530" s="176" t="s">
        <v>148</v>
      </c>
      <c r="N530" s="176" t="s">
        <v>149</v>
      </c>
      <c r="O530" s="176" t="s">
        <v>150</v>
      </c>
      <c r="P530" s="176" t="s">
        <v>151</v>
      </c>
      <c r="Q530" s="176"/>
      <c r="R530" s="176" t="s">
        <v>4857</v>
      </c>
      <c r="S530" s="176"/>
      <c r="T530" s="176" t="s">
        <v>2771</v>
      </c>
      <c r="U530" s="176" t="s">
        <v>152</v>
      </c>
      <c r="V530" s="176" t="s">
        <v>23</v>
      </c>
    </row>
    <row r="531" spans="2:22" ht="12" customHeight="1">
      <c r="B531" s="211">
        <v>46243</v>
      </c>
      <c r="C531" s="211">
        <v>46243</v>
      </c>
      <c r="D531" s="176" t="s">
        <v>4858</v>
      </c>
      <c r="E531" s="176" t="s">
        <v>4859</v>
      </c>
      <c r="F531" s="176" t="s">
        <v>87</v>
      </c>
      <c r="G531" s="176" t="s">
        <v>2334</v>
      </c>
      <c r="H531" s="176">
        <v>40</v>
      </c>
      <c r="I531" s="176">
        <v>29.8</v>
      </c>
      <c r="J531" s="176">
        <v>29.8</v>
      </c>
      <c r="K531" s="176">
        <v>5</v>
      </c>
      <c r="L531" s="176">
        <v>0</v>
      </c>
      <c r="M531" s="176" t="s">
        <v>148</v>
      </c>
      <c r="N531" s="176" t="s">
        <v>149</v>
      </c>
      <c r="O531" s="176" t="s">
        <v>150</v>
      </c>
      <c r="P531" s="176" t="s">
        <v>151</v>
      </c>
      <c r="Q531" s="176"/>
      <c r="R531" s="176" t="s">
        <v>4859</v>
      </c>
      <c r="S531" s="176"/>
      <c r="T531" s="176" t="s">
        <v>2771</v>
      </c>
      <c r="U531" s="176" t="s">
        <v>152</v>
      </c>
      <c r="V531" s="176" t="s">
        <v>23</v>
      </c>
    </row>
    <row r="532" spans="2:22" ht="12" customHeight="1">
      <c r="B532" s="211">
        <v>46243</v>
      </c>
      <c r="C532" s="211">
        <v>46243</v>
      </c>
      <c r="D532" s="176" t="s">
        <v>4860</v>
      </c>
      <c r="E532" s="176" t="s">
        <v>4861</v>
      </c>
      <c r="F532" s="176" t="s">
        <v>87</v>
      </c>
      <c r="G532" s="176" t="s">
        <v>4512</v>
      </c>
      <c r="H532" s="176">
        <v>55</v>
      </c>
      <c r="I532" s="176">
        <v>45.8</v>
      </c>
      <c r="J532" s="176">
        <v>45.8</v>
      </c>
      <c r="K532" s="176">
        <v>5</v>
      </c>
      <c r="L532" s="176">
        <v>0</v>
      </c>
      <c r="M532" s="176" t="s">
        <v>148</v>
      </c>
      <c r="N532" s="176" t="s">
        <v>149</v>
      </c>
      <c r="O532" s="176" t="s">
        <v>150</v>
      </c>
      <c r="P532" s="176" t="s">
        <v>151</v>
      </c>
      <c r="Q532" s="176"/>
      <c r="R532" s="176" t="s">
        <v>4861</v>
      </c>
      <c r="S532" s="176"/>
      <c r="T532" s="176" t="s">
        <v>2771</v>
      </c>
      <c r="U532" s="176" t="s">
        <v>152</v>
      </c>
      <c r="V532" s="176" t="s">
        <v>23</v>
      </c>
    </row>
    <row r="533" spans="2:22" ht="12" customHeight="1">
      <c r="B533" s="211">
        <v>46243</v>
      </c>
      <c r="C533" s="211">
        <v>46243</v>
      </c>
      <c r="D533" s="176" t="s">
        <v>4862</v>
      </c>
      <c r="E533" s="176" t="s">
        <v>4863</v>
      </c>
      <c r="F533" s="176" t="s">
        <v>87</v>
      </c>
      <c r="G533" s="176" t="s">
        <v>2404</v>
      </c>
      <c r="H533" s="176">
        <v>40</v>
      </c>
      <c r="I533" s="176">
        <v>23</v>
      </c>
      <c r="J533" s="176">
        <v>23</v>
      </c>
      <c r="K533" s="176">
        <v>5</v>
      </c>
      <c r="L533" s="176">
        <v>0</v>
      </c>
      <c r="M533" s="176" t="s">
        <v>148</v>
      </c>
      <c r="N533" s="176" t="s">
        <v>149</v>
      </c>
      <c r="O533" s="176" t="s">
        <v>150</v>
      </c>
      <c r="P533" s="176" t="s">
        <v>151</v>
      </c>
      <c r="Q533" s="176"/>
      <c r="R533" s="176" t="s">
        <v>4863</v>
      </c>
      <c r="S533" s="176"/>
      <c r="T533" s="176" t="s">
        <v>2771</v>
      </c>
      <c r="U533" s="176" t="s">
        <v>152</v>
      </c>
      <c r="V533" s="176" t="s">
        <v>23</v>
      </c>
    </row>
    <row r="534" spans="2:22" ht="12" customHeight="1">
      <c r="B534" s="211">
        <v>46243</v>
      </c>
      <c r="C534" s="211">
        <v>46243</v>
      </c>
      <c r="D534" s="176" t="s">
        <v>4864</v>
      </c>
      <c r="E534" s="176" t="s">
        <v>4865</v>
      </c>
      <c r="F534" s="176" t="s">
        <v>87</v>
      </c>
      <c r="G534" s="176" t="s">
        <v>1678</v>
      </c>
      <c r="H534" s="176">
        <v>30</v>
      </c>
      <c r="I534" s="176">
        <v>32.799999999999997</v>
      </c>
      <c r="J534" s="176">
        <v>32.799999999999997</v>
      </c>
      <c r="K534" s="176">
        <v>4</v>
      </c>
      <c r="L534" s="176">
        <v>0</v>
      </c>
      <c r="M534" s="176" t="s">
        <v>148</v>
      </c>
      <c r="N534" s="176" t="s">
        <v>149</v>
      </c>
      <c r="O534" s="176" t="s">
        <v>150</v>
      </c>
      <c r="P534" s="176" t="s">
        <v>151</v>
      </c>
      <c r="Q534" s="176"/>
      <c r="R534" s="176" t="s">
        <v>4865</v>
      </c>
      <c r="S534" s="176"/>
      <c r="T534" s="176" t="s">
        <v>2771</v>
      </c>
      <c r="U534" s="176" t="s">
        <v>152</v>
      </c>
      <c r="V534" s="176" t="s">
        <v>23</v>
      </c>
    </row>
    <row r="535" spans="2:22" ht="12" customHeight="1">
      <c r="B535" s="211">
        <v>46243</v>
      </c>
      <c r="C535" s="211">
        <v>46243</v>
      </c>
      <c r="D535" s="176" t="s">
        <v>4866</v>
      </c>
      <c r="E535" s="176" t="s">
        <v>4867</v>
      </c>
      <c r="F535" s="176" t="s">
        <v>87</v>
      </c>
      <c r="G535" s="176" t="s">
        <v>2513</v>
      </c>
      <c r="H535" s="176">
        <v>25</v>
      </c>
      <c r="I535" s="176">
        <v>27.6</v>
      </c>
      <c r="J535" s="176">
        <v>27.6</v>
      </c>
      <c r="K535" s="176">
        <v>4</v>
      </c>
      <c r="L535" s="176">
        <v>0</v>
      </c>
      <c r="M535" s="176" t="s">
        <v>148</v>
      </c>
      <c r="N535" s="176" t="s">
        <v>149</v>
      </c>
      <c r="O535" s="176" t="s">
        <v>150</v>
      </c>
      <c r="P535" s="176" t="s">
        <v>151</v>
      </c>
      <c r="Q535" s="176"/>
      <c r="R535" s="176" t="s">
        <v>4867</v>
      </c>
      <c r="S535" s="176"/>
      <c r="T535" s="176" t="s">
        <v>2771</v>
      </c>
      <c r="U535" s="176" t="s">
        <v>152</v>
      </c>
      <c r="V535" s="176" t="s">
        <v>23</v>
      </c>
    </row>
    <row r="536" spans="2:22" ht="12" customHeight="1">
      <c r="B536" s="211">
        <v>46243</v>
      </c>
      <c r="C536" s="211">
        <v>46243</v>
      </c>
      <c r="D536" s="176" t="s">
        <v>4868</v>
      </c>
      <c r="E536" s="176" t="s">
        <v>4869</v>
      </c>
      <c r="F536" s="176" t="s">
        <v>87</v>
      </c>
      <c r="G536" s="176" t="s">
        <v>2513</v>
      </c>
      <c r="H536" s="176">
        <v>25</v>
      </c>
      <c r="I536" s="176">
        <v>35.299999999999997</v>
      </c>
      <c r="J536" s="176">
        <v>35.299999999999997</v>
      </c>
      <c r="K536" s="176">
        <v>4</v>
      </c>
      <c r="L536" s="176">
        <v>0</v>
      </c>
      <c r="M536" s="176" t="s">
        <v>148</v>
      </c>
      <c r="N536" s="176" t="s">
        <v>149</v>
      </c>
      <c r="O536" s="176" t="s">
        <v>150</v>
      </c>
      <c r="P536" s="176" t="s">
        <v>151</v>
      </c>
      <c r="Q536" s="176"/>
      <c r="R536" s="176" t="s">
        <v>4869</v>
      </c>
      <c r="S536" s="176"/>
      <c r="T536" s="176" t="s">
        <v>2771</v>
      </c>
      <c r="U536" s="176" t="s">
        <v>152</v>
      </c>
      <c r="V536" s="176" t="s">
        <v>23</v>
      </c>
    </row>
    <row r="537" spans="2:22" ht="12" customHeight="1">
      <c r="B537" s="211">
        <v>46243</v>
      </c>
      <c r="C537" s="211">
        <v>46243</v>
      </c>
      <c r="D537" s="176" t="s">
        <v>4870</v>
      </c>
      <c r="E537" s="176" t="s">
        <v>4871</v>
      </c>
      <c r="F537" s="176" t="s">
        <v>87</v>
      </c>
      <c r="G537" s="176" t="s">
        <v>4512</v>
      </c>
      <c r="H537" s="176">
        <v>55</v>
      </c>
      <c r="I537" s="176">
        <v>36.700000000000003</v>
      </c>
      <c r="J537" s="176">
        <v>36.700000000000003</v>
      </c>
      <c r="K537" s="176">
        <v>5</v>
      </c>
      <c r="L537" s="176">
        <v>0</v>
      </c>
      <c r="M537" s="176" t="s">
        <v>148</v>
      </c>
      <c r="N537" s="176" t="s">
        <v>149</v>
      </c>
      <c r="O537" s="176" t="s">
        <v>150</v>
      </c>
      <c r="P537" s="176" t="s">
        <v>151</v>
      </c>
      <c r="Q537" s="176"/>
      <c r="R537" s="176" t="s">
        <v>4871</v>
      </c>
      <c r="S537" s="176"/>
      <c r="T537" s="176" t="s">
        <v>2771</v>
      </c>
      <c r="U537" s="176" t="s">
        <v>152</v>
      </c>
      <c r="V537" s="176" t="s">
        <v>23</v>
      </c>
    </row>
    <row r="538" spans="2:22" ht="12" customHeight="1">
      <c r="B538" s="211">
        <v>46243</v>
      </c>
      <c r="C538" s="211">
        <v>46243</v>
      </c>
      <c r="D538" s="176" t="s">
        <v>4872</v>
      </c>
      <c r="E538" s="176" t="s">
        <v>4873</v>
      </c>
      <c r="F538" s="176" t="s">
        <v>87</v>
      </c>
      <c r="G538" s="176" t="s">
        <v>2334</v>
      </c>
      <c r="H538" s="176">
        <v>40</v>
      </c>
      <c r="I538" s="176">
        <v>38.299999999999997</v>
      </c>
      <c r="J538" s="176">
        <v>38.299999999999997</v>
      </c>
      <c r="K538" s="176">
        <v>5</v>
      </c>
      <c r="L538" s="176">
        <v>0</v>
      </c>
      <c r="M538" s="176" t="s">
        <v>148</v>
      </c>
      <c r="N538" s="176" t="s">
        <v>149</v>
      </c>
      <c r="O538" s="176" t="s">
        <v>150</v>
      </c>
      <c r="P538" s="176" t="s">
        <v>151</v>
      </c>
      <c r="Q538" s="176"/>
      <c r="R538" s="176" t="s">
        <v>4873</v>
      </c>
      <c r="S538" s="176"/>
      <c r="T538" s="176" t="s">
        <v>2771</v>
      </c>
      <c r="U538" s="176" t="s">
        <v>152</v>
      </c>
      <c r="V538" s="176" t="s">
        <v>23</v>
      </c>
    </row>
    <row r="539" spans="2:22" ht="12" customHeight="1">
      <c r="B539" s="211">
        <v>46243</v>
      </c>
      <c r="C539" s="211">
        <v>46243</v>
      </c>
      <c r="D539" s="176" t="s">
        <v>4874</v>
      </c>
      <c r="E539" s="176" t="s">
        <v>4875</v>
      </c>
      <c r="F539" s="176" t="s">
        <v>87</v>
      </c>
      <c r="G539" s="176" t="s">
        <v>1678</v>
      </c>
      <c r="H539" s="176">
        <v>30</v>
      </c>
      <c r="I539" s="176">
        <v>39.799999999999997</v>
      </c>
      <c r="J539" s="176">
        <v>39.799999999999997</v>
      </c>
      <c r="K539" s="176">
        <v>4</v>
      </c>
      <c r="L539" s="176">
        <v>0</v>
      </c>
      <c r="M539" s="176" t="s">
        <v>148</v>
      </c>
      <c r="N539" s="176" t="s">
        <v>149</v>
      </c>
      <c r="O539" s="176" t="s">
        <v>150</v>
      </c>
      <c r="P539" s="176" t="s">
        <v>151</v>
      </c>
      <c r="Q539" s="176"/>
      <c r="R539" s="176" t="s">
        <v>4875</v>
      </c>
      <c r="S539" s="176"/>
      <c r="T539" s="176" t="s">
        <v>2771</v>
      </c>
      <c r="U539" s="176" t="s">
        <v>152</v>
      </c>
      <c r="V539" s="176" t="s">
        <v>23</v>
      </c>
    </row>
    <row r="540" spans="2:22" ht="12" customHeight="1">
      <c r="B540" s="211">
        <v>46243</v>
      </c>
      <c r="C540" s="211">
        <v>46243</v>
      </c>
      <c r="D540" s="176" t="s">
        <v>4876</v>
      </c>
      <c r="E540" s="176" t="s">
        <v>4877</v>
      </c>
      <c r="F540" s="176" t="s">
        <v>87</v>
      </c>
      <c r="G540" s="176" t="s">
        <v>2515</v>
      </c>
      <c r="H540" s="176">
        <v>50</v>
      </c>
      <c r="I540" s="176">
        <v>30.8</v>
      </c>
      <c r="J540" s="176">
        <v>30.8</v>
      </c>
      <c r="K540" s="176">
        <v>5</v>
      </c>
      <c r="L540" s="176">
        <v>0</v>
      </c>
      <c r="M540" s="176" t="s">
        <v>148</v>
      </c>
      <c r="N540" s="176" t="s">
        <v>149</v>
      </c>
      <c r="O540" s="176" t="s">
        <v>150</v>
      </c>
      <c r="P540" s="176" t="s">
        <v>151</v>
      </c>
      <c r="Q540" s="176"/>
      <c r="R540" s="176" t="s">
        <v>4877</v>
      </c>
      <c r="S540" s="176"/>
      <c r="T540" s="176" t="s">
        <v>2771</v>
      </c>
      <c r="U540" s="176" t="s">
        <v>152</v>
      </c>
      <c r="V540" s="176" t="s">
        <v>23</v>
      </c>
    </row>
    <row r="541" spans="2:22" ht="12" customHeight="1">
      <c r="B541" s="211">
        <v>46243</v>
      </c>
      <c r="C541" s="211">
        <v>46243</v>
      </c>
      <c r="D541" s="176" t="s">
        <v>4878</v>
      </c>
      <c r="E541" s="176" t="s">
        <v>4879</v>
      </c>
      <c r="F541" s="176" t="s">
        <v>87</v>
      </c>
      <c r="G541" s="176" t="s">
        <v>1678</v>
      </c>
      <c r="H541" s="176">
        <v>30</v>
      </c>
      <c r="I541" s="176">
        <v>32.799999999999997</v>
      </c>
      <c r="J541" s="176">
        <v>32.799999999999997</v>
      </c>
      <c r="K541" s="176">
        <v>4</v>
      </c>
      <c r="L541" s="176">
        <v>0</v>
      </c>
      <c r="M541" s="176" t="s">
        <v>148</v>
      </c>
      <c r="N541" s="176" t="s">
        <v>149</v>
      </c>
      <c r="O541" s="176" t="s">
        <v>150</v>
      </c>
      <c r="P541" s="176" t="s">
        <v>151</v>
      </c>
      <c r="Q541" s="176"/>
      <c r="R541" s="176" t="s">
        <v>4879</v>
      </c>
      <c r="S541" s="176"/>
      <c r="T541" s="176" t="s">
        <v>2771</v>
      </c>
      <c r="U541" s="176" t="s">
        <v>152</v>
      </c>
      <c r="V541" s="176" t="s">
        <v>23</v>
      </c>
    </row>
    <row r="542" spans="2:22" ht="12" customHeight="1">
      <c r="B542" s="211">
        <v>46243</v>
      </c>
      <c r="C542" s="211">
        <v>46243</v>
      </c>
      <c r="D542" s="176" t="s">
        <v>4880</v>
      </c>
      <c r="E542" s="176" t="s">
        <v>4881</v>
      </c>
      <c r="F542" s="176" t="s">
        <v>87</v>
      </c>
      <c r="G542" s="176" t="s">
        <v>2334</v>
      </c>
      <c r="H542" s="176">
        <v>40</v>
      </c>
      <c r="I542" s="176">
        <v>19.3</v>
      </c>
      <c r="J542" s="176">
        <v>19.3</v>
      </c>
      <c r="K542" s="176">
        <v>5</v>
      </c>
      <c r="L542" s="176">
        <v>0</v>
      </c>
      <c r="M542" s="176" t="s">
        <v>148</v>
      </c>
      <c r="N542" s="176" t="s">
        <v>149</v>
      </c>
      <c r="O542" s="176" t="s">
        <v>150</v>
      </c>
      <c r="P542" s="176" t="s">
        <v>151</v>
      </c>
      <c r="Q542" s="176"/>
      <c r="R542" s="176" t="s">
        <v>4881</v>
      </c>
      <c r="S542" s="176"/>
      <c r="T542" s="176" t="s">
        <v>2771</v>
      </c>
      <c r="U542" s="176" t="s">
        <v>152</v>
      </c>
      <c r="V542" s="176" t="s">
        <v>23</v>
      </c>
    </row>
    <row r="543" spans="2:22" ht="12" customHeight="1">
      <c r="B543" s="211">
        <v>46243</v>
      </c>
      <c r="C543" s="211">
        <v>46243</v>
      </c>
      <c r="D543" s="176" t="s">
        <v>4882</v>
      </c>
      <c r="E543" s="176" t="s">
        <v>4883</v>
      </c>
      <c r="F543" s="176" t="s">
        <v>87</v>
      </c>
      <c r="G543" s="176" t="s">
        <v>2512</v>
      </c>
      <c r="H543" s="176">
        <v>40</v>
      </c>
      <c r="I543" s="176">
        <v>21.6</v>
      </c>
      <c r="J543" s="176">
        <v>21.6</v>
      </c>
      <c r="K543" s="176">
        <v>5</v>
      </c>
      <c r="L543" s="176">
        <v>0</v>
      </c>
      <c r="M543" s="176" t="s">
        <v>148</v>
      </c>
      <c r="N543" s="176" t="s">
        <v>149</v>
      </c>
      <c r="O543" s="176" t="s">
        <v>150</v>
      </c>
      <c r="P543" s="176" t="s">
        <v>151</v>
      </c>
      <c r="Q543" s="176"/>
      <c r="R543" s="176" t="s">
        <v>4883</v>
      </c>
      <c r="S543" s="176"/>
      <c r="T543" s="176" t="s">
        <v>2771</v>
      </c>
      <c r="U543" s="176" t="s">
        <v>152</v>
      </c>
      <c r="V543" s="176" t="s">
        <v>23</v>
      </c>
    </row>
    <row r="544" spans="2:22" ht="12" customHeight="1">
      <c r="B544" s="211">
        <v>46243</v>
      </c>
      <c r="C544" s="211">
        <v>46243</v>
      </c>
      <c r="D544" s="176" t="s">
        <v>4884</v>
      </c>
      <c r="E544" s="176" t="s">
        <v>4885</v>
      </c>
      <c r="F544" s="176" t="s">
        <v>87</v>
      </c>
      <c r="G544" s="176" t="s">
        <v>4335</v>
      </c>
      <c r="H544" s="176">
        <v>25</v>
      </c>
      <c r="I544" s="176">
        <v>37.200000000000003</v>
      </c>
      <c r="J544" s="176">
        <v>37.200000000000003</v>
      </c>
      <c r="K544" s="176">
        <v>4</v>
      </c>
      <c r="L544" s="176">
        <v>0</v>
      </c>
      <c r="M544" s="176" t="s">
        <v>148</v>
      </c>
      <c r="N544" s="176" t="s">
        <v>149</v>
      </c>
      <c r="O544" s="176" t="s">
        <v>150</v>
      </c>
      <c r="P544" s="176" t="s">
        <v>151</v>
      </c>
      <c r="Q544" s="176"/>
      <c r="R544" s="176" t="s">
        <v>4885</v>
      </c>
      <c r="S544" s="176"/>
      <c r="T544" s="176" t="s">
        <v>2771</v>
      </c>
      <c r="U544" s="176" t="s">
        <v>152</v>
      </c>
      <c r="V544" s="176" t="s">
        <v>23</v>
      </c>
    </row>
    <row r="545" spans="2:22" ht="12" customHeight="1">
      <c r="B545" s="211">
        <v>46243</v>
      </c>
      <c r="C545" s="211">
        <v>46243</v>
      </c>
      <c r="D545" s="176" t="s">
        <v>4886</v>
      </c>
      <c r="E545" s="176" t="s">
        <v>4887</v>
      </c>
      <c r="F545" s="176" t="s">
        <v>87</v>
      </c>
      <c r="G545" s="176" t="s">
        <v>2357</v>
      </c>
      <c r="H545" s="176">
        <v>40</v>
      </c>
      <c r="I545" s="176">
        <v>40.1</v>
      </c>
      <c r="J545" s="176">
        <v>40.1</v>
      </c>
      <c r="K545" s="176">
        <v>5</v>
      </c>
      <c r="L545" s="176">
        <v>0</v>
      </c>
      <c r="M545" s="176" t="s">
        <v>148</v>
      </c>
      <c r="N545" s="176" t="s">
        <v>149</v>
      </c>
      <c r="O545" s="176" t="s">
        <v>150</v>
      </c>
      <c r="P545" s="176" t="s">
        <v>151</v>
      </c>
      <c r="Q545" s="176"/>
      <c r="R545" s="176" t="s">
        <v>4887</v>
      </c>
      <c r="S545" s="176"/>
      <c r="T545" s="176" t="s">
        <v>2771</v>
      </c>
      <c r="U545" s="176" t="s">
        <v>152</v>
      </c>
      <c r="V545" s="176" t="s">
        <v>23</v>
      </c>
    </row>
    <row r="546" spans="2:22" ht="12" customHeight="1">
      <c r="B546" s="211">
        <v>46243</v>
      </c>
      <c r="C546" s="211">
        <v>46243</v>
      </c>
      <c r="D546" s="176" t="s">
        <v>4888</v>
      </c>
      <c r="E546" s="176" t="s">
        <v>4889</v>
      </c>
      <c r="F546" s="176" t="s">
        <v>87</v>
      </c>
      <c r="G546" s="176" t="s">
        <v>2334</v>
      </c>
      <c r="H546" s="176">
        <v>40</v>
      </c>
      <c r="I546" s="176">
        <v>27.8</v>
      </c>
      <c r="J546" s="176">
        <v>27.8</v>
      </c>
      <c r="K546" s="176">
        <v>5</v>
      </c>
      <c r="L546" s="176">
        <v>0</v>
      </c>
      <c r="M546" s="176" t="s">
        <v>148</v>
      </c>
      <c r="N546" s="176" t="s">
        <v>149</v>
      </c>
      <c r="O546" s="176" t="s">
        <v>150</v>
      </c>
      <c r="P546" s="176" t="s">
        <v>151</v>
      </c>
      <c r="Q546" s="176"/>
      <c r="R546" s="176" t="s">
        <v>4889</v>
      </c>
      <c r="S546" s="176"/>
      <c r="T546" s="176" t="s">
        <v>2771</v>
      </c>
      <c r="U546" s="176" t="s">
        <v>152</v>
      </c>
      <c r="V546" s="176" t="s">
        <v>23</v>
      </c>
    </row>
    <row r="547" spans="2:22" ht="12" customHeight="1">
      <c r="B547" s="211">
        <v>46243</v>
      </c>
      <c r="C547" s="211">
        <v>46243</v>
      </c>
      <c r="D547" s="176" t="s">
        <v>4890</v>
      </c>
      <c r="E547" s="176" t="s">
        <v>4891</v>
      </c>
      <c r="F547" s="176" t="s">
        <v>87</v>
      </c>
      <c r="G547" s="176" t="s">
        <v>2334</v>
      </c>
      <c r="H547" s="176">
        <v>40</v>
      </c>
      <c r="I547" s="176">
        <v>35.299999999999997</v>
      </c>
      <c r="J547" s="176">
        <v>35.299999999999997</v>
      </c>
      <c r="K547" s="176">
        <v>5</v>
      </c>
      <c r="L547" s="176">
        <v>0</v>
      </c>
      <c r="M547" s="176" t="s">
        <v>148</v>
      </c>
      <c r="N547" s="176" t="s">
        <v>149</v>
      </c>
      <c r="O547" s="176" t="s">
        <v>150</v>
      </c>
      <c r="P547" s="176" t="s">
        <v>151</v>
      </c>
      <c r="Q547" s="176"/>
      <c r="R547" s="176" t="s">
        <v>4891</v>
      </c>
      <c r="S547" s="176"/>
      <c r="T547" s="176" t="s">
        <v>2771</v>
      </c>
      <c r="U547" s="176" t="s">
        <v>152</v>
      </c>
      <c r="V547" s="176" t="s">
        <v>23</v>
      </c>
    </row>
    <row r="548" spans="2:22" ht="12" customHeight="1">
      <c r="B548" s="211">
        <v>46243</v>
      </c>
      <c r="C548" s="211">
        <v>46243</v>
      </c>
      <c r="D548" s="176" t="s">
        <v>4892</v>
      </c>
      <c r="E548" s="176" t="s">
        <v>4893</v>
      </c>
      <c r="F548" s="176" t="s">
        <v>87</v>
      </c>
      <c r="G548" s="176" t="s">
        <v>2357</v>
      </c>
      <c r="H548" s="176">
        <v>40</v>
      </c>
      <c r="I548" s="176">
        <v>39.799999999999997</v>
      </c>
      <c r="J548" s="176">
        <v>39.799999999999997</v>
      </c>
      <c r="K548" s="176">
        <v>5</v>
      </c>
      <c r="L548" s="176">
        <v>0</v>
      </c>
      <c r="M548" s="176" t="s">
        <v>148</v>
      </c>
      <c r="N548" s="176" t="s">
        <v>149</v>
      </c>
      <c r="O548" s="176" t="s">
        <v>150</v>
      </c>
      <c r="P548" s="176" t="s">
        <v>151</v>
      </c>
      <c r="Q548" s="176"/>
      <c r="R548" s="176" t="s">
        <v>4893</v>
      </c>
      <c r="S548" s="176"/>
      <c r="T548" s="176" t="s">
        <v>2771</v>
      </c>
      <c r="U548" s="176" t="s">
        <v>152</v>
      </c>
      <c r="V548" s="176" t="s">
        <v>23</v>
      </c>
    </row>
    <row r="549" spans="2:22" ht="12" customHeight="1">
      <c r="B549" s="211">
        <v>46243</v>
      </c>
      <c r="C549" s="211">
        <v>46243</v>
      </c>
      <c r="D549" s="176" t="s">
        <v>4894</v>
      </c>
      <c r="E549" s="176">
        <v>22528</v>
      </c>
      <c r="F549" s="176" t="s">
        <v>94</v>
      </c>
      <c r="G549" s="176" t="s">
        <v>4895</v>
      </c>
      <c r="H549" s="176">
        <v>40</v>
      </c>
      <c r="I549" s="176">
        <v>16.399999999999999</v>
      </c>
      <c r="J549" s="176">
        <v>16.399999999999999</v>
      </c>
      <c r="K549" s="176">
        <v>5</v>
      </c>
      <c r="L549" s="176">
        <v>0</v>
      </c>
      <c r="M549" s="176" t="s">
        <v>148</v>
      </c>
      <c r="N549" s="176" t="s">
        <v>149</v>
      </c>
      <c r="O549" s="176" t="s">
        <v>150</v>
      </c>
      <c r="P549" s="176" t="s">
        <v>151</v>
      </c>
      <c r="Q549" s="176"/>
      <c r="R549" s="176" t="s">
        <v>4896</v>
      </c>
      <c r="S549" s="176"/>
      <c r="T549" s="176" t="s">
        <v>4897</v>
      </c>
      <c r="U549" s="176" t="s">
        <v>152</v>
      </c>
      <c r="V549" s="176" t="s">
        <v>23</v>
      </c>
    </row>
    <row r="550" spans="2:22" ht="12" customHeight="1">
      <c r="B550" s="211">
        <v>46243</v>
      </c>
      <c r="C550" s="211">
        <v>46243</v>
      </c>
      <c r="D550" s="176" t="s">
        <v>4898</v>
      </c>
      <c r="E550" s="176">
        <v>22378</v>
      </c>
      <c r="F550" s="176" t="s">
        <v>94</v>
      </c>
      <c r="G550" s="176" t="s">
        <v>4895</v>
      </c>
      <c r="H550" s="176">
        <v>40</v>
      </c>
      <c r="I550" s="176">
        <v>36.4</v>
      </c>
      <c r="J550" s="176">
        <v>36.4</v>
      </c>
      <c r="K550" s="176">
        <v>5</v>
      </c>
      <c r="L550" s="176">
        <v>0</v>
      </c>
      <c r="M550" s="176" t="s">
        <v>148</v>
      </c>
      <c r="N550" s="176" t="s">
        <v>149</v>
      </c>
      <c r="O550" s="176" t="s">
        <v>150</v>
      </c>
      <c r="P550" s="176" t="s">
        <v>151</v>
      </c>
      <c r="Q550" s="176"/>
      <c r="R550" s="176" t="s">
        <v>4899</v>
      </c>
      <c r="S550" s="176"/>
      <c r="T550" s="176" t="s">
        <v>4897</v>
      </c>
      <c r="U550" s="176" t="s">
        <v>152</v>
      </c>
      <c r="V550" s="176" t="s">
        <v>23</v>
      </c>
    </row>
    <row r="551" spans="2:22" ht="12" customHeight="1">
      <c r="B551" s="211">
        <v>46243</v>
      </c>
      <c r="C551" s="211">
        <v>46243</v>
      </c>
      <c r="D551" s="176" t="s">
        <v>4900</v>
      </c>
      <c r="E551" s="176">
        <v>22428</v>
      </c>
      <c r="F551" s="176" t="s">
        <v>94</v>
      </c>
      <c r="G551" s="176" t="s">
        <v>4895</v>
      </c>
      <c r="H551" s="176">
        <v>40</v>
      </c>
      <c r="I551" s="176">
        <v>34</v>
      </c>
      <c r="J551" s="176">
        <v>34</v>
      </c>
      <c r="K551" s="176">
        <v>5</v>
      </c>
      <c r="L551" s="176">
        <v>0</v>
      </c>
      <c r="M551" s="176" t="s">
        <v>148</v>
      </c>
      <c r="N551" s="176" t="s">
        <v>149</v>
      </c>
      <c r="O551" s="176" t="s">
        <v>150</v>
      </c>
      <c r="P551" s="176" t="s">
        <v>151</v>
      </c>
      <c r="Q551" s="176"/>
      <c r="R551" s="176" t="s">
        <v>4901</v>
      </c>
      <c r="S551" s="176"/>
      <c r="T551" s="176" t="s">
        <v>4897</v>
      </c>
      <c r="U551" s="176" t="s">
        <v>152</v>
      </c>
      <c r="V551" s="176" t="s">
        <v>23</v>
      </c>
    </row>
    <row r="552" spans="2:22" ht="12" customHeight="1">
      <c r="B552" s="211">
        <v>46243</v>
      </c>
      <c r="C552" s="211">
        <v>46243</v>
      </c>
      <c r="D552" s="176" t="s">
        <v>4902</v>
      </c>
      <c r="E552" s="176">
        <v>22430</v>
      </c>
      <c r="F552" s="176" t="s">
        <v>94</v>
      </c>
      <c r="G552" s="176" t="s">
        <v>4895</v>
      </c>
      <c r="H552" s="176">
        <v>40</v>
      </c>
      <c r="I552" s="176">
        <v>30.5</v>
      </c>
      <c r="J552" s="176">
        <v>30.5</v>
      </c>
      <c r="K552" s="176">
        <v>5</v>
      </c>
      <c r="L552" s="176">
        <v>0</v>
      </c>
      <c r="M552" s="176" t="s">
        <v>148</v>
      </c>
      <c r="N552" s="176" t="s">
        <v>149</v>
      </c>
      <c r="O552" s="176" t="s">
        <v>150</v>
      </c>
      <c r="P552" s="176" t="s">
        <v>151</v>
      </c>
      <c r="Q552" s="176"/>
      <c r="R552" s="176" t="s">
        <v>4903</v>
      </c>
      <c r="S552" s="176"/>
      <c r="T552" s="176" t="s">
        <v>4897</v>
      </c>
      <c r="U552" s="176" t="s">
        <v>152</v>
      </c>
      <c r="V552" s="176" t="s">
        <v>23</v>
      </c>
    </row>
    <row r="553" spans="2:22" ht="12" customHeight="1">
      <c r="B553" s="211">
        <v>46243</v>
      </c>
      <c r="C553" s="211">
        <v>46243</v>
      </c>
      <c r="D553" s="176" t="s">
        <v>4904</v>
      </c>
      <c r="E553" s="176">
        <v>22404</v>
      </c>
      <c r="F553" s="176" t="s">
        <v>94</v>
      </c>
      <c r="G553" s="176" t="s">
        <v>4895</v>
      </c>
      <c r="H553" s="176">
        <v>40</v>
      </c>
      <c r="I553" s="176">
        <v>42.6</v>
      </c>
      <c r="J553" s="176">
        <v>42.6</v>
      </c>
      <c r="K553" s="176">
        <v>5</v>
      </c>
      <c r="L553" s="176">
        <v>0</v>
      </c>
      <c r="M553" s="176" t="s">
        <v>148</v>
      </c>
      <c r="N553" s="176" t="s">
        <v>149</v>
      </c>
      <c r="O553" s="176" t="s">
        <v>150</v>
      </c>
      <c r="P553" s="176" t="s">
        <v>151</v>
      </c>
      <c r="Q553" s="176"/>
      <c r="R553" s="176" t="s">
        <v>4905</v>
      </c>
      <c r="S553" s="176"/>
      <c r="T553" s="176" t="s">
        <v>4897</v>
      </c>
      <c r="U553" s="176" t="s">
        <v>152</v>
      </c>
      <c r="V553" s="176" t="s">
        <v>23</v>
      </c>
    </row>
    <row r="554" spans="2:22" ht="12" customHeight="1">
      <c r="B554" s="211">
        <v>46243</v>
      </c>
      <c r="C554" s="211">
        <v>46243</v>
      </c>
      <c r="D554" s="176" t="s">
        <v>4906</v>
      </c>
      <c r="E554" s="176">
        <v>22427</v>
      </c>
      <c r="F554" s="176" t="s">
        <v>94</v>
      </c>
      <c r="G554" s="176" t="s">
        <v>4895</v>
      </c>
      <c r="H554" s="176">
        <v>40</v>
      </c>
      <c r="I554" s="176">
        <v>32.5</v>
      </c>
      <c r="J554" s="176">
        <v>32.5</v>
      </c>
      <c r="K554" s="176">
        <v>5</v>
      </c>
      <c r="L554" s="176">
        <v>0</v>
      </c>
      <c r="M554" s="176" t="s">
        <v>148</v>
      </c>
      <c r="N554" s="176" t="s">
        <v>149</v>
      </c>
      <c r="O554" s="176" t="s">
        <v>150</v>
      </c>
      <c r="P554" s="176" t="s">
        <v>151</v>
      </c>
      <c r="Q554" s="176"/>
      <c r="R554" s="176" t="s">
        <v>4907</v>
      </c>
      <c r="S554" s="176"/>
      <c r="T554" s="176" t="s">
        <v>4897</v>
      </c>
      <c r="U554" s="176" t="s">
        <v>152</v>
      </c>
      <c r="V554" s="176" t="s">
        <v>23</v>
      </c>
    </row>
    <row r="555" spans="2:22" ht="12" customHeight="1">
      <c r="B555" s="211">
        <v>46243</v>
      </c>
      <c r="C555" s="211">
        <v>46243</v>
      </c>
      <c r="D555" s="176" t="s">
        <v>4908</v>
      </c>
      <c r="E555" s="176">
        <v>22511</v>
      </c>
      <c r="F555" s="176" t="s">
        <v>94</v>
      </c>
      <c r="G555" s="176" t="s">
        <v>4895</v>
      </c>
      <c r="H555" s="176">
        <v>40</v>
      </c>
      <c r="I555" s="176">
        <v>41.1</v>
      </c>
      <c r="J555" s="176">
        <v>41.1</v>
      </c>
      <c r="K555" s="176">
        <v>5</v>
      </c>
      <c r="L555" s="176">
        <v>0</v>
      </c>
      <c r="M555" s="176" t="s">
        <v>148</v>
      </c>
      <c r="N555" s="176" t="s">
        <v>149</v>
      </c>
      <c r="O555" s="176" t="s">
        <v>150</v>
      </c>
      <c r="P555" s="176" t="s">
        <v>151</v>
      </c>
      <c r="Q555" s="176"/>
      <c r="R555" s="176" t="s">
        <v>4909</v>
      </c>
      <c r="S555" s="176"/>
      <c r="T555" s="176" t="s">
        <v>4897</v>
      </c>
      <c r="U555" s="176" t="s">
        <v>152</v>
      </c>
      <c r="V555" s="176" t="s">
        <v>23</v>
      </c>
    </row>
    <row r="556" spans="2:22" ht="12" customHeight="1">
      <c r="B556" s="211">
        <v>46243</v>
      </c>
      <c r="C556" s="211">
        <v>46243</v>
      </c>
      <c r="D556" s="176" t="s">
        <v>4910</v>
      </c>
      <c r="E556" s="176">
        <v>22405</v>
      </c>
      <c r="F556" s="176" t="s">
        <v>94</v>
      </c>
      <c r="G556" s="176" t="s">
        <v>4895</v>
      </c>
      <c r="H556" s="176">
        <v>40</v>
      </c>
      <c r="I556" s="176">
        <v>41.7</v>
      </c>
      <c r="J556" s="176">
        <v>41.7</v>
      </c>
      <c r="K556" s="176">
        <v>5</v>
      </c>
      <c r="L556" s="176">
        <v>0</v>
      </c>
      <c r="M556" s="176" t="s">
        <v>148</v>
      </c>
      <c r="N556" s="176" t="s">
        <v>149</v>
      </c>
      <c r="O556" s="176" t="s">
        <v>150</v>
      </c>
      <c r="P556" s="176" t="s">
        <v>151</v>
      </c>
      <c r="Q556" s="176"/>
      <c r="R556" s="176" t="s">
        <v>4911</v>
      </c>
      <c r="S556" s="176"/>
      <c r="T556" s="176" t="s">
        <v>4897</v>
      </c>
      <c r="U556" s="176" t="s">
        <v>152</v>
      </c>
      <c r="V556" s="176" t="s">
        <v>23</v>
      </c>
    </row>
    <row r="557" spans="2:22" ht="12" customHeight="1">
      <c r="B557" s="211">
        <v>46243</v>
      </c>
      <c r="C557" s="211">
        <v>46243</v>
      </c>
      <c r="D557" s="176" t="s">
        <v>4912</v>
      </c>
      <c r="E557" s="176">
        <v>24058</v>
      </c>
      <c r="F557" s="176" t="s">
        <v>94</v>
      </c>
      <c r="G557" s="176" t="s">
        <v>4895</v>
      </c>
      <c r="H557" s="176">
        <v>40</v>
      </c>
      <c r="I557" s="176">
        <v>38</v>
      </c>
      <c r="J557" s="176">
        <v>38</v>
      </c>
      <c r="K557" s="176">
        <v>5</v>
      </c>
      <c r="L557" s="176">
        <v>0</v>
      </c>
      <c r="M557" s="176" t="s">
        <v>148</v>
      </c>
      <c r="N557" s="176" t="s">
        <v>149</v>
      </c>
      <c r="O557" s="176" t="s">
        <v>150</v>
      </c>
      <c r="P557" s="176" t="s">
        <v>151</v>
      </c>
      <c r="Q557" s="176"/>
      <c r="R557" s="176" t="s">
        <v>4913</v>
      </c>
      <c r="S557" s="176"/>
      <c r="T557" s="176" t="s">
        <v>4897</v>
      </c>
      <c r="U557" s="176" t="s">
        <v>152</v>
      </c>
      <c r="V557" s="176" t="s">
        <v>23</v>
      </c>
    </row>
    <row r="558" spans="2:22" ht="12" customHeight="1">
      <c r="B558" s="211">
        <v>46243</v>
      </c>
      <c r="C558" s="211">
        <v>46243</v>
      </c>
      <c r="D558" s="176" t="s">
        <v>4914</v>
      </c>
      <c r="E558" s="176">
        <v>22429</v>
      </c>
      <c r="F558" s="176" t="s">
        <v>94</v>
      </c>
      <c r="G558" s="176" t="s">
        <v>4895</v>
      </c>
      <c r="H558" s="176">
        <v>40</v>
      </c>
      <c r="I558" s="176">
        <v>30</v>
      </c>
      <c r="J558" s="176">
        <v>30</v>
      </c>
      <c r="K558" s="176">
        <v>5</v>
      </c>
      <c r="L558" s="176">
        <v>0</v>
      </c>
      <c r="M558" s="176" t="s">
        <v>148</v>
      </c>
      <c r="N558" s="176" t="s">
        <v>149</v>
      </c>
      <c r="O558" s="176" t="s">
        <v>150</v>
      </c>
      <c r="P558" s="176" t="s">
        <v>151</v>
      </c>
      <c r="Q558" s="176"/>
      <c r="R558" s="176" t="s">
        <v>4915</v>
      </c>
      <c r="S558" s="176"/>
      <c r="T558" s="176" t="s">
        <v>4897</v>
      </c>
      <c r="U558" s="176" t="s">
        <v>152</v>
      </c>
      <c r="V558" s="176" t="s">
        <v>23</v>
      </c>
    </row>
    <row r="559" spans="2:22" ht="12" customHeight="1">
      <c r="B559" s="211">
        <v>46243</v>
      </c>
      <c r="C559" s="211">
        <v>46243</v>
      </c>
      <c r="D559" s="176" t="s">
        <v>4916</v>
      </c>
      <c r="E559" s="176">
        <v>22441</v>
      </c>
      <c r="F559" s="176" t="s">
        <v>94</v>
      </c>
      <c r="G559" s="176" t="s">
        <v>4895</v>
      </c>
      <c r="H559" s="176">
        <v>40</v>
      </c>
      <c r="I559" s="176">
        <v>35</v>
      </c>
      <c r="J559" s="176">
        <v>35</v>
      </c>
      <c r="K559" s="176">
        <v>5</v>
      </c>
      <c r="L559" s="176">
        <v>0</v>
      </c>
      <c r="M559" s="176" t="s">
        <v>148</v>
      </c>
      <c r="N559" s="176" t="s">
        <v>149</v>
      </c>
      <c r="O559" s="176" t="s">
        <v>150</v>
      </c>
      <c r="P559" s="176" t="s">
        <v>151</v>
      </c>
      <c r="Q559" s="176"/>
      <c r="R559" s="176" t="s">
        <v>4917</v>
      </c>
      <c r="S559" s="176"/>
      <c r="T559" s="176" t="s">
        <v>4897</v>
      </c>
      <c r="U559" s="176" t="s">
        <v>152</v>
      </c>
      <c r="V559" s="176" t="s">
        <v>23</v>
      </c>
    </row>
    <row r="560" spans="2:22" ht="12" customHeight="1">
      <c r="B560" s="211">
        <v>46243</v>
      </c>
      <c r="C560" s="211">
        <v>46243</v>
      </c>
      <c r="D560" s="176" t="s">
        <v>4918</v>
      </c>
      <c r="E560" s="176">
        <v>22508</v>
      </c>
      <c r="F560" s="176" t="s">
        <v>94</v>
      </c>
      <c r="G560" s="176" t="s">
        <v>4895</v>
      </c>
      <c r="H560" s="176">
        <v>40</v>
      </c>
      <c r="I560" s="176">
        <v>30.6</v>
      </c>
      <c r="J560" s="176">
        <v>30.6</v>
      </c>
      <c r="K560" s="176">
        <v>5</v>
      </c>
      <c r="L560" s="176">
        <v>0</v>
      </c>
      <c r="M560" s="176" t="s">
        <v>148</v>
      </c>
      <c r="N560" s="176" t="s">
        <v>149</v>
      </c>
      <c r="O560" s="176" t="s">
        <v>150</v>
      </c>
      <c r="P560" s="176" t="s">
        <v>151</v>
      </c>
      <c r="Q560" s="176"/>
      <c r="R560" s="176" t="s">
        <v>4919</v>
      </c>
      <c r="S560" s="176"/>
      <c r="T560" s="176" t="s">
        <v>4897</v>
      </c>
      <c r="U560" s="176" t="s">
        <v>152</v>
      </c>
      <c r="V560" s="176" t="s">
        <v>23</v>
      </c>
    </row>
    <row r="561" spans="2:22" ht="12" customHeight="1">
      <c r="B561" s="211">
        <v>46243</v>
      </c>
      <c r="C561" s="211">
        <v>46243</v>
      </c>
      <c r="D561" s="176" t="s">
        <v>4920</v>
      </c>
      <c r="E561" s="176" t="s">
        <v>4921</v>
      </c>
      <c r="F561" s="176" t="s">
        <v>87</v>
      </c>
      <c r="G561" s="176" t="s">
        <v>2334</v>
      </c>
      <c r="H561" s="176">
        <v>40</v>
      </c>
      <c r="I561" s="176">
        <v>36.799999999999997</v>
      </c>
      <c r="J561" s="176">
        <v>36.799999999999997</v>
      </c>
      <c r="K561" s="176">
        <v>5</v>
      </c>
      <c r="L561" s="176">
        <v>0</v>
      </c>
      <c r="M561" s="176" t="s">
        <v>148</v>
      </c>
      <c r="N561" s="176" t="s">
        <v>149</v>
      </c>
      <c r="O561" s="176" t="s">
        <v>150</v>
      </c>
      <c r="P561" s="176" t="s">
        <v>151</v>
      </c>
      <c r="Q561" s="176"/>
      <c r="R561" s="176" t="s">
        <v>4921</v>
      </c>
      <c r="S561" s="176"/>
      <c r="T561" s="176" t="s">
        <v>4922</v>
      </c>
      <c r="U561" s="176" t="s">
        <v>152</v>
      </c>
      <c r="V561" s="176" t="s">
        <v>23</v>
      </c>
    </row>
    <row r="562" spans="2:22" ht="12" customHeight="1">
      <c r="B562" s="211">
        <v>46243</v>
      </c>
      <c r="C562" s="211">
        <v>46243</v>
      </c>
      <c r="D562" s="176" t="s">
        <v>4923</v>
      </c>
      <c r="E562" s="176" t="s">
        <v>4924</v>
      </c>
      <c r="F562" s="176" t="s">
        <v>87</v>
      </c>
      <c r="G562" s="176" t="s">
        <v>2334</v>
      </c>
      <c r="H562" s="176">
        <v>40</v>
      </c>
      <c r="I562" s="176">
        <v>41.2</v>
      </c>
      <c r="J562" s="176">
        <v>41.2</v>
      </c>
      <c r="K562" s="176">
        <v>5</v>
      </c>
      <c r="L562" s="176">
        <v>0</v>
      </c>
      <c r="M562" s="176" t="s">
        <v>148</v>
      </c>
      <c r="N562" s="176" t="s">
        <v>149</v>
      </c>
      <c r="O562" s="176" t="s">
        <v>150</v>
      </c>
      <c r="P562" s="176" t="s">
        <v>151</v>
      </c>
      <c r="Q562" s="176"/>
      <c r="R562" s="176" t="s">
        <v>4924</v>
      </c>
      <c r="S562" s="176"/>
      <c r="T562" s="176" t="s">
        <v>4922</v>
      </c>
      <c r="U562" s="176" t="s">
        <v>152</v>
      </c>
      <c r="V562" s="176" t="s">
        <v>23</v>
      </c>
    </row>
    <row r="563" spans="2:22" ht="12" customHeight="1">
      <c r="B563" s="211">
        <v>46243</v>
      </c>
      <c r="C563" s="211">
        <v>46243</v>
      </c>
      <c r="D563" s="176" t="s">
        <v>4925</v>
      </c>
      <c r="E563" s="176" t="s">
        <v>4926</v>
      </c>
      <c r="F563" s="176" t="s">
        <v>87</v>
      </c>
      <c r="G563" s="176" t="s">
        <v>2334</v>
      </c>
      <c r="H563" s="176">
        <v>40</v>
      </c>
      <c r="I563" s="176">
        <v>35.799999999999997</v>
      </c>
      <c r="J563" s="176">
        <v>35.799999999999997</v>
      </c>
      <c r="K563" s="176">
        <v>5</v>
      </c>
      <c r="L563" s="176">
        <v>0</v>
      </c>
      <c r="M563" s="176" t="s">
        <v>148</v>
      </c>
      <c r="N563" s="176" t="s">
        <v>149</v>
      </c>
      <c r="O563" s="176" t="s">
        <v>150</v>
      </c>
      <c r="P563" s="176" t="s">
        <v>151</v>
      </c>
      <c r="Q563" s="176"/>
      <c r="R563" s="176" t="s">
        <v>4926</v>
      </c>
      <c r="S563" s="176"/>
      <c r="T563" s="176" t="s">
        <v>4922</v>
      </c>
      <c r="U563" s="176" t="s">
        <v>152</v>
      </c>
      <c r="V563" s="176" t="s">
        <v>23</v>
      </c>
    </row>
    <row r="564" spans="2:22" ht="12" customHeight="1">
      <c r="B564" s="211">
        <v>46243</v>
      </c>
      <c r="C564" s="211">
        <v>46243</v>
      </c>
      <c r="D564" s="176" t="s">
        <v>4927</v>
      </c>
      <c r="E564" s="176" t="s">
        <v>4928</v>
      </c>
      <c r="F564" s="176" t="s">
        <v>87</v>
      </c>
      <c r="G564" s="176" t="s">
        <v>2334</v>
      </c>
      <c r="H564" s="176">
        <v>40</v>
      </c>
      <c r="I564" s="176">
        <v>33.299999999999997</v>
      </c>
      <c r="J564" s="176">
        <v>33.299999999999997</v>
      </c>
      <c r="K564" s="176">
        <v>5</v>
      </c>
      <c r="L564" s="176">
        <v>0</v>
      </c>
      <c r="M564" s="176" t="s">
        <v>148</v>
      </c>
      <c r="N564" s="176" t="s">
        <v>149</v>
      </c>
      <c r="O564" s="176" t="s">
        <v>150</v>
      </c>
      <c r="P564" s="176" t="s">
        <v>151</v>
      </c>
      <c r="Q564" s="176"/>
      <c r="R564" s="176" t="s">
        <v>4928</v>
      </c>
      <c r="S564" s="176"/>
      <c r="T564" s="176" t="s">
        <v>4922</v>
      </c>
      <c r="U564" s="176" t="s">
        <v>152</v>
      </c>
      <c r="V564" s="176" t="s">
        <v>23</v>
      </c>
    </row>
    <row r="565" spans="2:22" ht="12" customHeight="1">
      <c r="B565" s="211">
        <v>46244</v>
      </c>
      <c r="C565" s="211">
        <v>46244</v>
      </c>
      <c r="D565" s="176" t="s">
        <v>4929</v>
      </c>
      <c r="E565" s="176" t="s">
        <v>4930</v>
      </c>
      <c r="F565" s="176" t="s">
        <v>87</v>
      </c>
      <c r="G565" s="176" t="s">
        <v>4512</v>
      </c>
      <c r="H565" s="176">
        <v>55</v>
      </c>
      <c r="I565" s="176">
        <v>16.2</v>
      </c>
      <c r="J565" s="176">
        <v>16.2</v>
      </c>
      <c r="K565" s="176">
        <v>5</v>
      </c>
      <c r="L565" s="176">
        <v>0</v>
      </c>
      <c r="M565" s="176" t="s">
        <v>148</v>
      </c>
      <c r="N565" s="176" t="s">
        <v>149</v>
      </c>
      <c r="O565" s="176" t="s">
        <v>150</v>
      </c>
      <c r="P565" s="176" t="s">
        <v>151</v>
      </c>
      <c r="Q565" s="176"/>
      <c r="R565" s="176" t="s">
        <v>4930</v>
      </c>
      <c r="S565" s="176"/>
      <c r="T565" s="176" t="s">
        <v>2790</v>
      </c>
      <c r="U565" s="176" t="s">
        <v>152</v>
      </c>
      <c r="V565" s="176" t="s">
        <v>23</v>
      </c>
    </row>
    <row r="566" spans="2:22" ht="12" customHeight="1">
      <c r="B566" s="211">
        <v>46244</v>
      </c>
      <c r="C566" s="211">
        <v>46244</v>
      </c>
      <c r="D566" s="176" t="s">
        <v>4931</v>
      </c>
      <c r="E566" s="176" t="s">
        <v>4932</v>
      </c>
      <c r="F566" s="176" t="s">
        <v>87</v>
      </c>
      <c r="G566" s="176" t="s">
        <v>4512</v>
      </c>
      <c r="H566" s="176">
        <v>55</v>
      </c>
      <c r="I566" s="176">
        <v>37.799999999999997</v>
      </c>
      <c r="J566" s="176">
        <v>37.799999999999997</v>
      </c>
      <c r="K566" s="176">
        <v>5</v>
      </c>
      <c r="L566" s="176">
        <v>0</v>
      </c>
      <c r="M566" s="176" t="s">
        <v>148</v>
      </c>
      <c r="N566" s="176" t="s">
        <v>149</v>
      </c>
      <c r="O566" s="176" t="s">
        <v>150</v>
      </c>
      <c r="P566" s="176" t="s">
        <v>151</v>
      </c>
      <c r="Q566" s="176"/>
      <c r="R566" s="176" t="s">
        <v>4932</v>
      </c>
      <c r="S566" s="176"/>
      <c r="T566" s="176" t="s">
        <v>2790</v>
      </c>
      <c r="U566" s="176" t="s">
        <v>152</v>
      </c>
      <c r="V566" s="176" t="s">
        <v>23</v>
      </c>
    </row>
    <row r="567" spans="2:22" ht="12" customHeight="1">
      <c r="B567" s="211">
        <v>46244</v>
      </c>
      <c r="C567" s="211">
        <v>46244</v>
      </c>
      <c r="D567" s="176" t="s">
        <v>4933</v>
      </c>
      <c r="E567" s="176" t="s">
        <v>4934</v>
      </c>
      <c r="F567" s="176" t="s">
        <v>87</v>
      </c>
      <c r="G567" s="176" t="s">
        <v>1678</v>
      </c>
      <c r="H567" s="176">
        <v>30</v>
      </c>
      <c r="I567" s="176">
        <v>35.799999999999997</v>
      </c>
      <c r="J567" s="176">
        <v>35.799999999999997</v>
      </c>
      <c r="K567" s="176">
        <v>4</v>
      </c>
      <c r="L567" s="176">
        <v>0</v>
      </c>
      <c r="M567" s="176" t="s">
        <v>148</v>
      </c>
      <c r="N567" s="176" t="s">
        <v>149</v>
      </c>
      <c r="O567" s="176" t="s">
        <v>150</v>
      </c>
      <c r="P567" s="176" t="s">
        <v>151</v>
      </c>
      <c r="Q567" s="176"/>
      <c r="R567" s="176" t="s">
        <v>4934</v>
      </c>
      <c r="S567" s="176"/>
      <c r="T567" s="176" t="s">
        <v>2790</v>
      </c>
      <c r="U567" s="176" t="s">
        <v>152</v>
      </c>
      <c r="V567" s="176" t="s">
        <v>23</v>
      </c>
    </row>
    <row r="568" spans="2:22" ht="12" customHeight="1">
      <c r="B568" s="211">
        <v>46244</v>
      </c>
      <c r="C568" s="211">
        <v>46244</v>
      </c>
      <c r="D568" s="176" t="s">
        <v>4935</v>
      </c>
      <c r="E568" s="176" t="s">
        <v>4936</v>
      </c>
      <c r="F568" s="176" t="s">
        <v>87</v>
      </c>
      <c r="G568" s="176" t="s">
        <v>4000</v>
      </c>
      <c r="H568" s="176">
        <v>50</v>
      </c>
      <c r="I568" s="176">
        <v>33.799999999999997</v>
      </c>
      <c r="J568" s="176">
        <v>33.799999999999997</v>
      </c>
      <c r="K568" s="176">
        <v>5</v>
      </c>
      <c r="L568" s="176">
        <v>0</v>
      </c>
      <c r="M568" s="176" t="s">
        <v>148</v>
      </c>
      <c r="N568" s="176" t="s">
        <v>149</v>
      </c>
      <c r="O568" s="176" t="s">
        <v>150</v>
      </c>
      <c r="P568" s="176" t="s">
        <v>151</v>
      </c>
      <c r="Q568" s="176"/>
      <c r="R568" s="176" t="s">
        <v>4936</v>
      </c>
      <c r="S568" s="176"/>
      <c r="T568" s="176" t="s">
        <v>2790</v>
      </c>
      <c r="U568" s="176" t="s">
        <v>152</v>
      </c>
      <c r="V568" s="176" t="s">
        <v>23</v>
      </c>
    </row>
    <row r="569" spans="2:22" ht="12" customHeight="1">
      <c r="B569" s="211">
        <v>46244</v>
      </c>
      <c r="C569" s="211">
        <v>46244</v>
      </c>
      <c r="D569" s="176" t="s">
        <v>4937</v>
      </c>
      <c r="E569" s="176" t="s">
        <v>4938</v>
      </c>
      <c r="F569" s="176" t="s">
        <v>87</v>
      </c>
      <c r="G569" s="176" t="s">
        <v>2357</v>
      </c>
      <c r="H569" s="176">
        <v>40</v>
      </c>
      <c r="I569" s="176">
        <v>33.799999999999997</v>
      </c>
      <c r="J569" s="176">
        <v>33.799999999999997</v>
      </c>
      <c r="K569" s="176">
        <v>5</v>
      </c>
      <c r="L569" s="176">
        <v>0</v>
      </c>
      <c r="M569" s="176" t="s">
        <v>148</v>
      </c>
      <c r="N569" s="176" t="s">
        <v>149</v>
      </c>
      <c r="O569" s="176" t="s">
        <v>150</v>
      </c>
      <c r="P569" s="176" t="s">
        <v>151</v>
      </c>
      <c r="Q569" s="176"/>
      <c r="R569" s="176" t="s">
        <v>4938</v>
      </c>
      <c r="S569" s="176"/>
      <c r="T569" s="176" t="s">
        <v>2790</v>
      </c>
      <c r="U569" s="176" t="s">
        <v>152</v>
      </c>
      <c r="V569" s="176" t="s">
        <v>23</v>
      </c>
    </row>
    <row r="570" spans="2:22" ht="12" customHeight="1">
      <c r="B570" s="211">
        <v>46244</v>
      </c>
      <c r="C570" s="211">
        <v>46244</v>
      </c>
      <c r="D570" s="176" t="s">
        <v>4939</v>
      </c>
      <c r="E570" s="176" t="s">
        <v>4940</v>
      </c>
      <c r="F570" s="176" t="s">
        <v>87</v>
      </c>
      <c r="G570" s="176" t="s">
        <v>4512</v>
      </c>
      <c r="H570" s="176">
        <v>55</v>
      </c>
      <c r="I570" s="176">
        <v>38.299999999999997</v>
      </c>
      <c r="J570" s="176">
        <v>38.299999999999997</v>
      </c>
      <c r="K570" s="176">
        <v>5</v>
      </c>
      <c r="L570" s="176">
        <v>0</v>
      </c>
      <c r="M570" s="176" t="s">
        <v>148</v>
      </c>
      <c r="N570" s="176" t="s">
        <v>149</v>
      </c>
      <c r="O570" s="176" t="s">
        <v>150</v>
      </c>
      <c r="P570" s="176" t="s">
        <v>151</v>
      </c>
      <c r="Q570" s="176"/>
      <c r="R570" s="176" t="s">
        <v>4940</v>
      </c>
      <c r="S570" s="176"/>
      <c r="T570" s="176" t="s">
        <v>2790</v>
      </c>
      <c r="U570" s="176" t="s">
        <v>152</v>
      </c>
      <c r="V570" s="176" t="s">
        <v>23</v>
      </c>
    </row>
    <row r="571" spans="2:22" ht="12" customHeight="1">
      <c r="B571" s="211">
        <v>46244</v>
      </c>
      <c r="C571" s="211">
        <v>46244</v>
      </c>
      <c r="D571" s="176" t="s">
        <v>4941</v>
      </c>
      <c r="E571" s="176" t="s">
        <v>4942</v>
      </c>
      <c r="F571" s="176" t="s">
        <v>87</v>
      </c>
      <c r="G571" s="176" t="s">
        <v>2515</v>
      </c>
      <c r="H571" s="176">
        <v>50</v>
      </c>
      <c r="I571" s="176">
        <v>17.2</v>
      </c>
      <c r="J571" s="176">
        <v>17.2</v>
      </c>
      <c r="K571" s="176">
        <v>5</v>
      </c>
      <c r="L571" s="176">
        <v>0</v>
      </c>
      <c r="M571" s="176" t="s">
        <v>148</v>
      </c>
      <c r="N571" s="176" t="s">
        <v>149</v>
      </c>
      <c r="O571" s="176" t="s">
        <v>150</v>
      </c>
      <c r="P571" s="176" t="s">
        <v>151</v>
      </c>
      <c r="Q571" s="176"/>
      <c r="R571" s="176" t="s">
        <v>4942</v>
      </c>
      <c r="S571" s="176"/>
      <c r="T571" s="176" t="s">
        <v>2790</v>
      </c>
      <c r="U571" s="176" t="s">
        <v>152</v>
      </c>
      <c r="V571" s="176" t="s">
        <v>23</v>
      </c>
    </row>
    <row r="572" spans="2:22" ht="12" customHeight="1">
      <c r="B572" s="211">
        <v>46244</v>
      </c>
      <c r="C572" s="211">
        <v>46244</v>
      </c>
      <c r="D572" s="176" t="s">
        <v>4943</v>
      </c>
      <c r="E572" s="176" t="s">
        <v>4944</v>
      </c>
      <c r="F572" s="176" t="s">
        <v>87</v>
      </c>
      <c r="G572" s="176" t="s">
        <v>2334</v>
      </c>
      <c r="H572" s="176">
        <v>40</v>
      </c>
      <c r="I572" s="176">
        <v>36.4</v>
      </c>
      <c r="J572" s="176">
        <v>36.4</v>
      </c>
      <c r="K572" s="176">
        <v>5</v>
      </c>
      <c r="L572" s="176">
        <v>0</v>
      </c>
      <c r="M572" s="176" t="s">
        <v>148</v>
      </c>
      <c r="N572" s="176" t="s">
        <v>149</v>
      </c>
      <c r="O572" s="176" t="s">
        <v>150</v>
      </c>
      <c r="P572" s="176" t="s">
        <v>151</v>
      </c>
      <c r="Q572" s="176"/>
      <c r="R572" s="176" t="s">
        <v>4944</v>
      </c>
      <c r="S572" s="176"/>
      <c r="T572" s="176" t="s">
        <v>2790</v>
      </c>
      <c r="U572" s="176" t="s">
        <v>152</v>
      </c>
      <c r="V572" s="176" t="s">
        <v>23</v>
      </c>
    </row>
    <row r="573" spans="2:22" ht="12" customHeight="1">
      <c r="B573" s="211">
        <v>46244</v>
      </c>
      <c r="C573" s="211">
        <v>46244</v>
      </c>
      <c r="D573" s="176" t="s">
        <v>4945</v>
      </c>
      <c r="E573" s="176" t="s">
        <v>4946</v>
      </c>
      <c r="F573" s="176" t="s">
        <v>87</v>
      </c>
      <c r="G573" s="176" t="s">
        <v>1678</v>
      </c>
      <c r="H573" s="176">
        <v>30</v>
      </c>
      <c r="I573" s="176">
        <v>29.8</v>
      </c>
      <c r="J573" s="176">
        <v>29.8</v>
      </c>
      <c r="K573" s="176">
        <v>4</v>
      </c>
      <c r="L573" s="176">
        <v>0</v>
      </c>
      <c r="M573" s="176" t="s">
        <v>148</v>
      </c>
      <c r="N573" s="176" t="s">
        <v>149</v>
      </c>
      <c r="O573" s="176" t="s">
        <v>150</v>
      </c>
      <c r="P573" s="176" t="s">
        <v>151</v>
      </c>
      <c r="Q573" s="176"/>
      <c r="R573" s="176" t="s">
        <v>4946</v>
      </c>
      <c r="S573" s="176"/>
      <c r="T573" s="176" t="s">
        <v>2790</v>
      </c>
      <c r="U573" s="176" t="s">
        <v>152</v>
      </c>
      <c r="V573" s="176" t="s">
        <v>23</v>
      </c>
    </row>
    <row r="574" spans="2:22" ht="12" customHeight="1">
      <c r="B574" s="211">
        <v>46244</v>
      </c>
      <c r="C574" s="211">
        <v>46244</v>
      </c>
      <c r="D574" s="176" t="s">
        <v>4947</v>
      </c>
      <c r="E574" s="176" t="s">
        <v>4948</v>
      </c>
      <c r="F574" s="176" t="s">
        <v>87</v>
      </c>
      <c r="G574" s="176" t="s">
        <v>4000</v>
      </c>
      <c r="H574" s="176">
        <v>50</v>
      </c>
      <c r="I574" s="176">
        <v>27.8</v>
      </c>
      <c r="J574" s="176">
        <v>27.8</v>
      </c>
      <c r="K574" s="176">
        <v>5</v>
      </c>
      <c r="L574" s="176">
        <v>0</v>
      </c>
      <c r="M574" s="176" t="s">
        <v>148</v>
      </c>
      <c r="N574" s="176" t="s">
        <v>149</v>
      </c>
      <c r="O574" s="176" t="s">
        <v>150</v>
      </c>
      <c r="P574" s="176" t="s">
        <v>151</v>
      </c>
      <c r="Q574" s="176"/>
      <c r="R574" s="176" t="s">
        <v>4948</v>
      </c>
      <c r="S574" s="176"/>
      <c r="T574" s="176" t="s">
        <v>2790</v>
      </c>
      <c r="U574" s="176" t="s">
        <v>152</v>
      </c>
      <c r="V574" s="176" t="s">
        <v>23</v>
      </c>
    </row>
    <row r="575" spans="2:22" ht="12" customHeight="1">
      <c r="B575" s="211">
        <v>46244</v>
      </c>
      <c r="C575" s="211">
        <v>46244</v>
      </c>
      <c r="D575" s="176" t="s">
        <v>4949</v>
      </c>
      <c r="E575" s="176" t="s">
        <v>4950</v>
      </c>
      <c r="F575" s="176" t="s">
        <v>87</v>
      </c>
      <c r="G575" s="176" t="s">
        <v>2334</v>
      </c>
      <c r="H575" s="176">
        <v>40</v>
      </c>
      <c r="I575" s="176">
        <v>29.7</v>
      </c>
      <c r="J575" s="176">
        <v>29.7</v>
      </c>
      <c r="K575" s="176">
        <v>5</v>
      </c>
      <c r="L575" s="176">
        <v>0</v>
      </c>
      <c r="M575" s="176" t="s">
        <v>148</v>
      </c>
      <c r="N575" s="176" t="s">
        <v>149</v>
      </c>
      <c r="O575" s="176" t="s">
        <v>150</v>
      </c>
      <c r="P575" s="176" t="s">
        <v>151</v>
      </c>
      <c r="Q575" s="176"/>
      <c r="R575" s="176" t="s">
        <v>4950</v>
      </c>
      <c r="S575" s="176"/>
      <c r="T575" s="176" t="s">
        <v>2790</v>
      </c>
      <c r="U575" s="176" t="s">
        <v>152</v>
      </c>
      <c r="V575" s="176" t="s">
        <v>23</v>
      </c>
    </row>
    <row r="576" spans="2:22" ht="12" customHeight="1">
      <c r="B576" s="211">
        <v>46244</v>
      </c>
      <c r="C576" s="211">
        <v>46244</v>
      </c>
      <c r="D576" s="176" t="s">
        <v>4951</v>
      </c>
      <c r="E576" s="176" t="s">
        <v>4952</v>
      </c>
      <c r="F576" s="176" t="s">
        <v>87</v>
      </c>
      <c r="G576" s="176" t="s">
        <v>2334</v>
      </c>
      <c r="H576" s="176">
        <v>40</v>
      </c>
      <c r="I576" s="176">
        <v>29.8</v>
      </c>
      <c r="J576" s="176">
        <v>29.8</v>
      </c>
      <c r="K576" s="176">
        <v>5</v>
      </c>
      <c r="L576" s="176">
        <v>0</v>
      </c>
      <c r="M576" s="176" t="s">
        <v>148</v>
      </c>
      <c r="N576" s="176" t="s">
        <v>149</v>
      </c>
      <c r="O576" s="176" t="s">
        <v>150</v>
      </c>
      <c r="P576" s="176" t="s">
        <v>151</v>
      </c>
      <c r="Q576" s="176"/>
      <c r="R576" s="176" t="s">
        <v>4952</v>
      </c>
      <c r="S576" s="176"/>
      <c r="T576" s="176" t="s">
        <v>2790</v>
      </c>
      <c r="U576" s="176" t="s">
        <v>152</v>
      </c>
      <c r="V576" s="176" t="s">
        <v>23</v>
      </c>
    </row>
    <row r="577" spans="2:22" ht="12" customHeight="1">
      <c r="B577" s="211">
        <v>46244</v>
      </c>
      <c r="C577" s="211">
        <v>46244</v>
      </c>
      <c r="D577" s="176" t="s">
        <v>4953</v>
      </c>
      <c r="E577" s="176" t="s">
        <v>4954</v>
      </c>
      <c r="F577" s="176" t="s">
        <v>87</v>
      </c>
      <c r="G577" s="176" t="s">
        <v>4335</v>
      </c>
      <c r="H577" s="176">
        <v>25</v>
      </c>
      <c r="I577" s="176">
        <v>42.3</v>
      </c>
      <c r="J577" s="176">
        <v>42.3</v>
      </c>
      <c r="K577" s="176">
        <v>4</v>
      </c>
      <c r="L577" s="176">
        <v>0</v>
      </c>
      <c r="M577" s="176" t="s">
        <v>148</v>
      </c>
      <c r="N577" s="176" t="s">
        <v>149</v>
      </c>
      <c r="O577" s="176" t="s">
        <v>150</v>
      </c>
      <c r="P577" s="176" t="s">
        <v>151</v>
      </c>
      <c r="Q577" s="176"/>
      <c r="R577" s="176" t="s">
        <v>4954</v>
      </c>
      <c r="S577" s="176"/>
      <c r="T577" s="176" t="s">
        <v>2790</v>
      </c>
      <c r="U577" s="176" t="s">
        <v>152</v>
      </c>
      <c r="V577" s="176" t="s">
        <v>23</v>
      </c>
    </row>
    <row r="578" spans="2:22" ht="12" customHeight="1">
      <c r="B578" s="211">
        <v>46244</v>
      </c>
      <c r="C578" s="211">
        <v>46244</v>
      </c>
      <c r="D578" s="176" t="s">
        <v>4955</v>
      </c>
      <c r="E578" s="176" t="s">
        <v>4956</v>
      </c>
      <c r="F578" s="176" t="s">
        <v>87</v>
      </c>
      <c r="G578" s="176" t="s">
        <v>1678</v>
      </c>
      <c r="H578" s="176">
        <v>30</v>
      </c>
      <c r="I578" s="176">
        <v>29.8</v>
      </c>
      <c r="J578" s="176">
        <v>29.8</v>
      </c>
      <c r="K578" s="176">
        <v>4</v>
      </c>
      <c r="L578" s="176">
        <v>0</v>
      </c>
      <c r="M578" s="176" t="s">
        <v>148</v>
      </c>
      <c r="N578" s="176" t="s">
        <v>149</v>
      </c>
      <c r="O578" s="176" t="s">
        <v>150</v>
      </c>
      <c r="P578" s="176" t="s">
        <v>151</v>
      </c>
      <c r="Q578" s="176"/>
      <c r="R578" s="176" t="s">
        <v>4956</v>
      </c>
      <c r="S578" s="176"/>
      <c r="T578" s="176" t="s">
        <v>2790</v>
      </c>
      <c r="U578" s="176" t="s">
        <v>152</v>
      </c>
      <c r="V578" s="176" t="s">
        <v>23</v>
      </c>
    </row>
    <row r="579" spans="2:22" ht="12" customHeight="1">
      <c r="B579" s="211">
        <v>46244</v>
      </c>
      <c r="C579" s="211">
        <v>46244</v>
      </c>
      <c r="D579" s="176" t="s">
        <v>4957</v>
      </c>
      <c r="E579" s="176" t="s">
        <v>4958</v>
      </c>
      <c r="F579" s="176" t="s">
        <v>87</v>
      </c>
      <c r="G579" s="176" t="s">
        <v>2334</v>
      </c>
      <c r="H579" s="176">
        <v>40</v>
      </c>
      <c r="I579" s="176">
        <v>38.799999999999997</v>
      </c>
      <c r="J579" s="176">
        <v>38.799999999999997</v>
      </c>
      <c r="K579" s="176">
        <v>5</v>
      </c>
      <c r="L579" s="176">
        <v>0</v>
      </c>
      <c r="M579" s="176" t="s">
        <v>148</v>
      </c>
      <c r="N579" s="176" t="s">
        <v>149</v>
      </c>
      <c r="O579" s="176" t="s">
        <v>150</v>
      </c>
      <c r="P579" s="176" t="s">
        <v>151</v>
      </c>
      <c r="Q579" s="176"/>
      <c r="R579" s="176" t="s">
        <v>4958</v>
      </c>
      <c r="S579" s="176"/>
      <c r="T579" s="176" t="s">
        <v>2790</v>
      </c>
      <c r="U579" s="176" t="s">
        <v>152</v>
      </c>
      <c r="V579" s="176" t="s">
        <v>23</v>
      </c>
    </row>
    <row r="580" spans="2:22" ht="12" customHeight="1">
      <c r="B580" s="211">
        <v>46244</v>
      </c>
      <c r="C580" s="211">
        <v>46244</v>
      </c>
      <c r="D580" s="176" t="s">
        <v>4959</v>
      </c>
      <c r="E580" s="176" t="s">
        <v>4960</v>
      </c>
      <c r="F580" s="176" t="s">
        <v>87</v>
      </c>
      <c r="G580" s="176" t="s">
        <v>2334</v>
      </c>
      <c r="H580" s="176">
        <v>40</v>
      </c>
      <c r="I580" s="176">
        <v>33.6</v>
      </c>
      <c r="J580" s="176">
        <v>33.6</v>
      </c>
      <c r="K580" s="176">
        <v>5</v>
      </c>
      <c r="L580" s="176">
        <v>0</v>
      </c>
      <c r="M580" s="176" t="s">
        <v>148</v>
      </c>
      <c r="N580" s="176" t="s">
        <v>149</v>
      </c>
      <c r="O580" s="176" t="s">
        <v>150</v>
      </c>
      <c r="P580" s="176" t="s">
        <v>151</v>
      </c>
      <c r="Q580" s="176"/>
      <c r="R580" s="176" t="s">
        <v>4960</v>
      </c>
      <c r="S580" s="176"/>
      <c r="T580" s="176" t="s">
        <v>2790</v>
      </c>
      <c r="U580" s="176" t="s">
        <v>152</v>
      </c>
      <c r="V580" s="176" t="s">
        <v>23</v>
      </c>
    </row>
    <row r="581" spans="2:22" ht="12" customHeight="1">
      <c r="B581" s="211">
        <v>46244</v>
      </c>
      <c r="C581" s="211">
        <v>46244</v>
      </c>
      <c r="D581" s="176" t="s">
        <v>4961</v>
      </c>
      <c r="E581" s="176" t="s">
        <v>4962</v>
      </c>
      <c r="F581" s="176" t="s">
        <v>87</v>
      </c>
      <c r="G581" s="176" t="s">
        <v>1966</v>
      </c>
      <c r="H581" s="176">
        <v>6</v>
      </c>
      <c r="I581" s="176">
        <v>19.8</v>
      </c>
      <c r="J581" s="176">
        <v>19.8</v>
      </c>
      <c r="K581" s="176">
        <v>1.5</v>
      </c>
      <c r="L581" s="176">
        <v>0</v>
      </c>
      <c r="M581" s="176" t="s">
        <v>148</v>
      </c>
      <c r="N581" s="176" t="s">
        <v>149</v>
      </c>
      <c r="O581" s="176" t="s">
        <v>150</v>
      </c>
      <c r="P581" s="176" t="s">
        <v>151</v>
      </c>
      <c r="Q581" s="176"/>
      <c r="R581" s="176" t="s">
        <v>4962</v>
      </c>
      <c r="S581" s="176"/>
      <c r="T581" s="176" t="s">
        <v>2790</v>
      </c>
      <c r="U581" s="176" t="s">
        <v>152</v>
      </c>
      <c r="V581" s="176" t="s">
        <v>23</v>
      </c>
    </row>
    <row r="582" spans="2:22" ht="12" customHeight="1">
      <c r="B582" s="211">
        <v>46244</v>
      </c>
      <c r="C582" s="211">
        <v>46244</v>
      </c>
      <c r="D582" s="176" t="s">
        <v>4963</v>
      </c>
      <c r="E582" s="176" t="s">
        <v>4964</v>
      </c>
      <c r="F582" s="176" t="s">
        <v>87</v>
      </c>
      <c r="G582" s="176" t="s">
        <v>2515</v>
      </c>
      <c r="H582" s="176">
        <v>50</v>
      </c>
      <c r="I582" s="176">
        <v>34.200000000000003</v>
      </c>
      <c r="J582" s="176">
        <v>34.200000000000003</v>
      </c>
      <c r="K582" s="176">
        <v>5</v>
      </c>
      <c r="L582" s="176">
        <v>0</v>
      </c>
      <c r="M582" s="176" t="s">
        <v>148</v>
      </c>
      <c r="N582" s="176" t="s">
        <v>149</v>
      </c>
      <c r="O582" s="176" t="s">
        <v>150</v>
      </c>
      <c r="P582" s="176" t="s">
        <v>151</v>
      </c>
      <c r="Q582" s="176"/>
      <c r="R582" s="176" t="s">
        <v>4964</v>
      </c>
      <c r="S582" s="176"/>
      <c r="T582" s="176" t="s">
        <v>2790</v>
      </c>
      <c r="U582" s="176" t="s">
        <v>152</v>
      </c>
      <c r="V582" s="176" t="s">
        <v>23</v>
      </c>
    </row>
    <row r="583" spans="2:22" ht="12" customHeight="1">
      <c r="B583" s="211">
        <v>46244</v>
      </c>
      <c r="C583" s="211">
        <v>46244</v>
      </c>
      <c r="D583" s="176" t="s">
        <v>4965</v>
      </c>
      <c r="E583" s="176" t="s">
        <v>4966</v>
      </c>
      <c r="F583" s="176" t="s">
        <v>87</v>
      </c>
      <c r="G583" s="176" t="s">
        <v>4335</v>
      </c>
      <c r="H583" s="176">
        <v>25</v>
      </c>
      <c r="I583" s="176">
        <v>33.799999999999997</v>
      </c>
      <c r="J583" s="176">
        <v>33.799999999999997</v>
      </c>
      <c r="K583" s="176">
        <v>4</v>
      </c>
      <c r="L583" s="176">
        <v>0</v>
      </c>
      <c r="M583" s="176" t="s">
        <v>148</v>
      </c>
      <c r="N583" s="176" t="s">
        <v>149</v>
      </c>
      <c r="O583" s="176" t="s">
        <v>150</v>
      </c>
      <c r="P583" s="176" t="s">
        <v>151</v>
      </c>
      <c r="Q583" s="176"/>
      <c r="R583" s="176" t="s">
        <v>4966</v>
      </c>
      <c r="S583" s="176"/>
      <c r="T583" s="176" t="s">
        <v>2790</v>
      </c>
      <c r="U583" s="176" t="s">
        <v>152</v>
      </c>
      <c r="V583" s="176" t="s">
        <v>23</v>
      </c>
    </row>
    <row r="584" spans="2:22" ht="12" customHeight="1">
      <c r="B584" s="211">
        <v>46244</v>
      </c>
      <c r="C584" s="211">
        <v>46244</v>
      </c>
      <c r="D584" s="176" t="s">
        <v>4967</v>
      </c>
      <c r="E584" s="176" t="s">
        <v>4968</v>
      </c>
      <c r="F584" s="176" t="s">
        <v>87</v>
      </c>
      <c r="G584" s="176" t="s">
        <v>2357</v>
      </c>
      <c r="H584" s="176">
        <v>40</v>
      </c>
      <c r="I584" s="176">
        <v>38.799999999999997</v>
      </c>
      <c r="J584" s="176">
        <v>38.799999999999997</v>
      </c>
      <c r="K584" s="176">
        <v>5</v>
      </c>
      <c r="L584" s="176">
        <v>0</v>
      </c>
      <c r="M584" s="176" t="s">
        <v>148</v>
      </c>
      <c r="N584" s="176" t="s">
        <v>149</v>
      </c>
      <c r="O584" s="176" t="s">
        <v>150</v>
      </c>
      <c r="P584" s="176" t="s">
        <v>151</v>
      </c>
      <c r="Q584" s="176"/>
      <c r="R584" s="176" t="s">
        <v>4968</v>
      </c>
      <c r="S584" s="176"/>
      <c r="T584" s="176" t="s">
        <v>2790</v>
      </c>
      <c r="U584" s="176" t="s">
        <v>152</v>
      </c>
      <c r="V584" s="176" t="s">
        <v>23</v>
      </c>
    </row>
    <row r="585" spans="2:22" ht="12" customHeight="1">
      <c r="B585" s="211">
        <v>46244</v>
      </c>
      <c r="C585" s="211">
        <v>46244</v>
      </c>
      <c r="D585" s="176" t="s">
        <v>4969</v>
      </c>
      <c r="E585" s="176" t="s">
        <v>4970</v>
      </c>
      <c r="F585" s="176" t="s">
        <v>87</v>
      </c>
      <c r="G585" s="176" t="s">
        <v>2357</v>
      </c>
      <c r="H585" s="176">
        <v>40</v>
      </c>
      <c r="I585" s="176">
        <v>34.799999999999997</v>
      </c>
      <c r="J585" s="176">
        <v>34.799999999999997</v>
      </c>
      <c r="K585" s="176">
        <v>5</v>
      </c>
      <c r="L585" s="176">
        <v>0</v>
      </c>
      <c r="M585" s="176" t="s">
        <v>148</v>
      </c>
      <c r="N585" s="176" t="s">
        <v>149</v>
      </c>
      <c r="O585" s="176" t="s">
        <v>150</v>
      </c>
      <c r="P585" s="176" t="s">
        <v>151</v>
      </c>
      <c r="Q585" s="176"/>
      <c r="R585" s="176" t="s">
        <v>4970</v>
      </c>
      <c r="S585" s="176"/>
      <c r="T585" s="176" t="s">
        <v>2790</v>
      </c>
      <c r="U585" s="176" t="s">
        <v>152</v>
      </c>
      <c r="V585" s="176" t="s">
        <v>23</v>
      </c>
    </row>
    <row r="586" spans="2:22" ht="12" customHeight="1">
      <c r="B586" s="211">
        <v>46244</v>
      </c>
      <c r="C586" s="211">
        <v>46244</v>
      </c>
      <c r="D586" s="176" t="s">
        <v>4971</v>
      </c>
      <c r="E586" s="176" t="s">
        <v>4972</v>
      </c>
      <c r="F586" s="176" t="s">
        <v>87</v>
      </c>
      <c r="G586" s="176" t="s">
        <v>1966</v>
      </c>
      <c r="H586" s="176">
        <v>6</v>
      </c>
      <c r="I586" s="176">
        <v>27.6</v>
      </c>
      <c r="J586" s="176">
        <v>27.6</v>
      </c>
      <c r="K586" s="176">
        <v>1.5</v>
      </c>
      <c r="L586" s="176">
        <v>0</v>
      </c>
      <c r="M586" s="176" t="s">
        <v>148</v>
      </c>
      <c r="N586" s="176" t="s">
        <v>149</v>
      </c>
      <c r="O586" s="176" t="s">
        <v>150</v>
      </c>
      <c r="P586" s="176" t="s">
        <v>151</v>
      </c>
      <c r="Q586" s="176"/>
      <c r="R586" s="176" t="s">
        <v>4972</v>
      </c>
      <c r="S586" s="176"/>
      <c r="T586" s="176" t="s">
        <v>2790</v>
      </c>
      <c r="U586" s="176" t="s">
        <v>152</v>
      </c>
      <c r="V586" s="176" t="s">
        <v>23</v>
      </c>
    </row>
    <row r="587" spans="2:22" ht="12" customHeight="1">
      <c r="B587" s="211">
        <v>46244</v>
      </c>
      <c r="C587" s="211">
        <v>46244</v>
      </c>
      <c r="D587" s="176" t="s">
        <v>4973</v>
      </c>
      <c r="E587" s="176" t="s">
        <v>4974</v>
      </c>
      <c r="F587" s="176" t="s">
        <v>87</v>
      </c>
      <c r="G587" s="176" t="s">
        <v>1966</v>
      </c>
      <c r="H587" s="176">
        <v>6</v>
      </c>
      <c r="I587" s="176">
        <v>30.9</v>
      </c>
      <c r="J587" s="176">
        <v>30.9</v>
      </c>
      <c r="K587" s="176">
        <v>1.5</v>
      </c>
      <c r="L587" s="176">
        <v>0</v>
      </c>
      <c r="M587" s="176" t="s">
        <v>148</v>
      </c>
      <c r="N587" s="176" t="s">
        <v>149</v>
      </c>
      <c r="O587" s="176" t="s">
        <v>150</v>
      </c>
      <c r="P587" s="176" t="s">
        <v>151</v>
      </c>
      <c r="Q587" s="176"/>
      <c r="R587" s="176" t="s">
        <v>4974</v>
      </c>
      <c r="S587" s="176"/>
      <c r="T587" s="176" t="s">
        <v>2790</v>
      </c>
      <c r="U587" s="176" t="s">
        <v>152</v>
      </c>
      <c r="V587" s="176" t="s">
        <v>23</v>
      </c>
    </row>
    <row r="588" spans="2:22" ht="12" customHeight="1">
      <c r="B588" s="211">
        <v>46244</v>
      </c>
      <c r="C588" s="211">
        <v>46244</v>
      </c>
      <c r="D588" s="176" t="s">
        <v>4975</v>
      </c>
      <c r="E588" s="176" t="s">
        <v>4976</v>
      </c>
      <c r="F588" s="176" t="s">
        <v>87</v>
      </c>
      <c r="G588" s="176" t="s">
        <v>1678</v>
      </c>
      <c r="H588" s="176">
        <v>30</v>
      </c>
      <c r="I588" s="176">
        <v>37.799999999999997</v>
      </c>
      <c r="J588" s="176">
        <v>37.799999999999997</v>
      </c>
      <c r="K588" s="176">
        <v>4</v>
      </c>
      <c r="L588" s="176">
        <v>0</v>
      </c>
      <c r="M588" s="176" t="s">
        <v>148</v>
      </c>
      <c r="N588" s="176" t="s">
        <v>149</v>
      </c>
      <c r="O588" s="176" t="s">
        <v>150</v>
      </c>
      <c r="P588" s="176" t="s">
        <v>151</v>
      </c>
      <c r="Q588" s="176"/>
      <c r="R588" s="176" t="s">
        <v>4976</v>
      </c>
      <c r="S588" s="176"/>
      <c r="T588" s="176" t="s">
        <v>2790</v>
      </c>
      <c r="U588" s="176" t="s">
        <v>152</v>
      </c>
      <c r="V588" s="176" t="s">
        <v>23</v>
      </c>
    </row>
    <row r="589" spans="2:22" ht="12" customHeight="1">
      <c r="B589" s="211">
        <v>46244</v>
      </c>
      <c r="C589" s="211">
        <v>46244</v>
      </c>
      <c r="D589" s="176" t="s">
        <v>4977</v>
      </c>
      <c r="E589" s="176" t="s">
        <v>4978</v>
      </c>
      <c r="F589" s="176" t="s">
        <v>87</v>
      </c>
      <c r="G589" s="176" t="s">
        <v>4512</v>
      </c>
      <c r="H589" s="176">
        <v>55</v>
      </c>
      <c r="I589" s="176">
        <v>38.299999999999997</v>
      </c>
      <c r="J589" s="176">
        <v>38.299999999999997</v>
      </c>
      <c r="K589" s="176">
        <v>5</v>
      </c>
      <c r="L589" s="176">
        <v>0</v>
      </c>
      <c r="M589" s="176" t="s">
        <v>148</v>
      </c>
      <c r="N589" s="176" t="s">
        <v>149</v>
      </c>
      <c r="O589" s="176" t="s">
        <v>150</v>
      </c>
      <c r="P589" s="176" t="s">
        <v>151</v>
      </c>
      <c r="Q589" s="176"/>
      <c r="R589" s="176" t="s">
        <v>4978</v>
      </c>
      <c r="S589" s="176"/>
      <c r="T589" s="176" t="s">
        <v>2790</v>
      </c>
      <c r="U589" s="176" t="s">
        <v>152</v>
      </c>
      <c r="V589" s="176" t="s">
        <v>23</v>
      </c>
    </row>
    <row r="590" spans="2:22" ht="12" customHeight="1">
      <c r="B590" s="211">
        <v>46244</v>
      </c>
      <c r="C590" s="211">
        <v>46244</v>
      </c>
      <c r="D590" s="176" t="s">
        <v>4979</v>
      </c>
      <c r="E590" s="176" t="s">
        <v>4980</v>
      </c>
      <c r="F590" s="176" t="s">
        <v>87</v>
      </c>
      <c r="G590" s="176" t="s">
        <v>2357</v>
      </c>
      <c r="H590" s="176">
        <v>40</v>
      </c>
      <c r="I590" s="176">
        <v>40.799999999999997</v>
      </c>
      <c r="J590" s="176">
        <v>40.799999999999997</v>
      </c>
      <c r="K590" s="176">
        <v>5</v>
      </c>
      <c r="L590" s="176">
        <v>0</v>
      </c>
      <c r="M590" s="176" t="s">
        <v>148</v>
      </c>
      <c r="N590" s="176" t="s">
        <v>149</v>
      </c>
      <c r="O590" s="176" t="s">
        <v>150</v>
      </c>
      <c r="P590" s="176" t="s">
        <v>151</v>
      </c>
      <c r="Q590" s="176"/>
      <c r="R590" s="176" t="s">
        <v>4980</v>
      </c>
      <c r="S590" s="176"/>
      <c r="T590" s="176" t="s">
        <v>2790</v>
      </c>
      <c r="U590" s="176" t="s">
        <v>152</v>
      </c>
      <c r="V590" s="176" t="s">
        <v>23</v>
      </c>
    </row>
    <row r="591" spans="2:22" ht="12" customHeight="1">
      <c r="B591" s="211">
        <v>46244</v>
      </c>
      <c r="C591" s="211">
        <v>46244</v>
      </c>
      <c r="D591" s="176" t="s">
        <v>4981</v>
      </c>
      <c r="E591" s="176" t="s">
        <v>4982</v>
      </c>
      <c r="F591" s="176" t="s">
        <v>87</v>
      </c>
      <c r="G591" s="176" t="s">
        <v>4335</v>
      </c>
      <c r="H591" s="176">
        <v>25</v>
      </c>
      <c r="I591" s="176">
        <v>37.799999999999997</v>
      </c>
      <c r="J591" s="176">
        <v>37.799999999999997</v>
      </c>
      <c r="K591" s="176">
        <v>4</v>
      </c>
      <c r="L591" s="176">
        <v>0</v>
      </c>
      <c r="M591" s="176" t="s">
        <v>148</v>
      </c>
      <c r="N591" s="176" t="s">
        <v>149</v>
      </c>
      <c r="O591" s="176" t="s">
        <v>150</v>
      </c>
      <c r="P591" s="176" t="s">
        <v>151</v>
      </c>
      <c r="Q591" s="176"/>
      <c r="R591" s="176" t="s">
        <v>4982</v>
      </c>
      <c r="S591" s="176"/>
      <c r="T591" s="176" t="s">
        <v>2790</v>
      </c>
      <c r="U591" s="176" t="s">
        <v>152</v>
      </c>
      <c r="V591" s="176" t="s">
        <v>23</v>
      </c>
    </row>
    <row r="592" spans="2:22" ht="12" customHeight="1">
      <c r="B592" s="211">
        <v>46244</v>
      </c>
      <c r="C592" s="211">
        <v>46244</v>
      </c>
      <c r="D592" s="176" t="s">
        <v>4983</v>
      </c>
      <c r="E592" s="176" t="s">
        <v>4984</v>
      </c>
      <c r="F592" s="176" t="s">
        <v>87</v>
      </c>
      <c r="G592" s="176" t="s">
        <v>2404</v>
      </c>
      <c r="H592" s="176">
        <v>40</v>
      </c>
      <c r="I592" s="176">
        <v>39.200000000000003</v>
      </c>
      <c r="J592" s="176">
        <v>39.200000000000003</v>
      </c>
      <c r="K592" s="176">
        <v>5</v>
      </c>
      <c r="L592" s="176">
        <v>0</v>
      </c>
      <c r="M592" s="176" t="s">
        <v>148</v>
      </c>
      <c r="N592" s="176" t="s">
        <v>149</v>
      </c>
      <c r="O592" s="176" t="s">
        <v>150</v>
      </c>
      <c r="P592" s="176" t="s">
        <v>151</v>
      </c>
      <c r="Q592" s="176"/>
      <c r="R592" s="176" t="s">
        <v>4984</v>
      </c>
      <c r="S592" s="176"/>
      <c r="T592" s="176" t="s">
        <v>2790</v>
      </c>
      <c r="U592" s="176" t="s">
        <v>152</v>
      </c>
      <c r="V592" s="176" t="s">
        <v>23</v>
      </c>
    </row>
    <row r="593" spans="2:22" ht="12" customHeight="1">
      <c r="B593" s="211">
        <v>46244</v>
      </c>
      <c r="C593" s="211">
        <v>46244</v>
      </c>
      <c r="D593" s="176" t="s">
        <v>4985</v>
      </c>
      <c r="E593" s="176" t="s">
        <v>4986</v>
      </c>
      <c r="F593" s="176" t="s">
        <v>87</v>
      </c>
      <c r="G593" s="176" t="s">
        <v>2404</v>
      </c>
      <c r="H593" s="176">
        <v>40</v>
      </c>
      <c r="I593" s="176">
        <v>20.100000000000001</v>
      </c>
      <c r="J593" s="176">
        <v>20.100000000000001</v>
      </c>
      <c r="K593" s="176">
        <v>5</v>
      </c>
      <c r="L593" s="176">
        <v>0</v>
      </c>
      <c r="M593" s="176" t="s">
        <v>148</v>
      </c>
      <c r="N593" s="176" t="s">
        <v>149</v>
      </c>
      <c r="O593" s="176" t="s">
        <v>150</v>
      </c>
      <c r="P593" s="176" t="s">
        <v>151</v>
      </c>
      <c r="Q593" s="176"/>
      <c r="R593" s="176" t="s">
        <v>4986</v>
      </c>
      <c r="S593" s="176"/>
      <c r="T593" s="176" t="s">
        <v>2790</v>
      </c>
      <c r="U593" s="176" t="s">
        <v>152</v>
      </c>
      <c r="V593" s="176" t="s">
        <v>23</v>
      </c>
    </row>
    <row r="594" spans="2:22" ht="12" customHeight="1">
      <c r="B594" s="211">
        <v>46244</v>
      </c>
      <c r="C594" s="211">
        <v>46244</v>
      </c>
      <c r="D594" s="176" t="s">
        <v>4987</v>
      </c>
      <c r="E594" s="176" t="s">
        <v>4988</v>
      </c>
      <c r="F594" s="176" t="s">
        <v>87</v>
      </c>
      <c r="G594" s="176" t="s">
        <v>4335</v>
      </c>
      <c r="H594" s="176">
        <v>25</v>
      </c>
      <c r="I594" s="176">
        <v>42.8</v>
      </c>
      <c r="J594" s="176">
        <v>42.8</v>
      </c>
      <c r="K594" s="176">
        <v>4</v>
      </c>
      <c r="L594" s="176">
        <v>0</v>
      </c>
      <c r="M594" s="176" t="s">
        <v>148</v>
      </c>
      <c r="N594" s="176" t="s">
        <v>149</v>
      </c>
      <c r="O594" s="176" t="s">
        <v>150</v>
      </c>
      <c r="P594" s="176" t="s">
        <v>151</v>
      </c>
      <c r="Q594" s="176"/>
      <c r="R594" s="176" t="s">
        <v>4988</v>
      </c>
      <c r="S594" s="176"/>
      <c r="T594" s="176" t="s">
        <v>2790</v>
      </c>
      <c r="U594" s="176" t="s">
        <v>152</v>
      </c>
      <c r="V594" s="176" t="s">
        <v>23</v>
      </c>
    </row>
    <row r="595" spans="2:22" ht="12" customHeight="1">
      <c r="B595" s="211">
        <v>46244</v>
      </c>
      <c r="C595" s="211">
        <v>46244</v>
      </c>
      <c r="D595" s="176" t="s">
        <v>4989</v>
      </c>
      <c r="E595" s="176" t="s">
        <v>4990</v>
      </c>
      <c r="F595" s="176" t="s">
        <v>87</v>
      </c>
      <c r="G595" s="176" t="s">
        <v>2334</v>
      </c>
      <c r="H595" s="176">
        <v>40</v>
      </c>
      <c r="I595" s="176">
        <v>29.8</v>
      </c>
      <c r="J595" s="176">
        <v>29.8</v>
      </c>
      <c r="K595" s="176">
        <v>5</v>
      </c>
      <c r="L595" s="176">
        <v>0</v>
      </c>
      <c r="M595" s="176" t="s">
        <v>148</v>
      </c>
      <c r="N595" s="176" t="s">
        <v>149</v>
      </c>
      <c r="O595" s="176" t="s">
        <v>150</v>
      </c>
      <c r="P595" s="176" t="s">
        <v>151</v>
      </c>
      <c r="Q595" s="176"/>
      <c r="R595" s="176" t="s">
        <v>4990</v>
      </c>
      <c r="S595" s="176"/>
      <c r="T595" s="176" t="s">
        <v>2790</v>
      </c>
      <c r="U595" s="176" t="s">
        <v>152</v>
      </c>
      <c r="V595" s="176" t="s">
        <v>23</v>
      </c>
    </row>
    <row r="596" spans="2:22" ht="12" customHeight="1">
      <c r="B596" s="211">
        <v>46244</v>
      </c>
      <c r="C596" s="211">
        <v>46244</v>
      </c>
      <c r="D596" s="176" t="s">
        <v>4991</v>
      </c>
      <c r="E596" s="176" t="s">
        <v>4992</v>
      </c>
      <c r="F596" s="176" t="s">
        <v>87</v>
      </c>
      <c r="G596" s="176" t="s">
        <v>2404</v>
      </c>
      <c r="H596" s="176">
        <v>40</v>
      </c>
      <c r="I596" s="176">
        <v>38.4</v>
      </c>
      <c r="J596" s="176">
        <v>38.4</v>
      </c>
      <c r="K596" s="176">
        <v>5</v>
      </c>
      <c r="L596" s="176">
        <v>0</v>
      </c>
      <c r="M596" s="176" t="s">
        <v>148</v>
      </c>
      <c r="N596" s="176" t="s">
        <v>149</v>
      </c>
      <c r="O596" s="176" t="s">
        <v>150</v>
      </c>
      <c r="P596" s="176" t="s">
        <v>151</v>
      </c>
      <c r="Q596" s="176"/>
      <c r="R596" s="176" t="s">
        <v>4992</v>
      </c>
      <c r="S596" s="176"/>
      <c r="T596" s="176" t="s">
        <v>2790</v>
      </c>
      <c r="U596" s="176" t="s">
        <v>152</v>
      </c>
      <c r="V596" s="176" t="s">
        <v>23</v>
      </c>
    </row>
    <row r="597" spans="2:22" ht="12" customHeight="1">
      <c r="B597" s="211">
        <v>46244</v>
      </c>
      <c r="C597" s="211">
        <v>46244</v>
      </c>
      <c r="D597" s="176" t="s">
        <v>4993</v>
      </c>
      <c r="E597" s="176" t="s">
        <v>4994</v>
      </c>
      <c r="F597" s="176" t="s">
        <v>87</v>
      </c>
      <c r="G597" s="176" t="s">
        <v>4000</v>
      </c>
      <c r="H597" s="176">
        <v>50</v>
      </c>
      <c r="I597" s="176">
        <v>39.799999999999997</v>
      </c>
      <c r="J597" s="176">
        <v>39.799999999999997</v>
      </c>
      <c r="K597" s="176">
        <v>5</v>
      </c>
      <c r="L597" s="176">
        <v>0</v>
      </c>
      <c r="M597" s="176" t="s">
        <v>148</v>
      </c>
      <c r="N597" s="176" t="s">
        <v>149</v>
      </c>
      <c r="O597" s="176" t="s">
        <v>150</v>
      </c>
      <c r="P597" s="176" t="s">
        <v>151</v>
      </c>
      <c r="Q597" s="176"/>
      <c r="R597" s="176" t="s">
        <v>4994</v>
      </c>
      <c r="S597" s="176"/>
      <c r="T597" s="176" t="s">
        <v>2790</v>
      </c>
      <c r="U597" s="176" t="s">
        <v>152</v>
      </c>
      <c r="V597" s="176" t="s">
        <v>23</v>
      </c>
    </row>
    <row r="598" spans="2:22" ht="12" customHeight="1">
      <c r="B598" s="211">
        <v>46244</v>
      </c>
      <c r="C598" s="211">
        <v>46244</v>
      </c>
      <c r="D598" s="176" t="s">
        <v>4995</v>
      </c>
      <c r="E598" s="176" t="s">
        <v>4996</v>
      </c>
      <c r="F598" s="176" t="s">
        <v>87</v>
      </c>
      <c r="G598" s="176" t="s">
        <v>2334</v>
      </c>
      <c r="H598" s="176">
        <v>40</v>
      </c>
      <c r="I598" s="176">
        <v>42.3</v>
      </c>
      <c r="J598" s="176">
        <v>42.3</v>
      </c>
      <c r="K598" s="176">
        <v>5</v>
      </c>
      <c r="L598" s="176">
        <v>0</v>
      </c>
      <c r="M598" s="176" t="s">
        <v>148</v>
      </c>
      <c r="N598" s="176" t="s">
        <v>149</v>
      </c>
      <c r="O598" s="176" t="s">
        <v>150</v>
      </c>
      <c r="P598" s="176" t="s">
        <v>151</v>
      </c>
      <c r="Q598" s="176"/>
      <c r="R598" s="176" t="s">
        <v>4996</v>
      </c>
      <c r="S598" s="176"/>
      <c r="T598" s="176" t="s">
        <v>2790</v>
      </c>
      <c r="U598" s="176" t="s">
        <v>152</v>
      </c>
      <c r="V598" s="176" t="s">
        <v>23</v>
      </c>
    </row>
    <row r="599" spans="2:22" ht="12" customHeight="1">
      <c r="B599" s="211">
        <v>46244</v>
      </c>
      <c r="C599" s="211">
        <v>46244</v>
      </c>
      <c r="D599" s="176" t="s">
        <v>4997</v>
      </c>
      <c r="E599" s="176" t="s">
        <v>4998</v>
      </c>
      <c r="F599" s="176" t="s">
        <v>87</v>
      </c>
      <c r="G599" s="176" t="s">
        <v>2404</v>
      </c>
      <c r="H599" s="176">
        <v>40</v>
      </c>
      <c r="I599" s="176">
        <v>37.799999999999997</v>
      </c>
      <c r="J599" s="176">
        <v>37.799999999999997</v>
      </c>
      <c r="K599" s="176">
        <v>5</v>
      </c>
      <c r="L599" s="176">
        <v>0</v>
      </c>
      <c r="M599" s="176" t="s">
        <v>148</v>
      </c>
      <c r="N599" s="176" t="s">
        <v>149</v>
      </c>
      <c r="O599" s="176" t="s">
        <v>150</v>
      </c>
      <c r="P599" s="176" t="s">
        <v>151</v>
      </c>
      <c r="Q599" s="176"/>
      <c r="R599" s="176" t="s">
        <v>4998</v>
      </c>
      <c r="S599" s="176"/>
      <c r="T599" s="176" t="s">
        <v>2790</v>
      </c>
      <c r="U599" s="176" t="s">
        <v>152</v>
      </c>
      <c r="V599" s="176" t="s">
        <v>23</v>
      </c>
    </row>
    <row r="600" spans="2:22" ht="12" customHeight="1">
      <c r="B600" s="211">
        <v>46244</v>
      </c>
      <c r="C600" s="211">
        <v>46244</v>
      </c>
      <c r="D600" s="176" t="s">
        <v>4999</v>
      </c>
      <c r="E600" s="176" t="s">
        <v>5000</v>
      </c>
      <c r="F600" s="176" t="s">
        <v>87</v>
      </c>
      <c r="G600" s="176" t="s">
        <v>4335</v>
      </c>
      <c r="H600" s="176">
        <v>25</v>
      </c>
      <c r="I600" s="176">
        <v>40.1</v>
      </c>
      <c r="J600" s="176">
        <v>40.1</v>
      </c>
      <c r="K600" s="176">
        <v>4</v>
      </c>
      <c r="L600" s="176">
        <v>0</v>
      </c>
      <c r="M600" s="176" t="s">
        <v>148</v>
      </c>
      <c r="N600" s="176" t="s">
        <v>149</v>
      </c>
      <c r="O600" s="176" t="s">
        <v>150</v>
      </c>
      <c r="P600" s="176" t="s">
        <v>151</v>
      </c>
      <c r="Q600" s="176"/>
      <c r="R600" s="176" t="s">
        <v>5000</v>
      </c>
      <c r="S600" s="176"/>
      <c r="T600" s="176" t="s">
        <v>2790</v>
      </c>
      <c r="U600" s="176" t="s">
        <v>152</v>
      </c>
      <c r="V600" s="176" t="s">
        <v>23</v>
      </c>
    </row>
    <row r="601" spans="2:22" ht="12" customHeight="1">
      <c r="B601" s="211">
        <v>46244</v>
      </c>
      <c r="C601" s="211">
        <v>46244</v>
      </c>
      <c r="D601" s="176" t="s">
        <v>5001</v>
      </c>
      <c r="E601" s="176" t="s">
        <v>5002</v>
      </c>
      <c r="F601" s="176" t="s">
        <v>87</v>
      </c>
      <c r="G601" s="176" t="s">
        <v>2357</v>
      </c>
      <c r="H601" s="176">
        <v>40</v>
      </c>
      <c r="I601" s="176">
        <v>29.8</v>
      </c>
      <c r="J601" s="176">
        <v>29.8</v>
      </c>
      <c r="K601" s="176">
        <v>5</v>
      </c>
      <c r="L601" s="176">
        <v>0</v>
      </c>
      <c r="M601" s="176" t="s">
        <v>148</v>
      </c>
      <c r="N601" s="176" t="s">
        <v>149</v>
      </c>
      <c r="O601" s="176" t="s">
        <v>150</v>
      </c>
      <c r="P601" s="176" t="s">
        <v>151</v>
      </c>
      <c r="Q601" s="176"/>
      <c r="R601" s="176" t="s">
        <v>5002</v>
      </c>
      <c r="S601" s="176"/>
      <c r="T601" s="176" t="s">
        <v>2790</v>
      </c>
      <c r="U601" s="176" t="s">
        <v>152</v>
      </c>
      <c r="V601" s="176" t="s">
        <v>23</v>
      </c>
    </row>
    <row r="602" spans="2:22" ht="12" customHeight="1">
      <c r="B602" s="211">
        <v>46244</v>
      </c>
      <c r="C602" s="211">
        <v>46244</v>
      </c>
      <c r="D602" s="176" t="s">
        <v>5003</v>
      </c>
      <c r="E602" s="176" t="s">
        <v>5004</v>
      </c>
      <c r="F602" s="176" t="s">
        <v>87</v>
      </c>
      <c r="G602" s="176" t="s">
        <v>2357</v>
      </c>
      <c r="H602" s="176">
        <v>40</v>
      </c>
      <c r="I602" s="176">
        <v>31.7</v>
      </c>
      <c r="J602" s="176">
        <v>31.7</v>
      </c>
      <c r="K602" s="176">
        <v>5</v>
      </c>
      <c r="L602" s="176">
        <v>0</v>
      </c>
      <c r="M602" s="176" t="s">
        <v>148</v>
      </c>
      <c r="N602" s="176" t="s">
        <v>149</v>
      </c>
      <c r="O602" s="176" t="s">
        <v>150</v>
      </c>
      <c r="P602" s="176" t="s">
        <v>151</v>
      </c>
      <c r="Q602" s="176"/>
      <c r="R602" s="176" t="s">
        <v>5004</v>
      </c>
      <c r="S602" s="176"/>
      <c r="T602" s="176" t="s">
        <v>2790</v>
      </c>
      <c r="U602" s="176" t="s">
        <v>152</v>
      </c>
      <c r="V602" s="176" t="s">
        <v>23</v>
      </c>
    </row>
    <row r="603" spans="2:22" ht="12" customHeight="1">
      <c r="B603" s="211">
        <v>46244</v>
      </c>
      <c r="C603" s="211">
        <v>46244</v>
      </c>
      <c r="D603" s="176" t="s">
        <v>5005</v>
      </c>
      <c r="E603" s="176" t="s">
        <v>5006</v>
      </c>
      <c r="F603" s="176" t="s">
        <v>87</v>
      </c>
      <c r="G603" s="176" t="s">
        <v>2334</v>
      </c>
      <c r="H603" s="176">
        <v>40</v>
      </c>
      <c r="I603" s="176">
        <v>28.1</v>
      </c>
      <c r="J603" s="176">
        <v>28.1</v>
      </c>
      <c r="K603" s="176">
        <v>5</v>
      </c>
      <c r="L603" s="176">
        <v>0</v>
      </c>
      <c r="M603" s="176" t="s">
        <v>148</v>
      </c>
      <c r="N603" s="176" t="s">
        <v>149</v>
      </c>
      <c r="O603" s="176" t="s">
        <v>150</v>
      </c>
      <c r="P603" s="176" t="s">
        <v>151</v>
      </c>
      <c r="Q603" s="176"/>
      <c r="R603" s="176" t="s">
        <v>5006</v>
      </c>
      <c r="S603" s="176"/>
      <c r="T603" s="176" t="s">
        <v>2790</v>
      </c>
      <c r="U603" s="176" t="s">
        <v>152</v>
      </c>
      <c r="V603" s="176" t="s">
        <v>23</v>
      </c>
    </row>
    <row r="604" spans="2:22" ht="12" customHeight="1">
      <c r="B604" s="211">
        <v>46244</v>
      </c>
      <c r="C604" s="211">
        <v>46244</v>
      </c>
      <c r="D604" s="176" t="s">
        <v>5007</v>
      </c>
      <c r="E604" s="176" t="s">
        <v>5008</v>
      </c>
      <c r="F604" s="176" t="s">
        <v>87</v>
      </c>
      <c r="G604" s="176" t="s">
        <v>2334</v>
      </c>
      <c r="H604" s="176">
        <v>40</v>
      </c>
      <c r="I604" s="176">
        <v>17.600000000000001</v>
      </c>
      <c r="J604" s="176">
        <v>17.600000000000001</v>
      </c>
      <c r="K604" s="176">
        <v>5</v>
      </c>
      <c r="L604" s="176">
        <v>0</v>
      </c>
      <c r="M604" s="176" t="s">
        <v>148</v>
      </c>
      <c r="N604" s="176" t="s">
        <v>149</v>
      </c>
      <c r="O604" s="176" t="s">
        <v>150</v>
      </c>
      <c r="P604" s="176" t="s">
        <v>151</v>
      </c>
      <c r="Q604" s="176"/>
      <c r="R604" s="176" t="s">
        <v>5008</v>
      </c>
      <c r="S604" s="176"/>
      <c r="T604" s="176" t="s">
        <v>2790</v>
      </c>
      <c r="U604" s="176" t="s">
        <v>152</v>
      </c>
      <c r="V604" s="176" t="s">
        <v>23</v>
      </c>
    </row>
    <row r="605" spans="2:22" ht="12" customHeight="1">
      <c r="B605" s="211">
        <v>46244</v>
      </c>
      <c r="C605" s="211">
        <v>46244</v>
      </c>
      <c r="D605" s="176" t="s">
        <v>5009</v>
      </c>
      <c r="E605" s="176" t="s">
        <v>5010</v>
      </c>
      <c r="F605" s="176" t="s">
        <v>87</v>
      </c>
      <c r="G605" s="176" t="s">
        <v>2078</v>
      </c>
      <c r="H605" s="176">
        <v>6</v>
      </c>
      <c r="I605" s="176">
        <v>31.4</v>
      </c>
      <c r="J605" s="176">
        <v>31.4</v>
      </c>
      <c r="K605" s="176">
        <v>1.5</v>
      </c>
      <c r="L605" s="176">
        <v>0</v>
      </c>
      <c r="M605" s="176" t="s">
        <v>148</v>
      </c>
      <c r="N605" s="176" t="s">
        <v>149</v>
      </c>
      <c r="O605" s="176" t="s">
        <v>150</v>
      </c>
      <c r="P605" s="176" t="s">
        <v>151</v>
      </c>
      <c r="Q605" s="176"/>
      <c r="R605" s="176" t="s">
        <v>5010</v>
      </c>
      <c r="S605" s="176"/>
      <c r="T605" s="176" t="s">
        <v>2790</v>
      </c>
      <c r="U605" s="176" t="s">
        <v>152</v>
      </c>
      <c r="V605" s="176" t="s">
        <v>23</v>
      </c>
    </row>
    <row r="606" spans="2:22" ht="12" customHeight="1">
      <c r="B606" s="211">
        <v>46244</v>
      </c>
      <c r="C606" s="211">
        <v>46244</v>
      </c>
      <c r="D606" s="176" t="s">
        <v>5011</v>
      </c>
      <c r="E606" s="176" t="s">
        <v>5012</v>
      </c>
      <c r="F606" s="176" t="s">
        <v>87</v>
      </c>
      <c r="G606" s="176" t="s">
        <v>2357</v>
      </c>
      <c r="H606" s="176">
        <v>40</v>
      </c>
      <c r="I606" s="176">
        <v>39.4</v>
      </c>
      <c r="J606" s="176">
        <v>39.4</v>
      </c>
      <c r="K606" s="176">
        <v>5</v>
      </c>
      <c r="L606" s="176">
        <v>0</v>
      </c>
      <c r="M606" s="176" t="s">
        <v>148</v>
      </c>
      <c r="N606" s="176" t="s">
        <v>149</v>
      </c>
      <c r="O606" s="176" t="s">
        <v>150</v>
      </c>
      <c r="P606" s="176" t="s">
        <v>151</v>
      </c>
      <c r="Q606" s="176"/>
      <c r="R606" s="176" t="s">
        <v>5012</v>
      </c>
      <c r="S606" s="176"/>
      <c r="T606" s="176" t="s">
        <v>2790</v>
      </c>
      <c r="U606" s="176" t="s">
        <v>152</v>
      </c>
      <c r="V606" s="176" t="s">
        <v>23</v>
      </c>
    </row>
    <row r="607" spans="2:22" ht="12" customHeight="1">
      <c r="B607" s="211">
        <v>46244</v>
      </c>
      <c r="C607" s="211">
        <v>46244</v>
      </c>
      <c r="D607" s="176" t="s">
        <v>5013</v>
      </c>
      <c r="E607" s="176" t="s">
        <v>5014</v>
      </c>
      <c r="F607" s="176" t="s">
        <v>87</v>
      </c>
      <c r="G607" s="176" t="s">
        <v>2357</v>
      </c>
      <c r="H607" s="176">
        <v>40</v>
      </c>
      <c r="I607" s="176">
        <v>33.1</v>
      </c>
      <c r="J607" s="176">
        <v>33.1</v>
      </c>
      <c r="K607" s="176">
        <v>5</v>
      </c>
      <c r="L607" s="176">
        <v>0</v>
      </c>
      <c r="M607" s="176" t="s">
        <v>148</v>
      </c>
      <c r="N607" s="176" t="s">
        <v>149</v>
      </c>
      <c r="O607" s="176" t="s">
        <v>150</v>
      </c>
      <c r="P607" s="176" t="s">
        <v>151</v>
      </c>
      <c r="Q607" s="176"/>
      <c r="R607" s="176" t="s">
        <v>5014</v>
      </c>
      <c r="S607" s="176"/>
      <c r="T607" s="176" t="s">
        <v>2790</v>
      </c>
      <c r="U607" s="176" t="s">
        <v>152</v>
      </c>
      <c r="V607" s="176" t="s">
        <v>23</v>
      </c>
    </row>
    <row r="608" spans="2:22" ht="12" customHeight="1">
      <c r="B608" s="211">
        <v>46244</v>
      </c>
      <c r="C608" s="211">
        <v>46244</v>
      </c>
      <c r="D608" s="176" t="s">
        <v>5015</v>
      </c>
      <c r="E608" s="176" t="s">
        <v>5016</v>
      </c>
      <c r="F608" s="176" t="s">
        <v>87</v>
      </c>
      <c r="G608" s="176" t="s">
        <v>2357</v>
      </c>
      <c r="H608" s="176">
        <v>40</v>
      </c>
      <c r="I608" s="176">
        <v>24.3</v>
      </c>
      <c r="J608" s="176">
        <v>24.3</v>
      </c>
      <c r="K608" s="176">
        <v>5</v>
      </c>
      <c r="L608" s="176">
        <v>0</v>
      </c>
      <c r="M608" s="176" t="s">
        <v>148</v>
      </c>
      <c r="N608" s="176" t="s">
        <v>149</v>
      </c>
      <c r="O608" s="176" t="s">
        <v>150</v>
      </c>
      <c r="P608" s="176" t="s">
        <v>151</v>
      </c>
      <c r="Q608" s="176"/>
      <c r="R608" s="176" t="s">
        <v>5016</v>
      </c>
      <c r="S608" s="176"/>
      <c r="T608" s="176" t="s">
        <v>2790</v>
      </c>
      <c r="U608" s="176" t="s">
        <v>152</v>
      </c>
      <c r="V608" s="176" t="s">
        <v>23</v>
      </c>
    </row>
    <row r="609" spans="2:22" ht="12" customHeight="1">
      <c r="B609" s="211">
        <v>46244</v>
      </c>
      <c r="C609" s="211">
        <v>46244</v>
      </c>
      <c r="D609" s="176" t="s">
        <v>5017</v>
      </c>
      <c r="E609" s="176" t="s">
        <v>5018</v>
      </c>
      <c r="F609" s="176" t="s">
        <v>87</v>
      </c>
      <c r="G609" s="176" t="s">
        <v>2512</v>
      </c>
      <c r="H609" s="176">
        <v>40</v>
      </c>
      <c r="I609" s="176">
        <v>29.8</v>
      </c>
      <c r="J609" s="176">
        <v>29.8</v>
      </c>
      <c r="K609" s="176">
        <v>5</v>
      </c>
      <c r="L609" s="176">
        <v>0</v>
      </c>
      <c r="M609" s="176" t="s">
        <v>148</v>
      </c>
      <c r="N609" s="176" t="s">
        <v>149</v>
      </c>
      <c r="O609" s="176" t="s">
        <v>150</v>
      </c>
      <c r="P609" s="176" t="s">
        <v>151</v>
      </c>
      <c r="Q609" s="176"/>
      <c r="R609" s="176" t="s">
        <v>5018</v>
      </c>
      <c r="S609" s="176"/>
      <c r="T609" s="176" t="s">
        <v>2790</v>
      </c>
      <c r="U609" s="176" t="s">
        <v>152</v>
      </c>
      <c r="V609" s="176" t="s">
        <v>23</v>
      </c>
    </row>
    <row r="610" spans="2:22" ht="12" customHeight="1">
      <c r="B610" s="211">
        <v>46244</v>
      </c>
      <c r="C610" s="211">
        <v>46244</v>
      </c>
      <c r="D610" s="176" t="s">
        <v>5019</v>
      </c>
      <c r="E610" s="176" t="s">
        <v>5020</v>
      </c>
      <c r="F610" s="176" t="s">
        <v>87</v>
      </c>
      <c r="G610" s="176" t="s">
        <v>2357</v>
      </c>
      <c r="H610" s="176">
        <v>40</v>
      </c>
      <c r="I610" s="176">
        <v>27.2</v>
      </c>
      <c r="J610" s="176">
        <v>27.2</v>
      </c>
      <c r="K610" s="176">
        <v>5</v>
      </c>
      <c r="L610" s="176">
        <v>0</v>
      </c>
      <c r="M610" s="176" t="s">
        <v>148</v>
      </c>
      <c r="N610" s="176" t="s">
        <v>149</v>
      </c>
      <c r="O610" s="176" t="s">
        <v>150</v>
      </c>
      <c r="P610" s="176" t="s">
        <v>151</v>
      </c>
      <c r="Q610" s="176"/>
      <c r="R610" s="176" t="s">
        <v>5020</v>
      </c>
      <c r="S610" s="176"/>
      <c r="T610" s="176" t="s">
        <v>2790</v>
      </c>
      <c r="U610" s="176" t="s">
        <v>152</v>
      </c>
      <c r="V610" s="176" t="s">
        <v>23</v>
      </c>
    </row>
    <row r="611" spans="2:22" ht="12" customHeight="1">
      <c r="B611" s="211">
        <v>46244</v>
      </c>
      <c r="C611" s="211">
        <v>46244</v>
      </c>
      <c r="D611" s="176" t="s">
        <v>5021</v>
      </c>
      <c r="E611" s="176" t="s">
        <v>5022</v>
      </c>
      <c r="F611" s="176" t="s">
        <v>87</v>
      </c>
      <c r="G611" s="176" t="s">
        <v>2357</v>
      </c>
      <c r="H611" s="176">
        <v>40</v>
      </c>
      <c r="I611" s="176">
        <v>17.8</v>
      </c>
      <c r="J611" s="176">
        <v>17.8</v>
      </c>
      <c r="K611" s="176">
        <v>5</v>
      </c>
      <c r="L611" s="176">
        <v>0</v>
      </c>
      <c r="M611" s="176" t="s">
        <v>148</v>
      </c>
      <c r="N611" s="176" t="s">
        <v>149</v>
      </c>
      <c r="O611" s="176" t="s">
        <v>150</v>
      </c>
      <c r="P611" s="176" t="s">
        <v>151</v>
      </c>
      <c r="Q611" s="176"/>
      <c r="R611" s="176" t="s">
        <v>5022</v>
      </c>
      <c r="S611" s="176"/>
      <c r="T611" s="176" t="s">
        <v>2790</v>
      </c>
      <c r="U611" s="176" t="s">
        <v>152</v>
      </c>
      <c r="V611" s="176" t="s">
        <v>23</v>
      </c>
    </row>
    <row r="612" spans="2:22" ht="12" customHeight="1">
      <c r="B612" s="211">
        <v>46244</v>
      </c>
      <c r="C612" s="211">
        <v>46244</v>
      </c>
      <c r="D612" s="176" t="s">
        <v>5023</v>
      </c>
      <c r="E612" s="176" t="s">
        <v>5024</v>
      </c>
      <c r="F612" s="176" t="s">
        <v>87</v>
      </c>
      <c r="G612" s="176" t="s">
        <v>4000</v>
      </c>
      <c r="H612" s="176">
        <v>50</v>
      </c>
      <c r="I612" s="176">
        <v>39.700000000000003</v>
      </c>
      <c r="J612" s="176">
        <v>39.700000000000003</v>
      </c>
      <c r="K612" s="176">
        <v>5</v>
      </c>
      <c r="L612" s="176">
        <v>0</v>
      </c>
      <c r="M612" s="176" t="s">
        <v>148</v>
      </c>
      <c r="N612" s="176" t="s">
        <v>149</v>
      </c>
      <c r="O612" s="176" t="s">
        <v>150</v>
      </c>
      <c r="P612" s="176" t="s">
        <v>151</v>
      </c>
      <c r="Q612" s="176"/>
      <c r="R612" s="176" t="s">
        <v>5024</v>
      </c>
      <c r="S612" s="176"/>
      <c r="T612" s="176" t="s">
        <v>2790</v>
      </c>
      <c r="U612" s="176" t="s">
        <v>152</v>
      </c>
      <c r="V612" s="176" t="s">
        <v>23</v>
      </c>
    </row>
    <row r="613" spans="2:22" ht="12" customHeight="1">
      <c r="B613" s="211">
        <v>46244</v>
      </c>
      <c r="C613" s="211">
        <v>46244</v>
      </c>
      <c r="D613" s="176" t="s">
        <v>5025</v>
      </c>
      <c r="E613" s="176" t="s">
        <v>5026</v>
      </c>
      <c r="F613" s="176" t="s">
        <v>87</v>
      </c>
      <c r="G613" s="176" t="s">
        <v>2334</v>
      </c>
      <c r="H613" s="176">
        <v>40</v>
      </c>
      <c r="I613" s="176">
        <v>35.799999999999997</v>
      </c>
      <c r="J613" s="176">
        <v>35.799999999999997</v>
      </c>
      <c r="K613" s="176">
        <v>5</v>
      </c>
      <c r="L613" s="176">
        <v>0</v>
      </c>
      <c r="M613" s="176" t="s">
        <v>148</v>
      </c>
      <c r="N613" s="176" t="s">
        <v>149</v>
      </c>
      <c r="O613" s="176" t="s">
        <v>150</v>
      </c>
      <c r="P613" s="176" t="s">
        <v>151</v>
      </c>
      <c r="Q613" s="176"/>
      <c r="R613" s="176" t="s">
        <v>5026</v>
      </c>
      <c r="S613" s="176"/>
      <c r="T613" s="176" t="s">
        <v>2790</v>
      </c>
      <c r="U613" s="176" t="s">
        <v>152</v>
      </c>
      <c r="V613" s="176" t="s">
        <v>23</v>
      </c>
    </row>
    <row r="614" spans="2:22" ht="12" customHeight="1">
      <c r="B614" s="211">
        <v>46244</v>
      </c>
      <c r="C614" s="211">
        <v>46244</v>
      </c>
      <c r="D614" s="176" t="s">
        <v>5027</v>
      </c>
      <c r="E614" s="176" t="s">
        <v>5028</v>
      </c>
      <c r="F614" s="176" t="s">
        <v>87</v>
      </c>
      <c r="G614" s="176" t="s">
        <v>2404</v>
      </c>
      <c r="H614" s="176">
        <v>40</v>
      </c>
      <c r="I614" s="176">
        <v>31.4</v>
      </c>
      <c r="J614" s="176">
        <v>31.4</v>
      </c>
      <c r="K614" s="176">
        <v>5</v>
      </c>
      <c r="L614" s="176">
        <v>0</v>
      </c>
      <c r="M614" s="176" t="s">
        <v>148</v>
      </c>
      <c r="N614" s="176" t="s">
        <v>149</v>
      </c>
      <c r="O614" s="176" t="s">
        <v>150</v>
      </c>
      <c r="P614" s="176" t="s">
        <v>151</v>
      </c>
      <c r="Q614" s="176"/>
      <c r="R614" s="176" t="s">
        <v>5028</v>
      </c>
      <c r="S614" s="176"/>
      <c r="T614" s="176" t="s">
        <v>2790</v>
      </c>
      <c r="U614" s="176" t="s">
        <v>152</v>
      </c>
      <c r="V614" s="176" t="s">
        <v>23</v>
      </c>
    </row>
    <row r="615" spans="2:22" ht="12" customHeight="1">
      <c r="B615" s="211">
        <v>46244</v>
      </c>
      <c r="C615" s="211">
        <v>46244</v>
      </c>
      <c r="D615" s="176" t="s">
        <v>5029</v>
      </c>
      <c r="E615" s="176" t="s">
        <v>5030</v>
      </c>
      <c r="F615" s="176" t="s">
        <v>87</v>
      </c>
      <c r="G615" s="176" t="s">
        <v>4335</v>
      </c>
      <c r="H615" s="176">
        <v>25</v>
      </c>
      <c r="I615" s="176">
        <v>39.799999999999997</v>
      </c>
      <c r="J615" s="176">
        <v>39.799999999999997</v>
      </c>
      <c r="K615" s="176">
        <v>4</v>
      </c>
      <c r="L615" s="176">
        <v>0</v>
      </c>
      <c r="M615" s="176" t="s">
        <v>148</v>
      </c>
      <c r="N615" s="176" t="s">
        <v>149</v>
      </c>
      <c r="O615" s="176" t="s">
        <v>150</v>
      </c>
      <c r="P615" s="176" t="s">
        <v>151</v>
      </c>
      <c r="Q615" s="176"/>
      <c r="R615" s="176" t="s">
        <v>5030</v>
      </c>
      <c r="S615" s="176"/>
      <c r="T615" s="176" t="s">
        <v>2790</v>
      </c>
      <c r="U615" s="176" t="s">
        <v>152</v>
      </c>
      <c r="V615" s="176" t="s">
        <v>23</v>
      </c>
    </row>
    <row r="616" spans="2:22" ht="12" customHeight="1">
      <c r="B616" s="211">
        <v>46244</v>
      </c>
      <c r="C616" s="211">
        <v>46244</v>
      </c>
      <c r="D616" s="176" t="s">
        <v>5031</v>
      </c>
      <c r="E616" s="176" t="s">
        <v>5032</v>
      </c>
      <c r="F616" s="176" t="s">
        <v>87</v>
      </c>
      <c r="G616" s="176" t="s">
        <v>4335</v>
      </c>
      <c r="H616" s="176">
        <v>25</v>
      </c>
      <c r="I616" s="176">
        <v>41</v>
      </c>
      <c r="J616" s="176">
        <v>41</v>
      </c>
      <c r="K616" s="176">
        <v>4</v>
      </c>
      <c r="L616" s="176">
        <v>0</v>
      </c>
      <c r="M616" s="176" t="s">
        <v>148</v>
      </c>
      <c r="N616" s="176" t="s">
        <v>149</v>
      </c>
      <c r="O616" s="176" t="s">
        <v>150</v>
      </c>
      <c r="P616" s="176" t="s">
        <v>151</v>
      </c>
      <c r="Q616" s="176"/>
      <c r="R616" s="176" t="s">
        <v>5032</v>
      </c>
      <c r="S616" s="176"/>
      <c r="T616" s="176" t="s">
        <v>2790</v>
      </c>
      <c r="U616" s="176" t="s">
        <v>152</v>
      </c>
      <c r="V616" s="176" t="s">
        <v>23</v>
      </c>
    </row>
    <row r="617" spans="2:22" ht="12" customHeight="1">
      <c r="B617" s="211">
        <v>46244</v>
      </c>
      <c r="C617" s="211">
        <v>46244</v>
      </c>
      <c r="D617" s="176" t="s">
        <v>5033</v>
      </c>
      <c r="E617" s="176" t="s">
        <v>5034</v>
      </c>
      <c r="F617" s="176" t="s">
        <v>87</v>
      </c>
      <c r="G617" s="176" t="s">
        <v>4512</v>
      </c>
      <c r="H617" s="176">
        <v>55</v>
      </c>
      <c r="I617" s="176">
        <v>35.799999999999997</v>
      </c>
      <c r="J617" s="176">
        <v>35.799999999999997</v>
      </c>
      <c r="K617" s="176">
        <v>5</v>
      </c>
      <c r="L617" s="176">
        <v>0</v>
      </c>
      <c r="M617" s="176" t="s">
        <v>148</v>
      </c>
      <c r="N617" s="176" t="s">
        <v>149</v>
      </c>
      <c r="O617" s="176" t="s">
        <v>150</v>
      </c>
      <c r="P617" s="176" t="s">
        <v>151</v>
      </c>
      <c r="Q617" s="176"/>
      <c r="R617" s="176" t="s">
        <v>5034</v>
      </c>
      <c r="S617" s="176"/>
      <c r="T617" s="176" t="s">
        <v>2790</v>
      </c>
      <c r="U617" s="176" t="s">
        <v>152</v>
      </c>
      <c r="V617" s="176" t="s">
        <v>23</v>
      </c>
    </row>
    <row r="618" spans="2:22" ht="12" customHeight="1">
      <c r="B618" s="211">
        <v>46244</v>
      </c>
      <c r="C618" s="211">
        <v>46244</v>
      </c>
      <c r="D618" s="176" t="s">
        <v>5035</v>
      </c>
      <c r="E618" s="176" t="s">
        <v>5036</v>
      </c>
      <c r="F618" s="176" t="s">
        <v>87</v>
      </c>
      <c r="G618" s="176" t="s">
        <v>2334</v>
      </c>
      <c r="H618" s="176">
        <v>40</v>
      </c>
      <c r="I618" s="176">
        <v>35.799999999999997</v>
      </c>
      <c r="J618" s="176">
        <v>35.799999999999997</v>
      </c>
      <c r="K618" s="176">
        <v>5</v>
      </c>
      <c r="L618" s="176">
        <v>0</v>
      </c>
      <c r="M618" s="176" t="s">
        <v>148</v>
      </c>
      <c r="N618" s="176" t="s">
        <v>149</v>
      </c>
      <c r="O618" s="176" t="s">
        <v>150</v>
      </c>
      <c r="P618" s="176" t="s">
        <v>151</v>
      </c>
      <c r="Q618" s="176"/>
      <c r="R618" s="176" t="s">
        <v>5036</v>
      </c>
      <c r="S618" s="176"/>
      <c r="T618" s="176" t="s">
        <v>2790</v>
      </c>
      <c r="U618" s="176" t="s">
        <v>152</v>
      </c>
      <c r="V618" s="176" t="s">
        <v>23</v>
      </c>
    </row>
    <row r="619" spans="2:22" ht="12" customHeight="1">
      <c r="B619" s="211">
        <v>46244</v>
      </c>
      <c r="C619" s="211">
        <v>46244</v>
      </c>
      <c r="D619" s="176" t="s">
        <v>5037</v>
      </c>
      <c r="E619" s="176" t="s">
        <v>5038</v>
      </c>
      <c r="F619" s="176" t="s">
        <v>87</v>
      </c>
      <c r="G619" s="176" t="s">
        <v>2357</v>
      </c>
      <c r="H619" s="176">
        <v>40</v>
      </c>
      <c r="I619" s="176">
        <v>29.4</v>
      </c>
      <c r="J619" s="176">
        <v>29.4</v>
      </c>
      <c r="K619" s="176">
        <v>5</v>
      </c>
      <c r="L619" s="176">
        <v>0</v>
      </c>
      <c r="M619" s="176" t="s">
        <v>148</v>
      </c>
      <c r="N619" s="176" t="s">
        <v>149</v>
      </c>
      <c r="O619" s="176" t="s">
        <v>150</v>
      </c>
      <c r="P619" s="176" t="s">
        <v>151</v>
      </c>
      <c r="Q619" s="176"/>
      <c r="R619" s="176" t="s">
        <v>5038</v>
      </c>
      <c r="S619" s="176"/>
      <c r="T619" s="176" t="s">
        <v>2790</v>
      </c>
      <c r="U619" s="176" t="s">
        <v>152</v>
      </c>
      <c r="V619" s="176" t="s">
        <v>23</v>
      </c>
    </row>
    <row r="620" spans="2:22" ht="12" customHeight="1">
      <c r="B620" s="211">
        <v>46244</v>
      </c>
      <c r="C620" s="211">
        <v>46244</v>
      </c>
      <c r="D620" s="176" t="s">
        <v>5039</v>
      </c>
      <c r="E620" s="176" t="s">
        <v>5040</v>
      </c>
      <c r="F620" s="176" t="s">
        <v>87</v>
      </c>
      <c r="G620" s="176" t="s">
        <v>2334</v>
      </c>
      <c r="H620" s="176">
        <v>40</v>
      </c>
      <c r="I620" s="176">
        <v>24.3</v>
      </c>
      <c r="J620" s="176">
        <v>24.3</v>
      </c>
      <c r="K620" s="176">
        <v>5</v>
      </c>
      <c r="L620" s="176">
        <v>0</v>
      </c>
      <c r="M620" s="176" t="s">
        <v>148</v>
      </c>
      <c r="N620" s="176" t="s">
        <v>149</v>
      </c>
      <c r="O620" s="176" t="s">
        <v>150</v>
      </c>
      <c r="P620" s="176" t="s">
        <v>151</v>
      </c>
      <c r="Q620" s="176"/>
      <c r="R620" s="176" t="s">
        <v>5040</v>
      </c>
      <c r="S620" s="176"/>
      <c r="T620" s="176" t="s">
        <v>2790</v>
      </c>
      <c r="U620" s="176" t="s">
        <v>152</v>
      </c>
      <c r="V620" s="176" t="s">
        <v>23</v>
      </c>
    </row>
    <row r="621" spans="2:22" ht="12" customHeight="1">
      <c r="B621" s="211">
        <v>46244</v>
      </c>
      <c r="C621" s="211">
        <v>46244</v>
      </c>
      <c r="D621" s="176" t="s">
        <v>5041</v>
      </c>
      <c r="E621" s="176" t="s">
        <v>5042</v>
      </c>
      <c r="F621" s="176" t="s">
        <v>87</v>
      </c>
      <c r="G621" s="176" t="s">
        <v>2334</v>
      </c>
      <c r="H621" s="176">
        <v>40</v>
      </c>
      <c r="I621" s="176">
        <v>36.299999999999997</v>
      </c>
      <c r="J621" s="176">
        <v>36.299999999999997</v>
      </c>
      <c r="K621" s="176">
        <v>5</v>
      </c>
      <c r="L621" s="176">
        <v>0</v>
      </c>
      <c r="M621" s="176" t="s">
        <v>148</v>
      </c>
      <c r="N621" s="176" t="s">
        <v>149</v>
      </c>
      <c r="O621" s="176" t="s">
        <v>150</v>
      </c>
      <c r="P621" s="176" t="s">
        <v>151</v>
      </c>
      <c r="Q621" s="176"/>
      <c r="R621" s="176" t="s">
        <v>5042</v>
      </c>
      <c r="S621" s="176"/>
      <c r="T621" s="176" t="s">
        <v>2790</v>
      </c>
      <c r="U621" s="176" t="s">
        <v>152</v>
      </c>
      <c r="V621" s="176" t="s">
        <v>23</v>
      </c>
    </row>
    <row r="622" spans="2:22" ht="12" customHeight="1">
      <c r="B622" s="211">
        <v>46244</v>
      </c>
      <c r="C622" s="211">
        <v>46244</v>
      </c>
      <c r="D622" s="176" t="s">
        <v>5043</v>
      </c>
      <c r="E622" s="176" t="s">
        <v>5044</v>
      </c>
      <c r="F622" s="176" t="s">
        <v>87</v>
      </c>
      <c r="G622" s="176" t="s">
        <v>1966</v>
      </c>
      <c r="H622" s="176">
        <v>6</v>
      </c>
      <c r="I622" s="176">
        <v>23.8</v>
      </c>
      <c r="J622" s="176">
        <v>23.8</v>
      </c>
      <c r="K622" s="176">
        <v>1.5</v>
      </c>
      <c r="L622" s="176">
        <v>0</v>
      </c>
      <c r="M622" s="176" t="s">
        <v>148</v>
      </c>
      <c r="N622" s="176" t="s">
        <v>149</v>
      </c>
      <c r="O622" s="176" t="s">
        <v>150</v>
      </c>
      <c r="P622" s="176" t="s">
        <v>151</v>
      </c>
      <c r="Q622" s="176"/>
      <c r="R622" s="176" t="s">
        <v>5044</v>
      </c>
      <c r="S622" s="176"/>
      <c r="T622" s="176" t="s">
        <v>2790</v>
      </c>
      <c r="U622" s="176" t="s">
        <v>152</v>
      </c>
      <c r="V622" s="176" t="s">
        <v>23</v>
      </c>
    </row>
    <row r="623" spans="2:22" ht="12" customHeight="1">
      <c r="B623" s="211">
        <v>46244</v>
      </c>
      <c r="C623" s="211">
        <v>46244</v>
      </c>
      <c r="D623" s="176" t="s">
        <v>5045</v>
      </c>
      <c r="E623" s="176" t="s">
        <v>5046</v>
      </c>
      <c r="F623" s="176" t="s">
        <v>87</v>
      </c>
      <c r="G623" s="176" t="s">
        <v>2078</v>
      </c>
      <c r="H623" s="176">
        <v>6</v>
      </c>
      <c r="I623" s="176">
        <v>17.2</v>
      </c>
      <c r="J623" s="176">
        <v>17.2</v>
      </c>
      <c r="K623" s="176">
        <v>1.5</v>
      </c>
      <c r="L623" s="176">
        <v>0</v>
      </c>
      <c r="M623" s="176" t="s">
        <v>148</v>
      </c>
      <c r="N623" s="176" t="s">
        <v>149</v>
      </c>
      <c r="O623" s="176" t="s">
        <v>150</v>
      </c>
      <c r="P623" s="176" t="s">
        <v>151</v>
      </c>
      <c r="Q623" s="176"/>
      <c r="R623" s="176" t="s">
        <v>5046</v>
      </c>
      <c r="S623" s="176"/>
      <c r="T623" s="176" t="s">
        <v>2790</v>
      </c>
      <c r="U623" s="176" t="s">
        <v>152</v>
      </c>
      <c r="V623" s="176" t="s">
        <v>23</v>
      </c>
    </row>
    <row r="624" spans="2:22" ht="12" customHeight="1">
      <c r="B624" s="211">
        <v>46244</v>
      </c>
      <c r="C624" s="211">
        <v>46244</v>
      </c>
      <c r="D624" s="176" t="s">
        <v>5047</v>
      </c>
      <c r="E624" s="176" t="s">
        <v>5048</v>
      </c>
      <c r="F624" s="176" t="s">
        <v>87</v>
      </c>
      <c r="G624" s="176" t="s">
        <v>1678</v>
      </c>
      <c r="H624" s="176">
        <v>30</v>
      </c>
      <c r="I624" s="176">
        <v>27.2</v>
      </c>
      <c r="J624" s="176">
        <v>27.2</v>
      </c>
      <c r="K624" s="176">
        <v>4</v>
      </c>
      <c r="L624" s="176">
        <v>0</v>
      </c>
      <c r="M624" s="176" t="s">
        <v>148</v>
      </c>
      <c r="N624" s="176" t="s">
        <v>149</v>
      </c>
      <c r="O624" s="176" t="s">
        <v>150</v>
      </c>
      <c r="P624" s="176" t="s">
        <v>151</v>
      </c>
      <c r="Q624" s="176"/>
      <c r="R624" s="176" t="s">
        <v>5048</v>
      </c>
      <c r="S624" s="176"/>
      <c r="T624" s="176" t="s">
        <v>2790</v>
      </c>
      <c r="U624" s="176" t="s">
        <v>152</v>
      </c>
      <c r="V624" s="176" t="s">
        <v>23</v>
      </c>
    </row>
    <row r="625" spans="2:22" ht="12" customHeight="1">
      <c r="B625" s="211">
        <v>46244</v>
      </c>
      <c r="C625" s="211">
        <v>46244</v>
      </c>
      <c r="D625" s="176" t="s">
        <v>5049</v>
      </c>
      <c r="E625" s="176" t="s">
        <v>5050</v>
      </c>
      <c r="F625" s="176" t="s">
        <v>87</v>
      </c>
      <c r="G625" s="176" t="s">
        <v>2334</v>
      </c>
      <c r="H625" s="176">
        <v>40</v>
      </c>
      <c r="I625" s="176">
        <v>21.4</v>
      </c>
      <c r="J625" s="176">
        <v>21.4</v>
      </c>
      <c r="K625" s="176">
        <v>5</v>
      </c>
      <c r="L625" s="176">
        <v>0</v>
      </c>
      <c r="M625" s="176" t="s">
        <v>148</v>
      </c>
      <c r="N625" s="176" t="s">
        <v>149</v>
      </c>
      <c r="O625" s="176" t="s">
        <v>150</v>
      </c>
      <c r="P625" s="176" t="s">
        <v>151</v>
      </c>
      <c r="Q625" s="176"/>
      <c r="R625" s="176" t="s">
        <v>5050</v>
      </c>
      <c r="S625" s="176"/>
      <c r="T625" s="176" t="s">
        <v>2790</v>
      </c>
      <c r="U625" s="176" t="s">
        <v>152</v>
      </c>
      <c r="V625" s="176" t="s">
        <v>23</v>
      </c>
    </row>
    <row r="626" spans="2:22" ht="12" customHeight="1">
      <c r="B626" s="211">
        <v>46244</v>
      </c>
      <c r="C626" s="211">
        <v>46244</v>
      </c>
      <c r="D626" s="176" t="s">
        <v>5051</v>
      </c>
      <c r="E626" s="176" t="s">
        <v>5052</v>
      </c>
      <c r="F626" s="176" t="s">
        <v>87</v>
      </c>
      <c r="G626" s="176" t="s">
        <v>1678</v>
      </c>
      <c r="H626" s="176">
        <v>30</v>
      </c>
      <c r="I626" s="176">
        <v>18.8</v>
      </c>
      <c r="J626" s="176">
        <v>18.8</v>
      </c>
      <c r="K626" s="176">
        <v>4</v>
      </c>
      <c r="L626" s="176">
        <v>0</v>
      </c>
      <c r="M626" s="176" t="s">
        <v>148</v>
      </c>
      <c r="N626" s="176" t="s">
        <v>149</v>
      </c>
      <c r="O626" s="176" t="s">
        <v>150</v>
      </c>
      <c r="P626" s="176" t="s">
        <v>151</v>
      </c>
      <c r="Q626" s="176"/>
      <c r="R626" s="176" t="s">
        <v>5052</v>
      </c>
      <c r="S626" s="176"/>
      <c r="T626" s="176" t="s">
        <v>2790</v>
      </c>
      <c r="U626" s="176" t="s">
        <v>152</v>
      </c>
      <c r="V626" s="176" t="s">
        <v>23</v>
      </c>
    </row>
    <row r="627" spans="2:22" ht="12" customHeight="1">
      <c r="B627" s="211">
        <v>46244</v>
      </c>
      <c r="C627" s="211">
        <v>46244</v>
      </c>
      <c r="D627" s="176" t="s">
        <v>5053</v>
      </c>
      <c r="E627" s="176" t="s">
        <v>5054</v>
      </c>
      <c r="F627" s="176" t="s">
        <v>87</v>
      </c>
      <c r="G627" s="176" t="s">
        <v>2334</v>
      </c>
      <c r="H627" s="176">
        <v>40</v>
      </c>
      <c r="I627" s="176">
        <v>38.700000000000003</v>
      </c>
      <c r="J627" s="176">
        <v>38.700000000000003</v>
      </c>
      <c r="K627" s="176">
        <v>5</v>
      </c>
      <c r="L627" s="176">
        <v>0</v>
      </c>
      <c r="M627" s="176" t="s">
        <v>148</v>
      </c>
      <c r="N627" s="176" t="s">
        <v>149</v>
      </c>
      <c r="O627" s="176" t="s">
        <v>150</v>
      </c>
      <c r="P627" s="176" t="s">
        <v>151</v>
      </c>
      <c r="Q627" s="176"/>
      <c r="R627" s="176" t="s">
        <v>5054</v>
      </c>
      <c r="S627" s="176"/>
      <c r="T627" s="176" t="s">
        <v>2790</v>
      </c>
      <c r="U627" s="176" t="s">
        <v>152</v>
      </c>
      <c r="V627" s="176" t="s">
        <v>23</v>
      </c>
    </row>
    <row r="628" spans="2:22" ht="12" customHeight="1">
      <c r="B628" s="211">
        <v>46244</v>
      </c>
      <c r="C628" s="211">
        <v>46244</v>
      </c>
      <c r="D628" s="176" t="s">
        <v>5055</v>
      </c>
      <c r="E628" s="176" t="s">
        <v>5056</v>
      </c>
      <c r="F628" s="176" t="s">
        <v>87</v>
      </c>
      <c r="G628" s="176" t="s">
        <v>2404</v>
      </c>
      <c r="H628" s="176">
        <v>40</v>
      </c>
      <c r="I628" s="176">
        <v>25.8</v>
      </c>
      <c r="J628" s="176">
        <v>25.8</v>
      </c>
      <c r="K628" s="176">
        <v>5</v>
      </c>
      <c r="L628" s="176">
        <v>0</v>
      </c>
      <c r="M628" s="176" t="s">
        <v>148</v>
      </c>
      <c r="N628" s="176" t="s">
        <v>149</v>
      </c>
      <c r="O628" s="176" t="s">
        <v>150</v>
      </c>
      <c r="P628" s="176" t="s">
        <v>151</v>
      </c>
      <c r="Q628" s="176"/>
      <c r="R628" s="176" t="s">
        <v>5056</v>
      </c>
      <c r="S628" s="176"/>
      <c r="T628" s="176" t="s">
        <v>2790</v>
      </c>
      <c r="U628" s="176" t="s">
        <v>152</v>
      </c>
      <c r="V628" s="176" t="s">
        <v>23</v>
      </c>
    </row>
    <row r="629" spans="2:22" ht="12" customHeight="1">
      <c r="B629" s="211">
        <v>46244</v>
      </c>
      <c r="C629" s="211">
        <v>46244</v>
      </c>
      <c r="D629" s="176" t="s">
        <v>5057</v>
      </c>
      <c r="E629" s="176" t="s">
        <v>5058</v>
      </c>
      <c r="F629" s="176" t="s">
        <v>87</v>
      </c>
      <c r="G629" s="176" t="s">
        <v>1678</v>
      </c>
      <c r="H629" s="176">
        <v>30</v>
      </c>
      <c r="I629" s="176">
        <v>31.4</v>
      </c>
      <c r="J629" s="176">
        <v>31.4</v>
      </c>
      <c r="K629" s="176">
        <v>4</v>
      </c>
      <c r="L629" s="176">
        <v>0</v>
      </c>
      <c r="M629" s="176" t="s">
        <v>148</v>
      </c>
      <c r="N629" s="176" t="s">
        <v>149</v>
      </c>
      <c r="O629" s="176" t="s">
        <v>150</v>
      </c>
      <c r="P629" s="176" t="s">
        <v>151</v>
      </c>
      <c r="Q629" s="176"/>
      <c r="R629" s="176" t="s">
        <v>5058</v>
      </c>
      <c r="S629" s="176"/>
      <c r="T629" s="176" t="s">
        <v>2790</v>
      </c>
      <c r="U629" s="176" t="s">
        <v>152</v>
      </c>
      <c r="V629" s="176" t="s">
        <v>23</v>
      </c>
    </row>
    <row r="630" spans="2:22" ht="12" customHeight="1">
      <c r="B630" s="211">
        <v>46244</v>
      </c>
      <c r="C630" s="211">
        <v>46244</v>
      </c>
      <c r="D630" s="176" t="s">
        <v>5059</v>
      </c>
      <c r="E630" s="176" t="s">
        <v>5060</v>
      </c>
      <c r="F630" s="176" t="s">
        <v>87</v>
      </c>
      <c r="G630" s="176" t="s">
        <v>2357</v>
      </c>
      <c r="H630" s="176">
        <v>40</v>
      </c>
      <c r="I630" s="176">
        <v>28.8</v>
      </c>
      <c r="J630" s="176">
        <v>28.8</v>
      </c>
      <c r="K630" s="176">
        <v>5</v>
      </c>
      <c r="L630" s="176">
        <v>0</v>
      </c>
      <c r="M630" s="176" t="s">
        <v>148</v>
      </c>
      <c r="N630" s="176" t="s">
        <v>149</v>
      </c>
      <c r="O630" s="176" t="s">
        <v>150</v>
      </c>
      <c r="P630" s="176" t="s">
        <v>151</v>
      </c>
      <c r="Q630" s="176"/>
      <c r="R630" s="176" t="s">
        <v>5060</v>
      </c>
      <c r="S630" s="176"/>
      <c r="T630" s="176" t="s">
        <v>2790</v>
      </c>
      <c r="U630" s="176" t="s">
        <v>152</v>
      </c>
      <c r="V630" s="176" t="s">
        <v>23</v>
      </c>
    </row>
    <row r="631" spans="2:22" ht="12" customHeight="1">
      <c r="B631" s="211">
        <v>46244</v>
      </c>
      <c r="C631" s="211">
        <v>46244</v>
      </c>
      <c r="D631" s="176" t="s">
        <v>5061</v>
      </c>
      <c r="E631" s="176" t="s">
        <v>5062</v>
      </c>
      <c r="F631" s="176" t="s">
        <v>87</v>
      </c>
      <c r="G631" s="176" t="s">
        <v>4000</v>
      </c>
      <c r="H631" s="176">
        <v>50</v>
      </c>
      <c r="I631" s="176">
        <v>38.799999999999997</v>
      </c>
      <c r="J631" s="176">
        <v>38.799999999999997</v>
      </c>
      <c r="K631" s="176">
        <v>5</v>
      </c>
      <c r="L631" s="176">
        <v>0</v>
      </c>
      <c r="M631" s="176" t="s">
        <v>148</v>
      </c>
      <c r="N631" s="176" t="s">
        <v>149</v>
      </c>
      <c r="O631" s="176" t="s">
        <v>150</v>
      </c>
      <c r="P631" s="176" t="s">
        <v>151</v>
      </c>
      <c r="Q631" s="176"/>
      <c r="R631" s="176" t="s">
        <v>5062</v>
      </c>
      <c r="S631" s="176"/>
      <c r="T631" s="176" t="s">
        <v>2790</v>
      </c>
      <c r="U631" s="176" t="s">
        <v>152</v>
      </c>
      <c r="V631" s="176" t="s">
        <v>23</v>
      </c>
    </row>
    <row r="632" spans="2:22" ht="12" customHeight="1">
      <c r="B632" s="211">
        <v>46244</v>
      </c>
      <c r="C632" s="211">
        <v>46244</v>
      </c>
      <c r="D632" s="176" t="s">
        <v>5063</v>
      </c>
      <c r="E632" s="176" t="s">
        <v>5064</v>
      </c>
      <c r="F632" s="176" t="s">
        <v>87</v>
      </c>
      <c r="G632" s="176" t="s">
        <v>2513</v>
      </c>
      <c r="H632" s="176">
        <v>25</v>
      </c>
      <c r="I632" s="176">
        <v>26.5</v>
      </c>
      <c r="J632" s="176">
        <v>26.5</v>
      </c>
      <c r="K632" s="176">
        <v>4</v>
      </c>
      <c r="L632" s="176">
        <v>0</v>
      </c>
      <c r="M632" s="176" t="s">
        <v>148</v>
      </c>
      <c r="N632" s="176" t="s">
        <v>149</v>
      </c>
      <c r="O632" s="176" t="s">
        <v>150</v>
      </c>
      <c r="P632" s="176" t="s">
        <v>151</v>
      </c>
      <c r="Q632" s="176"/>
      <c r="R632" s="176" t="s">
        <v>5064</v>
      </c>
      <c r="S632" s="176"/>
      <c r="T632" s="176" t="s">
        <v>2790</v>
      </c>
      <c r="U632" s="176" t="s">
        <v>152</v>
      </c>
      <c r="V632" s="176" t="s">
        <v>23</v>
      </c>
    </row>
    <row r="633" spans="2:22" ht="12" customHeight="1">
      <c r="B633" s="211">
        <v>46244</v>
      </c>
      <c r="C633" s="211">
        <v>46244</v>
      </c>
      <c r="D633" s="176" t="s">
        <v>5065</v>
      </c>
      <c r="E633" s="176" t="s">
        <v>5066</v>
      </c>
      <c r="F633" s="176" t="s">
        <v>87</v>
      </c>
      <c r="G633" s="176" t="s">
        <v>4512</v>
      </c>
      <c r="H633" s="176">
        <v>55</v>
      </c>
      <c r="I633" s="176">
        <v>42.2</v>
      </c>
      <c r="J633" s="176">
        <v>42.2</v>
      </c>
      <c r="K633" s="176">
        <v>5</v>
      </c>
      <c r="L633" s="176">
        <v>0</v>
      </c>
      <c r="M633" s="176" t="s">
        <v>148</v>
      </c>
      <c r="N633" s="176" t="s">
        <v>149</v>
      </c>
      <c r="O633" s="176" t="s">
        <v>150</v>
      </c>
      <c r="P633" s="176" t="s">
        <v>151</v>
      </c>
      <c r="Q633" s="176"/>
      <c r="R633" s="176" t="s">
        <v>5066</v>
      </c>
      <c r="S633" s="176"/>
      <c r="T633" s="176" t="s">
        <v>2790</v>
      </c>
      <c r="U633" s="176" t="s">
        <v>152</v>
      </c>
      <c r="V633" s="176" t="s">
        <v>23</v>
      </c>
    </row>
    <row r="634" spans="2:22" ht="12" customHeight="1">
      <c r="B634" s="211">
        <v>46244</v>
      </c>
      <c r="C634" s="211">
        <v>46244</v>
      </c>
      <c r="D634" s="176" t="s">
        <v>5067</v>
      </c>
      <c r="E634" s="176" t="s">
        <v>5068</v>
      </c>
      <c r="F634" s="176" t="s">
        <v>87</v>
      </c>
      <c r="G634" s="176" t="s">
        <v>1678</v>
      </c>
      <c r="H634" s="176">
        <v>30</v>
      </c>
      <c r="I634" s="176">
        <v>32.799999999999997</v>
      </c>
      <c r="J634" s="176">
        <v>32.799999999999997</v>
      </c>
      <c r="K634" s="176">
        <v>4</v>
      </c>
      <c r="L634" s="176">
        <v>0</v>
      </c>
      <c r="M634" s="176" t="s">
        <v>148</v>
      </c>
      <c r="N634" s="176" t="s">
        <v>149</v>
      </c>
      <c r="O634" s="176" t="s">
        <v>150</v>
      </c>
      <c r="P634" s="176" t="s">
        <v>151</v>
      </c>
      <c r="Q634" s="176"/>
      <c r="R634" s="176" t="s">
        <v>5068</v>
      </c>
      <c r="S634" s="176"/>
      <c r="T634" s="176" t="s">
        <v>2790</v>
      </c>
      <c r="U634" s="176" t="s">
        <v>152</v>
      </c>
      <c r="V634" s="176" t="s">
        <v>23</v>
      </c>
    </row>
    <row r="635" spans="2:22" ht="12" customHeight="1">
      <c r="B635" s="211">
        <v>46244</v>
      </c>
      <c r="C635" s="211">
        <v>46244</v>
      </c>
      <c r="D635" s="176" t="s">
        <v>5069</v>
      </c>
      <c r="E635" s="176" t="s">
        <v>5070</v>
      </c>
      <c r="F635" s="176" t="s">
        <v>87</v>
      </c>
      <c r="G635" s="176" t="s">
        <v>2357</v>
      </c>
      <c r="H635" s="176">
        <v>40</v>
      </c>
      <c r="I635" s="176">
        <v>39.700000000000003</v>
      </c>
      <c r="J635" s="176">
        <v>39.700000000000003</v>
      </c>
      <c r="K635" s="176">
        <v>5</v>
      </c>
      <c r="L635" s="176">
        <v>0</v>
      </c>
      <c r="M635" s="176" t="s">
        <v>148</v>
      </c>
      <c r="N635" s="176" t="s">
        <v>149</v>
      </c>
      <c r="O635" s="176" t="s">
        <v>150</v>
      </c>
      <c r="P635" s="176" t="s">
        <v>151</v>
      </c>
      <c r="Q635" s="176"/>
      <c r="R635" s="176" t="s">
        <v>5070</v>
      </c>
      <c r="S635" s="176"/>
      <c r="T635" s="176" t="s">
        <v>2790</v>
      </c>
      <c r="U635" s="176" t="s">
        <v>152</v>
      </c>
      <c r="V635" s="176" t="s">
        <v>23</v>
      </c>
    </row>
    <row r="636" spans="2:22" ht="12" customHeight="1">
      <c r="B636" s="211">
        <v>46244</v>
      </c>
      <c r="C636" s="211">
        <v>46244</v>
      </c>
      <c r="D636" s="176" t="s">
        <v>5071</v>
      </c>
      <c r="E636" s="176" t="s">
        <v>5072</v>
      </c>
      <c r="F636" s="176" t="s">
        <v>87</v>
      </c>
      <c r="G636" s="176" t="s">
        <v>2512</v>
      </c>
      <c r="H636" s="176">
        <v>40</v>
      </c>
      <c r="I636" s="176">
        <v>35.799999999999997</v>
      </c>
      <c r="J636" s="176">
        <v>35.799999999999997</v>
      </c>
      <c r="K636" s="176">
        <v>5</v>
      </c>
      <c r="L636" s="176">
        <v>0</v>
      </c>
      <c r="M636" s="176" t="s">
        <v>148</v>
      </c>
      <c r="N636" s="176" t="s">
        <v>149</v>
      </c>
      <c r="O636" s="176" t="s">
        <v>150</v>
      </c>
      <c r="P636" s="176" t="s">
        <v>151</v>
      </c>
      <c r="Q636" s="176"/>
      <c r="R636" s="176" t="s">
        <v>5072</v>
      </c>
      <c r="S636" s="176"/>
      <c r="T636" s="176" t="s">
        <v>2790</v>
      </c>
      <c r="U636" s="176" t="s">
        <v>152</v>
      </c>
      <c r="V636" s="176" t="s">
        <v>23</v>
      </c>
    </row>
    <row r="637" spans="2:22" ht="12" customHeight="1">
      <c r="B637" s="211">
        <v>46244</v>
      </c>
      <c r="C637" s="211">
        <v>46244</v>
      </c>
      <c r="D637" s="176" t="s">
        <v>5073</v>
      </c>
      <c r="E637" s="176" t="s">
        <v>5074</v>
      </c>
      <c r="F637" s="176" t="s">
        <v>87</v>
      </c>
      <c r="G637" s="176" t="s">
        <v>2515</v>
      </c>
      <c r="H637" s="176">
        <v>50</v>
      </c>
      <c r="I637" s="176">
        <v>39.299999999999997</v>
      </c>
      <c r="J637" s="176">
        <v>39.299999999999997</v>
      </c>
      <c r="K637" s="176">
        <v>5</v>
      </c>
      <c r="L637" s="176">
        <v>0</v>
      </c>
      <c r="M637" s="176" t="s">
        <v>148</v>
      </c>
      <c r="N637" s="176" t="s">
        <v>149</v>
      </c>
      <c r="O637" s="176" t="s">
        <v>150</v>
      </c>
      <c r="P637" s="176" t="s">
        <v>151</v>
      </c>
      <c r="Q637" s="176"/>
      <c r="R637" s="176" t="s">
        <v>5074</v>
      </c>
      <c r="S637" s="176"/>
      <c r="T637" s="176" t="s">
        <v>2790</v>
      </c>
      <c r="U637" s="176" t="s">
        <v>152</v>
      </c>
      <c r="V637" s="176" t="s">
        <v>23</v>
      </c>
    </row>
    <row r="638" spans="2:22" ht="12" customHeight="1">
      <c r="B638" s="211">
        <v>46244</v>
      </c>
      <c r="C638" s="211">
        <v>46244</v>
      </c>
      <c r="D638" s="176" t="s">
        <v>5075</v>
      </c>
      <c r="E638" s="176" t="s">
        <v>5076</v>
      </c>
      <c r="F638" s="176" t="s">
        <v>87</v>
      </c>
      <c r="G638" s="176" t="s">
        <v>2515</v>
      </c>
      <c r="H638" s="176">
        <v>50</v>
      </c>
      <c r="I638" s="176">
        <v>18.3</v>
      </c>
      <c r="J638" s="176">
        <v>18.3</v>
      </c>
      <c r="K638" s="176">
        <v>5</v>
      </c>
      <c r="L638" s="176">
        <v>0</v>
      </c>
      <c r="M638" s="176" t="s">
        <v>148</v>
      </c>
      <c r="N638" s="176" t="s">
        <v>149</v>
      </c>
      <c r="O638" s="176" t="s">
        <v>150</v>
      </c>
      <c r="P638" s="176" t="s">
        <v>151</v>
      </c>
      <c r="Q638" s="176"/>
      <c r="R638" s="176" t="s">
        <v>5076</v>
      </c>
      <c r="S638" s="176"/>
      <c r="T638" s="176" t="s">
        <v>2790</v>
      </c>
      <c r="U638" s="176" t="s">
        <v>152</v>
      </c>
      <c r="V638" s="176" t="s">
        <v>23</v>
      </c>
    </row>
    <row r="639" spans="2:22" ht="12" customHeight="1">
      <c r="B639" s="211">
        <v>46244</v>
      </c>
      <c r="C639" s="211">
        <v>46244</v>
      </c>
      <c r="D639" s="176" t="s">
        <v>5077</v>
      </c>
      <c r="E639" s="176" t="s">
        <v>5078</v>
      </c>
      <c r="F639" s="176" t="s">
        <v>87</v>
      </c>
      <c r="G639" s="176" t="s">
        <v>4512</v>
      </c>
      <c r="H639" s="176">
        <v>55</v>
      </c>
      <c r="I639" s="176">
        <v>19.8</v>
      </c>
      <c r="J639" s="176">
        <v>19.8</v>
      </c>
      <c r="K639" s="176">
        <v>5</v>
      </c>
      <c r="L639" s="176">
        <v>0</v>
      </c>
      <c r="M639" s="176" t="s">
        <v>148</v>
      </c>
      <c r="N639" s="176" t="s">
        <v>149</v>
      </c>
      <c r="O639" s="176" t="s">
        <v>150</v>
      </c>
      <c r="P639" s="176" t="s">
        <v>151</v>
      </c>
      <c r="Q639" s="176"/>
      <c r="R639" s="176" t="s">
        <v>5078</v>
      </c>
      <c r="S639" s="176"/>
      <c r="T639" s="176" t="s">
        <v>2790</v>
      </c>
      <c r="U639" s="176" t="s">
        <v>152</v>
      </c>
      <c r="V639" s="176" t="s">
        <v>23</v>
      </c>
    </row>
    <row r="640" spans="2:22" ht="12" customHeight="1">
      <c r="B640" s="211">
        <v>46245</v>
      </c>
      <c r="C640" s="211">
        <v>46245</v>
      </c>
      <c r="D640" s="176" t="s">
        <v>5079</v>
      </c>
      <c r="E640" s="176" t="s">
        <v>5080</v>
      </c>
      <c r="F640" s="176" t="s">
        <v>87</v>
      </c>
      <c r="G640" s="176" t="s">
        <v>4335</v>
      </c>
      <c r="H640" s="176">
        <v>25</v>
      </c>
      <c r="I640" s="176">
        <v>36.4</v>
      </c>
      <c r="J640" s="176">
        <v>36.4</v>
      </c>
      <c r="K640" s="176">
        <v>4</v>
      </c>
      <c r="L640" s="176">
        <v>0</v>
      </c>
      <c r="M640" s="176" t="s">
        <v>148</v>
      </c>
      <c r="N640" s="176" t="s">
        <v>149</v>
      </c>
      <c r="O640" s="176" t="s">
        <v>150</v>
      </c>
      <c r="P640" s="176" t="s">
        <v>151</v>
      </c>
      <c r="Q640" s="176"/>
      <c r="R640" s="176" t="s">
        <v>5080</v>
      </c>
      <c r="S640" s="176"/>
      <c r="T640" s="176" t="s">
        <v>2802</v>
      </c>
      <c r="U640" s="176" t="s">
        <v>152</v>
      </c>
      <c r="V640" s="176" t="s">
        <v>23</v>
      </c>
    </row>
    <row r="641" spans="2:22" ht="12" customHeight="1">
      <c r="B641" s="211">
        <v>46245</v>
      </c>
      <c r="C641" s="211">
        <v>46245</v>
      </c>
      <c r="D641" s="176" t="s">
        <v>5081</v>
      </c>
      <c r="E641" s="176" t="s">
        <v>5082</v>
      </c>
      <c r="F641" s="176" t="s">
        <v>87</v>
      </c>
      <c r="G641" s="176" t="s">
        <v>1678</v>
      </c>
      <c r="H641" s="176">
        <v>30</v>
      </c>
      <c r="I641" s="176">
        <v>35.799999999999997</v>
      </c>
      <c r="J641" s="176">
        <v>35.799999999999997</v>
      </c>
      <c r="K641" s="176">
        <v>4</v>
      </c>
      <c r="L641" s="176">
        <v>0</v>
      </c>
      <c r="M641" s="176" t="s">
        <v>148</v>
      </c>
      <c r="N641" s="176" t="s">
        <v>149</v>
      </c>
      <c r="O641" s="176" t="s">
        <v>150</v>
      </c>
      <c r="P641" s="176" t="s">
        <v>151</v>
      </c>
      <c r="Q641" s="176"/>
      <c r="R641" s="176" t="s">
        <v>5082</v>
      </c>
      <c r="S641" s="176"/>
      <c r="T641" s="176" t="s">
        <v>2802</v>
      </c>
      <c r="U641" s="176" t="s">
        <v>152</v>
      </c>
      <c r="V641" s="176" t="s">
        <v>23</v>
      </c>
    </row>
    <row r="642" spans="2:22" ht="12" customHeight="1">
      <c r="B642" s="211">
        <v>46245</v>
      </c>
      <c r="C642" s="211">
        <v>46245</v>
      </c>
      <c r="D642" s="176" t="s">
        <v>5083</v>
      </c>
      <c r="E642" s="176" t="s">
        <v>5084</v>
      </c>
      <c r="F642" s="176" t="s">
        <v>87</v>
      </c>
      <c r="G642" s="176" t="s">
        <v>2334</v>
      </c>
      <c r="H642" s="176">
        <v>40</v>
      </c>
      <c r="I642" s="176">
        <v>26.4</v>
      </c>
      <c r="J642" s="176">
        <v>26.4</v>
      </c>
      <c r="K642" s="176">
        <v>5</v>
      </c>
      <c r="L642" s="176">
        <v>0</v>
      </c>
      <c r="M642" s="176" t="s">
        <v>148</v>
      </c>
      <c r="N642" s="176" t="s">
        <v>149</v>
      </c>
      <c r="O642" s="176" t="s">
        <v>150</v>
      </c>
      <c r="P642" s="176" t="s">
        <v>151</v>
      </c>
      <c r="Q642" s="176"/>
      <c r="R642" s="176" t="s">
        <v>5084</v>
      </c>
      <c r="S642" s="176"/>
      <c r="T642" s="176" t="s">
        <v>2802</v>
      </c>
      <c r="U642" s="176" t="s">
        <v>152</v>
      </c>
      <c r="V642" s="176" t="s">
        <v>23</v>
      </c>
    </row>
    <row r="643" spans="2:22" ht="12" customHeight="1">
      <c r="B643" s="211">
        <v>46245</v>
      </c>
      <c r="C643" s="211">
        <v>46245</v>
      </c>
      <c r="D643" s="176" t="s">
        <v>5085</v>
      </c>
      <c r="E643" s="176" t="s">
        <v>5086</v>
      </c>
      <c r="F643" s="176" t="s">
        <v>87</v>
      </c>
      <c r="G643" s="176" t="s">
        <v>2334</v>
      </c>
      <c r="H643" s="176">
        <v>40</v>
      </c>
      <c r="I643" s="176">
        <v>28.2</v>
      </c>
      <c r="J643" s="176">
        <v>28.2</v>
      </c>
      <c r="K643" s="176">
        <v>5</v>
      </c>
      <c r="L643" s="176">
        <v>0</v>
      </c>
      <c r="M643" s="176" t="s">
        <v>148</v>
      </c>
      <c r="N643" s="176" t="s">
        <v>149</v>
      </c>
      <c r="O643" s="176" t="s">
        <v>150</v>
      </c>
      <c r="P643" s="176" t="s">
        <v>151</v>
      </c>
      <c r="Q643" s="176"/>
      <c r="R643" s="176" t="s">
        <v>5086</v>
      </c>
      <c r="S643" s="176"/>
      <c r="T643" s="176" t="s">
        <v>2802</v>
      </c>
      <c r="U643" s="176" t="s">
        <v>152</v>
      </c>
      <c r="V643" s="176" t="s">
        <v>23</v>
      </c>
    </row>
    <row r="644" spans="2:22" ht="12" customHeight="1">
      <c r="B644" s="211">
        <v>46245</v>
      </c>
      <c r="C644" s="211">
        <v>46245</v>
      </c>
      <c r="D644" s="176" t="s">
        <v>5087</v>
      </c>
      <c r="E644" s="176" t="s">
        <v>5088</v>
      </c>
      <c r="F644" s="176" t="s">
        <v>87</v>
      </c>
      <c r="G644" s="176" t="s">
        <v>1678</v>
      </c>
      <c r="H644" s="176">
        <v>30</v>
      </c>
      <c r="I644" s="176">
        <v>29.7</v>
      </c>
      <c r="J644" s="176">
        <v>29.7</v>
      </c>
      <c r="K644" s="176">
        <v>4</v>
      </c>
      <c r="L644" s="176">
        <v>0</v>
      </c>
      <c r="M644" s="176" t="s">
        <v>148</v>
      </c>
      <c r="N644" s="176" t="s">
        <v>149</v>
      </c>
      <c r="O644" s="176" t="s">
        <v>150</v>
      </c>
      <c r="P644" s="176" t="s">
        <v>151</v>
      </c>
      <c r="Q644" s="176"/>
      <c r="R644" s="176" t="s">
        <v>5088</v>
      </c>
      <c r="S644" s="176"/>
      <c r="T644" s="176" t="s">
        <v>2802</v>
      </c>
      <c r="U644" s="176" t="s">
        <v>152</v>
      </c>
      <c r="V644" s="176" t="s">
        <v>23</v>
      </c>
    </row>
    <row r="645" spans="2:22" ht="12" customHeight="1">
      <c r="B645" s="211">
        <v>46245</v>
      </c>
      <c r="C645" s="211">
        <v>46245</v>
      </c>
      <c r="D645" s="176" t="s">
        <v>5089</v>
      </c>
      <c r="E645" s="176" t="s">
        <v>5090</v>
      </c>
      <c r="F645" s="176" t="s">
        <v>87</v>
      </c>
      <c r="G645" s="176" t="s">
        <v>1678</v>
      </c>
      <c r="H645" s="176">
        <v>30</v>
      </c>
      <c r="I645" s="176">
        <v>28.2</v>
      </c>
      <c r="J645" s="176">
        <v>28.2</v>
      </c>
      <c r="K645" s="176">
        <v>4</v>
      </c>
      <c r="L645" s="176">
        <v>0</v>
      </c>
      <c r="M645" s="176" t="s">
        <v>148</v>
      </c>
      <c r="N645" s="176" t="s">
        <v>149</v>
      </c>
      <c r="O645" s="176" t="s">
        <v>150</v>
      </c>
      <c r="P645" s="176" t="s">
        <v>151</v>
      </c>
      <c r="Q645" s="176"/>
      <c r="R645" s="176" t="s">
        <v>5090</v>
      </c>
      <c r="S645" s="176"/>
      <c r="T645" s="176" t="s">
        <v>2802</v>
      </c>
      <c r="U645" s="176" t="s">
        <v>152</v>
      </c>
      <c r="V645" s="176" t="s">
        <v>23</v>
      </c>
    </row>
    <row r="646" spans="2:22" ht="12" customHeight="1">
      <c r="B646" s="211">
        <v>46245</v>
      </c>
      <c r="C646" s="211">
        <v>46245</v>
      </c>
      <c r="D646" s="176" t="s">
        <v>5091</v>
      </c>
      <c r="E646" s="176" t="s">
        <v>5092</v>
      </c>
      <c r="F646" s="176" t="s">
        <v>87</v>
      </c>
      <c r="G646" s="176" t="s">
        <v>2357</v>
      </c>
      <c r="H646" s="176">
        <v>40</v>
      </c>
      <c r="I646" s="176">
        <v>45.8</v>
      </c>
      <c r="J646" s="176">
        <v>45.8</v>
      </c>
      <c r="K646" s="176">
        <v>5</v>
      </c>
      <c r="L646" s="176">
        <v>0</v>
      </c>
      <c r="M646" s="176" t="s">
        <v>148</v>
      </c>
      <c r="N646" s="176" t="s">
        <v>149</v>
      </c>
      <c r="O646" s="176" t="s">
        <v>150</v>
      </c>
      <c r="P646" s="176" t="s">
        <v>151</v>
      </c>
      <c r="Q646" s="176"/>
      <c r="R646" s="176" t="s">
        <v>5092</v>
      </c>
      <c r="S646" s="176"/>
      <c r="T646" s="176" t="s">
        <v>2802</v>
      </c>
      <c r="U646" s="176" t="s">
        <v>152</v>
      </c>
      <c r="V646" s="176" t="s">
        <v>23</v>
      </c>
    </row>
    <row r="647" spans="2:22" ht="12" customHeight="1">
      <c r="B647" s="211">
        <v>46245</v>
      </c>
      <c r="C647" s="211">
        <v>46245</v>
      </c>
      <c r="D647" s="176" t="s">
        <v>5093</v>
      </c>
      <c r="E647" s="176" t="s">
        <v>5094</v>
      </c>
      <c r="F647" s="176" t="s">
        <v>87</v>
      </c>
      <c r="G647" s="176" t="s">
        <v>4335</v>
      </c>
      <c r="H647" s="176">
        <v>25</v>
      </c>
      <c r="I647" s="176">
        <v>41.2</v>
      </c>
      <c r="J647" s="176">
        <v>41.2</v>
      </c>
      <c r="K647" s="176">
        <v>4</v>
      </c>
      <c r="L647" s="176">
        <v>0</v>
      </c>
      <c r="M647" s="176" t="s">
        <v>148</v>
      </c>
      <c r="N647" s="176" t="s">
        <v>149</v>
      </c>
      <c r="O647" s="176" t="s">
        <v>150</v>
      </c>
      <c r="P647" s="176" t="s">
        <v>151</v>
      </c>
      <c r="Q647" s="176"/>
      <c r="R647" s="176" t="s">
        <v>5094</v>
      </c>
      <c r="S647" s="176"/>
      <c r="T647" s="176" t="s">
        <v>2802</v>
      </c>
      <c r="U647" s="176" t="s">
        <v>152</v>
      </c>
      <c r="V647" s="176" t="s">
        <v>23</v>
      </c>
    </row>
    <row r="648" spans="2:22" ht="12" customHeight="1">
      <c r="B648" s="211">
        <v>46245</v>
      </c>
      <c r="C648" s="211">
        <v>46245</v>
      </c>
      <c r="D648" s="176" t="s">
        <v>5095</v>
      </c>
      <c r="E648" s="176" t="s">
        <v>5096</v>
      </c>
      <c r="F648" s="176" t="s">
        <v>87</v>
      </c>
      <c r="G648" s="176" t="s">
        <v>5097</v>
      </c>
      <c r="H648" s="176">
        <v>25</v>
      </c>
      <c r="I648" s="176">
        <v>34.799999999999997</v>
      </c>
      <c r="J648" s="176">
        <v>34.799999999999997</v>
      </c>
      <c r="K648" s="176">
        <v>4</v>
      </c>
      <c r="L648" s="176">
        <v>0</v>
      </c>
      <c r="M648" s="176" t="s">
        <v>148</v>
      </c>
      <c r="N648" s="176" t="s">
        <v>149</v>
      </c>
      <c r="O648" s="176" t="s">
        <v>150</v>
      </c>
      <c r="P648" s="176" t="s">
        <v>151</v>
      </c>
      <c r="Q648" s="176"/>
      <c r="R648" s="176" t="s">
        <v>5096</v>
      </c>
      <c r="S648" s="176"/>
      <c r="T648" s="176" t="s">
        <v>2802</v>
      </c>
      <c r="U648" s="176" t="s">
        <v>152</v>
      </c>
      <c r="V648" s="176" t="s">
        <v>23</v>
      </c>
    </row>
    <row r="649" spans="2:22" ht="12" customHeight="1">
      <c r="B649" s="211">
        <v>46245</v>
      </c>
      <c r="C649" s="211">
        <v>46245</v>
      </c>
      <c r="D649" s="176" t="s">
        <v>5098</v>
      </c>
      <c r="E649" s="176" t="s">
        <v>5099</v>
      </c>
      <c r="F649" s="176" t="s">
        <v>87</v>
      </c>
      <c r="G649" s="176" t="s">
        <v>4512</v>
      </c>
      <c r="H649" s="176">
        <v>55</v>
      </c>
      <c r="I649" s="176">
        <v>46.8</v>
      </c>
      <c r="J649" s="176">
        <v>46.8</v>
      </c>
      <c r="K649" s="176">
        <v>5</v>
      </c>
      <c r="L649" s="176">
        <v>0</v>
      </c>
      <c r="M649" s="176" t="s">
        <v>148</v>
      </c>
      <c r="N649" s="176" t="s">
        <v>149</v>
      </c>
      <c r="O649" s="176" t="s">
        <v>150</v>
      </c>
      <c r="P649" s="176" t="s">
        <v>151</v>
      </c>
      <c r="Q649" s="176"/>
      <c r="R649" s="176" t="s">
        <v>5099</v>
      </c>
      <c r="S649" s="176"/>
      <c r="T649" s="176" t="s">
        <v>2802</v>
      </c>
      <c r="U649" s="176" t="s">
        <v>152</v>
      </c>
      <c r="V649" s="176" t="s">
        <v>23</v>
      </c>
    </row>
    <row r="650" spans="2:22" ht="12" customHeight="1">
      <c r="B650" s="211">
        <v>46245</v>
      </c>
      <c r="C650" s="211">
        <v>46245</v>
      </c>
      <c r="D650" s="176" t="s">
        <v>5100</v>
      </c>
      <c r="E650" s="176" t="s">
        <v>5101</v>
      </c>
      <c r="F650" s="176" t="s">
        <v>87</v>
      </c>
      <c r="G650" s="176" t="s">
        <v>2357</v>
      </c>
      <c r="H650" s="176">
        <v>40</v>
      </c>
      <c r="I650" s="176">
        <v>39.799999999999997</v>
      </c>
      <c r="J650" s="176">
        <v>39.799999999999997</v>
      </c>
      <c r="K650" s="176">
        <v>5</v>
      </c>
      <c r="L650" s="176">
        <v>0</v>
      </c>
      <c r="M650" s="176" t="s">
        <v>148</v>
      </c>
      <c r="N650" s="176" t="s">
        <v>149</v>
      </c>
      <c r="O650" s="176" t="s">
        <v>150</v>
      </c>
      <c r="P650" s="176" t="s">
        <v>151</v>
      </c>
      <c r="Q650" s="176"/>
      <c r="R650" s="176" t="s">
        <v>5101</v>
      </c>
      <c r="S650" s="176"/>
      <c r="T650" s="176" t="s">
        <v>2802</v>
      </c>
      <c r="U650" s="176" t="s">
        <v>152</v>
      </c>
      <c r="V650" s="176" t="s">
        <v>23</v>
      </c>
    </row>
    <row r="651" spans="2:22" ht="12" customHeight="1">
      <c r="B651" s="211">
        <v>46245</v>
      </c>
      <c r="C651" s="211">
        <v>46245</v>
      </c>
      <c r="D651" s="176" t="s">
        <v>5102</v>
      </c>
      <c r="E651" s="176" t="s">
        <v>5103</v>
      </c>
      <c r="F651" s="176" t="s">
        <v>87</v>
      </c>
      <c r="G651" s="176" t="s">
        <v>4000</v>
      </c>
      <c r="H651" s="176">
        <v>50</v>
      </c>
      <c r="I651" s="176">
        <v>23.3</v>
      </c>
      <c r="J651" s="176">
        <v>23.3</v>
      </c>
      <c r="K651" s="176">
        <v>5</v>
      </c>
      <c r="L651" s="176">
        <v>0</v>
      </c>
      <c r="M651" s="176" t="s">
        <v>148</v>
      </c>
      <c r="N651" s="176" t="s">
        <v>149</v>
      </c>
      <c r="O651" s="176" t="s">
        <v>150</v>
      </c>
      <c r="P651" s="176" t="s">
        <v>151</v>
      </c>
      <c r="Q651" s="176"/>
      <c r="R651" s="176" t="s">
        <v>5103</v>
      </c>
      <c r="S651" s="176"/>
      <c r="T651" s="176" t="s">
        <v>2802</v>
      </c>
      <c r="U651" s="176" t="s">
        <v>152</v>
      </c>
      <c r="V651" s="176" t="s">
        <v>23</v>
      </c>
    </row>
    <row r="652" spans="2:22" ht="12" customHeight="1">
      <c r="B652" s="211">
        <v>46245</v>
      </c>
      <c r="C652" s="211">
        <v>46245</v>
      </c>
      <c r="D652" s="176" t="s">
        <v>5104</v>
      </c>
      <c r="E652" s="176" t="s">
        <v>5105</v>
      </c>
      <c r="F652" s="176" t="s">
        <v>87</v>
      </c>
      <c r="G652" s="176" t="s">
        <v>2334</v>
      </c>
      <c r="H652" s="176">
        <v>40</v>
      </c>
      <c r="I652" s="176">
        <v>34.200000000000003</v>
      </c>
      <c r="J652" s="176">
        <v>34.200000000000003</v>
      </c>
      <c r="K652" s="176">
        <v>5</v>
      </c>
      <c r="L652" s="176">
        <v>0</v>
      </c>
      <c r="M652" s="176" t="s">
        <v>148</v>
      </c>
      <c r="N652" s="176" t="s">
        <v>149</v>
      </c>
      <c r="O652" s="176" t="s">
        <v>150</v>
      </c>
      <c r="P652" s="176" t="s">
        <v>151</v>
      </c>
      <c r="Q652" s="176"/>
      <c r="R652" s="176" t="s">
        <v>5105</v>
      </c>
      <c r="S652" s="176"/>
      <c r="T652" s="176" t="s">
        <v>2802</v>
      </c>
      <c r="U652" s="176" t="s">
        <v>152</v>
      </c>
      <c r="V652" s="176" t="s">
        <v>23</v>
      </c>
    </row>
    <row r="653" spans="2:22" ht="12" customHeight="1">
      <c r="B653" s="211">
        <v>46245</v>
      </c>
      <c r="C653" s="211">
        <v>46245</v>
      </c>
      <c r="D653" s="176" t="s">
        <v>5106</v>
      </c>
      <c r="E653" s="176" t="s">
        <v>5107</v>
      </c>
      <c r="F653" s="176" t="s">
        <v>87</v>
      </c>
      <c r="G653" s="176" t="s">
        <v>4335</v>
      </c>
      <c r="H653" s="176">
        <v>25</v>
      </c>
      <c r="I653" s="176">
        <v>34.799999999999997</v>
      </c>
      <c r="J653" s="176">
        <v>34.799999999999997</v>
      </c>
      <c r="K653" s="176">
        <v>4</v>
      </c>
      <c r="L653" s="176">
        <v>0</v>
      </c>
      <c r="M653" s="176" t="s">
        <v>148</v>
      </c>
      <c r="N653" s="176" t="s">
        <v>149</v>
      </c>
      <c r="O653" s="176" t="s">
        <v>150</v>
      </c>
      <c r="P653" s="176" t="s">
        <v>151</v>
      </c>
      <c r="Q653" s="176"/>
      <c r="R653" s="176" t="s">
        <v>5107</v>
      </c>
      <c r="S653" s="176"/>
      <c r="T653" s="176" t="s">
        <v>2802</v>
      </c>
      <c r="U653" s="176" t="s">
        <v>152</v>
      </c>
      <c r="V653" s="176" t="s">
        <v>23</v>
      </c>
    </row>
    <row r="654" spans="2:22" ht="12" customHeight="1">
      <c r="B654" s="211">
        <v>46245</v>
      </c>
      <c r="C654" s="211">
        <v>46245</v>
      </c>
      <c r="D654" s="176" t="s">
        <v>5108</v>
      </c>
      <c r="E654" s="176" t="s">
        <v>5109</v>
      </c>
      <c r="F654" s="176" t="s">
        <v>87</v>
      </c>
      <c r="G654" s="176" t="s">
        <v>2357</v>
      </c>
      <c r="H654" s="176">
        <v>40</v>
      </c>
      <c r="I654" s="176">
        <v>37.799999999999997</v>
      </c>
      <c r="J654" s="176">
        <v>37.799999999999997</v>
      </c>
      <c r="K654" s="176">
        <v>5</v>
      </c>
      <c r="L654" s="176">
        <v>0</v>
      </c>
      <c r="M654" s="176" t="s">
        <v>148</v>
      </c>
      <c r="N654" s="176" t="s">
        <v>149</v>
      </c>
      <c r="O654" s="176" t="s">
        <v>150</v>
      </c>
      <c r="P654" s="176" t="s">
        <v>151</v>
      </c>
      <c r="Q654" s="176"/>
      <c r="R654" s="176" t="s">
        <v>5109</v>
      </c>
      <c r="S654" s="176"/>
      <c r="T654" s="176" t="s">
        <v>2802</v>
      </c>
      <c r="U654" s="176" t="s">
        <v>152</v>
      </c>
      <c r="V654" s="176" t="s">
        <v>23</v>
      </c>
    </row>
    <row r="655" spans="2:22" ht="12" customHeight="1">
      <c r="B655" s="211">
        <v>46245</v>
      </c>
      <c r="C655" s="211">
        <v>46245</v>
      </c>
      <c r="D655" s="176" t="s">
        <v>5110</v>
      </c>
      <c r="E655" s="176" t="s">
        <v>5111</v>
      </c>
      <c r="F655" s="176" t="s">
        <v>87</v>
      </c>
      <c r="G655" s="176" t="s">
        <v>4000</v>
      </c>
      <c r="H655" s="176">
        <v>50</v>
      </c>
      <c r="I655" s="176">
        <v>37.799999999999997</v>
      </c>
      <c r="J655" s="176">
        <v>37.799999999999997</v>
      </c>
      <c r="K655" s="176">
        <v>5</v>
      </c>
      <c r="L655" s="176">
        <v>0</v>
      </c>
      <c r="M655" s="176" t="s">
        <v>148</v>
      </c>
      <c r="N655" s="176" t="s">
        <v>149</v>
      </c>
      <c r="O655" s="176" t="s">
        <v>150</v>
      </c>
      <c r="P655" s="176" t="s">
        <v>151</v>
      </c>
      <c r="Q655" s="176"/>
      <c r="R655" s="176" t="s">
        <v>5111</v>
      </c>
      <c r="S655" s="176"/>
      <c r="T655" s="176" t="s">
        <v>2802</v>
      </c>
      <c r="U655" s="176" t="s">
        <v>152</v>
      </c>
      <c r="V655" s="176" t="s">
        <v>23</v>
      </c>
    </row>
    <row r="656" spans="2:22" ht="12" customHeight="1">
      <c r="B656" s="211">
        <v>46245</v>
      </c>
      <c r="C656" s="211">
        <v>46245</v>
      </c>
      <c r="D656" s="176" t="s">
        <v>5112</v>
      </c>
      <c r="E656" s="176" t="s">
        <v>5113</v>
      </c>
      <c r="F656" s="176" t="s">
        <v>87</v>
      </c>
      <c r="G656" s="176" t="s">
        <v>2357</v>
      </c>
      <c r="H656" s="176">
        <v>40</v>
      </c>
      <c r="I656" s="176">
        <v>19.7</v>
      </c>
      <c r="J656" s="176">
        <v>19.7</v>
      </c>
      <c r="K656" s="176">
        <v>5</v>
      </c>
      <c r="L656" s="176">
        <v>0</v>
      </c>
      <c r="M656" s="176" t="s">
        <v>148</v>
      </c>
      <c r="N656" s="176" t="s">
        <v>149</v>
      </c>
      <c r="O656" s="176" t="s">
        <v>150</v>
      </c>
      <c r="P656" s="176" t="s">
        <v>151</v>
      </c>
      <c r="Q656" s="176"/>
      <c r="R656" s="176" t="s">
        <v>5113</v>
      </c>
      <c r="S656" s="176"/>
      <c r="T656" s="176" t="s">
        <v>2802</v>
      </c>
      <c r="U656" s="176" t="s">
        <v>152</v>
      </c>
      <c r="V656" s="176" t="s">
        <v>23</v>
      </c>
    </row>
    <row r="657" spans="2:22" ht="12" customHeight="1">
      <c r="B657" s="211">
        <v>46245</v>
      </c>
      <c r="C657" s="211">
        <v>46245</v>
      </c>
      <c r="D657" s="176" t="s">
        <v>5114</v>
      </c>
      <c r="E657" s="176" t="s">
        <v>5115</v>
      </c>
      <c r="F657" s="176" t="s">
        <v>87</v>
      </c>
      <c r="G657" s="176" t="s">
        <v>1966</v>
      </c>
      <c r="H657" s="176">
        <v>6</v>
      </c>
      <c r="I657" s="176">
        <v>29.8</v>
      </c>
      <c r="J657" s="176">
        <v>29.8</v>
      </c>
      <c r="K657" s="176">
        <v>1.5</v>
      </c>
      <c r="L657" s="176">
        <v>0</v>
      </c>
      <c r="M657" s="176" t="s">
        <v>148</v>
      </c>
      <c r="N657" s="176" t="s">
        <v>149</v>
      </c>
      <c r="O657" s="176" t="s">
        <v>150</v>
      </c>
      <c r="P657" s="176" t="s">
        <v>151</v>
      </c>
      <c r="Q657" s="176"/>
      <c r="R657" s="176" t="s">
        <v>5115</v>
      </c>
      <c r="S657" s="176"/>
      <c r="T657" s="176" t="s">
        <v>2802</v>
      </c>
      <c r="U657" s="176" t="s">
        <v>152</v>
      </c>
      <c r="V657" s="176" t="s">
        <v>23</v>
      </c>
    </row>
    <row r="658" spans="2:22" ht="12" customHeight="1">
      <c r="B658" s="211">
        <v>46245</v>
      </c>
      <c r="C658" s="211">
        <v>46245</v>
      </c>
      <c r="D658" s="176" t="s">
        <v>5116</v>
      </c>
      <c r="E658" s="176" t="s">
        <v>5117</v>
      </c>
      <c r="F658" s="176" t="s">
        <v>87</v>
      </c>
      <c r="G658" s="176" t="s">
        <v>2515</v>
      </c>
      <c r="H658" s="176">
        <v>50</v>
      </c>
      <c r="I658" s="176">
        <v>26.3</v>
      </c>
      <c r="J658" s="176">
        <v>26.3</v>
      </c>
      <c r="K658" s="176">
        <v>5</v>
      </c>
      <c r="L658" s="176">
        <v>0</v>
      </c>
      <c r="M658" s="176" t="s">
        <v>148</v>
      </c>
      <c r="N658" s="176" t="s">
        <v>149</v>
      </c>
      <c r="O658" s="176" t="s">
        <v>150</v>
      </c>
      <c r="P658" s="176" t="s">
        <v>151</v>
      </c>
      <c r="Q658" s="176"/>
      <c r="R658" s="176" t="s">
        <v>5117</v>
      </c>
      <c r="S658" s="176"/>
      <c r="T658" s="176" t="s">
        <v>2802</v>
      </c>
      <c r="U658" s="176" t="s">
        <v>152</v>
      </c>
      <c r="V658" s="176" t="s">
        <v>23</v>
      </c>
    </row>
    <row r="659" spans="2:22" ht="12" customHeight="1">
      <c r="B659" s="211">
        <v>46245</v>
      </c>
      <c r="C659" s="211">
        <v>46245</v>
      </c>
      <c r="D659" s="176" t="s">
        <v>5118</v>
      </c>
      <c r="E659" s="176" t="s">
        <v>5119</v>
      </c>
      <c r="F659" s="176" t="s">
        <v>87</v>
      </c>
      <c r="G659" s="176" t="s">
        <v>4512</v>
      </c>
      <c r="H659" s="176">
        <v>55</v>
      </c>
      <c r="I659" s="176">
        <v>37.299999999999997</v>
      </c>
      <c r="J659" s="176">
        <v>37.299999999999997</v>
      </c>
      <c r="K659" s="176">
        <v>5</v>
      </c>
      <c r="L659" s="176">
        <v>0</v>
      </c>
      <c r="M659" s="176" t="s">
        <v>148</v>
      </c>
      <c r="N659" s="176" t="s">
        <v>149</v>
      </c>
      <c r="O659" s="176" t="s">
        <v>150</v>
      </c>
      <c r="P659" s="176" t="s">
        <v>151</v>
      </c>
      <c r="Q659" s="176"/>
      <c r="R659" s="176" t="s">
        <v>5119</v>
      </c>
      <c r="S659" s="176"/>
      <c r="T659" s="176" t="s">
        <v>2802</v>
      </c>
      <c r="U659" s="176" t="s">
        <v>152</v>
      </c>
      <c r="V659" s="176" t="s">
        <v>23</v>
      </c>
    </row>
    <row r="660" spans="2:22" ht="12" customHeight="1">
      <c r="B660" s="211">
        <v>46245</v>
      </c>
      <c r="C660" s="211">
        <v>46245</v>
      </c>
      <c r="D660" s="176" t="s">
        <v>5120</v>
      </c>
      <c r="E660" s="176" t="s">
        <v>5121</v>
      </c>
      <c r="F660" s="176" t="s">
        <v>87</v>
      </c>
      <c r="G660" s="176" t="s">
        <v>2357</v>
      </c>
      <c r="H660" s="176">
        <v>40</v>
      </c>
      <c r="I660" s="176">
        <v>39.799999999999997</v>
      </c>
      <c r="J660" s="176">
        <v>39.799999999999997</v>
      </c>
      <c r="K660" s="176">
        <v>5</v>
      </c>
      <c r="L660" s="176">
        <v>0</v>
      </c>
      <c r="M660" s="176" t="s">
        <v>148</v>
      </c>
      <c r="N660" s="176" t="s">
        <v>149</v>
      </c>
      <c r="O660" s="176" t="s">
        <v>150</v>
      </c>
      <c r="P660" s="176" t="s">
        <v>151</v>
      </c>
      <c r="Q660" s="176"/>
      <c r="R660" s="176" t="s">
        <v>5121</v>
      </c>
      <c r="S660" s="176"/>
      <c r="T660" s="176" t="s">
        <v>2802</v>
      </c>
      <c r="U660" s="176" t="s">
        <v>152</v>
      </c>
      <c r="V660" s="176" t="s">
        <v>23</v>
      </c>
    </row>
    <row r="661" spans="2:22" ht="12" customHeight="1">
      <c r="B661" s="211">
        <v>46245</v>
      </c>
      <c r="C661" s="211">
        <v>46245</v>
      </c>
      <c r="D661" s="176" t="s">
        <v>5122</v>
      </c>
      <c r="E661" s="176" t="s">
        <v>5123</v>
      </c>
      <c r="F661" s="176" t="s">
        <v>87</v>
      </c>
      <c r="G661" s="176" t="s">
        <v>2357</v>
      </c>
      <c r="H661" s="176">
        <v>40</v>
      </c>
      <c r="I661" s="176">
        <v>37.799999999999997</v>
      </c>
      <c r="J661" s="176">
        <v>37.799999999999997</v>
      </c>
      <c r="K661" s="176">
        <v>5</v>
      </c>
      <c r="L661" s="176">
        <v>0</v>
      </c>
      <c r="M661" s="176" t="s">
        <v>148</v>
      </c>
      <c r="N661" s="176" t="s">
        <v>149</v>
      </c>
      <c r="O661" s="176" t="s">
        <v>150</v>
      </c>
      <c r="P661" s="176" t="s">
        <v>151</v>
      </c>
      <c r="Q661" s="176"/>
      <c r="R661" s="176" t="s">
        <v>5123</v>
      </c>
      <c r="S661" s="176"/>
      <c r="T661" s="176" t="s">
        <v>2802</v>
      </c>
      <c r="U661" s="176" t="s">
        <v>152</v>
      </c>
      <c r="V661" s="176" t="s">
        <v>23</v>
      </c>
    </row>
    <row r="662" spans="2:22" ht="12" customHeight="1">
      <c r="B662" s="211">
        <v>46245</v>
      </c>
      <c r="C662" s="211">
        <v>46245</v>
      </c>
      <c r="D662" s="176" t="s">
        <v>5124</v>
      </c>
      <c r="E662" s="176" t="s">
        <v>5125</v>
      </c>
      <c r="F662" s="176" t="s">
        <v>87</v>
      </c>
      <c r="G662" s="176" t="s">
        <v>2357</v>
      </c>
      <c r="H662" s="176">
        <v>40</v>
      </c>
      <c r="I662" s="176">
        <v>35.799999999999997</v>
      </c>
      <c r="J662" s="176">
        <v>35.799999999999997</v>
      </c>
      <c r="K662" s="176">
        <v>5</v>
      </c>
      <c r="L662" s="176">
        <v>0</v>
      </c>
      <c r="M662" s="176" t="s">
        <v>148</v>
      </c>
      <c r="N662" s="176" t="s">
        <v>149</v>
      </c>
      <c r="O662" s="176" t="s">
        <v>150</v>
      </c>
      <c r="P662" s="176" t="s">
        <v>151</v>
      </c>
      <c r="Q662" s="176"/>
      <c r="R662" s="176" t="s">
        <v>5125</v>
      </c>
      <c r="S662" s="176"/>
      <c r="T662" s="176" t="s">
        <v>2802</v>
      </c>
      <c r="U662" s="176" t="s">
        <v>152</v>
      </c>
      <c r="V662" s="176" t="s">
        <v>23</v>
      </c>
    </row>
    <row r="663" spans="2:22" ht="12" customHeight="1">
      <c r="B663" s="211">
        <v>46245</v>
      </c>
      <c r="C663" s="211">
        <v>46245</v>
      </c>
      <c r="D663" s="176" t="s">
        <v>5126</v>
      </c>
      <c r="E663" s="176" t="s">
        <v>5127</v>
      </c>
      <c r="F663" s="176" t="s">
        <v>87</v>
      </c>
      <c r="G663" s="176" t="s">
        <v>2404</v>
      </c>
      <c r="H663" s="176">
        <v>40</v>
      </c>
      <c r="I663" s="176">
        <v>18.3</v>
      </c>
      <c r="J663" s="176">
        <v>18.3</v>
      </c>
      <c r="K663" s="176">
        <v>5</v>
      </c>
      <c r="L663" s="176">
        <v>0</v>
      </c>
      <c r="M663" s="176" t="s">
        <v>148</v>
      </c>
      <c r="N663" s="176" t="s">
        <v>149</v>
      </c>
      <c r="O663" s="176" t="s">
        <v>150</v>
      </c>
      <c r="P663" s="176" t="s">
        <v>151</v>
      </c>
      <c r="Q663" s="176"/>
      <c r="R663" s="176" t="s">
        <v>5127</v>
      </c>
      <c r="S663" s="176"/>
      <c r="T663" s="176" t="s">
        <v>2802</v>
      </c>
      <c r="U663" s="176" t="s">
        <v>152</v>
      </c>
      <c r="V663" s="176" t="s">
        <v>23</v>
      </c>
    </row>
    <row r="664" spans="2:22" ht="12" customHeight="1">
      <c r="B664" s="211">
        <v>46245</v>
      </c>
      <c r="C664" s="211">
        <v>46245</v>
      </c>
      <c r="D664" s="176" t="s">
        <v>5128</v>
      </c>
      <c r="E664" s="176" t="s">
        <v>5129</v>
      </c>
      <c r="F664" s="176" t="s">
        <v>87</v>
      </c>
      <c r="G664" s="176" t="s">
        <v>1678</v>
      </c>
      <c r="H664" s="176">
        <v>30</v>
      </c>
      <c r="I664" s="176">
        <v>23.8</v>
      </c>
      <c r="J664" s="176">
        <v>23.8</v>
      </c>
      <c r="K664" s="176">
        <v>4</v>
      </c>
      <c r="L664" s="176">
        <v>0</v>
      </c>
      <c r="M664" s="176" t="s">
        <v>148</v>
      </c>
      <c r="N664" s="176" t="s">
        <v>149</v>
      </c>
      <c r="O664" s="176" t="s">
        <v>150</v>
      </c>
      <c r="P664" s="176" t="s">
        <v>151</v>
      </c>
      <c r="Q664" s="176"/>
      <c r="R664" s="176" t="s">
        <v>5129</v>
      </c>
      <c r="S664" s="176"/>
      <c r="T664" s="176" t="s">
        <v>2802</v>
      </c>
      <c r="U664" s="176" t="s">
        <v>152</v>
      </c>
      <c r="V664" s="176" t="s">
        <v>23</v>
      </c>
    </row>
    <row r="665" spans="2:22" ht="12" customHeight="1">
      <c r="B665" s="211">
        <v>46245</v>
      </c>
      <c r="C665" s="211">
        <v>46245</v>
      </c>
      <c r="D665" s="176" t="s">
        <v>5130</v>
      </c>
      <c r="E665" s="176" t="s">
        <v>5131</v>
      </c>
      <c r="F665" s="176" t="s">
        <v>87</v>
      </c>
      <c r="G665" s="176" t="s">
        <v>4000</v>
      </c>
      <c r="H665" s="176">
        <v>50</v>
      </c>
      <c r="I665" s="176">
        <v>43.2</v>
      </c>
      <c r="J665" s="176">
        <v>43.2</v>
      </c>
      <c r="K665" s="176">
        <v>5</v>
      </c>
      <c r="L665" s="176">
        <v>0</v>
      </c>
      <c r="M665" s="176" t="s">
        <v>148</v>
      </c>
      <c r="N665" s="176" t="s">
        <v>149</v>
      </c>
      <c r="O665" s="176" t="s">
        <v>150</v>
      </c>
      <c r="P665" s="176" t="s">
        <v>151</v>
      </c>
      <c r="Q665" s="176"/>
      <c r="R665" s="176" t="s">
        <v>5131</v>
      </c>
      <c r="S665" s="176"/>
      <c r="T665" s="176" t="s">
        <v>2802</v>
      </c>
      <c r="U665" s="176" t="s">
        <v>152</v>
      </c>
      <c r="V665" s="176" t="s">
        <v>23</v>
      </c>
    </row>
    <row r="666" spans="2:22" ht="12" customHeight="1">
      <c r="B666" s="211">
        <v>46245</v>
      </c>
      <c r="C666" s="211">
        <v>46245</v>
      </c>
      <c r="D666" s="176" t="s">
        <v>5132</v>
      </c>
      <c r="E666" s="176" t="s">
        <v>5133</v>
      </c>
      <c r="F666" s="176" t="s">
        <v>87</v>
      </c>
      <c r="G666" s="176" t="s">
        <v>2334</v>
      </c>
      <c r="H666" s="176">
        <v>40</v>
      </c>
      <c r="I666" s="176">
        <v>38.200000000000003</v>
      </c>
      <c r="J666" s="176">
        <v>38.200000000000003</v>
      </c>
      <c r="K666" s="176">
        <v>5</v>
      </c>
      <c r="L666" s="176">
        <v>0</v>
      </c>
      <c r="M666" s="176" t="s">
        <v>148</v>
      </c>
      <c r="N666" s="176" t="s">
        <v>149</v>
      </c>
      <c r="O666" s="176" t="s">
        <v>150</v>
      </c>
      <c r="P666" s="176" t="s">
        <v>151</v>
      </c>
      <c r="Q666" s="176"/>
      <c r="R666" s="176" t="s">
        <v>5133</v>
      </c>
      <c r="S666" s="176"/>
      <c r="T666" s="176" t="s">
        <v>2802</v>
      </c>
      <c r="U666" s="176" t="s">
        <v>152</v>
      </c>
      <c r="V666" s="176" t="s">
        <v>23</v>
      </c>
    </row>
    <row r="667" spans="2:22" ht="12" customHeight="1">
      <c r="B667" s="211">
        <v>46245</v>
      </c>
      <c r="C667" s="211">
        <v>46245</v>
      </c>
      <c r="D667" s="176" t="s">
        <v>5134</v>
      </c>
      <c r="E667" s="176" t="s">
        <v>5135</v>
      </c>
      <c r="F667" s="176" t="s">
        <v>87</v>
      </c>
      <c r="G667" s="176" t="s">
        <v>2357</v>
      </c>
      <c r="H667" s="176">
        <v>40</v>
      </c>
      <c r="I667" s="176">
        <v>29.8</v>
      </c>
      <c r="J667" s="176">
        <v>29.8</v>
      </c>
      <c r="K667" s="176">
        <v>5</v>
      </c>
      <c r="L667" s="176">
        <v>0</v>
      </c>
      <c r="M667" s="176" t="s">
        <v>148</v>
      </c>
      <c r="N667" s="176" t="s">
        <v>149</v>
      </c>
      <c r="O667" s="176" t="s">
        <v>150</v>
      </c>
      <c r="P667" s="176" t="s">
        <v>151</v>
      </c>
      <c r="Q667" s="176"/>
      <c r="R667" s="176" t="s">
        <v>5135</v>
      </c>
      <c r="S667" s="176"/>
      <c r="T667" s="176" t="s">
        <v>2802</v>
      </c>
      <c r="U667" s="176" t="s">
        <v>152</v>
      </c>
      <c r="V667" s="176" t="s">
        <v>23</v>
      </c>
    </row>
    <row r="668" spans="2:22" ht="12" customHeight="1">
      <c r="B668" s="211">
        <v>46245</v>
      </c>
      <c r="C668" s="211">
        <v>46245</v>
      </c>
      <c r="D668" s="176" t="s">
        <v>5136</v>
      </c>
      <c r="E668" s="176" t="s">
        <v>5137</v>
      </c>
      <c r="F668" s="176" t="s">
        <v>87</v>
      </c>
      <c r="G668" s="176" t="s">
        <v>1966</v>
      </c>
      <c r="H668" s="176">
        <v>6</v>
      </c>
      <c r="I668" s="176">
        <v>30.5</v>
      </c>
      <c r="J668" s="176">
        <v>30.5</v>
      </c>
      <c r="K668" s="176">
        <v>1.5</v>
      </c>
      <c r="L668" s="176">
        <v>0</v>
      </c>
      <c r="M668" s="176" t="s">
        <v>148</v>
      </c>
      <c r="N668" s="176" t="s">
        <v>149</v>
      </c>
      <c r="O668" s="176" t="s">
        <v>150</v>
      </c>
      <c r="P668" s="176" t="s">
        <v>151</v>
      </c>
      <c r="Q668" s="176"/>
      <c r="R668" s="176" t="s">
        <v>5137</v>
      </c>
      <c r="S668" s="176"/>
      <c r="T668" s="176" t="s">
        <v>2802</v>
      </c>
      <c r="U668" s="176" t="s">
        <v>152</v>
      </c>
      <c r="V668" s="176" t="s">
        <v>23</v>
      </c>
    </row>
    <row r="669" spans="2:22" ht="12" customHeight="1">
      <c r="B669" s="211">
        <v>46245</v>
      </c>
      <c r="C669" s="211">
        <v>46245</v>
      </c>
      <c r="D669" s="176" t="s">
        <v>5138</v>
      </c>
      <c r="E669" s="176" t="s">
        <v>5139</v>
      </c>
      <c r="F669" s="176" t="s">
        <v>87</v>
      </c>
      <c r="G669" s="176" t="s">
        <v>2515</v>
      </c>
      <c r="H669" s="176">
        <v>50</v>
      </c>
      <c r="I669" s="176">
        <v>28.3</v>
      </c>
      <c r="J669" s="176">
        <v>28.3</v>
      </c>
      <c r="K669" s="176">
        <v>5</v>
      </c>
      <c r="L669" s="176">
        <v>0</v>
      </c>
      <c r="M669" s="176" t="s">
        <v>148</v>
      </c>
      <c r="N669" s="176" t="s">
        <v>149</v>
      </c>
      <c r="O669" s="176" t="s">
        <v>150</v>
      </c>
      <c r="P669" s="176" t="s">
        <v>151</v>
      </c>
      <c r="Q669" s="176"/>
      <c r="R669" s="176" t="s">
        <v>5139</v>
      </c>
      <c r="S669" s="176"/>
      <c r="T669" s="176" t="s">
        <v>2802</v>
      </c>
      <c r="U669" s="176" t="s">
        <v>152</v>
      </c>
      <c r="V669" s="176" t="s">
        <v>23</v>
      </c>
    </row>
    <row r="670" spans="2:22" ht="12" customHeight="1">
      <c r="B670" s="211">
        <v>46245</v>
      </c>
      <c r="C670" s="211">
        <v>46245</v>
      </c>
      <c r="D670" s="176" t="s">
        <v>5140</v>
      </c>
      <c r="E670" s="176" t="s">
        <v>5141</v>
      </c>
      <c r="F670" s="176" t="s">
        <v>87</v>
      </c>
      <c r="G670" s="176" t="s">
        <v>5097</v>
      </c>
      <c r="H670" s="176">
        <v>25</v>
      </c>
      <c r="I670" s="176">
        <v>36.299999999999997</v>
      </c>
      <c r="J670" s="176">
        <v>36.299999999999997</v>
      </c>
      <c r="K670" s="176">
        <v>4</v>
      </c>
      <c r="L670" s="176">
        <v>0</v>
      </c>
      <c r="M670" s="176" t="s">
        <v>148</v>
      </c>
      <c r="N670" s="176" t="s">
        <v>149</v>
      </c>
      <c r="O670" s="176" t="s">
        <v>150</v>
      </c>
      <c r="P670" s="176" t="s">
        <v>151</v>
      </c>
      <c r="Q670" s="176"/>
      <c r="R670" s="176" t="s">
        <v>5141</v>
      </c>
      <c r="S670" s="176"/>
      <c r="T670" s="176" t="s">
        <v>2802</v>
      </c>
      <c r="U670" s="176" t="s">
        <v>152</v>
      </c>
      <c r="V670" s="176" t="s">
        <v>23</v>
      </c>
    </row>
    <row r="671" spans="2:22" ht="12" customHeight="1">
      <c r="B671" s="211">
        <v>46245</v>
      </c>
      <c r="C671" s="211">
        <v>46245</v>
      </c>
      <c r="D671" s="176" t="s">
        <v>5142</v>
      </c>
      <c r="E671" s="176" t="s">
        <v>5143</v>
      </c>
      <c r="F671" s="176" t="s">
        <v>87</v>
      </c>
      <c r="G671" s="176" t="s">
        <v>2334</v>
      </c>
      <c r="H671" s="176">
        <v>40</v>
      </c>
      <c r="I671" s="176">
        <v>39.4</v>
      </c>
      <c r="J671" s="176">
        <v>39.4</v>
      </c>
      <c r="K671" s="176">
        <v>5</v>
      </c>
      <c r="L671" s="176">
        <v>0</v>
      </c>
      <c r="M671" s="176" t="s">
        <v>148</v>
      </c>
      <c r="N671" s="176" t="s">
        <v>149</v>
      </c>
      <c r="O671" s="176" t="s">
        <v>150</v>
      </c>
      <c r="P671" s="176" t="s">
        <v>151</v>
      </c>
      <c r="Q671" s="176"/>
      <c r="R671" s="176" t="s">
        <v>5143</v>
      </c>
      <c r="S671" s="176"/>
      <c r="T671" s="176" t="s">
        <v>2802</v>
      </c>
      <c r="U671" s="176" t="s">
        <v>152</v>
      </c>
      <c r="V671" s="176" t="s">
        <v>23</v>
      </c>
    </row>
    <row r="672" spans="2:22" ht="12" customHeight="1">
      <c r="B672" s="211">
        <v>46245</v>
      </c>
      <c r="C672" s="211">
        <v>46245</v>
      </c>
      <c r="D672" s="176" t="s">
        <v>5144</v>
      </c>
      <c r="E672" s="176" t="s">
        <v>5145</v>
      </c>
      <c r="F672" s="176" t="s">
        <v>87</v>
      </c>
      <c r="G672" s="176" t="s">
        <v>4000</v>
      </c>
      <c r="H672" s="176">
        <v>50</v>
      </c>
      <c r="I672" s="176">
        <v>46.8</v>
      </c>
      <c r="J672" s="176">
        <v>46.8</v>
      </c>
      <c r="K672" s="176">
        <v>5</v>
      </c>
      <c r="L672" s="176">
        <v>0</v>
      </c>
      <c r="M672" s="176" t="s">
        <v>148</v>
      </c>
      <c r="N672" s="176" t="s">
        <v>149</v>
      </c>
      <c r="O672" s="176" t="s">
        <v>150</v>
      </c>
      <c r="P672" s="176" t="s">
        <v>151</v>
      </c>
      <c r="Q672" s="176"/>
      <c r="R672" s="176" t="s">
        <v>5145</v>
      </c>
      <c r="S672" s="176"/>
      <c r="T672" s="176" t="s">
        <v>2802</v>
      </c>
      <c r="U672" s="176" t="s">
        <v>152</v>
      </c>
      <c r="V672" s="176" t="s">
        <v>23</v>
      </c>
    </row>
    <row r="673" spans="2:22" ht="12" customHeight="1">
      <c r="B673" s="211">
        <v>46245</v>
      </c>
      <c r="C673" s="211">
        <v>46245</v>
      </c>
      <c r="D673" s="176" t="s">
        <v>5146</v>
      </c>
      <c r="E673" s="176" t="s">
        <v>5147</v>
      </c>
      <c r="F673" s="176" t="s">
        <v>87</v>
      </c>
      <c r="G673" s="176" t="s">
        <v>2357</v>
      </c>
      <c r="H673" s="176">
        <v>40</v>
      </c>
      <c r="I673" s="176">
        <v>36.5</v>
      </c>
      <c r="J673" s="176">
        <v>36.5</v>
      </c>
      <c r="K673" s="176">
        <v>5</v>
      </c>
      <c r="L673" s="176">
        <v>0</v>
      </c>
      <c r="M673" s="176" t="s">
        <v>148</v>
      </c>
      <c r="N673" s="176" t="s">
        <v>149</v>
      </c>
      <c r="O673" s="176" t="s">
        <v>150</v>
      </c>
      <c r="P673" s="176" t="s">
        <v>151</v>
      </c>
      <c r="Q673" s="176"/>
      <c r="R673" s="176" t="s">
        <v>5147</v>
      </c>
      <c r="S673" s="176"/>
      <c r="T673" s="176" t="s">
        <v>2802</v>
      </c>
      <c r="U673" s="176" t="s">
        <v>152</v>
      </c>
      <c r="V673" s="176" t="s">
        <v>23</v>
      </c>
    </row>
    <row r="674" spans="2:22" ht="12" customHeight="1">
      <c r="B674" s="211">
        <v>46245</v>
      </c>
      <c r="C674" s="211">
        <v>46245</v>
      </c>
      <c r="D674" s="176" t="s">
        <v>5148</v>
      </c>
      <c r="E674" s="176" t="s">
        <v>5149</v>
      </c>
      <c r="F674" s="176" t="s">
        <v>87</v>
      </c>
      <c r="G674" s="176" t="s">
        <v>2512</v>
      </c>
      <c r="H674" s="176">
        <v>40</v>
      </c>
      <c r="I674" s="176">
        <v>35.299999999999997</v>
      </c>
      <c r="J674" s="176">
        <v>35.299999999999997</v>
      </c>
      <c r="K674" s="176">
        <v>5</v>
      </c>
      <c r="L674" s="176">
        <v>0</v>
      </c>
      <c r="M674" s="176" t="s">
        <v>148</v>
      </c>
      <c r="N674" s="176" t="s">
        <v>149</v>
      </c>
      <c r="O674" s="176" t="s">
        <v>150</v>
      </c>
      <c r="P674" s="176" t="s">
        <v>151</v>
      </c>
      <c r="Q674" s="176"/>
      <c r="R674" s="176" t="s">
        <v>5149</v>
      </c>
      <c r="S674" s="176"/>
      <c r="T674" s="176" t="s">
        <v>2802</v>
      </c>
      <c r="U674" s="176" t="s">
        <v>152</v>
      </c>
      <c r="V674" s="176" t="s">
        <v>23</v>
      </c>
    </row>
    <row r="675" spans="2:22" ht="12" customHeight="1">
      <c r="B675" s="211">
        <v>46245</v>
      </c>
      <c r="C675" s="211">
        <v>46245</v>
      </c>
      <c r="D675" s="176" t="s">
        <v>5150</v>
      </c>
      <c r="E675" s="176" t="s">
        <v>5151</v>
      </c>
      <c r="F675" s="176" t="s">
        <v>87</v>
      </c>
      <c r="G675" s="176" t="s">
        <v>2334</v>
      </c>
      <c r="H675" s="176">
        <v>40</v>
      </c>
      <c r="I675" s="176">
        <v>35.799999999999997</v>
      </c>
      <c r="J675" s="176">
        <v>35.799999999999997</v>
      </c>
      <c r="K675" s="176">
        <v>5</v>
      </c>
      <c r="L675" s="176">
        <v>0</v>
      </c>
      <c r="M675" s="176" t="s">
        <v>148</v>
      </c>
      <c r="N675" s="176" t="s">
        <v>149</v>
      </c>
      <c r="O675" s="176" t="s">
        <v>150</v>
      </c>
      <c r="P675" s="176" t="s">
        <v>151</v>
      </c>
      <c r="Q675" s="176"/>
      <c r="R675" s="176" t="s">
        <v>5151</v>
      </c>
      <c r="S675" s="176"/>
      <c r="T675" s="176" t="s">
        <v>2802</v>
      </c>
      <c r="U675" s="176" t="s">
        <v>152</v>
      </c>
      <c r="V675" s="176" t="s">
        <v>23</v>
      </c>
    </row>
    <row r="676" spans="2:22" ht="12" customHeight="1">
      <c r="B676" s="211">
        <v>46245</v>
      </c>
      <c r="C676" s="211">
        <v>46245</v>
      </c>
      <c r="D676" s="176" t="s">
        <v>5152</v>
      </c>
      <c r="E676" s="176" t="s">
        <v>5153</v>
      </c>
      <c r="F676" s="176" t="s">
        <v>87</v>
      </c>
      <c r="G676" s="176" t="s">
        <v>2334</v>
      </c>
      <c r="H676" s="176">
        <v>40</v>
      </c>
      <c r="I676" s="176">
        <v>34.799999999999997</v>
      </c>
      <c r="J676" s="176">
        <v>34.799999999999997</v>
      </c>
      <c r="K676" s="176">
        <v>5</v>
      </c>
      <c r="L676" s="176">
        <v>0</v>
      </c>
      <c r="M676" s="176" t="s">
        <v>148</v>
      </c>
      <c r="N676" s="176" t="s">
        <v>149</v>
      </c>
      <c r="O676" s="176" t="s">
        <v>150</v>
      </c>
      <c r="P676" s="176" t="s">
        <v>151</v>
      </c>
      <c r="Q676" s="176"/>
      <c r="R676" s="176" t="s">
        <v>5153</v>
      </c>
      <c r="S676" s="176"/>
      <c r="T676" s="176" t="s">
        <v>2802</v>
      </c>
      <c r="U676" s="176" t="s">
        <v>152</v>
      </c>
      <c r="V676" s="176" t="s">
        <v>23</v>
      </c>
    </row>
    <row r="677" spans="2:22" ht="12" customHeight="1">
      <c r="B677" s="211">
        <v>46245</v>
      </c>
      <c r="C677" s="211">
        <v>46245</v>
      </c>
      <c r="D677" s="176" t="s">
        <v>5154</v>
      </c>
      <c r="E677" s="176" t="s">
        <v>5155</v>
      </c>
      <c r="F677" s="176" t="s">
        <v>87</v>
      </c>
      <c r="G677" s="176" t="s">
        <v>2514</v>
      </c>
      <c r="H677" s="176">
        <v>55</v>
      </c>
      <c r="I677" s="176">
        <v>44.2</v>
      </c>
      <c r="J677" s="176">
        <v>44.2</v>
      </c>
      <c r="K677" s="176">
        <v>5</v>
      </c>
      <c r="L677" s="176">
        <v>0</v>
      </c>
      <c r="M677" s="176" t="s">
        <v>148</v>
      </c>
      <c r="N677" s="176" t="s">
        <v>149</v>
      </c>
      <c r="O677" s="176" t="s">
        <v>150</v>
      </c>
      <c r="P677" s="176" t="s">
        <v>151</v>
      </c>
      <c r="Q677" s="176"/>
      <c r="R677" s="176" t="s">
        <v>5155</v>
      </c>
      <c r="S677" s="176"/>
      <c r="T677" s="176" t="s">
        <v>2802</v>
      </c>
      <c r="U677" s="176" t="s">
        <v>152</v>
      </c>
      <c r="V677" s="176" t="s">
        <v>23</v>
      </c>
    </row>
    <row r="678" spans="2:22" ht="12" customHeight="1">
      <c r="B678" s="211">
        <v>46245</v>
      </c>
      <c r="C678" s="211">
        <v>46245</v>
      </c>
      <c r="D678" s="176" t="s">
        <v>5156</v>
      </c>
      <c r="E678" s="176" t="s">
        <v>5157</v>
      </c>
      <c r="F678" s="176" t="s">
        <v>87</v>
      </c>
      <c r="G678" s="176" t="s">
        <v>2514</v>
      </c>
      <c r="H678" s="176">
        <v>55</v>
      </c>
      <c r="I678" s="176">
        <v>44.2</v>
      </c>
      <c r="J678" s="176">
        <v>44.2</v>
      </c>
      <c r="K678" s="176">
        <v>5</v>
      </c>
      <c r="L678" s="176">
        <v>0</v>
      </c>
      <c r="M678" s="176" t="s">
        <v>148</v>
      </c>
      <c r="N678" s="176" t="s">
        <v>149</v>
      </c>
      <c r="O678" s="176" t="s">
        <v>150</v>
      </c>
      <c r="P678" s="176" t="s">
        <v>151</v>
      </c>
      <c r="Q678" s="176"/>
      <c r="R678" s="176" t="s">
        <v>5157</v>
      </c>
      <c r="S678" s="176"/>
      <c r="T678" s="176" t="s">
        <v>2802</v>
      </c>
      <c r="U678" s="176" t="s">
        <v>152</v>
      </c>
      <c r="V678" s="176" t="s">
        <v>23</v>
      </c>
    </row>
    <row r="679" spans="2:22" ht="12" customHeight="1">
      <c r="B679" s="211">
        <v>46245</v>
      </c>
      <c r="C679" s="211">
        <v>46245</v>
      </c>
      <c r="D679" s="176" t="s">
        <v>5158</v>
      </c>
      <c r="E679" s="176" t="s">
        <v>5159</v>
      </c>
      <c r="F679" s="176" t="s">
        <v>87</v>
      </c>
      <c r="G679" s="176" t="s">
        <v>2515</v>
      </c>
      <c r="H679" s="176">
        <v>50</v>
      </c>
      <c r="I679" s="176">
        <v>20.8</v>
      </c>
      <c r="J679" s="176">
        <v>20.8</v>
      </c>
      <c r="K679" s="176">
        <v>5</v>
      </c>
      <c r="L679" s="176">
        <v>0</v>
      </c>
      <c r="M679" s="176" t="s">
        <v>148</v>
      </c>
      <c r="N679" s="176" t="s">
        <v>149</v>
      </c>
      <c r="O679" s="176" t="s">
        <v>150</v>
      </c>
      <c r="P679" s="176" t="s">
        <v>151</v>
      </c>
      <c r="Q679" s="176"/>
      <c r="R679" s="176" t="s">
        <v>5159</v>
      </c>
      <c r="S679" s="176"/>
      <c r="T679" s="176" t="s">
        <v>2802</v>
      </c>
      <c r="U679" s="176" t="s">
        <v>152</v>
      </c>
      <c r="V679" s="176" t="s">
        <v>23</v>
      </c>
    </row>
    <row r="680" spans="2:22" ht="12" customHeight="1">
      <c r="B680" s="211">
        <v>46245</v>
      </c>
      <c r="C680" s="211">
        <v>46245</v>
      </c>
      <c r="D680" s="176" t="s">
        <v>5160</v>
      </c>
      <c r="E680" s="176" t="s">
        <v>5161</v>
      </c>
      <c r="F680" s="176" t="s">
        <v>87</v>
      </c>
      <c r="G680" s="176" t="s">
        <v>2404</v>
      </c>
      <c r="H680" s="176">
        <v>40</v>
      </c>
      <c r="I680" s="176">
        <v>32.4</v>
      </c>
      <c r="J680" s="176">
        <v>32.4</v>
      </c>
      <c r="K680" s="176">
        <v>5</v>
      </c>
      <c r="L680" s="176">
        <v>0</v>
      </c>
      <c r="M680" s="176" t="s">
        <v>148</v>
      </c>
      <c r="N680" s="176" t="s">
        <v>149</v>
      </c>
      <c r="O680" s="176" t="s">
        <v>150</v>
      </c>
      <c r="P680" s="176" t="s">
        <v>151</v>
      </c>
      <c r="Q680" s="176"/>
      <c r="R680" s="176" t="s">
        <v>5161</v>
      </c>
      <c r="S680" s="176"/>
      <c r="T680" s="176" t="s">
        <v>2802</v>
      </c>
      <c r="U680" s="176" t="s">
        <v>152</v>
      </c>
      <c r="V680" s="176" t="s">
        <v>23</v>
      </c>
    </row>
    <row r="681" spans="2:22" ht="12" customHeight="1">
      <c r="B681" s="211">
        <v>46245</v>
      </c>
      <c r="C681" s="211">
        <v>46245</v>
      </c>
      <c r="D681" s="176" t="s">
        <v>5162</v>
      </c>
      <c r="E681" s="176" t="s">
        <v>5163</v>
      </c>
      <c r="F681" s="176" t="s">
        <v>87</v>
      </c>
      <c r="G681" s="176" t="s">
        <v>2357</v>
      </c>
      <c r="H681" s="176">
        <v>40</v>
      </c>
      <c r="I681" s="176">
        <v>35.799999999999997</v>
      </c>
      <c r="J681" s="176">
        <v>35.799999999999997</v>
      </c>
      <c r="K681" s="176">
        <v>5</v>
      </c>
      <c r="L681" s="176">
        <v>0</v>
      </c>
      <c r="M681" s="176" t="s">
        <v>148</v>
      </c>
      <c r="N681" s="176" t="s">
        <v>149</v>
      </c>
      <c r="O681" s="176" t="s">
        <v>150</v>
      </c>
      <c r="P681" s="176" t="s">
        <v>151</v>
      </c>
      <c r="Q681" s="176"/>
      <c r="R681" s="176" t="s">
        <v>5163</v>
      </c>
      <c r="S681" s="176"/>
      <c r="T681" s="176" t="s">
        <v>2802</v>
      </c>
      <c r="U681" s="176" t="s">
        <v>152</v>
      </c>
      <c r="V681" s="176" t="s">
        <v>23</v>
      </c>
    </row>
    <row r="682" spans="2:22" ht="12" customHeight="1">
      <c r="B682" s="211">
        <v>46245</v>
      </c>
      <c r="C682" s="211">
        <v>46245</v>
      </c>
      <c r="D682" s="176" t="s">
        <v>5164</v>
      </c>
      <c r="E682" s="176" t="s">
        <v>5165</v>
      </c>
      <c r="F682" s="176" t="s">
        <v>87</v>
      </c>
      <c r="G682" s="176" t="s">
        <v>4000</v>
      </c>
      <c r="H682" s="176">
        <v>50</v>
      </c>
      <c r="I682" s="176">
        <v>34.200000000000003</v>
      </c>
      <c r="J682" s="176">
        <v>34.200000000000003</v>
      </c>
      <c r="K682" s="176">
        <v>5</v>
      </c>
      <c r="L682" s="176">
        <v>0</v>
      </c>
      <c r="M682" s="176" t="s">
        <v>148</v>
      </c>
      <c r="N682" s="176" t="s">
        <v>149</v>
      </c>
      <c r="O682" s="176" t="s">
        <v>150</v>
      </c>
      <c r="P682" s="176" t="s">
        <v>151</v>
      </c>
      <c r="Q682" s="176"/>
      <c r="R682" s="176" t="s">
        <v>5165</v>
      </c>
      <c r="S682" s="176"/>
      <c r="T682" s="176" t="s">
        <v>2802</v>
      </c>
      <c r="U682" s="176" t="s">
        <v>152</v>
      </c>
      <c r="V682" s="176" t="s">
        <v>23</v>
      </c>
    </row>
    <row r="683" spans="2:22" ht="12" customHeight="1">
      <c r="B683" s="211">
        <v>46245</v>
      </c>
      <c r="C683" s="211">
        <v>46245</v>
      </c>
      <c r="D683" s="176" t="s">
        <v>5166</v>
      </c>
      <c r="E683" s="176" t="s">
        <v>5167</v>
      </c>
      <c r="F683" s="176" t="s">
        <v>87</v>
      </c>
      <c r="G683" s="176" t="s">
        <v>2512</v>
      </c>
      <c r="H683" s="176">
        <v>40</v>
      </c>
      <c r="I683" s="176">
        <v>30.9</v>
      </c>
      <c r="J683" s="176">
        <v>30.9</v>
      </c>
      <c r="K683" s="176">
        <v>5</v>
      </c>
      <c r="L683" s="176">
        <v>0</v>
      </c>
      <c r="M683" s="176" t="s">
        <v>148</v>
      </c>
      <c r="N683" s="176" t="s">
        <v>149</v>
      </c>
      <c r="O683" s="176" t="s">
        <v>150</v>
      </c>
      <c r="P683" s="176" t="s">
        <v>151</v>
      </c>
      <c r="Q683" s="176"/>
      <c r="R683" s="176" t="s">
        <v>5167</v>
      </c>
      <c r="S683" s="176"/>
      <c r="T683" s="176" t="s">
        <v>2802</v>
      </c>
      <c r="U683" s="176" t="s">
        <v>152</v>
      </c>
      <c r="V683" s="176" t="s">
        <v>23</v>
      </c>
    </row>
    <row r="684" spans="2:22" ht="12" customHeight="1">
      <c r="B684" s="211">
        <v>46245</v>
      </c>
      <c r="C684" s="211">
        <v>46245</v>
      </c>
      <c r="D684" s="176" t="s">
        <v>5168</v>
      </c>
      <c r="E684" s="176" t="s">
        <v>5169</v>
      </c>
      <c r="F684" s="176" t="s">
        <v>87</v>
      </c>
      <c r="G684" s="176" t="s">
        <v>1966</v>
      </c>
      <c r="H684" s="176">
        <v>6</v>
      </c>
      <c r="I684" s="176">
        <v>25.8</v>
      </c>
      <c r="J684" s="176">
        <v>25.8</v>
      </c>
      <c r="K684" s="176">
        <v>1.5</v>
      </c>
      <c r="L684" s="176">
        <v>0</v>
      </c>
      <c r="M684" s="176" t="s">
        <v>148</v>
      </c>
      <c r="N684" s="176" t="s">
        <v>149</v>
      </c>
      <c r="O684" s="176" t="s">
        <v>150</v>
      </c>
      <c r="P684" s="176" t="s">
        <v>151</v>
      </c>
      <c r="Q684" s="176"/>
      <c r="R684" s="176" t="s">
        <v>5169</v>
      </c>
      <c r="S684" s="176"/>
      <c r="T684" s="176" t="s">
        <v>2802</v>
      </c>
      <c r="U684" s="176" t="s">
        <v>152</v>
      </c>
      <c r="V684" s="176" t="s">
        <v>23</v>
      </c>
    </row>
    <row r="685" spans="2:22" ht="12" customHeight="1">
      <c r="B685" s="211">
        <v>46245</v>
      </c>
      <c r="C685" s="211">
        <v>46245</v>
      </c>
      <c r="D685" s="176" t="s">
        <v>5170</v>
      </c>
      <c r="E685" s="176" t="s">
        <v>5171</v>
      </c>
      <c r="F685" s="176" t="s">
        <v>87</v>
      </c>
      <c r="G685" s="176" t="s">
        <v>2078</v>
      </c>
      <c r="H685" s="176">
        <v>6</v>
      </c>
      <c r="I685" s="176">
        <v>30.2</v>
      </c>
      <c r="J685" s="176">
        <v>30.2</v>
      </c>
      <c r="K685" s="176">
        <v>1.5</v>
      </c>
      <c r="L685" s="176">
        <v>0</v>
      </c>
      <c r="M685" s="176" t="s">
        <v>148</v>
      </c>
      <c r="N685" s="176" t="s">
        <v>149</v>
      </c>
      <c r="O685" s="176" t="s">
        <v>150</v>
      </c>
      <c r="P685" s="176" t="s">
        <v>151</v>
      </c>
      <c r="Q685" s="176"/>
      <c r="R685" s="176" t="s">
        <v>5171</v>
      </c>
      <c r="S685" s="176"/>
      <c r="T685" s="176" t="s">
        <v>2802</v>
      </c>
      <c r="U685" s="176" t="s">
        <v>152</v>
      </c>
      <c r="V685" s="176" t="s">
        <v>23</v>
      </c>
    </row>
    <row r="686" spans="2:22" ht="12" customHeight="1">
      <c r="B686" s="211">
        <v>46245</v>
      </c>
      <c r="C686" s="211">
        <v>46245</v>
      </c>
      <c r="D686" s="176" t="s">
        <v>5172</v>
      </c>
      <c r="E686" s="176" t="s">
        <v>5173</v>
      </c>
      <c r="F686" s="176" t="s">
        <v>87</v>
      </c>
      <c r="G686" s="176" t="s">
        <v>5097</v>
      </c>
      <c r="H686" s="176">
        <v>25</v>
      </c>
      <c r="I686" s="176">
        <v>38.299999999999997</v>
      </c>
      <c r="J686" s="176">
        <v>38.299999999999997</v>
      </c>
      <c r="K686" s="176">
        <v>4</v>
      </c>
      <c r="L686" s="176">
        <v>0</v>
      </c>
      <c r="M686" s="176" t="s">
        <v>148</v>
      </c>
      <c r="N686" s="176" t="s">
        <v>149</v>
      </c>
      <c r="O686" s="176" t="s">
        <v>150</v>
      </c>
      <c r="P686" s="176" t="s">
        <v>151</v>
      </c>
      <c r="Q686" s="176"/>
      <c r="R686" s="176" t="s">
        <v>5173</v>
      </c>
      <c r="S686" s="176"/>
      <c r="T686" s="176" t="s">
        <v>2802</v>
      </c>
      <c r="U686" s="176" t="s">
        <v>152</v>
      </c>
      <c r="V686" s="176" t="s">
        <v>23</v>
      </c>
    </row>
    <row r="687" spans="2:22" ht="12" customHeight="1">
      <c r="B687" s="211">
        <v>46245</v>
      </c>
      <c r="C687" s="211">
        <v>46245</v>
      </c>
      <c r="D687" s="176" t="s">
        <v>5174</v>
      </c>
      <c r="E687" s="176" t="s">
        <v>5175</v>
      </c>
      <c r="F687" s="176" t="s">
        <v>87</v>
      </c>
      <c r="G687" s="176" t="s">
        <v>2357</v>
      </c>
      <c r="H687" s="176">
        <v>40</v>
      </c>
      <c r="I687" s="176">
        <v>39.299999999999997</v>
      </c>
      <c r="J687" s="176">
        <v>39.299999999999997</v>
      </c>
      <c r="K687" s="176">
        <v>5</v>
      </c>
      <c r="L687" s="176">
        <v>0</v>
      </c>
      <c r="M687" s="176" t="s">
        <v>148</v>
      </c>
      <c r="N687" s="176" t="s">
        <v>149</v>
      </c>
      <c r="O687" s="176" t="s">
        <v>150</v>
      </c>
      <c r="P687" s="176" t="s">
        <v>151</v>
      </c>
      <c r="Q687" s="176"/>
      <c r="R687" s="176" t="s">
        <v>5175</v>
      </c>
      <c r="S687" s="176"/>
      <c r="T687" s="176" t="s">
        <v>2802</v>
      </c>
      <c r="U687" s="176" t="s">
        <v>152</v>
      </c>
      <c r="V687" s="176" t="s">
        <v>23</v>
      </c>
    </row>
    <row r="688" spans="2:22" ht="12" customHeight="1">
      <c r="B688" s="211">
        <v>46245</v>
      </c>
      <c r="C688" s="211">
        <v>46245</v>
      </c>
      <c r="D688" s="176" t="s">
        <v>5176</v>
      </c>
      <c r="E688" s="176" t="s">
        <v>5177</v>
      </c>
      <c r="F688" s="176" t="s">
        <v>87</v>
      </c>
      <c r="G688" s="176" t="s">
        <v>2334</v>
      </c>
      <c r="H688" s="176">
        <v>40</v>
      </c>
      <c r="I688" s="176">
        <v>37.799999999999997</v>
      </c>
      <c r="J688" s="176">
        <v>37.799999999999997</v>
      </c>
      <c r="K688" s="176">
        <v>5</v>
      </c>
      <c r="L688" s="176">
        <v>0</v>
      </c>
      <c r="M688" s="176" t="s">
        <v>148</v>
      </c>
      <c r="N688" s="176" t="s">
        <v>149</v>
      </c>
      <c r="O688" s="176" t="s">
        <v>150</v>
      </c>
      <c r="P688" s="176" t="s">
        <v>151</v>
      </c>
      <c r="Q688" s="176"/>
      <c r="R688" s="176" t="s">
        <v>5177</v>
      </c>
      <c r="S688" s="176"/>
      <c r="T688" s="176" t="s">
        <v>2802</v>
      </c>
      <c r="U688" s="176" t="s">
        <v>152</v>
      </c>
      <c r="V688" s="176" t="s">
        <v>23</v>
      </c>
    </row>
    <row r="689" spans="2:22" ht="12" customHeight="1">
      <c r="B689" s="211">
        <v>46245</v>
      </c>
      <c r="C689" s="211">
        <v>46245</v>
      </c>
      <c r="D689" s="176" t="s">
        <v>5178</v>
      </c>
      <c r="E689" s="176" t="s">
        <v>5179</v>
      </c>
      <c r="F689" s="176" t="s">
        <v>87</v>
      </c>
      <c r="G689" s="176" t="s">
        <v>2334</v>
      </c>
      <c r="H689" s="176">
        <v>40</v>
      </c>
      <c r="I689" s="176">
        <v>38.200000000000003</v>
      </c>
      <c r="J689" s="176">
        <v>38.200000000000003</v>
      </c>
      <c r="K689" s="176">
        <v>5</v>
      </c>
      <c r="L689" s="176">
        <v>0</v>
      </c>
      <c r="M689" s="176" t="s">
        <v>148</v>
      </c>
      <c r="N689" s="176" t="s">
        <v>149</v>
      </c>
      <c r="O689" s="176" t="s">
        <v>150</v>
      </c>
      <c r="P689" s="176" t="s">
        <v>151</v>
      </c>
      <c r="Q689" s="176"/>
      <c r="R689" s="176" t="s">
        <v>5179</v>
      </c>
      <c r="S689" s="176"/>
      <c r="T689" s="176" t="s">
        <v>2802</v>
      </c>
      <c r="U689" s="176" t="s">
        <v>152</v>
      </c>
      <c r="V689" s="176" t="s">
        <v>23</v>
      </c>
    </row>
    <row r="690" spans="2:22" ht="12" customHeight="1">
      <c r="B690" s="211">
        <v>46245</v>
      </c>
      <c r="C690" s="211">
        <v>46245</v>
      </c>
      <c r="D690" s="176" t="s">
        <v>5180</v>
      </c>
      <c r="E690" s="176" t="s">
        <v>5181</v>
      </c>
      <c r="F690" s="176" t="s">
        <v>87</v>
      </c>
      <c r="G690" s="176" t="s">
        <v>1678</v>
      </c>
      <c r="H690" s="176">
        <v>30</v>
      </c>
      <c r="I690" s="176">
        <v>27.5</v>
      </c>
      <c r="J690" s="176">
        <v>27.5</v>
      </c>
      <c r="K690" s="176">
        <v>4</v>
      </c>
      <c r="L690" s="176">
        <v>0</v>
      </c>
      <c r="M690" s="176" t="s">
        <v>148</v>
      </c>
      <c r="N690" s="176" t="s">
        <v>149</v>
      </c>
      <c r="O690" s="176" t="s">
        <v>150</v>
      </c>
      <c r="P690" s="176" t="s">
        <v>151</v>
      </c>
      <c r="Q690" s="176"/>
      <c r="R690" s="176" t="s">
        <v>5181</v>
      </c>
      <c r="S690" s="176"/>
      <c r="T690" s="176" t="s">
        <v>2802</v>
      </c>
      <c r="U690" s="176" t="s">
        <v>152</v>
      </c>
      <c r="V690" s="176" t="s">
        <v>23</v>
      </c>
    </row>
    <row r="691" spans="2:22" ht="12" customHeight="1">
      <c r="B691" s="211">
        <v>46245</v>
      </c>
      <c r="C691" s="211">
        <v>46245</v>
      </c>
      <c r="D691" s="176" t="s">
        <v>5182</v>
      </c>
      <c r="E691" s="176" t="s">
        <v>5183</v>
      </c>
      <c r="F691" s="176" t="s">
        <v>87</v>
      </c>
      <c r="G691" s="176" t="s">
        <v>2357</v>
      </c>
      <c r="H691" s="176">
        <v>40</v>
      </c>
      <c r="I691" s="176">
        <v>40.200000000000003</v>
      </c>
      <c r="J691" s="176">
        <v>40.200000000000003</v>
      </c>
      <c r="K691" s="176">
        <v>5</v>
      </c>
      <c r="L691" s="176">
        <v>0</v>
      </c>
      <c r="M691" s="176" t="s">
        <v>148</v>
      </c>
      <c r="N691" s="176" t="s">
        <v>149</v>
      </c>
      <c r="O691" s="176" t="s">
        <v>150</v>
      </c>
      <c r="P691" s="176" t="s">
        <v>151</v>
      </c>
      <c r="Q691" s="176"/>
      <c r="R691" s="176" t="s">
        <v>5183</v>
      </c>
      <c r="S691" s="176"/>
      <c r="T691" s="176" t="s">
        <v>2802</v>
      </c>
      <c r="U691" s="176" t="s">
        <v>152</v>
      </c>
      <c r="V691" s="176" t="s">
        <v>23</v>
      </c>
    </row>
    <row r="692" spans="2:22" ht="12" customHeight="1">
      <c r="B692" s="211">
        <v>46245</v>
      </c>
      <c r="C692" s="211">
        <v>46245</v>
      </c>
      <c r="D692" s="176" t="s">
        <v>5184</v>
      </c>
      <c r="E692" s="176" t="s">
        <v>5185</v>
      </c>
      <c r="F692" s="176" t="s">
        <v>87</v>
      </c>
      <c r="G692" s="176" t="s">
        <v>2357</v>
      </c>
      <c r="H692" s="176">
        <v>40</v>
      </c>
      <c r="I692" s="176">
        <v>36.5</v>
      </c>
      <c r="J692" s="176">
        <v>36.5</v>
      </c>
      <c r="K692" s="176">
        <v>5</v>
      </c>
      <c r="L692" s="176">
        <v>0</v>
      </c>
      <c r="M692" s="176" t="s">
        <v>148</v>
      </c>
      <c r="N692" s="176" t="s">
        <v>149</v>
      </c>
      <c r="O692" s="176" t="s">
        <v>150</v>
      </c>
      <c r="P692" s="176" t="s">
        <v>151</v>
      </c>
      <c r="Q692" s="176"/>
      <c r="R692" s="176" t="s">
        <v>5185</v>
      </c>
      <c r="S692" s="176"/>
      <c r="T692" s="176" t="s">
        <v>2802</v>
      </c>
      <c r="U692" s="176" t="s">
        <v>152</v>
      </c>
      <c r="V692" s="176" t="s">
        <v>23</v>
      </c>
    </row>
    <row r="693" spans="2:22" ht="12" customHeight="1">
      <c r="B693" s="211">
        <v>46245</v>
      </c>
      <c r="C693" s="211">
        <v>46245</v>
      </c>
      <c r="D693" s="176" t="s">
        <v>5186</v>
      </c>
      <c r="E693" s="176" t="s">
        <v>5187</v>
      </c>
      <c r="F693" s="176" t="s">
        <v>87</v>
      </c>
      <c r="G693" s="176" t="s">
        <v>1678</v>
      </c>
      <c r="H693" s="176">
        <v>30</v>
      </c>
      <c r="I693" s="176">
        <v>12.8</v>
      </c>
      <c r="J693" s="176">
        <v>12.8</v>
      </c>
      <c r="K693" s="176">
        <v>4</v>
      </c>
      <c r="L693" s="176">
        <v>0</v>
      </c>
      <c r="M693" s="176" t="s">
        <v>148</v>
      </c>
      <c r="N693" s="176" t="s">
        <v>149</v>
      </c>
      <c r="O693" s="176" t="s">
        <v>150</v>
      </c>
      <c r="P693" s="176" t="s">
        <v>151</v>
      </c>
      <c r="Q693" s="176"/>
      <c r="R693" s="176" t="s">
        <v>5187</v>
      </c>
      <c r="S693" s="176"/>
      <c r="T693" s="176" t="s">
        <v>2802</v>
      </c>
      <c r="U693" s="176" t="s">
        <v>152</v>
      </c>
      <c r="V693" s="176" t="s">
        <v>23</v>
      </c>
    </row>
    <row r="694" spans="2:22" ht="12" customHeight="1">
      <c r="B694" s="211">
        <v>46245</v>
      </c>
      <c r="C694" s="211">
        <v>46245</v>
      </c>
      <c r="D694" s="176" t="s">
        <v>5188</v>
      </c>
      <c r="E694" s="176" t="s">
        <v>5189</v>
      </c>
      <c r="F694" s="176" t="s">
        <v>87</v>
      </c>
      <c r="G694" s="176" t="s">
        <v>2513</v>
      </c>
      <c r="H694" s="176">
        <v>25</v>
      </c>
      <c r="I694" s="176">
        <v>37.6</v>
      </c>
      <c r="J694" s="176">
        <v>37.6</v>
      </c>
      <c r="K694" s="176">
        <v>4</v>
      </c>
      <c r="L694" s="176">
        <v>0</v>
      </c>
      <c r="M694" s="176" t="s">
        <v>148</v>
      </c>
      <c r="N694" s="176" t="s">
        <v>149</v>
      </c>
      <c r="O694" s="176" t="s">
        <v>150</v>
      </c>
      <c r="P694" s="176" t="s">
        <v>151</v>
      </c>
      <c r="Q694" s="176"/>
      <c r="R694" s="176" t="s">
        <v>5189</v>
      </c>
      <c r="S694" s="176"/>
      <c r="T694" s="176" t="s">
        <v>2802</v>
      </c>
      <c r="U694" s="176" t="s">
        <v>152</v>
      </c>
      <c r="V694" s="176" t="s">
        <v>23</v>
      </c>
    </row>
    <row r="695" spans="2:22" ht="12" customHeight="1">
      <c r="B695" s="211">
        <v>46245</v>
      </c>
      <c r="C695" s="211">
        <v>46245</v>
      </c>
      <c r="D695" s="176" t="s">
        <v>5190</v>
      </c>
      <c r="E695" s="176" t="s">
        <v>5191</v>
      </c>
      <c r="F695" s="176" t="s">
        <v>87</v>
      </c>
      <c r="G695" s="176" t="s">
        <v>2513</v>
      </c>
      <c r="H695" s="176">
        <v>25</v>
      </c>
      <c r="I695" s="176">
        <v>39.5</v>
      </c>
      <c r="J695" s="176">
        <v>39.5</v>
      </c>
      <c r="K695" s="176">
        <v>4</v>
      </c>
      <c r="L695" s="176">
        <v>0</v>
      </c>
      <c r="M695" s="176" t="s">
        <v>148</v>
      </c>
      <c r="N695" s="176" t="s">
        <v>149</v>
      </c>
      <c r="O695" s="176" t="s">
        <v>150</v>
      </c>
      <c r="P695" s="176" t="s">
        <v>151</v>
      </c>
      <c r="Q695" s="176"/>
      <c r="R695" s="176" t="s">
        <v>5191</v>
      </c>
      <c r="S695" s="176"/>
      <c r="T695" s="176" t="s">
        <v>2802</v>
      </c>
      <c r="U695" s="176" t="s">
        <v>152</v>
      </c>
      <c r="V695" s="176" t="s">
        <v>23</v>
      </c>
    </row>
    <row r="696" spans="2:22" ht="12" customHeight="1">
      <c r="B696" s="211">
        <v>46245</v>
      </c>
      <c r="C696" s="211">
        <v>46245</v>
      </c>
      <c r="D696" s="176" t="s">
        <v>5192</v>
      </c>
      <c r="E696" s="176" t="s">
        <v>5193</v>
      </c>
      <c r="F696" s="176" t="s">
        <v>87</v>
      </c>
      <c r="G696" s="176" t="s">
        <v>2357</v>
      </c>
      <c r="H696" s="176">
        <v>40</v>
      </c>
      <c r="I696" s="176">
        <v>39.799999999999997</v>
      </c>
      <c r="J696" s="176">
        <v>39.799999999999997</v>
      </c>
      <c r="K696" s="176">
        <v>5</v>
      </c>
      <c r="L696" s="176">
        <v>0</v>
      </c>
      <c r="M696" s="176" t="s">
        <v>148</v>
      </c>
      <c r="N696" s="176" t="s">
        <v>149</v>
      </c>
      <c r="O696" s="176" t="s">
        <v>150</v>
      </c>
      <c r="P696" s="176" t="s">
        <v>151</v>
      </c>
      <c r="Q696" s="176"/>
      <c r="R696" s="176" t="s">
        <v>5193</v>
      </c>
      <c r="S696" s="176"/>
      <c r="T696" s="176" t="s">
        <v>2802</v>
      </c>
      <c r="U696" s="176" t="s">
        <v>152</v>
      </c>
      <c r="V696" s="176" t="s">
        <v>23</v>
      </c>
    </row>
    <row r="697" spans="2:22" ht="12" customHeight="1">
      <c r="B697" s="211">
        <v>46245</v>
      </c>
      <c r="C697" s="211">
        <v>46245</v>
      </c>
      <c r="D697" s="176" t="s">
        <v>5194</v>
      </c>
      <c r="E697" s="176" t="s">
        <v>5195</v>
      </c>
      <c r="F697" s="176" t="s">
        <v>87</v>
      </c>
      <c r="G697" s="176" t="s">
        <v>4000</v>
      </c>
      <c r="H697" s="176">
        <v>50</v>
      </c>
      <c r="I697" s="176">
        <v>39.799999999999997</v>
      </c>
      <c r="J697" s="176">
        <v>39.799999999999997</v>
      </c>
      <c r="K697" s="176">
        <v>5</v>
      </c>
      <c r="L697" s="176">
        <v>0</v>
      </c>
      <c r="M697" s="176" t="s">
        <v>148</v>
      </c>
      <c r="N697" s="176" t="s">
        <v>149</v>
      </c>
      <c r="O697" s="176" t="s">
        <v>150</v>
      </c>
      <c r="P697" s="176" t="s">
        <v>151</v>
      </c>
      <c r="Q697" s="176"/>
      <c r="R697" s="176" t="s">
        <v>5195</v>
      </c>
      <c r="S697" s="176"/>
      <c r="T697" s="176" t="s">
        <v>2802</v>
      </c>
      <c r="U697" s="176" t="s">
        <v>152</v>
      </c>
      <c r="V697" s="176" t="s">
        <v>23</v>
      </c>
    </row>
    <row r="698" spans="2:22" ht="12" customHeight="1">
      <c r="B698" s="211">
        <v>46245</v>
      </c>
      <c r="C698" s="211">
        <v>46245</v>
      </c>
      <c r="D698" s="176" t="s">
        <v>5196</v>
      </c>
      <c r="E698" s="176" t="s">
        <v>5197</v>
      </c>
      <c r="F698" s="176" t="s">
        <v>87</v>
      </c>
      <c r="G698" s="176" t="s">
        <v>2404</v>
      </c>
      <c r="H698" s="176">
        <v>40</v>
      </c>
      <c r="I698" s="176">
        <v>34.799999999999997</v>
      </c>
      <c r="J698" s="176">
        <v>34.799999999999997</v>
      </c>
      <c r="K698" s="176">
        <v>5</v>
      </c>
      <c r="L698" s="176">
        <v>0</v>
      </c>
      <c r="M698" s="176" t="s">
        <v>148</v>
      </c>
      <c r="N698" s="176" t="s">
        <v>149</v>
      </c>
      <c r="O698" s="176" t="s">
        <v>150</v>
      </c>
      <c r="P698" s="176" t="s">
        <v>151</v>
      </c>
      <c r="Q698" s="176"/>
      <c r="R698" s="176" t="s">
        <v>5197</v>
      </c>
      <c r="S698" s="176"/>
      <c r="T698" s="176" t="s">
        <v>2802</v>
      </c>
      <c r="U698" s="176" t="s">
        <v>152</v>
      </c>
      <c r="V698" s="176" t="s">
        <v>23</v>
      </c>
    </row>
    <row r="699" spans="2:22" ht="12" customHeight="1">
      <c r="B699" s="211">
        <v>46245</v>
      </c>
      <c r="C699" s="211">
        <v>46245</v>
      </c>
      <c r="D699" s="176" t="s">
        <v>5198</v>
      </c>
      <c r="E699" s="176" t="s">
        <v>5199</v>
      </c>
      <c r="F699" s="176" t="s">
        <v>87</v>
      </c>
      <c r="G699" s="176" t="s">
        <v>4512</v>
      </c>
      <c r="H699" s="176">
        <v>55</v>
      </c>
      <c r="I699" s="176">
        <v>42.2</v>
      </c>
      <c r="J699" s="176">
        <v>42.2</v>
      </c>
      <c r="K699" s="176">
        <v>5</v>
      </c>
      <c r="L699" s="176">
        <v>0</v>
      </c>
      <c r="M699" s="176" t="s">
        <v>148</v>
      </c>
      <c r="N699" s="176" t="s">
        <v>149</v>
      </c>
      <c r="O699" s="176" t="s">
        <v>150</v>
      </c>
      <c r="P699" s="176" t="s">
        <v>151</v>
      </c>
      <c r="Q699" s="176"/>
      <c r="R699" s="176" t="s">
        <v>5199</v>
      </c>
      <c r="S699" s="176"/>
      <c r="T699" s="176" t="s">
        <v>2802</v>
      </c>
      <c r="U699" s="176" t="s">
        <v>152</v>
      </c>
      <c r="V699" s="176" t="s">
        <v>23</v>
      </c>
    </row>
    <row r="700" spans="2:22" ht="12" customHeight="1">
      <c r="B700" s="211">
        <v>46245</v>
      </c>
      <c r="C700" s="211">
        <v>46245</v>
      </c>
      <c r="D700" s="176" t="s">
        <v>5200</v>
      </c>
      <c r="E700" s="176" t="s">
        <v>5201</v>
      </c>
      <c r="F700" s="176" t="s">
        <v>87</v>
      </c>
      <c r="G700" s="176" t="s">
        <v>2357</v>
      </c>
      <c r="H700" s="176">
        <v>40</v>
      </c>
      <c r="I700" s="176">
        <v>31.4</v>
      </c>
      <c r="J700" s="176">
        <v>31.4</v>
      </c>
      <c r="K700" s="176">
        <v>5</v>
      </c>
      <c r="L700" s="176">
        <v>0</v>
      </c>
      <c r="M700" s="176" t="s">
        <v>148</v>
      </c>
      <c r="N700" s="176" t="s">
        <v>149</v>
      </c>
      <c r="O700" s="176" t="s">
        <v>150</v>
      </c>
      <c r="P700" s="176" t="s">
        <v>151</v>
      </c>
      <c r="Q700" s="176"/>
      <c r="R700" s="176" t="s">
        <v>5201</v>
      </c>
      <c r="S700" s="176"/>
      <c r="T700" s="176" t="s">
        <v>2802</v>
      </c>
      <c r="U700" s="176" t="s">
        <v>152</v>
      </c>
      <c r="V700" s="176" t="s">
        <v>23</v>
      </c>
    </row>
    <row r="701" spans="2:22" ht="12" customHeight="1">
      <c r="B701" s="211">
        <v>46245</v>
      </c>
      <c r="C701" s="211">
        <v>46245</v>
      </c>
      <c r="D701" s="176" t="s">
        <v>5202</v>
      </c>
      <c r="E701" s="176" t="s">
        <v>5203</v>
      </c>
      <c r="F701" s="176" t="s">
        <v>87</v>
      </c>
      <c r="G701" s="176" t="s">
        <v>2334</v>
      </c>
      <c r="H701" s="176">
        <v>40</v>
      </c>
      <c r="I701" s="176">
        <v>35.799999999999997</v>
      </c>
      <c r="J701" s="176">
        <v>35.799999999999997</v>
      </c>
      <c r="K701" s="176">
        <v>5</v>
      </c>
      <c r="L701" s="176">
        <v>0</v>
      </c>
      <c r="M701" s="176" t="s">
        <v>148</v>
      </c>
      <c r="N701" s="176" t="s">
        <v>149</v>
      </c>
      <c r="O701" s="176" t="s">
        <v>150</v>
      </c>
      <c r="P701" s="176" t="s">
        <v>151</v>
      </c>
      <c r="Q701" s="176"/>
      <c r="R701" s="176" t="s">
        <v>5203</v>
      </c>
      <c r="S701" s="176"/>
      <c r="T701" s="176" t="s">
        <v>2802</v>
      </c>
      <c r="U701" s="176" t="s">
        <v>152</v>
      </c>
      <c r="V701" s="176" t="s">
        <v>23</v>
      </c>
    </row>
    <row r="702" spans="2:22" ht="12" customHeight="1">
      <c r="B702" s="211">
        <v>46245</v>
      </c>
      <c r="C702" s="211">
        <v>46245</v>
      </c>
      <c r="D702" s="176" t="s">
        <v>5204</v>
      </c>
      <c r="E702" s="176" t="s">
        <v>5205</v>
      </c>
      <c r="F702" s="176" t="s">
        <v>87</v>
      </c>
      <c r="G702" s="176" t="s">
        <v>2334</v>
      </c>
      <c r="H702" s="176">
        <v>40</v>
      </c>
      <c r="I702" s="176">
        <v>35.9</v>
      </c>
      <c r="J702" s="176">
        <v>35.9</v>
      </c>
      <c r="K702" s="176">
        <v>5</v>
      </c>
      <c r="L702" s="176">
        <v>0</v>
      </c>
      <c r="M702" s="176" t="s">
        <v>148</v>
      </c>
      <c r="N702" s="176" t="s">
        <v>149</v>
      </c>
      <c r="O702" s="176" t="s">
        <v>150</v>
      </c>
      <c r="P702" s="176" t="s">
        <v>151</v>
      </c>
      <c r="Q702" s="176"/>
      <c r="R702" s="176" t="s">
        <v>5205</v>
      </c>
      <c r="S702" s="176" t="s">
        <v>61</v>
      </c>
      <c r="T702" s="176" t="s">
        <v>3398</v>
      </c>
      <c r="U702" s="176" t="s">
        <v>152</v>
      </c>
      <c r="V702" s="176" t="s">
        <v>23</v>
      </c>
    </row>
    <row r="703" spans="2:22" ht="12" customHeight="1">
      <c r="B703" s="211">
        <v>46245</v>
      </c>
      <c r="C703" s="211">
        <v>46245</v>
      </c>
      <c r="D703" s="176" t="s">
        <v>5206</v>
      </c>
      <c r="E703" s="176" t="s">
        <v>5207</v>
      </c>
      <c r="F703" s="176" t="s">
        <v>87</v>
      </c>
      <c r="G703" s="176" t="s">
        <v>2334</v>
      </c>
      <c r="H703" s="176">
        <v>40</v>
      </c>
      <c r="I703" s="176">
        <v>40.1</v>
      </c>
      <c r="J703" s="176">
        <v>40.1</v>
      </c>
      <c r="K703" s="176">
        <v>5</v>
      </c>
      <c r="L703" s="176">
        <v>0</v>
      </c>
      <c r="M703" s="176" t="s">
        <v>148</v>
      </c>
      <c r="N703" s="176" t="s">
        <v>149</v>
      </c>
      <c r="O703" s="176" t="s">
        <v>150</v>
      </c>
      <c r="P703" s="176" t="s">
        <v>151</v>
      </c>
      <c r="Q703" s="176"/>
      <c r="R703" s="176" t="s">
        <v>5207</v>
      </c>
      <c r="S703" s="176"/>
      <c r="T703" s="176" t="s">
        <v>2802</v>
      </c>
      <c r="U703" s="176" t="s">
        <v>152</v>
      </c>
      <c r="V703" s="176" t="s">
        <v>23</v>
      </c>
    </row>
    <row r="704" spans="2:22" ht="12" customHeight="1">
      <c r="B704" s="211">
        <v>46245</v>
      </c>
      <c r="C704" s="211">
        <v>46245</v>
      </c>
      <c r="D704" s="176" t="s">
        <v>5208</v>
      </c>
      <c r="E704" s="176" t="s">
        <v>5209</v>
      </c>
      <c r="F704" s="176" t="s">
        <v>87</v>
      </c>
      <c r="G704" s="176" t="s">
        <v>2334</v>
      </c>
      <c r="H704" s="176">
        <v>40</v>
      </c>
      <c r="I704" s="176">
        <v>42.7</v>
      </c>
      <c r="J704" s="176">
        <v>42.7</v>
      </c>
      <c r="K704" s="176">
        <v>5</v>
      </c>
      <c r="L704" s="176">
        <v>0</v>
      </c>
      <c r="M704" s="176" t="s">
        <v>148</v>
      </c>
      <c r="N704" s="176" t="s">
        <v>149</v>
      </c>
      <c r="O704" s="176" t="s">
        <v>150</v>
      </c>
      <c r="P704" s="176" t="s">
        <v>151</v>
      </c>
      <c r="Q704" s="176"/>
      <c r="R704" s="176" t="s">
        <v>5209</v>
      </c>
      <c r="S704" s="176"/>
      <c r="T704" s="176" t="s">
        <v>2802</v>
      </c>
      <c r="U704" s="176" t="s">
        <v>152</v>
      </c>
      <c r="V704" s="176" t="s">
        <v>23</v>
      </c>
    </row>
    <row r="705" spans="2:22" ht="12" customHeight="1">
      <c r="B705" s="211">
        <v>46245</v>
      </c>
      <c r="C705" s="211">
        <v>46245</v>
      </c>
      <c r="D705" s="176" t="s">
        <v>5210</v>
      </c>
      <c r="E705" s="176" t="s">
        <v>5211</v>
      </c>
      <c r="F705" s="176" t="s">
        <v>87</v>
      </c>
      <c r="G705" s="176" t="s">
        <v>4512</v>
      </c>
      <c r="H705" s="176">
        <v>55</v>
      </c>
      <c r="I705" s="176">
        <v>19.399999999999999</v>
      </c>
      <c r="J705" s="176">
        <v>19.399999999999999</v>
      </c>
      <c r="K705" s="176">
        <v>5</v>
      </c>
      <c r="L705" s="176">
        <v>0</v>
      </c>
      <c r="M705" s="176" t="s">
        <v>148</v>
      </c>
      <c r="N705" s="176" t="s">
        <v>149</v>
      </c>
      <c r="O705" s="176" t="s">
        <v>150</v>
      </c>
      <c r="P705" s="176" t="s">
        <v>151</v>
      </c>
      <c r="Q705" s="176"/>
      <c r="R705" s="176" t="s">
        <v>5211</v>
      </c>
      <c r="S705" s="176"/>
      <c r="T705" s="176" t="s">
        <v>2802</v>
      </c>
      <c r="U705" s="176" t="s">
        <v>152</v>
      </c>
      <c r="V705" s="176" t="s">
        <v>23</v>
      </c>
    </row>
    <row r="706" spans="2:22" ht="12" customHeight="1">
      <c r="B706" s="211">
        <v>46245</v>
      </c>
      <c r="C706" s="211">
        <v>46245</v>
      </c>
      <c r="D706" s="176" t="s">
        <v>5212</v>
      </c>
      <c r="E706" s="176" t="s">
        <v>5213</v>
      </c>
      <c r="F706" s="176" t="s">
        <v>87</v>
      </c>
      <c r="G706" s="176" t="s">
        <v>2404</v>
      </c>
      <c r="H706" s="176">
        <v>40</v>
      </c>
      <c r="I706" s="176">
        <v>34.799999999999997</v>
      </c>
      <c r="J706" s="176">
        <v>34.799999999999997</v>
      </c>
      <c r="K706" s="176">
        <v>5</v>
      </c>
      <c r="L706" s="176">
        <v>0</v>
      </c>
      <c r="M706" s="176" t="s">
        <v>148</v>
      </c>
      <c r="N706" s="176" t="s">
        <v>149</v>
      </c>
      <c r="O706" s="176" t="s">
        <v>150</v>
      </c>
      <c r="P706" s="176" t="s">
        <v>151</v>
      </c>
      <c r="Q706" s="176"/>
      <c r="R706" s="176" t="s">
        <v>5213</v>
      </c>
      <c r="S706" s="176"/>
      <c r="T706" s="176" t="s">
        <v>2802</v>
      </c>
      <c r="U706" s="176" t="s">
        <v>152</v>
      </c>
      <c r="V706" s="176" t="s">
        <v>23</v>
      </c>
    </row>
    <row r="707" spans="2:22" ht="12" customHeight="1">
      <c r="B707" s="211">
        <v>46245</v>
      </c>
      <c r="C707" s="211">
        <v>46245</v>
      </c>
      <c r="D707" s="176" t="s">
        <v>5214</v>
      </c>
      <c r="E707" s="176" t="s">
        <v>5215</v>
      </c>
      <c r="F707" s="176" t="s">
        <v>87</v>
      </c>
      <c r="G707" s="176" t="s">
        <v>2513</v>
      </c>
      <c r="H707" s="176">
        <v>25</v>
      </c>
      <c r="I707" s="176">
        <v>45.8</v>
      </c>
      <c r="J707" s="176">
        <v>45.8</v>
      </c>
      <c r="K707" s="176">
        <v>4</v>
      </c>
      <c r="L707" s="176">
        <v>0</v>
      </c>
      <c r="M707" s="176" t="s">
        <v>148</v>
      </c>
      <c r="N707" s="176" t="s">
        <v>149</v>
      </c>
      <c r="O707" s="176" t="s">
        <v>150</v>
      </c>
      <c r="P707" s="176" t="s">
        <v>151</v>
      </c>
      <c r="Q707" s="176"/>
      <c r="R707" s="176" t="s">
        <v>5215</v>
      </c>
      <c r="S707" s="176"/>
      <c r="T707" s="176" t="s">
        <v>2802</v>
      </c>
      <c r="U707" s="176" t="s">
        <v>152</v>
      </c>
      <c r="V707" s="176" t="s">
        <v>23</v>
      </c>
    </row>
    <row r="708" spans="2:22" ht="12" customHeight="1">
      <c r="B708" s="211">
        <v>46245</v>
      </c>
      <c r="C708" s="211">
        <v>46245</v>
      </c>
      <c r="D708" s="176" t="s">
        <v>5216</v>
      </c>
      <c r="E708" s="176" t="s">
        <v>5217</v>
      </c>
      <c r="F708" s="176" t="s">
        <v>87</v>
      </c>
      <c r="G708" s="176" t="s">
        <v>2513</v>
      </c>
      <c r="H708" s="176">
        <v>25</v>
      </c>
      <c r="I708" s="176">
        <v>46.2</v>
      </c>
      <c r="J708" s="176">
        <v>46.2</v>
      </c>
      <c r="K708" s="176">
        <v>4</v>
      </c>
      <c r="L708" s="176">
        <v>0</v>
      </c>
      <c r="M708" s="176" t="s">
        <v>148</v>
      </c>
      <c r="N708" s="176" t="s">
        <v>149</v>
      </c>
      <c r="O708" s="176" t="s">
        <v>150</v>
      </c>
      <c r="P708" s="176" t="s">
        <v>151</v>
      </c>
      <c r="Q708" s="176"/>
      <c r="R708" s="176" t="s">
        <v>5217</v>
      </c>
      <c r="S708" s="176"/>
      <c r="T708" s="176" t="s">
        <v>2802</v>
      </c>
      <c r="U708" s="176" t="s">
        <v>152</v>
      </c>
      <c r="V708" s="176" t="s">
        <v>23</v>
      </c>
    </row>
    <row r="709" spans="2:22" ht="12" customHeight="1">
      <c r="B709" s="211">
        <v>46245</v>
      </c>
      <c r="C709" s="211">
        <v>46245</v>
      </c>
      <c r="D709" s="176" t="s">
        <v>5218</v>
      </c>
      <c r="E709" s="176" t="s">
        <v>5219</v>
      </c>
      <c r="F709" s="176" t="s">
        <v>87</v>
      </c>
      <c r="G709" s="176" t="s">
        <v>2515</v>
      </c>
      <c r="H709" s="176">
        <v>50</v>
      </c>
      <c r="I709" s="176">
        <v>44.2</v>
      </c>
      <c r="J709" s="176">
        <v>44.2</v>
      </c>
      <c r="K709" s="176">
        <v>5</v>
      </c>
      <c r="L709" s="176">
        <v>0</v>
      </c>
      <c r="M709" s="176" t="s">
        <v>148</v>
      </c>
      <c r="N709" s="176" t="s">
        <v>149</v>
      </c>
      <c r="O709" s="176" t="s">
        <v>150</v>
      </c>
      <c r="P709" s="176" t="s">
        <v>151</v>
      </c>
      <c r="Q709" s="176"/>
      <c r="R709" s="176" t="s">
        <v>5219</v>
      </c>
      <c r="S709" s="176"/>
      <c r="T709" s="176" t="s">
        <v>2802</v>
      </c>
      <c r="U709" s="176" t="s">
        <v>152</v>
      </c>
      <c r="V709" s="176" t="s">
        <v>23</v>
      </c>
    </row>
    <row r="710" spans="2:22" ht="12" customHeight="1">
      <c r="B710" s="211">
        <v>46245</v>
      </c>
      <c r="C710" s="211">
        <v>46245</v>
      </c>
      <c r="D710" s="176" t="s">
        <v>5220</v>
      </c>
      <c r="E710" s="176" t="s">
        <v>5221</v>
      </c>
      <c r="F710" s="176" t="s">
        <v>87</v>
      </c>
      <c r="G710" s="176" t="s">
        <v>4335</v>
      </c>
      <c r="H710" s="176">
        <v>25</v>
      </c>
      <c r="I710" s="176">
        <v>40.200000000000003</v>
      </c>
      <c r="J710" s="176">
        <v>40.200000000000003</v>
      </c>
      <c r="K710" s="176">
        <v>4</v>
      </c>
      <c r="L710" s="176">
        <v>0</v>
      </c>
      <c r="M710" s="176" t="s">
        <v>148</v>
      </c>
      <c r="N710" s="176" t="s">
        <v>149</v>
      </c>
      <c r="O710" s="176" t="s">
        <v>150</v>
      </c>
      <c r="P710" s="176" t="s">
        <v>151</v>
      </c>
      <c r="Q710" s="176"/>
      <c r="R710" s="176" t="s">
        <v>5221</v>
      </c>
      <c r="S710" s="176"/>
      <c r="T710" s="176" t="s">
        <v>2802</v>
      </c>
      <c r="U710" s="176" t="s">
        <v>152</v>
      </c>
      <c r="V710" s="176" t="s">
        <v>23</v>
      </c>
    </row>
    <row r="711" spans="2:22" ht="12" customHeight="1">
      <c r="B711" s="211">
        <v>46245</v>
      </c>
      <c r="C711" s="211">
        <v>46245</v>
      </c>
      <c r="D711" s="176" t="s">
        <v>5222</v>
      </c>
      <c r="E711" s="176" t="s">
        <v>5223</v>
      </c>
      <c r="F711" s="176" t="s">
        <v>87</v>
      </c>
      <c r="G711" s="176" t="s">
        <v>2404</v>
      </c>
      <c r="H711" s="176">
        <v>40</v>
      </c>
      <c r="I711" s="176">
        <v>20.2</v>
      </c>
      <c r="J711" s="176">
        <v>20.2</v>
      </c>
      <c r="K711" s="176">
        <v>5</v>
      </c>
      <c r="L711" s="176">
        <v>0</v>
      </c>
      <c r="M711" s="176" t="s">
        <v>148</v>
      </c>
      <c r="N711" s="176" t="s">
        <v>149</v>
      </c>
      <c r="O711" s="176" t="s">
        <v>150</v>
      </c>
      <c r="P711" s="176" t="s">
        <v>151</v>
      </c>
      <c r="Q711" s="176"/>
      <c r="R711" s="176" t="s">
        <v>5223</v>
      </c>
      <c r="S711" s="176"/>
      <c r="T711" s="176" t="s">
        <v>2802</v>
      </c>
      <c r="U711" s="176" t="s">
        <v>152</v>
      </c>
      <c r="V711" s="176" t="s">
        <v>23</v>
      </c>
    </row>
    <row r="712" spans="2:22" ht="12" customHeight="1">
      <c r="B712" s="211">
        <v>46245</v>
      </c>
      <c r="C712" s="211">
        <v>46245</v>
      </c>
      <c r="D712" s="176" t="s">
        <v>5224</v>
      </c>
      <c r="E712" s="176" t="s">
        <v>5225</v>
      </c>
      <c r="F712" s="176" t="s">
        <v>87</v>
      </c>
      <c r="G712" s="176" t="s">
        <v>4512</v>
      </c>
      <c r="H712" s="176">
        <v>55</v>
      </c>
      <c r="I712" s="176">
        <v>36.299999999999997</v>
      </c>
      <c r="J712" s="176">
        <v>36.299999999999997</v>
      </c>
      <c r="K712" s="176">
        <v>5</v>
      </c>
      <c r="L712" s="176">
        <v>0</v>
      </c>
      <c r="M712" s="176" t="s">
        <v>148</v>
      </c>
      <c r="N712" s="176" t="s">
        <v>149</v>
      </c>
      <c r="O712" s="176" t="s">
        <v>150</v>
      </c>
      <c r="P712" s="176" t="s">
        <v>151</v>
      </c>
      <c r="Q712" s="176"/>
      <c r="R712" s="176" t="s">
        <v>5225</v>
      </c>
      <c r="S712" s="176" t="s">
        <v>61</v>
      </c>
      <c r="T712" s="176" t="s">
        <v>3345</v>
      </c>
      <c r="U712" s="176" t="s">
        <v>152</v>
      </c>
      <c r="V712" s="176" t="s">
        <v>23</v>
      </c>
    </row>
    <row r="713" spans="2:22" ht="12" customHeight="1">
      <c r="B713" s="211">
        <v>46245</v>
      </c>
      <c r="C713" s="211">
        <v>46245</v>
      </c>
      <c r="D713" s="176" t="s">
        <v>5226</v>
      </c>
      <c r="E713" s="176" t="s">
        <v>5227</v>
      </c>
      <c r="F713" s="176" t="s">
        <v>87</v>
      </c>
      <c r="G713" s="176" t="s">
        <v>2334</v>
      </c>
      <c r="H713" s="176">
        <v>40</v>
      </c>
      <c r="I713" s="176">
        <v>38.799999999999997</v>
      </c>
      <c r="J713" s="176">
        <v>38.799999999999997</v>
      </c>
      <c r="K713" s="176">
        <v>5</v>
      </c>
      <c r="L713" s="176">
        <v>0</v>
      </c>
      <c r="M713" s="176" t="s">
        <v>148</v>
      </c>
      <c r="N713" s="176" t="s">
        <v>149</v>
      </c>
      <c r="O713" s="176" t="s">
        <v>150</v>
      </c>
      <c r="P713" s="176" t="s">
        <v>151</v>
      </c>
      <c r="Q713" s="176"/>
      <c r="R713" s="176" t="s">
        <v>5227</v>
      </c>
      <c r="S713" s="176"/>
      <c r="T713" s="176" t="s">
        <v>2802</v>
      </c>
      <c r="U713" s="176" t="s">
        <v>152</v>
      </c>
      <c r="V713" s="176" t="s">
        <v>23</v>
      </c>
    </row>
    <row r="714" spans="2:22" ht="12" customHeight="1">
      <c r="B714" s="211">
        <v>46245</v>
      </c>
      <c r="C714" s="211">
        <v>46245</v>
      </c>
      <c r="D714" s="176" t="s">
        <v>5228</v>
      </c>
      <c r="E714" s="176" t="s">
        <v>5229</v>
      </c>
      <c r="F714" s="176" t="s">
        <v>87</v>
      </c>
      <c r="G714" s="176" t="s">
        <v>4512</v>
      </c>
      <c r="H714" s="176">
        <v>55</v>
      </c>
      <c r="I714" s="176">
        <v>28.8</v>
      </c>
      <c r="J714" s="176">
        <v>28.8</v>
      </c>
      <c r="K714" s="176">
        <v>5</v>
      </c>
      <c r="L714" s="176">
        <v>0</v>
      </c>
      <c r="M714" s="176" t="s">
        <v>148</v>
      </c>
      <c r="N714" s="176" t="s">
        <v>149</v>
      </c>
      <c r="O714" s="176" t="s">
        <v>150</v>
      </c>
      <c r="P714" s="176" t="s">
        <v>151</v>
      </c>
      <c r="Q714" s="176"/>
      <c r="R714" s="176" t="s">
        <v>5229</v>
      </c>
      <c r="S714" s="176"/>
      <c r="T714" s="176" t="s">
        <v>2802</v>
      </c>
      <c r="U714" s="176" t="s">
        <v>152</v>
      </c>
      <c r="V714" s="176" t="s">
        <v>23</v>
      </c>
    </row>
    <row r="715" spans="2:22" ht="12" customHeight="1">
      <c r="B715" s="211">
        <v>46245</v>
      </c>
      <c r="C715" s="211">
        <v>46245</v>
      </c>
      <c r="D715" s="176" t="s">
        <v>5230</v>
      </c>
      <c r="E715" s="176" t="s">
        <v>5231</v>
      </c>
      <c r="F715" s="176" t="s">
        <v>87</v>
      </c>
      <c r="G715" s="176" t="s">
        <v>4512</v>
      </c>
      <c r="H715" s="176">
        <v>55</v>
      </c>
      <c r="I715" s="176">
        <v>41.7</v>
      </c>
      <c r="J715" s="176">
        <v>41.7</v>
      </c>
      <c r="K715" s="176">
        <v>5</v>
      </c>
      <c r="L715" s="176">
        <v>0</v>
      </c>
      <c r="M715" s="176" t="s">
        <v>148</v>
      </c>
      <c r="N715" s="176" t="s">
        <v>149</v>
      </c>
      <c r="O715" s="176" t="s">
        <v>150</v>
      </c>
      <c r="P715" s="176" t="s">
        <v>151</v>
      </c>
      <c r="Q715" s="176"/>
      <c r="R715" s="176" t="s">
        <v>5231</v>
      </c>
      <c r="S715" s="176"/>
      <c r="T715" s="176" t="s">
        <v>2802</v>
      </c>
      <c r="U715" s="176" t="s">
        <v>152</v>
      </c>
      <c r="V715" s="176" t="s">
        <v>23</v>
      </c>
    </row>
    <row r="716" spans="2:22" ht="12" customHeight="1">
      <c r="B716" s="211">
        <v>46245</v>
      </c>
      <c r="C716" s="211">
        <v>46245</v>
      </c>
      <c r="D716" s="176" t="s">
        <v>5232</v>
      </c>
      <c r="E716" s="176" t="s">
        <v>5233</v>
      </c>
      <c r="F716" s="176" t="s">
        <v>87</v>
      </c>
      <c r="G716" s="176" t="s">
        <v>2334</v>
      </c>
      <c r="H716" s="176">
        <v>40</v>
      </c>
      <c r="I716" s="176">
        <v>37.799999999999997</v>
      </c>
      <c r="J716" s="176">
        <v>37.799999999999997</v>
      </c>
      <c r="K716" s="176">
        <v>5</v>
      </c>
      <c r="L716" s="176">
        <v>0</v>
      </c>
      <c r="M716" s="176" t="s">
        <v>148</v>
      </c>
      <c r="N716" s="176" t="s">
        <v>149</v>
      </c>
      <c r="O716" s="176" t="s">
        <v>150</v>
      </c>
      <c r="P716" s="176" t="s">
        <v>151</v>
      </c>
      <c r="Q716" s="176"/>
      <c r="R716" s="176" t="s">
        <v>5233</v>
      </c>
      <c r="S716" s="176"/>
      <c r="T716" s="176" t="s">
        <v>2802</v>
      </c>
      <c r="U716" s="176" t="s">
        <v>152</v>
      </c>
      <c r="V716" s="176" t="s">
        <v>23</v>
      </c>
    </row>
    <row r="717" spans="2:22" ht="12" customHeight="1">
      <c r="B717" s="211">
        <v>46245</v>
      </c>
      <c r="C717" s="211">
        <v>46245</v>
      </c>
      <c r="D717" s="176" t="s">
        <v>5234</v>
      </c>
      <c r="E717" s="176" t="s">
        <v>5235</v>
      </c>
      <c r="F717" s="176" t="s">
        <v>87</v>
      </c>
      <c r="G717" s="176" t="s">
        <v>2334</v>
      </c>
      <c r="H717" s="176">
        <v>40</v>
      </c>
      <c r="I717" s="176">
        <v>25.8</v>
      </c>
      <c r="J717" s="176">
        <v>25.8</v>
      </c>
      <c r="K717" s="176">
        <v>5</v>
      </c>
      <c r="L717" s="176">
        <v>0</v>
      </c>
      <c r="M717" s="176" t="s">
        <v>148</v>
      </c>
      <c r="N717" s="176" t="s">
        <v>149</v>
      </c>
      <c r="O717" s="176" t="s">
        <v>150</v>
      </c>
      <c r="P717" s="176" t="s">
        <v>151</v>
      </c>
      <c r="Q717" s="176"/>
      <c r="R717" s="176" t="s">
        <v>5235</v>
      </c>
      <c r="S717" s="176"/>
      <c r="T717" s="176" t="s">
        <v>2802</v>
      </c>
      <c r="U717" s="176" t="s">
        <v>152</v>
      </c>
      <c r="V717" s="176" t="s">
        <v>23</v>
      </c>
    </row>
    <row r="718" spans="2:22" ht="12" customHeight="1">
      <c r="B718" s="211">
        <v>46245</v>
      </c>
      <c r="C718" s="211">
        <v>46245</v>
      </c>
      <c r="D718" s="176" t="s">
        <v>5236</v>
      </c>
      <c r="E718" s="176" t="s">
        <v>5237</v>
      </c>
      <c r="F718" s="176" t="s">
        <v>87</v>
      </c>
      <c r="G718" s="176" t="s">
        <v>2404</v>
      </c>
      <c r="H718" s="176">
        <v>40</v>
      </c>
      <c r="I718" s="176">
        <v>34.799999999999997</v>
      </c>
      <c r="J718" s="176">
        <v>34.799999999999997</v>
      </c>
      <c r="K718" s="176">
        <v>5</v>
      </c>
      <c r="L718" s="176">
        <v>0</v>
      </c>
      <c r="M718" s="176" t="s">
        <v>148</v>
      </c>
      <c r="N718" s="176" t="s">
        <v>149</v>
      </c>
      <c r="O718" s="176" t="s">
        <v>150</v>
      </c>
      <c r="P718" s="176" t="s">
        <v>151</v>
      </c>
      <c r="Q718" s="176"/>
      <c r="R718" s="176" t="s">
        <v>5237</v>
      </c>
      <c r="S718" s="176"/>
      <c r="T718" s="176" t="s">
        <v>2802</v>
      </c>
      <c r="U718" s="176" t="s">
        <v>152</v>
      </c>
      <c r="V718" s="176" t="s">
        <v>23</v>
      </c>
    </row>
    <row r="719" spans="2:22" ht="12" customHeight="1">
      <c r="B719" s="211">
        <v>46245</v>
      </c>
      <c r="C719" s="211">
        <v>46245</v>
      </c>
      <c r="D719" s="176" t="s">
        <v>5238</v>
      </c>
      <c r="E719" s="176" t="s">
        <v>5239</v>
      </c>
      <c r="F719" s="176" t="s">
        <v>87</v>
      </c>
      <c r="G719" s="176" t="s">
        <v>2357</v>
      </c>
      <c r="H719" s="176">
        <v>40</v>
      </c>
      <c r="I719" s="176">
        <v>35.799999999999997</v>
      </c>
      <c r="J719" s="176">
        <v>35.799999999999997</v>
      </c>
      <c r="K719" s="176">
        <v>5</v>
      </c>
      <c r="L719" s="176">
        <v>0</v>
      </c>
      <c r="M719" s="176" t="s">
        <v>148</v>
      </c>
      <c r="N719" s="176" t="s">
        <v>149</v>
      </c>
      <c r="O719" s="176" t="s">
        <v>150</v>
      </c>
      <c r="P719" s="176" t="s">
        <v>151</v>
      </c>
      <c r="Q719" s="176"/>
      <c r="R719" s="176" t="s">
        <v>5239</v>
      </c>
      <c r="S719" s="176"/>
      <c r="T719" s="176" t="s">
        <v>2802</v>
      </c>
      <c r="U719" s="176" t="s">
        <v>152</v>
      </c>
      <c r="V719" s="176" t="s">
        <v>23</v>
      </c>
    </row>
    <row r="720" spans="2:22" ht="12" customHeight="1">
      <c r="B720" s="211">
        <v>46245</v>
      </c>
      <c r="C720" s="211">
        <v>46245</v>
      </c>
      <c r="D720" s="176" t="s">
        <v>5240</v>
      </c>
      <c r="E720" s="176" t="s">
        <v>5241</v>
      </c>
      <c r="F720" s="176" t="s">
        <v>87</v>
      </c>
      <c r="G720" s="176" t="s">
        <v>2513</v>
      </c>
      <c r="H720" s="176">
        <v>25</v>
      </c>
      <c r="I720" s="176">
        <v>37.799999999999997</v>
      </c>
      <c r="J720" s="176">
        <v>37.799999999999997</v>
      </c>
      <c r="K720" s="176">
        <v>4</v>
      </c>
      <c r="L720" s="176">
        <v>0</v>
      </c>
      <c r="M720" s="176" t="s">
        <v>148</v>
      </c>
      <c r="N720" s="176" t="s">
        <v>149</v>
      </c>
      <c r="O720" s="176" t="s">
        <v>150</v>
      </c>
      <c r="P720" s="176" t="s">
        <v>151</v>
      </c>
      <c r="Q720" s="176"/>
      <c r="R720" s="176" t="s">
        <v>5241</v>
      </c>
      <c r="S720" s="176"/>
      <c r="T720" s="176" t="s">
        <v>2802</v>
      </c>
      <c r="U720" s="176" t="s">
        <v>152</v>
      </c>
      <c r="V720" s="176" t="s">
        <v>23</v>
      </c>
    </row>
    <row r="721" spans="2:22" ht="12" customHeight="1">
      <c r="B721" s="211">
        <v>46245</v>
      </c>
      <c r="C721" s="211">
        <v>46245</v>
      </c>
      <c r="D721" s="176" t="s">
        <v>5242</v>
      </c>
      <c r="E721" s="176" t="s">
        <v>5243</v>
      </c>
      <c r="F721" s="176" t="s">
        <v>87</v>
      </c>
      <c r="G721" s="176" t="s">
        <v>1678</v>
      </c>
      <c r="H721" s="176">
        <v>30</v>
      </c>
      <c r="I721" s="176">
        <v>24.4</v>
      </c>
      <c r="J721" s="176">
        <v>24.4</v>
      </c>
      <c r="K721" s="176">
        <v>4</v>
      </c>
      <c r="L721" s="176">
        <v>0</v>
      </c>
      <c r="M721" s="176" t="s">
        <v>148</v>
      </c>
      <c r="N721" s="176" t="s">
        <v>149</v>
      </c>
      <c r="O721" s="176" t="s">
        <v>150</v>
      </c>
      <c r="P721" s="176" t="s">
        <v>151</v>
      </c>
      <c r="Q721" s="176"/>
      <c r="R721" s="176" t="s">
        <v>5243</v>
      </c>
      <c r="S721" s="176"/>
      <c r="T721" s="176" t="s">
        <v>2802</v>
      </c>
      <c r="U721" s="176" t="s">
        <v>152</v>
      </c>
      <c r="V721" s="176" t="s">
        <v>23</v>
      </c>
    </row>
    <row r="722" spans="2:22" ht="12" customHeight="1">
      <c r="B722" s="211">
        <v>46245</v>
      </c>
      <c r="C722" s="211">
        <v>46245</v>
      </c>
      <c r="D722" s="176" t="s">
        <v>5244</v>
      </c>
      <c r="E722" s="176" t="s">
        <v>5245</v>
      </c>
      <c r="F722" s="176" t="s">
        <v>87</v>
      </c>
      <c r="G722" s="176" t="s">
        <v>2404</v>
      </c>
      <c r="H722" s="176">
        <v>40</v>
      </c>
      <c r="I722" s="176">
        <v>34.299999999999997</v>
      </c>
      <c r="J722" s="176">
        <v>34.299999999999997</v>
      </c>
      <c r="K722" s="176">
        <v>5</v>
      </c>
      <c r="L722" s="176">
        <v>0</v>
      </c>
      <c r="M722" s="176" t="s">
        <v>148</v>
      </c>
      <c r="N722" s="176" t="s">
        <v>149</v>
      </c>
      <c r="O722" s="176" t="s">
        <v>150</v>
      </c>
      <c r="P722" s="176" t="s">
        <v>151</v>
      </c>
      <c r="Q722" s="176"/>
      <c r="R722" s="176" t="s">
        <v>5245</v>
      </c>
      <c r="S722" s="176"/>
      <c r="T722" s="176" t="s">
        <v>2802</v>
      </c>
      <c r="U722" s="176" t="s">
        <v>152</v>
      </c>
      <c r="V722" s="176" t="s">
        <v>23</v>
      </c>
    </row>
    <row r="723" spans="2:22" ht="12" customHeight="1">
      <c r="B723" s="211">
        <v>46245</v>
      </c>
      <c r="C723" s="211">
        <v>46245</v>
      </c>
      <c r="D723" s="176" t="s">
        <v>5246</v>
      </c>
      <c r="E723" s="176" t="s">
        <v>5247</v>
      </c>
      <c r="F723" s="176" t="s">
        <v>87</v>
      </c>
      <c r="G723" s="176" t="s">
        <v>2334</v>
      </c>
      <c r="H723" s="176">
        <v>40</v>
      </c>
      <c r="I723" s="176">
        <v>19.2</v>
      </c>
      <c r="J723" s="176">
        <v>19.2</v>
      </c>
      <c r="K723" s="176">
        <v>5</v>
      </c>
      <c r="L723" s="176">
        <v>0</v>
      </c>
      <c r="M723" s="176" t="s">
        <v>148</v>
      </c>
      <c r="N723" s="176" t="s">
        <v>149</v>
      </c>
      <c r="O723" s="176" t="s">
        <v>150</v>
      </c>
      <c r="P723" s="176" t="s">
        <v>151</v>
      </c>
      <c r="Q723" s="176"/>
      <c r="R723" s="176" t="s">
        <v>5247</v>
      </c>
      <c r="S723" s="176"/>
      <c r="T723" s="176" t="s">
        <v>2802</v>
      </c>
      <c r="U723" s="176" t="s">
        <v>152</v>
      </c>
      <c r="V723" s="176" t="s">
        <v>23</v>
      </c>
    </row>
    <row r="724" spans="2:22" ht="12" customHeight="1">
      <c r="B724" s="211">
        <v>46245</v>
      </c>
      <c r="C724" s="211">
        <v>46245</v>
      </c>
      <c r="D724" s="176" t="s">
        <v>5248</v>
      </c>
      <c r="E724" s="176" t="s">
        <v>5249</v>
      </c>
      <c r="F724" s="176" t="s">
        <v>87</v>
      </c>
      <c r="G724" s="176" t="s">
        <v>1678</v>
      </c>
      <c r="H724" s="176">
        <v>30</v>
      </c>
      <c r="I724" s="176">
        <v>38.299999999999997</v>
      </c>
      <c r="J724" s="176">
        <v>38.299999999999997</v>
      </c>
      <c r="K724" s="176">
        <v>4</v>
      </c>
      <c r="L724" s="176">
        <v>0</v>
      </c>
      <c r="M724" s="176" t="s">
        <v>148</v>
      </c>
      <c r="N724" s="176" t="s">
        <v>149</v>
      </c>
      <c r="O724" s="176" t="s">
        <v>150</v>
      </c>
      <c r="P724" s="176" t="s">
        <v>151</v>
      </c>
      <c r="Q724" s="176"/>
      <c r="R724" s="176" t="s">
        <v>5249</v>
      </c>
      <c r="S724" s="176"/>
      <c r="T724" s="176" t="s">
        <v>2802</v>
      </c>
      <c r="U724" s="176" t="s">
        <v>152</v>
      </c>
      <c r="V724" s="176" t="s">
        <v>23</v>
      </c>
    </row>
    <row r="725" spans="2:22" ht="12" customHeight="1">
      <c r="B725" s="211">
        <v>46245</v>
      </c>
      <c r="C725" s="211">
        <v>46245</v>
      </c>
      <c r="D725" s="176" t="s">
        <v>5250</v>
      </c>
      <c r="E725" s="176" t="s">
        <v>5251</v>
      </c>
      <c r="F725" s="176" t="s">
        <v>87</v>
      </c>
      <c r="G725" s="176" t="s">
        <v>1678</v>
      </c>
      <c r="H725" s="176">
        <v>30</v>
      </c>
      <c r="I725" s="176">
        <v>33.799999999999997</v>
      </c>
      <c r="J725" s="176">
        <v>33.799999999999997</v>
      </c>
      <c r="K725" s="176">
        <v>4</v>
      </c>
      <c r="L725" s="176">
        <v>0</v>
      </c>
      <c r="M725" s="176" t="s">
        <v>148</v>
      </c>
      <c r="N725" s="176" t="s">
        <v>149</v>
      </c>
      <c r="O725" s="176" t="s">
        <v>150</v>
      </c>
      <c r="P725" s="176" t="s">
        <v>151</v>
      </c>
      <c r="Q725" s="176"/>
      <c r="R725" s="176" t="s">
        <v>5251</v>
      </c>
      <c r="S725" s="176"/>
      <c r="T725" s="176" t="s">
        <v>2802</v>
      </c>
      <c r="U725" s="176" t="s">
        <v>152</v>
      </c>
      <c r="V725" s="176" t="s">
        <v>23</v>
      </c>
    </row>
    <row r="726" spans="2:22" ht="12" customHeight="1">
      <c r="B726" s="211">
        <v>46245</v>
      </c>
      <c r="C726" s="211">
        <v>46245</v>
      </c>
      <c r="D726" s="176" t="s">
        <v>5252</v>
      </c>
      <c r="E726" s="176" t="s">
        <v>5253</v>
      </c>
      <c r="F726" s="176" t="s">
        <v>87</v>
      </c>
      <c r="G726" s="176" t="s">
        <v>1678</v>
      </c>
      <c r="H726" s="176">
        <v>30</v>
      </c>
      <c r="I726" s="176">
        <v>30.6</v>
      </c>
      <c r="J726" s="176">
        <v>30.6</v>
      </c>
      <c r="K726" s="176">
        <v>4</v>
      </c>
      <c r="L726" s="176">
        <v>0</v>
      </c>
      <c r="M726" s="176" t="s">
        <v>148</v>
      </c>
      <c r="N726" s="176" t="s">
        <v>149</v>
      </c>
      <c r="O726" s="176" t="s">
        <v>150</v>
      </c>
      <c r="P726" s="176" t="s">
        <v>151</v>
      </c>
      <c r="Q726" s="176"/>
      <c r="R726" s="176" t="s">
        <v>5253</v>
      </c>
      <c r="S726" s="176"/>
      <c r="T726" s="176" t="s">
        <v>2802</v>
      </c>
      <c r="U726" s="176" t="s">
        <v>152</v>
      </c>
      <c r="V726" s="176" t="s">
        <v>23</v>
      </c>
    </row>
    <row r="727" spans="2:22" ht="12" customHeight="1">
      <c r="B727" s="211">
        <v>46245</v>
      </c>
      <c r="C727" s="211">
        <v>46245</v>
      </c>
      <c r="D727" s="176" t="s">
        <v>5254</v>
      </c>
      <c r="E727" s="176" t="s">
        <v>5255</v>
      </c>
      <c r="F727" s="176" t="s">
        <v>87</v>
      </c>
      <c r="G727" s="176" t="s">
        <v>2334</v>
      </c>
      <c r="H727" s="176">
        <v>40</v>
      </c>
      <c r="I727" s="176">
        <v>33.5</v>
      </c>
      <c r="J727" s="176">
        <v>33.5</v>
      </c>
      <c r="K727" s="176">
        <v>5</v>
      </c>
      <c r="L727" s="176">
        <v>0</v>
      </c>
      <c r="M727" s="176" t="s">
        <v>148</v>
      </c>
      <c r="N727" s="176" t="s">
        <v>149</v>
      </c>
      <c r="O727" s="176" t="s">
        <v>150</v>
      </c>
      <c r="P727" s="176" t="s">
        <v>151</v>
      </c>
      <c r="Q727" s="176"/>
      <c r="R727" s="176" t="s">
        <v>5255</v>
      </c>
      <c r="S727" s="176"/>
      <c r="T727" s="176" t="s">
        <v>2802</v>
      </c>
      <c r="U727" s="176" t="s">
        <v>152</v>
      </c>
      <c r="V727" s="176" t="s">
        <v>23</v>
      </c>
    </row>
    <row r="728" spans="2:22" ht="12" customHeight="1">
      <c r="B728" s="211">
        <v>46245</v>
      </c>
      <c r="C728" s="211">
        <v>46245</v>
      </c>
      <c r="D728" s="176" t="s">
        <v>5256</v>
      </c>
      <c r="E728" s="176" t="s">
        <v>5257</v>
      </c>
      <c r="F728" s="176" t="s">
        <v>87</v>
      </c>
      <c r="G728" s="176" t="s">
        <v>1966</v>
      </c>
      <c r="H728" s="176">
        <v>6</v>
      </c>
      <c r="I728" s="176">
        <v>20.3</v>
      </c>
      <c r="J728" s="176">
        <v>20.3</v>
      </c>
      <c r="K728" s="176">
        <v>1.5</v>
      </c>
      <c r="L728" s="176">
        <v>0</v>
      </c>
      <c r="M728" s="176" t="s">
        <v>148</v>
      </c>
      <c r="N728" s="176" t="s">
        <v>149</v>
      </c>
      <c r="O728" s="176" t="s">
        <v>150</v>
      </c>
      <c r="P728" s="176" t="s">
        <v>151</v>
      </c>
      <c r="Q728" s="176"/>
      <c r="R728" s="176" t="s">
        <v>5257</v>
      </c>
      <c r="S728" s="176"/>
      <c r="T728" s="176" t="s">
        <v>2802</v>
      </c>
      <c r="U728" s="176" t="s">
        <v>152</v>
      </c>
      <c r="V728" s="176" t="s">
        <v>23</v>
      </c>
    </row>
    <row r="729" spans="2:22" ht="12" customHeight="1">
      <c r="B729" s="211">
        <v>46245</v>
      </c>
      <c r="C729" s="211">
        <v>46245</v>
      </c>
      <c r="D729" s="176" t="s">
        <v>5258</v>
      </c>
      <c r="E729" s="176" t="s">
        <v>5259</v>
      </c>
      <c r="F729" s="176" t="s">
        <v>87</v>
      </c>
      <c r="G729" s="176" t="s">
        <v>1966</v>
      </c>
      <c r="H729" s="176">
        <v>6</v>
      </c>
      <c r="I729" s="176">
        <v>32.799999999999997</v>
      </c>
      <c r="J729" s="176">
        <v>32.799999999999997</v>
      </c>
      <c r="K729" s="176">
        <v>1.5</v>
      </c>
      <c r="L729" s="176">
        <v>0</v>
      </c>
      <c r="M729" s="176" t="s">
        <v>148</v>
      </c>
      <c r="N729" s="176" t="s">
        <v>149</v>
      </c>
      <c r="O729" s="176" t="s">
        <v>150</v>
      </c>
      <c r="P729" s="176" t="s">
        <v>151</v>
      </c>
      <c r="Q729" s="176"/>
      <c r="R729" s="176" t="s">
        <v>5259</v>
      </c>
      <c r="S729" s="176"/>
      <c r="T729" s="176" t="s">
        <v>2802</v>
      </c>
      <c r="U729" s="176" t="s">
        <v>152</v>
      </c>
      <c r="V729" s="176" t="s">
        <v>23</v>
      </c>
    </row>
    <row r="730" spans="2:22" ht="12" customHeight="1">
      <c r="B730" s="211">
        <v>46246</v>
      </c>
      <c r="C730" s="211">
        <v>46246</v>
      </c>
      <c r="D730" s="176" t="s">
        <v>5260</v>
      </c>
      <c r="E730" s="176" t="s">
        <v>5261</v>
      </c>
      <c r="F730" s="176" t="s">
        <v>87</v>
      </c>
      <c r="G730" s="176" t="s">
        <v>5097</v>
      </c>
      <c r="H730" s="176">
        <v>25</v>
      </c>
      <c r="I730" s="176">
        <v>14.2</v>
      </c>
      <c r="J730" s="176">
        <v>14.2</v>
      </c>
      <c r="K730" s="176">
        <v>4</v>
      </c>
      <c r="L730" s="176">
        <v>0</v>
      </c>
      <c r="M730" s="176" t="s">
        <v>148</v>
      </c>
      <c r="N730" s="176" t="s">
        <v>149</v>
      </c>
      <c r="O730" s="176" t="s">
        <v>150</v>
      </c>
      <c r="P730" s="176" t="s">
        <v>151</v>
      </c>
      <c r="Q730" s="176"/>
      <c r="R730" s="176" t="s">
        <v>5261</v>
      </c>
      <c r="S730" s="176"/>
      <c r="T730" s="176" t="s">
        <v>2824</v>
      </c>
      <c r="U730" s="176" t="s">
        <v>152</v>
      </c>
      <c r="V730" s="176" t="s">
        <v>23</v>
      </c>
    </row>
    <row r="731" spans="2:22" ht="12" customHeight="1">
      <c r="B731" s="211">
        <v>46246</v>
      </c>
      <c r="C731" s="211">
        <v>46246</v>
      </c>
      <c r="D731" s="176" t="s">
        <v>5262</v>
      </c>
      <c r="E731" s="176" t="s">
        <v>5263</v>
      </c>
      <c r="F731" s="176" t="s">
        <v>87</v>
      </c>
      <c r="G731" s="176" t="s">
        <v>5097</v>
      </c>
      <c r="H731" s="176">
        <v>25</v>
      </c>
      <c r="I731" s="176">
        <v>30.7</v>
      </c>
      <c r="J731" s="176">
        <v>30.7</v>
      </c>
      <c r="K731" s="176">
        <v>4</v>
      </c>
      <c r="L731" s="176">
        <v>0</v>
      </c>
      <c r="M731" s="176" t="s">
        <v>148</v>
      </c>
      <c r="N731" s="176" t="s">
        <v>149</v>
      </c>
      <c r="O731" s="176" t="s">
        <v>150</v>
      </c>
      <c r="P731" s="176" t="s">
        <v>151</v>
      </c>
      <c r="Q731" s="176"/>
      <c r="R731" s="176" t="s">
        <v>5263</v>
      </c>
      <c r="S731" s="176"/>
      <c r="T731" s="176" t="s">
        <v>2824</v>
      </c>
      <c r="U731" s="176" t="s">
        <v>152</v>
      </c>
      <c r="V731" s="176" t="s">
        <v>23</v>
      </c>
    </row>
    <row r="732" spans="2:22" ht="12" customHeight="1">
      <c r="B732" s="211">
        <v>46246</v>
      </c>
      <c r="C732" s="211">
        <v>46246</v>
      </c>
      <c r="D732" s="176" t="s">
        <v>5264</v>
      </c>
      <c r="E732" s="176" t="s">
        <v>5265</v>
      </c>
      <c r="F732" s="176" t="s">
        <v>87</v>
      </c>
      <c r="G732" s="176" t="s">
        <v>2357</v>
      </c>
      <c r="H732" s="176">
        <v>40</v>
      </c>
      <c r="I732" s="176">
        <v>36.5</v>
      </c>
      <c r="J732" s="176">
        <v>36.5</v>
      </c>
      <c r="K732" s="176">
        <v>5</v>
      </c>
      <c r="L732" s="176">
        <v>0</v>
      </c>
      <c r="M732" s="176" t="s">
        <v>148</v>
      </c>
      <c r="N732" s="176" t="s">
        <v>149</v>
      </c>
      <c r="O732" s="176" t="s">
        <v>150</v>
      </c>
      <c r="P732" s="176" t="s">
        <v>151</v>
      </c>
      <c r="Q732" s="176"/>
      <c r="R732" s="176" t="s">
        <v>5265</v>
      </c>
      <c r="S732" s="176"/>
      <c r="T732" s="176" t="s">
        <v>2824</v>
      </c>
      <c r="U732" s="176" t="s">
        <v>152</v>
      </c>
      <c r="V732" s="176" t="s">
        <v>23</v>
      </c>
    </row>
    <row r="733" spans="2:22" ht="12" customHeight="1">
      <c r="B733" s="211">
        <v>46246</v>
      </c>
      <c r="C733" s="211">
        <v>46246</v>
      </c>
      <c r="D733" s="176" t="s">
        <v>5266</v>
      </c>
      <c r="E733" s="176" t="s">
        <v>5267</v>
      </c>
      <c r="F733" s="176" t="s">
        <v>87</v>
      </c>
      <c r="G733" s="176" t="s">
        <v>2357</v>
      </c>
      <c r="H733" s="176">
        <v>40</v>
      </c>
      <c r="I733" s="176">
        <v>32.200000000000003</v>
      </c>
      <c r="J733" s="176">
        <v>32.200000000000003</v>
      </c>
      <c r="K733" s="176">
        <v>5</v>
      </c>
      <c r="L733" s="176">
        <v>0</v>
      </c>
      <c r="M733" s="176" t="s">
        <v>148</v>
      </c>
      <c r="N733" s="176" t="s">
        <v>149</v>
      </c>
      <c r="O733" s="176" t="s">
        <v>150</v>
      </c>
      <c r="P733" s="176" t="s">
        <v>151</v>
      </c>
      <c r="Q733" s="176"/>
      <c r="R733" s="176" t="s">
        <v>5267</v>
      </c>
      <c r="S733" s="176"/>
      <c r="T733" s="176" t="s">
        <v>2824</v>
      </c>
      <c r="U733" s="176" t="s">
        <v>152</v>
      </c>
      <c r="V733" s="176" t="s">
        <v>23</v>
      </c>
    </row>
    <row r="734" spans="2:22" ht="12" customHeight="1">
      <c r="B734" s="211">
        <v>46246</v>
      </c>
      <c r="C734" s="211">
        <v>46246</v>
      </c>
      <c r="D734" s="176" t="s">
        <v>5268</v>
      </c>
      <c r="E734" s="176" t="s">
        <v>5269</v>
      </c>
      <c r="F734" s="176" t="s">
        <v>87</v>
      </c>
      <c r="G734" s="176" t="s">
        <v>2078</v>
      </c>
      <c r="H734" s="176">
        <v>6</v>
      </c>
      <c r="I734" s="176">
        <v>29.8</v>
      </c>
      <c r="J734" s="176">
        <v>29.8</v>
      </c>
      <c r="K734" s="176">
        <v>1.5</v>
      </c>
      <c r="L734" s="176">
        <v>0</v>
      </c>
      <c r="M734" s="176" t="s">
        <v>148</v>
      </c>
      <c r="N734" s="176" t="s">
        <v>149</v>
      </c>
      <c r="O734" s="176" t="s">
        <v>150</v>
      </c>
      <c r="P734" s="176" t="s">
        <v>151</v>
      </c>
      <c r="Q734" s="176"/>
      <c r="R734" s="176" t="s">
        <v>5269</v>
      </c>
      <c r="S734" s="176"/>
      <c r="T734" s="176" t="s">
        <v>2824</v>
      </c>
      <c r="U734" s="176" t="s">
        <v>152</v>
      </c>
      <c r="V734" s="176" t="s">
        <v>23</v>
      </c>
    </row>
    <row r="735" spans="2:22" ht="12" customHeight="1">
      <c r="B735" s="211">
        <v>46246</v>
      </c>
      <c r="C735" s="211">
        <v>46246</v>
      </c>
      <c r="D735" s="176" t="s">
        <v>5270</v>
      </c>
      <c r="E735" s="176" t="s">
        <v>5271</v>
      </c>
      <c r="F735" s="176" t="s">
        <v>87</v>
      </c>
      <c r="G735" s="176" t="s">
        <v>2334</v>
      </c>
      <c r="H735" s="176">
        <v>40</v>
      </c>
      <c r="I735" s="176">
        <v>24.3</v>
      </c>
      <c r="J735" s="176">
        <v>24.3</v>
      </c>
      <c r="K735" s="176">
        <v>5</v>
      </c>
      <c r="L735" s="176">
        <v>0</v>
      </c>
      <c r="M735" s="176" t="s">
        <v>148</v>
      </c>
      <c r="N735" s="176" t="s">
        <v>149</v>
      </c>
      <c r="O735" s="176" t="s">
        <v>150</v>
      </c>
      <c r="P735" s="176" t="s">
        <v>151</v>
      </c>
      <c r="Q735" s="176"/>
      <c r="R735" s="176" t="s">
        <v>5271</v>
      </c>
      <c r="S735" s="176"/>
      <c r="T735" s="176" t="s">
        <v>2824</v>
      </c>
      <c r="U735" s="176" t="s">
        <v>152</v>
      </c>
      <c r="V735" s="176" t="s">
        <v>23</v>
      </c>
    </row>
    <row r="736" spans="2:22" ht="12" customHeight="1">
      <c r="B736" s="211">
        <v>46246</v>
      </c>
      <c r="C736" s="211">
        <v>46246</v>
      </c>
      <c r="D736" s="176" t="s">
        <v>5272</v>
      </c>
      <c r="E736" s="176" t="s">
        <v>5273</v>
      </c>
      <c r="F736" s="176" t="s">
        <v>87</v>
      </c>
      <c r="G736" s="176" t="s">
        <v>5097</v>
      </c>
      <c r="H736" s="176">
        <v>25</v>
      </c>
      <c r="I736" s="176">
        <v>30.5</v>
      </c>
      <c r="J736" s="176">
        <v>30.5</v>
      </c>
      <c r="K736" s="176">
        <v>4</v>
      </c>
      <c r="L736" s="176">
        <v>0</v>
      </c>
      <c r="M736" s="176" t="s">
        <v>148</v>
      </c>
      <c r="N736" s="176" t="s">
        <v>149</v>
      </c>
      <c r="O736" s="176" t="s">
        <v>150</v>
      </c>
      <c r="P736" s="176" t="s">
        <v>151</v>
      </c>
      <c r="Q736" s="176"/>
      <c r="R736" s="176" t="s">
        <v>5273</v>
      </c>
      <c r="S736" s="176"/>
      <c r="T736" s="176" t="s">
        <v>2824</v>
      </c>
      <c r="U736" s="176" t="s">
        <v>152</v>
      </c>
      <c r="V736" s="176" t="s">
        <v>23</v>
      </c>
    </row>
    <row r="737" spans="2:22" ht="12" customHeight="1">
      <c r="B737" s="211">
        <v>46246</v>
      </c>
      <c r="C737" s="211">
        <v>46246</v>
      </c>
      <c r="D737" s="176" t="s">
        <v>5274</v>
      </c>
      <c r="E737" s="176" t="s">
        <v>5275</v>
      </c>
      <c r="F737" s="176" t="s">
        <v>87</v>
      </c>
      <c r="G737" s="176" t="s">
        <v>1678</v>
      </c>
      <c r="H737" s="176">
        <v>30</v>
      </c>
      <c r="I737" s="176">
        <v>29.8</v>
      </c>
      <c r="J737" s="176">
        <v>29.8</v>
      </c>
      <c r="K737" s="176">
        <v>4</v>
      </c>
      <c r="L737" s="176">
        <v>0</v>
      </c>
      <c r="M737" s="176" t="s">
        <v>148</v>
      </c>
      <c r="N737" s="176" t="s">
        <v>149</v>
      </c>
      <c r="O737" s="176" t="s">
        <v>150</v>
      </c>
      <c r="P737" s="176" t="s">
        <v>151</v>
      </c>
      <c r="Q737" s="176"/>
      <c r="R737" s="176" t="s">
        <v>5275</v>
      </c>
      <c r="S737" s="176"/>
      <c r="T737" s="176" t="s">
        <v>2824</v>
      </c>
      <c r="U737" s="176" t="s">
        <v>152</v>
      </c>
      <c r="V737" s="176" t="s">
        <v>23</v>
      </c>
    </row>
    <row r="738" spans="2:22" ht="12" customHeight="1">
      <c r="B738" s="211">
        <v>46246</v>
      </c>
      <c r="C738" s="211">
        <v>46246</v>
      </c>
      <c r="D738" s="176" t="s">
        <v>5276</v>
      </c>
      <c r="E738" s="176" t="s">
        <v>5277</v>
      </c>
      <c r="F738" s="176" t="s">
        <v>87</v>
      </c>
      <c r="G738" s="176" t="s">
        <v>2404</v>
      </c>
      <c r="H738" s="176">
        <v>40</v>
      </c>
      <c r="I738" s="176">
        <v>43.8</v>
      </c>
      <c r="J738" s="176">
        <v>43.8</v>
      </c>
      <c r="K738" s="176">
        <v>5</v>
      </c>
      <c r="L738" s="176">
        <v>0</v>
      </c>
      <c r="M738" s="176" t="s">
        <v>148</v>
      </c>
      <c r="N738" s="176" t="s">
        <v>149</v>
      </c>
      <c r="O738" s="176" t="s">
        <v>150</v>
      </c>
      <c r="P738" s="176" t="s">
        <v>151</v>
      </c>
      <c r="Q738" s="176"/>
      <c r="R738" s="176" t="s">
        <v>5277</v>
      </c>
      <c r="S738" s="176"/>
      <c r="T738" s="176" t="s">
        <v>2824</v>
      </c>
      <c r="U738" s="176" t="s">
        <v>152</v>
      </c>
      <c r="V738" s="176" t="s">
        <v>23</v>
      </c>
    </row>
    <row r="739" spans="2:22" ht="12" customHeight="1">
      <c r="B739" s="211">
        <v>46246</v>
      </c>
      <c r="C739" s="211">
        <v>46246</v>
      </c>
      <c r="D739" s="176" t="s">
        <v>5278</v>
      </c>
      <c r="E739" s="176" t="s">
        <v>5279</v>
      </c>
      <c r="F739" s="176" t="s">
        <v>87</v>
      </c>
      <c r="G739" s="176" t="s">
        <v>2404</v>
      </c>
      <c r="H739" s="176">
        <v>40</v>
      </c>
      <c r="I739" s="176">
        <v>25.2</v>
      </c>
      <c r="J739" s="176">
        <v>25.2</v>
      </c>
      <c r="K739" s="176">
        <v>5</v>
      </c>
      <c r="L739" s="176">
        <v>0</v>
      </c>
      <c r="M739" s="176" t="s">
        <v>148</v>
      </c>
      <c r="N739" s="176" t="s">
        <v>149</v>
      </c>
      <c r="O739" s="176" t="s">
        <v>150</v>
      </c>
      <c r="P739" s="176" t="s">
        <v>151</v>
      </c>
      <c r="Q739" s="176"/>
      <c r="R739" s="176" t="s">
        <v>5279</v>
      </c>
      <c r="S739" s="176"/>
      <c r="T739" s="176" t="s">
        <v>2824</v>
      </c>
      <c r="U739" s="176" t="s">
        <v>152</v>
      </c>
      <c r="V739" s="176" t="s">
        <v>23</v>
      </c>
    </row>
    <row r="740" spans="2:22" ht="12" customHeight="1">
      <c r="B740" s="211">
        <v>46246</v>
      </c>
      <c r="C740" s="211">
        <v>46246</v>
      </c>
      <c r="D740" s="176" t="s">
        <v>5280</v>
      </c>
      <c r="E740" s="176" t="s">
        <v>5281</v>
      </c>
      <c r="F740" s="176" t="s">
        <v>87</v>
      </c>
      <c r="G740" s="176" t="s">
        <v>2357</v>
      </c>
      <c r="H740" s="176">
        <v>40</v>
      </c>
      <c r="I740" s="176">
        <v>39.4</v>
      </c>
      <c r="J740" s="176">
        <v>39.4</v>
      </c>
      <c r="K740" s="176">
        <v>5</v>
      </c>
      <c r="L740" s="176">
        <v>0</v>
      </c>
      <c r="M740" s="176" t="s">
        <v>148</v>
      </c>
      <c r="N740" s="176" t="s">
        <v>149</v>
      </c>
      <c r="O740" s="176" t="s">
        <v>150</v>
      </c>
      <c r="P740" s="176" t="s">
        <v>151</v>
      </c>
      <c r="Q740" s="176"/>
      <c r="R740" s="176" t="s">
        <v>5281</v>
      </c>
      <c r="S740" s="176"/>
      <c r="T740" s="176" t="s">
        <v>2824</v>
      </c>
      <c r="U740" s="176" t="s">
        <v>152</v>
      </c>
      <c r="V740" s="176" t="s">
        <v>23</v>
      </c>
    </row>
    <row r="741" spans="2:22" ht="12" customHeight="1">
      <c r="B741" s="211">
        <v>46246</v>
      </c>
      <c r="C741" s="211">
        <v>46246</v>
      </c>
      <c r="D741" s="176" t="s">
        <v>5282</v>
      </c>
      <c r="E741" s="176" t="s">
        <v>5283</v>
      </c>
      <c r="F741" s="176" t="s">
        <v>87</v>
      </c>
      <c r="G741" s="176" t="s">
        <v>2357</v>
      </c>
      <c r="H741" s="176">
        <v>40</v>
      </c>
      <c r="I741" s="176">
        <v>22.5</v>
      </c>
      <c r="J741" s="176">
        <v>22.5</v>
      </c>
      <c r="K741" s="176">
        <v>5</v>
      </c>
      <c r="L741" s="176">
        <v>0</v>
      </c>
      <c r="M741" s="176" t="s">
        <v>148</v>
      </c>
      <c r="N741" s="176" t="s">
        <v>149</v>
      </c>
      <c r="O741" s="176" t="s">
        <v>150</v>
      </c>
      <c r="P741" s="176" t="s">
        <v>151</v>
      </c>
      <c r="Q741" s="176"/>
      <c r="R741" s="176" t="s">
        <v>5283</v>
      </c>
      <c r="S741" s="176"/>
      <c r="T741" s="176" t="s">
        <v>2824</v>
      </c>
      <c r="U741" s="176" t="s">
        <v>152</v>
      </c>
      <c r="V741" s="176" t="s">
        <v>23</v>
      </c>
    </row>
    <row r="742" spans="2:22" ht="12" customHeight="1">
      <c r="B742" s="211">
        <v>46246</v>
      </c>
      <c r="C742" s="211">
        <v>46246</v>
      </c>
      <c r="D742" s="176" t="s">
        <v>5284</v>
      </c>
      <c r="E742" s="176" t="s">
        <v>5285</v>
      </c>
      <c r="F742" s="176" t="s">
        <v>87</v>
      </c>
      <c r="G742" s="176" t="s">
        <v>2512</v>
      </c>
      <c r="H742" s="176">
        <v>40</v>
      </c>
      <c r="I742" s="176">
        <v>35.799999999999997</v>
      </c>
      <c r="J742" s="176">
        <v>35.799999999999997</v>
      </c>
      <c r="K742" s="176">
        <v>5</v>
      </c>
      <c r="L742" s="176">
        <v>0</v>
      </c>
      <c r="M742" s="176" t="s">
        <v>148</v>
      </c>
      <c r="N742" s="176" t="s">
        <v>149</v>
      </c>
      <c r="O742" s="176" t="s">
        <v>150</v>
      </c>
      <c r="P742" s="176" t="s">
        <v>151</v>
      </c>
      <c r="Q742" s="176"/>
      <c r="R742" s="176" t="s">
        <v>5285</v>
      </c>
      <c r="S742" s="176"/>
      <c r="T742" s="176" t="s">
        <v>2824</v>
      </c>
      <c r="U742" s="176" t="s">
        <v>152</v>
      </c>
      <c r="V742" s="176" t="s">
        <v>23</v>
      </c>
    </row>
    <row r="743" spans="2:22" ht="12" customHeight="1">
      <c r="B743" s="211">
        <v>46246</v>
      </c>
      <c r="C743" s="211">
        <v>46246</v>
      </c>
      <c r="D743" s="176" t="s">
        <v>5286</v>
      </c>
      <c r="E743" s="176" t="s">
        <v>5287</v>
      </c>
      <c r="F743" s="176" t="s">
        <v>87</v>
      </c>
      <c r="G743" s="176" t="s">
        <v>5288</v>
      </c>
      <c r="H743" s="176">
        <v>55</v>
      </c>
      <c r="I743" s="176">
        <v>32.799999999999997</v>
      </c>
      <c r="J743" s="176">
        <v>32.799999999999997</v>
      </c>
      <c r="K743" s="176">
        <v>7</v>
      </c>
      <c r="L743" s="176">
        <v>0</v>
      </c>
      <c r="M743" s="176" t="s">
        <v>148</v>
      </c>
      <c r="N743" s="176" t="s">
        <v>149</v>
      </c>
      <c r="O743" s="176" t="s">
        <v>150</v>
      </c>
      <c r="P743" s="176" t="s">
        <v>151</v>
      </c>
      <c r="Q743" s="176"/>
      <c r="R743" s="176" t="s">
        <v>5287</v>
      </c>
      <c r="S743" s="176" t="s">
        <v>61</v>
      </c>
      <c r="T743" s="176" t="s">
        <v>3333</v>
      </c>
      <c r="U743" s="176" t="s">
        <v>152</v>
      </c>
      <c r="V743" s="176" t="s">
        <v>23</v>
      </c>
    </row>
    <row r="744" spans="2:22" ht="12" customHeight="1">
      <c r="B744" s="211">
        <v>46246</v>
      </c>
      <c r="C744" s="211">
        <v>46246</v>
      </c>
      <c r="D744" s="176" t="s">
        <v>5289</v>
      </c>
      <c r="E744" s="176" t="s">
        <v>5290</v>
      </c>
      <c r="F744" s="176" t="s">
        <v>87</v>
      </c>
      <c r="G744" s="176" t="s">
        <v>2334</v>
      </c>
      <c r="H744" s="176">
        <v>40</v>
      </c>
      <c r="I744" s="176">
        <v>36.200000000000003</v>
      </c>
      <c r="J744" s="176">
        <v>36.200000000000003</v>
      </c>
      <c r="K744" s="176">
        <v>5</v>
      </c>
      <c r="L744" s="176">
        <v>0</v>
      </c>
      <c r="M744" s="176" t="s">
        <v>148</v>
      </c>
      <c r="N744" s="176" t="s">
        <v>149</v>
      </c>
      <c r="O744" s="176" t="s">
        <v>150</v>
      </c>
      <c r="P744" s="176" t="s">
        <v>151</v>
      </c>
      <c r="Q744" s="176"/>
      <c r="R744" s="176" t="s">
        <v>5290</v>
      </c>
      <c r="S744" s="176"/>
      <c r="T744" s="176" t="s">
        <v>2824</v>
      </c>
      <c r="U744" s="176" t="s">
        <v>152</v>
      </c>
      <c r="V744" s="176" t="s">
        <v>23</v>
      </c>
    </row>
    <row r="745" spans="2:22" ht="12" customHeight="1">
      <c r="B745" s="211">
        <v>46246</v>
      </c>
      <c r="C745" s="211">
        <v>46246</v>
      </c>
      <c r="D745" s="176" t="s">
        <v>5291</v>
      </c>
      <c r="E745" s="176" t="s">
        <v>5292</v>
      </c>
      <c r="F745" s="176" t="s">
        <v>87</v>
      </c>
      <c r="G745" s="176" t="s">
        <v>1678</v>
      </c>
      <c r="H745" s="176">
        <v>30</v>
      </c>
      <c r="I745" s="176">
        <v>34.799999999999997</v>
      </c>
      <c r="J745" s="176">
        <v>34.799999999999997</v>
      </c>
      <c r="K745" s="176">
        <v>4</v>
      </c>
      <c r="L745" s="176">
        <v>0</v>
      </c>
      <c r="M745" s="176" t="s">
        <v>148</v>
      </c>
      <c r="N745" s="176" t="s">
        <v>149</v>
      </c>
      <c r="O745" s="176" t="s">
        <v>150</v>
      </c>
      <c r="P745" s="176" t="s">
        <v>151</v>
      </c>
      <c r="Q745" s="176"/>
      <c r="R745" s="176" t="s">
        <v>5292</v>
      </c>
      <c r="S745" s="176"/>
      <c r="T745" s="176" t="s">
        <v>2824</v>
      </c>
      <c r="U745" s="176" t="s">
        <v>152</v>
      </c>
      <c r="V745" s="176" t="s">
        <v>23</v>
      </c>
    </row>
    <row r="746" spans="2:22" ht="12" customHeight="1">
      <c r="B746" s="211">
        <v>46246</v>
      </c>
      <c r="C746" s="211">
        <v>46246</v>
      </c>
      <c r="D746" s="176" t="s">
        <v>5293</v>
      </c>
      <c r="E746" s="176" t="s">
        <v>5294</v>
      </c>
      <c r="F746" s="176" t="s">
        <v>87</v>
      </c>
      <c r="G746" s="176" t="s">
        <v>1678</v>
      </c>
      <c r="H746" s="176">
        <v>30</v>
      </c>
      <c r="I746" s="176">
        <v>34.299999999999997</v>
      </c>
      <c r="J746" s="176">
        <v>34.299999999999997</v>
      </c>
      <c r="K746" s="176">
        <v>4</v>
      </c>
      <c r="L746" s="176">
        <v>0</v>
      </c>
      <c r="M746" s="176" t="s">
        <v>148</v>
      </c>
      <c r="N746" s="176" t="s">
        <v>149</v>
      </c>
      <c r="O746" s="176" t="s">
        <v>150</v>
      </c>
      <c r="P746" s="176" t="s">
        <v>151</v>
      </c>
      <c r="Q746" s="176"/>
      <c r="R746" s="176" t="s">
        <v>5294</v>
      </c>
      <c r="S746" s="176"/>
      <c r="T746" s="176" t="s">
        <v>2824</v>
      </c>
      <c r="U746" s="176" t="s">
        <v>152</v>
      </c>
      <c r="V746" s="176" t="s">
        <v>23</v>
      </c>
    </row>
    <row r="747" spans="2:22" ht="12" customHeight="1">
      <c r="B747" s="211">
        <v>46246</v>
      </c>
      <c r="C747" s="211">
        <v>46246</v>
      </c>
      <c r="D747" s="176" t="s">
        <v>5295</v>
      </c>
      <c r="E747" s="176" t="s">
        <v>5296</v>
      </c>
      <c r="F747" s="176" t="s">
        <v>87</v>
      </c>
      <c r="G747" s="176" t="s">
        <v>2404</v>
      </c>
      <c r="H747" s="176">
        <v>40</v>
      </c>
      <c r="I747" s="176">
        <v>34.299999999999997</v>
      </c>
      <c r="J747" s="176">
        <v>34.299999999999997</v>
      </c>
      <c r="K747" s="176">
        <v>5</v>
      </c>
      <c r="L747" s="176">
        <v>0</v>
      </c>
      <c r="M747" s="176" t="s">
        <v>148</v>
      </c>
      <c r="N747" s="176" t="s">
        <v>149</v>
      </c>
      <c r="O747" s="176" t="s">
        <v>150</v>
      </c>
      <c r="P747" s="176" t="s">
        <v>151</v>
      </c>
      <c r="Q747" s="176"/>
      <c r="R747" s="176" t="s">
        <v>5296</v>
      </c>
      <c r="S747" s="176"/>
      <c r="T747" s="176" t="s">
        <v>2824</v>
      </c>
      <c r="U747" s="176" t="s">
        <v>152</v>
      </c>
      <c r="V747" s="176" t="s">
        <v>23</v>
      </c>
    </row>
    <row r="748" spans="2:22" ht="12" customHeight="1">
      <c r="B748" s="211">
        <v>46246</v>
      </c>
      <c r="C748" s="211">
        <v>46246</v>
      </c>
      <c r="D748" s="176" t="s">
        <v>5297</v>
      </c>
      <c r="E748" s="176" t="s">
        <v>5298</v>
      </c>
      <c r="F748" s="176" t="s">
        <v>87</v>
      </c>
      <c r="G748" s="176" t="s">
        <v>2357</v>
      </c>
      <c r="H748" s="176">
        <v>40</v>
      </c>
      <c r="I748" s="176">
        <v>28</v>
      </c>
      <c r="J748" s="176">
        <v>28</v>
      </c>
      <c r="K748" s="176">
        <v>5</v>
      </c>
      <c r="L748" s="176">
        <v>0</v>
      </c>
      <c r="M748" s="176" t="s">
        <v>148</v>
      </c>
      <c r="N748" s="176" t="s">
        <v>149</v>
      </c>
      <c r="O748" s="176" t="s">
        <v>150</v>
      </c>
      <c r="P748" s="176" t="s">
        <v>151</v>
      </c>
      <c r="Q748" s="176"/>
      <c r="R748" s="176" t="s">
        <v>5298</v>
      </c>
      <c r="S748" s="176"/>
      <c r="T748" s="176" t="s">
        <v>2824</v>
      </c>
      <c r="U748" s="176" t="s">
        <v>152</v>
      </c>
      <c r="V748" s="176" t="s">
        <v>23</v>
      </c>
    </row>
    <row r="749" spans="2:22" ht="12" customHeight="1">
      <c r="B749" s="211">
        <v>46246</v>
      </c>
      <c r="C749" s="211">
        <v>46246</v>
      </c>
      <c r="D749" s="176" t="s">
        <v>5299</v>
      </c>
      <c r="E749" s="176" t="s">
        <v>5300</v>
      </c>
      <c r="F749" s="176" t="s">
        <v>87</v>
      </c>
      <c r="G749" s="176" t="s">
        <v>2357</v>
      </c>
      <c r="H749" s="176">
        <v>40</v>
      </c>
      <c r="I749" s="176">
        <v>41.3</v>
      </c>
      <c r="J749" s="176">
        <v>41.3</v>
      </c>
      <c r="K749" s="176">
        <v>5</v>
      </c>
      <c r="L749" s="176">
        <v>0</v>
      </c>
      <c r="M749" s="176" t="s">
        <v>148</v>
      </c>
      <c r="N749" s="176" t="s">
        <v>149</v>
      </c>
      <c r="O749" s="176" t="s">
        <v>150</v>
      </c>
      <c r="P749" s="176" t="s">
        <v>151</v>
      </c>
      <c r="Q749" s="176"/>
      <c r="R749" s="176" t="s">
        <v>5300</v>
      </c>
      <c r="S749" s="176"/>
      <c r="T749" s="176" t="s">
        <v>2824</v>
      </c>
      <c r="U749" s="176" t="s">
        <v>152</v>
      </c>
      <c r="V749" s="176" t="s">
        <v>23</v>
      </c>
    </row>
    <row r="750" spans="2:22" ht="12" customHeight="1">
      <c r="B750" s="211">
        <v>46246</v>
      </c>
      <c r="C750" s="211">
        <v>46246</v>
      </c>
      <c r="D750" s="176" t="s">
        <v>5301</v>
      </c>
      <c r="E750" s="176" t="s">
        <v>5302</v>
      </c>
      <c r="F750" s="176" t="s">
        <v>87</v>
      </c>
      <c r="G750" s="176" t="s">
        <v>2334</v>
      </c>
      <c r="H750" s="176">
        <v>40</v>
      </c>
      <c r="I750" s="176">
        <v>36.5</v>
      </c>
      <c r="J750" s="176">
        <v>36.5</v>
      </c>
      <c r="K750" s="176">
        <v>5</v>
      </c>
      <c r="L750" s="176">
        <v>0</v>
      </c>
      <c r="M750" s="176" t="s">
        <v>148</v>
      </c>
      <c r="N750" s="176" t="s">
        <v>149</v>
      </c>
      <c r="O750" s="176" t="s">
        <v>150</v>
      </c>
      <c r="P750" s="176" t="s">
        <v>151</v>
      </c>
      <c r="Q750" s="176"/>
      <c r="R750" s="176" t="s">
        <v>5302</v>
      </c>
      <c r="S750" s="176"/>
      <c r="T750" s="176" t="s">
        <v>2824</v>
      </c>
      <c r="U750" s="176" t="s">
        <v>152</v>
      </c>
      <c r="V750" s="176" t="s">
        <v>23</v>
      </c>
    </row>
    <row r="751" spans="2:22" ht="12" customHeight="1">
      <c r="B751" s="211">
        <v>46246</v>
      </c>
      <c r="C751" s="211">
        <v>46246</v>
      </c>
      <c r="D751" s="176" t="s">
        <v>5303</v>
      </c>
      <c r="E751" s="176" t="s">
        <v>5304</v>
      </c>
      <c r="F751" s="176" t="s">
        <v>87</v>
      </c>
      <c r="G751" s="176" t="s">
        <v>2334</v>
      </c>
      <c r="H751" s="176">
        <v>40</v>
      </c>
      <c r="I751" s="176">
        <v>31.7</v>
      </c>
      <c r="J751" s="176">
        <v>31.7</v>
      </c>
      <c r="K751" s="176">
        <v>5</v>
      </c>
      <c r="L751" s="176">
        <v>0</v>
      </c>
      <c r="M751" s="176" t="s">
        <v>148</v>
      </c>
      <c r="N751" s="176" t="s">
        <v>149</v>
      </c>
      <c r="O751" s="176" t="s">
        <v>150</v>
      </c>
      <c r="P751" s="176" t="s">
        <v>151</v>
      </c>
      <c r="Q751" s="176"/>
      <c r="R751" s="176" t="s">
        <v>5304</v>
      </c>
      <c r="S751" s="176"/>
      <c r="T751" s="176" t="s">
        <v>2824</v>
      </c>
      <c r="U751" s="176" t="s">
        <v>152</v>
      </c>
      <c r="V751" s="176" t="s">
        <v>23</v>
      </c>
    </row>
    <row r="752" spans="2:22" ht="12" customHeight="1">
      <c r="B752" s="211">
        <v>46246</v>
      </c>
      <c r="C752" s="211">
        <v>46246</v>
      </c>
      <c r="D752" s="176" t="s">
        <v>5305</v>
      </c>
      <c r="E752" s="176" t="s">
        <v>5306</v>
      </c>
      <c r="F752" s="176" t="s">
        <v>87</v>
      </c>
      <c r="G752" s="176" t="s">
        <v>2334</v>
      </c>
      <c r="H752" s="176">
        <v>40</v>
      </c>
      <c r="I752" s="176">
        <v>31.2</v>
      </c>
      <c r="J752" s="176">
        <v>31.2</v>
      </c>
      <c r="K752" s="176">
        <v>5</v>
      </c>
      <c r="L752" s="176">
        <v>0</v>
      </c>
      <c r="M752" s="176" t="s">
        <v>148</v>
      </c>
      <c r="N752" s="176" t="s">
        <v>149</v>
      </c>
      <c r="O752" s="176" t="s">
        <v>150</v>
      </c>
      <c r="P752" s="176" t="s">
        <v>151</v>
      </c>
      <c r="Q752" s="176"/>
      <c r="R752" s="176" t="s">
        <v>5306</v>
      </c>
      <c r="S752" s="176"/>
      <c r="T752" s="176" t="s">
        <v>2824</v>
      </c>
      <c r="U752" s="176" t="s">
        <v>152</v>
      </c>
      <c r="V752" s="176" t="s">
        <v>23</v>
      </c>
    </row>
    <row r="753" spans="2:22" ht="12" customHeight="1">
      <c r="B753" s="211">
        <v>46246</v>
      </c>
      <c r="C753" s="211">
        <v>46246</v>
      </c>
      <c r="D753" s="176" t="s">
        <v>5307</v>
      </c>
      <c r="E753" s="176" t="s">
        <v>5308</v>
      </c>
      <c r="F753" s="176" t="s">
        <v>87</v>
      </c>
      <c r="G753" s="176" t="s">
        <v>2357</v>
      </c>
      <c r="H753" s="176">
        <v>40</v>
      </c>
      <c r="I753" s="176">
        <v>36.200000000000003</v>
      </c>
      <c r="J753" s="176">
        <v>36.200000000000003</v>
      </c>
      <c r="K753" s="176">
        <v>5</v>
      </c>
      <c r="L753" s="176">
        <v>0</v>
      </c>
      <c r="M753" s="176" t="s">
        <v>148</v>
      </c>
      <c r="N753" s="176" t="s">
        <v>149</v>
      </c>
      <c r="O753" s="176" t="s">
        <v>150</v>
      </c>
      <c r="P753" s="176" t="s">
        <v>151</v>
      </c>
      <c r="Q753" s="176"/>
      <c r="R753" s="176" t="s">
        <v>5308</v>
      </c>
      <c r="S753" s="176"/>
      <c r="T753" s="176" t="s">
        <v>2824</v>
      </c>
      <c r="U753" s="176" t="s">
        <v>152</v>
      </c>
      <c r="V753" s="176" t="s">
        <v>23</v>
      </c>
    </row>
    <row r="754" spans="2:22" ht="12" customHeight="1">
      <c r="B754" s="211">
        <v>46246</v>
      </c>
      <c r="C754" s="211">
        <v>46246</v>
      </c>
      <c r="D754" s="176" t="s">
        <v>5309</v>
      </c>
      <c r="E754" s="176" t="s">
        <v>5310</v>
      </c>
      <c r="F754" s="176" t="s">
        <v>87</v>
      </c>
      <c r="G754" s="176" t="s">
        <v>2357</v>
      </c>
      <c r="H754" s="176">
        <v>40</v>
      </c>
      <c r="I754" s="176">
        <v>40.1</v>
      </c>
      <c r="J754" s="176">
        <v>40.1</v>
      </c>
      <c r="K754" s="176">
        <v>5</v>
      </c>
      <c r="L754" s="176">
        <v>0</v>
      </c>
      <c r="M754" s="176" t="s">
        <v>148</v>
      </c>
      <c r="N754" s="176" t="s">
        <v>149</v>
      </c>
      <c r="O754" s="176" t="s">
        <v>150</v>
      </c>
      <c r="P754" s="176" t="s">
        <v>151</v>
      </c>
      <c r="Q754" s="176"/>
      <c r="R754" s="176" t="s">
        <v>5310</v>
      </c>
      <c r="S754" s="176"/>
      <c r="T754" s="176" t="s">
        <v>2824</v>
      </c>
      <c r="U754" s="176" t="s">
        <v>152</v>
      </c>
      <c r="V754" s="176" t="s">
        <v>23</v>
      </c>
    </row>
    <row r="755" spans="2:22" ht="12" customHeight="1">
      <c r="B755" s="211">
        <v>46246</v>
      </c>
      <c r="C755" s="211">
        <v>46246</v>
      </c>
      <c r="D755" s="176" t="s">
        <v>5311</v>
      </c>
      <c r="E755" s="176" t="s">
        <v>5312</v>
      </c>
      <c r="F755" s="176" t="s">
        <v>87</v>
      </c>
      <c r="G755" s="176" t="s">
        <v>2357</v>
      </c>
      <c r="H755" s="176">
        <v>40</v>
      </c>
      <c r="I755" s="176">
        <v>33.799999999999997</v>
      </c>
      <c r="J755" s="176">
        <v>33.799999999999997</v>
      </c>
      <c r="K755" s="176">
        <v>5</v>
      </c>
      <c r="L755" s="176">
        <v>0</v>
      </c>
      <c r="M755" s="176" t="s">
        <v>148</v>
      </c>
      <c r="N755" s="176" t="s">
        <v>149</v>
      </c>
      <c r="O755" s="176" t="s">
        <v>150</v>
      </c>
      <c r="P755" s="176" t="s">
        <v>151</v>
      </c>
      <c r="Q755" s="176"/>
      <c r="R755" s="176" t="s">
        <v>5312</v>
      </c>
      <c r="S755" s="176"/>
      <c r="T755" s="176" t="s">
        <v>2824</v>
      </c>
      <c r="U755" s="176" t="s">
        <v>152</v>
      </c>
      <c r="V755" s="176" t="s">
        <v>23</v>
      </c>
    </row>
    <row r="756" spans="2:22" ht="12" customHeight="1">
      <c r="B756" s="211">
        <v>46246</v>
      </c>
      <c r="C756" s="211">
        <v>46246</v>
      </c>
      <c r="D756" s="176" t="s">
        <v>5313</v>
      </c>
      <c r="E756" s="176" t="s">
        <v>5314</v>
      </c>
      <c r="F756" s="176" t="s">
        <v>87</v>
      </c>
      <c r="G756" s="176" t="s">
        <v>1966</v>
      </c>
      <c r="H756" s="176">
        <v>6</v>
      </c>
      <c r="I756" s="176">
        <v>19.8</v>
      </c>
      <c r="J756" s="176">
        <v>19.8</v>
      </c>
      <c r="K756" s="176">
        <v>1.5</v>
      </c>
      <c r="L756" s="176">
        <v>0</v>
      </c>
      <c r="M756" s="176" t="s">
        <v>148</v>
      </c>
      <c r="N756" s="176" t="s">
        <v>149</v>
      </c>
      <c r="O756" s="176" t="s">
        <v>150</v>
      </c>
      <c r="P756" s="176" t="s">
        <v>151</v>
      </c>
      <c r="Q756" s="176"/>
      <c r="R756" s="176" t="s">
        <v>5314</v>
      </c>
      <c r="S756" s="176"/>
      <c r="T756" s="176" t="s">
        <v>2824</v>
      </c>
      <c r="U756" s="176" t="s">
        <v>152</v>
      </c>
      <c r="V756" s="176" t="s">
        <v>23</v>
      </c>
    </row>
    <row r="757" spans="2:22" ht="12" customHeight="1">
      <c r="B757" s="211">
        <v>46246</v>
      </c>
      <c r="C757" s="211">
        <v>46246</v>
      </c>
      <c r="D757" s="176" t="s">
        <v>5315</v>
      </c>
      <c r="E757" s="176" t="s">
        <v>5316</v>
      </c>
      <c r="F757" s="176" t="s">
        <v>87</v>
      </c>
      <c r="G757" s="176" t="s">
        <v>4512</v>
      </c>
      <c r="H757" s="176">
        <v>55</v>
      </c>
      <c r="I757" s="176">
        <v>35.4</v>
      </c>
      <c r="J757" s="176">
        <v>35.4</v>
      </c>
      <c r="K757" s="176">
        <v>5</v>
      </c>
      <c r="L757" s="176">
        <v>0</v>
      </c>
      <c r="M757" s="176" t="s">
        <v>148</v>
      </c>
      <c r="N757" s="176" t="s">
        <v>149</v>
      </c>
      <c r="O757" s="176" t="s">
        <v>150</v>
      </c>
      <c r="P757" s="176" t="s">
        <v>151</v>
      </c>
      <c r="Q757" s="176"/>
      <c r="R757" s="176" t="s">
        <v>5316</v>
      </c>
      <c r="S757" s="176"/>
      <c r="T757" s="176" t="s">
        <v>2824</v>
      </c>
      <c r="U757" s="176" t="s">
        <v>152</v>
      </c>
      <c r="V757" s="176" t="s">
        <v>23</v>
      </c>
    </row>
    <row r="758" spans="2:22" ht="12" customHeight="1">
      <c r="B758" s="211">
        <v>46246</v>
      </c>
      <c r="C758" s="211">
        <v>46246</v>
      </c>
      <c r="D758" s="176" t="s">
        <v>5317</v>
      </c>
      <c r="E758" s="176" t="s">
        <v>5318</v>
      </c>
      <c r="F758" s="176" t="s">
        <v>87</v>
      </c>
      <c r="G758" s="176" t="s">
        <v>2512</v>
      </c>
      <c r="H758" s="176">
        <v>40</v>
      </c>
      <c r="I758" s="176">
        <v>34.1</v>
      </c>
      <c r="J758" s="176">
        <v>34.1</v>
      </c>
      <c r="K758" s="176">
        <v>5</v>
      </c>
      <c r="L758" s="176">
        <v>0</v>
      </c>
      <c r="M758" s="176" t="s">
        <v>148</v>
      </c>
      <c r="N758" s="176" t="s">
        <v>149</v>
      </c>
      <c r="O758" s="176" t="s">
        <v>150</v>
      </c>
      <c r="P758" s="176" t="s">
        <v>151</v>
      </c>
      <c r="Q758" s="176"/>
      <c r="R758" s="176" t="s">
        <v>5318</v>
      </c>
      <c r="S758" s="176"/>
      <c r="T758" s="176" t="s">
        <v>2824</v>
      </c>
      <c r="U758" s="176" t="s">
        <v>152</v>
      </c>
      <c r="V758" s="176" t="s">
        <v>23</v>
      </c>
    </row>
    <row r="759" spans="2:22" ht="12" customHeight="1">
      <c r="B759" s="211">
        <v>46246</v>
      </c>
      <c r="C759" s="211">
        <v>46246</v>
      </c>
      <c r="D759" s="176" t="s">
        <v>5319</v>
      </c>
      <c r="E759" s="176" t="s">
        <v>5320</v>
      </c>
      <c r="F759" s="176" t="s">
        <v>87</v>
      </c>
      <c r="G759" s="176" t="s">
        <v>2334</v>
      </c>
      <c r="H759" s="176">
        <v>40</v>
      </c>
      <c r="I759" s="176">
        <v>35.799999999999997</v>
      </c>
      <c r="J759" s="176">
        <v>35.799999999999997</v>
      </c>
      <c r="K759" s="176">
        <v>5</v>
      </c>
      <c r="L759" s="176">
        <v>0</v>
      </c>
      <c r="M759" s="176" t="s">
        <v>148</v>
      </c>
      <c r="N759" s="176" t="s">
        <v>149</v>
      </c>
      <c r="O759" s="176" t="s">
        <v>150</v>
      </c>
      <c r="P759" s="176" t="s">
        <v>151</v>
      </c>
      <c r="Q759" s="176"/>
      <c r="R759" s="176" t="s">
        <v>5320</v>
      </c>
      <c r="S759" s="176"/>
      <c r="T759" s="176" t="s">
        <v>2824</v>
      </c>
      <c r="U759" s="176" t="s">
        <v>152</v>
      </c>
      <c r="V759" s="176" t="s">
        <v>23</v>
      </c>
    </row>
    <row r="760" spans="2:22" ht="12" customHeight="1">
      <c r="B760" s="211">
        <v>46246</v>
      </c>
      <c r="C760" s="211">
        <v>46246</v>
      </c>
      <c r="D760" s="176" t="s">
        <v>5321</v>
      </c>
      <c r="E760" s="176" t="s">
        <v>5322</v>
      </c>
      <c r="F760" s="176" t="s">
        <v>87</v>
      </c>
      <c r="G760" s="176" t="s">
        <v>1966</v>
      </c>
      <c r="H760" s="176">
        <v>6</v>
      </c>
      <c r="I760" s="176">
        <v>38.200000000000003</v>
      </c>
      <c r="J760" s="176">
        <v>38.200000000000003</v>
      </c>
      <c r="K760" s="176">
        <v>1.5</v>
      </c>
      <c r="L760" s="176">
        <v>0</v>
      </c>
      <c r="M760" s="176" t="s">
        <v>148</v>
      </c>
      <c r="N760" s="176" t="s">
        <v>149</v>
      </c>
      <c r="O760" s="176" t="s">
        <v>150</v>
      </c>
      <c r="P760" s="176" t="s">
        <v>151</v>
      </c>
      <c r="Q760" s="176"/>
      <c r="R760" s="176" t="s">
        <v>5322</v>
      </c>
      <c r="S760" s="176"/>
      <c r="T760" s="176" t="s">
        <v>2824</v>
      </c>
      <c r="U760" s="176" t="s">
        <v>152</v>
      </c>
      <c r="V760" s="176" t="s">
        <v>23</v>
      </c>
    </row>
    <row r="761" spans="2:22" ht="12" customHeight="1">
      <c r="B761" s="211">
        <v>46246</v>
      </c>
      <c r="C761" s="211">
        <v>46246</v>
      </c>
      <c r="D761" s="176" t="s">
        <v>5323</v>
      </c>
      <c r="E761" s="176" t="s">
        <v>5324</v>
      </c>
      <c r="F761" s="176" t="s">
        <v>87</v>
      </c>
      <c r="G761" s="176" t="s">
        <v>2404</v>
      </c>
      <c r="H761" s="176">
        <v>40</v>
      </c>
      <c r="I761" s="176">
        <v>20.399999999999999</v>
      </c>
      <c r="J761" s="176">
        <v>20.399999999999999</v>
      </c>
      <c r="K761" s="176">
        <v>5</v>
      </c>
      <c r="L761" s="176">
        <v>0</v>
      </c>
      <c r="M761" s="176" t="s">
        <v>148</v>
      </c>
      <c r="N761" s="176" t="s">
        <v>149</v>
      </c>
      <c r="O761" s="176" t="s">
        <v>150</v>
      </c>
      <c r="P761" s="176" t="s">
        <v>151</v>
      </c>
      <c r="Q761" s="176"/>
      <c r="R761" s="176" t="s">
        <v>5324</v>
      </c>
      <c r="S761" s="176"/>
      <c r="T761" s="176" t="s">
        <v>2824</v>
      </c>
      <c r="U761" s="176" t="s">
        <v>152</v>
      </c>
      <c r="V761" s="176" t="s">
        <v>23</v>
      </c>
    </row>
    <row r="762" spans="2:22" ht="12" customHeight="1">
      <c r="B762" s="211">
        <v>46246</v>
      </c>
      <c r="C762" s="211">
        <v>46246</v>
      </c>
      <c r="D762" s="176" t="s">
        <v>5325</v>
      </c>
      <c r="E762" s="176" t="s">
        <v>5326</v>
      </c>
      <c r="F762" s="176" t="s">
        <v>87</v>
      </c>
      <c r="G762" s="176" t="s">
        <v>2357</v>
      </c>
      <c r="H762" s="176">
        <v>40</v>
      </c>
      <c r="I762" s="176">
        <v>31.4</v>
      </c>
      <c r="J762" s="176">
        <v>31.4</v>
      </c>
      <c r="K762" s="176">
        <v>5</v>
      </c>
      <c r="L762" s="176">
        <v>0</v>
      </c>
      <c r="M762" s="176" t="s">
        <v>148</v>
      </c>
      <c r="N762" s="176" t="s">
        <v>149</v>
      </c>
      <c r="O762" s="176" t="s">
        <v>150</v>
      </c>
      <c r="P762" s="176" t="s">
        <v>151</v>
      </c>
      <c r="Q762" s="176"/>
      <c r="R762" s="176" t="s">
        <v>5326</v>
      </c>
      <c r="S762" s="176"/>
      <c r="T762" s="176" t="s">
        <v>2824</v>
      </c>
      <c r="U762" s="176" t="s">
        <v>152</v>
      </c>
      <c r="V762" s="176" t="s">
        <v>23</v>
      </c>
    </row>
    <row r="763" spans="2:22" ht="12" customHeight="1">
      <c r="B763" s="211">
        <v>46246</v>
      </c>
      <c r="C763" s="211">
        <v>46246</v>
      </c>
      <c r="D763" s="176" t="s">
        <v>5327</v>
      </c>
      <c r="E763" s="176" t="s">
        <v>5328</v>
      </c>
      <c r="F763" s="176" t="s">
        <v>87</v>
      </c>
      <c r="G763" s="176" t="s">
        <v>2357</v>
      </c>
      <c r="H763" s="176">
        <v>40</v>
      </c>
      <c r="I763" s="176">
        <v>29.8</v>
      </c>
      <c r="J763" s="176">
        <v>29.8</v>
      </c>
      <c r="K763" s="176">
        <v>5</v>
      </c>
      <c r="L763" s="176">
        <v>0</v>
      </c>
      <c r="M763" s="176" t="s">
        <v>148</v>
      </c>
      <c r="N763" s="176" t="s">
        <v>149</v>
      </c>
      <c r="O763" s="176" t="s">
        <v>150</v>
      </c>
      <c r="P763" s="176" t="s">
        <v>151</v>
      </c>
      <c r="Q763" s="176"/>
      <c r="R763" s="176" t="s">
        <v>5328</v>
      </c>
      <c r="S763" s="176"/>
      <c r="T763" s="176" t="s">
        <v>2824</v>
      </c>
      <c r="U763" s="176" t="s">
        <v>152</v>
      </c>
      <c r="V763" s="176" t="s">
        <v>23</v>
      </c>
    </row>
    <row r="764" spans="2:22" ht="12" customHeight="1">
      <c r="B764" s="211">
        <v>46246</v>
      </c>
      <c r="C764" s="211">
        <v>46246</v>
      </c>
      <c r="D764" s="176" t="s">
        <v>5329</v>
      </c>
      <c r="E764" s="176" t="s">
        <v>5330</v>
      </c>
      <c r="F764" s="176" t="s">
        <v>87</v>
      </c>
      <c r="G764" s="176" t="s">
        <v>2334</v>
      </c>
      <c r="H764" s="176">
        <v>40</v>
      </c>
      <c r="I764" s="176">
        <v>36.4</v>
      </c>
      <c r="J764" s="176">
        <v>36.4</v>
      </c>
      <c r="K764" s="176">
        <v>5</v>
      </c>
      <c r="L764" s="176">
        <v>0</v>
      </c>
      <c r="M764" s="176" t="s">
        <v>148</v>
      </c>
      <c r="N764" s="176" t="s">
        <v>149</v>
      </c>
      <c r="O764" s="176" t="s">
        <v>150</v>
      </c>
      <c r="P764" s="176" t="s">
        <v>151</v>
      </c>
      <c r="Q764" s="176"/>
      <c r="R764" s="176" t="s">
        <v>5330</v>
      </c>
      <c r="S764" s="176"/>
      <c r="T764" s="176" t="s">
        <v>2824</v>
      </c>
      <c r="U764" s="176" t="s">
        <v>152</v>
      </c>
      <c r="V764" s="176" t="s">
        <v>23</v>
      </c>
    </row>
    <row r="765" spans="2:22" ht="12" customHeight="1">
      <c r="B765" s="211">
        <v>46246</v>
      </c>
      <c r="C765" s="211">
        <v>46246</v>
      </c>
      <c r="D765" s="176" t="s">
        <v>5331</v>
      </c>
      <c r="E765" s="176" t="s">
        <v>5332</v>
      </c>
      <c r="F765" s="176" t="s">
        <v>87</v>
      </c>
      <c r="G765" s="176" t="s">
        <v>2404</v>
      </c>
      <c r="H765" s="176">
        <v>40</v>
      </c>
      <c r="I765" s="176">
        <v>37.799999999999997</v>
      </c>
      <c r="J765" s="176">
        <v>37.799999999999997</v>
      </c>
      <c r="K765" s="176">
        <v>5</v>
      </c>
      <c r="L765" s="176">
        <v>0</v>
      </c>
      <c r="M765" s="176" t="s">
        <v>148</v>
      </c>
      <c r="N765" s="176" t="s">
        <v>149</v>
      </c>
      <c r="O765" s="176" t="s">
        <v>150</v>
      </c>
      <c r="P765" s="176" t="s">
        <v>151</v>
      </c>
      <c r="Q765" s="176"/>
      <c r="R765" s="176" t="s">
        <v>5332</v>
      </c>
      <c r="S765" s="176"/>
      <c r="T765" s="176" t="s">
        <v>2824</v>
      </c>
      <c r="U765" s="176" t="s">
        <v>152</v>
      </c>
      <c r="V765" s="176" t="s">
        <v>23</v>
      </c>
    </row>
    <row r="766" spans="2:22" ht="12" customHeight="1">
      <c r="B766" s="211">
        <v>46246</v>
      </c>
      <c r="C766" s="211">
        <v>46246</v>
      </c>
      <c r="D766" s="176" t="s">
        <v>5333</v>
      </c>
      <c r="E766" s="176" t="s">
        <v>5334</v>
      </c>
      <c r="F766" s="176" t="s">
        <v>87</v>
      </c>
      <c r="G766" s="176" t="s">
        <v>5335</v>
      </c>
      <c r="H766" s="176">
        <v>55</v>
      </c>
      <c r="I766" s="176">
        <v>31.4</v>
      </c>
      <c r="J766" s="176">
        <v>31.4</v>
      </c>
      <c r="K766" s="176">
        <v>6.5</v>
      </c>
      <c r="L766" s="176">
        <v>0</v>
      </c>
      <c r="M766" s="176" t="s">
        <v>148</v>
      </c>
      <c r="N766" s="176" t="s">
        <v>149</v>
      </c>
      <c r="O766" s="176" t="s">
        <v>150</v>
      </c>
      <c r="P766" s="176" t="s">
        <v>151</v>
      </c>
      <c r="Q766" s="176"/>
      <c r="R766" s="176" t="s">
        <v>5334</v>
      </c>
      <c r="S766" s="176" t="s">
        <v>61</v>
      </c>
      <c r="T766" s="176" t="s">
        <v>3333</v>
      </c>
      <c r="U766" s="176" t="s">
        <v>152</v>
      </c>
      <c r="V766" s="176" t="s">
        <v>23</v>
      </c>
    </row>
    <row r="767" spans="2:22" ht="12" customHeight="1">
      <c r="B767" s="211">
        <v>46246</v>
      </c>
      <c r="C767" s="211">
        <v>46246</v>
      </c>
      <c r="D767" s="176" t="s">
        <v>5336</v>
      </c>
      <c r="E767" s="176" t="s">
        <v>5337</v>
      </c>
      <c r="F767" s="176" t="s">
        <v>87</v>
      </c>
      <c r="G767" s="176" t="s">
        <v>2357</v>
      </c>
      <c r="H767" s="176">
        <v>40</v>
      </c>
      <c r="I767" s="176">
        <v>38.6</v>
      </c>
      <c r="J767" s="176">
        <v>38.6</v>
      </c>
      <c r="K767" s="176">
        <v>5</v>
      </c>
      <c r="L767" s="176">
        <v>0</v>
      </c>
      <c r="M767" s="176" t="s">
        <v>148</v>
      </c>
      <c r="N767" s="176" t="s">
        <v>149</v>
      </c>
      <c r="O767" s="176" t="s">
        <v>150</v>
      </c>
      <c r="P767" s="176" t="s">
        <v>151</v>
      </c>
      <c r="Q767" s="176"/>
      <c r="R767" s="176" t="s">
        <v>5337</v>
      </c>
      <c r="S767" s="176"/>
      <c r="T767" s="176" t="s">
        <v>2824</v>
      </c>
      <c r="U767" s="176" t="s">
        <v>152</v>
      </c>
      <c r="V767" s="176" t="s">
        <v>23</v>
      </c>
    </row>
    <row r="768" spans="2:22" ht="12" customHeight="1">
      <c r="B768" s="211">
        <v>46246</v>
      </c>
      <c r="C768" s="211">
        <v>46246</v>
      </c>
      <c r="D768" s="176" t="s">
        <v>5338</v>
      </c>
      <c r="E768" s="176" t="s">
        <v>5339</v>
      </c>
      <c r="F768" s="176" t="s">
        <v>87</v>
      </c>
      <c r="G768" s="176" t="s">
        <v>2357</v>
      </c>
      <c r="H768" s="176">
        <v>40</v>
      </c>
      <c r="I768" s="176">
        <v>39.700000000000003</v>
      </c>
      <c r="J768" s="176">
        <v>39.700000000000003</v>
      </c>
      <c r="K768" s="176">
        <v>5</v>
      </c>
      <c r="L768" s="176">
        <v>0</v>
      </c>
      <c r="M768" s="176" t="s">
        <v>148</v>
      </c>
      <c r="N768" s="176" t="s">
        <v>149</v>
      </c>
      <c r="O768" s="176" t="s">
        <v>150</v>
      </c>
      <c r="P768" s="176" t="s">
        <v>151</v>
      </c>
      <c r="Q768" s="176"/>
      <c r="R768" s="176" t="s">
        <v>5339</v>
      </c>
      <c r="S768" s="176"/>
      <c r="T768" s="176" t="s">
        <v>2824</v>
      </c>
      <c r="U768" s="176" t="s">
        <v>152</v>
      </c>
      <c r="V768" s="176" t="s">
        <v>23</v>
      </c>
    </row>
    <row r="769" spans="2:22" ht="12" customHeight="1">
      <c r="B769" s="211">
        <v>46246</v>
      </c>
      <c r="C769" s="211">
        <v>46246</v>
      </c>
      <c r="D769" s="176" t="s">
        <v>5340</v>
      </c>
      <c r="E769" s="176" t="s">
        <v>5341</v>
      </c>
      <c r="F769" s="176" t="s">
        <v>87</v>
      </c>
      <c r="G769" s="176" t="s">
        <v>2357</v>
      </c>
      <c r="H769" s="176">
        <v>40</v>
      </c>
      <c r="I769" s="176">
        <v>30.8</v>
      </c>
      <c r="J769" s="176">
        <v>30.8</v>
      </c>
      <c r="K769" s="176">
        <v>5</v>
      </c>
      <c r="L769" s="176">
        <v>0</v>
      </c>
      <c r="M769" s="176" t="s">
        <v>148</v>
      </c>
      <c r="N769" s="176" t="s">
        <v>149</v>
      </c>
      <c r="O769" s="176" t="s">
        <v>150</v>
      </c>
      <c r="P769" s="176" t="s">
        <v>151</v>
      </c>
      <c r="Q769" s="176"/>
      <c r="R769" s="176" t="s">
        <v>5341</v>
      </c>
      <c r="S769" s="176"/>
      <c r="T769" s="176" t="s">
        <v>2824</v>
      </c>
      <c r="U769" s="176" t="s">
        <v>152</v>
      </c>
      <c r="V769" s="176" t="s">
        <v>23</v>
      </c>
    </row>
    <row r="770" spans="2:22" ht="12" customHeight="1">
      <c r="B770" s="211">
        <v>46246</v>
      </c>
      <c r="C770" s="211">
        <v>46246</v>
      </c>
      <c r="D770" s="176" t="s">
        <v>5342</v>
      </c>
      <c r="E770" s="176" t="s">
        <v>5343</v>
      </c>
      <c r="F770" s="176" t="s">
        <v>87</v>
      </c>
      <c r="G770" s="176" t="s">
        <v>2404</v>
      </c>
      <c r="H770" s="176">
        <v>40</v>
      </c>
      <c r="I770" s="176">
        <v>30.5</v>
      </c>
      <c r="J770" s="176">
        <v>30.5</v>
      </c>
      <c r="K770" s="176">
        <v>5</v>
      </c>
      <c r="L770" s="176">
        <v>0</v>
      </c>
      <c r="M770" s="176" t="s">
        <v>148</v>
      </c>
      <c r="N770" s="176" t="s">
        <v>149</v>
      </c>
      <c r="O770" s="176" t="s">
        <v>150</v>
      </c>
      <c r="P770" s="176" t="s">
        <v>151</v>
      </c>
      <c r="Q770" s="176"/>
      <c r="R770" s="176" t="s">
        <v>5343</v>
      </c>
      <c r="S770" s="176"/>
      <c r="T770" s="176" t="s">
        <v>2824</v>
      </c>
      <c r="U770" s="176" t="s">
        <v>152</v>
      </c>
      <c r="V770" s="176" t="s">
        <v>23</v>
      </c>
    </row>
    <row r="771" spans="2:22" ht="12" customHeight="1">
      <c r="B771" s="211">
        <v>46246</v>
      </c>
      <c r="C771" s="211">
        <v>46246</v>
      </c>
      <c r="D771" s="176" t="s">
        <v>5344</v>
      </c>
      <c r="E771" s="176" t="s">
        <v>5345</v>
      </c>
      <c r="F771" s="176" t="s">
        <v>87</v>
      </c>
      <c r="G771" s="176" t="s">
        <v>2357</v>
      </c>
      <c r="H771" s="176">
        <v>40</v>
      </c>
      <c r="I771" s="176">
        <v>20.7</v>
      </c>
      <c r="J771" s="176">
        <v>20.7</v>
      </c>
      <c r="K771" s="176">
        <v>5</v>
      </c>
      <c r="L771" s="176">
        <v>0</v>
      </c>
      <c r="M771" s="176" t="s">
        <v>148</v>
      </c>
      <c r="N771" s="176" t="s">
        <v>149</v>
      </c>
      <c r="O771" s="176" t="s">
        <v>150</v>
      </c>
      <c r="P771" s="176" t="s">
        <v>151</v>
      </c>
      <c r="Q771" s="176"/>
      <c r="R771" s="176" t="s">
        <v>5345</v>
      </c>
      <c r="S771" s="176"/>
      <c r="T771" s="176" t="s">
        <v>2824</v>
      </c>
      <c r="U771" s="176" t="s">
        <v>152</v>
      </c>
      <c r="V771" s="176" t="s">
        <v>23</v>
      </c>
    </row>
    <row r="772" spans="2:22" ht="12" customHeight="1">
      <c r="B772" s="211">
        <v>46246</v>
      </c>
      <c r="C772" s="211">
        <v>46246</v>
      </c>
      <c r="D772" s="176" t="s">
        <v>5346</v>
      </c>
      <c r="E772" s="176" t="s">
        <v>5347</v>
      </c>
      <c r="F772" s="176" t="s">
        <v>87</v>
      </c>
      <c r="G772" s="176" t="s">
        <v>1678</v>
      </c>
      <c r="H772" s="176">
        <v>30</v>
      </c>
      <c r="I772" s="176">
        <v>29.8</v>
      </c>
      <c r="J772" s="176">
        <v>29.8</v>
      </c>
      <c r="K772" s="176">
        <v>4</v>
      </c>
      <c r="L772" s="176">
        <v>0</v>
      </c>
      <c r="M772" s="176" t="s">
        <v>148</v>
      </c>
      <c r="N772" s="176" t="s">
        <v>149</v>
      </c>
      <c r="O772" s="176" t="s">
        <v>150</v>
      </c>
      <c r="P772" s="176" t="s">
        <v>151</v>
      </c>
      <c r="Q772" s="176"/>
      <c r="R772" s="176" t="s">
        <v>5347</v>
      </c>
      <c r="S772" s="176"/>
      <c r="T772" s="176" t="s">
        <v>2824</v>
      </c>
      <c r="U772" s="176" t="s">
        <v>152</v>
      </c>
      <c r="V772" s="176" t="s">
        <v>23</v>
      </c>
    </row>
    <row r="773" spans="2:22" ht="12" customHeight="1">
      <c r="B773" s="211">
        <v>46246</v>
      </c>
      <c r="C773" s="211">
        <v>46246</v>
      </c>
      <c r="D773" s="176" t="s">
        <v>5348</v>
      </c>
      <c r="E773" s="176" t="s">
        <v>5349</v>
      </c>
      <c r="F773" s="176" t="s">
        <v>87</v>
      </c>
      <c r="G773" s="176" t="s">
        <v>1966</v>
      </c>
      <c r="H773" s="176">
        <v>6</v>
      </c>
      <c r="I773" s="176">
        <v>30.3</v>
      </c>
      <c r="J773" s="176">
        <v>30.3</v>
      </c>
      <c r="K773" s="176">
        <v>1.5</v>
      </c>
      <c r="L773" s="176">
        <v>0</v>
      </c>
      <c r="M773" s="176" t="s">
        <v>148</v>
      </c>
      <c r="N773" s="176" t="s">
        <v>149</v>
      </c>
      <c r="O773" s="176" t="s">
        <v>150</v>
      </c>
      <c r="P773" s="176" t="s">
        <v>151</v>
      </c>
      <c r="Q773" s="176"/>
      <c r="R773" s="176" t="s">
        <v>5349</v>
      </c>
      <c r="S773" s="176"/>
      <c r="T773" s="176" t="s">
        <v>2824</v>
      </c>
      <c r="U773" s="176" t="s">
        <v>152</v>
      </c>
      <c r="V773" s="176" t="s">
        <v>23</v>
      </c>
    </row>
    <row r="774" spans="2:22" ht="12" customHeight="1">
      <c r="B774" s="211">
        <v>46246</v>
      </c>
      <c r="C774" s="211">
        <v>46246</v>
      </c>
      <c r="D774" s="176" t="s">
        <v>5350</v>
      </c>
      <c r="E774" s="176" t="s">
        <v>5351</v>
      </c>
      <c r="F774" s="176" t="s">
        <v>87</v>
      </c>
      <c r="G774" s="176" t="s">
        <v>5288</v>
      </c>
      <c r="H774" s="176">
        <v>55</v>
      </c>
      <c r="I774" s="176">
        <v>32.4</v>
      </c>
      <c r="J774" s="176">
        <v>32.4</v>
      </c>
      <c r="K774" s="176">
        <v>7</v>
      </c>
      <c r="L774" s="176">
        <v>0</v>
      </c>
      <c r="M774" s="176" t="s">
        <v>148</v>
      </c>
      <c r="N774" s="176" t="s">
        <v>149</v>
      </c>
      <c r="O774" s="176" t="s">
        <v>150</v>
      </c>
      <c r="P774" s="176" t="s">
        <v>151</v>
      </c>
      <c r="Q774" s="176"/>
      <c r="R774" s="176" t="s">
        <v>5351</v>
      </c>
      <c r="S774" s="176" t="s">
        <v>61</v>
      </c>
      <c r="T774" s="176" t="s">
        <v>3333</v>
      </c>
      <c r="U774" s="176" t="s">
        <v>152</v>
      </c>
      <c r="V774" s="176" t="s">
        <v>23</v>
      </c>
    </row>
    <row r="775" spans="2:22" ht="12" customHeight="1">
      <c r="B775" s="211">
        <v>46246</v>
      </c>
      <c r="C775" s="211">
        <v>46246</v>
      </c>
      <c r="D775" s="176" t="s">
        <v>5352</v>
      </c>
      <c r="E775" s="176" t="s">
        <v>5353</v>
      </c>
      <c r="F775" s="176" t="s">
        <v>87</v>
      </c>
      <c r="G775" s="176" t="s">
        <v>5354</v>
      </c>
      <c r="H775" s="176">
        <v>40</v>
      </c>
      <c r="I775" s="176">
        <v>24.3</v>
      </c>
      <c r="J775" s="176">
        <v>24.3</v>
      </c>
      <c r="K775" s="176">
        <v>7</v>
      </c>
      <c r="L775" s="176">
        <v>0</v>
      </c>
      <c r="M775" s="176" t="s">
        <v>148</v>
      </c>
      <c r="N775" s="176" t="s">
        <v>149</v>
      </c>
      <c r="O775" s="176" t="s">
        <v>150</v>
      </c>
      <c r="P775" s="176" t="s">
        <v>151</v>
      </c>
      <c r="Q775" s="176"/>
      <c r="R775" s="176" t="s">
        <v>5353</v>
      </c>
      <c r="S775" s="176" t="s">
        <v>61</v>
      </c>
      <c r="T775" s="176" t="s">
        <v>3333</v>
      </c>
      <c r="U775" s="176" t="s">
        <v>152</v>
      </c>
      <c r="V775" s="176" t="s">
        <v>23</v>
      </c>
    </row>
    <row r="776" spans="2:22" ht="12" customHeight="1">
      <c r="B776" s="211">
        <v>46246</v>
      </c>
      <c r="C776" s="211">
        <v>46246</v>
      </c>
      <c r="D776" s="176" t="s">
        <v>5355</v>
      </c>
      <c r="E776" s="176" t="s">
        <v>5356</v>
      </c>
      <c r="F776" s="176" t="s">
        <v>87</v>
      </c>
      <c r="G776" s="176" t="s">
        <v>2357</v>
      </c>
      <c r="H776" s="176">
        <v>40</v>
      </c>
      <c r="I776" s="176">
        <v>39.299999999999997</v>
      </c>
      <c r="J776" s="176">
        <v>39.299999999999997</v>
      </c>
      <c r="K776" s="176">
        <v>5</v>
      </c>
      <c r="L776" s="176">
        <v>0</v>
      </c>
      <c r="M776" s="176" t="s">
        <v>148</v>
      </c>
      <c r="N776" s="176" t="s">
        <v>149</v>
      </c>
      <c r="O776" s="176" t="s">
        <v>150</v>
      </c>
      <c r="P776" s="176" t="s">
        <v>151</v>
      </c>
      <c r="Q776" s="176"/>
      <c r="R776" s="176" t="s">
        <v>5356</v>
      </c>
      <c r="S776" s="176"/>
      <c r="T776" s="176" t="s">
        <v>2824</v>
      </c>
      <c r="U776" s="176" t="s">
        <v>152</v>
      </c>
      <c r="V776" s="176" t="s">
        <v>23</v>
      </c>
    </row>
    <row r="777" spans="2:22" ht="12" customHeight="1">
      <c r="B777" s="211">
        <v>46246</v>
      </c>
      <c r="C777" s="211">
        <v>46246</v>
      </c>
      <c r="D777" s="176" t="s">
        <v>5357</v>
      </c>
      <c r="E777" s="176" t="s">
        <v>5358</v>
      </c>
      <c r="F777" s="176" t="s">
        <v>87</v>
      </c>
      <c r="G777" s="176" t="s">
        <v>2334</v>
      </c>
      <c r="H777" s="176">
        <v>40</v>
      </c>
      <c r="I777" s="176">
        <v>28.3</v>
      </c>
      <c r="J777" s="176">
        <v>28.3</v>
      </c>
      <c r="K777" s="176">
        <v>5</v>
      </c>
      <c r="L777" s="176">
        <v>0</v>
      </c>
      <c r="M777" s="176" t="s">
        <v>148</v>
      </c>
      <c r="N777" s="176" t="s">
        <v>149</v>
      </c>
      <c r="O777" s="176" t="s">
        <v>150</v>
      </c>
      <c r="P777" s="176" t="s">
        <v>151</v>
      </c>
      <c r="Q777" s="176"/>
      <c r="R777" s="176" t="s">
        <v>5358</v>
      </c>
      <c r="S777" s="176"/>
      <c r="T777" s="176" t="s">
        <v>2824</v>
      </c>
      <c r="U777" s="176" t="s">
        <v>152</v>
      </c>
      <c r="V777" s="176" t="s">
        <v>23</v>
      </c>
    </row>
    <row r="778" spans="2:22" ht="12" customHeight="1">
      <c r="B778" s="211">
        <v>46246</v>
      </c>
      <c r="C778" s="211">
        <v>46246</v>
      </c>
      <c r="D778" s="176" t="s">
        <v>5359</v>
      </c>
      <c r="E778" s="176" t="s">
        <v>5360</v>
      </c>
      <c r="F778" s="176" t="s">
        <v>87</v>
      </c>
      <c r="G778" s="176" t="s">
        <v>2334</v>
      </c>
      <c r="H778" s="176">
        <v>40</v>
      </c>
      <c r="I778" s="176">
        <v>39.9</v>
      </c>
      <c r="J778" s="176">
        <v>39.9</v>
      </c>
      <c r="K778" s="176">
        <v>5</v>
      </c>
      <c r="L778" s="176">
        <v>0</v>
      </c>
      <c r="M778" s="176" t="s">
        <v>148</v>
      </c>
      <c r="N778" s="176" t="s">
        <v>149</v>
      </c>
      <c r="O778" s="176" t="s">
        <v>150</v>
      </c>
      <c r="P778" s="176" t="s">
        <v>151</v>
      </c>
      <c r="Q778" s="176"/>
      <c r="R778" s="176" t="s">
        <v>5360</v>
      </c>
      <c r="S778" s="176" t="s">
        <v>61</v>
      </c>
      <c r="T778" s="176" t="s">
        <v>3398</v>
      </c>
      <c r="U778" s="176" t="s">
        <v>152</v>
      </c>
      <c r="V778" s="176" t="s">
        <v>23</v>
      </c>
    </row>
    <row r="779" spans="2:22" ht="12" customHeight="1">
      <c r="B779" s="211">
        <v>46246</v>
      </c>
      <c r="C779" s="211">
        <v>46246</v>
      </c>
      <c r="D779" s="176" t="s">
        <v>5361</v>
      </c>
      <c r="E779" s="176" t="s">
        <v>5362</v>
      </c>
      <c r="F779" s="176" t="s">
        <v>87</v>
      </c>
      <c r="G779" s="176" t="s">
        <v>2357</v>
      </c>
      <c r="H779" s="176">
        <v>40</v>
      </c>
      <c r="I779" s="176">
        <v>30.8</v>
      </c>
      <c r="J779" s="176">
        <v>30.8</v>
      </c>
      <c r="K779" s="176">
        <v>5</v>
      </c>
      <c r="L779" s="176">
        <v>0</v>
      </c>
      <c r="M779" s="176" t="s">
        <v>148</v>
      </c>
      <c r="N779" s="176" t="s">
        <v>149</v>
      </c>
      <c r="O779" s="176" t="s">
        <v>150</v>
      </c>
      <c r="P779" s="176" t="s">
        <v>151</v>
      </c>
      <c r="Q779" s="176"/>
      <c r="R779" s="176" t="s">
        <v>5362</v>
      </c>
      <c r="S779" s="176"/>
      <c r="T779" s="176" t="s">
        <v>2824</v>
      </c>
      <c r="U779" s="176" t="s">
        <v>152</v>
      </c>
      <c r="V779" s="176" t="s">
        <v>23</v>
      </c>
    </row>
    <row r="780" spans="2:22" ht="12" customHeight="1">
      <c r="B780" s="211">
        <v>46246</v>
      </c>
      <c r="C780" s="211">
        <v>46246</v>
      </c>
      <c r="D780" s="176" t="s">
        <v>5363</v>
      </c>
      <c r="E780" s="176" t="s">
        <v>5364</v>
      </c>
      <c r="F780" s="176" t="s">
        <v>87</v>
      </c>
      <c r="G780" s="176" t="s">
        <v>2357</v>
      </c>
      <c r="H780" s="176">
        <v>40</v>
      </c>
      <c r="I780" s="176">
        <v>30.2</v>
      </c>
      <c r="J780" s="176">
        <v>30.2</v>
      </c>
      <c r="K780" s="176">
        <v>5</v>
      </c>
      <c r="L780" s="176">
        <v>0</v>
      </c>
      <c r="M780" s="176" t="s">
        <v>148</v>
      </c>
      <c r="N780" s="176" t="s">
        <v>149</v>
      </c>
      <c r="O780" s="176" t="s">
        <v>150</v>
      </c>
      <c r="P780" s="176" t="s">
        <v>151</v>
      </c>
      <c r="Q780" s="176"/>
      <c r="R780" s="176" t="s">
        <v>5364</v>
      </c>
      <c r="S780" s="176"/>
      <c r="T780" s="176" t="s">
        <v>2824</v>
      </c>
      <c r="U780" s="176" t="s">
        <v>152</v>
      </c>
      <c r="V780" s="176" t="s">
        <v>23</v>
      </c>
    </row>
    <row r="781" spans="2:22" ht="12" customHeight="1">
      <c r="B781" s="211">
        <v>46246</v>
      </c>
      <c r="C781" s="211">
        <v>46246</v>
      </c>
      <c r="D781" s="176" t="s">
        <v>5365</v>
      </c>
      <c r="E781" s="176" t="s">
        <v>5366</v>
      </c>
      <c r="F781" s="176" t="s">
        <v>87</v>
      </c>
      <c r="G781" s="176" t="s">
        <v>2357</v>
      </c>
      <c r="H781" s="176">
        <v>40</v>
      </c>
      <c r="I781" s="176">
        <v>32.799999999999997</v>
      </c>
      <c r="J781" s="176">
        <v>32.799999999999997</v>
      </c>
      <c r="K781" s="176">
        <v>5</v>
      </c>
      <c r="L781" s="176">
        <v>0</v>
      </c>
      <c r="M781" s="176" t="s">
        <v>148</v>
      </c>
      <c r="N781" s="176" t="s">
        <v>149</v>
      </c>
      <c r="O781" s="176" t="s">
        <v>150</v>
      </c>
      <c r="P781" s="176" t="s">
        <v>151</v>
      </c>
      <c r="Q781" s="176"/>
      <c r="R781" s="176" t="s">
        <v>5366</v>
      </c>
      <c r="S781" s="176"/>
      <c r="T781" s="176" t="s">
        <v>2824</v>
      </c>
      <c r="U781" s="176" t="s">
        <v>152</v>
      </c>
      <c r="V781" s="176" t="s">
        <v>23</v>
      </c>
    </row>
    <row r="782" spans="2:22" ht="12" customHeight="1">
      <c r="B782" s="211">
        <v>46246</v>
      </c>
      <c r="C782" s="211">
        <v>46246</v>
      </c>
      <c r="D782" s="176" t="s">
        <v>5367</v>
      </c>
      <c r="E782" s="176" t="s">
        <v>5368</v>
      </c>
      <c r="F782" s="176" t="s">
        <v>87</v>
      </c>
      <c r="G782" s="176" t="s">
        <v>2515</v>
      </c>
      <c r="H782" s="176">
        <v>50</v>
      </c>
      <c r="I782" s="176">
        <v>44.2</v>
      </c>
      <c r="J782" s="176">
        <v>44.2</v>
      </c>
      <c r="K782" s="176">
        <v>5</v>
      </c>
      <c r="L782" s="176">
        <v>0</v>
      </c>
      <c r="M782" s="176" t="s">
        <v>148</v>
      </c>
      <c r="N782" s="176" t="s">
        <v>149</v>
      </c>
      <c r="O782" s="176" t="s">
        <v>150</v>
      </c>
      <c r="P782" s="176" t="s">
        <v>151</v>
      </c>
      <c r="Q782" s="176"/>
      <c r="R782" s="176" t="s">
        <v>5368</v>
      </c>
      <c r="S782" s="176"/>
      <c r="T782" s="176" t="s">
        <v>2824</v>
      </c>
      <c r="U782" s="176" t="s">
        <v>152</v>
      </c>
      <c r="V782" s="176" t="s">
        <v>23</v>
      </c>
    </row>
    <row r="783" spans="2:22" ht="12" customHeight="1">
      <c r="B783" s="211">
        <v>46246</v>
      </c>
      <c r="C783" s="211">
        <v>46246</v>
      </c>
      <c r="D783" s="176" t="s">
        <v>5369</v>
      </c>
      <c r="E783" s="176" t="s">
        <v>5370</v>
      </c>
      <c r="F783" s="176" t="s">
        <v>87</v>
      </c>
      <c r="G783" s="176" t="s">
        <v>2515</v>
      </c>
      <c r="H783" s="176">
        <v>50</v>
      </c>
      <c r="I783" s="176">
        <v>27.8</v>
      </c>
      <c r="J783" s="176">
        <v>27.8</v>
      </c>
      <c r="K783" s="176">
        <v>5</v>
      </c>
      <c r="L783" s="176">
        <v>0</v>
      </c>
      <c r="M783" s="176" t="s">
        <v>148</v>
      </c>
      <c r="N783" s="176" t="s">
        <v>149</v>
      </c>
      <c r="O783" s="176" t="s">
        <v>150</v>
      </c>
      <c r="P783" s="176" t="s">
        <v>151</v>
      </c>
      <c r="Q783" s="176"/>
      <c r="R783" s="176" t="s">
        <v>5370</v>
      </c>
      <c r="S783" s="176"/>
      <c r="T783" s="176" t="s">
        <v>2824</v>
      </c>
      <c r="U783" s="176" t="s">
        <v>152</v>
      </c>
      <c r="V783" s="176" t="s">
        <v>23</v>
      </c>
    </row>
    <row r="784" spans="2:22" ht="12" customHeight="1">
      <c r="B784" s="211">
        <v>46246</v>
      </c>
      <c r="C784" s="211">
        <v>46246</v>
      </c>
      <c r="D784" s="176" t="s">
        <v>5371</v>
      </c>
      <c r="E784" s="176" t="s">
        <v>5372</v>
      </c>
      <c r="F784" s="176" t="s">
        <v>87</v>
      </c>
      <c r="G784" s="176" t="s">
        <v>5335</v>
      </c>
      <c r="H784" s="176">
        <v>55</v>
      </c>
      <c r="I784" s="176">
        <v>32.799999999999997</v>
      </c>
      <c r="J784" s="176">
        <v>32.799999999999997</v>
      </c>
      <c r="K784" s="176">
        <v>6.5</v>
      </c>
      <c r="L784" s="176">
        <v>0</v>
      </c>
      <c r="M784" s="176" t="s">
        <v>148</v>
      </c>
      <c r="N784" s="176" t="s">
        <v>149</v>
      </c>
      <c r="O784" s="176" t="s">
        <v>150</v>
      </c>
      <c r="P784" s="176" t="s">
        <v>151</v>
      </c>
      <c r="Q784" s="176"/>
      <c r="R784" s="176" t="s">
        <v>5372</v>
      </c>
      <c r="S784" s="176" t="s">
        <v>61</v>
      </c>
      <c r="T784" s="176" t="s">
        <v>3333</v>
      </c>
      <c r="U784" s="176" t="s">
        <v>152</v>
      </c>
      <c r="V784" s="176" t="s">
        <v>23</v>
      </c>
    </row>
    <row r="785" spans="2:22" ht="12" customHeight="1">
      <c r="B785" s="211">
        <v>46246</v>
      </c>
      <c r="C785" s="211">
        <v>46246</v>
      </c>
      <c r="D785" s="176" t="s">
        <v>5373</v>
      </c>
      <c r="E785" s="176" t="s">
        <v>5374</v>
      </c>
      <c r="F785" s="176" t="s">
        <v>87</v>
      </c>
      <c r="G785" s="176" t="s">
        <v>2357</v>
      </c>
      <c r="H785" s="176">
        <v>40</v>
      </c>
      <c r="I785" s="176">
        <v>37.799999999999997</v>
      </c>
      <c r="J785" s="176">
        <v>37.799999999999997</v>
      </c>
      <c r="K785" s="176">
        <v>5</v>
      </c>
      <c r="L785" s="176">
        <v>0</v>
      </c>
      <c r="M785" s="176" t="s">
        <v>148</v>
      </c>
      <c r="N785" s="176" t="s">
        <v>149</v>
      </c>
      <c r="O785" s="176" t="s">
        <v>150</v>
      </c>
      <c r="P785" s="176" t="s">
        <v>151</v>
      </c>
      <c r="Q785" s="176"/>
      <c r="R785" s="176" t="s">
        <v>5374</v>
      </c>
      <c r="S785" s="176"/>
      <c r="T785" s="176" t="s">
        <v>2824</v>
      </c>
      <c r="U785" s="176" t="s">
        <v>152</v>
      </c>
      <c r="V785" s="176" t="s">
        <v>23</v>
      </c>
    </row>
    <row r="786" spans="2:22" ht="12" customHeight="1">
      <c r="B786" s="211">
        <v>46246</v>
      </c>
      <c r="C786" s="211">
        <v>46246</v>
      </c>
      <c r="D786" s="176" t="s">
        <v>5375</v>
      </c>
      <c r="E786" s="176" t="s">
        <v>5376</v>
      </c>
      <c r="F786" s="176" t="s">
        <v>87</v>
      </c>
      <c r="G786" s="176" t="s">
        <v>2334</v>
      </c>
      <c r="H786" s="176">
        <v>40</v>
      </c>
      <c r="I786" s="176">
        <v>36.4</v>
      </c>
      <c r="J786" s="176">
        <v>36.4</v>
      </c>
      <c r="K786" s="176">
        <v>5</v>
      </c>
      <c r="L786" s="176">
        <v>0</v>
      </c>
      <c r="M786" s="176" t="s">
        <v>148</v>
      </c>
      <c r="N786" s="176" t="s">
        <v>149</v>
      </c>
      <c r="O786" s="176" t="s">
        <v>150</v>
      </c>
      <c r="P786" s="176" t="s">
        <v>151</v>
      </c>
      <c r="Q786" s="176"/>
      <c r="R786" s="176" t="s">
        <v>5376</v>
      </c>
      <c r="S786" s="176"/>
      <c r="T786" s="176" t="s">
        <v>2824</v>
      </c>
      <c r="U786" s="176" t="s">
        <v>152</v>
      </c>
      <c r="V786" s="176" t="s">
        <v>23</v>
      </c>
    </row>
    <row r="787" spans="2:22" ht="12" customHeight="1">
      <c r="B787" s="211">
        <v>46246</v>
      </c>
      <c r="C787" s="211">
        <v>46246</v>
      </c>
      <c r="D787" s="176" t="s">
        <v>5377</v>
      </c>
      <c r="E787" s="176" t="s">
        <v>5378</v>
      </c>
      <c r="F787" s="176" t="s">
        <v>87</v>
      </c>
      <c r="G787" s="176" t="s">
        <v>2334</v>
      </c>
      <c r="H787" s="176">
        <v>40</v>
      </c>
      <c r="I787" s="176">
        <v>28.1</v>
      </c>
      <c r="J787" s="176">
        <v>28.1</v>
      </c>
      <c r="K787" s="176">
        <v>5</v>
      </c>
      <c r="L787" s="176">
        <v>0</v>
      </c>
      <c r="M787" s="176" t="s">
        <v>148</v>
      </c>
      <c r="N787" s="176" t="s">
        <v>149</v>
      </c>
      <c r="O787" s="176" t="s">
        <v>150</v>
      </c>
      <c r="P787" s="176" t="s">
        <v>151</v>
      </c>
      <c r="Q787" s="176"/>
      <c r="R787" s="176" t="s">
        <v>5378</v>
      </c>
      <c r="S787" s="176"/>
      <c r="T787" s="176" t="s">
        <v>2824</v>
      </c>
      <c r="U787" s="176" t="s">
        <v>152</v>
      </c>
      <c r="V787" s="176" t="s">
        <v>23</v>
      </c>
    </row>
    <row r="788" spans="2:22" ht="12" customHeight="1">
      <c r="B788" s="211">
        <v>46246</v>
      </c>
      <c r="C788" s="211">
        <v>46246</v>
      </c>
      <c r="D788" s="176" t="s">
        <v>5379</v>
      </c>
      <c r="E788" s="176" t="s">
        <v>5380</v>
      </c>
      <c r="F788" s="176" t="s">
        <v>87</v>
      </c>
      <c r="G788" s="176" t="s">
        <v>1966</v>
      </c>
      <c r="H788" s="176">
        <v>6</v>
      </c>
      <c r="I788" s="176">
        <v>15.8</v>
      </c>
      <c r="J788" s="176">
        <v>15.8</v>
      </c>
      <c r="K788" s="176">
        <v>1.5</v>
      </c>
      <c r="L788" s="176">
        <v>0</v>
      </c>
      <c r="M788" s="176" t="s">
        <v>148</v>
      </c>
      <c r="N788" s="176" t="s">
        <v>149</v>
      </c>
      <c r="O788" s="176" t="s">
        <v>150</v>
      </c>
      <c r="P788" s="176" t="s">
        <v>151</v>
      </c>
      <c r="Q788" s="176"/>
      <c r="R788" s="176" t="s">
        <v>5380</v>
      </c>
      <c r="S788" s="176"/>
      <c r="T788" s="176" t="s">
        <v>2824</v>
      </c>
      <c r="U788" s="176" t="s">
        <v>152</v>
      </c>
      <c r="V788" s="176" t="s">
        <v>23</v>
      </c>
    </row>
    <row r="789" spans="2:22" ht="12" customHeight="1">
      <c r="B789" s="211">
        <v>46246</v>
      </c>
      <c r="C789" s="211">
        <v>46246</v>
      </c>
      <c r="D789" s="176" t="s">
        <v>5381</v>
      </c>
      <c r="E789" s="176" t="s">
        <v>5382</v>
      </c>
      <c r="F789" s="176" t="s">
        <v>87</v>
      </c>
      <c r="G789" s="176" t="s">
        <v>1966</v>
      </c>
      <c r="H789" s="176">
        <v>6</v>
      </c>
      <c r="I789" s="176">
        <v>33.200000000000003</v>
      </c>
      <c r="J789" s="176">
        <v>33.200000000000003</v>
      </c>
      <c r="K789" s="176">
        <v>1.5</v>
      </c>
      <c r="L789" s="176">
        <v>0</v>
      </c>
      <c r="M789" s="176" t="s">
        <v>148</v>
      </c>
      <c r="N789" s="176" t="s">
        <v>149</v>
      </c>
      <c r="O789" s="176" t="s">
        <v>150</v>
      </c>
      <c r="P789" s="176" t="s">
        <v>151</v>
      </c>
      <c r="Q789" s="176"/>
      <c r="R789" s="176" t="s">
        <v>5382</v>
      </c>
      <c r="S789" s="176"/>
      <c r="T789" s="176" t="s">
        <v>2824</v>
      </c>
      <c r="U789" s="176" t="s">
        <v>152</v>
      </c>
      <c r="V789" s="176" t="s">
        <v>23</v>
      </c>
    </row>
    <row r="790" spans="2:22" ht="12" customHeight="1">
      <c r="B790" s="211">
        <v>46246</v>
      </c>
      <c r="C790" s="211">
        <v>46246</v>
      </c>
      <c r="D790" s="176" t="s">
        <v>5383</v>
      </c>
      <c r="E790" s="176" t="s">
        <v>5384</v>
      </c>
      <c r="F790" s="176" t="s">
        <v>87</v>
      </c>
      <c r="G790" s="176" t="s">
        <v>5097</v>
      </c>
      <c r="H790" s="176">
        <v>25</v>
      </c>
      <c r="I790" s="176">
        <v>29.8</v>
      </c>
      <c r="J790" s="176">
        <v>29.8</v>
      </c>
      <c r="K790" s="176">
        <v>4</v>
      </c>
      <c r="L790" s="176">
        <v>0</v>
      </c>
      <c r="M790" s="176" t="s">
        <v>148</v>
      </c>
      <c r="N790" s="176" t="s">
        <v>149</v>
      </c>
      <c r="O790" s="176" t="s">
        <v>150</v>
      </c>
      <c r="P790" s="176" t="s">
        <v>151</v>
      </c>
      <c r="Q790" s="176"/>
      <c r="R790" s="176" t="s">
        <v>5384</v>
      </c>
      <c r="S790" s="176"/>
      <c r="T790" s="176" t="s">
        <v>2824</v>
      </c>
      <c r="U790" s="176" t="s">
        <v>152</v>
      </c>
      <c r="V790" s="176" t="s">
        <v>23</v>
      </c>
    </row>
    <row r="791" spans="2:22" ht="12" customHeight="1">
      <c r="B791" s="211">
        <v>46246</v>
      </c>
      <c r="C791" s="211">
        <v>46246</v>
      </c>
      <c r="D791" s="176" t="s">
        <v>5385</v>
      </c>
      <c r="E791" s="176" t="s">
        <v>5386</v>
      </c>
      <c r="F791" s="176" t="s">
        <v>87</v>
      </c>
      <c r="G791" s="176" t="s">
        <v>2334</v>
      </c>
      <c r="H791" s="176">
        <v>40</v>
      </c>
      <c r="I791" s="176">
        <v>36.4</v>
      </c>
      <c r="J791" s="176">
        <v>36.4</v>
      </c>
      <c r="K791" s="176">
        <v>5</v>
      </c>
      <c r="L791" s="176">
        <v>0</v>
      </c>
      <c r="M791" s="176" t="s">
        <v>148</v>
      </c>
      <c r="N791" s="176" t="s">
        <v>149</v>
      </c>
      <c r="O791" s="176" t="s">
        <v>150</v>
      </c>
      <c r="P791" s="176" t="s">
        <v>151</v>
      </c>
      <c r="Q791" s="176"/>
      <c r="R791" s="176" t="s">
        <v>5386</v>
      </c>
      <c r="S791" s="176"/>
      <c r="T791" s="176" t="s">
        <v>2824</v>
      </c>
      <c r="U791" s="176" t="s">
        <v>152</v>
      </c>
      <c r="V791" s="176" t="s">
        <v>23</v>
      </c>
    </row>
    <row r="792" spans="2:22" ht="12" customHeight="1">
      <c r="B792" s="211">
        <v>46246</v>
      </c>
      <c r="C792" s="211">
        <v>46246</v>
      </c>
      <c r="D792" s="176" t="s">
        <v>5387</v>
      </c>
      <c r="E792" s="176" t="s">
        <v>5388</v>
      </c>
      <c r="F792" s="176" t="s">
        <v>87</v>
      </c>
      <c r="G792" s="176" t="s">
        <v>2334</v>
      </c>
      <c r="H792" s="176">
        <v>40</v>
      </c>
      <c r="I792" s="176">
        <v>38.200000000000003</v>
      </c>
      <c r="J792" s="176">
        <v>38.200000000000003</v>
      </c>
      <c r="K792" s="176">
        <v>5</v>
      </c>
      <c r="L792" s="176">
        <v>0</v>
      </c>
      <c r="M792" s="176" t="s">
        <v>148</v>
      </c>
      <c r="N792" s="176" t="s">
        <v>149</v>
      </c>
      <c r="O792" s="176" t="s">
        <v>150</v>
      </c>
      <c r="P792" s="176" t="s">
        <v>151</v>
      </c>
      <c r="Q792" s="176"/>
      <c r="R792" s="176" t="s">
        <v>5388</v>
      </c>
      <c r="S792" s="176"/>
      <c r="T792" s="176" t="s">
        <v>2824</v>
      </c>
      <c r="U792" s="176" t="s">
        <v>152</v>
      </c>
      <c r="V792" s="176" t="s">
        <v>23</v>
      </c>
    </row>
    <row r="793" spans="2:22" ht="12" customHeight="1">
      <c r="B793" s="211">
        <v>46246</v>
      </c>
      <c r="C793" s="211">
        <v>46246</v>
      </c>
      <c r="D793" s="176" t="s">
        <v>5389</v>
      </c>
      <c r="E793" s="176" t="s">
        <v>5390</v>
      </c>
      <c r="F793" s="176" t="s">
        <v>87</v>
      </c>
      <c r="G793" s="176" t="s">
        <v>1678</v>
      </c>
      <c r="H793" s="176">
        <v>30</v>
      </c>
      <c r="I793" s="176">
        <v>17.8</v>
      </c>
      <c r="J793" s="176">
        <v>17.8</v>
      </c>
      <c r="K793" s="176">
        <v>4</v>
      </c>
      <c r="L793" s="176">
        <v>0</v>
      </c>
      <c r="M793" s="176" t="s">
        <v>148</v>
      </c>
      <c r="N793" s="176" t="s">
        <v>149</v>
      </c>
      <c r="O793" s="176" t="s">
        <v>150</v>
      </c>
      <c r="P793" s="176" t="s">
        <v>151</v>
      </c>
      <c r="Q793" s="176"/>
      <c r="R793" s="176" t="s">
        <v>5390</v>
      </c>
      <c r="S793" s="176"/>
      <c r="T793" s="176" t="s">
        <v>2824</v>
      </c>
      <c r="U793" s="176" t="s">
        <v>152</v>
      </c>
      <c r="V793" s="176" t="s">
        <v>23</v>
      </c>
    </row>
    <row r="794" spans="2:22" ht="12" customHeight="1">
      <c r="B794" s="211">
        <v>46246</v>
      </c>
      <c r="C794" s="211">
        <v>46246</v>
      </c>
      <c r="D794" s="176" t="s">
        <v>5391</v>
      </c>
      <c r="E794" s="176" t="s">
        <v>5392</v>
      </c>
      <c r="F794" s="176" t="s">
        <v>87</v>
      </c>
      <c r="G794" s="176" t="s">
        <v>2334</v>
      </c>
      <c r="H794" s="176">
        <v>40</v>
      </c>
      <c r="I794" s="176">
        <v>34.799999999999997</v>
      </c>
      <c r="J794" s="176">
        <v>34.799999999999997</v>
      </c>
      <c r="K794" s="176">
        <v>5</v>
      </c>
      <c r="L794" s="176">
        <v>0</v>
      </c>
      <c r="M794" s="176" t="s">
        <v>148</v>
      </c>
      <c r="N794" s="176" t="s">
        <v>149</v>
      </c>
      <c r="O794" s="176" t="s">
        <v>150</v>
      </c>
      <c r="P794" s="176" t="s">
        <v>151</v>
      </c>
      <c r="Q794" s="176"/>
      <c r="R794" s="176" t="s">
        <v>5392</v>
      </c>
      <c r="S794" s="176"/>
      <c r="T794" s="176" t="s">
        <v>2824</v>
      </c>
      <c r="U794" s="176" t="s">
        <v>152</v>
      </c>
      <c r="V794" s="176" t="s">
        <v>23</v>
      </c>
    </row>
    <row r="795" spans="2:22" ht="12" customHeight="1">
      <c r="B795" s="211">
        <v>46246</v>
      </c>
      <c r="C795" s="211">
        <v>46246</v>
      </c>
      <c r="D795" s="176" t="s">
        <v>5393</v>
      </c>
      <c r="E795" s="176" t="s">
        <v>5394</v>
      </c>
      <c r="F795" s="176" t="s">
        <v>87</v>
      </c>
      <c r="G795" s="176" t="s">
        <v>2357</v>
      </c>
      <c r="H795" s="176">
        <v>40</v>
      </c>
      <c r="I795" s="176">
        <v>28.2</v>
      </c>
      <c r="J795" s="176">
        <v>28.2</v>
      </c>
      <c r="K795" s="176">
        <v>5</v>
      </c>
      <c r="L795" s="176">
        <v>0</v>
      </c>
      <c r="M795" s="176" t="s">
        <v>148</v>
      </c>
      <c r="N795" s="176" t="s">
        <v>149</v>
      </c>
      <c r="O795" s="176" t="s">
        <v>150</v>
      </c>
      <c r="P795" s="176" t="s">
        <v>151</v>
      </c>
      <c r="Q795" s="176"/>
      <c r="R795" s="176" t="s">
        <v>5394</v>
      </c>
      <c r="S795" s="176"/>
      <c r="T795" s="176" t="s">
        <v>2824</v>
      </c>
      <c r="U795" s="176" t="s">
        <v>152</v>
      </c>
      <c r="V795" s="176" t="s">
        <v>23</v>
      </c>
    </row>
    <row r="796" spans="2:22" ht="12" customHeight="1">
      <c r="B796" s="211">
        <v>46246</v>
      </c>
      <c r="C796" s="211">
        <v>46246</v>
      </c>
      <c r="D796" s="176" t="s">
        <v>5395</v>
      </c>
      <c r="E796" s="176" t="s">
        <v>5396</v>
      </c>
      <c r="F796" s="176" t="s">
        <v>87</v>
      </c>
      <c r="G796" s="176" t="s">
        <v>1966</v>
      </c>
      <c r="H796" s="176">
        <v>6</v>
      </c>
      <c r="I796" s="176">
        <v>29.8</v>
      </c>
      <c r="J796" s="176">
        <v>29.8</v>
      </c>
      <c r="K796" s="176">
        <v>1.5</v>
      </c>
      <c r="L796" s="176">
        <v>0</v>
      </c>
      <c r="M796" s="176" t="s">
        <v>148</v>
      </c>
      <c r="N796" s="176" t="s">
        <v>149</v>
      </c>
      <c r="O796" s="176" t="s">
        <v>150</v>
      </c>
      <c r="P796" s="176" t="s">
        <v>151</v>
      </c>
      <c r="Q796" s="176"/>
      <c r="R796" s="176" t="s">
        <v>5396</v>
      </c>
      <c r="S796" s="176"/>
      <c r="T796" s="176" t="s">
        <v>2824</v>
      </c>
      <c r="U796" s="176" t="s">
        <v>152</v>
      </c>
      <c r="V796" s="176" t="s">
        <v>23</v>
      </c>
    </row>
    <row r="797" spans="2:22" ht="12" customHeight="1">
      <c r="B797" s="211">
        <v>46246</v>
      </c>
      <c r="C797" s="211">
        <v>46246</v>
      </c>
      <c r="D797" s="176" t="s">
        <v>5397</v>
      </c>
      <c r="E797" s="176" t="s">
        <v>5398</v>
      </c>
      <c r="F797" s="176" t="s">
        <v>87</v>
      </c>
      <c r="G797" s="176" t="s">
        <v>2334</v>
      </c>
      <c r="H797" s="176">
        <v>40</v>
      </c>
      <c r="I797" s="176">
        <v>28.5</v>
      </c>
      <c r="J797" s="176">
        <v>28.5</v>
      </c>
      <c r="K797" s="176">
        <v>5</v>
      </c>
      <c r="L797" s="176">
        <v>0</v>
      </c>
      <c r="M797" s="176" t="s">
        <v>148</v>
      </c>
      <c r="N797" s="176" t="s">
        <v>149</v>
      </c>
      <c r="O797" s="176" t="s">
        <v>150</v>
      </c>
      <c r="P797" s="176" t="s">
        <v>151</v>
      </c>
      <c r="Q797" s="176"/>
      <c r="R797" s="176" t="s">
        <v>5398</v>
      </c>
      <c r="S797" s="176"/>
      <c r="T797" s="176" t="s">
        <v>2824</v>
      </c>
      <c r="U797" s="176" t="s">
        <v>152</v>
      </c>
      <c r="V797" s="176" t="s">
        <v>23</v>
      </c>
    </row>
    <row r="798" spans="2:22" ht="12" customHeight="1">
      <c r="B798" s="211">
        <v>46246</v>
      </c>
      <c r="C798" s="211">
        <v>46246</v>
      </c>
      <c r="D798" s="176" t="s">
        <v>5399</v>
      </c>
      <c r="E798" s="176" t="s">
        <v>5400</v>
      </c>
      <c r="F798" s="176" t="s">
        <v>87</v>
      </c>
      <c r="G798" s="176" t="s">
        <v>4512</v>
      </c>
      <c r="H798" s="176">
        <v>55</v>
      </c>
      <c r="I798" s="176">
        <v>37.799999999999997</v>
      </c>
      <c r="J798" s="176">
        <v>37.799999999999997</v>
      </c>
      <c r="K798" s="176">
        <v>5</v>
      </c>
      <c r="L798" s="176">
        <v>0</v>
      </c>
      <c r="M798" s="176" t="s">
        <v>148</v>
      </c>
      <c r="N798" s="176" t="s">
        <v>149</v>
      </c>
      <c r="O798" s="176" t="s">
        <v>150</v>
      </c>
      <c r="P798" s="176" t="s">
        <v>151</v>
      </c>
      <c r="Q798" s="176"/>
      <c r="R798" s="176" t="s">
        <v>5400</v>
      </c>
      <c r="S798" s="176"/>
      <c r="T798" s="176" t="s">
        <v>2824</v>
      </c>
      <c r="U798" s="176" t="s">
        <v>152</v>
      </c>
      <c r="V798" s="176" t="s">
        <v>23</v>
      </c>
    </row>
    <row r="799" spans="2:22" ht="12" customHeight="1">
      <c r="B799" s="211">
        <v>46246</v>
      </c>
      <c r="C799" s="211">
        <v>46246</v>
      </c>
      <c r="D799" s="176" t="s">
        <v>5401</v>
      </c>
      <c r="E799" s="176" t="s">
        <v>5402</v>
      </c>
      <c r="F799" s="176" t="s">
        <v>87</v>
      </c>
      <c r="G799" s="176" t="s">
        <v>2404</v>
      </c>
      <c r="H799" s="176">
        <v>40</v>
      </c>
      <c r="I799" s="176">
        <v>42.2</v>
      </c>
      <c r="J799" s="176">
        <v>42.2</v>
      </c>
      <c r="K799" s="176">
        <v>5</v>
      </c>
      <c r="L799" s="176">
        <v>0</v>
      </c>
      <c r="M799" s="176" t="s">
        <v>148</v>
      </c>
      <c r="N799" s="176" t="s">
        <v>149</v>
      </c>
      <c r="O799" s="176" t="s">
        <v>150</v>
      </c>
      <c r="P799" s="176" t="s">
        <v>151</v>
      </c>
      <c r="Q799" s="176"/>
      <c r="R799" s="176" t="s">
        <v>5402</v>
      </c>
      <c r="S799" s="176"/>
      <c r="T799" s="176" t="s">
        <v>2824</v>
      </c>
      <c r="U799" s="176" t="s">
        <v>152</v>
      </c>
      <c r="V799" s="176" t="s">
        <v>23</v>
      </c>
    </row>
    <row r="800" spans="2:22" ht="12" customHeight="1">
      <c r="B800" s="211">
        <v>46246</v>
      </c>
      <c r="C800" s="211">
        <v>46246</v>
      </c>
      <c r="D800" s="176" t="s">
        <v>5403</v>
      </c>
      <c r="E800" s="176" t="s">
        <v>5404</v>
      </c>
      <c r="F800" s="176" t="s">
        <v>87</v>
      </c>
      <c r="G800" s="176" t="s">
        <v>2334</v>
      </c>
      <c r="H800" s="176">
        <v>40</v>
      </c>
      <c r="I800" s="176">
        <v>35.799999999999997</v>
      </c>
      <c r="J800" s="176">
        <v>35.799999999999997</v>
      </c>
      <c r="K800" s="176">
        <v>5</v>
      </c>
      <c r="L800" s="176">
        <v>0</v>
      </c>
      <c r="M800" s="176" t="s">
        <v>148</v>
      </c>
      <c r="N800" s="176" t="s">
        <v>149</v>
      </c>
      <c r="O800" s="176" t="s">
        <v>150</v>
      </c>
      <c r="P800" s="176" t="s">
        <v>151</v>
      </c>
      <c r="Q800" s="176"/>
      <c r="R800" s="176" t="s">
        <v>5404</v>
      </c>
      <c r="S800" s="176" t="s">
        <v>61</v>
      </c>
      <c r="T800" s="176" t="s">
        <v>3398</v>
      </c>
      <c r="U800" s="176" t="s">
        <v>152</v>
      </c>
      <c r="V800" s="176" t="s">
        <v>23</v>
      </c>
    </row>
    <row r="801" spans="2:22" ht="12" customHeight="1">
      <c r="B801" s="211">
        <v>46246</v>
      </c>
      <c r="C801" s="211">
        <v>46246</v>
      </c>
      <c r="D801" s="176" t="s">
        <v>5405</v>
      </c>
      <c r="E801" s="176" t="s">
        <v>5406</v>
      </c>
      <c r="F801" s="176" t="s">
        <v>87</v>
      </c>
      <c r="G801" s="176" t="s">
        <v>2357</v>
      </c>
      <c r="H801" s="176">
        <v>40</v>
      </c>
      <c r="I801" s="176">
        <v>39.299999999999997</v>
      </c>
      <c r="J801" s="176">
        <v>39.299999999999997</v>
      </c>
      <c r="K801" s="176">
        <v>5</v>
      </c>
      <c r="L801" s="176">
        <v>0</v>
      </c>
      <c r="M801" s="176" t="s">
        <v>148</v>
      </c>
      <c r="N801" s="176" t="s">
        <v>149</v>
      </c>
      <c r="O801" s="176" t="s">
        <v>150</v>
      </c>
      <c r="P801" s="176" t="s">
        <v>151</v>
      </c>
      <c r="Q801" s="176"/>
      <c r="R801" s="176" t="s">
        <v>5406</v>
      </c>
      <c r="S801" s="176"/>
      <c r="T801" s="176" t="s">
        <v>2824</v>
      </c>
      <c r="U801" s="176" t="s">
        <v>152</v>
      </c>
      <c r="V801" s="176" t="s">
        <v>23</v>
      </c>
    </row>
    <row r="802" spans="2:22" ht="12" customHeight="1">
      <c r="B802" s="211">
        <v>46246</v>
      </c>
      <c r="C802" s="211">
        <v>46246</v>
      </c>
      <c r="D802" s="176" t="s">
        <v>5407</v>
      </c>
      <c r="E802" s="176" t="s">
        <v>5408</v>
      </c>
      <c r="F802" s="176" t="s">
        <v>87</v>
      </c>
      <c r="G802" s="176" t="s">
        <v>1678</v>
      </c>
      <c r="H802" s="176">
        <v>30</v>
      </c>
      <c r="I802" s="176">
        <v>29.1</v>
      </c>
      <c r="J802" s="176">
        <v>29.1</v>
      </c>
      <c r="K802" s="176">
        <v>4</v>
      </c>
      <c r="L802" s="176">
        <v>0</v>
      </c>
      <c r="M802" s="176" t="s">
        <v>148</v>
      </c>
      <c r="N802" s="176" t="s">
        <v>149</v>
      </c>
      <c r="O802" s="176" t="s">
        <v>150</v>
      </c>
      <c r="P802" s="176" t="s">
        <v>151</v>
      </c>
      <c r="Q802" s="176"/>
      <c r="R802" s="176" t="s">
        <v>5408</v>
      </c>
      <c r="S802" s="176"/>
      <c r="T802" s="176" t="s">
        <v>2824</v>
      </c>
      <c r="U802" s="176" t="s">
        <v>152</v>
      </c>
      <c r="V802" s="176" t="s">
        <v>23</v>
      </c>
    </row>
    <row r="803" spans="2:22" ht="12" customHeight="1">
      <c r="B803" s="211">
        <v>46246</v>
      </c>
      <c r="C803" s="211">
        <v>46246</v>
      </c>
      <c r="D803" s="176" t="s">
        <v>5409</v>
      </c>
      <c r="E803" s="176" t="s">
        <v>5410</v>
      </c>
      <c r="F803" s="176" t="s">
        <v>87</v>
      </c>
      <c r="G803" s="176" t="s">
        <v>5097</v>
      </c>
      <c r="H803" s="176">
        <v>25</v>
      </c>
      <c r="I803" s="176">
        <v>25.2</v>
      </c>
      <c r="J803" s="176">
        <v>25.2</v>
      </c>
      <c r="K803" s="176">
        <v>4</v>
      </c>
      <c r="L803" s="176">
        <v>0</v>
      </c>
      <c r="M803" s="176" t="s">
        <v>148</v>
      </c>
      <c r="N803" s="176" t="s">
        <v>149</v>
      </c>
      <c r="O803" s="176" t="s">
        <v>150</v>
      </c>
      <c r="P803" s="176" t="s">
        <v>151</v>
      </c>
      <c r="Q803" s="176"/>
      <c r="R803" s="176" t="s">
        <v>5410</v>
      </c>
      <c r="S803" s="176"/>
      <c r="T803" s="176" t="s">
        <v>2824</v>
      </c>
      <c r="U803" s="176" t="s">
        <v>152</v>
      </c>
      <c r="V803" s="176" t="s">
        <v>23</v>
      </c>
    </row>
    <row r="804" spans="2:22" ht="12" customHeight="1">
      <c r="B804" s="211">
        <v>46246</v>
      </c>
      <c r="C804" s="211">
        <v>46246</v>
      </c>
      <c r="D804" s="176" t="s">
        <v>5411</v>
      </c>
      <c r="E804" s="176" t="s">
        <v>5412</v>
      </c>
      <c r="F804" s="176" t="s">
        <v>87</v>
      </c>
      <c r="G804" s="176" t="s">
        <v>1678</v>
      </c>
      <c r="H804" s="176">
        <v>30</v>
      </c>
      <c r="I804" s="176">
        <v>30.5</v>
      </c>
      <c r="J804" s="176">
        <v>30.5</v>
      </c>
      <c r="K804" s="176">
        <v>4</v>
      </c>
      <c r="L804" s="176">
        <v>0</v>
      </c>
      <c r="M804" s="176" t="s">
        <v>148</v>
      </c>
      <c r="N804" s="176" t="s">
        <v>149</v>
      </c>
      <c r="O804" s="176" t="s">
        <v>150</v>
      </c>
      <c r="P804" s="176" t="s">
        <v>151</v>
      </c>
      <c r="Q804" s="176"/>
      <c r="R804" s="176" t="s">
        <v>5412</v>
      </c>
      <c r="S804" s="176"/>
      <c r="T804" s="176" t="s">
        <v>2824</v>
      </c>
      <c r="U804" s="176" t="s">
        <v>152</v>
      </c>
      <c r="V804" s="176" t="s">
        <v>23</v>
      </c>
    </row>
    <row r="805" spans="2:22" ht="12" customHeight="1">
      <c r="B805" s="211">
        <v>46246</v>
      </c>
      <c r="C805" s="211">
        <v>46246</v>
      </c>
      <c r="D805" s="176" t="s">
        <v>5413</v>
      </c>
      <c r="E805" s="176" t="s">
        <v>5414</v>
      </c>
      <c r="F805" s="176" t="s">
        <v>87</v>
      </c>
      <c r="G805" s="176" t="s">
        <v>2334</v>
      </c>
      <c r="H805" s="176">
        <v>40</v>
      </c>
      <c r="I805" s="176">
        <v>30.2</v>
      </c>
      <c r="J805" s="176">
        <v>30.2</v>
      </c>
      <c r="K805" s="176">
        <v>5</v>
      </c>
      <c r="L805" s="176">
        <v>0</v>
      </c>
      <c r="M805" s="176" t="s">
        <v>148</v>
      </c>
      <c r="N805" s="176" t="s">
        <v>149</v>
      </c>
      <c r="O805" s="176" t="s">
        <v>150</v>
      </c>
      <c r="P805" s="176" t="s">
        <v>151</v>
      </c>
      <c r="Q805" s="176"/>
      <c r="R805" s="176" t="s">
        <v>5414</v>
      </c>
      <c r="S805" s="176"/>
      <c r="T805" s="176" t="s">
        <v>2824</v>
      </c>
      <c r="U805" s="176" t="s">
        <v>152</v>
      </c>
      <c r="V805" s="176" t="s">
        <v>23</v>
      </c>
    </row>
    <row r="806" spans="2:22" ht="12" customHeight="1">
      <c r="B806" s="211">
        <v>46246</v>
      </c>
      <c r="C806" s="211">
        <v>46246</v>
      </c>
      <c r="D806" s="176" t="s">
        <v>5415</v>
      </c>
      <c r="E806" s="176" t="s">
        <v>5416</v>
      </c>
      <c r="F806" s="176" t="s">
        <v>87</v>
      </c>
      <c r="G806" s="176" t="s">
        <v>2334</v>
      </c>
      <c r="H806" s="176">
        <v>40</v>
      </c>
      <c r="I806" s="176">
        <v>43.2</v>
      </c>
      <c r="J806" s="176">
        <v>43.2</v>
      </c>
      <c r="K806" s="176">
        <v>5</v>
      </c>
      <c r="L806" s="176">
        <v>0</v>
      </c>
      <c r="M806" s="176" t="s">
        <v>148</v>
      </c>
      <c r="N806" s="176" t="s">
        <v>149</v>
      </c>
      <c r="O806" s="176" t="s">
        <v>150</v>
      </c>
      <c r="P806" s="176" t="s">
        <v>151</v>
      </c>
      <c r="Q806" s="176"/>
      <c r="R806" s="176" t="s">
        <v>5416</v>
      </c>
      <c r="S806" s="176"/>
      <c r="T806" s="176" t="s">
        <v>2824</v>
      </c>
      <c r="U806" s="176" t="s">
        <v>152</v>
      </c>
      <c r="V806" s="176" t="s">
        <v>23</v>
      </c>
    </row>
    <row r="807" spans="2:22" ht="12" customHeight="1">
      <c r="B807" s="211">
        <v>46246</v>
      </c>
      <c r="C807" s="211">
        <v>46246</v>
      </c>
      <c r="D807" s="176" t="s">
        <v>5417</v>
      </c>
      <c r="E807" s="176" t="s">
        <v>5418</v>
      </c>
      <c r="F807" s="176" t="s">
        <v>87</v>
      </c>
      <c r="G807" s="176" t="s">
        <v>2515</v>
      </c>
      <c r="H807" s="176">
        <v>50</v>
      </c>
      <c r="I807" s="176">
        <v>39.799999999999997</v>
      </c>
      <c r="J807" s="176">
        <v>39.799999999999997</v>
      </c>
      <c r="K807" s="176">
        <v>5</v>
      </c>
      <c r="L807" s="176">
        <v>0</v>
      </c>
      <c r="M807" s="176" t="s">
        <v>148</v>
      </c>
      <c r="N807" s="176" t="s">
        <v>149</v>
      </c>
      <c r="O807" s="176" t="s">
        <v>150</v>
      </c>
      <c r="P807" s="176" t="s">
        <v>151</v>
      </c>
      <c r="Q807" s="176"/>
      <c r="R807" s="176" t="s">
        <v>5418</v>
      </c>
      <c r="S807" s="176"/>
      <c r="T807" s="176" t="s">
        <v>2824</v>
      </c>
      <c r="U807" s="176" t="s">
        <v>152</v>
      </c>
      <c r="V807" s="176" t="s">
        <v>23</v>
      </c>
    </row>
    <row r="808" spans="2:22" ht="12" customHeight="1">
      <c r="B808" s="211">
        <v>46246</v>
      </c>
      <c r="C808" s="211">
        <v>46246</v>
      </c>
      <c r="D808" s="176" t="s">
        <v>5419</v>
      </c>
      <c r="E808" s="176" t="s">
        <v>5420</v>
      </c>
      <c r="F808" s="176" t="s">
        <v>87</v>
      </c>
      <c r="G808" s="176" t="s">
        <v>2357</v>
      </c>
      <c r="H808" s="176">
        <v>40</v>
      </c>
      <c r="I808" s="176">
        <v>37.4</v>
      </c>
      <c r="J808" s="176">
        <v>37.4</v>
      </c>
      <c r="K808" s="176">
        <v>5</v>
      </c>
      <c r="L808" s="176">
        <v>0</v>
      </c>
      <c r="M808" s="176" t="s">
        <v>148</v>
      </c>
      <c r="N808" s="176" t="s">
        <v>149</v>
      </c>
      <c r="O808" s="176" t="s">
        <v>150</v>
      </c>
      <c r="P808" s="176" t="s">
        <v>151</v>
      </c>
      <c r="Q808" s="176"/>
      <c r="R808" s="176" t="s">
        <v>5420</v>
      </c>
      <c r="S808" s="176"/>
      <c r="T808" s="176" t="s">
        <v>2824</v>
      </c>
      <c r="U808" s="176" t="s">
        <v>152</v>
      </c>
      <c r="V808" s="176" t="s">
        <v>23</v>
      </c>
    </row>
    <row r="809" spans="2:22" ht="12" customHeight="1">
      <c r="B809" s="211">
        <v>46246</v>
      </c>
      <c r="C809" s="211">
        <v>46246</v>
      </c>
      <c r="D809" s="176" t="s">
        <v>5421</v>
      </c>
      <c r="E809" s="176" t="s">
        <v>5422</v>
      </c>
      <c r="F809" s="176" t="s">
        <v>87</v>
      </c>
      <c r="G809" s="176" t="s">
        <v>2404</v>
      </c>
      <c r="H809" s="176">
        <v>40</v>
      </c>
      <c r="I809" s="176">
        <v>41.3</v>
      </c>
      <c r="J809" s="176">
        <v>41.3</v>
      </c>
      <c r="K809" s="176">
        <v>5</v>
      </c>
      <c r="L809" s="176">
        <v>0</v>
      </c>
      <c r="M809" s="176" t="s">
        <v>148</v>
      </c>
      <c r="N809" s="176" t="s">
        <v>149</v>
      </c>
      <c r="O809" s="176" t="s">
        <v>150</v>
      </c>
      <c r="P809" s="176" t="s">
        <v>151</v>
      </c>
      <c r="Q809" s="176"/>
      <c r="R809" s="176" t="s">
        <v>5422</v>
      </c>
      <c r="S809" s="176"/>
      <c r="T809" s="176" t="s">
        <v>2824</v>
      </c>
      <c r="U809" s="176" t="s">
        <v>152</v>
      </c>
      <c r="V809" s="176" t="s">
        <v>23</v>
      </c>
    </row>
    <row r="810" spans="2:22" ht="12" customHeight="1">
      <c r="B810" s="211">
        <v>46246</v>
      </c>
      <c r="C810" s="211">
        <v>46246</v>
      </c>
      <c r="D810" s="176" t="s">
        <v>5423</v>
      </c>
      <c r="E810" s="176" t="s">
        <v>5424</v>
      </c>
      <c r="F810" s="176" t="s">
        <v>87</v>
      </c>
      <c r="G810" s="176" t="s">
        <v>2357</v>
      </c>
      <c r="H810" s="176">
        <v>40</v>
      </c>
      <c r="I810" s="176">
        <v>33.799999999999997</v>
      </c>
      <c r="J810" s="176">
        <v>33.799999999999997</v>
      </c>
      <c r="K810" s="176">
        <v>5</v>
      </c>
      <c r="L810" s="176">
        <v>0</v>
      </c>
      <c r="M810" s="176" t="s">
        <v>148</v>
      </c>
      <c r="N810" s="176" t="s">
        <v>149</v>
      </c>
      <c r="O810" s="176" t="s">
        <v>150</v>
      </c>
      <c r="P810" s="176" t="s">
        <v>151</v>
      </c>
      <c r="Q810" s="176"/>
      <c r="R810" s="176" t="s">
        <v>5424</v>
      </c>
      <c r="S810" s="176"/>
      <c r="T810" s="176" t="s">
        <v>2824</v>
      </c>
      <c r="U810" s="176" t="s">
        <v>152</v>
      </c>
      <c r="V810" s="176" t="s">
        <v>23</v>
      </c>
    </row>
    <row r="811" spans="2:22" ht="12" customHeight="1">
      <c r="B811" s="211">
        <v>46246</v>
      </c>
      <c r="C811" s="211">
        <v>46246</v>
      </c>
      <c r="D811" s="176" t="s">
        <v>5425</v>
      </c>
      <c r="E811" s="176" t="s">
        <v>5426</v>
      </c>
      <c r="F811" s="176" t="s">
        <v>87</v>
      </c>
      <c r="G811" s="176" t="s">
        <v>2357</v>
      </c>
      <c r="H811" s="176">
        <v>40</v>
      </c>
      <c r="I811" s="176">
        <v>30.3</v>
      </c>
      <c r="J811" s="176">
        <v>30.3</v>
      </c>
      <c r="K811" s="176">
        <v>5</v>
      </c>
      <c r="L811" s="176">
        <v>0</v>
      </c>
      <c r="M811" s="176" t="s">
        <v>148</v>
      </c>
      <c r="N811" s="176" t="s">
        <v>149</v>
      </c>
      <c r="O811" s="176" t="s">
        <v>150</v>
      </c>
      <c r="P811" s="176" t="s">
        <v>151</v>
      </c>
      <c r="Q811" s="176"/>
      <c r="R811" s="176" t="s">
        <v>5426</v>
      </c>
      <c r="S811" s="176"/>
      <c r="T811" s="176" t="s">
        <v>2824</v>
      </c>
      <c r="U811" s="176" t="s">
        <v>152</v>
      </c>
      <c r="V811" s="176" t="s">
        <v>23</v>
      </c>
    </row>
    <row r="812" spans="2:22" ht="12" customHeight="1">
      <c r="B812" s="211">
        <v>46246</v>
      </c>
      <c r="C812" s="211">
        <v>46246</v>
      </c>
      <c r="D812" s="176" t="s">
        <v>5427</v>
      </c>
      <c r="E812" s="176" t="s">
        <v>5428</v>
      </c>
      <c r="F812" s="176" t="s">
        <v>87</v>
      </c>
      <c r="G812" s="176" t="s">
        <v>2357</v>
      </c>
      <c r="H812" s="176">
        <v>40</v>
      </c>
      <c r="I812" s="176">
        <v>16.2</v>
      </c>
      <c r="J812" s="176">
        <v>16.2</v>
      </c>
      <c r="K812" s="176">
        <v>5</v>
      </c>
      <c r="L812" s="176">
        <v>0</v>
      </c>
      <c r="M812" s="176" t="s">
        <v>148</v>
      </c>
      <c r="N812" s="176" t="s">
        <v>149</v>
      </c>
      <c r="O812" s="176" t="s">
        <v>150</v>
      </c>
      <c r="P812" s="176" t="s">
        <v>151</v>
      </c>
      <c r="Q812" s="176"/>
      <c r="R812" s="176" t="s">
        <v>5428</v>
      </c>
      <c r="S812" s="176"/>
      <c r="T812" s="176" t="s">
        <v>2824</v>
      </c>
      <c r="U812" s="176" t="s">
        <v>152</v>
      </c>
      <c r="V812" s="176" t="s">
        <v>23</v>
      </c>
    </row>
    <row r="813" spans="2:22" ht="12" customHeight="1">
      <c r="B813" s="211">
        <v>46246</v>
      </c>
      <c r="C813" s="211">
        <v>46246</v>
      </c>
      <c r="D813" s="176" t="s">
        <v>5429</v>
      </c>
      <c r="E813" s="176" t="s">
        <v>5430</v>
      </c>
      <c r="F813" s="176" t="s">
        <v>87</v>
      </c>
      <c r="G813" s="176" t="s">
        <v>5097</v>
      </c>
      <c r="H813" s="176">
        <v>25</v>
      </c>
      <c r="I813" s="176">
        <v>37.799999999999997</v>
      </c>
      <c r="J813" s="176">
        <v>37.799999999999997</v>
      </c>
      <c r="K813" s="176">
        <v>4</v>
      </c>
      <c r="L813" s="176">
        <v>0</v>
      </c>
      <c r="M813" s="176" t="s">
        <v>148</v>
      </c>
      <c r="N813" s="176" t="s">
        <v>149</v>
      </c>
      <c r="O813" s="176" t="s">
        <v>150</v>
      </c>
      <c r="P813" s="176" t="s">
        <v>151</v>
      </c>
      <c r="Q813" s="176"/>
      <c r="R813" s="176" t="s">
        <v>5430</v>
      </c>
      <c r="S813" s="176"/>
      <c r="T813" s="176" t="s">
        <v>2828</v>
      </c>
      <c r="U813" s="176" t="s">
        <v>152</v>
      </c>
      <c r="V813" s="176" t="s">
        <v>23</v>
      </c>
    </row>
    <row r="814" spans="2:22" ht="12" customHeight="1">
      <c r="B814" s="211">
        <v>46246</v>
      </c>
      <c r="C814" s="211">
        <v>46246</v>
      </c>
      <c r="D814" s="176" t="s">
        <v>5431</v>
      </c>
      <c r="E814" s="176" t="s">
        <v>5432</v>
      </c>
      <c r="F814" s="176" t="s">
        <v>87</v>
      </c>
      <c r="G814" s="176" t="s">
        <v>1678</v>
      </c>
      <c r="H814" s="176">
        <v>30</v>
      </c>
      <c r="I814" s="176">
        <v>37.799999999999997</v>
      </c>
      <c r="J814" s="176">
        <v>37.799999999999997</v>
      </c>
      <c r="K814" s="176">
        <v>4</v>
      </c>
      <c r="L814" s="176">
        <v>0</v>
      </c>
      <c r="M814" s="176" t="s">
        <v>148</v>
      </c>
      <c r="N814" s="176" t="s">
        <v>149</v>
      </c>
      <c r="O814" s="176" t="s">
        <v>150</v>
      </c>
      <c r="P814" s="176" t="s">
        <v>151</v>
      </c>
      <c r="Q814" s="176"/>
      <c r="R814" s="176" t="s">
        <v>5432</v>
      </c>
      <c r="S814" s="176"/>
      <c r="T814" s="176" t="s">
        <v>2828</v>
      </c>
      <c r="U814" s="176" t="s">
        <v>152</v>
      </c>
      <c r="V814" s="176" t="s">
        <v>23</v>
      </c>
    </row>
    <row r="815" spans="2:22" ht="12" customHeight="1">
      <c r="B815" s="211">
        <v>46246</v>
      </c>
      <c r="C815" s="211">
        <v>46246</v>
      </c>
      <c r="D815" s="176" t="s">
        <v>5433</v>
      </c>
      <c r="E815" s="176" t="s">
        <v>5434</v>
      </c>
      <c r="F815" s="176" t="s">
        <v>87</v>
      </c>
      <c r="G815" s="176" t="s">
        <v>5097</v>
      </c>
      <c r="H815" s="176">
        <v>25</v>
      </c>
      <c r="I815" s="176">
        <v>34.4</v>
      </c>
      <c r="J815" s="176">
        <v>34.4</v>
      </c>
      <c r="K815" s="176">
        <v>4</v>
      </c>
      <c r="L815" s="176">
        <v>0</v>
      </c>
      <c r="M815" s="176" t="s">
        <v>148</v>
      </c>
      <c r="N815" s="176" t="s">
        <v>149</v>
      </c>
      <c r="O815" s="176" t="s">
        <v>150</v>
      </c>
      <c r="P815" s="176" t="s">
        <v>151</v>
      </c>
      <c r="Q815" s="176"/>
      <c r="R815" s="176" t="s">
        <v>5434</v>
      </c>
      <c r="S815" s="176"/>
      <c r="T815" s="176" t="s">
        <v>2828</v>
      </c>
      <c r="U815" s="176" t="s">
        <v>152</v>
      </c>
      <c r="V815" s="176" t="s">
        <v>23</v>
      </c>
    </row>
    <row r="816" spans="2:22" ht="12" customHeight="1">
      <c r="B816" s="211">
        <v>46246</v>
      </c>
      <c r="C816" s="211">
        <v>46246</v>
      </c>
      <c r="D816" s="176" t="s">
        <v>5435</v>
      </c>
      <c r="E816" s="176" t="s">
        <v>5436</v>
      </c>
      <c r="F816" s="176" t="s">
        <v>87</v>
      </c>
      <c r="G816" s="176" t="s">
        <v>5097</v>
      </c>
      <c r="H816" s="176">
        <v>25</v>
      </c>
      <c r="I816" s="176">
        <v>39.4</v>
      </c>
      <c r="J816" s="176">
        <v>39.4</v>
      </c>
      <c r="K816" s="176">
        <v>4</v>
      </c>
      <c r="L816" s="176">
        <v>0</v>
      </c>
      <c r="M816" s="176" t="s">
        <v>148</v>
      </c>
      <c r="N816" s="176" t="s">
        <v>149</v>
      </c>
      <c r="O816" s="176" t="s">
        <v>150</v>
      </c>
      <c r="P816" s="176" t="s">
        <v>151</v>
      </c>
      <c r="Q816" s="176"/>
      <c r="R816" s="176" t="s">
        <v>5436</v>
      </c>
      <c r="S816" s="176"/>
      <c r="T816" s="176" t="s">
        <v>2828</v>
      </c>
      <c r="U816" s="176" t="s">
        <v>152</v>
      </c>
      <c r="V816" s="176" t="s">
        <v>23</v>
      </c>
    </row>
    <row r="817" spans="2:22" ht="12" customHeight="1">
      <c r="B817" s="211">
        <v>46246</v>
      </c>
      <c r="C817" s="211">
        <v>46246</v>
      </c>
      <c r="D817" s="176" t="s">
        <v>5437</v>
      </c>
      <c r="E817" s="176" t="s">
        <v>5438</v>
      </c>
      <c r="F817" s="176" t="s">
        <v>87</v>
      </c>
      <c r="G817" s="176" t="s">
        <v>1678</v>
      </c>
      <c r="H817" s="176">
        <v>30</v>
      </c>
      <c r="I817" s="176">
        <v>9.8000000000000007</v>
      </c>
      <c r="J817" s="176">
        <v>9.8000000000000007</v>
      </c>
      <c r="K817" s="176">
        <v>4</v>
      </c>
      <c r="L817" s="176">
        <v>0</v>
      </c>
      <c r="M817" s="176" t="s">
        <v>148</v>
      </c>
      <c r="N817" s="176" t="s">
        <v>149</v>
      </c>
      <c r="O817" s="176" t="s">
        <v>150</v>
      </c>
      <c r="P817" s="176" t="s">
        <v>151</v>
      </c>
      <c r="Q817" s="176"/>
      <c r="R817" s="176" t="s">
        <v>5438</v>
      </c>
      <c r="S817" s="176"/>
      <c r="T817" s="176" t="s">
        <v>2828</v>
      </c>
      <c r="U817" s="176" t="s">
        <v>152</v>
      </c>
      <c r="V817" s="176" t="s">
        <v>23</v>
      </c>
    </row>
    <row r="818" spans="2:22" ht="12" customHeight="1">
      <c r="B818" s="211">
        <v>46248</v>
      </c>
      <c r="C818" s="211">
        <v>46248</v>
      </c>
      <c r="D818" s="176" t="s">
        <v>5439</v>
      </c>
      <c r="E818" s="176" t="s">
        <v>5440</v>
      </c>
      <c r="F818" s="176" t="s">
        <v>87</v>
      </c>
      <c r="G818" s="176" t="s">
        <v>5097</v>
      </c>
      <c r="H818" s="176">
        <v>25</v>
      </c>
      <c r="I818" s="176">
        <v>37.799999999999997</v>
      </c>
      <c r="J818" s="176">
        <v>37.799999999999997</v>
      </c>
      <c r="K818" s="176">
        <v>4</v>
      </c>
      <c r="L818" s="176">
        <v>0</v>
      </c>
      <c r="M818" s="176" t="s">
        <v>148</v>
      </c>
      <c r="N818" s="176" t="s">
        <v>149</v>
      </c>
      <c r="O818" s="176" t="s">
        <v>150</v>
      </c>
      <c r="P818" s="176" t="s">
        <v>151</v>
      </c>
      <c r="Q818" s="176"/>
      <c r="R818" s="176" t="s">
        <v>5440</v>
      </c>
      <c r="S818" s="176"/>
      <c r="T818" s="176" t="s">
        <v>2853</v>
      </c>
      <c r="U818" s="176" t="s">
        <v>152</v>
      </c>
      <c r="V818" s="176" t="s">
        <v>23</v>
      </c>
    </row>
    <row r="819" spans="2:22" ht="12" customHeight="1">
      <c r="B819" s="211">
        <v>46248</v>
      </c>
      <c r="C819" s="211">
        <v>46248</v>
      </c>
      <c r="D819" s="176" t="s">
        <v>5441</v>
      </c>
      <c r="E819" s="176" t="s">
        <v>5442</v>
      </c>
      <c r="F819" s="176" t="s">
        <v>87</v>
      </c>
      <c r="G819" s="176" t="s">
        <v>2357</v>
      </c>
      <c r="H819" s="176">
        <v>40</v>
      </c>
      <c r="I819" s="176">
        <v>32.1</v>
      </c>
      <c r="J819" s="176">
        <v>32.1</v>
      </c>
      <c r="K819" s="176">
        <v>5</v>
      </c>
      <c r="L819" s="176">
        <v>0</v>
      </c>
      <c r="M819" s="176" t="s">
        <v>148</v>
      </c>
      <c r="N819" s="176" t="s">
        <v>149</v>
      </c>
      <c r="O819" s="176" t="s">
        <v>150</v>
      </c>
      <c r="P819" s="176" t="s">
        <v>151</v>
      </c>
      <c r="Q819" s="176"/>
      <c r="R819" s="176" t="s">
        <v>5442</v>
      </c>
      <c r="S819" s="176"/>
      <c r="T819" s="176" t="s">
        <v>2853</v>
      </c>
      <c r="U819" s="176" t="s">
        <v>152</v>
      </c>
      <c r="V819" s="176" t="s">
        <v>23</v>
      </c>
    </row>
    <row r="820" spans="2:22" ht="12" customHeight="1">
      <c r="B820" s="211">
        <v>46248</v>
      </c>
      <c r="C820" s="211">
        <v>46248</v>
      </c>
      <c r="D820" s="176" t="s">
        <v>5443</v>
      </c>
      <c r="E820" s="176" t="s">
        <v>5444</v>
      </c>
      <c r="F820" s="176" t="s">
        <v>87</v>
      </c>
      <c r="G820" s="176" t="s">
        <v>2357</v>
      </c>
      <c r="H820" s="176">
        <v>40</v>
      </c>
      <c r="I820" s="176">
        <v>17.8</v>
      </c>
      <c r="J820" s="176">
        <v>17.8</v>
      </c>
      <c r="K820" s="176">
        <v>5</v>
      </c>
      <c r="L820" s="176">
        <v>0</v>
      </c>
      <c r="M820" s="176" t="s">
        <v>148</v>
      </c>
      <c r="N820" s="176" t="s">
        <v>149</v>
      </c>
      <c r="O820" s="176" t="s">
        <v>150</v>
      </c>
      <c r="P820" s="176" t="s">
        <v>151</v>
      </c>
      <c r="Q820" s="176"/>
      <c r="R820" s="176" t="s">
        <v>5444</v>
      </c>
      <c r="S820" s="176"/>
      <c r="T820" s="176" t="s">
        <v>2853</v>
      </c>
      <c r="U820" s="176" t="s">
        <v>152</v>
      </c>
      <c r="V820" s="176" t="s">
        <v>23</v>
      </c>
    </row>
    <row r="821" spans="2:22" ht="12" customHeight="1">
      <c r="B821" s="211">
        <v>46248</v>
      </c>
      <c r="C821" s="211">
        <v>46248</v>
      </c>
      <c r="D821" s="176" t="s">
        <v>5445</v>
      </c>
      <c r="E821" s="176" t="s">
        <v>5446</v>
      </c>
      <c r="F821" s="176" t="s">
        <v>87</v>
      </c>
      <c r="G821" s="176" t="s">
        <v>2357</v>
      </c>
      <c r="H821" s="176">
        <v>40</v>
      </c>
      <c r="I821" s="176">
        <v>30.6</v>
      </c>
      <c r="J821" s="176">
        <v>30.6</v>
      </c>
      <c r="K821" s="176">
        <v>5</v>
      </c>
      <c r="L821" s="176">
        <v>0</v>
      </c>
      <c r="M821" s="176" t="s">
        <v>148</v>
      </c>
      <c r="N821" s="176" t="s">
        <v>149</v>
      </c>
      <c r="O821" s="176" t="s">
        <v>150</v>
      </c>
      <c r="P821" s="176" t="s">
        <v>151</v>
      </c>
      <c r="Q821" s="176"/>
      <c r="R821" s="176" t="s">
        <v>5446</v>
      </c>
      <c r="S821" s="176"/>
      <c r="T821" s="176" t="s">
        <v>2853</v>
      </c>
      <c r="U821" s="176" t="s">
        <v>152</v>
      </c>
      <c r="V821" s="176" t="s">
        <v>23</v>
      </c>
    </row>
    <row r="822" spans="2:22" ht="12" customHeight="1">
      <c r="B822" s="211">
        <v>46248</v>
      </c>
      <c r="C822" s="211">
        <v>46248</v>
      </c>
      <c r="D822" s="176" t="s">
        <v>5447</v>
      </c>
      <c r="E822" s="176" t="s">
        <v>5448</v>
      </c>
      <c r="F822" s="176" t="s">
        <v>87</v>
      </c>
      <c r="G822" s="176" t="s">
        <v>2404</v>
      </c>
      <c r="H822" s="176">
        <v>40</v>
      </c>
      <c r="I822" s="176">
        <v>30.9</v>
      </c>
      <c r="J822" s="176">
        <v>30.9</v>
      </c>
      <c r="K822" s="176">
        <v>5</v>
      </c>
      <c r="L822" s="176">
        <v>0</v>
      </c>
      <c r="M822" s="176" t="s">
        <v>148</v>
      </c>
      <c r="N822" s="176" t="s">
        <v>149</v>
      </c>
      <c r="O822" s="176" t="s">
        <v>150</v>
      </c>
      <c r="P822" s="176" t="s">
        <v>151</v>
      </c>
      <c r="Q822" s="176"/>
      <c r="R822" s="176" t="s">
        <v>5448</v>
      </c>
      <c r="S822" s="176"/>
      <c r="T822" s="176" t="s">
        <v>2853</v>
      </c>
      <c r="U822" s="176" t="s">
        <v>152</v>
      </c>
      <c r="V822" s="176" t="s">
        <v>23</v>
      </c>
    </row>
    <row r="823" spans="2:22" ht="12" customHeight="1">
      <c r="B823" s="211">
        <v>46248</v>
      </c>
      <c r="C823" s="211">
        <v>46248</v>
      </c>
      <c r="D823" s="176" t="s">
        <v>5449</v>
      </c>
      <c r="E823" s="176" t="s">
        <v>5450</v>
      </c>
      <c r="F823" s="176" t="s">
        <v>87</v>
      </c>
      <c r="G823" s="176" t="s">
        <v>5097</v>
      </c>
      <c r="H823" s="176">
        <v>25</v>
      </c>
      <c r="I823" s="176">
        <v>34.799999999999997</v>
      </c>
      <c r="J823" s="176">
        <v>34.799999999999997</v>
      </c>
      <c r="K823" s="176">
        <v>4</v>
      </c>
      <c r="L823" s="176">
        <v>0</v>
      </c>
      <c r="M823" s="176" t="s">
        <v>148</v>
      </c>
      <c r="N823" s="176" t="s">
        <v>149</v>
      </c>
      <c r="O823" s="176" t="s">
        <v>150</v>
      </c>
      <c r="P823" s="176" t="s">
        <v>151</v>
      </c>
      <c r="Q823" s="176"/>
      <c r="R823" s="176" t="s">
        <v>5450</v>
      </c>
      <c r="S823" s="176"/>
      <c r="T823" s="176" t="s">
        <v>2853</v>
      </c>
      <c r="U823" s="176" t="s">
        <v>152</v>
      </c>
      <c r="V823" s="176" t="s">
        <v>23</v>
      </c>
    </row>
    <row r="824" spans="2:22" ht="12" customHeight="1">
      <c r="B824" s="211">
        <v>46248</v>
      </c>
      <c r="C824" s="211">
        <v>46248</v>
      </c>
      <c r="D824" s="176" t="s">
        <v>5451</v>
      </c>
      <c r="E824" s="176" t="s">
        <v>5452</v>
      </c>
      <c r="F824" s="176" t="s">
        <v>87</v>
      </c>
      <c r="G824" s="176" t="s">
        <v>5097</v>
      </c>
      <c r="H824" s="176">
        <v>25</v>
      </c>
      <c r="I824" s="176">
        <v>28.8</v>
      </c>
      <c r="J824" s="176">
        <v>28.8</v>
      </c>
      <c r="K824" s="176">
        <v>4</v>
      </c>
      <c r="L824" s="176">
        <v>0</v>
      </c>
      <c r="M824" s="176" t="s">
        <v>148</v>
      </c>
      <c r="N824" s="176" t="s">
        <v>149</v>
      </c>
      <c r="O824" s="176" t="s">
        <v>150</v>
      </c>
      <c r="P824" s="176" t="s">
        <v>151</v>
      </c>
      <c r="Q824" s="176"/>
      <c r="R824" s="176" t="s">
        <v>5452</v>
      </c>
      <c r="S824" s="176"/>
      <c r="T824" s="176" t="s">
        <v>2853</v>
      </c>
      <c r="U824" s="176" t="s">
        <v>152</v>
      </c>
      <c r="V824" s="176" t="s">
        <v>23</v>
      </c>
    </row>
    <row r="825" spans="2:22" ht="12" customHeight="1">
      <c r="B825" s="211">
        <v>46248</v>
      </c>
      <c r="C825" s="211">
        <v>46248</v>
      </c>
      <c r="D825" s="176" t="s">
        <v>5453</v>
      </c>
      <c r="E825" s="176" t="s">
        <v>5454</v>
      </c>
      <c r="F825" s="176" t="s">
        <v>87</v>
      </c>
      <c r="G825" s="176" t="s">
        <v>2334</v>
      </c>
      <c r="H825" s="176">
        <v>40</v>
      </c>
      <c r="I825" s="176">
        <v>22.3</v>
      </c>
      <c r="J825" s="176">
        <v>22.3</v>
      </c>
      <c r="K825" s="176">
        <v>5</v>
      </c>
      <c r="L825" s="176">
        <v>0</v>
      </c>
      <c r="M825" s="176" t="s">
        <v>148</v>
      </c>
      <c r="N825" s="176" t="s">
        <v>149</v>
      </c>
      <c r="O825" s="176" t="s">
        <v>150</v>
      </c>
      <c r="P825" s="176" t="s">
        <v>151</v>
      </c>
      <c r="Q825" s="176"/>
      <c r="R825" s="176" t="s">
        <v>5454</v>
      </c>
      <c r="S825" s="176"/>
      <c r="T825" s="176" t="s">
        <v>2853</v>
      </c>
      <c r="U825" s="176" t="s">
        <v>152</v>
      </c>
      <c r="V825" s="176" t="s">
        <v>23</v>
      </c>
    </row>
    <row r="826" spans="2:22" ht="12" customHeight="1">
      <c r="B826" s="211">
        <v>46248</v>
      </c>
      <c r="C826" s="211">
        <v>46248</v>
      </c>
      <c r="D826" s="176" t="s">
        <v>5455</v>
      </c>
      <c r="E826" s="176" t="s">
        <v>5456</v>
      </c>
      <c r="F826" s="176" t="s">
        <v>87</v>
      </c>
      <c r="G826" s="176" t="s">
        <v>5097</v>
      </c>
      <c r="H826" s="176">
        <v>25</v>
      </c>
      <c r="I826" s="176">
        <v>27.9</v>
      </c>
      <c r="J826" s="176">
        <v>27.9</v>
      </c>
      <c r="K826" s="176">
        <v>4</v>
      </c>
      <c r="L826" s="176">
        <v>0</v>
      </c>
      <c r="M826" s="176" t="s">
        <v>148</v>
      </c>
      <c r="N826" s="176" t="s">
        <v>149</v>
      </c>
      <c r="O826" s="176" t="s">
        <v>150</v>
      </c>
      <c r="P826" s="176" t="s">
        <v>151</v>
      </c>
      <c r="Q826" s="176"/>
      <c r="R826" s="176" t="s">
        <v>5456</v>
      </c>
      <c r="S826" s="176"/>
      <c r="T826" s="176" t="s">
        <v>2853</v>
      </c>
      <c r="U826" s="176" t="s">
        <v>152</v>
      </c>
      <c r="V826" s="176" t="s">
        <v>23</v>
      </c>
    </row>
    <row r="827" spans="2:22" ht="12" customHeight="1">
      <c r="B827" s="211">
        <v>46248</v>
      </c>
      <c r="C827" s="211">
        <v>46248</v>
      </c>
      <c r="D827" s="176" t="s">
        <v>5457</v>
      </c>
      <c r="E827" s="176" t="s">
        <v>5458</v>
      </c>
      <c r="F827" s="176" t="s">
        <v>87</v>
      </c>
      <c r="G827" s="176" t="s">
        <v>5097</v>
      </c>
      <c r="H827" s="176">
        <v>25</v>
      </c>
      <c r="I827" s="176">
        <v>29.4</v>
      </c>
      <c r="J827" s="176">
        <v>29.4</v>
      </c>
      <c r="K827" s="176">
        <v>4</v>
      </c>
      <c r="L827" s="176">
        <v>0</v>
      </c>
      <c r="M827" s="176" t="s">
        <v>148</v>
      </c>
      <c r="N827" s="176" t="s">
        <v>149</v>
      </c>
      <c r="O827" s="176" t="s">
        <v>150</v>
      </c>
      <c r="P827" s="176" t="s">
        <v>151</v>
      </c>
      <c r="Q827" s="176"/>
      <c r="R827" s="176" t="s">
        <v>5458</v>
      </c>
      <c r="S827" s="176"/>
      <c r="T827" s="176" t="s">
        <v>2853</v>
      </c>
      <c r="U827" s="176" t="s">
        <v>152</v>
      </c>
      <c r="V827" s="176" t="s">
        <v>23</v>
      </c>
    </row>
    <row r="828" spans="2:22" ht="12" customHeight="1">
      <c r="B828" s="211">
        <v>46248</v>
      </c>
      <c r="C828" s="211">
        <v>46248</v>
      </c>
      <c r="D828" s="176" t="s">
        <v>5459</v>
      </c>
      <c r="E828" s="176" t="s">
        <v>5460</v>
      </c>
      <c r="F828" s="176" t="s">
        <v>87</v>
      </c>
      <c r="G828" s="176" t="s">
        <v>1678</v>
      </c>
      <c r="H828" s="176">
        <v>30</v>
      </c>
      <c r="I828" s="176">
        <v>21.2</v>
      </c>
      <c r="J828" s="176">
        <v>21.2</v>
      </c>
      <c r="K828" s="176">
        <v>4</v>
      </c>
      <c r="L828" s="176">
        <v>0</v>
      </c>
      <c r="M828" s="176" t="s">
        <v>148</v>
      </c>
      <c r="N828" s="176" t="s">
        <v>149</v>
      </c>
      <c r="O828" s="176" t="s">
        <v>150</v>
      </c>
      <c r="P828" s="176" t="s">
        <v>151</v>
      </c>
      <c r="Q828" s="176"/>
      <c r="R828" s="176" t="s">
        <v>5460</v>
      </c>
      <c r="S828" s="176"/>
      <c r="T828" s="176" t="s">
        <v>2853</v>
      </c>
      <c r="U828" s="176" t="s">
        <v>152</v>
      </c>
      <c r="V828" s="176" t="s">
        <v>23</v>
      </c>
    </row>
    <row r="829" spans="2:22" ht="12" customHeight="1">
      <c r="B829" s="211">
        <v>46248</v>
      </c>
      <c r="C829" s="211">
        <v>46248</v>
      </c>
      <c r="D829" s="176" t="s">
        <v>5461</v>
      </c>
      <c r="E829" s="176" t="s">
        <v>5462</v>
      </c>
      <c r="F829" s="176" t="s">
        <v>87</v>
      </c>
      <c r="G829" s="176" t="s">
        <v>2334</v>
      </c>
      <c r="H829" s="176">
        <v>40</v>
      </c>
      <c r="I829" s="176">
        <v>36.4</v>
      </c>
      <c r="J829" s="176">
        <v>36.4</v>
      </c>
      <c r="K829" s="176">
        <v>5</v>
      </c>
      <c r="L829" s="176">
        <v>0</v>
      </c>
      <c r="M829" s="176" t="s">
        <v>148</v>
      </c>
      <c r="N829" s="176" t="s">
        <v>149</v>
      </c>
      <c r="O829" s="176" t="s">
        <v>150</v>
      </c>
      <c r="P829" s="176" t="s">
        <v>151</v>
      </c>
      <c r="Q829" s="176"/>
      <c r="R829" s="176" t="s">
        <v>5462</v>
      </c>
      <c r="S829" s="176"/>
      <c r="T829" s="176" t="s">
        <v>2853</v>
      </c>
      <c r="U829" s="176" t="s">
        <v>152</v>
      </c>
      <c r="V829" s="176" t="s">
        <v>23</v>
      </c>
    </row>
    <row r="830" spans="2:22" ht="12" customHeight="1">
      <c r="B830" s="211">
        <v>46248</v>
      </c>
      <c r="C830" s="211">
        <v>46248</v>
      </c>
      <c r="D830" s="176" t="s">
        <v>5463</v>
      </c>
      <c r="E830" s="176" t="s">
        <v>5464</v>
      </c>
      <c r="F830" s="176" t="s">
        <v>87</v>
      </c>
      <c r="G830" s="176" t="s">
        <v>1966</v>
      </c>
      <c r="H830" s="176">
        <v>6</v>
      </c>
      <c r="I830" s="176">
        <v>28.2</v>
      </c>
      <c r="J830" s="176">
        <v>28.2</v>
      </c>
      <c r="K830" s="176">
        <v>1.5</v>
      </c>
      <c r="L830" s="176">
        <v>0</v>
      </c>
      <c r="M830" s="176" t="s">
        <v>148</v>
      </c>
      <c r="N830" s="176" t="s">
        <v>149</v>
      </c>
      <c r="O830" s="176" t="s">
        <v>150</v>
      </c>
      <c r="P830" s="176" t="s">
        <v>151</v>
      </c>
      <c r="Q830" s="176"/>
      <c r="R830" s="176" t="s">
        <v>5464</v>
      </c>
      <c r="S830" s="176"/>
      <c r="T830" s="176" t="s">
        <v>2853</v>
      </c>
      <c r="U830" s="176" t="s">
        <v>152</v>
      </c>
      <c r="V830" s="176" t="s">
        <v>23</v>
      </c>
    </row>
    <row r="831" spans="2:22" ht="12" customHeight="1">
      <c r="B831" s="211">
        <v>46248</v>
      </c>
      <c r="C831" s="211">
        <v>46248</v>
      </c>
      <c r="D831" s="176" t="s">
        <v>5465</v>
      </c>
      <c r="E831" s="176" t="s">
        <v>5466</v>
      </c>
      <c r="F831" s="176" t="s">
        <v>87</v>
      </c>
      <c r="G831" s="176" t="s">
        <v>2404</v>
      </c>
      <c r="H831" s="176">
        <v>40</v>
      </c>
      <c r="I831" s="176">
        <v>38.200000000000003</v>
      </c>
      <c r="J831" s="176">
        <v>38.200000000000003</v>
      </c>
      <c r="K831" s="176">
        <v>5</v>
      </c>
      <c r="L831" s="176">
        <v>0</v>
      </c>
      <c r="M831" s="176" t="s">
        <v>148</v>
      </c>
      <c r="N831" s="176" t="s">
        <v>149</v>
      </c>
      <c r="O831" s="176" t="s">
        <v>150</v>
      </c>
      <c r="P831" s="176" t="s">
        <v>151</v>
      </c>
      <c r="Q831" s="176"/>
      <c r="R831" s="176" t="s">
        <v>5466</v>
      </c>
      <c r="S831" s="176"/>
      <c r="T831" s="176" t="s">
        <v>2853</v>
      </c>
      <c r="U831" s="176" t="s">
        <v>152</v>
      </c>
      <c r="V831" s="176" t="s">
        <v>23</v>
      </c>
    </row>
    <row r="832" spans="2:22" ht="12" customHeight="1">
      <c r="B832" s="211">
        <v>46248</v>
      </c>
      <c r="C832" s="211">
        <v>46248</v>
      </c>
      <c r="D832" s="176" t="s">
        <v>5467</v>
      </c>
      <c r="E832" s="176" t="s">
        <v>5468</v>
      </c>
      <c r="F832" s="176" t="s">
        <v>87</v>
      </c>
      <c r="G832" s="176" t="s">
        <v>5097</v>
      </c>
      <c r="H832" s="176">
        <v>25</v>
      </c>
      <c r="I832" s="176">
        <v>21.9</v>
      </c>
      <c r="J832" s="176">
        <v>21.9</v>
      </c>
      <c r="K832" s="176">
        <v>4</v>
      </c>
      <c r="L832" s="176">
        <v>0</v>
      </c>
      <c r="M832" s="176" t="s">
        <v>148</v>
      </c>
      <c r="N832" s="176" t="s">
        <v>149</v>
      </c>
      <c r="O832" s="176" t="s">
        <v>150</v>
      </c>
      <c r="P832" s="176" t="s">
        <v>151</v>
      </c>
      <c r="Q832" s="176"/>
      <c r="R832" s="176" t="s">
        <v>5468</v>
      </c>
      <c r="S832" s="176"/>
      <c r="T832" s="176" t="s">
        <v>2853</v>
      </c>
      <c r="U832" s="176" t="s">
        <v>152</v>
      </c>
      <c r="V832" s="176" t="s">
        <v>23</v>
      </c>
    </row>
    <row r="833" spans="2:22" ht="12" customHeight="1">
      <c r="B833" s="211">
        <v>46248</v>
      </c>
      <c r="C833" s="211">
        <v>46248</v>
      </c>
      <c r="D833" s="176" t="s">
        <v>5469</v>
      </c>
      <c r="E833" s="176" t="s">
        <v>5470</v>
      </c>
      <c r="F833" s="176" t="s">
        <v>87</v>
      </c>
      <c r="G833" s="176" t="s">
        <v>1678</v>
      </c>
      <c r="H833" s="176">
        <v>30</v>
      </c>
      <c r="I833" s="176">
        <v>15.8</v>
      </c>
      <c r="J833" s="176">
        <v>15.8</v>
      </c>
      <c r="K833" s="176">
        <v>4</v>
      </c>
      <c r="L833" s="176">
        <v>0</v>
      </c>
      <c r="M833" s="176" t="s">
        <v>148</v>
      </c>
      <c r="N833" s="176" t="s">
        <v>149</v>
      </c>
      <c r="O833" s="176" t="s">
        <v>150</v>
      </c>
      <c r="P833" s="176" t="s">
        <v>151</v>
      </c>
      <c r="Q833" s="176"/>
      <c r="R833" s="176" t="s">
        <v>5470</v>
      </c>
      <c r="S833" s="176"/>
      <c r="T833" s="176" t="s">
        <v>2853</v>
      </c>
      <c r="U833" s="176" t="s">
        <v>152</v>
      </c>
      <c r="V833" s="176" t="s">
        <v>23</v>
      </c>
    </row>
    <row r="834" spans="2:22" ht="12" customHeight="1">
      <c r="B834" s="211">
        <v>46248</v>
      </c>
      <c r="C834" s="211">
        <v>46248</v>
      </c>
      <c r="D834" s="176" t="s">
        <v>5471</v>
      </c>
      <c r="E834" s="176" t="s">
        <v>5472</v>
      </c>
      <c r="F834" s="176" t="s">
        <v>87</v>
      </c>
      <c r="G834" s="176" t="s">
        <v>2334</v>
      </c>
      <c r="H834" s="176">
        <v>40</v>
      </c>
      <c r="I834" s="176">
        <v>30.2</v>
      </c>
      <c r="J834" s="176">
        <v>30.2</v>
      </c>
      <c r="K834" s="176">
        <v>5</v>
      </c>
      <c r="L834" s="176">
        <v>0</v>
      </c>
      <c r="M834" s="176" t="s">
        <v>148</v>
      </c>
      <c r="N834" s="176" t="s">
        <v>149</v>
      </c>
      <c r="O834" s="176" t="s">
        <v>150</v>
      </c>
      <c r="P834" s="176" t="s">
        <v>151</v>
      </c>
      <c r="Q834" s="176"/>
      <c r="R834" s="176" t="s">
        <v>5472</v>
      </c>
      <c r="S834" s="176"/>
      <c r="T834" s="176" t="s">
        <v>2853</v>
      </c>
      <c r="U834" s="176" t="s">
        <v>152</v>
      </c>
      <c r="V834" s="176" t="s">
        <v>23</v>
      </c>
    </row>
    <row r="835" spans="2:22" ht="12" customHeight="1">
      <c r="B835" s="211">
        <v>46248</v>
      </c>
      <c r="C835" s="211">
        <v>46248</v>
      </c>
      <c r="D835" s="176" t="s">
        <v>5473</v>
      </c>
      <c r="E835" s="176" t="s">
        <v>5474</v>
      </c>
      <c r="F835" s="176" t="s">
        <v>87</v>
      </c>
      <c r="G835" s="176" t="s">
        <v>2357</v>
      </c>
      <c r="H835" s="176">
        <v>40</v>
      </c>
      <c r="I835" s="176">
        <v>40.5</v>
      </c>
      <c r="J835" s="176">
        <v>40.5</v>
      </c>
      <c r="K835" s="176">
        <v>5</v>
      </c>
      <c r="L835" s="176">
        <v>0</v>
      </c>
      <c r="M835" s="176" t="s">
        <v>148</v>
      </c>
      <c r="N835" s="176" t="s">
        <v>149</v>
      </c>
      <c r="O835" s="176" t="s">
        <v>150</v>
      </c>
      <c r="P835" s="176" t="s">
        <v>151</v>
      </c>
      <c r="Q835" s="176"/>
      <c r="R835" s="176" t="s">
        <v>5474</v>
      </c>
      <c r="S835" s="176"/>
      <c r="T835" s="176" t="s">
        <v>2853</v>
      </c>
      <c r="U835" s="176" t="s">
        <v>152</v>
      </c>
      <c r="V835" s="176" t="s">
        <v>23</v>
      </c>
    </row>
    <row r="836" spans="2:22" ht="12" customHeight="1">
      <c r="B836" s="211">
        <v>46248</v>
      </c>
      <c r="C836" s="211">
        <v>46248</v>
      </c>
      <c r="D836" s="176" t="s">
        <v>5475</v>
      </c>
      <c r="E836" s="176" t="s">
        <v>5476</v>
      </c>
      <c r="F836" s="176" t="s">
        <v>87</v>
      </c>
      <c r="G836" s="176" t="s">
        <v>5097</v>
      </c>
      <c r="H836" s="176">
        <v>25</v>
      </c>
      <c r="I836" s="176">
        <v>35.799999999999997</v>
      </c>
      <c r="J836" s="176">
        <v>35.799999999999997</v>
      </c>
      <c r="K836" s="176">
        <v>4</v>
      </c>
      <c r="L836" s="176">
        <v>0</v>
      </c>
      <c r="M836" s="176" t="s">
        <v>148</v>
      </c>
      <c r="N836" s="176" t="s">
        <v>149</v>
      </c>
      <c r="O836" s="176" t="s">
        <v>150</v>
      </c>
      <c r="P836" s="176" t="s">
        <v>151</v>
      </c>
      <c r="Q836" s="176"/>
      <c r="R836" s="176" t="s">
        <v>5476</v>
      </c>
      <c r="S836" s="176"/>
      <c r="T836" s="176" t="s">
        <v>2853</v>
      </c>
      <c r="U836" s="176" t="s">
        <v>152</v>
      </c>
      <c r="V836" s="176" t="s">
        <v>23</v>
      </c>
    </row>
    <row r="837" spans="2:22" ht="12" customHeight="1">
      <c r="B837" s="211">
        <v>46248</v>
      </c>
      <c r="C837" s="211">
        <v>46248</v>
      </c>
      <c r="D837" s="176" t="s">
        <v>5477</v>
      </c>
      <c r="E837" s="176" t="s">
        <v>5478</v>
      </c>
      <c r="F837" s="176" t="s">
        <v>87</v>
      </c>
      <c r="G837" s="176" t="s">
        <v>2404</v>
      </c>
      <c r="H837" s="176">
        <v>40</v>
      </c>
      <c r="I837" s="176">
        <v>33.299999999999997</v>
      </c>
      <c r="J837" s="176">
        <v>33.299999999999997</v>
      </c>
      <c r="K837" s="176">
        <v>5</v>
      </c>
      <c r="L837" s="176">
        <v>0</v>
      </c>
      <c r="M837" s="176" t="s">
        <v>148</v>
      </c>
      <c r="N837" s="176" t="s">
        <v>149</v>
      </c>
      <c r="O837" s="176" t="s">
        <v>150</v>
      </c>
      <c r="P837" s="176" t="s">
        <v>151</v>
      </c>
      <c r="Q837" s="176"/>
      <c r="R837" s="176" t="s">
        <v>5478</v>
      </c>
      <c r="S837" s="176"/>
      <c r="T837" s="176" t="s">
        <v>2853</v>
      </c>
      <c r="U837" s="176" t="s">
        <v>152</v>
      </c>
      <c r="V837" s="176" t="s">
        <v>23</v>
      </c>
    </row>
    <row r="838" spans="2:22" ht="12" customHeight="1">
      <c r="B838" s="211">
        <v>46248</v>
      </c>
      <c r="C838" s="211">
        <v>46248</v>
      </c>
      <c r="D838" s="176" t="s">
        <v>5479</v>
      </c>
      <c r="E838" s="176" t="s">
        <v>5480</v>
      </c>
      <c r="F838" s="176" t="s">
        <v>87</v>
      </c>
      <c r="G838" s="176" t="s">
        <v>1678</v>
      </c>
      <c r="H838" s="176">
        <v>30</v>
      </c>
      <c r="I838" s="176">
        <v>35.4</v>
      </c>
      <c r="J838" s="176">
        <v>35.4</v>
      </c>
      <c r="K838" s="176">
        <v>4</v>
      </c>
      <c r="L838" s="176">
        <v>0</v>
      </c>
      <c r="M838" s="176" t="s">
        <v>148</v>
      </c>
      <c r="N838" s="176" t="s">
        <v>149</v>
      </c>
      <c r="O838" s="176" t="s">
        <v>150</v>
      </c>
      <c r="P838" s="176" t="s">
        <v>151</v>
      </c>
      <c r="Q838" s="176"/>
      <c r="R838" s="176" t="s">
        <v>5480</v>
      </c>
      <c r="S838" s="176"/>
      <c r="T838" s="176" t="s">
        <v>2853</v>
      </c>
      <c r="U838" s="176" t="s">
        <v>152</v>
      </c>
      <c r="V838" s="176" t="s">
        <v>23</v>
      </c>
    </row>
    <row r="839" spans="2:22" ht="12" customHeight="1">
      <c r="B839" s="211">
        <v>46248</v>
      </c>
      <c r="C839" s="211">
        <v>46248</v>
      </c>
      <c r="D839" s="176" t="s">
        <v>5481</v>
      </c>
      <c r="E839" s="176" t="s">
        <v>5482</v>
      </c>
      <c r="F839" s="176" t="s">
        <v>87</v>
      </c>
      <c r="G839" s="176" t="s">
        <v>2334</v>
      </c>
      <c r="H839" s="176">
        <v>40</v>
      </c>
      <c r="I839" s="176">
        <v>36.4</v>
      </c>
      <c r="J839" s="176">
        <v>36.4</v>
      </c>
      <c r="K839" s="176">
        <v>5</v>
      </c>
      <c r="L839" s="176">
        <v>0</v>
      </c>
      <c r="M839" s="176" t="s">
        <v>148</v>
      </c>
      <c r="N839" s="176" t="s">
        <v>149</v>
      </c>
      <c r="O839" s="176" t="s">
        <v>150</v>
      </c>
      <c r="P839" s="176" t="s">
        <v>151</v>
      </c>
      <c r="Q839" s="176"/>
      <c r="R839" s="176" t="s">
        <v>5482</v>
      </c>
      <c r="S839" s="176"/>
      <c r="T839" s="176" t="s">
        <v>2853</v>
      </c>
      <c r="U839" s="176" t="s">
        <v>152</v>
      </c>
      <c r="V839" s="176" t="s">
        <v>23</v>
      </c>
    </row>
    <row r="840" spans="2:22" ht="12" customHeight="1">
      <c r="B840" s="211">
        <v>46248</v>
      </c>
      <c r="C840" s="211">
        <v>46248</v>
      </c>
      <c r="D840" s="176" t="s">
        <v>5483</v>
      </c>
      <c r="E840" s="176" t="s">
        <v>5484</v>
      </c>
      <c r="F840" s="176" t="s">
        <v>87</v>
      </c>
      <c r="G840" s="176" t="s">
        <v>1966</v>
      </c>
      <c r="H840" s="176">
        <v>6</v>
      </c>
      <c r="I840" s="176">
        <v>8.8000000000000007</v>
      </c>
      <c r="J840" s="176">
        <v>8.8000000000000007</v>
      </c>
      <c r="K840" s="176">
        <v>1.5</v>
      </c>
      <c r="L840" s="176">
        <v>0</v>
      </c>
      <c r="M840" s="176" t="s">
        <v>148</v>
      </c>
      <c r="N840" s="176" t="s">
        <v>149</v>
      </c>
      <c r="O840" s="176" t="s">
        <v>150</v>
      </c>
      <c r="P840" s="176" t="s">
        <v>151</v>
      </c>
      <c r="Q840" s="176"/>
      <c r="R840" s="176" t="s">
        <v>5484</v>
      </c>
      <c r="S840" s="176"/>
      <c r="T840" s="176" t="s">
        <v>2853</v>
      </c>
      <c r="U840" s="176" t="s">
        <v>152</v>
      </c>
      <c r="V840" s="176" t="s">
        <v>23</v>
      </c>
    </row>
    <row r="841" spans="2:22" ht="12" customHeight="1">
      <c r="B841" s="211">
        <v>46248</v>
      </c>
      <c r="C841" s="211">
        <v>46248</v>
      </c>
      <c r="D841" s="176" t="s">
        <v>5485</v>
      </c>
      <c r="E841" s="176" t="s">
        <v>5486</v>
      </c>
      <c r="F841" s="176" t="s">
        <v>87</v>
      </c>
      <c r="G841" s="176" t="s">
        <v>1966</v>
      </c>
      <c r="H841" s="176">
        <v>6</v>
      </c>
      <c r="I841" s="176">
        <v>30.3</v>
      </c>
      <c r="J841" s="176">
        <v>30.3</v>
      </c>
      <c r="K841" s="176">
        <v>1.5</v>
      </c>
      <c r="L841" s="176">
        <v>0</v>
      </c>
      <c r="M841" s="176" t="s">
        <v>148</v>
      </c>
      <c r="N841" s="176" t="s">
        <v>149</v>
      </c>
      <c r="O841" s="176" t="s">
        <v>150</v>
      </c>
      <c r="P841" s="176" t="s">
        <v>151</v>
      </c>
      <c r="Q841" s="176"/>
      <c r="R841" s="176" t="s">
        <v>5486</v>
      </c>
      <c r="S841" s="176"/>
      <c r="T841" s="176" t="s">
        <v>2853</v>
      </c>
      <c r="U841" s="176" t="s">
        <v>152</v>
      </c>
      <c r="V841" s="176" t="s">
        <v>23</v>
      </c>
    </row>
    <row r="842" spans="2:22" ht="12" customHeight="1">
      <c r="B842" s="211">
        <v>46248</v>
      </c>
      <c r="C842" s="211">
        <v>46248</v>
      </c>
      <c r="D842" s="176" t="s">
        <v>5487</v>
      </c>
      <c r="E842" s="176" t="s">
        <v>5488</v>
      </c>
      <c r="F842" s="176" t="s">
        <v>87</v>
      </c>
      <c r="G842" s="176" t="s">
        <v>2334</v>
      </c>
      <c r="H842" s="176">
        <v>40</v>
      </c>
      <c r="I842" s="176">
        <v>23.8</v>
      </c>
      <c r="J842" s="176">
        <v>23.8</v>
      </c>
      <c r="K842" s="176">
        <v>5</v>
      </c>
      <c r="L842" s="176">
        <v>0</v>
      </c>
      <c r="M842" s="176" t="s">
        <v>148</v>
      </c>
      <c r="N842" s="176" t="s">
        <v>149</v>
      </c>
      <c r="O842" s="176" t="s">
        <v>150</v>
      </c>
      <c r="P842" s="176" t="s">
        <v>151</v>
      </c>
      <c r="Q842" s="176"/>
      <c r="R842" s="176" t="s">
        <v>5488</v>
      </c>
      <c r="S842" s="176"/>
      <c r="T842" s="176" t="s">
        <v>2853</v>
      </c>
      <c r="U842" s="176" t="s">
        <v>152</v>
      </c>
      <c r="V842" s="176" t="s">
        <v>23</v>
      </c>
    </row>
    <row r="843" spans="2:22" ht="12" customHeight="1">
      <c r="B843" s="211">
        <v>46248</v>
      </c>
      <c r="C843" s="211">
        <v>46248</v>
      </c>
      <c r="D843" s="176" t="s">
        <v>5489</v>
      </c>
      <c r="E843" s="176" t="s">
        <v>5490</v>
      </c>
      <c r="F843" s="176" t="s">
        <v>87</v>
      </c>
      <c r="G843" s="176" t="s">
        <v>2334</v>
      </c>
      <c r="H843" s="176">
        <v>40</v>
      </c>
      <c r="I843" s="176">
        <v>23.8</v>
      </c>
      <c r="J843" s="176">
        <v>23.8</v>
      </c>
      <c r="K843" s="176">
        <v>5</v>
      </c>
      <c r="L843" s="176">
        <v>0</v>
      </c>
      <c r="M843" s="176" t="s">
        <v>148</v>
      </c>
      <c r="N843" s="176" t="s">
        <v>149</v>
      </c>
      <c r="O843" s="176" t="s">
        <v>150</v>
      </c>
      <c r="P843" s="176" t="s">
        <v>151</v>
      </c>
      <c r="Q843" s="176"/>
      <c r="R843" s="176" t="s">
        <v>5490</v>
      </c>
      <c r="S843" s="176"/>
      <c r="T843" s="176" t="s">
        <v>2853</v>
      </c>
      <c r="U843" s="176" t="s">
        <v>152</v>
      </c>
      <c r="V843" s="176" t="s">
        <v>23</v>
      </c>
    </row>
    <row r="844" spans="2:22" ht="12" customHeight="1">
      <c r="B844" s="211">
        <v>46248</v>
      </c>
      <c r="C844" s="211">
        <v>46248</v>
      </c>
      <c r="D844" s="176" t="s">
        <v>5491</v>
      </c>
      <c r="E844" s="176" t="s">
        <v>5492</v>
      </c>
      <c r="F844" s="176" t="s">
        <v>87</v>
      </c>
      <c r="G844" s="176" t="s">
        <v>2357</v>
      </c>
      <c r="H844" s="176">
        <v>40</v>
      </c>
      <c r="I844" s="176">
        <v>40.9</v>
      </c>
      <c r="J844" s="176">
        <v>40.9</v>
      </c>
      <c r="K844" s="176">
        <v>5</v>
      </c>
      <c r="L844" s="176">
        <v>0</v>
      </c>
      <c r="M844" s="176" t="s">
        <v>148</v>
      </c>
      <c r="N844" s="176" t="s">
        <v>149</v>
      </c>
      <c r="O844" s="176" t="s">
        <v>150</v>
      </c>
      <c r="P844" s="176" t="s">
        <v>151</v>
      </c>
      <c r="Q844" s="176"/>
      <c r="R844" s="176" t="s">
        <v>5492</v>
      </c>
      <c r="S844" s="176"/>
      <c r="T844" s="176" t="s">
        <v>2853</v>
      </c>
      <c r="U844" s="176" t="s">
        <v>152</v>
      </c>
      <c r="V844" s="176" t="s">
        <v>23</v>
      </c>
    </row>
    <row r="845" spans="2:22" ht="12" customHeight="1">
      <c r="B845" s="211">
        <v>46248</v>
      </c>
      <c r="C845" s="211">
        <v>46248</v>
      </c>
      <c r="D845" s="176" t="s">
        <v>5493</v>
      </c>
      <c r="E845" s="176" t="s">
        <v>5494</v>
      </c>
      <c r="F845" s="176" t="s">
        <v>87</v>
      </c>
      <c r="G845" s="176" t="s">
        <v>2512</v>
      </c>
      <c r="H845" s="176">
        <v>40</v>
      </c>
      <c r="I845" s="176">
        <v>18.8</v>
      </c>
      <c r="J845" s="176">
        <v>18.8</v>
      </c>
      <c r="K845" s="176">
        <v>5</v>
      </c>
      <c r="L845" s="176">
        <v>0</v>
      </c>
      <c r="M845" s="176" t="s">
        <v>148</v>
      </c>
      <c r="N845" s="176" t="s">
        <v>149</v>
      </c>
      <c r="O845" s="176" t="s">
        <v>150</v>
      </c>
      <c r="P845" s="176" t="s">
        <v>151</v>
      </c>
      <c r="Q845" s="176"/>
      <c r="R845" s="176" t="s">
        <v>5494</v>
      </c>
      <c r="S845" s="176"/>
      <c r="T845" s="176" t="s">
        <v>2853</v>
      </c>
      <c r="U845" s="176" t="s">
        <v>152</v>
      </c>
      <c r="V845" s="176" t="s">
        <v>23</v>
      </c>
    </row>
    <row r="846" spans="2:22" ht="12" customHeight="1">
      <c r="B846" s="211">
        <v>46248</v>
      </c>
      <c r="C846" s="211">
        <v>46248</v>
      </c>
      <c r="D846" s="176" t="s">
        <v>5495</v>
      </c>
      <c r="E846" s="176" t="s">
        <v>5496</v>
      </c>
      <c r="F846" s="176" t="s">
        <v>87</v>
      </c>
      <c r="G846" s="176" t="s">
        <v>2357</v>
      </c>
      <c r="H846" s="176">
        <v>40</v>
      </c>
      <c r="I846" s="176">
        <v>18.8</v>
      </c>
      <c r="J846" s="176">
        <v>18.8</v>
      </c>
      <c r="K846" s="176">
        <v>5</v>
      </c>
      <c r="L846" s="176">
        <v>0</v>
      </c>
      <c r="M846" s="176" t="s">
        <v>148</v>
      </c>
      <c r="N846" s="176" t="s">
        <v>149</v>
      </c>
      <c r="O846" s="176" t="s">
        <v>150</v>
      </c>
      <c r="P846" s="176" t="s">
        <v>151</v>
      </c>
      <c r="Q846" s="176"/>
      <c r="R846" s="176" t="s">
        <v>5496</v>
      </c>
      <c r="S846" s="176"/>
      <c r="T846" s="176" t="s">
        <v>2853</v>
      </c>
      <c r="U846" s="176" t="s">
        <v>152</v>
      </c>
      <c r="V846" s="176" t="s">
        <v>23</v>
      </c>
    </row>
    <row r="847" spans="2:22" ht="12" customHeight="1">
      <c r="B847" s="211">
        <v>46248</v>
      </c>
      <c r="C847" s="211">
        <v>46248</v>
      </c>
      <c r="D847" s="176" t="s">
        <v>5497</v>
      </c>
      <c r="E847" s="176" t="s">
        <v>5498</v>
      </c>
      <c r="F847" s="176" t="s">
        <v>87</v>
      </c>
      <c r="G847" s="176" t="s">
        <v>1966</v>
      </c>
      <c r="H847" s="176">
        <v>6</v>
      </c>
      <c r="I847" s="176">
        <v>25.2</v>
      </c>
      <c r="J847" s="176">
        <v>25.2</v>
      </c>
      <c r="K847" s="176">
        <v>1.5</v>
      </c>
      <c r="L847" s="176">
        <v>0</v>
      </c>
      <c r="M847" s="176" t="s">
        <v>148</v>
      </c>
      <c r="N847" s="176" t="s">
        <v>149</v>
      </c>
      <c r="O847" s="176" t="s">
        <v>150</v>
      </c>
      <c r="P847" s="176" t="s">
        <v>151</v>
      </c>
      <c r="Q847" s="176"/>
      <c r="R847" s="176" t="s">
        <v>5498</v>
      </c>
      <c r="S847" s="176"/>
      <c r="T847" s="176" t="s">
        <v>2853</v>
      </c>
      <c r="U847" s="176" t="s">
        <v>152</v>
      </c>
      <c r="V847" s="176" t="s">
        <v>23</v>
      </c>
    </row>
    <row r="848" spans="2:22" ht="12" customHeight="1">
      <c r="B848" s="211">
        <v>46248</v>
      </c>
      <c r="C848" s="211">
        <v>46248</v>
      </c>
      <c r="D848" s="176" t="s">
        <v>5499</v>
      </c>
      <c r="E848" s="176" t="s">
        <v>5500</v>
      </c>
      <c r="F848" s="176" t="s">
        <v>87</v>
      </c>
      <c r="G848" s="176" t="s">
        <v>2515</v>
      </c>
      <c r="H848" s="176">
        <v>50</v>
      </c>
      <c r="I848" s="176">
        <v>29.3</v>
      </c>
      <c r="J848" s="176">
        <v>29.3</v>
      </c>
      <c r="K848" s="176">
        <v>5</v>
      </c>
      <c r="L848" s="176">
        <v>0</v>
      </c>
      <c r="M848" s="176" t="s">
        <v>148</v>
      </c>
      <c r="N848" s="176" t="s">
        <v>149</v>
      </c>
      <c r="O848" s="176" t="s">
        <v>150</v>
      </c>
      <c r="P848" s="176" t="s">
        <v>151</v>
      </c>
      <c r="Q848" s="176"/>
      <c r="R848" s="176" t="s">
        <v>5500</v>
      </c>
      <c r="S848" s="176"/>
      <c r="T848" s="176" t="s">
        <v>2853</v>
      </c>
      <c r="U848" s="176" t="s">
        <v>152</v>
      </c>
      <c r="V848" s="176" t="s">
        <v>23</v>
      </c>
    </row>
    <row r="849" spans="2:22" ht="12" customHeight="1">
      <c r="B849" s="211">
        <v>46248</v>
      </c>
      <c r="C849" s="211">
        <v>46248</v>
      </c>
      <c r="D849" s="176" t="s">
        <v>5501</v>
      </c>
      <c r="E849" s="176" t="s">
        <v>5502</v>
      </c>
      <c r="F849" s="176" t="s">
        <v>87</v>
      </c>
      <c r="G849" s="176" t="s">
        <v>2515</v>
      </c>
      <c r="H849" s="176">
        <v>50</v>
      </c>
      <c r="I849" s="176">
        <v>16.8</v>
      </c>
      <c r="J849" s="176">
        <v>16.8</v>
      </c>
      <c r="K849" s="176">
        <v>5</v>
      </c>
      <c r="L849" s="176">
        <v>0</v>
      </c>
      <c r="M849" s="176" t="s">
        <v>148</v>
      </c>
      <c r="N849" s="176" t="s">
        <v>149</v>
      </c>
      <c r="O849" s="176" t="s">
        <v>150</v>
      </c>
      <c r="P849" s="176" t="s">
        <v>151</v>
      </c>
      <c r="Q849" s="176"/>
      <c r="R849" s="176" t="s">
        <v>5502</v>
      </c>
      <c r="S849" s="176"/>
      <c r="T849" s="176" t="s">
        <v>2853</v>
      </c>
      <c r="U849" s="176" t="s">
        <v>152</v>
      </c>
      <c r="V849" s="176" t="s">
        <v>23</v>
      </c>
    </row>
    <row r="850" spans="2:22" ht="12" customHeight="1">
      <c r="B850" s="211">
        <v>46248</v>
      </c>
      <c r="C850" s="211">
        <v>46248</v>
      </c>
      <c r="D850" s="176" t="s">
        <v>5503</v>
      </c>
      <c r="E850" s="176" t="s">
        <v>5504</v>
      </c>
      <c r="F850" s="176" t="s">
        <v>87</v>
      </c>
      <c r="G850" s="176" t="s">
        <v>4000</v>
      </c>
      <c r="H850" s="176">
        <v>50</v>
      </c>
      <c r="I850" s="176">
        <v>41.8</v>
      </c>
      <c r="J850" s="176">
        <v>41.8</v>
      </c>
      <c r="K850" s="176">
        <v>5</v>
      </c>
      <c r="L850" s="176">
        <v>0</v>
      </c>
      <c r="M850" s="176" t="s">
        <v>148</v>
      </c>
      <c r="N850" s="176" t="s">
        <v>149</v>
      </c>
      <c r="O850" s="176" t="s">
        <v>150</v>
      </c>
      <c r="P850" s="176" t="s">
        <v>151</v>
      </c>
      <c r="Q850" s="176"/>
      <c r="R850" s="176" t="s">
        <v>5504</v>
      </c>
      <c r="S850" s="176"/>
      <c r="T850" s="176" t="s">
        <v>2853</v>
      </c>
      <c r="U850" s="176" t="s">
        <v>152</v>
      </c>
      <c r="V850" s="176" t="s">
        <v>23</v>
      </c>
    </row>
    <row r="851" spans="2:22" ht="12" customHeight="1">
      <c r="B851" s="211">
        <v>46248</v>
      </c>
      <c r="C851" s="211">
        <v>46248</v>
      </c>
      <c r="D851" s="176" t="s">
        <v>5505</v>
      </c>
      <c r="E851" s="176" t="s">
        <v>5506</v>
      </c>
      <c r="F851" s="176" t="s">
        <v>87</v>
      </c>
      <c r="G851" s="176" t="s">
        <v>2357</v>
      </c>
      <c r="H851" s="176">
        <v>40</v>
      </c>
      <c r="I851" s="176">
        <v>36.799999999999997</v>
      </c>
      <c r="J851" s="176">
        <v>36.799999999999997</v>
      </c>
      <c r="K851" s="176">
        <v>5</v>
      </c>
      <c r="L851" s="176">
        <v>0</v>
      </c>
      <c r="M851" s="176" t="s">
        <v>148</v>
      </c>
      <c r="N851" s="176" t="s">
        <v>149</v>
      </c>
      <c r="O851" s="176" t="s">
        <v>150</v>
      </c>
      <c r="P851" s="176" t="s">
        <v>151</v>
      </c>
      <c r="Q851" s="176"/>
      <c r="R851" s="176" t="s">
        <v>5506</v>
      </c>
      <c r="S851" s="176"/>
      <c r="T851" s="176" t="s">
        <v>2853</v>
      </c>
      <c r="U851" s="176" t="s">
        <v>152</v>
      </c>
      <c r="V851" s="176" t="s">
        <v>23</v>
      </c>
    </row>
    <row r="852" spans="2:22" ht="12" customHeight="1">
      <c r="B852" s="211">
        <v>46248</v>
      </c>
      <c r="C852" s="211">
        <v>46248</v>
      </c>
      <c r="D852" s="176" t="s">
        <v>5507</v>
      </c>
      <c r="E852" s="176" t="s">
        <v>5508</v>
      </c>
      <c r="F852" s="176" t="s">
        <v>87</v>
      </c>
      <c r="G852" s="176" t="s">
        <v>2334</v>
      </c>
      <c r="H852" s="176">
        <v>40</v>
      </c>
      <c r="I852" s="176">
        <v>36.799999999999997</v>
      </c>
      <c r="J852" s="176">
        <v>36.799999999999997</v>
      </c>
      <c r="K852" s="176">
        <v>5</v>
      </c>
      <c r="L852" s="176">
        <v>0</v>
      </c>
      <c r="M852" s="176" t="s">
        <v>148</v>
      </c>
      <c r="N852" s="176" t="s">
        <v>149</v>
      </c>
      <c r="O852" s="176" t="s">
        <v>150</v>
      </c>
      <c r="P852" s="176" t="s">
        <v>151</v>
      </c>
      <c r="Q852" s="176"/>
      <c r="R852" s="176" t="s">
        <v>5508</v>
      </c>
      <c r="S852" s="176"/>
      <c r="T852" s="176" t="s">
        <v>2853</v>
      </c>
      <c r="U852" s="176" t="s">
        <v>152</v>
      </c>
      <c r="V852" s="176" t="s">
        <v>23</v>
      </c>
    </row>
    <row r="853" spans="2:22" ht="12" customHeight="1">
      <c r="B853" s="211">
        <v>46248</v>
      </c>
      <c r="C853" s="211">
        <v>46248</v>
      </c>
      <c r="D853" s="176" t="s">
        <v>5509</v>
      </c>
      <c r="E853" s="176" t="s">
        <v>5510</v>
      </c>
      <c r="F853" s="176" t="s">
        <v>87</v>
      </c>
      <c r="G853" s="176" t="s">
        <v>4512</v>
      </c>
      <c r="H853" s="176">
        <v>55</v>
      </c>
      <c r="I853" s="176">
        <v>27.2</v>
      </c>
      <c r="J853" s="176">
        <v>27.2</v>
      </c>
      <c r="K853" s="176">
        <v>5</v>
      </c>
      <c r="L853" s="176">
        <v>0</v>
      </c>
      <c r="M853" s="176" t="s">
        <v>148</v>
      </c>
      <c r="N853" s="176" t="s">
        <v>149</v>
      </c>
      <c r="O853" s="176" t="s">
        <v>150</v>
      </c>
      <c r="P853" s="176" t="s">
        <v>151</v>
      </c>
      <c r="Q853" s="176"/>
      <c r="R853" s="176" t="s">
        <v>5510</v>
      </c>
      <c r="S853" s="176"/>
      <c r="T853" s="176" t="s">
        <v>2853</v>
      </c>
      <c r="U853" s="176" t="s">
        <v>152</v>
      </c>
      <c r="V853" s="176" t="s">
        <v>23</v>
      </c>
    </row>
    <row r="854" spans="2:22" ht="12" customHeight="1">
      <c r="B854" s="211">
        <v>46248</v>
      </c>
      <c r="C854" s="211">
        <v>46248</v>
      </c>
      <c r="D854" s="176" t="s">
        <v>5511</v>
      </c>
      <c r="E854" s="176" t="s">
        <v>5512</v>
      </c>
      <c r="F854" s="176" t="s">
        <v>87</v>
      </c>
      <c r="G854" s="176" t="s">
        <v>2357</v>
      </c>
      <c r="H854" s="176">
        <v>40</v>
      </c>
      <c r="I854" s="176">
        <v>38.200000000000003</v>
      </c>
      <c r="J854" s="176">
        <v>38.200000000000003</v>
      </c>
      <c r="K854" s="176">
        <v>5</v>
      </c>
      <c r="L854" s="176">
        <v>0</v>
      </c>
      <c r="M854" s="176" t="s">
        <v>148</v>
      </c>
      <c r="N854" s="176" t="s">
        <v>149</v>
      </c>
      <c r="O854" s="176" t="s">
        <v>150</v>
      </c>
      <c r="P854" s="176" t="s">
        <v>151</v>
      </c>
      <c r="Q854" s="176"/>
      <c r="R854" s="176" t="s">
        <v>5512</v>
      </c>
      <c r="S854" s="176"/>
      <c r="T854" s="176" t="s">
        <v>2853</v>
      </c>
      <c r="U854" s="176" t="s">
        <v>152</v>
      </c>
      <c r="V854" s="176" t="s">
        <v>23</v>
      </c>
    </row>
    <row r="855" spans="2:22" ht="12" customHeight="1">
      <c r="B855" s="211">
        <v>46248</v>
      </c>
      <c r="C855" s="211">
        <v>46248</v>
      </c>
      <c r="D855" s="176" t="s">
        <v>5513</v>
      </c>
      <c r="E855" s="176" t="s">
        <v>5514</v>
      </c>
      <c r="F855" s="176" t="s">
        <v>87</v>
      </c>
      <c r="G855" s="176" t="s">
        <v>2357</v>
      </c>
      <c r="H855" s="176">
        <v>40</v>
      </c>
      <c r="I855" s="176">
        <v>24.7</v>
      </c>
      <c r="J855" s="176">
        <v>24.7</v>
      </c>
      <c r="K855" s="176">
        <v>5</v>
      </c>
      <c r="L855" s="176">
        <v>0</v>
      </c>
      <c r="M855" s="176" t="s">
        <v>148</v>
      </c>
      <c r="N855" s="176" t="s">
        <v>149</v>
      </c>
      <c r="O855" s="176" t="s">
        <v>150</v>
      </c>
      <c r="P855" s="176" t="s">
        <v>151</v>
      </c>
      <c r="Q855" s="176"/>
      <c r="R855" s="176" t="s">
        <v>5514</v>
      </c>
      <c r="S855" s="176"/>
      <c r="T855" s="176" t="s">
        <v>2853</v>
      </c>
      <c r="U855" s="176" t="s">
        <v>152</v>
      </c>
      <c r="V855" s="176" t="s">
        <v>23</v>
      </c>
    </row>
    <row r="856" spans="2:22" ht="12" customHeight="1">
      <c r="B856" s="211">
        <v>46248</v>
      </c>
      <c r="C856" s="211">
        <v>46248</v>
      </c>
      <c r="D856" s="176" t="s">
        <v>5515</v>
      </c>
      <c r="E856" s="176" t="s">
        <v>5516</v>
      </c>
      <c r="F856" s="176" t="s">
        <v>87</v>
      </c>
      <c r="G856" s="176" t="s">
        <v>2334</v>
      </c>
      <c r="H856" s="176">
        <v>40</v>
      </c>
      <c r="I856" s="176">
        <v>32.799999999999997</v>
      </c>
      <c r="J856" s="176">
        <v>32.799999999999997</v>
      </c>
      <c r="K856" s="176">
        <v>5</v>
      </c>
      <c r="L856" s="176">
        <v>0</v>
      </c>
      <c r="M856" s="176" t="s">
        <v>148</v>
      </c>
      <c r="N856" s="176" t="s">
        <v>149</v>
      </c>
      <c r="O856" s="176" t="s">
        <v>150</v>
      </c>
      <c r="P856" s="176" t="s">
        <v>151</v>
      </c>
      <c r="Q856" s="176"/>
      <c r="R856" s="176" t="s">
        <v>5516</v>
      </c>
      <c r="S856" s="176"/>
      <c r="T856" s="176" t="s">
        <v>2853</v>
      </c>
      <c r="U856" s="176" t="s">
        <v>152</v>
      </c>
      <c r="V856" s="176" t="s">
        <v>23</v>
      </c>
    </row>
    <row r="857" spans="2:22" ht="12" customHeight="1">
      <c r="B857" s="211">
        <v>46248</v>
      </c>
      <c r="C857" s="211">
        <v>46248</v>
      </c>
      <c r="D857" s="176" t="s">
        <v>5517</v>
      </c>
      <c r="E857" s="176" t="s">
        <v>5518</v>
      </c>
      <c r="F857" s="176" t="s">
        <v>87</v>
      </c>
      <c r="G857" s="176" t="s">
        <v>2404</v>
      </c>
      <c r="H857" s="176">
        <v>40</v>
      </c>
      <c r="I857" s="176">
        <v>12.8</v>
      </c>
      <c r="J857" s="176">
        <v>12.8</v>
      </c>
      <c r="K857" s="176">
        <v>5</v>
      </c>
      <c r="L857" s="176">
        <v>0</v>
      </c>
      <c r="M857" s="176" t="s">
        <v>148</v>
      </c>
      <c r="N857" s="176" t="s">
        <v>149</v>
      </c>
      <c r="O857" s="176" t="s">
        <v>150</v>
      </c>
      <c r="P857" s="176" t="s">
        <v>151</v>
      </c>
      <c r="Q857" s="176"/>
      <c r="R857" s="176" t="s">
        <v>5518</v>
      </c>
      <c r="S857" s="176"/>
      <c r="T857" s="176" t="s">
        <v>2853</v>
      </c>
      <c r="U857" s="176" t="s">
        <v>152</v>
      </c>
      <c r="V857" s="176" t="s">
        <v>23</v>
      </c>
    </row>
    <row r="858" spans="2:22" ht="12" customHeight="1">
      <c r="B858" s="211">
        <v>46248</v>
      </c>
      <c r="C858" s="211">
        <v>46248</v>
      </c>
      <c r="D858" s="176" t="s">
        <v>5519</v>
      </c>
      <c r="E858" s="176" t="s">
        <v>5520</v>
      </c>
      <c r="F858" s="176" t="s">
        <v>87</v>
      </c>
      <c r="G858" s="176" t="s">
        <v>1678</v>
      </c>
      <c r="H858" s="176">
        <v>30</v>
      </c>
      <c r="I858" s="176">
        <v>30</v>
      </c>
      <c r="J858" s="176">
        <v>30</v>
      </c>
      <c r="K858" s="176">
        <v>4</v>
      </c>
      <c r="L858" s="176">
        <v>0</v>
      </c>
      <c r="M858" s="176" t="s">
        <v>148</v>
      </c>
      <c r="N858" s="176" t="s">
        <v>149</v>
      </c>
      <c r="O858" s="176" t="s">
        <v>150</v>
      </c>
      <c r="P858" s="176" t="s">
        <v>151</v>
      </c>
      <c r="Q858" s="176"/>
      <c r="R858" s="176" t="s">
        <v>5520</v>
      </c>
      <c r="S858" s="176"/>
      <c r="T858" s="176" t="s">
        <v>2853</v>
      </c>
      <c r="U858" s="176" t="s">
        <v>152</v>
      </c>
      <c r="V858" s="176" t="s">
        <v>23</v>
      </c>
    </row>
    <row r="859" spans="2:22" ht="12" customHeight="1">
      <c r="B859" s="211">
        <v>46248</v>
      </c>
      <c r="C859" s="211">
        <v>46248</v>
      </c>
      <c r="D859" s="176" t="s">
        <v>5521</v>
      </c>
      <c r="E859" s="176" t="s">
        <v>5522</v>
      </c>
      <c r="F859" s="176" t="s">
        <v>87</v>
      </c>
      <c r="G859" s="176" t="s">
        <v>2334</v>
      </c>
      <c r="H859" s="176">
        <v>40</v>
      </c>
      <c r="I859" s="176">
        <v>36.299999999999997</v>
      </c>
      <c r="J859" s="176">
        <v>36.299999999999997</v>
      </c>
      <c r="K859" s="176">
        <v>5</v>
      </c>
      <c r="L859" s="176">
        <v>0</v>
      </c>
      <c r="M859" s="176" t="s">
        <v>148</v>
      </c>
      <c r="N859" s="176" t="s">
        <v>149</v>
      </c>
      <c r="O859" s="176" t="s">
        <v>150</v>
      </c>
      <c r="P859" s="176" t="s">
        <v>151</v>
      </c>
      <c r="Q859" s="176"/>
      <c r="R859" s="176" t="s">
        <v>5522</v>
      </c>
      <c r="S859" s="176"/>
      <c r="T859" s="176" t="s">
        <v>2853</v>
      </c>
      <c r="U859" s="176" t="s">
        <v>152</v>
      </c>
      <c r="V859" s="176" t="s">
        <v>23</v>
      </c>
    </row>
    <row r="860" spans="2:22" ht="12" customHeight="1">
      <c r="B860" s="211">
        <v>46248</v>
      </c>
      <c r="C860" s="211">
        <v>46248</v>
      </c>
      <c r="D860" s="176" t="s">
        <v>5523</v>
      </c>
      <c r="E860" s="176" t="s">
        <v>5524</v>
      </c>
      <c r="F860" s="176" t="s">
        <v>87</v>
      </c>
      <c r="G860" s="176" t="s">
        <v>1966</v>
      </c>
      <c r="H860" s="176">
        <v>6</v>
      </c>
      <c r="I860" s="176">
        <v>34.299999999999997</v>
      </c>
      <c r="J860" s="176">
        <v>34.299999999999997</v>
      </c>
      <c r="K860" s="176">
        <v>1.5</v>
      </c>
      <c r="L860" s="176">
        <v>0</v>
      </c>
      <c r="M860" s="176" t="s">
        <v>148</v>
      </c>
      <c r="N860" s="176" t="s">
        <v>149</v>
      </c>
      <c r="O860" s="176" t="s">
        <v>150</v>
      </c>
      <c r="P860" s="176" t="s">
        <v>151</v>
      </c>
      <c r="Q860" s="176"/>
      <c r="R860" s="176" t="s">
        <v>5524</v>
      </c>
      <c r="S860" s="176"/>
      <c r="T860" s="176" t="s">
        <v>2853</v>
      </c>
      <c r="U860" s="176" t="s">
        <v>152</v>
      </c>
      <c r="V860" s="176" t="s">
        <v>23</v>
      </c>
    </row>
    <row r="861" spans="2:22" ht="12" customHeight="1">
      <c r="B861" s="211">
        <v>46248</v>
      </c>
      <c r="C861" s="211">
        <v>46248</v>
      </c>
      <c r="D861" s="176" t="s">
        <v>5525</v>
      </c>
      <c r="E861" s="176" t="s">
        <v>5526</v>
      </c>
      <c r="F861" s="176" t="s">
        <v>87</v>
      </c>
      <c r="G861" s="176" t="s">
        <v>2515</v>
      </c>
      <c r="H861" s="176">
        <v>50</v>
      </c>
      <c r="I861" s="176">
        <v>42.5</v>
      </c>
      <c r="J861" s="176">
        <v>42.5</v>
      </c>
      <c r="K861" s="176">
        <v>5</v>
      </c>
      <c r="L861" s="176">
        <v>0</v>
      </c>
      <c r="M861" s="176" t="s">
        <v>148</v>
      </c>
      <c r="N861" s="176" t="s">
        <v>149</v>
      </c>
      <c r="O861" s="176" t="s">
        <v>150</v>
      </c>
      <c r="P861" s="176" t="s">
        <v>151</v>
      </c>
      <c r="Q861" s="176"/>
      <c r="R861" s="176" t="s">
        <v>5526</v>
      </c>
      <c r="S861" s="176"/>
      <c r="T861" s="176" t="s">
        <v>2853</v>
      </c>
      <c r="U861" s="176" t="s">
        <v>152</v>
      </c>
      <c r="V861" s="176" t="s">
        <v>23</v>
      </c>
    </row>
    <row r="862" spans="2:22" ht="12" customHeight="1">
      <c r="B862" s="211">
        <v>46248</v>
      </c>
      <c r="C862" s="211">
        <v>46248</v>
      </c>
      <c r="D862" s="176" t="s">
        <v>5527</v>
      </c>
      <c r="E862" s="176" t="s">
        <v>5528</v>
      </c>
      <c r="F862" s="176" t="s">
        <v>87</v>
      </c>
      <c r="G862" s="176" t="s">
        <v>1678</v>
      </c>
      <c r="H862" s="176">
        <v>30</v>
      </c>
      <c r="I862" s="176">
        <v>28.8</v>
      </c>
      <c r="J862" s="176">
        <v>28.8</v>
      </c>
      <c r="K862" s="176">
        <v>4</v>
      </c>
      <c r="L862" s="176">
        <v>0</v>
      </c>
      <c r="M862" s="176" t="s">
        <v>148</v>
      </c>
      <c r="N862" s="176" t="s">
        <v>149</v>
      </c>
      <c r="O862" s="176" t="s">
        <v>150</v>
      </c>
      <c r="P862" s="176" t="s">
        <v>151</v>
      </c>
      <c r="Q862" s="176"/>
      <c r="R862" s="176" t="s">
        <v>5528</v>
      </c>
      <c r="S862" s="176"/>
      <c r="T862" s="176" t="s">
        <v>2853</v>
      </c>
      <c r="U862" s="176" t="s">
        <v>152</v>
      </c>
      <c r="V862" s="176" t="s">
        <v>23</v>
      </c>
    </row>
    <row r="863" spans="2:22" ht="12" customHeight="1">
      <c r="B863" s="211">
        <v>46248</v>
      </c>
      <c r="C863" s="211">
        <v>46248</v>
      </c>
      <c r="D863" s="176" t="s">
        <v>5529</v>
      </c>
      <c r="E863" s="176" t="s">
        <v>5530</v>
      </c>
      <c r="F863" s="176" t="s">
        <v>87</v>
      </c>
      <c r="G863" s="176" t="s">
        <v>1678</v>
      </c>
      <c r="H863" s="176">
        <v>30</v>
      </c>
      <c r="I863" s="176">
        <v>32.799999999999997</v>
      </c>
      <c r="J863" s="176">
        <v>32.799999999999997</v>
      </c>
      <c r="K863" s="176">
        <v>4</v>
      </c>
      <c r="L863" s="176">
        <v>0</v>
      </c>
      <c r="M863" s="176" t="s">
        <v>148</v>
      </c>
      <c r="N863" s="176" t="s">
        <v>149</v>
      </c>
      <c r="O863" s="176" t="s">
        <v>150</v>
      </c>
      <c r="P863" s="176" t="s">
        <v>151</v>
      </c>
      <c r="Q863" s="176"/>
      <c r="R863" s="176" t="s">
        <v>5530</v>
      </c>
      <c r="S863" s="176"/>
      <c r="T863" s="176" t="s">
        <v>2853</v>
      </c>
      <c r="U863" s="176" t="s">
        <v>152</v>
      </c>
      <c r="V863" s="176" t="s">
        <v>23</v>
      </c>
    </row>
    <row r="864" spans="2:22" ht="12" customHeight="1">
      <c r="B864" s="211">
        <v>46248</v>
      </c>
      <c r="C864" s="211">
        <v>46248</v>
      </c>
      <c r="D864" s="176" t="s">
        <v>5531</v>
      </c>
      <c r="E864" s="176" t="s">
        <v>5532</v>
      </c>
      <c r="F864" s="176" t="s">
        <v>87</v>
      </c>
      <c r="G864" s="176" t="s">
        <v>2357</v>
      </c>
      <c r="H864" s="176">
        <v>40</v>
      </c>
      <c r="I864" s="176">
        <v>27.8</v>
      </c>
      <c r="J864" s="176">
        <v>27.8</v>
      </c>
      <c r="K864" s="176">
        <v>5</v>
      </c>
      <c r="L864" s="176">
        <v>0</v>
      </c>
      <c r="M864" s="176" t="s">
        <v>148</v>
      </c>
      <c r="N864" s="176" t="s">
        <v>149</v>
      </c>
      <c r="O864" s="176" t="s">
        <v>150</v>
      </c>
      <c r="P864" s="176" t="s">
        <v>151</v>
      </c>
      <c r="Q864" s="176"/>
      <c r="R864" s="176" t="s">
        <v>5532</v>
      </c>
      <c r="S864" s="176"/>
      <c r="T864" s="176" t="s">
        <v>2853</v>
      </c>
      <c r="U864" s="176" t="s">
        <v>152</v>
      </c>
      <c r="V864" s="176" t="s">
        <v>23</v>
      </c>
    </row>
    <row r="865" spans="2:22" ht="12" customHeight="1">
      <c r="B865" s="211">
        <v>46248</v>
      </c>
      <c r="C865" s="211">
        <v>46248</v>
      </c>
      <c r="D865" s="176" t="s">
        <v>5533</v>
      </c>
      <c r="E865" s="176" t="s">
        <v>5534</v>
      </c>
      <c r="F865" s="176" t="s">
        <v>87</v>
      </c>
      <c r="G865" s="176" t="s">
        <v>2357</v>
      </c>
      <c r="H865" s="176">
        <v>40</v>
      </c>
      <c r="I865" s="176">
        <v>36.5</v>
      </c>
      <c r="J865" s="176">
        <v>36.5</v>
      </c>
      <c r="K865" s="176">
        <v>5</v>
      </c>
      <c r="L865" s="176">
        <v>0</v>
      </c>
      <c r="M865" s="176" t="s">
        <v>148</v>
      </c>
      <c r="N865" s="176" t="s">
        <v>149</v>
      </c>
      <c r="O865" s="176" t="s">
        <v>150</v>
      </c>
      <c r="P865" s="176" t="s">
        <v>151</v>
      </c>
      <c r="Q865" s="176"/>
      <c r="R865" s="176" t="s">
        <v>5534</v>
      </c>
      <c r="S865" s="176"/>
      <c r="T865" s="176" t="s">
        <v>2853</v>
      </c>
      <c r="U865" s="176" t="s">
        <v>152</v>
      </c>
      <c r="V865" s="176" t="s">
        <v>23</v>
      </c>
    </row>
    <row r="866" spans="2:22" ht="12" customHeight="1">
      <c r="B866" s="211">
        <v>46248</v>
      </c>
      <c r="C866" s="211">
        <v>46248</v>
      </c>
      <c r="D866" s="176" t="s">
        <v>5535</v>
      </c>
      <c r="E866" s="176" t="s">
        <v>5536</v>
      </c>
      <c r="F866" s="176" t="s">
        <v>87</v>
      </c>
      <c r="G866" s="176" t="s">
        <v>1966</v>
      </c>
      <c r="H866" s="176">
        <v>6</v>
      </c>
      <c r="I866" s="176">
        <v>28.8</v>
      </c>
      <c r="J866" s="176">
        <v>28.8</v>
      </c>
      <c r="K866" s="176">
        <v>1.5</v>
      </c>
      <c r="L866" s="176">
        <v>0</v>
      </c>
      <c r="M866" s="176" t="s">
        <v>148</v>
      </c>
      <c r="N866" s="176" t="s">
        <v>149</v>
      </c>
      <c r="O866" s="176" t="s">
        <v>150</v>
      </c>
      <c r="P866" s="176" t="s">
        <v>151</v>
      </c>
      <c r="Q866" s="176"/>
      <c r="R866" s="176" t="s">
        <v>5536</v>
      </c>
      <c r="S866" s="176"/>
      <c r="T866" s="176" t="s">
        <v>2853</v>
      </c>
      <c r="U866" s="176" t="s">
        <v>152</v>
      </c>
      <c r="V866" s="176" t="s">
        <v>23</v>
      </c>
    </row>
    <row r="867" spans="2:22" ht="12" customHeight="1">
      <c r="B867" s="211">
        <v>46248</v>
      </c>
      <c r="C867" s="211">
        <v>46248</v>
      </c>
      <c r="D867" s="176" t="s">
        <v>5537</v>
      </c>
      <c r="E867" s="176" t="s">
        <v>5538</v>
      </c>
      <c r="F867" s="176" t="s">
        <v>87</v>
      </c>
      <c r="G867" s="176" t="s">
        <v>4512</v>
      </c>
      <c r="H867" s="176">
        <v>55</v>
      </c>
      <c r="I867" s="176">
        <v>33.4</v>
      </c>
      <c r="J867" s="176">
        <v>33.4</v>
      </c>
      <c r="K867" s="176">
        <v>5</v>
      </c>
      <c r="L867" s="176">
        <v>0</v>
      </c>
      <c r="M867" s="176" t="s">
        <v>148</v>
      </c>
      <c r="N867" s="176" t="s">
        <v>149</v>
      </c>
      <c r="O867" s="176" t="s">
        <v>150</v>
      </c>
      <c r="P867" s="176" t="s">
        <v>151</v>
      </c>
      <c r="Q867" s="176"/>
      <c r="R867" s="176" t="s">
        <v>5538</v>
      </c>
      <c r="S867" s="176"/>
      <c r="T867" s="176" t="s">
        <v>2853</v>
      </c>
      <c r="U867" s="176" t="s">
        <v>152</v>
      </c>
      <c r="V867" s="176" t="s">
        <v>23</v>
      </c>
    </row>
    <row r="868" spans="2:22" ht="12" customHeight="1">
      <c r="B868" s="211">
        <v>46248</v>
      </c>
      <c r="C868" s="211">
        <v>46248</v>
      </c>
      <c r="D868" s="176" t="s">
        <v>5539</v>
      </c>
      <c r="E868" s="176" t="s">
        <v>5540</v>
      </c>
      <c r="F868" s="176" t="s">
        <v>87</v>
      </c>
      <c r="G868" s="176" t="s">
        <v>2334</v>
      </c>
      <c r="H868" s="176">
        <v>40</v>
      </c>
      <c r="I868" s="176">
        <v>37</v>
      </c>
      <c r="J868" s="176">
        <v>37</v>
      </c>
      <c r="K868" s="176">
        <v>5</v>
      </c>
      <c r="L868" s="176">
        <v>0</v>
      </c>
      <c r="M868" s="176" t="s">
        <v>148</v>
      </c>
      <c r="N868" s="176" t="s">
        <v>149</v>
      </c>
      <c r="O868" s="176" t="s">
        <v>150</v>
      </c>
      <c r="P868" s="176" t="s">
        <v>151</v>
      </c>
      <c r="Q868" s="176"/>
      <c r="R868" s="176" t="s">
        <v>5540</v>
      </c>
      <c r="S868" s="176" t="s">
        <v>61</v>
      </c>
      <c r="T868" s="176" t="s">
        <v>3398</v>
      </c>
      <c r="U868" s="176" t="s">
        <v>152</v>
      </c>
      <c r="V868" s="176" t="s">
        <v>23</v>
      </c>
    </row>
    <row r="869" spans="2:22" ht="12" customHeight="1">
      <c r="B869" s="211">
        <v>46248</v>
      </c>
      <c r="C869" s="211">
        <v>46248</v>
      </c>
      <c r="D869" s="176" t="s">
        <v>5541</v>
      </c>
      <c r="E869" s="176" t="s">
        <v>5542</v>
      </c>
      <c r="F869" s="176" t="s">
        <v>87</v>
      </c>
      <c r="G869" s="176" t="s">
        <v>2357</v>
      </c>
      <c r="H869" s="176">
        <v>40</v>
      </c>
      <c r="I869" s="176">
        <v>35.4</v>
      </c>
      <c r="J869" s="176">
        <v>35.4</v>
      </c>
      <c r="K869" s="176">
        <v>5</v>
      </c>
      <c r="L869" s="176">
        <v>0</v>
      </c>
      <c r="M869" s="176" t="s">
        <v>148</v>
      </c>
      <c r="N869" s="176" t="s">
        <v>149</v>
      </c>
      <c r="O869" s="176" t="s">
        <v>150</v>
      </c>
      <c r="P869" s="176" t="s">
        <v>151</v>
      </c>
      <c r="Q869" s="176"/>
      <c r="R869" s="176" t="s">
        <v>5542</v>
      </c>
      <c r="S869" s="176"/>
      <c r="T869" s="176" t="s">
        <v>2853</v>
      </c>
      <c r="U869" s="176" t="s">
        <v>152</v>
      </c>
      <c r="V869" s="176" t="s">
        <v>23</v>
      </c>
    </row>
    <row r="870" spans="2:22" ht="12" customHeight="1">
      <c r="B870" s="211">
        <v>46248</v>
      </c>
      <c r="C870" s="211">
        <v>46248</v>
      </c>
      <c r="D870" s="176" t="s">
        <v>5543</v>
      </c>
      <c r="E870" s="176" t="s">
        <v>5544</v>
      </c>
      <c r="F870" s="176" t="s">
        <v>87</v>
      </c>
      <c r="G870" s="176" t="s">
        <v>2357</v>
      </c>
      <c r="H870" s="176">
        <v>40</v>
      </c>
      <c r="I870" s="176">
        <v>35.799999999999997</v>
      </c>
      <c r="J870" s="176">
        <v>35.799999999999997</v>
      </c>
      <c r="K870" s="176">
        <v>5</v>
      </c>
      <c r="L870" s="176">
        <v>0</v>
      </c>
      <c r="M870" s="176" t="s">
        <v>148</v>
      </c>
      <c r="N870" s="176" t="s">
        <v>149</v>
      </c>
      <c r="O870" s="176" t="s">
        <v>150</v>
      </c>
      <c r="P870" s="176" t="s">
        <v>151</v>
      </c>
      <c r="Q870" s="176"/>
      <c r="R870" s="176" t="s">
        <v>5544</v>
      </c>
      <c r="S870" s="176"/>
      <c r="T870" s="176" t="s">
        <v>2853</v>
      </c>
      <c r="U870" s="176" t="s">
        <v>152</v>
      </c>
      <c r="V870" s="176" t="s">
        <v>23</v>
      </c>
    </row>
    <row r="871" spans="2:22" ht="12" customHeight="1">
      <c r="B871" s="211">
        <v>46248</v>
      </c>
      <c r="C871" s="211">
        <v>46248</v>
      </c>
      <c r="D871" s="176" t="s">
        <v>5545</v>
      </c>
      <c r="E871" s="176" t="s">
        <v>5546</v>
      </c>
      <c r="F871" s="176" t="s">
        <v>87</v>
      </c>
      <c r="G871" s="176" t="s">
        <v>2334</v>
      </c>
      <c r="H871" s="176">
        <v>40</v>
      </c>
      <c r="I871" s="176">
        <v>18.3</v>
      </c>
      <c r="J871" s="176">
        <v>18.3</v>
      </c>
      <c r="K871" s="176">
        <v>5</v>
      </c>
      <c r="L871" s="176">
        <v>0</v>
      </c>
      <c r="M871" s="176" t="s">
        <v>148</v>
      </c>
      <c r="N871" s="176" t="s">
        <v>149</v>
      </c>
      <c r="O871" s="176" t="s">
        <v>150</v>
      </c>
      <c r="P871" s="176" t="s">
        <v>151</v>
      </c>
      <c r="Q871" s="176"/>
      <c r="R871" s="176" t="s">
        <v>5546</v>
      </c>
      <c r="S871" s="176"/>
      <c r="T871" s="176" t="s">
        <v>2853</v>
      </c>
      <c r="U871" s="176" t="s">
        <v>152</v>
      </c>
      <c r="V871" s="176" t="s">
        <v>23</v>
      </c>
    </row>
    <row r="872" spans="2:22" ht="12" customHeight="1">
      <c r="B872" s="211">
        <v>46248</v>
      </c>
      <c r="C872" s="211">
        <v>46248</v>
      </c>
      <c r="D872" s="176" t="s">
        <v>5547</v>
      </c>
      <c r="E872" s="176" t="s">
        <v>5548</v>
      </c>
      <c r="F872" s="176" t="s">
        <v>87</v>
      </c>
      <c r="G872" s="176" t="s">
        <v>5097</v>
      </c>
      <c r="H872" s="176">
        <v>25</v>
      </c>
      <c r="I872" s="176">
        <v>29.8</v>
      </c>
      <c r="J872" s="176">
        <v>29.8</v>
      </c>
      <c r="K872" s="176">
        <v>4</v>
      </c>
      <c r="L872" s="176">
        <v>0</v>
      </c>
      <c r="M872" s="176" t="s">
        <v>148</v>
      </c>
      <c r="N872" s="176" t="s">
        <v>149</v>
      </c>
      <c r="O872" s="176" t="s">
        <v>150</v>
      </c>
      <c r="P872" s="176" t="s">
        <v>151</v>
      </c>
      <c r="Q872" s="176"/>
      <c r="R872" s="176" t="s">
        <v>5548</v>
      </c>
      <c r="S872" s="176"/>
      <c r="T872" s="176" t="s">
        <v>2853</v>
      </c>
      <c r="U872" s="176" t="s">
        <v>152</v>
      </c>
      <c r="V872" s="176" t="s">
        <v>23</v>
      </c>
    </row>
    <row r="873" spans="2:22" ht="12" customHeight="1">
      <c r="B873" s="211">
        <v>46248</v>
      </c>
      <c r="C873" s="211">
        <v>46248</v>
      </c>
      <c r="D873" s="176" t="s">
        <v>5549</v>
      </c>
      <c r="E873" s="176" t="s">
        <v>5550</v>
      </c>
      <c r="F873" s="176" t="s">
        <v>87</v>
      </c>
      <c r="G873" s="176" t="s">
        <v>4512</v>
      </c>
      <c r="H873" s="176">
        <v>55</v>
      </c>
      <c r="I873" s="176">
        <v>39.799999999999997</v>
      </c>
      <c r="J873" s="176">
        <v>39.799999999999997</v>
      </c>
      <c r="K873" s="176">
        <v>5</v>
      </c>
      <c r="L873" s="176">
        <v>0</v>
      </c>
      <c r="M873" s="176" t="s">
        <v>148</v>
      </c>
      <c r="N873" s="176" t="s">
        <v>149</v>
      </c>
      <c r="O873" s="176" t="s">
        <v>150</v>
      </c>
      <c r="P873" s="176" t="s">
        <v>151</v>
      </c>
      <c r="Q873" s="176"/>
      <c r="R873" s="176" t="s">
        <v>5550</v>
      </c>
      <c r="S873" s="176"/>
      <c r="T873" s="176" t="s">
        <v>2853</v>
      </c>
      <c r="U873" s="176" t="s">
        <v>152</v>
      </c>
      <c r="V873" s="176" t="s">
        <v>23</v>
      </c>
    </row>
    <row r="874" spans="2:22" ht="12" customHeight="1">
      <c r="B874" s="211">
        <v>46248</v>
      </c>
      <c r="C874" s="211">
        <v>46248</v>
      </c>
      <c r="D874" s="176" t="s">
        <v>5551</v>
      </c>
      <c r="E874" s="176" t="s">
        <v>5552</v>
      </c>
      <c r="F874" s="176" t="s">
        <v>87</v>
      </c>
      <c r="G874" s="176" t="s">
        <v>2334</v>
      </c>
      <c r="H874" s="176">
        <v>40</v>
      </c>
      <c r="I874" s="176">
        <v>39.799999999999997</v>
      </c>
      <c r="J874" s="176">
        <v>39.799999999999997</v>
      </c>
      <c r="K874" s="176">
        <v>5</v>
      </c>
      <c r="L874" s="176">
        <v>0</v>
      </c>
      <c r="M874" s="176" t="s">
        <v>148</v>
      </c>
      <c r="N874" s="176" t="s">
        <v>149</v>
      </c>
      <c r="O874" s="176" t="s">
        <v>150</v>
      </c>
      <c r="P874" s="176" t="s">
        <v>151</v>
      </c>
      <c r="Q874" s="176"/>
      <c r="R874" s="176" t="s">
        <v>5552</v>
      </c>
      <c r="S874" s="176"/>
      <c r="T874" s="176" t="s">
        <v>2853</v>
      </c>
      <c r="U874" s="176" t="s">
        <v>152</v>
      </c>
      <c r="V874" s="176" t="s">
        <v>23</v>
      </c>
    </row>
    <row r="875" spans="2:22" ht="12" customHeight="1">
      <c r="B875" s="211">
        <v>46248</v>
      </c>
      <c r="C875" s="211">
        <v>46248</v>
      </c>
      <c r="D875" s="176" t="s">
        <v>5553</v>
      </c>
      <c r="E875" s="176" t="s">
        <v>5554</v>
      </c>
      <c r="F875" s="176" t="s">
        <v>87</v>
      </c>
      <c r="G875" s="176" t="s">
        <v>1678</v>
      </c>
      <c r="H875" s="176">
        <v>30</v>
      </c>
      <c r="I875" s="176">
        <v>25.8</v>
      </c>
      <c r="J875" s="176">
        <v>25.8</v>
      </c>
      <c r="K875" s="176">
        <v>4</v>
      </c>
      <c r="L875" s="176">
        <v>0</v>
      </c>
      <c r="M875" s="176" t="s">
        <v>148</v>
      </c>
      <c r="N875" s="176" t="s">
        <v>149</v>
      </c>
      <c r="O875" s="176" t="s">
        <v>150</v>
      </c>
      <c r="P875" s="176" t="s">
        <v>151</v>
      </c>
      <c r="Q875" s="176"/>
      <c r="R875" s="176" t="s">
        <v>5554</v>
      </c>
      <c r="S875" s="176"/>
      <c r="T875" s="176" t="s">
        <v>2853</v>
      </c>
      <c r="U875" s="176" t="s">
        <v>152</v>
      </c>
      <c r="V875" s="176" t="s">
        <v>23</v>
      </c>
    </row>
    <row r="876" spans="2:22" ht="12" customHeight="1">
      <c r="B876" s="211">
        <v>46248</v>
      </c>
      <c r="C876" s="211">
        <v>46248</v>
      </c>
      <c r="D876" s="176" t="s">
        <v>5555</v>
      </c>
      <c r="E876" s="176" t="s">
        <v>5556</v>
      </c>
      <c r="F876" s="176" t="s">
        <v>87</v>
      </c>
      <c r="G876" s="176" t="s">
        <v>2357</v>
      </c>
      <c r="H876" s="176">
        <v>40</v>
      </c>
      <c r="I876" s="176">
        <v>35.6</v>
      </c>
      <c r="J876" s="176">
        <v>35.6</v>
      </c>
      <c r="K876" s="176">
        <v>5</v>
      </c>
      <c r="L876" s="176">
        <v>0</v>
      </c>
      <c r="M876" s="176" t="s">
        <v>148</v>
      </c>
      <c r="N876" s="176" t="s">
        <v>149</v>
      </c>
      <c r="O876" s="176" t="s">
        <v>150</v>
      </c>
      <c r="P876" s="176" t="s">
        <v>151</v>
      </c>
      <c r="Q876" s="176"/>
      <c r="R876" s="176" t="s">
        <v>5556</v>
      </c>
      <c r="S876" s="176"/>
      <c r="T876" s="176" t="s">
        <v>2853</v>
      </c>
      <c r="U876" s="176" t="s">
        <v>152</v>
      </c>
      <c r="V876" s="176" t="s">
        <v>23</v>
      </c>
    </row>
    <row r="877" spans="2:22" ht="12" customHeight="1">
      <c r="B877" s="211">
        <v>46248</v>
      </c>
      <c r="C877" s="211">
        <v>46248</v>
      </c>
      <c r="D877" s="176" t="s">
        <v>5557</v>
      </c>
      <c r="E877" s="176" t="s">
        <v>5558</v>
      </c>
      <c r="F877" s="176" t="s">
        <v>87</v>
      </c>
      <c r="G877" s="176" t="s">
        <v>4000</v>
      </c>
      <c r="H877" s="176">
        <v>50</v>
      </c>
      <c r="I877" s="176">
        <v>40.299999999999997</v>
      </c>
      <c r="J877" s="176">
        <v>40.299999999999997</v>
      </c>
      <c r="K877" s="176">
        <v>5</v>
      </c>
      <c r="L877" s="176">
        <v>0</v>
      </c>
      <c r="M877" s="176" t="s">
        <v>148</v>
      </c>
      <c r="N877" s="176" t="s">
        <v>149</v>
      </c>
      <c r="O877" s="176" t="s">
        <v>150</v>
      </c>
      <c r="P877" s="176" t="s">
        <v>151</v>
      </c>
      <c r="Q877" s="176"/>
      <c r="R877" s="176" t="s">
        <v>5558</v>
      </c>
      <c r="S877" s="176"/>
      <c r="T877" s="176" t="s">
        <v>2853</v>
      </c>
      <c r="U877" s="176" t="s">
        <v>152</v>
      </c>
      <c r="V877" s="176" t="s">
        <v>23</v>
      </c>
    </row>
    <row r="878" spans="2:22" ht="12" customHeight="1">
      <c r="B878" s="211">
        <v>46248</v>
      </c>
      <c r="C878" s="211">
        <v>46248</v>
      </c>
      <c r="D878" s="176" t="s">
        <v>5559</v>
      </c>
      <c r="E878" s="176" t="s">
        <v>5560</v>
      </c>
      <c r="F878" s="176" t="s">
        <v>87</v>
      </c>
      <c r="G878" s="176" t="s">
        <v>2357</v>
      </c>
      <c r="H878" s="176">
        <v>40</v>
      </c>
      <c r="I878" s="176">
        <v>39.799999999999997</v>
      </c>
      <c r="J878" s="176">
        <v>39.799999999999997</v>
      </c>
      <c r="K878" s="176">
        <v>5</v>
      </c>
      <c r="L878" s="176">
        <v>0</v>
      </c>
      <c r="M878" s="176" t="s">
        <v>148</v>
      </c>
      <c r="N878" s="176" t="s">
        <v>149</v>
      </c>
      <c r="O878" s="176" t="s">
        <v>150</v>
      </c>
      <c r="P878" s="176" t="s">
        <v>151</v>
      </c>
      <c r="Q878" s="176"/>
      <c r="R878" s="176" t="s">
        <v>5560</v>
      </c>
      <c r="S878" s="176"/>
      <c r="T878" s="176" t="s">
        <v>2853</v>
      </c>
      <c r="U878" s="176" t="s">
        <v>152</v>
      </c>
      <c r="V878" s="176" t="s">
        <v>23</v>
      </c>
    </row>
    <row r="879" spans="2:22" ht="12" customHeight="1">
      <c r="B879" s="211">
        <v>46248</v>
      </c>
      <c r="C879" s="211">
        <v>46248</v>
      </c>
      <c r="D879" s="176" t="s">
        <v>5561</v>
      </c>
      <c r="E879" s="176" t="s">
        <v>5562</v>
      </c>
      <c r="F879" s="176" t="s">
        <v>87</v>
      </c>
      <c r="G879" s="176" t="s">
        <v>2512</v>
      </c>
      <c r="H879" s="176">
        <v>40</v>
      </c>
      <c r="I879" s="176">
        <v>28.8</v>
      </c>
      <c r="J879" s="176">
        <v>28.8</v>
      </c>
      <c r="K879" s="176">
        <v>5</v>
      </c>
      <c r="L879" s="176">
        <v>0</v>
      </c>
      <c r="M879" s="176" t="s">
        <v>148</v>
      </c>
      <c r="N879" s="176" t="s">
        <v>149</v>
      </c>
      <c r="O879" s="176" t="s">
        <v>150</v>
      </c>
      <c r="P879" s="176" t="s">
        <v>151</v>
      </c>
      <c r="Q879" s="176"/>
      <c r="R879" s="176" t="s">
        <v>5562</v>
      </c>
      <c r="S879" s="176"/>
      <c r="T879" s="176" t="s">
        <v>2853</v>
      </c>
      <c r="U879" s="176" t="s">
        <v>152</v>
      </c>
      <c r="V879" s="176" t="s">
        <v>23</v>
      </c>
    </row>
    <row r="880" spans="2:22" ht="12" customHeight="1">
      <c r="B880" s="211">
        <v>46248</v>
      </c>
      <c r="C880" s="211">
        <v>46248</v>
      </c>
      <c r="D880" s="176" t="s">
        <v>5563</v>
      </c>
      <c r="E880" s="176" t="s">
        <v>5564</v>
      </c>
      <c r="F880" s="176" t="s">
        <v>87</v>
      </c>
      <c r="G880" s="176" t="s">
        <v>2334</v>
      </c>
      <c r="H880" s="176">
        <v>40</v>
      </c>
      <c r="I880" s="176">
        <v>34.799999999999997</v>
      </c>
      <c r="J880" s="176">
        <v>34.799999999999997</v>
      </c>
      <c r="K880" s="176">
        <v>5</v>
      </c>
      <c r="L880" s="176">
        <v>0</v>
      </c>
      <c r="M880" s="176" t="s">
        <v>148</v>
      </c>
      <c r="N880" s="176" t="s">
        <v>149</v>
      </c>
      <c r="O880" s="176" t="s">
        <v>150</v>
      </c>
      <c r="P880" s="176" t="s">
        <v>151</v>
      </c>
      <c r="Q880" s="176"/>
      <c r="R880" s="176" t="s">
        <v>5564</v>
      </c>
      <c r="S880" s="176"/>
      <c r="T880" s="176" t="s">
        <v>2853</v>
      </c>
      <c r="U880" s="176" t="s">
        <v>152</v>
      </c>
      <c r="V880" s="176" t="s">
        <v>23</v>
      </c>
    </row>
    <row r="881" spans="2:22" ht="12" customHeight="1">
      <c r="B881" s="211">
        <v>46248</v>
      </c>
      <c r="C881" s="211">
        <v>46248</v>
      </c>
      <c r="D881" s="176" t="s">
        <v>5565</v>
      </c>
      <c r="E881" s="176" t="s">
        <v>5566</v>
      </c>
      <c r="F881" s="176" t="s">
        <v>87</v>
      </c>
      <c r="G881" s="176" t="s">
        <v>2404</v>
      </c>
      <c r="H881" s="176">
        <v>40</v>
      </c>
      <c r="I881" s="176">
        <v>37.799999999999997</v>
      </c>
      <c r="J881" s="176">
        <v>37.799999999999997</v>
      </c>
      <c r="K881" s="176">
        <v>5</v>
      </c>
      <c r="L881" s="176">
        <v>0</v>
      </c>
      <c r="M881" s="176" t="s">
        <v>148</v>
      </c>
      <c r="N881" s="176" t="s">
        <v>149</v>
      </c>
      <c r="O881" s="176" t="s">
        <v>150</v>
      </c>
      <c r="P881" s="176" t="s">
        <v>151</v>
      </c>
      <c r="Q881" s="176"/>
      <c r="R881" s="176" t="s">
        <v>5566</v>
      </c>
      <c r="S881" s="176"/>
      <c r="T881" s="176" t="s">
        <v>2853</v>
      </c>
      <c r="U881" s="176" t="s">
        <v>152</v>
      </c>
      <c r="V881" s="176" t="s">
        <v>23</v>
      </c>
    </row>
    <row r="882" spans="2:22" ht="12" customHeight="1">
      <c r="B882" s="211">
        <v>46248</v>
      </c>
      <c r="C882" s="211">
        <v>46248</v>
      </c>
      <c r="D882" s="176" t="s">
        <v>5567</v>
      </c>
      <c r="E882" s="176" t="s">
        <v>5568</v>
      </c>
      <c r="F882" s="176" t="s">
        <v>87</v>
      </c>
      <c r="G882" s="176" t="s">
        <v>2078</v>
      </c>
      <c r="H882" s="176">
        <v>6</v>
      </c>
      <c r="I882" s="176">
        <v>35.299999999999997</v>
      </c>
      <c r="J882" s="176">
        <v>35.299999999999997</v>
      </c>
      <c r="K882" s="176">
        <v>1.5</v>
      </c>
      <c r="L882" s="176">
        <v>0</v>
      </c>
      <c r="M882" s="176" t="s">
        <v>148</v>
      </c>
      <c r="N882" s="176" t="s">
        <v>149</v>
      </c>
      <c r="O882" s="176" t="s">
        <v>150</v>
      </c>
      <c r="P882" s="176" t="s">
        <v>151</v>
      </c>
      <c r="Q882" s="176"/>
      <c r="R882" s="176" t="s">
        <v>5568</v>
      </c>
      <c r="S882" s="176"/>
      <c r="T882" s="176" t="s">
        <v>2853</v>
      </c>
      <c r="U882" s="176" t="s">
        <v>152</v>
      </c>
      <c r="V882" s="176" t="s">
        <v>23</v>
      </c>
    </row>
    <row r="883" spans="2:22" ht="12" customHeight="1">
      <c r="B883" s="211">
        <v>46248</v>
      </c>
      <c r="C883" s="211">
        <v>46248</v>
      </c>
      <c r="D883" s="176" t="s">
        <v>5569</v>
      </c>
      <c r="E883" s="176" t="s">
        <v>5570</v>
      </c>
      <c r="F883" s="176" t="s">
        <v>87</v>
      </c>
      <c r="G883" s="176" t="s">
        <v>5097</v>
      </c>
      <c r="H883" s="176">
        <v>25</v>
      </c>
      <c r="I883" s="176">
        <v>17.8</v>
      </c>
      <c r="J883" s="176">
        <v>17.8</v>
      </c>
      <c r="K883" s="176">
        <v>4</v>
      </c>
      <c r="L883" s="176">
        <v>0</v>
      </c>
      <c r="M883" s="176" t="s">
        <v>148</v>
      </c>
      <c r="N883" s="176" t="s">
        <v>149</v>
      </c>
      <c r="O883" s="176" t="s">
        <v>150</v>
      </c>
      <c r="P883" s="176" t="s">
        <v>151</v>
      </c>
      <c r="Q883" s="176"/>
      <c r="R883" s="176" t="s">
        <v>5570</v>
      </c>
      <c r="S883" s="176"/>
      <c r="T883" s="176" t="s">
        <v>2853</v>
      </c>
      <c r="U883" s="176" t="s">
        <v>152</v>
      </c>
      <c r="V883" s="176" t="s">
        <v>23</v>
      </c>
    </row>
    <row r="884" spans="2:22" ht="12" customHeight="1">
      <c r="B884" s="211">
        <v>46248</v>
      </c>
      <c r="C884" s="211">
        <v>46248</v>
      </c>
      <c r="D884" s="176" t="s">
        <v>5571</v>
      </c>
      <c r="E884" s="176" t="s">
        <v>5572</v>
      </c>
      <c r="F884" s="176" t="s">
        <v>87</v>
      </c>
      <c r="G884" s="176" t="s">
        <v>2334</v>
      </c>
      <c r="H884" s="176">
        <v>40</v>
      </c>
      <c r="I884" s="176">
        <v>36.4</v>
      </c>
      <c r="J884" s="176">
        <v>36.4</v>
      </c>
      <c r="K884" s="176">
        <v>5</v>
      </c>
      <c r="L884" s="176">
        <v>0</v>
      </c>
      <c r="M884" s="176" t="s">
        <v>148</v>
      </c>
      <c r="N884" s="176" t="s">
        <v>149</v>
      </c>
      <c r="O884" s="176" t="s">
        <v>150</v>
      </c>
      <c r="P884" s="176" t="s">
        <v>151</v>
      </c>
      <c r="Q884" s="176"/>
      <c r="R884" s="176" t="s">
        <v>5572</v>
      </c>
      <c r="S884" s="176"/>
      <c r="T884" s="176" t="s">
        <v>2853</v>
      </c>
      <c r="U884" s="176" t="s">
        <v>152</v>
      </c>
      <c r="V884" s="176" t="s">
        <v>23</v>
      </c>
    </row>
    <row r="885" spans="2:22" ht="12" customHeight="1">
      <c r="B885" s="211">
        <v>46248</v>
      </c>
      <c r="C885" s="211">
        <v>46248</v>
      </c>
      <c r="D885" s="176" t="s">
        <v>5573</v>
      </c>
      <c r="E885" s="176" t="s">
        <v>5574</v>
      </c>
      <c r="F885" s="176" t="s">
        <v>87</v>
      </c>
      <c r="G885" s="176" t="s">
        <v>2404</v>
      </c>
      <c r="H885" s="176">
        <v>40</v>
      </c>
      <c r="I885" s="176">
        <v>23.8</v>
      </c>
      <c r="J885" s="176">
        <v>23.8</v>
      </c>
      <c r="K885" s="176">
        <v>5</v>
      </c>
      <c r="L885" s="176">
        <v>0</v>
      </c>
      <c r="M885" s="176" t="s">
        <v>148</v>
      </c>
      <c r="N885" s="176" t="s">
        <v>149</v>
      </c>
      <c r="O885" s="176" t="s">
        <v>150</v>
      </c>
      <c r="P885" s="176" t="s">
        <v>151</v>
      </c>
      <c r="Q885" s="176"/>
      <c r="R885" s="176" t="s">
        <v>5574</v>
      </c>
      <c r="S885" s="176"/>
      <c r="T885" s="176" t="s">
        <v>2853</v>
      </c>
      <c r="U885" s="176" t="s">
        <v>152</v>
      </c>
      <c r="V885" s="176" t="s">
        <v>23</v>
      </c>
    </row>
    <row r="886" spans="2:22" ht="12" customHeight="1">
      <c r="B886" s="211">
        <v>46248</v>
      </c>
      <c r="C886" s="211">
        <v>46248</v>
      </c>
      <c r="D886" s="176" t="s">
        <v>5575</v>
      </c>
      <c r="E886" s="176" t="s">
        <v>5576</v>
      </c>
      <c r="F886" s="176" t="s">
        <v>87</v>
      </c>
      <c r="G886" s="176" t="s">
        <v>2404</v>
      </c>
      <c r="H886" s="176">
        <v>40</v>
      </c>
      <c r="I886" s="176">
        <v>34.799999999999997</v>
      </c>
      <c r="J886" s="176">
        <v>34.799999999999997</v>
      </c>
      <c r="K886" s="176">
        <v>5</v>
      </c>
      <c r="L886" s="176">
        <v>0</v>
      </c>
      <c r="M886" s="176" t="s">
        <v>148</v>
      </c>
      <c r="N886" s="176" t="s">
        <v>149</v>
      </c>
      <c r="O886" s="176" t="s">
        <v>150</v>
      </c>
      <c r="P886" s="176" t="s">
        <v>151</v>
      </c>
      <c r="Q886" s="176"/>
      <c r="R886" s="176" t="s">
        <v>5576</v>
      </c>
      <c r="S886" s="176"/>
      <c r="T886" s="176" t="s">
        <v>2853</v>
      </c>
      <c r="U886" s="176" t="s">
        <v>152</v>
      </c>
      <c r="V886" s="176" t="s">
        <v>23</v>
      </c>
    </row>
    <row r="887" spans="2:22" ht="12" customHeight="1">
      <c r="B887" s="211">
        <v>46248</v>
      </c>
      <c r="C887" s="211">
        <v>46248</v>
      </c>
      <c r="D887" s="176" t="s">
        <v>5577</v>
      </c>
      <c r="E887" s="176" t="s">
        <v>5578</v>
      </c>
      <c r="F887" s="176" t="s">
        <v>87</v>
      </c>
      <c r="G887" s="176" t="s">
        <v>5097</v>
      </c>
      <c r="H887" s="176">
        <v>25</v>
      </c>
      <c r="I887" s="176">
        <v>25.8</v>
      </c>
      <c r="J887" s="176">
        <v>25.8</v>
      </c>
      <c r="K887" s="176">
        <v>4</v>
      </c>
      <c r="L887" s="176">
        <v>0</v>
      </c>
      <c r="M887" s="176" t="s">
        <v>148</v>
      </c>
      <c r="N887" s="176" t="s">
        <v>149</v>
      </c>
      <c r="O887" s="176" t="s">
        <v>150</v>
      </c>
      <c r="P887" s="176" t="s">
        <v>151</v>
      </c>
      <c r="Q887" s="176"/>
      <c r="R887" s="176" t="s">
        <v>5578</v>
      </c>
      <c r="S887" s="176"/>
      <c r="T887" s="176" t="s">
        <v>2853</v>
      </c>
      <c r="U887" s="176" t="s">
        <v>152</v>
      </c>
      <c r="V887" s="176" t="s">
        <v>23</v>
      </c>
    </row>
    <row r="888" spans="2:22" ht="12" customHeight="1">
      <c r="B888" s="211">
        <v>46248</v>
      </c>
      <c r="C888" s="211">
        <v>46248</v>
      </c>
      <c r="D888" s="176" t="s">
        <v>5579</v>
      </c>
      <c r="E888" s="176" t="s">
        <v>5580</v>
      </c>
      <c r="F888" s="176" t="s">
        <v>87</v>
      </c>
      <c r="G888" s="176" t="s">
        <v>4512</v>
      </c>
      <c r="H888" s="176">
        <v>55</v>
      </c>
      <c r="I888" s="176">
        <v>23.8</v>
      </c>
      <c r="J888" s="176">
        <v>23.8</v>
      </c>
      <c r="K888" s="176">
        <v>5</v>
      </c>
      <c r="L888" s="176">
        <v>0</v>
      </c>
      <c r="M888" s="176" t="s">
        <v>148</v>
      </c>
      <c r="N888" s="176" t="s">
        <v>149</v>
      </c>
      <c r="O888" s="176" t="s">
        <v>150</v>
      </c>
      <c r="P888" s="176" t="s">
        <v>151</v>
      </c>
      <c r="Q888" s="176"/>
      <c r="R888" s="176" t="s">
        <v>5580</v>
      </c>
      <c r="S888" s="176"/>
      <c r="T888" s="176" t="s">
        <v>2853</v>
      </c>
      <c r="U888" s="176" t="s">
        <v>152</v>
      </c>
      <c r="V888" s="176" t="s">
        <v>23</v>
      </c>
    </row>
    <row r="889" spans="2:22" ht="12" customHeight="1">
      <c r="B889" s="211">
        <v>46248</v>
      </c>
      <c r="C889" s="211">
        <v>46248</v>
      </c>
      <c r="D889" s="176" t="s">
        <v>5581</v>
      </c>
      <c r="E889" s="176" t="s">
        <v>5582</v>
      </c>
      <c r="F889" s="176" t="s">
        <v>87</v>
      </c>
      <c r="G889" s="176" t="s">
        <v>4512</v>
      </c>
      <c r="H889" s="176">
        <v>55</v>
      </c>
      <c r="I889" s="176">
        <v>37.799999999999997</v>
      </c>
      <c r="J889" s="176">
        <v>37.799999999999997</v>
      </c>
      <c r="K889" s="176">
        <v>5</v>
      </c>
      <c r="L889" s="176">
        <v>0</v>
      </c>
      <c r="M889" s="176" t="s">
        <v>148</v>
      </c>
      <c r="N889" s="176" t="s">
        <v>149</v>
      </c>
      <c r="O889" s="176" t="s">
        <v>150</v>
      </c>
      <c r="P889" s="176" t="s">
        <v>151</v>
      </c>
      <c r="Q889" s="176"/>
      <c r="R889" s="176" t="s">
        <v>5582</v>
      </c>
      <c r="S889" s="176"/>
      <c r="T889" s="176" t="s">
        <v>2853</v>
      </c>
      <c r="U889" s="176" t="s">
        <v>152</v>
      </c>
      <c r="V889" s="176" t="s">
        <v>23</v>
      </c>
    </row>
    <row r="890" spans="2:22" ht="12" customHeight="1">
      <c r="B890" s="211">
        <v>46248</v>
      </c>
      <c r="C890" s="211">
        <v>46248</v>
      </c>
      <c r="D890" s="176" t="s">
        <v>5583</v>
      </c>
      <c r="E890" s="176" t="s">
        <v>5584</v>
      </c>
      <c r="F890" s="176" t="s">
        <v>87</v>
      </c>
      <c r="G890" s="176" t="s">
        <v>2404</v>
      </c>
      <c r="H890" s="176">
        <v>40</v>
      </c>
      <c r="I890" s="176">
        <v>37.799999999999997</v>
      </c>
      <c r="J890" s="176">
        <v>37.799999999999997</v>
      </c>
      <c r="K890" s="176">
        <v>5</v>
      </c>
      <c r="L890" s="176">
        <v>0</v>
      </c>
      <c r="M890" s="176" t="s">
        <v>148</v>
      </c>
      <c r="N890" s="176" t="s">
        <v>149</v>
      </c>
      <c r="O890" s="176" t="s">
        <v>150</v>
      </c>
      <c r="P890" s="176" t="s">
        <v>151</v>
      </c>
      <c r="Q890" s="176"/>
      <c r="R890" s="176" t="s">
        <v>5584</v>
      </c>
      <c r="S890" s="176"/>
      <c r="T890" s="176" t="s">
        <v>2853</v>
      </c>
      <c r="U890" s="176" t="s">
        <v>152</v>
      </c>
      <c r="V890" s="176" t="s">
        <v>23</v>
      </c>
    </row>
    <row r="891" spans="2:22" ht="12" customHeight="1">
      <c r="B891" s="211">
        <v>46248</v>
      </c>
      <c r="C891" s="211">
        <v>46248</v>
      </c>
      <c r="D891" s="176" t="s">
        <v>5585</v>
      </c>
      <c r="E891" s="176" t="s">
        <v>5586</v>
      </c>
      <c r="F891" s="176" t="s">
        <v>87</v>
      </c>
      <c r="G891" s="176" t="s">
        <v>4000</v>
      </c>
      <c r="H891" s="176">
        <v>50</v>
      </c>
      <c r="I891" s="176">
        <v>40.9</v>
      </c>
      <c r="J891" s="176">
        <v>40.9</v>
      </c>
      <c r="K891" s="176">
        <v>5</v>
      </c>
      <c r="L891" s="176">
        <v>0</v>
      </c>
      <c r="M891" s="176" t="s">
        <v>148</v>
      </c>
      <c r="N891" s="176" t="s">
        <v>149</v>
      </c>
      <c r="O891" s="176" t="s">
        <v>150</v>
      </c>
      <c r="P891" s="176" t="s">
        <v>151</v>
      </c>
      <c r="Q891" s="176"/>
      <c r="R891" s="176" t="s">
        <v>5586</v>
      </c>
      <c r="S891" s="176"/>
      <c r="T891" s="176" t="s">
        <v>2853</v>
      </c>
      <c r="U891" s="176" t="s">
        <v>152</v>
      </c>
      <c r="V891" s="176" t="s">
        <v>23</v>
      </c>
    </row>
    <row r="892" spans="2:22">
      <c r="B892" s="383">
        <v>46248</v>
      </c>
      <c r="C892" s="383">
        <v>46248</v>
      </c>
      <c r="D892" s="381" t="s">
        <v>5587</v>
      </c>
      <c r="E892" s="382" t="s">
        <v>5588</v>
      </c>
      <c r="F892" s="381" t="s">
        <v>87</v>
      </c>
      <c r="G892" s="381" t="s">
        <v>1966</v>
      </c>
      <c r="H892" s="387">
        <v>6</v>
      </c>
      <c r="I892" s="381">
        <v>28.4</v>
      </c>
      <c r="J892" s="381">
        <v>28.4</v>
      </c>
      <c r="K892" s="381">
        <v>1.5</v>
      </c>
      <c r="L892" s="381">
        <v>0</v>
      </c>
      <c r="M892" s="381" t="s">
        <v>148</v>
      </c>
      <c r="N892" s="381" t="s">
        <v>149</v>
      </c>
      <c r="O892" s="381" t="s">
        <v>150</v>
      </c>
      <c r="P892" s="381" t="s">
        <v>151</v>
      </c>
      <c r="Q892" s="381"/>
      <c r="R892" s="381" t="s">
        <v>5588</v>
      </c>
      <c r="S892" s="381"/>
      <c r="T892" s="381" t="s">
        <v>2853</v>
      </c>
      <c r="U892" s="381" t="s">
        <v>152</v>
      </c>
      <c r="V892" s="381" t="s">
        <v>23</v>
      </c>
    </row>
    <row r="893" spans="2:22">
      <c r="B893" s="383">
        <v>46248</v>
      </c>
      <c r="C893" s="383">
        <v>46248</v>
      </c>
      <c r="D893" s="381" t="s">
        <v>5589</v>
      </c>
      <c r="E893" s="382" t="s">
        <v>5590</v>
      </c>
      <c r="F893" s="381" t="s">
        <v>87</v>
      </c>
      <c r="G893" s="381" t="s">
        <v>4000</v>
      </c>
      <c r="H893" s="387">
        <v>50</v>
      </c>
      <c r="I893" s="355">
        <v>39.799999999999997</v>
      </c>
      <c r="J893" s="360">
        <v>39.799999999999997</v>
      </c>
      <c r="K893" s="381">
        <v>5</v>
      </c>
      <c r="L893" s="381">
        <v>0</v>
      </c>
      <c r="M893" s="381" t="s">
        <v>148</v>
      </c>
      <c r="N893" s="381" t="s">
        <v>149</v>
      </c>
      <c r="O893" s="381" t="s">
        <v>150</v>
      </c>
      <c r="P893" s="381" t="s">
        <v>151</v>
      </c>
      <c r="Q893" s="381"/>
      <c r="R893" s="381" t="s">
        <v>5590</v>
      </c>
      <c r="S893" s="381"/>
      <c r="T893" s="381" t="s">
        <v>2853</v>
      </c>
      <c r="U893" s="381" t="s">
        <v>152</v>
      </c>
      <c r="V893" s="381" t="s">
        <v>23</v>
      </c>
    </row>
    <row r="894" spans="2:22">
      <c r="B894" s="383">
        <v>46248</v>
      </c>
      <c r="C894" s="383">
        <v>46248</v>
      </c>
      <c r="D894" s="381" t="s">
        <v>5591</v>
      </c>
      <c r="E894" s="382" t="s">
        <v>5592</v>
      </c>
      <c r="F894" s="381" t="s">
        <v>87</v>
      </c>
      <c r="G894" s="381" t="s">
        <v>2357</v>
      </c>
      <c r="H894" s="387">
        <v>40</v>
      </c>
      <c r="I894" s="381">
        <v>39.799999999999997</v>
      </c>
      <c r="J894" s="381">
        <v>39.799999999999997</v>
      </c>
      <c r="K894" s="381">
        <v>5</v>
      </c>
      <c r="L894" s="381">
        <v>0</v>
      </c>
      <c r="M894" s="381" t="s">
        <v>148</v>
      </c>
      <c r="N894" s="381" t="s">
        <v>149</v>
      </c>
      <c r="O894" s="381" t="s">
        <v>150</v>
      </c>
      <c r="P894" s="381" t="s">
        <v>151</v>
      </c>
      <c r="Q894" s="381"/>
      <c r="R894" s="381" t="s">
        <v>5592</v>
      </c>
      <c r="S894" s="381"/>
      <c r="T894" s="381" t="s">
        <v>2853</v>
      </c>
      <c r="U894" s="381" t="s">
        <v>152</v>
      </c>
      <c r="V894" s="381" t="s">
        <v>23</v>
      </c>
    </row>
    <row r="895" spans="2:22">
      <c r="B895" s="383">
        <v>46248</v>
      </c>
      <c r="C895" s="383">
        <v>46248</v>
      </c>
      <c r="D895" s="381" t="s">
        <v>5593</v>
      </c>
      <c r="E895" s="382" t="s">
        <v>5594</v>
      </c>
      <c r="F895" s="381" t="s">
        <v>87</v>
      </c>
      <c r="G895" s="381" t="s">
        <v>2334</v>
      </c>
      <c r="H895" s="387">
        <v>40</v>
      </c>
      <c r="I895" s="381">
        <v>36.799999999999997</v>
      </c>
      <c r="J895" s="381">
        <v>36.799999999999997</v>
      </c>
      <c r="K895" s="381">
        <v>5</v>
      </c>
      <c r="L895" s="381">
        <v>0</v>
      </c>
      <c r="M895" s="381" t="s">
        <v>148</v>
      </c>
      <c r="N895" s="381" t="s">
        <v>149</v>
      </c>
      <c r="O895" s="381" t="s">
        <v>150</v>
      </c>
      <c r="P895" s="381" t="s">
        <v>151</v>
      </c>
      <c r="Q895" s="381"/>
      <c r="R895" s="381" t="s">
        <v>5594</v>
      </c>
      <c r="S895" s="381"/>
      <c r="T895" s="381" t="s">
        <v>2853</v>
      </c>
      <c r="U895" s="381" t="s">
        <v>152</v>
      </c>
      <c r="V895" s="381" t="s">
        <v>23</v>
      </c>
    </row>
    <row r="896" spans="2:22">
      <c r="B896" s="383">
        <v>46248</v>
      </c>
      <c r="C896" s="383">
        <v>46248</v>
      </c>
      <c r="D896" s="381" t="s">
        <v>5595</v>
      </c>
      <c r="E896" s="382" t="s">
        <v>5596</v>
      </c>
      <c r="F896" s="381" t="s">
        <v>87</v>
      </c>
      <c r="G896" s="381" t="s">
        <v>2515</v>
      </c>
      <c r="H896" s="387">
        <v>50</v>
      </c>
      <c r="I896" s="381">
        <v>22.2</v>
      </c>
      <c r="J896" s="381">
        <v>22.2</v>
      </c>
      <c r="K896" s="381">
        <v>5</v>
      </c>
      <c r="L896" s="381">
        <v>0</v>
      </c>
      <c r="M896" s="381" t="s">
        <v>148</v>
      </c>
      <c r="N896" s="381" t="s">
        <v>149</v>
      </c>
      <c r="O896" s="381" t="s">
        <v>150</v>
      </c>
      <c r="P896" s="381" t="s">
        <v>151</v>
      </c>
      <c r="Q896" s="381"/>
      <c r="R896" s="381" t="s">
        <v>5596</v>
      </c>
      <c r="S896" s="381"/>
      <c r="T896" s="381" t="s">
        <v>2895</v>
      </c>
      <c r="U896" s="381" t="s">
        <v>152</v>
      </c>
      <c r="V896" s="381" t="s">
        <v>23</v>
      </c>
    </row>
    <row r="897" spans="2:22">
      <c r="B897" s="383">
        <v>46248</v>
      </c>
      <c r="C897" s="383">
        <v>46248</v>
      </c>
      <c r="D897" s="381" t="s">
        <v>5597</v>
      </c>
      <c r="E897" s="382" t="s">
        <v>5598</v>
      </c>
      <c r="F897" s="381" t="s">
        <v>87</v>
      </c>
      <c r="G897" s="381" t="s">
        <v>5097</v>
      </c>
      <c r="H897" s="387">
        <v>25</v>
      </c>
      <c r="I897" s="381">
        <v>18.100000000000001</v>
      </c>
      <c r="J897" s="381">
        <v>18.100000000000001</v>
      </c>
      <c r="K897" s="381">
        <v>4</v>
      </c>
      <c r="L897" s="381">
        <v>0</v>
      </c>
      <c r="M897" s="381" t="s">
        <v>148</v>
      </c>
      <c r="N897" s="381" t="s">
        <v>149</v>
      </c>
      <c r="O897" s="381" t="s">
        <v>150</v>
      </c>
      <c r="P897" s="381" t="s">
        <v>151</v>
      </c>
      <c r="Q897" s="381"/>
      <c r="R897" s="381" t="s">
        <v>5598</v>
      </c>
      <c r="S897" s="381"/>
      <c r="T897" s="381" t="s">
        <v>2895</v>
      </c>
      <c r="U897" s="381" t="s">
        <v>152</v>
      </c>
      <c r="V897" s="381" t="s">
        <v>23</v>
      </c>
    </row>
    <row r="898" spans="2:22">
      <c r="B898" s="383">
        <v>46248</v>
      </c>
      <c r="C898" s="383">
        <v>46248</v>
      </c>
      <c r="D898" s="381" t="s">
        <v>5599</v>
      </c>
      <c r="E898" s="382" t="s">
        <v>5600</v>
      </c>
      <c r="F898" s="381" t="s">
        <v>87</v>
      </c>
      <c r="G898" s="381" t="s">
        <v>2334</v>
      </c>
      <c r="H898" s="387">
        <v>40</v>
      </c>
      <c r="I898" s="381">
        <v>35.799999999999997</v>
      </c>
      <c r="J898" s="381">
        <v>35.799999999999997</v>
      </c>
      <c r="K898" s="381">
        <v>5</v>
      </c>
      <c r="L898" s="381">
        <v>0</v>
      </c>
      <c r="M898" s="381" t="s">
        <v>148</v>
      </c>
      <c r="N898" s="381" t="s">
        <v>149</v>
      </c>
      <c r="O898" s="381" t="s">
        <v>150</v>
      </c>
      <c r="P898" s="381" t="s">
        <v>151</v>
      </c>
      <c r="Q898" s="381"/>
      <c r="R898" s="381" t="s">
        <v>5600</v>
      </c>
      <c r="S898" s="381"/>
      <c r="T898" s="381" t="s">
        <v>2895</v>
      </c>
      <c r="U898" s="381" t="s">
        <v>152</v>
      </c>
      <c r="V898" s="381" t="s">
        <v>23</v>
      </c>
    </row>
    <row r="899" spans="2:22">
      <c r="B899" s="383">
        <v>46248</v>
      </c>
      <c r="C899" s="383">
        <v>46248</v>
      </c>
      <c r="D899" s="381" t="s">
        <v>5601</v>
      </c>
      <c r="E899" s="382" t="s">
        <v>5602</v>
      </c>
      <c r="F899" s="381" t="s">
        <v>87</v>
      </c>
      <c r="G899" s="381" t="s">
        <v>2334</v>
      </c>
      <c r="H899" s="387">
        <v>40</v>
      </c>
      <c r="I899" s="381">
        <v>16.2</v>
      </c>
      <c r="J899" s="381">
        <v>16.2</v>
      </c>
      <c r="K899" s="381">
        <v>5</v>
      </c>
      <c r="L899" s="381">
        <v>0</v>
      </c>
      <c r="M899" s="381" t="s">
        <v>148</v>
      </c>
      <c r="N899" s="381" t="s">
        <v>149</v>
      </c>
      <c r="O899" s="381" t="s">
        <v>150</v>
      </c>
      <c r="P899" s="381" t="s">
        <v>151</v>
      </c>
      <c r="Q899" s="381"/>
      <c r="R899" s="381" t="s">
        <v>5602</v>
      </c>
      <c r="S899" s="381"/>
      <c r="T899" s="381" t="s">
        <v>2895</v>
      </c>
      <c r="U899" s="381" t="s">
        <v>152</v>
      </c>
      <c r="V899" s="381" t="s">
        <v>23</v>
      </c>
    </row>
    <row r="900" spans="2:22">
      <c r="B900" s="383">
        <v>46248</v>
      </c>
      <c r="C900" s="383">
        <v>46248</v>
      </c>
      <c r="D900" s="381" t="s">
        <v>5603</v>
      </c>
      <c r="E900" s="382" t="s">
        <v>5604</v>
      </c>
      <c r="F900" s="381" t="s">
        <v>87</v>
      </c>
      <c r="G900" s="381" t="s">
        <v>2512</v>
      </c>
      <c r="H900" s="387">
        <v>40</v>
      </c>
      <c r="I900" s="381">
        <v>28.1</v>
      </c>
      <c r="J900" s="381">
        <v>28.1</v>
      </c>
      <c r="K900" s="381">
        <v>5</v>
      </c>
      <c r="L900" s="381">
        <v>0</v>
      </c>
      <c r="M900" s="381" t="s">
        <v>148</v>
      </c>
      <c r="N900" s="381" t="s">
        <v>149</v>
      </c>
      <c r="O900" s="381" t="s">
        <v>150</v>
      </c>
      <c r="P900" s="381" t="s">
        <v>151</v>
      </c>
      <c r="Q900" s="381"/>
      <c r="R900" s="381" t="s">
        <v>5604</v>
      </c>
      <c r="S900" s="381"/>
      <c r="T900" s="381" t="s">
        <v>2895</v>
      </c>
      <c r="U900" s="381" t="s">
        <v>152</v>
      </c>
      <c r="V900" s="381" t="s">
        <v>23</v>
      </c>
    </row>
    <row r="901" spans="2:22">
      <c r="B901" s="383">
        <v>46248</v>
      </c>
      <c r="C901" s="383">
        <v>46248</v>
      </c>
      <c r="D901" s="381" t="s">
        <v>5605</v>
      </c>
      <c r="E901" s="382" t="s">
        <v>5606</v>
      </c>
      <c r="F901" s="381" t="s">
        <v>87</v>
      </c>
      <c r="G901" s="381" t="s">
        <v>2334</v>
      </c>
      <c r="H901" s="387">
        <v>40</v>
      </c>
      <c r="I901" s="381">
        <v>36.4</v>
      </c>
      <c r="J901" s="381">
        <v>36.4</v>
      </c>
      <c r="K901" s="381">
        <v>5</v>
      </c>
      <c r="L901" s="381">
        <v>0</v>
      </c>
      <c r="M901" s="381" t="s">
        <v>148</v>
      </c>
      <c r="N901" s="381" t="s">
        <v>149</v>
      </c>
      <c r="O901" s="381" t="s">
        <v>150</v>
      </c>
      <c r="P901" s="381" t="s">
        <v>151</v>
      </c>
      <c r="Q901" s="381"/>
      <c r="R901" s="381" t="s">
        <v>5606</v>
      </c>
      <c r="S901" s="381"/>
      <c r="T901" s="381" t="s">
        <v>2895</v>
      </c>
      <c r="U901" s="381" t="s">
        <v>152</v>
      </c>
      <c r="V901" s="381" t="s">
        <v>23</v>
      </c>
    </row>
    <row r="902" spans="2:22">
      <c r="B902" s="383">
        <v>46248</v>
      </c>
      <c r="C902" s="383">
        <v>46248</v>
      </c>
      <c r="D902" s="381" t="s">
        <v>5607</v>
      </c>
      <c r="E902" s="382" t="s">
        <v>5608</v>
      </c>
      <c r="F902" s="381" t="s">
        <v>87</v>
      </c>
      <c r="G902" s="381" t="s">
        <v>1966</v>
      </c>
      <c r="H902" s="387">
        <v>6</v>
      </c>
      <c r="I902" s="381">
        <v>28.2</v>
      </c>
      <c r="J902" s="381">
        <v>28.2</v>
      </c>
      <c r="K902" s="381">
        <v>1.5</v>
      </c>
      <c r="L902" s="381">
        <v>0</v>
      </c>
      <c r="M902" s="381" t="s">
        <v>148</v>
      </c>
      <c r="N902" s="381" t="s">
        <v>149</v>
      </c>
      <c r="O902" s="381" t="s">
        <v>150</v>
      </c>
      <c r="P902" s="381" t="s">
        <v>151</v>
      </c>
      <c r="Q902" s="381"/>
      <c r="R902" s="381" t="s">
        <v>5608</v>
      </c>
      <c r="S902" s="381"/>
      <c r="T902" s="381" t="s">
        <v>2895</v>
      </c>
      <c r="U902" s="381" t="s">
        <v>152</v>
      </c>
      <c r="V902" s="381" t="s">
        <v>23</v>
      </c>
    </row>
    <row r="903" spans="2:22">
      <c r="B903" s="383">
        <v>46248</v>
      </c>
      <c r="C903" s="383">
        <v>46248</v>
      </c>
      <c r="D903" s="381" t="s">
        <v>5609</v>
      </c>
      <c r="E903" s="382" t="s">
        <v>5610</v>
      </c>
      <c r="F903" s="381" t="s">
        <v>87</v>
      </c>
      <c r="G903" s="381" t="s">
        <v>2515</v>
      </c>
      <c r="H903" s="387">
        <v>50</v>
      </c>
      <c r="I903" s="381">
        <v>37.799999999999997</v>
      </c>
      <c r="J903" s="381">
        <v>37.799999999999997</v>
      </c>
      <c r="K903" s="381">
        <v>5</v>
      </c>
      <c r="L903" s="381">
        <v>0</v>
      </c>
      <c r="M903" s="381" t="s">
        <v>148</v>
      </c>
      <c r="N903" s="381" t="s">
        <v>149</v>
      </c>
      <c r="O903" s="381" t="s">
        <v>150</v>
      </c>
      <c r="P903" s="381" t="s">
        <v>151</v>
      </c>
      <c r="Q903" s="381"/>
      <c r="R903" s="381" t="s">
        <v>5610</v>
      </c>
      <c r="S903" s="381"/>
      <c r="T903" s="381" t="s">
        <v>2895</v>
      </c>
      <c r="U903" s="381" t="s">
        <v>152</v>
      </c>
      <c r="V903" s="381" t="s">
        <v>23</v>
      </c>
    </row>
    <row r="904" spans="2:22">
      <c r="B904" s="383">
        <v>46248</v>
      </c>
      <c r="C904" s="383">
        <v>46248</v>
      </c>
      <c r="D904" s="381" t="s">
        <v>5611</v>
      </c>
      <c r="E904" s="382" t="s">
        <v>5612</v>
      </c>
      <c r="F904" s="381" t="s">
        <v>87</v>
      </c>
      <c r="G904" s="381" t="s">
        <v>1678</v>
      </c>
      <c r="H904" s="387">
        <v>30</v>
      </c>
      <c r="I904" s="381">
        <v>31.3</v>
      </c>
      <c r="J904" s="381">
        <v>31.3</v>
      </c>
      <c r="K904" s="381">
        <v>4</v>
      </c>
      <c r="L904" s="381">
        <v>0</v>
      </c>
      <c r="M904" s="381" t="s">
        <v>148</v>
      </c>
      <c r="N904" s="381" t="s">
        <v>149</v>
      </c>
      <c r="O904" s="381" t="s">
        <v>150</v>
      </c>
      <c r="P904" s="381" t="s">
        <v>151</v>
      </c>
      <c r="Q904" s="381"/>
      <c r="R904" s="381" t="s">
        <v>5612</v>
      </c>
      <c r="S904" s="381"/>
      <c r="T904" s="381" t="s">
        <v>2895</v>
      </c>
      <c r="U904" s="381" t="s">
        <v>152</v>
      </c>
      <c r="V904" s="381" t="s">
        <v>23</v>
      </c>
    </row>
    <row r="905" spans="2:22">
      <c r="B905" s="383">
        <v>46248</v>
      </c>
      <c r="C905" s="383">
        <v>46248</v>
      </c>
      <c r="D905" s="381" t="s">
        <v>5613</v>
      </c>
      <c r="E905" s="382" t="s">
        <v>5614</v>
      </c>
      <c r="F905" s="381" t="s">
        <v>87</v>
      </c>
      <c r="G905" s="381" t="s">
        <v>2357</v>
      </c>
      <c r="H905" s="387">
        <v>40</v>
      </c>
      <c r="I905" s="381">
        <v>30.3</v>
      </c>
      <c r="J905" s="381">
        <v>30.3</v>
      </c>
      <c r="K905" s="381">
        <v>5</v>
      </c>
      <c r="L905" s="381">
        <v>0</v>
      </c>
      <c r="M905" s="381" t="s">
        <v>148</v>
      </c>
      <c r="N905" s="381" t="s">
        <v>149</v>
      </c>
      <c r="O905" s="381" t="s">
        <v>150</v>
      </c>
      <c r="P905" s="381" t="s">
        <v>151</v>
      </c>
      <c r="Q905" s="381"/>
      <c r="R905" s="381" t="s">
        <v>5614</v>
      </c>
      <c r="S905" s="381"/>
      <c r="T905" s="381" t="s">
        <v>2895</v>
      </c>
      <c r="U905" s="381" t="s">
        <v>152</v>
      </c>
      <c r="V905" s="381" t="s">
        <v>23</v>
      </c>
    </row>
    <row r="906" spans="2:22">
      <c r="B906" s="383">
        <v>46248</v>
      </c>
      <c r="C906" s="383">
        <v>46248</v>
      </c>
      <c r="D906" s="381" t="s">
        <v>5615</v>
      </c>
      <c r="E906" s="382" t="s">
        <v>5616</v>
      </c>
      <c r="F906" s="381" t="s">
        <v>87</v>
      </c>
      <c r="G906" s="381" t="s">
        <v>2334</v>
      </c>
      <c r="H906" s="387">
        <v>40</v>
      </c>
      <c r="I906" s="381">
        <v>32</v>
      </c>
      <c r="J906" s="381">
        <v>32</v>
      </c>
      <c r="K906" s="381">
        <v>5</v>
      </c>
      <c r="L906" s="381">
        <v>0</v>
      </c>
      <c r="M906" s="381" t="s">
        <v>148</v>
      </c>
      <c r="N906" s="381" t="s">
        <v>149</v>
      </c>
      <c r="O906" s="381" t="s">
        <v>150</v>
      </c>
      <c r="P906" s="381" t="s">
        <v>151</v>
      </c>
      <c r="Q906" s="381"/>
      <c r="R906" s="381" t="s">
        <v>5616</v>
      </c>
      <c r="S906" s="381"/>
      <c r="T906" s="381" t="s">
        <v>2895</v>
      </c>
      <c r="U906" s="381" t="s">
        <v>152</v>
      </c>
      <c r="V906" s="381" t="s">
        <v>23</v>
      </c>
    </row>
    <row r="907" spans="2:22">
      <c r="B907" s="383">
        <v>46248</v>
      </c>
      <c r="C907" s="383">
        <v>46248</v>
      </c>
      <c r="D907" s="381" t="s">
        <v>5617</v>
      </c>
      <c r="E907" s="382" t="s">
        <v>5618</v>
      </c>
      <c r="F907" s="381" t="s">
        <v>87</v>
      </c>
      <c r="G907" s="381" t="s">
        <v>2334</v>
      </c>
      <c r="H907" s="387">
        <v>40</v>
      </c>
      <c r="I907" s="381">
        <v>40.299999999999997</v>
      </c>
      <c r="J907" s="381">
        <v>40.299999999999997</v>
      </c>
      <c r="K907" s="381">
        <v>5</v>
      </c>
      <c r="L907" s="381">
        <v>0</v>
      </c>
      <c r="M907" s="381" t="s">
        <v>148</v>
      </c>
      <c r="N907" s="381" t="s">
        <v>149</v>
      </c>
      <c r="O907" s="381" t="s">
        <v>150</v>
      </c>
      <c r="P907" s="381" t="s">
        <v>151</v>
      </c>
      <c r="Q907" s="381"/>
      <c r="R907" s="381" t="s">
        <v>5618</v>
      </c>
      <c r="S907" s="381"/>
      <c r="T907" s="381" t="s">
        <v>2895</v>
      </c>
      <c r="U907" s="381" t="s">
        <v>152</v>
      </c>
      <c r="V907" s="381" t="s">
        <v>23</v>
      </c>
    </row>
    <row r="908" spans="2:22">
      <c r="B908" s="383">
        <v>46248</v>
      </c>
      <c r="C908" s="383">
        <v>46248</v>
      </c>
      <c r="D908" s="381" t="s">
        <v>5619</v>
      </c>
      <c r="E908" s="382" t="s">
        <v>5620</v>
      </c>
      <c r="F908" s="381" t="s">
        <v>87</v>
      </c>
      <c r="G908" s="381" t="s">
        <v>5097</v>
      </c>
      <c r="H908" s="387">
        <v>25</v>
      </c>
      <c r="I908" s="381">
        <v>33.700000000000003</v>
      </c>
      <c r="J908" s="381">
        <v>33.700000000000003</v>
      </c>
      <c r="K908" s="381">
        <v>4</v>
      </c>
      <c r="L908" s="381">
        <v>0</v>
      </c>
      <c r="M908" s="381" t="s">
        <v>148</v>
      </c>
      <c r="N908" s="381" t="s">
        <v>149</v>
      </c>
      <c r="O908" s="381" t="s">
        <v>150</v>
      </c>
      <c r="P908" s="381" t="s">
        <v>151</v>
      </c>
      <c r="Q908" s="381"/>
      <c r="R908" s="381" t="s">
        <v>5620</v>
      </c>
      <c r="S908" s="381"/>
      <c r="T908" s="381" t="s">
        <v>2895</v>
      </c>
      <c r="U908" s="381" t="s">
        <v>152</v>
      </c>
      <c r="V908" s="381" t="s">
        <v>23</v>
      </c>
    </row>
    <row r="909" spans="2:22">
      <c r="B909" s="383">
        <v>46248</v>
      </c>
      <c r="C909" s="383">
        <v>46248</v>
      </c>
      <c r="D909" s="381" t="s">
        <v>5621</v>
      </c>
      <c r="E909" s="382" t="s">
        <v>5622</v>
      </c>
      <c r="F909" s="381" t="s">
        <v>87</v>
      </c>
      <c r="G909" s="381" t="s">
        <v>2404</v>
      </c>
      <c r="H909" s="387">
        <v>40</v>
      </c>
      <c r="I909" s="381">
        <v>25.2</v>
      </c>
      <c r="J909" s="381">
        <v>25.2</v>
      </c>
      <c r="K909" s="381">
        <v>5</v>
      </c>
      <c r="L909" s="381">
        <v>0</v>
      </c>
      <c r="M909" s="381" t="s">
        <v>148</v>
      </c>
      <c r="N909" s="381" t="s">
        <v>149</v>
      </c>
      <c r="O909" s="381" t="s">
        <v>150</v>
      </c>
      <c r="P909" s="381" t="s">
        <v>151</v>
      </c>
      <c r="Q909" s="381"/>
      <c r="R909" s="381" t="s">
        <v>5622</v>
      </c>
      <c r="S909" s="381"/>
      <c r="T909" s="381" t="s">
        <v>2895</v>
      </c>
      <c r="U909" s="381" t="s">
        <v>152</v>
      </c>
      <c r="V909" s="381" t="s">
        <v>23</v>
      </c>
    </row>
    <row r="910" spans="2:22">
      <c r="B910" s="383">
        <v>46248</v>
      </c>
      <c r="C910" s="383">
        <v>46248</v>
      </c>
      <c r="D910" s="381" t="s">
        <v>5623</v>
      </c>
      <c r="E910" s="382" t="s">
        <v>5624</v>
      </c>
      <c r="F910" s="381" t="s">
        <v>87</v>
      </c>
      <c r="G910" s="381" t="s">
        <v>1678</v>
      </c>
      <c r="H910" s="387">
        <v>30</v>
      </c>
      <c r="I910" s="381">
        <v>28.2</v>
      </c>
      <c r="J910" s="381">
        <v>28.2</v>
      </c>
      <c r="K910" s="381">
        <v>4</v>
      </c>
      <c r="L910" s="381">
        <v>0</v>
      </c>
      <c r="M910" s="381" t="s">
        <v>148</v>
      </c>
      <c r="N910" s="381" t="s">
        <v>149</v>
      </c>
      <c r="O910" s="381" t="s">
        <v>150</v>
      </c>
      <c r="P910" s="381" t="s">
        <v>151</v>
      </c>
      <c r="Q910" s="381"/>
      <c r="R910" s="381" t="s">
        <v>5624</v>
      </c>
      <c r="S910" s="381"/>
      <c r="T910" s="381" t="s">
        <v>2895</v>
      </c>
      <c r="U910" s="381" t="s">
        <v>152</v>
      </c>
      <c r="V910" s="381" t="s">
        <v>23</v>
      </c>
    </row>
    <row r="911" spans="2:22">
      <c r="B911" s="383">
        <v>46248</v>
      </c>
      <c r="C911" s="383">
        <v>46248</v>
      </c>
      <c r="D911" s="381" t="s">
        <v>5625</v>
      </c>
      <c r="E911" s="382" t="s">
        <v>5626</v>
      </c>
      <c r="F911" s="381" t="s">
        <v>87</v>
      </c>
      <c r="G911" s="381" t="s">
        <v>2334</v>
      </c>
      <c r="H911" s="387">
        <v>40</v>
      </c>
      <c r="I911" s="381">
        <v>34.299999999999997</v>
      </c>
      <c r="J911" s="381">
        <v>34.299999999999997</v>
      </c>
      <c r="K911" s="381">
        <v>5</v>
      </c>
      <c r="L911" s="381">
        <v>0</v>
      </c>
      <c r="M911" s="381" t="s">
        <v>148</v>
      </c>
      <c r="N911" s="381" t="s">
        <v>149</v>
      </c>
      <c r="O911" s="381" t="s">
        <v>150</v>
      </c>
      <c r="P911" s="381" t="s">
        <v>151</v>
      </c>
      <c r="Q911" s="381"/>
      <c r="R911" s="381" t="s">
        <v>5626</v>
      </c>
      <c r="S911" s="381" t="s">
        <v>61</v>
      </c>
      <c r="T911" s="381" t="s">
        <v>3398</v>
      </c>
      <c r="U911" s="381" t="s">
        <v>152</v>
      </c>
      <c r="V911" s="381" t="s">
        <v>23</v>
      </c>
    </row>
    <row r="912" spans="2:22">
      <c r="B912" s="383">
        <v>46248</v>
      </c>
      <c r="C912" s="383">
        <v>46248</v>
      </c>
      <c r="D912" s="381" t="s">
        <v>5627</v>
      </c>
      <c r="E912" s="382" t="s">
        <v>5628</v>
      </c>
      <c r="F912" s="381" t="s">
        <v>87</v>
      </c>
      <c r="G912" s="381" t="s">
        <v>2357</v>
      </c>
      <c r="H912" s="387">
        <v>40</v>
      </c>
      <c r="I912" s="381">
        <v>40.5</v>
      </c>
      <c r="J912" s="381">
        <v>40.5</v>
      </c>
      <c r="K912" s="381">
        <v>5</v>
      </c>
      <c r="L912" s="381">
        <v>0</v>
      </c>
      <c r="M912" s="381" t="s">
        <v>148</v>
      </c>
      <c r="N912" s="381" t="s">
        <v>149</v>
      </c>
      <c r="O912" s="381" t="s">
        <v>150</v>
      </c>
      <c r="P912" s="381" t="s">
        <v>151</v>
      </c>
      <c r="Q912" s="381"/>
      <c r="R912" s="381" t="s">
        <v>5628</v>
      </c>
      <c r="S912" s="381"/>
      <c r="T912" s="381" t="s">
        <v>2895</v>
      </c>
      <c r="U912" s="381" t="s">
        <v>152</v>
      </c>
      <c r="V912" s="381" t="s">
        <v>23</v>
      </c>
    </row>
    <row r="913" spans="2:22">
      <c r="B913" s="383">
        <v>46248</v>
      </c>
      <c r="C913" s="383">
        <v>46248</v>
      </c>
      <c r="D913" s="381" t="s">
        <v>5629</v>
      </c>
      <c r="E913" s="382" t="s">
        <v>5630</v>
      </c>
      <c r="F913" s="381" t="s">
        <v>87</v>
      </c>
      <c r="G913" s="381" t="s">
        <v>2357</v>
      </c>
      <c r="H913" s="387">
        <v>40</v>
      </c>
      <c r="I913" s="381">
        <v>22.8</v>
      </c>
      <c r="J913" s="381">
        <v>22.8</v>
      </c>
      <c r="K913" s="381">
        <v>5</v>
      </c>
      <c r="L913" s="381">
        <v>0</v>
      </c>
      <c r="M913" s="381" t="s">
        <v>148</v>
      </c>
      <c r="N913" s="381" t="s">
        <v>149</v>
      </c>
      <c r="O913" s="381" t="s">
        <v>150</v>
      </c>
      <c r="P913" s="381" t="s">
        <v>151</v>
      </c>
      <c r="Q913" s="381"/>
      <c r="R913" s="381" t="s">
        <v>5630</v>
      </c>
      <c r="S913" s="381"/>
      <c r="T913" s="381" t="s">
        <v>2895</v>
      </c>
      <c r="U913" s="381" t="s">
        <v>152</v>
      </c>
      <c r="V913" s="381" t="s">
        <v>23</v>
      </c>
    </row>
    <row r="914" spans="2:22">
      <c r="B914" s="383">
        <v>46248</v>
      </c>
      <c r="C914" s="383">
        <v>46248</v>
      </c>
      <c r="D914" s="381" t="s">
        <v>5631</v>
      </c>
      <c r="E914" s="382" t="s">
        <v>5632</v>
      </c>
      <c r="F914" s="381" t="s">
        <v>87</v>
      </c>
      <c r="G914" s="381" t="s">
        <v>2404</v>
      </c>
      <c r="H914" s="387">
        <v>40</v>
      </c>
      <c r="I914" s="381">
        <v>38.6</v>
      </c>
      <c r="J914" s="381">
        <v>38.6</v>
      </c>
      <c r="K914" s="381">
        <v>5</v>
      </c>
      <c r="L914" s="381">
        <v>0</v>
      </c>
      <c r="M914" s="381" t="s">
        <v>148</v>
      </c>
      <c r="N914" s="381" t="s">
        <v>149</v>
      </c>
      <c r="O914" s="381" t="s">
        <v>150</v>
      </c>
      <c r="P914" s="381" t="s">
        <v>151</v>
      </c>
      <c r="Q914" s="381"/>
      <c r="R914" s="381" t="s">
        <v>5632</v>
      </c>
      <c r="S914" s="381"/>
      <c r="T914" s="381" t="s">
        <v>2895</v>
      </c>
      <c r="U914" s="381" t="s">
        <v>152</v>
      </c>
      <c r="V914" s="381" t="s">
        <v>23</v>
      </c>
    </row>
    <row r="915" spans="2:22">
      <c r="B915" s="383">
        <v>46248</v>
      </c>
      <c r="C915" s="383">
        <v>46248</v>
      </c>
      <c r="D915" s="381" t="s">
        <v>5633</v>
      </c>
      <c r="E915" s="382" t="s">
        <v>5634</v>
      </c>
      <c r="F915" s="381" t="s">
        <v>87</v>
      </c>
      <c r="G915" s="381" t="s">
        <v>2515</v>
      </c>
      <c r="H915" s="387">
        <v>50</v>
      </c>
      <c r="I915" s="381">
        <v>31.2</v>
      </c>
      <c r="J915" s="381">
        <v>31.2</v>
      </c>
      <c r="K915" s="381">
        <v>5</v>
      </c>
      <c r="L915" s="381">
        <v>0</v>
      </c>
      <c r="M915" s="381" t="s">
        <v>148</v>
      </c>
      <c r="N915" s="381" t="s">
        <v>149</v>
      </c>
      <c r="O915" s="381" t="s">
        <v>150</v>
      </c>
      <c r="P915" s="381" t="s">
        <v>151</v>
      </c>
      <c r="Q915" s="381"/>
      <c r="R915" s="381" t="s">
        <v>5634</v>
      </c>
      <c r="S915" s="381"/>
      <c r="T915" s="381" t="s">
        <v>2895</v>
      </c>
      <c r="U915" s="381" t="s">
        <v>152</v>
      </c>
      <c r="V915" s="381" t="s">
        <v>23</v>
      </c>
    </row>
    <row r="916" spans="2:22">
      <c r="B916" s="383">
        <v>46248</v>
      </c>
      <c r="C916" s="383">
        <v>46248</v>
      </c>
      <c r="D916" s="381" t="s">
        <v>5635</v>
      </c>
      <c r="E916" s="382" t="s">
        <v>5636</v>
      </c>
      <c r="F916" s="381" t="s">
        <v>87</v>
      </c>
      <c r="G916" s="381" t="s">
        <v>2334</v>
      </c>
      <c r="H916" s="387">
        <v>40</v>
      </c>
      <c r="I916" s="381">
        <v>27.2</v>
      </c>
      <c r="J916" s="381">
        <v>27.2</v>
      </c>
      <c r="K916" s="381">
        <v>5</v>
      </c>
      <c r="L916" s="381">
        <v>0</v>
      </c>
      <c r="M916" s="381" t="s">
        <v>148</v>
      </c>
      <c r="N916" s="381" t="s">
        <v>149</v>
      </c>
      <c r="O916" s="381" t="s">
        <v>150</v>
      </c>
      <c r="P916" s="381" t="s">
        <v>151</v>
      </c>
      <c r="Q916" s="381"/>
      <c r="R916" s="381" t="s">
        <v>5636</v>
      </c>
      <c r="S916" s="381"/>
      <c r="T916" s="381" t="s">
        <v>2895</v>
      </c>
      <c r="U916" s="381" t="s">
        <v>152</v>
      </c>
      <c r="V916" s="381" t="s">
        <v>23</v>
      </c>
    </row>
    <row r="917" spans="2:22">
      <c r="B917" s="383">
        <v>46248</v>
      </c>
      <c r="C917" s="383">
        <v>46248</v>
      </c>
      <c r="D917" s="381" t="s">
        <v>5637</v>
      </c>
      <c r="E917" s="382" t="s">
        <v>5638</v>
      </c>
      <c r="F917" s="381" t="s">
        <v>87</v>
      </c>
      <c r="G917" s="381" t="s">
        <v>2334</v>
      </c>
      <c r="H917" s="387">
        <v>40</v>
      </c>
      <c r="I917" s="381">
        <v>17</v>
      </c>
      <c r="J917" s="381">
        <v>17</v>
      </c>
      <c r="K917" s="381">
        <v>5</v>
      </c>
      <c r="L917" s="381">
        <v>0</v>
      </c>
      <c r="M917" s="381" t="s">
        <v>148</v>
      </c>
      <c r="N917" s="381" t="s">
        <v>149</v>
      </c>
      <c r="O917" s="381" t="s">
        <v>150</v>
      </c>
      <c r="P917" s="381" t="s">
        <v>151</v>
      </c>
      <c r="Q917" s="381"/>
      <c r="R917" s="381" t="s">
        <v>5638</v>
      </c>
      <c r="S917" s="381"/>
      <c r="T917" s="381" t="s">
        <v>2895</v>
      </c>
      <c r="U917" s="381" t="s">
        <v>152</v>
      </c>
      <c r="V917" s="381" t="s">
        <v>23</v>
      </c>
    </row>
    <row r="918" spans="2:22">
      <c r="B918" s="383">
        <v>46248</v>
      </c>
      <c r="C918" s="383">
        <v>46248</v>
      </c>
      <c r="D918" s="381" t="s">
        <v>5639</v>
      </c>
      <c r="E918" s="382" t="s">
        <v>5640</v>
      </c>
      <c r="F918" s="381" t="s">
        <v>87</v>
      </c>
      <c r="G918" s="381" t="s">
        <v>2078</v>
      </c>
      <c r="H918" s="387">
        <v>6</v>
      </c>
      <c r="I918" s="381">
        <v>36.200000000000003</v>
      </c>
      <c r="J918" s="381">
        <v>36.200000000000003</v>
      </c>
      <c r="K918" s="381">
        <v>1.5</v>
      </c>
      <c r="L918" s="381">
        <v>0</v>
      </c>
      <c r="M918" s="381" t="s">
        <v>148</v>
      </c>
      <c r="N918" s="381" t="s">
        <v>149</v>
      </c>
      <c r="O918" s="381" t="s">
        <v>150</v>
      </c>
      <c r="P918" s="381" t="s">
        <v>151</v>
      </c>
      <c r="Q918" s="381"/>
      <c r="R918" s="381" t="s">
        <v>5640</v>
      </c>
      <c r="S918" s="381"/>
      <c r="T918" s="381" t="s">
        <v>2895</v>
      </c>
      <c r="U918" s="381" t="s">
        <v>152</v>
      </c>
      <c r="V918" s="381" t="s">
        <v>23</v>
      </c>
    </row>
    <row r="919" spans="2:22">
      <c r="B919" s="383">
        <v>46248</v>
      </c>
      <c r="C919" s="383">
        <v>46248</v>
      </c>
      <c r="D919" s="381" t="s">
        <v>5641</v>
      </c>
      <c r="E919" s="382" t="s">
        <v>5642</v>
      </c>
      <c r="F919" s="381" t="s">
        <v>87</v>
      </c>
      <c r="G919" s="381" t="s">
        <v>5097</v>
      </c>
      <c r="H919" s="387">
        <v>25</v>
      </c>
      <c r="I919" s="381">
        <v>37.799999999999997</v>
      </c>
      <c r="J919" s="381">
        <v>37.799999999999997</v>
      </c>
      <c r="K919" s="381">
        <v>4</v>
      </c>
      <c r="L919" s="381">
        <v>0</v>
      </c>
      <c r="M919" s="381" t="s">
        <v>148</v>
      </c>
      <c r="N919" s="381" t="s">
        <v>149</v>
      </c>
      <c r="O919" s="381" t="s">
        <v>150</v>
      </c>
      <c r="P919" s="381" t="s">
        <v>151</v>
      </c>
      <c r="Q919" s="381"/>
      <c r="R919" s="381" t="s">
        <v>5642</v>
      </c>
      <c r="S919" s="381"/>
      <c r="T919" s="381" t="s">
        <v>2895</v>
      </c>
      <c r="U919" s="381" t="s">
        <v>152</v>
      </c>
      <c r="V919" s="381" t="s">
        <v>23</v>
      </c>
    </row>
    <row r="920" spans="2:22">
      <c r="B920" s="383">
        <v>46248</v>
      </c>
      <c r="C920" s="383">
        <v>46248</v>
      </c>
      <c r="D920" s="381" t="s">
        <v>5643</v>
      </c>
      <c r="E920" s="382" t="s">
        <v>5644</v>
      </c>
      <c r="F920" s="381" t="s">
        <v>87</v>
      </c>
      <c r="G920" s="381" t="s">
        <v>2357</v>
      </c>
      <c r="H920" s="387">
        <v>40</v>
      </c>
      <c r="I920" s="381">
        <v>38.799999999999997</v>
      </c>
      <c r="J920" s="381">
        <v>38.799999999999997</v>
      </c>
      <c r="K920" s="381">
        <v>5</v>
      </c>
      <c r="L920" s="381">
        <v>0</v>
      </c>
      <c r="M920" s="381" t="s">
        <v>148</v>
      </c>
      <c r="N920" s="381" t="s">
        <v>149</v>
      </c>
      <c r="O920" s="381" t="s">
        <v>150</v>
      </c>
      <c r="P920" s="381" t="s">
        <v>151</v>
      </c>
      <c r="Q920" s="381"/>
      <c r="R920" s="381" t="s">
        <v>5644</v>
      </c>
      <c r="S920" s="381"/>
      <c r="T920" s="381" t="s">
        <v>2895</v>
      </c>
      <c r="U920" s="381" t="s">
        <v>152</v>
      </c>
      <c r="V920" s="381" t="s">
        <v>23</v>
      </c>
    </row>
    <row r="921" spans="2:22">
      <c r="B921" s="383">
        <v>46248</v>
      </c>
      <c r="C921" s="383">
        <v>46248</v>
      </c>
      <c r="D921" s="381" t="s">
        <v>5645</v>
      </c>
      <c r="E921" s="382" t="s">
        <v>5646</v>
      </c>
      <c r="F921" s="381" t="s">
        <v>87</v>
      </c>
      <c r="G921" s="381" t="s">
        <v>2357</v>
      </c>
      <c r="H921" s="387">
        <v>40</v>
      </c>
      <c r="I921" s="381">
        <v>34.799999999999997</v>
      </c>
      <c r="J921" s="381">
        <v>34.799999999999997</v>
      </c>
      <c r="K921" s="381">
        <v>5</v>
      </c>
      <c r="L921" s="381">
        <v>0</v>
      </c>
      <c r="M921" s="381" t="s">
        <v>148</v>
      </c>
      <c r="N921" s="381" t="s">
        <v>149</v>
      </c>
      <c r="O921" s="381" t="s">
        <v>150</v>
      </c>
      <c r="P921" s="381" t="s">
        <v>151</v>
      </c>
      <c r="Q921" s="381"/>
      <c r="R921" s="381" t="s">
        <v>5646</v>
      </c>
      <c r="S921" s="381"/>
      <c r="T921" s="381" t="s">
        <v>2895</v>
      </c>
      <c r="U921" s="381" t="s">
        <v>152</v>
      </c>
      <c r="V921" s="381" t="s">
        <v>23</v>
      </c>
    </row>
    <row r="922" spans="2:22">
      <c r="B922" s="383">
        <v>46248</v>
      </c>
      <c r="C922" s="383">
        <v>46248</v>
      </c>
      <c r="D922" s="381" t="s">
        <v>5647</v>
      </c>
      <c r="E922" s="382" t="s">
        <v>5648</v>
      </c>
      <c r="F922" s="381" t="s">
        <v>87</v>
      </c>
      <c r="G922" s="381" t="s">
        <v>2334</v>
      </c>
      <c r="H922" s="387">
        <v>40</v>
      </c>
      <c r="I922" s="381">
        <v>40.5</v>
      </c>
      <c r="J922" s="381">
        <v>40.5</v>
      </c>
      <c r="K922" s="381">
        <v>5</v>
      </c>
      <c r="L922" s="381">
        <v>0</v>
      </c>
      <c r="M922" s="381" t="s">
        <v>148</v>
      </c>
      <c r="N922" s="381" t="s">
        <v>149</v>
      </c>
      <c r="O922" s="381" t="s">
        <v>150</v>
      </c>
      <c r="P922" s="381" t="s">
        <v>151</v>
      </c>
      <c r="Q922" s="381"/>
      <c r="R922" s="381" t="s">
        <v>5648</v>
      </c>
      <c r="S922" s="381"/>
      <c r="T922" s="381" t="s">
        <v>2895</v>
      </c>
      <c r="U922" s="381" t="s">
        <v>152</v>
      </c>
      <c r="V922" s="381" t="s">
        <v>23</v>
      </c>
    </row>
    <row r="923" spans="2:22">
      <c r="B923" s="383">
        <v>46248</v>
      </c>
      <c r="C923" s="383">
        <v>46248</v>
      </c>
      <c r="D923" s="381" t="s">
        <v>5649</v>
      </c>
      <c r="E923" s="382" t="s">
        <v>5650</v>
      </c>
      <c r="F923" s="381" t="s">
        <v>87</v>
      </c>
      <c r="G923" s="381" t="s">
        <v>2334</v>
      </c>
      <c r="H923" s="387">
        <v>40</v>
      </c>
      <c r="I923" s="381">
        <v>39.799999999999997</v>
      </c>
      <c r="J923" s="381">
        <v>39.799999999999997</v>
      </c>
      <c r="K923" s="381">
        <v>5</v>
      </c>
      <c r="L923" s="381">
        <v>0</v>
      </c>
      <c r="M923" s="381" t="s">
        <v>148</v>
      </c>
      <c r="N923" s="381" t="s">
        <v>149</v>
      </c>
      <c r="O923" s="381" t="s">
        <v>150</v>
      </c>
      <c r="P923" s="381" t="s">
        <v>151</v>
      </c>
      <c r="Q923" s="381"/>
      <c r="R923" s="381" t="s">
        <v>5650</v>
      </c>
      <c r="S923" s="381"/>
      <c r="T923" s="381" t="s">
        <v>2895</v>
      </c>
      <c r="U923" s="381" t="s">
        <v>152</v>
      </c>
      <c r="V923" s="381" t="s">
        <v>23</v>
      </c>
    </row>
    <row r="924" spans="2:22">
      <c r="B924" s="383">
        <v>46248</v>
      </c>
      <c r="C924" s="383">
        <v>46248</v>
      </c>
      <c r="D924" s="381" t="s">
        <v>5651</v>
      </c>
      <c r="E924" s="382" t="s">
        <v>5652</v>
      </c>
      <c r="F924" s="381" t="s">
        <v>87</v>
      </c>
      <c r="G924" s="381" t="s">
        <v>4512</v>
      </c>
      <c r="H924" s="387">
        <v>55</v>
      </c>
      <c r="I924" s="381">
        <v>28.2</v>
      </c>
      <c r="J924" s="381">
        <v>28.2</v>
      </c>
      <c r="K924" s="381">
        <v>5</v>
      </c>
      <c r="L924" s="381">
        <v>0</v>
      </c>
      <c r="M924" s="381" t="s">
        <v>148</v>
      </c>
      <c r="N924" s="381" t="s">
        <v>149</v>
      </c>
      <c r="O924" s="381" t="s">
        <v>150</v>
      </c>
      <c r="P924" s="381" t="s">
        <v>151</v>
      </c>
      <c r="Q924" s="381"/>
      <c r="R924" s="381" t="s">
        <v>5652</v>
      </c>
      <c r="S924" s="381"/>
      <c r="T924" s="381" t="s">
        <v>2895</v>
      </c>
      <c r="U924" s="381" t="s">
        <v>152</v>
      </c>
      <c r="V924" s="381" t="s">
        <v>23</v>
      </c>
    </row>
    <row r="925" spans="2:22">
      <c r="B925" s="383">
        <v>46248</v>
      </c>
      <c r="C925" s="383">
        <v>46248</v>
      </c>
      <c r="D925" s="381" t="s">
        <v>5653</v>
      </c>
      <c r="E925" s="382" t="s">
        <v>5654</v>
      </c>
      <c r="F925" s="381" t="s">
        <v>87</v>
      </c>
      <c r="G925" s="381" t="s">
        <v>2357</v>
      </c>
      <c r="H925" s="387">
        <v>40</v>
      </c>
      <c r="I925" s="381">
        <v>30.2</v>
      </c>
      <c r="J925" s="381">
        <v>30.2</v>
      </c>
      <c r="K925" s="381">
        <v>5</v>
      </c>
      <c r="L925" s="381">
        <v>0</v>
      </c>
      <c r="M925" s="381" t="s">
        <v>148</v>
      </c>
      <c r="N925" s="381" t="s">
        <v>149</v>
      </c>
      <c r="O925" s="381" t="s">
        <v>150</v>
      </c>
      <c r="P925" s="381" t="s">
        <v>151</v>
      </c>
      <c r="Q925" s="381"/>
      <c r="R925" s="381" t="s">
        <v>5654</v>
      </c>
      <c r="S925" s="381"/>
      <c r="T925" s="381" t="s">
        <v>2895</v>
      </c>
      <c r="U925" s="381" t="s">
        <v>152</v>
      </c>
      <c r="V925" s="381" t="s">
        <v>23</v>
      </c>
    </row>
    <row r="926" spans="2:22">
      <c r="B926" s="383">
        <v>46248</v>
      </c>
      <c r="C926" s="383">
        <v>46248</v>
      </c>
      <c r="D926" s="381" t="s">
        <v>5655</v>
      </c>
      <c r="E926" s="382" t="s">
        <v>5656</v>
      </c>
      <c r="F926" s="381" t="s">
        <v>87</v>
      </c>
      <c r="G926" s="381" t="s">
        <v>4512</v>
      </c>
      <c r="H926" s="387">
        <v>55</v>
      </c>
      <c r="I926" s="381">
        <v>39.4</v>
      </c>
      <c r="J926" s="381">
        <v>39.4</v>
      </c>
      <c r="K926" s="381">
        <v>5</v>
      </c>
      <c r="L926" s="381">
        <v>0</v>
      </c>
      <c r="M926" s="381" t="s">
        <v>148</v>
      </c>
      <c r="N926" s="381" t="s">
        <v>149</v>
      </c>
      <c r="O926" s="381" t="s">
        <v>150</v>
      </c>
      <c r="P926" s="381" t="s">
        <v>151</v>
      </c>
      <c r="Q926" s="381"/>
      <c r="R926" s="381" t="s">
        <v>5656</v>
      </c>
      <c r="S926" s="381"/>
      <c r="T926" s="381" t="s">
        <v>2895</v>
      </c>
      <c r="U926" s="381" t="s">
        <v>152</v>
      </c>
      <c r="V926" s="381" t="s">
        <v>23</v>
      </c>
    </row>
    <row r="927" spans="2:22">
      <c r="B927" s="383">
        <v>46248</v>
      </c>
      <c r="C927" s="383">
        <v>46248</v>
      </c>
      <c r="D927" s="381" t="s">
        <v>5657</v>
      </c>
      <c r="E927" s="382" t="s">
        <v>5658</v>
      </c>
      <c r="F927" s="381" t="s">
        <v>87</v>
      </c>
      <c r="G927" s="381" t="s">
        <v>2334</v>
      </c>
      <c r="H927" s="387">
        <v>40</v>
      </c>
      <c r="I927" s="381">
        <v>23.3</v>
      </c>
      <c r="J927" s="381">
        <v>23.3</v>
      </c>
      <c r="K927" s="381">
        <v>5</v>
      </c>
      <c r="L927" s="381">
        <v>0</v>
      </c>
      <c r="M927" s="381" t="s">
        <v>148</v>
      </c>
      <c r="N927" s="381" t="s">
        <v>149</v>
      </c>
      <c r="O927" s="381" t="s">
        <v>150</v>
      </c>
      <c r="P927" s="381" t="s">
        <v>151</v>
      </c>
      <c r="Q927" s="381"/>
      <c r="R927" s="381" t="s">
        <v>5658</v>
      </c>
      <c r="S927" s="381"/>
      <c r="T927" s="381" t="s">
        <v>2895</v>
      </c>
      <c r="U927" s="381" t="s">
        <v>152</v>
      </c>
      <c r="V927" s="381" t="s">
        <v>23</v>
      </c>
    </row>
    <row r="928" spans="2:22">
      <c r="B928" s="383">
        <v>46248</v>
      </c>
      <c r="C928" s="383">
        <v>46248</v>
      </c>
      <c r="D928" s="381" t="s">
        <v>5659</v>
      </c>
      <c r="E928" s="382" t="s">
        <v>5660</v>
      </c>
      <c r="F928" s="381" t="s">
        <v>87</v>
      </c>
      <c r="G928" s="381" t="s">
        <v>1678</v>
      </c>
      <c r="H928" s="387">
        <v>30</v>
      </c>
      <c r="I928" s="381">
        <v>24.8</v>
      </c>
      <c r="J928" s="381">
        <v>24.8</v>
      </c>
      <c r="K928" s="381">
        <v>4</v>
      </c>
      <c r="L928" s="381">
        <v>0</v>
      </c>
      <c r="M928" s="381" t="s">
        <v>148</v>
      </c>
      <c r="N928" s="381" t="s">
        <v>149</v>
      </c>
      <c r="O928" s="381" t="s">
        <v>150</v>
      </c>
      <c r="P928" s="381" t="s">
        <v>151</v>
      </c>
      <c r="Q928" s="381"/>
      <c r="R928" s="381" t="s">
        <v>5660</v>
      </c>
      <c r="S928" s="381"/>
      <c r="T928" s="381" t="s">
        <v>2895</v>
      </c>
      <c r="U928" s="381" t="s">
        <v>152</v>
      </c>
      <c r="V928" s="381" t="s">
        <v>23</v>
      </c>
    </row>
    <row r="929" spans="2:22">
      <c r="B929" s="383">
        <v>46248</v>
      </c>
      <c r="C929" s="383">
        <v>46248</v>
      </c>
      <c r="D929" s="381" t="s">
        <v>5661</v>
      </c>
      <c r="E929" s="382" t="s">
        <v>5662</v>
      </c>
      <c r="F929" s="381" t="s">
        <v>87</v>
      </c>
      <c r="G929" s="381" t="s">
        <v>4512</v>
      </c>
      <c r="H929" s="387">
        <v>55</v>
      </c>
      <c r="I929" s="381">
        <v>42.6</v>
      </c>
      <c r="J929" s="381">
        <v>42.6</v>
      </c>
      <c r="K929" s="381">
        <v>5</v>
      </c>
      <c r="L929" s="381">
        <v>0</v>
      </c>
      <c r="M929" s="381" t="s">
        <v>148</v>
      </c>
      <c r="N929" s="381" t="s">
        <v>149</v>
      </c>
      <c r="O929" s="381" t="s">
        <v>150</v>
      </c>
      <c r="P929" s="381" t="s">
        <v>151</v>
      </c>
      <c r="Q929" s="381"/>
      <c r="R929" s="381" t="s">
        <v>5662</v>
      </c>
      <c r="S929" s="381"/>
      <c r="T929" s="381" t="s">
        <v>2895</v>
      </c>
      <c r="U929" s="381" t="s">
        <v>152</v>
      </c>
      <c r="V929" s="381" t="s">
        <v>23</v>
      </c>
    </row>
    <row r="930" spans="2:22">
      <c r="B930" s="383">
        <v>46248</v>
      </c>
      <c r="C930" s="383">
        <v>46248</v>
      </c>
      <c r="D930" s="381" t="s">
        <v>5663</v>
      </c>
      <c r="E930" s="382" t="s">
        <v>5664</v>
      </c>
      <c r="F930" s="381" t="s">
        <v>87</v>
      </c>
      <c r="G930" s="381" t="s">
        <v>2334</v>
      </c>
      <c r="H930" s="387">
        <v>40</v>
      </c>
      <c r="I930" s="381">
        <v>19.7</v>
      </c>
      <c r="J930" s="381">
        <v>19.7</v>
      </c>
      <c r="K930" s="381">
        <v>5</v>
      </c>
      <c r="L930" s="381">
        <v>0</v>
      </c>
      <c r="M930" s="381" t="s">
        <v>148</v>
      </c>
      <c r="N930" s="381" t="s">
        <v>149</v>
      </c>
      <c r="O930" s="381" t="s">
        <v>150</v>
      </c>
      <c r="P930" s="381" t="s">
        <v>151</v>
      </c>
      <c r="Q930" s="381"/>
      <c r="R930" s="381" t="s">
        <v>5664</v>
      </c>
      <c r="S930" s="381"/>
      <c r="T930" s="381" t="s">
        <v>2895</v>
      </c>
      <c r="U930" s="381" t="s">
        <v>152</v>
      </c>
      <c r="V930" s="381" t="s">
        <v>23</v>
      </c>
    </row>
    <row r="931" spans="2:22">
      <c r="B931" s="383">
        <v>46248</v>
      </c>
      <c r="C931" s="383">
        <v>46248</v>
      </c>
      <c r="D931" s="381" t="s">
        <v>5665</v>
      </c>
      <c r="E931" s="382" t="s">
        <v>5666</v>
      </c>
      <c r="F931" s="381" t="s">
        <v>87</v>
      </c>
      <c r="G931" s="381" t="s">
        <v>2404</v>
      </c>
      <c r="H931" s="387">
        <v>40</v>
      </c>
      <c r="I931" s="381">
        <v>12.2</v>
      </c>
      <c r="J931" s="381">
        <v>12.2</v>
      </c>
      <c r="K931" s="381">
        <v>5</v>
      </c>
      <c r="L931" s="381">
        <v>0</v>
      </c>
      <c r="M931" s="381" t="s">
        <v>148</v>
      </c>
      <c r="N931" s="381" t="s">
        <v>149</v>
      </c>
      <c r="O931" s="381" t="s">
        <v>150</v>
      </c>
      <c r="P931" s="381" t="s">
        <v>151</v>
      </c>
      <c r="Q931" s="381"/>
      <c r="R931" s="381" t="s">
        <v>5666</v>
      </c>
      <c r="S931" s="381"/>
      <c r="T931" s="381" t="s">
        <v>2895</v>
      </c>
      <c r="U931" s="381" t="s">
        <v>152</v>
      </c>
      <c r="V931" s="381" t="s">
        <v>23</v>
      </c>
    </row>
    <row r="932" spans="2:22">
      <c r="B932" s="383">
        <v>46248</v>
      </c>
      <c r="C932" s="383">
        <v>46248</v>
      </c>
      <c r="D932" s="381" t="s">
        <v>5667</v>
      </c>
      <c r="E932" s="382" t="s">
        <v>5668</v>
      </c>
      <c r="F932" s="381" t="s">
        <v>87</v>
      </c>
      <c r="G932" s="381" t="s">
        <v>5097</v>
      </c>
      <c r="H932" s="387">
        <v>25</v>
      </c>
      <c r="I932" s="381">
        <v>39.700000000000003</v>
      </c>
      <c r="J932" s="381">
        <v>39.700000000000003</v>
      </c>
      <c r="K932" s="381">
        <v>4</v>
      </c>
      <c r="L932" s="381">
        <v>0</v>
      </c>
      <c r="M932" s="381" t="s">
        <v>148</v>
      </c>
      <c r="N932" s="381" t="s">
        <v>149</v>
      </c>
      <c r="O932" s="381" t="s">
        <v>150</v>
      </c>
      <c r="P932" s="381" t="s">
        <v>151</v>
      </c>
      <c r="Q932" s="381"/>
      <c r="R932" s="381" t="s">
        <v>5668</v>
      </c>
      <c r="S932" s="381"/>
      <c r="T932" s="381" t="s">
        <v>2895</v>
      </c>
      <c r="U932" s="381" t="s">
        <v>152</v>
      </c>
      <c r="V932" s="381" t="s">
        <v>23</v>
      </c>
    </row>
    <row r="933" spans="2:22">
      <c r="B933" s="383">
        <v>46248</v>
      </c>
      <c r="C933" s="383">
        <v>46248</v>
      </c>
      <c r="D933" s="381" t="s">
        <v>5669</v>
      </c>
      <c r="E933" s="382" t="s">
        <v>5670</v>
      </c>
      <c r="F933" s="381" t="s">
        <v>87</v>
      </c>
      <c r="G933" s="381" t="s">
        <v>1678</v>
      </c>
      <c r="H933" s="387">
        <v>30</v>
      </c>
      <c r="I933" s="381">
        <v>42.8</v>
      </c>
      <c r="J933" s="381">
        <v>42.8</v>
      </c>
      <c r="K933" s="381">
        <v>4</v>
      </c>
      <c r="L933" s="381">
        <v>0</v>
      </c>
      <c r="M933" s="381" t="s">
        <v>148</v>
      </c>
      <c r="N933" s="381" t="s">
        <v>149</v>
      </c>
      <c r="O933" s="381" t="s">
        <v>150</v>
      </c>
      <c r="P933" s="381" t="s">
        <v>151</v>
      </c>
      <c r="Q933" s="381"/>
      <c r="R933" s="381" t="s">
        <v>5670</v>
      </c>
      <c r="S933" s="381"/>
      <c r="T933" s="381" t="s">
        <v>2895</v>
      </c>
      <c r="U933" s="381" t="s">
        <v>152</v>
      </c>
      <c r="V933" s="381" t="s">
        <v>23</v>
      </c>
    </row>
    <row r="934" spans="2:22">
      <c r="B934" s="383">
        <v>46248</v>
      </c>
      <c r="C934" s="383">
        <v>46248</v>
      </c>
      <c r="D934" s="381" t="s">
        <v>5671</v>
      </c>
      <c r="E934" s="382" t="s">
        <v>5672</v>
      </c>
      <c r="F934" s="381" t="s">
        <v>87</v>
      </c>
      <c r="G934" s="381" t="s">
        <v>2404</v>
      </c>
      <c r="H934" s="387">
        <v>40</v>
      </c>
      <c r="I934" s="381">
        <v>23.3</v>
      </c>
      <c r="J934" s="381">
        <v>23.3</v>
      </c>
      <c r="K934" s="381">
        <v>5</v>
      </c>
      <c r="L934" s="381">
        <v>0</v>
      </c>
      <c r="M934" s="381" t="s">
        <v>148</v>
      </c>
      <c r="N934" s="381" t="s">
        <v>149</v>
      </c>
      <c r="O934" s="381" t="s">
        <v>150</v>
      </c>
      <c r="P934" s="381" t="s">
        <v>151</v>
      </c>
      <c r="Q934" s="381"/>
      <c r="R934" s="381" t="s">
        <v>5672</v>
      </c>
      <c r="S934" s="381"/>
      <c r="T934" s="381" t="s">
        <v>2895</v>
      </c>
      <c r="U934" s="381" t="s">
        <v>152</v>
      </c>
      <c r="V934" s="381" t="s">
        <v>23</v>
      </c>
    </row>
    <row r="935" spans="2:22">
      <c r="B935" s="383">
        <v>46248</v>
      </c>
      <c r="C935" s="383">
        <v>46248</v>
      </c>
      <c r="D935" s="381" t="s">
        <v>5673</v>
      </c>
      <c r="E935" s="382" t="s">
        <v>5674</v>
      </c>
      <c r="F935" s="381" t="s">
        <v>87</v>
      </c>
      <c r="G935" s="381" t="s">
        <v>2334</v>
      </c>
      <c r="H935" s="387">
        <v>40</v>
      </c>
      <c r="I935" s="381">
        <v>30.5</v>
      </c>
      <c r="J935" s="381">
        <v>30.5</v>
      </c>
      <c r="K935" s="381">
        <v>5</v>
      </c>
      <c r="L935" s="381">
        <v>0</v>
      </c>
      <c r="M935" s="381" t="s">
        <v>148</v>
      </c>
      <c r="N935" s="381" t="s">
        <v>149</v>
      </c>
      <c r="O935" s="381" t="s">
        <v>150</v>
      </c>
      <c r="P935" s="381" t="s">
        <v>151</v>
      </c>
      <c r="Q935" s="381"/>
      <c r="R935" s="381" t="s">
        <v>5674</v>
      </c>
      <c r="S935" s="381"/>
      <c r="T935" s="381" t="s">
        <v>2895</v>
      </c>
      <c r="U935" s="381" t="s">
        <v>152</v>
      </c>
      <c r="V935" s="381" t="s">
        <v>23</v>
      </c>
    </row>
    <row r="936" spans="2:22">
      <c r="B936" s="383">
        <v>46248</v>
      </c>
      <c r="C936" s="383">
        <v>46248</v>
      </c>
      <c r="D936" s="381" t="s">
        <v>5675</v>
      </c>
      <c r="E936" s="382" t="s">
        <v>5676</v>
      </c>
      <c r="F936" s="381" t="s">
        <v>87</v>
      </c>
      <c r="G936" s="381" t="s">
        <v>2334</v>
      </c>
      <c r="H936" s="387">
        <v>40</v>
      </c>
      <c r="I936" s="381">
        <v>31.2</v>
      </c>
      <c r="J936" s="381">
        <v>31.2</v>
      </c>
      <c r="K936" s="381">
        <v>5</v>
      </c>
      <c r="L936" s="381">
        <v>0</v>
      </c>
      <c r="M936" s="381" t="s">
        <v>148</v>
      </c>
      <c r="N936" s="381" t="s">
        <v>149</v>
      </c>
      <c r="O936" s="381" t="s">
        <v>150</v>
      </c>
      <c r="P936" s="381" t="s">
        <v>151</v>
      </c>
      <c r="Q936" s="381"/>
      <c r="R936" s="381" t="s">
        <v>5676</v>
      </c>
      <c r="S936" s="381"/>
      <c r="T936" s="381" t="s">
        <v>2895</v>
      </c>
      <c r="U936" s="381" t="s">
        <v>152</v>
      </c>
      <c r="V936" s="381" t="s">
        <v>23</v>
      </c>
    </row>
    <row r="937" spans="2:22">
      <c r="B937" s="383">
        <v>46248</v>
      </c>
      <c r="C937" s="383">
        <v>46248</v>
      </c>
      <c r="D937" s="381" t="s">
        <v>5677</v>
      </c>
      <c r="E937" s="382" t="s">
        <v>5678</v>
      </c>
      <c r="F937" s="381" t="s">
        <v>87</v>
      </c>
      <c r="G937" s="381" t="s">
        <v>2357</v>
      </c>
      <c r="H937" s="387">
        <v>40</v>
      </c>
      <c r="I937" s="381">
        <v>29.8</v>
      </c>
      <c r="J937" s="381">
        <v>29.8</v>
      </c>
      <c r="K937" s="381">
        <v>5</v>
      </c>
      <c r="L937" s="381">
        <v>0</v>
      </c>
      <c r="M937" s="381" t="s">
        <v>148</v>
      </c>
      <c r="N937" s="381" t="s">
        <v>149</v>
      </c>
      <c r="O937" s="381" t="s">
        <v>150</v>
      </c>
      <c r="P937" s="381" t="s">
        <v>151</v>
      </c>
      <c r="Q937" s="381"/>
      <c r="R937" s="381" t="s">
        <v>5678</v>
      </c>
      <c r="S937" s="381"/>
      <c r="T937" s="381" t="s">
        <v>2895</v>
      </c>
      <c r="U937" s="381" t="s">
        <v>152</v>
      </c>
      <c r="V937" s="381" t="s">
        <v>23</v>
      </c>
    </row>
    <row r="938" spans="2:22">
      <c r="B938" s="383">
        <v>46248</v>
      </c>
      <c r="C938" s="383">
        <v>46248</v>
      </c>
      <c r="D938" s="381" t="s">
        <v>5679</v>
      </c>
      <c r="E938" s="382" t="s">
        <v>5680</v>
      </c>
      <c r="F938" s="381" t="s">
        <v>87</v>
      </c>
      <c r="G938" s="381" t="s">
        <v>5097</v>
      </c>
      <c r="H938" s="387">
        <v>25</v>
      </c>
      <c r="I938" s="381">
        <v>37.799999999999997</v>
      </c>
      <c r="J938" s="381">
        <v>37.799999999999997</v>
      </c>
      <c r="K938" s="381">
        <v>4</v>
      </c>
      <c r="L938" s="381">
        <v>0</v>
      </c>
      <c r="M938" s="381" t="s">
        <v>148</v>
      </c>
      <c r="N938" s="381" t="s">
        <v>149</v>
      </c>
      <c r="O938" s="381" t="s">
        <v>150</v>
      </c>
      <c r="P938" s="381" t="s">
        <v>151</v>
      </c>
      <c r="Q938" s="381"/>
      <c r="R938" s="381" t="s">
        <v>5680</v>
      </c>
      <c r="S938" s="381"/>
      <c r="T938" s="381" t="s">
        <v>2895</v>
      </c>
      <c r="U938" s="381" t="s">
        <v>152</v>
      </c>
      <c r="V938" s="381" t="s">
        <v>23</v>
      </c>
    </row>
    <row r="939" spans="2:22">
      <c r="B939" s="383">
        <v>46248</v>
      </c>
      <c r="C939" s="383">
        <v>46248</v>
      </c>
      <c r="D939" s="381" t="s">
        <v>5681</v>
      </c>
      <c r="E939" s="382" t="s">
        <v>5682</v>
      </c>
      <c r="F939" s="381" t="s">
        <v>87</v>
      </c>
      <c r="G939" s="381" t="s">
        <v>2404</v>
      </c>
      <c r="H939" s="387">
        <v>40</v>
      </c>
      <c r="I939" s="381">
        <v>35.799999999999997</v>
      </c>
      <c r="J939" s="381">
        <v>35.799999999999997</v>
      </c>
      <c r="K939" s="381">
        <v>5</v>
      </c>
      <c r="L939" s="381">
        <v>0</v>
      </c>
      <c r="M939" s="381" t="s">
        <v>148</v>
      </c>
      <c r="N939" s="381" t="s">
        <v>149</v>
      </c>
      <c r="O939" s="381" t="s">
        <v>150</v>
      </c>
      <c r="P939" s="381" t="s">
        <v>151</v>
      </c>
      <c r="Q939" s="381"/>
      <c r="R939" s="381" t="s">
        <v>5682</v>
      </c>
      <c r="S939" s="381"/>
      <c r="T939" s="381" t="s">
        <v>2895</v>
      </c>
      <c r="U939" s="381" t="s">
        <v>152</v>
      </c>
      <c r="V939" s="381" t="s">
        <v>23</v>
      </c>
    </row>
    <row r="940" spans="2:22">
      <c r="B940" s="383">
        <v>46248</v>
      </c>
      <c r="C940" s="383">
        <v>46248</v>
      </c>
      <c r="D940" s="381" t="s">
        <v>5683</v>
      </c>
      <c r="E940" s="382" t="s">
        <v>5684</v>
      </c>
      <c r="F940" s="381" t="s">
        <v>87</v>
      </c>
      <c r="G940" s="381" t="s">
        <v>5097</v>
      </c>
      <c r="H940" s="387">
        <v>25</v>
      </c>
      <c r="I940" s="381">
        <v>24.2</v>
      </c>
      <c r="J940" s="381">
        <v>24.2</v>
      </c>
      <c r="K940" s="381">
        <v>4</v>
      </c>
      <c r="L940" s="381">
        <v>0</v>
      </c>
      <c r="M940" s="381" t="s">
        <v>148</v>
      </c>
      <c r="N940" s="381" t="s">
        <v>149</v>
      </c>
      <c r="O940" s="381" t="s">
        <v>150</v>
      </c>
      <c r="P940" s="381" t="s">
        <v>151</v>
      </c>
      <c r="Q940" s="381"/>
      <c r="R940" s="381" t="s">
        <v>5684</v>
      </c>
      <c r="S940" s="381"/>
      <c r="T940" s="381" t="s">
        <v>2895</v>
      </c>
      <c r="U940" s="381" t="s">
        <v>152</v>
      </c>
      <c r="V940" s="381" t="s">
        <v>23</v>
      </c>
    </row>
    <row r="941" spans="2:22">
      <c r="B941" s="383">
        <v>46248</v>
      </c>
      <c r="C941" s="383">
        <v>46248</v>
      </c>
      <c r="D941" s="381" t="s">
        <v>5685</v>
      </c>
      <c r="E941" s="382" t="s">
        <v>5686</v>
      </c>
      <c r="F941" s="381" t="s">
        <v>87</v>
      </c>
      <c r="G941" s="381" t="s">
        <v>5288</v>
      </c>
      <c r="H941" s="387">
        <v>55</v>
      </c>
      <c r="I941" s="381">
        <v>35.200000000000003</v>
      </c>
      <c r="J941" s="381">
        <v>35.200000000000003</v>
      </c>
      <c r="K941" s="381">
        <v>7</v>
      </c>
      <c r="L941" s="381">
        <v>0</v>
      </c>
      <c r="M941" s="381" t="s">
        <v>148</v>
      </c>
      <c r="N941" s="381" t="s">
        <v>149</v>
      </c>
      <c r="O941" s="381" t="s">
        <v>150</v>
      </c>
      <c r="P941" s="381" t="s">
        <v>151</v>
      </c>
      <c r="Q941" s="381"/>
      <c r="R941" s="381" t="s">
        <v>5686</v>
      </c>
      <c r="S941" s="381"/>
      <c r="T941" s="381" t="s">
        <v>2895</v>
      </c>
      <c r="U941" s="381" t="s">
        <v>152</v>
      </c>
      <c r="V941" s="381" t="s">
        <v>23</v>
      </c>
    </row>
    <row r="942" spans="2:22">
      <c r="B942" s="383">
        <v>46248</v>
      </c>
      <c r="C942" s="383">
        <v>46248</v>
      </c>
      <c r="D942" s="381" t="s">
        <v>5687</v>
      </c>
      <c r="E942" s="382" t="s">
        <v>5688</v>
      </c>
      <c r="F942" s="381" t="s">
        <v>87</v>
      </c>
      <c r="G942" s="381" t="s">
        <v>2404</v>
      </c>
      <c r="H942" s="387">
        <v>40</v>
      </c>
      <c r="I942" s="381">
        <v>28.2</v>
      </c>
      <c r="J942" s="381">
        <v>28.2</v>
      </c>
      <c r="K942" s="381">
        <v>5</v>
      </c>
      <c r="L942" s="381">
        <v>0</v>
      </c>
      <c r="M942" s="381" t="s">
        <v>148</v>
      </c>
      <c r="N942" s="381" t="s">
        <v>149</v>
      </c>
      <c r="O942" s="381" t="s">
        <v>150</v>
      </c>
      <c r="P942" s="381" t="s">
        <v>151</v>
      </c>
      <c r="Q942" s="381"/>
      <c r="R942" s="381" t="s">
        <v>5688</v>
      </c>
      <c r="S942" s="381"/>
      <c r="T942" s="381" t="s">
        <v>2895</v>
      </c>
      <c r="U942" s="381" t="s">
        <v>152</v>
      </c>
      <c r="V942" s="381" t="s">
        <v>23</v>
      </c>
    </row>
    <row r="943" spans="2:22">
      <c r="B943" s="383">
        <v>46248</v>
      </c>
      <c r="C943" s="383">
        <v>46248</v>
      </c>
      <c r="D943" s="381" t="s">
        <v>5689</v>
      </c>
      <c r="E943" s="382" t="s">
        <v>5690</v>
      </c>
      <c r="F943" s="381" t="s">
        <v>87</v>
      </c>
      <c r="G943" s="381" t="s">
        <v>2334</v>
      </c>
      <c r="H943" s="387">
        <v>40</v>
      </c>
      <c r="I943" s="381">
        <v>33.799999999999997</v>
      </c>
      <c r="J943" s="381">
        <v>33.799999999999997</v>
      </c>
      <c r="K943" s="381">
        <v>5</v>
      </c>
      <c r="L943" s="381">
        <v>0</v>
      </c>
      <c r="M943" s="381" t="s">
        <v>148</v>
      </c>
      <c r="N943" s="381" t="s">
        <v>149</v>
      </c>
      <c r="O943" s="381" t="s">
        <v>150</v>
      </c>
      <c r="P943" s="381" t="s">
        <v>151</v>
      </c>
      <c r="Q943" s="381"/>
      <c r="R943" s="381" t="s">
        <v>5690</v>
      </c>
      <c r="S943" s="381"/>
      <c r="T943" s="381" t="s">
        <v>2895</v>
      </c>
      <c r="U943" s="381" t="s">
        <v>152</v>
      </c>
      <c r="V943" s="381" t="s">
        <v>23</v>
      </c>
    </row>
    <row r="944" spans="2:22">
      <c r="B944" s="383">
        <v>46248</v>
      </c>
      <c r="C944" s="383">
        <v>46248</v>
      </c>
      <c r="D944" s="381" t="s">
        <v>5691</v>
      </c>
      <c r="E944" s="382" t="s">
        <v>5692</v>
      </c>
      <c r="F944" s="381" t="s">
        <v>87</v>
      </c>
      <c r="G944" s="381" t="s">
        <v>2357</v>
      </c>
      <c r="H944" s="387">
        <v>40</v>
      </c>
      <c r="I944" s="381">
        <v>29.2</v>
      </c>
      <c r="J944" s="381">
        <v>29.2</v>
      </c>
      <c r="K944" s="381">
        <v>5</v>
      </c>
      <c r="L944" s="381">
        <v>0</v>
      </c>
      <c r="M944" s="381" t="s">
        <v>148</v>
      </c>
      <c r="N944" s="381" t="s">
        <v>149</v>
      </c>
      <c r="O944" s="381" t="s">
        <v>150</v>
      </c>
      <c r="P944" s="381" t="s">
        <v>151</v>
      </c>
      <c r="Q944" s="381"/>
      <c r="R944" s="381" t="s">
        <v>5692</v>
      </c>
      <c r="S944" s="381"/>
      <c r="T944" s="381" t="s">
        <v>2895</v>
      </c>
      <c r="U944" s="381" t="s">
        <v>152</v>
      </c>
      <c r="V944" s="381" t="s">
        <v>23</v>
      </c>
    </row>
    <row r="945" spans="2:22">
      <c r="B945" s="383">
        <v>46248</v>
      </c>
      <c r="C945" s="383">
        <v>46248</v>
      </c>
      <c r="D945" s="381" t="s">
        <v>5693</v>
      </c>
      <c r="E945" s="382" t="s">
        <v>5694</v>
      </c>
      <c r="F945" s="381" t="s">
        <v>87</v>
      </c>
      <c r="G945" s="381" t="s">
        <v>1966</v>
      </c>
      <c r="H945" s="387">
        <v>6</v>
      </c>
      <c r="I945" s="381">
        <v>27.5</v>
      </c>
      <c r="J945" s="381">
        <v>27.5</v>
      </c>
      <c r="K945" s="381">
        <v>1.5</v>
      </c>
      <c r="L945" s="381">
        <v>0</v>
      </c>
      <c r="M945" s="381" t="s">
        <v>148</v>
      </c>
      <c r="N945" s="381" t="s">
        <v>149</v>
      </c>
      <c r="O945" s="381" t="s">
        <v>150</v>
      </c>
      <c r="P945" s="381" t="s">
        <v>151</v>
      </c>
      <c r="Q945" s="381"/>
      <c r="R945" s="381" t="s">
        <v>5694</v>
      </c>
      <c r="S945" s="381"/>
      <c r="T945" s="381" t="s">
        <v>2895</v>
      </c>
      <c r="U945" s="381" t="s">
        <v>152</v>
      </c>
      <c r="V945" s="381" t="s">
        <v>23</v>
      </c>
    </row>
    <row r="946" spans="2:22">
      <c r="B946" s="383">
        <v>46248</v>
      </c>
      <c r="C946" s="383">
        <v>46248</v>
      </c>
      <c r="D946" s="381" t="s">
        <v>5695</v>
      </c>
      <c r="E946" s="382" t="s">
        <v>5696</v>
      </c>
      <c r="F946" s="381" t="s">
        <v>87</v>
      </c>
      <c r="G946" s="381" t="s">
        <v>1966</v>
      </c>
      <c r="H946" s="387">
        <v>6</v>
      </c>
      <c r="I946" s="381">
        <v>22.2</v>
      </c>
      <c r="J946" s="381">
        <v>22.2</v>
      </c>
      <c r="K946" s="381">
        <v>1.5</v>
      </c>
      <c r="L946" s="381">
        <v>0</v>
      </c>
      <c r="M946" s="381" t="s">
        <v>148</v>
      </c>
      <c r="N946" s="381" t="s">
        <v>149</v>
      </c>
      <c r="O946" s="381" t="s">
        <v>150</v>
      </c>
      <c r="P946" s="381" t="s">
        <v>151</v>
      </c>
      <c r="Q946" s="381"/>
      <c r="R946" s="381" t="s">
        <v>5696</v>
      </c>
      <c r="S946" s="381"/>
      <c r="T946" s="381" t="s">
        <v>2895</v>
      </c>
      <c r="U946" s="381" t="s">
        <v>152</v>
      </c>
      <c r="V946" s="381" t="s">
        <v>23</v>
      </c>
    </row>
    <row r="947" spans="2:22">
      <c r="B947" s="383">
        <v>46248</v>
      </c>
      <c r="C947" s="383">
        <v>46248</v>
      </c>
      <c r="D947" s="381" t="s">
        <v>5697</v>
      </c>
      <c r="E947" s="382" t="s">
        <v>5698</v>
      </c>
      <c r="F947" s="381" t="s">
        <v>87</v>
      </c>
      <c r="G947" s="381" t="s">
        <v>1678</v>
      </c>
      <c r="H947" s="387">
        <v>30</v>
      </c>
      <c r="I947" s="381">
        <v>32.5</v>
      </c>
      <c r="J947" s="381">
        <v>32.5</v>
      </c>
      <c r="K947" s="381">
        <v>4</v>
      </c>
      <c r="L947" s="381">
        <v>0</v>
      </c>
      <c r="M947" s="381" t="s">
        <v>148</v>
      </c>
      <c r="N947" s="381" t="s">
        <v>149</v>
      </c>
      <c r="O947" s="381" t="s">
        <v>150</v>
      </c>
      <c r="P947" s="381" t="s">
        <v>151</v>
      </c>
      <c r="Q947" s="381"/>
      <c r="R947" s="381" t="s">
        <v>5698</v>
      </c>
      <c r="S947" s="381"/>
      <c r="T947" s="381" t="s">
        <v>2895</v>
      </c>
      <c r="U947" s="381" t="s">
        <v>152</v>
      </c>
      <c r="V947" s="381" t="s">
        <v>23</v>
      </c>
    </row>
    <row r="948" spans="2:22">
      <c r="B948" s="383">
        <v>46248</v>
      </c>
      <c r="C948" s="383">
        <v>46248</v>
      </c>
      <c r="D948" s="381" t="s">
        <v>5699</v>
      </c>
      <c r="E948" s="382" t="s">
        <v>5700</v>
      </c>
      <c r="F948" s="381" t="s">
        <v>87</v>
      </c>
      <c r="G948" s="381" t="s">
        <v>2512</v>
      </c>
      <c r="H948" s="387">
        <v>40</v>
      </c>
      <c r="I948" s="381">
        <v>30.3</v>
      </c>
      <c r="J948" s="381">
        <v>30.3</v>
      </c>
      <c r="K948" s="381">
        <v>5</v>
      </c>
      <c r="L948" s="381">
        <v>0</v>
      </c>
      <c r="M948" s="381" t="s">
        <v>148</v>
      </c>
      <c r="N948" s="381" t="s">
        <v>149</v>
      </c>
      <c r="O948" s="381" t="s">
        <v>150</v>
      </c>
      <c r="P948" s="381" t="s">
        <v>151</v>
      </c>
      <c r="Q948" s="381"/>
      <c r="R948" s="381" t="s">
        <v>5700</v>
      </c>
      <c r="S948" s="381"/>
      <c r="T948" s="381" t="s">
        <v>2895</v>
      </c>
      <c r="U948" s="381" t="s">
        <v>152</v>
      </c>
      <c r="V948" s="381" t="s">
        <v>23</v>
      </c>
    </row>
    <row r="949" spans="2:22">
      <c r="B949" s="383">
        <v>46248</v>
      </c>
      <c r="C949" s="383">
        <v>46248</v>
      </c>
      <c r="D949" s="381" t="s">
        <v>5701</v>
      </c>
      <c r="E949" s="382" t="s">
        <v>5702</v>
      </c>
      <c r="F949" s="381" t="s">
        <v>87</v>
      </c>
      <c r="G949" s="381" t="s">
        <v>2334</v>
      </c>
      <c r="H949" s="387">
        <v>40</v>
      </c>
      <c r="I949" s="381">
        <v>36.1</v>
      </c>
      <c r="J949" s="381">
        <v>36.1</v>
      </c>
      <c r="K949" s="381">
        <v>5</v>
      </c>
      <c r="L949" s="381">
        <v>0</v>
      </c>
      <c r="M949" s="381" t="s">
        <v>148</v>
      </c>
      <c r="N949" s="381" t="s">
        <v>149</v>
      </c>
      <c r="O949" s="381" t="s">
        <v>150</v>
      </c>
      <c r="P949" s="381" t="s">
        <v>151</v>
      </c>
      <c r="Q949" s="381"/>
      <c r="R949" s="381" t="s">
        <v>5702</v>
      </c>
      <c r="S949" s="381"/>
      <c r="T949" s="381" t="s">
        <v>2895</v>
      </c>
      <c r="U949" s="381" t="s">
        <v>152</v>
      </c>
      <c r="V949" s="381" t="s">
        <v>23</v>
      </c>
    </row>
    <row r="950" spans="2:22">
      <c r="B950" s="383">
        <v>46248</v>
      </c>
      <c r="C950" s="383">
        <v>46248</v>
      </c>
      <c r="D950" s="381" t="s">
        <v>5703</v>
      </c>
      <c r="E950" s="382" t="s">
        <v>5704</v>
      </c>
      <c r="F950" s="381" t="s">
        <v>87</v>
      </c>
      <c r="G950" s="381" t="s">
        <v>2357</v>
      </c>
      <c r="H950" s="387">
        <v>40</v>
      </c>
      <c r="I950" s="381">
        <v>11.1</v>
      </c>
      <c r="J950" s="381">
        <v>11.1</v>
      </c>
      <c r="K950" s="381">
        <v>5</v>
      </c>
      <c r="L950" s="381">
        <v>0</v>
      </c>
      <c r="M950" s="381" t="s">
        <v>148</v>
      </c>
      <c r="N950" s="381" t="s">
        <v>149</v>
      </c>
      <c r="O950" s="381" t="s">
        <v>150</v>
      </c>
      <c r="P950" s="381" t="s">
        <v>151</v>
      </c>
      <c r="Q950" s="381"/>
      <c r="R950" s="381" t="s">
        <v>5704</v>
      </c>
      <c r="S950" s="381"/>
      <c r="T950" s="381" t="s">
        <v>2895</v>
      </c>
      <c r="U950" s="381" t="s">
        <v>152</v>
      </c>
      <c r="V950" s="381" t="s">
        <v>23</v>
      </c>
    </row>
    <row r="951" spans="2:22">
      <c r="B951" s="383">
        <v>46248</v>
      </c>
      <c r="C951" s="383">
        <v>46248</v>
      </c>
      <c r="D951" s="381" t="s">
        <v>5705</v>
      </c>
      <c r="E951" s="382" t="s">
        <v>5706</v>
      </c>
      <c r="F951" s="381" t="s">
        <v>87</v>
      </c>
      <c r="G951" s="381" t="s">
        <v>1966</v>
      </c>
      <c r="H951" s="387">
        <v>6</v>
      </c>
      <c r="I951" s="381">
        <v>33.1</v>
      </c>
      <c r="J951" s="381">
        <v>33.1</v>
      </c>
      <c r="K951" s="381">
        <v>1.5</v>
      </c>
      <c r="L951" s="381">
        <v>0</v>
      </c>
      <c r="M951" s="381" t="s">
        <v>148</v>
      </c>
      <c r="N951" s="381" t="s">
        <v>149</v>
      </c>
      <c r="O951" s="381" t="s">
        <v>150</v>
      </c>
      <c r="P951" s="381" t="s">
        <v>151</v>
      </c>
      <c r="Q951" s="381"/>
      <c r="R951" s="381" t="s">
        <v>5706</v>
      </c>
      <c r="S951" s="381"/>
      <c r="T951" s="381" t="s">
        <v>2895</v>
      </c>
      <c r="U951" s="381" t="s">
        <v>152</v>
      </c>
      <c r="V951" s="381" t="s">
        <v>23</v>
      </c>
    </row>
    <row r="952" spans="2:22">
      <c r="B952" s="383">
        <v>46248</v>
      </c>
      <c r="C952" s="383">
        <v>46248</v>
      </c>
      <c r="D952" s="381" t="s">
        <v>5707</v>
      </c>
      <c r="E952" s="382" t="s">
        <v>5708</v>
      </c>
      <c r="F952" s="381" t="s">
        <v>87</v>
      </c>
      <c r="G952" s="381" t="s">
        <v>4512</v>
      </c>
      <c r="H952" s="387">
        <v>55</v>
      </c>
      <c r="I952" s="381">
        <v>37.799999999999997</v>
      </c>
      <c r="J952" s="381">
        <v>37.799999999999997</v>
      </c>
      <c r="K952" s="381">
        <v>5</v>
      </c>
      <c r="L952" s="381">
        <v>0</v>
      </c>
      <c r="M952" s="381" t="s">
        <v>148</v>
      </c>
      <c r="N952" s="381" t="s">
        <v>149</v>
      </c>
      <c r="O952" s="381" t="s">
        <v>150</v>
      </c>
      <c r="P952" s="381" t="s">
        <v>151</v>
      </c>
      <c r="Q952" s="381"/>
      <c r="R952" s="381" t="s">
        <v>5708</v>
      </c>
      <c r="S952" s="381"/>
      <c r="T952" s="381" t="s">
        <v>2895</v>
      </c>
      <c r="U952" s="381" t="s">
        <v>152</v>
      </c>
      <c r="V952" s="381" t="s">
        <v>23</v>
      </c>
    </row>
    <row r="953" spans="2:22">
      <c r="B953" s="383">
        <v>46248</v>
      </c>
      <c r="C953" s="383">
        <v>46248</v>
      </c>
      <c r="D953" s="381" t="s">
        <v>5709</v>
      </c>
      <c r="E953" s="382" t="s">
        <v>5710</v>
      </c>
      <c r="F953" s="381" t="s">
        <v>87</v>
      </c>
      <c r="G953" s="381" t="s">
        <v>2357</v>
      </c>
      <c r="H953" s="387">
        <v>40</v>
      </c>
      <c r="I953" s="381">
        <v>33.799999999999997</v>
      </c>
      <c r="J953" s="381">
        <v>33.799999999999997</v>
      </c>
      <c r="K953" s="381">
        <v>5</v>
      </c>
      <c r="L953" s="381">
        <v>0</v>
      </c>
      <c r="M953" s="381" t="s">
        <v>148</v>
      </c>
      <c r="N953" s="381" t="s">
        <v>149</v>
      </c>
      <c r="O953" s="381" t="s">
        <v>150</v>
      </c>
      <c r="P953" s="381" t="s">
        <v>151</v>
      </c>
      <c r="Q953" s="381"/>
      <c r="R953" s="381" t="s">
        <v>5710</v>
      </c>
      <c r="S953" s="381"/>
      <c r="T953" s="381" t="s">
        <v>2895</v>
      </c>
      <c r="U953" s="381" t="s">
        <v>152</v>
      </c>
      <c r="V953" s="381" t="s">
        <v>23</v>
      </c>
    </row>
    <row r="954" spans="2:22">
      <c r="B954" s="383">
        <v>46248</v>
      </c>
      <c r="C954" s="383">
        <v>46248</v>
      </c>
      <c r="D954" s="381" t="s">
        <v>5711</v>
      </c>
      <c r="E954" s="382" t="s">
        <v>5712</v>
      </c>
      <c r="F954" s="381" t="s">
        <v>87</v>
      </c>
      <c r="G954" s="381" t="s">
        <v>2357</v>
      </c>
      <c r="H954" s="387">
        <v>40</v>
      </c>
      <c r="I954" s="381">
        <v>35.799999999999997</v>
      </c>
      <c r="J954" s="381">
        <v>35.799999999999997</v>
      </c>
      <c r="K954" s="381">
        <v>5</v>
      </c>
      <c r="L954" s="381">
        <v>0</v>
      </c>
      <c r="M954" s="381" t="s">
        <v>148</v>
      </c>
      <c r="N954" s="381" t="s">
        <v>149</v>
      </c>
      <c r="O954" s="381" t="s">
        <v>150</v>
      </c>
      <c r="P954" s="381" t="s">
        <v>151</v>
      </c>
      <c r="Q954" s="381"/>
      <c r="R954" s="381" t="s">
        <v>5712</v>
      </c>
      <c r="S954" s="381"/>
      <c r="T954" s="381" t="s">
        <v>2895</v>
      </c>
      <c r="U954" s="381" t="s">
        <v>152</v>
      </c>
      <c r="V954" s="381" t="s">
        <v>23</v>
      </c>
    </row>
    <row r="955" spans="2:22">
      <c r="B955" s="383">
        <v>46248</v>
      </c>
      <c r="C955" s="383">
        <v>46248</v>
      </c>
      <c r="D955" s="381" t="s">
        <v>5713</v>
      </c>
      <c r="E955" s="382" t="s">
        <v>5714</v>
      </c>
      <c r="F955" s="381" t="s">
        <v>87</v>
      </c>
      <c r="G955" s="381" t="s">
        <v>2334</v>
      </c>
      <c r="H955" s="387">
        <v>40</v>
      </c>
      <c r="I955" s="381">
        <v>36.200000000000003</v>
      </c>
      <c r="J955" s="381">
        <v>36.200000000000003</v>
      </c>
      <c r="K955" s="381">
        <v>5</v>
      </c>
      <c r="L955" s="381">
        <v>0</v>
      </c>
      <c r="M955" s="381" t="s">
        <v>148</v>
      </c>
      <c r="N955" s="381" t="s">
        <v>149</v>
      </c>
      <c r="O955" s="381" t="s">
        <v>150</v>
      </c>
      <c r="P955" s="381" t="s">
        <v>151</v>
      </c>
      <c r="Q955" s="381"/>
      <c r="R955" s="381" t="s">
        <v>5714</v>
      </c>
      <c r="S955" s="381"/>
      <c r="T955" s="381" t="s">
        <v>2895</v>
      </c>
      <c r="U955" s="381" t="s">
        <v>152</v>
      </c>
      <c r="V955" s="381" t="s">
        <v>23</v>
      </c>
    </row>
    <row r="956" spans="2:22">
      <c r="B956" s="383">
        <v>46248</v>
      </c>
      <c r="C956" s="383">
        <v>46248</v>
      </c>
      <c r="D956" s="381" t="s">
        <v>5715</v>
      </c>
      <c r="E956" s="382" t="s">
        <v>5716</v>
      </c>
      <c r="F956" s="381" t="s">
        <v>87</v>
      </c>
      <c r="G956" s="381" t="s">
        <v>2404</v>
      </c>
      <c r="H956" s="387">
        <v>40</v>
      </c>
      <c r="I956" s="381">
        <v>33.799999999999997</v>
      </c>
      <c r="J956" s="381">
        <v>33.799999999999997</v>
      </c>
      <c r="K956" s="381">
        <v>5</v>
      </c>
      <c r="L956" s="381">
        <v>0</v>
      </c>
      <c r="M956" s="381" t="s">
        <v>148</v>
      </c>
      <c r="N956" s="381" t="s">
        <v>149</v>
      </c>
      <c r="O956" s="381" t="s">
        <v>150</v>
      </c>
      <c r="P956" s="381" t="s">
        <v>151</v>
      </c>
      <c r="Q956" s="381"/>
      <c r="R956" s="381" t="s">
        <v>5716</v>
      </c>
      <c r="S956" s="381"/>
      <c r="T956" s="381" t="s">
        <v>2895</v>
      </c>
      <c r="U956" s="381" t="s">
        <v>152</v>
      </c>
      <c r="V956" s="381" t="s">
        <v>23</v>
      </c>
    </row>
    <row r="957" spans="2:22">
      <c r="B957" s="383">
        <v>46248</v>
      </c>
      <c r="C957" s="383">
        <v>46248</v>
      </c>
      <c r="D957" s="381" t="s">
        <v>5717</v>
      </c>
      <c r="E957" s="382" t="s">
        <v>5718</v>
      </c>
      <c r="F957" s="381" t="s">
        <v>87</v>
      </c>
      <c r="G957" s="381" t="s">
        <v>2515</v>
      </c>
      <c r="H957" s="387">
        <v>50</v>
      </c>
      <c r="I957" s="381">
        <v>14.7</v>
      </c>
      <c r="J957" s="381">
        <v>14.7</v>
      </c>
      <c r="K957" s="381">
        <v>5</v>
      </c>
      <c r="L957" s="381">
        <v>0</v>
      </c>
      <c r="M957" s="381" t="s">
        <v>148</v>
      </c>
      <c r="N957" s="381" t="s">
        <v>149</v>
      </c>
      <c r="O957" s="381" t="s">
        <v>150</v>
      </c>
      <c r="P957" s="381" t="s">
        <v>151</v>
      </c>
      <c r="Q957" s="381"/>
      <c r="R957" s="381" t="s">
        <v>5718</v>
      </c>
      <c r="S957" s="381"/>
      <c r="T957" s="381" t="s">
        <v>2895</v>
      </c>
      <c r="U957" s="381" t="s">
        <v>152</v>
      </c>
      <c r="V957" s="381" t="s">
        <v>23</v>
      </c>
    </row>
    <row r="958" spans="2:22">
      <c r="B958" s="383">
        <v>46248</v>
      </c>
      <c r="C958" s="383">
        <v>46248</v>
      </c>
      <c r="D958" s="381" t="s">
        <v>5719</v>
      </c>
      <c r="E958" s="382" t="s">
        <v>5720</v>
      </c>
      <c r="F958" s="381" t="s">
        <v>87</v>
      </c>
      <c r="G958" s="381" t="s">
        <v>2357</v>
      </c>
      <c r="H958" s="387">
        <v>40</v>
      </c>
      <c r="I958" s="381">
        <v>42.8</v>
      </c>
      <c r="J958" s="381">
        <v>42.8</v>
      </c>
      <c r="K958" s="381">
        <v>5</v>
      </c>
      <c r="L958" s="381">
        <v>0</v>
      </c>
      <c r="M958" s="381" t="s">
        <v>148</v>
      </c>
      <c r="N958" s="381" t="s">
        <v>149</v>
      </c>
      <c r="O958" s="381" t="s">
        <v>150</v>
      </c>
      <c r="P958" s="381" t="s">
        <v>151</v>
      </c>
      <c r="Q958" s="381"/>
      <c r="R958" s="381" t="s">
        <v>5720</v>
      </c>
      <c r="S958" s="381"/>
      <c r="T958" s="381" t="s">
        <v>2895</v>
      </c>
      <c r="U958" s="381" t="s">
        <v>152</v>
      </c>
      <c r="V958" s="381" t="s">
        <v>23</v>
      </c>
    </row>
    <row r="959" spans="2:22">
      <c r="B959" s="383">
        <v>46248</v>
      </c>
      <c r="C959" s="383">
        <v>46248</v>
      </c>
      <c r="D959" s="381" t="s">
        <v>5721</v>
      </c>
      <c r="E959" s="382" t="s">
        <v>5722</v>
      </c>
      <c r="F959" s="381" t="s">
        <v>87</v>
      </c>
      <c r="G959" s="381" t="s">
        <v>2357</v>
      </c>
      <c r="H959" s="387">
        <v>40</v>
      </c>
      <c r="I959" s="381">
        <v>37.799999999999997</v>
      </c>
      <c r="J959" s="381">
        <v>37.799999999999997</v>
      </c>
      <c r="K959" s="381">
        <v>5</v>
      </c>
      <c r="L959" s="381">
        <v>0</v>
      </c>
      <c r="M959" s="381" t="s">
        <v>148</v>
      </c>
      <c r="N959" s="381" t="s">
        <v>149</v>
      </c>
      <c r="O959" s="381" t="s">
        <v>150</v>
      </c>
      <c r="P959" s="381" t="s">
        <v>151</v>
      </c>
      <c r="Q959" s="381"/>
      <c r="R959" s="381" t="s">
        <v>5722</v>
      </c>
      <c r="S959" s="381"/>
      <c r="T959" s="381" t="s">
        <v>2895</v>
      </c>
      <c r="U959" s="381" t="s">
        <v>152</v>
      </c>
      <c r="V959" s="381" t="s">
        <v>23</v>
      </c>
    </row>
    <row r="960" spans="2:22">
      <c r="B960" s="383">
        <v>46248</v>
      </c>
      <c r="C960" s="383">
        <v>46248</v>
      </c>
      <c r="D960" s="381" t="s">
        <v>5723</v>
      </c>
      <c r="E960" s="382" t="s">
        <v>5724</v>
      </c>
      <c r="F960" s="381" t="s">
        <v>87</v>
      </c>
      <c r="G960" s="381" t="s">
        <v>2078</v>
      </c>
      <c r="H960" s="387">
        <v>6</v>
      </c>
      <c r="I960" s="381">
        <v>25.5</v>
      </c>
      <c r="J960" s="381">
        <v>25.5</v>
      </c>
      <c r="K960" s="381">
        <v>1.5</v>
      </c>
      <c r="L960" s="381">
        <v>0</v>
      </c>
      <c r="M960" s="381" t="s">
        <v>148</v>
      </c>
      <c r="N960" s="381" t="s">
        <v>149</v>
      </c>
      <c r="O960" s="381" t="s">
        <v>150</v>
      </c>
      <c r="P960" s="381" t="s">
        <v>151</v>
      </c>
      <c r="Q960" s="381"/>
      <c r="R960" s="381" t="s">
        <v>5724</v>
      </c>
      <c r="S960" s="381"/>
      <c r="T960" s="381" t="s">
        <v>2895</v>
      </c>
      <c r="U960" s="381" t="s">
        <v>152</v>
      </c>
      <c r="V960" s="381" t="s">
        <v>23</v>
      </c>
    </row>
    <row r="961" spans="2:22">
      <c r="B961" s="383">
        <v>46249</v>
      </c>
      <c r="C961" s="383">
        <v>46249</v>
      </c>
      <c r="D961" s="381" t="s">
        <v>5725</v>
      </c>
      <c r="E961" s="382" t="s">
        <v>5726</v>
      </c>
      <c r="F961" s="381" t="s">
        <v>87</v>
      </c>
      <c r="G961" s="381" t="s">
        <v>2334</v>
      </c>
      <c r="H961" s="387">
        <v>40</v>
      </c>
      <c r="I961" s="381">
        <v>32.799999999999997</v>
      </c>
      <c r="J961" s="381">
        <v>32.799999999999997</v>
      </c>
      <c r="K961" s="381">
        <v>5</v>
      </c>
      <c r="L961" s="381">
        <v>0</v>
      </c>
      <c r="M961" s="381" t="s">
        <v>148</v>
      </c>
      <c r="N961" s="381" t="s">
        <v>149</v>
      </c>
      <c r="O961" s="381" t="s">
        <v>150</v>
      </c>
      <c r="P961" s="381" t="s">
        <v>151</v>
      </c>
      <c r="Q961" s="381"/>
      <c r="R961" s="381" t="s">
        <v>5726</v>
      </c>
      <c r="S961" s="381"/>
      <c r="T961" s="381" t="s">
        <v>2914</v>
      </c>
      <c r="U961" s="381" t="s">
        <v>152</v>
      </c>
      <c r="V961" s="381" t="s">
        <v>23</v>
      </c>
    </row>
    <row r="962" spans="2:22">
      <c r="B962" s="383">
        <v>46249</v>
      </c>
      <c r="C962" s="383">
        <v>46249</v>
      </c>
      <c r="D962" s="381" t="s">
        <v>5727</v>
      </c>
      <c r="E962" s="382" t="s">
        <v>5728</v>
      </c>
      <c r="F962" s="381" t="s">
        <v>87</v>
      </c>
      <c r="G962" s="381" t="s">
        <v>4512</v>
      </c>
      <c r="H962" s="387">
        <v>55</v>
      </c>
      <c r="I962" s="381">
        <v>24.8</v>
      </c>
      <c r="J962" s="381">
        <v>24.8</v>
      </c>
      <c r="K962" s="381">
        <v>5</v>
      </c>
      <c r="L962" s="381">
        <v>0</v>
      </c>
      <c r="M962" s="381" t="s">
        <v>148</v>
      </c>
      <c r="N962" s="381" t="s">
        <v>149</v>
      </c>
      <c r="O962" s="381" t="s">
        <v>150</v>
      </c>
      <c r="P962" s="381" t="s">
        <v>151</v>
      </c>
      <c r="Q962" s="381"/>
      <c r="R962" s="381" t="s">
        <v>5728</v>
      </c>
      <c r="S962" s="381"/>
      <c r="T962" s="381" t="s">
        <v>2914</v>
      </c>
      <c r="U962" s="381" t="s">
        <v>152</v>
      </c>
      <c r="V962" s="381" t="s">
        <v>23</v>
      </c>
    </row>
    <row r="963" spans="2:22">
      <c r="B963" s="383">
        <v>46249</v>
      </c>
      <c r="C963" s="383">
        <v>46249</v>
      </c>
      <c r="D963" s="381" t="s">
        <v>5729</v>
      </c>
      <c r="E963" s="382" t="s">
        <v>5730</v>
      </c>
      <c r="F963" s="381" t="s">
        <v>87</v>
      </c>
      <c r="G963" s="381" t="s">
        <v>5731</v>
      </c>
      <c r="H963" s="387">
        <v>35</v>
      </c>
      <c r="I963" s="381">
        <v>36.299999999999997</v>
      </c>
      <c r="J963" s="381">
        <v>36.299999999999997</v>
      </c>
      <c r="K963" s="381">
        <v>4</v>
      </c>
      <c r="L963" s="381">
        <v>0</v>
      </c>
      <c r="M963" s="381" t="s">
        <v>148</v>
      </c>
      <c r="N963" s="381" t="s">
        <v>149</v>
      </c>
      <c r="O963" s="381" t="s">
        <v>150</v>
      </c>
      <c r="P963" s="381" t="s">
        <v>151</v>
      </c>
      <c r="Q963" s="381"/>
      <c r="R963" s="381" t="s">
        <v>5730</v>
      </c>
      <c r="S963" s="381" t="s">
        <v>61</v>
      </c>
      <c r="T963" s="381" t="s">
        <v>3368</v>
      </c>
      <c r="U963" s="381" t="s">
        <v>152</v>
      </c>
      <c r="V963" s="381" t="s">
        <v>23</v>
      </c>
    </row>
    <row r="964" spans="2:22">
      <c r="B964" s="383">
        <v>46249</v>
      </c>
      <c r="C964" s="383">
        <v>46249</v>
      </c>
      <c r="D964" s="381" t="s">
        <v>5732</v>
      </c>
      <c r="E964" s="382" t="s">
        <v>5733</v>
      </c>
      <c r="F964" s="381" t="s">
        <v>87</v>
      </c>
      <c r="G964" s="381" t="s">
        <v>2334</v>
      </c>
      <c r="H964" s="387">
        <v>40</v>
      </c>
      <c r="I964" s="381">
        <v>39.799999999999997</v>
      </c>
      <c r="J964" s="381">
        <v>39.799999999999997</v>
      </c>
      <c r="K964" s="381">
        <v>5</v>
      </c>
      <c r="L964" s="381">
        <v>0</v>
      </c>
      <c r="M964" s="381" t="s">
        <v>148</v>
      </c>
      <c r="N964" s="381" t="s">
        <v>149</v>
      </c>
      <c r="O964" s="381" t="s">
        <v>150</v>
      </c>
      <c r="P964" s="381" t="s">
        <v>151</v>
      </c>
      <c r="Q964" s="381"/>
      <c r="R964" s="381" t="s">
        <v>5733</v>
      </c>
      <c r="S964" s="381"/>
      <c r="T964" s="381" t="s">
        <v>2914</v>
      </c>
      <c r="U964" s="381" t="s">
        <v>152</v>
      </c>
      <c r="V964" s="381" t="s">
        <v>23</v>
      </c>
    </row>
    <row r="965" spans="2:22">
      <c r="B965" s="383">
        <v>46249</v>
      </c>
      <c r="C965" s="383">
        <v>46249</v>
      </c>
      <c r="D965" s="381" t="s">
        <v>5734</v>
      </c>
      <c r="E965" s="382" t="s">
        <v>5735</v>
      </c>
      <c r="F965" s="381" t="s">
        <v>87</v>
      </c>
      <c r="G965" s="381" t="s">
        <v>2404</v>
      </c>
      <c r="H965" s="387">
        <v>40</v>
      </c>
      <c r="I965" s="381">
        <v>35.799999999999997</v>
      </c>
      <c r="J965" s="381">
        <v>35.799999999999997</v>
      </c>
      <c r="K965" s="381">
        <v>5</v>
      </c>
      <c r="L965" s="381">
        <v>0</v>
      </c>
      <c r="M965" s="381" t="s">
        <v>148</v>
      </c>
      <c r="N965" s="381" t="s">
        <v>149</v>
      </c>
      <c r="O965" s="381" t="s">
        <v>150</v>
      </c>
      <c r="P965" s="381" t="s">
        <v>151</v>
      </c>
      <c r="Q965" s="381"/>
      <c r="R965" s="381" t="s">
        <v>5735</v>
      </c>
      <c r="S965" s="381"/>
      <c r="T965" s="381" t="s">
        <v>2914</v>
      </c>
      <c r="U965" s="381" t="s">
        <v>152</v>
      </c>
      <c r="V965" s="381" t="s">
        <v>23</v>
      </c>
    </row>
    <row r="966" spans="2:22">
      <c r="B966" s="383">
        <v>46249</v>
      </c>
      <c r="C966" s="383">
        <v>46249</v>
      </c>
      <c r="D966" s="381" t="s">
        <v>5736</v>
      </c>
      <c r="E966" s="382" t="s">
        <v>5737</v>
      </c>
      <c r="F966" s="381" t="s">
        <v>87</v>
      </c>
      <c r="G966" s="381" t="s">
        <v>2357</v>
      </c>
      <c r="H966" s="387">
        <v>40</v>
      </c>
      <c r="I966" s="381">
        <v>45.8</v>
      </c>
      <c r="J966" s="381">
        <v>45.8</v>
      </c>
      <c r="K966" s="381">
        <v>5</v>
      </c>
      <c r="L966" s="381">
        <v>0</v>
      </c>
      <c r="M966" s="381" t="s">
        <v>148</v>
      </c>
      <c r="N966" s="381" t="s">
        <v>149</v>
      </c>
      <c r="O966" s="381" t="s">
        <v>150</v>
      </c>
      <c r="P966" s="381" t="s">
        <v>151</v>
      </c>
      <c r="Q966" s="381"/>
      <c r="R966" s="381" t="s">
        <v>5737</v>
      </c>
      <c r="S966" s="381"/>
      <c r="T966" s="381" t="s">
        <v>2914</v>
      </c>
      <c r="U966" s="381" t="s">
        <v>152</v>
      </c>
      <c r="V966" s="381" t="s">
        <v>23</v>
      </c>
    </row>
    <row r="967" spans="2:22">
      <c r="B967" s="383">
        <v>46249</v>
      </c>
      <c r="C967" s="383">
        <v>46249</v>
      </c>
      <c r="D967" s="381" t="s">
        <v>5738</v>
      </c>
      <c r="E967" s="382" t="s">
        <v>5739</v>
      </c>
      <c r="F967" s="381" t="s">
        <v>87</v>
      </c>
      <c r="G967" s="381" t="s">
        <v>2334</v>
      </c>
      <c r="H967" s="387">
        <v>40</v>
      </c>
      <c r="I967" s="381">
        <v>36.799999999999997</v>
      </c>
      <c r="J967" s="381">
        <v>36.799999999999997</v>
      </c>
      <c r="K967" s="381">
        <v>5</v>
      </c>
      <c r="L967" s="381">
        <v>0</v>
      </c>
      <c r="M967" s="381" t="s">
        <v>148</v>
      </c>
      <c r="N967" s="381" t="s">
        <v>149</v>
      </c>
      <c r="O967" s="381" t="s">
        <v>150</v>
      </c>
      <c r="P967" s="381" t="s">
        <v>151</v>
      </c>
      <c r="Q967" s="381"/>
      <c r="R967" s="381" t="s">
        <v>5739</v>
      </c>
      <c r="S967" s="381"/>
      <c r="T967" s="381" t="s">
        <v>2914</v>
      </c>
      <c r="U967" s="381" t="s">
        <v>152</v>
      </c>
      <c r="V967" s="381" t="s">
        <v>23</v>
      </c>
    </row>
    <row r="968" spans="2:22">
      <c r="B968" s="383">
        <v>46249</v>
      </c>
      <c r="C968" s="383">
        <v>46249</v>
      </c>
      <c r="D968" s="381" t="s">
        <v>5740</v>
      </c>
      <c r="E968" s="382" t="s">
        <v>5741</v>
      </c>
      <c r="F968" s="381" t="s">
        <v>87</v>
      </c>
      <c r="G968" s="381" t="s">
        <v>2334</v>
      </c>
      <c r="H968" s="387">
        <v>40</v>
      </c>
      <c r="I968" s="381">
        <v>35.799999999999997</v>
      </c>
      <c r="J968" s="381">
        <v>35.799999999999997</v>
      </c>
      <c r="K968" s="381">
        <v>5</v>
      </c>
      <c r="L968" s="381">
        <v>0</v>
      </c>
      <c r="M968" s="381" t="s">
        <v>148</v>
      </c>
      <c r="N968" s="381" t="s">
        <v>149</v>
      </c>
      <c r="O968" s="381" t="s">
        <v>150</v>
      </c>
      <c r="P968" s="381" t="s">
        <v>151</v>
      </c>
      <c r="Q968" s="381"/>
      <c r="R968" s="381" t="s">
        <v>5741</v>
      </c>
      <c r="S968" s="381"/>
      <c r="T968" s="381" t="s">
        <v>2914</v>
      </c>
      <c r="U968" s="381" t="s">
        <v>152</v>
      </c>
      <c r="V968" s="381" t="s">
        <v>23</v>
      </c>
    </row>
    <row r="969" spans="2:22">
      <c r="B969" s="383">
        <v>46249</v>
      </c>
      <c r="C969" s="383">
        <v>46249</v>
      </c>
      <c r="D969" s="381" t="s">
        <v>5742</v>
      </c>
      <c r="E969" s="382" t="s">
        <v>5743</v>
      </c>
      <c r="F969" s="381" t="s">
        <v>87</v>
      </c>
      <c r="G969" s="381" t="s">
        <v>2404</v>
      </c>
      <c r="H969" s="387">
        <v>40</v>
      </c>
      <c r="I969" s="381">
        <v>38.799999999999997</v>
      </c>
      <c r="J969" s="381">
        <v>38.799999999999997</v>
      </c>
      <c r="K969" s="381">
        <v>5</v>
      </c>
      <c r="L969" s="381">
        <v>0</v>
      </c>
      <c r="M969" s="381" t="s">
        <v>148</v>
      </c>
      <c r="N969" s="381" t="s">
        <v>149</v>
      </c>
      <c r="O969" s="381" t="s">
        <v>150</v>
      </c>
      <c r="P969" s="381" t="s">
        <v>151</v>
      </c>
      <c r="Q969" s="381"/>
      <c r="R969" s="381" t="s">
        <v>5743</v>
      </c>
      <c r="S969" s="381"/>
      <c r="T969" s="381" t="s">
        <v>2914</v>
      </c>
      <c r="U969" s="381" t="s">
        <v>152</v>
      </c>
      <c r="V969" s="381" t="s">
        <v>23</v>
      </c>
    </row>
    <row r="970" spans="2:22">
      <c r="B970" s="383">
        <v>46249</v>
      </c>
      <c r="C970" s="383">
        <v>46249</v>
      </c>
      <c r="D970" s="381" t="s">
        <v>5744</v>
      </c>
      <c r="E970" s="382" t="s">
        <v>5745</v>
      </c>
      <c r="F970" s="381" t="s">
        <v>87</v>
      </c>
      <c r="G970" s="381" t="s">
        <v>2404</v>
      </c>
      <c r="H970" s="387">
        <v>40</v>
      </c>
      <c r="I970" s="381">
        <v>17.399999999999999</v>
      </c>
      <c r="J970" s="381">
        <v>17.399999999999999</v>
      </c>
      <c r="K970" s="381">
        <v>5</v>
      </c>
      <c r="L970" s="381">
        <v>0</v>
      </c>
      <c r="M970" s="381" t="s">
        <v>148</v>
      </c>
      <c r="N970" s="381" t="s">
        <v>149</v>
      </c>
      <c r="O970" s="381" t="s">
        <v>150</v>
      </c>
      <c r="P970" s="381" t="s">
        <v>151</v>
      </c>
      <c r="Q970" s="381"/>
      <c r="R970" s="381" t="s">
        <v>5745</v>
      </c>
      <c r="S970" s="381"/>
      <c r="T970" s="381" t="s">
        <v>2914</v>
      </c>
      <c r="U970" s="381" t="s">
        <v>152</v>
      </c>
      <c r="V970" s="381" t="s">
        <v>23</v>
      </c>
    </row>
    <row r="971" spans="2:22">
      <c r="B971" s="383">
        <v>46249</v>
      </c>
      <c r="C971" s="383">
        <v>46249</v>
      </c>
      <c r="D971" s="381" t="s">
        <v>5746</v>
      </c>
      <c r="E971" s="382" t="s">
        <v>5747</v>
      </c>
      <c r="F971" s="381" t="s">
        <v>87</v>
      </c>
      <c r="G971" s="381" t="s">
        <v>5097</v>
      </c>
      <c r="H971" s="387">
        <v>25</v>
      </c>
      <c r="I971" s="381">
        <v>19.8</v>
      </c>
      <c r="J971" s="381">
        <v>19.8</v>
      </c>
      <c r="K971" s="381">
        <v>4</v>
      </c>
      <c r="L971" s="381">
        <v>0</v>
      </c>
      <c r="M971" s="381" t="s">
        <v>148</v>
      </c>
      <c r="N971" s="381" t="s">
        <v>149</v>
      </c>
      <c r="O971" s="381" t="s">
        <v>150</v>
      </c>
      <c r="P971" s="381" t="s">
        <v>151</v>
      </c>
      <c r="Q971" s="381"/>
      <c r="R971" s="381" t="s">
        <v>5747</v>
      </c>
      <c r="S971" s="381"/>
      <c r="T971" s="381" t="s">
        <v>2914</v>
      </c>
      <c r="U971" s="381" t="s">
        <v>152</v>
      </c>
      <c r="V971" s="381" t="s">
        <v>23</v>
      </c>
    </row>
    <row r="972" spans="2:22">
      <c r="B972" s="383">
        <v>46249</v>
      </c>
      <c r="C972" s="383">
        <v>46249</v>
      </c>
      <c r="D972" s="381" t="s">
        <v>5748</v>
      </c>
      <c r="E972" s="382" t="s">
        <v>5749</v>
      </c>
      <c r="F972" s="381" t="s">
        <v>87</v>
      </c>
      <c r="G972" s="381" t="s">
        <v>2404</v>
      </c>
      <c r="H972" s="387">
        <v>40</v>
      </c>
      <c r="I972" s="381">
        <v>35.299999999999997</v>
      </c>
      <c r="J972" s="381">
        <v>35.299999999999997</v>
      </c>
      <c r="K972" s="381">
        <v>5</v>
      </c>
      <c r="L972" s="381">
        <v>0</v>
      </c>
      <c r="M972" s="381" t="s">
        <v>148</v>
      </c>
      <c r="N972" s="381" t="s">
        <v>149</v>
      </c>
      <c r="O972" s="381" t="s">
        <v>150</v>
      </c>
      <c r="P972" s="381" t="s">
        <v>151</v>
      </c>
      <c r="Q972" s="381"/>
      <c r="R972" s="381" t="s">
        <v>5749</v>
      </c>
      <c r="S972" s="381"/>
      <c r="T972" s="381" t="s">
        <v>2914</v>
      </c>
      <c r="U972" s="381" t="s">
        <v>152</v>
      </c>
      <c r="V972" s="381" t="s">
        <v>23</v>
      </c>
    </row>
    <row r="973" spans="2:22">
      <c r="B973" s="383">
        <v>46249</v>
      </c>
      <c r="C973" s="383">
        <v>46249</v>
      </c>
      <c r="D973" s="381" t="s">
        <v>5750</v>
      </c>
      <c r="E973" s="382" t="s">
        <v>5751</v>
      </c>
      <c r="F973" s="381" t="s">
        <v>87</v>
      </c>
      <c r="G973" s="381" t="s">
        <v>2404</v>
      </c>
      <c r="H973" s="387">
        <v>40</v>
      </c>
      <c r="I973" s="381">
        <v>35.799999999999997</v>
      </c>
      <c r="J973" s="381">
        <v>35.799999999999997</v>
      </c>
      <c r="K973" s="381">
        <v>5</v>
      </c>
      <c r="L973" s="381">
        <v>0</v>
      </c>
      <c r="M973" s="381" t="s">
        <v>148</v>
      </c>
      <c r="N973" s="381" t="s">
        <v>149</v>
      </c>
      <c r="O973" s="381" t="s">
        <v>150</v>
      </c>
      <c r="P973" s="381" t="s">
        <v>151</v>
      </c>
      <c r="Q973" s="381"/>
      <c r="R973" s="381" t="s">
        <v>5751</v>
      </c>
      <c r="S973" s="381"/>
      <c r="T973" s="381" t="s">
        <v>2914</v>
      </c>
      <c r="U973" s="381" t="s">
        <v>152</v>
      </c>
      <c r="V973" s="381" t="s">
        <v>23</v>
      </c>
    </row>
    <row r="974" spans="2:22">
      <c r="B974" s="383">
        <v>46249</v>
      </c>
      <c r="C974" s="383">
        <v>46249</v>
      </c>
      <c r="D974" s="381" t="s">
        <v>5752</v>
      </c>
      <c r="E974" s="382" t="s">
        <v>5753</v>
      </c>
      <c r="F974" s="381" t="s">
        <v>87</v>
      </c>
      <c r="G974" s="381" t="s">
        <v>2357</v>
      </c>
      <c r="H974" s="387">
        <v>40</v>
      </c>
      <c r="I974" s="381">
        <v>38.299999999999997</v>
      </c>
      <c r="J974" s="381">
        <v>38.299999999999997</v>
      </c>
      <c r="K974" s="381">
        <v>5</v>
      </c>
      <c r="L974" s="381">
        <v>0</v>
      </c>
      <c r="M974" s="381" t="s">
        <v>148</v>
      </c>
      <c r="N974" s="381" t="s">
        <v>149</v>
      </c>
      <c r="O974" s="381" t="s">
        <v>150</v>
      </c>
      <c r="P974" s="381" t="s">
        <v>151</v>
      </c>
      <c r="Q974" s="381"/>
      <c r="R974" s="381" t="s">
        <v>5753</v>
      </c>
      <c r="S974" s="381"/>
      <c r="T974" s="381" t="s">
        <v>2914</v>
      </c>
      <c r="U974" s="381" t="s">
        <v>152</v>
      </c>
      <c r="V974" s="381" t="s">
        <v>23</v>
      </c>
    </row>
    <row r="975" spans="2:22">
      <c r="B975" s="383">
        <v>46249</v>
      </c>
      <c r="C975" s="383">
        <v>46249</v>
      </c>
      <c r="D975" s="381" t="s">
        <v>5754</v>
      </c>
      <c r="E975" s="382" t="s">
        <v>5755</v>
      </c>
      <c r="F975" s="381" t="s">
        <v>87</v>
      </c>
      <c r="G975" s="381" t="s">
        <v>1678</v>
      </c>
      <c r="H975" s="387">
        <v>30</v>
      </c>
      <c r="I975" s="381">
        <v>28.3</v>
      </c>
      <c r="J975" s="381">
        <v>28.3</v>
      </c>
      <c r="K975" s="381">
        <v>4</v>
      </c>
      <c r="L975" s="381">
        <v>0</v>
      </c>
      <c r="M975" s="381" t="s">
        <v>148</v>
      </c>
      <c r="N975" s="381" t="s">
        <v>149</v>
      </c>
      <c r="O975" s="381" t="s">
        <v>150</v>
      </c>
      <c r="P975" s="381" t="s">
        <v>151</v>
      </c>
      <c r="Q975" s="381"/>
      <c r="R975" s="381" t="s">
        <v>5755</v>
      </c>
      <c r="S975" s="381"/>
      <c r="T975" s="381" t="s">
        <v>2914</v>
      </c>
      <c r="U975" s="381" t="s">
        <v>152</v>
      </c>
      <c r="V975" s="381" t="s">
        <v>23</v>
      </c>
    </row>
    <row r="976" spans="2:22">
      <c r="B976" s="383">
        <v>46249</v>
      </c>
      <c r="C976" s="383">
        <v>46249</v>
      </c>
      <c r="D976" s="381" t="s">
        <v>5756</v>
      </c>
      <c r="E976" s="382" t="s">
        <v>5757</v>
      </c>
      <c r="F976" s="381" t="s">
        <v>87</v>
      </c>
      <c r="G976" s="381" t="s">
        <v>4000</v>
      </c>
      <c r="H976" s="387">
        <v>50</v>
      </c>
      <c r="I976" s="381">
        <v>37.799999999999997</v>
      </c>
      <c r="J976" s="381">
        <v>37.799999999999997</v>
      </c>
      <c r="K976" s="381">
        <v>5</v>
      </c>
      <c r="L976" s="381">
        <v>0</v>
      </c>
      <c r="M976" s="381" t="s">
        <v>148</v>
      </c>
      <c r="N976" s="381" t="s">
        <v>149</v>
      </c>
      <c r="O976" s="381" t="s">
        <v>150</v>
      </c>
      <c r="P976" s="381" t="s">
        <v>151</v>
      </c>
      <c r="Q976" s="381"/>
      <c r="R976" s="381" t="s">
        <v>5757</v>
      </c>
      <c r="S976" s="381"/>
      <c r="T976" s="381" t="s">
        <v>2914</v>
      </c>
      <c r="U976" s="381" t="s">
        <v>152</v>
      </c>
      <c r="V976" s="381" t="s">
        <v>23</v>
      </c>
    </row>
    <row r="977" spans="2:22">
      <c r="B977" s="383">
        <v>46249</v>
      </c>
      <c r="C977" s="383">
        <v>46249</v>
      </c>
      <c r="D977" s="381" t="s">
        <v>5758</v>
      </c>
      <c r="E977" s="382" t="s">
        <v>5759</v>
      </c>
      <c r="F977" s="381" t="s">
        <v>87</v>
      </c>
      <c r="G977" s="381" t="s">
        <v>2334</v>
      </c>
      <c r="H977" s="387">
        <v>40</v>
      </c>
      <c r="I977" s="381">
        <v>41.8</v>
      </c>
      <c r="J977" s="381">
        <v>41.8</v>
      </c>
      <c r="K977" s="381">
        <v>5</v>
      </c>
      <c r="L977" s="381">
        <v>0</v>
      </c>
      <c r="M977" s="381" t="s">
        <v>148</v>
      </c>
      <c r="N977" s="381" t="s">
        <v>149</v>
      </c>
      <c r="O977" s="381" t="s">
        <v>150</v>
      </c>
      <c r="P977" s="381" t="s">
        <v>151</v>
      </c>
      <c r="Q977" s="381"/>
      <c r="R977" s="381" t="s">
        <v>5759</v>
      </c>
      <c r="S977" s="381"/>
      <c r="T977" s="381" t="s">
        <v>2914</v>
      </c>
      <c r="U977" s="381" t="s">
        <v>152</v>
      </c>
      <c r="V977" s="381" t="s">
        <v>23</v>
      </c>
    </row>
    <row r="978" spans="2:22">
      <c r="B978" s="383">
        <v>46249</v>
      </c>
      <c r="C978" s="383">
        <v>46249</v>
      </c>
      <c r="D978" s="381" t="s">
        <v>5760</v>
      </c>
      <c r="E978" s="382" t="s">
        <v>5761</v>
      </c>
      <c r="F978" s="381" t="s">
        <v>87</v>
      </c>
      <c r="G978" s="381" t="s">
        <v>5097</v>
      </c>
      <c r="H978" s="387">
        <v>25</v>
      </c>
      <c r="I978" s="381">
        <v>28.6</v>
      </c>
      <c r="J978" s="381">
        <v>28.6</v>
      </c>
      <c r="K978" s="381">
        <v>4</v>
      </c>
      <c r="L978" s="381">
        <v>0</v>
      </c>
      <c r="M978" s="381" t="s">
        <v>148</v>
      </c>
      <c r="N978" s="381" t="s">
        <v>149</v>
      </c>
      <c r="O978" s="381" t="s">
        <v>150</v>
      </c>
      <c r="P978" s="381" t="s">
        <v>151</v>
      </c>
      <c r="Q978" s="381"/>
      <c r="R978" s="381" t="s">
        <v>5761</v>
      </c>
      <c r="S978" s="381"/>
      <c r="T978" s="381" t="s">
        <v>2914</v>
      </c>
      <c r="U978" s="381" t="s">
        <v>152</v>
      </c>
      <c r="V978" s="381" t="s">
        <v>23</v>
      </c>
    </row>
    <row r="979" spans="2:22">
      <c r="B979" s="383">
        <v>46249</v>
      </c>
      <c r="C979" s="383">
        <v>46249</v>
      </c>
      <c r="D979" s="381" t="s">
        <v>5762</v>
      </c>
      <c r="E979" s="382" t="s">
        <v>5763</v>
      </c>
      <c r="F979" s="381" t="s">
        <v>87</v>
      </c>
      <c r="G979" s="381" t="s">
        <v>1678</v>
      </c>
      <c r="H979" s="387">
        <v>30</v>
      </c>
      <c r="I979" s="381">
        <v>34.799999999999997</v>
      </c>
      <c r="J979" s="381">
        <v>34.799999999999997</v>
      </c>
      <c r="K979" s="381">
        <v>4</v>
      </c>
      <c r="L979" s="381">
        <v>0</v>
      </c>
      <c r="M979" s="381" t="s">
        <v>148</v>
      </c>
      <c r="N979" s="381" t="s">
        <v>149</v>
      </c>
      <c r="O979" s="381" t="s">
        <v>150</v>
      </c>
      <c r="P979" s="381" t="s">
        <v>151</v>
      </c>
      <c r="Q979" s="381"/>
      <c r="R979" s="381" t="s">
        <v>5763</v>
      </c>
      <c r="S979" s="381"/>
      <c r="T979" s="381" t="s">
        <v>2914</v>
      </c>
      <c r="U979" s="381" t="s">
        <v>152</v>
      </c>
      <c r="V979" s="381" t="s">
        <v>23</v>
      </c>
    </row>
    <row r="980" spans="2:22">
      <c r="B980" s="383">
        <v>46249</v>
      </c>
      <c r="C980" s="383">
        <v>46249</v>
      </c>
      <c r="D980" s="381" t="s">
        <v>5764</v>
      </c>
      <c r="E980" s="382" t="s">
        <v>5765</v>
      </c>
      <c r="F980" s="381" t="s">
        <v>87</v>
      </c>
      <c r="G980" s="381" t="s">
        <v>5766</v>
      </c>
      <c r="H980" s="387">
        <v>45</v>
      </c>
      <c r="I980" s="381">
        <v>37.799999999999997</v>
      </c>
      <c r="J980" s="381">
        <v>37.799999999999997</v>
      </c>
      <c r="K980" s="381">
        <v>5</v>
      </c>
      <c r="L980" s="381">
        <v>0</v>
      </c>
      <c r="M980" s="381" t="s">
        <v>148</v>
      </c>
      <c r="N980" s="381" t="s">
        <v>149</v>
      </c>
      <c r="O980" s="381" t="s">
        <v>150</v>
      </c>
      <c r="P980" s="381" t="s">
        <v>151</v>
      </c>
      <c r="Q980" s="381"/>
      <c r="R980" s="381" t="s">
        <v>5765</v>
      </c>
      <c r="S980" s="381"/>
      <c r="T980" s="381" t="s">
        <v>2914</v>
      </c>
      <c r="U980" s="381" t="s">
        <v>152</v>
      </c>
      <c r="V980" s="381" t="s">
        <v>23</v>
      </c>
    </row>
    <row r="981" spans="2:22">
      <c r="B981" s="383">
        <v>46249</v>
      </c>
      <c r="C981" s="383">
        <v>46249</v>
      </c>
      <c r="D981" s="381" t="s">
        <v>5767</v>
      </c>
      <c r="E981" s="382" t="s">
        <v>5768</v>
      </c>
      <c r="F981" s="381" t="s">
        <v>87</v>
      </c>
      <c r="G981" s="381" t="s">
        <v>2334</v>
      </c>
      <c r="H981" s="387">
        <v>40</v>
      </c>
      <c r="I981" s="381">
        <v>39.799999999999997</v>
      </c>
      <c r="J981" s="381">
        <v>39.799999999999997</v>
      </c>
      <c r="K981" s="381">
        <v>5</v>
      </c>
      <c r="L981" s="381">
        <v>0</v>
      </c>
      <c r="M981" s="381" t="s">
        <v>148</v>
      </c>
      <c r="N981" s="381" t="s">
        <v>149</v>
      </c>
      <c r="O981" s="381" t="s">
        <v>150</v>
      </c>
      <c r="P981" s="381" t="s">
        <v>151</v>
      </c>
      <c r="Q981" s="381"/>
      <c r="R981" s="381" t="s">
        <v>5768</v>
      </c>
      <c r="S981" s="381"/>
      <c r="T981" s="381" t="s">
        <v>2914</v>
      </c>
      <c r="U981" s="381" t="s">
        <v>152</v>
      </c>
      <c r="V981" s="381" t="s">
        <v>23</v>
      </c>
    </row>
    <row r="982" spans="2:22">
      <c r="B982" s="383">
        <v>46249</v>
      </c>
      <c r="C982" s="383">
        <v>46249</v>
      </c>
      <c r="D982" s="381" t="s">
        <v>5769</v>
      </c>
      <c r="E982" s="382" t="s">
        <v>5770</v>
      </c>
      <c r="F982" s="381" t="s">
        <v>87</v>
      </c>
      <c r="G982" s="381" t="s">
        <v>2357</v>
      </c>
      <c r="H982" s="387">
        <v>40</v>
      </c>
      <c r="I982" s="381">
        <v>23.3</v>
      </c>
      <c r="J982" s="381">
        <v>23.3</v>
      </c>
      <c r="K982" s="381">
        <v>5</v>
      </c>
      <c r="L982" s="381">
        <v>0</v>
      </c>
      <c r="M982" s="381" t="s">
        <v>148</v>
      </c>
      <c r="N982" s="381" t="s">
        <v>149</v>
      </c>
      <c r="O982" s="381" t="s">
        <v>150</v>
      </c>
      <c r="P982" s="381" t="s">
        <v>151</v>
      </c>
      <c r="Q982" s="381"/>
      <c r="R982" s="381" t="s">
        <v>5770</v>
      </c>
      <c r="S982" s="381"/>
      <c r="T982" s="381" t="s">
        <v>2914</v>
      </c>
      <c r="U982" s="381" t="s">
        <v>152</v>
      </c>
      <c r="V982" s="381" t="s">
        <v>23</v>
      </c>
    </row>
    <row r="983" spans="2:22">
      <c r="B983" s="383">
        <v>46249</v>
      </c>
      <c r="C983" s="383">
        <v>46249</v>
      </c>
      <c r="D983" s="381" t="s">
        <v>5771</v>
      </c>
      <c r="E983" s="382" t="s">
        <v>5772</v>
      </c>
      <c r="F983" s="381" t="s">
        <v>87</v>
      </c>
      <c r="G983" s="381" t="s">
        <v>2334</v>
      </c>
      <c r="H983" s="387">
        <v>40</v>
      </c>
      <c r="I983" s="381">
        <v>25.4</v>
      </c>
      <c r="J983" s="381">
        <v>25.4</v>
      </c>
      <c r="K983" s="381">
        <v>5</v>
      </c>
      <c r="L983" s="381">
        <v>0</v>
      </c>
      <c r="M983" s="381" t="s">
        <v>148</v>
      </c>
      <c r="N983" s="381" t="s">
        <v>149</v>
      </c>
      <c r="O983" s="381" t="s">
        <v>150</v>
      </c>
      <c r="P983" s="381" t="s">
        <v>151</v>
      </c>
      <c r="Q983" s="381"/>
      <c r="R983" s="381" t="s">
        <v>5772</v>
      </c>
      <c r="S983" s="381"/>
      <c r="T983" s="381" t="s">
        <v>2914</v>
      </c>
      <c r="U983" s="381" t="s">
        <v>152</v>
      </c>
      <c r="V983" s="381" t="s">
        <v>23</v>
      </c>
    </row>
    <row r="984" spans="2:22">
      <c r="B984" s="383">
        <v>46249</v>
      </c>
      <c r="C984" s="383">
        <v>46249</v>
      </c>
      <c r="D984" s="381" t="s">
        <v>5773</v>
      </c>
      <c r="E984" s="382" t="s">
        <v>5774</v>
      </c>
      <c r="F984" s="381" t="s">
        <v>87</v>
      </c>
      <c r="G984" s="381" t="s">
        <v>5097</v>
      </c>
      <c r="H984" s="387">
        <v>25</v>
      </c>
      <c r="I984" s="381">
        <v>33.799999999999997</v>
      </c>
      <c r="J984" s="381">
        <v>33.799999999999997</v>
      </c>
      <c r="K984" s="381">
        <v>4</v>
      </c>
      <c r="L984" s="381">
        <v>0</v>
      </c>
      <c r="M984" s="381" t="s">
        <v>148</v>
      </c>
      <c r="N984" s="381" t="s">
        <v>149</v>
      </c>
      <c r="O984" s="381" t="s">
        <v>150</v>
      </c>
      <c r="P984" s="381" t="s">
        <v>151</v>
      </c>
      <c r="Q984" s="381"/>
      <c r="R984" s="381" t="s">
        <v>5774</v>
      </c>
      <c r="S984" s="381"/>
      <c r="T984" s="381" t="s">
        <v>2914</v>
      </c>
      <c r="U984" s="381" t="s">
        <v>152</v>
      </c>
      <c r="V984" s="381" t="s">
        <v>23</v>
      </c>
    </row>
    <row r="985" spans="2:22">
      <c r="B985" s="383">
        <v>46249</v>
      </c>
      <c r="C985" s="383">
        <v>46249</v>
      </c>
      <c r="D985" s="381" t="s">
        <v>5775</v>
      </c>
      <c r="E985" s="382" t="s">
        <v>5776</v>
      </c>
      <c r="F985" s="381" t="s">
        <v>87</v>
      </c>
      <c r="G985" s="381" t="s">
        <v>5097</v>
      </c>
      <c r="H985" s="387">
        <v>25</v>
      </c>
      <c r="I985" s="381">
        <v>36.4</v>
      </c>
      <c r="J985" s="381">
        <v>36.4</v>
      </c>
      <c r="K985" s="381">
        <v>4</v>
      </c>
      <c r="L985" s="381">
        <v>0</v>
      </c>
      <c r="M985" s="381" t="s">
        <v>148</v>
      </c>
      <c r="N985" s="381" t="s">
        <v>149</v>
      </c>
      <c r="O985" s="381" t="s">
        <v>150</v>
      </c>
      <c r="P985" s="381" t="s">
        <v>151</v>
      </c>
      <c r="Q985" s="381"/>
      <c r="R985" s="381" t="s">
        <v>5776</v>
      </c>
      <c r="S985" s="381"/>
      <c r="T985" s="381" t="s">
        <v>2914</v>
      </c>
      <c r="U985" s="381" t="s">
        <v>152</v>
      </c>
      <c r="V985" s="381" t="s">
        <v>23</v>
      </c>
    </row>
    <row r="986" spans="2:22">
      <c r="B986" s="383">
        <v>46249</v>
      </c>
      <c r="C986" s="383">
        <v>46249</v>
      </c>
      <c r="D986" s="381" t="s">
        <v>5777</v>
      </c>
      <c r="E986" s="382" t="s">
        <v>5778</v>
      </c>
      <c r="F986" s="381" t="s">
        <v>87</v>
      </c>
      <c r="G986" s="381" t="s">
        <v>2357</v>
      </c>
      <c r="H986" s="387">
        <v>40</v>
      </c>
      <c r="I986" s="381">
        <v>38.299999999999997</v>
      </c>
      <c r="J986" s="381">
        <v>38.299999999999997</v>
      </c>
      <c r="K986" s="381">
        <v>5</v>
      </c>
      <c r="L986" s="381">
        <v>0</v>
      </c>
      <c r="M986" s="381" t="s">
        <v>148</v>
      </c>
      <c r="N986" s="381" t="s">
        <v>149</v>
      </c>
      <c r="O986" s="381" t="s">
        <v>150</v>
      </c>
      <c r="P986" s="381" t="s">
        <v>151</v>
      </c>
      <c r="Q986" s="381"/>
      <c r="R986" s="381" t="s">
        <v>5778</v>
      </c>
      <c r="S986" s="381"/>
      <c r="T986" s="381" t="s">
        <v>2914</v>
      </c>
      <c r="U986" s="381" t="s">
        <v>152</v>
      </c>
      <c r="V986" s="381" t="s">
        <v>23</v>
      </c>
    </row>
    <row r="987" spans="2:22">
      <c r="B987" s="383">
        <v>46249</v>
      </c>
      <c r="C987" s="383">
        <v>46249</v>
      </c>
      <c r="D987" s="381" t="s">
        <v>5779</v>
      </c>
      <c r="E987" s="382" t="s">
        <v>5780</v>
      </c>
      <c r="F987" s="381" t="s">
        <v>87</v>
      </c>
      <c r="G987" s="381" t="s">
        <v>4000</v>
      </c>
      <c r="H987" s="387">
        <v>50</v>
      </c>
      <c r="I987" s="381">
        <v>40.4</v>
      </c>
      <c r="J987" s="381">
        <v>40.4</v>
      </c>
      <c r="K987" s="381">
        <v>5</v>
      </c>
      <c r="L987" s="381">
        <v>0</v>
      </c>
      <c r="M987" s="381" t="s">
        <v>148</v>
      </c>
      <c r="N987" s="381" t="s">
        <v>149</v>
      </c>
      <c r="O987" s="381" t="s">
        <v>150</v>
      </c>
      <c r="P987" s="381" t="s">
        <v>151</v>
      </c>
      <c r="Q987" s="381"/>
      <c r="R987" s="381" t="s">
        <v>5780</v>
      </c>
      <c r="S987" s="381"/>
      <c r="T987" s="381" t="s">
        <v>2914</v>
      </c>
      <c r="U987" s="381" t="s">
        <v>152</v>
      </c>
      <c r="V987" s="381" t="s">
        <v>23</v>
      </c>
    </row>
    <row r="988" spans="2:22">
      <c r="B988" s="383">
        <v>46249</v>
      </c>
      <c r="C988" s="383">
        <v>46249</v>
      </c>
      <c r="D988" s="381" t="s">
        <v>5781</v>
      </c>
      <c r="E988" s="382" t="s">
        <v>5782</v>
      </c>
      <c r="F988" s="381" t="s">
        <v>87</v>
      </c>
      <c r="G988" s="381" t="s">
        <v>2512</v>
      </c>
      <c r="H988" s="387">
        <v>40</v>
      </c>
      <c r="I988" s="381">
        <v>36.5</v>
      </c>
      <c r="J988" s="381">
        <v>36.5</v>
      </c>
      <c r="K988" s="381">
        <v>5</v>
      </c>
      <c r="L988" s="381">
        <v>0</v>
      </c>
      <c r="M988" s="381" t="s">
        <v>148</v>
      </c>
      <c r="N988" s="381" t="s">
        <v>149</v>
      </c>
      <c r="O988" s="381" t="s">
        <v>150</v>
      </c>
      <c r="P988" s="381" t="s">
        <v>151</v>
      </c>
      <c r="Q988" s="381"/>
      <c r="R988" s="381" t="s">
        <v>5782</v>
      </c>
      <c r="S988" s="381"/>
      <c r="T988" s="381" t="s">
        <v>2914</v>
      </c>
      <c r="U988" s="381" t="s">
        <v>152</v>
      </c>
      <c r="V988" s="381" t="s">
        <v>23</v>
      </c>
    </row>
    <row r="989" spans="2:22">
      <c r="B989" s="383">
        <v>46249</v>
      </c>
      <c r="C989" s="383">
        <v>46249</v>
      </c>
      <c r="D989" s="381" t="s">
        <v>5783</v>
      </c>
      <c r="E989" s="382" t="s">
        <v>5784</v>
      </c>
      <c r="F989" s="381" t="s">
        <v>87</v>
      </c>
      <c r="G989" s="381" t="s">
        <v>5766</v>
      </c>
      <c r="H989" s="387">
        <v>45</v>
      </c>
      <c r="I989" s="381">
        <v>39.5</v>
      </c>
      <c r="J989" s="381">
        <v>39.5</v>
      </c>
      <c r="K989" s="381">
        <v>5</v>
      </c>
      <c r="L989" s="381">
        <v>0</v>
      </c>
      <c r="M989" s="381" t="s">
        <v>148</v>
      </c>
      <c r="N989" s="381" t="s">
        <v>149</v>
      </c>
      <c r="O989" s="381" t="s">
        <v>150</v>
      </c>
      <c r="P989" s="381" t="s">
        <v>151</v>
      </c>
      <c r="Q989" s="381"/>
      <c r="R989" s="381" t="s">
        <v>5784</v>
      </c>
      <c r="S989" s="381"/>
      <c r="T989" s="381" t="s">
        <v>2914</v>
      </c>
      <c r="U989" s="381" t="s">
        <v>152</v>
      </c>
      <c r="V989" s="381" t="s">
        <v>23</v>
      </c>
    </row>
    <row r="990" spans="2:22">
      <c r="B990" s="383">
        <v>46249</v>
      </c>
      <c r="C990" s="383">
        <v>46249</v>
      </c>
      <c r="D990" s="381" t="s">
        <v>5785</v>
      </c>
      <c r="E990" s="382" t="s">
        <v>5786</v>
      </c>
      <c r="F990" s="381" t="s">
        <v>87</v>
      </c>
      <c r="G990" s="381" t="s">
        <v>2357</v>
      </c>
      <c r="H990" s="387">
        <v>40</v>
      </c>
      <c r="I990" s="381">
        <v>38.299999999999997</v>
      </c>
      <c r="J990" s="381">
        <v>38.299999999999997</v>
      </c>
      <c r="K990" s="381">
        <v>5</v>
      </c>
      <c r="L990" s="381">
        <v>0</v>
      </c>
      <c r="M990" s="381" t="s">
        <v>148</v>
      </c>
      <c r="N990" s="381" t="s">
        <v>149</v>
      </c>
      <c r="O990" s="381" t="s">
        <v>150</v>
      </c>
      <c r="P990" s="381" t="s">
        <v>151</v>
      </c>
      <c r="Q990" s="381"/>
      <c r="R990" s="381" t="s">
        <v>5786</v>
      </c>
      <c r="S990" s="381"/>
      <c r="T990" s="381" t="s">
        <v>2914</v>
      </c>
      <c r="U990" s="381" t="s">
        <v>152</v>
      </c>
      <c r="V990" s="381" t="s">
        <v>23</v>
      </c>
    </row>
    <row r="991" spans="2:22">
      <c r="B991" s="383">
        <v>46249</v>
      </c>
      <c r="C991" s="383">
        <v>46249</v>
      </c>
      <c r="D991" s="381" t="s">
        <v>5787</v>
      </c>
      <c r="E991" s="382" t="s">
        <v>5788</v>
      </c>
      <c r="F991" s="381" t="s">
        <v>87</v>
      </c>
      <c r="G991" s="381" t="s">
        <v>2357</v>
      </c>
      <c r="H991" s="387">
        <v>40</v>
      </c>
      <c r="I991" s="381">
        <v>38.799999999999997</v>
      </c>
      <c r="J991" s="381">
        <v>38.799999999999997</v>
      </c>
      <c r="K991" s="381">
        <v>5</v>
      </c>
      <c r="L991" s="381">
        <v>0</v>
      </c>
      <c r="M991" s="381" t="s">
        <v>148</v>
      </c>
      <c r="N991" s="381" t="s">
        <v>149</v>
      </c>
      <c r="O991" s="381" t="s">
        <v>150</v>
      </c>
      <c r="P991" s="381" t="s">
        <v>151</v>
      </c>
      <c r="Q991" s="381"/>
      <c r="R991" s="381" t="s">
        <v>5788</v>
      </c>
      <c r="S991" s="381"/>
      <c r="T991" s="381" t="s">
        <v>2914</v>
      </c>
      <c r="U991" s="381" t="s">
        <v>152</v>
      </c>
      <c r="V991" s="381" t="s">
        <v>23</v>
      </c>
    </row>
    <row r="992" spans="2:22">
      <c r="B992" s="383">
        <v>46249</v>
      </c>
      <c r="C992" s="383">
        <v>46249</v>
      </c>
      <c r="D992" s="381" t="s">
        <v>5789</v>
      </c>
      <c r="E992" s="382" t="s">
        <v>5790</v>
      </c>
      <c r="F992" s="381" t="s">
        <v>87</v>
      </c>
      <c r="G992" s="381" t="s">
        <v>5766</v>
      </c>
      <c r="H992" s="387">
        <v>45</v>
      </c>
      <c r="I992" s="381">
        <v>48.8</v>
      </c>
      <c r="J992" s="381">
        <v>48.8</v>
      </c>
      <c r="K992" s="381">
        <v>5</v>
      </c>
      <c r="L992" s="381">
        <v>0</v>
      </c>
      <c r="M992" s="381" t="s">
        <v>148</v>
      </c>
      <c r="N992" s="381" t="s">
        <v>149</v>
      </c>
      <c r="O992" s="381" t="s">
        <v>150</v>
      </c>
      <c r="P992" s="381" t="s">
        <v>151</v>
      </c>
      <c r="Q992" s="381"/>
      <c r="R992" s="381" t="s">
        <v>5790</v>
      </c>
      <c r="S992" s="381"/>
      <c r="T992" s="381" t="s">
        <v>2914</v>
      </c>
      <c r="U992" s="381" t="s">
        <v>152</v>
      </c>
      <c r="V992" s="381" t="s">
        <v>23</v>
      </c>
    </row>
    <row r="993" spans="2:22">
      <c r="B993" s="383">
        <v>46249</v>
      </c>
      <c r="C993" s="383">
        <v>46249</v>
      </c>
      <c r="D993" s="381" t="s">
        <v>5791</v>
      </c>
      <c r="E993" s="382" t="s">
        <v>5792</v>
      </c>
      <c r="F993" s="381" t="s">
        <v>87</v>
      </c>
      <c r="G993" s="381" t="s">
        <v>5793</v>
      </c>
      <c r="H993" s="387">
        <v>35</v>
      </c>
      <c r="I993" s="381">
        <v>35.9</v>
      </c>
      <c r="J993" s="381">
        <v>35.9</v>
      </c>
      <c r="K993" s="381">
        <v>4</v>
      </c>
      <c r="L993" s="381">
        <v>0</v>
      </c>
      <c r="M993" s="381" t="s">
        <v>148</v>
      </c>
      <c r="N993" s="381" t="s">
        <v>149</v>
      </c>
      <c r="O993" s="381" t="s">
        <v>150</v>
      </c>
      <c r="P993" s="381" t="s">
        <v>151</v>
      </c>
      <c r="Q993" s="381"/>
      <c r="R993" s="381" t="s">
        <v>5792</v>
      </c>
      <c r="S993" s="381"/>
      <c r="T993" s="381" t="s">
        <v>2914</v>
      </c>
      <c r="U993" s="381" t="s">
        <v>152</v>
      </c>
      <c r="V993" s="381" t="s">
        <v>23</v>
      </c>
    </row>
    <row r="994" spans="2:22">
      <c r="B994" s="383">
        <v>46249</v>
      </c>
      <c r="C994" s="383">
        <v>46249</v>
      </c>
      <c r="D994" s="381" t="s">
        <v>5794</v>
      </c>
      <c r="E994" s="382" t="s">
        <v>5795</v>
      </c>
      <c r="F994" s="381" t="s">
        <v>87</v>
      </c>
      <c r="G994" s="381" t="s">
        <v>1678</v>
      </c>
      <c r="H994" s="387">
        <v>30</v>
      </c>
      <c r="I994" s="381">
        <v>22.3</v>
      </c>
      <c r="J994" s="381">
        <v>22.3</v>
      </c>
      <c r="K994" s="381">
        <v>4</v>
      </c>
      <c r="L994" s="381">
        <v>0</v>
      </c>
      <c r="M994" s="381" t="s">
        <v>148</v>
      </c>
      <c r="N994" s="381" t="s">
        <v>149</v>
      </c>
      <c r="O994" s="381" t="s">
        <v>150</v>
      </c>
      <c r="P994" s="381" t="s">
        <v>151</v>
      </c>
      <c r="Q994" s="381"/>
      <c r="R994" s="381" t="s">
        <v>5795</v>
      </c>
      <c r="S994" s="381"/>
      <c r="T994" s="381" t="s">
        <v>2914</v>
      </c>
      <c r="U994" s="381" t="s">
        <v>152</v>
      </c>
      <c r="V994" s="381" t="s">
        <v>23</v>
      </c>
    </row>
    <row r="995" spans="2:22">
      <c r="B995" s="383">
        <v>46249</v>
      </c>
      <c r="C995" s="383">
        <v>46249</v>
      </c>
      <c r="D995" s="381" t="s">
        <v>5796</v>
      </c>
      <c r="E995" s="382" t="s">
        <v>5797</v>
      </c>
      <c r="F995" s="381" t="s">
        <v>87</v>
      </c>
      <c r="G995" s="381" t="s">
        <v>1678</v>
      </c>
      <c r="H995" s="387">
        <v>30</v>
      </c>
      <c r="I995" s="381">
        <v>32.799999999999997</v>
      </c>
      <c r="J995" s="381">
        <v>32.799999999999997</v>
      </c>
      <c r="K995" s="381">
        <v>4</v>
      </c>
      <c r="L995" s="381">
        <v>0</v>
      </c>
      <c r="M995" s="381" t="s">
        <v>148</v>
      </c>
      <c r="N995" s="381" t="s">
        <v>149</v>
      </c>
      <c r="O995" s="381" t="s">
        <v>150</v>
      </c>
      <c r="P995" s="381" t="s">
        <v>151</v>
      </c>
      <c r="Q995" s="381"/>
      <c r="R995" s="381" t="s">
        <v>5797</v>
      </c>
      <c r="S995" s="381"/>
      <c r="T995" s="381" t="s">
        <v>2914</v>
      </c>
      <c r="U995" s="381" t="s">
        <v>152</v>
      </c>
      <c r="V995" s="381" t="s">
        <v>23</v>
      </c>
    </row>
    <row r="996" spans="2:22">
      <c r="B996" s="383">
        <v>46249</v>
      </c>
      <c r="C996" s="383">
        <v>46249</v>
      </c>
      <c r="D996" s="381" t="s">
        <v>5798</v>
      </c>
      <c r="E996" s="382" t="s">
        <v>5799</v>
      </c>
      <c r="F996" s="381" t="s">
        <v>87</v>
      </c>
      <c r="G996" s="381" t="s">
        <v>4000</v>
      </c>
      <c r="H996" s="387">
        <v>50</v>
      </c>
      <c r="I996" s="381">
        <v>23.4</v>
      </c>
      <c r="J996" s="381">
        <v>23.4</v>
      </c>
      <c r="K996" s="381">
        <v>5</v>
      </c>
      <c r="L996" s="381">
        <v>0</v>
      </c>
      <c r="M996" s="381" t="s">
        <v>148</v>
      </c>
      <c r="N996" s="381" t="s">
        <v>149</v>
      </c>
      <c r="O996" s="381" t="s">
        <v>150</v>
      </c>
      <c r="P996" s="381" t="s">
        <v>151</v>
      </c>
      <c r="Q996" s="381"/>
      <c r="R996" s="381" t="s">
        <v>5799</v>
      </c>
      <c r="S996" s="381"/>
      <c r="T996" s="381" t="s">
        <v>2914</v>
      </c>
      <c r="U996" s="381" t="s">
        <v>152</v>
      </c>
      <c r="V996" s="381" t="s">
        <v>23</v>
      </c>
    </row>
    <row r="997" spans="2:22">
      <c r="B997" s="383">
        <v>46249</v>
      </c>
      <c r="C997" s="383">
        <v>46249</v>
      </c>
      <c r="D997" s="381" t="s">
        <v>5800</v>
      </c>
      <c r="E997" s="382" t="s">
        <v>5801</v>
      </c>
      <c r="F997" s="381" t="s">
        <v>87</v>
      </c>
      <c r="G997" s="381" t="s">
        <v>2357</v>
      </c>
      <c r="H997" s="387">
        <v>40</v>
      </c>
      <c r="I997" s="381">
        <v>35.799999999999997</v>
      </c>
      <c r="J997" s="381">
        <v>35.799999999999997</v>
      </c>
      <c r="K997" s="381">
        <v>5</v>
      </c>
      <c r="L997" s="381">
        <v>0</v>
      </c>
      <c r="M997" s="381" t="s">
        <v>148</v>
      </c>
      <c r="N997" s="381" t="s">
        <v>149</v>
      </c>
      <c r="O997" s="381" t="s">
        <v>150</v>
      </c>
      <c r="P997" s="381" t="s">
        <v>151</v>
      </c>
      <c r="Q997" s="381"/>
      <c r="R997" s="381" t="s">
        <v>5801</v>
      </c>
      <c r="S997" s="381"/>
      <c r="T997" s="381" t="s">
        <v>2914</v>
      </c>
      <c r="U997" s="381" t="s">
        <v>152</v>
      </c>
      <c r="V997" s="381" t="s">
        <v>23</v>
      </c>
    </row>
    <row r="998" spans="2:22">
      <c r="B998" s="383">
        <v>46249</v>
      </c>
      <c r="C998" s="383">
        <v>46249</v>
      </c>
      <c r="D998" s="381" t="s">
        <v>5802</v>
      </c>
      <c r="E998" s="382" t="s">
        <v>5803</v>
      </c>
      <c r="F998" s="381" t="s">
        <v>87</v>
      </c>
      <c r="G998" s="381" t="s">
        <v>2515</v>
      </c>
      <c r="H998" s="387">
        <v>50</v>
      </c>
      <c r="I998" s="381">
        <v>39.799999999999997</v>
      </c>
      <c r="J998" s="381">
        <v>39.799999999999997</v>
      </c>
      <c r="K998" s="381">
        <v>5</v>
      </c>
      <c r="L998" s="381">
        <v>0</v>
      </c>
      <c r="M998" s="381" t="s">
        <v>148</v>
      </c>
      <c r="N998" s="381" t="s">
        <v>149</v>
      </c>
      <c r="O998" s="381" t="s">
        <v>150</v>
      </c>
      <c r="P998" s="381" t="s">
        <v>151</v>
      </c>
      <c r="Q998" s="381"/>
      <c r="R998" s="381" t="s">
        <v>5803</v>
      </c>
      <c r="S998" s="381"/>
      <c r="T998" s="381" t="s">
        <v>2914</v>
      </c>
      <c r="U998" s="381" t="s">
        <v>152</v>
      </c>
      <c r="V998" s="381" t="s">
        <v>23</v>
      </c>
    </row>
    <row r="999" spans="2:22">
      <c r="B999" s="383">
        <v>46249</v>
      </c>
      <c r="C999" s="383">
        <v>46249</v>
      </c>
      <c r="D999" s="381" t="s">
        <v>5804</v>
      </c>
      <c r="E999" s="382" t="s">
        <v>5805</v>
      </c>
      <c r="F999" s="381" t="s">
        <v>87</v>
      </c>
      <c r="G999" s="381" t="s">
        <v>5097</v>
      </c>
      <c r="H999" s="387">
        <v>25</v>
      </c>
      <c r="I999" s="381">
        <v>27.3</v>
      </c>
      <c r="J999" s="381">
        <v>27.3</v>
      </c>
      <c r="K999" s="381">
        <v>4</v>
      </c>
      <c r="L999" s="381">
        <v>0</v>
      </c>
      <c r="M999" s="381" t="s">
        <v>148</v>
      </c>
      <c r="N999" s="381" t="s">
        <v>149</v>
      </c>
      <c r="O999" s="381" t="s">
        <v>150</v>
      </c>
      <c r="P999" s="381" t="s">
        <v>151</v>
      </c>
      <c r="Q999" s="381"/>
      <c r="R999" s="381" t="s">
        <v>5805</v>
      </c>
      <c r="S999" s="381"/>
      <c r="T999" s="381" t="s">
        <v>2914</v>
      </c>
      <c r="U999" s="381" t="s">
        <v>152</v>
      </c>
      <c r="V999" s="381" t="s">
        <v>23</v>
      </c>
    </row>
    <row r="1000" spans="2:22">
      <c r="B1000" s="383">
        <v>46249</v>
      </c>
      <c r="C1000" s="383">
        <v>46249</v>
      </c>
      <c r="D1000" s="381" t="s">
        <v>5806</v>
      </c>
      <c r="E1000" s="382" t="s">
        <v>5807</v>
      </c>
      <c r="F1000" s="381" t="s">
        <v>87</v>
      </c>
      <c r="G1000" s="381" t="s">
        <v>1678</v>
      </c>
      <c r="H1000" s="387">
        <v>30</v>
      </c>
      <c r="I1000" s="381">
        <v>26.4</v>
      </c>
      <c r="J1000" s="381">
        <v>26.4</v>
      </c>
      <c r="K1000" s="381">
        <v>4</v>
      </c>
      <c r="L1000" s="381">
        <v>0</v>
      </c>
      <c r="M1000" s="381" t="s">
        <v>148</v>
      </c>
      <c r="N1000" s="381" t="s">
        <v>149</v>
      </c>
      <c r="O1000" s="381" t="s">
        <v>150</v>
      </c>
      <c r="P1000" s="381" t="s">
        <v>151</v>
      </c>
      <c r="Q1000" s="381"/>
      <c r="R1000" s="381" t="s">
        <v>5807</v>
      </c>
      <c r="S1000" s="381"/>
      <c r="T1000" s="381" t="s">
        <v>2914</v>
      </c>
      <c r="U1000" s="381" t="s">
        <v>152</v>
      </c>
      <c r="V1000" s="381" t="s">
        <v>23</v>
      </c>
    </row>
    <row r="1001" spans="2:22">
      <c r="B1001" s="383">
        <v>46249</v>
      </c>
      <c r="C1001" s="383">
        <v>46249</v>
      </c>
      <c r="D1001" s="381" t="s">
        <v>5808</v>
      </c>
      <c r="E1001" s="382" t="s">
        <v>5809</v>
      </c>
      <c r="F1001" s="381" t="s">
        <v>87</v>
      </c>
      <c r="G1001" s="381" t="s">
        <v>1678</v>
      </c>
      <c r="H1001" s="387">
        <v>30</v>
      </c>
      <c r="I1001" s="381">
        <v>28.3</v>
      </c>
      <c r="J1001" s="381">
        <v>28.3</v>
      </c>
      <c r="K1001" s="381">
        <v>4</v>
      </c>
      <c r="L1001" s="381">
        <v>0</v>
      </c>
      <c r="M1001" s="381" t="s">
        <v>148</v>
      </c>
      <c r="N1001" s="381" t="s">
        <v>149</v>
      </c>
      <c r="O1001" s="381" t="s">
        <v>150</v>
      </c>
      <c r="P1001" s="381" t="s">
        <v>151</v>
      </c>
      <c r="Q1001" s="381"/>
      <c r="R1001" s="381" t="s">
        <v>5809</v>
      </c>
      <c r="S1001" s="381"/>
      <c r="T1001" s="381" t="s">
        <v>2914</v>
      </c>
      <c r="U1001" s="381" t="s">
        <v>152</v>
      </c>
      <c r="V1001" s="381" t="s">
        <v>23</v>
      </c>
    </row>
    <row r="1002" spans="2:22">
      <c r="B1002" s="383">
        <v>46249</v>
      </c>
      <c r="C1002" s="383">
        <v>46249</v>
      </c>
      <c r="D1002" s="381" t="s">
        <v>5810</v>
      </c>
      <c r="E1002" s="382" t="s">
        <v>5811</v>
      </c>
      <c r="F1002" s="381" t="s">
        <v>87</v>
      </c>
      <c r="G1002" s="381" t="s">
        <v>2334</v>
      </c>
      <c r="H1002" s="387">
        <v>40</v>
      </c>
      <c r="I1002" s="381">
        <v>35.799999999999997</v>
      </c>
      <c r="J1002" s="381">
        <v>35.799999999999997</v>
      </c>
      <c r="K1002" s="381">
        <v>5</v>
      </c>
      <c r="L1002" s="381">
        <v>0</v>
      </c>
      <c r="M1002" s="381" t="s">
        <v>148</v>
      </c>
      <c r="N1002" s="381" t="s">
        <v>149</v>
      </c>
      <c r="O1002" s="381" t="s">
        <v>150</v>
      </c>
      <c r="P1002" s="381" t="s">
        <v>151</v>
      </c>
      <c r="Q1002" s="381"/>
      <c r="R1002" s="381" t="s">
        <v>5811</v>
      </c>
      <c r="S1002" s="381"/>
      <c r="T1002" s="381" t="s">
        <v>2914</v>
      </c>
      <c r="U1002" s="381" t="s">
        <v>152</v>
      </c>
      <c r="V1002" s="381" t="s">
        <v>23</v>
      </c>
    </row>
    <row r="1003" spans="2:22">
      <c r="B1003" s="383">
        <v>46249</v>
      </c>
      <c r="C1003" s="383">
        <v>46249</v>
      </c>
      <c r="D1003" s="381" t="s">
        <v>5812</v>
      </c>
      <c r="E1003" s="382" t="s">
        <v>5813</v>
      </c>
      <c r="F1003" s="381" t="s">
        <v>87</v>
      </c>
      <c r="G1003" s="381" t="s">
        <v>2357</v>
      </c>
      <c r="H1003" s="387">
        <v>40</v>
      </c>
      <c r="I1003" s="381">
        <v>40.799999999999997</v>
      </c>
      <c r="J1003" s="381">
        <v>40.799999999999997</v>
      </c>
      <c r="K1003" s="381">
        <v>5</v>
      </c>
      <c r="L1003" s="381">
        <v>0</v>
      </c>
      <c r="M1003" s="381" t="s">
        <v>148</v>
      </c>
      <c r="N1003" s="381" t="s">
        <v>149</v>
      </c>
      <c r="O1003" s="381" t="s">
        <v>150</v>
      </c>
      <c r="P1003" s="381" t="s">
        <v>151</v>
      </c>
      <c r="Q1003" s="381"/>
      <c r="R1003" s="381" t="s">
        <v>5813</v>
      </c>
      <c r="S1003" s="381"/>
      <c r="T1003" s="381" t="s">
        <v>2914</v>
      </c>
      <c r="U1003" s="381" t="s">
        <v>152</v>
      </c>
      <c r="V1003" s="381" t="s">
        <v>23</v>
      </c>
    </row>
    <row r="1004" spans="2:22">
      <c r="B1004" s="383">
        <v>46249</v>
      </c>
      <c r="C1004" s="383">
        <v>46249</v>
      </c>
      <c r="D1004" s="381" t="s">
        <v>5814</v>
      </c>
      <c r="E1004" s="382" t="s">
        <v>5815</v>
      </c>
      <c r="F1004" s="381" t="s">
        <v>87</v>
      </c>
      <c r="G1004" s="381" t="s">
        <v>2334</v>
      </c>
      <c r="H1004" s="387">
        <v>40</v>
      </c>
      <c r="I1004" s="381">
        <v>35.5</v>
      </c>
      <c r="J1004" s="381">
        <v>35.5</v>
      </c>
      <c r="K1004" s="381">
        <v>5</v>
      </c>
      <c r="L1004" s="381">
        <v>0</v>
      </c>
      <c r="M1004" s="381" t="s">
        <v>148</v>
      </c>
      <c r="N1004" s="381" t="s">
        <v>149</v>
      </c>
      <c r="O1004" s="381" t="s">
        <v>150</v>
      </c>
      <c r="P1004" s="381" t="s">
        <v>151</v>
      </c>
      <c r="Q1004" s="381"/>
      <c r="R1004" s="381" t="s">
        <v>5815</v>
      </c>
      <c r="S1004" s="381"/>
      <c r="T1004" s="381" t="s">
        <v>2914</v>
      </c>
      <c r="U1004" s="381" t="s">
        <v>152</v>
      </c>
      <c r="V1004" s="381" t="s">
        <v>23</v>
      </c>
    </row>
    <row r="1005" spans="2:22">
      <c r="B1005" s="383">
        <v>46249</v>
      </c>
      <c r="C1005" s="383">
        <v>46249</v>
      </c>
      <c r="D1005" s="381" t="s">
        <v>5816</v>
      </c>
      <c r="E1005" s="382" t="s">
        <v>5817</v>
      </c>
      <c r="F1005" s="381" t="s">
        <v>87</v>
      </c>
      <c r="G1005" s="381" t="s">
        <v>4512</v>
      </c>
      <c r="H1005" s="387">
        <v>55</v>
      </c>
      <c r="I1005" s="381">
        <v>42.8</v>
      </c>
      <c r="J1005" s="381">
        <v>42.8</v>
      </c>
      <c r="K1005" s="381">
        <v>5</v>
      </c>
      <c r="L1005" s="381">
        <v>0</v>
      </c>
      <c r="M1005" s="381" t="s">
        <v>148</v>
      </c>
      <c r="N1005" s="381" t="s">
        <v>149</v>
      </c>
      <c r="O1005" s="381" t="s">
        <v>150</v>
      </c>
      <c r="P1005" s="381" t="s">
        <v>151</v>
      </c>
      <c r="Q1005" s="381"/>
      <c r="R1005" s="381" t="s">
        <v>5817</v>
      </c>
      <c r="S1005" s="381"/>
      <c r="T1005" s="381" t="s">
        <v>2914</v>
      </c>
      <c r="U1005" s="381" t="s">
        <v>152</v>
      </c>
      <c r="V1005" s="381" t="s">
        <v>23</v>
      </c>
    </row>
    <row r="1006" spans="2:22">
      <c r="B1006" s="383">
        <v>46249</v>
      </c>
      <c r="C1006" s="383">
        <v>46249</v>
      </c>
      <c r="D1006" s="381" t="s">
        <v>5818</v>
      </c>
      <c r="E1006" s="382" t="s">
        <v>5819</v>
      </c>
      <c r="F1006" s="381" t="s">
        <v>87</v>
      </c>
      <c r="G1006" s="381" t="s">
        <v>5097</v>
      </c>
      <c r="H1006" s="387">
        <v>25</v>
      </c>
      <c r="I1006" s="381">
        <v>20.5</v>
      </c>
      <c r="J1006" s="381">
        <v>20.5</v>
      </c>
      <c r="K1006" s="381">
        <v>4</v>
      </c>
      <c r="L1006" s="381">
        <v>0</v>
      </c>
      <c r="M1006" s="381" t="s">
        <v>148</v>
      </c>
      <c r="N1006" s="381" t="s">
        <v>149</v>
      </c>
      <c r="O1006" s="381" t="s">
        <v>150</v>
      </c>
      <c r="P1006" s="381" t="s">
        <v>151</v>
      </c>
      <c r="Q1006" s="381"/>
      <c r="R1006" s="381" t="s">
        <v>5819</v>
      </c>
      <c r="S1006" s="381"/>
      <c r="T1006" s="381" t="s">
        <v>2914</v>
      </c>
      <c r="U1006" s="381" t="s">
        <v>152</v>
      </c>
      <c r="V1006" s="381" t="s">
        <v>23</v>
      </c>
    </row>
    <row r="1007" spans="2:22">
      <c r="B1007" s="383">
        <v>46249</v>
      </c>
      <c r="C1007" s="383">
        <v>46249</v>
      </c>
      <c r="D1007" s="381" t="s">
        <v>5820</v>
      </c>
      <c r="E1007" s="382" t="s">
        <v>5821</v>
      </c>
      <c r="F1007" s="381" t="s">
        <v>87</v>
      </c>
      <c r="G1007" s="381" t="s">
        <v>2334</v>
      </c>
      <c r="H1007" s="387">
        <v>40</v>
      </c>
      <c r="I1007" s="381">
        <v>47.8</v>
      </c>
      <c r="J1007" s="381">
        <v>47.8</v>
      </c>
      <c r="K1007" s="381">
        <v>5</v>
      </c>
      <c r="L1007" s="381">
        <v>0</v>
      </c>
      <c r="M1007" s="381" t="s">
        <v>148</v>
      </c>
      <c r="N1007" s="381" t="s">
        <v>149</v>
      </c>
      <c r="O1007" s="381" t="s">
        <v>150</v>
      </c>
      <c r="P1007" s="381" t="s">
        <v>151</v>
      </c>
      <c r="Q1007" s="381"/>
      <c r="R1007" s="381" t="s">
        <v>5821</v>
      </c>
      <c r="S1007" s="381"/>
      <c r="T1007" s="381" t="s">
        <v>2914</v>
      </c>
      <c r="U1007" s="381" t="s">
        <v>152</v>
      </c>
      <c r="V1007" s="381" t="s">
        <v>23</v>
      </c>
    </row>
    <row r="1008" spans="2:22">
      <c r="B1008" s="383">
        <v>46249</v>
      </c>
      <c r="C1008" s="383">
        <v>46249</v>
      </c>
      <c r="D1008" s="381" t="s">
        <v>5822</v>
      </c>
      <c r="E1008" s="382" t="s">
        <v>5823</v>
      </c>
      <c r="F1008" s="381" t="s">
        <v>87</v>
      </c>
      <c r="G1008" s="381" t="s">
        <v>2357</v>
      </c>
      <c r="H1008" s="387">
        <v>40</v>
      </c>
      <c r="I1008" s="381">
        <v>37.799999999999997</v>
      </c>
      <c r="J1008" s="381">
        <v>37.799999999999997</v>
      </c>
      <c r="K1008" s="381">
        <v>5</v>
      </c>
      <c r="L1008" s="381">
        <v>0</v>
      </c>
      <c r="M1008" s="381" t="s">
        <v>148</v>
      </c>
      <c r="N1008" s="381" t="s">
        <v>149</v>
      </c>
      <c r="O1008" s="381" t="s">
        <v>150</v>
      </c>
      <c r="P1008" s="381" t="s">
        <v>151</v>
      </c>
      <c r="Q1008" s="381"/>
      <c r="R1008" s="381" t="s">
        <v>5823</v>
      </c>
      <c r="S1008" s="381"/>
      <c r="T1008" s="381" t="s">
        <v>2914</v>
      </c>
      <c r="U1008" s="381" t="s">
        <v>152</v>
      </c>
      <c r="V1008" s="381" t="s">
        <v>23</v>
      </c>
    </row>
    <row r="1009" spans="2:22">
      <c r="B1009" s="383">
        <v>46249</v>
      </c>
      <c r="C1009" s="383">
        <v>46249</v>
      </c>
      <c r="D1009" s="381" t="s">
        <v>5824</v>
      </c>
      <c r="E1009" s="382" t="s">
        <v>5825</v>
      </c>
      <c r="F1009" s="381" t="s">
        <v>87</v>
      </c>
      <c r="G1009" s="381" t="s">
        <v>1678</v>
      </c>
      <c r="H1009" s="387">
        <v>30</v>
      </c>
      <c r="I1009" s="381">
        <v>19.8</v>
      </c>
      <c r="J1009" s="381">
        <v>19.8</v>
      </c>
      <c r="K1009" s="381">
        <v>4</v>
      </c>
      <c r="L1009" s="381">
        <v>0</v>
      </c>
      <c r="M1009" s="381" t="s">
        <v>148</v>
      </c>
      <c r="N1009" s="381" t="s">
        <v>149</v>
      </c>
      <c r="O1009" s="381" t="s">
        <v>150</v>
      </c>
      <c r="P1009" s="381" t="s">
        <v>151</v>
      </c>
      <c r="Q1009" s="381"/>
      <c r="R1009" s="381" t="s">
        <v>5825</v>
      </c>
      <c r="S1009" s="381"/>
      <c r="T1009" s="381" t="s">
        <v>2914</v>
      </c>
      <c r="U1009" s="381" t="s">
        <v>152</v>
      </c>
      <c r="V1009" s="381" t="s">
        <v>23</v>
      </c>
    </row>
    <row r="1010" spans="2:22">
      <c r="B1010" s="383">
        <v>46249</v>
      </c>
      <c r="C1010" s="383">
        <v>46249</v>
      </c>
      <c r="D1010" s="381" t="s">
        <v>5826</v>
      </c>
      <c r="E1010" s="382" t="s">
        <v>5827</v>
      </c>
      <c r="F1010" s="381" t="s">
        <v>87</v>
      </c>
      <c r="G1010" s="381" t="s">
        <v>4000</v>
      </c>
      <c r="H1010" s="387">
        <v>50</v>
      </c>
      <c r="I1010" s="381">
        <v>33.4</v>
      </c>
      <c r="J1010" s="381">
        <v>33.4</v>
      </c>
      <c r="K1010" s="381">
        <v>5</v>
      </c>
      <c r="L1010" s="381">
        <v>0</v>
      </c>
      <c r="M1010" s="381" t="s">
        <v>148</v>
      </c>
      <c r="N1010" s="381" t="s">
        <v>149</v>
      </c>
      <c r="O1010" s="381" t="s">
        <v>150</v>
      </c>
      <c r="P1010" s="381" t="s">
        <v>151</v>
      </c>
      <c r="Q1010" s="381"/>
      <c r="R1010" s="381" t="s">
        <v>5827</v>
      </c>
      <c r="S1010" s="381"/>
      <c r="T1010" s="381" t="s">
        <v>2914</v>
      </c>
      <c r="U1010" s="381" t="s">
        <v>152</v>
      </c>
      <c r="V1010" s="381" t="s">
        <v>23</v>
      </c>
    </row>
    <row r="1011" spans="2:22">
      <c r="B1011" s="383">
        <v>46249</v>
      </c>
      <c r="C1011" s="383">
        <v>46249</v>
      </c>
      <c r="D1011" s="381" t="s">
        <v>5828</v>
      </c>
      <c r="E1011" s="382" t="s">
        <v>5829</v>
      </c>
      <c r="F1011" s="381" t="s">
        <v>87</v>
      </c>
      <c r="G1011" s="381" t="s">
        <v>2512</v>
      </c>
      <c r="H1011" s="387">
        <v>40</v>
      </c>
      <c r="I1011" s="381">
        <v>11.4</v>
      </c>
      <c r="J1011" s="381">
        <v>11.4</v>
      </c>
      <c r="K1011" s="381">
        <v>5</v>
      </c>
      <c r="L1011" s="381">
        <v>0</v>
      </c>
      <c r="M1011" s="381" t="s">
        <v>148</v>
      </c>
      <c r="N1011" s="381" t="s">
        <v>149</v>
      </c>
      <c r="O1011" s="381" t="s">
        <v>150</v>
      </c>
      <c r="P1011" s="381" t="s">
        <v>151</v>
      </c>
      <c r="Q1011" s="381"/>
      <c r="R1011" s="381" t="s">
        <v>5829</v>
      </c>
      <c r="S1011" s="381"/>
      <c r="T1011" s="381" t="s">
        <v>2914</v>
      </c>
      <c r="U1011" s="381" t="s">
        <v>152</v>
      </c>
      <c r="V1011" s="381" t="s">
        <v>23</v>
      </c>
    </row>
    <row r="1012" spans="2:22">
      <c r="B1012" s="383">
        <v>46249</v>
      </c>
      <c r="C1012" s="383">
        <v>46249</v>
      </c>
      <c r="D1012" s="381" t="s">
        <v>5830</v>
      </c>
      <c r="E1012" s="382" t="s">
        <v>5831</v>
      </c>
      <c r="F1012" s="381" t="s">
        <v>87</v>
      </c>
      <c r="G1012" s="381" t="s">
        <v>5793</v>
      </c>
      <c r="H1012" s="387">
        <v>35</v>
      </c>
      <c r="I1012" s="381">
        <v>9.8000000000000007</v>
      </c>
      <c r="J1012" s="381">
        <v>9.8000000000000007</v>
      </c>
      <c r="K1012" s="381">
        <v>4</v>
      </c>
      <c r="L1012" s="381">
        <v>0</v>
      </c>
      <c r="M1012" s="381" t="s">
        <v>148</v>
      </c>
      <c r="N1012" s="381" t="s">
        <v>149</v>
      </c>
      <c r="O1012" s="381" t="s">
        <v>150</v>
      </c>
      <c r="P1012" s="381" t="s">
        <v>151</v>
      </c>
      <c r="Q1012" s="381"/>
      <c r="R1012" s="381" t="s">
        <v>5831</v>
      </c>
      <c r="S1012" s="381"/>
      <c r="T1012" s="381" t="s">
        <v>2914</v>
      </c>
      <c r="U1012" s="381" t="s">
        <v>152</v>
      </c>
      <c r="V1012" s="381" t="s">
        <v>23</v>
      </c>
    </row>
    <row r="1013" spans="2:22">
      <c r="B1013" s="383">
        <v>46249</v>
      </c>
      <c r="C1013" s="383">
        <v>46249</v>
      </c>
      <c r="D1013" s="381" t="s">
        <v>5832</v>
      </c>
      <c r="E1013" s="382" t="s">
        <v>5833</v>
      </c>
      <c r="F1013" s="381" t="s">
        <v>87</v>
      </c>
      <c r="G1013" s="381" t="s">
        <v>4000</v>
      </c>
      <c r="H1013" s="387">
        <v>50</v>
      </c>
      <c r="I1013" s="381">
        <v>32.5</v>
      </c>
      <c r="J1013" s="381">
        <v>32.5</v>
      </c>
      <c r="K1013" s="381">
        <v>5</v>
      </c>
      <c r="L1013" s="381">
        <v>0</v>
      </c>
      <c r="M1013" s="381" t="s">
        <v>148</v>
      </c>
      <c r="N1013" s="381" t="s">
        <v>149</v>
      </c>
      <c r="O1013" s="381" t="s">
        <v>150</v>
      </c>
      <c r="P1013" s="381" t="s">
        <v>151</v>
      </c>
      <c r="Q1013" s="381"/>
      <c r="R1013" s="381" t="s">
        <v>5833</v>
      </c>
      <c r="S1013" s="381"/>
      <c r="T1013" s="381" t="s">
        <v>2914</v>
      </c>
      <c r="U1013" s="381" t="s">
        <v>152</v>
      </c>
      <c r="V1013" s="381" t="s">
        <v>23</v>
      </c>
    </row>
    <row r="1014" spans="2:22">
      <c r="B1014" s="383">
        <v>46249</v>
      </c>
      <c r="C1014" s="383">
        <v>46249</v>
      </c>
      <c r="D1014" s="381" t="s">
        <v>5834</v>
      </c>
      <c r="E1014" s="382" t="s">
        <v>5835</v>
      </c>
      <c r="F1014" s="381" t="s">
        <v>87</v>
      </c>
      <c r="G1014" s="381" t="s">
        <v>2334</v>
      </c>
      <c r="H1014" s="387">
        <v>40</v>
      </c>
      <c r="I1014" s="381">
        <v>30.8</v>
      </c>
      <c r="J1014" s="381">
        <v>30.8</v>
      </c>
      <c r="K1014" s="381">
        <v>5</v>
      </c>
      <c r="L1014" s="381">
        <v>0</v>
      </c>
      <c r="M1014" s="381" t="s">
        <v>148</v>
      </c>
      <c r="N1014" s="381" t="s">
        <v>149</v>
      </c>
      <c r="O1014" s="381" t="s">
        <v>150</v>
      </c>
      <c r="P1014" s="381" t="s">
        <v>151</v>
      </c>
      <c r="Q1014" s="381"/>
      <c r="R1014" s="381" t="s">
        <v>5835</v>
      </c>
      <c r="S1014" s="381"/>
      <c r="T1014" s="381" t="s">
        <v>2914</v>
      </c>
      <c r="U1014" s="381" t="s">
        <v>152</v>
      </c>
      <c r="V1014" s="381" t="s">
        <v>23</v>
      </c>
    </row>
    <row r="1015" spans="2:22">
      <c r="B1015" s="383">
        <v>46249</v>
      </c>
      <c r="C1015" s="383">
        <v>46249</v>
      </c>
      <c r="D1015" s="381" t="s">
        <v>5836</v>
      </c>
      <c r="E1015" s="382" t="s">
        <v>5837</v>
      </c>
      <c r="F1015" s="381" t="s">
        <v>87</v>
      </c>
      <c r="G1015" s="381" t="s">
        <v>2357</v>
      </c>
      <c r="H1015" s="387">
        <v>40</v>
      </c>
      <c r="I1015" s="381">
        <v>26.4</v>
      </c>
      <c r="J1015" s="381">
        <v>26.4</v>
      </c>
      <c r="K1015" s="381">
        <v>5</v>
      </c>
      <c r="L1015" s="381">
        <v>0</v>
      </c>
      <c r="M1015" s="381" t="s">
        <v>148</v>
      </c>
      <c r="N1015" s="381" t="s">
        <v>149</v>
      </c>
      <c r="O1015" s="381" t="s">
        <v>150</v>
      </c>
      <c r="P1015" s="381" t="s">
        <v>151</v>
      </c>
      <c r="Q1015" s="381"/>
      <c r="R1015" s="381" t="s">
        <v>5837</v>
      </c>
      <c r="S1015" s="381"/>
      <c r="T1015" s="381" t="s">
        <v>2914</v>
      </c>
      <c r="U1015" s="381" t="s">
        <v>152</v>
      </c>
      <c r="V1015" s="381" t="s">
        <v>23</v>
      </c>
    </row>
    <row r="1016" spans="2:22">
      <c r="B1016" s="383">
        <v>46249</v>
      </c>
      <c r="C1016" s="383">
        <v>46249</v>
      </c>
      <c r="D1016" s="381" t="s">
        <v>5838</v>
      </c>
      <c r="E1016" s="382" t="s">
        <v>5839</v>
      </c>
      <c r="F1016" s="381" t="s">
        <v>87</v>
      </c>
      <c r="G1016" s="381" t="s">
        <v>5097</v>
      </c>
      <c r="H1016" s="387">
        <v>25</v>
      </c>
      <c r="I1016" s="381">
        <v>21.3</v>
      </c>
      <c r="J1016" s="381">
        <v>21.3</v>
      </c>
      <c r="K1016" s="381">
        <v>4</v>
      </c>
      <c r="L1016" s="381">
        <v>0</v>
      </c>
      <c r="M1016" s="381" t="s">
        <v>148</v>
      </c>
      <c r="N1016" s="381" t="s">
        <v>149</v>
      </c>
      <c r="O1016" s="381" t="s">
        <v>150</v>
      </c>
      <c r="P1016" s="381" t="s">
        <v>151</v>
      </c>
      <c r="Q1016" s="381"/>
      <c r="R1016" s="381" t="s">
        <v>5839</v>
      </c>
      <c r="S1016" s="381"/>
      <c r="T1016" s="381" t="s">
        <v>2914</v>
      </c>
      <c r="U1016" s="381" t="s">
        <v>152</v>
      </c>
      <c r="V1016" s="381" t="s">
        <v>23</v>
      </c>
    </row>
    <row r="1017" spans="2:22">
      <c r="B1017" s="383">
        <v>46249</v>
      </c>
      <c r="C1017" s="383">
        <v>46249</v>
      </c>
      <c r="D1017" s="381" t="s">
        <v>5840</v>
      </c>
      <c r="E1017" s="382" t="s">
        <v>5841</v>
      </c>
      <c r="F1017" s="381" t="s">
        <v>87</v>
      </c>
      <c r="G1017" s="381" t="s">
        <v>2334</v>
      </c>
      <c r="H1017" s="387">
        <v>40</v>
      </c>
      <c r="I1017" s="381">
        <v>38</v>
      </c>
      <c r="J1017" s="381">
        <v>38</v>
      </c>
      <c r="K1017" s="381">
        <v>5</v>
      </c>
      <c r="L1017" s="381">
        <v>0</v>
      </c>
      <c r="M1017" s="381" t="s">
        <v>148</v>
      </c>
      <c r="N1017" s="381" t="s">
        <v>149</v>
      </c>
      <c r="O1017" s="381" t="s">
        <v>150</v>
      </c>
      <c r="P1017" s="381" t="s">
        <v>151</v>
      </c>
      <c r="Q1017" s="381"/>
      <c r="R1017" s="381" t="s">
        <v>5841</v>
      </c>
      <c r="S1017" s="381"/>
      <c r="T1017" s="381" t="s">
        <v>2914</v>
      </c>
      <c r="U1017" s="381" t="s">
        <v>152</v>
      </c>
      <c r="V1017" s="381" t="s">
        <v>23</v>
      </c>
    </row>
    <row r="1018" spans="2:22">
      <c r="B1018" s="383">
        <v>46249</v>
      </c>
      <c r="C1018" s="383">
        <v>46249</v>
      </c>
      <c r="D1018" s="381" t="s">
        <v>5842</v>
      </c>
      <c r="E1018" s="382" t="s">
        <v>5843</v>
      </c>
      <c r="F1018" s="381" t="s">
        <v>87</v>
      </c>
      <c r="G1018" s="381" t="s">
        <v>1678</v>
      </c>
      <c r="H1018" s="387">
        <v>30</v>
      </c>
      <c r="I1018" s="381">
        <v>28.3</v>
      </c>
      <c r="J1018" s="381">
        <v>28.3</v>
      </c>
      <c r="K1018" s="381">
        <v>4</v>
      </c>
      <c r="L1018" s="381">
        <v>0</v>
      </c>
      <c r="M1018" s="381" t="s">
        <v>148</v>
      </c>
      <c r="N1018" s="381" t="s">
        <v>149</v>
      </c>
      <c r="O1018" s="381" t="s">
        <v>150</v>
      </c>
      <c r="P1018" s="381" t="s">
        <v>151</v>
      </c>
      <c r="Q1018" s="381"/>
      <c r="R1018" s="381" t="s">
        <v>5843</v>
      </c>
      <c r="S1018" s="381"/>
      <c r="T1018" s="381" t="s">
        <v>2914</v>
      </c>
      <c r="U1018" s="381" t="s">
        <v>152</v>
      </c>
      <c r="V1018" s="381" t="s">
        <v>23</v>
      </c>
    </row>
    <row r="1019" spans="2:22">
      <c r="B1019" s="383">
        <v>46249</v>
      </c>
      <c r="C1019" s="383">
        <v>46249</v>
      </c>
      <c r="D1019" s="381" t="s">
        <v>5844</v>
      </c>
      <c r="E1019" s="382" t="s">
        <v>5845</v>
      </c>
      <c r="F1019" s="381" t="s">
        <v>87</v>
      </c>
      <c r="G1019" s="381" t="s">
        <v>4000</v>
      </c>
      <c r="H1019" s="387">
        <v>50</v>
      </c>
      <c r="I1019" s="381">
        <v>43.8</v>
      </c>
      <c r="J1019" s="381">
        <v>43.8</v>
      </c>
      <c r="K1019" s="381">
        <v>5</v>
      </c>
      <c r="L1019" s="381">
        <v>0</v>
      </c>
      <c r="M1019" s="381" t="s">
        <v>148</v>
      </c>
      <c r="N1019" s="381" t="s">
        <v>149</v>
      </c>
      <c r="O1019" s="381" t="s">
        <v>150</v>
      </c>
      <c r="P1019" s="381" t="s">
        <v>151</v>
      </c>
      <c r="Q1019" s="381"/>
      <c r="R1019" s="381" t="s">
        <v>5845</v>
      </c>
      <c r="S1019" s="381"/>
      <c r="T1019" s="381" t="s">
        <v>2914</v>
      </c>
      <c r="U1019" s="381" t="s">
        <v>152</v>
      </c>
      <c r="V1019" s="381" t="s">
        <v>23</v>
      </c>
    </row>
    <row r="1020" spans="2:22">
      <c r="B1020" s="383">
        <v>46249</v>
      </c>
      <c r="C1020" s="383">
        <v>46249</v>
      </c>
      <c r="D1020" s="381" t="s">
        <v>5846</v>
      </c>
      <c r="E1020" s="382" t="s">
        <v>5847</v>
      </c>
      <c r="F1020" s="381" t="s">
        <v>87</v>
      </c>
      <c r="G1020" s="381" t="s">
        <v>2404</v>
      </c>
      <c r="H1020" s="387">
        <v>40</v>
      </c>
      <c r="I1020" s="381">
        <v>35.799999999999997</v>
      </c>
      <c r="J1020" s="381">
        <v>35.799999999999997</v>
      </c>
      <c r="K1020" s="381">
        <v>5</v>
      </c>
      <c r="L1020" s="381">
        <v>0</v>
      </c>
      <c r="M1020" s="381" t="s">
        <v>148</v>
      </c>
      <c r="N1020" s="381" t="s">
        <v>149</v>
      </c>
      <c r="O1020" s="381" t="s">
        <v>150</v>
      </c>
      <c r="P1020" s="381" t="s">
        <v>151</v>
      </c>
      <c r="Q1020" s="381"/>
      <c r="R1020" s="381" t="s">
        <v>5847</v>
      </c>
      <c r="S1020" s="381"/>
      <c r="T1020" s="381" t="s">
        <v>2914</v>
      </c>
      <c r="U1020" s="381" t="s">
        <v>152</v>
      </c>
      <c r="V1020" s="381" t="s">
        <v>23</v>
      </c>
    </row>
    <row r="1021" spans="2:22">
      <c r="B1021" s="383">
        <v>46249</v>
      </c>
      <c r="C1021" s="383">
        <v>46249</v>
      </c>
      <c r="D1021" s="381" t="s">
        <v>5848</v>
      </c>
      <c r="E1021" s="382" t="s">
        <v>5849</v>
      </c>
      <c r="F1021" s="381" t="s">
        <v>87</v>
      </c>
      <c r="G1021" s="381" t="s">
        <v>2404</v>
      </c>
      <c r="H1021" s="387">
        <v>40</v>
      </c>
      <c r="I1021" s="381">
        <v>21.8</v>
      </c>
      <c r="J1021" s="381">
        <v>21.8</v>
      </c>
      <c r="K1021" s="381">
        <v>5</v>
      </c>
      <c r="L1021" s="381">
        <v>0</v>
      </c>
      <c r="M1021" s="381" t="s">
        <v>148</v>
      </c>
      <c r="N1021" s="381" t="s">
        <v>149</v>
      </c>
      <c r="O1021" s="381" t="s">
        <v>150</v>
      </c>
      <c r="P1021" s="381" t="s">
        <v>151</v>
      </c>
      <c r="Q1021" s="381"/>
      <c r="R1021" s="381" t="s">
        <v>5849</v>
      </c>
      <c r="S1021" s="381"/>
      <c r="T1021" s="381" t="s">
        <v>2914</v>
      </c>
      <c r="U1021" s="381" t="s">
        <v>152</v>
      </c>
      <c r="V1021" s="381" t="s">
        <v>23</v>
      </c>
    </row>
    <row r="1022" spans="2:22">
      <c r="B1022" s="383">
        <v>46249</v>
      </c>
      <c r="C1022" s="383">
        <v>46249</v>
      </c>
      <c r="D1022" s="381" t="s">
        <v>5850</v>
      </c>
      <c r="E1022" s="382" t="s">
        <v>5851</v>
      </c>
      <c r="F1022" s="381" t="s">
        <v>87</v>
      </c>
      <c r="G1022" s="381" t="s">
        <v>5731</v>
      </c>
      <c r="H1022" s="387">
        <v>35</v>
      </c>
      <c r="I1022" s="381">
        <v>35.299999999999997</v>
      </c>
      <c r="J1022" s="381">
        <v>35.299999999999997</v>
      </c>
      <c r="K1022" s="381">
        <v>4</v>
      </c>
      <c r="L1022" s="381">
        <v>0</v>
      </c>
      <c r="M1022" s="381" t="s">
        <v>148</v>
      </c>
      <c r="N1022" s="381" t="s">
        <v>149</v>
      </c>
      <c r="O1022" s="381" t="s">
        <v>150</v>
      </c>
      <c r="P1022" s="381" t="s">
        <v>151</v>
      </c>
      <c r="Q1022" s="381"/>
      <c r="R1022" s="381" t="s">
        <v>5851</v>
      </c>
      <c r="S1022" s="381" t="s">
        <v>61</v>
      </c>
      <c r="T1022" s="381" t="s">
        <v>3368</v>
      </c>
      <c r="U1022" s="381" t="s">
        <v>152</v>
      </c>
      <c r="V1022" s="381" t="s">
        <v>23</v>
      </c>
    </row>
    <row r="1023" spans="2:22">
      <c r="B1023" s="383">
        <v>46249</v>
      </c>
      <c r="C1023" s="383">
        <v>46249</v>
      </c>
      <c r="D1023" s="381" t="s">
        <v>5852</v>
      </c>
      <c r="E1023" s="382" t="s">
        <v>5853</v>
      </c>
      <c r="F1023" s="381" t="s">
        <v>87</v>
      </c>
      <c r="G1023" s="381" t="s">
        <v>2515</v>
      </c>
      <c r="H1023" s="387">
        <v>50</v>
      </c>
      <c r="I1023" s="381">
        <v>37.799999999999997</v>
      </c>
      <c r="J1023" s="381">
        <v>37.799999999999997</v>
      </c>
      <c r="K1023" s="381">
        <v>5</v>
      </c>
      <c r="L1023" s="381">
        <v>0</v>
      </c>
      <c r="M1023" s="381" t="s">
        <v>148</v>
      </c>
      <c r="N1023" s="381" t="s">
        <v>149</v>
      </c>
      <c r="O1023" s="381" t="s">
        <v>150</v>
      </c>
      <c r="P1023" s="381" t="s">
        <v>151</v>
      </c>
      <c r="Q1023" s="381"/>
      <c r="R1023" s="381" t="s">
        <v>5853</v>
      </c>
      <c r="S1023" s="381"/>
      <c r="T1023" s="381" t="s">
        <v>2914</v>
      </c>
      <c r="U1023" s="381" t="s">
        <v>152</v>
      </c>
      <c r="V1023" s="381" t="s">
        <v>23</v>
      </c>
    </row>
    <row r="1024" spans="2:22">
      <c r="B1024" s="383">
        <v>46249</v>
      </c>
      <c r="C1024" s="383">
        <v>46249</v>
      </c>
      <c r="D1024" s="381" t="s">
        <v>5854</v>
      </c>
      <c r="E1024" s="382" t="s">
        <v>5855</v>
      </c>
      <c r="F1024" s="381" t="s">
        <v>87</v>
      </c>
      <c r="G1024" s="381" t="s">
        <v>2357</v>
      </c>
      <c r="H1024" s="387">
        <v>40</v>
      </c>
      <c r="I1024" s="381">
        <v>40.1</v>
      </c>
      <c r="J1024" s="381">
        <v>40.1</v>
      </c>
      <c r="K1024" s="381">
        <v>5</v>
      </c>
      <c r="L1024" s="381">
        <v>0</v>
      </c>
      <c r="M1024" s="381" t="s">
        <v>148</v>
      </c>
      <c r="N1024" s="381" t="s">
        <v>149</v>
      </c>
      <c r="O1024" s="381" t="s">
        <v>150</v>
      </c>
      <c r="P1024" s="381" t="s">
        <v>151</v>
      </c>
      <c r="Q1024" s="381"/>
      <c r="R1024" s="381" t="s">
        <v>5855</v>
      </c>
      <c r="S1024" s="381"/>
      <c r="T1024" s="381" t="s">
        <v>2914</v>
      </c>
      <c r="U1024" s="381" t="s">
        <v>152</v>
      </c>
      <c r="V1024" s="381" t="s">
        <v>23</v>
      </c>
    </row>
    <row r="1025" spans="2:22">
      <c r="B1025" s="383">
        <v>46249</v>
      </c>
      <c r="C1025" s="383">
        <v>46249</v>
      </c>
      <c r="D1025" s="381" t="s">
        <v>5856</v>
      </c>
      <c r="E1025" s="382" t="s">
        <v>5857</v>
      </c>
      <c r="F1025" s="381" t="s">
        <v>87</v>
      </c>
      <c r="G1025" s="381" t="s">
        <v>2334</v>
      </c>
      <c r="H1025" s="387">
        <v>40</v>
      </c>
      <c r="I1025" s="381">
        <v>46.5</v>
      </c>
      <c r="J1025" s="381">
        <v>46.5</v>
      </c>
      <c r="K1025" s="381">
        <v>5</v>
      </c>
      <c r="L1025" s="381">
        <v>0</v>
      </c>
      <c r="M1025" s="381" t="s">
        <v>148</v>
      </c>
      <c r="N1025" s="381" t="s">
        <v>149</v>
      </c>
      <c r="O1025" s="381" t="s">
        <v>150</v>
      </c>
      <c r="P1025" s="381" t="s">
        <v>151</v>
      </c>
      <c r="Q1025" s="381"/>
      <c r="R1025" s="381" t="s">
        <v>5857</v>
      </c>
      <c r="S1025" s="381"/>
      <c r="T1025" s="381" t="s">
        <v>2914</v>
      </c>
      <c r="U1025" s="381" t="s">
        <v>152</v>
      </c>
      <c r="V1025" s="381" t="s">
        <v>23</v>
      </c>
    </row>
    <row r="1026" spans="2:22">
      <c r="B1026" s="383">
        <v>46249</v>
      </c>
      <c r="C1026" s="383">
        <v>46249</v>
      </c>
      <c r="D1026" s="381" t="s">
        <v>5858</v>
      </c>
      <c r="E1026" s="382" t="s">
        <v>5859</v>
      </c>
      <c r="F1026" s="381" t="s">
        <v>87</v>
      </c>
      <c r="G1026" s="381" t="s">
        <v>2334</v>
      </c>
      <c r="H1026" s="387">
        <v>40</v>
      </c>
      <c r="I1026" s="381">
        <v>37.799999999999997</v>
      </c>
      <c r="J1026" s="381">
        <v>37.799999999999997</v>
      </c>
      <c r="K1026" s="381">
        <v>5</v>
      </c>
      <c r="L1026" s="381">
        <v>0</v>
      </c>
      <c r="M1026" s="381" t="s">
        <v>148</v>
      </c>
      <c r="N1026" s="381" t="s">
        <v>149</v>
      </c>
      <c r="O1026" s="381" t="s">
        <v>150</v>
      </c>
      <c r="P1026" s="381" t="s">
        <v>151</v>
      </c>
      <c r="Q1026" s="381"/>
      <c r="R1026" s="381" t="s">
        <v>5859</v>
      </c>
      <c r="S1026" s="381"/>
      <c r="T1026" s="381" t="s">
        <v>2914</v>
      </c>
      <c r="U1026" s="381" t="s">
        <v>152</v>
      </c>
      <c r="V1026" s="381" t="s">
        <v>23</v>
      </c>
    </row>
    <row r="1027" spans="2:22">
      <c r="B1027" s="383">
        <v>46250</v>
      </c>
      <c r="C1027" s="383">
        <v>46250</v>
      </c>
      <c r="D1027" s="381" t="s">
        <v>5860</v>
      </c>
      <c r="E1027" s="382" t="s">
        <v>5861</v>
      </c>
      <c r="F1027" s="381" t="s">
        <v>87</v>
      </c>
      <c r="G1027" s="381" t="s">
        <v>2357</v>
      </c>
      <c r="H1027" s="387">
        <v>40</v>
      </c>
      <c r="I1027" s="381">
        <v>21.4</v>
      </c>
      <c r="J1027" s="381">
        <v>21.4</v>
      </c>
      <c r="K1027" s="381">
        <v>5</v>
      </c>
      <c r="L1027" s="381">
        <v>0</v>
      </c>
      <c r="M1027" s="381" t="s">
        <v>148</v>
      </c>
      <c r="N1027" s="381" t="s">
        <v>149</v>
      </c>
      <c r="O1027" s="381" t="s">
        <v>150</v>
      </c>
      <c r="P1027" s="381" t="s">
        <v>151</v>
      </c>
      <c r="Q1027" s="381"/>
      <c r="R1027" s="381" t="s">
        <v>5861</v>
      </c>
      <c r="S1027" s="381"/>
      <c r="T1027" s="381" t="s">
        <v>2918</v>
      </c>
      <c r="U1027" s="381" t="s">
        <v>152</v>
      </c>
      <c r="V1027" s="381" t="s">
        <v>23</v>
      </c>
    </row>
    <row r="1028" spans="2:22">
      <c r="B1028" s="383">
        <v>46250</v>
      </c>
      <c r="C1028" s="383">
        <v>46250</v>
      </c>
      <c r="D1028" s="381" t="s">
        <v>5862</v>
      </c>
      <c r="E1028" s="382" t="s">
        <v>5863</v>
      </c>
      <c r="F1028" s="381" t="s">
        <v>87</v>
      </c>
      <c r="G1028" s="381" t="s">
        <v>5097</v>
      </c>
      <c r="H1028" s="387">
        <v>25</v>
      </c>
      <c r="I1028" s="381">
        <v>37.799999999999997</v>
      </c>
      <c r="J1028" s="381">
        <v>37.799999999999997</v>
      </c>
      <c r="K1028" s="381">
        <v>4</v>
      </c>
      <c r="L1028" s="381">
        <v>0</v>
      </c>
      <c r="M1028" s="381" t="s">
        <v>148</v>
      </c>
      <c r="N1028" s="381" t="s">
        <v>149</v>
      </c>
      <c r="O1028" s="381" t="s">
        <v>150</v>
      </c>
      <c r="P1028" s="381" t="s">
        <v>151</v>
      </c>
      <c r="Q1028" s="381"/>
      <c r="R1028" s="381" t="s">
        <v>5863</v>
      </c>
      <c r="S1028" s="381"/>
      <c r="T1028" s="381" t="s">
        <v>2918</v>
      </c>
      <c r="U1028" s="381" t="s">
        <v>152</v>
      </c>
      <c r="V1028" s="381" t="s">
        <v>23</v>
      </c>
    </row>
    <row r="1029" spans="2:22">
      <c r="B1029" s="383">
        <v>46250</v>
      </c>
      <c r="C1029" s="383">
        <v>46250</v>
      </c>
      <c r="D1029" s="381" t="s">
        <v>5864</v>
      </c>
      <c r="E1029" s="382" t="s">
        <v>5865</v>
      </c>
      <c r="F1029" s="381" t="s">
        <v>87</v>
      </c>
      <c r="G1029" s="381" t="s">
        <v>2334</v>
      </c>
      <c r="H1029" s="387">
        <v>40</v>
      </c>
      <c r="I1029" s="381">
        <v>21.8</v>
      </c>
      <c r="J1029" s="381">
        <v>21.8</v>
      </c>
      <c r="K1029" s="381">
        <v>5</v>
      </c>
      <c r="L1029" s="381">
        <v>0</v>
      </c>
      <c r="M1029" s="381" t="s">
        <v>148</v>
      </c>
      <c r="N1029" s="381" t="s">
        <v>149</v>
      </c>
      <c r="O1029" s="381" t="s">
        <v>150</v>
      </c>
      <c r="P1029" s="381" t="s">
        <v>151</v>
      </c>
      <c r="Q1029" s="381"/>
      <c r="R1029" s="381" t="s">
        <v>5865</v>
      </c>
      <c r="S1029" s="381"/>
      <c r="T1029" s="381" t="s">
        <v>2918</v>
      </c>
      <c r="U1029" s="381" t="s">
        <v>152</v>
      </c>
      <c r="V1029" s="381" t="s">
        <v>23</v>
      </c>
    </row>
    <row r="1030" spans="2:22">
      <c r="B1030" s="383">
        <v>46250</v>
      </c>
      <c r="C1030" s="383">
        <v>46250</v>
      </c>
      <c r="D1030" s="381" t="s">
        <v>5866</v>
      </c>
      <c r="E1030" s="382" t="s">
        <v>5867</v>
      </c>
      <c r="F1030" s="381" t="s">
        <v>87</v>
      </c>
      <c r="G1030" s="381" t="s">
        <v>4000</v>
      </c>
      <c r="H1030" s="387">
        <v>50</v>
      </c>
      <c r="I1030" s="381">
        <v>42.8</v>
      </c>
      <c r="J1030" s="381">
        <v>42.8</v>
      </c>
      <c r="K1030" s="381">
        <v>5</v>
      </c>
      <c r="L1030" s="381">
        <v>0</v>
      </c>
      <c r="M1030" s="381" t="s">
        <v>148</v>
      </c>
      <c r="N1030" s="381" t="s">
        <v>149</v>
      </c>
      <c r="O1030" s="381" t="s">
        <v>150</v>
      </c>
      <c r="P1030" s="381" t="s">
        <v>151</v>
      </c>
      <c r="Q1030" s="381"/>
      <c r="R1030" s="381" t="s">
        <v>5867</v>
      </c>
      <c r="S1030" s="381"/>
      <c r="T1030" s="381" t="s">
        <v>2918</v>
      </c>
      <c r="U1030" s="381" t="s">
        <v>152</v>
      </c>
      <c r="V1030" s="381" t="s">
        <v>23</v>
      </c>
    </row>
    <row r="1031" spans="2:22">
      <c r="B1031" s="383">
        <v>46250</v>
      </c>
      <c r="C1031" s="383">
        <v>46250</v>
      </c>
      <c r="D1031" s="381" t="s">
        <v>5868</v>
      </c>
      <c r="E1031" s="382" t="s">
        <v>5869</v>
      </c>
      <c r="F1031" s="381" t="s">
        <v>87</v>
      </c>
      <c r="G1031" s="381" t="s">
        <v>2357</v>
      </c>
      <c r="H1031" s="387">
        <v>40</v>
      </c>
      <c r="I1031" s="381">
        <v>41.8</v>
      </c>
      <c r="J1031" s="381">
        <v>41.8</v>
      </c>
      <c r="K1031" s="381">
        <v>5</v>
      </c>
      <c r="L1031" s="381">
        <v>0</v>
      </c>
      <c r="M1031" s="381" t="s">
        <v>148</v>
      </c>
      <c r="N1031" s="381" t="s">
        <v>149</v>
      </c>
      <c r="O1031" s="381" t="s">
        <v>150</v>
      </c>
      <c r="P1031" s="381" t="s">
        <v>151</v>
      </c>
      <c r="Q1031" s="381"/>
      <c r="R1031" s="381" t="s">
        <v>5869</v>
      </c>
      <c r="S1031" s="381"/>
      <c r="T1031" s="381" t="s">
        <v>2918</v>
      </c>
      <c r="U1031" s="381" t="s">
        <v>152</v>
      </c>
      <c r="V1031" s="381" t="s">
        <v>23</v>
      </c>
    </row>
    <row r="1032" spans="2:22">
      <c r="B1032" s="383">
        <v>46250</v>
      </c>
      <c r="C1032" s="383">
        <v>46250</v>
      </c>
      <c r="D1032" s="381" t="s">
        <v>5870</v>
      </c>
      <c r="E1032" s="382" t="s">
        <v>5871</v>
      </c>
      <c r="F1032" s="381" t="s">
        <v>87</v>
      </c>
      <c r="G1032" s="381" t="s">
        <v>2357</v>
      </c>
      <c r="H1032" s="387">
        <v>40</v>
      </c>
      <c r="I1032" s="381">
        <v>24.8</v>
      </c>
      <c r="J1032" s="381">
        <v>24.8</v>
      </c>
      <c r="K1032" s="381">
        <v>5</v>
      </c>
      <c r="L1032" s="381">
        <v>0</v>
      </c>
      <c r="M1032" s="381" t="s">
        <v>148</v>
      </c>
      <c r="N1032" s="381" t="s">
        <v>149</v>
      </c>
      <c r="O1032" s="381" t="s">
        <v>150</v>
      </c>
      <c r="P1032" s="381" t="s">
        <v>151</v>
      </c>
      <c r="Q1032" s="381"/>
      <c r="R1032" s="381" t="s">
        <v>5871</v>
      </c>
      <c r="S1032" s="381"/>
      <c r="T1032" s="381" t="s">
        <v>2918</v>
      </c>
      <c r="U1032" s="381" t="s">
        <v>152</v>
      </c>
      <c r="V1032" s="381" t="s">
        <v>23</v>
      </c>
    </row>
    <row r="1033" spans="2:22">
      <c r="B1033" s="383">
        <v>46250</v>
      </c>
      <c r="C1033" s="383">
        <v>46250</v>
      </c>
      <c r="D1033" s="381" t="s">
        <v>5872</v>
      </c>
      <c r="E1033" s="382" t="s">
        <v>5873</v>
      </c>
      <c r="F1033" s="381" t="s">
        <v>87</v>
      </c>
      <c r="G1033" s="381" t="s">
        <v>5097</v>
      </c>
      <c r="H1033" s="387">
        <v>25</v>
      </c>
      <c r="I1033" s="381">
        <v>30.8</v>
      </c>
      <c r="J1033" s="381">
        <v>30.8</v>
      </c>
      <c r="K1033" s="381">
        <v>4</v>
      </c>
      <c r="L1033" s="381">
        <v>0</v>
      </c>
      <c r="M1033" s="381" t="s">
        <v>148</v>
      </c>
      <c r="N1033" s="381" t="s">
        <v>149</v>
      </c>
      <c r="O1033" s="381" t="s">
        <v>150</v>
      </c>
      <c r="P1033" s="381" t="s">
        <v>151</v>
      </c>
      <c r="Q1033" s="381"/>
      <c r="R1033" s="381" t="s">
        <v>5873</v>
      </c>
      <c r="S1033" s="381"/>
      <c r="T1033" s="381" t="s">
        <v>2918</v>
      </c>
      <c r="U1033" s="381" t="s">
        <v>152</v>
      </c>
      <c r="V1033" s="381" t="s">
        <v>23</v>
      </c>
    </row>
    <row r="1034" spans="2:22">
      <c r="B1034" s="383">
        <v>46250</v>
      </c>
      <c r="C1034" s="383">
        <v>46250</v>
      </c>
      <c r="D1034" s="381" t="s">
        <v>5874</v>
      </c>
      <c r="E1034" s="382" t="s">
        <v>5875</v>
      </c>
      <c r="F1034" s="381" t="s">
        <v>87</v>
      </c>
      <c r="G1034" s="381" t="s">
        <v>5097</v>
      </c>
      <c r="H1034" s="387">
        <v>25</v>
      </c>
      <c r="I1034" s="381">
        <v>26.1</v>
      </c>
      <c r="J1034" s="381">
        <v>26.1</v>
      </c>
      <c r="K1034" s="381">
        <v>4</v>
      </c>
      <c r="L1034" s="381">
        <v>0</v>
      </c>
      <c r="M1034" s="381" t="s">
        <v>148</v>
      </c>
      <c r="N1034" s="381" t="s">
        <v>149</v>
      </c>
      <c r="O1034" s="381" t="s">
        <v>150</v>
      </c>
      <c r="P1034" s="381" t="s">
        <v>151</v>
      </c>
      <c r="Q1034" s="381"/>
      <c r="R1034" s="381" t="s">
        <v>5875</v>
      </c>
      <c r="S1034" s="381"/>
      <c r="T1034" s="381" t="s">
        <v>2918</v>
      </c>
      <c r="U1034" s="381" t="s">
        <v>152</v>
      </c>
      <c r="V1034" s="381" t="s">
        <v>23</v>
      </c>
    </row>
    <row r="1035" spans="2:22">
      <c r="B1035" s="383">
        <v>46250</v>
      </c>
      <c r="C1035" s="383">
        <v>46250</v>
      </c>
      <c r="D1035" s="381" t="s">
        <v>5876</v>
      </c>
      <c r="E1035" s="382" t="s">
        <v>5877</v>
      </c>
      <c r="F1035" s="381" t="s">
        <v>87</v>
      </c>
      <c r="G1035" s="381" t="s">
        <v>2334</v>
      </c>
      <c r="H1035" s="387">
        <v>40</v>
      </c>
      <c r="I1035" s="381">
        <v>39.200000000000003</v>
      </c>
      <c r="J1035" s="381">
        <v>39.200000000000003</v>
      </c>
      <c r="K1035" s="381">
        <v>5</v>
      </c>
      <c r="L1035" s="381">
        <v>0</v>
      </c>
      <c r="M1035" s="381" t="s">
        <v>148</v>
      </c>
      <c r="N1035" s="381" t="s">
        <v>149</v>
      </c>
      <c r="O1035" s="381" t="s">
        <v>150</v>
      </c>
      <c r="P1035" s="381" t="s">
        <v>151</v>
      </c>
      <c r="Q1035" s="381"/>
      <c r="R1035" s="381" t="s">
        <v>5877</v>
      </c>
      <c r="S1035" s="381"/>
      <c r="T1035" s="381" t="s">
        <v>2918</v>
      </c>
      <c r="U1035" s="381" t="s">
        <v>152</v>
      </c>
      <c r="V1035" s="381" t="s">
        <v>23</v>
      </c>
    </row>
    <row r="1036" spans="2:22">
      <c r="B1036" s="383">
        <v>46250</v>
      </c>
      <c r="C1036" s="383">
        <v>46250</v>
      </c>
      <c r="D1036" s="381" t="s">
        <v>5878</v>
      </c>
      <c r="E1036" s="382" t="s">
        <v>5879</v>
      </c>
      <c r="F1036" s="381" t="s">
        <v>87</v>
      </c>
      <c r="G1036" s="381" t="s">
        <v>2334</v>
      </c>
      <c r="H1036" s="387">
        <v>40</v>
      </c>
      <c r="I1036" s="381">
        <v>34.799999999999997</v>
      </c>
      <c r="J1036" s="381">
        <v>34.799999999999997</v>
      </c>
      <c r="K1036" s="381">
        <v>5</v>
      </c>
      <c r="L1036" s="381">
        <v>0</v>
      </c>
      <c r="M1036" s="381" t="s">
        <v>148</v>
      </c>
      <c r="N1036" s="381" t="s">
        <v>149</v>
      </c>
      <c r="O1036" s="381" t="s">
        <v>150</v>
      </c>
      <c r="P1036" s="381" t="s">
        <v>151</v>
      </c>
      <c r="Q1036" s="381"/>
      <c r="R1036" s="381" t="s">
        <v>5879</v>
      </c>
      <c r="S1036" s="381"/>
      <c r="T1036" s="381" t="s">
        <v>2918</v>
      </c>
      <c r="U1036" s="381" t="s">
        <v>152</v>
      </c>
      <c r="V1036" s="381" t="s">
        <v>23</v>
      </c>
    </row>
    <row r="1037" spans="2:22">
      <c r="B1037" s="383">
        <v>46250</v>
      </c>
      <c r="C1037" s="383">
        <v>46250</v>
      </c>
      <c r="D1037" s="381" t="s">
        <v>5880</v>
      </c>
      <c r="E1037" s="382" t="s">
        <v>5881</v>
      </c>
      <c r="F1037" s="381" t="s">
        <v>87</v>
      </c>
      <c r="G1037" s="381" t="s">
        <v>2334</v>
      </c>
      <c r="H1037" s="387">
        <v>40</v>
      </c>
      <c r="I1037" s="381">
        <v>35.799999999999997</v>
      </c>
      <c r="J1037" s="381">
        <v>35.799999999999997</v>
      </c>
      <c r="K1037" s="381">
        <v>5</v>
      </c>
      <c r="L1037" s="381">
        <v>0</v>
      </c>
      <c r="M1037" s="381" t="s">
        <v>148</v>
      </c>
      <c r="N1037" s="381" t="s">
        <v>149</v>
      </c>
      <c r="O1037" s="381" t="s">
        <v>150</v>
      </c>
      <c r="P1037" s="381" t="s">
        <v>151</v>
      </c>
      <c r="Q1037" s="381"/>
      <c r="R1037" s="381" t="s">
        <v>5881</v>
      </c>
      <c r="S1037" s="381"/>
      <c r="T1037" s="381" t="s">
        <v>2918</v>
      </c>
      <c r="U1037" s="381" t="s">
        <v>152</v>
      </c>
      <c r="V1037" s="381" t="s">
        <v>23</v>
      </c>
    </row>
    <row r="1038" spans="2:22">
      <c r="B1038" s="383">
        <v>46250</v>
      </c>
      <c r="C1038" s="383">
        <v>46250</v>
      </c>
      <c r="D1038" s="381" t="s">
        <v>5882</v>
      </c>
      <c r="E1038" s="382" t="s">
        <v>5883</v>
      </c>
      <c r="F1038" s="381" t="s">
        <v>87</v>
      </c>
      <c r="G1038" s="381" t="s">
        <v>5766</v>
      </c>
      <c r="H1038" s="387">
        <v>45</v>
      </c>
      <c r="I1038" s="381">
        <v>40.4</v>
      </c>
      <c r="J1038" s="381">
        <v>40.4</v>
      </c>
      <c r="K1038" s="381">
        <v>5</v>
      </c>
      <c r="L1038" s="381">
        <v>0</v>
      </c>
      <c r="M1038" s="381" t="s">
        <v>148</v>
      </c>
      <c r="N1038" s="381" t="s">
        <v>149</v>
      </c>
      <c r="O1038" s="381" t="s">
        <v>150</v>
      </c>
      <c r="P1038" s="381" t="s">
        <v>151</v>
      </c>
      <c r="Q1038" s="381"/>
      <c r="R1038" s="381" t="s">
        <v>5883</v>
      </c>
      <c r="S1038" s="381"/>
      <c r="T1038" s="381" t="s">
        <v>2918</v>
      </c>
      <c r="U1038" s="381" t="s">
        <v>152</v>
      </c>
      <c r="V1038" s="381" t="s">
        <v>23</v>
      </c>
    </row>
    <row r="1039" spans="2:22">
      <c r="B1039" s="383">
        <v>46250</v>
      </c>
      <c r="C1039" s="383">
        <v>46250</v>
      </c>
      <c r="D1039" s="381" t="s">
        <v>5884</v>
      </c>
      <c r="E1039" s="382" t="s">
        <v>5885</v>
      </c>
      <c r="F1039" s="381" t="s">
        <v>87</v>
      </c>
      <c r="G1039" s="381" t="s">
        <v>2334</v>
      </c>
      <c r="H1039" s="387">
        <v>40</v>
      </c>
      <c r="I1039" s="381">
        <v>36.4</v>
      </c>
      <c r="J1039" s="381">
        <v>36.4</v>
      </c>
      <c r="K1039" s="381">
        <v>5</v>
      </c>
      <c r="L1039" s="381">
        <v>0</v>
      </c>
      <c r="M1039" s="381" t="s">
        <v>148</v>
      </c>
      <c r="N1039" s="381" t="s">
        <v>149</v>
      </c>
      <c r="O1039" s="381" t="s">
        <v>150</v>
      </c>
      <c r="P1039" s="381" t="s">
        <v>151</v>
      </c>
      <c r="Q1039" s="381"/>
      <c r="R1039" s="381" t="s">
        <v>5885</v>
      </c>
      <c r="S1039" s="381"/>
      <c r="T1039" s="381" t="s">
        <v>2918</v>
      </c>
      <c r="U1039" s="381" t="s">
        <v>152</v>
      </c>
      <c r="V1039" s="381" t="s">
        <v>23</v>
      </c>
    </row>
    <row r="1040" spans="2:22">
      <c r="B1040" s="383">
        <v>46250</v>
      </c>
      <c r="C1040" s="383">
        <v>46250</v>
      </c>
      <c r="D1040" s="381" t="s">
        <v>5886</v>
      </c>
      <c r="E1040" s="382" t="s">
        <v>5887</v>
      </c>
      <c r="F1040" s="381" t="s">
        <v>87</v>
      </c>
      <c r="G1040" s="381" t="s">
        <v>5097</v>
      </c>
      <c r="H1040" s="387">
        <v>25</v>
      </c>
      <c r="I1040" s="381">
        <v>17.8</v>
      </c>
      <c r="J1040" s="381">
        <v>17.8</v>
      </c>
      <c r="K1040" s="381">
        <v>4</v>
      </c>
      <c r="L1040" s="381">
        <v>0</v>
      </c>
      <c r="M1040" s="381" t="s">
        <v>148</v>
      </c>
      <c r="N1040" s="381" t="s">
        <v>149</v>
      </c>
      <c r="O1040" s="381" t="s">
        <v>150</v>
      </c>
      <c r="P1040" s="381" t="s">
        <v>151</v>
      </c>
      <c r="Q1040" s="381"/>
      <c r="R1040" s="381" t="s">
        <v>5887</v>
      </c>
      <c r="S1040" s="381"/>
      <c r="T1040" s="381" t="s">
        <v>2918</v>
      </c>
      <c r="U1040" s="381" t="s">
        <v>152</v>
      </c>
      <c r="V1040" s="381" t="s">
        <v>23</v>
      </c>
    </row>
    <row r="1041" spans="2:22">
      <c r="B1041" s="383">
        <v>46250</v>
      </c>
      <c r="C1041" s="383">
        <v>46250</v>
      </c>
      <c r="D1041" s="381" t="s">
        <v>5888</v>
      </c>
      <c r="E1041" s="382" t="s">
        <v>5889</v>
      </c>
      <c r="F1041" s="381" t="s">
        <v>87</v>
      </c>
      <c r="G1041" s="381" t="s">
        <v>2512</v>
      </c>
      <c r="H1041" s="387">
        <v>40</v>
      </c>
      <c r="I1041" s="381">
        <v>33.799999999999997</v>
      </c>
      <c r="J1041" s="381">
        <v>33.799999999999997</v>
      </c>
      <c r="K1041" s="381">
        <v>5</v>
      </c>
      <c r="L1041" s="381">
        <v>0</v>
      </c>
      <c r="M1041" s="381" t="s">
        <v>148</v>
      </c>
      <c r="N1041" s="381" t="s">
        <v>149</v>
      </c>
      <c r="O1041" s="381" t="s">
        <v>150</v>
      </c>
      <c r="P1041" s="381" t="s">
        <v>151</v>
      </c>
      <c r="Q1041" s="381"/>
      <c r="R1041" s="381" t="s">
        <v>5889</v>
      </c>
      <c r="S1041" s="381"/>
      <c r="T1041" s="381" t="s">
        <v>2918</v>
      </c>
      <c r="U1041" s="381" t="s">
        <v>152</v>
      </c>
      <c r="V1041" s="381" t="s">
        <v>23</v>
      </c>
    </row>
    <row r="1042" spans="2:22">
      <c r="B1042" s="383">
        <v>46250</v>
      </c>
      <c r="C1042" s="383">
        <v>46250</v>
      </c>
      <c r="D1042" s="381" t="s">
        <v>5890</v>
      </c>
      <c r="E1042" s="382" t="s">
        <v>5891</v>
      </c>
      <c r="F1042" s="381" t="s">
        <v>87</v>
      </c>
      <c r="G1042" s="381" t="s">
        <v>2357</v>
      </c>
      <c r="H1042" s="387">
        <v>40</v>
      </c>
      <c r="I1042" s="381">
        <v>35.299999999999997</v>
      </c>
      <c r="J1042" s="381">
        <v>35.299999999999997</v>
      </c>
      <c r="K1042" s="381">
        <v>5</v>
      </c>
      <c r="L1042" s="381">
        <v>0</v>
      </c>
      <c r="M1042" s="381" t="s">
        <v>148</v>
      </c>
      <c r="N1042" s="381" t="s">
        <v>149</v>
      </c>
      <c r="O1042" s="381" t="s">
        <v>150</v>
      </c>
      <c r="P1042" s="381" t="s">
        <v>151</v>
      </c>
      <c r="Q1042" s="381"/>
      <c r="R1042" s="381" t="s">
        <v>5891</v>
      </c>
      <c r="S1042" s="381"/>
      <c r="T1042" s="381" t="s">
        <v>2918</v>
      </c>
      <c r="U1042" s="381" t="s">
        <v>152</v>
      </c>
      <c r="V1042" s="381" t="s">
        <v>23</v>
      </c>
    </row>
    <row r="1043" spans="2:22">
      <c r="B1043" s="383">
        <v>46250</v>
      </c>
      <c r="C1043" s="383">
        <v>46250</v>
      </c>
      <c r="D1043" s="381" t="s">
        <v>5892</v>
      </c>
      <c r="E1043" s="382" t="s">
        <v>5893</v>
      </c>
      <c r="F1043" s="381" t="s">
        <v>87</v>
      </c>
      <c r="G1043" s="381" t="s">
        <v>2334</v>
      </c>
      <c r="H1043" s="387">
        <v>40</v>
      </c>
      <c r="I1043" s="381">
        <v>35.799999999999997</v>
      </c>
      <c r="J1043" s="381">
        <v>35.799999999999997</v>
      </c>
      <c r="K1043" s="381">
        <v>5</v>
      </c>
      <c r="L1043" s="381">
        <v>0</v>
      </c>
      <c r="M1043" s="381" t="s">
        <v>148</v>
      </c>
      <c r="N1043" s="381" t="s">
        <v>149</v>
      </c>
      <c r="O1043" s="381" t="s">
        <v>150</v>
      </c>
      <c r="P1043" s="381" t="s">
        <v>151</v>
      </c>
      <c r="Q1043" s="381"/>
      <c r="R1043" s="381" t="s">
        <v>5893</v>
      </c>
      <c r="S1043" s="381"/>
      <c r="T1043" s="381" t="s">
        <v>2918</v>
      </c>
      <c r="U1043" s="381" t="s">
        <v>152</v>
      </c>
      <c r="V1043" s="381" t="s">
        <v>23</v>
      </c>
    </row>
    <row r="1044" spans="2:22">
      <c r="B1044" s="383">
        <v>46250</v>
      </c>
      <c r="C1044" s="383">
        <v>46250</v>
      </c>
      <c r="D1044" s="381" t="s">
        <v>5894</v>
      </c>
      <c r="E1044" s="382" t="s">
        <v>5895</v>
      </c>
      <c r="F1044" s="381" t="s">
        <v>87</v>
      </c>
      <c r="G1044" s="381" t="s">
        <v>2334</v>
      </c>
      <c r="H1044" s="387">
        <v>40</v>
      </c>
      <c r="I1044" s="381">
        <v>37.299999999999997</v>
      </c>
      <c r="J1044" s="381">
        <v>37.299999999999997</v>
      </c>
      <c r="K1044" s="381">
        <v>5</v>
      </c>
      <c r="L1044" s="381">
        <v>0</v>
      </c>
      <c r="M1044" s="381" t="s">
        <v>148</v>
      </c>
      <c r="N1044" s="381" t="s">
        <v>149</v>
      </c>
      <c r="O1044" s="381" t="s">
        <v>150</v>
      </c>
      <c r="P1044" s="381" t="s">
        <v>151</v>
      </c>
      <c r="Q1044" s="381"/>
      <c r="R1044" s="381" t="s">
        <v>5895</v>
      </c>
      <c r="S1044" s="381"/>
      <c r="T1044" s="381" t="s">
        <v>2918</v>
      </c>
      <c r="U1044" s="381" t="s">
        <v>152</v>
      </c>
      <c r="V1044" s="381" t="s">
        <v>23</v>
      </c>
    </row>
    <row r="1045" spans="2:22">
      <c r="B1045" s="383">
        <v>46250</v>
      </c>
      <c r="C1045" s="383">
        <v>46250</v>
      </c>
      <c r="D1045" s="381" t="s">
        <v>5896</v>
      </c>
      <c r="E1045" s="382" t="s">
        <v>5897</v>
      </c>
      <c r="F1045" s="381" t="s">
        <v>87</v>
      </c>
      <c r="G1045" s="381" t="s">
        <v>4512</v>
      </c>
      <c r="H1045" s="387">
        <v>55</v>
      </c>
      <c r="I1045" s="381">
        <v>20.3</v>
      </c>
      <c r="J1045" s="381">
        <v>20.3</v>
      </c>
      <c r="K1045" s="381">
        <v>5</v>
      </c>
      <c r="L1045" s="381">
        <v>0</v>
      </c>
      <c r="M1045" s="381" t="s">
        <v>148</v>
      </c>
      <c r="N1045" s="381" t="s">
        <v>149</v>
      </c>
      <c r="O1045" s="381" t="s">
        <v>150</v>
      </c>
      <c r="P1045" s="381" t="s">
        <v>151</v>
      </c>
      <c r="Q1045" s="381"/>
      <c r="R1045" s="381" t="s">
        <v>5897</v>
      </c>
      <c r="S1045" s="381"/>
      <c r="T1045" s="381" t="s">
        <v>2918</v>
      </c>
      <c r="U1045" s="381" t="s">
        <v>152</v>
      </c>
      <c r="V1045" s="381" t="s">
        <v>23</v>
      </c>
    </row>
    <row r="1046" spans="2:22">
      <c r="B1046" s="383">
        <v>46250</v>
      </c>
      <c r="C1046" s="383">
        <v>46250</v>
      </c>
      <c r="D1046" s="381" t="s">
        <v>5898</v>
      </c>
      <c r="E1046" s="382" t="s">
        <v>5899</v>
      </c>
      <c r="F1046" s="381" t="s">
        <v>87</v>
      </c>
      <c r="G1046" s="381" t="s">
        <v>5766</v>
      </c>
      <c r="H1046" s="387">
        <v>45</v>
      </c>
      <c r="I1046" s="381">
        <v>44.2</v>
      </c>
      <c r="J1046" s="381">
        <v>44.2</v>
      </c>
      <c r="K1046" s="381">
        <v>5</v>
      </c>
      <c r="L1046" s="381">
        <v>0</v>
      </c>
      <c r="M1046" s="381" t="s">
        <v>148</v>
      </c>
      <c r="N1046" s="381" t="s">
        <v>149</v>
      </c>
      <c r="O1046" s="381" t="s">
        <v>150</v>
      </c>
      <c r="P1046" s="381" t="s">
        <v>151</v>
      </c>
      <c r="Q1046" s="381"/>
      <c r="R1046" s="381" t="s">
        <v>5899</v>
      </c>
      <c r="S1046" s="381"/>
      <c r="T1046" s="381" t="s">
        <v>2918</v>
      </c>
      <c r="U1046" s="381" t="s">
        <v>152</v>
      </c>
      <c r="V1046" s="381" t="s">
        <v>23</v>
      </c>
    </row>
    <row r="1047" spans="2:22">
      <c r="B1047" s="383">
        <v>46250</v>
      </c>
      <c r="C1047" s="383">
        <v>46250</v>
      </c>
      <c r="D1047" s="381" t="s">
        <v>5900</v>
      </c>
      <c r="E1047" s="382" t="s">
        <v>5901</v>
      </c>
      <c r="F1047" s="381" t="s">
        <v>87</v>
      </c>
      <c r="G1047" s="381" t="s">
        <v>2357</v>
      </c>
      <c r="H1047" s="387">
        <v>40</v>
      </c>
      <c r="I1047" s="381">
        <v>35.799999999999997</v>
      </c>
      <c r="J1047" s="381">
        <v>35.799999999999997</v>
      </c>
      <c r="K1047" s="381">
        <v>5</v>
      </c>
      <c r="L1047" s="381">
        <v>0</v>
      </c>
      <c r="M1047" s="381" t="s">
        <v>148</v>
      </c>
      <c r="N1047" s="381" t="s">
        <v>149</v>
      </c>
      <c r="O1047" s="381" t="s">
        <v>150</v>
      </c>
      <c r="P1047" s="381" t="s">
        <v>151</v>
      </c>
      <c r="Q1047" s="381"/>
      <c r="R1047" s="381" t="s">
        <v>5901</v>
      </c>
      <c r="S1047" s="381"/>
      <c r="T1047" s="381" t="s">
        <v>2918</v>
      </c>
      <c r="U1047" s="381" t="s">
        <v>152</v>
      </c>
      <c r="V1047" s="381" t="s">
        <v>23</v>
      </c>
    </row>
    <row r="1048" spans="2:22">
      <c r="B1048" s="383">
        <v>46250</v>
      </c>
      <c r="C1048" s="383">
        <v>46250</v>
      </c>
      <c r="D1048" s="381" t="s">
        <v>5902</v>
      </c>
      <c r="E1048" s="382" t="s">
        <v>5903</v>
      </c>
      <c r="F1048" s="381" t="s">
        <v>87</v>
      </c>
      <c r="G1048" s="381" t="s">
        <v>4512</v>
      </c>
      <c r="H1048" s="387">
        <v>55</v>
      </c>
      <c r="I1048" s="381">
        <v>35.799999999999997</v>
      </c>
      <c r="J1048" s="381">
        <v>35.799999999999997</v>
      </c>
      <c r="K1048" s="381">
        <v>5</v>
      </c>
      <c r="L1048" s="381">
        <v>0</v>
      </c>
      <c r="M1048" s="381" t="s">
        <v>148</v>
      </c>
      <c r="N1048" s="381" t="s">
        <v>149</v>
      </c>
      <c r="O1048" s="381" t="s">
        <v>150</v>
      </c>
      <c r="P1048" s="381" t="s">
        <v>151</v>
      </c>
      <c r="Q1048" s="381"/>
      <c r="R1048" s="381" t="s">
        <v>5903</v>
      </c>
      <c r="S1048" s="381"/>
      <c r="T1048" s="381" t="s">
        <v>2918</v>
      </c>
      <c r="U1048" s="381" t="s">
        <v>152</v>
      </c>
      <c r="V1048" s="381" t="s">
        <v>23</v>
      </c>
    </row>
    <row r="1049" spans="2:22">
      <c r="B1049" s="383">
        <v>46250</v>
      </c>
      <c r="C1049" s="383">
        <v>46250</v>
      </c>
      <c r="D1049" s="381" t="s">
        <v>5904</v>
      </c>
      <c r="E1049" s="382" t="s">
        <v>5905</v>
      </c>
      <c r="F1049" s="381" t="s">
        <v>87</v>
      </c>
      <c r="G1049" s="381" t="s">
        <v>2334</v>
      </c>
      <c r="H1049" s="387">
        <v>40</v>
      </c>
      <c r="I1049" s="381">
        <v>36.5</v>
      </c>
      <c r="J1049" s="381">
        <v>36.5</v>
      </c>
      <c r="K1049" s="381">
        <v>5</v>
      </c>
      <c r="L1049" s="381">
        <v>0</v>
      </c>
      <c r="M1049" s="381" t="s">
        <v>148</v>
      </c>
      <c r="N1049" s="381" t="s">
        <v>149</v>
      </c>
      <c r="O1049" s="381" t="s">
        <v>150</v>
      </c>
      <c r="P1049" s="381" t="s">
        <v>151</v>
      </c>
      <c r="Q1049" s="381"/>
      <c r="R1049" s="381" t="s">
        <v>5905</v>
      </c>
      <c r="S1049" s="381"/>
      <c r="T1049" s="381" t="s">
        <v>2918</v>
      </c>
      <c r="U1049" s="381" t="s">
        <v>152</v>
      </c>
      <c r="V1049" s="381" t="s">
        <v>23</v>
      </c>
    </row>
    <row r="1050" spans="2:22">
      <c r="B1050" s="383">
        <v>46250</v>
      </c>
      <c r="C1050" s="383">
        <v>46250</v>
      </c>
      <c r="D1050" s="381" t="s">
        <v>5906</v>
      </c>
      <c r="E1050" s="382" t="s">
        <v>5907</v>
      </c>
      <c r="F1050" s="381" t="s">
        <v>87</v>
      </c>
      <c r="G1050" s="381" t="s">
        <v>5097</v>
      </c>
      <c r="H1050" s="387">
        <v>25</v>
      </c>
      <c r="I1050" s="381">
        <v>19.8</v>
      </c>
      <c r="J1050" s="381">
        <v>19.8</v>
      </c>
      <c r="K1050" s="381">
        <v>4</v>
      </c>
      <c r="L1050" s="381">
        <v>0</v>
      </c>
      <c r="M1050" s="381" t="s">
        <v>148</v>
      </c>
      <c r="N1050" s="381" t="s">
        <v>149</v>
      </c>
      <c r="O1050" s="381" t="s">
        <v>150</v>
      </c>
      <c r="P1050" s="381" t="s">
        <v>151</v>
      </c>
      <c r="Q1050" s="381"/>
      <c r="R1050" s="381" t="s">
        <v>5907</v>
      </c>
      <c r="S1050" s="381"/>
      <c r="T1050" s="381" t="s">
        <v>2918</v>
      </c>
      <c r="U1050" s="381" t="s">
        <v>152</v>
      </c>
      <c r="V1050" s="381" t="s">
        <v>23</v>
      </c>
    </row>
    <row r="1051" spans="2:22">
      <c r="B1051" s="383">
        <v>46250</v>
      </c>
      <c r="C1051" s="383">
        <v>46250</v>
      </c>
      <c r="D1051" s="381" t="s">
        <v>5908</v>
      </c>
      <c r="E1051" s="382" t="s">
        <v>5909</v>
      </c>
      <c r="F1051" s="381" t="s">
        <v>87</v>
      </c>
      <c r="G1051" s="381" t="s">
        <v>2357</v>
      </c>
      <c r="H1051" s="387">
        <v>40</v>
      </c>
      <c r="I1051" s="381">
        <v>41.8</v>
      </c>
      <c r="J1051" s="381">
        <v>41.8</v>
      </c>
      <c r="K1051" s="381">
        <v>5</v>
      </c>
      <c r="L1051" s="381">
        <v>0</v>
      </c>
      <c r="M1051" s="381" t="s">
        <v>148</v>
      </c>
      <c r="N1051" s="381" t="s">
        <v>149</v>
      </c>
      <c r="O1051" s="381" t="s">
        <v>150</v>
      </c>
      <c r="P1051" s="381" t="s">
        <v>151</v>
      </c>
      <c r="Q1051" s="381"/>
      <c r="R1051" s="381" t="s">
        <v>5909</v>
      </c>
      <c r="S1051" s="381"/>
      <c r="T1051" s="381" t="s">
        <v>2918</v>
      </c>
      <c r="U1051" s="381" t="s">
        <v>152</v>
      </c>
      <c r="V1051" s="381" t="s">
        <v>23</v>
      </c>
    </row>
    <row r="1052" spans="2:22">
      <c r="B1052" s="383">
        <v>46250</v>
      </c>
      <c r="C1052" s="383">
        <v>46250</v>
      </c>
      <c r="D1052" s="381" t="s">
        <v>5910</v>
      </c>
      <c r="E1052" s="382" t="s">
        <v>5911</v>
      </c>
      <c r="F1052" s="381" t="s">
        <v>87</v>
      </c>
      <c r="G1052" s="381" t="s">
        <v>2512</v>
      </c>
      <c r="H1052" s="387">
        <v>40</v>
      </c>
      <c r="I1052" s="381">
        <v>18.3</v>
      </c>
      <c r="J1052" s="381">
        <v>18.3</v>
      </c>
      <c r="K1052" s="381">
        <v>5</v>
      </c>
      <c r="L1052" s="381">
        <v>0</v>
      </c>
      <c r="M1052" s="381" t="s">
        <v>148</v>
      </c>
      <c r="N1052" s="381" t="s">
        <v>149</v>
      </c>
      <c r="O1052" s="381" t="s">
        <v>150</v>
      </c>
      <c r="P1052" s="381" t="s">
        <v>151</v>
      </c>
      <c r="Q1052" s="381"/>
      <c r="R1052" s="381" t="s">
        <v>5911</v>
      </c>
      <c r="S1052" s="381"/>
      <c r="T1052" s="381" t="s">
        <v>2918</v>
      </c>
      <c r="U1052" s="381" t="s">
        <v>152</v>
      </c>
      <c r="V1052" s="381" t="s">
        <v>23</v>
      </c>
    </row>
    <row r="1053" spans="2:22">
      <c r="B1053" s="383">
        <v>46250</v>
      </c>
      <c r="C1053" s="383">
        <v>46250</v>
      </c>
      <c r="D1053" s="381" t="s">
        <v>5912</v>
      </c>
      <c r="E1053" s="382" t="s">
        <v>5913</v>
      </c>
      <c r="F1053" s="381" t="s">
        <v>87</v>
      </c>
      <c r="G1053" s="381" t="s">
        <v>5766</v>
      </c>
      <c r="H1053" s="387">
        <v>45</v>
      </c>
      <c r="I1053" s="381">
        <v>36.799999999999997</v>
      </c>
      <c r="J1053" s="381">
        <v>36.799999999999997</v>
      </c>
      <c r="K1053" s="381">
        <v>5</v>
      </c>
      <c r="L1053" s="381">
        <v>0</v>
      </c>
      <c r="M1053" s="381" t="s">
        <v>148</v>
      </c>
      <c r="N1053" s="381" t="s">
        <v>149</v>
      </c>
      <c r="O1053" s="381" t="s">
        <v>150</v>
      </c>
      <c r="P1053" s="381" t="s">
        <v>151</v>
      </c>
      <c r="Q1053" s="381"/>
      <c r="R1053" s="381" t="s">
        <v>5913</v>
      </c>
      <c r="S1053" s="381"/>
      <c r="T1053" s="381" t="s">
        <v>2918</v>
      </c>
      <c r="U1053" s="381" t="s">
        <v>152</v>
      </c>
      <c r="V1053" s="381" t="s">
        <v>23</v>
      </c>
    </row>
    <row r="1054" spans="2:22">
      <c r="B1054" s="383">
        <v>46250</v>
      </c>
      <c r="C1054" s="383">
        <v>46250</v>
      </c>
      <c r="D1054" s="381" t="s">
        <v>5914</v>
      </c>
      <c r="E1054" s="382" t="s">
        <v>5915</v>
      </c>
      <c r="F1054" s="381" t="s">
        <v>87</v>
      </c>
      <c r="G1054" s="381" t="s">
        <v>2515</v>
      </c>
      <c r="H1054" s="387">
        <v>50</v>
      </c>
      <c r="I1054" s="381">
        <v>17.8</v>
      </c>
      <c r="J1054" s="381">
        <v>17.8</v>
      </c>
      <c r="K1054" s="381">
        <v>5</v>
      </c>
      <c r="L1054" s="381">
        <v>0</v>
      </c>
      <c r="M1054" s="381" t="s">
        <v>148</v>
      </c>
      <c r="N1054" s="381" t="s">
        <v>149</v>
      </c>
      <c r="O1054" s="381" t="s">
        <v>150</v>
      </c>
      <c r="P1054" s="381" t="s">
        <v>151</v>
      </c>
      <c r="Q1054" s="381"/>
      <c r="R1054" s="381" t="s">
        <v>5915</v>
      </c>
      <c r="S1054" s="381"/>
      <c r="T1054" s="381" t="s">
        <v>2918</v>
      </c>
      <c r="U1054" s="381" t="s">
        <v>152</v>
      </c>
      <c r="V1054" s="381" t="s">
        <v>23</v>
      </c>
    </row>
    <row r="1055" spans="2:22">
      <c r="B1055" s="383">
        <v>46250</v>
      </c>
      <c r="C1055" s="383">
        <v>46250</v>
      </c>
      <c r="D1055" s="381" t="s">
        <v>5916</v>
      </c>
      <c r="E1055" s="382" t="s">
        <v>5917</v>
      </c>
      <c r="F1055" s="381" t="s">
        <v>87</v>
      </c>
      <c r="G1055" s="381" t="s">
        <v>2357</v>
      </c>
      <c r="H1055" s="387">
        <v>40</v>
      </c>
      <c r="I1055" s="381">
        <v>30.2</v>
      </c>
      <c r="J1055" s="381">
        <v>30.2</v>
      </c>
      <c r="K1055" s="381">
        <v>5</v>
      </c>
      <c r="L1055" s="381">
        <v>0</v>
      </c>
      <c r="M1055" s="381" t="s">
        <v>148</v>
      </c>
      <c r="N1055" s="381" t="s">
        <v>149</v>
      </c>
      <c r="O1055" s="381" t="s">
        <v>150</v>
      </c>
      <c r="P1055" s="381" t="s">
        <v>151</v>
      </c>
      <c r="Q1055" s="381"/>
      <c r="R1055" s="381" t="s">
        <v>5917</v>
      </c>
      <c r="S1055" s="381"/>
      <c r="T1055" s="381" t="s">
        <v>2918</v>
      </c>
      <c r="U1055" s="381" t="s">
        <v>152</v>
      </c>
      <c r="V1055" s="381" t="s">
        <v>23</v>
      </c>
    </row>
    <row r="1056" spans="2:22">
      <c r="B1056" s="383">
        <v>46250</v>
      </c>
      <c r="C1056" s="383">
        <v>46250</v>
      </c>
      <c r="D1056" s="381" t="s">
        <v>5918</v>
      </c>
      <c r="E1056" s="382" t="s">
        <v>5919</v>
      </c>
      <c r="F1056" s="381" t="s">
        <v>87</v>
      </c>
      <c r="G1056" s="381" t="s">
        <v>2357</v>
      </c>
      <c r="H1056" s="387">
        <v>40</v>
      </c>
      <c r="I1056" s="381">
        <v>25.8</v>
      </c>
      <c r="J1056" s="381">
        <v>25.8</v>
      </c>
      <c r="K1056" s="381">
        <v>5</v>
      </c>
      <c r="L1056" s="381">
        <v>0</v>
      </c>
      <c r="M1056" s="381" t="s">
        <v>148</v>
      </c>
      <c r="N1056" s="381" t="s">
        <v>149</v>
      </c>
      <c r="O1056" s="381" t="s">
        <v>150</v>
      </c>
      <c r="P1056" s="381" t="s">
        <v>151</v>
      </c>
      <c r="Q1056" s="381"/>
      <c r="R1056" s="381" t="s">
        <v>5919</v>
      </c>
      <c r="S1056" s="381"/>
      <c r="T1056" s="381" t="s">
        <v>2918</v>
      </c>
      <c r="U1056" s="381" t="s">
        <v>152</v>
      </c>
      <c r="V1056" s="381" t="s">
        <v>23</v>
      </c>
    </row>
    <row r="1057" spans="2:22">
      <c r="B1057" s="383">
        <v>46250</v>
      </c>
      <c r="C1057" s="383">
        <v>46250</v>
      </c>
      <c r="D1057" s="381" t="s">
        <v>5920</v>
      </c>
      <c r="E1057" s="382" t="s">
        <v>5921</v>
      </c>
      <c r="F1057" s="381" t="s">
        <v>87</v>
      </c>
      <c r="G1057" s="381" t="s">
        <v>4000</v>
      </c>
      <c r="H1057" s="387">
        <v>50</v>
      </c>
      <c r="I1057" s="381">
        <v>17.5</v>
      </c>
      <c r="J1057" s="381">
        <v>17.5</v>
      </c>
      <c r="K1057" s="381">
        <v>5</v>
      </c>
      <c r="L1057" s="381">
        <v>0</v>
      </c>
      <c r="M1057" s="381" t="s">
        <v>148</v>
      </c>
      <c r="N1057" s="381" t="s">
        <v>149</v>
      </c>
      <c r="O1057" s="381" t="s">
        <v>150</v>
      </c>
      <c r="P1057" s="381" t="s">
        <v>151</v>
      </c>
      <c r="Q1057" s="381"/>
      <c r="R1057" s="381" t="s">
        <v>5921</v>
      </c>
      <c r="S1057" s="381"/>
      <c r="T1057" s="381" t="s">
        <v>2918</v>
      </c>
      <c r="U1057" s="381" t="s">
        <v>152</v>
      </c>
      <c r="V1057" s="381" t="s">
        <v>23</v>
      </c>
    </row>
    <row r="1058" spans="2:22">
      <c r="B1058" s="383">
        <v>46250</v>
      </c>
      <c r="C1058" s="383">
        <v>46250</v>
      </c>
      <c r="D1058" s="381" t="s">
        <v>5922</v>
      </c>
      <c r="E1058" s="382" t="s">
        <v>5923</v>
      </c>
      <c r="F1058" s="381" t="s">
        <v>87</v>
      </c>
      <c r="G1058" s="381" t="s">
        <v>2357</v>
      </c>
      <c r="H1058" s="387">
        <v>40</v>
      </c>
      <c r="I1058" s="381">
        <v>30.2</v>
      </c>
      <c r="J1058" s="381">
        <v>30.2</v>
      </c>
      <c r="K1058" s="381">
        <v>5</v>
      </c>
      <c r="L1058" s="381">
        <v>0</v>
      </c>
      <c r="M1058" s="381" t="s">
        <v>148</v>
      </c>
      <c r="N1058" s="381" t="s">
        <v>149</v>
      </c>
      <c r="O1058" s="381" t="s">
        <v>150</v>
      </c>
      <c r="P1058" s="381" t="s">
        <v>151</v>
      </c>
      <c r="Q1058" s="381"/>
      <c r="R1058" s="381" t="s">
        <v>5923</v>
      </c>
      <c r="S1058" s="381"/>
      <c r="T1058" s="381" t="s">
        <v>2918</v>
      </c>
      <c r="U1058" s="381" t="s">
        <v>152</v>
      </c>
      <c r="V1058" s="381" t="s">
        <v>23</v>
      </c>
    </row>
    <row r="1059" spans="2:22">
      <c r="B1059" s="383">
        <v>46250</v>
      </c>
      <c r="C1059" s="383">
        <v>46250</v>
      </c>
      <c r="D1059" s="381" t="s">
        <v>5924</v>
      </c>
      <c r="E1059" s="382" t="s">
        <v>5925</v>
      </c>
      <c r="F1059" s="381" t="s">
        <v>87</v>
      </c>
      <c r="G1059" s="381" t="s">
        <v>1966</v>
      </c>
      <c r="H1059" s="387">
        <v>6</v>
      </c>
      <c r="I1059" s="381">
        <v>24.2</v>
      </c>
      <c r="J1059" s="381">
        <v>24.2</v>
      </c>
      <c r="K1059" s="381">
        <v>1.5</v>
      </c>
      <c r="L1059" s="381">
        <v>0</v>
      </c>
      <c r="M1059" s="381" t="s">
        <v>148</v>
      </c>
      <c r="N1059" s="381" t="s">
        <v>149</v>
      </c>
      <c r="O1059" s="381" t="s">
        <v>150</v>
      </c>
      <c r="P1059" s="381" t="s">
        <v>151</v>
      </c>
      <c r="Q1059" s="381"/>
      <c r="R1059" s="381" t="s">
        <v>5925</v>
      </c>
      <c r="S1059" s="381"/>
      <c r="T1059" s="381" t="s">
        <v>2918</v>
      </c>
      <c r="U1059" s="381" t="s">
        <v>152</v>
      </c>
      <c r="V1059" s="381" t="s">
        <v>23</v>
      </c>
    </row>
    <row r="1060" spans="2:22">
      <c r="B1060" s="383">
        <v>46250</v>
      </c>
      <c r="C1060" s="383">
        <v>46250</v>
      </c>
      <c r="D1060" s="381" t="s">
        <v>5926</v>
      </c>
      <c r="E1060" s="382" t="s">
        <v>5927</v>
      </c>
      <c r="F1060" s="381" t="s">
        <v>87</v>
      </c>
      <c r="G1060" s="381" t="s">
        <v>2357</v>
      </c>
      <c r="H1060" s="387">
        <v>40</v>
      </c>
      <c r="I1060" s="381">
        <v>39.799999999999997</v>
      </c>
      <c r="J1060" s="381">
        <v>39.799999999999997</v>
      </c>
      <c r="K1060" s="381">
        <v>5</v>
      </c>
      <c r="L1060" s="381">
        <v>0</v>
      </c>
      <c r="M1060" s="381" t="s">
        <v>148</v>
      </c>
      <c r="N1060" s="381" t="s">
        <v>149</v>
      </c>
      <c r="O1060" s="381" t="s">
        <v>150</v>
      </c>
      <c r="P1060" s="381" t="s">
        <v>151</v>
      </c>
      <c r="Q1060" s="381"/>
      <c r="R1060" s="381" t="s">
        <v>5927</v>
      </c>
      <c r="S1060" s="381"/>
      <c r="T1060" s="381" t="s">
        <v>2918</v>
      </c>
      <c r="U1060" s="381" t="s">
        <v>152</v>
      </c>
      <c r="V1060" s="381" t="s">
        <v>23</v>
      </c>
    </row>
    <row r="1061" spans="2:22">
      <c r="B1061" s="383">
        <v>46250</v>
      </c>
      <c r="C1061" s="383">
        <v>46250</v>
      </c>
      <c r="D1061" s="381" t="s">
        <v>5928</v>
      </c>
      <c r="E1061" s="382" t="s">
        <v>5929</v>
      </c>
      <c r="F1061" s="381" t="s">
        <v>87</v>
      </c>
      <c r="G1061" s="381" t="s">
        <v>2357</v>
      </c>
      <c r="H1061" s="387">
        <v>40</v>
      </c>
      <c r="I1061" s="381">
        <v>42.8</v>
      </c>
      <c r="J1061" s="381">
        <v>42.8</v>
      </c>
      <c r="K1061" s="381">
        <v>5</v>
      </c>
      <c r="L1061" s="381">
        <v>0</v>
      </c>
      <c r="M1061" s="381" t="s">
        <v>148</v>
      </c>
      <c r="N1061" s="381" t="s">
        <v>149</v>
      </c>
      <c r="O1061" s="381" t="s">
        <v>150</v>
      </c>
      <c r="P1061" s="381" t="s">
        <v>151</v>
      </c>
      <c r="Q1061" s="381"/>
      <c r="R1061" s="381" t="s">
        <v>5929</v>
      </c>
      <c r="S1061" s="381"/>
      <c r="T1061" s="381" t="s">
        <v>2918</v>
      </c>
      <c r="U1061" s="381" t="s">
        <v>152</v>
      </c>
      <c r="V1061" s="381" t="s">
        <v>23</v>
      </c>
    </row>
    <row r="1062" spans="2:22">
      <c r="B1062" s="383">
        <v>46250</v>
      </c>
      <c r="C1062" s="383">
        <v>46250</v>
      </c>
      <c r="D1062" s="381" t="s">
        <v>5930</v>
      </c>
      <c r="E1062" s="382" t="s">
        <v>5931</v>
      </c>
      <c r="F1062" s="381" t="s">
        <v>87</v>
      </c>
      <c r="G1062" s="381" t="s">
        <v>4000</v>
      </c>
      <c r="H1062" s="387">
        <v>50</v>
      </c>
      <c r="I1062" s="381">
        <v>42</v>
      </c>
      <c r="J1062" s="381">
        <v>42</v>
      </c>
      <c r="K1062" s="381">
        <v>5</v>
      </c>
      <c r="L1062" s="381">
        <v>0</v>
      </c>
      <c r="M1062" s="381" t="s">
        <v>148</v>
      </c>
      <c r="N1062" s="381" t="s">
        <v>149</v>
      </c>
      <c r="O1062" s="381" t="s">
        <v>150</v>
      </c>
      <c r="P1062" s="381" t="s">
        <v>151</v>
      </c>
      <c r="Q1062" s="381"/>
      <c r="R1062" s="381" t="s">
        <v>5931</v>
      </c>
      <c r="S1062" s="381"/>
      <c r="T1062" s="381" t="s">
        <v>2918</v>
      </c>
      <c r="U1062" s="381" t="s">
        <v>152</v>
      </c>
      <c r="V1062" s="381" t="s">
        <v>23</v>
      </c>
    </row>
    <row r="1063" spans="2:22">
      <c r="B1063" s="383">
        <v>46250</v>
      </c>
      <c r="C1063" s="383">
        <v>46250</v>
      </c>
      <c r="D1063" s="381" t="s">
        <v>5932</v>
      </c>
      <c r="E1063" s="382" t="s">
        <v>5933</v>
      </c>
      <c r="F1063" s="381" t="s">
        <v>87</v>
      </c>
      <c r="G1063" s="381" t="s">
        <v>2334</v>
      </c>
      <c r="H1063" s="387">
        <v>40</v>
      </c>
      <c r="I1063" s="381">
        <v>34.299999999999997</v>
      </c>
      <c r="J1063" s="381">
        <v>34.299999999999997</v>
      </c>
      <c r="K1063" s="381">
        <v>5</v>
      </c>
      <c r="L1063" s="381">
        <v>0</v>
      </c>
      <c r="M1063" s="381" t="s">
        <v>148</v>
      </c>
      <c r="N1063" s="381" t="s">
        <v>149</v>
      </c>
      <c r="O1063" s="381" t="s">
        <v>150</v>
      </c>
      <c r="P1063" s="381" t="s">
        <v>151</v>
      </c>
      <c r="Q1063" s="381"/>
      <c r="R1063" s="381" t="s">
        <v>5933</v>
      </c>
      <c r="S1063" s="381"/>
      <c r="T1063" s="381" t="s">
        <v>2918</v>
      </c>
      <c r="U1063" s="381" t="s">
        <v>152</v>
      </c>
      <c r="V1063" s="381" t="s">
        <v>23</v>
      </c>
    </row>
    <row r="1064" spans="2:22">
      <c r="B1064" s="383">
        <v>46250</v>
      </c>
      <c r="C1064" s="383">
        <v>46250</v>
      </c>
      <c r="D1064" s="381" t="s">
        <v>5934</v>
      </c>
      <c r="E1064" s="382" t="s">
        <v>5935</v>
      </c>
      <c r="F1064" s="381" t="s">
        <v>87</v>
      </c>
      <c r="G1064" s="381" t="s">
        <v>2357</v>
      </c>
      <c r="H1064" s="387">
        <v>40</v>
      </c>
      <c r="I1064" s="381">
        <v>36.9</v>
      </c>
      <c r="J1064" s="381">
        <v>36.9</v>
      </c>
      <c r="K1064" s="381">
        <v>5</v>
      </c>
      <c r="L1064" s="381">
        <v>0</v>
      </c>
      <c r="M1064" s="381" t="s">
        <v>148</v>
      </c>
      <c r="N1064" s="381" t="s">
        <v>149</v>
      </c>
      <c r="O1064" s="381" t="s">
        <v>150</v>
      </c>
      <c r="P1064" s="381" t="s">
        <v>151</v>
      </c>
      <c r="Q1064" s="381"/>
      <c r="R1064" s="381" t="s">
        <v>5935</v>
      </c>
      <c r="S1064" s="381"/>
      <c r="T1064" s="381" t="s">
        <v>2918</v>
      </c>
      <c r="U1064" s="381" t="s">
        <v>152</v>
      </c>
      <c r="V1064" s="381" t="s">
        <v>23</v>
      </c>
    </row>
    <row r="1065" spans="2:22">
      <c r="B1065" s="383">
        <v>46250</v>
      </c>
      <c r="C1065" s="383">
        <v>46250</v>
      </c>
      <c r="D1065" s="381" t="s">
        <v>5936</v>
      </c>
      <c r="E1065" s="382" t="s">
        <v>5937</v>
      </c>
      <c r="F1065" s="381" t="s">
        <v>87</v>
      </c>
      <c r="G1065" s="381" t="s">
        <v>4512</v>
      </c>
      <c r="H1065" s="387">
        <v>55</v>
      </c>
      <c r="I1065" s="381">
        <v>30.2</v>
      </c>
      <c r="J1065" s="381">
        <v>30.2</v>
      </c>
      <c r="K1065" s="381">
        <v>5</v>
      </c>
      <c r="L1065" s="381">
        <v>0</v>
      </c>
      <c r="M1065" s="381" t="s">
        <v>148</v>
      </c>
      <c r="N1065" s="381" t="s">
        <v>149</v>
      </c>
      <c r="O1065" s="381" t="s">
        <v>150</v>
      </c>
      <c r="P1065" s="381" t="s">
        <v>151</v>
      </c>
      <c r="Q1065" s="381"/>
      <c r="R1065" s="381" t="s">
        <v>5937</v>
      </c>
      <c r="S1065" s="381"/>
      <c r="T1065" s="381" t="s">
        <v>2918</v>
      </c>
      <c r="U1065" s="381" t="s">
        <v>152</v>
      </c>
      <c r="V1065" s="381" t="s">
        <v>23</v>
      </c>
    </row>
    <row r="1066" spans="2:22">
      <c r="B1066" s="383">
        <v>46250</v>
      </c>
      <c r="C1066" s="383">
        <v>46250</v>
      </c>
      <c r="D1066" s="381" t="s">
        <v>5938</v>
      </c>
      <c r="E1066" s="382" t="s">
        <v>5939</v>
      </c>
      <c r="F1066" s="381" t="s">
        <v>87</v>
      </c>
      <c r="G1066" s="381" t="s">
        <v>5766</v>
      </c>
      <c r="H1066" s="387">
        <v>45</v>
      </c>
      <c r="I1066" s="381">
        <v>39.799999999999997</v>
      </c>
      <c r="J1066" s="381">
        <v>39.799999999999997</v>
      </c>
      <c r="K1066" s="381">
        <v>5</v>
      </c>
      <c r="L1066" s="381">
        <v>0</v>
      </c>
      <c r="M1066" s="381" t="s">
        <v>148</v>
      </c>
      <c r="N1066" s="381" t="s">
        <v>149</v>
      </c>
      <c r="O1066" s="381" t="s">
        <v>150</v>
      </c>
      <c r="P1066" s="381" t="s">
        <v>151</v>
      </c>
      <c r="Q1066" s="381"/>
      <c r="R1066" s="381" t="s">
        <v>5939</v>
      </c>
      <c r="S1066" s="381"/>
      <c r="T1066" s="381" t="s">
        <v>2918</v>
      </c>
      <c r="U1066" s="381" t="s">
        <v>152</v>
      </c>
      <c r="V1066" s="381" t="s">
        <v>23</v>
      </c>
    </row>
    <row r="1067" spans="2:22">
      <c r="B1067" s="383">
        <v>46250</v>
      </c>
      <c r="C1067" s="383">
        <v>46250</v>
      </c>
      <c r="D1067" s="381" t="s">
        <v>5940</v>
      </c>
      <c r="E1067" s="382" t="s">
        <v>5941</v>
      </c>
      <c r="F1067" s="381" t="s">
        <v>87</v>
      </c>
      <c r="G1067" s="381" t="s">
        <v>1966</v>
      </c>
      <c r="H1067" s="387">
        <v>6</v>
      </c>
      <c r="I1067" s="381">
        <v>28.8</v>
      </c>
      <c r="J1067" s="381">
        <v>28.8</v>
      </c>
      <c r="K1067" s="381">
        <v>1.5</v>
      </c>
      <c r="L1067" s="381">
        <v>0</v>
      </c>
      <c r="M1067" s="381" t="s">
        <v>148</v>
      </c>
      <c r="N1067" s="381" t="s">
        <v>149</v>
      </c>
      <c r="O1067" s="381" t="s">
        <v>150</v>
      </c>
      <c r="P1067" s="381" t="s">
        <v>151</v>
      </c>
      <c r="Q1067" s="381"/>
      <c r="R1067" s="381" t="s">
        <v>5941</v>
      </c>
      <c r="S1067" s="381"/>
      <c r="T1067" s="381" t="s">
        <v>2918</v>
      </c>
      <c r="U1067" s="381" t="s">
        <v>152</v>
      </c>
      <c r="V1067" s="381" t="s">
        <v>23</v>
      </c>
    </row>
    <row r="1068" spans="2:22">
      <c r="B1068" s="383">
        <v>46250</v>
      </c>
      <c r="C1068" s="383">
        <v>46250</v>
      </c>
      <c r="D1068" s="381" t="s">
        <v>5942</v>
      </c>
      <c r="E1068" s="382" t="s">
        <v>5943</v>
      </c>
      <c r="F1068" s="381" t="s">
        <v>87</v>
      </c>
      <c r="G1068" s="381" t="s">
        <v>5097</v>
      </c>
      <c r="H1068" s="387">
        <v>25</v>
      </c>
      <c r="I1068" s="388">
        <v>38.4</v>
      </c>
      <c r="J1068" s="360">
        <v>38.4</v>
      </c>
      <c r="K1068" s="381">
        <v>4</v>
      </c>
      <c r="L1068" s="381">
        <v>0</v>
      </c>
      <c r="M1068" s="381" t="s">
        <v>148</v>
      </c>
      <c r="N1068" s="381" t="s">
        <v>149</v>
      </c>
      <c r="O1068" s="381" t="s">
        <v>150</v>
      </c>
      <c r="P1068" s="381" t="s">
        <v>151</v>
      </c>
      <c r="Q1068" s="381"/>
      <c r="R1068" s="381" t="s">
        <v>5943</v>
      </c>
      <c r="S1068" s="381"/>
      <c r="T1068" s="381" t="s">
        <v>2918</v>
      </c>
      <c r="U1068" s="381" t="s">
        <v>152</v>
      </c>
      <c r="V1068" s="381" t="s">
        <v>23</v>
      </c>
    </row>
    <row r="1069" spans="2:22">
      <c r="B1069" s="383">
        <v>46250</v>
      </c>
      <c r="C1069" s="383">
        <v>46250</v>
      </c>
      <c r="D1069" s="381" t="s">
        <v>5944</v>
      </c>
      <c r="E1069" s="382" t="s">
        <v>5945</v>
      </c>
      <c r="F1069" s="381" t="s">
        <v>87</v>
      </c>
      <c r="G1069" s="381" t="s">
        <v>4000</v>
      </c>
      <c r="H1069" s="387">
        <v>50</v>
      </c>
      <c r="I1069" s="381">
        <v>47.8</v>
      </c>
      <c r="J1069" s="381">
        <v>47.8</v>
      </c>
      <c r="K1069" s="381">
        <v>5</v>
      </c>
      <c r="L1069" s="381">
        <v>0</v>
      </c>
      <c r="M1069" s="381" t="s">
        <v>148</v>
      </c>
      <c r="N1069" s="381" t="s">
        <v>149</v>
      </c>
      <c r="O1069" s="381" t="s">
        <v>150</v>
      </c>
      <c r="P1069" s="381" t="s">
        <v>151</v>
      </c>
      <c r="Q1069" s="381"/>
      <c r="R1069" s="381" t="s">
        <v>5945</v>
      </c>
      <c r="S1069" s="381"/>
      <c r="T1069" s="381" t="s">
        <v>2918</v>
      </c>
      <c r="U1069" s="381" t="s">
        <v>152</v>
      </c>
      <c r="V1069" s="381" t="s">
        <v>23</v>
      </c>
    </row>
    <row r="1070" spans="2:22">
      <c r="B1070" s="383">
        <v>46250</v>
      </c>
      <c r="C1070" s="383">
        <v>46250</v>
      </c>
      <c r="D1070" s="381" t="s">
        <v>5946</v>
      </c>
      <c r="E1070" s="382" t="s">
        <v>5947</v>
      </c>
      <c r="F1070" s="381" t="s">
        <v>87</v>
      </c>
      <c r="G1070" s="381" t="s">
        <v>4000</v>
      </c>
      <c r="H1070" s="387">
        <v>50</v>
      </c>
      <c r="I1070" s="381">
        <v>37.799999999999997</v>
      </c>
      <c r="J1070" s="381">
        <v>37.799999999999997</v>
      </c>
      <c r="K1070" s="381">
        <v>5</v>
      </c>
      <c r="L1070" s="381">
        <v>0</v>
      </c>
      <c r="M1070" s="381" t="s">
        <v>148</v>
      </c>
      <c r="N1070" s="381" t="s">
        <v>149</v>
      </c>
      <c r="O1070" s="381" t="s">
        <v>150</v>
      </c>
      <c r="P1070" s="381" t="s">
        <v>151</v>
      </c>
      <c r="Q1070" s="381"/>
      <c r="R1070" s="381" t="s">
        <v>5947</v>
      </c>
      <c r="S1070" s="381"/>
      <c r="T1070" s="381" t="s">
        <v>2918</v>
      </c>
      <c r="U1070" s="381" t="s">
        <v>152</v>
      </c>
      <c r="V1070" s="381" t="s">
        <v>23</v>
      </c>
    </row>
    <row r="1071" spans="2:22">
      <c r="B1071" s="383">
        <v>46250</v>
      </c>
      <c r="C1071" s="383">
        <v>46250</v>
      </c>
      <c r="D1071" s="381" t="s">
        <v>5948</v>
      </c>
      <c r="E1071" s="382" t="s">
        <v>5949</v>
      </c>
      <c r="F1071" s="381" t="s">
        <v>87</v>
      </c>
      <c r="G1071" s="381" t="s">
        <v>2334</v>
      </c>
      <c r="H1071" s="387">
        <v>40</v>
      </c>
      <c r="I1071" s="381">
        <v>28.8</v>
      </c>
      <c r="J1071" s="381">
        <v>28.8</v>
      </c>
      <c r="K1071" s="381">
        <v>5</v>
      </c>
      <c r="L1071" s="381">
        <v>0</v>
      </c>
      <c r="M1071" s="381" t="s">
        <v>148</v>
      </c>
      <c r="N1071" s="381" t="s">
        <v>149</v>
      </c>
      <c r="O1071" s="381" t="s">
        <v>150</v>
      </c>
      <c r="P1071" s="381" t="s">
        <v>151</v>
      </c>
      <c r="Q1071" s="381"/>
      <c r="R1071" s="381" t="s">
        <v>5949</v>
      </c>
      <c r="S1071" s="381"/>
      <c r="T1071" s="381" t="s">
        <v>2918</v>
      </c>
      <c r="U1071" s="381" t="s">
        <v>152</v>
      </c>
      <c r="V1071" s="381" t="s">
        <v>23</v>
      </c>
    </row>
    <row r="1072" spans="2:22">
      <c r="B1072" s="383">
        <v>46250</v>
      </c>
      <c r="C1072" s="383">
        <v>46250</v>
      </c>
      <c r="D1072" s="381" t="s">
        <v>5950</v>
      </c>
      <c r="E1072" s="382" t="s">
        <v>5951</v>
      </c>
      <c r="F1072" s="381" t="s">
        <v>87</v>
      </c>
      <c r="G1072" s="381" t="s">
        <v>2404</v>
      </c>
      <c r="H1072" s="387">
        <v>40</v>
      </c>
      <c r="I1072" s="381">
        <v>20.8</v>
      </c>
      <c r="J1072" s="381">
        <v>20.8</v>
      </c>
      <c r="K1072" s="381">
        <v>5</v>
      </c>
      <c r="L1072" s="381">
        <v>0</v>
      </c>
      <c r="M1072" s="381" t="s">
        <v>148</v>
      </c>
      <c r="N1072" s="381" t="s">
        <v>149</v>
      </c>
      <c r="O1072" s="381" t="s">
        <v>150</v>
      </c>
      <c r="P1072" s="381" t="s">
        <v>151</v>
      </c>
      <c r="Q1072" s="381"/>
      <c r="R1072" s="381" t="s">
        <v>5951</v>
      </c>
      <c r="S1072" s="381"/>
      <c r="T1072" s="381" t="s">
        <v>2918</v>
      </c>
      <c r="U1072" s="381" t="s">
        <v>152</v>
      </c>
      <c r="V1072" s="381" t="s">
        <v>23</v>
      </c>
    </row>
    <row r="1073" spans="2:22">
      <c r="B1073" s="383">
        <v>46250</v>
      </c>
      <c r="C1073" s="383">
        <v>46250</v>
      </c>
      <c r="D1073" s="381" t="s">
        <v>5952</v>
      </c>
      <c r="E1073" s="382" t="s">
        <v>5953</v>
      </c>
      <c r="F1073" s="381" t="s">
        <v>87</v>
      </c>
      <c r="G1073" s="381" t="s">
        <v>4000</v>
      </c>
      <c r="H1073" s="387">
        <v>50</v>
      </c>
      <c r="I1073" s="381">
        <v>36.5</v>
      </c>
      <c r="J1073" s="381">
        <v>36.5</v>
      </c>
      <c r="K1073" s="381">
        <v>5</v>
      </c>
      <c r="L1073" s="381">
        <v>0</v>
      </c>
      <c r="M1073" s="381" t="s">
        <v>148</v>
      </c>
      <c r="N1073" s="381" t="s">
        <v>149</v>
      </c>
      <c r="O1073" s="381" t="s">
        <v>150</v>
      </c>
      <c r="P1073" s="381" t="s">
        <v>151</v>
      </c>
      <c r="Q1073" s="381"/>
      <c r="R1073" s="381" t="s">
        <v>5953</v>
      </c>
      <c r="S1073" s="381"/>
      <c r="T1073" s="381" t="s">
        <v>2918</v>
      </c>
      <c r="U1073" s="381" t="s">
        <v>152</v>
      </c>
      <c r="V1073" s="381" t="s">
        <v>23</v>
      </c>
    </row>
    <row r="1074" spans="2:22">
      <c r="B1074" s="383">
        <v>46250</v>
      </c>
      <c r="C1074" s="383">
        <v>46250</v>
      </c>
      <c r="D1074" s="381" t="s">
        <v>5954</v>
      </c>
      <c r="E1074" s="382" t="s">
        <v>5955</v>
      </c>
      <c r="F1074" s="381" t="s">
        <v>87</v>
      </c>
      <c r="G1074" s="381" t="s">
        <v>4000</v>
      </c>
      <c r="H1074" s="387">
        <v>50</v>
      </c>
      <c r="I1074" s="381">
        <v>30.6</v>
      </c>
      <c r="J1074" s="381">
        <v>30.6</v>
      </c>
      <c r="K1074" s="381">
        <v>5</v>
      </c>
      <c r="L1074" s="381">
        <v>0</v>
      </c>
      <c r="M1074" s="381" t="s">
        <v>148</v>
      </c>
      <c r="N1074" s="381" t="s">
        <v>149</v>
      </c>
      <c r="O1074" s="381" t="s">
        <v>150</v>
      </c>
      <c r="P1074" s="381" t="s">
        <v>151</v>
      </c>
      <c r="Q1074" s="381"/>
      <c r="R1074" s="381" t="s">
        <v>5955</v>
      </c>
      <c r="S1074" s="381"/>
      <c r="T1074" s="381" t="s">
        <v>2918</v>
      </c>
      <c r="U1074" s="381" t="s">
        <v>152</v>
      </c>
      <c r="V1074" s="381" t="s">
        <v>23</v>
      </c>
    </row>
    <row r="1075" spans="2:22">
      <c r="B1075" s="383">
        <v>46250</v>
      </c>
      <c r="C1075" s="383">
        <v>46250</v>
      </c>
      <c r="D1075" s="381" t="s">
        <v>5956</v>
      </c>
      <c r="E1075" s="382" t="s">
        <v>5957</v>
      </c>
      <c r="F1075" s="381" t="s">
        <v>87</v>
      </c>
      <c r="G1075" s="381" t="s">
        <v>2334</v>
      </c>
      <c r="H1075" s="387">
        <v>40</v>
      </c>
      <c r="I1075" s="381">
        <v>20.6</v>
      </c>
      <c r="J1075" s="381">
        <v>20.6</v>
      </c>
      <c r="K1075" s="381">
        <v>5</v>
      </c>
      <c r="L1075" s="381">
        <v>0</v>
      </c>
      <c r="M1075" s="381" t="s">
        <v>148</v>
      </c>
      <c r="N1075" s="381" t="s">
        <v>149</v>
      </c>
      <c r="O1075" s="381" t="s">
        <v>150</v>
      </c>
      <c r="P1075" s="381" t="s">
        <v>151</v>
      </c>
      <c r="Q1075" s="381"/>
      <c r="R1075" s="381" t="s">
        <v>5957</v>
      </c>
      <c r="S1075" s="381"/>
      <c r="T1075" s="381" t="s">
        <v>2918</v>
      </c>
      <c r="U1075" s="381" t="s">
        <v>152</v>
      </c>
      <c r="V1075" s="381" t="s">
        <v>23</v>
      </c>
    </row>
    <row r="1076" spans="2:22">
      <c r="B1076" s="383">
        <v>46250</v>
      </c>
      <c r="C1076" s="383">
        <v>46250</v>
      </c>
      <c r="D1076" s="381" t="s">
        <v>5958</v>
      </c>
      <c r="E1076" s="382" t="s">
        <v>5959</v>
      </c>
      <c r="F1076" s="381" t="s">
        <v>87</v>
      </c>
      <c r="G1076" s="381" t="s">
        <v>2404</v>
      </c>
      <c r="H1076" s="387">
        <v>40</v>
      </c>
      <c r="I1076" s="381">
        <v>30.6</v>
      </c>
      <c r="J1076" s="381">
        <v>30.6</v>
      </c>
      <c r="K1076" s="381">
        <v>5</v>
      </c>
      <c r="L1076" s="381">
        <v>0</v>
      </c>
      <c r="M1076" s="381" t="s">
        <v>148</v>
      </c>
      <c r="N1076" s="381" t="s">
        <v>149</v>
      </c>
      <c r="O1076" s="381" t="s">
        <v>150</v>
      </c>
      <c r="P1076" s="381" t="s">
        <v>151</v>
      </c>
      <c r="Q1076" s="381"/>
      <c r="R1076" s="381" t="s">
        <v>5959</v>
      </c>
      <c r="S1076" s="381"/>
      <c r="T1076" s="381" t="s">
        <v>2918</v>
      </c>
      <c r="U1076" s="381" t="s">
        <v>152</v>
      </c>
      <c r="V1076" s="381" t="s">
        <v>23</v>
      </c>
    </row>
    <row r="1077" spans="2:22">
      <c r="B1077" s="383">
        <v>46250</v>
      </c>
      <c r="C1077" s="383">
        <v>46250</v>
      </c>
      <c r="D1077" s="381" t="s">
        <v>5960</v>
      </c>
      <c r="E1077" s="382" t="s">
        <v>5961</v>
      </c>
      <c r="F1077" s="381" t="s">
        <v>87</v>
      </c>
      <c r="G1077" s="381" t="s">
        <v>2515</v>
      </c>
      <c r="H1077" s="387">
        <v>50</v>
      </c>
      <c r="I1077" s="381">
        <v>19.8</v>
      </c>
      <c r="J1077" s="381">
        <v>19.8</v>
      </c>
      <c r="K1077" s="381">
        <v>5</v>
      </c>
      <c r="L1077" s="381">
        <v>0</v>
      </c>
      <c r="M1077" s="381" t="s">
        <v>148</v>
      </c>
      <c r="N1077" s="381" t="s">
        <v>149</v>
      </c>
      <c r="O1077" s="381" t="s">
        <v>150</v>
      </c>
      <c r="P1077" s="381" t="s">
        <v>151</v>
      </c>
      <c r="Q1077" s="381"/>
      <c r="R1077" s="381" t="s">
        <v>5961</v>
      </c>
      <c r="S1077" s="381"/>
      <c r="T1077" s="381" t="s">
        <v>2918</v>
      </c>
      <c r="U1077" s="381" t="s">
        <v>152</v>
      </c>
      <c r="V1077" s="381" t="s">
        <v>23</v>
      </c>
    </row>
    <row r="1078" spans="2:22">
      <c r="B1078" s="383">
        <v>46250</v>
      </c>
      <c r="C1078" s="383">
        <v>46250</v>
      </c>
      <c r="D1078" s="381" t="s">
        <v>5962</v>
      </c>
      <c r="E1078" s="382" t="s">
        <v>5963</v>
      </c>
      <c r="F1078" s="381" t="s">
        <v>87</v>
      </c>
      <c r="G1078" s="381" t="s">
        <v>5097</v>
      </c>
      <c r="H1078" s="387">
        <v>25</v>
      </c>
      <c r="I1078" s="381">
        <v>37.799999999999997</v>
      </c>
      <c r="J1078" s="381">
        <v>37.799999999999997</v>
      </c>
      <c r="K1078" s="381">
        <v>4</v>
      </c>
      <c r="L1078" s="381">
        <v>0</v>
      </c>
      <c r="M1078" s="381" t="s">
        <v>148</v>
      </c>
      <c r="N1078" s="381" t="s">
        <v>149</v>
      </c>
      <c r="O1078" s="381" t="s">
        <v>150</v>
      </c>
      <c r="P1078" s="381" t="s">
        <v>151</v>
      </c>
      <c r="Q1078" s="381"/>
      <c r="R1078" s="381" t="s">
        <v>5963</v>
      </c>
      <c r="S1078" s="381"/>
      <c r="T1078" s="381" t="s">
        <v>2918</v>
      </c>
      <c r="U1078" s="381" t="s">
        <v>152</v>
      </c>
      <c r="V1078" s="381" t="s">
        <v>23</v>
      </c>
    </row>
    <row r="1079" spans="2:22">
      <c r="B1079" s="383">
        <v>46250</v>
      </c>
      <c r="C1079" s="383">
        <v>46250</v>
      </c>
      <c r="D1079" s="381" t="s">
        <v>5964</v>
      </c>
      <c r="E1079" s="382" t="s">
        <v>5965</v>
      </c>
      <c r="F1079" s="381" t="s">
        <v>87</v>
      </c>
      <c r="G1079" s="381" t="s">
        <v>2334</v>
      </c>
      <c r="H1079" s="387">
        <v>40</v>
      </c>
      <c r="I1079" s="381">
        <v>30.3</v>
      </c>
      <c r="J1079" s="381">
        <v>30.3</v>
      </c>
      <c r="K1079" s="381">
        <v>5</v>
      </c>
      <c r="L1079" s="381">
        <v>0</v>
      </c>
      <c r="M1079" s="381" t="s">
        <v>148</v>
      </c>
      <c r="N1079" s="381" t="s">
        <v>149</v>
      </c>
      <c r="O1079" s="381" t="s">
        <v>150</v>
      </c>
      <c r="P1079" s="381" t="s">
        <v>151</v>
      </c>
      <c r="Q1079" s="381"/>
      <c r="R1079" s="381" t="s">
        <v>5965</v>
      </c>
      <c r="S1079" s="381"/>
      <c r="T1079" s="381" t="s">
        <v>2918</v>
      </c>
      <c r="U1079" s="381" t="s">
        <v>152</v>
      </c>
      <c r="V1079" s="381" t="s">
        <v>23</v>
      </c>
    </row>
    <row r="1080" spans="2:22">
      <c r="B1080" s="383">
        <v>46250</v>
      </c>
      <c r="C1080" s="383">
        <v>46250</v>
      </c>
      <c r="D1080" s="381" t="s">
        <v>5966</v>
      </c>
      <c r="E1080" s="382" t="s">
        <v>5967</v>
      </c>
      <c r="F1080" s="381" t="s">
        <v>87</v>
      </c>
      <c r="G1080" s="381" t="s">
        <v>2334</v>
      </c>
      <c r="H1080" s="387">
        <v>40</v>
      </c>
      <c r="I1080" s="381">
        <v>34.799999999999997</v>
      </c>
      <c r="J1080" s="381">
        <v>34.799999999999997</v>
      </c>
      <c r="K1080" s="381">
        <v>5</v>
      </c>
      <c r="L1080" s="381">
        <v>0</v>
      </c>
      <c r="M1080" s="381" t="s">
        <v>148</v>
      </c>
      <c r="N1080" s="381" t="s">
        <v>149</v>
      </c>
      <c r="O1080" s="381" t="s">
        <v>150</v>
      </c>
      <c r="P1080" s="381" t="s">
        <v>151</v>
      </c>
      <c r="Q1080" s="381"/>
      <c r="R1080" s="381" t="s">
        <v>5967</v>
      </c>
      <c r="S1080" s="381"/>
      <c r="T1080" s="381" t="s">
        <v>2918</v>
      </c>
      <c r="U1080" s="381" t="s">
        <v>152</v>
      </c>
      <c r="V1080" s="381" t="s">
        <v>23</v>
      </c>
    </row>
    <row r="1081" spans="2:22">
      <c r="B1081" s="383">
        <v>46250</v>
      </c>
      <c r="C1081" s="383">
        <v>46250</v>
      </c>
      <c r="D1081" s="381" t="s">
        <v>5968</v>
      </c>
      <c r="E1081" s="382" t="s">
        <v>5969</v>
      </c>
      <c r="F1081" s="381" t="s">
        <v>87</v>
      </c>
      <c r="G1081" s="381" t="s">
        <v>2334</v>
      </c>
      <c r="H1081" s="387">
        <v>40</v>
      </c>
      <c r="I1081" s="381">
        <v>33.799999999999997</v>
      </c>
      <c r="J1081" s="381">
        <v>33.799999999999997</v>
      </c>
      <c r="K1081" s="381">
        <v>5</v>
      </c>
      <c r="L1081" s="381">
        <v>0</v>
      </c>
      <c r="M1081" s="381" t="s">
        <v>148</v>
      </c>
      <c r="N1081" s="381" t="s">
        <v>149</v>
      </c>
      <c r="O1081" s="381" t="s">
        <v>150</v>
      </c>
      <c r="P1081" s="381" t="s">
        <v>151</v>
      </c>
      <c r="Q1081" s="381"/>
      <c r="R1081" s="381" t="s">
        <v>5969</v>
      </c>
      <c r="S1081" s="381"/>
      <c r="T1081" s="381" t="s">
        <v>2918</v>
      </c>
      <c r="U1081" s="381" t="s">
        <v>152</v>
      </c>
      <c r="V1081" s="381" t="s">
        <v>23</v>
      </c>
    </row>
    <row r="1082" spans="2:22">
      <c r="B1082" s="383">
        <v>46250</v>
      </c>
      <c r="C1082" s="383">
        <v>46250</v>
      </c>
      <c r="D1082" s="381" t="s">
        <v>5970</v>
      </c>
      <c r="E1082" s="382" t="s">
        <v>5971</v>
      </c>
      <c r="F1082" s="381" t="s">
        <v>87</v>
      </c>
      <c r="G1082" s="381" t="s">
        <v>5097</v>
      </c>
      <c r="H1082" s="387">
        <v>25</v>
      </c>
      <c r="I1082" s="381">
        <v>30.4</v>
      </c>
      <c r="J1082" s="381">
        <v>30.4</v>
      </c>
      <c r="K1082" s="381">
        <v>4</v>
      </c>
      <c r="L1082" s="381">
        <v>0</v>
      </c>
      <c r="M1082" s="381" t="s">
        <v>148</v>
      </c>
      <c r="N1082" s="381" t="s">
        <v>149</v>
      </c>
      <c r="O1082" s="381" t="s">
        <v>150</v>
      </c>
      <c r="P1082" s="381" t="s">
        <v>151</v>
      </c>
      <c r="Q1082" s="381"/>
      <c r="R1082" s="381" t="s">
        <v>5971</v>
      </c>
      <c r="S1082" s="381"/>
      <c r="T1082" s="381" t="s">
        <v>2918</v>
      </c>
      <c r="U1082" s="381" t="s">
        <v>152</v>
      </c>
      <c r="V1082" s="381" t="s">
        <v>23</v>
      </c>
    </row>
    <row r="1083" spans="2:22">
      <c r="B1083" s="383">
        <v>46250</v>
      </c>
      <c r="C1083" s="383">
        <v>46250</v>
      </c>
      <c r="D1083" s="381" t="s">
        <v>5972</v>
      </c>
      <c r="E1083" s="382" t="s">
        <v>5973</v>
      </c>
      <c r="F1083" s="381" t="s">
        <v>87</v>
      </c>
      <c r="G1083" s="381" t="s">
        <v>2404</v>
      </c>
      <c r="H1083" s="387">
        <v>40</v>
      </c>
      <c r="I1083" s="381">
        <v>40.4</v>
      </c>
      <c r="J1083" s="381">
        <v>40.4</v>
      </c>
      <c r="K1083" s="381">
        <v>5</v>
      </c>
      <c r="L1083" s="381">
        <v>0</v>
      </c>
      <c r="M1083" s="381" t="s">
        <v>148</v>
      </c>
      <c r="N1083" s="381" t="s">
        <v>149</v>
      </c>
      <c r="O1083" s="381" t="s">
        <v>150</v>
      </c>
      <c r="P1083" s="381" t="s">
        <v>151</v>
      </c>
      <c r="Q1083" s="381"/>
      <c r="R1083" s="381" t="s">
        <v>5973</v>
      </c>
      <c r="S1083" s="381"/>
      <c r="T1083" s="381" t="s">
        <v>2918</v>
      </c>
      <c r="U1083" s="381" t="s">
        <v>152</v>
      </c>
      <c r="V1083" s="381" t="s">
        <v>23</v>
      </c>
    </row>
    <row r="1084" spans="2:22">
      <c r="B1084" s="383">
        <v>46250</v>
      </c>
      <c r="C1084" s="383">
        <v>46250</v>
      </c>
      <c r="D1084" s="381" t="s">
        <v>5974</v>
      </c>
      <c r="E1084" s="382" t="s">
        <v>5975</v>
      </c>
      <c r="F1084" s="381" t="s">
        <v>87</v>
      </c>
      <c r="G1084" s="381" t="s">
        <v>4000</v>
      </c>
      <c r="H1084" s="387">
        <v>50</v>
      </c>
      <c r="I1084" s="381">
        <v>40.5</v>
      </c>
      <c r="J1084" s="381">
        <v>40.5</v>
      </c>
      <c r="K1084" s="381">
        <v>5</v>
      </c>
      <c r="L1084" s="381">
        <v>0</v>
      </c>
      <c r="M1084" s="381" t="s">
        <v>148</v>
      </c>
      <c r="N1084" s="381" t="s">
        <v>149</v>
      </c>
      <c r="O1084" s="381" t="s">
        <v>150</v>
      </c>
      <c r="P1084" s="381" t="s">
        <v>151</v>
      </c>
      <c r="Q1084" s="381"/>
      <c r="R1084" s="381" t="s">
        <v>5975</v>
      </c>
      <c r="S1084" s="381"/>
      <c r="T1084" s="381" t="s">
        <v>2918</v>
      </c>
      <c r="U1084" s="381" t="s">
        <v>152</v>
      </c>
      <c r="V1084" s="381" t="s">
        <v>23</v>
      </c>
    </row>
    <row r="1085" spans="2:22">
      <c r="B1085" s="383">
        <v>46250</v>
      </c>
      <c r="C1085" s="383">
        <v>46250</v>
      </c>
      <c r="D1085" s="381" t="s">
        <v>5976</v>
      </c>
      <c r="E1085" s="382" t="s">
        <v>5977</v>
      </c>
      <c r="F1085" s="381" t="s">
        <v>87</v>
      </c>
      <c r="G1085" s="381" t="s">
        <v>4000</v>
      </c>
      <c r="H1085" s="387">
        <v>50</v>
      </c>
      <c r="I1085" s="381">
        <v>44.2</v>
      </c>
      <c r="J1085" s="381">
        <v>44.2</v>
      </c>
      <c r="K1085" s="381">
        <v>5</v>
      </c>
      <c r="L1085" s="381">
        <v>0</v>
      </c>
      <c r="M1085" s="381" t="s">
        <v>148</v>
      </c>
      <c r="N1085" s="381" t="s">
        <v>149</v>
      </c>
      <c r="O1085" s="381" t="s">
        <v>150</v>
      </c>
      <c r="P1085" s="381" t="s">
        <v>151</v>
      </c>
      <c r="Q1085" s="381"/>
      <c r="R1085" s="381" t="s">
        <v>5977</v>
      </c>
      <c r="S1085" s="381"/>
      <c r="T1085" s="381" t="s">
        <v>2918</v>
      </c>
      <c r="U1085" s="381" t="s">
        <v>152</v>
      </c>
      <c r="V1085" s="381" t="s">
        <v>23</v>
      </c>
    </row>
    <row r="1086" spans="2:22">
      <c r="B1086" s="383">
        <v>46250</v>
      </c>
      <c r="C1086" s="383">
        <v>46250</v>
      </c>
      <c r="D1086" s="381" t="s">
        <v>5978</v>
      </c>
      <c r="E1086" s="382" t="s">
        <v>5979</v>
      </c>
      <c r="F1086" s="381" t="s">
        <v>87</v>
      </c>
      <c r="G1086" s="381" t="s">
        <v>2334</v>
      </c>
      <c r="H1086" s="387">
        <v>40</v>
      </c>
      <c r="I1086" s="381">
        <v>28.1</v>
      </c>
      <c r="J1086" s="381">
        <v>28.1</v>
      </c>
      <c r="K1086" s="381">
        <v>5</v>
      </c>
      <c r="L1086" s="381">
        <v>0</v>
      </c>
      <c r="M1086" s="381" t="s">
        <v>148</v>
      </c>
      <c r="N1086" s="381" t="s">
        <v>149</v>
      </c>
      <c r="O1086" s="381" t="s">
        <v>150</v>
      </c>
      <c r="P1086" s="381" t="s">
        <v>151</v>
      </c>
      <c r="Q1086" s="381"/>
      <c r="R1086" s="381" t="s">
        <v>5979</v>
      </c>
      <c r="S1086" s="381"/>
      <c r="T1086" s="381" t="s">
        <v>2918</v>
      </c>
      <c r="U1086" s="381" t="s">
        <v>152</v>
      </c>
      <c r="V1086" s="381" t="s">
        <v>23</v>
      </c>
    </row>
    <row r="1087" spans="2:22">
      <c r="B1087" s="383">
        <v>46250</v>
      </c>
      <c r="C1087" s="383">
        <v>46250</v>
      </c>
      <c r="D1087" s="381" t="s">
        <v>5980</v>
      </c>
      <c r="E1087" s="382" t="s">
        <v>5981</v>
      </c>
      <c r="F1087" s="381" t="s">
        <v>87</v>
      </c>
      <c r="G1087" s="381" t="s">
        <v>2512</v>
      </c>
      <c r="H1087" s="387">
        <v>40</v>
      </c>
      <c r="I1087" s="381">
        <v>32.5</v>
      </c>
      <c r="J1087" s="381">
        <v>32.5</v>
      </c>
      <c r="K1087" s="381">
        <v>5</v>
      </c>
      <c r="L1087" s="381">
        <v>0</v>
      </c>
      <c r="M1087" s="381" t="s">
        <v>148</v>
      </c>
      <c r="N1087" s="381" t="s">
        <v>149</v>
      </c>
      <c r="O1087" s="381" t="s">
        <v>150</v>
      </c>
      <c r="P1087" s="381" t="s">
        <v>151</v>
      </c>
      <c r="Q1087" s="381"/>
      <c r="R1087" s="381" t="s">
        <v>5981</v>
      </c>
      <c r="S1087" s="381"/>
      <c r="T1087" s="381" t="s">
        <v>2918</v>
      </c>
      <c r="U1087" s="381" t="s">
        <v>152</v>
      </c>
      <c r="V1087" s="381" t="s">
        <v>23</v>
      </c>
    </row>
    <row r="1088" spans="2:22">
      <c r="B1088" s="383">
        <v>46250</v>
      </c>
      <c r="C1088" s="383">
        <v>46250</v>
      </c>
      <c r="D1088" s="381" t="s">
        <v>5982</v>
      </c>
      <c r="E1088" s="382" t="s">
        <v>5983</v>
      </c>
      <c r="F1088" s="381" t="s">
        <v>87</v>
      </c>
      <c r="G1088" s="381" t="s">
        <v>2515</v>
      </c>
      <c r="H1088" s="387">
        <v>50</v>
      </c>
      <c r="I1088" s="381">
        <v>36</v>
      </c>
      <c r="J1088" s="381">
        <v>36</v>
      </c>
      <c r="K1088" s="381">
        <v>5</v>
      </c>
      <c r="L1088" s="381">
        <v>0</v>
      </c>
      <c r="M1088" s="381" t="s">
        <v>148</v>
      </c>
      <c r="N1088" s="381" t="s">
        <v>149</v>
      </c>
      <c r="O1088" s="381" t="s">
        <v>150</v>
      </c>
      <c r="P1088" s="381" t="s">
        <v>151</v>
      </c>
      <c r="Q1088" s="381"/>
      <c r="R1088" s="381" t="s">
        <v>5983</v>
      </c>
      <c r="S1088" s="381"/>
      <c r="T1088" s="381" t="s">
        <v>2918</v>
      </c>
      <c r="U1088" s="381" t="s">
        <v>152</v>
      </c>
      <c r="V1088" s="381" t="s">
        <v>23</v>
      </c>
    </row>
    <row r="1089" spans="2:22">
      <c r="B1089" s="383">
        <v>46250</v>
      </c>
      <c r="C1089" s="383">
        <v>46250</v>
      </c>
      <c r="D1089" s="381" t="s">
        <v>5984</v>
      </c>
      <c r="E1089" s="382" t="s">
        <v>5985</v>
      </c>
      <c r="F1089" s="381" t="s">
        <v>87</v>
      </c>
      <c r="G1089" s="381" t="s">
        <v>5097</v>
      </c>
      <c r="H1089" s="387">
        <v>25</v>
      </c>
      <c r="I1089" s="381">
        <v>35.299999999999997</v>
      </c>
      <c r="J1089" s="381">
        <v>35.299999999999997</v>
      </c>
      <c r="K1089" s="381">
        <v>4</v>
      </c>
      <c r="L1089" s="381">
        <v>0</v>
      </c>
      <c r="M1089" s="381" t="s">
        <v>148</v>
      </c>
      <c r="N1089" s="381" t="s">
        <v>149</v>
      </c>
      <c r="O1089" s="381" t="s">
        <v>150</v>
      </c>
      <c r="P1089" s="381" t="s">
        <v>151</v>
      </c>
      <c r="Q1089" s="381"/>
      <c r="R1089" s="381" t="s">
        <v>5985</v>
      </c>
      <c r="S1089" s="381"/>
      <c r="T1089" s="381" t="s">
        <v>2918</v>
      </c>
      <c r="U1089" s="381" t="s">
        <v>152</v>
      </c>
      <c r="V1089" s="381" t="s">
        <v>23</v>
      </c>
    </row>
    <row r="1090" spans="2:22">
      <c r="B1090" s="383">
        <v>46250</v>
      </c>
      <c r="C1090" s="383">
        <v>46250</v>
      </c>
      <c r="D1090" s="381" t="s">
        <v>5986</v>
      </c>
      <c r="E1090" s="382" t="s">
        <v>5987</v>
      </c>
      <c r="F1090" s="381" t="s">
        <v>87</v>
      </c>
      <c r="G1090" s="381" t="s">
        <v>2334</v>
      </c>
      <c r="H1090" s="387">
        <v>40</v>
      </c>
      <c r="I1090" s="381">
        <v>35.799999999999997</v>
      </c>
      <c r="J1090" s="381">
        <v>35.799999999999997</v>
      </c>
      <c r="K1090" s="381">
        <v>5</v>
      </c>
      <c r="L1090" s="381">
        <v>0</v>
      </c>
      <c r="M1090" s="381" t="s">
        <v>148</v>
      </c>
      <c r="N1090" s="381" t="s">
        <v>149</v>
      </c>
      <c r="O1090" s="381" t="s">
        <v>150</v>
      </c>
      <c r="P1090" s="381" t="s">
        <v>151</v>
      </c>
      <c r="Q1090" s="381"/>
      <c r="R1090" s="381" t="s">
        <v>5987</v>
      </c>
      <c r="S1090" s="381"/>
      <c r="T1090" s="381" t="s">
        <v>2918</v>
      </c>
      <c r="U1090" s="381" t="s">
        <v>152</v>
      </c>
      <c r="V1090" s="381" t="s">
        <v>23</v>
      </c>
    </row>
    <row r="1091" spans="2:22">
      <c r="B1091" s="383">
        <v>46250</v>
      </c>
      <c r="C1091" s="383">
        <v>46250</v>
      </c>
      <c r="D1091" s="381" t="s">
        <v>5988</v>
      </c>
      <c r="E1091" s="382" t="s">
        <v>5989</v>
      </c>
      <c r="F1091" s="381" t="s">
        <v>87</v>
      </c>
      <c r="G1091" s="381" t="s">
        <v>4512</v>
      </c>
      <c r="H1091" s="387">
        <v>55</v>
      </c>
      <c r="I1091" s="381">
        <v>39.299999999999997</v>
      </c>
      <c r="J1091" s="381">
        <v>39.299999999999997</v>
      </c>
      <c r="K1091" s="381">
        <v>5</v>
      </c>
      <c r="L1091" s="381">
        <v>0</v>
      </c>
      <c r="M1091" s="381" t="s">
        <v>148</v>
      </c>
      <c r="N1091" s="381" t="s">
        <v>149</v>
      </c>
      <c r="O1091" s="381" t="s">
        <v>150</v>
      </c>
      <c r="P1091" s="381" t="s">
        <v>151</v>
      </c>
      <c r="Q1091" s="381"/>
      <c r="R1091" s="381" t="s">
        <v>5989</v>
      </c>
      <c r="S1091" s="381"/>
      <c r="T1091" s="381" t="s">
        <v>2918</v>
      </c>
      <c r="U1091" s="381" t="s">
        <v>152</v>
      </c>
      <c r="V1091" s="381" t="s">
        <v>23</v>
      </c>
    </row>
    <row r="1092" spans="2:22">
      <c r="B1092" s="383">
        <v>46250</v>
      </c>
      <c r="C1092" s="383">
        <v>46250</v>
      </c>
      <c r="D1092" s="381" t="s">
        <v>5990</v>
      </c>
      <c r="E1092" s="382" t="s">
        <v>5991</v>
      </c>
      <c r="F1092" s="381" t="s">
        <v>87</v>
      </c>
      <c r="G1092" s="381" t="s">
        <v>2404</v>
      </c>
      <c r="H1092" s="387">
        <v>40</v>
      </c>
      <c r="I1092" s="381">
        <v>35.6</v>
      </c>
      <c r="J1092" s="381">
        <v>35.6</v>
      </c>
      <c r="K1092" s="381">
        <v>5</v>
      </c>
      <c r="L1092" s="381">
        <v>0</v>
      </c>
      <c r="M1092" s="381" t="s">
        <v>148</v>
      </c>
      <c r="N1092" s="381" t="s">
        <v>149</v>
      </c>
      <c r="O1092" s="381" t="s">
        <v>150</v>
      </c>
      <c r="P1092" s="381" t="s">
        <v>151</v>
      </c>
      <c r="Q1092" s="381"/>
      <c r="R1092" s="381" t="s">
        <v>5991</v>
      </c>
      <c r="S1092" s="381"/>
      <c r="T1092" s="381" t="s">
        <v>2918</v>
      </c>
      <c r="U1092" s="381" t="s">
        <v>152</v>
      </c>
      <c r="V1092" s="381" t="s">
        <v>23</v>
      </c>
    </row>
    <row r="1093" spans="2:22">
      <c r="B1093" s="383">
        <v>46250</v>
      </c>
      <c r="C1093" s="383">
        <v>46250</v>
      </c>
      <c r="D1093" s="381" t="s">
        <v>5992</v>
      </c>
      <c r="E1093" s="382" t="s">
        <v>5993</v>
      </c>
      <c r="F1093" s="381" t="s">
        <v>87</v>
      </c>
      <c r="G1093" s="381" t="s">
        <v>2515</v>
      </c>
      <c r="H1093" s="387">
        <v>50</v>
      </c>
      <c r="I1093" s="381">
        <v>35.200000000000003</v>
      </c>
      <c r="J1093" s="381">
        <v>35.200000000000003</v>
      </c>
      <c r="K1093" s="381">
        <v>5</v>
      </c>
      <c r="L1093" s="381">
        <v>0</v>
      </c>
      <c r="M1093" s="381" t="s">
        <v>148</v>
      </c>
      <c r="N1093" s="381" t="s">
        <v>149</v>
      </c>
      <c r="O1093" s="381" t="s">
        <v>150</v>
      </c>
      <c r="P1093" s="381" t="s">
        <v>151</v>
      </c>
      <c r="Q1093" s="381"/>
      <c r="R1093" s="381" t="s">
        <v>5993</v>
      </c>
      <c r="S1093" s="381"/>
      <c r="T1093" s="381" t="s">
        <v>2918</v>
      </c>
      <c r="U1093" s="381" t="s">
        <v>152</v>
      </c>
      <c r="V1093" s="381" t="s">
        <v>23</v>
      </c>
    </row>
    <row r="1094" spans="2:22">
      <c r="B1094" s="383">
        <v>46250</v>
      </c>
      <c r="C1094" s="383">
        <v>46250</v>
      </c>
      <c r="D1094" s="381" t="s">
        <v>5994</v>
      </c>
      <c r="E1094" s="382" t="s">
        <v>5995</v>
      </c>
      <c r="F1094" s="381" t="s">
        <v>87</v>
      </c>
      <c r="G1094" s="381" t="s">
        <v>2357</v>
      </c>
      <c r="H1094" s="387">
        <v>40</v>
      </c>
      <c r="I1094" s="381">
        <v>30.2</v>
      </c>
      <c r="J1094" s="381">
        <v>30.2</v>
      </c>
      <c r="K1094" s="381">
        <v>5</v>
      </c>
      <c r="L1094" s="381">
        <v>0</v>
      </c>
      <c r="M1094" s="381" t="s">
        <v>148</v>
      </c>
      <c r="N1094" s="381" t="s">
        <v>149</v>
      </c>
      <c r="O1094" s="381" t="s">
        <v>150</v>
      </c>
      <c r="P1094" s="381" t="s">
        <v>151</v>
      </c>
      <c r="Q1094" s="381"/>
      <c r="R1094" s="381" t="s">
        <v>5995</v>
      </c>
      <c r="S1094" s="381"/>
      <c r="T1094" s="381" t="s">
        <v>2918</v>
      </c>
      <c r="U1094" s="381" t="s">
        <v>152</v>
      </c>
      <c r="V1094" s="381" t="s">
        <v>23</v>
      </c>
    </row>
    <row r="1095" spans="2:22">
      <c r="B1095" s="383">
        <v>46250</v>
      </c>
      <c r="C1095" s="383">
        <v>46250</v>
      </c>
      <c r="D1095" s="381" t="s">
        <v>5996</v>
      </c>
      <c r="E1095" s="382" t="s">
        <v>5997</v>
      </c>
      <c r="F1095" s="381" t="s">
        <v>87</v>
      </c>
      <c r="G1095" s="381" t="s">
        <v>2334</v>
      </c>
      <c r="H1095" s="387">
        <v>40</v>
      </c>
      <c r="I1095" s="381">
        <v>37.799999999999997</v>
      </c>
      <c r="J1095" s="381">
        <v>37.799999999999997</v>
      </c>
      <c r="K1095" s="381">
        <v>5</v>
      </c>
      <c r="L1095" s="381">
        <v>0</v>
      </c>
      <c r="M1095" s="381" t="s">
        <v>148</v>
      </c>
      <c r="N1095" s="381" t="s">
        <v>149</v>
      </c>
      <c r="O1095" s="381" t="s">
        <v>150</v>
      </c>
      <c r="P1095" s="381" t="s">
        <v>151</v>
      </c>
      <c r="Q1095" s="381"/>
      <c r="R1095" s="381" t="s">
        <v>5997</v>
      </c>
      <c r="S1095" s="381"/>
      <c r="T1095" s="381" t="s">
        <v>2918</v>
      </c>
      <c r="U1095" s="381" t="s">
        <v>152</v>
      </c>
      <c r="V1095" s="381" t="s">
        <v>23</v>
      </c>
    </row>
    <row r="1096" spans="2:22">
      <c r="B1096" s="383">
        <v>46250</v>
      </c>
      <c r="C1096" s="383">
        <v>46250</v>
      </c>
      <c r="D1096" s="381" t="s">
        <v>5998</v>
      </c>
      <c r="E1096" s="382" t="s">
        <v>5999</v>
      </c>
      <c r="F1096" s="381" t="s">
        <v>87</v>
      </c>
      <c r="G1096" s="381" t="s">
        <v>5766</v>
      </c>
      <c r="H1096" s="387">
        <v>45</v>
      </c>
      <c r="I1096" s="381">
        <v>28.6</v>
      </c>
      <c r="J1096" s="381">
        <v>28.6</v>
      </c>
      <c r="K1096" s="381">
        <v>5</v>
      </c>
      <c r="L1096" s="381">
        <v>0</v>
      </c>
      <c r="M1096" s="381" t="s">
        <v>148</v>
      </c>
      <c r="N1096" s="381" t="s">
        <v>149</v>
      </c>
      <c r="O1096" s="381" t="s">
        <v>150</v>
      </c>
      <c r="P1096" s="381" t="s">
        <v>151</v>
      </c>
      <c r="Q1096" s="381"/>
      <c r="R1096" s="381" t="s">
        <v>5999</v>
      </c>
      <c r="S1096" s="381"/>
      <c r="T1096" s="381" t="s">
        <v>2918</v>
      </c>
      <c r="U1096" s="381" t="s">
        <v>152</v>
      </c>
      <c r="V1096" s="381" t="s">
        <v>23</v>
      </c>
    </row>
    <row r="1097" spans="2:22">
      <c r="B1097" s="383">
        <v>46250</v>
      </c>
      <c r="C1097" s="383">
        <v>46250</v>
      </c>
      <c r="D1097" s="381" t="s">
        <v>6000</v>
      </c>
      <c r="E1097" s="382" t="s">
        <v>6001</v>
      </c>
      <c r="F1097" s="381" t="s">
        <v>87</v>
      </c>
      <c r="G1097" s="381" t="s">
        <v>2404</v>
      </c>
      <c r="H1097" s="387">
        <v>40</v>
      </c>
      <c r="I1097" s="381">
        <v>43.8</v>
      </c>
      <c r="J1097" s="381">
        <v>43.8</v>
      </c>
      <c r="K1097" s="381">
        <v>5</v>
      </c>
      <c r="L1097" s="381">
        <v>0</v>
      </c>
      <c r="M1097" s="381" t="s">
        <v>148</v>
      </c>
      <c r="N1097" s="381" t="s">
        <v>149</v>
      </c>
      <c r="O1097" s="381" t="s">
        <v>150</v>
      </c>
      <c r="P1097" s="381" t="s">
        <v>151</v>
      </c>
      <c r="Q1097" s="381"/>
      <c r="R1097" s="381" t="s">
        <v>6001</v>
      </c>
      <c r="S1097" s="381"/>
      <c r="T1097" s="381" t="s">
        <v>2918</v>
      </c>
      <c r="U1097" s="381" t="s">
        <v>152</v>
      </c>
      <c r="V1097" s="381" t="s">
        <v>23</v>
      </c>
    </row>
    <row r="1098" spans="2:22">
      <c r="B1098" s="383">
        <v>46250</v>
      </c>
      <c r="C1098" s="383">
        <v>46250</v>
      </c>
      <c r="D1098" s="381" t="s">
        <v>6002</v>
      </c>
      <c r="E1098" s="382" t="s">
        <v>6003</v>
      </c>
      <c r="F1098" s="381" t="s">
        <v>87</v>
      </c>
      <c r="G1098" s="381" t="s">
        <v>2404</v>
      </c>
      <c r="H1098" s="387">
        <v>40</v>
      </c>
      <c r="I1098" s="381">
        <v>43.8</v>
      </c>
      <c r="J1098" s="381">
        <v>43.8</v>
      </c>
      <c r="K1098" s="381">
        <v>5</v>
      </c>
      <c r="L1098" s="381">
        <v>0</v>
      </c>
      <c r="M1098" s="381" t="s">
        <v>148</v>
      </c>
      <c r="N1098" s="381" t="s">
        <v>149</v>
      </c>
      <c r="O1098" s="381" t="s">
        <v>150</v>
      </c>
      <c r="P1098" s="381" t="s">
        <v>151</v>
      </c>
      <c r="Q1098" s="381"/>
      <c r="R1098" s="381" t="s">
        <v>6003</v>
      </c>
      <c r="S1098" s="381"/>
      <c r="T1098" s="381" t="s">
        <v>2918</v>
      </c>
      <c r="U1098" s="381" t="s">
        <v>152</v>
      </c>
      <c r="V1098" s="381" t="s">
        <v>23</v>
      </c>
    </row>
    <row r="1099" spans="2:22">
      <c r="B1099" s="383">
        <v>46250</v>
      </c>
      <c r="C1099" s="383">
        <v>46250</v>
      </c>
      <c r="D1099" s="381" t="s">
        <v>6004</v>
      </c>
      <c r="E1099" s="382" t="s">
        <v>6005</v>
      </c>
      <c r="F1099" s="381" t="s">
        <v>87</v>
      </c>
      <c r="G1099" s="381" t="s">
        <v>2357</v>
      </c>
      <c r="H1099" s="387">
        <v>40</v>
      </c>
      <c r="I1099" s="381">
        <v>34.799999999999997</v>
      </c>
      <c r="J1099" s="381">
        <v>34.799999999999997</v>
      </c>
      <c r="K1099" s="381">
        <v>5</v>
      </c>
      <c r="L1099" s="381">
        <v>0</v>
      </c>
      <c r="M1099" s="381" t="s">
        <v>148</v>
      </c>
      <c r="N1099" s="381" t="s">
        <v>149</v>
      </c>
      <c r="O1099" s="381" t="s">
        <v>150</v>
      </c>
      <c r="P1099" s="381" t="s">
        <v>151</v>
      </c>
      <c r="Q1099" s="381"/>
      <c r="R1099" s="381" t="s">
        <v>6005</v>
      </c>
      <c r="S1099" s="381"/>
      <c r="T1099" s="381" t="s">
        <v>2918</v>
      </c>
      <c r="U1099" s="381" t="s">
        <v>152</v>
      </c>
      <c r="V1099" s="381" t="s">
        <v>23</v>
      </c>
    </row>
    <row r="1100" spans="2:22">
      <c r="B1100" s="383">
        <v>46251</v>
      </c>
      <c r="C1100" s="383">
        <v>46251</v>
      </c>
      <c r="D1100" s="381" t="s">
        <v>6006</v>
      </c>
      <c r="E1100" s="382" t="s">
        <v>6007</v>
      </c>
      <c r="F1100" s="381" t="s">
        <v>87</v>
      </c>
      <c r="G1100" s="381" t="s">
        <v>6008</v>
      </c>
      <c r="H1100" s="387">
        <v>30</v>
      </c>
      <c r="I1100" s="381">
        <v>37.799999999999997</v>
      </c>
      <c r="J1100" s="381">
        <v>37.799999999999997</v>
      </c>
      <c r="K1100" s="381">
        <v>4</v>
      </c>
      <c r="L1100" s="381">
        <v>0</v>
      </c>
      <c r="M1100" s="381" t="s">
        <v>148</v>
      </c>
      <c r="N1100" s="381" t="s">
        <v>149</v>
      </c>
      <c r="O1100" s="381" t="s">
        <v>150</v>
      </c>
      <c r="P1100" s="381" t="s">
        <v>151</v>
      </c>
      <c r="Q1100" s="381"/>
      <c r="R1100" s="381" t="s">
        <v>6007</v>
      </c>
      <c r="S1100" s="381"/>
      <c r="T1100" s="381" t="s">
        <v>2934</v>
      </c>
      <c r="U1100" s="381" t="s">
        <v>152</v>
      </c>
      <c r="V1100" s="381" t="s">
        <v>23</v>
      </c>
    </row>
    <row r="1101" spans="2:22">
      <c r="B1101" s="383">
        <v>46251</v>
      </c>
      <c r="C1101" s="383">
        <v>46251</v>
      </c>
      <c r="D1101" s="381" t="s">
        <v>6009</v>
      </c>
      <c r="E1101" s="382" t="s">
        <v>6010</v>
      </c>
      <c r="F1101" s="381" t="s">
        <v>87</v>
      </c>
      <c r="G1101" s="381" t="s">
        <v>5097</v>
      </c>
      <c r="H1101" s="387">
        <v>25</v>
      </c>
      <c r="I1101" s="381">
        <v>32.200000000000003</v>
      </c>
      <c r="J1101" s="381">
        <v>32.200000000000003</v>
      </c>
      <c r="K1101" s="381">
        <v>4</v>
      </c>
      <c r="L1101" s="381">
        <v>0</v>
      </c>
      <c r="M1101" s="381" t="s">
        <v>148</v>
      </c>
      <c r="N1101" s="381" t="s">
        <v>149</v>
      </c>
      <c r="O1101" s="381" t="s">
        <v>150</v>
      </c>
      <c r="P1101" s="381" t="s">
        <v>151</v>
      </c>
      <c r="Q1101" s="381"/>
      <c r="R1101" s="381" t="s">
        <v>6010</v>
      </c>
      <c r="S1101" s="381"/>
      <c r="T1101" s="381" t="s">
        <v>2934</v>
      </c>
      <c r="U1101" s="381" t="s">
        <v>152</v>
      </c>
      <c r="V1101" s="381" t="s">
        <v>23</v>
      </c>
    </row>
    <row r="1102" spans="2:22">
      <c r="B1102" s="383">
        <v>46251</v>
      </c>
      <c r="C1102" s="383">
        <v>46251</v>
      </c>
      <c r="D1102" s="381" t="s">
        <v>6011</v>
      </c>
      <c r="E1102" s="382" t="s">
        <v>6012</v>
      </c>
      <c r="F1102" s="381" t="s">
        <v>87</v>
      </c>
      <c r="G1102" s="381" t="s">
        <v>2404</v>
      </c>
      <c r="H1102" s="387">
        <v>40</v>
      </c>
      <c r="I1102" s="381">
        <v>39.5</v>
      </c>
      <c r="J1102" s="381">
        <v>39.5</v>
      </c>
      <c r="K1102" s="381">
        <v>5</v>
      </c>
      <c r="L1102" s="381">
        <v>0</v>
      </c>
      <c r="M1102" s="381" t="s">
        <v>148</v>
      </c>
      <c r="N1102" s="381" t="s">
        <v>149</v>
      </c>
      <c r="O1102" s="381" t="s">
        <v>150</v>
      </c>
      <c r="P1102" s="381" t="s">
        <v>151</v>
      </c>
      <c r="Q1102" s="381"/>
      <c r="R1102" s="381" t="s">
        <v>6012</v>
      </c>
      <c r="S1102" s="381"/>
      <c r="T1102" s="381" t="s">
        <v>2934</v>
      </c>
      <c r="U1102" s="381" t="s">
        <v>152</v>
      </c>
      <c r="V1102" s="381" t="s">
        <v>23</v>
      </c>
    </row>
    <row r="1103" spans="2:22">
      <c r="B1103" s="383">
        <v>46251</v>
      </c>
      <c r="C1103" s="383">
        <v>46251</v>
      </c>
      <c r="D1103" s="381" t="s">
        <v>6013</v>
      </c>
      <c r="E1103" s="382" t="s">
        <v>6014</v>
      </c>
      <c r="F1103" s="381" t="s">
        <v>87</v>
      </c>
      <c r="G1103" s="381" t="s">
        <v>4000</v>
      </c>
      <c r="H1103" s="387">
        <v>50</v>
      </c>
      <c r="I1103" s="381">
        <v>44.2</v>
      </c>
      <c r="J1103" s="381">
        <v>44.2</v>
      </c>
      <c r="K1103" s="381">
        <v>5</v>
      </c>
      <c r="L1103" s="381">
        <v>0</v>
      </c>
      <c r="M1103" s="381" t="s">
        <v>148</v>
      </c>
      <c r="N1103" s="381" t="s">
        <v>149</v>
      </c>
      <c r="O1103" s="381" t="s">
        <v>150</v>
      </c>
      <c r="P1103" s="381" t="s">
        <v>151</v>
      </c>
      <c r="Q1103" s="381"/>
      <c r="R1103" s="381" t="s">
        <v>6014</v>
      </c>
      <c r="S1103" s="381"/>
      <c r="T1103" s="381" t="s">
        <v>2934</v>
      </c>
      <c r="U1103" s="381" t="s">
        <v>152</v>
      </c>
      <c r="V1103" s="381" t="s">
        <v>23</v>
      </c>
    </row>
    <row r="1104" spans="2:22">
      <c r="B1104" s="383">
        <v>46251</v>
      </c>
      <c r="C1104" s="383">
        <v>46251</v>
      </c>
      <c r="D1104" s="381" t="s">
        <v>6015</v>
      </c>
      <c r="E1104" s="382" t="s">
        <v>6016</v>
      </c>
      <c r="F1104" s="381" t="s">
        <v>87</v>
      </c>
      <c r="G1104" s="381" t="s">
        <v>4000</v>
      </c>
      <c r="H1104" s="387">
        <v>50</v>
      </c>
      <c r="I1104" s="381">
        <v>42.8</v>
      </c>
      <c r="J1104" s="381">
        <v>42.8</v>
      </c>
      <c r="K1104" s="381">
        <v>5</v>
      </c>
      <c r="L1104" s="381">
        <v>0</v>
      </c>
      <c r="M1104" s="381" t="s">
        <v>148</v>
      </c>
      <c r="N1104" s="381" t="s">
        <v>149</v>
      </c>
      <c r="O1104" s="381" t="s">
        <v>150</v>
      </c>
      <c r="P1104" s="381" t="s">
        <v>151</v>
      </c>
      <c r="Q1104" s="381"/>
      <c r="R1104" s="381" t="s">
        <v>6016</v>
      </c>
      <c r="S1104" s="381"/>
      <c r="T1104" s="381" t="s">
        <v>2934</v>
      </c>
      <c r="U1104" s="381" t="s">
        <v>152</v>
      </c>
      <c r="V1104" s="381" t="s">
        <v>23</v>
      </c>
    </row>
    <row r="1105" spans="2:22">
      <c r="B1105" s="383">
        <v>46251</v>
      </c>
      <c r="C1105" s="383">
        <v>46251</v>
      </c>
      <c r="D1105" s="381" t="s">
        <v>6017</v>
      </c>
      <c r="E1105" s="382" t="s">
        <v>6018</v>
      </c>
      <c r="F1105" s="381" t="s">
        <v>87</v>
      </c>
      <c r="G1105" s="381" t="s">
        <v>2334</v>
      </c>
      <c r="H1105" s="387">
        <v>40</v>
      </c>
      <c r="I1105" s="381">
        <v>40.1</v>
      </c>
      <c r="J1105" s="381">
        <v>40.1</v>
      </c>
      <c r="K1105" s="381">
        <v>5</v>
      </c>
      <c r="L1105" s="381">
        <v>0</v>
      </c>
      <c r="M1105" s="381" t="s">
        <v>148</v>
      </c>
      <c r="N1105" s="381" t="s">
        <v>149</v>
      </c>
      <c r="O1105" s="381" t="s">
        <v>150</v>
      </c>
      <c r="P1105" s="381" t="s">
        <v>151</v>
      </c>
      <c r="Q1105" s="381"/>
      <c r="R1105" s="381" t="s">
        <v>6018</v>
      </c>
      <c r="S1105" s="381"/>
      <c r="T1105" s="381" t="s">
        <v>2934</v>
      </c>
      <c r="U1105" s="381" t="s">
        <v>152</v>
      </c>
      <c r="V1105" s="381" t="s">
        <v>23</v>
      </c>
    </row>
    <row r="1106" spans="2:22">
      <c r="B1106" s="383">
        <v>46251</v>
      </c>
      <c r="C1106" s="383">
        <v>46251</v>
      </c>
      <c r="D1106" s="381" t="s">
        <v>6019</v>
      </c>
      <c r="E1106" s="382" t="s">
        <v>6020</v>
      </c>
      <c r="F1106" s="381" t="s">
        <v>87</v>
      </c>
      <c r="G1106" s="381" t="s">
        <v>5097</v>
      </c>
      <c r="H1106" s="387">
        <v>25</v>
      </c>
      <c r="I1106" s="381">
        <v>45.3</v>
      </c>
      <c r="J1106" s="381">
        <v>45.3</v>
      </c>
      <c r="K1106" s="381">
        <v>4</v>
      </c>
      <c r="L1106" s="381">
        <v>0</v>
      </c>
      <c r="M1106" s="381" t="s">
        <v>148</v>
      </c>
      <c r="N1106" s="381" t="s">
        <v>149</v>
      </c>
      <c r="O1106" s="381" t="s">
        <v>150</v>
      </c>
      <c r="P1106" s="381" t="s">
        <v>151</v>
      </c>
      <c r="Q1106" s="381"/>
      <c r="R1106" s="381" t="s">
        <v>6020</v>
      </c>
      <c r="S1106" s="381"/>
      <c r="T1106" s="381" t="s">
        <v>2934</v>
      </c>
      <c r="U1106" s="381" t="s">
        <v>152</v>
      </c>
      <c r="V1106" s="381" t="s">
        <v>23</v>
      </c>
    </row>
    <row r="1107" spans="2:22">
      <c r="B1107" s="383">
        <v>46251</v>
      </c>
      <c r="C1107" s="383">
        <v>46251</v>
      </c>
      <c r="D1107" s="381" t="s">
        <v>6021</v>
      </c>
      <c r="E1107" s="382" t="s">
        <v>6022</v>
      </c>
      <c r="F1107" s="381" t="s">
        <v>87</v>
      </c>
      <c r="G1107" s="381" t="s">
        <v>2404</v>
      </c>
      <c r="H1107" s="387">
        <v>40</v>
      </c>
      <c r="I1107" s="381">
        <v>28.3</v>
      </c>
      <c r="J1107" s="381">
        <v>28.3</v>
      </c>
      <c r="K1107" s="381">
        <v>5</v>
      </c>
      <c r="L1107" s="381">
        <v>0</v>
      </c>
      <c r="M1107" s="381" t="s">
        <v>148</v>
      </c>
      <c r="N1107" s="381" t="s">
        <v>149</v>
      </c>
      <c r="O1107" s="381" t="s">
        <v>150</v>
      </c>
      <c r="P1107" s="381" t="s">
        <v>151</v>
      </c>
      <c r="Q1107" s="381"/>
      <c r="R1107" s="381" t="s">
        <v>6022</v>
      </c>
      <c r="S1107" s="381"/>
      <c r="T1107" s="381" t="s">
        <v>2934</v>
      </c>
      <c r="U1107" s="381" t="s">
        <v>152</v>
      </c>
      <c r="V1107" s="381" t="s">
        <v>23</v>
      </c>
    </row>
    <row r="1108" spans="2:22">
      <c r="B1108" s="383">
        <v>46251</v>
      </c>
      <c r="C1108" s="383">
        <v>46251</v>
      </c>
      <c r="D1108" s="381" t="s">
        <v>6023</v>
      </c>
      <c r="E1108" s="382" t="s">
        <v>6024</v>
      </c>
      <c r="F1108" s="381" t="s">
        <v>87</v>
      </c>
      <c r="G1108" s="381" t="s">
        <v>4000</v>
      </c>
      <c r="H1108" s="387">
        <v>50</v>
      </c>
      <c r="I1108" s="381">
        <v>42.8</v>
      </c>
      <c r="J1108" s="381">
        <v>42.8</v>
      </c>
      <c r="K1108" s="381">
        <v>5</v>
      </c>
      <c r="L1108" s="381">
        <v>0</v>
      </c>
      <c r="M1108" s="381" t="s">
        <v>148</v>
      </c>
      <c r="N1108" s="381" t="s">
        <v>149</v>
      </c>
      <c r="O1108" s="381" t="s">
        <v>150</v>
      </c>
      <c r="P1108" s="381" t="s">
        <v>151</v>
      </c>
      <c r="Q1108" s="381"/>
      <c r="R1108" s="381" t="s">
        <v>6024</v>
      </c>
      <c r="S1108" s="381"/>
      <c r="T1108" s="381" t="s">
        <v>2934</v>
      </c>
      <c r="U1108" s="381" t="s">
        <v>152</v>
      </c>
      <c r="V1108" s="381" t="s">
        <v>23</v>
      </c>
    </row>
    <row r="1109" spans="2:22">
      <c r="B1109" s="383">
        <v>46251</v>
      </c>
      <c r="C1109" s="383">
        <v>46251</v>
      </c>
      <c r="D1109" s="381" t="s">
        <v>6025</v>
      </c>
      <c r="E1109" s="382" t="s">
        <v>6026</v>
      </c>
      <c r="F1109" s="381" t="s">
        <v>87</v>
      </c>
      <c r="G1109" s="381" t="s">
        <v>2357</v>
      </c>
      <c r="H1109" s="387">
        <v>40</v>
      </c>
      <c r="I1109" s="381">
        <v>26.8</v>
      </c>
      <c r="J1109" s="381">
        <v>26.8</v>
      </c>
      <c r="K1109" s="381">
        <v>5</v>
      </c>
      <c r="L1109" s="381">
        <v>0</v>
      </c>
      <c r="M1109" s="381" t="s">
        <v>148</v>
      </c>
      <c r="N1109" s="381" t="s">
        <v>149</v>
      </c>
      <c r="O1109" s="381" t="s">
        <v>150</v>
      </c>
      <c r="P1109" s="381" t="s">
        <v>151</v>
      </c>
      <c r="Q1109" s="381"/>
      <c r="R1109" s="381" t="s">
        <v>6026</v>
      </c>
      <c r="S1109" s="381"/>
      <c r="T1109" s="381" t="s">
        <v>2934</v>
      </c>
      <c r="U1109" s="381" t="s">
        <v>152</v>
      </c>
      <c r="V1109" s="381" t="s">
        <v>23</v>
      </c>
    </row>
    <row r="1110" spans="2:22">
      <c r="B1110" s="383">
        <v>46251</v>
      </c>
      <c r="C1110" s="383">
        <v>46251</v>
      </c>
      <c r="D1110" s="381" t="s">
        <v>6027</v>
      </c>
      <c r="E1110" s="382" t="s">
        <v>6028</v>
      </c>
      <c r="F1110" s="381" t="s">
        <v>87</v>
      </c>
      <c r="G1110" s="381" t="s">
        <v>6008</v>
      </c>
      <c r="H1110" s="387">
        <v>30</v>
      </c>
      <c r="I1110" s="381">
        <v>30.4</v>
      </c>
      <c r="J1110" s="381">
        <v>30.4</v>
      </c>
      <c r="K1110" s="381">
        <v>4</v>
      </c>
      <c r="L1110" s="381">
        <v>0</v>
      </c>
      <c r="M1110" s="381" t="s">
        <v>148</v>
      </c>
      <c r="N1110" s="381" t="s">
        <v>149</v>
      </c>
      <c r="O1110" s="381" t="s">
        <v>150</v>
      </c>
      <c r="P1110" s="381" t="s">
        <v>151</v>
      </c>
      <c r="Q1110" s="381"/>
      <c r="R1110" s="381" t="s">
        <v>6028</v>
      </c>
      <c r="S1110" s="381"/>
      <c r="T1110" s="381" t="s">
        <v>2934</v>
      </c>
      <c r="U1110" s="381" t="s">
        <v>152</v>
      </c>
      <c r="V1110" s="381" t="s">
        <v>23</v>
      </c>
    </row>
    <row r="1111" spans="2:22">
      <c r="B1111" s="383">
        <v>46251</v>
      </c>
      <c r="C1111" s="383">
        <v>46251</v>
      </c>
      <c r="D1111" s="381" t="s">
        <v>6029</v>
      </c>
      <c r="E1111" s="382" t="s">
        <v>6030</v>
      </c>
      <c r="F1111" s="381" t="s">
        <v>87</v>
      </c>
      <c r="G1111" s="381" t="s">
        <v>6008</v>
      </c>
      <c r="H1111" s="387">
        <v>30</v>
      </c>
      <c r="I1111" s="381">
        <v>33.799999999999997</v>
      </c>
      <c r="J1111" s="381">
        <v>33.799999999999997</v>
      </c>
      <c r="K1111" s="381">
        <v>4</v>
      </c>
      <c r="L1111" s="381">
        <v>0</v>
      </c>
      <c r="M1111" s="381" t="s">
        <v>148</v>
      </c>
      <c r="N1111" s="381" t="s">
        <v>149</v>
      </c>
      <c r="O1111" s="381" t="s">
        <v>150</v>
      </c>
      <c r="P1111" s="381" t="s">
        <v>151</v>
      </c>
      <c r="Q1111" s="381"/>
      <c r="R1111" s="381" t="s">
        <v>6030</v>
      </c>
      <c r="S1111" s="381"/>
      <c r="T1111" s="381" t="s">
        <v>2934</v>
      </c>
      <c r="U1111" s="381" t="s">
        <v>152</v>
      </c>
      <c r="V1111" s="381" t="s">
        <v>23</v>
      </c>
    </row>
    <row r="1112" spans="2:22">
      <c r="B1112" s="383">
        <v>46251</v>
      </c>
      <c r="C1112" s="383">
        <v>46251</v>
      </c>
      <c r="D1112" s="381" t="s">
        <v>6031</v>
      </c>
      <c r="E1112" s="382" t="s">
        <v>6032</v>
      </c>
      <c r="F1112" s="381" t="s">
        <v>87</v>
      </c>
      <c r="G1112" s="381" t="s">
        <v>4000</v>
      </c>
      <c r="H1112" s="387">
        <v>50</v>
      </c>
      <c r="I1112" s="381">
        <v>40.799999999999997</v>
      </c>
      <c r="J1112" s="381">
        <v>40.799999999999997</v>
      </c>
      <c r="K1112" s="381">
        <v>5</v>
      </c>
      <c r="L1112" s="381">
        <v>0</v>
      </c>
      <c r="M1112" s="381" t="s">
        <v>148</v>
      </c>
      <c r="N1112" s="381" t="s">
        <v>149</v>
      </c>
      <c r="O1112" s="381" t="s">
        <v>150</v>
      </c>
      <c r="P1112" s="381" t="s">
        <v>151</v>
      </c>
      <c r="Q1112" s="381"/>
      <c r="R1112" s="381" t="s">
        <v>6032</v>
      </c>
      <c r="S1112" s="381"/>
      <c r="T1112" s="381" t="s">
        <v>2934</v>
      </c>
      <c r="U1112" s="381" t="s">
        <v>152</v>
      </c>
      <c r="V1112" s="381" t="s">
        <v>23</v>
      </c>
    </row>
    <row r="1113" spans="2:22">
      <c r="B1113" s="383">
        <v>46251</v>
      </c>
      <c r="C1113" s="383">
        <v>46251</v>
      </c>
      <c r="D1113" s="381" t="s">
        <v>6033</v>
      </c>
      <c r="E1113" s="382" t="s">
        <v>6034</v>
      </c>
      <c r="F1113" s="381" t="s">
        <v>87</v>
      </c>
      <c r="G1113" s="381" t="s">
        <v>4000</v>
      </c>
      <c r="H1113" s="387">
        <v>50</v>
      </c>
      <c r="I1113" s="381">
        <v>42.5</v>
      </c>
      <c r="J1113" s="381">
        <v>42.5</v>
      </c>
      <c r="K1113" s="381">
        <v>5</v>
      </c>
      <c r="L1113" s="381">
        <v>0</v>
      </c>
      <c r="M1113" s="381" t="s">
        <v>148</v>
      </c>
      <c r="N1113" s="381" t="s">
        <v>149</v>
      </c>
      <c r="O1113" s="381" t="s">
        <v>150</v>
      </c>
      <c r="P1113" s="381" t="s">
        <v>151</v>
      </c>
      <c r="Q1113" s="381"/>
      <c r="R1113" s="381" t="s">
        <v>6034</v>
      </c>
      <c r="S1113" s="381"/>
      <c r="T1113" s="381" t="s">
        <v>2934</v>
      </c>
      <c r="U1113" s="381" t="s">
        <v>152</v>
      </c>
      <c r="V1113" s="381" t="s">
        <v>23</v>
      </c>
    </row>
    <row r="1114" spans="2:22">
      <c r="B1114" s="383">
        <v>46251</v>
      </c>
      <c r="C1114" s="383">
        <v>46251</v>
      </c>
      <c r="D1114" s="381" t="s">
        <v>6035</v>
      </c>
      <c r="E1114" s="382" t="s">
        <v>6036</v>
      </c>
      <c r="F1114" s="381" t="s">
        <v>87</v>
      </c>
      <c r="G1114" s="381" t="s">
        <v>2404</v>
      </c>
      <c r="H1114" s="387">
        <v>40</v>
      </c>
      <c r="I1114" s="381">
        <v>40.200000000000003</v>
      </c>
      <c r="J1114" s="381">
        <v>40.200000000000003</v>
      </c>
      <c r="K1114" s="381">
        <v>5</v>
      </c>
      <c r="L1114" s="381">
        <v>0</v>
      </c>
      <c r="M1114" s="381" t="s">
        <v>148</v>
      </c>
      <c r="N1114" s="381" t="s">
        <v>149</v>
      </c>
      <c r="O1114" s="381" t="s">
        <v>150</v>
      </c>
      <c r="P1114" s="381" t="s">
        <v>151</v>
      </c>
      <c r="Q1114" s="381"/>
      <c r="R1114" s="381" t="s">
        <v>6036</v>
      </c>
      <c r="S1114" s="381"/>
      <c r="T1114" s="381" t="s">
        <v>2934</v>
      </c>
      <c r="U1114" s="381" t="s">
        <v>152</v>
      </c>
      <c r="V1114" s="381" t="s">
        <v>23</v>
      </c>
    </row>
    <row r="1115" spans="2:22">
      <c r="B1115" s="383">
        <v>46251</v>
      </c>
      <c r="C1115" s="383">
        <v>46251</v>
      </c>
      <c r="D1115" s="381" t="s">
        <v>6037</v>
      </c>
      <c r="E1115" s="382" t="s">
        <v>6038</v>
      </c>
      <c r="F1115" s="381" t="s">
        <v>87</v>
      </c>
      <c r="G1115" s="381" t="s">
        <v>2357</v>
      </c>
      <c r="H1115" s="387">
        <v>40</v>
      </c>
      <c r="I1115" s="381">
        <v>39.200000000000003</v>
      </c>
      <c r="J1115" s="381">
        <v>39.200000000000003</v>
      </c>
      <c r="K1115" s="381">
        <v>5</v>
      </c>
      <c r="L1115" s="381">
        <v>0</v>
      </c>
      <c r="M1115" s="381" t="s">
        <v>148</v>
      </c>
      <c r="N1115" s="381" t="s">
        <v>149</v>
      </c>
      <c r="O1115" s="381" t="s">
        <v>150</v>
      </c>
      <c r="P1115" s="381" t="s">
        <v>151</v>
      </c>
      <c r="Q1115" s="381"/>
      <c r="R1115" s="381" t="s">
        <v>6038</v>
      </c>
      <c r="S1115" s="381"/>
      <c r="T1115" s="381" t="s">
        <v>2934</v>
      </c>
      <c r="U1115" s="381" t="s">
        <v>152</v>
      </c>
      <c r="V1115" s="381" t="s">
        <v>23</v>
      </c>
    </row>
    <row r="1116" spans="2:22">
      <c r="B1116" s="383">
        <v>46251</v>
      </c>
      <c r="C1116" s="383">
        <v>46251</v>
      </c>
      <c r="D1116" s="381" t="s">
        <v>6039</v>
      </c>
      <c r="E1116" s="382" t="s">
        <v>6040</v>
      </c>
      <c r="F1116" s="381" t="s">
        <v>87</v>
      </c>
      <c r="G1116" s="381" t="s">
        <v>1678</v>
      </c>
      <c r="H1116" s="387">
        <v>30</v>
      </c>
      <c r="I1116" s="381">
        <v>34.799999999999997</v>
      </c>
      <c r="J1116" s="381">
        <v>34.799999999999997</v>
      </c>
      <c r="K1116" s="381">
        <v>4</v>
      </c>
      <c r="L1116" s="381">
        <v>0</v>
      </c>
      <c r="M1116" s="381" t="s">
        <v>148</v>
      </c>
      <c r="N1116" s="381" t="s">
        <v>149</v>
      </c>
      <c r="O1116" s="381" t="s">
        <v>150</v>
      </c>
      <c r="P1116" s="381" t="s">
        <v>151</v>
      </c>
      <c r="Q1116" s="381"/>
      <c r="R1116" s="381" t="s">
        <v>6040</v>
      </c>
      <c r="S1116" s="381"/>
      <c r="T1116" s="381" t="s">
        <v>2934</v>
      </c>
      <c r="U1116" s="381" t="s">
        <v>152</v>
      </c>
      <c r="V1116" s="381" t="s">
        <v>23</v>
      </c>
    </row>
    <row r="1117" spans="2:22">
      <c r="B1117" s="383">
        <v>46251</v>
      </c>
      <c r="C1117" s="383">
        <v>46251</v>
      </c>
      <c r="D1117" s="381" t="s">
        <v>6041</v>
      </c>
      <c r="E1117" s="382" t="s">
        <v>6042</v>
      </c>
      <c r="F1117" s="381" t="s">
        <v>87</v>
      </c>
      <c r="G1117" s="381" t="s">
        <v>1678</v>
      </c>
      <c r="H1117" s="387">
        <v>30</v>
      </c>
      <c r="I1117" s="381">
        <v>33.799999999999997</v>
      </c>
      <c r="J1117" s="381">
        <v>33.799999999999997</v>
      </c>
      <c r="K1117" s="381">
        <v>4</v>
      </c>
      <c r="L1117" s="381">
        <v>0</v>
      </c>
      <c r="M1117" s="381" t="s">
        <v>148</v>
      </c>
      <c r="N1117" s="381" t="s">
        <v>149</v>
      </c>
      <c r="O1117" s="381" t="s">
        <v>150</v>
      </c>
      <c r="P1117" s="381" t="s">
        <v>151</v>
      </c>
      <c r="Q1117" s="381"/>
      <c r="R1117" s="381" t="s">
        <v>6042</v>
      </c>
      <c r="S1117" s="381"/>
      <c r="T1117" s="381" t="s">
        <v>2934</v>
      </c>
      <c r="U1117" s="381" t="s">
        <v>152</v>
      </c>
      <c r="V1117" s="381" t="s">
        <v>23</v>
      </c>
    </row>
    <row r="1118" spans="2:22">
      <c r="B1118" s="383">
        <v>46251</v>
      </c>
      <c r="C1118" s="383">
        <v>46251</v>
      </c>
      <c r="D1118" s="381" t="s">
        <v>6043</v>
      </c>
      <c r="E1118" s="382" t="s">
        <v>6044</v>
      </c>
      <c r="F1118" s="381" t="s">
        <v>87</v>
      </c>
      <c r="G1118" s="381" t="s">
        <v>4512</v>
      </c>
      <c r="H1118" s="387">
        <v>55</v>
      </c>
      <c r="I1118" s="381">
        <v>41.8</v>
      </c>
      <c r="J1118" s="381">
        <v>41.8</v>
      </c>
      <c r="K1118" s="381">
        <v>5</v>
      </c>
      <c r="L1118" s="381">
        <v>0</v>
      </c>
      <c r="M1118" s="381" t="s">
        <v>148</v>
      </c>
      <c r="N1118" s="381" t="s">
        <v>149</v>
      </c>
      <c r="O1118" s="381" t="s">
        <v>150</v>
      </c>
      <c r="P1118" s="381" t="s">
        <v>151</v>
      </c>
      <c r="Q1118" s="381"/>
      <c r="R1118" s="381" t="s">
        <v>6044</v>
      </c>
      <c r="S1118" s="381"/>
      <c r="T1118" s="381" t="s">
        <v>2934</v>
      </c>
      <c r="U1118" s="381" t="s">
        <v>152</v>
      </c>
      <c r="V1118" s="381" t="s">
        <v>23</v>
      </c>
    </row>
    <row r="1119" spans="2:22">
      <c r="B1119" s="383">
        <v>46251</v>
      </c>
      <c r="C1119" s="383">
        <v>46251</v>
      </c>
      <c r="D1119" s="381" t="s">
        <v>6045</v>
      </c>
      <c r="E1119" s="382" t="s">
        <v>6046</v>
      </c>
      <c r="F1119" s="381" t="s">
        <v>87</v>
      </c>
      <c r="G1119" s="381" t="s">
        <v>2404</v>
      </c>
      <c r="H1119" s="387">
        <v>40</v>
      </c>
      <c r="I1119" s="381">
        <v>38.299999999999997</v>
      </c>
      <c r="J1119" s="381">
        <v>38.299999999999997</v>
      </c>
      <c r="K1119" s="381">
        <v>5</v>
      </c>
      <c r="L1119" s="381">
        <v>0</v>
      </c>
      <c r="M1119" s="381" t="s">
        <v>148</v>
      </c>
      <c r="N1119" s="381" t="s">
        <v>149</v>
      </c>
      <c r="O1119" s="381" t="s">
        <v>150</v>
      </c>
      <c r="P1119" s="381" t="s">
        <v>151</v>
      </c>
      <c r="Q1119" s="381"/>
      <c r="R1119" s="381" t="s">
        <v>6046</v>
      </c>
      <c r="S1119" s="381"/>
      <c r="T1119" s="381" t="s">
        <v>2934</v>
      </c>
      <c r="U1119" s="381" t="s">
        <v>152</v>
      </c>
      <c r="V1119" s="381" t="s">
        <v>23</v>
      </c>
    </row>
    <row r="1120" spans="2:22">
      <c r="B1120" s="383">
        <v>46251</v>
      </c>
      <c r="C1120" s="383">
        <v>46251</v>
      </c>
      <c r="D1120" s="381" t="s">
        <v>6047</v>
      </c>
      <c r="E1120" s="382" t="s">
        <v>6048</v>
      </c>
      <c r="F1120" s="381" t="s">
        <v>87</v>
      </c>
      <c r="G1120" s="381" t="s">
        <v>2357</v>
      </c>
      <c r="H1120" s="387">
        <v>40</v>
      </c>
      <c r="I1120" s="381">
        <v>42.8</v>
      </c>
      <c r="J1120" s="381">
        <v>42.8</v>
      </c>
      <c r="K1120" s="381">
        <v>5</v>
      </c>
      <c r="L1120" s="381">
        <v>0</v>
      </c>
      <c r="M1120" s="381" t="s">
        <v>148</v>
      </c>
      <c r="N1120" s="381" t="s">
        <v>149</v>
      </c>
      <c r="O1120" s="381" t="s">
        <v>150</v>
      </c>
      <c r="P1120" s="381" t="s">
        <v>151</v>
      </c>
      <c r="Q1120" s="381"/>
      <c r="R1120" s="381" t="s">
        <v>6048</v>
      </c>
      <c r="S1120" s="381"/>
      <c r="T1120" s="381" t="s">
        <v>2934</v>
      </c>
      <c r="U1120" s="381" t="s">
        <v>152</v>
      </c>
      <c r="V1120" s="381" t="s">
        <v>23</v>
      </c>
    </row>
    <row r="1121" spans="2:22">
      <c r="B1121" s="383">
        <v>46251</v>
      </c>
      <c r="C1121" s="383">
        <v>46251</v>
      </c>
      <c r="D1121" s="381" t="s">
        <v>6049</v>
      </c>
      <c r="E1121" s="382" t="s">
        <v>6050</v>
      </c>
      <c r="F1121" s="381" t="s">
        <v>87</v>
      </c>
      <c r="G1121" s="381" t="s">
        <v>2357</v>
      </c>
      <c r="H1121" s="387">
        <v>40</v>
      </c>
      <c r="I1121" s="381">
        <v>36.299999999999997</v>
      </c>
      <c r="J1121" s="381">
        <v>36.299999999999997</v>
      </c>
      <c r="K1121" s="381">
        <v>5</v>
      </c>
      <c r="L1121" s="381">
        <v>0</v>
      </c>
      <c r="M1121" s="381" t="s">
        <v>148</v>
      </c>
      <c r="N1121" s="381" t="s">
        <v>149</v>
      </c>
      <c r="O1121" s="381" t="s">
        <v>150</v>
      </c>
      <c r="P1121" s="381" t="s">
        <v>151</v>
      </c>
      <c r="Q1121" s="381"/>
      <c r="R1121" s="381" t="s">
        <v>6050</v>
      </c>
      <c r="S1121" s="381"/>
      <c r="T1121" s="381" t="s">
        <v>2934</v>
      </c>
      <c r="U1121" s="381" t="s">
        <v>152</v>
      </c>
      <c r="V1121" s="381" t="s">
        <v>23</v>
      </c>
    </row>
    <row r="1122" spans="2:22">
      <c r="B1122" s="383">
        <v>46251</v>
      </c>
      <c r="C1122" s="383">
        <v>46251</v>
      </c>
      <c r="D1122" s="381" t="s">
        <v>6051</v>
      </c>
      <c r="E1122" s="382" t="s">
        <v>6052</v>
      </c>
      <c r="F1122" s="381" t="s">
        <v>87</v>
      </c>
      <c r="G1122" s="381" t="s">
        <v>2334</v>
      </c>
      <c r="H1122" s="387">
        <v>40</v>
      </c>
      <c r="I1122" s="381">
        <v>34.799999999999997</v>
      </c>
      <c r="J1122" s="381">
        <v>34.799999999999997</v>
      </c>
      <c r="K1122" s="381">
        <v>5</v>
      </c>
      <c r="L1122" s="381">
        <v>0</v>
      </c>
      <c r="M1122" s="381" t="s">
        <v>148</v>
      </c>
      <c r="N1122" s="381" t="s">
        <v>149</v>
      </c>
      <c r="O1122" s="381" t="s">
        <v>150</v>
      </c>
      <c r="P1122" s="381" t="s">
        <v>151</v>
      </c>
      <c r="Q1122" s="381"/>
      <c r="R1122" s="381" t="s">
        <v>6052</v>
      </c>
      <c r="S1122" s="381"/>
      <c r="T1122" s="381" t="s">
        <v>2934</v>
      </c>
      <c r="U1122" s="381" t="s">
        <v>152</v>
      </c>
      <c r="V1122" s="381" t="s">
        <v>23</v>
      </c>
    </row>
    <row r="1123" spans="2:22">
      <c r="B1123" s="383">
        <v>46251</v>
      </c>
      <c r="C1123" s="383">
        <v>46251</v>
      </c>
      <c r="D1123" s="381" t="s">
        <v>6053</v>
      </c>
      <c r="E1123" s="382" t="s">
        <v>6054</v>
      </c>
      <c r="F1123" s="381" t="s">
        <v>87</v>
      </c>
      <c r="G1123" s="381" t="s">
        <v>2334</v>
      </c>
      <c r="H1123" s="387">
        <v>40</v>
      </c>
      <c r="I1123" s="381">
        <v>17.8</v>
      </c>
      <c r="J1123" s="381">
        <v>17.8</v>
      </c>
      <c r="K1123" s="381">
        <v>5</v>
      </c>
      <c r="L1123" s="381">
        <v>0</v>
      </c>
      <c r="M1123" s="381" t="s">
        <v>148</v>
      </c>
      <c r="N1123" s="381" t="s">
        <v>149</v>
      </c>
      <c r="O1123" s="381" t="s">
        <v>150</v>
      </c>
      <c r="P1123" s="381" t="s">
        <v>151</v>
      </c>
      <c r="Q1123" s="381"/>
      <c r="R1123" s="381" t="s">
        <v>6054</v>
      </c>
      <c r="S1123" s="381"/>
      <c r="T1123" s="381" t="s">
        <v>2934</v>
      </c>
      <c r="U1123" s="381" t="s">
        <v>152</v>
      </c>
      <c r="V1123" s="381" t="s">
        <v>23</v>
      </c>
    </row>
    <row r="1124" spans="2:22">
      <c r="B1124" s="383">
        <v>46251</v>
      </c>
      <c r="C1124" s="383">
        <v>46251</v>
      </c>
      <c r="D1124" s="381" t="s">
        <v>6055</v>
      </c>
      <c r="E1124" s="382" t="s">
        <v>6056</v>
      </c>
      <c r="F1124" s="381" t="s">
        <v>87</v>
      </c>
      <c r="G1124" s="381" t="s">
        <v>2334</v>
      </c>
      <c r="H1124" s="387">
        <v>40</v>
      </c>
      <c r="I1124" s="381">
        <v>11.3</v>
      </c>
      <c r="J1124" s="381">
        <v>11.3</v>
      </c>
      <c r="K1124" s="381">
        <v>5</v>
      </c>
      <c r="L1124" s="381">
        <v>0</v>
      </c>
      <c r="M1124" s="381" t="s">
        <v>148</v>
      </c>
      <c r="N1124" s="381" t="s">
        <v>149</v>
      </c>
      <c r="O1124" s="381" t="s">
        <v>150</v>
      </c>
      <c r="P1124" s="381" t="s">
        <v>151</v>
      </c>
      <c r="Q1124" s="381"/>
      <c r="R1124" s="381" t="s">
        <v>6056</v>
      </c>
      <c r="S1124" s="381"/>
      <c r="T1124" s="381" t="s">
        <v>2934</v>
      </c>
      <c r="U1124" s="381" t="s">
        <v>152</v>
      </c>
      <c r="V1124" s="381" t="s">
        <v>23</v>
      </c>
    </row>
    <row r="1125" spans="2:22">
      <c r="B1125" s="383">
        <v>46251</v>
      </c>
      <c r="C1125" s="383">
        <v>46251</v>
      </c>
      <c r="D1125" s="381" t="s">
        <v>6057</v>
      </c>
      <c r="E1125" s="382" t="s">
        <v>6058</v>
      </c>
      <c r="F1125" s="381" t="s">
        <v>87</v>
      </c>
      <c r="G1125" s="381" t="s">
        <v>6008</v>
      </c>
      <c r="H1125" s="387">
        <v>30</v>
      </c>
      <c r="I1125" s="381">
        <v>33.799999999999997</v>
      </c>
      <c r="J1125" s="381">
        <v>33.799999999999997</v>
      </c>
      <c r="K1125" s="381">
        <v>4</v>
      </c>
      <c r="L1125" s="381">
        <v>0</v>
      </c>
      <c r="M1125" s="381" t="s">
        <v>148</v>
      </c>
      <c r="N1125" s="381" t="s">
        <v>149</v>
      </c>
      <c r="O1125" s="381" t="s">
        <v>150</v>
      </c>
      <c r="P1125" s="381" t="s">
        <v>151</v>
      </c>
      <c r="Q1125" s="381"/>
      <c r="R1125" s="381" t="s">
        <v>6058</v>
      </c>
      <c r="S1125" s="381"/>
      <c r="T1125" s="381" t="s">
        <v>2934</v>
      </c>
      <c r="U1125" s="381" t="s">
        <v>152</v>
      </c>
      <c r="V1125" s="381" t="s">
        <v>23</v>
      </c>
    </row>
    <row r="1126" spans="2:22">
      <c r="B1126" s="383">
        <v>46251</v>
      </c>
      <c r="C1126" s="383">
        <v>46251</v>
      </c>
      <c r="D1126" s="381" t="s">
        <v>6059</v>
      </c>
      <c r="E1126" s="382" t="s">
        <v>6060</v>
      </c>
      <c r="F1126" s="381" t="s">
        <v>87</v>
      </c>
      <c r="G1126" s="381" t="s">
        <v>6008</v>
      </c>
      <c r="H1126" s="387">
        <v>30</v>
      </c>
      <c r="I1126" s="381">
        <v>22.4</v>
      </c>
      <c r="J1126" s="381">
        <v>22.4</v>
      </c>
      <c r="K1126" s="381">
        <v>4</v>
      </c>
      <c r="L1126" s="381">
        <v>0</v>
      </c>
      <c r="M1126" s="381" t="s">
        <v>148</v>
      </c>
      <c r="N1126" s="381" t="s">
        <v>149</v>
      </c>
      <c r="O1126" s="381" t="s">
        <v>150</v>
      </c>
      <c r="P1126" s="381" t="s">
        <v>151</v>
      </c>
      <c r="Q1126" s="381"/>
      <c r="R1126" s="381" t="s">
        <v>6060</v>
      </c>
      <c r="S1126" s="381"/>
      <c r="T1126" s="381" t="s">
        <v>2934</v>
      </c>
      <c r="U1126" s="381" t="s">
        <v>152</v>
      </c>
      <c r="V1126" s="381" t="s">
        <v>23</v>
      </c>
    </row>
    <row r="1127" spans="2:22">
      <c r="B1127" s="383">
        <v>46251</v>
      </c>
      <c r="C1127" s="383">
        <v>46251</v>
      </c>
      <c r="D1127" s="381" t="s">
        <v>6061</v>
      </c>
      <c r="E1127" s="382" t="s">
        <v>6062</v>
      </c>
      <c r="F1127" s="381" t="s">
        <v>87</v>
      </c>
      <c r="G1127" s="381" t="s">
        <v>6008</v>
      </c>
      <c r="H1127" s="387">
        <v>30</v>
      </c>
      <c r="I1127" s="381">
        <v>41.2</v>
      </c>
      <c r="J1127" s="381">
        <v>41.2</v>
      </c>
      <c r="K1127" s="381">
        <v>4</v>
      </c>
      <c r="L1127" s="381">
        <v>0</v>
      </c>
      <c r="M1127" s="381" t="s">
        <v>148</v>
      </c>
      <c r="N1127" s="381" t="s">
        <v>149</v>
      </c>
      <c r="O1127" s="381" t="s">
        <v>150</v>
      </c>
      <c r="P1127" s="381" t="s">
        <v>151</v>
      </c>
      <c r="Q1127" s="381"/>
      <c r="R1127" s="381" t="s">
        <v>6062</v>
      </c>
      <c r="S1127" s="381"/>
      <c r="T1127" s="381" t="s">
        <v>2934</v>
      </c>
      <c r="U1127" s="381" t="s">
        <v>152</v>
      </c>
      <c r="V1127" s="381" t="s">
        <v>23</v>
      </c>
    </row>
    <row r="1128" spans="2:22">
      <c r="B1128" s="383">
        <v>46251</v>
      </c>
      <c r="C1128" s="383">
        <v>46251</v>
      </c>
      <c r="D1128" s="381" t="s">
        <v>6063</v>
      </c>
      <c r="E1128" s="382" t="s">
        <v>6064</v>
      </c>
      <c r="F1128" s="381" t="s">
        <v>87</v>
      </c>
      <c r="G1128" s="381" t="s">
        <v>5097</v>
      </c>
      <c r="H1128" s="387">
        <v>25</v>
      </c>
      <c r="I1128" s="381">
        <v>32.799999999999997</v>
      </c>
      <c r="J1128" s="381">
        <v>32.799999999999997</v>
      </c>
      <c r="K1128" s="381">
        <v>4</v>
      </c>
      <c r="L1128" s="381">
        <v>0</v>
      </c>
      <c r="M1128" s="381" t="s">
        <v>148</v>
      </c>
      <c r="N1128" s="381" t="s">
        <v>149</v>
      </c>
      <c r="O1128" s="381" t="s">
        <v>150</v>
      </c>
      <c r="P1128" s="381" t="s">
        <v>151</v>
      </c>
      <c r="Q1128" s="381"/>
      <c r="R1128" s="381" t="s">
        <v>6064</v>
      </c>
      <c r="S1128" s="381"/>
      <c r="T1128" s="381" t="s">
        <v>2934</v>
      </c>
      <c r="U1128" s="381" t="s">
        <v>152</v>
      </c>
      <c r="V1128" s="381" t="s">
        <v>23</v>
      </c>
    </row>
    <row r="1129" spans="2:22">
      <c r="B1129" s="383">
        <v>46251</v>
      </c>
      <c r="C1129" s="383">
        <v>46251</v>
      </c>
      <c r="D1129" s="381" t="s">
        <v>6065</v>
      </c>
      <c r="E1129" s="382" t="s">
        <v>6066</v>
      </c>
      <c r="F1129" s="381" t="s">
        <v>87</v>
      </c>
      <c r="G1129" s="381" t="s">
        <v>5097</v>
      </c>
      <c r="H1129" s="387">
        <v>25</v>
      </c>
      <c r="I1129" s="381">
        <v>26.5</v>
      </c>
      <c r="J1129" s="381">
        <v>26.5</v>
      </c>
      <c r="K1129" s="381">
        <v>4</v>
      </c>
      <c r="L1129" s="381">
        <v>0</v>
      </c>
      <c r="M1129" s="381" t="s">
        <v>148</v>
      </c>
      <c r="N1129" s="381" t="s">
        <v>149</v>
      </c>
      <c r="O1129" s="381" t="s">
        <v>150</v>
      </c>
      <c r="P1129" s="381" t="s">
        <v>151</v>
      </c>
      <c r="Q1129" s="381"/>
      <c r="R1129" s="381" t="s">
        <v>6066</v>
      </c>
      <c r="S1129" s="381"/>
      <c r="T1129" s="381" t="s">
        <v>2934</v>
      </c>
      <c r="U1129" s="381" t="s">
        <v>152</v>
      </c>
      <c r="V1129" s="381" t="s">
        <v>23</v>
      </c>
    </row>
    <row r="1130" spans="2:22">
      <c r="B1130" s="383">
        <v>46251</v>
      </c>
      <c r="C1130" s="383">
        <v>46251</v>
      </c>
      <c r="D1130" s="381" t="s">
        <v>6067</v>
      </c>
      <c r="E1130" s="382" t="s">
        <v>6068</v>
      </c>
      <c r="F1130" s="381" t="s">
        <v>87</v>
      </c>
      <c r="G1130" s="381" t="s">
        <v>2334</v>
      </c>
      <c r="H1130" s="387">
        <v>40</v>
      </c>
      <c r="I1130" s="381">
        <v>40.200000000000003</v>
      </c>
      <c r="J1130" s="381">
        <v>40.200000000000003</v>
      </c>
      <c r="K1130" s="381">
        <v>5</v>
      </c>
      <c r="L1130" s="381">
        <v>0</v>
      </c>
      <c r="M1130" s="381" t="s">
        <v>148</v>
      </c>
      <c r="N1130" s="381" t="s">
        <v>149</v>
      </c>
      <c r="O1130" s="381" t="s">
        <v>150</v>
      </c>
      <c r="P1130" s="381" t="s">
        <v>151</v>
      </c>
      <c r="Q1130" s="381"/>
      <c r="R1130" s="381" t="s">
        <v>6068</v>
      </c>
      <c r="S1130" s="381"/>
      <c r="T1130" s="381" t="s">
        <v>2934</v>
      </c>
      <c r="U1130" s="381" t="s">
        <v>152</v>
      </c>
      <c r="V1130" s="381" t="s">
        <v>23</v>
      </c>
    </row>
    <row r="1131" spans="2:22">
      <c r="B1131" s="383">
        <v>46251</v>
      </c>
      <c r="C1131" s="383">
        <v>46251</v>
      </c>
      <c r="D1131" s="381" t="s">
        <v>6069</v>
      </c>
      <c r="E1131" s="382" t="s">
        <v>6070</v>
      </c>
      <c r="F1131" s="381" t="s">
        <v>87</v>
      </c>
      <c r="G1131" s="381" t="s">
        <v>2334</v>
      </c>
      <c r="H1131" s="387">
        <v>40</v>
      </c>
      <c r="I1131" s="381">
        <v>20.399999999999999</v>
      </c>
      <c r="J1131" s="381">
        <v>20.399999999999999</v>
      </c>
      <c r="K1131" s="381">
        <v>5</v>
      </c>
      <c r="L1131" s="381">
        <v>0</v>
      </c>
      <c r="M1131" s="381" t="s">
        <v>148</v>
      </c>
      <c r="N1131" s="381" t="s">
        <v>149</v>
      </c>
      <c r="O1131" s="381" t="s">
        <v>150</v>
      </c>
      <c r="P1131" s="381" t="s">
        <v>151</v>
      </c>
      <c r="Q1131" s="381"/>
      <c r="R1131" s="381" t="s">
        <v>6070</v>
      </c>
      <c r="S1131" s="381"/>
      <c r="T1131" s="381" t="s">
        <v>2934</v>
      </c>
      <c r="U1131" s="381" t="s">
        <v>152</v>
      </c>
      <c r="V1131" s="381" t="s">
        <v>23</v>
      </c>
    </row>
    <row r="1132" spans="2:22">
      <c r="B1132" s="383">
        <v>46251</v>
      </c>
      <c r="C1132" s="383">
        <v>46251</v>
      </c>
      <c r="D1132" s="381" t="s">
        <v>6071</v>
      </c>
      <c r="E1132" s="382" t="s">
        <v>6072</v>
      </c>
      <c r="F1132" s="381" t="s">
        <v>87</v>
      </c>
      <c r="G1132" s="381" t="s">
        <v>5097</v>
      </c>
      <c r="H1132" s="387">
        <v>25</v>
      </c>
      <c r="I1132" s="381">
        <v>35.799999999999997</v>
      </c>
      <c r="J1132" s="381">
        <v>35.799999999999997</v>
      </c>
      <c r="K1132" s="381">
        <v>4</v>
      </c>
      <c r="L1132" s="381">
        <v>0</v>
      </c>
      <c r="M1132" s="381" t="s">
        <v>148</v>
      </c>
      <c r="N1132" s="381" t="s">
        <v>149</v>
      </c>
      <c r="O1132" s="381" t="s">
        <v>150</v>
      </c>
      <c r="P1132" s="381" t="s">
        <v>151</v>
      </c>
      <c r="Q1132" s="381"/>
      <c r="R1132" s="381" t="s">
        <v>6072</v>
      </c>
      <c r="S1132" s="381"/>
      <c r="T1132" s="381" t="s">
        <v>2934</v>
      </c>
      <c r="U1132" s="381" t="s">
        <v>152</v>
      </c>
      <c r="V1132" s="381" t="s">
        <v>23</v>
      </c>
    </row>
    <row r="1133" spans="2:22">
      <c r="B1133" s="383">
        <v>46251</v>
      </c>
      <c r="C1133" s="383">
        <v>46251</v>
      </c>
      <c r="D1133" s="381" t="s">
        <v>6073</v>
      </c>
      <c r="E1133" s="382" t="s">
        <v>6074</v>
      </c>
      <c r="F1133" s="381" t="s">
        <v>87</v>
      </c>
      <c r="G1133" s="381" t="s">
        <v>1678</v>
      </c>
      <c r="H1133" s="387">
        <v>30</v>
      </c>
      <c r="I1133" s="381">
        <v>28.3</v>
      </c>
      <c r="J1133" s="381">
        <v>28.3</v>
      </c>
      <c r="K1133" s="381">
        <v>4</v>
      </c>
      <c r="L1133" s="381">
        <v>0</v>
      </c>
      <c r="M1133" s="381" t="s">
        <v>148</v>
      </c>
      <c r="N1133" s="381" t="s">
        <v>149</v>
      </c>
      <c r="O1133" s="381" t="s">
        <v>150</v>
      </c>
      <c r="P1133" s="381" t="s">
        <v>151</v>
      </c>
      <c r="Q1133" s="381"/>
      <c r="R1133" s="381" t="s">
        <v>6074</v>
      </c>
      <c r="S1133" s="381"/>
      <c r="T1133" s="381" t="s">
        <v>2934</v>
      </c>
      <c r="U1133" s="381" t="s">
        <v>152</v>
      </c>
      <c r="V1133" s="381" t="s">
        <v>23</v>
      </c>
    </row>
    <row r="1134" spans="2:22">
      <c r="B1134" s="383">
        <v>46251</v>
      </c>
      <c r="C1134" s="383">
        <v>46251</v>
      </c>
      <c r="D1134" s="381" t="s">
        <v>6075</v>
      </c>
      <c r="E1134" s="382" t="s">
        <v>6076</v>
      </c>
      <c r="F1134" s="381" t="s">
        <v>87</v>
      </c>
      <c r="G1134" s="381" t="s">
        <v>2512</v>
      </c>
      <c r="H1134" s="387">
        <v>40</v>
      </c>
      <c r="I1134" s="381">
        <v>26.8</v>
      </c>
      <c r="J1134" s="381">
        <v>26.8</v>
      </c>
      <c r="K1134" s="381">
        <v>5</v>
      </c>
      <c r="L1134" s="381">
        <v>0</v>
      </c>
      <c r="M1134" s="381" t="s">
        <v>148</v>
      </c>
      <c r="N1134" s="381" t="s">
        <v>149</v>
      </c>
      <c r="O1134" s="381" t="s">
        <v>150</v>
      </c>
      <c r="P1134" s="381" t="s">
        <v>151</v>
      </c>
      <c r="Q1134" s="381"/>
      <c r="R1134" s="381" t="s">
        <v>6076</v>
      </c>
      <c r="S1134" s="381"/>
      <c r="T1134" s="381" t="s">
        <v>2934</v>
      </c>
      <c r="U1134" s="381" t="s">
        <v>152</v>
      </c>
      <c r="V1134" s="381" t="s">
        <v>23</v>
      </c>
    </row>
    <row r="1135" spans="2:22">
      <c r="B1135" s="383">
        <v>46251</v>
      </c>
      <c r="C1135" s="383">
        <v>46251</v>
      </c>
      <c r="D1135" s="381" t="s">
        <v>6077</v>
      </c>
      <c r="E1135" s="382" t="s">
        <v>6078</v>
      </c>
      <c r="F1135" s="381" t="s">
        <v>87</v>
      </c>
      <c r="G1135" s="381" t="s">
        <v>2357</v>
      </c>
      <c r="H1135" s="387">
        <v>40</v>
      </c>
      <c r="I1135" s="381">
        <v>38.6</v>
      </c>
      <c r="J1135" s="381">
        <v>38.6</v>
      </c>
      <c r="K1135" s="381">
        <v>5</v>
      </c>
      <c r="L1135" s="381">
        <v>0</v>
      </c>
      <c r="M1135" s="381" t="s">
        <v>148</v>
      </c>
      <c r="N1135" s="381" t="s">
        <v>149</v>
      </c>
      <c r="O1135" s="381" t="s">
        <v>150</v>
      </c>
      <c r="P1135" s="381" t="s">
        <v>151</v>
      </c>
      <c r="Q1135" s="381"/>
      <c r="R1135" s="381" t="s">
        <v>6078</v>
      </c>
      <c r="S1135" s="381"/>
      <c r="T1135" s="381" t="s">
        <v>2934</v>
      </c>
      <c r="U1135" s="381" t="s">
        <v>152</v>
      </c>
      <c r="V1135" s="381" t="s">
        <v>23</v>
      </c>
    </row>
    <row r="1136" spans="2:22">
      <c r="B1136" s="383">
        <v>46251</v>
      </c>
      <c r="C1136" s="383">
        <v>46251</v>
      </c>
      <c r="D1136" s="381" t="s">
        <v>6079</v>
      </c>
      <c r="E1136" s="382" t="s">
        <v>6080</v>
      </c>
      <c r="F1136" s="381" t="s">
        <v>87</v>
      </c>
      <c r="G1136" s="381" t="s">
        <v>6008</v>
      </c>
      <c r="H1136" s="387">
        <v>30</v>
      </c>
      <c r="I1136" s="381">
        <v>47.8</v>
      </c>
      <c r="J1136" s="381">
        <v>47.8</v>
      </c>
      <c r="K1136" s="381">
        <v>4</v>
      </c>
      <c r="L1136" s="381">
        <v>0</v>
      </c>
      <c r="M1136" s="381" t="s">
        <v>148</v>
      </c>
      <c r="N1136" s="381" t="s">
        <v>149</v>
      </c>
      <c r="O1136" s="381" t="s">
        <v>150</v>
      </c>
      <c r="P1136" s="381" t="s">
        <v>151</v>
      </c>
      <c r="Q1136" s="381"/>
      <c r="R1136" s="381" t="s">
        <v>6080</v>
      </c>
      <c r="S1136" s="381"/>
      <c r="T1136" s="381" t="s">
        <v>2934</v>
      </c>
      <c r="U1136" s="381" t="s">
        <v>152</v>
      </c>
      <c r="V1136" s="381" t="s">
        <v>23</v>
      </c>
    </row>
    <row r="1137" spans="2:22">
      <c r="B1137" s="383">
        <v>46251</v>
      </c>
      <c r="C1137" s="383">
        <v>46251</v>
      </c>
      <c r="D1137" s="381" t="s">
        <v>6081</v>
      </c>
      <c r="E1137" s="382" t="s">
        <v>6082</v>
      </c>
      <c r="F1137" s="381" t="s">
        <v>87</v>
      </c>
      <c r="G1137" s="381" t="s">
        <v>6008</v>
      </c>
      <c r="H1137" s="387">
        <v>30</v>
      </c>
      <c r="I1137" s="381">
        <v>46.8</v>
      </c>
      <c r="J1137" s="381">
        <v>46.8</v>
      </c>
      <c r="K1137" s="381">
        <v>4</v>
      </c>
      <c r="L1137" s="381">
        <v>0</v>
      </c>
      <c r="M1137" s="381" t="s">
        <v>148</v>
      </c>
      <c r="N1137" s="381" t="s">
        <v>149</v>
      </c>
      <c r="O1137" s="381" t="s">
        <v>150</v>
      </c>
      <c r="P1137" s="381" t="s">
        <v>151</v>
      </c>
      <c r="Q1137" s="381"/>
      <c r="R1137" s="381" t="s">
        <v>6082</v>
      </c>
      <c r="S1137" s="381"/>
      <c r="T1137" s="381" t="s">
        <v>2934</v>
      </c>
      <c r="U1137" s="381" t="s">
        <v>152</v>
      </c>
      <c r="V1137" s="381" t="s">
        <v>23</v>
      </c>
    </row>
    <row r="1138" spans="2:22">
      <c r="B1138" s="383">
        <v>46251</v>
      </c>
      <c r="C1138" s="383">
        <v>46251</v>
      </c>
      <c r="D1138" s="381" t="s">
        <v>6083</v>
      </c>
      <c r="E1138" s="382" t="s">
        <v>6084</v>
      </c>
      <c r="F1138" s="381" t="s">
        <v>87</v>
      </c>
      <c r="G1138" s="381" t="s">
        <v>4000</v>
      </c>
      <c r="H1138" s="387">
        <v>50</v>
      </c>
      <c r="I1138" s="381">
        <v>35.799999999999997</v>
      </c>
      <c r="J1138" s="381">
        <v>35.799999999999997</v>
      </c>
      <c r="K1138" s="381">
        <v>5</v>
      </c>
      <c r="L1138" s="381">
        <v>0</v>
      </c>
      <c r="M1138" s="381" t="s">
        <v>148</v>
      </c>
      <c r="N1138" s="381" t="s">
        <v>149</v>
      </c>
      <c r="O1138" s="381" t="s">
        <v>150</v>
      </c>
      <c r="P1138" s="381" t="s">
        <v>151</v>
      </c>
      <c r="Q1138" s="381"/>
      <c r="R1138" s="381" t="s">
        <v>6084</v>
      </c>
      <c r="S1138" s="381"/>
      <c r="T1138" s="381" t="s">
        <v>2934</v>
      </c>
      <c r="U1138" s="381" t="s">
        <v>152</v>
      </c>
      <c r="V1138" s="381" t="s">
        <v>23</v>
      </c>
    </row>
    <row r="1139" spans="2:22">
      <c r="B1139" s="383">
        <v>46251</v>
      </c>
      <c r="C1139" s="383">
        <v>46251</v>
      </c>
      <c r="D1139" s="381" t="s">
        <v>6085</v>
      </c>
      <c r="E1139" s="382" t="s">
        <v>6086</v>
      </c>
      <c r="F1139" s="381" t="s">
        <v>87</v>
      </c>
      <c r="G1139" s="381" t="s">
        <v>2334</v>
      </c>
      <c r="H1139" s="387">
        <v>40</v>
      </c>
      <c r="I1139" s="381">
        <v>39.700000000000003</v>
      </c>
      <c r="J1139" s="381">
        <v>39.700000000000003</v>
      </c>
      <c r="K1139" s="381">
        <v>5</v>
      </c>
      <c r="L1139" s="381">
        <v>0</v>
      </c>
      <c r="M1139" s="381" t="s">
        <v>148</v>
      </c>
      <c r="N1139" s="381" t="s">
        <v>149</v>
      </c>
      <c r="O1139" s="381" t="s">
        <v>150</v>
      </c>
      <c r="P1139" s="381" t="s">
        <v>151</v>
      </c>
      <c r="Q1139" s="381"/>
      <c r="R1139" s="381" t="s">
        <v>6086</v>
      </c>
      <c r="S1139" s="381"/>
      <c r="T1139" s="381" t="s">
        <v>2934</v>
      </c>
      <c r="U1139" s="381" t="s">
        <v>152</v>
      </c>
      <c r="V1139" s="381" t="s">
        <v>23</v>
      </c>
    </row>
    <row r="1140" spans="2:22">
      <c r="B1140" s="383">
        <v>46251</v>
      </c>
      <c r="C1140" s="383">
        <v>46251</v>
      </c>
      <c r="D1140" s="381" t="s">
        <v>6087</v>
      </c>
      <c r="E1140" s="382" t="s">
        <v>6088</v>
      </c>
      <c r="F1140" s="381" t="s">
        <v>87</v>
      </c>
      <c r="G1140" s="381" t="s">
        <v>4000</v>
      </c>
      <c r="H1140" s="387">
        <v>50</v>
      </c>
      <c r="I1140" s="381">
        <v>44.1</v>
      </c>
      <c r="J1140" s="381">
        <v>44.1</v>
      </c>
      <c r="K1140" s="381">
        <v>5</v>
      </c>
      <c r="L1140" s="381">
        <v>0</v>
      </c>
      <c r="M1140" s="381" t="s">
        <v>148</v>
      </c>
      <c r="N1140" s="381" t="s">
        <v>149</v>
      </c>
      <c r="O1140" s="381" t="s">
        <v>150</v>
      </c>
      <c r="P1140" s="381" t="s">
        <v>151</v>
      </c>
      <c r="Q1140" s="381"/>
      <c r="R1140" s="381" t="s">
        <v>6088</v>
      </c>
      <c r="S1140" s="381"/>
      <c r="T1140" s="381" t="s">
        <v>2934</v>
      </c>
      <c r="U1140" s="381" t="s">
        <v>152</v>
      </c>
      <c r="V1140" s="381" t="s">
        <v>23</v>
      </c>
    </row>
    <row r="1141" spans="2:22">
      <c r="B1141" s="383">
        <v>46251</v>
      </c>
      <c r="C1141" s="383">
        <v>46251</v>
      </c>
      <c r="D1141" s="381" t="s">
        <v>6089</v>
      </c>
      <c r="E1141" s="382" t="s">
        <v>6090</v>
      </c>
      <c r="F1141" s="381" t="s">
        <v>87</v>
      </c>
      <c r="G1141" s="381" t="s">
        <v>4512</v>
      </c>
      <c r="H1141" s="387">
        <v>55</v>
      </c>
      <c r="I1141" s="381">
        <v>31.8</v>
      </c>
      <c r="J1141" s="381">
        <v>31.8</v>
      </c>
      <c r="K1141" s="381">
        <v>5</v>
      </c>
      <c r="L1141" s="381">
        <v>0</v>
      </c>
      <c r="M1141" s="381" t="s">
        <v>148</v>
      </c>
      <c r="N1141" s="381" t="s">
        <v>149</v>
      </c>
      <c r="O1141" s="381" t="s">
        <v>150</v>
      </c>
      <c r="P1141" s="381" t="s">
        <v>151</v>
      </c>
      <c r="Q1141" s="381"/>
      <c r="R1141" s="381" t="s">
        <v>6090</v>
      </c>
      <c r="S1141" s="381"/>
      <c r="T1141" s="381" t="s">
        <v>2934</v>
      </c>
      <c r="U1141" s="381" t="s">
        <v>152</v>
      </c>
      <c r="V1141" s="381" t="s">
        <v>23</v>
      </c>
    </row>
    <row r="1142" spans="2:22">
      <c r="B1142" s="383">
        <v>46251</v>
      </c>
      <c r="C1142" s="383">
        <v>46251</v>
      </c>
      <c r="D1142" s="381" t="s">
        <v>6091</v>
      </c>
      <c r="E1142" s="382" t="s">
        <v>6092</v>
      </c>
      <c r="F1142" s="381" t="s">
        <v>87</v>
      </c>
      <c r="G1142" s="381" t="s">
        <v>5766</v>
      </c>
      <c r="H1142" s="387">
        <v>45</v>
      </c>
      <c r="I1142" s="381">
        <v>40.799999999999997</v>
      </c>
      <c r="J1142" s="381">
        <v>40.799999999999997</v>
      </c>
      <c r="K1142" s="381">
        <v>5</v>
      </c>
      <c r="L1142" s="381">
        <v>0</v>
      </c>
      <c r="M1142" s="381" t="s">
        <v>148</v>
      </c>
      <c r="N1142" s="381" t="s">
        <v>149</v>
      </c>
      <c r="O1142" s="381" t="s">
        <v>150</v>
      </c>
      <c r="P1142" s="381" t="s">
        <v>151</v>
      </c>
      <c r="Q1142" s="381"/>
      <c r="R1142" s="381" t="s">
        <v>6092</v>
      </c>
      <c r="S1142" s="381"/>
      <c r="T1142" s="381" t="s">
        <v>2934</v>
      </c>
      <c r="U1142" s="381" t="s">
        <v>152</v>
      </c>
      <c r="V1142" s="381" t="s">
        <v>23</v>
      </c>
    </row>
    <row r="1143" spans="2:22">
      <c r="B1143" s="383">
        <v>46251</v>
      </c>
      <c r="C1143" s="383">
        <v>46251</v>
      </c>
      <c r="D1143" s="381" t="s">
        <v>6093</v>
      </c>
      <c r="E1143" s="382" t="s">
        <v>6094</v>
      </c>
      <c r="F1143" s="381" t="s">
        <v>87</v>
      </c>
      <c r="G1143" s="381" t="s">
        <v>6008</v>
      </c>
      <c r="H1143" s="387">
        <v>30</v>
      </c>
      <c r="I1143" s="381">
        <v>32.799999999999997</v>
      </c>
      <c r="J1143" s="381">
        <v>32.799999999999997</v>
      </c>
      <c r="K1143" s="381">
        <v>4</v>
      </c>
      <c r="L1143" s="381">
        <v>0</v>
      </c>
      <c r="M1143" s="381" t="s">
        <v>148</v>
      </c>
      <c r="N1143" s="381" t="s">
        <v>149</v>
      </c>
      <c r="O1143" s="381" t="s">
        <v>150</v>
      </c>
      <c r="P1143" s="381" t="s">
        <v>151</v>
      </c>
      <c r="Q1143" s="381"/>
      <c r="R1143" s="381" t="s">
        <v>6094</v>
      </c>
      <c r="S1143" s="381"/>
      <c r="T1143" s="381" t="s">
        <v>2934</v>
      </c>
      <c r="U1143" s="381" t="s">
        <v>152</v>
      </c>
      <c r="V1143" s="381" t="s">
        <v>23</v>
      </c>
    </row>
    <row r="1144" spans="2:22">
      <c r="B1144" s="383">
        <v>46251</v>
      </c>
      <c r="C1144" s="383">
        <v>46251</v>
      </c>
      <c r="D1144" s="381" t="s">
        <v>6095</v>
      </c>
      <c r="E1144" s="382" t="s">
        <v>6096</v>
      </c>
      <c r="F1144" s="381" t="s">
        <v>87</v>
      </c>
      <c r="G1144" s="381" t="s">
        <v>1678</v>
      </c>
      <c r="H1144" s="387">
        <v>30</v>
      </c>
      <c r="I1144" s="381">
        <v>21.2</v>
      </c>
      <c r="J1144" s="381">
        <v>21.2</v>
      </c>
      <c r="K1144" s="381">
        <v>4</v>
      </c>
      <c r="L1144" s="381">
        <v>0</v>
      </c>
      <c r="M1144" s="381" t="s">
        <v>148</v>
      </c>
      <c r="N1144" s="381" t="s">
        <v>149</v>
      </c>
      <c r="O1144" s="381" t="s">
        <v>150</v>
      </c>
      <c r="P1144" s="381" t="s">
        <v>151</v>
      </c>
      <c r="Q1144" s="381"/>
      <c r="R1144" s="381" t="s">
        <v>6096</v>
      </c>
      <c r="S1144" s="381"/>
      <c r="T1144" s="381" t="s">
        <v>2934</v>
      </c>
      <c r="U1144" s="381" t="s">
        <v>152</v>
      </c>
      <c r="V1144" s="381" t="s">
        <v>23</v>
      </c>
    </row>
    <row r="1145" spans="2:22">
      <c r="B1145" s="383">
        <v>46251</v>
      </c>
      <c r="C1145" s="383">
        <v>46251</v>
      </c>
      <c r="D1145" s="381" t="s">
        <v>6097</v>
      </c>
      <c r="E1145" s="382" t="s">
        <v>6098</v>
      </c>
      <c r="F1145" s="381" t="s">
        <v>87</v>
      </c>
      <c r="G1145" s="381" t="s">
        <v>2357</v>
      </c>
      <c r="H1145" s="387">
        <v>40</v>
      </c>
      <c r="I1145" s="381">
        <v>35.799999999999997</v>
      </c>
      <c r="J1145" s="381">
        <v>35.799999999999997</v>
      </c>
      <c r="K1145" s="381">
        <v>5</v>
      </c>
      <c r="L1145" s="381">
        <v>0</v>
      </c>
      <c r="M1145" s="381" t="s">
        <v>148</v>
      </c>
      <c r="N1145" s="381" t="s">
        <v>149</v>
      </c>
      <c r="O1145" s="381" t="s">
        <v>150</v>
      </c>
      <c r="P1145" s="381" t="s">
        <v>151</v>
      </c>
      <c r="Q1145" s="381"/>
      <c r="R1145" s="381" t="s">
        <v>6098</v>
      </c>
      <c r="S1145" s="381"/>
      <c r="T1145" s="381" t="s">
        <v>2934</v>
      </c>
      <c r="U1145" s="381" t="s">
        <v>152</v>
      </c>
      <c r="V1145" s="381" t="s">
        <v>23</v>
      </c>
    </row>
    <row r="1146" spans="2:22">
      <c r="B1146" s="383">
        <v>46251</v>
      </c>
      <c r="C1146" s="383">
        <v>46251</v>
      </c>
      <c r="D1146" s="381" t="s">
        <v>6099</v>
      </c>
      <c r="E1146" s="382" t="s">
        <v>6100</v>
      </c>
      <c r="F1146" s="381" t="s">
        <v>87</v>
      </c>
      <c r="G1146" s="381" t="s">
        <v>2512</v>
      </c>
      <c r="H1146" s="387">
        <v>40</v>
      </c>
      <c r="I1146" s="381">
        <v>29.8</v>
      </c>
      <c r="J1146" s="381">
        <v>29.8</v>
      </c>
      <c r="K1146" s="381">
        <v>5</v>
      </c>
      <c r="L1146" s="381">
        <v>0</v>
      </c>
      <c r="M1146" s="381" t="s">
        <v>148</v>
      </c>
      <c r="N1146" s="381" t="s">
        <v>149</v>
      </c>
      <c r="O1146" s="381" t="s">
        <v>150</v>
      </c>
      <c r="P1146" s="381" t="s">
        <v>151</v>
      </c>
      <c r="Q1146" s="381"/>
      <c r="R1146" s="381" t="s">
        <v>6100</v>
      </c>
      <c r="S1146" s="381"/>
      <c r="T1146" s="381" t="s">
        <v>2934</v>
      </c>
      <c r="U1146" s="381" t="s">
        <v>152</v>
      </c>
      <c r="V1146" s="381" t="s">
        <v>23</v>
      </c>
    </row>
    <row r="1147" spans="2:22">
      <c r="B1147" s="383">
        <v>46251</v>
      </c>
      <c r="C1147" s="383">
        <v>46251</v>
      </c>
      <c r="D1147" s="381" t="s">
        <v>6101</v>
      </c>
      <c r="E1147" s="382" t="s">
        <v>6102</v>
      </c>
      <c r="F1147" s="381" t="s">
        <v>87</v>
      </c>
      <c r="G1147" s="381" t="s">
        <v>5766</v>
      </c>
      <c r="H1147" s="387">
        <v>45</v>
      </c>
      <c r="I1147" s="381">
        <v>35.299999999999997</v>
      </c>
      <c r="J1147" s="381">
        <v>35.299999999999997</v>
      </c>
      <c r="K1147" s="381">
        <v>5</v>
      </c>
      <c r="L1147" s="381">
        <v>0</v>
      </c>
      <c r="M1147" s="381" t="s">
        <v>148</v>
      </c>
      <c r="N1147" s="381" t="s">
        <v>149</v>
      </c>
      <c r="O1147" s="381" t="s">
        <v>150</v>
      </c>
      <c r="P1147" s="381" t="s">
        <v>151</v>
      </c>
      <c r="Q1147" s="381"/>
      <c r="R1147" s="381" t="s">
        <v>6102</v>
      </c>
      <c r="S1147" s="381"/>
      <c r="T1147" s="381" t="s">
        <v>2934</v>
      </c>
      <c r="U1147" s="381" t="s">
        <v>152</v>
      </c>
      <c r="V1147" s="381" t="s">
        <v>23</v>
      </c>
    </row>
    <row r="1148" spans="2:22">
      <c r="B1148" s="383">
        <v>46251</v>
      </c>
      <c r="C1148" s="383">
        <v>46251</v>
      </c>
      <c r="D1148" s="381" t="s">
        <v>6103</v>
      </c>
      <c r="E1148" s="382" t="s">
        <v>6104</v>
      </c>
      <c r="F1148" s="381" t="s">
        <v>87</v>
      </c>
      <c r="G1148" s="381" t="s">
        <v>2357</v>
      </c>
      <c r="H1148" s="387">
        <v>40</v>
      </c>
      <c r="I1148" s="381">
        <v>29.8</v>
      </c>
      <c r="J1148" s="381">
        <v>29.8</v>
      </c>
      <c r="K1148" s="381">
        <v>5</v>
      </c>
      <c r="L1148" s="381">
        <v>0</v>
      </c>
      <c r="M1148" s="381" t="s">
        <v>148</v>
      </c>
      <c r="N1148" s="381" t="s">
        <v>149</v>
      </c>
      <c r="O1148" s="381" t="s">
        <v>150</v>
      </c>
      <c r="P1148" s="381" t="s">
        <v>151</v>
      </c>
      <c r="Q1148" s="381"/>
      <c r="R1148" s="381" t="s">
        <v>6104</v>
      </c>
      <c r="S1148" s="381"/>
      <c r="T1148" s="381" t="s">
        <v>2934</v>
      </c>
      <c r="U1148" s="381" t="s">
        <v>152</v>
      </c>
      <c r="V1148" s="381" t="s">
        <v>23</v>
      </c>
    </row>
    <row r="1149" spans="2:22">
      <c r="B1149" s="383">
        <v>46251</v>
      </c>
      <c r="C1149" s="383">
        <v>46251</v>
      </c>
      <c r="D1149" s="381" t="s">
        <v>6105</v>
      </c>
      <c r="E1149" s="382" t="s">
        <v>6106</v>
      </c>
      <c r="F1149" s="381" t="s">
        <v>87</v>
      </c>
      <c r="G1149" s="381" t="s">
        <v>1678</v>
      </c>
      <c r="H1149" s="387">
        <v>30</v>
      </c>
      <c r="I1149" s="381">
        <v>35.799999999999997</v>
      </c>
      <c r="J1149" s="381">
        <v>35.799999999999997</v>
      </c>
      <c r="K1149" s="381">
        <v>4</v>
      </c>
      <c r="L1149" s="381">
        <v>0</v>
      </c>
      <c r="M1149" s="381" t="s">
        <v>148</v>
      </c>
      <c r="N1149" s="381" t="s">
        <v>149</v>
      </c>
      <c r="O1149" s="381" t="s">
        <v>150</v>
      </c>
      <c r="P1149" s="381" t="s">
        <v>151</v>
      </c>
      <c r="Q1149" s="381"/>
      <c r="R1149" s="381" t="s">
        <v>6106</v>
      </c>
      <c r="S1149" s="381"/>
      <c r="T1149" s="381" t="s">
        <v>2934</v>
      </c>
      <c r="U1149" s="381" t="s">
        <v>152</v>
      </c>
      <c r="V1149" s="381" t="s">
        <v>23</v>
      </c>
    </row>
    <row r="1150" spans="2:22">
      <c r="B1150" s="383">
        <v>46251</v>
      </c>
      <c r="C1150" s="383">
        <v>46251</v>
      </c>
      <c r="D1150" s="381" t="s">
        <v>6107</v>
      </c>
      <c r="E1150" s="382" t="s">
        <v>6108</v>
      </c>
      <c r="F1150" s="381" t="s">
        <v>87</v>
      </c>
      <c r="G1150" s="381" t="s">
        <v>2357</v>
      </c>
      <c r="H1150" s="387">
        <v>40</v>
      </c>
      <c r="I1150" s="381">
        <v>26.5</v>
      </c>
      <c r="J1150" s="381">
        <v>26.5</v>
      </c>
      <c r="K1150" s="381">
        <v>5</v>
      </c>
      <c r="L1150" s="381">
        <v>0</v>
      </c>
      <c r="M1150" s="381" t="s">
        <v>148</v>
      </c>
      <c r="N1150" s="381" t="s">
        <v>149</v>
      </c>
      <c r="O1150" s="381" t="s">
        <v>150</v>
      </c>
      <c r="P1150" s="381" t="s">
        <v>151</v>
      </c>
      <c r="Q1150" s="381"/>
      <c r="R1150" s="381" t="s">
        <v>6108</v>
      </c>
      <c r="S1150" s="381"/>
      <c r="T1150" s="381" t="s">
        <v>2934</v>
      </c>
      <c r="U1150" s="381" t="s">
        <v>152</v>
      </c>
      <c r="V1150" s="381" t="s">
        <v>23</v>
      </c>
    </row>
    <row r="1151" spans="2:22">
      <c r="B1151" s="383">
        <v>46251</v>
      </c>
      <c r="C1151" s="383">
        <v>46251</v>
      </c>
      <c r="D1151" s="381" t="s">
        <v>6109</v>
      </c>
      <c r="E1151" s="382" t="s">
        <v>6110</v>
      </c>
      <c r="F1151" s="381" t="s">
        <v>87</v>
      </c>
      <c r="G1151" s="381" t="s">
        <v>5766</v>
      </c>
      <c r="H1151" s="387">
        <v>45</v>
      </c>
      <c r="I1151" s="381">
        <v>39.700000000000003</v>
      </c>
      <c r="J1151" s="381">
        <v>39.700000000000003</v>
      </c>
      <c r="K1151" s="381">
        <v>5</v>
      </c>
      <c r="L1151" s="381">
        <v>0</v>
      </c>
      <c r="M1151" s="381" t="s">
        <v>148</v>
      </c>
      <c r="N1151" s="381" t="s">
        <v>149</v>
      </c>
      <c r="O1151" s="381" t="s">
        <v>150</v>
      </c>
      <c r="P1151" s="381" t="s">
        <v>151</v>
      </c>
      <c r="Q1151" s="381"/>
      <c r="R1151" s="381" t="s">
        <v>6110</v>
      </c>
      <c r="S1151" s="381"/>
      <c r="T1151" s="381" t="s">
        <v>2934</v>
      </c>
      <c r="U1151" s="381" t="s">
        <v>152</v>
      </c>
      <c r="V1151" s="381" t="s">
        <v>23</v>
      </c>
    </row>
    <row r="1152" spans="2:22">
      <c r="B1152" s="383">
        <v>46251</v>
      </c>
      <c r="C1152" s="383">
        <v>46251</v>
      </c>
      <c r="D1152" s="381" t="s">
        <v>6111</v>
      </c>
      <c r="E1152" s="382" t="s">
        <v>6112</v>
      </c>
      <c r="F1152" s="381" t="s">
        <v>87</v>
      </c>
      <c r="G1152" s="381" t="s">
        <v>2334</v>
      </c>
      <c r="H1152" s="387">
        <v>40</v>
      </c>
      <c r="I1152" s="381">
        <v>32.200000000000003</v>
      </c>
      <c r="J1152" s="381">
        <v>32.200000000000003</v>
      </c>
      <c r="K1152" s="381">
        <v>5</v>
      </c>
      <c r="L1152" s="381">
        <v>0</v>
      </c>
      <c r="M1152" s="381" t="s">
        <v>148</v>
      </c>
      <c r="N1152" s="381" t="s">
        <v>149</v>
      </c>
      <c r="O1152" s="381" t="s">
        <v>150</v>
      </c>
      <c r="P1152" s="381" t="s">
        <v>151</v>
      </c>
      <c r="Q1152" s="381"/>
      <c r="R1152" s="381" t="s">
        <v>6112</v>
      </c>
      <c r="S1152" s="381"/>
      <c r="T1152" s="381" t="s">
        <v>2934</v>
      </c>
      <c r="U1152" s="381" t="s">
        <v>152</v>
      </c>
      <c r="V1152" s="381" t="s">
        <v>23</v>
      </c>
    </row>
    <row r="1153" spans="2:22">
      <c r="B1153" s="383">
        <v>46251</v>
      </c>
      <c r="C1153" s="383">
        <v>46251</v>
      </c>
      <c r="D1153" s="381" t="s">
        <v>6113</v>
      </c>
      <c r="E1153" s="382" t="s">
        <v>6114</v>
      </c>
      <c r="F1153" s="381" t="s">
        <v>87</v>
      </c>
      <c r="G1153" s="381" t="s">
        <v>2334</v>
      </c>
      <c r="H1153" s="387">
        <v>40</v>
      </c>
      <c r="I1153" s="381">
        <v>37</v>
      </c>
      <c r="J1153" s="381">
        <v>37</v>
      </c>
      <c r="K1153" s="381">
        <v>5</v>
      </c>
      <c r="L1153" s="381">
        <v>0</v>
      </c>
      <c r="M1153" s="381" t="s">
        <v>148</v>
      </c>
      <c r="N1153" s="381" t="s">
        <v>149</v>
      </c>
      <c r="O1153" s="381" t="s">
        <v>150</v>
      </c>
      <c r="P1153" s="381" t="s">
        <v>151</v>
      </c>
      <c r="Q1153" s="381"/>
      <c r="R1153" s="381" t="s">
        <v>6114</v>
      </c>
      <c r="S1153" s="381"/>
      <c r="T1153" s="381" t="s">
        <v>2934</v>
      </c>
      <c r="U1153" s="381" t="s">
        <v>152</v>
      </c>
      <c r="V1153" s="381" t="s">
        <v>23</v>
      </c>
    </row>
    <row r="1154" spans="2:22">
      <c r="B1154" s="383">
        <v>46251</v>
      </c>
      <c r="C1154" s="383">
        <v>46251</v>
      </c>
      <c r="D1154" s="381" t="s">
        <v>6115</v>
      </c>
      <c r="E1154" s="382" t="s">
        <v>6116</v>
      </c>
      <c r="F1154" s="381" t="s">
        <v>87</v>
      </c>
      <c r="G1154" s="381" t="s">
        <v>2357</v>
      </c>
      <c r="H1154" s="387">
        <v>40</v>
      </c>
      <c r="I1154" s="381">
        <v>36.4</v>
      </c>
      <c r="J1154" s="381">
        <v>36.4</v>
      </c>
      <c r="K1154" s="381">
        <v>5</v>
      </c>
      <c r="L1154" s="381">
        <v>0</v>
      </c>
      <c r="M1154" s="381" t="s">
        <v>148</v>
      </c>
      <c r="N1154" s="381" t="s">
        <v>149</v>
      </c>
      <c r="O1154" s="381" t="s">
        <v>150</v>
      </c>
      <c r="P1154" s="381" t="s">
        <v>151</v>
      </c>
      <c r="Q1154" s="381"/>
      <c r="R1154" s="381" t="s">
        <v>6116</v>
      </c>
      <c r="S1154" s="381"/>
      <c r="T1154" s="381" t="s">
        <v>2934</v>
      </c>
      <c r="U1154" s="381" t="s">
        <v>152</v>
      </c>
      <c r="V1154" s="381" t="s">
        <v>23</v>
      </c>
    </row>
    <row r="1155" spans="2:22">
      <c r="B1155" s="383">
        <v>46251</v>
      </c>
      <c r="C1155" s="383">
        <v>46251</v>
      </c>
      <c r="D1155" s="381" t="s">
        <v>6117</v>
      </c>
      <c r="E1155" s="382" t="s">
        <v>6118</v>
      </c>
      <c r="F1155" s="381" t="s">
        <v>87</v>
      </c>
      <c r="G1155" s="381" t="s">
        <v>4000</v>
      </c>
      <c r="H1155" s="387">
        <v>50</v>
      </c>
      <c r="I1155" s="381">
        <v>42.8</v>
      </c>
      <c r="J1155" s="381">
        <v>42.8</v>
      </c>
      <c r="K1155" s="381">
        <v>5</v>
      </c>
      <c r="L1155" s="381">
        <v>0</v>
      </c>
      <c r="M1155" s="381" t="s">
        <v>148</v>
      </c>
      <c r="N1155" s="381" t="s">
        <v>149</v>
      </c>
      <c r="O1155" s="381" t="s">
        <v>150</v>
      </c>
      <c r="P1155" s="381" t="s">
        <v>151</v>
      </c>
      <c r="Q1155" s="381"/>
      <c r="R1155" s="381" t="s">
        <v>6118</v>
      </c>
      <c r="S1155" s="381"/>
      <c r="T1155" s="381" t="s">
        <v>2934</v>
      </c>
      <c r="U1155" s="381" t="s">
        <v>152</v>
      </c>
      <c r="V1155" s="381" t="s">
        <v>23</v>
      </c>
    </row>
    <row r="1156" spans="2:22">
      <c r="B1156" s="383">
        <v>46251</v>
      </c>
      <c r="C1156" s="383">
        <v>46251</v>
      </c>
      <c r="D1156" s="381" t="s">
        <v>6119</v>
      </c>
      <c r="E1156" s="382" t="s">
        <v>6120</v>
      </c>
      <c r="F1156" s="381" t="s">
        <v>87</v>
      </c>
      <c r="G1156" s="381" t="s">
        <v>2357</v>
      </c>
      <c r="H1156" s="387">
        <v>40</v>
      </c>
      <c r="I1156" s="381">
        <v>35.5</v>
      </c>
      <c r="J1156" s="381">
        <v>35.5</v>
      </c>
      <c r="K1156" s="381">
        <v>5</v>
      </c>
      <c r="L1156" s="381">
        <v>0</v>
      </c>
      <c r="M1156" s="381" t="s">
        <v>148</v>
      </c>
      <c r="N1156" s="381" t="s">
        <v>149</v>
      </c>
      <c r="O1156" s="381" t="s">
        <v>150</v>
      </c>
      <c r="P1156" s="381" t="s">
        <v>151</v>
      </c>
      <c r="Q1156" s="381"/>
      <c r="R1156" s="381" t="s">
        <v>6120</v>
      </c>
      <c r="S1156" s="381"/>
      <c r="T1156" s="381" t="s">
        <v>2934</v>
      </c>
      <c r="U1156" s="381" t="s">
        <v>152</v>
      </c>
      <c r="V1156" s="381" t="s">
        <v>23</v>
      </c>
    </row>
    <row r="1157" spans="2:22">
      <c r="B1157" s="383">
        <v>46251</v>
      </c>
      <c r="C1157" s="383">
        <v>46251</v>
      </c>
      <c r="D1157" s="381" t="s">
        <v>6121</v>
      </c>
      <c r="E1157" s="382" t="s">
        <v>6122</v>
      </c>
      <c r="F1157" s="381" t="s">
        <v>87</v>
      </c>
      <c r="G1157" s="381" t="s">
        <v>2334</v>
      </c>
      <c r="H1157" s="387">
        <v>40</v>
      </c>
      <c r="I1157" s="381">
        <v>38.799999999999997</v>
      </c>
      <c r="J1157" s="381">
        <v>38.799999999999997</v>
      </c>
      <c r="K1157" s="381">
        <v>5</v>
      </c>
      <c r="L1157" s="381">
        <v>0</v>
      </c>
      <c r="M1157" s="381" t="s">
        <v>148</v>
      </c>
      <c r="N1157" s="381" t="s">
        <v>149</v>
      </c>
      <c r="O1157" s="381" t="s">
        <v>150</v>
      </c>
      <c r="P1157" s="381" t="s">
        <v>151</v>
      </c>
      <c r="Q1157" s="381"/>
      <c r="R1157" s="381" t="s">
        <v>6122</v>
      </c>
      <c r="S1157" s="381"/>
      <c r="T1157" s="381" t="s">
        <v>2934</v>
      </c>
      <c r="U1157" s="381" t="s">
        <v>152</v>
      </c>
      <c r="V1157" s="381" t="s">
        <v>23</v>
      </c>
    </row>
    <row r="1158" spans="2:22">
      <c r="B1158" s="383">
        <v>46251</v>
      </c>
      <c r="C1158" s="383">
        <v>46251</v>
      </c>
      <c r="D1158" s="381" t="s">
        <v>6123</v>
      </c>
      <c r="E1158" s="382" t="s">
        <v>6124</v>
      </c>
      <c r="F1158" s="381" t="s">
        <v>87</v>
      </c>
      <c r="G1158" s="381" t="s">
        <v>2357</v>
      </c>
      <c r="H1158" s="387">
        <v>40</v>
      </c>
      <c r="I1158" s="381">
        <v>15.6</v>
      </c>
      <c r="J1158" s="381">
        <v>15.6</v>
      </c>
      <c r="K1158" s="381">
        <v>5</v>
      </c>
      <c r="L1158" s="381">
        <v>0</v>
      </c>
      <c r="M1158" s="381" t="s">
        <v>148</v>
      </c>
      <c r="N1158" s="381" t="s">
        <v>149</v>
      </c>
      <c r="O1158" s="381" t="s">
        <v>150</v>
      </c>
      <c r="P1158" s="381" t="s">
        <v>151</v>
      </c>
      <c r="Q1158" s="381"/>
      <c r="R1158" s="381" t="s">
        <v>6124</v>
      </c>
      <c r="S1158" s="381"/>
      <c r="T1158" s="381" t="s">
        <v>2934</v>
      </c>
      <c r="U1158" s="381" t="s">
        <v>152</v>
      </c>
      <c r="V1158" s="381" t="s">
        <v>23</v>
      </c>
    </row>
    <row r="1159" spans="2:22">
      <c r="B1159" s="383">
        <v>46251</v>
      </c>
      <c r="C1159" s="383">
        <v>46251</v>
      </c>
      <c r="D1159" s="381" t="s">
        <v>6125</v>
      </c>
      <c r="E1159" s="382" t="s">
        <v>6126</v>
      </c>
      <c r="F1159" s="381" t="s">
        <v>87</v>
      </c>
      <c r="G1159" s="381" t="s">
        <v>6008</v>
      </c>
      <c r="H1159" s="387">
        <v>30</v>
      </c>
      <c r="I1159" s="381">
        <v>37.799999999999997</v>
      </c>
      <c r="J1159" s="381">
        <v>37.799999999999997</v>
      </c>
      <c r="K1159" s="381">
        <v>4</v>
      </c>
      <c r="L1159" s="381">
        <v>0</v>
      </c>
      <c r="M1159" s="381" t="s">
        <v>148</v>
      </c>
      <c r="N1159" s="381" t="s">
        <v>149</v>
      </c>
      <c r="O1159" s="381" t="s">
        <v>150</v>
      </c>
      <c r="P1159" s="381" t="s">
        <v>151</v>
      </c>
      <c r="Q1159" s="381"/>
      <c r="R1159" s="381" t="s">
        <v>6126</v>
      </c>
      <c r="S1159" s="381"/>
      <c r="T1159" s="381" t="s">
        <v>2934</v>
      </c>
      <c r="U1159" s="381" t="s">
        <v>152</v>
      </c>
      <c r="V1159" s="381" t="s">
        <v>23</v>
      </c>
    </row>
    <row r="1160" spans="2:22">
      <c r="B1160" s="383">
        <v>46251</v>
      </c>
      <c r="C1160" s="383">
        <v>46251</v>
      </c>
      <c r="D1160" s="381" t="s">
        <v>6127</v>
      </c>
      <c r="E1160" s="382" t="s">
        <v>6128</v>
      </c>
      <c r="F1160" s="381" t="s">
        <v>87</v>
      </c>
      <c r="G1160" s="381" t="s">
        <v>6008</v>
      </c>
      <c r="H1160" s="387">
        <v>30</v>
      </c>
      <c r="I1160" s="381">
        <v>36.5</v>
      </c>
      <c r="J1160" s="381">
        <v>36.5</v>
      </c>
      <c r="K1160" s="381">
        <v>4</v>
      </c>
      <c r="L1160" s="381">
        <v>0</v>
      </c>
      <c r="M1160" s="381" t="s">
        <v>148</v>
      </c>
      <c r="N1160" s="381" t="s">
        <v>149</v>
      </c>
      <c r="O1160" s="381" t="s">
        <v>150</v>
      </c>
      <c r="P1160" s="381" t="s">
        <v>151</v>
      </c>
      <c r="Q1160" s="381"/>
      <c r="R1160" s="381" t="s">
        <v>6128</v>
      </c>
      <c r="S1160" s="381"/>
      <c r="T1160" s="381" t="s">
        <v>2934</v>
      </c>
      <c r="U1160" s="381" t="s">
        <v>152</v>
      </c>
      <c r="V1160" s="381" t="s">
        <v>23</v>
      </c>
    </row>
    <row r="1161" spans="2:22">
      <c r="B1161" s="383">
        <v>46251</v>
      </c>
      <c r="C1161" s="383">
        <v>46251</v>
      </c>
      <c r="D1161" s="381" t="s">
        <v>6129</v>
      </c>
      <c r="E1161" s="382" t="s">
        <v>6130</v>
      </c>
      <c r="F1161" s="381" t="s">
        <v>87</v>
      </c>
      <c r="G1161" s="381" t="s">
        <v>2334</v>
      </c>
      <c r="H1161" s="387">
        <v>40</v>
      </c>
      <c r="I1161" s="381">
        <v>39.700000000000003</v>
      </c>
      <c r="J1161" s="381">
        <v>39.700000000000003</v>
      </c>
      <c r="K1161" s="381">
        <v>5</v>
      </c>
      <c r="L1161" s="381">
        <v>0</v>
      </c>
      <c r="M1161" s="381" t="s">
        <v>148</v>
      </c>
      <c r="N1161" s="381" t="s">
        <v>149</v>
      </c>
      <c r="O1161" s="381" t="s">
        <v>150</v>
      </c>
      <c r="P1161" s="381" t="s">
        <v>151</v>
      </c>
      <c r="Q1161" s="381"/>
      <c r="R1161" s="381" t="s">
        <v>6130</v>
      </c>
      <c r="S1161" s="381"/>
      <c r="T1161" s="381" t="s">
        <v>2934</v>
      </c>
      <c r="U1161" s="381" t="s">
        <v>152</v>
      </c>
      <c r="V1161" s="381" t="s">
        <v>23</v>
      </c>
    </row>
    <row r="1162" spans="2:22">
      <c r="B1162" s="383">
        <v>46251</v>
      </c>
      <c r="C1162" s="383">
        <v>46251</v>
      </c>
      <c r="D1162" s="381" t="s">
        <v>6131</v>
      </c>
      <c r="E1162" s="382" t="s">
        <v>6132</v>
      </c>
      <c r="F1162" s="381" t="s">
        <v>87</v>
      </c>
      <c r="G1162" s="381" t="s">
        <v>2357</v>
      </c>
      <c r="H1162" s="387">
        <v>40</v>
      </c>
      <c r="I1162" s="381">
        <v>39.200000000000003</v>
      </c>
      <c r="J1162" s="381">
        <v>39.200000000000003</v>
      </c>
      <c r="K1162" s="381">
        <v>5</v>
      </c>
      <c r="L1162" s="381">
        <v>0</v>
      </c>
      <c r="M1162" s="381" t="s">
        <v>148</v>
      </c>
      <c r="N1162" s="381" t="s">
        <v>149</v>
      </c>
      <c r="O1162" s="381" t="s">
        <v>150</v>
      </c>
      <c r="P1162" s="381" t="s">
        <v>151</v>
      </c>
      <c r="Q1162" s="381"/>
      <c r="R1162" s="381" t="s">
        <v>6132</v>
      </c>
      <c r="S1162" s="381"/>
      <c r="T1162" s="381" t="s">
        <v>2934</v>
      </c>
      <c r="U1162" s="381" t="s">
        <v>152</v>
      </c>
      <c r="V1162" s="381" t="s">
        <v>23</v>
      </c>
    </row>
    <row r="1163" spans="2:22">
      <c r="B1163" s="383">
        <v>46251</v>
      </c>
      <c r="C1163" s="383">
        <v>46251</v>
      </c>
      <c r="D1163" s="381" t="s">
        <v>6133</v>
      </c>
      <c r="E1163" s="382" t="s">
        <v>6134</v>
      </c>
      <c r="F1163" s="381" t="s">
        <v>87</v>
      </c>
      <c r="G1163" s="381" t="s">
        <v>4000</v>
      </c>
      <c r="H1163" s="387">
        <v>50</v>
      </c>
      <c r="I1163" s="381">
        <v>34.799999999999997</v>
      </c>
      <c r="J1163" s="381">
        <v>34.799999999999997</v>
      </c>
      <c r="K1163" s="381">
        <v>5</v>
      </c>
      <c r="L1163" s="381">
        <v>0</v>
      </c>
      <c r="M1163" s="381" t="s">
        <v>148</v>
      </c>
      <c r="N1163" s="381" t="s">
        <v>149</v>
      </c>
      <c r="O1163" s="381" t="s">
        <v>150</v>
      </c>
      <c r="P1163" s="381" t="s">
        <v>151</v>
      </c>
      <c r="Q1163" s="381"/>
      <c r="R1163" s="381" t="s">
        <v>6134</v>
      </c>
      <c r="S1163" s="381"/>
      <c r="T1163" s="381" t="s">
        <v>2934</v>
      </c>
      <c r="U1163" s="381" t="s">
        <v>152</v>
      </c>
      <c r="V1163" s="381" t="s">
        <v>23</v>
      </c>
    </row>
    <row r="1164" spans="2:22">
      <c r="B1164" s="383">
        <v>46251</v>
      </c>
      <c r="C1164" s="383">
        <v>46251</v>
      </c>
      <c r="D1164" s="381" t="s">
        <v>6135</v>
      </c>
      <c r="E1164" s="382" t="s">
        <v>6136</v>
      </c>
      <c r="F1164" s="381" t="s">
        <v>87</v>
      </c>
      <c r="G1164" s="381" t="s">
        <v>5766</v>
      </c>
      <c r="H1164" s="387">
        <v>45</v>
      </c>
      <c r="I1164" s="381">
        <v>37.799999999999997</v>
      </c>
      <c r="J1164" s="381">
        <v>37.799999999999997</v>
      </c>
      <c r="K1164" s="381">
        <v>5</v>
      </c>
      <c r="L1164" s="381">
        <v>0</v>
      </c>
      <c r="M1164" s="381" t="s">
        <v>148</v>
      </c>
      <c r="N1164" s="381" t="s">
        <v>149</v>
      </c>
      <c r="O1164" s="381" t="s">
        <v>150</v>
      </c>
      <c r="P1164" s="381" t="s">
        <v>151</v>
      </c>
      <c r="Q1164" s="381"/>
      <c r="R1164" s="381" t="s">
        <v>6136</v>
      </c>
      <c r="S1164" s="381"/>
      <c r="T1164" s="381" t="s">
        <v>2934</v>
      </c>
      <c r="U1164" s="381" t="s">
        <v>152</v>
      </c>
      <c r="V1164" s="381" t="s">
        <v>23</v>
      </c>
    </row>
    <row r="1165" spans="2:22">
      <c r="B1165" s="383">
        <v>46251</v>
      </c>
      <c r="C1165" s="383">
        <v>46251</v>
      </c>
      <c r="D1165" s="381" t="s">
        <v>6137</v>
      </c>
      <c r="E1165" s="382" t="s">
        <v>6138</v>
      </c>
      <c r="F1165" s="381" t="s">
        <v>87</v>
      </c>
      <c r="G1165" s="381" t="s">
        <v>2404</v>
      </c>
      <c r="H1165" s="387">
        <v>40</v>
      </c>
      <c r="I1165" s="381">
        <v>27.2</v>
      </c>
      <c r="J1165" s="381">
        <v>27.2</v>
      </c>
      <c r="K1165" s="381">
        <v>5</v>
      </c>
      <c r="L1165" s="381">
        <v>0</v>
      </c>
      <c r="M1165" s="381" t="s">
        <v>148</v>
      </c>
      <c r="N1165" s="381" t="s">
        <v>149</v>
      </c>
      <c r="O1165" s="381" t="s">
        <v>150</v>
      </c>
      <c r="P1165" s="381" t="s">
        <v>151</v>
      </c>
      <c r="Q1165" s="381"/>
      <c r="R1165" s="381" t="s">
        <v>6138</v>
      </c>
      <c r="S1165" s="381"/>
      <c r="T1165" s="381" t="s">
        <v>2934</v>
      </c>
      <c r="U1165" s="381" t="s">
        <v>152</v>
      </c>
      <c r="V1165" s="381" t="s">
        <v>23</v>
      </c>
    </row>
    <row r="1166" spans="2:22">
      <c r="B1166" s="383">
        <v>46251</v>
      </c>
      <c r="C1166" s="383">
        <v>46251</v>
      </c>
      <c r="D1166" s="381" t="s">
        <v>6139</v>
      </c>
      <c r="E1166" s="382" t="s">
        <v>6140</v>
      </c>
      <c r="F1166" s="381" t="s">
        <v>87</v>
      </c>
      <c r="G1166" s="381" t="s">
        <v>1678</v>
      </c>
      <c r="H1166" s="387">
        <v>30</v>
      </c>
      <c r="I1166" s="381">
        <v>36.5</v>
      </c>
      <c r="J1166" s="381">
        <v>36.5</v>
      </c>
      <c r="K1166" s="381">
        <v>4</v>
      </c>
      <c r="L1166" s="381">
        <v>0</v>
      </c>
      <c r="M1166" s="381" t="s">
        <v>148</v>
      </c>
      <c r="N1166" s="381" t="s">
        <v>149</v>
      </c>
      <c r="O1166" s="381" t="s">
        <v>150</v>
      </c>
      <c r="P1166" s="381" t="s">
        <v>151</v>
      </c>
      <c r="Q1166" s="381"/>
      <c r="R1166" s="381" t="s">
        <v>6140</v>
      </c>
      <c r="S1166" s="381"/>
      <c r="T1166" s="381" t="s">
        <v>2934</v>
      </c>
      <c r="U1166" s="381" t="s">
        <v>152</v>
      </c>
      <c r="V1166" s="381" t="s">
        <v>23</v>
      </c>
    </row>
    <row r="1167" spans="2:22">
      <c r="B1167" s="383">
        <v>46251</v>
      </c>
      <c r="C1167" s="383">
        <v>46251</v>
      </c>
      <c r="D1167" s="381" t="s">
        <v>6141</v>
      </c>
      <c r="E1167" s="382" t="s">
        <v>6142</v>
      </c>
      <c r="F1167" s="381" t="s">
        <v>87</v>
      </c>
      <c r="G1167" s="381" t="s">
        <v>2334</v>
      </c>
      <c r="H1167" s="387">
        <v>40</v>
      </c>
      <c r="I1167" s="381">
        <v>18.600000000000001</v>
      </c>
      <c r="J1167" s="381">
        <v>18.600000000000001</v>
      </c>
      <c r="K1167" s="381">
        <v>5</v>
      </c>
      <c r="L1167" s="381">
        <v>0</v>
      </c>
      <c r="M1167" s="381" t="s">
        <v>148</v>
      </c>
      <c r="N1167" s="381" t="s">
        <v>149</v>
      </c>
      <c r="O1167" s="381" t="s">
        <v>150</v>
      </c>
      <c r="P1167" s="381" t="s">
        <v>151</v>
      </c>
      <c r="Q1167" s="381"/>
      <c r="R1167" s="381" t="s">
        <v>6142</v>
      </c>
      <c r="S1167" s="381"/>
      <c r="T1167" s="381" t="s">
        <v>2934</v>
      </c>
      <c r="U1167" s="381" t="s">
        <v>152</v>
      </c>
      <c r="V1167" s="381" t="s">
        <v>23</v>
      </c>
    </row>
    <row r="1168" spans="2:22">
      <c r="B1168" s="383">
        <v>46251</v>
      </c>
      <c r="C1168" s="383">
        <v>46251</v>
      </c>
      <c r="D1168" s="381" t="s">
        <v>6143</v>
      </c>
      <c r="E1168" s="382" t="s">
        <v>6144</v>
      </c>
      <c r="F1168" s="381" t="s">
        <v>87</v>
      </c>
      <c r="G1168" s="381" t="s">
        <v>1678</v>
      </c>
      <c r="H1168" s="387">
        <v>30</v>
      </c>
      <c r="I1168" s="381">
        <v>37.799999999999997</v>
      </c>
      <c r="J1168" s="381">
        <v>37.799999999999997</v>
      </c>
      <c r="K1168" s="381">
        <v>4</v>
      </c>
      <c r="L1168" s="381">
        <v>0</v>
      </c>
      <c r="M1168" s="381" t="s">
        <v>148</v>
      </c>
      <c r="N1168" s="381" t="s">
        <v>149</v>
      </c>
      <c r="O1168" s="381" t="s">
        <v>150</v>
      </c>
      <c r="P1168" s="381" t="s">
        <v>151</v>
      </c>
      <c r="Q1168" s="381"/>
      <c r="R1168" s="381" t="s">
        <v>6144</v>
      </c>
      <c r="S1168" s="381"/>
      <c r="T1168" s="381" t="s">
        <v>2934</v>
      </c>
      <c r="U1168" s="381" t="s">
        <v>152</v>
      </c>
      <c r="V1168" s="381" t="s">
        <v>23</v>
      </c>
    </row>
    <row r="1169" spans="2:22">
      <c r="B1169" s="383">
        <v>46251</v>
      </c>
      <c r="C1169" s="383">
        <v>46251</v>
      </c>
      <c r="D1169" s="381" t="s">
        <v>6145</v>
      </c>
      <c r="E1169" s="382" t="s">
        <v>6146</v>
      </c>
      <c r="F1169" s="381" t="s">
        <v>87</v>
      </c>
      <c r="G1169" s="381" t="s">
        <v>4512</v>
      </c>
      <c r="H1169" s="387">
        <v>55</v>
      </c>
      <c r="I1169" s="381">
        <v>21.8</v>
      </c>
      <c r="J1169" s="381">
        <v>21.8</v>
      </c>
      <c r="K1169" s="381">
        <v>5</v>
      </c>
      <c r="L1169" s="381">
        <v>0</v>
      </c>
      <c r="M1169" s="381" t="s">
        <v>148</v>
      </c>
      <c r="N1169" s="381" t="s">
        <v>149</v>
      </c>
      <c r="O1169" s="381" t="s">
        <v>150</v>
      </c>
      <c r="P1169" s="381" t="s">
        <v>151</v>
      </c>
      <c r="Q1169" s="381"/>
      <c r="R1169" s="381" t="s">
        <v>6146</v>
      </c>
      <c r="S1169" s="381"/>
      <c r="T1169" s="381" t="s">
        <v>2934</v>
      </c>
      <c r="U1169" s="381" t="s">
        <v>152</v>
      </c>
      <c r="V1169" s="381" t="s">
        <v>23</v>
      </c>
    </row>
    <row r="1170" spans="2:22">
      <c r="B1170" s="383">
        <v>46251</v>
      </c>
      <c r="C1170" s="383">
        <v>46251</v>
      </c>
      <c r="D1170" s="381" t="s">
        <v>6147</v>
      </c>
      <c r="E1170" s="382" t="s">
        <v>6148</v>
      </c>
      <c r="F1170" s="381" t="s">
        <v>87</v>
      </c>
      <c r="G1170" s="381" t="s">
        <v>2334</v>
      </c>
      <c r="H1170" s="387">
        <v>40</v>
      </c>
      <c r="I1170" s="381">
        <v>30.8</v>
      </c>
      <c r="J1170" s="381">
        <v>30.8</v>
      </c>
      <c r="K1170" s="381">
        <v>5</v>
      </c>
      <c r="L1170" s="381">
        <v>0</v>
      </c>
      <c r="M1170" s="381" t="s">
        <v>148</v>
      </c>
      <c r="N1170" s="381" t="s">
        <v>149</v>
      </c>
      <c r="O1170" s="381" t="s">
        <v>150</v>
      </c>
      <c r="P1170" s="381" t="s">
        <v>151</v>
      </c>
      <c r="Q1170" s="381"/>
      <c r="R1170" s="381" t="s">
        <v>6148</v>
      </c>
      <c r="S1170" s="381"/>
      <c r="T1170" s="381" t="s">
        <v>2934</v>
      </c>
      <c r="U1170" s="381" t="s">
        <v>152</v>
      </c>
      <c r="V1170" s="381" t="s">
        <v>23</v>
      </c>
    </row>
    <row r="1171" spans="2:22">
      <c r="B1171" s="383">
        <v>46251</v>
      </c>
      <c r="C1171" s="383">
        <v>46251</v>
      </c>
      <c r="D1171" s="381" t="s">
        <v>6149</v>
      </c>
      <c r="E1171" s="382" t="s">
        <v>6150</v>
      </c>
      <c r="F1171" s="381" t="s">
        <v>87</v>
      </c>
      <c r="G1171" s="381" t="s">
        <v>6008</v>
      </c>
      <c r="H1171" s="387">
        <v>30</v>
      </c>
      <c r="I1171" s="381">
        <v>46.8</v>
      </c>
      <c r="J1171" s="381">
        <v>46.8</v>
      </c>
      <c r="K1171" s="381">
        <v>4</v>
      </c>
      <c r="L1171" s="381">
        <v>0</v>
      </c>
      <c r="M1171" s="381" t="s">
        <v>148</v>
      </c>
      <c r="N1171" s="381" t="s">
        <v>149</v>
      </c>
      <c r="O1171" s="381" t="s">
        <v>150</v>
      </c>
      <c r="P1171" s="381" t="s">
        <v>151</v>
      </c>
      <c r="Q1171" s="381"/>
      <c r="R1171" s="381" t="s">
        <v>6150</v>
      </c>
      <c r="S1171" s="381"/>
      <c r="T1171" s="381" t="s">
        <v>2934</v>
      </c>
      <c r="U1171" s="381" t="s">
        <v>152</v>
      </c>
      <c r="V1171" s="381" t="s">
        <v>23</v>
      </c>
    </row>
    <row r="1172" spans="2:22">
      <c r="B1172" s="383">
        <v>46251</v>
      </c>
      <c r="C1172" s="383">
        <v>46251</v>
      </c>
      <c r="D1172" s="381" t="s">
        <v>6151</v>
      </c>
      <c r="E1172" s="382" t="s">
        <v>6152</v>
      </c>
      <c r="F1172" s="381" t="s">
        <v>87</v>
      </c>
      <c r="G1172" s="381" t="s">
        <v>5097</v>
      </c>
      <c r="H1172" s="387">
        <v>25</v>
      </c>
      <c r="I1172" s="381">
        <v>13.8</v>
      </c>
      <c r="J1172" s="381">
        <v>13.8</v>
      </c>
      <c r="K1172" s="381">
        <v>4</v>
      </c>
      <c r="L1172" s="381">
        <v>0</v>
      </c>
      <c r="M1172" s="381" t="s">
        <v>148</v>
      </c>
      <c r="N1172" s="381" t="s">
        <v>149</v>
      </c>
      <c r="O1172" s="381" t="s">
        <v>150</v>
      </c>
      <c r="P1172" s="381" t="s">
        <v>151</v>
      </c>
      <c r="Q1172" s="381"/>
      <c r="R1172" s="381" t="s">
        <v>6152</v>
      </c>
      <c r="S1172" s="381"/>
      <c r="T1172" s="381" t="s">
        <v>2934</v>
      </c>
      <c r="U1172" s="381" t="s">
        <v>152</v>
      </c>
      <c r="V1172" s="381" t="s">
        <v>23</v>
      </c>
    </row>
    <row r="1173" spans="2:22">
      <c r="B1173" s="383">
        <v>46251</v>
      </c>
      <c r="C1173" s="383">
        <v>46251</v>
      </c>
      <c r="D1173" s="381" t="s">
        <v>6153</v>
      </c>
      <c r="E1173" s="382" t="s">
        <v>6154</v>
      </c>
      <c r="F1173" s="381" t="s">
        <v>87</v>
      </c>
      <c r="G1173" s="381" t="s">
        <v>2334</v>
      </c>
      <c r="H1173" s="387">
        <v>40</v>
      </c>
      <c r="I1173" s="381">
        <v>35.799999999999997</v>
      </c>
      <c r="J1173" s="381">
        <v>35.799999999999997</v>
      </c>
      <c r="K1173" s="381">
        <v>5</v>
      </c>
      <c r="L1173" s="381">
        <v>0</v>
      </c>
      <c r="M1173" s="381" t="s">
        <v>148</v>
      </c>
      <c r="N1173" s="381" t="s">
        <v>149</v>
      </c>
      <c r="O1173" s="381" t="s">
        <v>150</v>
      </c>
      <c r="P1173" s="381" t="s">
        <v>151</v>
      </c>
      <c r="Q1173" s="381"/>
      <c r="R1173" s="381" t="s">
        <v>6154</v>
      </c>
      <c r="S1173" s="381"/>
      <c r="T1173" s="381" t="s">
        <v>2934</v>
      </c>
      <c r="U1173" s="381" t="s">
        <v>152</v>
      </c>
      <c r="V1173" s="381" t="s">
        <v>23</v>
      </c>
    </row>
    <row r="1174" spans="2:22">
      <c r="B1174" s="383">
        <v>46251</v>
      </c>
      <c r="C1174" s="383">
        <v>46251</v>
      </c>
      <c r="D1174" s="381" t="s">
        <v>6155</v>
      </c>
      <c r="E1174" s="382" t="s">
        <v>6156</v>
      </c>
      <c r="F1174" s="381" t="s">
        <v>87</v>
      </c>
      <c r="G1174" s="381" t="s">
        <v>5097</v>
      </c>
      <c r="H1174" s="387">
        <v>25</v>
      </c>
      <c r="I1174" s="381">
        <v>40.4</v>
      </c>
      <c r="J1174" s="381">
        <v>40.4</v>
      </c>
      <c r="K1174" s="381">
        <v>4</v>
      </c>
      <c r="L1174" s="381">
        <v>0</v>
      </c>
      <c r="M1174" s="381" t="s">
        <v>148</v>
      </c>
      <c r="N1174" s="381" t="s">
        <v>149</v>
      </c>
      <c r="O1174" s="381" t="s">
        <v>150</v>
      </c>
      <c r="P1174" s="381" t="s">
        <v>151</v>
      </c>
      <c r="Q1174" s="381"/>
      <c r="R1174" s="381" t="s">
        <v>6156</v>
      </c>
      <c r="S1174" s="381"/>
      <c r="T1174" s="381" t="s">
        <v>2934</v>
      </c>
      <c r="U1174" s="381" t="s">
        <v>152</v>
      </c>
      <c r="V1174" s="381" t="s">
        <v>23</v>
      </c>
    </row>
    <row r="1175" spans="2:22">
      <c r="B1175" s="383">
        <v>46251</v>
      </c>
      <c r="C1175" s="383">
        <v>46251</v>
      </c>
      <c r="D1175" s="381" t="s">
        <v>6157</v>
      </c>
      <c r="E1175" s="382" t="s">
        <v>6158</v>
      </c>
      <c r="F1175" s="381" t="s">
        <v>87</v>
      </c>
      <c r="G1175" s="381" t="s">
        <v>5097</v>
      </c>
      <c r="H1175" s="387">
        <v>25</v>
      </c>
      <c r="I1175" s="381">
        <v>39.799999999999997</v>
      </c>
      <c r="J1175" s="381">
        <v>39.799999999999997</v>
      </c>
      <c r="K1175" s="381">
        <v>4</v>
      </c>
      <c r="L1175" s="381">
        <v>0</v>
      </c>
      <c r="M1175" s="381" t="s">
        <v>148</v>
      </c>
      <c r="N1175" s="381" t="s">
        <v>149</v>
      </c>
      <c r="O1175" s="381" t="s">
        <v>150</v>
      </c>
      <c r="P1175" s="381" t="s">
        <v>151</v>
      </c>
      <c r="Q1175" s="381"/>
      <c r="R1175" s="381" t="s">
        <v>6158</v>
      </c>
      <c r="S1175" s="381"/>
      <c r="T1175" s="381" t="s">
        <v>2934</v>
      </c>
      <c r="U1175" s="381" t="s">
        <v>152</v>
      </c>
      <c r="V1175" s="381" t="s">
        <v>23</v>
      </c>
    </row>
    <row r="1176" spans="2:22">
      <c r="B1176" s="383">
        <v>46251</v>
      </c>
      <c r="C1176" s="383">
        <v>46251</v>
      </c>
      <c r="D1176" s="381" t="s">
        <v>6159</v>
      </c>
      <c r="E1176" s="382" t="s">
        <v>6160</v>
      </c>
      <c r="F1176" s="381" t="s">
        <v>87</v>
      </c>
      <c r="G1176" s="381" t="s">
        <v>5766</v>
      </c>
      <c r="H1176" s="387">
        <v>45</v>
      </c>
      <c r="I1176" s="381">
        <v>42.3</v>
      </c>
      <c r="J1176" s="381">
        <v>42.3</v>
      </c>
      <c r="K1176" s="381">
        <v>5</v>
      </c>
      <c r="L1176" s="381">
        <v>0</v>
      </c>
      <c r="M1176" s="381" t="s">
        <v>148</v>
      </c>
      <c r="N1176" s="381" t="s">
        <v>149</v>
      </c>
      <c r="O1176" s="381" t="s">
        <v>150</v>
      </c>
      <c r="P1176" s="381" t="s">
        <v>151</v>
      </c>
      <c r="Q1176" s="381"/>
      <c r="R1176" s="381" t="s">
        <v>6160</v>
      </c>
      <c r="S1176" s="381"/>
      <c r="T1176" s="381" t="s">
        <v>2934</v>
      </c>
      <c r="U1176" s="381" t="s">
        <v>152</v>
      </c>
      <c r="V1176" s="381" t="s">
        <v>23</v>
      </c>
    </row>
    <row r="1177" spans="2:22">
      <c r="B1177" s="383">
        <v>46251</v>
      </c>
      <c r="C1177" s="383">
        <v>46251</v>
      </c>
      <c r="D1177" s="381" t="s">
        <v>6161</v>
      </c>
      <c r="E1177" s="382" t="s">
        <v>6162</v>
      </c>
      <c r="F1177" s="381" t="s">
        <v>87</v>
      </c>
      <c r="G1177" s="381" t="s">
        <v>5766</v>
      </c>
      <c r="H1177" s="387">
        <v>45</v>
      </c>
      <c r="I1177" s="381">
        <v>17.3</v>
      </c>
      <c r="J1177" s="381">
        <v>17.3</v>
      </c>
      <c r="K1177" s="381">
        <v>5</v>
      </c>
      <c r="L1177" s="381">
        <v>0</v>
      </c>
      <c r="M1177" s="381" t="s">
        <v>148</v>
      </c>
      <c r="N1177" s="381" t="s">
        <v>149</v>
      </c>
      <c r="O1177" s="381" t="s">
        <v>150</v>
      </c>
      <c r="P1177" s="381" t="s">
        <v>151</v>
      </c>
      <c r="Q1177" s="381"/>
      <c r="R1177" s="381" t="s">
        <v>6162</v>
      </c>
      <c r="S1177" s="381"/>
      <c r="T1177" s="381" t="s">
        <v>2934</v>
      </c>
      <c r="U1177" s="381" t="s">
        <v>152</v>
      </c>
      <c r="V1177" s="381" t="s">
        <v>23</v>
      </c>
    </row>
    <row r="1178" spans="2:22">
      <c r="B1178" s="383">
        <v>46252</v>
      </c>
      <c r="C1178" s="383">
        <v>46252</v>
      </c>
      <c r="D1178" s="381" t="s">
        <v>6163</v>
      </c>
      <c r="E1178" s="382" t="s">
        <v>6164</v>
      </c>
      <c r="F1178" s="381" t="s">
        <v>87</v>
      </c>
      <c r="G1178" s="381" t="s">
        <v>6165</v>
      </c>
      <c r="H1178" s="387">
        <v>32</v>
      </c>
      <c r="I1178" s="381">
        <v>18.2</v>
      </c>
      <c r="J1178" s="381">
        <v>18.2</v>
      </c>
      <c r="K1178" s="381">
        <v>4</v>
      </c>
      <c r="L1178" s="381">
        <v>0</v>
      </c>
      <c r="M1178" s="381" t="s">
        <v>148</v>
      </c>
      <c r="N1178" s="381" t="s">
        <v>149</v>
      </c>
      <c r="O1178" s="381" t="s">
        <v>150</v>
      </c>
      <c r="P1178" s="381" t="s">
        <v>151</v>
      </c>
      <c r="Q1178" s="381"/>
      <c r="R1178" s="381" t="s">
        <v>6164</v>
      </c>
      <c r="S1178" s="381"/>
      <c r="T1178" s="381" t="s">
        <v>2945</v>
      </c>
      <c r="U1178" s="381" t="s">
        <v>152</v>
      </c>
      <c r="V1178" s="381" t="s">
        <v>23</v>
      </c>
    </row>
    <row r="1179" spans="2:22">
      <c r="B1179" s="383">
        <v>46252</v>
      </c>
      <c r="C1179" s="383">
        <v>46252</v>
      </c>
      <c r="D1179" s="381" t="s">
        <v>6166</v>
      </c>
      <c r="E1179" s="382" t="s">
        <v>6167</v>
      </c>
      <c r="F1179" s="381" t="s">
        <v>87</v>
      </c>
      <c r="G1179" s="381" t="s">
        <v>4000</v>
      </c>
      <c r="H1179" s="387">
        <v>50</v>
      </c>
      <c r="I1179" s="381">
        <v>32.799999999999997</v>
      </c>
      <c r="J1179" s="381">
        <v>32.799999999999997</v>
      </c>
      <c r="K1179" s="381">
        <v>5</v>
      </c>
      <c r="L1179" s="381">
        <v>0</v>
      </c>
      <c r="M1179" s="381" t="s">
        <v>148</v>
      </c>
      <c r="N1179" s="381" t="s">
        <v>149</v>
      </c>
      <c r="O1179" s="381" t="s">
        <v>150</v>
      </c>
      <c r="P1179" s="381" t="s">
        <v>151</v>
      </c>
      <c r="Q1179" s="381"/>
      <c r="R1179" s="381" t="s">
        <v>6167</v>
      </c>
      <c r="S1179" s="381"/>
      <c r="T1179" s="381" t="s">
        <v>2945</v>
      </c>
      <c r="U1179" s="381" t="s">
        <v>152</v>
      </c>
      <c r="V1179" s="381" t="s">
        <v>23</v>
      </c>
    </row>
    <row r="1180" spans="2:22">
      <c r="B1180" s="383">
        <v>46252</v>
      </c>
      <c r="C1180" s="383">
        <v>46252</v>
      </c>
      <c r="D1180" s="381" t="s">
        <v>6168</v>
      </c>
      <c r="E1180" s="382" t="s">
        <v>6169</v>
      </c>
      <c r="F1180" s="381" t="s">
        <v>87</v>
      </c>
      <c r="G1180" s="381" t="s">
        <v>4000</v>
      </c>
      <c r="H1180" s="387">
        <v>50</v>
      </c>
      <c r="I1180" s="381">
        <v>34.799999999999997</v>
      </c>
      <c r="J1180" s="381">
        <v>34.799999999999997</v>
      </c>
      <c r="K1180" s="381">
        <v>5</v>
      </c>
      <c r="L1180" s="381">
        <v>0</v>
      </c>
      <c r="M1180" s="381" t="s">
        <v>148</v>
      </c>
      <c r="N1180" s="381" t="s">
        <v>149</v>
      </c>
      <c r="O1180" s="381" t="s">
        <v>150</v>
      </c>
      <c r="P1180" s="381" t="s">
        <v>151</v>
      </c>
      <c r="Q1180" s="381"/>
      <c r="R1180" s="381" t="s">
        <v>6169</v>
      </c>
      <c r="S1180" s="381"/>
      <c r="T1180" s="381" t="s">
        <v>2945</v>
      </c>
      <c r="U1180" s="381" t="s">
        <v>152</v>
      </c>
      <c r="V1180" s="381" t="s">
        <v>23</v>
      </c>
    </row>
    <row r="1181" spans="2:22">
      <c r="B1181" s="383">
        <v>46252</v>
      </c>
      <c r="C1181" s="383">
        <v>46252</v>
      </c>
      <c r="D1181" s="381" t="s">
        <v>6170</v>
      </c>
      <c r="E1181" s="382" t="s">
        <v>6171</v>
      </c>
      <c r="F1181" s="381" t="s">
        <v>87</v>
      </c>
      <c r="G1181" s="381" t="s">
        <v>2334</v>
      </c>
      <c r="H1181" s="387">
        <v>40</v>
      </c>
      <c r="I1181" s="381">
        <v>36.200000000000003</v>
      </c>
      <c r="J1181" s="381">
        <v>36.200000000000003</v>
      </c>
      <c r="K1181" s="381">
        <v>5</v>
      </c>
      <c r="L1181" s="381">
        <v>0</v>
      </c>
      <c r="M1181" s="381" t="s">
        <v>148</v>
      </c>
      <c r="N1181" s="381" t="s">
        <v>149</v>
      </c>
      <c r="O1181" s="381" t="s">
        <v>150</v>
      </c>
      <c r="P1181" s="381" t="s">
        <v>151</v>
      </c>
      <c r="Q1181" s="381"/>
      <c r="R1181" s="381" t="s">
        <v>6171</v>
      </c>
      <c r="S1181" s="381"/>
      <c r="T1181" s="381" t="s">
        <v>2945</v>
      </c>
      <c r="U1181" s="381" t="s">
        <v>152</v>
      </c>
      <c r="V1181" s="381" t="s">
        <v>23</v>
      </c>
    </row>
    <row r="1182" spans="2:22">
      <c r="B1182" s="383">
        <v>46252</v>
      </c>
      <c r="C1182" s="383">
        <v>46252</v>
      </c>
      <c r="D1182" s="381" t="s">
        <v>6172</v>
      </c>
      <c r="E1182" s="382" t="s">
        <v>6173</v>
      </c>
      <c r="F1182" s="381" t="s">
        <v>87</v>
      </c>
      <c r="G1182" s="381" t="s">
        <v>5766</v>
      </c>
      <c r="H1182" s="387">
        <v>45</v>
      </c>
      <c r="I1182" s="381">
        <v>42.6</v>
      </c>
      <c r="J1182" s="381">
        <v>42.6</v>
      </c>
      <c r="K1182" s="381">
        <v>5</v>
      </c>
      <c r="L1182" s="381">
        <v>0</v>
      </c>
      <c r="M1182" s="381" t="s">
        <v>148</v>
      </c>
      <c r="N1182" s="381" t="s">
        <v>149</v>
      </c>
      <c r="O1182" s="381" t="s">
        <v>150</v>
      </c>
      <c r="P1182" s="381" t="s">
        <v>151</v>
      </c>
      <c r="Q1182" s="381"/>
      <c r="R1182" s="381" t="s">
        <v>6173</v>
      </c>
      <c r="S1182" s="381"/>
      <c r="T1182" s="381" t="s">
        <v>2945</v>
      </c>
      <c r="U1182" s="381" t="s">
        <v>152</v>
      </c>
      <c r="V1182" s="381" t="s">
        <v>23</v>
      </c>
    </row>
    <row r="1183" spans="2:22">
      <c r="B1183" s="383">
        <v>46252</v>
      </c>
      <c r="C1183" s="383">
        <v>46252</v>
      </c>
      <c r="D1183" s="381" t="s">
        <v>6174</v>
      </c>
      <c r="E1183" s="382" t="s">
        <v>6175</v>
      </c>
      <c r="F1183" s="381" t="s">
        <v>87</v>
      </c>
      <c r="G1183" s="381" t="s">
        <v>4000</v>
      </c>
      <c r="H1183" s="387">
        <v>50</v>
      </c>
      <c r="I1183" s="381">
        <v>46.8</v>
      </c>
      <c r="J1183" s="381">
        <v>46.8</v>
      </c>
      <c r="K1183" s="381">
        <v>5</v>
      </c>
      <c r="L1183" s="381">
        <v>0</v>
      </c>
      <c r="M1183" s="381" t="s">
        <v>148</v>
      </c>
      <c r="N1183" s="381" t="s">
        <v>149</v>
      </c>
      <c r="O1183" s="381" t="s">
        <v>150</v>
      </c>
      <c r="P1183" s="381" t="s">
        <v>151</v>
      </c>
      <c r="Q1183" s="381"/>
      <c r="R1183" s="381" t="s">
        <v>6175</v>
      </c>
      <c r="S1183" s="381"/>
      <c r="T1183" s="381" t="s">
        <v>2945</v>
      </c>
      <c r="U1183" s="381" t="s">
        <v>152</v>
      </c>
      <c r="V1183" s="381" t="s">
        <v>23</v>
      </c>
    </row>
    <row r="1184" spans="2:22">
      <c r="B1184" s="383">
        <v>46252</v>
      </c>
      <c r="C1184" s="383">
        <v>46252</v>
      </c>
      <c r="D1184" s="381" t="s">
        <v>6176</v>
      </c>
      <c r="E1184" s="382" t="s">
        <v>6177</v>
      </c>
      <c r="F1184" s="381" t="s">
        <v>87</v>
      </c>
      <c r="G1184" s="381" t="s">
        <v>2334</v>
      </c>
      <c r="H1184" s="387">
        <v>40</v>
      </c>
      <c r="I1184" s="381">
        <v>38</v>
      </c>
      <c r="J1184" s="381">
        <v>38</v>
      </c>
      <c r="K1184" s="381">
        <v>5</v>
      </c>
      <c r="L1184" s="381">
        <v>0</v>
      </c>
      <c r="M1184" s="381" t="s">
        <v>148</v>
      </c>
      <c r="N1184" s="381" t="s">
        <v>149</v>
      </c>
      <c r="O1184" s="381" t="s">
        <v>150</v>
      </c>
      <c r="P1184" s="381" t="s">
        <v>151</v>
      </c>
      <c r="Q1184" s="381"/>
      <c r="R1184" s="381" t="s">
        <v>6177</v>
      </c>
      <c r="S1184" s="381" t="s">
        <v>61</v>
      </c>
      <c r="T1184" s="381" t="s">
        <v>3398</v>
      </c>
      <c r="U1184" s="381" t="s">
        <v>152</v>
      </c>
      <c r="V1184" s="381" t="s">
        <v>23</v>
      </c>
    </row>
    <row r="1185" spans="2:22">
      <c r="B1185" s="383">
        <v>46252</v>
      </c>
      <c r="C1185" s="383">
        <v>46252</v>
      </c>
      <c r="D1185" s="381" t="s">
        <v>6178</v>
      </c>
      <c r="E1185" s="382" t="s">
        <v>6179</v>
      </c>
      <c r="F1185" s="381" t="s">
        <v>87</v>
      </c>
      <c r="G1185" s="381" t="s">
        <v>6008</v>
      </c>
      <c r="H1185" s="387">
        <v>30</v>
      </c>
      <c r="I1185" s="381">
        <v>44.3</v>
      </c>
      <c r="J1185" s="381">
        <v>44.3</v>
      </c>
      <c r="K1185" s="381">
        <v>4</v>
      </c>
      <c r="L1185" s="381">
        <v>0</v>
      </c>
      <c r="M1185" s="381" t="s">
        <v>148</v>
      </c>
      <c r="N1185" s="381" t="s">
        <v>149</v>
      </c>
      <c r="O1185" s="381" t="s">
        <v>150</v>
      </c>
      <c r="P1185" s="381" t="s">
        <v>151</v>
      </c>
      <c r="Q1185" s="381"/>
      <c r="R1185" s="381" t="s">
        <v>6179</v>
      </c>
      <c r="S1185" s="381"/>
      <c r="T1185" s="381" t="s">
        <v>2945</v>
      </c>
      <c r="U1185" s="381" t="s">
        <v>152</v>
      </c>
      <c r="V1185" s="381" t="s">
        <v>23</v>
      </c>
    </row>
    <row r="1186" spans="2:22">
      <c r="B1186" s="383">
        <v>46252</v>
      </c>
      <c r="C1186" s="383">
        <v>46252</v>
      </c>
      <c r="D1186" s="381" t="s">
        <v>6180</v>
      </c>
      <c r="E1186" s="382" t="s">
        <v>6181</v>
      </c>
      <c r="F1186" s="381" t="s">
        <v>87</v>
      </c>
      <c r="G1186" s="381" t="s">
        <v>6008</v>
      </c>
      <c r="H1186" s="387">
        <v>30</v>
      </c>
      <c r="I1186" s="381">
        <v>48.5</v>
      </c>
      <c r="J1186" s="381">
        <v>48.5</v>
      </c>
      <c r="K1186" s="381">
        <v>4</v>
      </c>
      <c r="L1186" s="381">
        <v>0</v>
      </c>
      <c r="M1186" s="381" t="s">
        <v>148</v>
      </c>
      <c r="N1186" s="381" t="s">
        <v>149</v>
      </c>
      <c r="O1186" s="381" t="s">
        <v>150</v>
      </c>
      <c r="P1186" s="381" t="s">
        <v>151</v>
      </c>
      <c r="Q1186" s="381"/>
      <c r="R1186" s="381" t="s">
        <v>6181</v>
      </c>
      <c r="S1186" s="381"/>
      <c r="T1186" s="381" t="s">
        <v>2945</v>
      </c>
      <c r="U1186" s="381" t="s">
        <v>152</v>
      </c>
      <c r="V1186" s="381" t="s">
        <v>23</v>
      </c>
    </row>
    <row r="1187" spans="2:22">
      <c r="B1187" s="383">
        <v>46252</v>
      </c>
      <c r="C1187" s="383">
        <v>46252</v>
      </c>
      <c r="D1187" s="381" t="s">
        <v>6182</v>
      </c>
      <c r="E1187" s="382" t="s">
        <v>6183</v>
      </c>
      <c r="F1187" s="381" t="s">
        <v>87</v>
      </c>
      <c r="G1187" s="381" t="s">
        <v>2334</v>
      </c>
      <c r="H1187" s="387">
        <v>40</v>
      </c>
      <c r="I1187" s="381">
        <v>35.799999999999997</v>
      </c>
      <c r="J1187" s="381">
        <v>35.799999999999997</v>
      </c>
      <c r="K1187" s="381">
        <v>5</v>
      </c>
      <c r="L1187" s="381">
        <v>0</v>
      </c>
      <c r="M1187" s="381" t="s">
        <v>148</v>
      </c>
      <c r="N1187" s="381" t="s">
        <v>149</v>
      </c>
      <c r="O1187" s="381" t="s">
        <v>150</v>
      </c>
      <c r="P1187" s="381" t="s">
        <v>151</v>
      </c>
      <c r="Q1187" s="381"/>
      <c r="R1187" s="381" t="s">
        <v>6183</v>
      </c>
      <c r="S1187" s="381"/>
      <c r="T1187" s="381" t="s">
        <v>2945</v>
      </c>
      <c r="U1187" s="381" t="s">
        <v>152</v>
      </c>
      <c r="V1187" s="381" t="s">
        <v>23</v>
      </c>
    </row>
    <row r="1188" spans="2:22">
      <c r="B1188" s="383">
        <v>46252</v>
      </c>
      <c r="C1188" s="383">
        <v>46252</v>
      </c>
      <c r="D1188" s="381" t="s">
        <v>6184</v>
      </c>
      <c r="E1188" s="382" t="s">
        <v>6185</v>
      </c>
      <c r="F1188" s="381" t="s">
        <v>87</v>
      </c>
      <c r="G1188" s="381" t="s">
        <v>2334</v>
      </c>
      <c r="H1188" s="387">
        <v>40</v>
      </c>
      <c r="I1188" s="381">
        <v>39.4</v>
      </c>
      <c r="J1188" s="381">
        <v>39.4</v>
      </c>
      <c r="K1188" s="381">
        <v>5</v>
      </c>
      <c r="L1188" s="381">
        <v>0</v>
      </c>
      <c r="M1188" s="381" t="s">
        <v>148</v>
      </c>
      <c r="N1188" s="381" t="s">
        <v>149</v>
      </c>
      <c r="O1188" s="381" t="s">
        <v>150</v>
      </c>
      <c r="P1188" s="381" t="s">
        <v>151</v>
      </c>
      <c r="Q1188" s="381"/>
      <c r="R1188" s="381" t="s">
        <v>6185</v>
      </c>
      <c r="S1188" s="381"/>
      <c r="T1188" s="381" t="s">
        <v>2945</v>
      </c>
      <c r="U1188" s="381" t="s">
        <v>152</v>
      </c>
      <c r="V1188" s="381" t="s">
        <v>23</v>
      </c>
    </row>
    <row r="1189" spans="2:22">
      <c r="B1189" s="383">
        <v>46252</v>
      </c>
      <c r="C1189" s="383">
        <v>46252</v>
      </c>
      <c r="D1189" s="381" t="s">
        <v>6186</v>
      </c>
      <c r="E1189" s="382" t="s">
        <v>6187</v>
      </c>
      <c r="F1189" s="381" t="s">
        <v>87</v>
      </c>
      <c r="G1189" s="381" t="s">
        <v>6165</v>
      </c>
      <c r="H1189" s="387">
        <v>32</v>
      </c>
      <c r="I1189" s="381">
        <v>24.2</v>
      </c>
      <c r="J1189" s="381">
        <v>24.2</v>
      </c>
      <c r="K1189" s="381">
        <v>4</v>
      </c>
      <c r="L1189" s="381">
        <v>0</v>
      </c>
      <c r="M1189" s="381" t="s">
        <v>148</v>
      </c>
      <c r="N1189" s="381" t="s">
        <v>149</v>
      </c>
      <c r="O1189" s="381" t="s">
        <v>150</v>
      </c>
      <c r="P1189" s="381" t="s">
        <v>151</v>
      </c>
      <c r="Q1189" s="381"/>
      <c r="R1189" s="381" t="s">
        <v>6187</v>
      </c>
      <c r="S1189" s="381"/>
      <c r="T1189" s="381" t="s">
        <v>2945</v>
      </c>
      <c r="U1189" s="381" t="s">
        <v>152</v>
      </c>
      <c r="V1189" s="381" t="s">
        <v>23</v>
      </c>
    </row>
    <row r="1190" spans="2:22">
      <c r="B1190" s="383">
        <v>46252</v>
      </c>
      <c r="C1190" s="383">
        <v>46252</v>
      </c>
      <c r="D1190" s="381" t="s">
        <v>6188</v>
      </c>
      <c r="E1190" s="382" t="s">
        <v>6189</v>
      </c>
      <c r="F1190" s="381" t="s">
        <v>87</v>
      </c>
      <c r="G1190" s="381" t="s">
        <v>2334</v>
      </c>
      <c r="H1190" s="387">
        <v>40</v>
      </c>
      <c r="I1190" s="381">
        <v>29.4</v>
      </c>
      <c r="J1190" s="381">
        <v>29.4</v>
      </c>
      <c r="K1190" s="381">
        <v>5</v>
      </c>
      <c r="L1190" s="381">
        <v>0</v>
      </c>
      <c r="M1190" s="381" t="s">
        <v>148</v>
      </c>
      <c r="N1190" s="381" t="s">
        <v>149</v>
      </c>
      <c r="O1190" s="381" t="s">
        <v>150</v>
      </c>
      <c r="P1190" s="381" t="s">
        <v>151</v>
      </c>
      <c r="Q1190" s="381"/>
      <c r="R1190" s="381" t="s">
        <v>6189</v>
      </c>
      <c r="S1190" s="381"/>
      <c r="T1190" s="381" t="s">
        <v>2945</v>
      </c>
      <c r="U1190" s="381" t="s">
        <v>152</v>
      </c>
      <c r="V1190" s="381" t="s">
        <v>23</v>
      </c>
    </row>
    <row r="1191" spans="2:22">
      <c r="B1191" s="383">
        <v>46252</v>
      </c>
      <c r="C1191" s="383">
        <v>46252</v>
      </c>
      <c r="D1191" s="381" t="s">
        <v>6190</v>
      </c>
      <c r="E1191" s="382" t="s">
        <v>6191</v>
      </c>
      <c r="F1191" s="381" t="s">
        <v>87</v>
      </c>
      <c r="G1191" s="381" t="s">
        <v>5766</v>
      </c>
      <c r="H1191" s="387">
        <v>45</v>
      </c>
      <c r="I1191" s="381">
        <v>23.8</v>
      </c>
      <c r="J1191" s="381">
        <v>23.8</v>
      </c>
      <c r="K1191" s="381">
        <v>5</v>
      </c>
      <c r="L1191" s="381">
        <v>0</v>
      </c>
      <c r="M1191" s="381" t="s">
        <v>148</v>
      </c>
      <c r="N1191" s="381" t="s">
        <v>149</v>
      </c>
      <c r="O1191" s="381" t="s">
        <v>150</v>
      </c>
      <c r="P1191" s="381" t="s">
        <v>151</v>
      </c>
      <c r="Q1191" s="381"/>
      <c r="R1191" s="381" t="s">
        <v>6191</v>
      </c>
      <c r="S1191" s="381"/>
      <c r="T1191" s="381" t="s">
        <v>2945</v>
      </c>
      <c r="U1191" s="381" t="s">
        <v>152</v>
      </c>
      <c r="V1191" s="381" t="s">
        <v>23</v>
      </c>
    </row>
    <row r="1192" spans="2:22">
      <c r="B1192" s="383">
        <v>46252</v>
      </c>
      <c r="C1192" s="383">
        <v>46252</v>
      </c>
      <c r="D1192" s="381" t="s">
        <v>6192</v>
      </c>
      <c r="E1192" s="382" t="s">
        <v>6193</v>
      </c>
      <c r="F1192" s="381" t="s">
        <v>87</v>
      </c>
      <c r="G1192" s="381" t="s">
        <v>5766</v>
      </c>
      <c r="H1192" s="387">
        <v>45</v>
      </c>
      <c r="I1192" s="381">
        <v>41.5</v>
      </c>
      <c r="J1192" s="381">
        <v>41.5</v>
      </c>
      <c r="K1192" s="381">
        <v>5</v>
      </c>
      <c r="L1192" s="381">
        <v>0</v>
      </c>
      <c r="M1192" s="381" t="s">
        <v>148</v>
      </c>
      <c r="N1192" s="381" t="s">
        <v>149</v>
      </c>
      <c r="O1192" s="381" t="s">
        <v>150</v>
      </c>
      <c r="P1192" s="381" t="s">
        <v>151</v>
      </c>
      <c r="Q1192" s="381"/>
      <c r="R1192" s="381" t="s">
        <v>6193</v>
      </c>
      <c r="S1192" s="381"/>
      <c r="T1192" s="381" t="s">
        <v>2945</v>
      </c>
      <c r="U1192" s="381" t="s">
        <v>152</v>
      </c>
      <c r="V1192" s="381" t="s">
        <v>23</v>
      </c>
    </row>
    <row r="1193" spans="2:22">
      <c r="B1193" s="383">
        <v>46252</v>
      </c>
      <c r="C1193" s="383">
        <v>46252</v>
      </c>
      <c r="D1193" s="381" t="s">
        <v>6194</v>
      </c>
      <c r="E1193" s="382" t="s">
        <v>6195</v>
      </c>
      <c r="F1193" s="381" t="s">
        <v>87</v>
      </c>
      <c r="G1193" s="381" t="s">
        <v>2515</v>
      </c>
      <c r="H1193" s="387">
        <v>50</v>
      </c>
      <c r="I1193" s="381">
        <v>42.2</v>
      </c>
      <c r="J1193" s="381">
        <v>42.2</v>
      </c>
      <c r="K1193" s="381">
        <v>5</v>
      </c>
      <c r="L1193" s="381">
        <v>0</v>
      </c>
      <c r="M1193" s="381" t="s">
        <v>148</v>
      </c>
      <c r="N1193" s="381" t="s">
        <v>149</v>
      </c>
      <c r="O1193" s="381" t="s">
        <v>150</v>
      </c>
      <c r="P1193" s="381" t="s">
        <v>151</v>
      </c>
      <c r="Q1193" s="381"/>
      <c r="R1193" s="381" t="s">
        <v>6195</v>
      </c>
      <c r="S1193" s="381"/>
      <c r="T1193" s="381" t="s">
        <v>2945</v>
      </c>
      <c r="U1193" s="381" t="s">
        <v>152</v>
      </c>
      <c r="V1193" s="381" t="s">
        <v>23</v>
      </c>
    </row>
    <row r="1194" spans="2:22">
      <c r="B1194" s="383">
        <v>46252</v>
      </c>
      <c r="C1194" s="383">
        <v>46252</v>
      </c>
      <c r="D1194" s="381" t="s">
        <v>6196</v>
      </c>
      <c r="E1194" s="382" t="s">
        <v>6197</v>
      </c>
      <c r="F1194" s="381" t="s">
        <v>87</v>
      </c>
      <c r="G1194" s="381" t="s">
        <v>2334</v>
      </c>
      <c r="H1194" s="387">
        <v>40</v>
      </c>
      <c r="I1194" s="381">
        <v>34.799999999999997</v>
      </c>
      <c r="J1194" s="381">
        <v>34.799999999999997</v>
      </c>
      <c r="K1194" s="381">
        <v>5</v>
      </c>
      <c r="L1194" s="381">
        <v>0</v>
      </c>
      <c r="M1194" s="381" t="s">
        <v>148</v>
      </c>
      <c r="N1194" s="381" t="s">
        <v>149</v>
      </c>
      <c r="O1194" s="381" t="s">
        <v>150</v>
      </c>
      <c r="P1194" s="381" t="s">
        <v>151</v>
      </c>
      <c r="Q1194" s="381"/>
      <c r="R1194" s="381" t="s">
        <v>6197</v>
      </c>
      <c r="S1194" s="381"/>
      <c r="T1194" s="381" t="s">
        <v>2945</v>
      </c>
      <c r="U1194" s="381" t="s">
        <v>152</v>
      </c>
      <c r="V1194" s="381" t="s">
        <v>23</v>
      </c>
    </row>
    <row r="1195" spans="2:22">
      <c r="B1195" s="383">
        <v>46252</v>
      </c>
      <c r="C1195" s="383">
        <v>46252</v>
      </c>
      <c r="D1195" s="381" t="s">
        <v>6198</v>
      </c>
      <c r="E1195" s="382" t="s">
        <v>6199</v>
      </c>
      <c r="F1195" s="381" t="s">
        <v>87</v>
      </c>
      <c r="G1195" s="381" t="s">
        <v>4512</v>
      </c>
      <c r="H1195" s="387">
        <v>55</v>
      </c>
      <c r="I1195" s="381">
        <v>39.200000000000003</v>
      </c>
      <c r="J1195" s="381">
        <v>39.200000000000003</v>
      </c>
      <c r="K1195" s="381">
        <v>5</v>
      </c>
      <c r="L1195" s="381">
        <v>0</v>
      </c>
      <c r="M1195" s="381" t="s">
        <v>148</v>
      </c>
      <c r="N1195" s="381" t="s">
        <v>149</v>
      </c>
      <c r="O1195" s="381" t="s">
        <v>150</v>
      </c>
      <c r="P1195" s="381" t="s">
        <v>151</v>
      </c>
      <c r="Q1195" s="381"/>
      <c r="R1195" s="381" t="s">
        <v>6199</v>
      </c>
      <c r="S1195" s="381"/>
      <c r="T1195" s="381" t="s">
        <v>2945</v>
      </c>
      <c r="U1195" s="381" t="s">
        <v>152</v>
      </c>
      <c r="V1195" s="381" t="s">
        <v>23</v>
      </c>
    </row>
    <row r="1196" spans="2:22">
      <c r="B1196" s="383">
        <v>46252</v>
      </c>
      <c r="C1196" s="383">
        <v>46252</v>
      </c>
      <c r="D1196" s="381" t="s">
        <v>6200</v>
      </c>
      <c r="E1196" s="382" t="s">
        <v>6201</v>
      </c>
      <c r="F1196" s="381" t="s">
        <v>87</v>
      </c>
      <c r="G1196" s="381" t="s">
        <v>6008</v>
      </c>
      <c r="H1196" s="387">
        <v>30</v>
      </c>
      <c r="I1196" s="381">
        <v>47.2</v>
      </c>
      <c r="J1196" s="381">
        <v>47.2</v>
      </c>
      <c r="K1196" s="381">
        <v>4</v>
      </c>
      <c r="L1196" s="381">
        <v>0</v>
      </c>
      <c r="M1196" s="381" t="s">
        <v>148</v>
      </c>
      <c r="N1196" s="381" t="s">
        <v>149</v>
      </c>
      <c r="O1196" s="381" t="s">
        <v>150</v>
      </c>
      <c r="P1196" s="381" t="s">
        <v>151</v>
      </c>
      <c r="Q1196" s="381"/>
      <c r="R1196" s="381" t="s">
        <v>6201</v>
      </c>
      <c r="S1196" s="381"/>
      <c r="T1196" s="381" t="s">
        <v>2945</v>
      </c>
      <c r="U1196" s="381" t="s">
        <v>152</v>
      </c>
      <c r="V1196" s="381" t="s">
        <v>23</v>
      </c>
    </row>
    <row r="1197" spans="2:22">
      <c r="B1197" s="383">
        <v>46252</v>
      </c>
      <c r="C1197" s="383">
        <v>46252</v>
      </c>
      <c r="D1197" s="381" t="s">
        <v>6202</v>
      </c>
      <c r="E1197" s="382" t="s">
        <v>6203</v>
      </c>
      <c r="F1197" s="381" t="s">
        <v>87</v>
      </c>
      <c r="G1197" s="381" t="s">
        <v>6008</v>
      </c>
      <c r="H1197" s="387">
        <v>30</v>
      </c>
      <c r="I1197" s="381">
        <v>44.8</v>
      </c>
      <c r="J1197" s="381">
        <v>44.8</v>
      </c>
      <c r="K1197" s="381">
        <v>4</v>
      </c>
      <c r="L1197" s="381">
        <v>0</v>
      </c>
      <c r="M1197" s="381" t="s">
        <v>148</v>
      </c>
      <c r="N1197" s="381" t="s">
        <v>149</v>
      </c>
      <c r="O1197" s="381" t="s">
        <v>150</v>
      </c>
      <c r="P1197" s="381" t="s">
        <v>151</v>
      </c>
      <c r="Q1197" s="381"/>
      <c r="R1197" s="381" t="s">
        <v>6203</v>
      </c>
      <c r="S1197" s="381"/>
      <c r="T1197" s="381" t="s">
        <v>2945</v>
      </c>
      <c r="U1197" s="381" t="s">
        <v>152</v>
      </c>
      <c r="V1197" s="381" t="s">
        <v>23</v>
      </c>
    </row>
    <row r="1198" spans="2:22">
      <c r="B1198" s="383">
        <v>46252</v>
      </c>
      <c r="C1198" s="383">
        <v>46252</v>
      </c>
      <c r="D1198" s="381" t="s">
        <v>6204</v>
      </c>
      <c r="E1198" s="382" t="s">
        <v>6205</v>
      </c>
      <c r="F1198" s="381" t="s">
        <v>87</v>
      </c>
      <c r="G1198" s="381" t="s">
        <v>6008</v>
      </c>
      <c r="H1198" s="387">
        <v>30</v>
      </c>
      <c r="I1198" s="381">
        <v>33.700000000000003</v>
      </c>
      <c r="J1198" s="381">
        <v>33.700000000000003</v>
      </c>
      <c r="K1198" s="381">
        <v>4</v>
      </c>
      <c r="L1198" s="381">
        <v>0</v>
      </c>
      <c r="M1198" s="381" t="s">
        <v>148</v>
      </c>
      <c r="N1198" s="381" t="s">
        <v>149</v>
      </c>
      <c r="O1198" s="381" t="s">
        <v>150</v>
      </c>
      <c r="P1198" s="381" t="s">
        <v>151</v>
      </c>
      <c r="Q1198" s="381"/>
      <c r="R1198" s="381" t="s">
        <v>6205</v>
      </c>
      <c r="S1198" s="381"/>
      <c r="T1198" s="381" t="s">
        <v>2945</v>
      </c>
      <c r="U1198" s="381" t="s">
        <v>152</v>
      </c>
      <c r="V1198" s="381" t="s">
        <v>23</v>
      </c>
    </row>
    <row r="1199" spans="2:22">
      <c r="B1199" s="383">
        <v>46252</v>
      </c>
      <c r="C1199" s="383">
        <v>46252</v>
      </c>
      <c r="D1199" s="381" t="s">
        <v>6206</v>
      </c>
      <c r="E1199" s="382" t="s">
        <v>6207</v>
      </c>
      <c r="F1199" s="381" t="s">
        <v>87</v>
      </c>
      <c r="G1199" s="381" t="s">
        <v>6165</v>
      </c>
      <c r="H1199" s="387">
        <v>32</v>
      </c>
      <c r="I1199" s="381">
        <v>31.8</v>
      </c>
      <c r="J1199" s="381">
        <v>31.8</v>
      </c>
      <c r="K1199" s="381">
        <v>4</v>
      </c>
      <c r="L1199" s="381">
        <v>0</v>
      </c>
      <c r="M1199" s="381" t="s">
        <v>148</v>
      </c>
      <c r="N1199" s="381" t="s">
        <v>149</v>
      </c>
      <c r="O1199" s="381" t="s">
        <v>150</v>
      </c>
      <c r="P1199" s="381" t="s">
        <v>151</v>
      </c>
      <c r="Q1199" s="381"/>
      <c r="R1199" s="381" t="s">
        <v>6207</v>
      </c>
      <c r="S1199" s="381"/>
      <c r="T1199" s="381" t="s">
        <v>2945</v>
      </c>
      <c r="U1199" s="381" t="s">
        <v>152</v>
      </c>
      <c r="V1199" s="381" t="s">
        <v>23</v>
      </c>
    </row>
    <row r="1200" spans="2:22">
      <c r="B1200" s="383">
        <v>46252</v>
      </c>
      <c r="C1200" s="383">
        <v>46252</v>
      </c>
      <c r="D1200" s="381" t="s">
        <v>6208</v>
      </c>
      <c r="E1200" s="382" t="s">
        <v>6209</v>
      </c>
      <c r="F1200" s="381" t="s">
        <v>87</v>
      </c>
      <c r="G1200" s="381" t="s">
        <v>6165</v>
      </c>
      <c r="H1200" s="387">
        <v>32</v>
      </c>
      <c r="I1200" s="381">
        <v>37.799999999999997</v>
      </c>
      <c r="J1200" s="381">
        <v>37.799999999999997</v>
      </c>
      <c r="K1200" s="381">
        <v>4</v>
      </c>
      <c r="L1200" s="381">
        <v>0</v>
      </c>
      <c r="M1200" s="381" t="s">
        <v>148</v>
      </c>
      <c r="N1200" s="381" t="s">
        <v>149</v>
      </c>
      <c r="O1200" s="381" t="s">
        <v>150</v>
      </c>
      <c r="P1200" s="381" t="s">
        <v>151</v>
      </c>
      <c r="Q1200" s="381"/>
      <c r="R1200" s="381" t="s">
        <v>6209</v>
      </c>
      <c r="S1200" s="381"/>
      <c r="T1200" s="381" t="s">
        <v>2945</v>
      </c>
      <c r="U1200" s="381" t="s">
        <v>152</v>
      </c>
      <c r="V1200" s="381" t="s">
        <v>23</v>
      </c>
    </row>
    <row r="1201" spans="2:22">
      <c r="B1201" s="383">
        <v>46252</v>
      </c>
      <c r="C1201" s="383">
        <v>46252</v>
      </c>
      <c r="D1201" s="381" t="s">
        <v>6210</v>
      </c>
      <c r="E1201" s="382" t="s">
        <v>6211</v>
      </c>
      <c r="F1201" s="381" t="s">
        <v>87</v>
      </c>
      <c r="G1201" s="381" t="s">
        <v>2512</v>
      </c>
      <c r="H1201" s="387">
        <v>40</v>
      </c>
      <c r="I1201" s="381">
        <v>38.6</v>
      </c>
      <c r="J1201" s="381">
        <v>38.6</v>
      </c>
      <c r="K1201" s="381">
        <v>5</v>
      </c>
      <c r="L1201" s="381">
        <v>0</v>
      </c>
      <c r="M1201" s="381" t="s">
        <v>148</v>
      </c>
      <c r="N1201" s="381" t="s">
        <v>149</v>
      </c>
      <c r="O1201" s="381" t="s">
        <v>150</v>
      </c>
      <c r="P1201" s="381" t="s">
        <v>151</v>
      </c>
      <c r="Q1201" s="381"/>
      <c r="R1201" s="381" t="s">
        <v>6211</v>
      </c>
      <c r="S1201" s="381"/>
      <c r="T1201" s="381" t="s">
        <v>2945</v>
      </c>
      <c r="U1201" s="381" t="s">
        <v>152</v>
      </c>
      <c r="V1201" s="381" t="s">
        <v>23</v>
      </c>
    </row>
    <row r="1202" spans="2:22">
      <c r="B1202" s="383">
        <v>46252</v>
      </c>
      <c r="C1202" s="383">
        <v>46252</v>
      </c>
      <c r="D1202" s="381" t="s">
        <v>6212</v>
      </c>
      <c r="E1202" s="382" t="s">
        <v>6213</v>
      </c>
      <c r="F1202" s="381" t="s">
        <v>87</v>
      </c>
      <c r="G1202" s="381" t="s">
        <v>5766</v>
      </c>
      <c r="H1202" s="387">
        <v>45</v>
      </c>
      <c r="I1202" s="381">
        <v>26.5</v>
      </c>
      <c r="J1202" s="381">
        <v>26.5</v>
      </c>
      <c r="K1202" s="381">
        <v>5</v>
      </c>
      <c r="L1202" s="381">
        <v>0</v>
      </c>
      <c r="M1202" s="381" t="s">
        <v>148</v>
      </c>
      <c r="N1202" s="381" t="s">
        <v>149</v>
      </c>
      <c r="O1202" s="381" t="s">
        <v>150</v>
      </c>
      <c r="P1202" s="381" t="s">
        <v>151</v>
      </c>
      <c r="Q1202" s="381"/>
      <c r="R1202" s="381" t="s">
        <v>6213</v>
      </c>
      <c r="S1202" s="381"/>
      <c r="T1202" s="381" t="s">
        <v>2945</v>
      </c>
      <c r="U1202" s="381" t="s">
        <v>152</v>
      </c>
      <c r="V1202" s="381" t="s">
        <v>23</v>
      </c>
    </row>
    <row r="1203" spans="2:22">
      <c r="B1203" s="383">
        <v>46252</v>
      </c>
      <c r="C1203" s="383">
        <v>46252</v>
      </c>
      <c r="D1203" s="381" t="s">
        <v>6214</v>
      </c>
      <c r="E1203" s="382" t="s">
        <v>6215</v>
      </c>
      <c r="F1203" s="381" t="s">
        <v>87</v>
      </c>
      <c r="G1203" s="381" t="s">
        <v>2334</v>
      </c>
      <c r="H1203" s="387">
        <v>40</v>
      </c>
      <c r="I1203" s="381">
        <v>33.799999999999997</v>
      </c>
      <c r="J1203" s="381">
        <v>33.799999999999997</v>
      </c>
      <c r="K1203" s="381">
        <v>5</v>
      </c>
      <c r="L1203" s="381">
        <v>0</v>
      </c>
      <c r="M1203" s="381" t="s">
        <v>148</v>
      </c>
      <c r="N1203" s="381" t="s">
        <v>149</v>
      </c>
      <c r="O1203" s="381" t="s">
        <v>150</v>
      </c>
      <c r="P1203" s="381" t="s">
        <v>151</v>
      </c>
      <c r="Q1203" s="381"/>
      <c r="R1203" s="381" t="s">
        <v>6215</v>
      </c>
      <c r="S1203" s="381"/>
      <c r="T1203" s="381" t="s">
        <v>2945</v>
      </c>
      <c r="U1203" s="381" t="s">
        <v>152</v>
      </c>
      <c r="V1203" s="381" t="s">
        <v>23</v>
      </c>
    </row>
    <row r="1204" spans="2:22">
      <c r="B1204" s="383">
        <v>46252</v>
      </c>
      <c r="C1204" s="383">
        <v>46252</v>
      </c>
      <c r="D1204" s="381" t="s">
        <v>6216</v>
      </c>
      <c r="E1204" s="382" t="s">
        <v>6217</v>
      </c>
      <c r="F1204" s="381" t="s">
        <v>87</v>
      </c>
      <c r="G1204" s="381" t="s">
        <v>6165</v>
      </c>
      <c r="H1204" s="387">
        <v>32</v>
      </c>
      <c r="I1204" s="381">
        <v>24.3</v>
      </c>
      <c r="J1204" s="381">
        <v>24.3</v>
      </c>
      <c r="K1204" s="381">
        <v>4</v>
      </c>
      <c r="L1204" s="381">
        <v>0</v>
      </c>
      <c r="M1204" s="381" t="s">
        <v>148</v>
      </c>
      <c r="N1204" s="381" t="s">
        <v>149</v>
      </c>
      <c r="O1204" s="381" t="s">
        <v>150</v>
      </c>
      <c r="P1204" s="381" t="s">
        <v>151</v>
      </c>
      <c r="Q1204" s="381"/>
      <c r="R1204" s="381" t="s">
        <v>6217</v>
      </c>
      <c r="S1204" s="381"/>
      <c r="T1204" s="381" t="s">
        <v>2945</v>
      </c>
      <c r="U1204" s="381" t="s">
        <v>152</v>
      </c>
      <c r="V1204" s="381" t="s">
        <v>23</v>
      </c>
    </row>
    <row r="1205" spans="2:22">
      <c r="B1205" s="383">
        <v>46252</v>
      </c>
      <c r="C1205" s="383">
        <v>46252</v>
      </c>
      <c r="D1205" s="381" t="s">
        <v>6218</v>
      </c>
      <c r="E1205" s="382" t="s">
        <v>6219</v>
      </c>
      <c r="F1205" s="381" t="s">
        <v>87</v>
      </c>
      <c r="G1205" s="381" t="s">
        <v>6008</v>
      </c>
      <c r="H1205" s="387">
        <v>30</v>
      </c>
      <c r="I1205" s="381">
        <v>42</v>
      </c>
      <c r="J1205" s="381">
        <v>42</v>
      </c>
      <c r="K1205" s="381">
        <v>4</v>
      </c>
      <c r="L1205" s="381">
        <v>0</v>
      </c>
      <c r="M1205" s="381" t="s">
        <v>148</v>
      </c>
      <c r="N1205" s="381" t="s">
        <v>149</v>
      </c>
      <c r="O1205" s="381" t="s">
        <v>150</v>
      </c>
      <c r="P1205" s="381" t="s">
        <v>151</v>
      </c>
      <c r="Q1205" s="381"/>
      <c r="R1205" s="381" t="s">
        <v>6219</v>
      </c>
      <c r="S1205" s="381"/>
      <c r="T1205" s="381" t="s">
        <v>2945</v>
      </c>
      <c r="U1205" s="381" t="s">
        <v>152</v>
      </c>
      <c r="V1205" s="381" t="s">
        <v>23</v>
      </c>
    </row>
    <row r="1206" spans="2:22">
      <c r="B1206" s="383">
        <v>46252</v>
      </c>
      <c r="C1206" s="383">
        <v>46252</v>
      </c>
      <c r="D1206" s="381" t="s">
        <v>6220</v>
      </c>
      <c r="E1206" s="382" t="s">
        <v>6221</v>
      </c>
      <c r="F1206" s="381" t="s">
        <v>87</v>
      </c>
      <c r="G1206" s="381" t="s">
        <v>6165</v>
      </c>
      <c r="H1206" s="387">
        <v>32</v>
      </c>
      <c r="I1206" s="381">
        <v>37.799999999999997</v>
      </c>
      <c r="J1206" s="381">
        <v>37.799999999999997</v>
      </c>
      <c r="K1206" s="381">
        <v>4</v>
      </c>
      <c r="L1206" s="381">
        <v>0</v>
      </c>
      <c r="M1206" s="381" t="s">
        <v>148</v>
      </c>
      <c r="N1206" s="381" t="s">
        <v>149</v>
      </c>
      <c r="O1206" s="381" t="s">
        <v>150</v>
      </c>
      <c r="P1206" s="381" t="s">
        <v>151</v>
      </c>
      <c r="Q1206" s="381"/>
      <c r="R1206" s="381" t="s">
        <v>6221</v>
      </c>
      <c r="S1206" s="381"/>
      <c r="T1206" s="381" t="s">
        <v>2945</v>
      </c>
      <c r="U1206" s="381" t="s">
        <v>152</v>
      </c>
      <c r="V1206" s="381" t="s">
        <v>23</v>
      </c>
    </row>
    <row r="1207" spans="2:22">
      <c r="B1207" s="383">
        <v>46252</v>
      </c>
      <c r="C1207" s="383">
        <v>46252</v>
      </c>
      <c r="D1207" s="381" t="s">
        <v>6222</v>
      </c>
      <c r="E1207" s="382" t="s">
        <v>6223</v>
      </c>
      <c r="F1207" s="381" t="s">
        <v>87</v>
      </c>
      <c r="G1207" s="381" t="s">
        <v>6165</v>
      </c>
      <c r="H1207" s="387">
        <v>32</v>
      </c>
      <c r="I1207" s="381">
        <v>21.4</v>
      </c>
      <c r="J1207" s="381">
        <v>21.4</v>
      </c>
      <c r="K1207" s="381">
        <v>4</v>
      </c>
      <c r="L1207" s="381">
        <v>0</v>
      </c>
      <c r="M1207" s="381" t="s">
        <v>148</v>
      </c>
      <c r="N1207" s="381" t="s">
        <v>149</v>
      </c>
      <c r="O1207" s="381" t="s">
        <v>150</v>
      </c>
      <c r="P1207" s="381" t="s">
        <v>151</v>
      </c>
      <c r="Q1207" s="381"/>
      <c r="R1207" s="381" t="s">
        <v>6223</v>
      </c>
      <c r="S1207" s="381"/>
      <c r="T1207" s="381" t="s">
        <v>2945</v>
      </c>
      <c r="U1207" s="381" t="s">
        <v>152</v>
      </c>
      <c r="V1207" s="381" t="s">
        <v>23</v>
      </c>
    </row>
    <row r="1208" spans="2:22">
      <c r="B1208" s="383">
        <v>46252</v>
      </c>
      <c r="C1208" s="383">
        <v>46252</v>
      </c>
      <c r="D1208" s="381" t="s">
        <v>6224</v>
      </c>
      <c r="E1208" s="382" t="s">
        <v>6225</v>
      </c>
      <c r="F1208" s="381" t="s">
        <v>87</v>
      </c>
      <c r="G1208" s="381" t="s">
        <v>2334</v>
      </c>
      <c r="H1208" s="387">
        <v>40</v>
      </c>
      <c r="I1208" s="381">
        <v>36.799999999999997</v>
      </c>
      <c r="J1208" s="381">
        <v>36.799999999999997</v>
      </c>
      <c r="K1208" s="381">
        <v>5</v>
      </c>
      <c r="L1208" s="381">
        <v>0</v>
      </c>
      <c r="M1208" s="381" t="s">
        <v>148</v>
      </c>
      <c r="N1208" s="381" t="s">
        <v>149</v>
      </c>
      <c r="O1208" s="381" t="s">
        <v>150</v>
      </c>
      <c r="P1208" s="381" t="s">
        <v>151</v>
      </c>
      <c r="Q1208" s="381"/>
      <c r="R1208" s="381" t="s">
        <v>6225</v>
      </c>
      <c r="S1208" s="381"/>
      <c r="T1208" s="381" t="s">
        <v>2945</v>
      </c>
      <c r="U1208" s="381" t="s">
        <v>152</v>
      </c>
      <c r="V1208" s="381" t="s">
        <v>23</v>
      </c>
    </row>
    <row r="1209" spans="2:22">
      <c r="B1209" s="383">
        <v>46252</v>
      </c>
      <c r="C1209" s="383">
        <v>46252</v>
      </c>
      <c r="D1209" s="381" t="s">
        <v>6226</v>
      </c>
      <c r="E1209" s="382" t="s">
        <v>6227</v>
      </c>
      <c r="F1209" s="381" t="s">
        <v>87</v>
      </c>
      <c r="G1209" s="381" t="s">
        <v>2404</v>
      </c>
      <c r="H1209" s="387">
        <v>40</v>
      </c>
      <c r="I1209" s="381">
        <v>28.2</v>
      </c>
      <c r="J1209" s="381">
        <v>28.2</v>
      </c>
      <c r="K1209" s="381">
        <v>5</v>
      </c>
      <c r="L1209" s="381">
        <v>0</v>
      </c>
      <c r="M1209" s="381" t="s">
        <v>148</v>
      </c>
      <c r="N1209" s="381" t="s">
        <v>149</v>
      </c>
      <c r="O1209" s="381" t="s">
        <v>150</v>
      </c>
      <c r="P1209" s="381" t="s">
        <v>151</v>
      </c>
      <c r="Q1209" s="381"/>
      <c r="R1209" s="381" t="s">
        <v>6227</v>
      </c>
      <c r="S1209" s="381"/>
      <c r="T1209" s="381" t="s">
        <v>2945</v>
      </c>
      <c r="U1209" s="381" t="s">
        <v>152</v>
      </c>
      <c r="V1209" s="381" t="s">
        <v>23</v>
      </c>
    </row>
    <row r="1210" spans="2:22">
      <c r="B1210" s="383">
        <v>46252</v>
      </c>
      <c r="C1210" s="383">
        <v>46252</v>
      </c>
      <c r="D1210" s="381" t="s">
        <v>6228</v>
      </c>
      <c r="E1210" s="382" t="s">
        <v>6229</v>
      </c>
      <c r="F1210" s="381" t="s">
        <v>87</v>
      </c>
      <c r="G1210" s="381" t="s">
        <v>2404</v>
      </c>
      <c r="H1210" s="387">
        <v>40</v>
      </c>
      <c r="I1210" s="381">
        <v>29.2</v>
      </c>
      <c r="J1210" s="381">
        <v>29.2</v>
      </c>
      <c r="K1210" s="381">
        <v>5</v>
      </c>
      <c r="L1210" s="381">
        <v>0</v>
      </c>
      <c r="M1210" s="381" t="s">
        <v>148</v>
      </c>
      <c r="N1210" s="381" t="s">
        <v>149</v>
      </c>
      <c r="O1210" s="381" t="s">
        <v>150</v>
      </c>
      <c r="P1210" s="381" t="s">
        <v>151</v>
      </c>
      <c r="Q1210" s="381"/>
      <c r="R1210" s="381" t="s">
        <v>6229</v>
      </c>
      <c r="S1210" s="381"/>
      <c r="T1210" s="381" t="s">
        <v>2945</v>
      </c>
      <c r="U1210" s="381" t="s">
        <v>152</v>
      </c>
      <c r="V1210" s="381" t="s">
        <v>23</v>
      </c>
    </row>
    <row r="1211" spans="2:22">
      <c r="B1211" s="383">
        <v>46252</v>
      </c>
      <c r="C1211" s="383">
        <v>46252</v>
      </c>
      <c r="D1211" s="381" t="s">
        <v>6230</v>
      </c>
      <c r="E1211" s="382" t="s">
        <v>6231</v>
      </c>
      <c r="F1211" s="381" t="s">
        <v>87</v>
      </c>
      <c r="G1211" s="381" t="s">
        <v>6165</v>
      </c>
      <c r="H1211" s="387">
        <v>32</v>
      </c>
      <c r="I1211" s="381">
        <v>19.2</v>
      </c>
      <c r="J1211" s="381">
        <v>19.2</v>
      </c>
      <c r="K1211" s="381">
        <v>4</v>
      </c>
      <c r="L1211" s="381">
        <v>0</v>
      </c>
      <c r="M1211" s="381" t="s">
        <v>148</v>
      </c>
      <c r="N1211" s="381" t="s">
        <v>149</v>
      </c>
      <c r="O1211" s="381" t="s">
        <v>150</v>
      </c>
      <c r="P1211" s="381" t="s">
        <v>151</v>
      </c>
      <c r="Q1211" s="381"/>
      <c r="R1211" s="381" t="s">
        <v>6231</v>
      </c>
      <c r="S1211" s="381"/>
      <c r="T1211" s="381" t="s">
        <v>2945</v>
      </c>
      <c r="U1211" s="381" t="s">
        <v>152</v>
      </c>
      <c r="V1211" s="381" t="s">
        <v>23</v>
      </c>
    </row>
    <row r="1212" spans="2:22">
      <c r="B1212" s="383">
        <v>46252</v>
      </c>
      <c r="C1212" s="383">
        <v>46252</v>
      </c>
      <c r="D1212" s="381" t="s">
        <v>6232</v>
      </c>
      <c r="E1212" s="382" t="s">
        <v>6233</v>
      </c>
      <c r="F1212" s="381" t="s">
        <v>87</v>
      </c>
      <c r="G1212" s="381" t="s">
        <v>2334</v>
      </c>
      <c r="H1212" s="387">
        <v>40</v>
      </c>
      <c r="I1212" s="381">
        <v>32.4</v>
      </c>
      <c r="J1212" s="381">
        <v>32.4</v>
      </c>
      <c r="K1212" s="381">
        <v>5</v>
      </c>
      <c r="L1212" s="381">
        <v>0</v>
      </c>
      <c r="M1212" s="381" t="s">
        <v>148</v>
      </c>
      <c r="N1212" s="381" t="s">
        <v>149</v>
      </c>
      <c r="O1212" s="381" t="s">
        <v>150</v>
      </c>
      <c r="P1212" s="381" t="s">
        <v>151</v>
      </c>
      <c r="Q1212" s="381"/>
      <c r="R1212" s="381" t="s">
        <v>6233</v>
      </c>
      <c r="S1212" s="381"/>
      <c r="T1212" s="381" t="s">
        <v>2945</v>
      </c>
      <c r="U1212" s="381" t="s">
        <v>152</v>
      </c>
      <c r="V1212" s="381" t="s">
        <v>23</v>
      </c>
    </row>
    <row r="1213" spans="2:22">
      <c r="B1213" s="383">
        <v>46252</v>
      </c>
      <c r="C1213" s="383">
        <v>46252</v>
      </c>
      <c r="D1213" s="381" t="s">
        <v>6234</v>
      </c>
      <c r="E1213" s="382" t="s">
        <v>6235</v>
      </c>
      <c r="F1213" s="381" t="s">
        <v>87</v>
      </c>
      <c r="G1213" s="381" t="s">
        <v>4512</v>
      </c>
      <c r="H1213" s="387">
        <v>55</v>
      </c>
      <c r="I1213" s="381">
        <v>25.2</v>
      </c>
      <c r="J1213" s="381">
        <v>25.2</v>
      </c>
      <c r="K1213" s="381">
        <v>5</v>
      </c>
      <c r="L1213" s="381">
        <v>0</v>
      </c>
      <c r="M1213" s="381" t="s">
        <v>148</v>
      </c>
      <c r="N1213" s="381" t="s">
        <v>149</v>
      </c>
      <c r="O1213" s="381" t="s">
        <v>150</v>
      </c>
      <c r="P1213" s="381" t="s">
        <v>151</v>
      </c>
      <c r="Q1213" s="381"/>
      <c r="R1213" s="381" t="s">
        <v>6235</v>
      </c>
      <c r="S1213" s="381"/>
      <c r="T1213" s="381" t="s">
        <v>2945</v>
      </c>
      <c r="U1213" s="381" t="s">
        <v>152</v>
      </c>
      <c r="V1213" s="381" t="s">
        <v>23</v>
      </c>
    </row>
    <row r="1214" spans="2:22">
      <c r="B1214" s="383">
        <v>46252</v>
      </c>
      <c r="C1214" s="383">
        <v>46252</v>
      </c>
      <c r="D1214" s="381" t="s">
        <v>6236</v>
      </c>
      <c r="E1214" s="382" t="s">
        <v>6237</v>
      </c>
      <c r="F1214" s="381" t="s">
        <v>87</v>
      </c>
      <c r="G1214" s="381" t="s">
        <v>5766</v>
      </c>
      <c r="H1214" s="387">
        <v>45</v>
      </c>
      <c r="I1214" s="381">
        <v>26.7</v>
      </c>
      <c r="J1214" s="381">
        <v>26.7</v>
      </c>
      <c r="K1214" s="381">
        <v>5</v>
      </c>
      <c r="L1214" s="381">
        <v>0</v>
      </c>
      <c r="M1214" s="381" t="s">
        <v>148</v>
      </c>
      <c r="N1214" s="381" t="s">
        <v>149</v>
      </c>
      <c r="O1214" s="381" t="s">
        <v>150</v>
      </c>
      <c r="P1214" s="381" t="s">
        <v>151</v>
      </c>
      <c r="Q1214" s="381"/>
      <c r="R1214" s="381" t="s">
        <v>6237</v>
      </c>
      <c r="S1214" s="381"/>
      <c r="T1214" s="381" t="s">
        <v>2945</v>
      </c>
      <c r="U1214" s="381" t="s">
        <v>152</v>
      </c>
      <c r="V1214" s="381" t="s">
        <v>23</v>
      </c>
    </row>
    <row r="1215" spans="2:22">
      <c r="B1215" s="383">
        <v>46252</v>
      </c>
      <c r="C1215" s="383">
        <v>46252</v>
      </c>
      <c r="D1215" s="381" t="s">
        <v>6238</v>
      </c>
      <c r="E1215" s="382" t="s">
        <v>6239</v>
      </c>
      <c r="F1215" s="381" t="s">
        <v>87</v>
      </c>
      <c r="G1215" s="381" t="s">
        <v>2515</v>
      </c>
      <c r="H1215" s="387">
        <v>50</v>
      </c>
      <c r="I1215" s="381">
        <v>43.8</v>
      </c>
      <c r="J1215" s="381">
        <v>43.8</v>
      </c>
      <c r="K1215" s="381">
        <v>5</v>
      </c>
      <c r="L1215" s="381">
        <v>0</v>
      </c>
      <c r="M1215" s="381" t="s">
        <v>148</v>
      </c>
      <c r="N1215" s="381" t="s">
        <v>149</v>
      </c>
      <c r="O1215" s="381" t="s">
        <v>150</v>
      </c>
      <c r="P1215" s="381" t="s">
        <v>151</v>
      </c>
      <c r="Q1215" s="381"/>
      <c r="R1215" s="381" t="s">
        <v>6239</v>
      </c>
      <c r="S1215" s="381"/>
      <c r="T1215" s="381" t="s">
        <v>2945</v>
      </c>
      <c r="U1215" s="381" t="s">
        <v>152</v>
      </c>
      <c r="V1215" s="381" t="s">
        <v>23</v>
      </c>
    </row>
    <row r="1216" spans="2:22">
      <c r="B1216" s="383">
        <v>46252</v>
      </c>
      <c r="C1216" s="383">
        <v>46252</v>
      </c>
      <c r="D1216" s="381" t="s">
        <v>6240</v>
      </c>
      <c r="E1216" s="382" t="s">
        <v>6241</v>
      </c>
      <c r="F1216" s="381" t="s">
        <v>87</v>
      </c>
      <c r="G1216" s="381" t="s">
        <v>4000</v>
      </c>
      <c r="H1216" s="387">
        <v>50</v>
      </c>
      <c r="I1216" s="381">
        <v>40.6</v>
      </c>
      <c r="J1216" s="381">
        <v>40.6</v>
      </c>
      <c r="K1216" s="381">
        <v>5</v>
      </c>
      <c r="L1216" s="381">
        <v>0</v>
      </c>
      <c r="M1216" s="381" t="s">
        <v>148</v>
      </c>
      <c r="N1216" s="381" t="s">
        <v>149</v>
      </c>
      <c r="O1216" s="381" t="s">
        <v>150</v>
      </c>
      <c r="P1216" s="381" t="s">
        <v>151</v>
      </c>
      <c r="Q1216" s="381"/>
      <c r="R1216" s="381" t="s">
        <v>6241</v>
      </c>
      <c r="S1216" s="381"/>
      <c r="T1216" s="381" t="s">
        <v>2945</v>
      </c>
      <c r="U1216" s="381" t="s">
        <v>152</v>
      </c>
      <c r="V1216" s="381" t="s">
        <v>23</v>
      </c>
    </row>
    <row r="1217" spans="2:22">
      <c r="B1217" s="383">
        <v>46252</v>
      </c>
      <c r="C1217" s="383">
        <v>46252</v>
      </c>
      <c r="D1217" s="381" t="s">
        <v>6242</v>
      </c>
      <c r="E1217" s="382" t="s">
        <v>6243</v>
      </c>
      <c r="F1217" s="381" t="s">
        <v>87</v>
      </c>
      <c r="G1217" s="381" t="s">
        <v>4512</v>
      </c>
      <c r="H1217" s="387">
        <v>55</v>
      </c>
      <c r="I1217" s="381">
        <v>35.299999999999997</v>
      </c>
      <c r="J1217" s="381">
        <v>35.299999999999997</v>
      </c>
      <c r="K1217" s="381">
        <v>5</v>
      </c>
      <c r="L1217" s="381">
        <v>0</v>
      </c>
      <c r="M1217" s="381" t="s">
        <v>148</v>
      </c>
      <c r="N1217" s="381" t="s">
        <v>149</v>
      </c>
      <c r="O1217" s="381" t="s">
        <v>150</v>
      </c>
      <c r="P1217" s="381" t="s">
        <v>151</v>
      </c>
      <c r="Q1217" s="381"/>
      <c r="R1217" s="381" t="s">
        <v>6243</v>
      </c>
      <c r="S1217" s="381"/>
      <c r="T1217" s="381" t="s">
        <v>2945</v>
      </c>
      <c r="U1217" s="381" t="s">
        <v>152</v>
      </c>
      <c r="V1217" s="381" t="s">
        <v>23</v>
      </c>
    </row>
    <row r="1218" spans="2:22">
      <c r="B1218" s="383">
        <v>46252</v>
      </c>
      <c r="C1218" s="383">
        <v>46252</v>
      </c>
      <c r="D1218" s="381" t="s">
        <v>6244</v>
      </c>
      <c r="E1218" s="382" t="s">
        <v>6245</v>
      </c>
      <c r="F1218" s="381" t="s">
        <v>87</v>
      </c>
      <c r="G1218" s="381" t="s">
        <v>6008</v>
      </c>
      <c r="H1218" s="387">
        <v>30</v>
      </c>
      <c r="I1218" s="381">
        <v>43.8</v>
      </c>
      <c r="J1218" s="381">
        <v>43.8</v>
      </c>
      <c r="K1218" s="381">
        <v>4</v>
      </c>
      <c r="L1218" s="381">
        <v>0</v>
      </c>
      <c r="M1218" s="381" t="s">
        <v>148</v>
      </c>
      <c r="N1218" s="381" t="s">
        <v>149</v>
      </c>
      <c r="O1218" s="381" t="s">
        <v>150</v>
      </c>
      <c r="P1218" s="381" t="s">
        <v>151</v>
      </c>
      <c r="Q1218" s="381"/>
      <c r="R1218" s="381" t="s">
        <v>6245</v>
      </c>
      <c r="S1218" s="381"/>
      <c r="T1218" s="381" t="s">
        <v>2945</v>
      </c>
      <c r="U1218" s="381" t="s">
        <v>152</v>
      </c>
      <c r="V1218" s="381" t="s">
        <v>23</v>
      </c>
    </row>
    <row r="1219" spans="2:22">
      <c r="B1219" s="383">
        <v>46252</v>
      </c>
      <c r="C1219" s="383">
        <v>46252</v>
      </c>
      <c r="D1219" s="381" t="s">
        <v>6246</v>
      </c>
      <c r="E1219" s="382" t="s">
        <v>6247</v>
      </c>
      <c r="F1219" s="381" t="s">
        <v>87</v>
      </c>
      <c r="G1219" s="381" t="s">
        <v>6008</v>
      </c>
      <c r="H1219" s="387">
        <v>30</v>
      </c>
      <c r="I1219" s="381">
        <v>31.2</v>
      </c>
      <c r="J1219" s="381">
        <v>31.2</v>
      </c>
      <c r="K1219" s="381">
        <v>4</v>
      </c>
      <c r="L1219" s="381">
        <v>0</v>
      </c>
      <c r="M1219" s="381" t="s">
        <v>148</v>
      </c>
      <c r="N1219" s="381" t="s">
        <v>149</v>
      </c>
      <c r="O1219" s="381" t="s">
        <v>150</v>
      </c>
      <c r="P1219" s="381" t="s">
        <v>151</v>
      </c>
      <c r="Q1219" s="381"/>
      <c r="R1219" s="381" t="s">
        <v>6247</v>
      </c>
      <c r="S1219" s="381"/>
      <c r="T1219" s="381" t="s">
        <v>2945</v>
      </c>
      <c r="U1219" s="381" t="s">
        <v>152</v>
      </c>
      <c r="V1219" s="381" t="s">
        <v>23</v>
      </c>
    </row>
    <row r="1220" spans="2:22">
      <c r="B1220" s="383">
        <v>46252</v>
      </c>
      <c r="C1220" s="383">
        <v>46252</v>
      </c>
      <c r="D1220" s="381" t="s">
        <v>6248</v>
      </c>
      <c r="E1220" s="382" t="s">
        <v>6249</v>
      </c>
      <c r="F1220" s="381" t="s">
        <v>87</v>
      </c>
      <c r="G1220" s="381" t="s">
        <v>2334</v>
      </c>
      <c r="H1220" s="387">
        <v>40</v>
      </c>
      <c r="I1220" s="381">
        <v>27.2</v>
      </c>
      <c r="J1220" s="381">
        <v>27.2</v>
      </c>
      <c r="K1220" s="381">
        <v>5</v>
      </c>
      <c r="L1220" s="381">
        <v>0</v>
      </c>
      <c r="M1220" s="381" t="s">
        <v>148</v>
      </c>
      <c r="N1220" s="381" t="s">
        <v>149</v>
      </c>
      <c r="O1220" s="381" t="s">
        <v>150</v>
      </c>
      <c r="P1220" s="381" t="s">
        <v>151</v>
      </c>
      <c r="Q1220" s="381"/>
      <c r="R1220" s="381" t="s">
        <v>6249</v>
      </c>
      <c r="S1220" s="381"/>
      <c r="T1220" s="381" t="s">
        <v>2945</v>
      </c>
      <c r="U1220" s="381" t="s">
        <v>152</v>
      </c>
      <c r="V1220" s="381" t="s">
        <v>23</v>
      </c>
    </row>
    <row r="1221" spans="2:22">
      <c r="B1221" s="383">
        <v>46252</v>
      </c>
      <c r="C1221" s="383">
        <v>46252</v>
      </c>
      <c r="D1221" s="381" t="s">
        <v>6250</v>
      </c>
      <c r="E1221" s="382" t="s">
        <v>6251</v>
      </c>
      <c r="F1221" s="381" t="s">
        <v>87</v>
      </c>
      <c r="G1221" s="381" t="s">
        <v>6165</v>
      </c>
      <c r="H1221" s="387">
        <v>32</v>
      </c>
      <c r="I1221" s="381">
        <v>18.899999999999999</v>
      </c>
      <c r="J1221" s="381">
        <v>18.899999999999999</v>
      </c>
      <c r="K1221" s="381">
        <v>4</v>
      </c>
      <c r="L1221" s="381">
        <v>0</v>
      </c>
      <c r="M1221" s="381" t="s">
        <v>148</v>
      </c>
      <c r="N1221" s="381" t="s">
        <v>149</v>
      </c>
      <c r="O1221" s="381" t="s">
        <v>150</v>
      </c>
      <c r="P1221" s="381" t="s">
        <v>151</v>
      </c>
      <c r="Q1221" s="381"/>
      <c r="R1221" s="381" t="s">
        <v>6251</v>
      </c>
      <c r="S1221" s="381"/>
      <c r="T1221" s="381" t="s">
        <v>2945</v>
      </c>
      <c r="U1221" s="381" t="s">
        <v>152</v>
      </c>
      <c r="V1221" s="381" t="s">
        <v>23</v>
      </c>
    </row>
    <row r="1222" spans="2:22">
      <c r="B1222" s="383">
        <v>46252</v>
      </c>
      <c r="C1222" s="383">
        <v>46252</v>
      </c>
      <c r="D1222" s="381" t="s">
        <v>6252</v>
      </c>
      <c r="E1222" s="382" t="s">
        <v>6253</v>
      </c>
      <c r="F1222" s="381" t="s">
        <v>87</v>
      </c>
      <c r="G1222" s="381" t="s">
        <v>4000</v>
      </c>
      <c r="H1222" s="387">
        <v>50</v>
      </c>
      <c r="I1222" s="381">
        <v>33.799999999999997</v>
      </c>
      <c r="J1222" s="381">
        <v>33.799999999999997</v>
      </c>
      <c r="K1222" s="381">
        <v>5</v>
      </c>
      <c r="L1222" s="381">
        <v>0</v>
      </c>
      <c r="M1222" s="381" t="s">
        <v>148</v>
      </c>
      <c r="N1222" s="381" t="s">
        <v>149</v>
      </c>
      <c r="O1222" s="381" t="s">
        <v>150</v>
      </c>
      <c r="P1222" s="381" t="s">
        <v>151</v>
      </c>
      <c r="Q1222" s="381"/>
      <c r="R1222" s="381" t="s">
        <v>6253</v>
      </c>
      <c r="S1222" s="381"/>
      <c r="T1222" s="381" t="s">
        <v>2945</v>
      </c>
      <c r="U1222" s="381" t="s">
        <v>152</v>
      </c>
      <c r="V1222" s="381" t="s">
        <v>23</v>
      </c>
    </row>
    <row r="1223" spans="2:22">
      <c r="B1223" s="383">
        <v>46252</v>
      </c>
      <c r="C1223" s="383">
        <v>46252</v>
      </c>
      <c r="D1223" s="381" t="s">
        <v>6254</v>
      </c>
      <c r="E1223" s="382" t="s">
        <v>6255</v>
      </c>
      <c r="F1223" s="381" t="s">
        <v>87</v>
      </c>
      <c r="G1223" s="381" t="s">
        <v>2512</v>
      </c>
      <c r="H1223" s="387">
        <v>40</v>
      </c>
      <c r="I1223" s="381">
        <v>35.4</v>
      </c>
      <c r="J1223" s="381">
        <v>35.4</v>
      </c>
      <c r="K1223" s="381">
        <v>5</v>
      </c>
      <c r="L1223" s="381">
        <v>0</v>
      </c>
      <c r="M1223" s="381" t="s">
        <v>148</v>
      </c>
      <c r="N1223" s="381" t="s">
        <v>149</v>
      </c>
      <c r="O1223" s="381" t="s">
        <v>150</v>
      </c>
      <c r="P1223" s="381" t="s">
        <v>151</v>
      </c>
      <c r="Q1223" s="381"/>
      <c r="R1223" s="381" t="s">
        <v>6255</v>
      </c>
      <c r="S1223" s="381"/>
      <c r="T1223" s="381" t="s">
        <v>2945</v>
      </c>
      <c r="U1223" s="381" t="s">
        <v>152</v>
      </c>
      <c r="V1223" s="381" t="s">
        <v>23</v>
      </c>
    </row>
    <row r="1224" spans="2:22">
      <c r="B1224" s="383">
        <v>46252</v>
      </c>
      <c r="C1224" s="383">
        <v>46252</v>
      </c>
      <c r="D1224" s="381" t="s">
        <v>6256</v>
      </c>
      <c r="E1224" s="382" t="s">
        <v>6257</v>
      </c>
      <c r="F1224" s="381" t="s">
        <v>87</v>
      </c>
      <c r="G1224" s="381" t="s">
        <v>2512</v>
      </c>
      <c r="H1224" s="387">
        <v>40</v>
      </c>
      <c r="I1224" s="381">
        <v>10.8</v>
      </c>
      <c r="J1224" s="381">
        <v>10.8</v>
      </c>
      <c r="K1224" s="381">
        <v>5</v>
      </c>
      <c r="L1224" s="381">
        <v>0</v>
      </c>
      <c r="M1224" s="381" t="s">
        <v>148</v>
      </c>
      <c r="N1224" s="381" t="s">
        <v>149</v>
      </c>
      <c r="O1224" s="381" t="s">
        <v>150</v>
      </c>
      <c r="P1224" s="381" t="s">
        <v>151</v>
      </c>
      <c r="Q1224" s="381"/>
      <c r="R1224" s="381" t="s">
        <v>6257</v>
      </c>
      <c r="S1224" s="381"/>
      <c r="T1224" s="381" t="s">
        <v>2945</v>
      </c>
      <c r="U1224" s="381" t="s">
        <v>152</v>
      </c>
      <c r="V1224" s="381" t="s">
        <v>23</v>
      </c>
    </row>
    <row r="1225" spans="2:22">
      <c r="B1225" s="383">
        <v>46252</v>
      </c>
      <c r="C1225" s="383">
        <v>46252</v>
      </c>
      <c r="D1225" s="381" t="s">
        <v>6258</v>
      </c>
      <c r="E1225" s="382" t="s">
        <v>6259</v>
      </c>
      <c r="F1225" s="381" t="s">
        <v>87</v>
      </c>
      <c r="G1225" s="381" t="s">
        <v>2334</v>
      </c>
      <c r="H1225" s="387">
        <v>40</v>
      </c>
      <c r="I1225" s="381">
        <v>27.8</v>
      </c>
      <c r="J1225" s="381">
        <v>27.8</v>
      </c>
      <c r="K1225" s="381">
        <v>5</v>
      </c>
      <c r="L1225" s="381">
        <v>0</v>
      </c>
      <c r="M1225" s="381" t="s">
        <v>148</v>
      </c>
      <c r="N1225" s="381" t="s">
        <v>149</v>
      </c>
      <c r="O1225" s="381" t="s">
        <v>150</v>
      </c>
      <c r="P1225" s="381" t="s">
        <v>151</v>
      </c>
      <c r="Q1225" s="381"/>
      <c r="R1225" s="381" t="s">
        <v>6259</v>
      </c>
      <c r="S1225" s="381"/>
      <c r="T1225" s="381" t="s">
        <v>2945</v>
      </c>
      <c r="U1225" s="381" t="s">
        <v>152</v>
      </c>
      <c r="V1225" s="381" t="s">
        <v>23</v>
      </c>
    </row>
    <row r="1226" spans="2:22">
      <c r="B1226" s="383">
        <v>46252</v>
      </c>
      <c r="C1226" s="383">
        <v>46252</v>
      </c>
      <c r="D1226" s="381" t="s">
        <v>6260</v>
      </c>
      <c r="E1226" s="382" t="s">
        <v>6261</v>
      </c>
      <c r="F1226" s="381" t="s">
        <v>87</v>
      </c>
      <c r="G1226" s="381" t="s">
        <v>2404</v>
      </c>
      <c r="H1226" s="387">
        <v>40</v>
      </c>
      <c r="I1226" s="381">
        <v>29.8</v>
      </c>
      <c r="J1226" s="381">
        <v>29.8</v>
      </c>
      <c r="K1226" s="381">
        <v>5</v>
      </c>
      <c r="L1226" s="381">
        <v>0</v>
      </c>
      <c r="M1226" s="381" t="s">
        <v>148</v>
      </c>
      <c r="N1226" s="381" t="s">
        <v>149</v>
      </c>
      <c r="O1226" s="381" t="s">
        <v>150</v>
      </c>
      <c r="P1226" s="381" t="s">
        <v>151</v>
      </c>
      <c r="Q1226" s="381"/>
      <c r="R1226" s="381" t="s">
        <v>6261</v>
      </c>
      <c r="S1226" s="381"/>
      <c r="T1226" s="381" t="s">
        <v>2945</v>
      </c>
      <c r="U1226" s="381" t="s">
        <v>152</v>
      </c>
      <c r="V1226" s="381" t="s">
        <v>23</v>
      </c>
    </row>
    <row r="1227" spans="2:22">
      <c r="B1227" s="383">
        <v>46252</v>
      </c>
      <c r="C1227" s="383">
        <v>46252</v>
      </c>
      <c r="D1227" s="381" t="s">
        <v>6262</v>
      </c>
      <c r="E1227" s="382" t="s">
        <v>6263</v>
      </c>
      <c r="F1227" s="381" t="s">
        <v>87</v>
      </c>
      <c r="G1227" s="381" t="s">
        <v>4000</v>
      </c>
      <c r="H1227" s="387">
        <v>50</v>
      </c>
      <c r="I1227" s="381">
        <v>27.8</v>
      </c>
      <c r="J1227" s="381">
        <v>27.8</v>
      </c>
      <c r="K1227" s="381">
        <v>5</v>
      </c>
      <c r="L1227" s="381">
        <v>0</v>
      </c>
      <c r="M1227" s="381" t="s">
        <v>148</v>
      </c>
      <c r="N1227" s="381" t="s">
        <v>149</v>
      </c>
      <c r="O1227" s="381" t="s">
        <v>150</v>
      </c>
      <c r="P1227" s="381" t="s">
        <v>151</v>
      </c>
      <c r="Q1227" s="381"/>
      <c r="R1227" s="381" t="s">
        <v>6263</v>
      </c>
      <c r="S1227" s="381"/>
      <c r="T1227" s="381" t="s">
        <v>2945</v>
      </c>
      <c r="U1227" s="381" t="s">
        <v>152</v>
      </c>
      <c r="V1227" s="381" t="s">
        <v>23</v>
      </c>
    </row>
    <row r="1228" spans="2:22">
      <c r="B1228" s="383">
        <v>46252</v>
      </c>
      <c r="C1228" s="383">
        <v>46252</v>
      </c>
      <c r="D1228" s="381" t="s">
        <v>6264</v>
      </c>
      <c r="E1228" s="382" t="s">
        <v>6265</v>
      </c>
      <c r="F1228" s="381" t="s">
        <v>87</v>
      </c>
      <c r="G1228" s="381" t="s">
        <v>4512</v>
      </c>
      <c r="H1228" s="387">
        <v>55</v>
      </c>
      <c r="I1228" s="381">
        <v>40.5</v>
      </c>
      <c r="J1228" s="381">
        <v>40.5</v>
      </c>
      <c r="K1228" s="381">
        <v>5</v>
      </c>
      <c r="L1228" s="381">
        <v>0</v>
      </c>
      <c r="M1228" s="381" t="s">
        <v>148</v>
      </c>
      <c r="N1228" s="381" t="s">
        <v>149</v>
      </c>
      <c r="O1228" s="381" t="s">
        <v>150</v>
      </c>
      <c r="P1228" s="381" t="s">
        <v>151</v>
      </c>
      <c r="Q1228" s="381"/>
      <c r="R1228" s="381" t="s">
        <v>6265</v>
      </c>
      <c r="S1228" s="381"/>
      <c r="T1228" s="381" t="s">
        <v>2945</v>
      </c>
      <c r="U1228" s="381" t="s">
        <v>152</v>
      </c>
      <c r="V1228" s="381" t="s">
        <v>23</v>
      </c>
    </row>
    <row r="1229" spans="2:22">
      <c r="B1229" s="383">
        <v>46252</v>
      </c>
      <c r="C1229" s="383">
        <v>46252</v>
      </c>
      <c r="D1229" s="381" t="s">
        <v>6266</v>
      </c>
      <c r="E1229" s="382" t="s">
        <v>6267</v>
      </c>
      <c r="F1229" s="381" t="s">
        <v>87</v>
      </c>
      <c r="G1229" s="381" t="s">
        <v>5766</v>
      </c>
      <c r="H1229" s="387">
        <v>45</v>
      </c>
      <c r="I1229" s="381">
        <v>43.8</v>
      </c>
      <c r="J1229" s="381">
        <v>43.8</v>
      </c>
      <c r="K1229" s="381">
        <v>5</v>
      </c>
      <c r="L1229" s="381">
        <v>0</v>
      </c>
      <c r="M1229" s="381" t="s">
        <v>148</v>
      </c>
      <c r="N1229" s="381" t="s">
        <v>149</v>
      </c>
      <c r="O1229" s="381" t="s">
        <v>150</v>
      </c>
      <c r="P1229" s="381" t="s">
        <v>151</v>
      </c>
      <c r="Q1229" s="381"/>
      <c r="R1229" s="381" t="s">
        <v>6267</v>
      </c>
      <c r="S1229" s="381"/>
      <c r="T1229" s="381" t="s">
        <v>2945</v>
      </c>
      <c r="U1229" s="381" t="s">
        <v>152</v>
      </c>
      <c r="V1229" s="381" t="s">
        <v>23</v>
      </c>
    </row>
    <row r="1230" spans="2:22">
      <c r="B1230" s="383">
        <v>46252</v>
      </c>
      <c r="C1230" s="383">
        <v>46252</v>
      </c>
      <c r="D1230" s="381" t="s">
        <v>6268</v>
      </c>
      <c r="E1230" s="382" t="s">
        <v>6269</v>
      </c>
      <c r="F1230" s="381" t="s">
        <v>87</v>
      </c>
      <c r="G1230" s="381" t="s">
        <v>6008</v>
      </c>
      <c r="H1230" s="387">
        <v>30</v>
      </c>
      <c r="I1230" s="381">
        <v>18.899999999999999</v>
      </c>
      <c r="J1230" s="381">
        <v>18.899999999999999</v>
      </c>
      <c r="K1230" s="381">
        <v>4</v>
      </c>
      <c r="L1230" s="381">
        <v>0</v>
      </c>
      <c r="M1230" s="381" t="s">
        <v>148</v>
      </c>
      <c r="N1230" s="381" t="s">
        <v>149</v>
      </c>
      <c r="O1230" s="381" t="s">
        <v>150</v>
      </c>
      <c r="P1230" s="381" t="s">
        <v>151</v>
      </c>
      <c r="Q1230" s="381"/>
      <c r="R1230" s="381" t="s">
        <v>6269</v>
      </c>
      <c r="S1230" s="381"/>
      <c r="T1230" s="381" t="s">
        <v>2945</v>
      </c>
      <c r="U1230" s="381" t="s">
        <v>152</v>
      </c>
      <c r="V1230" s="381" t="s">
        <v>23</v>
      </c>
    </row>
    <row r="1231" spans="2:22">
      <c r="B1231" s="383">
        <v>46252</v>
      </c>
      <c r="C1231" s="383">
        <v>46252</v>
      </c>
      <c r="D1231" s="381" t="s">
        <v>6270</v>
      </c>
      <c r="E1231" s="382" t="s">
        <v>6271</v>
      </c>
      <c r="F1231" s="381" t="s">
        <v>87</v>
      </c>
      <c r="G1231" s="381" t="s">
        <v>2334</v>
      </c>
      <c r="H1231" s="387">
        <v>40</v>
      </c>
      <c r="I1231" s="381">
        <v>22.4</v>
      </c>
      <c r="J1231" s="381">
        <v>22.4</v>
      </c>
      <c r="K1231" s="381">
        <v>5</v>
      </c>
      <c r="L1231" s="381">
        <v>0</v>
      </c>
      <c r="M1231" s="381" t="s">
        <v>148</v>
      </c>
      <c r="N1231" s="381" t="s">
        <v>149</v>
      </c>
      <c r="O1231" s="381" t="s">
        <v>150</v>
      </c>
      <c r="P1231" s="381" t="s">
        <v>151</v>
      </c>
      <c r="Q1231" s="381"/>
      <c r="R1231" s="381" t="s">
        <v>6271</v>
      </c>
      <c r="S1231" s="381"/>
      <c r="T1231" s="381" t="s">
        <v>2945</v>
      </c>
      <c r="U1231" s="381" t="s">
        <v>152</v>
      </c>
      <c r="V1231" s="381" t="s">
        <v>23</v>
      </c>
    </row>
    <row r="1232" spans="2:22">
      <c r="B1232" s="383">
        <v>46252</v>
      </c>
      <c r="C1232" s="383">
        <v>46252</v>
      </c>
      <c r="D1232" s="381" t="s">
        <v>6272</v>
      </c>
      <c r="E1232" s="382" t="s">
        <v>6273</v>
      </c>
      <c r="F1232" s="381" t="s">
        <v>87</v>
      </c>
      <c r="G1232" s="381" t="s">
        <v>2334</v>
      </c>
      <c r="H1232" s="387">
        <v>40</v>
      </c>
      <c r="I1232" s="381">
        <v>23.8</v>
      </c>
      <c r="J1232" s="381">
        <v>23.8</v>
      </c>
      <c r="K1232" s="381">
        <v>5</v>
      </c>
      <c r="L1232" s="381">
        <v>0</v>
      </c>
      <c r="M1232" s="381" t="s">
        <v>148</v>
      </c>
      <c r="N1232" s="381" t="s">
        <v>149</v>
      </c>
      <c r="O1232" s="381" t="s">
        <v>150</v>
      </c>
      <c r="P1232" s="381" t="s">
        <v>151</v>
      </c>
      <c r="Q1232" s="381"/>
      <c r="R1232" s="381" t="s">
        <v>6273</v>
      </c>
      <c r="S1232" s="381"/>
      <c r="T1232" s="381" t="s">
        <v>2945</v>
      </c>
      <c r="U1232" s="381" t="s">
        <v>152</v>
      </c>
      <c r="V1232" s="381" t="s">
        <v>23</v>
      </c>
    </row>
    <row r="1233" spans="2:22">
      <c r="B1233" s="383">
        <v>46252</v>
      </c>
      <c r="C1233" s="383">
        <v>46252</v>
      </c>
      <c r="D1233" s="381" t="s">
        <v>6274</v>
      </c>
      <c r="E1233" s="382" t="s">
        <v>6275</v>
      </c>
      <c r="F1233" s="381" t="s">
        <v>87</v>
      </c>
      <c r="G1233" s="381" t="s">
        <v>6165</v>
      </c>
      <c r="H1233" s="387">
        <v>32</v>
      </c>
      <c r="I1233" s="381">
        <v>18</v>
      </c>
      <c r="J1233" s="381">
        <v>18</v>
      </c>
      <c r="K1233" s="381">
        <v>4</v>
      </c>
      <c r="L1233" s="381">
        <v>0</v>
      </c>
      <c r="M1233" s="381" t="s">
        <v>148</v>
      </c>
      <c r="N1233" s="381" t="s">
        <v>149</v>
      </c>
      <c r="O1233" s="381" t="s">
        <v>150</v>
      </c>
      <c r="P1233" s="381" t="s">
        <v>151</v>
      </c>
      <c r="Q1233" s="381"/>
      <c r="R1233" s="381" t="s">
        <v>6275</v>
      </c>
      <c r="S1233" s="381"/>
      <c r="T1233" s="381" t="s">
        <v>2945</v>
      </c>
      <c r="U1233" s="381" t="s">
        <v>152</v>
      </c>
      <c r="V1233" s="381" t="s">
        <v>23</v>
      </c>
    </row>
    <row r="1234" spans="2:22">
      <c r="B1234" s="383">
        <v>46252</v>
      </c>
      <c r="C1234" s="383">
        <v>46252</v>
      </c>
      <c r="D1234" s="381" t="s">
        <v>6276</v>
      </c>
      <c r="E1234" s="382" t="s">
        <v>6277</v>
      </c>
      <c r="F1234" s="381" t="s">
        <v>87</v>
      </c>
      <c r="G1234" s="381" t="s">
        <v>2334</v>
      </c>
      <c r="H1234" s="387">
        <v>40</v>
      </c>
      <c r="I1234" s="381">
        <v>40</v>
      </c>
      <c r="J1234" s="381">
        <v>40</v>
      </c>
      <c r="K1234" s="381">
        <v>5</v>
      </c>
      <c r="L1234" s="381">
        <v>0</v>
      </c>
      <c r="M1234" s="381" t="s">
        <v>148</v>
      </c>
      <c r="N1234" s="381" t="s">
        <v>149</v>
      </c>
      <c r="O1234" s="381" t="s">
        <v>150</v>
      </c>
      <c r="P1234" s="381" t="s">
        <v>151</v>
      </c>
      <c r="Q1234" s="381"/>
      <c r="R1234" s="381" t="s">
        <v>6277</v>
      </c>
      <c r="S1234" s="381"/>
      <c r="T1234" s="381" t="s">
        <v>2945</v>
      </c>
      <c r="U1234" s="381" t="s">
        <v>152</v>
      </c>
      <c r="V1234" s="381" t="s">
        <v>23</v>
      </c>
    </row>
    <row r="1235" spans="2:22">
      <c r="B1235" s="383">
        <v>46252</v>
      </c>
      <c r="C1235" s="383">
        <v>46252</v>
      </c>
      <c r="D1235" s="381" t="s">
        <v>6278</v>
      </c>
      <c r="E1235" s="382" t="s">
        <v>6279</v>
      </c>
      <c r="F1235" s="381" t="s">
        <v>87</v>
      </c>
      <c r="G1235" s="381" t="s">
        <v>2404</v>
      </c>
      <c r="H1235" s="387">
        <v>40</v>
      </c>
      <c r="I1235" s="381">
        <v>46.8</v>
      </c>
      <c r="J1235" s="381">
        <v>46.8</v>
      </c>
      <c r="K1235" s="381">
        <v>5</v>
      </c>
      <c r="L1235" s="381">
        <v>0</v>
      </c>
      <c r="M1235" s="381" t="s">
        <v>148</v>
      </c>
      <c r="N1235" s="381" t="s">
        <v>149</v>
      </c>
      <c r="O1235" s="381" t="s">
        <v>150</v>
      </c>
      <c r="P1235" s="381" t="s">
        <v>151</v>
      </c>
      <c r="Q1235" s="381"/>
      <c r="R1235" s="381" t="s">
        <v>6279</v>
      </c>
      <c r="S1235" s="381"/>
      <c r="T1235" s="381" t="s">
        <v>2945</v>
      </c>
      <c r="U1235" s="381" t="s">
        <v>152</v>
      </c>
      <c r="V1235" s="381" t="s">
        <v>23</v>
      </c>
    </row>
    <row r="1236" spans="2:22">
      <c r="B1236" s="383">
        <v>46252</v>
      </c>
      <c r="C1236" s="383">
        <v>46252</v>
      </c>
      <c r="D1236" s="381" t="s">
        <v>6280</v>
      </c>
      <c r="E1236" s="382" t="s">
        <v>6281</v>
      </c>
      <c r="F1236" s="381" t="s">
        <v>87</v>
      </c>
      <c r="G1236" s="381" t="s">
        <v>2334</v>
      </c>
      <c r="H1236" s="387">
        <v>40</v>
      </c>
      <c r="I1236" s="381">
        <v>37</v>
      </c>
      <c r="J1236" s="381">
        <v>37</v>
      </c>
      <c r="K1236" s="381">
        <v>5</v>
      </c>
      <c r="L1236" s="381">
        <v>0</v>
      </c>
      <c r="M1236" s="381" t="s">
        <v>148</v>
      </c>
      <c r="N1236" s="381" t="s">
        <v>149</v>
      </c>
      <c r="O1236" s="381" t="s">
        <v>150</v>
      </c>
      <c r="P1236" s="381" t="s">
        <v>151</v>
      </c>
      <c r="Q1236" s="381"/>
      <c r="R1236" s="381" t="s">
        <v>6281</v>
      </c>
      <c r="S1236" s="381"/>
      <c r="T1236" s="381" t="s">
        <v>2945</v>
      </c>
      <c r="U1236" s="381" t="s">
        <v>152</v>
      </c>
      <c r="V1236" s="381" t="s">
        <v>23</v>
      </c>
    </row>
    <row r="1237" spans="2:22">
      <c r="B1237" s="383">
        <v>46253</v>
      </c>
      <c r="C1237" s="383">
        <v>46253</v>
      </c>
      <c r="D1237" s="381" t="s">
        <v>6282</v>
      </c>
      <c r="E1237" s="382" t="s">
        <v>6283</v>
      </c>
      <c r="F1237" s="381" t="s">
        <v>87</v>
      </c>
      <c r="G1237" s="381" t="s">
        <v>4000</v>
      </c>
      <c r="H1237" s="387">
        <v>50</v>
      </c>
      <c r="I1237" s="381">
        <v>26.6</v>
      </c>
      <c r="J1237" s="381">
        <v>26.6</v>
      </c>
      <c r="K1237" s="381">
        <v>5</v>
      </c>
      <c r="L1237" s="381">
        <v>0</v>
      </c>
      <c r="M1237" s="381" t="s">
        <v>148</v>
      </c>
      <c r="N1237" s="381" t="s">
        <v>149</v>
      </c>
      <c r="O1237" s="381" t="s">
        <v>150</v>
      </c>
      <c r="P1237" s="381" t="s">
        <v>151</v>
      </c>
      <c r="Q1237" s="381"/>
      <c r="R1237" s="381" t="s">
        <v>6283</v>
      </c>
      <c r="S1237" s="381"/>
      <c r="T1237" s="381" t="s">
        <v>2960</v>
      </c>
      <c r="U1237" s="381" t="s">
        <v>152</v>
      </c>
      <c r="V1237" s="381" t="s">
        <v>23</v>
      </c>
    </row>
    <row r="1238" spans="2:22">
      <c r="B1238" s="383">
        <v>46253</v>
      </c>
      <c r="C1238" s="383">
        <v>46253</v>
      </c>
      <c r="D1238" s="381" t="s">
        <v>6284</v>
      </c>
      <c r="E1238" s="382" t="s">
        <v>6285</v>
      </c>
      <c r="F1238" s="381" t="s">
        <v>87</v>
      </c>
      <c r="G1238" s="381" t="s">
        <v>2334</v>
      </c>
      <c r="H1238" s="387">
        <v>40</v>
      </c>
      <c r="I1238" s="381">
        <v>40.4</v>
      </c>
      <c r="J1238" s="381">
        <v>40.4</v>
      </c>
      <c r="K1238" s="381">
        <v>5</v>
      </c>
      <c r="L1238" s="381">
        <v>0</v>
      </c>
      <c r="M1238" s="381" t="s">
        <v>148</v>
      </c>
      <c r="N1238" s="381" t="s">
        <v>149</v>
      </c>
      <c r="O1238" s="381" t="s">
        <v>150</v>
      </c>
      <c r="P1238" s="381" t="s">
        <v>151</v>
      </c>
      <c r="Q1238" s="381"/>
      <c r="R1238" s="381" t="s">
        <v>6285</v>
      </c>
      <c r="S1238" s="381"/>
      <c r="T1238" s="381" t="s">
        <v>2960</v>
      </c>
      <c r="U1238" s="381" t="s">
        <v>152</v>
      </c>
      <c r="V1238" s="381" t="s">
        <v>23</v>
      </c>
    </row>
    <row r="1239" spans="2:22">
      <c r="B1239" s="383">
        <v>46253</v>
      </c>
      <c r="C1239" s="383">
        <v>46253</v>
      </c>
      <c r="D1239" s="381" t="s">
        <v>6286</v>
      </c>
      <c r="E1239" s="382" t="s">
        <v>6287</v>
      </c>
      <c r="F1239" s="381" t="s">
        <v>87</v>
      </c>
      <c r="G1239" s="381" t="s">
        <v>2334</v>
      </c>
      <c r="H1239" s="387">
        <v>40</v>
      </c>
      <c r="I1239" s="381">
        <v>38.6</v>
      </c>
      <c r="J1239" s="381">
        <v>38.6</v>
      </c>
      <c r="K1239" s="381">
        <v>5</v>
      </c>
      <c r="L1239" s="381">
        <v>0</v>
      </c>
      <c r="M1239" s="381" t="s">
        <v>148</v>
      </c>
      <c r="N1239" s="381" t="s">
        <v>149</v>
      </c>
      <c r="O1239" s="381" t="s">
        <v>150</v>
      </c>
      <c r="P1239" s="381" t="s">
        <v>151</v>
      </c>
      <c r="Q1239" s="381"/>
      <c r="R1239" s="381" t="s">
        <v>6287</v>
      </c>
      <c r="S1239" s="381"/>
      <c r="T1239" s="381" t="s">
        <v>2960</v>
      </c>
      <c r="U1239" s="381" t="s">
        <v>152</v>
      </c>
      <c r="V1239" s="381" t="s">
        <v>23</v>
      </c>
    </row>
    <row r="1240" spans="2:22">
      <c r="B1240" s="383">
        <v>46253</v>
      </c>
      <c r="C1240" s="383">
        <v>46253</v>
      </c>
      <c r="D1240" s="381" t="s">
        <v>6288</v>
      </c>
      <c r="E1240" s="382" t="s">
        <v>6289</v>
      </c>
      <c r="F1240" s="381" t="s">
        <v>87</v>
      </c>
      <c r="G1240" s="381" t="s">
        <v>5766</v>
      </c>
      <c r="H1240" s="387">
        <v>45</v>
      </c>
      <c r="I1240" s="381">
        <v>25.8</v>
      </c>
      <c r="J1240" s="381">
        <v>25.8</v>
      </c>
      <c r="K1240" s="381">
        <v>5</v>
      </c>
      <c r="L1240" s="381">
        <v>0</v>
      </c>
      <c r="M1240" s="381" t="s">
        <v>148</v>
      </c>
      <c r="N1240" s="381" t="s">
        <v>149</v>
      </c>
      <c r="O1240" s="381" t="s">
        <v>150</v>
      </c>
      <c r="P1240" s="381" t="s">
        <v>151</v>
      </c>
      <c r="Q1240" s="381"/>
      <c r="R1240" s="381" t="s">
        <v>6289</v>
      </c>
      <c r="S1240" s="381"/>
      <c r="T1240" s="381" t="s">
        <v>2960</v>
      </c>
      <c r="U1240" s="381" t="s">
        <v>152</v>
      </c>
      <c r="V1240" s="381" t="s">
        <v>23</v>
      </c>
    </row>
    <row r="1241" spans="2:22">
      <c r="B1241" s="383">
        <v>46253</v>
      </c>
      <c r="C1241" s="383">
        <v>46253</v>
      </c>
      <c r="D1241" s="381" t="s">
        <v>6290</v>
      </c>
      <c r="E1241" s="382" t="s">
        <v>6291</v>
      </c>
      <c r="F1241" s="381" t="s">
        <v>87</v>
      </c>
      <c r="G1241" s="381" t="s">
        <v>4512</v>
      </c>
      <c r="H1241" s="387">
        <v>55</v>
      </c>
      <c r="I1241" s="381">
        <v>21.1</v>
      </c>
      <c r="J1241" s="381">
        <v>21.1</v>
      </c>
      <c r="K1241" s="381">
        <v>5</v>
      </c>
      <c r="L1241" s="381">
        <v>0</v>
      </c>
      <c r="M1241" s="381" t="s">
        <v>148</v>
      </c>
      <c r="N1241" s="381" t="s">
        <v>149</v>
      </c>
      <c r="O1241" s="381" t="s">
        <v>150</v>
      </c>
      <c r="P1241" s="381" t="s">
        <v>151</v>
      </c>
      <c r="Q1241" s="381"/>
      <c r="R1241" s="381" t="s">
        <v>6291</v>
      </c>
      <c r="S1241" s="381"/>
      <c r="T1241" s="381" t="s">
        <v>2960</v>
      </c>
      <c r="U1241" s="381" t="s">
        <v>152</v>
      </c>
      <c r="V1241" s="381" t="s">
        <v>23</v>
      </c>
    </row>
    <row r="1242" spans="2:22">
      <c r="B1242" s="383">
        <v>46253</v>
      </c>
      <c r="C1242" s="383">
        <v>46253</v>
      </c>
      <c r="D1242" s="381" t="s">
        <v>6292</v>
      </c>
      <c r="E1242" s="382" t="s">
        <v>6293</v>
      </c>
      <c r="F1242" s="381" t="s">
        <v>87</v>
      </c>
      <c r="G1242" s="381" t="s">
        <v>6008</v>
      </c>
      <c r="H1242" s="387">
        <v>30</v>
      </c>
      <c r="I1242" s="381">
        <v>39.200000000000003</v>
      </c>
      <c r="J1242" s="381">
        <v>39.200000000000003</v>
      </c>
      <c r="K1242" s="381">
        <v>4</v>
      </c>
      <c r="L1242" s="381">
        <v>0</v>
      </c>
      <c r="M1242" s="381" t="s">
        <v>148</v>
      </c>
      <c r="N1242" s="381" t="s">
        <v>149</v>
      </c>
      <c r="O1242" s="381" t="s">
        <v>150</v>
      </c>
      <c r="P1242" s="381" t="s">
        <v>151</v>
      </c>
      <c r="Q1242" s="381"/>
      <c r="R1242" s="381" t="s">
        <v>6293</v>
      </c>
      <c r="S1242" s="381"/>
      <c r="T1242" s="381" t="s">
        <v>2960</v>
      </c>
      <c r="U1242" s="381" t="s">
        <v>152</v>
      </c>
      <c r="V1242" s="381" t="s">
        <v>23</v>
      </c>
    </row>
    <row r="1243" spans="2:22">
      <c r="B1243" s="383">
        <v>46253</v>
      </c>
      <c r="C1243" s="383">
        <v>46253</v>
      </c>
      <c r="D1243" s="381" t="s">
        <v>6294</v>
      </c>
      <c r="E1243" s="382" t="s">
        <v>6295</v>
      </c>
      <c r="F1243" s="381" t="s">
        <v>87</v>
      </c>
      <c r="G1243" s="381" t="s">
        <v>2334</v>
      </c>
      <c r="H1243" s="387">
        <v>40</v>
      </c>
      <c r="I1243" s="381">
        <v>37.799999999999997</v>
      </c>
      <c r="J1243" s="381">
        <v>37.799999999999997</v>
      </c>
      <c r="K1243" s="381">
        <v>5</v>
      </c>
      <c r="L1243" s="381">
        <v>0</v>
      </c>
      <c r="M1243" s="381" t="s">
        <v>148</v>
      </c>
      <c r="N1243" s="381" t="s">
        <v>149</v>
      </c>
      <c r="O1243" s="381" t="s">
        <v>150</v>
      </c>
      <c r="P1243" s="381" t="s">
        <v>151</v>
      </c>
      <c r="Q1243" s="381"/>
      <c r="R1243" s="381" t="s">
        <v>6295</v>
      </c>
      <c r="S1243" s="381"/>
      <c r="T1243" s="381" t="s">
        <v>2960</v>
      </c>
      <c r="U1243" s="381" t="s">
        <v>152</v>
      </c>
      <c r="V1243" s="381" t="s">
        <v>23</v>
      </c>
    </row>
    <row r="1244" spans="2:22">
      <c r="B1244" s="383">
        <v>46253</v>
      </c>
      <c r="C1244" s="383">
        <v>46253</v>
      </c>
      <c r="D1244" s="381" t="s">
        <v>6296</v>
      </c>
      <c r="E1244" s="382" t="s">
        <v>6297</v>
      </c>
      <c r="F1244" s="381" t="s">
        <v>87</v>
      </c>
      <c r="G1244" s="381" t="s">
        <v>4000</v>
      </c>
      <c r="H1244" s="387">
        <v>50</v>
      </c>
      <c r="I1244" s="381">
        <v>34.200000000000003</v>
      </c>
      <c r="J1244" s="381">
        <v>34.200000000000003</v>
      </c>
      <c r="K1244" s="381">
        <v>5</v>
      </c>
      <c r="L1244" s="381">
        <v>0</v>
      </c>
      <c r="M1244" s="381" t="s">
        <v>148</v>
      </c>
      <c r="N1244" s="381" t="s">
        <v>149</v>
      </c>
      <c r="O1244" s="381" t="s">
        <v>150</v>
      </c>
      <c r="P1244" s="381" t="s">
        <v>151</v>
      </c>
      <c r="Q1244" s="381"/>
      <c r="R1244" s="381" t="s">
        <v>6297</v>
      </c>
      <c r="S1244" s="381"/>
      <c r="T1244" s="381" t="s">
        <v>2960</v>
      </c>
      <c r="U1244" s="381" t="s">
        <v>152</v>
      </c>
      <c r="V1244" s="381" t="s">
        <v>23</v>
      </c>
    </row>
    <row r="1245" spans="2:22">
      <c r="B1245" s="383">
        <v>46253</v>
      </c>
      <c r="C1245" s="383">
        <v>46253</v>
      </c>
      <c r="D1245" s="381" t="s">
        <v>6298</v>
      </c>
      <c r="E1245" s="382" t="s">
        <v>6299</v>
      </c>
      <c r="F1245" s="381" t="s">
        <v>87</v>
      </c>
      <c r="G1245" s="381" t="s">
        <v>2512</v>
      </c>
      <c r="H1245" s="387">
        <v>40</v>
      </c>
      <c r="I1245" s="381">
        <v>38.200000000000003</v>
      </c>
      <c r="J1245" s="381">
        <v>38.200000000000003</v>
      </c>
      <c r="K1245" s="381">
        <v>5</v>
      </c>
      <c r="L1245" s="381">
        <v>0</v>
      </c>
      <c r="M1245" s="381" t="s">
        <v>148</v>
      </c>
      <c r="N1245" s="381" t="s">
        <v>149</v>
      </c>
      <c r="O1245" s="381" t="s">
        <v>150</v>
      </c>
      <c r="P1245" s="381" t="s">
        <v>151</v>
      </c>
      <c r="Q1245" s="381"/>
      <c r="R1245" s="381" t="s">
        <v>6299</v>
      </c>
      <c r="S1245" s="381"/>
      <c r="T1245" s="381" t="s">
        <v>2960</v>
      </c>
      <c r="U1245" s="381" t="s">
        <v>152</v>
      </c>
      <c r="V1245" s="381" t="s">
        <v>23</v>
      </c>
    </row>
    <row r="1246" spans="2:22">
      <c r="B1246" s="383">
        <v>46253</v>
      </c>
      <c r="C1246" s="383">
        <v>46253</v>
      </c>
      <c r="D1246" s="381" t="s">
        <v>6300</v>
      </c>
      <c r="E1246" s="382" t="s">
        <v>6301</v>
      </c>
      <c r="F1246" s="381" t="s">
        <v>87</v>
      </c>
      <c r="G1246" s="381" t="s">
        <v>6008</v>
      </c>
      <c r="H1246" s="387">
        <v>30</v>
      </c>
      <c r="I1246" s="381">
        <v>44.4</v>
      </c>
      <c r="J1246" s="381">
        <v>44.4</v>
      </c>
      <c r="K1246" s="381">
        <v>4</v>
      </c>
      <c r="L1246" s="381">
        <v>0</v>
      </c>
      <c r="M1246" s="381" t="s">
        <v>148</v>
      </c>
      <c r="N1246" s="381" t="s">
        <v>149</v>
      </c>
      <c r="O1246" s="381" t="s">
        <v>150</v>
      </c>
      <c r="P1246" s="381" t="s">
        <v>151</v>
      </c>
      <c r="Q1246" s="381"/>
      <c r="R1246" s="381" t="s">
        <v>6301</v>
      </c>
      <c r="S1246" s="381"/>
      <c r="T1246" s="381" t="s">
        <v>2960</v>
      </c>
      <c r="U1246" s="381" t="s">
        <v>152</v>
      </c>
      <c r="V1246" s="381" t="s">
        <v>23</v>
      </c>
    </row>
    <row r="1247" spans="2:22">
      <c r="B1247" s="383">
        <v>46253</v>
      </c>
      <c r="C1247" s="383">
        <v>46253</v>
      </c>
      <c r="D1247" s="381" t="s">
        <v>6302</v>
      </c>
      <c r="E1247" s="382" t="s">
        <v>6303</v>
      </c>
      <c r="F1247" s="381" t="s">
        <v>87</v>
      </c>
      <c r="G1247" s="381" t="s">
        <v>6165</v>
      </c>
      <c r="H1247" s="387">
        <v>32</v>
      </c>
      <c r="I1247" s="381">
        <v>27.8</v>
      </c>
      <c r="J1247" s="381">
        <v>27.8</v>
      </c>
      <c r="K1247" s="381">
        <v>4</v>
      </c>
      <c r="L1247" s="381">
        <v>0</v>
      </c>
      <c r="M1247" s="381" t="s">
        <v>148</v>
      </c>
      <c r="N1247" s="381" t="s">
        <v>149</v>
      </c>
      <c r="O1247" s="381" t="s">
        <v>150</v>
      </c>
      <c r="P1247" s="381" t="s">
        <v>151</v>
      </c>
      <c r="Q1247" s="381"/>
      <c r="R1247" s="381" t="s">
        <v>6303</v>
      </c>
      <c r="S1247" s="381"/>
      <c r="T1247" s="381" t="s">
        <v>2960</v>
      </c>
      <c r="U1247" s="381" t="s">
        <v>152</v>
      </c>
      <c r="V1247" s="381" t="s">
        <v>23</v>
      </c>
    </row>
    <row r="1248" spans="2:22">
      <c r="B1248" s="383">
        <v>46253</v>
      </c>
      <c r="C1248" s="383">
        <v>46253</v>
      </c>
      <c r="D1248" s="381" t="s">
        <v>6304</v>
      </c>
      <c r="E1248" s="382" t="s">
        <v>6305</v>
      </c>
      <c r="F1248" s="381" t="s">
        <v>87</v>
      </c>
      <c r="G1248" s="381" t="s">
        <v>5766</v>
      </c>
      <c r="H1248" s="387">
        <v>45</v>
      </c>
      <c r="I1248" s="381">
        <v>43.8</v>
      </c>
      <c r="J1248" s="381">
        <v>43.8</v>
      </c>
      <c r="K1248" s="381">
        <v>5</v>
      </c>
      <c r="L1248" s="381">
        <v>0</v>
      </c>
      <c r="M1248" s="381" t="s">
        <v>148</v>
      </c>
      <c r="N1248" s="381" t="s">
        <v>149</v>
      </c>
      <c r="O1248" s="381" t="s">
        <v>150</v>
      </c>
      <c r="P1248" s="381" t="s">
        <v>151</v>
      </c>
      <c r="Q1248" s="381"/>
      <c r="R1248" s="381" t="s">
        <v>6305</v>
      </c>
      <c r="S1248" s="381"/>
      <c r="T1248" s="381" t="s">
        <v>2960</v>
      </c>
      <c r="U1248" s="381" t="s">
        <v>152</v>
      </c>
      <c r="V1248" s="381" t="s">
        <v>23</v>
      </c>
    </row>
    <row r="1249" spans="2:22">
      <c r="B1249" s="383">
        <v>46253</v>
      </c>
      <c r="C1249" s="383">
        <v>46253</v>
      </c>
      <c r="D1249" s="381" t="s">
        <v>6306</v>
      </c>
      <c r="E1249" s="382" t="s">
        <v>6307</v>
      </c>
      <c r="F1249" s="381" t="s">
        <v>87</v>
      </c>
      <c r="G1249" s="381" t="s">
        <v>5766</v>
      </c>
      <c r="H1249" s="387">
        <v>45</v>
      </c>
      <c r="I1249" s="381">
        <v>39.299999999999997</v>
      </c>
      <c r="J1249" s="381">
        <v>39.299999999999997</v>
      </c>
      <c r="K1249" s="381">
        <v>5</v>
      </c>
      <c r="L1249" s="381">
        <v>0</v>
      </c>
      <c r="M1249" s="381" t="s">
        <v>148</v>
      </c>
      <c r="N1249" s="381" t="s">
        <v>149</v>
      </c>
      <c r="O1249" s="381" t="s">
        <v>150</v>
      </c>
      <c r="P1249" s="381" t="s">
        <v>151</v>
      </c>
      <c r="Q1249" s="381"/>
      <c r="R1249" s="381" t="s">
        <v>6307</v>
      </c>
      <c r="S1249" s="381"/>
      <c r="T1249" s="381" t="s">
        <v>2960</v>
      </c>
      <c r="U1249" s="381" t="s">
        <v>152</v>
      </c>
      <c r="V1249" s="381" t="s">
        <v>23</v>
      </c>
    </row>
    <row r="1250" spans="2:22">
      <c r="B1250" s="383">
        <v>46253</v>
      </c>
      <c r="C1250" s="383">
        <v>46253</v>
      </c>
      <c r="D1250" s="381" t="s">
        <v>6308</v>
      </c>
      <c r="E1250" s="382" t="s">
        <v>6309</v>
      </c>
      <c r="F1250" s="381" t="s">
        <v>87</v>
      </c>
      <c r="G1250" s="381" t="s">
        <v>6008</v>
      </c>
      <c r="H1250" s="387">
        <v>30</v>
      </c>
      <c r="I1250" s="381">
        <v>35.200000000000003</v>
      </c>
      <c r="J1250" s="381">
        <v>35.200000000000003</v>
      </c>
      <c r="K1250" s="381">
        <v>4</v>
      </c>
      <c r="L1250" s="381">
        <v>0</v>
      </c>
      <c r="M1250" s="381" t="s">
        <v>148</v>
      </c>
      <c r="N1250" s="381" t="s">
        <v>149</v>
      </c>
      <c r="O1250" s="381" t="s">
        <v>150</v>
      </c>
      <c r="P1250" s="381" t="s">
        <v>151</v>
      </c>
      <c r="Q1250" s="381"/>
      <c r="R1250" s="381" t="s">
        <v>6309</v>
      </c>
      <c r="S1250" s="381"/>
      <c r="T1250" s="381" t="s">
        <v>2960</v>
      </c>
      <c r="U1250" s="381" t="s">
        <v>152</v>
      </c>
      <c r="V1250" s="381" t="s">
        <v>23</v>
      </c>
    </row>
    <row r="1251" spans="2:22">
      <c r="B1251" s="383">
        <v>46253</v>
      </c>
      <c r="C1251" s="383">
        <v>46253</v>
      </c>
      <c r="D1251" s="381" t="s">
        <v>6310</v>
      </c>
      <c r="E1251" s="382" t="s">
        <v>6311</v>
      </c>
      <c r="F1251" s="381" t="s">
        <v>87</v>
      </c>
      <c r="G1251" s="381" t="s">
        <v>4512</v>
      </c>
      <c r="H1251" s="387">
        <v>55</v>
      </c>
      <c r="I1251" s="381">
        <v>36.200000000000003</v>
      </c>
      <c r="J1251" s="381">
        <v>36.200000000000003</v>
      </c>
      <c r="K1251" s="381">
        <v>5</v>
      </c>
      <c r="L1251" s="381">
        <v>0</v>
      </c>
      <c r="M1251" s="381" t="s">
        <v>148</v>
      </c>
      <c r="N1251" s="381" t="s">
        <v>149</v>
      </c>
      <c r="O1251" s="381" t="s">
        <v>150</v>
      </c>
      <c r="P1251" s="381" t="s">
        <v>151</v>
      </c>
      <c r="Q1251" s="381"/>
      <c r="R1251" s="381" t="s">
        <v>6311</v>
      </c>
      <c r="S1251" s="381"/>
      <c r="T1251" s="381" t="s">
        <v>2960</v>
      </c>
      <c r="U1251" s="381" t="s">
        <v>152</v>
      </c>
      <c r="V1251" s="381" t="s">
        <v>23</v>
      </c>
    </row>
    <row r="1252" spans="2:22">
      <c r="B1252" s="383">
        <v>46253</v>
      </c>
      <c r="C1252" s="383">
        <v>46253</v>
      </c>
      <c r="D1252" s="381" t="s">
        <v>6312</v>
      </c>
      <c r="E1252" s="382" t="s">
        <v>6313</v>
      </c>
      <c r="F1252" s="381" t="s">
        <v>87</v>
      </c>
      <c r="G1252" s="381" t="s">
        <v>2334</v>
      </c>
      <c r="H1252" s="387">
        <v>40</v>
      </c>
      <c r="I1252" s="381">
        <v>38.4</v>
      </c>
      <c r="J1252" s="381">
        <v>38.4</v>
      </c>
      <c r="K1252" s="381">
        <v>5</v>
      </c>
      <c r="L1252" s="381">
        <v>0</v>
      </c>
      <c r="M1252" s="381" t="s">
        <v>148</v>
      </c>
      <c r="N1252" s="381" t="s">
        <v>149</v>
      </c>
      <c r="O1252" s="381" t="s">
        <v>150</v>
      </c>
      <c r="P1252" s="381" t="s">
        <v>151</v>
      </c>
      <c r="Q1252" s="381"/>
      <c r="R1252" s="381" t="s">
        <v>6313</v>
      </c>
      <c r="S1252" s="381"/>
      <c r="T1252" s="381" t="s">
        <v>2960</v>
      </c>
      <c r="U1252" s="381" t="s">
        <v>152</v>
      </c>
      <c r="V1252" s="381" t="s">
        <v>23</v>
      </c>
    </row>
    <row r="1253" spans="2:22">
      <c r="B1253" s="383">
        <v>46253</v>
      </c>
      <c r="C1253" s="383">
        <v>46253</v>
      </c>
      <c r="D1253" s="381" t="s">
        <v>6314</v>
      </c>
      <c r="E1253" s="382" t="s">
        <v>6315</v>
      </c>
      <c r="F1253" s="381" t="s">
        <v>87</v>
      </c>
      <c r="G1253" s="381" t="s">
        <v>6008</v>
      </c>
      <c r="H1253" s="387">
        <v>30</v>
      </c>
      <c r="I1253" s="381">
        <v>35.799999999999997</v>
      </c>
      <c r="J1253" s="381">
        <v>35.799999999999997</v>
      </c>
      <c r="K1253" s="381">
        <v>4</v>
      </c>
      <c r="L1253" s="381">
        <v>0</v>
      </c>
      <c r="M1253" s="381" t="s">
        <v>148</v>
      </c>
      <c r="N1253" s="381" t="s">
        <v>149</v>
      </c>
      <c r="O1253" s="381" t="s">
        <v>150</v>
      </c>
      <c r="P1253" s="381" t="s">
        <v>151</v>
      </c>
      <c r="Q1253" s="381"/>
      <c r="R1253" s="381" t="s">
        <v>6315</v>
      </c>
      <c r="S1253" s="381"/>
      <c r="T1253" s="381" t="s">
        <v>2960</v>
      </c>
      <c r="U1253" s="381" t="s">
        <v>152</v>
      </c>
      <c r="V1253" s="381" t="s">
        <v>23</v>
      </c>
    </row>
    <row r="1254" spans="2:22">
      <c r="B1254" s="383">
        <v>46253</v>
      </c>
      <c r="C1254" s="383">
        <v>46253</v>
      </c>
      <c r="D1254" s="381" t="s">
        <v>6316</v>
      </c>
      <c r="E1254" s="382" t="s">
        <v>6317</v>
      </c>
      <c r="F1254" s="381" t="s">
        <v>87</v>
      </c>
      <c r="G1254" s="381" t="s">
        <v>6165</v>
      </c>
      <c r="H1254" s="387">
        <v>32</v>
      </c>
      <c r="I1254" s="381">
        <v>18.5</v>
      </c>
      <c r="J1254" s="381">
        <v>18.5</v>
      </c>
      <c r="K1254" s="381">
        <v>4</v>
      </c>
      <c r="L1254" s="381">
        <v>0</v>
      </c>
      <c r="M1254" s="381" t="s">
        <v>148</v>
      </c>
      <c r="N1254" s="381" t="s">
        <v>149</v>
      </c>
      <c r="O1254" s="381" t="s">
        <v>150</v>
      </c>
      <c r="P1254" s="381" t="s">
        <v>151</v>
      </c>
      <c r="Q1254" s="381"/>
      <c r="R1254" s="381" t="s">
        <v>6317</v>
      </c>
      <c r="S1254" s="381"/>
      <c r="T1254" s="381" t="s">
        <v>2960</v>
      </c>
      <c r="U1254" s="381" t="s">
        <v>152</v>
      </c>
      <c r="V1254" s="381" t="s">
        <v>23</v>
      </c>
    </row>
    <row r="1255" spans="2:22">
      <c r="B1255" s="383">
        <v>46253</v>
      </c>
      <c r="C1255" s="383">
        <v>46253</v>
      </c>
      <c r="D1255" s="381" t="s">
        <v>6318</v>
      </c>
      <c r="E1255" s="382" t="s">
        <v>6319</v>
      </c>
      <c r="F1255" s="381" t="s">
        <v>87</v>
      </c>
      <c r="G1255" s="381" t="s">
        <v>2404</v>
      </c>
      <c r="H1255" s="387">
        <v>40</v>
      </c>
      <c r="I1255" s="381">
        <v>37.299999999999997</v>
      </c>
      <c r="J1255" s="381">
        <v>37.299999999999997</v>
      </c>
      <c r="K1255" s="381">
        <v>5</v>
      </c>
      <c r="L1255" s="381">
        <v>0</v>
      </c>
      <c r="M1255" s="381" t="s">
        <v>148</v>
      </c>
      <c r="N1255" s="381" t="s">
        <v>149</v>
      </c>
      <c r="O1255" s="381" t="s">
        <v>150</v>
      </c>
      <c r="P1255" s="381" t="s">
        <v>151</v>
      </c>
      <c r="Q1255" s="381"/>
      <c r="R1255" s="381" t="s">
        <v>6319</v>
      </c>
      <c r="S1255" s="381"/>
      <c r="T1255" s="381" t="s">
        <v>2960</v>
      </c>
      <c r="U1255" s="381" t="s">
        <v>152</v>
      </c>
      <c r="V1255" s="381" t="s">
        <v>23</v>
      </c>
    </row>
    <row r="1256" spans="2:22">
      <c r="B1256" s="383">
        <v>46253</v>
      </c>
      <c r="C1256" s="383">
        <v>46253</v>
      </c>
      <c r="D1256" s="381" t="s">
        <v>6320</v>
      </c>
      <c r="E1256" s="382" t="s">
        <v>6321</v>
      </c>
      <c r="F1256" s="381" t="s">
        <v>87</v>
      </c>
      <c r="G1256" s="381" t="s">
        <v>6165</v>
      </c>
      <c r="H1256" s="387">
        <v>32</v>
      </c>
      <c r="I1256" s="381">
        <v>34.200000000000003</v>
      </c>
      <c r="J1256" s="381">
        <v>34.200000000000003</v>
      </c>
      <c r="K1256" s="381">
        <v>4</v>
      </c>
      <c r="L1256" s="381">
        <v>0</v>
      </c>
      <c r="M1256" s="381" t="s">
        <v>148</v>
      </c>
      <c r="N1256" s="381" t="s">
        <v>149</v>
      </c>
      <c r="O1256" s="381" t="s">
        <v>150</v>
      </c>
      <c r="P1256" s="381" t="s">
        <v>151</v>
      </c>
      <c r="Q1256" s="381"/>
      <c r="R1256" s="381" t="s">
        <v>6321</v>
      </c>
      <c r="S1256" s="381"/>
      <c r="T1256" s="381" t="s">
        <v>2960</v>
      </c>
      <c r="U1256" s="381" t="s">
        <v>152</v>
      </c>
      <c r="V1256" s="381" t="s">
        <v>23</v>
      </c>
    </row>
    <row r="1257" spans="2:22">
      <c r="B1257" s="383">
        <v>46253</v>
      </c>
      <c r="C1257" s="383">
        <v>46253</v>
      </c>
      <c r="D1257" s="381" t="s">
        <v>6322</v>
      </c>
      <c r="E1257" s="382" t="s">
        <v>6323</v>
      </c>
      <c r="F1257" s="381" t="s">
        <v>87</v>
      </c>
      <c r="G1257" s="381" t="s">
        <v>4000</v>
      </c>
      <c r="H1257" s="387">
        <v>50</v>
      </c>
      <c r="I1257" s="381">
        <v>40.5</v>
      </c>
      <c r="J1257" s="381">
        <v>40.5</v>
      </c>
      <c r="K1257" s="381">
        <v>5</v>
      </c>
      <c r="L1257" s="381">
        <v>0</v>
      </c>
      <c r="M1257" s="381" t="s">
        <v>148</v>
      </c>
      <c r="N1257" s="381" t="s">
        <v>149</v>
      </c>
      <c r="O1257" s="381" t="s">
        <v>150</v>
      </c>
      <c r="P1257" s="381" t="s">
        <v>151</v>
      </c>
      <c r="Q1257" s="381"/>
      <c r="R1257" s="381" t="s">
        <v>6323</v>
      </c>
      <c r="S1257" s="381"/>
      <c r="T1257" s="381" t="s">
        <v>2960</v>
      </c>
      <c r="U1257" s="381" t="s">
        <v>152</v>
      </c>
      <c r="V1257" s="381" t="s">
        <v>23</v>
      </c>
    </row>
    <row r="1258" spans="2:22">
      <c r="B1258" s="383">
        <v>46253</v>
      </c>
      <c r="C1258" s="383">
        <v>46253</v>
      </c>
      <c r="D1258" s="381" t="s">
        <v>6324</v>
      </c>
      <c r="E1258" s="382" t="s">
        <v>6325</v>
      </c>
      <c r="F1258" s="381" t="s">
        <v>87</v>
      </c>
      <c r="G1258" s="381" t="s">
        <v>4512</v>
      </c>
      <c r="H1258" s="387">
        <v>55</v>
      </c>
      <c r="I1258" s="381">
        <v>38.200000000000003</v>
      </c>
      <c r="J1258" s="381">
        <v>38.200000000000003</v>
      </c>
      <c r="K1258" s="381">
        <v>5</v>
      </c>
      <c r="L1258" s="381">
        <v>0</v>
      </c>
      <c r="M1258" s="381" t="s">
        <v>148</v>
      </c>
      <c r="N1258" s="381" t="s">
        <v>149</v>
      </c>
      <c r="O1258" s="381" t="s">
        <v>150</v>
      </c>
      <c r="P1258" s="381" t="s">
        <v>151</v>
      </c>
      <c r="Q1258" s="381"/>
      <c r="R1258" s="381" t="s">
        <v>6325</v>
      </c>
      <c r="S1258" s="381"/>
      <c r="T1258" s="381" t="s">
        <v>2960</v>
      </c>
      <c r="U1258" s="381" t="s">
        <v>152</v>
      </c>
      <c r="V1258" s="381" t="s">
        <v>23</v>
      </c>
    </row>
    <row r="1259" spans="2:22">
      <c r="B1259" s="383">
        <v>46253</v>
      </c>
      <c r="C1259" s="383">
        <v>46253</v>
      </c>
      <c r="D1259" s="381" t="s">
        <v>6326</v>
      </c>
      <c r="E1259" s="382" t="s">
        <v>6327</v>
      </c>
      <c r="F1259" s="381" t="s">
        <v>87</v>
      </c>
      <c r="G1259" s="381" t="s">
        <v>6008</v>
      </c>
      <c r="H1259" s="387">
        <v>30</v>
      </c>
      <c r="I1259" s="381">
        <v>46.3</v>
      </c>
      <c r="J1259" s="381">
        <v>46.3</v>
      </c>
      <c r="K1259" s="381">
        <v>4</v>
      </c>
      <c r="L1259" s="381">
        <v>0</v>
      </c>
      <c r="M1259" s="381" t="s">
        <v>148</v>
      </c>
      <c r="N1259" s="381" t="s">
        <v>149</v>
      </c>
      <c r="O1259" s="381" t="s">
        <v>150</v>
      </c>
      <c r="P1259" s="381" t="s">
        <v>151</v>
      </c>
      <c r="Q1259" s="381"/>
      <c r="R1259" s="381" t="s">
        <v>6327</v>
      </c>
      <c r="S1259" s="381"/>
      <c r="T1259" s="381" t="s">
        <v>2960</v>
      </c>
      <c r="U1259" s="381" t="s">
        <v>152</v>
      </c>
      <c r="V1259" s="381" t="s">
        <v>23</v>
      </c>
    </row>
    <row r="1260" spans="2:22">
      <c r="B1260" s="383">
        <v>46253</v>
      </c>
      <c r="C1260" s="383">
        <v>46253</v>
      </c>
      <c r="D1260" s="381" t="s">
        <v>6328</v>
      </c>
      <c r="E1260" s="382" t="s">
        <v>6329</v>
      </c>
      <c r="F1260" s="381" t="s">
        <v>87</v>
      </c>
      <c r="G1260" s="381" t="s">
        <v>2404</v>
      </c>
      <c r="H1260" s="387">
        <v>40</v>
      </c>
      <c r="I1260" s="381">
        <v>40.1</v>
      </c>
      <c r="J1260" s="381">
        <v>40.1</v>
      </c>
      <c r="K1260" s="381">
        <v>5</v>
      </c>
      <c r="L1260" s="381">
        <v>0</v>
      </c>
      <c r="M1260" s="381" t="s">
        <v>148</v>
      </c>
      <c r="N1260" s="381" t="s">
        <v>149</v>
      </c>
      <c r="O1260" s="381" t="s">
        <v>150</v>
      </c>
      <c r="P1260" s="381" t="s">
        <v>151</v>
      </c>
      <c r="Q1260" s="381"/>
      <c r="R1260" s="381" t="s">
        <v>6329</v>
      </c>
      <c r="S1260" s="381"/>
      <c r="T1260" s="381" t="s">
        <v>2960</v>
      </c>
      <c r="U1260" s="381" t="s">
        <v>152</v>
      </c>
      <c r="V1260" s="381" t="s">
        <v>23</v>
      </c>
    </row>
    <row r="1261" spans="2:22">
      <c r="B1261" s="383">
        <v>46253</v>
      </c>
      <c r="C1261" s="383">
        <v>46253</v>
      </c>
      <c r="D1261" s="381" t="s">
        <v>6330</v>
      </c>
      <c r="E1261" s="382" t="s">
        <v>6331</v>
      </c>
      <c r="F1261" s="381" t="s">
        <v>87</v>
      </c>
      <c r="G1261" s="381" t="s">
        <v>6165</v>
      </c>
      <c r="H1261" s="387">
        <v>32</v>
      </c>
      <c r="I1261" s="381">
        <v>37.200000000000003</v>
      </c>
      <c r="J1261" s="381">
        <v>37.200000000000003</v>
      </c>
      <c r="K1261" s="381">
        <v>4</v>
      </c>
      <c r="L1261" s="381">
        <v>0</v>
      </c>
      <c r="M1261" s="381" t="s">
        <v>148</v>
      </c>
      <c r="N1261" s="381" t="s">
        <v>149</v>
      </c>
      <c r="O1261" s="381" t="s">
        <v>150</v>
      </c>
      <c r="P1261" s="381" t="s">
        <v>151</v>
      </c>
      <c r="Q1261" s="381"/>
      <c r="R1261" s="381" t="s">
        <v>6331</v>
      </c>
      <c r="S1261" s="381"/>
      <c r="T1261" s="381" t="s">
        <v>2960</v>
      </c>
      <c r="U1261" s="381" t="s">
        <v>152</v>
      </c>
      <c r="V1261" s="381" t="s">
        <v>23</v>
      </c>
    </row>
    <row r="1262" spans="2:22">
      <c r="B1262" s="383">
        <v>46253</v>
      </c>
      <c r="C1262" s="383">
        <v>46253</v>
      </c>
      <c r="D1262" s="381" t="s">
        <v>6332</v>
      </c>
      <c r="E1262" s="382" t="s">
        <v>6333</v>
      </c>
      <c r="F1262" s="381" t="s">
        <v>87</v>
      </c>
      <c r="G1262" s="381" t="s">
        <v>2334</v>
      </c>
      <c r="H1262" s="387">
        <v>40</v>
      </c>
      <c r="I1262" s="381">
        <v>42.8</v>
      </c>
      <c r="J1262" s="381">
        <v>42.8</v>
      </c>
      <c r="K1262" s="381">
        <v>5</v>
      </c>
      <c r="L1262" s="381">
        <v>0</v>
      </c>
      <c r="M1262" s="381" t="s">
        <v>148</v>
      </c>
      <c r="N1262" s="381" t="s">
        <v>149</v>
      </c>
      <c r="O1262" s="381" t="s">
        <v>150</v>
      </c>
      <c r="P1262" s="381" t="s">
        <v>151</v>
      </c>
      <c r="Q1262" s="381"/>
      <c r="R1262" s="381" t="s">
        <v>6333</v>
      </c>
      <c r="S1262" s="381"/>
      <c r="T1262" s="381" t="s">
        <v>2960</v>
      </c>
      <c r="U1262" s="381" t="s">
        <v>152</v>
      </c>
      <c r="V1262" s="381" t="s">
        <v>23</v>
      </c>
    </row>
    <row r="1263" spans="2:22">
      <c r="B1263" s="383">
        <v>46253</v>
      </c>
      <c r="C1263" s="383">
        <v>46253</v>
      </c>
      <c r="D1263" s="381" t="s">
        <v>6334</v>
      </c>
      <c r="E1263" s="382" t="s">
        <v>6335</v>
      </c>
      <c r="F1263" s="381" t="s">
        <v>87</v>
      </c>
      <c r="G1263" s="381" t="s">
        <v>2334</v>
      </c>
      <c r="H1263" s="387">
        <v>40</v>
      </c>
      <c r="I1263" s="381">
        <v>24.8</v>
      </c>
      <c r="J1263" s="381">
        <v>24.8</v>
      </c>
      <c r="K1263" s="381">
        <v>5</v>
      </c>
      <c r="L1263" s="381">
        <v>0</v>
      </c>
      <c r="M1263" s="381" t="s">
        <v>148</v>
      </c>
      <c r="N1263" s="381" t="s">
        <v>149</v>
      </c>
      <c r="O1263" s="381" t="s">
        <v>150</v>
      </c>
      <c r="P1263" s="381" t="s">
        <v>151</v>
      </c>
      <c r="Q1263" s="381"/>
      <c r="R1263" s="381" t="s">
        <v>6335</v>
      </c>
      <c r="S1263" s="381"/>
      <c r="T1263" s="381" t="s">
        <v>2960</v>
      </c>
      <c r="U1263" s="381" t="s">
        <v>152</v>
      </c>
      <c r="V1263" s="381" t="s">
        <v>23</v>
      </c>
    </row>
    <row r="1264" spans="2:22">
      <c r="B1264" s="383">
        <v>46253</v>
      </c>
      <c r="C1264" s="383">
        <v>46253</v>
      </c>
      <c r="D1264" s="381" t="s">
        <v>6336</v>
      </c>
      <c r="E1264" s="382" t="s">
        <v>6337</v>
      </c>
      <c r="F1264" s="381" t="s">
        <v>87</v>
      </c>
      <c r="G1264" s="381" t="s">
        <v>2404</v>
      </c>
      <c r="H1264" s="387">
        <v>40</v>
      </c>
      <c r="I1264" s="381">
        <v>35.799999999999997</v>
      </c>
      <c r="J1264" s="381">
        <v>35.799999999999997</v>
      </c>
      <c r="K1264" s="381">
        <v>5</v>
      </c>
      <c r="L1264" s="381">
        <v>0</v>
      </c>
      <c r="M1264" s="381" t="s">
        <v>148</v>
      </c>
      <c r="N1264" s="381" t="s">
        <v>149</v>
      </c>
      <c r="O1264" s="381" t="s">
        <v>150</v>
      </c>
      <c r="P1264" s="381" t="s">
        <v>151</v>
      </c>
      <c r="Q1264" s="381"/>
      <c r="R1264" s="381" t="s">
        <v>6337</v>
      </c>
      <c r="S1264" s="381"/>
      <c r="T1264" s="381" t="s">
        <v>2960</v>
      </c>
      <c r="U1264" s="381" t="s">
        <v>152</v>
      </c>
      <c r="V1264" s="381" t="s">
        <v>23</v>
      </c>
    </row>
    <row r="1265" spans="2:22">
      <c r="B1265" s="383">
        <v>46253</v>
      </c>
      <c r="C1265" s="383">
        <v>46253</v>
      </c>
      <c r="D1265" s="381" t="s">
        <v>6338</v>
      </c>
      <c r="E1265" s="382" t="s">
        <v>6339</v>
      </c>
      <c r="F1265" s="381" t="s">
        <v>87</v>
      </c>
      <c r="G1265" s="381" t="s">
        <v>4000</v>
      </c>
      <c r="H1265" s="387">
        <v>50</v>
      </c>
      <c r="I1265" s="381">
        <v>44.2</v>
      </c>
      <c r="J1265" s="381">
        <v>44.2</v>
      </c>
      <c r="K1265" s="381">
        <v>5</v>
      </c>
      <c r="L1265" s="381">
        <v>0</v>
      </c>
      <c r="M1265" s="381" t="s">
        <v>148</v>
      </c>
      <c r="N1265" s="381" t="s">
        <v>149</v>
      </c>
      <c r="O1265" s="381" t="s">
        <v>150</v>
      </c>
      <c r="P1265" s="381" t="s">
        <v>151</v>
      </c>
      <c r="Q1265" s="381"/>
      <c r="R1265" s="381" t="s">
        <v>6339</v>
      </c>
      <c r="S1265" s="381"/>
      <c r="T1265" s="381" t="s">
        <v>2960</v>
      </c>
      <c r="U1265" s="381" t="s">
        <v>152</v>
      </c>
      <c r="V1265" s="381" t="s">
        <v>23</v>
      </c>
    </row>
    <row r="1266" spans="2:22">
      <c r="B1266" s="383">
        <v>46253</v>
      </c>
      <c r="C1266" s="383">
        <v>46253</v>
      </c>
      <c r="D1266" s="381" t="s">
        <v>6340</v>
      </c>
      <c r="E1266" s="382" t="s">
        <v>6341</v>
      </c>
      <c r="F1266" s="381" t="s">
        <v>87</v>
      </c>
      <c r="G1266" s="381" t="s">
        <v>5793</v>
      </c>
      <c r="H1266" s="387">
        <v>35</v>
      </c>
      <c r="I1266" s="381">
        <v>41.3</v>
      </c>
      <c r="J1266" s="381">
        <v>41.3</v>
      </c>
      <c r="K1266" s="381">
        <v>4</v>
      </c>
      <c r="L1266" s="381">
        <v>0</v>
      </c>
      <c r="M1266" s="381" t="s">
        <v>148</v>
      </c>
      <c r="N1266" s="381" t="s">
        <v>149</v>
      </c>
      <c r="O1266" s="381" t="s">
        <v>150</v>
      </c>
      <c r="P1266" s="381" t="s">
        <v>151</v>
      </c>
      <c r="Q1266" s="381"/>
      <c r="R1266" s="381" t="s">
        <v>6341</v>
      </c>
      <c r="S1266" s="381"/>
      <c r="T1266" s="381" t="s">
        <v>2960</v>
      </c>
      <c r="U1266" s="381" t="s">
        <v>152</v>
      </c>
      <c r="V1266" s="381" t="s">
        <v>23</v>
      </c>
    </row>
    <row r="1267" spans="2:22">
      <c r="B1267" s="383">
        <v>46253</v>
      </c>
      <c r="C1267" s="383">
        <v>46253</v>
      </c>
      <c r="D1267" s="381" t="s">
        <v>6342</v>
      </c>
      <c r="E1267" s="382" t="s">
        <v>6343</v>
      </c>
      <c r="F1267" s="381" t="s">
        <v>87</v>
      </c>
      <c r="G1267" s="381" t="s">
        <v>2334</v>
      </c>
      <c r="H1267" s="387">
        <v>40</v>
      </c>
      <c r="I1267" s="381">
        <v>41.3</v>
      </c>
      <c r="J1267" s="381">
        <v>41.3</v>
      </c>
      <c r="K1267" s="381">
        <v>5</v>
      </c>
      <c r="L1267" s="381">
        <v>0</v>
      </c>
      <c r="M1267" s="381" t="s">
        <v>148</v>
      </c>
      <c r="N1267" s="381" t="s">
        <v>149</v>
      </c>
      <c r="O1267" s="381" t="s">
        <v>150</v>
      </c>
      <c r="P1267" s="381" t="s">
        <v>151</v>
      </c>
      <c r="Q1267" s="381"/>
      <c r="R1267" s="381" t="s">
        <v>6343</v>
      </c>
      <c r="S1267" s="381"/>
      <c r="T1267" s="381" t="s">
        <v>2960</v>
      </c>
      <c r="U1267" s="381" t="s">
        <v>152</v>
      </c>
      <c r="V1267" s="381" t="s">
        <v>23</v>
      </c>
    </row>
    <row r="1268" spans="2:22">
      <c r="B1268" s="383">
        <v>46253</v>
      </c>
      <c r="C1268" s="383">
        <v>46253</v>
      </c>
      <c r="D1268" s="381" t="s">
        <v>6344</v>
      </c>
      <c r="E1268" s="382" t="s">
        <v>6345</v>
      </c>
      <c r="F1268" s="381" t="s">
        <v>87</v>
      </c>
      <c r="G1268" s="381" t="s">
        <v>5766</v>
      </c>
      <c r="H1268" s="387">
        <v>45</v>
      </c>
      <c r="I1268" s="381">
        <v>21.8</v>
      </c>
      <c r="J1268" s="381">
        <v>21.8</v>
      </c>
      <c r="K1268" s="381">
        <v>5</v>
      </c>
      <c r="L1268" s="381">
        <v>0</v>
      </c>
      <c r="M1268" s="381" t="s">
        <v>148</v>
      </c>
      <c r="N1268" s="381" t="s">
        <v>149</v>
      </c>
      <c r="O1268" s="381" t="s">
        <v>150</v>
      </c>
      <c r="P1268" s="381" t="s">
        <v>151</v>
      </c>
      <c r="Q1268" s="381"/>
      <c r="R1268" s="381" t="s">
        <v>6345</v>
      </c>
      <c r="S1268" s="381"/>
      <c r="T1268" s="381" t="s">
        <v>2960</v>
      </c>
      <c r="U1268" s="381" t="s">
        <v>152</v>
      </c>
      <c r="V1268" s="381" t="s">
        <v>23</v>
      </c>
    </row>
    <row r="1269" spans="2:22">
      <c r="B1269" s="383">
        <v>46253</v>
      </c>
      <c r="C1269" s="383">
        <v>46253</v>
      </c>
      <c r="D1269" s="381" t="s">
        <v>6346</v>
      </c>
      <c r="E1269" s="382" t="s">
        <v>6347</v>
      </c>
      <c r="F1269" s="381" t="s">
        <v>87</v>
      </c>
      <c r="G1269" s="381" t="s">
        <v>2078</v>
      </c>
      <c r="H1269" s="387">
        <v>6</v>
      </c>
      <c r="I1269" s="381">
        <v>35.799999999999997</v>
      </c>
      <c r="J1269" s="381">
        <v>35.799999999999997</v>
      </c>
      <c r="K1269" s="381">
        <v>1.5</v>
      </c>
      <c r="L1269" s="381">
        <v>0</v>
      </c>
      <c r="M1269" s="381" t="s">
        <v>148</v>
      </c>
      <c r="N1269" s="381" t="s">
        <v>149</v>
      </c>
      <c r="O1269" s="381" t="s">
        <v>150</v>
      </c>
      <c r="P1269" s="381" t="s">
        <v>151</v>
      </c>
      <c r="Q1269" s="381"/>
      <c r="R1269" s="381" t="s">
        <v>6347</v>
      </c>
      <c r="S1269" s="381"/>
      <c r="T1269" s="381" t="s">
        <v>2960</v>
      </c>
      <c r="U1269" s="381" t="s">
        <v>152</v>
      </c>
      <c r="V1269" s="381" t="s">
        <v>23</v>
      </c>
    </row>
    <row r="1270" spans="2:22">
      <c r="B1270" s="383">
        <v>46253</v>
      </c>
      <c r="C1270" s="383">
        <v>46253</v>
      </c>
      <c r="D1270" s="381" t="s">
        <v>6348</v>
      </c>
      <c r="E1270" s="382" t="s">
        <v>6349</v>
      </c>
      <c r="F1270" s="381" t="s">
        <v>87</v>
      </c>
      <c r="G1270" s="381" t="s">
        <v>2334</v>
      </c>
      <c r="H1270" s="387">
        <v>40</v>
      </c>
      <c r="I1270" s="381">
        <v>35.200000000000003</v>
      </c>
      <c r="J1270" s="381">
        <v>35.200000000000003</v>
      </c>
      <c r="K1270" s="381">
        <v>5</v>
      </c>
      <c r="L1270" s="381">
        <v>0</v>
      </c>
      <c r="M1270" s="381" t="s">
        <v>148</v>
      </c>
      <c r="N1270" s="381" t="s">
        <v>149</v>
      </c>
      <c r="O1270" s="381" t="s">
        <v>150</v>
      </c>
      <c r="P1270" s="381" t="s">
        <v>151</v>
      </c>
      <c r="Q1270" s="381"/>
      <c r="R1270" s="381" t="s">
        <v>6349</v>
      </c>
      <c r="S1270" s="381"/>
      <c r="T1270" s="381" t="s">
        <v>2960</v>
      </c>
      <c r="U1270" s="381" t="s">
        <v>152</v>
      </c>
      <c r="V1270" s="381" t="s">
        <v>23</v>
      </c>
    </row>
    <row r="1271" spans="2:22">
      <c r="B1271" s="383">
        <v>46253</v>
      </c>
      <c r="C1271" s="383">
        <v>46253</v>
      </c>
      <c r="D1271" s="381" t="s">
        <v>6350</v>
      </c>
      <c r="E1271" s="382" t="s">
        <v>6351</v>
      </c>
      <c r="F1271" s="381" t="s">
        <v>87</v>
      </c>
      <c r="G1271" s="381" t="s">
        <v>2404</v>
      </c>
      <c r="H1271" s="387">
        <v>40</v>
      </c>
      <c r="I1271" s="381">
        <v>24.6</v>
      </c>
      <c r="J1271" s="381">
        <v>24.6</v>
      </c>
      <c r="K1271" s="381">
        <v>5</v>
      </c>
      <c r="L1271" s="381">
        <v>0</v>
      </c>
      <c r="M1271" s="381" t="s">
        <v>148</v>
      </c>
      <c r="N1271" s="381" t="s">
        <v>149</v>
      </c>
      <c r="O1271" s="381" t="s">
        <v>150</v>
      </c>
      <c r="P1271" s="381" t="s">
        <v>151</v>
      </c>
      <c r="Q1271" s="381"/>
      <c r="R1271" s="381" t="s">
        <v>6351</v>
      </c>
      <c r="S1271" s="381"/>
      <c r="T1271" s="381" t="s">
        <v>2960</v>
      </c>
      <c r="U1271" s="381" t="s">
        <v>152</v>
      </c>
      <c r="V1271" s="381" t="s">
        <v>23</v>
      </c>
    </row>
    <row r="1272" spans="2:22">
      <c r="B1272" s="383">
        <v>46253</v>
      </c>
      <c r="C1272" s="383">
        <v>46253</v>
      </c>
      <c r="D1272" s="381" t="s">
        <v>6352</v>
      </c>
      <c r="E1272" s="382" t="s">
        <v>6353</v>
      </c>
      <c r="F1272" s="381" t="s">
        <v>87</v>
      </c>
      <c r="G1272" s="381" t="s">
        <v>4000</v>
      </c>
      <c r="H1272" s="387">
        <v>50</v>
      </c>
      <c r="I1272" s="381">
        <v>33</v>
      </c>
      <c r="J1272" s="381">
        <v>33</v>
      </c>
      <c r="K1272" s="381">
        <v>5</v>
      </c>
      <c r="L1272" s="381">
        <v>0</v>
      </c>
      <c r="M1272" s="381" t="s">
        <v>148</v>
      </c>
      <c r="N1272" s="381" t="s">
        <v>149</v>
      </c>
      <c r="O1272" s="381" t="s">
        <v>150</v>
      </c>
      <c r="P1272" s="381" t="s">
        <v>151</v>
      </c>
      <c r="Q1272" s="381"/>
      <c r="R1272" s="381" t="s">
        <v>6353</v>
      </c>
      <c r="S1272" s="381"/>
      <c r="T1272" s="381" t="s">
        <v>2960</v>
      </c>
      <c r="U1272" s="381" t="s">
        <v>152</v>
      </c>
      <c r="V1272" s="381" t="s">
        <v>23</v>
      </c>
    </row>
    <row r="1273" spans="2:22">
      <c r="B1273" s="383">
        <v>46253</v>
      </c>
      <c r="C1273" s="383">
        <v>46253</v>
      </c>
      <c r="D1273" s="381" t="s">
        <v>6354</v>
      </c>
      <c r="E1273" s="382" t="s">
        <v>6355</v>
      </c>
      <c r="F1273" s="381" t="s">
        <v>87</v>
      </c>
      <c r="G1273" s="381" t="s">
        <v>2334</v>
      </c>
      <c r="H1273" s="387">
        <v>40</v>
      </c>
      <c r="I1273" s="381">
        <v>32.200000000000003</v>
      </c>
      <c r="J1273" s="381">
        <v>32.200000000000003</v>
      </c>
      <c r="K1273" s="381">
        <v>5</v>
      </c>
      <c r="L1273" s="381">
        <v>0</v>
      </c>
      <c r="M1273" s="381" t="s">
        <v>148</v>
      </c>
      <c r="N1273" s="381" t="s">
        <v>149</v>
      </c>
      <c r="O1273" s="381" t="s">
        <v>150</v>
      </c>
      <c r="P1273" s="381" t="s">
        <v>151</v>
      </c>
      <c r="Q1273" s="381"/>
      <c r="R1273" s="381" t="s">
        <v>6355</v>
      </c>
      <c r="S1273" s="381"/>
      <c r="T1273" s="381" t="s">
        <v>2960</v>
      </c>
      <c r="U1273" s="381" t="s">
        <v>152</v>
      </c>
      <c r="V1273" s="381" t="s">
        <v>23</v>
      </c>
    </row>
    <row r="1274" spans="2:22">
      <c r="B1274" s="383">
        <v>46253</v>
      </c>
      <c r="C1274" s="383">
        <v>46253</v>
      </c>
      <c r="D1274" s="381" t="s">
        <v>6356</v>
      </c>
      <c r="E1274" s="382" t="s">
        <v>6357</v>
      </c>
      <c r="F1274" s="381" t="s">
        <v>87</v>
      </c>
      <c r="G1274" s="381" t="s">
        <v>5766</v>
      </c>
      <c r="H1274" s="387">
        <v>45</v>
      </c>
      <c r="I1274" s="381">
        <v>38.200000000000003</v>
      </c>
      <c r="J1274" s="381">
        <v>38.200000000000003</v>
      </c>
      <c r="K1274" s="381">
        <v>5</v>
      </c>
      <c r="L1274" s="381">
        <v>0</v>
      </c>
      <c r="M1274" s="381" t="s">
        <v>148</v>
      </c>
      <c r="N1274" s="381" t="s">
        <v>149</v>
      </c>
      <c r="O1274" s="381" t="s">
        <v>150</v>
      </c>
      <c r="P1274" s="381" t="s">
        <v>151</v>
      </c>
      <c r="Q1274" s="381"/>
      <c r="R1274" s="381" t="s">
        <v>6357</v>
      </c>
      <c r="S1274" s="381"/>
      <c r="T1274" s="381" t="s">
        <v>2960</v>
      </c>
      <c r="U1274" s="381" t="s">
        <v>152</v>
      </c>
      <c r="V1274" s="381" t="s">
        <v>23</v>
      </c>
    </row>
    <row r="1275" spans="2:22">
      <c r="B1275" s="383">
        <v>46253</v>
      </c>
      <c r="C1275" s="383">
        <v>46253</v>
      </c>
      <c r="D1275" s="381" t="s">
        <v>6358</v>
      </c>
      <c r="E1275" s="382" t="s">
        <v>6359</v>
      </c>
      <c r="F1275" s="381" t="s">
        <v>87</v>
      </c>
      <c r="G1275" s="381" t="s">
        <v>2334</v>
      </c>
      <c r="H1275" s="387">
        <v>40</v>
      </c>
      <c r="I1275" s="381">
        <v>22.3</v>
      </c>
      <c r="J1275" s="381">
        <v>22.3</v>
      </c>
      <c r="K1275" s="381">
        <v>5</v>
      </c>
      <c r="L1275" s="381">
        <v>0</v>
      </c>
      <c r="M1275" s="381" t="s">
        <v>148</v>
      </c>
      <c r="N1275" s="381" t="s">
        <v>149</v>
      </c>
      <c r="O1275" s="381" t="s">
        <v>150</v>
      </c>
      <c r="P1275" s="381" t="s">
        <v>151</v>
      </c>
      <c r="Q1275" s="381"/>
      <c r="R1275" s="381" t="s">
        <v>6359</v>
      </c>
      <c r="S1275" s="381"/>
      <c r="T1275" s="381" t="s">
        <v>2960</v>
      </c>
      <c r="U1275" s="381" t="s">
        <v>152</v>
      </c>
      <c r="V1275" s="381" t="s">
        <v>23</v>
      </c>
    </row>
    <row r="1276" spans="2:22">
      <c r="B1276" s="383">
        <v>46253</v>
      </c>
      <c r="C1276" s="383">
        <v>46253</v>
      </c>
      <c r="D1276" s="381" t="s">
        <v>6360</v>
      </c>
      <c r="E1276" s="382" t="s">
        <v>6361</v>
      </c>
      <c r="F1276" s="381" t="s">
        <v>87</v>
      </c>
      <c r="G1276" s="381" t="s">
        <v>2512</v>
      </c>
      <c r="H1276" s="387">
        <v>40</v>
      </c>
      <c r="I1276" s="381">
        <v>36.200000000000003</v>
      </c>
      <c r="J1276" s="381">
        <v>36.200000000000003</v>
      </c>
      <c r="K1276" s="381">
        <v>5</v>
      </c>
      <c r="L1276" s="381">
        <v>0</v>
      </c>
      <c r="M1276" s="381" t="s">
        <v>148</v>
      </c>
      <c r="N1276" s="381" t="s">
        <v>149</v>
      </c>
      <c r="O1276" s="381" t="s">
        <v>150</v>
      </c>
      <c r="P1276" s="381" t="s">
        <v>151</v>
      </c>
      <c r="Q1276" s="381"/>
      <c r="R1276" s="381" t="s">
        <v>6361</v>
      </c>
      <c r="S1276" s="381"/>
      <c r="T1276" s="381" t="s">
        <v>2960</v>
      </c>
      <c r="U1276" s="381" t="s">
        <v>152</v>
      </c>
      <c r="V1276" s="381" t="s">
        <v>23</v>
      </c>
    </row>
    <row r="1277" spans="2:22">
      <c r="B1277" s="383">
        <v>46253</v>
      </c>
      <c r="C1277" s="383">
        <v>46253</v>
      </c>
      <c r="D1277" s="381" t="s">
        <v>6362</v>
      </c>
      <c r="E1277" s="382" t="s">
        <v>6363</v>
      </c>
      <c r="F1277" s="381" t="s">
        <v>87</v>
      </c>
      <c r="G1277" s="381" t="s">
        <v>4512</v>
      </c>
      <c r="H1277" s="387">
        <v>55</v>
      </c>
      <c r="I1277" s="381">
        <v>36</v>
      </c>
      <c r="J1277" s="381">
        <v>36</v>
      </c>
      <c r="K1277" s="381">
        <v>5</v>
      </c>
      <c r="L1277" s="381">
        <v>0</v>
      </c>
      <c r="M1277" s="381" t="s">
        <v>148</v>
      </c>
      <c r="N1277" s="381" t="s">
        <v>149</v>
      </c>
      <c r="O1277" s="381" t="s">
        <v>150</v>
      </c>
      <c r="P1277" s="381" t="s">
        <v>151</v>
      </c>
      <c r="Q1277" s="381"/>
      <c r="R1277" s="381" t="s">
        <v>6363</v>
      </c>
      <c r="S1277" s="381"/>
      <c r="T1277" s="381" t="s">
        <v>2960</v>
      </c>
      <c r="U1277" s="381" t="s">
        <v>152</v>
      </c>
      <c r="V1277" s="381" t="s">
        <v>23</v>
      </c>
    </row>
    <row r="1278" spans="2:22">
      <c r="B1278" s="383">
        <v>46253</v>
      </c>
      <c r="C1278" s="383">
        <v>46253</v>
      </c>
      <c r="D1278" s="381" t="s">
        <v>6364</v>
      </c>
      <c r="E1278" s="382" t="s">
        <v>6365</v>
      </c>
      <c r="F1278" s="381" t="s">
        <v>87</v>
      </c>
      <c r="G1278" s="381" t="s">
        <v>6008</v>
      </c>
      <c r="H1278" s="387">
        <v>30</v>
      </c>
      <c r="I1278" s="381">
        <v>28.7</v>
      </c>
      <c r="J1278" s="381">
        <v>28.7</v>
      </c>
      <c r="K1278" s="381">
        <v>4</v>
      </c>
      <c r="L1278" s="381">
        <v>0</v>
      </c>
      <c r="M1278" s="381" t="s">
        <v>148</v>
      </c>
      <c r="N1278" s="381" t="s">
        <v>149</v>
      </c>
      <c r="O1278" s="381" t="s">
        <v>150</v>
      </c>
      <c r="P1278" s="381" t="s">
        <v>151</v>
      </c>
      <c r="Q1278" s="381"/>
      <c r="R1278" s="381" t="s">
        <v>6365</v>
      </c>
      <c r="S1278" s="381"/>
      <c r="T1278" s="381" t="s">
        <v>2960</v>
      </c>
      <c r="U1278" s="381" t="s">
        <v>152</v>
      </c>
      <c r="V1278" s="381" t="s">
        <v>23</v>
      </c>
    </row>
    <row r="1279" spans="2:22">
      <c r="B1279" s="383">
        <v>46253</v>
      </c>
      <c r="C1279" s="383">
        <v>46253</v>
      </c>
      <c r="D1279" s="381" t="s">
        <v>6366</v>
      </c>
      <c r="E1279" s="382" t="s">
        <v>6367</v>
      </c>
      <c r="F1279" s="381" t="s">
        <v>87</v>
      </c>
      <c r="G1279" s="381" t="s">
        <v>6008</v>
      </c>
      <c r="H1279" s="387">
        <v>30</v>
      </c>
      <c r="I1279" s="381">
        <v>39.700000000000003</v>
      </c>
      <c r="J1279" s="381">
        <v>39.700000000000003</v>
      </c>
      <c r="K1279" s="381">
        <v>4</v>
      </c>
      <c r="L1279" s="381">
        <v>0</v>
      </c>
      <c r="M1279" s="381" t="s">
        <v>148</v>
      </c>
      <c r="N1279" s="381" t="s">
        <v>149</v>
      </c>
      <c r="O1279" s="381" t="s">
        <v>150</v>
      </c>
      <c r="P1279" s="381" t="s">
        <v>151</v>
      </c>
      <c r="Q1279" s="381"/>
      <c r="R1279" s="381" t="s">
        <v>6367</v>
      </c>
      <c r="S1279" s="381"/>
      <c r="T1279" s="381" t="s">
        <v>2960</v>
      </c>
      <c r="U1279" s="381" t="s">
        <v>152</v>
      </c>
      <c r="V1279" s="381" t="s">
        <v>23</v>
      </c>
    </row>
    <row r="1280" spans="2:22">
      <c r="B1280" s="383">
        <v>46253</v>
      </c>
      <c r="C1280" s="383">
        <v>46253</v>
      </c>
      <c r="D1280" s="381" t="s">
        <v>6368</v>
      </c>
      <c r="E1280" s="382" t="s">
        <v>6369</v>
      </c>
      <c r="F1280" s="381" t="s">
        <v>87</v>
      </c>
      <c r="G1280" s="381" t="s">
        <v>5793</v>
      </c>
      <c r="H1280" s="387">
        <v>35</v>
      </c>
      <c r="I1280" s="381">
        <v>15</v>
      </c>
      <c r="J1280" s="381">
        <v>15</v>
      </c>
      <c r="K1280" s="381">
        <v>4</v>
      </c>
      <c r="L1280" s="381">
        <v>0</v>
      </c>
      <c r="M1280" s="381" t="s">
        <v>148</v>
      </c>
      <c r="N1280" s="381" t="s">
        <v>149</v>
      </c>
      <c r="O1280" s="381" t="s">
        <v>150</v>
      </c>
      <c r="P1280" s="381" t="s">
        <v>151</v>
      </c>
      <c r="Q1280" s="381"/>
      <c r="R1280" s="381" t="s">
        <v>6369</v>
      </c>
      <c r="S1280" s="381"/>
      <c r="T1280" s="381" t="s">
        <v>2960</v>
      </c>
      <c r="U1280" s="381" t="s">
        <v>152</v>
      </c>
      <c r="V1280" s="381" t="s">
        <v>23</v>
      </c>
    </row>
    <row r="1281" spans="2:22">
      <c r="B1281" s="383">
        <v>46253</v>
      </c>
      <c r="C1281" s="383">
        <v>46253</v>
      </c>
      <c r="D1281" s="381" t="s">
        <v>6370</v>
      </c>
      <c r="E1281" s="382" t="s">
        <v>6371</v>
      </c>
      <c r="F1281" s="381" t="s">
        <v>87</v>
      </c>
      <c r="G1281" s="381" t="s">
        <v>6165</v>
      </c>
      <c r="H1281" s="387">
        <v>32</v>
      </c>
      <c r="I1281" s="381">
        <v>35.799999999999997</v>
      </c>
      <c r="J1281" s="381">
        <v>35.799999999999997</v>
      </c>
      <c r="K1281" s="381">
        <v>4</v>
      </c>
      <c r="L1281" s="381">
        <v>0</v>
      </c>
      <c r="M1281" s="381" t="s">
        <v>148</v>
      </c>
      <c r="N1281" s="381" t="s">
        <v>149</v>
      </c>
      <c r="O1281" s="381" t="s">
        <v>150</v>
      </c>
      <c r="P1281" s="381" t="s">
        <v>151</v>
      </c>
      <c r="Q1281" s="381"/>
      <c r="R1281" s="381" t="s">
        <v>6371</v>
      </c>
      <c r="S1281" s="381"/>
      <c r="T1281" s="381" t="s">
        <v>2960</v>
      </c>
      <c r="U1281" s="381" t="s">
        <v>152</v>
      </c>
      <c r="V1281" s="381" t="s">
        <v>23</v>
      </c>
    </row>
    <row r="1282" spans="2:22">
      <c r="B1282" s="383">
        <v>46253</v>
      </c>
      <c r="C1282" s="383">
        <v>46253</v>
      </c>
      <c r="D1282" s="381" t="s">
        <v>6372</v>
      </c>
      <c r="E1282" s="382" t="s">
        <v>6373</v>
      </c>
      <c r="F1282" s="381" t="s">
        <v>87</v>
      </c>
      <c r="G1282" s="381" t="s">
        <v>2334</v>
      </c>
      <c r="H1282" s="387">
        <v>40</v>
      </c>
      <c r="I1282" s="381">
        <v>42.2</v>
      </c>
      <c r="J1282" s="381">
        <v>42.2</v>
      </c>
      <c r="K1282" s="381">
        <v>5</v>
      </c>
      <c r="L1282" s="381">
        <v>0</v>
      </c>
      <c r="M1282" s="381" t="s">
        <v>148</v>
      </c>
      <c r="N1282" s="381" t="s">
        <v>149</v>
      </c>
      <c r="O1282" s="381" t="s">
        <v>150</v>
      </c>
      <c r="P1282" s="381" t="s">
        <v>151</v>
      </c>
      <c r="Q1282" s="381"/>
      <c r="R1282" s="381" t="s">
        <v>6373</v>
      </c>
      <c r="S1282" s="381"/>
      <c r="T1282" s="381" t="s">
        <v>2960</v>
      </c>
      <c r="U1282" s="381" t="s">
        <v>152</v>
      </c>
      <c r="V1282" s="381" t="s">
        <v>23</v>
      </c>
    </row>
    <row r="1283" spans="2:22">
      <c r="B1283" s="383">
        <v>46253</v>
      </c>
      <c r="C1283" s="383">
        <v>46253</v>
      </c>
      <c r="D1283" s="381" t="s">
        <v>6374</v>
      </c>
      <c r="E1283" s="382" t="s">
        <v>6375</v>
      </c>
      <c r="F1283" s="381" t="s">
        <v>87</v>
      </c>
      <c r="G1283" s="381" t="s">
        <v>5766</v>
      </c>
      <c r="H1283" s="387">
        <v>45</v>
      </c>
      <c r="I1283" s="381">
        <v>43.8</v>
      </c>
      <c r="J1283" s="381">
        <v>43.8</v>
      </c>
      <c r="K1283" s="381">
        <v>5</v>
      </c>
      <c r="L1283" s="381">
        <v>0</v>
      </c>
      <c r="M1283" s="381" t="s">
        <v>148</v>
      </c>
      <c r="N1283" s="381" t="s">
        <v>149</v>
      </c>
      <c r="O1283" s="381" t="s">
        <v>150</v>
      </c>
      <c r="P1283" s="381" t="s">
        <v>151</v>
      </c>
      <c r="Q1283" s="381"/>
      <c r="R1283" s="381" t="s">
        <v>6375</v>
      </c>
      <c r="S1283" s="381"/>
      <c r="T1283" s="381" t="s">
        <v>2960</v>
      </c>
      <c r="U1283" s="381" t="s">
        <v>152</v>
      </c>
      <c r="V1283" s="381" t="s">
        <v>23</v>
      </c>
    </row>
    <row r="1284" spans="2:22">
      <c r="B1284" s="383">
        <v>46253</v>
      </c>
      <c r="C1284" s="383">
        <v>46253</v>
      </c>
      <c r="D1284" s="381" t="s">
        <v>6376</v>
      </c>
      <c r="E1284" s="382" t="s">
        <v>6377</v>
      </c>
      <c r="F1284" s="381" t="s">
        <v>87</v>
      </c>
      <c r="G1284" s="381" t="s">
        <v>6008</v>
      </c>
      <c r="H1284" s="387">
        <v>30</v>
      </c>
      <c r="I1284" s="381">
        <v>46.3</v>
      </c>
      <c r="J1284" s="381">
        <v>46.3</v>
      </c>
      <c r="K1284" s="381">
        <v>4</v>
      </c>
      <c r="L1284" s="381">
        <v>0</v>
      </c>
      <c r="M1284" s="381" t="s">
        <v>148</v>
      </c>
      <c r="N1284" s="381" t="s">
        <v>149</v>
      </c>
      <c r="O1284" s="381" t="s">
        <v>150</v>
      </c>
      <c r="P1284" s="381" t="s">
        <v>151</v>
      </c>
      <c r="Q1284" s="381"/>
      <c r="R1284" s="381" t="s">
        <v>6377</v>
      </c>
      <c r="S1284" s="381"/>
      <c r="T1284" s="381" t="s">
        <v>2960</v>
      </c>
      <c r="U1284" s="381" t="s">
        <v>152</v>
      </c>
      <c r="V1284" s="381" t="s">
        <v>23</v>
      </c>
    </row>
    <row r="1285" spans="2:22">
      <c r="B1285" s="383">
        <v>46253</v>
      </c>
      <c r="C1285" s="383">
        <v>46253</v>
      </c>
      <c r="D1285" s="381" t="s">
        <v>6378</v>
      </c>
      <c r="E1285" s="382" t="s">
        <v>6379</v>
      </c>
      <c r="F1285" s="381" t="s">
        <v>87</v>
      </c>
      <c r="G1285" s="381" t="s">
        <v>6008</v>
      </c>
      <c r="H1285" s="387">
        <v>30</v>
      </c>
      <c r="I1285" s="381">
        <v>41.8</v>
      </c>
      <c r="J1285" s="381">
        <v>41.8</v>
      </c>
      <c r="K1285" s="381">
        <v>4</v>
      </c>
      <c r="L1285" s="381">
        <v>0</v>
      </c>
      <c r="M1285" s="381" t="s">
        <v>148</v>
      </c>
      <c r="N1285" s="381" t="s">
        <v>149</v>
      </c>
      <c r="O1285" s="381" t="s">
        <v>150</v>
      </c>
      <c r="P1285" s="381" t="s">
        <v>151</v>
      </c>
      <c r="Q1285" s="381"/>
      <c r="R1285" s="381" t="s">
        <v>6379</v>
      </c>
      <c r="S1285" s="381"/>
      <c r="T1285" s="381" t="s">
        <v>2960</v>
      </c>
      <c r="U1285" s="381" t="s">
        <v>152</v>
      </c>
      <c r="V1285" s="381" t="s">
        <v>23</v>
      </c>
    </row>
    <row r="1286" spans="2:22">
      <c r="B1286" s="383">
        <v>46253</v>
      </c>
      <c r="C1286" s="383">
        <v>46253</v>
      </c>
      <c r="D1286" s="381" t="s">
        <v>6380</v>
      </c>
      <c r="E1286" s="382" t="s">
        <v>6381</v>
      </c>
      <c r="F1286" s="381" t="s">
        <v>87</v>
      </c>
      <c r="G1286" s="381" t="s">
        <v>2334</v>
      </c>
      <c r="H1286" s="387">
        <v>40</v>
      </c>
      <c r="I1286" s="381">
        <v>40.299999999999997</v>
      </c>
      <c r="J1286" s="381">
        <v>40.299999999999997</v>
      </c>
      <c r="K1286" s="381">
        <v>5</v>
      </c>
      <c r="L1286" s="381">
        <v>0</v>
      </c>
      <c r="M1286" s="381" t="s">
        <v>148</v>
      </c>
      <c r="N1286" s="381" t="s">
        <v>149</v>
      </c>
      <c r="O1286" s="381" t="s">
        <v>150</v>
      </c>
      <c r="P1286" s="381" t="s">
        <v>151</v>
      </c>
      <c r="Q1286" s="381"/>
      <c r="R1286" s="381" t="s">
        <v>6381</v>
      </c>
      <c r="S1286" s="381"/>
      <c r="T1286" s="381" t="s">
        <v>2960</v>
      </c>
      <c r="U1286" s="381" t="s">
        <v>152</v>
      </c>
      <c r="V1286" s="381" t="s">
        <v>23</v>
      </c>
    </row>
    <row r="1287" spans="2:22">
      <c r="B1287" s="383">
        <v>46253</v>
      </c>
      <c r="C1287" s="383">
        <v>46253</v>
      </c>
      <c r="D1287" s="381" t="s">
        <v>6382</v>
      </c>
      <c r="E1287" s="382" t="s">
        <v>6383</v>
      </c>
      <c r="F1287" s="381" t="s">
        <v>87</v>
      </c>
      <c r="G1287" s="381" t="s">
        <v>2334</v>
      </c>
      <c r="H1287" s="387">
        <v>40</v>
      </c>
      <c r="I1287" s="381">
        <v>41.4</v>
      </c>
      <c r="J1287" s="381">
        <v>41.4</v>
      </c>
      <c r="K1287" s="381">
        <v>5</v>
      </c>
      <c r="L1287" s="381">
        <v>0</v>
      </c>
      <c r="M1287" s="381" t="s">
        <v>148</v>
      </c>
      <c r="N1287" s="381" t="s">
        <v>149</v>
      </c>
      <c r="O1287" s="381" t="s">
        <v>150</v>
      </c>
      <c r="P1287" s="381" t="s">
        <v>151</v>
      </c>
      <c r="Q1287" s="381"/>
      <c r="R1287" s="381" t="s">
        <v>6383</v>
      </c>
      <c r="S1287" s="381"/>
      <c r="T1287" s="381" t="s">
        <v>2960</v>
      </c>
      <c r="U1287" s="381" t="s">
        <v>152</v>
      </c>
      <c r="V1287" s="381" t="s">
        <v>23</v>
      </c>
    </row>
    <row r="1288" spans="2:22">
      <c r="B1288" s="383">
        <v>46253</v>
      </c>
      <c r="C1288" s="383">
        <v>46253</v>
      </c>
      <c r="D1288" s="381" t="s">
        <v>6384</v>
      </c>
      <c r="E1288" s="382" t="s">
        <v>6385</v>
      </c>
      <c r="F1288" s="381" t="s">
        <v>87</v>
      </c>
      <c r="G1288" s="381" t="s">
        <v>2404</v>
      </c>
      <c r="H1288" s="387">
        <v>40</v>
      </c>
      <c r="I1288" s="381">
        <v>41.3</v>
      </c>
      <c r="J1288" s="381">
        <v>41.3</v>
      </c>
      <c r="K1288" s="381">
        <v>5</v>
      </c>
      <c r="L1288" s="381">
        <v>0</v>
      </c>
      <c r="M1288" s="381" t="s">
        <v>148</v>
      </c>
      <c r="N1288" s="381" t="s">
        <v>149</v>
      </c>
      <c r="O1288" s="381" t="s">
        <v>150</v>
      </c>
      <c r="P1288" s="381" t="s">
        <v>151</v>
      </c>
      <c r="Q1288" s="381"/>
      <c r="R1288" s="381" t="s">
        <v>6385</v>
      </c>
      <c r="S1288" s="381"/>
      <c r="T1288" s="381" t="s">
        <v>2960</v>
      </c>
      <c r="U1288" s="381" t="s">
        <v>152</v>
      </c>
      <c r="V1288" s="381" t="s">
        <v>23</v>
      </c>
    </row>
    <row r="1289" spans="2:22">
      <c r="B1289" s="383">
        <v>46253</v>
      </c>
      <c r="C1289" s="383">
        <v>46253</v>
      </c>
      <c r="D1289" s="381" t="s">
        <v>6386</v>
      </c>
      <c r="E1289" s="382" t="s">
        <v>6387</v>
      </c>
      <c r="F1289" s="381" t="s">
        <v>87</v>
      </c>
      <c r="G1289" s="381" t="s">
        <v>6165</v>
      </c>
      <c r="H1289" s="387">
        <v>32</v>
      </c>
      <c r="I1289" s="381">
        <v>33.299999999999997</v>
      </c>
      <c r="J1289" s="381">
        <v>33.299999999999997</v>
      </c>
      <c r="K1289" s="381">
        <v>4</v>
      </c>
      <c r="L1289" s="381">
        <v>0</v>
      </c>
      <c r="M1289" s="381" t="s">
        <v>148</v>
      </c>
      <c r="N1289" s="381" t="s">
        <v>149</v>
      </c>
      <c r="O1289" s="381" t="s">
        <v>150</v>
      </c>
      <c r="P1289" s="381" t="s">
        <v>151</v>
      </c>
      <c r="Q1289" s="381"/>
      <c r="R1289" s="381" t="s">
        <v>6387</v>
      </c>
      <c r="S1289" s="381"/>
      <c r="T1289" s="381" t="s">
        <v>2960</v>
      </c>
      <c r="U1289" s="381" t="s">
        <v>152</v>
      </c>
      <c r="V1289" s="381" t="s">
        <v>23</v>
      </c>
    </row>
    <row r="1290" spans="2:22">
      <c r="B1290" s="383">
        <v>46254</v>
      </c>
      <c r="C1290" s="383">
        <v>46254</v>
      </c>
      <c r="D1290" s="381" t="s">
        <v>6388</v>
      </c>
      <c r="E1290" s="382" t="s">
        <v>6389</v>
      </c>
      <c r="F1290" s="381" t="s">
        <v>87</v>
      </c>
      <c r="G1290" s="381" t="s">
        <v>6008</v>
      </c>
      <c r="H1290" s="387">
        <v>30</v>
      </c>
      <c r="I1290" s="381">
        <v>32.5</v>
      </c>
      <c r="J1290" s="381">
        <v>32.5</v>
      </c>
      <c r="K1290" s="381">
        <v>4</v>
      </c>
      <c r="L1290" s="381">
        <v>0</v>
      </c>
      <c r="M1290" s="381" t="s">
        <v>148</v>
      </c>
      <c r="N1290" s="381" t="s">
        <v>149</v>
      </c>
      <c r="O1290" s="381" t="s">
        <v>150</v>
      </c>
      <c r="P1290" s="381" t="s">
        <v>151</v>
      </c>
      <c r="Q1290" s="381"/>
      <c r="R1290" s="381" t="s">
        <v>6389</v>
      </c>
      <c r="S1290" s="381"/>
      <c r="T1290" s="381" t="s">
        <v>3031</v>
      </c>
      <c r="U1290" s="381" t="s">
        <v>152</v>
      </c>
      <c r="V1290" s="381" t="s">
        <v>23</v>
      </c>
    </row>
    <row r="1291" spans="2:22">
      <c r="B1291" s="383">
        <v>46254</v>
      </c>
      <c r="C1291" s="383">
        <v>46254</v>
      </c>
      <c r="D1291" s="381" t="s">
        <v>6390</v>
      </c>
      <c r="E1291" s="382" t="s">
        <v>6391</v>
      </c>
      <c r="F1291" s="381" t="s">
        <v>87</v>
      </c>
      <c r="G1291" s="381" t="s">
        <v>2404</v>
      </c>
      <c r="H1291" s="387">
        <v>40</v>
      </c>
      <c r="I1291" s="381">
        <v>39.4</v>
      </c>
      <c r="J1291" s="381">
        <v>39.4</v>
      </c>
      <c r="K1291" s="381">
        <v>5</v>
      </c>
      <c r="L1291" s="381">
        <v>0</v>
      </c>
      <c r="M1291" s="381" t="s">
        <v>148</v>
      </c>
      <c r="N1291" s="381" t="s">
        <v>149</v>
      </c>
      <c r="O1291" s="381" t="s">
        <v>150</v>
      </c>
      <c r="P1291" s="381" t="s">
        <v>151</v>
      </c>
      <c r="Q1291" s="381"/>
      <c r="R1291" s="381" t="s">
        <v>6391</v>
      </c>
      <c r="S1291" s="381"/>
      <c r="T1291" s="381" t="s">
        <v>3031</v>
      </c>
      <c r="U1291" s="381" t="s">
        <v>152</v>
      </c>
      <c r="V1291" s="381" t="s">
        <v>23</v>
      </c>
    </row>
    <row r="1292" spans="2:22">
      <c r="B1292" s="383">
        <v>46254</v>
      </c>
      <c r="C1292" s="383">
        <v>46254</v>
      </c>
      <c r="D1292" s="381" t="s">
        <v>6392</v>
      </c>
      <c r="E1292" s="382" t="s">
        <v>6393</v>
      </c>
      <c r="F1292" s="381" t="s">
        <v>87</v>
      </c>
      <c r="G1292" s="381" t="s">
        <v>4512</v>
      </c>
      <c r="H1292" s="387">
        <v>55</v>
      </c>
      <c r="I1292" s="381">
        <v>22.5</v>
      </c>
      <c r="J1292" s="381">
        <v>22.5</v>
      </c>
      <c r="K1292" s="381">
        <v>5</v>
      </c>
      <c r="L1292" s="381">
        <v>0</v>
      </c>
      <c r="M1292" s="381" t="s">
        <v>148</v>
      </c>
      <c r="N1292" s="381" t="s">
        <v>149</v>
      </c>
      <c r="O1292" s="381" t="s">
        <v>150</v>
      </c>
      <c r="P1292" s="381" t="s">
        <v>151</v>
      </c>
      <c r="Q1292" s="381"/>
      <c r="R1292" s="381" t="s">
        <v>6393</v>
      </c>
      <c r="S1292" s="381"/>
      <c r="T1292" s="381" t="s">
        <v>3031</v>
      </c>
      <c r="U1292" s="381" t="s">
        <v>152</v>
      </c>
      <c r="V1292" s="381" t="s">
        <v>23</v>
      </c>
    </row>
    <row r="1293" spans="2:22">
      <c r="B1293" s="383">
        <v>46254</v>
      </c>
      <c r="C1293" s="383">
        <v>46254</v>
      </c>
      <c r="D1293" s="381" t="s">
        <v>6394</v>
      </c>
      <c r="E1293" s="382" t="s">
        <v>6395</v>
      </c>
      <c r="F1293" s="381" t="s">
        <v>87</v>
      </c>
      <c r="G1293" s="381" t="s">
        <v>2078</v>
      </c>
      <c r="H1293" s="387">
        <v>6</v>
      </c>
      <c r="I1293" s="381">
        <v>26.2</v>
      </c>
      <c r="J1293" s="381">
        <v>26.2</v>
      </c>
      <c r="K1293" s="381">
        <v>1.5</v>
      </c>
      <c r="L1293" s="381">
        <v>0</v>
      </c>
      <c r="M1293" s="381" t="s">
        <v>148</v>
      </c>
      <c r="N1293" s="381" t="s">
        <v>149</v>
      </c>
      <c r="O1293" s="381" t="s">
        <v>150</v>
      </c>
      <c r="P1293" s="381" t="s">
        <v>151</v>
      </c>
      <c r="Q1293" s="381"/>
      <c r="R1293" s="381" t="s">
        <v>6395</v>
      </c>
      <c r="S1293" s="381"/>
      <c r="T1293" s="381" t="s">
        <v>3031</v>
      </c>
      <c r="U1293" s="381" t="s">
        <v>152</v>
      </c>
      <c r="V1293" s="381" t="s">
        <v>23</v>
      </c>
    </row>
    <row r="1294" spans="2:22">
      <c r="B1294" s="383">
        <v>46254</v>
      </c>
      <c r="C1294" s="383">
        <v>46254</v>
      </c>
      <c r="D1294" s="381" t="s">
        <v>6396</v>
      </c>
      <c r="E1294" s="382" t="s">
        <v>6397</v>
      </c>
      <c r="F1294" s="381" t="s">
        <v>87</v>
      </c>
      <c r="G1294" s="381" t="s">
        <v>6008</v>
      </c>
      <c r="H1294" s="387">
        <v>30</v>
      </c>
      <c r="I1294" s="381">
        <v>46.8</v>
      </c>
      <c r="J1294" s="381">
        <v>46.8</v>
      </c>
      <c r="K1294" s="381">
        <v>4</v>
      </c>
      <c r="L1294" s="381">
        <v>0</v>
      </c>
      <c r="M1294" s="381" t="s">
        <v>148</v>
      </c>
      <c r="N1294" s="381" t="s">
        <v>149</v>
      </c>
      <c r="O1294" s="381" t="s">
        <v>150</v>
      </c>
      <c r="P1294" s="381" t="s">
        <v>151</v>
      </c>
      <c r="Q1294" s="381"/>
      <c r="R1294" s="381" t="s">
        <v>6397</v>
      </c>
      <c r="S1294" s="381"/>
      <c r="T1294" s="381" t="s">
        <v>3031</v>
      </c>
      <c r="U1294" s="381" t="s">
        <v>152</v>
      </c>
      <c r="V1294" s="381" t="s">
        <v>23</v>
      </c>
    </row>
    <row r="1295" spans="2:22">
      <c r="B1295" s="383">
        <v>46254</v>
      </c>
      <c r="C1295" s="383">
        <v>46254</v>
      </c>
      <c r="D1295" s="381" t="s">
        <v>6398</v>
      </c>
      <c r="E1295" s="382" t="s">
        <v>6399</v>
      </c>
      <c r="F1295" s="381" t="s">
        <v>87</v>
      </c>
      <c r="G1295" s="381" t="s">
        <v>5793</v>
      </c>
      <c r="H1295" s="387">
        <v>35</v>
      </c>
      <c r="I1295" s="381">
        <v>33.799999999999997</v>
      </c>
      <c r="J1295" s="381">
        <v>33.799999999999997</v>
      </c>
      <c r="K1295" s="381">
        <v>4</v>
      </c>
      <c r="L1295" s="381">
        <v>0</v>
      </c>
      <c r="M1295" s="381" t="s">
        <v>148</v>
      </c>
      <c r="N1295" s="381" t="s">
        <v>149</v>
      </c>
      <c r="O1295" s="381" t="s">
        <v>150</v>
      </c>
      <c r="P1295" s="381" t="s">
        <v>151</v>
      </c>
      <c r="Q1295" s="381"/>
      <c r="R1295" s="381" t="s">
        <v>6399</v>
      </c>
      <c r="S1295" s="381"/>
      <c r="T1295" s="381" t="s">
        <v>3031</v>
      </c>
      <c r="U1295" s="381" t="s">
        <v>152</v>
      </c>
      <c r="V1295" s="381" t="s">
        <v>23</v>
      </c>
    </row>
    <row r="1296" spans="2:22">
      <c r="B1296" s="383">
        <v>46254</v>
      </c>
      <c r="C1296" s="383">
        <v>46254</v>
      </c>
      <c r="D1296" s="381" t="s">
        <v>6400</v>
      </c>
      <c r="E1296" s="382" t="s">
        <v>6401</v>
      </c>
      <c r="F1296" s="381" t="s">
        <v>87</v>
      </c>
      <c r="G1296" s="381" t="s">
        <v>2404</v>
      </c>
      <c r="H1296" s="387">
        <v>40</v>
      </c>
      <c r="I1296" s="381">
        <v>38.299999999999997</v>
      </c>
      <c r="J1296" s="381">
        <v>38.299999999999997</v>
      </c>
      <c r="K1296" s="381">
        <v>5</v>
      </c>
      <c r="L1296" s="381">
        <v>0</v>
      </c>
      <c r="M1296" s="381" t="s">
        <v>148</v>
      </c>
      <c r="N1296" s="381" t="s">
        <v>149</v>
      </c>
      <c r="O1296" s="381" t="s">
        <v>150</v>
      </c>
      <c r="P1296" s="381" t="s">
        <v>151</v>
      </c>
      <c r="Q1296" s="381"/>
      <c r="R1296" s="381" t="s">
        <v>6401</v>
      </c>
      <c r="S1296" s="381"/>
      <c r="T1296" s="381" t="s">
        <v>3031</v>
      </c>
      <c r="U1296" s="381" t="s">
        <v>152</v>
      </c>
      <c r="V1296" s="381" t="s">
        <v>23</v>
      </c>
    </row>
    <row r="1297" spans="2:22">
      <c r="B1297" s="383">
        <v>46254</v>
      </c>
      <c r="C1297" s="383">
        <v>46254</v>
      </c>
      <c r="D1297" s="381" t="s">
        <v>6402</v>
      </c>
      <c r="E1297" s="382" t="s">
        <v>6403</v>
      </c>
      <c r="F1297" s="381" t="s">
        <v>87</v>
      </c>
      <c r="G1297" s="381" t="s">
        <v>2078</v>
      </c>
      <c r="H1297" s="387">
        <v>6</v>
      </c>
      <c r="I1297" s="381">
        <v>45.3</v>
      </c>
      <c r="J1297" s="381">
        <v>45.3</v>
      </c>
      <c r="K1297" s="381">
        <v>1.5</v>
      </c>
      <c r="L1297" s="381">
        <v>0</v>
      </c>
      <c r="M1297" s="381" t="s">
        <v>148</v>
      </c>
      <c r="N1297" s="381" t="s">
        <v>149</v>
      </c>
      <c r="O1297" s="381" t="s">
        <v>150</v>
      </c>
      <c r="P1297" s="381" t="s">
        <v>151</v>
      </c>
      <c r="Q1297" s="381"/>
      <c r="R1297" s="381" t="s">
        <v>6403</v>
      </c>
      <c r="S1297" s="381"/>
      <c r="T1297" s="381" t="s">
        <v>3031</v>
      </c>
      <c r="U1297" s="381" t="s">
        <v>152</v>
      </c>
      <c r="V1297" s="381" t="s">
        <v>23</v>
      </c>
    </row>
    <row r="1298" spans="2:22">
      <c r="B1298" s="383">
        <v>46254</v>
      </c>
      <c r="C1298" s="383">
        <v>46254</v>
      </c>
      <c r="D1298" s="381" t="s">
        <v>6404</v>
      </c>
      <c r="E1298" s="382" t="s">
        <v>6405</v>
      </c>
      <c r="F1298" s="381" t="s">
        <v>87</v>
      </c>
      <c r="G1298" s="381" t="s">
        <v>5766</v>
      </c>
      <c r="H1298" s="387">
        <v>45</v>
      </c>
      <c r="I1298" s="381">
        <v>31.5</v>
      </c>
      <c r="J1298" s="381">
        <v>31.5</v>
      </c>
      <c r="K1298" s="381">
        <v>5</v>
      </c>
      <c r="L1298" s="381">
        <v>0</v>
      </c>
      <c r="M1298" s="381" t="s">
        <v>148</v>
      </c>
      <c r="N1298" s="381" t="s">
        <v>149</v>
      </c>
      <c r="O1298" s="381" t="s">
        <v>150</v>
      </c>
      <c r="P1298" s="381" t="s">
        <v>151</v>
      </c>
      <c r="Q1298" s="381"/>
      <c r="R1298" s="381" t="s">
        <v>6405</v>
      </c>
      <c r="S1298" s="381"/>
      <c r="T1298" s="381" t="s">
        <v>3031</v>
      </c>
      <c r="U1298" s="381" t="s">
        <v>152</v>
      </c>
      <c r="V1298" s="381" t="s">
        <v>23</v>
      </c>
    </row>
    <row r="1299" spans="2:22">
      <c r="B1299" s="383">
        <v>46254</v>
      </c>
      <c r="C1299" s="383">
        <v>46254</v>
      </c>
      <c r="D1299" s="381" t="s">
        <v>6406</v>
      </c>
      <c r="E1299" s="382" t="s">
        <v>6407</v>
      </c>
      <c r="F1299" s="381" t="s">
        <v>87</v>
      </c>
      <c r="G1299" s="381" t="s">
        <v>6008</v>
      </c>
      <c r="H1299" s="387">
        <v>30</v>
      </c>
      <c r="I1299" s="381">
        <v>45.8</v>
      </c>
      <c r="J1299" s="381">
        <v>45.8</v>
      </c>
      <c r="K1299" s="381">
        <v>4</v>
      </c>
      <c r="L1299" s="381">
        <v>0</v>
      </c>
      <c r="M1299" s="381" t="s">
        <v>148</v>
      </c>
      <c r="N1299" s="381" t="s">
        <v>149</v>
      </c>
      <c r="O1299" s="381" t="s">
        <v>150</v>
      </c>
      <c r="P1299" s="381" t="s">
        <v>151</v>
      </c>
      <c r="Q1299" s="381"/>
      <c r="R1299" s="381" t="s">
        <v>6407</v>
      </c>
      <c r="S1299" s="381"/>
      <c r="T1299" s="381" t="s">
        <v>3031</v>
      </c>
      <c r="U1299" s="381" t="s">
        <v>152</v>
      </c>
      <c r="V1299" s="381" t="s">
        <v>23</v>
      </c>
    </row>
    <row r="1300" spans="2:22">
      <c r="B1300" s="383">
        <v>46254</v>
      </c>
      <c r="C1300" s="383">
        <v>46254</v>
      </c>
      <c r="D1300" s="381" t="s">
        <v>6408</v>
      </c>
      <c r="E1300" s="382" t="s">
        <v>6409</v>
      </c>
      <c r="F1300" s="381" t="s">
        <v>87</v>
      </c>
      <c r="G1300" s="381" t="s">
        <v>4512</v>
      </c>
      <c r="H1300" s="387">
        <v>55</v>
      </c>
      <c r="I1300" s="381">
        <v>31.3</v>
      </c>
      <c r="J1300" s="381">
        <v>31.3</v>
      </c>
      <c r="K1300" s="381">
        <v>5</v>
      </c>
      <c r="L1300" s="381">
        <v>0</v>
      </c>
      <c r="M1300" s="381" t="s">
        <v>148</v>
      </c>
      <c r="N1300" s="381" t="s">
        <v>149</v>
      </c>
      <c r="O1300" s="381" t="s">
        <v>150</v>
      </c>
      <c r="P1300" s="381" t="s">
        <v>151</v>
      </c>
      <c r="Q1300" s="381"/>
      <c r="R1300" s="381" t="s">
        <v>6409</v>
      </c>
      <c r="S1300" s="381"/>
      <c r="T1300" s="381" t="s">
        <v>3031</v>
      </c>
      <c r="U1300" s="381" t="s">
        <v>152</v>
      </c>
      <c r="V1300" s="381" t="s">
        <v>23</v>
      </c>
    </row>
    <row r="1301" spans="2:22">
      <c r="B1301" s="383">
        <v>46254</v>
      </c>
      <c r="C1301" s="383">
        <v>46254</v>
      </c>
      <c r="D1301" s="381" t="s">
        <v>6410</v>
      </c>
      <c r="E1301" s="382" t="s">
        <v>6411</v>
      </c>
      <c r="F1301" s="381" t="s">
        <v>87</v>
      </c>
      <c r="G1301" s="381" t="s">
        <v>5766</v>
      </c>
      <c r="H1301" s="387">
        <v>45</v>
      </c>
      <c r="I1301" s="381">
        <v>37.299999999999997</v>
      </c>
      <c r="J1301" s="381">
        <v>37.299999999999997</v>
      </c>
      <c r="K1301" s="381">
        <v>5</v>
      </c>
      <c r="L1301" s="381">
        <v>0</v>
      </c>
      <c r="M1301" s="381" t="s">
        <v>148</v>
      </c>
      <c r="N1301" s="381" t="s">
        <v>149</v>
      </c>
      <c r="O1301" s="381" t="s">
        <v>150</v>
      </c>
      <c r="P1301" s="381" t="s">
        <v>151</v>
      </c>
      <c r="Q1301" s="381"/>
      <c r="R1301" s="381" t="s">
        <v>6411</v>
      </c>
      <c r="S1301" s="381"/>
      <c r="T1301" s="381" t="s">
        <v>3031</v>
      </c>
      <c r="U1301" s="381" t="s">
        <v>152</v>
      </c>
      <c r="V1301" s="381" t="s">
        <v>23</v>
      </c>
    </row>
    <row r="1302" spans="2:22">
      <c r="B1302" s="383">
        <v>46254</v>
      </c>
      <c r="C1302" s="383">
        <v>46254</v>
      </c>
      <c r="D1302" s="381" t="s">
        <v>6412</v>
      </c>
      <c r="E1302" s="382" t="s">
        <v>6413</v>
      </c>
      <c r="F1302" s="381" t="s">
        <v>87</v>
      </c>
      <c r="G1302" s="381" t="s">
        <v>6165</v>
      </c>
      <c r="H1302" s="387">
        <v>32</v>
      </c>
      <c r="I1302" s="381">
        <v>37.799999999999997</v>
      </c>
      <c r="J1302" s="381">
        <v>37.799999999999997</v>
      </c>
      <c r="K1302" s="381">
        <v>4</v>
      </c>
      <c r="L1302" s="381">
        <v>0</v>
      </c>
      <c r="M1302" s="381" t="s">
        <v>148</v>
      </c>
      <c r="N1302" s="381" t="s">
        <v>149</v>
      </c>
      <c r="O1302" s="381" t="s">
        <v>150</v>
      </c>
      <c r="P1302" s="381" t="s">
        <v>151</v>
      </c>
      <c r="Q1302" s="381"/>
      <c r="R1302" s="381" t="s">
        <v>6413</v>
      </c>
      <c r="S1302" s="381"/>
      <c r="T1302" s="381" t="s">
        <v>3031</v>
      </c>
      <c r="U1302" s="381" t="s">
        <v>152</v>
      </c>
      <c r="V1302" s="381" t="s">
        <v>23</v>
      </c>
    </row>
    <row r="1303" spans="2:22">
      <c r="B1303" s="383">
        <v>46254</v>
      </c>
      <c r="C1303" s="383">
        <v>46254</v>
      </c>
      <c r="D1303" s="381" t="s">
        <v>6414</v>
      </c>
      <c r="E1303" s="382" t="s">
        <v>6415</v>
      </c>
      <c r="F1303" s="381" t="s">
        <v>87</v>
      </c>
      <c r="G1303" s="381" t="s">
        <v>6165</v>
      </c>
      <c r="H1303" s="387">
        <v>32</v>
      </c>
      <c r="I1303" s="381">
        <v>15.8</v>
      </c>
      <c r="J1303" s="381">
        <v>15.8</v>
      </c>
      <c r="K1303" s="381">
        <v>4</v>
      </c>
      <c r="L1303" s="381">
        <v>0</v>
      </c>
      <c r="M1303" s="381" t="s">
        <v>148</v>
      </c>
      <c r="N1303" s="381" t="s">
        <v>149</v>
      </c>
      <c r="O1303" s="381" t="s">
        <v>150</v>
      </c>
      <c r="P1303" s="381" t="s">
        <v>151</v>
      </c>
      <c r="Q1303" s="381"/>
      <c r="R1303" s="381" t="s">
        <v>6415</v>
      </c>
      <c r="S1303" s="381"/>
      <c r="T1303" s="381" t="s">
        <v>3031</v>
      </c>
      <c r="U1303" s="381" t="s">
        <v>152</v>
      </c>
      <c r="V1303" s="381" t="s">
        <v>23</v>
      </c>
    </row>
    <row r="1304" spans="2:22">
      <c r="B1304" s="383">
        <v>46254</v>
      </c>
      <c r="C1304" s="383">
        <v>46254</v>
      </c>
      <c r="D1304" s="381" t="s">
        <v>6416</v>
      </c>
      <c r="E1304" s="382" t="s">
        <v>6417</v>
      </c>
      <c r="F1304" s="381" t="s">
        <v>87</v>
      </c>
      <c r="G1304" s="381" t="s">
        <v>2512</v>
      </c>
      <c r="H1304" s="387">
        <v>40</v>
      </c>
      <c r="I1304" s="381">
        <v>16.2</v>
      </c>
      <c r="J1304" s="381">
        <v>16.2</v>
      </c>
      <c r="K1304" s="381">
        <v>5</v>
      </c>
      <c r="L1304" s="381">
        <v>0</v>
      </c>
      <c r="M1304" s="381" t="s">
        <v>148</v>
      </c>
      <c r="N1304" s="381" t="s">
        <v>149</v>
      </c>
      <c r="O1304" s="381" t="s">
        <v>150</v>
      </c>
      <c r="P1304" s="381" t="s">
        <v>151</v>
      </c>
      <c r="Q1304" s="381"/>
      <c r="R1304" s="381" t="s">
        <v>6417</v>
      </c>
      <c r="S1304" s="381"/>
      <c r="T1304" s="381" t="s">
        <v>3031</v>
      </c>
      <c r="U1304" s="381" t="s">
        <v>152</v>
      </c>
      <c r="V1304" s="381" t="s">
        <v>23</v>
      </c>
    </row>
    <row r="1305" spans="2:22">
      <c r="B1305" s="383">
        <v>46254</v>
      </c>
      <c r="C1305" s="383">
        <v>46254</v>
      </c>
      <c r="D1305" s="381" t="s">
        <v>6418</v>
      </c>
      <c r="E1305" s="382" t="s">
        <v>6419</v>
      </c>
      <c r="F1305" s="381" t="s">
        <v>87</v>
      </c>
      <c r="G1305" s="381" t="s">
        <v>5793</v>
      </c>
      <c r="H1305" s="387">
        <v>35</v>
      </c>
      <c r="I1305" s="381">
        <v>30.7</v>
      </c>
      <c r="J1305" s="381">
        <v>30.7</v>
      </c>
      <c r="K1305" s="381">
        <v>4</v>
      </c>
      <c r="L1305" s="381">
        <v>0</v>
      </c>
      <c r="M1305" s="381" t="s">
        <v>148</v>
      </c>
      <c r="N1305" s="381" t="s">
        <v>149</v>
      </c>
      <c r="O1305" s="381" t="s">
        <v>150</v>
      </c>
      <c r="P1305" s="381" t="s">
        <v>151</v>
      </c>
      <c r="Q1305" s="381"/>
      <c r="R1305" s="381" t="s">
        <v>6419</v>
      </c>
      <c r="S1305" s="381"/>
      <c r="T1305" s="381" t="s">
        <v>3031</v>
      </c>
      <c r="U1305" s="381" t="s">
        <v>152</v>
      </c>
      <c r="V1305" s="381" t="s">
        <v>23</v>
      </c>
    </row>
    <row r="1306" spans="2:22">
      <c r="B1306" s="383">
        <v>46254</v>
      </c>
      <c r="C1306" s="383">
        <v>46254</v>
      </c>
      <c r="D1306" s="381" t="s">
        <v>6420</v>
      </c>
      <c r="E1306" s="382" t="s">
        <v>6421</v>
      </c>
      <c r="F1306" s="381" t="s">
        <v>87</v>
      </c>
      <c r="G1306" s="381" t="s">
        <v>5766</v>
      </c>
      <c r="H1306" s="387">
        <v>45</v>
      </c>
      <c r="I1306" s="381">
        <v>34.200000000000003</v>
      </c>
      <c r="J1306" s="381">
        <v>34.200000000000003</v>
      </c>
      <c r="K1306" s="381">
        <v>5</v>
      </c>
      <c r="L1306" s="381">
        <v>0</v>
      </c>
      <c r="M1306" s="381" t="s">
        <v>148</v>
      </c>
      <c r="N1306" s="381" t="s">
        <v>149</v>
      </c>
      <c r="O1306" s="381" t="s">
        <v>150</v>
      </c>
      <c r="P1306" s="381" t="s">
        <v>151</v>
      </c>
      <c r="Q1306" s="381"/>
      <c r="R1306" s="381" t="s">
        <v>6421</v>
      </c>
      <c r="S1306" s="381"/>
      <c r="T1306" s="381" t="s">
        <v>3031</v>
      </c>
      <c r="U1306" s="381" t="s">
        <v>152</v>
      </c>
      <c r="V1306" s="381" t="s">
        <v>23</v>
      </c>
    </row>
    <row r="1307" spans="2:22">
      <c r="B1307" s="383">
        <v>46254</v>
      </c>
      <c r="C1307" s="383">
        <v>46254</v>
      </c>
      <c r="D1307" s="381" t="s">
        <v>6422</v>
      </c>
      <c r="E1307" s="382" t="s">
        <v>6423</v>
      </c>
      <c r="F1307" s="381" t="s">
        <v>87</v>
      </c>
      <c r="G1307" s="381" t="s">
        <v>5766</v>
      </c>
      <c r="H1307" s="387">
        <v>45</v>
      </c>
      <c r="I1307" s="381">
        <v>41.8</v>
      </c>
      <c r="J1307" s="381">
        <v>41.8</v>
      </c>
      <c r="K1307" s="381">
        <v>5</v>
      </c>
      <c r="L1307" s="381">
        <v>0</v>
      </c>
      <c r="M1307" s="381" t="s">
        <v>148</v>
      </c>
      <c r="N1307" s="381" t="s">
        <v>149</v>
      </c>
      <c r="O1307" s="381" t="s">
        <v>150</v>
      </c>
      <c r="P1307" s="381" t="s">
        <v>151</v>
      </c>
      <c r="Q1307" s="381"/>
      <c r="R1307" s="381" t="s">
        <v>6423</v>
      </c>
      <c r="S1307" s="381"/>
      <c r="T1307" s="381" t="s">
        <v>3031</v>
      </c>
      <c r="U1307" s="381" t="s">
        <v>152</v>
      </c>
      <c r="V1307" s="381" t="s">
        <v>23</v>
      </c>
    </row>
    <row r="1308" spans="2:22">
      <c r="B1308" s="383">
        <v>46254</v>
      </c>
      <c r="C1308" s="383">
        <v>46254</v>
      </c>
      <c r="D1308" s="381" t="s">
        <v>6424</v>
      </c>
      <c r="E1308" s="382" t="s">
        <v>6425</v>
      </c>
      <c r="F1308" s="381" t="s">
        <v>87</v>
      </c>
      <c r="G1308" s="381" t="s">
        <v>6008</v>
      </c>
      <c r="H1308" s="387">
        <v>30</v>
      </c>
      <c r="I1308" s="381">
        <v>40.200000000000003</v>
      </c>
      <c r="J1308" s="381">
        <v>40.200000000000003</v>
      </c>
      <c r="K1308" s="381">
        <v>4</v>
      </c>
      <c r="L1308" s="381">
        <v>0</v>
      </c>
      <c r="M1308" s="381" t="s">
        <v>148</v>
      </c>
      <c r="N1308" s="381" t="s">
        <v>149</v>
      </c>
      <c r="O1308" s="381" t="s">
        <v>150</v>
      </c>
      <c r="P1308" s="381" t="s">
        <v>151</v>
      </c>
      <c r="Q1308" s="381"/>
      <c r="R1308" s="381" t="s">
        <v>6425</v>
      </c>
      <c r="S1308" s="381"/>
      <c r="T1308" s="381" t="s">
        <v>3031</v>
      </c>
      <c r="U1308" s="381" t="s">
        <v>152</v>
      </c>
      <c r="V1308" s="381" t="s">
        <v>23</v>
      </c>
    </row>
    <row r="1309" spans="2:22">
      <c r="B1309" s="383">
        <v>46254</v>
      </c>
      <c r="C1309" s="383">
        <v>46254</v>
      </c>
      <c r="D1309" s="381" t="s">
        <v>6426</v>
      </c>
      <c r="E1309" s="382" t="s">
        <v>6427</v>
      </c>
      <c r="F1309" s="381" t="s">
        <v>87</v>
      </c>
      <c r="G1309" s="381" t="s">
        <v>6008</v>
      </c>
      <c r="H1309" s="387">
        <v>30</v>
      </c>
      <c r="I1309" s="381">
        <v>39.4</v>
      </c>
      <c r="J1309" s="381">
        <v>39.4</v>
      </c>
      <c r="K1309" s="381">
        <v>4</v>
      </c>
      <c r="L1309" s="381">
        <v>0</v>
      </c>
      <c r="M1309" s="381" t="s">
        <v>148</v>
      </c>
      <c r="N1309" s="381" t="s">
        <v>149</v>
      </c>
      <c r="O1309" s="381" t="s">
        <v>150</v>
      </c>
      <c r="P1309" s="381" t="s">
        <v>151</v>
      </c>
      <c r="Q1309" s="381"/>
      <c r="R1309" s="381" t="s">
        <v>6427</v>
      </c>
      <c r="S1309" s="381"/>
      <c r="T1309" s="381" t="s">
        <v>3031</v>
      </c>
      <c r="U1309" s="381" t="s">
        <v>152</v>
      </c>
      <c r="V1309" s="381" t="s">
        <v>23</v>
      </c>
    </row>
    <row r="1310" spans="2:22">
      <c r="B1310" s="383">
        <v>46254</v>
      </c>
      <c r="C1310" s="383">
        <v>46254</v>
      </c>
      <c r="D1310" s="381" t="s">
        <v>6428</v>
      </c>
      <c r="E1310" s="382" t="s">
        <v>6429</v>
      </c>
      <c r="F1310" s="381" t="s">
        <v>87</v>
      </c>
      <c r="G1310" s="381" t="s">
        <v>2512</v>
      </c>
      <c r="H1310" s="387">
        <v>40</v>
      </c>
      <c r="I1310" s="381">
        <v>24.6</v>
      </c>
      <c r="J1310" s="381">
        <v>24.6</v>
      </c>
      <c r="K1310" s="381">
        <v>5</v>
      </c>
      <c r="L1310" s="381">
        <v>0</v>
      </c>
      <c r="M1310" s="381" t="s">
        <v>148</v>
      </c>
      <c r="N1310" s="381" t="s">
        <v>149</v>
      </c>
      <c r="O1310" s="381" t="s">
        <v>150</v>
      </c>
      <c r="P1310" s="381" t="s">
        <v>151</v>
      </c>
      <c r="Q1310" s="381"/>
      <c r="R1310" s="381" t="s">
        <v>6429</v>
      </c>
      <c r="S1310" s="381"/>
      <c r="T1310" s="381" t="s">
        <v>3031</v>
      </c>
      <c r="U1310" s="381" t="s">
        <v>152</v>
      </c>
      <c r="V1310" s="381" t="s">
        <v>23</v>
      </c>
    </row>
    <row r="1311" spans="2:22">
      <c r="B1311" s="383">
        <v>46254</v>
      </c>
      <c r="C1311" s="383">
        <v>46254</v>
      </c>
      <c r="D1311" s="381" t="s">
        <v>6430</v>
      </c>
      <c r="E1311" s="382" t="s">
        <v>6431</v>
      </c>
      <c r="F1311" s="381" t="s">
        <v>87</v>
      </c>
      <c r="G1311" s="381" t="s">
        <v>6008</v>
      </c>
      <c r="H1311" s="387">
        <v>30</v>
      </c>
      <c r="I1311" s="381">
        <v>44.8</v>
      </c>
      <c r="J1311" s="381">
        <v>44.8</v>
      </c>
      <c r="K1311" s="381">
        <v>4</v>
      </c>
      <c r="L1311" s="381">
        <v>0</v>
      </c>
      <c r="M1311" s="381" t="s">
        <v>148</v>
      </c>
      <c r="N1311" s="381" t="s">
        <v>149</v>
      </c>
      <c r="O1311" s="381" t="s">
        <v>150</v>
      </c>
      <c r="P1311" s="381" t="s">
        <v>151</v>
      </c>
      <c r="Q1311" s="381"/>
      <c r="R1311" s="381" t="s">
        <v>6431</v>
      </c>
      <c r="S1311" s="381"/>
      <c r="T1311" s="381" t="s">
        <v>3031</v>
      </c>
      <c r="U1311" s="381" t="s">
        <v>152</v>
      </c>
      <c r="V1311" s="381" t="s">
        <v>23</v>
      </c>
    </row>
    <row r="1312" spans="2:22">
      <c r="B1312" s="383">
        <v>46254</v>
      </c>
      <c r="C1312" s="383">
        <v>46254</v>
      </c>
      <c r="D1312" s="381" t="s">
        <v>6432</v>
      </c>
      <c r="E1312" s="382" t="s">
        <v>6433</v>
      </c>
      <c r="F1312" s="381" t="s">
        <v>87</v>
      </c>
      <c r="G1312" s="381" t="s">
        <v>5766</v>
      </c>
      <c r="H1312" s="387">
        <v>45</v>
      </c>
      <c r="I1312" s="381">
        <v>27.3</v>
      </c>
      <c r="J1312" s="381">
        <v>27.3</v>
      </c>
      <c r="K1312" s="381">
        <v>5</v>
      </c>
      <c r="L1312" s="381">
        <v>0</v>
      </c>
      <c r="M1312" s="381" t="s">
        <v>148</v>
      </c>
      <c r="N1312" s="381" t="s">
        <v>149</v>
      </c>
      <c r="O1312" s="381" t="s">
        <v>150</v>
      </c>
      <c r="P1312" s="381" t="s">
        <v>151</v>
      </c>
      <c r="Q1312" s="381"/>
      <c r="R1312" s="381" t="s">
        <v>6433</v>
      </c>
      <c r="S1312" s="381"/>
      <c r="T1312" s="381" t="s">
        <v>3031</v>
      </c>
      <c r="U1312" s="381" t="s">
        <v>152</v>
      </c>
      <c r="V1312" s="381" t="s">
        <v>23</v>
      </c>
    </row>
    <row r="1313" spans="2:22">
      <c r="B1313" s="383">
        <v>46254</v>
      </c>
      <c r="C1313" s="383">
        <v>46254</v>
      </c>
      <c r="D1313" s="381" t="s">
        <v>6434</v>
      </c>
      <c r="E1313" s="382" t="s">
        <v>6435</v>
      </c>
      <c r="F1313" s="381" t="s">
        <v>87</v>
      </c>
      <c r="G1313" s="381" t="s">
        <v>2404</v>
      </c>
      <c r="H1313" s="387">
        <v>40</v>
      </c>
      <c r="I1313" s="381">
        <v>22.4</v>
      </c>
      <c r="J1313" s="381">
        <v>22.4</v>
      </c>
      <c r="K1313" s="381">
        <v>5</v>
      </c>
      <c r="L1313" s="381">
        <v>0</v>
      </c>
      <c r="M1313" s="381" t="s">
        <v>148</v>
      </c>
      <c r="N1313" s="381" t="s">
        <v>149</v>
      </c>
      <c r="O1313" s="381" t="s">
        <v>150</v>
      </c>
      <c r="P1313" s="381" t="s">
        <v>151</v>
      </c>
      <c r="Q1313" s="381"/>
      <c r="R1313" s="381" t="s">
        <v>6435</v>
      </c>
      <c r="S1313" s="381"/>
      <c r="T1313" s="381" t="s">
        <v>3031</v>
      </c>
      <c r="U1313" s="381" t="s">
        <v>152</v>
      </c>
      <c r="V1313" s="381" t="s">
        <v>23</v>
      </c>
    </row>
    <row r="1314" spans="2:22">
      <c r="B1314" s="383">
        <v>46254</v>
      </c>
      <c r="C1314" s="383">
        <v>46254</v>
      </c>
      <c r="D1314" s="381" t="s">
        <v>6436</v>
      </c>
      <c r="E1314" s="382" t="s">
        <v>6437</v>
      </c>
      <c r="F1314" s="381" t="s">
        <v>87</v>
      </c>
      <c r="G1314" s="381" t="s">
        <v>4512</v>
      </c>
      <c r="H1314" s="387">
        <v>55</v>
      </c>
      <c r="I1314" s="381">
        <v>41.5</v>
      </c>
      <c r="J1314" s="381">
        <v>41.5</v>
      </c>
      <c r="K1314" s="381">
        <v>5</v>
      </c>
      <c r="L1314" s="381">
        <v>0</v>
      </c>
      <c r="M1314" s="381" t="s">
        <v>148</v>
      </c>
      <c r="N1314" s="381" t="s">
        <v>149</v>
      </c>
      <c r="O1314" s="381" t="s">
        <v>150</v>
      </c>
      <c r="P1314" s="381" t="s">
        <v>151</v>
      </c>
      <c r="Q1314" s="381"/>
      <c r="R1314" s="381" t="s">
        <v>6437</v>
      </c>
      <c r="S1314" s="381"/>
      <c r="T1314" s="381" t="s">
        <v>3031</v>
      </c>
      <c r="U1314" s="381" t="s">
        <v>152</v>
      </c>
      <c r="V1314" s="381" t="s">
        <v>23</v>
      </c>
    </row>
    <row r="1315" spans="2:22">
      <c r="B1315" s="383">
        <v>46254</v>
      </c>
      <c r="C1315" s="383">
        <v>46254</v>
      </c>
      <c r="D1315" s="381" t="s">
        <v>6438</v>
      </c>
      <c r="E1315" s="382" t="s">
        <v>6439</v>
      </c>
      <c r="F1315" s="381" t="s">
        <v>87</v>
      </c>
      <c r="G1315" s="381" t="s">
        <v>5766</v>
      </c>
      <c r="H1315" s="387">
        <v>45</v>
      </c>
      <c r="I1315" s="381">
        <v>40.700000000000003</v>
      </c>
      <c r="J1315" s="381">
        <v>40.700000000000003</v>
      </c>
      <c r="K1315" s="381">
        <v>5</v>
      </c>
      <c r="L1315" s="381">
        <v>0</v>
      </c>
      <c r="M1315" s="381" t="s">
        <v>148</v>
      </c>
      <c r="N1315" s="381" t="s">
        <v>149</v>
      </c>
      <c r="O1315" s="381" t="s">
        <v>150</v>
      </c>
      <c r="P1315" s="381" t="s">
        <v>151</v>
      </c>
      <c r="Q1315" s="381"/>
      <c r="R1315" s="381" t="s">
        <v>6439</v>
      </c>
      <c r="S1315" s="381"/>
      <c r="T1315" s="381" t="s">
        <v>3031</v>
      </c>
      <c r="U1315" s="381" t="s">
        <v>152</v>
      </c>
      <c r="V1315" s="381" t="s">
        <v>23</v>
      </c>
    </row>
    <row r="1316" spans="2:22">
      <c r="B1316" s="383">
        <v>46254</v>
      </c>
      <c r="C1316" s="383">
        <v>46254</v>
      </c>
      <c r="D1316" s="381" t="s">
        <v>6440</v>
      </c>
      <c r="E1316" s="382" t="s">
        <v>6441</v>
      </c>
      <c r="F1316" s="381" t="s">
        <v>87</v>
      </c>
      <c r="G1316" s="381" t="s">
        <v>2404</v>
      </c>
      <c r="H1316" s="387">
        <v>40</v>
      </c>
      <c r="I1316" s="381">
        <v>39.799999999999997</v>
      </c>
      <c r="J1316" s="381">
        <v>39.799999999999997</v>
      </c>
      <c r="K1316" s="381">
        <v>5</v>
      </c>
      <c r="L1316" s="381">
        <v>0</v>
      </c>
      <c r="M1316" s="381" t="s">
        <v>148</v>
      </c>
      <c r="N1316" s="381" t="s">
        <v>149</v>
      </c>
      <c r="O1316" s="381" t="s">
        <v>150</v>
      </c>
      <c r="P1316" s="381" t="s">
        <v>151</v>
      </c>
      <c r="Q1316" s="381"/>
      <c r="R1316" s="381" t="s">
        <v>6441</v>
      </c>
      <c r="S1316" s="381"/>
      <c r="T1316" s="381" t="s">
        <v>3031</v>
      </c>
      <c r="U1316" s="381" t="s">
        <v>152</v>
      </c>
      <c r="V1316" s="381" t="s">
        <v>23</v>
      </c>
    </row>
    <row r="1317" spans="2:22">
      <c r="B1317" s="383">
        <v>46254</v>
      </c>
      <c r="C1317" s="383">
        <v>46254</v>
      </c>
      <c r="D1317" s="381" t="s">
        <v>6442</v>
      </c>
      <c r="E1317" s="382" t="s">
        <v>6443</v>
      </c>
      <c r="F1317" s="381" t="s">
        <v>87</v>
      </c>
      <c r="G1317" s="381" t="s">
        <v>2404</v>
      </c>
      <c r="H1317" s="387">
        <v>40</v>
      </c>
      <c r="I1317" s="381">
        <v>21.6</v>
      </c>
      <c r="J1317" s="381">
        <v>21.6</v>
      </c>
      <c r="K1317" s="381">
        <v>5</v>
      </c>
      <c r="L1317" s="381">
        <v>0</v>
      </c>
      <c r="M1317" s="381" t="s">
        <v>148</v>
      </c>
      <c r="N1317" s="381" t="s">
        <v>149</v>
      </c>
      <c r="O1317" s="381" t="s">
        <v>150</v>
      </c>
      <c r="P1317" s="381" t="s">
        <v>151</v>
      </c>
      <c r="Q1317" s="381"/>
      <c r="R1317" s="381" t="s">
        <v>6443</v>
      </c>
      <c r="S1317" s="381"/>
      <c r="T1317" s="381" t="s">
        <v>3031</v>
      </c>
      <c r="U1317" s="381" t="s">
        <v>152</v>
      </c>
      <c r="V1317" s="381" t="s">
        <v>23</v>
      </c>
    </row>
    <row r="1318" spans="2:22">
      <c r="B1318" s="383">
        <v>46254</v>
      </c>
      <c r="C1318" s="383">
        <v>46254</v>
      </c>
      <c r="D1318" s="381" t="s">
        <v>6444</v>
      </c>
      <c r="E1318" s="382" t="s">
        <v>6445</v>
      </c>
      <c r="F1318" s="381" t="s">
        <v>87</v>
      </c>
      <c r="G1318" s="381" t="s">
        <v>4512</v>
      </c>
      <c r="H1318" s="387">
        <v>55</v>
      </c>
      <c r="I1318" s="381">
        <v>34.799999999999997</v>
      </c>
      <c r="J1318" s="381">
        <v>34.799999999999997</v>
      </c>
      <c r="K1318" s="381">
        <v>5</v>
      </c>
      <c r="L1318" s="381">
        <v>0</v>
      </c>
      <c r="M1318" s="381" t="s">
        <v>148</v>
      </c>
      <c r="N1318" s="381" t="s">
        <v>149</v>
      </c>
      <c r="O1318" s="381" t="s">
        <v>150</v>
      </c>
      <c r="P1318" s="381" t="s">
        <v>151</v>
      </c>
      <c r="Q1318" s="381"/>
      <c r="R1318" s="381" t="s">
        <v>6445</v>
      </c>
      <c r="S1318" s="381"/>
      <c r="T1318" s="381" t="s">
        <v>3031</v>
      </c>
      <c r="U1318" s="381" t="s">
        <v>152</v>
      </c>
      <c r="V1318" s="381" t="s">
        <v>23</v>
      </c>
    </row>
    <row r="1319" spans="2:22">
      <c r="B1319" s="383">
        <v>46254</v>
      </c>
      <c r="C1319" s="383">
        <v>46254</v>
      </c>
      <c r="D1319" s="381" t="s">
        <v>6446</v>
      </c>
      <c r="E1319" s="382" t="s">
        <v>6447</v>
      </c>
      <c r="F1319" s="381" t="s">
        <v>87</v>
      </c>
      <c r="G1319" s="381" t="s">
        <v>2512</v>
      </c>
      <c r="H1319" s="387">
        <v>40</v>
      </c>
      <c r="I1319" s="381">
        <v>10.6</v>
      </c>
      <c r="J1319" s="381">
        <v>10.6</v>
      </c>
      <c r="K1319" s="381">
        <v>5</v>
      </c>
      <c r="L1319" s="381">
        <v>0</v>
      </c>
      <c r="M1319" s="381" t="s">
        <v>148</v>
      </c>
      <c r="N1319" s="381" t="s">
        <v>149</v>
      </c>
      <c r="O1319" s="381" t="s">
        <v>150</v>
      </c>
      <c r="P1319" s="381" t="s">
        <v>151</v>
      </c>
      <c r="Q1319" s="381"/>
      <c r="R1319" s="381" t="s">
        <v>6447</v>
      </c>
      <c r="S1319" s="381"/>
      <c r="T1319" s="381" t="s">
        <v>3031</v>
      </c>
      <c r="U1319" s="381" t="s">
        <v>152</v>
      </c>
      <c r="V1319" s="381" t="s">
        <v>23</v>
      </c>
    </row>
    <row r="1320" spans="2:22">
      <c r="B1320" s="383">
        <v>46254</v>
      </c>
      <c r="C1320" s="383">
        <v>46254</v>
      </c>
      <c r="D1320" s="381" t="s">
        <v>6448</v>
      </c>
      <c r="E1320" s="382" t="s">
        <v>6449</v>
      </c>
      <c r="F1320" s="381" t="s">
        <v>87</v>
      </c>
      <c r="G1320" s="381" t="s">
        <v>6008</v>
      </c>
      <c r="H1320" s="387">
        <v>30</v>
      </c>
      <c r="I1320" s="381">
        <v>21.2</v>
      </c>
      <c r="J1320" s="381">
        <v>21.2</v>
      </c>
      <c r="K1320" s="381">
        <v>4</v>
      </c>
      <c r="L1320" s="381">
        <v>0</v>
      </c>
      <c r="M1320" s="381" t="s">
        <v>148</v>
      </c>
      <c r="N1320" s="381" t="s">
        <v>149</v>
      </c>
      <c r="O1320" s="381" t="s">
        <v>150</v>
      </c>
      <c r="P1320" s="381" t="s">
        <v>151</v>
      </c>
      <c r="Q1320" s="381"/>
      <c r="R1320" s="381" t="s">
        <v>6449</v>
      </c>
      <c r="S1320" s="381"/>
      <c r="T1320" s="381" t="s">
        <v>3031</v>
      </c>
      <c r="U1320" s="381" t="s">
        <v>152</v>
      </c>
      <c r="V1320" s="381" t="s">
        <v>23</v>
      </c>
    </row>
    <row r="1321" spans="2:22">
      <c r="B1321" s="383">
        <v>46254</v>
      </c>
      <c r="C1321" s="383">
        <v>46254</v>
      </c>
      <c r="D1321" s="381" t="s">
        <v>6450</v>
      </c>
      <c r="E1321" s="382" t="s">
        <v>6451</v>
      </c>
      <c r="F1321" s="381" t="s">
        <v>87</v>
      </c>
      <c r="G1321" s="381" t="s">
        <v>6008</v>
      </c>
      <c r="H1321" s="387">
        <v>30</v>
      </c>
      <c r="I1321" s="381">
        <v>45.3</v>
      </c>
      <c r="J1321" s="381">
        <v>45.3</v>
      </c>
      <c r="K1321" s="381">
        <v>4</v>
      </c>
      <c r="L1321" s="381">
        <v>0</v>
      </c>
      <c r="M1321" s="381" t="s">
        <v>148</v>
      </c>
      <c r="N1321" s="381" t="s">
        <v>149</v>
      </c>
      <c r="O1321" s="381" t="s">
        <v>150</v>
      </c>
      <c r="P1321" s="381" t="s">
        <v>151</v>
      </c>
      <c r="Q1321" s="381"/>
      <c r="R1321" s="381" t="s">
        <v>6451</v>
      </c>
      <c r="S1321" s="381"/>
      <c r="T1321" s="381" t="s">
        <v>3031</v>
      </c>
      <c r="U1321" s="381" t="s">
        <v>152</v>
      </c>
      <c r="V1321" s="381" t="s">
        <v>23</v>
      </c>
    </row>
    <row r="1322" spans="2:22">
      <c r="B1322" s="383">
        <v>46254</v>
      </c>
      <c r="C1322" s="383">
        <v>46254</v>
      </c>
      <c r="D1322" s="381" t="s">
        <v>6452</v>
      </c>
      <c r="E1322" s="382" t="s">
        <v>6453</v>
      </c>
      <c r="F1322" s="381" t="s">
        <v>87</v>
      </c>
      <c r="G1322" s="381" t="s">
        <v>2358</v>
      </c>
      <c r="H1322" s="387">
        <v>30</v>
      </c>
      <c r="I1322" s="381">
        <v>22.3</v>
      </c>
      <c r="J1322" s="381">
        <v>22.3</v>
      </c>
      <c r="K1322" s="381">
        <v>4</v>
      </c>
      <c r="L1322" s="381">
        <v>0</v>
      </c>
      <c r="M1322" s="381" t="s">
        <v>148</v>
      </c>
      <c r="N1322" s="381" t="s">
        <v>149</v>
      </c>
      <c r="O1322" s="381" t="s">
        <v>150</v>
      </c>
      <c r="P1322" s="381" t="s">
        <v>151</v>
      </c>
      <c r="Q1322" s="381"/>
      <c r="R1322" s="381" t="s">
        <v>6453</v>
      </c>
      <c r="S1322" s="381"/>
      <c r="T1322" s="381" t="s">
        <v>3031</v>
      </c>
      <c r="U1322" s="381" t="s">
        <v>152</v>
      </c>
      <c r="V1322" s="381" t="s">
        <v>23</v>
      </c>
    </row>
    <row r="1323" spans="2:22">
      <c r="B1323" s="383">
        <v>46254</v>
      </c>
      <c r="C1323" s="383">
        <v>46254</v>
      </c>
      <c r="D1323" s="381" t="s">
        <v>6454</v>
      </c>
      <c r="E1323" s="382" t="s">
        <v>6455</v>
      </c>
      <c r="F1323" s="381" t="s">
        <v>87</v>
      </c>
      <c r="G1323" s="381" t="s">
        <v>2512</v>
      </c>
      <c r="H1323" s="387">
        <v>40</v>
      </c>
      <c r="I1323" s="381">
        <v>33.799999999999997</v>
      </c>
      <c r="J1323" s="381">
        <v>33.799999999999997</v>
      </c>
      <c r="K1323" s="381">
        <v>5</v>
      </c>
      <c r="L1323" s="381">
        <v>0</v>
      </c>
      <c r="M1323" s="381" t="s">
        <v>148</v>
      </c>
      <c r="N1323" s="381" t="s">
        <v>149</v>
      </c>
      <c r="O1323" s="381" t="s">
        <v>150</v>
      </c>
      <c r="P1323" s="381" t="s">
        <v>151</v>
      </c>
      <c r="Q1323" s="381"/>
      <c r="R1323" s="381" t="s">
        <v>6455</v>
      </c>
      <c r="S1323" s="381"/>
      <c r="T1323" s="381" t="s">
        <v>3031</v>
      </c>
      <c r="U1323" s="381" t="s">
        <v>152</v>
      </c>
      <c r="V1323" s="381" t="s">
        <v>23</v>
      </c>
    </row>
    <row r="1324" spans="2:22">
      <c r="B1324" s="383">
        <v>46255</v>
      </c>
      <c r="C1324" s="383">
        <v>46255</v>
      </c>
      <c r="D1324" s="381" t="s">
        <v>6456</v>
      </c>
      <c r="E1324" s="382" t="s">
        <v>6457</v>
      </c>
      <c r="F1324" s="381" t="s">
        <v>87</v>
      </c>
      <c r="G1324" s="381" t="s">
        <v>5766</v>
      </c>
      <c r="H1324" s="387">
        <v>45</v>
      </c>
      <c r="I1324" s="381">
        <v>28.2</v>
      </c>
      <c r="J1324" s="381">
        <v>28.2</v>
      </c>
      <c r="K1324" s="381">
        <v>5</v>
      </c>
      <c r="L1324" s="381">
        <v>0</v>
      </c>
      <c r="M1324" s="381" t="s">
        <v>148</v>
      </c>
      <c r="N1324" s="381" t="s">
        <v>149</v>
      </c>
      <c r="O1324" s="381" t="s">
        <v>150</v>
      </c>
      <c r="P1324" s="381" t="s">
        <v>151</v>
      </c>
      <c r="Q1324" s="381"/>
      <c r="R1324" s="381" t="s">
        <v>6457</v>
      </c>
      <c r="S1324" s="381"/>
      <c r="T1324" s="381" t="s">
        <v>3055</v>
      </c>
      <c r="U1324" s="381" t="s">
        <v>152</v>
      </c>
      <c r="V1324" s="381" t="s">
        <v>23</v>
      </c>
    </row>
    <row r="1325" spans="2:22">
      <c r="B1325" s="383">
        <v>46255</v>
      </c>
      <c r="C1325" s="383">
        <v>46255</v>
      </c>
      <c r="D1325" s="381" t="s">
        <v>6458</v>
      </c>
      <c r="E1325" s="382" t="s">
        <v>6459</v>
      </c>
      <c r="F1325" s="381" t="s">
        <v>87</v>
      </c>
      <c r="G1325" s="381" t="s">
        <v>6460</v>
      </c>
      <c r="H1325" s="387">
        <v>6</v>
      </c>
      <c r="I1325" s="381">
        <v>2.4</v>
      </c>
      <c r="J1325" s="381">
        <v>2.4</v>
      </c>
      <c r="K1325" s="381">
        <v>1.5</v>
      </c>
      <c r="L1325" s="381">
        <v>0</v>
      </c>
      <c r="M1325" s="381" t="s">
        <v>148</v>
      </c>
      <c r="N1325" s="381" t="s">
        <v>149</v>
      </c>
      <c r="O1325" s="381" t="s">
        <v>150</v>
      </c>
      <c r="P1325" s="381" t="s">
        <v>151</v>
      </c>
      <c r="Q1325" s="381"/>
      <c r="R1325" s="381" t="s">
        <v>6459</v>
      </c>
      <c r="S1325" s="381"/>
      <c r="T1325" s="381" t="s">
        <v>3055</v>
      </c>
      <c r="U1325" s="381" t="s">
        <v>152</v>
      </c>
      <c r="V1325" s="381" t="s">
        <v>23</v>
      </c>
    </row>
    <row r="1326" spans="2:22">
      <c r="B1326" s="383">
        <v>46255</v>
      </c>
      <c r="C1326" s="383">
        <v>46255</v>
      </c>
      <c r="D1326" s="381" t="s">
        <v>6461</v>
      </c>
      <c r="E1326" s="382" t="s">
        <v>6462</v>
      </c>
      <c r="F1326" s="381" t="s">
        <v>87</v>
      </c>
      <c r="G1326" s="381" t="s">
        <v>6008</v>
      </c>
      <c r="H1326" s="387">
        <v>30</v>
      </c>
      <c r="I1326" s="381">
        <v>45.3</v>
      </c>
      <c r="J1326" s="381">
        <v>45.3</v>
      </c>
      <c r="K1326" s="381">
        <v>4</v>
      </c>
      <c r="L1326" s="381">
        <v>0</v>
      </c>
      <c r="M1326" s="381" t="s">
        <v>148</v>
      </c>
      <c r="N1326" s="381" t="s">
        <v>149</v>
      </c>
      <c r="O1326" s="381" t="s">
        <v>150</v>
      </c>
      <c r="P1326" s="381" t="s">
        <v>151</v>
      </c>
      <c r="Q1326" s="381"/>
      <c r="R1326" s="381" t="s">
        <v>6462</v>
      </c>
      <c r="S1326" s="381"/>
      <c r="T1326" s="381" t="s">
        <v>3055</v>
      </c>
      <c r="U1326" s="381" t="s">
        <v>152</v>
      </c>
      <c r="V1326" s="381" t="s">
        <v>23</v>
      </c>
    </row>
    <row r="1327" spans="2:22">
      <c r="B1327" s="383">
        <v>46255</v>
      </c>
      <c r="C1327" s="383">
        <v>46255</v>
      </c>
      <c r="D1327" s="381" t="s">
        <v>6463</v>
      </c>
      <c r="E1327" s="382" t="s">
        <v>6464</v>
      </c>
      <c r="F1327" s="381" t="s">
        <v>87</v>
      </c>
      <c r="G1327" s="381" t="s">
        <v>2358</v>
      </c>
      <c r="H1327" s="387">
        <v>30</v>
      </c>
      <c r="I1327" s="381">
        <v>39.799999999999997</v>
      </c>
      <c r="J1327" s="381">
        <v>39.799999999999997</v>
      </c>
      <c r="K1327" s="381">
        <v>4</v>
      </c>
      <c r="L1327" s="381">
        <v>0</v>
      </c>
      <c r="M1327" s="381" t="s">
        <v>148</v>
      </c>
      <c r="N1327" s="381" t="s">
        <v>149</v>
      </c>
      <c r="O1327" s="381" t="s">
        <v>150</v>
      </c>
      <c r="P1327" s="381" t="s">
        <v>151</v>
      </c>
      <c r="Q1327" s="381"/>
      <c r="R1327" s="381" t="s">
        <v>6464</v>
      </c>
      <c r="S1327" s="381"/>
      <c r="T1327" s="381" t="s">
        <v>3055</v>
      </c>
      <c r="U1327" s="381" t="s">
        <v>152</v>
      </c>
      <c r="V1327" s="381" t="s">
        <v>23</v>
      </c>
    </row>
    <row r="1328" spans="2:22">
      <c r="B1328" s="383">
        <v>46255</v>
      </c>
      <c r="C1328" s="383">
        <v>46255</v>
      </c>
      <c r="D1328" s="381" t="s">
        <v>6465</v>
      </c>
      <c r="E1328" s="382" t="s">
        <v>6466</v>
      </c>
      <c r="F1328" s="381" t="s">
        <v>87</v>
      </c>
      <c r="G1328" s="381" t="s">
        <v>2404</v>
      </c>
      <c r="H1328" s="387">
        <v>40</v>
      </c>
      <c r="I1328" s="381">
        <v>40.200000000000003</v>
      </c>
      <c r="J1328" s="381">
        <v>40.200000000000003</v>
      </c>
      <c r="K1328" s="381">
        <v>5</v>
      </c>
      <c r="L1328" s="381">
        <v>0</v>
      </c>
      <c r="M1328" s="381" t="s">
        <v>148</v>
      </c>
      <c r="N1328" s="381" t="s">
        <v>149</v>
      </c>
      <c r="O1328" s="381" t="s">
        <v>150</v>
      </c>
      <c r="P1328" s="381" t="s">
        <v>151</v>
      </c>
      <c r="Q1328" s="381"/>
      <c r="R1328" s="381" t="s">
        <v>6466</v>
      </c>
      <c r="S1328" s="381"/>
      <c r="T1328" s="381" t="s">
        <v>3055</v>
      </c>
      <c r="U1328" s="381" t="s">
        <v>152</v>
      </c>
      <c r="V1328" s="381" t="s">
        <v>23</v>
      </c>
    </row>
    <row r="1329" spans="2:22">
      <c r="B1329" s="383">
        <v>46255</v>
      </c>
      <c r="C1329" s="383">
        <v>46255</v>
      </c>
      <c r="D1329" s="381" t="s">
        <v>6467</v>
      </c>
      <c r="E1329" s="382" t="s">
        <v>6468</v>
      </c>
      <c r="F1329" s="381" t="s">
        <v>87</v>
      </c>
      <c r="G1329" s="381" t="s">
        <v>2358</v>
      </c>
      <c r="H1329" s="387">
        <v>30</v>
      </c>
      <c r="I1329" s="381">
        <v>27.9</v>
      </c>
      <c r="J1329" s="381">
        <v>27.9</v>
      </c>
      <c r="K1329" s="381">
        <v>4</v>
      </c>
      <c r="L1329" s="381">
        <v>0</v>
      </c>
      <c r="M1329" s="381" t="s">
        <v>148</v>
      </c>
      <c r="N1329" s="381" t="s">
        <v>149</v>
      </c>
      <c r="O1329" s="381" t="s">
        <v>150</v>
      </c>
      <c r="P1329" s="381" t="s">
        <v>151</v>
      </c>
      <c r="Q1329" s="381"/>
      <c r="R1329" s="381" t="s">
        <v>6468</v>
      </c>
      <c r="S1329" s="381"/>
      <c r="T1329" s="381" t="s">
        <v>3055</v>
      </c>
      <c r="U1329" s="381" t="s">
        <v>152</v>
      </c>
      <c r="V1329" s="381" t="s">
        <v>23</v>
      </c>
    </row>
    <row r="1330" spans="2:22">
      <c r="B1330" s="383">
        <v>46255</v>
      </c>
      <c r="C1330" s="383">
        <v>46255</v>
      </c>
      <c r="D1330" s="381" t="s">
        <v>6469</v>
      </c>
      <c r="E1330" s="382" t="s">
        <v>6470</v>
      </c>
      <c r="F1330" s="381" t="s">
        <v>87</v>
      </c>
      <c r="G1330" s="381" t="s">
        <v>2512</v>
      </c>
      <c r="H1330" s="387">
        <v>40</v>
      </c>
      <c r="I1330" s="381">
        <v>17.399999999999999</v>
      </c>
      <c r="J1330" s="381">
        <v>17.399999999999999</v>
      </c>
      <c r="K1330" s="381">
        <v>5</v>
      </c>
      <c r="L1330" s="381">
        <v>0</v>
      </c>
      <c r="M1330" s="381" t="s">
        <v>148</v>
      </c>
      <c r="N1330" s="381" t="s">
        <v>149</v>
      </c>
      <c r="O1330" s="381" t="s">
        <v>150</v>
      </c>
      <c r="P1330" s="381" t="s">
        <v>151</v>
      </c>
      <c r="Q1330" s="381"/>
      <c r="R1330" s="381" t="s">
        <v>6470</v>
      </c>
      <c r="S1330" s="381"/>
      <c r="T1330" s="381" t="s">
        <v>3055</v>
      </c>
      <c r="U1330" s="381" t="s">
        <v>152</v>
      </c>
      <c r="V1330" s="381" t="s">
        <v>23</v>
      </c>
    </row>
    <row r="1331" spans="2:22">
      <c r="B1331" s="383">
        <v>46255</v>
      </c>
      <c r="C1331" s="383">
        <v>46255</v>
      </c>
      <c r="D1331" s="381" t="s">
        <v>6471</v>
      </c>
      <c r="E1331" s="382" t="s">
        <v>6472</v>
      </c>
      <c r="F1331" s="381" t="s">
        <v>87</v>
      </c>
      <c r="G1331" s="381" t="s">
        <v>6008</v>
      </c>
      <c r="H1331" s="387">
        <v>30</v>
      </c>
      <c r="I1331" s="381">
        <v>31.4</v>
      </c>
      <c r="J1331" s="381">
        <v>31.4</v>
      </c>
      <c r="K1331" s="381">
        <v>4</v>
      </c>
      <c r="L1331" s="381">
        <v>0</v>
      </c>
      <c r="M1331" s="381" t="s">
        <v>148</v>
      </c>
      <c r="N1331" s="381" t="s">
        <v>149</v>
      </c>
      <c r="O1331" s="381" t="s">
        <v>150</v>
      </c>
      <c r="P1331" s="381" t="s">
        <v>151</v>
      </c>
      <c r="Q1331" s="381"/>
      <c r="R1331" s="381" t="s">
        <v>6472</v>
      </c>
      <c r="S1331" s="381"/>
      <c r="T1331" s="381" t="s">
        <v>3055</v>
      </c>
      <c r="U1331" s="381" t="s">
        <v>152</v>
      </c>
      <c r="V1331" s="381" t="s">
        <v>23</v>
      </c>
    </row>
    <row r="1332" spans="2:22">
      <c r="B1332" s="383">
        <v>46255</v>
      </c>
      <c r="C1332" s="383">
        <v>46255</v>
      </c>
      <c r="D1332" s="381" t="s">
        <v>6473</v>
      </c>
      <c r="E1332" s="382" t="s">
        <v>6474</v>
      </c>
      <c r="F1332" s="381" t="s">
        <v>87</v>
      </c>
      <c r="G1332" s="381" t="s">
        <v>6008</v>
      </c>
      <c r="H1332" s="387">
        <v>30</v>
      </c>
      <c r="I1332" s="381">
        <v>37.4</v>
      </c>
      <c r="J1332" s="381">
        <v>37.4</v>
      </c>
      <c r="K1332" s="381">
        <v>4</v>
      </c>
      <c r="L1332" s="381">
        <v>0</v>
      </c>
      <c r="M1332" s="381" t="s">
        <v>148</v>
      </c>
      <c r="N1332" s="381" t="s">
        <v>149</v>
      </c>
      <c r="O1332" s="381" t="s">
        <v>150</v>
      </c>
      <c r="P1332" s="381" t="s">
        <v>151</v>
      </c>
      <c r="Q1332" s="381"/>
      <c r="R1332" s="381" t="s">
        <v>6474</v>
      </c>
      <c r="S1332" s="381"/>
      <c r="T1332" s="381" t="s">
        <v>3055</v>
      </c>
      <c r="U1332" s="381" t="s">
        <v>152</v>
      </c>
      <c r="V1332" s="381" t="s">
        <v>23</v>
      </c>
    </row>
    <row r="1333" spans="2:22">
      <c r="B1333" s="383">
        <v>46255</v>
      </c>
      <c r="C1333" s="383">
        <v>46255</v>
      </c>
      <c r="D1333" s="381" t="s">
        <v>6475</v>
      </c>
      <c r="E1333" s="382" t="s">
        <v>6476</v>
      </c>
      <c r="F1333" s="381" t="s">
        <v>87</v>
      </c>
      <c r="G1333" s="381" t="s">
        <v>2404</v>
      </c>
      <c r="H1333" s="387">
        <v>40</v>
      </c>
      <c r="I1333" s="381">
        <v>38.200000000000003</v>
      </c>
      <c r="J1333" s="381">
        <v>38.200000000000003</v>
      </c>
      <c r="K1333" s="381">
        <v>5</v>
      </c>
      <c r="L1333" s="381">
        <v>0</v>
      </c>
      <c r="M1333" s="381" t="s">
        <v>148</v>
      </c>
      <c r="N1333" s="381" t="s">
        <v>149</v>
      </c>
      <c r="O1333" s="381" t="s">
        <v>150</v>
      </c>
      <c r="P1333" s="381" t="s">
        <v>151</v>
      </c>
      <c r="Q1333" s="381"/>
      <c r="R1333" s="381" t="s">
        <v>6476</v>
      </c>
      <c r="S1333" s="381"/>
      <c r="T1333" s="381" t="s">
        <v>3055</v>
      </c>
      <c r="U1333" s="381" t="s">
        <v>152</v>
      </c>
      <c r="V1333" s="381" t="s">
        <v>23</v>
      </c>
    </row>
    <row r="1334" spans="2:22">
      <c r="B1334" s="383">
        <v>46255</v>
      </c>
      <c r="C1334" s="383">
        <v>46255</v>
      </c>
      <c r="D1334" s="381" t="s">
        <v>6477</v>
      </c>
      <c r="E1334" s="382" t="s">
        <v>6478</v>
      </c>
      <c r="F1334" s="381" t="s">
        <v>87</v>
      </c>
      <c r="G1334" s="381" t="s">
        <v>2358</v>
      </c>
      <c r="H1334" s="387">
        <v>30</v>
      </c>
      <c r="I1334" s="381">
        <v>19.7</v>
      </c>
      <c r="J1334" s="381">
        <v>19.7</v>
      </c>
      <c r="K1334" s="381">
        <v>4</v>
      </c>
      <c r="L1334" s="381">
        <v>0</v>
      </c>
      <c r="M1334" s="381" t="s">
        <v>148</v>
      </c>
      <c r="N1334" s="381" t="s">
        <v>149</v>
      </c>
      <c r="O1334" s="381" t="s">
        <v>150</v>
      </c>
      <c r="P1334" s="381" t="s">
        <v>151</v>
      </c>
      <c r="Q1334" s="381"/>
      <c r="R1334" s="381" t="s">
        <v>6478</v>
      </c>
      <c r="S1334" s="381"/>
      <c r="T1334" s="381" t="s">
        <v>3055</v>
      </c>
      <c r="U1334" s="381" t="s">
        <v>152</v>
      </c>
      <c r="V1334" s="381" t="s">
        <v>23</v>
      </c>
    </row>
    <row r="1335" spans="2:22">
      <c r="B1335" s="383">
        <v>46255</v>
      </c>
      <c r="C1335" s="383">
        <v>46255</v>
      </c>
      <c r="D1335" s="381" t="s">
        <v>6479</v>
      </c>
      <c r="E1335" s="382" t="s">
        <v>6480</v>
      </c>
      <c r="F1335" s="381" t="s">
        <v>87</v>
      </c>
      <c r="G1335" s="381" t="s">
        <v>2512</v>
      </c>
      <c r="H1335" s="387">
        <v>40</v>
      </c>
      <c r="I1335" s="381">
        <v>30.9</v>
      </c>
      <c r="J1335" s="381">
        <v>30.9</v>
      </c>
      <c r="K1335" s="381">
        <v>5</v>
      </c>
      <c r="L1335" s="381">
        <v>0</v>
      </c>
      <c r="M1335" s="381" t="s">
        <v>148</v>
      </c>
      <c r="N1335" s="381" t="s">
        <v>149</v>
      </c>
      <c r="O1335" s="381" t="s">
        <v>150</v>
      </c>
      <c r="P1335" s="381" t="s">
        <v>151</v>
      </c>
      <c r="Q1335" s="381"/>
      <c r="R1335" s="381" t="s">
        <v>6480</v>
      </c>
      <c r="S1335" s="381"/>
      <c r="T1335" s="381" t="s">
        <v>3055</v>
      </c>
      <c r="U1335" s="381" t="s">
        <v>152</v>
      </c>
      <c r="V1335" s="381" t="s">
        <v>23</v>
      </c>
    </row>
    <row r="1336" spans="2:22">
      <c r="B1336" s="383">
        <v>46255</v>
      </c>
      <c r="C1336" s="383">
        <v>46255</v>
      </c>
      <c r="D1336" s="381" t="s">
        <v>6481</v>
      </c>
      <c r="E1336" s="382" t="s">
        <v>6482</v>
      </c>
      <c r="F1336" s="381" t="s">
        <v>87</v>
      </c>
      <c r="G1336" s="381" t="s">
        <v>6008</v>
      </c>
      <c r="H1336" s="387">
        <v>30</v>
      </c>
      <c r="I1336" s="381">
        <v>45.8</v>
      </c>
      <c r="J1336" s="381">
        <v>45.8</v>
      </c>
      <c r="K1336" s="381">
        <v>4</v>
      </c>
      <c r="L1336" s="381">
        <v>0</v>
      </c>
      <c r="M1336" s="381" t="s">
        <v>148</v>
      </c>
      <c r="N1336" s="381" t="s">
        <v>149</v>
      </c>
      <c r="O1336" s="381" t="s">
        <v>150</v>
      </c>
      <c r="P1336" s="381" t="s">
        <v>151</v>
      </c>
      <c r="Q1336" s="381"/>
      <c r="R1336" s="381" t="s">
        <v>6482</v>
      </c>
      <c r="S1336" s="381"/>
      <c r="T1336" s="381" t="s">
        <v>3055</v>
      </c>
      <c r="U1336" s="381" t="s">
        <v>152</v>
      </c>
      <c r="V1336" s="381" t="s">
        <v>23</v>
      </c>
    </row>
    <row r="1337" spans="2:22">
      <c r="B1337" s="383">
        <v>46255</v>
      </c>
      <c r="C1337" s="383">
        <v>46255</v>
      </c>
      <c r="D1337" s="381" t="s">
        <v>6483</v>
      </c>
      <c r="E1337" s="382" t="s">
        <v>6484</v>
      </c>
      <c r="F1337" s="381" t="s">
        <v>87</v>
      </c>
      <c r="G1337" s="381" t="s">
        <v>6008</v>
      </c>
      <c r="H1337" s="387">
        <v>30</v>
      </c>
      <c r="I1337" s="381">
        <v>30.8</v>
      </c>
      <c r="J1337" s="381">
        <v>30.8</v>
      </c>
      <c r="K1337" s="381">
        <v>4</v>
      </c>
      <c r="L1337" s="381">
        <v>0</v>
      </c>
      <c r="M1337" s="381" t="s">
        <v>148</v>
      </c>
      <c r="N1337" s="381" t="s">
        <v>149</v>
      </c>
      <c r="O1337" s="381" t="s">
        <v>150</v>
      </c>
      <c r="P1337" s="381" t="s">
        <v>151</v>
      </c>
      <c r="Q1337" s="381"/>
      <c r="R1337" s="381" t="s">
        <v>6484</v>
      </c>
      <c r="S1337" s="381"/>
      <c r="T1337" s="381" t="s">
        <v>3055</v>
      </c>
      <c r="U1337" s="381" t="s">
        <v>152</v>
      </c>
      <c r="V1337" s="381" t="s">
        <v>23</v>
      </c>
    </row>
    <row r="1338" spans="2:22">
      <c r="B1338" s="383">
        <v>46255</v>
      </c>
      <c r="C1338" s="383">
        <v>46255</v>
      </c>
      <c r="D1338" s="381" t="s">
        <v>6485</v>
      </c>
      <c r="E1338" s="382" t="s">
        <v>6486</v>
      </c>
      <c r="F1338" s="381" t="s">
        <v>87</v>
      </c>
      <c r="G1338" s="381" t="s">
        <v>2404</v>
      </c>
      <c r="H1338" s="387">
        <v>40</v>
      </c>
      <c r="I1338" s="381">
        <v>41.3</v>
      </c>
      <c r="J1338" s="381">
        <v>41.3</v>
      </c>
      <c r="K1338" s="381">
        <v>5</v>
      </c>
      <c r="L1338" s="381">
        <v>0</v>
      </c>
      <c r="M1338" s="381" t="s">
        <v>148</v>
      </c>
      <c r="N1338" s="381" t="s">
        <v>149</v>
      </c>
      <c r="O1338" s="381" t="s">
        <v>150</v>
      </c>
      <c r="P1338" s="381" t="s">
        <v>151</v>
      </c>
      <c r="Q1338" s="381"/>
      <c r="R1338" s="381" t="s">
        <v>6486</v>
      </c>
      <c r="S1338" s="381"/>
      <c r="T1338" s="381" t="s">
        <v>3055</v>
      </c>
      <c r="U1338" s="381" t="s">
        <v>152</v>
      </c>
      <c r="V1338" s="381" t="s">
        <v>23</v>
      </c>
    </row>
    <row r="1339" spans="2:22">
      <c r="B1339" s="383">
        <v>46255</v>
      </c>
      <c r="C1339" s="383">
        <v>46255</v>
      </c>
      <c r="D1339" s="381" t="s">
        <v>6487</v>
      </c>
      <c r="E1339" s="382" t="s">
        <v>6488</v>
      </c>
      <c r="F1339" s="381" t="s">
        <v>87</v>
      </c>
      <c r="G1339" s="381" t="s">
        <v>2358</v>
      </c>
      <c r="H1339" s="387">
        <v>30</v>
      </c>
      <c r="I1339" s="381">
        <v>24.4</v>
      </c>
      <c r="J1339" s="381">
        <v>24.4</v>
      </c>
      <c r="K1339" s="381">
        <v>4</v>
      </c>
      <c r="L1339" s="381">
        <v>0</v>
      </c>
      <c r="M1339" s="381" t="s">
        <v>148</v>
      </c>
      <c r="N1339" s="381" t="s">
        <v>149</v>
      </c>
      <c r="O1339" s="381" t="s">
        <v>150</v>
      </c>
      <c r="P1339" s="381" t="s">
        <v>151</v>
      </c>
      <c r="Q1339" s="381"/>
      <c r="R1339" s="381" t="s">
        <v>6488</v>
      </c>
      <c r="S1339" s="381"/>
      <c r="T1339" s="381" t="s">
        <v>3055</v>
      </c>
      <c r="U1339" s="381" t="s">
        <v>152</v>
      </c>
      <c r="V1339" s="381" t="s">
        <v>23</v>
      </c>
    </row>
    <row r="1340" spans="2:22">
      <c r="B1340" s="383">
        <v>46255</v>
      </c>
      <c r="C1340" s="383">
        <v>46255</v>
      </c>
      <c r="D1340" s="381" t="s">
        <v>6489</v>
      </c>
      <c r="E1340" s="382" t="s">
        <v>6490</v>
      </c>
      <c r="F1340" s="381" t="s">
        <v>87</v>
      </c>
      <c r="G1340" s="381" t="s">
        <v>4512</v>
      </c>
      <c r="H1340" s="387">
        <v>55</v>
      </c>
      <c r="I1340" s="381">
        <v>17.8</v>
      </c>
      <c r="J1340" s="381">
        <v>17.8</v>
      </c>
      <c r="K1340" s="381">
        <v>5</v>
      </c>
      <c r="L1340" s="381">
        <v>0</v>
      </c>
      <c r="M1340" s="381" t="s">
        <v>148</v>
      </c>
      <c r="N1340" s="381" t="s">
        <v>149</v>
      </c>
      <c r="O1340" s="381" t="s">
        <v>150</v>
      </c>
      <c r="P1340" s="381" t="s">
        <v>151</v>
      </c>
      <c r="Q1340" s="381"/>
      <c r="R1340" s="381" t="s">
        <v>6490</v>
      </c>
      <c r="S1340" s="381"/>
      <c r="T1340" s="381" t="s">
        <v>3055</v>
      </c>
      <c r="U1340" s="381" t="s">
        <v>152</v>
      </c>
      <c r="V1340" s="381" t="s">
        <v>23</v>
      </c>
    </row>
    <row r="1341" spans="2:22">
      <c r="B1341" s="383">
        <v>46255</v>
      </c>
      <c r="C1341" s="383">
        <v>46255</v>
      </c>
      <c r="D1341" s="381" t="s">
        <v>6491</v>
      </c>
      <c r="E1341" s="382" t="s">
        <v>6492</v>
      </c>
      <c r="F1341" s="381" t="s">
        <v>87</v>
      </c>
      <c r="G1341" s="381" t="s">
        <v>2358</v>
      </c>
      <c r="H1341" s="387">
        <v>30</v>
      </c>
      <c r="I1341" s="381">
        <v>36.5</v>
      </c>
      <c r="J1341" s="381">
        <v>36.5</v>
      </c>
      <c r="K1341" s="381">
        <v>4</v>
      </c>
      <c r="L1341" s="381">
        <v>0</v>
      </c>
      <c r="M1341" s="381" t="s">
        <v>148</v>
      </c>
      <c r="N1341" s="381" t="s">
        <v>149</v>
      </c>
      <c r="O1341" s="381" t="s">
        <v>150</v>
      </c>
      <c r="P1341" s="381" t="s">
        <v>151</v>
      </c>
      <c r="Q1341" s="381"/>
      <c r="R1341" s="381" t="s">
        <v>6492</v>
      </c>
      <c r="S1341" s="381"/>
      <c r="T1341" s="381" t="s">
        <v>3055</v>
      </c>
      <c r="U1341" s="381" t="s">
        <v>152</v>
      </c>
      <c r="V1341" s="381" t="s">
        <v>23</v>
      </c>
    </row>
    <row r="1342" spans="2:22">
      <c r="B1342" s="383">
        <v>46255</v>
      </c>
      <c r="C1342" s="383">
        <v>46255</v>
      </c>
      <c r="D1342" s="381" t="s">
        <v>6493</v>
      </c>
      <c r="E1342" s="382" t="s">
        <v>6494</v>
      </c>
      <c r="F1342" s="381" t="s">
        <v>87</v>
      </c>
      <c r="G1342" s="381" t="s">
        <v>2404</v>
      </c>
      <c r="H1342" s="387">
        <v>40</v>
      </c>
      <c r="I1342" s="381">
        <v>43.3</v>
      </c>
      <c r="J1342" s="381">
        <v>43.3</v>
      </c>
      <c r="K1342" s="381">
        <v>5</v>
      </c>
      <c r="L1342" s="381">
        <v>0</v>
      </c>
      <c r="M1342" s="381" t="s">
        <v>148</v>
      </c>
      <c r="N1342" s="381" t="s">
        <v>149</v>
      </c>
      <c r="O1342" s="381" t="s">
        <v>150</v>
      </c>
      <c r="P1342" s="381" t="s">
        <v>151</v>
      </c>
      <c r="Q1342" s="381"/>
      <c r="R1342" s="381" t="s">
        <v>6494</v>
      </c>
      <c r="S1342" s="381"/>
      <c r="T1342" s="381" t="s">
        <v>3055</v>
      </c>
      <c r="U1342" s="381" t="s">
        <v>152</v>
      </c>
      <c r="V1342" s="381" t="s">
        <v>23</v>
      </c>
    </row>
    <row r="1343" spans="2:22">
      <c r="B1343" s="383">
        <v>46255</v>
      </c>
      <c r="C1343" s="383">
        <v>46255</v>
      </c>
      <c r="D1343" s="381" t="s">
        <v>6495</v>
      </c>
      <c r="E1343" s="382" t="s">
        <v>6496</v>
      </c>
      <c r="F1343" s="381" t="s">
        <v>87</v>
      </c>
      <c r="G1343" s="381" t="s">
        <v>6008</v>
      </c>
      <c r="H1343" s="387">
        <v>30</v>
      </c>
      <c r="I1343" s="381">
        <v>38.9</v>
      </c>
      <c r="J1343" s="381">
        <v>38.9</v>
      </c>
      <c r="K1343" s="381">
        <v>4</v>
      </c>
      <c r="L1343" s="381">
        <v>0</v>
      </c>
      <c r="M1343" s="381" t="s">
        <v>148</v>
      </c>
      <c r="N1343" s="381" t="s">
        <v>149</v>
      </c>
      <c r="O1343" s="381" t="s">
        <v>150</v>
      </c>
      <c r="P1343" s="381" t="s">
        <v>151</v>
      </c>
      <c r="Q1343" s="381"/>
      <c r="R1343" s="381" t="s">
        <v>6496</v>
      </c>
      <c r="S1343" s="381"/>
      <c r="T1343" s="381" t="s">
        <v>3055</v>
      </c>
      <c r="U1343" s="381" t="s">
        <v>152</v>
      </c>
      <c r="V1343" s="381" t="s">
        <v>23</v>
      </c>
    </row>
    <row r="1344" spans="2:22">
      <c r="B1344" s="383">
        <v>46255</v>
      </c>
      <c r="C1344" s="383">
        <v>46255</v>
      </c>
      <c r="D1344" s="381" t="s">
        <v>6497</v>
      </c>
      <c r="E1344" s="382" t="s">
        <v>6498</v>
      </c>
      <c r="F1344" s="381" t="s">
        <v>87</v>
      </c>
      <c r="G1344" s="381" t="s">
        <v>2333</v>
      </c>
      <c r="H1344" s="387">
        <v>30</v>
      </c>
      <c r="I1344" s="381">
        <v>29.7</v>
      </c>
      <c r="J1344" s="381">
        <v>29.7</v>
      </c>
      <c r="K1344" s="381">
        <v>4</v>
      </c>
      <c r="L1344" s="381">
        <v>0</v>
      </c>
      <c r="M1344" s="381" t="s">
        <v>148</v>
      </c>
      <c r="N1344" s="381" t="s">
        <v>149</v>
      </c>
      <c r="O1344" s="381" t="s">
        <v>150</v>
      </c>
      <c r="P1344" s="381" t="s">
        <v>151</v>
      </c>
      <c r="Q1344" s="381"/>
      <c r="R1344" s="381" t="s">
        <v>6498</v>
      </c>
      <c r="S1344" s="381"/>
      <c r="T1344" s="381" t="s">
        <v>3055</v>
      </c>
      <c r="U1344" s="381" t="s">
        <v>152</v>
      </c>
      <c r="V1344" s="381" t="s">
        <v>23</v>
      </c>
    </row>
    <row r="1345" spans="2:22">
      <c r="B1345" s="383">
        <v>46255</v>
      </c>
      <c r="C1345" s="383">
        <v>46255</v>
      </c>
      <c r="D1345" s="381" t="s">
        <v>6499</v>
      </c>
      <c r="E1345" s="382" t="s">
        <v>6500</v>
      </c>
      <c r="F1345" s="381" t="s">
        <v>87</v>
      </c>
      <c r="G1345" s="381" t="s">
        <v>2404</v>
      </c>
      <c r="H1345" s="387">
        <v>40</v>
      </c>
      <c r="I1345" s="381">
        <v>11.8</v>
      </c>
      <c r="J1345" s="381">
        <v>11.8</v>
      </c>
      <c r="K1345" s="381">
        <v>5</v>
      </c>
      <c r="L1345" s="381">
        <v>0</v>
      </c>
      <c r="M1345" s="381" t="s">
        <v>148</v>
      </c>
      <c r="N1345" s="381" t="s">
        <v>149</v>
      </c>
      <c r="O1345" s="381" t="s">
        <v>150</v>
      </c>
      <c r="P1345" s="381" t="s">
        <v>151</v>
      </c>
      <c r="Q1345" s="381"/>
      <c r="R1345" s="381" t="s">
        <v>6500</v>
      </c>
      <c r="S1345" s="381"/>
      <c r="T1345" s="381" t="s">
        <v>3055</v>
      </c>
      <c r="U1345" s="381" t="s">
        <v>152</v>
      </c>
      <c r="V1345" s="381" t="s">
        <v>23</v>
      </c>
    </row>
    <row r="1346" spans="2:22">
      <c r="B1346" s="383">
        <v>46255</v>
      </c>
      <c r="C1346" s="383">
        <v>46255</v>
      </c>
      <c r="D1346" s="381" t="s">
        <v>6501</v>
      </c>
      <c r="E1346" s="382" t="s">
        <v>6502</v>
      </c>
      <c r="F1346" s="381" t="s">
        <v>87</v>
      </c>
      <c r="G1346" s="381" t="s">
        <v>5766</v>
      </c>
      <c r="H1346" s="387">
        <v>45</v>
      </c>
      <c r="I1346" s="381">
        <v>27.8</v>
      </c>
      <c r="J1346" s="381">
        <v>27.8</v>
      </c>
      <c r="K1346" s="381">
        <v>5</v>
      </c>
      <c r="L1346" s="381">
        <v>0</v>
      </c>
      <c r="M1346" s="381" t="s">
        <v>148</v>
      </c>
      <c r="N1346" s="381" t="s">
        <v>149</v>
      </c>
      <c r="O1346" s="381" t="s">
        <v>150</v>
      </c>
      <c r="P1346" s="381" t="s">
        <v>151</v>
      </c>
      <c r="Q1346" s="381"/>
      <c r="R1346" s="381" t="s">
        <v>6502</v>
      </c>
      <c r="S1346" s="381"/>
      <c r="T1346" s="381" t="s">
        <v>3055</v>
      </c>
      <c r="U1346" s="381" t="s">
        <v>152</v>
      </c>
      <c r="V1346" s="381" t="s">
        <v>23</v>
      </c>
    </row>
    <row r="1347" spans="2:22">
      <c r="B1347" s="383">
        <v>46255</v>
      </c>
      <c r="C1347" s="383">
        <v>46255</v>
      </c>
      <c r="D1347" s="381" t="s">
        <v>6503</v>
      </c>
      <c r="E1347" s="382" t="s">
        <v>6504</v>
      </c>
      <c r="F1347" s="381" t="s">
        <v>87</v>
      </c>
      <c r="G1347" s="381" t="s">
        <v>5766</v>
      </c>
      <c r="H1347" s="387">
        <v>45</v>
      </c>
      <c r="I1347" s="381">
        <v>33.799999999999997</v>
      </c>
      <c r="J1347" s="381">
        <v>33.799999999999997</v>
      </c>
      <c r="K1347" s="381">
        <v>5</v>
      </c>
      <c r="L1347" s="381">
        <v>0</v>
      </c>
      <c r="M1347" s="381" t="s">
        <v>148</v>
      </c>
      <c r="N1347" s="381" t="s">
        <v>149</v>
      </c>
      <c r="O1347" s="381" t="s">
        <v>150</v>
      </c>
      <c r="P1347" s="381" t="s">
        <v>151</v>
      </c>
      <c r="Q1347" s="381"/>
      <c r="R1347" s="381" t="s">
        <v>6504</v>
      </c>
      <c r="S1347" s="381"/>
      <c r="T1347" s="381" t="s">
        <v>3055</v>
      </c>
      <c r="U1347" s="381" t="s">
        <v>152</v>
      </c>
      <c r="V1347" s="381" t="s">
        <v>23</v>
      </c>
    </row>
    <row r="1348" spans="2:22">
      <c r="B1348" s="383">
        <v>46255</v>
      </c>
      <c r="C1348" s="383">
        <v>46255</v>
      </c>
      <c r="D1348" s="381" t="s">
        <v>6505</v>
      </c>
      <c r="E1348" s="382" t="s">
        <v>6506</v>
      </c>
      <c r="F1348" s="381" t="s">
        <v>87</v>
      </c>
      <c r="G1348" s="381" t="s">
        <v>4512</v>
      </c>
      <c r="H1348" s="387">
        <v>55</v>
      </c>
      <c r="I1348" s="381">
        <v>39.799999999999997</v>
      </c>
      <c r="J1348" s="381">
        <v>39.799999999999997</v>
      </c>
      <c r="K1348" s="381">
        <v>5</v>
      </c>
      <c r="L1348" s="381">
        <v>0</v>
      </c>
      <c r="M1348" s="381" t="s">
        <v>148</v>
      </c>
      <c r="N1348" s="381" t="s">
        <v>149</v>
      </c>
      <c r="O1348" s="381" t="s">
        <v>150</v>
      </c>
      <c r="P1348" s="381" t="s">
        <v>151</v>
      </c>
      <c r="Q1348" s="381"/>
      <c r="R1348" s="381" t="s">
        <v>6506</v>
      </c>
      <c r="S1348" s="381"/>
      <c r="T1348" s="381" t="s">
        <v>3055</v>
      </c>
      <c r="U1348" s="381" t="s">
        <v>152</v>
      </c>
      <c r="V1348" s="381" t="s">
        <v>23</v>
      </c>
    </row>
    <row r="1349" spans="2:22">
      <c r="B1349" s="383">
        <v>46255</v>
      </c>
      <c r="C1349" s="383">
        <v>46255</v>
      </c>
      <c r="D1349" s="381" t="s">
        <v>6507</v>
      </c>
      <c r="E1349" s="382" t="s">
        <v>6508</v>
      </c>
      <c r="F1349" s="381" t="s">
        <v>87</v>
      </c>
      <c r="G1349" s="381" t="s">
        <v>4512</v>
      </c>
      <c r="H1349" s="387">
        <v>55</v>
      </c>
      <c r="I1349" s="381">
        <v>17.2</v>
      </c>
      <c r="J1349" s="381">
        <v>17.2</v>
      </c>
      <c r="K1349" s="381">
        <v>5</v>
      </c>
      <c r="L1349" s="381">
        <v>0</v>
      </c>
      <c r="M1349" s="381" t="s">
        <v>148</v>
      </c>
      <c r="N1349" s="381" t="s">
        <v>149</v>
      </c>
      <c r="O1349" s="381" t="s">
        <v>150</v>
      </c>
      <c r="P1349" s="381" t="s">
        <v>151</v>
      </c>
      <c r="Q1349" s="381"/>
      <c r="R1349" s="381" t="s">
        <v>6508</v>
      </c>
      <c r="S1349" s="381"/>
      <c r="T1349" s="381" t="s">
        <v>3055</v>
      </c>
      <c r="U1349" s="381" t="s">
        <v>152</v>
      </c>
      <c r="V1349" s="381" t="s">
        <v>23</v>
      </c>
    </row>
    <row r="1350" spans="2:22">
      <c r="B1350" s="383">
        <v>46255</v>
      </c>
      <c r="C1350" s="383">
        <v>46255</v>
      </c>
      <c r="D1350" s="381" t="s">
        <v>6509</v>
      </c>
      <c r="E1350" s="382" t="s">
        <v>6510</v>
      </c>
      <c r="F1350" s="381" t="s">
        <v>87</v>
      </c>
      <c r="G1350" s="381" t="s">
        <v>2078</v>
      </c>
      <c r="H1350" s="387">
        <v>6</v>
      </c>
      <c r="I1350" s="381">
        <v>14.8</v>
      </c>
      <c r="J1350" s="381">
        <v>14.8</v>
      </c>
      <c r="K1350" s="381">
        <v>1.5</v>
      </c>
      <c r="L1350" s="381">
        <v>0</v>
      </c>
      <c r="M1350" s="381" t="s">
        <v>148</v>
      </c>
      <c r="N1350" s="381" t="s">
        <v>149</v>
      </c>
      <c r="O1350" s="381" t="s">
        <v>150</v>
      </c>
      <c r="P1350" s="381" t="s">
        <v>151</v>
      </c>
      <c r="Q1350" s="381"/>
      <c r="R1350" s="381" t="s">
        <v>6510</v>
      </c>
      <c r="S1350" s="381"/>
      <c r="T1350" s="381" t="s">
        <v>3055</v>
      </c>
      <c r="U1350" s="381" t="s">
        <v>152</v>
      </c>
      <c r="V1350" s="381" t="s">
        <v>23</v>
      </c>
    </row>
    <row r="1351" spans="2:22">
      <c r="B1351" s="383">
        <v>46255</v>
      </c>
      <c r="C1351" s="383">
        <v>46255</v>
      </c>
      <c r="D1351" s="381" t="s">
        <v>6511</v>
      </c>
      <c r="E1351" s="382" t="s">
        <v>6512</v>
      </c>
      <c r="F1351" s="381" t="s">
        <v>87</v>
      </c>
      <c r="G1351" s="381" t="s">
        <v>6513</v>
      </c>
      <c r="H1351" s="387">
        <v>6</v>
      </c>
      <c r="I1351" s="381">
        <v>18.2</v>
      </c>
      <c r="J1351" s="381">
        <v>18.2</v>
      </c>
      <c r="K1351" s="381">
        <v>1.5</v>
      </c>
      <c r="L1351" s="381">
        <v>0</v>
      </c>
      <c r="M1351" s="381" t="s">
        <v>148</v>
      </c>
      <c r="N1351" s="381" t="s">
        <v>149</v>
      </c>
      <c r="O1351" s="381" t="s">
        <v>150</v>
      </c>
      <c r="P1351" s="381" t="s">
        <v>151</v>
      </c>
      <c r="Q1351" s="381"/>
      <c r="R1351" s="381" t="s">
        <v>6512</v>
      </c>
      <c r="S1351" s="381"/>
      <c r="T1351" s="381" t="s">
        <v>3055</v>
      </c>
      <c r="U1351" s="381" t="s">
        <v>152</v>
      </c>
      <c r="V1351" s="381" t="s">
        <v>23</v>
      </c>
    </row>
    <row r="1352" spans="2:22">
      <c r="B1352" s="383">
        <v>46255</v>
      </c>
      <c r="C1352" s="383">
        <v>46255</v>
      </c>
      <c r="D1352" s="381" t="s">
        <v>6514</v>
      </c>
      <c r="E1352" s="382" t="s">
        <v>6515</v>
      </c>
      <c r="F1352" s="381" t="s">
        <v>87</v>
      </c>
      <c r="G1352" s="381" t="s">
        <v>2358</v>
      </c>
      <c r="H1352" s="387">
        <v>30</v>
      </c>
      <c r="I1352" s="381">
        <v>37.799999999999997</v>
      </c>
      <c r="J1352" s="381">
        <v>37.799999999999997</v>
      </c>
      <c r="K1352" s="381">
        <v>4</v>
      </c>
      <c r="L1352" s="381">
        <v>0</v>
      </c>
      <c r="M1352" s="381" t="s">
        <v>148</v>
      </c>
      <c r="N1352" s="381" t="s">
        <v>149</v>
      </c>
      <c r="O1352" s="381" t="s">
        <v>150</v>
      </c>
      <c r="P1352" s="381" t="s">
        <v>151</v>
      </c>
      <c r="Q1352" s="381"/>
      <c r="R1352" s="381" t="s">
        <v>6515</v>
      </c>
      <c r="S1352" s="381"/>
      <c r="T1352" s="381" t="s">
        <v>3055</v>
      </c>
      <c r="U1352" s="381" t="s">
        <v>152</v>
      </c>
      <c r="V1352" s="381" t="s">
        <v>23</v>
      </c>
    </row>
    <row r="1353" spans="2:22">
      <c r="B1353" s="383">
        <v>46255</v>
      </c>
      <c r="C1353" s="383">
        <v>46255</v>
      </c>
      <c r="D1353" s="381" t="s">
        <v>6516</v>
      </c>
      <c r="E1353" s="382" t="s">
        <v>6517</v>
      </c>
      <c r="F1353" s="381" t="s">
        <v>87</v>
      </c>
      <c r="G1353" s="381" t="s">
        <v>6008</v>
      </c>
      <c r="H1353" s="387">
        <v>30</v>
      </c>
      <c r="I1353" s="381">
        <v>33.799999999999997</v>
      </c>
      <c r="J1353" s="381">
        <v>33.799999999999997</v>
      </c>
      <c r="K1353" s="381">
        <v>4</v>
      </c>
      <c r="L1353" s="381">
        <v>0</v>
      </c>
      <c r="M1353" s="381" t="s">
        <v>148</v>
      </c>
      <c r="N1353" s="381" t="s">
        <v>149</v>
      </c>
      <c r="O1353" s="381" t="s">
        <v>150</v>
      </c>
      <c r="P1353" s="381" t="s">
        <v>151</v>
      </c>
      <c r="Q1353" s="381"/>
      <c r="R1353" s="381" t="s">
        <v>6517</v>
      </c>
      <c r="S1353" s="381"/>
      <c r="T1353" s="381" t="s">
        <v>3055</v>
      </c>
      <c r="U1353" s="381" t="s">
        <v>152</v>
      </c>
      <c r="V1353" s="381" t="s">
        <v>23</v>
      </c>
    </row>
    <row r="1354" spans="2:22">
      <c r="B1354" s="383">
        <v>46255</v>
      </c>
      <c r="C1354" s="383">
        <v>46255</v>
      </c>
      <c r="D1354" s="381" t="s">
        <v>6518</v>
      </c>
      <c r="E1354" s="382" t="s">
        <v>6519</v>
      </c>
      <c r="F1354" s="381" t="s">
        <v>87</v>
      </c>
      <c r="G1354" s="381" t="s">
        <v>5766</v>
      </c>
      <c r="H1354" s="387">
        <v>45</v>
      </c>
      <c r="I1354" s="381">
        <v>40.200000000000003</v>
      </c>
      <c r="J1354" s="381">
        <v>40.200000000000003</v>
      </c>
      <c r="K1354" s="381">
        <v>5</v>
      </c>
      <c r="L1354" s="381">
        <v>0</v>
      </c>
      <c r="M1354" s="381" t="s">
        <v>148</v>
      </c>
      <c r="N1354" s="381" t="s">
        <v>149</v>
      </c>
      <c r="O1354" s="381" t="s">
        <v>150</v>
      </c>
      <c r="P1354" s="381" t="s">
        <v>151</v>
      </c>
      <c r="Q1354" s="381"/>
      <c r="R1354" s="381" t="s">
        <v>6519</v>
      </c>
      <c r="S1354" s="381"/>
      <c r="T1354" s="381" t="s">
        <v>3055</v>
      </c>
      <c r="U1354" s="381" t="s">
        <v>152</v>
      </c>
      <c r="V1354" s="381" t="s">
        <v>23</v>
      </c>
    </row>
    <row r="1355" spans="2:22">
      <c r="B1355" s="383">
        <v>46255</v>
      </c>
      <c r="C1355" s="383">
        <v>46255</v>
      </c>
      <c r="D1355" s="381" t="s">
        <v>6520</v>
      </c>
      <c r="E1355" s="382" t="s">
        <v>6521</v>
      </c>
      <c r="F1355" s="381" t="s">
        <v>87</v>
      </c>
      <c r="G1355" s="381" t="s">
        <v>6008</v>
      </c>
      <c r="H1355" s="387">
        <v>30</v>
      </c>
      <c r="I1355" s="381">
        <v>46</v>
      </c>
      <c r="J1355" s="381">
        <v>46</v>
      </c>
      <c r="K1355" s="381">
        <v>4</v>
      </c>
      <c r="L1355" s="381">
        <v>0</v>
      </c>
      <c r="M1355" s="381" t="s">
        <v>148</v>
      </c>
      <c r="N1355" s="381" t="s">
        <v>149</v>
      </c>
      <c r="O1355" s="381" t="s">
        <v>150</v>
      </c>
      <c r="P1355" s="381" t="s">
        <v>151</v>
      </c>
      <c r="Q1355" s="381"/>
      <c r="R1355" s="381" t="s">
        <v>6521</v>
      </c>
      <c r="S1355" s="381"/>
      <c r="T1355" s="381" t="s">
        <v>3055</v>
      </c>
      <c r="U1355" s="381" t="s">
        <v>152</v>
      </c>
      <c r="V1355" s="381" t="s">
        <v>23</v>
      </c>
    </row>
    <row r="1356" spans="2:22">
      <c r="B1356" s="383">
        <v>46256</v>
      </c>
      <c r="C1356" s="383">
        <v>46256</v>
      </c>
      <c r="D1356" s="381" t="s">
        <v>6522</v>
      </c>
      <c r="E1356" s="382" t="s">
        <v>6523</v>
      </c>
      <c r="F1356" s="381" t="s">
        <v>87</v>
      </c>
      <c r="G1356" s="381" t="s">
        <v>5766</v>
      </c>
      <c r="H1356" s="387">
        <v>45</v>
      </c>
      <c r="I1356" s="381">
        <v>43.2</v>
      </c>
      <c r="J1356" s="381">
        <v>43.2</v>
      </c>
      <c r="K1356" s="381">
        <v>5</v>
      </c>
      <c r="L1356" s="381">
        <v>0</v>
      </c>
      <c r="M1356" s="381" t="s">
        <v>148</v>
      </c>
      <c r="N1356" s="381" t="s">
        <v>149</v>
      </c>
      <c r="O1356" s="381" t="s">
        <v>150</v>
      </c>
      <c r="P1356" s="381" t="s">
        <v>151</v>
      </c>
      <c r="Q1356" s="381"/>
      <c r="R1356" s="381" t="s">
        <v>6523</v>
      </c>
      <c r="S1356" s="381"/>
      <c r="T1356" s="381" t="s">
        <v>3072</v>
      </c>
      <c r="U1356" s="381" t="s">
        <v>152</v>
      </c>
      <c r="V1356" s="381" t="s">
        <v>23</v>
      </c>
    </row>
    <row r="1357" spans="2:22">
      <c r="B1357" s="383">
        <v>46256</v>
      </c>
      <c r="C1357" s="383">
        <v>46256</v>
      </c>
      <c r="D1357" s="381" t="s">
        <v>6524</v>
      </c>
      <c r="E1357" s="382" t="s">
        <v>6525</v>
      </c>
      <c r="F1357" s="381" t="s">
        <v>87</v>
      </c>
      <c r="G1357" s="381" t="s">
        <v>2358</v>
      </c>
      <c r="H1357" s="387">
        <v>30</v>
      </c>
      <c r="I1357" s="381">
        <v>31.3</v>
      </c>
      <c r="J1357" s="381">
        <v>31.3</v>
      </c>
      <c r="K1357" s="381">
        <v>4</v>
      </c>
      <c r="L1357" s="381">
        <v>0</v>
      </c>
      <c r="M1357" s="381" t="s">
        <v>148</v>
      </c>
      <c r="N1357" s="381" t="s">
        <v>149</v>
      </c>
      <c r="O1357" s="381" t="s">
        <v>150</v>
      </c>
      <c r="P1357" s="381" t="s">
        <v>151</v>
      </c>
      <c r="Q1357" s="381"/>
      <c r="R1357" s="381" t="s">
        <v>6525</v>
      </c>
      <c r="S1357" s="381"/>
      <c r="T1357" s="381" t="s">
        <v>3072</v>
      </c>
      <c r="U1357" s="381" t="s">
        <v>152</v>
      </c>
      <c r="V1357" s="381" t="s">
        <v>23</v>
      </c>
    </row>
    <row r="1358" spans="2:22">
      <c r="B1358" s="383">
        <v>46256</v>
      </c>
      <c r="C1358" s="383">
        <v>46256</v>
      </c>
      <c r="D1358" s="381" t="s">
        <v>6526</v>
      </c>
      <c r="E1358" s="382" t="s">
        <v>6527</v>
      </c>
      <c r="F1358" s="381" t="s">
        <v>87</v>
      </c>
      <c r="G1358" s="381" t="s">
        <v>2404</v>
      </c>
      <c r="H1358" s="387">
        <v>40</v>
      </c>
      <c r="I1358" s="381">
        <v>37.799999999999997</v>
      </c>
      <c r="J1358" s="381">
        <v>37.799999999999997</v>
      </c>
      <c r="K1358" s="381">
        <v>5</v>
      </c>
      <c r="L1358" s="381">
        <v>0</v>
      </c>
      <c r="M1358" s="381" t="s">
        <v>148</v>
      </c>
      <c r="N1358" s="381" t="s">
        <v>149</v>
      </c>
      <c r="O1358" s="381" t="s">
        <v>150</v>
      </c>
      <c r="P1358" s="381" t="s">
        <v>151</v>
      </c>
      <c r="Q1358" s="381"/>
      <c r="R1358" s="381" t="s">
        <v>6527</v>
      </c>
      <c r="S1358" s="381"/>
      <c r="T1358" s="381" t="s">
        <v>3072</v>
      </c>
      <c r="U1358" s="381" t="s">
        <v>152</v>
      </c>
      <c r="V1358" s="381" t="s">
        <v>23</v>
      </c>
    </row>
    <row r="1359" spans="2:22">
      <c r="B1359" s="383">
        <v>46256</v>
      </c>
      <c r="C1359" s="383">
        <v>46256</v>
      </c>
      <c r="D1359" s="381" t="s">
        <v>6528</v>
      </c>
      <c r="E1359" s="382" t="s">
        <v>6529</v>
      </c>
      <c r="F1359" s="381" t="s">
        <v>87</v>
      </c>
      <c r="G1359" s="381" t="s">
        <v>6008</v>
      </c>
      <c r="H1359" s="387">
        <v>30</v>
      </c>
      <c r="I1359" s="381">
        <v>34.799999999999997</v>
      </c>
      <c r="J1359" s="381">
        <v>34.799999999999997</v>
      </c>
      <c r="K1359" s="381">
        <v>4</v>
      </c>
      <c r="L1359" s="381">
        <v>0</v>
      </c>
      <c r="M1359" s="381" t="s">
        <v>148</v>
      </c>
      <c r="N1359" s="381" t="s">
        <v>149</v>
      </c>
      <c r="O1359" s="381" t="s">
        <v>150</v>
      </c>
      <c r="P1359" s="381" t="s">
        <v>151</v>
      </c>
      <c r="Q1359" s="381"/>
      <c r="R1359" s="381" t="s">
        <v>6529</v>
      </c>
      <c r="S1359" s="381"/>
      <c r="T1359" s="381" t="s">
        <v>3072</v>
      </c>
      <c r="U1359" s="381" t="s">
        <v>152</v>
      </c>
      <c r="V1359" s="381" t="s">
        <v>23</v>
      </c>
    </row>
    <row r="1360" spans="2:22">
      <c r="B1360" s="383">
        <v>46256</v>
      </c>
      <c r="C1360" s="383">
        <v>46256</v>
      </c>
      <c r="D1360" s="381" t="s">
        <v>6530</v>
      </c>
      <c r="E1360" s="382" t="s">
        <v>6531</v>
      </c>
      <c r="F1360" s="381" t="s">
        <v>87</v>
      </c>
      <c r="G1360" s="381" t="s">
        <v>2333</v>
      </c>
      <c r="H1360" s="387">
        <v>30</v>
      </c>
      <c r="I1360" s="381">
        <v>30.3</v>
      </c>
      <c r="J1360" s="381">
        <v>30.3</v>
      </c>
      <c r="K1360" s="381">
        <v>4</v>
      </c>
      <c r="L1360" s="381">
        <v>0</v>
      </c>
      <c r="M1360" s="381" t="s">
        <v>148</v>
      </c>
      <c r="N1360" s="381" t="s">
        <v>149</v>
      </c>
      <c r="O1360" s="381" t="s">
        <v>150</v>
      </c>
      <c r="P1360" s="381" t="s">
        <v>151</v>
      </c>
      <c r="Q1360" s="381"/>
      <c r="R1360" s="381" t="s">
        <v>6531</v>
      </c>
      <c r="S1360" s="381"/>
      <c r="T1360" s="381" t="s">
        <v>3072</v>
      </c>
      <c r="U1360" s="381" t="s">
        <v>152</v>
      </c>
      <c r="V1360" s="381" t="s">
        <v>23</v>
      </c>
    </row>
    <row r="1361" spans="2:22">
      <c r="B1361" s="383">
        <v>46256</v>
      </c>
      <c r="C1361" s="383">
        <v>46256</v>
      </c>
      <c r="D1361" s="381" t="s">
        <v>6532</v>
      </c>
      <c r="E1361" s="382" t="s">
        <v>6533</v>
      </c>
      <c r="F1361" s="381" t="s">
        <v>87</v>
      </c>
      <c r="G1361" s="381" t="s">
        <v>2333</v>
      </c>
      <c r="H1361" s="387">
        <v>30</v>
      </c>
      <c r="I1361" s="381">
        <v>31.6</v>
      </c>
      <c r="J1361" s="381">
        <v>31.6</v>
      </c>
      <c r="K1361" s="381">
        <v>4</v>
      </c>
      <c r="L1361" s="381">
        <v>0</v>
      </c>
      <c r="M1361" s="381" t="s">
        <v>148</v>
      </c>
      <c r="N1361" s="381" t="s">
        <v>149</v>
      </c>
      <c r="O1361" s="381" t="s">
        <v>150</v>
      </c>
      <c r="P1361" s="381" t="s">
        <v>151</v>
      </c>
      <c r="Q1361" s="381"/>
      <c r="R1361" s="381" t="s">
        <v>6533</v>
      </c>
      <c r="S1361" s="381"/>
      <c r="T1361" s="381" t="s">
        <v>3072</v>
      </c>
      <c r="U1361" s="381" t="s">
        <v>152</v>
      </c>
      <c r="V1361" s="381" t="s">
        <v>23</v>
      </c>
    </row>
    <row r="1362" spans="2:22">
      <c r="B1362" s="383">
        <v>46256</v>
      </c>
      <c r="C1362" s="383">
        <v>46256</v>
      </c>
      <c r="D1362" s="381" t="s">
        <v>6534</v>
      </c>
      <c r="E1362" s="382" t="s">
        <v>6535</v>
      </c>
      <c r="F1362" s="381" t="s">
        <v>87</v>
      </c>
      <c r="G1362" s="381" t="s">
        <v>2404</v>
      </c>
      <c r="H1362" s="387">
        <v>40</v>
      </c>
      <c r="I1362" s="381">
        <v>13.8</v>
      </c>
      <c r="J1362" s="381">
        <v>13.8</v>
      </c>
      <c r="K1362" s="381">
        <v>5</v>
      </c>
      <c r="L1362" s="381">
        <v>0</v>
      </c>
      <c r="M1362" s="381" t="s">
        <v>148</v>
      </c>
      <c r="N1362" s="381" t="s">
        <v>149</v>
      </c>
      <c r="O1362" s="381" t="s">
        <v>150</v>
      </c>
      <c r="P1362" s="381" t="s">
        <v>151</v>
      </c>
      <c r="Q1362" s="381"/>
      <c r="R1362" s="381" t="s">
        <v>6535</v>
      </c>
      <c r="S1362" s="381"/>
      <c r="T1362" s="381" t="s">
        <v>3072</v>
      </c>
      <c r="U1362" s="381" t="s">
        <v>152</v>
      </c>
      <c r="V1362" s="381" t="s">
        <v>23</v>
      </c>
    </row>
    <row r="1363" spans="2:22">
      <c r="B1363" s="383">
        <v>46256</v>
      </c>
      <c r="C1363" s="383">
        <v>46256</v>
      </c>
      <c r="D1363" s="381" t="s">
        <v>6536</v>
      </c>
      <c r="E1363" s="382" t="s">
        <v>6537</v>
      </c>
      <c r="F1363" s="381" t="s">
        <v>87</v>
      </c>
      <c r="G1363" s="381" t="s">
        <v>6460</v>
      </c>
      <c r="H1363" s="387">
        <v>6</v>
      </c>
      <c r="I1363" s="381">
        <v>23.8</v>
      </c>
      <c r="J1363" s="381">
        <v>23.8</v>
      </c>
      <c r="K1363" s="381">
        <v>1.5</v>
      </c>
      <c r="L1363" s="381">
        <v>0</v>
      </c>
      <c r="M1363" s="381" t="s">
        <v>148</v>
      </c>
      <c r="N1363" s="381" t="s">
        <v>149</v>
      </c>
      <c r="O1363" s="381" t="s">
        <v>150</v>
      </c>
      <c r="P1363" s="381" t="s">
        <v>151</v>
      </c>
      <c r="Q1363" s="381"/>
      <c r="R1363" s="381" t="s">
        <v>6537</v>
      </c>
      <c r="S1363" s="381"/>
      <c r="T1363" s="381" t="s">
        <v>3072</v>
      </c>
      <c r="U1363" s="381" t="s">
        <v>152</v>
      </c>
      <c r="V1363" s="381" t="s">
        <v>23</v>
      </c>
    </row>
    <row r="1364" spans="2:22">
      <c r="B1364" s="383">
        <v>46256</v>
      </c>
      <c r="C1364" s="383">
        <v>46256</v>
      </c>
      <c r="D1364" s="381" t="s">
        <v>6538</v>
      </c>
      <c r="E1364" s="382" t="s">
        <v>6539</v>
      </c>
      <c r="F1364" s="381" t="s">
        <v>87</v>
      </c>
      <c r="G1364" s="381" t="s">
        <v>6008</v>
      </c>
      <c r="H1364" s="387">
        <v>30</v>
      </c>
      <c r="I1364" s="381">
        <v>41.5</v>
      </c>
      <c r="J1364" s="381">
        <v>41.5</v>
      </c>
      <c r="K1364" s="381">
        <v>4</v>
      </c>
      <c r="L1364" s="381">
        <v>0</v>
      </c>
      <c r="M1364" s="381" t="s">
        <v>148</v>
      </c>
      <c r="N1364" s="381" t="s">
        <v>149</v>
      </c>
      <c r="O1364" s="381" t="s">
        <v>150</v>
      </c>
      <c r="P1364" s="381" t="s">
        <v>151</v>
      </c>
      <c r="Q1364" s="381"/>
      <c r="R1364" s="381" t="s">
        <v>6539</v>
      </c>
      <c r="S1364" s="381"/>
      <c r="T1364" s="381" t="s">
        <v>3072</v>
      </c>
      <c r="U1364" s="381" t="s">
        <v>152</v>
      </c>
      <c r="V1364" s="381" t="s">
        <v>23</v>
      </c>
    </row>
    <row r="1365" spans="2:22">
      <c r="B1365" s="383">
        <v>46256</v>
      </c>
      <c r="C1365" s="383">
        <v>46256</v>
      </c>
      <c r="D1365" s="381" t="s">
        <v>6540</v>
      </c>
      <c r="E1365" s="382" t="s">
        <v>6541</v>
      </c>
      <c r="F1365" s="381" t="s">
        <v>87</v>
      </c>
      <c r="G1365" s="381" t="s">
        <v>2333</v>
      </c>
      <c r="H1365" s="387">
        <v>30</v>
      </c>
      <c r="I1365" s="381">
        <v>40</v>
      </c>
      <c r="J1365" s="381">
        <v>40</v>
      </c>
      <c r="K1365" s="381">
        <v>4</v>
      </c>
      <c r="L1365" s="381">
        <v>0</v>
      </c>
      <c r="M1365" s="381" t="s">
        <v>148</v>
      </c>
      <c r="N1365" s="381" t="s">
        <v>149</v>
      </c>
      <c r="O1365" s="381" t="s">
        <v>150</v>
      </c>
      <c r="P1365" s="381" t="s">
        <v>151</v>
      </c>
      <c r="Q1365" s="381"/>
      <c r="R1365" s="381" t="s">
        <v>6541</v>
      </c>
      <c r="S1365" s="381"/>
      <c r="T1365" s="381" t="s">
        <v>3072</v>
      </c>
      <c r="U1365" s="381" t="s">
        <v>152</v>
      </c>
      <c r="V1365" s="381" t="s">
        <v>23</v>
      </c>
    </row>
    <row r="1366" spans="2:22">
      <c r="B1366" s="383">
        <v>46256</v>
      </c>
      <c r="C1366" s="383">
        <v>46256</v>
      </c>
      <c r="D1366" s="381" t="s">
        <v>6542</v>
      </c>
      <c r="E1366" s="382" t="s">
        <v>6543</v>
      </c>
      <c r="F1366" s="381" t="s">
        <v>87</v>
      </c>
      <c r="G1366" s="381" t="s">
        <v>2333</v>
      </c>
      <c r="H1366" s="387">
        <v>30</v>
      </c>
      <c r="I1366" s="381">
        <v>40.1</v>
      </c>
      <c r="J1366" s="381">
        <v>40.1</v>
      </c>
      <c r="K1366" s="381">
        <v>4</v>
      </c>
      <c r="L1366" s="381">
        <v>0</v>
      </c>
      <c r="M1366" s="381" t="s">
        <v>148</v>
      </c>
      <c r="N1366" s="381" t="s">
        <v>149</v>
      </c>
      <c r="O1366" s="381" t="s">
        <v>150</v>
      </c>
      <c r="P1366" s="381" t="s">
        <v>151</v>
      </c>
      <c r="Q1366" s="381"/>
      <c r="R1366" s="381" t="s">
        <v>6543</v>
      </c>
      <c r="S1366" s="381"/>
      <c r="T1366" s="381" t="s">
        <v>3072</v>
      </c>
      <c r="U1366" s="381" t="s">
        <v>152</v>
      </c>
      <c r="V1366" s="381" t="s">
        <v>23</v>
      </c>
    </row>
    <row r="1367" spans="2:22">
      <c r="B1367" s="383">
        <v>46256</v>
      </c>
      <c r="C1367" s="383">
        <v>46256</v>
      </c>
      <c r="D1367" s="381" t="s">
        <v>6544</v>
      </c>
      <c r="E1367" s="382" t="s">
        <v>6545</v>
      </c>
      <c r="F1367" s="381" t="s">
        <v>87</v>
      </c>
      <c r="G1367" s="381" t="s">
        <v>2358</v>
      </c>
      <c r="H1367" s="387">
        <v>30</v>
      </c>
      <c r="I1367" s="381">
        <v>16.8</v>
      </c>
      <c r="J1367" s="381">
        <v>16.8</v>
      </c>
      <c r="K1367" s="381">
        <v>4</v>
      </c>
      <c r="L1367" s="381">
        <v>0</v>
      </c>
      <c r="M1367" s="381" t="s">
        <v>148</v>
      </c>
      <c r="N1367" s="381" t="s">
        <v>149</v>
      </c>
      <c r="O1367" s="381" t="s">
        <v>150</v>
      </c>
      <c r="P1367" s="381" t="s">
        <v>151</v>
      </c>
      <c r="Q1367" s="381"/>
      <c r="R1367" s="381" t="s">
        <v>6545</v>
      </c>
      <c r="S1367" s="381"/>
      <c r="T1367" s="381" t="s">
        <v>3072</v>
      </c>
      <c r="U1367" s="381" t="s">
        <v>152</v>
      </c>
      <c r="V1367" s="381" t="s">
        <v>23</v>
      </c>
    </row>
    <row r="1368" spans="2:22">
      <c r="B1368" s="383">
        <v>46256</v>
      </c>
      <c r="C1368" s="383">
        <v>46256</v>
      </c>
      <c r="D1368" s="381" t="s">
        <v>6546</v>
      </c>
      <c r="E1368" s="382" t="s">
        <v>6547</v>
      </c>
      <c r="F1368" s="381" t="s">
        <v>87</v>
      </c>
      <c r="G1368" s="381" t="s">
        <v>5766</v>
      </c>
      <c r="H1368" s="387">
        <v>45</v>
      </c>
      <c r="I1368" s="381">
        <v>29.3</v>
      </c>
      <c r="J1368" s="381">
        <v>29.3</v>
      </c>
      <c r="K1368" s="381">
        <v>5</v>
      </c>
      <c r="L1368" s="381">
        <v>0</v>
      </c>
      <c r="M1368" s="381" t="s">
        <v>148</v>
      </c>
      <c r="N1368" s="381" t="s">
        <v>149</v>
      </c>
      <c r="O1368" s="381" t="s">
        <v>150</v>
      </c>
      <c r="P1368" s="381" t="s">
        <v>151</v>
      </c>
      <c r="Q1368" s="381"/>
      <c r="R1368" s="381" t="s">
        <v>6547</v>
      </c>
      <c r="S1368" s="381"/>
      <c r="T1368" s="381" t="s">
        <v>3072</v>
      </c>
      <c r="U1368" s="381" t="s">
        <v>152</v>
      </c>
      <c r="V1368" s="381" t="s">
        <v>23</v>
      </c>
    </row>
    <row r="1369" spans="2:22">
      <c r="B1369" s="383">
        <v>46256</v>
      </c>
      <c r="C1369" s="383">
        <v>46256</v>
      </c>
      <c r="D1369" s="381" t="s">
        <v>6548</v>
      </c>
      <c r="E1369" s="382" t="s">
        <v>6549</v>
      </c>
      <c r="F1369" s="381" t="s">
        <v>87</v>
      </c>
      <c r="G1369" s="381" t="s">
        <v>6008</v>
      </c>
      <c r="H1369" s="387">
        <v>30</v>
      </c>
      <c r="I1369" s="381">
        <v>34.200000000000003</v>
      </c>
      <c r="J1369" s="381">
        <v>34.200000000000003</v>
      </c>
      <c r="K1369" s="381">
        <v>4</v>
      </c>
      <c r="L1369" s="381">
        <v>0</v>
      </c>
      <c r="M1369" s="381" t="s">
        <v>148</v>
      </c>
      <c r="N1369" s="381" t="s">
        <v>149</v>
      </c>
      <c r="O1369" s="381" t="s">
        <v>150</v>
      </c>
      <c r="P1369" s="381" t="s">
        <v>151</v>
      </c>
      <c r="Q1369" s="381"/>
      <c r="R1369" s="381" t="s">
        <v>6549</v>
      </c>
      <c r="S1369" s="381"/>
      <c r="T1369" s="381" t="s">
        <v>3072</v>
      </c>
      <c r="U1369" s="381" t="s">
        <v>152</v>
      </c>
      <c r="V1369" s="381" t="s">
        <v>23</v>
      </c>
    </row>
    <row r="1370" spans="2:22">
      <c r="B1370" s="383">
        <v>46256</v>
      </c>
      <c r="C1370" s="383">
        <v>46256</v>
      </c>
      <c r="D1370" s="381" t="s">
        <v>6550</v>
      </c>
      <c r="E1370" s="382" t="s">
        <v>6551</v>
      </c>
      <c r="F1370" s="381" t="s">
        <v>87</v>
      </c>
      <c r="G1370" s="381" t="s">
        <v>5766</v>
      </c>
      <c r="H1370" s="387">
        <v>45</v>
      </c>
      <c r="I1370" s="381">
        <v>37.799999999999997</v>
      </c>
      <c r="J1370" s="381">
        <v>37.799999999999997</v>
      </c>
      <c r="K1370" s="381">
        <v>5</v>
      </c>
      <c r="L1370" s="381">
        <v>0</v>
      </c>
      <c r="M1370" s="381" t="s">
        <v>148</v>
      </c>
      <c r="N1370" s="381" t="s">
        <v>149</v>
      </c>
      <c r="O1370" s="381" t="s">
        <v>150</v>
      </c>
      <c r="P1370" s="381" t="s">
        <v>151</v>
      </c>
      <c r="Q1370" s="381"/>
      <c r="R1370" s="381" t="s">
        <v>6551</v>
      </c>
      <c r="S1370" s="381"/>
      <c r="T1370" s="381" t="s">
        <v>3072</v>
      </c>
      <c r="U1370" s="381" t="s">
        <v>152</v>
      </c>
      <c r="V1370" s="381" t="s">
        <v>23</v>
      </c>
    </row>
    <row r="1371" spans="2:22">
      <c r="B1371" s="383">
        <v>46256</v>
      </c>
      <c r="C1371" s="383">
        <v>46256</v>
      </c>
      <c r="D1371" s="381" t="s">
        <v>6552</v>
      </c>
      <c r="E1371" s="382" t="s">
        <v>6553</v>
      </c>
      <c r="F1371" s="381" t="s">
        <v>87</v>
      </c>
      <c r="G1371" s="381" t="s">
        <v>2333</v>
      </c>
      <c r="H1371" s="387">
        <v>30</v>
      </c>
      <c r="I1371" s="381">
        <v>31.7</v>
      </c>
      <c r="J1371" s="381">
        <v>31.7</v>
      </c>
      <c r="K1371" s="381">
        <v>4</v>
      </c>
      <c r="L1371" s="381">
        <v>0</v>
      </c>
      <c r="M1371" s="381" t="s">
        <v>148</v>
      </c>
      <c r="N1371" s="381" t="s">
        <v>149</v>
      </c>
      <c r="O1371" s="381" t="s">
        <v>150</v>
      </c>
      <c r="P1371" s="381" t="s">
        <v>151</v>
      </c>
      <c r="Q1371" s="381"/>
      <c r="R1371" s="381" t="s">
        <v>6553</v>
      </c>
      <c r="S1371" s="381"/>
      <c r="T1371" s="381" t="s">
        <v>3072</v>
      </c>
      <c r="U1371" s="381" t="s">
        <v>152</v>
      </c>
      <c r="V1371" s="381" t="s">
        <v>23</v>
      </c>
    </row>
    <row r="1372" spans="2:22">
      <c r="B1372" s="383">
        <v>46256</v>
      </c>
      <c r="C1372" s="383">
        <v>46256</v>
      </c>
      <c r="D1372" s="381" t="s">
        <v>6554</v>
      </c>
      <c r="E1372" s="382" t="s">
        <v>6555</v>
      </c>
      <c r="F1372" s="381" t="s">
        <v>87</v>
      </c>
      <c r="G1372" s="381" t="s">
        <v>2404</v>
      </c>
      <c r="H1372" s="387">
        <v>40</v>
      </c>
      <c r="I1372" s="381">
        <v>29.8</v>
      </c>
      <c r="J1372" s="381">
        <v>29.8</v>
      </c>
      <c r="K1372" s="381">
        <v>5</v>
      </c>
      <c r="L1372" s="381">
        <v>0</v>
      </c>
      <c r="M1372" s="381" t="s">
        <v>148</v>
      </c>
      <c r="N1372" s="381" t="s">
        <v>149</v>
      </c>
      <c r="O1372" s="381" t="s">
        <v>150</v>
      </c>
      <c r="P1372" s="381" t="s">
        <v>151</v>
      </c>
      <c r="Q1372" s="381"/>
      <c r="R1372" s="381" t="s">
        <v>6555</v>
      </c>
      <c r="S1372" s="381"/>
      <c r="T1372" s="381" t="s">
        <v>3072</v>
      </c>
      <c r="U1372" s="381" t="s">
        <v>152</v>
      </c>
      <c r="V1372" s="381" t="s">
        <v>23</v>
      </c>
    </row>
    <row r="1373" spans="2:22">
      <c r="B1373" s="383">
        <v>46256</v>
      </c>
      <c r="C1373" s="383">
        <v>46256</v>
      </c>
      <c r="D1373" s="381" t="s">
        <v>6556</v>
      </c>
      <c r="E1373" s="382" t="s">
        <v>6557</v>
      </c>
      <c r="F1373" s="381" t="s">
        <v>87</v>
      </c>
      <c r="G1373" s="381" t="s">
        <v>2358</v>
      </c>
      <c r="H1373" s="387">
        <v>30</v>
      </c>
      <c r="I1373" s="381">
        <v>30.6</v>
      </c>
      <c r="J1373" s="381">
        <v>30.6</v>
      </c>
      <c r="K1373" s="381">
        <v>4</v>
      </c>
      <c r="L1373" s="381">
        <v>0</v>
      </c>
      <c r="M1373" s="381" t="s">
        <v>148</v>
      </c>
      <c r="N1373" s="381" t="s">
        <v>149</v>
      </c>
      <c r="O1373" s="381" t="s">
        <v>150</v>
      </c>
      <c r="P1373" s="381" t="s">
        <v>151</v>
      </c>
      <c r="Q1373" s="381"/>
      <c r="R1373" s="381" t="s">
        <v>6557</v>
      </c>
      <c r="S1373" s="381"/>
      <c r="T1373" s="381" t="s">
        <v>3072</v>
      </c>
      <c r="U1373" s="381" t="s">
        <v>152</v>
      </c>
      <c r="V1373" s="381" t="s">
        <v>23</v>
      </c>
    </row>
    <row r="1374" spans="2:22">
      <c r="B1374" s="383">
        <v>46256</v>
      </c>
      <c r="C1374" s="383">
        <v>46256</v>
      </c>
      <c r="D1374" s="381" t="s">
        <v>6558</v>
      </c>
      <c r="E1374" s="382" t="s">
        <v>6559</v>
      </c>
      <c r="F1374" s="381" t="s">
        <v>87</v>
      </c>
      <c r="G1374" s="381" t="s">
        <v>2358</v>
      </c>
      <c r="H1374" s="387">
        <v>30</v>
      </c>
      <c r="I1374" s="381">
        <v>35.799999999999997</v>
      </c>
      <c r="J1374" s="381">
        <v>35.799999999999997</v>
      </c>
      <c r="K1374" s="381">
        <v>4</v>
      </c>
      <c r="L1374" s="381">
        <v>0</v>
      </c>
      <c r="M1374" s="381" t="s">
        <v>148</v>
      </c>
      <c r="N1374" s="381" t="s">
        <v>149</v>
      </c>
      <c r="O1374" s="381" t="s">
        <v>150</v>
      </c>
      <c r="P1374" s="381" t="s">
        <v>151</v>
      </c>
      <c r="Q1374" s="381"/>
      <c r="R1374" s="381" t="s">
        <v>6559</v>
      </c>
      <c r="S1374" s="381"/>
      <c r="T1374" s="381" t="s">
        <v>3072</v>
      </c>
      <c r="U1374" s="381" t="s">
        <v>152</v>
      </c>
      <c r="V1374" s="381" t="s">
        <v>23</v>
      </c>
    </row>
    <row r="1375" spans="2:22">
      <c r="B1375" s="383">
        <v>46256</v>
      </c>
      <c r="C1375" s="383">
        <v>46256</v>
      </c>
      <c r="D1375" s="381" t="s">
        <v>6560</v>
      </c>
      <c r="E1375" s="382" t="s">
        <v>6561</v>
      </c>
      <c r="F1375" s="381" t="s">
        <v>87</v>
      </c>
      <c r="G1375" s="381" t="s">
        <v>2404</v>
      </c>
      <c r="H1375" s="387">
        <v>40</v>
      </c>
      <c r="I1375" s="381">
        <v>43.8</v>
      </c>
      <c r="J1375" s="381">
        <v>43.8</v>
      </c>
      <c r="K1375" s="381">
        <v>5</v>
      </c>
      <c r="L1375" s="381">
        <v>0</v>
      </c>
      <c r="M1375" s="381" t="s">
        <v>148</v>
      </c>
      <c r="N1375" s="381" t="s">
        <v>149</v>
      </c>
      <c r="O1375" s="381" t="s">
        <v>150</v>
      </c>
      <c r="P1375" s="381" t="s">
        <v>151</v>
      </c>
      <c r="Q1375" s="381"/>
      <c r="R1375" s="381" t="s">
        <v>6561</v>
      </c>
      <c r="S1375" s="381"/>
      <c r="T1375" s="381" t="s">
        <v>3072</v>
      </c>
      <c r="U1375" s="381" t="s">
        <v>152</v>
      </c>
      <c r="V1375" s="381" t="s">
        <v>23</v>
      </c>
    </row>
    <row r="1376" spans="2:22">
      <c r="B1376" s="383">
        <v>46256</v>
      </c>
      <c r="C1376" s="383">
        <v>46256</v>
      </c>
      <c r="D1376" s="381" t="s">
        <v>6562</v>
      </c>
      <c r="E1376" s="382" t="s">
        <v>6563</v>
      </c>
      <c r="F1376" s="381" t="s">
        <v>87</v>
      </c>
      <c r="G1376" s="381" t="s">
        <v>2404</v>
      </c>
      <c r="H1376" s="387">
        <v>40</v>
      </c>
      <c r="I1376" s="381">
        <v>40.299999999999997</v>
      </c>
      <c r="J1376" s="381">
        <v>40.299999999999997</v>
      </c>
      <c r="K1376" s="381">
        <v>5</v>
      </c>
      <c r="L1376" s="381">
        <v>0</v>
      </c>
      <c r="M1376" s="381" t="s">
        <v>148</v>
      </c>
      <c r="N1376" s="381" t="s">
        <v>149</v>
      </c>
      <c r="O1376" s="381" t="s">
        <v>150</v>
      </c>
      <c r="P1376" s="381" t="s">
        <v>151</v>
      </c>
      <c r="Q1376" s="381"/>
      <c r="R1376" s="381" t="s">
        <v>6563</v>
      </c>
      <c r="S1376" s="381"/>
      <c r="T1376" s="381" t="s">
        <v>3072</v>
      </c>
      <c r="U1376" s="381" t="s">
        <v>152</v>
      </c>
      <c r="V1376" s="381" t="s">
        <v>23</v>
      </c>
    </row>
    <row r="1377" spans="2:22">
      <c r="B1377" s="383">
        <v>46256</v>
      </c>
      <c r="C1377" s="383">
        <v>46256</v>
      </c>
      <c r="D1377" s="381" t="s">
        <v>6564</v>
      </c>
      <c r="E1377" s="382" t="s">
        <v>6565</v>
      </c>
      <c r="F1377" s="381" t="s">
        <v>87</v>
      </c>
      <c r="G1377" s="381" t="s">
        <v>6008</v>
      </c>
      <c r="H1377" s="387">
        <v>30</v>
      </c>
      <c r="I1377" s="381">
        <v>34.200000000000003</v>
      </c>
      <c r="J1377" s="381">
        <v>34.200000000000003</v>
      </c>
      <c r="K1377" s="381">
        <v>4</v>
      </c>
      <c r="L1377" s="381">
        <v>0</v>
      </c>
      <c r="M1377" s="381" t="s">
        <v>148</v>
      </c>
      <c r="N1377" s="381" t="s">
        <v>149</v>
      </c>
      <c r="O1377" s="381" t="s">
        <v>150</v>
      </c>
      <c r="P1377" s="381" t="s">
        <v>151</v>
      </c>
      <c r="Q1377" s="381"/>
      <c r="R1377" s="381" t="s">
        <v>6565</v>
      </c>
      <c r="S1377" s="381"/>
      <c r="T1377" s="381" t="s">
        <v>3072</v>
      </c>
      <c r="U1377" s="381" t="s">
        <v>152</v>
      </c>
      <c r="V1377" s="381" t="s">
        <v>23</v>
      </c>
    </row>
    <row r="1378" spans="2:22">
      <c r="B1378" s="383">
        <v>46256</v>
      </c>
      <c r="C1378" s="383">
        <v>46256</v>
      </c>
      <c r="D1378" s="381" t="s">
        <v>6566</v>
      </c>
      <c r="E1378" s="382" t="s">
        <v>6567</v>
      </c>
      <c r="F1378" s="381" t="s">
        <v>87</v>
      </c>
      <c r="G1378" s="381" t="s">
        <v>2333</v>
      </c>
      <c r="H1378" s="387">
        <v>30</v>
      </c>
      <c r="I1378" s="381">
        <v>30.5</v>
      </c>
      <c r="J1378" s="381">
        <v>30.5</v>
      </c>
      <c r="K1378" s="381">
        <v>4</v>
      </c>
      <c r="L1378" s="381">
        <v>0</v>
      </c>
      <c r="M1378" s="381" t="s">
        <v>148</v>
      </c>
      <c r="N1378" s="381" t="s">
        <v>149</v>
      </c>
      <c r="O1378" s="381" t="s">
        <v>150</v>
      </c>
      <c r="P1378" s="381" t="s">
        <v>151</v>
      </c>
      <c r="Q1378" s="381"/>
      <c r="R1378" s="381" t="s">
        <v>6567</v>
      </c>
      <c r="S1378" s="381"/>
      <c r="T1378" s="381" t="s">
        <v>3072</v>
      </c>
      <c r="U1378" s="381" t="s">
        <v>152</v>
      </c>
      <c r="V1378" s="381" t="s">
        <v>23</v>
      </c>
    </row>
    <row r="1379" spans="2:22">
      <c r="B1379" s="383">
        <v>46256</v>
      </c>
      <c r="C1379" s="383">
        <v>46256</v>
      </c>
      <c r="D1379" s="381" t="s">
        <v>6568</v>
      </c>
      <c r="E1379" s="382" t="s">
        <v>6569</v>
      </c>
      <c r="F1379" s="381" t="s">
        <v>87</v>
      </c>
      <c r="G1379" s="381" t="s">
        <v>2404</v>
      </c>
      <c r="H1379" s="387">
        <v>40</v>
      </c>
      <c r="I1379" s="381">
        <v>44.7</v>
      </c>
      <c r="J1379" s="381">
        <v>44.7</v>
      </c>
      <c r="K1379" s="381">
        <v>5</v>
      </c>
      <c r="L1379" s="381">
        <v>0</v>
      </c>
      <c r="M1379" s="381" t="s">
        <v>148</v>
      </c>
      <c r="N1379" s="381" t="s">
        <v>149</v>
      </c>
      <c r="O1379" s="381" t="s">
        <v>150</v>
      </c>
      <c r="P1379" s="381" t="s">
        <v>151</v>
      </c>
      <c r="Q1379" s="381"/>
      <c r="R1379" s="381" t="s">
        <v>6569</v>
      </c>
      <c r="S1379" s="381"/>
      <c r="T1379" s="381" t="s">
        <v>3072</v>
      </c>
      <c r="U1379" s="381" t="s">
        <v>152</v>
      </c>
      <c r="V1379" s="381" t="s">
        <v>23</v>
      </c>
    </row>
    <row r="1380" spans="2:22">
      <c r="B1380" s="383">
        <v>46256</v>
      </c>
      <c r="C1380" s="383">
        <v>46256</v>
      </c>
      <c r="D1380" s="381" t="s">
        <v>6570</v>
      </c>
      <c r="E1380" s="382" t="s">
        <v>6571</v>
      </c>
      <c r="F1380" s="381" t="s">
        <v>87</v>
      </c>
      <c r="G1380" s="381" t="s">
        <v>2358</v>
      </c>
      <c r="H1380" s="387">
        <v>30</v>
      </c>
      <c r="I1380" s="381">
        <v>22.4</v>
      </c>
      <c r="J1380" s="381">
        <v>22.4</v>
      </c>
      <c r="K1380" s="381">
        <v>4</v>
      </c>
      <c r="L1380" s="381">
        <v>0</v>
      </c>
      <c r="M1380" s="381" t="s">
        <v>148</v>
      </c>
      <c r="N1380" s="381" t="s">
        <v>149</v>
      </c>
      <c r="O1380" s="381" t="s">
        <v>150</v>
      </c>
      <c r="P1380" s="381" t="s">
        <v>151</v>
      </c>
      <c r="Q1380" s="381"/>
      <c r="R1380" s="381" t="s">
        <v>6571</v>
      </c>
      <c r="S1380" s="381"/>
      <c r="T1380" s="381" t="s">
        <v>3072</v>
      </c>
      <c r="U1380" s="381" t="s">
        <v>152</v>
      </c>
      <c r="V1380" s="381" t="s">
        <v>23</v>
      </c>
    </row>
    <row r="1381" spans="2:22">
      <c r="B1381" s="383">
        <v>46256</v>
      </c>
      <c r="C1381" s="383">
        <v>46256</v>
      </c>
      <c r="D1381" s="381" t="s">
        <v>6572</v>
      </c>
      <c r="E1381" s="382" t="s">
        <v>6573</v>
      </c>
      <c r="F1381" s="381" t="s">
        <v>87</v>
      </c>
      <c r="G1381" s="381" t="s">
        <v>6008</v>
      </c>
      <c r="H1381" s="387">
        <v>30</v>
      </c>
      <c r="I1381" s="381">
        <v>42.3</v>
      </c>
      <c r="J1381" s="381">
        <v>42.3</v>
      </c>
      <c r="K1381" s="381">
        <v>4</v>
      </c>
      <c r="L1381" s="381">
        <v>0</v>
      </c>
      <c r="M1381" s="381" t="s">
        <v>148</v>
      </c>
      <c r="N1381" s="381" t="s">
        <v>149</v>
      </c>
      <c r="O1381" s="381" t="s">
        <v>150</v>
      </c>
      <c r="P1381" s="381" t="s">
        <v>151</v>
      </c>
      <c r="Q1381" s="381"/>
      <c r="R1381" s="381" t="s">
        <v>6573</v>
      </c>
      <c r="S1381" s="381"/>
      <c r="T1381" s="381" t="s">
        <v>3072</v>
      </c>
      <c r="U1381" s="381" t="s">
        <v>152</v>
      </c>
      <c r="V1381" s="381" t="s">
        <v>23</v>
      </c>
    </row>
    <row r="1382" spans="2:22">
      <c r="B1382" s="383">
        <v>46256</v>
      </c>
      <c r="C1382" s="383">
        <v>46256</v>
      </c>
      <c r="D1382" s="381" t="s">
        <v>6574</v>
      </c>
      <c r="E1382" s="382" t="s">
        <v>6575</v>
      </c>
      <c r="F1382" s="381" t="s">
        <v>87</v>
      </c>
      <c r="G1382" s="381" t="s">
        <v>4512</v>
      </c>
      <c r="H1382" s="387">
        <v>55</v>
      </c>
      <c r="I1382" s="381">
        <v>18</v>
      </c>
      <c r="J1382" s="381">
        <v>18</v>
      </c>
      <c r="K1382" s="381">
        <v>5</v>
      </c>
      <c r="L1382" s="381">
        <v>0</v>
      </c>
      <c r="M1382" s="381" t="s">
        <v>148</v>
      </c>
      <c r="N1382" s="381" t="s">
        <v>149</v>
      </c>
      <c r="O1382" s="381" t="s">
        <v>150</v>
      </c>
      <c r="P1382" s="381" t="s">
        <v>151</v>
      </c>
      <c r="Q1382" s="381"/>
      <c r="R1382" s="381" t="s">
        <v>6575</v>
      </c>
      <c r="S1382" s="381"/>
      <c r="T1382" s="381" t="s">
        <v>3072</v>
      </c>
      <c r="U1382" s="381" t="s">
        <v>152</v>
      </c>
      <c r="V1382" s="381" t="s">
        <v>23</v>
      </c>
    </row>
    <row r="1383" spans="2:22">
      <c r="B1383" s="383">
        <v>46256</v>
      </c>
      <c r="C1383" s="383">
        <v>46256</v>
      </c>
      <c r="D1383" s="381" t="s">
        <v>6576</v>
      </c>
      <c r="E1383" s="382" t="s">
        <v>6577</v>
      </c>
      <c r="F1383" s="381" t="s">
        <v>87</v>
      </c>
      <c r="G1383" s="381" t="s">
        <v>6008</v>
      </c>
      <c r="H1383" s="387">
        <v>30</v>
      </c>
      <c r="I1383" s="381">
        <v>32.200000000000003</v>
      </c>
      <c r="J1383" s="381">
        <v>32.200000000000003</v>
      </c>
      <c r="K1383" s="381">
        <v>4</v>
      </c>
      <c r="L1383" s="381">
        <v>0</v>
      </c>
      <c r="M1383" s="381" t="s">
        <v>148</v>
      </c>
      <c r="N1383" s="381" t="s">
        <v>149</v>
      </c>
      <c r="O1383" s="381" t="s">
        <v>150</v>
      </c>
      <c r="P1383" s="381" t="s">
        <v>151</v>
      </c>
      <c r="Q1383" s="381"/>
      <c r="R1383" s="381" t="s">
        <v>6577</v>
      </c>
      <c r="S1383" s="381"/>
      <c r="T1383" s="381" t="s">
        <v>3072</v>
      </c>
      <c r="U1383" s="381" t="s">
        <v>152</v>
      </c>
      <c r="V1383" s="381" t="s">
        <v>23</v>
      </c>
    </row>
    <row r="1384" spans="2:22">
      <c r="B1384" s="383">
        <v>46256</v>
      </c>
      <c r="C1384" s="383">
        <v>46256</v>
      </c>
      <c r="D1384" s="381" t="s">
        <v>6578</v>
      </c>
      <c r="E1384" s="382" t="s">
        <v>6579</v>
      </c>
      <c r="F1384" s="381" t="s">
        <v>87</v>
      </c>
      <c r="G1384" s="381" t="s">
        <v>6008</v>
      </c>
      <c r="H1384" s="387">
        <v>30</v>
      </c>
      <c r="I1384" s="381">
        <v>30.7</v>
      </c>
      <c r="J1384" s="381">
        <v>30.7</v>
      </c>
      <c r="K1384" s="381">
        <v>4</v>
      </c>
      <c r="L1384" s="381">
        <v>0</v>
      </c>
      <c r="M1384" s="381" t="s">
        <v>148</v>
      </c>
      <c r="N1384" s="381" t="s">
        <v>149</v>
      </c>
      <c r="O1384" s="381" t="s">
        <v>150</v>
      </c>
      <c r="P1384" s="381" t="s">
        <v>151</v>
      </c>
      <c r="Q1384" s="381"/>
      <c r="R1384" s="381" t="s">
        <v>6579</v>
      </c>
      <c r="S1384" s="381"/>
      <c r="T1384" s="381" t="s">
        <v>3072</v>
      </c>
      <c r="U1384" s="381" t="s">
        <v>152</v>
      </c>
      <c r="V1384" s="381" t="s">
        <v>23</v>
      </c>
    </row>
    <row r="1385" spans="2:22">
      <c r="B1385" s="383">
        <v>46256</v>
      </c>
      <c r="C1385" s="383">
        <v>46256</v>
      </c>
      <c r="D1385" s="381" t="s">
        <v>6580</v>
      </c>
      <c r="E1385" s="382" t="s">
        <v>6581</v>
      </c>
      <c r="F1385" s="381" t="s">
        <v>87</v>
      </c>
      <c r="G1385" s="381" t="s">
        <v>2403</v>
      </c>
      <c r="H1385" s="387">
        <v>30</v>
      </c>
      <c r="I1385" s="381">
        <v>28.2</v>
      </c>
      <c r="J1385" s="381">
        <v>28.2</v>
      </c>
      <c r="K1385" s="381">
        <v>4</v>
      </c>
      <c r="L1385" s="381">
        <v>0</v>
      </c>
      <c r="M1385" s="381" t="s">
        <v>148</v>
      </c>
      <c r="N1385" s="381" t="s">
        <v>149</v>
      </c>
      <c r="O1385" s="381" t="s">
        <v>150</v>
      </c>
      <c r="P1385" s="381" t="s">
        <v>151</v>
      </c>
      <c r="Q1385" s="381"/>
      <c r="R1385" s="381" t="s">
        <v>6581</v>
      </c>
      <c r="S1385" s="381"/>
      <c r="T1385" s="381" t="s">
        <v>3072</v>
      </c>
      <c r="U1385" s="381" t="s">
        <v>152</v>
      </c>
      <c r="V1385" s="381" t="s">
        <v>23</v>
      </c>
    </row>
    <row r="1386" spans="2:22">
      <c r="B1386" s="383">
        <v>46256</v>
      </c>
      <c r="C1386" s="383">
        <v>46256</v>
      </c>
      <c r="D1386" s="381" t="s">
        <v>6582</v>
      </c>
      <c r="E1386" s="382" t="s">
        <v>6583</v>
      </c>
      <c r="F1386" s="381" t="s">
        <v>87</v>
      </c>
      <c r="G1386" s="381" t="s">
        <v>2512</v>
      </c>
      <c r="H1386" s="387">
        <v>40</v>
      </c>
      <c r="I1386" s="381">
        <v>32.200000000000003</v>
      </c>
      <c r="J1386" s="381">
        <v>32.200000000000003</v>
      </c>
      <c r="K1386" s="381">
        <v>5</v>
      </c>
      <c r="L1386" s="381">
        <v>0</v>
      </c>
      <c r="M1386" s="381" t="s">
        <v>148</v>
      </c>
      <c r="N1386" s="381" t="s">
        <v>149</v>
      </c>
      <c r="O1386" s="381" t="s">
        <v>150</v>
      </c>
      <c r="P1386" s="381" t="s">
        <v>151</v>
      </c>
      <c r="Q1386" s="381"/>
      <c r="R1386" s="381" t="s">
        <v>6583</v>
      </c>
      <c r="S1386" s="381"/>
      <c r="T1386" s="381" t="s">
        <v>3072</v>
      </c>
      <c r="U1386" s="381" t="s">
        <v>152</v>
      </c>
      <c r="V1386" s="381" t="s">
        <v>23</v>
      </c>
    </row>
    <row r="1387" spans="2:22">
      <c r="B1387" s="383">
        <v>46256</v>
      </c>
      <c r="C1387" s="383">
        <v>46256</v>
      </c>
      <c r="D1387" s="381" t="s">
        <v>6584</v>
      </c>
      <c r="E1387" s="382" t="s">
        <v>6585</v>
      </c>
      <c r="F1387" s="381" t="s">
        <v>87</v>
      </c>
      <c r="G1387" s="381" t="s">
        <v>5766</v>
      </c>
      <c r="H1387" s="387">
        <v>45</v>
      </c>
      <c r="I1387" s="381">
        <v>27.2</v>
      </c>
      <c r="J1387" s="381">
        <v>27.2</v>
      </c>
      <c r="K1387" s="381">
        <v>5</v>
      </c>
      <c r="L1387" s="381">
        <v>0</v>
      </c>
      <c r="M1387" s="381" t="s">
        <v>148</v>
      </c>
      <c r="N1387" s="381" t="s">
        <v>149</v>
      </c>
      <c r="O1387" s="381" t="s">
        <v>150</v>
      </c>
      <c r="P1387" s="381" t="s">
        <v>151</v>
      </c>
      <c r="Q1387" s="381"/>
      <c r="R1387" s="381" t="s">
        <v>6585</v>
      </c>
      <c r="S1387" s="381"/>
      <c r="T1387" s="381" t="s">
        <v>3072</v>
      </c>
      <c r="U1387" s="381" t="s">
        <v>152</v>
      </c>
      <c r="V1387" s="381" t="s">
        <v>23</v>
      </c>
    </row>
    <row r="1388" spans="2:22">
      <c r="B1388" s="383">
        <v>46256</v>
      </c>
      <c r="C1388" s="383">
        <v>46256</v>
      </c>
      <c r="D1388" s="381" t="s">
        <v>6586</v>
      </c>
      <c r="E1388" s="382" t="s">
        <v>6587</v>
      </c>
      <c r="F1388" s="381" t="s">
        <v>87</v>
      </c>
      <c r="G1388" s="381" t="s">
        <v>6008</v>
      </c>
      <c r="H1388" s="387">
        <v>30</v>
      </c>
      <c r="I1388" s="381">
        <v>39.799999999999997</v>
      </c>
      <c r="J1388" s="381">
        <v>39.799999999999997</v>
      </c>
      <c r="K1388" s="381">
        <v>4</v>
      </c>
      <c r="L1388" s="381">
        <v>0</v>
      </c>
      <c r="M1388" s="381" t="s">
        <v>148</v>
      </c>
      <c r="N1388" s="381" t="s">
        <v>149</v>
      </c>
      <c r="O1388" s="381" t="s">
        <v>150</v>
      </c>
      <c r="P1388" s="381" t="s">
        <v>151</v>
      </c>
      <c r="Q1388" s="381"/>
      <c r="R1388" s="381" t="s">
        <v>6587</v>
      </c>
      <c r="S1388" s="381"/>
      <c r="T1388" s="381" t="s">
        <v>3072</v>
      </c>
      <c r="U1388" s="381" t="s">
        <v>152</v>
      </c>
      <c r="V1388" s="381" t="s">
        <v>23</v>
      </c>
    </row>
    <row r="1389" spans="2:22">
      <c r="B1389" s="383">
        <v>46256</v>
      </c>
      <c r="C1389" s="383">
        <v>46256</v>
      </c>
      <c r="D1389" s="381" t="s">
        <v>6588</v>
      </c>
      <c r="E1389" s="382" t="s">
        <v>6589</v>
      </c>
      <c r="F1389" s="381" t="s">
        <v>87</v>
      </c>
      <c r="G1389" s="381" t="s">
        <v>2333</v>
      </c>
      <c r="H1389" s="387">
        <v>30</v>
      </c>
      <c r="I1389" s="381">
        <v>33.299999999999997</v>
      </c>
      <c r="J1389" s="381">
        <v>33.299999999999997</v>
      </c>
      <c r="K1389" s="381">
        <v>4</v>
      </c>
      <c r="L1389" s="381">
        <v>0</v>
      </c>
      <c r="M1389" s="381" t="s">
        <v>148</v>
      </c>
      <c r="N1389" s="381" t="s">
        <v>149</v>
      </c>
      <c r="O1389" s="381" t="s">
        <v>150</v>
      </c>
      <c r="P1389" s="381" t="s">
        <v>151</v>
      </c>
      <c r="Q1389" s="381"/>
      <c r="R1389" s="381" t="s">
        <v>6589</v>
      </c>
      <c r="S1389" s="381"/>
      <c r="T1389" s="381" t="s">
        <v>3072</v>
      </c>
      <c r="U1389" s="381" t="s">
        <v>152</v>
      </c>
      <c r="V1389" s="381" t="s">
        <v>23</v>
      </c>
    </row>
    <row r="1390" spans="2:22">
      <c r="B1390" s="383">
        <v>46256</v>
      </c>
      <c r="C1390" s="383">
        <v>46256</v>
      </c>
      <c r="D1390" s="381" t="s">
        <v>6590</v>
      </c>
      <c r="E1390" s="382" t="s">
        <v>6591</v>
      </c>
      <c r="F1390" s="381" t="s">
        <v>87</v>
      </c>
      <c r="G1390" s="381" t="s">
        <v>2333</v>
      </c>
      <c r="H1390" s="387">
        <v>30</v>
      </c>
      <c r="I1390" s="381">
        <v>40.1</v>
      </c>
      <c r="J1390" s="381">
        <v>40.1</v>
      </c>
      <c r="K1390" s="381">
        <v>4</v>
      </c>
      <c r="L1390" s="381">
        <v>0</v>
      </c>
      <c r="M1390" s="381" t="s">
        <v>148</v>
      </c>
      <c r="N1390" s="381" t="s">
        <v>149</v>
      </c>
      <c r="O1390" s="381" t="s">
        <v>150</v>
      </c>
      <c r="P1390" s="381" t="s">
        <v>151</v>
      </c>
      <c r="Q1390" s="381"/>
      <c r="R1390" s="381" t="s">
        <v>6591</v>
      </c>
      <c r="S1390" s="381"/>
      <c r="T1390" s="381" t="s">
        <v>3072</v>
      </c>
      <c r="U1390" s="381" t="s">
        <v>152</v>
      </c>
      <c r="V1390" s="381" t="s">
        <v>23</v>
      </c>
    </row>
    <row r="1391" spans="2:22">
      <c r="B1391" s="383">
        <v>46256</v>
      </c>
      <c r="C1391" s="383">
        <v>46256</v>
      </c>
      <c r="D1391" s="381" t="s">
        <v>6592</v>
      </c>
      <c r="E1391" s="382" t="s">
        <v>6593</v>
      </c>
      <c r="F1391" s="381" t="s">
        <v>87</v>
      </c>
      <c r="G1391" s="381" t="s">
        <v>2403</v>
      </c>
      <c r="H1391" s="387">
        <v>30</v>
      </c>
      <c r="I1391" s="381">
        <v>36.299999999999997</v>
      </c>
      <c r="J1391" s="381">
        <v>36.299999999999997</v>
      </c>
      <c r="K1391" s="381">
        <v>4</v>
      </c>
      <c r="L1391" s="381">
        <v>0</v>
      </c>
      <c r="M1391" s="381" t="s">
        <v>148</v>
      </c>
      <c r="N1391" s="381" t="s">
        <v>149</v>
      </c>
      <c r="O1391" s="381" t="s">
        <v>150</v>
      </c>
      <c r="P1391" s="381" t="s">
        <v>151</v>
      </c>
      <c r="Q1391" s="381"/>
      <c r="R1391" s="381" t="s">
        <v>6593</v>
      </c>
      <c r="S1391" s="381"/>
      <c r="T1391" s="381" t="s">
        <v>3072</v>
      </c>
      <c r="U1391" s="381" t="s">
        <v>152</v>
      </c>
      <c r="V1391" s="381" t="s">
        <v>23</v>
      </c>
    </row>
    <row r="1392" spans="2:22">
      <c r="B1392" s="383">
        <v>46256</v>
      </c>
      <c r="C1392" s="383">
        <v>46256</v>
      </c>
      <c r="D1392" s="381" t="s">
        <v>6594</v>
      </c>
      <c r="E1392" s="382" t="s">
        <v>6595</v>
      </c>
      <c r="F1392" s="381" t="s">
        <v>87</v>
      </c>
      <c r="G1392" s="381" t="s">
        <v>2358</v>
      </c>
      <c r="H1392" s="387">
        <v>30</v>
      </c>
      <c r="I1392" s="381">
        <v>31.1</v>
      </c>
      <c r="J1392" s="381">
        <v>31.1</v>
      </c>
      <c r="K1392" s="381">
        <v>4</v>
      </c>
      <c r="L1392" s="381">
        <v>0</v>
      </c>
      <c r="M1392" s="381" t="s">
        <v>148</v>
      </c>
      <c r="N1392" s="381" t="s">
        <v>149</v>
      </c>
      <c r="O1392" s="381" t="s">
        <v>150</v>
      </c>
      <c r="P1392" s="381" t="s">
        <v>151</v>
      </c>
      <c r="Q1392" s="381"/>
      <c r="R1392" s="381" t="s">
        <v>6595</v>
      </c>
      <c r="S1392" s="381"/>
      <c r="T1392" s="381" t="s">
        <v>3072</v>
      </c>
      <c r="U1392" s="381" t="s">
        <v>152</v>
      </c>
      <c r="V1392" s="381" t="s">
        <v>23</v>
      </c>
    </row>
    <row r="1393" spans="2:22">
      <c r="B1393" s="383">
        <v>46256</v>
      </c>
      <c r="C1393" s="383">
        <v>46256</v>
      </c>
      <c r="D1393" s="381" t="s">
        <v>6596</v>
      </c>
      <c r="E1393" s="382" t="s">
        <v>6597</v>
      </c>
      <c r="F1393" s="381" t="s">
        <v>87</v>
      </c>
      <c r="G1393" s="381" t="s">
        <v>2333</v>
      </c>
      <c r="H1393" s="387">
        <v>30</v>
      </c>
      <c r="I1393" s="381">
        <v>31.2</v>
      </c>
      <c r="J1393" s="381">
        <v>31.2</v>
      </c>
      <c r="K1393" s="381">
        <v>4</v>
      </c>
      <c r="L1393" s="381">
        <v>0</v>
      </c>
      <c r="M1393" s="381" t="s">
        <v>148</v>
      </c>
      <c r="N1393" s="381" t="s">
        <v>149</v>
      </c>
      <c r="O1393" s="381" t="s">
        <v>150</v>
      </c>
      <c r="P1393" s="381" t="s">
        <v>151</v>
      </c>
      <c r="Q1393" s="381"/>
      <c r="R1393" s="381" t="s">
        <v>6597</v>
      </c>
      <c r="S1393" s="381"/>
      <c r="T1393" s="381" t="s">
        <v>3072</v>
      </c>
      <c r="U1393" s="381" t="s">
        <v>152</v>
      </c>
      <c r="V1393" s="381" t="s">
        <v>23</v>
      </c>
    </row>
    <row r="1394" spans="2:22">
      <c r="B1394" s="383">
        <v>46256</v>
      </c>
      <c r="C1394" s="383">
        <v>46256</v>
      </c>
      <c r="D1394" s="381" t="s">
        <v>6598</v>
      </c>
      <c r="E1394" s="382" t="s">
        <v>6599</v>
      </c>
      <c r="F1394" s="381" t="s">
        <v>87</v>
      </c>
      <c r="G1394" s="381" t="s">
        <v>2512</v>
      </c>
      <c r="H1394" s="387">
        <v>40</v>
      </c>
      <c r="I1394" s="381">
        <v>10.8</v>
      </c>
      <c r="J1394" s="381">
        <v>10.8</v>
      </c>
      <c r="K1394" s="381">
        <v>5</v>
      </c>
      <c r="L1394" s="381">
        <v>0</v>
      </c>
      <c r="M1394" s="381" t="s">
        <v>148</v>
      </c>
      <c r="N1394" s="381" t="s">
        <v>149</v>
      </c>
      <c r="O1394" s="381" t="s">
        <v>150</v>
      </c>
      <c r="P1394" s="381" t="s">
        <v>151</v>
      </c>
      <c r="Q1394" s="381"/>
      <c r="R1394" s="381" t="s">
        <v>6599</v>
      </c>
      <c r="S1394" s="381"/>
      <c r="T1394" s="381" t="s">
        <v>3072</v>
      </c>
      <c r="U1394" s="381" t="s">
        <v>152</v>
      </c>
      <c r="V1394" s="381" t="s">
        <v>23</v>
      </c>
    </row>
    <row r="1395" spans="2:22">
      <c r="B1395" s="383">
        <v>46256</v>
      </c>
      <c r="C1395" s="383">
        <v>46256</v>
      </c>
      <c r="D1395" s="381" t="s">
        <v>6600</v>
      </c>
      <c r="E1395" s="382" t="s">
        <v>6601</v>
      </c>
      <c r="F1395" s="381" t="s">
        <v>87</v>
      </c>
      <c r="G1395" s="381" t="s">
        <v>6008</v>
      </c>
      <c r="H1395" s="387">
        <v>30</v>
      </c>
      <c r="I1395" s="381">
        <v>40.200000000000003</v>
      </c>
      <c r="J1395" s="381">
        <v>40.200000000000003</v>
      </c>
      <c r="K1395" s="381">
        <v>4</v>
      </c>
      <c r="L1395" s="381">
        <v>0</v>
      </c>
      <c r="M1395" s="381" t="s">
        <v>148</v>
      </c>
      <c r="N1395" s="381" t="s">
        <v>149</v>
      </c>
      <c r="O1395" s="381" t="s">
        <v>150</v>
      </c>
      <c r="P1395" s="381" t="s">
        <v>151</v>
      </c>
      <c r="Q1395" s="381"/>
      <c r="R1395" s="381" t="s">
        <v>6601</v>
      </c>
      <c r="S1395" s="381"/>
      <c r="T1395" s="381" t="s">
        <v>3072</v>
      </c>
      <c r="U1395" s="381" t="s">
        <v>152</v>
      </c>
      <c r="V1395" s="381" t="s">
        <v>23</v>
      </c>
    </row>
    <row r="1396" spans="2:22">
      <c r="B1396" s="383">
        <v>46256</v>
      </c>
      <c r="C1396" s="383">
        <v>46256</v>
      </c>
      <c r="D1396" s="381" t="s">
        <v>6602</v>
      </c>
      <c r="E1396" s="382" t="s">
        <v>6603</v>
      </c>
      <c r="F1396" s="381" t="s">
        <v>87</v>
      </c>
      <c r="G1396" s="381" t="s">
        <v>2333</v>
      </c>
      <c r="H1396" s="387">
        <v>30</v>
      </c>
      <c r="I1396" s="381">
        <v>39.799999999999997</v>
      </c>
      <c r="J1396" s="381">
        <v>39.799999999999997</v>
      </c>
      <c r="K1396" s="381">
        <v>4</v>
      </c>
      <c r="L1396" s="381">
        <v>0</v>
      </c>
      <c r="M1396" s="381" t="s">
        <v>148</v>
      </c>
      <c r="N1396" s="381" t="s">
        <v>149</v>
      </c>
      <c r="O1396" s="381" t="s">
        <v>150</v>
      </c>
      <c r="P1396" s="381" t="s">
        <v>151</v>
      </c>
      <c r="Q1396" s="381"/>
      <c r="R1396" s="381" t="s">
        <v>6603</v>
      </c>
      <c r="S1396" s="381"/>
      <c r="T1396" s="381" t="s">
        <v>3072</v>
      </c>
      <c r="U1396" s="381" t="s">
        <v>152</v>
      </c>
      <c r="V1396" s="381" t="s">
        <v>23</v>
      </c>
    </row>
    <row r="1397" spans="2:22">
      <c r="B1397" s="383">
        <v>46256</v>
      </c>
      <c r="C1397" s="383">
        <v>46256</v>
      </c>
      <c r="D1397" s="381" t="s">
        <v>6604</v>
      </c>
      <c r="E1397" s="382" t="s">
        <v>6605</v>
      </c>
      <c r="F1397" s="381" t="s">
        <v>87</v>
      </c>
      <c r="G1397" s="381" t="s">
        <v>4512</v>
      </c>
      <c r="H1397" s="387">
        <v>55</v>
      </c>
      <c r="I1397" s="381">
        <v>47.1</v>
      </c>
      <c r="J1397" s="381">
        <v>47.1</v>
      </c>
      <c r="K1397" s="381">
        <v>5</v>
      </c>
      <c r="L1397" s="381">
        <v>0</v>
      </c>
      <c r="M1397" s="381" t="s">
        <v>148</v>
      </c>
      <c r="N1397" s="381" t="s">
        <v>149</v>
      </c>
      <c r="O1397" s="381" t="s">
        <v>150</v>
      </c>
      <c r="P1397" s="381" t="s">
        <v>151</v>
      </c>
      <c r="Q1397" s="381"/>
      <c r="R1397" s="381" t="s">
        <v>6605</v>
      </c>
      <c r="S1397" s="381"/>
      <c r="T1397" s="381" t="s">
        <v>3072</v>
      </c>
      <c r="U1397" s="381" t="s">
        <v>152</v>
      </c>
      <c r="V1397" s="381" t="s">
        <v>23</v>
      </c>
    </row>
    <row r="1398" spans="2:22">
      <c r="B1398" s="383">
        <v>46256</v>
      </c>
      <c r="C1398" s="383">
        <v>46256</v>
      </c>
      <c r="D1398" s="381" t="s">
        <v>6606</v>
      </c>
      <c r="E1398" s="382" t="s">
        <v>6607</v>
      </c>
      <c r="F1398" s="381" t="s">
        <v>87</v>
      </c>
      <c r="G1398" s="381" t="s">
        <v>6008</v>
      </c>
      <c r="H1398" s="387">
        <v>30</v>
      </c>
      <c r="I1398" s="381">
        <v>45.3</v>
      </c>
      <c r="J1398" s="381">
        <v>45.3</v>
      </c>
      <c r="K1398" s="381">
        <v>4</v>
      </c>
      <c r="L1398" s="381">
        <v>0</v>
      </c>
      <c r="M1398" s="381" t="s">
        <v>148</v>
      </c>
      <c r="N1398" s="381" t="s">
        <v>149</v>
      </c>
      <c r="O1398" s="381" t="s">
        <v>150</v>
      </c>
      <c r="P1398" s="381" t="s">
        <v>151</v>
      </c>
      <c r="Q1398" s="381"/>
      <c r="R1398" s="381" t="s">
        <v>6607</v>
      </c>
      <c r="S1398" s="381"/>
      <c r="T1398" s="381" t="s">
        <v>3072</v>
      </c>
      <c r="U1398" s="381" t="s">
        <v>152</v>
      </c>
      <c r="V1398" s="381" t="s">
        <v>23</v>
      </c>
    </row>
    <row r="1399" spans="2:22">
      <c r="B1399" s="383">
        <v>46256</v>
      </c>
      <c r="C1399" s="383">
        <v>46256</v>
      </c>
      <c r="D1399" s="381" t="s">
        <v>6608</v>
      </c>
      <c r="E1399" s="382" t="s">
        <v>6609</v>
      </c>
      <c r="F1399" s="381" t="s">
        <v>87</v>
      </c>
      <c r="G1399" s="381" t="s">
        <v>2512</v>
      </c>
      <c r="H1399" s="387">
        <v>40</v>
      </c>
      <c r="I1399" s="381">
        <v>33.299999999999997</v>
      </c>
      <c r="J1399" s="381">
        <v>33.299999999999997</v>
      </c>
      <c r="K1399" s="381">
        <v>5</v>
      </c>
      <c r="L1399" s="381">
        <v>0</v>
      </c>
      <c r="M1399" s="381" t="s">
        <v>148</v>
      </c>
      <c r="N1399" s="381" t="s">
        <v>149</v>
      </c>
      <c r="O1399" s="381" t="s">
        <v>150</v>
      </c>
      <c r="P1399" s="381" t="s">
        <v>151</v>
      </c>
      <c r="Q1399" s="381"/>
      <c r="R1399" s="381" t="s">
        <v>6609</v>
      </c>
      <c r="S1399" s="381"/>
      <c r="T1399" s="381" t="s">
        <v>3072</v>
      </c>
      <c r="U1399" s="381" t="s">
        <v>152</v>
      </c>
      <c r="V1399" s="381" t="s">
        <v>23</v>
      </c>
    </row>
    <row r="1400" spans="2:22">
      <c r="B1400" s="383">
        <v>46256</v>
      </c>
      <c r="C1400" s="383">
        <v>46256</v>
      </c>
      <c r="D1400" s="381" t="s">
        <v>6610</v>
      </c>
      <c r="E1400" s="382" t="s">
        <v>6611</v>
      </c>
      <c r="F1400" s="381" t="s">
        <v>87</v>
      </c>
      <c r="G1400" s="381" t="s">
        <v>4512</v>
      </c>
      <c r="H1400" s="387">
        <v>55</v>
      </c>
      <c r="I1400" s="381">
        <v>36.799999999999997</v>
      </c>
      <c r="J1400" s="381">
        <v>36.799999999999997</v>
      </c>
      <c r="K1400" s="381">
        <v>5</v>
      </c>
      <c r="L1400" s="381">
        <v>0</v>
      </c>
      <c r="M1400" s="381" t="s">
        <v>148</v>
      </c>
      <c r="N1400" s="381" t="s">
        <v>149</v>
      </c>
      <c r="O1400" s="381" t="s">
        <v>150</v>
      </c>
      <c r="P1400" s="381" t="s">
        <v>151</v>
      </c>
      <c r="Q1400" s="381"/>
      <c r="R1400" s="381" t="s">
        <v>6611</v>
      </c>
      <c r="S1400" s="381"/>
      <c r="T1400" s="381" t="s">
        <v>3072</v>
      </c>
      <c r="U1400" s="381" t="s">
        <v>152</v>
      </c>
      <c r="V1400" s="381" t="s">
        <v>23</v>
      </c>
    </row>
    <row r="1401" spans="2:22">
      <c r="B1401" s="383">
        <v>46256</v>
      </c>
      <c r="C1401" s="383">
        <v>46256</v>
      </c>
      <c r="D1401" s="381" t="s">
        <v>6612</v>
      </c>
      <c r="E1401" s="382" t="s">
        <v>6613</v>
      </c>
      <c r="F1401" s="381" t="s">
        <v>87</v>
      </c>
      <c r="G1401" s="381" t="s">
        <v>5766</v>
      </c>
      <c r="H1401" s="387">
        <v>45</v>
      </c>
      <c r="I1401" s="381">
        <v>26.8</v>
      </c>
      <c r="J1401" s="381">
        <v>26.8</v>
      </c>
      <c r="K1401" s="381">
        <v>5</v>
      </c>
      <c r="L1401" s="381">
        <v>0</v>
      </c>
      <c r="M1401" s="381" t="s">
        <v>148</v>
      </c>
      <c r="N1401" s="381" t="s">
        <v>149</v>
      </c>
      <c r="O1401" s="381" t="s">
        <v>150</v>
      </c>
      <c r="P1401" s="381" t="s">
        <v>151</v>
      </c>
      <c r="Q1401" s="381"/>
      <c r="R1401" s="381" t="s">
        <v>6613</v>
      </c>
      <c r="S1401" s="381"/>
      <c r="T1401" s="381" t="s">
        <v>3072</v>
      </c>
      <c r="U1401" s="381" t="s">
        <v>152</v>
      </c>
      <c r="V1401" s="381" t="s">
        <v>23</v>
      </c>
    </row>
    <row r="1402" spans="2:22">
      <c r="B1402" s="383">
        <v>46256</v>
      </c>
      <c r="C1402" s="383">
        <v>46256</v>
      </c>
      <c r="D1402" s="381" t="s">
        <v>6614</v>
      </c>
      <c r="E1402" s="382" t="s">
        <v>6615</v>
      </c>
      <c r="F1402" s="381" t="s">
        <v>87</v>
      </c>
      <c r="G1402" s="381" t="s">
        <v>2404</v>
      </c>
      <c r="H1402" s="387">
        <v>40</v>
      </c>
      <c r="I1402" s="381">
        <v>12.8</v>
      </c>
      <c r="J1402" s="381">
        <v>12.8</v>
      </c>
      <c r="K1402" s="381">
        <v>5</v>
      </c>
      <c r="L1402" s="381">
        <v>0</v>
      </c>
      <c r="M1402" s="381" t="s">
        <v>148</v>
      </c>
      <c r="N1402" s="381" t="s">
        <v>149</v>
      </c>
      <c r="O1402" s="381" t="s">
        <v>150</v>
      </c>
      <c r="P1402" s="381" t="s">
        <v>151</v>
      </c>
      <c r="Q1402" s="381"/>
      <c r="R1402" s="381" t="s">
        <v>6615</v>
      </c>
      <c r="S1402" s="381"/>
      <c r="T1402" s="381" t="s">
        <v>3072</v>
      </c>
      <c r="U1402" s="381" t="s">
        <v>152</v>
      </c>
      <c r="V1402" s="381" t="s">
        <v>23</v>
      </c>
    </row>
    <row r="1403" spans="2:22">
      <c r="B1403" s="383">
        <v>46257</v>
      </c>
      <c r="C1403" s="383">
        <v>46257</v>
      </c>
      <c r="D1403" s="381" t="s">
        <v>6616</v>
      </c>
      <c r="E1403" s="382" t="s">
        <v>6617</v>
      </c>
      <c r="F1403" s="381" t="s">
        <v>87</v>
      </c>
      <c r="G1403" s="381" t="s">
        <v>2333</v>
      </c>
      <c r="H1403" s="387">
        <v>30</v>
      </c>
      <c r="I1403" s="381">
        <v>20.6</v>
      </c>
      <c r="J1403" s="381">
        <v>20.6</v>
      </c>
      <c r="K1403" s="381">
        <v>4</v>
      </c>
      <c r="L1403" s="381">
        <v>0</v>
      </c>
      <c r="M1403" s="381" t="s">
        <v>148</v>
      </c>
      <c r="N1403" s="381" t="s">
        <v>149</v>
      </c>
      <c r="O1403" s="381" t="s">
        <v>150</v>
      </c>
      <c r="P1403" s="381" t="s">
        <v>151</v>
      </c>
      <c r="Q1403" s="381"/>
      <c r="R1403" s="381" t="s">
        <v>6617</v>
      </c>
      <c r="S1403" s="381"/>
      <c r="T1403" s="381" t="s">
        <v>3095</v>
      </c>
      <c r="U1403" s="381" t="s">
        <v>152</v>
      </c>
      <c r="V1403" s="381" t="s">
        <v>23</v>
      </c>
    </row>
    <row r="1404" spans="2:22">
      <c r="B1404" s="383">
        <v>46257</v>
      </c>
      <c r="C1404" s="383">
        <v>46257</v>
      </c>
      <c r="D1404" s="381" t="s">
        <v>6618</v>
      </c>
      <c r="E1404" s="382" t="s">
        <v>6619</v>
      </c>
      <c r="F1404" s="381" t="s">
        <v>87</v>
      </c>
      <c r="G1404" s="381" t="s">
        <v>6008</v>
      </c>
      <c r="H1404" s="387">
        <v>30</v>
      </c>
      <c r="I1404" s="381">
        <v>46.2</v>
      </c>
      <c r="J1404" s="381">
        <v>46.2</v>
      </c>
      <c r="K1404" s="381">
        <v>4</v>
      </c>
      <c r="L1404" s="381">
        <v>0</v>
      </c>
      <c r="M1404" s="381" t="s">
        <v>148</v>
      </c>
      <c r="N1404" s="381" t="s">
        <v>149</v>
      </c>
      <c r="O1404" s="381" t="s">
        <v>150</v>
      </c>
      <c r="P1404" s="381" t="s">
        <v>151</v>
      </c>
      <c r="Q1404" s="381"/>
      <c r="R1404" s="381" t="s">
        <v>6619</v>
      </c>
      <c r="S1404" s="381"/>
      <c r="T1404" s="381" t="s">
        <v>3095</v>
      </c>
      <c r="U1404" s="381" t="s">
        <v>152</v>
      </c>
      <c r="V1404" s="381" t="s">
        <v>23</v>
      </c>
    </row>
    <row r="1405" spans="2:22">
      <c r="B1405" s="383">
        <v>46257</v>
      </c>
      <c r="C1405" s="383">
        <v>46257</v>
      </c>
      <c r="D1405" s="381" t="s">
        <v>6620</v>
      </c>
      <c r="E1405" s="382" t="s">
        <v>6621</v>
      </c>
      <c r="F1405" s="381" t="s">
        <v>87</v>
      </c>
      <c r="G1405" s="381" t="s">
        <v>6008</v>
      </c>
      <c r="H1405" s="387">
        <v>30</v>
      </c>
      <c r="I1405" s="381">
        <v>46.4</v>
      </c>
      <c r="J1405" s="381">
        <v>46.4</v>
      </c>
      <c r="K1405" s="381">
        <v>4</v>
      </c>
      <c r="L1405" s="381">
        <v>0</v>
      </c>
      <c r="M1405" s="381" t="s">
        <v>148</v>
      </c>
      <c r="N1405" s="381" t="s">
        <v>149</v>
      </c>
      <c r="O1405" s="381" t="s">
        <v>150</v>
      </c>
      <c r="P1405" s="381" t="s">
        <v>151</v>
      </c>
      <c r="Q1405" s="381"/>
      <c r="R1405" s="381" t="s">
        <v>6621</v>
      </c>
      <c r="S1405" s="381"/>
      <c r="T1405" s="381" t="s">
        <v>3095</v>
      </c>
      <c r="U1405" s="381" t="s">
        <v>152</v>
      </c>
      <c r="V1405" s="381" t="s">
        <v>23</v>
      </c>
    </row>
    <row r="1406" spans="2:22">
      <c r="B1406" s="383">
        <v>46257</v>
      </c>
      <c r="C1406" s="383">
        <v>46257</v>
      </c>
      <c r="D1406" s="381" t="s">
        <v>6622</v>
      </c>
      <c r="E1406" s="382" t="s">
        <v>6623</v>
      </c>
      <c r="F1406" s="381" t="s">
        <v>87</v>
      </c>
      <c r="G1406" s="381" t="s">
        <v>2403</v>
      </c>
      <c r="H1406" s="387">
        <v>30</v>
      </c>
      <c r="I1406" s="381">
        <v>39.299999999999997</v>
      </c>
      <c r="J1406" s="381">
        <v>39.299999999999997</v>
      </c>
      <c r="K1406" s="381">
        <v>4</v>
      </c>
      <c r="L1406" s="381">
        <v>0</v>
      </c>
      <c r="M1406" s="381" t="s">
        <v>148</v>
      </c>
      <c r="N1406" s="381" t="s">
        <v>149</v>
      </c>
      <c r="O1406" s="381" t="s">
        <v>150</v>
      </c>
      <c r="P1406" s="381" t="s">
        <v>151</v>
      </c>
      <c r="Q1406" s="381"/>
      <c r="R1406" s="381" t="s">
        <v>6623</v>
      </c>
      <c r="S1406" s="381"/>
      <c r="T1406" s="381" t="s">
        <v>3095</v>
      </c>
      <c r="U1406" s="381" t="s">
        <v>152</v>
      </c>
      <c r="V1406" s="381" t="s">
        <v>23</v>
      </c>
    </row>
    <row r="1407" spans="2:22">
      <c r="B1407" s="383">
        <v>46257</v>
      </c>
      <c r="C1407" s="383">
        <v>46257</v>
      </c>
      <c r="D1407" s="381" t="s">
        <v>6624</v>
      </c>
      <c r="E1407" s="382" t="s">
        <v>6625</v>
      </c>
      <c r="F1407" s="381" t="s">
        <v>87</v>
      </c>
      <c r="G1407" s="381" t="s">
        <v>2358</v>
      </c>
      <c r="H1407" s="387">
        <v>30</v>
      </c>
      <c r="I1407" s="381">
        <v>38.799999999999997</v>
      </c>
      <c r="J1407" s="381">
        <v>38.799999999999997</v>
      </c>
      <c r="K1407" s="381">
        <v>4</v>
      </c>
      <c r="L1407" s="381">
        <v>0</v>
      </c>
      <c r="M1407" s="381" t="s">
        <v>148</v>
      </c>
      <c r="N1407" s="381" t="s">
        <v>149</v>
      </c>
      <c r="O1407" s="381" t="s">
        <v>150</v>
      </c>
      <c r="P1407" s="381" t="s">
        <v>151</v>
      </c>
      <c r="Q1407" s="381"/>
      <c r="R1407" s="381" t="s">
        <v>6625</v>
      </c>
      <c r="S1407" s="381"/>
      <c r="T1407" s="381" t="s">
        <v>3095</v>
      </c>
      <c r="U1407" s="381" t="s">
        <v>152</v>
      </c>
      <c r="V1407" s="381" t="s">
        <v>23</v>
      </c>
    </row>
    <row r="1408" spans="2:22">
      <c r="B1408" s="383">
        <v>46257</v>
      </c>
      <c r="C1408" s="383">
        <v>46257</v>
      </c>
      <c r="D1408" s="381" t="s">
        <v>6626</v>
      </c>
      <c r="E1408" s="382" t="s">
        <v>6627</v>
      </c>
      <c r="F1408" s="381" t="s">
        <v>87</v>
      </c>
      <c r="G1408" s="381" t="s">
        <v>4512</v>
      </c>
      <c r="H1408" s="387">
        <v>55</v>
      </c>
      <c r="I1408" s="381">
        <v>35.799999999999997</v>
      </c>
      <c r="J1408" s="381">
        <v>35.799999999999997</v>
      </c>
      <c r="K1408" s="381">
        <v>5</v>
      </c>
      <c r="L1408" s="381">
        <v>0</v>
      </c>
      <c r="M1408" s="381" t="s">
        <v>148</v>
      </c>
      <c r="N1408" s="381" t="s">
        <v>149</v>
      </c>
      <c r="O1408" s="381" t="s">
        <v>150</v>
      </c>
      <c r="P1408" s="381" t="s">
        <v>151</v>
      </c>
      <c r="Q1408" s="381"/>
      <c r="R1408" s="381" t="s">
        <v>6627</v>
      </c>
      <c r="S1408" s="381"/>
      <c r="T1408" s="381" t="s">
        <v>3095</v>
      </c>
      <c r="U1408" s="381" t="s">
        <v>152</v>
      </c>
      <c r="V1408" s="381" t="s">
        <v>23</v>
      </c>
    </row>
    <row r="1409" spans="2:22">
      <c r="B1409" s="383">
        <v>46257</v>
      </c>
      <c r="C1409" s="383">
        <v>46257</v>
      </c>
      <c r="D1409" s="381" t="s">
        <v>6628</v>
      </c>
      <c r="E1409" s="382" t="s">
        <v>6629</v>
      </c>
      <c r="F1409" s="381" t="s">
        <v>87</v>
      </c>
      <c r="G1409" s="381" t="s">
        <v>2358</v>
      </c>
      <c r="H1409" s="387">
        <v>30</v>
      </c>
      <c r="I1409" s="381">
        <v>32.299999999999997</v>
      </c>
      <c r="J1409" s="381">
        <v>32.299999999999997</v>
      </c>
      <c r="K1409" s="381">
        <v>4</v>
      </c>
      <c r="L1409" s="381">
        <v>0</v>
      </c>
      <c r="M1409" s="381" t="s">
        <v>148</v>
      </c>
      <c r="N1409" s="381" t="s">
        <v>149</v>
      </c>
      <c r="O1409" s="381" t="s">
        <v>150</v>
      </c>
      <c r="P1409" s="381" t="s">
        <v>151</v>
      </c>
      <c r="Q1409" s="381"/>
      <c r="R1409" s="381" t="s">
        <v>6629</v>
      </c>
      <c r="S1409" s="381"/>
      <c r="T1409" s="381" t="s">
        <v>3095</v>
      </c>
      <c r="U1409" s="381" t="s">
        <v>152</v>
      </c>
      <c r="V1409" s="381" t="s">
        <v>23</v>
      </c>
    </row>
    <row r="1410" spans="2:22">
      <c r="B1410" s="383">
        <v>46257</v>
      </c>
      <c r="C1410" s="383">
        <v>46257</v>
      </c>
      <c r="D1410" s="381" t="s">
        <v>6630</v>
      </c>
      <c r="E1410" s="382" t="s">
        <v>6631</v>
      </c>
      <c r="F1410" s="381" t="s">
        <v>87</v>
      </c>
      <c r="G1410" s="381" t="s">
        <v>2358</v>
      </c>
      <c r="H1410" s="387">
        <v>30</v>
      </c>
      <c r="I1410" s="381">
        <v>28.1</v>
      </c>
      <c r="J1410" s="381">
        <v>28.1</v>
      </c>
      <c r="K1410" s="381">
        <v>4</v>
      </c>
      <c r="L1410" s="381">
        <v>0</v>
      </c>
      <c r="M1410" s="381" t="s">
        <v>148</v>
      </c>
      <c r="N1410" s="381" t="s">
        <v>149</v>
      </c>
      <c r="O1410" s="381" t="s">
        <v>150</v>
      </c>
      <c r="P1410" s="381" t="s">
        <v>151</v>
      </c>
      <c r="Q1410" s="381"/>
      <c r="R1410" s="381" t="s">
        <v>6631</v>
      </c>
      <c r="S1410" s="381"/>
      <c r="T1410" s="381" t="s">
        <v>3095</v>
      </c>
      <c r="U1410" s="381" t="s">
        <v>152</v>
      </c>
      <c r="V1410" s="381" t="s">
        <v>23</v>
      </c>
    </row>
    <row r="1411" spans="2:22">
      <c r="B1411" s="383">
        <v>46257</v>
      </c>
      <c r="C1411" s="383">
        <v>46257</v>
      </c>
      <c r="D1411" s="381" t="s">
        <v>6632</v>
      </c>
      <c r="E1411" s="382" t="s">
        <v>6633</v>
      </c>
      <c r="F1411" s="381" t="s">
        <v>87</v>
      </c>
      <c r="G1411" s="381" t="s">
        <v>2512</v>
      </c>
      <c r="H1411" s="387">
        <v>40</v>
      </c>
      <c r="I1411" s="381">
        <v>33.799999999999997</v>
      </c>
      <c r="J1411" s="381">
        <v>33.799999999999997</v>
      </c>
      <c r="K1411" s="381">
        <v>5</v>
      </c>
      <c r="L1411" s="381">
        <v>0</v>
      </c>
      <c r="M1411" s="381" t="s">
        <v>148</v>
      </c>
      <c r="N1411" s="381" t="s">
        <v>149</v>
      </c>
      <c r="O1411" s="381" t="s">
        <v>150</v>
      </c>
      <c r="P1411" s="381" t="s">
        <v>151</v>
      </c>
      <c r="Q1411" s="381"/>
      <c r="R1411" s="381" t="s">
        <v>6633</v>
      </c>
      <c r="S1411" s="381"/>
      <c r="T1411" s="381" t="s">
        <v>3095</v>
      </c>
      <c r="U1411" s="381" t="s">
        <v>152</v>
      </c>
      <c r="V1411" s="381" t="s">
        <v>23</v>
      </c>
    </row>
    <row r="1412" spans="2:22">
      <c r="B1412" s="383">
        <v>46257</v>
      </c>
      <c r="C1412" s="383">
        <v>46257</v>
      </c>
      <c r="D1412" s="381" t="s">
        <v>6634</v>
      </c>
      <c r="E1412" s="382" t="s">
        <v>6635</v>
      </c>
      <c r="F1412" s="381" t="s">
        <v>87</v>
      </c>
      <c r="G1412" s="381" t="s">
        <v>6460</v>
      </c>
      <c r="H1412" s="387">
        <v>6</v>
      </c>
      <c r="I1412" s="381">
        <v>21.2</v>
      </c>
      <c r="J1412" s="381">
        <v>21.2</v>
      </c>
      <c r="K1412" s="381">
        <v>1.5</v>
      </c>
      <c r="L1412" s="381">
        <v>0</v>
      </c>
      <c r="M1412" s="381" t="s">
        <v>148</v>
      </c>
      <c r="N1412" s="381" t="s">
        <v>149</v>
      </c>
      <c r="O1412" s="381" t="s">
        <v>150</v>
      </c>
      <c r="P1412" s="381" t="s">
        <v>151</v>
      </c>
      <c r="Q1412" s="381"/>
      <c r="R1412" s="381" t="s">
        <v>6635</v>
      </c>
      <c r="S1412" s="381"/>
      <c r="T1412" s="381" t="s">
        <v>3095</v>
      </c>
      <c r="U1412" s="381" t="s">
        <v>152</v>
      </c>
      <c r="V1412" s="381" t="s">
        <v>23</v>
      </c>
    </row>
    <row r="1413" spans="2:22">
      <c r="B1413" s="383">
        <v>46257</v>
      </c>
      <c r="C1413" s="383">
        <v>46257</v>
      </c>
      <c r="D1413" s="381" t="s">
        <v>6636</v>
      </c>
      <c r="E1413" s="382" t="s">
        <v>6637</v>
      </c>
      <c r="F1413" s="381" t="s">
        <v>87</v>
      </c>
      <c r="G1413" s="381" t="s">
        <v>2333</v>
      </c>
      <c r="H1413" s="387">
        <v>30</v>
      </c>
      <c r="I1413" s="381">
        <v>21.2</v>
      </c>
      <c r="J1413" s="381">
        <v>21.2</v>
      </c>
      <c r="K1413" s="381">
        <v>4</v>
      </c>
      <c r="L1413" s="381">
        <v>0</v>
      </c>
      <c r="M1413" s="381" t="s">
        <v>148</v>
      </c>
      <c r="N1413" s="381" t="s">
        <v>149</v>
      </c>
      <c r="O1413" s="381" t="s">
        <v>150</v>
      </c>
      <c r="P1413" s="381" t="s">
        <v>151</v>
      </c>
      <c r="Q1413" s="381"/>
      <c r="R1413" s="381" t="s">
        <v>6637</v>
      </c>
      <c r="S1413" s="381"/>
      <c r="T1413" s="381" t="s">
        <v>3095</v>
      </c>
      <c r="U1413" s="381" t="s">
        <v>152</v>
      </c>
      <c r="V1413" s="381" t="s">
        <v>23</v>
      </c>
    </row>
    <row r="1414" spans="2:22">
      <c r="B1414" s="383">
        <v>46257</v>
      </c>
      <c r="C1414" s="383">
        <v>46257</v>
      </c>
      <c r="D1414" s="381" t="s">
        <v>6638</v>
      </c>
      <c r="E1414" s="382" t="s">
        <v>6639</v>
      </c>
      <c r="F1414" s="381" t="s">
        <v>87</v>
      </c>
      <c r="G1414" s="381" t="s">
        <v>2333</v>
      </c>
      <c r="H1414" s="387">
        <v>30</v>
      </c>
      <c r="I1414" s="381">
        <v>45.4</v>
      </c>
      <c r="J1414" s="381">
        <v>45.4</v>
      </c>
      <c r="K1414" s="381">
        <v>4</v>
      </c>
      <c r="L1414" s="381">
        <v>0</v>
      </c>
      <c r="M1414" s="381" t="s">
        <v>148</v>
      </c>
      <c r="N1414" s="381" t="s">
        <v>149</v>
      </c>
      <c r="O1414" s="381" t="s">
        <v>150</v>
      </c>
      <c r="P1414" s="381" t="s">
        <v>151</v>
      </c>
      <c r="Q1414" s="381"/>
      <c r="R1414" s="381" t="s">
        <v>6639</v>
      </c>
      <c r="S1414" s="381"/>
      <c r="T1414" s="381" t="s">
        <v>3095</v>
      </c>
      <c r="U1414" s="381" t="s">
        <v>152</v>
      </c>
      <c r="V1414" s="381" t="s">
        <v>23</v>
      </c>
    </row>
    <row r="1415" spans="2:22">
      <c r="B1415" s="383">
        <v>46257</v>
      </c>
      <c r="C1415" s="383">
        <v>46257</v>
      </c>
      <c r="D1415" s="381" t="s">
        <v>6640</v>
      </c>
      <c r="E1415" s="382" t="s">
        <v>6641</v>
      </c>
      <c r="F1415" s="381" t="s">
        <v>87</v>
      </c>
      <c r="G1415" s="381" t="s">
        <v>2358</v>
      </c>
      <c r="H1415" s="387">
        <v>30</v>
      </c>
      <c r="I1415" s="381">
        <v>38.299999999999997</v>
      </c>
      <c r="J1415" s="381">
        <v>38.299999999999997</v>
      </c>
      <c r="K1415" s="381">
        <v>4</v>
      </c>
      <c r="L1415" s="381">
        <v>0</v>
      </c>
      <c r="M1415" s="381" t="s">
        <v>148</v>
      </c>
      <c r="N1415" s="381" t="s">
        <v>149</v>
      </c>
      <c r="O1415" s="381" t="s">
        <v>150</v>
      </c>
      <c r="P1415" s="381" t="s">
        <v>151</v>
      </c>
      <c r="Q1415" s="381"/>
      <c r="R1415" s="381" t="s">
        <v>6641</v>
      </c>
      <c r="S1415" s="381"/>
      <c r="T1415" s="381" t="s">
        <v>3095</v>
      </c>
      <c r="U1415" s="381" t="s">
        <v>152</v>
      </c>
      <c r="V1415" s="381" t="s">
        <v>23</v>
      </c>
    </row>
    <row r="1416" spans="2:22">
      <c r="B1416" s="383">
        <v>46257</v>
      </c>
      <c r="C1416" s="383">
        <v>46257</v>
      </c>
      <c r="D1416" s="381" t="s">
        <v>6642</v>
      </c>
      <c r="E1416" s="382" t="s">
        <v>6643</v>
      </c>
      <c r="F1416" s="381" t="s">
        <v>87</v>
      </c>
      <c r="G1416" s="381" t="s">
        <v>2358</v>
      </c>
      <c r="H1416" s="387">
        <v>30</v>
      </c>
      <c r="I1416" s="381">
        <v>39.299999999999997</v>
      </c>
      <c r="J1416" s="381">
        <v>39.299999999999997</v>
      </c>
      <c r="K1416" s="381">
        <v>4</v>
      </c>
      <c r="L1416" s="381">
        <v>0</v>
      </c>
      <c r="M1416" s="381" t="s">
        <v>148</v>
      </c>
      <c r="N1416" s="381" t="s">
        <v>149</v>
      </c>
      <c r="O1416" s="381" t="s">
        <v>150</v>
      </c>
      <c r="P1416" s="381" t="s">
        <v>151</v>
      </c>
      <c r="Q1416" s="381"/>
      <c r="R1416" s="381" t="s">
        <v>6643</v>
      </c>
      <c r="S1416" s="381"/>
      <c r="T1416" s="381" t="s">
        <v>3095</v>
      </c>
      <c r="U1416" s="381" t="s">
        <v>152</v>
      </c>
      <c r="V1416" s="381" t="s">
        <v>23</v>
      </c>
    </row>
    <row r="1417" spans="2:22">
      <c r="B1417" s="383">
        <v>46257</v>
      </c>
      <c r="C1417" s="383">
        <v>46257</v>
      </c>
      <c r="D1417" s="381" t="s">
        <v>6644</v>
      </c>
      <c r="E1417" s="382" t="s">
        <v>6645</v>
      </c>
      <c r="F1417" s="381" t="s">
        <v>87</v>
      </c>
      <c r="G1417" s="381" t="s">
        <v>6008</v>
      </c>
      <c r="H1417" s="387">
        <v>30</v>
      </c>
      <c r="I1417" s="381">
        <v>34.200000000000003</v>
      </c>
      <c r="J1417" s="381">
        <v>34.200000000000003</v>
      </c>
      <c r="K1417" s="381">
        <v>4</v>
      </c>
      <c r="L1417" s="381">
        <v>0</v>
      </c>
      <c r="M1417" s="381" t="s">
        <v>148</v>
      </c>
      <c r="N1417" s="381" t="s">
        <v>149</v>
      </c>
      <c r="O1417" s="381" t="s">
        <v>150</v>
      </c>
      <c r="P1417" s="381" t="s">
        <v>151</v>
      </c>
      <c r="Q1417" s="381"/>
      <c r="R1417" s="381" t="s">
        <v>6645</v>
      </c>
      <c r="S1417" s="381"/>
      <c r="T1417" s="381" t="s">
        <v>3095</v>
      </c>
      <c r="U1417" s="381" t="s">
        <v>152</v>
      </c>
      <c r="V1417" s="381" t="s">
        <v>23</v>
      </c>
    </row>
    <row r="1418" spans="2:22">
      <c r="B1418" s="383">
        <v>46257</v>
      </c>
      <c r="C1418" s="383">
        <v>46257</v>
      </c>
      <c r="D1418" s="381" t="s">
        <v>6646</v>
      </c>
      <c r="E1418" s="382" t="s">
        <v>6647</v>
      </c>
      <c r="F1418" s="381" t="s">
        <v>87</v>
      </c>
      <c r="G1418" s="381" t="s">
        <v>2403</v>
      </c>
      <c r="H1418" s="387">
        <v>30</v>
      </c>
      <c r="I1418" s="381">
        <v>26.2</v>
      </c>
      <c r="J1418" s="381">
        <v>26.2</v>
      </c>
      <c r="K1418" s="381">
        <v>4</v>
      </c>
      <c r="L1418" s="381">
        <v>0</v>
      </c>
      <c r="M1418" s="381" t="s">
        <v>148</v>
      </c>
      <c r="N1418" s="381" t="s">
        <v>149</v>
      </c>
      <c r="O1418" s="381" t="s">
        <v>150</v>
      </c>
      <c r="P1418" s="381" t="s">
        <v>151</v>
      </c>
      <c r="Q1418" s="381"/>
      <c r="R1418" s="381" t="s">
        <v>6647</v>
      </c>
      <c r="S1418" s="381"/>
      <c r="T1418" s="381" t="s">
        <v>3095</v>
      </c>
      <c r="U1418" s="381" t="s">
        <v>152</v>
      </c>
      <c r="V1418" s="381" t="s">
        <v>23</v>
      </c>
    </row>
    <row r="1419" spans="2:22">
      <c r="B1419" s="383">
        <v>46257</v>
      </c>
      <c r="C1419" s="383">
        <v>46257</v>
      </c>
      <c r="D1419" s="381" t="s">
        <v>6648</v>
      </c>
      <c r="E1419" s="382" t="s">
        <v>6649</v>
      </c>
      <c r="F1419" s="381" t="s">
        <v>87</v>
      </c>
      <c r="G1419" s="381" t="s">
        <v>2358</v>
      </c>
      <c r="H1419" s="387">
        <v>30</v>
      </c>
      <c r="I1419" s="381">
        <v>34.200000000000003</v>
      </c>
      <c r="J1419" s="381">
        <v>34.200000000000003</v>
      </c>
      <c r="K1419" s="381">
        <v>4</v>
      </c>
      <c r="L1419" s="381">
        <v>0</v>
      </c>
      <c r="M1419" s="381" t="s">
        <v>148</v>
      </c>
      <c r="N1419" s="381" t="s">
        <v>149</v>
      </c>
      <c r="O1419" s="381" t="s">
        <v>150</v>
      </c>
      <c r="P1419" s="381" t="s">
        <v>151</v>
      </c>
      <c r="Q1419" s="381"/>
      <c r="R1419" s="381" t="s">
        <v>6649</v>
      </c>
      <c r="S1419" s="381"/>
      <c r="T1419" s="381" t="s">
        <v>3095</v>
      </c>
      <c r="U1419" s="381" t="s">
        <v>152</v>
      </c>
      <c r="V1419" s="381" t="s">
        <v>23</v>
      </c>
    </row>
    <row r="1420" spans="2:22">
      <c r="B1420" s="383">
        <v>46257</v>
      </c>
      <c r="C1420" s="383">
        <v>46257</v>
      </c>
      <c r="D1420" s="381" t="s">
        <v>6650</v>
      </c>
      <c r="E1420" s="382" t="s">
        <v>6651</v>
      </c>
      <c r="F1420" s="381" t="s">
        <v>87</v>
      </c>
      <c r="G1420" s="381" t="s">
        <v>2512</v>
      </c>
      <c r="H1420" s="387">
        <v>40</v>
      </c>
      <c r="I1420" s="381">
        <v>11.3</v>
      </c>
      <c r="J1420" s="381">
        <v>11.3</v>
      </c>
      <c r="K1420" s="381">
        <v>5</v>
      </c>
      <c r="L1420" s="381">
        <v>0</v>
      </c>
      <c r="M1420" s="381" t="s">
        <v>148</v>
      </c>
      <c r="N1420" s="381" t="s">
        <v>149</v>
      </c>
      <c r="O1420" s="381" t="s">
        <v>150</v>
      </c>
      <c r="P1420" s="381" t="s">
        <v>151</v>
      </c>
      <c r="Q1420" s="381"/>
      <c r="R1420" s="381" t="s">
        <v>6651</v>
      </c>
      <c r="S1420" s="381"/>
      <c r="T1420" s="381" t="s">
        <v>3095</v>
      </c>
      <c r="U1420" s="381" t="s">
        <v>152</v>
      </c>
      <c r="V1420" s="381" t="s">
        <v>23</v>
      </c>
    </row>
    <row r="1421" spans="2:22">
      <c r="B1421" s="383">
        <v>46257</v>
      </c>
      <c r="C1421" s="383">
        <v>46257</v>
      </c>
      <c r="D1421" s="381" t="s">
        <v>6652</v>
      </c>
      <c r="E1421" s="382" t="s">
        <v>6653</v>
      </c>
      <c r="F1421" s="381" t="s">
        <v>87</v>
      </c>
      <c r="G1421" s="381" t="s">
        <v>6008</v>
      </c>
      <c r="H1421" s="387">
        <v>30</v>
      </c>
      <c r="I1421" s="381">
        <v>46.4</v>
      </c>
      <c r="J1421" s="381">
        <v>46.4</v>
      </c>
      <c r="K1421" s="381">
        <v>4</v>
      </c>
      <c r="L1421" s="381">
        <v>0</v>
      </c>
      <c r="M1421" s="381" t="s">
        <v>148</v>
      </c>
      <c r="N1421" s="381" t="s">
        <v>149</v>
      </c>
      <c r="O1421" s="381" t="s">
        <v>150</v>
      </c>
      <c r="P1421" s="381" t="s">
        <v>151</v>
      </c>
      <c r="Q1421" s="381"/>
      <c r="R1421" s="381" t="s">
        <v>6653</v>
      </c>
      <c r="S1421" s="381"/>
      <c r="T1421" s="381" t="s">
        <v>3095</v>
      </c>
      <c r="U1421" s="381" t="s">
        <v>152</v>
      </c>
      <c r="V1421" s="381" t="s">
        <v>23</v>
      </c>
    </row>
    <row r="1422" spans="2:22">
      <c r="B1422" s="383">
        <v>46257</v>
      </c>
      <c r="C1422" s="383">
        <v>46257</v>
      </c>
      <c r="D1422" s="381" t="s">
        <v>6654</v>
      </c>
      <c r="E1422" s="382" t="s">
        <v>6655</v>
      </c>
      <c r="F1422" s="381" t="s">
        <v>87</v>
      </c>
      <c r="G1422" s="381" t="s">
        <v>2333</v>
      </c>
      <c r="H1422" s="387">
        <v>30</v>
      </c>
      <c r="I1422" s="381">
        <v>42.8</v>
      </c>
      <c r="J1422" s="381">
        <v>42.8</v>
      </c>
      <c r="K1422" s="381">
        <v>4</v>
      </c>
      <c r="L1422" s="381">
        <v>0</v>
      </c>
      <c r="M1422" s="381" t="s">
        <v>148</v>
      </c>
      <c r="N1422" s="381" t="s">
        <v>149</v>
      </c>
      <c r="O1422" s="381" t="s">
        <v>150</v>
      </c>
      <c r="P1422" s="381" t="s">
        <v>151</v>
      </c>
      <c r="Q1422" s="381"/>
      <c r="R1422" s="381" t="s">
        <v>6655</v>
      </c>
      <c r="S1422" s="381"/>
      <c r="T1422" s="381" t="s">
        <v>3095</v>
      </c>
      <c r="U1422" s="381" t="s">
        <v>152</v>
      </c>
      <c r="V1422" s="381" t="s">
        <v>23</v>
      </c>
    </row>
    <row r="1423" spans="2:22">
      <c r="B1423" s="383">
        <v>46257</v>
      </c>
      <c r="C1423" s="383">
        <v>46257</v>
      </c>
      <c r="D1423" s="381" t="s">
        <v>6656</v>
      </c>
      <c r="E1423" s="382" t="s">
        <v>6657</v>
      </c>
      <c r="F1423" s="381" t="s">
        <v>87</v>
      </c>
      <c r="G1423" s="381" t="s">
        <v>2404</v>
      </c>
      <c r="H1423" s="387">
        <v>40</v>
      </c>
      <c r="I1423" s="381">
        <v>13.8</v>
      </c>
      <c r="J1423" s="381">
        <v>13.8</v>
      </c>
      <c r="K1423" s="381">
        <v>5</v>
      </c>
      <c r="L1423" s="381">
        <v>0</v>
      </c>
      <c r="M1423" s="381" t="s">
        <v>148</v>
      </c>
      <c r="N1423" s="381" t="s">
        <v>149</v>
      </c>
      <c r="O1423" s="381" t="s">
        <v>150</v>
      </c>
      <c r="P1423" s="381" t="s">
        <v>151</v>
      </c>
      <c r="Q1423" s="381"/>
      <c r="R1423" s="381" t="s">
        <v>6657</v>
      </c>
      <c r="S1423" s="381"/>
      <c r="T1423" s="381" t="s">
        <v>3095</v>
      </c>
      <c r="U1423" s="381" t="s">
        <v>152</v>
      </c>
      <c r="V1423" s="381" t="s">
        <v>23</v>
      </c>
    </row>
    <row r="1424" spans="2:22">
      <c r="B1424" s="383">
        <v>46257</v>
      </c>
      <c r="C1424" s="383">
        <v>46257</v>
      </c>
      <c r="D1424" s="381" t="s">
        <v>6658</v>
      </c>
      <c r="E1424" s="382" t="s">
        <v>6659</v>
      </c>
      <c r="F1424" s="381" t="s">
        <v>87</v>
      </c>
      <c r="G1424" s="381" t="s">
        <v>6008</v>
      </c>
      <c r="H1424" s="387">
        <v>30</v>
      </c>
      <c r="I1424" s="381">
        <v>46.4</v>
      </c>
      <c r="J1424" s="381">
        <v>46.4</v>
      </c>
      <c r="K1424" s="381">
        <v>4</v>
      </c>
      <c r="L1424" s="381">
        <v>0</v>
      </c>
      <c r="M1424" s="381" t="s">
        <v>148</v>
      </c>
      <c r="N1424" s="381" t="s">
        <v>149</v>
      </c>
      <c r="O1424" s="381" t="s">
        <v>150</v>
      </c>
      <c r="P1424" s="381" t="s">
        <v>151</v>
      </c>
      <c r="Q1424" s="381"/>
      <c r="R1424" s="381" t="s">
        <v>6659</v>
      </c>
      <c r="S1424" s="381"/>
      <c r="T1424" s="381" t="s">
        <v>3095</v>
      </c>
      <c r="U1424" s="381" t="s">
        <v>152</v>
      </c>
      <c r="V1424" s="381" t="s">
        <v>23</v>
      </c>
    </row>
    <row r="1425" spans="2:22">
      <c r="B1425" s="383">
        <v>46257</v>
      </c>
      <c r="C1425" s="383">
        <v>46257</v>
      </c>
      <c r="D1425" s="381" t="s">
        <v>6660</v>
      </c>
      <c r="E1425" s="382" t="s">
        <v>6661</v>
      </c>
      <c r="F1425" s="381" t="s">
        <v>87</v>
      </c>
      <c r="G1425" s="381" t="s">
        <v>6008</v>
      </c>
      <c r="H1425" s="387">
        <v>30</v>
      </c>
      <c r="I1425" s="381">
        <v>38.4</v>
      </c>
      <c r="J1425" s="381">
        <v>38.4</v>
      </c>
      <c r="K1425" s="381">
        <v>4</v>
      </c>
      <c r="L1425" s="381">
        <v>0</v>
      </c>
      <c r="M1425" s="381" t="s">
        <v>148</v>
      </c>
      <c r="N1425" s="381" t="s">
        <v>149</v>
      </c>
      <c r="O1425" s="381" t="s">
        <v>150</v>
      </c>
      <c r="P1425" s="381" t="s">
        <v>151</v>
      </c>
      <c r="Q1425" s="381"/>
      <c r="R1425" s="381" t="s">
        <v>6661</v>
      </c>
      <c r="S1425" s="381"/>
      <c r="T1425" s="381" t="s">
        <v>3095</v>
      </c>
      <c r="U1425" s="381" t="s">
        <v>152</v>
      </c>
      <c r="V1425" s="381" t="s">
        <v>23</v>
      </c>
    </row>
    <row r="1426" spans="2:22">
      <c r="B1426" s="383">
        <v>46257</v>
      </c>
      <c r="C1426" s="383">
        <v>46257</v>
      </c>
      <c r="D1426" s="381" t="s">
        <v>6662</v>
      </c>
      <c r="E1426" s="382" t="s">
        <v>6663</v>
      </c>
      <c r="F1426" s="381" t="s">
        <v>87</v>
      </c>
      <c r="G1426" s="381" t="s">
        <v>6008</v>
      </c>
      <c r="H1426" s="387">
        <v>30</v>
      </c>
      <c r="I1426" s="381">
        <v>26.2</v>
      </c>
      <c r="J1426" s="381">
        <v>26.2</v>
      </c>
      <c r="K1426" s="381">
        <v>4</v>
      </c>
      <c r="L1426" s="381">
        <v>0</v>
      </c>
      <c r="M1426" s="381" t="s">
        <v>148</v>
      </c>
      <c r="N1426" s="381" t="s">
        <v>149</v>
      </c>
      <c r="O1426" s="381" t="s">
        <v>150</v>
      </c>
      <c r="P1426" s="381" t="s">
        <v>151</v>
      </c>
      <c r="Q1426" s="381"/>
      <c r="R1426" s="381" t="s">
        <v>6663</v>
      </c>
      <c r="S1426" s="381"/>
      <c r="T1426" s="381" t="s">
        <v>3095</v>
      </c>
      <c r="U1426" s="381" t="s">
        <v>152</v>
      </c>
      <c r="V1426" s="381" t="s">
        <v>23</v>
      </c>
    </row>
    <row r="1427" spans="2:22">
      <c r="B1427" s="383">
        <v>46257</v>
      </c>
      <c r="C1427" s="383">
        <v>46257</v>
      </c>
      <c r="D1427" s="381" t="s">
        <v>6664</v>
      </c>
      <c r="E1427" s="382" t="s">
        <v>6665</v>
      </c>
      <c r="F1427" s="381" t="s">
        <v>87</v>
      </c>
      <c r="G1427" s="381" t="s">
        <v>2404</v>
      </c>
      <c r="H1427" s="387">
        <v>40</v>
      </c>
      <c r="I1427" s="381">
        <v>17.8</v>
      </c>
      <c r="J1427" s="381">
        <v>17.8</v>
      </c>
      <c r="K1427" s="381">
        <v>5</v>
      </c>
      <c r="L1427" s="381">
        <v>0</v>
      </c>
      <c r="M1427" s="381" t="s">
        <v>148</v>
      </c>
      <c r="N1427" s="381" t="s">
        <v>149</v>
      </c>
      <c r="O1427" s="381" t="s">
        <v>150</v>
      </c>
      <c r="P1427" s="381" t="s">
        <v>151</v>
      </c>
      <c r="Q1427" s="381"/>
      <c r="R1427" s="381" t="s">
        <v>6665</v>
      </c>
      <c r="S1427" s="381"/>
      <c r="T1427" s="381" t="s">
        <v>3095</v>
      </c>
      <c r="U1427" s="381" t="s">
        <v>152</v>
      </c>
      <c r="V1427" s="381" t="s">
        <v>23</v>
      </c>
    </row>
    <row r="1428" spans="2:22">
      <c r="B1428" s="383">
        <v>46257</v>
      </c>
      <c r="C1428" s="383">
        <v>46257</v>
      </c>
      <c r="D1428" s="381" t="s">
        <v>6666</v>
      </c>
      <c r="E1428" s="382" t="s">
        <v>6667</v>
      </c>
      <c r="F1428" s="381" t="s">
        <v>87</v>
      </c>
      <c r="G1428" s="381" t="s">
        <v>4512</v>
      </c>
      <c r="H1428" s="387">
        <v>55</v>
      </c>
      <c r="I1428" s="381">
        <v>31.2</v>
      </c>
      <c r="J1428" s="381">
        <v>31.2</v>
      </c>
      <c r="K1428" s="381">
        <v>5</v>
      </c>
      <c r="L1428" s="381">
        <v>0</v>
      </c>
      <c r="M1428" s="381" t="s">
        <v>148</v>
      </c>
      <c r="N1428" s="381" t="s">
        <v>149</v>
      </c>
      <c r="O1428" s="381" t="s">
        <v>150</v>
      </c>
      <c r="P1428" s="381" t="s">
        <v>151</v>
      </c>
      <c r="Q1428" s="381"/>
      <c r="R1428" s="381" t="s">
        <v>6667</v>
      </c>
      <c r="S1428" s="381"/>
      <c r="T1428" s="381" t="s">
        <v>3095</v>
      </c>
      <c r="U1428" s="381" t="s">
        <v>152</v>
      </c>
      <c r="V1428" s="381" t="s">
        <v>23</v>
      </c>
    </row>
    <row r="1429" spans="2:22">
      <c r="B1429" s="383">
        <v>46257</v>
      </c>
      <c r="C1429" s="383">
        <v>46257</v>
      </c>
      <c r="D1429" s="381" t="s">
        <v>6668</v>
      </c>
      <c r="E1429" s="382" t="s">
        <v>6669</v>
      </c>
      <c r="F1429" s="381" t="s">
        <v>87</v>
      </c>
      <c r="G1429" s="381" t="s">
        <v>2333</v>
      </c>
      <c r="H1429" s="387">
        <v>30</v>
      </c>
      <c r="I1429" s="381">
        <v>39.799999999999997</v>
      </c>
      <c r="J1429" s="381">
        <v>39.799999999999997</v>
      </c>
      <c r="K1429" s="381">
        <v>4</v>
      </c>
      <c r="L1429" s="381">
        <v>0</v>
      </c>
      <c r="M1429" s="381" t="s">
        <v>148</v>
      </c>
      <c r="N1429" s="381" t="s">
        <v>149</v>
      </c>
      <c r="O1429" s="381" t="s">
        <v>150</v>
      </c>
      <c r="P1429" s="381" t="s">
        <v>151</v>
      </c>
      <c r="Q1429" s="381"/>
      <c r="R1429" s="381" t="s">
        <v>6669</v>
      </c>
      <c r="S1429" s="381"/>
      <c r="T1429" s="381" t="s">
        <v>3095</v>
      </c>
      <c r="U1429" s="381" t="s">
        <v>152</v>
      </c>
      <c r="V1429" s="381" t="s">
        <v>23</v>
      </c>
    </row>
    <row r="1430" spans="2:22">
      <c r="B1430" s="383">
        <v>46257</v>
      </c>
      <c r="C1430" s="383">
        <v>46257</v>
      </c>
      <c r="D1430" s="381" t="s">
        <v>6670</v>
      </c>
      <c r="E1430" s="382" t="s">
        <v>6671</v>
      </c>
      <c r="F1430" s="381" t="s">
        <v>87</v>
      </c>
      <c r="G1430" s="381" t="s">
        <v>2333</v>
      </c>
      <c r="H1430" s="387">
        <v>30</v>
      </c>
      <c r="I1430" s="381">
        <v>25.8</v>
      </c>
      <c r="J1430" s="381">
        <v>25.8</v>
      </c>
      <c r="K1430" s="381">
        <v>4</v>
      </c>
      <c r="L1430" s="381">
        <v>0</v>
      </c>
      <c r="M1430" s="381" t="s">
        <v>148</v>
      </c>
      <c r="N1430" s="381" t="s">
        <v>149</v>
      </c>
      <c r="O1430" s="381" t="s">
        <v>150</v>
      </c>
      <c r="P1430" s="381" t="s">
        <v>151</v>
      </c>
      <c r="Q1430" s="381"/>
      <c r="R1430" s="381" t="s">
        <v>6671</v>
      </c>
      <c r="S1430" s="381"/>
      <c r="T1430" s="381" t="s">
        <v>3095</v>
      </c>
      <c r="U1430" s="381" t="s">
        <v>152</v>
      </c>
      <c r="V1430" s="381" t="s">
        <v>23</v>
      </c>
    </row>
    <row r="1431" spans="2:22">
      <c r="B1431" s="383">
        <v>46257</v>
      </c>
      <c r="C1431" s="383">
        <v>46257</v>
      </c>
      <c r="D1431" s="381" t="s">
        <v>6672</v>
      </c>
      <c r="E1431" s="382" t="s">
        <v>6673</v>
      </c>
      <c r="F1431" s="381" t="s">
        <v>87</v>
      </c>
      <c r="G1431" s="381" t="s">
        <v>2512</v>
      </c>
      <c r="H1431" s="387">
        <v>40</v>
      </c>
      <c r="I1431" s="381">
        <v>27.8</v>
      </c>
      <c r="J1431" s="381">
        <v>27.8</v>
      </c>
      <c r="K1431" s="381">
        <v>5</v>
      </c>
      <c r="L1431" s="381">
        <v>0</v>
      </c>
      <c r="M1431" s="381" t="s">
        <v>148</v>
      </c>
      <c r="N1431" s="381" t="s">
        <v>149</v>
      </c>
      <c r="O1431" s="381" t="s">
        <v>150</v>
      </c>
      <c r="P1431" s="381" t="s">
        <v>151</v>
      </c>
      <c r="Q1431" s="381"/>
      <c r="R1431" s="381" t="s">
        <v>6673</v>
      </c>
      <c r="S1431" s="381"/>
      <c r="T1431" s="381" t="s">
        <v>3095</v>
      </c>
      <c r="U1431" s="381" t="s">
        <v>152</v>
      </c>
      <c r="V1431" s="381" t="s">
        <v>23</v>
      </c>
    </row>
    <row r="1432" spans="2:22">
      <c r="B1432" s="383">
        <v>46257</v>
      </c>
      <c r="C1432" s="383">
        <v>46257</v>
      </c>
      <c r="D1432" s="381" t="s">
        <v>6674</v>
      </c>
      <c r="E1432" s="382" t="s">
        <v>6675</v>
      </c>
      <c r="F1432" s="381" t="s">
        <v>87</v>
      </c>
      <c r="G1432" s="381" t="s">
        <v>4512</v>
      </c>
      <c r="H1432" s="387">
        <v>55</v>
      </c>
      <c r="I1432" s="381">
        <v>18.8</v>
      </c>
      <c r="J1432" s="381">
        <v>18.8</v>
      </c>
      <c r="K1432" s="381">
        <v>5</v>
      </c>
      <c r="L1432" s="381">
        <v>0</v>
      </c>
      <c r="M1432" s="381" t="s">
        <v>148</v>
      </c>
      <c r="N1432" s="381" t="s">
        <v>149</v>
      </c>
      <c r="O1432" s="381" t="s">
        <v>150</v>
      </c>
      <c r="P1432" s="381" t="s">
        <v>151</v>
      </c>
      <c r="Q1432" s="381"/>
      <c r="R1432" s="381" t="s">
        <v>6675</v>
      </c>
      <c r="S1432" s="381"/>
      <c r="T1432" s="381" t="s">
        <v>3095</v>
      </c>
      <c r="U1432" s="381" t="s">
        <v>152</v>
      </c>
      <c r="V1432" s="381" t="s">
        <v>23</v>
      </c>
    </row>
    <row r="1433" spans="2:22">
      <c r="B1433" s="383">
        <v>46257</v>
      </c>
      <c r="C1433" s="383">
        <v>46257</v>
      </c>
      <c r="D1433" s="381" t="s">
        <v>6676</v>
      </c>
      <c r="E1433" s="382" t="s">
        <v>6677</v>
      </c>
      <c r="F1433" s="381" t="s">
        <v>87</v>
      </c>
      <c r="G1433" s="381" t="s">
        <v>2358</v>
      </c>
      <c r="H1433" s="387">
        <v>30</v>
      </c>
      <c r="I1433" s="381">
        <v>12.8</v>
      </c>
      <c r="J1433" s="381">
        <v>12.8</v>
      </c>
      <c r="K1433" s="381">
        <v>4</v>
      </c>
      <c r="L1433" s="381">
        <v>0</v>
      </c>
      <c r="M1433" s="381" t="s">
        <v>148</v>
      </c>
      <c r="N1433" s="381" t="s">
        <v>149</v>
      </c>
      <c r="O1433" s="381" t="s">
        <v>150</v>
      </c>
      <c r="P1433" s="381" t="s">
        <v>151</v>
      </c>
      <c r="Q1433" s="381"/>
      <c r="R1433" s="381" t="s">
        <v>6677</v>
      </c>
      <c r="S1433" s="381"/>
      <c r="T1433" s="381" t="s">
        <v>3095</v>
      </c>
      <c r="U1433" s="381" t="s">
        <v>152</v>
      </c>
      <c r="V1433" s="381" t="s">
        <v>23</v>
      </c>
    </row>
    <row r="1434" spans="2:22">
      <c r="B1434" s="383">
        <v>46257</v>
      </c>
      <c r="C1434" s="383">
        <v>46257</v>
      </c>
      <c r="D1434" s="381" t="s">
        <v>6678</v>
      </c>
      <c r="E1434" s="382" t="s">
        <v>6679</v>
      </c>
      <c r="F1434" s="381" t="s">
        <v>87</v>
      </c>
      <c r="G1434" s="381" t="s">
        <v>6008</v>
      </c>
      <c r="H1434" s="387">
        <v>30</v>
      </c>
      <c r="I1434" s="381">
        <v>34.200000000000003</v>
      </c>
      <c r="J1434" s="381">
        <v>34.200000000000003</v>
      </c>
      <c r="K1434" s="381">
        <v>4</v>
      </c>
      <c r="L1434" s="381">
        <v>0</v>
      </c>
      <c r="M1434" s="381" t="s">
        <v>148</v>
      </c>
      <c r="N1434" s="381" t="s">
        <v>149</v>
      </c>
      <c r="O1434" s="381" t="s">
        <v>150</v>
      </c>
      <c r="P1434" s="381" t="s">
        <v>151</v>
      </c>
      <c r="Q1434" s="381"/>
      <c r="R1434" s="381" t="s">
        <v>6679</v>
      </c>
      <c r="S1434" s="381"/>
      <c r="T1434" s="381" t="s">
        <v>3095</v>
      </c>
      <c r="U1434" s="381" t="s">
        <v>152</v>
      </c>
      <c r="V1434" s="381" t="s">
        <v>23</v>
      </c>
    </row>
    <row r="1435" spans="2:22">
      <c r="B1435" s="383">
        <v>46257</v>
      </c>
      <c r="C1435" s="383">
        <v>46257</v>
      </c>
      <c r="D1435" s="381" t="s">
        <v>6680</v>
      </c>
      <c r="E1435" s="382" t="s">
        <v>6681</v>
      </c>
      <c r="F1435" s="381" t="s">
        <v>87</v>
      </c>
      <c r="G1435" s="381" t="s">
        <v>4512</v>
      </c>
      <c r="H1435" s="387">
        <v>55</v>
      </c>
      <c r="I1435" s="381">
        <v>32.200000000000003</v>
      </c>
      <c r="J1435" s="381">
        <v>32.200000000000003</v>
      </c>
      <c r="K1435" s="381">
        <v>5</v>
      </c>
      <c r="L1435" s="381">
        <v>0</v>
      </c>
      <c r="M1435" s="381" t="s">
        <v>148</v>
      </c>
      <c r="N1435" s="381" t="s">
        <v>149</v>
      </c>
      <c r="O1435" s="381" t="s">
        <v>150</v>
      </c>
      <c r="P1435" s="381" t="s">
        <v>151</v>
      </c>
      <c r="Q1435" s="381"/>
      <c r="R1435" s="381" t="s">
        <v>6681</v>
      </c>
      <c r="S1435" s="381"/>
      <c r="T1435" s="381" t="s">
        <v>3095</v>
      </c>
      <c r="U1435" s="381" t="s">
        <v>152</v>
      </c>
      <c r="V1435" s="381" t="s">
        <v>23</v>
      </c>
    </row>
    <row r="1436" spans="2:22">
      <c r="B1436" s="383">
        <v>46257</v>
      </c>
      <c r="C1436" s="383">
        <v>46257</v>
      </c>
      <c r="D1436" s="381" t="s">
        <v>6682</v>
      </c>
      <c r="E1436" s="382" t="s">
        <v>6683</v>
      </c>
      <c r="F1436" s="381" t="s">
        <v>87</v>
      </c>
      <c r="G1436" s="381" t="s">
        <v>5766</v>
      </c>
      <c r="H1436" s="387">
        <v>45</v>
      </c>
      <c r="I1436" s="381">
        <v>34.799999999999997</v>
      </c>
      <c r="J1436" s="381">
        <v>34.799999999999997</v>
      </c>
      <c r="K1436" s="381">
        <v>5</v>
      </c>
      <c r="L1436" s="381">
        <v>0</v>
      </c>
      <c r="M1436" s="381" t="s">
        <v>148</v>
      </c>
      <c r="N1436" s="381" t="s">
        <v>149</v>
      </c>
      <c r="O1436" s="381" t="s">
        <v>150</v>
      </c>
      <c r="P1436" s="381" t="s">
        <v>151</v>
      </c>
      <c r="Q1436" s="381"/>
      <c r="R1436" s="381" t="s">
        <v>6683</v>
      </c>
      <c r="S1436" s="381"/>
      <c r="T1436" s="381" t="s">
        <v>3095</v>
      </c>
      <c r="U1436" s="381" t="s">
        <v>152</v>
      </c>
      <c r="V1436" s="381" t="s">
        <v>23</v>
      </c>
    </row>
    <row r="1437" spans="2:22">
      <c r="B1437" s="383">
        <v>46257</v>
      </c>
      <c r="C1437" s="383">
        <v>46257</v>
      </c>
      <c r="D1437" s="381" t="s">
        <v>6684</v>
      </c>
      <c r="E1437" s="382" t="s">
        <v>6685</v>
      </c>
      <c r="F1437" s="381" t="s">
        <v>87</v>
      </c>
      <c r="G1437" s="381" t="s">
        <v>5766</v>
      </c>
      <c r="H1437" s="387">
        <v>45</v>
      </c>
      <c r="I1437" s="381">
        <v>20.6</v>
      </c>
      <c r="J1437" s="381">
        <v>20.6</v>
      </c>
      <c r="K1437" s="381">
        <v>5</v>
      </c>
      <c r="L1437" s="381">
        <v>0</v>
      </c>
      <c r="M1437" s="381" t="s">
        <v>148</v>
      </c>
      <c r="N1437" s="381" t="s">
        <v>149</v>
      </c>
      <c r="O1437" s="381" t="s">
        <v>150</v>
      </c>
      <c r="P1437" s="381" t="s">
        <v>151</v>
      </c>
      <c r="Q1437" s="381"/>
      <c r="R1437" s="381" t="s">
        <v>6685</v>
      </c>
      <c r="S1437" s="381"/>
      <c r="T1437" s="381" t="s">
        <v>3095</v>
      </c>
      <c r="U1437" s="381" t="s">
        <v>152</v>
      </c>
      <c r="V1437" s="381" t="s">
        <v>23</v>
      </c>
    </row>
    <row r="1438" spans="2:22">
      <c r="B1438" s="383">
        <v>46257</v>
      </c>
      <c r="C1438" s="383">
        <v>46257</v>
      </c>
      <c r="D1438" s="381" t="s">
        <v>6686</v>
      </c>
      <c r="E1438" s="382" t="s">
        <v>6687</v>
      </c>
      <c r="F1438" s="381" t="s">
        <v>87</v>
      </c>
      <c r="G1438" s="381" t="s">
        <v>2404</v>
      </c>
      <c r="H1438" s="387">
        <v>40</v>
      </c>
      <c r="I1438" s="381">
        <v>35.799999999999997</v>
      </c>
      <c r="J1438" s="381">
        <v>35.799999999999997</v>
      </c>
      <c r="K1438" s="381">
        <v>5</v>
      </c>
      <c r="L1438" s="381">
        <v>0</v>
      </c>
      <c r="M1438" s="381" t="s">
        <v>148</v>
      </c>
      <c r="N1438" s="381" t="s">
        <v>149</v>
      </c>
      <c r="O1438" s="381" t="s">
        <v>150</v>
      </c>
      <c r="P1438" s="381" t="s">
        <v>151</v>
      </c>
      <c r="Q1438" s="381"/>
      <c r="R1438" s="381" t="s">
        <v>6687</v>
      </c>
      <c r="S1438" s="381"/>
      <c r="T1438" s="381" t="s">
        <v>3095</v>
      </c>
      <c r="U1438" s="381" t="s">
        <v>152</v>
      </c>
      <c r="V1438" s="381" t="s">
        <v>23</v>
      </c>
    </row>
    <row r="1439" spans="2:22">
      <c r="B1439" s="383">
        <v>46257</v>
      </c>
      <c r="C1439" s="383">
        <v>46257</v>
      </c>
      <c r="D1439" s="381" t="s">
        <v>6688</v>
      </c>
      <c r="E1439" s="382" t="s">
        <v>6689</v>
      </c>
      <c r="F1439" s="381" t="s">
        <v>87</v>
      </c>
      <c r="G1439" s="381" t="s">
        <v>2404</v>
      </c>
      <c r="H1439" s="387">
        <v>40</v>
      </c>
      <c r="I1439" s="381">
        <v>36.4</v>
      </c>
      <c r="J1439" s="381">
        <v>36.4</v>
      </c>
      <c r="K1439" s="381">
        <v>5</v>
      </c>
      <c r="L1439" s="381">
        <v>0</v>
      </c>
      <c r="M1439" s="381" t="s">
        <v>148</v>
      </c>
      <c r="N1439" s="381" t="s">
        <v>149</v>
      </c>
      <c r="O1439" s="381" t="s">
        <v>150</v>
      </c>
      <c r="P1439" s="381" t="s">
        <v>151</v>
      </c>
      <c r="Q1439" s="381"/>
      <c r="R1439" s="381" t="s">
        <v>6689</v>
      </c>
      <c r="S1439" s="381"/>
      <c r="T1439" s="381" t="s">
        <v>3095</v>
      </c>
      <c r="U1439" s="381" t="s">
        <v>152</v>
      </c>
      <c r="V1439" s="381" t="s">
        <v>23</v>
      </c>
    </row>
    <row r="1440" spans="2:22">
      <c r="B1440" s="383">
        <v>46257</v>
      </c>
      <c r="C1440" s="383">
        <v>46257</v>
      </c>
      <c r="D1440" s="381" t="s">
        <v>6690</v>
      </c>
      <c r="E1440" s="382" t="s">
        <v>6691</v>
      </c>
      <c r="F1440" s="381" t="s">
        <v>87</v>
      </c>
      <c r="G1440" s="381" t="s">
        <v>6008</v>
      </c>
      <c r="H1440" s="387">
        <v>30</v>
      </c>
      <c r="I1440" s="381">
        <v>19.8</v>
      </c>
      <c r="J1440" s="381">
        <v>19.8</v>
      </c>
      <c r="K1440" s="381">
        <v>4</v>
      </c>
      <c r="L1440" s="381">
        <v>0</v>
      </c>
      <c r="M1440" s="381" t="s">
        <v>148</v>
      </c>
      <c r="N1440" s="381" t="s">
        <v>149</v>
      </c>
      <c r="O1440" s="381" t="s">
        <v>150</v>
      </c>
      <c r="P1440" s="381" t="s">
        <v>151</v>
      </c>
      <c r="Q1440" s="381"/>
      <c r="R1440" s="381" t="s">
        <v>6691</v>
      </c>
      <c r="S1440" s="381"/>
      <c r="T1440" s="381" t="s">
        <v>3095</v>
      </c>
      <c r="U1440" s="381" t="s">
        <v>152</v>
      </c>
      <c r="V1440" s="381" t="s">
        <v>23</v>
      </c>
    </row>
    <row r="1441" spans="2:22">
      <c r="B1441" s="383">
        <v>46257</v>
      </c>
      <c r="C1441" s="383">
        <v>46257</v>
      </c>
      <c r="D1441" s="381" t="s">
        <v>6692</v>
      </c>
      <c r="E1441" s="382" t="s">
        <v>6693</v>
      </c>
      <c r="F1441" s="381" t="s">
        <v>87</v>
      </c>
      <c r="G1441" s="381" t="s">
        <v>2333</v>
      </c>
      <c r="H1441" s="387">
        <v>30</v>
      </c>
      <c r="I1441" s="381">
        <v>26.1</v>
      </c>
      <c r="J1441" s="381">
        <v>26.1</v>
      </c>
      <c r="K1441" s="381">
        <v>4</v>
      </c>
      <c r="L1441" s="381">
        <v>0</v>
      </c>
      <c r="M1441" s="381" t="s">
        <v>148</v>
      </c>
      <c r="N1441" s="381" t="s">
        <v>149</v>
      </c>
      <c r="O1441" s="381" t="s">
        <v>150</v>
      </c>
      <c r="P1441" s="381" t="s">
        <v>151</v>
      </c>
      <c r="Q1441" s="381"/>
      <c r="R1441" s="381" t="s">
        <v>6693</v>
      </c>
      <c r="S1441" s="381"/>
      <c r="T1441" s="381" t="s">
        <v>3095</v>
      </c>
      <c r="U1441" s="381" t="s">
        <v>152</v>
      </c>
      <c r="V1441" s="381" t="s">
        <v>23</v>
      </c>
    </row>
    <row r="1442" spans="2:22">
      <c r="B1442" s="383">
        <v>46257</v>
      </c>
      <c r="C1442" s="383">
        <v>46257</v>
      </c>
      <c r="D1442" s="381" t="s">
        <v>6694</v>
      </c>
      <c r="E1442" s="382" t="s">
        <v>6695</v>
      </c>
      <c r="F1442" s="381" t="s">
        <v>87</v>
      </c>
      <c r="G1442" s="381" t="s">
        <v>2404</v>
      </c>
      <c r="H1442" s="387">
        <v>40</v>
      </c>
      <c r="I1442" s="381">
        <v>37.799999999999997</v>
      </c>
      <c r="J1442" s="381">
        <v>37.799999999999997</v>
      </c>
      <c r="K1442" s="381">
        <v>5</v>
      </c>
      <c r="L1442" s="381">
        <v>0</v>
      </c>
      <c r="M1442" s="381" t="s">
        <v>148</v>
      </c>
      <c r="N1442" s="381" t="s">
        <v>149</v>
      </c>
      <c r="O1442" s="381" t="s">
        <v>150</v>
      </c>
      <c r="P1442" s="381" t="s">
        <v>151</v>
      </c>
      <c r="Q1442" s="381"/>
      <c r="R1442" s="381" t="s">
        <v>6695</v>
      </c>
      <c r="S1442" s="381"/>
      <c r="T1442" s="381" t="s">
        <v>3095</v>
      </c>
      <c r="U1442" s="381" t="s">
        <v>152</v>
      </c>
      <c r="V1442" s="381" t="s">
        <v>23</v>
      </c>
    </row>
    <row r="1443" spans="2:22">
      <c r="B1443" s="383">
        <v>46257</v>
      </c>
      <c r="C1443" s="383">
        <v>46257</v>
      </c>
      <c r="D1443" s="381" t="s">
        <v>6696</v>
      </c>
      <c r="E1443" s="382" t="s">
        <v>6697</v>
      </c>
      <c r="F1443" s="381" t="s">
        <v>87</v>
      </c>
      <c r="G1443" s="381" t="s">
        <v>2404</v>
      </c>
      <c r="H1443" s="387">
        <v>40</v>
      </c>
      <c r="I1443" s="381">
        <v>33.799999999999997</v>
      </c>
      <c r="J1443" s="381">
        <v>33.799999999999997</v>
      </c>
      <c r="K1443" s="381">
        <v>5</v>
      </c>
      <c r="L1443" s="381">
        <v>0</v>
      </c>
      <c r="M1443" s="381" t="s">
        <v>148</v>
      </c>
      <c r="N1443" s="381" t="s">
        <v>149</v>
      </c>
      <c r="O1443" s="381" t="s">
        <v>150</v>
      </c>
      <c r="P1443" s="381" t="s">
        <v>151</v>
      </c>
      <c r="Q1443" s="381"/>
      <c r="R1443" s="381" t="s">
        <v>6697</v>
      </c>
      <c r="S1443" s="381"/>
      <c r="T1443" s="381" t="s">
        <v>3095</v>
      </c>
      <c r="U1443" s="381" t="s">
        <v>152</v>
      </c>
      <c r="V1443" s="381" t="s">
        <v>23</v>
      </c>
    </row>
    <row r="1444" spans="2:22">
      <c r="B1444" s="383">
        <v>46257</v>
      </c>
      <c r="C1444" s="383">
        <v>46257</v>
      </c>
      <c r="D1444" s="381" t="s">
        <v>6698</v>
      </c>
      <c r="E1444" s="382" t="s">
        <v>6699</v>
      </c>
      <c r="F1444" s="381" t="s">
        <v>87</v>
      </c>
      <c r="G1444" s="381" t="s">
        <v>6008</v>
      </c>
      <c r="H1444" s="387">
        <v>30</v>
      </c>
      <c r="I1444" s="381">
        <v>29.8</v>
      </c>
      <c r="J1444" s="381">
        <v>29.8</v>
      </c>
      <c r="K1444" s="381">
        <v>4</v>
      </c>
      <c r="L1444" s="381">
        <v>0</v>
      </c>
      <c r="M1444" s="381" t="s">
        <v>148</v>
      </c>
      <c r="N1444" s="381" t="s">
        <v>149</v>
      </c>
      <c r="O1444" s="381" t="s">
        <v>150</v>
      </c>
      <c r="P1444" s="381" t="s">
        <v>151</v>
      </c>
      <c r="Q1444" s="381"/>
      <c r="R1444" s="381" t="s">
        <v>6699</v>
      </c>
      <c r="S1444" s="381"/>
      <c r="T1444" s="381" t="s">
        <v>3095</v>
      </c>
      <c r="U1444" s="381" t="s">
        <v>152</v>
      </c>
      <c r="V1444" s="381" t="s">
        <v>23</v>
      </c>
    </row>
    <row r="1445" spans="2:22">
      <c r="B1445" s="383">
        <v>46257</v>
      </c>
      <c r="C1445" s="383">
        <v>46257</v>
      </c>
      <c r="D1445" s="381" t="s">
        <v>6700</v>
      </c>
      <c r="E1445" s="382" t="s">
        <v>6701</v>
      </c>
      <c r="F1445" s="381" t="s">
        <v>87</v>
      </c>
      <c r="G1445" s="381" t="s">
        <v>5766</v>
      </c>
      <c r="H1445" s="387">
        <v>45</v>
      </c>
      <c r="I1445" s="381">
        <v>39.4</v>
      </c>
      <c r="J1445" s="381">
        <v>39.4</v>
      </c>
      <c r="K1445" s="381">
        <v>5</v>
      </c>
      <c r="L1445" s="381">
        <v>0</v>
      </c>
      <c r="M1445" s="381" t="s">
        <v>148</v>
      </c>
      <c r="N1445" s="381" t="s">
        <v>149</v>
      </c>
      <c r="O1445" s="381" t="s">
        <v>150</v>
      </c>
      <c r="P1445" s="381" t="s">
        <v>151</v>
      </c>
      <c r="Q1445" s="381"/>
      <c r="R1445" s="381" t="s">
        <v>6701</v>
      </c>
      <c r="S1445" s="381"/>
      <c r="T1445" s="381" t="s">
        <v>3095</v>
      </c>
      <c r="U1445" s="381" t="s">
        <v>152</v>
      </c>
      <c r="V1445" s="381" t="s">
        <v>23</v>
      </c>
    </row>
    <row r="1446" spans="2:22">
      <c r="B1446" s="383">
        <v>46257</v>
      </c>
      <c r="C1446" s="383">
        <v>46257</v>
      </c>
      <c r="D1446" s="381" t="s">
        <v>6702</v>
      </c>
      <c r="E1446" s="382" t="s">
        <v>6703</v>
      </c>
      <c r="F1446" s="381" t="s">
        <v>87</v>
      </c>
      <c r="G1446" s="381" t="s">
        <v>6008</v>
      </c>
      <c r="H1446" s="387">
        <v>30</v>
      </c>
      <c r="I1446" s="381">
        <v>40.1</v>
      </c>
      <c r="J1446" s="381">
        <v>40.1</v>
      </c>
      <c r="K1446" s="381">
        <v>4</v>
      </c>
      <c r="L1446" s="381">
        <v>0</v>
      </c>
      <c r="M1446" s="381" t="s">
        <v>148</v>
      </c>
      <c r="N1446" s="381" t="s">
        <v>149</v>
      </c>
      <c r="O1446" s="381" t="s">
        <v>150</v>
      </c>
      <c r="P1446" s="381" t="s">
        <v>151</v>
      </c>
      <c r="Q1446" s="381"/>
      <c r="R1446" s="381" t="s">
        <v>6703</v>
      </c>
      <c r="S1446" s="381"/>
      <c r="T1446" s="381" t="s">
        <v>3095</v>
      </c>
      <c r="U1446" s="381" t="s">
        <v>152</v>
      </c>
      <c r="V1446" s="381" t="s">
        <v>23</v>
      </c>
    </row>
    <row r="1447" spans="2:22">
      <c r="B1447" s="383">
        <v>46257</v>
      </c>
      <c r="C1447" s="383">
        <v>46257</v>
      </c>
      <c r="D1447" s="381" t="s">
        <v>6704</v>
      </c>
      <c r="E1447" s="382" t="s">
        <v>6705</v>
      </c>
      <c r="F1447" s="381" t="s">
        <v>87</v>
      </c>
      <c r="G1447" s="381" t="s">
        <v>2404</v>
      </c>
      <c r="H1447" s="387">
        <v>40</v>
      </c>
      <c r="I1447" s="381">
        <v>37.799999999999997</v>
      </c>
      <c r="J1447" s="381">
        <v>37.799999999999997</v>
      </c>
      <c r="K1447" s="381">
        <v>5</v>
      </c>
      <c r="L1447" s="381">
        <v>0</v>
      </c>
      <c r="M1447" s="381" t="s">
        <v>148</v>
      </c>
      <c r="N1447" s="381" t="s">
        <v>149</v>
      </c>
      <c r="O1447" s="381" t="s">
        <v>150</v>
      </c>
      <c r="P1447" s="381" t="s">
        <v>151</v>
      </c>
      <c r="Q1447" s="381"/>
      <c r="R1447" s="381" t="s">
        <v>6705</v>
      </c>
      <c r="S1447" s="381"/>
      <c r="T1447" s="381" t="s">
        <v>3095</v>
      </c>
      <c r="U1447" s="381" t="s">
        <v>152</v>
      </c>
      <c r="V1447" s="381" t="s">
        <v>23</v>
      </c>
    </row>
    <row r="1448" spans="2:22">
      <c r="B1448" s="383">
        <v>46257</v>
      </c>
      <c r="C1448" s="383">
        <v>46257</v>
      </c>
      <c r="D1448" s="381" t="s">
        <v>6706</v>
      </c>
      <c r="E1448" s="382" t="s">
        <v>6707</v>
      </c>
      <c r="F1448" s="381" t="s">
        <v>87</v>
      </c>
      <c r="G1448" s="381" t="s">
        <v>5766</v>
      </c>
      <c r="H1448" s="387">
        <v>45</v>
      </c>
      <c r="I1448" s="381">
        <v>41.1</v>
      </c>
      <c r="J1448" s="381">
        <v>41.1</v>
      </c>
      <c r="K1448" s="381">
        <v>5</v>
      </c>
      <c r="L1448" s="381">
        <v>0</v>
      </c>
      <c r="M1448" s="381" t="s">
        <v>148</v>
      </c>
      <c r="N1448" s="381" t="s">
        <v>149</v>
      </c>
      <c r="O1448" s="381" t="s">
        <v>150</v>
      </c>
      <c r="P1448" s="381" t="s">
        <v>151</v>
      </c>
      <c r="Q1448" s="381"/>
      <c r="R1448" s="381" t="s">
        <v>6707</v>
      </c>
      <c r="S1448" s="381"/>
      <c r="T1448" s="381" t="s">
        <v>3095</v>
      </c>
      <c r="U1448" s="381" t="s">
        <v>152</v>
      </c>
      <c r="V1448" s="381" t="s">
        <v>23</v>
      </c>
    </row>
    <row r="1449" spans="2:22">
      <c r="B1449" s="383">
        <v>46257</v>
      </c>
      <c r="C1449" s="383">
        <v>46257</v>
      </c>
      <c r="D1449" s="381" t="s">
        <v>6708</v>
      </c>
      <c r="E1449" s="382" t="s">
        <v>6709</v>
      </c>
      <c r="F1449" s="381" t="s">
        <v>87</v>
      </c>
      <c r="G1449" s="381" t="s">
        <v>2333</v>
      </c>
      <c r="H1449" s="387">
        <v>30</v>
      </c>
      <c r="I1449" s="381">
        <v>36.4</v>
      </c>
      <c r="J1449" s="381">
        <v>36.4</v>
      </c>
      <c r="K1449" s="381">
        <v>4</v>
      </c>
      <c r="L1449" s="381">
        <v>0</v>
      </c>
      <c r="M1449" s="381" t="s">
        <v>148</v>
      </c>
      <c r="N1449" s="381" t="s">
        <v>149</v>
      </c>
      <c r="O1449" s="381" t="s">
        <v>150</v>
      </c>
      <c r="P1449" s="381" t="s">
        <v>151</v>
      </c>
      <c r="Q1449" s="381"/>
      <c r="R1449" s="381" t="s">
        <v>6709</v>
      </c>
      <c r="S1449" s="381"/>
      <c r="T1449" s="381" t="s">
        <v>3095</v>
      </c>
      <c r="U1449" s="381" t="s">
        <v>152</v>
      </c>
      <c r="V1449" s="381" t="s">
        <v>23</v>
      </c>
    </row>
    <row r="1450" spans="2:22">
      <c r="B1450" s="383">
        <v>46257</v>
      </c>
      <c r="C1450" s="383">
        <v>46257</v>
      </c>
      <c r="D1450" s="381" t="s">
        <v>6710</v>
      </c>
      <c r="E1450" s="382" t="s">
        <v>6711</v>
      </c>
      <c r="F1450" s="381" t="s">
        <v>87</v>
      </c>
      <c r="G1450" s="381" t="s">
        <v>2404</v>
      </c>
      <c r="H1450" s="387">
        <v>40</v>
      </c>
      <c r="I1450" s="381">
        <v>33.799999999999997</v>
      </c>
      <c r="J1450" s="381">
        <v>33.799999999999997</v>
      </c>
      <c r="K1450" s="381">
        <v>5</v>
      </c>
      <c r="L1450" s="381">
        <v>0</v>
      </c>
      <c r="M1450" s="381" t="s">
        <v>148</v>
      </c>
      <c r="N1450" s="381" t="s">
        <v>149</v>
      </c>
      <c r="O1450" s="381" t="s">
        <v>150</v>
      </c>
      <c r="P1450" s="381" t="s">
        <v>151</v>
      </c>
      <c r="Q1450" s="381"/>
      <c r="R1450" s="381" t="s">
        <v>6711</v>
      </c>
      <c r="S1450" s="381"/>
      <c r="T1450" s="381" t="s">
        <v>3095</v>
      </c>
      <c r="U1450" s="381" t="s">
        <v>152</v>
      </c>
      <c r="V1450" s="381" t="s">
        <v>23</v>
      </c>
    </row>
    <row r="1451" spans="2:22">
      <c r="B1451" s="383">
        <v>46257</v>
      </c>
      <c r="C1451" s="383">
        <v>46257</v>
      </c>
      <c r="D1451" s="381" t="s">
        <v>6712</v>
      </c>
      <c r="E1451" s="382" t="s">
        <v>6713</v>
      </c>
      <c r="F1451" s="381" t="s">
        <v>87</v>
      </c>
      <c r="G1451" s="381" t="s">
        <v>2404</v>
      </c>
      <c r="H1451" s="387">
        <v>40</v>
      </c>
      <c r="I1451" s="381">
        <v>48.8</v>
      </c>
      <c r="J1451" s="381">
        <v>48.8</v>
      </c>
      <c r="K1451" s="381">
        <v>5</v>
      </c>
      <c r="L1451" s="381">
        <v>0</v>
      </c>
      <c r="M1451" s="381" t="s">
        <v>148</v>
      </c>
      <c r="N1451" s="381" t="s">
        <v>149</v>
      </c>
      <c r="O1451" s="381" t="s">
        <v>150</v>
      </c>
      <c r="P1451" s="381" t="s">
        <v>151</v>
      </c>
      <c r="Q1451" s="381"/>
      <c r="R1451" s="381" t="s">
        <v>6713</v>
      </c>
      <c r="S1451" s="381"/>
      <c r="T1451" s="381" t="s">
        <v>3095</v>
      </c>
      <c r="U1451" s="381" t="s">
        <v>152</v>
      </c>
      <c r="V1451" s="381" t="s">
        <v>23</v>
      </c>
    </row>
    <row r="1452" spans="2:22">
      <c r="B1452" s="383">
        <v>46257</v>
      </c>
      <c r="C1452" s="383">
        <v>46257</v>
      </c>
      <c r="D1452" s="381" t="s">
        <v>6714</v>
      </c>
      <c r="E1452" s="382" t="s">
        <v>6715</v>
      </c>
      <c r="F1452" s="381" t="s">
        <v>87</v>
      </c>
      <c r="G1452" s="381" t="s">
        <v>5766</v>
      </c>
      <c r="H1452" s="387">
        <v>45</v>
      </c>
      <c r="I1452" s="381">
        <v>42.8</v>
      </c>
      <c r="J1452" s="381">
        <v>42.8</v>
      </c>
      <c r="K1452" s="381">
        <v>5</v>
      </c>
      <c r="L1452" s="381">
        <v>0</v>
      </c>
      <c r="M1452" s="381" t="s">
        <v>148</v>
      </c>
      <c r="N1452" s="381" t="s">
        <v>149</v>
      </c>
      <c r="O1452" s="381" t="s">
        <v>150</v>
      </c>
      <c r="P1452" s="381" t="s">
        <v>151</v>
      </c>
      <c r="Q1452" s="381"/>
      <c r="R1452" s="381" t="s">
        <v>6715</v>
      </c>
      <c r="S1452" s="381"/>
      <c r="T1452" s="381" t="s">
        <v>3095</v>
      </c>
      <c r="U1452" s="381" t="s">
        <v>152</v>
      </c>
      <c r="V1452" s="381" t="s">
        <v>23</v>
      </c>
    </row>
    <row r="1453" spans="2:22">
      <c r="B1453" s="383">
        <v>46258</v>
      </c>
      <c r="C1453" s="383">
        <v>46258</v>
      </c>
      <c r="D1453" s="381" t="s">
        <v>6716</v>
      </c>
      <c r="E1453" s="382" t="s">
        <v>6717</v>
      </c>
      <c r="F1453" s="381" t="s">
        <v>87</v>
      </c>
      <c r="G1453" s="381" t="s">
        <v>2333</v>
      </c>
      <c r="H1453" s="387">
        <v>30</v>
      </c>
      <c r="I1453" s="381">
        <v>39.200000000000003</v>
      </c>
      <c r="J1453" s="381">
        <v>39.200000000000003</v>
      </c>
      <c r="K1453" s="381">
        <v>4</v>
      </c>
      <c r="L1453" s="381">
        <v>0</v>
      </c>
      <c r="M1453" s="381" t="s">
        <v>148</v>
      </c>
      <c r="N1453" s="381" t="s">
        <v>149</v>
      </c>
      <c r="O1453" s="381" t="s">
        <v>150</v>
      </c>
      <c r="P1453" s="381" t="s">
        <v>151</v>
      </c>
      <c r="Q1453" s="381"/>
      <c r="R1453" s="381" t="s">
        <v>6717</v>
      </c>
      <c r="S1453" s="381"/>
      <c r="T1453" s="381" t="s">
        <v>3106</v>
      </c>
      <c r="U1453" s="381" t="s">
        <v>152</v>
      </c>
      <c r="V1453" s="381" t="s">
        <v>23</v>
      </c>
    </row>
    <row r="1454" spans="2:22">
      <c r="B1454" s="383">
        <v>46258</v>
      </c>
      <c r="C1454" s="383">
        <v>46258</v>
      </c>
      <c r="D1454" s="381" t="s">
        <v>6718</v>
      </c>
      <c r="E1454" s="382" t="s">
        <v>6719</v>
      </c>
      <c r="F1454" s="381" t="s">
        <v>87</v>
      </c>
      <c r="G1454" s="381" t="s">
        <v>5766</v>
      </c>
      <c r="H1454" s="387">
        <v>45</v>
      </c>
      <c r="I1454" s="381">
        <v>17.8</v>
      </c>
      <c r="J1454" s="381">
        <v>17.8</v>
      </c>
      <c r="K1454" s="381">
        <v>5</v>
      </c>
      <c r="L1454" s="381">
        <v>0</v>
      </c>
      <c r="M1454" s="381" t="s">
        <v>148</v>
      </c>
      <c r="N1454" s="381" t="s">
        <v>149</v>
      </c>
      <c r="O1454" s="381" t="s">
        <v>150</v>
      </c>
      <c r="P1454" s="381" t="s">
        <v>151</v>
      </c>
      <c r="Q1454" s="381"/>
      <c r="R1454" s="381" t="s">
        <v>6719</v>
      </c>
      <c r="S1454" s="381"/>
      <c r="T1454" s="381" t="s">
        <v>3106</v>
      </c>
      <c r="U1454" s="381" t="s">
        <v>152</v>
      </c>
      <c r="V1454" s="381" t="s">
        <v>23</v>
      </c>
    </row>
    <row r="1455" spans="2:22">
      <c r="B1455" s="383">
        <v>46258</v>
      </c>
      <c r="C1455" s="383">
        <v>46258</v>
      </c>
      <c r="D1455" s="381" t="s">
        <v>6720</v>
      </c>
      <c r="E1455" s="382" t="s">
        <v>6721</v>
      </c>
      <c r="F1455" s="381" t="s">
        <v>87</v>
      </c>
      <c r="G1455" s="381" t="s">
        <v>6008</v>
      </c>
      <c r="H1455" s="387">
        <v>30</v>
      </c>
      <c r="I1455" s="381">
        <v>46.3</v>
      </c>
      <c r="J1455" s="381">
        <v>46.3</v>
      </c>
      <c r="K1455" s="381">
        <v>4</v>
      </c>
      <c r="L1455" s="381">
        <v>0</v>
      </c>
      <c r="M1455" s="381" t="s">
        <v>148</v>
      </c>
      <c r="N1455" s="381" t="s">
        <v>149</v>
      </c>
      <c r="O1455" s="381" t="s">
        <v>150</v>
      </c>
      <c r="P1455" s="381" t="s">
        <v>151</v>
      </c>
      <c r="Q1455" s="381"/>
      <c r="R1455" s="381" t="s">
        <v>6721</v>
      </c>
      <c r="S1455" s="381"/>
      <c r="T1455" s="381" t="s">
        <v>3106</v>
      </c>
      <c r="U1455" s="381" t="s">
        <v>152</v>
      </c>
      <c r="V1455" s="381" t="s">
        <v>23</v>
      </c>
    </row>
    <row r="1456" spans="2:22">
      <c r="B1456" s="383">
        <v>46258</v>
      </c>
      <c r="C1456" s="383">
        <v>46258</v>
      </c>
      <c r="D1456" s="381" t="s">
        <v>6722</v>
      </c>
      <c r="E1456" s="382" t="s">
        <v>6723</v>
      </c>
      <c r="F1456" s="381" t="s">
        <v>87</v>
      </c>
      <c r="G1456" s="381" t="s">
        <v>2333</v>
      </c>
      <c r="H1456" s="387">
        <v>30</v>
      </c>
      <c r="I1456" s="381">
        <v>40.799999999999997</v>
      </c>
      <c r="J1456" s="381">
        <v>40.799999999999997</v>
      </c>
      <c r="K1456" s="381">
        <v>4</v>
      </c>
      <c r="L1456" s="381">
        <v>0</v>
      </c>
      <c r="M1456" s="381" t="s">
        <v>148</v>
      </c>
      <c r="N1456" s="381" t="s">
        <v>149</v>
      </c>
      <c r="O1456" s="381" t="s">
        <v>150</v>
      </c>
      <c r="P1456" s="381" t="s">
        <v>151</v>
      </c>
      <c r="Q1456" s="381"/>
      <c r="R1456" s="381" t="s">
        <v>6723</v>
      </c>
      <c r="S1456" s="381"/>
      <c r="T1456" s="381" t="s">
        <v>3106</v>
      </c>
      <c r="U1456" s="381" t="s">
        <v>152</v>
      </c>
      <c r="V1456" s="381" t="s">
        <v>23</v>
      </c>
    </row>
    <row r="1457" spans="2:22">
      <c r="B1457" s="383">
        <v>46258</v>
      </c>
      <c r="C1457" s="383">
        <v>46258</v>
      </c>
      <c r="D1457" s="381" t="s">
        <v>6724</v>
      </c>
      <c r="E1457" s="382" t="s">
        <v>6725</v>
      </c>
      <c r="F1457" s="381" t="s">
        <v>87</v>
      </c>
      <c r="G1457" s="381" t="s">
        <v>5766</v>
      </c>
      <c r="H1457" s="387">
        <v>45</v>
      </c>
      <c r="I1457" s="381">
        <v>38.200000000000003</v>
      </c>
      <c r="J1457" s="381">
        <v>38.200000000000003</v>
      </c>
      <c r="K1457" s="381">
        <v>5</v>
      </c>
      <c r="L1457" s="381">
        <v>0</v>
      </c>
      <c r="M1457" s="381" t="s">
        <v>148</v>
      </c>
      <c r="N1457" s="381" t="s">
        <v>149</v>
      </c>
      <c r="O1457" s="381" t="s">
        <v>150</v>
      </c>
      <c r="P1457" s="381" t="s">
        <v>151</v>
      </c>
      <c r="Q1457" s="381"/>
      <c r="R1457" s="381" t="s">
        <v>6725</v>
      </c>
      <c r="S1457" s="381"/>
      <c r="T1457" s="381" t="s">
        <v>3106</v>
      </c>
      <c r="U1457" s="381" t="s">
        <v>152</v>
      </c>
      <c r="V1457" s="381" t="s">
        <v>23</v>
      </c>
    </row>
    <row r="1458" spans="2:22">
      <c r="B1458" s="383">
        <v>46258</v>
      </c>
      <c r="C1458" s="383">
        <v>46258</v>
      </c>
      <c r="D1458" s="381" t="s">
        <v>6726</v>
      </c>
      <c r="E1458" s="382" t="s">
        <v>6727</v>
      </c>
      <c r="F1458" s="381" t="s">
        <v>87</v>
      </c>
      <c r="G1458" s="381" t="s">
        <v>6008</v>
      </c>
      <c r="H1458" s="387">
        <v>30</v>
      </c>
      <c r="I1458" s="381">
        <v>47.3</v>
      </c>
      <c r="J1458" s="381">
        <v>47.3</v>
      </c>
      <c r="K1458" s="381">
        <v>4</v>
      </c>
      <c r="L1458" s="381">
        <v>0</v>
      </c>
      <c r="M1458" s="381" t="s">
        <v>148</v>
      </c>
      <c r="N1458" s="381" t="s">
        <v>149</v>
      </c>
      <c r="O1458" s="381" t="s">
        <v>150</v>
      </c>
      <c r="P1458" s="381" t="s">
        <v>151</v>
      </c>
      <c r="Q1458" s="381"/>
      <c r="R1458" s="381" t="s">
        <v>6727</v>
      </c>
      <c r="S1458" s="381"/>
      <c r="T1458" s="381" t="s">
        <v>3106</v>
      </c>
      <c r="U1458" s="381" t="s">
        <v>152</v>
      </c>
      <c r="V1458" s="381" t="s">
        <v>23</v>
      </c>
    </row>
    <row r="1459" spans="2:22">
      <c r="B1459" s="383">
        <v>46258</v>
      </c>
      <c r="C1459" s="383">
        <v>46258</v>
      </c>
      <c r="D1459" s="381" t="s">
        <v>6728</v>
      </c>
      <c r="E1459" s="382" t="s">
        <v>6729</v>
      </c>
      <c r="F1459" s="381" t="s">
        <v>87</v>
      </c>
      <c r="G1459" s="381" t="s">
        <v>6008</v>
      </c>
      <c r="H1459" s="387">
        <v>30</v>
      </c>
      <c r="I1459" s="381">
        <v>46.8</v>
      </c>
      <c r="J1459" s="381">
        <v>46.8</v>
      </c>
      <c r="K1459" s="381">
        <v>4</v>
      </c>
      <c r="L1459" s="381">
        <v>0</v>
      </c>
      <c r="M1459" s="381" t="s">
        <v>148</v>
      </c>
      <c r="N1459" s="381" t="s">
        <v>149</v>
      </c>
      <c r="O1459" s="381" t="s">
        <v>150</v>
      </c>
      <c r="P1459" s="381" t="s">
        <v>151</v>
      </c>
      <c r="Q1459" s="381"/>
      <c r="R1459" s="381" t="s">
        <v>6729</v>
      </c>
      <c r="S1459" s="381"/>
      <c r="T1459" s="381" t="s">
        <v>3106</v>
      </c>
      <c r="U1459" s="381" t="s">
        <v>152</v>
      </c>
      <c r="V1459" s="381" t="s">
        <v>23</v>
      </c>
    </row>
    <row r="1460" spans="2:22">
      <c r="B1460" s="383">
        <v>46258</v>
      </c>
      <c r="C1460" s="383">
        <v>46258</v>
      </c>
      <c r="D1460" s="381" t="s">
        <v>6730</v>
      </c>
      <c r="E1460" s="382" t="s">
        <v>6731</v>
      </c>
      <c r="F1460" s="381" t="s">
        <v>87</v>
      </c>
      <c r="G1460" s="381" t="s">
        <v>6008</v>
      </c>
      <c r="H1460" s="387">
        <v>30</v>
      </c>
      <c r="I1460" s="381">
        <v>30.4</v>
      </c>
      <c r="J1460" s="381">
        <v>30.4</v>
      </c>
      <c r="K1460" s="381">
        <v>4</v>
      </c>
      <c r="L1460" s="381">
        <v>0</v>
      </c>
      <c r="M1460" s="381" t="s">
        <v>148</v>
      </c>
      <c r="N1460" s="381" t="s">
        <v>149</v>
      </c>
      <c r="O1460" s="381" t="s">
        <v>150</v>
      </c>
      <c r="P1460" s="381" t="s">
        <v>151</v>
      </c>
      <c r="Q1460" s="381"/>
      <c r="R1460" s="381" t="s">
        <v>6731</v>
      </c>
      <c r="S1460" s="381"/>
      <c r="T1460" s="381" t="s">
        <v>3106</v>
      </c>
      <c r="U1460" s="381" t="s">
        <v>152</v>
      </c>
      <c r="V1460" s="381" t="s">
        <v>23</v>
      </c>
    </row>
    <row r="1461" spans="2:22">
      <c r="B1461" s="383">
        <v>46258</v>
      </c>
      <c r="C1461" s="383">
        <v>46258</v>
      </c>
      <c r="D1461" s="381" t="s">
        <v>6732</v>
      </c>
      <c r="E1461" s="382" t="s">
        <v>6733</v>
      </c>
      <c r="F1461" s="381" t="s">
        <v>87</v>
      </c>
      <c r="G1461" s="381" t="s">
        <v>6008</v>
      </c>
      <c r="H1461" s="387">
        <v>30</v>
      </c>
      <c r="I1461" s="381">
        <v>26.5</v>
      </c>
      <c r="J1461" s="381">
        <v>26.5</v>
      </c>
      <c r="K1461" s="381">
        <v>4</v>
      </c>
      <c r="L1461" s="381">
        <v>0</v>
      </c>
      <c r="M1461" s="381" t="s">
        <v>148</v>
      </c>
      <c r="N1461" s="381" t="s">
        <v>149</v>
      </c>
      <c r="O1461" s="381" t="s">
        <v>150</v>
      </c>
      <c r="P1461" s="381" t="s">
        <v>151</v>
      </c>
      <c r="Q1461" s="381"/>
      <c r="R1461" s="381" t="s">
        <v>6733</v>
      </c>
      <c r="S1461" s="381"/>
      <c r="T1461" s="381" t="s">
        <v>3106</v>
      </c>
      <c r="U1461" s="381" t="s">
        <v>152</v>
      </c>
      <c r="V1461" s="381" t="s">
        <v>23</v>
      </c>
    </row>
    <row r="1462" spans="2:22">
      <c r="B1462" s="383">
        <v>46258</v>
      </c>
      <c r="C1462" s="383">
        <v>46258</v>
      </c>
      <c r="D1462" s="381" t="s">
        <v>6734</v>
      </c>
      <c r="E1462" s="382" t="s">
        <v>6735</v>
      </c>
      <c r="F1462" s="381" t="s">
        <v>87</v>
      </c>
      <c r="G1462" s="381" t="s">
        <v>2333</v>
      </c>
      <c r="H1462" s="387">
        <v>30</v>
      </c>
      <c r="I1462" s="381">
        <v>36.4</v>
      </c>
      <c r="J1462" s="381">
        <v>36.4</v>
      </c>
      <c r="K1462" s="381">
        <v>4</v>
      </c>
      <c r="L1462" s="381">
        <v>0</v>
      </c>
      <c r="M1462" s="381" t="s">
        <v>148</v>
      </c>
      <c r="N1462" s="381" t="s">
        <v>149</v>
      </c>
      <c r="O1462" s="381" t="s">
        <v>150</v>
      </c>
      <c r="P1462" s="381" t="s">
        <v>151</v>
      </c>
      <c r="Q1462" s="381"/>
      <c r="R1462" s="381" t="s">
        <v>6735</v>
      </c>
      <c r="S1462" s="381"/>
      <c r="T1462" s="381" t="s">
        <v>3106</v>
      </c>
      <c r="U1462" s="381" t="s">
        <v>152</v>
      </c>
      <c r="V1462" s="381" t="s">
        <v>23</v>
      </c>
    </row>
    <row r="1463" spans="2:22">
      <c r="B1463" s="383">
        <v>46258</v>
      </c>
      <c r="C1463" s="383">
        <v>46258</v>
      </c>
      <c r="D1463" s="381" t="s">
        <v>6736</v>
      </c>
      <c r="E1463" s="382" t="s">
        <v>6737</v>
      </c>
      <c r="F1463" s="381" t="s">
        <v>87</v>
      </c>
      <c r="G1463" s="381" t="s">
        <v>2358</v>
      </c>
      <c r="H1463" s="387">
        <v>30</v>
      </c>
      <c r="I1463" s="381">
        <v>33.799999999999997</v>
      </c>
      <c r="J1463" s="381">
        <v>33.799999999999997</v>
      </c>
      <c r="K1463" s="381">
        <v>4</v>
      </c>
      <c r="L1463" s="381">
        <v>0</v>
      </c>
      <c r="M1463" s="381" t="s">
        <v>148</v>
      </c>
      <c r="N1463" s="381" t="s">
        <v>149</v>
      </c>
      <c r="O1463" s="381" t="s">
        <v>150</v>
      </c>
      <c r="P1463" s="381" t="s">
        <v>151</v>
      </c>
      <c r="Q1463" s="381"/>
      <c r="R1463" s="381" t="s">
        <v>6737</v>
      </c>
      <c r="S1463" s="381"/>
      <c r="T1463" s="381" t="s">
        <v>3106</v>
      </c>
      <c r="U1463" s="381" t="s">
        <v>152</v>
      </c>
      <c r="V1463" s="381" t="s">
        <v>23</v>
      </c>
    </row>
    <row r="1464" spans="2:22">
      <c r="B1464" s="383">
        <v>46258</v>
      </c>
      <c r="C1464" s="383">
        <v>46258</v>
      </c>
      <c r="D1464" s="381" t="s">
        <v>6738</v>
      </c>
      <c r="E1464" s="382" t="s">
        <v>6739</v>
      </c>
      <c r="F1464" s="381" t="s">
        <v>87</v>
      </c>
      <c r="G1464" s="381" t="s">
        <v>4512</v>
      </c>
      <c r="H1464" s="387">
        <v>55</v>
      </c>
      <c r="I1464" s="381">
        <v>40.200000000000003</v>
      </c>
      <c r="J1464" s="381">
        <v>40.200000000000003</v>
      </c>
      <c r="K1464" s="381">
        <v>5</v>
      </c>
      <c r="L1464" s="381">
        <v>0</v>
      </c>
      <c r="M1464" s="381" t="s">
        <v>148</v>
      </c>
      <c r="N1464" s="381" t="s">
        <v>149</v>
      </c>
      <c r="O1464" s="381" t="s">
        <v>150</v>
      </c>
      <c r="P1464" s="381" t="s">
        <v>151</v>
      </c>
      <c r="Q1464" s="381"/>
      <c r="R1464" s="381" t="s">
        <v>6739</v>
      </c>
      <c r="S1464" s="381"/>
      <c r="T1464" s="381" t="s">
        <v>3106</v>
      </c>
      <c r="U1464" s="381" t="s">
        <v>152</v>
      </c>
      <c r="V1464" s="381" t="s">
        <v>23</v>
      </c>
    </row>
    <row r="1465" spans="2:22">
      <c r="B1465" s="383">
        <v>46258</v>
      </c>
      <c r="C1465" s="383">
        <v>46258</v>
      </c>
      <c r="D1465" s="381" t="s">
        <v>6740</v>
      </c>
      <c r="E1465" s="382" t="s">
        <v>6741</v>
      </c>
      <c r="F1465" s="381" t="s">
        <v>87</v>
      </c>
      <c r="G1465" s="381" t="s">
        <v>2404</v>
      </c>
      <c r="H1465" s="387">
        <v>40</v>
      </c>
      <c r="I1465" s="381">
        <v>12.4</v>
      </c>
      <c r="J1465" s="381">
        <v>12.4</v>
      </c>
      <c r="K1465" s="381">
        <v>5</v>
      </c>
      <c r="L1465" s="381">
        <v>0</v>
      </c>
      <c r="M1465" s="381" t="s">
        <v>148</v>
      </c>
      <c r="N1465" s="381" t="s">
        <v>149</v>
      </c>
      <c r="O1465" s="381" t="s">
        <v>150</v>
      </c>
      <c r="P1465" s="381" t="s">
        <v>151</v>
      </c>
      <c r="Q1465" s="381"/>
      <c r="R1465" s="381" t="s">
        <v>6741</v>
      </c>
      <c r="S1465" s="381"/>
      <c r="T1465" s="381" t="s">
        <v>3106</v>
      </c>
      <c r="U1465" s="381" t="s">
        <v>152</v>
      </c>
      <c r="V1465" s="381" t="s">
        <v>23</v>
      </c>
    </row>
    <row r="1466" spans="2:22">
      <c r="B1466" s="383">
        <v>46258</v>
      </c>
      <c r="C1466" s="383">
        <v>46258</v>
      </c>
      <c r="D1466" s="381" t="s">
        <v>6742</v>
      </c>
      <c r="E1466" s="382" t="s">
        <v>6743</v>
      </c>
      <c r="F1466" s="381" t="s">
        <v>87</v>
      </c>
      <c r="G1466" s="381" t="s">
        <v>2358</v>
      </c>
      <c r="H1466" s="387">
        <v>30</v>
      </c>
      <c r="I1466" s="381">
        <v>32.799999999999997</v>
      </c>
      <c r="J1466" s="381">
        <v>32.799999999999997</v>
      </c>
      <c r="K1466" s="381">
        <v>4</v>
      </c>
      <c r="L1466" s="381">
        <v>0</v>
      </c>
      <c r="M1466" s="381" t="s">
        <v>148</v>
      </c>
      <c r="N1466" s="381" t="s">
        <v>149</v>
      </c>
      <c r="O1466" s="381" t="s">
        <v>150</v>
      </c>
      <c r="P1466" s="381" t="s">
        <v>151</v>
      </c>
      <c r="Q1466" s="381"/>
      <c r="R1466" s="381" t="s">
        <v>6743</v>
      </c>
      <c r="S1466" s="381"/>
      <c r="T1466" s="381" t="s">
        <v>3106</v>
      </c>
      <c r="U1466" s="381" t="s">
        <v>152</v>
      </c>
      <c r="V1466" s="381" t="s">
        <v>23</v>
      </c>
    </row>
    <row r="1467" spans="2:22">
      <c r="B1467" s="383">
        <v>46258</v>
      </c>
      <c r="C1467" s="383">
        <v>46258</v>
      </c>
      <c r="D1467" s="381" t="s">
        <v>6744</v>
      </c>
      <c r="E1467" s="382" t="s">
        <v>6745</v>
      </c>
      <c r="F1467" s="381" t="s">
        <v>87</v>
      </c>
      <c r="G1467" s="381" t="s">
        <v>2404</v>
      </c>
      <c r="H1467" s="387">
        <v>40</v>
      </c>
      <c r="I1467" s="381">
        <v>28.4</v>
      </c>
      <c r="J1467" s="381">
        <v>28.4</v>
      </c>
      <c r="K1467" s="381">
        <v>5</v>
      </c>
      <c r="L1467" s="381">
        <v>0</v>
      </c>
      <c r="M1467" s="381" t="s">
        <v>148</v>
      </c>
      <c r="N1467" s="381" t="s">
        <v>149</v>
      </c>
      <c r="O1467" s="381" t="s">
        <v>150</v>
      </c>
      <c r="P1467" s="381" t="s">
        <v>151</v>
      </c>
      <c r="Q1467" s="381"/>
      <c r="R1467" s="381" t="s">
        <v>6745</v>
      </c>
      <c r="S1467" s="381"/>
      <c r="T1467" s="381" t="s">
        <v>3106</v>
      </c>
      <c r="U1467" s="381" t="s">
        <v>152</v>
      </c>
      <c r="V1467" s="381" t="s">
        <v>23</v>
      </c>
    </row>
    <row r="1468" spans="2:22">
      <c r="B1468" s="383">
        <v>46258</v>
      </c>
      <c r="C1468" s="383">
        <v>46258</v>
      </c>
      <c r="D1468" s="381" t="s">
        <v>6746</v>
      </c>
      <c r="E1468" s="382" t="s">
        <v>6747</v>
      </c>
      <c r="F1468" s="381" t="s">
        <v>87</v>
      </c>
      <c r="G1468" s="381" t="s">
        <v>4512</v>
      </c>
      <c r="H1468" s="387">
        <v>55</v>
      </c>
      <c r="I1468" s="381">
        <v>24.2</v>
      </c>
      <c r="J1468" s="381">
        <v>24.2</v>
      </c>
      <c r="K1468" s="381">
        <v>5</v>
      </c>
      <c r="L1468" s="381">
        <v>0</v>
      </c>
      <c r="M1468" s="381" t="s">
        <v>148</v>
      </c>
      <c r="N1468" s="381" t="s">
        <v>149</v>
      </c>
      <c r="O1468" s="381" t="s">
        <v>150</v>
      </c>
      <c r="P1468" s="381" t="s">
        <v>151</v>
      </c>
      <c r="Q1468" s="381"/>
      <c r="R1468" s="381" t="s">
        <v>6747</v>
      </c>
      <c r="S1468" s="381"/>
      <c r="T1468" s="381" t="s">
        <v>3106</v>
      </c>
      <c r="U1468" s="381" t="s">
        <v>152</v>
      </c>
      <c r="V1468" s="381" t="s">
        <v>23</v>
      </c>
    </row>
    <row r="1469" spans="2:22">
      <c r="B1469" s="383">
        <v>46258</v>
      </c>
      <c r="C1469" s="383">
        <v>46258</v>
      </c>
      <c r="D1469" s="381" t="s">
        <v>6748</v>
      </c>
      <c r="E1469" s="382" t="s">
        <v>6749</v>
      </c>
      <c r="F1469" s="381" t="s">
        <v>87</v>
      </c>
      <c r="G1469" s="381" t="s">
        <v>6008</v>
      </c>
      <c r="H1469" s="387">
        <v>30</v>
      </c>
      <c r="I1469" s="381">
        <v>32.5</v>
      </c>
      <c r="J1469" s="381">
        <v>32.5</v>
      </c>
      <c r="K1469" s="381">
        <v>4</v>
      </c>
      <c r="L1469" s="381">
        <v>0</v>
      </c>
      <c r="M1469" s="381" t="s">
        <v>148</v>
      </c>
      <c r="N1469" s="381" t="s">
        <v>149</v>
      </c>
      <c r="O1469" s="381" t="s">
        <v>150</v>
      </c>
      <c r="P1469" s="381" t="s">
        <v>151</v>
      </c>
      <c r="Q1469" s="381"/>
      <c r="R1469" s="381" t="s">
        <v>6749</v>
      </c>
      <c r="S1469" s="381"/>
      <c r="T1469" s="381" t="s">
        <v>3106</v>
      </c>
      <c r="U1469" s="381" t="s">
        <v>152</v>
      </c>
      <c r="V1469" s="381" t="s">
        <v>23</v>
      </c>
    </row>
    <row r="1470" spans="2:22">
      <c r="B1470" s="383">
        <v>46258</v>
      </c>
      <c r="C1470" s="383">
        <v>46258</v>
      </c>
      <c r="D1470" s="381" t="s">
        <v>6750</v>
      </c>
      <c r="E1470" s="382" t="s">
        <v>6751</v>
      </c>
      <c r="F1470" s="381" t="s">
        <v>87</v>
      </c>
      <c r="G1470" s="381" t="s">
        <v>4512</v>
      </c>
      <c r="H1470" s="387">
        <v>55</v>
      </c>
      <c r="I1470" s="381">
        <v>41.3</v>
      </c>
      <c r="J1470" s="381">
        <v>41.3</v>
      </c>
      <c r="K1470" s="381">
        <v>5</v>
      </c>
      <c r="L1470" s="381">
        <v>0</v>
      </c>
      <c r="M1470" s="381" t="s">
        <v>148</v>
      </c>
      <c r="N1470" s="381" t="s">
        <v>149</v>
      </c>
      <c r="O1470" s="381" t="s">
        <v>150</v>
      </c>
      <c r="P1470" s="381" t="s">
        <v>151</v>
      </c>
      <c r="Q1470" s="381"/>
      <c r="R1470" s="381" t="s">
        <v>6751</v>
      </c>
      <c r="S1470" s="381"/>
      <c r="T1470" s="381" t="s">
        <v>3106</v>
      </c>
      <c r="U1470" s="381" t="s">
        <v>152</v>
      </c>
      <c r="V1470" s="381" t="s">
        <v>23</v>
      </c>
    </row>
    <row r="1471" spans="2:22">
      <c r="B1471" s="383">
        <v>46258</v>
      </c>
      <c r="C1471" s="383">
        <v>46258</v>
      </c>
      <c r="D1471" s="381" t="s">
        <v>6752</v>
      </c>
      <c r="E1471" s="382" t="s">
        <v>6753</v>
      </c>
      <c r="F1471" s="381" t="s">
        <v>87</v>
      </c>
      <c r="G1471" s="381" t="s">
        <v>5766</v>
      </c>
      <c r="H1471" s="387">
        <v>45</v>
      </c>
      <c r="I1471" s="381">
        <v>42.3</v>
      </c>
      <c r="J1471" s="381">
        <v>42.3</v>
      </c>
      <c r="K1471" s="381">
        <v>5</v>
      </c>
      <c r="L1471" s="381">
        <v>0</v>
      </c>
      <c r="M1471" s="381" t="s">
        <v>148</v>
      </c>
      <c r="N1471" s="381" t="s">
        <v>149</v>
      </c>
      <c r="O1471" s="381" t="s">
        <v>150</v>
      </c>
      <c r="P1471" s="381" t="s">
        <v>151</v>
      </c>
      <c r="Q1471" s="381"/>
      <c r="R1471" s="381" t="s">
        <v>6753</v>
      </c>
      <c r="S1471" s="381"/>
      <c r="T1471" s="381" t="s">
        <v>3106</v>
      </c>
      <c r="U1471" s="381" t="s">
        <v>152</v>
      </c>
      <c r="V1471" s="381" t="s">
        <v>23</v>
      </c>
    </row>
    <row r="1472" spans="2:22">
      <c r="B1472" s="383">
        <v>46258</v>
      </c>
      <c r="C1472" s="383">
        <v>46258</v>
      </c>
      <c r="D1472" s="381" t="s">
        <v>6754</v>
      </c>
      <c r="E1472" s="382" t="s">
        <v>6755</v>
      </c>
      <c r="F1472" s="381" t="s">
        <v>87</v>
      </c>
      <c r="G1472" s="381" t="s">
        <v>6008</v>
      </c>
      <c r="H1472" s="387">
        <v>30</v>
      </c>
      <c r="I1472" s="381">
        <v>41.1</v>
      </c>
      <c r="J1472" s="381">
        <v>41.1</v>
      </c>
      <c r="K1472" s="381">
        <v>4</v>
      </c>
      <c r="L1472" s="381">
        <v>0</v>
      </c>
      <c r="M1472" s="381" t="s">
        <v>148</v>
      </c>
      <c r="N1472" s="381" t="s">
        <v>149</v>
      </c>
      <c r="O1472" s="381" t="s">
        <v>150</v>
      </c>
      <c r="P1472" s="381" t="s">
        <v>151</v>
      </c>
      <c r="Q1472" s="381"/>
      <c r="R1472" s="381" t="s">
        <v>6755</v>
      </c>
      <c r="S1472" s="381"/>
      <c r="T1472" s="381" t="s">
        <v>3106</v>
      </c>
      <c r="U1472" s="381" t="s">
        <v>152</v>
      </c>
      <c r="V1472" s="381" t="s">
        <v>23</v>
      </c>
    </row>
    <row r="1473" spans="2:22">
      <c r="B1473" s="383">
        <v>46258</v>
      </c>
      <c r="C1473" s="383">
        <v>46258</v>
      </c>
      <c r="D1473" s="381" t="s">
        <v>6756</v>
      </c>
      <c r="E1473" s="382" t="s">
        <v>6757</v>
      </c>
      <c r="F1473" s="381" t="s">
        <v>87</v>
      </c>
      <c r="G1473" s="381" t="s">
        <v>2404</v>
      </c>
      <c r="H1473" s="387">
        <v>40</v>
      </c>
      <c r="I1473" s="381">
        <v>39.200000000000003</v>
      </c>
      <c r="J1473" s="381">
        <v>39.200000000000003</v>
      </c>
      <c r="K1473" s="381">
        <v>5</v>
      </c>
      <c r="L1473" s="381">
        <v>0</v>
      </c>
      <c r="M1473" s="381" t="s">
        <v>148</v>
      </c>
      <c r="N1473" s="381" t="s">
        <v>149</v>
      </c>
      <c r="O1473" s="381" t="s">
        <v>150</v>
      </c>
      <c r="P1473" s="381" t="s">
        <v>151</v>
      </c>
      <c r="Q1473" s="381"/>
      <c r="R1473" s="381" t="s">
        <v>6757</v>
      </c>
      <c r="S1473" s="381"/>
      <c r="T1473" s="381" t="s">
        <v>3106</v>
      </c>
      <c r="U1473" s="381" t="s">
        <v>152</v>
      </c>
      <c r="V1473" s="381" t="s">
        <v>23</v>
      </c>
    </row>
    <row r="1474" spans="2:22">
      <c r="B1474" s="383">
        <v>46258</v>
      </c>
      <c r="C1474" s="383">
        <v>46258</v>
      </c>
      <c r="D1474" s="381" t="s">
        <v>6758</v>
      </c>
      <c r="E1474" s="382" t="s">
        <v>6759</v>
      </c>
      <c r="F1474" s="381" t="s">
        <v>87</v>
      </c>
      <c r="G1474" s="381" t="s">
        <v>2358</v>
      </c>
      <c r="H1474" s="387">
        <v>30</v>
      </c>
      <c r="I1474" s="381">
        <v>23.2</v>
      </c>
      <c r="J1474" s="381">
        <v>23.2</v>
      </c>
      <c r="K1474" s="381">
        <v>4</v>
      </c>
      <c r="L1474" s="381">
        <v>0</v>
      </c>
      <c r="M1474" s="381" t="s">
        <v>148</v>
      </c>
      <c r="N1474" s="381" t="s">
        <v>149</v>
      </c>
      <c r="O1474" s="381" t="s">
        <v>150</v>
      </c>
      <c r="P1474" s="381" t="s">
        <v>151</v>
      </c>
      <c r="Q1474" s="381"/>
      <c r="R1474" s="381" t="s">
        <v>6759</v>
      </c>
      <c r="S1474" s="381"/>
      <c r="T1474" s="381" t="s">
        <v>3106</v>
      </c>
      <c r="U1474" s="381" t="s">
        <v>152</v>
      </c>
      <c r="V1474" s="381" t="s">
        <v>23</v>
      </c>
    </row>
    <row r="1475" spans="2:22">
      <c r="B1475" s="383">
        <v>46258</v>
      </c>
      <c r="C1475" s="383">
        <v>46258</v>
      </c>
      <c r="D1475" s="381" t="s">
        <v>6760</v>
      </c>
      <c r="E1475" s="382" t="s">
        <v>6761</v>
      </c>
      <c r="F1475" s="381" t="s">
        <v>87</v>
      </c>
      <c r="G1475" s="381" t="s">
        <v>2512</v>
      </c>
      <c r="H1475" s="387">
        <v>40</v>
      </c>
      <c r="I1475" s="381">
        <v>33.799999999999997</v>
      </c>
      <c r="J1475" s="381">
        <v>33.799999999999997</v>
      </c>
      <c r="K1475" s="381">
        <v>5</v>
      </c>
      <c r="L1475" s="381">
        <v>0</v>
      </c>
      <c r="M1475" s="381" t="s">
        <v>148</v>
      </c>
      <c r="N1475" s="381" t="s">
        <v>149</v>
      </c>
      <c r="O1475" s="381" t="s">
        <v>150</v>
      </c>
      <c r="P1475" s="381" t="s">
        <v>151</v>
      </c>
      <c r="Q1475" s="381"/>
      <c r="R1475" s="381" t="s">
        <v>6761</v>
      </c>
      <c r="S1475" s="381"/>
      <c r="T1475" s="381" t="s">
        <v>3106</v>
      </c>
      <c r="U1475" s="381" t="s">
        <v>152</v>
      </c>
      <c r="V1475" s="381" t="s">
        <v>23</v>
      </c>
    </row>
    <row r="1476" spans="2:22">
      <c r="B1476" s="383">
        <v>46258</v>
      </c>
      <c r="C1476" s="383">
        <v>46258</v>
      </c>
      <c r="D1476" s="381" t="s">
        <v>6762</v>
      </c>
      <c r="E1476" s="382" t="s">
        <v>6763</v>
      </c>
      <c r="F1476" s="381" t="s">
        <v>87</v>
      </c>
      <c r="G1476" s="381" t="s">
        <v>6008</v>
      </c>
      <c r="H1476" s="387">
        <v>30</v>
      </c>
      <c r="I1476" s="381">
        <v>46.8</v>
      </c>
      <c r="J1476" s="381">
        <v>46.8</v>
      </c>
      <c r="K1476" s="381">
        <v>4</v>
      </c>
      <c r="L1476" s="381">
        <v>0</v>
      </c>
      <c r="M1476" s="381" t="s">
        <v>148</v>
      </c>
      <c r="N1476" s="381" t="s">
        <v>149</v>
      </c>
      <c r="O1476" s="381" t="s">
        <v>150</v>
      </c>
      <c r="P1476" s="381" t="s">
        <v>151</v>
      </c>
      <c r="Q1476" s="381"/>
      <c r="R1476" s="381" t="s">
        <v>6763</v>
      </c>
      <c r="S1476" s="381"/>
      <c r="T1476" s="381" t="s">
        <v>3106</v>
      </c>
      <c r="U1476" s="381" t="s">
        <v>152</v>
      </c>
      <c r="V1476" s="381" t="s">
        <v>23</v>
      </c>
    </row>
    <row r="1477" spans="2:22">
      <c r="B1477" s="383">
        <v>46258</v>
      </c>
      <c r="C1477" s="383">
        <v>46258</v>
      </c>
      <c r="D1477" s="381" t="s">
        <v>6764</v>
      </c>
      <c r="E1477" s="382" t="s">
        <v>6765</v>
      </c>
      <c r="F1477" s="381" t="s">
        <v>87</v>
      </c>
      <c r="G1477" s="381" t="s">
        <v>2512</v>
      </c>
      <c r="H1477" s="387">
        <v>40</v>
      </c>
      <c r="I1477" s="381">
        <v>28.4</v>
      </c>
      <c r="J1477" s="381">
        <v>28.4</v>
      </c>
      <c r="K1477" s="381">
        <v>5</v>
      </c>
      <c r="L1477" s="381">
        <v>0</v>
      </c>
      <c r="M1477" s="381" t="s">
        <v>148</v>
      </c>
      <c r="N1477" s="381" t="s">
        <v>149</v>
      </c>
      <c r="O1477" s="381" t="s">
        <v>150</v>
      </c>
      <c r="P1477" s="381" t="s">
        <v>151</v>
      </c>
      <c r="Q1477" s="381"/>
      <c r="R1477" s="381" t="s">
        <v>6765</v>
      </c>
      <c r="S1477" s="381"/>
      <c r="T1477" s="381" t="s">
        <v>3106</v>
      </c>
      <c r="U1477" s="381" t="s">
        <v>152</v>
      </c>
      <c r="V1477" s="381" t="s">
        <v>23</v>
      </c>
    </row>
    <row r="1478" spans="2:22">
      <c r="B1478" s="383">
        <v>46258</v>
      </c>
      <c r="C1478" s="383">
        <v>46258</v>
      </c>
      <c r="D1478" s="381" t="s">
        <v>6766</v>
      </c>
      <c r="E1478" s="382" t="s">
        <v>6767</v>
      </c>
      <c r="F1478" s="381" t="s">
        <v>87</v>
      </c>
      <c r="G1478" s="381" t="s">
        <v>4512</v>
      </c>
      <c r="H1478" s="387">
        <v>55</v>
      </c>
      <c r="I1478" s="381">
        <v>17.8</v>
      </c>
      <c r="J1478" s="381">
        <v>17.8</v>
      </c>
      <c r="K1478" s="381">
        <v>5</v>
      </c>
      <c r="L1478" s="381">
        <v>0</v>
      </c>
      <c r="M1478" s="381" t="s">
        <v>148</v>
      </c>
      <c r="N1478" s="381" t="s">
        <v>149</v>
      </c>
      <c r="O1478" s="381" t="s">
        <v>150</v>
      </c>
      <c r="P1478" s="381" t="s">
        <v>151</v>
      </c>
      <c r="Q1478" s="381"/>
      <c r="R1478" s="381" t="s">
        <v>6767</v>
      </c>
      <c r="S1478" s="381"/>
      <c r="T1478" s="381" t="s">
        <v>3106</v>
      </c>
      <c r="U1478" s="381" t="s">
        <v>152</v>
      </c>
      <c r="V1478" s="381" t="s">
        <v>23</v>
      </c>
    </row>
    <row r="1479" spans="2:22">
      <c r="B1479" s="383">
        <v>46258</v>
      </c>
      <c r="C1479" s="383">
        <v>46258</v>
      </c>
      <c r="D1479" s="381" t="s">
        <v>6768</v>
      </c>
      <c r="E1479" s="382" t="s">
        <v>6769</v>
      </c>
      <c r="F1479" s="381" t="s">
        <v>87</v>
      </c>
      <c r="G1479" s="381" t="s">
        <v>5766</v>
      </c>
      <c r="H1479" s="387">
        <v>45</v>
      </c>
      <c r="I1479" s="381">
        <v>40.299999999999997</v>
      </c>
      <c r="J1479" s="381">
        <v>40.299999999999997</v>
      </c>
      <c r="K1479" s="381">
        <v>5</v>
      </c>
      <c r="L1479" s="381">
        <v>0</v>
      </c>
      <c r="M1479" s="381" t="s">
        <v>148</v>
      </c>
      <c r="N1479" s="381" t="s">
        <v>149</v>
      </c>
      <c r="O1479" s="381" t="s">
        <v>150</v>
      </c>
      <c r="P1479" s="381" t="s">
        <v>151</v>
      </c>
      <c r="Q1479" s="381"/>
      <c r="R1479" s="381" t="s">
        <v>6769</v>
      </c>
      <c r="S1479" s="381"/>
      <c r="T1479" s="381" t="s">
        <v>3106</v>
      </c>
      <c r="U1479" s="381" t="s">
        <v>152</v>
      </c>
      <c r="V1479" s="381" t="s">
        <v>23</v>
      </c>
    </row>
    <row r="1480" spans="2:22">
      <c r="B1480" s="383">
        <v>46258</v>
      </c>
      <c r="C1480" s="383">
        <v>46258</v>
      </c>
      <c r="D1480" s="381" t="s">
        <v>6770</v>
      </c>
      <c r="E1480" s="382" t="s">
        <v>6771</v>
      </c>
      <c r="F1480" s="381" t="s">
        <v>87</v>
      </c>
      <c r="G1480" s="381" t="s">
        <v>6008</v>
      </c>
      <c r="H1480" s="387">
        <v>30</v>
      </c>
      <c r="I1480" s="381">
        <v>39.700000000000003</v>
      </c>
      <c r="J1480" s="381">
        <v>39.700000000000003</v>
      </c>
      <c r="K1480" s="381">
        <v>4</v>
      </c>
      <c r="L1480" s="381">
        <v>0</v>
      </c>
      <c r="M1480" s="381" t="s">
        <v>148</v>
      </c>
      <c r="N1480" s="381" t="s">
        <v>149</v>
      </c>
      <c r="O1480" s="381" t="s">
        <v>150</v>
      </c>
      <c r="P1480" s="381" t="s">
        <v>151</v>
      </c>
      <c r="Q1480" s="381"/>
      <c r="R1480" s="381" t="s">
        <v>6771</v>
      </c>
      <c r="S1480" s="381"/>
      <c r="T1480" s="381" t="s">
        <v>3106</v>
      </c>
      <c r="U1480" s="381" t="s">
        <v>152</v>
      </c>
      <c r="V1480" s="381" t="s">
        <v>23</v>
      </c>
    </row>
    <row r="1481" spans="2:22">
      <c r="B1481" s="383">
        <v>46258</v>
      </c>
      <c r="C1481" s="383">
        <v>46258</v>
      </c>
      <c r="D1481" s="381" t="s">
        <v>6772</v>
      </c>
      <c r="E1481" s="382" t="s">
        <v>6773</v>
      </c>
      <c r="F1481" s="381" t="s">
        <v>87</v>
      </c>
      <c r="G1481" s="381" t="s">
        <v>2333</v>
      </c>
      <c r="H1481" s="387">
        <v>30</v>
      </c>
      <c r="I1481" s="381">
        <v>40.200000000000003</v>
      </c>
      <c r="J1481" s="381">
        <v>40.200000000000003</v>
      </c>
      <c r="K1481" s="381">
        <v>4</v>
      </c>
      <c r="L1481" s="381">
        <v>0</v>
      </c>
      <c r="M1481" s="381" t="s">
        <v>148</v>
      </c>
      <c r="N1481" s="381" t="s">
        <v>149</v>
      </c>
      <c r="O1481" s="381" t="s">
        <v>150</v>
      </c>
      <c r="P1481" s="381" t="s">
        <v>151</v>
      </c>
      <c r="Q1481" s="381"/>
      <c r="R1481" s="381" t="s">
        <v>6773</v>
      </c>
      <c r="S1481" s="381"/>
      <c r="T1481" s="381" t="s">
        <v>3106</v>
      </c>
      <c r="U1481" s="381" t="s">
        <v>152</v>
      </c>
      <c r="V1481" s="381" t="s">
        <v>23</v>
      </c>
    </row>
    <row r="1482" spans="2:22">
      <c r="B1482" s="383">
        <v>46258</v>
      </c>
      <c r="C1482" s="383">
        <v>46258</v>
      </c>
      <c r="D1482" s="381" t="s">
        <v>6774</v>
      </c>
      <c r="E1482" s="382" t="s">
        <v>6775</v>
      </c>
      <c r="F1482" s="381" t="s">
        <v>87</v>
      </c>
      <c r="G1482" s="381" t="s">
        <v>2358</v>
      </c>
      <c r="H1482" s="387">
        <v>30</v>
      </c>
      <c r="I1482" s="381">
        <v>30.4</v>
      </c>
      <c r="J1482" s="381">
        <v>30.4</v>
      </c>
      <c r="K1482" s="381">
        <v>4</v>
      </c>
      <c r="L1482" s="381">
        <v>0</v>
      </c>
      <c r="M1482" s="381" t="s">
        <v>148</v>
      </c>
      <c r="N1482" s="381" t="s">
        <v>149</v>
      </c>
      <c r="O1482" s="381" t="s">
        <v>150</v>
      </c>
      <c r="P1482" s="381" t="s">
        <v>151</v>
      </c>
      <c r="Q1482" s="381"/>
      <c r="R1482" s="381" t="s">
        <v>6775</v>
      </c>
      <c r="S1482" s="381"/>
      <c r="T1482" s="381" t="s">
        <v>3106</v>
      </c>
      <c r="U1482" s="381" t="s">
        <v>152</v>
      </c>
      <c r="V1482" s="381" t="s">
        <v>23</v>
      </c>
    </row>
    <row r="1483" spans="2:22">
      <c r="B1483" s="383">
        <v>46258</v>
      </c>
      <c r="C1483" s="383">
        <v>46258</v>
      </c>
      <c r="D1483" s="381" t="s">
        <v>6776</v>
      </c>
      <c r="E1483" s="382" t="s">
        <v>6777</v>
      </c>
      <c r="F1483" s="381" t="s">
        <v>87</v>
      </c>
      <c r="G1483" s="381" t="s">
        <v>5766</v>
      </c>
      <c r="H1483" s="387">
        <v>45</v>
      </c>
      <c r="I1483" s="381">
        <v>42.1</v>
      </c>
      <c r="J1483" s="381">
        <v>42.1</v>
      </c>
      <c r="K1483" s="381">
        <v>5</v>
      </c>
      <c r="L1483" s="381">
        <v>0</v>
      </c>
      <c r="M1483" s="381" t="s">
        <v>148</v>
      </c>
      <c r="N1483" s="381" t="s">
        <v>149</v>
      </c>
      <c r="O1483" s="381" t="s">
        <v>150</v>
      </c>
      <c r="P1483" s="381" t="s">
        <v>151</v>
      </c>
      <c r="Q1483" s="381"/>
      <c r="R1483" s="381" t="s">
        <v>6777</v>
      </c>
      <c r="S1483" s="381"/>
      <c r="T1483" s="381" t="s">
        <v>3106</v>
      </c>
      <c r="U1483" s="381" t="s">
        <v>152</v>
      </c>
      <c r="V1483" s="381" t="s">
        <v>23</v>
      </c>
    </row>
    <row r="1484" spans="2:22">
      <c r="B1484" s="383">
        <v>46258</v>
      </c>
      <c r="C1484" s="383">
        <v>46258</v>
      </c>
      <c r="D1484" s="381" t="s">
        <v>6778</v>
      </c>
      <c r="E1484" s="382" t="s">
        <v>6779</v>
      </c>
      <c r="F1484" s="381" t="s">
        <v>87</v>
      </c>
      <c r="G1484" s="381" t="s">
        <v>6460</v>
      </c>
      <c r="H1484" s="387">
        <v>6</v>
      </c>
      <c r="I1484" s="381">
        <v>19.8</v>
      </c>
      <c r="J1484" s="381">
        <v>19.8</v>
      </c>
      <c r="K1484" s="381">
        <v>1.5</v>
      </c>
      <c r="L1484" s="381">
        <v>0</v>
      </c>
      <c r="M1484" s="381" t="s">
        <v>148</v>
      </c>
      <c r="N1484" s="381" t="s">
        <v>149</v>
      </c>
      <c r="O1484" s="381" t="s">
        <v>150</v>
      </c>
      <c r="P1484" s="381" t="s">
        <v>151</v>
      </c>
      <c r="Q1484" s="381"/>
      <c r="R1484" s="381" t="s">
        <v>6779</v>
      </c>
      <c r="S1484" s="381"/>
      <c r="T1484" s="381" t="s">
        <v>3106</v>
      </c>
      <c r="U1484" s="381" t="s">
        <v>152</v>
      </c>
      <c r="V1484" s="381" t="s">
        <v>23</v>
      </c>
    </row>
    <row r="1485" spans="2:22">
      <c r="B1485" s="383">
        <v>46258</v>
      </c>
      <c r="C1485" s="383">
        <v>46258</v>
      </c>
      <c r="D1485" s="381" t="s">
        <v>6780</v>
      </c>
      <c r="E1485" s="382" t="s">
        <v>6781</v>
      </c>
      <c r="F1485" s="381" t="s">
        <v>87</v>
      </c>
      <c r="G1485" s="381" t="s">
        <v>2333</v>
      </c>
      <c r="H1485" s="387">
        <v>30</v>
      </c>
      <c r="I1485" s="381">
        <v>33.299999999999997</v>
      </c>
      <c r="J1485" s="381">
        <v>33.299999999999997</v>
      </c>
      <c r="K1485" s="381">
        <v>4</v>
      </c>
      <c r="L1485" s="381">
        <v>0</v>
      </c>
      <c r="M1485" s="381" t="s">
        <v>148</v>
      </c>
      <c r="N1485" s="381" t="s">
        <v>149</v>
      </c>
      <c r="O1485" s="381" t="s">
        <v>150</v>
      </c>
      <c r="P1485" s="381" t="s">
        <v>151</v>
      </c>
      <c r="Q1485" s="381"/>
      <c r="R1485" s="381" t="s">
        <v>6781</v>
      </c>
      <c r="S1485" s="381"/>
      <c r="T1485" s="381" t="s">
        <v>3106</v>
      </c>
      <c r="U1485" s="381" t="s">
        <v>152</v>
      </c>
      <c r="V1485" s="381" t="s">
        <v>23</v>
      </c>
    </row>
    <row r="1486" spans="2:22">
      <c r="B1486" s="383">
        <v>46258</v>
      </c>
      <c r="C1486" s="383">
        <v>46258</v>
      </c>
      <c r="D1486" s="381" t="s">
        <v>6782</v>
      </c>
      <c r="E1486" s="382" t="s">
        <v>6783</v>
      </c>
      <c r="F1486" s="381" t="s">
        <v>87</v>
      </c>
      <c r="G1486" s="381" t="s">
        <v>2404</v>
      </c>
      <c r="H1486" s="387">
        <v>40</v>
      </c>
      <c r="I1486" s="381">
        <v>45.8</v>
      </c>
      <c r="J1486" s="381">
        <v>45.8</v>
      </c>
      <c r="K1486" s="381">
        <v>5</v>
      </c>
      <c r="L1486" s="381">
        <v>0</v>
      </c>
      <c r="M1486" s="381" t="s">
        <v>148</v>
      </c>
      <c r="N1486" s="381" t="s">
        <v>149</v>
      </c>
      <c r="O1486" s="381" t="s">
        <v>150</v>
      </c>
      <c r="P1486" s="381" t="s">
        <v>151</v>
      </c>
      <c r="Q1486" s="381"/>
      <c r="R1486" s="381" t="s">
        <v>6783</v>
      </c>
      <c r="S1486" s="381"/>
      <c r="T1486" s="381" t="s">
        <v>3106</v>
      </c>
      <c r="U1486" s="381" t="s">
        <v>152</v>
      </c>
      <c r="V1486" s="381" t="s">
        <v>23</v>
      </c>
    </row>
    <row r="1487" spans="2:22">
      <c r="B1487" s="383">
        <v>46258</v>
      </c>
      <c r="C1487" s="383">
        <v>46258</v>
      </c>
      <c r="D1487" s="381" t="s">
        <v>6784</v>
      </c>
      <c r="E1487" s="382" t="s">
        <v>6785</v>
      </c>
      <c r="F1487" s="381" t="s">
        <v>87</v>
      </c>
      <c r="G1487" s="381" t="s">
        <v>2404</v>
      </c>
      <c r="H1487" s="387">
        <v>40</v>
      </c>
      <c r="I1487" s="381">
        <v>32.799999999999997</v>
      </c>
      <c r="J1487" s="381">
        <v>32.799999999999997</v>
      </c>
      <c r="K1487" s="381">
        <v>5</v>
      </c>
      <c r="L1487" s="381">
        <v>0</v>
      </c>
      <c r="M1487" s="381" t="s">
        <v>148</v>
      </c>
      <c r="N1487" s="381" t="s">
        <v>149</v>
      </c>
      <c r="O1487" s="381" t="s">
        <v>150</v>
      </c>
      <c r="P1487" s="381" t="s">
        <v>151</v>
      </c>
      <c r="Q1487" s="381"/>
      <c r="R1487" s="381" t="s">
        <v>6785</v>
      </c>
      <c r="S1487" s="381"/>
      <c r="T1487" s="381" t="s">
        <v>3106</v>
      </c>
      <c r="U1487" s="381" t="s">
        <v>152</v>
      </c>
      <c r="V1487" s="381" t="s">
        <v>23</v>
      </c>
    </row>
    <row r="1488" spans="2:22">
      <c r="B1488" s="383">
        <v>46258</v>
      </c>
      <c r="C1488" s="383">
        <v>46258</v>
      </c>
      <c r="D1488" s="381" t="s">
        <v>6786</v>
      </c>
      <c r="E1488" s="382" t="s">
        <v>6787</v>
      </c>
      <c r="F1488" s="381" t="s">
        <v>87</v>
      </c>
      <c r="G1488" s="381" t="s">
        <v>6008</v>
      </c>
      <c r="H1488" s="387">
        <v>30</v>
      </c>
      <c r="I1488" s="381">
        <v>38.700000000000003</v>
      </c>
      <c r="J1488" s="381">
        <v>38.700000000000003</v>
      </c>
      <c r="K1488" s="381">
        <v>4</v>
      </c>
      <c r="L1488" s="381">
        <v>0</v>
      </c>
      <c r="M1488" s="381" t="s">
        <v>148</v>
      </c>
      <c r="N1488" s="381" t="s">
        <v>149</v>
      </c>
      <c r="O1488" s="381" t="s">
        <v>150</v>
      </c>
      <c r="P1488" s="381" t="s">
        <v>151</v>
      </c>
      <c r="Q1488" s="381"/>
      <c r="R1488" s="381" t="s">
        <v>6787</v>
      </c>
      <c r="S1488" s="381"/>
      <c r="T1488" s="381" t="s">
        <v>3106</v>
      </c>
      <c r="U1488" s="381" t="s">
        <v>152</v>
      </c>
      <c r="V1488" s="381" t="s">
        <v>23</v>
      </c>
    </row>
    <row r="1489" spans="2:22">
      <c r="B1489" s="383">
        <v>46258</v>
      </c>
      <c r="C1489" s="383">
        <v>46258</v>
      </c>
      <c r="D1489" s="381" t="s">
        <v>6788</v>
      </c>
      <c r="E1489" s="382" t="s">
        <v>6789</v>
      </c>
      <c r="F1489" s="381" t="s">
        <v>87</v>
      </c>
      <c r="G1489" s="381" t="s">
        <v>2403</v>
      </c>
      <c r="H1489" s="387">
        <v>30</v>
      </c>
      <c r="I1489" s="381">
        <v>27.2</v>
      </c>
      <c r="J1489" s="381">
        <v>27.2</v>
      </c>
      <c r="K1489" s="381">
        <v>4</v>
      </c>
      <c r="L1489" s="381">
        <v>0</v>
      </c>
      <c r="M1489" s="381" t="s">
        <v>148</v>
      </c>
      <c r="N1489" s="381" t="s">
        <v>149</v>
      </c>
      <c r="O1489" s="381" t="s">
        <v>150</v>
      </c>
      <c r="P1489" s="381" t="s">
        <v>151</v>
      </c>
      <c r="Q1489" s="381"/>
      <c r="R1489" s="381" t="s">
        <v>6789</v>
      </c>
      <c r="S1489" s="381"/>
      <c r="T1489" s="381" t="s">
        <v>3106</v>
      </c>
      <c r="U1489" s="381" t="s">
        <v>152</v>
      </c>
      <c r="V1489" s="381" t="s">
        <v>23</v>
      </c>
    </row>
    <row r="1490" spans="2:22">
      <c r="B1490" s="383">
        <v>46258</v>
      </c>
      <c r="C1490" s="383">
        <v>46258</v>
      </c>
      <c r="D1490" s="381" t="s">
        <v>6790</v>
      </c>
      <c r="E1490" s="382" t="s">
        <v>6791</v>
      </c>
      <c r="F1490" s="381" t="s">
        <v>87</v>
      </c>
      <c r="G1490" s="381" t="s">
        <v>2404</v>
      </c>
      <c r="H1490" s="387">
        <v>40</v>
      </c>
      <c r="I1490" s="381">
        <v>37.700000000000003</v>
      </c>
      <c r="J1490" s="381">
        <v>37.700000000000003</v>
      </c>
      <c r="K1490" s="381">
        <v>5</v>
      </c>
      <c r="L1490" s="381">
        <v>0</v>
      </c>
      <c r="M1490" s="381" t="s">
        <v>148</v>
      </c>
      <c r="N1490" s="381" t="s">
        <v>149</v>
      </c>
      <c r="O1490" s="381" t="s">
        <v>150</v>
      </c>
      <c r="P1490" s="381" t="s">
        <v>151</v>
      </c>
      <c r="Q1490" s="381"/>
      <c r="R1490" s="381" t="s">
        <v>6791</v>
      </c>
      <c r="S1490" s="381"/>
      <c r="T1490" s="381" t="s">
        <v>3106</v>
      </c>
      <c r="U1490" s="381" t="s">
        <v>152</v>
      </c>
      <c r="V1490" s="381" t="s">
        <v>23</v>
      </c>
    </row>
    <row r="1491" spans="2:22">
      <c r="B1491" s="383">
        <v>46258</v>
      </c>
      <c r="C1491" s="383">
        <v>46258</v>
      </c>
      <c r="D1491" s="381" t="s">
        <v>6792</v>
      </c>
      <c r="E1491" s="382" t="s">
        <v>6793</v>
      </c>
      <c r="F1491" s="381" t="s">
        <v>87</v>
      </c>
      <c r="G1491" s="381" t="s">
        <v>2358</v>
      </c>
      <c r="H1491" s="387">
        <v>30</v>
      </c>
      <c r="I1491" s="381">
        <v>33.799999999999997</v>
      </c>
      <c r="J1491" s="381">
        <v>33.799999999999997</v>
      </c>
      <c r="K1491" s="381">
        <v>4</v>
      </c>
      <c r="L1491" s="381">
        <v>0</v>
      </c>
      <c r="M1491" s="381" t="s">
        <v>148</v>
      </c>
      <c r="N1491" s="381" t="s">
        <v>149</v>
      </c>
      <c r="O1491" s="381" t="s">
        <v>150</v>
      </c>
      <c r="P1491" s="381" t="s">
        <v>151</v>
      </c>
      <c r="Q1491" s="381"/>
      <c r="R1491" s="381" t="s">
        <v>6793</v>
      </c>
      <c r="S1491" s="381"/>
      <c r="T1491" s="381" t="s">
        <v>3106</v>
      </c>
      <c r="U1491" s="381" t="s">
        <v>152</v>
      </c>
      <c r="V1491" s="381" t="s">
        <v>23</v>
      </c>
    </row>
    <row r="1492" spans="2:22">
      <c r="B1492" s="383">
        <v>46258</v>
      </c>
      <c r="C1492" s="383">
        <v>46258</v>
      </c>
      <c r="D1492" s="381" t="s">
        <v>6794</v>
      </c>
      <c r="E1492" s="382" t="s">
        <v>6795</v>
      </c>
      <c r="F1492" s="381" t="s">
        <v>87</v>
      </c>
      <c r="G1492" s="381" t="s">
        <v>5766</v>
      </c>
      <c r="H1492" s="387">
        <v>45</v>
      </c>
      <c r="I1492" s="381">
        <v>14.4</v>
      </c>
      <c r="J1492" s="381">
        <v>14.4</v>
      </c>
      <c r="K1492" s="381">
        <v>5</v>
      </c>
      <c r="L1492" s="381">
        <v>0</v>
      </c>
      <c r="M1492" s="381" t="s">
        <v>148</v>
      </c>
      <c r="N1492" s="381" t="s">
        <v>149</v>
      </c>
      <c r="O1492" s="381" t="s">
        <v>150</v>
      </c>
      <c r="P1492" s="381" t="s">
        <v>151</v>
      </c>
      <c r="Q1492" s="381"/>
      <c r="R1492" s="381" t="s">
        <v>6795</v>
      </c>
      <c r="S1492" s="381"/>
      <c r="T1492" s="381" t="s">
        <v>3106</v>
      </c>
      <c r="U1492" s="381" t="s">
        <v>152</v>
      </c>
      <c r="V1492" s="381" t="s">
        <v>23</v>
      </c>
    </row>
    <row r="1493" spans="2:22">
      <c r="B1493" s="383">
        <v>46258</v>
      </c>
      <c r="C1493" s="383">
        <v>46258</v>
      </c>
      <c r="D1493" s="381" t="s">
        <v>6796</v>
      </c>
      <c r="E1493" s="382" t="s">
        <v>6797</v>
      </c>
      <c r="F1493" s="381" t="s">
        <v>87</v>
      </c>
      <c r="G1493" s="381" t="s">
        <v>2333</v>
      </c>
      <c r="H1493" s="387">
        <v>30</v>
      </c>
      <c r="I1493" s="381">
        <v>40.200000000000003</v>
      </c>
      <c r="J1493" s="381">
        <v>40.200000000000003</v>
      </c>
      <c r="K1493" s="381">
        <v>4</v>
      </c>
      <c r="L1493" s="381">
        <v>0</v>
      </c>
      <c r="M1493" s="381" t="s">
        <v>148</v>
      </c>
      <c r="N1493" s="381" t="s">
        <v>149</v>
      </c>
      <c r="O1493" s="381" t="s">
        <v>150</v>
      </c>
      <c r="P1493" s="381" t="s">
        <v>151</v>
      </c>
      <c r="Q1493" s="381"/>
      <c r="R1493" s="381" t="s">
        <v>6797</v>
      </c>
      <c r="S1493" s="381"/>
      <c r="T1493" s="381" t="s">
        <v>3106</v>
      </c>
      <c r="U1493" s="381" t="s">
        <v>152</v>
      </c>
      <c r="V1493" s="381" t="s">
        <v>23</v>
      </c>
    </row>
    <row r="1494" spans="2:22">
      <c r="B1494" s="383">
        <v>46258</v>
      </c>
      <c r="C1494" s="383">
        <v>46258</v>
      </c>
      <c r="D1494" s="381" t="s">
        <v>6798</v>
      </c>
      <c r="E1494" s="382" t="s">
        <v>6799</v>
      </c>
      <c r="F1494" s="381" t="s">
        <v>87</v>
      </c>
      <c r="G1494" s="381" t="s">
        <v>2404</v>
      </c>
      <c r="H1494" s="387">
        <v>40</v>
      </c>
      <c r="I1494" s="381">
        <v>32.200000000000003</v>
      </c>
      <c r="J1494" s="381">
        <v>32.200000000000003</v>
      </c>
      <c r="K1494" s="381">
        <v>5</v>
      </c>
      <c r="L1494" s="381">
        <v>0</v>
      </c>
      <c r="M1494" s="381" t="s">
        <v>148</v>
      </c>
      <c r="N1494" s="381" t="s">
        <v>149</v>
      </c>
      <c r="O1494" s="381" t="s">
        <v>150</v>
      </c>
      <c r="P1494" s="381" t="s">
        <v>151</v>
      </c>
      <c r="Q1494" s="381"/>
      <c r="R1494" s="381" t="s">
        <v>6799</v>
      </c>
      <c r="S1494" s="381"/>
      <c r="T1494" s="381" t="s">
        <v>3106</v>
      </c>
      <c r="U1494" s="381" t="s">
        <v>152</v>
      </c>
      <c r="V1494" s="381" t="s">
        <v>23</v>
      </c>
    </row>
    <row r="1495" spans="2:22">
      <c r="B1495" s="383">
        <v>46258</v>
      </c>
      <c r="C1495" s="383">
        <v>46258</v>
      </c>
      <c r="D1495" s="381" t="s">
        <v>6800</v>
      </c>
      <c r="E1495" s="382" t="s">
        <v>6801</v>
      </c>
      <c r="F1495" s="381" t="s">
        <v>87</v>
      </c>
      <c r="G1495" s="381" t="s">
        <v>2403</v>
      </c>
      <c r="H1495" s="387">
        <v>30</v>
      </c>
      <c r="I1495" s="381">
        <v>29.3</v>
      </c>
      <c r="J1495" s="381">
        <v>29.3</v>
      </c>
      <c r="K1495" s="381">
        <v>4</v>
      </c>
      <c r="L1495" s="381">
        <v>0</v>
      </c>
      <c r="M1495" s="381" t="s">
        <v>148</v>
      </c>
      <c r="N1495" s="381" t="s">
        <v>149</v>
      </c>
      <c r="O1495" s="381" t="s">
        <v>150</v>
      </c>
      <c r="P1495" s="381" t="s">
        <v>151</v>
      </c>
      <c r="Q1495" s="381"/>
      <c r="R1495" s="381" t="s">
        <v>6801</v>
      </c>
      <c r="S1495" s="381"/>
      <c r="T1495" s="381" t="s">
        <v>3106</v>
      </c>
      <c r="U1495" s="381" t="s">
        <v>152</v>
      </c>
      <c r="V1495" s="381" t="s">
        <v>23</v>
      </c>
    </row>
    <row r="1496" spans="2:22">
      <c r="B1496" s="383">
        <v>46258</v>
      </c>
      <c r="C1496" s="383">
        <v>46258</v>
      </c>
      <c r="D1496" s="381" t="s">
        <v>6802</v>
      </c>
      <c r="E1496" s="382" t="s">
        <v>6803</v>
      </c>
      <c r="F1496" s="381" t="s">
        <v>87</v>
      </c>
      <c r="G1496" s="381" t="s">
        <v>2333</v>
      </c>
      <c r="H1496" s="387">
        <v>30</v>
      </c>
      <c r="I1496" s="381">
        <v>42.3</v>
      </c>
      <c r="J1496" s="381">
        <v>42.3</v>
      </c>
      <c r="K1496" s="381">
        <v>4</v>
      </c>
      <c r="L1496" s="381">
        <v>0</v>
      </c>
      <c r="M1496" s="381" t="s">
        <v>148</v>
      </c>
      <c r="N1496" s="381" t="s">
        <v>149</v>
      </c>
      <c r="O1496" s="381" t="s">
        <v>150</v>
      </c>
      <c r="P1496" s="381" t="s">
        <v>151</v>
      </c>
      <c r="Q1496" s="381"/>
      <c r="R1496" s="381" t="s">
        <v>6803</v>
      </c>
      <c r="S1496" s="381"/>
      <c r="T1496" s="381" t="s">
        <v>3106</v>
      </c>
      <c r="U1496" s="381" t="s">
        <v>152</v>
      </c>
      <c r="V1496" s="381" t="s">
        <v>23</v>
      </c>
    </row>
    <row r="1497" spans="2:22">
      <c r="B1497" s="383">
        <v>46259</v>
      </c>
      <c r="C1497" s="383">
        <v>46259</v>
      </c>
      <c r="D1497" s="381" t="s">
        <v>6804</v>
      </c>
      <c r="E1497" s="382" t="s">
        <v>6805</v>
      </c>
      <c r="F1497" s="381" t="s">
        <v>87</v>
      </c>
      <c r="G1497" s="381" t="s">
        <v>6008</v>
      </c>
      <c r="H1497" s="387">
        <v>30</v>
      </c>
      <c r="I1497" s="381">
        <v>27.8</v>
      </c>
      <c r="J1497" s="381">
        <v>27.8</v>
      </c>
      <c r="K1497" s="381">
        <v>4</v>
      </c>
      <c r="L1497" s="381">
        <v>0</v>
      </c>
      <c r="M1497" s="381" t="s">
        <v>148</v>
      </c>
      <c r="N1497" s="381" t="s">
        <v>149</v>
      </c>
      <c r="O1497" s="381" t="s">
        <v>150</v>
      </c>
      <c r="P1497" s="381" t="s">
        <v>151</v>
      </c>
      <c r="Q1497" s="381"/>
      <c r="R1497" s="381" t="s">
        <v>6805</v>
      </c>
      <c r="S1497" s="381"/>
      <c r="T1497" s="381" t="s">
        <v>3133</v>
      </c>
      <c r="U1497" s="381" t="s">
        <v>152</v>
      </c>
      <c r="V1497" s="381" t="s">
        <v>23</v>
      </c>
    </row>
    <row r="1498" spans="2:22">
      <c r="B1498" s="383">
        <v>46259</v>
      </c>
      <c r="C1498" s="383">
        <v>46259</v>
      </c>
      <c r="D1498" s="381" t="s">
        <v>6806</v>
      </c>
      <c r="E1498" s="382" t="s">
        <v>6807</v>
      </c>
      <c r="F1498" s="381" t="s">
        <v>87</v>
      </c>
      <c r="G1498" s="381" t="s">
        <v>6008</v>
      </c>
      <c r="H1498" s="387">
        <v>30</v>
      </c>
      <c r="I1498" s="381">
        <v>38.799999999999997</v>
      </c>
      <c r="J1498" s="381">
        <v>38.799999999999997</v>
      </c>
      <c r="K1498" s="381">
        <v>4</v>
      </c>
      <c r="L1498" s="381">
        <v>0</v>
      </c>
      <c r="M1498" s="381" t="s">
        <v>148</v>
      </c>
      <c r="N1498" s="381" t="s">
        <v>149</v>
      </c>
      <c r="O1498" s="381" t="s">
        <v>150</v>
      </c>
      <c r="P1498" s="381" t="s">
        <v>151</v>
      </c>
      <c r="Q1498" s="381"/>
      <c r="R1498" s="381" t="s">
        <v>6807</v>
      </c>
      <c r="S1498" s="381"/>
      <c r="T1498" s="381" t="s">
        <v>3133</v>
      </c>
      <c r="U1498" s="381" t="s">
        <v>152</v>
      </c>
      <c r="V1498" s="381" t="s">
        <v>23</v>
      </c>
    </row>
    <row r="1499" spans="2:22">
      <c r="B1499" s="383">
        <v>46259</v>
      </c>
      <c r="C1499" s="383">
        <v>46259</v>
      </c>
      <c r="D1499" s="381" t="s">
        <v>6808</v>
      </c>
      <c r="E1499" s="382" t="s">
        <v>6809</v>
      </c>
      <c r="F1499" s="381" t="s">
        <v>87</v>
      </c>
      <c r="G1499" s="381" t="s">
        <v>4512</v>
      </c>
      <c r="H1499" s="387">
        <v>55</v>
      </c>
      <c r="I1499" s="381">
        <v>39</v>
      </c>
      <c r="J1499" s="381">
        <v>39</v>
      </c>
      <c r="K1499" s="381">
        <v>5</v>
      </c>
      <c r="L1499" s="381">
        <v>0</v>
      </c>
      <c r="M1499" s="381" t="s">
        <v>148</v>
      </c>
      <c r="N1499" s="381" t="s">
        <v>149</v>
      </c>
      <c r="O1499" s="381" t="s">
        <v>150</v>
      </c>
      <c r="P1499" s="381" t="s">
        <v>151</v>
      </c>
      <c r="Q1499" s="381"/>
      <c r="R1499" s="381" t="s">
        <v>6809</v>
      </c>
      <c r="S1499" s="381"/>
      <c r="T1499" s="381" t="s">
        <v>3133</v>
      </c>
      <c r="U1499" s="381" t="s">
        <v>152</v>
      </c>
      <c r="V1499" s="381" t="s">
        <v>23</v>
      </c>
    </row>
    <row r="1500" spans="2:22">
      <c r="B1500" s="383">
        <v>46259</v>
      </c>
      <c r="C1500" s="383">
        <v>46259</v>
      </c>
      <c r="D1500" s="381" t="s">
        <v>6810</v>
      </c>
      <c r="E1500" s="382" t="s">
        <v>6811</v>
      </c>
      <c r="F1500" s="381" t="s">
        <v>87</v>
      </c>
      <c r="G1500" s="381" t="s">
        <v>2404</v>
      </c>
      <c r="H1500" s="387">
        <v>40</v>
      </c>
      <c r="I1500" s="381">
        <v>28.8</v>
      </c>
      <c r="J1500" s="381">
        <v>28.8</v>
      </c>
      <c r="K1500" s="381">
        <v>5</v>
      </c>
      <c r="L1500" s="381">
        <v>0</v>
      </c>
      <c r="M1500" s="381" t="s">
        <v>148</v>
      </c>
      <c r="N1500" s="381" t="s">
        <v>149</v>
      </c>
      <c r="O1500" s="381" t="s">
        <v>150</v>
      </c>
      <c r="P1500" s="381" t="s">
        <v>151</v>
      </c>
      <c r="Q1500" s="381"/>
      <c r="R1500" s="381" t="s">
        <v>6811</v>
      </c>
      <c r="S1500" s="381"/>
      <c r="T1500" s="381" t="s">
        <v>3133</v>
      </c>
      <c r="U1500" s="381" t="s">
        <v>152</v>
      </c>
      <c r="V1500" s="381" t="s">
        <v>23</v>
      </c>
    </row>
    <row r="1501" spans="2:22">
      <c r="B1501" s="383">
        <v>46259</v>
      </c>
      <c r="C1501" s="383">
        <v>46259</v>
      </c>
      <c r="D1501" s="381" t="s">
        <v>6812</v>
      </c>
      <c r="E1501" s="382" t="s">
        <v>6813</v>
      </c>
      <c r="F1501" s="381" t="s">
        <v>87</v>
      </c>
      <c r="G1501" s="381" t="s">
        <v>2404</v>
      </c>
      <c r="H1501" s="387">
        <v>40</v>
      </c>
      <c r="I1501" s="381">
        <v>39.799999999999997</v>
      </c>
      <c r="J1501" s="381">
        <v>39.799999999999997</v>
      </c>
      <c r="K1501" s="381">
        <v>5</v>
      </c>
      <c r="L1501" s="381">
        <v>0</v>
      </c>
      <c r="M1501" s="381" t="s">
        <v>148</v>
      </c>
      <c r="N1501" s="381" t="s">
        <v>149</v>
      </c>
      <c r="O1501" s="381" t="s">
        <v>150</v>
      </c>
      <c r="P1501" s="381" t="s">
        <v>151</v>
      </c>
      <c r="Q1501" s="381"/>
      <c r="R1501" s="381" t="s">
        <v>6813</v>
      </c>
      <c r="S1501" s="381"/>
      <c r="T1501" s="381" t="s">
        <v>3133</v>
      </c>
      <c r="U1501" s="381" t="s">
        <v>152</v>
      </c>
      <c r="V1501" s="381" t="s">
        <v>23</v>
      </c>
    </row>
    <row r="1502" spans="2:22">
      <c r="B1502" s="383">
        <v>46259</v>
      </c>
      <c r="C1502" s="383">
        <v>46259</v>
      </c>
      <c r="D1502" s="381" t="s">
        <v>6814</v>
      </c>
      <c r="E1502" s="382" t="s">
        <v>6815</v>
      </c>
      <c r="F1502" s="381" t="s">
        <v>87</v>
      </c>
      <c r="G1502" s="381" t="s">
        <v>6008</v>
      </c>
      <c r="H1502" s="387">
        <v>30</v>
      </c>
      <c r="I1502" s="381">
        <v>43.8</v>
      </c>
      <c r="J1502" s="381">
        <v>43.8</v>
      </c>
      <c r="K1502" s="381">
        <v>4</v>
      </c>
      <c r="L1502" s="381">
        <v>0</v>
      </c>
      <c r="M1502" s="381" t="s">
        <v>148</v>
      </c>
      <c r="N1502" s="381" t="s">
        <v>149</v>
      </c>
      <c r="O1502" s="381" t="s">
        <v>150</v>
      </c>
      <c r="P1502" s="381" t="s">
        <v>151</v>
      </c>
      <c r="Q1502" s="381"/>
      <c r="R1502" s="381" t="s">
        <v>6815</v>
      </c>
      <c r="S1502" s="381"/>
      <c r="T1502" s="381" t="s">
        <v>3133</v>
      </c>
      <c r="U1502" s="381" t="s">
        <v>152</v>
      </c>
      <c r="V1502" s="381" t="s">
        <v>23</v>
      </c>
    </row>
    <row r="1503" spans="2:22">
      <c r="B1503" s="383">
        <v>46259</v>
      </c>
      <c r="C1503" s="383">
        <v>46259</v>
      </c>
      <c r="D1503" s="381" t="s">
        <v>6816</v>
      </c>
      <c r="E1503" s="382" t="s">
        <v>6817</v>
      </c>
      <c r="F1503" s="381" t="s">
        <v>87</v>
      </c>
      <c r="G1503" s="381" t="s">
        <v>2358</v>
      </c>
      <c r="H1503" s="387">
        <v>30</v>
      </c>
      <c r="I1503" s="381">
        <v>21.3</v>
      </c>
      <c r="J1503" s="381">
        <v>21.3</v>
      </c>
      <c r="K1503" s="381">
        <v>4</v>
      </c>
      <c r="L1503" s="381">
        <v>0</v>
      </c>
      <c r="M1503" s="381" t="s">
        <v>148</v>
      </c>
      <c r="N1503" s="381" t="s">
        <v>149</v>
      </c>
      <c r="O1503" s="381" t="s">
        <v>150</v>
      </c>
      <c r="P1503" s="381" t="s">
        <v>151</v>
      </c>
      <c r="Q1503" s="381"/>
      <c r="R1503" s="381" t="s">
        <v>6817</v>
      </c>
      <c r="S1503" s="381"/>
      <c r="T1503" s="381" t="s">
        <v>3133</v>
      </c>
      <c r="U1503" s="381" t="s">
        <v>152</v>
      </c>
      <c r="V1503" s="381" t="s">
        <v>23</v>
      </c>
    </row>
    <row r="1504" spans="2:22">
      <c r="B1504" s="383">
        <v>46259</v>
      </c>
      <c r="C1504" s="383">
        <v>46259</v>
      </c>
      <c r="D1504" s="381" t="s">
        <v>6818</v>
      </c>
      <c r="E1504" s="382" t="s">
        <v>6819</v>
      </c>
      <c r="F1504" s="381" t="s">
        <v>87</v>
      </c>
      <c r="G1504" s="381" t="s">
        <v>2358</v>
      </c>
      <c r="H1504" s="387">
        <v>30</v>
      </c>
      <c r="I1504" s="381">
        <v>21.5</v>
      </c>
      <c r="J1504" s="381">
        <v>21.5</v>
      </c>
      <c r="K1504" s="381">
        <v>4</v>
      </c>
      <c r="L1504" s="381">
        <v>0</v>
      </c>
      <c r="M1504" s="381" t="s">
        <v>148</v>
      </c>
      <c r="N1504" s="381" t="s">
        <v>149</v>
      </c>
      <c r="O1504" s="381" t="s">
        <v>150</v>
      </c>
      <c r="P1504" s="381" t="s">
        <v>151</v>
      </c>
      <c r="Q1504" s="381"/>
      <c r="R1504" s="381" t="s">
        <v>6819</v>
      </c>
      <c r="S1504" s="381"/>
      <c r="T1504" s="381" t="s">
        <v>3133</v>
      </c>
      <c r="U1504" s="381" t="s">
        <v>152</v>
      </c>
      <c r="V1504" s="381" t="s">
        <v>23</v>
      </c>
    </row>
    <row r="1505" spans="2:22">
      <c r="B1505" s="383">
        <v>46259</v>
      </c>
      <c r="C1505" s="383">
        <v>46259</v>
      </c>
      <c r="D1505" s="381" t="s">
        <v>6820</v>
      </c>
      <c r="E1505" s="382" t="s">
        <v>6821</v>
      </c>
      <c r="F1505" s="381" t="s">
        <v>87</v>
      </c>
      <c r="G1505" s="381" t="s">
        <v>2358</v>
      </c>
      <c r="H1505" s="387">
        <v>30</v>
      </c>
      <c r="I1505" s="381">
        <v>23.8</v>
      </c>
      <c r="J1505" s="381">
        <v>23.8</v>
      </c>
      <c r="K1505" s="381">
        <v>4</v>
      </c>
      <c r="L1505" s="381">
        <v>0</v>
      </c>
      <c r="M1505" s="381" t="s">
        <v>148</v>
      </c>
      <c r="N1505" s="381" t="s">
        <v>149</v>
      </c>
      <c r="O1505" s="381" t="s">
        <v>150</v>
      </c>
      <c r="P1505" s="381" t="s">
        <v>151</v>
      </c>
      <c r="Q1505" s="381"/>
      <c r="R1505" s="381" t="s">
        <v>6821</v>
      </c>
      <c r="S1505" s="381"/>
      <c r="T1505" s="381" t="s">
        <v>3133</v>
      </c>
      <c r="U1505" s="381" t="s">
        <v>152</v>
      </c>
      <c r="V1505" s="381" t="s">
        <v>23</v>
      </c>
    </row>
    <row r="1506" spans="2:22">
      <c r="B1506" s="383">
        <v>46259</v>
      </c>
      <c r="C1506" s="383">
        <v>46259</v>
      </c>
      <c r="D1506" s="381" t="s">
        <v>6822</v>
      </c>
      <c r="E1506" s="382" t="s">
        <v>6823</v>
      </c>
      <c r="F1506" s="381" t="s">
        <v>87</v>
      </c>
      <c r="G1506" s="381" t="s">
        <v>2358</v>
      </c>
      <c r="H1506" s="387">
        <v>30</v>
      </c>
      <c r="I1506" s="381">
        <v>23.4</v>
      </c>
      <c r="J1506" s="381">
        <v>23.4</v>
      </c>
      <c r="K1506" s="381">
        <v>4</v>
      </c>
      <c r="L1506" s="381">
        <v>0</v>
      </c>
      <c r="M1506" s="381" t="s">
        <v>148</v>
      </c>
      <c r="N1506" s="381" t="s">
        <v>149</v>
      </c>
      <c r="O1506" s="381" t="s">
        <v>150</v>
      </c>
      <c r="P1506" s="381" t="s">
        <v>151</v>
      </c>
      <c r="Q1506" s="381"/>
      <c r="R1506" s="381" t="s">
        <v>6823</v>
      </c>
      <c r="S1506" s="381"/>
      <c r="T1506" s="381" t="s">
        <v>3133</v>
      </c>
      <c r="U1506" s="381" t="s">
        <v>152</v>
      </c>
      <c r="V1506" s="381" t="s">
        <v>23</v>
      </c>
    </row>
    <row r="1507" spans="2:22">
      <c r="B1507" s="383">
        <v>46259</v>
      </c>
      <c r="C1507" s="383">
        <v>46259</v>
      </c>
      <c r="D1507" s="381" t="s">
        <v>6824</v>
      </c>
      <c r="E1507" s="382" t="s">
        <v>6825</v>
      </c>
      <c r="F1507" s="381" t="s">
        <v>87</v>
      </c>
      <c r="G1507" s="381" t="s">
        <v>2357</v>
      </c>
      <c r="H1507" s="387">
        <v>40</v>
      </c>
      <c r="I1507" s="381">
        <v>36.799999999999997</v>
      </c>
      <c r="J1507" s="381">
        <v>36.799999999999997</v>
      </c>
      <c r="K1507" s="381">
        <v>5</v>
      </c>
      <c r="L1507" s="381">
        <v>0</v>
      </c>
      <c r="M1507" s="381" t="s">
        <v>148</v>
      </c>
      <c r="N1507" s="381" t="s">
        <v>149</v>
      </c>
      <c r="O1507" s="381" t="s">
        <v>150</v>
      </c>
      <c r="P1507" s="381" t="s">
        <v>151</v>
      </c>
      <c r="Q1507" s="381"/>
      <c r="R1507" s="381" t="s">
        <v>6825</v>
      </c>
      <c r="S1507" s="381"/>
      <c r="T1507" s="381" t="s">
        <v>3133</v>
      </c>
      <c r="U1507" s="381" t="s">
        <v>152</v>
      </c>
      <c r="V1507" s="381" t="s">
        <v>23</v>
      </c>
    </row>
    <row r="1508" spans="2:22">
      <c r="B1508" s="383">
        <v>46259</v>
      </c>
      <c r="C1508" s="383">
        <v>46259</v>
      </c>
      <c r="D1508" s="381" t="s">
        <v>6826</v>
      </c>
      <c r="E1508" s="382" t="s">
        <v>6827</v>
      </c>
      <c r="F1508" s="381" t="s">
        <v>87</v>
      </c>
      <c r="G1508" s="381" t="s">
        <v>2358</v>
      </c>
      <c r="H1508" s="387">
        <v>30</v>
      </c>
      <c r="I1508" s="381">
        <v>31.8</v>
      </c>
      <c r="J1508" s="381">
        <v>31.8</v>
      </c>
      <c r="K1508" s="381">
        <v>4</v>
      </c>
      <c r="L1508" s="381">
        <v>0</v>
      </c>
      <c r="M1508" s="381" t="s">
        <v>148</v>
      </c>
      <c r="N1508" s="381" t="s">
        <v>149</v>
      </c>
      <c r="O1508" s="381" t="s">
        <v>150</v>
      </c>
      <c r="P1508" s="381" t="s">
        <v>151</v>
      </c>
      <c r="Q1508" s="381"/>
      <c r="R1508" s="381" t="s">
        <v>6827</v>
      </c>
      <c r="S1508" s="381"/>
      <c r="T1508" s="381" t="s">
        <v>3133</v>
      </c>
      <c r="U1508" s="381" t="s">
        <v>152</v>
      </c>
      <c r="V1508" s="381" t="s">
        <v>23</v>
      </c>
    </row>
    <row r="1509" spans="2:22">
      <c r="B1509" s="383">
        <v>46259</v>
      </c>
      <c r="C1509" s="383">
        <v>46259</v>
      </c>
      <c r="D1509" s="381" t="s">
        <v>6828</v>
      </c>
      <c r="E1509" s="382" t="s">
        <v>6829</v>
      </c>
      <c r="F1509" s="381" t="s">
        <v>87</v>
      </c>
      <c r="G1509" s="381" t="s">
        <v>5766</v>
      </c>
      <c r="H1509" s="387">
        <v>45</v>
      </c>
      <c r="I1509" s="381">
        <v>33.799999999999997</v>
      </c>
      <c r="J1509" s="381">
        <v>33.799999999999997</v>
      </c>
      <c r="K1509" s="381">
        <v>5</v>
      </c>
      <c r="L1509" s="381">
        <v>0</v>
      </c>
      <c r="M1509" s="381" t="s">
        <v>148</v>
      </c>
      <c r="N1509" s="381" t="s">
        <v>149</v>
      </c>
      <c r="O1509" s="381" t="s">
        <v>150</v>
      </c>
      <c r="P1509" s="381" t="s">
        <v>151</v>
      </c>
      <c r="Q1509" s="381"/>
      <c r="R1509" s="381" t="s">
        <v>6829</v>
      </c>
      <c r="S1509" s="381"/>
      <c r="T1509" s="381" t="s">
        <v>3133</v>
      </c>
      <c r="U1509" s="381" t="s">
        <v>152</v>
      </c>
      <c r="V1509" s="381" t="s">
        <v>23</v>
      </c>
    </row>
    <row r="1510" spans="2:22">
      <c r="B1510" s="383">
        <v>46259</v>
      </c>
      <c r="C1510" s="383">
        <v>46259</v>
      </c>
      <c r="D1510" s="381" t="s">
        <v>6830</v>
      </c>
      <c r="E1510" s="382" t="s">
        <v>6831</v>
      </c>
      <c r="F1510" s="381" t="s">
        <v>87</v>
      </c>
      <c r="G1510" s="381" t="s">
        <v>2357</v>
      </c>
      <c r="H1510" s="387">
        <v>40</v>
      </c>
      <c r="I1510" s="381">
        <v>31.5</v>
      </c>
      <c r="J1510" s="381">
        <v>31.5</v>
      </c>
      <c r="K1510" s="381">
        <v>5</v>
      </c>
      <c r="L1510" s="381">
        <v>0</v>
      </c>
      <c r="M1510" s="381" t="s">
        <v>148</v>
      </c>
      <c r="N1510" s="381" t="s">
        <v>149</v>
      </c>
      <c r="O1510" s="381" t="s">
        <v>150</v>
      </c>
      <c r="P1510" s="381" t="s">
        <v>151</v>
      </c>
      <c r="Q1510" s="381"/>
      <c r="R1510" s="381" t="s">
        <v>6831</v>
      </c>
      <c r="S1510" s="381"/>
      <c r="T1510" s="381" t="s">
        <v>3133</v>
      </c>
      <c r="U1510" s="381" t="s">
        <v>152</v>
      </c>
      <c r="V1510" s="381" t="s">
        <v>23</v>
      </c>
    </row>
    <row r="1511" spans="2:22">
      <c r="B1511" s="383">
        <v>46259</v>
      </c>
      <c r="C1511" s="383">
        <v>46259</v>
      </c>
      <c r="D1511" s="381" t="s">
        <v>6832</v>
      </c>
      <c r="E1511" s="382" t="s">
        <v>6833</v>
      </c>
      <c r="F1511" s="381" t="s">
        <v>87</v>
      </c>
      <c r="G1511" s="381" t="s">
        <v>2358</v>
      </c>
      <c r="H1511" s="387">
        <v>30</v>
      </c>
      <c r="I1511" s="381">
        <v>20.399999999999999</v>
      </c>
      <c r="J1511" s="381">
        <v>20.399999999999999</v>
      </c>
      <c r="K1511" s="381">
        <v>4</v>
      </c>
      <c r="L1511" s="381">
        <v>0</v>
      </c>
      <c r="M1511" s="381" t="s">
        <v>148</v>
      </c>
      <c r="N1511" s="381" t="s">
        <v>149</v>
      </c>
      <c r="O1511" s="381" t="s">
        <v>150</v>
      </c>
      <c r="P1511" s="381" t="s">
        <v>151</v>
      </c>
      <c r="Q1511" s="381"/>
      <c r="R1511" s="381" t="s">
        <v>6833</v>
      </c>
      <c r="S1511" s="381"/>
      <c r="T1511" s="381" t="s">
        <v>3133</v>
      </c>
      <c r="U1511" s="381" t="s">
        <v>152</v>
      </c>
      <c r="V1511" s="381" t="s">
        <v>23</v>
      </c>
    </row>
    <row r="1512" spans="2:22">
      <c r="B1512" s="383">
        <v>46259</v>
      </c>
      <c r="C1512" s="383">
        <v>46259</v>
      </c>
      <c r="D1512" s="381" t="s">
        <v>6834</v>
      </c>
      <c r="E1512" s="382" t="s">
        <v>6835</v>
      </c>
      <c r="F1512" s="381" t="s">
        <v>87</v>
      </c>
      <c r="G1512" s="381" t="s">
        <v>6008</v>
      </c>
      <c r="H1512" s="387">
        <v>30</v>
      </c>
      <c r="I1512" s="381">
        <v>45.3</v>
      </c>
      <c r="J1512" s="381">
        <v>45.3</v>
      </c>
      <c r="K1512" s="381">
        <v>4</v>
      </c>
      <c r="L1512" s="381">
        <v>0</v>
      </c>
      <c r="M1512" s="381" t="s">
        <v>148</v>
      </c>
      <c r="N1512" s="381" t="s">
        <v>149</v>
      </c>
      <c r="O1512" s="381" t="s">
        <v>150</v>
      </c>
      <c r="P1512" s="381" t="s">
        <v>151</v>
      </c>
      <c r="Q1512" s="381"/>
      <c r="R1512" s="381" t="s">
        <v>6835</v>
      </c>
      <c r="S1512" s="381"/>
      <c r="T1512" s="381" t="s">
        <v>3133</v>
      </c>
      <c r="U1512" s="381" t="s">
        <v>152</v>
      </c>
      <c r="V1512" s="381" t="s">
        <v>23</v>
      </c>
    </row>
    <row r="1513" spans="2:22">
      <c r="B1513" s="383">
        <v>46259</v>
      </c>
      <c r="C1513" s="383">
        <v>46259</v>
      </c>
      <c r="D1513" s="381" t="s">
        <v>6836</v>
      </c>
      <c r="E1513" s="382" t="s">
        <v>6837</v>
      </c>
      <c r="F1513" s="381" t="s">
        <v>87</v>
      </c>
      <c r="G1513" s="381" t="s">
        <v>4512</v>
      </c>
      <c r="H1513" s="387">
        <v>55</v>
      </c>
      <c r="I1513" s="381">
        <v>32.299999999999997</v>
      </c>
      <c r="J1513" s="381">
        <v>32.299999999999997</v>
      </c>
      <c r="K1513" s="381">
        <v>5</v>
      </c>
      <c r="L1513" s="381">
        <v>0</v>
      </c>
      <c r="M1513" s="381" t="s">
        <v>148</v>
      </c>
      <c r="N1513" s="381" t="s">
        <v>149</v>
      </c>
      <c r="O1513" s="381" t="s">
        <v>150</v>
      </c>
      <c r="P1513" s="381" t="s">
        <v>151</v>
      </c>
      <c r="Q1513" s="381"/>
      <c r="R1513" s="381" t="s">
        <v>6837</v>
      </c>
      <c r="S1513" s="381"/>
      <c r="T1513" s="381" t="s">
        <v>3133</v>
      </c>
      <c r="U1513" s="381" t="s">
        <v>152</v>
      </c>
      <c r="V1513" s="381" t="s">
        <v>23</v>
      </c>
    </row>
    <row r="1514" spans="2:22">
      <c r="B1514" s="383">
        <v>46259</v>
      </c>
      <c r="C1514" s="383">
        <v>46259</v>
      </c>
      <c r="D1514" s="381" t="s">
        <v>6838</v>
      </c>
      <c r="E1514" s="382" t="s">
        <v>6839</v>
      </c>
      <c r="F1514" s="381" t="s">
        <v>87</v>
      </c>
      <c r="G1514" s="381" t="s">
        <v>5766</v>
      </c>
      <c r="H1514" s="387">
        <v>45</v>
      </c>
      <c r="I1514" s="381">
        <v>10.8</v>
      </c>
      <c r="J1514" s="381">
        <v>10.8</v>
      </c>
      <c r="K1514" s="381">
        <v>5</v>
      </c>
      <c r="L1514" s="381">
        <v>0</v>
      </c>
      <c r="M1514" s="381" t="s">
        <v>148</v>
      </c>
      <c r="N1514" s="381" t="s">
        <v>149</v>
      </c>
      <c r="O1514" s="381" t="s">
        <v>150</v>
      </c>
      <c r="P1514" s="381" t="s">
        <v>151</v>
      </c>
      <c r="Q1514" s="381"/>
      <c r="R1514" s="381" t="s">
        <v>6839</v>
      </c>
      <c r="S1514" s="381"/>
      <c r="T1514" s="381" t="s">
        <v>3133</v>
      </c>
      <c r="U1514" s="381" t="s">
        <v>152</v>
      </c>
      <c r="V1514" s="381" t="s">
        <v>23</v>
      </c>
    </row>
    <row r="1515" spans="2:22">
      <c r="B1515" s="383">
        <v>46259</v>
      </c>
      <c r="C1515" s="383">
        <v>46259</v>
      </c>
      <c r="D1515" s="381" t="s">
        <v>6840</v>
      </c>
      <c r="E1515" s="382" t="s">
        <v>6841</v>
      </c>
      <c r="F1515" s="381" t="s">
        <v>87</v>
      </c>
      <c r="G1515" s="381" t="s">
        <v>2404</v>
      </c>
      <c r="H1515" s="387">
        <v>40</v>
      </c>
      <c r="I1515" s="381">
        <v>24.3</v>
      </c>
      <c r="J1515" s="381">
        <v>24.3</v>
      </c>
      <c r="K1515" s="381">
        <v>5</v>
      </c>
      <c r="L1515" s="381">
        <v>0</v>
      </c>
      <c r="M1515" s="381" t="s">
        <v>148</v>
      </c>
      <c r="N1515" s="381" t="s">
        <v>149</v>
      </c>
      <c r="O1515" s="381" t="s">
        <v>150</v>
      </c>
      <c r="P1515" s="381" t="s">
        <v>151</v>
      </c>
      <c r="Q1515" s="381"/>
      <c r="R1515" s="381" t="s">
        <v>6841</v>
      </c>
      <c r="S1515" s="381"/>
      <c r="T1515" s="381" t="s">
        <v>3133</v>
      </c>
      <c r="U1515" s="381" t="s">
        <v>152</v>
      </c>
      <c r="V1515" s="381" t="s">
        <v>23</v>
      </c>
    </row>
    <row r="1516" spans="2:22">
      <c r="B1516" s="383">
        <v>46259</v>
      </c>
      <c r="C1516" s="383">
        <v>46259</v>
      </c>
      <c r="D1516" s="381" t="s">
        <v>6842</v>
      </c>
      <c r="E1516" s="382" t="s">
        <v>6843</v>
      </c>
      <c r="F1516" s="381" t="s">
        <v>87</v>
      </c>
      <c r="G1516" s="381" t="s">
        <v>2357</v>
      </c>
      <c r="H1516" s="387">
        <v>40</v>
      </c>
      <c r="I1516" s="381">
        <v>35.4</v>
      </c>
      <c r="J1516" s="381">
        <v>35.4</v>
      </c>
      <c r="K1516" s="381">
        <v>5</v>
      </c>
      <c r="L1516" s="381">
        <v>0</v>
      </c>
      <c r="M1516" s="381" t="s">
        <v>148</v>
      </c>
      <c r="N1516" s="381" t="s">
        <v>149</v>
      </c>
      <c r="O1516" s="381" t="s">
        <v>150</v>
      </c>
      <c r="P1516" s="381" t="s">
        <v>151</v>
      </c>
      <c r="Q1516" s="381"/>
      <c r="R1516" s="381" t="s">
        <v>6843</v>
      </c>
      <c r="S1516" s="381"/>
      <c r="T1516" s="381" t="s">
        <v>3133</v>
      </c>
      <c r="U1516" s="381" t="s">
        <v>152</v>
      </c>
      <c r="V1516" s="381" t="s">
        <v>23</v>
      </c>
    </row>
    <row r="1517" spans="2:22">
      <c r="B1517" s="383">
        <v>46259</v>
      </c>
      <c r="C1517" s="383">
        <v>46259</v>
      </c>
      <c r="D1517" s="381" t="s">
        <v>6844</v>
      </c>
      <c r="E1517" s="382" t="s">
        <v>6845</v>
      </c>
      <c r="F1517" s="381" t="s">
        <v>87</v>
      </c>
      <c r="G1517" s="381" t="s">
        <v>2358</v>
      </c>
      <c r="H1517" s="387">
        <v>30</v>
      </c>
      <c r="I1517" s="381">
        <v>34.799999999999997</v>
      </c>
      <c r="J1517" s="381">
        <v>34.799999999999997</v>
      </c>
      <c r="K1517" s="381">
        <v>4</v>
      </c>
      <c r="L1517" s="381">
        <v>0</v>
      </c>
      <c r="M1517" s="381" t="s">
        <v>148</v>
      </c>
      <c r="N1517" s="381" t="s">
        <v>149</v>
      </c>
      <c r="O1517" s="381" t="s">
        <v>150</v>
      </c>
      <c r="P1517" s="381" t="s">
        <v>151</v>
      </c>
      <c r="Q1517" s="381"/>
      <c r="R1517" s="381" t="s">
        <v>6845</v>
      </c>
      <c r="S1517" s="381"/>
      <c r="T1517" s="381" t="s">
        <v>3133</v>
      </c>
      <c r="U1517" s="381" t="s">
        <v>152</v>
      </c>
      <c r="V1517" s="381" t="s">
        <v>23</v>
      </c>
    </row>
    <row r="1518" spans="2:22">
      <c r="B1518" s="383">
        <v>46259</v>
      </c>
      <c r="C1518" s="383">
        <v>46259</v>
      </c>
      <c r="D1518" s="381" t="s">
        <v>6846</v>
      </c>
      <c r="E1518" s="382" t="s">
        <v>6847</v>
      </c>
      <c r="F1518" s="381" t="s">
        <v>87</v>
      </c>
      <c r="G1518" s="381" t="s">
        <v>2358</v>
      </c>
      <c r="H1518" s="387">
        <v>30</v>
      </c>
      <c r="I1518" s="381">
        <v>36.299999999999997</v>
      </c>
      <c r="J1518" s="381">
        <v>36.299999999999997</v>
      </c>
      <c r="K1518" s="381">
        <v>4</v>
      </c>
      <c r="L1518" s="381">
        <v>0</v>
      </c>
      <c r="M1518" s="381" t="s">
        <v>148</v>
      </c>
      <c r="N1518" s="381" t="s">
        <v>149</v>
      </c>
      <c r="O1518" s="381" t="s">
        <v>150</v>
      </c>
      <c r="P1518" s="381" t="s">
        <v>151</v>
      </c>
      <c r="Q1518" s="381"/>
      <c r="R1518" s="381" t="s">
        <v>6847</v>
      </c>
      <c r="S1518" s="381"/>
      <c r="T1518" s="381" t="s">
        <v>3133</v>
      </c>
      <c r="U1518" s="381" t="s">
        <v>152</v>
      </c>
      <c r="V1518" s="381" t="s">
        <v>23</v>
      </c>
    </row>
    <row r="1519" spans="2:22">
      <c r="B1519" s="383">
        <v>46259</v>
      </c>
      <c r="C1519" s="383">
        <v>46259</v>
      </c>
      <c r="D1519" s="381" t="s">
        <v>6848</v>
      </c>
      <c r="E1519" s="382" t="s">
        <v>6849</v>
      </c>
      <c r="F1519" s="381" t="s">
        <v>87</v>
      </c>
      <c r="G1519" s="381" t="s">
        <v>2404</v>
      </c>
      <c r="H1519" s="387">
        <v>40</v>
      </c>
      <c r="I1519" s="381">
        <v>34.799999999999997</v>
      </c>
      <c r="J1519" s="381">
        <v>34.799999999999997</v>
      </c>
      <c r="K1519" s="381">
        <v>5</v>
      </c>
      <c r="L1519" s="381">
        <v>0</v>
      </c>
      <c r="M1519" s="381" t="s">
        <v>148</v>
      </c>
      <c r="N1519" s="381" t="s">
        <v>149</v>
      </c>
      <c r="O1519" s="381" t="s">
        <v>150</v>
      </c>
      <c r="P1519" s="381" t="s">
        <v>151</v>
      </c>
      <c r="Q1519" s="381"/>
      <c r="R1519" s="381" t="s">
        <v>6849</v>
      </c>
      <c r="S1519" s="381"/>
      <c r="T1519" s="381" t="s">
        <v>3133</v>
      </c>
      <c r="U1519" s="381" t="s">
        <v>152</v>
      </c>
      <c r="V1519" s="381" t="s">
        <v>23</v>
      </c>
    </row>
    <row r="1520" spans="2:22">
      <c r="B1520" s="383">
        <v>46259</v>
      </c>
      <c r="C1520" s="383">
        <v>46259</v>
      </c>
      <c r="D1520" s="381" t="s">
        <v>6850</v>
      </c>
      <c r="E1520" s="382" t="s">
        <v>6851</v>
      </c>
      <c r="F1520" s="381" t="s">
        <v>87</v>
      </c>
      <c r="G1520" s="381" t="s">
        <v>6008</v>
      </c>
      <c r="H1520" s="387">
        <v>30</v>
      </c>
      <c r="I1520" s="381">
        <v>40</v>
      </c>
      <c r="J1520" s="381">
        <v>40</v>
      </c>
      <c r="K1520" s="381">
        <v>4</v>
      </c>
      <c r="L1520" s="381">
        <v>0</v>
      </c>
      <c r="M1520" s="381" t="s">
        <v>148</v>
      </c>
      <c r="N1520" s="381" t="s">
        <v>149</v>
      </c>
      <c r="O1520" s="381" t="s">
        <v>150</v>
      </c>
      <c r="P1520" s="381" t="s">
        <v>151</v>
      </c>
      <c r="Q1520" s="381"/>
      <c r="R1520" s="381" t="s">
        <v>6851</v>
      </c>
      <c r="S1520" s="381"/>
      <c r="T1520" s="381" t="s">
        <v>3133</v>
      </c>
      <c r="U1520" s="381" t="s">
        <v>152</v>
      </c>
      <c r="V1520" s="381" t="s">
        <v>23</v>
      </c>
    </row>
    <row r="1521" spans="2:22">
      <c r="B1521" s="383">
        <v>46259</v>
      </c>
      <c r="C1521" s="383">
        <v>46259</v>
      </c>
      <c r="D1521" s="381" t="s">
        <v>6852</v>
      </c>
      <c r="E1521" s="382" t="s">
        <v>6853</v>
      </c>
      <c r="F1521" s="381" t="s">
        <v>87</v>
      </c>
      <c r="G1521" s="381" t="s">
        <v>2403</v>
      </c>
      <c r="H1521" s="387">
        <v>30</v>
      </c>
      <c r="I1521" s="381">
        <v>16.8</v>
      </c>
      <c r="J1521" s="381">
        <v>16.8</v>
      </c>
      <c r="K1521" s="381">
        <v>4</v>
      </c>
      <c r="L1521" s="381">
        <v>0</v>
      </c>
      <c r="M1521" s="381" t="s">
        <v>148</v>
      </c>
      <c r="N1521" s="381" t="s">
        <v>149</v>
      </c>
      <c r="O1521" s="381" t="s">
        <v>150</v>
      </c>
      <c r="P1521" s="381" t="s">
        <v>151</v>
      </c>
      <c r="Q1521" s="381"/>
      <c r="R1521" s="381" t="s">
        <v>6853</v>
      </c>
      <c r="S1521" s="381"/>
      <c r="T1521" s="381" t="s">
        <v>3133</v>
      </c>
      <c r="U1521" s="381" t="s">
        <v>152</v>
      </c>
      <c r="V1521" s="381" t="s">
        <v>23</v>
      </c>
    </row>
    <row r="1522" spans="2:22">
      <c r="B1522" s="383">
        <v>46259</v>
      </c>
      <c r="C1522" s="383">
        <v>46259</v>
      </c>
      <c r="D1522" s="381" t="s">
        <v>6854</v>
      </c>
      <c r="E1522" s="382" t="s">
        <v>6855</v>
      </c>
      <c r="F1522" s="381" t="s">
        <v>87</v>
      </c>
      <c r="G1522" s="381" t="s">
        <v>2357</v>
      </c>
      <c r="H1522" s="387">
        <v>40</v>
      </c>
      <c r="I1522" s="381">
        <v>33</v>
      </c>
      <c r="J1522" s="381">
        <v>33</v>
      </c>
      <c r="K1522" s="381">
        <v>5</v>
      </c>
      <c r="L1522" s="381">
        <v>0</v>
      </c>
      <c r="M1522" s="381" t="s">
        <v>148</v>
      </c>
      <c r="N1522" s="381" t="s">
        <v>149</v>
      </c>
      <c r="O1522" s="381" t="s">
        <v>150</v>
      </c>
      <c r="P1522" s="381" t="s">
        <v>151</v>
      </c>
      <c r="Q1522" s="381"/>
      <c r="R1522" s="381" t="s">
        <v>6855</v>
      </c>
      <c r="S1522" s="381"/>
      <c r="T1522" s="381" t="s">
        <v>3133</v>
      </c>
      <c r="U1522" s="381" t="s">
        <v>152</v>
      </c>
      <c r="V1522" s="381" t="s">
        <v>23</v>
      </c>
    </row>
    <row r="1523" spans="2:22">
      <c r="B1523" s="383">
        <v>46259</v>
      </c>
      <c r="C1523" s="383">
        <v>46259</v>
      </c>
      <c r="D1523" s="381" t="s">
        <v>6856</v>
      </c>
      <c r="E1523" s="382" t="s">
        <v>6857</v>
      </c>
      <c r="F1523" s="381" t="s">
        <v>87</v>
      </c>
      <c r="G1523" s="381" t="s">
        <v>2358</v>
      </c>
      <c r="H1523" s="387">
        <v>30</v>
      </c>
      <c r="I1523" s="381">
        <v>28.8</v>
      </c>
      <c r="J1523" s="381">
        <v>28.8</v>
      </c>
      <c r="K1523" s="381">
        <v>4</v>
      </c>
      <c r="L1523" s="381">
        <v>0</v>
      </c>
      <c r="M1523" s="381" t="s">
        <v>148</v>
      </c>
      <c r="N1523" s="381" t="s">
        <v>149</v>
      </c>
      <c r="O1523" s="381" t="s">
        <v>150</v>
      </c>
      <c r="P1523" s="381" t="s">
        <v>151</v>
      </c>
      <c r="Q1523" s="381"/>
      <c r="R1523" s="381" t="s">
        <v>6857</v>
      </c>
      <c r="S1523" s="381"/>
      <c r="T1523" s="381" t="s">
        <v>3133</v>
      </c>
      <c r="U1523" s="381" t="s">
        <v>152</v>
      </c>
      <c r="V1523" s="381" t="s">
        <v>23</v>
      </c>
    </row>
    <row r="1524" spans="2:22">
      <c r="B1524" s="383">
        <v>46259</v>
      </c>
      <c r="C1524" s="383">
        <v>46259</v>
      </c>
      <c r="D1524" s="381" t="s">
        <v>6858</v>
      </c>
      <c r="E1524" s="382" t="s">
        <v>6859</v>
      </c>
      <c r="F1524" s="381" t="s">
        <v>87</v>
      </c>
      <c r="G1524" s="381" t="s">
        <v>5766</v>
      </c>
      <c r="H1524" s="387">
        <v>45</v>
      </c>
      <c r="I1524" s="381">
        <v>39.799999999999997</v>
      </c>
      <c r="J1524" s="381">
        <v>39.799999999999997</v>
      </c>
      <c r="K1524" s="381">
        <v>5</v>
      </c>
      <c r="L1524" s="381">
        <v>0</v>
      </c>
      <c r="M1524" s="381" t="s">
        <v>148</v>
      </c>
      <c r="N1524" s="381" t="s">
        <v>149</v>
      </c>
      <c r="O1524" s="381" t="s">
        <v>150</v>
      </c>
      <c r="P1524" s="381" t="s">
        <v>151</v>
      </c>
      <c r="Q1524" s="381"/>
      <c r="R1524" s="381" t="s">
        <v>6859</v>
      </c>
      <c r="S1524" s="381"/>
      <c r="T1524" s="381" t="s">
        <v>3133</v>
      </c>
      <c r="U1524" s="381" t="s">
        <v>152</v>
      </c>
      <c r="V1524" s="381" t="s">
        <v>23</v>
      </c>
    </row>
    <row r="1525" spans="2:22">
      <c r="B1525" s="383">
        <v>46259</v>
      </c>
      <c r="C1525" s="383">
        <v>46259</v>
      </c>
      <c r="D1525" s="381" t="s">
        <v>6860</v>
      </c>
      <c r="E1525" s="382" t="s">
        <v>6861</v>
      </c>
      <c r="F1525" s="381" t="s">
        <v>87</v>
      </c>
      <c r="G1525" s="381" t="s">
        <v>2404</v>
      </c>
      <c r="H1525" s="387">
        <v>40</v>
      </c>
      <c r="I1525" s="381">
        <v>31.3</v>
      </c>
      <c r="J1525" s="381">
        <v>31.3</v>
      </c>
      <c r="K1525" s="381">
        <v>5</v>
      </c>
      <c r="L1525" s="381">
        <v>0</v>
      </c>
      <c r="M1525" s="381" t="s">
        <v>148</v>
      </c>
      <c r="N1525" s="381" t="s">
        <v>149</v>
      </c>
      <c r="O1525" s="381" t="s">
        <v>150</v>
      </c>
      <c r="P1525" s="381" t="s">
        <v>151</v>
      </c>
      <c r="Q1525" s="381"/>
      <c r="R1525" s="381" t="s">
        <v>6861</v>
      </c>
      <c r="S1525" s="381"/>
      <c r="T1525" s="381" t="s">
        <v>3133</v>
      </c>
      <c r="U1525" s="381" t="s">
        <v>152</v>
      </c>
      <c r="V1525" s="381" t="s">
        <v>23</v>
      </c>
    </row>
    <row r="1526" spans="2:22">
      <c r="B1526" s="383">
        <v>46259</v>
      </c>
      <c r="C1526" s="383">
        <v>46259</v>
      </c>
      <c r="D1526" s="381" t="s">
        <v>6862</v>
      </c>
      <c r="E1526" s="382" t="s">
        <v>6863</v>
      </c>
      <c r="F1526" s="381" t="s">
        <v>87</v>
      </c>
      <c r="G1526" s="381" t="s">
        <v>2404</v>
      </c>
      <c r="H1526" s="387">
        <v>40</v>
      </c>
      <c r="I1526" s="381">
        <v>30.1</v>
      </c>
      <c r="J1526" s="381">
        <v>30.1</v>
      </c>
      <c r="K1526" s="381">
        <v>5</v>
      </c>
      <c r="L1526" s="381">
        <v>0</v>
      </c>
      <c r="M1526" s="381" t="s">
        <v>148</v>
      </c>
      <c r="N1526" s="381" t="s">
        <v>149</v>
      </c>
      <c r="O1526" s="381" t="s">
        <v>150</v>
      </c>
      <c r="P1526" s="381" t="s">
        <v>151</v>
      </c>
      <c r="Q1526" s="381"/>
      <c r="R1526" s="381" t="s">
        <v>6863</v>
      </c>
      <c r="S1526" s="381"/>
      <c r="T1526" s="381" t="s">
        <v>3133</v>
      </c>
      <c r="U1526" s="381" t="s">
        <v>152</v>
      </c>
      <c r="V1526" s="381" t="s">
        <v>23</v>
      </c>
    </row>
    <row r="1527" spans="2:22">
      <c r="B1527" s="383">
        <v>46259</v>
      </c>
      <c r="C1527" s="383">
        <v>46259</v>
      </c>
      <c r="D1527" s="381" t="s">
        <v>6864</v>
      </c>
      <c r="E1527" s="382" t="s">
        <v>6865</v>
      </c>
      <c r="F1527" s="381" t="s">
        <v>87</v>
      </c>
      <c r="G1527" s="381" t="s">
        <v>6008</v>
      </c>
      <c r="H1527" s="387">
        <v>30</v>
      </c>
      <c r="I1527" s="381">
        <v>43.3</v>
      </c>
      <c r="J1527" s="381">
        <v>43.3</v>
      </c>
      <c r="K1527" s="381">
        <v>4</v>
      </c>
      <c r="L1527" s="381">
        <v>0</v>
      </c>
      <c r="M1527" s="381" t="s">
        <v>148</v>
      </c>
      <c r="N1527" s="381" t="s">
        <v>149</v>
      </c>
      <c r="O1527" s="381" t="s">
        <v>150</v>
      </c>
      <c r="P1527" s="381" t="s">
        <v>151</v>
      </c>
      <c r="Q1527" s="381"/>
      <c r="R1527" s="381" t="s">
        <v>6865</v>
      </c>
      <c r="S1527" s="381"/>
      <c r="T1527" s="381" t="s">
        <v>3133</v>
      </c>
      <c r="U1527" s="381" t="s">
        <v>152</v>
      </c>
      <c r="V1527" s="381" t="s">
        <v>23</v>
      </c>
    </row>
    <row r="1528" spans="2:22">
      <c r="B1528" s="383">
        <v>46259</v>
      </c>
      <c r="C1528" s="383">
        <v>46259</v>
      </c>
      <c r="D1528" s="381" t="s">
        <v>6866</v>
      </c>
      <c r="E1528" s="382" t="s">
        <v>6867</v>
      </c>
      <c r="F1528" s="381" t="s">
        <v>87</v>
      </c>
      <c r="G1528" s="381" t="s">
        <v>5766</v>
      </c>
      <c r="H1528" s="387">
        <v>45</v>
      </c>
      <c r="I1528" s="381">
        <v>37.799999999999997</v>
      </c>
      <c r="J1528" s="381">
        <v>37.799999999999997</v>
      </c>
      <c r="K1528" s="381">
        <v>5</v>
      </c>
      <c r="L1528" s="381">
        <v>0</v>
      </c>
      <c r="M1528" s="381" t="s">
        <v>148</v>
      </c>
      <c r="N1528" s="381" t="s">
        <v>149</v>
      </c>
      <c r="O1528" s="381" t="s">
        <v>150</v>
      </c>
      <c r="P1528" s="381" t="s">
        <v>151</v>
      </c>
      <c r="Q1528" s="381"/>
      <c r="R1528" s="381" t="s">
        <v>6867</v>
      </c>
      <c r="S1528" s="381"/>
      <c r="T1528" s="381" t="s">
        <v>3133</v>
      </c>
      <c r="U1528" s="381" t="s">
        <v>152</v>
      </c>
      <c r="V1528" s="381" t="s">
        <v>23</v>
      </c>
    </row>
    <row r="1529" spans="2:22">
      <c r="B1529" s="383">
        <v>46259</v>
      </c>
      <c r="C1529" s="383">
        <v>46259</v>
      </c>
      <c r="D1529" s="381" t="s">
        <v>6868</v>
      </c>
      <c r="E1529" s="382" t="s">
        <v>6869</v>
      </c>
      <c r="F1529" s="381" t="s">
        <v>87</v>
      </c>
      <c r="G1529" s="381" t="s">
        <v>6008</v>
      </c>
      <c r="H1529" s="387">
        <v>30</v>
      </c>
      <c r="I1529" s="381">
        <v>30.8</v>
      </c>
      <c r="J1529" s="381">
        <v>30.8</v>
      </c>
      <c r="K1529" s="381">
        <v>4</v>
      </c>
      <c r="L1529" s="381">
        <v>0</v>
      </c>
      <c r="M1529" s="381" t="s">
        <v>148</v>
      </c>
      <c r="N1529" s="381" t="s">
        <v>149</v>
      </c>
      <c r="O1529" s="381" t="s">
        <v>150</v>
      </c>
      <c r="P1529" s="381" t="s">
        <v>151</v>
      </c>
      <c r="Q1529" s="381"/>
      <c r="R1529" s="381" t="s">
        <v>6869</v>
      </c>
      <c r="S1529" s="381"/>
      <c r="T1529" s="381" t="s">
        <v>3133</v>
      </c>
      <c r="U1529" s="381" t="s">
        <v>152</v>
      </c>
      <c r="V1529" s="381" t="s">
        <v>23</v>
      </c>
    </row>
    <row r="1530" spans="2:22">
      <c r="B1530" s="383">
        <v>46259</v>
      </c>
      <c r="C1530" s="383">
        <v>46259</v>
      </c>
      <c r="D1530" s="381" t="s">
        <v>6870</v>
      </c>
      <c r="E1530" s="382" t="s">
        <v>6871</v>
      </c>
      <c r="F1530" s="381" t="s">
        <v>87</v>
      </c>
      <c r="G1530" s="381" t="s">
        <v>2357</v>
      </c>
      <c r="H1530" s="387">
        <v>40</v>
      </c>
      <c r="I1530" s="381">
        <v>35</v>
      </c>
      <c r="J1530" s="381">
        <v>35</v>
      </c>
      <c r="K1530" s="381">
        <v>5</v>
      </c>
      <c r="L1530" s="381">
        <v>0</v>
      </c>
      <c r="M1530" s="381" t="s">
        <v>148</v>
      </c>
      <c r="N1530" s="381" t="s">
        <v>149</v>
      </c>
      <c r="O1530" s="381" t="s">
        <v>150</v>
      </c>
      <c r="P1530" s="381" t="s">
        <v>151</v>
      </c>
      <c r="Q1530" s="381"/>
      <c r="R1530" s="381" t="s">
        <v>6871</v>
      </c>
      <c r="S1530" s="381"/>
      <c r="T1530" s="381" t="s">
        <v>3133</v>
      </c>
      <c r="U1530" s="381" t="s">
        <v>152</v>
      </c>
      <c r="V1530" s="381" t="s">
        <v>23</v>
      </c>
    </row>
    <row r="1531" spans="2:22">
      <c r="B1531" s="383">
        <v>46259</v>
      </c>
      <c r="C1531" s="383">
        <v>46259</v>
      </c>
      <c r="D1531" s="381" t="s">
        <v>6872</v>
      </c>
      <c r="E1531" s="382" t="s">
        <v>6873</v>
      </c>
      <c r="F1531" s="381" t="s">
        <v>87</v>
      </c>
      <c r="G1531" s="381" t="s">
        <v>6460</v>
      </c>
      <c r="H1531" s="387">
        <v>6</v>
      </c>
      <c r="I1531" s="381">
        <v>17.3</v>
      </c>
      <c r="J1531" s="381">
        <v>17.3</v>
      </c>
      <c r="K1531" s="381">
        <v>1.5</v>
      </c>
      <c r="L1531" s="381">
        <v>0</v>
      </c>
      <c r="M1531" s="381" t="s">
        <v>148</v>
      </c>
      <c r="N1531" s="381" t="s">
        <v>149</v>
      </c>
      <c r="O1531" s="381" t="s">
        <v>150</v>
      </c>
      <c r="P1531" s="381" t="s">
        <v>151</v>
      </c>
      <c r="Q1531" s="381"/>
      <c r="R1531" s="381" t="s">
        <v>6873</v>
      </c>
      <c r="S1531" s="381"/>
      <c r="T1531" s="381" t="s">
        <v>3133</v>
      </c>
      <c r="U1531" s="381" t="s">
        <v>152</v>
      </c>
      <c r="V1531" s="381" t="s">
        <v>23</v>
      </c>
    </row>
    <row r="1532" spans="2:22">
      <c r="B1532" s="383">
        <v>46259</v>
      </c>
      <c r="C1532" s="383">
        <v>46259</v>
      </c>
      <c r="D1532" s="381" t="s">
        <v>6874</v>
      </c>
      <c r="E1532" s="382" t="s">
        <v>6875</v>
      </c>
      <c r="F1532" s="381" t="s">
        <v>87</v>
      </c>
      <c r="G1532" s="381" t="s">
        <v>2358</v>
      </c>
      <c r="H1532" s="387">
        <v>30</v>
      </c>
      <c r="I1532" s="381">
        <v>34.799999999999997</v>
      </c>
      <c r="J1532" s="381">
        <v>34.799999999999997</v>
      </c>
      <c r="K1532" s="381">
        <v>4</v>
      </c>
      <c r="L1532" s="381">
        <v>0</v>
      </c>
      <c r="M1532" s="381" t="s">
        <v>148</v>
      </c>
      <c r="N1532" s="381" t="s">
        <v>149</v>
      </c>
      <c r="O1532" s="381" t="s">
        <v>150</v>
      </c>
      <c r="P1532" s="381" t="s">
        <v>151</v>
      </c>
      <c r="Q1532" s="381"/>
      <c r="R1532" s="381" t="s">
        <v>6875</v>
      </c>
      <c r="S1532" s="381"/>
      <c r="T1532" s="381" t="s">
        <v>3133</v>
      </c>
      <c r="U1532" s="381" t="s">
        <v>152</v>
      </c>
      <c r="V1532" s="381" t="s">
        <v>23</v>
      </c>
    </row>
    <row r="1533" spans="2:22">
      <c r="B1533" s="383">
        <v>46259</v>
      </c>
      <c r="C1533" s="383">
        <v>46259</v>
      </c>
      <c r="D1533" s="381" t="s">
        <v>6876</v>
      </c>
      <c r="E1533" s="382" t="s">
        <v>6877</v>
      </c>
      <c r="F1533" s="381" t="s">
        <v>87</v>
      </c>
      <c r="G1533" s="381" t="s">
        <v>2404</v>
      </c>
      <c r="H1533" s="387">
        <v>40</v>
      </c>
      <c r="I1533" s="381">
        <v>24.3</v>
      </c>
      <c r="J1533" s="381">
        <v>24.3</v>
      </c>
      <c r="K1533" s="381">
        <v>5</v>
      </c>
      <c r="L1533" s="381">
        <v>0</v>
      </c>
      <c r="M1533" s="381" t="s">
        <v>148</v>
      </c>
      <c r="N1533" s="381" t="s">
        <v>149</v>
      </c>
      <c r="O1533" s="381" t="s">
        <v>150</v>
      </c>
      <c r="P1533" s="381" t="s">
        <v>151</v>
      </c>
      <c r="Q1533" s="381"/>
      <c r="R1533" s="381" t="s">
        <v>6877</v>
      </c>
      <c r="S1533" s="381"/>
      <c r="T1533" s="381" t="s">
        <v>3133</v>
      </c>
      <c r="U1533" s="381" t="s">
        <v>152</v>
      </c>
      <c r="V1533" s="381" t="s">
        <v>23</v>
      </c>
    </row>
    <row r="1534" spans="2:22">
      <c r="B1534" s="383">
        <v>46259</v>
      </c>
      <c r="C1534" s="383">
        <v>46259</v>
      </c>
      <c r="D1534" s="381" t="s">
        <v>6878</v>
      </c>
      <c r="E1534" s="382" t="s">
        <v>6879</v>
      </c>
      <c r="F1534" s="381" t="s">
        <v>87</v>
      </c>
      <c r="G1534" s="381" t="s">
        <v>6008</v>
      </c>
      <c r="H1534" s="387">
        <v>30</v>
      </c>
      <c r="I1534" s="381">
        <v>30.4</v>
      </c>
      <c r="J1534" s="381">
        <v>30.4</v>
      </c>
      <c r="K1534" s="381">
        <v>4</v>
      </c>
      <c r="L1534" s="381">
        <v>0</v>
      </c>
      <c r="M1534" s="381" t="s">
        <v>148</v>
      </c>
      <c r="N1534" s="381" t="s">
        <v>149</v>
      </c>
      <c r="O1534" s="381" t="s">
        <v>150</v>
      </c>
      <c r="P1534" s="381" t="s">
        <v>151</v>
      </c>
      <c r="Q1534" s="381"/>
      <c r="R1534" s="381" t="s">
        <v>6879</v>
      </c>
      <c r="S1534" s="381"/>
      <c r="T1534" s="381" t="s">
        <v>3133</v>
      </c>
      <c r="U1534" s="381" t="s">
        <v>152</v>
      </c>
      <c r="V1534" s="381" t="s">
        <v>23</v>
      </c>
    </row>
    <row r="1535" spans="2:22">
      <c r="B1535" s="383">
        <v>46259</v>
      </c>
      <c r="C1535" s="383">
        <v>46259</v>
      </c>
      <c r="D1535" s="381" t="s">
        <v>6880</v>
      </c>
      <c r="E1535" s="382" t="s">
        <v>6881</v>
      </c>
      <c r="F1535" s="381" t="s">
        <v>87</v>
      </c>
      <c r="G1535" s="381" t="s">
        <v>2333</v>
      </c>
      <c r="H1535" s="387">
        <v>30</v>
      </c>
      <c r="I1535" s="381">
        <v>39.799999999999997</v>
      </c>
      <c r="J1535" s="381">
        <v>39.799999999999997</v>
      </c>
      <c r="K1535" s="381">
        <v>4</v>
      </c>
      <c r="L1535" s="381">
        <v>0</v>
      </c>
      <c r="M1535" s="381" t="s">
        <v>148</v>
      </c>
      <c r="N1535" s="381" t="s">
        <v>149</v>
      </c>
      <c r="O1535" s="381" t="s">
        <v>150</v>
      </c>
      <c r="P1535" s="381" t="s">
        <v>151</v>
      </c>
      <c r="Q1535" s="381"/>
      <c r="R1535" s="381" t="s">
        <v>6881</v>
      </c>
      <c r="S1535" s="381"/>
      <c r="T1535" s="381" t="s">
        <v>3133</v>
      </c>
      <c r="U1535" s="381" t="s">
        <v>152</v>
      </c>
      <c r="V1535" s="381" t="s">
        <v>23</v>
      </c>
    </row>
    <row r="1536" spans="2:22">
      <c r="B1536" s="383">
        <v>46259</v>
      </c>
      <c r="C1536" s="383">
        <v>46259</v>
      </c>
      <c r="D1536" s="381" t="s">
        <v>6882</v>
      </c>
      <c r="E1536" s="382" t="s">
        <v>6883</v>
      </c>
      <c r="F1536" s="381" t="s">
        <v>87</v>
      </c>
      <c r="G1536" s="381" t="s">
        <v>2357</v>
      </c>
      <c r="H1536" s="387">
        <v>40</v>
      </c>
      <c r="I1536" s="381">
        <v>38.299999999999997</v>
      </c>
      <c r="J1536" s="381">
        <v>38.299999999999997</v>
      </c>
      <c r="K1536" s="381">
        <v>5</v>
      </c>
      <c r="L1536" s="381">
        <v>0</v>
      </c>
      <c r="M1536" s="381" t="s">
        <v>148</v>
      </c>
      <c r="N1536" s="381" t="s">
        <v>149</v>
      </c>
      <c r="O1536" s="381" t="s">
        <v>150</v>
      </c>
      <c r="P1536" s="381" t="s">
        <v>151</v>
      </c>
      <c r="Q1536" s="381"/>
      <c r="R1536" s="381" t="s">
        <v>6883</v>
      </c>
      <c r="S1536" s="381"/>
      <c r="T1536" s="381" t="s">
        <v>3133</v>
      </c>
      <c r="U1536" s="381" t="s">
        <v>152</v>
      </c>
      <c r="V1536" s="381" t="s">
        <v>23</v>
      </c>
    </row>
    <row r="1537" spans="2:22">
      <c r="B1537" s="383">
        <v>46259</v>
      </c>
      <c r="C1537" s="383">
        <v>46259</v>
      </c>
      <c r="D1537" s="381" t="s">
        <v>6884</v>
      </c>
      <c r="E1537" s="382" t="s">
        <v>6885</v>
      </c>
      <c r="F1537" s="381" t="s">
        <v>87</v>
      </c>
      <c r="G1537" s="381" t="s">
        <v>6008</v>
      </c>
      <c r="H1537" s="387">
        <v>30</v>
      </c>
      <c r="I1537" s="381">
        <v>14.4</v>
      </c>
      <c r="J1537" s="381">
        <v>14.4</v>
      </c>
      <c r="K1537" s="381">
        <v>4</v>
      </c>
      <c r="L1537" s="381">
        <v>0</v>
      </c>
      <c r="M1537" s="381" t="s">
        <v>148</v>
      </c>
      <c r="N1537" s="381" t="s">
        <v>149</v>
      </c>
      <c r="O1537" s="381" t="s">
        <v>150</v>
      </c>
      <c r="P1537" s="381" t="s">
        <v>151</v>
      </c>
      <c r="Q1537" s="381"/>
      <c r="R1537" s="381" t="s">
        <v>6885</v>
      </c>
      <c r="S1537" s="381"/>
      <c r="T1537" s="381" t="s">
        <v>3133</v>
      </c>
      <c r="U1537" s="381" t="s">
        <v>152</v>
      </c>
      <c r="V1537" s="381" t="s">
        <v>23</v>
      </c>
    </row>
    <row r="1538" spans="2:22">
      <c r="B1538" s="383">
        <v>46259</v>
      </c>
      <c r="C1538" s="383">
        <v>46259</v>
      </c>
      <c r="D1538" s="381" t="s">
        <v>6886</v>
      </c>
      <c r="E1538" s="382" t="s">
        <v>6887</v>
      </c>
      <c r="F1538" s="381" t="s">
        <v>87</v>
      </c>
      <c r="G1538" s="381" t="s">
        <v>2512</v>
      </c>
      <c r="H1538" s="387">
        <v>40</v>
      </c>
      <c r="I1538" s="381">
        <v>34.299999999999997</v>
      </c>
      <c r="J1538" s="381">
        <v>34.299999999999997</v>
      </c>
      <c r="K1538" s="381">
        <v>5</v>
      </c>
      <c r="L1538" s="381">
        <v>0</v>
      </c>
      <c r="M1538" s="381" t="s">
        <v>148</v>
      </c>
      <c r="N1538" s="381" t="s">
        <v>149</v>
      </c>
      <c r="O1538" s="381" t="s">
        <v>150</v>
      </c>
      <c r="P1538" s="381" t="s">
        <v>151</v>
      </c>
      <c r="Q1538" s="381"/>
      <c r="R1538" s="381" t="s">
        <v>6887</v>
      </c>
      <c r="S1538" s="381"/>
      <c r="T1538" s="381" t="s">
        <v>3133</v>
      </c>
      <c r="U1538" s="381" t="s">
        <v>152</v>
      </c>
      <c r="V1538" s="381" t="s">
        <v>23</v>
      </c>
    </row>
    <row r="1539" spans="2:22">
      <c r="B1539" s="383">
        <v>46259</v>
      </c>
      <c r="C1539" s="383">
        <v>46259</v>
      </c>
      <c r="D1539" s="381" t="s">
        <v>6888</v>
      </c>
      <c r="E1539" s="382" t="s">
        <v>6889</v>
      </c>
      <c r="F1539" s="381" t="s">
        <v>87</v>
      </c>
      <c r="G1539" s="381" t="s">
        <v>4512</v>
      </c>
      <c r="H1539" s="387">
        <v>55</v>
      </c>
      <c r="I1539" s="381">
        <v>34.799999999999997</v>
      </c>
      <c r="J1539" s="381">
        <v>34.799999999999997</v>
      </c>
      <c r="K1539" s="381">
        <v>5</v>
      </c>
      <c r="L1539" s="381">
        <v>0</v>
      </c>
      <c r="M1539" s="381" t="s">
        <v>148</v>
      </c>
      <c r="N1539" s="381" t="s">
        <v>149</v>
      </c>
      <c r="O1539" s="381" t="s">
        <v>150</v>
      </c>
      <c r="P1539" s="381" t="s">
        <v>151</v>
      </c>
      <c r="Q1539" s="381"/>
      <c r="R1539" s="381" t="s">
        <v>6889</v>
      </c>
      <c r="S1539" s="381"/>
      <c r="T1539" s="381" t="s">
        <v>3133</v>
      </c>
      <c r="U1539" s="381" t="s">
        <v>152</v>
      </c>
      <c r="V1539" s="381" t="s">
        <v>23</v>
      </c>
    </row>
    <row r="1540" spans="2:22">
      <c r="B1540" s="383">
        <v>46259</v>
      </c>
      <c r="C1540" s="383">
        <v>46259</v>
      </c>
      <c r="D1540" s="381" t="s">
        <v>6890</v>
      </c>
      <c r="E1540" s="382" t="s">
        <v>6891</v>
      </c>
      <c r="F1540" s="381" t="s">
        <v>87</v>
      </c>
      <c r="G1540" s="381" t="s">
        <v>5766</v>
      </c>
      <c r="H1540" s="387">
        <v>45</v>
      </c>
      <c r="I1540" s="381">
        <v>33.4</v>
      </c>
      <c r="J1540" s="381">
        <v>33.4</v>
      </c>
      <c r="K1540" s="381">
        <v>5</v>
      </c>
      <c r="L1540" s="381">
        <v>0</v>
      </c>
      <c r="M1540" s="381" t="s">
        <v>148</v>
      </c>
      <c r="N1540" s="381" t="s">
        <v>149</v>
      </c>
      <c r="O1540" s="381" t="s">
        <v>150</v>
      </c>
      <c r="P1540" s="381" t="s">
        <v>151</v>
      </c>
      <c r="Q1540" s="381"/>
      <c r="R1540" s="381" t="s">
        <v>6891</v>
      </c>
      <c r="S1540" s="381"/>
      <c r="T1540" s="381" t="s">
        <v>3133</v>
      </c>
      <c r="U1540" s="381" t="s">
        <v>152</v>
      </c>
      <c r="V1540" s="381" t="s">
        <v>23</v>
      </c>
    </row>
    <row r="1541" spans="2:22">
      <c r="B1541" s="383">
        <v>46259</v>
      </c>
      <c r="C1541" s="383">
        <v>46259</v>
      </c>
      <c r="D1541" s="381" t="s">
        <v>6892</v>
      </c>
      <c r="E1541" s="382" t="s">
        <v>6893</v>
      </c>
      <c r="F1541" s="381" t="s">
        <v>87</v>
      </c>
      <c r="G1541" s="381" t="s">
        <v>6008</v>
      </c>
      <c r="H1541" s="387">
        <v>30</v>
      </c>
      <c r="I1541" s="381">
        <v>40.4</v>
      </c>
      <c r="J1541" s="381">
        <v>40.4</v>
      </c>
      <c r="K1541" s="381">
        <v>4</v>
      </c>
      <c r="L1541" s="381">
        <v>0</v>
      </c>
      <c r="M1541" s="381" t="s">
        <v>148</v>
      </c>
      <c r="N1541" s="381" t="s">
        <v>149</v>
      </c>
      <c r="O1541" s="381" t="s">
        <v>150</v>
      </c>
      <c r="P1541" s="381" t="s">
        <v>151</v>
      </c>
      <c r="Q1541" s="381"/>
      <c r="R1541" s="381" t="s">
        <v>6893</v>
      </c>
      <c r="S1541" s="381"/>
      <c r="T1541" s="381" t="s">
        <v>3133</v>
      </c>
      <c r="U1541" s="381" t="s">
        <v>152</v>
      </c>
      <c r="V1541" s="381" t="s">
        <v>23</v>
      </c>
    </row>
    <row r="1542" spans="2:22">
      <c r="B1542" s="383">
        <v>46259</v>
      </c>
      <c r="C1542" s="383">
        <v>46259</v>
      </c>
      <c r="D1542" s="381" t="s">
        <v>6894</v>
      </c>
      <c r="E1542" s="382" t="s">
        <v>6895</v>
      </c>
      <c r="F1542" s="381" t="s">
        <v>87</v>
      </c>
      <c r="G1542" s="381" t="s">
        <v>2358</v>
      </c>
      <c r="H1542" s="387">
        <v>30</v>
      </c>
      <c r="I1542" s="381">
        <v>29.8</v>
      </c>
      <c r="J1542" s="381">
        <v>29.8</v>
      </c>
      <c r="K1542" s="381">
        <v>4</v>
      </c>
      <c r="L1542" s="381">
        <v>0</v>
      </c>
      <c r="M1542" s="381" t="s">
        <v>148</v>
      </c>
      <c r="N1542" s="381" t="s">
        <v>149</v>
      </c>
      <c r="O1542" s="381" t="s">
        <v>150</v>
      </c>
      <c r="P1542" s="381" t="s">
        <v>151</v>
      </c>
      <c r="Q1542" s="381"/>
      <c r="R1542" s="381" t="s">
        <v>6895</v>
      </c>
      <c r="S1542" s="381"/>
      <c r="T1542" s="381" t="s">
        <v>3133</v>
      </c>
      <c r="U1542" s="381" t="s">
        <v>152</v>
      </c>
      <c r="V1542" s="381" t="s">
        <v>23</v>
      </c>
    </row>
    <row r="1543" spans="2:22">
      <c r="B1543" s="383">
        <v>46259</v>
      </c>
      <c r="C1543" s="383">
        <v>46259</v>
      </c>
      <c r="D1543" s="381" t="s">
        <v>6896</v>
      </c>
      <c r="E1543" s="382" t="s">
        <v>6897</v>
      </c>
      <c r="F1543" s="381" t="s">
        <v>87</v>
      </c>
      <c r="G1543" s="381" t="s">
        <v>2512</v>
      </c>
      <c r="H1543" s="387">
        <v>40</v>
      </c>
      <c r="I1543" s="355">
        <v>28</v>
      </c>
      <c r="J1543" s="360">
        <v>28</v>
      </c>
      <c r="K1543" s="381">
        <v>5</v>
      </c>
      <c r="L1543" s="381">
        <v>0</v>
      </c>
      <c r="M1543" s="381" t="s">
        <v>148</v>
      </c>
      <c r="N1543" s="381" t="s">
        <v>149</v>
      </c>
      <c r="O1543" s="381" t="s">
        <v>150</v>
      </c>
      <c r="P1543" s="381" t="s">
        <v>151</v>
      </c>
      <c r="Q1543" s="381"/>
      <c r="R1543" s="381" t="s">
        <v>6897</v>
      </c>
      <c r="S1543" s="381"/>
      <c r="T1543" s="381" t="s">
        <v>3133</v>
      </c>
      <c r="U1543" s="381" t="s">
        <v>152</v>
      </c>
      <c r="V1543" s="381" t="s">
        <v>23</v>
      </c>
    </row>
    <row r="1544" spans="2:22">
      <c r="B1544" s="383">
        <v>46259</v>
      </c>
      <c r="C1544" s="383">
        <v>46259</v>
      </c>
      <c r="D1544" s="381" t="s">
        <v>6898</v>
      </c>
      <c r="E1544" s="382" t="s">
        <v>6899</v>
      </c>
      <c r="F1544" s="381" t="s">
        <v>87</v>
      </c>
      <c r="G1544" s="381" t="s">
        <v>2357</v>
      </c>
      <c r="H1544" s="387">
        <v>40</v>
      </c>
      <c r="I1544" s="381">
        <v>16.8</v>
      </c>
      <c r="J1544" s="381">
        <v>16.8</v>
      </c>
      <c r="K1544" s="381">
        <v>5</v>
      </c>
      <c r="L1544" s="381">
        <v>0</v>
      </c>
      <c r="M1544" s="381" t="s">
        <v>148</v>
      </c>
      <c r="N1544" s="381" t="s">
        <v>149</v>
      </c>
      <c r="O1544" s="381" t="s">
        <v>150</v>
      </c>
      <c r="P1544" s="381" t="s">
        <v>151</v>
      </c>
      <c r="Q1544" s="381"/>
      <c r="R1544" s="381" t="s">
        <v>6899</v>
      </c>
      <c r="S1544" s="381"/>
      <c r="T1544" s="381" t="s">
        <v>3133</v>
      </c>
      <c r="U1544" s="381" t="s">
        <v>152</v>
      </c>
      <c r="V1544" s="381" t="s">
        <v>23</v>
      </c>
    </row>
    <row r="1545" spans="2:22">
      <c r="B1545" s="383">
        <v>46259</v>
      </c>
      <c r="C1545" s="383">
        <v>46259</v>
      </c>
      <c r="D1545" s="381" t="s">
        <v>6900</v>
      </c>
      <c r="E1545" s="382" t="s">
        <v>6901</v>
      </c>
      <c r="F1545" s="381" t="s">
        <v>87</v>
      </c>
      <c r="G1545" s="381" t="s">
        <v>2404</v>
      </c>
      <c r="H1545" s="387">
        <v>40</v>
      </c>
      <c r="I1545" s="381">
        <v>42.8</v>
      </c>
      <c r="J1545" s="381">
        <v>42.8</v>
      </c>
      <c r="K1545" s="381">
        <v>5</v>
      </c>
      <c r="L1545" s="381">
        <v>0</v>
      </c>
      <c r="M1545" s="381" t="s">
        <v>148</v>
      </c>
      <c r="N1545" s="381" t="s">
        <v>149</v>
      </c>
      <c r="O1545" s="381" t="s">
        <v>150</v>
      </c>
      <c r="P1545" s="381" t="s">
        <v>151</v>
      </c>
      <c r="Q1545" s="381"/>
      <c r="R1545" s="381" t="s">
        <v>6901</v>
      </c>
      <c r="S1545" s="381"/>
      <c r="T1545" s="381" t="s">
        <v>3133</v>
      </c>
      <c r="U1545" s="381" t="s">
        <v>152</v>
      </c>
      <c r="V1545" s="381" t="s">
        <v>23</v>
      </c>
    </row>
    <row r="1546" spans="2:22">
      <c r="B1546" s="383">
        <v>46260</v>
      </c>
      <c r="C1546" s="383">
        <v>46260</v>
      </c>
      <c r="D1546" s="381" t="s">
        <v>6902</v>
      </c>
      <c r="E1546" s="382" t="s">
        <v>6903</v>
      </c>
      <c r="F1546" s="381" t="s">
        <v>87</v>
      </c>
      <c r="G1546" s="381" t="s">
        <v>2357</v>
      </c>
      <c r="H1546" s="387">
        <v>40</v>
      </c>
      <c r="I1546" s="381">
        <v>26.8</v>
      </c>
      <c r="J1546" s="381">
        <v>26.8</v>
      </c>
      <c r="K1546" s="381">
        <v>5</v>
      </c>
      <c r="L1546" s="381">
        <v>0</v>
      </c>
      <c r="M1546" s="381" t="s">
        <v>148</v>
      </c>
      <c r="N1546" s="381" t="s">
        <v>149</v>
      </c>
      <c r="O1546" s="381" t="s">
        <v>150</v>
      </c>
      <c r="P1546" s="381" t="s">
        <v>151</v>
      </c>
      <c r="Q1546" s="381"/>
      <c r="R1546" s="381" t="s">
        <v>6903</v>
      </c>
      <c r="S1546" s="381"/>
      <c r="T1546" s="381" t="s">
        <v>3161</v>
      </c>
      <c r="U1546" s="381" t="s">
        <v>152</v>
      </c>
      <c r="V1546" s="381" t="s">
        <v>23</v>
      </c>
    </row>
    <row r="1547" spans="2:22">
      <c r="B1547" s="383">
        <v>46260</v>
      </c>
      <c r="C1547" s="383">
        <v>46260</v>
      </c>
      <c r="D1547" s="381" t="s">
        <v>6904</v>
      </c>
      <c r="E1547" s="382" t="s">
        <v>6905</v>
      </c>
      <c r="F1547" s="381" t="s">
        <v>87</v>
      </c>
      <c r="G1547" s="381" t="s">
        <v>2357</v>
      </c>
      <c r="H1547" s="387">
        <v>40</v>
      </c>
      <c r="I1547" s="381">
        <v>37.4</v>
      </c>
      <c r="J1547" s="381">
        <v>37.4</v>
      </c>
      <c r="K1547" s="381">
        <v>5</v>
      </c>
      <c r="L1547" s="381">
        <v>0</v>
      </c>
      <c r="M1547" s="381" t="s">
        <v>148</v>
      </c>
      <c r="N1547" s="381" t="s">
        <v>149</v>
      </c>
      <c r="O1547" s="381" t="s">
        <v>150</v>
      </c>
      <c r="P1547" s="381" t="s">
        <v>151</v>
      </c>
      <c r="Q1547" s="381"/>
      <c r="R1547" s="381" t="s">
        <v>6905</v>
      </c>
      <c r="S1547" s="381"/>
      <c r="T1547" s="381" t="s">
        <v>3161</v>
      </c>
      <c r="U1547" s="381" t="s">
        <v>152</v>
      </c>
      <c r="V1547" s="381" t="s">
        <v>23</v>
      </c>
    </row>
    <row r="1548" spans="2:22">
      <c r="B1548" s="383">
        <v>46260</v>
      </c>
      <c r="C1548" s="383">
        <v>46260</v>
      </c>
      <c r="D1548" s="381" t="s">
        <v>6906</v>
      </c>
      <c r="E1548" s="382" t="s">
        <v>6907</v>
      </c>
      <c r="F1548" s="381" t="s">
        <v>87</v>
      </c>
      <c r="G1548" s="381" t="s">
        <v>2358</v>
      </c>
      <c r="H1548" s="387">
        <v>30</v>
      </c>
      <c r="I1548" s="381">
        <v>37.799999999999997</v>
      </c>
      <c r="J1548" s="381">
        <v>37.799999999999997</v>
      </c>
      <c r="K1548" s="381">
        <v>4</v>
      </c>
      <c r="L1548" s="381">
        <v>0</v>
      </c>
      <c r="M1548" s="381" t="s">
        <v>148</v>
      </c>
      <c r="N1548" s="381" t="s">
        <v>149</v>
      </c>
      <c r="O1548" s="381" t="s">
        <v>150</v>
      </c>
      <c r="P1548" s="381" t="s">
        <v>151</v>
      </c>
      <c r="Q1548" s="381"/>
      <c r="R1548" s="381" t="s">
        <v>6907</v>
      </c>
      <c r="S1548" s="381"/>
      <c r="T1548" s="381" t="s">
        <v>3161</v>
      </c>
      <c r="U1548" s="381" t="s">
        <v>152</v>
      </c>
      <c r="V1548" s="381" t="s">
        <v>23</v>
      </c>
    </row>
    <row r="1549" spans="2:22">
      <c r="B1549" s="383">
        <v>46260</v>
      </c>
      <c r="C1549" s="383">
        <v>46260</v>
      </c>
      <c r="D1549" s="381" t="s">
        <v>6908</v>
      </c>
      <c r="E1549" s="382" t="s">
        <v>6909</v>
      </c>
      <c r="F1549" s="381" t="s">
        <v>87</v>
      </c>
      <c r="G1549" s="381" t="s">
        <v>6008</v>
      </c>
      <c r="H1549" s="387">
        <v>30</v>
      </c>
      <c r="I1549" s="381">
        <v>46.8</v>
      </c>
      <c r="J1549" s="381">
        <v>46.8</v>
      </c>
      <c r="K1549" s="381">
        <v>4</v>
      </c>
      <c r="L1549" s="381">
        <v>0</v>
      </c>
      <c r="M1549" s="381" t="s">
        <v>148</v>
      </c>
      <c r="N1549" s="381" t="s">
        <v>149</v>
      </c>
      <c r="O1549" s="381" t="s">
        <v>150</v>
      </c>
      <c r="P1549" s="381" t="s">
        <v>151</v>
      </c>
      <c r="Q1549" s="381"/>
      <c r="R1549" s="381" t="s">
        <v>6909</v>
      </c>
      <c r="S1549" s="381"/>
      <c r="T1549" s="381" t="s">
        <v>3161</v>
      </c>
      <c r="U1549" s="381" t="s">
        <v>152</v>
      </c>
      <c r="V1549" s="381" t="s">
        <v>23</v>
      </c>
    </row>
    <row r="1550" spans="2:22">
      <c r="B1550" s="383">
        <v>46260</v>
      </c>
      <c r="C1550" s="383">
        <v>46260</v>
      </c>
      <c r="D1550" s="381" t="s">
        <v>6910</v>
      </c>
      <c r="E1550" s="382" t="s">
        <v>6911</v>
      </c>
      <c r="F1550" s="381" t="s">
        <v>87</v>
      </c>
      <c r="G1550" s="381" t="s">
        <v>2357</v>
      </c>
      <c r="H1550" s="387">
        <v>40</v>
      </c>
      <c r="I1550" s="381">
        <v>24.8</v>
      </c>
      <c r="J1550" s="381">
        <v>24.8</v>
      </c>
      <c r="K1550" s="381">
        <v>5</v>
      </c>
      <c r="L1550" s="381">
        <v>0</v>
      </c>
      <c r="M1550" s="381" t="s">
        <v>148</v>
      </c>
      <c r="N1550" s="381" t="s">
        <v>149</v>
      </c>
      <c r="O1550" s="381" t="s">
        <v>150</v>
      </c>
      <c r="P1550" s="381" t="s">
        <v>151</v>
      </c>
      <c r="Q1550" s="381"/>
      <c r="R1550" s="381" t="s">
        <v>6911</v>
      </c>
      <c r="S1550" s="381"/>
      <c r="T1550" s="381" t="s">
        <v>3161</v>
      </c>
      <c r="U1550" s="381" t="s">
        <v>152</v>
      </c>
      <c r="V1550" s="381" t="s">
        <v>23</v>
      </c>
    </row>
    <row r="1551" spans="2:22">
      <c r="B1551" s="383">
        <v>46260</v>
      </c>
      <c r="C1551" s="383">
        <v>46260</v>
      </c>
      <c r="D1551" s="381" t="s">
        <v>6912</v>
      </c>
      <c r="E1551" s="382" t="s">
        <v>6913</v>
      </c>
      <c r="F1551" s="381" t="s">
        <v>87</v>
      </c>
      <c r="G1551" s="381" t="s">
        <v>2515</v>
      </c>
      <c r="H1551" s="387">
        <v>50</v>
      </c>
      <c r="I1551" s="381">
        <v>40.799999999999997</v>
      </c>
      <c r="J1551" s="381">
        <v>40.799999999999997</v>
      </c>
      <c r="K1551" s="381">
        <v>5</v>
      </c>
      <c r="L1551" s="381">
        <v>0</v>
      </c>
      <c r="M1551" s="381" t="s">
        <v>148</v>
      </c>
      <c r="N1551" s="381" t="s">
        <v>149</v>
      </c>
      <c r="O1551" s="381" t="s">
        <v>150</v>
      </c>
      <c r="P1551" s="381" t="s">
        <v>151</v>
      </c>
      <c r="Q1551" s="381"/>
      <c r="R1551" s="381" t="s">
        <v>6913</v>
      </c>
      <c r="S1551" s="381"/>
      <c r="T1551" s="381" t="s">
        <v>3161</v>
      </c>
      <c r="U1551" s="381" t="s">
        <v>152</v>
      </c>
      <c r="V1551" s="381" t="s">
        <v>23</v>
      </c>
    </row>
    <row r="1552" spans="2:22">
      <c r="B1552" s="383">
        <v>46260</v>
      </c>
      <c r="C1552" s="383">
        <v>46260</v>
      </c>
      <c r="D1552" s="381" t="s">
        <v>6914</v>
      </c>
      <c r="E1552" s="382" t="s">
        <v>6915</v>
      </c>
      <c r="F1552" s="381" t="s">
        <v>87</v>
      </c>
      <c r="G1552" s="381" t="s">
        <v>2357</v>
      </c>
      <c r="H1552" s="387">
        <v>40</v>
      </c>
      <c r="I1552" s="381">
        <v>15.8</v>
      </c>
      <c r="J1552" s="381">
        <v>15.8</v>
      </c>
      <c r="K1552" s="381">
        <v>5</v>
      </c>
      <c r="L1552" s="381">
        <v>0</v>
      </c>
      <c r="M1552" s="381" t="s">
        <v>148</v>
      </c>
      <c r="N1552" s="381" t="s">
        <v>149</v>
      </c>
      <c r="O1552" s="381" t="s">
        <v>150</v>
      </c>
      <c r="P1552" s="381" t="s">
        <v>151</v>
      </c>
      <c r="Q1552" s="381"/>
      <c r="R1552" s="381" t="s">
        <v>6915</v>
      </c>
      <c r="S1552" s="381"/>
      <c r="T1552" s="381" t="s">
        <v>3161</v>
      </c>
      <c r="U1552" s="381" t="s">
        <v>152</v>
      </c>
      <c r="V1552" s="381" t="s">
        <v>23</v>
      </c>
    </row>
    <row r="1553" spans="2:22">
      <c r="B1553" s="383">
        <v>46260</v>
      </c>
      <c r="C1553" s="383">
        <v>46260</v>
      </c>
      <c r="D1553" s="381" t="s">
        <v>6916</v>
      </c>
      <c r="E1553" s="382" t="s">
        <v>6917</v>
      </c>
      <c r="F1553" s="381" t="s">
        <v>87</v>
      </c>
      <c r="G1553" s="381" t="s">
        <v>2357</v>
      </c>
      <c r="H1553" s="387">
        <v>40</v>
      </c>
      <c r="I1553" s="381">
        <v>35.4</v>
      </c>
      <c r="J1553" s="381">
        <v>35.4</v>
      </c>
      <c r="K1553" s="381">
        <v>5</v>
      </c>
      <c r="L1553" s="381">
        <v>0</v>
      </c>
      <c r="M1553" s="381" t="s">
        <v>148</v>
      </c>
      <c r="N1553" s="381" t="s">
        <v>149</v>
      </c>
      <c r="O1553" s="381" t="s">
        <v>150</v>
      </c>
      <c r="P1553" s="381" t="s">
        <v>151</v>
      </c>
      <c r="Q1553" s="381"/>
      <c r="R1553" s="381" t="s">
        <v>6917</v>
      </c>
      <c r="S1553" s="381"/>
      <c r="T1553" s="381" t="s">
        <v>3161</v>
      </c>
      <c r="U1553" s="381" t="s">
        <v>152</v>
      </c>
      <c r="V1553" s="381" t="s">
        <v>23</v>
      </c>
    </row>
    <row r="1554" spans="2:22">
      <c r="B1554" s="383">
        <v>46260</v>
      </c>
      <c r="C1554" s="383">
        <v>46260</v>
      </c>
      <c r="D1554" s="381" t="s">
        <v>6918</v>
      </c>
      <c r="E1554" s="382" t="s">
        <v>6919</v>
      </c>
      <c r="F1554" s="381" t="s">
        <v>87</v>
      </c>
      <c r="G1554" s="381" t="s">
        <v>2357</v>
      </c>
      <c r="H1554" s="387">
        <v>40</v>
      </c>
      <c r="I1554" s="381">
        <v>30.8</v>
      </c>
      <c r="J1554" s="381">
        <v>30.8</v>
      </c>
      <c r="K1554" s="381">
        <v>5</v>
      </c>
      <c r="L1554" s="381">
        <v>0</v>
      </c>
      <c r="M1554" s="381" t="s">
        <v>148</v>
      </c>
      <c r="N1554" s="381" t="s">
        <v>149</v>
      </c>
      <c r="O1554" s="381" t="s">
        <v>150</v>
      </c>
      <c r="P1554" s="381" t="s">
        <v>151</v>
      </c>
      <c r="Q1554" s="381"/>
      <c r="R1554" s="381" t="s">
        <v>6919</v>
      </c>
      <c r="S1554" s="381"/>
      <c r="T1554" s="381" t="s">
        <v>3161</v>
      </c>
      <c r="U1554" s="381" t="s">
        <v>152</v>
      </c>
      <c r="V1554" s="381" t="s">
        <v>23</v>
      </c>
    </row>
    <row r="1555" spans="2:22">
      <c r="B1555" s="383">
        <v>46260</v>
      </c>
      <c r="C1555" s="383">
        <v>46260</v>
      </c>
      <c r="D1555" s="381" t="s">
        <v>6920</v>
      </c>
      <c r="E1555" s="382" t="s">
        <v>6921</v>
      </c>
      <c r="F1555" s="381" t="s">
        <v>87</v>
      </c>
      <c r="G1555" s="381" t="s">
        <v>2357</v>
      </c>
      <c r="H1555" s="387">
        <v>40</v>
      </c>
      <c r="I1555" s="381">
        <v>34.799999999999997</v>
      </c>
      <c r="J1555" s="381">
        <v>34.799999999999997</v>
      </c>
      <c r="K1555" s="381">
        <v>5</v>
      </c>
      <c r="L1555" s="381">
        <v>0</v>
      </c>
      <c r="M1555" s="381" t="s">
        <v>148</v>
      </c>
      <c r="N1555" s="381" t="s">
        <v>149</v>
      </c>
      <c r="O1555" s="381" t="s">
        <v>150</v>
      </c>
      <c r="P1555" s="381" t="s">
        <v>151</v>
      </c>
      <c r="Q1555" s="381"/>
      <c r="R1555" s="381" t="s">
        <v>6921</v>
      </c>
      <c r="S1555" s="381"/>
      <c r="T1555" s="381" t="s">
        <v>3161</v>
      </c>
      <c r="U1555" s="381" t="s">
        <v>152</v>
      </c>
      <c r="V1555" s="381" t="s">
        <v>23</v>
      </c>
    </row>
    <row r="1556" spans="2:22">
      <c r="B1556" s="383">
        <v>46260</v>
      </c>
      <c r="C1556" s="383">
        <v>46260</v>
      </c>
      <c r="D1556" s="381" t="s">
        <v>6922</v>
      </c>
      <c r="E1556" s="382" t="s">
        <v>6923</v>
      </c>
      <c r="F1556" s="381" t="s">
        <v>87</v>
      </c>
      <c r="G1556" s="381" t="s">
        <v>2357</v>
      </c>
      <c r="H1556" s="387">
        <v>40</v>
      </c>
      <c r="I1556" s="381">
        <v>30</v>
      </c>
      <c r="J1556" s="381">
        <v>30</v>
      </c>
      <c r="K1556" s="381">
        <v>5</v>
      </c>
      <c r="L1556" s="381">
        <v>0</v>
      </c>
      <c r="M1556" s="381" t="s">
        <v>148</v>
      </c>
      <c r="N1556" s="381" t="s">
        <v>149</v>
      </c>
      <c r="O1556" s="381" t="s">
        <v>150</v>
      </c>
      <c r="P1556" s="381" t="s">
        <v>151</v>
      </c>
      <c r="Q1556" s="381"/>
      <c r="R1556" s="381" t="s">
        <v>6923</v>
      </c>
      <c r="S1556" s="381"/>
      <c r="T1556" s="381" t="s">
        <v>3161</v>
      </c>
      <c r="U1556" s="381" t="s">
        <v>152</v>
      </c>
      <c r="V1556" s="381" t="s">
        <v>23</v>
      </c>
    </row>
    <row r="1557" spans="2:22">
      <c r="B1557" s="383">
        <v>46260</v>
      </c>
      <c r="C1557" s="383">
        <v>46260</v>
      </c>
      <c r="D1557" s="381" t="s">
        <v>6924</v>
      </c>
      <c r="E1557" s="382" t="s">
        <v>6925</v>
      </c>
      <c r="F1557" s="381" t="s">
        <v>87</v>
      </c>
      <c r="G1557" s="381" t="s">
        <v>4512</v>
      </c>
      <c r="H1557" s="387">
        <v>55</v>
      </c>
      <c r="I1557" s="381">
        <v>36.799999999999997</v>
      </c>
      <c r="J1557" s="381">
        <v>36.799999999999997</v>
      </c>
      <c r="K1557" s="381">
        <v>5</v>
      </c>
      <c r="L1557" s="381">
        <v>0</v>
      </c>
      <c r="M1557" s="381" t="s">
        <v>148</v>
      </c>
      <c r="N1557" s="381" t="s">
        <v>149</v>
      </c>
      <c r="O1557" s="381" t="s">
        <v>150</v>
      </c>
      <c r="P1557" s="381" t="s">
        <v>151</v>
      </c>
      <c r="Q1557" s="381"/>
      <c r="R1557" s="381" t="s">
        <v>6925</v>
      </c>
      <c r="S1557" s="381"/>
      <c r="T1557" s="381" t="s">
        <v>3161</v>
      </c>
      <c r="U1557" s="381" t="s">
        <v>152</v>
      </c>
      <c r="V1557" s="381" t="s">
        <v>23</v>
      </c>
    </row>
    <row r="1558" spans="2:22">
      <c r="B1558" s="383">
        <v>46260</v>
      </c>
      <c r="C1558" s="383">
        <v>46260</v>
      </c>
      <c r="D1558" s="381" t="s">
        <v>6926</v>
      </c>
      <c r="E1558" s="382" t="s">
        <v>6927</v>
      </c>
      <c r="F1558" s="381" t="s">
        <v>87</v>
      </c>
      <c r="G1558" s="381" t="s">
        <v>2357</v>
      </c>
      <c r="H1558" s="387">
        <v>40</v>
      </c>
      <c r="I1558" s="381">
        <v>27.4</v>
      </c>
      <c r="J1558" s="381">
        <v>27.4</v>
      </c>
      <c r="K1558" s="381">
        <v>5</v>
      </c>
      <c r="L1558" s="381">
        <v>0</v>
      </c>
      <c r="M1558" s="381" t="s">
        <v>148</v>
      </c>
      <c r="N1558" s="381" t="s">
        <v>149</v>
      </c>
      <c r="O1558" s="381" t="s">
        <v>150</v>
      </c>
      <c r="P1558" s="381" t="s">
        <v>151</v>
      </c>
      <c r="Q1558" s="381"/>
      <c r="R1558" s="381" t="s">
        <v>6927</v>
      </c>
      <c r="S1558" s="381"/>
      <c r="T1558" s="381" t="s">
        <v>3161</v>
      </c>
      <c r="U1558" s="381" t="s">
        <v>152</v>
      </c>
      <c r="V1558" s="381" t="s">
        <v>23</v>
      </c>
    </row>
    <row r="1559" spans="2:22">
      <c r="B1559" s="383">
        <v>46260</v>
      </c>
      <c r="C1559" s="383">
        <v>46260</v>
      </c>
      <c r="D1559" s="381" t="s">
        <v>6928</v>
      </c>
      <c r="E1559" s="382" t="s">
        <v>6929</v>
      </c>
      <c r="F1559" s="381" t="s">
        <v>87</v>
      </c>
      <c r="G1559" s="381" t="s">
        <v>2357</v>
      </c>
      <c r="H1559" s="387">
        <v>40</v>
      </c>
      <c r="I1559" s="381">
        <v>37.6</v>
      </c>
      <c r="J1559" s="381">
        <v>37.6</v>
      </c>
      <c r="K1559" s="381">
        <v>5</v>
      </c>
      <c r="L1559" s="381">
        <v>0</v>
      </c>
      <c r="M1559" s="381" t="s">
        <v>148</v>
      </c>
      <c r="N1559" s="381" t="s">
        <v>149</v>
      </c>
      <c r="O1559" s="381" t="s">
        <v>150</v>
      </c>
      <c r="P1559" s="381" t="s">
        <v>151</v>
      </c>
      <c r="Q1559" s="381"/>
      <c r="R1559" s="381" t="s">
        <v>6929</v>
      </c>
      <c r="S1559" s="381"/>
      <c r="T1559" s="381" t="s">
        <v>3161</v>
      </c>
      <c r="U1559" s="381" t="s">
        <v>152</v>
      </c>
      <c r="V1559" s="381" t="s">
        <v>23</v>
      </c>
    </row>
    <row r="1560" spans="2:22">
      <c r="B1560" s="383">
        <v>46260</v>
      </c>
      <c r="C1560" s="383">
        <v>46260</v>
      </c>
      <c r="D1560" s="381" t="s">
        <v>6930</v>
      </c>
      <c r="E1560" s="382" t="s">
        <v>6931</v>
      </c>
      <c r="F1560" s="381" t="s">
        <v>87</v>
      </c>
      <c r="G1560" s="381" t="s">
        <v>2512</v>
      </c>
      <c r="H1560" s="387">
        <v>40</v>
      </c>
      <c r="I1560" s="381">
        <v>31.8</v>
      </c>
      <c r="J1560" s="381">
        <v>31.8</v>
      </c>
      <c r="K1560" s="381">
        <v>5</v>
      </c>
      <c r="L1560" s="381">
        <v>0</v>
      </c>
      <c r="M1560" s="381" t="s">
        <v>148</v>
      </c>
      <c r="N1560" s="381" t="s">
        <v>149</v>
      </c>
      <c r="O1560" s="381" t="s">
        <v>150</v>
      </c>
      <c r="P1560" s="381" t="s">
        <v>151</v>
      </c>
      <c r="Q1560" s="381"/>
      <c r="R1560" s="381" t="s">
        <v>6931</v>
      </c>
      <c r="S1560" s="381"/>
      <c r="T1560" s="381" t="s">
        <v>3161</v>
      </c>
      <c r="U1560" s="381" t="s">
        <v>152</v>
      </c>
      <c r="V1560" s="381" t="s">
        <v>23</v>
      </c>
    </row>
    <row r="1561" spans="2:22">
      <c r="B1561" s="383">
        <v>46260</v>
      </c>
      <c r="C1561" s="383">
        <v>46260</v>
      </c>
      <c r="D1561" s="381" t="s">
        <v>6932</v>
      </c>
      <c r="E1561" s="382" t="s">
        <v>6933</v>
      </c>
      <c r="F1561" s="381" t="s">
        <v>87</v>
      </c>
      <c r="G1561" s="381" t="s">
        <v>2404</v>
      </c>
      <c r="H1561" s="387">
        <v>40</v>
      </c>
      <c r="I1561" s="381">
        <v>18.8</v>
      </c>
      <c r="J1561" s="381">
        <v>18.8</v>
      </c>
      <c r="K1561" s="381">
        <v>5</v>
      </c>
      <c r="L1561" s="381">
        <v>0</v>
      </c>
      <c r="M1561" s="381" t="s">
        <v>148</v>
      </c>
      <c r="N1561" s="381" t="s">
        <v>149</v>
      </c>
      <c r="O1561" s="381" t="s">
        <v>150</v>
      </c>
      <c r="P1561" s="381" t="s">
        <v>151</v>
      </c>
      <c r="Q1561" s="381"/>
      <c r="R1561" s="381" t="s">
        <v>6933</v>
      </c>
      <c r="S1561" s="381"/>
      <c r="T1561" s="381" t="s">
        <v>3161</v>
      </c>
      <c r="U1561" s="381" t="s">
        <v>152</v>
      </c>
      <c r="V1561" s="381" t="s">
        <v>23</v>
      </c>
    </row>
    <row r="1562" spans="2:22">
      <c r="B1562" s="383">
        <v>46260</v>
      </c>
      <c r="C1562" s="383">
        <v>46260</v>
      </c>
      <c r="D1562" s="381" t="s">
        <v>6934</v>
      </c>
      <c r="E1562" s="382" t="s">
        <v>6935</v>
      </c>
      <c r="F1562" s="381" t="s">
        <v>87</v>
      </c>
      <c r="G1562" s="381" t="s">
        <v>6460</v>
      </c>
      <c r="H1562" s="387">
        <v>6</v>
      </c>
      <c r="I1562" s="381">
        <v>15</v>
      </c>
      <c r="J1562" s="381">
        <v>15</v>
      </c>
      <c r="K1562" s="381">
        <v>1.5</v>
      </c>
      <c r="L1562" s="381">
        <v>0</v>
      </c>
      <c r="M1562" s="381" t="s">
        <v>148</v>
      </c>
      <c r="N1562" s="381" t="s">
        <v>149</v>
      </c>
      <c r="O1562" s="381" t="s">
        <v>150</v>
      </c>
      <c r="P1562" s="381" t="s">
        <v>151</v>
      </c>
      <c r="Q1562" s="381"/>
      <c r="R1562" s="381" t="s">
        <v>6935</v>
      </c>
      <c r="S1562" s="381"/>
      <c r="T1562" s="381" t="s">
        <v>3161</v>
      </c>
      <c r="U1562" s="381" t="s">
        <v>152</v>
      </c>
      <c r="V1562" s="381" t="s">
        <v>23</v>
      </c>
    </row>
    <row r="1563" spans="2:22">
      <c r="B1563" s="383">
        <v>46260</v>
      </c>
      <c r="C1563" s="383">
        <v>46260</v>
      </c>
      <c r="D1563" s="381" t="s">
        <v>6936</v>
      </c>
      <c r="E1563" s="382" t="s">
        <v>6937</v>
      </c>
      <c r="F1563" s="381" t="s">
        <v>87</v>
      </c>
      <c r="G1563" s="381" t="s">
        <v>2515</v>
      </c>
      <c r="H1563" s="387">
        <v>50</v>
      </c>
      <c r="I1563" s="381">
        <v>40.799999999999997</v>
      </c>
      <c r="J1563" s="381">
        <v>40.799999999999997</v>
      </c>
      <c r="K1563" s="381">
        <v>5</v>
      </c>
      <c r="L1563" s="381">
        <v>0</v>
      </c>
      <c r="M1563" s="381" t="s">
        <v>148</v>
      </c>
      <c r="N1563" s="381" t="s">
        <v>149</v>
      </c>
      <c r="O1563" s="381" t="s">
        <v>150</v>
      </c>
      <c r="P1563" s="381" t="s">
        <v>151</v>
      </c>
      <c r="Q1563" s="381"/>
      <c r="R1563" s="381" t="s">
        <v>6937</v>
      </c>
      <c r="S1563" s="381"/>
      <c r="T1563" s="381" t="s">
        <v>3161</v>
      </c>
      <c r="U1563" s="381" t="s">
        <v>152</v>
      </c>
      <c r="V1563" s="381" t="s">
        <v>23</v>
      </c>
    </row>
    <row r="1564" spans="2:22">
      <c r="B1564" s="383">
        <v>46260</v>
      </c>
      <c r="C1564" s="383">
        <v>46260</v>
      </c>
      <c r="D1564" s="381" t="s">
        <v>6938</v>
      </c>
      <c r="E1564" s="382" t="s">
        <v>6939</v>
      </c>
      <c r="F1564" s="381" t="s">
        <v>87</v>
      </c>
      <c r="G1564" s="381" t="s">
        <v>2404</v>
      </c>
      <c r="H1564" s="387">
        <v>40</v>
      </c>
      <c r="I1564" s="381">
        <v>32.299999999999997</v>
      </c>
      <c r="J1564" s="381">
        <v>32.299999999999997</v>
      </c>
      <c r="K1564" s="381">
        <v>5</v>
      </c>
      <c r="L1564" s="381">
        <v>0</v>
      </c>
      <c r="M1564" s="381" t="s">
        <v>148</v>
      </c>
      <c r="N1564" s="381" t="s">
        <v>149</v>
      </c>
      <c r="O1564" s="381" t="s">
        <v>150</v>
      </c>
      <c r="P1564" s="381" t="s">
        <v>151</v>
      </c>
      <c r="Q1564" s="381"/>
      <c r="R1564" s="381" t="s">
        <v>6939</v>
      </c>
      <c r="S1564" s="381"/>
      <c r="T1564" s="381" t="s">
        <v>3161</v>
      </c>
      <c r="U1564" s="381" t="s">
        <v>152</v>
      </c>
      <c r="V1564" s="381" t="s">
        <v>23</v>
      </c>
    </row>
    <row r="1565" spans="2:22">
      <c r="B1565" s="383">
        <v>46260</v>
      </c>
      <c r="C1565" s="383">
        <v>46260</v>
      </c>
      <c r="D1565" s="381" t="s">
        <v>6940</v>
      </c>
      <c r="E1565" s="382" t="s">
        <v>6941</v>
      </c>
      <c r="F1565" s="381" t="s">
        <v>87</v>
      </c>
      <c r="G1565" s="381" t="s">
        <v>6008</v>
      </c>
      <c r="H1565" s="387">
        <v>30</v>
      </c>
      <c r="I1565" s="381">
        <v>40</v>
      </c>
      <c r="J1565" s="381">
        <v>40</v>
      </c>
      <c r="K1565" s="381">
        <v>4</v>
      </c>
      <c r="L1565" s="381">
        <v>0</v>
      </c>
      <c r="M1565" s="381" t="s">
        <v>148</v>
      </c>
      <c r="N1565" s="381" t="s">
        <v>149</v>
      </c>
      <c r="O1565" s="381" t="s">
        <v>150</v>
      </c>
      <c r="P1565" s="381" t="s">
        <v>151</v>
      </c>
      <c r="Q1565" s="381"/>
      <c r="R1565" s="381" t="s">
        <v>6941</v>
      </c>
      <c r="S1565" s="381"/>
      <c r="T1565" s="381" t="s">
        <v>3161</v>
      </c>
      <c r="U1565" s="381" t="s">
        <v>152</v>
      </c>
      <c r="V1565" s="381" t="s">
        <v>23</v>
      </c>
    </row>
    <row r="1566" spans="2:22">
      <c r="B1566" s="383">
        <v>46260</v>
      </c>
      <c r="C1566" s="383">
        <v>46260</v>
      </c>
      <c r="D1566" s="381" t="s">
        <v>6942</v>
      </c>
      <c r="E1566" s="382" t="s">
        <v>6943</v>
      </c>
      <c r="F1566" s="381" t="s">
        <v>87</v>
      </c>
      <c r="G1566" s="381" t="s">
        <v>2358</v>
      </c>
      <c r="H1566" s="387">
        <v>30</v>
      </c>
      <c r="I1566" s="381">
        <v>33</v>
      </c>
      <c r="J1566" s="381">
        <v>33</v>
      </c>
      <c r="K1566" s="381">
        <v>4</v>
      </c>
      <c r="L1566" s="381">
        <v>0</v>
      </c>
      <c r="M1566" s="381" t="s">
        <v>148</v>
      </c>
      <c r="N1566" s="381" t="s">
        <v>149</v>
      </c>
      <c r="O1566" s="381" t="s">
        <v>150</v>
      </c>
      <c r="P1566" s="381" t="s">
        <v>151</v>
      </c>
      <c r="Q1566" s="381"/>
      <c r="R1566" s="381" t="s">
        <v>6943</v>
      </c>
      <c r="S1566" s="381"/>
      <c r="T1566" s="381" t="s">
        <v>3161</v>
      </c>
      <c r="U1566" s="381" t="s">
        <v>152</v>
      </c>
      <c r="V1566" s="381" t="s">
        <v>23</v>
      </c>
    </row>
    <row r="1567" spans="2:22">
      <c r="B1567" s="383">
        <v>46260</v>
      </c>
      <c r="C1567" s="383">
        <v>46260</v>
      </c>
      <c r="D1567" s="381" t="s">
        <v>6944</v>
      </c>
      <c r="E1567" s="382" t="s">
        <v>6945</v>
      </c>
      <c r="F1567" s="381" t="s">
        <v>87</v>
      </c>
      <c r="G1567" s="381" t="s">
        <v>4512</v>
      </c>
      <c r="H1567" s="387">
        <v>55</v>
      </c>
      <c r="I1567" s="381">
        <v>38.799999999999997</v>
      </c>
      <c r="J1567" s="381">
        <v>38.799999999999997</v>
      </c>
      <c r="K1567" s="381">
        <v>5</v>
      </c>
      <c r="L1567" s="381">
        <v>0</v>
      </c>
      <c r="M1567" s="381" t="s">
        <v>148</v>
      </c>
      <c r="N1567" s="381" t="s">
        <v>149</v>
      </c>
      <c r="O1567" s="381" t="s">
        <v>150</v>
      </c>
      <c r="P1567" s="381" t="s">
        <v>151</v>
      </c>
      <c r="Q1567" s="381"/>
      <c r="R1567" s="381" t="s">
        <v>6945</v>
      </c>
      <c r="S1567" s="381"/>
      <c r="T1567" s="381" t="s">
        <v>3161</v>
      </c>
      <c r="U1567" s="381" t="s">
        <v>152</v>
      </c>
      <c r="V1567" s="381" t="s">
        <v>23</v>
      </c>
    </row>
    <row r="1568" spans="2:22">
      <c r="B1568" s="383">
        <v>46260</v>
      </c>
      <c r="C1568" s="383">
        <v>46260</v>
      </c>
      <c r="D1568" s="381" t="s">
        <v>6946</v>
      </c>
      <c r="E1568" s="382" t="s">
        <v>6947</v>
      </c>
      <c r="F1568" s="381" t="s">
        <v>87</v>
      </c>
      <c r="G1568" s="381" t="s">
        <v>6008</v>
      </c>
      <c r="H1568" s="387">
        <v>30</v>
      </c>
      <c r="I1568" s="381">
        <v>46.4</v>
      </c>
      <c r="J1568" s="381">
        <v>46.4</v>
      </c>
      <c r="K1568" s="381">
        <v>4</v>
      </c>
      <c r="L1568" s="381">
        <v>0</v>
      </c>
      <c r="M1568" s="381" t="s">
        <v>148</v>
      </c>
      <c r="N1568" s="381" t="s">
        <v>149</v>
      </c>
      <c r="O1568" s="381" t="s">
        <v>150</v>
      </c>
      <c r="P1568" s="381" t="s">
        <v>151</v>
      </c>
      <c r="Q1568" s="381"/>
      <c r="R1568" s="381" t="s">
        <v>6947</v>
      </c>
      <c r="S1568" s="381"/>
      <c r="T1568" s="381" t="s">
        <v>3161</v>
      </c>
      <c r="U1568" s="381" t="s">
        <v>152</v>
      </c>
      <c r="V1568" s="381" t="s">
        <v>23</v>
      </c>
    </row>
    <row r="1569" spans="2:22">
      <c r="B1569" s="383">
        <v>46260</v>
      </c>
      <c r="C1569" s="383">
        <v>46260</v>
      </c>
      <c r="D1569" s="381" t="s">
        <v>6948</v>
      </c>
      <c r="E1569" s="382" t="s">
        <v>6949</v>
      </c>
      <c r="F1569" s="381" t="s">
        <v>87</v>
      </c>
      <c r="G1569" s="381" t="s">
        <v>6008</v>
      </c>
      <c r="H1569" s="387">
        <v>30</v>
      </c>
      <c r="I1569" s="381">
        <v>45.8</v>
      </c>
      <c r="J1569" s="381">
        <v>45.8</v>
      </c>
      <c r="K1569" s="381">
        <v>4</v>
      </c>
      <c r="L1569" s="381">
        <v>0</v>
      </c>
      <c r="M1569" s="381" t="s">
        <v>148</v>
      </c>
      <c r="N1569" s="381" t="s">
        <v>149</v>
      </c>
      <c r="O1569" s="381" t="s">
        <v>150</v>
      </c>
      <c r="P1569" s="381" t="s">
        <v>151</v>
      </c>
      <c r="Q1569" s="381"/>
      <c r="R1569" s="381" t="s">
        <v>6949</v>
      </c>
      <c r="S1569" s="381"/>
      <c r="T1569" s="381" t="s">
        <v>3161</v>
      </c>
      <c r="U1569" s="381" t="s">
        <v>152</v>
      </c>
      <c r="V1569" s="381" t="s">
        <v>23</v>
      </c>
    </row>
    <row r="1570" spans="2:22">
      <c r="B1570" s="383">
        <v>46260</v>
      </c>
      <c r="C1570" s="383">
        <v>46260</v>
      </c>
      <c r="D1570" s="381" t="s">
        <v>6950</v>
      </c>
      <c r="E1570" s="382" t="s">
        <v>6951</v>
      </c>
      <c r="F1570" s="381" t="s">
        <v>87</v>
      </c>
      <c r="G1570" s="381" t="s">
        <v>2358</v>
      </c>
      <c r="H1570" s="387">
        <v>30</v>
      </c>
      <c r="I1570" s="381">
        <v>10.4</v>
      </c>
      <c r="J1570" s="381">
        <v>10.4</v>
      </c>
      <c r="K1570" s="381">
        <v>4</v>
      </c>
      <c r="L1570" s="381">
        <v>0</v>
      </c>
      <c r="M1570" s="381" t="s">
        <v>148</v>
      </c>
      <c r="N1570" s="381" t="s">
        <v>149</v>
      </c>
      <c r="O1570" s="381" t="s">
        <v>150</v>
      </c>
      <c r="P1570" s="381" t="s">
        <v>151</v>
      </c>
      <c r="Q1570" s="381"/>
      <c r="R1570" s="381" t="s">
        <v>6951</v>
      </c>
      <c r="S1570" s="381"/>
      <c r="T1570" s="381" t="s">
        <v>3161</v>
      </c>
      <c r="U1570" s="381" t="s">
        <v>152</v>
      </c>
      <c r="V1570" s="381" t="s">
        <v>23</v>
      </c>
    </row>
    <row r="1571" spans="2:22">
      <c r="B1571" s="383">
        <v>46260</v>
      </c>
      <c r="C1571" s="383">
        <v>46260</v>
      </c>
      <c r="D1571" s="381" t="s">
        <v>6952</v>
      </c>
      <c r="E1571" s="382" t="s">
        <v>6953</v>
      </c>
      <c r="F1571" s="381" t="s">
        <v>87</v>
      </c>
      <c r="G1571" s="381" t="s">
        <v>2358</v>
      </c>
      <c r="H1571" s="387">
        <v>30</v>
      </c>
      <c r="I1571" s="381">
        <v>38.799999999999997</v>
      </c>
      <c r="J1571" s="381">
        <v>38.799999999999997</v>
      </c>
      <c r="K1571" s="381">
        <v>4</v>
      </c>
      <c r="L1571" s="381">
        <v>0</v>
      </c>
      <c r="M1571" s="381" t="s">
        <v>148</v>
      </c>
      <c r="N1571" s="381" t="s">
        <v>149</v>
      </c>
      <c r="O1571" s="381" t="s">
        <v>150</v>
      </c>
      <c r="P1571" s="381" t="s">
        <v>151</v>
      </c>
      <c r="Q1571" s="381"/>
      <c r="R1571" s="381" t="s">
        <v>6953</v>
      </c>
      <c r="S1571" s="381"/>
      <c r="T1571" s="381" t="s">
        <v>3161</v>
      </c>
      <c r="U1571" s="381" t="s">
        <v>152</v>
      </c>
      <c r="V1571" s="381" t="s">
        <v>23</v>
      </c>
    </row>
    <row r="1572" spans="2:22">
      <c r="B1572" s="383">
        <v>46260</v>
      </c>
      <c r="C1572" s="383">
        <v>46260</v>
      </c>
      <c r="D1572" s="381" t="s">
        <v>6954</v>
      </c>
      <c r="E1572" s="382" t="s">
        <v>6955</v>
      </c>
      <c r="F1572" s="381" t="s">
        <v>87</v>
      </c>
      <c r="G1572" s="381" t="s">
        <v>2357</v>
      </c>
      <c r="H1572" s="387">
        <v>40</v>
      </c>
      <c r="I1572" s="381">
        <v>21.5</v>
      </c>
      <c r="J1572" s="381">
        <v>21.5</v>
      </c>
      <c r="K1572" s="381">
        <v>5</v>
      </c>
      <c r="L1572" s="381">
        <v>0</v>
      </c>
      <c r="M1572" s="381" t="s">
        <v>148</v>
      </c>
      <c r="N1572" s="381" t="s">
        <v>149</v>
      </c>
      <c r="O1572" s="381" t="s">
        <v>150</v>
      </c>
      <c r="P1572" s="381" t="s">
        <v>151</v>
      </c>
      <c r="Q1572" s="381"/>
      <c r="R1572" s="381" t="s">
        <v>6955</v>
      </c>
      <c r="S1572" s="381"/>
      <c r="T1572" s="381" t="s">
        <v>3161</v>
      </c>
      <c r="U1572" s="381" t="s">
        <v>152</v>
      </c>
      <c r="V1572" s="381" t="s">
        <v>23</v>
      </c>
    </row>
    <row r="1573" spans="2:22">
      <c r="B1573" s="383">
        <v>46260</v>
      </c>
      <c r="C1573" s="383">
        <v>46260</v>
      </c>
      <c r="D1573" s="381" t="s">
        <v>6956</v>
      </c>
      <c r="E1573" s="382" t="s">
        <v>6957</v>
      </c>
      <c r="F1573" s="381" t="s">
        <v>87</v>
      </c>
      <c r="G1573" s="381" t="s">
        <v>2357</v>
      </c>
      <c r="H1573" s="387">
        <v>40</v>
      </c>
      <c r="I1573" s="381">
        <v>37.299999999999997</v>
      </c>
      <c r="J1573" s="381">
        <v>37.299999999999997</v>
      </c>
      <c r="K1573" s="381">
        <v>5</v>
      </c>
      <c r="L1573" s="381">
        <v>0</v>
      </c>
      <c r="M1573" s="381" t="s">
        <v>148</v>
      </c>
      <c r="N1573" s="381" t="s">
        <v>149</v>
      </c>
      <c r="O1573" s="381" t="s">
        <v>150</v>
      </c>
      <c r="P1573" s="381" t="s">
        <v>151</v>
      </c>
      <c r="Q1573" s="381"/>
      <c r="R1573" s="381" t="s">
        <v>6957</v>
      </c>
      <c r="S1573" s="381"/>
      <c r="T1573" s="381" t="s">
        <v>3161</v>
      </c>
      <c r="U1573" s="381" t="s">
        <v>152</v>
      </c>
      <c r="V1573" s="381" t="s">
        <v>23</v>
      </c>
    </row>
    <row r="1574" spans="2:22">
      <c r="B1574" s="383">
        <v>46260</v>
      </c>
      <c r="C1574" s="383">
        <v>46260</v>
      </c>
      <c r="D1574" s="381" t="s">
        <v>6958</v>
      </c>
      <c r="E1574" s="382" t="s">
        <v>6959</v>
      </c>
      <c r="F1574" s="381" t="s">
        <v>87</v>
      </c>
      <c r="G1574" s="381" t="s">
        <v>2357</v>
      </c>
      <c r="H1574" s="387">
        <v>40</v>
      </c>
      <c r="I1574" s="381">
        <v>32.799999999999997</v>
      </c>
      <c r="J1574" s="381">
        <v>32.799999999999997</v>
      </c>
      <c r="K1574" s="381">
        <v>5</v>
      </c>
      <c r="L1574" s="381">
        <v>0</v>
      </c>
      <c r="M1574" s="381" t="s">
        <v>148</v>
      </c>
      <c r="N1574" s="381" t="s">
        <v>149</v>
      </c>
      <c r="O1574" s="381" t="s">
        <v>150</v>
      </c>
      <c r="P1574" s="381" t="s">
        <v>151</v>
      </c>
      <c r="Q1574" s="381"/>
      <c r="R1574" s="381" t="s">
        <v>6959</v>
      </c>
      <c r="S1574" s="381"/>
      <c r="T1574" s="381" t="s">
        <v>3161</v>
      </c>
      <c r="U1574" s="381" t="s">
        <v>152</v>
      </c>
      <c r="V1574" s="381" t="s">
        <v>23</v>
      </c>
    </row>
    <row r="1575" spans="2:22">
      <c r="B1575" s="383">
        <v>46260</v>
      </c>
      <c r="C1575" s="383">
        <v>46260</v>
      </c>
      <c r="D1575" s="381" t="s">
        <v>6960</v>
      </c>
      <c r="E1575" s="382" t="s">
        <v>6961</v>
      </c>
      <c r="F1575" s="381" t="s">
        <v>87</v>
      </c>
      <c r="G1575" s="381" t="s">
        <v>2404</v>
      </c>
      <c r="H1575" s="387">
        <v>40</v>
      </c>
      <c r="I1575" s="381">
        <v>39.6</v>
      </c>
      <c r="J1575" s="381">
        <v>39.6</v>
      </c>
      <c r="K1575" s="381">
        <v>5</v>
      </c>
      <c r="L1575" s="381">
        <v>0</v>
      </c>
      <c r="M1575" s="381" t="s">
        <v>148</v>
      </c>
      <c r="N1575" s="381" t="s">
        <v>149</v>
      </c>
      <c r="O1575" s="381" t="s">
        <v>150</v>
      </c>
      <c r="P1575" s="381" t="s">
        <v>151</v>
      </c>
      <c r="Q1575" s="381"/>
      <c r="R1575" s="381" t="s">
        <v>6961</v>
      </c>
      <c r="S1575" s="381"/>
      <c r="T1575" s="381" t="s">
        <v>3161</v>
      </c>
      <c r="U1575" s="381" t="s">
        <v>152</v>
      </c>
      <c r="V1575" s="381" t="s">
        <v>23</v>
      </c>
    </row>
    <row r="1576" spans="2:22">
      <c r="B1576" s="383">
        <v>46260</v>
      </c>
      <c r="C1576" s="383">
        <v>46260</v>
      </c>
      <c r="D1576" s="381" t="s">
        <v>6962</v>
      </c>
      <c r="E1576" s="382" t="s">
        <v>6963</v>
      </c>
      <c r="F1576" s="381" t="s">
        <v>87</v>
      </c>
      <c r="G1576" s="381" t="s">
        <v>2358</v>
      </c>
      <c r="H1576" s="387">
        <v>30</v>
      </c>
      <c r="I1576" s="381">
        <v>28</v>
      </c>
      <c r="J1576" s="381">
        <v>28</v>
      </c>
      <c r="K1576" s="381">
        <v>4</v>
      </c>
      <c r="L1576" s="381">
        <v>0</v>
      </c>
      <c r="M1576" s="381" t="s">
        <v>148</v>
      </c>
      <c r="N1576" s="381" t="s">
        <v>149</v>
      </c>
      <c r="O1576" s="381" t="s">
        <v>150</v>
      </c>
      <c r="P1576" s="381" t="s">
        <v>151</v>
      </c>
      <c r="Q1576" s="381"/>
      <c r="R1576" s="381" t="s">
        <v>6963</v>
      </c>
      <c r="S1576" s="381"/>
      <c r="T1576" s="381" t="s">
        <v>3161</v>
      </c>
      <c r="U1576" s="381" t="s">
        <v>152</v>
      </c>
      <c r="V1576" s="381" t="s">
        <v>23</v>
      </c>
    </row>
    <row r="1577" spans="2:22">
      <c r="B1577" s="383">
        <v>46260</v>
      </c>
      <c r="C1577" s="383">
        <v>46260</v>
      </c>
      <c r="D1577" s="381" t="s">
        <v>6964</v>
      </c>
      <c r="E1577" s="382" t="s">
        <v>6965</v>
      </c>
      <c r="F1577" s="381" t="s">
        <v>87</v>
      </c>
      <c r="G1577" s="381" t="s">
        <v>2404</v>
      </c>
      <c r="H1577" s="387">
        <v>40</v>
      </c>
      <c r="I1577" s="381">
        <v>19.3</v>
      </c>
      <c r="J1577" s="381">
        <v>19.3</v>
      </c>
      <c r="K1577" s="381">
        <v>5</v>
      </c>
      <c r="L1577" s="381">
        <v>0</v>
      </c>
      <c r="M1577" s="381" t="s">
        <v>148</v>
      </c>
      <c r="N1577" s="381" t="s">
        <v>149</v>
      </c>
      <c r="O1577" s="381" t="s">
        <v>150</v>
      </c>
      <c r="P1577" s="381" t="s">
        <v>151</v>
      </c>
      <c r="Q1577" s="381"/>
      <c r="R1577" s="381" t="s">
        <v>6965</v>
      </c>
      <c r="S1577" s="381"/>
      <c r="T1577" s="381" t="s">
        <v>3161</v>
      </c>
      <c r="U1577" s="381" t="s">
        <v>152</v>
      </c>
      <c r="V1577" s="381" t="s">
        <v>23</v>
      </c>
    </row>
    <row r="1578" spans="2:22">
      <c r="B1578" s="383">
        <v>46260</v>
      </c>
      <c r="C1578" s="383">
        <v>46260</v>
      </c>
      <c r="D1578" s="381" t="s">
        <v>6966</v>
      </c>
      <c r="E1578" s="382" t="s">
        <v>6967</v>
      </c>
      <c r="F1578" s="381" t="s">
        <v>87</v>
      </c>
      <c r="G1578" s="381" t="s">
        <v>6008</v>
      </c>
      <c r="H1578" s="387">
        <v>30</v>
      </c>
      <c r="I1578" s="381">
        <v>34.299999999999997</v>
      </c>
      <c r="J1578" s="381">
        <v>34.299999999999997</v>
      </c>
      <c r="K1578" s="381">
        <v>4</v>
      </c>
      <c r="L1578" s="381">
        <v>0</v>
      </c>
      <c r="M1578" s="381" t="s">
        <v>148</v>
      </c>
      <c r="N1578" s="381" t="s">
        <v>149</v>
      </c>
      <c r="O1578" s="381" t="s">
        <v>150</v>
      </c>
      <c r="P1578" s="381" t="s">
        <v>151</v>
      </c>
      <c r="Q1578" s="381"/>
      <c r="R1578" s="381" t="s">
        <v>6967</v>
      </c>
      <c r="S1578" s="381"/>
      <c r="T1578" s="381" t="s">
        <v>3161</v>
      </c>
      <c r="U1578" s="381" t="s">
        <v>152</v>
      </c>
      <c r="V1578" s="381" t="s">
        <v>23</v>
      </c>
    </row>
    <row r="1579" spans="2:22">
      <c r="B1579" s="383">
        <v>46260</v>
      </c>
      <c r="C1579" s="383">
        <v>46260</v>
      </c>
      <c r="D1579" s="381" t="s">
        <v>6968</v>
      </c>
      <c r="E1579" s="382" t="s">
        <v>6969</v>
      </c>
      <c r="F1579" s="381" t="s">
        <v>87</v>
      </c>
      <c r="G1579" s="381" t="s">
        <v>2404</v>
      </c>
      <c r="H1579" s="387">
        <v>40</v>
      </c>
      <c r="I1579" s="381">
        <v>41.8</v>
      </c>
      <c r="J1579" s="381">
        <v>41.8</v>
      </c>
      <c r="K1579" s="381">
        <v>5</v>
      </c>
      <c r="L1579" s="381">
        <v>0</v>
      </c>
      <c r="M1579" s="381" t="s">
        <v>148</v>
      </c>
      <c r="N1579" s="381" t="s">
        <v>149</v>
      </c>
      <c r="O1579" s="381" t="s">
        <v>150</v>
      </c>
      <c r="P1579" s="381" t="s">
        <v>151</v>
      </c>
      <c r="Q1579" s="381"/>
      <c r="R1579" s="381" t="s">
        <v>6969</v>
      </c>
      <c r="S1579" s="381"/>
      <c r="T1579" s="381" t="s">
        <v>3161</v>
      </c>
      <c r="U1579" s="381" t="s">
        <v>152</v>
      </c>
      <c r="V1579" s="381" t="s">
        <v>23</v>
      </c>
    </row>
    <row r="1580" spans="2:22">
      <c r="B1580" s="383">
        <v>46260</v>
      </c>
      <c r="C1580" s="383">
        <v>46260</v>
      </c>
      <c r="D1580" s="381" t="s">
        <v>6970</v>
      </c>
      <c r="E1580" s="382" t="s">
        <v>6971</v>
      </c>
      <c r="F1580" s="381" t="s">
        <v>87</v>
      </c>
      <c r="G1580" s="381" t="s">
        <v>2357</v>
      </c>
      <c r="H1580" s="387">
        <v>40</v>
      </c>
      <c r="I1580" s="381">
        <v>27.8</v>
      </c>
      <c r="J1580" s="381">
        <v>27.8</v>
      </c>
      <c r="K1580" s="381">
        <v>5</v>
      </c>
      <c r="L1580" s="381">
        <v>0</v>
      </c>
      <c r="M1580" s="381" t="s">
        <v>148</v>
      </c>
      <c r="N1580" s="381" t="s">
        <v>149</v>
      </c>
      <c r="O1580" s="381" t="s">
        <v>150</v>
      </c>
      <c r="P1580" s="381" t="s">
        <v>151</v>
      </c>
      <c r="Q1580" s="381"/>
      <c r="R1580" s="381" t="s">
        <v>6971</v>
      </c>
      <c r="S1580" s="381"/>
      <c r="T1580" s="381" t="s">
        <v>3161</v>
      </c>
      <c r="U1580" s="381" t="s">
        <v>152</v>
      </c>
      <c r="V1580" s="381" t="s">
        <v>23</v>
      </c>
    </row>
    <row r="1581" spans="2:22">
      <c r="B1581" s="383">
        <v>46260</v>
      </c>
      <c r="C1581" s="383">
        <v>46260</v>
      </c>
      <c r="D1581" s="381" t="s">
        <v>6972</v>
      </c>
      <c r="E1581" s="382" t="s">
        <v>6973</v>
      </c>
      <c r="F1581" s="381" t="s">
        <v>87</v>
      </c>
      <c r="G1581" s="381" t="s">
        <v>6008</v>
      </c>
      <c r="H1581" s="387">
        <v>30</v>
      </c>
      <c r="I1581" s="381">
        <v>31.8</v>
      </c>
      <c r="J1581" s="381">
        <v>31.8</v>
      </c>
      <c r="K1581" s="381">
        <v>4</v>
      </c>
      <c r="L1581" s="381">
        <v>0</v>
      </c>
      <c r="M1581" s="381" t="s">
        <v>148</v>
      </c>
      <c r="N1581" s="381" t="s">
        <v>149</v>
      </c>
      <c r="O1581" s="381" t="s">
        <v>150</v>
      </c>
      <c r="P1581" s="381" t="s">
        <v>151</v>
      </c>
      <c r="Q1581" s="381"/>
      <c r="R1581" s="381" t="s">
        <v>6973</v>
      </c>
      <c r="S1581" s="381"/>
      <c r="T1581" s="381" t="s">
        <v>3161</v>
      </c>
      <c r="U1581" s="381" t="s">
        <v>152</v>
      </c>
      <c r="V1581" s="381" t="s">
        <v>23</v>
      </c>
    </row>
    <row r="1582" spans="2:22">
      <c r="B1582" s="383">
        <v>46260</v>
      </c>
      <c r="C1582" s="383">
        <v>46260</v>
      </c>
      <c r="D1582" s="381" t="s">
        <v>6974</v>
      </c>
      <c r="E1582" s="382" t="s">
        <v>6975</v>
      </c>
      <c r="F1582" s="381" t="s">
        <v>87</v>
      </c>
      <c r="G1582" s="381" t="s">
        <v>6008</v>
      </c>
      <c r="H1582" s="387">
        <v>30</v>
      </c>
      <c r="I1582" s="381">
        <v>9.3000000000000007</v>
      </c>
      <c r="J1582" s="381">
        <v>9.3000000000000007</v>
      </c>
      <c r="K1582" s="381">
        <v>4</v>
      </c>
      <c r="L1582" s="381">
        <v>0</v>
      </c>
      <c r="M1582" s="381" t="s">
        <v>148</v>
      </c>
      <c r="N1582" s="381" t="s">
        <v>149</v>
      </c>
      <c r="O1582" s="381" t="s">
        <v>150</v>
      </c>
      <c r="P1582" s="381" t="s">
        <v>151</v>
      </c>
      <c r="Q1582" s="381"/>
      <c r="R1582" s="381" t="s">
        <v>6975</v>
      </c>
      <c r="S1582" s="381"/>
      <c r="T1582" s="381" t="s">
        <v>3161</v>
      </c>
      <c r="U1582" s="381" t="s">
        <v>152</v>
      </c>
      <c r="V1582" s="381" t="s">
        <v>23</v>
      </c>
    </row>
    <row r="1583" spans="2:22">
      <c r="B1583" s="383">
        <v>46260</v>
      </c>
      <c r="C1583" s="383">
        <v>46260</v>
      </c>
      <c r="D1583" s="381" t="s">
        <v>6976</v>
      </c>
      <c r="E1583" s="382" t="s">
        <v>6977</v>
      </c>
      <c r="F1583" s="381" t="s">
        <v>87</v>
      </c>
      <c r="G1583" s="381" t="s">
        <v>2358</v>
      </c>
      <c r="H1583" s="387">
        <v>30</v>
      </c>
      <c r="I1583" s="381">
        <v>21.3</v>
      </c>
      <c r="J1583" s="381">
        <v>21.3</v>
      </c>
      <c r="K1583" s="381">
        <v>4</v>
      </c>
      <c r="L1583" s="381">
        <v>0</v>
      </c>
      <c r="M1583" s="381" t="s">
        <v>148</v>
      </c>
      <c r="N1583" s="381" t="s">
        <v>149</v>
      </c>
      <c r="O1583" s="381" t="s">
        <v>150</v>
      </c>
      <c r="P1583" s="381" t="s">
        <v>151</v>
      </c>
      <c r="Q1583" s="381"/>
      <c r="R1583" s="381" t="s">
        <v>6977</v>
      </c>
      <c r="S1583" s="381"/>
      <c r="T1583" s="381" t="s">
        <v>3161</v>
      </c>
      <c r="U1583" s="381" t="s">
        <v>152</v>
      </c>
      <c r="V1583" s="381" t="s">
        <v>23</v>
      </c>
    </row>
    <row r="1584" spans="2:22">
      <c r="B1584" s="383">
        <v>46260</v>
      </c>
      <c r="C1584" s="383">
        <v>46260</v>
      </c>
      <c r="D1584" s="381" t="s">
        <v>6978</v>
      </c>
      <c r="E1584" s="382" t="s">
        <v>6979</v>
      </c>
      <c r="F1584" s="381" t="s">
        <v>87</v>
      </c>
      <c r="G1584" s="381" t="s">
        <v>2404</v>
      </c>
      <c r="H1584" s="387">
        <v>40</v>
      </c>
      <c r="I1584" s="381">
        <v>45.4</v>
      </c>
      <c r="J1584" s="381">
        <v>45.4</v>
      </c>
      <c r="K1584" s="381">
        <v>5</v>
      </c>
      <c r="L1584" s="381">
        <v>0</v>
      </c>
      <c r="M1584" s="381" t="s">
        <v>148</v>
      </c>
      <c r="N1584" s="381" t="s">
        <v>149</v>
      </c>
      <c r="O1584" s="381" t="s">
        <v>150</v>
      </c>
      <c r="P1584" s="381" t="s">
        <v>151</v>
      </c>
      <c r="Q1584" s="381"/>
      <c r="R1584" s="381" t="s">
        <v>6979</v>
      </c>
      <c r="S1584" s="381"/>
      <c r="T1584" s="381" t="s">
        <v>3161</v>
      </c>
      <c r="U1584" s="381" t="s">
        <v>152</v>
      </c>
      <c r="V1584" s="381" t="s">
        <v>23</v>
      </c>
    </row>
    <row r="1585" spans="2:22">
      <c r="B1585" s="383">
        <v>46260</v>
      </c>
      <c r="C1585" s="383">
        <v>46260</v>
      </c>
      <c r="D1585" s="381" t="s">
        <v>6980</v>
      </c>
      <c r="E1585" s="382" t="s">
        <v>6981</v>
      </c>
      <c r="F1585" s="381" t="s">
        <v>87</v>
      </c>
      <c r="G1585" s="381" t="s">
        <v>2358</v>
      </c>
      <c r="H1585" s="387">
        <v>30</v>
      </c>
      <c r="I1585" s="381">
        <v>28.3</v>
      </c>
      <c r="J1585" s="381">
        <v>28.3</v>
      </c>
      <c r="K1585" s="381">
        <v>4</v>
      </c>
      <c r="L1585" s="381">
        <v>0</v>
      </c>
      <c r="M1585" s="381" t="s">
        <v>148</v>
      </c>
      <c r="N1585" s="381" t="s">
        <v>149</v>
      </c>
      <c r="O1585" s="381" t="s">
        <v>150</v>
      </c>
      <c r="P1585" s="381" t="s">
        <v>151</v>
      </c>
      <c r="Q1585" s="381"/>
      <c r="R1585" s="381" t="s">
        <v>6981</v>
      </c>
      <c r="S1585" s="381"/>
      <c r="T1585" s="381" t="s">
        <v>3161</v>
      </c>
      <c r="U1585" s="381" t="s">
        <v>152</v>
      </c>
      <c r="V1585" s="381" t="s">
        <v>23</v>
      </c>
    </row>
    <row r="1586" spans="2:22">
      <c r="B1586" s="383">
        <v>46260</v>
      </c>
      <c r="C1586" s="383">
        <v>46260</v>
      </c>
      <c r="D1586" s="381" t="s">
        <v>6982</v>
      </c>
      <c r="E1586" s="382" t="s">
        <v>6983</v>
      </c>
      <c r="F1586" s="381" t="s">
        <v>87</v>
      </c>
      <c r="G1586" s="381" t="s">
        <v>2358</v>
      </c>
      <c r="H1586" s="387">
        <v>30</v>
      </c>
      <c r="I1586" s="381">
        <v>26.8</v>
      </c>
      <c r="J1586" s="381">
        <v>26.8</v>
      </c>
      <c r="K1586" s="381">
        <v>4</v>
      </c>
      <c r="L1586" s="381">
        <v>0</v>
      </c>
      <c r="M1586" s="381" t="s">
        <v>148</v>
      </c>
      <c r="N1586" s="381" t="s">
        <v>149</v>
      </c>
      <c r="O1586" s="381" t="s">
        <v>150</v>
      </c>
      <c r="P1586" s="381" t="s">
        <v>151</v>
      </c>
      <c r="Q1586" s="381"/>
      <c r="R1586" s="381" t="s">
        <v>6983</v>
      </c>
      <c r="S1586" s="381"/>
      <c r="T1586" s="381" t="s">
        <v>3161</v>
      </c>
      <c r="U1586" s="381" t="s">
        <v>152</v>
      </c>
      <c r="V1586" s="381" t="s">
        <v>23</v>
      </c>
    </row>
    <row r="1587" spans="2:22">
      <c r="B1587" s="383">
        <v>46260</v>
      </c>
      <c r="C1587" s="383">
        <v>46260</v>
      </c>
      <c r="D1587" s="381" t="s">
        <v>6984</v>
      </c>
      <c r="E1587" s="382" t="s">
        <v>6985</v>
      </c>
      <c r="F1587" s="381" t="s">
        <v>87</v>
      </c>
      <c r="G1587" s="381" t="s">
        <v>2357</v>
      </c>
      <c r="H1587" s="387">
        <v>40</v>
      </c>
      <c r="I1587" s="381">
        <v>36.799999999999997</v>
      </c>
      <c r="J1587" s="381">
        <v>36.799999999999997</v>
      </c>
      <c r="K1587" s="381">
        <v>5</v>
      </c>
      <c r="L1587" s="381">
        <v>0</v>
      </c>
      <c r="M1587" s="381" t="s">
        <v>148</v>
      </c>
      <c r="N1587" s="381" t="s">
        <v>149</v>
      </c>
      <c r="O1587" s="381" t="s">
        <v>150</v>
      </c>
      <c r="P1587" s="381" t="s">
        <v>151</v>
      </c>
      <c r="Q1587" s="381"/>
      <c r="R1587" s="381" t="s">
        <v>6985</v>
      </c>
      <c r="S1587" s="381"/>
      <c r="T1587" s="381" t="s">
        <v>3161</v>
      </c>
      <c r="U1587" s="381" t="s">
        <v>152</v>
      </c>
      <c r="V1587" s="381" t="s">
        <v>23</v>
      </c>
    </row>
    <row r="1588" spans="2:22">
      <c r="B1588" s="383">
        <v>46260</v>
      </c>
      <c r="C1588" s="383">
        <v>46260</v>
      </c>
      <c r="D1588" s="381" t="s">
        <v>6986</v>
      </c>
      <c r="E1588" s="382" t="s">
        <v>6987</v>
      </c>
      <c r="F1588" s="381" t="s">
        <v>87</v>
      </c>
      <c r="G1588" s="381" t="s">
        <v>4512</v>
      </c>
      <c r="H1588" s="387">
        <v>55</v>
      </c>
      <c r="I1588" s="381">
        <v>22.8</v>
      </c>
      <c r="J1588" s="381">
        <v>22.8</v>
      </c>
      <c r="K1588" s="381">
        <v>5</v>
      </c>
      <c r="L1588" s="381">
        <v>0</v>
      </c>
      <c r="M1588" s="381" t="s">
        <v>148</v>
      </c>
      <c r="N1588" s="381" t="s">
        <v>149</v>
      </c>
      <c r="O1588" s="381" t="s">
        <v>150</v>
      </c>
      <c r="P1588" s="381" t="s">
        <v>151</v>
      </c>
      <c r="Q1588" s="381"/>
      <c r="R1588" s="381" t="s">
        <v>6987</v>
      </c>
      <c r="S1588" s="381"/>
      <c r="T1588" s="381" t="s">
        <v>3161</v>
      </c>
      <c r="U1588" s="381" t="s">
        <v>152</v>
      </c>
      <c r="V1588" s="381" t="s">
        <v>23</v>
      </c>
    </row>
    <row r="1589" spans="2:22">
      <c r="B1589" s="383">
        <v>46260</v>
      </c>
      <c r="C1589" s="383">
        <v>46260</v>
      </c>
      <c r="D1589" s="381" t="s">
        <v>6988</v>
      </c>
      <c r="E1589" s="382" t="s">
        <v>6989</v>
      </c>
      <c r="F1589" s="381" t="s">
        <v>87</v>
      </c>
      <c r="G1589" s="381" t="s">
        <v>6008</v>
      </c>
      <c r="H1589" s="387">
        <v>30</v>
      </c>
      <c r="I1589" s="381">
        <v>47.8</v>
      </c>
      <c r="J1589" s="381">
        <v>47.8</v>
      </c>
      <c r="K1589" s="381">
        <v>4</v>
      </c>
      <c r="L1589" s="381">
        <v>0</v>
      </c>
      <c r="M1589" s="381" t="s">
        <v>148</v>
      </c>
      <c r="N1589" s="381" t="s">
        <v>149</v>
      </c>
      <c r="O1589" s="381" t="s">
        <v>150</v>
      </c>
      <c r="P1589" s="381" t="s">
        <v>151</v>
      </c>
      <c r="Q1589" s="381"/>
      <c r="R1589" s="381" t="s">
        <v>6989</v>
      </c>
      <c r="S1589" s="381"/>
      <c r="T1589" s="381" t="s">
        <v>3161</v>
      </c>
      <c r="U1589" s="381" t="s">
        <v>152</v>
      </c>
      <c r="V1589" s="381" t="s">
        <v>23</v>
      </c>
    </row>
    <row r="1590" spans="2:22">
      <c r="B1590" s="383">
        <v>46260</v>
      </c>
      <c r="C1590" s="383">
        <v>46260</v>
      </c>
      <c r="D1590" s="381" t="s">
        <v>6990</v>
      </c>
      <c r="E1590" s="382" t="s">
        <v>6991</v>
      </c>
      <c r="F1590" s="381" t="s">
        <v>87</v>
      </c>
      <c r="G1590" s="381" t="s">
        <v>6008</v>
      </c>
      <c r="H1590" s="387">
        <v>30</v>
      </c>
      <c r="I1590" s="381">
        <v>26.8</v>
      </c>
      <c r="J1590" s="381">
        <v>26.8</v>
      </c>
      <c r="K1590" s="381">
        <v>4</v>
      </c>
      <c r="L1590" s="381">
        <v>0</v>
      </c>
      <c r="M1590" s="381" t="s">
        <v>148</v>
      </c>
      <c r="N1590" s="381" t="s">
        <v>149</v>
      </c>
      <c r="O1590" s="381" t="s">
        <v>150</v>
      </c>
      <c r="P1590" s="381" t="s">
        <v>151</v>
      </c>
      <c r="Q1590" s="381"/>
      <c r="R1590" s="381" t="s">
        <v>6991</v>
      </c>
      <c r="S1590" s="381"/>
      <c r="T1590" s="381" t="s">
        <v>3161</v>
      </c>
      <c r="U1590" s="381" t="s">
        <v>152</v>
      </c>
      <c r="V1590" s="381" t="s">
        <v>23</v>
      </c>
    </row>
    <row r="1591" spans="2:22">
      <c r="B1591" s="383">
        <v>46260</v>
      </c>
      <c r="C1591" s="383">
        <v>46260</v>
      </c>
      <c r="D1591" s="381" t="s">
        <v>6992</v>
      </c>
      <c r="E1591" s="382" t="s">
        <v>6993</v>
      </c>
      <c r="F1591" s="381" t="s">
        <v>87</v>
      </c>
      <c r="G1591" s="381" t="s">
        <v>2358</v>
      </c>
      <c r="H1591" s="387">
        <v>30</v>
      </c>
      <c r="I1591" s="381">
        <v>34.799999999999997</v>
      </c>
      <c r="J1591" s="381">
        <v>34.799999999999997</v>
      </c>
      <c r="K1591" s="381">
        <v>4</v>
      </c>
      <c r="L1591" s="381">
        <v>0</v>
      </c>
      <c r="M1591" s="381" t="s">
        <v>148</v>
      </c>
      <c r="N1591" s="381" t="s">
        <v>149</v>
      </c>
      <c r="O1591" s="381" t="s">
        <v>150</v>
      </c>
      <c r="P1591" s="381" t="s">
        <v>151</v>
      </c>
      <c r="Q1591" s="381"/>
      <c r="R1591" s="381" t="s">
        <v>6993</v>
      </c>
      <c r="S1591" s="381"/>
      <c r="T1591" s="381" t="s">
        <v>3161</v>
      </c>
      <c r="U1591" s="381" t="s">
        <v>152</v>
      </c>
      <c r="V1591" s="381" t="s">
        <v>23</v>
      </c>
    </row>
    <row r="1592" spans="2:22">
      <c r="B1592" s="383">
        <v>46260</v>
      </c>
      <c r="C1592" s="383">
        <v>46260</v>
      </c>
      <c r="D1592" s="381" t="s">
        <v>6994</v>
      </c>
      <c r="E1592" s="382" t="s">
        <v>6995</v>
      </c>
      <c r="F1592" s="381" t="s">
        <v>87</v>
      </c>
      <c r="G1592" s="381" t="s">
        <v>2358</v>
      </c>
      <c r="H1592" s="387">
        <v>30</v>
      </c>
      <c r="I1592" s="381">
        <v>37.5</v>
      </c>
      <c r="J1592" s="381">
        <v>37.5</v>
      </c>
      <c r="K1592" s="381">
        <v>4</v>
      </c>
      <c r="L1592" s="381">
        <v>0</v>
      </c>
      <c r="M1592" s="381" t="s">
        <v>148</v>
      </c>
      <c r="N1592" s="381" t="s">
        <v>149</v>
      </c>
      <c r="O1592" s="381" t="s">
        <v>150</v>
      </c>
      <c r="P1592" s="381" t="s">
        <v>151</v>
      </c>
      <c r="Q1592" s="381"/>
      <c r="R1592" s="381" t="s">
        <v>6995</v>
      </c>
      <c r="S1592" s="381"/>
      <c r="T1592" s="381" t="s">
        <v>3161</v>
      </c>
      <c r="U1592" s="381" t="s">
        <v>152</v>
      </c>
      <c r="V1592" s="381" t="s">
        <v>23</v>
      </c>
    </row>
    <row r="1593" spans="2:22">
      <c r="B1593" s="383">
        <v>46260</v>
      </c>
      <c r="C1593" s="383">
        <v>46260</v>
      </c>
      <c r="D1593" s="381" t="s">
        <v>6996</v>
      </c>
      <c r="E1593" s="382" t="s">
        <v>6997</v>
      </c>
      <c r="F1593" s="381" t="s">
        <v>87</v>
      </c>
      <c r="G1593" s="381" t="s">
        <v>2358</v>
      </c>
      <c r="H1593" s="387">
        <v>30</v>
      </c>
      <c r="I1593" s="381">
        <v>33.799999999999997</v>
      </c>
      <c r="J1593" s="381">
        <v>33.799999999999997</v>
      </c>
      <c r="K1593" s="381">
        <v>4</v>
      </c>
      <c r="L1593" s="381">
        <v>0</v>
      </c>
      <c r="M1593" s="381" t="s">
        <v>148</v>
      </c>
      <c r="N1593" s="381" t="s">
        <v>149</v>
      </c>
      <c r="O1593" s="381" t="s">
        <v>150</v>
      </c>
      <c r="P1593" s="381" t="s">
        <v>151</v>
      </c>
      <c r="Q1593" s="381"/>
      <c r="R1593" s="381" t="s">
        <v>6997</v>
      </c>
      <c r="S1593" s="381"/>
      <c r="T1593" s="381" t="s">
        <v>3161</v>
      </c>
      <c r="U1593" s="381" t="s">
        <v>152</v>
      </c>
      <c r="V1593" s="381" t="s">
        <v>23</v>
      </c>
    </row>
    <row r="1594" spans="2:22">
      <c r="B1594" s="383">
        <v>46260</v>
      </c>
      <c r="C1594" s="383">
        <v>46260</v>
      </c>
      <c r="D1594" s="381" t="s">
        <v>6998</v>
      </c>
      <c r="E1594" s="382" t="s">
        <v>6999</v>
      </c>
      <c r="F1594" s="381" t="s">
        <v>87</v>
      </c>
      <c r="G1594" s="381" t="s">
        <v>2358</v>
      </c>
      <c r="H1594" s="387">
        <v>30</v>
      </c>
      <c r="I1594" s="381">
        <v>34.799999999999997</v>
      </c>
      <c r="J1594" s="381">
        <v>34.799999999999997</v>
      </c>
      <c r="K1594" s="381">
        <v>4</v>
      </c>
      <c r="L1594" s="381">
        <v>0</v>
      </c>
      <c r="M1594" s="381" t="s">
        <v>148</v>
      </c>
      <c r="N1594" s="381" t="s">
        <v>149</v>
      </c>
      <c r="O1594" s="381" t="s">
        <v>150</v>
      </c>
      <c r="P1594" s="381" t="s">
        <v>151</v>
      </c>
      <c r="Q1594" s="381"/>
      <c r="R1594" s="381" t="s">
        <v>6999</v>
      </c>
      <c r="S1594" s="381"/>
      <c r="T1594" s="381" t="s">
        <v>3161</v>
      </c>
      <c r="U1594" s="381" t="s">
        <v>152</v>
      </c>
      <c r="V1594" s="381" t="s">
        <v>23</v>
      </c>
    </row>
    <row r="1595" spans="2:22">
      <c r="B1595" s="383">
        <v>46260</v>
      </c>
      <c r="C1595" s="383">
        <v>46260</v>
      </c>
      <c r="D1595" s="381" t="s">
        <v>7000</v>
      </c>
      <c r="E1595" s="382" t="s">
        <v>7001</v>
      </c>
      <c r="F1595" s="381" t="s">
        <v>87</v>
      </c>
      <c r="G1595" s="381" t="s">
        <v>2358</v>
      </c>
      <c r="H1595" s="387">
        <v>30</v>
      </c>
      <c r="I1595" s="381">
        <v>26.8</v>
      </c>
      <c r="J1595" s="381">
        <v>26.8</v>
      </c>
      <c r="K1595" s="381">
        <v>4</v>
      </c>
      <c r="L1595" s="381">
        <v>0</v>
      </c>
      <c r="M1595" s="381" t="s">
        <v>148</v>
      </c>
      <c r="N1595" s="381" t="s">
        <v>149</v>
      </c>
      <c r="O1595" s="381" t="s">
        <v>150</v>
      </c>
      <c r="P1595" s="381" t="s">
        <v>151</v>
      </c>
      <c r="Q1595" s="381"/>
      <c r="R1595" s="381" t="s">
        <v>7001</v>
      </c>
      <c r="S1595" s="381"/>
      <c r="T1595" s="381" t="s">
        <v>3161</v>
      </c>
      <c r="U1595" s="381" t="s">
        <v>152</v>
      </c>
      <c r="V1595" s="381" t="s">
        <v>23</v>
      </c>
    </row>
    <row r="1596" spans="2:22">
      <c r="B1596" s="383">
        <v>46260</v>
      </c>
      <c r="C1596" s="383">
        <v>46260</v>
      </c>
      <c r="D1596" s="381" t="s">
        <v>7002</v>
      </c>
      <c r="E1596" s="382" t="s">
        <v>7003</v>
      </c>
      <c r="F1596" s="381" t="s">
        <v>87</v>
      </c>
      <c r="G1596" s="381" t="s">
        <v>2357</v>
      </c>
      <c r="H1596" s="387">
        <v>40</v>
      </c>
      <c r="I1596" s="381">
        <v>31.3</v>
      </c>
      <c r="J1596" s="381">
        <v>31.3</v>
      </c>
      <c r="K1596" s="381">
        <v>5</v>
      </c>
      <c r="L1596" s="381">
        <v>0</v>
      </c>
      <c r="M1596" s="381" t="s">
        <v>148</v>
      </c>
      <c r="N1596" s="381" t="s">
        <v>149</v>
      </c>
      <c r="O1596" s="381" t="s">
        <v>150</v>
      </c>
      <c r="P1596" s="381" t="s">
        <v>151</v>
      </c>
      <c r="Q1596" s="381"/>
      <c r="R1596" s="381" t="s">
        <v>7003</v>
      </c>
      <c r="S1596" s="381"/>
      <c r="T1596" s="381" t="s">
        <v>3161</v>
      </c>
      <c r="U1596" s="381" t="s">
        <v>152</v>
      </c>
      <c r="V1596" s="381" t="s">
        <v>23</v>
      </c>
    </row>
    <row r="1597" spans="2:22">
      <c r="B1597" s="383">
        <v>46260</v>
      </c>
      <c r="C1597" s="383">
        <v>46260</v>
      </c>
      <c r="D1597" s="381" t="s">
        <v>7004</v>
      </c>
      <c r="E1597" s="382" t="s">
        <v>7005</v>
      </c>
      <c r="F1597" s="381" t="s">
        <v>87</v>
      </c>
      <c r="G1597" s="381" t="s">
        <v>2404</v>
      </c>
      <c r="H1597" s="387">
        <v>40</v>
      </c>
      <c r="I1597" s="381">
        <v>23.8</v>
      </c>
      <c r="J1597" s="381">
        <v>23.8</v>
      </c>
      <c r="K1597" s="381">
        <v>5</v>
      </c>
      <c r="L1597" s="381">
        <v>0</v>
      </c>
      <c r="M1597" s="381" t="s">
        <v>148</v>
      </c>
      <c r="N1597" s="381" t="s">
        <v>149</v>
      </c>
      <c r="O1597" s="381" t="s">
        <v>150</v>
      </c>
      <c r="P1597" s="381" t="s">
        <v>151</v>
      </c>
      <c r="Q1597" s="381"/>
      <c r="R1597" s="381" t="s">
        <v>7005</v>
      </c>
      <c r="S1597" s="381"/>
      <c r="T1597" s="381" t="s">
        <v>3161</v>
      </c>
      <c r="U1597" s="381" t="s">
        <v>152</v>
      </c>
      <c r="V1597" s="381" t="s">
        <v>23</v>
      </c>
    </row>
    <row r="1598" spans="2:22">
      <c r="B1598" s="383">
        <v>46260</v>
      </c>
      <c r="C1598" s="383">
        <v>46260</v>
      </c>
      <c r="D1598" s="381" t="s">
        <v>7006</v>
      </c>
      <c r="E1598" s="382" t="s">
        <v>7007</v>
      </c>
      <c r="F1598" s="381" t="s">
        <v>87</v>
      </c>
      <c r="G1598" s="381" t="s">
        <v>2357</v>
      </c>
      <c r="H1598" s="387">
        <v>40</v>
      </c>
      <c r="I1598" s="381">
        <v>23</v>
      </c>
      <c r="J1598" s="381">
        <v>23</v>
      </c>
      <c r="K1598" s="381">
        <v>5</v>
      </c>
      <c r="L1598" s="381">
        <v>0</v>
      </c>
      <c r="M1598" s="381" t="s">
        <v>148</v>
      </c>
      <c r="N1598" s="381" t="s">
        <v>149</v>
      </c>
      <c r="O1598" s="381" t="s">
        <v>150</v>
      </c>
      <c r="P1598" s="381" t="s">
        <v>151</v>
      </c>
      <c r="Q1598" s="381"/>
      <c r="R1598" s="381" t="s">
        <v>7007</v>
      </c>
      <c r="S1598" s="381"/>
      <c r="T1598" s="381" t="s">
        <v>3161</v>
      </c>
      <c r="U1598" s="381" t="s">
        <v>152</v>
      </c>
      <c r="V1598" s="381" t="s">
        <v>23</v>
      </c>
    </row>
    <row r="1599" spans="2:22">
      <c r="B1599" s="383">
        <v>46261</v>
      </c>
      <c r="C1599" s="383">
        <v>46261</v>
      </c>
      <c r="D1599" s="381" t="s">
        <v>7008</v>
      </c>
      <c r="E1599" s="382" t="s">
        <v>7009</v>
      </c>
      <c r="F1599" s="381" t="s">
        <v>87</v>
      </c>
      <c r="G1599" s="381" t="s">
        <v>2357</v>
      </c>
      <c r="H1599" s="387">
        <v>40</v>
      </c>
      <c r="I1599" s="381">
        <v>36.799999999999997</v>
      </c>
      <c r="J1599" s="381">
        <v>36.799999999999997</v>
      </c>
      <c r="K1599" s="381">
        <v>5</v>
      </c>
      <c r="L1599" s="381">
        <v>0</v>
      </c>
      <c r="M1599" s="381" t="s">
        <v>148</v>
      </c>
      <c r="N1599" s="381" t="s">
        <v>149</v>
      </c>
      <c r="O1599" s="381" t="s">
        <v>150</v>
      </c>
      <c r="P1599" s="381" t="s">
        <v>151</v>
      </c>
      <c r="Q1599" s="381"/>
      <c r="R1599" s="381" t="s">
        <v>7009</v>
      </c>
      <c r="S1599" s="381"/>
      <c r="T1599" s="381" t="s">
        <v>3179</v>
      </c>
      <c r="U1599" s="381" t="s">
        <v>152</v>
      </c>
      <c r="V1599" s="381" t="s">
        <v>23</v>
      </c>
    </row>
    <row r="1600" spans="2:22">
      <c r="B1600" s="383">
        <v>46261</v>
      </c>
      <c r="C1600" s="383">
        <v>46261</v>
      </c>
      <c r="D1600" s="381" t="s">
        <v>7010</v>
      </c>
      <c r="E1600" s="382" t="s">
        <v>7011</v>
      </c>
      <c r="F1600" s="381" t="s">
        <v>87</v>
      </c>
      <c r="G1600" s="381" t="s">
        <v>2358</v>
      </c>
      <c r="H1600" s="387">
        <v>30</v>
      </c>
      <c r="I1600" s="381">
        <v>29.3</v>
      </c>
      <c r="J1600" s="381">
        <v>29.3</v>
      </c>
      <c r="K1600" s="381">
        <v>4</v>
      </c>
      <c r="L1600" s="381">
        <v>0</v>
      </c>
      <c r="M1600" s="381" t="s">
        <v>148</v>
      </c>
      <c r="N1600" s="381" t="s">
        <v>149</v>
      </c>
      <c r="O1600" s="381" t="s">
        <v>150</v>
      </c>
      <c r="P1600" s="381" t="s">
        <v>151</v>
      </c>
      <c r="Q1600" s="381"/>
      <c r="R1600" s="381" t="s">
        <v>7011</v>
      </c>
      <c r="S1600" s="381"/>
      <c r="T1600" s="381" t="s">
        <v>3179</v>
      </c>
      <c r="U1600" s="381" t="s">
        <v>152</v>
      </c>
      <c r="V1600" s="381" t="s">
        <v>23</v>
      </c>
    </row>
    <row r="1601" spans="2:22">
      <c r="B1601" s="383">
        <v>46261</v>
      </c>
      <c r="C1601" s="383">
        <v>46261</v>
      </c>
      <c r="D1601" s="381" t="s">
        <v>7012</v>
      </c>
      <c r="E1601" s="382" t="s">
        <v>7013</v>
      </c>
      <c r="F1601" s="381" t="s">
        <v>87</v>
      </c>
      <c r="G1601" s="381" t="s">
        <v>2357</v>
      </c>
      <c r="H1601" s="387">
        <v>40</v>
      </c>
      <c r="I1601" s="381">
        <v>24</v>
      </c>
      <c r="J1601" s="381">
        <v>24</v>
      </c>
      <c r="K1601" s="381">
        <v>5</v>
      </c>
      <c r="L1601" s="381">
        <v>0</v>
      </c>
      <c r="M1601" s="381" t="s">
        <v>148</v>
      </c>
      <c r="N1601" s="381" t="s">
        <v>149</v>
      </c>
      <c r="O1601" s="381" t="s">
        <v>150</v>
      </c>
      <c r="P1601" s="381" t="s">
        <v>151</v>
      </c>
      <c r="Q1601" s="381"/>
      <c r="R1601" s="381" t="s">
        <v>7013</v>
      </c>
      <c r="S1601" s="381"/>
      <c r="T1601" s="381" t="s">
        <v>3179</v>
      </c>
      <c r="U1601" s="381" t="s">
        <v>152</v>
      </c>
      <c r="V1601" s="381" t="s">
        <v>23</v>
      </c>
    </row>
    <row r="1602" spans="2:22">
      <c r="B1602" s="383">
        <v>46261</v>
      </c>
      <c r="C1602" s="383">
        <v>46261</v>
      </c>
      <c r="D1602" s="381" t="s">
        <v>7014</v>
      </c>
      <c r="E1602" s="382" t="s">
        <v>7015</v>
      </c>
      <c r="F1602" s="381" t="s">
        <v>87</v>
      </c>
      <c r="G1602" s="381" t="s">
        <v>2404</v>
      </c>
      <c r="H1602" s="387">
        <v>40</v>
      </c>
      <c r="I1602" s="381">
        <v>24.8</v>
      </c>
      <c r="J1602" s="381">
        <v>24.8</v>
      </c>
      <c r="K1602" s="381">
        <v>5</v>
      </c>
      <c r="L1602" s="381">
        <v>0</v>
      </c>
      <c r="M1602" s="381" t="s">
        <v>148</v>
      </c>
      <c r="N1602" s="381" t="s">
        <v>149</v>
      </c>
      <c r="O1602" s="381" t="s">
        <v>150</v>
      </c>
      <c r="P1602" s="381" t="s">
        <v>151</v>
      </c>
      <c r="Q1602" s="381"/>
      <c r="R1602" s="381" t="s">
        <v>7015</v>
      </c>
      <c r="S1602" s="381"/>
      <c r="T1602" s="381" t="s">
        <v>3179</v>
      </c>
      <c r="U1602" s="381" t="s">
        <v>152</v>
      </c>
      <c r="V1602" s="381" t="s">
        <v>23</v>
      </c>
    </row>
    <row r="1603" spans="2:22">
      <c r="B1603" s="383">
        <v>46261</v>
      </c>
      <c r="C1603" s="383">
        <v>46261</v>
      </c>
      <c r="D1603" s="381" t="s">
        <v>7016</v>
      </c>
      <c r="E1603" s="382" t="s">
        <v>7017</v>
      </c>
      <c r="F1603" s="381" t="s">
        <v>87</v>
      </c>
      <c r="G1603" s="381" t="s">
        <v>7018</v>
      </c>
      <c r="H1603" s="387">
        <v>6</v>
      </c>
      <c r="I1603" s="381">
        <v>15.3</v>
      </c>
      <c r="J1603" s="381">
        <v>15.3</v>
      </c>
      <c r="K1603" s="381">
        <v>1</v>
      </c>
      <c r="L1603" s="381">
        <v>0</v>
      </c>
      <c r="M1603" s="381" t="s">
        <v>148</v>
      </c>
      <c r="N1603" s="381" t="s">
        <v>149</v>
      </c>
      <c r="O1603" s="381" t="s">
        <v>150</v>
      </c>
      <c r="P1603" s="381" t="s">
        <v>151</v>
      </c>
      <c r="Q1603" s="381"/>
      <c r="R1603" s="381" t="s">
        <v>7017</v>
      </c>
      <c r="S1603" s="381"/>
      <c r="T1603" s="381" t="s">
        <v>3179</v>
      </c>
      <c r="U1603" s="381" t="s">
        <v>152</v>
      </c>
      <c r="V1603" s="381" t="s">
        <v>23</v>
      </c>
    </row>
    <row r="1604" spans="2:22">
      <c r="B1604" s="383">
        <v>46261</v>
      </c>
      <c r="C1604" s="383">
        <v>46261</v>
      </c>
      <c r="D1604" s="381" t="s">
        <v>7019</v>
      </c>
      <c r="E1604" s="382" t="s">
        <v>7020</v>
      </c>
      <c r="F1604" s="381" t="s">
        <v>87</v>
      </c>
      <c r="G1604" s="381" t="s">
        <v>2357</v>
      </c>
      <c r="H1604" s="387">
        <v>40</v>
      </c>
      <c r="I1604" s="381">
        <v>43</v>
      </c>
      <c r="J1604" s="381">
        <v>43</v>
      </c>
      <c r="K1604" s="381">
        <v>5</v>
      </c>
      <c r="L1604" s="381">
        <v>0</v>
      </c>
      <c r="M1604" s="381" t="s">
        <v>148</v>
      </c>
      <c r="N1604" s="381" t="s">
        <v>149</v>
      </c>
      <c r="O1604" s="381" t="s">
        <v>150</v>
      </c>
      <c r="P1604" s="381" t="s">
        <v>151</v>
      </c>
      <c r="Q1604" s="381"/>
      <c r="R1604" s="381" t="s">
        <v>7020</v>
      </c>
      <c r="S1604" s="381"/>
      <c r="T1604" s="381" t="s">
        <v>3179</v>
      </c>
      <c r="U1604" s="381" t="s">
        <v>152</v>
      </c>
      <c r="V1604" s="381" t="s">
        <v>23</v>
      </c>
    </row>
    <row r="1605" spans="2:22">
      <c r="B1605" s="383">
        <v>46261</v>
      </c>
      <c r="C1605" s="383">
        <v>46261</v>
      </c>
      <c r="D1605" s="381" t="s">
        <v>7021</v>
      </c>
      <c r="E1605" s="382" t="s">
        <v>7022</v>
      </c>
      <c r="F1605" s="381" t="s">
        <v>87</v>
      </c>
      <c r="G1605" s="381" t="s">
        <v>2357</v>
      </c>
      <c r="H1605" s="387">
        <v>40</v>
      </c>
      <c r="I1605" s="381">
        <v>35.6</v>
      </c>
      <c r="J1605" s="381">
        <v>35.6</v>
      </c>
      <c r="K1605" s="381">
        <v>5</v>
      </c>
      <c r="L1605" s="381">
        <v>0</v>
      </c>
      <c r="M1605" s="381" t="s">
        <v>148</v>
      </c>
      <c r="N1605" s="381" t="s">
        <v>149</v>
      </c>
      <c r="O1605" s="381" t="s">
        <v>150</v>
      </c>
      <c r="P1605" s="381" t="s">
        <v>151</v>
      </c>
      <c r="Q1605" s="381"/>
      <c r="R1605" s="381" t="s">
        <v>7022</v>
      </c>
      <c r="S1605" s="381"/>
      <c r="T1605" s="381" t="s">
        <v>3179</v>
      </c>
      <c r="U1605" s="381" t="s">
        <v>152</v>
      </c>
      <c r="V1605" s="381" t="s">
        <v>23</v>
      </c>
    </row>
    <row r="1606" spans="2:22">
      <c r="B1606" s="383">
        <v>46261</v>
      </c>
      <c r="C1606" s="383">
        <v>46261</v>
      </c>
      <c r="D1606" s="381" t="s">
        <v>7023</v>
      </c>
      <c r="E1606" s="382" t="s">
        <v>7024</v>
      </c>
      <c r="F1606" s="381" t="s">
        <v>87</v>
      </c>
      <c r="G1606" s="381" t="s">
        <v>2404</v>
      </c>
      <c r="H1606" s="387">
        <v>40</v>
      </c>
      <c r="I1606" s="381">
        <v>24.8</v>
      </c>
      <c r="J1606" s="381">
        <v>24.8</v>
      </c>
      <c r="K1606" s="381">
        <v>5</v>
      </c>
      <c r="L1606" s="381">
        <v>0</v>
      </c>
      <c r="M1606" s="381" t="s">
        <v>148</v>
      </c>
      <c r="N1606" s="381" t="s">
        <v>149</v>
      </c>
      <c r="O1606" s="381" t="s">
        <v>150</v>
      </c>
      <c r="P1606" s="381" t="s">
        <v>151</v>
      </c>
      <c r="Q1606" s="381"/>
      <c r="R1606" s="381" t="s">
        <v>7024</v>
      </c>
      <c r="S1606" s="381"/>
      <c r="T1606" s="381" t="s">
        <v>3179</v>
      </c>
      <c r="U1606" s="381" t="s">
        <v>152</v>
      </c>
      <c r="V1606" s="381" t="s">
        <v>23</v>
      </c>
    </row>
    <row r="1607" spans="2:22">
      <c r="B1607" s="383">
        <v>46261</v>
      </c>
      <c r="C1607" s="383">
        <v>46261</v>
      </c>
      <c r="D1607" s="381" t="s">
        <v>7025</v>
      </c>
      <c r="E1607" s="382" t="s">
        <v>7026</v>
      </c>
      <c r="F1607" s="381" t="s">
        <v>87</v>
      </c>
      <c r="G1607" s="381" t="s">
        <v>2357</v>
      </c>
      <c r="H1607" s="387">
        <v>40</v>
      </c>
      <c r="I1607" s="381">
        <v>26.2</v>
      </c>
      <c r="J1607" s="381">
        <v>26.2</v>
      </c>
      <c r="K1607" s="381">
        <v>5</v>
      </c>
      <c r="L1607" s="381">
        <v>0</v>
      </c>
      <c r="M1607" s="381" t="s">
        <v>148</v>
      </c>
      <c r="N1607" s="381" t="s">
        <v>149</v>
      </c>
      <c r="O1607" s="381" t="s">
        <v>150</v>
      </c>
      <c r="P1607" s="381" t="s">
        <v>151</v>
      </c>
      <c r="Q1607" s="381"/>
      <c r="R1607" s="381" t="s">
        <v>7026</v>
      </c>
      <c r="S1607" s="381"/>
      <c r="T1607" s="381" t="s">
        <v>3179</v>
      </c>
      <c r="U1607" s="381" t="s">
        <v>152</v>
      </c>
      <c r="V1607" s="381" t="s">
        <v>23</v>
      </c>
    </row>
    <row r="1608" spans="2:22">
      <c r="B1608" s="383">
        <v>46261</v>
      </c>
      <c r="C1608" s="383">
        <v>46261</v>
      </c>
      <c r="D1608" s="381" t="s">
        <v>7027</v>
      </c>
      <c r="E1608" s="382" t="s">
        <v>7028</v>
      </c>
      <c r="F1608" s="381" t="s">
        <v>87</v>
      </c>
      <c r="G1608" s="381" t="s">
        <v>6008</v>
      </c>
      <c r="H1608" s="387">
        <v>30</v>
      </c>
      <c r="I1608" s="381">
        <v>41.3</v>
      </c>
      <c r="J1608" s="381">
        <v>41.3</v>
      </c>
      <c r="K1608" s="381">
        <v>4</v>
      </c>
      <c r="L1608" s="381">
        <v>0</v>
      </c>
      <c r="M1608" s="381" t="s">
        <v>148</v>
      </c>
      <c r="N1608" s="381" t="s">
        <v>149</v>
      </c>
      <c r="O1608" s="381" t="s">
        <v>150</v>
      </c>
      <c r="P1608" s="381" t="s">
        <v>151</v>
      </c>
      <c r="Q1608" s="381"/>
      <c r="R1608" s="381" t="s">
        <v>7028</v>
      </c>
      <c r="S1608" s="381"/>
      <c r="T1608" s="381" t="s">
        <v>3179</v>
      </c>
      <c r="U1608" s="381" t="s">
        <v>152</v>
      </c>
      <c r="V1608" s="381" t="s">
        <v>23</v>
      </c>
    </row>
    <row r="1609" spans="2:22">
      <c r="B1609" s="383">
        <v>46261</v>
      </c>
      <c r="C1609" s="383">
        <v>46261</v>
      </c>
      <c r="D1609" s="381" t="s">
        <v>7029</v>
      </c>
      <c r="E1609" s="382" t="s">
        <v>7030</v>
      </c>
      <c r="F1609" s="381" t="s">
        <v>87</v>
      </c>
      <c r="G1609" s="381" t="s">
        <v>6008</v>
      </c>
      <c r="H1609" s="387">
        <v>30</v>
      </c>
      <c r="I1609" s="381">
        <v>28</v>
      </c>
      <c r="J1609" s="381">
        <v>28</v>
      </c>
      <c r="K1609" s="381">
        <v>4</v>
      </c>
      <c r="L1609" s="381">
        <v>0</v>
      </c>
      <c r="M1609" s="381" t="s">
        <v>148</v>
      </c>
      <c r="N1609" s="381" t="s">
        <v>149</v>
      </c>
      <c r="O1609" s="381" t="s">
        <v>150</v>
      </c>
      <c r="P1609" s="381" t="s">
        <v>151</v>
      </c>
      <c r="Q1609" s="381"/>
      <c r="R1609" s="381" t="s">
        <v>7030</v>
      </c>
      <c r="S1609" s="381"/>
      <c r="T1609" s="381" t="s">
        <v>3179</v>
      </c>
      <c r="U1609" s="381" t="s">
        <v>152</v>
      </c>
      <c r="V1609" s="381" t="s">
        <v>23</v>
      </c>
    </row>
    <row r="1610" spans="2:22">
      <c r="B1610" s="383">
        <v>46261</v>
      </c>
      <c r="C1610" s="383">
        <v>46261</v>
      </c>
      <c r="D1610" s="381" t="s">
        <v>7031</v>
      </c>
      <c r="E1610" s="382" t="s">
        <v>7032</v>
      </c>
      <c r="F1610" s="381" t="s">
        <v>87</v>
      </c>
      <c r="G1610" s="381" t="s">
        <v>2358</v>
      </c>
      <c r="H1610" s="387">
        <v>30</v>
      </c>
      <c r="I1610" s="381">
        <v>27.4</v>
      </c>
      <c r="J1610" s="381">
        <v>27.4</v>
      </c>
      <c r="K1610" s="381">
        <v>4</v>
      </c>
      <c r="L1610" s="381">
        <v>0</v>
      </c>
      <c r="M1610" s="381" t="s">
        <v>148</v>
      </c>
      <c r="N1610" s="381" t="s">
        <v>149</v>
      </c>
      <c r="O1610" s="381" t="s">
        <v>150</v>
      </c>
      <c r="P1610" s="381" t="s">
        <v>151</v>
      </c>
      <c r="Q1610" s="381"/>
      <c r="R1610" s="381" t="s">
        <v>7032</v>
      </c>
      <c r="S1610" s="381"/>
      <c r="T1610" s="381" t="s">
        <v>3179</v>
      </c>
      <c r="U1610" s="381" t="s">
        <v>152</v>
      </c>
      <c r="V1610" s="381" t="s">
        <v>23</v>
      </c>
    </row>
    <row r="1611" spans="2:22">
      <c r="B1611" s="383">
        <v>46261</v>
      </c>
      <c r="C1611" s="383">
        <v>46261</v>
      </c>
      <c r="D1611" s="381" t="s">
        <v>7033</v>
      </c>
      <c r="E1611" s="382" t="s">
        <v>7034</v>
      </c>
      <c r="F1611" s="381" t="s">
        <v>87</v>
      </c>
      <c r="G1611" s="381" t="s">
        <v>4512</v>
      </c>
      <c r="H1611" s="387">
        <v>55</v>
      </c>
      <c r="I1611" s="381">
        <v>14.8</v>
      </c>
      <c r="J1611" s="381">
        <v>14.8</v>
      </c>
      <c r="K1611" s="381">
        <v>5</v>
      </c>
      <c r="L1611" s="381">
        <v>0</v>
      </c>
      <c r="M1611" s="381" t="s">
        <v>148</v>
      </c>
      <c r="N1611" s="381" t="s">
        <v>149</v>
      </c>
      <c r="O1611" s="381" t="s">
        <v>150</v>
      </c>
      <c r="P1611" s="381" t="s">
        <v>151</v>
      </c>
      <c r="Q1611" s="381"/>
      <c r="R1611" s="381" t="s">
        <v>7034</v>
      </c>
      <c r="S1611" s="381"/>
      <c r="T1611" s="381" t="s">
        <v>3179</v>
      </c>
      <c r="U1611" s="381" t="s">
        <v>152</v>
      </c>
      <c r="V1611" s="381" t="s">
        <v>23</v>
      </c>
    </row>
    <row r="1612" spans="2:22">
      <c r="B1612" s="383">
        <v>46261</v>
      </c>
      <c r="C1612" s="383">
        <v>46261</v>
      </c>
      <c r="D1612" s="381" t="s">
        <v>7035</v>
      </c>
      <c r="E1612" s="382" t="s">
        <v>7036</v>
      </c>
      <c r="F1612" s="381" t="s">
        <v>87</v>
      </c>
      <c r="G1612" s="381" t="s">
        <v>7037</v>
      </c>
      <c r="H1612" s="387">
        <v>40</v>
      </c>
      <c r="I1612" s="381">
        <v>25.4</v>
      </c>
      <c r="J1612" s="381">
        <v>25.4</v>
      </c>
      <c r="K1612" s="381">
        <v>5</v>
      </c>
      <c r="L1612" s="381">
        <v>0</v>
      </c>
      <c r="M1612" s="381" t="s">
        <v>148</v>
      </c>
      <c r="N1612" s="381" t="s">
        <v>149</v>
      </c>
      <c r="O1612" s="381" t="s">
        <v>150</v>
      </c>
      <c r="P1612" s="381" t="s">
        <v>151</v>
      </c>
      <c r="Q1612" s="381"/>
      <c r="R1612" s="381" t="s">
        <v>7036</v>
      </c>
      <c r="S1612" s="381"/>
      <c r="T1612" s="381" t="s">
        <v>3179</v>
      </c>
      <c r="U1612" s="381" t="s">
        <v>152</v>
      </c>
      <c r="V1612" s="381" t="s">
        <v>23</v>
      </c>
    </row>
    <row r="1613" spans="2:22">
      <c r="B1613" s="383">
        <v>46261</v>
      </c>
      <c r="C1613" s="383">
        <v>46261</v>
      </c>
      <c r="D1613" s="381" t="s">
        <v>7038</v>
      </c>
      <c r="E1613" s="382" t="s">
        <v>7039</v>
      </c>
      <c r="F1613" s="381" t="s">
        <v>87</v>
      </c>
      <c r="G1613" s="381" t="s">
        <v>6008</v>
      </c>
      <c r="H1613" s="387">
        <v>30</v>
      </c>
      <c r="I1613" s="381">
        <v>47.8</v>
      </c>
      <c r="J1613" s="381">
        <v>47.8</v>
      </c>
      <c r="K1613" s="381">
        <v>4</v>
      </c>
      <c r="L1613" s="381">
        <v>0</v>
      </c>
      <c r="M1613" s="381" t="s">
        <v>148</v>
      </c>
      <c r="N1613" s="381" t="s">
        <v>149</v>
      </c>
      <c r="O1613" s="381" t="s">
        <v>150</v>
      </c>
      <c r="P1613" s="381" t="s">
        <v>151</v>
      </c>
      <c r="Q1613" s="381"/>
      <c r="R1613" s="381" t="s">
        <v>7039</v>
      </c>
      <c r="S1613" s="381"/>
      <c r="T1613" s="381" t="s">
        <v>3179</v>
      </c>
      <c r="U1613" s="381" t="s">
        <v>152</v>
      </c>
      <c r="V1613" s="381" t="s">
        <v>23</v>
      </c>
    </row>
    <row r="1614" spans="2:22">
      <c r="B1614" s="383">
        <v>46261</v>
      </c>
      <c r="C1614" s="383">
        <v>46261</v>
      </c>
      <c r="D1614" s="381" t="s">
        <v>7040</v>
      </c>
      <c r="E1614" s="382" t="s">
        <v>7041</v>
      </c>
      <c r="F1614" s="381" t="s">
        <v>87</v>
      </c>
      <c r="G1614" s="381" t="s">
        <v>6008</v>
      </c>
      <c r="H1614" s="387">
        <v>30</v>
      </c>
      <c r="I1614" s="381">
        <v>41.3</v>
      </c>
      <c r="J1614" s="381">
        <v>41.3</v>
      </c>
      <c r="K1614" s="381">
        <v>4</v>
      </c>
      <c r="L1614" s="381">
        <v>0</v>
      </c>
      <c r="M1614" s="381" t="s">
        <v>148</v>
      </c>
      <c r="N1614" s="381" t="s">
        <v>149</v>
      </c>
      <c r="O1614" s="381" t="s">
        <v>150</v>
      </c>
      <c r="P1614" s="381" t="s">
        <v>151</v>
      </c>
      <c r="Q1614" s="381"/>
      <c r="R1614" s="381" t="s">
        <v>7041</v>
      </c>
      <c r="S1614" s="381"/>
      <c r="T1614" s="381" t="s">
        <v>3179</v>
      </c>
      <c r="U1614" s="381" t="s">
        <v>152</v>
      </c>
      <c r="V1614" s="381" t="s">
        <v>23</v>
      </c>
    </row>
    <row r="1615" spans="2:22">
      <c r="B1615" s="383">
        <v>46261</v>
      </c>
      <c r="C1615" s="383">
        <v>46261</v>
      </c>
      <c r="D1615" s="381" t="s">
        <v>7042</v>
      </c>
      <c r="E1615" s="382" t="s">
        <v>7043</v>
      </c>
      <c r="F1615" s="381" t="s">
        <v>87</v>
      </c>
      <c r="G1615" s="381" t="s">
        <v>2357</v>
      </c>
      <c r="H1615" s="387">
        <v>40</v>
      </c>
      <c r="I1615" s="381">
        <v>22.3</v>
      </c>
      <c r="J1615" s="381">
        <v>22.3</v>
      </c>
      <c r="K1615" s="381">
        <v>5</v>
      </c>
      <c r="L1615" s="381">
        <v>0</v>
      </c>
      <c r="M1615" s="381" t="s">
        <v>148</v>
      </c>
      <c r="N1615" s="381" t="s">
        <v>149</v>
      </c>
      <c r="O1615" s="381" t="s">
        <v>150</v>
      </c>
      <c r="P1615" s="381" t="s">
        <v>151</v>
      </c>
      <c r="Q1615" s="381"/>
      <c r="R1615" s="381" t="s">
        <v>7043</v>
      </c>
      <c r="S1615" s="381"/>
      <c r="T1615" s="381" t="s">
        <v>3179</v>
      </c>
      <c r="U1615" s="381" t="s">
        <v>152</v>
      </c>
      <c r="V1615" s="381" t="s">
        <v>23</v>
      </c>
    </row>
    <row r="1616" spans="2:22">
      <c r="B1616" s="383">
        <v>46261</v>
      </c>
      <c r="C1616" s="383">
        <v>46261</v>
      </c>
      <c r="D1616" s="381" t="s">
        <v>7044</v>
      </c>
      <c r="E1616" s="382" t="s">
        <v>7045</v>
      </c>
      <c r="F1616" s="381" t="s">
        <v>87</v>
      </c>
      <c r="G1616" s="381" t="s">
        <v>2358</v>
      </c>
      <c r="H1616" s="387">
        <v>30</v>
      </c>
      <c r="I1616" s="381">
        <v>32</v>
      </c>
      <c r="J1616" s="381">
        <v>32</v>
      </c>
      <c r="K1616" s="381">
        <v>4</v>
      </c>
      <c r="L1616" s="381">
        <v>0</v>
      </c>
      <c r="M1616" s="381" t="s">
        <v>148</v>
      </c>
      <c r="N1616" s="381" t="s">
        <v>149</v>
      </c>
      <c r="O1616" s="381" t="s">
        <v>150</v>
      </c>
      <c r="P1616" s="381" t="s">
        <v>151</v>
      </c>
      <c r="Q1616" s="381"/>
      <c r="R1616" s="381" t="s">
        <v>7045</v>
      </c>
      <c r="S1616" s="381"/>
      <c r="T1616" s="381" t="s">
        <v>3179</v>
      </c>
      <c r="U1616" s="381" t="s">
        <v>152</v>
      </c>
      <c r="V1616" s="381" t="s">
        <v>23</v>
      </c>
    </row>
    <row r="1617" spans="2:22">
      <c r="B1617" s="383">
        <v>46261</v>
      </c>
      <c r="C1617" s="383">
        <v>46261</v>
      </c>
      <c r="D1617" s="381" t="s">
        <v>7046</v>
      </c>
      <c r="E1617" s="382" t="s">
        <v>7047</v>
      </c>
      <c r="F1617" s="381" t="s">
        <v>87</v>
      </c>
      <c r="G1617" s="381" t="s">
        <v>2357</v>
      </c>
      <c r="H1617" s="387">
        <v>40</v>
      </c>
      <c r="I1617" s="381">
        <v>37.299999999999997</v>
      </c>
      <c r="J1617" s="381">
        <v>37.299999999999997</v>
      </c>
      <c r="K1617" s="381">
        <v>5</v>
      </c>
      <c r="L1617" s="381">
        <v>0</v>
      </c>
      <c r="M1617" s="381" t="s">
        <v>148</v>
      </c>
      <c r="N1617" s="381" t="s">
        <v>149</v>
      </c>
      <c r="O1617" s="381" t="s">
        <v>150</v>
      </c>
      <c r="P1617" s="381" t="s">
        <v>151</v>
      </c>
      <c r="Q1617" s="381"/>
      <c r="R1617" s="381" t="s">
        <v>7047</v>
      </c>
      <c r="S1617" s="381"/>
      <c r="T1617" s="381" t="s">
        <v>3179</v>
      </c>
      <c r="U1617" s="381" t="s">
        <v>152</v>
      </c>
      <c r="V1617" s="381" t="s">
        <v>23</v>
      </c>
    </row>
    <row r="1618" spans="2:22">
      <c r="B1618" s="383">
        <v>46261</v>
      </c>
      <c r="C1618" s="383">
        <v>46261</v>
      </c>
      <c r="D1618" s="381" t="s">
        <v>7048</v>
      </c>
      <c r="E1618" s="382" t="s">
        <v>7049</v>
      </c>
      <c r="F1618" s="381" t="s">
        <v>87</v>
      </c>
      <c r="G1618" s="381" t="s">
        <v>2357</v>
      </c>
      <c r="H1618" s="387">
        <v>40</v>
      </c>
      <c r="I1618" s="381">
        <v>35.799999999999997</v>
      </c>
      <c r="J1618" s="381">
        <v>35.799999999999997</v>
      </c>
      <c r="K1618" s="381">
        <v>5</v>
      </c>
      <c r="L1618" s="381">
        <v>0</v>
      </c>
      <c r="M1618" s="381" t="s">
        <v>148</v>
      </c>
      <c r="N1618" s="381" t="s">
        <v>149</v>
      </c>
      <c r="O1618" s="381" t="s">
        <v>150</v>
      </c>
      <c r="P1618" s="381" t="s">
        <v>151</v>
      </c>
      <c r="Q1618" s="381"/>
      <c r="R1618" s="381" t="s">
        <v>7049</v>
      </c>
      <c r="S1618" s="381"/>
      <c r="T1618" s="381" t="s">
        <v>3179</v>
      </c>
      <c r="U1618" s="381" t="s">
        <v>152</v>
      </c>
      <c r="V1618" s="381" t="s">
        <v>23</v>
      </c>
    </row>
    <row r="1619" spans="2:22">
      <c r="B1619" s="383">
        <v>46261</v>
      </c>
      <c r="C1619" s="383">
        <v>46261</v>
      </c>
      <c r="D1619" s="381" t="s">
        <v>7050</v>
      </c>
      <c r="E1619" s="382" t="s">
        <v>7051</v>
      </c>
      <c r="F1619" s="381" t="s">
        <v>87</v>
      </c>
      <c r="G1619" s="381" t="s">
        <v>2357</v>
      </c>
      <c r="H1619" s="387">
        <v>40</v>
      </c>
      <c r="I1619" s="381">
        <v>39.4</v>
      </c>
      <c r="J1619" s="381">
        <v>39.4</v>
      </c>
      <c r="K1619" s="381">
        <v>5</v>
      </c>
      <c r="L1619" s="381">
        <v>0</v>
      </c>
      <c r="M1619" s="381" t="s">
        <v>148</v>
      </c>
      <c r="N1619" s="381" t="s">
        <v>149</v>
      </c>
      <c r="O1619" s="381" t="s">
        <v>150</v>
      </c>
      <c r="P1619" s="381" t="s">
        <v>151</v>
      </c>
      <c r="Q1619" s="381"/>
      <c r="R1619" s="381" t="s">
        <v>7051</v>
      </c>
      <c r="S1619" s="381"/>
      <c r="T1619" s="381" t="s">
        <v>3179</v>
      </c>
      <c r="U1619" s="381" t="s">
        <v>152</v>
      </c>
      <c r="V1619" s="381" t="s">
        <v>23</v>
      </c>
    </row>
    <row r="1620" spans="2:22">
      <c r="B1620" s="383">
        <v>46261</v>
      </c>
      <c r="C1620" s="383">
        <v>46261</v>
      </c>
      <c r="D1620" s="381" t="s">
        <v>7052</v>
      </c>
      <c r="E1620" s="382" t="s">
        <v>7053</v>
      </c>
      <c r="F1620" s="381" t="s">
        <v>87</v>
      </c>
      <c r="G1620" s="381" t="s">
        <v>2357</v>
      </c>
      <c r="H1620" s="387">
        <v>40</v>
      </c>
      <c r="I1620" s="381">
        <v>36.799999999999997</v>
      </c>
      <c r="J1620" s="381">
        <v>36.799999999999997</v>
      </c>
      <c r="K1620" s="381">
        <v>5</v>
      </c>
      <c r="L1620" s="381">
        <v>0</v>
      </c>
      <c r="M1620" s="381" t="s">
        <v>148</v>
      </c>
      <c r="N1620" s="381" t="s">
        <v>149</v>
      </c>
      <c r="O1620" s="381" t="s">
        <v>150</v>
      </c>
      <c r="P1620" s="381" t="s">
        <v>151</v>
      </c>
      <c r="Q1620" s="381"/>
      <c r="R1620" s="381" t="s">
        <v>7053</v>
      </c>
      <c r="S1620" s="381"/>
      <c r="T1620" s="381" t="s">
        <v>3179</v>
      </c>
      <c r="U1620" s="381" t="s">
        <v>152</v>
      </c>
      <c r="V1620" s="381" t="s">
        <v>23</v>
      </c>
    </row>
    <row r="1621" spans="2:22">
      <c r="B1621" s="383">
        <v>46261</v>
      </c>
      <c r="C1621" s="383">
        <v>46261</v>
      </c>
      <c r="D1621" s="381" t="s">
        <v>7054</v>
      </c>
      <c r="E1621" s="382" t="s">
        <v>7055</v>
      </c>
      <c r="F1621" s="381" t="s">
        <v>87</v>
      </c>
      <c r="G1621" s="381" t="s">
        <v>2357</v>
      </c>
      <c r="H1621" s="387">
        <v>40</v>
      </c>
      <c r="I1621" s="381">
        <v>34.299999999999997</v>
      </c>
      <c r="J1621" s="381">
        <v>34.299999999999997</v>
      </c>
      <c r="K1621" s="381">
        <v>5</v>
      </c>
      <c r="L1621" s="381">
        <v>0</v>
      </c>
      <c r="M1621" s="381" t="s">
        <v>148</v>
      </c>
      <c r="N1621" s="381" t="s">
        <v>149</v>
      </c>
      <c r="O1621" s="381" t="s">
        <v>150</v>
      </c>
      <c r="P1621" s="381" t="s">
        <v>151</v>
      </c>
      <c r="Q1621" s="381"/>
      <c r="R1621" s="381" t="s">
        <v>7055</v>
      </c>
      <c r="S1621" s="381"/>
      <c r="T1621" s="381" t="s">
        <v>3179</v>
      </c>
      <c r="U1621" s="381" t="s">
        <v>152</v>
      </c>
      <c r="V1621" s="381" t="s">
        <v>23</v>
      </c>
    </row>
    <row r="1622" spans="2:22">
      <c r="B1622" s="383">
        <v>46261</v>
      </c>
      <c r="C1622" s="383">
        <v>46261</v>
      </c>
      <c r="D1622" s="381" t="s">
        <v>7056</v>
      </c>
      <c r="E1622" s="382" t="s">
        <v>7057</v>
      </c>
      <c r="F1622" s="381" t="s">
        <v>87</v>
      </c>
      <c r="G1622" s="381" t="s">
        <v>2358</v>
      </c>
      <c r="H1622" s="387">
        <v>30</v>
      </c>
      <c r="I1622" s="381">
        <v>35.4</v>
      </c>
      <c r="J1622" s="381">
        <v>35.4</v>
      </c>
      <c r="K1622" s="381">
        <v>4</v>
      </c>
      <c r="L1622" s="381">
        <v>0</v>
      </c>
      <c r="M1622" s="381" t="s">
        <v>148</v>
      </c>
      <c r="N1622" s="381" t="s">
        <v>149</v>
      </c>
      <c r="O1622" s="381" t="s">
        <v>150</v>
      </c>
      <c r="P1622" s="381" t="s">
        <v>151</v>
      </c>
      <c r="Q1622" s="381"/>
      <c r="R1622" s="381" t="s">
        <v>7057</v>
      </c>
      <c r="S1622" s="381"/>
      <c r="T1622" s="381" t="s">
        <v>3179</v>
      </c>
      <c r="U1622" s="381" t="s">
        <v>152</v>
      </c>
      <c r="V1622" s="381" t="s">
        <v>23</v>
      </c>
    </row>
    <row r="1623" spans="2:22">
      <c r="B1623" s="383">
        <v>46261</v>
      </c>
      <c r="C1623" s="383">
        <v>46261</v>
      </c>
      <c r="D1623" s="381" t="s">
        <v>7058</v>
      </c>
      <c r="E1623" s="382" t="s">
        <v>7059</v>
      </c>
      <c r="F1623" s="381" t="s">
        <v>87</v>
      </c>
      <c r="G1623" s="381" t="s">
        <v>2357</v>
      </c>
      <c r="H1623" s="387">
        <v>40</v>
      </c>
      <c r="I1623" s="381">
        <v>40.5</v>
      </c>
      <c r="J1623" s="381">
        <v>40.5</v>
      </c>
      <c r="K1623" s="381">
        <v>5</v>
      </c>
      <c r="L1623" s="381">
        <v>0</v>
      </c>
      <c r="M1623" s="381" t="s">
        <v>148</v>
      </c>
      <c r="N1623" s="381" t="s">
        <v>149</v>
      </c>
      <c r="O1623" s="381" t="s">
        <v>150</v>
      </c>
      <c r="P1623" s="381" t="s">
        <v>151</v>
      </c>
      <c r="Q1623" s="381"/>
      <c r="R1623" s="381" t="s">
        <v>7059</v>
      </c>
      <c r="S1623" s="381"/>
      <c r="T1623" s="381" t="s">
        <v>3179</v>
      </c>
      <c r="U1623" s="381" t="s">
        <v>152</v>
      </c>
      <c r="V1623" s="381" t="s">
        <v>23</v>
      </c>
    </row>
    <row r="1624" spans="2:22">
      <c r="B1624" s="383">
        <v>46261</v>
      </c>
      <c r="C1624" s="383">
        <v>46261</v>
      </c>
      <c r="D1624" s="381" t="s">
        <v>7060</v>
      </c>
      <c r="E1624" s="382" t="s">
        <v>7061</v>
      </c>
      <c r="F1624" s="381" t="s">
        <v>87</v>
      </c>
      <c r="G1624" s="381" t="s">
        <v>2357</v>
      </c>
      <c r="H1624" s="387">
        <v>40</v>
      </c>
      <c r="I1624" s="381">
        <v>37.799999999999997</v>
      </c>
      <c r="J1624" s="381">
        <v>37.799999999999997</v>
      </c>
      <c r="K1624" s="381">
        <v>5</v>
      </c>
      <c r="L1624" s="381">
        <v>0</v>
      </c>
      <c r="M1624" s="381" t="s">
        <v>148</v>
      </c>
      <c r="N1624" s="381" t="s">
        <v>149</v>
      </c>
      <c r="O1624" s="381" t="s">
        <v>150</v>
      </c>
      <c r="P1624" s="381" t="s">
        <v>151</v>
      </c>
      <c r="Q1624" s="381"/>
      <c r="R1624" s="381" t="s">
        <v>7061</v>
      </c>
      <c r="S1624" s="381"/>
      <c r="T1624" s="381" t="s">
        <v>3179</v>
      </c>
      <c r="U1624" s="381" t="s">
        <v>152</v>
      </c>
      <c r="V1624" s="381" t="s">
        <v>23</v>
      </c>
    </row>
    <row r="1625" spans="2:22">
      <c r="B1625" s="383">
        <v>46261</v>
      </c>
      <c r="C1625" s="383">
        <v>46261</v>
      </c>
      <c r="D1625" s="381" t="s">
        <v>7062</v>
      </c>
      <c r="E1625" s="382" t="s">
        <v>7063</v>
      </c>
      <c r="F1625" s="381" t="s">
        <v>87</v>
      </c>
      <c r="G1625" s="381" t="s">
        <v>7018</v>
      </c>
      <c r="H1625" s="387">
        <v>6</v>
      </c>
      <c r="I1625" s="381">
        <v>15.6</v>
      </c>
      <c r="J1625" s="381">
        <v>15.6</v>
      </c>
      <c r="K1625" s="381">
        <v>1</v>
      </c>
      <c r="L1625" s="381">
        <v>0</v>
      </c>
      <c r="M1625" s="381" t="s">
        <v>148</v>
      </c>
      <c r="N1625" s="381" t="s">
        <v>149</v>
      </c>
      <c r="O1625" s="381" t="s">
        <v>150</v>
      </c>
      <c r="P1625" s="381" t="s">
        <v>151</v>
      </c>
      <c r="Q1625" s="381"/>
      <c r="R1625" s="381" t="s">
        <v>7063</v>
      </c>
      <c r="S1625" s="381"/>
      <c r="T1625" s="381" t="s">
        <v>3179</v>
      </c>
      <c r="U1625" s="381" t="s">
        <v>152</v>
      </c>
      <c r="V1625" s="381" t="s">
        <v>23</v>
      </c>
    </row>
    <row r="1626" spans="2:22">
      <c r="B1626" s="383">
        <v>46261</v>
      </c>
      <c r="C1626" s="383">
        <v>46261</v>
      </c>
      <c r="D1626" s="381" t="s">
        <v>7064</v>
      </c>
      <c r="E1626" s="382" t="s">
        <v>7065</v>
      </c>
      <c r="F1626" s="381" t="s">
        <v>87</v>
      </c>
      <c r="G1626" s="381" t="s">
        <v>6008</v>
      </c>
      <c r="H1626" s="387">
        <v>30</v>
      </c>
      <c r="I1626" s="381">
        <v>31.8</v>
      </c>
      <c r="J1626" s="381">
        <v>31.8</v>
      </c>
      <c r="K1626" s="381">
        <v>4</v>
      </c>
      <c r="L1626" s="381">
        <v>0</v>
      </c>
      <c r="M1626" s="381" t="s">
        <v>148</v>
      </c>
      <c r="N1626" s="381" t="s">
        <v>149</v>
      </c>
      <c r="O1626" s="381" t="s">
        <v>150</v>
      </c>
      <c r="P1626" s="381" t="s">
        <v>151</v>
      </c>
      <c r="Q1626" s="381"/>
      <c r="R1626" s="381" t="s">
        <v>7065</v>
      </c>
      <c r="S1626" s="381"/>
      <c r="T1626" s="381" t="s">
        <v>3179</v>
      </c>
      <c r="U1626" s="381" t="s">
        <v>152</v>
      </c>
      <c r="V1626" s="381" t="s">
        <v>23</v>
      </c>
    </row>
    <row r="1627" spans="2:22">
      <c r="B1627" s="383">
        <v>46261</v>
      </c>
      <c r="C1627" s="383">
        <v>46261</v>
      </c>
      <c r="D1627" s="381" t="s">
        <v>7066</v>
      </c>
      <c r="E1627" s="382" t="s">
        <v>7067</v>
      </c>
      <c r="F1627" s="381" t="s">
        <v>87</v>
      </c>
      <c r="G1627" s="381" t="s">
        <v>6008</v>
      </c>
      <c r="H1627" s="387">
        <v>30</v>
      </c>
      <c r="I1627" s="381">
        <v>29.8</v>
      </c>
      <c r="J1627" s="381">
        <v>29.8</v>
      </c>
      <c r="K1627" s="381">
        <v>4</v>
      </c>
      <c r="L1627" s="381">
        <v>0</v>
      </c>
      <c r="M1627" s="381" t="s">
        <v>148</v>
      </c>
      <c r="N1627" s="381" t="s">
        <v>149</v>
      </c>
      <c r="O1627" s="381" t="s">
        <v>150</v>
      </c>
      <c r="P1627" s="381" t="s">
        <v>151</v>
      </c>
      <c r="Q1627" s="381"/>
      <c r="R1627" s="381" t="s">
        <v>7067</v>
      </c>
      <c r="S1627" s="381"/>
      <c r="T1627" s="381" t="s">
        <v>3179</v>
      </c>
      <c r="U1627" s="381" t="s">
        <v>152</v>
      </c>
      <c r="V1627" s="381" t="s">
        <v>23</v>
      </c>
    </row>
    <row r="1628" spans="2:22">
      <c r="B1628" s="383">
        <v>46261</v>
      </c>
      <c r="C1628" s="383">
        <v>46261</v>
      </c>
      <c r="D1628" s="381" t="s">
        <v>7068</v>
      </c>
      <c r="E1628" s="382" t="s">
        <v>7069</v>
      </c>
      <c r="F1628" s="381" t="s">
        <v>87</v>
      </c>
      <c r="G1628" s="381" t="s">
        <v>6008</v>
      </c>
      <c r="H1628" s="387">
        <v>30</v>
      </c>
      <c r="I1628" s="381">
        <v>41.8</v>
      </c>
      <c r="J1628" s="381">
        <v>41.8</v>
      </c>
      <c r="K1628" s="381">
        <v>4</v>
      </c>
      <c r="L1628" s="381">
        <v>0</v>
      </c>
      <c r="M1628" s="381" t="s">
        <v>148</v>
      </c>
      <c r="N1628" s="381" t="s">
        <v>149</v>
      </c>
      <c r="O1628" s="381" t="s">
        <v>150</v>
      </c>
      <c r="P1628" s="381" t="s">
        <v>151</v>
      </c>
      <c r="Q1628" s="381"/>
      <c r="R1628" s="381" t="s">
        <v>7069</v>
      </c>
      <c r="S1628" s="381"/>
      <c r="T1628" s="381" t="s">
        <v>3179</v>
      </c>
      <c r="U1628" s="381" t="s">
        <v>152</v>
      </c>
      <c r="V1628" s="381" t="s">
        <v>23</v>
      </c>
    </row>
    <row r="1629" spans="2:22">
      <c r="B1629" s="383">
        <v>46261</v>
      </c>
      <c r="C1629" s="383">
        <v>46261</v>
      </c>
      <c r="D1629" s="381" t="s">
        <v>7070</v>
      </c>
      <c r="E1629" s="382" t="s">
        <v>7071</v>
      </c>
      <c r="F1629" s="381" t="s">
        <v>87</v>
      </c>
      <c r="G1629" s="381" t="s">
        <v>2404</v>
      </c>
      <c r="H1629" s="387">
        <v>40</v>
      </c>
      <c r="I1629" s="381">
        <v>43.8</v>
      </c>
      <c r="J1629" s="381">
        <v>43.8</v>
      </c>
      <c r="K1629" s="381">
        <v>5</v>
      </c>
      <c r="L1629" s="381">
        <v>0</v>
      </c>
      <c r="M1629" s="381" t="s">
        <v>148</v>
      </c>
      <c r="N1629" s="381" t="s">
        <v>149</v>
      </c>
      <c r="O1629" s="381" t="s">
        <v>150</v>
      </c>
      <c r="P1629" s="381" t="s">
        <v>151</v>
      </c>
      <c r="Q1629" s="381"/>
      <c r="R1629" s="381" t="s">
        <v>7071</v>
      </c>
      <c r="S1629" s="381"/>
      <c r="T1629" s="381" t="s">
        <v>3179</v>
      </c>
      <c r="U1629" s="381" t="s">
        <v>152</v>
      </c>
      <c r="V1629" s="381" t="s">
        <v>23</v>
      </c>
    </row>
    <row r="1630" spans="2:22">
      <c r="B1630" s="383">
        <v>46261</v>
      </c>
      <c r="C1630" s="383">
        <v>46261</v>
      </c>
      <c r="D1630" s="381" t="s">
        <v>7072</v>
      </c>
      <c r="E1630" s="382" t="s">
        <v>7073</v>
      </c>
      <c r="F1630" s="381" t="s">
        <v>87</v>
      </c>
      <c r="G1630" s="381" t="s">
        <v>2358</v>
      </c>
      <c r="H1630" s="387">
        <v>30</v>
      </c>
      <c r="I1630" s="381">
        <v>37.299999999999997</v>
      </c>
      <c r="J1630" s="381">
        <v>37.299999999999997</v>
      </c>
      <c r="K1630" s="381">
        <v>4</v>
      </c>
      <c r="L1630" s="381">
        <v>0</v>
      </c>
      <c r="M1630" s="381" t="s">
        <v>148</v>
      </c>
      <c r="N1630" s="381" t="s">
        <v>149</v>
      </c>
      <c r="O1630" s="381" t="s">
        <v>150</v>
      </c>
      <c r="P1630" s="381" t="s">
        <v>151</v>
      </c>
      <c r="Q1630" s="381"/>
      <c r="R1630" s="381" t="s">
        <v>7073</v>
      </c>
      <c r="S1630" s="381"/>
      <c r="T1630" s="381" t="s">
        <v>3179</v>
      </c>
      <c r="U1630" s="381" t="s">
        <v>152</v>
      </c>
      <c r="V1630" s="381" t="s">
        <v>23</v>
      </c>
    </row>
    <row r="1631" spans="2:22">
      <c r="B1631" s="383">
        <v>46261</v>
      </c>
      <c r="C1631" s="383">
        <v>46261</v>
      </c>
      <c r="D1631" s="381" t="s">
        <v>7074</v>
      </c>
      <c r="E1631" s="382" t="s">
        <v>7075</v>
      </c>
      <c r="F1631" s="381" t="s">
        <v>87</v>
      </c>
      <c r="G1631" s="381" t="s">
        <v>2404</v>
      </c>
      <c r="H1631" s="387">
        <v>40</v>
      </c>
      <c r="I1631" s="381">
        <v>23.8</v>
      </c>
      <c r="J1631" s="381">
        <v>23.8</v>
      </c>
      <c r="K1631" s="381">
        <v>5</v>
      </c>
      <c r="L1631" s="381">
        <v>0</v>
      </c>
      <c r="M1631" s="381" t="s">
        <v>148</v>
      </c>
      <c r="N1631" s="381" t="s">
        <v>149</v>
      </c>
      <c r="O1631" s="381" t="s">
        <v>150</v>
      </c>
      <c r="P1631" s="381" t="s">
        <v>151</v>
      </c>
      <c r="Q1631" s="381"/>
      <c r="R1631" s="381" t="s">
        <v>7075</v>
      </c>
      <c r="S1631" s="381"/>
      <c r="T1631" s="381" t="s">
        <v>3179</v>
      </c>
      <c r="U1631" s="381" t="s">
        <v>152</v>
      </c>
      <c r="V1631" s="381" t="s">
        <v>23</v>
      </c>
    </row>
    <row r="1632" spans="2:22">
      <c r="B1632" s="383">
        <v>46261</v>
      </c>
      <c r="C1632" s="383">
        <v>46261</v>
      </c>
      <c r="D1632" s="381" t="s">
        <v>7076</v>
      </c>
      <c r="E1632" s="382" t="s">
        <v>7077</v>
      </c>
      <c r="F1632" s="381" t="s">
        <v>87</v>
      </c>
      <c r="G1632" s="381" t="s">
        <v>6008</v>
      </c>
      <c r="H1632" s="387">
        <v>30</v>
      </c>
      <c r="I1632" s="381">
        <v>48.3</v>
      </c>
      <c r="J1632" s="381">
        <v>48.3</v>
      </c>
      <c r="K1632" s="381">
        <v>4</v>
      </c>
      <c r="L1632" s="381">
        <v>0</v>
      </c>
      <c r="M1632" s="381" t="s">
        <v>148</v>
      </c>
      <c r="N1632" s="381" t="s">
        <v>149</v>
      </c>
      <c r="O1632" s="381" t="s">
        <v>150</v>
      </c>
      <c r="P1632" s="381" t="s">
        <v>151</v>
      </c>
      <c r="Q1632" s="381"/>
      <c r="R1632" s="381" t="s">
        <v>7077</v>
      </c>
      <c r="S1632" s="381"/>
      <c r="T1632" s="381" t="s">
        <v>3179</v>
      </c>
      <c r="U1632" s="381" t="s">
        <v>152</v>
      </c>
      <c r="V1632" s="381" t="s">
        <v>23</v>
      </c>
    </row>
    <row r="1633" spans="2:22">
      <c r="B1633" s="383">
        <v>46261</v>
      </c>
      <c r="C1633" s="383">
        <v>46261</v>
      </c>
      <c r="D1633" s="381" t="s">
        <v>7078</v>
      </c>
      <c r="E1633" s="382" t="s">
        <v>7079</v>
      </c>
      <c r="F1633" s="381" t="s">
        <v>87</v>
      </c>
      <c r="G1633" s="381" t="s">
        <v>6008</v>
      </c>
      <c r="H1633" s="387">
        <v>30</v>
      </c>
      <c r="I1633" s="381">
        <v>31.3</v>
      </c>
      <c r="J1633" s="381">
        <v>31.3</v>
      </c>
      <c r="K1633" s="381">
        <v>4</v>
      </c>
      <c r="L1633" s="381">
        <v>0</v>
      </c>
      <c r="M1633" s="381" t="s">
        <v>148</v>
      </c>
      <c r="N1633" s="381" t="s">
        <v>149</v>
      </c>
      <c r="O1633" s="381" t="s">
        <v>150</v>
      </c>
      <c r="P1633" s="381" t="s">
        <v>151</v>
      </c>
      <c r="Q1633" s="381"/>
      <c r="R1633" s="381" t="s">
        <v>7079</v>
      </c>
      <c r="S1633" s="381"/>
      <c r="T1633" s="381" t="s">
        <v>3179</v>
      </c>
      <c r="U1633" s="381" t="s">
        <v>152</v>
      </c>
      <c r="V1633" s="381" t="s">
        <v>23</v>
      </c>
    </row>
    <row r="1634" spans="2:22">
      <c r="B1634" s="383">
        <v>46261</v>
      </c>
      <c r="C1634" s="383">
        <v>46261</v>
      </c>
      <c r="D1634" s="381" t="s">
        <v>7080</v>
      </c>
      <c r="E1634" s="382" t="s">
        <v>7081</v>
      </c>
      <c r="F1634" s="381" t="s">
        <v>87</v>
      </c>
      <c r="G1634" s="381" t="s">
        <v>2358</v>
      </c>
      <c r="H1634" s="387">
        <v>30</v>
      </c>
      <c r="I1634" s="381">
        <v>40.799999999999997</v>
      </c>
      <c r="J1634" s="381">
        <v>40.799999999999997</v>
      </c>
      <c r="K1634" s="381">
        <v>4</v>
      </c>
      <c r="L1634" s="381">
        <v>0</v>
      </c>
      <c r="M1634" s="381" t="s">
        <v>148</v>
      </c>
      <c r="N1634" s="381" t="s">
        <v>149</v>
      </c>
      <c r="O1634" s="381" t="s">
        <v>150</v>
      </c>
      <c r="P1634" s="381" t="s">
        <v>151</v>
      </c>
      <c r="Q1634" s="381"/>
      <c r="R1634" s="381" t="s">
        <v>7081</v>
      </c>
      <c r="S1634" s="381"/>
      <c r="T1634" s="381" t="s">
        <v>3179</v>
      </c>
      <c r="U1634" s="381" t="s">
        <v>152</v>
      </c>
      <c r="V1634" s="381" t="s">
        <v>23</v>
      </c>
    </row>
    <row r="1635" spans="2:22">
      <c r="B1635" s="383">
        <v>46261</v>
      </c>
      <c r="C1635" s="383">
        <v>46261</v>
      </c>
      <c r="D1635" s="381" t="s">
        <v>7082</v>
      </c>
      <c r="E1635" s="382" t="s">
        <v>7083</v>
      </c>
      <c r="F1635" s="381" t="s">
        <v>87</v>
      </c>
      <c r="G1635" s="381" t="s">
        <v>2358</v>
      </c>
      <c r="H1635" s="387">
        <v>30</v>
      </c>
      <c r="I1635" s="381">
        <v>30.8</v>
      </c>
      <c r="J1635" s="381">
        <v>30.8</v>
      </c>
      <c r="K1635" s="381">
        <v>4</v>
      </c>
      <c r="L1635" s="381">
        <v>0</v>
      </c>
      <c r="M1635" s="381" t="s">
        <v>148</v>
      </c>
      <c r="N1635" s="381" t="s">
        <v>149</v>
      </c>
      <c r="O1635" s="381" t="s">
        <v>150</v>
      </c>
      <c r="P1635" s="381" t="s">
        <v>151</v>
      </c>
      <c r="Q1635" s="381"/>
      <c r="R1635" s="381" t="s">
        <v>7083</v>
      </c>
      <c r="S1635" s="381"/>
      <c r="T1635" s="381" t="s">
        <v>3179</v>
      </c>
      <c r="U1635" s="381" t="s">
        <v>152</v>
      </c>
      <c r="V1635" s="381" t="s">
        <v>23</v>
      </c>
    </row>
    <row r="1636" spans="2:22">
      <c r="B1636" s="383">
        <v>46261</v>
      </c>
      <c r="C1636" s="383">
        <v>46261</v>
      </c>
      <c r="D1636" s="381" t="s">
        <v>7084</v>
      </c>
      <c r="E1636" s="382" t="s">
        <v>7085</v>
      </c>
      <c r="F1636" s="381" t="s">
        <v>87</v>
      </c>
      <c r="G1636" s="381" t="s">
        <v>2357</v>
      </c>
      <c r="H1636" s="387">
        <v>40</v>
      </c>
      <c r="I1636" s="381">
        <v>40.5</v>
      </c>
      <c r="J1636" s="381">
        <v>40.5</v>
      </c>
      <c r="K1636" s="381">
        <v>5</v>
      </c>
      <c r="L1636" s="381">
        <v>0</v>
      </c>
      <c r="M1636" s="381" t="s">
        <v>148</v>
      </c>
      <c r="N1636" s="381" t="s">
        <v>149</v>
      </c>
      <c r="O1636" s="381" t="s">
        <v>150</v>
      </c>
      <c r="P1636" s="381" t="s">
        <v>151</v>
      </c>
      <c r="Q1636" s="381"/>
      <c r="R1636" s="381" t="s">
        <v>7085</v>
      </c>
      <c r="S1636" s="381"/>
      <c r="T1636" s="381" t="s">
        <v>3179</v>
      </c>
      <c r="U1636" s="381" t="s">
        <v>152</v>
      </c>
      <c r="V1636" s="381" t="s">
        <v>23</v>
      </c>
    </row>
    <row r="1637" spans="2:22">
      <c r="B1637" s="383">
        <v>46261</v>
      </c>
      <c r="C1637" s="383">
        <v>46261</v>
      </c>
      <c r="D1637" s="381" t="s">
        <v>7086</v>
      </c>
      <c r="E1637" s="382" t="s">
        <v>7087</v>
      </c>
      <c r="F1637" s="381" t="s">
        <v>87</v>
      </c>
      <c r="G1637" s="381" t="s">
        <v>2357</v>
      </c>
      <c r="H1637" s="387">
        <v>40</v>
      </c>
      <c r="I1637" s="381">
        <v>33.799999999999997</v>
      </c>
      <c r="J1637" s="381">
        <v>33.799999999999997</v>
      </c>
      <c r="K1637" s="381">
        <v>5</v>
      </c>
      <c r="L1637" s="381">
        <v>0</v>
      </c>
      <c r="M1637" s="381" t="s">
        <v>148</v>
      </c>
      <c r="N1637" s="381" t="s">
        <v>149</v>
      </c>
      <c r="O1637" s="381" t="s">
        <v>150</v>
      </c>
      <c r="P1637" s="381" t="s">
        <v>151</v>
      </c>
      <c r="Q1637" s="381"/>
      <c r="R1637" s="381" t="s">
        <v>7087</v>
      </c>
      <c r="S1637" s="381"/>
      <c r="T1637" s="381" t="s">
        <v>3179</v>
      </c>
      <c r="U1637" s="381" t="s">
        <v>152</v>
      </c>
      <c r="V1637" s="381" t="s">
        <v>23</v>
      </c>
    </row>
    <row r="1638" spans="2:22">
      <c r="B1638" s="383">
        <v>46261</v>
      </c>
      <c r="C1638" s="383">
        <v>46261</v>
      </c>
      <c r="D1638" s="381" t="s">
        <v>7088</v>
      </c>
      <c r="E1638" s="382" t="s">
        <v>7089</v>
      </c>
      <c r="F1638" s="381" t="s">
        <v>87</v>
      </c>
      <c r="G1638" s="381" t="s">
        <v>4512</v>
      </c>
      <c r="H1638" s="387">
        <v>55</v>
      </c>
      <c r="I1638" s="381">
        <v>23.5</v>
      </c>
      <c r="J1638" s="381">
        <v>23.5</v>
      </c>
      <c r="K1638" s="381">
        <v>5</v>
      </c>
      <c r="L1638" s="381">
        <v>0</v>
      </c>
      <c r="M1638" s="381" t="s">
        <v>148</v>
      </c>
      <c r="N1638" s="381" t="s">
        <v>149</v>
      </c>
      <c r="O1638" s="381" t="s">
        <v>150</v>
      </c>
      <c r="P1638" s="381" t="s">
        <v>151</v>
      </c>
      <c r="Q1638" s="381"/>
      <c r="R1638" s="381" t="s">
        <v>7089</v>
      </c>
      <c r="S1638" s="381"/>
      <c r="T1638" s="381" t="s">
        <v>3179</v>
      </c>
      <c r="U1638" s="381" t="s">
        <v>152</v>
      </c>
      <c r="V1638" s="381" t="s">
        <v>23</v>
      </c>
    </row>
    <row r="1639" spans="2:22">
      <c r="B1639" s="383">
        <v>46261</v>
      </c>
      <c r="C1639" s="383">
        <v>46261</v>
      </c>
      <c r="D1639" s="381" t="s">
        <v>7090</v>
      </c>
      <c r="E1639" s="382" t="s">
        <v>7091</v>
      </c>
      <c r="F1639" s="381" t="s">
        <v>87</v>
      </c>
      <c r="G1639" s="381" t="s">
        <v>2357</v>
      </c>
      <c r="H1639" s="387">
        <v>40</v>
      </c>
      <c r="I1639" s="381">
        <v>41.4</v>
      </c>
      <c r="J1639" s="381">
        <v>41.4</v>
      </c>
      <c r="K1639" s="381">
        <v>5</v>
      </c>
      <c r="L1639" s="381">
        <v>0</v>
      </c>
      <c r="M1639" s="381" t="s">
        <v>148</v>
      </c>
      <c r="N1639" s="381" t="s">
        <v>149</v>
      </c>
      <c r="O1639" s="381" t="s">
        <v>150</v>
      </c>
      <c r="P1639" s="381" t="s">
        <v>151</v>
      </c>
      <c r="Q1639" s="381"/>
      <c r="R1639" s="381" t="s">
        <v>7091</v>
      </c>
      <c r="S1639" s="381"/>
      <c r="T1639" s="381" t="s">
        <v>3179</v>
      </c>
      <c r="U1639" s="381" t="s">
        <v>152</v>
      </c>
      <c r="V1639" s="381" t="s">
        <v>23</v>
      </c>
    </row>
    <row r="1640" spans="2:22">
      <c r="B1640" s="383">
        <v>46261</v>
      </c>
      <c r="C1640" s="383">
        <v>46261</v>
      </c>
      <c r="D1640" s="381" t="s">
        <v>7092</v>
      </c>
      <c r="E1640" s="382" t="s">
        <v>7093</v>
      </c>
      <c r="F1640" s="381" t="s">
        <v>87</v>
      </c>
      <c r="G1640" s="381" t="s">
        <v>2357</v>
      </c>
      <c r="H1640" s="387">
        <v>40</v>
      </c>
      <c r="I1640" s="381">
        <v>37.799999999999997</v>
      </c>
      <c r="J1640" s="381">
        <v>37.799999999999997</v>
      </c>
      <c r="K1640" s="381">
        <v>5</v>
      </c>
      <c r="L1640" s="381">
        <v>0</v>
      </c>
      <c r="M1640" s="381" t="s">
        <v>148</v>
      </c>
      <c r="N1640" s="381" t="s">
        <v>149</v>
      </c>
      <c r="O1640" s="381" t="s">
        <v>150</v>
      </c>
      <c r="P1640" s="381" t="s">
        <v>151</v>
      </c>
      <c r="Q1640" s="381"/>
      <c r="R1640" s="381" t="s">
        <v>7093</v>
      </c>
      <c r="S1640" s="381"/>
      <c r="T1640" s="381" t="s">
        <v>3179</v>
      </c>
      <c r="U1640" s="381" t="s">
        <v>152</v>
      </c>
      <c r="V1640" s="381" t="s">
        <v>23</v>
      </c>
    </row>
    <row r="1641" spans="2:22">
      <c r="B1641" s="383">
        <v>46261</v>
      </c>
      <c r="C1641" s="383">
        <v>46261</v>
      </c>
      <c r="D1641" s="381" t="s">
        <v>7094</v>
      </c>
      <c r="E1641" s="382" t="s">
        <v>7095</v>
      </c>
      <c r="F1641" s="381" t="s">
        <v>87</v>
      </c>
      <c r="G1641" s="381" t="s">
        <v>2404</v>
      </c>
      <c r="H1641" s="387">
        <v>40</v>
      </c>
      <c r="I1641" s="381">
        <v>40</v>
      </c>
      <c r="J1641" s="381">
        <v>40</v>
      </c>
      <c r="K1641" s="381">
        <v>5</v>
      </c>
      <c r="L1641" s="381">
        <v>0</v>
      </c>
      <c r="M1641" s="381" t="s">
        <v>148</v>
      </c>
      <c r="N1641" s="381" t="s">
        <v>149</v>
      </c>
      <c r="O1641" s="381" t="s">
        <v>150</v>
      </c>
      <c r="P1641" s="381" t="s">
        <v>151</v>
      </c>
      <c r="Q1641" s="381"/>
      <c r="R1641" s="381" t="s">
        <v>7095</v>
      </c>
      <c r="S1641" s="381"/>
      <c r="T1641" s="381" t="s">
        <v>3179</v>
      </c>
      <c r="U1641" s="381" t="s">
        <v>152</v>
      </c>
      <c r="V1641" s="381" t="s">
        <v>23</v>
      </c>
    </row>
    <row r="1642" spans="2:22">
      <c r="B1642" s="383">
        <v>46261</v>
      </c>
      <c r="C1642" s="383">
        <v>46261</v>
      </c>
      <c r="D1642" s="381" t="s">
        <v>7096</v>
      </c>
      <c r="E1642" s="382" t="s">
        <v>7097</v>
      </c>
      <c r="F1642" s="381" t="s">
        <v>87</v>
      </c>
      <c r="G1642" s="381" t="s">
        <v>2357</v>
      </c>
      <c r="H1642" s="387">
        <v>40</v>
      </c>
      <c r="I1642" s="381">
        <v>25.4</v>
      </c>
      <c r="J1642" s="381">
        <v>25.4</v>
      </c>
      <c r="K1642" s="381">
        <v>5</v>
      </c>
      <c r="L1642" s="381">
        <v>0</v>
      </c>
      <c r="M1642" s="381" t="s">
        <v>148</v>
      </c>
      <c r="N1642" s="381" t="s">
        <v>149</v>
      </c>
      <c r="O1642" s="381" t="s">
        <v>150</v>
      </c>
      <c r="P1642" s="381" t="s">
        <v>151</v>
      </c>
      <c r="Q1642" s="381"/>
      <c r="R1642" s="381" t="s">
        <v>7097</v>
      </c>
      <c r="S1642" s="381"/>
      <c r="T1642" s="381" t="s">
        <v>3179</v>
      </c>
      <c r="U1642" s="381" t="s">
        <v>152</v>
      </c>
      <c r="V1642" s="381" t="s">
        <v>23</v>
      </c>
    </row>
    <row r="1643" spans="2:22">
      <c r="B1643" s="383">
        <v>46261</v>
      </c>
      <c r="C1643" s="383">
        <v>46261</v>
      </c>
      <c r="D1643" s="381" t="s">
        <v>7098</v>
      </c>
      <c r="E1643" s="382" t="s">
        <v>7099</v>
      </c>
      <c r="F1643" s="381" t="s">
        <v>87</v>
      </c>
      <c r="G1643" s="381" t="s">
        <v>4512</v>
      </c>
      <c r="H1643" s="387">
        <v>55</v>
      </c>
      <c r="I1643" s="381">
        <v>41.5</v>
      </c>
      <c r="J1643" s="381">
        <v>41.5</v>
      </c>
      <c r="K1643" s="381">
        <v>5</v>
      </c>
      <c r="L1643" s="381">
        <v>0</v>
      </c>
      <c r="M1643" s="381" t="s">
        <v>148</v>
      </c>
      <c r="N1643" s="381" t="s">
        <v>149</v>
      </c>
      <c r="O1643" s="381" t="s">
        <v>150</v>
      </c>
      <c r="P1643" s="381" t="s">
        <v>151</v>
      </c>
      <c r="Q1643" s="381"/>
      <c r="R1643" s="381" t="s">
        <v>7099</v>
      </c>
      <c r="S1643" s="381"/>
      <c r="T1643" s="381" t="s">
        <v>3179</v>
      </c>
      <c r="U1643" s="381" t="s">
        <v>152</v>
      </c>
      <c r="V1643" s="381" t="s">
        <v>23</v>
      </c>
    </row>
    <row r="1644" spans="2:22">
      <c r="B1644" s="383">
        <v>46261</v>
      </c>
      <c r="C1644" s="383">
        <v>46261</v>
      </c>
      <c r="D1644" s="381" t="s">
        <v>7100</v>
      </c>
      <c r="E1644" s="382" t="s">
        <v>7101</v>
      </c>
      <c r="F1644" s="381" t="s">
        <v>87</v>
      </c>
      <c r="G1644" s="381" t="s">
        <v>2357</v>
      </c>
      <c r="H1644" s="387">
        <v>40</v>
      </c>
      <c r="I1644" s="381">
        <v>32.799999999999997</v>
      </c>
      <c r="J1644" s="381">
        <v>32.799999999999997</v>
      </c>
      <c r="K1644" s="381">
        <v>5</v>
      </c>
      <c r="L1644" s="381">
        <v>0</v>
      </c>
      <c r="M1644" s="381" t="s">
        <v>148</v>
      </c>
      <c r="N1644" s="381" t="s">
        <v>149</v>
      </c>
      <c r="O1644" s="381" t="s">
        <v>150</v>
      </c>
      <c r="P1644" s="381" t="s">
        <v>151</v>
      </c>
      <c r="Q1644" s="381"/>
      <c r="R1644" s="381" t="s">
        <v>7101</v>
      </c>
      <c r="S1644" s="381"/>
      <c r="T1644" s="381" t="s">
        <v>3179</v>
      </c>
      <c r="U1644" s="381" t="s">
        <v>152</v>
      </c>
      <c r="V1644" s="381" t="s">
        <v>23</v>
      </c>
    </row>
    <row r="1645" spans="2:22">
      <c r="B1645" s="383">
        <v>46261</v>
      </c>
      <c r="C1645" s="383">
        <v>46261</v>
      </c>
      <c r="D1645" s="381" t="s">
        <v>7102</v>
      </c>
      <c r="E1645" s="382" t="s">
        <v>7103</v>
      </c>
      <c r="F1645" s="381" t="s">
        <v>87</v>
      </c>
      <c r="G1645" s="381" t="s">
        <v>2404</v>
      </c>
      <c r="H1645" s="387">
        <v>40</v>
      </c>
      <c r="I1645" s="381">
        <v>35.5</v>
      </c>
      <c r="J1645" s="381">
        <v>35.5</v>
      </c>
      <c r="K1645" s="381">
        <v>5</v>
      </c>
      <c r="L1645" s="381">
        <v>0</v>
      </c>
      <c r="M1645" s="381" t="s">
        <v>148</v>
      </c>
      <c r="N1645" s="381" t="s">
        <v>149</v>
      </c>
      <c r="O1645" s="381" t="s">
        <v>150</v>
      </c>
      <c r="P1645" s="381" t="s">
        <v>151</v>
      </c>
      <c r="Q1645" s="381"/>
      <c r="R1645" s="381" t="s">
        <v>7103</v>
      </c>
      <c r="S1645" s="381"/>
      <c r="T1645" s="381" t="s">
        <v>3179</v>
      </c>
      <c r="U1645" s="381" t="s">
        <v>152</v>
      </c>
      <c r="V1645" s="381" t="s">
        <v>23</v>
      </c>
    </row>
    <row r="1646" spans="2:22">
      <c r="B1646" s="383">
        <v>46261</v>
      </c>
      <c r="C1646" s="383">
        <v>46261</v>
      </c>
      <c r="D1646" s="381" t="s">
        <v>7104</v>
      </c>
      <c r="E1646" s="382" t="s">
        <v>7105</v>
      </c>
      <c r="F1646" s="381" t="s">
        <v>87</v>
      </c>
      <c r="G1646" s="381" t="s">
        <v>7037</v>
      </c>
      <c r="H1646" s="387">
        <v>40</v>
      </c>
      <c r="I1646" s="381">
        <v>35.799999999999997</v>
      </c>
      <c r="J1646" s="381">
        <v>35.799999999999997</v>
      </c>
      <c r="K1646" s="381">
        <v>5</v>
      </c>
      <c r="L1646" s="381">
        <v>0</v>
      </c>
      <c r="M1646" s="381" t="s">
        <v>148</v>
      </c>
      <c r="N1646" s="381" t="s">
        <v>149</v>
      </c>
      <c r="O1646" s="381" t="s">
        <v>150</v>
      </c>
      <c r="P1646" s="381" t="s">
        <v>151</v>
      </c>
      <c r="Q1646" s="381"/>
      <c r="R1646" s="381" t="s">
        <v>7105</v>
      </c>
      <c r="S1646" s="381"/>
      <c r="T1646" s="381" t="s">
        <v>3179</v>
      </c>
      <c r="U1646" s="381" t="s">
        <v>152</v>
      </c>
      <c r="V1646" s="381" t="s">
        <v>23</v>
      </c>
    </row>
    <row r="1647" spans="2:22">
      <c r="B1647" s="383">
        <v>46261</v>
      </c>
      <c r="C1647" s="383">
        <v>46261</v>
      </c>
      <c r="D1647" s="381" t="s">
        <v>7106</v>
      </c>
      <c r="E1647" s="382" t="s">
        <v>7107</v>
      </c>
      <c r="F1647" s="381" t="s">
        <v>87</v>
      </c>
      <c r="G1647" s="381" t="s">
        <v>2357</v>
      </c>
      <c r="H1647" s="387">
        <v>40</v>
      </c>
      <c r="I1647" s="381">
        <v>40.4</v>
      </c>
      <c r="J1647" s="381">
        <v>40.4</v>
      </c>
      <c r="K1647" s="381">
        <v>5</v>
      </c>
      <c r="L1647" s="381">
        <v>0</v>
      </c>
      <c r="M1647" s="381" t="s">
        <v>148</v>
      </c>
      <c r="N1647" s="381" t="s">
        <v>149</v>
      </c>
      <c r="O1647" s="381" t="s">
        <v>150</v>
      </c>
      <c r="P1647" s="381" t="s">
        <v>151</v>
      </c>
      <c r="Q1647" s="381"/>
      <c r="R1647" s="381" t="s">
        <v>7107</v>
      </c>
      <c r="S1647" s="381"/>
      <c r="T1647" s="381" t="s">
        <v>3179</v>
      </c>
      <c r="U1647" s="381" t="s">
        <v>152</v>
      </c>
      <c r="V1647" s="381" t="s">
        <v>23</v>
      </c>
    </row>
    <row r="1648" spans="2:22">
      <c r="B1648" s="383">
        <v>46261</v>
      </c>
      <c r="C1648" s="383">
        <v>46261</v>
      </c>
      <c r="D1648" s="381" t="s">
        <v>7108</v>
      </c>
      <c r="E1648" s="382" t="s">
        <v>7109</v>
      </c>
      <c r="F1648" s="381" t="s">
        <v>87</v>
      </c>
      <c r="G1648" s="381" t="s">
        <v>2358</v>
      </c>
      <c r="H1648" s="387">
        <v>30</v>
      </c>
      <c r="I1648" s="381">
        <v>22.4</v>
      </c>
      <c r="J1648" s="381">
        <v>22.4</v>
      </c>
      <c r="K1648" s="381">
        <v>4</v>
      </c>
      <c r="L1648" s="381">
        <v>0</v>
      </c>
      <c r="M1648" s="381" t="s">
        <v>148</v>
      </c>
      <c r="N1648" s="381" t="s">
        <v>149</v>
      </c>
      <c r="O1648" s="381" t="s">
        <v>150</v>
      </c>
      <c r="P1648" s="381" t="s">
        <v>151</v>
      </c>
      <c r="Q1648" s="381"/>
      <c r="R1648" s="381" t="s">
        <v>7109</v>
      </c>
      <c r="S1648" s="381"/>
      <c r="T1648" s="381" t="s">
        <v>3179</v>
      </c>
      <c r="U1648" s="381" t="s">
        <v>152</v>
      </c>
      <c r="V1648" s="381" t="s">
        <v>23</v>
      </c>
    </row>
    <row r="1649" spans="2:22">
      <c r="B1649" s="383">
        <v>46261</v>
      </c>
      <c r="C1649" s="383">
        <v>46261</v>
      </c>
      <c r="D1649" s="381" t="s">
        <v>7110</v>
      </c>
      <c r="E1649" s="382" t="s">
        <v>7111</v>
      </c>
      <c r="F1649" s="381" t="s">
        <v>87</v>
      </c>
      <c r="G1649" s="381" t="s">
        <v>2357</v>
      </c>
      <c r="H1649" s="387">
        <v>40</v>
      </c>
      <c r="I1649" s="381">
        <v>36.4</v>
      </c>
      <c r="J1649" s="381">
        <v>36.4</v>
      </c>
      <c r="K1649" s="381">
        <v>5</v>
      </c>
      <c r="L1649" s="381">
        <v>0</v>
      </c>
      <c r="M1649" s="381" t="s">
        <v>148</v>
      </c>
      <c r="N1649" s="381" t="s">
        <v>149</v>
      </c>
      <c r="O1649" s="381" t="s">
        <v>150</v>
      </c>
      <c r="P1649" s="381" t="s">
        <v>151</v>
      </c>
      <c r="Q1649" s="381"/>
      <c r="R1649" s="381" t="s">
        <v>7111</v>
      </c>
      <c r="S1649" s="381"/>
      <c r="T1649" s="381" t="s">
        <v>3179</v>
      </c>
      <c r="U1649" s="381" t="s">
        <v>152</v>
      </c>
      <c r="V1649" s="381" t="s">
        <v>23</v>
      </c>
    </row>
    <row r="1650" spans="2:22">
      <c r="B1650" s="383">
        <v>46261</v>
      </c>
      <c r="C1650" s="383">
        <v>46261</v>
      </c>
      <c r="D1650" s="381" t="s">
        <v>7112</v>
      </c>
      <c r="E1650" s="382" t="s">
        <v>7113</v>
      </c>
      <c r="F1650" s="381" t="s">
        <v>87</v>
      </c>
      <c r="G1650" s="381" t="s">
        <v>2357</v>
      </c>
      <c r="H1650" s="387">
        <v>40</v>
      </c>
      <c r="I1650" s="381">
        <v>35.4</v>
      </c>
      <c r="J1650" s="381">
        <v>35.4</v>
      </c>
      <c r="K1650" s="381">
        <v>5</v>
      </c>
      <c r="L1650" s="381">
        <v>0</v>
      </c>
      <c r="M1650" s="381" t="s">
        <v>148</v>
      </c>
      <c r="N1650" s="381" t="s">
        <v>149</v>
      </c>
      <c r="O1650" s="381" t="s">
        <v>150</v>
      </c>
      <c r="P1650" s="381" t="s">
        <v>151</v>
      </c>
      <c r="Q1650" s="381"/>
      <c r="R1650" s="381" t="s">
        <v>7113</v>
      </c>
      <c r="S1650" s="381"/>
      <c r="T1650" s="381" t="s">
        <v>3179</v>
      </c>
      <c r="U1650" s="381" t="s">
        <v>152</v>
      </c>
      <c r="V1650" s="381" t="s">
        <v>23</v>
      </c>
    </row>
    <row r="1651" spans="2:22">
      <c r="B1651" s="383">
        <v>46261</v>
      </c>
      <c r="C1651" s="383">
        <v>46261</v>
      </c>
      <c r="D1651" s="381" t="s">
        <v>7114</v>
      </c>
      <c r="E1651" s="382" t="s">
        <v>7115</v>
      </c>
      <c r="F1651" s="381" t="s">
        <v>87</v>
      </c>
      <c r="G1651" s="381" t="s">
        <v>2404</v>
      </c>
      <c r="H1651" s="387">
        <v>40</v>
      </c>
      <c r="I1651" s="381">
        <v>24.5</v>
      </c>
      <c r="J1651" s="381">
        <v>24.5</v>
      </c>
      <c r="K1651" s="381">
        <v>5</v>
      </c>
      <c r="L1651" s="381">
        <v>0</v>
      </c>
      <c r="M1651" s="381" t="s">
        <v>148</v>
      </c>
      <c r="N1651" s="381" t="s">
        <v>149</v>
      </c>
      <c r="O1651" s="381" t="s">
        <v>150</v>
      </c>
      <c r="P1651" s="381" t="s">
        <v>151</v>
      </c>
      <c r="Q1651" s="381"/>
      <c r="R1651" s="381" t="s">
        <v>7115</v>
      </c>
      <c r="S1651" s="381"/>
      <c r="T1651" s="381" t="s">
        <v>3179</v>
      </c>
      <c r="U1651" s="381" t="s">
        <v>152</v>
      </c>
      <c r="V1651" s="381" t="s">
        <v>23</v>
      </c>
    </row>
    <row r="1652" spans="2:22">
      <c r="B1652" s="383">
        <v>46261</v>
      </c>
      <c r="C1652" s="383">
        <v>46261</v>
      </c>
      <c r="D1652" s="381" t="s">
        <v>7116</v>
      </c>
      <c r="E1652" s="382" t="s">
        <v>7117</v>
      </c>
      <c r="F1652" s="381" t="s">
        <v>87</v>
      </c>
      <c r="G1652" s="381" t="s">
        <v>2358</v>
      </c>
      <c r="H1652" s="387">
        <v>30</v>
      </c>
      <c r="I1652" s="381">
        <v>26.8</v>
      </c>
      <c r="J1652" s="381">
        <v>26.8</v>
      </c>
      <c r="K1652" s="381">
        <v>4</v>
      </c>
      <c r="L1652" s="381">
        <v>0</v>
      </c>
      <c r="M1652" s="381" t="s">
        <v>148</v>
      </c>
      <c r="N1652" s="381" t="s">
        <v>149</v>
      </c>
      <c r="O1652" s="381" t="s">
        <v>150</v>
      </c>
      <c r="P1652" s="381" t="s">
        <v>151</v>
      </c>
      <c r="Q1652" s="381"/>
      <c r="R1652" s="381" t="s">
        <v>7117</v>
      </c>
      <c r="S1652" s="381"/>
      <c r="T1652" s="381" t="s">
        <v>3179</v>
      </c>
      <c r="U1652" s="381" t="s">
        <v>152</v>
      </c>
      <c r="V1652" s="381" t="s">
        <v>23</v>
      </c>
    </row>
    <row r="1653" spans="2:22">
      <c r="B1653" s="383">
        <v>46261</v>
      </c>
      <c r="C1653" s="383">
        <v>46261</v>
      </c>
      <c r="D1653" s="381" t="s">
        <v>7118</v>
      </c>
      <c r="E1653" s="382" t="s">
        <v>7119</v>
      </c>
      <c r="F1653" s="381" t="s">
        <v>87</v>
      </c>
      <c r="G1653" s="381" t="s">
        <v>2358</v>
      </c>
      <c r="H1653" s="387">
        <v>30</v>
      </c>
      <c r="I1653" s="381">
        <v>31</v>
      </c>
      <c r="J1653" s="381">
        <v>31</v>
      </c>
      <c r="K1653" s="381">
        <v>4</v>
      </c>
      <c r="L1653" s="381">
        <v>0</v>
      </c>
      <c r="M1653" s="381" t="s">
        <v>148</v>
      </c>
      <c r="N1653" s="381" t="s">
        <v>149</v>
      </c>
      <c r="O1653" s="381" t="s">
        <v>150</v>
      </c>
      <c r="P1653" s="381" t="s">
        <v>151</v>
      </c>
      <c r="Q1653" s="381"/>
      <c r="R1653" s="381" t="s">
        <v>7119</v>
      </c>
      <c r="S1653" s="381"/>
      <c r="T1653" s="381" t="s">
        <v>3179</v>
      </c>
      <c r="U1653" s="381" t="s">
        <v>152</v>
      </c>
      <c r="V1653" s="381" t="s">
        <v>23</v>
      </c>
    </row>
    <row r="1654" spans="2:22">
      <c r="B1654" s="383">
        <v>46261</v>
      </c>
      <c r="C1654" s="383">
        <v>46261</v>
      </c>
      <c r="D1654" s="381" t="s">
        <v>7120</v>
      </c>
      <c r="E1654" s="382" t="s">
        <v>7121</v>
      </c>
      <c r="F1654" s="381" t="s">
        <v>87</v>
      </c>
      <c r="G1654" s="381" t="s">
        <v>2357</v>
      </c>
      <c r="H1654" s="387">
        <v>40</v>
      </c>
      <c r="I1654" s="381">
        <v>34</v>
      </c>
      <c r="J1654" s="381">
        <v>34</v>
      </c>
      <c r="K1654" s="381">
        <v>5</v>
      </c>
      <c r="L1654" s="381">
        <v>0</v>
      </c>
      <c r="M1654" s="381" t="s">
        <v>148</v>
      </c>
      <c r="N1654" s="381" t="s">
        <v>149</v>
      </c>
      <c r="O1654" s="381" t="s">
        <v>150</v>
      </c>
      <c r="P1654" s="381" t="s">
        <v>151</v>
      </c>
      <c r="Q1654" s="381"/>
      <c r="R1654" s="381" t="s">
        <v>7121</v>
      </c>
      <c r="S1654" s="381"/>
      <c r="T1654" s="381" t="s">
        <v>3179</v>
      </c>
      <c r="U1654" s="381" t="s">
        <v>152</v>
      </c>
      <c r="V1654" s="381" t="s">
        <v>23</v>
      </c>
    </row>
    <row r="1655" spans="2:22">
      <c r="B1655" s="383">
        <v>46261</v>
      </c>
      <c r="C1655" s="383">
        <v>46261</v>
      </c>
      <c r="D1655" s="381" t="s">
        <v>7122</v>
      </c>
      <c r="E1655" s="382" t="s">
        <v>7123</v>
      </c>
      <c r="F1655" s="381" t="s">
        <v>87</v>
      </c>
      <c r="G1655" s="381" t="s">
        <v>2358</v>
      </c>
      <c r="H1655" s="387">
        <v>30</v>
      </c>
      <c r="I1655" s="381">
        <v>33.799999999999997</v>
      </c>
      <c r="J1655" s="381">
        <v>33.799999999999997</v>
      </c>
      <c r="K1655" s="381">
        <v>4</v>
      </c>
      <c r="L1655" s="381">
        <v>0</v>
      </c>
      <c r="M1655" s="381" t="s">
        <v>148</v>
      </c>
      <c r="N1655" s="381" t="s">
        <v>149</v>
      </c>
      <c r="O1655" s="381" t="s">
        <v>150</v>
      </c>
      <c r="P1655" s="381" t="s">
        <v>151</v>
      </c>
      <c r="Q1655" s="381"/>
      <c r="R1655" s="381" t="s">
        <v>7123</v>
      </c>
      <c r="S1655" s="381"/>
      <c r="T1655" s="381" t="s">
        <v>3179</v>
      </c>
      <c r="U1655" s="381" t="s">
        <v>152</v>
      </c>
      <c r="V1655" s="381" t="s">
        <v>23</v>
      </c>
    </row>
    <row r="1656" spans="2:22">
      <c r="B1656" s="383">
        <v>46261</v>
      </c>
      <c r="C1656" s="383">
        <v>46261</v>
      </c>
      <c r="D1656" s="381" t="s">
        <v>7124</v>
      </c>
      <c r="E1656" s="382" t="s">
        <v>7125</v>
      </c>
      <c r="F1656" s="381" t="s">
        <v>87</v>
      </c>
      <c r="G1656" s="381" t="s">
        <v>2358</v>
      </c>
      <c r="H1656" s="387">
        <v>30</v>
      </c>
      <c r="I1656" s="381">
        <v>26.5</v>
      </c>
      <c r="J1656" s="381">
        <v>26.5</v>
      </c>
      <c r="K1656" s="381">
        <v>4</v>
      </c>
      <c r="L1656" s="381">
        <v>0</v>
      </c>
      <c r="M1656" s="381" t="s">
        <v>148</v>
      </c>
      <c r="N1656" s="381" t="s">
        <v>149</v>
      </c>
      <c r="O1656" s="381" t="s">
        <v>150</v>
      </c>
      <c r="P1656" s="381" t="s">
        <v>151</v>
      </c>
      <c r="Q1656" s="381"/>
      <c r="R1656" s="381" t="s">
        <v>7125</v>
      </c>
      <c r="S1656" s="381"/>
      <c r="T1656" s="381" t="s">
        <v>3179</v>
      </c>
      <c r="U1656" s="381" t="s">
        <v>152</v>
      </c>
      <c r="V1656" s="381" t="s">
        <v>23</v>
      </c>
    </row>
    <row r="1657" spans="2:22">
      <c r="B1657" s="383">
        <v>46261</v>
      </c>
      <c r="C1657" s="383">
        <v>46261</v>
      </c>
      <c r="D1657" s="381" t="s">
        <v>7126</v>
      </c>
      <c r="E1657" s="382" t="s">
        <v>7127</v>
      </c>
      <c r="F1657" s="381" t="s">
        <v>87</v>
      </c>
      <c r="G1657" s="381" t="s">
        <v>6008</v>
      </c>
      <c r="H1657" s="387">
        <v>30</v>
      </c>
      <c r="I1657" s="381">
        <v>47.8</v>
      </c>
      <c r="J1657" s="381">
        <v>47.8</v>
      </c>
      <c r="K1657" s="381">
        <v>4</v>
      </c>
      <c r="L1657" s="381">
        <v>0</v>
      </c>
      <c r="M1657" s="381" t="s">
        <v>148</v>
      </c>
      <c r="N1657" s="381" t="s">
        <v>149</v>
      </c>
      <c r="O1657" s="381" t="s">
        <v>150</v>
      </c>
      <c r="P1657" s="381" t="s">
        <v>151</v>
      </c>
      <c r="Q1657" s="381"/>
      <c r="R1657" s="381" t="s">
        <v>7127</v>
      </c>
      <c r="S1657" s="381"/>
      <c r="T1657" s="381" t="s">
        <v>3179</v>
      </c>
      <c r="U1657" s="381" t="s">
        <v>152</v>
      </c>
      <c r="V1657" s="381" t="s">
        <v>23</v>
      </c>
    </row>
    <row r="1658" spans="2:22">
      <c r="B1658" s="383">
        <v>46261</v>
      </c>
      <c r="C1658" s="383">
        <v>46261</v>
      </c>
      <c r="D1658" s="381" t="s">
        <v>7128</v>
      </c>
      <c r="E1658" s="382" t="s">
        <v>7129</v>
      </c>
      <c r="F1658" s="381" t="s">
        <v>87</v>
      </c>
      <c r="G1658" s="381" t="s">
        <v>6008</v>
      </c>
      <c r="H1658" s="387">
        <v>30</v>
      </c>
      <c r="I1658" s="381">
        <v>46.8</v>
      </c>
      <c r="J1658" s="381">
        <v>46.8</v>
      </c>
      <c r="K1658" s="381">
        <v>4</v>
      </c>
      <c r="L1658" s="381">
        <v>0</v>
      </c>
      <c r="M1658" s="381" t="s">
        <v>148</v>
      </c>
      <c r="N1658" s="381" t="s">
        <v>149</v>
      </c>
      <c r="O1658" s="381" t="s">
        <v>150</v>
      </c>
      <c r="P1658" s="381" t="s">
        <v>151</v>
      </c>
      <c r="Q1658" s="381"/>
      <c r="R1658" s="381" t="s">
        <v>7129</v>
      </c>
      <c r="S1658" s="381"/>
      <c r="T1658" s="381" t="s">
        <v>3179</v>
      </c>
      <c r="U1658" s="381" t="s">
        <v>152</v>
      </c>
      <c r="V1658" s="381" t="s">
        <v>23</v>
      </c>
    </row>
    <row r="1659" spans="2:22">
      <c r="B1659" s="383">
        <v>46261</v>
      </c>
      <c r="C1659" s="383">
        <v>46261</v>
      </c>
      <c r="D1659" s="381" t="s">
        <v>7130</v>
      </c>
      <c r="E1659" s="382" t="s">
        <v>7131</v>
      </c>
      <c r="F1659" s="381" t="s">
        <v>87</v>
      </c>
      <c r="G1659" s="381" t="s">
        <v>2358</v>
      </c>
      <c r="H1659" s="387">
        <v>30</v>
      </c>
      <c r="I1659" s="381">
        <v>38.299999999999997</v>
      </c>
      <c r="J1659" s="381">
        <v>38.299999999999997</v>
      </c>
      <c r="K1659" s="381">
        <v>4</v>
      </c>
      <c r="L1659" s="381">
        <v>0</v>
      </c>
      <c r="M1659" s="381" t="s">
        <v>148</v>
      </c>
      <c r="N1659" s="381" t="s">
        <v>149</v>
      </c>
      <c r="O1659" s="381" t="s">
        <v>150</v>
      </c>
      <c r="P1659" s="381" t="s">
        <v>151</v>
      </c>
      <c r="Q1659" s="381"/>
      <c r="R1659" s="381" t="s">
        <v>7131</v>
      </c>
      <c r="S1659" s="381"/>
      <c r="T1659" s="381" t="s">
        <v>3179</v>
      </c>
      <c r="U1659" s="381" t="s">
        <v>152</v>
      </c>
      <c r="V1659" s="381" t="s">
        <v>23</v>
      </c>
    </row>
    <row r="1660" spans="2:22">
      <c r="B1660" s="383">
        <v>46261</v>
      </c>
      <c r="C1660" s="383">
        <v>46261</v>
      </c>
      <c r="D1660" s="381" t="s">
        <v>7132</v>
      </c>
      <c r="E1660" s="382" t="s">
        <v>7133</v>
      </c>
      <c r="F1660" s="381" t="s">
        <v>87</v>
      </c>
      <c r="G1660" s="381" t="s">
        <v>2357</v>
      </c>
      <c r="H1660" s="387">
        <v>40</v>
      </c>
      <c r="I1660" s="381">
        <v>42.5</v>
      </c>
      <c r="J1660" s="381">
        <v>42.5</v>
      </c>
      <c r="K1660" s="381">
        <v>5</v>
      </c>
      <c r="L1660" s="381">
        <v>0</v>
      </c>
      <c r="M1660" s="381" t="s">
        <v>148</v>
      </c>
      <c r="N1660" s="381" t="s">
        <v>149</v>
      </c>
      <c r="O1660" s="381" t="s">
        <v>150</v>
      </c>
      <c r="P1660" s="381" t="s">
        <v>151</v>
      </c>
      <c r="Q1660" s="381"/>
      <c r="R1660" s="381" t="s">
        <v>7133</v>
      </c>
      <c r="S1660" s="381"/>
      <c r="T1660" s="381" t="s">
        <v>3179</v>
      </c>
      <c r="U1660" s="381" t="s">
        <v>152</v>
      </c>
      <c r="V1660" s="381" t="s">
        <v>23</v>
      </c>
    </row>
    <row r="1661" spans="2:22">
      <c r="B1661" s="383">
        <v>46261</v>
      </c>
      <c r="C1661" s="383">
        <v>46261</v>
      </c>
      <c r="D1661" s="381" t="s">
        <v>7134</v>
      </c>
      <c r="E1661" s="382" t="s">
        <v>7135</v>
      </c>
      <c r="F1661" s="381" t="s">
        <v>87</v>
      </c>
      <c r="G1661" s="381" t="s">
        <v>2357</v>
      </c>
      <c r="H1661" s="387">
        <v>40</v>
      </c>
      <c r="I1661" s="381">
        <v>32.799999999999997</v>
      </c>
      <c r="J1661" s="381">
        <v>32.799999999999997</v>
      </c>
      <c r="K1661" s="381">
        <v>5</v>
      </c>
      <c r="L1661" s="381">
        <v>0</v>
      </c>
      <c r="M1661" s="381" t="s">
        <v>148</v>
      </c>
      <c r="N1661" s="381" t="s">
        <v>149</v>
      </c>
      <c r="O1661" s="381" t="s">
        <v>150</v>
      </c>
      <c r="P1661" s="381" t="s">
        <v>151</v>
      </c>
      <c r="Q1661" s="381"/>
      <c r="R1661" s="381" t="s">
        <v>7135</v>
      </c>
      <c r="S1661" s="381"/>
      <c r="T1661" s="381" t="s">
        <v>3179</v>
      </c>
      <c r="U1661" s="381" t="s">
        <v>152</v>
      </c>
      <c r="V1661" s="381" t="s">
        <v>23</v>
      </c>
    </row>
    <row r="1662" spans="2:22">
      <c r="B1662" s="383">
        <v>46261</v>
      </c>
      <c r="C1662" s="383">
        <v>46261</v>
      </c>
      <c r="D1662" s="381" t="s">
        <v>7136</v>
      </c>
      <c r="E1662" s="382" t="s">
        <v>7137</v>
      </c>
      <c r="F1662" s="381" t="s">
        <v>87</v>
      </c>
      <c r="G1662" s="381" t="s">
        <v>4512</v>
      </c>
      <c r="H1662" s="387">
        <v>55</v>
      </c>
      <c r="I1662" s="381">
        <v>35.299999999999997</v>
      </c>
      <c r="J1662" s="381">
        <v>35.299999999999997</v>
      </c>
      <c r="K1662" s="381">
        <v>5</v>
      </c>
      <c r="L1662" s="381">
        <v>0</v>
      </c>
      <c r="M1662" s="381" t="s">
        <v>148</v>
      </c>
      <c r="N1662" s="381" t="s">
        <v>149</v>
      </c>
      <c r="O1662" s="381" t="s">
        <v>150</v>
      </c>
      <c r="P1662" s="381" t="s">
        <v>151</v>
      </c>
      <c r="Q1662" s="381"/>
      <c r="R1662" s="381" t="s">
        <v>7137</v>
      </c>
      <c r="S1662" s="381"/>
      <c r="T1662" s="381" t="s">
        <v>3179</v>
      </c>
      <c r="U1662" s="381" t="s">
        <v>152</v>
      </c>
      <c r="V1662" s="381" t="s">
        <v>23</v>
      </c>
    </row>
    <row r="1663" spans="2:22">
      <c r="B1663" s="383">
        <v>46261</v>
      </c>
      <c r="C1663" s="383">
        <v>46261</v>
      </c>
      <c r="D1663" s="381" t="s">
        <v>7138</v>
      </c>
      <c r="E1663" s="382" t="s">
        <v>7139</v>
      </c>
      <c r="F1663" s="381" t="s">
        <v>87</v>
      </c>
      <c r="G1663" s="381" t="s">
        <v>7037</v>
      </c>
      <c r="H1663" s="387">
        <v>40</v>
      </c>
      <c r="I1663" s="381">
        <v>9.8000000000000007</v>
      </c>
      <c r="J1663" s="381">
        <v>9.8000000000000007</v>
      </c>
      <c r="K1663" s="381">
        <v>5</v>
      </c>
      <c r="L1663" s="381">
        <v>0</v>
      </c>
      <c r="M1663" s="381" t="s">
        <v>148</v>
      </c>
      <c r="N1663" s="381" t="s">
        <v>149</v>
      </c>
      <c r="O1663" s="381" t="s">
        <v>150</v>
      </c>
      <c r="P1663" s="381" t="s">
        <v>151</v>
      </c>
      <c r="Q1663" s="381"/>
      <c r="R1663" s="381" t="s">
        <v>7139</v>
      </c>
      <c r="S1663" s="381"/>
      <c r="T1663" s="381" t="s">
        <v>3179</v>
      </c>
      <c r="U1663" s="381" t="s">
        <v>152</v>
      </c>
      <c r="V1663" s="381" t="s">
        <v>23</v>
      </c>
    </row>
    <row r="1664" spans="2:22">
      <c r="B1664" s="383">
        <v>46262</v>
      </c>
      <c r="C1664" s="383">
        <v>46262</v>
      </c>
      <c r="D1664" s="381" t="s">
        <v>7140</v>
      </c>
      <c r="E1664" s="382" t="s">
        <v>7141</v>
      </c>
      <c r="F1664" s="381" t="s">
        <v>87</v>
      </c>
      <c r="G1664" s="381" t="s">
        <v>2404</v>
      </c>
      <c r="H1664" s="387">
        <v>40</v>
      </c>
      <c r="I1664" s="381">
        <v>25.4</v>
      </c>
      <c r="J1664" s="381">
        <v>25.4</v>
      </c>
      <c r="K1664" s="381">
        <v>5</v>
      </c>
      <c r="L1664" s="381">
        <v>0</v>
      </c>
      <c r="M1664" s="381" t="s">
        <v>148</v>
      </c>
      <c r="N1664" s="381" t="s">
        <v>149</v>
      </c>
      <c r="O1664" s="381" t="s">
        <v>150</v>
      </c>
      <c r="P1664" s="381" t="s">
        <v>151</v>
      </c>
      <c r="Q1664" s="381"/>
      <c r="R1664" s="381" t="s">
        <v>7141</v>
      </c>
      <c r="S1664" s="381"/>
      <c r="T1664" s="381" t="s">
        <v>3188</v>
      </c>
      <c r="U1664" s="381" t="s">
        <v>152</v>
      </c>
      <c r="V1664" s="381" t="s">
        <v>23</v>
      </c>
    </row>
    <row r="1665" spans="2:22">
      <c r="B1665" s="383">
        <v>46262</v>
      </c>
      <c r="C1665" s="383">
        <v>46262</v>
      </c>
      <c r="D1665" s="381" t="s">
        <v>7142</v>
      </c>
      <c r="E1665" s="382" t="s">
        <v>7143</v>
      </c>
      <c r="F1665" s="381" t="s">
        <v>87</v>
      </c>
      <c r="G1665" s="381" t="s">
        <v>6008</v>
      </c>
      <c r="H1665" s="387">
        <v>30</v>
      </c>
      <c r="I1665" s="381">
        <v>47.3</v>
      </c>
      <c r="J1665" s="381">
        <v>47.3</v>
      </c>
      <c r="K1665" s="381">
        <v>4</v>
      </c>
      <c r="L1665" s="381">
        <v>0</v>
      </c>
      <c r="M1665" s="381" t="s">
        <v>148</v>
      </c>
      <c r="N1665" s="381" t="s">
        <v>149</v>
      </c>
      <c r="O1665" s="381" t="s">
        <v>150</v>
      </c>
      <c r="P1665" s="381" t="s">
        <v>151</v>
      </c>
      <c r="Q1665" s="381"/>
      <c r="R1665" s="381" t="s">
        <v>7143</v>
      </c>
      <c r="S1665" s="381"/>
      <c r="T1665" s="381" t="s">
        <v>3188</v>
      </c>
      <c r="U1665" s="381" t="s">
        <v>152</v>
      </c>
      <c r="V1665" s="381" t="s">
        <v>23</v>
      </c>
    </row>
    <row r="1666" spans="2:22">
      <c r="B1666" s="383">
        <v>46262</v>
      </c>
      <c r="C1666" s="383">
        <v>46262</v>
      </c>
      <c r="D1666" s="381" t="s">
        <v>7144</v>
      </c>
      <c r="E1666" s="382" t="s">
        <v>7145</v>
      </c>
      <c r="F1666" s="381" t="s">
        <v>87</v>
      </c>
      <c r="G1666" s="381" t="s">
        <v>2358</v>
      </c>
      <c r="H1666" s="387">
        <v>30</v>
      </c>
      <c r="I1666" s="381">
        <v>32.5</v>
      </c>
      <c r="J1666" s="381">
        <v>32.5</v>
      </c>
      <c r="K1666" s="381">
        <v>4</v>
      </c>
      <c r="L1666" s="381">
        <v>0</v>
      </c>
      <c r="M1666" s="381" t="s">
        <v>148</v>
      </c>
      <c r="N1666" s="381" t="s">
        <v>149</v>
      </c>
      <c r="O1666" s="381" t="s">
        <v>150</v>
      </c>
      <c r="P1666" s="381" t="s">
        <v>151</v>
      </c>
      <c r="Q1666" s="381"/>
      <c r="R1666" s="381" t="s">
        <v>7145</v>
      </c>
      <c r="S1666" s="381"/>
      <c r="T1666" s="381" t="s">
        <v>3188</v>
      </c>
      <c r="U1666" s="381" t="s">
        <v>152</v>
      </c>
      <c r="V1666" s="381" t="s">
        <v>23</v>
      </c>
    </row>
    <row r="1667" spans="2:22">
      <c r="B1667" s="383">
        <v>46262</v>
      </c>
      <c r="C1667" s="383">
        <v>46262</v>
      </c>
      <c r="D1667" s="381" t="s">
        <v>7146</v>
      </c>
      <c r="E1667" s="382" t="s">
        <v>7147</v>
      </c>
      <c r="F1667" s="381" t="s">
        <v>87</v>
      </c>
      <c r="G1667" s="381" t="s">
        <v>7037</v>
      </c>
      <c r="H1667" s="387">
        <v>40</v>
      </c>
      <c r="I1667" s="381">
        <v>35.4</v>
      </c>
      <c r="J1667" s="381">
        <v>35.4</v>
      </c>
      <c r="K1667" s="381">
        <v>5</v>
      </c>
      <c r="L1667" s="381">
        <v>0</v>
      </c>
      <c r="M1667" s="381" t="s">
        <v>148</v>
      </c>
      <c r="N1667" s="381" t="s">
        <v>149</v>
      </c>
      <c r="O1667" s="381" t="s">
        <v>150</v>
      </c>
      <c r="P1667" s="381" t="s">
        <v>151</v>
      </c>
      <c r="Q1667" s="381"/>
      <c r="R1667" s="381" t="s">
        <v>7147</v>
      </c>
      <c r="S1667" s="381"/>
      <c r="T1667" s="381" t="s">
        <v>3188</v>
      </c>
      <c r="U1667" s="381" t="s">
        <v>152</v>
      </c>
      <c r="V1667" s="381" t="s">
        <v>23</v>
      </c>
    </row>
    <row r="1668" spans="2:22">
      <c r="B1668" s="383">
        <v>46262</v>
      </c>
      <c r="C1668" s="383">
        <v>46262</v>
      </c>
      <c r="D1668" s="381" t="s">
        <v>7148</v>
      </c>
      <c r="E1668" s="382" t="s">
        <v>7149</v>
      </c>
      <c r="F1668" s="381" t="s">
        <v>87</v>
      </c>
      <c r="G1668" s="381" t="s">
        <v>2358</v>
      </c>
      <c r="H1668" s="387">
        <v>30</v>
      </c>
      <c r="I1668" s="381">
        <v>24.3</v>
      </c>
      <c r="J1668" s="381">
        <v>24.3</v>
      </c>
      <c r="K1668" s="381">
        <v>4</v>
      </c>
      <c r="L1668" s="381">
        <v>0</v>
      </c>
      <c r="M1668" s="381" t="s">
        <v>148</v>
      </c>
      <c r="N1668" s="381" t="s">
        <v>149</v>
      </c>
      <c r="O1668" s="381" t="s">
        <v>150</v>
      </c>
      <c r="P1668" s="381" t="s">
        <v>151</v>
      </c>
      <c r="Q1668" s="381"/>
      <c r="R1668" s="381" t="s">
        <v>7149</v>
      </c>
      <c r="S1668" s="381"/>
      <c r="T1668" s="381" t="s">
        <v>3188</v>
      </c>
      <c r="U1668" s="381" t="s">
        <v>152</v>
      </c>
      <c r="V1668" s="381" t="s">
        <v>23</v>
      </c>
    </row>
    <row r="1669" spans="2:22">
      <c r="B1669" s="383">
        <v>46262</v>
      </c>
      <c r="C1669" s="383">
        <v>46262</v>
      </c>
      <c r="D1669" s="381" t="s">
        <v>7150</v>
      </c>
      <c r="E1669" s="382" t="s">
        <v>7151</v>
      </c>
      <c r="F1669" s="381" t="s">
        <v>87</v>
      </c>
      <c r="G1669" s="381" t="s">
        <v>7152</v>
      </c>
      <c r="H1669" s="387">
        <v>55</v>
      </c>
      <c r="I1669" s="381">
        <v>41.2</v>
      </c>
      <c r="J1669" s="381">
        <v>41.2</v>
      </c>
      <c r="K1669" s="381">
        <v>5</v>
      </c>
      <c r="L1669" s="381">
        <v>0</v>
      </c>
      <c r="M1669" s="381" t="s">
        <v>148</v>
      </c>
      <c r="N1669" s="381" t="s">
        <v>149</v>
      </c>
      <c r="O1669" s="381" t="s">
        <v>150</v>
      </c>
      <c r="P1669" s="381" t="s">
        <v>151</v>
      </c>
      <c r="Q1669" s="381"/>
      <c r="R1669" s="381" t="s">
        <v>7151</v>
      </c>
      <c r="S1669" s="381"/>
      <c r="T1669" s="381" t="s">
        <v>3188</v>
      </c>
      <c r="U1669" s="381" t="s">
        <v>152</v>
      </c>
      <c r="V1669" s="381" t="s">
        <v>23</v>
      </c>
    </row>
    <row r="1670" spans="2:22">
      <c r="B1670" s="383">
        <v>46262</v>
      </c>
      <c r="C1670" s="383">
        <v>46262</v>
      </c>
      <c r="D1670" s="381" t="s">
        <v>7153</v>
      </c>
      <c r="E1670" s="382" t="s">
        <v>7154</v>
      </c>
      <c r="F1670" s="381" t="s">
        <v>87</v>
      </c>
      <c r="G1670" s="381" t="s">
        <v>2357</v>
      </c>
      <c r="H1670" s="387">
        <v>40</v>
      </c>
      <c r="I1670" s="381">
        <v>27.6</v>
      </c>
      <c r="J1670" s="381">
        <v>27.6</v>
      </c>
      <c r="K1670" s="381">
        <v>5</v>
      </c>
      <c r="L1670" s="381">
        <v>0</v>
      </c>
      <c r="M1670" s="381" t="s">
        <v>148</v>
      </c>
      <c r="N1670" s="381" t="s">
        <v>149</v>
      </c>
      <c r="O1670" s="381" t="s">
        <v>150</v>
      </c>
      <c r="P1670" s="381" t="s">
        <v>151</v>
      </c>
      <c r="Q1670" s="381"/>
      <c r="R1670" s="381" t="s">
        <v>7154</v>
      </c>
      <c r="S1670" s="381"/>
      <c r="T1670" s="381" t="s">
        <v>3188</v>
      </c>
      <c r="U1670" s="381" t="s">
        <v>152</v>
      </c>
      <c r="V1670" s="381" t="s">
        <v>23</v>
      </c>
    </row>
    <row r="1671" spans="2:22">
      <c r="B1671" s="383">
        <v>46262</v>
      </c>
      <c r="C1671" s="383">
        <v>46262</v>
      </c>
      <c r="D1671" s="381" t="s">
        <v>7155</v>
      </c>
      <c r="E1671" s="382" t="s">
        <v>7156</v>
      </c>
      <c r="F1671" s="381" t="s">
        <v>87</v>
      </c>
      <c r="G1671" s="381" t="s">
        <v>7037</v>
      </c>
      <c r="H1671" s="387">
        <v>40</v>
      </c>
      <c r="I1671" s="381">
        <v>10.5</v>
      </c>
      <c r="J1671" s="381">
        <v>10.5</v>
      </c>
      <c r="K1671" s="381">
        <v>5</v>
      </c>
      <c r="L1671" s="381">
        <v>0</v>
      </c>
      <c r="M1671" s="381" t="s">
        <v>148</v>
      </c>
      <c r="N1671" s="381" t="s">
        <v>149</v>
      </c>
      <c r="O1671" s="381" t="s">
        <v>150</v>
      </c>
      <c r="P1671" s="381" t="s">
        <v>151</v>
      </c>
      <c r="Q1671" s="381"/>
      <c r="R1671" s="381" t="s">
        <v>7156</v>
      </c>
      <c r="S1671" s="381"/>
      <c r="T1671" s="381" t="s">
        <v>3188</v>
      </c>
      <c r="U1671" s="381" t="s">
        <v>152</v>
      </c>
      <c r="V1671" s="381" t="s">
        <v>23</v>
      </c>
    </row>
    <row r="1672" spans="2:22">
      <c r="B1672" s="383">
        <v>46262</v>
      </c>
      <c r="C1672" s="383">
        <v>46262</v>
      </c>
      <c r="D1672" s="381" t="s">
        <v>7157</v>
      </c>
      <c r="E1672" s="382" t="s">
        <v>7158</v>
      </c>
      <c r="F1672" s="381" t="s">
        <v>87</v>
      </c>
      <c r="G1672" s="381" t="s">
        <v>2358</v>
      </c>
      <c r="H1672" s="387">
        <v>30</v>
      </c>
      <c r="I1672" s="381">
        <v>29.4</v>
      </c>
      <c r="J1672" s="381">
        <v>29.4</v>
      </c>
      <c r="K1672" s="381">
        <v>4</v>
      </c>
      <c r="L1672" s="381">
        <v>0</v>
      </c>
      <c r="M1672" s="381" t="s">
        <v>148</v>
      </c>
      <c r="N1672" s="381" t="s">
        <v>149</v>
      </c>
      <c r="O1672" s="381" t="s">
        <v>150</v>
      </c>
      <c r="P1672" s="381" t="s">
        <v>151</v>
      </c>
      <c r="Q1672" s="381"/>
      <c r="R1672" s="381" t="s">
        <v>7158</v>
      </c>
      <c r="S1672" s="381"/>
      <c r="T1672" s="381" t="s">
        <v>3188</v>
      </c>
      <c r="U1672" s="381" t="s">
        <v>152</v>
      </c>
      <c r="V1672" s="381" t="s">
        <v>23</v>
      </c>
    </row>
    <row r="1673" spans="2:22">
      <c r="B1673" s="383">
        <v>46262</v>
      </c>
      <c r="C1673" s="383">
        <v>46262</v>
      </c>
      <c r="D1673" s="381" t="s">
        <v>7159</v>
      </c>
      <c r="E1673" s="382" t="s">
        <v>7160</v>
      </c>
      <c r="F1673" s="381" t="s">
        <v>87</v>
      </c>
      <c r="G1673" s="381" t="s">
        <v>4512</v>
      </c>
      <c r="H1673" s="387">
        <v>55</v>
      </c>
      <c r="I1673" s="381">
        <v>32.799999999999997</v>
      </c>
      <c r="J1673" s="381">
        <v>32.799999999999997</v>
      </c>
      <c r="K1673" s="381">
        <v>5</v>
      </c>
      <c r="L1673" s="381">
        <v>0</v>
      </c>
      <c r="M1673" s="381" t="s">
        <v>148</v>
      </c>
      <c r="N1673" s="381" t="s">
        <v>149</v>
      </c>
      <c r="O1673" s="381" t="s">
        <v>150</v>
      </c>
      <c r="P1673" s="381" t="s">
        <v>151</v>
      </c>
      <c r="Q1673" s="381"/>
      <c r="R1673" s="381" t="s">
        <v>7160</v>
      </c>
      <c r="S1673" s="381"/>
      <c r="T1673" s="381" t="s">
        <v>3188</v>
      </c>
      <c r="U1673" s="381" t="s">
        <v>152</v>
      </c>
      <c r="V1673" s="381" t="s">
        <v>23</v>
      </c>
    </row>
    <row r="1674" spans="2:22">
      <c r="B1674" s="383">
        <v>46262</v>
      </c>
      <c r="C1674" s="383">
        <v>46262</v>
      </c>
      <c r="D1674" s="381" t="s">
        <v>7161</v>
      </c>
      <c r="E1674" s="382" t="s">
        <v>7162</v>
      </c>
      <c r="F1674" s="381" t="s">
        <v>87</v>
      </c>
      <c r="G1674" s="381" t="s">
        <v>2358</v>
      </c>
      <c r="H1674" s="387">
        <v>30</v>
      </c>
      <c r="I1674" s="381">
        <v>34.799999999999997</v>
      </c>
      <c r="J1674" s="381">
        <v>34.799999999999997</v>
      </c>
      <c r="K1674" s="381">
        <v>4</v>
      </c>
      <c r="L1674" s="381">
        <v>0</v>
      </c>
      <c r="M1674" s="381" t="s">
        <v>148</v>
      </c>
      <c r="N1674" s="381" t="s">
        <v>149</v>
      </c>
      <c r="O1674" s="381" t="s">
        <v>150</v>
      </c>
      <c r="P1674" s="381" t="s">
        <v>151</v>
      </c>
      <c r="Q1674" s="381"/>
      <c r="R1674" s="381" t="s">
        <v>7162</v>
      </c>
      <c r="S1674" s="381"/>
      <c r="T1674" s="381" t="s">
        <v>3188</v>
      </c>
      <c r="U1674" s="381" t="s">
        <v>152</v>
      </c>
      <c r="V1674" s="381" t="s">
        <v>23</v>
      </c>
    </row>
    <row r="1675" spans="2:22">
      <c r="B1675" s="383">
        <v>46262</v>
      </c>
      <c r="C1675" s="383">
        <v>46262</v>
      </c>
      <c r="D1675" s="381" t="s">
        <v>7163</v>
      </c>
      <c r="E1675" s="382" t="s">
        <v>7164</v>
      </c>
      <c r="F1675" s="381" t="s">
        <v>87</v>
      </c>
      <c r="G1675" s="381" t="s">
        <v>6008</v>
      </c>
      <c r="H1675" s="387">
        <v>30</v>
      </c>
      <c r="I1675" s="381">
        <v>32.5</v>
      </c>
      <c r="J1675" s="381">
        <v>32.5</v>
      </c>
      <c r="K1675" s="381">
        <v>4</v>
      </c>
      <c r="L1675" s="381">
        <v>0</v>
      </c>
      <c r="M1675" s="381" t="s">
        <v>148</v>
      </c>
      <c r="N1675" s="381" t="s">
        <v>149</v>
      </c>
      <c r="O1675" s="381" t="s">
        <v>150</v>
      </c>
      <c r="P1675" s="381" t="s">
        <v>151</v>
      </c>
      <c r="Q1675" s="381"/>
      <c r="R1675" s="381" t="s">
        <v>7164</v>
      </c>
      <c r="S1675" s="381"/>
      <c r="T1675" s="381" t="s">
        <v>3188</v>
      </c>
      <c r="U1675" s="381" t="s">
        <v>152</v>
      </c>
      <c r="V1675" s="381" t="s">
        <v>23</v>
      </c>
    </row>
    <row r="1676" spans="2:22">
      <c r="B1676" s="383">
        <v>46262</v>
      </c>
      <c r="C1676" s="383">
        <v>46262</v>
      </c>
      <c r="D1676" s="381" t="s">
        <v>7165</v>
      </c>
      <c r="E1676" s="382" t="s">
        <v>7166</v>
      </c>
      <c r="F1676" s="381" t="s">
        <v>87</v>
      </c>
      <c r="G1676" s="381" t="s">
        <v>7152</v>
      </c>
      <c r="H1676" s="387">
        <v>55</v>
      </c>
      <c r="I1676" s="381">
        <v>44.5</v>
      </c>
      <c r="J1676" s="381">
        <v>44.5</v>
      </c>
      <c r="K1676" s="381">
        <v>5</v>
      </c>
      <c r="L1676" s="381">
        <v>0</v>
      </c>
      <c r="M1676" s="381" t="s">
        <v>148</v>
      </c>
      <c r="N1676" s="381" t="s">
        <v>149</v>
      </c>
      <c r="O1676" s="381" t="s">
        <v>150</v>
      </c>
      <c r="P1676" s="381" t="s">
        <v>151</v>
      </c>
      <c r="Q1676" s="381"/>
      <c r="R1676" s="381" t="s">
        <v>7166</v>
      </c>
      <c r="S1676" s="381"/>
      <c r="T1676" s="381" t="s">
        <v>3188</v>
      </c>
      <c r="U1676" s="381" t="s">
        <v>152</v>
      </c>
      <c r="V1676" s="381" t="s">
        <v>23</v>
      </c>
    </row>
    <row r="1677" spans="2:22">
      <c r="B1677" s="383">
        <v>46262</v>
      </c>
      <c r="C1677" s="383">
        <v>46262</v>
      </c>
      <c r="D1677" s="381" t="s">
        <v>7167</v>
      </c>
      <c r="E1677" s="382" t="s">
        <v>7168</v>
      </c>
      <c r="F1677" s="381" t="s">
        <v>87</v>
      </c>
      <c r="G1677" s="381" t="s">
        <v>7152</v>
      </c>
      <c r="H1677" s="387">
        <v>55</v>
      </c>
      <c r="I1677" s="381">
        <v>44</v>
      </c>
      <c r="J1677" s="381">
        <v>44</v>
      </c>
      <c r="K1677" s="381">
        <v>5</v>
      </c>
      <c r="L1677" s="381">
        <v>0</v>
      </c>
      <c r="M1677" s="381" t="s">
        <v>148</v>
      </c>
      <c r="N1677" s="381" t="s">
        <v>149</v>
      </c>
      <c r="O1677" s="381" t="s">
        <v>150</v>
      </c>
      <c r="P1677" s="381" t="s">
        <v>151</v>
      </c>
      <c r="Q1677" s="381"/>
      <c r="R1677" s="381" t="s">
        <v>7168</v>
      </c>
      <c r="S1677" s="381"/>
      <c r="T1677" s="381" t="s">
        <v>3188</v>
      </c>
      <c r="U1677" s="381" t="s">
        <v>152</v>
      </c>
      <c r="V1677" s="381" t="s">
        <v>23</v>
      </c>
    </row>
    <row r="1678" spans="2:22">
      <c r="B1678" s="383">
        <v>46262</v>
      </c>
      <c r="C1678" s="383">
        <v>46262</v>
      </c>
      <c r="D1678" s="381" t="s">
        <v>7169</v>
      </c>
      <c r="E1678" s="382" t="s">
        <v>7170</v>
      </c>
      <c r="F1678" s="381" t="s">
        <v>87</v>
      </c>
      <c r="G1678" s="381" t="s">
        <v>7152</v>
      </c>
      <c r="H1678" s="387">
        <v>55</v>
      </c>
      <c r="I1678" s="381">
        <v>36.5</v>
      </c>
      <c r="J1678" s="381">
        <v>36.5</v>
      </c>
      <c r="K1678" s="381">
        <v>5</v>
      </c>
      <c r="L1678" s="381">
        <v>0</v>
      </c>
      <c r="M1678" s="381" t="s">
        <v>148</v>
      </c>
      <c r="N1678" s="381" t="s">
        <v>149</v>
      </c>
      <c r="O1678" s="381" t="s">
        <v>150</v>
      </c>
      <c r="P1678" s="381" t="s">
        <v>151</v>
      </c>
      <c r="Q1678" s="381"/>
      <c r="R1678" s="381" t="s">
        <v>7170</v>
      </c>
      <c r="S1678" s="381"/>
      <c r="T1678" s="381" t="s">
        <v>3188</v>
      </c>
      <c r="U1678" s="381" t="s">
        <v>152</v>
      </c>
      <c r="V1678" s="381" t="s">
        <v>23</v>
      </c>
    </row>
    <row r="1679" spans="2:22">
      <c r="B1679" s="383">
        <v>46262</v>
      </c>
      <c r="C1679" s="383">
        <v>46262</v>
      </c>
      <c r="D1679" s="381" t="s">
        <v>7171</v>
      </c>
      <c r="E1679" s="382" t="s">
        <v>7172</v>
      </c>
      <c r="F1679" s="381" t="s">
        <v>87</v>
      </c>
      <c r="G1679" s="381" t="s">
        <v>2404</v>
      </c>
      <c r="H1679" s="387">
        <v>40</v>
      </c>
      <c r="I1679" s="381">
        <v>23.8</v>
      </c>
      <c r="J1679" s="381">
        <v>23.8</v>
      </c>
      <c r="K1679" s="381">
        <v>5</v>
      </c>
      <c r="L1679" s="381">
        <v>0</v>
      </c>
      <c r="M1679" s="381" t="s">
        <v>148</v>
      </c>
      <c r="N1679" s="381" t="s">
        <v>149</v>
      </c>
      <c r="O1679" s="381" t="s">
        <v>150</v>
      </c>
      <c r="P1679" s="381" t="s">
        <v>151</v>
      </c>
      <c r="Q1679" s="381"/>
      <c r="R1679" s="381" t="s">
        <v>7172</v>
      </c>
      <c r="S1679" s="381"/>
      <c r="T1679" s="381" t="s">
        <v>3188</v>
      </c>
      <c r="U1679" s="381" t="s">
        <v>152</v>
      </c>
      <c r="V1679" s="381" t="s">
        <v>23</v>
      </c>
    </row>
    <row r="1680" spans="2:22">
      <c r="B1680" s="383">
        <v>46262</v>
      </c>
      <c r="C1680" s="383">
        <v>46262</v>
      </c>
      <c r="D1680" s="381" t="s">
        <v>7173</v>
      </c>
      <c r="E1680" s="382" t="s">
        <v>7174</v>
      </c>
      <c r="F1680" s="381" t="s">
        <v>87</v>
      </c>
      <c r="G1680" s="381" t="s">
        <v>2358</v>
      </c>
      <c r="H1680" s="387">
        <v>30</v>
      </c>
      <c r="I1680" s="381">
        <v>39.299999999999997</v>
      </c>
      <c r="J1680" s="381">
        <v>39.299999999999997</v>
      </c>
      <c r="K1680" s="381">
        <v>4</v>
      </c>
      <c r="L1680" s="381">
        <v>0</v>
      </c>
      <c r="M1680" s="381" t="s">
        <v>148</v>
      </c>
      <c r="N1680" s="381" t="s">
        <v>149</v>
      </c>
      <c r="O1680" s="381" t="s">
        <v>150</v>
      </c>
      <c r="P1680" s="381" t="s">
        <v>151</v>
      </c>
      <c r="Q1680" s="381"/>
      <c r="R1680" s="381" t="s">
        <v>7174</v>
      </c>
      <c r="S1680" s="381"/>
      <c r="T1680" s="381" t="s">
        <v>3188</v>
      </c>
      <c r="U1680" s="381" t="s">
        <v>152</v>
      </c>
      <c r="V1680" s="381" t="s">
        <v>23</v>
      </c>
    </row>
    <row r="1681" spans="2:22">
      <c r="B1681" s="383">
        <v>46262</v>
      </c>
      <c r="C1681" s="383">
        <v>46262</v>
      </c>
      <c r="D1681" s="381" t="s">
        <v>7175</v>
      </c>
      <c r="E1681" s="382" t="s">
        <v>7176</v>
      </c>
      <c r="F1681" s="381" t="s">
        <v>87</v>
      </c>
      <c r="G1681" s="381" t="s">
        <v>2357</v>
      </c>
      <c r="H1681" s="387">
        <v>40</v>
      </c>
      <c r="I1681" s="381">
        <v>42.8</v>
      </c>
      <c r="J1681" s="381">
        <v>42.8</v>
      </c>
      <c r="K1681" s="381">
        <v>5</v>
      </c>
      <c r="L1681" s="381">
        <v>0</v>
      </c>
      <c r="M1681" s="381" t="s">
        <v>148</v>
      </c>
      <c r="N1681" s="381" t="s">
        <v>149</v>
      </c>
      <c r="O1681" s="381" t="s">
        <v>150</v>
      </c>
      <c r="P1681" s="381" t="s">
        <v>151</v>
      </c>
      <c r="Q1681" s="381"/>
      <c r="R1681" s="381" t="s">
        <v>7176</v>
      </c>
      <c r="S1681" s="381"/>
      <c r="T1681" s="381" t="s">
        <v>3188</v>
      </c>
      <c r="U1681" s="381" t="s">
        <v>152</v>
      </c>
      <c r="V1681" s="381" t="s">
        <v>23</v>
      </c>
    </row>
    <row r="1682" spans="2:22">
      <c r="B1682" s="383">
        <v>46262</v>
      </c>
      <c r="C1682" s="383">
        <v>46262</v>
      </c>
      <c r="D1682" s="381" t="s">
        <v>7177</v>
      </c>
      <c r="E1682" s="382" t="s">
        <v>7178</v>
      </c>
      <c r="F1682" s="381" t="s">
        <v>87</v>
      </c>
      <c r="G1682" s="381" t="s">
        <v>2357</v>
      </c>
      <c r="H1682" s="387">
        <v>40</v>
      </c>
      <c r="I1682" s="381">
        <v>34.299999999999997</v>
      </c>
      <c r="J1682" s="381">
        <v>34.299999999999997</v>
      </c>
      <c r="K1682" s="381">
        <v>5</v>
      </c>
      <c r="L1682" s="381">
        <v>0</v>
      </c>
      <c r="M1682" s="381" t="s">
        <v>148</v>
      </c>
      <c r="N1682" s="381" t="s">
        <v>149</v>
      </c>
      <c r="O1682" s="381" t="s">
        <v>150</v>
      </c>
      <c r="P1682" s="381" t="s">
        <v>151</v>
      </c>
      <c r="Q1682" s="381"/>
      <c r="R1682" s="381" t="s">
        <v>7178</v>
      </c>
      <c r="S1682" s="381"/>
      <c r="T1682" s="381" t="s">
        <v>3188</v>
      </c>
      <c r="U1682" s="381" t="s">
        <v>152</v>
      </c>
      <c r="V1682" s="381" t="s">
        <v>23</v>
      </c>
    </row>
    <row r="1683" spans="2:22">
      <c r="B1683" s="383">
        <v>46262</v>
      </c>
      <c r="C1683" s="383">
        <v>46262</v>
      </c>
      <c r="D1683" s="381" t="s">
        <v>7179</v>
      </c>
      <c r="E1683" s="382" t="s">
        <v>7180</v>
      </c>
      <c r="F1683" s="381" t="s">
        <v>87</v>
      </c>
      <c r="G1683" s="381" t="s">
        <v>7152</v>
      </c>
      <c r="H1683" s="387">
        <v>55</v>
      </c>
      <c r="I1683" s="381">
        <v>42.8</v>
      </c>
      <c r="J1683" s="381">
        <v>42.8</v>
      </c>
      <c r="K1683" s="381">
        <v>5</v>
      </c>
      <c r="L1683" s="381">
        <v>0</v>
      </c>
      <c r="M1683" s="381" t="s">
        <v>148</v>
      </c>
      <c r="N1683" s="381" t="s">
        <v>149</v>
      </c>
      <c r="O1683" s="381" t="s">
        <v>150</v>
      </c>
      <c r="P1683" s="381" t="s">
        <v>151</v>
      </c>
      <c r="Q1683" s="381"/>
      <c r="R1683" s="381" t="s">
        <v>7180</v>
      </c>
      <c r="S1683" s="381"/>
      <c r="T1683" s="381" t="s">
        <v>3188</v>
      </c>
      <c r="U1683" s="381" t="s">
        <v>152</v>
      </c>
      <c r="V1683" s="381" t="s">
        <v>23</v>
      </c>
    </row>
    <row r="1684" spans="2:22">
      <c r="B1684" s="383">
        <v>46262</v>
      </c>
      <c r="C1684" s="383">
        <v>46262</v>
      </c>
      <c r="D1684" s="381" t="s">
        <v>7181</v>
      </c>
      <c r="E1684" s="382" t="s">
        <v>7182</v>
      </c>
      <c r="F1684" s="381" t="s">
        <v>87</v>
      </c>
      <c r="G1684" s="381" t="s">
        <v>4512</v>
      </c>
      <c r="H1684" s="387">
        <v>55</v>
      </c>
      <c r="I1684" s="381">
        <v>40.799999999999997</v>
      </c>
      <c r="J1684" s="381">
        <v>40.799999999999997</v>
      </c>
      <c r="K1684" s="381">
        <v>5</v>
      </c>
      <c r="L1684" s="381">
        <v>0</v>
      </c>
      <c r="M1684" s="381" t="s">
        <v>148</v>
      </c>
      <c r="N1684" s="381" t="s">
        <v>149</v>
      </c>
      <c r="O1684" s="381" t="s">
        <v>150</v>
      </c>
      <c r="P1684" s="381" t="s">
        <v>151</v>
      </c>
      <c r="Q1684" s="381"/>
      <c r="R1684" s="381" t="s">
        <v>7182</v>
      </c>
      <c r="S1684" s="381"/>
      <c r="T1684" s="381" t="s">
        <v>3188</v>
      </c>
      <c r="U1684" s="381" t="s">
        <v>152</v>
      </c>
      <c r="V1684" s="381" t="s">
        <v>23</v>
      </c>
    </row>
    <row r="1685" spans="2:22">
      <c r="B1685" s="383">
        <v>46262</v>
      </c>
      <c r="C1685" s="383">
        <v>46262</v>
      </c>
      <c r="D1685" s="381" t="s">
        <v>7183</v>
      </c>
      <c r="E1685" s="382" t="s">
        <v>7184</v>
      </c>
      <c r="F1685" s="381" t="s">
        <v>87</v>
      </c>
      <c r="G1685" s="381" t="s">
        <v>2404</v>
      </c>
      <c r="H1685" s="387">
        <v>40</v>
      </c>
      <c r="I1685" s="381">
        <v>44.8</v>
      </c>
      <c r="J1685" s="381">
        <v>44.8</v>
      </c>
      <c r="K1685" s="381">
        <v>5</v>
      </c>
      <c r="L1685" s="381">
        <v>0</v>
      </c>
      <c r="M1685" s="381" t="s">
        <v>148</v>
      </c>
      <c r="N1685" s="381" t="s">
        <v>149</v>
      </c>
      <c r="O1685" s="381" t="s">
        <v>150</v>
      </c>
      <c r="P1685" s="381" t="s">
        <v>151</v>
      </c>
      <c r="Q1685" s="381"/>
      <c r="R1685" s="381" t="s">
        <v>7184</v>
      </c>
      <c r="S1685" s="381"/>
      <c r="T1685" s="381" t="s">
        <v>3188</v>
      </c>
      <c r="U1685" s="381" t="s">
        <v>152</v>
      </c>
      <c r="V1685" s="381" t="s">
        <v>23</v>
      </c>
    </row>
    <row r="1686" spans="2:22">
      <c r="B1686" s="383">
        <v>46262</v>
      </c>
      <c r="C1686" s="383">
        <v>46262</v>
      </c>
      <c r="D1686" s="381" t="s">
        <v>7185</v>
      </c>
      <c r="E1686" s="382" t="s">
        <v>7186</v>
      </c>
      <c r="F1686" s="381" t="s">
        <v>87</v>
      </c>
      <c r="G1686" s="381" t="s">
        <v>2358</v>
      </c>
      <c r="H1686" s="387">
        <v>30</v>
      </c>
      <c r="I1686" s="381">
        <v>34.299999999999997</v>
      </c>
      <c r="J1686" s="381">
        <v>34.299999999999997</v>
      </c>
      <c r="K1686" s="381">
        <v>4</v>
      </c>
      <c r="L1686" s="381">
        <v>0</v>
      </c>
      <c r="M1686" s="381" t="s">
        <v>148</v>
      </c>
      <c r="N1686" s="381" t="s">
        <v>149</v>
      </c>
      <c r="O1686" s="381" t="s">
        <v>150</v>
      </c>
      <c r="P1686" s="381" t="s">
        <v>151</v>
      </c>
      <c r="Q1686" s="381"/>
      <c r="R1686" s="381" t="s">
        <v>7186</v>
      </c>
      <c r="S1686" s="381"/>
      <c r="T1686" s="381" t="s">
        <v>3188</v>
      </c>
      <c r="U1686" s="381" t="s">
        <v>152</v>
      </c>
      <c r="V1686" s="381" t="s">
        <v>23</v>
      </c>
    </row>
    <row r="1687" spans="2:22">
      <c r="B1687" s="383">
        <v>46262</v>
      </c>
      <c r="C1687" s="383">
        <v>46262</v>
      </c>
      <c r="D1687" s="381" t="s">
        <v>7187</v>
      </c>
      <c r="E1687" s="382" t="s">
        <v>7188</v>
      </c>
      <c r="F1687" s="381" t="s">
        <v>87</v>
      </c>
      <c r="G1687" s="381" t="s">
        <v>2357</v>
      </c>
      <c r="H1687" s="387">
        <v>40</v>
      </c>
      <c r="I1687" s="381">
        <v>41.8</v>
      </c>
      <c r="J1687" s="381">
        <v>41.8</v>
      </c>
      <c r="K1687" s="381">
        <v>5</v>
      </c>
      <c r="L1687" s="381">
        <v>0</v>
      </c>
      <c r="M1687" s="381" t="s">
        <v>148</v>
      </c>
      <c r="N1687" s="381" t="s">
        <v>149</v>
      </c>
      <c r="O1687" s="381" t="s">
        <v>150</v>
      </c>
      <c r="P1687" s="381" t="s">
        <v>151</v>
      </c>
      <c r="Q1687" s="381"/>
      <c r="R1687" s="381" t="s">
        <v>7188</v>
      </c>
      <c r="S1687" s="381"/>
      <c r="T1687" s="381" t="s">
        <v>3188</v>
      </c>
      <c r="U1687" s="381" t="s">
        <v>152</v>
      </c>
      <c r="V1687" s="381" t="s">
        <v>23</v>
      </c>
    </row>
    <row r="1688" spans="2:22">
      <c r="B1688" s="383">
        <v>46262</v>
      </c>
      <c r="C1688" s="383">
        <v>46262</v>
      </c>
      <c r="D1688" s="381" t="s">
        <v>7189</v>
      </c>
      <c r="E1688" s="382" t="s">
        <v>7190</v>
      </c>
      <c r="F1688" s="381" t="s">
        <v>87</v>
      </c>
      <c r="G1688" s="381" t="s">
        <v>2333</v>
      </c>
      <c r="H1688" s="387">
        <v>30</v>
      </c>
      <c r="I1688" s="381">
        <v>21.3</v>
      </c>
      <c r="J1688" s="381">
        <v>21.3</v>
      </c>
      <c r="K1688" s="381">
        <v>4</v>
      </c>
      <c r="L1688" s="381">
        <v>0</v>
      </c>
      <c r="M1688" s="381" t="s">
        <v>148</v>
      </c>
      <c r="N1688" s="381" t="s">
        <v>149</v>
      </c>
      <c r="O1688" s="381" t="s">
        <v>150</v>
      </c>
      <c r="P1688" s="381" t="s">
        <v>151</v>
      </c>
      <c r="Q1688" s="381"/>
      <c r="R1688" s="381" t="s">
        <v>7190</v>
      </c>
      <c r="S1688" s="381"/>
      <c r="T1688" s="381" t="s">
        <v>3188</v>
      </c>
      <c r="U1688" s="381" t="s">
        <v>152</v>
      </c>
      <c r="V1688" s="381" t="s">
        <v>23</v>
      </c>
    </row>
    <row r="1689" spans="2:22">
      <c r="B1689" s="383">
        <v>46262</v>
      </c>
      <c r="C1689" s="383">
        <v>46262</v>
      </c>
      <c r="D1689" s="381" t="s">
        <v>7191</v>
      </c>
      <c r="E1689" s="382" t="s">
        <v>7192</v>
      </c>
      <c r="F1689" s="381" t="s">
        <v>87</v>
      </c>
      <c r="G1689" s="381" t="s">
        <v>4000</v>
      </c>
      <c r="H1689" s="387">
        <v>50</v>
      </c>
      <c r="I1689" s="381">
        <v>33.799999999999997</v>
      </c>
      <c r="J1689" s="381">
        <v>33.799999999999997</v>
      </c>
      <c r="K1689" s="381">
        <v>5</v>
      </c>
      <c r="L1689" s="381">
        <v>0</v>
      </c>
      <c r="M1689" s="381" t="s">
        <v>148</v>
      </c>
      <c r="N1689" s="381" t="s">
        <v>149</v>
      </c>
      <c r="O1689" s="381" t="s">
        <v>150</v>
      </c>
      <c r="P1689" s="381" t="s">
        <v>151</v>
      </c>
      <c r="Q1689" s="381"/>
      <c r="R1689" s="381" t="s">
        <v>7192</v>
      </c>
      <c r="S1689" s="381"/>
      <c r="T1689" s="381" t="s">
        <v>3188</v>
      </c>
      <c r="U1689" s="381" t="s">
        <v>152</v>
      </c>
      <c r="V1689" s="381" t="s">
        <v>23</v>
      </c>
    </row>
    <row r="1690" spans="2:22">
      <c r="B1690" s="383">
        <v>46262</v>
      </c>
      <c r="C1690" s="383">
        <v>46262</v>
      </c>
      <c r="D1690" s="381" t="s">
        <v>7193</v>
      </c>
      <c r="E1690" s="382" t="s">
        <v>7194</v>
      </c>
      <c r="F1690" s="381" t="s">
        <v>87</v>
      </c>
      <c r="G1690" s="381" t="s">
        <v>6008</v>
      </c>
      <c r="H1690" s="387">
        <v>30</v>
      </c>
      <c r="I1690" s="381">
        <v>37.6</v>
      </c>
      <c r="J1690" s="381">
        <v>37.6</v>
      </c>
      <c r="K1690" s="381">
        <v>4</v>
      </c>
      <c r="L1690" s="381">
        <v>0</v>
      </c>
      <c r="M1690" s="381" t="s">
        <v>148</v>
      </c>
      <c r="N1690" s="381" t="s">
        <v>149</v>
      </c>
      <c r="O1690" s="381" t="s">
        <v>150</v>
      </c>
      <c r="P1690" s="381" t="s">
        <v>151</v>
      </c>
      <c r="Q1690" s="381"/>
      <c r="R1690" s="381" t="s">
        <v>7194</v>
      </c>
      <c r="S1690" s="381"/>
      <c r="T1690" s="381" t="s">
        <v>3188</v>
      </c>
      <c r="U1690" s="381" t="s">
        <v>152</v>
      </c>
      <c r="V1690" s="381" t="s">
        <v>23</v>
      </c>
    </row>
    <row r="1691" spans="2:22">
      <c r="B1691" s="383">
        <v>46262</v>
      </c>
      <c r="C1691" s="383">
        <v>46262</v>
      </c>
      <c r="D1691" s="381" t="s">
        <v>7195</v>
      </c>
      <c r="E1691" s="382" t="s">
        <v>7196</v>
      </c>
      <c r="F1691" s="381" t="s">
        <v>87</v>
      </c>
      <c r="G1691" s="381" t="s">
        <v>2358</v>
      </c>
      <c r="H1691" s="387">
        <v>30</v>
      </c>
      <c r="I1691" s="381">
        <v>31.8</v>
      </c>
      <c r="J1691" s="381">
        <v>31.8</v>
      </c>
      <c r="K1691" s="381">
        <v>4</v>
      </c>
      <c r="L1691" s="381">
        <v>0</v>
      </c>
      <c r="M1691" s="381" t="s">
        <v>148</v>
      </c>
      <c r="N1691" s="381" t="s">
        <v>149</v>
      </c>
      <c r="O1691" s="381" t="s">
        <v>150</v>
      </c>
      <c r="P1691" s="381" t="s">
        <v>151</v>
      </c>
      <c r="Q1691" s="381"/>
      <c r="R1691" s="381" t="s">
        <v>7196</v>
      </c>
      <c r="S1691" s="381"/>
      <c r="T1691" s="381" t="s">
        <v>3188</v>
      </c>
      <c r="U1691" s="381" t="s">
        <v>152</v>
      </c>
      <c r="V1691" s="381" t="s">
        <v>23</v>
      </c>
    </row>
    <row r="1692" spans="2:22">
      <c r="B1692" s="383">
        <v>46262</v>
      </c>
      <c r="C1692" s="383">
        <v>46262</v>
      </c>
      <c r="D1692" s="381" t="s">
        <v>7197</v>
      </c>
      <c r="E1692" s="382" t="s">
        <v>7198</v>
      </c>
      <c r="F1692" s="381" t="s">
        <v>87</v>
      </c>
      <c r="G1692" s="381" t="s">
        <v>2357</v>
      </c>
      <c r="H1692" s="387">
        <v>40</v>
      </c>
      <c r="I1692" s="381">
        <v>19</v>
      </c>
      <c r="J1692" s="381">
        <v>19</v>
      </c>
      <c r="K1692" s="381">
        <v>5</v>
      </c>
      <c r="L1692" s="381">
        <v>0</v>
      </c>
      <c r="M1692" s="381" t="s">
        <v>148</v>
      </c>
      <c r="N1692" s="381" t="s">
        <v>149</v>
      </c>
      <c r="O1692" s="381" t="s">
        <v>150</v>
      </c>
      <c r="P1692" s="381" t="s">
        <v>151</v>
      </c>
      <c r="Q1692" s="381"/>
      <c r="R1692" s="381" t="s">
        <v>7198</v>
      </c>
      <c r="S1692" s="381"/>
      <c r="T1692" s="381" t="s">
        <v>3188</v>
      </c>
      <c r="U1692" s="381" t="s">
        <v>152</v>
      </c>
      <c r="V1692" s="381" t="s">
        <v>23</v>
      </c>
    </row>
    <row r="1693" spans="2:22">
      <c r="B1693" s="383">
        <v>46262</v>
      </c>
      <c r="C1693" s="383">
        <v>46262</v>
      </c>
      <c r="D1693" s="381" t="s">
        <v>7199</v>
      </c>
      <c r="E1693" s="382" t="s">
        <v>7200</v>
      </c>
      <c r="F1693" s="381" t="s">
        <v>87</v>
      </c>
      <c r="G1693" s="381" t="s">
        <v>7018</v>
      </c>
      <c r="H1693" s="387">
        <v>6</v>
      </c>
      <c r="I1693" s="381">
        <v>17.3</v>
      </c>
      <c r="J1693" s="381">
        <v>17.3</v>
      </c>
      <c r="K1693" s="381">
        <v>1</v>
      </c>
      <c r="L1693" s="381">
        <v>0</v>
      </c>
      <c r="M1693" s="381" t="s">
        <v>148</v>
      </c>
      <c r="N1693" s="381" t="s">
        <v>149</v>
      </c>
      <c r="O1693" s="381" t="s">
        <v>150</v>
      </c>
      <c r="P1693" s="381" t="s">
        <v>151</v>
      </c>
      <c r="Q1693" s="381"/>
      <c r="R1693" s="381" t="s">
        <v>7200</v>
      </c>
      <c r="S1693" s="381"/>
      <c r="T1693" s="381" t="s">
        <v>3188</v>
      </c>
      <c r="U1693" s="381" t="s">
        <v>152</v>
      </c>
      <c r="V1693" s="381" t="s">
        <v>23</v>
      </c>
    </row>
    <row r="1694" spans="2:22">
      <c r="B1694" s="383">
        <v>46262</v>
      </c>
      <c r="C1694" s="383">
        <v>46262</v>
      </c>
      <c r="D1694" s="381" t="s">
        <v>7201</v>
      </c>
      <c r="E1694" s="382" t="s">
        <v>7202</v>
      </c>
      <c r="F1694" s="381" t="s">
        <v>87</v>
      </c>
      <c r="G1694" s="381" t="s">
        <v>2357</v>
      </c>
      <c r="H1694" s="387">
        <v>40</v>
      </c>
      <c r="I1694" s="381">
        <v>28.8</v>
      </c>
      <c r="J1694" s="381">
        <v>28.8</v>
      </c>
      <c r="K1694" s="381">
        <v>5</v>
      </c>
      <c r="L1694" s="381">
        <v>0</v>
      </c>
      <c r="M1694" s="381" t="s">
        <v>148</v>
      </c>
      <c r="N1694" s="381" t="s">
        <v>149</v>
      </c>
      <c r="O1694" s="381" t="s">
        <v>150</v>
      </c>
      <c r="P1694" s="381" t="s">
        <v>151</v>
      </c>
      <c r="Q1694" s="381"/>
      <c r="R1694" s="381" t="s">
        <v>7202</v>
      </c>
      <c r="S1694" s="381"/>
      <c r="T1694" s="381" t="s">
        <v>3188</v>
      </c>
      <c r="U1694" s="381" t="s">
        <v>152</v>
      </c>
      <c r="V1694" s="381" t="s">
        <v>23</v>
      </c>
    </row>
    <row r="1695" spans="2:22">
      <c r="B1695" s="383">
        <v>46262</v>
      </c>
      <c r="C1695" s="383">
        <v>46262</v>
      </c>
      <c r="D1695" s="381" t="s">
        <v>7203</v>
      </c>
      <c r="E1695" s="382" t="s">
        <v>7204</v>
      </c>
      <c r="F1695" s="381" t="s">
        <v>87</v>
      </c>
      <c r="G1695" s="381" t="s">
        <v>2358</v>
      </c>
      <c r="H1695" s="387">
        <v>30</v>
      </c>
      <c r="I1695" s="381">
        <v>38.799999999999997</v>
      </c>
      <c r="J1695" s="381">
        <v>38.799999999999997</v>
      </c>
      <c r="K1695" s="381">
        <v>4</v>
      </c>
      <c r="L1695" s="381">
        <v>0</v>
      </c>
      <c r="M1695" s="381" t="s">
        <v>148</v>
      </c>
      <c r="N1695" s="381" t="s">
        <v>149</v>
      </c>
      <c r="O1695" s="381" t="s">
        <v>150</v>
      </c>
      <c r="P1695" s="381" t="s">
        <v>151</v>
      </c>
      <c r="Q1695" s="381"/>
      <c r="R1695" s="381" t="s">
        <v>7204</v>
      </c>
      <c r="S1695" s="381"/>
      <c r="T1695" s="381" t="s">
        <v>3188</v>
      </c>
      <c r="U1695" s="381" t="s">
        <v>152</v>
      </c>
      <c r="V1695" s="381" t="s">
        <v>23</v>
      </c>
    </row>
    <row r="1696" spans="2:22">
      <c r="B1696" s="383">
        <v>46262</v>
      </c>
      <c r="C1696" s="383">
        <v>46262</v>
      </c>
      <c r="D1696" s="381" t="s">
        <v>7205</v>
      </c>
      <c r="E1696" s="382" t="s">
        <v>7206</v>
      </c>
      <c r="F1696" s="381" t="s">
        <v>87</v>
      </c>
      <c r="G1696" s="381" t="s">
        <v>7037</v>
      </c>
      <c r="H1696" s="387">
        <v>40</v>
      </c>
      <c r="I1696" s="381">
        <v>25.8</v>
      </c>
      <c r="J1696" s="381">
        <v>25.8</v>
      </c>
      <c r="K1696" s="381">
        <v>5</v>
      </c>
      <c r="L1696" s="381">
        <v>0</v>
      </c>
      <c r="M1696" s="381" t="s">
        <v>148</v>
      </c>
      <c r="N1696" s="381" t="s">
        <v>149</v>
      </c>
      <c r="O1696" s="381" t="s">
        <v>150</v>
      </c>
      <c r="P1696" s="381" t="s">
        <v>151</v>
      </c>
      <c r="Q1696" s="381"/>
      <c r="R1696" s="381" t="s">
        <v>7206</v>
      </c>
      <c r="S1696" s="381"/>
      <c r="T1696" s="381" t="s">
        <v>3188</v>
      </c>
      <c r="U1696" s="381" t="s">
        <v>152</v>
      </c>
      <c r="V1696" s="381" t="s">
        <v>23</v>
      </c>
    </row>
    <row r="1697" spans="2:22">
      <c r="B1697" s="383">
        <v>46262</v>
      </c>
      <c r="C1697" s="383">
        <v>46262</v>
      </c>
      <c r="D1697" s="381" t="s">
        <v>7207</v>
      </c>
      <c r="E1697" s="382" t="s">
        <v>7208</v>
      </c>
      <c r="F1697" s="381" t="s">
        <v>87</v>
      </c>
      <c r="G1697" s="381" t="s">
        <v>2358</v>
      </c>
      <c r="H1697" s="387">
        <v>30</v>
      </c>
      <c r="I1697" s="381">
        <v>39.799999999999997</v>
      </c>
      <c r="J1697" s="381">
        <v>39.799999999999997</v>
      </c>
      <c r="K1697" s="381">
        <v>4</v>
      </c>
      <c r="L1697" s="381">
        <v>0</v>
      </c>
      <c r="M1697" s="381" t="s">
        <v>148</v>
      </c>
      <c r="N1697" s="381" t="s">
        <v>149</v>
      </c>
      <c r="O1697" s="381" t="s">
        <v>150</v>
      </c>
      <c r="P1697" s="381" t="s">
        <v>151</v>
      </c>
      <c r="Q1697" s="381"/>
      <c r="R1697" s="381" t="s">
        <v>7208</v>
      </c>
      <c r="S1697" s="381"/>
      <c r="T1697" s="381" t="s">
        <v>3188</v>
      </c>
      <c r="U1697" s="381" t="s">
        <v>152</v>
      </c>
      <c r="V1697" s="381" t="s">
        <v>23</v>
      </c>
    </row>
    <row r="1698" spans="2:22">
      <c r="B1698" s="383">
        <v>46262</v>
      </c>
      <c r="C1698" s="383">
        <v>46262</v>
      </c>
      <c r="D1698" s="381" t="s">
        <v>7209</v>
      </c>
      <c r="E1698" s="382" t="s">
        <v>7210</v>
      </c>
      <c r="F1698" s="381" t="s">
        <v>87</v>
      </c>
      <c r="G1698" s="381" t="s">
        <v>2357</v>
      </c>
      <c r="H1698" s="387">
        <v>40</v>
      </c>
      <c r="I1698" s="381">
        <v>46.4</v>
      </c>
      <c r="J1698" s="381">
        <v>46.4</v>
      </c>
      <c r="K1698" s="381">
        <v>5</v>
      </c>
      <c r="L1698" s="381">
        <v>0</v>
      </c>
      <c r="M1698" s="381" t="s">
        <v>148</v>
      </c>
      <c r="N1698" s="381" t="s">
        <v>149</v>
      </c>
      <c r="O1698" s="381" t="s">
        <v>150</v>
      </c>
      <c r="P1698" s="381" t="s">
        <v>151</v>
      </c>
      <c r="Q1698" s="381"/>
      <c r="R1698" s="381" t="s">
        <v>7210</v>
      </c>
      <c r="S1698" s="381"/>
      <c r="T1698" s="381" t="s">
        <v>3188</v>
      </c>
      <c r="U1698" s="381" t="s">
        <v>152</v>
      </c>
      <c r="V1698" s="381" t="s">
        <v>23</v>
      </c>
    </row>
    <row r="1699" spans="2:22">
      <c r="B1699" s="383">
        <v>46262</v>
      </c>
      <c r="C1699" s="383">
        <v>46262</v>
      </c>
      <c r="D1699" s="381" t="s">
        <v>7211</v>
      </c>
      <c r="E1699" s="382" t="s">
        <v>7212</v>
      </c>
      <c r="F1699" s="381" t="s">
        <v>87</v>
      </c>
      <c r="G1699" s="381" t="s">
        <v>7152</v>
      </c>
      <c r="H1699" s="387">
        <v>55</v>
      </c>
      <c r="I1699" s="381">
        <v>35.799999999999997</v>
      </c>
      <c r="J1699" s="381">
        <v>35.799999999999997</v>
      </c>
      <c r="K1699" s="381">
        <v>5</v>
      </c>
      <c r="L1699" s="381">
        <v>0</v>
      </c>
      <c r="M1699" s="381" t="s">
        <v>148</v>
      </c>
      <c r="N1699" s="381" t="s">
        <v>149</v>
      </c>
      <c r="O1699" s="381" t="s">
        <v>150</v>
      </c>
      <c r="P1699" s="381" t="s">
        <v>151</v>
      </c>
      <c r="Q1699" s="381"/>
      <c r="R1699" s="381" t="s">
        <v>7212</v>
      </c>
      <c r="S1699" s="381"/>
      <c r="T1699" s="381" t="s">
        <v>3188</v>
      </c>
      <c r="U1699" s="381" t="s">
        <v>152</v>
      </c>
      <c r="V1699" s="381" t="s">
        <v>23</v>
      </c>
    </row>
    <row r="1700" spans="2:22">
      <c r="B1700" s="383">
        <v>46262</v>
      </c>
      <c r="C1700" s="383">
        <v>46262</v>
      </c>
      <c r="D1700" s="381" t="s">
        <v>7213</v>
      </c>
      <c r="E1700" s="382" t="s">
        <v>7214</v>
      </c>
      <c r="F1700" s="381" t="s">
        <v>87</v>
      </c>
      <c r="G1700" s="381" t="s">
        <v>7152</v>
      </c>
      <c r="H1700" s="387">
        <v>55</v>
      </c>
      <c r="I1700" s="381">
        <v>38.299999999999997</v>
      </c>
      <c r="J1700" s="381">
        <v>38.299999999999997</v>
      </c>
      <c r="K1700" s="381">
        <v>5</v>
      </c>
      <c r="L1700" s="381">
        <v>0</v>
      </c>
      <c r="M1700" s="381" t="s">
        <v>148</v>
      </c>
      <c r="N1700" s="381" t="s">
        <v>149</v>
      </c>
      <c r="O1700" s="381" t="s">
        <v>150</v>
      </c>
      <c r="P1700" s="381" t="s">
        <v>151</v>
      </c>
      <c r="Q1700" s="381"/>
      <c r="R1700" s="381" t="s">
        <v>7214</v>
      </c>
      <c r="S1700" s="381"/>
      <c r="T1700" s="381" t="s">
        <v>3188</v>
      </c>
      <c r="U1700" s="381" t="s">
        <v>152</v>
      </c>
      <c r="V1700" s="381" t="s">
        <v>23</v>
      </c>
    </row>
    <row r="1701" spans="2:22">
      <c r="B1701" s="383">
        <v>46262</v>
      </c>
      <c r="C1701" s="383">
        <v>46262</v>
      </c>
      <c r="D1701" s="381" t="s">
        <v>7215</v>
      </c>
      <c r="E1701" s="382" t="s">
        <v>7216</v>
      </c>
      <c r="F1701" s="381" t="s">
        <v>87</v>
      </c>
      <c r="G1701" s="381" t="s">
        <v>2404</v>
      </c>
      <c r="H1701" s="387">
        <v>40</v>
      </c>
      <c r="I1701" s="381">
        <v>34.799999999999997</v>
      </c>
      <c r="J1701" s="381">
        <v>34.799999999999997</v>
      </c>
      <c r="K1701" s="381">
        <v>5</v>
      </c>
      <c r="L1701" s="381">
        <v>0</v>
      </c>
      <c r="M1701" s="381" t="s">
        <v>148</v>
      </c>
      <c r="N1701" s="381" t="s">
        <v>149</v>
      </c>
      <c r="O1701" s="381" t="s">
        <v>150</v>
      </c>
      <c r="P1701" s="381" t="s">
        <v>151</v>
      </c>
      <c r="Q1701" s="381"/>
      <c r="R1701" s="381" t="s">
        <v>7216</v>
      </c>
      <c r="S1701" s="381"/>
      <c r="T1701" s="381" t="s">
        <v>3188</v>
      </c>
      <c r="U1701" s="381" t="s">
        <v>152</v>
      </c>
      <c r="V1701" s="381" t="s">
        <v>23</v>
      </c>
    </row>
    <row r="1702" spans="2:22">
      <c r="B1702" s="383">
        <v>46262</v>
      </c>
      <c r="C1702" s="383">
        <v>46262</v>
      </c>
      <c r="D1702" s="381" t="s">
        <v>7217</v>
      </c>
      <c r="E1702" s="382" t="s">
        <v>7218</v>
      </c>
      <c r="F1702" s="381" t="s">
        <v>87</v>
      </c>
      <c r="G1702" s="381" t="s">
        <v>2404</v>
      </c>
      <c r="H1702" s="387">
        <v>40</v>
      </c>
      <c r="I1702" s="381">
        <v>38.799999999999997</v>
      </c>
      <c r="J1702" s="381">
        <v>38.799999999999997</v>
      </c>
      <c r="K1702" s="381">
        <v>5</v>
      </c>
      <c r="L1702" s="381">
        <v>0</v>
      </c>
      <c r="M1702" s="381" t="s">
        <v>148</v>
      </c>
      <c r="N1702" s="381" t="s">
        <v>149</v>
      </c>
      <c r="O1702" s="381" t="s">
        <v>150</v>
      </c>
      <c r="P1702" s="381" t="s">
        <v>151</v>
      </c>
      <c r="Q1702" s="381"/>
      <c r="R1702" s="381" t="s">
        <v>7218</v>
      </c>
      <c r="S1702" s="381"/>
      <c r="T1702" s="381" t="s">
        <v>3188</v>
      </c>
      <c r="U1702" s="381" t="s">
        <v>152</v>
      </c>
      <c r="V1702" s="381" t="s">
        <v>23</v>
      </c>
    </row>
    <row r="1703" spans="2:22">
      <c r="B1703" s="383">
        <v>46262</v>
      </c>
      <c r="C1703" s="383">
        <v>46262</v>
      </c>
      <c r="D1703" s="381" t="s">
        <v>7219</v>
      </c>
      <c r="E1703" s="382" t="s">
        <v>7220</v>
      </c>
      <c r="F1703" s="381" t="s">
        <v>87</v>
      </c>
      <c r="G1703" s="381" t="s">
        <v>2358</v>
      </c>
      <c r="H1703" s="387">
        <v>30</v>
      </c>
      <c r="I1703" s="381">
        <v>37.799999999999997</v>
      </c>
      <c r="J1703" s="381">
        <v>37.799999999999997</v>
      </c>
      <c r="K1703" s="381">
        <v>4</v>
      </c>
      <c r="L1703" s="381">
        <v>0</v>
      </c>
      <c r="M1703" s="381" t="s">
        <v>148</v>
      </c>
      <c r="N1703" s="381" t="s">
        <v>149</v>
      </c>
      <c r="O1703" s="381" t="s">
        <v>150</v>
      </c>
      <c r="P1703" s="381" t="s">
        <v>151</v>
      </c>
      <c r="Q1703" s="381"/>
      <c r="R1703" s="381" t="s">
        <v>7220</v>
      </c>
      <c r="S1703" s="381"/>
      <c r="T1703" s="381" t="s">
        <v>3188</v>
      </c>
      <c r="U1703" s="381" t="s">
        <v>152</v>
      </c>
      <c r="V1703" s="381" t="s">
        <v>23</v>
      </c>
    </row>
    <row r="1704" spans="2:22">
      <c r="B1704" s="383">
        <v>46262</v>
      </c>
      <c r="C1704" s="383">
        <v>46262</v>
      </c>
      <c r="D1704" s="381" t="s">
        <v>7221</v>
      </c>
      <c r="E1704" s="382" t="s">
        <v>7222</v>
      </c>
      <c r="F1704" s="381" t="s">
        <v>87</v>
      </c>
      <c r="G1704" s="381" t="s">
        <v>7152</v>
      </c>
      <c r="H1704" s="387">
        <v>55</v>
      </c>
      <c r="I1704" s="381">
        <v>35.799999999999997</v>
      </c>
      <c r="J1704" s="381">
        <v>35.799999999999997</v>
      </c>
      <c r="K1704" s="381">
        <v>5</v>
      </c>
      <c r="L1704" s="381">
        <v>0</v>
      </c>
      <c r="M1704" s="381" t="s">
        <v>148</v>
      </c>
      <c r="N1704" s="381" t="s">
        <v>149</v>
      </c>
      <c r="O1704" s="381" t="s">
        <v>150</v>
      </c>
      <c r="P1704" s="381" t="s">
        <v>151</v>
      </c>
      <c r="Q1704" s="381"/>
      <c r="R1704" s="381" t="s">
        <v>7222</v>
      </c>
      <c r="S1704" s="381"/>
      <c r="T1704" s="381" t="s">
        <v>3188</v>
      </c>
      <c r="U1704" s="381" t="s">
        <v>152</v>
      </c>
      <c r="V1704" s="381" t="s">
        <v>23</v>
      </c>
    </row>
    <row r="1705" spans="2:22">
      <c r="B1705" s="383">
        <v>46262</v>
      </c>
      <c r="C1705" s="383">
        <v>46262</v>
      </c>
      <c r="D1705" s="381" t="s">
        <v>7223</v>
      </c>
      <c r="E1705" s="382" t="s">
        <v>7224</v>
      </c>
      <c r="F1705" s="381" t="s">
        <v>87</v>
      </c>
      <c r="G1705" s="381" t="s">
        <v>2357</v>
      </c>
      <c r="H1705" s="387">
        <v>40</v>
      </c>
      <c r="I1705" s="381">
        <v>36.799999999999997</v>
      </c>
      <c r="J1705" s="381">
        <v>36.799999999999997</v>
      </c>
      <c r="K1705" s="381">
        <v>5</v>
      </c>
      <c r="L1705" s="381">
        <v>0</v>
      </c>
      <c r="M1705" s="381" t="s">
        <v>148</v>
      </c>
      <c r="N1705" s="381" t="s">
        <v>149</v>
      </c>
      <c r="O1705" s="381" t="s">
        <v>150</v>
      </c>
      <c r="P1705" s="381" t="s">
        <v>151</v>
      </c>
      <c r="Q1705" s="381"/>
      <c r="R1705" s="381" t="s">
        <v>7224</v>
      </c>
      <c r="S1705" s="381"/>
      <c r="T1705" s="381" t="s">
        <v>3188</v>
      </c>
      <c r="U1705" s="381" t="s">
        <v>152</v>
      </c>
      <c r="V1705" s="381" t="s">
        <v>23</v>
      </c>
    </row>
    <row r="1706" spans="2:22">
      <c r="B1706" s="383">
        <v>46262</v>
      </c>
      <c r="C1706" s="383">
        <v>46262</v>
      </c>
      <c r="D1706" s="381" t="s">
        <v>7225</v>
      </c>
      <c r="E1706" s="382" t="s">
        <v>7226</v>
      </c>
      <c r="F1706" s="381" t="s">
        <v>87</v>
      </c>
      <c r="G1706" s="381" t="s">
        <v>2357</v>
      </c>
      <c r="H1706" s="387">
        <v>40</v>
      </c>
      <c r="I1706" s="381">
        <v>42.8</v>
      </c>
      <c r="J1706" s="381">
        <v>42.8</v>
      </c>
      <c r="K1706" s="381">
        <v>5</v>
      </c>
      <c r="L1706" s="381">
        <v>0</v>
      </c>
      <c r="M1706" s="381" t="s">
        <v>148</v>
      </c>
      <c r="N1706" s="381" t="s">
        <v>149</v>
      </c>
      <c r="O1706" s="381" t="s">
        <v>150</v>
      </c>
      <c r="P1706" s="381" t="s">
        <v>151</v>
      </c>
      <c r="Q1706" s="381"/>
      <c r="R1706" s="381" t="s">
        <v>7226</v>
      </c>
      <c r="S1706" s="381"/>
      <c r="T1706" s="381" t="s">
        <v>3188</v>
      </c>
      <c r="U1706" s="381" t="s">
        <v>152</v>
      </c>
      <c r="V1706" s="381" t="s">
        <v>23</v>
      </c>
    </row>
    <row r="1707" spans="2:22">
      <c r="B1707" s="383">
        <v>46262</v>
      </c>
      <c r="C1707" s="383">
        <v>46262</v>
      </c>
      <c r="D1707" s="381" t="s">
        <v>7227</v>
      </c>
      <c r="E1707" s="382" t="s">
        <v>7228</v>
      </c>
      <c r="F1707" s="381" t="s">
        <v>87</v>
      </c>
      <c r="G1707" s="381" t="s">
        <v>2357</v>
      </c>
      <c r="H1707" s="387">
        <v>40</v>
      </c>
      <c r="I1707" s="381">
        <v>25.3</v>
      </c>
      <c r="J1707" s="381">
        <v>25.3</v>
      </c>
      <c r="K1707" s="381">
        <v>5</v>
      </c>
      <c r="L1707" s="381">
        <v>0</v>
      </c>
      <c r="M1707" s="381" t="s">
        <v>148</v>
      </c>
      <c r="N1707" s="381" t="s">
        <v>149</v>
      </c>
      <c r="O1707" s="381" t="s">
        <v>150</v>
      </c>
      <c r="P1707" s="381" t="s">
        <v>151</v>
      </c>
      <c r="Q1707" s="381"/>
      <c r="R1707" s="381" t="s">
        <v>7228</v>
      </c>
      <c r="S1707" s="381"/>
      <c r="T1707" s="381" t="s">
        <v>3188</v>
      </c>
      <c r="U1707" s="381" t="s">
        <v>152</v>
      </c>
      <c r="V1707" s="381" t="s">
        <v>23</v>
      </c>
    </row>
    <row r="1708" spans="2:22">
      <c r="B1708" s="383">
        <v>46262</v>
      </c>
      <c r="C1708" s="383">
        <v>46262</v>
      </c>
      <c r="D1708" s="381" t="s">
        <v>7229</v>
      </c>
      <c r="E1708" s="382" t="s">
        <v>7230</v>
      </c>
      <c r="F1708" s="381" t="s">
        <v>87</v>
      </c>
      <c r="G1708" s="381" t="s">
        <v>7037</v>
      </c>
      <c r="H1708" s="387">
        <v>40</v>
      </c>
      <c r="I1708" s="381">
        <v>36.4</v>
      </c>
      <c r="J1708" s="381">
        <v>36.4</v>
      </c>
      <c r="K1708" s="381">
        <v>5</v>
      </c>
      <c r="L1708" s="381">
        <v>0</v>
      </c>
      <c r="M1708" s="381" t="s">
        <v>148</v>
      </c>
      <c r="N1708" s="381" t="s">
        <v>149</v>
      </c>
      <c r="O1708" s="381" t="s">
        <v>150</v>
      </c>
      <c r="P1708" s="381" t="s">
        <v>151</v>
      </c>
      <c r="Q1708" s="381"/>
      <c r="R1708" s="381" t="s">
        <v>7230</v>
      </c>
      <c r="S1708" s="381"/>
      <c r="T1708" s="381" t="s">
        <v>3188</v>
      </c>
      <c r="U1708" s="381" t="s">
        <v>152</v>
      </c>
      <c r="V1708" s="381" t="s">
        <v>23</v>
      </c>
    </row>
    <row r="1709" spans="2:22">
      <c r="B1709" s="383">
        <v>46262</v>
      </c>
      <c r="C1709" s="383">
        <v>46262</v>
      </c>
      <c r="D1709" s="381" t="s">
        <v>7231</v>
      </c>
      <c r="E1709" s="382" t="s">
        <v>7232</v>
      </c>
      <c r="F1709" s="381" t="s">
        <v>87</v>
      </c>
      <c r="G1709" s="381" t="s">
        <v>2404</v>
      </c>
      <c r="H1709" s="387">
        <v>40</v>
      </c>
      <c r="I1709" s="381">
        <v>43.3</v>
      </c>
      <c r="J1709" s="381">
        <v>43.3</v>
      </c>
      <c r="K1709" s="381">
        <v>5</v>
      </c>
      <c r="L1709" s="381">
        <v>0</v>
      </c>
      <c r="M1709" s="381" t="s">
        <v>148</v>
      </c>
      <c r="N1709" s="381" t="s">
        <v>149</v>
      </c>
      <c r="O1709" s="381" t="s">
        <v>150</v>
      </c>
      <c r="P1709" s="381" t="s">
        <v>151</v>
      </c>
      <c r="Q1709" s="381"/>
      <c r="R1709" s="381" t="s">
        <v>7232</v>
      </c>
      <c r="S1709" s="381"/>
      <c r="T1709" s="381" t="s">
        <v>3188</v>
      </c>
      <c r="U1709" s="381" t="s">
        <v>152</v>
      </c>
      <c r="V1709" s="381" t="s">
        <v>23</v>
      </c>
    </row>
    <row r="1710" spans="2:22">
      <c r="B1710" s="383">
        <v>46262</v>
      </c>
      <c r="C1710" s="383">
        <v>46262</v>
      </c>
      <c r="D1710" s="381" t="s">
        <v>7233</v>
      </c>
      <c r="E1710" s="382" t="s">
        <v>7234</v>
      </c>
      <c r="F1710" s="381" t="s">
        <v>87</v>
      </c>
      <c r="G1710" s="381" t="s">
        <v>2404</v>
      </c>
      <c r="H1710" s="387">
        <v>40</v>
      </c>
      <c r="I1710" s="381">
        <v>43.8</v>
      </c>
      <c r="J1710" s="381">
        <v>43.8</v>
      </c>
      <c r="K1710" s="381">
        <v>5</v>
      </c>
      <c r="L1710" s="381">
        <v>0</v>
      </c>
      <c r="M1710" s="381" t="s">
        <v>148</v>
      </c>
      <c r="N1710" s="381" t="s">
        <v>149</v>
      </c>
      <c r="O1710" s="381" t="s">
        <v>150</v>
      </c>
      <c r="P1710" s="381" t="s">
        <v>151</v>
      </c>
      <c r="Q1710" s="381"/>
      <c r="R1710" s="381" t="s">
        <v>7234</v>
      </c>
      <c r="S1710" s="381"/>
      <c r="T1710" s="381" t="s">
        <v>3188</v>
      </c>
      <c r="U1710" s="381" t="s">
        <v>152</v>
      </c>
      <c r="V1710" s="381" t="s">
        <v>23</v>
      </c>
    </row>
    <row r="1711" spans="2:22">
      <c r="B1711" s="383">
        <v>46262</v>
      </c>
      <c r="C1711" s="383">
        <v>46262</v>
      </c>
      <c r="D1711" s="381" t="s">
        <v>7235</v>
      </c>
      <c r="E1711" s="382" t="s">
        <v>7236</v>
      </c>
      <c r="F1711" s="381" t="s">
        <v>87</v>
      </c>
      <c r="G1711" s="381" t="s">
        <v>6008</v>
      </c>
      <c r="H1711" s="387">
        <v>30</v>
      </c>
      <c r="I1711" s="381">
        <v>44.8</v>
      </c>
      <c r="J1711" s="381">
        <v>44.8</v>
      </c>
      <c r="K1711" s="381">
        <v>4</v>
      </c>
      <c r="L1711" s="381">
        <v>0</v>
      </c>
      <c r="M1711" s="381" t="s">
        <v>148</v>
      </c>
      <c r="N1711" s="381" t="s">
        <v>149</v>
      </c>
      <c r="O1711" s="381" t="s">
        <v>150</v>
      </c>
      <c r="P1711" s="381" t="s">
        <v>151</v>
      </c>
      <c r="Q1711" s="381"/>
      <c r="R1711" s="381" t="s">
        <v>7236</v>
      </c>
      <c r="S1711" s="381"/>
      <c r="T1711" s="381" t="s">
        <v>3188</v>
      </c>
      <c r="U1711" s="381" t="s">
        <v>152</v>
      </c>
      <c r="V1711" s="381" t="s">
        <v>23</v>
      </c>
    </row>
    <row r="1712" spans="2:22">
      <c r="B1712" s="383">
        <v>46262</v>
      </c>
      <c r="C1712" s="383">
        <v>46262</v>
      </c>
      <c r="D1712" s="381" t="s">
        <v>7237</v>
      </c>
      <c r="E1712" s="382" t="s">
        <v>7238</v>
      </c>
      <c r="F1712" s="381" t="s">
        <v>87</v>
      </c>
      <c r="G1712" s="381" t="s">
        <v>2358</v>
      </c>
      <c r="H1712" s="387">
        <v>30</v>
      </c>
      <c r="I1712" s="381">
        <v>34.799999999999997</v>
      </c>
      <c r="J1712" s="381">
        <v>34.799999999999997</v>
      </c>
      <c r="K1712" s="381">
        <v>4</v>
      </c>
      <c r="L1712" s="381">
        <v>0</v>
      </c>
      <c r="M1712" s="381" t="s">
        <v>148</v>
      </c>
      <c r="N1712" s="381" t="s">
        <v>149</v>
      </c>
      <c r="O1712" s="381" t="s">
        <v>150</v>
      </c>
      <c r="P1712" s="381" t="s">
        <v>151</v>
      </c>
      <c r="Q1712" s="381"/>
      <c r="R1712" s="381" t="s">
        <v>7238</v>
      </c>
      <c r="S1712" s="381"/>
      <c r="T1712" s="381" t="s">
        <v>3188</v>
      </c>
      <c r="U1712" s="381" t="s">
        <v>152</v>
      </c>
      <c r="V1712" s="381" t="s">
        <v>23</v>
      </c>
    </row>
    <row r="1713" spans="2:22">
      <c r="B1713" s="383">
        <v>46262</v>
      </c>
      <c r="C1713" s="383">
        <v>46262</v>
      </c>
      <c r="D1713" s="381" t="s">
        <v>7239</v>
      </c>
      <c r="E1713" s="382" t="s">
        <v>7240</v>
      </c>
      <c r="F1713" s="381" t="s">
        <v>87</v>
      </c>
      <c r="G1713" s="381" t="s">
        <v>7152</v>
      </c>
      <c r="H1713" s="387">
        <v>55</v>
      </c>
      <c r="I1713" s="381">
        <v>42.8</v>
      </c>
      <c r="J1713" s="381">
        <v>42.8</v>
      </c>
      <c r="K1713" s="381">
        <v>5</v>
      </c>
      <c r="L1713" s="381">
        <v>0</v>
      </c>
      <c r="M1713" s="381" t="s">
        <v>148</v>
      </c>
      <c r="N1713" s="381" t="s">
        <v>149</v>
      </c>
      <c r="O1713" s="381" t="s">
        <v>150</v>
      </c>
      <c r="P1713" s="381" t="s">
        <v>151</v>
      </c>
      <c r="Q1713" s="381"/>
      <c r="R1713" s="381" t="s">
        <v>7240</v>
      </c>
      <c r="S1713" s="381"/>
      <c r="T1713" s="381" t="s">
        <v>3188</v>
      </c>
      <c r="U1713" s="381" t="s">
        <v>152</v>
      </c>
      <c r="V1713" s="381" t="s">
        <v>23</v>
      </c>
    </row>
    <row r="1714" spans="2:22">
      <c r="B1714" s="383">
        <v>46262</v>
      </c>
      <c r="C1714" s="383">
        <v>46262</v>
      </c>
      <c r="D1714" s="381" t="s">
        <v>7241</v>
      </c>
      <c r="E1714" s="382" t="s">
        <v>7242</v>
      </c>
      <c r="F1714" s="381" t="s">
        <v>87</v>
      </c>
      <c r="G1714" s="381" t="s">
        <v>7152</v>
      </c>
      <c r="H1714" s="387">
        <v>55</v>
      </c>
      <c r="I1714" s="381">
        <v>41.5</v>
      </c>
      <c r="J1714" s="381">
        <v>41.5</v>
      </c>
      <c r="K1714" s="381">
        <v>5</v>
      </c>
      <c r="L1714" s="381">
        <v>0</v>
      </c>
      <c r="M1714" s="381" t="s">
        <v>148</v>
      </c>
      <c r="N1714" s="381" t="s">
        <v>149</v>
      </c>
      <c r="O1714" s="381" t="s">
        <v>150</v>
      </c>
      <c r="P1714" s="381" t="s">
        <v>151</v>
      </c>
      <c r="Q1714" s="381"/>
      <c r="R1714" s="381" t="s">
        <v>7242</v>
      </c>
      <c r="S1714" s="381"/>
      <c r="T1714" s="381" t="s">
        <v>3188</v>
      </c>
      <c r="U1714" s="381" t="s">
        <v>152</v>
      </c>
      <c r="V1714" s="381" t="s">
        <v>23</v>
      </c>
    </row>
    <row r="1715" spans="2:22">
      <c r="B1715" s="383">
        <v>46262</v>
      </c>
      <c r="C1715" s="383">
        <v>46262</v>
      </c>
      <c r="D1715" s="381" t="s">
        <v>7243</v>
      </c>
      <c r="E1715" s="382" t="s">
        <v>7244</v>
      </c>
      <c r="F1715" s="381" t="s">
        <v>87</v>
      </c>
      <c r="G1715" s="381" t="s">
        <v>2404</v>
      </c>
      <c r="H1715" s="387">
        <v>40</v>
      </c>
      <c r="I1715" s="381">
        <v>31.3</v>
      </c>
      <c r="J1715" s="381">
        <v>31.3</v>
      </c>
      <c r="K1715" s="381">
        <v>5</v>
      </c>
      <c r="L1715" s="381">
        <v>0</v>
      </c>
      <c r="M1715" s="381" t="s">
        <v>148</v>
      </c>
      <c r="N1715" s="381" t="s">
        <v>149</v>
      </c>
      <c r="O1715" s="381" t="s">
        <v>150</v>
      </c>
      <c r="P1715" s="381" t="s">
        <v>151</v>
      </c>
      <c r="Q1715" s="381"/>
      <c r="R1715" s="381" t="s">
        <v>7244</v>
      </c>
      <c r="S1715" s="381"/>
      <c r="T1715" s="381" t="s">
        <v>3188</v>
      </c>
      <c r="U1715" s="381" t="s">
        <v>152</v>
      </c>
      <c r="V1715" s="381" t="s">
        <v>23</v>
      </c>
    </row>
    <row r="1716" spans="2:22">
      <c r="B1716" s="383">
        <v>46262</v>
      </c>
      <c r="C1716" s="383">
        <v>46262</v>
      </c>
      <c r="D1716" s="381" t="s">
        <v>7245</v>
      </c>
      <c r="E1716" s="382" t="s">
        <v>7246</v>
      </c>
      <c r="F1716" s="381" t="s">
        <v>87</v>
      </c>
      <c r="G1716" s="381" t="s">
        <v>7037</v>
      </c>
      <c r="H1716" s="387">
        <v>40</v>
      </c>
      <c r="I1716" s="381">
        <v>31.8</v>
      </c>
      <c r="J1716" s="381">
        <v>31.8</v>
      </c>
      <c r="K1716" s="381">
        <v>5</v>
      </c>
      <c r="L1716" s="381">
        <v>0</v>
      </c>
      <c r="M1716" s="381" t="s">
        <v>148</v>
      </c>
      <c r="N1716" s="381" t="s">
        <v>149</v>
      </c>
      <c r="O1716" s="381" t="s">
        <v>150</v>
      </c>
      <c r="P1716" s="381" t="s">
        <v>151</v>
      </c>
      <c r="Q1716" s="381"/>
      <c r="R1716" s="381" t="s">
        <v>7246</v>
      </c>
      <c r="S1716" s="381"/>
      <c r="T1716" s="381" t="s">
        <v>3188</v>
      </c>
      <c r="U1716" s="381" t="s">
        <v>152</v>
      </c>
      <c r="V1716" s="381" t="s">
        <v>23</v>
      </c>
    </row>
    <row r="1717" spans="2:22">
      <c r="B1717" s="383">
        <v>46262</v>
      </c>
      <c r="C1717" s="383">
        <v>46262</v>
      </c>
      <c r="D1717" s="381" t="s">
        <v>7247</v>
      </c>
      <c r="E1717" s="382" t="s">
        <v>7248</v>
      </c>
      <c r="F1717" s="381" t="s">
        <v>87</v>
      </c>
      <c r="G1717" s="381" t="s">
        <v>7037</v>
      </c>
      <c r="H1717" s="387">
        <v>40</v>
      </c>
      <c r="I1717" s="381">
        <v>24.6</v>
      </c>
      <c r="J1717" s="381">
        <v>24.6</v>
      </c>
      <c r="K1717" s="381">
        <v>5</v>
      </c>
      <c r="L1717" s="381">
        <v>0</v>
      </c>
      <c r="M1717" s="381" t="s">
        <v>148</v>
      </c>
      <c r="N1717" s="381" t="s">
        <v>149</v>
      </c>
      <c r="O1717" s="381" t="s">
        <v>150</v>
      </c>
      <c r="P1717" s="381" t="s">
        <v>151</v>
      </c>
      <c r="Q1717" s="381"/>
      <c r="R1717" s="381" t="s">
        <v>7248</v>
      </c>
      <c r="S1717" s="381"/>
      <c r="T1717" s="381" t="s">
        <v>3188</v>
      </c>
      <c r="U1717" s="381" t="s">
        <v>152</v>
      </c>
      <c r="V1717" s="381" t="s">
        <v>23</v>
      </c>
    </row>
    <row r="1718" spans="2:22">
      <c r="B1718" s="383">
        <v>46262</v>
      </c>
      <c r="C1718" s="383">
        <v>46262</v>
      </c>
      <c r="D1718" s="381" t="s">
        <v>7249</v>
      </c>
      <c r="E1718" s="382" t="s">
        <v>7250</v>
      </c>
      <c r="F1718" s="381" t="s">
        <v>87</v>
      </c>
      <c r="G1718" s="381" t="s">
        <v>2358</v>
      </c>
      <c r="H1718" s="387">
        <v>30</v>
      </c>
      <c r="I1718" s="381">
        <v>36.4</v>
      </c>
      <c r="J1718" s="381">
        <v>36.4</v>
      </c>
      <c r="K1718" s="381">
        <v>4</v>
      </c>
      <c r="L1718" s="381">
        <v>0</v>
      </c>
      <c r="M1718" s="381" t="s">
        <v>148</v>
      </c>
      <c r="N1718" s="381" t="s">
        <v>149</v>
      </c>
      <c r="O1718" s="381" t="s">
        <v>150</v>
      </c>
      <c r="P1718" s="381" t="s">
        <v>151</v>
      </c>
      <c r="Q1718" s="381"/>
      <c r="R1718" s="381" t="s">
        <v>7250</v>
      </c>
      <c r="S1718" s="381"/>
      <c r="T1718" s="381" t="s">
        <v>3188</v>
      </c>
      <c r="U1718" s="381" t="s">
        <v>152</v>
      </c>
      <c r="V1718" s="381" t="s">
        <v>23</v>
      </c>
    </row>
    <row r="1719" spans="2:22">
      <c r="B1719" s="383">
        <v>46262</v>
      </c>
      <c r="C1719" s="383">
        <v>46262</v>
      </c>
      <c r="D1719" s="381" t="s">
        <v>7251</v>
      </c>
      <c r="E1719" s="382" t="s">
        <v>7252</v>
      </c>
      <c r="F1719" s="381" t="s">
        <v>87</v>
      </c>
      <c r="G1719" s="381" t="s">
        <v>2357</v>
      </c>
      <c r="H1719" s="387">
        <v>40</v>
      </c>
      <c r="I1719" s="381">
        <v>39.799999999999997</v>
      </c>
      <c r="J1719" s="381">
        <v>39.799999999999997</v>
      </c>
      <c r="K1719" s="381">
        <v>5</v>
      </c>
      <c r="L1719" s="381">
        <v>0</v>
      </c>
      <c r="M1719" s="381" t="s">
        <v>148</v>
      </c>
      <c r="N1719" s="381" t="s">
        <v>149</v>
      </c>
      <c r="O1719" s="381" t="s">
        <v>150</v>
      </c>
      <c r="P1719" s="381" t="s">
        <v>151</v>
      </c>
      <c r="Q1719" s="381"/>
      <c r="R1719" s="381" t="s">
        <v>7252</v>
      </c>
      <c r="S1719" s="381"/>
      <c r="T1719" s="381" t="s">
        <v>3188</v>
      </c>
      <c r="U1719" s="381" t="s">
        <v>152</v>
      </c>
      <c r="V1719" s="381" t="s">
        <v>23</v>
      </c>
    </row>
    <row r="1720" spans="2:22">
      <c r="B1720" s="383">
        <v>46262</v>
      </c>
      <c r="C1720" s="383">
        <v>46262</v>
      </c>
      <c r="D1720" s="381" t="s">
        <v>7253</v>
      </c>
      <c r="E1720" s="382" t="s">
        <v>7254</v>
      </c>
      <c r="F1720" s="381" t="s">
        <v>87</v>
      </c>
      <c r="G1720" s="381" t="s">
        <v>2357</v>
      </c>
      <c r="H1720" s="387">
        <v>40</v>
      </c>
      <c r="I1720" s="381">
        <v>42.3</v>
      </c>
      <c r="J1720" s="381">
        <v>42.3</v>
      </c>
      <c r="K1720" s="381">
        <v>5</v>
      </c>
      <c r="L1720" s="381">
        <v>0</v>
      </c>
      <c r="M1720" s="381" t="s">
        <v>148</v>
      </c>
      <c r="N1720" s="381" t="s">
        <v>149</v>
      </c>
      <c r="O1720" s="381" t="s">
        <v>150</v>
      </c>
      <c r="P1720" s="381" t="s">
        <v>151</v>
      </c>
      <c r="Q1720" s="381"/>
      <c r="R1720" s="381" t="s">
        <v>7254</v>
      </c>
      <c r="S1720" s="381"/>
      <c r="T1720" s="381" t="s">
        <v>3188</v>
      </c>
      <c r="U1720" s="381" t="s">
        <v>152</v>
      </c>
      <c r="V1720" s="381" t="s">
        <v>23</v>
      </c>
    </row>
    <row r="1721" spans="2:22">
      <c r="B1721" s="383">
        <v>46262</v>
      </c>
      <c r="C1721" s="383">
        <v>46262</v>
      </c>
      <c r="D1721" s="381" t="s">
        <v>7255</v>
      </c>
      <c r="E1721" s="382" t="s">
        <v>7256</v>
      </c>
      <c r="F1721" s="381" t="s">
        <v>87</v>
      </c>
      <c r="G1721" s="381" t="s">
        <v>7152</v>
      </c>
      <c r="H1721" s="387">
        <v>55</v>
      </c>
      <c r="I1721" s="381">
        <v>43.3</v>
      </c>
      <c r="J1721" s="381">
        <v>43.3</v>
      </c>
      <c r="K1721" s="381">
        <v>5</v>
      </c>
      <c r="L1721" s="381">
        <v>0</v>
      </c>
      <c r="M1721" s="381" t="s">
        <v>148</v>
      </c>
      <c r="N1721" s="381" t="s">
        <v>149</v>
      </c>
      <c r="O1721" s="381" t="s">
        <v>150</v>
      </c>
      <c r="P1721" s="381" t="s">
        <v>151</v>
      </c>
      <c r="Q1721" s="381"/>
      <c r="R1721" s="381" t="s">
        <v>7256</v>
      </c>
      <c r="S1721" s="381"/>
      <c r="T1721" s="381" t="s">
        <v>3188</v>
      </c>
      <c r="U1721" s="381" t="s">
        <v>152</v>
      </c>
      <c r="V1721" s="381" t="s">
        <v>23</v>
      </c>
    </row>
    <row r="1722" spans="2:22">
      <c r="B1722" s="383">
        <v>46262</v>
      </c>
      <c r="C1722" s="383">
        <v>46262</v>
      </c>
      <c r="D1722" s="381" t="s">
        <v>7257</v>
      </c>
      <c r="E1722" s="382" t="s">
        <v>7258</v>
      </c>
      <c r="F1722" s="381" t="s">
        <v>87</v>
      </c>
      <c r="G1722" s="381" t="s">
        <v>2404</v>
      </c>
      <c r="H1722" s="387">
        <v>40</v>
      </c>
      <c r="I1722" s="381">
        <v>22.3</v>
      </c>
      <c r="J1722" s="381">
        <v>22.3</v>
      </c>
      <c r="K1722" s="381">
        <v>5</v>
      </c>
      <c r="L1722" s="381">
        <v>0</v>
      </c>
      <c r="M1722" s="381" t="s">
        <v>148</v>
      </c>
      <c r="N1722" s="381" t="s">
        <v>149</v>
      </c>
      <c r="O1722" s="381" t="s">
        <v>150</v>
      </c>
      <c r="P1722" s="381" t="s">
        <v>151</v>
      </c>
      <c r="Q1722" s="381"/>
      <c r="R1722" s="381" t="s">
        <v>7258</v>
      </c>
      <c r="S1722" s="381"/>
      <c r="T1722" s="381" t="s">
        <v>3188</v>
      </c>
      <c r="U1722" s="381" t="s">
        <v>152</v>
      </c>
      <c r="V1722" s="381" t="s">
        <v>23</v>
      </c>
    </row>
    <row r="1723" spans="2:22">
      <c r="B1723" s="383">
        <v>46262</v>
      </c>
      <c r="C1723" s="383">
        <v>46262</v>
      </c>
      <c r="D1723" s="381" t="s">
        <v>7259</v>
      </c>
      <c r="E1723" s="382" t="s">
        <v>7260</v>
      </c>
      <c r="F1723" s="381" t="s">
        <v>87</v>
      </c>
      <c r="G1723" s="381" t="s">
        <v>2357</v>
      </c>
      <c r="H1723" s="387">
        <v>40</v>
      </c>
      <c r="I1723" s="381">
        <v>31.8</v>
      </c>
      <c r="J1723" s="381">
        <v>31.8</v>
      </c>
      <c r="K1723" s="381">
        <v>5</v>
      </c>
      <c r="L1723" s="381">
        <v>0</v>
      </c>
      <c r="M1723" s="381" t="s">
        <v>148</v>
      </c>
      <c r="N1723" s="381" t="s">
        <v>149</v>
      </c>
      <c r="O1723" s="381" t="s">
        <v>150</v>
      </c>
      <c r="P1723" s="381" t="s">
        <v>151</v>
      </c>
      <c r="Q1723" s="381"/>
      <c r="R1723" s="381" t="s">
        <v>7260</v>
      </c>
      <c r="S1723" s="381"/>
      <c r="T1723" s="381" t="s">
        <v>3188</v>
      </c>
      <c r="U1723" s="381" t="s">
        <v>152</v>
      </c>
      <c r="V1723" s="381" t="s">
        <v>23</v>
      </c>
    </row>
    <row r="1724" spans="2:22">
      <c r="B1724" s="383">
        <v>46263</v>
      </c>
      <c r="C1724" s="383">
        <v>46263</v>
      </c>
      <c r="D1724" s="381" t="s">
        <v>7261</v>
      </c>
      <c r="E1724" s="382" t="s">
        <v>7262</v>
      </c>
      <c r="F1724" s="381" t="s">
        <v>87</v>
      </c>
      <c r="G1724" s="381" t="s">
        <v>2358</v>
      </c>
      <c r="H1724" s="387">
        <v>30</v>
      </c>
      <c r="I1724" s="381">
        <v>33.799999999999997</v>
      </c>
      <c r="J1724" s="381">
        <v>33.799999999999997</v>
      </c>
      <c r="K1724" s="381">
        <v>4</v>
      </c>
      <c r="L1724" s="381">
        <v>0</v>
      </c>
      <c r="M1724" s="381" t="s">
        <v>148</v>
      </c>
      <c r="N1724" s="381" t="s">
        <v>149</v>
      </c>
      <c r="O1724" s="381" t="s">
        <v>150</v>
      </c>
      <c r="P1724" s="381" t="s">
        <v>151</v>
      </c>
      <c r="Q1724" s="381"/>
      <c r="R1724" s="381" t="s">
        <v>7262</v>
      </c>
      <c r="S1724" s="381"/>
      <c r="T1724" s="381" t="s">
        <v>3211</v>
      </c>
      <c r="U1724" s="381" t="s">
        <v>152</v>
      </c>
      <c r="V1724" s="381" t="s">
        <v>23</v>
      </c>
    </row>
    <row r="1725" spans="2:22">
      <c r="B1725" s="383">
        <v>46263</v>
      </c>
      <c r="C1725" s="383">
        <v>46263</v>
      </c>
      <c r="D1725" s="381" t="s">
        <v>7263</v>
      </c>
      <c r="E1725" s="382" t="s">
        <v>7264</v>
      </c>
      <c r="F1725" s="381" t="s">
        <v>87</v>
      </c>
      <c r="G1725" s="381" t="s">
        <v>2404</v>
      </c>
      <c r="H1725" s="387">
        <v>40</v>
      </c>
      <c r="I1725" s="381">
        <v>23</v>
      </c>
      <c r="J1725" s="381">
        <v>23</v>
      </c>
      <c r="K1725" s="381">
        <v>5</v>
      </c>
      <c r="L1725" s="381">
        <v>0</v>
      </c>
      <c r="M1725" s="381" t="s">
        <v>148</v>
      </c>
      <c r="N1725" s="381" t="s">
        <v>149</v>
      </c>
      <c r="O1725" s="381" t="s">
        <v>150</v>
      </c>
      <c r="P1725" s="381" t="s">
        <v>151</v>
      </c>
      <c r="Q1725" s="381"/>
      <c r="R1725" s="381" t="s">
        <v>7264</v>
      </c>
      <c r="S1725" s="381"/>
      <c r="T1725" s="381" t="s">
        <v>3211</v>
      </c>
      <c r="U1725" s="381" t="s">
        <v>152</v>
      </c>
      <c r="V1725" s="381" t="s">
        <v>23</v>
      </c>
    </row>
    <row r="1726" spans="2:22">
      <c r="B1726" s="383">
        <v>46263</v>
      </c>
      <c r="C1726" s="383">
        <v>46263</v>
      </c>
      <c r="D1726" s="381" t="s">
        <v>7265</v>
      </c>
      <c r="E1726" s="382" t="s">
        <v>7266</v>
      </c>
      <c r="F1726" s="381" t="s">
        <v>87</v>
      </c>
      <c r="G1726" s="381" t="s">
        <v>2404</v>
      </c>
      <c r="H1726" s="387">
        <v>40</v>
      </c>
      <c r="I1726" s="381">
        <v>41.4</v>
      </c>
      <c r="J1726" s="381">
        <v>41.4</v>
      </c>
      <c r="K1726" s="381">
        <v>5</v>
      </c>
      <c r="L1726" s="381">
        <v>0</v>
      </c>
      <c r="M1726" s="381" t="s">
        <v>148</v>
      </c>
      <c r="N1726" s="381" t="s">
        <v>149</v>
      </c>
      <c r="O1726" s="381" t="s">
        <v>150</v>
      </c>
      <c r="P1726" s="381" t="s">
        <v>151</v>
      </c>
      <c r="Q1726" s="381"/>
      <c r="R1726" s="381" t="s">
        <v>7266</v>
      </c>
      <c r="S1726" s="381"/>
      <c r="T1726" s="381" t="s">
        <v>3211</v>
      </c>
      <c r="U1726" s="381" t="s">
        <v>152</v>
      </c>
      <c r="V1726" s="381" t="s">
        <v>23</v>
      </c>
    </row>
    <row r="1727" spans="2:22">
      <c r="B1727" s="383">
        <v>46263</v>
      </c>
      <c r="C1727" s="383">
        <v>46263</v>
      </c>
      <c r="D1727" s="381" t="s">
        <v>7267</v>
      </c>
      <c r="E1727" s="382" t="s">
        <v>7268</v>
      </c>
      <c r="F1727" s="381" t="s">
        <v>87</v>
      </c>
      <c r="G1727" s="381" t="s">
        <v>2358</v>
      </c>
      <c r="H1727" s="387">
        <v>30</v>
      </c>
      <c r="I1727" s="381">
        <v>35.799999999999997</v>
      </c>
      <c r="J1727" s="381">
        <v>35.799999999999997</v>
      </c>
      <c r="K1727" s="381">
        <v>4</v>
      </c>
      <c r="L1727" s="381">
        <v>0</v>
      </c>
      <c r="M1727" s="381" t="s">
        <v>148</v>
      </c>
      <c r="N1727" s="381" t="s">
        <v>149</v>
      </c>
      <c r="O1727" s="381" t="s">
        <v>150</v>
      </c>
      <c r="P1727" s="381" t="s">
        <v>151</v>
      </c>
      <c r="Q1727" s="381"/>
      <c r="R1727" s="381" t="s">
        <v>7268</v>
      </c>
      <c r="S1727" s="381"/>
      <c r="T1727" s="381" t="s">
        <v>3211</v>
      </c>
      <c r="U1727" s="381" t="s">
        <v>152</v>
      </c>
      <c r="V1727" s="381" t="s">
        <v>23</v>
      </c>
    </row>
    <row r="1728" spans="2:22">
      <c r="B1728" s="383">
        <v>46263</v>
      </c>
      <c r="C1728" s="383">
        <v>46263</v>
      </c>
      <c r="D1728" s="381" t="s">
        <v>7269</v>
      </c>
      <c r="E1728" s="382" t="s">
        <v>7270</v>
      </c>
      <c r="F1728" s="381" t="s">
        <v>87</v>
      </c>
      <c r="G1728" s="381" t="s">
        <v>2357</v>
      </c>
      <c r="H1728" s="387">
        <v>40</v>
      </c>
      <c r="I1728" s="381">
        <v>33.299999999999997</v>
      </c>
      <c r="J1728" s="381">
        <v>33.299999999999997</v>
      </c>
      <c r="K1728" s="381">
        <v>5</v>
      </c>
      <c r="L1728" s="381">
        <v>0</v>
      </c>
      <c r="M1728" s="381" t="s">
        <v>148</v>
      </c>
      <c r="N1728" s="381" t="s">
        <v>149</v>
      </c>
      <c r="O1728" s="381" t="s">
        <v>150</v>
      </c>
      <c r="P1728" s="381" t="s">
        <v>151</v>
      </c>
      <c r="Q1728" s="381"/>
      <c r="R1728" s="381" t="s">
        <v>7270</v>
      </c>
      <c r="S1728" s="381"/>
      <c r="T1728" s="381" t="s">
        <v>3211</v>
      </c>
      <c r="U1728" s="381" t="s">
        <v>152</v>
      </c>
      <c r="V1728" s="381" t="s">
        <v>23</v>
      </c>
    </row>
    <row r="1729" spans="2:22">
      <c r="B1729" s="383">
        <v>46263</v>
      </c>
      <c r="C1729" s="383">
        <v>46263</v>
      </c>
      <c r="D1729" s="381" t="s">
        <v>7271</v>
      </c>
      <c r="E1729" s="382" t="s">
        <v>7272</v>
      </c>
      <c r="F1729" s="381" t="s">
        <v>87</v>
      </c>
      <c r="G1729" s="381" t="s">
        <v>7152</v>
      </c>
      <c r="H1729" s="387">
        <v>55</v>
      </c>
      <c r="I1729" s="381">
        <v>42.8</v>
      </c>
      <c r="J1729" s="381">
        <v>42.8</v>
      </c>
      <c r="K1729" s="381">
        <v>5</v>
      </c>
      <c r="L1729" s="381">
        <v>0</v>
      </c>
      <c r="M1729" s="381" t="s">
        <v>148</v>
      </c>
      <c r="N1729" s="381" t="s">
        <v>149</v>
      </c>
      <c r="O1729" s="381" t="s">
        <v>150</v>
      </c>
      <c r="P1729" s="381" t="s">
        <v>151</v>
      </c>
      <c r="Q1729" s="381"/>
      <c r="R1729" s="381" t="s">
        <v>7272</v>
      </c>
      <c r="S1729" s="381"/>
      <c r="T1729" s="381" t="s">
        <v>3211</v>
      </c>
      <c r="U1729" s="381" t="s">
        <v>152</v>
      </c>
      <c r="V1729" s="381" t="s">
        <v>23</v>
      </c>
    </row>
    <row r="1730" spans="2:22">
      <c r="B1730" s="383">
        <v>46263</v>
      </c>
      <c r="C1730" s="383">
        <v>46263</v>
      </c>
      <c r="D1730" s="381" t="s">
        <v>7273</v>
      </c>
      <c r="E1730" s="382" t="s">
        <v>7274</v>
      </c>
      <c r="F1730" s="381" t="s">
        <v>87</v>
      </c>
      <c r="G1730" s="381" t="s">
        <v>2357</v>
      </c>
      <c r="H1730" s="387">
        <v>40</v>
      </c>
      <c r="I1730" s="381">
        <v>40.5</v>
      </c>
      <c r="J1730" s="381">
        <v>40.5</v>
      </c>
      <c r="K1730" s="381">
        <v>5</v>
      </c>
      <c r="L1730" s="381">
        <v>0</v>
      </c>
      <c r="M1730" s="381" t="s">
        <v>148</v>
      </c>
      <c r="N1730" s="381" t="s">
        <v>149</v>
      </c>
      <c r="O1730" s="381" t="s">
        <v>150</v>
      </c>
      <c r="P1730" s="381" t="s">
        <v>151</v>
      </c>
      <c r="Q1730" s="381"/>
      <c r="R1730" s="381" t="s">
        <v>7274</v>
      </c>
      <c r="S1730" s="381"/>
      <c r="T1730" s="381" t="s">
        <v>3211</v>
      </c>
      <c r="U1730" s="381" t="s">
        <v>152</v>
      </c>
      <c r="V1730" s="381" t="s">
        <v>23</v>
      </c>
    </row>
    <row r="1731" spans="2:22">
      <c r="B1731" s="383">
        <v>46263</v>
      </c>
      <c r="C1731" s="383">
        <v>46263</v>
      </c>
      <c r="D1731" s="381" t="s">
        <v>7275</v>
      </c>
      <c r="E1731" s="382" t="s">
        <v>7276</v>
      </c>
      <c r="F1731" s="381" t="s">
        <v>87</v>
      </c>
      <c r="G1731" s="381" t="s">
        <v>7152</v>
      </c>
      <c r="H1731" s="387">
        <v>55</v>
      </c>
      <c r="I1731" s="381">
        <v>43.3</v>
      </c>
      <c r="J1731" s="381">
        <v>43.3</v>
      </c>
      <c r="K1731" s="381">
        <v>5</v>
      </c>
      <c r="L1731" s="381">
        <v>0</v>
      </c>
      <c r="M1731" s="381" t="s">
        <v>148</v>
      </c>
      <c r="N1731" s="381" t="s">
        <v>149</v>
      </c>
      <c r="O1731" s="381" t="s">
        <v>150</v>
      </c>
      <c r="P1731" s="381" t="s">
        <v>151</v>
      </c>
      <c r="Q1731" s="381"/>
      <c r="R1731" s="381" t="s">
        <v>7276</v>
      </c>
      <c r="S1731" s="381"/>
      <c r="T1731" s="381" t="s">
        <v>3211</v>
      </c>
      <c r="U1731" s="381" t="s">
        <v>152</v>
      </c>
      <c r="V1731" s="381" t="s">
        <v>23</v>
      </c>
    </row>
    <row r="1732" spans="2:22">
      <c r="B1732" s="383">
        <v>46263</v>
      </c>
      <c r="C1732" s="383">
        <v>46263</v>
      </c>
      <c r="D1732" s="381" t="s">
        <v>7277</v>
      </c>
      <c r="E1732" s="382" t="s">
        <v>7278</v>
      </c>
      <c r="F1732" s="381" t="s">
        <v>87</v>
      </c>
      <c r="G1732" s="381" t="s">
        <v>2404</v>
      </c>
      <c r="H1732" s="387">
        <v>40</v>
      </c>
      <c r="I1732" s="381">
        <v>31.5</v>
      </c>
      <c r="J1732" s="381">
        <v>31.5</v>
      </c>
      <c r="K1732" s="381">
        <v>5</v>
      </c>
      <c r="L1732" s="381">
        <v>0</v>
      </c>
      <c r="M1732" s="381" t="s">
        <v>148</v>
      </c>
      <c r="N1732" s="381" t="s">
        <v>149</v>
      </c>
      <c r="O1732" s="381" t="s">
        <v>150</v>
      </c>
      <c r="P1732" s="381" t="s">
        <v>151</v>
      </c>
      <c r="Q1732" s="381"/>
      <c r="R1732" s="381" t="s">
        <v>7278</v>
      </c>
      <c r="S1732" s="381"/>
      <c r="T1732" s="381" t="s">
        <v>3211</v>
      </c>
      <c r="U1732" s="381" t="s">
        <v>152</v>
      </c>
      <c r="V1732" s="381" t="s">
        <v>23</v>
      </c>
    </row>
    <row r="1733" spans="2:22">
      <c r="B1733" s="383">
        <v>46263</v>
      </c>
      <c r="C1733" s="383">
        <v>46263</v>
      </c>
      <c r="D1733" s="381" t="s">
        <v>7279</v>
      </c>
      <c r="E1733" s="382" t="s">
        <v>7280</v>
      </c>
      <c r="F1733" s="381" t="s">
        <v>87</v>
      </c>
      <c r="G1733" s="381" t="s">
        <v>2357</v>
      </c>
      <c r="H1733" s="387">
        <v>40</v>
      </c>
      <c r="I1733" s="381">
        <v>46.3</v>
      </c>
      <c r="J1733" s="381">
        <v>46.3</v>
      </c>
      <c r="K1733" s="381">
        <v>5</v>
      </c>
      <c r="L1733" s="381">
        <v>0</v>
      </c>
      <c r="M1733" s="381" t="s">
        <v>148</v>
      </c>
      <c r="N1733" s="381" t="s">
        <v>149</v>
      </c>
      <c r="O1733" s="381" t="s">
        <v>150</v>
      </c>
      <c r="P1733" s="381" t="s">
        <v>151</v>
      </c>
      <c r="Q1733" s="381"/>
      <c r="R1733" s="381" t="s">
        <v>7280</v>
      </c>
      <c r="S1733" s="381"/>
      <c r="T1733" s="381" t="s">
        <v>3211</v>
      </c>
      <c r="U1733" s="381" t="s">
        <v>152</v>
      </c>
      <c r="V1733" s="381" t="s">
        <v>23</v>
      </c>
    </row>
    <row r="1734" spans="2:22">
      <c r="B1734" s="383">
        <v>46263</v>
      </c>
      <c r="C1734" s="383">
        <v>46263</v>
      </c>
      <c r="D1734" s="381" t="s">
        <v>7281</v>
      </c>
      <c r="E1734" s="382" t="s">
        <v>7282</v>
      </c>
      <c r="F1734" s="381" t="s">
        <v>87</v>
      </c>
      <c r="G1734" s="381" t="s">
        <v>2357</v>
      </c>
      <c r="H1734" s="387">
        <v>40</v>
      </c>
      <c r="I1734" s="381">
        <v>30.8</v>
      </c>
      <c r="J1734" s="381">
        <v>30.8</v>
      </c>
      <c r="K1734" s="381">
        <v>5</v>
      </c>
      <c r="L1734" s="381">
        <v>0</v>
      </c>
      <c r="M1734" s="381" t="s">
        <v>148</v>
      </c>
      <c r="N1734" s="381" t="s">
        <v>149</v>
      </c>
      <c r="O1734" s="381" t="s">
        <v>150</v>
      </c>
      <c r="P1734" s="381" t="s">
        <v>151</v>
      </c>
      <c r="Q1734" s="381"/>
      <c r="R1734" s="381" t="s">
        <v>7282</v>
      </c>
      <c r="S1734" s="381"/>
      <c r="T1734" s="381" t="s">
        <v>3211</v>
      </c>
      <c r="U1734" s="381" t="s">
        <v>152</v>
      </c>
      <c r="V1734" s="381" t="s">
        <v>23</v>
      </c>
    </row>
    <row r="1735" spans="2:22">
      <c r="B1735" s="383">
        <v>46263</v>
      </c>
      <c r="C1735" s="383">
        <v>46263</v>
      </c>
      <c r="D1735" s="381" t="s">
        <v>7283</v>
      </c>
      <c r="E1735" s="382" t="s">
        <v>7284</v>
      </c>
      <c r="F1735" s="381" t="s">
        <v>87</v>
      </c>
      <c r="G1735" s="381" t="s">
        <v>2358</v>
      </c>
      <c r="H1735" s="387">
        <v>30</v>
      </c>
      <c r="I1735" s="381">
        <v>23.8</v>
      </c>
      <c r="J1735" s="381">
        <v>23.8</v>
      </c>
      <c r="K1735" s="381">
        <v>4</v>
      </c>
      <c r="L1735" s="381">
        <v>0</v>
      </c>
      <c r="M1735" s="381" t="s">
        <v>148</v>
      </c>
      <c r="N1735" s="381" t="s">
        <v>149</v>
      </c>
      <c r="O1735" s="381" t="s">
        <v>150</v>
      </c>
      <c r="P1735" s="381" t="s">
        <v>151</v>
      </c>
      <c r="Q1735" s="381"/>
      <c r="R1735" s="381" t="s">
        <v>7284</v>
      </c>
      <c r="S1735" s="381"/>
      <c r="T1735" s="381" t="s">
        <v>3211</v>
      </c>
      <c r="U1735" s="381" t="s">
        <v>152</v>
      </c>
      <c r="V1735" s="381" t="s">
        <v>23</v>
      </c>
    </row>
    <row r="1736" spans="2:22">
      <c r="B1736" s="383">
        <v>46263</v>
      </c>
      <c r="C1736" s="383">
        <v>46263</v>
      </c>
      <c r="D1736" s="381" t="s">
        <v>7285</v>
      </c>
      <c r="E1736" s="382" t="s">
        <v>7286</v>
      </c>
      <c r="F1736" s="381" t="s">
        <v>87</v>
      </c>
      <c r="G1736" s="381" t="s">
        <v>2357</v>
      </c>
      <c r="H1736" s="387">
        <v>40</v>
      </c>
      <c r="I1736" s="381">
        <v>41</v>
      </c>
      <c r="J1736" s="381">
        <v>41</v>
      </c>
      <c r="K1736" s="381">
        <v>5</v>
      </c>
      <c r="L1736" s="381">
        <v>0</v>
      </c>
      <c r="M1736" s="381" t="s">
        <v>148</v>
      </c>
      <c r="N1736" s="381" t="s">
        <v>149</v>
      </c>
      <c r="O1736" s="381" t="s">
        <v>150</v>
      </c>
      <c r="P1736" s="381" t="s">
        <v>151</v>
      </c>
      <c r="Q1736" s="381"/>
      <c r="R1736" s="381" t="s">
        <v>7286</v>
      </c>
      <c r="S1736" s="381"/>
      <c r="T1736" s="381" t="s">
        <v>3211</v>
      </c>
      <c r="U1736" s="381" t="s">
        <v>152</v>
      </c>
      <c r="V1736" s="381" t="s">
        <v>23</v>
      </c>
    </row>
    <row r="1737" spans="2:22">
      <c r="B1737" s="383">
        <v>46263</v>
      </c>
      <c r="C1737" s="383">
        <v>46263</v>
      </c>
      <c r="D1737" s="381" t="s">
        <v>7287</v>
      </c>
      <c r="E1737" s="382" t="s">
        <v>7288</v>
      </c>
      <c r="F1737" s="381" t="s">
        <v>87</v>
      </c>
      <c r="G1737" s="381" t="s">
        <v>2357</v>
      </c>
      <c r="H1737" s="387">
        <v>40</v>
      </c>
      <c r="I1737" s="381">
        <v>42</v>
      </c>
      <c r="J1737" s="381">
        <v>42</v>
      </c>
      <c r="K1737" s="381">
        <v>5</v>
      </c>
      <c r="L1737" s="381">
        <v>0</v>
      </c>
      <c r="M1737" s="381" t="s">
        <v>148</v>
      </c>
      <c r="N1737" s="381" t="s">
        <v>149</v>
      </c>
      <c r="O1737" s="381" t="s">
        <v>150</v>
      </c>
      <c r="P1737" s="381" t="s">
        <v>151</v>
      </c>
      <c r="Q1737" s="381"/>
      <c r="R1737" s="381" t="s">
        <v>7288</v>
      </c>
      <c r="S1737" s="381"/>
      <c r="T1737" s="381" t="s">
        <v>3211</v>
      </c>
      <c r="U1737" s="381" t="s">
        <v>152</v>
      </c>
      <c r="V1737" s="381" t="s">
        <v>23</v>
      </c>
    </row>
    <row r="1738" spans="2:22">
      <c r="B1738" s="383">
        <v>46263</v>
      </c>
      <c r="C1738" s="383">
        <v>46263</v>
      </c>
      <c r="D1738" s="381" t="s">
        <v>7289</v>
      </c>
      <c r="E1738" s="382" t="s">
        <v>7290</v>
      </c>
      <c r="F1738" s="381" t="s">
        <v>87</v>
      </c>
      <c r="G1738" s="381" t="s">
        <v>2405</v>
      </c>
      <c r="H1738" s="387">
        <v>30</v>
      </c>
      <c r="I1738" s="381">
        <v>25</v>
      </c>
      <c r="J1738" s="381">
        <v>25</v>
      </c>
      <c r="K1738" s="381">
        <v>4</v>
      </c>
      <c r="L1738" s="381">
        <v>0</v>
      </c>
      <c r="M1738" s="381" t="s">
        <v>148</v>
      </c>
      <c r="N1738" s="381" t="s">
        <v>149</v>
      </c>
      <c r="O1738" s="381" t="s">
        <v>150</v>
      </c>
      <c r="P1738" s="381" t="s">
        <v>151</v>
      </c>
      <c r="Q1738" s="381"/>
      <c r="R1738" s="381" t="s">
        <v>7290</v>
      </c>
      <c r="S1738" s="381"/>
      <c r="T1738" s="381" t="s">
        <v>3211</v>
      </c>
      <c r="U1738" s="381" t="s">
        <v>152</v>
      </c>
      <c r="V1738" s="381" t="s">
        <v>23</v>
      </c>
    </row>
    <row r="1739" spans="2:22">
      <c r="B1739" s="383">
        <v>46263</v>
      </c>
      <c r="C1739" s="383">
        <v>46263</v>
      </c>
      <c r="D1739" s="381" t="s">
        <v>7291</v>
      </c>
      <c r="E1739" s="382" t="s">
        <v>7292</v>
      </c>
      <c r="F1739" s="381" t="s">
        <v>87</v>
      </c>
      <c r="G1739" s="381" t="s">
        <v>2358</v>
      </c>
      <c r="H1739" s="387">
        <v>30</v>
      </c>
      <c r="I1739" s="381">
        <v>37.299999999999997</v>
      </c>
      <c r="J1739" s="381">
        <v>37.299999999999997</v>
      </c>
      <c r="K1739" s="381">
        <v>4</v>
      </c>
      <c r="L1739" s="381">
        <v>0</v>
      </c>
      <c r="M1739" s="381" t="s">
        <v>148</v>
      </c>
      <c r="N1739" s="381" t="s">
        <v>149</v>
      </c>
      <c r="O1739" s="381" t="s">
        <v>150</v>
      </c>
      <c r="P1739" s="381" t="s">
        <v>151</v>
      </c>
      <c r="Q1739" s="381"/>
      <c r="R1739" s="381" t="s">
        <v>7292</v>
      </c>
      <c r="S1739" s="381"/>
      <c r="T1739" s="381" t="s">
        <v>3211</v>
      </c>
      <c r="U1739" s="381" t="s">
        <v>152</v>
      </c>
      <c r="V1739" s="381" t="s">
        <v>23</v>
      </c>
    </row>
    <row r="1740" spans="2:22">
      <c r="B1740" s="383">
        <v>46263</v>
      </c>
      <c r="C1740" s="383">
        <v>46263</v>
      </c>
      <c r="D1740" s="381" t="s">
        <v>7293</v>
      </c>
      <c r="E1740" s="382" t="s">
        <v>7294</v>
      </c>
      <c r="F1740" s="381" t="s">
        <v>87</v>
      </c>
      <c r="G1740" s="381" t="s">
        <v>7295</v>
      </c>
      <c r="H1740" s="387">
        <v>25</v>
      </c>
      <c r="I1740" s="381">
        <v>21.8</v>
      </c>
      <c r="J1740" s="381">
        <v>21.8</v>
      </c>
      <c r="K1740" s="381">
        <v>4</v>
      </c>
      <c r="L1740" s="381">
        <v>0</v>
      </c>
      <c r="M1740" s="381" t="s">
        <v>148</v>
      </c>
      <c r="N1740" s="381" t="s">
        <v>149</v>
      </c>
      <c r="O1740" s="381" t="s">
        <v>150</v>
      </c>
      <c r="P1740" s="381" t="s">
        <v>151</v>
      </c>
      <c r="Q1740" s="381"/>
      <c r="R1740" s="381" t="s">
        <v>7294</v>
      </c>
      <c r="S1740" s="381"/>
      <c r="T1740" s="381" t="s">
        <v>3211</v>
      </c>
      <c r="U1740" s="381" t="s">
        <v>152</v>
      </c>
      <c r="V1740" s="381" t="s">
        <v>23</v>
      </c>
    </row>
    <row r="1741" spans="2:22">
      <c r="B1741" s="383">
        <v>46263</v>
      </c>
      <c r="C1741" s="383">
        <v>46263</v>
      </c>
      <c r="D1741" s="381" t="s">
        <v>7296</v>
      </c>
      <c r="E1741" s="382" t="s">
        <v>7297</v>
      </c>
      <c r="F1741" s="381" t="s">
        <v>87</v>
      </c>
      <c r="G1741" s="381" t="s">
        <v>2404</v>
      </c>
      <c r="H1741" s="387">
        <v>40</v>
      </c>
      <c r="I1741" s="381">
        <v>44.3</v>
      </c>
      <c r="J1741" s="381">
        <v>44.3</v>
      </c>
      <c r="K1741" s="381">
        <v>5</v>
      </c>
      <c r="L1741" s="381">
        <v>0</v>
      </c>
      <c r="M1741" s="381" t="s">
        <v>148</v>
      </c>
      <c r="N1741" s="381" t="s">
        <v>149</v>
      </c>
      <c r="O1741" s="381" t="s">
        <v>150</v>
      </c>
      <c r="P1741" s="381" t="s">
        <v>151</v>
      </c>
      <c r="Q1741" s="381"/>
      <c r="R1741" s="381" t="s">
        <v>7297</v>
      </c>
      <c r="S1741" s="381"/>
      <c r="T1741" s="381" t="s">
        <v>3211</v>
      </c>
      <c r="U1741" s="381" t="s">
        <v>152</v>
      </c>
      <c r="V1741" s="381" t="s">
        <v>23</v>
      </c>
    </row>
    <row r="1742" spans="2:22">
      <c r="B1742" s="383">
        <v>46263</v>
      </c>
      <c r="C1742" s="383">
        <v>46263</v>
      </c>
      <c r="D1742" s="381" t="s">
        <v>7298</v>
      </c>
      <c r="E1742" s="382" t="s">
        <v>7299</v>
      </c>
      <c r="F1742" s="381" t="s">
        <v>87</v>
      </c>
      <c r="G1742" s="381" t="s">
        <v>2358</v>
      </c>
      <c r="H1742" s="387">
        <v>30</v>
      </c>
      <c r="I1742" s="381">
        <v>35.299999999999997</v>
      </c>
      <c r="J1742" s="381">
        <v>35.299999999999997</v>
      </c>
      <c r="K1742" s="381">
        <v>4</v>
      </c>
      <c r="L1742" s="381">
        <v>0</v>
      </c>
      <c r="M1742" s="381" t="s">
        <v>148</v>
      </c>
      <c r="N1742" s="381" t="s">
        <v>149</v>
      </c>
      <c r="O1742" s="381" t="s">
        <v>150</v>
      </c>
      <c r="P1742" s="381" t="s">
        <v>151</v>
      </c>
      <c r="Q1742" s="381"/>
      <c r="R1742" s="381" t="s">
        <v>7299</v>
      </c>
      <c r="S1742" s="381"/>
      <c r="T1742" s="381" t="s">
        <v>3211</v>
      </c>
      <c r="U1742" s="381" t="s">
        <v>152</v>
      </c>
      <c r="V1742" s="381" t="s">
        <v>23</v>
      </c>
    </row>
    <row r="1743" spans="2:22">
      <c r="B1743" s="383">
        <v>46263</v>
      </c>
      <c r="C1743" s="383">
        <v>46263</v>
      </c>
      <c r="D1743" s="381" t="s">
        <v>7300</v>
      </c>
      <c r="E1743" s="382" t="s">
        <v>7301</v>
      </c>
      <c r="F1743" s="381" t="s">
        <v>87</v>
      </c>
      <c r="G1743" s="381" t="s">
        <v>2358</v>
      </c>
      <c r="H1743" s="387">
        <v>30</v>
      </c>
      <c r="I1743" s="381">
        <v>35.799999999999997</v>
      </c>
      <c r="J1743" s="381">
        <v>35.799999999999997</v>
      </c>
      <c r="K1743" s="381">
        <v>4</v>
      </c>
      <c r="L1743" s="381">
        <v>0</v>
      </c>
      <c r="M1743" s="381" t="s">
        <v>148</v>
      </c>
      <c r="N1743" s="381" t="s">
        <v>149</v>
      </c>
      <c r="O1743" s="381" t="s">
        <v>150</v>
      </c>
      <c r="P1743" s="381" t="s">
        <v>151</v>
      </c>
      <c r="Q1743" s="381"/>
      <c r="R1743" s="381" t="s">
        <v>7301</v>
      </c>
      <c r="S1743" s="381"/>
      <c r="T1743" s="381" t="s">
        <v>3211</v>
      </c>
      <c r="U1743" s="381" t="s">
        <v>152</v>
      </c>
      <c r="V1743" s="381" t="s">
        <v>23</v>
      </c>
    </row>
    <row r="1744" spans="2:22">
      <c r="B1744" s="383">
        <v>46263</v>
      </c>
      <c r="C1744" s="383">
        <v>46263</v>
      </c>
      <c r="D1744" s="381" t="s">
        <v>7302</v>
      </c>
      <c r="E1744" s="382" t="s">
        <v>7303</v>
      </c>
      <c r="F1744" s="381" t="s">
        <v>87</v>
      </c>
      <c r="G1744" s="381" t="s">
        <v>2357</v>
      </c>
      <c r="H1744" s="387">
        <v>40</v>
      </c>
      <c r="I1744" s="381">
        <v>28.3</v>
      </c>
      <c r="J1744" s="381">
        <v>28.3</v>
      </c>
      <c r="K1744" s="381">
        <v>5</v>
      </c>
      <c r="L1744" s="381">
        <v>0</v>
      </c>
      <c r="M1744" s="381" t="s">
        <v>148</v>
      </c>
      <c r="N1744" s="381" t="s">
        <v>149</v>
      </c>
      <c r="O1744" s="381" t="s">
        <v>150</v>
      </c>
      <c r="P1744" s="381" t="s">
        <v>151</v>
      </c>
      <c r="Q1744" s="381"/>
      <c r="R1744" s="381" t="s">
        <v>7303</v>
      </c>
      <c r="S1744" s="381"/>
      <c r="T1744" s="381" t="s">
        <v>3211</v>
      </c>
      <c r="U1744" s="381" t="s">
        <v>152</v>
      </c>
      <c r="V1744" s="381" t="s">
        <v>23</v>
      </c>
    </row>
    <row r="1745" spans="2:22">
      <c r="B1745" s="383">
        <v>46263</v>
      </c>
      <c r="C1745" s="383">
        <v>46263</v>
      </c>
      <c r="D1745" s="381" t="s">
        <v>7304</v>
      </c>
      <c r="E1745" s="382" t="s">
        <v>7305</v>
      </c>
      <c r="F1745" s="381" t="s">
        <v>87</v>
      </c>
      <c r="G1745" s="381" t="s">
        <v>2358</v>
      </c>
      <c r="H1745" s="387">
        <v>30</v>
      </c>
      <c r="I1745" s="381">
        <v>22.8</v>
      </c>
      <c r="J1745" s="381">
        <v>22.8</v>
      </c>
      <c r="K1745" s="381">
        <v>4</v>
      </c>
      <c r="L1745" s="381">
        <v>0</v>
      </c>
      <c r="M1745" s="381" t="s">
        <v>148</v>
      </c>
      <c r="N1745" s="381" t="s">
        <v>149</v>
      </c>
      <c r="O1745" s="381" t="s">
        <v>150</v>
      </c>
      <c r="P1745" s="381" t="s">
        <v>151</v>
      </c>
      <c r="Q1745" s="381"/>
      <c r="R1745" s="381" t="s">
        <v>7305</v>
      </c>
      <c r="S1745" s="381"/>
      <c r="T1745" s="381" t="s">
        <v>3211</v>
      </c>
      <c r="U1745" s="381" t="s">
        <v>152</v>
      </c>
      <c r="V1745" s="381" t="s">
        <v>23</v>
      </c>
    </row>
    <row r="1746" spans="2:22">
      <c r="B1746" s="383">
        <v>46263</v>
      </c>
      <c r="C1746" s="383">
        <v>46263</v>
      </c>
      <c r="D1746" s="381" t="s">
        <v>7306</v>
      </c>
      <c r="E1746" s="382" t="s">
        <v>7307</v>
      </c>
      <c r="F1746" s="381" t="s">
        <v>87</v>
      </c>
      <c r="G1746" s="381" t="s">
        <v>7152</v>
      </c>
      <c r="H1746" s="387">
        <v>55</v>
      </c>
      <c r="I1746" s="381">
        <v>41.8</v>
      </c>
      <c r="J1746" s="381">
        <v>41.8</v>
      </c>
      <c r="K1746" s="381">
        <v>5</v>
      </c>
      <c r="L1746" s="381">
        <v>0</v>
      </c>
      <c r="M1746" s="381" t="s">
        <v>148</v>
      </c>
      <c r="N1746" s="381" t="s">
        <v>149</v>
      </c>
      <c r="O1746" s="381" t="s">
        <v>150</v>
      </c>
      <c r="P1746" s="381" t="s">
        <v>151</v>
      </c>
      <c r="Q1746" s="381"/>
      <c r="R1746" s="381" t="s">
        <v>7307</v>
      </c>
      <c r="S1746" s="381"/>
      <c r="T1746" s="381" t="s">
        <v>3211</v>
      </c>
      <c r="U1746" s="381" t="s">
        <v>152</v>
      </c>
      <c r="V1746" s="381" t="s">
        <v>23</v>
      </c>
    </row>
    <row r="1747" spans="2:22">
      <c r="B1747" s="383">
        <v>46263</v>
      </c>
      <c r="C1747" s="383">
        <v>46263</v>
      </c>
      <c r="D1747" s="381" t="s">
        <v>7308</v>
      </c>
      <c r="E1747" s="382" t="s">
        <v>7309</v>
      </c>
      <c r="F1747" s="381" t="s">
        <v>87</v>
      </c>
      <c r="G1747" s="381" t="s">
        <v>7295</v>
      </c>
      <c r="H1747" s="387">
        <v>25</v>
      </c>
      <c r="I1747" s="381">
        <v>20.9</v>
      </c>
      <c r="J1747" s="381">
        <v>20.9</v>
      </c>
      <c r="K1747" s="381">
        <v>4</v>
      </c>
      <c r="L1747" s="381">
        <v>0</v>
      </c>
      <c r="M1747" s="381" t="s">
        <v>148</v>
      </c>
      <c r="N1747" s="381" t="s">
        <v>149</v>
      </c>
      <c r="O1747" s="381" t="s">
        <v>150</v>
      </c>
      <c r="P1747" s="381" t="s">
        <v>151</v>
      </c>
      <c r="Q1747" s="381"/>
      <c r="R1747" s="381" t="s">
        <v>7309</v>
      </c>
      <c r="S1747" s="381"/>
      <c r="T1747" s="381" t="s">
        <v>3211</v>
      </c>
      <c r="U1747" s="381" t="s">
        <v>152</v>
      </c>
      <c r="V1747" s="381" t="s">
        <v>23</v>
      </c>
    </row>
    <row r="1748" spans="2:22">
      <c r="B1748" s="383">
        <v>46263</v>
      </c>
      <c r="C1748" s="383">
        <v>46263</v>
      </c>
      <c r="D1748" s="381" t="s">
        <v>7310</v>
      </c>
      <c r="E1748" s="382" t="s">
        <v>7311</v>
      </c>
      <c r="F1748" s="381" t="s">
        <v>87</v>
      </c>
      <c r="G1748" s="381" t="s">
        <v>7152</v>
      </c>
      <c r="H1748" s="387">
        <v>55</v>
      </c>
      <c r="I1748" s="381">
        <v>35.299999999999997</v>
      </c>
      <c r="J1748" s="381">
        <v>35.299999999999997</v>
      </c>
      <c r="K1748" s="381">
        <v>5</v>
      </c>
      <c r="L1748" s="381">
        <v>0</v>
      </c>
      <c r="M1748" s="381" t="s">
        <v>148</v>
      </c>
      <c r="N1748" s="381" t="s">
        <v>149</v>
      </c>
      <c r="O1748" s="381" t="s">
        <v>150</v>
      </c>
      <c r="P1748" s="381" t="s">
        <v>151</v>
      </c>
      <c r="Q1748" s="381"/>
      <c r="R1748" s="381" t="s">
        <v>7311</v>
      </c>
      <c r="S1748" s="381"/>
      <c r="T1748" s="381" t="s">
        <v>3211</v>
      </c>
      <c r="U1748" s="381" t="s">
        <v>152</v>
      </c>
      <c r="V1748" s="381" t="s">
        <v>23</v>
      </c>
    </row>
    <row r="1749" spans="2:22">
      <c r="B1749" s="383">
        <v>46263</v>
      </c>
      <c r="C1749" s="383">
        <v>46263</v>
      </c>
      <c r="D1749" s="381" t="s">
        <v>7312</v>
      </c>
      <c r="E1749" s="382" t="s">
        <v>7313</v>
      </c>
      <c r="F1749" s="381" t="s">
        <v>87</v>
      </c>
      <c r="G1749" s="381" t="s">
        <v>7152</v>
      </c>
      <c r="H1749" s="387">
        <v>55</v>
      </c>
      <c r="I1749" s="381">
        <v>31.3</v>
      </c>
      <c r="J1749" s="381">
        <v>31.3</v>
      </c>
      <c r="K1749" s="381">
        <v>5</v>
      </c>
      <c r="L1749" s="381">
        <v>0</v>
      </c>
      <c r="M1749" s="381" t="s">
        <v>148</v>
      </c>
      <c r="N1749" s="381" t="s">
        <v>149</v>
      </c>
      <c r="O1749" s="381" t="s">
        <v>150</v>
      </c>
      <c r="P1749" s="381" t="s">
        <v>151</v>
      </c>
      <c r="Q1749" s="381"/>
      <c r="R1749" s="381" t="s">
        <v>7313</v>
      </c>
      <c r="S1749" s="381"/>
      <c r="T1749" s="381" t="s">
        <v>3211</v>
      </c>
      <c r="U1749" s="381" t="s">
        <v>152</v>
      </c>
      <c r="V1749" s="381" t="s">
        <v>23</v>
      </c>
    </row>
    <row r="1750" spans="2:22">
      <c r="B1750" s="383">
        <v>46263</v>
      </c>
      <c r="C1750" s="383">
        <v>46263</v>
      </c>
      <c r="D1750" s="381" t="s">
        <v>7314</v>
      </c>
      <c r="E1750" s="382" t="s">
        <v>7315</v>
      </c>
      <c r="F1750" s="381" t="s">
        <v>87</v>
      </c>
      <c r="G1750" s="381" t="s">
        <v>2405</v>
      </c>
      <c r="H1750" s="387">
        <v>30</v>
      </c>
      <c r="I1750" s="381">
        <v>31.4</v>
      </c>
      <c r="J1750" s="381">
        <v>31.4</v>
      </c>
      <c r="K1750" s="381">
        <v>4</v>
      </c>
      <c r="L1750" s="381">
        <v>0</v>
      </c>
      <c r="M1750" s="381" t="s">
        <v>148</v>
      </c>
      <c r="N1750" s="381" t="s">
        <v>149</v>
      </c>
      <c r="O1750" s="381" t="s">
        <v>150</v>
      </c>
      <c r="P1750" s="381" t="s">
        <v>151</v>
      </c>
      <c r="Q1750" s="381"/>
      <c r="R1750" s="381" t="s">
        <v>7315</v>
      </c>
      <c r="S1750" s="381"/>
      <c r="T1750" s="381" t="s">
        <v>3211</v>
      </c>
      <c r="U1750" s="381" t="s">
        <v>152</v>
      </c>
      <c r="V1750" s="381" t="s">
        <v>23</v>
      </c>
    </row>
    <row r="1751" spans="2:22">
      <c r="B1751" s="383">
        <v>46263</v>
      </c>
      <c r="C1751" s="383">
        <v>46263</v>
      </c>
      <c r="D1751" s="381" t="s">
        <v>7316</v>
      </c>
      <c r="E1751" s="382" t="s">
        <v>7317</v>
      </c>
      <c r="F1751" s="381" t="s">
        <v>87</v>
      </c>
      <c r="G1751" s="381" t="s">
        <v>2404</v>
      </c>
      <c r="H1751" s="387">
        <v>40</v>
      </c>
      <c r="I1751" s="381">
        <v>25.8</v>
      </c>
      <c r="J1751" s="381">
        <v>25.8</v>
      </c>
      <c r="K1751" s="381">
        <v>5</v>
      </c>
      <c r="L1751" s="381">
        <v>0</v>
      </c>
      <c r="M1751" s="381" t="s">
        <v>148</v>
      </c>
      <c r="N1751" s="381" t="s">
        <v>149</v>
      </c>
      <c r="O1751" s="381" t="s">
        <v>150</v>
      </c>
      <c r="P1751" s="381" t="s">
        <v>151</v>
      </c>
      <c r="Q1751" s="381"/>
      <c r="R1751" s="381" t="s">
        <v>7317</v>
      </c>
      <c r="S1751" s="381"/>
      <c r="T1751" s="381" t="s">
        <v>3211</v>
      </c>
      <c r="U1751" s="381" t="s">
        <v>152</v>
      </c>
      <c r="V1751" s="381" t="s">
        <v>23</v>
      </c>
    </row>
    <row r="1752" spans="2:22">
      <c r="B1752" s="383">
        <v>46263</v>
      </c>
      <c r="C1752" s="383">
        <v>46263</v>
      </c>
      <c r="D1752" s="381" t="s">
        <v>7318</v>
      </c>
      <c r="E1752" s="382" t="s">
        <v>7319</v>
      </c>
      <c r="F1752" s="381" t="s">
        <v>87</v>
      </c>
      <c r="G1752" s="381" t="s">
        <v>2358</v>
      </c>
      <c r="H1752" s="387">
        <v>30</v>
      </c>
      <c r="I1752" s="381">
        <v>10.8</v>
      </c>
      <c r="J1752" s="381">
        <v>10.8</v>
      </c>
      <c r="K1752" s="381">
        <v>4</v>
      </c>
      <c r="L1752" s="381">
        <v>0</v>
      </c>
      <c r="M1752" s="381" t="s">
        <v>148</v>
      </c>
      <c r="N1752" s="381" t="s">
        <v>149</v>
      </c>
      <c r="O1752" s="381" t="s">
        <v>150</v>
      </c>
      <c r="P1752" s="381" t="s">
        <v>151</v>
      </c>
      <c r="Q1752" s="381"/>
      <c r="R1752" s="381" t="s">
        <v>7319</v>
      </c>
      <c r="S1752" s="381"/>
      <c r="T1752" s="381" t="s">
        <v>3211</v>
      </c>
      <c r="U1752" s="381" t="s">
        <v>152</v>
      </c>
      <c r="V1752" s="381" t="s">
        <v>23</v>
      </c>
    </row>
    <row r="1753" spans="2:22">
      <c r="B1753" s="383">
        <v>46263</v>
      </c>
      <c r="C1753" s="383">
        <v>46263</v>
      </c>
      <c r="D1753" s="381" t="s">
        <v>7320</v>
      </c>
      <c r="E1753" s="382" t="s">
        <v>7321</v>
      </c>
      <c r="F1753" s="381" t="s">
        <v>87</v>
      </c>
      <c r="G1753" s="381" t="s">
        <v>7018</v>
      </c>
      <c r="H1753" s="387">
        <v>6</v>
      </c>
      <c r="I1753" s="381">
        <v>15.4</v>
      </c>
      <c r="J1753" s="381">
        <v>15.4</v>
      </c>
      <c r="K1753" s="381">
        <v>1</v>
      </c>
      <c r="L1753" s="381">
        <v>0</v>
      </c>
      <c r="M1753" s="381" t="s">
        <v>148</v>
      </c>
      <c r="N1753" s="381" t="s">
        <v>149</v>
      </c>
      <c r="O1753" s="381" t="s">
        <v>150</v>
      </c>
      <c r="P1753" s="381" t="s">
        <v>151</v>
      </c>
      <c r="Q1753" s="381"/>
      <c r="R1753" s="381" t="s">
        <v>7321</v>
      </c>
      <c r="S1753" s="381"/>
      <c r="T1753" s="381" t="s">
        <v>3211</v>
      </c>
      <c r="U1753" s="381" t="s">
        <v>152</v>
      </c>
      <c r="V1753" s="381" t="s">
        <v>23</v>
      </c>
    </row>
    <row r="1754" spans="2:22">
      <c r="B1754" s="383">
        <v>46263</v>
      </c>
      <c r="C1754" s="383">
        <v>46263</v>
      </c>
      <c r="D1754" s="381" t="s">
        <v>7322</v>
      </c>
      <c r="E1754" s="382" t="s">
        <v>7323</v>
      </c>
      <c r="F1754" s="381" t="s">
        <v>87</v>
      </c>
      <c r="G1754" s="381" t="s">
        <v>7152</v>
      </c>
      <c r="H1754" s="387">
        <v>55</v>
      </c>
      <c r="I1754" s="381">
        <v>36.4</v>
      </c>
      <c r="J1754" s="381">
        <v>36.4</v>
      </c>
      <c r="K1754" s="381">
        <v>5</v>
      </c>
      <c r="L1754" s="381">
        <v>0</v>
      </c>
      <c r="M1754" s="381" t="s">
        <v>148</v>
      </c>
      <c r="N1754" s="381" t="s">
        <v>149</v>
      </c>
      <c r="O1754" s="381" t="s">
        <v>150</v>
      </c>
      <c r="P1754" s="381" t="s">
        <v>151</v>
      </c>
      <c r="Q1754" s="381"/>
      <c r="R1754" s="381" t="s">
        <v>7323</v>
      </c>
      <c r="S1754" s="381"/>
      <c r="T1754" s="381" t="s">
        <v>3211</v>
      </c>
      <c r="U1754" s="381" t="s">
        <v>152</v>
      </c>
      <c r="V1754" s="381" t="s">
        <v>23</v>
      </c>
    </row>
    <row r="1755" spans="2:22">
      <c r="B1755" s="383">
        <v>46263</v>
      </c>
      <c r="C1755" s="383">
        <v>46263</v>
      </c>
      <c r="D1755" s="381" t="s">
        <v>7324</v>
      </c>
      <c r="E1755" s="382" t="s">
        <v>7325</v>
      </c>
      <c r="F1755" s="381" t="s">
        <v>87</v>
      </c>
      <c r="G1755" s="381" t="s">
        <v>2358</v>
      </c>
      <c r="H1755" s="387">
        <v>30</v>
      </c>
      <c r="I1755" s="381">
        <v>30.8</v>
      </c>
      <c r="J1755" s="381">
        <v>30.8</v>
      </c>
      <c r="K1755" s="381">
        <v>4</v>
      </c>
      <c r="L1755" s="381">
        <v>0</v>
      </c>
      <c r="M1755" s="381" t="s">
        <v>148</v>
      </c>
      <c r="N1755" s="381" t="s">
        <v>149</v>
      </c>
      <c r="O1755" s="381" t="s">
        <v>150</v>
      </c>
      <c r="P1755" s="381" t="s">
        <v>151</v>
      </c>
      <c r="Q1755" s="381"/>
      <c r="R1755" s="381" t="s">
        <v>7325</v>
      </c>
      <c r="S1755" s="381"/>
      <c r="T1755" s="381" t="s">
        <v>3211</v>
      </c>
      <c r="U1755" s="381" t="s">
        <v>152</v>
      </c>
      <c r="V1755" s="381" t="s">
        <v>23</v>
      </c>
    </row>
    <row r="1756" spans="2:22">
      <c r="B1756" s="383">
        <v>46263</v>
      </c>
      <c r="C1756" s="383">
        <v>46263</v>
      </c>
      <c r="D1756" s="381" t="s">
        <v>7326</v>
      </c>
      <c r="E1756" s="382" t="s">
        <v>7327</v>
      </c>
      <c r="F1756" s="381" t="s">
        <v>87</v>
      </c>
      <c r="G1756" s="381" t="s">
        <v>7152</v>
      </c>
      <c r="H1756" s="387">
        <v>55</v>
      </c>
      <c r="I1756" s="381">
        <v>31.5</v>
      </c>
      <c r="J1756" s="381">
        <v>31.5</v>
      </c>
      <c r="K1756" s="381">
        <v>5</v>
      </c>
      <c r="L1756" s="381">
        <v>0</v>
      </c>
      <c r="M1756" s="381" t="s">
        <v>148</v>
      </c>
      <c r="N1756" s="381" t="s">
        <v>149</v>
      </c>
      <c r="O1756" s="381" t="s">
        <v>150</v>
      </c>
      <c r="P1756" s="381" t="s">
        <v>151</v>
      </c>
      <c r="Q1756" s="381"/>
      <c r="R1756" s="381" t="s">
        <v>7327</v>
      </c>
      <c r="S1756" s="381"/>
      <c r="T1756" s="381" t="s">
        <v>3211</v>
      </c>
      <c r="U1756" s="381" t="s">
        <v>152</v>
      </c>
      <c r="V1756" s="381" t="s">
        <v>23</v>
      </c>
    </row>
    <row r="1757" spans="2:22">
      <c r="B1757" s="383">
        <v>46263</v>
      </c>
      <c r="C1757" s="383">
        <v>46263</v>
      </c>
      <c r="D1757" s="381" t="s">
        <v>7328</v>
      </c>
      <c r="E1757" s="382" t="s">
        <v>7329</v>
      </c>
      <c r="F1757" s="381" t="s">
        <v>87</v>
      </c>
      <c r="G1757" s="381" t="s">
        <v>7152</v>
      </c>
      <c r="H1757" s="387">
        <v>55</v>
      </c>
      <c r="I1757" s="381">
        <v>37.299999999999997</v>
      </c>
      <c r="J1757" s="381">
        <v>37.299999999999997</v>
      </c>
      <c r="K1757" s="381">
        <v>5</v>
      </c>
      <c r="L1757" s="381">
        <v>0</v>
      </c>
      <c r="M1757" s="381" t="s">
        <v>148</v>
      </c>
      <c r="N1757" s="381" t="s">
        <v>149</v>
      </c>
      <c r="O1757" s="381" t="s">
        <v>150</v>
      </c>
      <c r="P1757" s="381" t="s">
        <v>151</v>
      </c>
      <c r="Q1757" s="381"/>
      <c r="R1757" s="381" t="s">
        <v>7329</v>
      </c>
      <c r="S1757" s="381"/>
      <c r="T1757" s="381" t="s">
        <v>3211</v>
      </c>
      <c r="U1757" s="381" t="s">
        <v>152</v>
      </c>
      <c r="V1757" s="381" t="s">
        <v>23</v>
      </c>
    </row>
    <row r="1758" spans="2:22">
      <c r="B1758" s="383">
        <v>46263</v>
      </c>
      <c r="C1758" s="383">
        <v>46263</v>
      </c>
      <c r="D1758" s="381" t="s">
        <v>7330</v>
      </c>
      <c r="E1758" s="382" t="s">
        <v>7331</v>
      </c>
      <c r="F1758" s="381" t="s">
        <v>87</v>
      </c>
      <c r="G1758" s="381" t="s">
        <v>7152</v>
      </c>
      <c r="H1758" s="387">
        <v>55</v>
      </c>
      <c r="I1758" s="381">
        <v>42.8</v>
      </c>
      <c r="J1758" s="381">
        <v>42.8</v>
      </c>
      <c r="K1758" s="381">
        <v>5</v>
      </c>
      <c r="L1758" s="381">
        <v>0</v>
      </c>
      <c r="M1758" s="381" t="s">
        <v>148</v>
      </c>
      <c r="N1758" s="381" t="s">
        <v>149</v>
      </c>
      <c r="O1758" s="381" t="s">
        <v>150</v>
      </c>
      <c r="P1758" s="381" t="s">
        <v>151</v>
      </c>
      <c r="Q1758" s="381"/>
      <c r="R1758" s="381" t="s">
        <v>7331</v>
      </c>
      <c r="S1758" s="381"/>
      <c r="T1758" s="381" t="s">
        <v>3211</v>
      </c>
      <c r="U1758" s="381" t="s">
        <v>152</v>
      </c>
      <c r="V1758" s="381" t="s">
        <v>23</v>
      </c>
    </row>
    <row r="1759" spans="2:22">
      <c r="B1759" s="383">
        <v>46263</v>
      </c>
      <c r="C1759" s="383">
        <v>46263</v>
      </c>
      <c r="D1759" s="381" t="s">
        <v>7332</v>
      </c>
      <c r="E1759" s="382" t="s">
        <v>7333</v>
      </c>
      <c r="F1759" s="381" t="s">
        <v>87</v>
      </c>
      <c r="G1759" s="381" t="s">
        <v>2357</v>
      </c>
      <c r="H1759" s="387">
        <v>40</v>
      </c>
      <c r="I1759" s="381">
        <v>40.5</v>
      </c>
      <c r="J1759" s="381">
        <v>40.5</v>
      </c>
      <c r="K1759" s="381">
        <v>5</v>
      </c>
      <c r="L1759" s="381">
        <v>0</v>
      </c>
      <c r="M1759" s="381" t="s">
        <v>148</v>
      </c>
      <c r="N1759" s="381" t="s">
        <v>149</v>
      </c>
      <c r="O1759" s="381" t="s">
        <v>150</v>
      </c>
      <c r="P1759" s="381" t="s">
        <v>151</v>
      </c>
      <c r="Q1759" s="381"/>
      <c r="R1759" s="381" t="s">
        <v>7333</v>
      </c>
      <c r="S1759" s="381"/>
      <c r="T1759" s="381" t="s">
        <v>3211</v>
      </c>
      <c r="U1759" s="381" t="s">
        <v>152</v>
      </c>
      <c r="V1759" s="381" t="s">
        <v>23</v>
      </c>
    </row>
    <row r="1760" spans="2:22">
      <c r="B1760" s="383">
        <v>46263</v>
      </c>
      <c r="C1760" s="383">
        <v>46263</v>
      </c>
      <c r="D1760" s="381" t="s">
        <v>7334</v>
      </c>
      <c r="E1760" s="382" t="s">
        <v>7335</v>
      </c>
      <c r="F1760" s="381" t="s">
        <v>87</v>
      </c>
      <c r="G1760" s="381" t="s">
        <v>2404</v>
      </c>
      <c r="H1760" s="387">
        <v>40</v>
      </c>
      <c r="I1760" s="381">
        <v>34.799999999999997</v>
      </c>
      <c r="J1760" s="381">
        <v>34.799999999999997</v>
      </c>
      <c r="K1760" s="381">
        <v>5</v>
      </c>
      <c r="L1760" s="381">
        <v>0</v>
      </c>
      <c r="M1760" s="381" t="s">
        <v>148</v>
      </c>
      <c r="N1760" s="381" t="s">
        <v>149</v>
      </c>
      <c r="O1760" s="381" t="s">
        <v>150</v>
      </c>
      <c r="P1760" s="381" t="s">
        <v>151</v>
      </c>
      <c r="Q1760" s="381"/>
      <c r="R1760" s="381" t="s">
        <v>7335</v>
      </c>
      <c r="S1760" s="381"/>
      <c r="T1760" s="381" t="s">
        <v>3211</v>
      </c>
      <c r="U1760" s="381" t="s">
        <v>152</v>
      </c>
      <c r="V1760" s="381" t="s">
        <v>23</v>
      </c>
    </row>
    <row r="1761" spans="2:22">
      <c r="B1761" s="383">
        <v>46263</v>
      </c>
      <c r="C1761" s="383">
        <v>46263</v>
      </c>
      <c r="D1761" s="381" t="s">
        <v>7336</v>
      </c>
      <c r="E1761" s="382" t="s">
        <v>7337</v>
      </c>
      <c r="F1761" s="381" t="s">
        <v>87</v>
      </c>
      <c r="G1761" s="381" t="s">
        <v>2404</v>
      </c>
      <c r="H1761" s="387">
        <v>40</v>
      </c>
      <c r="I1761" s="381">
        <v>43.8</v>
      </c>
      <c r="J1761" s="381">
        <v>43.8</v>
      </c>
      <c r="K1761" s="381">
        <v>5</v>
      </c>
      <c r="L1761" s="381">
        <v>0</v>
      </c>
      <c r="M1761" s="381" t="s">
        <v>148</v>
      </c>
      <c r="N1761" s="381" t="s">
        <v>149</v>
      </c>
      <c r="O1761" s="381" t="s">
        <v>150</v>
      </c>
      <c r="P1761" s="381" t="s">
        <v>151</v>
      </c>
      <c r="Q1761" s="381"/>
      <c r="R1761" s="381" t="s">
        <v>7337</v>
      </c>
      <c r="S1761" s="381"/>
      <c r="T1761" s="381" t="s">
        <v>3211</v>
      </c>
      <c r="U1761" s="381" t="s">
        <v>152</v>
      </c>
      <c r="V1761" s="381" t="s">
        <v>23</v>
      </c>
    </row>
    <row r="1762" spans="2:22">
      <c r="B1762" s="383">
        <v>46263</v>
      </c>
      <c r="C1762" s="383">
        <v>46263</v>
      </c>
      <c r="D1762" s="381" t="s">
        <v>7338</v>
      </c>
      <c r="E1762" s="382" t="s">
        <v>7339</v>
      </c>
      <c r="F1762" s="381" t="s">
        <v>87</v>
      </c>
      <c r="G1762" s="381" t="s">
        <v>2358</v>
      </c>
      <c r="H1762" s="387">
        <v>30</v>
      </c>
      <c r="I1762" s="381">
        <v>38.799999999999997</v>
      </c>
      <c r="J1762" s="381">
        <v>38.799999999999997</v>
      </c>
      <c r="K1762" s="381">
        <v>4</v>
      </c>
      <c r="L1762" s="381">
        <v>0</v>
      </c>
      <c r="M1762" s="381" t="s">
        <v>148</v>
      </c>
      <c r="N1762" s="381" t="s">
        <v>149</v>
      </c>
      <c r="O1762" s="381" t="s">
        <v>150</v>
      </c>
      <c r="P1762" s="381" t="s">
        <v>151</v>
      </c>
      <c r="Q1762" s="381"/>
      <c r="R1762" s="381" t="s">
        <v>7339</v>
      </c>
      <c r="S1762" s="381"/>
      <c r="T1762" s="381" t="s">
        <v>3211</v>
      </c>
      <c r="U1762" s="381" t="s">
        <v>152</v>
      </c>
      <c r="V1762" s="381" t="s">
        <v>23</v>
      </c>
    </row>
    <row r="1763" spans="2:22">
      <c r="B1763" s="383">
        <v>46263</v>
      </c>
      <c r="C1763" s="383">
        <v>46263</v>
      </c>
      <c r="D1763" s="381" t="s">
        <v>7340</v>
      </c>
      <c r="E1763" s="382" t="s">
        <v>7341</v>
      </c>
      <c r="F1763" s="381" t="s">
        <v>87</v>
      </c>
      <c r="G1763" s="381" t="s">
        <v>7295</v>
      </c>
      <c r="H1763" s="387">
        <v>25</v>
      </c>
      <c r="I1763" s="381">
        <v>21.4</v>
      </c>
      <c r="J1763" s="381">
        <v>21.4</v>
      </c>
      <c r="K1763" s="381">
        <v>4</v>
      </c>
      <c r="L1763" s="381">
        <v>0</v>
      </c>
      <c r="M1763" s="381" t="s">
        <v>148</v>
      </c>
      <c r="N1763" s="381" t="s">
        <v>149</v>
      </c>
      <c r="O1763" s="381" t="s">
        <v>150</v>
      </c>
      <c r="P1763" s="381" t="s">
        <v>151</v>
      </c>
      <c r="Q1763" s="381"/>
      <c r="R1763" s="381" t="s">
        <v>7341</v>
      </c>
      <c r="S1763" s="381"/>
      <c r="T1763" s="381" t="s">
        <v>3211</v>
      </c>
      <c r="U1763" s="381" t="s">
        <v>152</v>
      </c>
      <c r="V1763" s="381" t="s">
        <v>23</v>
      </c>
    </row>
    <row r="1764" spans="2:22">
      <c r="B1764" s="383">
        <v>46263</v>
      </c>
      <c r="C1764" s="383">
        <v>46263</v>
      </c>
      <c r="D1764" s="381" t="s">
        <v>7342</v>
      </c>
      <c r="E1764" s="382" t="s">
        <v>7343</v>
      </c>
      <c r="F1764" s="381" t="s">
        <v>87</v>
      </c>
      <c r="G1764" s="381" t="s">
        <v>2358</v>
      </c>
      <c r="H1764" s="387">
        <v>30</v>
      </c>
      <c r="I1764" s="381">
        <v>36.4</v>
      </c>
      <c r="J1764" s="381">
        <v>36.4</v>
      </c>
      <c r="K1764" s="381">
        <v>4</v>
      </c>
      <c r="L1764" s="381">
        <v>0</v>
      </c>
      <c r="M1764" s="381" t="s">
        <v>148</v>
      </c>
      <c r="N1764" s="381" t="s">
        <v>149</v>
      </c>
      <c r="O1764" s="381" t="s">
        <v>150</v>
      </c>
      <c r="P1764" s="381" t="s">
        <v>151</v>
      </c>
      <c r="Q1764" s="381"/>
      <c r="R1764" s="381" t="s">
        <v>7343</v>
      </c>
      <c r="S1764" s="381"/>
      <c r="T1764" s="381" t="s">
        <v>3211</v>
      </c>
      <c r="U1764" s="381" t="s">
        <v>152</v>
      </c>
      <c r="V1764" s="381" t="s">
        <v>23</v>
      </c>
    </row>
    <row r="1765" spans="2:22">
      <c r="B1765" s="383">
        <v>46263</v>
      </c>
      <c r="C1765" s="383">
        <v>46263</v>
      </c>
      <c r="D1765" s="381" t="s">
        <v>7344</v>
      </c>
      <c r="E1765" s="382" t="s">
        <v>7345</v>
      </c>
      <c r="F1765" s="381" t="s">
        <v>87</v>
      </c>
      <c r="G1765" s="381" t="s">
        <v>2358</v>
      </c>
      <c r="H1765" s="387">
        <v>30</v>
      </c>
      <c r="I1765" s="381">
        <v>24.8</v>
      </c>
      <c r="J1765" s="381">
        <v>24.8</v>
      </c>
      <c r="K1765" s="381">
        <v>4</v>
      </c>
      <c r="L1765" s="381">
        <v>0</v>
      </c>
      <c r="M1765" s="381" t="s">
        <v>148</v>
      </c>
      <c r="N1765" s="381" t="s">
        <v>149</v>
      </c>
      <c r="O1765" s="381" t="s">
        <v>150</v>
      </c>
      <c r="P1765" s="381" t="s">
        <v>151</v>
      </c>
      <c r="Q1765" s="381"/>
      <c r="R1765" s="381" t="s">
        <v>7345</v>
      </c>
      <c r="S1765" s="381"/>
      <c r="T1765" s="381" t="s">
        <v>3211</v>
      </c>
      <c r="U1765" s="381" t="s">
        <v>152</v>
      </c>
      <c r="V1765" s="381" t="s">
        <v>23</v>
      </c>
    </row>
    <row r="1766" spans="2:22">
      <c r="B1766" s="383">
        <v>46263</v>
      </c>
      <c r="C1766" s="383">
        <v>46263</v>
      </c>
      <c r="D1766" s="381" t="s">
        <v>7346</v>
      </c>
      <c r="E1766" s="382" t="s">
        <v>7347</v>
      </c>
      <c r="F1766" s="381" t="s">
        <v>87</v>
      </c>
      <c r="G1766" s="381" t="s">
        <v>2358</v>
      </c>
      <c r="H1766" s="387">
        <v>30</v>
      </c>
      <c r="I1766" s="381">
        <v>36.799999999999997</v>
      </c>
      <c r="J1766" s="381">
        <v>36.799999999999997</v>
      </c>
      <c r="K1766" s="381">
        <v>4</v>
      </c>
      <c r="L1766" s="381">
        <v>0</v>
      </c>
      <c r="M1766" s="381" t="s">
        <v>148</v>
      </c>
      <c r="N1766" s="381" t="s">
        <v>149</v>
      </c>
      <c r="O1766" s="381" t="s">
        <v>150</v>
      </c>
      <c r="P1766" s="381" t="s">
        <v>151</v>
      </c>
      <c r="Q1766" s="381"/>
      <c r="R1766" s="381" t="s">
        <v>7347</v>
      </c>
      <c r="S1766" s="381"/>
      <c r="T1766" s="381" t="s">
        <v>3211</v>
      </c>
      <c r="U1766" s="381" t="s">
        <v>152</v>
      </c>
      <c r="V1766" s="381" t="s">
        <v>23</v>
      </c>
    </row>
    <row r="1767" spans="2:22">
      <c r="B1767" s="383">
        <v>46264</v>
      </c>
      <c r="C1767" s="383">
        <v>46264</v>
      </c>
      <c r="D1767" s="381" t="s">
        <v>7348</v>
      </c>
      <c r="E1767" s="382" t="s">
        <v>7349</v>
      </c>
      <c r="F1767" s="381" t="s">
        <v>87</v>
      </c>
      <c r="G1767" s="381" t="s">
        <v>2357</v>
      </c>
      <c r="H1767" s="387">
        <v>40</v>
      </c>
      <c r="I1767" s="381">
        <v>36.799999999999997</v>
      </c>
      <c r="J1767" s="381">
        <v>36.799999999999997</v>
      </c>
      <c r="K1767" s="381">
        <v>5</v>
      </c>
      <c r="L1767" s="381">
        <v>0</v>
      </c>
      <c r="M1767" s="381" t="s">
        <v>148</v>
      </c>
      <c r="N1767" s="381" t="s">
        <v>149</v>
      </c>
      <c r="O1767" s="381" t="s">
        <v>150</v>
      </c>
      <c r="P1767" s="381" t="s">
        <v>151</v>
      </c>
      <c r="Q1767" s="381"/>
      <c r="R1767" s="381" t="s">
        <v>7349</v>
      </c>
      <c r="S1767" s="381"/>
      <c r="T1767" s="381" t="s">
        <v>3232</v>
      </c>
      <c r="U1767" s="381" t="s">
        <v>152</v>
      </c>
      <c r="V1767" s="381" t="s">
        <v>23</v>
      </c>
    </row>
    <row r="1768" spans="2:22">
      <c r="B1768" s="383">
        <v>46264</v>
      </c>
      <c r="C1768" s="383">
        <v>46264</v>
      </c>
      <c r="D1768" s="381" t="s">
        <v>7350</v>
      </c>
      <c r="E1768" s="382" t="s">
        <v>7351</v>
      </c>
      <c r="F1768" s="381" t="s">
        <v>87</v>
      </c>
      <c r="G1768" s="381" t="s">
        <v>7352</v>
      </c>
      <c r="H1768" s="387">
        <v>6</v>
      </c>
      <c r="I1768" s="381">
        <v>6.8</v>
      </c>
      <c r="J1768" s="381">
        <v>6.8</v>
      </c>
      <c r="K1768" s="381">
        <v>1</v>
      </c>
      <c r="L1768" s="381">
        <v>0</v>
      </c>
      <c r="M1768" s="381" t="s">
        <v>148</v>
      </c>
      <c r="N1768" s="381" t="s">
        <v>149</v>
      </c>
      <c r="O1768" s="381" t="s">
        <v>150</v>
      </c>
      <c r="P1768" s="381" t="s">
        <v>151</v>
      </c>
      <c r="Q1768" s="381"/>
      <c r="R1768" s="381" t="s">
        <v>7351</v>
      </c>
      <c r="S1768" s="381"/>
      <c r="T1768" s="381" t="s">
        <v>3232</v>
      </c>
      <c r="U1768" s="381" t="s">
        <v>152</v>
      </c>
      <c r="V1768" s="381" t="s">
        <v>23</v>
      </c>
    </row>
    <row r="1769" spans="2:22">
      <c r="B1769" s="383">
        <v>46264</v>
      </c>
      <c r="C1769" s="383">
        <v>46264</v>
      </c>
      <c r="D1769" s="381" t="s">
        <v>7353</v>
      </c>
      <c r="E1769" s="382" t="s">
        <v>7354</v>
      </c>
      <c r="F1769" s="381" t="s">
        <v>87</v>
      </c>
      <c r="G1769" s="381" t="s">
        <v>5097</v>
      </c>
      <c r="H1769" s="387">
        <v>25</v>
      </c>
      <c r="I1769" s="381">
        <v>35</v>
      </c>
      <c r="J1769" s="381">
        <v>35</v>
      </c>
      <c r="K1769" s="381">
        <v>4</v>
      </c>
      <c r="L1769" s="381">
        <v>0</v>
      </c>
      <c r="M1769" s="381" t="s">
        <v>148</v>
      </c>
      <c r="N1769" s="381" t="s">
        <v>149</v>
      </c>
      <c r="O1769" s="381" t="s">
        <v>150</v>
      </c>
      <c r="P1769" s="381" t="s">
        <v>151</v>
      </c>
      <c r="Q1769" s="381"/>
      <c r="R1769" s="381" t="s">
        <v>7354</v>
      </c>
      <c r="S1769" s="381"/>
      <c r="T1769" s="381" t="s">
        <v>3232</v>
      </c>
      <c r="U1769" s="381" t="s">
        <v>152</v>
      </c>
      <c r="V1769" s="381" t="s">
        <v>23</v>
      </c>
    </row>
    <row r="1770" spans="2:22">
      <c r="B1770" s="383">
        <v>46264</v>
      </c>
      <c r="C1770" s="383">
        <v>46264</v>
      </c>
      <c r="D1770" s="381" t="s">
        <v>7355</v>
      </c>
      <c r="E1770" s="382" t="s">
        <v>7356</v>
      </c>
      <c r="F1770" s="381" t="s">
        <v>87</v>
      </c>
      <c r="G1770" s="381" t="s">
        <v>2404</v>
      </c>
      <c r="H1770" s="387">
        <v>40</v>
      </c>
      <c r="I1770" s="381">
        <v>35.299999999999997</v>
      </c>
      <c r="J1770" s="381">
        <v>35.299999999999997</v>
      </c>
      <c r="K1770" s="381">
        <v>5</v>
      </c>
      <c r="L1770" s="381">
        <v>0</v>
      </c>
      <c r="M1770" s="381" t="s">
        <v>148</v>
      </c>
      <c r="N1770" s="381" t="s">
        <v>149</v>
      </c>
      <c r="O1770" s="381" t="s">
        <v>150</v>
      </c>
      <c r="P1770" s="381" t="s">
        <v>151</v>
      </c>
      <c r="Q1770" s="381"/>
      <c r="R1770" s="381" t="s">
        <v>7356</v>
      </c>
      <c r="S1770" s="381"/>
      <c r="T1770" s="381" t="s">
        <v>3232</v>
      </c>
      <c r="U1770" s="381" t="s">
        <v>152</v>
      </c>
      <c r="V1770" s="381" t="s">
        <v>23</v>
      </c>
    </row>
    <row r="1771" spans="2:22">
      <c r="B1771" s="383">
        <v>46264</v>
      </c>
      <c r="C1771" s="383">
        <v>46264</v>
      </c>
      <c r="D1771" s="381" t="s">
        <v>7357</v>
      </c>
      <c r="E1771" s="382" t="s">
        <v>7358</v>
      </c>
      <c r="F1771" s="381" t="s">
        <v>87</v>
      </c>
      <c r="G1771" s="381" t="s">
        <v>2357</v>
      </c>
      <c r="H1771" s="387">
        <v>40</v>
      </c>
      <c r="I1771" s="381">
        <v>31.5</v>
      </c>
      <c r="J1771" s="381">
        <v>31.5</v>
      </c>
      <c r="K1771" s="381">
        <v>5</v>
      </c>
      <c r="L1771" s="381">
        <v>0</v>
      </c>
      <c r="M1771" s="381" t="s">
        <v>148</v>
      </c>
      <c r="N1771" s="381" t="s">
        <v>149</v>
      </c>
      <c r="O1771" s="381" t="s">
        <v>150</v>
      </c>
      <c r="P1771" s="381" t="s">
        <v>151</v>
      </c>
      <c r="Q1771" s="381"/>
      <c r="R1771" s="381" t="s">
        <v>7358</v>
      </c>
      <c r="S1771" s="381"/>
      <c r="T1771" s="381" t="s">
        <v>3232</v>
      </c>
      <c r="U1771" s="381" t="s">
        <v>152</v>
      </c>
      <c r="V1771" s="381" t="s">
        <v>23</v>
      </c>
    </row>
    <row r="1772" spans="2:22">
      <c r="B1772" s="383">
        <v>46264</v>
      </c>
      <c r="C1772" s="383">
        <v>46264</v>
      </c>
      <c r="D1772" s="381" t="s">
        <v>7359</v>
      </c>
      <c r="E1772" s="382" t="s">
        <v>7360</v>
      </c>
      <c r="F1772" s="381" t="s">
        <v>87</v>
      </c>
      <c r="G1772" s="381" t="s">
        <v>2358</v>
      </c>
      <c r="H1772" s="387">
        <v>30</v>
      </c>
      <c r="I1772" s="381">
        <v>35.799999999999997</v>
      </c>
      <c r="J1772" s="381">
        <v>35.799999999999997</v>
      </c>
      <c r="K1772" s="381">
        <v>4</v>
      </c>
      <c r="L1772" s="381">
        <v>0</v>
      </c>
      <c r="M1772" s="381" t="s">
        <v>148</v>
      </c>
      <c r="N1772" s="381" t="s">
        <v>149</v>
      </c>
      <c r="O1772" s="381" t="s">
        <v>150</v>
      </c>
      <c r="P1772" s="381" t="s">
        <v>151</v>
      </c>
      <c r="Q1772" s="381"/>
      <c r="R1772" s="381" t="s">
        <v>7360</v>
      </c>
      <c r="S1772" s="381"/>
      <c r="T1772" s="381" t="s">
        <v>3232</v>
      </c>
      <c r="U1772" s="381" t="s">
        <v>152</v>
      </c>
      <c r="V1772" s="381" t="s">
        <v>23</v>
      </c>
    </row>
    <row r="1773" spans="2:22">
      <c r="B1773" s="383">
        <v>46264</v>
      </c>
      <c r="C1773" s="383">
        <v>46264</v>
      </c>
      <c r="D1773" s="381" t="s">
        <v>7361</v>
      </c>
      <c r="E1773" s="382" t="s">
        <v>7362</v>
      </c>
      <c r="F1773" s="381" t="s">
        <v>87</v>
      </c>
      <c r="G1773" s="381" t="s">
        <v>7152</v>
      </c>
      <c r="H1773" s="387">
        <v>55</v>
      </c>
      <c r="I1773" s="381">
        <v>43.8</v>
      </c>
      <c r="J1773" s="381">
        <v>43.8</v>
      </c>
      <c r="K1773" s="381">
        <v>5</v>
      </c>
      <c r="L1773" s="381">
        <v>0</v>
      </c>
      <c r="M1773" s="381" t="s">
        <v>148</v>
      </c>
      <c r="N1773" s="381" t="s">
        <v>149</v>
      </c>
      <c r="O1773" s="381" t="s">
        <v>150</v>
      </c>
      <c r="P1773" s="381" t="s">
        <v>151</v>
      </c>
      <c r="Q1773" s="381"/>
      <c r="R1773" s="381" t="s">
        <v>7362</v>
      </c>
      <c r="S1773" s="381"/>
      <c r="T1773" s="381" t="s">
        <v>3232</v>
      </c>
      <c r="U1773" s="381" t="s">
        <v>152</v>
      </c>
      <c r="V1773" s="381" t="s">
        <v>23</v>
      </c>
    </row>
    <row r="1774" spans="2:22">
      <c r="B1774" s="383">
        <v>46264</v>
      </c>
      <c r="C1774" s="383">
        <v>46264</v>
      </c>
      <c r="D1774" s="381" t="s">
        <v>7363</v>
      </c>
      <c r="E1774" s="382" t="s">
        <v>7364</v>
      </c>
      <c r="F1774" s="381" t="s">
        <v>87</v>
      </c>
      <c r="G1774" s="381" t="s">
        <v>7152</v>
      </c>
      <c r="H1774" s="387">
        <v>55</v>
      </c>
      <c r="I1774" s="381">
        <v>54.8</v>
      </c>
      <c r="J1774" s="381">
        <v>54.8</v>
      </c>
      <c r="K1774" s="381">
        <v>5</v>
      </c>
      <c r="L1774" s="381">
        <v>0</v>
      </c>
      <c r="M1774" s="381" t="s">
        <v>148</v>
      </c>
      <c r="N1774" s="381" t="s">
        <v>149</v>
      </c>
      <c r="O1774" s="381" t="s">
        <v>150</v>
      </c>
      <c r="P1774" s="381" t="s">
        <v>151</v>
      </c>
      <c r="Q1774" s="381"/>
      <c r="R1774" s="381" t="s">
        <v>7364</v>
      </c>
      <c r="S1774" s="381"/>
      <c r="T1774" s="381" t="s">
        <v>3232</v>
      </c>
      <c r="U1774" s="381" t="s">
        <v>152</v>
      </c>
      <c r="V1774" s="381" t="s">
        <v>23</v>
      </c>
    </row>
    <row r="1775" spans="2:22">
      <c r="B1775" s="383">
        <v>46264</v>
      </c>
      <c r="C1775" s="383">
        <v>46264</v>
      </c>
      <c r="D1775" s="381" t="s">
        <v>7365</v>
      </c>
      <c r="E1775" s="382" t="s">
        <v>7366</v>
      </c>
      <c r="F1775" s="381" t="s">
        <v>87</v>
      </c>
      <c r="G1775" s="381" t="s">
        <v>2357</v>
      </c>
      <c r="H1775" s="387">
        <v>40</v>
      </c>
      <c r="I1775" s="381">
        <v>35.4</v>
      </c>
      <c r="J1775" s="381">
        <v>35.4</v>
      </c>
      <c r="K1775" s="381">
        <v>5</v>
      </c>
      <c r="L1775" s="381">
        <v>0</v>
      </c>
      <c r="M1775" s="381" t="s">
        <v>148</v>
      </c>
      <c r="N1775" s="381" t="s">
        <v>149</v>
      </c>
      <c r="O1775" s="381" t="s">
        <v>150</v>
      </c>
      <c r="P1775" s="381" t="s">
        <v>151</v>
      </c>
      <c r="Q1775" s="381"/>
      <c r="R1775" s="381" t="s">
        <v>7366</v>
      </c>
      <c r="S1775" s="381"/>
      <c r="T1775" s="381" t="s">
        <v>3232</v>
      </c>
      <c r="U1775" s="381" t="s">
        <v>152</v>
      </c>
      <c r="V1775" s="381" t="s">
        <v>23</v>
      </c>
    </row>
    <row r="1776" spans="2:22">
      <c r="B1776" s="383">
        <v>46264</v>
      </c>
      <c r="C1776" s="383">
        <v>46264</v>
      </c>
      <c r="D1776" s="381" t="s">
        <v>7367</v>
      </c>
      <c r="E1776" s="382" t="s">
        <v>7368</v>
      </c>
      <c r="F1776" s="381" t="s">
        <v>87</v>
      </c>
      <c r="G1776" s="381" t="s">
        <v>2405</v>
      </c>
      <c r="H1776" s="387">
        <v>30</v>
      </c>
      <c r="I1776" s="381">
        <v>38.799999999999997</v>
      </c>
      <c r="J1776" s="381">
        <v>38.799999999999997</v>
      </c>
      <c r="K1776" s="381">
        <v>4</v>
      </c>
      <c r="L1776" s="381">
        <v>0</v>
      </c>
      <c r="M1776" s="381" t="s">
        <v>148</v>
      </c>
      <c r="N1776" s="381" t="s">
        <v>149</v>
      </c>
      <c r="O1776" s="381" t="s">
        <v>150</v>
      </c>
      <c r="P1776" s="381" t="s">
        <v>151</v>
      </c>
      <c r="Q1776" s="381"/>
      <c r="R1776" s="381" t="s">
        <v>7368</v>
      </c>
      <c r="S1776" s="381"/>
      <c r="T1776" s="381" t="s">
        <v>3232</v>
      </c>
      <c r="U1776" s="381" t="s">
        <v>152</v>
      </c>
      <c r="V1776" s="381" t="s">
        <v>23</v>
      </c>
    </row>
    <row r="1777" spans="2:22">
      <c r="B1777" s="383">
        <v>46264</v>
      </c>
      <c r="C1777" s="383">
        <v>46264</v>
      </c>
      <c r="D1777" s="381" t="s">
        <v>7369</v>
      </c>
      <c r="E1777" s="382" t="s">
        <v>7370</v>
      </c>
      <c r="F1777" s="381" t="s">
        <v>87</v>
      </c>
      <c r="G1777" s="381" t="s">
        <v>2358</v>
      </c>
      <c r="H1777" s="387">
        <v>30</v>
      </c>
      <c r="I1777" s="381">
        <v>31</v>
      </c>
      <c r="J1777" s="381">
        <v>31</v>
      </c>
      <c r="K1777" s="381">
        <v>4</v>
      </c>
      <c r="L1777" s="381">
        <v>0</v>
      </c>
      <c r="M1777" s="381" t="s">
        <v>148</v>
      </c>
      <c r="N1777" s="381" t="s">
        <v>149</v>
      </c>
      <c r="O1777" s="381" t="s">
        <v>150</v>
      </c>
      <c r="P1777" s="381" t="s">
        <v>151</v>
      </c>
      <c r="Q1777" s="381"/>
      <c r="R1777" s="381" t="s">
        <v>7370</v>
      </c>
      <c r="S1777" s="381"/>
      <c r="T1777" s="381" t="s">
        <v>3232</v>
      </c>
      <c r="U1777" s="381" t="s">
        <v>152</v>
      </c>
      <c r="V1777" s="381" t="s">
        <v>23</v>
      </c>
    </row>
    <row r="1778" spans="2:22">
      <c r="B1778" s="383">
        <v>46264</v>
      </c>
      <c r="C1778" s="383">
        <v>46264</v>
      </c>
      <c r="D1778" s="381" t="s">
        <v>7371</v>
      </c>
      <c r="E1778" s="382" t="s">
        <v>7372</v>
      </c>
      <c r="F1778" s="381" t="s">
        <v>87</v>
      </c>
      <c r="G1778" s="381" t="s">
        <v>7152</v>
      </c>
      <c r="H1778" s="387">
        <v>55</v>
      </c>
      <c r="I1778" s="381">
        <v>43.8</v>
      </c>
      <c r="J1778" s="381">
        <v>43.8</v>
      </c>
      <c r="K1778" s="381">
        <v>5</v>
      </c>
      <c r="L1778" s="381">
        <v>0</v>
      </c>
      <c r="M1778" s="381" t="s">
        <v>148</v>
      </c>
      <c r="N1778" s="381" t="s">
        <v>149</v>
      </c>
      <c r="O1778" s="381" t="s">
        <v>150</v>
      </c>
      <c r="P1778" s="381" t="s">
        <v>151</v>
      </c>
      <c r="Q1778" s="381"/>
      <c r="R1778" s="381" t="s">
        <v>7372</v>
      </c>
      <c r="S1778" s="381"/>
      <c r="T1778" s="381" t="s">
        <v>3232</v>
      </c>
      <c r="U1778" s="381" t="s">
        <v>152</v>
      </c>
      <c r="V1778" s="381" t="s">
        <v>23</v>
      </c>
    </row>
    <row r="1779" spans="2:22">
      <c r="B1779" s="383">
        <v>46264</v>
      </c>
      <c r="C1779" s="383">
        <v>46264</v>
      </c>
      <c r="D1779" s="381" t="s">
        <v>7373</v>
      </c>
      <c r="E1779" s="382" t="s">
        <v>7374</v>
      </c>
      <c r="F1779" s="381" t="s">
        <v>87</v>
      </c>
      <c r="G1779" s="381" t="s">
        <v>7152</v>
      </c>
      <c r="H1779" s="387">
        <v>55</v>
      </c>
      <c r="I1779" s="381">
        <v>35.4</v>
      </c>
      <c r="J1779" s="381">
        <v>35.4</v>
      </c>
      <c r="K1779" s="381">
        <v>5</v>
      </c>
      <c r="L1779" s="381">
        <v>0</v>
      </c>
      <c r="M1779" s="381" t="s">
        <v>148</v>
      </c>
      <c r="N1779" s="381" t="s">
        <v>149</v>
      </c>
      <c r="O1779" s="381" t="s">
        <v>150</v>
      </c>
      <c r="P1779" s="381" t="s">
        <v>151</v>
      </c>
      <c r="Q1779" s="381"/>
      <c r="R1779" s="381" t="s">
        <v>7374</v>
      </c>
      <c r="S1779" s="381"/>
      <c r="T1779" s="381" t="s">
        <v>3232</v>
      </c>
      <c r="U1779" s="381" t="s">
        <v>152</v>
      </c>
      <c r="V1779" s="381" t="s">
        <v>23</v>
      </c>
    </row>
    <row r="1780" spans="2:22">
      <c r="B1780" s="383">
        <v>46264</v>
      </c>
      <c r="C1780" s="383">
        <v>46264</v>
      </c>
      <c r="D1780" s="381" t="s">
        <v>7375</v>
      </c>
      <c r="E1780" s="382" t="s">
        <v>7376</v>
      </c>
      <c r="F1780" s="381" t="s">
        <v>87</v>
      </c>
      <c r="G1780" s="381" t="s">
        <v>2357</v>
      </c>
      <c r="H1780" s="387">
        <v>40</v>
      </c>
      <c r="I1780" s="381">
        <v>39</v>
      </c>
      <c r="J1780" s="381">
        <v>39</v>
      </c>
      <c r="K1780" s="381">
        <v>5</v>
      </c>
      <c r="L1780" s="381">
        <v>0</v>
      </c>
      <c r="M1780" s="381" t="s">
        <v>148</v>
      </c>
      <c r="N1780" s="381" t="s">
        <v>149</v>
      </c>
      <c r="O1780" s="381" t="s">
        <v>150</v>
      </c>
      <c r="P1780" s="381" t="s">
        <v>151</v>
      </c>
      <c r="Q1780" s="381"/>
      <c r="R1780" s="381" t="s">
        <v>7376</v>
      </c>
      <c r="S1780" s="381"/>
      <c r="T1780" s="381" t="s">
        <v>3232</v>
      </c>
      <c r="U1780" s="381" t="s">
        <v>152</v>
      </c>
      <c r="V1780" s="381" t="s">
        <v>23</v>
      </c>
    </row>
    <row r="1781" spans="2:22">
      <c r="B1781" s="383">
        <v>46264</v>
      </c>
      <c r="C1781" s="383">
        <v>46264</v>
      </c>
      <c r="D1781" s="381" t="s">
        <v>7377</v>
      </c>
      <c r="E1781" s="382" t="s">
        <v>7378</v>
      </c>
      <c r="F1781" s="381" t="s">
        <v>87</v>
      </c>
      <c r="G1781" s="381" t="s">
        <v>2357</v>
      </c>
      <c r="H1781" s="387">
        <v>40</v>
      </c>
      <c r="I1781" s="381">
        <v>29.8</v>
      </c>
      <c r="J1781" s="381">
        <v>29.8</v>
      </c>
      <c r="K1781" s="381">
        <v>5</v>
      </c>
      <c r="L1781" s="381">
        <v>0</v>
      </c>
      <c r="M1781" s="381" t="s">
        <v>148</v>
      </c>
      <c r="N1781" s="381" t="s">
        <v>149</v>
      </c>
      <c r="O1781" s="381" t="s">
        <v>150</v>
      </c>
      <c r="P1781" s="381" t="s">
        <v>151</v>
      </c>
      <c r="Q1781" s="381"/>
      <c r="R1781" s="381" t="s">
        <v>7378</v>
      </c>
      <c r="S1781" s="381"/>
      <c r="T1781" s="381" t="s">
        <v>3232</v>
      </c>
      <c r="U1781" s="381" t="s">
        <v>152</v>
      </c>
      <c r="V1781" s="381" t="s">
        <v>23</v>
      </c>
    </row>
    <row r="1782" spans="2:22">
      <c r="B1782" s="383">
        <v>46264</v>
      </c>
      <c r="C1782" s="383">
        <v>46264</v>
      </c>
      <c r="D1782" s="381" t="s">
        <v>7379</v>
      </c>
      <c r="E1782" s="382" t="s">
        <v>7380</v>
      </c>
      <c r="F1782" s="381" t="s">
        <v>87</v>
      </c>
      <c r="G1782" s="381" t="s">
        <v>2405</v>
      </c>
      <c r="H1782" s="387">
        <v>30</v>
      </c>
      <c r="I1782" s="381">
        <v>37.799999999999997</v>
      </c>
      <c r="J1782" s="381">
        <v>37.799999999999997</v>
      </c>
      <c r="K1782" s="381">
        <v>4</v>
      </c>
      <c r="L1782" s="381">
        <v>0</v>
      </c>
      <c r="M1782" s="381" t="s">
        <v>148</v>
      </c>
      <c r="N1782" s="381" t="s">
        <v>149</v>
      </c>
      <c r="O1782" s="381" t="s">
        <v>150</v>
      </c>
      <c r="P1782" s="381" t="s">
        <v>151</v>
      </c>
      <c r="Q1782" s="381"/>
      <c r="R1782" s="381" t="s">
        <v>7380</v>
      </c>
      <c r="S1782" s="381"/>
      <c r="T1782" s="381" t="s">
        <v>3232</v>
      </c>
      <c r="U1782" s="381" t="s">
        <v>152</v>
      </c>
      <c r="V1782" s="381" t="s">
        <v>23</v>
      </c>
    </row>
    <row r="1783" spans="2:22">
      <c r="B1783" s="383">
        <v>46264</v>
      </c>
      <c r="C1783" s="383">
        <v>46264</v>
      </c>
      <c r="D1783" s="381" t="s">
        <v>7381</v>
      </c>
      <c r="E1783" s="382" t="s">
        <v>7382</v>
      </c>
      <c r="F1783" s="381" t="s">
        <v>87</v>
      </c>
      <c r="G1783" s="381" t="s">
        <v>7152</v>
      </c>
      <c r="H1783" s="387">
        <v>55</v>
      </c>
      <c r="I1783" s="381">
        <v>40.799999999999997</v>
      </c>
      <c r="J1783" s="381">
        <v>40.799999999999997</v>
      </c>
      <c r="K1783" s="381">
        <v>5</v>
      </c>
      <c r="L1783" s="381">
        <v>0</v>
      </c>
      <c r="M1783" s="381" t="s">
        <v>148</v>
      </c>
      <c r="N1783" s="381" t="s">
        <v>149</v>
      </c>
      <c r="O1783" s="381" t="s">
        <v>150</v>
      </c>
      <c r="P1783" s="381" t="s">
        <v>151</v>
      </c>
      <c r="Q1783" s="381"/>
      <c r="R1783" s="381" t="s">
        <v>7382</v>
      </c>
      <c r="S1783" s="381"/>
      <c r="T1783" s="381" t="s">
        <v>3232</v>
      </c>
      <c r="U1783" s="381" t="s">
        <v>152</v>
      </c>
      <c r="V1783" s="381" t="s">
        <v>23</v>
      </c>
    </row>
    <row r="1784" spans="2:22">
      <c r="B1784" s="383">
        <v>46264</v>
      </c>
      <c r="C1784" s="383">
        <v>46264</v>
      </c>
      <c r="D1784" s="381" t="s">
        <v>7383</v>
      </c>
      <c r="E1784" s="382" t="s">
        <v>7384</v>
      </c>
      <c r="F1784" s="381" t="s">
        <v>87</v>
      </c>
      <c r="G1784" s="381" t="s">
        <v>2358</v>
      </c>
      <c r="H1784" s="387">
        <v>30</v>
      </c>
      <c r="I1784" s="381">
        <v>20.5</v>
      </c>
      <c r="J1784" s="381">
        <v>20.5</v>
      </c>
      <c r="K1784" s="381">
        <v>4</v>
      </c>
      <c r="L1784" s="381">
        <v>0</v>
      </c>
      <c r="M1784" s="381" t="s">
        <v>148</v>
      </c>
      <c r="N1784" s="381" t="s">
        <v>149</v>
      </c>
      <c r="O1784" s="381" t="s">
        <v>150</v>
      </c>
      <c r="P1784" s="381" t="s">
        <v>151</v>
      </c>
      <c r="Q1784" s="381"/>
      <c r="R1784" s="381" t="s">
        <v>7384</v>
      </c>
      <c r="S1784" s="381"/>
      <c r="T1784" s="381" t="s">
        <v>3232</v>
      </c>
      <c r="U1784" s="381" t="s">
        <v>152</v>
      </c>
      <c r="V1784" s="381" t="s">
        <v>23</v>
      </c>
    </row>
    <row r="1785" spans="2:22">
      <c r="B1785" s="383">
        <v>46264</v>
      </c>
      <c r="C1785" s="383">
        <v>46264</v>
      </c>
      <c r="D1785" s="381" t="s">
        <v>7385</v>
      </c>
      <c r="E1785" s="382" t="s">
        <v>7386</v>
      </c>
      <c r="F1785" s="381" t="s">
        <v>87</v>
      </c>
      <c r="G1785" s="381" t="s">
        <v>2357</v>
      </c>
      <c r="H1785" s="387">
        <v>40</v>
      </c>
      <c r="I1785" s="381">
        <v>31.8</v>
      </c>
      <c r="J1785" s="381">
        <v>31.8</v>
      </c>
      <c r="K1785" s="381">
        <v>5</v>
      </c>
      <c r="L1785" s="381">
        <v>0</v>
      </c>
      <c r="M1785" s="381" t="s">
        <v>148</v>
      </c>
      <c r="N1785" s="381" t="s">
        <v>149</v>
      </c>
      <c r="O1785" s="381" t="s">
        <v>150</v>
      </c>
      <c r="P1785" s="381" t="s">
        <v>151</v>
      </c>
      <c r="Q1785" s="381"/>
      <c r="R1785" s="381" t="s">
        <v>7386</v>
      </c>
      <c r="S1785" s="381"/>
      <c r="T1785" s="381" t="s">
        <v>3232</v>
      </c>
      <c r="U1785" s="381" t="s">
        <v>152</v>
      </c>
      <c r="V1785" s="381" t="s">
        <v>23</v>
      </c>
    </row>
    <row r="1786" spans="2:22">
      <c r="B1786" s="383">
        <v>46264</v>
      </c>
      <c r="C1786" s="383">
        <v>46264</v>
      </c>
      <c r="D1786" s="381" t="s">
        <v>7387</v>
      </c>
      <c r="E1786" s="382" t="s">
        <v>7388</v>
      </c>
      <c r="F1786" s="381" t="s">
        <v>87</v>
      </c>
      <c r="G1786" s="381" t="s">
        <v>7152</v>
      </c>
      <c r="H1786" s="387">
        <v>55</v>
      </c>
      <c r="I1786" s="381">
        <v>43</v>
      </c>
      <c r="J1786" s="381">
        <v>43</v>
      </c>
      <c r="K1786" s="381">
        <v>5</v>
      </c>
      <c r="L1786" s="381">
        <v>0</v>
      </c>
      <c r="M1786" s="381" t="s">
        <v>148</v>
      </c>
      <c r="N1786" s="381" t="s">
        <v>149</v>
      </c>
      <c r="O1786" s="381" t="s">
        <v>150</v>
      </c>
      <c r="P1786" s="381" t="s">
        <v>151</v>
      </c>
      <c r="Q1786" s="381"/>
      <c r="R1786" s="381" t="s">
        <v>7388</v>
      </c>
      <c r="S1786" s="381"/>
      <c r="T1786" s="381" t="s">
        <v>3232</v>
      </c>
      <c r="U1786" s="381" t="s">
        <v>152</v>
      </c>
      <c r="V1786" s="381" t="s">
        <v>23</v>
      </c>
    </row>
    <row r="1787" spans="2:22">
      <c r="B1787" s="383">
        <v>46264</v>
      </c>
      <c r="C1787" s="383">
        <v>46264</v>
      </c>
      <c r="D1787" s="381" t="s">
        <v>7389</v>
      </c>
      <c r="E1787" s="382" t="s">
        <v>7390</v>
      </c>
      <c r="F1787" s="381" t="s">
        <v>87</v>
      </c>
      <c r="G1787" s="381" t="s">
        <v>7152</v>
      </c>
      <c r="H1787" s="387">
        <v>55</v>
      </c>
      <c r="I1787" s="381">
        <v>42.8</v>
      </c>
      <c r="J1787" s="381">
        <v>42.8</v>
      </c>
      <c r="K1787" s="381">
        <v>5</v>
      </c>
      <c r="L1787" s="381">
        <v>0</v>
      </c>
      <c r="M1787" s="381" t="s">
        <v>148</v>
      </c>
      <c r="N1787" s="381" t="s">
        <v>149</v>
      </c>
      <c r="O1787" s="381" t="s">
        <v>150</v>
      </c>
      <c r="P1787" s="381" t="s">
        <v>151</v>
      </c>
      <c r="Q1787" s="381"/>
      <c r="R1787" s="381" t="s">
        <v>7390</v>
      </c>
      <c r="S1787" s="381"/>
      <c r="T1787" s="381" t="s">
        <v>3232</v>
      </c>
      <c r="U1787" s="381" t="s">
        <v>152</v>
      </c>
      <c r="V1787" s="381" t="s">
        <v>23</v>
      </c>
    </row>
    <row r="1788" spans="2:22">
      <c r="B1788" s="383">
        <v>46264</v>
      </c>
      <c r="C1788" s="383">
        <v>46264</v>
      </c>
      <c r="D1788" s="381" t="s">
        <v>7391</v>
      </c>
      <c r="E1788" s="382" t="s">
        <v>7392</v>
      </c>
      <c r="F1788" s="381" t="s">
        <v>87</v>
      </c>
      <c r="G1788" s="381" t="s">
        <v>2404</v>
      </c>
      <c r="H1788" s="387">
        <v>40</v>
      </c>
      <c r="I1788" s="381">
        <v>30.8</v>
      </c>
      <c r="J1788" s="381">
        <v>30.8</v>
      </c>
      <c r="K1788" s="381">
        <v>5</v>
      </c>
      <c r="L1788" s="381">
        <v>0</v>
      </c>
      <c r="M1788" s="381" t="s">
        <v>148</v>
      </c>
      <c r="N1788" s="381" t="s">
        <v>149</v>
      </c>
      <c r="O1788" s="381" t="s">
        <v>150</v>
      </c>
      <c r="P1788" s="381" t="s">
        <v>151</v>
      </c>
      <c r="Q1788" s="381"/>
      <c r="R1788" s="381" t="s">
        <v>7392</v>
      </c>
      <c r="S1788" s="381"/>
      <c r="T1788" s="381" t="s">
        <v>3232</v>
      </c>
      <c r="U1788" s="381" t="s">
        <v>152</v>
      </c>
      <c r="V1788" s="381" t="s">
        <v>23</v>
      </c>
    </row>
    <row r="1789" spans="2:22">
      <c r="B1789" s="383">
        <v>46264</v>
      </c>
      <c r="C1789" s="383">
        <v>46264</v>
      </c>
      <c r="D1789" s="381" t="s">
        <v>7393</v>
      </c>
      <c r="E1789" s="382" t="s">
        <v>7394</v>
      </c>
      <c r="F1789" s="381" t="s">
        <v>87</v>
      </c>
      <c r="G1789" s="381" t="s">
        <v>2357</v>
      </c>
      <c r="H1789" s="387">
        <v>40</v>
      </c>
      <c r="I1789" s="381">
        <v>34.299999999999997</v>
      </c>
      <c r="J1789" s="381">
        <v>34.299999999999997</v>
      </c>
      <c r="K1789" s="381">
        <v>5</v>
      </c>
      <c r="L1789" s="381">
        <v>0</v>
      </c>
      <c r="M1789" s="381" t="s">
        <v>148</v>
      </c>
      <c r="N1789" s="381" t="s">
        <v>149</v>
      </c>
      <c r="O1789" s="381" t="s">
        <v>150</v>
      </c>
      <c r="P1789" s="381" t="s">
        <v>151</v>
      </c>
      <c r="Q1789" s="381"/>
      <c r="R1789" s="381" t="s">
        <v>7394</v>
      </c>
      <c r="S1789" s="381"/>
      <c r="T1789" s="381" t="s">
        <v>3232</v>
      </c>
      <c r="U1789" s="381" t="s">
        <v>152</v>
      </c>
      <c r="V1789" s="381" t="s">
        <v>23</v>
      </c>
    </row>
    <row r="1790" spans="2:22">
      <c r="B1790" s="383">
        <v>46264</v>
      </c>
      <c r="C1790" s="383">
        <v>46264</v>
      </c>
      <c r="D1790" s="381" t="s">
        <v>7395</v>
      </c>
      <c r="E1790" s="382" t="s">
        <v>7396</v>
      </c>
      <c r="F1790" s="381" t="s">
        <v>87</v>
      </c>
      <c r="G1790" s="381" t="s">
        <v>2405</v>
      </c>
      <c r="H1790" s="387">
        <v>30</v>
      </c>
      <c r="I1790" s="381">
        <v>16.3</v>
      </c>
      <c r="J1790" s="381">
        <v>16.3</v>
      </c>
      <c r="K1790" s="381">
        <v>4</v>
      </c>
      <c r="L1790" s="381">
        <v>0</v>
      </c>
      <c r="M1790" s="381" t="s">
        <v>148</v>
      </c>
      <c r="N1790" s="381" t="s">
        <v>149</v>
      </c>
      <c r="O1790" s="381" t="s">
        <v>150</v>
      </c>
      <c r="P1790" s="381" t="s">
        <v>151</v>
      </c>
      <c r="Q1790" s="381"/>
      <c r="R1790" s="381" t="s">
        <v>7396</v>
      </c>
      <c r="S1790" s="381"/>
      <c r="T1790" s="381" t="s">
        <v>3232</v>
      </c>
      <c r="U1790" s="381" t="s">
        <v>152</v>
      </c>
      <c r="V1790" s="381" t="s">
        <v>23</v>
      </c>
    </row>
    <row r="1791" spans="2:22">
      <c r="B1791" s="383">
        <v>46264</v>
      </c>
      <c r="C1791" s="383">
        <v>46264</v>
      </c>
      <c r="D1791" s="381" t="s">
        <v>7397</v>
      </c>
      <c r="E1791" s="382" t="s">
        <v>7398</v>
      </c>
      <c r="F1791" s="381" t="s">
        <v>87</v>
      </c>
      <c r="G1791" s="381" t="s">
        <v>2357</v>
      </c>
      <c r="H1791" s="387">
        <v>40</v>
      </c>
      <c r="I1791" s="381">
        <v>40.799999999999997</v>
      </c>
      <c r="J1791" s="381">
        <v>40.799999999999997</v>
      </c>
      <c r="K1791" s="381">
        <v>5</v>
      </c>
      <c r="L1791" s="381">
        <v>0</v>
      </c>
      <c r="M1791" s="381" t="s">
        <v>148</v>
      </c>
      <c r="N1791" s="381" t="s">
        <v>149</v>
      </c>
      <c r="O1791" s="381" t="s">
        <v>150</v>
      </c>
      <c r="P1791" s="381" t="s">
        <v>151</v>
      </c>
      <c r="Q1791" s="381"/>
      <c r="R1791" s="381" t="s">
        <v>7398</v>
      </c>
      <c r="S1791" s="381"/>
      <c r="T1791" s="381" t="s">
        <v>3232</v>
      </c>
      <c r="U1791" s="381" t="s">
        <v>152</v>
      </c>
      <c r="V1791" s="381" t="s">
        <v>23</v>
      </c>
    </row>
    <row r="1792" spans="2:22">
      <c r="B1792" s="383">
        <v>46264</v>
      </c>
      <c r="C1792" s="383">
        <v>46264</v>
      </c>
      <c r="D1792" s="381" t="s">
        <v>7399</v>
      </c>
      <c r="E1792" s="382" t="s">
        <v>7400</v>
      </c>
      <c r="F1792" s="381" t="s">
        <v>87</v>
      </c>
      <c r="G1792" s="381" t="s">
        <v>5097</v>
      </c>
      <c r="H1792" s="387">
        <v>25</v>
      </c>
      <c r="I1792" s="381">
        <v>30.8</v>
      </c>
      <c r="J1792" s="381">
        <v>30.8</v>
      </c>
      <c r="K1792" s="381">
        <v>4</v>
      </c>
      <c r="L1792" s="381">
        <v>0</v>
      </c>
      <c r="M1792" s="381" t="s">
        <v>148</v>
      </c>
      <c r="N1792" s="381" t="s">
        <v>149</v>
      </c>
      <c r="O1792" s="381" t="s">
        <v>150</v>
      </c>
      <c r="P1792" s="381" t="s">
        <v>151</v>
      </c>
      <c r="Q1792" s="381"/>
      <c r="R1792" s="381" t="s">
        <v>7400</v>
      </c>
      <c r="S1792" s="381"/>
      <c r="T1792" s="381" t="s">
        <v>3232</v>
      </c>
      <c r="U1792" s="381" t="s">
        <v>152</v>
      </c>
      <c r="V1792" s="381" t="s">
        <v>23</v>
      </c>
    </row>
    <row r="1793" spans="2:22">
      <c r="B1793" s="383">
        <v>46264</v>
      </c>
      <c r="C1793" s="383">
        <v>46264</v>
      </c>
      <c r="D1793" s="381" t="s">
        <v>7401</v>
      </c>
      <c r="E1793" s="382" t="s">
        <v>7402</v>
      </c>
      <c r="F1793" s="381" t="s">
        <v>87</v>
      </c>
      <c r="G1793" s="381" t="s">
        <v>2357</v>
      </c>
      <c r="H1793" s="387">
        <v>40</v>
      </c>
      <c r="I1793" s="381">
        <v>26.3</v>
      </c>
      <c r="J1793" s="381">
        <v>26.3</v>
      </c>
      <c r="K1793" s="381">
        <v>5</v>
      </c>
      <c r="L1793" s="381">
        <v>0</v>
      </c>
      <c r="M1793" s="381" t="s">
        <v>148</v>
      </c>
      <c r="N1793" s="381" t="s">
        <v>149</v>
      </c>
      <c r="O1793" s="381" t="s">
        <v>150</v>
      </c>
      <c r="P1793" s="381" t="s">
        <v>151</v>
      </c>
      <c r="Q1793" s="381"/>
      <c r="R1793" s="381" t="s">
        <v>7402</v>
      </c>
      <c r="S1793" s="381"/>
      <c r="T1793" s="381" t="s">
        <v>3232</v>
      </c>
      <c r="U1793" s="381" t="s">
        <v>152</v>
      </c>
      <c r="V1793" s="381" t="s">
        <v>23</v>
      </c>
    </row>
    <row r="1794" spans="2:22">
      <c r="B1794" s="383">
        <v>46264</v>
      </c>
      <c r="C1794" s="383">
        <v>46264</v>
      </c>
      <c r="D1794" s="381" t="s">
        <v>7403</v>
      </c>
      <c r="E1794" s="382" t="s">
        <v>7404</v>
      </c>
      <c r="F1794" s="381" t="s">
        <v>87</v>
      </c>
      <c r="G1794" s="381" t="s">
        <v>2357</v>
      </c>
      <c r="H1794" s="387">
        <v>40</v>
      </c>
      <c r="I1794" s="381">
        <v>30.5</v>
      </c>
      <c r="J1794" s="381">
        <v>30.5</v>
      </c>
      <c r="K1794" s="381">
        <v>5</v>
      </c>
      <c r="L1794" s="381">
        <v>0</v>
      </c>
      <c r="M1794" s="381" t="s">
        <v>148</v>
      </c>
      <c r="N1794" s="381" t="s">
        <v>149</v>
      </c>
      <c r="O1794" s="381" t="s">
        <v>150</v>
      </c>
      <c r="P1794" s="381" t="s">
        <v>151</v>
      </c>
      <c r="Q1794" s="381"/>
      <c r="R1794" s="381" t="s">
        <v>7404</v>
      </c>
      <c r="S1794" s="381"/>
      <c r="T1794" s="381" t="s">
        <v>3232</v>
      </c>
      <c r="U1794" s="381" t="s">
        <v>152</v>
      </c>
      <c r="V1794" s="381" t="s">
        <v>23</v>
      </c>
    </row>
    <row r="1795" spans="2:22">
      <c r="B1795" s="383">
        <v>46264</v>
      </c>
      <c r="C1795" s="383">
        <v>46264</v>
      </c>
      <c r="D1795" s="381" t="s">
        <v>7405</v>
      </c>
      <c r="E1795" s="382" t="s">
        <v>7406</v>
      </c>
      <c r="F1795" s="381" t="s">
        <v>87</v>
      </c>
      <c r="G1795" s="381" t="s">
        <v>2357</v>
      </c>
      <c r="H1795" s="387">
        <v>40</v>
      </c>
      <c r="I1795" s="381">
        <v>30.8</v>
      </c>
      <c r="J1795" s="381">
        <v>30.8</v>
      </c>
      <c r="K1795" s="381">
        <v>5</v>
      </c>
      <c r="L1795" s="381">
        <v>0</v>
      </c>
      <c r="M1795" s="381" t="s">
        <v>148</v>
      </c>
      <c r="N1795" s="381" t="s">
        <v>149</v>
      </c>
      <c r="O1795" s="381" t="s">
        <v>150</v>
      </c>
      <c r="P1795" s="381" t="s">
        <v>151</v>
      </c>
      <c r="Q1795" s="381"/>
      <c r="R1795" s="381" t="s">
        <v>7406</v>
      </c>
      <c r="S1795" s="381"/>
      <c r="T1795" s="381" t="s">
        <v>3232</v>
      </c>
      <c r="U1795" s="381" t="s">
        <v>152</v>
      </c>
      <c r="V1795" s="381" t="s">
        <v>23</v>
      </c>
    </row>
    <row r="1796" spans="2:22">
      <c r="B1796" s="383">
        <v>46264</v>
      </c>
      <c r="C1796" s="383">
        <v>46264</v>
      </c>
      <c r="D1796" s="381" t="s">
        <v>7407</v>
      </c>
      <c r="E1796" s="382" t="s">
        <v>7408</v>
      </c>
      <c r="F1796" s="381" t="s">
        <v>87</v>
      </c>
      <c r="G1796" s="381" t="s">
        <v>2404</v>
      </c>
      <c r="H1796" s="387">
        <v>40</v>
      </c>
      <c r="I1796" s="381">
        <v>28.8</v>
      </c>
      <c r="J1796" s="381">
        <v>28.8</v>
      </c>
      <c r="K1796" s="381">
        <v>5</v>
      </c>
      <c r="L1796" s="381">
        <v>0</v>
      </c>
      <c r="M1796" s="381" t="s">
        <v>148</v>
      </c>
      <c r="N1796" s="381" t="s">
        <v>149</v>
      </c>
      <c r="O1796" s="381" t="s">
        <v>150</v>
      </c>
      <c r="P1796" s="381" t="s">
        <v>151</v>
      </c>
      <c r="Q1796" s="381"/>
      <c r="R1796" s="381" t="s">
        <v>7408</v>
      </c>
      <c r="S1796" s="381"/>
      <c r="T1796" s="381" t="s">
        <v>3232</v>
      </c>
      <c r="U1796" s="381" t="s">
        <v>152</v>
      </c>
      <c r="V1796" s="381" t="s">
        <v>23</v>
      </c>
    </row>
    <row r="1797" spans="2:22">
      <c r="B1797" s="383">
        <v>46264</v>
      </c>
      <c r="C1797" s="383">
        <v>46264</v>
      </c>
      <c r="D1797" s="381" t="s">
        <v>7409</v>
      </c>
      <c r="E1797" s="382" t="s">
        <v>7410</v>
      </c>
      <c r="F1797" s="381" t="s">
        <v>87</v>
      </c>
      <c r="G1797" s="381" t="s">
        <v>2358</v>
      </c>
      <c r="H1797" s="387">
        <v>30</v>
      </c>
      <c r="I1797" s="381">
        <v>33.799999999999997</v>
      </c>
      <c r="J1797" s="381">
        <v>33.799999999999997</v>
      </c>
      <c r="K1797" s="381">
        <v>4</v>
      </c>
      <c r="L1797" s="381">
        <v>0</v>
      </c>
      <c r="M1797" s="381" t="s">
        <v>148</v>
      </c>
      <c r="N1797" s="381" t="s">
        <v>149</v>
      </c>
      <c r="O1797" s="381" t="s">
        <v>150</v>
      </c>
      <c r="P1797" s="381" t="s">
        <v>151</v>
      </c>
      <c r="Q1797" s="381"/>
      <c r="R1797" s="381" t="s">
        <v>7410</v>
      </c>
      <c r="S1797" s="381"/>
      <c r="T1797" s="381" t="s">
        <v>3232</v>
      </c>
      <c r="U1797" s="381" t="s">
        <v>152</v>
      </c>
      <c r="V1797" s="381" t="s">
        <v>23</v>
      </c>
    </row>
    <row r="1798" spans="2:22">
      <c r="B1798" s="383">
        <v>46264</v>
      </c>
      <c r="C1798" s="383">
        <v>46264</v>
      </c>
      <c r="D1798" s="381" t="s">
        <v>7411</v>
      </c>
      <c r="E1798" s="382" t="s">
        <v>7412</v>
      </c>
      <c r="F1798" s="381" t="s">
        <v>87</v>
      </c>
      <c r="G1798" s="381" t="s">
        <v>2357</v>
      </c>
      <c r="H1798" s="387">
        <v>40</v>
      </c>
      <c r="I1798" s="381">
        <v>39</v>
      </c>
      <c r="J1798" s="381">
        <v>39</v>
      </c>
      <c r="K1798" s="381">
        <v>5</v>
      </c>
      <c r="L1798" s="381">
        <v>0</v>
      </c>
      <c r="M1798" s="381" t="s">
        <v>148</v>
      </c>
      <c r="N1798" s="381" t="s">
        <v>149</v>
      </c>
      <c r="O1798" s="381" t="s">
        <v>150</v>
      </c>
      <c r="P1798" s="381" t="s">
        <v>151</v>
      </c>
      <c r="Q1798" s="381"/>
      <c r="R1798" s="381" t="s">
        <v>7412</v>
      </c>
      <c r="S1798" s="381"/>
      <c r="T1798" s="381" t="s">
        <v>3232</v>
      </c>
      <c r="U1798" s="381" t="s">
        <v>152</v>
      </c>
      <c r="V1798" s="381" t="s">
        <v>23</v>
      </c>
    </row>
    <row r="1799" spans="2:22">
      <c r="B1799" s="383">
        <v>46264</v>
      </c>
      <c r="C1799" s="383">
        <v>46264</v>
      </c>
      <c r="D1799" s="381" t="s">
        <v>7413</v>
      </c>
      <c r="E1799" s="382" t="s">
        <v>7414</v>
      </c>
      <c r="F1799" s="381" t="s">
        <v>87</v>
      </c>
      <c r="G1799" s="381" t="s">
        <v>2405</v>
      </c>
      <c r="H1799" s="387">
        <v>30</v>
      </c>
      <c r="I1799" s="381">
        <v>33.299999999999997</v>
      </c>
      <c r="J1799" s="381">
        <v>33.299999999999997</v>
      </c>
      <c r="K1799" s="381">
        <v>4</v>
      </c>
      <c r="L1799" s="381">
        <v>0</v>
      </c>
      <c r="M1799" s="381" t="s">
        <v>148</v>
      </c>
      <c r="N1799" s="381" t="s">
        <v>149</v>
      </c>
      <c r="O1799" s="381" t="s">
        <v>150</v>
      </c>
      <c r="P1799" s="381" t="s">
        <v>151</v>
      </c>
      <c r="Q1799" s="381"/>
      <c r="R1799" s="381" t="s">
        <v>7414</v>
      </c>
      <c r="S1799" s="381"/>
      <c r="T1799" s="381" t="s">
        <v>3232</v>
      </c>
      <c r="U1799" s="381" t="s">
        <v>152</v>
      </c>
      <c r="V1799" s="381" t="s">
        <v>23</v>
      </c>
    </row>
    <row r="1800" spans="2:22">
      <c r="B1800" s="383">
        <v>46264</v>
      </c>
      <c r="C1800" s="383">
        <v>46264</v>
      </c>
      <c r="D1800" s="381" t="s">
        <v>7415</v>
      </c>
      <c r="E1800" s="382" t="s">
        <v>7416</v>
      </c>
      <c r="F1800" s="381" t="s">
        <v>87</v>
      </c>
      <c r="G1800" s="381" t="s">
        <v>2357</v>
      </c>
      <c r="H1800" s="387">
        <v>40</v>
      </c>
      <c r="I1800" s="381">
        <v>14.4</v>
      </c>
      <c r="J1800" s="381">
        <v>14.4</v>
      </c>
      <c r="K1800" s="381">
        <v>5</v>
      </c>
      <c r="L1800" s="381">
        <v>0</v>
      </c>
      <c r="M1800" s="381" t="s">
        <v>148</v>
      </c>
      <c r="N1800" s="381" t="s">
        <v>149</v>
      </c>
      <c r="O1800" s="381" t="s">
        <v>150</v>
      </c>
      <c r="P1800" s="381" t="s">
        <v>151</v>
      </c>
      <c r="Q1800" s="381"/>
      <c r="R1800" s="381" t="s">
        <v>7416</v>
      </c>
      <c r="S1800" s="381"/>
      <c r="T1800" s="381" t="s">
        <v>3232</v>
      </c>
      <c r="U1800" s="381" t="s">
        <v>152</v>
      </c>
      <c r="V1800" s="381" t="s">
        <v>23</v>
      </c>
    </row>
    <row r="1801" spans="2:22">
      <c r="B1801" s="383">
        <v>46264</v>
      </c>
      <c r="C1801" s="383">
        <v>46264</v>
      </c>
      <c r="D1801" s="381" t="s">
        <v>7417</v>
      </c>
      <c r="E1801" s="382" t="s">
        <v>7418</v>
      </c>
      <c r="F1801" s="381" t="s">
        <v>87</v>
      </c>
      <c r="G1801" s="381" t="s">
        <v>2404</v>
      </c>
      <c r="H1801" s="387">
        <v>40</v>
      </c>
      <c r="I1801" s="381">
        <v>23.3</v>
      </c>
      <c r="J1801" s="381">
        <v>23.3</v>
      </c>
      <c r="K1801" s="381">
        <v>5</v>
      </c>
      <c r="L1801" s="381">
        <v>0</v>
      </c>
      <c r="M1801" s="381" t="s">
        <v>148</v>
      </c>
      <c r="N1801" s="381" t="s">
        <v>149</v>
      </c>
      <c r="O1801" s="381" t="s">
        <v>150</v>
      </c>
      <c r="P1801" s="381" t="s">
        <v>151</v>
      </c>
      <c r="Q1801" s="381"/>
      <c r="R1801" s="381" t="s">
        <v>7418</v>
      </c>
      <c r="S1801" s="381"/>
      <c r="T1801" s="381" t="s">
        <v>3232</v>
      </c>
      <c r="U1801" s="381" t="s">
        <v>152</v>
      </c>
      <c r="V1801" s="381" t="s">
        <v>23</v>
      </c>
    </row>
    <row r="1802" spans="2:22">
      <c r="B1802" s="383">
        <v>46264</v>
      </c>
      <c r="C1802" s="383">
        <v>46264</v>
      </c>
      <c r="D1802" s="381" t="s">
        <v>7419</v>
      </c>
      <c r="E1802" s="382" t="s">
        <v>7420</v>
      </c>
      <c r="F1802" s="381" t="s">
        <v>87</v>
      </c>
      <c r="G1802" s="381" t="s">
        <v>2357</v>
      </c>
      <c r="H1802" s="387">
        <v>40</v>
      </c>
      <c r="I1802" s="381">
        <v>42.4</v>
      </c>
      <c r="J1802" s="381">
        <v>42.4</v>
      </c>
      <c r="K1802" s="381">
        <v>5</v>
      </c>
      <c r="L1802" s="381">
        <v>0</v>
      </c>
      <c r="M1802" s="381" t="s">
        <v>148</v>
      </c>
      <c r="N1802" s="381" t="s">
        <v>149</v>
      </c>
      <c r="O1802" s="381" t="s">
        <v>150</v>
      </c>
      <c r="P1802" s="381" t="s">
        <v>151</v>
      </c>
      <c r="Q1802" s="381"/>
      <c r="R1802" s="381" t="s">
        <v>7420</v>
      </c>
      <c r="S1802" s="381"/>
      <c r="T1802" s="381" t="s">
        <v>3232</v>
      </c>
      <c r="U1802" s="381" t="s">
        <v>152</v>
      </c>
      <c r="V1802" s="381" t="s">
        <v>23</v>
      </c>
    </row>
    <row r="1803" spans="2:22">
      <c r="B1803" s="383">
        <v>46264</v>
      </c>
      <c r="C1803" s="383">
        <v>46264</v>
      </c>
      <c r="D1803" s="381" t="s">
        <v>7421</v>
      </c>
      <c r="E1803" s="382" t="s">
        <v>7422</v>
      </c>
      <c r="F1803" s="381" t="s">
        <v>87</v>
      </c>
      <c r="G1803" s="381" t="s">
        <v>7152</v>
      </c>
      <c r="H1803" s="387">
        <v>55</v>
      </c>
      <c r="I1803" s="381">
        <v>46.6</v>
      </c>
      <c r="J1803" s="381">
        <v>46.6</v>
      </c>
      <c r="K1803" s="381">
        <v>5</v>
      </c>
      <c r="L1803" s="381">
        <v>0</v>
      </c>
      <c r="M1803" s="381" t="s">
        <v>148</v>
      </c>
      <c r="N1803" s="381" t="s">
        <v>149</v>
      </c>
      <c r="O1803" s="381" t="s">
        <v>150</v>
      </c>
      <c r="P1803" s="381" t="s">
        <v>151</v>
      </c>
      <c r="Q1803" s="381"/>
      <c r="R1803" s="381" t="s">
        <v>7422</v>
      </c>
      <c r="S1803" s="381"/>
      <c r="T1803" s="381" t="s">
        <v>3232</v>
      </c>
      <c r="U1803" s="381" t="s">
        <v>152</v>
      </c>
      <c r="V1803" s="381" t="s">
        <v>23</v>
      </c>
    </row>
    <row r="1804" spans="2:22">
      <c r="B1804" s="383">
        <v>46264</v>
      </c>
      <c r="C1804" s="383">
        <v>46264</v>
      </c>
      <c r="D1804" s="381" t="s">
        <v>7423</v>
      </c>
      <c r="E1804" s="382" t="s">
        <v>7424</v>
      </c>
      <c r="F1804" s="381" t="s">
        <v>87</v>
      </c>
      <c r="G1804" s="381" t="s">
        <v>2405</v>
      </c>
      <c r="H1804" s="387">
        <v>30</v>
      </c>
      <c r="I1804" s="381">
        <v>36.5</v>
      </c>
      <c r="J1804" s="381">
        <v>36.5</v>
      </c>
      <c r="K1804" s="381">
        <v>4</v>
      </c>
      <c r="L1804" s="381">
        <v>0</v>
      </c>
      <c r="M1804" s="381" t="s">
        <v>148</v>
      </c>
      <c r="N1804" s="381" t="s">
        <v>149</v>
      </c>
      <c r="O1804" s="381" t="s">
        <v>150</v>
      </c>
      <c r="P1804" s="381" t="s">
        <v>151</v>
      </c>
      <c r="Q1804" s="381"/>
      <c r="R1804" s="381" t="s">
        <v>7424</v>
      </c>
      <c r="S1804" s="381"/>
      <c r="T1804" s="381" t="s">
        <v>3232</v>
      </c>
      <c r="U1804" s="381" t="s">
        <v>152</v>
      </c>
      <c r="V1804" s="381" t="s">
        <v>23</v>
      </c>
    </row>
    <row r="1805" spans="2:22">
      <c r="B1805" s="383">
        <v>46264</v>
      </c>
      <c r="C1805" s="383">
        <v>46264</v>
      </c>
      <c r="D1805" s="381" t="s">
        <v>7425</v>
      </c>
      <c r="E1805" s="382" t="s">
        <v>7426</v>
      </c>
      <c r="F1805" s="381" t="s">
        <v>87</v>
      </c>
      <c r="G1805" s="381" t="s">
        <v>2358</v>
      </c>
      <c r="H1805" s="387">
        <v>30</v>
      </c>
      <c r="I1805" s="381">
        <v>26.3</v>
      </c>
      <c r="J1805" s="381">
        <v>26.3</v>
      </c>
      <c r="K1805" s="381">
        <v>4</v>
      </c>
      <c r="L1805" s="381">
        <v>0</v>
      </c>
      <c r="M1805" s="381" t="s">
        <v>148</v>
      </c>
      <c r="N1805" s="381" t="s">
        <v>149</v>
      </c>
      <c r="O1805" s="381" t="s">
        <v>150</v>
      </c>
      <c r="P1805" s="381" t="s">
        <v>151</v>
      </c>
      <c r="Q1805" s="381"/>
      <c r="R1805" s="381" t="s">
        <v>7426</v>
      </c>
      <c r="S1805" s="381"/>
      <c r="T1805" s="381" t="s">
        <v>3232</v>
      </c>
      <c r="U1805" s="381" t="s">
        <v>152</v>
      </c>
      <c r="V1805" s="381" t="s">
        <v>23</v>
      </c>
    </row>
    <row r="1806" spans="2:22">
      <c r="B1806" s="383">
        <v>46264</v>
      </c>
      <c r="C1806" s="383">
        <v>46264</v>
      </c>
      <c r="D1806" s="381" t="s">
        <v>7427</v>
      </c>
      <c r="E1806" s="382" t="s">
        <v>7428</v>
      </c>
      <c r="F1806" s="381" t="s">
        <v>87</v>
      </c>
      <c r="G1806" s="381" t="s">
        <v>2358</v>
      </c>
      <c r="H1806" s="387">
        <v>30</v>
      </c>
      <c r="I1806" s="381">
        <v>33.4</v>
      </c>
      <c r="J1806" s="381">
        <v>33.4</v>
      </c>
      <c r="K1806" s="381">
        <v>4</v>
      </c>
      <c r="L1806" s="381">
        <v>0</v>
      </c>
      <c r="M1806" s="381" t="s">
        <v>148</v>
      </c>
      <c r="N1806" s="381" t="s">
        <v>149</v>
      </c>
      <c r="O1806" s="381" t="s">
        <v>150</v>
      </c>
      <c r="P1806" s="381" t="s">
        <v>151</v>
      </c>
      <c r="Q1806" s="381"/>
      <c r="R1806" s="381" t="s">
        <v>7428</v>
      </c>
      <c r="S1806" s="381"/>
      <c r="T1806" s="381" t="s">
        <v>3232</v>
      </c>
      <c r="U1806" s="381" t="s">
        <v>152</v>
      </c>
      <c r="V1806" s="381" t="s">
        <v>23</v>
      </c>
    </row>
    <row r="1807" spans="2:22">
      <c r="B1807" s="383">
        <v>46264</v>
      </c>
      <c r="C1807" s="383">
        <v>46264</v>
      </c>
      <c r="D1807" s="381" t="s">
        <v>7429</v>
      </c>
      <c r="E1807" s="382" t="s">
        <v>7430</v>
      </c>
      <c r="F1807" s="381" t="s">
        <v>87</v>
      </c>
      <c r="G1807" s="381" t="s">
        <v>7152</v>
      </c>
      <c r="H1807" s="387">
        <v>55</v>
      </c>
      <c r="I1807" s="381">
        <v>40.4</v>
      </c>
      <c r="J1807" s="381">
        <v>40.4</v>
      </c>
      <c r="K1807" s="381">
        <v>5</v>
      </c>
      <c r="L1807" s="381">
        <v>0</v>
      </c>
      <c r="M1807" s="381" t="s">
        <v>148</v>
      </c>
      <c r="N1807" s="381" t="s">
        <v>149</v>
      </c>
      <c r="O1807" s="381" t="s">
        <v>150</v>
      </c>
      <c r="P1807" s="381" t="s">
        <v>151</v>
      </c>
      <c r="Q1807" s="381"/>
      <c r="R1807" s="381" t="s">
        <v>7430</v>
      </c>
      <c r="S1807" s="381"/>
      <c r="T1807" s="381" t="s">
        <v>3232</v>
      </c>
      <c r="U1807" s="381" t="s">
        <v>152</v>
      </c>
      <c r="V1807" s="381" t="s">
        <v>23</v>
      </c>
    </row>
    <row r="1808" spans="2:22">
      <c r="B1808" s="383">
        <v>46264</v>
      </c>
      <c r="C1808" s="383">
        <v>46264</v>
      </c>
      <c r="D1808" s="381" t="s">
        <v>7431</v>
      </c>
      <c r="E1808" s="382" t="s">
        <v>7432</v>
      </c>
      <c r="F1808" s="381" t="s">
        <v>87</v>
      </c>
      <c r="G1808" s="381" t="s">
        <v>7152</v>
      </c>
      <c r="H1808" s="387">
        <v>55</v>
      </c>
      <c r="I1808" s="381">
        <v>41.8</v>
      </c>
      <c r="J1808" s="381">
        <v>41.8</v>
      </c>
      <c r="K1808" s="381">
        <v>5</v>
      </c>
      <c r="L1808" s="381">
        <v>0</v>
      </c>
      <c r="M1808" s="381" t="s">
        <v>148</v>
      </c>
      <c r="N1808" s="381" t="s">
        <v>149</v>
      </c>
      <c r="O1808" s="381" t="s">
        <v>150</v>
      </c>
      <c r="P1808" s="381" t="s">
        <v>151</v>
      </c>
      <c r="Q1808" s="381"/>
      <c r="R1808" s="381" t="s">
        <v>7432</v>
      </c>
      <c r="S1808" s="381"/>
      <c r="T1808" s="381" t="s">
        <v>3232</v>
      </c>
      <c r="U1808" s="381" t="s">
        <v>152</v>
      </c>
      <c r="V1808" s="381" t="s">
        <v>23</v>
      </c>
    </row>
    <row r="1809" spans="2:22">
      <c r="B1809" s="383">
        <v>46264</v>
      </c>
      <c r="C1809" s="383">
        <v>46264</v>
      </c>
      <c r="D1809" s="381" t="s">
        <v>7433</v>
      </c>
      <c r="E1809" s="382" t="s">
        <v>7434</v>
      </c>
      <c r="F1809" s="381" t="s">
        <v>87</v>
      </c>
      <c r="G1809" s="381" t="s">
        <v>2357</v>
      </c>
      <c r="H1809" s="387">
        <v>40</v>
      </c>
      <c r="I1809" s="381">
        <v>25.8</v>
      </c>
      <c r="J1809" s="381">
        <v>25.8</v>
      </c>
      <c r="K1809" s="381">
        <v>5</v>
      </c>
      <c r="L1809" s="381">
        <v>0</v>
      </c>
      <c r="M1809" s="381" t="s">
        <v>148</v>
      </c>
      <c r="N1809" s="381" t="s">
        <v>149</v>
      </c>
      <c r="O1809" s="381" t="s">
        <v>150</v>
      </c>
      <c r="P1809" s="381" t="s">
        <v>151</v>
      </c>
      <c r="Q1809" s="381"/>
      <c r="R1809" s="381" t="s">
        <v>7434</v>
      </c>
      <c r="S1809" s="381"/>
      <c r="T1809" s="381" t="s">
        <v>3232</v>
      </c>
      <c r="U1809" s="381" t="s">
        <v>152</v>
      </c>
      <c r="V1809" s="381" t="s">
        <v>23</v>
      </c>
    </row>
    <row r="1810" spans="2:22">
      <c r="B1810" s="383">
        <v>46264</v>
      </c>
      <c r="C1810" s="383">
        <v>46264</v>
      </c>
      <c r="D1810" s="381" t="s">
        <v>7435</v>
      </c>
      <c r="E1810" s="382" t="s">
        <v>7436</v>
      </c>
      <c r="F1810" s="381" t="s">
        <v>87</v>
      </c>
      <c r="G1810" s="381" t="s">
        <v>2358</v>
      </c>
      <c r="H1810" s="387">
        <v>30</v>
      </c>
      <c r="I1810" s="381">
        <v>32.299999999999997</v>
      </c>
      <c r="J1810" s="381">
        <v>32.299999999999997</v>
      </c>
      <c r="K1810" s="381">
        <v>4</v>
      </c>
      <c r="L1810" s="381">
        <v>0</v>
      </c>
      <c r="M1810" s="381" t="s">
        <v>148</v>
      </c>
      <c r="N1810" s="381" t="s">
        <v>149</v>
      </c>
      <c r="O1810" s="381" t="s">
        <v>150</v>
      </c>
      <c r="P1810" s="381" t="s">
        <v>151</v>
      </c>
      <c r="Q1810" s="381"/>
      <c r="R1810" s="381" t="s">
        <v>7436</v>
      </c>
      <c r="S1810" s="381"/>
      <c r="T1810" s="381" t="s">
        <v>3232</v>
      </c>
      <c r="U1810" s="381" t="s">
        <v>152</v>
      </c>
      <c r="V1810" s="381" t="s">
        <v>23</v>
      </c>
    </row>
    <row r="1811" spans="2:22">
      <c r="B1811" s="383">
        <v>46264</v>
      </c>
      <c r="C1811" s="383">
        <v>46264</v>
      </c>
      <c r="D1811" s="381" t="s">
        <v>7437</v>
      </c>
      <c r="E1811" s="382" t="s">
        <v>7438</v>
      </c>
      <c r="F1811" s="381" t="s">
        <v>87</v>
      </c>
      <c r="G1811" s="381" t="s">
        <v>2405</v>
      </c>
      <c r="H1811" s="387">
        <v>30</v>
      </c>
      <c r="I1811" s="381">
        <v>36.799999999999997</v>
      </c>
      <c r="J1811" s="381">
        <v>36.799999999999997</v>
      </c>
      <c r="K1811" s="381">
        <v>4</v>
      </c>
      <c r="L1811" s="381">
        <v>0</v>
      </c>
      <c r="M1811" s="381" t="s">
        <v>148</v>
      </c>
      <c r="N1811" s="381" t="s">
        <v>149</v>
      </c>
      <c r="O1811" s="381" t="s">
        <v>150</v>
      </c>
      <c r="P1811" s="381" t="s">
        <v>151</v>
      </c>
      <c r="Q1811" s="381"/>
      <c r="R1811" s="381" t="s">
        <v>7438</v>
      </c>
      <c r="S1811" s="381"/>
      <c r="T1811" s="381" t="s">
        <v>3232</v>
      </c>
      <c r="U1811" s="381" t="s">
        <v>152</v>
      </c>
      <c r="V1811" s="381" t="s">
        <v>23</v>
      </c>
    </row>
    <row r="1812" spans="2:22">
      <c r="B1812" s="383">
        <v>46264</v>
      </c>
      <c r="C1812" s="383">
        <v>46264</v>
      </c>
      <c r="D1812" s="381" t="s">
        <v>7439</v>
      </c>
      <c r="E1812" s="382" t="s">
        <v>7440</v>
      </c>
      <c r="F1812" s="381" t="s">
        <v>87</v>
      </c>
      <c r="G1812" s="381" t="s">
        <v>2358</v>
      </c>
      <c r="H1812" s="387">
        <v>30</v>
      </c>
      <c r="I1812" s="381">
        <v>35.299999999999997</v>
      </c>
      <c r="J1812" s="381">
        <v>35.299999999999997</v>
      </c>
      <c r="K1812" s="381">
        <v>4</v>
      </c>
      <c r="L1812" s="381">
        <v>0</v>
      </c>
      <c r="M1812" s="381" t="s">
        <v>148</v>
      </c>
      <c r="N1812" s="381" t="s">
        <v>149</v>
      </c>
      <c r="O1812" s="381" t="s">
        <v>150</v>
      </c>
      <c r="P1812" s="381" t="s">
        <v>151</v>
      </c>
      <c r="Q1812" s="381"/>
      <c r="R1812" s="381" t="s">
        <v>7440</v>
      </c>
      <c r="S1812" s="381"/>
      <c r="T1812" s="381" t="s">
        <v>3232</v>
      </c>
      <c r="U1812" s="381" t="s">
        <v>152</v>
      </c>
      <c r="V1812" s="381" t="s">
        <v>23</v>
      </c>
    </row>
    <row r="1813" spans="2:22">
      <c r="B1813" s="383">
        <v>46264</v>
      </c>
      <c r="C1813" s="383">
        <v>46264</v>
      </c>
      <c r="D1813" s="381" t="s">
        <v>7441</v>
      </c>
      <c r="E1813" s="382" t="s">
        <v>7442</v>
      </c>
      <c r="F1813" s="381" t="s">
        <v>87</v>
      </c>
      <c r="G1813" s="381" t="s">
        <v>7152</v>
      </c>
      <c r="H1813" s="387">
        <v>55</v>
      </c>
      <c r="I1813" s="381">
        <v>43.4</v>
      </c>
      <c r="J1813" s="381">
        <v>43.4</v>
      </c>
      <c r="K1813" s="381">
        <v>5</v>
      </c>
      <c r="L1813" s="381">
        <v>0</v>
      </c>
      <c r="M1813" s="381" t="s">
        <v>148</v>
      </c>
      <c r="N1813" s="381" t="s">
        <v>149</v>
      </c>
      <c r="O1813" s="381" t="s">
        <v>150</v>
      </c>
      <c r="P1813" s="381" t="s">
        <v>151</v>
      </c>
      <c r="Q1813" s="381"/>
      <c r="R1813" s="381" t="s">
        <v>7442</v>
      </c>
      <c r="S1813" s="381"/>
      <c r="T1813" s="381" t="s">
        <v>3232</v>
      </c>
      <c r="U1813" s="381" t="s">
        <v>152</v>
      </c>
      <c r="V1813" s="381" t="s">
        <v>23</v>
      </c>
    </row>
    <row r="1814" spans="2:22">
      <c r="B1814" s="383">
        <v>46264</v>
      </c>
      <c r="C1814" s="383">
        <v>46264</v>
      </c>
      <c r="D1814" s="381" t="s">
        <v>7443</v>
      </c>
      <c r="E1814" s="382" t="s">
        <v>7444</v>
      </c>
      <c r="F1814" s="381" t="s">
        <v>87</v>
      </c>
      <c r="G1814" s="381" t="s">
        <v>2357</v>
      </c>
      <c r="H1814" s="387">
        <v>40</v>
      </c>
      <c r="I1814" s="381">
        <v>35.799999999999997</v>
      </c>
      <c r="J1814" s="381">
        <v>35.799999999999997</v>
      </c>
      <c r="K1814" s="381">
        <v>5</v>
      </c>
      <c r="L1814" s="381">
        <v>0</v>
      </c>
      <c r="M1814" s="381" t="s">
        <v>148</v>
      </c>
      <c r="N1814" s="381" t="s">
        <v>149</v>
      </c>
      <c r="O1814" s="381" t="s">
        <v>150</v>
      </c>
      <c r="P1814" s="381" t="s">
        <v>151</v>
      </c>
      <c r="Q1814" s="381"/>
      <c r="R1814" s="381" t="s">
        <v>7444</v>
      </c>
      <c r="S1814" s="381"/>
      <c r="T1814" s="381" t="s">
        <v>3232</v>
      </c>
      <c r="U1814" s="381" t="s">
        <v>152</v>
      </c>
      <c r="V1814" s="381" t="s">
        <v>23</v>
      </c>
    </row>
    <row r="1815" spans="2:22">
      <c r="B1815" s="383">
        <v>46264</v>
      </c>
      <c r="C1815" s="383">
        <v>46264</v>
      </c>
      <c r="D1815" s="381" t="s">
        <v>7445</v>
      </c>
      <c r="E1815" s="382" t="s">
        <v>7446</v>
      </c>
      <c r="F1815" s="381" t="s">
        <v>87</v>
      </c>
      <c r="G1815" s="381" t="s">
        <v>2404</v>
      </c>
      <c r="H1815" s="387">
        <v>40</v>
      </c>
      <c r="I1815" s="381">
        <v>41.8</v>
      </c>
      <c r="J1815" s="381">
        <v>41.8</v>
      </c>
      <c r="K1815" s="381">
        <v>5</v>
      </c>
      <c r="L1815" s="381">
        <v>0</v>
      </c>
      <c r="M1815" s="381" t="s">
        <v>148</v>
      </c>
      <c r="N1815" s="381" t="s">
        <v>149</v>
      </c>
      <c r="O1815" s="381" t="s">
        <v>150</v>
      </c>
      <c r="P1815" s="381" t="s">
        <v>151</v>
      </c>
      <c r="Q1815" s="381"/>
      <c r="R1815" s="381" t="s">
        <v>7446</v>
      </c>
      <c r="S1815" s="381"/>
      <c r="T1815" s="381" t="s">
        <v>3232</v>
      </c>
      <c r="U1815" s="381" t="s">
        <v>152</v>
      </c>
      <c r="V1815" s="381" t="s">
        <v>23</v>
      </c>
    </row>
    <row r="1816" spans="2:22">
      <c r="B1816" s="383">
        <v>46264</v>
      </c>
      <c r="C1816" s="383">
        <v>46264</v>
      </c>
      <c r="D1816" s="381" t="s">
        <v>7447</v>
      </c>
      <c r="E1816" s="382" t="s">
        <v>7448</v>
      </c>
      <c r="F1816" s="381" t="s">
        <v>87</v>
      </c>
      <c r="G1816" s="381" t="s">
        <v>2404</v>
      </c>
      <c r="H1816" s="387">
        <v>40</v>
      </c>
      <c r="I1816" s="381">
        <v>26.8</v>
      </c>
      <c r="J1816" s="381">
        <v>26.8</v>
      </c>
      <c r="K1816" s="381">
        <v>5</v>
      </c>
      <c r="L1816" s="381">
        <v>0</v>
      </c>
      <c r="M1816" s="381" t="s">
        <v>148</v>
      </c>
      <c r="N1816" s="381" t="s">
        <v>149</v>
      </c>
      <c r="O1816" s="381" t="s">
        <v>150</v>
      </c>
      <c r="P1816" s="381" t="s">
        <v>151</v>
      </c>
      <c r="Q1816" s="381"/>
      <c r="R1816" s="381" t="s">
        <v>7448</v>
      </c>
      <c r="S1816" s="381"/>
      <c r="T1816" s="381" t="s">
        <v>3232</v>
      </c>
      <c r="U1816" s="381" t="s">
        <v>152</v>
      </c>
      <c r="V1816" s="381" t="s">
        <v>23</v>
      </c>
    </row>
    <row r="1817" spans="2:22">
      <c r="B1817" s="383">
        <v>46264</v>
      </c>
      <c r="C1817" s="383">
        <v>46264</v>
      </c>
      <c r="D1817" s="381" t="s">
        <v>7449</v>
      </c>
      <c r="E1817" s="382" t="s">
        <v>7450</v>
      </c>
      <c r="F1817" s="381" t="s">
        <v>87</v>
      </c>
      <c r="G1817" s="381" t="s">
        <v>2357</v>
      </c>
      <c r="H1817" s="387">
        <v>40</v>
      </c>
      <c r="I1817" s="381">
        <v>39.299999999999997</v>
      </c>
      <c r="J1817" s="381">
        <v>39.299999999999997</v>
      </c>
      <c r="K1817" s="381">
        <v>5</v>
      </c>
      <c r="L1817" s="381">
        <v>0</v>
      </c>
      <c r="M1817" s="381" t="s">
        <v>148</v>
      </c>
      <c r="N1817" s="381" t="s">
        <v>149</v>
      </c>
      <c r="O1817" s="381" t="s">
        <v>150</v>
      </c>
      <c r="P1817" s="381" t="s">
        <v>151</v>
      </c>
      <c r="Q1817" s="381"/>
      <c r="R1817" s="381" t="s">
        <v>7450</v>
      </c>
      <c r="S1817" s="381"/>
      <c r="T1817" s="381" t="s">
        <v>3232</v>
      </c>
      <c r="U1817" s="381" t="s">
        <v>152</v>
      </c>
      <c r="V1817" s="381" t="s">
        <v>23</v>
      </c>
    </row>
    <row r="1818" spans="2:22">
      <c r="B1818" s="383">
        <v>46264</v>
      </c>
      <c r="C1818" s="383">
        <v>46264</v>
      </c>
      <c r="D1818" s="381" t="s">
        <v>7451</v>
      </c>
      <c r="E1818" s="382" t="s">
        <v>7452</v>
      </c>
      <c r="F1818" s="381" t="s">
        <v>87</v>
      </c>
      <c r="G1818" s="381" t="s">
        <v>2405</v>
      </c>
      <c r="H1818" s="387">
        <v>30</v>
      </c>
      <c r="I1818" s="381">
        <v>38.4</v>
      </c>
      <c r="J1818" s="381">
        <v>38.4</v>
      </c>
      <c r="K1818" s="381">
        <v>4</v>
      </c>
      <c r="L1818" s="381">
        <v>0</v>
      </c>
      <c r="M1818" s="381" t="s">
        <v>148</v>
      </c>
      <c r="N1818" s="381" t="s">
        <v>149</v>
      </c>
      <c r="O1818" s="381" t="s">
        <v>150</v>
      </c>
      <c r="P1818" s="381" t="s">
        <v>151</v>
      </c>
      <c r="Q1818" s="381"/>
      <c r="R1818" s="381" t="s">
        <v>7452</v>
      </c>
      <c r="S1818" s="381"/>
      <c r="T1818" s="381" t="s">
        <v>3232</v>
      </c>
      <c r="U1818" s="381" t="s">
        <v>152</v>
      </c>
      <c r="V1818" s="381" t="s">
        <v>23</v>
      </c>
    </row>
    <row r="1819" spans="2:22">
      <c r="B1819" s="383">
        <v>46264</v>
      </c>
      <c r="C1819" s="383">
        <v>46264</v>
      </c>
      <c r="D1819" s="381" t="s">
        <v>7453</v>
      </c>
      <c r="E1819" s="382" t="s">
        <v>7454</v>
      </c>
      <c r="F1819" s="381" t="s">
        <v>87</v>
      </c>
      <c r="G1819" s="381" t="s">
        <v>2358</v>
      </c>
      <c r="H1819" s="387">
        <v>30</v>
      </c>
      <c r="I1819" s="381">
        <v>38.299999999999997</v>
      </c>
      <c r="J1819" s="381">
        <v>38.299999999999997</v>
      </c>
      <c r="K1819" s="381">
        <v>4</v>
      </c>
      <c r="L1819" s="381">
        <v>0</v>
      </c>
      <c r="M1819" s="381" t="s">
        <v>148</v>
      </c>
      <c r="N1819" s="381" t="s">
        <v>149</v>
      </c>
      <c r="O1819" s="381" t="s">
        <v>150</v>
      </c>
      <c r="P1819" s="381" t="s">
        <v>151</v>
      </c>
      <c r="Q1819" s="381"/>
      <c r="R1819" s="381" t="s">
        <v>7454</v>
      </c>
      <c r="S1819" s="381"/>
      <c r="T1819" s="381" t="s">
        <v>3232</v>
      </c>
      <c r="U1819" s="381" t="s">
        <v>152</v>
      </c>
      <c r="V1819" s="381" t="s">
        <v>23</v>
      </c>
    </row>
    <row r="1820" spans="2:22">
      <c r="B1820" s="383">
        <v>46264</v>
      </c>
      <c r="C1820" s="383">
        <v>46264</v>
      </c>
      <c r="D1820" s="381" t="s">
        <v>7455</v>
      </c>
      <c r="E1820" s="382" t="s">
        <v>7456</v>
      </c>
      <c r="F1820" s="381" t="s">
        <v>87</v>
      </c>
      <c r="G1820" s="381" t="s">
        <v>2357</v>
      </c>
      <c r="H1820" s="387">
        <v>40</v>
      </c>
      <c r="I1820" s="381">
        <v>35.799999999999997</v>
      </c>
      <c r="J1820" s="381">
        <v>35.799999999999997</v>
      </c>
      <c r="K1820" s="381">
        <v>5</v>
      </c>
      <c r="L1820" s="381">
        <v>0</v>
      </c>
      <c r="M1820" s="381" t="s">
        <v>148</v>
      </c>
      <c r="N1820" s="381" t="s">
        <v>149</v>
      </c>
      <c r="O1820" s="381" t="s">
        <v>150</v>
      </c>
      <c r="P1820" s="381" t="s">
        <v>151</v>
      </c>
      <c r="Q1820" s="381"/>
      <c r="R1820" s="381" t="s">
        <v>7456</v>
      </c>
      <c r="S1820" s="381"/>
      <c r="T1820" s="381" t="s">
        <v>3232</v>
      </c>
      <c r="U1820" s="381" t="s">
        <v>152</v>
      </c>
      <c r="V1820" s="381" t="s">
        <v>23</v>
      </c>
    </row>
    <row r="1821" spans="2:22">
      <c r="B1821" s="383">
        <v>46264</v>
      </c>
      <c r="C1821" s="383">
        <v>46264</v>
      </c>
      <c r="D1821" s="381" t="s">
        <v>7457</v>
      </c>
      <c r="E1821" s="382" t="s">
        <v>7458</v>
      </c>
      <c r="F1821" s="381" t="s">
        <v>87</v>
      </c>
      <c r="G1821" s="381" t="s">
        <v>7018</v>
      </c>
      <c r="H1821" s="387">
        <v>6</v>
      </c>
      <c r="I1821" s="381">
        <v>12.4</v>
      </c>
      <c r="J1821" s="381">
        <v>12.4</v>
      </c>
      <c r="K1821" s="381">
        <v>1</v>
      </c>
      <c r="L1821" s="381">
        <v>0</v>
      </c>
      <c r="M1821" s="381" t="s">
        <v>148</v>
      </c>
      <c r="N1821" s="381" t="s">
        <v>149</v>
      </c>
      <c r="O1821" s="381" t="s">
        <v>150</v>
      </c>
      <c r="P1821" s="381" t="s">
        <v>151</v>
      </c>
      <c r="Q1821" s="381"/>
      <c r="R1821" s="381" t="s">
        <v>7458</v>
      </c>
      <c r="S1821" s="381"/>
      <c r="T1821" s="381" t="s">
        <v>3232</v>
      </c>
      <c r="U1821" s="381" t="s">
        <v>152</v>
      </c>
      <c r="V1821" s="381" t="s">
        <v>23</v>
      </c>
    </row>
    <row r="1822" spans="2:22">
      <c r="B1822" s="383">
        <v>46264</v>
      </c>
      <c r="C1822" s="383">
        <v>46264</v>
      </c>
      <c r="D1822" s="381" t="s">
        <v>7459</v>
      </c>
      <c r="E1822" s="382" t="s">
        <v>7460</v>
      </c>
      <c r="F1822" s="381" t="s">
        <v>87</v>
      </c>
      <c r="G1822" s="381" t="s">
        <v>5097</v>
      </c>
      <c r="H1822" s="387">
        <v>25</v>
      </c>
      <c r="I1822" s="381">
        <v>9.8000000000000007</v>
      </c>
      <c r="J1822" s="381">
        <v>9.8000000000000007</v>
      </c>
      <c r="K1822" s="381">
        <v>4</v>
      </c>
      <c r="L1822" s="381">
        <v>0</v>
      </c>
      <c r="M1822" s="381" t="s">
        <v>148</v>
      </c>
      <c r="N1822" s="381" t="s">
        <v>149</v>
      </c>
      <c r="O1822" s="381" t="s">
        <v>150</v>
      </c>
      <c r="P1822" s="381" t="s">
        <v>151</v>
      </c>
      <c r="Q1822" s="381"/>
      <c r="R1822" s="381" t="s">
        <v>7460</v>
      </c>
      <c r="S1822" s="381"/>
      <c r="T1822" s="381" t="s">
        <v>3232</v>
      </c>
      <c r="U1822" s="381" t="s">
        <v>152</v>
      </c>
      <c r="V1822" s="381" t="s">
        <v>23</v>
      </c>
    </row>
    <row r="1823" spans="2:22">
      <c r="B1823" s="383">
        <v>46264</v>
      </c>
      <c r="C1823" s="383">
        <v>46264</v>
      </c>
      <c r="D1823" s="381" t="s">
        <v>7461</v>
      </c>
      <c r="E1823" s="382" t="s">
        <v>7462</v>
      </c>
      <c r="F1823" s="381" t="s">
        <v>87</v>
      </c>
      <c r="G1823" s="381" t="s">
        <v>2404</v>
      </c>
      <c r="H1823" s="387">
        <v>40</v>
      </c>
      <c r="I1823" s="381">
        <v>38.799999999999997</v>
      </c>
      <c r="J1823" s="381">
        <v>38.799999999999997</v>
      </c>
      <c r="K1823" s="381">
        <v>5</v>
      </c>
      <c r="L1823" s="381">
        <v>0</v>
      </c>
      <c r="M1823" s="381" t="s">
        <v>148</v>
      </c>
      <c r="N1823" s="381" t="s">
        <v>149</v>
      </c>
      <c r="O1823" s="381" t="s">
        <v>150</v>
      </c>
      <c r="P1823" s="381" t="s">
        <v>151</v>
      </c>
      <c r="Q1823" s="381"/>
      <c r="R1823" s="381" t="s">
        <v>7462</v>
      </c>
      <c r="S1823" s="381"/>
      <c r="T1823" s="381" t="s">
        <v>3232</v>
      </c>
      <c r="U1823" s="381" t="s">
        <v>152</v>
      </c>
      <c r="V1823" s="381" t="s">
        <v>23</v>
      </c>
    </row>
    <row r="1824" spans="2:22">
      <c r="B1824" s="383">
        <v>46264</v>
      </c>
      <c r="C1824" s="383">
        <v>46264</v>
      </c>
      <c r="D1824" s="381" t="s">
        <v>7463</v>
      </c>
      <c r="E1824" s="382" t="s">
        <v>7464</v>
      </c>
      <c r="F1824" s="381" t="s">
        <v>87</v>
      </c>
      <c r="G1824" s="381" t="s">
        <v>2358</v>
      </c>
      <c r="H1824" s="387">
        <v>30</v>
      </c>
      <c r="I1824" s="381">
        <v>24.8</v>
      </c>
      <c r="J1824" s="381">
        <v>24.8</v>
      </c>
      <c r="K1824" s="381">
        <v>4</v>
      </c>
      <c r="L1824" s="381">
        <v>0</v>
      </c>
      <c r="M1824" s="381" t="s">
        <v>148</v>
      </c>
      <c r="N1824" s="381" t="s">
        <v>149</v>
      </c>
      <c r="O1824" s="381" t="s">
        <v>150</v>
      </c>
      <c r="P1824" s="381" t="s">
        <v>151</v>
      </c>
      <c r="Q1824" s="381"/>
      <c r="R1824" s="381" t="s">
        <v>7464</v>
      </c>
      <c r="S1824" s="381"/>
      <c r="T1824" s="381" t="s">
        <v>3232</v>
      </c>
      <c r="U1824" s="381" t="s">
        <v>152</v>
      </c>
      <c r="V1824" s="381" t="s">
        <v>23</v>
      </c>
    </row>
    <row r="1825" spans="2:22">
      <c r="B1825" s="383">
        <v>46264</v>
      </c>
      <c r="C1825" s="383">
        <v>46264</v>
      </c>
      <c r="D1825" s="381" t="s">
        <v>7465</v>
      </c>
      <c r="E1825" s="382" t="s">
        <v>7466</v>
      </c>
      <c r="F1825" s="381" t="s">
        <v>87</v>
      </c>
      <c r="G1825" s="381" t="s">
        <v>7152</v>
      </c>
      <c r="H1825" s="387">
        <v>55</v>
      </c>
      <c r="I1825" s="381">
        <v>42.8</v>
      </c>
      <c r="J1825" s="381">
        <v>42.8</v>
      </c>
      <c r="K1825" s="381">
        <v>5</v>
      </c>
      <c r="L1825" s="381">
        <v>0</v>
      </c>
      <c r="M1825" s="381" t="s">
        <v>148</v>
      </c>
      <c r="N1825" s="381" t="s">
        <v>149</v>
      </c>
      <c r="O1825" s="381" t="s">
        <v>150</v>
      </c>
      <c r="P1825" s="381" t="s">
        <v>151</v>
      </c>
      <c r="Q1825" s="381"/>
      <c r="R1825" s="381" t="s">
        <v>7466</v>
      </c>
      <c r="S1825" s="381"/>
      <c r="T1825" s="381" t="s">
        <v>3232</v>
      </c>
      <c r="U1825" s="381" t="s">
        <v>152</v>
      </c>
      <c r="V1825" s="381" t="s">
        <v>23</v>
      </c>
    </row>
    <row r="1826" spans="2:22">
      <c r="B1826" s="383">
        <v>46264</v>
      </c>
      <c r="C1826" s="383">
        <v>46264</v>
      </c>
      <c r="D1826" s="381" t="s">
        <v>7467</v>
      </c>
      <c r="E1826" s="382" t="s">
        <v>7468</v>
      </c>
      <c r="F1826" s="381" t="s">
        <v>87</v>
      </c>
      <c r="G1826" s="381" t="s">
        <v>2405</v>
      </c>
      <c r="H1826" s="387">
        <v>30</v>
      </c>
      <c r="I1826" s="381">
        <v>35.799999999999997</v>
      </c>
      <c r="J1826" s="381">
        <v>35.799999999999997</v>
      </c>
      <c r="K1826" s="381">
        <v>4</v>
      </c>
      <c r="L1826" s="381">
        <v>0</v>
      </c>
      <c r="M1826" s="381" t="s">
        <v>148</v>
      </c>
      <c r="N1826" s="381" t="s">
        <v>149</v>
      </c>
      <c r="O1826" s="381" t="s">
        <v>150</v>
      </c>
      <c r="P1826" s="381" t="s">
        <v>151</v>
      </c>
      <c r="Q1826" s="381"/>
      <c r="R1826" s="381" t="s">
        <v>7468</v>
      </c>
      <c r="S1826" s="381"/>
      <c r="T1826" s="381" t="s">
        <v>3232</v>
      </c>
      <c r="U1826" s="381" t="s">
        <v>152</v>
      </c>
      <c r="V1826" s="381" t="s">
        <v>23</v>
      </c>
    </row>
    <row r="1827" spans="2:22">
      <c r="B1827" s="383">
        <v>46264</v>
      </c>
      <c r="C1827" s="383">
        <v>46264</v>
      </c>
      <c r="D1827" s="381" t="s">
        <v>7469</v>
      </c>
      <c r="E1827" s="382" t="s">
        <v>7470</v>
      </c>
      <c r="F1827" s="381" t="s">
        <v>87</v>
      </c>
      <c r="G1827" s="381" t="s">
        <v>2405</v>
      </c>
      <c r="H1827" s="387">
        <v>30</v>
      </c>
      <c r="I1827" s="381">
        <v>40.799999999999997</v>
      </c>
      <c r="J1827" s="381">
        <v>40.799999999999997</v>
      </c>
      <c r="K1827" s="381">
        <v>4</v>
      </c>
      <c r="L1827" s="381">
        <v>0</v>
      </c>
      <c r="M1827" s="381" t="s">
        <v>148</v>
      </c>
      <c r="N1827" s="381" t="s">
        <v>149</v>
      </c>
      <c r="O1827" s="381" t="s">
        <v>150</v>
      </c>
      <c r="P1827" s="381" t="s">
        <v>151</v>
      </c>
      <c r="Q1827" s="381"/>
      <c r="R1827" s="381" t="s">
        <v>7470</v>
      </c>
      <c r="S1827" s="381"/>
      <c r="T1827" s="381" t="s">
        <v>3232</v>
      </c>
      <c r="U1827" s="381" t="s">
        <v>152</v>
      </c>
      <c r="V1827" s="381" t="s">
        <v>23</v>
      </c>
    </row>
    <row r="1828" spans="2:22">
      <c r="B1828" s="383">
        <v>46265</v>
      </c>
      <c r="C1828" s="383">
        <v>46265</v>
      </c>
      <c r="D1828" s="381" t="s">
        <v>7471</v>
      </c>
      <c r="E1828" s="382" t="s">
        <v>7472</v>
      </c>
      <c r="F1828" s="381" t="s">
        <v>87</v>
      </c>
      <c r="G1828" s="381" t="s">
        <v>2357</v>
      </c>
      <c r="H1828" s="387">
        <v>40</v>
      </c>
      <c r="I1828" s="381">
        <v>21.7</v>
      </c>
      <c r="J1828" s="381">
        <v>21.7</v>
      </c>
      <c r="K1828" s="381">
        <v>5</v>
      </c>
      <c r="L1828" s="381">
        <v>0</v>
      </c>
      <c r="M1828" s="381" t="s">
        <v>148</v>
      </c>
      <c r="N1828" s="381" t="s">
        <v>149</v>
      </c>
      <c r="O1828" s="381" t="s">
        <v>150</v>
      </c>
      <c r="P1828" s="381" t="s">
        <v>151</v>
      </c>
      <c r="Q1828" s="381"/>
      <c r="R1828" s="381" t="s">
        <v>7472</v>
      </c>
      <c r="S1828" s="381"/>
      <c r="T1828" s="381" t="s">
        <v>3243</v>
      </c>
      <c r="U1828" s="381" t="s">
        <v>152</v>
      </c>
      <c r="V1828" s="381" t="s">
        <v>23</v>
      </c>
    </row>
    <row r="1829" spans="2:22">
      <c r="B1829" s="383">
        <v>46265</v>
      </c>
      <c r="C1829" s="383">
        <v>46265</v>
      </c>
      <c r="D1829" s="381" t="s">
        <v>7473</v>
      </c>
      <c r="E1829" s="382" t="s">
        <v>7474</v>
      </c>
      <c r="F1829" s="381" t="s">
        <v>87</v>
      </c>
      <c r="G1829" s="381" t="s">
        <v>6008</v>
      </c>
      <c r="H1829" s="387">
        <v>30</v>
      </c>
      <c r="I1829" s="381">
        <v>44.3</v>
      </c>
      <c r="J1829" s="381">
        <v>44.3</v>
      </c>
      <c r="K1829" s="381">
        <v>4</v>
      </c>
      <c r="L1829" s="381">
        <v>0</v>
      </c>
      <c r="M1829" s="381" t="s">
        <v>148</v>
      </c>
      <c r="N1829" s="381" t="s">
        <v>149</v>
      </c>
      <c r="O1829" s="381" t="s">
        <v>150</v>
      </c>
      <c r="P1829" s="381" t="s">
        <v>151</v>
      </c>
      <c r="Q1829" s="381"/>
      <c r="R1829" s="381" t="s">
        <v>7474</v>
      </c>
      <c r="S1829" s="381"/>
      <c r="T1829" s="381" t="s">
        <v>3243</v>
      </c>
      <c r="U1829" s="381" t="s">
        <v>152</v>
      </c>
      <c r="V1829" s="381" t="s">
        <v>23</v>
      </c>
    </row>
    <row r="1830" spans="2:22">
      <c r="B1830" s="383">
        <v>46265</v>
      </c>
      <c r="C1830" s="383">
        <v>46265</v>
      </c>
      <c r="D1830" s="381" t="s">
        <v>7475</v>
      </c>
      <c r="E1830" s="382" t="s">
        <v>7476</v>
      </c>
      <c r="F1830" s="381" t="s">
        <v>87</v>
      </c>
      <c r="G1830" s="381" t="s">
        <v>2404</v>
      </c>
      <c r="H1830" s="387">
        <v>40</v>
      </c>
      <c r="I1830" s="381">
        <v>38.799999999999997</v>
      </c>
      <c r="J1830" s="381">
        <v>38.799999999999997</v>
      </c>
      <c r="K1830" s="381">
        <v>5</v>
      </c>
      <c r="L1830" s="381">
        <v>0</v>
      </c>
      <c r="M1830" s="381" t="s">
        <v>148</v>
      </c>
      <c r="N1830" s="381" t="s">
        <v>149</v>
      </c>
      <c r="O1830" s="381" t="s">
        <v>150</v>
      </c>
      <c r="P1830" s="381" t="s">
        <v>151</v>
      </c>
      <c r="Q1830" s="381"/>
      <c r="R1830" s="381" t="s">
        <v>7476</v>
      </c>
      <c r="S1830" s="381"/>
      <c r="T1830" s="381" t="s">
        <v>3243</v>
      </c>
      <c r="U1830" s="381" t="s">
        <v>152</v>
      </c>
      <c r="V1830" s="381" t="s">
        <v>23</v>
      </c>
    </row>
    <row r="1831" spans="2:22">
      <c r="B1831" s="383">
        <v>46265</v>
      </c>
      <c r="C1831" s="383">
        <v>46265</v>
      </c>
      <c r="D1831" s="381" t="s">
        <v>7477</v>
      </c>
      <c r="E1831" s="382" t="s">
        <v>7478</v>
      </c>
      <c r="F1831" s="381" t="s">
        <v>87</v>
      </c>
      <c r="G1831" s="381" t="s">
        <v>1678</v>
      </c>
      <c r="H1831" s="387">
        <v>30</v>
      </c>
      <c r="I1831" s="381">
        <v>33.299999999999997</v>
      </c>
      <c r="J1831" s="381">
        <v>33.299999999999997</v>
      </c>
      <c r="K1831" s="381">
        <v>4</v>
      </c>
      <c r="L1831" s="381">
        <v>0</v>
      </c>
      <c r="M1831" s="381" t="s">
        <v>148</v>
      </c>
      <c r="N1831" s="381" t="s">
        <v>149</v>
      </c>
      <c r="O1831" s="381" t="s">
        <v>150</v>
      </c>
      <c r="P1831" s="381" t="s">
        <v>151</v>
      </c>
      <c r="Q1831" s="381"/>
      <c r="R1831" s="381" t="s">
        <v>7478</v>
      </c>
      <c r="S1831" s="381"/>
      <c r="T1831" s="381" t="s">
        <v>3243</v>
      </c>
      <c r="U1831" s="381" t="s">
        <v>152</v>
      </c>
      <c r="V1831" s="381" t="s">
        <v>23</v>
      </c>
    </row>
    <row r="1832" spans="2:22">
      <c r="B1832" s="383">
        <v>46265</v>
      </c>
      <c r="C1832" s="383">
        <v>46265</v>
      </c>
      <c r="D1832" s="381" t="s">
        <v>7479</v>
      </c>
      <c r="E1832" s="382" t="s">
        <v>7480</v>
      </c>
      <c r="F1832" s="381" t="s">
        <v>87</v>
      </c>
      <c r="G1832" s="381" t="s">
        <v>2404</v>
      </c>
      <c r="H1832" s="387">
        <v>40</v>
      </c>
      <c r="I1832" s="381">
        <v>36.799999999999997</v>
      </c>
      <c r="J1832" s="381">
        <v>36.799999999999997</v>
      </c>
      <c r="K1832" s="381">
        <v>5</v>
      </c>
      <c r="L1832" s="381">
        <v>0</v>
      </c>
      <c r="M1832" s="381" t="s">
        <v>148</v>
      </c>
      <c r="N1832" s="381" t="s">
        <v>149</v>
      </c>
      <c r="O1832" s="381" t="s">
        <v>150</v>
      </c>
      <c r="P1832" s="381" t="s">
        <v>151</v>
      </c>
      <c r="Q1832" s="381"/>
      <c r="R1832" s="381" t="s">
        <v>7480</v>
      </c>
      <c r="S1832" s="381"/>
      <c r="T1832" s="381" t="s">
        <v>3243</v>
      </c>
      <c r="U1832" s="381" t="s">
        <v>152</v>
      </c>
      <c r="V1832" s="381" t="s">
        <v>23</v>
      </c>
    </row>
    <row r="1833" spans="2:22">
      <c r="B1833" s="383">
        <v>46265</v>
      </c>
      <c r="C1833" s="383">
        <v>46265</v>
      </c>
      <c r="D1833" s="381" t="s">
        <v>7481</v>
      </c>
      <c r="E1833" s="382" t="s">
        <v>7482</v>
      </c>
      <c r="F1833" s="381" t="s">
        <v>87</v>
      </c>
      <c r="G1833" s="381" t="s">
        <v>2405</v>
      </c>
      <c r="H1833" s="387">
        <v>30</v>
      </c>
      <c r="I1833" s="381">
        <v>37.799999999999997</v>
      </c>
      <c r="J1833" s="381">
        <v>37.799999999999997</v>
      </c>
      <c r="K1833" s="381">
        <v>4</v>
      </c>
      <c r="L1833" s="381">
        <v>0</v>
      </c>
      <c r="M1833" s="381" t="s">
        <v>148</v>
      </c>
      <c r="N1833" s="381" t="s">
        <v>149</v>
      </c>
      <c r="O1833" s="381" t="s">
        <v>150</v>
      </c>
      <c r="P1833" s="381" t="s">
        <v>151</v>
      </c>
      <c r="Q1833" s="381"/>
      <c r="R1833" s="381" t="s">
        <v>7482</v>
      </c>
      <c r="S1833" s="381"/>
      <c r="T1833" s="381" t="s">
        <v>3243</v>
      </c>
      <c r="U1833" s="381" t="s">
        <v>152</v>
      </c>
      <c r="V1833" s="381" t="s">
        <v>23</v>
      </c>
    </row>
    <row r="1834" spans="2:22">
      <c r="B1834" s="383">
        <v>46265</v>
      </c>
      <c r="C1834" s="383">
        <v>46265</v>
      </c>
      <c r="D1834" s="381" t="s">
        <v>7483</v>
      </c>
      <c r="E1834" s="382" t="s">
        <v>7484</v>
      </c>
      <c r="F1834" s="381" t="s">
        <v>87</v>
      </c>
      <c r="G1834" s="381" t="s">
        <v>6008</v>
      </c>
      <c r="H1834" s="387">
        <v>30</v>
      </c>
      <c r="I1834" s="381">
        <v>28.6</v>
      </c>
      <c r="J1834" s="381">
        <v>28.6</v>
      </c>
      <c r="K1834" s="381">
        <v>4</v>
      </c>
      <c r="L1834" s="381">
        <v>0</v>
      </c>
      <c r="M1834" s="381" t="s">
        <v>148</v>
      </c>
      <c r="N1834" s="381" t="s">
        <v>149</v>
      </c>
      <c r="O1834" s="381" t="s">
        <v>150</v>
      </c>
      <c r="P1834" s="381" t="s">
        <v>151</v>
      </c>
      <c r="Q1834" s="381"/>
      <c r="R1834" s="381" t="s">
        <v>7484</v>
      </c>
      <c r="S1834" s="381"/>
      <c r="T1834" s="381" t="s">
        <v>3243</v>
      </c>
      <c r="U1834" s="381" t="s">
        <v>152</v>
      </c>
      <c r="V1834" s="381" t="s">
        <v>23</v>
      </c>
    </row>
    <row r="1835" spans="2:22">
      <c r="B1835" s="383">
        <v>46265</v>
      </c>
      <c r="C1835" s="383">
        <v>46265</v>
      </c>
      <c r="D1835" s="381" t="s">
        <v>7485</v>
      </c>
      <c r="E1835" s="382" t="s">
        <v>7486</v>
      </c>
      <c r="F1835" s="381" t="s">
        <v>87</v>
      </c>
      <c r="G1835" s="381" t="s">
        <v>2358</v>
      </c>
      <c r="H1835" s="387">
        <v>30</v>
      </c>
      <c r="I1835" s="381">
        <v>34.200000000000003</v>
      </c>
      <c r="J1835" s="381">
        <v>34.200000000000003</v>
      </c>
      <c r="K1835" s="381">
        <v>4</v>
      </c>
      <c r="L1835" s="381">
        <v>0</v>
      </c>
      <c r="M1835" s="381" t="s">
        <v>148</v>
      </c>
      <c r="N1835" s="381" t="s">
        <v>149</v>
      </c>
      <c r="O1835" s="381" t="s">
        <v>150</v>
      </c>
      <c r="P1835" s="381" t="s">
        <v>151</v>
      </c>
      <c r="Q1835" s="381"/>
      <c r="R1835" s="381" t="s">
        <v>7486</v>
      </c>
      <c r="S1835" s="381"/>
      <c r="T1835" s="381" t="s">
        <v>3243</v>
      </c>
      <c r="U1835" s="381" t="s">
        <v>152</v>
      </c>
      <c r="V1835" s="381" t="s">
        <v>23</v>
      </c>
    </row>
    <row r="1836" spans="2:22">
      <c r="B1836" s="383">
        <v>46265</v>
      </c>
      <c r="C1836" s="383">
        <v>46265</v>
      </c>
      <c r="D1836" s="381" t="s">
        <v>7487</v>
      </c>
      <c r="E1836" s="382" t="s">
        <v>7488</v>
      </c>
      <c r="F1836" s="381" t="s">
        <v>87</v>
      </c>
      <c r="G1836" s="381" t="s">
        <v>2404</v>
      </c>
      <c r="H1836" s="387">
        <v>40</v>
      </c>
      <c r="I1836" s="381">
        <v>29.8</v>
      </c>
      <c r="J1836" s="381">
        <v>29.8</v>
      </c>
      <c r="K1836" s="381">
        <v>5</v>
      </c>
      <c r="L1836" s="381">
        <v>0</v>
      </c>
      <c r="M1836" s="381" t="s">
        <v>148</v>
      </c>
      <c r="N1836" s="381" t="s">
        <v>149</v>
      </c>
      <c r="O1836" s="381" t="s">
        <v>150</v>
      </c>
      <c r="P1836" s="381" t="s">
        <v>151</v>
      </c>
      <c r="Q1836" s="381"/>
      <c r="R1836" s="381" t="s">
        <v>7488</v>
      </c>
      <c r="S1836" s="381"/>
      <c r="T1836" s="381" t="s">
        <v>3243</v>
      </c>
      <c r="U1836" s="381" t="s">
        <v>152</v>
      </c>
      <c r="V1836" s="381" t="s">
        <v>23</v>
      </c>
    </row>
    <row r="1837" spans="2:22">
      <c r="B1837" s="383">
        <v>46265</v>
      </c>
      <c r="C1837" s="383">
        <v>46265</v>
      </c>
      <c r="D1837" s="381" t="s">
        <v>7489</v>
      </c>
      <c r="E1837" s="382" t="s">
        <v>7490</v>
      </c>
      <c r="F1837" s="381" t="s">
        <v>87</v>
      </c>
      <c r="G1837" s="381" t="s">
        <v>7352</v>
      </c>
      <c r="H1837" s="387">
        <v>6</v>
      </c>
      <c r="I1837" s="381">
        <v>5.8</v>
      </c>
      <c r="J1837" s="381">
        <v>5.8</v>
      </c>
      <c r="K1837" s="381">
        <v>1</v>
      </c>
      <c r="L1837" s="381">
        <v>0</v>
      </c>
      <c r="M1837" s="381" t="s">
        <v>148</v>
      </c>
      <c r="N1837" s="381" t="s">
        <v>149</v>
      </c>
      <c r="O1837" s="381" t="s">
        <v>150</v>
      </c>
      <c r="P1837" s="381" t="s">
        <v>151</v>
      </c>
      <c r="Q1837" s="381"/>
      <c r="R1837" s="381" t="s">
        <v>7490</v>
      </c>
      <c r="S1837" s="381"/>
      <c r="T1837" s="381" t="s">
        <v>3243</v>
      </c>
      <c r="U1837" s="381" t="s">
        <v>152</v>
      </c>
      <c r="V1837" s="381" t="s">
        <v>23</v>
      </c>
    </row>
    <row r="1838" spans="2:22">
      <c r="B1838" s="383">
        <v>46265</v>
      </c>
      <c r="C1838" s="383">
        <v>46265</v>
      </c>
      <c r="D1838" s="381" t="s">
        <v>7491</v>
      </c>
      <c r="E1838" s="382" t="s">
        <v>7492</v>
      </c>
      <c r="F1838" s="381" t="s">
        <v>87</v>
      </c>
      <c r="G1838" s="381" t="s">
        <v>6008</v>
      </c>
      <c r="H1838" s="387">
        <v>30</v>
      </c>
      <c r="I1838" s="381">
        <v>46.6</v>
      </c>
      <c r="J1838" s="381">
        <v>46.6</v>
      </c>
      <c r="K1838" s="381">
        <v>4</v>
      </c>
      <c r="L1838" s="381">
        <v>0</v>
      </c>
      <c r="M1838" s="381" t="s">
        <v>148</v>
      </c>
      <c r="N1838" s="381" t="s">
        <v>149</v>
      </c>
      <c r="O1838" s="381" t="s">
        <v>150</v>
      </c>
      <c r="P1838" s="381" t="s">
        <v>151</v>
      </c>
      <c r="Q1838" s="381"/>
      <c r="R1838" s="381" t="s">
        <v>7492</v>
      </c>
      <c r="S1838" s="381"/>
      <c r="T1838" s="381" t="s">
        <v>3243</v>
      </c>
      <c r="U1838" s="381" t="s">
        <v>152</v>
      </c>
      <c r="V1838" s="381" t="s">
        <v>23</v>
      </c>
    </row>
    <row r="1839" spans="2:22">
      <c r="B1839" s="383">
        <v>46265</v>
      </c>
      <c r="C1839" s="383">
        <v>46265</v>
      </c>
      <c r="D1839" s="381" t="s">
        <v>7493</v>
      </c>
      <c r="E1839" s="382" t="s">
        <v>7494</v>
      </c>
      <c r="F1839" s="381" t="s">
        <v>87</v>
      </c>
      <c r="G1839" s="381" t="s">
        <v>2404</v>
      </c>
      <c r="H1839" s="387">
        <v>40</v>
      </c>
      <c r="I1839" s="381">
        <v>10.4</v>
      </c>
      <c r="J1839" s="381">
        <v>10.4</v>
      </c>
      <c r="K1839" s="381">
        <v>5</v>
      </c>
      <c r="L1839" s="381">
        <v>0</v>
      </c>
      <c r="M1839" s="381" t="s">
        <v>148</v>
      </c>
      <c r="N1839" s="381" t="s">
        <v>149</v>
      </c>
      <c r="O1839" s="381" t="s">
        <v>150</v>
      </c>
      <c r="P1839" s="381" t="s">
        <v>151</v>
      </c>
      <c r="Q1839" s="381"/>
      <c r="R1839" s="381" t="s">
        <v>7494</v>
      </c>
      <c r="S1839" s="381"/>
      <c r="T1839" s="381" t="s">
        <v>3243</v>
      </c>
      <c r="U1839" s="381" t="s">
        <v>152</v>
      </c>
      <c r="V1839" s="381" t="s">
        <v>23</v>
      </c>
    </row>
    <row r="1840" spans="2:22">
      <c r="B1840" s="383">
        <v>46265</v>
      </c>
      <c r="C1840" s="383">
        <v>46265</v>
      </c>
      <c r="D1840" s="381" t="s">
        <v>7495</v>
      </c>
      <c r="E1840" s="382" t="s">
        <v>7496</v>
      </c>
      <c r="F1840" s="381" t="s">
        <v>87</v>
      </c>
      <c r="G1840" s="381" t="s">
        <v>5097</v>
      </c>
      <c r="H1840" s="387">
        <v>25</v>
      </c>
      <c r="I1840" s="381">
        <v>29.8</v>
      </c>
      <c r="J1840" s="381">
        <v>29.8</v>
      </c>
      <c r="K1840" s="381">
        <v>4</v>
      </c>
      <c r="L1840" s="381">
        <v>0</v>
      </c>
      <c r="M1840" s="381" t="s">
        <v>148</v>
      </c>
      <c r="N1840" s="381" t="s">
        <v>149</v>
      </c>
      <c r="O1840" s="381" t="s">
        <v>150</v>
      </c>
      <c r="P1840" s="381" t="s">
        <v>151</v>
      </c>
      <c r="Q1840" s="381"/>
      <c r="R1840" s="381" t="s">
        <v>7496</v>
      </c>
      <c r="S1840" s="381"/>
      <c r="T1840" s="381" t="s">
        <v>3243</v>
      </c>
      <c r="U1840" s="381" t="s">
        <v>152</v>
      </c>
      <c r="V1840" s="381" t="s">
        <v>23</v>
      </c>
    </row>
    <row r="1841" spans="2:22">
      <c r="B1841" s="383">
        <v>46265</v>
      </c>
      <c r="C1841" s="383">
        <v>46265</v>
      </c>
      <c r="D1841" s="381" t="s">
        <v>7497</v>
      </c>
      <c r="E1841" s="382" t="s">
        <v>7498</v>
      </c>
      <c r="F1841" s="381" t="s">
        <v>87</v>
      </c>
      <c r="G1841" s="381" t="s">
        <v>2515</v>
      </c>
      <c r="H1841" s="387">
        <v>50</v>
      </c>
      <c r="I1841" s="381">
        <v>34.799999999999997</v>
      </c>
      <c r="J1841" s="381">
        <v>34.799999999999997</v>
      </c>
      <c r="K1841" s="381">
        <v>5</v>
      </c>
      <c r="L1841" s="381">
        <v>0</v>
      </c>
      <c r="M1841" s="381" t="s">
        <v>148</v>
      </c>
      <c r="N1841" s="381" t="s">
        <v>149</v>
      </c>
      <c r="O1841" s="381" t="s">
        <v>150</v>
      </c>
      <c r="P1841" s="381" t="s">
        <v>151</v>
      </c>
      <c r="Q1841" s="381"/>
      <c r="R1841" s="381" t="s">
        <v>7498</v>
      </c>
      <c r="S1841" s="381"/>
      <c r="T1841" s="381" t="s">
        <v>3243</v>
      </c>
      <c r="U1841" s="381" t="s">
        <v>152</v>
      </c>
      <c r="V1841" s="381" t="s">
        <v>23</v>
      </c>
    </row>
    <row r="1842" spans="2:22">
      <c r="B1842" s="383">
        <v>46265</v>
      </c>
      <c r="C1842" s="383">
        <v>46265</v>
      </c>
      <c r="D1842" s="381" t="s">
        <v>7499</v>
      </c>
      <c r="E1842" s="382" t="s">
        <v>7500</v>
      </c>
      <c r="F1842" s="381" t="s">
        <v>87</v>
      </c>
      <c r="G1842" s="381" t="s">
        <v>2404</v>
      </c>
      <c r="H1842" s="387">
        <v>40</v>
      </c>
      <c r="I1842" s="381">
        <v>22.8</v>
      </c>
      <c r="J1842" s="381">
        <v>22.8</v>
      </c>
      <c r="K1842" s="381">
        <v>5</v>
      </c>
      <c r="L1842" s="381">
        <v>0</v>
      </c>
      <c r="M1842" s="381" t="s">
        <v>148</v>
      </c>
      <c r="N1842" s="381" t="s">
        <v>149</v>
      </c>
      <c r="O1842" s="381" t="s">
        <v>150</v>
      </c>
      <c r="P1842" s="381" t="s">
        <v>151</v>
      </c>
      <c r="Q1842" s="381"/>
      <c r="R1842" s="381" t="s">
        <v>7500</v>
      </c>
      <c r="S1842" s="381"/>
      <c r="T1842" s="381" t="s">
        <v>3243</v>
      </c>
      <c r="U1842" s="381" t="s">
        <v>152</v>
      </c>
      <c r="V1842" s="381" t="s">
        <v>23</v>
      </c>
    </row>
    <row r="1843" spans="2:22">
      <c r="B1843" s="383">
        <v>46265</v>
      </c>
      <c r="C1843" s="383">
        <v>46265</v>
      </c>
      <c r="D1843" s="381" t="s">
        <v>7501</v>
      </c>
      <c r="E1843" s="382" t="s">
        <v>7502</v>
      </c>
      <c r="F1843" s="381" t="s">
        <v>87</v>
      </c>
      <c r="G1843" s="381" t="s">
        <v>6008</v>
      </c>
      <c r="H1843" s="387">
        <v>30</v>
      </c>
      <c r="I1843" s="381">
        <v>27.8</v>
      </c>
      <c r="J1843" s="381">
        <v>27.8</v>
      </c>
      <c r="K1843" s="381">
        <v>4</v>
      </c>
      <c r="L1843" s="381">
        <v>0</v>
      </c>
      <c r="M1843" s="381" t="s">
        <v>148</v>
      </c>
      <c r="N1843" s="381" t="s">
        <v>149</v>
      </c>
      <c r="O1843" s="381" t="s">
        <v>150</v>
      </c>
      <c r="P1843" s="381" t="s">
        <v>151</v>
      </c>
      <c r="Q1843" s="381"/>
      <c r="R1843" s="381" t="s">
        <v>7502</v>
      </c>
      <c r="S1843" s="381"/>
      <c r="T1843" s="381" t="s">
        <v>3243</v>
      </c>
      <c r="U1843" s="381" t="s">
        <v>152</v>
      </c>
      <c r="V1843" s="381" t="s">
        <v>23</v>
      </c>
    </row>
    <row r="1844" spans="2:22">
      <c r="B1844" s="383">
        <v>46265</v>
      </c>
      <c r="C1844" s="383">
        <v>46265</v>
      </c>
      <c r="D1844" s="381" t="s">
        <v>7503</v>
      </c>
      <c r="E1844" s="382" t="s">
        <v>7504</v>
      </c>
      <c r="F1844" s="381" t="s">
        <v>87</v>
      </c>
      <c r="G1844" s="381" t="s">
        <v>2404</v>
      </c>
      <c r="H1844" s="387">
        <v>40</v>
      </c>
      <c r="I1844" s="381">
        <v>36.4</v>
      </c>
      <c r="J1844" s="381">
        <v>36.4</v>
      </c>
      <c r="K1844" s="381">
        <v>5</v>
      </c>
      <c r="L1844" s="381">
        <v>0</v>
      </c>
      <c r="M1844" s="381" t="s">
        <v>148</v>
      </c>
      <c r="N1844" s="381" t="s">
        <v>149</v>
      </c>
      <c r="O1844" s="381" t="s">
        <v>150</v>
      </c>
      <c r="P1844" s="381" t="s">
        <v>151</v>
      </c>
      <c r="Q1844" s="381"/>
      <c r="R1844" s="381" t="s">
        <v>7504</v>
      </c>
      <c r="S1844" s="381"/>
      <c r="T1844" s="381" t="s">
        <v>3243</v>
      </c>
      <c r="U1844" s="381" t="s">
        <v>152</v>
      </c>
      <c r="V1844" s="381" t="s">
        <v>23</v>
      </c>
    </row>
    <row r="1845" spans="2:22">
      <c r="B1845" s="383">
        <v>46265</v>
      </c>
      <c r="C1845" s="383">
        <v>46265</v>
      </c>
      <c r="D1845" s="381" t="s">
        <v>7505</v>
      </c>
      <c r="E1845" s="382" t="s">
        <v>7506</v>
      </c>
      <c r="F1845" s="381" t="s">
        <v>87</v>
      </c>
      <c r="G1845" s="381" t="s">
        <v>2405</v>
      </c>
      <c r="H1845" s="387">
        <v>30</v>
      </c>
      <c r="I1845" s="381">
        <v>25.4</v>
      </c>
      <c r="J1845" s="381">
        <v>25.4</v>
      </c>
      <c r="K1845" s="381">
        <v>4</v>
      </c>
      <c r="L1845" s="381">
        <v>0</v>
      </c>
      <c r="M1845" s="381" t="s">
        <v>148</v>
      </c>
      <c r="N1845" s="381" t="s">
        <v>149</v>
      </c>
      <c r="O1845" s="381" t="s">
        <v>150</v>
      </c>
      <c r="P1845" s="381" t="s">
        <v>151</v>
      </c>
      <c r="Q1845" s="381"/>
      <c r="R1845" s="381" t="s">
        <v>7506</v>
      </c>
      <c r="S1845" s="381"/>
      <c r="T1845" s="381" t="s">
        <v>3243</v>
      </c>
      <c r="U1845" s="381" t="s">
        <v>152</v>
      </c>
      <c r="V1845" s="381" t="s">
        <v>23</v>
      </c>
    </row>
    <row r="1846" spans="2:22">
      <c r="B1846" s="383">
        <v>46265</v>
      </c>
      <c r="C1846" s="383">
        <v>46265</v>
      </c>
      <c r="D1846" s="381" t="s">
        <v>7507</v>
      </c>
      <c r="E1846" s="382" t="s">
        <v>7508</v>
      </c>
      <c r="F1846" s="381" t="s">
        <v>87</v>
      </c>
      <c r="G1846" s="381" t="s">
        <v>5097</v>
      </c>
      <c r="H1846" s="387">
        <v>25</v>
      </c>
      <c r="I1846" s="381">
        <v>36.6</v>
      </c>
      <c r="J1846" s="381">
        <v>36.6</v>
      </c>
      <c r="K1846" s="381">
        <v>4</v>
      </c>
      <c r="L1846" s="381">
        <v>0</v>
      </c>
      <c r="M1846" s="381" t="s">
        <v>148</v>
      </c>
      <c r="N1846" s="381" t="s">
        <v>149</v>
      </c>
      <c r="O1846" s="381" t="s">
        <v>150</v>
      </c>
      <c r="P1846" s="381" t="s">
        <v>151</v>
      </c>
      <c r="Q1846" s="381"/>
      <c r="R1846" s="381" t="s">
        <v>7508</v>
      </c>
      <c r="S1846" s="381"/>
      <c r="T1846" s="381" t="s">
        <v>3243</v>
      </c>
      <c r="U1846" s="381" t="s">
        <v>152</v>
      </c>
      <c r="V1846" s="381" t="s">
        <v>23</v>
      </c>
    </row>
    <row r="1847" spans="2:22">
      <c r="B1847" s="383">
        <v>46265</v>
      </c>
      <c r="C1847" s="383">
        <v>46265</v>
      </c>
      <c r="D1847" s="381" t="s">
        <v>7509</v>
      </c>
      <c r="E1847" s="382" t="s">
        <v>7510</v>
      </c>
      <c r="F1847" s="381" t="s">
        <v>87</v>
      </c>
      <c r="G1847" s="381" t="s">
        <v>5097</v>
      </c>
      <c r="H1847" s="387">
        <v>25</v>
      </c>
      <c r="I1847" s="381">
        <v>37.799999999999997</v>
      </c>
      <c r="J1847" s="381">
        <v>37.799999999999997</v>
      </c>
      <c r="K1847" s="381">
        <v>4</v>
      </c>
      <c r="L1847" s="381">
        <v>0</v>
      </c>
      <c r="M1847" s="381" t="s">
        <v>148</v>
      </c>
      <c r="N1847" s="381" t="s">
        <v>149</v>
      </c>
      <c r="O1847" s="381" t="s">
        <v>150</v>
      </c>
      <c r="P1847" s="381" t="s">
        <v>151</v>
      </c>
      <c r="Q1847" s="381"/>
      <c r="R1847" s="381" t="s">
        <v>7510</v>
      </c>
      <c r="S1847" s="381"/>
      <c r="T1847" s="381" t="s">
        <v>3243</v>
      </c>
      <c r="U1847" s="381" t="s">
        <v>152</v>
      </c>
      <c r="V1847" s="381" t="s">
        <v>23</v>
      </c>
    </row>
    <row r="1848" spans="2:22">
      <c r="B1848" s="383">
        <v>46265</v>
      </c>
      <c r="C1848" s="383">
        <v>46265</v>
      </c>
      <c r="D1848" s="381" t="s">
        <v>7511</v>
      </c>
      <c r="E1848" s="382" t="s">
        <v>7512</v>
      </c>
      <c r="F1848" s="381" t="s">
        <v>87</v>
      </c>
      <c r="G1848" s="381" t="s">
        <v>7152</v>
      </c>
      <c r="H1848" s="387">
        <v>55</v>
      </c>
      <c r="I1848" s="381">
        <v>28</v>
      </c>
      <c r="J1848" s="381">
        <v>28</v>
      </c>
      <c r="K1848" s="381">
        <v>5</v>
      </c>
      <c r="L1848" s="381">
        <v>0</v>
      </c>
      <c r="M1848" s="381" t="s">
        <v>148</v>
      </c>
      <c r="N1848" s="381" t="s">
        <v>149</v>
      </c>
      <c r="O1848" s="381" t="s">
        <v>150</v>
      </c>
      <c r="P1848" s="381" t="s">
        <v>151</v>
      </c>
      <c r="Q1848" s="381"/>
      <c r="R1848" s="381" t="s">
        <v>7512</v>
      </c>
      <c r="S1848" s="381"/>
      <c r="T1848" s="381" t="s">
        <v>3243</v>
      </c>
      <c r="U1848" s="381" t="s">
        <v>152</v>
      </c>
      <c r="V1848" s="381" t="s">
        <v>23</v>
      </c>
    </row>
    <row r="1849" spans="2:22">
      <c r="B1849" s="383">
        <v>46265</v>
      </c>
      <c r="C1849" s="383">
        <v>46265</v>
      </c>
      <c r="D1849" s="381" t="s">
        <v>7513</v>
      </c>
      <c r="E1849" s="382" t="s">
        <v>7514</v>
      </c>
      <c r="F1849" s="381" t="s">
        <v>87</v>
      </c>
      <c r="G1849" s="381" t="s">
        <v>2357</v>
      </c>
      <c r="H1849" s="387">
        <v>40</v>
      </c>
      <c r="I1849" s="381">
        <v>38.799999999999997</v>
      </c>
      <c r="J1849" s="381">
        <v>38.799999999999997</v>
      </c>
      <c r="K1849" s="381">
        <v>5</v>
      </c>
      <c r="L1849" s="381">
        <v>0</v>
      </c>
      <c r="M1849" s="381" t="s">
        <v>148</v>
      </c>
      <c r="N1849" s="381" t="s">
        <v>149</v>
      </c>
      <c r="O1849" s="381" t="s">
        <v>150</v>
      </c>
      <c r="P1849" s="381" t="s">
        <v>151</v>
      </c>
      <c r="Q1849" s="381"/>
      <c r="R1849" s="381" t="s">
        <v>7514</v>
      </c>
      <c r="S1849" s="381"/>
      <c r="T1849" s="381" t="s">
        <v>3243</v>
      </c>
      <c r="U1849" s="381" t="s">
        <v>152</v>
      </c>
      <c r="V1849" s="381" t="s">
        <v>23</v>
      </c>
    </row>
    <row r="1850" spans="2:22">
      <c r="B1850" s="383">
        <v>46265</v>
      </c>
      <c r="C1850" s="383">
        <v>46265</v>
      </c>
      <c r="D1850" s="381" t="s">
        <v>7515</v>
      </c>
      <c r="E1850" s="382" t="s">
        <v>7516</v>
      </c>
      <c r="F1850" s="381" t="s">
        <v>87</v>
      </c>
      <c r="G1850" s="381" t="s">
        <v>2405</v>
      </c>
      <c r="H1850" s="387">
        <v>30</v>
      </c>
      <c r="I1850" s="381">
        <v>37.799999999999997</v>
      </c>
      <c r="J1850" s="381">
        <v>37.799999999999997</v>
      </c>
      <c r="K1850" s="381">
        <v>4</v>
      </c>
      <c r="L1850" s="381">
        <v>0</v>
      </c>
      <c r="M1850" s="381" t="s">
        <v>148</v>
      </c>
      <c r="N1850" s="381" t="s">
        <v>149</v>
      </c>
      <c r="O1850" s="381" t="s">
        <v>150</v>
      </c>
      <c r="P1850" s="381" t="s">
        <v>151</v>
      </c>
      <c r="Q1850" s="381"/>
      <c r="R1850" s="381" t="s">
        <v>7516</v>
      </c>
      <c r="S1850" s="381"/>
      <c r="T1850" s="381" t="s">
        <v>3243</v>
      </c>
      <c r="U1850" s="381" t="s">
        <v>152</v>
      </c>
      <c r="V1850" s="381" t="s">
        <v>23</v>
      </c>
    </row>
    <row r="1851" spans="2:22">
      <c r="B1851" s="383">
        <v>46265</v>
      </c>
      <c r="C1851" s="383">
        <v>46265</v>
      </c>
      <c r="D1851" s="381" t="s">
        <v>7517</v>
      </c>
      <c r="E1851" s="382" t="s">
        <v>7518</v>
      </c>
      <c r="F1851" s="381" t="s">
        <v>87</v>
      </c>
      <c r="G1851" s="381" t="s">
        <v>2357</v>
      </c>
      <c r="H1851" s="387">
        <v>40</v>
      </c>
      <c r="I1851" s="381">
        <v>35.200000000000003</v>
      </c>
      <c r="J1851" s="381">
        <v>35.200000000000003</v>
      </c>
      <c r="K1851" s="381">
        <v>5</v>
      </c>
      <c r="L1851" s="381">
        <v>0</v>
      </c>
      <c r="M1851" s="381" t="s">
        <v>148</v>
      </c>
      <c r="N1851" s="381" t="s">
        <v>149</v>
      </c>
      <c r="O1851" s="381" t="s">
        <v>150</v>
      </c>
      <c r="P1851" s="381" t="s">
        <v>151</v>
      </c>
      <c r="Q1851" s="381"/>
      <c r="R1851" s="381" t="s">
        <v>7518</v>
      </c>
      <c r="S1851" s="381"/>
      <c r="T1851" s="381" t="s">
        <v>3243</v>
      </c>
      <c r="U1851" s="381" t="s">
        <v>152</v>
      </c>
      <c r="V1851" s="381" t="s">
        <v>23</v>
      </c>
    </row>
    <row r="1852" spans="2:22">
      <c r="B1852" s="383">
        <v>46265</v>
      </c>
      <c r="C1852" s="383">
        <v>46265</v>
      </c>
      <c r="D1852" s="381" t="s">
        <v>7519</v>
      </c>
      <c r="E1852" s="382" t="s">
        <v>7520</v>
      </c>
      <c r="F1852" s="381" t="s">
        <v>87</v>
      </c>
      <c r="G1852" s="381" t="s">
        <v>2405</v>
      </c>
      <c r="H1852" s="387">
        <v>30</v>
      </c>
      <c r="I1852" s="381">
        <v>31.2</v>
      </c>
      <c r="J1852" s="381">
        <v>31.2</v>
      </c>
      <c r="K1852" s="381">
        <v>4</v>
      </c>
      <c r="L1852" s="381">
        <v>0</v>
      </c>
      <c r="M1852" s="381" t="s">
        <v>148</v>
      </c>
      <c r="N1852" s="381" t="s">
        <v>149</v>
      </c>
      <c r="O1852" s="381" t="s">
        <v>150</v>
      </c>
      <c r="P1852" s="381" t="s">
        <v>151</v>
      </c>
      <c r="Q1852" s="381"/>
      <c r="R1852" s="381" t="s">
        <v>7520</v>
      </c>
      <c r="S1852" s="381"/>
      <c r="T1852" s="381" t="s">
        <v>3243</v>
      </c>
      <c r="U1852" s="381" t="s">
        <v>152</v>
      </c>
      <c r="V1852" s="381" t="s">
        <v>23</v>
      </c>
    </row>
    <row r="1853" spans="2:22">
      <c r="B1853" s="383">
        <v>46265</v>
      </c>
      <c r="C1853" s="383">
        <v>46265</v>
      </c>
      <c r="D1853" s="381" t="s">
        <v>7521</v>
      </c>
      <c r="E1853" s="382" t="s">
        <v>7522</v>
      </c>
      <c r="F1853" s="381" t="s">
        <v>87</v>
      </c>
      <c r="G1853" s="381" t="s">
        <v>6008</v>
      </c>
      <c r="H1853" s="387">
        <v>30</v>
      </c>
      <c r="I1853" s="381">
        <v>47.3</v>
      </c>
      <c r="J1853" s="381">
        <v>47.3</v>
      </c>
      <c r="K1853" s="381">
        <v>4</v>
      </c>
      <c r="L1853" s="381">
        <v>0</v>
      </c>
      <c r="M1853" s="381" t="s">
        <v>148</v>
      </c>
      <c r="N1853" s="381" t="s">
        <v>149</v>
      </c>
      <c r="O1853" s="381" t="s">
        <v>150</v>
      </c>
      <c r="P1853" s="381" t="s">
        <v>151</v>
      </c>
      <c r="Q1853" s="381"/>
      <c r="R1853" s="381" t="s">
        <v>7522</v>
      </c>
      <c r="S1853" s="381"/>
      <c r="T1853" s="381" t="s">
        <v>3243</v>
      </c>
      <c r="U1853" s="381" t="s">
        <v>152</v>
      </c>
      <c r="V1853" s="381" t="s">
        <v>23</v>
      </c>
    </row>
    <row r="1854" spans="2:22">
      <c r="B1854" s="383">
        <v>46265</v>
      </c>
      <c r="C1854" s="383">
        <v>46265</v>
      </c>
      <c r="D1854" s="381" t="s">
        <v>7523</v>
      </c>
      <c r="E1854" s="382" t="s">
        <v>7524</v>
      </c>
      <c r="F1854" s="381" t="s">
        <v>87</v>
      </c>
      <c r="G1854" s="381" t="s">
        <v>6008</v>
      </c>
      <c r="H1854" s="387">
        <v>30</v>
      </c>
      <c r="I1854" s="381">
        <v>41.2</v>
      </c>
      <c r="J1854" s="381">
        <v>41.2</v>
      </c>
      <c r="K1854" s="381">
        <v>4</v>
      </c>
      <c r="L1854" s="381">
        <v>0</v>
      </c>
      <c r="M1854" s="381" t="s">
        <v>148</v>
      </c>
      <c r="N1854" s="381" t="s">
        <v>149</v>
      </c>
      <c r="O1854" s="381" t="s">
        <v>150</v>
      </c>
      <c r="P1854" s="381" t="s">
        <v>151</v>
      </c>
      <c r="Q1854" s="381"/>
      <c r="R1854" s="381" t="s">
        <v>7524</v>
      </c>
      <c r="S1854" s="381"/>
      <c r="T1854" s="381" t="s">
        <v>3243</v>
      </c>
      <c r="U1854" s="381" t="s">
        <v>152</v>
      </c>
      <c r="V1854" s="381" t="s">
        <v>23</v>
      </c>
    </row>
    <row r="1855" spans="2:22">
      <c r="B1855" s="383">
        <v>46265</v>
      </c>
      <c r="C1855" s="383">
        <v>46265</v>
      </c>
      <c r="D1855" s="381" t="s">
        <v>7525</v>
      </c>
      <c r="E1855" s="382" t="s">
        <v>7526</v>
      </c>
      <c r="F1855" s="381" t="s">
        <v>87</v>
      </c>
      <c r="G1855" s="381" t="s">
        <v>5097</v>
      </c>
      <c r="H1855" s="387">
        <v>25</v>
      </c>
      <c r="I1855" s="381">
        <v>20.3</v>
      </c>
      <c r="J1855" s="381">
        <v>20.3</v>
      </c>
      <c r="K1855" s="381">
        <v>4</v>
      </c>
      <c r="L1855" s="381">
        <v>0</v>
      </c>
      <c r="M1855" s="381" t="s">
        <v>148</v>
      </c>
      <c r="N1855" s="381" t="s">
        <v>149</v>
      </c>
      <c r="O1855" s="381" t="s">
        <v>150</v>
      </c>
      <c r="P1855" s="381" t="s">
        <v>151</v>
      </c>
      <c r="Q1855" s="381"/>
      <c r="R1855" s="381" t="s">
        <v>7526</v>
      </c>
      <c r="S1855" s="381"/>
      <c r="T1855" s="381" t="s">
        <v>3243</v>
      </c>
      <c r="U1855" s="381" t="s">
        <v>152</v>
      </c>
      <c r="V1855" s="381" t="s">
        <v>23</v>
      </c>
    </row>
    <row r="1856" spans="2:22">
      <c r="B1856" s="383">
        <v>46265</v>
      </c>
      <c r="C1856" s="383">
        <v>46265</v>
      </c>
      <c r="D1856" s="381" t="s">
        <v>7527</v>
      </c>
      <c r="E1856" s="382" t="s">
        <v>7528</v>
      </c>
      <c r="F1856" s="381" t="s">
        <v>87</v>
      </c>
      <c r="G1856" s="381" t="s">
        <v>1678</v>
      </c>
      <c r="H1856" s="387">
        <v>30</v>
      </c>
      <c r="I1856" s="381">
        <v>34.299999999999997</v>
      </c>
      <c r="J1856" s="381">
        <v>34.299999999999997</v>
      </c>
      <c r="K1856" s="381">
        <v>4</v>
      </c>
      <c r="L1856" s="381">
        <v>0</v>
      </c>
      <c r="M1856" s="381" t="s">
        <v>148</v>
      </c>
      <c r="N1856" s="381" t="s">
        <v>149</v>
      </c>
      <c r="O1856" s="381" t="s">
        <v>150</v>
      </c>
      <c r="P1856" s="381" t="s">
        <v>151</v>
      </c>
      <c r="Q1856" s="381"/>
      <c r="R1856" s="381" t="s">
        <v>7528</v>
      </c>
      <c r="S1856" s="381"/>
      <c r="T1856" s="381" t="s">
        <v>3243</v>
      </c>
      <c r="U1856" s="381" t="s">
        <v>152</v>
      </c>
      <c r="V1856" s="381" t="s">
        <v>23</v>
      </c>
    </row>
    <row r="1857" spans="2:22">
      <c r="B1857" s="383">
        <v>46265</v>
      </c>
      <c r="C1857" s="383">
        <v>46265</v>
      </c>
      <c r="D1857" s="381" t="s">
        <v>7529</v>
      </c>
      <c r="E1857" s="382" t="s">
        <v>7530</v>
      </c>
      <c r="F1857" s="381" t="s">
        <v>87</v>
      </c>
      <c r="G1857" s="381" t="s">
        <v>2358</v>
      </c>
      <c r="H1857" s="387">
        <v>30</v>
      </c>
      <c r="I1857" s="381">
        <v>18.399999999999999</v>
      </c>
      <c r="J1857" s="381">
        <v>18.399999999999999</v>
      </c>
      <c r="K1857" s="381">
        <v>4</v>
      </c>
      <c r="L1857" s="381">
        <v>0</v>
      </c>
      <c r="M1857" s="381" t="s">
        <v>148</v>
      </c>
      <c r="N1857" s="381" t="s">
        <v>149</v>
      </c>
      <c r="O1857" s="381" t="s">
        <v>150</v>
      </c>
      <c r="P1857" s="381" t="s">
        <v>151</v>
      </c>
      <c r="Q1857" s="381"/>
      <c r="R1857" s="381" t="s">
        <v>7530</v>
      </c>
      <c r="S1857" s="381"/>
      <c r="T1857" s="381" t="s">
        <v>3243</v>
      </c>
      <c r="U1857" s="381" t="s">
        <v>152</v>
      </c>
      <c r="V1857" s="381" t="s">
        <v>23</v>
      </c>
    </row>
    <row r="1858" spans="2:22">
      <c r="B1858" s="383">
        <v>46265</v>
      </c>
      <c r="C1858" s="383">
        <v>46265</v>
      </c>
      <c r="D1858" s="381" t="s">
        <v>7531</v>
      </c>
      <c r="E1858" s="382" t="s">
        <v>7532</v>
      </c>
      <c r="F1858" s="381" t="s">
        <v>87</v>
      </c>
      <c r="G1858" s="381" t="s">
        <v>2515</v>
      </c>
      <c r="H1858" s="387">
        <v>50</v>
      </c>
      <c r="I1858" s="381">
        <v>40.200000000000003</v>
      </c>
      <c r="J1858" s="381">
        <v>40.200000000000003</v>
      </c>
      <c r="K1858" s="381">
        <v>5</v>
      </c>
      <c r="L1858" s="381">
        <v>0</v>
      </c>
      <c r="M1858" s="381" t="s">
        <v>148</v>
      </c>
      <c r="N1858" s="381" t="s">
        <v>149</v>
      </c>
      <c r="O1858" s="381" t="s">
        <v>150</v>
      </c>
      <c r="P1858" s="381" t="s">
        <v>151</v>
      </c>
      <c r="Q1858" s="381"/>
      <c r="R1858" s="381" t="s">
        <v>7532</v>
      </c>
      <c r="S1858" s="381"/>
      <c r="T1858" s="381" t="s">
        <v>3243</v>
      </c>
      <c r="U1858" s="381" t="s">
        <v>152</v>
      </c>
      <c r="V1858" s="381" t="s">
        <v>23</v>
      </c>
    </row>
    <row r="1859" spans="2:22">
      <c r="B1859" s="383">
        <v>46265</v>
      </c>
      <c r="C1859" s="383">
        <v>46265</v>
      </c>
      <c r="D1859" s="381" t="s">
        <v>7533</v>
      </c>
      <c r="E1859" s="382" t="s">
        <v>7534</v>
      </c>
      <c r="F1859" s="381" t="s">
        <v>87</v>
      </c>
      <c r="G1859" s="381" t="s">
        <v>2515</v>
      </c>
      <c r="H1859" s="387">
        <v>50</v>
      </c>
      <c r="I1859" s="381">
        <v>38.700000000000003</v>
      </c>
      <c r="J1859" s="381">
        <v>38.700000000000003</v>
      </c>
      <c r="K1859" s="381">
        <v>5</v>
      </c>
      <c r="L1859" s="381">
        <v>0</v>
      </c>
      <c r="M1859" s="381" t="s">
        <v>148</v>
      </c>
      <c r="N1859" s="381" t="s">
        <v>149</v>
      </c>
      <c r="O1859" s="381" t="s">
        <v>150</v>
      </c>
      <c r="P1859" s="381" t="s">
        <v>151</v>
      </c>
      <c r="Q1859" s="381"/>
      <c r="R1859" s="381" t="s">
        <v>7534</v>
      </c>
      <c r="S1859" s="381"/>
      <c r="T1859" s="381" t="s">
        <v>3243</v>
      </c>
      <c r="U1859" s="381" t="s">
        <v>152</v>
      </c>
      <c r="V1859" s="381" t="s">
        <v>23</v>
      </c>
    </row>
    <row r="1860" spans="2:22">
      <c r="B1860" s="383">
        <v>46265</v>
      </c>
      <c r="C1860" s="383">
        <v>46265</v>
      </c>
      <c r="D1860" s="381" t="s">
        <v>7535</v>
      </c>
      <c r="E1860" s="382" t="s">
        <v>7536</v>
      </c>
      <c r="F1860" s="381" t="s">
        <v>87</v>
      </c>
      <c r="G1860" s="381" t="s">
        <v>2404</v>
      </c>
      <c r="H1860" s="387">
        <v>40</v>
      </c>
      <c r="I1860" s="381">
        <v>24.8</v>
      </c>
      <c r="J1860" s="381">
        <v>24.8</v>
      </c>
      <c r="K1860" s="381">
        <v>5</v>
      </c>
      <c r="L1860" s="381">
        <v>0</v>
      </c>
      <c r="M1860" s="381" t="s">
        <v>148</v>
      </c>
      <c r="N1860" s="381" t="s">
        <v>149</v>
      </c>
      <c r="O1860" s="381" t="s">
        <v>150</v>
      </c>
      <c r="P1860" s="381" t="s">
        <v>151</v>
      </c>
      <c r="Q1860" s="381"/>
      <c r="R1860" s="381" t="s">
        <v>7536</v>
      </c>
      <c r="S1860" s="381"/>
      <c r="T1860" s="381" t="s">
        <v>3243</v>
      </c>
      <c r="U1860" s="381" t="s">
        <v>152</v>
      </c>
      <c r="V1860" s="381" t="s">
        <v>23</v>
      </c>
    </row>
    <row r="1861" spans="2:22">
      <c r="B1861" s="383">
        <v>46265</v>
      </c>
      <c r="C1861" s="383">
        <v>46265</v>
      </c>
      <c r="D1861" s="381" t="s">
        <v>7537</v>
      </c>
      <c r="E1861" s="382" t="s">
        <v>7538</v>
      </c>
      <c r="F1861" s="381" t="s">
        <v>87</v>
      </c>
      <c r="G1861" s="381" t="s">
        <v>7018</v>
      </c>
      <c r="H1861" s="387">
        <v>6</v>
      </c>
      <c r="I1861" s="381">
        <v>14.2</v>
      </c>
      <c r="J1861" s="381">
        <v>14.2</v>
      </c>
      <c r="K1861" s="381">
        <v>1</v>
      </c>
      <c r="L1861" s="381">
        <v>0</v>
      </c>
      <c r="M1861" s="381" t="s">
        <v>148</v>
      </c>
      <c r="N1861" s="381" t="s">
        <v>149</v>
      </c>
      <c r="O1861" s="381" t="s">
        <v>150</v>
      </c>
      <c r="P1861" s="381" t="s">
        <v>151</v>
      </c>
      <c r="Q1861" s="381"/>
      <c r="R1861" s="381" t="s">
        <v>7538</v>
      </c>
      <c r="S1861" s="381"/>
      <c r="T1861" s="381" t="s">
        <v>3243</v>
      </c>
      <c r="U1861" s="381" t="s">
        <v>152</v>
      </c>
      <c r="V1861" s="381" t="s">
        <v>23</v>
      </c>
    </row>
    <row r="1862" spans="2:22">
      <c r="B1862" s="383">
        <v>46265</v>
      </c>
      <c r="C1862" s="383">
        <v>46265</v>
      </c>
      <c r="D1862" s="381" t="s">
        <v>7539</v>
      </c>
      <c r="E1862" s="382" t="s">
        <v>7540</v>
      </c>
      <c r="F1862" s="381" t="s">
        <v>87</v>
      </c>
      <c r="G1862" s="381" t="s">
        <v>7152</v>
      </c>
      <c r="H1862" s="387">
        <v>55</v>
      </c>
      <c r="I1862" s="381">
        <v>39</v>
      </c>
      <c r="J1862" s="381">
        <v>39</v>
      </c>
      <c r="K1862" s="381">
        <v>5</v>
      </c>
      <c r="L1862" s="381">
        <v>0</v>
      </c>
      <c r="M1862" s="381" t="s">
        <v>148</v>
      </c>
      <c r="N1862" s="381" t="s">
        <v>149</v>
      </c>
      <c r="O1862" s="381" t="s">
        <v>150</v>
      </c>
      <c r="P1862" s="381" t="s">
        <v>151</v>
      </c>
      <c r="Q1862" s="381"/>
      <c r="R1862" s="381" t="s">
        <v>7540</v>
      </c>
      <c r="S1862" s="381"/>
      <c r="T1862" s="381" t="s">
        <v>3243</v>
      </c>
      <c r="U1862" s="381" t="s">
        <v>152</v>
      </c>
      <c r="V1862" s="381" t="s">
        <v>23</v>
      </c>
    </row>
    <row r="1863" spans="2:22">
      <c r="B1863" s="383">
        <v>46265</v>
      </c>
      <c r="C1863" s="383">
        <v>46265</v>
      </c>
      <c r="D1863" s="381" t="s">
        <v>7541</v>
      </c>
      <c r="E1863" s="382" t="s">
        <v>7542</v>
      </c>
      <c r="F1863" s="381" t="s">
        <v>87</v>
      </c>
      <c r="G1863" s="381" t="s">
        <v>2357</v>
      </c>
      <c r="H1863" s="387">
        <v>40</v>
      </c>
      <c r="I1863" s="381">
        <v>29.4</v>
      </c>
      <c r="J1863" s="381">
        <v>29.4</v>
      </c>
      <c r="K1863" s="381">
        <v>5</v>
      </c>
      <c r="L1863" s="381">
        <v>0</v>
      </c>
      <c r="M1863" s="381" t="s">
        <v>148</v>
      </c>
      <c r="N1863" s="381" t="s">
        <v>149</v>
      </c>
      <c r="O1863" s="381" t="s">
        <v>150</v>
      </c>
      <c r="P1863" s="381" t="s">
        <v>151</v>
      </c>
      <c r="Q1863" s="381"/>
      <c r="R1863" s="381" t="s">
        <v>7542</v>
      </c>
      <c r="S1863" s="381"/>
      <c r="T1863" s="381" t="s">
        <v>3243</v>
      </c>
      <c r="U1863" s="381" t="s">
        <v>152</v>
      </c>
      <c r="V1863" s="381" t="s">
        <v>23</v>
      </c>
    </row>
    <row r="1864" spans="2:22">
      <c r="B1864" s="383">
        <v>46265</v>
      </c>
      <c r="C1864" s="383">
        <v>46265</v>
      </c>
      <c r="D1864" s="381" t="s">
        <v>7543</v>
      </c>
      <c r="E1864" s="382" t="s">
        <v>7544</v>
      </c>
      <c r="F1864" s="381" t="s">
        <v>87</v>
      </c>
      <c r="G1864" s="381" t="s">
        <v>2515</v>
      </c>
      <c r="H1864" s="387">
        <v>50</v>
      </c>
      <c r="I1864" s="381">
        <v>28.3</v>
      </c>
      <c r="J1864" s="381">
        <v>28.3</v>
      </c>
      <c r="K1864" s="381">
        <v>5</v>
      </c>
      <c r="L1864" s="381">
        <v>0</v>
      </c>
      <c r="M1864" s="381" t="s">
        <v>148</v>
      </c>
      <c r="N1864" s="381" t="s">
        <v>149</v>
      </c>
      <c r="O1864" s="381" t="s">
        <v>150</v>
      </c>
      <c r="P1864" s="381" t="s">
        <v>151</v>
      </c>
      <c r="Q1864" s="381"/>
      <c r="R1864" s="381" t="s">
        <v>7544</v>
      </c>
      <c r="S1864" s="381"/>
      <c r="T1864" s="381" t="s">
        <v>3243</v>
      </c>
      <c r="U1864" s="381" t="s">
        <v>152</v>
      </c>
      <c r="V1864" s="381" t="s">
        <v>23</v>
      </c>
    </row>
    <row r="1865" spans="2:22">
      <c r="B1865" s="383">
        <v>46265</v>
      </c>
      <c r="C1865" s="383">
        <v>46265</v>
      </c>
      <c r="D1865" s="381" t="s">
        <v>7545</v>
      </c>
      <c r="E1865" s="382" t="s">
        <v>7546</v>
      </c>
      <c r="F1865" s="381" t="s">
        <v>87</v>
      </c>
      <c r="G1865" s="381" t="s">
        <v>2515</v>
      </c>
      <c r="H1865" s="387">
        <v>50</v>
      </c>
      <c r="I1865" s="381">
        <v>28.3</v>
      </c>
      <c r="J1865" s="381">
        <v>28.3</v>
      </c>
      <c r="K1865" s="381">
        <v>5</v>
      </c>
      <c r="L1865" s="381">
        <v>0</v>
      </c>
      <c r="M1865" s="381" t="s">
        <v>148</v>
      </c>
      <c r="N1865" s="381" t="s">
        <v>149</v>
      </c>
      <c r="O1865" s="381" t="s">
        <v>150</v>
      </c>
      <c r="P1865" s="381" t="s">
        <v>151</v>
      </c>
      <c r="Q1865" s="381"/>
      <c r="R1865" s="381" t="s">
        <v>7546</v>
      </c>
      <c r="S1865" s="381"/>
      <c r="T1865" s="381" t="s">
        <v>3243</v>
      </c>
      <c r="U1865" s="381" t="s">
        <v>152</v>
      </c>
      <c r="V1865" s="381" t="s">
        <v>23</v>
      </c>
    </row>
    <row r="1866" spans="2:22">
      <c r="B1866" s="383">
        <v>46265</v>
      </c>
      <c r="C1866" s="383">
        <v>46265</v>
      </c>
      <c r="D1866" s="381" t="s">
        <v>7547</v>
      </c>
      <c r="E1866" s="382" t="s">
        <v>7548</v>
      </c>
      <c r="F1866" s="381" t="s">
        <v>87</v>
      </c>
      <c r="G1866" s="381" t="s">
        <v>5097</v>
      </c>
      <c r="H1866" s="387">
        <v>25</v>
      </c>
      <c r="I1866" s="381">
        <v>22.2</v>
      </c>
      <c r="J1866" s="381">
        <v>22.2</v>
      </c>
      <c r="K1866" s="381">
        <v>4</v>
      </c>
      <c r="L1866" s="381">
        <v>0</v>
      </c>
      <c r="M1866" s="381" t="s">
        <v>148</v>
      </c>
      <c r="N1866" s="381" t="s">
        <v>149</v>
      </c>
      <c r="O1866" s="381" t="s">
        <v>150</v>
      </c>
      <c r="P1866" s="381" t="s">
        <v>151</v>
      </c>
      <c r="Q1866" s="381"/>
      <c r="R1866" s="381" t="s">
        <v>7548</v>
      </c>
      <c r="S1866" s="381"/>
      <c r="T1866" s="381" t="s">
        <v>3243</v>
      </c>
      <c r="U1866" s="381" t="s">
        <v>152</v>
      </c>
      <c r="V1866" s="381" t="s">
        <v>23</v>
      </c>
    </row>
    <row r="1867" spans="2:22">
      <c r="B1867" s="383">
        <v>46265</v>
      </c>
      <c r="C1867" s="383">
        <v>46265</v>
      </c>
      <c r="D1867" s="381" t="s">
        <v>7549</v>
      </c>
      <c r="E1867" s="382" t="s">
        <v>7550</v>
      </c>
      <c r="F1867" s="381" t="s">
        <v>87</v>
      </c>
      <c r="G1867" s="381" t="s">
        <v>2404</v>
      </c>
      <c r="H1867" s="387">
        <v>40</v>
      </c>
      <c r="I1867" s="381">
        <v>29.8</v>
      </c>
      <c r="J1867" s="381">
        <v>29.8</v>
      </c>
      <c r="K1867" s="381">
        <v>5</v>
      </c>
      <c r="L1867" s="381">
        <v>0</v>
      </c>
      <c r="M1867" s="381" t="s">
        <v>148</v>
      </c>
      <c r="N1867" s="381" t="s">
        <v>149</v>
      </c>
      <c r="O1867" s="381" t="s">
        <v>150</v>
      </c>
      <c r="P1867" s="381" t="s">
        <v>151</v>
      </c>
      <c r="Q1867" s="381"/>
      <c r="R1867" s="381" t="s">
        <v>7550</v>
      </c>
      <c r="S1867" s="381"/>
      <c r="T1867" s="381" t="s">
        <v>3243</v>
      </c>
      <c r="U1867" s="381" t="s">
        <v>152</v>
      </c>
      <c r="V1867" s="381" t="s">
        <v>23</v>
      </c>
    </row>
    <row r="1868" spans="2:22">
      <c r="B1868" s="383">
        <v>46265</v>
      </c>
      <c r="C1868" s="383">
        <v>46265</v>
      </c>
      <c r="D1868" s="381" t="s">
        <v>7551</v>
      </c>
      <c r="E1868" s="382" t="s">
        <v>7552</v>
      </c>
      <c r="F1868" s="381" t="s">
        <v>87</v>
      </c>
      <c r="G1868" s="381" t="s">
        <v>2358</v>
      </c>
      <c r="H1868" s="387">
        <v>30</v>
      </c>
      <c r="I1868" s="381">
        <v>32.700000000000003</v>
      </c>
      <c r="J1868" s="381">
        <v>32.700000000000003</v>
      </c>
      <c r="K1868" s="381">
        <v>4</v>
      </c>
      <c r="L1868" s="381">
        <v>0</v>
      </c>
      <c r="M1868" s="381" t="s">
        <v>148</v>
      </c>
      <c r="N1868" s="381" t="s">
        <v>149</v>
      </c>
      <c r="O1868" s="381" t="s">
        <v>150</v>
      </c>
      <c r="P1868" s="381" t="s">
        <v>151</v>
      </c>
      <c r="Q1868" s="381"/>
      <c r="R1868" s="381" t="s">
        <v>7552</v>
      </c>
      <c r="S1868" s="381"/>
      <c r="T1868" s="381" t="s">
        <v>3243</v>
      </c>
      <c r="U1868" s="381" t="s">
        <v>152</v>
      </c>
      <c r="V1868" s="381" t="s">
        <v>23</v>
      </c>
    </row>
    <row r="1869" spans="2:22">
      <c r="B1869" s="383">
        <v>46265</v>
      </c>
      <c r="C1869" s="383">
        <v>46265</v>
      </c>
      <c r="D1869" s="381" t="s">
        <v>7553</v>
      </c>
      <c r="E1869" s="382" t="s">
        <v>7554</v>
      </c>
      <c r="F1869" s="381" t="s">
        <v>87</v>
      </c>
      <c r="G1869" s="381" t="s">
        <v>2357</v>
      </c>
      <c r="H1869" s="387">
        <v>40</v>
      </c>
      <c r="I1869" s="381">
        <v>29.8</v>
      </c>
      <c r="J1869" s="381">
        <v>29.8</v>
      </c>
      <c r="K1869" s="381">
        <v>5</v>
      </c>
      <c r="L1869" s="381">
        <v>0</v>
      </c>
      <c r="M1869" s="381" t="s">
        <v>148</v>
      </c>
      <c r="N1869" s="381" t="s">
        <v>149</v>
      </c>
      <c r="O1869" s="381" t="s">
        <v>150</v>
      </c>
      <c r="P1869" s="381" t="s">
        <v>151</v>
      </c>
      <c r="Q1869" s="381"/>
      <c r="R1869" s="381" t="s">
        <v>7554</v>
      </c>
      <c r="S1869" s="381"/>
      <c r="T1869" s="381" t="s">
        <v>3243</v>
      </c>
      <c r="U1869" s="381" t="s">
        <v>152</v>
      </c>
      <c r="V1869" s="381" t="s">
        <v>23</v>
      </c>
    </row>
    <row r="1870" spans="2:22">
      <c r="B1870" s="383">
        <v>46265</v>
      </c>
      <c r="C1870" s="383">
        <v>46265</v>
      </c>
      <c r="D1870" s="381" t="s">
        <v>7555</v>
      </c>
      <c r="E1870" s="382" t="s">
        <v>7556</v>
      </c>
      <c r="F1870" s="381" t="s">
        <v>87</v>
      </c>
      <c r="G1870" s="381" t="s">
        <v>2404</v>
      </c>
      <c r="H1870" s="387">
        <v>40</v>
      </c>
      <c r="I1870" s="381">
        <v>39.700000000000003</v>
      </c>
      <c r="J1870" s="381">
        <v>39.700000000000003</v>
      </c>
      <c r="K1870" s="381">
        <v>5</v>
      </c>
      <c r="L1870" s="381">
        <v>0</v>
      </c>
      <c r="M1870" s="381" t="s">
        <v>148</v>
      </c>
      <c r="N1870" s="381" t="s">
        <v>149</v>
      </c>
      <c r="O1870" s="381" t="s">
        <v>150</v>
      </c>
      <c r="P1870" s="381" t="s">
        <v>151</v>
      </c>
      <c r="Q1870" s="381"/>
      <c r="R1870" s="381" t="s">
        <v>7556</v>
      </c>
      <c r="S1870" s="381"/>
      <c r="T1870" s="381" t="s">
        <v>3243</v>
      </c>
      <c r="U1870" s="381" t="s">
        <v>152</v>
      </c>
      <c r="V1870" s="381" t="s">
        <v>23</v>
      </c>
    </row>
    <row r="1871" spans="2:22">
      <c r="B1871" s="383">
        <v>46265</v>
      </c>
      <c r="C1871" s="383">
        <v>46265</v>
      </c>
      <c r="D1871" s="381" t="s">
        <v>7557</v>
      </c>
      <c r="E1871" s="382" t="s">
        <v>7558</v>
      </c>
      <c r="F1871" s="381" t="s">
        <v>87</v>
      </c>
      <c r="G1871" s="381" t="s">
        <v>1678</v>
      </c>
      <c r="H1871" s="387">
        <v>30</v>
      </c>
      <c r="I1871" s="381">
        <v>32.5</v>
      </c>
      <c r="J1871" s="381">
        <v>32.5</v>
      </c>
      <c r="K1871" s="381">
        <v>4</v>
      </c>
      <c r="L1871" s="381">
        <v>0</v>
      </c>
      <c r="M1871" s="381" t="s">
        <v>148</v>
      </c>
      <c r="N1871" s="381" t="s">
        <v>149</v>
      </c>
      <c r="O1871" s="381" t="s">
        <v>150</v>
      </c>
      <c r="P1871" s="381" t="s">
        <v>151</v>
      </c>
      <c r="Q1871" s="381"/>
      <c r="R1871" s="381" t="s">
        <v>7558</v>
      </c>
      <c r="S1871" s="381"/>
      <c r="T1871" s="381" t="s">
        <v>3243</v>
      </c>
      <c r="U1871" s="381" t="s">
        <v>152</v>
      </c>
      <c r="V1871" s="381" t="s">
        <v>23</v>
      </c>
    </row>
    <row r="1872" spans="2:22">
      <c r="B1872" s="383">
        <v>46265</v>
      </c>
      <c r="C1872" s="383">
        <v>46265</v>
      </c>
      <c r="D1872" s="381" t="s">
        <v>7559</v>
      </c>
      <c r="E1872" s="382" t="s">
        <v>7560</v>
      </c>
      <c r="F1872" s="381" t="s">
        <v>87</v>
      </c>
      <c r="G1872" s="381" t="s">
        <v>6008</v>
      </c>
      <c r="H1872" s="387">
        <v>30</v>
      </c>
      <c r="I1872" s="381">
        <v>29.8</v>
      </c>
      <c r="J1872" s="381">
        <v>29.8</v>
      </c>
      <c r="K1872" s="381">
        <v>4</v>
      </c>
      <c r="L1872" s="381">
        <v>0</v>
      </c>
      <c r="M1872" s="381" t="s">
        <v>148</v>
      </c>
      <c r="N1872" s="381" t="s">
        <v>149</v>
      </c>
      <c r="O1872" s="381" t="s">
        <v>150</v>
      </c>
      <c r="P1872" s="381" t="s">
        <v>151</v>
      </c>
      <c r="Q1872" s="381"/>
      <c r="R1872" s="381" t="s">
        <v>7560</v>
      </c>
      <c r="S1872" s="381"/>
      <c r="T1872" s="381" t="s">
        <v>3243</v>
      </c>
      <c r="U1872" s="381" t="s">
        <v>152</v>
      </c>
      <c r="V1872" s="381" t="s">
        <v>23</v>
      </c>
    </row>
    <row r="1873" spans="2:22">
      <c r="B1873" s="383">
        <v>46265</v>
      </c>
      <c r="C1873" s="383">
        <v>46265</v>
      </c>
      <c r="D1873" s="381" t="s">
        <v>7561</v>
      </c>
      <c r="E1873" s="382" t="s">
        <v>7562</v>
      </c>
      <c r="F1873" s="381" t="s">
        <v>87</v>
      </c>
      <c r="G1873" s="381" t="s">
        <v>2405</v>
      </c>
      <c r="H1873" s="387">
        <v>30</v>
      </c>
      <c r="I1873" s="381">
        <v>38.299999999999997</v>
      </c>
      <c r="J1873" s="381">
        <v>38.299999999999997</v>
      </c>
      <c r="K1873" s="381">
        <v>4</v>
      </c>
      <c r="L1873" s="381">
        <v>0</v>
      </c>
      <c r="M1873" s="381" t="s">
        <v>148</v>
      </c>
      <c r="N1873" s="381" t="s">
        <v>149</v>
      </c>
      <c r="O1873" s="381" t="s">
        <v>150</v>
      </c>
      <c r="P1873" s="381" t="s">
        <v>151</v>
      </c>
      <c r="Q1873" s="381"/>
      <c r="R1873" s="381" t="s">
        <v>7562</v>
      </c>
      <c r="S1873" s="381"/>
      <c r="T1873" s="381" t="s">
        <v>3243</v>
      </c>
      <c r="U1873" s="381" t="s">
        <v>152</v>
      </c>
      <c r="V1873" s="381" t="s">
        <v>23</v>
      </c>
    </row>
    <row r="1874" spans="2:22">
      <c r="B1874" s="383">
        <v>46265</v>
      </c>
      <c r="C1874" s="383">
        <v>46265</v>
      </c>
      <c r="D1874" s="381" t="s">
        <v>7563</v>
      </c>
      <c r="E1874" s="382" t="s">
        <v>7564</v>
      </c>
      <c r="F1874" s="381" t="s">
        <v>87</v>
      </c>
      <c r="G1874" s="381" t="s">
        <v>2405</v>
      </c>
      <c r="H1874" s="387">
        <v>30</v>
      </c>
      <c r="I1874" s="381">
        <v>30.2</v>
      </c>
      <c r="J1874" s="381">
        <v>30.2</v>
      </c>
      <c r="K1874" s="381">
        <v>4</v>
      </c>
      <c r="L1874" s="381">
        <v>0</v>
      </c>
      <c r="M1874" s="381" t="s">
        <v>148</v>
      </c>
      <c r="N1874" s="381" t="s">
        <v>149</v>
      </c>
      <c r="O1874" s="381" t="s">
        <v>150</v>
      </c>
      <c r="P1874" s="381" t="s">
        <v>151</v>
      </c>
      <c r="Q1874" s="381"/>
      <c r="R1874" s="381" t="s">
        <v>7564</v>
      </c>
      <c r="S1874" s="381"/>
      <c r="T1874" s="381" t="s">
        <v>3243</v>
      </c>
      <c r="U1874" s="381" t="s">
        <v>152</v>
      </c>
      <c r="V1874" s="381" t="s">
        <v>23</v>
      </c>
    </row>
    <row r="1875" spans="2:22">
      <c r="B1875" s="383">
        <v>46265</v>
      </c>
      <c r="C1875" s="383">
        <v>46265</v>
      </c>
      <c r="D1875" s="381" t="s">
        <v>7565</v>
      </c>
      <c r="E1875" s="382" t="s">
        <v>7566</v>
      </c>
      <c r="F1875" s="381" t="s">
        <v>87</v>
      </c>
      <c r="G1875" s="381" t="s">
        <v>6008</v>
      </c>
      <c r="H1875" s="387">
        <v>30</v>
      </c>
      <c r="I1875" s="381">
        <v>41.6</v>
      </c>
      <c r="J1875" s="381">
        <v>41.6</v>
      </c>
      <c r="K1875" s="381">
        <v>4</v>
      </c>
      <c r="L1875" s="381">
        <v>0</v>
      </c>
      <c r="M1875" s="381" t="s">
        <v>148</v>
      </c>
      <c r="N1875" s="381" t="s">
        <v>149</v>
      </c>
      <c r="O1875" s="381" t="s">
        <v>150</v>
      </c>
      <c r="P1875" s="381" t="s">
        <v>151</v>
      </c>
      <c r="Q1875" s="381"/>
      <c r="R1875" s="381" t="s">
        <v>7566</v>
      </c>
      <c r="S1875" s="381"/>
      <c r="T1875" s="381" t="s">
        <v>3243</v>
      </c>
      <c r="U1875" s="381" t="s">
        <v>152</v>
      </c>
      <c r="V1875" s="381" t="s">
        <v>23</v>
      </c>
    </row>
    <row r="1876" spans="2:22">
      <c r="B1876" s="383">
        <v>46265</v>
      </c>
      <c r="C1876" s="383">
        <v>46265</v>
      </c>
      <c r="D1876" s="381" t="s">
        <v>7567</v>
      </c>
      <c r="E1876" s="382" t="s">
        <v>7568</v>
      </c>
      <c r="F1876" s="381" t="s">
        <v>87</v>
      </c>
      <c r="G1876" s="381" t="s">
        <v>2405</v>
      </c>
      <c r="H1876" s="387">
        <v>30</v>
      </c>
      <c r="I1876" s="381">
        <v>38.299999999999997</v>
      </c>
      <c r="J1876" s="381">
        <v>38.299999999999997</v>
      </c>
      <c r="K1876" s="381">
        <v>4</v>
      </c>
      <c r="L1876" s="381">
        <v>0</v>
      </c>
      <c r="M1876" s="381" t="s">
        <v>148</v>
      </c>
      <c r="N1876" s="381" t="s">
        <v>149</v>
      </c>
      <c r="O1876" s="381" t="s">
        <v>150</v>
      </c>
      <c r="P1876" s="381" t="s">
        <v>151</v>
      </c>
      <c r="Q1876" s="381"/>
      <c r="R1876" s="381" t="s">
        <v>7568</v>
      </c>
      <c r="S1876" s="381"/>
      <c r="T1876" s="381" t="s">
        <v>3243</v>
      </c>
      <c r="U1876" s="381" t="s">
        <v>152</v>
      </c>
      <c r="V1876" s="381" t="s">
        <v>23</v>
      </c>
    </row>
    <row r="1877" spans="2:22">
      <c r="I1877" s="355" t="s">
        <v>1962</v>
      </c>
      <c r="J1877" s="360">
        <f>SUM(J2:J1876)</f>
        <v>62896.50000000112</v>
      </c>
    </row>
  </sheetData>
  <autoFilter ref="B1:V891"/>
  <pageMargins left="0.7" right="0.7" top="0.75" bottom="0.75" header="0.3" footer="0.3"/>
  <pageSetup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V1506"/>
  <sheetViews>
    <sheetView topLeftCell="E1492" workbookViewId="0">
      <selection activeCell="G1513" sqref="G1513"/>
    </sheetView>
  </sheetViews>
  <sheetFormatPr defaultRowHeight="12.75"/>
  <cols>
    <col min="1" max="1" width="7.7109375" style="72" customWidth="1"/>
    <col min="2" max="2" width="15.7109375" style="10" bestFit="1" customWidth="1"/>
    <col min="3" max="3" width="18" style="10" bestFit="1" customWidth="1"/>
    <col min="4" max="4" width="18.7109375" style="10" bestFit="1" customWidth="1"/>
    <col min="5" max="5" width="26" style="10" bestFit="1" customWidth="1"/>
    <col min="6" max="6" width="34.5703125" style="10" bestFit="1" customWidth="1"/>
    <col min="7" max="7" width="32.85546875" style="10" customWidth="1"/>
    <col min="8" max="8" width="13.28515625" style="10" bestFit="1" customWidth="1"/>
    <col min="9" max="9" width="14.7109375" style="10" bestFit="1" customWidth="1"/>
    <col min="10" max="10" width="11.5703125" style="10" bestFit="1" customWidth="1"/>
    <col min="11" max="11" width="9.140625" style="10"/>
    <col min="12" max="12" width="11.140625" style="10" bestFit="1" customWidth="1"/>
    <col min="13" max="13" width="20.5703125" style="10" bestFit="1" customWidth="1"/>
    <col min="14" max="14" width="20.42578125" style="10" bestFit="1" customWidth="1"/>
    <col min="15" max="15" width="12.42578125" style="10" bestFit="1" customWidth="1"/>
    <col min="16" max="16" width="13.42578125" style="10" bestFit="1" customWidth="1"/>
    <col min="17" max="17" width="13.28515625" style="10" bestFit="1" customWidth="1"/>
    <col min="18" max="18" width="18.85546875" style="10" bestFit="1" customWidth="1"/>
    <col min="19" max="19" width="17.28515625" style="10" customWidth="1"/>
    <col min="20" max="20" width="17.5703125" style="10" customWidth="1"/>
    <col min="21" max="21" width="19.140625" style="10" bestFit="1" customWidth="1"/>
    <col min="22" max="22" width="14.85546875" style="10" bestFit="1" customWidth="1"/>
    <col min="23" max="16384" width="9.140625" style="72"/>
  </cols>
  <sheetData>
    <row r="1" spans="1:22">
      <c r="A1" s="6"/>
      <c r="B1" s="427" t="s">
        <v>127</v>
      </c>
      <c r="C1" s="427" t="s">
        <v>128</v>
      </c>
      <c r="D1" s="427" t="s">
        <v>129</v>
      </c>
      <c r="E1" s="427" t="s">
        <v>130</v>
      </c>
      <c r="F1" s="427" t="s">
        <v>131</v>
      </c>
      <c r="G1" s="427" t="s">
        <v>132</v>
      </c>
      <c r="H1" s="427" t="s">
        <v>133</v>
      </c>
      <c r="I1" s="427" t="s">
        <v>134</v>
      </c>
      <c r="J1" s="427" t="s">
        <v>135</v>
      </c>
      <c r="K1" s="427" t="s">
        <v>136</v>
      </c>
      <c r="L1" s="427" t="s">
        <v>137</v>
      </c>
      <c r="M1" s="427" t="s">
        <v>138</v>
      </c>
      <c r="N1" s="427" t="s">
        <v>139</v>
      </c>
      <c r="O1" s="427" t="s">
        <v>140</v>
      </c>
      <c r="P1" s="427" t="s">
        <v>141</v>
      </c>
      <c r="Q1" s="427" t="s">
        <v>142</v>
      </c>
      <c r="R1" s="427" t="s">
        <v>143</v>
      </c>
      <c r="S1" s="427" t="s">
        <v>144</v>
      </c>
      <c r="T1" s="427" t="s">
        <v>145</v>
      </c>
      <c r="U1" s="427" t="s">
        <v>146</v>
      </c>
      <c r="V1" s="427" t="s">
        <v>147</v>
      </c>
    </row>
    <row r="2" spans="1:22">
      <c r="A2" s="6"/>
      <c r="B2" s="216">
        <v>46235</v>
      </c>
      <c r="C2" s="216">
        <v>46235</v>
      </c>
      <c r="D2" s="428" t="s">
        <v>7569</v>
      </c>
      <c r="E2" s="428">
        <v>260104621504</v>
      </c>
      <c r="F2" s="428" t="s">
        <v>87</v>
      </c>
      <c r="G2" s="428" t="s">
        <v>824</v>
      </c>
      <c r="H2" s="428">
        <v>152</v>
      </c>
      <c r="I2" s="428">
        <v>293</v>
      </c>
      <c r="J2" s="369">
        <v>293</v>
      </c>
      <c r="K2" s="428">
        <v>104</v>
      </c>
      <c r="L2" s="217">
        <v>1930</v>
      </c>
      <c r="M2" s="428" t="s">
        <v>153</v>
      </c>
      <c r="N2" s="428" t="s">
        <v>149</v>
      </c>
      <c r="O2" s="428" t="s">
        <v>154</v>
      </c>
      <c r="P2" s="428" t="s">
        <v>151</v>
      </c>
      <c r="Q2" s="428" t="s">
        <v>155</v>
      </c>
      <c r="R2" s="428" t="s">
        <v>7570</v>
      </c>
      <c r="S2" s="428"/>
      <c r="T2" s="428" t="s">
        <v>2623</v>
      </c>
      <c r="U2" s="428" t="s">
        <v>152</v>
      </c>
      <c r="V2" s="428" t="s">
        <v>18</v>
      </c>
    </row>
    <row r="3" spans="1:22">
      <c r="A3" s="6"/>
      <c r="B3" s="216">
        <v>46235</v>
      </c>
      <c r="C3" s="216">
        <v>46235</v>
      </c>
      <c r="D3" s="428" t="s">
        <v>7571</v>
      </c>
      <c r="E3" s="428">
        <v>260101721535</v>
      </c>
      <c r="F3" s="428" t="s">
        <v>87</v>
      </c>
      <c r="G3" s="428" t="s">
        <v>2303</v>
      </c>
      <c r="H3" s="428">
        <v>92</v>
      </c>
      <c r="I3" s="428">
        <v>239</v>
      </c>
      <c r="J3" s="369">
        <v>239</v>
      </c>
      <c r="K3" s="428">
        <v>134</v>
      </c>
      <c r="L3" s="217">
        <v>1000</v>
      </c>
      <c r="M3" s="428" t="s">
        <v>153</v>
      </c>
      <c r="N3" s="428" t="s">
        <v>149</v>
      </c>
      <c r="O3" s="428" t="s">
        <v>154</v>
      </c>
      <c r="P3" s="428" t="s">
        <v>151</v>
      </c>
      <c r="Q3" s="428" t="s">
        <v>155</v>
      </c>
      <c r="R3" s="428" t="s">
        <v>7572</v>
      </c>
      <c r="S3" s="428"/>
      <c r="T3" s="428" t="s">
        <v>2623</v>
      </c>
      <c r="U3" s="428" t="s">
        <v>152</v>
      </c>
      <c r="V3" s="428" t="s">
        <v>18</v>
      </c>
    </row>
    <row r="4" spans="1:22">
      <c r="A4" s="6"/>
      <c r="B4" s="216">
        <v>46235</v>
      </c>
      <c r="C4" s="216">
        <v>46235</v>
      </c>
      <c r="D4" s="428" t="s">
        <v>7573</v>
      </c>
      <c r="E4" s="428">
        <v>260102621536</v>
      </c>
      <c r="F4" s="428" t="s">
        <v>87</v>
      </c>
      <c r="G4" s="428" t="s">
        <v>2359</v>
      </c>
      <c r="H4" s="428">
        <v>102</v>
      </c>
      <c r="I4" s="428">
        <v>245</v>
      </c>
      <c r="J4" s="369">
        <v>245</v>
      </c>
      <c r="K4" s="428">
        <v>125</v>
      </c>
      <c r="L4" s="217">
        <v>1000</v>
      </c>
      <c r="M4" s="428" t="s">
        <v>153</v>
      </c>
      <c r="N4" s="428" t="s">
        <v>149</v>
      </c>
      <c r="O4" s="428" t="s">
        <v>154</v>
      </c>
      <c r="P4" s="428" t="s">
        <v>151</v>
      </c>
      <c r="Q4" s="428" t="s">
        <v>155</v>
      </c>
      <c r="R4" s="428" t="s">
        <v>7574</v>
      </c>
      <c r="S4" s="428"/>
      <c r="T4" s="428" t="s">
        <v>2623</v>
      </c>
      <c r="U4" s="428" t="s">
        <v>152</v>
      </c>
      <c r="V4" s="428" t="s">
        <v>18</v>
      </c>
    </row>
    <row r="5" spans="1:22">
      <c r="A5" s="6"/>
      <c r="B5" s="216">
        <v>46235</v>
      </c>
      <c r="C5" s="216">
        <v>46235</v>
      </c>
      <c r="D5" s="428" t="s">
        <v>7575</v>
      </c>
      <c r="E5" s="428">
        <v>260107921541</v>
      </c>
      <c r="F5" s="428" t="s">
        <v>87</v>
      </c>
      <c r="G5" s="428" t="s">
        <v>2413</v>
      </c>
      <c r="H5" s="428">
        <v>132</v>
      </c>
      <c r="I5" s="428">
        <v>188</v>
      </c>
      <c r="J5" s="369">
        <v>188</v>
      </c>
      <c r="K5" s="428">
        <v>92</v>
      </c>
      <c r="L5" s="217">
        <v>1610</v>
      </c>
      <c r="M5" s="428" t="s">
        <v>153</v>
      </c>
      <c r="N5" s="428" t="s">
        <v>149</v>
      </c>
      <c r="O5" s="428" t="s">
        <v>154</v>
      </c>
      <c r="P5" s="428" t="s">
        <v>151</v>
      </c>
      <c r="Q5" s="428" t="s">
        <v>155</v>
      </c>
      <c r="R5" s="428" t="s">
        <v>7576</v>
      </c>
      <c r="S5" s="428"/>
      <c r="T5" s="428" t="s">
        <v>2623</v>
      </c>
      <c r="U5" s="428" t="s">
        <v>152</v>
      </c>
      <c r="V5" s="428" t="s">
        <v>18</v>
      </c>
    </row>
    <row r="6" spans="1:22">
      <c r="A6" s="6"/>
      <c r="B6" s="216">
        <v>46235</v>
      </c>
      <c r="C6" s="216">
        <v>46235</v>
      </c>
      <c r="D6" s="428" t="s">
        <v>7577</v>
      </c>
      <c r="E6" s="428">
        <v>260101621530</v>
      </c>
      <c r="F6" s="428" t="s">
        <v>87</v>
      </c>
      <c r="G6" s="428" t="s">
        <v>2079</v>
      </c>
      <c r="H6" s="428">
        <v>112</v>
      </c>
      <c r="I6" s="428">
        <v>378</v>
      </c>
      <c r="J6" s="369">
        <v>378</v>
      </c>
      <c r="K6" s="428">
        <v>180</v>
      </c>
      <c r="L6" s="217">
        <v>960</v>
      </c>
      <c r="M6" s="428" t="s">
        <v>153</v>
      </c>
      <c r="N6" s="428" t="s">
        <v>149</v>
      </c>
      <c r="O6" s="428" t="s">
        <v>154</v>
      </c>
      <c r="P6" s="428" t="s">
        <v>151</v>
      </c>
      <c r="Q6" s="428" t="s">
        <v>155</v>
      </c>
      <c r="R6" s="428" t="s">
        <v>7578</v>
      </c>
      <c r="S6" s="428"/>
      <c r="T6" s="428" t="s">
        <v>2623</v>
      </c>
      <c r="U6" s="428" t="s">
        <v>152</v>
      </c>
      <c r="V6" s="428" t="s">
        <v>18</v>
      </c>
    </row>
    <row r="7" spans="1:22">
      <c r="A7" s="6"/>
      <c r="B7" s="216">
        <v>46235</v>
      </c>
      <c r="C7" s="216">
        <v>46235</v>
      </c>
      <c r="D7" s="428" t="s">
        <v>7579</v>
      </c>
      <c r="E7" s="428">
        <v>260100721497</v>
      </c>
      <c r="F7" s="428" t="s">
        <v>87</v>
      </c>
      <c r="G7" s="428" t="s">
        <v>2079</v>
      </c>
      <c r="H7" s="428">
        <v>122</v>
      </c>
      <c r="I7" s="428">
        <v>155</v>
      </c>
      <c r="J7" s="369">
        <v>155</v>
      </c>
      <c r="K7" s="428">
        <v>180</v>
      </c>
      <c r="L7" s="217">
        <v>360</v>
      </c>
      <c r="M7" s="428" t="s">
        <v>153</v>
      </c>
      <c r="N7" s="428" t="s">
        <v>149</v>
      </c>
      <c r="O7" s="428" t="s">
        <v>154</v>
      </c>
      <c r="P7" s="428" t="s">
        <v>151</v>
      </c>
      <c r="Q7" s="428" t="s">
        <v>155</v>
      </c>
      <c r="R7" s="428" t="s">
        <v>7580</v>
      </c>
      <c r="S7" s="428"/>
      <c r="T7" s="428" t="s">
        <v>2623</v>
      </c>
      <c r="U7" s="428" t="s">
        <v>152</v>
      </c>
      <c r="V7" s="428" t="s">
        <v>18</v>
      </c>
    </row>
    <row r="8" spans="1:22">
      <c r="A8" s="6"/>
      <c r="B8" s="216">
        <v>46235</v>
      </c>
      <c r="C8" s="216">
        <v>46235</v>
      </c>
      <c r="D8" s="428" t="s">
        <v>7581</v>
      </c>
      <c r="E8" s="428">
        <v>260100521495</v>
      </c>
      <c r="F8" s="428" t="s">
        <v>87</v>
      </c>
      <c r="G8" s="428" t="s">
        <v>2531</v>
      </c>
      <c r="H8" s="428">
        <v>192</v>
      </c>
      <c r="I8" s="428">
        <v>417</v>
      </c>
      <c r="J8" s="369">
        <v>417</v>
      </c>
      <c r="K8" s="428">
        <v>180</v>
      </c>
      <c r="L8" s="217">
        <v>630</v>
      </c>
      <c r="M8" s="428" t="s">
        <v>153</v>
      </c>
      <c r="N8" s="428" t="s">
        <v>149</v>
      </c>
      <c r="O8" s="428" t="s">
        <v>154</v>
      </c>
      <c r="P8" s="428" t="s">
        <v>151</v>
      </c>
      <c r="Q8" s="428" t="s">
        <v>155</v>
      </c>
      <c r="R8" s="428" t="s">
        <v>7582</v>
      </c>
      <c r="S8" s="428"/>
      <c r="T8" s="428" t="s">
        <v>2623</v>
      </c>
      <c r="U8" s="428" t="s">
        <v>152</v>
      </c>
      <c r="V8" s="428" t="s">
        <v>18</v>
      </c>
    </row>
    <row r="9" spans="1:22">
      <c r="A9" s="6"/>
      <c r="B9" s="216">
        <v>46235</v>
      </c>
      <c r="C9" s="216">
        <v>46235</v>
      </c>
      <c r="D9" s="428" t="s">
        <v>7583</v>
      </c>
      <c r="E9" s="297">
        <v>260100421519</v>
      </c>
      <c r="F9" s="428" t="s">
        <v>87</v>
      </c>
      <c r="G9" s="428" t="s">
        <v>2521</v>
      </c>
      <c r="H9" s="428">
        <v>182</v>
      </c>
      <c r="I9" s="428">
        <v>320</v>
      </c>
      <c r="J9" s="369">
        <v>320</v>
      </c>
      <c r="K9" s="428">
        <v>190</v>
      </c>
      <c r="L9" s="217">
        <v>480</v>
      </c>
      <c r="M9" s="428" t="s">
        <v>153</v>
      </c>
      <c r="N9" s="428" t="s">
        <v>149</v>
      </c>
      <c r="O9" s="428" t="s">
        <v>154</v>
      </c>
      <c r="P9" s="428" t="s">
        <v>151</v>
      </c>
      <c r="Q9" s="428" t="s">
        <v>155</v>
      </c>
      <c r="R9" s="428" t="s">
        <v>7584</v>
      </c>
      <c r="S9" s="428"/>
      <c r="T9" s="428" t="s">
        <v>2623</v>
      </c>
      <c r="U9" s="428" t="s">
        <v>152</v>
      </c>
      <c r="V9" s="428" t="s">
        <v>18</v>
      </c>
    </row>
    <row r="10" spans="1:22">
      <c r="A10" s="6"/>
      <c r="B10" s="216">
        <v>46235</v>
      </c>
      <c r="C10" s="216">
        <v>46235</v>
      </c>
      <c r="D10" s="428" t="s">
        <v>7585</v>
      </c>
      <c r="E10" s="297">
        <v>260100721522</v>
      </c>
      <c r="F10" s="428" t="s">
        <v>87</v>
      </c>
      <c r="G10" s="428" t="s">
        <v>7586</v>
      </c>
      <c r="H10" s="428">
        <v>122</v>
      </c>
      <c r="I10" s="428">
        <v>287</v>
      </c>
      <c r="J10" s="369">
        <v>287</v>
      </c>
      <c r="K10" s="428">
        <v>170</v>
      </c>
      <c r="L10" s="217">
        <v>700</v>
      </c>
      <c r="M10" s="428" t="s">
        <v>153</v>
      </c>
      <c r="N10" s="428" t="s">
        <v>149</v>
      </c>
      <c r="O10" s="428" t="s">
        <v>154</v>
      </c>
      <c r="P10" s="428" t="s">
        <v>151</v>
      </c>
      <c r="Q10" s="428" t="s">
        <v>155</v>
      </c>
      <c r="R10" s="428" t="s">
        <v>7587</v>
      </c>
      <c r="S10" s="428"/>
      <c r="T10" s="428" t="s">
        <v>2623</v>
      </c>
      <c r="U10" s="428" t="s">
        <v>152</v>
      </c>
      <c r="V10" s="428" t="s">
        <v>18</v>
      </c>
    </row>
    <row r="11" spans="1:22">
      <c r="A11" s="6"/>
      <c r="B11" s="216">
        <v>46235</v>
      </c>
      <c r="C11" s="216">
        <v>46235</v>
      </c>
      <c r="D11" s="428" t="s">
        <v>7588</v>
      </c>
      <c r="E11" s="297">
        <v>260105821543</v>
      </c>
      <c r="F11" s="428" t="s">
        <v>87</v>
      </c>
      <c r="G11" s="428" t="s">
        <v>824</v>
      </c>
      <c r="H11" s="428">
        <v>152</v>
      </c>
      <c r="I11" s="428">
        <v>265</v>
      </c>
      <c r="J11" s="369">
        <v>265</v>
      </c>
      <c r="K11" s="428">
        <v>104</v>
      </c>
      <c r="L11" s="217">
        <v>1740</v>
      </c>
      <c r="M11" s="428" t="s">
        <v>153</v>
      </c>
      <c r="N11" s="428" t="s">
        <v>149</v>
      </c>
      <c r="O11" s="428" t="s">
        <v>154</v>
      </c>
      <c r="P11" s="428" t="s">
        <v>151</v>
      </c>
      <c r="Q11" s="428" t="s">
        <v>155</v>
      </c>
      <c r="R11" s="428" t="s">
        <v>7589</v>
      </c>
      <c r="S11" s="428"/>
      <c r="T11" s="428" t="s">
        <v>2623</v>
      </c>
      <c r="U11" s="428" t="s">
        <v>152</v>
      </c>
      <c r="V11" s="428" t="s">
        <v>18</v>
      </c>
    </row>
    <row r="12" spans="1:22">
      <c r="A12" s="6"/>
      <c r="B12" s="216">
        <v>46235</v>
      </c>
      <c r="C12" s="216">
        <v>46235</v>
      </c>
      <c r="D12" s="428" t="s">
        <v>7590</v>
      </c>
      <c r="E12" s="297">
        <v>260102721498</v>
      </c>
      <c r="F12" s="428" t="s">
        <v>87</v>
      </c>
      <c r="G12" s="428" t="s">
        <v>2534</v>
      </c>
      <c r="H12" s="428">
        <v>112</v>
      </c>
      <c r="I12" s="428">
        <v>275</v>
      </c>
      <c r="J12" s="369">
        <v>275</v>
      </c>
      <c r="K12" s="428">
        <v>126</v>
      </c>
      <c r="L12" s="217">
        <v>1000</v>
      </c>
      <c r="M12" s="428" t="s">
        <v>153</v>
      </c>
      <c r="N12" s="428" t="s">
        <v>149</v>
      </c>
      <c r="O12" s="428" t="s">
        <v>154</v>
      </c>
      <c r="P12" s="428" t="s">
        <v>151</v>
      </c>
      <c r="Q12" s="428" t="s">
        <v>155</v>
      </c>
      <c r="R12" s="428" t="s">
        <v>7591</v>
      </c>
      <c r="S12" s="428"/>
      <c r="T12" s="428" t="s">
        <v>2623</v>
      </c>
      <c r="U12" s="428" t="s">
        <v>152</v>
      </c>
      <c r="V12" s="428" t="s">
        <v>18</v>
      </c>
    </row>
    <row r="13" spans="1:22">
      <c r="A13" s="6"/>
      <c r="B13" s="216">
        <v>46235</v>
      </c>
      <c r="C13" s="216">
        <v>46235</v>
      </c>
      <c r="D13" s="428" t="s">
        <v>7592</v>
      </c>
      <c r="E13" s="297">
        <v>260102821529</v>
      </c>
      <c r="F13" s="428" t="s">
        <v>87</v>
      </c>
      <c r="G13" s="428" t="s">
        <v>2359</v>
      </c>
      <c r="H13" s="428">
        <v>102</v>
      </c>
      <c r="I13" s="428">
        <v>241</v>
      </c>
      <c r="J13" s="369">
        <v>241</v>
      </c>
      <c r="K13" s="428">
        <v>125</v>
      </c>
      <c r="L13" s="217">
        <v>1000</v>
      </c>
      <c r="M13" s="428" t="s">
        <v>153</v>
      </c>
      <c r="N13" s="428" t="s">
        <v>149</v>
      </c>
      <c r="O13" s="428" t="s">
        <v>154</v>
      </c>
      <c r="P13" s="428" t="s">
        <v>151</v>
      </c>
      <c r="Q13" s="428" t="s">
        <v>155</v>
      </c>
      <c r="R13" s="428" t="s">
        <v>7593</v>
      </c>
      <c r="S13" s="428"/>
      <c r="T13" s="428" t="s">
        <v>2623</v>
      </c>
      <c r="U13" s="428" t="s">
        <v>152</v>
      </c>
      <c r="V13" s="428" t="s">
        <v>18</v>
      </c>
    </row>
    <row r="14" spans="1:22">
      <c r="A14" s="6"/>
      <c r="B14" s="216">
        <v>46235</v>
      </c>
      <c r="C14" s="216">
        <v>46235</v>
      </c>
      <c r="D14" s="428" t="s">
        <v>7594</v>
      </c>
      <c r="E14" s="297">
        <v>260107921507</v>
      </c>
      <c r="F14" s="428" t="s">
        <v>87</v>
      </c>
      <c r="G14" s="428" t="s">
        <v>2413</v>
      </c>
      <c r="H14" s="428">
        <v>125</v>
      </c>
      <c r="I14" s="428">
        <v>282</v>
      </c>
      <c r="J14" s="369">
        <v>282</v>
      </c>
      <c r="K14" s="428">
        <v>92</v>
      </c>
      <c r="L14" s="217">
        <v>2520</v>
      </c>
      <c r="M14" s="428" t="s">
        <v>153</v>
      </c>
      <c r="N14" s="428" t="s">
        <v>149</v>
      </c>
      <c r="O14" s="428" t="s">
        <v>154</v>
      </c>
      <c r="P14" s="428" t="s">
        <v>151</v>
      </c>
      <c r="Q14" s="428" t="s">
        <v>155</v>
      </c>
      <c r="R14" s="428" t="s">
        <v>7595</v>
      </c>
      <c r="S14" s="428"/>
      <c r="T14" s="428" t="s">
        <v>2623</v>
      </c>
      <c r="U14" s="428" t="s">
        <v>152</v>
      </c>
      <c r="V14" s="428" t="s">
        <v>18</v>
      </c>
    </row>
    <row r="15" spans="1:22">
      <c r="A15" s="6"/>
      <c r="B15" s="216">
        <v>46235</v>
      </c>
      <c r="C15" s="216">
        <v>46235</v>
      </c>
      <c r="D15" s="428" t="s">
        <v>7596</v>
      </c>
      <c r="E15" s="297">
        <v>260102621499</v>
      </c>
      <c r="F15" s="428" t="s">
        <v>87</v>
      </c>
      <c r="G15" s="428" t="s">
        <v>2359</v>
      </c>
      <c r="H15" s="428">
        <v>102</v>
      </c>
      <c r="I15" s="428">
        <v>243</v>
      </c>
      <c r="J15" s="369">
        <v>243</v>
      </c>
      <c r="K15" s="428">
        <v>125</v>
      </c>
      <c r="L15" s="217">
        <v>1000</v>
      </c>
      <c r="M15" s="428" t="s">
        <v>153</v>
      </c>
      <c r="N15" s="428" t="s">
        <v>149</v>
      </c>
      <c r="O15" s="428" t="s">
        <v>154</v>
      </c>
      <c r="P15" s="428" t="s">
        <v>151</v>
      </c>
      <c r="Q15" s="428" t="s">
        <v>155</v>
      </c>
      <c r="R15" s="428" t="s">
        <v>7597</v>
      </c>
      <c r="S15" s="428"/>
      <c r="T15" s="428" t="s">
        <v>2623</v>
      </c>
      <c r="U15" s="428" t="s">
        <v>152</v>
      </c>
      <c r="V15" s="428" t="s">
        <v>18</v>
      </c>
    </row>
    <row r="16" spans="1:22">
      <c r="A16" s="6"/>
      <c r="B16" s="216">
        <v>46235</v>
      </c>
      <c r="C16" s="216">
        <v>46235</v>
      </c>
      <c r="D16" s="428" t="s">
        <v>7598</v>
      </c>
      <c r="E16" s="297">
        <v>260101421514</v>
      </c>
      <c r="F16" s="428" t="s">
        <v>87</v>
      </c>
      <c r="G16" s="428" t="s">
        <v>824</v>
      </c>
      <c r="H16" s="428">
        <v>152</v>
      </c>
      <c r="I16" s="428">
        <v>267</v>
      </c>
      <c r="J16" s="369">
        <v>267</v>
      </c>
      <c r="K16" s="428">
        <v>104</v>
      </c>
      <c r="L16" s="217">
        <v>1750</v>
      </c>
      <c r="M16" s="428" t="s">
        <v>153</v>
      </c>
      <c r="N16" s="428" t="s">
        <v>149</v>
      </c>
      <c r="O16" s="428" t="s">
        <v>154</v>
      </c>
      <c r="P16" s="428" t="s">
        <v>151</v>
      </c>
      <c r="Q16" s="428" t="s">
        <v>155</v>
      </c>
      <c r="R16" s="428" t="s">
        <v>7599</v>
      </c>
      <c r="S16" s="428"/>
      <c r="T16" s="428" t="s">
        <v>2623</v>
      </c>
      <c r="U16" s="428" t="s">
        <v>152</v>
      </c>
      <c r="V16" s="428" t="s">
        <v>18</v>
      </c>
    </row>
    <row r="17" spans="1:22">
      <c r="A17" s="6"/>
      <c r="B17" s="216">
        <v>46235</v>
      </c>
      <c r="C17" s="216">
        <v>46235</v>
      </c>
      <c r="D17" s="428" t="s">
        <v>7600</v>
      </c>
      <c r="E17" s="297">
        <v>260104721527</v>
      </c>
      <c r="F17" s="428" t="s">
        <v>87</v>
      </c>
      <c r="G17" s="428" t="s">
        <v>2535</v>
      </c>
      <c r="H17" s="428">
        <v>212</v>
      </c>
      <c r="I17" s="428">
        <v>200</v>
      </c>
      <c r="J17" s="369">
        <v>200</v>
      </c>
      <c r="K17" s="428">
        <v>100</v>
      </c>
      <c r="L17" s="217">
        <v>1000</v>
      </c>
      <c r="M17" s="428" t="s">
        <v>153</v>
      </c>
      <c r="N17" s="428" t="s">
        <v>149</v>
      </c>
      <c r="O17" s="428" t="s">
        <v>154</v>
      </c>
      <c r="P17" s="428" t="s">
        <v>151</v>
      </c>
      <c r="Q17" s="428" t="s">
        <v>155</v>
      </c>
      <c r="R17" s="428" t="s">
        <v>7601</v>
      </c>
      <c r="S17" s="428"/>
      <c r="T17" s="428" t="s">
        <v>2623</v>
      </c>
      <c r="U17" s="428" t="s">
        <v>152</v>
      </c>
      <c r="V17" s="428" t="s">
        <v>18</v>
      </c>
    </row>
    <row r="18" spans="1:22">
      <c r="A18" s="6"/>
      <c r="B18" s="216">
        <v>46235</v>
      </c>
      <c r="C18" s="216">
        <v>46235</v>
      </c>
      <c r="D18" s="428" t="s">
        <v>7602</v>
      </c>
      <c r="E18" s="297">
        <v>260105021528</v>
      </c>
      <c r="F18" s="428" t="s">
        <v>87</v>
      </c>
      <c r="G18" s="428" t="s">
        <v>7603</v>
      </c>
      <c r="H18" s="428">
        <v>172</v>
      </c>
      <c r="I18" s="428">
        <v>243</v>
      </c>
      <c r="J18" s="369">
        <v>243</v>
      </c>
      <c r="K18" s="428">
        <v>98</v>
      </c>
      <c r="L18" s="217">
        <v>1500</v>
      </c>
      <c r="M18" s="428" t="s">
        <v>153</v>
      </c>
      <c r="N18" s="428" t="s">
        <v>149</v>
      </c>
      <c r="O18" s="428" t="s">
        <v>154</v>
      </c>
      <c r="P18" s="428" t="s">
        <v>151</v>
      </c>
      <c r="Q18" s="428" t="s">
        <v>155</v>
      </c>
      <c r="R18" s="428" t="s">
        <v>7604</v>
      </c>
      <c r="S18" s="428"/>
      <c r="T18" s="428" t="s">
        <v>2623</v>
      </c>
      <c r="U18" s="428" t="s">
        <v>152</v>
      </c>
      <c r="V18" s="428" t="s">
        <v>18</v>
      </c>
    </row>
    <row r="19" spans="1:22">
      <c r="A19" s="6"/>
      <c r="B19" s="216">
        <v>46235</v>
      </c>
      <c r="C19" s="216">
        <v>46235</v>
      </c>
      <c r="D19" s="428" t="s">
        <v>7605</v>
      </c>
      <c r="E19" s="297">
        <v>260100921496</v>
      </c>
      <c r="F19" s="428" t="s">
        <v>87</v>
      </c>
      <c r="G19" s="428" t="s">
        <v>2521</v>
      </c>
      <c r="H19" s="428">
        <v>182</v>
      </c>
      <c r="I19" s="428">
        <v>338</v>
      </c>
      <c r="J19" s="369">
        <v>338</v>
      </c>
      <c r="K19" s="428">
        <v>190</v>
      </c>
      <c r="L19" s="217">
        <v>520</v>
      </c>
      <c r="M19" s="428" t="s">
        <v>153</v>
      </c>
      <c r="N19" s="428" t="s">
        <v>149</v>
      </c>
      <c r="O19" s="428" t="s">
        <v>154</v>
      </c>
      <c r="P19" s="428" t="s">
        <v>151</v>
      </c>
      <c r="Q19" s="428" t="s">
        <v>155</v>
      </c>
      <c r="R19" s="428" t="s">
        <v>7606</v>
      </c>
      <c r="S19" s="428"/>
      <c r="T19" s="428" t="s">
        <v>2623</v>
      </c>
      <c r="U19" s="428" t="s">
        <v>152</v>
      </c>
      <c r="V19" s="428" t="s">
        <v>18</v>
      </c>
    </row>
    <row r="20" spans="1:22">
      <c r="A20" s="6"/>
      <c r="B20" s="216">
        <v>46235</v>
      </c>
      <c r="C20" s="216">
        <v>46235</v>
      </c>
      <c r="D20" s="428" t="s">
        <v>7607</v>
      </c>
      <c r="E20" s="297">
        <v>260101421515</v>
      </c>
      <c r="F20" s="428" t="s">
        <v>87</v>
      </c>
      <c r="G20" s="428" t="s">
        <v>824</v>
      </c>
      <c r="H20" s="428">
        <v>152</v>
      </c>
      <c r="I20" s="428">
        <v>269</v>
      </c>
      <c r="J20" s="369">
        <v>269</v>
      </c>
      <c r="K20" s="428">
        <v>104</v>
      </c>
      <c r="L20" s="217">
        <v>1750</v>
      </c>
      <c r="M20" s="428" t="s">
        <v>153</v>
      </c>
      <c r="N20" s="428" t="s">
        <v>149</v>
      </c>
      <c r="O20" s="428" t="s">
        <v>154</v>
      </c>
      <c r="P20" s="428" t="s">
        <v>151</v>
      </c>
      <c r="Q20" s="428" t="s">
        <v>155</v>
      </c>
      <c r="R20" s="428" t="s">
        <v>7608</v>
      </c>
      <c r="S20" s="428"/>
      <c r="T20" s="428" t="s">
        <v>2623</v>
      </c>
      <c r="U20" s="428" t="s">
        <v>152</v>
      </c>
      <c r="V20" s="428" t="s">
        <v>18</v>
      </c>
    </row>
    <row r="21" spans="1:22">
      <c r="A21" s="6"/>
      <c r="B21" s="216">
        <v>46235</v>
      </c>
      <c r="C21" s="216">
        <v>46235</v>
      </c>
      <c r="D21" s="428" t="s">
        <v>7609</v>
      </c>
      <c r="E21" s="297">
        <v>260107821508</v>
      </c>
      <c r="F21" s="428" t="s">
        <v>87</v>
      </c>
      <c r="G21" s="428" t="s">
        <v>2309</v>
      </c>
      <c r="H21" s="428">
        <v>135</v>
      </c>
      <c r="I21" s="428">
        <v>310</v>
      </c>
      <c r="J21" s="369">
        <v>310</v>
      </c>
      <c r="K21" s="428">
        <v>92</v>
      </c>
      <c r="L21" s="217">
        <v>2540</v>
      </c>
      <c r="M21" s="428" t="s">
        <v>153</v>
      </c>
      <c r="N21" s="428" t="s">
        <v>149</v>
      </c>
      <c r="O21" s="428" t="s">
        <v>154</v>
      </c>
      <c r="P21" s="428" t="s">
        <v>151</v>
      </c>
      <c r="Q21" s="428" t="s">
        <v>155</v>
      </c>
      <c r="R21" s="428" t="s">
        <v>7610</v>
      </c>
      <c r="S21" s="428"/>
      <c r="T21" s="428" t="s">
        <v>2623</v>
      </c>
      <c r="U21" s="428" t="s">
        <v>152</v>
      </c>
      <c r="V21" s="428" t="s">
        <v>18</v>
      </c>
    </row>
    <row r="22" spans="1:22">
      <c r="A22" s="6"/>
      <c r="B22" s="216">
        <v>46235</v>
      </c>
      <c r="C22" s="216">
        <v>46235</v>
      </c>
      <c r="D22" s="428" t="s">
        <v>7611</v>
      </c>
      <c r="E22" s="297">
        <v>260106921511</v>
      </c>
      <c r="F22" s="428" t="s">
        <v>87</v>
      </c>
      <c r="G22" s="428" t="s">
        <v>2536</v>
      </c>
      <c r="H22" s="428">
        <v>125</v>
      </c>
      <c r="I22" s="428">
        <v>300</v>
      </c>
      <c r="J22" s="369">
        <v>300</v>
      </c>
      <c r="K22" s="428">
        <v>116</v>
      </c>
      <c r="L22" s="217">
        <v>2100</v>
      </c>
      <c r="M22" s="428" t="s">
        <v>153</v>
      </c>
      <c r="N22" s="428" t="s">
        <v>149</v>
      </c>
      <c r="O22" s="428" t="s">
        <v>154</v>
      </c>
      <c r="P22" s="428" t="s">
        <v>151</v>
      </c>
      <c r="Q22" s="428" t="s">
        <v>155</v>
      </c>
      <c r="R22" s="428" t="s">
        <v>7612</v>
      </c>
      <c r="S22" s="428"/>
      <c r="T22" s="428" t="s">
        <v>2623</v>
      </c>
      <c r="U22" s="428" t="s">
        <v>152</v>
      </c>
      <c r="V22" s="428" t="s">
        <v>18</v>
      </c>
    </row>
    <row r="23" spans="1:22">
      <c r="A23" s="6"/>
      <c r="B23" s="216">
        <v>46235</v>
      </c>
      <c r="C23" s="216">
        <v>46235</v>
      </c>
      <c r="D23" s="428" t="s">
        <v>7613</v>
      </c>
      <c r="E23" s="297">
        <v>260101421516</v>
      </c>
      <c r="F23" s="428" t="s">
        <v>87</v>
      </c>
      <c r="G23" s="428" t="s">
        <v>824</v>
      </c>
      <c r="H23" s="428">
        <v>152</v>
      </c>
      <c r="I23" s="428">
        <v>265</v>
      </c>
      <c r="J23" s="369">
        <v>265</v>
      </c>
      <c r="K23" s="428">
        <v>104</v>
      </c>
      <c r="L23" s="217">
        <v>1750</v>
      </c>
      <c r="M23" s="428" t="s">
        <v>153</v>
      </c>
      <c r="N23" s="428" t="s">
        <v>149</v>
      </c>
      <c r="O23" s="428" t="s">
        <v>154</v>
      </c>
      <c r="P23" s="428" t="s">
        <v>151</v>
      </c>
      <c r="Q23" s="428" t="s">
        <v>155</v>
      </c>
      <c r="R23" s="428" t="s">
        <v>7614</v>
      </c>
      <c r="S23" s="428"/>
      <c r="T23" s="428" t="s">
        <v>2623</v>
      </c>
      <c r="U23" s="428" t="s">
        <v>152</v>
      </c>
      <c r="V23" s="428" t="s">
        <v>18</v>
      </c>
    </row>
    <row r="24" spans="1:22">
      <c r="A24" s="6"/>
      <c r="B24" s="216">
        <v>46235</v>
      </c>
      <c r="C24" s="216">
        <v>46235</v>
      </c>
      <c r="D24" s="428" t="s">
        <v>7615</v>
      </c>
      <c r="E24" s="297">
        <v>260101421517</v>
      </c>
      <c r="F24" s="428" t="s">
        <v>87</v>
      </c>
      <c r="G24" s="428" t="s">
        <v>824</v>
      </c>
      <c r="H24" s="428">
        <v>152</v>
      </c>
      <c r="I24" s="428">
        <v>272</v>
      </c>
      <c r="J24" s="369">
        <v>272</v>
      </c>
      <c r="K24" s="428">
        <v>104</v>
      </c>
      <c r="L24" s="217">
        <v>1750</v>
      </c>
      <c r="M24" s="428" t="s">
        <v>153</v>
      </c>
      <c r="N24" s="428" t="s">
        <v>149</v>
      </c>
      <c r="O24" s="428" t="s">
        <v>154</v>
      </c>
      <c r="P24" s="428" t="s">
        <v>151</v>
      </c>
      <c r="Q24" s="428" t="s">
        <v>155</v>
      </c>
      <c r="R24" s="428" t="s">
        <v>7616</v>
      </c>
      <c r="S24" s="428"/>
      <c r="T24" s="428" t="s">
        <v>2623</v>
      </c>
      <c r="U24" s="428" t="s">
        <v>152</v>
      </c>
      <c r="V24" s="428" t="s">
        <v>18</v>
      </c>
    </row>
    <row r="25" spans="1:22">
      <c r="A25" s="6"/>
      <c r="B25" s="216">
        <v>46235</v>
      </c>
      <c r="C25" s="216">
        <v>46235</v>
      </c>
      <c r="D25" s="428" t="s">
        <v>7617</v>
      </c>
      <c r="E25" s="297">
        <v>260101621531</v>
      </c>
      <c r="F25" s="428" t="s">
        <v>87</v>
      </c>
      <c r="G25" s="428" t="s">
        <v>2079</v>
      </c>
      <c r="H25" s="428">
        <v>112</v>
      </c>
      <c r="I25" s="428">
        <v>193</v>
      </c>
      <c r="J25" s="369">
        <v>193</v>
      </c>
      <c r="K25" s="428">
        <v>180</v>
      </c>
      <c r="L25" s="217">
        <v>500</v>
      </c>
      <c r="M25" s="428" t="s">
        <v>153</v>
      </c>
      <c r="N25" s="428" t="s">
        <v>149</v>
      </c>
      <c r="O25" s="428" t="s">
        <v>154</v>
      </c>
      <c r="P25" s="428" t="s">
        <v>151</v>
      </c>
      <c r="Q25" s="428" t="s">
        <v>155</v>
      </c>
      <c r="R25" s="428" t="s">
        <v>7618</v>
      </c>
      <c r="S25" s="428"/>
      <c r="T25" s="428" t="s">
        <v>2623</v>
      </c>
      <c r="U25" s="428" t="s">
        <v>152</v>
      </c>
      <c r="V25" s="428" t="s">
        <v>18</v>
      </c>
    </row>
    <row r="26" spans="1:22">
      <c r="A26" s="6"/>
      <c r="B26" s="216">
        <v>46235</v>
      </c>
      <c r="C26" s="216">
        <v>46235</v>
      </c>
      <c r="D26" s="428" t="s">
        <v>7619</v>
      </c>
      <c r="E26" s="297">
        <v>260100521520</v>
      </c>
      <c r="F26" s="428" t="s">
        <v>87</v>
      </c>
      <c r="G26" s="428" t="s">
        <v>2531</v>
      </c>
      <c r="H26" s="428">
        <v>192</v>
      </c>
      <c r="I26" s="428">
        <v>320</v>
      </c>
      <c r="J26" s="369">
        <v>320</v>
      </c>
      <c r="K26" s="428">
        <v>180</v>
      </c>
      <c r="L26" s="217">
        <v>490</v>
      </c>
      <c r="M26" s="428" t="s">
        <v>153</v>
      </c>
      <c r="N26" s="428" t="s">
        <v>149</v>
      </c>
      <c r="O26" s="428" t="s">
        <v>154</v>
      </c>
      <c r="P26" s="428" t="s">
        <v>151</v>
      </c>
      <c r="Q26" s="428" t="s">
        <v>155</v>
      </c>
      <c r="R26" s="428" t="s">
        <v>7620</v>
      </c>
      <c r="S26" s="428"/>
      <c r="T26" s="428" t="s">
        <v>2623</v>
      </c>
      <c r="U26" s="428" t="s">
        <v>152</v>
      </c>
      <c r="V26" s="428" t="s">
        <v>18</v>
      </c>
    </row>
    <row r="27" spans="1:22">
      <c r="A27" s="6"/>
      <c r="B27" s="216">
        <v>46235</v>
      </c>
      <c r="C27" s="216">
        <v>46235</v>
      </c>
      <c r="D27" s="428" t="s">
        <v>7621</v>
      </c>
      <c r="E27" s="297">
        <v>260101821534</v>
      </c>
      <c r="F27" s="428" t="s">
        <v>87</v>
      </c>
      <c r="G27" s="428" t="s">
        <v>2538</v>
      </c>
      <c r="H27" s="428">
        <v>125</v>
      </c>
      <c r="I27" s="428">
        <v>282</v>
      </c>
      <c r="J27" s="369">
        <v>282</v>
      </c>
      <c r="K27" s="428">
        <v>140</v>
      </c>
      <c r="L27" s="217">
        <v>800</v>
      </c>
      <c r="M27" s="428" t="s">
        <v>153</v>
      </c>
      <c r="N27" s="428" t="s">
        <v>149</v>
      </c>
      <c r="O27" s="428" t="s">
        <v>154</v>
      </c>
      <c r="P27" s="428" t="s">
        <v>151</v>
      </c>
      <c r="Q27" s="428" t="s">
        <v>155</v>
      </c>
      <c r="R27" s="428" t="s">
        <v>7622</v>
      </c>
      <c r="S27" s="428"/>
      <c r="T27" s="428" t="s">
        <v>2623</v>
      </c>
      <c r="U27" s="428" t="s">
        <v>152</v>
      </c>
      <c r="V27" s="428" t="s">
        <v>18</v>
      </c>
    </row>
    <row r="28" spans="1:22">
      <c r="A28" s="6"/>
      <c r="B28" s="216">
        <v>46235</v>
      </c>
      <c r="C28" s="216">
        <v>46235</v>
      </c>
      <c r="D28" s="428" t="s">
        <v>7623</v>
      </c>
      <c r="E28" s="297">
        <v>260107321512</v>
      </c>
      <c r="F28" s="428" t="s">
        <v>87</v>
      </c>
      <c r="G28" s="428" t="s">
        <v>824</v>
      </c>
      <c r="H28" s="428">
        <v>152</v>
      </c>
      <c r="I28" s="428">
        <v>333</v>
      </c>
      <c r="J28" s="369">
        <v>333</v>
      </c>
      <c r="K28" s="428">
        <v>104</v>
      </c>
      <c r="L28" s="217">
        <v>2200</v>
      </c>
      <c r="M28" s="428" t="s">
        <v>153</v>
      </c>
      <c r="N28" s="428" t="s">
        <v>149</v>
      </c>
      <c r="O28" s="428" t="s">
        <v>154</v>
      </c>
      <c r="P28" s="428" t="s">
        <v>151</v>
      </c>
      <c r="Q28" s="428" t="s">
        <v>155</v>
      </c>
      <c r="R28" s="428" t="s">
        <v>7624</v>
      </c>
      <c r="S28" s="428"/>
      <c r="T28" s="428" t="s">
        <v>2623</v>
      </c>
      <c r="U28" s="428" t="s">
        <v>152</v>
      </c>
      <c r="V28" s="428" t="s">
        <v>18</v>
      </c>
    </row>
    <row r="29" spans="1:22">
      <c r="A29" s="6"/>
      <c r="B29" s="216">
        <v>46235</v>
      </c>
      <c r="C29" s="216">
        <v>46235</v>
      </c>
      <c r="D29" s="428" t="s">
        <v>7625</v>
      </c>
      <c r="E29" s="297">
        <v>260101021430</v>
      </c>
      <c r="F29" s="428" t="s">
        <v>87</v>
      </c>
      <c r="G29" s="428" t="s">
        <v>2419</v>
      </c>
      <c r="H29" s="428" t="s">
        <v>2412</v>
      </c>
      <c r="I29" s="428">
        <v>828</v>
      </c>
      <c r="J29" s="369">
        <v>828</v>
      </c>
      <c r="K29" s="428">
        <v>180</v>
      </c>
      <c r="L29" s="217">
        <v>1600</v>
      </c>
      <c r="M29" s="428" t="s">
        <v>153</v>
      </c>
      <c r="N29" s="428" t="s">
        <v>149</v>
      </c>
      <c r="O29" s="428" t="s">
        <v>154</v>
      </c>
      <c r="P29" s="428" t="s">
        <v>151</v>
      </c>
      <c r="Q29" s="428" t="s">
        <v>156</v>
      </c>
      <c r="R29" s="428" t="s">
        <v>7626</v>
      </c>
      <c r="S29" s="428"/>
      <c r="T29" s="428" t="s">
        <v>2623</v>
      </c>
      <c r="U29" s="428" t="s">
        <v>152</v>
      </c>
      <c r="V29" s="428" t="s">
        <v>20</v>
      </c>
    </row>
    <row r="30" spans="1:22">
      <c r="A30" s="6"/>
      <c r="B30" s="216">
        <v>46235</v>
      </c>
      <c r="C30" s="216">
        <v>46235</v>
      </c>
      <c r="D30" s="428" t="s">
        <v>7627</v>
      </c>
      <c r="E30" s="297">
        <v>260101321292</v>
      </c>
      <c r="F30" s="428" t="s">
        <v>87</v>
      </c>
      <c r="G30" s="428" t="s">
        <v>2419</v>
      </c>
      <c r="H30" s="428" t="s">
        <v>2412</v>
      </c>
      <c r="I30" s="428">
        <v>866</v>
      </c>
      <c r="J30" s="369">
        <v>866</v>
      </c>
      <c r="K30" s="428">
        <v>180</v>
      </c>
      <c r="L30" s="217">
        <v>1650</v>
      </c>
      <c r="M30" s="428" t="s">
        <v>153</v>
      </c>
      <c r="N30" s="428" t="s">
        <v>149</v>
      </c>
      <c r="O30" s="428" t="s">
        <v>154</v>
      </c>
      <c r="P30" s="428" t="s">
        <v>151</v>
      </c>
      <c r="Q30" s="428" t="s">
        <v>156</v>
      </c>
      <c r="R30" s="428" t="s">
        <v>7628</v>
      </c>
      <c r="S30" s="428"/>
      <c r="T30" s="428" t="s">
        <v>2623</v>
      </c>
      <c r="U30" s="428" t="s">
        <v>152</v>
      </c>
      <c r="V30" s="428" t="s">
        <v>20</v>
      </c>
    </row>
    <row r="31" spans="1:22">
      <c r="A31" s="6"/>
      <c r="B31" s="216">
        <v>46235</v>
      </c>
      <c r="C31" s="216">
        <v>46235</v>
      </c>
      <c r="D31" s="428" t="s">
        <v>7629</v>
      </c>
      <c r="E31" s="297" t="s">
        <v>7630</v>
      </c>
      <c r="F31" s="428" t="s">
        <v>87</v>
      </c>
      <c r="G31" s="428" t="s">
        <v>2414</v>
      </c>
      <c r="H31" s="428" t="s">
        <v>2416</v>
      </c>
      <c r="I31" s="428">
        <v>268</v>
      </c>
      <c r="J31" s="369">
        <v>268</v>
      </c>
      <c r="K31" s="428">
        <v>55</v>
      </c>
      <c r="L31" s="217">
        <v>4720</v>
      </c>
      <c r="M31" s="428" t="s">
        <v>153</v>
      </c>
      <c r="N31" s="428" t="s">
        <v>149</v>
      </c>
      <c r="O31" s="428" t="s">
        <v>154</v>
      </c>
      <c r="P31" s="428" t="s">
        <v>151</v>
      </c>
      <c r="Q31" s="428" t="s">
        <v>156</v>
      </c>
      <c r="R31" s="428" t="s">
        <v>7631</v>
      </c>
      <c r="S31" s="428"/>
      <c r="T31" s="428" t="s">
        <v>2623</v>
      </c>
      <c r="U31" s="428" t="s">
        <v>152</v>
      </c>
      <c r="V31" s="428" t="s">
        <v>20</v>
      </c>
    </row>
    <row r="32" spans="1:22">
      <c r="A32" s="6"/>
      <c r="B32" s="216">
        <v>46235</v>
      </c>
      <c r="C32" s="216">
        <v>46235</v>
      </c>
      <c r="D32" s="428" t="s">
        <v>7632</v>
      </c>
      <c r="E32" s="297" t="s">
        <v>7630</v>
      </c>
      <c r="F32" s="428" t="s">
        <v>87</v>
      </c>
      <c r="G32" s="428" t="s">
        <v>2414</v>
      </c>
      <c r="H32" s="428" t="s">
        <v>2416</v>
      </c>
      <c r="I32" s="428">
        <v>282</v>
      </c>
      <c r="J32" s="369">
        <v>282</v>
      </c>
      <c r="K32" s="428">
        <v>55</v>
      </c>
      <c r="L32" s="217">
        <v>4720</v>
      </c>
      <c r="M32" s="428" t="s">
        <v>153</v>
      </c>
      <c r="N32" s="428" t="s">
        <v>149</v>
      </c>
      <c r="O32" s="428" t="s">
        <v>154</v>
      </c>
      <c r="P32" s="428" t="s">
        <v>151</v>
      </c>
      <c r="Q32" s="428" t="s">
        <v>156</v>
      </c>
      <c r="R32" s="428" t="s">
        <v>7633</v>
      </c>
      <c r="S32" s="428"/>
      <c r="T32" s="428" t="s">
        <v>2623</v>
      </c>
      <c r="U32" s="428" t="s">
        <v>152</v>
      </c>
      <c r="V32" s="428" t="s">
        <v>20</v>
      </c>
    </row>
    <row r="33" spans="1:22">
      <c r="A33" s="6"/>
      <c r="B33" s="216">
        <v>46235</v>
      </c>
      <c r="C33" s="216">
        <v>46235</v>
      </c>
      <c r="D33" s="428" t="s">
        <v>7634</v>
      </c>
      <c r="E33" s="297" t="s">
        <v>7635</v>
      </c>
      <c r="F33" s="428" t="s">
        <v>87</v>
      </c>
      <c r="G33" s="428" t="s">
        <v>2414</v>
      </c>
      <c r="H33" s="428" t="s">
        <v>2416</v>
      </c>
      <c r="I33" s="428">
        <v>234</v>
      </c>
      <c r="J33" s="369">
        <v>234</v>
      </c>
      <c r="K33" s="428">
        <v>55</v>
      </c>
      <c r="L33" s="217">
        <v>4005</v>
      </c>
      <c r="M33" s="428" t="s">
        <v>153</v>
      </c>
      <c r="N33" s="428" t="s">
        <v>149</v>
      </c>
      <c r="O33" s="428" t="s">
        <v>154</v>
      </c>
      <c r="P33" s="428" t="s">
        <v>151</v>
      </c>
      <c r="Q33" s="428" t="s">
        <v>156</v>
      </c>
      <c r="R33" s="428" t="s">
        <v>7636</v>
      </c>
      <c r="S33" s="428"/>
      <c r="T33" s="428" t="s">
        <v>2623</v>
      </c>
      <c r="U33" s="428" t="s">
        <v>152</v>
      </c>
      <c r="V33" s="428" t="s">
        <v>20</v>
      </c>
    </row>
    <row r="34" spans="1:22">
      <c r="A34" s="6"/>
      <c r="B34" s="216">
        <v>46235</v>
      </c>
      <c r="C34" s="216">
        <v>46235</v>
      </c>
      <c r="D34" s="428" t="s">
        <v>7637</v>
      </c>
      <c r="E34" s="297" t="s">
        <v>7635</v>
      </c>
      <c r="F34" s="428" t="s">
        <v>87</v>
      </c>
      <c r="G34" s="428" t="s">
        <v>2523</v>
      </c>
      <c r="H34" s="428" t="s">
        <v>2416</v>
      </c>
      <c r="I34" s="428">
        <v>234</v>
      </c>
      <c r="J34" s="369">
        <v>234</v>
      </c>
      <c r="K34" s="428">
        <v>58</v>
      </c>
      <c r="L34" s="217">
        <v>4005</v>
      </c>
      <c r="M34" s="428" t="s">
        <v>153</v>
      </c>
      <c r="N34" s="428" t="s">
        <v>149</v>
      </c>
      <c r="O34" s="428" t="s">
        <v>154</v>
      </c>
      <c r="P34" s="428" t="s">
        <v>151</v>
      </c>
      <c r="Q34" s="428" t="s">
        <v>156</v>
      </c>
      <c r="R34" s="428" t="s">
        <v>7638</v>
      </c>
      <c r="S34" s="428"/>
      <c r="T34" s="428" t="s">
        <v>2623</v>
      </c>
      <c r="U34" s="428" t="s">
        <v>152</v>
      </c>
      <c r="V34" s="428" t="s">
        <v>20</v>
      </c>
    </row>
    <row r="35" spans="1:22">
      <c r="A35" s="6"/>
      <c r="B35" s="216">
        <v>46235</v>
      </c>
      <c r="C35" s="216">
        <v>46235</v>
      </c>
      <c r="D35" s="428" t="s">
        <v>7639</v>
      </c>
      <c r="E35" s="297" t="s">
        <v>7640</v>
      </c>
      <c r="F35" s="428" t="s">
        <v>87</v>
      </c>
      <c r="G35" s="428" t="s">
        <v>2523</v>
      </c>
      <c r="H35" s="428" t="s">
        <v>2416</v>
      </c>
      <c r="I35" s="428">
        <v>224</v>
      </c>
      <c r="J35" s="369">
        <v>224</v>
      </c>
      <c r="K35" s="428">
        <v>58</v>
      </c>
      <c r="L35" s="217">
        <v>3868</v>
      </c>
      <c r="M35" s="428" t="s">
        <v>153</v>
      </c>
      <c r="N35" s="428" t="s">
        <v>149</v>
      </c>
      <c r="O35" s="428" t="s">
        <v>154</v>
      </c>
      <c r="P35" s="428" t="s">
        <v>151</v>
      </c>
      <c r="Q35" s="428" t="s">
        <v>156</v>
      </c>
      <c r="R35" s="428" t="s">
        <v>7641</v>
      </c>
      <c r="S35" s="428"/>
      <c r="T35" s="428" t="s">
        <v>2623</v>
      </c>
      <c r="U35" s="428" t="s">
        <v>152</v>
      </c>
      <c r="V35" s="428" t="s">
        <v>20</v>
      </c>
    </row>
    <row r="36" spans="1:22">
      <c r="A36" s="6"/>
      <c r="B36" s="216">
        <v>46236</v>
      </c>
      <c r="C36" s="216">
        <v>46236</v>
      </c>
      <c r="D36" s="428" t="s">
        <v>7642</v>
      </c>
      <c r="E36" s="297">
        <v>260101421632</v>
      </c>
      <c r="F36" s="428" t="s">
        <v>87</v>
      </c>
      <c r="G36" s="428" t="s">
        <v>824</v>
      </c>
      <c r="H36" s="428">
        <v>152</v>
      </c>
      <c r="I36" s="428">
        <v>230</v>
      </c>
      <c r="J36" s="369">
        <v>230</v>
      </c>
      <c r="K36" s="428">
        <v>104</v>
      </c>
      <c r="L36" s="217">
        <v>1500</v>
      </c>
      <c r="M36" s="428" t="s">
        <v>153</v>
      </c>
      <c r="N36" s="428" t="s">
        <v>149</v>
      </c>
      <c r="O36" s="428" t="s">
        <v>154</v>
      </c>
      <c r="P36" s="428" t="s">
        <v>151</v>
      </c>
      <c r="Q36" s="428" t="s">
        <v>155</v>
      </c>
      <c r="R36" s="428" t="s">
        <v>7643</v>
      </c>
      <c r="S36" s="428"/>
      <c r="T36" s="428" t="s">
        <v>2629</v>
      </c>
      <c r="U36" s="428" t="s">
        <v>152</v>
      </c>
      <c r="V36" s="428" t="s">
        <v>18</v>
      </c>
    </row>
    <row r="37" spans="1:22">
      <c r="A37" s="6"/>
      <c r="B37" s="216">
        <v>46236</v>
      </c>
      <c r="C37" s="216">
        <v>46236</v>
      </c>
      <c r="D37" s="428" t="s">
        <v>7644</v>
      </c>
      <c r="E37" s="297">
        <v>260101421630</v>
      </c>
      <c r="F37" s="428" t="s">
        <v>87</v>
      </c>
      <c r="G37" s="428" t="s">
        <v>824</v>
      </c>
      <c r="H37" s="428">
        <v>152</v>
      </c>
      <c r="I37" s="428">
        <v>231</v>
      </c>
      <c r="J37" s="369">
        <v>231</v>
      </c>
      <c r="K37" s="428">
        <v>104</v>
      </c>
      <c r="L37" s="217">
        <v>1500</v>
      </c>
      <c r="M37" s="428" t="s">
        <v>153</v>
      </c>
      <c r="N37" s="428" t="s">
        <v>149</v>
      </c>
      <c r="O37" s="428" t="s">
        <v>154</v>
      </c>
      <c r="P37" s="428" t="s">
        <v>151</v>
      </c>
      <c r="Q37" s="428" t="s">
        <v>155</v>
      </c>
      <c r="R37" s="428" t="s">
        <v>7645</v>
      </c>
      <c r="S37" s="428"/>
      <c r="T37" s="428" t="s">
        <v>2629</v>
      </c>
      <c r="U37" s="428" t="s">
        <v>152</v>
      </c>
      <c r="V37" s="428" t="s">
        <v>18</v>
      </c>
    </row>
    <row r="38" spans="1:22">
      <c r="A38" s="6"/>
      <c r="B38" s="216">
        <v>46236</v>
      </c>
      <c r="C38" s="216">
        <v>46236</v>
      </c>
      <c r="D38" s="428" t="s">
        <v>7646</v>
      </c>
      <c r="E38" s="297">
        <v>260101421631</v>
      </c>
      <c r="F38" s="428" t="s">
        <v>87</v>
      </c>
      <c r="G38" s="428" t="s">
        <v>824</v>
      </c>
      <c r="H38" s="428">
        <v>152</v>
      </c>
      <c r="I38" s="428">
        <v>228</v>
      </c>
      <c r="J38" s="369">
        <v>228</v>
      </c>
      <c r="K38" s="428">
        <v>104</v>
      </c>
      <c r="L38" s="217">
        <v>1500</v>
      </c>
      <c r="M38" s="428" t="s">
        <v>153</v>
      </c>
      <c r="N38" s="428" t="s">
        <v>149</v>
      </c>
      <c r="O38" s="428" t="s">
        <v>154</v>
      </c>
      <c r="P38" s="428" t="s">
        <v>151</v>
      </c>
      <c r="Q38" s="428" t="s">
        <v>155</v>
      </c>
      <c r="R38" s="428" t="s">
        <v>7647</v>
      </c>
      <c r="S38" s="428"/>
      <c r="T38" s="428" t="s">
        <v>2629</v>
      </c>
      <c r="U38" s="428" t="s">
        <v>152</v>
      </c>
      <c r="V38" s="428" t="s">
        <v>18</v>
      </c>
    </row>
    <row r="39" spans="1:22">
      <c r="A39" s="6"/>
      <c r="B39" s="216">
        <v>46236</v>
      </c>
      <c r="C39" s="216">
        <v>46236</v>
      </c>
      <c r="D39" s="428" t="s">
        <v>7648</v>
      </c>
      <c r="E39" s="297">
        <v>260101421629</v>
      </c>
      <c r="F39" s="428" t="s">
        <v>87</v>
      </c>
      <c r="G39" s="428" t="s">
        <v>824</v>
      </c>
      <c r="H39" s="428">
        <v>152</v>
      </c>
      <c r="I39" s="428">
        <v>232</v>
      </c>
      <c r="J39" s="369">
        <v>232</v>
      </c>
      <c r="K39" s="428">
        <v>104</v>
      </c>
      <c r="L39" s="217">
        <v>1500</v>
      </c>
      <c r="M39" s="428" t="s">
        <v>153</v>
      </c>
      <c r="N39" s="428" t="s">
        <v>149</v>
      </c>
      <c r="O39" s="428" t="s">
        <v>154</v>
      </c>
      <c r="P39" s="428" t="s">
        <v>151</v>
      </c>
      <c r="Q39" s="428" t="s">
        <v>155</v>
      </c>
      <c r="R39" s="428" t="s">
        <v>7649</v>
      </c>
      <c r="S39" s="428"/>
      <c r="T39" s="428" t="s">
        <v>2629</v>
      </c>
      <c r="U39" s="428" t="s">
        <v>152</v>
      </c>
      <c r="V39" s="428" t="s">
        <v>18</v>
      </c>
    </row>
    <row r="40" spans="1:22">
      <c r="A40" s="6"/>
      <c r="B40" s="216">
        <v>46236</v>
      </c>
      <c r="C40" s="216">
        <v>46236</v>
      </c>
      <c r="D40" s="428" t="s">
        <v>7650</v>
      </c>
      <c r="E40" s="297">
        <v>260102821560</v>
      </c>
      <c r="F40" s="428" t="s">
        <v>87</v>
      </c>
      <c r="G40" s="428" t="s">
        <v>2359</v>
      </c>
      <c r="H40" s="428">
        <v>102</v>
      </c>
      <c r="I40" s="428">
        <v>241</v>
      </c>
      <c r="J40" s="369">
        <v>241</v>
      </c>
      <c r="K40" s="428">
        <v>125</v>
      </c>
      <c r="L40" s="217">
        <v>1000</v>
      </c>
      <c r="M40" s="428" t="s">
        <v>153</v>
      </c>
      <c r="N40" s="428" t="s">
        <v>149</v>
      </c>
      <c r="O40" s="428" t="s">
        <v>154</v>
      </c>
      <c r="P40" s="428" t="s">
        <v>151</v>
      </c>
      <c r="Q40" s="428" t="s">
        <v>155</v>
      </c>
      <c r="R40" s="428" t="s">
        <v>7651</v>
      </c>
      <c r="S40" s="428"/>
      <c r="T40" s="428" t="s">
        <v>2629</v>
      </c>
      <c r="U40" s="428" t="s">
        <v>152</v>
      </c>
      <c r="V40" s="428" t="s">
        <v>18</v>
      </c>
    </row>
    <row r="41" spans="1:22">
      <c r="A41" s="6"/>
      <c r="B41" s="216">
        <v>46236</v>
      </c>
      <c r="C41" s="216">
        <v>46236</v>
      </c>
      <c r="D41" s="428" t="s">
        <v>7652</v>
      </c>
      <c r="E41" s="297">
        <v>260105821602</v>
      </c>
      <c r="F41" s="428" t="s">
        <v>87</v>
      </c>
      <c r="G41" s="428" t="s">
        <v>824</v>
      </c>
      <c r="H41" s="428">
        <v>152</v>
      </c>
      <c r="I41" s="428">
        <v>267</v>
      </c>
      <c r="J41" s="369">
        <v>267</v>
      </c>
      <c r="K41" s="428">
        <v>104</v>
      </c>
      <c r="L41" s="217">
        <v>1760</v>
      </c>
      <c r="M41" s="428" t="s">
        <v>153</v>
      </c>
      <c r="N41" s="428" t="s">
        <v>149</v>
      </c>
      <c r="O41" s="428" t="s">
        <v>154</v>
      </c>
      <c r="P41" s="428" t="s">
        <v>151</v>
      </c>
      <c r="Q41" s="428" t="s">
        <v>155</v>
      </c>
      <c r="R41" s="428" t="s">
        <v>7653</v>
      </c>
      <c r="S41" s="428"/>
      <c r="T41" s="428" t="s">
        <v>2627</v>
      </c>
      <c r="U41" s="428" t="s">
        <v>152</v>
      </c>
      <c r="V41" s="428" t="s">
        <v>18</v>
      </c>
    </row>
    <row r="42" spans="1:22">
      <c r="A42" s="6"/>
      <c r="B42" s="216">
        <v>46236</v>
      </c>
      <c r="C42" s="216">
        <v>46236</v>
      </c>
      <c r="D42" s="428" t="s">
        <v>7654</v>
      </c>
      <c r="E42" s="297">
        <v>260102721562</v>
      </c>
      <c r="F42" s="428" t="s">
        <v>87</v>
      </c>
      <c r="G42" s="428" t="s">
        <v>2534</v>
      </c>
      <c r="H42" s="428">
        <v>112</v>
      </c>
      <c r="I42" s="428">
        <v>272</v>
      </c>
      <c r="J42" s="369">
        <v>272</v>
      </c>
      <c r="K42" s="428">
        <v>126</v>
      </c>
      <c r="L42" s="217">
        <v>1000</v>
      </c>
      <c r="M42" s="428" t="s">
        <v>153</v>
      </c>
      <c r="N42" s="428" t="s">
        <v>149</v>
      </c>
      <c r="O42" s="428" t="s">
        <v>154</v>
      </c>
      <c r="P42" s="428" t="s">
        <v>151</v>
      </c>
      <c r="Q42" s="428" t="s">
        <v>155</v>
      </c>
      <c r="R42" s="428" t="s">
        <v>7655</v>
      </c>
      <c r="S42" s="428"/>
      <c r="T42" s="428" t="s">
        <v>2627</v>
      </c>
      <c r="U42" s="428" t="s">
        <v>152</v>
      </c>
      <c r="V42" s="428" t="s">
        <v>18</v>
      </c>
    </row>
    <row r="43" spans="1:22">
      <c r="A43" s="6"/>
      <c r="B43" s="216">
        <v>46236</v>
      </c>
      <c r="C43" s="216">
        <v>46236</v>
      </c>
      <c r="D43" s="428" t="s">
        <v>7656</v>
      </c>
      <c r="E43" s="297">
        <v>260106121570</v>
      </c>
      <c r="F43" s="428" t="s">
        <v>87</v>
      </c>
      <c r="G43" s="428" t="s">
        <v>2230</v>
      </c>
      <c r="H43" s="428">
        <v>125</v>
      </c>
      <c r="I43" s="428">
        <v>271</v>
      </c>
      <c r="J43" s="369">
        <v>271</v>
      </c>
      <c r="K43" s="428">
        <v>87</v>
      </c>
      <c r="L43" s="217">
        <v>2580</v>
      </c>
      <c r="M43" s="428" t="s">
        <v>153</v>
      </c>
      <c r="N43" s="428" t="s">
        <v>149</v>
      </c>
      <c r="O43" s="428" t="s">
        <v>154</v>
      </c>
      <c r="P43" s="428" t="s">
        <v>151</v>
      </c>
      <c r="Q43" s="428" t="s">
        <v>155</v>
      </c>
      <c r="R43" s="428" t="s">
        <v>7657</v>
      </c>
      <c r="S43" s="428"/>
      <c r="T43" s="428" t="s">
        <v>2627</v>
      </c>
      <c r="U43" s="428" t="s">
        <v>152</v>
      </c>
      <c r="V43" s="428" t="s">
        <v>18</v>
      </c>
    </row>
    <row r="44" spans="1:22">
      <c r="A44" s="6"/>
      <c r="B44" s="216">
        <v>46236</v>
      </c>
      <c r="C44" s="216">
        <v>46236</v>
      </c>
      <c r="D44" s="428" t="s">
        <v>7658</v>
      </c>
      <c r="E44" s="297">
        <v>260104621581</v>
      </c>
      <c r="F44" s="428" t="s">
        <v>87</v>
      </c>
      <c r="G44" s="428" t="s">
        <v>824</v>
      </c>
      <c r="H44" s="428">
        <v>152</v>
      </c>
      <c r="I44" s="428">
        <v>313</v>
      </c>
      <c r="J44" s="369">
        <v>313</v>
      </c>
      <c r="K44" s="428">
        <v>104</v>
      </c>
      <c r="L44" s="217">
        <v>2080</v>
      </c>
      <c r="M44" s="428" t="s">
        <v>153</v>
      </c>
      <c r="N44" s="428" t="s">
        <v>149</v>
      </c>
      <c r="O44" s="428" t="s">
        <v>154</v>
      </c>
      <c r="P44" s="428" t="s">
        <v>151</v>
      </c>
      <c r="Q44" s="428" t="s">
        <v>155</v>
      </c>
      <c r="R44" s="428" t="s">
        <v>7659</v>
      </c>
      <c r="S44" s="428"/>
      <c r="T44" s="428" t="s">
        <v>2627</v>
      </c>
      <c r="U44" s="428" t="s">
        <v>152</v>
      </c>
      <c r="V44" s="428" t="s">
        <v>18</v>
      </c>
    </row>
    <row r="45" spans="1:22">
      <c r="A45" s="6"/>
      <c r="B45" s="216">
        <v>46236</v>
      </c>
      <c r="C45" s="216">
        <v>46236</v>
      </c>
      <c r="D45" s="428" t="s">
        <v>7660</v>
      </c>
      <c r="E45" s="297">
        <v>260102921601</v>
      </c>
      <c r="F45" s="428" t="s">
        <v>87</v>
      </c>
      <c r="G45" s="428" t="s">
        <v>824</v>
      </c>
      <c r="H45" s="428">
        <v>152</v>
      </c>
      <c r="I45" s="428">
        <v>258</v>
      </c>
      <c r="J45" s="369">
        <v>258</v>
      </c>
      <c r="K45" s="428">
        <v>104</v>
      </c>
      <c r="L45" s="217">
        <v>1700</v>
      </c>
      <c r="M45" s="428" t="s">
        <v>153</v>
      </c>
      <c r="N45" s="428" t="s">
        <v>149</v>
      </c>
      <c r="O45" s="428" t="s">
        <v>154</v>
      </c>
      <c r="P45" s="428" t="s">
        <v>151</v>
      </c>
      <c r="Q45" s="428" t="s">
        <v>155</v>
      </c>
      <c r="R45" s="428" t="s">
        <v>7661</v>
      </c>
      <c r="S45" s="428"/>
      <c r="T45" s="428" t="s">
        <v>2627</v>
      </c>
      <c r="U45" s="428" t="s">
        <v>152</v>
      </c>
      <c r="V45" s="428" t="s">
        <v>18</v>
      </c>
    </row>
    <row r="46" spans="1:22">
      <c r="A46" s="6"/>
      <c r="B46" s="216">
        <v>46236</v>
      </c>
      <c r="C46" s="216">
        <v>46236</v>
      </c>
      <c r="D46" s="428" t="s">
        <v>7662</v>
      </c>
      <c r="E46" s="297">
        <v>260102021573</v>
      </c>
      <c r="F46" s="428" t="s">
        <v>87</v>
      </c>
      <c r="G46" s="428" t="s">
        <v>2303</v>
      </c>
      <c r="H46" s="428">
        <v>92</v>
      </c>
      <c r="I46" s="428">
        <v>239</v>
      </c>
      <c r="J46" s="369">
        <v>239</v>
      </c>
      <c r="K46" s="428">
        <v>134</v>
      </c>
      <c r="L46" s="217">
        <v>1000</v>
      </c>
      <c r="M46" s="428" t="s">
        <v>153</v>
      </c>
      <c r="N46" s="428" t="s">
        <v>149</v>
      </c>
      <c r="O46" s="428" t="s">
        <v>154</v>
      </c>
      <c r="P46" s="428" t="s">
        <v>151</v>
      </c>
      <c r="Q46" s="428" t="s">
        <v>155</v>
      </c>
      <c r="R46" s="428" t="s">
        <v>7663</v>
      </c>
      <c r="S46" s="428"/>
      <c r="T46" s="428" t="s">
        <v>2627</v>
      </c>
      <c r="U46" s="428" t="s">
        <v>152</v>
      </c>
      <c r="V46" s="428" t="s">
        <v>18</v>
      </c>
    </row>
    <row r="47" spans="1:22">
      <c r="A47" s="6"/>
      <c r="B47" s="216">
        <v>46236</v>
      </c>
      <c r="C47" s="216">
        <v>46236</v>
      </c>
      <c r="D47" s="428" t="s">
        <v>7664</v>
      </c>
      <c r="E47" s="297">
        <v>260107821588</v>
      </c>
      <c r="F47" s="428" t="s">
        <v>87</v>
      </c>
      <c r="G47" s="428" t="s">
        <v>2309</v>
      </c>
      <c r="H47" s="428">
        <v>135</v>
      </c>
      <c r="I47" s="428">
        <v>311</v>
      </c>
      <c r="J47" s="369">
        <v>311</v>
      </c>
      <c r="K47" s="428">
        <v>92</v>
      </c>
      <c r="L47" s="217">
        <v>2515</v>
      </c>
      <c r="M47" s="428" t="s">
        <v>153</v>
      </c>
      <c r="N47" s="428" t="s">
        <v>149</v>
      </c>
      <c r="O47" s="428" t="s">
        <v>154</v>
      </c>
      <c r="P47" s="428" t="s">
        <v>151</v>
      </c>
      <c r="Q47" s="428" t="s">
        <v>155</v>
      </c>
      <c r="R47" s="428" t="s">
        <v>7665</v>
      </c>
      <c r="S47" s="428"/>
      <c r="T47" s="428" t="s">
        <v>2627</v>
      </c>
      <c r="U47" s="428" t="s">
        <v>152</v>
      </c>
      <c r="V47" s="428" t="s">
        <v>18</v>
      </c>
    </row>
    <row r="48" spans="1:22">
      <c r="A48" s="6"/>
      <c r="B48" s="216">
        <v>46236</v>
      </c>
      <c r="C48" s="216">
        <v>46236</v>
      </c>
      <c r="D48" s="428" t="s">
        <v>7666</v>
      </c>
      <c r="E48" s="297">
        <v>260105221478</v>
      </c>
      <c r="F48" s="428" t="s">
        <v>87</v>
      </c>
      <c r="G48" s="428" t="s">
        <v>2527</v>
      </c>
      <c r="H48" s="428">
        <v>152</v>
      </c>
      <c r="I48" s="428">
        <v>295</v>
      </c>
      <c r="J48" s="369">
        <v>295</v>
      </c>
      <c r="K48" s="428">
        <v>104</v>
      </c>
      <c r="L48" s="217">
        <v>1880</v>
      </c>
      <c r="M48" s="428" t="s">
        <v>153</v>
      </c>
      <c r="N48" s="428" t="s">
        <v>149</v>
      </c>
      <c r="O48" s="428" t="s">
        <v>154</v>
      </c>
      <c r="P48" s="428" t="s">
        <v>151</v>
      </c>
      <c r="Q48" s="428" t="s">
        <v>155</v>
      </c>
      <c r="R48" s="428" t="s">
        <v>7667</v>
      </c>
      <c r="S48" s="428"/>
      <c r="T48" s="428" t="s">
        <v>2627</v>
      </c>
      <c r="U48" s="428" t="s">
        <v>152</v>
      </c>
      <c r="V48" s="428" t="s">
        <v>18</v>
      </c>
    </row>
    <row r="49" spans="1:22">
      <c r="A49" s="6"/>
      <c r="B49" s="216">
        <v>46236</v>
      </c>
      <c r="C49" s="216">
        <v>46236</v>
      </c>
      <c r="D49" s="428" t="s">
        <v>7668</v>
      </c>
      <c r="E49" s="297">
        <v>260105021595</v>
      </c>
      <c r="F49" s="428" t="s">
        <v>87</v>
      </c>
      <c r="G49" s="428" t="s">
        <v>7603</v>
      </c>
      <c r="H49" s="428">
        <v>172</v>
      </c>
      <c r="I49" s="428">
        <v>299</v>
      </c>
      <c r="J49" s="369">
        <v>299</v>
      </c>
      <c r="K49" s="428">
        <v>98</v>
      </c>
      <c r="L49" s="217">
        <v>1810</v>
      </c>
      <c r="M49" s="428" t="s">
        <v>153</v>
      </c>
      <c r="N49" s="428" t="s">
        <v>149</v>
      </c>
      <c r="O49" s="428" t="s">
        <v>154</v>
      </c>
      <c r="P49" s="428" t="s">
        <v>151</v>
      </c>
      <c r="Q49" s="428" t="s">
        <v>155</v>
      </c>
      <c r="R49" s="428" t="s">
        <v>7669</v>
      </c>
      <c r="S49" s="428"/>
      <c r="T49" s="428" t="s">
        <v>2627</v>
      </c>
      <c r="U49" s="428" t="s">
        <v>152</v>
      </c>
      <c r="V49" s="428" t="s">
        <v>18</v>
      </c>
    </row>
    <row r="50" spans="1:22">
      <c r="A50" s="6"/>
      <c r="B50" s="216">
        <v>46236</v>
      </c>
      <c r="C50" s="216">
        <v>46236</v>
      </c>
      <c r="D50" s="428" t="s">
        <v>7670</v>
      </c>
      <c r="E50" s="297">
        <v>260102921600</v>
      </c>
      <c r="F50" s="428" t="s">
        <v>87</v>
      </c>
      <c r="G50" s="428" t="s">
        <v>824</v>
      </c>
      <c r="H50" s="428">
        <v>152</v>
      </c>
      <c r="I50" s="428">
        <v>254</v>
      </c>
      <c r="J50" s="369">
        <v>254</v>
      </c>
      <c r="K50" s="428">
        <v>104</v>
      </c>
      <c r="L50" s="217">
        <v>1700</v>
      </c>
      <c r="M50" s="428" t="s">
        <v>153</v>
      </c>
      <c r="N50" s="428" t="s">
        <v>149</v>
      </c>
      <c r="O50" s="428" t="s">
        <v>154</v>
      </c>
      <c r="P50" s="428" t="s">
        <v>151</v>
      </c>
      <c r="Q50" s="428" t="s">
        <v>155</v>
      </c>
      <c r="R50" s="428" t="s">
        <v>7671</v>
      </c>
      <c r="S50" s="428"/>
      <c r="T50" s="428" t="s">
        <v>2627</v>
      </c>
      <c r="U50" s="428" t="s">
        <v>152</v>
      </c>
      <c r="V50" s="428" t="s">
        <v>18</v>
      </c>
    </row>
    <row r="51" spans="1:22">
      <c r="A51" s="6"/>
      <c r="B51" s="216">
        <v>46236</v>
      </c>
      <c r="C51" s="216">
        <v>46236</v>
      </c>
      <c r="D51" s="428" t="s">
        <v>7672</v>
      </c>
      <c r="E51" s="297">
        <v>260107921587</v>
      </c>
      <c r="F51" s="428" t="s">
        <v>87</v>
      </c>
      <c r="G51" s="428" t="s">
        <v>2413</v>
      </c>
      <c r="H51" s="428">
        <v>132</v>
      </c>
      <c r="I51" s="428">
        <v>153</v>
      </c>
      <c r="J51" s="369">
        <v>153</v>
      </c>
      <c r="K51" s="428">
        <v>92</v>
      </c>
      <c r="L51" s="217">
        <v>1300</v>
      </c>
      <c r="M51" s="428" t="s">
        <v>153</v>
      </c>
      <c r="N51" s="428" t="s">
        <v>149</v>
      </c>
      <c r="O51" s="428" t="s">
        <v>154</v>
      </c>
      <c r="P51" s="428" t="s">
        <v>151</v>
      </c>
      <c r="Q51" s="428" t="s">
        <v>155</v>
      </c>
      <c r="R51" s="428" t="s">
        <v>7673</v>
      </c>
      <c r="S51" s="428"/>
      <c r="T51" s="428" t="s">
        <v>2627</v>
      </c>
      <c r="U51" s="428" t="s">
        <v>152</v>
      </c>
      <c r="V51" s="428" t="s">
        <v>18</v>
      </c>
    </row>
    <row r="52" spans="1:22">
      <c r="A52" s="6"/>
      <c r="B52" s="216">
        <v>46236</v>
      </c>
      <c r="C52" s="216">
        <v>46236</v>
      </c>
      <c r="D52" s="428" t="s">
        <v>7674</v>
      </c>
      <c r="E52" s="297">
        <v>260102821610</v>
      </c>
      <c r="F52" s="428" t="s">
        <v>87</v>
      </c>
      <c r="G52" s="428" t="s">
        <v>2359</v>
      </c>
      <c r="H52" s="428">
        <v>102</v>
      </c>
      <c r="I52" s="428">
        <v>242</v>
      </c>
      <c r="J52" s="369">
        <v>242</v>
      </c>
      <c r="K52" s="428">
        <v>125</v>
      </c>
      <c r="L52" s="217">
        <v>1000</v>
      </c>
      <c r="M52" s="428" t="s">
        <v>153</v>
      </c>
      <c r="N52" s="428" t="s">
        <v>149</v>
      </c>
      <c r="O52" s="428" t="s">
        <v>154</v>
      </c>
      <c r="P52" s="428" t="s">
        <v>151</v>
      </c>
      <c r="Q52" s="428" t="s">
        <v>155</v>
      </c>
      <c r="R52" s="428" t="s">
        <v>7675</v>
      </c>
      <c r="S52" s="428"/>
      <c r="T52" s="428" t="s">
        <v>2627</v>
      </c>
      <c r="U52" s="428" t="s">
        <v>152</v>
      </c>
      <c r="V52" s="428" t="s">
        <v>18</v>
      </c>
    </row>
    <row r="53" spans="1:22">
      <c r="A53" s="6"/>
      <c r="B53" s="216">
        <v>46236</v>
      </c>
      <c r="C53" s="216">
        <v>46236</v>
      </c>
      <c r="D53" s="428" t="s">
        <v>7676</v>
      </c>
      <c r="E53" s="297">
        <v>260101621612</v>
      </c>
      <c r="F53" s="428" t="s">
        <v>87</v>
      </c>
      <c r="G53" s="428" t="s">
        <v>2079</v>
      </c>
      <c r="H53" s="428">
        <v>112</v>
      </c>
      <c r="I53" s="428">
        <v>412</v>
      </c>
      <c r="J53" s="369">
        <v>412</v>
      </c>
      <c r="K53" s="428">
        <v>180</v>
      </c>
      <c r="L53" s="217">
        <v>1050</v>
      </c>
      <c r="M53" s="428" t="s">
        <v>153</v>
      </c>
      <c r="N53" s="428" t="s">
        <v>149</v>
      </c>
      <c r="O53" s="428" t="s">
        <v>154</v>
      </c>
      <c r="P53" s="428" t="s">
        <v>151</v>
      </c>
      <c r="Q53" s="428" t="s">
        <v>155</v>
      </c>
      <c r="R53" s="428" t="s">
        <v>7677</v>
      </c>
      <c r="S53" s="428"/>
      <c r="T53" s="428" t="s">
        <v>2627</v>
      </c>
      <c r="U53" s="428" t="s">
        <v>152</v>
      </c>
      <c r="V53" s="428" t="s">
        <v>18</v>
      </c>
    </row>
    <row r="54" spans="1:22">
      <c r="A54" s="6"/>
      <c r="B54" s="216">
        <v>46236</v>
      </c>
      <c r="C54" s="216">
        <v>46236</v>
      </c>
      <c r="D54" s="428" t="s">
        <v>7678</v>
      </c>
      <c r="E54" s="297">
        <v>260102021619</v>
      </c>
      <c r="F54" s="428" t="s">
        <v>87</v>
      </c>
      <c r="G54" s="428" t="s">
        <v>2303</v>
      </c>
      <c r="H54" s="428">
        <v>92</v>
      </c>
      <c r="I54" s="428">
        <v>238</v>
      </c>
      <c r="J54" s="369">
        <v>238</v>
      </c>
      <c r="K54" s="428">
        <v>134</v>
      </c>
      <c r="L54" s="217">
        <v>1000</v>
      </c>
      <c r="M54" s="428" t="s">
        <v>153</v>
      </c>
      <c r="N54" s="428" t="s">
        <v>149</v>
      </c>
      <c r="O54" s="428" t="s">
        <v>154</v>
      </c>
      <c r="P54" s="428" t="s">
        <v>151</v>
      </c>
      <c r="Q54" s="428" t="s">
        <v>155</v>
      </c>
      <c r="R54" s="428" t="s">
        <v>7679</v>
      </c>
      <c r="S54" s="428"/>
      <c r="T54" s="428" t="s">
        <v>2627</v>
      </c>
      <c r="U54" s="428" t="s">
        <v>152</v>
      </c>
      <c r="V54" s="428" t="s">
        <v>18</v>
      </c>
    </row>
    <row r="55" spans="1:22">
      <c r="A55" s="6"/>
      <c r="B55" s="216">
        <v>46236</v>
      </c>
      <c r="C55" s="216">
        <v>46236</v>
      </c>
      <c r="D55" s="428" t="s">
        <v>7680</v>
      </c>
      <c r="E55" s="297">
        <v>260100421561</v>
      </c>
      <c r="F55" s="428" t="s">
        <v>87</v>
      </c>
      <c r="G55" s="428" t="s">
        <v>2420</v>
      </c>
      <c r="H55" s="428">
        <v>122</v>
      </c>
      <c r="I55" s="428">
        <v>430</v>
      </c>
      <c r="J55" s="369">
        <v>430</v>
      </c>
      <c r="K55" s="428">
        <v>190</v>
      </c>
      <c r="L55" s="217">
        <v>940</v>
      </c>
      <c r="M55" s="428" t="s">
        <v>153</v>
      </c>
      <c r="N55" s="428" t="s">
        <v>149</v>
      </c>
      <c r="O55" s="428" t="s">
        <v>154</v>
      </c>
      <c r="P55" s="428" t="s">
        <v>151</v>
      </c>
      <c r="Q55" s="428" t="s">
        <v>155</v>
      </c>
      <c r="R55" s="428" t="s">
        <v>7681</v>
      </c>
      <c r="S55" s="428"/>
      <c r="T55" s="428" t="s">
        <v>2627</v>
      </c>
      <c r="U55" s="428" t="s">
        <v>152</v>
      </c>
      <c r="V55" s="428" t="s">
        <v>18</v>
      </c>
    </row>
    <row r="56" spans="1:22">
      <c r="A56" s="6"/>
      <c r="B56" s="216">
        <v>46236</v>
      </c>
      <c r="C56" s="216">
        <v>46236</v>
      </c>
      <c r="D56" s="428" t="s">
        <v>7682</v>
      </c>
      <c r="E56" s="297">
        <v>260103421576</v>
      </c>
      <c r="F56" s="428" t="s">
        <v>87</v>
      </c>
      <c r="G56" s="428" t="s">
        <v>824</v>
      </c>
      <c r="H56" s="428">
        <v>152</v>
      </c>
      <c r="I56" s="428">
        <v>286</v>
      </c>
      <c r="J56" s="369">
        <v>286</v>
      </c>
      <c r="K56" s="428">
        <v>104</v>
      </c>
      <c r="L56" s="217">
        <v>1870</v>
      </c>
      <c r="M56" s="428" t="s">
        <v>153</v>
      </c>
      <c r="N56" s="428" t="s">
        <v>149</v>
      </c>
      <c r="O56" s="428" t="s">
        <v>154</v>
      </c>
      <c r="P56" s="428" t="s">
        <v>151</v>
      </c>
      <c r="Q56" s="428" t="s">
        <v>155</v>
      </c>
      <c r="R56" s="428" t="s">
        <v>7683</v>
      </c>
      <c r="S56" s="428"/>
      <c r="T56" s="428" t="s">
        <v>2627</v>
      </c>
      <c r="U56" s="428" t="s">
        <v>152</v>
      </c>
      <c r="V56" s="428" t="s">
        <v>18</v>
      </c>
    </row>
    <row r="57" spans="1:22">
      <c r="A57" s="6"/>
      <c r="B57" s="216">
        <v>46236</v>
      </c>
      <c r="C57" s="216">
        <v>46236</v>
      </c>
      <c r="D57" s="428" t="s">
        <v>7684</v>
      </c>
      <c r="E57" s="297">
        <v>260101821617</v>
      </c>
      <c r="F57" s="428" t="s">
        <v>87</v>
      </c>
      <c r="G57" s="428" t="s">
        <v>2538</v>
      </c>
      <c r="H57" s="428">
        <v>125</v>
      </c>
      <c r="I57" s="428">
        <v>283</v>
      </c>
      <c r="J57" s="369">
        <v>283</v>
      </c>
      <c r="K57" s="428">
        <v>140</v>
      </c>
      <c r="L57" s="217">
        <v>800</v>
      </c>
      <c r="M57" s="428" t="s">
        <v>153</v>
      </c>
      <c r="N57" s="428" t="s">
        <v>149</v>
      </c>
      <c r="O57" s="428" t="s">
        <v>154</v>
      </c>
      <c r="P57" s="428" t="s">
        <v>151</v>
      </c>
      <c r="Q57" s="428" t="s">
        <v>155</v>
      </c>
      <c r="R57" s="428" t="s">
        <v>7685</v>
      </c>
      <c r="S57" s="428"/>
      <c r="T57" s="428" t="s">
        <v>2627</v>
      </c>
      <c r="U57" s="428" t="s">
        <v>152</v>
      </c>
      <c r="V57" s="428" t="s">
        <v>18</v>
      </c>
    </row>
    <row r="58" spans="1:22">
      <c r="A58" s="6"/>
      <c r="B58" s="216">
        <v>46236</v>
      </c>
      <c r="C58" s="216">
        <v>46236</v>
      </c>
      <c r="D58" s="428" t="s">
        <v>7686</v>
      </c>
      <c r="E58" s="297">
        <v>260101921618</v>
      </c>
      <c r="F58" s="428" t="s">
        <v>87</v>
      </c>
      <c r="G58" s="428" t="s">
        <v>2303</v>
      </c>
      <c r="H58" s="428">
        <v>92</v>
      </c>
      <c r="I58" s="428">
        <v>235</v>
      </c>
      <c r="J58" s="369">
        <v>235</v>
      </c>
      <c r="K58" s="428">
        <v>134</v>
      </c>
      <c r="L58" s="217">
        <v>1000</v>
      </c>
      <c r="M58" s="428" t="s">
        <v>153</v>
      </c>
      <c r="N58" s="428" t="s">
        <v>149</v>
      </c>
      <c r="O58" s="428" t="s">
        <v>154</v>
      </c>
      <c r="P58" s="428" t="s">
        <v>151</v>
      </c>
      <c r="Q58" s="428" t="s">
        <v>155</v>
      </c>
      <c r="R58" s="428" t="s">
        <v>7687</v>
      </c>
      <c r="S58" s="428"/>
      <c r="T58" s="428" t="s">
        <v>2627</v>
      </c>
      <c r="U58" s="428" t="s">
        <v>152</v>
      </c>
      <c r="V58" s="428" t="s">
        <v>18</v>
      </c>
    </row>
    <row r="59" spans="1:22">
      <c r="A59" s="6"/>
      <c r="B59" s="216">
        <v>46236</v>
      </c>
      <c r="C59" s="216">
        <v>46236</v>
      </c>
      <c r="D59" s="428" t="s">
        <v>7688</v>
      </c>
      <c r="E59" s="297">
        <v>260101721563</v>
      </c>
      <c r="F59" s="428" t="s">
        <v>87</v>
      </c>
      <c r="G59" s="428" t="s">
        <v>2303</v>
      </c>
      <c r="H59" s="428">
        <v>92</v>
      </c>
      <c r="I59" s="428">
        <v>237</v>
      </c>
      <c r="J59" s="369">
        <v>237</v>
      </c>
      <c r="K59" s="428">
        <v>134</v>
      </c>
      <c r="L59" s="217">
        <v>1000</v>
      </c>
      <c r="M59" s="428" t="s">
        <v>153</v>
      </c>
      <c r="N59" s="428" t="s">
        <v>149</v>
      </c>
      <c r="O59" s="428" t="s">
        <v>154</v>
      </c>
      <c r="P59" s="428" t="s">
        <v>151</v>
      </c>
      <c r="Q59" s="428" t="s">
        <v>155</v>
      </c>
      <c r="R59" s="428" t="s">
        <v>7689</v>
      </c>
      <c r="S59" s="428"/>
      <c r="T59" s="428" t="s">
        <v>2627</v>
      </c>
      <c r="U59" s="428" t="s">
        <v>152</v>
      </c>
      <c r="V59" s="428" t="s">
        <v>18</v>
      </c>
    </row>
    <row r="60" spans="1:22">
      <c r="A60" s="6"/>
      <c r="B60" s="216">
        <v>46236</v>
      </c>
      <c r="C60" s="216">
        <v>46236</v>
      </c>
      <c r="D60" s="428" t="s">
        <v>7690</v>
      </c>
      <c r="E60" s="297">
        <v>260103921564</v>
      </c>
      <c r="F60" s="428" t="s">
        <v>87</v>
      </c>
      <c r="G60" s="428" t="s">
        <v>2309</v>
      </c>
      <c r="H60" s="428">
        <v>135</v>
      </c>
      <c r="I60" s="428">
        <v>239</v>
      </c>
      <c r="J60" s="369">
        <v>239</v>
      </c>
      <c r="K60" s="428">
        <v>92</v>
      </c>
      <c r="L60" s="217">
        <v>2000</v>
      </c>
      <c r="M60" s="428" t="s">
        <v>153</v>
      </c>
      <c r="N60" s="428" t="s">
        <v>149</v>
      </c>
      <c r="O60" s="428" t="s">
        <v>154</v>
      </c>
      <c r="P60" s="428" t="s">
        <v>151</v>
      </c>
      <c r="Q60" s="428" t="s">
        <v>155</v>
      </c>
      <c r="R60" s="428" t="s">
        <v>7691</v>
      </c>
      <c r="S60" s="428"/>
      <c r="T60" s="428" t="s">
        <v>2627</v>
      </c>
      <c r="U60" s="428" t="s">
        <v>152</v>
      </c>
      <c r="V60" s="428" t="s">
        <v>18</v>
      </c>
    </row>
    <row r="61" spans="1:22">
      <c r="A61" s="6"/>
      <c r="B61" s="216">
        <v>46236</v>
      </c>
      <c r="C61" s="216">
        <v>46236</v>
      </c>
      <c r="D61" s="428" t="s">
        <v>7692</v>
      </c>
      <c r="E61" s="297">
        <v>260101921575</v>
      </c>
      <c r="F61" s="428" t="s">
        <v>87</v>
      </c>
      <c r="G61" s="428" t="s">
        <v>2303</v>
      </c>
      <c r="H61" s="428">
        <v>92</v>
      </c>
      <c r="I61" s="428">
        <v>234</v>
      </c>
      <c r="J61" s="369">
        <v>234</v>
      </c>
      <c r="K61" s="428">
        <v>134</v>
      </c>
      <c r="L61" s="217">
        <v>1000</v>
      </c>
      <c r="M61" s="428" t="s">
        <v>153</v>
      </c>
      <c r="N61" s="428" t="s">
        <v>149</v>
      </c>
      <c r="O61" s="428" t="s">
        <v>154</v>
      </c>
      <c r="P61" s="428" t="s">
        <v>151</v>
      </c>
      <c r="Q61" s="428" t="s">
        <v>155</v>
      </c>
      <c r="R61" s="428" t="s">
        <v>7693</v>
      </c>
      <c r="S61" s="428"/>
      <c r="T61" s="428" t="s">
        <v>2627</v>
      </c>
      <c r="U61" s="428" t="s">
        <v>152</v>
      </c>
      <c r="V61" s="428" t="s">
        <v>18</v>
      </c>
    </row>
    <row r="62" spans="1:22">
      <c r="A62" s="6"/>
      <c r="B62" s="216">
        <v>46236</v>
      </c>
      <c r="C62" s="216">
        <v>46236</v>
      </c>
      <c r="D62" s="428" t="s">
        <v>7694</v>
      </c>
      <c r="E62" s="297">
        <v>260105321598</v>
      </c>
      <c r="F62" s="428" t="s">
        <v>87</v>
      </c>
      <c r="G62" s="428" t="s">
        <v>824</v>
      </c>
      <c r="H62" s="428">
        <v>152</v>
      </c>
      <c r="I62" s="428">
        <v>353</v>
      </c>
      <c r="J62" s="369">
        <v>353</v>
      </c>
      <c r="K62" s="428">
        <v>104</v>
      </c>
      <c r="L62" s="217">
        <v>2340</v>
      </c>
      <c r="M62" s="428" t="s">
        <v>153</v>
      </c>
      <c r="N62" s="428" t="s">
        <v>149</v>
      </c>
      <c r="O62" s="428" t="s">
        <v>154</v>
      </c>
      <c r="P62" s="428" t="s">
        <v>151</v>
      </c>
      <c r="Q62" s="428" t="s">
        <v>155</v>
      </c>
      <c r="R62" s="428" t="s">
        <v>7695</v>
      </c>
      <c r="S62" s="428"/>
      <c r="T62" s="428" t="s">
        <v>2627</v>
      </c>
      <c r="U62" s="428" t="s">
        <v>152</v>
      </c>
      <c r="V62" s="428" t="s">
        <v>18</v>
      </c>
    </row>
    <row r="63" spans="1:22">
      <c r="A63" s="6"/>
      <c r="B63" s="216">
        <v>46236</v>
      </c>
      <c r="C63" s="216">
        <v>46236</v>
      </c>
      <c r="D63" s="428" t="s">
        <v>7696</v>
      </c>
      <c r="E63" s="297">
        <v>260104121599</v>
      </c>
      <c r="F63" s="428" t="s">
        <v>87</v>
      </c>
      <c r="G63" s="428" t="s">
        <v>2361</v>
      </c>
      <c r="H63" s="428">
        <v>182</v>
      </c>
      <c r="I63" s="428">
        <v>297</v>
      </c>
      <c r="J63" s="369">
        <v>297</v>
      </c>
      <c r="K63" s="428">
        <v>98</v>
      </c>
      <c r="L63" s="217">
        <v>1700</v>
      </c>
      <c r="M63" s="428" t="s">
        <v>153</v>
      </c>
      <c r="N63" s="428" t="s">
        <v>149</v>
      </c>
      <c r="O63" s="428" t="s">
        <v>154</v>
      </c>
      <c r="P63" s="428" t="s">
        <v>151</v>
      </c>
      <c r="Q63" s="428" t="s">
        <v>155</v>
      </c>
      <c r="R63" s="428" t="s">
        <v>7697</v>
      </c>
      <c r="S63" s="428"/>
      <c r="T63" s="428" t="s">
        <v>2627</v>
      </c>
      <c r="U63" s="428" t="s">
        <v>152</v>
      </c>
      <c r="V63" s="428" t="s">
        <v>18</v>
      </c>
    </row>
    <row r="64" spans="1:22">
      <c r="A64" s="6"/>
      <c r="B64" s="216">
        <v>46236</v>
      </c>
      <c r="C64" s="216">
        <v>46236</v>
      </c>
      <c r="D64" s="428" t="s">
        <v>7698</v>
      </c>
      <c r="E64" s="297">
        <v>260106821583</v>
      </c>
      <c r="F64" s="428" t="s">
        <v>87</v>
      </c>
      <c r="G64" s="428" t="s">
        <v>2413</v>
      </c>
      <c r="H64" s="428">
        <v>125</v>
      </c>
      <c r="I64" s="428">
        <v>323</v>
      </c>
      <c r="J64" s="369">
        <v>323</v>
      </c>
      <c r="K64" s="428">
        <v>92</v>
      </c>
      <c r="L64" s="217">
        <v>2870</v>
      </c>
      <c r="M64" s="428" t="s">
        <v>153</v>
      </c>
      <c r="N64" s="428" t="s">
        <v>149</v>
      </c>
      <c r="O64" s="428" t="s">
        <v>154</v>
      </c>
      <c r="P64" s="428" t="s">
        <v>151</v>
      </c>
      <c r="Q64" s="428" t="s">
        <v>155</v>
      </c>
      <c r="R64" s="428" t="s">
        <v>7699</v>
      </c>
      <c r="S64" s="428"/>
      <c r="T64" s="428" t="s">
        <v>2627</v>
      </c>
      <c r="U64" s="428" t="s">
        <v>152</v>
      </c>
      <c r="V64" s="428" t="s">
        <v>18</v>
      </c>
    </row>
    <row r="65" spans="1:22">
      <c r="A65" s="6"/>
      <c r="B65" s="216">
        <v>46236</v>
      </c>
      <c r="C65" s="216">
        <v>46236</v>
      </c>
      <c r="D65" s="428" t="s">
        <v>7700</v>
      </c>
      <c r="E65" s="297">
        <v>260103821566</v>
      </c>
      <c r="F65" s="428" t="s">
        <v>87</v>
      </c>
      <c r="G65" s="428" t="s">
        <v>824</v>
      </c>
      <c r="H65" s="428">
        <v>182</v>
      </c>
      <c r="I65" s="428">
        <v>307</v>
      </c>
      <c r="J65" s="369">
        <v>307</v>
      </c>
      <c r="K65" s="428">
        <v>104</v>
      </c>
      <c r="L65" s="217">
        <v>1620</v>
      </c>
      <c r="M65" s="428" t="s">
        <v>153</v>
      </c>
      <c r="N65" s="428" t="s">
        <v>149</v>
      </c>
      <c r="O65" s="428" t="s">
        <v>154</v>
      </c>
      <c r="P65" s="428" t="s">
        <v>151</v>
      </c>
      <c r="Q65" s="428" t="s">
        <v>155</v>
      </c>
      <c r="R65" s="428" t="s">
        <v>7701</v>
      </c>
      <c r="S65" s="428"/>
      <c r="T65" s="428" t="s">
        <v>2627</v>
      </c>
      <c r="U65" s="428" t="s">
        <v>152</v>
      </c>
      <c r="V65" s="428" t="s">
        <v>18</v>
      </c>
    </row>
    <row r="66" spans="1:22">
      <c r="A66" s="6"/>
      <c r="B66" s="216">
        <v>46236</v>
      </c>
      <c r="C66" s="216">
        <v>46236</v>
      </c>
      <c r="D66" s="428" t="s">
        <v>7702</v>
      </c>
      <c r="E66" s="297">
        <v>260100721609</v>
      </c>
      <c r="F66" s="428" t="s">
        <v>87</v>
      </c>
      <c r="G66" s="428" t="s">
        <v>7586</v>
      </c>
      <c r="H66" s="428">
        <v>122</v>
      </c>
      <c r="I66" s="428">
        <v>385</v>
      </c>
      <c r="J66" s="369">
        <v>385</v>
      </c>
      <c r="K66" s="428">
        <v>170</v>
      </c>
      <c r="L66" s="217">
        <v>940</v>
      </c>
      <c r="M66" s="428" t="s">
        <v>153</v>
      </c>
      <c r="N66" s="428" t="s">
        <v>149</v>
      </c>
      <c r="O66" s="428" t="s">
        <v>154</v>
      </c>
      <c r="P66" s="428" t="s">
        <v>151</v>
      </c>
      <c r="Q66" s="428" t="s">
        <v>155</v>
      </c>
      <c r="R66" s="428" t="s">
        <v>7703</v>
      </c>
      <c r="S66" s="428"/>
      <c r="T66" s="428" t="s">
        <v>2627</v>
      </c>
      <c r="U66" s="428" t="s">
        <v>152</v>
      </c>
      <c r="V66" s="428" t="s">
        <v>18</v>
      </c>
    </row>
    <row r="67" spans="1:22">
      <c r="A67" s="6"/>
      <c r="B67" s="216">
        <v>46236</v>
      </c>
      <c r="C67" s="216">
        <v>46236</v>
      </c>
      <c r="D67" s="428" t="s">
        <v>7704</v>
      </c>
      <c r="E67" s="297">
        <v>260102621613</v>
      </c>
      <c r="F67" s="428" t="s">
        <v>87</v>
      </c>
      <c r="G67" s="428" t="s">
        <v>2359</v>
      </c>
      <c r="H67" s="428">
        <v>102</v>
      </c>
      <c r="I67" s="428">
        <v>245</v>
      </c>
      <c r="J67" s="369">
        <v>245</v>
      </c>
      <c r="K67" s="428">
        <v>125</v>
      </c>
      <c r="L67" s="217">
        <v>1000</v>
      </c>
      <c r="M67" s="428" t="s">
        <v>153</v>
      </c>
      <c r="N67" s="428" t="s">
        <v>149</v>
      </c>
      <c r="O67" s="428" t="s">
        <v>154</v>
      </c>
      <c r="P67" s="428" t="s">
        <v>151</v>
      </c>
      <c r="Q67" s="428" t="s">
        <v>155</v>
      </c>
      <c r="R67" s="428" t="s">
        <v>7705</v>
      </c>
      <c r="S67" s="428"/>
      <c r="T67" s="428" t="s">
        <v>2627</v>
      </c>
      <c r="U67" s="428" t="s">
        <v>152</v>
      </c>
      <c r="V67" s="428" t="s">
        <v>18</v>
      </c>
    </row>
    <row r="68" spans="1:22">
      <c r="A68" s="6"/>
      <c r="B68" s="216">
        <v>46236</v>
      </c>
      <c r="C68" s="216">
        <v>46236</v>
      </c>
      <c r="D68" s="428" t="s">
        <v>7706</v>
      </c>
      <c r="E68" s="297">
        <v>260105621558</v>
      </c>
      <c r="F68" s="428" t="s">
        <v>87</v>
      </c>
      <c r="G68" s="428" t="s">
        <v>2533</v>
      </c>
      <c r="H68" s="428" t="s">
        <v>2524</v>
      </c>
      <c r="I68" s="428">
        <v>470</v>
      </c>
      <c r="J68" s="369">
        <v>470</v>
      </c>
      <c r="K68" s="428">
        <v>119</v>
      </c>
      <c r="L68" s="217">
        <v>2450</v>
      </c>
      <c r="M68" s="428" t="s">
        <v>153</v>
      </c>
      <c r="N68" s="428" t="s">
        <v>149</v>
      </c>
      <c r="O68" s="428" t="s">
        <v>154</v>
      </c>
      <c r="P68" s="428" t="s">
        <v>151</v>
      </c>
      <c r="Q68" s="428" t="s">
        <v>156</v>
      </c>
      <c r="R68" s="428" t="s">
        <v>7707</v>
      </c>
      <c r="S68" s="428"/>
      <c r="T68" s="428" t="s">
        <v>2627</v>
      </c>
      <c r="U68" s="428" t="s">
        <v>152</v>
      </c>
      <c r="V68" s="428" t="s">
        <v>20</v>
      </c>
    </row>
    <row r="69" spans="1:22">
      <c r="A69" s="6"/>
      <c r="B69" s="216">
        <v>46236</v>
      </c>
      <c r="C69" s="216">
        <v>46236</v>
      </c>
      <c r="D69" s="428" t="s">
        <v>7708</v>
      </c>
      <c r="E69" s="297">
        <v>260106821342</v>
      </c>
      <c r="F69" s="428" t="s">
        <v>87</v>
      </c>
      <c r="G69" s="428" t="s">
        <v>2413</v>
      </c>
      <c r="H69" s="428">
        <v>125</v>
      </c>
      <c r="I69" s="428">
        <v>283</v>
      </c>
      <c r="J69" s="369">
        <v>283</v>
      </c>
      <c r="K69" s="428">
        <v>92</v>
      </c>
      <c r="L69" s="217">
        <v>2580</v>
      </c>
      <c r="M69" s="428" t="s">
        <v>153</v>
      </c>
      <c r="N69" s="428" t="s">
        <v>149</v>
      </c>
      <c r="O69" s="428" t="s">
        <v>154</v>
      </c>
      <c r="P69" s="428" t="s">
        <v>151</v>
      </c>
      <c r="Q69" s="428" t="s">
        <v>155</v>
      </c>
      <c r="R69" s="428" t="s">
        <v>7709</v>
      </c>
      <c r="S69" s="428"/>
      <c r="T69" s="428" t="s">
        <v>7710</v>
      </c>
      <c r="U69" s="428" t="s">
        <v>152</v>
      </c>
      <c r="V69" s="428" t="s">
        <v>18</v>
      </c>
    </row>
    <row r="70" spans="1:22">
      <c r="A70" s="6"/>
      <c r="B70" s="216">
        <v>46236</v>
      </c>
      <c r="C70" s="216">
        <v>46236</v>
      </c>
      <c r="D70" s="428" t="s">
        <v>7711</v>
      </c>
      <c r="E70" s="297">
        <v>260107721468</v>
      </c>
      <c r="F70" s="428" t="s">
        <v>87</v>
      </c>
      <c r="G70" s="428" t="s">
        <v>2516</v>
      </c>
      <c r="H70" s="428">
        <v>122</v>
      </c>
      <c r="I70" s="428">
        <v>268</v>
      </c>
      <c r="J70" s="369">
        <v>268</v>
      </c>
      <c r="K70" s="428">
        <v>89</v>
      </c>
      <c r="L70" s="217">
        <v>2500</v>
      </c>
      <c r="M70" s="428" t="s">
        <v>153</v>
      </c>
      <c r="N70" s="428" t="s">
        <v>149</v>
      </c>
      <c r="O70" s="428" t="s">
        <v>154</v>
      </c>
      <c r="P70" s="428" t="s">
        <v>151</v>
      </c>
      <c r="Q70" s="428" t="s">
        <v>155</v>
      </c>
      <c r="R70" s="428" t="s">
        <v>7712</v>
      </c>
      <c r="S70" s="428"/>
      <c r="T70" s="428" t="s">
        <v>7710</v>
      </c>
      <c r="U70" s="428" t="s">
        <v>152</v>
      </c>
      <c r="V70" s="428" t="s">
        <v>18</v>
      </c>
    </row>
    <row r="71" spans="1:22">
      <c r="A71" s="6"/>
      <c r="B71" s="216">
        <v>46236</v>
      </c>
      <c r="C71" s="216">
        <v>46236</v>
      </c>
      <c r="D71" s="428" t="s">
        <v>7713</v>
      </c>
      <c r="E71" s="297">
        <v>260107121540</v>
      </c>
      <c r="F71" s="428" t="s">
        <v>87</v>
      </c>
      <c r="G71" s="428" t="s">
        <v>7603</v>
      </c>
      <c r="H71" s="428">
        <v>142</v>
      </c>
      <c r="I71" s="428">
        <v>186</v>
      </c>
      <c r="J71" s="369">
        <v>186</v>
      </c>
      <c r="K71" s="428">
        <v>98</v>
      </c>
      <c r="L71" s="217">
        <v>1365</v>
      </c>
      <c r="M71" s="428" t="s">
        <v>153</v>
      </c>
      <c r="N71" s="428" t="s">
        <v>149</v>
      </c>
      <c r="O71" s="428" t="s">
        <v>154</v>
      </c>
      <c r="P71" s="428" t="s">
        <v>151</v>
      </c>
      <c r="Q71" s="428" t="s">
        <v>155</v>
      </c>
      <c r="R71" s="428" t="s">
        <v>7714</v>
      </c>
      <c r="S71" s="428"/>
      <c r="T71" s="428" t="s">
        <v>7710</v>
      </c>
      <c r="U71" s="428" t="s">
        <v>152</v>
      </c>
      <c r="V71" s="428" t="s">
        <v>18</v>
      </c>
    </row>
    <row r="72" spans="1:22">
      <c r="A72" s="6"/>
      <c r="B72" s="216">
        <v>46236</v>
      </c>
      <c r="C72" s="216">
        <v>46236</v>
      </c>
      <c r="D72" s="428" t="s">
        <v>7715</v>
      </c>
      <c r="E72" s="297">
        <v>260100921547</v>
      </c>
      <c r="F72" s="428" t="s">
        <v>87</v>
      </c>
      <c r="G72" s="428" t="s">
        <v>2521</v>
      </c>
      <c r="H72" s="428">
        <v>182</v>
      </c>
      <c r="I72" s="428">
        <v>387</v>
      </c>
      <c r="J72" s="369">
        <v>387</v>
      </c>
      <c r="K72" s="428">
        <v>190</v>
      </c>
      <c r="L72" s="217">
        <v>590</v>
      </c>
      <c r="M72" s="428" t="s">
        <v>153</v>
      </c>
      <c r="N72" s="428" t="s">
        <v>149</v>
      </c>
      <c r="O72" s="428" t="s">
        <v>154</v>
      </c>
      <c r="P72" s="428" t="s">
        <v>151</v>
      </c>
      <c r="Q72" s="428" t="s">
        <v>155</v>
      </c>
      <c r="R72" s="428" t="s">
        <v>7716</v>
      </c>
      <c r="S72" s="428"/>
      <c r="T72" s="428" t="s">
        <v>7710</v>
      </c>
      <c r="U72" s="428" t="s">
        <v>152</v>
      </c>
      <c r="V72" s="428" t="s">
        <v>18</v>
      </c>
    </row>
    <row r="73" spans="1:22">
      <c r="A73" s="6"/>
      <c r="B73" s="216">
        <v>46236</v>
      </c>
      <c r="C73" s="216">
        <v>46236</v>
      </c>
      <c r="D73" s="428" t="s">
        <v>7717</v>
      </c>
      <c r="E73" s="297">
        <v>260101821574</v>
      </c>
      <c r="F73" s="428" t="s">
        <v>87</v>
      </c>
      <c r="G73" s="428" t="s">
        <v>2538</v>
      </c>
      <c r="H73" s="428">
        <v>125</v>
      </c>
      <c r="I73" s="428">
        <v>288</v>
      </c>
      <c r="J73" s="369">
        <v>288</v>
      </c>
      <c r="K73" s="428">
        <v>140</v>
      </c>
      <c r="L73" s="217">
        <v>815</v>
      </c>
      <c r="M73" s="428" t="s">
        <v>153</v>
      </c>
      <c r="N73" s="428" t="s">
        <v>149</v>
      </c>
      <c r="O73" s="428" t="s">
        <v>154</v>
      </c>
      <c r="P73" s="428" t="s">
        <v>151</v>
      </c>
      <c r="Q73" s="428" t="s">
        <v>155</v>
      </c>
      <c r="R73" s="428" t="s">
        <v>7718</v>
      </c>
      <c r="S73" s="428"/>
      <c r="T73" s="428" t="s">
        <v>7710</v>
      </c>
      <c r="U73" s="428" t="s">
        <v>152</v>
      </c>
      <c r="V73" s="428" t="s">
        <v>18</v>
      </c>
    </row>
    <row r="74" spans="1:22">
      <c r="A74" s="6"/>
      <c r="B74" s="216">
        <v>46236</v>
      </c>
      <c r="C74" s="216">
        <v>46236</v>
      </c>
      <c r="D74" s="428" t="s">
        <v>7719</v>
      </c>
      <c r="E74" s="297">
        <v>260107721584</v>
      </c>
      <c r="F74" s="428" t="s">
        <v>87</v>
      </c>
      <c r="G74" s="428" t="s">
        <v>2516</v>
      </c>
      <c r="H74" s="428">
        <v>122</v>
      </c>
      <c r="I74" s="428">
        <v>258</v>
      </c>
      <c r="J74" s="369">
        <v>258</v>
      </c>
      <c r="K74" s="428">
        <v>89</v>
      </c>
      <c r="L74" s="217">
        <v>2450</v>
      </c>
      <c r="M74" s="428" t="s">
        <v>153</v>
      </c>
      <c r="N74" s="428" t="s">
        <v>149</v>
      </c>
      <c r="O74" s="428" t="s">
        <v>154</v>
      </c>
      <c r="P74" s="428" t="s">
        <v>151</v>
      </c>
      <c r="Q74" s="428" t="s">
        <v>155</v>
      </c>
      <c r="R74" s="428" t="s">
        <v>7720</v>
      </c>
      <c r="S74" s="428"/>
      <c r="T74" s="428" t="s">
        <v>7710</v>
      </c>
      <c r="U74" s="428" t="s">
        <v>152</v>
      </c>
      <c r="V74" s="428" t="s">
        <v>18</v>
      </c>
    </row>
    <row r="75" spans="1:22">
      <c r="A75" s="6"/>
      <c r="B75" s="216">
        <v>46236</v>
      </c>
      <c r="C75" s="216">
        <v>46236</v>
      </c>
      <c r="D75" s="428" t="s">
        <v>7721</v>
      </c>
      <c r="E75" s="297">
        <v>260103821567</v>
      </c>
      <c r="F75" s="428" t="s">
        <v>87</v>
      </c>
      <c r="G75" s="428" t="s">
        <v>824</v>
      </c>
      <c r="H75" s="428">
        <v>182</v>
      </c>
      <c r="I75" s="428">
        <v>300</v>
      </c>
      <c r="J75" s="369">
        <v>300</v>
      </c>
      <c r="K75" s="428">
        <v>104</v>
      </c>
      <c r="L75" s="217">
        <v>1620</v>
      </c>
      <c r="M75" s="428" t="s">
        <v>153</v>
      </c>
      <c r="N75" s="428" t="s">
        <v>149</v>
      </c>
      <c r="O75" s="428" t="s">
        <v>154</v>
      </c>
      <c r="P75" s="428" t="s">
        <v>151</v>
      </c>
      <c r="Q75" s="428" t="s">
        <v>155</v>
      </c>
      <c r="R75" s="428" t="s">
        <v>7722</v>
      </c>
      <c r="S75" s="428"/>
      <c r="T75" s="428" t="s">
        <v>7710</v>
      </c>
      <c r="U75" s="428" t="s">
        <v>152</v>
      </c>
      <c r="V75" s="428" t="s">
        <v>18</v>
      </c>
    </row>
    <row r="76" spans="1:22">
      <c r="A76" s="6"/>
      <c r="B76" s="216">
        <v>46236</v>
      </c>
      <c r="C76" s="216">
        <v>46236</v>
      </c>
      <c r="D76" s="428" t="s">
        <v>7723</v>
      </c>
      <c r="E76" s="297">
        <v>260103321569</v>
      </c>
      <c r="F76" s="428" t="s">
        <v>87</v>
      </c>
      <c r="G76" s="428" t="s">
        <v>2409</v>
      </c>
      <c r="H76" s="428">
        <v>152</v>
      </c>
      <c r="I76" s="428">
        <v>164</v>
      </c>
      <c r="J76" s="369">
        <v>164</v>
      </c>
      <c r="K76" s="428">
        <v>97</v>
      </c>
      <c r="L76" s="217">
        <v>1120</v>
      </c>
      <c r="M76" s="428" t="s">
        <v>153</v>
      </c>
      <c r="N76" s="428" t="s">
        <v>149</v>
      </c>
      <c r="O76" s="428" t="s">
        <v>154</v>
      </c>
      <c r="P76" s="428" t="s">
        <v>151</v>
      </c>
      <c r="Q76" s="428" t="s">
        <v>155</v>
      </c>
      <c r="R76" s="428" t="s">
        <v>7724</v>
      </c>
      <c r="S76" s="428"/>
      <c r="T76" s="428" t="s">
        <v>7710</v>
      </c>
      <c r="U76" s="428" t="s">
        <v>152</v>
      </c>
      <c r="V76" s="428" t="s">
        <v>18</v>
      </c>
    </row>
    <row r="77" spans="1:22">
      <c r="A77" s="6"/>
      <c r="B77" s="216">
        <v>46236</v>
      </c>
      <c r="C77" s="216">
        <v>46236</v>
      </c>
      <c r="D77" s="428" t="s">
        <v>7725</v>
      </c>
      <c r="E77" s="297">
        <v>260100521608</v>
      </c>
      <c r="F77" s="428" t="s">
        <v>87</v>
      </c>
      <c r="G77" s="428" t="s">
        <v>2531</v>
      </c>
      <c r="H77" s="428">
        <v>192</v>
      </c>
      <c r="I77" s="428">
        <v>329</v>
      </c>
      <c r="J77" s="369">
        <v>329</v>
      </c>
      <c r="K77" s="428">
        <v>180</v>
      </c>
      <c r="L77" s="217">
        <v>500</v>
      </c>
      <c r="M77" s="428" t="s">
        <v>153</v>
      </c>
      <c r="N77" s="428" t="s">
        <v>149</v>
      </c>
      <c r="O77" s="428" t="s">
        <v>154</v>
      </c>
      <c r="P77" s="428" t="s">
        <v>151</v>
      </c>
      <c r="Q77" s="428" t="s">
        <v>155</v>
      </c>
      <c r="R77" s="428" t="s">
        <v>7726</v>
      </c>
      <c r="S77" s="428"/>
      <c r="T77" s="428" t="s">
        <v>7710</v>
      </c>
      <c r="U77" s="428" t="s">
        <v>152</v>
      </c>
      <c r="V77" s="428" t="s">
        <v>18</v>
      </c>
    </row>
    <row r="78" spans="1:22">
      <c r="A78" s="6"/>
      <c r="B78" s="216">
        <v>46236</v>
      </c>
      <c r="C78" s="216">
        <v>46236</v>
      </c>
      <c r="D78" s="428" t="s">
        <v>7727</v>
      </c>
      <c r="E78" s="428">
        <v>260107021513</v>
      </c>
      <c r="F78" s="428" t="s">
        <v>87</v>
      </c>
      <c r="G78" s="428" t="s">
        <v>2230</v>
      </c>
      <c r="H78" s="428">
        <v>125</v>
      </c>
      <c r="I78" s="428">
        <v>298</v>
      </c>
      <c r="J78" s="369">
        <v>298</v>
      </c>
      <c r="K78" s="428">
        <v>87</v>
      </c>
      <c r="L78" s="217">
        <v>2810</v>
      </c>
      <c r="M78" s="428" t="s">
        <v>153</v>
      </c>
      <c r="N78" s="428" t="s">
        <v>149</v>
      </c>
      <c r="O78" s="428" t="s">
        <v>154</v>
      </c>
      <c r="P78" s="428" t="s">
        <v>151</v>
      </c>
      <c r="Q78" s="428" t="s">
        <v>155</v>
      </c>
      <c r="R78" s="428" t="s">
        <v>7728</v>
      </c>
      <c r="S78" s="428"/>
      <c r="T78" s="428" t="s">
        <v>7710</v>
      </c>
      <c r="U78" s="428" t="s">
        <v>152</v>
      </c>
      <c r="V78" s="428" t="s">
        <v>18</v>
      </c>
    </row>
    <row r="79" spans="1:22">
      <c r="A79" s="6"/>
      <c r="B79" s="216">
        <v>46236</v>
      </c>
      <c r="C79" s="216">
        <v>46236</v>
      </c>
      <c r="D79" s="428" t="s">
        <v>7729</v>
      </c>
      <c r="E79" s="428">
        <v>260102721611</v>
      </c>
      <c r="F79" s="428" t="s">
        <v>87</v>
      </c>
      <c r="G79" s="428" t="s">
        <v>2534</v>
      </c>
      <c r="H79" s="428">
        <v>112</v>
      </c>
      <c r="I79" s="428">
        <v>277</v>
      </c>
      <c r="J79" s="369">
        <v>277</v>
      </c>
      <c r="K79" s="428">
        <v>126</v>
      </c>
      <c r="L79" s="217">
        <v>1000</v>
      </c>
      <c r="M79" s="428" t="s">
        <v>153</v>
      </c>
      <c r="N79" s="428" t="s">
        <v>149</v>
      </c>
      <c r="O79" s="428" t="s">
        <v>154</v>
      </c>
      <c r="P79" s="428" t="s">
        <v>151</v>
      </c>
      <c r="Q79" s="428" t="s">
        <v>155</v>
      </c>
      <c r="R79" s="428" t="s">
        <v>7730</v>
      </c>
      <c r="S79" s="428"/>
      <c r="T79" s="428" t="s">
        <v>7710</v>
      </c>
      <c r="U79" s="428" t="s">
        <v>152</v>
      </c>
      <c r="V79" s="428" t="s">
        <v>18</v>
      </c>
    </row>
    <row r="80" spans="1:22">
      <c r="A80" s="6"/>
      <c r="B80" s="216">
        <v>46236</v>
      </c>
      <c r="C80" s="216">
        <v>46236</v>
      </c>
      <c r="D80" s="428" t="s">
        <v>7731</v>
      </c>
      <c r="E80" s="428">
        <v>260105421542</v>
      </c>
      <c r="F80" s="428" t="s">
        <v>87</v>
      </c>
      <c r="G80" s="428" t="s">
        <v>7732</v>
      </c>
      <c r="H80" s="428">
        <v>125</v>
      </c>
      <c r="I80" s="428">
        <v>210</v>
      </c>
      <c r="J80" s="369">
        <v>210</v>
      </c>
      <c r="K80" s="428">
        <v>81</v>
      </c>
      <c r="L80" s="217">
        <v>2120</v>
      </c>
      <c r="M80" s="428" t="s">
        <v>153</v>
      </c>
      <c r="N80" s="428" t="s">
        <v>149</v>
      </c>
      <c r="O80" s="428" t="s">
        <v>154</v>
      </c>
      <c r="P80" s="428" t="s">
        <v>151</v>
      </c>
      <c r="Q80" s="428" t="s">
        <v>155</v>
      </c>
      <c r="R80" s="428" t="s">
        <v>7733</v>
      </c>
      <c r="S80" s="428"/>
      <c r="T80" s="428" t="s">
        <v>7710</v>
      </c>
      <c r="U80" s="428" t="s">
        <v>152</v>
      </c>
      <c r="V80" s="428" t="s">
        <v>18</v>
      </c>
    </row>
    <row r="81" spans="1:22">
      <c r="A81" s="6"/>
      <c r="B81" s="216">
        <v>46236</v>
      </c>
      <c r="C81" s="216">
        <v>46236</v>
      </c>
      <c r="D81" s="428" t="s">
        <v>7734</v>
      </c>
      <c r="E81" s="428">
        <v>260103921565</v>
      </c>
      <c r="F81" s="428" t="s">
        <v>87</v>
      </c>
      <c r="G81" s="428" t="s">
        <v>2309</v>
      </c>
      <c r="H81" s="428">
        <v>135</v>
      </c>
      <c r="I81" s="428">
        <v>247</v>
      </c>
      <c r="J81" s="369">
        <v>247</v>
      </c>
      <c r="K81" s="428">
        <v>92</v>
      </c>
      <c r="L81" s="217">
        <v>2000</v>
      </c>
      <c r="M81" s="428" t="s">
        <v>153</v>
      </c>
      <c r="N81" s="428" t="s">
        <v>149</v>
      </c>
      <c r="O81" s="428" t="s">
        <v>154</v>
      </c>
      <c r="P81" s="428" t="s">
        <v>151</v>
      </c>
      <c r="Q81" s="428" t="s">
        <v>155</v>
      </c>
      <c r="R81" s="428" t="s">
        <v>7735</v>
      </c>
      <c r="S81" s="428"/>
      <c r="T81" s="428" t="s">
        <v>7710</v>
      </c>
      <c r="U81" s="428" t="s">
        <v>152</v>
      </c>
      <c r="V81" s="428" t="s">
        <v>18</v>
      </c>
    </row>
    <row r="82" spans="1:22">
      <c r="A82" s="6"/>
      <c r="B82" s="216">
        <v>46236</v>
      </c>
      <c r="C82" s="216">
        <v>46236</v>
      </c>
      <c r="D82" s="428" t="s">
        <v>7736</v>
      </c>
      <c r="E82" s="428">
        <v>260103321568</v>
      </c>
      <c r="F82" s="428" t="s">
        <v>87</v>
      </c>
      <c r="G82" s="428" t="s">
        <v>2409</v>
      </c>
      <c r="H82" s="428">
        <v>152</v>
      </c>
      <c r="I82" s="428">
        <v>166</v>
      </c>
      <c r="J82" s="369">
        <v>166</v>
      </c>
      <c r="K82" s="428">
        <v>97</v>
      </c>
      <c r="L82" s="217">
        <v>1120</v>
      </c>
      <c r="M82" s="428" t="s">
        <v>153</v>
      </c>
      <c r="N82" s="428" t="s">
        <v>149</v>
      </c>
      <c r="O82" s="428" t="s">
        <v>154</v>
      </c>
      <c r="P82" s="428" t="s">
        <v>151</v>
      </c>
      <c r="Q82" s="428" t="s">
        <v>155</v>
      </c>
      <c r="R82" s="428" t="s">
        <v>7737</v>
      </c>
      <c r="S82" s="428"/>
      <c r="T82" s="428" t="s">
        <v>7710</v>
      </c>
      <c r="U82" s="428" t="s">
        <v>152</v>
      </c>
      <c r="V82" s="428" t="s">
        <v>18</v>
      </c>
    </row>
    <row r="83" spans="1:22">
      <c r="A83" s="6"/>
      <c r="B83" s="216">
        <v>46236</v>
      </c>
      <c r="C83" s="216">
        <v>46236</v>
      </c>
      <c r="D83" s="428" t="s">
        <v>7738</v>
      </c>
      <c r="E83" s="428">
        <v>260105221578</v>
      </c>
      <c r="F83" s="428" t="s">
        <v>87</v>
      </c>
      <c r="G83" s="428" t="s">
        <v>2527</v>
      </c>
      <c r="H83" s="428">
        <v>152</v>
      </c>
      <c r="I83" s="428">
        <v>279</v>
      </c>
      <c r="J83" s="369">
        <v>279</v>
      </c>
      <c r="K83" s="428">
        <v>104</v>
      </c>
      <c r="L83" s="217">
        <v>1845</v>
      </c>
      <c r="M83" s="428" t="s">
        <v>153</v>
      </c>
      <c r="N83" s="428" t="s">
        <v>149</v>
      </c>
      <c r="O83" s="428" t="s">
        <v>154</v>
      </c>
      <c r="P83" s="428" t="s">
        <v>151</v>
      </c>
      <c r="Q83" s="428" t="s">
        <v>155</v>
      </c>
      <c r="R83" s="428" t="s">
        <v>7739</v>
      </c>
      <c r="S83" s="428"/>
      <c r="T83" s="428" t="s">
        <v>7710</v>
      </c>
      <c r="U83" s="428" t="s">
        <v>152</v>
      </c>
      <c r="V83" s="428" t="s">
        <v>18</v>
      </c>
    </row>
    <row r="84" spans="1:22">
      <c r="A84" s="6"/>
      <c r="B84" s="216">
        <v>46236</v>
      </c>
      <c r="C84" s="216">
        <v>46236</v>
      </c>
      <c r="D84" s="428" t="s">
        <v>7740</v>
      </c>
      <c r="E84" s="428">
        <v>260107621582</v>
      </c>
      <c r="F84" s="428" t="s">
        <v>87</v>
      </c>
      <c r="G84" s="428" t="s">
        <v>2230</v>
      </c>
      <c r="H84" s="428">
        <v>125</v>
      </c>
      <c r="I84" s="428">
        <v>273</v>
      </c>
      <c r="J84" s="369">
        <v>273</v>
      </c>
      <c r="K84" s="428">
        <v>87</v>
      </c>
      <c r="L84" s="217">
        <v>2590</v>
      </c>
      <c r="M84" s="428" t="s">
        <v>153</v>
      </c>
      <c r="N84" s="428" t="s">
        <v>149</v>
      </c>
      <c r="O84" s="428" t="s">
        <v>154</v>
      </c>
      <c r="P84" s="428" t="s">
        <v>151</v>
      </c>
      <c r="Q84" s="428" t="s">
        <v>155</v>
      </c>
      <c r="R84" s="428" t="s">
        <v>7741</v>
      </c>
      <c r="S84" s="428" t="s">
        <v>61</v>
      </c>
      <c r="T84" s="428" t="s">
        <v>3326</v>
      </c>
      <c r="U84" s="428" t="s">
        <v>152</v>
      </c>
      <c r="V84" s="428" t="s">
        <v>18</v>
      </c>
    </row>
    <row r="85" spans="1:22">
      <c r="A85" s="6"/>
      <c r="B85" s="216">
        <v>46236</v>
      </c>
      <c r="C85" s="216">
        <v>46236</v>
      </c>
      <c r="D85" s="428" t="s">
        <v>7742</v>
      </c>
      <c r="E85" s="428">
        <v>260107021589</v>
      </c>
      <c r="F85" s="428" t="s">
        <v>87</v>
      </c>
      <c r="G85" s="428" t="s">
        <v>2230</v>
      </c>
      <c r="H85" s="428">
        <v>125</v>
      </c>
      <c r="I85" s="428">
        <v>289</v>
      </c>
      <c r="J85" s="369">
        <v>289</v>
      </c>
      <c r="K85" s="428">
        <v>87</v>
      </c>
      <c r="L85" s="217">
        <v>2750</v>
      </c>
      <c r="M85" s="428" t="s">
        <v>153</v>
      </c>
      <c r="N85" s="428" t="s">
        <v>149</v>
      </c>
      <c r="O85" s="428" t="s">
        <v>154</v>
      </c>
      <c r="P85" s="428" t="s">
        <v>151</v>
      </c>
      <c r="Q85" s="428" t="s">
        <v>155</v>
      </c>
      <c r="R85" s="428" t="s">
        <v>7743</v>
      </c>
      <c r="S85" s="428"/>
      <c r="T85" s="428" t="s">
        <v>7710</v>
      </c>
      <c r="U85" s="428" t="s">
        <v>152</v>
      </c>
      <c r="V85" s="428" t="s">
        <v>18</v>
      </c>
    </row>
    <row r="86" spans="1:22">
      <c r="A86" s="6"/>
      <c r="B86" s="216">
        <v>46236</v>
      </c>
      <c r="C86" s="216">
        <v>46236</v>
      </c>
      <c r="D86" s="428" t="s">
        <v>7744</v>
      </c>
      <c r="E86" s="428">
        <v>260103421577</v>
      </c>
      <c r="F86" s="428" t="s">
        <v>87</v>
      </c>
      <c r="G86" s="428" t="s">
        <v>824</v>
      </c>
      <c r="H86" s="428">
        <v>152</v>
      </c>
      <c r="I86" s="428">
        <v>287</v>
      </c>
      <c r="J86" s="369">
        <v>287</v>
      </c>
      <c r="K86" s="428">
        <v>104</v>
      </c>
      <c r="L86" s="217">
        <v>1870</v>
      </c>
      <c r="M86" s="428" t="s">
        <v>153</v>
      </c>
      <c r="N86" s="428" t="s">
        <v>149</v>
      </c>
      <c r="O86" s="428" t="s">
        <v>154</v>
      </c>
      <c r="P86" s="428" t="s">
        <v>151</v>
      </c>
      <c r="Q86" s="428" t="s">
        <v>155</v>
      </c>
      <c r="R86" s="428" t="s">
        <v>7745</v>
      </c>
      <c r="S86" s="428"/>
      <c r="T86" s="428" t="s">
        <v>7710</v>
      </c>
      <c r="U86" s="428" t="s">
        <v>152</v>
      </c>
      <c r="V86" s="428" t="s">
        <v>18</v>
      </c>
    </row>
    <row r="87" spans="1:22">
      <c r="A87" s="6"/>
      <c r="B87" s="216">
        <v>46236</v>
      </c>
      <c r="C87" s="216">
        <v>46236</v>
      </c>
      <c r="D87" s="428" t="s">
        <v>7746</v>
      </c>
      <c r="E87" s="428">
        <v>260100921607</v>
      </c>
      <c r="F87" s="428" t="s">
        <v>87</v>
      </c>
      <c r="G87" s="428" t="s">
        <v>2521</v>
      </c>
      <c r="H87" s="428">
        <v>182</v>
      </c>
      <c r="I87" s="428">
        <v>335</v>
      </c>
      <c r="J87" s="369">
        <v>335</v>
      </c>
      <c r="K87" s="428">
        <v>190</v>
      </c>
      <c r="L87" s="217">
        <v>510</v>
      </c>
      <c r="M87" s="428" t="s">
        <v>153</v>
      </c>
      <c r="N87" s="428" t="s">
        <v>149</v>
      </c>
      <c r="O87" s="428" t="s">
        <v>154</v>
      </c>
      <c r="P87" s="428" t="s">
        <v>151</v>
      </c>
      <c r="Q87" s="428" t="s">
        <v>155</v>
      </c>
      <c r="R87" s="428" t="s">
        <v>7747</v>
      </c>
      <c r="S87" s="428"/>
      <c r="T87" s="428" t="s">
        <v>7710</v>
      </c>
      <c r="U87" s="428" t="s">
        <v>152</v>
      </c>
      <c r="V87" s="428" t="s">
        <v>18</v>
      </c>
    </row>
    <row r="88" spans="1:22">
      <c r="A88" s="6"/>
      <c r="B88" s="216">
        <v>46236</v>
      </c>
      <c r="C88" s="216">
        <v>46236</v>
      </c>
      <c r="D88" s="428" t="s">
        <v>7748</v>
      </c>
      <c r="E88" s="428">
        <v>260106121505</v>
      </c>
      <c r="F88" s="428" t="s">
        <v>87</v>
      </c>
      <c r="G88" s="428" t="s">
        <v>2230</v>
      </c>
      <c r="H88" s="428">
        <v>125</v>
      </c>
      <c r="I88" s="428">
        <v>258</v>
      </c>
      <c r="J88" s="369">
        <v>258</v>
      </c>
      <c r="K88" s="428">
        <v>87</v>
      </c>
      <c r="L88" s="217">
        <v>2500</v>
      </c>
      <c r="M88" s="428" t="s">
        <v>153</v>
      </c>
      <c r="N88" s="428" t="s">
        <v>149</v>
      </c>
      <c r="O88" s="428" t="s">
        <v>154</v>
      </c>
      <c r="P88" s="428" t="s">
        <v>151</v>
      </c>
      <c r="Q88" s="428" t="s">
        <v>155</v>
      </c>
      <c r="R88" s="428" t="s">
        <v>7749</v>
      </c>
      <c r="S88" s="428"/>
      <c r="T88" s="428" t="s">
        <v>7710</v>
      </c>
      <c r="U88" s="428" t="s">
        <v>152</v>
      </c>
      <c r="V88" s="428" t="s">
        <v>18</v>
      </c>
    </row>
    <row r="89" spans="1:22">
      <c r="A89" s="6"/>
      <c r="B89" s="216">
        <v>46236</v>
      </c>
      <c r="C89" s="216">
        <v>46236</v>
      </c>
      <c r="D89" s="428" t="s">
        <v>7750</v>
      </c>
      <c r="E89" s="428">
        <v>260105421597</v>
      </c>
      <c r="F89" s="428" t="s">
        <v>87</v>
      </c>
      <c r="G89" s="428" t="s">
        <v>7732</v>
      </c>
      <c r="H89" s="428">
        <v>125</v>
      </c>
      <c r="I89" s="428">
        <v>204</v>
      </c>
      <c r="J89" s="369">
        <v>204</v>
      </c>
      <c r="K89" s="428">
        <v>81</v>
      </c>
      <c r="L89" s="217">
        <v>2050</v>
      </c>
      <c r="M89" s="428" t="s">
        <v>153</v>
      </c>
      <c r="N89" s="428" t="s">
        <v>149</v>
      </c>
      <c r="O89" s="428" t="s">
        <v>154</v>
      </c>
      <c r="P89" s="428" t="s">
        <v>151</v>
      </c>
      <c r="Q89" s="428" t="s">
        <v>155</v>
      </c>
      <c r="R89" s="428" t="s">
        <v>7751</v>
      </c>
      <c r="S89" s="428"/>
      <c r="T89" s="428" t="s">
        <v>7710</v>
      </c>
      <c r="U89" s="428" t="s">
        <v>152</v>
      </c>
      <c r="V89" s="428" t="s">
        <v>18</v>
      </c>
    </row>
    <row r="90" spans="1:22">
      <c r="A90" s="6"/>
      <c r="B90" s="216">
        <v>46236</v>
      </c>
      <c r="C90" s="216">
        <v>46236</v>
      </c>
      <c r="D90" s="428" t="s">
        <v>7752</v>
      </c>
      <c r="E90" s="428">
        <v>260106821465</v>
      </c>
      <c r="F90" s="428" t="s">
        <v>87</v>
      </c>
      <c r="G90" s="428" t="s">
        <v>2413</v>
      </c>
      <c r="H90" s="428">
        <v>125</v>
      </c>
      <c r="I90" s="428">
        <v>153</v>
      </c>
      <c r="J90" s="369">
        <v>153</v>
      </c>
      <c r="K90" s="428">
        <v>92</v>
      </c>
      <c r="L90" s="217">
        <v>1400</v>
      </c>
      <c r="M90" s="428" t="s">
        <v>153</v>
      </c>
      <c r="N90" s="428" t="s">
        <v>149</v>
      </c>
      <c r="O90" s="428" t="s">
        <v>154</v>
      </c>
      <c r="P90" s="428" t="s">
        <v>151</v>
      </c>
      <c r="Q90" s="428" t="s">
        <v>155</v>
      </c>
      <c r="R90" s="428" t="s">
        <v>7753</v>
      </c>
      <c r="S90" s="428"/>
      <c r="T90" s="428" t="s">
        <v>7710</v>
      </c>
      <c r="U90" s="428" t="s">
        <v>152</v>
      </c>
      <c r="V90" s="428" t="s">
        <v>18</v>
      </c>
    </row>
    <row r="91" spans="1:22">
      <c r="A91" s="6"/>
      <c r="B91" s="216">
        <v>46236</v>
      </c>
      <c r="C91" s="216">
        <v>46236</v>
      </c>
      <c r="D91" s="428" t="s">
        <v>7754</v>
      </c>
      <c r="E91" s="428">
        <v>260105521441</v>
      </c>
      <c r="F91" s="428" t="s">
        <v>87</v>
      </c>
      <c r="G91" s="428" t="s">
        <v>2520</v>
      </c>
      <c r="H91" s="428" t="s">
        <v>2291</v>
      </c>
      <c r="I91" s="428">
        <v>475</v>
      </c>
      <c r="J91" s="369">
        <v>475</v>
      </c>
      <c r="K91" s="428">
        <v>110</v>
      </c>
      <c r="L91" s="217">
        <v>2300</v>
      </c>
      <c r="M91" s="428" t="s">
        <v>153</v>
      </c>
      <c r="N91" s="428" t="s">
        <v>149</v>
      </c>
      <c r="O91" s="428" t="s">
        <v>154</v>
      </c>
      <c r="P91" s="428" t="s">
        <v>151</v>
      </c>
      <c r="Q91" s="428" t="s">
        <v>156</v>
      </c>
      <c r="R91" s="428" t="s">
        <v>7755</v>
      </c>
      <c r="S91" s="428"/>
      <c r="T91" s="428" t="s">
        <v>7710</v>
      </c>
      <c r="U91" s="428" t="s">
        <v>152</v>
      </c>
      <c r="V91" s="428" t="s">
        <v>20</v>
      </c>
    </row>
    <row r="92" spans="1:22">
      <c r="A92" s="6"/>
      <c r="B92" s="216">
        <v>46236</v>
      </c>
      <c r="C92" s="216">
        <v>46236</v>
      </c>
      <c r="D92" s="428" t="s">
        <v>7756</v>
      </c>
      <c r="E92" s="428" t="s">
        <v>7757</v>
      </c>
      <c r="F92" s="428" t="s">
        <v>87</v>
      </c>
      <c r="G92" s="428" t="s">
        <v>7758</v>
      </c>
      <c r="H92" s="428" t="s">
        <v>2418</v>
      </c>
      <c r="I92" s="428">
        <v>163</v>
      </c>
      <c r="J92" s="369">
        <v>163</v>
      </c>
      <c r="K92" s="428">
        <v>38</v>
      </c>
      <c r="L92" s="217">
        <v>5850</v>
      </c>
      <c r="M92" s="428" t="s">
        <v>153</v>
      </c>
      <c r="N92" s="428" t="s">
        <v>149</v>
      </c>
      <c r="O92" s="428" t="s">
        <v>154</v>
      </c>
      <c r="P92" s="428" t="s">
        <v>151</v>
      </c>
      <c r="Q92" s="428" t="s">
        <v>156</v>
      </c>
      <c r="R92" s="428" t="s">
        <v>7759</v>
      </c>
      <c r="S92" s="428"/>
      <c r="T92" s="428" t="s">
        <v>7710</v>
      </c>
      <c r="U92" s="428" t="s">
        <v>152</v>
      </c>
      <c r="V92" s="428" t="s">
        <v>20</v>
      </c>
    </row>
    <row r="93" spans="1:22">
      <c r="A93" s="6"/>
      <c r="B93" s="216">
        <v>46236</v>
      </c>
      <c r="C93" s="216">
        <v>46236</v>
      </c>
      <c r="D93" s="428" t="s">
        <v>7760</v>
      </c>
      <c r="E93" s="428" t="s">
        <v>7757</v>
      </c>
      <c r="F93" s="428" t="s">
        <v>87</v>
      </c>
      <c r="G93" s="428" t="s">
        <v>7761</v>
      </c>
      <c r="H93" s="428" t="s">
        <v>2418</v>
      </c>
      <c r="I93" s="428">
        <v>324</v>
      </c>
      <c r="J93" s="369">
        <v>324</v>
      </c>
      <c r="K93" s="428">
        <v>79</v>
      </c>
      <c r="L93" s="217">
        <v>5850</v>
      </c>
      <c r="M93" s="428" t="s">
        <v>153</v>
      </c>
      <c r="N93" s="428" t="s">
        <v>149</v>
      </c>
      <c r="O93" s="428" t="s">
        <v>154</v>
      </c>
      <c r="P93" s="428" t="s">
        <v>151</v>
      </c>
      <c r="Q93" s="428" t="s">
        <v>156</v>
      </c>
      <c r="R93" s="428" t="s">
        <v>7762</v>
      </c>
      <c r="S93" s="428"/>
      <c r="T93" s="428" t="s">
        <v>7710</v>
      </c>
      <c r="U93" s="428" t="s">
        <v>152</v>
      </c>
      <c r="V93" s="428" t="s">
        <v>20</v>
      </c>
    </row>
    <row r="94" spans="1:22">
      <c r="A94" s="6"/>
      <c r="B94" s="216">
        <v>46236</v>
      </c>
      <c r="C94" s="216">
        <v>46236</v>
      </c>
      <c r="D94" s="428" t="s">
        <v>7763</v>
      </c>
      <c r="E94" s="428" t="s">
        <v>7640</v>
      </c>
      <c r="F94" s="428" t="s">
        <v>87</v>
      </c>
      <c r="G94" s="428" t="s">
        <v>2414</v>
      </c>
      <c r="H94" s="428" t="s">
        <v>2416</v>
      </c>
      <c r="I94" s="428">
        <v>214</v>
      </c>
      <c r="J94" s="369">
        <v>214</v>
      </c>
      <c r="K94" s="428">
        <v>55</v>
      </c>
      <c r="L94" s="217">
        <v>3868</v>
      </c>
      <c r="M94" s="428" t="s">
        <v>153</v>
      </c>
      <c r="N94" s="428" t="s">
        <v>149</v>
      </c>
      <c r="O94" s="428" t="s">
        <v>154</v>
      </c>
      <c r="P94" s="428" t="s">
        <v>151</v>
      </c>
      <c r="Q94" s="428" t="s">
        <v>156</v>
      </c>
      <c r="R94" s="428" t="s">
        <v>7764</v>
      </c>
      <c r="S94" s="428"/>
      <c r="T94" s="428" t="s">
        <v>7710</v>
      </c>
      <c r="U94" s="428" t="s">
        <v>152</v>
      </c>
      <c r="V94" s="428" t="s">
        <v>20</v>
      </c>
    </row>
    <row r="95" spans="1:22">
      <c r="A95" s="6"/>
      <c r="B95" s="216">
        <v>46237</v>
      </c>
      <c r="C95" s="216">
        <v>46237</v>
      </c>
      <c r="D95" s="428" t="s">
        <v>7765</v>
      </c>
      <c r="E95" s="428">
        <v>260100921676</v>
      </c>
      <c r="F95" s="428" t="s">
        <v>87</v>
      </c>
      <c r="G95" s="428" t="s">
        <v>2521</v>
      </c>
      <c r="H95" s="428">
        <v>182</v>
      </c>
      <c r="I95" s="428">
        <v>358</v>
      </c>
      <c r="J95" s="369">
        <v>358</v>
      </c>
      <c r="K95" s="428">
        <v>190</v>
      </c>
      <c r="L95" s="217">
        <v>540</v>
      </c>
      <c r="M95" s="428" t="s">
        <v>153</v>
      </c>
      <c r="N95" s="428" t="s">
        <v>149</v>
      </c>
      <c r="O95" s="428" t="s">
        <v>154</v>
      </c>
      <c r="P95" s="428" t="s">
        <v>151</v>
      </c>
      <c r="Q95" s="428" t="s">
        <v>155</v>
      </c>
      <c r="R95" s="428" t="s">
        <v>7766</v>
      </c>
      <c r="S95" s="428"/>
      <c r="T95" s="428" t="s">
        <v>2645</v>
      </c>
      <c r="U95" s="428" t="s">
        <v>152</v>
      </c>
      <c r="V95" s="428" t="s">
        <v>18</v>
      </c>
    </row>
    <row r="96" spans="1:22">
      <c r="A96" s="6"/>
      <c r="B96" s="216">
        <v>46237</v>
      </c>
      <c r="C96" s="216">
        <v>46237</v>
      </c>
      <c r="D96" s="428" t="s">
        <v>7767</v>
      </c>
      <c r="E96" s="428">
        <v>260106121667</v>
      </c>
      <c r="F96" s="428" t="s">
        <v>87</v>
      </c>
      <c r="G96" s="428" t="s">
        <v>2230</v>
      </c>
      <c r="H96" s="428">
        <v>125</v>
      </c>
      <c r="I96" s="428">
        <v>260</v>
      </c>
      <c r="J96" s="369">
        <v>260</v>
      </c>
      <c r="K96" s="428">
        <v>87</v>
      </c>
      <c r="L96" s="217">
        <v>2500</v>
      </c>
      <c r="M96" s="428" t="s">
        <v>153</v>
      </c>
      <c r="N96" s="428" t="s">
        <v>149</v>
      </c>
      <c r="O96" s="428" t="s">
        <v>154</v>
      </c>
      <c r="P96" s="428" t="s">
        <v>151</v>
      </c>
      <c r="Q96" s="428" t="s">
        <v>155</v>
      </c>
      <c r="R96" s="428" t="s">
        <v>7768</v>
      </c>
      <c r="S96" s="428" t="s">
        <v>61</v>
      </c>
      <c r="T96" s="428" t="s">
        <v>3326</v>
      </c>
      <c r="U96" s="428" t="s">
        <v>152</v>
      </c>
      <c r="V96" s="428" t="s">
        <v>18</v>
      </c>
    </row>
    <row r="97" spans="1:22">
      <c r="A97" s="6"/>
      <c r="B97" s="216">
        <v>46237</v>
      </c>
      <c r="C97" s="216">
        <v>46237</v>
      </c>
      <c r="D97" s="428" t="s">
        <v>7769</v>
      </c>
      <c r="E97" s="428">
        <v>260101721695</v>
      </c>
      <c r="F97" s="428" t="s">
        <v>87</v>
      </c>
      <c r="G97" s="428" t="s">
        <v>2303</v>
      </c>
      <c r="H97" s="428">
        <v>92</v>
      </c>
      <c r="I97" s="428">
        <v>241</v>
      </c>
      <c r="J97" s="369">
        <v>241</v>
      </c>
      <c r="K97" s="428">
        <v>134</v>
      </c>
      <c r="L97" s="217">
        <v>1000</v>
      </c>
      <c r="M97" s="428" t="s">
        <v>153</v>
      </c>
      <c r="N97" s="428" t="s">
        <v>149</v>
      </c>
      <c r="O97" s="428" t="s">
        <v>154</v>
      </c>
      <c r="P97" s="428" t="s">
        <v>151</v>
      </c>
      <c r="Q97" s="428" t="s">
        <v>155</v>
      </c>
      <c r="R97" s="428" t="s">
        <v>7770</v>
      </c>
      <c r="S97" s="428"/>
      <c r="T97" s="428" t="s">
        <v>2645</v>
      </c>
      <c r="U97" s="428" t="s">
        <v>152</v>
      </c>
      <c r="V97" s="428" t="s">
        <v>18</v>
      </c>
    </row>
    <row r="98" spans="1:22">
      <c r="A98" s="6"/>
      <c r="B98" s="216">
        <v>46237</v>
      </c>
      <c r="C98" s="216">
        <v>46237</v>
      </c>
      <c r="D98" s="428" t="s">
        <v>7771</v>
      </c>
      <c r="E98" s="428">
        <v>260100421634</v>
      </c>
      <c r="F98" s="428" t="s">
        <v>87</v>
      </c>
      <c r="G98" s="428" t="s">
        <v>2420</v>
      </c>
      <c r="H98" s="428">
        <v>122</v>
      </c>
      <c r="I98" s="428">
        <v>379</v>
      </c>
      <c r="J98" s="369">
        <v>379</v>
      </c>
      <c r="K98" s="428">
        <v>190</v>
      </c>
      <c r="L98" s="217">
        <v>820</v>
      </c>
      <c r="M98" s="428" t="s">
        <v>153</v>
      </c>
      <c r="N98" s="428" t="s">
        <v>149</v>
      </c>
      <c r="O98" s="428" t="s">
        <v>154</v>
      </c>
      <c r="P98" s="428" t="s">
        <v>151</v>
      </c>
      <c r="Q98" s="428" t="s">
        <v>155</v>
      </c>
      <c r="R98" s="428" t="s">
        <v>7772</v>
      </c>
      <c r="S98" s="428"/>
      <c r="T98" s="428" t="s">
        <v>2645</v>
      </c>
      <c r="U98" s="428" t="s">
        <v>152</v>
      </c>
      <c r="V98" s="428" t="s">
        <v>18</v>
      </c>
    </row>
    <row r="99" spans="1:22">
      <c r="A99" s="6"/>
      <c r="B99" s="216">
        <v>46237</v>
      </c>
      <c r="C99" s="216">
        <v>46237</v>
      </c>
      <c r="D99" s="428" t="s">
        <v>7773</v>
      </c>
      <c r="E99" s="428">
        <v>260100521642</v>
      </c>
      <c r="F99" s="428" t="s">
        <v>87</v>
      </c>
      <c r="G99" s="428" t="s">
        <v>2531</v>
      </c>
      <c r="H99" s="428">
        <v>192</v>
      </c>
      <c r="I99" s="428">
        <v>331</v>
      </c>
      <c r="J99" s="369">
        <v>331</v>
      </c>
      <c r="K99" s="428">
        <v>180</v>
      </c>
      <c r="L99" s="217">
        <v>500</v>
      </c>
      <c r="M99" s="428" t="s">
        <v>153</v>
      </c>
      <c r="N99" s="428" t="s">
        <v>149</v>
      </c>
      <c r="O99" s="428" t="s">
        <v>154</v>
      </c>
      <c r="P99" s="428" t="s">
        <v>151</v>
      </c>
      <c r="Q99" s="428" t="s">
        <v>155</v>
      </c>
      <c r="R99" s="428" t="s">
        <v>7774</v>
      </c>
      <c r="S99" s="428"/>
      <c r="T99" s="428" t="s">
        <v>2645</v>
      </c>
      <c r="U99" s="428" t="s">
        <v>152</v>
      </c>
      <c r="V99" s="428" t="s">
        <v>18</v>
      </c>
    </row>
    <row r="100" spans="1:22">
      <c r="A100" s="6"/>
      <c r="B100" s="216">
        <v>46237</v>
      </c>
      <c r="C100" s="216">
        <v>46237</v>
      </c>
      <c r="D100" s="428" t="s">
        <v>7775</v>
      </c>
      <c r="E100" s="428">
        <v>260105721653</v>
      </c>
      <c r="F100" s="428" t="s">
        <v>87</v>
      </c>
      <c r="G100" s="428" t="s">
        <v>2364</v>
      </c>
      <c r="H100" s="428">
        <v>142</v>
      </c>
      <c r="I100" s="428">
        <v>168</v>
      </c>
      <c r="J100" s="369">
        <v>168</v>
      </c>
      <c r="K100" s="428">
        <v>67</v>
      </c>
      <c r="L100" s="217">
        <v>1820</v>
      </c>
      <c r="M100" s="428" t="s">
        <v>153</v>
      </c>
      <c r="N100" s="428" t="s">
        <v>149</v>
      </c>
      <c r="O100" s="428" t="s">
        <v>154</v>
      </c>
      <c r="P100" s="428" t="s">
        <v>151</v>
      </c>
      <c r="Q100" s="428" t="s">
        <v>155</v>
      </c>
      <c r="R100" s="428" t="s">
        <v>7776</v>
      </c>
      <c r="S100" s="428"/>
      <c r="T100" s="428" t="s">
        <v>2645</v>
      </c>
      <c r="U100" s="428" t="s">
        <v>152</v>
      </c>
      <c r="V100" s="428" t="s">
        <v>18</v>
      </c>
    </row>
    <row r="101" spans="1:22">
      <c r="A101" s="6"/>
      <c r="B101" s="216">
        <v>46237</v>
      </c>
      <c r="C101" s="216">
        <v>46237</v>
      </c>
      <c r="D101" s="428" t="s">
        <v>7777</v>
      </c>
      <c r="E101" s="428">
        <v>260102821692</v>
      </c>
      <c r="F101" s="428" t="s">
        <v>87</v>
      </c>
      <c r="G101" s="428" t="s">
        <v>2359</v>
      </c>
      <c r="H101" s="428">
        <v>102</v>
      </c>
      <c r="I101" s="428">
        <v>245</v>
      </c>
      <c r="J101" s="369">
        <v>245</v>
      </c>
      <c r="K101" s="428">
        <v>125</v>
      </c>
      <c r="L101" s="217">
        <v>1000</v>
      </c>
      <c r="M101" s="428" t="s">
        <v>153</v>
      </c>
      <c r="N101" s="428" t="s">
        <v>149</v>
      </c>
      <c r="O101" s="428" t="s">
        <v>154</v>
      </c>
      <c r="P101" s="428" t="s">
        <v>151</v>
      </c>
      <c r="Q101" s="428" t="s">
        <v>155</v>
      </c>
      <c r="R101" s="428" t="s">
        <v>7778</v>
      </c>
      <c r="S101" s="428"/>
      <c r="T101" s="428" t="s">
        <v>2645</v>
      </c>
      <c r="U101" s="428" t="s">
        <v>152</v>
      </c>
      <c r="V101" s="428" t="s">
        <v>18</v>
      </c>
    </row>
    <row r="102" spans="1:22">
      <c r="A102" s="6"/>
      <c r="B102" s="216">
        <v>46237</v>
      </c>
      <c r="C102" s="216">
        <v>46237</v>
      </c>
      <c r="D102" s="428" t="s">
        <v>7779</v>
      </c>
      <c r="E102" s="428">
        <v>260101621643</v>
      </c>
      <c r="F102" s="428" t="s">
        <v>87</v>
      </c>
      <c r="G102" s="428" t="s">
        <v>2079</v>
      </c>
      <c r="H102" s="428">
        <v>112</v>
      </c>
      <c r="I102" s="428">
        <v>366</v>
      </c>
      <c r="J102" s="369">
        <v>366</v>
      </c>
      <c r="K102" s="428">
        <v>180</v>
      </c>
      <c r="L102" s="217">
        <v>920</v>
      </c>
      <c r="M102" s="428" t="s">
        <v>153</v>
      </c>
      <c r="N102" s="428" t="s">
        <v>149</v>
      </c>
      <c r="O102" s="428" t="s">
        <v>154</v>
      </c>
      <c r="P102" s="428" t="s">
        <v>151</v>
      </c>
      <c r="Q102" s="428" t="s">
        <v>155</v>
      </c>
      <c r="R102" s="428" t="s">
        <v>7780</v>
      </c>
      <c r="S102" s="428"/>
      <c r="T102" s="428" t="s">
        <v>2645</v>
      </c>
      <c r="U102" s="428" t="s">
        <v>152</v>
      </c>
      <c r="V102" s="428" t="s">
        <v>18</v>
      </c>
    </row>
    <row r="103" spans="1:22">
      <c r="A103" s="6"/>
      <c r="B103" s="216">
        <v>46237</v>
      </c>
      <c r="C103" s="216">
        <v>46237</v>
      </c>
      <c r="D103" s="428" t="s">
        <v>7781</v>
      </c>
      <c r="E103" s="428" t="s">
        <v>7782</v>
      </c>
      <c r="F103" s="428" t="s">
        <v>87</v>
      </c>
      <c r="G103" s="428" t="s">
        <v>2414</v>
      </c>
      <c r="H103" s="428" t="s">
        <v>7783</v>
      </c>
      <c r="I103" s="428">
        <v>200</v>
      </c>
      <c r="J103" s="369">
        <v>200</v>
      </c>
      <c r="K103" s="428">
        <v>55</v>
      </c>
      <c r="L103" s="217">
        <v>4400</v>
      </c>
      <c r="M103" s="428" t="s">
        <v>153</v>
      </c>
      <c r="N103" s="428" t="s">
        <v>149</v>
      </c>
      <c r="O103" s="428" t="s">
        <v>154</v>
      </c>
      <c r="P103" s="428" t="s">
        <v>151</v>
      </c>
      <c r="Q103" s="428" t="s">
        <v>156</v>
      </c>
      <c r="R103" s="428" t="s">
        <v>7784</v>
      </c>
      <c r="S103" s="428"/>
      <c r="T103" s="428" t="s">
        <v>2645</v>
      </c>
      <c r="U103" s="428" t="s">
        <v>152</v>
      </c>
      <c r="V103" s="428" t="s">
        <v>20</v>
      </c>
    </row>
    <row r="104" spans="1:22">
      <c r="A104" s="6"/>
      <c r="B104" s="216">
        <v>46237</v>
      </c>
      <c r="C104" s="216">
        <v>46237</v>
      </c>
      <c r="D104" s="428" t="s">
        <v>7785</v>
      </c>
      <c r="E104" s="428">
        <v>260101021552</v>
      </c>
      <c r="F104" s="428" t="s">
        <v>87</v>
      </c>
      <c r="G104" s="428" t="s">
        <v>2419</v>
      </c>
      <c r="H104" s="428" t="s">
        <v>2412</v>
      </c>
      <c r="I104" s="428">
        <v>795</v>
      </c>
      <c r="J104" s="369">
        <v>795</v>
      </c>
      <c r="K104" s="428">
        <v>180</v>
      </c>
      <c r="L104" s="217">
        <v>1540</v>
      </c>
      <c r="M104" s="428" t="s">
        <v>153</v>
      </c>
      <c r="N104" s="428" t="s">
        <v>149</v>
      </c>
      <c r="O104" s="428" t="s">
        <v>154</v>
      </c>
      <c r="P104" s="428" t="s">
        <v>151</v>
      </c>
      <c r="Q104" s="428" t="s">
        <v>156</v>
      </c>
      <c r="R104" s="428" t="s">
        <v>7786</v>
      </c>
      <c r="S104" s="428"/>
      <c r="T104" s="428" t="s">
        <v>2645</v>
      </c>
      <c r="U104" s="428" t="s">
        <v>152</v>
      </c>
      <c r="V104" s="428" t="s">
        <v>20</v>
      </c>
    </row>
    <row r="105" spans="1:22">
      <c r="A105" s="6"/>
      <c r="B105" s="216">
        <v>46237</v>
      </c>
      <c r="C105" s="216">
        <v>46237</v>
      </c>
      <c r="D105" s="428" t="s">
        <v>7787</v>
      </c>
      <c r="E105" s="428">
        <v>260105521579</v>
      </c>
      <c r="F105" s="428" t="s">
        <v>87</v>
      </c>
      <c r="G105" s="428" t="s">
        <v>2520</v>
      </c>
      <c r="H105" s="428" t="s">
        <v>2291</v>
      </c>
      <c r="I105" s="428">
        <v>575</v>
      </c>
      <c r="J105" s="369">
        <v>575</v>
      </c>
      <c r="K105" s="428">
        <v>110</v>
      </c>
      <c r="L105" s="217">
        <v>2950</v>
      </c>
      <c r="M105" s="428" t="s">
        <v>153</v>
      </c>
      <c r="N105" s="428" t="s">
        <v>149</v>
      </c>
      <c r="O105" s="428" t="s">
        <v>154</v>
      </c>
      <c r="P105" s="428" t="s">
        <v>151</v>
      </c>
      <c r="Q105" s="428" t="s">
        <v>156</v>
      </c>
      <c r="R105" s="428" t="s">
        <v>7788</v>
      </c>
      <c r="S105" s="428"/>
      <c r="T105" s="428" t="s">
        <v>2645</v>
      </c>
      <c r="U105" s="428" t="s">
        <v>152</v>
      </c>
      <c r="V105" s="428" t="s">
        <v>20</v>
      </c>
    </row>
    <row r="106" spans="1:22">
      <c r="A106" s="6"/>
      <c r="B106" s="216">
        <v>46237</v>
      </c>
      <c r="C106" s="216">
        <v>46237</v>
      </c>
      <c r="D106" s="428" t="s">
        <v>7789</v>
      </c>
      <c r="E106" s="428">
        <v>260101321626</v>
      </c>
      <c r="F106" s="428" t="s">
        <v>87</v>
      </c>
      <c r="G106" s="428" t="s">
        <v>2419</v>
      </c>
      <c r="H106" s="428" t="s">
        <v>2412</v>
      </c>
      <c r="I106" s="428">
        <v>880</v>
      </c>
      <c r="J106" s="369">
        <v>880</v>
      </c>
      <c r="K106" s="428">
        <v>180</v>
      </c>
      <c r="L106" s="217">
        <v>1710</v>
      </c>
      <c r="M106" s="428" t="s">
        <v>153</v>
      </c>
      <c r="N106" s="428" t="s">
        <v>149</v>
      </c>
      <c r="O106" s="428" t="s">
        <v>154</v>
      </c>
      <c r="P106" s="428" t="s">
        <v>151</v>
      </c>
      <c r="Q106" s="428" t="s">
        <v>156</v>
      </c>
      <c r="R106" s="428" t="s">
        <v>7790</v>
      </c>
      <c r="S106" s="428"/>
      <c r="T106" s="428" t="s">
        <v>2645</v>
      </c>
      <c r="U106" s="428" t="s">
        <v>152</v>
      </c>
      <c r="V106" s="428" t="s">
        <v>20</v>
      </c>
    </row>
    <row r="107" spans="1:22">
      <c r="A107" s="6"/>
      <c r="B107" s="216">
        <v>46237</v>
      </c>
      <c r="C107" s="216">
        <v>46237</v>
      </c>
      <c r="D107" s="428" t="s">
        <v>7791</v>
      </c>
      <c r="E107" s="428">
        <v>260105821670</v>
      </c>
      <c r="F107" s="428" t="s">
        <v>87</v>
      </c>
      <c r="G107" s="428" t="s">
        <v>824</v>
      </c>
      <c r="H107" s="428">
        <v>152</v>
      </c>
      <c r="I107" s="428">
        <v>233</v>
      </c>
      <c r="J107" s="369">
        <v>233</v>
      </c>
      <c r="K107" s="428">
        <v>104</v>
      </c>
      <c r="L107" s="217">
        <v>1570</v>
      </c>
      <c r="M107" s="428" t="s">
        <v>153</v>
      </c>
      <c r="N107" s="428" t="s">
        <v>149</v>
      </c>
      <c r="O107" s="428" t="s">
        <v>154</v>
      </c>
      <c r="P107" s="428" t="s">
        <v>151</v>
      </c>
      <c r="Q107" s="428" t="s">
        <v>155</v>
      </c>
      <c r="R107" s="428" t="s">
        <v>7792</v>
      </c>
      <c r="S107" s="428"/>
      <c r="T107" s="428" t="s">
        <v>2643</v>
      </c>
      <c r="U107" s="428" t="s">
        <v>152</v>
      </c>
      <c r="V107" s="428" t="s">
        <v>18</v>
      </c>
    </row>
    <row r="108" spans="1:22">
      <c r="A108" s="6"/>
      <c r="B108" s="216">
        <v>46237</v>
      </c>
      <c r="C108" s="216">
        <v>46237</v>
      </c>
      <c r="D108" s="428" t="s">
        <v>7793</v>
      </c>
      <c r="E108" s="428">
        <v>260103921649</v>
      </c>
      <c r="F108" s="428" t="s">
        <v>87</v>
      </c>
      <c r="G108" s="428" t="s">
        <v>2309</v>
      </c>
      <c r="H108" s="428">
        <v>135</v>
      </c>
      <c r="I108" s="428">
        <v>180</v>
      </c>
      <c r="J108" s="369">
        <v>180</v>
      </c>
      <c r="K108" s="428">
        <v>92</v>
      </c>
      <c r="L108" s="217">
        <v>1500</v>
      </c>
      <c r="M108" s="428" t="s">
        <v>153</v>
      </c>
      <c r="N108" s="428" t="s">
        <v>149</v>
      </c>
      <c r="O108" s="428" t="s">
        <v>154</v>
      </c>
      <c r="P108" s="428" t="s">
        <v>151</v>
      </c>
      <c r="Q108" s="428" t="s">
        <v>155</v>
      </c>
      <c r="R108" s="428" t="s">
        <v>7794</v>
      </c>
      <c r="S108" s="428"/>
      <c r="T108" s="428" t="s">
        <v>2643</v>
      </c>
      <c r="U108" s="428" t="s">
        <v>152</v>
      </c>
      <c r="V108" s="428" t="s">
        <v>18</v>
      </c>
    </row>
    <row r="109" spans="1:22">
      <c r="A109" s="6"/>
      <c r="B109" s="216">
        <v>46237</v>
      </c>
      <c r="C109" s="216">
        <v>46237</v>
      </c>
      <c r="D109" s="428" t="s">
        <v>7795</v>
      </c>
      <c r="E109" s="428">
        <v>260105321678</v>
      </c>
      <c r="F109" s="428" t="s">
        <v>87</v>
      </c>
      <c r="G109" s="428" t="s">
        <v>824</v>
      </c>
      <c r="H109" s="428">
        <v>152</v>
      </c>
      <c r="I109" s="428">
        <v>266</v>
      </c>
      <c r="J109" s="369">
        <v>266</v>
      </c>
      <c r="K109" s="428">
        <v>104</v>
      </c>
      <c r="L109" s="217">
        <v>1725</v>
      </c>
      <c r="M109" s="428" t="s">
        <v>153</v>
      </c>
      <c r="N109" s="428" t="s">
        <v>149</v>
      </c>
      <c r="O109" s="428" t="s">
        <v>154</v>
      </c>
      <c r="P109" s="428" t="s">
        <v>151</v>
      </c>
      <c r="Q109" s="428" t="s">
        <v>155</v>
      </c>
      <c r="R109" s="428" t="s">
        <v>7796</v>
      </c>
      <c r="S109" s="428"/>
      <c r="T109" s="428" t="s">
        <v>2643</v>
      </c>
      <c r="U109" s="428" t="s">
        <v>152</v>
      </c>
      <c r="V109" s="428" t="s">
        <v>18</v>
      </c>
    </row>
    <row r="110" spans="1:22">
      <c r="A110" s="6"/>
      <c r="B110" s="216">
        <v>46237</v>
      </c>
      <c r="C110" s="216">
        <v>46237</v>
      </c>
      <c r="D110" s="428" t="s">
        <v>7797</v>
      </c>
      <c r="E110" s="428">
        <v>260103921650</v>
      </c>
      <c r="F110" s="428" t="s">
        <v>87</v>
      </c>
      <c r="G110" s="428" t="s">
        <v>2309</v>
      </c>
      <c r="H110" s="428">
        <v>135</v>
      </c>
      <c r="I110" s="428">
        <v>186</v>
      </c>
      <c r="J110" s="369">
        <v>186</v>
      </c>
      <c r="K110" s="428">
        <v>92</v>
      </c>
      <c r="L110" s="217">
        <v>1500</v>
      </c>
      <c r="M110" s="428" t="s">
        <v>153</v>
      </c>
      <c r="N110" s="428" t="s">
        <v>149</v>
      </c>
      <c r="O110" s="428" t="s">
        <v>154</v>
      </c>
      <c r="P110" s="428" t="s">
        <v>151</v>
      </c>
      <c r="Q110" s="428" t="s">
        <v>155</v>
      </c>
      <c r="R110" s="428" t="s">
        <v>7798</v>
      </c>
      <c r="S110" s="428"/>
      <c r="T110" s="428" t="s">
        <v>2643</v>
      </c>
      <c r="U110" s="428" t="s">
        <v>152</v>
      </c>
      <c r="V110" s="428" t="s">
        <v>18</v>
      </c>
    </row>
    <row r="111" spans="1:22">
      <c r="A111" s="6"/>
      <c r="B111" s="216">
        <v>46237</v>
      </c>
      <c r="C111" s="216">
        <v>46237</v>
      </c>
      <c r="D111" s="428" t="s">
        <v>7799</v>
      </c>
      <c r="E111" s="428">
        <v>260105221675</v>
      </c>
      <c r="F111" s="428" t="s">
        <v>87</v>
      </c>
      <c r="G111" s="428" t="s">
        <v>2527</v>
      </c>
      <c r="H111" s="428">
        <v>152</v>
      </c>
      <c r="I111" s="428">
        <v>293</v>
      </c>
      <c r="J111" s="369">
        <v>293</v>
      </c>
      <c r="K111" s="428">
        <v>104</v>
      </c>
      <c r="L111" s="217">
        <v>1900</v>
      </c>
      <c r="M111" s="428" t="s">
        <v>153</v>
      </c>
      <c r="N111" s="428" t="s">
        <v>149</v>
      </c>
      <c r="O111" s="428" t="s">
        <v>154</v>
      </c>
      <c r="P111" s="428" t="s">
        <v>151</v>
      </c>
      <c r="Q111" s="428" t="s">
        <v>155</v>
      </c>
      <c r="R111" s="428" t="s">
        <v>7800</v>
      </c>
      <c r="S111" s="428"/>
      <c r="T111" s="428" t="s">
        <v>2643</v>
      </c>
      <c r="U111" s="428" t="s">
        <v>152</v>
      </c>
      <c r="V111" s="428" t="s">
        <v>18</v>
      </c>
    </row>
    <row r="112" spans="1:22">
      <c r="A112" s="6"/>
      <c r="B112" s="216">
        <v>46237</v>
      </c>
      <c r="C112" s="216">
        <v>46237</v>
      </c>
      <c r="D112" s="428" t="s">
        <v>7801</v>
      </c>
      <c r="E112" s="428">
        <v>260103321683</v>
      </c>
      <c r="F112" s="428" t="s">
        <v>87</v>
      </c>
      <c r="G112" s="428" t="s">
        <v>2409</v>
      </c>
      <c r="H112" s="428">
        <v>152</v>
      </c>
      <c r="I112" s="428">
        <v>286</v>
      </c>
      <c r="J112" s="369">
        <v>286</v>
      </c>
      <c r="K112" s="428">
        <v>97</v>
      </c>
      <c r="L112" s="217">
        <v>1935</v>
      </c>
      <c r="M112" s="428" t="s">
        <v>153</v>
      </c>
      <c r="N112" s="428" t="s">
        <v>149</v>
      </c>
      <c r="O112" s="428" t="s">
        <v>154</v>
      </c>
      <c r="P112" s="428" t="s">
        <v>151</v>
      </c>
      <c r="Q112" s="428" t="s">
        <v>155</v>
      </c>
      <c r="R112" s="428" t="s">
        <v>7802</v>
      </c>
      <c r="S112" s="428"/>
      <c r="T112" s="428" t="s">
        <v>2643</v>
      </c>
      <c r="U112" s="428" t="s">
        <v>152</v>
      </c>
      <c r="V112" s="428" t="s">
        <v>18</v>
      </c>
    </row>
    <row r="113" spans="1:22">
      <c r="A113" s="6"/>
      <c r="B113" s="216">
        <v>46237</v>
      </c>
      <c r="C113" s="216">
        <v>46237</v>
      </c>
      <c r="D113" s="428" t="s">
        <v>7803</v>
      </c>
      <c r="E113" s="428">
        <v>260103821685</v>
      </c>
      <c r="F113" s="428" t="s">
        <v>87</v>
      </c>
      <c r="G113" s="428" t="s">
        <v>824</v>
      </c>
      <c r="H113" s="428">
        <v>182</v>
      </c>
      <c r="I113" s="428">
        <v>330</v>
      </c>
      <c r="J113" s="369">
        <v>330</v>
      </c>
      <c r="K113" s="428">
        <v>104</v>
      </c>
      <c r="L113" s="217">
        <v>1800</v>
      </c>
      <c r="M113" s="428" t="s">
        <v>153</v>
      </c>
      <c r="N113" s="428" t="s">
        <v>149</v>
      </c>
      <c r="O113" s="428" t="s">
        <v>154</v>
      </c>
      <c r="P113" s="428" t="s">
        <v>151</v>
      </c>
      <c r="Q113" s="428" t="s">
        <v>155</v>
      </c>
      <c r="R113" s="428" t="s">
        <v>7804</v>
      </c>
      <c r="S113" s="428"/>
      <c r="T113" s="428" t="s">
        <v>2643</v>
      </c>
      <c r="U113" s="428" t="s">
        <v>152</v>
      </c>
      <c r="V113" s="428" t="s">
        <v>18</v>
      </c>
    </row>
    <row r="114" spans="1:22">
      <c r="A114" s="6"/>
      <c r="B114" s="216">
        <v>46237</v>
      </c>
      <c r="C114" s="216">
        <v>46237</v>
      </c>
      <c r="D114" s="428" t="s">
        <v>7805</v>
      </c>
      <c r="E114" s="428">
        <v>260102921680</v>
      </c>
      <c r="F114" s="428" t="s">
        <v>87</v>
      </c>
      <c r="G114" s="428" t="s">
        <v>824</v>
      </c>
      <c r="H114" s="428">
        <v>152</v>
      </c>
      <c r="I114" s="428">
        <v>243</v>
      </c>
      <c r="J114" s="369">
        <v>243</v>
      </c>
      <c r="K114" s="428">
        <v>104</v>
      </c>
      <c r="L114" s="217">
        <v>1610</v>
      </c>
      <c r="M114" s="428" t="s">
        <v>153</v>
      </c>
      <c r="N114" s="428" t="s">
        <v>149</v>
      </c>
      <c r="O114" s="428" t="s">
        <v>154</v>
      </c>
      <c r="P114" s="428" t="s">
        <v>151</v>
      </c>
      <c r="Q114" s="428" t="s">
        <v>155</v>
      </c>
      <c r="R114" s="428" t="s">
        <v>7806</v>
      </c>
      <c r="S114" s="428"/>
      <c r="T114" s="428" t="s">
        <v>2643</v>
      </c>
      <c r="U114" s="428" t="s">
        <v>152</v>
      </c>
      <c r="V114" s="428" t="s">
        <v>18</v>
      </c>
    </row>
    <row r="115" spans="1:22">
      <c r="A115" s="6"/>
      <c r="B115" s="216">
        <v>46237</v>
      </c>
      <c r="C115" s="216">
        <v>46237</v>
      </c>
      <c r="D115" s="428" t="s">
        <v>7807</v>
      </c>
      <c r="E115" s="428">
        <v>260103421681</v>
      </c>
      <c r="F115" s="428" t="s">
        <v>87</v>
      </c>
      <c r="G115" s="428" t="s">
        <v>824</v>
      </c>
      <c r="H115" s="428">
        <v>152</v>
      </c>
      <c r="I115" s="428">
        <v>301</v>
      </c>
      <c r="J115" s="369">
        <v>301</v>
      </c>
      <c r="K115" s="428">
        <v>104</v>
      </c>
      <c r="L115" s="217">
        <v>1965</v>
      </c>
      <c r="M115" s="428" t="s">
        <v>153</v>
      </c>
      <c r="N115" s="428" t="s">
        <v>149</v>
      </c>
      <c r="O115" s="428" t="s">
        <v>154</v>
      </c>
      <c r="P115" s="428" t="s">
        <v>151</v>
      </c>
      <c r="Q115" s="428" t="s">
        <v>155</v>
      </c>
      <c r="R115" s="428" t="s">
        <v>7808</v>
      </c>
      <c r="S115" s="428"/>
      <c r="T115" s="428" t="s">
        <v>2643</v>
      </c>
      <c r="U115" s="428" t="s">
        <v>152</v>
      </c>
      <c r="V115" s="428" t="s">
        <v>18</v>
      </c>
    </row>
    <row r="116" spans="1:22">
      <c r="A116" s="6"/>
      <c r="B116" s="216">
        <v>46237</v>
      </c>
      <c r="C116" s="216">
        <v>46237</v>
      </c>
      <c r="D116" s="428" t="s">
        <v>7809</v>
      </c>
      <c r="E116" s="428">
        <v>260103321684</v>
      </c>
      <c r="F116" s="428" t="s">
        <v>87</v>
      </c>
      <c r="G116" s="428" t="s">
        <v>2409</v>
      </c>
      <c r="H116" s="428">
        <v>152</v>
      </c>
      <c r="I116" s="428">
        <v>283</v>
      </c>
      <c r="J116" s="369">
        <v>283</v>
      </c>
      <c r="K116" s="428">
        <v>97</v>
      </c>
      <c r="L116" s="217">
        <v>1935</v>
      </c>
      <c r="M116" s="428" t="s">
        <v>153</v>
      </c>
      <c r="N116" s="428" t="s">
        <v>149</v>
      </c>
      <c r="O116" s="428" t="s">
        <v>154</v>
      </c>
      <c r="P116" s="428" t="s">
        <v>151</v>
      </c>
      <c r="Q116" s="428" t="s">
        <v>155</v>
      </c>
      <c r="R116" s="428" t="s">
        <v>7810</v>
      </c>
      <c r="S116" s="428"/>
      <c r="T116" s="428" t="s">
        <v>2643</v>
      </c>
      <c r="U116" s="428" t="s">
        <v>152</v>
      </c>
      <c r="V116" s="428" t="s">
        <v>18</v>
      </c>
    </row>
    <row r="117" spans="1:22">
      <c r="A117" s="6"/>
      <c r="B117" s="216">
        <v>46237</v>
      </c>
      <c r="C117" s="216">
        <v>46237</v>
      </c>
      <c r="D117" s="428" t="s">
        <v>7811</v>
      </c>
      <c r="E117" s="428">
        <v>260103821686</v>
      </c>
      <c r="F117" s="428" t="s">
        <v>87</v>
      </c>
      <c r="G117" s="428" t="s">
        <v>824</v>
      </c>
      <c r="H117" s="428">
        <v>182</v>
      </c>
      <c r="I117" s="428">
        <v>335</v>
      </c>
      <c r="J117" s="369">
        <v>335</v>
      </c>
      <c r="K117" s="428">
        <v>104</v>
      </c>
      <c r="L117" s="217">
        <v>1800</v>
      </c>
      <c r="M117" s="428" t="s">
        <v>153</v>
      </c>
      <c r="N117" s="428" t="s">
        <v>149</v>
      </c>
      <c r="O117" s="428" t="s">
        <v>154</v>
      </c>
      <c r="P117" s="428" t="s">
        <v>151</v>
      </c>
      <c r="Q117" s="428" t="s">
        <v>155</v>
      </c>
      <c r="R117" s="428" t="s">
        <v>7812</v>
      </c>
      <c r="S117" s="428"/>
      <c r="T117" s="428" t="s">
        <v>2643</v>
      </c>
      <c r="U117" s="428" t="s">
        <v>152</v>
      </c>
      <c r="V117" s="428" t="s">
        <v>18</v>
      </c>
    </row>
    <row r="118" spans="1:22">
      <c r="A118" s="6"/>
      <c r="B118" s="216">
        <v>46237</v>
      </c>
      <c r="C118" s="216">
        <v>46237</v>
      </c>
      <c r="D118" s="428" t="s">
        <v>7813</v>
      </c>
      <c r="E118" s="428">
        <v>260100721633</v>
      </c>
      <c r="F118" s="428" t="s">
        <v>87</v>
      </c>
      <c r="G118" s="428" t="s">
        <v>7586</v>
      </c>
      <c r="H118" s="428">
        <v>122</v>
      </c>
      <c r="I118" s="428">
        <v>289</v>
      </c>
      <c r="J118" s="369">
        <v>289</v>
      </c>
      <c r="K118" s="428">
        <v>170</v>
      </c>
      <c r="L118" s="217">
        <v>700</v>
      </c>
      <c r="M118" s="428" t="s">
        <v>153</v>
      </c>
      <c r="N118" s="428" t="s">
        <v>149</v>
      </c>
      <c r="O118" s="428" t="s">
        <v>154</v>
      </c>
      <c r="P118" s="428" t="s">
        <v>151</v>
      </c>
      <c r="Q118" s="428" t="s">
        <v>155</v>
      </c>
      <c r="R118" s="428" t="s">
        <v>7814</v>
      </c>
      <c r="S118" s="428"/>
      <c r="T118" s="428" t="s">
        <v>2643</v>
      </c>
      <c r="U118" s="428" t="s">
        <v>152</v>
      </c>
      <c r="V118" s="428" t="s">
        <v>18</v>
      </c>
    </row>
    <row r="119" spans="1:22">
      <c r="A119" s="6"/>
      <c r="B119" s="216">
        <v>46237</v>
      </c>
      <c r="C119" s="216">
        <v>46237</v>
      </c>
      <c r="D119" s="428" t="s">
        <v>7815</v>
      </c>
      <c r="E119" s="428">
        <v>260102621644</v>
      </c>
      <c r="F119" s="428" t="s">
        <v>87</v>
      </c>
      <c r="G119" s="428" t="s">
        <v>2359</v>
      </c>
      <c r="H119" s="428">
        <v>102</v>
      </c>
      <c r="I119" s="428">
        <v>240</v>
      </c>
      <c r="J119" s="369">
        <v>240</v>
      </c>
      <c r="K119" s="428">
        <v>125</v>
      </c>
      <c r="L119" s="217">
        <v>1000</v>
      </c>
      <c r="M119" s="428" t="s">
        <v>153</v>
      </c>
      <c r="N119" s="428" t="s">
        <v>149</v>
      </c>
      <c r="O119" s="428" t="s">
        <v>154</v>
      </c>
      <c r="P119" s="428" t="s">
        <v>151</v>
      </c>
      <c r="Q119" s="428" t="s">
        <v>155</v>
      </c>
      <c r="R119" s="428" t="s">
        <v>7816</v>
      </c>
      <c r="S119" s="428"/>
      <c r="T119" s="428" t="s">
        <v>2643</v>
      </c>
      <c r="U119" s="428" t="s">
        <v>152</v>
      </c>
      <c r="V119" s="428" t="s">
        <v>18</v>
      </c>
    </row>
    <row r="120" spans="1:22">
      <c r="A120" s="6"/>
      <c r="B120" s="216">
        <v>46237</v>
      </c>
      <c r="C120" s="216">
        <v>46237</v>
      </c>
      <c r="D120" s="428" t="s">
        <v>7817</v>
      </c>
      <c r="E120" s="428">
        <v>260101721647</v>
      </c>
      <c r="F120" s="428" t="s">
        <v>87</v>
      </c>
      <c r="G120" s="428" t="s">
        <v>2303</v>
      </c>
      <c r="H120" s="428">
        <v>92</v>
      </c>
      <c r="I120" s="428">
        <v>290</v>
      </c>
      <c r="J120" s="369">
        <v>290</v>
      </c>
      <c r="K120" s="428">
        <v>134</v>
      </c>
      <c r="L120" s="217">
        <v>1190</v>
      </c>
      <c r="M120" s="428" t="s">
        <v>153</v>
      </c>
      <c r="N120" s="428" t="s">
        <v>149</v>
      </c>
      <c r="O120" s="428" t="s">
        <v>154</v>
      </c>
      <c r="P120" s="428" t="s">
        <v>151</v>
      </c>
      <c r="Q120" s="428" t="s">
        <v>155</v>
      </c>
      <c r="R120" s="428" t="s">
        <v>7818</v>
      </c>
      <c r="S120" s="428"/>
      <c r="T120" s="428" t="s">
        <v>2643</v>
      </c>
      <c r="U120" s="428" t="s">
        <v>152</v>
      </c>
      <c r="V120" s="428" t="s">
        <v>18</v>
      </c>
    </row>
    <row r="121" spans="1:22">
      <c r="A121" s="6"/>
      <c r="B121" s="216">
        <v>46237</v>
      </c>
      <c r="C121" s="216">
        <v>46237</v>
      </c>
      <c r="D121" s="428" t="s">
        <v>7819</v>
      </c>
      <c r="E121" s="428">
        <v>260102921679</v>
      </c>
      <c r="F121" s="428" t="s">
        <v>87</v>
      </c>
      <c r="G121" s="428" t="s">
        <v>824</v>
      </c>
      <c r="H121" s="428">
        <v>152</v>
      </c>
      <c r="I121" s="428">
        <v>248</v>
      </c>
      <c r="J121" s="369">
        <v>248</v>
      </c>
      <c r="K121" s="428">
        <v>104</v>
      </c>
      <c r="L121" s="217">
        <v>1610</v>
      </c>
      <c r="M121" s="428" t="s">
        <v>153</v>
      </c>
      <c r="N121" s="428" t="s">
        <v>149</v>
      </c>
      <c r="O121" s="428" t="s">
        <v>154</v>
      </c>
      <c r="P121" s="428" t="s">
        <v>151</v>
      </c>
      <c r="Q121" s="428" t="s">
        <v>155</v>
      </c>
      <c r="R121" s="428" t="s">
        <v>7820</v>
      </c>
      <c r="S121" s="428"/>
      <c r="T121" s="428" t="s">
        <v>2643</v>
      </c>
      <c r="U121" s="428" t="s">
        <v>152</v>
      </c>
      <c r="V121" s="428" t="s">
        <v>18</v>
      </c>
    </row>
    <row r="122" spans="1:22">
      <c r="A122" s="6"/>
      <c r="B122" s="216">
        <v>46237</v>
      </c>
      <c r="C122" s="216">
        <v>46237</v>
      </c>
      <c r="D122" s="428" t="s">
        <v>7821</v>
      </c>
      <c r="E122" s="428">
        <v>260100921687</v>
      </c>
      <c r="F122" s="428" t="s">
        <v>87</v>
      </c>
      <c r="G122" s="428" t="s">
        <v>2521</v>
      </c>
      <c r="H122" s="428">
        <v>182</v>
      </c>
      <c r="I122" s="428">
        <v>333</v>
      </c>
      <c r="J122" s="369">
        <v>333</v>
      </c>
      <c r="K122" s="428">
        <v>190</v>
      </c>
      <c r="L122" s="217">
        <v>500</v>
      </c>
      <c r="M122" s="428" t="s">
        <v>153</v>
      </c>
      <c r="N122" s="428" t="s">
        <v>149</v>
      </c>
      <c r="O122" s="428" t="s">
        <v>154</v>
      </c>
      <c r="P122" s="428" t="s">
        <v>151</v>
      </c>
      <c r="Q122" s="428" t="s">
        <v>155</v>
      </c>
      <c r="R122" s="428" t="s">
        <v>7822</v>
      </c>
      <c r="S122" s="428"/>
      <c r="T122" s="428" t="s">
        <v>2643</v>
      </c>
      <c r="U122" s="428" t="s">
        <v>152</v>
      </c>
      <c r="V122" s="428" t="s">
        <v>18</v>
      </c>
    </row>
    <row r="123" spans="1:22">
      <c r="A123" s="6"/>
      <c r="B123" s="216">
        <v>46237</v>
      </c>
      <c r="C123" s="216">
        <v>46237</v>
      </c>
      <c r="D123" s="428" t="s">
        <v>7823</v>
      </c>
      <c r="E123" s="428">
        <v>260101521688</v>
      </c>
      <c r="F123" s="428" t="s">
        <v>87</v>
      </c>
      <c r="G123" s="428" t="s">
        <v>2419</v>
      </c>
      <c r="H123" s="428">
        <v>92</v>
      </c>
      <c r="I123" s="428">
        <v>325</v>
      </c>
      <c r="J123" s="369">
        <v>325</v>
      </c>
      <c r="K123" s="428">
        <v>180</v>
      </c>
      <c r="L123" s="217">
        <v>1000</v>
      </c>
      <c r="M123" s="428" t="s">
        <v>153</v>
      </c>
      <c r="N123" s="428" t="s">
        <v>149</v>
      </c>
      <c r="O123" s="428" t="s">
        <v>154</v>
      </c>
      <c r="P123" s="428" t="s">
        <v>151</v>
      </c>
      <c r="Q123" s="428" t="s">
        <v>155</v>
      </c>
      <c r="R123" s="428" t="s">
        <v>7824</v>
      </c>
      <c r="S123" s="428"/>
      <c r="T123" s="428" t="s">
        <v>2643</v>
      </c>
      <c r="U123" s="428" t="s">
        <v>152</v>
      </c>
      <c r="V123" s="428" t="s">
        <v>18</v>
      </c>
    </row>
    <row r="124" spans="1:22">
      <c r="A124" s="6"/>
      <c r="B124" s="216">
        <v>46237</v>
      </c>
      <c r="C124" s="216">
        <v>46237</v>
      </c>
      <c r="D124" s="428" t="s">
        <v>7825</v>
      </c>
      <c r="E124" s="428">
        <v>260102021691</v>
      </c>
      <c r="F124" s="428" t="s">
        <v>87</v>
      </c>
      <c r="G124" s="428" t="s">
        <v>2303</v>
      </c>
      <c r="H124" s="428">
        <v>92</v>
      </c>
      <c r="I124" s="428">
        <v>239</v>
      </c>
      <c r="J124" s="369">
        <v>239</v>
      </c>
      <c r="K124" s="428">
        <v>134</v>
      </c>
      <c r="L124" s="217">
        <v>1000</v>
      </c>
      <c r="M124" s="428" t="s">
        <v>153</v>
      </c>
      <c r="N124" s="428" t="s">
        <v>149</v>
      </c>
      <c r="O124" s="428" t="s">
        <v>154</v>
      </c>
      <c r="P124" s="428" t="s">
        <v>151</v>
      </c>
      <c r="Q124" s="428" t="s">
        <v>155</v>
      </c>
      <c r="R124" s="428" t="s">
        <v>7826</v>
      </c>
      <c r="S124" s="428"/>
      <c r="T124" s="428" t="s">
        <v>2643</v>
      </c>
      <c r="U124" s="428" t="s">
        <v>152</v>
      </c>
      <c r="V124" s="428" t="s">
        <v>18</v>
      </c>
    </row>
    <row r="125" spans="1:22">
      <c r="A125" s="6"/>
      <c r="B125" s="216">
        <v>46237</v>
      </c>
      <c r="C125" s="216">
        <v>46237</v>
      </c>
      <c r="D125" s="428" t="s">
        <v>7827</v>
      </c>
      <c r="E125" s="428">
        <v>260100421694</v>
      </c>
      <c r="F125" s="428" t="s">
        <v>87</v>
      </c>
      <c r="G125" s="428" t="s">
        <v>2420</v>
      </c>
      <c r="H125" s="428">
        <v>122</v>
      </c>
      <c r="I125" s="428">
        <v>403</v>
      </c>
      <c r="J125" s="369">
        <v>403</v>
      </c>
      <c r="K125" s="428">
        <v>190</v>
      </c>
      <c r="L125" s="217">
        <v>900</v>
      </c>
      <c r="M125" s="428" t="s">
        <v>153</v>
      </c>
      <c r="N125" s="428" t="s">
        <v>149</v>
      </c>
      <c r="O125" s="428" t="s">
        <v>154</v>
      </c>
      <c r="P125" s="428" t="s">
        <v>151</v>
      </c>
      <c r="Q125" s="428" t="s">
        <v>155</v>
      </c>
      <c r="R125" s="428" t="s">
        <v>7828</v>
      </c>
      <c r="S125" s="428"/>
      <c r="T125" s="428" t="s">
        <v>2643</v>
      </c>
      <c r="U125" s="428" t="s">
        <v>152</v>
      </c>
      <c r="V125" s="428" t="s">
        <v>18</v>
      </c>
    </row>
    <row r="126" spans="1:22">
      <c r="A126" s="6"/>
      <c r="B126" s="216">
        <v>46237</v>
      </c>
      <c r="C126" s="216">
        <v>46237</v>
      </c>
      <c r="D126" s="428" t="s">
        <v>7829</v>
      </c>
      <c r="E126" s="428">
        <v>260100921635</v>
      </c>
      <c r="F126" s="428" t="s">
        <v>87</v>
      </c>
      <c r="G126" s="428" t="s">
        <v>2521</v>
      </c>
      <c r="H126" s="428">
        <v>182</v>
      </c>
      <c r="I126" s="428">
        <v>331</v>
      </c>
      <c r="J126" s="369">
        <v>331</v>
      </c>
      <c r="K126" s="428">
        <v>190</v>
      </c>
      <c r="L126" s="217">
        <v>500</v>
      </c>
      <c r="M126" s="428" t="s">
        <v>153</v>
      </c>
      <c r="N126" s="428" t="s">
        <v>149</v>
      </c>
      <c r="O126" s="428" t="s">
        <v>154</v>
      </c>
      <c r="P126" s="428" t="s">
        <v>151</v>
      </c>
      <c r="Q126" s="428" t="s">
        <v>155</v>
      </c>
      <c r="R126" s="428" t="s">
        <v>7830</v>
      </c>
      <c r="S126" s="428"/>
      <c r="T126" s="428" t="s">
        <v>2643</v>
      </c>
      <c r="U126" s="428" t="s">
        <v>152</v>
      </c>
      <c r="V126" s="428" t="s">
        <v>18</v>
      </c>
    </row>
    <row r="127" spans="1:22">
      <c r="A127" s="6"/>
      <c r="B127" s="216">
        <v>46237</v>
      </c>
      <c r="C127" s="216">
        <v>46237</v>
      </c>
      <c r="D127" s="428" t="s">
        <v>7831</v>
      </c>
      <c r="E127" s="428">
        <v>260104621669</v>
      </c>
      <c r="F127" s="428" t="s">
        <v>87</v>
      </c>
      <c r="G127" s="428" t="s">
        <v>824</v>
      </c>
      <c r="H127" s="428">
        <v>152</v>
      </c>
      <c r="I127" s="428">
        <v>272</v>
      </c>
      <c r="J127" s="369">
        <v>272</v>
      </c>
      <c r="K127" s="428">
        <v>104</v>
      </c>
      <c r="L127" s="217">
        <v>1800</v>
      </c>
      <c r="M127" s="428" t="s">
        <v>153</v>
      </c>
      <c r="N127" s="428" t="s">
        <v>149</v>
      </c>
      <c r="O127" s="428" t="s">
        <v>154</v>
      </c>
      <c r="P127" s="428" t="s">
        <v>151</v>
      </c>
      <c r="Q127" s="428" t="s">
        <v>155</v>
      </c>
      <c r="R127" s="428" t="s">
        <v>7832</v>
      </c>
      <c r="S127" s="428"/>
      <c r="T127" s="428" t="s">
        <v>2643</v>
      </c>
      <c r="U127" s="428" t="s">
        <v>152</v>
      </c>
      <c r="V127" s="428" t="s">
        <v>18</v>
      </c>
    </row>
    <row r="128" spans="1:22">
      <c r="A128" s="6"/>
      <c r="B128" s="216">
        <v>46237</v>
      </c>
      <c r="C128" s="216">
        <v>46237</v>
      </c>
      <c r="D128" s="428" t="s">
        <v>7833</v>
      </c>
      <c r="E128" s="428">
        <v>260100721677</v>
      </c>
      <c r="F128" s="428" t="s">
        <v>87</v>
      </c>
      <c r="G128" s="428" t="s">
        <v>7586</v>
      </c>
      <c r="H128" s="428">
        <v>122</v>
      </c>
      <c r="I128" s="428">
        <v>204</v>
      </c>
      <c r="J128" s="369">
        <v>204</v>
      </c>
      <c r="K128" s="428">
        <v>170</v>
      </c>
      <c r="L128" s="217">
        <v>500</v>
      </c>
      <c r="M128" s="428" t="s">
        <v>153</v>
      </c>
      <c r="N128" s="428" t="s">
        <v>149</v>
      </c>
      <c r="O128" s="428" t="s">
        <v>154</v>
      </c>
      <c r="P128" s="428" t="s">
        <v>151</v>
      </c>
      <c r="Q128" s="428" t="s">
        <v>155</v>
      </c>
      <c r="R128" s="428" t="s">
        <v>7834</v>
      </c>
      <c r="S128" s="428"/>
      <c r="T128" s="428" t="s">
        <v>2643</v>
      </c>
      <c r="U128" s="428" t="s">
        <v>152</v>
      </c>
      <c r="V128" s="428" t="s">
        <v>18</v>
      </c>
    </row>
    <row r="129" spans="1:22">
      <c r="A129" s="6"/>
      <c r="B129" s="216">
        <v>46237</v>
      </c>
      <c r="C129" s="216">
        <v>46237</v>
      </c>
      <c r="D129" s="428" t="s">
        <v>7835</v>
      </c>
      <c r="E129" s="428">
        <v>260101821689</v>
      </c>
      <c r="F129" s="428" t="s">
        <v>87</v>
      </c>
      <c r="G129" s="428" t="s">
        <v>2538</v>
      </c>
      <c r="H129" s="428">
        <v>125</v>
      </c>
      <c r="I129" s="428">
        <v>242</v>
      </c>
      <c r="J129" s="369">
        <v>242</v>
      </c>
      <c r="K129" s="428">
        <v>140</v>
      </c>
      <c r="L129" s="217">
        <v>680</v>
      </c>
      <c r="M129" s="428" t="s">
        <v>153</v>
      </c>
      <c r="N129" s="428" t="s">
        <v>149</v>
      </c>
      <c r="O129" s="428" t="s">
        <v>154</v>
      </c>
      <c r="P129" s="428" t="s">
        <v>151</v>
      </c>
      <c r="Q129" s="428" t="s">
        <v>155</v>
      </c>
      <c r="R129" s="428" t="s">
        <v>7836</v>
      </c>
      <c r="S129" s="428"/>
      <c r="T129" s="428" t="s">
        <v>2643</v>
      </c>
      <c r="U129" s="428" t="s">
        <v>152</v>
      </c>
      <c r="V129" s="428" t="s">
        <v>18</v>
      </c>
    </row>
    <row r="130" spans="1:22">
      <c r="A130" s="6"/>
      <c r="B130" s="216">
        <v>46237</v>
      </c>
      <c r="C130" s="216">
        <v>46237</v>
      </c>
      <c r="D130" s="428" t="s">
        <v>7837</v>
      </c>
      <c r="E130" s="428">
        <v>260101921690</v>
      </c>
      <c r="F130" s="428" t="s">
        <v>87</v>
      </c>
      <c r="G130" s="428" t="s">
        <v>2303</v>
      </c>
      <c r="H130" s="428">
        <v>92</v>
      </c>
      <c r="I130" s="428">
        <v>240</v>
      </c>
      <c r="J130" s="369">
        <v>240</v>
      </c>
      <c r="K130" s="428">
        <v>134</v>
      </c>
      <c r="L130" s="217">
        <v>1000</v>
      </c>
      <c r="M130" s="428" t="s">
        <v>153</v>
      </c>
      <c r="N130" s="428" t="s">
        <v>149</v>
      </c>
      <c r="O130" s="428" t="s">
        <v>154</v>
      </c>
      <c r="P130" s="428" t="s">
        <v>151</v>
      </c>
      <c r="Q130" s="428" t="s">
        <v>155</v>
      </c>
      <c r="R130" s="428" t="s">
        <v>7838</v>
      </c>
      <c r="S130" s="428"/>
      <c r="T130" s="428" t="s">
        <v>2643</v>
      </c>
      <c r="U130" s="428" t="s">
        <v>152</v>
      </c>
      <c r="V130" s="428" t="s">
        <v>18</v>
      </c>
    </row>
    <row r="131" spans="1:22">
      <c r="A131" s="6"/>
      <c r="B131" s="216">
        <v>46237</v>
      </c>
      <c r="C131" s="216">
        <v>46237</v>
      </c>
      <c r="D131" s="428" t="s">
        <v>7839</v>
      </c>
      <c r="E131" s="428">
        <v>260107521662</v>
      </c>
      <c r="F131" s="428" t="s">
        <v>87</v>
      </c>
      <c r="G131" s="428" t="s">
        <v>2230</v>
      </c>
      <c r="H131" s="428">
        <v>125</v>
      </c>
      <c r="I131" s="428">
        <v>308</v>
      </c>
      <c r="J131" s="369">
        <v>308</v>
      </c>
      <c r="K131" s="428">
        <v>87</v>
      </c>
      <c r="L131" s="217">
        <v>2930</v>
      </c>
      <c r="M131" s="428" t="s">
        <v>153</v>
      </c>
      <c r="N131" s="428" t="s">
        <v>149</v>
      </c>
      <c r="O131" s="428" t="s">
        <v>154</v>
      </c>
      <c r="P131" s="428" t="s">
        <v>151</v>
      </c>
      <c r="Q131" s="428" t="s">
        <v>155</v>
      </c>
      <c r="R131" s="428" t="s">
        <v>7840</v>
      </c>
      <c r="S131" s="428" t="s">
        <v>61</v>
      </c>
      <c r="T131" s="428" t="s">
        <v>3326</v>
      </c>
      <c r="U131" s="428" t="s">
        <v>152</v>
      </c>
      <c r="V131" s="428" t="s">
        <v>18</v>
      </c>
    </row>
    <row r="132" spans="1:22">
      <c r="A132" s="6"/>
      <c r="B132" s="216">
        <v>46237</v>
      </c>
      <c r="C132" s="216">
        <v>46237</v>
      </c>
      <c r="D132" s="428" t="s">
        <v>7841</v>
      </c>
      <c r="E132" s="428">
        <v>260105021672</v>
      </c>
      <c r="F132" s="428" t="s">
        <v>87</v>
      </c>
      <c r="G132" s="428" t="s">
        <v>7603</v>
      </c>
      <c r="H132" s="428">
        <v>172</v>
      </c>
      <c r="I132" s="428">
        <v>264</v>
      </c>
      <c r="J132" s="369">
        <v>264</v>
      </c>
      <c r="K132" s="428">
        <v>98</v>
      </c>
      <c r="L132" s="217">
        <v>1600</v>
      </c>
      <c r="M132" s="428" t="s">
        <v>153</v>
      </c>
      <c r="N132" s="428" t="s">
        <v>149</v>
      </c>
      <c r="O132" s="428" t="s">
        <v>154</v>
      </c>
      <c r="P132" s="428" t="s">
        <v>151</v>
      </c>
      <c r="Q132" s="428" t="s">
        <v>155</v>
      </c>
      <c r="R132" s="428" t="s">
        <v>7842</v>
      </c>
      <c r="S132" s="428"/>
      <c r="T132" s="428" t="s">
        <v>2643</v>
      </c>
      <c r="U132" s="428" t="s">
        <v>152</v>
      </c>
      <c r="V132" s="428" t="s">
        <v>18</v>
      </c>
    </row>
    <row r="133" spans="1:22">
      <c r="A133" s="6"/>
      <c r="B133" s="216">
        <v>46237</v>
      </c>
      <c r="C133" s="216">
        <v>46237</v>
      </c>
      <c r="D133" s="428" t="s">
        <v>7843</v>
      </c>
      <c r="E133" s="428">
        <v>260103421682</v>
      </c>
      <c r="F133" s="428" t="s">
        <v>87</v>
      </c>
      <c r="G133" s="428" t="s">
        <v>824</v>
      </c>
      <c r="H133" s="428">
        <v>152</v>
      </c>
      <c r="I133" s="428">
        <v>297</v>
      </c>
      <c r="J133" s="369">
        <v>297</v>
      </c>
      <c r="K133" s="428">
        <v>104</v>
      </c>
      <c r="L133" s="217">
        <v>1965</v>
      </c>
      <c r="M133" s="428" t="s">
        <v>153</v>
      </c>
      <c r="N133" s="428" t="s">
        <v>149</v>
      </c>
      <c r="O133" s="428" t="s">
        <v>154</v>
      </c>
      <c r="P133" s="428" t="s">
        <v>151</v>
      </c>
      <c r="Q133" s="428" t="s">
        <v>155</v>
      </c>
      <c r="R133" s="428" t="s">
        <v>7844</v>
      </c>
      <c r="S133" s="428"/>
      <c r="T133" s="428" t="s">
        <v>2643</v>
      </c>
      <c r="U133" s="428" t="s">
        <v>152</v>
      </c>
      <c r="V133" s="428" t="s">
        <v>18</v>
      </c>
    </row>
    <row r="134" spans="1:22">
      <c r="A134" s="6"/>
      <c r="B134" s="216">
        <v>46237</v>
      </c>
      <c r="C134" s="216">
        <v>46237</v>
      </c>
      <c r="D134" s="428" t="s">
        <v>7845</v>
      </c>
      <c r="E134" s="428">
        <v>260100521696</v>
      </c>
      <c r="F134" s="428" t="s">
        <v>87</v>
      </c>
      <c r="G134" s="428" t="s">
        <v>2531</v>
      </c>
      <c r="H134" s="428">
        <v>192</v>
      </c>
      <c r="I134" s="428">
        <v>324</v>
      </c>
      <c r="J134" s="369">
        <v>324</v>
      </c>
      <c r="K134" s="428">
        <v>180</v>
      </c>
      <c r="L134" s="217">
        <v>500</v>
      </c>
      <c r="M134" s="428" t="s">
        <v>153</v>
      </c>
      <c r="N134" s="428" t="s">
        <v>149</v>
      </c>
      <c r="O134" s="428" t="s">
        <v>154</v>
      </c>
      <c r="P134" s="428" t="s">
        <v>151</v>
      </c>
      <c r="Q134" s="428" t="s">
        <v>155</v>
      </c>
      <c r="R134" s="428" t="s">
        <v>7846</v>
      </c>
      <c r="S134" s="428"/>
      <c r="T134" s="428" t="s">
        <v>2643</v>
      </c>
      <c r="U134" s="428" t="s">
        <v>152</v>
      </c>
      <c r="V134" s="428" t="s">
        <v>18</v>
      </c>
    </row>
    <row r="135" spans="1:22">
      <c r="A135" s="6"/>
      <c r="B135" s="216">
        <v>46238</v>
      </c>
      <c r="C135" s="216">
        <v>46238</v>
      </c>
      <c r="D135" s="428" t="s">
        <v>7847</v>
      </c>
      <c r="E135" s="428" t="s">
        <v>7848</v>
      </c>
      <c r="F135" s="428" t="s">
        <v>94</v>
      </c>
      <c r="G135" s="428" t="s">
        <v>2414</v>
      </c>
      <c r="H135" s="428" t="s">
        <v>2529</v>
      </c>
      <c r="I135" s="428">
        <v>240</v>
      </c>
      <c r="J135" s="369">
        <v>240</v>
      </c>
      <c r="K135" s="428">
        <v>55</v>
      </c>
      <c r="L135" s="217">
        <v>6400</v>
      </c>
      <c r="M135" s="428" t="s">
        <v>153</v>
      </c>
      <c r="N135" s="428" t="s">
        <v>149</v>
      </c>
      <c r="O135" s="428" t="s">
        <v>154</v>
      </c>
      <c r="P135" s="428" t="s">
        <v>151</v>
      </c>
      <c r="Q135" s="428" t="s">
        <v>156</v>
      </c>
      <c r="R135" s="428" t="s">
        <v>7849</v>
      </c>
      <c r="S135" s="428"/>
      <c r="T135" s="428" t="s">
        <v>7850</v>
      </c>
      <c r="U135" s="428" t="s">
        <v>152</v>
      </c>
      <c r="V135" s="428" t="s">
        <v>20</v>
      </c>
    </row>
    <row r="136" spans="1:22">
      <c r="A136" s="6"/>
      <c r="B136" s="216">
        <v>46238</v>
      </c>
      <c r="C136" s="216">
        <v>46238</v>
      </c>
      <c r="D136" s="428" t="s">
        <v>7851</v>
      </c>
      <c r="E136" s="428" t="s">
        <v>7852</v>
      </c>
      <c r="F136" s="428" t="s">
        <v>94</v>
      </c>
      <c r="G136" s="428" t="s">
        <v>2417</v>
      </c>
      <c r="H136" s="428" t="s">
        <v>2416</v>
      </c>
      <c r="I136" s="428">
        <v>249</v>
      </c>
      <c r="J136" s="369">
        <v>249</v>
      </c>
      <c r="K136" s="428">
        <v>78</v>
      </c>
      <c r="L136" s="217">
        <v>3078</v>
      </c>
      <c r="M136" s="428" t="s">
        <v>153</v>
      </c>
      <c r="N136" s="428" t="s">
        <v>149</v>
      </c>
      <c r="O136" s="428" t="s">
        <v>154</v>
      </c>
      <c r="P136" s="428" t="s">
        <v>151</v>
      </c>
      <c r="Q136" s="428" t="s">
        <v>156</v>
      </c>
      <c r="R136" s="428" t="s">
        <v>7853</v>
      </c>
      <c r="S136" s="428"/>
      <c r="T136" s="428" t="s">
        <v>7850</v>
      </c>
      <c r="U136" s="428" t="s">
        <v>152</v>
      </c>
      <c r="V136" s="428" t="s">
        <v>20</v>
      </c>
    </row>
    <row r="137" spans="1:22">
      <c r="A137" s="6"/>
      <c r="B137" s="216">
        <v>46238</v>
      </c>
      <c r="C137" s="216">
        <v>46238</v>
      </c>
      <c r="D137" s="428" t="s">
        <v>7854</v>
      </c>
      <c r="E137" s="428">
        <v>260101921768</v>
      </c>
      <c r="F137" s="428" t="s">
        <v>87</v>
      </c>
      <c r="G137" s="428" t="s">
        <v>2303</v>
      </c>
      <c r="H137" s="428">
        <v>92</v>
      </c>
      <c r="I137" s="428">
        <v>236</v>
      </c>
      <c r="J137" s="369">
        <v>236</v>
      </c>
      <c r="K137" s="428">
        <v>134</v>
      </c>
      <c r="L137" s="217">
        <v>1000</v>
      </c>
      <c r="M137" s="428" t="s">
        <v>153</v>
      </c>
      <c r="N137" s="428" t="s">
        <v>149</v>
      </c>
      <c r="O137" s="428" t="s">
        <v>154</v>
      </c>
      <c r="P137" s="428" t="s">
        <v>151</v>
      </c>
      <c r="Q137" s="428" t="s">
        <v>155</v>
      </c>
      <c r="R137" s="428" t="s">
        <v>7855</v>
      </c>
      <c r="S137" s="428"/>
      <c r="T137" s="428" t="s">
        <v>2651</v>
      </c>
      <c r="U137" s="428" t="s">
        <v>152</v>
      </c>
      <c r="V137" s="428" t="s">
        <v>18</v>
      </c>
    </row>
    <row r="138" spans="1:22">
      <c r="A138" s="6"/>
      <c r="B138" s="216">
        <v>46238</v>
      </c>
      <c r="C138" s="216">
        <v>46238</v>
      </c>
      <c r="D138" s="428" t="s">
        <v>7856</v>
      </c>
      <c r="E138" s="428">
        <v>260100521740</v>
      </c>
      <c r="F138" s="428" t="s">
        <v>87</v>
      </c>
      <c r="G138" s="428" t="s">
        <v>2531</v>
      </c>
      <c r="H138" s="428">
        <v>192</v>
      </c>
      <c r="I138" s="428">
        <v>383</v>
      </c>
      <c r="J138" s="369">
        <v>383</v>
      </c>
      <c r="K138" s="428">
        <v>180</v>
      </c>
      <c r="L138" s="217">
        <v>565</v>
      </c>
      <c r="M138" s="428" t="s">
        <v>153</v>
      </c>
      <c r="N138" s="428" t="s">
        <v>149</v>
      </c>
      <c r="O138" s="428" t="s">
        <v>154</v>
      </c>
      <c r="P138" s="428" t="s">
        <v>151</v>
      </c>
      <c r="Q138" s="428" t="s">
        <v>155</v>
      </c>
      <c r="R138" s="428" t="s">
        <v>7857</v>
      </c>
      <c r="S138" s="428"/>
      <c r="T138" s="428" t="s">
        <v>2651</v>
      </c>
      <c r="U138" s="428" t="s">
        <v>152</v>
      </c>
      <c r="V138" s="428" t="s">
        <v>18</v>
      </c>
    </row>
    <row r="139" spans="1:22">
      <c r="A139" s="6"/>
      <c r="B139" s="216">
        <v>46238</v>
      </c>
      <c r="C139" s="216">
        <v>46238</v>
      </c>
      <c r="D139" s="428" t="s">
        <v>7858</v>
      </c>
      <c r="E139" s="428">
        <v>260103921750</v>
      </c>
      <c r="F139" s="428" t="s">
        <v>87</v>
      </c>
      <c r="G139" s="428" t="s">
        <v>2309</v>
      </c>
      <c r="H139" s="428">
        <v>135</v>
      </c>
      <c r="I139" s="428">
        <v>280</v>
      </c>
      <c r="J139" s="369">
        <v>280</v>
      </c>
      <c r="K139" s="428">
        <v>92</v>
      </c>
      <c r="L139" s="217">
        <v>2300</v>
      </c>
      <c r="M139" s="428" t="s">
        <v>153</v>
      </c>
      <c r="N139" s="428" t="s">
        <v>149</v>
      </c>
      <c r="O139" s="428" t="s">
        <v>154</v>
      </c>
      <c r="P139" s="428" t="s">
        <v>151</v>
      </c>
      <c r="Q139" s="428" t="s">
        <v>155</v>
      </c>
      <c r="R139" s="428" t="s">
        <v>7859</v>
      </c>
      <c r="S139" s="428"/>
      <c r="T139" s="428" t="s">
        <v>2651</v>
      </c>
      <c r="U139" s="428" t="s">
        <v>152</v>
      </c>
      <c r="V139" s="428" t="s">
        <v>18</v>
      </c>
    </row>
    <row r="140" spans="1:22">
      <c r="A140" s="6"/>
      <c r="B140" s="216">
        <v>46238</v>
      </c>
      <c r="C140" s="216">
        <v>46238</v>
      </c>
      <c r="D140" s="428" t="s">
        <v>7860</v>
      </c>
      <c r="E140" s="428">
        <v>260102921755</v>
      </c>
      <c r="F140" s="428" t="s">
        <v>87</v>
      </c>
      <c r="G140" s="428" t="s">
        <v>824</v>
      </c>
      <c r="H140" s="428">
        <v>152</v>
      </c>
      <c r="I140" s="428">
        <v>228</v>
      </c>
      <c r="J140" s="369">
        <v>228</v>
      </c>
      <c r="K140" s="428">
        <v>104</v>
      </c>
      <c r="L140" s="217">
        <v>1500</v>
      </c>
      <c r="M140" s="428" t="s">
        <v>153</v>
      </c>
      <c r="N140" s="428" t="s">
        <v>149</v>
      </c>
      <c r="O140" s="428" t="s">
        <v>154</v>
      </c>
      <c r="P140" s="428" t="s">
        <v>151</v>
      </c>
      <c r="Q140" s="428" t="s">
        <v>155</v>
      </c>
      <c r="R140" s="428" t="s">
        <v>7861</v>
      </c>
      <c r="S140" s="428"/>
      <c r="T140" s="428" t="s">
        <v>2651</v>
      </c>
      <c r="U140" s="428" t="s">
        <v>152</v>
      </c>
      <c r="V140" s="428" t="s">
        <v>18</v>
      </c>
    </row>
    <row r="141" spans="1:22">
      <c r="A141" s="6"/>
      <c r="B141" s="216">
        <v>46238</v>
      </c>
      <c r="C141" s="216">
        <v>46238</v>
      </c>
      <c r="D141" s="428" t="s">
        <v>7862</v>
      </c>
      <c r="E141" s="428">
        <v>260104621746</v>
      </c>
      <c r="F141" s="428" t="s">
        <v>87</v>
      </c>
      <c r="G141" s="428" t="s">
        <v>824</v>
      </c>
      <c r="H141" s="428">
        <v>152</v>
      </c>
      <c r="I141" s="428">
        <v>304</v>
      </c>
      <c r="J141" s="369">
        <v>304</v>
      </c>
      <c r="K141" s="428">
        <v>104</v>
      </c>
      <c r="L141" s="217">
        <v>2020</v>
      </c>
      <c r="M141" s="428" t="s">
        <v>153</v>
      </c>
      <c r="N141" s="428" t="s">
        <v>149</v>
      </c>
      <c r="O141" s="428" t="s">
        <v>154</v>
      </c>
      <c r="P141" s="428" t="s">
        <v>151</v>
      </c>
      <c r="Q141" s="428" t="s">
        <v>155</v>
      </c>
      <c r="R141" s="428" t="s">
        <v>7863</v>
      </c>
      <c r="S141" s="428"/>
      <c r="T141" s="428" t="s">
        <v>2651</v>
      </c>
      <c r="U141" s="428" t="s">
        <v>152</v>
      </c>
      <c r="V141" s="428" t="s">
        <v>18</v>
      </c>
    </row>
    <row r="142" spans="1:22">
      <c r="A142" s="6"/>
      <c r="B142" s="216">
        <v>46238</v>
      </c>
      <c r="C142" s="216">
        <v>46238</v>
      </c>
      <c r="D142" s="428" t="s">
        <v>7864</v>
      </c>
      <c r="E142" s="428">
        <v>260103421757</v>
      </c>
      <c r="F142" s="428" t="s">
        <v>87</v>
      </c>
      <c r="G142" s="428" t="s">
        <v>824</v>
      </c>
      <c r="H142" s="428">
        <v>152</v>
      </c>
      <c r="I142" s="428">
        <v>224</v>
      </c>
      <c r="J142" s="369">
        <v>224</v>
      </c>
      <c r="K142" s="428">
        <v>104</v>
      </c>
      <c r="L142" s="217">
        <v>1500</v>
      </c>
      <c r="M142" s="428" t="s">
        <v>153</v>
      </c>
      <c r="N142" s="428" t="s">
        <v>149</v>
      </c>
      <c r="O142" s="428" t="s">
        <v>154</v>
      </c>
      <c r="P142" s="428" t="s">
        <v>151</v>
      </c>
      <c r="Q142" s="428" t="s">
        <v>155</v>
      </c>
      <c r="R142" s="428" t="s">
        <v>7865</v>
      </c>
      <c r="S142" s="428"/>
      <c r="T142" s="428" t="s">
        <v>2651</v>
      </c>
      <c r="U142" s="428" t="s">
        <v>152</v>
      </c>
      <c r="V142" s="428" t="s">
        <v>18</v>
      </c>
    </row>
    <row r="143" spans="1:22">
      <c r="A143" s="6"/>
      <c r="B143" s="216">
        <v>46238</v>
      </c>
      <c r="C143" s="216">
        <v>46238</v>
      </c>
      <c r="D143" s="428" t="s">
        <v>7866</v>
      </c>
      <c r="E143" s="428">
        <v>260101721764</v>
      </c>
      <c r="F143" s="428" t="s">
        <v>87</v>
      </c>
      <c r="G143" s="428" t="s">
        <v>2303</v>
      </c>
      <c r="H143" s="428">
        <v>92</v>
      </c>
      <c r="I143" s="428">
        <v>244</v>
      </c>
      <c r="J143" s="369">
        <v>244</v>
      </c>
      <c r="K143" s="428">
        <v>134</v>
      </c>
      <c r="L143" s="217">
        <v>1000</v>
      </c>
      <c r="M143" s="428" t="s">
        <v>153</v>
      </c>
      <c r="N143" s="428" t="s">
        <v>149</v>
      </c>
      <c r="O143" s="428" t="s">
        <v>154</v>
      </c>
      <c r="P143" s="428" t="s">
        <v>151</v>
      </c>
      <c r="Q143" s="428" t="s">
        <v>155</v>
      </c>
      <c r="R143" s="428" t="s">
        <v>7867</v>
      </c>
      <c r="S143" s="428"/>
      <c r="T143" s="428" t="s">
        <v>2651</v>
      </c>
      <c r="U143" s="428" t="s">
        <v>152</v>
      </c>
      <c r="V143" s="428" t="s">
        <v>18</v>
      </c>
    </row>
    <row r="144" spans="1:22">
      <c r="A144" s="6"/>
      <c r="B144" s="216">
        <v>46238</v>
      </c>
      <c r="C144" s="216">
        <v>46238</v>
      </c>
      <c r="D144" s="428" t="s">
        <v>7868</v>
      </c>
      <c r="E144" s="428">
        <v>260102621716</v>
      </c>
      <c r="F144" s="428" t="s">
        <v>87</v>
      </c>
      <c r="G144" s="428" t="s">
        <v>2359</v>
      </c>
      <c r="H144" s="428">
        <v>102</v>
      </c>
      <c r="I144" s="428">
        <v>258</v>
      </c>
      <c r="J144" s="369">
        <v>258</v>
      </c>
      <c r="K144" s="428">
        <v>125</v>
      </c>
      <c r="L144" s="217">
        <v>1040</v>
      </c>
      <c r="M144" s="428" t="s">
        <v>153</v>
      </c>
      <c r="N144" s="428" t="s">
        <v>149</v>
      </c>
      <c r="O144" s="428" t="s">
        <v>154</v>
      </c>
      <c r="P144" s="428" t="s">
        <v>151</v>
      </c>
      <c r="Q144" s="428" t="s">
        <v>155</v>
      </c>
      <c r="R144" s="428" t="s">
        <v>7869</v>
      </c>
      <c r="S144" s="428"/>
      <c r="T144" s="428" t="s">
        <v>2651</v>
      </c>
      <c r="U144" s="428" t="s">
        <v>152</v>
      </c>
      <c r="V144" s="428" t="s">
        <v>18</v>
      </c>
    </row>
    <row r="145" spans="1:22">
      <c r="A145" s="6"/>
      <c r="B145" s="216">
        <v>46238</v>
      </c>
      <c r="C145" s="216">
        <v>46238</v>
      </c>
      <c r="D145" s="428" t="s">
        <v>7870</v>
      </c>
      <c r="E145" s="428">
        <v>260103921751</v>
      </c>
      <c r="F145" s="428" t="s">
        <v>87</v>
      </c>
      <c r="G145" s="428" t="s">
        <v>2309</v>
      </c>
      <c r="H145" s="428">
        <v>135</v>
      </c>
      <c r="I145" s="428">
        <v>282</v>
      </c>
      <c r="J145" s="369">
        <v>282</v>
      </c>
      <c r="K145" s="428">
        <v>92</v>
      </c>
      <c r="L145" s="217">
        <v>2300</v>
      </c>
      <c r="M145" s="428" t="s">
        <v>153</v>
      </c>
      <c r="N145" s="428" t="s">
        <v>149</v>
      </c>
      <c r="O145" s="428" t="s">
        <v>154</v>
      </c>
      <c r="P145" s="428" t="s">
        <v>151</v>
      </c>
      <c r="Q145" s="428" t="s">
        <v>155</v>
      </c>
      <c r="R145" s="428" t="s">
        <v>7871</v>
      </c>
      <c r="S145" s="428"/>
      <c r="T145" s="428" t="s">
        <v>2651</v>
      </c>
      <c r="U145" s="428" t="s">
        <v>152</v>
      </c>
      <c r="V145" s="428" t="s">
        <v>18</v>
      </c>
    </row>
    <row r="146" spans="1:22">
      <c r="A146" s="6"/>
      <c r="B146" s="216">
        <v>46238</v>
      </c>
      <c r="C146" s="216">
        <v>46238</v>
      </c>
      <c r="D146" s="428" t="s">
        <v>7872</v>
      </c>
      <c r="E146" s="428">
        <v>260103821752</v>
      </c>
      <c r="F146" s="428" t="s">
        <v>87</v>
      </c>
      <c r="G146" s="428" t="s">
        <v>824</v>
      </c>
      <c r="H146" s="428">
        <v>152</v>
      </c>
      <c r="I146" s="428">
        <v>241</v>
      </c>
      <c r="J146" s="369">
        <v>241</v>
      </c>
      <c r="K146" s="428">
        <v>104</v>
      </c>
      <c r="L146" s="217">
        <v>1620</v>
      </c>
      <c r="M146" s="428" t="s">
        <v>153</v>
      </c>
      <c r="N146" s="428" t="s">
        <v>149</v>
      </c>
      <c r="O146" s="428" t="s">
        <v>154</v>
      </c>
      <c r="P146" s="428" t="s">
        <v>151</v>
      </c>
      <c r="Q146" s="428" t="s">
        <v>155</v>
      </c>
      <c r="R146" s="428" t="s">
        <v>7873</v>
      </c>
      <c r="S146" s="428"/>
      <c r="T146" s="428" t="s">
        <v>2651</v>
      </c>
      <c r="U146" s="428" t="s">
        <v>152</v>
      </c>
      <c r="V146" s="428" t="s">
        <v>18</v>
      </c>
    </row>
    <row r="147" spans="1:22">
      <c r="A147" s="6"/>
      <c r="B147" s="216">
        <v>46238</v>
      </c>
      <c r="C147" s="216">
        <v>46238</v>
      </c>
      <c r="D147" s="428" t="s">
        <v>7874</v>
      </c>
      <c r="E147" s="428">
        <v>260101521759</v>
      </c>
      <c r="F147" s="428" t="s">
        <v>87</v>
      </c>
      <c r="G147" s="428" t="s">
        <v>2419</v>
      </c>
      <c r="H147" s="428">
        <v>92</v>
      </c>
      <c r="I147" s="428">
        <v>327</v>
      </c>
      <c r="J147" s="369">
        <v>327</v>
      </c>
      <c r="K147" s="428">
        <v>180</v>
      </c>
      <c r="L147" s="217">
        <v>1000</v>
      </c>
      <c r="M147" s="428" t="s">
        <v>153</v>
      </c>
      <c r="N147" s="428" t="s">
        <v>149</v>
      </c>
      <c r="O147" s="428" t="s">
        <v>154</v>
      </c>
      <c r="P147" s="428" t="s">
        <v>151</v>
      </c>
      <c r="Q147" s="428" t="s">
        <v>155</v>
      </c>
      <c r="R147" s="428" t="s">
        <v>7875</v>
      </c>
      <c r="S147" s="428"/>
      <c r="T147" s="428" t="s">
        <v>2651</v>
      </c>
      <c r="U147" s="428" t="s">
        <v>152</v>
      </c>
      <c r="V147" s="428" t="s">
        <v>18</v>
      </c>
    </row>
    <row r="148" spans="1:22">
      <c r="A148" s="6"/>
      <c r="B148" s="216">
        <v>46238</v>
      </c>
      <c r="C148" s="216">
        <v>46238</v>
      </c>
      <c r="D148" s="428" t="s">
        <v>7876</v>
      </c>
      <c r="E148" s="428">
        <v>260100921771</v>
      </c>
      <c r="F148" s="428" t="s">
        <v>87</v>
      </c>
      <c r="G148" s="428" t="s">
        <v>2521</v>
      </c>
      <c r="H148" s="428">
        <v>182</v>
      </c>
      <c r="I148" s="428">
        <v>355</v>
      </c>
      <c r="J148" s="369">
        <v>355</v>
      </c>
      <c r="K148" s="428">
        <v>190</v>
      </c>
      <c r="L148" s="217">
        <v>530</v>
      </c>
      <c r="M148" s="428" t="s">
        <v>153</v>
      </c>
      <c r="N148" s="428" t="s">
        <v>149</v>
      </c>
      <c r="O148" s="428" t="s">
        <v>154</v>
      </c>
      <c r="P148" s="428" t="s">
        <v>151</v>
      </c>
      <c r="Q148" s="428" t="s">
        <v>155</v>
      </c>
      <c r="R148" s="428" t="s">
        <v>7877</v>
      </c>
      <c r="S148" s="428"/>
      <c r="T148" s="428" t="s">
        <v>2651</v>
      </c>
      <c r="U148" s="428" t="s">
        <v>152</v>
      </c>
      <c r="V148" s="428" t="s">
        <v>18</v>
      </c>
    </row>
    <row r="149" spans="1:22">
      <c r="A149" s="6"/>
      <c r="B149" s="216">
        <v>46238</v>
      </c>
      <c r="C149" s="216">
        <v>46238</v>
      </c>
      <c r="D149" s="428" t="s">
        <v>7878</v>
      </c>
      <c r="E149" s="428">
        <v>260105321749</v>
      </c>
      <c r="F149" s="428" t="s">
        <v>87</v>
      </c>
      <c r="G149" s="428" t="s">
        <v>824</v>
      </c>
      <c r="H149" s="428">
        <v>152</v>
      </c>
      <c r="I149" s="428">
        <v>319</v>
      </c>
      <c r="J149" s="369">
        <v>319</v>
      </c>
      <c r="K149" s="428">
        <v>104</v>
      </c>
      <c r="L149" s="217">
        <v>2125</v>
      </c>
      <c r="M149" s="428" t="s">
        <v>153</v>
      </c>
      <c r="N149" s="428" t="s">
        <v>149</v>
      </c>
      <c r="O149" s="428" t="s">
        <v>154</v>
      </c>
      <c r="P149" s="428" t="s">
        <v>151</v>
      </c>
      <c r="Q149" s="428" t="s">
        <v>155</v>
      </c>
      <c r="R149" s="428" t="s">
        <v>7879</v>
      </c>
      <c r="S149" s="428"/>
      <c r="T149" s="428" t="s">
        <v>2651</v>
      </c>
      <c r="U149" s="428" t="s">
        <v>152</v>
      </c>
      <c r="V149" s="428" t="s">
        <v>18</v>
      </c>
    </row>
    <row r="150" spans="1:22">
      <c r="A150" s="6"/>
      <c r="B150" s="216">
        <v>46238</v>
      </c>
      <c r="C150" s="216">
        <v>46238</v>
      </c>
      <c r="D150" s="428" t="s">
        <v>7880</v>
      </c>
      <c r="E150" s="428">
        <v>260101621717</v>
      </c>
      <c r="F150" s="428" t="s">
        <v>87</v>
      </c>
      <c r="G150" s="428" t="s">
        <v>2079</v>
      </c>
      <c r="H150" s="428">
        <v>112</v>
      </c>
      <c r="I150" s="428">
        <v>392</v>
      </c>
      <c r="J150" s="369">
        <v>392</v>
      </c>
      <c r="K150" s="428">
        <v>180</v>
      </c>
      <c r="L150" s="217">
        <v>1000</v>
      </c>
      <c r="M150" s="428" t="s">
        <v>153</v>
      </c>
      <c r="N150" s="428" t="s">
        <v>149</v>
      </c>
      <c r="O150" s="428" t="s">
        <v>154</v>
      </c>
      <c r="P150" s="428" t="s">
        <v>151</v>
      </c>
      <c r="Q150" s="428" t="s">
        <v>155</v>
      </c>
      <c r="R150" s="428" t="s">
        <v>7881</v>
      </c>
      <c r="S150" s="428"/>
      <c r="T150" s="428" t="s">
        <v>2651</v>
      </c>
      <c r="U150" s="428" t="s">
        <v>152</v>
      </c>
      <c r="V150" s="428" t="s">
        <v>18</v>
      </c>
    </row>
    <row r="151" spans="1:22">
      <c r="A151" s="6"/>
      <c r="B151" s="216">
        <v>46238</v>
      </c>
      <c r="C151" s="216">
        <v>46238</v>
      </c>
      <c r="D151" s="428" t="s">
        <v>7882</v>
      </c>
      <c r="E151" s="428">
        <v>260104121715</v>
      </c>
      <c r="F151" s="428" t="s">
        <v>87</v>
      </c>
      <c r="G151" s="428" t="s">
        <v>2361</v>
      </c>
      <c r="H151" s="428">
        <v>182</v>
      </c>
      <c r="I151" s="428">
        <v>340</v>
      </c>
      <c r="J151" s="369">
        <v>340</v>
      </c>
      <c r="K151" s="428">
        <v>98</v>
      </c>
      <c r="L151" s="217">
        <v>1950</v>
      </c>
      <c r="M151" s="428" t="s">
        <v>153</v>
      </c>
      <c r="N151" s="428" t="s">
        <v>149</v>
      </c>
      <c r="O151" s="428" t="s">
        <v>154</v>
      </c>
      <c r="P151" s="428" t="s">
        <v>151</v>
      </c>
      <c r="Q151" s="428" t="s">
        <v>155</v>
      </c>
      <c r="R151" s="428" t="s">
        <v>7883</v>
      </c>
      <c r="S151" s="428"/>
      <c r="T151" s="428" t="s">
        <v>2651</v>
      </c>
      <c r="U151" s="428" t="s">
        <v>152</v>
      </c>
      <c r="V151" s="428" t="s">
        <v>18</v>
      </c>
    </row>
    <row r="152" spans="1:22">
      <c r="A152" s="6"/>
      <c r="B152" s="216">
        <v>46238</v>
      </c>
      <c r="C152" s="216">
        <v>46238</v>
      </c>
      <c r="D152" s="428" t="s">
        <v>7884</v>
      </c>
      <c r="E152" s="428">
        <v>260100721719</v>
      </c>
      <c r="F152" s="428" t="s">
        <v>87</v>
      </c>
      <c r="G152" s="428" t="s">
        <v>7586</v>
      </c>
      <c r="H152" s="428">
        <v>122</v>
      </c>
      <c r="I152" s="428">
        <v>412</v>
      </c>
      <c r="J152" s="369">
        <v>412</v>
      </c>
      <c r="K152" s="428">
        <v>170</v>
      </c>
      <c r="L152" s="217">
        <v>950</v>
      </c>
      <c r="M152" s="428" t="s">
        <v>153</v>
      </c>
      <c r="N152" s="428" t="s">
        <v>149</v>
      </c>
      <c r="O152" s="428" t="s">
        <v>154</v>
      </c>
      <c r="P152" s="428" t="s">
        <v>151</v>
      </c>
      <c r="Q152" s="428" t="s">
        <v>155</v>
      </c>
      <c r="R152" s="428" t="s">
        <v>7885</v>
      </c>
      <c r="S152" s="428"/>
      <c r="T152" s="428" t="s">
        <v>2651</v>
      </c>
      <c r="U152" s="428" t="s">
        <v>152</v>
      </c>
      <c r="V152" s="428" t="s">
        <v>18</v>
      </c>
    </row>
    <row r="153" spans="1:22">
      <c r="A153" s="6"/>
      <c r="B153" s="216">
        <v>46238</v>
      </c>
      <c r="C153" s="216">
        <v>46238</v>
      </c>
      <c r="D153" s="428" t="s">
        <v>7886</v>
      </c>
      <c r="E153" s="428">
        <v>260105721729</v>
      </c>
      <c r="F153" s="428" t="s">
        <v>87</v>
      </c>
      <c r="G153" s="428" t="s">
        <v>2364</v>
      </c>
      <c r="H153" s="428">
        <v>142</v>
      </c>
      <c r="I153" s="428">
        <v>181</v>
      </c>
      <c r="J153" s="369">
        <v>181</v>
      </c>
      <c r="K153" s="428">
        <v>67</v>
      </c>
      <c r="L153" s="217">
        <v>1920</v>
      </c>
      <c r="M153" s="428" t="s">
        <v>153</v>
      </c>
      <c r="N153" s="428" t="s">
        <v>149</v>
      </c>
      <c r="O153" s="428" t="s">
        <v>154</v>
      </c>
      <c r="P153" s="428" t="s">
        <v>151</v>
      </c>
      <c r="Q153" s="428" t="s">
        <v>155</v>
      </c>
      <c r="R153" s="428" t="s">
        <v>7887</v>
      </c>
      <c r="S153" s="428"/>
      <c r="T153" s="428" t="s">
        <v>2651</v>
      </c>
      <c r="U153" s="428" t="s">
        <v>152</v>
      </c>
      <c r="V153" s="428" t="s">
        <v>18</v>
      </c>
    </row>
    <row r="154" spans="1:22">
      <c r="A154" s="6"/>
      <c r="B154" s="216">
        <v>46238</v>
      </c>
      <c r="C154" s="216">
        <v>46238</v>
      </c>
      <c r="D154" s="428" t="s">
        <v>7888</v>
      </c>
      <c r="E154" s="428">
        <v>260107621743</v>
      </c>
      <c r="F154" s="428" t="s">
        <v>87</v>
      </c>
      <c r="G154" s="428" t="s">
        <v>2230</v>
      </c>
      <c r="H154" s="428">
        <v>125</v>
      </c>
      <c r="I154" s="428">
        <v>307</v>
      </c>
      <c r="J154" s="369">
        <v>307</v>
      </c>
      <c r="K154" s="428">
        <v>87</v>
      </c>
      <c r="L154" s="217">
        <v>2900</v>
      </c>
      <c r="M154" s="428" t="s">
        <v>153</v>
      </c>
      <c r="N154" s="428" t="s">
        <v>149</v>
      </c>
      <c r="O154" s="428" t="s">
        <v>154</v>
      </c>
      <c r="P154" s="428" t="s">
        <v>151</v>
      </c>
      <c r="Q154" s="428" t="s">
        <v>155</v>
      </c>
      <c r="R154" s="428" t="s">
        <v>7889</v>
      </c>
      <c r="S154" s="428"/>
      <c r="T154" s="428" t="s">
        <v>2651</v>
      </c>
      <c r="U154" s="428" t="s">
        <v>152</v>
      </c>
      <c r="V154" s="428" t="s">
        <v>18</v>
      </c>
    </row>
    <row r="155" spans="1:22">
      <c r="A155" s="6"/>
      <c r="B155" s="216">
        <v>46238</v>
      </c>
      <c r="C155" s="216">
        <v>46238</v>
      </c>
      <c r="D155" s="428" t="s">
        <v>7890</v>
      </c>
      <c r="E155" s="428">
        <v>260100721758</v>
      </c>
      <c r="F155" s="428" t="s">
        <v>87</v>
      </c>
      <c r="G155" s="428" t="s">
        <v>7586</v>
      </c>
      <c r="H155" s="428">
        <v>122</v>
      </c>
      <c r="I155" s="428">
        <v>317</v>
      </c>
      <c r="J155" s="369">
        <v>317</v>
      </c>
      <c r="K155" s="428">
        <v>170</v>
      </c>
      <c r="L155" s="217">
        <v>730</v>
      </c>
      <c r="M155" s="428" t="s">
        <v>153</v>
      </c>
      <c r="N155" s="428" t="s">
        <v>149</v>
      </c>
      <c r="O155" s="428" t="s">
        <v>154</v>
      </c>
      <c r="P155" s="428" t="s">
        <v>151</v>
      </c>
      <c r="Q155" s="428" t="s">
        <v>155</v>
      </c>
      <c r="R155" s="428" t="s">
        <v>7891</v>
      </c>
      <c r="S155" s="428"/>
      <c r="T155" s="428" t="s">
        <v>2651</v>
      </c>
      <c r="U155" s="428" t="s">
        <v>152</v>
      </c>
      <c r="V155" s="428" t="s">
        <v>18</v>
      </c>
    </row>
    <row r="156" spans="1:22">
      <c r="A156" s="6"/>
      <c r="B156" s="216">
        <v>46238</v>
      </c>
      <c r="C156" s="216">
        <v>46238</v>
      </c>
      <c r="D156" s="428" t="s">
        <v>7892</v>
      </c>
      <c r="E156" s="428">
        <v>260100521720</v>
      </c>
      <c r="F156" s="428" t="s">
        <v>87</v>
      </c>
      <c r="G156" s="428" t="s">
        <v>2531</v>
      </c>
      <c r="H156" s="428">
        <v>192</v>
      </c>
      <c r="I156" s="428">
        <v>334</v>
      </c>
      <c r="J156" s="369">
        <v>334</v>
      </c>
      <c r="K156" s="428">
        <v>180</v>
      </c>
      <c r="L156" s="217">
        <v>500</v>
      </c>
      <c r="M156" s="428" t="s">
        <v>153</v>
      </c>
      <c r="N156" s="428" t="s">
        <v>149</v>
      </c>
      <c r="O156" s="428" t="s">
        <v>154</v>
      </c>
      <c r="P156" s="428" t="s">
        <v>151</v>
      </c>
      <c r="Q156" s="428" t="s">
        <v>155</v>
      </c>
      <c r="R156" s="428" t="s">
        <v>7893</v>
      </c>
      <c r="S156" s="428"/>
      <c r="T156" s="428" t="s">
        <v>2651</v>
      </c>
      <c r="U156" s="428" t="s">
        <v>152</v>
      </c>
      <c r="V156" s="428" t="s">
        <v>18</v>
      </c>
    </row>
    <row r="157" spans="1:22">
      <c r="A157" s="6"/>
      <c r="B157" s="216">
        <v>46238</v>
      </c>
      <c r="C157" s="216">
        <v>46238</v>
      </c>
      <c r="D157" s="428" t="s">
        <v>7894</v>
      </c>
      <c r="E157" s="428">
        <v>260102921754</v>
      </c>
      <c r="F157" s="428" t="s">
        <v>87</v>
      </c>
      <c r="G157" s="428" t="s">
        <v>824</v>
      </c>
      <c r="H157" s="428">
        <v>152</v>
      </c>
      <c r="I157" s="428">
        <v>229</v>
      </c>
      <c r="J157" s="369">
        <v>229</v>
      </c>
      <c r="K157" s="428">
        <v>104</v>
      </c>
      <c r="L157" s="217">
        <v>1500</v>
      </c>
      <c r="M157" s="428" t="s">
        <v>153</v>
      </c>
      <c r="N157" s="428" t="s">
        <v>149</v>
      </c>
      <c r="O157" s="428" t="s">
        <v>154</v>
      </c>
      <c r="P157" s="428" t="s">
        <v>151</v>
      </c>
      <c r="Q157" s="428" t="s">
        <v>155</v>
      </c>
      <c r="R157" s="428" t="s">
        <v>7895</v>
      </c>
      <c r="S157" s="428"/>
      <c r="T157" s="428" t="s">
        <v>2651</v>
      </c>
      <c r="U157" s="428" t="s">
        <v>152</v>
      </c>
      <c r="V157" s="428" t="s">
        <v>18</v>
      </c>
    </row>
    <row r="158" spans="1:22">
      <c r="A158" s="6"/>
      <c r="B158" s="216">
        <v>46238</v>
      </c>
      <c r="C158" s="216">
        <v>46238</v>
      </c>
      <c r="D158" s="428" t="s">
        <v>7896</v>
      </c>
      <c r="E158" s="428">
        <v>260106121747</v>
      </c>
      <c r="F158" s="428" t="s">
        <v>87</v>
      </c>
      <c r="G158" s="428" t="s">
        <v>2230</v>
      </c>
      <c r="H158" s="428">
        <v>125</v>
      </c>
      <c r="I158" s="428">
        <v>231</v>
      </c>
      <c r="J158" s="369">
        <v>231</v>
      </c>
      <c r="K158" s="428">
        <v>87</v>
      </c>
      <c r="L158" s="217">
        <v>2180</v>
      </c>
      <c r="M158" s="428" t="s">
        <v>153</v>
      </c>
      <c r="N158" s="428" t="s">
        <v>149</v>
      </c>
      <c r="O158" s="428" t="s">
        <v>154</v>
      </c>
      <c r="P158" s="428" t="s">
        <v>151</v>
      </c>
      <c r="Q158" s="428" t="s">
        <v>155</v>
      </c>
      <c r="R158" s="428" t="s">
        <v>7897</v>
      </c>
      <c r="S158" s="428"/>
      <c r="T158" s="428" t="s">
        <v>2651</v>
      </c>
      <c r="U158" s="428" t="s">
        <v>152</v>
      </c>
      <c r="V158" s="428" t="s">
        <v>18</v>
      </c>
    </row>
    <row r="159" spans="1:22">
      <c r="A159" s="6"/>
      <c r="B159" s="216">
        <v>46238</v>
      </c>
      <c r="C159" s="216">
        <v>46238</v>
      </c>
      <c r="D159" s="428" t="s">
        <v>7898</v>
      </c>
      <c r="E159" s="428">
        <v>260103821753</v>
      </c>
      <c r="F159" s="428" t="s">
        <v>87</v>
      </c>
      <c r="G159" s="428" t="s">
        <v>824</v>
      </c>
      <c r="H159" s="428">
        <v>152</v>
      </c>
      <c r="I159" s="428">
        <v>248</v>
      </c>
      <c r="J159" s="369">
        <v>248</v>
      </c>
      <c r="K159" s="428">
        <v>104</v>
      </c>
      <c r="L159" s="217">
        <v>1620</v>
      </c>
      <c r="M159" s="428" t="s">
        <v>153</v>
      </c>
      <c r="N159" s="428" t="s">
        <v>149</v>
      </c>
      <c r="O159" s="428" t="s">
        <v>154</v>
      </c>
      <c r="P159" s="428" t="s">
        <v>151</v>
      </c>
      <c r="Q159" s="428" t="s">
        <v>155</v>
      </c>
      <c r="R159" s="428" t="s">
        <v>7899</v>
      </c>
      <c r="S159" s="428"/>
      <c r="T159" s="428" t="s">
        <v>2651</v>
      </c>
      <c r="U159" s="428" t="s">
        <v>152</v>
      </c>
      <c r="V159" s="428" t="s">
        <v>18</v>
      </c>
    </row>
    <row r="160" spans="1:22">
      <c r="A160" s="6"/>
      <c r="B160" s="216">
        <v>46238</v>
      </c>
      <c r="C160" s="216">
        <v>46238</v>
      </c>
      <c r="D160" s="428" t="s">
        <v>7900</v>
      </c>
      <c r="E160" s="428">
        <v>260103421756</v>
      </c>
      <c r="F160" s="428" t="s">
        <v>87</v>
      </c>
      <c r="G160" s="428" t="s">
        <v>824</v>
      </c>
      <c r="H160" s="428">
        <v>152</v>
      </c>
      <c r="I160" s="428">
        <v>223</v>
      </c>
      <c r="J160" s="369">
        <v>223</v>
      </c>
      <c r="K160" s="428">
        <v>104</v>
      </c>
      <c r="L160" s="217">
        <v>1500</v>
      </c>
      <c r="M160" s="428" t="s">
        <v>153</v>
      </c>
      <c r="N160" s="428" t="s">
        <v>149</v>
      </c>
      <c r="O160" s="428" t="s">
        <v>154</v>
      </c>
      <c r="P160" s="428" t="s">
        <v>151</v>
      </c>
      <c r="Q160" s="428" t="s">
        <v>155</v>
      </c>
      <c r="R160" s="428" t="s">
        <v>7901</v>
      </c>
      <c r="S160" s="428"/>
      <c r="T160" s="428" t="s">
        <v>2651</v>
      </c>
      <c r="U160" s="428" t="s">
        <v>152</v>
      </c>
      <c r="V160" s="428" t="s">
        <v>18</v>
      </c>
    </row>
    <row r="161" spans="1:22">
      <c r="A161" s="6"/>
      <c r="B161" s="216">
        <v>46238</v>
      </c>
      <c r="C161" s="216">
        <v>46238</v>
      </c>
      <c r="D161" s="428" t="s">
        <v>7902</v>
      </c>
      <c r="E161" s="428">
        <v>260100421721</v>
      </c>
      <c r="F161" s="428" t="s">
        <v>87</v>
      </c>
      <c r="G161" s="428" t="s">
        <v>2420</v>
      </c>
      <c r="H161" s="428">
        <v>122</v>
      </c>
      <c r="I161" s="428">
        <v>396</v>
      </c>
      <c r="J161" s="369">
        <v>396</v>
      </c>
      <c r="K161" s="428">
        <v>190</v>
      </c>
      <c r="L161" s="217">
        <v>860</v>
      </c>
      <c r="M161" s="428" t="s">
        <v>153</v>
      </c>
      <c r="N161" s="428" t="s">
        <v>149</v>
      </c>
      <c r="O161" s="428" t="s">
        <v>154</v>
      </c>
      <c r="P161" s="428" t="s">
        <v>151</v>
      </c>
      <c r="Q161" s="428" t="s">
        <v>155</v>
      </c>
      <c r="R161" s="428" t="s">
        <v>7903</v>
      </c>
      <c r="S161" s="428"/>
      <c r="T161" s="428" t="s">
        <v>2651</v>
      </c>
      <c r="U161" s="428" t="s">
        <v>152</v>
      </c>
      <c r="V161" s="428" t="s">
        <v>18</v>
      </c>
    </row>
    <row r="162" spans="1:22">
      <c r="A162" s="6"/>
      <c r="B162" s="216">
        <v>46238</v>
      </c>
      <c r="C162" s="216">
        <v>46238</v>
      </c>
      <c r="D162" s="428" t="s">
        <v>7904</v>
      </c>
      <c r="E162" s="428">
        <v>260101421774</v>
      </c>
      <c r="F162" s="428" t="s">
        <v>87</v>
      </c>
      <c r="G162" s="428" t="s">
        <v>824</v>
      </c>
      <c r="H162" s="428">
        <v>152</v>
      </c>
      <c r="I162" s="428">
        <v>231</v>
      </c>
      <c r="J162" s="369">
        <v>231</v>
      </c>
      <c r="K162" s="428">
        <v>104</v>
      </c>
      <c r="L162" s="217">
        <v>1520</v>
      </c>
      <c r="M162" s="428" t="s">
        <v>153</v>
      </c>
      <c r="N162" s="428" t="s">
        <v>149</v>
      </c>
      <c r="O162" s="428" t="s">
        <v>154</v>
      </c>
      <c r="P162" s="428" t="s">
        <v>151</v>
      </c>
      <c r="Q162" s="428" t="s">
        <v>155</v>
      </c>
      <c r="R162" s="428" t="s">
        <v>7905</v>
      </c>
      <c r="S162" s="428"/>
      <c r="T162" s="428" t="s">
        <v>2651</v>
      </c>
      <c r="U162" s="428" t="s">
        <v>152</v>
      </c>
      <c r="V162" s="428" t="s">
        <v>18</v>
      </c>
    </row>
    <row r="163" spans="1:22">
      <c r="A163" s="6"/>
      <c r="B163" s="216">
        <v>46238</v>
      </c>
      <c r="C163" s="216">
        <v>46238</v>
      </c>
      <c r="D163" s="428" t="s">
        <v>7906</v>
      </c>
      <c r="E163" s="428">
        <v>260105821765</v>
      </c>
      <c r="F163" s="428" t="s">
        <v>87</v>
      </c>
      <c r="G163" s="428" t="s">
        <v>824</v>
      </c>
      <c r="H163" s="428">
        <v>152</v>
      </c>
      <c r="I163" s="428">
        <v>267</v>
      </c>
      <c r="J163" s="369">
        <v>267</v>
      </c>
      <c r="K163" s="428">
        <v>104</v>
      </c>
      <c r="L163" s="217">
        <v>1780</v>
      </c>
      <c r="M163" s="428" t="s">
        <v>153</v>
      </c>
      <c r="N163" s="428" t="s">
        <v>149</v>
      </c>
      <c r="O163" s="428" t="s">
        <v>154</v>
      </c>
      <c r="P163" s="428" t="s">
        <v>151</v>
      </c>
      <c r="Q163" s="428" t="s">
        <v>155</v>
      </c>
      <c r="R163" s="428" t="s">
        <v>7907</v>
      </c>
      <c r="S163" s="428"/>
      <c r="T163" s="428" t="s">
        <v>2651</v>
      </c>
      <c r="U163" s="428" t="s">
        <v>152</v>
      </c>
      <c r="V163" s="428" t="s">
        <v>18</v>
      </c>
    </row>
    <row r="164" spans="1:22">
      <c r="A164" s="6"/>
      <c r="B164" s="216">
        <v>46238</v>
      </c>
      <c r="C164" s="216">
        <v>46238</v>
      </c>
      <c r="D164" s="428" t="s">
        <v>7908</v>
      </c>
      <c r="E164" s="428">
        <v>260101821767</v>
      </c>
      <c r="F164" s="428" t="s">
        <v>87</v>
      </c>
      <c r="G164" s="428" t="s">
        <v>7909</v>
      </c>
      <c r="H164" s="428">
        <v>105</v>
      </c>
      <c r="I164" s="428">
        <v>270</v>
      </c>
      <c r="J164" s="369">
        <v>270</v>
      </c>
      <c r="K164" s="428">
        <v>134</v>
      </c>
      <c r="L164" s="217">
        <v>1000</v>
      </c>
      <c r="M164" s="428" t="s">
        <v>153</v>
      </c>
      <c r="N164" s="428" t="s">
        <v>149</v>
      </c>
      <c r="O164" s="428" t="s">
        <v>154</v>
      </c>
      <c r="P164" s="428" t="s">
        <v>151</v>
      </c>
      <c r="Q164" s="428" t="s">
        <v>155</v>
      </c>
      <c r="R164" s="428" t="s">
        <v>7910</v>
      </c>
      <c r="S164" s="428"/>
      <c r="T164" s="428" t="s">
        <v>2651</v>
      </c>
      <c r="U164" s="428" t="s">
        <v>152</v>
      </c>
      <c r="V164" s="428" t="s">
        <v>18</v>
      </c>
    </row>
    <row r="165" spans="1:22">
      <c r="A165" s="6"/>
      <c r="B165" s="216">
        <v>46238</v>
      </c>
      <c r="C165" s="216">
        <v>46238</v>
      </c>
      <c r="D165" s="428" t="s">
        <v>7911</v>
      </c>
      <c r="E165" s="428">
        <v>260102621761</v>
      </c>
      <c r="F165" s="428" t="s">
        <v>87</v>
      </c>
      <c r="G165" s="428" t="s">
        <v>2359</v>
      </c>
      <c r="H165" s="428">
        <v>102</v>
      </c>
      <c r="I165" s="428">
        <v>250</v>
      </c>
      <c r="J165" s="369">
        <v>250</v>
      </c>
      <c r="K165" s="428">
        <v>125</v>
      </c>
      <c r="L165" s="217">
        <v>1000</v>
      </c>
      <c r="M165" s="428" t="s">
        <v>153</v>
      </c>
      <c r="N165" s="428" t="s">
        <v>149</v>
      </c>
      <c r="O165" s="428" t="s">
        <v>154</v>
      </c>
      <c r="P165" s="428" t="s">
        <v>151</v>
      </c>
      <c r="Q165" s="428" t="s">
        <v>155</v>
      </c>
      <c r="R165" s="428" t="s">
        <v>7912</v>
      </c>
      <c r="S165" s="428"/>
      <c r="T165" s="428" t="s">
        <v>2653</v>
      </c>
      <c r="U165" s="428" t="s">
        <v>152</v>
      </c>
      <c r="V165" s="428" t="s">
        <v>18</v>
      </c>
    </row>
    <row r="166" spans="1:22">
      <c r="A166" s="6"/>
      <c r="B166" s="216">
        <v>46238</v>
      </c>
      <c r="C166" s="216">
        <v>46238</v>
      </c>
      <c r="D166" s="428" t="s">
        <v>7913</v>
      </c>
      <c r="E166" s="428">
        <v>260105721580</v>
      </c>
      <c r="F166" s="428" t="s">
        <v>87</v>
      </c>
      <c r="G166" s="428" t="s">
        <v>2364</v>
      </c>
      <c r="H166" s="428">
        <v>142</v>
      </c>
      <c r="I166" s="428">
        <v>159</v>
      </c>
      <c r="J166" s="369">
        <v>159</v>
      </c>
      <c r="K166" s="428">
        <v>67</v>
      </c>
      <c r="L166" s="217">
        <v>1730</v>
      </c>
      <c r="M166" s="428" t="s">
        <v>153</v>
      </c>
      <c r="N166" s="428" t="s">
        <v>149</v>
      </c>
      <c r="O166" s="428" t="s">
        <v>154</v>
      </c>
      <c r="P166" s="428" t="s">
        <v>151</v>
      </c>
      <c r="Q166" s="428" t="s">
        <v>155</v>
      </c>
      <c r="R166" s="428" t="s">
        <v>7914</v>
      </c>
      <c r="S166" s="428"/>
      <c r="T166" s="428" t="s">
        <v>2653</v>
      </c>
      <c r="U166" s="428" t="s">
        <v>152</v>
      </c>
      <c r="V166" s="428" t="s">
        <v>18</v>
      </c>
    </row>
    <row r="167" spans="1:22">
      <c r="A167" s="6"/>
      <c r="B167" s="216">
        <v>46238</v>
      </c>
      <c r="C167" s="216">
        <v>46238</v>
      </c>
      <c r="D167" s="428" t="s">
        <v>7915</v>
      </c>
      <c r="E167" s="428">
        <v>260102821718</v>
      </c>
      <c r="F167" s="428" t="s">
        <v>87</v>
      </c>
      <c r="G167" s="428" t="s">
        <v>2359</v>
      </c>
      <c r="H167" s="428">
        <v>102</v>
      </c>
      <c r="I167" s="428">
        <v>265</v>
      </c>
      <c r="J167" s="369">
        <v>265</v>
      </c>
      <c r="K167" s="428">
        <v>125</v>
      </c>
      <c r="L167" s="217">
        <v>1080</v>
      </c>
      <c r="M167" s="428" t="s">
        <v>153</v>
      </c>
      <c r="N167" s="428" t="s">
        <v>149</v>
      </c>
      <c r="O167" s="428" t="s">
        <v>154</v>
      </c>
      <c r="P167" s="428" t="s">
        <v>151</v>
      </c>
      <c r="Q167" s="428" t="s">
        <v>155</v>
      </c>
      <c r="R167" s="428" t="s">
        <v>7916</v>
      </c>
      <c r="S167" s="428"/>
      <c r="T167" s="428" t="s">
        <v>2653</v>
      </c>
      <c r="U167" s="428" t="s">
        <v>152</v>
      </c>
      <c r="V167" s="428" t="s">
        <v>18</v>
      </c>
    </row>
    <row r="168" spans="1:22">
      <c r="A168" s="6"/>
      <c r="B168" s="216">
        <v>46238</v>
      </c>
      <c r="C168" s="216">
        <v>46238</v>
      </c>
      <c r="D168" s="428" t="s">
        <v>7917</v>
      </c>
      <c r="E168" s="428">
        <v>260101421775</v>
      </c>
      <c r="F168" s="428" t="s">
        <v>87</v>
      </c>
      <c r="G168" s="428" t="s">
        <v>824</v>
      </c>
      <c r="H168" s="428">
        <v>152</v>
      </c>
      <c r="I168" s="428">
        <v>229</v>
      </c>
      <c r="J168" s="369">
        <v>229</v>
      </c>
      <c r="K168" s="428">
        <v>104</v>
      </c>
      <c r="L168" s="217">
        <v>1520</v>
      </c>
      <c r="M168" s="428" t="s">
        <v>153</v>
      </c>
      <c r="N168" s="428" t="s">
        <v>149</v>
      </c>
      <c r="O168" s="428" t="s">
        <v>154</v>
      </c>
      <c r="P168" s="428" t="s">
        <v>151</v>
      </c>
      <c r="Q168" s="428" t="s">
        <v>155</v>
      </c>
      <c r="R168" s="428" t="s">
        <v>7918</v>
      </c>
      <c r="S168" s="428"/>
      <c r="T168" s="428" t="s">
        <v>2653</v>
      </c>
      <c r="U168" s="428" t="s">
        <v>152</v>
      </c>
      <c r="V168" s="428" t="s">
        <v>18</v>
      </c>
    </row>
    <row r="169" spans="1:22">
      <c r="A169" s="6"/>
      <c r="B169" s="216">
        <v>46238</v>
      </c>
      <c r="C169" s="216">
        <v>46238</v>
      </c>
      <c r="D169" s="428" t="s">
        <v>7919</v>
      </c>
      <c r="E169" s="428">
        <v>260104121654</v>
      </c>
      <c r="F169" s="428" t="s">
        <v>87</v>
      </c>
      <c r="G169" s="428" t="s">
        <v>2361</v>
      </c>
      <c r="H169" s="428">
        <v>182</v>
      </c>
      <c r="I169" s="428">
        <v>223</v>
      </c>
      <c r="J169" s="369">
        <v>223</v>
      </c>
      <c r="K169" s="428">
        <v>98</v>
      </c>
      <c r="L169" s="217">
        <v>1270</v>
      </c>
      <c r="M169" s="428" t="s">
        <v>153</v>
      </c>
      <c r="N169" s="428" t="s">
        <v>149</v>
      </c>
      <c r="O169" s="428" t="s">
        <v>154</v>
      </c>
      <c r="P169" s="428" t="s">
        <v>151</v>
      </c>
      <c r="Q169" s="428" t="s">
        <v>155</v>
      </c>
      <c r="R169" s="428" t="s">
        <v>7920</v>
      </c>
      <c r="S169" s="428"/>
      <c r="T169" s="428" t="s">
        <v>2653</v>
      </c>
      <c r="U169" s="428" t="s">
        <v>152</v>
      </c>
      <c r="V169" s="428" t="s">
        <v>18</v>
      </c>
    </row>
    <row r="170" spans="1:22">
      <c r="A170" s="6"/>
      <c r="B170" s="216">
        <v>46238</v>
      </c>
      <c r="C170" s="216">
        <v>46238</v>
      </c>
      <c r="D170" s="428" t="s">
        <v>7921</v>
      </c>
      <c r="E170" s="428">
        <v>260102721693</v>
      </c>
      <c r="F170" s="428" t="s">
        <v>87</v>
      </c>
      <c r="G170" s="428" t="s">
        <v>2534</v>
      </c>
      <c r="H170" s="428">
        <v>112</v>
      </c>
      <c r="I170" s="428">
        <v>274</v>
      </c>
      <c r="J170" s="369">
        <v>274</v>
      </c>
      <c r="K170" s="428">
        <v>126</v>
      </c>
      <c r="L170" s="217">
        <v>1000</v>
      </c>
      <c r="M170" s="428" t="s">
        <v>153</v>
      </c>
      <c r="N170" s="428" t="s">
        <v>149</v>
      </c>
      <c r="O170" s="428" t="s">
        <v>154</v>
      </c>
      <c r="P170" s="428" t="s">
        <v>151</v>
      </c>
      <c r="Q170" s="428" t="s">
        <v>155</v>
      </c>
      <c r="R170" s="428" t="s">
        <v>7922</v>
      </c>
      <c r="S170" s="428"/>
      <c r="T170" s="428" t="s">
        <v>2653</v>
      </c>
      <c r="U170" s="428" t="s">
        <v>152</v>
      </c>
      <c r="V170" s="428" t="s">
        <v>18</v>
      </c>
    </row>
    <row r="171" spans="1:22">
      <c r="A171" s="6"/>
      <c r="B171" s="216">
        <v>46238</v>
      </c>
      <c r="C171" s="216">
        <v>46238</v>
      </c>
      <c r="D171" s="428" t="s">
        <v>7923</v>
      </c>
      <c r="E171" s="428">
        <v>260105221734</v>
      </c>
      <c r="F171" s="428" t="s">
        <v>87</v>
      </c>
      <c r="G171" s="428" t="s">
        <v>2527</v>
      </c>
      <c r="H171" s="428">
        <v>152</v>
      </c>
      <c r="I171" s="428">
        <v>290</v>
      </c>
      <c r="J171" s="369">
        <v>290</v>
      </c>
      <c r="K171" s="428">
        <v>104</v>
      </c>
      <c r="L171" s="217">
        <v>1900</v>
      </c>
      <c r="M171" s="428" t="s">
        <v>153</v>
      </c>
      <c r="N171" s="428" t="s">
        <v>149</v>
      </c>
      <c r="O171" s="428" t="s">
        <v>154</v>
      </c>
      <c r="P171" s="428" t="s">
        <v>151</v>
      </c>
      <c r="Q171" s="428" t="s">
        <v>155</v>
      </c>
      <c r="R171" s="428" t="s">
        <v>7924</v>
      </c>
      <c r="S171" s="428"/>
      <c r="T171" s="428" t="s">
        <v>2653</v>
      </c>
      <c r="U171" s="428" t="s">
        <v>152</v>
      </c>
      <c r="V171" s="428" t="s">
        <v>18</v>
      </c>
    </row>
    <row r="172" spans="1:22">
      <c r="A172" s="6"/>
      <c r="B172" s="216">
        <v>46238</v>
      </c>
      <c r="C172" s="216">
        <v>46238</v>
      </c>
      <c r="D172" s="428" t="s">
        <v>7925</v>
      </c>
      <c r="E172" s="428">
        <v>260102021769</v>
      </c>
      <c r="F172" s="428" t="s">
        <v>87</v>
      </c>
      <c r="G172" s="428" t="s">
        <v>2303</v>
      </c>
      <c r="H172" s="428">
        <v>92</v>
      </c>
      <c r="I172" s="428">
        <v>239</v>
      </c>
      <c r="J172" s="369">
        <v>239</v>
      </c>
      <c r="K172" s="428">
        <v>134</v>
      </c>
      <c r="L172" s="217">
        <v>1000</v>
      </c>
      <c r="M172" s="428" t="s">
        <v>153</v>
      </c>
      <c r="N172" s="428" t="s">
        <v>149</v>
      </c>
      <c r="O172" s="428" t="s">
        <v>154</v>
      </c>
      <c r="P172" s="428" t="s">
        <v>151</v>
      </c>
      <c r="Q172" s="428" t="s">
        <v>155</v>
      </c>
      <c r="R172" s="428" t="s">
        <v>7926</v>
      </c>
      <c r="S172" s="428"/>
      <c r="T172" s="428" t="s">
        <v>2653</v>
      </c>
      <c r="U172" s="428" t="s">
        <v>152</v>
      </c>
      <c r="V172" s="428" t="s">
        <v>18</v>
      </c>
    </row>
    <row r="173" spans="1:22">
      <c r="A173" s="6"/>
      <c r="B173" s="216">
        <v>46238</v>
      </c>
      <c r="C173" s="216">
        <v>46238</v>
      </c>
      <c r="D173" s="428" t="s">
        <v>7927</v>
      </c>
      <c r="E173" s="428">
        <v>260106921663</v>
      </c>
      <c r="F173" s="428" t="s">
        <v>87</v>
      </c>
      <c r="G173" s="428" t="s">
        <v>7928</v>
      </c>
      <c r="H173" s="428">
        <v>135</v>
      </c>
      <c r="I173" s="428">
        <v>372</v>
      </c>
      <c r="J173" s="369">
        <v>372</v>
      </c>
      <c r="K173" s="428">
        <v>107</v>
      </c>
      <c r="L173" s="217">
        <v>2640</v>
      </c>
      <c r="M173" s="428" t="s">
        <v>153</v>
      </c>
      <c r="N173" s="428" t="s">
        <v>149</v>
      </c>
      <c r="O173" s="428" t="s">
        <v>154</v>
      </c>
      <c r="P173" s="428" t="s">
        <v>151</v>
      </c>
      <c r="Q173" s="428" t="s">
        <v>155</v>
      </c>
      <c r="R173" s="428" t="s">
        <v>7929</v>
      </c>
      <c r="S173" s="428"/>
      <c r="T173" s="428" t="s">
        <v>2653</v>
      </c>
      <c r="U173" s="428" t="s">
        <v>152</v>
      </c>
      <c r="V173" s="428" t="s">
        <v>18</v>
      </c>
    </row>
    <row r="174" spans="1:22">
      <c r="A174" s="6"/>
      <c r="B174" s="216">
        <v>46238</v>
      </c>
      <c r="C174" s="216">
        <v>46238</v>
      </c>
      <c r="D174" s="428" t="s">
        <v>7930</v>
      </c>
      <c r="E174" s="428">
        <v>260101421773</v>
      </c>
      <c r="F174" s="428" t="s">
        <v>87</v>
      </c>
      <c r="G174" s="428" t="s">
        <v>824</v>
      </c>
      <c r="H174" s="428">
        <v>152</v>
      </c>
      <c r="I174" s="428">
        <v>230</v>
      </c>
      <c r="J174" s="369">
        <v>230</v>
      </c>
      <c r="K174" s="428">
        <v>104</v>
      </c>
      <c r="L174" s="217">
        <v>1520</v>
      </c>
      <c r="M174" s="428" t="s">
        <v>153</v>
      </c>
      <c r="N174" s="428" t="s">
        <v>149</v>
      </c>
      <c r="O174" s="428" t="s">
        <v>154</v>
      </c>
      <c r="P174" s="428" t="s">
        <v>151</v>
      </c>
      <c r="Q174" s="428" t="s">
        <v>155</v>
      </c>
      <c r="R174" s="428" t="s">
        <v>7931</v>
      </c>
      <c r="S174" s="428"/>
      <c r="T174" s="428" t="s">
        <v>2653</v>
      </c>
      <c r="U174" s="428" t="s">
        <v>152</v>
      </c>
      <c r="V174" s="428" t="s">
        <v>18</v>
      </c>
    </row>
    <row r="175" spans="1:22">
      <c r="A175" s="6"/>
      <c r="B175" s="216">
        <v>46238</v>
      </c>
      <c r="C175" s="216">
        <v>46238</v>
      </c>
      <c r="D175" s="428" t="s">
        <v>7932</v>
      </c>
      <c r="E175" s="428">
        <v>260100521559</v>
      </c>
      <c r="F175" s="428" t="s">
        <v>87</v>
      </c>
      <c r="G175" s="428" t="s">
        <v>2531</v>
      </c>
      <c r="H175" s="428">
        <v>192</v>
      </c>
      <c r="I175" s="428">
        <v>355</v>
      </c>
      <c r="J175" s="369">
        <v>355</v>
      </c>
      <c r="K175" s="428">
        <v>180</v>
      </c>
      <c r="L175" s="217">
        <v>540</v>
      </c>
      <c r="M175" s="428" t="s">
        <v>153</v>
      </c>
      <c r="N175" s="428" t="s">
        <v>149</v>
      </c>
      <c r="O175" s="428" t="s">
        <v>154</v>
      </c>
      <c r="P175" s="428" t="s">
        <v>151</v>
      </c>
      <c r="Q175" s="428" t="s">
        <v>155</v>
      </c>
      <c r="R175" s="428" t="s">
        <v>7933</v>
      </c>
      <c r="S175" s="428"/>
      <c r="T175" s="428" t="s">
        <v>2653</v>
      </c>
      <c r="U175" s="428" t="s">
        <v>152</v>
      </c>
      <c r="V175" s="428" t="s">
        <v>18</v>
      </c>
    </row>
    <row r="176" spans="1:22">
      <c r="A176" s="6"/>
      <c r="B176" s="216">
        <v>46238</v>
      </c>
      <c r="C176" s="216">
        <v>46238</v>
      </c>
      <c r="D176" s="428" t="s">
        <v>7934</v>
      </c>
      <c r="E176" s="428">
        <v>260108421733</v>
      </c>
      <c r="F176" s="428" t="s">
        <v>87</v>
      </c>
      <c r="G176" s="428" t="s">
        <v>7732</v>
      </c>
      <c r="H176" s="428">
        <v>125</v>
      </c>
      <c r="I176" s="428">
        <v>257</v>
      </c>
      <c r="J176" s="369">
        <v>257</v>
      </c>
      <c r="K176" s="428">
        <v>81</v>
      </c>
      <c r="L176" s="217">
        <v>2560</v>
      </c>
      <c r="M176" s="428" t="s">
        <v>153</v>
      </c>
      <c r="N176" s="428" t="s">
        <v>149</v>
      </c>
      <c r="O176" s="428" t="s">
        <v>154</v>
      </c>
      <c r="P176" s="428" t="s">
        <v>151</v>
      </c>
      <c r="Q176" s="428" t="s">
        <v>155</v>
      </c>
      <c r="R176" s="428" t="s">
        <v>7935</v>
      </c>
      <c r="S176" s="428"/>
      <c r="T176" s="428" t="s">
        <v>2653</v>
      </c>
      <c r="U176" s="428" t="s">
        <v>152</v>
      </c>
      <c r="V176" s="428" t="s">
        <v>18</v>
      </c>
    </row>
    <row r="177" spans="1:22">
      <c r="A177" s="6"/>
      <c r="B177" s="216">
        <v>46238</v>
      </c>
      <c r="C177" s="216">
        <v>46238</v>
      </c>
      <c r="D177" s="428" t="s">
        <v>7936</v>
      </c>
      <c r="E177" s="428">
        <v>260107021736</v>
      </c>
      <c r="F177" s="428" t="s">
        <v>87</v>
      </c>
      <c r="G177" s="428" t="s">
        <v>2230</v>
      </c>
      <c r="H177" s="428">
        <v>125</v>
      </c>
      <c r="I177" s="428">
        <v>293</v>
      </c>
      <c r="J177" s="369">
        <v>293</v>
      </c>
      <c r="K177" s="428">
        <v>87</v>
      </c>
      <c r="L177" s="217">
        <v>2760</v>
      </c>
      <c r="M177" s="428" t="s">
        <v>153</v>
      </c>
      <c r="N177" s="428" t="s">
        <v>149</v>
      </c>
      <c r="O177" s="428" t="s">
        <v>154</v>
      </c>
      <c r="P177" s="428" t="s">
        <v>151</v>
      </c>
      <c r="Q177" s="428" t="s">
        <v>155</v>
      </c>
      <c r="R177" s="428" t="s">
        <v>7937</v>
      </c>
      <c r="S177" s="428" t="s">
        <v>61</v>
      </c>
      <c r="T177" s="428" t="s">
        <v>3326</v>
      </c>
      <c r="U177" s="428" t="s">
        <v>152</v>
      </c>
      <c r="V177" s="428" t="s">
        <v>18</v>
      </c>
    </row>
    <row r="178" spans="1:22">
      <c r="A178" s="6"/>
      <c r="B178" s="216">
        <v>46238</v>
      </c>
      <c r="C178" s="216">
        <v>46238</v>
      </c>
      <c r="D178" s="428" t="s">
        <v>7938</v>
      </c>
      <c r="E178" s="428">
        <v>260101421772</v>
      </c>
      <c r="F178" s="428" t="s">
        <v>87</v>
      </c>
      <c r="G178" s="428" t="s">
        <v>824</v>
      </c>
      <c r="H178" s="428">
        <v>152</v>
      </c>
      <c r="I178" s="428">
        <v>233</v>
      </c>
      <c r="J178" s="369">
        <v>233</v>
      </c>
      <c r="K178" s="428">
        <v>104</v>
      </c>
      <c r="L178" s="217">
        <v>1520</v>
      </c>
      <c r="M178" s="428" t="s">
        <v>153</v>
      </c>
      <c r="N178" s="428" t="s">
        <v>149</v>
      </c>
      <c r="O178" s="428" t="s">
        <v>154</v>
      </c>
      <c r="P178" s="428" t="s">
        <v>151</v>
      </c>
      <c r="Q178" s="428" t="s">
        <v>155</v>
      </c>
      <c r="R178" s="428" t="s">
        <v>7939</v>
      </c>
      <c r="S178" s="428"/>
      <c r="T178" s="428" t="s">
        <v>2653</v>
      </c>
      <c r="U178" s="428" t="s">
        <v>152</v>
      </c>
      <c r="V178" s="428" t="s">
        <v>18</v>
      </c>
    </row>
    <row r="179" spans="1:22">
      <c r="A179" s="6"/>
      <c r="B179" s="216">
        <v>46238</v>
      </c>
      <c r="C179" s="216">
        <v>46238</v>
      </c>
      <c r="D179" s="428" t="s">
        <v>7940</v>
      </c>
      <c r="E179" s="428">
        <v>260107821731</v>
      </c>
      <c r="F179" s="428" t="s">
        <v>87</v>
      </c>
      <c r="G179" s="428" t="s">
        <v>2309</v>
      </c>
      <c r="H179" s="428">
        <v>135</v>
      </c>
      <c r="I179" s="428">
        <v>292</v>
      </c>
      <c r="J179" s="369">
        <v>292</v>
      </c>
      <c r="K179" s="428">
        <v>92</v>
      </c>
      <c r="L179" s="217">
        <v>2430</v>
      </c>
      <c r="M179" s="428" t="s">
        <v>153</v>
      </c>
      <c r="N179" s="428" t="s">
        <v>149</v>
      </c>
      <c r="O179" s="428" t="s">
        <v>154</v>
      </c>
      <c r="P179" s="428" t="s">
        <v>151</v>
      </c>
      <c r="Q179" s="428" t="s">
        <v>155</v>
      </c>
      <c r="R179" s="428" t="s">
        <v>7941</v>
      </c>
      <c r="S179" s="428"/>
      <c r="T179" s="428" t="s">
        <v>2653</v>
      </c>
      <c r="U179" s="428" t="s">
        <v>152</v>
      </c>
      <c r="V179" s="428" t="s">
        <v>18</v>
      </c>
    </row>
    <row r="180" spans="1:22">
      <c r="A180" s="6"/>
      <c r="B180" s="216">
        <v>46238</v>
      </c>
      <c r="C180" s="216">
        <v>46238</v>
      </c>
      <c r="D180" s="428" t="s">
        <v>7942</v>
      </c>
      <c r="E180" s="428">
        <v>260102721760</v>
      </c>
      <c r="F180" s="428" t="s">
        <v>87</v>
      </c>
      <c r="G180" s="428" t="s">
        <v>2534</v>
      </c>
      <c r="H180" s="428">
        <v>112</v>
      </c>
      <c r="I180" s="428">
        <v>190</v>
      </c>
      <c r="J180" s="369">
        <v>190</v>
      </c>
      <c r="K180" s="428">
        <v>126</v>
      </c>
      <c r="L180" s="217">
        <v>700</v>
      </c>
      <c r="M180" s="428" t="s">
        <v>153</v>
      </c>
      <c r="N180" s="428" t="s">
        <v>149</v>
      </c>
      <c r="O180" s="428" t="s">
        <v>154</v>
      </c>
      <c r="P180" s="428" t="s">
        <v>151</v>
      </c>
      <c r="Q180" s="428" t="s">
        <v>155</v>
      </c>
      <c r="R180" s="428" t="s">
        <v>7943</v>
      </c>
      <c r="S180" s="428"/>
      <c r="T180" s="428" t="s">
        <v>2653</v>
      </c>
      <c r="U180" s="428" t="s">
        <v>152</v>
      </c>
      <c r="V180" s="428" t="s">
        <v>18</v>
      </c>
    </row>
    <row r="181" spans="1:22">
      <c r="A181" s="6"/>
      <c r="B181" s="216">
        <v>46238</v>
      </c>
      <c r="C181" s="216">
        <v>46238</v>
      </c>
      <c r="D181" s="428" t="s">
        <v>7944</v>
      </c>
      <c r="E181" s="428" t="s">
        <v>7945</v>
      </c>
      <c r="F181" s="428" t="s">
        <v>87</v>
      </c>
      <c r="G181" s="428" t="s">
        <v>2414</v>
      </c>
      <c r="H181" s="428" t="s">
        <v>627</v>
      </c>
      <c r="I181" s="428">
        <v>227</v>
      </c>
      <c r="J181" s="369">
        <v>227</v>
      </c>
      <c r="K181" s="428">
        <v>55</v>
      </c>
      <c r="L181" s="217">
        <v>3900</v>
      </c>
      <c r="M181" s="428" t="s">
        <v>153</v>
      </c>
      <c r="N181" s="428" t="s">
        <v>149</v>
      </c>
      <c r="O181" s="428" t="s">
        <v>154</v>
      </c>
      <c r="P181" s="428" t="s">
        <v>151</v>
      </c>
      <c r="Q181" s="428" t="s">
        <v>156</v>
      </c>
      <c r="R181" s="428" t="s">
        <v>7946</v>
      </c>
      <c r="S181" s="428"/>
      <c r="T181" s="428" t="s">
        <v>2653</v>
      </c>
      <c r="U181" s="428" t="s">
        <v>152</v>
      </c>
      <c r="V181" s="428" t="s">
        <v>20</v>
      </c>
    </row>
    <row r="182" spans="1:22">
      <c r="A182" s="6"/>
      <c r="B182" s="216">
        <v>46238</v>
      </c>
      <c r="C182" s="216">
        <v>46238</v>
      </c>
      <c r="D182" s="428" t="s">
        <v>7947</v>
      </c>
      <c r="E182" s="428" t="s">
        <v>7945</v>
      </c>
      <c r="F182" s="428" t="s">
        <v>87</v>
      </c>
      <c r="G182" s="428" t="s">
        <v>2523</v>
      </c>
      <c r="H182" s="428" t="s">
        <v>627</v>
      </c>
      <c r="I182" s="428">
        <v>234</v>
      </c>
      <c r="J182" s="369">
        <v>234</v>
      </c>
      <c r="K182" s="428">
        <v>58</v>
      </c>
      <c r="L182" s="217">
        <v>3900</v>
      </c>
      <c r="M182" s="428" t="s">
        <v>153</v>
      </c>
      <c r="N182" s="428" t="s">
        <v>149</v>
      </c>
      <c r="O182" s="428" t="s">
        <v>154</v>
      </c>
      <c r="P182" s="428" t="s">
        <v>151</v>
      </c>
      <c r="Q182" s="428" t="s">
        <v>156</v>
      </c>
      <c r="R182" s="428" t="s">
        <v>7948</v>
      </c>
      <c r="S182" s="428"/>
      <c r="T182" s="428" t="s">
        <v>2653</v>
      </c>
      <c r="U182" s="428" t="s">
        <v>152</v>
      </c>
      <c r="V182" s="428" t="s">
        <v>20</v>
      </c>
    </row>
    <row r="183" spans="1:22">
      <c r="A183" s="6"/>
      <c r="B183" s="216">
        <v>46238</v>
      </c>
      <c r="C183" s="216">
        <v>46238</v>
      </c>
      <c r="D183" s="428" t="s">
        <v>7949</v>
      </c>
      <c r="E183" s="428">
        <v>260101021641</v>
      </c>
      <c r="F183" s="428" t="s">
        <v>87</v>
      </c>
      <c r="G183" s="428" t="s">
        <v>2419</v>
      </c>
      <c r="H183" s="428" t="s">
        <v>2412</v>
      </c>
      <c r="I183" s="428">
        <v>803</v>
      </c>
      <c r="J183" s="369">
        <v>803</v>
      </c>
      <c r="K183" s="428">
        <v>180</v>
      </c>
      <c r="L183" s="217">
        <v>1550</v>
      </c>
      <c r="M183" s="428" t="s">
        <v>153</v>
      </c>
      <c r="N183" s="428" t="s">
        <v>149</v>
      </c>
      <c r="O183" s="428" t="s">
        <v>154</v>
      </c>
      <c r="P183" s="428" t="s">
        <v>151</v>
      </c>
      <c r="Q183" s="428" t="s">
        <v>156</v>
      </c>
      <c r="R183" s="428" t="s">
        <v>7950</v>
      </c>
      <c r="S183" s="428"/>
      <c r="T183" s="428" t="s">
        <v>2653</v>
      </c>
      <c r="U183" s="428" t="s">
        <v>152</v>
      </c>
      <c r="V183" s="428" t="s">
        <v>20</v>
      </c>
    </row>
    <row r="184" spans="1:22">
      <c r="A184" s="6"/>
      <c r="B184" s="216">
        <v>46238</v>
      </c>
      <c r="C184" s="216">
        <v>46238</v>
      </c>
      <c r="D184" s="428" t="s">
        <v>7951</v>
      </c>
      <c r="E184" s="428">
        <v>260101021489</v>
      </c>
      <c r="F184" s="428" t="s">
        <v>87</v>
      </c>
      <c r="G184" s="428" t="s">
        <v>2419</v>
      </c>
      <c r="H184" s="428" t="s">
        <v>2412</v>
      </c>
      <c r="I184" s="428">
        <v>882</v>
      </c>
      <c r="J184" s="369">
        <v>882</v>
      </c>
      <c r="K184" s="428">
        <v>180</v>
      </c>
      <c r="L184" s="217">
        <v>1700</v>
      </c>
      <c r="M184" s="428" t="s">
        <v>153</v>
      </c>
      <c r="N184" s="428" t="s">
        <v>149</v>
      </c>
      <c r="O184" s="428" t="s">
        <v>154</v>
      </c>
      <c r="P184" s="428" t="s">
        <v>151</v>
      </c>
      <c r="Q184" s="428" t="s">
        <v>156</v>
      </c>
      <c r="R184" s="428" t="s">
        <v>7952</v>
      </c>
      <c r="S184" s="428"/>
      <c r="T184" s="428" t="s">
        <v>2653</v>
      </c>
      <c r="U184" s="428" t="s">
        <v>152</v>
      </c>
      <c r="V184" s="428" t="s">
        <v>20</v>
      </c>
    </row>
    <row r="185" spans="1:22">
      <c r="A185" s="6"/>
      <c r="B185" s="216">
        <v>46239</v>
      </c>
      <c r="C185" s="216">
        <v>46239</v>
      </c>
      <c r="D185" s="428" t="s">
        <v>7953</v>
      </c>
      <c r="E185" s="428">
        <v>260101421816</v>
      </c>
      <c r="F185" s="428" t="s">
        <v>87</v>
      </c>
      <c r="G185" s="428" t="s">
        <v>824</v>
      </c>
      <c r="H185" s="428">
        <v>152</v>
      </c>
      <c r="I185" s="428">
        <v>228</v>
      </c>
      <c r="J185" s="369">
        <v>228</v>
      </c>
      <c r="K185" s="428">
        <v>104</v>
      </c>
      <c r="L185" s="217">
        <v>1500</v>
      </c>
      <c r="M185" s="428" t="s">
        <v>153</v>
      </c>
      <c r="N185" s="428" t="s">
        <v>149</v>
      </c>
      <c r="O185" s="428" t="s">
        <v>154</v>
      </c>
      <c r="P185" s="428" t="s">
        <v>151</v>
      </c>
      <c r="Q185" s="428" t="s">
        <v>155</v>
      </c>
      <c r="R185" s="428" t="s">
        <v>7954</v>
      </c>
      <c r="S185" s="428"/>
      <c r="T185" s="428" t="s">
        <v>2667</v>
      </c>
      <c r="U185" s="428" t="s">
        <v>152</v>
      </c>
      <c r="V185" s="428" t="s">
        <v>18</v>
      </c>
    </row>
    <row r="186" spans="1:22">
      <c r="A186" s="6"/>
      <c r="B186" s="216">
        <v>46239</v>
      </c>
      <c r="C186" s="216">
        <v>46239</v>
      </c>
      <c r="D186" s="428" t="s">
        <v>7955</v>
      </c>
      <c r="E186" s="428">
        <v>260105421830</v>
      </c>
      <c r="F186" s="428" t="s">
        <v>87</v>
      </c>
      <c r="G186" s="428" t="s">
        <v>7732</v>
      </c>
      <c r="H186" s="428">
        <v>125</v>
      </c>
      <c r="I186" s="428">
        <v>168</v>
      </c>
      <c r="J186" s="369">
        <v>168</v>
      </c>
      <c r="K186" s="428">
        <v>81</v>
      </c>
      <c r="L186" s="217">
        <v>1710</v>
      </c>
      <c r="M186" s="428" t="s">
        <v>153</v>
      </c>
      <c r="N186" s="428" t="s">
        <v>149</v>
      </c>
      <c r="O186" s="428" t="s">
        <v>154</v>
      </c>
      <c r="P186" s="428" t="s">
        <v>151</v>
      </c>
      <c r="Q186" s="428" t="s">
        <v>155</v>
      </c>
      <c r="R186" s="428" t="s">
        <v>7956</v>
      </c>
      <c r="S186" s="428"/>
      <c r="T186" s="428" t="s">
        <v>2667</v>
      </c>
      <c r="U186" s="428" t="s">
        <v>152</v>
      </c>
      <c r="V186" s="428" t="s">
        <v>18</v>
      </c>
    </row>
    <row r="187" spans="1:22">
      <c r="A187" s="6"/>
      <c r="B187" s="216">
        <v>46239</v>
      </c>
      <c r="C187" s="216">
        <v>46239</v>
      </c>
      <c r="D187" s="428" t="s">
        <v>7957</v>
      </c>
      <c r="E187" s="428">
        <v>260105321831</v>
      </c>
      <c r="F187" s="428" t="s">
        <v>87</v>
      </c>
      <c r="G187" s="428" t="s">
        <v>824</v>
      </c>
      <c r="H187" s="428">
        <v>152</v>
      </c>
      <c r="I187" s="428">
        <v>244</v>
      </c>
      <c r="J187" s="369">
        <v>244</v>
      </c>
      <c r="K187" s="428">
        <v>104</v>
      </c>
      <c r="L187" s="217">
        <v>1600</v>
      </c>
      <c r="M187" s="428" t="s">
        <v>153</v>
      </c>
      <c r="N187" s="428" t="s">
        <v>149</v>
      </c>
      <c r="O187" s="428" t="s">
        <v>154</v>
      </c>
      <c r="P187" s="428" t="s">
        <v>151</v>
      </c>
      <c r="Q187" s="428" t="s">
        <v>155</v>
      </c>
      <c r="R187" s="428" t="s">
        <v>7958</v>
      </c>
      <c r="S187" s="428"/>
      <c r="T187" s="428" t="s">
        <v>2667</v>
      </c>
      <c r="U187" s="428" t="s">
        <v>152</v>
      </c>
      <c r="V187" s="428" t="s">
        <v>18</v>
      </c>
    </row>
    <row r="188" spans="1:22">
      <c r="A188" s="6"/>
      <c r="B188" s="216">
        <v>46239</v>
      </c>
      <c r="C188" s="216">
        <v>46239</v>
      </c>
      <c r="D188" s="428" t="s">
        <v>7959</v>
      </c>
      <c r="E188" s="428">
        <v>260102821836</v>
      </c>
      <c r="F188" s="428" t="s">
        <v>87</v>
      </c>
      <c r="G188" s="428" t="s">
        <v>2359</v>
      </c>
      <c r="H188" s="428">
        <v>102</v>
      </c>
      <c r="I188" s="428">
        <v>93</v>
      </c>
      <c r="J188" s="369">
        <v>93</v>
      </c>
      <c r="K188" s="428">
        <v>125</v>
      </c>
      <c r="L188" s="217">
        <v>380</v>
      </c>
      <c r="M188" s="428" t="s">
        <v>153</v>
      </c>
      <c r="N188" s="428" t="s">
        <v>149</v>
      </c>
      <c r="O188" s="428" t="s">
        <v>154</v>
      </c>
      <c r="P188" s="428" t="s">
        <v>151</v>
      </c>
      <c r="Q188" s="428" t="s">
        <v>155</v>
      </c>
      <c r="R188" s="428" t="s">
        <v>7960</v>
      </c>
      <c r="S188" s="428"/>
      <c r="T188" s="428" t="s">
        <v>2667</v>
      </c>
      <c r="U188" s="428" t="s">
        <v>152</v>
      </c>
      <c r="V188" s="428" t="s">
        <v>18</v>
      </c>
    </row>
    <row r="189" spans="1:22">
      <c r="A189" s="6"/>
      <c r="B189" s="216">
        <v>46239</v>
      </c>
      <c r="C189" s="216">
        <v>46239</v>
      </c>
      <c r="D189" s="428" t="s">
        <v>7961</v>
      </c>
      <c r="E189" s="428">
        <v>260102021841</v>
      </c>
      <c r="F189" s="428" t="s">
        <v>87</v>
      </c>
      <c r="G189" s="428" t="s">
        <v>2303</v>
      </c>
      <c r="H189" s="428">
        <v>92</v>
      </c>
      <c r="I189" s="428">
        <v>284</v>
      </c>
      <c r="J189" s="369">
        <v>284</v>
      </c>
      <c r="K189" s="428">
        <v>134</v>
      </c>
      <c r="L189" s="217">
        <v>1195</v>
      </c>
      <c r="M189" s="428" t="s">
        <v>153</v>
      </c>
      <c r="N189" s="428" t="s">
        <v>149</v>
      </c>
      <c r="O189" s="428" t="s">
        <v>154</v>
      </c>
      <c r="P189" s="428" t="s">
        <v>151</v>
      </c>
      <c r="Q189" s="428" t="s">
        <v>155</v>
      </c>
      <c r="R189" s="428" t="s">
        <v>7962</v>
      </c>
      <c r="S189" s="428"/>
      <c r="T189" s="428" t="s">
        <v>2667</v>
      </c>
      <c r="U189" s="428" t="s">
        <v>152</v>
      </c>
      <c r="V189" s="428" t="s">
        <v>18</v>
      </c>
    </row>
    <row r="190" spans="1:22">
      <c r="A190" s="6"/>
      <c r="B190" s="216">
        <v>46239</v>
      </c>
      <c r="C190" s="216">
        <v>46239</v>
      </c>
      <c r="D190" s="428" t="s">
        <v>7963</v>
      </c>
      <c r="E190" s="428">
        <v>260101421814</v>
      </c>
      <c r="F190" s="428" t="s">
        <v>87</v>
      </c>
      <c r="G190" s="428" t="s">
        <v>824</v>
      </c>
      <c r="H190" s="428">
        <v>152</v>
      </c>
      <c r="I190" s="428">
        <v>226</v>
      </c>
      <c r="J190" s="369">
        <v>226</v>
      </c>
      <c r="K190" s="428">
        <v>104</v>
      </c>
      <c r="L190" s="217">
        <v>1500</v>
      </c>
      <c r="M190" s="428" t="s">
        <v>153</v>
      </c>
      <c r="N190" s="428" t="s">
        <v>149</v>
      </c>
      <c r="O190" s="428" t="s">
        <v>154</v>
      </c>
      <c r="P190" s="428" t="s">
        <v>151</v>
      </c>
      <c r="Q190" s="428" t="s">
        <v>155</v>
      </c>
      <c r="R190" s="428" t="s">
        <v>7964</v>
      </c>
      <c r="S190" s="428"/>
      <c r="T190" s="428" t="s">
        <v>2667</v>
      </c>
      <c r="U190" s="428" t="s">
        <v>152</v>
      </c>
      <c r="V190" s="428" t="s">
        <v>18</v>
      </c>
    </row>
    <row r="191" spans="1:22">
      <c r="A191" s="6"/>
      <c r="B191" s="216">
        <v>46239</v>
      </c>
      <c r="C191" s="216">
        <v>46239</v>
      </c>
      <c r="D191" s="428" t="s">
        <v>7965</v>
      </c>
      <c r="E191" s="428">
        <v>260100521845</v>
      </c>
      <c r="F191" s="428" t="s">
        <v>87</v>
      </c>
      <c r="G191" s="428" t="s">
        <v>2531</v>
      </c>
      <c r="H191" s="428">
        <v>192</v>
      </c>
      <c r="I191" s="428">
        <v>335</v>
      </c>
      <c r="J191" s="369">
        <v>335</v>
      </c>
      <c r="K191" s="428">
        <v>180</v>
      </c>
      <c r="L191" s="217">
        <v>500</v>
      </c>
      <c r="M191" s="428" t="s">
        <v>153</v>
      </c>
      <c r="N191" s="428" t="s">
        <v>149</v>
      </c>
      <c r="O191" s="428" t="s">
        <v>154</v>
      </c>
      <c r="P191" s="428" t="s">
        <v>151</v>
      </c>
      <c r="Q191" s="428" t="s">
        <v>155</v>
      </c>
      <c r="R191" s="428" t="s">
        <v>7966</v>
      </c>
      <c r="S191" s="428"/>
      <c r="T191" s="428" t="s">
        <v>2667</v>
      </c>
      <c r="U191" s="428" t="s">
        <v>152</v>
      </c>
      <c r="V191" s="428" t="s">
        <v>18</v>
      </c>
    </row>
    <row r="192" spans="1:22">
      <c r="A192" s="6"/>
      <c r="B192" s="216">
        <v>46239</v>
      </c>
      <c r="C192" s="216">
        <v>46239</v>
      </c>
      <c r="D192" s="428" t="s">
        <v>7967</v>
      </c>
      <c r="E192" s="428">
        <v>260101721844</v>
      </c>
      <c r="F192" s="428" t="s">
        <v>87</v>
      </c>
      <c r="G192" s="428" t="s">
        <v>2303</v>
      </c>
      <c r="H192" s="428">
        <v>92</v>
      </c>
      <c r="I192" s="428">
        <v>234</v>
      </c>
      <c r="J192" s="369">
        <v>234</v>
      </c>
      <c r="K192" s="428">
        <v>134</v>
      </c>
      <c r="L192" s="217">
        <v>1000</v>
      </c>
      <c r="M192" s="428" t="s">
        <v>153</v>
      </c>
      <c r="N192" s="428" t="s">
        <v>149</v>
      </c>
      <c r="O192" s="428" t="s">
        <v>154</v>
      </c>
      <c r="P192" s="428" t="s">
        <v>151</v>
      </c>
      <c r="Q192" s="428" t="s">
        <v>155</v>
      </c>
      <c r="R192" s="428" t="s">
        <v>7968</v>
      </c>
      <c r="S192" s="428"/>
      <c r="T192" s="428" t="s">
        <v>2667</v>
      </c>
      <c r="U192" s="428" t="s">
        <v>152</v>
      </c>
      <c r="V192" s="428" t="s">
        <v>18</v>
      </c>
    </row>
    <row r="193" spans="1:22">
      <c r="A193" s="6"/>
      <c r="B193" s="216">
        <v>46239</v>
      </c>
      <c r="C193" s="216">
        <v>46239</v>
      </c>
      <c r="D193" s="428" t="s">
        <v>7969</v>
      </c>
      <c r="E193" s="428">
        <v>260101821785</v>
      </c>
      <c r="F193" s="428" t="s">
        <v>87</v>
      </c>
      <c r="G193" s="428" t="s">
        <v>7909</v>
      </c>
      <c r="H193" s="428">
        <v>105</v>
      </c>
      <c r="I193" s="428">
        <v>297</v>
      </c>
      <c r="J193" s="369">
        <v>297</v>
      </c>
      <c r="K193" s="428">
        <v>134</v>
      </c>
      <c r="L193" s="217">
        <v>1100</v>
      </c>
      <c r="M193" s="428" t="s">
        <v>153</v>
      </c>
      <c r="N193" s="428" t="s">
        <v>149</v>
      </c>
      <c r="O193" s="428" t="s">
        <v>154</v>
      </c>
      <c r="P193" s="428" t="s">
        <v>151</v>
      </c>
      <c r="Q193" s="428" t="s">
        <v>155</v>
      </c>
      <c r="R193" s="428" t="s">
        <v>7970</v>
      </c>
      <c r="S193" s="428"/>
      <c r="T193" s="428" t="s">
        <v>2667</v>
      </c>
      <c r="U193" s="428" t="s">
        <v>152</v>
      </c>
      <c r="V193" s="428" t="s">
        <v>18</v>
      </c>
    </row>
    <row r="194" spans="1:22">
      <c r="A194" s="6"/>
      <c r="B194" s="216">
        <v>46239</v>
      </c>
      <c r="C194" s="216">
        <v>46239</v>
      </c>
      <c r="D194" s="428" t="s">
        <v>7971</v>
      </c>
      <c r="E194" s="428">
        <v>260101721786</v>
      </c>
      <c r="F194" s="428" t="s">
        <v>87</v>
      </c>
      <c r="G194" s="428" t="s">
        <v>2303</v>
      </c>
      <c r="H194" s="428">
        <v>92</v>
      </c>
      <c r="I194" s="428">
        <v>240</v>
      </c>
      <c r="J194" s="369">
        <v>240</v>
      </c>
      <c r="K194" s="428">
        <v>134</v>
      </c>
      <c r="L194" s="217">
        <v>1000</v>
      </c>
      <c r="M194" s="428" t="s">
        <v>153</v>
      </c>
      <c r="N194" s="428" t="s">
        <v>149</v>
      </c>
      <c r="O194" s="428" t="s">
        <v>154</v>
      </c>
      <c r="P194" s="428" t="s">
        <v>151</v>
      </c>
      <c r="Q194" s="428" t="s">
        <v>155</v>
      </c>
      <c r="R194" s="428" t="s">
        <v>7972</v>
      </c>
      <c r="S194" s="428"/>
      <c r="T194" s="428" t="s">
        <v>2667</v>
      </c>
      <c r="U194" s="428" t="s">
        <v>152</v>
      </c>
      <c r="V194" s="428" t="s">
        <v>18</v>
      </c>
    </row>
    <row r="195" spans="1:22">
      <c r="A195" s="6"/>
      <c r="B195" s="216">
        <v>46239</v>
      </c>
      <c r="C195" s="216">
        <v>46239</v>
      </c>
      <c r="D195" s="428" t="s">
        <v>7973</v>
      </c>
      <c r="E195" s="428">
        <v>260104621825</v>
      </c>
      <c r="F195" s="428" t="s">
        <v>87</v>
      </c>
      <c r="G195" s="428" t="s">
        <v>824</v>
      </c>
      <c r="H195" s="428">
        <v>152</v>
      </c>
      <c r="I195" s="428">
        <v>259</v>
      </c>
      <c r="J195" s="369">
        <v>259</v>
      </c>
      <c r="K195" s="428">
        <v>104</v>
      </c>
      <c r="L195" s="217">
        <v>1740</v>
      </c>
      <c r="M195" s="428" t="s">
        <v>153</v>
      </c>
      <c r="N195" s="428" t="s">
        <v>149</v>
      </c>
      <c r="O195" s="428" t="s">
        <v>154</v>
      </c>
      <c r="P195" s="428" t="s">
        <v>151</v>
      </c>
      <c r="Q195" s="428" t="s">
        <v>155</v>
      </c>
      <c r="R195" s="428" t="s">
        <v>7974</v>
      </c>
      <c r="S195" s="428"/>
      <c r="T195" s="428" t="s">
        <v>2667</v>
      </c>
      <c r="U195" s="428" t="s">
        <v>152</v>
      </c>
      <c r="V195" s="428" t="s">
        <v>18</v>
      </c>
    </row>
    <row r="196" spans="1:22">
      <c r="A196" s="6"/>
      <c r="B196" s="216">
        <v>46239</v>
      </c>
      <c r="C196" s="216">
        <v>46239</v>
      </c>
      <c r="D196" s="428" t="s">
        <v>7975</v>
      </c>
      <c r="E196" s="428">
        <v>260103421834</v>
      </c>
      <c r="F196" s="428" t="s">
        <v>87</v>
      </c>
      <c r="G196" s="428" t="s">
        <v>824</v>
      </c>
      <c r="H196" s="428">
        <v>152</v>
      </c>
      <c r="I196" s="428">
        <v>175</v>
      </c>
      <c r="J196" s="369">
        <v>175</v>
      </c>
      <c r="K196" s="428">
        <v>104</v>
      </c>
      <c r="L196" s="217">
        <v>1150</v>
      </c>
      <c r="M196" s="428" t="s">
        <v>153</v>
      </c>
      <c r="N196" s="428" t="s">
        <v>149</v>
      </c>
      <c r="O196" s="428" t="s">
        <v>154</v>
      </c>
      <c r="P196" s="428" t="s">
        <v>151</v>
      </c>
      <c r="Q196" s="428" t="s">
        <v>155</v>
      </c>
      <c r="R196" s="428" t="s">
        <v>7976</v>
      </c>
      <c r="S196" s="428"/>
      <c r="T196" s="428" t="s">
        <v>2667</v>
      </c>
      <c r="U196" s="428" t="s">
        <v>152</v>
      </c>
      <c r="V196" s="428" t="s">
        <v>18</v>
      </c>
    </row>
    <row r="197" spans="1:22">
      <c r="A197" s="6"/>
      <c r="B197" s="216">
        <v>46239</v>
      </c>
      <c r="C197" s="216">
        <v>46239</v>
      </c>
      <c r="D197" s="428" t="s">
        <v>7977</v>
      </c>
      <c r="E197" s="428">
        <v>260103421835</v>
      </c>
      <c r="F197" s="428" t="s">
        <v>87</v>
      </c>
      <c r="G197" s="428" t="s">
        <v>824</v>
      </c>
      <c r="H197" s="428">
        <v>152</v>
      </c>
      <c r="I197" s="428">
        <v>174</v>
      </c>
      <c r="J197" s="369">
        <v>174</v>
      </c>
      <c r="K197" s="428">
        <v>104</v>
      </c>
      <c r="L197" s="217">
        <v>1150</v>
      </c>
      <c r="M197" s="428" t="s">
        <v>153</v>
      </c>
      <c r="N197" s="428" t="s">
        <v>149</v>
      </c>
      <c r="O197" s="428" t="s">
        <v>154</v>
      </c>
      <c r="P197" s="428" t="s">
        <v>151</v>
      </c>
      <c r="Q197" s="428" t="s">
        <v>155</v>
      </c>
      <c r="R197" s="428" t="s">
        <v>7978</v>
      </c>
      <c r="S197" s="428"/>
      <c r="T197" s="428" t="s">
        <v>2667</v>
      </c>
      <c r="U197" s="428" t="s">
        <v>152</v>
      </c>
      <c r="V197" s="428" t="s">
        <v>18</v>
      </c>
    </row>
    <row r="198" spans="1:22">
      <c r="A198" s="6"/>
      <c r="B198" s="216">
        <v>46239</v>
      </c>
      <c r="C198" s="216">
        <v>46239</v>
      </c>
      <c r="D198" s="428" t="s">
        <v>7979</v>
      </c>
      <c r="E198" s="428">
        <v>260101421817</v>
      </c>
      <c r="F198" s="428" t="s">
        <v>87</v>
      </c>
      <c r="G198" s="428" t="s">
        <v>824</v>
      </c>
      <c r="H198" s="428">
        <v>152</v>
      </c>
      <c r="I198" s="428">
        <v>226</v>
      </c>
      <c r="J198" s="369">
        <v>226</v>
      </c>
      <c r="K198" s="428">
        <v>104</v>
      </c>
      <c r="L198" s="217">
        <v>1500</v>
      </c>
      <c r="M198" s="428" t="s">
        <v>153</v>
      </c>
      <c r="N198" s="428" t="s">
        <v>149</v>
      </c>
      <c r="O198" s="428" t="s">
        <v>154</v>
      </c>
      <c r="P198" s="428" t="s">
        <v>151</v>
      </c>
      <c r="Q198" s="428" t="s">
        <v>155</v>
      </c>
      <c r="R198" s="428" t="s">
        <v>7980</v>
      </c>
      <c r="S198" s="428"/>
      <c r="T198" s="428" t="s">
        <v>2667</v>
      </c>
      <c r="U198" s="428" t="s">
        <v>152</v>
      </c>
      <c r="V198" s="428" t="s">
        <v>18</v>
      </c>
    </row>
    <row r="199" spans="1:22">
      <c r="A199" s="6"/>
      <c r="B199" s="216">
        <v>46239</v>
      </c>
      <c r="C199" s="216">
        <v>46239</v>
      </c>
      <c r="D199" s="428" t="s">
        <v>7981</v>
      </c>
      <c r="E199" s="428">
        <v>260105821828</v>
      </c>
      <c r="F199" s="428" t="s">
        <v>87</v>
      </c>
      <c r="G199" s="428" t="s">
        <v>824</v>
      </c>
      <c r="H199" s="428">
        <v>152</v>
      </c>
      <c r="I199" s="428">
        <v>235</v>
      </c>
      <c r="J199" s="369">
        <v>235</v>
      </c>
      <c r="K199" s="428">
        <v>104</v>
      </c>
      <c r="L199" s="217">
        <v>1570</v>
      </c>
      <c r="M199" s="428" t="s">
        <v>153</v>
      </c>
      <c r="N199" s="428" t="s">
        <v>149</v>
      </c>
      <c r="O199" s="428" t="s">
        <v>154</v>
      </c>
      <c r="P199" s="428" t="s">
        <v>151</v>
      </c>
      <c r="Q199" s="428" t="s">
        <v>155</v>
      </c>
      <c r="R199" s="428" t="s">
        <v>7982</v>
      </c>
      <c r="S199" s="428"/>
      <c r="T199" s="428" t="s">
        <v>2667</v>
      </c>
      <c r="U199" s="428" t="s">
        <v>152</v>
      </c>
      <c r="V199" s="428" t="s">
        <v>18</v>
      </c>
    </row>
    <row r="200" spans="1:22">
      <c r="A200" s="6"/>
      <c r="B200" s="216">
        <v>46239</v>
      </c>
      <c r="C200" s="216">
        <v>46239</v>
      </c>
      <c r="D200" s="428" t="s">
        <v>7983</v>
      </c>
      <c r="E200" s="428">
        <v>260100921837</v>
      </c>
      <c r="F200" s="428" t="s">
        <v>87</v>
      </c>
      <c r="G200" s="428" t="s">
        <v>2521</v>
      </c>
      <c r="H200" s="428">
        <v>182</v>
      </c>
      <c r="I200" s="428">
        <v>335</v>
      </c>
      <c r="J200" s="369">
        <v>335</v>
      </c>
      <c r="K200" s="428">
        <v>190</v>
      </c>
      <c r="L200" s="217">
        <v>500</v>
      </c>
      <c r="M200" s="428" t="s">
        <v>153</v>
      </c>
      <c r="N200" s="428" t="s">
        <v>149</v>
      </c>
      <c r="O200" s="428" t="s">
        <v>154</v>
      </c>
      <c r="P200" s="428" t="s">
        <v>151</v>
      </c>
      <c r="Q200" s="428" t="s">
        <v>155</v>
      </c>
      <c r="R200" s="428" t="s">
        <v>7984</v>
      </c>
      <c r="S200" s="428"/>
      <c r="T200" s="428" t="s">
        <v>2667</v>
      </c>
      <c r="U200" s="428" t="s">
        <v>152</v>
      </c>
      <c r="V200" s="428" t="s">
        <v>18</v>
      </c>
    </row>
    <row r="201" spans="1:22">
      <c r="A201" s="6"/>
      <c r="B201" s="216">
        <v>46239</v>
      </c>
      <c r="C201" s="216">
        <v>46239</v>
      </c>
      <c r="D201" s="428" t="s">
        <v>7985</v>
      </c>
      <c r="E201" s="428">
        <v>260101621707</v>
      </c>
      <c r="F201" s="428" t="s">
        <v>87</v>
      </c>
      <c r="G201" s="428" t="s">
        <v>2079</v>
      </c>
      <c r="H201" s="428">
        <v>112</v>
      </c>
      <c r="I201" s="428">
        <v>393</v>
      </c>
      <c r="J201" s="369">
        <v>393</v>
      </c>
      <c r="K201" s="428">
        <v>180</v>
      </c>
      <c r="L201" s="217">
        <v>1000</v>
      </c>
      <c r="M201" s="428" t="s">
        <v>153</v>
      </c>
      <c r="N201" s="428" t="s">
        <v>149</v>
      </c>
      <c r="O201" s="428" t="s">
        <v>154</v>
      </c>
      <c r="P201" s="428" t="s">
        <v>151</v>
      </c>
      <c r="Q201" s="428" t="s">
        <v>155</v>
      </c>
      <c r="R201" s="428" t="s">
        <v>7986</v>
      </c>
      <c r="S201" s="428"/>
      <c r="T201" s="428" t="s">
        <v>2667</v>
      </c>
      <c r="U201" s="428" t="s">
        <v>152</v>
      </c>
      <c r="V201" s="428" t="s">
        <v>18</v>
      </c>
    </row>
    <row r="202" spans="1:22">
      <c r="A202" s="6"/>
      <c r="B202" s="216">
        <v>46239</v>
      </c>
      <c r="C202" s="216">
        <v>46239</v>
      </c>
      <c r="D202" s="428" t="s">
        <v>7987</v>
      </c>
      <c r="E202" s="428">
        <v>260103321792</v>
      </c>
      <c r="F202" s="428" t="s">
        <v>87</v>
      </c>
      <c r="G202" s="428" t="s">
        <v>2409</v>
      </c>
      <c r="H202" s="428">
        <v>152</v>
      </c>
      <c r="I202" s="428">
        <v>229</v>
      </c>
      <c r="J202" s="369">
        <v>229</v>
      </c>
      <c r="K202" s="428">
        <v>97</v>
      </c>
      <c r="L202" s="217">
        <v>1620</v>
      </c>
      <c r="M202" s="428" t="s">
        <v>153</v>
      </c>
      <c r="N202" s="428" t="s">
        <v>149</v>
      </c>
      <c r="O202" s="428" t="s">
        <v>154</v>
      </c>
      <c r="P202" s="428" t="s">
        <v>151</v>
      </c>
      <c r="Q202" s="428" t="s">
        <v>155</v>
      </c>
      <c r="R202" s="428" t="s">
        <v>7988</v>
      </c>
      <c r="S202" s="428"/>
      <c r="T202" s="428" t="s">
        <v>2667</v>
      </c>
      <c r="U202" s="428" t="s">
        <v>152</v>
      </c>
      <c r="V202" s="428" t="s">
        <v>18</v>
      </c>
    </row>
    <row r="203" spans="1:22">
      <c r="A203" s="6"/>
      <c r="B203" s="216">
        <v>46239</v>
      </c>
      <c r="C203" s="216">
        <v>46239</v>
      </c>
      <c r="D203" s="428" t="s">
        <v>7989</v>
      </c>
      <c r="E203" s="428">
        <v>260101821843</v>
      </c>
      <c r="F203" s="428" t="s">
        <v>87</v>
      </c>
      <c r="G203" s="428" t="s">
        <v>7909</v>
      </c>
      <c r="H203" s="428">
        <v>105</v>
      </c>
      <c r="I203" s="428">
        <v>271</v>
      </c>
      <c r="J203" s="369">
        <v>271</v>
      </c>
      <c r="K203" s="428">
        <v>134</v>
      </c>
      <c r="L203" s="217">
        <v>1000</v>
      </c>
      <c r="M203" s="428" t="s">
        <v>153</v>
      </c>
      <c r="N203" s="428" t="s">
        <v>149</v>
      </c>
      <c r="O203" s="428" t="s">
        <v>154</v>
      </c>
      <c r="P203" s="428" t="s">
        <v>151</v>
      </c>
      <c r="Q203" s="428" t="s">
        <v>155</v>
      </c>
      <c r="R203" s="428" t="s">
        <v>7990</v>
      </c>
      <c r="S203" s="428"/>
      <c r="T203" s="428" t="s">
        <v>2667</v>
      </c>
      <c r="U203" s="428" t="s">
        <v>152</v>
      </c>
      <c r="V203" s="428" t="s">
        <v>18</v>
      </c>
    </row>
    <row r="204" spans="1:22">
      <c r="A204" s="6"/>
      <c r="B204" s="216">
        <v>46239</v>
      </c>
      <c r="C204" s="216">
        <v>46239</v>
      </c>
      <c r="D204" s="428" t="s">
        <v>7991</v>
      </c>
      <c r="E204" s="428">
        <v>260105021796</v>
      </c>
      <c r="F204" s="428" t="s">
        <v>87</v>
      </c>
      <c r="G204" s="428" t="s">
        <v>7603</v>
      </c>
      <c r="H204" s="428">
        <v>172</v>
      </c>
      <c r="I204" s="428">
        <v>336</v>
      </c>
      <c r="J204" s="369">
        <v>336</v>
      </c>
      <c r="K204" s="428">
        <v>98</v>
      </c>
      <c r="L204" s="217">
        <v>2000</v>
      </c>
      <c r="M204" s="428" t="s">
        <v>153</v>
      </c>
      <c r="N204" s="428" t="s">
        <v>149</v>
      </c>
      <c r="O204" s="428" t="s">
        <v>154</v>
      </c>
      <c r="P204" s="428" t="s">
        <v>151</v>
      </c>
      <c r="Q204" s="428" t="s">
        <v>155</v>
      </c>
      <c r="R204" s="428" t="s">
        <v>7992</v>
      </c>
      <c r="S204" s="428"/>
      <c r="T204" s="428" t="s">
        <v>2667</v>
      </c>
      <c r="U204" s="428" t="s">
        <v>152</v>
      </c>
      <c r="V204" s="428" t="s">
        <v>18</v>
      </c>
    </row>
    <row r="205" spans="1:22">
      <c r="A205" s="6"/>
      <c r="B205" s="216">
        <v>46239</v>
      </c>
      <c r="C205" s="216">
        <v>46239</v>
      </c>
      <c r="D205" s="428" t="s">
        <v>7993</v>
      </c>
      <c r="E205" s="428">
        <v>260107521801</v>
      </c>
      <c r="F205" s="428" t="s">
        <v>87</v>
      </c>
      <c r="G205" s="428" t="s">
        <v>2230</v>
      </c>
      <c r="H205" s="428">
        <v>125</v>
      </c>
      <c r="I205" s="428">
        <v>323</v>
      </c>
      <c r="J205" s="369">
        <v>323</v>
      </c>
      <c r="K205" s="428">
        <v>87</v>
      </c>
      <c r="L205" s="217">
        <v>3100</v>
      </c>
      <c r="M205" s="428" t="s">
        <v>153</v>
      </c>
      <c r="N205" s="428" t="s">
        <v>149</v>
      </c>
      <c r="O205" s="428" t="s">
        <v>154</v>
      </c>
      <c r="P205" s="428" t="s">
        <v>151</v>
      </c>
      <c r="Q205" s="428" t="s">
        <v>155</v>
      </c>
      <c r="R205" s="428" t="s">
        <v>7994</v>
      </c>
      <c r="S205" s="428" t="s">
        <v>61</v>
      </c>
      <c r="T205" s="428" t="s">
        <v>3326</v>
      </c>
      <c r="U205" s="428" t="s">
        <v>152</v>
      </c>
      <c r="V205" s="428" t="s">
        <v>18</v>
      </c>
    </row>
    <row r="206" spans="1:22">
      <c r="A206" s="6"/>
      <c r="B206" s="216">
        <v>46239</v>
      </c>
      <c r="C206" s="216">
        <v>46239</v>
      </c>
      <c r="D206" s="428" t="s">
        <v>7995</v>
      </c>
      <c r="E206" s="428">
        <v>260101421815</v>
      </c>
      <c r="F206" s="428" t="s">
        <v>87</v>
      </c>
      <c r="G206" s="428" t="s">
        <v>824</v>
      </c>
      <c r="H206" s="428">
        <v>152</v>
      </c>
      <c r="I206" s="428">
        <v>229</v>
      </c>
      <c r="J206" s="369">
        <v>229</v>
      </c>
      <c r="K206" s="428">
        <v>104</v>
      </c>
      <c r="L206" s="217">
        <v>1500</v>
      </c>
      <c r="M206" s="428" t="s">
        <v>153</v>
      </c>
      <c r="N206" s="428" t="s">
        <v>149</v>
      </c>
      <c r="O206" s="428" t="s">
        <v>154</v>
      </c>
      <c r="P206" s="428" t="s">
        <v>151</v>
      </c>
      <c r="Q206" s="428" t="s">
        <v>155</v>
      </c>
      <c r="R206" s="428" t="s">
        <v>7996</v>
      </c>
      <c r="S206" s="428"/>
      <c r="T206" s="428" t="s">
        <v>2667</v>
      </c>
      <c r="U206" s="428" t="s">
        <v>152</v>
      </c>
      <c r="V206" s="428" t="s">
        <v>18</v>
      </c>
    </row>
    <row r="207" spans="1:22">
      <c r="A207" s="6"/>
      <c r="B207" s="216">
        <v>46239</v>
      </c>
      <c r="C207" s="216">
        <v>46239</v>
      </c>
      <c r="D207" s="428" t="s">
        <v>7997</v>
      </c>
      <c r="E207" s="428">
        <v>260105721829</v>
      </c>
      <c r="F207" s="428" t="s">
        <v>87</v>
      </c>
      <c r="G207" s="428" t="s">
        <v>2364</v>
      </c>
      <c r="H207" s="428">
        <v>142</v>
      </c>
      <c r="I207" s="428">
        <v>152</v>
      </c>
      <c r="J207" s="369">
        <v>152</v>
      </c>
      <c r="K207" s="428">
        <v>67</v>
      </c>
      <c r="L207" s="217">
        <v>1600</v>
      </c>
      <c r="M207" s="428" t="s">
        <v>153</v>
      </c>
      <c r="N207" s="428" t="s">
        <v>149</v>
      </c>
      <c r="O207" s="428" t="s">
        <v>154</v>
      </c>
      <c r="P207" s="428" t="s">
        <v>151</v>
      </c>
      <c r="Q207" s="428" t="s">
        <v>155</v>
      </c>
      <c r="R207" s="428" t="s">
        <v>7998</v>
      </c>
      <c r="S207" s="428"/>
      <c r="T207" s="428" t="s">
        <v>2667</v>
      </c>
      <c r="U207" s="428" t="s">
        <v>152</v>
      </c>
      <c r="V207" s="428" t="s">
        <v>18</v>
      </c>
    </row>
    <row r="208" spans="1:22">
      <c r="A208" s="6"/>
      <c r="B208" s="216">
        <v>46239</v>
      </c>
      <c r="C208" s="216">
        <v>46239</v>
      </c>
      <c r="D208" s="428" t="s">
        <v>7999</v>
      </c>
      <c r="E208" s="428">
        <v>260103321793</v>
      </c>
      <c r="F208" s="428" t="s">
        <v>87</v>
      </c>
      <c r="G208" s="428" t="s">
        <v>2409</v>
      </c>
      <c r="H208" s="428">
        <v>152</v>
      </c>
      <c r="I208" s="428">
        <v>236</v>
      </c>
      <c r="J208" s="369">
        <v>236</v>
      </c>
      <c r="K208" s="428">
        <v>97</v>
      </c>
      <c r="L208" s="217">
        <v>1620</v>
      </c>
      <c r="M208" s="428" t="s">
        <v>153</v>
      </c>
      <c r="N208" s="428" t="s">
        <v>149</v>
      </c>
      <c r="O208" s="428" t="s">
        <v>154</v>
      </c>
      <c r="P208" s="428" t="s">
        <v>151</v>
      </c>
      <c r="Q208" s="428" t="s">
        <v>155</v>
      </c>
      <c r="R208" s="428" t="s">
        <v>8000</v>
      </c>
      <c r="S208" s="428"/>
      <c r="T208" s="428" t="s">
        <v>2667</v>
      </c>
      <c r="U208" s="428" t="s">
        <v>152</v>
      </c>
      <c r="V208" s="428" t="s">
        <v>18</v>
      </c>
    </row>
    <row r="209" spans="1:22">
      <c r="A209" s="6"/>
      <c r="B209" s="216">
        <v>46239</v>
      </c>
      <c r="C209" s="216">
        <v>46239</v>
      </c>
      <c r="D209" s="428" t="s">
        <v>8001</v>
      </c>
      <c r="E209" s="428">
        <v>260104121832</v>
      </c>
      <c r="F209" s="428" t="s">
        <v>87</v>
      </c>
      <c r="G209" s="428" t="s">
        <v>2361</v>
      </c>
      <c r="H209" s="428">
        <v>182</v>
      </c>
      <c r="I209" s="428">
        <v>265</v>
      </c>
      <c r="J209" s="369">
        <v>265</v>
      </c>
      <c r="K209" s="428">
        <v>98</v>
      </c>
      <c r="L209" s="217">
        <v>1560</v>
      </c>
      <c r="M209" s="428" t="s">
        <v>153</v>
      </c>
      <c r="N209" s="428" t="s">
        <v>149</v>
      </c>
      <c r="O209" s="428" t="s">
        <v>154</v>
      </c>
      <c r="P209" s="428" t="s">
        <v>151</v>
      </c>
      <c r="Q209" s="428" t="s">
        <v>155</v>
      </c>
      <c r="R209" s="428" t="s">
        <v>8002</v>
      </c>
      <c r="S209" s="428"/>
      <c r="T209" s="428" t="s">
        <v>2667</v>
      </c>
      <c r="U209" s="428" t="s">
        <v>152</v>
      </c>
      <c r="V209" s="428" t="s">
        <v>18</v>
      </c>
    </row>
    <row r="210" spans="1:22">
      <c r="A210" s="6"/>
      <c r="B210" s="216">
        <v>46239</v>
      </c>
      <c r="C210" s="216">
        <v>46239</v>
      </c>
      <c r="D210" s="428" t="s">
        <v>8003</v>
      </c>
      <c r="E210" s="428">
        <v>260101621838</v>
      </c>
      <c r="F210" s="428" t="s">
        <v>87</v>
      </c>
      <c r="G210" s="428" t="s">
        <v>2079</v>
      </c>
      <c r="H210" s="428">
        <v>112</v>
      </c>
      <c r="I210" s="428">
        <v>394</v>
      </c>
      <c r="J210" s="369">
        <v>394</v>
      </c>
      <c r="K210" s="428">
        <v>180</v>
      </c>
      <c r="L210" s="217">
        <v>1000</v>
      </c>
      <c r="M210" s="428" t="s">
        <v>153</v>
      </c>
      <c r="N210" s="428" t="s">
        <v>149</v>
      </c>
      <c r="O210" s="428" t="s">
        <v>154</v>
      </c>
      <c r="P210" s="428" t="s">
        <v>151</v>
      </c>
      <c r="Q210" s="428" t="s">
        <v>155</v>
      </c>
      <c r="R210" s="428" t="s">
        <v>8004</v>
      </c>
      <c r="S210" s="428"/>
      <c r="T210" s="428" t="s">
        <v>2667</v>
      </c>
      <c r="U210" s="428" t="s">
        <v>152</v>
      </c>
      <c r="V210" s="428" t="s">
        <v>18</v>
      </c>
    </row>
    <row r="211" spans="1:22">
      <c r="A211" s="6"/>
      <c r="B211" s="216">
        <v>46239</v>
      </c>
      <c r="C211" s="216">
        <v>46239</v>
      </c>
      <c r="D211" s="428" t="s">
        <v>8005</v>
      </c>
      <c r="E211" s="428">
        <v>260102621839</v>
      </c>
      <c r="F211" s="428" t="s">
        <v>87</v>
      </c>
      <c r="G211" s="428" t="s">
        <v>2359</v>
      </c>
      <c r="H211" s="428">
        <v>102</v>
      </c>
      <c r="I211" s="428">
        <v>245</v>
      </c>
      <c r="J211" s="369">
        <v>245</v>
      </c>
      <c r="K211" s="428">
        <v>125</v>
      </c>
      <c r="L211" s="217">
        <v>1000</v>
      </c>
      <c r="M211" s="428" t="s">
        <v>153</v>
      </c>
      <c r="N211" s="428" t="s">
        <v>149</v>
      </c>
      <c r="O211" s="428" t="s">
        <v>154</v>
      </c>
      <c r="P211" s="428" t="s">
        <v>151</v>
      </c>
      <c r="Q211" s="428" t="s">
        <v>155</v>
      </c>
      <c r="R211" s="428" t="s">
        <v>8006</v>
      </c>
      <c r="S211" s="428"/>
      <c r="T211" s="428" t="s">
        <v>2667</v>
      </c>
      <c r="U211" s="428" t="s">
        <v>152</v>
      </c>
      <c r="V211" s="428" t="s">
        <v>18</v>
      </c>
    </row>
    <row r="212" spans="1:22">
      <c r="A212" s="6"/>
      <c r="B212" s="216">
        <v>46239</v>
      </c>
      <c r="C212" s="216">
        <v>46239</v>
      </c>
      <c r="D212" s="428" t="s">
        <v>8007</v>
      </c>
      <c r="E212" s="428">
        <v>260101921842</v>
      </c>
      <c r="F212" s="428" t="s">
        <v>87</v>
      </c>
      <c r="G212" s="428" t="s">
        <v>2303</v>
      </c>
      <c r="H212" s="428">
        <v>92</v>
      </c>
      <c r="I212" s="428">
        <v>267</v>
      </c>
      <c r="J212" s="369">
        <v>267</v>
      </c>
      <c r="K212" s="428">
        <v>134</v>
      </c>
      <c r="L212" s="217">
        <v>1125</v>
      </c>
      <c r="M212" s="428" t="s">
        <v>153</v>
      </c>
      <c r="N212" s="428" t="s">
        <v>149</v>
      </c>
      <c r="O212" s="428" t="s">
        <v>154</v>
      </c>
      <c r="P212" s="428" t="s">
        <v>151</v>
      </c>
      <c r="Q212" s="428" t="s">
        <v>155</v>
      </c>
      <c r="R212" s="428" t="s">
        <v>8008</v>
      </c>
      <c r="S212" s="428"/>
      <c r="T212" s="428" t="s">
        <v>2667</v>
      </c>
      <c r="U212" s="428" t="s">
        <v>152</v>
      </c>
      <c r="V212" s="428" t="s">
        <v>18</v>
      </c>
    </row>
    <row r="213" spans="1:22">
      <c r="A213" s="6"/>
      <c r="B213" s="216">
        <v>46239</v>
      </c>
      <c r="C213" s="216">
        <v>46239</v>
      </c>
      <c r="D213" s="428" t="s">
        <v>8009</v>
      </c>
      <c r="E213" s="428">
        <v>260101021776</v>
      </c>
      <c r="F213" s="428" t="s">
        <v>87</v>
      </c>
      <c r="G213" s="428" t="s">
        <v>2419</v>
      </c>
      <c r="H213" s="428" t="s">
        <v>2412</v>
      </c>
      <c r="I213" s="428">
        <v>943</v>
      </c>
      <c r="J213" s="369">
        <v>943</v>
      </c>
      <c r="K213" s="428">
        <v>180</v>
      </c>
      <c r="L213" s="217">
        <v>1785</v>
      </c>
      <c r="M213" s="428" t="s">
        <v>153</v>
      </c>
      <c r="N213" s="428" t="s">
        <v>149</v>
      </c>
      <c r="O213" s="428" t="s">
        <v>154</v>
      </c>
      <c r="P213" s="428" t="s">
        <v>151</v>
      </c>
      <c r="Q213" s="428" t="s">
        <v>156</v>
      </c>
      <c r="R213" s="428" t="s">
        <v>8010</v>
      </c>
      <c r="S213" s="428"/>
      <c r="T213" s="428" t="s">
        <v>2669</v>
      </c>
      <c r="U213" s="428" t="s">
        <v>152</v>
      </c>
      <c r="V213" s="428" t="s">
        <v>20</v>
      </c>
    </row>
    <row r="214" spans="1:22">
      <c r="A214" s="6"/>
      <c r="B214" s="216">
        <v>46239</v>
      </c>
      <c r="C214" s="216">
        <v>46239</v>
      </c>
      <c r="D214" s="428" t="s">
        <v>8011</v>
      </c>
      <c r="E214" s="428">
        <v>260100721780</v>
      </c>
      <c r="F214" s="428" t="s">
        <v>87</v>
      </c>
      <c r="G214" s="428" t="s">
        <v>7586</v>
      </c>
      <c r="H214" s="428">
        <v>132</v>
      </c>
      <c r="I214" s="428">
        <v>311</v>
      </c>
      <c r="J214" s="369">
        <v>311</v>
      </c>
      <c r="K214" s="428">
        <v>170</v>
      </c>
      <c r="L214" s="217">
        <v>700</v>
      </c>
      <c r="M214" s="428" t="s">
        <v>153</v>
      </c>
      <c r="N214" s="428" t="s">
        <v>149</v>
      </c>
      <c r="O214" s="428" t="s">
        <v>154</v>
      </c>
      <c r="P214" s="428" t="s">
        <v>151</v>
      </c>
      <c r="Q214" s="428" t="s">
        <v>155</v>
      </c>
      <c r="R214" s="428" t="s">
        <v>8012</v>
      </c>
      <c r="S214" s="428"/>
      <c r="T214" s="428" t="s">
        <v>2671</v>
      </c>
      <c r="U214" s="428" t="s">
        <v>152</v>
      </c>
      <c r="V214" s="428" t="s">
        <v>18</v>
      </c>
    </row>
    <row r="215" spans="1:22">
      <c r="A215" s="6"/>
      <c r="B215" s="216">
        <v>46239</v>
      </c>
      <c r="C215" s="216">
        <v>46239</v>
      </c>
      <c r="D215" s="428" t="s">
        <v>8013</v>
      </c>
      <c r="E215" s="428">
        <v>260100421781</v>
      </c>
      <c r="F215" s="428" t="s">
        <v>87</v>
      </c>
      <c r="G215" s="428" t="s">
        <v>2420</v>
      </c>
      <c r="H215" s="428">
        <v>122</v>
      </c>
      <c r="I215" s="428">
        <v>420</v>
      </c>
      <c r="J215" s="369">
        <v>420</v>
      </c>
      <c r="K215" s="428">
        <v>190</v>
      </c>
      <c r="L215" s="217">
        <v>940</v>
      </c>
      <c r="M215" s="428" t="s">
        <v>153</v>
      </c>
      <c r="N215" s="428" t="s">
        <v>149</v>
      </c>
      <c r="O215" s="428" t="s">
        <v>154</v>
      </c>
      <c r="P215" s="428" t="s">
        <v>151</v>
      </c>
      <c r="Q215" s="428" t="s">
        <v>155</v>
      </c>
      <c r="R215" s="428" t="s">
        <v>8014</v>
      </c>
      <c r="S215" s="428"/>
      <c r="T215" s="428" t="s">
        <v>2671</v>
      </c>
      <c r="U215" s="428" t="s">
        <v>152</v>
      </c>
      <c r="V215" s="428" t="s">
        <v>18</v>
      </c>
    </row>
    <row r="216" spans="1:22">
      <c r="A216" s="6"/>
      <c r="B216" s="216">
        <v>46239</v>
      </c>
      <c r="C216" s="216">
        <v>46239</v>
      </c>
      <c r="D216" s="428" t="s">
        <v>8015</v>
      </c>
      <c r="E216" s="428">
        <v>260100521789</v>
      </c>
      <c r="F216" s="428" t="s">
        <v>87</v>
      </c>
      <c r="G216" s="428" t="s">
        <v>2531</v>
      </c>
      <c r="H216" s="428">
        <v>192</v>
      </c>
      <c r="I216" s="428">
        <v>338</v>
      </c>
      <c r="J216" s="369">
        <v>338</v>
      </c>
      <c r="K216" s="428">
        <v>180</v>
      </c>
      <c r="L216" s="217">
        <v>500</v>
      </c>
      <c r="M216" s="428" t="s">
        <v>153</v>
      </c>
      <c r="N216" s="428" t="s">
        <v>149</v>
      </c>
      <c r="O216" s="428" t="s">
        <v>154</v>
      </c>
      <c r="P216" s="428" t="s">
        <v>151</v>
      </c>
      <c r="Q216" s="428" t="s">
        <v>155</v>
      </c>
      <c r="R216" s="428" t="s">
        <v>8016</v>
      </c>
      <c r="S216" s="428"/>
      <c r="T216" s="428" t="s">
        <v>2671</v>
      </c>
      <c r="U216" s="428" t="s">
        <v>152</v>
      </c>
      <c r="V216" s="428" t="s">
        <v>18</v>
      </c>
    </row>
    <row r="217" spans="1:22">
      <c r="A217" s="6"/>
      <c r="B217" s="216">
        <v>46239</v>
      </c>
      <c r="C217" s="216">
        <v>46239</v>
      </c>
      <c r="D217" s="428" t="s">
        <v>8017</v>
      </c>
      <c r="E217" s="428">
        <v>260101521788</v>
      </c>
      <c r="F217" s="428" t="s">
        <v>87</v>
      </c>
      <c r="G217" s="428" t="s">
        <v>2419</v>
      </c>
      <c r="H217" s="428">
        <v>92</v>
      </c>
      <c r="I217" s="428">
        <v>324</v>
      </c>
      <c r="J217" s="369">
        <v>324</v>
      </c>
      <c r="K217" s="428">
        <v>180</v>
      </c>
      <c r="L217" s="217">
        <v>1000</v>
      </c>
      <c r="M217" s="428" t="s">
        <v>153</v>
      </c>
      <c r="N217" s="428" t="s">
        <v>149</v>
      </c>
      <c r="O217" s="428" t="s">
        <v>154</v>
      </c>
      <c r="P217" s="428" t="s">
        <v>151</v>
      </c>
      <c r="Q217" s="428" t="s">
        <v>155</v>
      </c>
      <c r="R217" s="428" t="s">
        <v>8018</v>
      </c>
      <c r="S217" s="428"/>
      <c r="T217" s="428" t="s">
        <v>2671</v>
      </c>
      <c r="U217" s="428" t="s">
        <v>152</v>
      </c>
      <c r="V217" s="428" t="s">
        <v>18</v>
      </c>
    </row>
    <row r="218" spans="1:22">
      <c r="A218" s="6"/>
      <c r="B218" s="216">
        <v>46239</v>
      </c>
      <c r="C218" s="216">
        <v>46239</v>
      </c>
      <c r="D218" s="428" t="s">
        <v>8019</v>
      </c>
      <c r="E218" s="428">
        <v>260105721804</v>
      </c>
      <c r="F218" s="428" t="s">
        <v>87</v>
      </c>
      <c r="G218" s="428" t="s">
        <v>2364</v>
      </c>
      <c r="H218" s="428">
        <v>142</v>
      </c>
      <c r="I218" s="428">
        <v>180</v>
      </c>
      <c r="J218" s="369">
        <v>180</v>
      </c>
      <c r="K218" s="428">
        <v>67</v>
      </c>
      <c r="L218" s="217">
        <v>2000</v>
      </c>
      <c r="M218" s="428" t="s">
        <v>153</v>
      </c>
      <c r="N218" s="428" t="s">
        <v>149</v>
      </c>
      <c r="O218" s="428" t="s">
        <v>154</v>
      </c>
      <c r="P218" s="428" t="s">
        <v>151</v>
      </c>
      <c r="Q218" s="428" t="s">
        <v>155</v>
      </c>
      <c r="R218" s="428" t="s">
        <v>8020</v>
      </c>
      <c r="S218" s="428"/>
      <c r="T218" s="428" t="s">
        <v>2671</v>
      </c>
      <c r="U218" s="428" t="s">
        <v>152</v>
      </c>
      <c r="V218" s="428" t="s">
        <v>18</v>
      </c>
    </row>
    <row r="219" spans="1:22">
      <c r="A219" s="6"/>
      <c r="B219" s="216">
        <v>46239</v>
      </c>
      <c r="C219" s="216">
        <v>46239</v>
      </c>
      <c r="D219" s="428" t="s">
        <v>8021</v>
      </c>
      <c r="E219" s="428">
        <v>260105221807</v>
      </c>
      <c r="F219" s="428" t="s">
        <v>87</v>
      </c>
      <c r="G219" s="428" t="s">
        <v>2527</v>
      </c>
      <c r="H219" s="428">
        <v>152</v>
      </c>
      <c r="I219" s="428">
        <v>258</v>
      </c>
      <c r="J219" s="369">
        <v>258</v>
      </c>
      <c r="K219" s="428">
        <v>104</v>
      </c>
      <c r="L219" s="217">
        <v>1675</v>
      </c>
      <c r="M219" s="428" t="s">
        <v>153</v>
      </c>
      <c r="N219" s="428" t="s">
        <v>149</v>
      </c>
      <c r="O219" s="428" t="s">
        <v>154</v>
      </c>
      <c r="P219" s="428" t="s">
        <v>151</v>
      </c>
      <c r="Q219" s="428" t="s">
        <v>155</v>
      </c>
      <c r="R219" s="428" t="s">
        <v>8022</v>
      </c>
      <c r="S219" s="428"/>
      <c r="T219" s="428" t="s">
        <v>2671</v>
      </c>
      <c r="U219" s="428" t="s">
        <v>152</v>
      </c>
      <c r="V219" s="428" t="s">
        <v>18</v>
      </c>
    </row>
    <row r="220" spans="1:22">
      <c r="A220" s="6"/>
      <c r="B220" s="216">
        <v>46239</v>
      </c>
      <c r="C220" s="216">
        <v>46239</v>
      </c>
      <c r="D220" s="428" t="s">
        <v>8023</v>
      </c>
      <c r="E220" s="428">
        <v>260107821820</v>
      </c>
      <c r="F220" s="428" t="s">
        <v>87</v>
      </c>
      <c r="G220" s="428" t="s">
        <v>2309</v>
      </c>
      <c r="H220" s="428">
        <v>135</v>
      </c>
      <c r="I220" s="428">
        <v>291</v>
      </c>
      <c r="J220" s="369">
        <v>291</v>
      </c>
      <c r="K220" s="428">
        <v>92</v>
      </c>
      <c r="L220" s="217">
        <v>2410</v>
      </c>
      <c r="M220" s="428" t="s">
        <v>153</v>
      </c>
      <c r="N220" s="428" t="s">
        <v>149</v>
      </c>
      <c r="O220" s="428" t="s">
        <v>154</v>
      </c>
      <c r="P220" s="428" t="s">
        <v>151</v>
      </c>
      <c r="Q220" s="428" t="s">
        <v>155</v>
      </c>
      <c r="R220" s="428" t="s">
        <v>8024</v>
      </c>
      <c r="S220" s="428"/>
      <c r="T220" s="428" t="s">
        <v>2671</v>
      </c>
      <c r="U220" s="428" t="s">
        <v>152</v>
      </c>
      <c r="V220" s="428" t="s">
        <v>18</v>
      </c>
    </row>
    <row r="221" spans="1:22">
      <c r="A221" s="6"/>
      <c r="B221" s="216">
        <v>46239</v>
      </c>
      <c r="C221" s="216">
        <v>46239</v>
      </c>
      <c r="D221" s="428" t="s">
        <v>8025</v>
      </c>
      <c r="E221" s="428">
        <v>260100921782</v>
      </c>
      <c r="F221" s="428" t="s">
        <v>87</v>
      </c>
      <c r="G221" s="428" t="s">
        <v>2521</v>
      </c>
      <c r="H221" s="428">
        <v>182</v>
      </c>
      <c r="I221" s="428">
        <v>357</v>
      </c>
      <c r="J221" s="369">
        <v>357</v>
      </c>
      <c r="K221" s="428">
        <v>190</v>
      </c>
      <c r="L221" s="217">
        <v>530</v>
      </c>
      <c r="M221" s="428" t="s">
        <v>153</v>
      </c>
      <c r="N221" s="428" t="s">
        <v>149</v>
      </c>
      <c r="O221" s="428" t="s">
        <v>154</v>
      </c>
      <c r="P221" s="428" t="s">
        <v>151</v>
      </c>
      <c r="Q221" s="428" t="s">
        <v>155</v>
      </c>
      <c r="R221" s="428" t="s">
        <v>8026</v>
      </c>
      <c r="S221" s="428"/>
      <c r="T221" s="428" t="s">
        <v>2671</v>
      </c>
      <c r="U221" s="428" t="s">
        <v>152</v>
      </c>
      <c r="V221" s="428" t="s">
        <v>18</v>
      </c>
    </row>
    <row r="222" spans="1:22">
      <c r="A222" s="6"/>
      <c r="B222" s="216">
        <v>46239</v>
      </c>
      <c r="C222" s="216">
        <v>46239</v>
      </c>
      <c r="D222" s="428" t="s">
        <v>8027</v>
      </c>
      <c r="E222" s="428">
        <v>260106921805</v>
      </c>
      <c r="F222" s="428" t="s">
        <v>87</v>
      </c>
      <c r="G222" s="428" t="s">
        <v>7928</v>
      </c>
      <c r="H222" s="428">
        <v>135</v>
      </c>
      <c r="I222" s="428">
        <v>371</v>
      </c>
      <c r="J222" s="369">
        <v>371</v>
      </c>
      <c r="K222" s="428">
        <v>107</v>
      </c>
      <c r="L222" s="217">
        <v>2650</v>
      </c>
      <c r="M222" s="428" t="s">
        <v>153</v>
      </c>
      <c r="N222" s="428" t="s">
        <v>149</v>
      </c>
      <c r="O222" s="428" t="s">
        <v>154</v>
      </c>
      <c r="P222" s="428" t="s">
        <v>151</v>
      </c>
      <c r="Q222" s="428" t="s">
        <v>155</v>
      </c>
      <c r="R222" s="428" t="s">
        <v>8028</v>
      </c>
      <c r="S222" s="428"/>
      <c r="T222" s="428" t="s">
        <v>2671</v>
      </c>
      <c r="U222" s="428" t="s">
        <v>152</v>
      </c>
      <c r="V222" s="428" t="s">
        <v>18</v>
      </c>
    </row>
    <row r="223" spans="1:22">
      <c r="A223" s="6"/>
      <c r="B223" s="216">
        <v>46239</v>
      </c>
      <c r="C223" s="216">
        <v>46239</v>
      </c>
      <c r="D223" s="428" t="s">
        <v>8029</v>
      </c>
      <c r="E223" s="428">
        <v>260107721808</v>
      </c>
      <c r="F223" s="428" t="s">
        <v>87</v>
      </c>
      <c r="G223" s="428" t="s">
        <v>2516</v>
      </c>
      <c r="H223" s="428">
        <v>122</v>
      </c>
      <c r="I223" s="428">
        <v>287</v>
      </c>
      <c r="J223" s="369">
        <v>287</v>
      </c>
      <c r="K223" s="428">
        <v>89</v>
      </c>
      <c r="L223" s="217">
        <v>2730</v>
      </c>
      <c r="M223" s="428" t="s">
        <v>153</v>
      </c>
      <c r="N223" s="428" t="s">
        <v>149</v>
      </c>
      <c r="O223" s="428" t="s">
        <v>154</v>
      </c>
      <c r="P223" s="428" t="s">
        <v>151</v>
      </c>
      <c r="Q223" s="428" t="s">
        <v>155</v>
      </c>
      <c r="R223" s="428" t="s">
        <v>8030</v>
      </c>
      <c r="S223" s="428"/>
      <c r="T223" s="428" t="s">
        <v>2671</v>
      </c>
      <c r="U223" s="428" t="s">
        <v>152</v>
      </c>
      <c r="V223" s="428" t="s">
        <v>18</v>
      </c>
    </row>
    <row r="224" spans="1:22">
      <c r="A224" s="6"/>
      <c r="B224" s="216">
        <v>46239</v>
      </c>
      <c r="C224" s="216">
        <v>46239</v>
      </c>
      <c r="D224" s="428" t="s">
        <v>8031</v>
      </c>
      <c r="E224" s="428">
        <v>260102721787</v>
      </c>
      <c r="F224" s="428" t="s">
        <v>87</v>
      </c>
      <c r="G224" s="428" t="s">
        <v>8032</v>
      </c>
      <c r="H224" s="428">
        <v>102</v>
      </c>
      <c r="I224" s="428">
        <v>300</v>
      </c>
      <c r="J224" s="369">
        <v>300</v>
      </c>
      <c r="K224" s="428">
        <v>130</v>
      </c>
      <c r="L224" s="217">
        <v>1180</v>
      </c>
      <c r="M224" s="428" t="s">
        <v>153</v>
      </c>
      <c r="N224" s="428" t="s">
        <v>149</v>
      </c>
      <c r="O224" s="428" t="s">
        <v>154</v>
      </c>
      <c r="P224" s="428" t="s">
        <v>151</v>
      </c>
      <c r="Q224" s="428" t="s">
        <v>155</v>
      </c>
      <c r="R224" s="428" t="s">
        <v>8033</v>
      </c>
      <c r="S224" s="428"/>
      <c r="T224" s="428" t="s">
        <v>2671</v>
      </c>
      <c r="U224" s="428" t="s">
        <v>152</v>
      </c>
      <c r="V224" s="428" t="s">
        <v>18</v>
      </c>
    </row>
    <row r="225" spans="1:22">
      <c r="A225" s="6"/>
      <c r="B225" s="216">
        <v>46239</v>
      </c>
      <c r="C225" s="216">
        <v>46239</v>
      </c>
      <c r="D225" s="428" t="s">
        <v>8034</v>
      </c>
      <c r="E225" s="428">
        <v>260107021803</v>
      </c>
      <c r="F225" s="428" t="s">
        <v>87</v>
      </c>
      <c r="G225" s="428" t="s">
        <v>2230</v>
      </c>
      <c r="H225" s="428">
        <v>125</v>
      </c>
      <c r="I225" s="428">
        <v>278</v>
      </c>
      <c r="J225" s="369">
        <v>278</v>
      </c>
      <c r="K225" s="428">
        <v>87</v>
      </c>
      <c r="L225" s="217">
        <v>2620</v>
      </c>
      <c r="M225" s="428" t="s">
        <v>153</v>
      </c>
      <c r="N225" s="428" t="s">
        <v>149</v>
      </c>
      <c r="O225" s="428" t="s">
        <v>154</v>
      </c>
      <c r="P225" s="428" t="s">
        <v>151</v>
      </c>
      <c r="Q225" s="428" t="s">
        <v>155</v>
      </c>
      <c r="R225" s="428" t="s">
        <v>8035</v>
      </c>
      <c r="S225" s="428" t="s">
        <v>61</v>
      </c>
      <c r="T225" s="428" t="s">
        <v>3326</v>
      </c>
      <c r="U225" s="428" t="s">
        <v>152</v>
      </c>
      <c r="V225" s="428" t="s">
        <v>18</v>
      </c>
    </row>
    <row r="226" spans="1:22">
      <c r="A226" s="6"/>
      <c r="B226" s="216">
        <v>46239</v>
      </c>
      <c r="C226" s="216">
        <v>46239</v>
      </c>
      <c r="D226" s="428" t="s">
        <v>8036</v>
      </c>
      <c r="E226" s="428">
        <v>260105621673</v>
      </c>
      <c r="F226" s="428" t="s">
        <v>87</v>
      </c>
      <c r="G226" s="428" t="s">
        <v>2533</v>
      </c>
      <c r="H226" s="428" t="s">
        <v>2524</v>
      </c>
      <c r="I226" s="428">
        <v>451</v>
      </c>
      <c r="J226" s="369">
        <v>451</v>
      </c>
      <c r="K226" s="428">
        <v>119</v>
      </c>
      <c r="L226" s="217">
        <v>2340</v>
      </c>
      <c r="M226" s="428" t="s">
        <v>153</v>
      </c>
      <c r="N226" s="428" t="s">
        <v>149</v>
      </c>
      <c r="O226" s="428" t="s">
        <v>154</v>
      </c>
      <c r="P226" s="428" t="s">
        <v>151</v>
      </c>
      <c r="Q226" s="428" t="s">
        <v>156</v>
      </c>
      <c r="R226" s="428" t="s">
        <v>8037</v>
      </c>
      <c r="S226" s="428"/>
      <c r="T226" s="428" t="s">
        <v>2671</v>
      </c>
      <c r="U226" s="428" t="s">
        <v>152</v>
      </c>
      <c r="V226" s="428" t="s">
        <v>20</v>
      </c>
    </row>
    <row r="227" spans="1:22">
      <c r="A227" s="6"/>
      <c r="B227" s="216">
        <v>46240</v>
      </c>
      <c r="C227" s="216">
        <v>46240</v>
      </c>
      <c r="D227" s="428" t="s">
        <v>8038</v>
      </c>
      <c r="E227" s="428">
        <v>260103921857</v>
      </c>
      <c r="F227" s="428" t="s">
        <v>87</v>
      </c>
      <c r="G227" s="428" t="s">
        <v>2309</v>
      </c>
      <c r="H227" s="428">
        <v>135</v>
      </c>
      <c r="I227" s="428">
        <v>275</v>
      </c>
      <c r="J227" s="369">
        <v>275</v>
      </c>
      <c r="K227" s="428">
        <v>92</v>
      </c>
      <c r="L227" s="217">
        <v>2270</v>
      </c>
      <c r="M227" s="428" t="s">
        <v>153</v>
      </c>
      <c r="N227" s="428" t="s">
        <v>149</v>
      </c>
      <c r="O227" s="428" t="s">
        <v>154</v>
      </c>
      <c r="P227" s="428" t="s">
        <v>151</v>
      </c>
      <c r="Q227" s="428" t="s">
        <v>155</v>
      </c>
      <c r="R227" s="428" t="s">
        <v>8039</v>
      </c>
      <c r="S227" s="428"/>
      <c r="T227" s="428" t="s">
        <v>2706</v>
      </c>
      <c r="U227" s="428" t="s">
        <v>152</v>
      </c>
      <c r="V227" s="428" t="s">
        <v>18</v>
      </c>
    </row>
    <row r="228" spans="1:22">
      <c r="A228" s="6"/>
      <c r="B228" s="216">
        <v>46240</v>
      </c>
      <c r="C228" s="216">
        <v>46240</v>
      </c>
      <c r="D228" s="428" t="s">
        <v>8040</v>
      </c>
      <c r="E228" s="428">
        <v>260105021874</v>
      </c>
      <c r="F228" s="428" t="s">
        <v>87</v>
      </c>
      <c r="G228" s="428" t="s">
        <v>2407</v>
      </c>
      <c r="H228" s="428">
        <v>160</v>
      </c>
      <c r="I228" s="428">
        <v>331</v>
      </c>
      <c r="J228" s="369">
        <v>331</v>
      </c>
      <c r="K228" s="428">
        <v>102</v>
      </c>
      <c r="L228" s="217">
        <v>2080</v>
      </c>
      <c r="M228" s="428" t="s">
        <v>153</v>
      </c>
      <c r="N228" s="428" t="s">
        <v>149</v>
      </c>
      <c r="O228" s="428" t="s">
        <v>154</v>
      </c>
      <c r="P228" s="428" t="s">
        <v>151</v>
      </c>
      <c r="Q228" s="428" t="s">
        <v>155</v>
      </c>
      <c r="R228" s="428" t="s">
        <v>8041</v>
      </c>
      <c r="S228" s="428"/>
      <c r="T228" s="428" t="s">
        <v>2706</v>
      </c>
      <c r="U228" s="428" t="s">
        <v>152</v>
      </c>
      <c r="V228" s="428" t="s">
        <v>18</v>
      </c>
    </row>
    <row r="229" spans="1:22">
      <c r="A229" s="6"/>
      <c r="B229" s="216">
        <v>46240</v>
      </c>
      <c r="C229" s="216">
        <v>46240</v>
      </c>
      <c r="D229" s="428" t="s">
        <v>8042</v>
      </c>
      <c r="E229" s="428">
        <v>260100421846</v>
      </c>
      <c r="F229" s="428" t="s">
        <v>87</v>
      </c>
      <c r="G229" s="428" t="s">
        <v>2420</v>
      </c>
      <c r="H229" s="428">
        <v>122</v>
      </c>
      <c r="I229" s="428">
        <v>381</v>
      </c>
      <c r="J229" s="369">
        <v>381</v>
      </c>
      <c r="K229" s="428">
        <v>190</v>
      </c>
      <c r="L229" s="217">
        <v>830</v>
      </c>
      <c r="M229" s="428" t="s">
        <v>153</v>
      </c>
      <c r="N229" s="428" t="s">
        <v>149</v>
      </c>
      <c r="O229" s="428" t="s">
        <v>154</v>
      </c>
      <c r="P229" s="428" t="s">
        <v>151</v>
      </c>
      <c r="Q229" s="428" t="s">
        <v>155</v>
      </c>
      <c r="R229" s="428" t="s">
        <v>8043</v>
      </c>
      <c r="S229" s="428"/>
      <c r="T229" s="428" t="s">
        <v>2706</v>
      </c>
      <c r="U229" s="428" t="s">
        <v>152</v>
      </c>
      <c r="V229" s="428" t="s">
        <v>18</v>
      </c>
    </row>
    <row r="230" spans="1:22">
      <c r="A230" s="6"/>
      <c r="B230" s="216">
        <v>46240</v>
      </c>
      <c r="C230" s="216">
        <v>46240</v>
      </c>
      <c r="D230" s="428" t="s">
        <v>8044</v>
      </c>
      <c r="E230" s="428">
        <v>260102821866</v>
      </c>
      <c r="F230" s="428" t="s">
        <v>87</v>
      </c>
      <c r="G230" s="428" t="s">
        <v>8032</v>
      </c>
      <c r="H230" s="428">
        <v>102</v>
      </c>
      <c r="I230" s="428">
        <v>258</v>
      </c>
      <c r="J230" s="369">
        <v>258</v>
      </c>
      <c r="K230" s="428">
        <v>130</v>
      </c>
      <c r="L230" s="217">
        <v>1000</v>
      </c>
      <c r="M230" s="428" t="s">
        <v>153</v>
      </c>
      <c r="N230" s="428" t="s">
        <v>149</v>
      </c>
      <c r="O230" s="428" t="s">
        <v>154</v>
      </c>
      <c r="P230" s="428" t="s">
        <v>151</v>
      </c>
      <c r="Q230" s="428" t="s">
        <v>155</v>
      </c>
      <c r="R230" s="428" t="s">
        <v>8045</v>
      </c>
      <c r="S230" s="428"/>
      <c r="T230" s="428" t="s">
        <v>2708</v>
      </c>
      <c r="U230" s="428" t="s">
        <v>152</v>
      </c>
      <c r="V230" s="428" t="s">
        <v>18</v>
      </c>
    </row>
    <row r="231" spans="1:22">
      <c r="A231" s="6"/>
      <c r="B231" s="216">
        <v>46240</v>
      </c>
      <c r="C231" s="216">
        <v>46240</v>
      </c>
      <c r="D231" s="428" t="s">
        <v>8046</v>
      </c>
      <c r="E231" s="428">
        <v>260101521891</v>
      </c>
      <c r="F231" s="428" t="s">
        <v>87</v>
      </c>
      <c r="G231" s="428" t="s">
        <v>2419</v>
      </c>
      <c r="H231" s="428">
        <v>92</v>
      </c>
      <c r="I231" s="428">
        <v>332</v>
      </c>
      <c r="J231" s="369">
        <v>332</v>
      </c>
      <c r="K231" s="428">
        <v>180</v>
      </c>
      <c r="L231" s="217">
        <v>1010</v>
      </c>
      <c r="M231" s="428" t="s">
        <v>153</v>
      </c>
      <c r="N231" s="428" t="s">
        <v>149</v>
      </c>
      <c r="O231" s="428" t="s">
        <v>154</v>
      </c>
      <c r="P231" s="428" t="s">
        <v>151</v>
      </c>
      <c r="Q231" s="428" t="s">
        <v>155</v>
      </c>
      <c r="R231" s="428" t="s">
        <v>8047</v>
      </c>
      <c r="S231" s="428"/>
      <c r="T231" s="428" t="s">
        <v>2708</v>
      </c>
      <c r="U231" s="428" t="s">
        <v>152</v>
      </c>
      <c r="V231" s="428" t="s">
        <v>18</v>
      </c>
    </row>
    <row r="232" spans="1:22">
      <c r="A232" s="6"/>
      <c r="B232" s="216">
        <v>46240</v>
      </c>
      <c r="C232" s="216">
        <v>46240</v>
      </c>
      <c r="D232" s="428" t="s">
        <v>8048</v>
      </c>
      <c r="E232" s="428">
        <v>260101921899</v>
      </c>
      <c r="F232" s="428" t="s">
        <v>87</v>
      </c>
      <c r="G232" s="428" t="s">
        <v>2303</v>
      </c>
      <c r="H232" s="428">
        <v>92</v>
      </c>
      <c r="I232" s="428">
        <v>275</v>
      </c>
      <c r="J232" s="369">
        <v>275</v>
      </c>
      <c r="K232" s="428">
        <v>134</v>
      </c>
      <c r="L232" s="217">
        <v>1165</v>
      </c>
      <c r="M232" s="428" t="s">
        <v>153</v>
      </c>
      <c r="N232" s="428" t="s">
        <v>149</v>
      </c>
      <c r="O232" s="428" t="s">
        <v>154</v>
      </c>
      <c r="P232" s="428" t="s">
        <v>151</v>
      </c>
      <c r="Q232" s="428" t="s">
        <v>155</v>
      </c>
      <c r="R232" s="428" t="s">
        <v>8049</v>
      </c>
      <c r="S232" s="428"/>
      <c r="T232" s="428" t="s">
        <v>2708</v>
      </c>
      <c r="U232" s="428" t="s">
        <v>152</v>
      </c>
      <c r="V232" s="428" t="s">
        <v>18</v>
      </c>
    </row>
    <row r="233" spans="1:22">
      <c r="A233" s="6"/>
      <c r="B233" s="216">
        <v>46240</v>
      </c>
      <c r="C233" s="216">
        <v>46240</v>
      </c>
      <c r="D233" s="428" t="s">
        <v>8050</v>
      </c>
      <c r="E233" s="428">
        <v>260104121902</v>
      </c>
      <c r="F233" s="428" t="s">
        <v>87</v>
      </c>
      <c r="G233" s="428" t="s">
        <v>2361</v>
      </c>
      <c r="H233" s="428">
        <v>182</v>
      </c>
      <c r="I233" s="428">
        <v>262</v>
      </c>
      <c r="J233" s="369">
        <v>262</v>
      </c>
      <c r="K233" s="428">
        <v>98</v>
      </c>
      <c r="L233" s="217">
        <v>1530</v>
      </c>
      <c r="M233" s="428" t="s">
        <v>153</v>
      </c>
      <c r="N233" s="428" t="s">
        <v>149</v>
      </c>
      <c r="O233" s="428" t="s">
        <v>154</v>
      </c>
      <c r="P233" s="428" t="s">
        <v>151</v>
      </c>
      <c r="Q233" s="428" t="s">
        <v>155</v>
      </c>
      <c r="R233" s="428" t="s">
        <v>8051</v>
      </c>
      <c r="S233" s="428"/>
      <c r="T233" s="428" t="s">
        <v>2708</v>
      </c>
      <c r="U233" s="428" t="s">
        <v>152</v>
      </c>
      <c r="V233" s="428" t="s">
        <v>18</v>
      </c>
    </row>
    <row r="234" spans="1:22">
      <c r="A234" s="6"/>
      <c r="B234" s="216">
        <v>46240</v>
      </c>
      <c r="C234" s="216">
        <v>46240</v>
      </c>
      <c r="D234" s="428" t="s">
        <v>8052</v>
      </c>
      <c r="E234" s="428">
        <v>260105321915</v>
      </c>
      <c r="F234" s="428" t="s">
        <v>87</v>
      </c>
      <c r="G234" s="428" t="s">
        <v>824</v>
      </c>
      <c r="H234" s="428">
        <v>152</v>
      </c>
      <c r="I234" s="428">
        <v>283</v>
      </c>
      <c r="J234" s="369">
        <v>283</v>
      </c>
      <c r="K234" s="428">
        <v>104</v>
      </c>
      <c r="L234" s="217">
        <v>1870</v>
      </c>
      <c r="M234" s="428" t="s">
        <v>153</v>
      </c>
      <c r="N234" s="428" t="s">
        <v>149</v>
      </c>
      <c r="O234" s="428" t="s">
        <v>154</v>
      </c>
      <c r="P234" s="428" t="s">
        <v>151</v>
      </c>
      <c r="Q234" s="428" t="s">
        <v>155</v>
      </c>
      <c r="R234" s="428" t="s">
        <v>8053</v>
      </c>
      <c r="S234" s="428"/>
      <c r="T234" s="428" t="s">
        <v>2708</v>
      </c>
      <c r="U234" s="428" t="s">
        <v>152</v>
      </c>
      <c r="V234" s="428" t="s">
        <v>18</v>
      </c>
    </row>
    <row r="235" spans="1:22">
      <c r="A235" s="6"/>
      <c r="B235" s="216">
        <v>46240</v>
      </c>
      <c r="C235" s="216">
        <v>46240</v>
      </c>
      <c r="D235" s="428" t="s">
        <v>8054</v>
      </c>
      <c r="E235" s="428">
        <v>260102921859</v>
      </c>
      <c r="F235" s="428" t="s">
        <v>87</v>
      </c>
      <c r="G235" s="428" t="s">
        <v>824</v>
      </c>
      <c r="H235" s="428">
        <v>152</v>
      </c>
      <c r="I235" s="428">
        <v>288</v>
      </c>
      <c r="J235" s="369">
        <v>288</v>
      </c>
      <c r="K235" s="428">
        <v>104</v>
      </c>
      <c r="L235" s="217">
        <v>1900</v>
      </c>
      <c r="M235" s="428" t="s">
        <v>153</v>
      </c>
      <c r="N235" s="428" t="s">
        <v>149</v>
      </c>
      <c r="O235" s="428" t="s">
        <v>154</v>
      </c>
      <c r="P235" s="428" t="s">
        <v>151</v>
      </c>
      <c r="Q235" s="428" t="s">
        <v>155</v>
      </c>
      <c r="R235" s="428" t="s">
        <v>8055</v>
      </c>
      <c r="S235" s="428"/>
      <c r="T235" s="428" t="s">
        <v>2708</v>
      </c>
      <c r="U235" s="428" t="s">
        <v>152</v>
      </c>
      <c r="V235" s="428" t="s">
        <v>18</v>
      </c>
    </row>
    <row r="236" spans="1:22">
      <c r="A236" s="6"/>
      <c r="B236" s="216">
        <v>46240</v>
      </c>
      <c r="C236" s="216">
        <v>46240</v>
      </c>
      <c r="D236" s="428" t="s">
        <v>8056</v>
      </c>
      <c r="E236" s="428">
        <v>260100721923</v>
      </c>
      <c r="F236" s="428" t="s">
        <v>87</v>
      </c>
      <c r="G236" s="428" t="s">
        <v>7586</v>
      </c>
      <c r="H236" s="428">
        <v>132</v>
      </c>
      <c r="I236" s="428">
        <v>334</v>
      </c>
      <c r="J236" s="369">
        <v>334</v>
      </c>
      <c r="K236" s="428">
        <v>170</v>
      </c>
      <c r="L236" s="217">
        <v>750</v>
      </c>
      <c r="M236" s="428" t="s">
        <v>153</v>
      </c>
      <c r="N236" s="428" t="s">
        <v>149</v>
      </c>
      <c r="O236" s="428" t="s">
        <v>154</v>
      </c>
      <c r="P236" s="428" t="s">
        <v>151</v>
      </c>
      <c r="Q236" s="428" t="s">
        <v>155</v>
      </c>
      <c r="R236" s="428" t="s">
        <v>8057</v>
      </c>
      <c r="S236" s="428"/>
      <c r="T236" s="428" t="s">
        <v>2708</v>
      </c>
      <c r="U236" s="428" t="s">
        <v>152</v>
      </c>
      <c r="V236" s="428" t="s">
        <v>18</v>
      </c>
    </row>
    <row r="237" spans="1:22">
      <c r="A237" s="6"/>
      <c r="B237" s="216">
        <v>46240</v>
      </c>
      <c r="C237" s="216">
        <v>46240</v>
      </c>
      <c r="D237" s="428" t="s">
        <v>8058</v>
      </c>
      <c r="E237" s="428">
        <v>260103821855</v>
      </c>
      <c r="F237" s="428" t="s">
        <v>87</v>
      </c>
      <c r="G237" s="428" t="s">
        <v>824</v>
      </c>
      <c r="H237" s="428">
        <v>152</v>
      </c>
      <c r="I237" s="428">
        <v>293</v>
      </c>
      <c r="J237" s="369">
        <v>293</v>
      </c>
      <c r="K237" s="428">
        <v>104</v>
      </c>
      <c r="L237" s="217">
        <v>1940</v>
      </c>
      <c r="M237" s="428" t="s">
        <v>153</v>
      </c>
      <c r="N237" s="428" t="s">
        <v>149</v>
      </c>
      <c r="O237" s="428" t="s">
        <v>154</v>
      </c>
      <c r="P237" s="428" t="s">
        <v>151</v>
      </c>
      <c r="Q237" s="428" t="s">
        <v>155</v>
      </c>
      <c r="R237" s="428" t="s">
        <v>8059</v>
      </c>
      <c r="S237" s="428"/>
      <c r="T237" s="428" t="s">
        <v>2708</v>
      </c>
      <c r="U237" s="428" t="s">
        <v>152</v>
      </c>
      <c r="V237" s="428" t="s">
        <v>18</v>
      </c>
    </row>
    <row r="238" spans="1:22">
      <c r="A238" s="6"/>
      <c r="B238" s="216">
        <v>46240</v>
      </c>
      <c r="C238" s="216">
        <v>46240</v>
      </c>
      <c r="D238" s="428" t="s">
        <v>8060</v>
      </c>
      <c r="E238" s="428">
        <v>260101421885</v>
      </c>
      <c r="F238" s="428" t="s">
        <v>87</v>
      </c>
      <c r="G238" s="428" t="s">
        <v>824</v>
      </c>
      <c r="H238" s="428">
        <v>152</v>
      </c>
      <c r="I238" s="428">
        <v>225</v>
      </c>
      <c r="J238" s="369">
        <v>225</v>
      </c>
      <c r="K238" s="428">
        <v>104</v>
      </c>
      <c r="L238" s="217">
        <v>1500</v>
      </c>
      <c r="M238" s="428" t="s">
        <v>153</v>
      </c>
      <c r="N238" s="428" t="s">
        <v>149</v>
      </c>
      <c r="O238" s="428" t="s">
        <v>154</v>
      </c>
      <c r="P238" s="428" t="s">
        <v>151</v>
      </c>
      <c r="Q238" s="428" t="s">
        <v>155</v>
      </c>
      <c r="R238" s="428" t="s">
        <v>8061</v>
      </c>
      <c r="S238" s="428"/>
      <c r="T238" s="428" t="s">
        <v>2708</v>
      </c>
      <c r="U238" s="428" t="s">
        <v>152</v>
      </c>
      <c r="V238" s="428" t="s">
        <v>18</v>
      </c>
    </row>
    <row r="239" spans="1:22">
      <c r="A239" s="6"/>
      <c r="B239" s="216">
        <v>46240</v>
      </c>
      <c r="C239" s="216">
        <v>46240</v>
      </c>
      <c r="D239" s="428" t="s">
        <v>8062</v>
      </c>
      <c r="E239" s="428">
        <v>260100521889</v>
      </c>
      <c r="F239" s="428" t="s">
        <v>87</v>
      </c>
      <c r="G239" s="428" t="s">
        <v>2531</v>
      </c>
      <c r="H239" s="428">
        <v>192</v>
      </c>
      <c r="I239" s="428">
        <v>369</v>
      </c>
      <c r="J239" s="369">
        <v>369</v>
      </c>
      <c r="K239" s="428">
        <v>180</v>
      </c>
      <c r="L239" s="217">
        <v>550</v>
      </c>
      <c r="M239" s="428" t="s">
        <v>153</v>
      </c>
      <c r="N239" s="428" t="s">
        <v>149</v>
      </c>
      <c r="O239" s="428" t="s">
        <v>154</v>
      </c>
      <c r="P239" s="428" t="s">
        <v>151</v>
      </c>
      <c r="Q239" s="428" t="s">
        <v>155</v>
      </c>
      <c r="R239" s="428" t="s">
        <v>8063</v>
      </c>
      <c r="S239" s="428"/>
      <c r="T239" s="428" t="s">
        <v>2708</v>
      </c>
      <c r="U239" s="428" t="s">
        <v>152</v>
      </c>
      <c r="V239" s="428" t="s">
        <v>18</v>
      </c>
    </row>
    <row r="240" spans="1:22">
      <c r="A240" s="6"/>
      <c r="B240" s="216">
        <v>46240</v>
      </c>
      <c r="C240" s="216">
        <v>46240</v>
      </c>
      <c r="D240" s="428" t="s">
        <v>8064</v>
      </c>
      <c r="E240" s="428">
        <v>260103421906</v>
      </c>
      <c r="F240" s="428" t="s">
        <v>87</v>
      </c>
      <c r="G240" s="428" t="s">
        <v>824</v>
      </c>
      <c r="H240" s="428">
        <v>152</v>
      </c>
      <c r="I240" s="428">
        <v>251</v>
      </c>
      <c r="J240" s="369">
        <v>251</v>
      </c>
      <c r="K240" s="428">
        <v>104</v>
      </c>
      <c r="L240" s="217">
        <v>1660</v>
      </c>
      <c r="M240" s="428" t="s">
        <v>153</v>
      </c>
      <c r="N240" s="428" t="s">
        <v>149</v>
      </c>
      <c r="O240" s="428" t="s">
        <v>154</v>
      </c>
      <c r="P240" s="428" t="s">
        <v>151</v>
      </c>
      <c r="Q240" s="428" t="s">
        <v>155</v>
      </c>
      <c r="R240" s="428" t="s">
        <v>8065</v>
      </c>
      <c r="S240" s="428"/>
      <c r="T240" s="428" t="s">
        <v>2708</v>
      </c>
      <c r="U240" s="428" t="s">
        <v>152</v>
      </c>
      <c r="V240" s="428" t="s">
        <v>18</v>
      </c>
    </row>
    <row r="241" spans="1:22">
      <c r="A241" s="6"/>
      <c r="B241" s="216">
        <v>46240</v>
      </c>
      <c r="C241" s="216">
        <v>46240</v>
      </c>
      <c r="D241" s="428" t="s">
        <v>8066</v>
      </c>
      <c r="E241" s="428">
        <v>260105721913</v>
      </c>
      <c r="F241" s="428" t="s">
        <v>87</v>
      </c>
      <c r="G241" s="428" t="s">
        <v>2364</v>
      </c>
      <c r="H241" s="428">
        <v>142</v>
      </c>
      <c r="I241" s="428">
        <v>178</v>
      </c>
      <c r="J241" s="369">
        <v>178</v>
      </c>
      <c r="K241" s="428">
        <v>67</v>
      </c>
      <c r="L241" s="217">
        <v>1900</v>
      </c>
      <c r="M241" s="428" t="s">
        <v>153</v>
      </c>
      <c r="N241" s="428" t="s">
        <v>149</v>
      </c>
      <c r="O241" s="428" t="s">
        <v>154</v>
      </c>
      <c r="P241" s="428" t="s">
        <v>151</v>
      </c>
      <c r="Q241" s="428" t="s">
        <v>155</v>
      </c>
      <c r="R241" s="428" t="s">
        <v>8067</v>
      </c>
      <c r="S241" s="428"/>
      <c r="T241" s="428" t="s">
        <v>2708</v>
      </c>
      <c r="U241" s="428" t="s">
        <v>152</v>
      </c>
      <c r="V241" s="428" t="s">
        <v>18</v>
      </c>
    </row>
    <row r="242" spans="1:22">
      <c r="A242" s="6"/>
      <c r="B242" s="216">
        <v>46240</v>
      </c>
      <c r="C242" s="216">
        <v>46240</v>
      </c>
      <c r="D242" s="428" t="s">
        <v>8068</v>
      </c>
      <c r="E242" s="428">
        <v>260107821917</v>
      </c>
      <c r="F242" s="428" t="s">
        <v>87</v>
      </c>
      <c r="G242" s="428" t="s">
        <v>2309</v>
      </c>
      <c r="H242" s="428">
        <v>135</v>
      </c>
      <c r="I242" s="428">
        <v>236</v>
      </c>
      <c r="J242" s="369">
        <v>236</v>
      </c>
      <c r="K242" s="428">
        <v>92</v>
      </c>
      <c r="L242" s="217">
        <v>1970</v>
      </c>
      <c r="M242" s="428" t="s">
        <v>153</v>
      </c>
      <c r="N242" s="428" t="s">
        <v>149</v>
      </c>
      <c r="O242" s="428" t="s">
        <v>154</v>
      </c>
      <c r="P242" s="428" t="s">
        <v>151</v>
      </c>
      <c r="Q242" s="428" t="s">
        <v>155</v>
      </c>
      <c r="R242" s="428" t="s">
        <v>8069</v>
      </c>
      <c r="S242" s="428"/>
      <c r="T242" s="428" t="s">
        <v>2708</v>
      </c>
      <c r="U242" s="428" t="s">
        <v>152</v>
      </c>
      <c r="V242" s="428" t="s">
        <v>18</v>
      </c>
    </row>
    <row r="243" spans="1:22">
      <c r="A243" s="6"/>
      <c r="B243" s="216">
        <v>46240</v>
      </c>
      <c r="C243" s="216">
        <v>46240</v>
      </c>
      <c r="D243" s="428" t="s">
        <v>8070</v>
      </c>
      <c r="E243" s="428">
        <v>260107321922</v>
      </c>
      <c r="F243" s="428" t="s">
        <v>87</v>
      </c>
      <c r="G243" s="428" t="s">
        <v>824</v>
      </c>
      <c r="H243" s="428">
        <v>152</v>
      </c>
      <c r="I243" s="428">
        <v>200</v>
      </c>
      <c r="J243" s="369">
        <v>200</v>
      </c>
      <c r="K243" s="428">
        <v>104</v>
      </c>
      <c r="L243" s="217">
        <v>1300</v>
      </c>
      <c r="M243" s="428" t="s">
        <v>153</v>
      </c>
      <c r="N243" s="428" t="s">
        <v>149</v>
      </c>
      <c r="O243" s="428" t="s">
        <v>154</v>
      </c>
      <c r="P243" s="428" t="s">
        <v>151</v>
      </c>
      <c r="Q243" s="428" t="s">
        <v>155</v>
      </c>
      <c r="R243" s="428" t="s">
        <v>8071</v>
      </c>
      <c r="S243" s="428"/>
      <c r="T243" s="428" t="s">
        <v>2708</v>
      </c>
      <c r="U243" s="428" t="s">
        <v>152</v>
      </c>
      <c r="V243" s="428" t="s">
        <v>18</v>
      </c>
    </row>
    <row r="244" spans="1:22">
      <c r="A244" s="6"/>
      <c r="B244" s="216">
        <v>46240</v>
      </c>
      <c r="C244" s="216">
        <v>46240</v>
      </c>
      <c r="D244" s="428" t="s">
        <v>8072</v>
      </c>
      <c r="E244" s="428">
        <v>260107721881</v>
      </c>
      <c r="F244" s="428" t="s">
        <v>87</v>
      </c>
      <c r="G244" s="428" t="s">
        <v>2516</v>
      </c>
      <c r="H244" s="428">
        <v>122</v>
      </c>
      <c r="I244" s="428">
        <v>75</v>
      </c>
      <c r="J244" s="369">
        <v>75</v>
      </c>
      <c r="K244" s="428">
        <v>89</v>
      </c>
      <c r="L244" s="217">
        <v>700</v>
      </c>
      <c r="M244" s="428" t="s">
        <v>153</v>
      </c>
      <c r="N244" s="428" t="s">
        <v>149</v>
      </c>
      <c r="O244" s="428" t="s">
        <v>154</v>
      </c>
      <c r="P244" s="428" t="s">
        <v>151</v>
      </c>
      <c r="Q244" s="428" t="s">
        <v>155</v>
      </c>
      <c r="R244" s="428" t="s">
        <v>8073</v>
      </c>
      <c r="S244" s="428"/>
      <c r="T244" s="428" t="s">
        <v>2708</v>
      </c>
      <c r="U244" s="428" t="s">
        <v>152</v>
      </c>
      <c r="V244" s="428" t="s">
        <v>18</v>
      </c>
    </row>
    <row r="245" spans="1:22">
      <c r="A245" s="6"/>
      <c r="B245" s="216">
        <v>46240</v>
      </c>
      <c r="C245" s="216">
        <v>46240</v>
      </c>
      <c r="D245" s="428" t="s">
        <v>8074</v>
      </c>
      <c r="E245" s="428">
        <v>260102721893</v>
      </c>
      <c r="F245" s="428" t="s">
        <v>87</v>
      </c>
      <c r="G245" s="428" t="s">
        <v>8032</v>
      </c>
      <c r="H245" s="428">
        <v>102</v>
      </c>
      <c r="I245" s="428">
        <v>254</v>
      </c>
      <c r="J245" s="369">
        <v>254</v>
      </c>
      <c r="K245" s="428">
        <v>130</v>
      </c>
      <c r="L245" s="217">
        <v>1000</v>
      </c>
      <c r="M245" s="428" t="s">
        <v>153</v>
      </c>
      <c r="N245" s="428" t="s">
        <v>149</v>
      </c>
      <c r="O245" s="428" t="s">
        <v>154</v>
      </c>
      <c r="P245" s="428" t="s">
        <v>151</v>
      </c>
      <c r="Q245" s="428" t="s">
        <v>155</v>
      </c>
      <c r="R245" s="428" t="s">
        <v>8075</v>
      </c>
      <c r="S245" s="428"/>
      <c r="T245" s="428" t="s">
        <v>2708</v>
      </c>
      <c r="U245" s="428" t="s">
        <v>152</v>
      </c>
      <c r="V245" s="428" t="s">
        <v>18</v>
      </c>
    </row>
    <row r="246" spans="1:22">
      <c r="A246" s="6"/>
      <c r="B246" s="216">
        <v>46240</v>
      </c>
      <c r="C246" s="216">
        <v>46240</v>
      </c>
      <c r="D246" s="428" t="s">
        <v>8076</v>
      </c>
      <c r="E246" s="428">
        <v>260102621894</v>
      </c>
      <c r="F246" s="428" t="s">
        <v>87</v>
      </c>
      <c r="G246" s="428" t="s">
        <v>2359</v>
      </c>
      <c r="H246" s="428">
        <v>102</v>
      </c>
      <c r="I246" s="428">
        <v>220</v>
      </c>
      <c r="J246" s="369">
        <v>220</v>
      </c>
      <c r="K246" s="428">
        <v>125</v>
      </c>
      <c r="L246" s="217">
        <v>900</v>
      </c>
      <c r="M246" s="428" t="s">
        <v>153</v>
      </c>
      <c r="N246" s="428" t="s">
        <v>149</v>
      </c>
      <c r="O246" s="428" t="s">
        <v>154</v>
      </c>
      <c r="P246" s="428" t="s">
        <v>151</v>
      </c>
      <c r="Q246" s="428" t="s">
        <v>155</v>
      </c>
      <c r="R246" s="428" t="s">
        <v>8077</v>
      </c>
      <c r="S246" s="428"/>
      <c r="T246" s="428" t="s">
        <v>2708</v>
      </c>
      <c r="U246" s="428" t="s">
        <v>152</v>
      </c>
      <c r="V246" s="428" t="s">
        <v>18</v>
      </c>
    </row>
    <row r="247" spans="1:22">
      <c r="A247" s="6"/>
      <c r="B247" s="216">
        <v>46240</v>
      </c>
      <c r="C247" s="216">
        <v>46240</v>
      </c>
      <c r="D247" s="428" t="s">
        <v>8078</v>
      </c>
      <c r="E247" s="428">
        <v>260102021900</v>
      </c>
      <c r="F247" s="428" t="s">
        <v>87</v>
      </c>
      <c r="G247" s="428" t="s">
        <v>2303</v>
      </c>
      <c r="H247" s="428">
        <v>92</v>
      </c>
      <c r="I247" s="428">
        <v>293</v>
      </c>
      <c r="J247" s="369">
        <v>293</v>
      </c>
      <c r="K247" s="428">
        <v>134</v>
      </c>
      <c r="L247" s="217">
        <v>1215</v>
      </c>
      <c r="M247" s="428" t="s">
        <v>153</v>
      </c>
      <c r="N247" s="428" t="s">
        <v>149</v>
      </c>
      <c r="O247" s="428" t="s">
        <v>154</v>
      </c>
      <c r="P247" s="428" t="s">
        <v>151</v>
      </c>
      <c r="Q247" s="428" t="s">
        <v>155</v>
      </c>
      <c r="R247" s="428" t="s">
        <v>8079</v>
      </c>
      <c r="S247" s="428"/>
      <c r="T247" s="428" t="s">
        <v>2708</v>
      </c>
      <c r="U247" s="428" t="s">
        <v>152</v>
      </c>
      <c r="V247" s="428" t="s">
        <v>18</v>
      </c>
    </row>
    <row r="248" spans="1:22">
      <c r="A248" s="6"/>
      <c r="B248" s="216">
        <v>46240</v>
      </c>
      <c r="C248" s="216">
        <v>46240</v>
      </c>
      <c r="D248" s="428" t="s">
        <v>8080</v>
      </c>
      <c r="E248" s="428">
        <v>260105821911</v>
      </c>
      <c r="F248" s="428" t="s">
        <v>87</v>
      </c>
      <c r="G248" s="428" t="s">
        <v>824</v>
      </c>
      <c r="H248" s="428">
        <v>152</v>
      </c>
      <c r="I248" s="428">
        <v>245</v>
      </c>
      <c r="J248" s="369">
        <v>245</v>
      </c>
      <c r="K248" s="428">
        <v>104</v>
      </c>
      <c r="L248" s="217">
        <v>1650</v>
      </c>
      <c r="M248" s="428" t="s">
        <v>153</v>
      </c>
      <c r="N248" s="428" t="s">
        <v>149</v>
      </c>
      <c r="O248" s="428" t="s">
        <v>154</v>
      </c>
      <c r="P248" s="428" t="s">
        <v>151</v>
      </c>
      <c r="Q248" s="428" t="s">
        <v>155</v>
      </c>
      <c r="R248" s="428" t="s">
        <v>8081</v>
      </c>
      <c r="S248" s="428"/>
      <c r="T248" s="428" t="s">
        <v>2708</v>
      </c>
      <c r="U248" s="428" t="s">
        <v>152</v>
      </c>
      <c r="V248" s="428" t="s">
        <v>18</v>
      </c>
    </row>
    <row r="249" spans="1:22">
      <c r="A249" s="6"/>
      <c r="B249" s="216">
        <v>46240</v>
      </c>
      <c r="C249" s="216">
        <v>46240</v>
      </c>
      <c r="D249" s="428" t="s">
        <v>8082</v>
      </c>
      <c r="E249" s="428">
        <v>260106921919</v>
      </c>
      <c r="F249" s="428" t="s">
        <v>87</v>
      </c>
      <c r="G249" s="428" t="s">
        <v>7928</v>
      </c>
      <c r="H249" s="428">
        <v>135</v>
      </c>
      <c r="I249" s="428">
        <v>331</v>
      </c>
      <c r="J249" s="369">
        <v>331</v>
      </c>
      <c r="K249" s="428">
        <v>107</v>
      </c>
      <c r="L249" s="217">
        <v>2390</v>
      </c>
      <c r="M249" s="428" t="s">
        <v>153</v>
      </c>
      <c r="N249" s="428" t="s">
        <v>149</v>
      </c>
      <c r="O249" s="428" t="s">
        <v>154</v>
      </c>
      <c r="P249" s="428" t="s">
        <v>151</v>
      </c>
      <c r="Q249" s="428" t="s">
        <v>155</v>
      </c>
      <c r="R249" s="428" t="s">
        <v>8083</v>
      </c>
      <c r="S249" s="428"/>
      <c r="T249" s="428" t="s">
        <v>2708</v>
      </c>
      <c r="U249" s="428" t="s">
        <v>152</v>
      </c>
      <c r="V249" s="428" t="s">
        <v>18</v>
      </c>
    </row>
    <row r="250" spans="1:22">
      <c r="A250" s="6"/>
      <c r="B250" s="216">
        <v>46240</v>
      </c>
      <c r="C250" s="216">
        <v>46240</v>
      </c>
      <c r="D250" s="428" t="s">
        <v>8084</v>
      </c>
      <c r="E250" s="428">
        <v>260102921858</v>
      </c>
      <c r="F250" s="428" t="s">
        <v>87</v>
      </c>
      <c r="G250" s="428" t="s">
        <v>824</v>
      </c>
      <c r="H250" s="428">
        <v>152</v>
      </c>
      <c r="I250" s="428">
        <v>288</v>
      </c>
      <c r="J250" s="369">
        <v>288</v>
      </c>
      <c r="K250" s="428">
        <v>104</v>
      </c>
      <c r="L250" s="217">
        <v>1900</v>
      </c>
      <c r="M250" s="428" t="s">
        <v>153</v>
      </c>
      <c r="N250" s="428" t="s">
        <v>149</v>
      </c>
      <c r="O250" s="428" t="s">
        <v>154</v>
      </c>
      <c r="P250" s="428" t="s">
        <v>151</v>
      </c>
      <c r="Q250" s="428" t="s">
        <v>155</v>
      </c>
      <c r="R250" s="428" t="s">
        <v>8085</v>
      </c>
      <c r="S250" s="428"/>
      <c r="T250" s="428" t="s">
        <v>2708</v>
      </c>
      <c r="U250" s="428" t="s">
        <v>152</v>
      </c>
      <c r="V250" s="428" t="s">
        <v>18</v>
      </c>
    </row>
    <row r="251" spans="1:22">
      <c r="A251" s="6"/>
      <c r="B251" s="216">
        <v>46240</v>
      </c>
      <c r="C251" s="216">
        <v>46240</v>
      </c>
      <c r="D251" s="428" t="s">
        <v>8086</v>
      </c>
      <c r="E251" s="428">
        <v>260101421886</v>
      </c>
      <c r="F251" s="428" t="s">
        <v>87</v>
      </c>
      <c r="G251" s="428" t="s">
        <v>824</v>
      </c>
      <c r="H251" s="428">
        <v>152</v>
      </c>
      <c r="I251" s="428">
        <v>227</v>
      </c>
      <c r="J251" s="369">
        <v>227</v>
      </c>
      <c r="K251" s="428">
        <v>104</v>
      </c>
      <c r="L251" s="217">
        <v>1500</v>
      </c>
      <c r="M251" s="428" t="s">
        <v>153</v>
      </c>
      <c r="N251" s="428" t="s">
        <v>149</v>
      </c>
      <c r="O251" s="428" t="s">
        <v>154</v>
      </c>
      <c r="P251" s="428" t="s">
        <v>151</v>
      </c>
      <c r="Q251" s="428" t="s">
        <v>155</v>
      </c>
      <c r="R251" s="428" t="s">
        <v>8087</v>
      </c>
      <c r="S251" s="428"/>
      <c r="T251" s="428" t="s">
        <v>2708</v>
      </c>
      <c r="U251" s="428" t="s">
        <v>152</v>
      </c>
      <c r="V251" s="428" t="s">
        <v>18</v>
      </c>
    </row>
    <row r="252" spans="1:22">
      <c r="A252" s="6"/>
      <c r="B252" s="216">
        <v>46240</v>
      </c>
      <c r="C252" s="216">
        <v>46240</v>
      </c>
      <c r="D252" s="428" t="s">
        <v>8088</v>
      </c>
      <c r="E252" s="428">
        <v>260101421887</v>
      </c>
      <c r="F252" s="428" t="s">
        <v>87</v>
      </c>
      <c r="G252" s="428" t="s">
        <v>824</v>
      </c>
      <c r="H252" s="428">
        <v>152</v>
      </c>
      <c r="I252" s="428">
        <v>228</v>
      </c>
      <c r="J252" s="369">
        <v>228</v>
      </c>
      <c r="K252" s="428">
        <v>104</v>
      </c>
      <c r="L252" s="217">
        <v>1500</v>
      </c>
      <c r="M252" s="428" t="s">
        <v>153</v>
      </c>
      <c r="N252" s="428" t="s">
        <v>149</v>
      </c>
      <c r="O252" s="428" t="s">
        <v>154</v>
      </c>
      <c r="P252" s="428" t="s">
        <v>151</v>
      </c>
      <c r="Q252" s="428" t="s">
        <v>155</v>
      </c>
      <c r="R252" s="428" t="s">
        <v>8089</v>
      </c>
      <c r="S252" s="428"/>
      <c r="T252" s="428" t="s">
        <v>2708</v>
      </c>
      <c r="U252" s="428" t="s">
        <v>152</v>
      </c>
      <c r="V252" s="428" t="s">
        <v>18</v>
      </c>
    </row>
    <row r="253" spans="1:22">
      <c r="A253" s="6"/>
      <c r="B253" s="216">
        <v>46240</v>
      </c>
      <c r="C253" s="216">
        <v>46240</v>
      </c>
      <c r="D253" s="428" t="s">
        <v>8090</v>
      </c>
      <c r="E253" s="428">
        <v>260103821854</v>
      </c>
      <c r="F253" s="428" t="s">
        <v>87</v>
      </c>
      <c r="G253" s="428" t="s">
        <v>824</v>
      </c>
      <c r="H253" s="428">
        <v>152</v>
      </c>
      <c r="I253" s="428">
        <v>292</v>
      </c>
      <c r="J253" s="369">
        <v>292</v>
      </c>
      <c r="K253" s="428">
        <v>104</v>
      </c>
      <c r="L253" s="217">
        <v>1940</v>
      </c>
      <c r="M253" s="428" t="s">
        <v>153</v>
      </c>
      <c r="N253" s="428" t="s">
        <v>149</v>
      </c>
      <c r="O253" s="428" t="s">
        <v>154</v>
      </c>
      <c r="P253" s="428" t="s">
        <v>151</v>
      </c>
      <c r="Q253" s="428" t="s">
        <v>155</v>
      </c>
      <c r="R253" s="428" t="s">
        <v>8091</v>
      </c>
      <c r="S253" s="428"/>
      <c r="T253" s="428" t="s">
        <v>2708</v>
      </c>
      <c r="U253" s="428" t="s">
        <v>152</v>
      </c>
      <c r="V253" s="428" t="s">
        <v>18</v>
      </c>
    </row>
    <row r="254" spans="1:22">
      <c r="A254" s="6"/>
      <c r="B254" s="216">
        <v>46240</v>
      </c>
      <c r="C254" s="216">
        <v>46240</v>
      </c>
      <c r="D254" s="428" t="s">
        <v>8092</v>
      </c>
      <c r="E254" s="428">
        <v>260100421867</v>
      </c>
      <c r="F254" s="428" t="s">
        <v>87</v>
      </c>
      <c r="G254" s="428" t="s">
        <v>2420</v>
      </c>
      <c r="H254" s="428">
        <v>122</v>
      </c>
      <c r="I254" s="428">
        <v>396</v>
      </c>
      <c r="J254" s="369">
        <v>396</v>
      </c>
      <c r="K254" s="428">
        <v>190</v>
      </c>
      <c r="L254" s="217">
        <v>850</v>
      </c>
      <c r="M254" s="428" t="s">
        <v>153</v>
      </c>
      <c r="N254" s="428" t="s">
        <v>149</v>
      </c>
      <c r="O254" s="428" t="s">
        <v>154</v>
      </c>
      <c r="P254" s="428" t="s">
        <v>151</v>
      </c>
      <c r="Q254" s="428" t="s">
        <v>155</v>
      </c>
      <c r="R254" s="428" t="s">
        <v>8093</v>
      </c>
      <c r="S254" s="428"/>
      <c r="T254" s="428" t="s">
        <v>2708</v>
      </c>
      <c r="U254" s="428" t="s">
        <v>152</v>
      </c>
      <c r="V254" s="428" t="s">
        <v>18</v>
      </c>
    </row>
    <row r="255" spans="1:22">
      <c r="A255" s="6"/>
      <c r="B255" s="216">
        <v>46240</v>
      </c>
      <c r="C255" s="216">
        <v>46240</v>
      </c>
      <c r="D255" s="428" t="s">
        <v>8094</v>
      </c>
      <c r="E255" s="428">
        <v>260101421888</v>
      </c>
      <c r="F255" s="428" t="s">
        <v>87</v>
      </c>
      <c r="G255" s="428" t="s">
        <v>824</v>
      </c>
      <c r="H255" s="428">
        <v>152</v>
      </c>
      <c r="I255" s="428">
        <v>225</v>
      </c>
      <c r="J255" s="369">
        <v>225</v>
      </c>
      <c r="K255" s="428">
        <v>104</v>
      </c>
      <c r="L255" s="217">
        <v>1500</v>
      </c>
      <c r="M255" s="428" t="s">
        <v>153</v>
      </c>
      <c r="N255" s="428" t="s">
        <v>149</v>
      </c>
      <c r="O255" s="428" t="s">
        <v>154</v>
      </c>
      <c r="P255" s="428" t="s">
        <v>151</v>
      </c>
      <c r="Q255" s="428" t="s">
        <v>155</v>
      </c>
      <c r="R255" s="428" t="s">
        <v>8095</v>
      </c>
      <c r="S255" s="428"/>
      <c r="T255" s="428" t="s">
        <v>2708</v>
      </c>
      <c r="U255" s="428" t="s">
        <v>152</v>
      </c>
      <c r="V255" s="428" t="s">
        <v>18</v>
      </c>
    </row>
    <row r="256" spans="1:22">
      <c r="A256" s="6"/>
      <c r="B256" s="216">
        <v>46240</v>
      </c>
      <c r="C256" s="216">
        <v>46240</v>
      </c>
      <c r="D256" s="428" t="s">
        <v>8096</v>
      </c>
      <c r="E256" s="428">
        <v>260103421905</v>
      </c>
      <c r="F256" s="428" t="s">
        <v>87</v>
      </c>
      <c r="G256" s="428" t="s">
        <v>824</v>
      </c>
      <c r="H256" s="428">
        <v>152</v>
      </c>
      <c r="I256" s="428">
        <v>255</v>
      </c>
      <c r="J256" s="369">
        <v>255</v>
      </c>
      <c r="K256" s="428">
        <v>104</v>
      </c>
      <c r="L256" s="217">
        <v>1660</v>
      </c>
      <c r="M256" s="428" t="s">
        <v>153</v>
      </c>
      <c r="N256" s="428" t="s">
        <v>149</v>
      </c>
      <c r="O256" s="428" t="s">
        <v>154</v>
      </c>
      <c r="P256" s="428" t="s">
        <v>151</v>
      </c>
      <c r="Q256" s="428" t="s">
        <v>155</v>
      </c>
      <c r="R256" s="428" t="s">
        <v>8097</v>
      </c>
      <c r="S256" s="428"/>
      <c r="T256" s="428" t="s">
        <v>2708</v>
      </c>
      <c r="U256" s="428" t="s">
        <v>152</v>
      </c>
      <c r="V256" s="428" t="s">
        <v>18</v>
      </c>
    </row>
    <row r="257" spans="1:22">
      <c r="A257" s="6"/>
      <c r="B257" s="216">
        <v>46240</v>
      </c>
      <c r="C257" s="216">
        <v>46240</v>
      </c>
      <c r="D257" s="428" t="s">
        <v>8098</v>
      </c>
      <c r="E257" s="428">
        <v>260104621910</v>
      </c>
      <c r="F257" s="428" t="s">
        <v>87</v>
      </c>
      <c r="G257" s="428" t="s">
        <v>824</v>
      </c>
      <c r="H257" s="428">
        <v>152</v>
      </c>
      <c r="I257" s="428">
        <v>249</v>
      </c>
      <c r="J257" s="369">
        <v>249</v>
      </c>
      <c r="K257" s="428">
        <v>104</v>
      </c>
      <c r="L257" s="217">
        <v>1650</v>
      </c>
      <c r="M257" s="428" t="s">
        <v>153</v>
      </c>
      <c r="N257" s="428" t="s">
        <v>149</v>
      </c>
      <c r="O257" s="428" t="s">
        <v>154</v>
      </c>
      <c r="P257" s="428" t="s">
        <v>151</v>
      </c>
      <c r="Q257" s="428" t="s">
        <v>155</v>
      </c>
      <c r="R257" s="428" t="s">
        <v>8099</v>
      </c>
      <c r="S257" s="428"/>
      <c r="T257" s="428" t="s">
        <v>2708</v>
      </c>
      <c r="U257" s="428" t="s">
        <v>152</v>
      </c>
      <c r="V257" s="428" t="s">
        <v>18</v>
      </c>
    </row>
    <row r="258" spans="1:22">
      <c r="A258" s="6"/>
      <c r="B258" s="216">
        <v>46240</v>
      </c>
      <c r="C258" s="216">
        <v>46240</v>
      </c>
      <c r="D258" s="428" t="s">
        <v>8100</v>
      </c>
      <c r="E258" s="428">
        <v>260100721890</v>
      </c>
      <c r="F258" s="428" t="s">
        <v>87</v>
      </c>
      <c r="G258" s="428" t="s">
        <v>7586</v>
      </c>
      <c r="H258" s="428">
        <v>132</v>
      </c>
      <c r="I258" s="428">
        <v>402</v>
      </c>
      <c r="J258" s="369">
        <v>402</v>
      </c>
      <c r="K258" s="428">
        <v>170</v>
      </c>
      <c r="L258" s="217">
        <v>910</v>
      </c>
      <c r="M258" s="428" t="s">
        <v>153</v>
      </c>
      <c r="N258" s="428" t="s">
        <v>149</v>
      </c>
      <c r="O258" s="428" t="s">
        <v>154</v>
      </c>
      <c r="P258" s="428" t="s">
        <v>151</v>
      </c>
      <c r="Q258" s="428" t="s">
        <v>155</v>
      </c>
      <c r="R258" s="428" t="s">
        <v>8101</v>
      </c>
      <c r="S258" s="428"/>
      <c r="T258" s="428" t="s">
        <v>2708</v>
      </c>
      <c r="U258" s="428" t="s">
        <v>152</v>
      </c>
      <c r="V258" s="428" t="s">
        <v>18</v>
      </c>
    </row>
    <row r="259" spans="1:22">
      <c r="A259" s="6"/>
      <c r="B259" s="216">
        <v>46240</v>
      </c>
      <c r="C259" s="216">
        <v>46240</v>
      </c>
      <c r="D259" s="428" t="s">
        <v>8102</v>
      </c>
      <c r="E259" s="428">
        <v>260102821892</v>
      </c>
      <c r="F259" s="428" t="s">
        <v>87</v>
      </c>
      <c r="G259" s="428" t="s">
        <v>8032</v>
      </c>
      <c r="H259" s="428">
        <v>102</v>
      </c>
      <c r="I259" s="428">
        <v>254</v>
      </c>
      <c r="J259" s="369">
        <v>254</v>
      </c>
      <c r="K259" s="428">
        <v>130</v>
      </c>
      <c r="L259" s="217">
        <v>1000</v>
      </c>
      <c r="M259" s="428" t="s">
        <v>153</v>
      </c>
      <c r="N259" s="428" t="s">
        <v>149</v>
      </c>
      <c r="O259" s="428" t="s">
        <v>154</v>
      </c>
      <c r="P259" s="428" t="s">
        <v>151</v>
      </c>
      <c r="Q259" s="428" t="s">
        <v>155</v>
      </c>
      <c r="R259" s="428" t="s">
        <v>8103</v>
      </c>
      <c r="S259" s="428"/>
      <c r="T259" s="428" t="s">
        <v>2708</v>
      </c>
      <c r="U259" s="428" t="s">
        <v>152</v>
      </c>
      <c r="V259" s="428" t="s">
        <v>18</v>
      </c>
    </row>
    <row r="260" spans="1:22">
      <c r="A260" s="6"/>
      <c r="B260" s="216">
        <v>46240</v>
      </c>
      <c r="C260" s="216">
        <v>46240</v>
      </c>
      <c r="D260" s="428" t="s">
        <v>8104</v>
      </c>
      <c r="E260" s="428">
        <v>260102721864</v>
      </c>
      <c r="F260" s="428" t="s">
        <v>87</v>
      </c>
      <c r="G260" s="428" t="s">
        <v>8032</v>
      </c>
      <c r="H260" s="428">
        <v>102</v>
      </c>
      <c r="I260" s="428">
        <v>289</v>
      </c>
      <c r="J260" s="369">
        <v>289</v>
      </c>
      <c r="K260" s="428">
        <v>130</v>
      </c>
      <c r="L260" s="217">
        <v>1130</v>
      </c>
      <c r="M260" s="428" t="s">
        <v>153</v>
      </c>
      <c r="N260" s="428" t="s">
        <v>149</v>
      </c>
      <c r="O260" s="428" t="s">
        <v>154</v>
      </c>
      <c r="P260" s="428" t="s">
        <v>151</v>
      </c>
      <c r="Q260" s="428" t="s">
        <v>155</v>
      </c>
      <c r="R260" s="428" t="s">
        <v>8105</v>
      </c>
      <c r="S260" s="428"/>
      <c r="T260" s="428" t="s">
        <v>2708</v>
      </c>
      <c r="U260" s="428" t="s">
        <v>152</v>
      </c>
      <c r="V260" s="428" t="s">
        <v>18</v>
      </c>
    </row>
    <row r="261" spans="1:22">
      <c r="A261" s="6"/>
      <c r="B261" s="216">
        <v>46240</v>
      </c>
      <c r="C261" s="216">
        <v>46240</v>
      </c>
      <c r="D261" s="428" t="s">
        <v>8106</v>
      </c>
      <c r="E261" s="428">
        <v>260101521865</v>
      </c>
      <c r="F261" s="428" t="s">
        <v>87</v>
      </c>
      <c r="G261" s="428" t="s">
        <v>2419</v>
      </c>
      <c r="H261" s="428">
        <v>92</v>
      </c>
      <c r="I261" s="428">
        <v>368</v>
      </c>
      <c r="J261" s="369">
        <v>368</v>
      </c>
      <c r="K261" s="428">
        <v>180</v>
      </c>
      <c r="L261" s="217">
        <v>1130</v>
      </c>
      <c r="M261" s="428" t="s">
        <v>153</v>
      </c>
      <c r="N261" s="428" t="s">
        <v>149</v>
      </c>
      <c r="O261" s="428" t="s">
        <v>154</v>
      </c>
      <c r="P261" s="428" t="s">
        <v>151</v>
      </c>
      <c r="Q261" s="428" t="s">
        <v>155</v>
      </c>
      <c r="R261" s="428" t="s">
        <v>8107</v>
      </c>
      <c r="S261" s="428"/>
      <c r="T261" s="428" t="s">
        <v>2708</v>
      </c>
      <c r="U261" s="428" t="s">
        <v>152</v>
      </c>
      <c r="V261" s="428" t="s">
        <v>18</v>
      </c>
    </row>
    <row r="262" spans="1:22">
      <c r="A262" s="6"/>
      <c r="B262" s="216">
        <v>46240</v>
      </c>
      <c r="C262" s="216">
        <v>46240</v>
      </c>
      <c r="D262" s="428" t="s">
        <v>8108</v>
      </c>
      <c r="E262" s="428">
        <v>260101621895</v>
      </c>
      <c r="F262" s="428" t="s">
        <v>87</v>
      </c>
      <c r="G262" s="428" t="s">
        <v>2079</v>
      </c>
      <c r="H262" s="428">
        <v>112</v>
      </c>
      <c r="I262" s="428">
        <v>393</v>
      </c>
      <c r="J262" s="369">
        <v>393</v>
      </c>
      <c r="K262" s="428">
        <v>180</v>
      </c>
      <c r="L262" s="217">
        <v>1000</v>
      </c>
      <c r="M262" s="428" t="s">
        <v>153</v>
      </c>
      <c r="N262" s="428" t="s">
        <v>149</v>
      </c>
      <c r="O262" s="428" t="s">
        <v>154</v>
      </c>
      <c r="P262" s="428" t="s">
        <v>151</v>
      </c>
      <c r="Q262" s="428" t="s">
        <v>155</v>
      </c>
      <c r="R262" s="428" t="s">
        <v>8109</v>
      </c>
      <c r="S262" s="428"/>
      <c r="T262" s="428" t="s">
        <v>2708</v>
      </c>
      <c r="U262" s="428" t="s">
        <v>152</v>
      </c>
      <c r="V262" s="428" t="s">
        <v>18</v>
      </c>
    </row>
    <row r="263" spans="1:22">
      <c r="A263" s="6"/>
      <c r="B263" s="216">
        <v>46240</v>
      </c>
      <c r="C263" s="216">
        <v>46240</v>
      </c>
      <c r="D263" s="428" t="s">
        <v>8110</v>
      </c>
      <c r="E263" s="428">
        <v>260101721863</v>
      </c>
      <c r="F263" s="428" t="s">
        <v>87</v>
      </c>
      <c r="G263" s="428" t="s">
        <v>2303</v>
      </c>
      <c r="H263" s="428">
        <v>92</v>
      </c>
      <c r="I263" s="428">
        <v>239</v>
      </c>
      <c r="J263" s="369">
        <v>239</v>
      </c>
      <c r="K263" s="428">
        <v>134</v>
      </c>
      <c r="L263" s="217">
        <v>1000</v>
      </c>
      <c r="M263" s="428" t="s">
        <v>153</v>
      </c>
      <c r="N263" s="428" t="s">
        <v>149</v>
      </c>
      <c r="O263" s="428" t="s">
        <v>154</v>
      </c>
      <c r="P263" s="428" t="s">
        <v>151</v>
      </c>
      <c r="Q263" s="428" t="s">
        <v>155</v>
      </c>
      <c r="R263" s="428" t="s">
        <v>8111</v>
      </c>
      <c r="S263" s="428"/>
      <c r="T263" s="428" t="s">
        <v>2708</v>
      </c>
      <c r="U263" s="428" t="s">
        <v>152</v>
      </c>
      <c r="V263" s="428" t="s">
        <v>18</v>
      </c>
    </row>
    <row r="264" spans="1:22">
      <c r="A264" s="6"/>
      <c r="B264" s="216">
        <v>46240</v>
      </c>
      <c r="C264" s="216">
        <v>46240</v>
      </c>
      <c r="D264" s="428" t="s">
        <v>8112</v>
      </c>
      <c r="E264" s="428">
        <v>260100521868</v>
      </c>
      <c r="F264" s="428" t="s">
        <v>87</v>
      </c>
      <c r="G264" s="428" t="s">
        <v>2531</v>
      </c>
      <c r="H264" s="428">
        <v>192</v>
      </c>
      <c r="I264" s="428">
        <v>341</v>
      </c>
      <c r="J264" s="369">
        <v>341</v>
      </c>
      <c r="K264" s="428">
        <v>180</v>
      </c>
      <c r="L264" s="217">
        <v>500</v>
      </c>
      <c r="M264" s="428" t="s">
        <v>153</v>
      </c>
      <c r="N264" s="428" t="s">
        <v>149</v>
      </c>
      <c r="O264" s="428" t="s">
        <v>154</v>
      </c>
      <c r="P264" s="428" t="s">
        <v>151</v>
      </c>
      <c r="Q264" s="428" t="s">
        <v>155</v>
      </c>
      <c r="R264" s="428" t="s">
        <v>8113</v>
      </c>
      <c r="S264" s="428"/>
      <c r="T264" s="428" t="s">
        <v>2708</v>
      </c>
      <c r="U264" s="428" t="s">
        <v>152</v>
      </c>
      <c r="V264" s="428" t="s">
        <v>18</v>
      </c>
    </row>
    <row r="265" spans="1:22">
      <c r="A265" s="6"/>
      <c r="B265" s="216">
        <v>46240</v>
      </c>
      <c r="C265" s="216">
        <v>46240</v>
      </c>
      <c r="D265" s="428" t="s">
        <v>8114</v>
      </c>
      <c r="E265" s="428">
        <v>260101821869</v>
      </c>
      <c r="F265" s="428" t="s">
        <v>87</v>
      </c>
      <c r="G265" s="428" t="s">
        <v>7909</v>
      </c>
      <c r="H265" s="428">
        <v>105</v>
      </c>
      <c r="I265" s="428">
        <v>266</v>
      </c>
      <c r="J265" s="369">
        <v>266</v>
      </c>
      <c r="K265" s="428">
        <v>134</v>
      </c>
      <c r="L265" s="217">
        <v>1000</v>
      </c>
      <c r="M265" s="428" t="s">
        <v>153</v>
      </c>
      <c r="N265" s="428" t="s">
        <v>149</v>
      </c>
      <c r="O265" s="428" t="s">
        <v>154</v>
      </c>
      <c r="P265" s="428" t="s">
        <v>151</v>
      </c>
      <c r="Q265" s="428" t="s">
        <v>155</v>
      </c>
      <c r="R265" s="428" t="s">
        <v>8115</v>
      </c>
      <c r="S265" s="428"/>
      <c r="T265" s="428" t="s">
        <v>2708</v>
      </c>
      <c r="U265" s="428" t="s">
        <v>152</v>
      </c>
      <c r="V265" s="428" t="s">
        <v>18</v>
      </c>
    </row>
    <row r="266" spans="1:22">
      <c r="A266" s="6"/>
      <c r="B266" s="216">
        <v>46240</v>
      </c>
      <c r="C266" s="216">
        <v>46240</v>
      </c>
      <c r="D266" s="428" t="s">
        <v>8116</v>
      </c>
      <c r="E266" s="428">
        <v>260103921856</v>
      </c>
      <c r="F266" s="428" t="s">
        <v>87</v>
      </c>
      <c r="G266" s="428" t="s">
        <v>2309</v>
      </c>
      <c r="H266" s="428">
        <v>135</v>
      </c>
      <c r="I266" s="428">
        <v>270</v>
      </c>
      <c r="J266" s="369">
        <v>270</v>
      </c>
      <c r="K266" s="428">
        <v>92</v>
      </c>
      <c r="L266" s="217">
        <v>2270</v>
      </c>
      <c r="M266" s="428" t="s">
        <v>153</v>
      </c>
      <c r="N266" s="428" t="s">
        <v>149</v>
      </c>
      <c r="O266" s="428" t="s">
        <v>154</v>
      </c>
      <c r="P266" s="428" t="s">
        <v>151</v>
      </c>
      <c r="Q266" s="428" t="s">
        <v>155</v>
      </c>
      <c r="R266" s="428" t="s">
        <v>8117</v>
      </c>
      <c r="S266" s="428"/>
      <c r="T266" s="428" t="s">
        <v>2708</v>
      </c>
      <c r="U266" s="428" t="s">
        <v>152</v>
      </c>
      <c r="V266" s="428" t="s">
        <v>18</v>
      </c>
    </row>
    <row r="267" spans="1:22">
      <c r="A267" s="6"/>
      <c r="B267" s="216">
        <v>46240</v>
      </c>
      <c r="C267" s="216">
        <v>46240</v>
      </c>
      <c r="D267" s="428" t="s">
        <v>8118</v>
      </c>
      <c r="E267" s="428">
        <v>260105221870</v>
      </c>
      <c r="F267" s="428" t="s">
        <v>87</v>
      </c>
      <c r="G267" s="428" t="s">
        <v>2527</v>
      </c>
      <c r="H267" s="428">
        <v>152</v>
      </c>
      <c r="I267" s="428">
        <v>253</v>
      </c>
      <c r="J267" s="369">
        <v>253</v>
      </c>
      <c r="K267" s="428">
        <v>104</v>
      </c>
      <c r="L267" s="217">
        <v>1640</v>
      </c>
      <c r="M267" s="428" t="s">
        <v>153</v>
      </c>
      <c r="N267" s="428" t="s">
        <v>149</v>
      </c>
      <c r="O267" s="428" t="s">
        <v>154</v>
      </c>
      <c r="P267" s="428" t="s">
        <v>151</v>
      </c>
      <c r="Q267" s="428" t="s">
        <v>155</v>
      </c>
      <c r="R267" s="428" t="s">
        <v>8119</v>
      </c>
      <c r="S267" s="428"/>
      <c r="T267" s="428" t="s">
        <v>2708</v>
      </c>
      <c r="U267" s="428" t="s">
        <v>152</v>
      </c>
      <c r="V267" s="428" t="s">
        <v>18</v>
      </c>
    </row>
    <row r="268" spans="1:22">
      <c r="A268" s="6"/>
      <c r="B268" s="216">
        <v>46240</v>
      </c>
      <c r="C268" s="216">
        <v>46240</v>
      </c>
      <c r="D268" s="428" t="s">
        <v>8120</v>
      </c>
      <c r="E268" s="428">
        <v>260105521735</v>
      </c>
      <c r="F268" s="428" t="s">
        <v>87</v>
      </c>
      <c r="G268" s="428" t="s">
        <v>2520</v>
      </c>
      <c r="H268" s="428" t="s">
        <v>2291</v>
      </c>
      <c r="I268" s="428">
        <v>635</v>
      </c>
      <c r="J268" s="369">
        <v>635</v>
      </c>
      <c r="K268" s="428">
        <v>110</v>
      </c>
      <c r="L268" s="217">
        <v>3100</v>
      </c>
      <c r="M268" s="428" t="s">
        <v>153</v>
      </c>
      <c r="N268" s="428" t="s">
        <v>149</v>
      </c>
      <c r="O268" s="428" t="s">
        <v>154</v>
      </c>
      <c r="P268" s="428" t="s">
        <v>151</v>
      </c>
      <c r="Q268" s="428" t="s">
        <v>156</v>
      </c>
      <c r="R268" s="428" t="s">
        <v>8121</v>
      </c>
      <c r="S268" s="428"/>
      <c r="T268" s="428" t="s">
        <v>2708</v>
      </c>
      <c r="U268" s="428" t="s">
        <v>152</v>
      </c>
      <c r="V268" s="428" t="s">
        <v>20</v>
      </c>
    </row>
    <row r="269" spans="1:22">
      <c r="A269" s="6"/>
      <c r="B269" s="216">
        <v>46240</v>
      </c>
      <c r="C269" s="216">
        <v>46240</v>
      </c>
      <c r="D269" s="428" t="s">
        <v>8122</v>
      </c>
      <c r="E269" s="428">
        <v>260105621748</v>
      </c>
      <c r="F269" s="428" t="s">
        <v>87</v>
      </c>
      <c r="G269" s="428" t="s">
        <v>2533</v>
      </c>
      <c r="H269" s="428" t="s">
        <v>2524</v>
      </c>
      <c r="I269" s="428">
        <v>397</v>
      </c>
      <c r="J269" s="369">
        <v>397</v>
      </c>
      <c r="K269" s="428">
        <v>119</v>
      </c>
      <c r="L269" s="217">
        <v>2080</v>
      </c>
      <c r="M269" s="428" t="s">
        <v>153</v>
      </c>
      <c r="N269" s="428" t="s">
        <v>149</v>
      </c>
      <c r="O269" s="428" t="s">
        <v>154</v>
      </c>
      <c r="P269" s="428" t="s">
        <v>151</v>
      </c>
      <c r="Q269" s="428" t="s">
        <v>156</v>
      </c>
      <c r="R269" s="428" t="s">
        <v>8123</v>
      </c>
      <c r="S269" s="428"/>
      <c r="T269" s="428" t="s">
        <v>2708</v>
      </c>
      <c r="U269" s="428" t="s">
        <v>152</v>
      </c>
      <c r="V269" s="428" t="s">
        <v>20</v>
      </c>
    </row>
    <row r="270" spans="1:22">
      <c r="A270" s="6"/>
      <c r="B270" s="216">
        <v>46241</v>
      </c>
      <c r="C270" s="216">
        <v>46241</v>
      </c>
      <c r="D270" s="428" t="s">
        <v>8124</v>
      </c>
      <c r="E270" s="389">
        <v>260101621938</v>
      </c>
      <c r="F270" s="428" t="s">
        <v>87</v>
      </c>
      <c r="G270" s="428" t="s">
        <v>2079</v>
      </c>
      <c r="H270" s="428">
        <v>112</v>
      </c>
      <c r="I270" s="428">
        <v>395</v>
      </c>
      <c r="J270" s="369">
        <v>395</v>
      </c>
      <c r="K270" s="428">
        <v>180</v>
      </c>
      <c r="L270" s="217">
        <v>1000</v>
      </c>
      <c r="M270" s="428" t="s">
        <v>153</v>
      </c>
      <c r="N270" s="428" t="s">
        <v>149</v>
      </c>
      <c r="O270" s="428" t="s">
        <v>154</v>
      </c>
      <c r="P270" s="428" t="s">
        <v>151</v>
      </c>
      <c r="Q270" s="428" t="s">
        <v>155</v>
      </c>
      <c r="R270" s="428" t="s">
        <v>8125</v>
      </c>
      <c r="S270" s="428"/>
      <c r="T270" s="428" t="s">
        <v>2737</v>
      </c>
      <c r="U270" s="428" t="s">
        <v>152</v>
      </c>
      <c r="V270" s="428" t="s">
        <v>18</v>
      </c>
    </row>
    <row r="271" spans="1:22">
      <c r="A271" s="6"/>
      <c r="B271" s="216">
        <v>46241</v>
      </c>
      <c r="C271" s="216">
        <v>46241</v>
      </c>
      <c r="D271" s="428" t="s">
        <v>8126</v>
      </c>
      <c r="E271" s="428">
        <v>260102921943</v>
      </c>
      <c r="F271" s="428" t="s">
        <v>87</v>
      </c>
      <c r="G271" s="428" t="s">
        <v>824</v>
      </c>
      <c r="H271" s="428">
        <v>152</v>
      </c>
      <c r="I271" s="428">
        <v>227</v>
      </c>
      <c r="J271" s="369">
        <v>227</v>
      </c>
      <c r="K271" s="428">
        <v>104</v>
      </c>
      <c r="L271" s="217">
        <v>1500</v>
      </c>
      <c r="M271" s="428" t="s">
        <v>153</v>
      </c>
      <c r="N271" s="428" t="s">
        <v>149</v>
      </c>
      <c r="O271" s="428" t="s">
        <v>154</v>
      </c>
      <c r="P271" s="428" t="s">
        <v>151</v>
      </c>
      <c r="Q271" s="428" t="s">
        <v>155</v>
      </c>
      <c r="R271" s="428" t="s">
        <v>8127</v>
      </c>
      <c r="S271" s="428"/>
      <c r="T271" s="428" t="s">
        <v>2737</v>
      </c>
      <c r="U271" s="428" t="s">
        <v>152</v>
      </c>
      <c r="V271" s="428" t="s">
        <v>18</v>
      </c>
    </row>
    <row r="272" spans="1:22">
      <c r="A272" s="6"/>
      <c r="B272" s="216">
        <v>46241</v>
      </c>
      <c r="C272" s="216">
        <v>46241</v>
      </c>
      <c r="D272" s="428" t="s">
        <v>8128</v>
      </c>
      <c r="E272" s="428">
        <v>260103921946</v>
      </c>
      <c r="F272" s="428" t="s">
        <v>87</v>
      </c>
      <c r="G272" s="428" t="s">
        <v>2309</v>
      </c>
      <c r="H272" s="428">
        <v>135</v>
      </c>
      <c r="I272" s="428">
        <v>165</v>
      </c>
      <c r="J272" s="369">
        <v>165</v>
      </c>
      <c r="K272" s="428">
        <v>92</v>
      </c>
      <c r="L272" s="217">
        <v>1400</v>
      </c>
      <c r="M272" s="428" t="s">
        <v>153</v>
      </c>
      <c r="N272" s="428" t="s">
        <v>149</v>
      </c>
      <c r="O272" s="428" t="s">
        <v>154</v>
      </c>
      <c r="P272" s="428" t="s">
        <v>151</v>
      </c>
      <c r="Q272" s="428" t="s">
        <v>155</v>
      </c>
      <c r="R272" s="428" t="s">
        <v>8129</v>
      </c>
      <c r="S272" s="428"/>
      <c r="T272" s="428" t="s">
        <v>2737</v>
      </c>
      <c r="U272" s="428" t="s">
        <v>152</v>
      </c>
      <c r="V272" s="428" t="s">
        <v>18</v>
      </c>
    </row>
    <row r="273" spans="1:22">
      <c r="A273" s="6"/>
      <c r="B273" s="216">
        <v>46241</v>
      </c>
      <c r="C273" s="216">
        <v>46241</v>
      </c>
      <c r="D273" s="428" t="s">
        <v>8130</v>
      </c>
      <c r="E273" s="428">
        <v>260103321951</v>
      </c>
      <c r="F273" s="428" t="s">
        <v>87</v>
      </c>
      <c r="G273" s="428" t="s">
        <v>2409</v>
      </c>
      <c r="H273" s="428">
        <v>152</v>
      </c>
      <c r="I273" s="428">
        <v>317</v>
      </c>
      <c r="J273" s="369">
        <v>317</v>
      </c>
      <c r="K273" s="428">
        <v>97</v>
      </c>
      <c r="L273" s="217">
        <v>2230</v>
      </c>
      <c r="M273" s="428" t="s">
        <v>153</v>
      </c>
      <c r="N273" s="428" t="s">
        <v>149</v>
      </c>
      <c r="O273" s="428" t="s">
        <v>154</v>
      </c>
      <c r="P273" s="428" t="s">
        <v>151</v>
      </c>
      <c r="Q273" s="428" t="s">
        <v>155</v>
      </c>
      <c r="R273" s="428" t="s">
        <v>8131</v>
      </c>
      <c r="S273" s="428"/>
      <c r="T273" s="428" t="s">
        <v>2737</v>
      </c>
      <c r="U273" s="428" t="s">
        <v>152</v>
      </c>
      <c r="V273" s="428" t="s">
        <v>18</v>
      </c>
    </row>
    <row r="274" spans="1:22">
      <c r="A274" s="6"/>
      <c r="B274" s="216">
        <v>46241</v>
      </c>
      <c r="C274" s="216">
        <v>46241</v>
      </c>
      <c r="D274" s="428" t="s">
        <v>8132</v>
      </c>
      <c r="E274" s="428">
        <v>260105221955</v>
      </c>
      <c r="F274" s="428" t="s">
        <v>87</v>
      </c>
      <c r="G274" s="428" t="s">
        <v>2527</v>
      </c>
      <c r="H274" s="428">
        <v>152</v>
      </c>
      <c r="I274" s="428">
        <v>315</v>
      </c>
      <c r="J274" s="369">
        <v>315</v>
      </c>
      <c r="K274" s="428">
        <v>104</v>
      </c>
      <c r="L274" s="217">
        <v>2060</v>
      </c>
      <c r="M274" s="428" t="s">
        <v>153</v>
      </c>
      <c r="N274" s="428" t="s">
        <v>149</v>
      </c>
      <c r="O274" s="428" t="s">
        <v>154</v>
      </c>
      <c r="P274" s="428" t="s">
        <v>151</v>
      </c>
      <c r="Q274" s="428" t="s">
        <v>155</v>
      </c>
      <c r="R274" s="428" t="s">
        <v>8133</v>
      </c>
      <c r="S274" s="428"/>
      <c r="T274" s="428" t="s">
        <v>2737</v>
      </c>
      <c r="U274" s="428" t="s">
        <v>152</v>
      </c>
      <c r="V274" s="428" t="s">
        <v>18</v>
      </c>
    </row>
    <row r="275" spans="1:22">
      <c r="A275" s="6"/>
      <c r="B275" s="216">
        <v>46241</v>
      </c>
      <c r="C275" s="216">
        <v>46241</v>
      </c>
      <c r="D275" s="428" t="s">
        <v>8134</v>
      </c>
      <c r="E275" s="428">
        <v>260103421978</v>
      </c>
      <c r="F275" s="428" t="s">
        <v>87</v>
      </c>
      <c r="G275" s="428" t="s">
        <v>824</v>
      </c>
      <c r="H275" s="428">
        <v>152</v>
      </c>
      <c r="I275" s="428">
        <v>187</v>
      </c>
      <c r="J275" s="369">
        <v>187</v>
      </c>
      <c r="K275" s="428">
        <v>104</v>
      </c>
      <c r="L275" s="217">
        <v>1250</v>
      </c>
      <c r="M275" s="428" t="s">
        <v>153</v>
      </c>
      <c r="N275" s="428" t="s">
        <v>149</v>
      </c>
      <c r="O275" s="428" t="s">
        <v>154</v>
      </c>
      <c r="P275" s="428" t="s">
        <v>151</v>
      </c>
      <c r="Q275" s="428" t="s">
        <v>155</v>
      </c>
      <c r="R275" s="428" t="s">
        <v>8135</v>
      </c>
      <c r="S275" s="428"/>
      <c r="T275" s="428" t="s">
        <v>2737</v>
      </c>
      <c r="U275" s="428" t="s">
        <v>152</v>
      </c>
      <c r="V275" s="428" t="s">
        <v>18</v>
      </c>
    </row>
    <row r="276" spans="1:22">
      <c r="A276" s="6"/>
      <c r="B276" s="216">
        <v>46241</v>
      </c>
      <c r="C276" s="216">
        <v>46241</v>
      </c>
      <c r="D276" s="428" t="s">
        <v>8136</v>
      </c>
      <c r="E276" s="428">
        <v>260103421979</v>
      </c>
      <c r="F276" s="428" t="s">
        <v>87</v>
      </c>
      <c r="G276" s="428" t="s">
        <v>824</v>
      </c>
      <c r="H276" s="428">
        <v>152</v>
      </c>
      <c r="I276" s="428">
        <v>189</v>
      </c>
      <c r="J276" s="369">
        <v>189</v>
      </c>
      <c r="K276" s="428">
        <v>104</v>
      </c>
      <c r="L276" s="217">
        <v>1250</v>
      </c>
      <c r="M276" s="428" t="s">
        <v>153</v>
      </c>
      <c r="N276" s="428" t="s">
        <v>149</v>
      </c>
      <c r="O276" s="428" t="s">
        <v>154</v>
      </c>
      <c r="P276" s="428" t="s">
        <v>151</v>
      </c>
      <c r="Q276" s="428" t="s">
        <v>155</v>
      </c>
      <c r="R276" s="428" t="s">
        <v>8137</v>
      </c>
      <c r="S276" s="428"/>
      <c r="T276" s="428" t="s">
        <v>2737</v>
      </c>
      <c r="U276" s="428" t="s">
        <v>152</v>
      </c>
      <c r="V276" s="428" t="s">
        <v>18</v>
      </c>
    </row>
    <row r="277" spans="1:22">
      <c r="A277" s="6"/>
      <c r="B277" s="216">
        <v>46241</v>
      </c>
      <c r="C277" s="216">
        <v>46241</v>
      </c>
      <c r="D277" s="428" t="s">
        <v>8138</v>
      </c>
      <c r="E277" s="428">
        <v>260101721987</v>
      </c>
      <c r="F277" s="428" t="s">
        <v>87</v>
      </c>
      <c r="G277" s="428" t="s">
        <v>2303</v>
      </c>
      <c r="H277" s="428">
        <v>92</v>
      </c>
      <c r="I277" s="428">
        <v>240</v>
      </c>
      <c r="J277" s="369">
        <v>240</v>
      </c>
      <c r="K277" s="428">
        <v>134</v>
      </c>
      <c r="L277" s="217">
        <v>995</v>
      </c>
      <c r="M277" s="428" t="s">
        <v>153</v>
      </c>
      <c r="N277" s="428" t="s">
        <v>149</v>
      </c>
      <c r="O277" s="428" t="s">
        <v>154</v>
      </c>
      <c r="P277" s="428" t="s">
        <v>151</v>
      </c>
      <c r="Q277" s="428" t="s">
        <v>155</v>
      </c>
      <c r="R277" s="428" t="s">
        <v>8139</v>
      </c>
      <c r="S277" s="428"/>
      <c r="T277" s="428" t="s">
        <v>2737</v>
      </c>
      <c r="U277" s="428" t="s">
        <v>152</v>
      </c>
      <c r="V277" s="428" t="s">
        <v>18</v>
      </c>
    </row>
    <row r="278" spans="1:22">
      <c r="A278" s="6"/>
      <c r="B278" s="216">
        <v>46241</v>
      </c>
      <c r="C278" s="216">
        <v>46241</v>
      </c>
      <c r="D278" s="428" t="s">
        <v>8140</v>
      </c>
      <c r="E278" s="428">
        <v>260102021988</v>
      </c>
      <c r="F278" s="428" t="s">
        <v>87</v>
      </c>
      <c r="G278" s="428" t="s">
        <v>2303</v>
      </c>
      <c r="H278" s="428">
        <v>92</v>
      </c>
      <c r="I278" s="428">
        <v>281</v>
      </c>
      <c r="J278" s="369">
        <v>281</v>
      </c>
      <c r="K278" s="428">
        <v>134</v>
      </c>
      <c r="L278" s="217">
        <v>1180</v>
      </c>
      <c r="M278" s="428" t="s">
        <v>153</v>
      </c>
      <c r="N278" s="428" t="s">
        <v>149</v>
      </c>
      <c r="O278" s="428" t="s">
        <v>154</v>
      </c>
      <c r="P278" s="428" t="s">
        <v>151</v>
      </c>
      <c r="Q278" s="428" t="s">
        <v>155</v>
      </c>
      <c r="R278" s="428" t="s">
        <v>8141</v>
      </c>
      <c r="S278" s="428"/>
      <c r="T278" s="428" t="s">
        <v>2737</v>
      </c>
      <c r="U278" s="428" t="s">
        <v>152</v>
      </c>
      <c r="V278" s="428" t="s">
        <v>18</v>
      </c>
    </row>
    <row r="279" spans="1:22">
      <c r="A279" s="6"/>
      <c r="B279" s="216">
        <v>46241</v>
      </c>
      <c r="C279" s="216">
        <v>46241</v>
      </c>
      <c r="D279" s="428" t="s">
        <v>8142</v>
      </c>
      <c r="E279" s="428">
        <v>260103821949</v>
      </c>
      <c r="F279" s="428" t="s">
        <v>87</v>
      </c>
      <c r="G279" s="428" t="s">
        <v>824</v>
      </c>
      <c r="H279" s="428">
        <v>152</v>
      </c>
      <c r="I279" s="428">
        <v>236</v>
      </c>
      <c r="J279" s="369">
        <v>236</v>
      </c>
      <c r="K279" s="428">
        <v>104</v>
      </c>
      <c r="L279" s="217">
        <v>1560</v>
      </c>
      <c r="M279" s="428" t="s">
        <v>153</v>
      </c>
      <c r="N279" s="428" t="s">
        <v>149</v>
      </c>
      <c r="O279" s="428" t="s">
        <v>154</v>
      </c>
      <c r="P279" s="428" t="s">
        <v>151</v>
      </c>
      <c r="Q279" s="428" t="s">
        <v>155</v>
      </c>
      <c r="R279" s="428" t="s">
        <v>8143</v>
      </c>
      <c r="S279" s="428"/>
      <c r="T279" s="428" t="s">
        <v>2737</v>
      </c>
      <c r="U279" s="428" t="s">
        <v>152</v>
      </c>
      <c r="V279" s="428" t="s">
        <v>18</v>
      </c>
    </row>
    <row r="280" spans="1:22">
      <c r="A280" s="6"/>
      <c r="B280" s="216">
        <v>46241</v>
      </c>
      <c r="C280" s="216">
        <v>46241</v>
      </c>
      <c r="D280" s="428" t="s">
        <v>8144</v>
      </c>
      <c r="E280" s="428">
        <v>260106921962</v>
      </c>
      <c r="F280" s="428" t="s">
        <v>87</v>
      </c>
      <c r="G280" s="428" t="s">
        <v>7928</v>
      </c>
      <c r="H280" s="428">
        <v>135</v>
      </c>
      <c r="I280" s="428">
        <v>303</v>
      </c>
      <c r="J280" s="369">
        <v>303</v>
      </c>
      <c r="K280" s="428">
        <v>107</v>
      </c>
      <c r="L280" s="217">
        <v>2200</v>
      </c>
      <c r="M280" s="428" t="s">
        <v>153</v>
      </c>
      <c r="N280" s="428" t="s">
        <v>149</v>
      </c>
      <c r="O280" s="428" t="s">
        <v>154</v>
      </c>
      <c r="P280" s="428" t="s">
        <v>151</v>
      </c>
      <c r="Q280" s="428" t="s">
        <v>155</v>
      </c>
      <c r="R280" s="428" t="s">
        <v>8145</v>
      </c>
      <c r="S280" s="428"/>
      <c r="T280" s="428" t="s">
        <v>2737</v>
      </c>
      <c r="U280" s="428" t="s">
        <v>152</v>
      </c>
      <c r="V280" s="428" t="s">
        <v>18</v>
      </c>
    </row>
    <row r="281" spans="1:22">
      <c r="A281" s="6"/>
      <c r="B281" s="216">
        <v>46241</v>
      </c>
      <c r="C281" s="216">
        <v>46241</v>
      </c>
      <c r="D281" s="428" t="s">
        <v>8146</v>
      </c>
      <c r="E281" s="428">
        <v>260105421972</v>
      </c>
      <c r="F281" s="428" t="s">
        <v>87</v>
      </c>
      <c r="G281" s="428" t="s">
        <v>8147</v>
      </c>
      <c r="H281" s="428">
        <v>140</v>
      </c>
      <c r="I281" s="428">
        <v>107</v>
      </c>
      <c r="J281" s="369">
        <v>107</v>
      </c>
      <c r="K281" s="428">
        <v>82</v>
      </c>
      <c r="L281" s="217">
        <v>1000</v>
      </c>
      <c r="M281" s="428" t="s">
        <v>153</v>
      </c>
      <c r="N281" s="428" t="s">
        <v>149</v>
      </c>
      <c r="O281" s="428" t="s">
        <v>154</v>
      </c>
      <c r="P281" s="428" t="s">
        <v>151</v>
      </c>
      <c r="Q281" s="428" t="s">
        <v>155</v>
      </c>
      <c r="R281" s="428" t="s">
        <v>8148</v>
      </c>
      <c r="S281" s="428"/>
      <c r="T281" s="428" t="s">
        <v>2737</v>
      </c>
      <c r="U281" s="428" t="s">
        <v>152</v>
      </c>
      <c r="V281" s="428" t="s">
        <v>18</v>
      </c>
    </row>
    <row r="282" spans="1:22">
      <c r="A282" s="6"/>
      <c r="B282" s="216">
        <v>46241</v>
      </c>
      <c r="C282" s="216">
        <v>46241</v>
      </c>
      <c r="D282" s="428" t="s">
        <v>8149</v>
      </c>
      <c r="E282" s="428">
        <v>260101521982</v>
      </c>
      <c r="F282" s="428" t="s">
        <v>87</v>
      </c>
      <c r="G282" s="428" t="s">
        <v>2419</v>
      </c>
      <c r="H282" s="428">
        <v>92</v>
      </c>
      <c r="I282" s="428">
        <v>333</v>
      </c>
      <c r="J282" s="369">
        <v>333</v>
      </c>
      <c r="K282" s="428">
        <v>180</v>
      </c>
      <c r="L282" s="217">
        <v>1040</v>
      </c>
      <c r="M282" s="428" t="s">
        <v>153</v>
      </c>
      <c r="N282" s="428" t="s">
        <v>149</v>
      </c>
      <c r="O282" s="428" t="s">
        <v>154</v>
      </c>
      <c r="P282" s="428" t="s">
        <v>151</v>
      </c>
      <c r="Q282" s="428" t="s">
        <v>155</v>
      </c>
      <c r="R282" s="428" t="s">
        <v>8150</v>
      </c>
      <c r="S282" s="428"/>
      <c r="T282" s="428" t="s">
        <v>2737</v>
      </c>
      <c r="U282" s="428" t="s">
        <v>152</v>
      </c>
      <c r="V282" s="428" t="s">
        <v>18</v>
      </c>
    </row>
    <row r="283" spans="1:22">
      <c r="A283" s="6"/>
      <c r="B283" s="216">
        <v>46241</v>
      </c>
      <c r="C283" s="216">
        <v>46241</v>
      </c>
      <c r="D283" s="428" t="s">
        <v>8151</v>
      </c>
      <c r="E283" s="428">
        <v>260100721936</v>
      </c>
      <c r="F283" s="428" t="s">
        <v>87</v>
      </c>
      <c r="G283" s="428" t="s">
        <v>7586</v>
      </c>
      <c r="H283" s="428">
        <v>132</v>
      </c>
      <c r="I283" s="428">
        <v>404</v>
      </c>
      <c r="J283" s="369">
        <v>404</v>
      </c>
      <c r="K283" s="428">
        <v>170</v>
      </c>
      <c r="L283" s="217">
        <v>940</v>
      </c>
      <c r="M283" s="428" t="s">
        <v>153</v>
      </c>
      <c r="N283" s="428" t="s">
        <v>149</v>
      </c>
      <c r="O283" s="428" t="s">
        <v>154</v>
      </c>
      <c r="P283" s="428" t="s">
        <v>151</v>
      </c>
      <c r="Q283" s="428" t="s">
        <v>155</v>
      </c>
      <c r="R283" s="428" t="s">
        <v>8152</v>
      </c>
      <c r="S283" s="428"/>
      <c r="T283" s="428" t="s">
        <v>2737</v>
      </c>
      <c r="U283" s="428" t="s">
        <v>152</v>
      </c>
      <c r="V283" s="428" t="s">
        <v>18</v>
      </c>
    </row>
    <row r="284" spans="1:22">
      <c r="A284" s="6"/>
      <c r="B284" s="216">
        <v>46241</v>
      </c>
      <c r="C284" s="216">
        <v>46241</v>
      </c>
      <c r="D284" s="428" t="s">
        <v>8153</v>
      </c>
      <c r="E284" s="428">
        <v>260100421937</v>
      </c>
      <c r="F284" s="428" t="s">
        <v>87</v>
      </c>
      <c r="G284" s="428" t="s">
        <v>2420</v>
      </c>
      <c r="H284" s="428">
        <v>122</v>
      </c>
      <c r="I284" s="428">
        <v>382</v>
      </c>
      <c r="J284" s="369">
        <v>382</v>
      </c>
      <c r="K284" s="428">
        <v>190</v>
      </c>
      <c r="L284" s="217">
        <v>830</v>
      </c>
      <c r="M284" s="428" t="s">
        <v>153</v>
      </c>
      <c r="N284" s="428" t="s">
        <v>149</v>
      </c>
      <c r="O284" s="428" t="s">
        <v>154</v>
      </c>
      <c r="P284" s="428" t="s">
        <v>151</v>
      </c>
      <c r="Q284" s="428" t="s">
        <v>155</v>
      </c>
      <c r="R284" s="428" t="s">
        <v>8154</v>
      </c>
      <c r="S284" s="428"/>
      <c r="T284" s="428" t="s">
        <v>2737</v>
      </c>
      <c r="U284" s="428" t="s">
        <v>152</v>
      </c>
      <c r="V284" s="428" t="s">
        <v>18</v>
      </c>
    </row>
    <row r="285" spans="1:22">
      <c r="A285" s="6"/>
      <c r="B285" s="216">
        <v>46241</v>
      </c>
      <c r="C285" s="216">
        <v>46241</v>
      </c>
      <c r="D285" s="428" t="s">
        <v>8155</v>
      </c>
      <c r="E285" s="428">
        <v>260103321950</v>
      </c>
      <c r="F285" s="428" t="s">
        <v>87</v>
      </c>
      <c r="G285" s="428" t="s">
        <v>2409</v>
      </c>
      <c r="H285" s="428">
        <v>152</v>
      </c>
      <c r="I285" s="428">
        <v>312</v>
      </c>
      <c r="J285" s="369">
        <v>312</v>
      </c>
      <c r="K285" s="428">
        <v>97</v>
      </c>
      <c r="L285" s="217">
        <v>2230</v>
      </c>
      <c r="M285" s="428" t="s">
        <v>153</v>
      </c>
      <c r="N285" s="428" t="s">
        <v>149</v>
      </c>
      <c r="O285" s="428" t="s">
        <v>154</v>
      </c>
      <c r="P285" s="428" t="s">
        <v>151</v>
      </c>
      <c r="Q285" s="428" t="s">
        <v>155</v>
      </c>
      <c r="R285" s="428" t="s">
        <v>8156</v>
      </c>
      <c r="S285" s="428"/>
      <c r="T285" s="428" t="s">
        <v>2737</v>
      </c>
      <c r="U285" s="428" t="s">
        <v>152</v>
      </c>
      <c r="V285" s="428" t="s">
        <v>18</v>
      </c>
    </row>
    <row r="286" spans="1:22">
      <c r="A286" s="6"/>
      <c r="B286" s="216">
        <v>46241</v>
      </c>
      <c r="C286" s="216">
        <v>46241</v>
      </c>
      <c r="D286" s="428" t="s">
        <v>8157</v>
      </c>
      <c r="E286" s="428">
        <v>260105721956</v>
      </c>
      <c r="F286" s="428" t="s">
        <v>87</v>
      </c>
      <c r="G286" s="428" t="s">
        <v>2364</v>
      </c>
      <c r="H286" s="428">
        <v>142</v>
      </c>
      <c r="I286" s="428">
        <v>159</v>
      </c>
      <c r="J286" s="369">
        <v>159</v>
      </c>
      <c r="K286" s="428">
        <v>67</v>
      </c>
      <c r="L286" s="217">
        <v>1700</v>
      </c>
      <c r="M286" s="428" t="s">
        <v>153</v>
      </c>
      <c r="N286" s="428" t="s">
        <v>149</v>
      </c>
      <c r="O286" s="428" t="s">
        <v>154</v>
      </c>
      <c r="P286" s="428" t="s">
        <v>151</v>
      </c>
      <c r="Q286" s="428" t="s">
        <v>155</v>
      </c>
      <c r="R286" s="428" t="s">
        <v>8158</v>
      </c>
      <c r="S286" s="428"/>
      <c r="T286" s="428" t="s">
        <v>2737</v>
      </c>
      <c r="U286" s="428" t="s">
        <v>152</v>
      </c>
      <c r="V286" s="428" t="s">
        <v>18</v>
      </c>
    </row>
    <row r="287" spans="1:22">
      <c r="A287" s="6"/>
      <c r="B287" s="216">
        <v>46241</v>
      </c>
      <c r="C287" s="216">
        <v>46241</v>
      </c>
      <c r="D287" s="428" t="s">
        <v>8159</v>
      </c>
      <c r="E287" s="428">
        <v>260105821959</v>
      </c>
      <c r="F287" s="428" t="s">
        <v>87</v>
      </c>
      <c r="G287" s="428" t="s">
        <v>824</v>
      </c>
      <c r="H287" s="428">
        <v>152</v>
      </c>
      <c r="I287" s="428">
        <v>224</v>
      </c>
      <c r="J287" s="369">
        <v>224</v>
      </c>
      <c r="K287" s="428">
        <v>104</v>
      </c>
      <c r="L287" s="217">
        <v>1480</v>
      </c>
      <c r="M287" s="428" t="s">
        <v>153</v>
      </c>
      <c r="N287" s="428" t="s">
        <v>149</v>
      </c>
      <c r="O287" s="428" t="s">
        <v>154</v>
      </c>
      <c r="P287" s="428" t="s">
        <v>151</v>
      </c>
      <c r="Q287" s="428" t="s">
        <v>155</v>
      </c>
      <c r="R287" s="428" t="s">
        <v>8160</v>
      </c>
      <c r="S287" s="428"/>
      <c r="T287" s="428" t="s">
        <v>2737</v>
      </c>
      <c r="U287" s="428" t="s">
        <v>152</v>
      </c>
      <c r="V287" s="428" t="s">
        <v>18</v>
      </c>
    </row>
    <row r="288" spans="1:22">
      <c r="A288" s="6"/>
      <c r="B288" s="216">
        <v>46241</v>
      </c>
      <c r="C288" s="216">
        <v>46241</v>
      </c>
      <c r="D288" s="428" t="s">
        <v>8161</v>
      </c>
      <c r="E288" s="428">
        <v>260102821984</v>
      </c>
      <c r="F288" s="428" t="s">
        <v>87</v>
      </c>
      <c r="G288" s="428" t="s">
        <v>8032</v>
      </c>
      <c r="H288" s="428">
        <v>102</v>
      </c>
      <c r="I288" s="428">
        <v>252</v>
      </c>
      <c r="J288" s="369">
        <v>252</v>
      </c>
      <c r="K288" s="428">
        <v>130</v>
      </c>
      <c r="L288" s="217">
        <v>1000</v>
      </c>
      <c r="M288" s="428" t="s">
        <v>153</v>
      </c>
      <c r="N288" s="428" t="s">
        <v>149</v>
      </c>
      <c r="O288" s="428" t="s">
        <v>154</v>
      </c>
      <c r="P288" s="428" t="s">
        <v>151</v>
      </c>
      <c r="Q288" s="428" t="s">
        <v>155</v>
      </c>
      <c r="R288" s="428" t="s">
        <v>8162</v>
      </c>
      <c r="S288" s="428"/>
      <c r="T288" s="428" t="s">
        <v>2737</v>
      </c>
      <c r="U288" s="428" t="s">
        <v>152</v>
      </c>
      <c r="V288" s="428" t="s">
        <v>18</v>
      </c>
    </row>
    <row r="289" spans="1:22">
      <c r="A289" s="6"/>
      <c r="B289" s="216">
        <v>46241</v>
      </c>
      <c r="C289" s="216">
        <v>46241</v>
      </c>
      <c r="D289" s="428" t="s">
        <v>8163</v>
      </c>
      <c r="E289" s="428">
        <v>260102921944</v>
      </c>
      <c r="F289" s="428" t="s">
        <v>87</v>
      </c>
      <c r="G289" s="428" t="s">
        <v>824</v>
      </c>
      <c r="H289" s="428">
        <v>152</v>
      </c>
      <c r="I289" s="428">
        <v>226</v>
      </c>
      <c r="J289" s="369">
        <v>226</v>
      </c>
      <c r="K289" s="428">
        <v>104</v>
      </c>
      <c r="L289" s="217">
        <v>1500</v>
      </c>
      <c r="M289" s="428" t="s">
        <v>153</v>
      </c>
      <c r="N289" s="428" t="s">
        <v>149</v>
      </c>
      <c r="O289" s="428" t="s">
        <v>154</v>
      </c>
      <c r="P289" s="428" t="s">
        <v>151</v>
      </c>
      <c r="Q289" s="428" t="s">
        <v>155</v>
      </c>
      <c r="R289" s="428" t="s">
        <v>8164</v>
      </c>
      <c r="S289" s="428"/>
      <c r="T289" s="428" t="s">
        <v>2737</v>
      </c>
      <c r="U289" s="428" t="s">
        <v>152</v>
      </c>
      <c r="V289" s="428" t="s">
        <v>18</v>
      </c>
    </row>
    <row r="290" spans="1:22">
      <c r="A290" s="6"/>
      <c r="B290" s="216">
        <v>46241</v>
      </c>
      <c r="C290" s="216">
        <v>46241</v>
      </c>
      <c r="D290" s="428" t="s">
        <v>8165</v>
      </c>
      <c r="E290" s="428">
        <v>260105521971</v>
      </c>
      <c r="F290" s="428" t="s">
        <v>87</v>
      </c>
      <c r="G290" s="428" t="s">
        <v>2411</v>
      </c>
      <c r="H290" s="428">
        <v>162</v>
      </c>
      <c r="I290" s="428">
        <v>376</v>
      </c>
      <c r="J290" s="369">
        <v>376</v>
      </c>
      <c r="K290" s="428">
        <v>105</v>
      </c>
      <c r="L290" s="217">
        <v>2320</v>
      </c>
      <c r="M290" s="428" t="s">
        <v>153</v>
      </c>
      <c r="N290" s="428" t="s">
        <v>149</v>
      </c>
      <c r="O290" s="428" t="s">
        <v>154</v>
      </c>
      <c r="P290" s="428" t="s">
        <v>151</v>
      </c>
      <c r="Q290" s="428" t="s">
        <v>155</v>
      </c>
      <c r="R290" s="428" t="s">
        <v>8166</v>
      </c>
      <c r="S290" s="428"/>
      <c r="T290" s="428" t="s">
        <v>2737</v>
      </c>
      <c r="U290" s="428" t="s">
        <v>152</v>
      </c>
      <c r="V290" s="428" t="s">
        <v>18</v>
      </c>
    </row>
    <row r="291" spans="1:22">
      <c r="A291" s="6"/>
      <c r="B291" s="216">
        <v>46241</v>
      </c>
      <c r="C291" s="216">
        <v>46241</v>
      </c>
      <c r="D291" s="428" t="s">
        <v>8167</v>
      </c>
      <c r="E291" s="428">
        <v>260105321973</v>
      </c>
      <c r="F291" s="428" t="s">
        <v>87</v>
      </c>
      <c r="G291" s="428" t="s">
        <v>824</v>
      </c>
      <c r="H291" s="428">
        <v>152</v>
      </c>
      <c r="I291" s="428">
        <v>237</v>
      </c>
      <c r="J291" s="369">
        <v>237</v>
      </c>
      <c r="K291" s="428">
        <v>104</v>
      </c>
      <c r="L291" s="217">
        <v>1560</v>
      </c>
      <c r="M291" s="428" t="s">
        <v>153</v>
      </c>
      <c r="N291" s="428" t="s">
        <v>149</v>
      </c>
      <c r="O291" s="428" t="s">
        <v>154</v>
      </c>
      <c r="P291" s="428" t="s">
        <v>151</v>
      </c>
      <c r="Q291" s="428" t="s">
        <v>155</v>
      </c>
      <c r="R291" s="428" t="s">
        <v>8168</v>
      </c>
      <c r="S291" s="428"/>
      <c r="T291" s="428" t="s">
        <v>2737</v>
      </c>
      <c r="U291" s="428" t="s">
        <v>152</v>
      </c>
      <c r="V291" s="428" t="s">
        <v>18</v>
      </c>
    </row>
    <row r="292" spans="1:22">
      <c r="A292" s="6"/>
      <c r="B292" s="216">
        <v>46241</v>
      </c>
      <c r="C292" s="216">
        <v>46241</v>
      </c>
      <c r="D292" s="428" t="s">
        <v>8169</v>
      </c>
      <c r="E292" s="428">
        <v>260105021957</v>
      </c>
      <c r="F292" s="428" t="s">
        <v>87</v>
      </c>
      <c r="G292" s="428" t="s">
        <v>2407</v>
      </c>
      <c r="H292" s="428">
        <v>160</v>
      </c>
      <c r="I292" s="428">
        <v>260</v>
      </c>
      <c r="J292" s="369">
        <v>260</v>
      </c>
      <c r="K292" s="428">
        <v>102</v>
      </c>
      <c r="L292" s="217">
        <v>1660</v>
      </c>
      <c r="M292" s="428" t="s">
        <v>153</v>
      </c>
      <c r="N292" s="428" t="s">
        <v>149</v>
      </c>
      <c r="O292" s="428" t="s">
        <v>154</v>
      </c>
      <c r="P292" s="428" t="s">
        <v>151</v>
      </c>
      <c r="Q292" s="428" t="s">
        <v>155</v>
      </c>
      <c r="R292" s="428" t="s">
        <v>8170</v>
      </c>
      <c r="S292" s="428"/>
      <c r="T292" s="428" t="s">
        <v>2737</v>
      </c>
      <c r="U292" s="428" t="s">
        <v>152</v>
      </c>
      <c r="V292" s="428" t="s">
        <v>18</v>
      </c>
    </row>
    <row r="293" spans="1:22">
      <c r="A293" s="6"/>
      <c r="B293" s="216">
        <v>46241</v>
      </c>
      <c r="C293" s="216">
        <v>46241</v>
      </c>
      <c r="D293" s="428" t="s">
        <v>8171</v>
      </c>
      <c r="E293" s="428">
        <v>260104621967</v>
      </c>
      <c r="F293" s="428" t="s">
        <v>87</v>
      </c>
      <c r="G293" s="428" t="s">
        <v>824</v>
      </c>
      <c r="H293" s="428">
        <v>152</v>
      </c>
      <c r="I293" s="428">
        <v>263</v>
      </c>
      <c r="J293" s="369">
        <v>263</v>
      </c>
      <c r="K293" s="428">
        <v>104</v>
      </c>
      <c r="L293" s="217">
        <v>1760</v>
      </c>
      <c r="M293" s="428" t="s">
        <v>153</v>
      </c>
      <c r="N293" s="428" t="s">
        <v>149</v>
      </c>
      <c r="O293" s="428" t="s">
        <v>154</v>
      </c>
      <c r="P293" s="428" t="s">
        <v>151</v>
      </c>
      <c r="Q293" s="428" t="s">
        <v>155</v>
      </c>
      <c r="R293" s="428" t="s">
        <v>8172</v>
      </c>
      <c r="S293" s="428"/>
      <c r="T293" s="428" t="s">
        <v>2737</v>
      </c>
      <c r="U293" s="428" t="s">
        <v>152</v>
      </c>
      <c r="V293" s="428" t="s">
        <v>18</v>
      </c>
    </row>
    <row r="294" spans="1:22">
      <c r="A294" s="6"/>
      <c r="B294" s="216">
        <v>46241</v>
      </c>
      <c r="C294" s="216">
        <v>46241</v>
      </c>
      <c r="D294" s="428" t="s">
        <v>8173</v>
      </c>
      <c r="E294" s="428">
        <v>260100421993</v>
      </c>
      <c r="F294" s="428" t="s">
        <v>87</v>
      </c>
      <c r="G294" s="428" t="s">
        <v>2420</v>
      </c>
      <c r="H294" s="428">
        <v>122</v>
      </c>
      <c r="I294" s="428">
        <v>373</v>
      </c>
      <c r="J294" s="369">
        <v>373</v>
      </c>
      <c r="K294" s="428">
        <v>190</v>
      </c>
      <c r="L294" s="217">
        <v>800</v>
      </c>
      <c r="M294" s="428" t="s">
        <v>153</v>
      </c>
      <c r="N294" s="428" t="s">
        <v>149</v>
      </c>
      <c r="O294" s="428" t="s">
        <v>154</v>
      </c>
      <c r="P294" s="428" t="s">
        <v>151</v>
      </c>
      <c r="Q294" s="428" t="s">
        <v>155</v>
      </c>
      <c r="R294" s="428" t="s">
        <v>8174</v>
      </c>
      <c r="S294" s="428"/>
      <c r="T294" s="428" t="s">
        <v>2737</v>
      </c>
      <c r="U294" s="428" t="s">
        <v>152</v>
      </c>
      <c r="V294" s="428" t="s">
        <v>18</v>
      </c>
    </row>
    <row r="295" spans="1:22">
      <c r="A295" s="6"/>
      <c r="B295" s="216">
        <v>46241</v>
      </c>
      <c r="C295" s="216">
        <v>46241</v>
      </c>
      <c r="D295" s="428" t="s">
        <v>8175</v>
      </c>
      <c r="E295" s="428">
        <v>260100721994</v>
      </c>
      <c r="F295" s="428" t="s">
        <v>87</v>
      </c>
      <c r="G295" s="428" t="s">
        <v>7586</v>
      </c>
      <c r="H295" s="428">
        <v>132</v>
      </c>
      <c r="I295" s="428">
        <v>305</v>
      </c>
      <c r="J295" s="369">
        <v>305</v>
      </c>
      <c r="K295" s="428">
        <v>170</v>
      </c>
      <c r="L295" s="217">
        <v>700</v>
      </c>
      <c r="M295" s="428" t="s">
        <v>153</v>
      </c>
      <c r="N295" s="428" t="s">
        <v>149</v>
      </c>
      <c r="O295" s="428" t="s">
        <v>154</v>
      </c>
      <c r="P295" s="428" t="s">
        <v>151</v>
      </c>
      <c r="Q295" s="428" t="s">
        <v>155</v>
      </c>
      <c r="R295" s="428" t="s">
        <v>8176</v>
      </c>
      <c r="S295" s="428"/>
      <c r="T295" s="428" t="s">
        <v>2737</v>
      </c>
      <c r="U295" s="428" t="s">
        <v>152</v>
      </c>
      <c r="V295" s="428" t="s">
        <v>18</v>
      </c>
    </row>
    <row r="296" spans="1:22">
      <c r="A296" s="6"/>
      <c r="B296" s="216">
        <v>46241</v>
      </c>
      <c r="C296" s="216">
        <v>46241</v>
      </c>
      <c r="D296" s="428" t="s">
        <v>8177</v>
      </c>
      <c r="E296" s="428">
        <v>260101721941</v>
      </c>
      <c r="F296" s="428" t="s">
        <v>87</v>
      </c>
      <c r="G296" s="428" t="s">
        <v>2303</v>
      </c>
      <c r="H296" s="428">
        <v>92</v>
      </c>
      <c r="I296" s="428">
        <v>243</v>
      </c>
      <c r="J296" s="369">
        <v>243</v>
      </c>
      <c r="K296" s="428">
        <v>134</v>
      </c>
      <c r="L296" s="217">
        <v>1015</v>
      </c>
      <c r="M296" s="428" t="s">
        <v>153</v>
      </c>
      <c r="N296" s="428" t="s">
        <v>149</v>
      </c>
      <c r="O296" s="428" t="s">
        <v>154</v>
      </c>
      <c r="P296" s="428" t="s">
        <v>151</v>
      </c>
      <c r="Q296" s="428" t="s">
        <v>155</v>
      </c>
      <c r="R296" s="428" t="s">
        <v>8178</v>
      </c>
      <c r="S296" s="428"/>
      <c r="T296" s="428" t="s">
        <v>2737</v>
      </c>
      <c r="U296" s="428" t="s">
        <v>152</v>
      </c>
      <c r="V296" s="428" t="s">
        <v>18</v>
      </c>
    </row>
    <row r="297" spans="1:22">
      <c r="A297" s="6"/>
      <c r="B297" s="216">
        <v>46241</v>
      </c>
      <c r="C297" s="216">
        <v>46241</v>
      </c>
      <c r="D297" s="428" t="s">
        <v>8179</v>
      </c>
      <c r="E297" s="428">
        <v>260103821948</v>
      </c>
      <c r="F297" s="428" t="s">
        <v>87</v>
      </c>
      <c r="G297" s="428" t="s">
        <v>824</v>
      </c>
      <c r="H297" s="428">
        <v>152</v>
      </c>
      <c r="I297" s="428">
        <v>234</v>
      </c>
      <c r="J297" s="369">
        <v>234</v>
      </c>
      <c r="K297" s="428">
        <v>104</v>
      </c>
      <c r="L297" s="217">
        <v>1560</v>
      </c>
      <c r="M297" s="428" t="s">
        <v>153</v>
      </c>
      <c r="N297" s="428" t="s">
        <v>149</v>
      </c>
      <c r="O297" s="428" t="s">
        <v>154</v>
      </c>
      <c r="P297" s="428" t="s">
        <v>151</v>
      </c>
      <c r="Q297" s="428" t="s">
        <v>155</v>
      </c>
      <c r="R297" s="428" t="s">
        <v>8180</v>
      </c>
      <c r="S297" s="428"/>
      <c r="T297" s="428" t="s">
        <v>2737</v>
      </c>
      <c r="U297" s="428" t="s">
        <v>152</v>
      </c>
      <c r="V297" s="428" t="s">
        <v>18</v>
      </c>
    </row>
    <row r="298" spans="1:22">
      <c r="A298" s="6"/>
      <c r="B298" s="216">
        <v>46241</v>
      </c>
      <c r="C298" s="216">
        <v>46241</v>
      </c>
      <c r="D298" s="428" t="s">
        <v>8181</v>
      </c>
      <c r="E298" s="428">
        <v>260105421954</v>
      </c>
      <c r="F298" s="428" t="s">
        <v>87</v>
      </c>
      <c r="G298" s="428" t="s">
        <v>8147</v>
      </c>
      <c r="H298" s="428">
        <v>140</v>
      </c>
      <c r="I298" s="428">
        <v>338</v>
      </c>
      <c r="J298" s="369">
        <v>338</v>
      </c>
      <c r="K298" s="428">
        <v>82</v>
      </c>
      <c r="L298" s="217">
        <v>3000</v>
      </c>
      <c r="M298" s="428" t="s">
        <v>153</v>
      </c>
      <c r="N298" s="428" t="s">
        <v>149</v>
      </c>
      <c r="O298" s="428" t="s">
        <v>154</v>
      </c>
      <c r="P298" s="428" t="s">
        <v>151</v>
      </c>
      <c r="Q298" s="428" t="s">
        <v>155</v>
      </c>
      <c r="R298" s="428" t="s">
        <v>8182</v>
      </c>
      <c r="S298" s="428"/>
      <c r="T298" s="428" t="s">
        <v>2737</v>
      </c>
      <c r="U298" s="428" t="s">
        <v>152</v>
      </c>
      <c r="V298" s="428" t="s">
        <v>18</v>
      </c>
    </row>
    <row r="299" spans="1:22">
      <c r="A299" s="6"/>
      <c r="B299" s="216">
        <v>46241</v>
      </c>
      <c r="C299" s="216">
        <v>46241</v>
      </c>
      <c r="D299" s="428" t="s">
        <v>8183</v>
      </c>
      <c r="E299" s="428">
        <v>260105521871</v>
      </c>
      <c r="F299" s="428" t="s">
        <v>87</v>
      </c>
      <c r="G299" s="428" t="s">
        <v>2411</v>
      </c>
      <c r="H299" s="428">
        <v>162</v>
      </c>
      <c r="I299" s="428">
        <v>449</v>
      </c>
      <c r="J299" s="369">
        <v>449</v>
      </c>
      <c r="K299" s="428">
        <v>105</v>
      </c>
      <c r="L299" s="217">
        <v>2760</v>
      </c>
      <c r="M299" s="428" t="s">
        <v>153</v>
      </c>
      <c r="N299" s="428" t="s">
        <v>149</v>
      </c>
      <c r="O299" s="428" t="s">
        <v>154</v>
      </c>
      <c r="P299" s="428" t="s">
        <v>151</v>
      </c>
      <c r="Q299" s="428" t="s">
        <v>155</v>
      </c>
      <c r="R299" s="428" t="s">
        <v>8184</v>
      </c>
      <c r="S299" s="428"/>
      <c r="T299" s="428" t="s">
        <v>2741</v>
      </c>
      <c r="U299" s="428" t="s">
        <v>152</v>
      </c>
      <c r="V299" s="428" t="s">
        <v>18</v>
      </c>
    </row>
    <row r="300" spans="1:22">
      <c r="A300" s="6"/>
      <c r="B300" s="216">
        <v>46241</v>
      </c>
      <c r="C300" s="216">
        <v>46241</v>
      </c>
      <c r="D300" s="428" t="s">
        <v>8185</v>
      </c>
      <c r="E300" s="428">
        <v>260103921947</v>
      </c>
      <c r="F300" s="428" t="s">
        <v>87</v>
      </c>
      <c r="G300" s="428" t="s">
        <v>2309</v>
      </c>
      <c r="H300" s="428">
        <v>135</v>
      </c>
      <c r="I300" s="428">
        <v>169</v>
      </c>
      <c r="J300" s="369">
        <v>169</v>
      </c>
      <c r="K300" s="428">
        <v>92</v>
      </c>
      <c r="L300" s="217">
        <v>1400</v>
      </c>
      <c r="M300" s="428" t="s">
        <v>153</v>
      </c>
      <c r="N300" s="428" t="s">
        <v>149</v>
      </c>
      <c r="O300" s="428" t="s">
        <v>154</v>
      </c>
      <c r="P300" s="428" t="s">
        <v>151</v>
      </c>
      <c r="Q300" s="428" t="s">
        <v>155</v>
      </c>
      <c r="R300" s="428" t="s">
        <v>8186</v>
      </c>
      <c r="S300" s="428"/>
      <c r="T300" s="428" t="s">
        <v>2741</v>
      </c>
      <c r="U300" s="428" t="s">
        <v>152</v>
      </c>
      <c r="V300" s="428" t="s">
        <v>18</v>
      </c>
    </row>
    <row r="301" spans="1:22">
      <c r="A301" s="6"/>
      <c r="B301" s="216">
        <v>46241</v>
      </c>
      <c r="C301" s="216">
        <v>46241</v>
      </c>
      <c r="D301" s="428" t="s">
        <v>8187</v>
      </c>
      <c r="E301" s="428">
        <v>260102621985</v>
      </c>
      <c r="F301" s="428" t="s">
        <v>87</v>
      </c>
      <c r="G301" s="428" t="s">
        <v>8032</v>
      </c>
      <c r="H301" s="428">
        <v>102</v>
      </c>
      <c r="I301" s="428">
        <v>263</v>
      </c>
      <c r="J301" s="369">
        <v>263</v>
      </c>
      <c r="K301" s="428">
        <v>130</v>
      </c>
      <c r="L301" s="217">
        <v>1020</v>
      </c>
      <c r="M301" s="428" t="s">
        <v>153</v>
      </c>
      <c r="N301" s="428" t="s">
        <v>149</v>
      </c>
      <c r="O301" s="428" t="s">
        <v>154</v>
      </c>
      <c r="P301" s="428" t="s">
        <v>151</v>
      </c>
      <c r="Q301" s="428" t="s">
        <v>155</v>
      </c>
      <c r="R301" s="428" t="s">
        <v>8188</v>
      </c>
      <c r="S301" s="428"/>
      <c r="T301" s="428" t="s">
        <v>2741</v>
      </c>
      <c r="U301" s="428" t="s">
        <v>152</v>
      </c>
      <c r="V301" s="428" t="s">
        <v>18</v>
      </c>
    </row>
    <row r="302" spans="1:22">
      <c r="A302" s="6"/>
      <c r="B302" s="216">
        <v>46241</v>
      </c>
      <c r="C302" s="216">
        <v>46241</v>
      </c>
      <c r="D302" s="428" t="s">
        <v>8189</v>
      </c>
      <c r="E302" s="428">
        <v>260101921989</v>
      </c>
      <c r="F302" s="428" t="s">
        <v>87</v>
      </c>
      <c r="G302" s="428" t="s">
        <v>2303</v>
      </c>
      <c r="H302" s="428">
        <v>92</v>
      </c>
      <c r="I302" s="428">
        <v>280</v>
      </c>
      <c r="J302" s="369">
        <v>280</v>
      </c>
      <c r="K302" s="428">
        <v>134</v>
      </c>
      <c r="L302" s="217">
        <v>1160</v>
      </c>
      <c r="M302" s="428" t="s">
        <v>153</v>
      </c>
      <c r="N302" s="428" t="s">
        <v>149</v>
      </c>
      <c r="O302" s="428" t="s">
        <v>154</v>
      </c>
      <c r="P302" s="428" t="s">
        <v>151</v>
      </c>
      <c r="Q302" s="428" t="s">
        <v>155</v>
      </c>
      <c r="R302" s="428" t="s">
        <v>8190</v>
      </c>
      <c r="S302" s="428"/>
      <c r="T302" s="428" t="s">
        <v>2741</v>
      </c>
      <c r="U302" s="428" t="s">
        <v>152</v>
      </c>
      <c r="V302" s="428" t="s">
        <v>18</v>
      </c>
    </row>
    <row r="303" spans="1:22">
      <c r="A303" s="6"/>
      <c r="B303" s="216">
        <v>46241</v>
      </c>
      <c r="C303" s="216">
        <v>46241</v>
      </c>
      <c r="D303" s="428" t="s">
        <v>8191</v>
      </c>
      <c r="E303" s="428">
        <v>260101821942</v>
      </c>
      <c r="F303" s="428" t="s">
        <v>87</v>
      </c>
      <c r="G303" s="428" t="s">
        <v>7909</v>
      </c>
      <c r="H303" s="428">
        <v>105</v>
      </c>
      <c r="I303" s="428">
        <v>277</v>
      </c>
      <c r="J303" s="369">
        <v>277</v>
      </c>
      <c r="K303" s="428">
        <v>134</v>
      </c>
      <c r="L303" s="217">
        <v>1020</v>
      </c>
      <c r="M303" s="428" t="s">
        <v>153</v>
      </c>
      <c r="N303" s="428" t="s">
        <v>149</v>
      </c>
      <c r="O303" s="428" t="s">
        <v>154</v>
      </c>
      <c r="P303" s="428" t="s">
        <v>151</v>
      </c>
      <c r="Q303" s="428" t="s">
        <v>155</v>
      </c>
      <c r="R303" s="428" t="s">
        <v>8192</v>
      </c>
      <c r="S303" s="428"/>
      <c r="T303" s="428" t="s">
        <v>2741</v>
      </c>
      <c r="U303" s="428" t="s">
        <v>152</v>
      </c>
      <c r="V303" s="428" t="s">
        <v>18</v>
      </c>
    </row>
    <row r="304" spans="1:22">
      <c r="A304" s="6"/>
      <c r="B304" s="216">
        <v>46241</v>
      </c>
      <c r="C304" s="216">
        <v>46241</v>
      </c>
      <c r="D304" s="428" t="s">
        <v>8193</v>
      </c>
      <c r="E304" s="428">
        <v>260107921819</v>
      </c>
      <c r="F304" s="428" t="s">
        <v>87</v>
      </c>
      <c r="G304" s="428" t="s">
        <v>2413</v>
      </c>
      <c r="H304" s="428">
        <v>132</v>
      </c>
      <c r="I304" s="428">
        <v>276</v>
      </c>
      <c r="J304" s="369">
        <v>276</v>
      </c>
      <c r="K304" s="428">
        <v>92</v>
      </c>
      <c r="L304" s="217">
        <v>2380</v>
      </c>
      <c r="M304" s="428" t="s">
        <v>153</v>
      </c>
      <c r="N304" s="428" t="s">
        <v>149</v>
      </c>
      <c r="O304" s="428" t="s">
        <v>154</v>
      </c>
      <c r="P304" s="428" t="s">
        <v>151</v>
      </c>
      <c r="Q304" s="428" t="s">
        <v>155</v>
      </c>
      <c r="R304" s="428" t="s">
        <v>8194</v>
      </c>
      <c r="S304" s="428"/>
      <c r="T304" s="428" t="s">
        <v>2741</v>
      </c>
      <c r="U304" s="428" t="s">
        <v>152</v>
      </c>
      <c r="V304" s="428" t="s">
        <v>18</v>
      </c>
    </row>
    <row r="305" spans="1:22">
      <c r="A305" s="6"/>
      <c r="B305" s="216">
        <v>46241</v>
      </c>
      <c r="C305" s="216">
        <v>46241</v>
      </c>
      <c r="D305" s="428" t="s">
        <v>8195</v>
      </c>
      <c r="E305" s="428">
        <v>260102721983</v>
      </c>
      <c r="F305" s="428" t="s">
        <v>87</v>
      </c>
      <c r="G305" s="428" t="s">
        <v>8032</v>
      </c>
      <c r="H305" s="428">
        <v>102</v>
      </c>
      <c r="I305" s="428">
        <v>251</v>
      </c>
      <c r="J305" s="369">
        <v>251</v>
      </c>
      <c r="K305" s="428">
        <v>130</v>
      </c>
      <c r="L305" s="217">
        <v>1000</v>
      </c>
      <c r="M305" s="428" t="s">
        <v>153</v>
      </c>
      <c r="N305" s="428" t="s">
        <v>149</v>
      </c>
      <c r="O305" s="428" t="s">
        <v>154</v>
      </c>
      <c r="P305" s="428" t="s">
        <v>151</v>
      </c>
      <c r="Q305" s="428" t="s">
        <v>155</v>
      </c>
      <c r="R305" s="428" t="s">
        <v>8196</v>
      </c>
      <c r="S305" s="428"/>
      <c r="T305" s="428" t="s">
        <v>2741</v>
      </c>
      <c r="U305" s="428" t="s">
        <v>152</v>
      </c>
      <c r="V305" s="428" t="s">
        <v>18</v>
      </c>
    </row>
    <row r="306" spans="1:22">
      <c r="A306" s="6"/>
      <c r="B306" s="216">
        <v>46241</v>
      </c>
      <c r="C306" s="216">
        <v>46241</v>
      </c>
      <c r="D306" s="428" t="s">
        <v>8197</v>
      </c>
      <c r="E306" s="428">
        <v>260107121964</v>
      </c>
      <c r="F306" s="428" t="s">
        <v>87</v>
      </c>
      <c r="G306" s="428" t="s">
        <v>8198</v>
      </c>
      <c r="H306" s="428">
        <v>140</v>
      </c>
      <c r="I306" s="428">
        <v>330</v>
      </c>
      <c r="J306" s="369">
        <v>330</v>
      </c>
      <c r="K306" s="428">
        <v>95</v>
      </c>
      <c r="L306" s="217">
        <v>2560</v>
      </c>
      <c r="M306" s="428" t="s">
        <v>153</v>
      </c>
      <c r="N306" s="428" t="s">
        <v>149</v>
      </c>
      <c r="O306" s="428" t="s">
        <v>154</v>
      </c>
      <c r="P306" s="428" t="s">
        <v>151</v>
      </c>
      <c r="Q306" s="428" t="s">
        <v>155</v>
      </c>
      <c r="R306" s="428" t="s">
        <v>8199</v>
      </c>
      <c r="S306" s="428"/>
      <c r="T306" s="428" t="s">
        <v>2741</v>
      </c>
      <c r="U306" s="428" t="s">
        <v>152</v>
      </c>
      <c r="V306" s="428" t="s">
        <v>18</v>
      </c>
    </row>
    <row r="307" spans="1:22">
      <c r="A307" s="6"/>
      <c r="B307" s="216">
        <v>46241</v>
      </c>
      <c r="C307" s="216">
        <v>46241</v>
      </c>
      <c r="D307" s="428" t="s">
        <v>8200</v>
      </c>
      <c r="E307" s="428">
        <v>260107921732</v>
      </c>
      <c r="F307" s="428" t="s">
        <v>87</v>
      </c>
      <c r="G307" s="428" t="s">
        <v>2413</v>
      </c>
      <c r="H307" s="428">
        <v>132</v>
      </c>
      <c r="I307" s="428">
        <v>303</v>
      </c>
      <c r="J307" s="369">
        <v>303</v>
      </c>
      <c r="K307" s="428">
        <v>92</v>
      </c>
      <c r="L307" s="217">
        <v>2590</v>
      </c>
      <c r="M307" s="428" t="s">
        <v>153</v>
      </c>
      <c r="N307" s="428" t="s">
        <v>149</v>
      </c>
      <c r="O307" s="428" t="s">
        <v>154</v>
      </c>
      <c r="P307" s="428" t="s">
        <v>151</v>
      </c>
      <c r="Q307" s="428" t="s">
        <v>155</v>
      </c>
      <c r="R307" s="428" t="s">
        <v>8201</v>
      </c>
      <c r="S307" s="428"/>
      <c r="T307" s="428" t="s">
        <v>2741</v>
      </c>
      <c r="U307" s="428" t="s">
        <v>152</v>
      </c>
      <c r="V307" s="428" t="s">
        <v>18</v>
      </c>
    </row>
    <row r="308" spans="1:22">
      <c r="A308" s="6"/>
      <c r="B308" s="216">
        <v>46241</v>
      </c>
      <c r="C308" s="216">
        <v>46241</v>
      </c>
      <c r="D308" s="428" t="s">
        <v>8202</v>
      </c>
      <c r="E308" s="428">
        <v>260101821986</v>
      </c>
      <c r="F308" s="428" t="s">
        <v>87</v>
      </c>
      <c r="G308" s="428" t="s">
        <v>7909</v>
      </c>
      <c r="H308" s="428">
        <v>105</v>
      </c>
      <c r="I308" s="428">
        <v>275</v>
      </c>
      <c r="J308" s="369">
        <v>275</v>
      </c>
      <c r="K308" s="428">
        <v>134</v>
      </c>
      <c r="L308" s="217">
        <v>1000</v>
      </c>
      <c r="M308" s="428" t="s">
        <v>153</v>
      </c>
      <c r="N308" s="428" t="s">
        <v>149</v>
      </c>
      <c r="O308" s="428" t="s">
        <v>154</v>
      </c>
      <c r="P308" s="428" t="s">
        <v>151</v>
      </c>
      <c r="Q308" s="428" t="s">
        <v>155</v>
      </c>
      <c r="R308" s="428" t="s">
        <v>8203</v>
      </c>
      <c r="S308" s="428"/>
      <c r="T308" s="428" t="s">
        <v>2741</v>
      </c>
      <c r="U308" s="428" t="s">
        <v>152</v>
      </c>
      <c r="V308" s="428" t="s">
        <v>18</v>
      </c>
    </row>
    <row r="309" spans="1:22">
      <c r="A309" s="6"/>
      <c r="B309" s="216">
        <v>46241</v>
      </c>
      <c r="C309" s="216">
        <v>46241</v>
      </c>
      <c r="D309" s="428" t="s">
        <v>8204</v>
      </c>
      <c r="E309" s="428" t="s">
        <v>8205</v>
      </c>
      <c r="F309" s="428" t="s">
        <v>87</v>
      </c>
      <c r="G309" s="428" t="s">
        <v>8206</v>
      </c>
      <c r="H309" s="428" t="s">
        <v>2416</v>
      </c>
      <c r="I309" s="428">
        <v>449</v>
      </c>
      <c r="J309" s="369">
        <v>449</v>
      </c>
      <c r="K309" s="428">
        <v>70</v>
      </c>
      <c r="L309" s="217">
        <v>6360</v>
      </c>
      <c r="M309" s="428" t="s">
        <v>153</v>
      </c>
      <c r="N309" s="428" t="s">
        <v>149</v>
      </c>
      <c r="O309" s="428" t="s">
        <v>154</v>
      </c>
      <c r="P309" s="428" t="s">
        <v>151</v>
      </c>
      <c r="Q309" s="428" t="s">
        <v>156</v>
      </c>
      <c r="R309" s="428" t="s">
        <v>8207</v>
      </c>
      <c r="S309" s="428"/>
      <c r="T309" s="428" t="s">
        <v>2741</v>
      </c>
      <c r="U309" s="428" t="s">
        <v>152</v>
      </c>
      <c r="V309" s="428" t="s">
        <v>20</v>
      </c>
    </row>
    <row r="310" spans="1:22">
      <c r="A310" s="6"/>
      <c r="B310" s="216">
        <v>46241</v>
      </c>
      <c r="C310" s="216">
        <v>46241</v>
      </c>
      <c r="D310" s="428" t="s">
        <v>8208</v>
      </c>
      <c r="E310" s="428" t="s">
        <v>8209</v>
      </c>
      <c r="F310" s="428" t="s">
        <v>87</v>
      </c>
      <c r="G310" s="428" t="s">
        <v>8210</v>
      </c>
      <c r="H310" s="428" t="s">
        <v>627</v>
      </c>
      <c r="I310" s="428">
        <v>101</v>
      </c>
      <c r="J310" s="369">
        <v>101</v>
      </c>
      <c r="K310" s="428">
        <v>35</v>
      </c>
      <c r="L310" s="217">
        <v>2600</v>
      </c>
      <c r="M310" s="428" t="s">
        <v>153</v>
      </c>
      <c r="N310" s="428" t="s">
        <v>149</v>
      </c>
      <c r="O310" s="428" t="s">
        <v>154</v>
      </c>
      <c r="P310" s="428" t="s">
        <v>151</v>
      </c>
      <c r="Q310" s="428" t="s">
        <v>156</v>
      </c>
      <c r="R310" s="428" t="s">
        <v>8211</v>
      </c>
      <c r="S310" s="428"/>
      <c r="T310" s="428" t="s">
        <v>2741</v>
      </c>
      <c r="U310" s="428" t="s">
        <v>152</v>
      </c>
      <c r="V310" s="428" t="s">
        <v>20</v>
      </c>
    </row>
    <row r="311" spans="1:22">
      <c r="A311" s="6"/>
      <c r="B311" s="216">
        <v>46241</v>
      </c>
      <c r="C311" s="216">
        <v>46241</v>
      </c>
      <c r="D311" s="428" t="s">
        <v>8212</v>
      </c>
      <c r="E311" s="428" t="s">
        <v>8209</v>
      </c>
      <c r="F311" s="428" t="s">
        <v>87</v>
      </c>
      <c r="G311" s="428" t="s">
        <v>8210</v>
      </c>
      <c r="H311" s="428" t="s">
        <v>627</v>
      </c>
      <c r="I311" s="428">
        <v>89</v>
      </c>
      <c r="J311" s="369">
        <v>89</v>
      </c>
      <c r="K311" s="428">
        <v>35</v>
      </c>
      <c r="L311" s="217">
        <v>2400</v>
      </c>
      <c r="M311" s="428" t="s">
        <v>153</v>
      </c>
      <c r="N311" s="428" t="s">
        <v>149</v>
      </c>
      <c r="O311" s="428" t="s">
        <v>154</v>
      </c>
      <c r="P311" s="428" t="s">
        <v>151</v>
      </c>
      <c r="Q311" s="428" t="s">
        <v>156</v>
      </c>
      <c r="R311" s="428" t="s">
        <v>8213</v>
      </c>
      <c r="S311" s="428"/>
      <c r="T311" s="428" t="s">
        <v>2741</v>
      </c>
      <c r="U311" s="428" t="s">
        <v>152</v>
      </c>
      <c r="V311" s="428" t="s">
        <v>20</v>
      </c>
    </row>
    <row r="312" spans="1:22">
      <c r="A312" s="6"/>
      <c r="B312" s="216">
        <v>46241</v>
      </c>
      <c r="C312" s="216">
        <v>46241</v>
      </c>
      <c r="D312" s="428" t="s">
        <v>8214</v>
      </c>
      <c r="E312" s="428" t="s">
        <v>8209</v>
      </c>
      <c r="F312" s="428" t="s">
        <v>87</v>
      </c>
      <c r="G312" s="428" t="s">
        <v>8210</v>
      </c>
      <c r="H312" s="428" t="s">
        <v>627</v>
      </c>
      <c r="I312" s="428">
        <v>88</v>
      </c>
      <c r="J312" s="369">
        <v>88</v>
      </c>
      <c r="K312" s="428">
        <v>35</v>
      </c>
      <c r="L312" s="217">
        <v>2400</v>
      </c>
      <c r="M312" s="428" t="s">
        <v>153</v>
      </c>
      <c r="N312" s="428" t="s">
        <v>149</v>
      </c>
      <c r="O312" s="428" t="s">
        <v>154</v>
      </c>
      <c r="P312" s="428" t="s">
        <v>151</v>
      </c>
      <c r="Q312" s="428" t="s">
        <v>156</v>
      </c>
      <c r="R312" s="428" t="s">
        <v>8215</v>
      </c>
      <c r="S312" s="428"/>
      <c r="T312" s="428" t="s">
        <v>2741</v>
      </c>
      <c r="U312" s="428" t="s">
        <v>152</v>
      </c>
      <c r="V312" s="428" t="s">
        <v>20</v>
      </c>
    </row>
    <row r="313" spans="1:22">
      <c r="A313" s="6"/>
      <c r="B313" s="216">
        <v>46241</v>
      </c>
      <c r="C313" s="216">
        <v>46241</v>
      </c>
      <c r="D313" s="428" t="s">
        <v>8216</v>
      </c>
      <c r="E313" s="428" t="s">
        <v>8209</v>
      </c>
      <c r="F313" s="428" t="s">
        <v>87</v>
      </c>
      <c r="G313" s="428" t="s">
        <v>8210</v>
      </c>
      <c r="H313" s="428" t="s">
        <v>627</v>
      </c>
      <c r="I313" s="428">
        <v>99</v>
      </c>
      <c r="J313" s="369">
        <v>99</v>
      </c>
      <c r="K313" s="428">
        <v>35</v>
      </c>
      <c r="L313" s="217">
        <v>2600</v>
      </c>
      <c r="M313" s="428" t="s">
        <v>153</v>
      </c>
      <c r="N313" s="428" t="s">
        <v>149</v>
      </c>
      <c r="O313" s="428" t="s">
        <v>154</v>
      </c>
      <c r="P313" s="428" t="s">
        <v>151</v>
      </c>
      <c r="Q313" s="428" t="s">
        <v>156</v>
      </c>
      <c r="R313" s="428" t="s">
        <v>8217</v>
      </c>
      <c r="S313" s="428"/>
      <c r="T313" s="428" t="s">
        <v>2741</v>
      </c>
      <c r="U313" s="428" t="s">
        <v>152</v>
      </c>
      <c r="V313" s="428" t="s">
        <v>20</v>
      </c>
    </row>
    <row r="314" spans="1:22">
      <c r="A314" s="6"/>
      <c r="B314" s="216">
        <v>46241</v>
      </c>
      <c r="C314" s="216">
        <v>46241</v>
      </c>
      <c r="D314" s="428" t="s">
        <v>8218</v>
      </c>
      <c r="E314" s="428">
        <v>260105521766</v>
      </c>
      <c r="F314" s="428" t="s">
        <v>87</v>
      </c>
      <c r="G314" s="428" t="s">
        <v>2520</v>
      </c>
      <c r="H314" s="428" t="s">
        <v>2291</v>
      </c>
      <c r="I314" s="428">
        <v>56</v>
      </c>
      <c r="J314" s="369">
        <v>56</v>
      </c>
      <c r="K314" s="428">
        <v>110</v>
      </c>
      <c r="L314" s="217">
        <v>280</v>
      </c>
      <c r="M314" s="428" t="s">
        <v>153</v>
      </c>
      <c r="N314" s="428" t="s">
        <v>149</v>
      </c>
      <c r="O314" s="428" t="s">
        <v>154</v>
      </c>
      <c r="P314" s="428" t="s">
        <v>151</v>
      </c>
      <c r="Q314" s="428" t="s">
        <v>156</v>
      </c>
      <c r="R314" s="428" t="s">
        <v>8219</v>
      </c>
      <c r="S314" s="428"/>
      <c r="T314" s="428" t="s">
        <v>2741</v>
      </c>
      <c r="U314" s="428" t="s">
        <v>152</v>
      </c>
      <c r="V314" s="428" t="s">
        <v>20</v>
      </c>
    </row>
    <row r="315" spans="1:22">
      <c r="A315" s="6"/>
      <c r="B315" s="216">
        <v>46241</v>
      </c>
      <c r="C315" s="216">
        <v>46241</v>
      </c>
      <c r="D315" s="428" t="s">
        <v>8220</v>
      </c>
      <c r="E315" s="428">
        <v>260104821800</v>
      </c>
      <c r="F315" s="428" t="s">
        <v>87</v>
      </c>
      <c r="G315" s="428" t="s">
        <v>2533</v>
      </c>
      <c r="H315" s="428" t="s">
        <v>2524</v>
      </c>
      <c r="I315" s="428">
        <v>388</v>
      </c>
      <c r="J315" s="369">
        <v>388</v>
      </c>
      <c r="K315" s="428">
        <v>119</v>
      </c>
      <c r="L315" s="217">
        <v>2000</v>
      </c>
      <c r="M315" s="428" t="s">
        <v>153</v>
      </c>
      <c r="N315" s="428" t="s">
        <v>149</v>
      </c>
      <c r="O315" s="428" t="s">
        <v>154</v>
      </c>
      <c r="P315" s="428" t="s">
        <v>151</v>
      </c>
      <c r="Q315" s="428" t="s">
        <v>156</v>
      </c>
      <c r="R315" s="428" t="s">
        <v>8221</v>
      </c>
      <c r="S315" s="428"/>
      <c r="T315" s="428" t="s">
        <v>2741</v>
      </c>
      <c r="U315" s="428" t="s">
        <v>152</v>
      </c>
      <c r="V315" s="428" t="s">
        <v>20</v>
      </c>
    </row>
    <row r="316" spans="1:22">
      <c r="A316" s="6"/>
      <c r="B316" s="216">
        <v>46241</v>
      </c>
      <c r="C316" s="216">
        <v>46241</v>
      </c>
      <c r="D316" s="428" t="s">
        <v>8222</v>
      </c>
      <c r="E316" s="428">
        <v>260101021928</v>
      </c>
      <c r="F316" s="428" t="s">
        <v>87</v>
      </c>
      <c r="G316" s="428" t="s">
        <v>2419</v>
      </c>
      <c r="H316" s="428" t="s">
        <v>2412</v>
      </c>
      <c r="I316" s="428">
        <v>632</v>
      </c>
      <c r="J316" s="369">
        <v>632</v>
      </c>
      <c r="K316" s="428">
        <v>180</v>
      </c>
      <c r="L316" s="217">
        <v>1200</v>
      </c>
      <c r="M316" s="428" t="s">
        <v>153</v>
      </c>
      <c r="N316" s="428" t="s">
        <v>149</v>
      </c>
      <c r="O316" s="428" t="s">
        <v>154</v>
      </c>
      <c r="P316" s="428" t="s">
        <v>151</v>
      </c>
      <c r="Q316" s="428" t="s">
        <v>156</v>
      </c>
      <c r="R316" s="428" t="s">
        <v>8223</v>
      </c>
      <c r="S316" s="428"/>
      <c r="T316" s="428" t="s">
        <v>2741</v>
      </c>
      <c r="U316" s="428" t="s">
        <v>152</v>
      </c>
      <c r="V316" s="428" t="s">
        <v>20</v>
      </c>
    </row>
    <row r="317" spans="1:22">
      <c r="A317" s="6"/>
      <c r="B317" s="216">
        <v>46242</v>
      </c>
      <c r="C317" s="216">
        <v>46242</v>
      </c>
      <c r="D317" s="428" t="s">
        <v>8224</v>
      </c>
      <c r="E317" s="428">
        <v>260102722007</v>
      </c>
      <c r="F317" s="428" t="s">
        <v>87</v>
      </c>
      <c r="G317" s="428" t="s">
        <v>8032</v>
      </c>
      <c r="H317" s="428">
        <v>102</v>
      </c>
      <c r="I317" s="428">
        <v>253</v>
      </c>
      <c r="J317" s="369">
        <v>253</v>
      </c>
      <c r="K317" s="428">
        <v>130</v>
      </c>
      <c r="L317" s="217">
        <v>1000</v>
      </c>
      <c r="M317" s="428" t="s">
        <v>153</v>
      </c>
      <c r="N317" s="428" t="s">
        <v>149</v>
      </c>
      <c r="O317" s="428" t="s">
        <v>154</v>
      </c>
      <c r="P317" s="428" t="s">
        <v>151</v>
      </c>
      <c r="Q317" s="428" t="s">
        <v>155</v>
      </c>
      <c r="R317" s="428" t="s">
        <v>8225</v>
      </c>
      <c r="S317" s="428"/>
      <c r="T317" s="428" t="s">
        <v>2753</v>
      </c>
      <c r="U317" s="428" t="s">
        <v>152</v>
      </c>
      <c r="V317" s="428" t="s">
        <v>18</v>
      </c>
    </row>
    <row r="318" spans="1:22">
      <c r="A318" s="6"/>
      <c r="B318" s="216">
        <v>46242</v>
      </c>
      <c r="C318" s="216">
        <v>46242</v>
      </c>
      <c r="D318" s="428" t="s">
        <v>8226</v>
      </c>
      <c r="E318" s="428">
        <v>260101422011</v>
      </c>
      <c r="F318" s="428" t="s">
        <v>87</v>
      </c>
      <c r="G318" s="428" t="s">
        <v>824</v>
      </c>
      <c r="H318" s="428">
        <v>152</v>
      </c>
      <c r="I318" s="428">
        <v>246</v>
      </c>
      <c r="J318" s="369">
        <v>246</v>
      </c>
      <c r="K318" s="428">
        <v>104</v>
      </c>
      <c r="L318" s="217">
        <v>1630</v>
      </c>
      <c r="M318" s="428" t="s">
        <v>153</v>
      </c>
      <c r="N318" s="428" t="s">
        <v>149</v>
      </c>
      <c r="O318" s="428" t="s">
        <v>154</v>
      </c>
      <c r="P318" s="428" t="s">
        <v>151</v>
      </c>
      <c r="Q318" s="428" t="s">
        <v>155</v>
      </c>
      <c r="R318" s="428" t="s">
        <v>8227</v>
      </c>
      <c r="S318" s="428"/>
      <c r="T318" s="428" t="s">
        <v>2753</v>
      </c>
      <c r="U318" s="428" t="s">
        <v>152</v>
      </c>
      <c r="V318" s="428" t="s">
        <v>18</v>
      </c>
    </row>
    <row r="319" spans="1:22">
      <c r="A319" s="6"/>
      <c r="B319" s="216">
        <v>46242</v>
      </c>
      <c r="C319" s="216">
        <v>46242</v>
      </c>
      <c r="D319" s="428" t="s">
        <v>8228</v>
      </c>
      <c r="E319" s="428">
        <v>260103922016</v>
      </c>
      <c r="F319" s="428" t="s">
        <v>87</v>
      </c>
      <c r="G319" s="428" t="s">
        <v>8229</v>
      </c>
      <c r="H319" s="428">
        <v>132</v>
      </c>
      <c r="I319" s="428">
        <v>215</v>
      </c>
      <c r="J319" s="369">
        <v>215</v>
      </c>
      <c r="K319" s="428">
        <v>92</v>
      </c>
      <c r="L319" s="217">
        <v>1860</v>
      </c>
      <c r="M319" s="428" t="s">
        <v>153</v>
      </c>
      <c r="N319" s="428" t="s">
        <v>149</v>
      </c>
      <c r="O319" s="428" t="s">
        <v>154</v>
      </c>
      <c r="P319" s="428" t="s">
        <v>151</v>
      </c>
      <c r="Q319" s="428" t="s">
        <v>155</v>
      </c>
      <c r="R319" s="428" t="s">
        <v>8230</v>
      </c>
      <c r="S319" s="428"/>
      <c r="T319" s="428" t="s">
        <v>2753</v>
      </c>
      <c r="U319" s="428" t="s">
        <v>152</v>
      </c>
      <c r="V319" s="428" t="s">
        <v>18</v>
      </c>
    </row>
    <row r="320" spans="1:22">
      <c r="A320" s="6"/>
      <c r="B320" s="216">
        <v>46242</v>
      </c>
      <c r="C320" s="216">
        <v>46242</v>
      </c>
      <c r="D320" s="428" t="s">
        <v>8231</v>
      </c>
      <c r="E320" s="428">
        <v>260101922003</v>
      </c>
      <c r="F320" s="428" t="s">
        <v>87</v>
      </c>
      <c r="G320" s="428" t="s">
        <v>2303</v>
      </c>
      <c r="H320" s="428">
        <v>92</v>
      </c>
      <c r="I320" s="428">
        <v>252</v>
      </c>
      <c r="J320" s="369">
        <v>252</v>
      </c>
      <c r="K320" s="428">
        <v>134</v>
      </c>
      <c r="L320" s="217">
        <v>1060</v>
      </c>
      <c r="M320" s="428" t="s">
        <v>153</v>
      </c>
      <c r="N320" s="428" t="s">
        <v>149</v>
      </c>
      <c r="O320" s="428" t="s">
        <v>154</v>
      </c>
      <c r="P320" s="428" t="s">
        <v>151</v>
      </c>
      <c r="Q320" s="428" t="s">
        <v>155</v>
      </c>
      <c r="R320" s="428" t="s">
        <v>8232</v>
      </c>
      <c r="S320" s="428"/>
      <c r="T320" s="428" t="s">
        <v>2753</v>
      </c>
      <c r="U320" s="428" t="s">
        <v>152</v>
      </c>
      <c r="V320" s="428" t="s">
        <v>18</v>
      </c>
    </row>
    <row r="321" spans="1:22">
      <c r="A321" s="6"/>
      <c r="B321" s="216">
        <v>46242</v>
      </c>
      <c r="C321" s="216">
        <v>46242</v>
      </c>
      <c r="D321" s="428" t="s">
        <v>8233</v>
      </c>
      <c r="E321" s="428">
        <v>260105022022</v>
      </c>
      <c r="F321" s="428" t="s">
        <v>87</v>
      </c>
      <c r="G321" s="428" t="s">
        <v>2407</v>
      </c>
      <c r="H321" s="428">
        <v>160</v>
      </c>
      <c r="I321" s="428">
        <v>234</v>
      </c>
      <c r="J321" s="369">
        <v>234</v>
      </c>
      <c r="K321" s="428">
        <v>102</v>
      </c>
      <c r="L321" s="217">
        <v>1500</v>
      </c>
      <c r="M321" s="428" t="s">
        <v>153</v>
      </c>
      <c r="N321" s="428" t="s">
        <v>149</v>
      </c>
      <c r="O321" s="428" t="s">
        <v>154</v>
      </c>
      <c r="P321" s="428" t="s">
        <v>151</v>
      </c>
      <c r="Q321" s="428" t="s">
        <v>155</v>
      </c>
      <c r="R321" s="428" t="s">
        <v>8234</v>
      </c>
      <c r="S321" s="428"/>
      <c r="T321" s="428" t="s">
        <v>2753</v>
      </c>
      <c r="U321" s="428" t="s">
        <v>152</v>
      </c>
      <c r="V321" s="428" t="s">
        <v>18</v>
      </c>
    </row>
    <row r="322" spans="1:22">
      <c r="A322" s="6"/>
      <c r="B322" s="216">
        <v>46242</v>
      </c>
      <c r="C322" s="216">
        <v>46242</v>
      </c>
      <c r="D322" s="428" t="s">
        <v>8235</v>
      </c>
      <c r="E322" s="428">
        <v>260102622062</v>
      </c>
      <c r="F322" s="428" t="s">
        <v>87</v>
      </c>
      <c r="G322" s="428" t="s">
        <v>8032</v>
      </c>
      <c r="H322" s="428">
        <v>102</v>
      </c>
      <c r="I322" s="428">
        <v>256</v>
      </c>
      <c r="J322" s="369">
        <v>256</v>
      </c>
      <c r="K322" s="428">
        <v>130</v>
      </c>
      <c r="L322" s="217">
        <v>1000</v>
      </c>
      <c r="M322" s="428" t="s">
        <v>153</v>
      </c>
      <c r="N322" s="428" t="s">
        <v>149</v>
      </c>
      <c r="O322" s="428" t="s">
        <v>154</v>
      </c>
      <c r="P322" s="428" t="s">
        <v>151</v>
      </c>
      <c r="Q322" s="428" t="s">
        <v>155</v>
      </c>
      <c r="R322" s="428" t="s">
        <v>8236</v>
      </c>
      <c r="S322" s="428"/>
      <c r="T322" s="428" t="s">
        <v>2753</v>
      </c>
      <c r="U322" s="428" t="s">
        <v>152</v>
      </c>
      <c r="V322" s="428" t="s">
        <v>18</v>
      </c>
    </row>
    <row r="323" spans="1:22">
      <c r="A323" s="6"/>
      <c r="B323" s="216">
        <v>46242</v>
      </c>
      <c r="C323" s="216">
        <v>46242</v>
      </c>
      <c r="D323" s="428" t="s">
        <v>8237</v>
      </c>
      <c r="E323" s="428">
        <v>260105322050</v>
      </c>
      <c r="F323" s="428" t="s">
        <v>87</v>
      </c>
      <c r="G323" s="428" t="s">
        <v>824</v>
      </c>
      <c r="H323" s="428">
        <v>152</v>
      </c>
      <c r="I323" s="428">
        <v>268</v>
      </c>
      <c r="J323" s="369">
        <v>268</v>
      </c>
      <c r="K323" s="428">
        <v>104</v>
      </c>
      <c r="L323" s="217">
        <v>1820</v>
      </c>
      <c r="M323" s="428" t="s">
        <v>153</v>
      </c>
      <c r="N323" s="428" t="s">
        <v>149</v>
      </c>
      <c r="O323" s="428" t="s">
        <v>154</v>
      </c>
      <c r="P323" s="428" t="s">
        <v>151</v>
      </c>
      <c r="Q323" s="428" t="s">
        <v>155</v>
      </c>
      <c r="R323" s="428" t="s">
        <v>8238</v>
      </c>
      <c r="S323" s="428"/>
      <c r="T323" s="428" t="s">
        <v>2753</v>
      </c>
      <c r="U323" s="428" t="s">
        <v>152</v>
      </c>
      <c r="V323" s="428" t="s">
        <v>18</v>
      </c>
    </row>
    <row r="324" spans="1:22">
      <c r="A324" s="6"/>
      <c r="B324" s="216">
        <v>46242</v>
      </c>
      <c r="C324" s="216">
        <v>46242</v>
      </c>
      <c r="D324" s="428" t="s">
        <v>8239</v>
      </c>
      <c r="E324" s="428">
        <v>260100722061</v>
      </c>
      <c r="F324" s="428" t="s">
        <v>87</v>
      </c>
      <c r="G324" s="428" t="s">
        <v>7586</v>
      </c>
      <c r="H324" s="428">
        <v>132</v>
      </c>
      <c r="I324" s="428">
        <v>336</v>
      </c>
      <c r="J324" s="369">
        <v>336</v>
      </c>
      <c r="K324" s="428">
        <v>170</v>
      </c>
      <c r="L324" s="217">
        <v>770</v>
      </c>
      <c r="M324" s="428" t="s">
        <v>153</v>
      </c>
      <c r="N324" s="428" t="s">
        <v>149</v>
      </c>
      <c r="O324" s="428" t="s">
        <v>154</v>
      </c>
      <c r="P324" s="428" t="s">
        <v>151</v>
      </c>
      <c r="Q324" s="428" t="s">
        <v>155</v>
      </c>
      <c r="R324" s="428" t="s">
        <v>8240</v>
      </c>
      <c r="S324" s="428"/>
      <c r="T324" s="428" t="s">
        <v>2753</v>
      </c>
      <c r="U324" s="428" t="s">
        <v>152</v>
      </c>
      <c r="V324" s="428" t="s">
        <v>18</v>
      </c>
    </row>
    <row r="325" spans="1:22">
      <c r="A325" s="6"/>
      <c r="B325" s="216">
        <v>46242</v>
      </c>
      <c r="C325" s="216">
        <v>46242</v>
      </c>
      <c r="D325" s="428" t="s">
        <v>8241</v>
      </c>
      <c r="E325" s="428">
        <v>260103322057</v>
      </c>
      <c r="F325" s="428" t="s">
        <v>87</v>
      </c>
      <c r="G325" s="428" t="s">
        <v>2409</v>
      </c>
      <c r="H325" s="428">
        <v>152</v>
      </c>
      <c r="I325" s="428">
        <v>296</v>
      </c>
      <c r="J325" s="369">
        <v>296</v>
      </c>
      <c r="K325" s="428">
        <v>97</v>
      </c>
      <c r="L325" s="217">
        <v>2100</v>
      </c>
      <c r="M325" s="428" t="s">
        <v>153</v>
      </c>
      <c r="N325" s="428" t="s">
        <v>149</v>
      </c>
      <c r="O325" s="428" t="s">
        <v>154</v>
      </c>
      <c r="P325" s="428" t="s">
        <v>151</v>
      </c>
      <c r="Q325" s="428" t="s">
        <v>155</v>
      </c>
      <c r="R325" s="428" t="s">
        <v>8242</v>
      </c>
      <c r="S325" s="428"/>
      <c r="T325" s="428" t="s">
        <v>2753</v>
      </c>
      <c r="U325" s="428" t="s">
        <v>152</v>
      </c>
      <c r="V325" s="428" t="s">
        <v>18</v>
      </c>
    </row>
    <row r="326" spans="1:22">
      <c r="A326" s="6"/>
      <c r="B326" s="216">
        <v>46242</v>
      </c>
      <c r="C326" s="216">
        <v>46242</v>
      </c>
      <c r="D326" s="428" t="s">
        <v>8243</v>
      </c>
      <c r="E326" s="428">
        <v>260101422010</v>
      </c>
      <c r="F326" s="428" t="s">
        <v>87</v>
      </c>
      <c r="G326" s="428" t="s">
        <v>824</v>
      </c>
      <c r="H326" s="428">
        <v>152</v>
      </c>
      <c r="I326" s="428">
        <v>243</v>
      </c>
      <c r="J326" s="369">
        <v>243</v>
      </c>
      <c r="K326" s="428">
        <v>104</v>
      </c>
      <c r="L326" s="217">
        <v>1630</v>
      </c>
      <c r="M326" s="428" t="s">
        <v>153</v>
      </c>
      <c r="N326" s="428" t="s">
        <v>149</v>
      </c>
      <c r="O326" s="428" t="s">
        <v>154</v>
      </c>
      <c r="P326" s="428" t="s">
        <v>151</v>
      </c>
      <c r="Q326" s="428" t="s">
        <v>155</v>
      </c>
      <c r="R326" s="428" t="s">
        <v>8244</v>
      </c>
      <c r="S326" s="428"/>
      <c r="T326" s="428" t="s">
        <v>2753</v>
      </c>
      <c r="U326" s="428" t="s">
        <v>152</v>
      </c>
      <c r="V326" s="428" t="s">
        <v>18</v>
      </c>
    </row>
    <row r="327" spans="1:22">
      <c r="A327" s="6"/>
      <c r="B327" s="216">
        <v>46242</v>
      </c>
      <c r="C327" s="216">
        <v>46242</v>
      </c>
      <c r="D327" s="428" t="s">
        <v>8245</v>
      </c>
      <c r="E327" s="428">
        <v>260102922052</v>
      </c>
      <c r="F327" s="428" t="s">
        <v>87</v>
      </c>
      <c r="G327" s="428" t="s">
        <v>824</v>
      </c>
      <c r="H327" s="428">
        <v>152</v>
      </c>
      <c r="I327" s="428">
        <v>293</v>
      </c>
      <c r="J327" s="369">
        <v>293</v>
      </c>
      <c r="K327" s="428">
        <v>104</v>
      </c>
      <c r="L327" s="217">
        <v>1950</v>
      </c>
      <c r="M327" s="428" t="s">
        <v>153</v>
      </c>
      <c r="N327" s="428" t="s">
        <v>149</v>
      </c>
      <c r="O327" s="428" t="s">
        <v>154</v>
      </c>
      <c r="P327" s="428" t="s">
        <v>151</v>
      </c>
      <c r="Q327" s="428" t="s">
        <v>155</v>
      </c>
      <c r="R327" s="428" t="s">
        <v>8246</v>
      </c>
      <c r="S327" s="428"/>
      <c r="T327" s="428" t="s">
        <v>2753</v>
      </c>
      <c r="U327" s="428" t="s">
        <v>152</v>
      </c>
      <c r="V327" s="428" t="s">
        <v>18</v>
      </c>
    </row>
    <row r="328" spans="1:22">
      <c r="A328" s="6"/>
      <c r="B328" s="216">
        <v>46242</v>
      </c>
      <c r="C328" s="216">
        <v>46242</v>
      </c>
      <c r="D328" s="428" t="s">
        <v>8247</v>
      </c>
      <c r="E328" s="428">
        <v>260102822008</v>
      </c>
      <c r="F328" s="428" t="s">
        <v>87</v>
      </c>
      <c r="G328" s="428" t="s">
        <v>8032</v>
      </c>
      <c r="H328" s="428">
        <v>102</v>
      </c>
      <c r="I328" s="428">
        <v>256</v>
      </c>
      <c r="J328" s="369">
        <v>256</v>
      </c>
      <c r="K328" s="428">
        <v>130</v>
      </c>
      <c r="L328" s="217">
        <v>1000</v>
      </c>
      <c r="M328" s="428" t="s">
        <v>153</v>
      </c>
      <c r="N328" s="428" t="s">
        <v>149</v>
      </c>
      <c r="O328" s="428" t="s">
        <v>154</v>
      </c>
      <c r="P328" s="428" t="s">
        <v>151</v>
      </c>
      <c r="Q328" s="428" t="s">
        <v>155</v>
      </c>
      <c r="R328" s="428" t="s">
        <v>8248</v>
      </c>
      <c r="S328" s="428"/>
      <c r="T328" s="428" t="s">
        <v>2753</v>
      </c>
      <c r="U328" s="428" t="s">
        <v>152</v>
      </c>
      <c r="V328" s="428" t="s">
        <v>18</v>
      </c>
    </row>
    <row r="329" spans="1:22">
      <c r="A329" s="6"/>
      <c r="B329" s="216">
        <v>46242</v>
      </c>
      <c r="C329" s="216">
        <v>46242</v>
      </c>
      <c r="D329" s="428" t="s">
        <v>8249</v>
      </c>
      <c r="E329" s="428">
        <v>260101422013</v>
      </c>
      <c r="F329" s="428" t="s">
        <v>87</v>
      </c>
      <c r="G329" s="428" t="s">
        <v>824</v>
      </c>
      <c r="H329" s="428">
        <v>152</v>
      </c>
      <c r="I329" s="428">
        <v>243</v>
      </c>
      <c r="J329" s="369">
        <v>243</v>
      </c>
      <c r="K329" s="428">
        <v>104</v>
      </c>
      <c r="L329" s="217">
        <v>1630</v>
      </c>
      <c r="M329" s="428" t="s">
        <v>153</v>
      </c>
      <c r="N329" s="428" t="s">
        <v>149</v>
      </c>
      <c r="O329" s="428" t="s">
        <v>154</v>
      </c>
      <c r="P329" s="428" t="s">
        <v>151</v>
      </c>
      <c r="Q329" s="428" t="s">
        <v>155</v>
      </c>
      <c r="R329" s="428" t="s">
        <v>8250</v>
      </c>
      <c r="S329" s="428"/>
      <c r="T329" s="428" t="s">
        <v>2753</v>
      </c>
      <c r="U329" s="428" t="s">
        <v>152</v>
      </c>
      <c r="V329" s="428" t="s">
        <v>18</v>
      </c>
    </row>
    <row r="330" spans="1:22">
      <c r="A330" s="6"/>
      <c r="B330" s="216">
        <v>46242</v>
      </c>
      <c r="C330" s="216">
        <v>46242</v>
      </c>
      <c r="D330" s="428" t="s">
        <v>8251</v>
      </c>
      <c r="E330" s="428">
        <v>260105722025</v>
      </c>
      <c r="F330" s="428" t="s">
        <v>87</v>
      </c>
      <c r="G330" s="428" t="s">
        <v>2364</v>
      </c>
      <c r="H330" s="428">
        <v>142</v>
      </c>
      <c r="I330" s="428">
        <v>173</v>
      </c>
      <c r="J330" s="369">
        <v>173</v>
      </c>
      <c r="K330" s="428">
        <v>67</v>
      </c>
      <c r="L330" s="217">
        <v>1870</v>
      </c>
      <c r="M330" s="428" t="s">
        <v>153</v>
      </c>
      <c r="N330" s="428" t="s">
        <v>149</v>
      </c>
      <c r="O330" s="428" t="s">
        <v>154</v>
      </c>
      <c r="P330" s="428" t="s">
        <v>151</v>
      </c>
      <c r="Q330" s="428" t="s">
        <v>155</v>
      </c>
      <c r="R330" s="428" t="s">
        <v>8252</v>
      </c>
      <c r="S330" s="428"/>
      <c r="T330" s="428" t="s">
        <v>2753</v>
      </c>
      <c r="U330" s="428" t="s">
        <v>152</v>
      </c>
      <c r="V330" s="428" t="s">
        <v>18</v>
      </c>
    </row>
    <row r="331" spans="1:22">
      <c r="A331" s="6"/>
      <c r="B331" s="216">
        <v>46242</v>
      </c>
      <c r="C331" s="216">
        <v>46242</v>
      </c>
      <c r="D331" s="428" t="s">
        <v>8253</v>
      </c>
      <c r="E331" s="428">
        <v>260102622005</v>
      </c>
      <c r="F331" s="428" t="s">
        <v>87</v>
      </c>
      <c r="G331" s="428" t="s">
        <v>8032</v>
      </c>
      <c r="H331" s="428">
        <v>102</v>
      </c>
      <c r="I331" s="428">
        <v>253</v>
      </c>
      <c r="J331" s="369">
        <v>253</v>
      </c>
      <c r="K331" s="428">
        <v>130</v>
      </c>
      <c r="L331" s="217">
        <v>1000</v>
      </c>
      <c r="M331" s="428" t="s">
        <v>153</v>
      </c>
      <c r="N331" s="428" t="s">
        <v>149</v>
      </c>
      <c r="O331" s="428" t="s">
        <v>154</v>
      </c>
      <c r="P331" s="428" t="s">
        <v>151</v>
      </c>
      <c r="Q331" s="428" t="s">
        <v>155</v>
      </c>
      <c r="R331" s="428" t="s">
        <v>8254</v>
      </c>
      <c r="S331" s="428"/>
      <c r="T331" s="428" t="s">
        <v>2753</v>
      </c>
      <c r="U331" s="428" t="s">
        <v>152</v>
      </c>
      <c r="V331" s="428" t="s">
        <v>18</v>
      </c>
    </row>
    <row r="332" spans="1:22">
      <c r="A332" s="6"/>
      <c r="B332" s="216">
        <v>46242</v>
      </c>
      <c r="C332" s="216">
        <v>46242</v>
      </c>
      <c r="D332" s="428" t="s">
        <v>8255</v>
      </c>
      <c r="E332" s="428">
        <v>260101522009</v>
      </c>
      <c r="F332" s="428" t="s">
        <v>87</v>
      </c>
      <c r="G332" s="428" t="s">
        <v>2419</v>
      </c>
      <c r="H332" s="428">
        <v>92</v>
      </c>
      <c r="I332" s="428">
        <v>319</v>
      </c>
      <c r="J332" s="369">
        <v>319</v>
      </c>
      <c r="K332" s="428">
        <v>180</v>
      </c>
      <c r="L332" s="217">
        <v>1000</v>
      </c>
      <c r="M332" s="428" t="s">
        <v>153</v>
      </c>
      <c r="N332" s="428" t="s">
        <v>149</v>
      </c>
      <c r="O332" s="428" t="s">
        <v>154</v>
      </c>
      <c r="P332" s="428" t="s">
        <v>151</v>
      </c>
      <c r="Q332" s="428" t="s">
        <v>155</v>
      </c>
      <c r="R332" s="428" t="s">
        <v>8256</v>
      </c>
      <c r="S332" s="428"/>
      <c r="T332" s="428" t="s">
        <v>2753</v>
      </c>
      <c r="U332" s="428" t="s">
        <v>152</v>
      </c>
      <c r="V332" s="428" t="s">
        <v>18</v>
      </c>
    </row>
    <row r="333" spans="1:22">
      <c r="A333" s="6"/>
      <c r="B333" s="216">
        <v>46242</v>
      </c>
      <c r="C333" s="216">
        <v>46242</v>
      </c>
      <c r="D333" s="428" t="s">
        <v>8257</v>
      </c>
      <c r="E333" s="428">
        <v>260101422012</v>
      </c>
      <c r="F333" s="428" t="s">
        <v>87</v>
      </c>
      <c r="G333" s="428" t="s">
        <v>824</v>
      </c>
      <c r="H333" s="428">
        <v>152</v>
      </c>
      <c r="I333" s="428">
        <v>247</v>
      </c>
      <c r="J333" s="369">
        <v>247</v>
      </c>
      <c r="K333" s="428">
        <v>104</v>
      </c>
      <c r="L333" s="217">
        <v>1630</v>
      </c>
      <c r="M333" s="428" t="s">
        <v>153</v>
      </c>
      <c r="N333" s="428" t="s">
        <v>149</v>
      </c>
      <c r="O333" s="428" t="s">
        <v>154</v>
      </c>
      <c r="P333" s="428" t="s">
        <v>151</v>
      </c>
      <c r="Q333" s="428" t="s">
        <v>155</v>
      </c>
      <c r="R333" s="428" t="s">
        <v>8258</v>
      </c>
      <c r="S333" s="428"/>
      <c r="T333" s="428" t="s">
        <v>2753</v>
      </c>
      <c r="U333" s="428" t="s">
        <v>152</v>
      </c>
      <c r="V333" s="428" t="s">
        <v>18</v>
      </c>
    </row>
    <row r="334" spans="1:22">
      <c r="A334" s="6"/>
      <c r="B334" s="216">
        <v>46242</v>
      </c>
      <c r="C334" s="216">
        <v>46242</v>
      </c>
      <c r="D334" s="428" t="s">
        <v>8259</v>
      </c>
      <c r="E334" s="428">
        <v>260103922017</v>
      </c>
      <c r="F334" s="428" t="s">
        <v>87</v>
      </c>
      <c r="G334" s="428" t="s">
        <v>8229</v>
      </c>
      <c r="H334" s="428">
        <v>132</v>
      </c>
      <c r="I334" s="428">
        <v>215</v>
      </c>
      <c r="J334" s="369">
        <v>215</v>
      </c>
      <c r="K334" s="428">
        <v>92</v>
      </c>
      <c r="L334" s="217">
        <v>1860</v>
      </c>
      <c r="M334" s="428" t="s">
        <v>153</v>
      </c>
      <c r="N334" s="428" t="s">
        <v>149</v>
      </c>
      <c r="O334" s="428" t="s">
        <v>154</v>
      </c>
      <c r="P334" s="428" t="s">
        <v>151</v>
      </c>
      <c r="Q334" s="428" t="s">
        <v>155</v>
      </c>
      <c r="R334" s="428" t="s">
        <v>8260</v>
      </c>
      <c r="S334" s="428"/>
      <c r="T334" s="428" t="s">
        <v>2753</v>
      </c>
      <c r="U334" s="428" t="s">
        <v>152</v>
      </c>
      <c r="V334" s="428" t="s">
        <v>18</v>
      </c>
    </row>
    <row r="335" spans="1:22">
      <c r="A335" s="6"/>
      <c r="B335" s="216">
        <v>46242</v>
      </c>
      <c r="C335" s="216">
        <v>46242</v>
      </c>
      <c r="D335" s="428" t="s">
        <v>8261</v>
      </c>
      <c r="E335" s="428">
        <v>260107922032</v>
      </c>
      <c r="F335" s="428" t="s">
        <v>87</v>
      </c>
      <c r="G335" s="428" t="s">
        <v>2413</v>
      </c>
      <c r="H335" s="428">
        <v>132</v>
      </c>
      <c r="I335" s="428">
        <v>317</v>
      </c>
      <c r="J335" s="369">
        <v>317</v>
      </c>
      <c r="K335" s="428">
        <v>92</v>
      </c>
      <c r="L335" s="217">
        <v>2750</v>
      </c>
      <c r="M335" s="428" t="s">
        <v>153</v>
      </c>
      <c r="N335" s="428" t="s">
        <v>149</v>
      </c>
      <c r="O335" s="428" t="s">
        <v>154</v>
      </c>
      <c r="P335" s="428" t="s">
        <v>151</v>
      </c>
      <c r="Q335" s="428" t="s">
        <v>155</v>
      </c>
      <c r="R335" s="428" t="s">
        <v>8262</v>
      </c>
      <c r="S335" s="428"/>
      <c r="T335" s="428" t="s">
        <v>2753</v>
      </c>
      <c r="U335" s="428" t="s">
        <v>152</v>
      </c>
      <c r="V335" s="428" t="s">
        <v>18</v>
      </c>
    </row>
    <row r="336" spans="1:22">
      <c r="A336" s="6"/>
      <c r="B336" s="216">
        <v>46242</v>
      </c>
      <c r="C336" s="216">
        <v>46242</v>
      </c>
      <c r="D336" s="428" t="s">
        <v>8263</v>
      </c>
      <c r="E336" s="428">
        <v>260103422058</v>
      </c>
      <c r="F336" s="428" t="s">
        <v>87</v>
      </c>
      <c r="G336" s="428" t="s">
        <v>824</v>
      </c>
      <c r="H336" s="428">
        <v>152</v>
      </c>
      <c r="I336" s="428">
        <v>213</v>
      </c>
      <c r="J336" s="369">
        <v>213</v>
      </c>
      <c r="K336" s="428">
        <v>104</v>
      </c>
      <c r="L336" s="217">
        <v>1400</v>
      </c>
      <c r="M336" s="428" t="s">
        <v>153</v>
      </c>
      <c r="N336" s="428" t="s">
        <v>149</v>
      </c>
      <c r="O336" s="428" t="s">
        <v>154</v>
      </c>
      <c r="P336" s="428" t="s">
        <v>151</v>
      </c>
      <c r="Q336" s="428" t="s">
        <v>155</v>
      </c>
      <c r="R336" s="428" t="s">
        <v>8264</v>
      </c>
      <c r="S336" s="428"/>
      <c r="T336" s="428" t="s">
        <v>2753</v>
      </c>
      <c r="U336" s="428" t="s">
        <v>152</v>
      </c>
      <c r="V336" s="428" t="s">
        <v>18</v>
      </c>
    </row>
    <row r="337" spans="1:22">
      <c r="A337" s="6"/>
      <c r="B337" s="216">
        <v>46242</v>
      </c>
      <c r="C337" s="216">
        <v>46242</v>
      </c>
      <c r="D337" s="428" t="s">
        <v>8265</v>
      </c>
      <c r="E337" s="428">
        <v>260105222023</v>
      </c>
      <c r="F337" s="428" t="s">
        <v>87</v>
      </c>
      <c r="G337" s="428" t="s">
        <v>2527</v>
      </c>
      <c r="H337" s="428">
        <v>152</v>
      </c>
      <c r="I337" s="428">
        <v>269</v>
      </c>
      <c r="J337" s="369">
        <v>269</v>
      </c>
      <c r="K337" s="428">
        <v>104</v>
      </c>
      <c r="L337" s="217">
        <v>1800</v>
      </c>
      <c r="M337" s="428" t="s">
        <v>153</v>
      </c>
      <c r="N337" s="428" t="s">
        <v>149</v>
      </c>
      <c r="O337" s="428" t="s">
        <v>154</v>
      </c>
      <c r="P337" s="428" t="s">
        <v>151</v>
      </c>
      <c r="Q337" s="428" t="s">
        <v>155</v>
      </c>
      <c r="R337" s="428" t="s">
        <v>8266</v>
      </c>
      <c r="S337" s="428"/>
      <c r="T337" s="428" t="s">
        <v>2753</v>
      </c>
      <c r="U337" s="428" t="s">
        <v>152</v>
      </c>
      <c r="V337" s="428" t="s">
        <v>18</v>
      </c>
    </row>
    <row r="338" spans="1:22">
      <c r="A338" s="6"/>
      <c r="B338" s="216">
        <v>46242</v>
      </c>
      <c r="C338" s="216">
        <v>46242</v>
      </c>
      <c r="D338" s="428" t="s">
        <v>8267</v>
      </c>
      <c r="E338" s="428">
        <v>260103822054</v>
      </c>
      <c r="F338" s="428" t="s">
        <v>87</v>
      </c>
      <c r="G338" s="428" t="s">
        <v>824</v>
      </c>
      <c r="H338" s="428">
        <v>152</v>
      </c>
      <c r="I338" s="428">
        <v>333</v>
      </c>
      <c r="J338" s="369">
        <v>333</v>
      </c>
      <c r="K338" s="428">
        <v>104</v>
      </c>
      <c r="L338" s="217">
        <v>2220</v>
      </c>
      <c r="M338" s="428" t="s">
        <v>153</v>
      </c>
      <c r="N338" s="428" t="s">
        <v>149</v>
      </c>
      <c r="O338" s="428" t="s">
        <v>154</v>
      </c>
      <c r="P338" s="428" t="s">
        <v>151</v>
      </c>
      <c r="Q338" s="428" t="s">
        <v>155</v>
      </c>
      <c r="R338" s="428" t="s">
        <v>8268</v>
      </c>
      <c r="S338" s="428"/>
      <c r="T338" s="428" t="s">
        <v>2753</v>
      </c>
      <c r="U338" s="428" t="s">
        <v>152</v>
      </c>
      <c r="V338" s="428" t="s">
        <v>18</v>
      </c>
    </row>
    <row r="339" spans="1:22">
      <c r="A339" s="6"/>
      <c r="B339" s="216">
        <v>46242</v>
      </c>
      <c r="C339" s="216">
        <v>46242</v>
      </c>
      <c r="D339" s="428" t="s">
        <v>8269</v>
      </c>
      <c r="E339" s="428">
        <v>260103422059</v>
      </c>
      <c r="F339" s="428" t="s">
        <v>87</v>
      </c>
      <c r="G339" s="428" t="s">
        <v>824</v>
      </c>
      <c r="H339" s="428">
        <v>152</v>
      </c>
      <c r="I339" s="428">
        <v>214</v>
      </c>
      <c r="J339" s="369">
        <v>214</v>
      </c>
      <c r="K339" s="428">
        <v>104</v>
      </c>
      <c r="L339" s="217">
        <v>1400</v>
      </c>
      <c r="M339" s="428" t="s">
        <v>153</v>
      </c>
      <c r="N339" s="428" t="s">
        <v>149</v>
      </c>
      <c r="O339" s="428" t="s">
        <v>154</v>
      </c>
      <c r="P339" s="428" t="s">
        <v>151</v>
      </c>
      <c r="Q339" s="428" t="s">
        <v>155</v>
      </c>
      <c r="R339" s="428" t="s">
        <v>8270</v>
      </c>
      <c r="S339" s="428"/>
      <c r="T339" s="428" t="s">
        <v>2753</v>
      </c>
      <c r="U339" s="428" t="s">
        <v>152</v>
      </c>
      <c r="V339" s="428" t="s">
        <v>18</v>
      </c>
    </row>
    <row r="340" spans="1:22">
      <c r="A340" s="6"/>
      <c r="B340" s="216">
        <v>46242</v>
      </c>
      <c r="C340" s="216">
        <v>46242</v>
      </c>
      <c r="D340" s="428" t="s">
        <v>8271</v>
      </c>
      <c r="E340" s="428">
        <v>260105822026</v>
      </c>
      <c r="F340" s="428" t="s">
        <v>87</v>
      </c>
      <c r="G340" s="428" t="s">
        <v>824</v>
      </c>
      <c r="H340" s="428">
        <v>152</v>
      </c>
      <c r="I340" s="428">
        <v>225</v>
      </c>
      <c r="J340" s="369">
        <v>225</v>
      </c>
      <c r="K340" s="428">
        <v>104</v>
      </c>
      <c r="L340" s="217">
        <v>1500</v>
      </c>
      <c r="M340" s="428" t="s">
        <v>153</v>
      </c>
      <c r="N340" s="428" t="s">
        <v>149</v>
      </c>
      <c r="O340" s="428" t="s">
        <v>154</v>
      </c>
      <c r="P340" s="428" t="s">
        <v>151</v>
      </c>
      <c r="Q340" s="428" t="s">
        <v>155</v>
      </c>
      <c r="R340" s="428" t="s">
        <v>8272</v>
      </c>
      <c r="S340" s="428"/>
      <c r="T340" s="428" t="s">
        <v>2753</v>
      </c>
      <c r="U340" s="428" t="s">
        <v>152</v>
      </c>
      <c r="V340" s="428" t="s">
        <v>18</v>
      </c>
    </row>
    <row r="341" spans="1:22">
      <c r="A341" s="6"/>
      <c r="B341" s="216">
        <v>46242</v>
      </c>
      <c r="C341" s="216">
        <v>46242</v>
      </c>
      <c r="D341" s="428" t="s">
        <v>8273</v>
      </c>
      <c r="E341" s="428">
        <v>260102922051</v>
      </c>
      <c r="F341" s="428" t="s">
        <v>87</v>
      </c>
      <c r="G341" s="428" t="s">
        <v>824</v>
      </c>
      <c r="H341" s="428">
        <v>152</v>
      </c>
      <c r="I341" s="428">
        <v>295</v>
      </c>
      <c r="J341" s="369">
        <v>295</v>
      </c>
      <c r="K341" s="428">
        <v>104</v>
      </c>
      <c r="L341" s="217">
        <v>1950</v>
      </c>
      <c r="M341" s="428" t="s">
        <v>153</v>
      </c>
      <c r="N341" s="428" t="s">
        <v>149</v>
      </c>
      <c r="O341" s="428" t="s">
        <v>154</v>
      </c>
      <c r="P341" s="428" t="s">
        <v>151</v>
      </c>
      <c r="Q341" s="428" t="s">
        <v>155</v>
      </c>
      <c r="R341" s="428" t="s">
        <v>8274</v>
      </c>
      <c r="S341" s="428"/>
      <c r="T341" s="428" t="s">
        <v>2753</v>
      </c>
      <c r="U341" s="428" t="s">
        <v>152</v>
      </c>
      <c r="V341" s="428" t="s">
        <v>18</v>
      </c>
    </row>
    <row r="342" spans="1:22">
      <c r="A342" s="6"/>
      <c r="B342" s="216">
        <v>46242</v>
      </c>
      <c r="C342" s="216">
        <v>46242</v>
      </c>
      <c r="D342" s="428" t="s">
        <v>8275</v>
      </c>
      <c r="E342" s="428">
        <v>260103822055</v>
      </c>
      <c r="F342" s="428" t="s">
        <v>87</v>
      </c>
      <c r="G342" s="428" t="s">
        <v>824</v>
      </c>
      <c r="H342" s="428">
        <v>152</v>
      </c>
      <c r="I342" s="428">
        <v>329</v>
      </c>
      <c r="J342" s="369">
        <v>329</v>
      </c>
      <c r="K342" s="428">
        <v>104</v>
      </c>
      <c r="L342" s="217">
        <v>2220</v>
      </c>
      <c r="M342" s="428" t="s">
        <v>153</v>
      </c>
      <c r="N342" s="428" t="s">
        <v>149</v>
      </c>
      <c r="O342" s="428" t="s">
        <v>154</v>
      </c>
      <c r="P342" s="428" t="s">
        <v>151</v>
      </c>
      <c r="Q342" s="428" t="s">
        <v>155</v>
      </c>
      <c r="R342" s="428" t="s">
        <v>8276</v>
      </c>
      <c r="S342" s="428"/>
      <c r="T342" s="428" t="s">
        <v>2753</v>
      </c>
      <c r="U342" s="428" t="s">
        <v>152</v>
      </c>
      <c r="V342" s="428" t="s">
        <v>18</v>
      </c>
    </row>
    <row r="343" spans="1:22">
      <c r="A343" s="6"/>
      <c r="B343" s="216">
        <v>46242</v>
      </c>
      <c r="C343" s="216">
        <v>46242</v>
      </c>
      <c r="D343" s="428" t="s">
        <v>8277</v>
      </c>
      <c r="E343" s="428">
        <v>260103322056</v>
      </c>
      <c r="F343" s="428" t="s">
        <v>87</v>
      </c>
      <c r="G343" s="428" t="s">
        <v>2409</v>
      </c>
      <c r="H343" s="428">
        <v>152</v>
      </c>
      <c r="I343" s="428">
        <v>289</v>
      </c>
      <c r="J343" s="369">
        <v>289</v>
      </c>
      <c r="K343" s="428">
        <v>97</v>
      </c>
      <c r="L343" s="217">
        <v>2100</v>
      </c>
      <c r="M343" s="428" t="s">
        <v>153</v>
      </c>
      <c r="N343" s="428" t="s">
        <v>149</v>
      </c>
      <c r="O343" s="428" t="s">
        <v>154</v>
      </c>
      <c r="P343" s="428" t="s">
        <v>151</v>
      </c>
      <c r="Q343" s="428" t="s">
        <v>155</v>
      </c>
      <c r="R343" s="428" t="s">
        <v>8278</v>
      </c>
      <c r="S343" s="428"/>
      <c r="T343" s="428" t="s">
        <v>2753</v>
      </c>
      <c r="U343" s="428" t="s">
        <v>152</v>
      </c>
      <c r="V343" s="428" t="s">
        <v>18</v>
      </c>
    </row>
    <row r="344" spans="1:22">
      <c r="A344" s="6"/>
      <c r="B344" s="216">
        <v>46242</v>
      </c>
      <c r="C344" s="216">
        <v>46242</v>
      </c>
      <c r="D344" s="428" t="s">
        <v>8279</v>
      </c>
      <c r="E344" s="428">
        <v>260102822060</v>
      </c>
      <c r="F344" s="428" t="s">
        <v>87</v>
      </c>
      <c r="G344" s="428" t="s">
        <v>8032</v>
      </c>
      <c r="H344" s="428">
        <v>102</v>
      </c>
      <c r="I344" s="428">
        <v>255</v>
      </c>
      <c r="J344" s="369">
        <v>255</v>
      </c>
      <c r="K344" s="428">
        <v>130</v>
      </c>
      <c r="L344" s="217">
        <v>1000</v>
      </c>
      <c r="M344" s="428" t="s">
        <v>153</v>
      </c>
      <c r="N344" s="428" t="s">
        <v>149</v>
      </c>
      <c r="O344" s="428" t="s">
        <v>154</v>
      </c>
      <c r="P344" s="428" t="s">
        <v>151</v>
      </c>
      <c r="Q344" s="428" t="s">
        <v>155</v>
      </c>
      <c r="R344" s="428" t="s">
        <v>8280</v>
      </c>
      <c r="S344" s="428"/>
      <c r="T344" s="428" t="s">
        <v>2753</v>
      </c>
      <c r="U344" s="428" t="s">
        <v>152</v>
      </c>
      <c r="V344" s="428" t="s">
        <v>18</v>
      </c>
    </row>
    <row r="345" spans="1:22">
      <c r="A345" s="6"/>
      <c r="B345" s="216">
        <v>46242</v>
      </c>
      <c r="C345" s="216">
        <v>46242</v>
      </c>
      <c r="D345" s="428" t="s">
        <v>8281</v>
      </c>
      <c r="E345" s="428">
        <v>260101822004</v>
      </c>
      <c r="F345" s="428" t="s">
        <v>87</v>
      </c>
      <c r="G345" s="428" t="s">
        <v>7909</v>
      </c>
      <c r="H345" s="428">
        <v>105</v>
      </c>
      <c r="I345" s="428">
        <v>268</v>
      </c>
      <c r="J345" s="369">
        <v>268</v>
      </c>
      <c r="K345" s="428">
        <v>134</v>
      </c>
      <c r="L345" s="217">
        <v>1000</v>
      </c>
      <c r="M345" s="428" t="s">
        <v>153</v>
      </c>
      <c r="N345" s="428" t="s">
        <v>149</v>
      </c>
      <c r="O345" s="428" t="s">
        <v>154</v>
      </c>
      <c r="P345" s="428" t="s">
        <v>151</v>
      </c>
      <c r="Q345" s="428" t="s">
        <v>155</v>
      </c>
      <c r="R345" s="428" t="s">
        <v>8282</v>
      </c>
      <c r="S345" s="428"/>
      <c r="T345" s="428" t="s">
        <v>2755</v>
      </c>
      <c r="U345" s="428" t="s">
        <v>152</v>
      </c>
      <c r="V345" s="428" t="s">
        <v>18</v>
      </c>
    </row>
    <row r="346" spans="1:22">
      <c r="A346" s="6"/>
      <c r="B346" s="216">
        <v>46242</v>
      </c>
      <c r="C346" s="216">
        <v>46242</v>
      </c>
      <c r="D346" s="428" t="s">
        <v>8283</v>
      </c>
      <c r="E346" s="428">
        <v>260102022002</v>
      </c>
      <c r="F346" s="428" t="s">
        <v>87</v>
      </c>
      <c r="G346" s="428" t="s">
        <v>2303</v>
      </c>
      <c r="H346" s="428">
        <v>92</v>
      </c>
      <c r="I346" s="428">
        <v>242</v>
      </c>
      <c r="J346" s="369">
        <v>242</v>
      </c>
      <c r="K346" s="428">
        <v>134</v>
      </c>
      <c r="L346" s="217">
        <v>1000</v>
      </c>
      <c r="M346" s="428" t="s">
        <v>153</v>
      </c>
      <c r="N346" s="428" t="s">
        <v>149</v>
      </c>
      <c r="O346" s="428" t="s">
        <v>154</v>
      </c>
      <c r="P346" s="428" t="s">
        <v>151</v>
      </c>
      <c r="Q346" s="428" t="s">
        <v>155</v>
      </c>
      <c r="R346" s="428" t="s">
        <v>8284</v>
      </c>
      <c r="S346" s="428"/>
      <c r="T346" s="428" t="s">
        <v>2755</v>
      </c>
      <c r="U346" s="428" t="s">
        <v>152</v>
      </c>
      <c r="V346" s="428" t="s">
        <v>18</v>
      </c>
    </row>
    <row r="347" spans="1:22">
      <c r="A347" s="6"/>
      <c r="B347" s="216">
        <v>46242</v>
      </c>
      <c r="C347" s="216">
        <v>46242</v>
      </c>
      <c r="D347" s="428" t="s">
        <v>8285</v>
      </c>
      <c r="E347" s="428">
        <v>260107822020</v>
      </c>
      <c r="F347" s="428" t="s">
        <v>87</v>
      </c>
      <c r="G347" s="428" t="s">
        <v>2309</v>
      </c>
      <c r="H347" s="428">
        <v>132</v>
      </c>
      <c r="I347" s="428">
        <v>332</v>
      </c>
      <c r="J347" s="369">
        <v>332</v>
      </c>
      <c r="K347" s="428">
        <v>92</v>
      </c>
      <c r="L347" s="217">
        <v>2750</v>
      </c>
      <c r="M347" s="428" t="s">
        <v>153</v>
      </c>
      <c r="N347" s="428" t="s">
        <v>149</v>
      </c>
      <c r="O347" s="428" t="s">
        <v>154</v>
      </c>
      <c r="P347" s="428" t="s">
        <v>151</v>
      </c>
      <c r="Q347" s="428" t="s">
        <v>155</v>
      </c>
      <c r="R347" s="428" t="s">
        <v>8286</v>
      </c>
      <c r="S347" s="428"/>
      <c r="T347" s="428" t="s">
        <v>2755</v>
      </c>
      <c r="U347" s="428" t="s">
        <v>152</v>
      </c>
      <c r="V347" s="428" t="s">
        <v>18</v>
      </c>
    </row>
    <row r="348" spans="1:22">
      <c r="A348" s="6"/>
      <c r="B348" s="216">
        <v>46242</v>
      </c>
      <c r="C348" s="216">
        <v>46242</v>
      </c>
      <c r="D348" s="428" t="s">
        <v>8287</v>
      </c>
      <c r="E348" s="428">
        <v>260107922035</v>
      </c>
      <c r="F348" s="428" t="s">
        <v>87</v>
      </c>
      <c r="G348" s="428" t="s">
        <v>2413</v>
      </c>
      <c r="H348" s="428">
        <v>132</v>
      </c>
      <c r="I348" s="428">
        <v>104</v>
      </c>
      <c r="J348" s="369">
        <v>104</v>
      </c>
      <c r="K348" s="428">
        <v>92</v>
      </c>
      <c r="L348" s="217">
        <v>890</v>
      </c>
      <c r="M348" s="428" t="s">
        <v>153</v>
      </c>
      <c r="N348" s="428" t="s">
        <v>149</v>
      </c>
      <c r="O348" s="428" t="s">
        <v>154</v>
      </c>
      <c r="P348" s="428" t="s">
        <v>151</v>
      </c>
      <c r="Q348" s="428" t="s">
        <v>155</v>
      </c>
      <c r="R348" s="428" t="s">
        <v>8288</v>
      </c>
      <c r="S348" s="428"/>
      <c r="T348" s="428" t="s">
        <v>2755</v>
      </c>
      <c r="U348" s="428" t="s">
        <v>152</v>
      </c>
      <c r="V348" s="428" t="s">
        <v>18</v>
      </c>
    </row>
    <row r="349" spans="1:22">
      <c r="A349" s="6"/>
      <c r="B349" s="216">
        <v>46242</v>
      </c>
      <c r="C349" s="216">
        <v>46242</v>
      </c>
      <c r="D349" s="428" t="s">
        <v>8289</v>
      </c>
      <c r="E349" s="428">
        <v>260105422049</v>
      </c>
      <c r="F349" s="428" t="s">
        <v>87</v>
      </c>
      <c r="G349" s="428" t="s">
        <v>8290</v>
      </c>
      <c r="H349" s="428">
        <v>140</v>
      </c>
      <c r="I349" s="428">
        <v>240</v>
      </c>
      <c r="J349" s="369">
        <v>240</v>
      </c>
      <c r="K349" s="428">
        <v>83</v>
      </c>
      <c r="L349" s="217">
        <v>2180</v>
      </c>
      <c r="M349" s="428" t="s">
        <v>153</v>
      </c>
      <c r="N349" s="428" t="s">
        <v>149</v>
      </c>
      <c r="O349" s="428" t="s">
        <v>154</v>
      </c>
      <c r="P349" s="428" t="s">
        <v>151</v>
      </c>
      <c r="Q349" s="428" t="s">
        <v>155</v>
      </c>
      <c r="R349" s="428" t="s">
        <v>8291</v>
      </c>
      <c r="S349" s="428"/>
      <c r="T349" s="428" t="s">
        <v>2755</v>
      </c>
      <c r="U349" s="428" t="s">
        <v>152</v>
      </c>
      <c r="V349" s="428" t="s">
        <v>18</v>
      </c>
    </row>
    <row r="350" spans="1:22">
      <c r="A350" s="6"/>
      <c r="B350" s="216">
        <v>46242</v>
      </c>
      <c r="C350" s="216">
        <v>46242</v>
      </c>
      <c r="D350" s="428" t="s">
        <v>8292</v>
      </c>
      <c r="E350" s="428">
        <v>260102322066</v>
      </c>
      <c r="F350" s="428" t="s">
        <v>87</v>
      </c>
      <c r="G350" s="428" t="s">
        <v>8032</v>
      </c>
      <c r="H350" s="428">
        <v>102</v>
      </c>
      <c r="I350" s="428">
        <v>262</v>
      </c>
      <c r="J350" s="369">
        <v>262</v>
      </c>
      <c r="K350" s="428">
        <v>130</v>
      </c>
      <c r="L350" s="217">
        <v>1000</v>
      </c>
      <c r="M350" s="428" t="s">
        <v>153</v>
      </c>
      <c r="N350" s="428" t="s">
        <v>149</v>
      </c>
      <c r="O350" s="428" t="s">
        <v>154</v>
      </c>
      <c r="P350" s="428" t="s">
        <v>151</v>
      </c>
      <c r="Q350" s="428" t="s">
        <v>155</v>
      </c>
      <c r="R350" s="428" t="s">
        <v>8293</v>
      </c>
      <c r="S350" s="428"/>
      <c r="T350" s="428" t="s">
        <v>2755</v>
      </c>
      <c r="U350" s="428" t="s">
        <v>152</v>
      </c>
      <c r="V350" s="428" t="s">
        <v>18</v>
      </c>
    </row>
    <row r="351" spans="1:22">
      <c r="A351" s="6"/>
      <c r="B351" s="216">
        <v>46242</v>
      </c>
      <c r="C351" s="216">
        <v>46242</v>
      </c>
      <c r="D351" s="428" t="s">
        <v>8294</v>
      </c>
      <c r="E351" s="428">
        <v>260101622006</v>
      </c>
      <c r="F351" s="428" t="s">
        <v>87</v>
      </c>
      <c r="G351" s="428" t="s">
        <v>2079</v>
      </c>
      <c r="H351" s="428">
        <v>112</v>
      </c>
      <c r="I351" s="428">
        <v>391</v>
      </c>
      <c r="J351" s="369">
        <v>391</v>
      </c>
      <c r="K351" s="428">
        <v>180</v>
      </c>
      <c r="L351" s="217">
        <v>1000</v>
      </c>
      <c r="M351" s="428" t="s">
        <v>153</v>
      </c>
      <c r="N351" s="428" t="s">
        <v>149</v>
      </c>
      <c r="O351" s="428" t="s">
        <v>154</v>
      </c>
      <c r="P351" s="428" t="s">
        <v>151</v>
      </c>
      <c r="Q351" s="428" t="s">
        <v>155</v>
      </c>
      <c r="R351" s="428" t="s">
        <v>8295</v>
      </c>
      <c r="S351" s="428"/>
      <c r="T351" s="428" t="s">
        <v>2755</v>
      </c>
      <c r="U351" s="428" t="s">
        <v>152</v>
      </c>
      <c r="V351" s="428" t="s">
        <v>18</v>
      </c>
    </row>
    <row r="352" spans="1:22">
      <c r="A352" s="6"/>
      <c r="B352" s="216">
        <v>46242</v>
      </c>
      <c r="C352" s="216">
        <v>46242</v>
      </c>
      <c r="D352" s="428" t="s">
        <v>8296</v>
      </c>
      <c r="E352" s="428">
        <v>260101722065</v>
      </c>
      <c r="F352" s="428" t="s">
        <v>87</v>
      </c>
      <c r="G352" s="428" t="s">
        <v>2303</v>
      </c>
      <c r="H352" s="428">
        <v>92</v>
      </c>
      <c r="I352" s="428">
        <v>241</v>
      </c>
      <c r="J352" s="369">
        <v>241</v>
      </c>
      <c r="K352" s="428">
        <v>134</v>
      </c>
      <c r="L352" s="217">
        <v>1000</v>
      </c>
      <c r="M352" s="428" t="s">
        <v>153</v>
      </c>
      <c r="N352" s="428" t="s">
        <v>149</v>
      </c>
      <c r="O352" s="428" t="s">
        <v>154</v>
      </c>
      <c r="P352" s="428" t="s">
        <v>151</v>
      </c>
      <c r="Q352" s="428" t="s">
        <v>155</v>
      </c>
      <c r="R352" s="428" t="s">
        <v>8297</v>
      </c>
      <c r="S352" s="428"/>
      <c r="T352" s="428" t="s">
        <v>2755</v>
      </c>
      <c r="U352" s="428" t="s">
        <v>152</v>
      </c>
      <c r="V352" s="428" t="s">
        <v>18</v>
      </c>
    </row>
    <row r="353" spans="1:22">
      <c r="A353" s="6"/>
      <c r="B353" s="216">
        <v>46242</v>
      </c>
      <c r="C353" s="216">
        <v>46242</v>
      </c>
      <c r="D353" s="428" t="s">
        <v>8298</v>
      </c>
      <c r="E353" s="428">
        <v>260100722068</v>
      </c>
      <c r="F353" s="428" t="s">
        <v>87</v>
      </c>
      <c r="G353" s="428" t="s">
        <v>7586</v>
      </c>
      <c r="H353" s="428">
        <v>132</v>
      </c>
      <c r="I353" s="428">
        <v>306</v>
      </c>
      <c r="J353" s="369">
        <v>306</v>
      </c>
      <c r="K353" s="428">
        <v>170</v>
      </c>
      <c r="L353" s="217">
        <v>700</v>
      </c>
      <c r="M353" s="428" t="s">
        <v>153</v>
      </c>
      <c r="N353" s="428" t="s">
        <v>149</v>
      </c>
      <c r="O353" s="428" t="s">
        <v>154</v>
      </c>
      <c r="P353" s="428" t="s">
        <v>151</v>
      </c>
      <c r="Q353" s="428" t="s">
        <v>155</v>
      </c>
      <c r="R353" s="428" t="s">
        <v>8299</v>
      </c>
      <c r="S353" s="428"/>
      <c r="T353" s="428" t="s">
        <v>2755</v>
      </c>
      <c r="U353" s="428" t="s">
        <v>152</v>
      </c>
      <c r="V353" s="428" t="s">
        <v>18</v>
      </c>
    </row>
    <row r="354" spans="1:22">
      <c r="A354" s="6"/>
      <c r="B354" s="216">
        <v>46242</v>
      </c>
      <c r="C354" s="216">
        <v>46242</v>
      </c>
      <c r="D354" s="428" t="s">
        <v>8300</v>
      </c>
      <c r="E354" s="428">
        <v>260100422069</v>
      </c>
      <c r="F354" s="428" t="s">
        <v>87</v>
      </c>
      <c r="G354" s="428" t="s">
        <v>2420</v>
      </c>
      <c r="H354" s="428">
        <v>122</v>
      </c>
      <c r="I354" s="428">
        <v>432</v>
      </c>
      <c r="J354" s="369">
        <v>432</v>
      </c>
      <c r="K354" s="428">
        <v>190</v>
      </c>
      <c r="L354" s="217">
        <v>950</v>
      </c>
      <c r="M354" s="428" t="s">
        <v>153</v>
      </c>
      <c r="N354" s="428" t="s">
        <v>149</v>
      </c>
      <c r="O354" s="428" t="s">
        <v>154</v>
      </c>
      <c r="P354" s="428" t="s">
        <v>151</v>
      </c>
      <c r="Q354" s="428" t="s">
        <v>155</v>
      </c>
      <c r="R354" s="428" t="s">
        <v>8301</v>
      </c>
      <c r="S354" s="428"/>
      <c r="T354" s="428" t="s">
        <v>2755</v>
      </c>
      <c r="U354" s="428" t="s">
        <v>152</v>
      </c>
      <c r="V354" s="428" t="s">
        <v>18</v>
      </c>
    </row>
    <row r="355" spans="1:22">
      <c r="A355" s="6"/>
      <c r="B355" s="216">
        <v>46242</v>
      </c>
      <c r="C355" s="216">
        <v>46242</v>
      </c>
      <c r="D355" s="428" t="s">
        <v>8302</v>
      </c>
      <c r="E355" s="428">
        <v>260106320392</v>
      </c>
      <c r="F355" s="428" t="s">
        <v>87</v>
      </c>
      <c r="G355" s="428" t="s">
        <v>2533</v>
      </c>
      <c r="H355" s="428" t="s">
        <v>2416</v>
      </c>
      <c r="I355" s="428">
        <v>661</v>
      </c>
      <c r="J355" s="369">
        <v>661</v>
      </c>
      <c r="K355" s="428">
        <v>119</v>
      </c>
      <c r="L355" s="217">
        <v>5550</v>
      </c>
      <c r="M355" s="428" t="s">
        <v>153</v>
      </c>
      <c r="N355" s="428" t="s">
        <v>149</v>
      </c>
      <c r="O355" s="428" t="s">
        <v>154</v>
      </c>
      <c r="P355" s="428" t="s">
        <v>151</v>
      </c>
      <c r="Q355" s="428" t="s">
        <v>156</v>
      </c>
      <c r="R355" s="428" t="s">
        <v>8303</v>
      </c>
      <c r="S355" s="428"/>
      <c r="T355" s="428" t="s">
        <v>2755</v>
      </c>
      <c r="U355" s="428" t="s">
        <v>152</v>
      </c>
      <c r="V355" s="428" t="s">
        <v>20</v>
      </c>
    </row>
    <row r="356" spans="1:22">
      <c r="A356" s="6"/>
      <c r="B356" s="216">
        <v>46242</v>
      </c>
      <c r="C356" s="216">
        <v>46242</v>
      </c>
      <c r="D356" s="428" t="s">
        <v>8304</v>
      </c>
      <c r="E356" s="428">
        <v>260104821968</v>
      </c>
      <c r="F356" s="428" t="s">
        <v>87</v>
      </c>
      <c r="G356" s="428" t="s">
        <v>2533</v>
      </c>
      <c r="H356" s="428" t="s">
        <v>2524</v>
      </c>
      <c r="I356" s="428">
        <v>390</v>
      </c>
      <c r="J356" s="369">
        <v>390</v>
      </c>
      <c r="K356" s="428">
        <v>119</v>
      </c>
      <c r="L356" s="217">
        <v>2000</v>
      </c>
      <c r="M356" s="428" t="s">
        <v>153</v>
      </c>
      <c r="N356" s="428" t="s">
        <v>149</v>
      </c>
      <c r="O356" s="428" t="s">
        <v>154</v>
      </c>
      <c r="P356" s="428" t="s">
        <v>151</v>
      </c>
      <c r="Q356" s="428" t="s">
        <v>156</v>
      </c>
      <c r="R356" s="428" t="s">
        <v>8305</v>
      </c>
      <c r="S356" s="428"/>
      <c r="T356" s="428" t="s">
        <v>2755</v>
      </c>
      <c r="U356" s="428" t="s">
        <v>152</v>
      </c>
      <c r="V356" s="428" t="s">
        <v>20</v>
      </c>
    </row>
    <row r="357" spans="1:22">
      <c r="A357" s="6"/>
      <c r="B357" s="216">
        <v>46242</v>
      </c>
      <c r="C357" s="216">
        <v>46242</v>
      </c>
      <c r="D357" s="428" t="s">
        <v>8306</v>
      </c>
      <c r="E357" s="428">
        <v>260104821875</v>
      </c>
      <c r="F357" s="428" t="s">
        <v>87</v>
      </c>
      <c r="G357" s="428" t="s">
        <v>2533</v>
      </c>
      <c r="H357" s="428" t="s">
        <v>2524</v>
      </c>
      <c r="I357" s="428">
        <v>380</v>
      </c>
      <c r="J357" s="369">
        <v>380</v>
      </c>
      <c r="K357" s="428">
        <v>119</v>
      </c>
      <c r="L357" s="217">
        <v>1980</v>
      </c>
      <c r="M357" s="428" t="s">
        <v>153</v>
      </c>
      <c r="N357" s="428" t="s">
        <v>149</v>
      </c>
      <c r="O357" s="428" t="s">
        <v>154</v>
      </c>
      <c r="P357" s="428" t="s">
        <v>151</v>
      </c>
      <c r="Q357" s="428" t="s">
        <v>156</v>
      </c>
      <c r="R357" s="428" t="s">
        <v>8307</v>
      </c>
      <c r="S357" s="428"/>
      <c r="T357" s="428" t="s">
        <v>2755</v>
      </c>
      <c r="U357" s="428" t="s">
        <v>152</v>
      </c>
      <c r="V357" s="428" t="s">
        <v>20</v>
      </c>
    </row>
    <row r="358" spans="1:22">
      <c r="A358" s="6"/>
      <c r="B358" s="216">
        <v>46242</v>
      </c>
      <c r="C358" s="216">
        <v>46242</v>
      </c>
      <c r="D358" s="428" t="s">
        <v>8308</v>
      </c>
      <c r="E358" s="428">
        <v>260105621969</v>
      </c>
      <c r="F358" s="428" t="s">
        <v>87</v>
      </c>
      <c r="G358" s="428" t="s">
        <v>2533</v>
      </c>
      <c r="H358" s="428" t="s">
        <v>2524</v>
      </c>
      <c r="I358" s="428">
        <v>465</v>
      </c>
      <c r="J358" s="369">
        <v>465</v>
      </c>
      <c r="K358" s="428">
        <v>119</v>
      </c>
      <c r="L358" s="217">
        <v>2400</v>
      </c>
      <c r="M358" s="428" t="s">
        <v>153</v>
      </c>
      <c r="N358" s="428" t="s">
        <v>149</v>
      </c>
      <c r="O358" s="428" t="s">
        <v>154</v>
      </c>
      <c r="P358" s="428" t="s">
        <v>151</v>
      </c>
      <c r="Q358" s="428" t="s">
        <v>156</v>
      </c>
      <c r="R358" s="428" t="s">
        <v>8309</v>
      </c>
      <c r="S358" s="428"/>
      <c r="T358" s="428" t="s">
        <v>2755</v>
      </c>
      <c r="U358" s="428" t="s">
        <v>152</v>
      </c>
      <c r="V358" s="428" t="s">
        <v>20</v>
      </c>
    </row>
    <row r="359" spans="1:22">
      <c r="A359" s="6"/>
      <c r="B359" s="216">
        <v>46242</v>
      </c>
      <c r="C359" s="216">
        <v>46242</v>
      </c>
      <c r="D359" s="428" t="s">
        <v>8310</v>
      </c>
      <c r="E359" s="428">
        <v>260105621873</v>
      </c>
      <c r="F359" s="428" t="s">
        <v>87</v>
      </c>
      <c r="G359" s="428" t="s">
        <v>2533</v>
      </c>
      <c r="H359" s="428" t="s">
        <v>2524</v>
      </c>
      <c r="I359" s="428">
        <v>516</v>
      </c>
      <c r="J359" s="369">
        <v>516</v>
      </c>
      <c r="K359" s="428">
        <v>119</v>
      </c>
      <c r="L359" s="217">
        <v>2670</v>
      </c>
      <c r="M359" s="428" t="s">
        <v>153</v>
      </c>
      <c r="N359" s="428" t="s">
        <v>149</v>
      </c>
      <c r="O359" s="428" t="s">
        <v>154</v>
      </c>
      <c r="P359" s="428" t="s">
        <v>151</v>
      </c>
      <c r="Q359" s="428" t="s">
        <v>156</v>
      </c>
      <c r="R359" s="428" t="s">
        <v>8311</v>
      </c>
      <c r="S359" s="428"/>
      <c r="T359" s="428" t="s">
        <v>2755</v>
      </c>
      <c r="U359" s="428" t="s">
        <v>152</v>
      </c>
      <c r="V359" s="428" t="s">
        <v>20</v>
      </c>
    </row>
    <row r="360" spans="1:22">
      <c r="A360" s="6"/>
      <c r="B360" s="216">
        <v>46242</v>
      </c>
      <c r="C360" s="216">
        <v>46242</v>
      </c>
      <c r="D360" s="428" t="s">
        <v>8312</v>
      </c>
      <c r="E360" s="428" t="s">
        <v>8313</v>
      </c>
      <c r="F360" s="428" t="s">
        <v>94</v>
      </c>
      <c r="G360" s="428" t="s">
        <v>8314</v>
      </c>
      <c r="H360" s="428" t="s">
        <v>8315</v>
      </c>
      <c r="I360" s="428">
        <v>505</v>
      </c>
      <c r="J360" s="369">
        <v>505</v>
      </c>
      <c r="K360" s="428">
        <v>101</v>
      </c>
      <c r="L360" s="217">
        <v>6800</v>
      </c>
      <c r="M360" s="428" t="s">
        <v>153</v>
      </c>
      <c r="N360" s="428" t="s">
        <v>149</v>
      </c>
      <c r="O360" s="428" t="s">
        <v>154</v>
      </c>
      <c r="P360" s="428" t="s">
        <v>151</v>
      </c>
      <c r="Q360" s="428" t="s">
        <v>156</v>
      </c>
      <c r="R360" s="428" t="s">
        <v>8316</v>
      </c>
      <c r="S360" s="428"/>
      <c r="T360" s="428" t="s">
        <v>8317</v>
      </c>
      <c r="U360" s="428" t="s">
        <v>152</v>
      </c>
      <c r="V360" s="428" t="s">
        <v>20</v>
      </c>
    </row>
    <row r="361" spans="1:22">
      <c r="A361" s="6"/>
      <c r="B361" s="216">
        <v>46242</v>
      </c>
      <c r="C361" s="216">
        <v>46242</v>
      </c>
      <c r="D361" s="428" t="s">
        <v>8318</v>
      </c>
      <c r="E361" s="428" t="s">
        <v>8319</v>
      </c>
      <c r="F361" s="428" t="s">
        <v>94</v>
      </c>
      <c r="G361" s="428" t="s">
        <v>8320</v>
      </c>
      <c r="H361" s="428" t="s">
        <v>627</v>
      </c>
      <c r="I361" s="428">
        <v>162</v>
      </c>
      <c r="J361" s="369">
        <v>162</v>
      </c>
      <c r="K361" s="428">
        <v>82</v>
      </c>
      <c r="L361" s="217">
        <v>1881</v>
      </c>
      <c r="M361" s="428" t="s">
        <v>153</v>
      </c>
      <c r="N361" s="428" t="s">
        <v>149</v>
      </c>
      <c r="O361" s="428" t="s">
        <v>154</v>
      </c>
      <c r="P361" s="428" t="s">
        <v>151</v>
      </c>
      <c r="Q361" s="428" t="s">
        <v>156</v>
      </c>
      <c r="R361" s="428" t="s">
        <v>8321</v>
      </c>
      <c r="S361" s="428"/>
      <c r="T361" s="428" t="s">
        <v>8322</v>
      </c>
      <c r="U361" s="428" t="s">
        <v>152</v>
      </c>
      <c r="V361" s="428" t="s">
        <v>20</v>
      </c>
    </row>
    <row r="362" spans="1:22">
      <c r="A362" s="6"/>
      <c r="B362" s="216">
        <v>46242</v>
      </c>
      <c r="C362" s="216">
        <v>46242</v>
      </c>
      <c r="D362" s="428" t="s">
        <v>8323</v>
      </c>
      <c r="E362" s="428" t="s">
        <v>8324</v>
      </c>
      <c r="F362" s="428" t="s">
        <v>94</v>
      </c>
      <c r="G362" s="428" t="s">
        <v>8325</v>
      </c>
      <c r="H362" s="428" t="s">
        <v>2529</v>
      </c>
      <c r="I362" s="428">
        <v>176</v>
      </c>
      <c r="J362" s="369">
        <v>176</v>
      </c>
      <c r="K362" s="428">
        <v>52</v>
      </c>
      <c r="L362" s="217">
        <v>4780</v>
      </c>
      <c r="M362" s="428" t="s">
        <v>153</v>
      </c>
      <c r="N362" s="428" t="s">
        <v>149</v>
      </c>
      <c r="O362" s="428" t="s">
        <v>154</v>
      </c>
      <c r="P362" s="428" t="s">
        <v>151</v>
      </c>
      <c r="Q362" s="428" t="s">
        <v>156</v>
      </c>
      <c r="R362" s="428" t="s">
        <v>8326</v>
      </c>
      <c r="S362" s="428"/>
      <c r="T362" s="428" t="s">
        <v>8322</v>
      </c>
      <c r="U362" s="428" t="s">
        <v>152</v>
      </c>
      <c r="V362" s="428" t="s">
        <v>20</v>
      </c>
    </row>
    <row r="363" spans="1:22">
      <c r="A363" s="6"/>
      <c r="B363" s="216">
        <v>46242</v>
      </c>
      <c r="C363" s="216">
        <v>46242</v>
      </c>
      <c r="D363" s="428" t="s">
        <v>8327</v>
      </c>
      <c r="E363" s="428" t="s">
        <v>8328</v>
      </c>
      <c r="F363" s="428" t="s">
        <v>94</v>
      </c>
      <c r="G363" s="428" t="s">
        <v>8329</v>
      </c>
      <c r="H363" s="428" t="s">
        <v>627</v>
      </c>
      <c r="I363" s="428">
        <v>260</v>
      </c>
      <c r="J363" s="369">
        <v>260</v>
      </c>
      <c r="K363" s="428">
        <v>55</v>
      </c>
      <c r="L363" s="217">
        <v>4700</v>
      </c>
      <c r="M363" s="428" t="s">
        <v>153</v>
      </c>
      <c r="N363" s="428" t="s">
        <v>149</v>
      </c>
      <c r="O363" s="428" t="s">
        <v>154</v>
      </c>
      <c r="P363" s="428" t="s">
        <v>151</v>
      </c>
      <c r="Q363" s="428" t="s">
        <v>156</v>
      </c>
      <c r="R363" s="428" t="s">
        <v>8330</v>
      </c>
      <c r="S363" s="428"/>
      <c r="T363" s="428" t="s">
        <v>8322</v>
      </c>
      <c r="U363" s="428" t="s">
        <v>152</v>
      </c>
      <c r="V363" s="428" t="s">
        <v>20</v>
      </c>
    </row>
    <row r="364" spans="1:22">
      <c r="A364" s="6"/>
      <c r="B364" s="216">
        <v>46242</v>
      </c>
      <c r="C364" s="216">
        <v>46242</v>
      </c>
      <c r="D364" s="428" t="s">
        <v>8331</v>
      </c>
      <c r="E364" s="428" t="s">
        <v>8332</v>
      </c>
      <c r="F364" s="428" t="s">
        <v>94</v>
      </c>
      <c r="G364" s="428" t="s">
        <v>8314</v>
      </c>
      <c r="H364" s="428" t="s">
        <v>8333</v>
      </c>
      <c r="I364" s="428">
        <v>316</v>
      </c>
      <c r="J364" s="369">
        <v>316</v>
      </c>
      <c r="K364" s="428">
        <v>101</v>
      </c>
      <c r="L364" s="217">
        <v>4570</v>
      </c>
      <c r="M364" s="428" t="s">
        <v>153</v>
      </c>
      <c r="N364" s="428" t="s">
        <v>149</v>
      </c>
      <c r="O364" s="428" t="s">
        <v>154</v>
      </c>
      <c r="P364" s="428" t="s">
        <v>151</v>
      </c>
      <c r="Q364" s="428" t="s">
        <v>156</v>
      </c>
      <c r="R364" s="428" t="s">
        <v>8334</v>
      </c>
      <c r="S364" s="428"/>
      <c r="T364" s="428" t="s">
        <v>8322</v>
      </c>
      <c r="U364" s="428" t="s">
        <v>152</v>
      </c>
      <c r="V364" s="428" t="s">
        <v>20</v>
      </c>
    </row>
    <row r="365" spans="1:22">
      <c r="A365" s="6"/>
      <c r="B365" s="216">
        <v>46242</v>
      </c>
      <c r="C365" s="216">
        <v>46242</v>
      </c>
      <c r="D365" s="428" t="s">
        <v>8335</v>
      </c>
      <c r="E365" s="428" t="s">
        <v>8336</v>
      </c>
      <c r="F365" s="428" t="s">
        <v>94</v>
      </c>
      <c r="G365" s="428" t="s">
        <v>8337</v>
      </c>
      <c r="H365" s="428" t="s">
        <v>2416</v>
      </c>
      <c r="I365" s="428">
        <v>141</v>
      </c>
      <c r="J365" s="369">
        <v>141</v>
      </c>
      <c r="K365" s="428">
        <v>51</v>
      </c>
      <c r="L365" s="217">
        <v>2697</v>
      </c>
      <c r="M365" s="428" t="s">
        <v>153</v>
      </c>
      <c r="N365" s="428" t="s">
        <v>149</v>
      </c>
      <c r="O365" s="428" t="s">
        <v>154</v>
      </c>
      <c r="P365" s="428" t="s">
        <v>151</v>
      </c>
      <c r="Q365" s="428" t="s">
        <v>156</v>
      </c>
      <c r="R365" s="428" t="s">
        <v>8338</v>
      </c>
      <c r="S365" s="428"/>
      <c r="T365" s="428" t="s">
        <v>8322</v>
      </c>
      <c r="U365" s="428" t="s">
        <v>152</v>
      </c>
      <c r="V365" s="428" t="s">
        <v>20</v>
      </c>
    </row>
    <row r="366" spans="1:22">
      <c r="A366" s="6"/>
      <c r="B366" s="216">
        <v>46242</v>
      </c>
      <c r="C366" s="216">
        <v>46242</v>
      </c>
      <c r="D366" s="428" t="s">
        <v>8339</v>
      </c>
      <c r="E366" s="428" t="s">
        <v>8340</v>
      </c>
      <c r="F366" s="428" t="s">
        <v>94</v>
      </c>
      <c r="G366" s="428" t="s">
        <v>8337</v>
      </c>
      <c r="H366" s="428" t="s">
        <v>627</v>
      </c>
      <c r="I366" s="428">
        <v>183</v>
      </c>
      <c r="J366" s="369">
        <v>183</v>
      </c>
      <c r="K366" s="428">
        <v>51</v>
      </c>
      <c r="L366" s="217">
        <v>3480</v>
      </c>
      <c r="M366" s="428" t="s">
        <v>153</v>
      </c>
      <c r="N366" s="428" t="s">
        <v>149</v>
      </c>
      <c r="O366" s="428" t="s">
        <v>154</v>
      </c>
      <c r="P366" s="428" t="s">
        <v>151</v>
      </c>
      <c r="Q366" s="428" t="s">
        <v>156</v>
      </c>
      <c r="R366" s="428" t="s">
        <v>8341</v>
      </c>
      <c r="S366" s="428"/>
      <c r="T366" s="428" t="s">
        <v>8322</v>
      </c>
      <c r="U366" s="428" t="s">
        <v>152</v>
      </c>
      <c r="V366" s="428" t="s">
        <v>20</v>
      </c>
    </row>
    <row r="367" spans="1:22">
      <c r="A367" s="6"/>
      <c r="B367" s="216">
        <v>46243</v>
      </c>
      <c r="C367" s="216">
        <v>46243</v>
      </c>
      <c r="D367" s="428" t="s">
        <v>8342</v>
      </c>
      <c r="E367" s="428">
        <v>260101422123</v>
      </c>
      <c r="F367" s="428" t="s">
        <v>87</v>
      </c>
      <c r="G367" s="428" t="s">
        <v>824</v>
      </c>
      <c r="H367" s="428">
        <v>152</v>
      </c>
      <c r="I367" s="428">
        <v>244</v>
      </c>
      <c r="J367" s="369">
        <v>244</v>
      </c>
      <c r="K367" s="428">
        <v>104</v>
      </c>
      <c r="L367" s="217">
        <v>1600</v>
      </c>
      <c r="M367" s="428" t="s">
        <v>153</v>
      </c>
      <c r="N367" s="428" t="s">
        <v>149</v>
      </c>
      <c r="O367" s="428" t="s">
        <v>154</v>
      </c>
      <c r="P367" s="428" t="s">
        <v>151</v>
      </c>
      <c r="Q367" s="428" t="s">
        <v>155</v>
      </c>
      <c r="R367" s="428" t="s">
        <v>8343</v>
      </c>
      <c r="S367" s="428"/>
      <c r="T367" s="428" t="s">
        <v>2767</v>
      </c>
      <c r="U367" s="428" t="s">
        <v>152</v>
      </c>
      <c r="V367" s="428" t="s">
        <v>18</v>
      </c>
    </row>
    <row r="368" spans="1:22">
      <c r="A368" s="6"/>
      <c r="B368" s="216">
        <v>46243</v>
      </c>
      <c r="C368" s="216">
        <v>46243</v>
      </c>
      <c r="D368" s="428" t="s">
        <v>8344</v>
      </c>
      <c r="E368" s="428">
        <v>260101422124</v>
      </c>
      <c r="F368" s="428" t="s">
        <v>87</v>
      </c>
      <c r="G368" s="428" t="s">
        <v>824</v>
      </c>
      <c r="H368" s="428">
        <v>152</v>
      </c>
      <c r="I368" s="428">
        <v>244</v>
      </c>
      <c r="J368" s="369">
        <v>244</v>
      </c>
      <c r="K368" s="428">
        <v>104</v>
      </c>
      <c r="L368" s="217">
        <v>1600</v>
      </c>
      <c r="M368" s="428" t="s">
        <v>153</v>
      </c>
      <c r="N368" s="428" t="s">
        <v>149</v>
      </c>
      <c r="O368" s="428" t="s">
        <v>154</v>
      </c>
      <c r="P368" s="428" t="s">
        <v>151</v>
      </c>
      <c r="Q368" s="428" t="s">
        <v>155</v>
      </c>
      <c r="R368" s="428" t="s">
        <v>8345</v>
      </c>
      <c r="S368" s="428"/>
      <c r="T368" s="428" t="s">
        <v>2767</v>
      </c>
      <c r="U368" s="428" t="s">
        <v>152</v>
      </c>
      <c r="V368" s="428" t="s">
        <v>18</v>
      </c>
    </row>
    <row r="369" spans="1:22">
      <c r="A369" s="6"/>
      <c r="B369" s="216">
        <v>46243</v>
      </c>
      <c r="C369" s="216">
        <v>46243</v>
      </c>
      <c r="D369" s="428" t="s">
        <v>8346</v>
      </c>
      <c r="E369" s="428">
        <v>260102322126</v>
      </c>
      <c r="F369" s="428" t="s">
        <v>87</v>
      </c>
      <c r="G369" s="428" t="s">
        <v>8032</v>
      </c>
      <c r="H369" s="428">
        <v>102</v>
      </c>
      <c r="I369" s="428">
        <v>261</v>
      </c>
      <c r="J369" s="369">
        <v>261</v>
      </c>
      <c r="K369" s="428">
        <v>130</v>
      </c>
      <c r="L369" s="217">
        <v>1000</v>
      </c>
      <c r="M369" s="428" t="s">
        <v>153</v>
      </c>
      <c r="N369" s="428" t="s">
        <v>149</v>
      </c>
      <c r="O369" s="428" t="s">
        <v>154</v>
      </c>
      <c r="P369" s="428" t="s">
        <v>151</v>
      </c>
      <c r="Q369" s="428" t="s">
        <v>155</v>
      </c>
      <c r="R369" s="428" t="s">
        <v>8347</v>
      </c>
      <c r="S369" s="428"/>
      <c r="T369" s="428" t="s">
        <v>2767</v>
      </c>
      <c r="U369" s="428" t="s">
        <v>152</v>
      </c>
      <c r="V369" s="428" t="s">
        <v>18</v>
      </c>
    </row>
    <row r="370" spans="1:22">
      <c r="A370" s="6"/>
      <c r="B370" s="216">
        <v>46243</v>
      </c>
      <c r="C370" s="216">
        <v>46243</v>
      </c>
      <c r="D370" s="428" t="s">
        <v>8348</v>
      </c>
      <c r="E370" s="428">
        <v>260102922139</v>
      </c>
      <c r="F370" s="428" t="s">
        <v>87</v>
      </c>
      <c r="G370" s="428" t="s">
        <v>824</v>
      </c>
      <c r="H370" s="428">
        <v>152</v>
      </c>
      <c r="I370" s="428">
        <v>225</v>
      </c>
      <c r="J370" s="369">
        <v>225</v>
      </c>
      <c r="K370" s="428">
        <v>104</v>
      </c>
      <c r="L370" s="217">
        <v>1500</v>
      </c>
      <c r="M370" s="428" t="s">
        <v>153</v>
      </c>
      <c r="N370" s="428" t="s">
        <v>149</v>
      </c>
      <c r="O370" s="428" t="s">
        <v>154</v>
      </c>
      <c r="P370" s="428" t="s">
        <v>151</v>
      </c>
      <c r="Q370" s="428" t="s">
        <v>155</v>
      </c>
      <c r="R370" s="428" t="s">
        <v>8349</v>
      </c>
      <c r="S370" s="428"/>
      <c r="T370" s="428" t="s">
        <v>2767</v>
      </c>
      <c r="U370" s="428" t="s">
        <v>152</v>
      </c>
      <c r="V370" s="428" t="s">
        <v>18</v>
      </c>
    </row>
    <row r="371" spans="1:22">
      <c r="A371" s="6"/>
      <c r="B371" s="216">
        <v>46243</v>
      </c>
      <c r="C371" s="216">
        <v>46243</v>
      </c>
      <c r="D371" s="428" t="s">
        <v>8350</v>
      </c>
      <c r="E371" s="428">
        <v>260101822127</v>
      </c>
      <c r="F371" s="428" t="s">
        <v>87</v>
      </c>
      <c r="G371" s="428" t="s">
        <v>7909</v>
      </c>
      <c r="H371" s="428">
        <v>105</v>
      </c>
      <c r="I371" s="428">
        <v>273</v>
      </c>
      <c r="J371" s="369">
        <v>273</v>
      </c>
      <c r="K371" s="428">
        <v>134</v>
      </c>
      <c r="L371" s="217">
        <v>1000</v>
      </c>
      <c r="M371" s="428" t="s">
        <v>153</v>
      </c>
      <c r="N371" s="428" t="s">
        <v>149</v>
      </c>
      <c r="O371" s="428" t="s">
        <v>154</v>
      </c>
      <c r="P371" s="428" t="s">
        <v>151</v>
      </c>
      <c r="Q371" s="428" t="s">
        <v>155</v>
      </c>
      <c r="R371" s="428" t="s">
        <v>8351</v>
      </c>
      <c r="S371" s="428"/>
      <c r="T371" s="428" t="s">
        <v>2767</v>
      </c>
      <c r="U371" s="428" t="s">
        <v>152</v>
      </c>
      <c r="V371" s="428" t="s">
        <v>18</v>
      </c>
    </row>
    <row r="372" spans="1:22">
      <c r="A372" s="6"/>
      <c r="B372" s="216">
        <v>46243</v>
      </c>
      <c r="C372" s="216">
        <v>46243</v>
      </c>
      <c r="D372" s="428" t="s">
        <v>8352</v>
      </c>
      <c r="E372" s="428">
        <v>260107822150</v>
      </c>
      <c r="F372" s="428" t="s">
        <v>87</v>
      </c>
      <c r="G372" s="428" t="s">
        <v>2309</v>
      </c>
      <c r="H372" s="428">
        <v>132</v>
      </c>
      <c r="I372" s="428">
        <v>393</v>
      </c>
      <c r="J372" s="369">
        <v>393</v>
      </c>
      <c r="K372" s="428">
        <v>92</v>
      </c>
      <c r="L372" s="217">
        <v>3300</v>
      </c>
      <c r="M372" s="428" t="s">
        <v>153</v>
      </c>
      <c r="N372" s="428" t="s">
        <v>149</v>
      </c>
      <c r="O372" s="428" t="s">
        <v>154</v>
      </c>
      <c r="P372" s="428" t="s">
        <v>151</v>
      </c>
      <c r="Q372" s="428" t="s">
        <v>155</v>
      </c>
      <c r="R372" s="428" t="s">
        <v>8353</v>
      </c>
      <c r="S372" s="428"/>
      <c r="T372" s="428" t="s">
        <v>2767</v>
      </c>
      <c r="U372" s="428" t="s">
        <v>152</v>
      </c>
      <c r="V372" s="428" t="s">
        <v>18</v>
      </c>
    </row>
    <row r="373" spans="1:22">
      <c r="A373" s="6"/>
      <c r="B373" s="216">
        <v>46243</v>
      </c>
      <c r="C373" s="216">
        <v>46243</v>
      </c>
      <c r="D373" s="428" t="s">
        <v>8354</v>
      </c>
      <c r="E373" s="428">
        <v>260104622106</v>
      </c>
      <c r="F373" s="428" t="s">
        <v>87</v>
      </c>
      <c r="G373" s="428" t="s">
        <v>824</v>
      </c>
      <c r="H373" s="428">
        <v>152</v>
      </c>
      <c r="I373" s="428">
        <v>289</v>
      </c>
      <c r="J373" s="369">
        <v>289</v>
      </c>
      <c r="K373" s="428">
        <v>104</v>
      </c>
      <c r="L373" s="217">
        <v>1910</v>
      </c>
      <c r="M373" s="428" t="s">
        <v>153</v>
      </c>
      <c r="N373" s="428" t="s">
        <v>149</v>
      </c>
      <c r="O373" s="428" t="s">
        <v>154</v>
      </c>
      <c r="P373" s="428" t="s">
        <v>151</v>
      </c>
      <c r="Q373" s="428" t="s">
        <v>155</v>
      </c>
      <c r="R373" s="428" t="s">
        <v>8355</v>
      </c>
      <c r="S373" s="428"/>
      <c r="T373" s="428" t="s">
        <v>2767</v>
      </c>
      <c r="U373" s="428" t="s">
        <v>152</v>
      </c>
      <c r="V373" s="428" t="s">
        <v>18</v>
      </c>
    </row>
    <row r="374" spans="1:22">
      <c r="A374" s="6"/>
      <c r="B374" s="216">
        <v>46243</v>
      </c>
      <c r="C374" s="216">
        <v>46243</v>
      </c>
      <c r="D374" s="428" t="s">
        <v>8356</v>
      </c>
      <c r="E374" s="428">
        <v>260101522094</v>
      </c>
      <c r="F374" s="428" t="s">
        <v>87</v>
      </c>
      <c r="G374" s="428" t="s">
        <v>2419</v>
      </c>
      <c r="H374" s="428">
        <v>92</v>
      </c>
      <c r="I374" s="428">
        <v>326</v>
      </c>
      <c r="J374" s="369">
        <v>326</v>
      </c>
      <c r="K374" s="428">
        <v>180</v>
      </c>
      <c r="L374" s="217">
        <v>1000</v>
      </c>
      <c r="M374" s="428" t="s">
        <v>153</v>
      </c>
      <c r="N374" s="428" t="s">
        <v>149</v>
      </c>
      <c r="O374" s="428" t="s">
        <v>154</v>
      </c>
      <c r="P374" s="428" t="s">
        <v>151</v>
      </c>
      <c r="Q374" s="428" t="s">
        <v>155</v>
      </c>
      <c r="R374" s="428" t="s">
        <v>8357</v>
      </c>
      <c r="S374" s="428"/>
      <c r="T374" s="428" t="s">
        <v>2767</v>
      </c>
      <c r="U374" s="428" t="s">
        <v>152</v>
      </c>
      <c r="V374" s="428" t="s">
        <v>18</v>
      </c>
    </row>
    <row r="375" spans="1:22">
      <c r="A375" s="6"/>
      <c r="B375" s="216">
        <v>46243</v>
      </c>
      <c r="C375" s="216">
        <v>46243</v>
      </c>
      <c r="D375" s="428" t="s">
        <v>8358</v>
      </c>
      <c r="E375" s="428">
        <v>260102622096</v>
      </c>
      <c r="F375" s="428" t="s">
        <v>87</v>
      </c>
      <c r="G375" s="428" t="s">
        <v>8032</v>
      </c>
      <c r="H375" s="428">
        <v>102</v>
      </c>
      <c r="I375" s="428">
        <v>259</v>
      </c>
      <c r="J375" s="369">
        <v>259</v>
      </c>
      <c r="K375" s="428">
        <v>130</v>
      </c>
      <c r="L375" s="217">
        <v>1000</v>
      </c>
      <c r="M375" s="428" t="s">
        <v>153</v>
      </c>
      <c r="N375" s="428" t="s">
        <v>149</v>
      </c>
      <c r="O375" s="428" t="s">
        <v>154</v>
      </c>
      <c r="P375" s="428" t="s">
        <v>151</v>
      </c>
      <c r="Q375" s="428" t="s">
        <v>155</v>
      </c>
      <c r="R375" s="428" t="s">
        <v>8359</v>
      </c>
      <c r="S375" s="428"/>
      <c r="T375" s="428" t="s">
        <v>2767</v>
      </c>
      <c r="U375" s="428" t="s">
        <v>152</v>
      </c>
      <c r="V375" s="428" t="s">
        <v>18</v>
      </c>
    </row>
    <row r="376" spans="1:22">
      <c r="A376" s="6"/>
      <c r="B376" s="216">
        <v>46243</v>
      </c>
      <c r="C376" s="216">
        <v>46243</v>
      </c>
      <c r="D376" s="428" t="s">
        <v>8360</v>
      </c>
      <c r="E376" s="428">
        <v>260102822131</v>
      </c>
      <c r="F376" s="428" t="s">
        <v>87</v>
      </c>
      <c r="G376" s="428" t="s">
        <v>8032</v>
      </c>
      <c r="H376" s="428">
        <v>102</v>
      </c>
      <c r="I376" s="428">
        <v>256</v>
      </c>
      <c r="J376" s="369">
        <v>256</v>
      </c>
      <c r="K376" s="428">
        <v>130</v>
      </c>
      <c r="L376" s="217">
        <v>1000</v>
      </c>
      <c r="M376" s="428" t="s">
        <v>153</v>
      </c>
      <c r="N376" s="428" t="s">
        <v>149</v>
      </c>
      <c r="O376" s="428" t="s">
        <v>154</v>
      </c>
      <c r="P376" s="428" t="s">
        <v>151</v>
      </c>
      <c r="Q376" s="428" t="s">
        <v>155</v>
      </c>
      <c r="R376" s="428" t="s">
        <v>8361</v>
      </c>
      <c r="S376" s="428"/>
      <c r="T376" s="428" t="s">
        <v>2767</v>
      </c>
      <c r="U376" s="428" t="s">
        <v>152</v>
      </c>
      <c r="V376" s="428" t="s">
        <v>18</v>
      </c>
    </row>
    <row r="377" spans="1:22">
      <c r="A377" s="6"/>
      <c r="B377" s="216">
        <v>46243</v>
      </c>
      <c r="C377" s="216">
        <v>46243</v>
      </c>
      <c r="D377" s="428" t="s">
        <v>8362</v>
      </c>
      <c r="E377" s="428">
        <v>260105322141</v>
      </c>
      <c r="F377" s="428" t="s">
        <v>87</v>
      </c>
      <c r="G377" s="428" t="s">
        <v>824</v>
      </c>
      <c r="H377" s="428">
        <v>152</v>
      </c>
      <c r="I377" s="428">
        <v>257</v>
      </c>
      <c r="J377" s="369">
        <v>257</v>
      </c>
      <c r="K377" s="428">
        <v>104</v>
      </c>
      <c r="L377" s="217">
        <v>1700</v>
      </c>
      <c r="M377" s="428" t="s">
        <v>153</v>
      </c>
      <c r="N377" s="428" t="s">
        <v>149</v>
      </c>
      <c r="O377" s="428" t="s">
        <v>154</v>
      </c>
      <c r="P377" s="428" t="s">
        <v>151</v>
      </c>
      <c r="Q377" s="428" t="s">
        <v>155</v>
      </c>
      <c r="R377" s="428" t="s">
        <v>8363</v>
      </c>
      <c r="S377" s="428"/>
      <c r="T377" s="428" t="s">
        <v>2767</v>
      </c>
      <c r="U377" s="428" t="s">
        <v>152</v>
      </c>
      <c r="V377" s="428" t="s">
        <v>18</v>
      </c>
    </row>
    <row r="378" spans="1:22">
      <c r="A378" s="6"/>
      <c r="B378" s="216">
        <v>46243</v>
      </c>
      <c r="C378" s="216">
        <v>46243</v>
      </c>
      <c r="D378" s="428" t="s">
        <v>8364</v>
      </c>
      <c r="E378" s="428">
        <v>260105422142</v>
      </c>
      <c r="F378" s="428" t="s">
        <v>87</v>
      </c>
      <c r="G378" s="428" t="s">
        <v>8290</v>
      </c>
      <c r="H378" s="428">
        <v>140</v>
      </c>
      <c r="I378" s="428">
        <v>213</v>
      </c>
      <c r="J378" s="369">
        <v>213</v>
      </c>
      <c r="K378" s="428">
        <v>83</v>
      </c>
      <c r="L378" s="217">
        <v>1880</v>
      </c>
      <c r="M378" s="428" t="s">
        <v>153</v>
      </c>
      <c r="N378" s="428" t="s">
        <v>149</v>
      </c>
      <c r="O378" s="428" t="s">
        <v>154</v>
      </c>
      <c r="P378" s="428" t="s">
        <v>151</v>
      </c>
      <c r="Q378" s="428" t="s">
        <v>155</v>
      </c>
      <c r="R378" s="428" t="s">
        <v>8365</v>
      </c>
      <c r="S378" s="428"/>
      <c r="T378" s="428" t="s">
        <v>2767</v>
      </c>
      <c r="U378" s="428" t="s">
        <v>152</v>
      </c>
      <c r="V378" s="428" t="s">
        <v>18</v>
      </c>
    </row>
    <row r="379" spans="1:22">
      <c r="A379" s="6"/>
      <c r="B379" s="216">
        <v>46243</v>
      </c>
      <c r="C379" s="216">
        <v>46243</v>
      </c>
      <c r="D379" s="428" t="s">
        <v>8366</v>
      </c>
      <c r="E379" s="428">
        <v>260101622120</v>
      </c>
      <c r="F379" s="428" t="s">
        <v>87</v>
      </c>
      <c r="G379" s="428" t="s">
        <v>2079</v>
      </c>
      <c r="H379" s="428">
        <v>112</v>
      </c>
      <c r="I379" s="428">
        <v>394</v>
      </c>
      <c r="J379" s="369">
        <v>394</v>
      </c>
      <c r="K379" s="428">
        <v>180</v>
      </c>
      <c r="L379" s="217">
        <v>1000</v>
      </c>
      <c r="M379" s="428" t="s">
        <v>153</v>
      </c>
      <c r="N379" s="428" t="s">
        <v>149</v>
      </c>
      <c r="O379" s="428" t="s">
        <v>154</v>
      </c>
      <c r="P379" s="428" t="s">
        <v>151</v>
      </c>
      <c r="Q379" s="428" t="s">
        <v>155</v>
      </c>
      <c r="R379" s="428" t="s">
        <v>8367</v>
      </c>
      <c r="S379" s="428"/>
      <c r="T379" s="428" t="s">
        <v>2767</v>
      </c>
      <c r="U379" s="428" t="s">
        <v>152</v>
      </c>
      <c r="V379" s="428" t="s">
        <v>18</v>
      </c>
    </row>
    <row r="380" spans="1:22">
      <c r="A380" s="6"/>
      <c r="B380" s="216">
        <v>46243</v>
      </c>
      <c r="C380" s="216">
        <v>46243</v>
      </c>
      <c r="D380" s="428" t="s">
        <v>8368</v>
      </c>
      <c r="E380" s="428">
        <v>260101522121</v>
      </c>
      <c r="F380" s="428" t="s">
        <v>87</v>
      </c>
      <c r="G380" s="428" t="s">
        <v>2419</v>
      </c>
      <c r="H380" s="428">
        <v>92</v>
      </c>
      <c r="I380" s="428">
        <v>325</v>
      </c>
      <c r="J380" s="369">
        <v>325</v>
      </c>
      <c r="K380" s="428">
        <v>180</v>
      </c>
      <c r="L380" s="217">
        <v>1000</v>
      </c>
      <c r="M380" s="428" t="s">
        <v>153</v>
      </c>
      <c r="N380" s="428" t="s">
        <v>149</v>
      </c>
      <c r="O380" s="428" t="s">
        <v>154</v>
      </c>
      <c r="P380" s="428" t="s">
        <v>151</v>
      </c>
      <c r="Q380" s="428" t="s">
        <v>155</v>
      </c>
      <c r="R380" s="428" t="s">
        <v>8369</v>
      </c>
      <c r="S380" s="428"/>
      <c r="T380" s="428" t="s">
        <v>2767</v>
      </c>
      <c r="U380" s="428" t="s">
        <v>152</v>
      </c>
      <c r="V380" s="428" t="s">
        <v>18</v>
      </c>
    </row>
    <row r="381" spans="1:22">
      <c r="A381" s="6"/>
      <c r="B381" s="216">
        <v>46243</v>
      </c>
      <c r="C381" s="216">
        <v>46243</v>
      </c>
      <c r="D381" s="428" t="s">
        <v>8370</v>
      </c>
      <c r="E381" s="428">
        <v>260101422122</v>
      </c>
      <c r="F381" s="428" t="s">
        <v>87</v>
      </c>
      <c r="G381" s="428" t="s">
        <v>824</v>
      </c>
      <c r="H381" s="428">
        <v>152</v>
      </c>
      <c r="I381" s="428">
        <v>240</v>
      </c>
      <c r="J381" s="369">
        <v>240</v>
      </c>
      <c r="K381" s="428">
        <v>104</v>
      </c>
      <c r="L381" s="217">
        <v>1600</v>
      </c>
      <c r="M381" s="428" t="s">
        <v>153</v>
      </c>
      <c r="N381" s="428" t="s">
        <v>149</v>
      </c>
      <c r="O381" s="428" t="s">
        <v>154</v>
      </c>
      <c r="P381" s="428" t="s">
        <v>151</v>
      </c>
      <c r="Q381" s="428" t="s">
        <v>155</v>
      </c>
      <c r="R381" s="428" t="s">
        <v>8371</v>
      </c>
      <c r="S381" s="428"/>
      <c r="T381" s="428" t="s">
        <v>2767</v>
      </c>
      <c r="U381" s="428" t="s">
        <v>152</v>
      </c>
      <c r="V381" s="428" t="s">
        <v>18</v>
      </c>
    </row>
    <row r="382" spans="1:22">
      <c r="A382" s="6"/>
      <c r="B382" s="216">
        <v>46243</v>
      </c>
      <c r="C382" s="216">
        <v>46243</v>
      </c>
      <c r="D382" s="428" t="s">
        <v>8372</v>
      </c>
      <c r="E382" s="428">
        <v>260102922140</v>
      </c>
      <c r="F382" s="428" t="s">
        <v>87</v>
      </c>
      <c r="G382" s="428" t="s">
        <v>824</v>
      </c>
      <c r="H382" s="428">
        <v>152</v>
      </c>
      <c r="I382" s="428">
        <v>227</v>
      </c>
      <c r="J382" s="369">
        <v>227</v>
      </c>
      <c r="K382" s="428">
        <v>104</v>
      </c>
      <c r="L382" s="217">
        <v>1500</v>
      </c>
      <c r="M382" s="428" t="s">
        <v>153</v>
      </c>
      <c r="N382" s="428" t="s">
        <v>149</v>
      </c>
      <c r="O382" s="428" t="s">
        <v>154</v>
      </c>
      <c r="P382" s="428" t="s">
        <v>151</v>
      </c>
      <c r="Q382" s="428" t="s">
        <v>155</v>
      </c>
      <c r="R382" s="428" t="s">
        <v>8373</v>
      </c>
      <c r="S382" s="428"/>
      <c r="T382" s="428" t="s">
        <v>2767</v>
      </c>
      <c r="U382" s="428" t="s">
        <v>152</v>
      </c>
      <c r="V382" s="428" t="s">
        <v>18</v>
      </c>
    </row>
    <row r="383" spans="1:22">
      <c r="A383" s="6"/>
      <c r="B383" s="216">
        <v>46243</v>
      </c>
      <c r="C383" s="216">
        <v>46243</v>
      </c>
      <c r="D383" s="428" t="s">
        <v>8374</v>
      </c>
      <c r="E383" s="428">
        <v>260105722145</v>
      </c>
      <c r="F383" s="428" t="s">
        <v>87</v>
      </c>
      <c r="G383" s="428" t="s">
        <v>2364</v>
      </c>
      <c r="H383" s="428">
        <v>142</v>
      </c>
      <c r="I383" s="428">
        <v>143</v>
      </c>
      <c r="J383" s="369">
        <v>143</v>
      </c>
      <c r="K383" s="428">
        <v>67</v>
      </c>
      <c r="L383" s="217">
        <v>1500</v>
      </c>
      <c r="M383" s="428" t="s">
        <v>153</v>
      </c>
      <c r="N383" s="428" t="s">
        <v>149</v>
      </c>
      <c r="O383" s="428" t="s">
        <v>154</v>
      </c>
      <c r="P383" s="428" t="s">
        <v>151</v>
      </c>
      <c r="Q383" s="428" t="s">
        <v>155</v>
      </c>
      <c r="R383" s="428" t="s">
        <v>8375</v>
      </c>
      <c r="S383" s="428"/>
      <c r="T383" s="428" t="s">
        <v>2767</v>
      </c>
      <c r="U383" s="428" t="s">
        <v>152</v>
      </c>
      <c r="V383" s="428" t="s">
        <v>18</v>
      </c>
    </row>
    <row r="384" spans="1:22">
      <c r="A384" s="6"/>
      <c r="B384" s="216">
        <v>46243</v>
      </c>
      <c r="C384" s="216">
        <v>46243</v>
      </c>
      <c r="D384" s="428" t="s">
        <v>8376</v>
      </c>
      <c r="E384" s="428">
        <v>260101722128</v>
      </c>
      <c r="F384" s="428" t="s">
        <v>87</v>
      </c>
      <c r="G384" s="428" t="s">
        <v>2303</v>
      </c>
      <c r="H384" s="428">
        <v>92</v>
      </c>
      <c r="I384" s="428">
        <v>245</v>
      </c>
      <c r="J384" s="369">
        <v>245</v>
      </c>
      <c r="K384" s="428">
        <v>134</v>
      </c>
      <c r="L384" s="217">
        <v>1000</v>
      </c>
      <c r="M384" s="428" t="s">
        <v>153</v>
      </c>
      <c r="N384" s="428" t="s">
        <v>149</v>
      </c>
      <c r="O384" s="428" t="s">
        <v>154</v>
      </c>
      <c r="P384" s="428" t="s">
        <v>151</v>
      </c>
      <c r="Q384" s="428" t="s">
        <v>155</v>
      </c>
      <c r="R384" s="428" t="s">
        <v>8377</v>
      </c>
      <c r="S384" s="428"/>
      <c r="T384" s="428" t="s">
        <v>2767</v>
      </c>
      <c r="U384" s="428" t="s">
        <v>152</v>
      </c>
      <c r="V384" s="428" t="s">
        <v>18</v>
      </c>
    </row>
    <row r="385" spans="1:22">
      <c r="A385" s="6"/>
      <c r="B385" s="216">
        <v>46243</v>
      </c>
      <c r="C385" s="216">
        <v>46243</v>
      </c>
      <c r="D385" s="428" t="s">
        <v>8378</v>
      </c>
      <c r="E385" s="428">
        <v>260103822136</v>
      </c>
      <c r="F385" s="428" t="s">
        <v>87</v>
      </c>
      <c r="G385" s="428" t="s">
        <v>824</v>
      </c>
      <c r="H385" s="428">
        <v>152</v>
      </c>
      <c r="I385" s="428">
        <v>220</v>
      </c>
      <c r="J385" s="369">
        <v>220</v>
      </c>
      <c r="K385" s="428">
        <v>104</v>
      </c>
      <c r="L385" s="217">
        <v>1450</v>
      </c>
      <c r="M385" s="428" t="s">
        <v>153</v>
      </c>
      <c r="N385" s="428" t="s">
        <v>149</v>
      </c>
      <c r="O385" s="428" t="s">
        <v>154</v>
      </c>
      <c r="P385" s="428" t="s">
        <v>151</v>
      </c>
      <c r="Q385" s="428" t="s">
        <v>155</v>
      </c>
      <c r="R385" s="428" t="s">
        <v>8379</v>
      </c>
      <c r="S385" s="428"/>
      <c r="T385" s="428" t="s">
        <v>2767</v>
      </c>
      <c r="U385" s="428" t="s">
        <v>152</v>
      </c>
      <c r="V385" s="428" t="s">
        <v>18</v>
      </c>
    </row>
    <row r="386" spans="1:22">
      <c r="A386" s="6"/>
      <c r="B386" s="216">
        <v>46243</v>
      </c>
      <c r="C386" s="216">
        <v>46243</v>
      </c>
      <c r="D386" s="428" t="s">
        <v>8380</v>
      </c>
      <c r="E386" s="428">
        <v>260103822137</v>
      </c>
      <c r="F386" s="428" t="s">
        <v>87</v>
      </c>
      <c r="G386" s="428" t="s">
        <v>824</v>
      </c>
      <c r="H386" s="428">
        <v>152</v>
      </c>
      <c r="I386" s="428">
        <v>223</v>
      </c>
      <c r="J386" s="369">
        <v>223</v>
      </c>
      <c r="K386" s="428">
        <v>104</v>
      </c>
      <c r="L386" s="217">
        <v>1450</v>
      </c>
      <c r="M386" s="428" t="s">
        <v>153</v>
      </c>
      <c r="N386" s="428" t="s">
        <v>149</v>
      </c>
      <c r="O386" s="428" t="s">
        <v>154</v>
      </c>
      <c r="P386" s="428" t="s">
        <v>151</v>
      </c>
      <c r="Q386" s="428" t="s">
        <v>155</v>
      </c>
      <c r="R386" s="428" t="s">
        <v>8381</v>
      </c>
      <c r="S386" s="428"/>
      <c r="T386" s="428" t="s">
        <v>2767</v>
      </c>
      <c r="U386" s="428" t="s">
        <v>152</v>
      </c>
      <c r="V386" s="428" t="s">
        <v>18</v>
      </c>
    </row>
    <row r="387" spans="1:22">
      <c r="A387" s="6"/>
      <c r="B387" s="216">
        <v>46243</v>
      </c>
      <c r="C387" s="216">
        <v>46243</v>
      </c>
      <c r="D387" s="428" t="s">
        <v>8382</v>
      </c>
      <c r="E387" s="428">
        <v>260105722149</v>
      </c>
      <c r="F387" s="428" t="s">
        <v>87</v>
      </c>
      <c r="G387" s="428" t="s">
        <v>2364</v>
      </c>
      <c r="H387" s="428">
        <v>142</v>
      </c>
      <c r="I387" s="428">
        <v>192</v>
      </c>
      <c r="J387" s="369">
        <v>192</v>
      </c>
      <c r="K387" s="428">
        <v>67</v>
      </c>
      <c r="L387" s="217">
        <v>2030</v>
      </c>
      <c r="M387" s="428" t="s">
        <v>153</v>
      </c>
      <c r="N387" s="428" t="s">
        <v>149</v>
      </c>
      <c r="O387" s="428" t="s">
        <v>154</v>
      </c>
      <c r="P387" s="428" t="s">
        <v>151</v>
      </c>
      <c r="Q387" s="428" t="s">
        <v>155</v>
      </c>
      <c r="R387" s="428" t="s">
        <v>8383</v>
      </c>
      <c r="S387" s="428"/>
      <c r="T387" s="428" t="s">
        <v>2767</v>
      </c>
      <c r="U387" s="428" t="s">
        <v>152</v>
      </c>
      <c r="V387" s="428" t="s">
        <v>18</v>
      </c>
    </row>
    <row r="388" spans="1:22">
      <c r="A388" s="6"/>
      <c r="B388" s="216">
        <v>46243</v>
      </c>
      <c r="C388" s="216">
        <v>46243</v>
      </c>
      <c r="D388" s="428" t="s">
        <v>8384</v>
      </c>
      <c r="E388" s="428">
        <v>260100722151</v>
      </c>
      <c r="F388" s="428" t="s">
        <v>87</v>
      </c>
      <c r="G388" s="428" t="s">
        <v>7586</v>
      </c>
      <c r="H388" s="428">
        <v>132</v>
      </c>
      <c r="I388" s="428">
        <v>415</v>
      </c>
      <c r="J388" s="369">
        <v>415</v>
      </c>
      <c r="K388" s="428">
        <v>170</v>
      </c>
      <c r="L388" s="217">
        <v>950</v>
      </c>
      <c r="M388" s="428" t="s">
        <v>153</v>
      </c>
      <c r="N388" s="428" t="s">
        <v>149</v>
      </c>
      <c r="O388" s="428" t="s">
        <v>154</v>
      </c>
      <c r="P388" s="428" t="s">
        <v>151</v>
      </c>
      <c r="Q388" s="428" t="s">
        <v>155</v>
      </c>
      <c r="R388" s="428" t="s">
        <v>8385</v>
      </c>
      <c r="S388" s="428"/>
      <c r="T388" s="428" t="s">
        <v>2767</v>
      </c>
      <c r="U388" s="428" t="s">
        <v>152</v>
      </c>
      <c r="V388" s="428" t="s">
        <v>18</v>
      </c>
    </row>
    <row r="389" spans="1:22">
      <c r="A389" s="6"/>
      <c r="B389" s="216">
        <v>46243</v>
      </c>
      <c r="C389" s="216">
        <v>46243</v>
      </c>
      <c r="D389" s="428" t="s">
        <v>8386</v>
      </c>
      <c r="E389" s="428">
        <v>260101422125</v>
      </c>
      <c r="F389" s="428" t="s">
        <v>87</v>
      </c>
      <c r="G389" s="428" t="s">
        <v>824</v>
      </c>
      <c r="H389" s="428">
        <v>152</v>
      </c>
      <c r="I389" s="428">
        <v>242</v>
      </c>
      <c r="J389" s="369">
        <v>242</v>
      </c>
      <c r="K389" s="428">
        <v>104</v>
      </c>
      <c r="L389" s="217">
        <v>1600</v>
      </c>
      <c r="M389" s="428" t="s">
        <v>153</v>
      </c>
      <c r="N389" s="428" t="s">
        <v>149</v>
      </c>
      <c r="O389" s="428" t="s">
        <v>154</v>
      </c>
      <c r="P389" s="428" t="s">
        <v>151</v>
      </c>
      <c r="Q389" s="428" t="s">
        <v>155</v>
      </c>
      <c r="R389" s="428" t="s">
        <v>8387</v>
      </c>
      <c r="S389" s="428"/>
      <c r="T389" s="428" t="s">
        <v>2767</v>
      </c>
      <c r="U389" s="428" t="s">
        <v>152</v>
      </c>
      <c r="V389" s="428" t="s">
        <v>18</v>
      </c>
    </row>
    <row r="390" spans="1:22">
      <c r="A390" s="6"/>
      <c r="B390" s="216">
        <v>46243</v>
      </c>
      <c r="C390" s="216">
        <v>46243</v>
      </c>
      <c r="D390" s="428" t="s">
        <v>8388</v>
      </c>
      <c r="E390" s="428">
        <v>260102722130</v>
      </c>
      <c r="F390" s="428" t="s">
        <v>87</v>
      </c>
      <c r="G390" s="428" t="s">
        <v>8032</v>
      </c>
      <c r="H390" s="428">
        <v>102</v>
      </c>
      <c r="I390" s="428">
        <v>293</v>
      </c>
      <c r="J390" s="369">
        <v>293</v>
      </c>
      <c r="K390" s="428">
        <v>130</v>
      </c>
      <c r="L390" s="217">
        <v>1100</v>
      </c>
      <c r="M390" s="428" t="s">
        <v>153</v>
      </c>
      <c r="N390" s="428" t="s">
        <v>149</v>
      </c>
      <c r="O390" s="428" t="s">
        <v>154</v>
      </c>
      <c r="P390" s="428" t="s">
        <v>151</v>
      </c>
      <c r="Q390" s="428" t="s">
        <v>155</v>
      </c>
      <c r="R390" s="428" t="s">
        <v>8389</v>
      </c>
      <c r="S390" s="428"/>
      <c r="T390" s="428" t="s">
        <v>2767</v>
      </c>
      <c r="U390" s="428" t="s">
        <v>152</v>
      </c>
      <c r="V390" s="428" t="s">
        <v>18</v>
      </c>
    </row>
    <row r="391" spans="1:22">
      <c r="A391" s="6"/>
      <c r="B391" s="216">
        <v>46243</v>
      </c>
      <c r="C391" s="216">
        <v>46243</v>
      </c>
      <c r="D391" s="428" t="s">
        <v>8390</v>
      </c>
      <c r="E391" s="428">
        <v>260102722078</v>
      </c>
      <c r="F391" s="428" t="s">
        <v>87</v>
      </c>
      <c r="G391" s="428" t="s">
        <v>8032</v>
      </c>
      <c r="H391" s="428">
        <v>102</v>
      </c>
      <c r="I391" s="428">
        <v>260</v>
      </c>
      <c r="J391" s="369">
        <v>260</v>
      </c>
      <c r="K391" s="428">
        <v>130</v>
      </c>
      <c r="L391" s="217">
        <v>1000</v>
      </c>
      <c r="M391" s="428" t="s">
        <v>153</v>
      </c>
      <c r="N391" s="428" t="s">
        <v>149</v>
      </c>
      <c r="O391" s="428" t="s">
        <v>154</v>
      </c>
      <c r="P391" s="428" t="s">
        <v>151</v>
      </c>
      <c r="Q391" s="428" t="s">
        <v>155</v>
      </c>
      <c r="R391" s="428" t="s">
        <v>8391</v>
      </c>
      <c r="S391" s="428"/>
      <c r="T391" s="428" t="s">
        <v>2767</v>
      </c>
      <c r="U391" s="428" t="s">
        <v>152</v>
      </c>
      <c r="V391" s="428" t="s">
        <v>18</v>
      </c>
    </row>
    <row r="392" spans="1:22">
      <c r="A392" s="6"/>
      <c r="B392" s="216">
        <v>46243</v>
      </c>
      <c r="C392" s="216">
        <v>46243</v>
      </c>
      <c r="D392" s="428" t="s">
        <v>8392</v>
      </c>
      <c r="E392" s="428">
        <v>260102022102</v>
      </c>
      <c r="F392" s="428" t="s">
        <v>87</v>
      </c>
      <c r="G392" s="428" t="s">
        <v>2303</v>
      </c>
      <c r="H392" s="428">
        <v>92</v>
      </c>
      <c r="I392" s="428">
        <v>243</v>
      </c>
      <c r="J392" s="369">
        <v>243</v>
      </c>
      <c r="K392" s="428">
        <v>134</v>
      </c>
      <c r="L392" s="217">
        <v>1000</v>
      </c>
      <c r="M392" s="428" t="s">
        <v>153</v>
      </c>
      <c r="N392" s="428" t="s">
        <v>149</v>
      </c>
      <c r="O392" s="428" t="s">
        <v>154</v>
      </c>
      <c r="P392" s="428" t="s">
        <v>151</v>
      </c>
      <c r="Q392" s="428" t="s">
        <v>155</v>
      </c>
      <c r="R392" s="428" t="s">
        <v>8393</v>
      </c>
      <c r="S392" s="428"/>
      <c r="T392" s="428" t="s">
        <v>2767</v>
      </c>
      <c r="U392" s="428" t="s">
        <v>152</v>
      </c>
      <c r="V392" s="428" t="s">
        <v>18</v>
      </c>
    </row>
    <row r="393" spans="1:22">
      <c r="A393" s="6"/>
      <c r="B393" s="216">
        <v>46243</v>
      </c>
      <c r="C393" s="216">
        <v>46243</v>
      </c>
      <c r="D393" s="428" t="s">
        <v>8394</v>
      </c>
      <c r="E393" s="428" t="s">
        <v>8395</v>
      </c>
      <c r="F393" s="428" t="s">
        <v>87</v>
      </c>
      <c r="G393" s="428" t="s">
        <v>2410</v>
      </c>
      <c r="H393" s="428" t="s">
        <v>2196</v>
      </c>
      <c r="I393" s="428">
        <v>332</v>
      </c>
      <c r="J393" s="369">
        <v>332</v>
      </c>
      <c r="K393" s="428">
        <v>102</v>
      </c>
      <c r="L393" s="217">
        <v>4525</v>
      </c>
      <c r="M393" s="428" t="s">
        <v>153</v>
      </c>
      <c r="N393" s="428" t="s">
        <v>149</v>
      </c>
      <c r="O393" s="428" t="s">
        <v>154</v>
      </c>
      <c r="P393" s="428" t="s">
        <v>151</v>
      </c>
      <c r="Q393" s="428" t="s">
        <v>156</v>
      </c>
      <c r="R393" s="428" t="s">
        <v>8396</v>
      </c>
      <c r="S393" s="428"/>
      <c r="T393" s="428" t="s">
        <v>2767</v>
      </c>
      <c r="U393" s="428" t="s">
        <v>152</v>
      </c>
      <c r="V393" s="428" t="s">
        <v>20</v>
      </c>
    </row>
    <row r="394" spans="1:22">
      <c r="A394" s="6"/>
      <c r="B394" s="216">
        <v>46243</v>
      </c>
      <c r="C394" s="216">
        <v>46243</v>
      </c>
      <c r="D394" s="428" t="s">
        <v>8397</v>
      </c>
      <c r="E394" s="428" t="s">
        <v>8398</v>
      </c>
      <c r="F394" s="428" t="s">
        <v>87</v>
      </c>
      <c r="G394" s="428" t="s">
        <v>8210</v>
      </c>
      <c r="H394" s="428" t="s">
        <v>627</v>
      </c>
      <c r="I394" s="428">
        <v>37</v>
      </c>
      <c r="J394" s="369">
        <v>37</v>
      </c>
      <c r="K394" s="428">
        <v>35</v>
      </c>
      <c r="L394" s="217">
        <v>1020</v>
      </c>
      <c r="M394" s="428" t="s">
        <v>153</v>
      </c>
      <c r="N394" s="428" t="s">
        <v>149</v>
      </c>
      <c r="O394" s="428" t="s">
        <v>154</v>
      </c>
      <c r="P394" s="428" t="s">
        <v>151</v>
      </c>
      <c r="Q394" s="428" t="s">
        <v>156</v>
      </c>
      <c r="R394" s="428" t="s">
        <v>8399</v>
      </c>
      <c r="S394" s="428"/>
      <c r="T394" s="428" t="s">
        <v>2767</v>
      </c>
      <c r="U394" s="428" t="s">
        <v>152</v>
      </c>
      <c r="V394" s="428" t="s">
        <v>20</v>
      </c>
    </row>
    <row r="395" spans="1:22">
      <c r="A395" s="6"/>
      <c r="B395" s="216">
        <v>46243</v>
      </c>
      <c r="C395" s="216">
        <v>46243</v>
      </c>
      <c r="D395" s="428" t="s">
        <v>8400</v>
      </c>
      <c r="E395" s="428" t="s">
        <v>8401</v>
      </c>
      <c r="F395" s="428" t="s">
        <v>87</v>
      </c>
      <c r="G395" s="428" t="s">
        <v>8210</v>
      </c>
      <c r="H395" s="428" t="s">
        <v>627</v>
      </c>
      <c r="I395" s="428">
        <v>35</v>
      </c>
      <c r="J395" s="369">
        <v>35</v>
      </c>
      <c r="K395" s="428">
        <v>35</v>
      </c>
      <c r="L395" s="217">
        <v>980</v>
      </c>
      <c r="M395" s="428" t="s">
        <v>153</v>
      </c>
      <c r="N395" s="428" t="s">
        <v>149</v>
      </c>
      <c r="O395" s="428" t="s">
        <v>154</v>
      </c>
      <c r="P395" s="428" t="s">
        <v>151</v>
      </c>
      <c r="Q395" s="428" t="s">
        <v>156</v>
      </c>
      <c r="R395" s="428" t="s">
        <v>8402</v>
      </c>
      <c r="S395" s="428"/>
      <c r="T395" s="428" t="s">
        <v>2767</v>
      </c>
      <c r="U395" s="428" t="s">
        <v>152</v>
      </c>
      <c r="V395" s="428" t="s">
        <v>20</v>
      </c>
    </row>
    <row r="396" spans="1:22">
      <c r="A396" s="6"/>
      <c r="B396" s="216">
        <v>46243</v>
      </c>
      <c r="C396" s="216">
        <v>46243</v>
      </c>
      <c r="D396" s="428" t="s">
        <v>8403</v>
      </c>
      <c r="E396" s="428" t="s">
        <v>8404</v>
      </c>
      <c r="F396" s="428" t="s">
        <v>87</v>
      </c>
      <c r="G396" s="428" t="s">
        <v>8210</v>
      </c>
      <c r="H396" s="428" t="s">
        <v>627</v>
      </c>
      <c r="I396" s="428">
        <v>40</v>
      </c>
      <c r="J396" s="369">
        <v>40</v>
      </c>
      <c r="K396" s="428">
        <v>35</v>
      </c>
      <c r="L396" s="217">
        <v>1050</v>
      </c>
      <c r="M396" s="428" t="s">
        <v>153</v>
      </c>
      <c r="N396" s="428" t="s">
        <v>149</v>
      </c>
      <c r="O396" s="428" t="s">
        <v>154</v>
      </c>
      <c r="P396" s="428" t="s">
        <v>151</v>
      </c>
      <c r="Q396" s="428" t="s">
        <v>156</v>
      </c>
      <c r="R396" s="428" t="s">
        <v>8405</v>
      </c>
      <c r="S396" s="428"/>
      <c r="T396" s="428" t="s">
        <v>2767</v>
      </c>
      <c r="U396" s="428" t="s">
        <v>152</v>
      </c>
      <c r="V396" s="428" t="s">
        <v>20</v>
      </c>
    </row>
    <row r="397" spans="1:22">
      <c r="A397" s="6"/>
      <c r="B397" s="216">
        <v>46243</v>
      </c>
      <c r="C397" s="216">
        <v>46243</v>
      </c>
      <c r="D397" s="428" t="s">
        <v>8406</v>
      </c>
      <c r="E397" s="428" t="s">
        <v>8407</v>
      </c>
      <c r="F397" s="428" t="s">
        <v>87</v>
      </c>
      <c r="G397" s="428" t="s">
        <v>8210</v>
      </c>
      <c r="H397" s="428" t="s">
        <v>627</v>
      </c>
      <c r="I397" s="428">
        <v>35</v>
      </c>
      <c r="J397" s="369">
        <v>35</v>
      </c>
      <c r="K397" s="428">
        <v>35</v>
      </c>
      <c r="L397" s="217">
        <v>980</v>
      </c>
      <c r="M397" s="428" t="s">
        <v>153</v>
      </c>
      <c r="N397" s="428" t="s">
        <v>149</v>
      </c>
      <c r="O397" s="428" t="s">
        <v>154</v>
      </c>
      <c r="P397" s="428" t="s">
        <v>151</v>
      </c>
      <c r="Q397" s="428" t="s">
        <v>156</v>
      </c>
      <c r="R397" s="428" t="s">
        <v>8408</v>
      </c>
      <c r="S397" s="428"/>
      <c r="T397" s="428" t="s">
        <v>2767</v>
      </c>
      <c r="U397" s="428" t="s">
        <v>152</v>
      </c>
      <c r="V397" s="428" t="s">
        <v>20</v>
      </c>
    </row>
    <row r="398" spans="1:22">
      <c r="A398" s="6"/>
      <c r="B398" s="216">
        <v>46243</v>
      </c>
      <c r="C398" s="216">
        <v>46243</v>
      </c>
      <c r="D398" s="428" t="s">
        <v>8409</v>
      </c>
      <c r="E398" s="428" t="s">
        <v>8410</v>
      </c>
      <c r="F398" s="428" t="s">
        <v>87</v>
      </c>
      <c r="G398" s="428" t="s">
        <v>8210</v>
      </c>
      <c r="H398" s="428" t="s">
        <v>627</v>
      </c>
      <c r="I398" s="428">
        <v>37</v>
      </c>
      <c r="J398" s="369">
        <v>37</v>
      </c>
      <c r="K398" s="428">
        <v>35</v>
      </c>
      <c r="L398" s="217">
        <v>1020</v>
      </c>
      <c r="M398" s="428" t="s">
        <v>153</v>
      </c>
      <c r="N398" s="428" t="s">
        <v>149</v>
      </c>
      <c r="O398" s="428" t="s">
        <v>154</v>
      </c>
      <c r="P398" s="428" t="s">
        <v>151</v>
      </c>
      <c r="Q398" s="428" t="s">
        <v>156</v>
      </c>
      <c r="R398" s="428" t="s">
        <v>8411</v>
      </c>
      <c r="S398" s="428"/>
      <c r="T398" s="428" t="s">
        <v>2767</v>
      </c>
      <c r="U398" s="428" t="s">
        <v>152</v>
      </c>
      <c r="V398" s="428" t="s">
        <v>20</v>
      </c>
    </row>
    <row r="399" spans="1:22">
      <c r="A399" s="6"/>
      <c r="B399" s="216">
        <v>46243</v>
      </c>
      <c r="C399" s="216">
        <v>46243</v>
      </c>
      <c r="D399" s="428" t="s">
        <v>8412</v>
      </c>
      <c r="E399" s="428" t="s">
        <v>8413</v>
      </c>
      <c r="F399" s="428" t="s">
        <v>87</v>
      </c>
      <c r="G399" s="428" t="s">
        <v>8210</v>
      </c>
      <c r="H399" s="428" t="s">
        <v>627</v>
      </c>
      <c r="I399" s="428">
        <v>35</v>
      </c>
      <c r="J399" s="369">
        <v>35</v>
      </c>
      <c r="K399" s="428">
        <v>35</v>
      </c>
      <c r="L399" s="217">
        <v>980</v>
      </c>
      <c r="M399" s="428" t="s">
        <v>153</v>
      </c>
      <c r="N399" s="428" t="s">
        <v>149</v>
      </c>
      <c r="O399" s="428" t="s">
        <v>154</v>
      </c>
      <c r="P399" s="428" t="s">
        <v>151</v>
      </c>
      <c r="Q399" s="428" t="s">
        <v>156</v>
      </c>
      <c r="R399" s="428" t="s">
        <v>8414</v>
      </c>
      <c r="S399" s="428"/>
      <c r="T399" s="428" t="s">
        <v>2767</v>
      </c>
      <c r="U399" s="428" t="s">
        <v>152</v>
      </c>
      <c r="V399" s="428" t="s">
        <v>20</v>
      </c>
    </row>
    <row r="400" spans="1:22">
      <c r="A400" s="6"/>
      <c r="B400" s="216">
        <v>46243</v>
      </c>
      <c r="C400" s="216">
        <v>46243</v>
      </c>
      <c r="D400" s="428" t="s">
        <v>8415</v>
      </c>
      <c r="E400" s="428" t="s">
        <v>8416</v>
      </c>
      <c r="F400" s="428" t="s">
        <v>87</v>
      </c>
      <c r="G400" s="428" t="s">
        <v>8210</v>
      </c>
      <c r="H400" s="428" t="s">
        <v>627</v>
      </c>
      <c r="I400" s="428">
        <v>37</v>
      </c>
      <c r="J400" s="369">
        <v>37</v>
      </c>
      <c r="K400" s="428">
        <v>35</v>
      </c>
      <c r="L400" s="217">
        <v>1020</v>
      </c>
      <c r="M400" s="428" t="s">
        <v>153</v>
      </c>
      <c r="N400" s="428" t="s">
        <v>149</v>
      </c>
      <c r="O400" s="428" t="s">
        <v>154</v>
      </c>
      <c r="P400" s="428" t="s">
        <v>151</v>
      </c>
      <c r="Q400" s="428" t="s">
        <v>156</v>
      </c>
      <c r="R400" s="428" t="s">
        <v>8417</v>
      </c>
      <c r="S400" s="428"/>
      <c r="T400" s="428" t="s">
        <v>2767</v>
      </c>
      <c r="U400" s="428" t="s">
        <v>152</v>
      </c>
      <c r="V400" s="428" t="s">
        <v>20</v>
      </c>
    </row>
    <row r="401" spans="1:22">
      <c r="A401" s="6"/>
      <c r="B401" s="216">
        <v>46243</v>
      </c>
      <c r="C401" s="216">
        <v>46243</v>
      </c>
      <c r="D401" s="428" t="s">
        <v>8418</v>
      </c>
      <c r="E401" s="428" t="s">
        <v>8419</v>
      </c>
      <c r="F401" s="428" t="s">
        <v>87</v>
      </c>
      <c r="G401" s="428" t="s">
        <v>2528</v>
      </c>
      <c r="H401" s="428" t="s">
        <v>2416</v>
      </c>
      <c r="I401" s="428">
        <v>350</v>
      </c>
      <c r="J401" s="369">
        <v>350</v>
      </c>
      <c r="K401" s="428">
        <v>78</v>
      </c>
      <c r="L401" s="217">
        <v>4100</v>
      </c>
      <c r="M401" s="428" t="s">
        <v>153</v>
      </c>
      <c r="N401" s="428" t="s">
        <v>149</v>
      </c>
      <c r="O401" s="428" t="s">
        <v>154</v>
      </c>
      <c r="P401" s="428" t="s">
        <v>151</v>
      </c>
      <c r="Q401" s="428" t="s">
        <v>156</v>
      </c>
      <c r="R401" s="428" t="s">
        <v>8420</v>
      </c>
      <c r="S401" s="428"/>
      <c r="T401" s="428" t="s">
        <v>2767</v>
      </c>
      <c r="U401" s="428" t="s">
        <v>152</v>
      </c>
      <c r="V401" s="428" t="s">
        <v>20</v>
      </c>
    </row>
    <row r="402" spans="1:22">
      <c r="A402" s="6"/>
      <c r="B402" s="216">
        <v>46243</v>
      </c>
      <c r="C402" s="216">
        <v>46243</v>
      </c>
      <c r="D402" s="428" t="s">
        <v>8421</v>
      </c>
      <c r="E402" s="428" t="s">
        <v>8422</v>
      </c>
      <c r="F402" s="428" t="s">
        <v>87</v>
      </c>
      <c r="G402" s="428" t="s">
        <v>8210</v>
      </c>
      <c r="H402" s="428" t="s">
        <v>627</v>
      </c>
      <c r="I402" s="428">
        <v>35</v>
      </c>
      <c r="J402" s="369">
        <v>35</v>
      </c>
      <c r="K402" s="428">
        <v>35</v>
      </c>
      <c r="L402" s="217">
        <v>980</v>
      </c>
      <c r="M402" s="428" t="s">
        <v>153</v>
      </c>
      <c r="N402" s="428" t="s">
        <v>149</v>
      </c>
      <c r="O402" s="428" t="s">
        <v>154</v>
      </c>
      <c r="P402" s="428" t="s">
        <v>151</v>
      </c>
      <c r="Q402" s="428" t="s">
        <v>156</v>
      </c>
      <c r="R402" s="428" t="s">
        <v>8423</v>
      </c>
      <c r="S402" s="428"/>
      <c r="T402" s="428" t="s">
        <v>2767</v>
      </c>
      <c r="U402" s="428" t="s">
        <v>152</v>
      </c>
      <c r="V402" s="428" t="s">
        <v>20</v>
      </c>
    </row>
    <row r="403" spans="1:22">
      <c r="A403" s="6"/>
      <c r="B403" s="216">
        <v>46243</v>
      </c>
      <c r="C403" s="216">
        <v>46243</v>
      </c>
      <c r="D403" s="428" t="s">
        <v>8424</v>
      </c>
      <c r="E403" s="428" t="s">
        <v>8425</v>
      </c>
      <c r="F403" s="428" t="s">
        <v>87</v>
      </c>
      <c r="G403" s="428" t="s">
        <v>8210</v>
      </c>
      <c r="H403" s="428" t="s">
        <v>627</v>
      </c>
      <c r="I403" s="428">
        <v>40</v>
      </c>
      <c r="J403" s="369">
        <v>40</v>
      </c>
      <c r="K403" s="428">
        <v>35</v>
      </c>
      <c r="L403" s="217">
        <v>1050</v>
      </c>
      <c r="M403" s="428" t="s">
        <v>153</v>
      </c>
      <c r="N403" s="428" t="s">
        <v>149</v>
      </c>
      <c r="O403" s="428" t="s">
        <v>154</v>
      </c>
      <c r="P403" s="428" t="s">
        <v>151</v>
      </c>
      <c r="Q403" s="428" t="s">
        <v>156</v>
      </c>
      <c r="R403" s="428" t="s">
        <v>8426</v>
      </c>
      <c r="S403" s="428"/>
      <c r="T403" s="428" t="s">
        <v>2767</v>
      </c>
      <c r="U403" s="428" t="s">
        <v>152</v>
      </c>
      <c r="V403" s="428" t="s">
        <v>20</v>
      </c>
    </row>
    <row r="404" spans="1:22">
      <c r="A404" s="6"/>
      <c r="B404" s="216">
        <v>46243</v>
      </c>
      <c r="C404" s="216">
        <v>46243</v>
      </c>
      <c r="D404" s="428" t="s">
        <v>8427</v>
      </c>
      <c r="E404" s="428" t="s">
        <v>8428</v>
      </c>
      <c r="F404" s="428" t="s">
        <v>87</v>
      </c>
      <c r="G404" s="428" t="s">
        <v>8210</v>
      </c>
      <c r="H404" s="428" t="s">
        <v>627</v>
      </c>
      <c r="I404" s="428">
        <v>37</v>
      </c>
      <c r="J404" s="369">
        <v>37</v>
      </c>
      <c r="K404" s="428">
        <v>35</v>
      </c>
      <c r="L404" s="217">
        <v>1020</v>
      </c>
      <c r="M404" s="428" t="s">
        <v>153</v>
      </c>
      <c r="N404" s="428" t="s">
        <v>149</v>
      </c>
      <c r="O404" s="428" t="s">
        <v>154</v>
      </c>
      <c r="P404" s="428" t="s">
        <v>151</v>
      </c>
      <c r="Q404" s="428" t="s">
        <v>156</v>
      </c>
      <c r="R404" s="428" t="s">
        <v>8429</v>
      </c>
      <c r="S404" s="428"/>
      <c r="T404" s="428" t="s">
        <v>2767</v>
      </c>
      <c r="U404" s="428" t="s">
        <v>152</v>
      </c>
      <c r="V404" s="428" t="s">
        <v>20</v>
      </c>
    </row>
    <row r="405" spans="1:22">
      <c r="A405" s="6"/>
      <c r="B405" s="216">
        <v>46243</v>
      </c>
      <c r="C405" s="216">
        <v>46243</v>
      </c>
      <c r="D405" s="428" t="s">
        <v>8430</v>
      </c>
      <c r="E405" s="428" t="s">
        <v>8431</v>
      </c>
      <c r="F405" s="428" t="s">
        <v>87</v>
      </c>
      <c r="G405" s="428" t="s">
        <v>8210</v>
      </c>
      <c r="H405" s="428" t="s">
        <v>627</v>
      </c>
      <c r="I405" s="428">
        <v>35</v>
      </c>
      <c r="J405" s="369">
        <v>35</v>
      </c>
      <c r="K405" s="428">
        <v>35</v>
      </c>
      <c r="L405" s="217">
        <v>980</v>
      </c>
      <c r="M405" s="428" t="s">
        <v>153</v>
      </c>
      <c r="N405" s="428" t="s">
        <v>149</v>
      </c>
      <c r="O405" s="428" t="s">
        <v>154</v>
      </c>
      <c r="P405" s="428" t="s">
        <v>151</v>
      </c>
      <c r="Q405" s="428" t="s">
        <v>156</v>
      </c>
      <c r="R405" s="428" t="s">
        <v>8432</v>
      </c>
      <c r="S405" s="428"/>
      <c r="T405" s="428" t="s">
        <v>2767</v>
      </c>
      <c r="U405" s="428" t="s">
        <v>152</v>
      </c>
      <c r="V405" s="428" t="s">
        <v>20</v>
      </c>
    </row>
    <row r="406" spans="1:22">
      <c r="A406" s="6"/>
      <c r="B406" s="216">
        <v>46243</v>
      </c>
      <c r="C406" s="216">
        <v>46243</v>
      </c>
      <c r="D406" s="428" t="s">
        <v>8433</v>
      </c>
      <c r="E406" s="428" t="s">
        <v>8434</v>
      </c>
      <c r="F406" s="428" t="s">
        <v>87</v>
      </c>
      <c r="G406" s="428" t="s">
        <v>8210</v>
      </c>
      <c r="H406" s="428" t="s">
        <v>627</v>
      </c>
      <c r="I406" s="428">
        <v>35</v>
      </c>
      <c r="J406" s="369">
        <v>35</v>
      </c>
      <c r="K406" s="428">
        <v>35</v>
      </c>
      <c r="L406" s="217">
        <v>980</v>
      </c>
      <c r="M406" s="428" t="s">
        <v>153</v>
      </c>
      <c r="N406" s="428" t="s">
        <v>149</v>
      </c>
      <c r="O406" s="428" t="s">
        <v>154</v>
      </c>
      <c r="P406" s="428" t="s">
        <v>151</v>
      </c>
      <c r="Q406" s="428" t="s">
        <v>156</v>
      </c>
      <c r="R406" s="428" t="s">
        <v>8435</v>
      </c>
      <c r="S406" s="428"/>
      <c r="T406" s="428" t="s">
        <v>2767</v>
      </c>
      <c r="U406" s="428" t="s">
        <v>152</v>
      </c>
      <c r="V406" s="428" t="s">
        <v>20</v>
      </c>
    </row>
    <row r="407" spans="1:22">
      <c r="A407" s="6"/>
      <c r="B407" s="216">
        <v>46243</v>
      </c>
      <c r="C407" s="216">
        <v>46243</v>
      </c>
      <c r="D407" s="428" t="s">
        <v>8436</v>
      </c>
      <c r="E407" s="428" t="s">
        <v>8437</v>
      </c>
      <c r="F407" s="428" t="s">
        <v>87</v>
      </c>
      <c r="G407" s="428" t="s">
        <v>8210</v>
      </c>
      <c r="H407" s="428" t="s">
        <v>627</v>
      </c>
      <c r="I407" s="428">
        <v>37</v>
      </c>
      <c r="J407" s="369">
        <v>37</v>
      </c>
      <c r="K407" s="428">
        <v>35</v>
      </c>
      <c r="L407" s="217">
        <v>1020</v>
      </c>
      <c r="M407" s="428" t="s">
        <v>153</v>
      </c>
      <c r="N407" s="428" t="s">
        <v>149</v>
      </c>
      <c r="O407" s="428" t="s">
        <v>154</v>
      </c>
      <c r="P407" s="428" t="s">
        <v>151</v>
      </c>
      <c r="Q407" s="428" t="s">
        <v>156</v>
      </c>
      <c r="R407" s="428" t="s">
        <v>8438</v>
      </c>
      <c r="S407" s="428"/>
      <c r="T407" s="428" t="s">
        <v>2767</v>
      </c>
      <c r="U407" s="428" t="s">
        <v>152</v>
      </c>
      <c r="V407" s="428" t="s">
        <v>20</v>
      </c>
    </row>
    <row r="408" spans="1:22">
      <c r="A408" s="6"/>
      <c r="B408" s="216">
        <v>46243</v>
      </c>
      <c r="C408" s="216">
        <v>46243</v>
      </c>
      <c r="D408" s="428" t="s">
        <v>8439</v>
      </c>
      <c r="E408" s="428" t="s">
        <v>8440</v>
      </c>
      <c r="F408" s="428" t="s">
        <v>87</v>
      </c>
      <c r="G408" s="428" t="s">
        <v>8210</v>
      </c>
      <c r="H408" s="428" t="s">
        <v>627</v>
      </c>
      <c r="I408" s="428">
        <v>37</v>
      </c>
      <c r="J408" s="369">
        <v>37</v>
      </c>
      <c r="K408" s="428">
        <v>35</v>
      </c>
      <c r="L408" s="217">
        <v>1020</v>
      </c>
      <c r="M408" s="428" t="s">
        <v>153</v>
      </c>
      <c r="N408" s="428" t="s">
        <v>149</v>
      </c>
      <c r="O408" s="428" t="s">
        <v>154</v>
      </c>
      <c r="P408" s="428" t="s">
        <v>151</v>
      </c>
      <c r="Q408" s="428" t="s">
        <v>156</v>
      </c>
      <c r="R408" s="428" t="s">
        <v>8441</v>
      </c>
      <c r="S408" s="428"/>
      <c r="T408" s="428" t="s">
        <v>2767</v>
      </c>
      <c r="U408" s="428" t="s">
        <v>152</v>
      </c>
      <c r="V408" s="428" t="s">
        <v>20</v>
      </c>
    </row>
    <row r="409" spans="1:22">
      <c r="A409" s="6"/>
      <c r="B409" s="216">
        <v>46243</v>
      </c>
      <c r="C409" s="216">
        <v>46243</v>
      </c>
      <c r="D409" s="428" t="s">
        <v>8442</v>
      </c>
      <c r="E409" s="428" t="s">
        <v>8443</v>
      </c>
      <c r="F409" s="428" t="s">
        <v>87</v>
      </c>
      <c r="G409" s="428" t="s">
        <v>8210</v>
      </c>
      <c r="H409" s="428" t="s">
        <v>627</v>
      </c>
      <c r="I409" s="428">
        <v>40</v>
      </c>
      <c r="J409" s="369">
        <v>40</v>
      </c>
      <c r="K409" s="428">
        <v>35</v>
      </c>
      <c r="L409" s="217">
        <v>1050</v>
      </c>
      <c r="M409" s="428" t="s">
        <v>153</v>
      </c>
      <c r="N409" s="428" t="s">
        <v>149</v>
      </c>
      <c r="O409" s="428" t="s">
        <v>154</v>
      </c>
      <c r="P409" s="428" t="s">
        <v>151</v>
      </c>
      <c r="Q409" s="428" t="s">
        <v>156</v>
      </c>
      <c r="R409" s="428" t="s">
        <v>8444</v>
      </c>
      <c r="S409" s="428"/>
      <c r="T409" s="428" t="s">
        <v>2767</v>
      </c>
      <c r="U409" s="428" t="s">
        <v>152</v>
      </c>
      <c r="V409" s="428" t="s">
        <v>20</v>
      </c>
    </row>
    <row r="410" spans="1:22">
      <c r="A410" s="6"/>
      <c r="B410" s="216">
        <v>46243</v>
      </c>
      <c r="C410" s="216">
        <v>46243</v>
      </c>
      <c r="D410" s="428" t="s">
        <v>8445</v>
      </c>
      <c r="E410" s="428">
        <v>260105022112</v>
      </c>
      <c r="F410" s="428" t="s">
        <v>87</v>
      </c>
      <c r="G410" s="428" t="s">
        <v>2407</v>
      </c>
      <c r="H410" s="428">
        <v>160</v>
      </c>
      <c r="I410" s="428">
        <v>260</v>
      </c>
      <c r="J410" s="369">
        <v>260</v>
      </c>
      <c r="K410" s="428">
        <v>102</v>
      </c>
      <c r="L410" s="217">
        <v>1670</v>
      </c>
      <c r="M410" s="428" t="s">
        <v>153</v>
      </c>
      <c r="N410" s="428" t="s">
        <v>149</v>
      </c>
      <c r="O410" s="428" t="s">
        <v>154</v>
      </c>
      <c r="P410" s="428" t="s">
        <v>151</v>
      </c>
      <c r="Q410" s="428" t="s">
        <v>155</v>
      </c>
      <c r="R410" s="428" t="s">
        <v>8446</v>
      </c>
      <c r="S410" s="428"/>
      <c r="T410" s="428" t="s">
        <v>2771</v>
      </c>
      <c r="U410" s="428" t="s">
        <v>152</v>
      </c>
      <c r="V410" s="428" t="s">
        <v>18</v>
      </c>
    </row>
    <row r="411" spans="1:22">
      <c r="A411" s="6"/>
      <c r="B411" s="216">
        <v>46243</v>
      </c>
      <c r="C411" s="216">
        <v>46243</v>
      </c>
      <c r="D411" s="428" t="s">
        <v>8447</v>
      </c>
      <c r="E411" s="428">
        <v>260105222115</v>
      </c>
      <c r="F411" s="428" t="s">
        <v>87</v>
      </c>
      <c r="G411" s="428" t="s">
        <v>2527</v>
      </c>
      <c r="H411" s="428">
        <v>152</v>
      </c>
      <c r="I411" s="428">
        <v>259</v>
      </c>
      <c r="J411" s="369">
        <v>259</v>
      </c>
      <c r="K411" s="428">
        <v>104</v>
      </c>
      <c r="L411" s="217">
        <v>1685</v>
      </c>
      <c r="M411" s="428" t="s">
        <v>153</v>
      </c>
      <c r="N411" s="428" t="s">
        <v>149</v>
      </c>
      <c r="O411" s="428" t="s">
        <v>154</v>
      </c>
      <c r="P411" s="428" t="s">
        <v>151</v>
      </c>
      <c r="Q411" s="428" t="s">
        <v>155</v>
      </c>
      <c r="R411" s="428" t="s">
        <v>8448</v>
      </c>
      <c r="S411" s="428"/>
      <c r="T411" s="428" t="s">
        <v>2771</v>
      </c>
      <c r="U411" s="428" t="s">
        <v>152</v>
      </c>
      <c r="V411" s="428" t="s">
        <v>18</v>
      </c>
    </row>
    <row r="412" spans="1:22">
      <c r="A412" s="6"/>
      <c r="B412" s="216">
        <v>46243</v>
      </c>
      <c r="C412" s="216">
        <v>46243</v>
      </c>
      <c r="D412" s="428" t="s">
        <v>8449</v>
      </c>
      <c r="E412" s="428">
        <v>260100422103</v>
      </c>
      <c r="F412" s="428" t="s">
        <v>87</v>
      </c>
      <c r="G412" s="428" t="s">
        <v>2420</v>
      </c>
      <c r="H412" s="428">
        <v>122</v>
      </c>
      <c r="I412" s="428">
        <v>301</v>
      </c>
      <c r="J412" s="369">
        <v>301</v>
      </c>
      <c r="K412" s="428">
        <v>190</v>
      </c>
      <c r="L412" s="217">
        <v>670</v>
      </c>
      <c r="M412" s="428" t="s">
        <v>153</v>
      </c>
      <c r="N412" s="428" t="s">
        <v>149</v>
      </c>
      <c r="O412" s="428" t="s">
        <v>154</v>
      </c>
      <c r="P412" s="428" t="s">
        <v>151</v>
      </c>
      <c r="Q412" s="428" t="s">
        <v>155</v>
      </c>
      <c r="R412" s="428" t="s">
        <v>8450</v>
      </c>
      <c r="S412" s="428"/>
      <c r="T412" s="428" t="s">
        <v>2771</v>
      </c>
      <c r="U412" s="428" t="s">
        <v>152</v>
      </c>
      <c r="V412" s="428" t="s">
        <v>18</v>
      </c>
    </row>
    <row r="413" spans="1:22">
      <c r="A413" s="6"/>
      <c r="B413" s="216">
        <v>46243</v>
      </c>
      <c r="C413" s="216">
        <v>46243</v>
      </c>
      <c r="D413" s="428" t="s">
        <v>8451</v>
      </c>
      <c r="E413" s="428">
        <v>260106922107</v>
      </c>
      <c r="F413" s="428" t="s">
        <v>87</v>
      </c>
      <c r="G413" s="428" t="s">
        <v>7928</v>
      </c>
      <c r="H413" s="428">
        <v>135</v>
      </c>
      <c r="I413" s="428">
        <v>371</v>
      </c>
      <c r="J413" s="369">
        <v>371</v>
      </c>
      <c r="K413" s="428">
        <v>107</v>
      </c>
      <c r="L413" s="217">
        <v>2550</v>
      </c>
      <c r="M413" s="428" t="s">
        <v>153</v>
      </c>
      <c r="N413" s="428" t="s">
        <v>149</v>
      </c>
      <c r="O413" s="428" t="s">
        <v>154</v>
      </c>
      <c r="P413" s="428" t="s">
        <v>151</v>
      </c>
      <c r="Q413" s="428" t="s">
        <v>155</v>
      </c>
      <c r="R413" s="428" t="s">
        <v>8452</v>
      </c>
      <c r="S413" s="428"/>
      <c r="T413" s="428" t="s">
        <v>2771</v>
      </c>
      <c r="U413" s="428" t="s">
        <v>152</v>
      </c>
      <c r="V413" s="428" t="s">
        <v>18</v>
      </c>
    </row>
    <row r="414" spans="1:22">
      <c r="A414" s="6"/>
      <c r="B414" s="216">
        <v>46243</v>
      </c>
      <c r="C414" s="216">
        <v>46243</v>
      </c>
      <c r="D414" s="428" t="s">
        <v>8453</v>
      </c>
      <c r="E414" s="428">
        <v>260107921916</v>
      </c>
      <c r="F414" s="428" t="s">
        <v>87</v>
      </c>
      <c r="G414" s="428" t="s">
        <v>2413</v>
      </c>
      <c r="H414" s="428">
        <v>132</v>
      </c>
      <c r="I414" s="428">
        <v>290</v>
      </c>
      <c r="J414" s="369">
        <v>290</v>
      </c>
      <c r="K414" s="428">
        <v>92</v>
      </c>
      <c r="L414" s="217">
        <v>2500</v>
      </c>
      <c r="M414" s="428" t="s">
        <v>153</v>
      </c>
      <c r="N414" s="428" t="s">
        <v>149</v>
      </c>
      <c r="O414" s="428" t="s">
        <v>154</v>
      </c>
      <c r="P414" s="428" t="s">
        <v>151</v>
      </c>
      <c r="Q414" s="428" t="s">
        <v>155</v>
      </c>
      <c r="R414" s="428" t="s">
        <v>8454</v>
      </c>
      <c r="S414" s="428"/>
      <c r="T414" s="428" t="s">
        <v>2771</v>
      </c>
      <c r="U414" s="428" t="s">
        <v>152</v>
      </c>
      <c r="V414" s="428" t="s">
        <v>18</v>
      </c>
    </row>
    <row r="415" spans="1:22">
      <c r="A415" s="6"/>
      <c r="B415" s="216">
        <v>46243</v>
      </c>
      <c r="C415" s="216">
        <v>46243</v>
      </c>
      <c r="D415" s="428" t="s">
        <v>8455</v>
      </c>
      <c r="E415" s="428">
        <v>260102422098</v>
      </c>
      <c r="F415" s="428" t="s">
        <v>87</v>
      </c>
      <c r="G415" s="428" t="s">
        <v>8032</v>
      </c>
      <c r="H415" s="428">
        <v>102</v>
      </c>
      <c r="I415" s="428">
        <v>259</v>
      </c>
      <c r="J415" s="369">
        <v>259</v>
      </c>
      <c r="K415" s="428">
        <v>130</v>
      </c>
      <c r="L415" s="217">
        <v>1000</v>
      </c>
      <c r="M415" s="428" t="s">
        <v>153</v>
      </c>
      <c r="N415" s="428" t="s">
        <v>149</v>
      </c>
      <c r="O415" s="428" t="s">
        <v>154</v>
      </c>
      <c r="P415" s="428" t="s">
        <v>151</v>
      </c>
      <c r="Q415" s="428" t="s">
        <v>155</v>
      </c>
      <c r="R415" s="428" t="s">
        <v>8456</v>
      </c>
      <c r="S415" s="428"/>
      <c r="T415" s="428" t="s">
        <v>2771</v>
      </c>
      <c r="U415" s="428" t="s">
        <v>152</v>
      </c>
      <c r="V415" s="428" t="s">
        <v>18</v>
      </c>
    </row>
    <row r="416" spans="1:22">
      <c r="A416" s="6"/>
      <c r="B416" s="216">
        <v>46243</v>
      </c>
      <c r="C416" s="216">
        <v>46243</v>
      </c>
      <c r="D416" s="428" t="s">
        <v>8457</v>
      </c>
      <c r="E416" s="428">
        <v>260104720935</v>
      </c>
      <c r="F416" s="428" t="s">
        <v>87</v>
      </c>
      <c r="G416" s="428" t="s">
        <v>8458</v>
      </c>
      <c r="H416" s="428">
        <v>210</v>
      </c>
      <c r="I416" s="428">
        <v>292</v>
      </c>
      <c r="J416" s="369">
        <v>292</v>
      </c>
      <c r="K416" s="428">
        <v>102</v>
      </c>
      <c r="L416" s="217">
        <v>1400</v>
      </c>
      <c r="M416" s="428" t="s">
        <v>153</v>
      </c>
      <c r="N416" s="428" t="s">
        <v>149</v>
      </c>
      <c r="O416" s="428" t="s">
        <v>154</v>
      </c>
      <c r="P416" s="428" t="s">
        <v>151</v>
      </c>
      <c r="Q416" s="428" t="s">
        <v>155</v>
      </c>
      <c r="R416" s="428" t="s">
        <v>8459</v>
      </c>
      <c r="S416" s="428"/>
      <c r="T416" s="428" t="s">
        <v>2771</v>
      </c>
      <c r="U416" s="428" t="s">
        <v>152</v>
      </c>
      <c r="V416" s="428" t="s">
        <v>18</v>
      </c>
    </row>
    <row r="417" spans="1:22">
      <c r="A417" s="6"/>
      <c r="B417" s="216">
        <v>46243</v>
      </c>
      <c r="C417" s="216">
        <v>46243</v>
      </c>
      <c r="D417" s="428" t="s">
        <v>8460</v>
      </c>
      <c r="E417" s="428">
        <v>260102322100</v>
      </c>
      <c r="F417" s="428" t="s">
        <v>87</v>
      </c>
      <c r="G417" s="428" t="s">
        <v>8032</v>
      </c>
      <c r="H417" s="428">
        <v>102</v>
      </c>
      <c r="I417" s="428">
        <v>265</v>
      </c>
      <c r="J417" s="369">
        <v>265</v>
      </c>
      <c r="K417" s="428">
        <v>130</v>
      </c>
      <c r="L417" s="217">
        <v>1000</v>
      </c>
      <c r="M417" s="428" t="s">
        <v>153</v>
      </c>
      <c r="N417" s="428" t="s">
        <v>149</v>
      </c>
      <c r="O417" s="428" t="s">
        <v>154</v>
      </c>
      <c r="P417" s="428" t="s">
        <v>151</v>
      </c>
      <c r="Q417" s="428" t="s">
        <v>155</v>
      </c>
      <c r="R417" s="428" t="s">
        <v>8461</v>
      </c>
      <c r="S417" s="428"/>
      <c r="T417" s="428" t="s">
        <v>2771</v>
      </c>
      <c r="U417" s="428" t="s">
        <v>152</v>
      </c>
      <c r="V417" s="428" t="s">
        <v>18</v>
      </c>
    </row>
    <row r="418" spans="1:22">
      <c r="A418" s="6"/>
      <c r="B418" s="216">
        <v>46243</v>
      </c>
      <c r="C418" s="216">
        <v>46243</v>
      </c>
      <c r="D418" s="428" t="s">
        <v>8462</v>
      </c>
      <c r="E418" s="428">
        <v>260101922101</v>
      </c>
      <c r="F418" s="428" t="s">
        <v>87</v>
      </c>
      <c r="G418" s="428" t="s">
        <v>2303</v>
      </c>
      <c r="H418" s="428">
        <v>92</v>
      </c>
      <c r="I418" s="428">
        <v>246</v>
      </c>
      <c r="J418" s="369">
        <v>246</v>
      </c>
      <c r="K418" s="428">
        <v>134</v>
      </c>
      <c r="L418" s="217">
        <v>1000</v>
      </c>
      <c r="M418" s="428" t="s">
        <v>153</v>
      </c>
      <c r="N418" s="428" t="s">
        <v>149</v>
      </c>
      <c r="O418" s="428" t="s">
        <v>154</v>
      </c>
      <c r="P418" s="428" t="s">
        <v>151</v>
      </c>
      <c r="Q418" s="428" t="s">
        <v>155</v>
      </c>
      <c r="R418" s="428" t="s">
        <v>8463</v>
      </c>
      <c r="S418" s="428"/>
      <c r="T418" s="428" t="s">
        <v>2771</v>
      </c>
      <c r="U418" s="428" t="s">
        <v>152</v>
      </c>
      <c r="V418" s="428" t="s">
        <v>18</v>
      </c>
    </row>
    <row r="419" spans="1:22">
      <c r="A419" s="6"/>
      <c r="B419" s="216">
        <v>46243</v>
      </c>
      <c r="C419" s="216">
        <v>46243</v>
      </c>
      <c r="D419" s="428" t="s">
        <v>8464</v>
      </c>
      <c r="E419" s="428">
        <v>260105822113</v>
      </c>
      <c r="F419" s="428" t="s">
        <v>87</v>
      </c>
      <c r="G419" s="428" t="s">
        <v>824</v>
      </c>
      <c r="H419" s="428">
        <v>152</v>
      </c>
      <c r="I419" s="428">
        <v>253</v>
      </c>
      <c r="J419" s="369">
        <v>253</v>
      </c>
      <c r="K419" s="428">
        <v>104</v>
      </c>
      <c r="L419" s="217">
        <v>1670</v>
      </c>
      <c r="M419" s="428" t="s">
        <v>153</v>
      </c>
      <c r="N419" s="428" t="s">
        <v>149</v>
      </c>
      <c r="O419" s="428" t="s">
        <v>154</v>
      </c>
      <c r="P419" s="428" t="s">
        <v>151</v>
      </c>
      <c r="Q419" s="428" t="s">
        <v>155</v>
      </c>
      <c r="R419" s="428" t="s">
        <v>8465</v>
      </c>
      <c r="S419" s="428"/>
      <c r="T419" s="428" t="s">
        <v>2771</v>
      </c>
      <c r="U419" s="428" t="s">
        <v>152</v>
      </c>
      <c r="V419" s="428" t="s">
        <v>18</v>
      </c>
    </row>
    <row r="420" spans="1:22">
      <c r="A420" s="6"/>
      <c r="B420" s="216">
        <v>46243</v>
      </c>
      <c r="C420" s="216">
        <v>46243</v>
      </c>
      <c r="D420" s="428" t="s">
        <v>8466</v>
      </c>
      <c r="E420" s="428">
        <v>260101622095</v>
      </c>
      <c r="F420" s="428" t="s">
        <v>87</v>
      </c>
      <c r="G420" s="428" t="s">
        <v>2079</v>
      </c>
      <c r="H420" s="428">
        <v>112</v>
      </c>
      <c r="I420" s="428">
        <v>392</v>
      </c>
      <c r="J420" s="369">
        <v>392</v>
      </c>
      <c r="K420" s="428">
        <v>180</v>
      </c>
      <c r="L420" s="217">
        <v>1000</v>
      </c>
      <c r="M420" s="428" t="s">
        <v>153</v>
      </c>
      <c r="N420" s="428" t="s">
        <v>149</v>
      </c>
      <c r="O420" s="428" t="s">
        <v>154</v>
      </c>
      <c r="P420" s="428" t="s">
        <v>151</v>
      </c>
      <c r="Q420" s="428" t="s">
        <v>155</v>
      </c>
      <c r="R420" s="428" t="s">
        <v>8467</v>
      </c>
      <c r="S420" s="428"/>
      <c r="T420" s="428" t="s">
        <v>2771</v>
      </c>
      <c r="U420" s="428" t="s">
        <v>152</v>
      </c>
      <c r="V420" s="428" t="s">
        <v>18</v>
      </c>
    </row>
    <row r="421" spans="1:22">
      <c r="A421" s="6"/>
      <c r="B421" s="216">
        <v>46243</v>
      </c>
      <c r="C421" s="216">
        <v>46243</v>
      </c>
      <c r="D421" s="428" t="s">
        <v>8468</v>
      </c>
      <c r="E421" s="428">
        <v>260103922119</v>
      </c>
      <c r="F421" s="428" t="s">
        <v>87</v>
      </c>
      <c r="G421" s="428" t="s">
        <v>8229</v>
      </c>
      <c r="H421" s="428">
        <v>132</v>
      </c>
      <c r="I421" s="428">
        <v>163</v>
      </c>
      <c r="J421" s="369">
        <v>163</v>
      </c>
      <c r="K421" s="428">
        <v>92</v>
      </c>
      <c r="L421" s="217">
        <v>1400</v>
      </c>
      <c r="M421" s="428" t="s">
        <v>153</v>
      </c>
      <c r="N421" s="428" t="s">
        <v>149</v>
      </c>
      <c r="O421" s="428" t="s">
        <v>154</v>
      </c>
      <c r="P421" s="428" t="s">
        <v>151</v>
      </c>
      <c r="Q421" s="428" t="s">
        <v>155</v>
      </c>
      <c r="R421" s="428" t="s">
        <v>8469</v>
      </c>
      <c r="S421" s="428"/>
      <c r="T421" s="428" t="s">
        <v>2771</v>
      </c>
      <c r="U421" s="428" t="s">
        <v>152</v>
      </c>
      <c r="V421" s="428" t="s">
        <v>18</v>
      </c>
    </row>
    <row r="422" spans="1:22">
      <c r="A422" s="6"/>
      <c r="B422" s="216">
        <v>46243</v>
      </c>
      <c r="C422" s="216">
        <v>46243</v>
      </c>
      <c r="D422" s="428" t="s">
        <v>8470</v>
      </c>
      <c r="E422" s="428">
        <v>260101722097</v>
      </c>
      <c r="F422" s="428" t="s">
        <v>87</v>
      </c>
      <c r="G422" s="428" t="s">
        <v>2303</v>
      </c>
      <c r="H422" s="428">
        <v>92</v>
      </c>
      <c r="I422" s="428">
        <v>233</v>
      </c>
      <c r="J422" s="369">
        <v>233</v>
      </c>
      <c r="K422" s="428">
        <v>134</v>
      </c>
      <c r="L422" s="217">
        <v>1000</v>
      </c>
      <c r="M422" s="428" t="s">
        <v>153</v>
      </c>
      <c r="N422" s="428" t="s">
        <v>149</v>
      </c>
      <c r="O422" s="428" t="s">
        <v>154</v>
      </c>
      <c r="P422" s="428" t="s">
        <v>151</v>
      </c>
      <c r="Q422" s="428" t="s">
        <v>155</v>
      </c>
      <c r="R422" s="428" t="s">
        <v>8471</v>
      </c>
      <c r="S422" s="428"/>
      <c r="T422" s="428" t="s">
        <v>2771</v>
      </c>
      <c r="U422" s="428" t="s">
        <v>152</v>
      </c>
      <c r="V422" s="428" t="s">
        <v>18</v>
      </c>
    </row>
    <row r="423" spans="1:22">
      <c r="A423" s="6"/>
      <c r="B423" s="216">
        <v>46243</v>
      </c>
      <c r="C423" s="216">
        <v>46243</v>
      </c>
      <c r="D423" s="428" t="s">
        <v>8472</v>
      </c>
      <c r="E423" s="428">
        <v>260101822099</v>
      </c>
      <c r="F423" s="428" t="s">
        <v>87</v>
      </c>
      <c r="G423" s="428" t="s">
        <v>7909</v>
      </c>
      <c r="H423" s="428">
        <v>105</v>
      </c>
      <c r="I423" s="428">
        <v>277</v>
      </c>
      <c r="J423" s="369">
        <v>277</v>
      </c>
      <c r="K423" s="428">
        <v>134</v>
      </c>
      <c r="L423" s="217">
        <v>1000</v>
      </c>
      <c r="M423" s="428" t="s">
        <v>153</v>
      </c>
      <c r="N423" s="428" t="s">
        <v>149</v>
      </c>
      <c r="O423" s="428" t="s">
        <v>154</v>
      </c>
      <c r="P423" s="428" t="s">
        <v>151</v>
      </c>
      <c r="Q423" s="428" t="s">
        <v>155</v>
      </c>
      <c r="R423" s="428" t="s">
        <v>8473</v>
      </c>
      <c r="S423" s="428"/>
      <c r="T423" s="428" t="s">
        <v>2771</v>
      </c>
      <c r="U423" s="428" t="s">
        <v>152</v>
      </c>
      <c r="V423" s="428" t="s">
        <v>18</v>
      </c>
    </row>
    <row r="424" spans="1:22">
      <c r="A424" s="6"/>
      <c r="B424" s="216">
        <v>46243</v>
      </c>
      <c r="C424" s="216">
        <v>46243</v>
      </c>
      <c r="D424" s="428" t="s">
        <v>8474</v>
      </c>
      <c r="E424" s="428">
        <v>260107122109</v>
      </c>
      <c r="F424" s="428" t="s">
        <v>87</v>
      </c>
      <c r="G424" s="428" t="s">
        <v>8198</v>
      </c>
      <c r="H424" s="428">
        <v>140</v>
      </c>
      <c r="I424" s="428">
        <v>347</v>
      </c>
      <c r="J424" s="369">
        <v>347</v>
      </c>
      <c r="K424" s="428">
        <v>95</v>
      </c>
      <c r="L424" s="217">
        <v>2690</v>
      </c>
      <c r="M424" s="428" t="s">
        <v>153</v>
      </c>
      <c r="N424" s="428" t="s">
        <v>149</v>
      </c>
      <c r="O424" s="428" t="s">
        <v>154</v>
      </c>
      <c r="P424" s="428" t="s">
        <v>151</v>
      </c>
      <c r="Q424" s="428" t="s">
        <v>155</v>
      </c>
      <c r="R424" s="428" t="s">
        <v>8475</v>
      </c>
      <c r="S424" s="428"/>
      <c r="T424" s="428" t="s">
        <v>2771</v>
      </c>
      <c r="U424" s="428" t="s">
        <v>152</v>
      </c>
      <c r="V424" s="428" t="s">
        <v>18</v>
      </c>
    </row>
    <row r="425" spans="1:22">
      <c r="A425" s="6"/>
      <c r="B425" s="216">
        <v>46243</v>
      </c>
      <c r="C425" s="216">
        <v>46243</v>
      </c>
      <c r="D425" s="428" t="s">
        <v>8476</v>
      </c>
      <c r="E425" s="428" t="s">
        <v>8477</v>
      </c>
      <c r="F425" s="428" t="s">
        <v>87</v>
      </c>
      <c r="G425" s="428" t="s">
        <v>2519</v>
      </c>
      <c r="H425" s="428" t="s">
        <v>2196</v>
      </c>
      <c r="I425" s="428">
        <v>286</v>
      </c>
      <c r="J425" s="369">
        <v>286</v>
      </c>
      <c r="K425" s="428">
        <v>107</v>
      </c>
      <c r="L425" s="217">
        <v>3660</v>
      </c>
      <c r="M425" s="428" t="s">
        <v>153</v>
      </c>
      <c r="N425" s="428" t="s">
        <v>149</v>
      </c>
      <c r="O425" s="428" t="s">
        <v>154</v>
      </c>
      <c r="P425" s="428" t="s">
        <v>151</v>
      </c>
      <c r="Q425" s="428" t="s">
        <v>156</v>
      </c>
      <c r="R425" s="428" t="s">
        <v>8478</v>
      </c>
      <c r="S425" s="428"/>
      <c r="T425" s="428" t="s">
        <v>2771</v>
      </c>
      <c r="U425" s="428" t="s">
        <v>152</v>
      </c>
      <c r="V425" s="428" t="s">
        <v>20</v>
      </c>
    </row>
    <row r="426" spans="1:22">
      <c r="A426" s="6"/>
      <c r="B426" s="216">
        <v>46243</v>
      </c>
      <c r="C426" s="216">
        <v>46243</v>
      </c>
      <c r="D426" s="428" t="s">
        <v>8479</v>
      </c>
      <c r="E426" s="428" t="s">
        <v>8480</v>
      </c>
      <c r="F426" s="428" t="s">
        <v>87</v>
      </c>
      <c r="G426" s="428" t="s">
        <v>2414</v>
      </c>
      <c r="H426" s="428" t="s">
        <v>2196</v>
      </c>
      <c r="I426" s="428">
        <v>169</v>
      </c>
      <c r="J426" s="369">
        <v>169</v>
      </c>
      <c r="K426" s="428">
        <v>55</v>
      </c>
      <c r="L426" s="217">
        <v>4430</v>
      </c>
      <c r="M426" s="428" t="s">
        <v>153</v>
      </c>
      <c r="N426" s="428" t="s">
        <v>149</v>
      </c>
      <c r="O426" s="428" t="s">
        <v>154</v>
      </c>
      <c r="P426" s="428" t="s">
        <v>151</v>
      </c>
      <c r="Q426" s="428" t="s">
        <v>156</v>
      </c>
      <c r="R426" s="428" t="s">
        <v>8481</v>
      </c>
      <c r="S426" s="428"/>
      <c r="T426" s="428" t="s">
        <v>2771</v>
      </c>
      <c r="U426" s="428" t="s">
        <v>152</v>
      </c>
      <c r="V426" s="428" t="s">
        <v>20</v>
      </c>
    </row>
    <row r="427" spans="1:22">
      <c r="A427" s="6"/>
      <c r="B427" s="216">
        <v>46243</v>
      </c>
      <c r="C427" s="216">
        <v>46243</v>
      </c>
      <c r="D427" s="428" t="s">
        <v>8482</v>
      </c>
      <c r="E427" s="428" t="s">
        <v>8480</v>
      </c>
      <c r="F427" s="428" t="s">
        <v>87</v>
      </c>
      <c r="G427" s="428" t="s">
        <v>2414</v>
      </c>
      <c r="H427" s="428" t="s">
        <v>2196</v>
      </c>
      <c r="I427" s="428">
        <v>177</v>
      </c>
      <c r="J427" s="369">
        <v>177</v>
      </c>
      <c r="K427" s="428">
        <v>55</v>
      </c>
      <c r="L427" s="217">
        <v>4430</v>
      </c>
      <c r="M427" s="428" t="s">
        <v>153</v>
      </c>
      <c r="N427" s="428" t="s">
        <v>149</v>
      </c>
      <c r="O427" s="428" t="s">
        <v>154</v>
      </c>
      <c r="P427" s="428" t="s">
        <v>151</v>
      </c>
      <c r="Q427" s="428" t="s">
        <v>156</v>
      </c>
      <c r="R427" s="428" t="s">
        <v>8483</v>
      </c>
      <c r="S427" s="428"/>
      <c r="T427" s="428" t="s">
        <v>2771</v>
      </c>
      <c r="U427" s="428" t="s">
        <v>152</v>
      </c>
      <c r="V427" s="428" t="s">
        <v>20</v>
      </c>
    </row>
    <row r="428" spans="1:22">
      <c r="A428" s="6"/>
      <c r="B428" s="216">
        <v>46243</v>
      </c>
      <c r="C428" s="216">
        <v>46243</v>
      </c>
      <c r="D428" s="428" t="s">
        <v>8484</v>
      </c>
      <c r="E428" s="428" t="s">
        <v>8485</v>
      </c>
      <c r="F428" s="428" t="s">
        <v>87</v>
      </c>
      <c r="G428" s="428" t="s">
        <v>8486</v>
      </c>
      <c r="H428" s="428" t="s">
        <v>2418</v>
      </c>
      <c r="I428" s="428">
        <v>255</v>
      </c>
      <c r="J428" s="369">
        <v>255</v>
      </c>
      <c r="K428" s="428">
        <v>110</v>
      </c>
      <c r="L428" s="217">
        <v>3500</v>
      </c>
      <c r="M428" s="428" t="s">
        <v>153</v>
      </c>
      <c r="N428" s="428" t="s">
        <v>149</v>
      </c>
      <c r="O428" s="428" t="s">
        <v>154</v>
      </c>
      <c r="P428" s="428" t="s">
        <v>151</v>
      </c>
      <c r="Q428" s="428" t="s">
        <v>156</v>
      </c>
      <c r="R428" s="428" t="s">
        <v>8487</v>
      </c>
      <c r="S428" s="428"/>
      <c r="T428" s="428" t="s">
        <v>8488</v>
      </c>
      <c r="U428" s="428" t="s">
        <v>152</v>
      </c>
      <c r="V428" s="428" t="s">
        <v>20</v>
      </c>
    </row>
    <row r="429" spans="1:22">
      <c r="A429" s="6"/>
      <c r="B429" s="216">
        <v>46244</v>
      </c>
      <c r="C429" s="216">
        <v>46244</v>
      </c>
      <c r="D429" s="428" t="s">
        <v>8489</v>
      </c>
      <c r="E429" s="428">
        <v>260100722164</v>
      </c>
      <c r="F429" s="428" t="s">
        <v>87</v>
      </c>
      <c r="G429" s="428" t="s">
        <v>7586</v>
      </c>
      <c r="H429" s="428">
        <v>132</v>
      </c>
      <c r="I429" s="428">
        <v>407</v>
      </c>
      <c r="J429" s="369">
        <v>407</v>
      </c>
      <c r="K429" s="428">
        <v>170</v>
      </c>
      <c r="L429" s="217">
        <v>930</v>
      </c>
      <c r="M429" s="428" t="s">
        <v>153</v>
      </c>
      <c r="N429" s="428" t="s">
        <v>149</v>
      </c>
      <c r="O429" s="428" t="s">
        <v>154</v>
      </c>
      <c r="P429" s="428" t="s">
        <v>151</v>
      </c>
      <c r="Q429" s="428" t="s">
        <v>155</v>
      </c>
      <c r="R429" s="428" t="s">
        <v>8490</v>
      </c>
      <c r="S429" s="428"/>
      <c r="T429" s="428" t="s">
        <v>2788</v>
      </c>
      <c r="U429" s="428" t="s">
        <v>152</v>
      </c>
      <c r="V429" s="428" t="s">
        <v>18</v>
      </c>
    </row>
    <row r="430" spans="1:22">
      <c r="A430" s="6"/>
      <c r="B430" s="216">
        <v>46244</v>
      </c>
      <c r="C430" s="216">
        <v>46244</v>
      </c>
      <c r="D430" s="428" t="s">
        <v>8491</v>
      </c>
      <c r="E430" s="428">
        <v>260102622169</v>
      </c>
      <c r="F430" s="428" t="s">
        <v>87</v>
      </c>
      <c r="G430" s="428" t="s">
        <v>8032</v>
      </c>
      <c r="H430" s="428">
        <v>102</v>
      </c>
      <c r="I430" s="428">
        <v>256</v>
      </c>
      <c r="J430" s="369">
        <v>256</v>
      </c>
      <c r="K430" s="428">
        <v>130</v>
      </c>
      <c r="L430" s="217">
        <v>1000</v>
      </c>
      <c r="M430" s="428" t="s">
        <v>153</v>
      </c>
      <c r="N430" s="428" t="s">
        <v>149</v>
      </c>
      <c r="O430" s="428" t="s">
        <v>154</v>
      </c>
      <c r="P430" s="428" t="s">
        <v>151</v>
      </c>
      <c r="Q430" s="428" t="s">
        <v>155</v>
      </c>
      <c r="R430" s="428" t="s">
        <v>8492</v>
      </c>
      <c r="S430" s="428"/>
      <c r="T430" s="428" t="s">
        <v>2788</v>
      </c>
      <c r="U430" s="428" t="s">
        <v>152</v>
      </c>
      <c r="V430" s="428" t="s">
        <v>18</v>
      </c>
    </row>
    <row r="431" spans="1:22">
      <c r="A431" s="6"/>
      <c r="B431" s="216">
        <v>46244</v>
      </c>
      <c r="C431" s="216">
        <v>46244</v>
      </c>
      <c r="D431" s="428" t="s">
        <v>8493</v>
      </c>
      <c r="E431" s="428">
        <v>260102822202</v>
      </c>
      <c r="F431" s="428" t="s">
        <v>87</v>
      </c>
      <c r="G431" s="428" t="s">
        <v>8032</v>
      </c>
      <c r="H431" s="428">
        <v>102</v>
      </c>
      <c r="I431" s="428">
        <v>261</v>
      </c>
      <c r="J431" s="369">
        <v>261</v>
      </c>
      <c r="K431" s="428">
        <v>130</v>
      </c>
      <c r="L431" s="217">
        <v>1000</v>
      </c>
      <c r="M431" s="428" t="s">
        <v>153</v>
      </c>
      <c r="N431" s="428" t="s">
        <v>149</v>
      </c>
      <c r="O431" s="428" t="s">
        <v>154</v>
      </c>
      <c r="P431" s="428" t="s">
        <v>151</v>
      </c>
      <c r="Q431" s="428" t="s">
        <v>155</v>
      </c>
      <c r="R431" s="428" t="s">
        <v>8494</v>
      </c>
      <c r="S431" s="428"/>
      <c r="T431" s="428" t="s">
        <v>2788</v>
      </c>
      <c r="U431" s="428" t="s">
        <v>152</v>
      </c>
      <c r="V431" s="428" t="s">
        <v>18</v>
      </c>
    </row>
    <row r="432" spans="1:22">
      <c r="A432" s="6"/>
      <c r="B432" s="216">
        <v>46244</v>
      </c>
      <c r="C432" s="216">
        <v>46244</v>
      </c>
      <c r="D432" s="428" t="s">
        <v>8495</v>
      </c>
      <c r="E432" s="428">
        <v>260105022186</v>
      </c>
      <c r="F432" s="428" t="s">
        <v>87</v>
      </c>
      <c r="G432" s="428" t="s">
        <v>2407</v>
      </c>
      <c r="H432" s="428">
        <v>160</v>
      </c>
      <c r="I432" s="428">
        <v>258</v>
      </c>
      <c r="J432" s="369">
        <v>258</v>
      </c>
      <c r="K432" s="428">
        <v>102</v>
      </c>
      <c r="L432" s="217">
        <v>1620</v>
      </c>
      <c r="M432" s="428" t="s">
        <v>153</v>
      </c>
      <c r="N432" s="428" t="s">
        <v>149</v>
      </c>
      <c r="O432" s="428" t="s">
        <v>154</v>
      </c>
      <c r="P432" s="428" t="s">
        <v>151</v>
      </c>
      <c r="Q432" s="428" t="s">
        <v>155</v>
      </c>
      <c r="R432" s="428" t="s">
        <v>8496</v>
      </c>
      <c r="S432" s="428"/>
      <c r="T432" s="428" t="s">
        <v>2788</v>
      </c>
      <c r="U432" s="428" t="s">
        <v>152</v>
      </c>
      <c r="V432" s="428" t="s">
        <v>18</v>
      </c>
    </row>
    <row r="433" spans="1:22">
      <c r="A433" s="6"/>
      <c r="B433" s="216">
        <v>46244</v>
      </c>
      <c r="C433" s="216">
        <v>46244</v>
      </c>
      <c r="D433" s="428" t="s">
        <v>8497</v>
      </c>
      <c r="E433" s="428">
        <v>260105222189</v>
      </c>
      <c r="F433" s="428" t="s">
        <v>87</v>
      </c>
      <c r="G433" s="428" t="s">
        <v>2527</v>
      </c>
      <c r="H433" s="428">
        <v>152</v>
      </c>
      <c r="I433" s="428">
        <v>273</v>
      </c>
      <c r="J433" s="369">
        <v>273</v>
      </c>
      <c r="K433" s="428">
        <v>104</v>
      </c>
      <c r="L433" s="217">
        <v>1780</v>
      </c>
      <c r="M433" s="428" t="s">
        <v>153</v>
      </c>
      <c r="N433" s="428" t="s">
        <v>149</v>
      </c>
      <c r="O433" s="428" t="s">
        <v>154</v>
      </c>
      <c r="P433" s="428" t="s">
        <v>151</v>
      </c>
      <c r="Q433" s="428" t="s">
        <v>155</v>
      </c>
      <c r="R433" s="428" t="s">
        <v>8498</v>
      </c>
      <c r="S433" s="428"/>
      <c r="T433" s="428" t="s">
        <v>2788</v>
      </c>
      <c r="U433" s="428" t="s">
        <v>152</v>
      </c>
      <c r="V433" s="428" t="s">
        <v>18</v>
      </c>
    </row>
    <row r="434" spans="1:22">
      <c r="A434" s="6"/>
      <c r="B434" s="216">
        <v>46244</v>
      </c>
      <c r="C434" s="216">
        <v>46244</v>
      </c>
      <c r="D434" s="428" t="s">
        <v>8499</v>
      </c>
      <c r="E434" s="428">
        <v>260102822168</v>
      </c>
      <c r="F434" s="428" t="s">
        <v>87</v>
      </c>
      <c r="G434" s="428" t="s">
        <v>8032</v>
      </c>
      <c r="H434" s="428">
        <v>102</v>
      </c>
      <c r="I434" s="428">
        <v>261</v>
      </c>
      <c r="J434" s="370">
        <v>261</v>
      </c>
      <c r="K434" s="428">
        <v>130</v>
      </c>
      <c r="L434" s="217">
        <v>1000</v>
      </c>
      <c r="M434" s="428" t="s">
        <v>153</v>
      </c>
      <c r="N434" s="428" t="s">
        <v>149</v>
      </c>
      <c r="O434" s="428" t="s">
        <v>154</v>
      </c>
      <c r="P434" s="428" t="s">
        <v>151</v>
      </c>
      <c r="Q434" s="428" t="s">
        <v>155</v>
      </c>
      <c r="R434" s="428" t="s">
        <v>8500</v>
      </c>
      <c r="S434" s="428"/>
      <c r="T434" s="428" t="s">
        <v>2788</v>
      </c>
      <c r="U434" s="428" t="s">
        <v>152</v>
      </c>
      <c r="V434" s="428" t="s">
        <v>18</v>
      </c>
    </row>
    <row r="435" spans="1:22">
      <c r="A435" s="6"/>
      <c r="B435" s="216">
        <v>46244</v>
      </c>
      <c r="C435" s="216">
        <v>46244</v>
      </c>
      <c r="D435" s="428" t="s">
        <v>8501</v>
      </c>
      <c r="E435" s="428">
        <v>260101922171</v>
      </c>
      <c r="F435" s="428" t="s">
        <v>87</v>
      </c>
      <c r="G435" s="428" t="s">
        <v>2303</v>
      </c>
      <c r="H435" s="428">
        <v>92</v>
      </c>
      <c r="I435" s="428">
        <v>245</v>
      </c>
      <c r="J435" s="369">
        <v>245</v>
      </c>
      <c r="K435" s="428">
        <v>134</v>
      </c>
      <c r="L435" s="217">
        <v>1050</v>
      </c>
      <c r="M435" s="428" t="s">
        <v>153</v>
      </c>
      <c r="N435" s="428" t="s">
        <v>149</v>
      </c>
      <c r="O435" s="428" t="s">
        <v>154</v>
      </c>
      <c r="P435" s="428" t="s">
        <v>151</v>
      </c>
      <c r="Q435" s="428" t="s">
        <v>155</v>
      </c>
      <c r="R435" s="428" t="s">
        <v>8502</v>
      </c>
      <c r="S435" s="428"/>
      <c r="T435" s="428" t="s">
        <v>2788</v>
      </c>
      <c r="U435" s="428" t="s">
        <v>152</v>
      </c>
      <c r="V435" s="428" t="s">
        <v>18</v>
      </c>
    </row>
    <row r="436" spans="1:22">
      <c r="A436" s="6"/>
      <c r="B436" s="216">
        <v>46244</v>
      </c>
      <c r="C436" s="216">
        <v>46244</v>
      </c>
      <c r="D436" s="428" t="s">
        <v>8503</v>
      </c>
      <c r="E436" s="428">
        <v>260103422179</v>
      </c>
      <c r="F436" s="428" t="s">
        <v>87</v>
      </c>
      <c r="G436" s="428" t="s">
        <v>824</v>
      </c>
      <c r="H436" s="428">
        <v>152</v>
      </c>
      <c r="I436" s="428">
        <v>203</v>
      </c>
      <c r="J436" s="369">
        <v>203</v>
      </c>
      <c r="K436" s="428">
        <v>104</v>
      </c>
      <c r="L436" s="217">
        <v>1310</v>
      </c>
      <c r="M436" s="428" t="s">
        <v>153</v>
      </c>
      <c r="N436" s="428" t="s">
        <v>149</v>
      </c>
      <c r="O436" s="428" t="s">
        <v>154</v>
      </c>
      <c r="P436" s="428" t="s">
        <v>151</v>
      </c>
      <c r="Q436" s="428" t="s">
        <v>155</v>
      </c>
      <c r="R436" s="428" t="s">
        <v>8504</v>
      </c>
      <c r="S436" s="428"/>
      <c r="T436" s="428" t="s">
        <v>2788</v>
      </c>
      <c r="U436" s="428" t="s">
        <v>152</v>
      </c>
      <c r="V436" s="428" t="s">
        <v>18</v>
      </c>
    </row>
    <row r="437" spans="1:22">
      <c r="A437" s="6"/>
      <c r="B437" s="216">
        <v>46244</v>
      </c>
      <c r="C437" s="216">
        <v>46244</v>
      </c>
      <c r="D437" s="428" t="s">
        <v>8505</v>
      </c>
      <c r="E437" s="428">
        <v>260103422190</v>
      </c>
      <c r="F437" s="428" t="s">
        <v>87</v>
      </c>
      <c r="G437" s="428" t="s">
        <v>824</v>
      </c>
      <c r="H437" s="428">
        <v>152</v>
      </c>
      <c r="I437" s="428">
        <v>148</v>
      </c>
      <c r="J437" s="369">
        <v>148</v>
      </c>
      <c r="K437" s="428">
        <v>104</v>
      </c>
      <c r="L437" s="217">
        <v>970</v>
      </c>
      <c r="M437" s="428" t="s">
        <v>153</v>
      </c>
      <c r="N437" s="428" t="s">
        <v>149</v>
      </c>
      <c r="O437" s="428" t="s">
        <v>154</v>
      </c>
      <c r="P437" s="428" t="s">
        <v>151</v>
      </c>
      <c r="Q437" s="428" t="s">
        <v>155</v>
      </c>
      <c r="R437" s="428" t="s">
        <v>8506</v>
      </c>
      <c r="S437" s="428"/>
      <c r="T437" s="428" t="s">
        <v>2788</v>
      </c>
      <c r="U437" s="428" t="s">
        <v>152</v>
      </c>
      <c r="V437" s="428" t="s">
        <v>18</v>
      </c>
    </row>
    <row r="438" spans="1:22">
      <c r="A438" s="6"/>
      <c r="B438" s="216">
        <v>46244</v>
      </c>
      <c r="C438" s="216">
        <v>46244</v>
      </c>
      <c r="D438" s="428" t="s">
        <v>8507</v>
      </c>
      <c r="E438" s="428">
        <v>260101422198</v>
      </c>
      <c r="F438" s="428" t="s">
        <v>87</v>
      </c>
      <c r="G438" s="428" t="s">
        <v>824</v>
      </c>
      <c r="H438" s="428">
        <v>152</v>
      </c>
      <c r="I438" s="428">
        <v>228</v>
      </c>
      <c r="J438" s="369">
        <v>228</v>
      </c>
      <c r="K438" s="428">
        <v>104</v>
      </c>
      <c r="L438" s="217">
        <v>1500</v>
      </c>
      <c r="M438" s="428" t="s">
        <v>153</v>
      </c>
      <c r="N438" s="428" t="s">
        <v>149</v>
      </c>
      <c r="O438" s="428" t="s">
        <v>154</v>
      </c>
      <c r="P438" s="428" t="s">
        <v>151</v>
      </c>
      <c r="Q438" s="428" t="s">
        <v>155</v>
      </c>
      <c r="R438" s="428" t="s">
        <v>8508</v>
      </c>
      <c r="S438" s="428"/>
      <c r="T438" s="428" t="s">
        <v>2788</v>
      </c>
      <c r="U438" s="428" t="s">
        <v>152</v>
      </c>
      <c r="V438" s="428" t="s">
        <v>18</v>
      </c>
    </row>
    <row r="439" spans="1:22">
      <c r="A439" s="6"/>
      <c r="B439" s="216">
        <v>46244</v>
      </c>
      <c r="C439" s="216">
        <v>46244</v>
      </c>
      <c r="D439" s="428" t="s">
        <v>8509</v>
      </c>
      <c r="E439" s="428">
        <v>260102522206</v>
      </c>
      <c r="F439" s="428" t="s">
        <v>87</v>
      </c>
      <c r="G439" s="428" t="s">
        <v>8032</v>
      </c>
      <c r="H439" s="428">
        <v>102</v>
      </c>
      <c r="I439" s="428">
        <v>260</v>
      </c>
      <c r="J439" s="369">
        <v>260</v>
      </c>
      <c r="K439" s="428">
        <v>130</v>
      </c>
      <c r="L439" s="217">
        <v>1000</v>
      </c>
      <c r="M439" s="428" t="s">
        <v>153</v>
      </c>
      <c r="N439" s="428" t="s">
        <v>149</v>
      </c>
      <c r="O439" s="428" t="s">
        <v>154</v>
      </c>
      <c r="P439" s="428" t="s">
        <v>151</v>
      </c>
      <c r="Q439" s="428" t="s">
        <v>155</v>
      </c>
      <c r="R439" s="428" t="s">
        <v>8510</v>
      </c>
      <c r="S439" s="428"/>
      <c r="T439" s="428" t="s">
        <v>2788</v>
      </c>
      <c r="U439" s="428" t="s">
        <v>152</v>
      </c>
      <c r="V439" s="428" t="s">
        <v>18</v>
      </c>
    </row>
    <row r="440" spans="1:22">
      <c r="A440" s="6"/>
      <c r="B440" s="216">
        <v>46244</v>
      </c>
      <c r="C440" s="216">
        <v>46244</v>
      </c>
      <c r="D440" s="428" t="s">
        <v>8511</v>
      </c>
      <c r="E440" s="428">
        <v>260102922213</v>
      </c>
      <c r="F440" s="428" t="s">
        <v>87</v>
      </c>
      <c r="G440" s="428" t="s">
        <v>824</v>
      </c>
      <c r="H440" s="428">
        <v>152</v>
      </c>
      <c r="I440" s="428">
        <v>259</v>
      </c>
      <c r="J440" s="369">
        <v>259</v>
      </c>
      <c r="K440" s="428">
        <v>104</v>
      </c>
      <c r="L440" s="217">
        <v>1690</v>
      </c>
      <c r="M440" s="428" t="s">
        <v>153</v>
      </c>
      <c r="N440" s="428" t="s">
        <v>149</v>
      </c>
      <c r="O440" s="428" t="s">
        <v>154</v>
      </c>
      <c r="P440" s="428" t="s">
        <v>151</v>
      </c>
      <c r="Q440" s="428" t="s">
        <v>155</v>
      </c>
      <c r="R440" s="428" t="s">
        <v>8512</v>
      </c>
      <c r="S440" s="428"/>
      <c r="T440" s="428" t="s">
        <v>2788</v>
      </c>
      <c r="U440" s="428" t="s">
        <v>152</v>
      </c>
      <c r="V440" s="428" t="s">
        <v>18</v>
      </c>
    </row>
    <row r="441" spans="1:22">
      <c r="A441" s="6"/>
      <c r="B441" s="216">
        <v>46244</v>
      </c>
      <c r="C441" s="216">
        <v>46244</v>
      </c>
      <c r="D441" s="428" t="s">
        <v>8513</v>
      </c>
      <c r="E441" s="428">
        <v>260105422227</v>
      </c>
      <c r="F441" s="428" t="s">
        <v>87</v>
      </c>
      <c r="G441" s="428" t="s">
        <v>8290</v>
      </c>
      <c r="H441" s="428">
        <v>140</v>
      </c>
      <c r="I441" s="428">
        <v>246</v>
      </c>
      <c r="J441" s="369">
        <v>246</v>
      </c>
      <c r="K441" s="428">
        <v>83</v>
      </c>
      <c r="L441" s="217">
        <v>2200</v>
      </c>
      <c r="M441" s="428" t="s">
        <v>153</v>
      </c>
      <c r="N441" s="428" t="s">
        <v>149</v>
      </c>
      <c r="O441" s="428" t="s">
        <v>154</v>
      </c>
      <c r="P441" s="428" t="s">
        <v>151</v>
      </c>
      <c r="Q441" s="428" t="s">
        <v>155</v>
      </c>
      <c r="R441" s="428" t="s">
        <v>8514</v>
      </c>
      <c r="S441" s="428"/>
      <c r="T441" s="428" t="s">
        <v>2788</v>
      </c>
      <c r="U441" s="428" t="s">
        <v>152</v>
      </c>
      <c r="V441" s="428" t="s">
        <v>18</v>
      </c>
    </row>
    <row r="442" spans="1:22">
      <c r="A442" s="6"/>
      <c r="B442" s="216">
        <v>46244</v>
      </c>
      <c r="C442" s="216">
        <v>46244</v>
      </c>
      <c r="D442" s="428" t="s">
        <v>8515</v>
      </c>
      <c r="E442" s="428">
        <v>260101522165</v>
      </c>
      <c r="F442" s="428" t="s">
        <v>87</v>
      </c>
      <c r="G442" s="428" t="s">
        <v>2419</v>
      </c>
      <c r="H442" s="428">
        <v>92</v>
      </c>
      <c r="I442" s="428">
        <v>321</v>
      </c>
      <c r="J442" s="369">
        <v>321</v>
      </c>
      <c r="K442" s="428">
        <v>180</v>
      </c>
      <c r="L442" s="217">
        <v>1000</v>
      </c>
      <c r="M442" s="428" t="s">
        <v>153</v>
      </c>
      <c r="N442" s="428" t="s">
        <v>149</v>
      </c>
      <c r="O442" s="428" t="s">
        <v>154</v>
      </c>
      <c r="P442" s="428" t="s">
        <v>151</v>
      </c>
      <c r="Q442" s="428" t="s">
        <v>155</v>
      </c>
      <c r="R442" s="428" t="s">
        <v>8516</v>
      </c>
      <c r="S442" s="428"/>
      <c r="T442" s="428" t="s">
        <v>2788</v>
      </c>
      <c r="U442" s="428" t="s">
        <v>152</v>
      </c>
      <c r="V442" s="428" t="s">
        <v>18</v>
      </c>
    </row>
    <row r="443" spans="1:22">
      <c r="A443" s="6"/>
      <c r="B443" s="216">
        <v>46244</v>
      </c>
      <c r="C443" s="216">
        <v>46244</v>
      </c>
      <c r="D443" s="428" t="s">
        <v>8517</v>
      </c>
      <c r="E443" s="428">
        <v>260103922173</v>
      </c>
      <c r="F443" s="428" t="s">
        <v>87</v>
      </c>
      <c r="G443" s="428" t="s">
        <v>8229</v>
      </c>
      <c r="H443" s="428">
        <v>132</v>
      </c>
      <c r="I443" s="428">
        <v>228</v>
      </c>
      <c r="J443" s="369">
        <v>228</v>
      </c>
      <c r="K443" s="428">
        <v>92</v>
      </c>
      <c r="L443" s="217">
        <v>1940</v>
      </c>
      <c r="M443" s="428" t="s">
        <v>153</v>
      </c>
      <c r="N443" s="428" t="s">
        <v>149</v>
      </c>
      <c r="O443" s="428" t="s">
        <v>154</v>
      </c>
      <c r="P443" s="428" t="s">
        <v>151</v>
      </c>
      <c r="Q443" s="428" t="s">
        <v>155</v>
      </c>
      <c r="R443" s="428" t="s">
        <v>8518</v>
      </c>
      <c r="S443" s="428"/>
      <c r="T443" s="428" t="s">
        <v>2788</v>
      </c>
      <c r="U443" s="428" t="s">
        <v>152</v>
      </c>
      <c r="V443" s="428" t="s">
        <v>18</v>
      </c>
    </row>
    <row r="444" spans="1:22">
      <c r="A444" s="6"/>
      <c r="B444" s="216">
        <v>46244</v>
      </c>
      <c r="C444" s="216">
        <v>46244</v>
      </c>
      <c r="D444" s="428" t="s">
        <v>8519</v>
      </c>
      <c r="E444" s="428">
        <v>260103922191</v>
      </c>
      <c r="F444" s="428" t="s">
        <v>87</v>
      </c>
      <c r="G444" s="428" t="s">
        <v>8229</v>
      </c>
      <c r="H444" s="428">
        <v>132</v>
      </c>
      <c r="I444" s="428">
        <v>160</v>
      </c>
      <c r="J444" s="369">
        <v>160</v>
      </c>
      <c r="K444" s="428">
        <v>92</v>
      </c>
      <c r="L444" s="217">
        <v>1380</v>
      </c>
      <c r="M444" s="428" t="s">
        <v>153</v>
      </c>
      <c r="N444" s="428" t="s">
        <v>149</v>
      </c>
      <c r="O444" s="428" t="s">
        <v>154</v>
      </c>
      <c r="P444" s="428" t="s">
        <v>151</v>
      </c>
      <c r="Q444" s="428" t="s">
        <v>155</v>
      </c>
      <c r="R444" s="428" t="s">
        <v>8520</v>
      </c>
      <c r="S444" s="428"/>
      <c r="T444" s="428" t="s">
        <v>2788</v>
      </c>
      <c r="U444" s="428" t="s">
        <v>152</v>
      </c>
      <c r="V444" s="428" t="s">
        <v>18</v>
      </c>
    </row>
    <row r="445" spans="1:22">
      <c r="A445" s="6"/>
      <c r="B445" s="216">
        <v>46244</v>
      </c>
      <c r="C445" s="216">
        <v>46244</v>
      </c>
      <c r="D445" s="428" t="s">
        <v>8521</v>
      </c>
      <c r="E445" s="428">
        <v>260102722203</v>
      </c>
      <c r="F445" s="428" t="s">
        <v>87</v>
      </c>
      <c r="G445" s="428" t="s">
        <v>8032</v>
      </c>
      <c r="H445" s="428">
        <v>102</v>
      </c>
      <c r="I445" s="428">
        <v>255</v>
      </c>
      <c r="J445" s="369">
        <v>255</v>
      </c>
      <c r="K445" s="428">
        <v>130</v>
      </c>
      <c r="L445" s="217">
        <v>1000</v>
      </c>
      <c r="M445" s="428" t="s">
        <v>153</v>
      </c>
      <c r="N445" s="428" t="s">
        <v>149</v>
      </c>
      <c r="O445" s="428" t="s">
        <v>154</v>
      </c>
      <c r="P445" s="428" t="s">
        <v>151</v>
      </c>
      <c r="Q445" s="428" t="s">
        <v>155</v>
      </c>
      <c r="R445" s="428" t="s">
        <v>8522</v>
      </c>
      <c r="S445" s="428"/>
      <c r="T445" s="428" t="s">
        <v>2788</v>
      </c>
      <c r="U445" s="428" t="s">
        <v>152</v>
      </c>
      <c r="V445" s="428" t="s">
        <v>18</v>
      </c>
    </row>
    <row r="446" spans="1:22">
      <c r="A446" s="6"/>
      <c r="B446" s="216">
        <v>46244</v>
      </c>
      <c r="C446" s="216">
        <v>46244</v>
      </c>
      <c r="D446" s="428" t="s">
        <v>8523</v>
      </c>
      <c r="E446" s="428">
        <v>260101622204</v>
      </c>
      <c r="F446" s="428" t="s">
        <v>87</v>
      </c>
      <c r="G446" s="428" t="s">
        <v>2079</v>
      </c>
      <c r="H446" s="428">
        <v>112</v>
      </c>
      <c r="I446" s="428">
        <v>393</v>
      </c>
      <c r="J446" s="369">
        <v>393</v>
      </c>
      <c r="K446" s="428">
        <v>180</v>
      </c>
      <c r="L446" s="217">
        <v>1000</v>
      </c>
      <c r="M446" s="428" t="s">
        <v>153</v>
      </c>
      <c r="N446" s="428" t="s">
        <v>149</v>
      </c>
      <c r="O446" s="428" t="s">
        <v>154</v>
      </c>
      <c r="P446" s="428" t="s">
        <v>151</v>
      </c>
      <c r="Q446" s="428" t="s">
        <v>155</v>
      </c>
      <c r="R446" s="428" t="s">
        <v>8524</v>
      </c>
      <c r="S446" s="428"/>
      <c r="T446" s="428" t="s">
        <v>2788</v>
      </c>
      <c r="U446" s="428" t="s">
        <v>152</v>
      </c>
      <c r="V446" s="428" t="s">
        <v>18</v>
      </c>
    </row>
    <row r="447" spans="1:22">
      <c r="A447" s="6"/>
      <c r="B447" s="216">
        <v>46244</v>
      </c>
      <c r="C447" s="216">
        <v>46244</v>
      </c>
      <c r="D447" s="428" t="s">
        <v>8525</v>
      </c>
      <c r="E447" s="428">
        <v>260104622184</v>
      </c>
      <c r="F447" s="428" t="s">
        <v>87</v>
      </c>
      <c r="G447" s="428" t="s">
        <v>824</v>
      </c>
      <c r="H447" s="428">
        <v>152</v>
      </c>
      <c r="I447" s="428">
        <v>249</v>
      </c>
      <c r="J447" s="369">
        <v>249</v>
      </c>
      <c r="K447" s="428">
        <v>104</v>
      </c>
      <c r="L447" s="217">
        <v>1650</v>
      </c>
      <c r="M447" s="428" t="s">
        <v>153</v>
      </c>
      <c r="N447" s="428" t="s">
        <v>149</v>
      </c>
      <c r="O447" s="428" t="s">
        <v>154</v>
      </c>
      <c r="P447" s="428" t="s">
        <v>151</v>
      </c>
      <c r="Q447" s="428" t="s">
        <v>155</v>
      </c>
      <c r="R447" s="428" t="s">
        <v>8526</v>
      </c>
      <c r="S447" s="428"/>
      <c r="T447" s="428" t="s">
        <v>2788</v>
      </c>
      <c r="U447" s="428" t="s">
        <v>152</v>
      </c>
      <c r="V447" s="428" t="s">
        <v>18</v>
      </c>
    </row>
    <row r="448" spans="1:22">
      <c r="A448" s="6"/>
      <c r="B448" s="216">
        <v>46244</v>
      </c>
      <c r="C448" s="216">
        <v>46244</v>
      </c>
      <c r="D448" s="428" t="s">
        <v>8527</v>
      </c>
      <c r="E448" s="428">
        <v>260102422167</v>
      </c>
      <c r="F448" s="428" t="s">
        <v>87</v>
      </c>
      <c r="G448" s="428" t="s">
        <v>8032</v>
      </c>
      <c r="H448" s="428">
        <v>102</v>
      </c>
      <c r="I448" s="428">
        <v>263</v>
      </c>
      <c r="J448" s="369">
        <v>263</v>
      </c>
      <c r="K448" s="428">
        <v>130</v>
      </c>
      <c r="L448" s="217">
        <v>1000</v>
      </c>
      <c r="M448" s="428" t="s">
        <v>153</v>
      </c>
      <c r="N448" s="428" t="s">
        <v>149</v>
      </c>
      <c r="O448" s="428" t="s">
        <v>154</v>
      </c>
      <c r="P448" s="428" t="s">
        <v>151</v>
      </c>
      <c r="Q448" s="428" t="s">
        <v>155</v>
      </c>
      <c r="R448" s="428" t="s">
        <v>8528</v>
      </c>
      <c r="S448" s="428"/>
      <c r="T448" s="428" t="s">
        <v>2788</v>
      </c>
      <c r="U448" s="428" t="s">
        <v>152</v>
      </c>
      <c r="V448" s="428" t="s">
        <v>18</v>
      </c>
    </row>
    <row r="449" spans="1:22">
      <c r="A449" s="6"/>
      <c r="B449" s="216">
        <v>46244</v>
      </c>
      <c r="C449" s="216">
        <v>46244</v>
      </c>
      <c r="D449" s="428" t="s">
        <v>8529</v>
      </c>
      <c r="E449" s="428">
        <v>260103922172</v>
      </c>
      <c r="F449" s="428" t="s">
        <v>87</v>
      </c>
      <c r="G449" s="428" t="s">
        <v>8229</v>
      </c>
      <c r="H449" s="428">
        <v>132</v>
      </c>
      <c r="I449" s="428">
        <v>225</v>
      </c>
      <c r="J449" s="369">
        <v>225</v>
      </c>
      <c r="K449" s="428">
        <v>92</v>
      </c>
      <c r="L449" s="217">
        <v>1940</v>
      </c>
      <c r="M449" s="428" t="s">
        <v>153</v>
      </c>
      <c r="N449" s="428" t="s">
        <v>149</v>
      </c>
      <c r="O449" s="428" t="s">
        <v>154</v>
      </c>
      <c r="P449" s="428" t="s">
        <v>151</v>
      </c>
      <c r="Q449" s="428" t="s">
        <v>155</v>
      </c>
      <c r="R449" s="428" t="s">
        <v>8530</v>
      </c>
      <c r="S449" s="428"/>
      <c r="T449" s="428" t="s">
        <v>2788</v>
      </c>
      <c r="U449" s="428" t="s">
        <v>152</v>
      </c>
      <c r="V449" s="428" t="s">
        <v>18</v>
      </c>
    </row>
    <row r="450" spans="1:22">
      <c r="A450" s="6"/>
      <c r="B450" s="216">
        <v>46244</v>
      </c>
      <c r="C450" s="216">
        <v>46244</v>
      </c>
      <c r="D450" s="428" t="s">
        <v>8531</v>
      </c>
      <c r="E450" s="428">
        <v>260101422199</v>
      </c>
      <c r="F450" s="428" t="s">
        <v>87</v>
      </c>
      <c r="G450" s="428" t="s">
        <v>824</v>
      </c>
      <c r="H450" s="428">
        <v>152</v>
      </c>
      <c r="I450" s="428">
        <v>231</v>
      </c>
      <c r="J450" s="369">
        <v>231</v>
      </c>
      <c r="K450" s="428">
        <v>104</v>
      </c>
      <c r="L450" s="217">
        <v>1500</v>
      </c>
      <c r="M450" s="428" t="s">
        <v>153</v>
      </c>
      <c r="N450" s="428" t="s">
        <v>149</v>
      </c>
      <c r="O450" s="428" t="s">
        <v>154</v>
      </c>
      <c r="P450" s="428" t="s">
        <v>151</v>
      </c>
      <c r="Q450" s="428" t="s">
        <v>155</v>
      </c>
      <c r="R450" s="428" t="s">
        <v>8532</v>
      </c>
      <c r="S450" s="428"/>
      <c r="T450" s="428" t="s">
        <v>2788</v>
      </c>
      <c r="U450" s="428" t="s">
        <v>152</v>
      </c>
      <c r="V450" s="428" t="s">
        <v>18</v>
      </c>
    </row>
    <row r="451" spans="1:22">
      <c r="A451" s="6"/>
      <c r="B451" s="216">
        <v>46244</v>
      </c>
      <c r="C451" s="216">
        <v>46244</v>
      </c>
      <c r="D451" s="428" t="s">
        <v>8533</v>
      </c>
      <c r="E451" s="428">
        <v>260101422200</v>
      </c>
      <c r="F451" s="428" t="s">
        <v>87</v>
      </c>
      <c r="G451" s="428" t="s">
        <v>824</v>
      </c>
      <c r="H451" s="428">
        <v>152</v>
      </c>
      <c r="I451" s="428">
        <v>228</v>
      </c>
      <c r="J451" s="369">
        <v>228</v>
      </c>
      <c r="K451" s="428">
        <v>104</v>
      </c>
      <c r="L451" s="217">
        <v>1500</v>
      </c>
      <c r="M451" s="428" t="s">
        <v>153</v>
      </c>
      <c r="N451" s="428" t="s">
        <v>149</v>
      </c>
      <c r="O451" s="428" t="s">
        <v>154</v>
      </c>
      <c r="P451" s="428" t="s">
        <v>151</v>
      </c>
      <c r="Q451" s="428" t="s">
        <v>155</v>
      </c>
      <c r="R451" s="428" t="s">
        <v>8534</v>
      </c>
      <c r="S451" s="428"/>
      <c r="T451" s="428" t="s">
        <v>2788</v>
      </c>
      <c r="U451" s="428" t="s">
        <v>152</v>
      </c>
      <c r="V451" s="428" t="s">
        <v>18</v>
      </c>
    </row>
    <row r="452" spans="1:22">
      <c r="A452" s="6"/>
      <c r="B452" s="216">
        <v>46244</v>
      </c>
      <c r="C452" s="216">
        <v>46244</v>
      </c>
      <c r="D452" s="428" t="s">
        <v>8535</v>
      </c>
      <c r="E452" s="428">
        <v>260102322166</v>
      </c>
      <c r="F452" s="428" t="s">
        <v>87</v>
      </c>
      <c r="G452" s="428" t="s">
        <v>8032</v>
      </c>
      <c r="H452" s="428">
        <v>102</v>
      </c>
      <c r="I452" s="428">
        <v>262</v>
      </c>
      <c r="J452" s="369">
        <v>262</v>
      </c>
      <c r="K452" s="428">
        <v>130</v>
      </c>
      <c r="L452" s="217">
        <v>1000</v>
      </c>
      <c r="M452" s="428" t="s">
        <v>153</v>
      </c>
      <c r="N452" s="428" t="s">
        <v>149</v>
      </c>
      <c r="O452" s="428" t="s">
        <v>154</v>
      </c>
      <c r="P452" s="428" t="s">
        <v>151</v>
      </c>
      <c r="Q452" s="428" t="s">
        <v>155</v>
      </c>
      <c r="R452" s="428" t="s">
        <v>8536</v>
      </c>
      <c r="S452" s="428"/>
      <c r="T452" s="428" t="s">
        <v>2788</v>
      </c>
      <c r="U452" s="428" t="s">
        <v>152</v>
      </c>
      <c r="V452" s="428" t="s">
        <v>18</v>
      </c>
    </row>
    <row r="453" spans="1:22">
      <c r="A453" s="6"/>
      <c r="B453" s="216">
        <v>46244</v>
      </c>
      <c r="C453" s="216">
        <v>46244</v>
      </c>
      <c r="D453" s="428" t="s">
        <v>8537</v>
      </c>
      <c r="E453" s="428">
        <v>260103422178</v>
      </c>
      <c r="F453" s="428" t="s">
        <v>87</v>
      </c>
      <c r="G453" s="428" t="s">
        <v>824</v>
      </c>
      <c r="H453" s="428">
        <v>152</v>
      </c>
      <c r="I453" s="428">
        <v>202</v>
      </c>
      <c r="J453" s="369">
        <v>202</v>
      </c>
      <c r="K453" s="428">
        <v>104</v>
      </c>
      <c r="L453" s="217">
        <v>1310</v>
      </c>
      <c r="M453" s="428" t="s">
        <v>153</v>
      </c>
      <c r="N453" s="428" t="s">
        <v>149</v>
      </c>
      <c r="O453" s="428" t="s">
        <v>154</v>
      </c>
      <c r="P453" s="428" t="s">
        <v>151</v>
      </c>
      <c r="Q453" s="428" t="s">
        <v>155</v>
      </c>
      <c r="R453" s="428" t="s">
        <v>8538</v>
      </c>
      <c r="S453" s="428"/>
      <c r="T453" s="428" t="s">
        <v>2788</v>
      </c>
      <c r="U453" s="428" t="s">
        <v>152</v>
      </c>
      <c r="V453" s="428" t="s">
        <v>18</v>
      </c>
    </row>
    <row r="454" spans="1:22">
      <c r="A454" s="6"/>
      <c r="B454" s="216">
        <v>46244</v>
      </c>
      <c r="C454" s="216">
        <v>46244</v>
      </c>
      <c r="D454" s="428" t="s">
        <v>8539</v>
      </c>
      <c r="E454" s="428">
        <v>260105822182</v>
      </c>
      <c r="F454" s="428" t="s">
        <v>87</v>
      </c>
      <c r="G454" s="428" t="s">
        <v>824</v>
      </c>
      <c r="H454" s="428">
        <v>152</v>
      </c>
      <c r="I454" s="428">
        <v>261</v>
      </c>
      <c r="J454" s="369">
        <v>261</v>
      </c>
      <c r="K454" s="428">
        <v>104</v>
      </c>
      <c r="L454" s="217">
        <v>1750</v>
      </c>
      <c r="M454" s="428" t="s">
        <v>153</v>
      </c>
      <c r="N454" s="428" t="s">
        <v>149</v>
      </c>
      <c r="O454" s="428" t="s">
        <v>154</v>
      </c>
      <c r="P454" s="428" t="s">
        <v>151</v>
      </c>
      <c r="Q454" s="428" t="s">
        <v>155</v>
      </c>
      <c r="R454" s="428" t="s">
        <v>8540</v>
      </c>
      <c r="S454" s="428"/>
      <c r="T454" s="428" t="s">
        <v>2788</v>
      </c>
      <c r="U454" s="428" t="s">
        <v>152</v>
      </c>
      <c r="V454" s="428" t="s">
        <v>18</v>
      </c>
    </row>
    <row r="455" spans="1:22">
      <c r="A455" s="6"/>
      <c r="B455" s="216">
        <v>46244</v>
      </c>
      <c r="C455" s="216">
        <v>46244</v>
      </c>
      <c r="D455" s="428" t="s">
        <v>8541</v>
      </c>
      <c r="E455" s="428">
        <v>260101422201</v>
      </c>
      <c r="F455" s="428" t="s">
        <v>87</v>
      </c>
      <c r="G455" s="428" t="s">
        <v>824</v>
      </c>
      <c r="H455" s="428">
        <v>152</v>
      </c>
      <c r="I455" s="428">
        <v>231</v>
      </c>
      <c r="J455" s="369">
        <v>231</v>
      </c>
      <c r="K455" s="428">
        <v>104</v>
      </c>
      <c r="L455" s="217">
        <v>1500</v>
      </c>
      <c r="M455" s="428" t="s">
        <v>153</v>
      </c>
      <c r="N455" s="428" t="s">
        <v>149</v>
      </c>
      <c r="O455" s="428" t="s">
        <v>154</v>
      </c>
      <c r="P455" s="428" t="s">
        <v>151</v>
      </c>
      <c r="Q455" s="428" t="s">
        <v>155</v>
      </c>
      <c r="R455" s="428" t="s">
        <v>8542</v>
      </c>
      <c r="S455" s="428"/>
      <c r="T455" s="428" t="s">
        <v>2788</v>
      </c>
      <c r="U455" s="428" t="s">
        <v>152</v>
      </c>
      <c r="V455" s="428" t="s">
        <v>18</v>
      </c>
    </row>
    <row r="456" spans="1:22">
      <c r="A456" s="6"/>
      <c r="B456" s="216">
        <v>46244</v>
      </c>
      <c r="C456" s="216">
        <v>46244</v>
      </c>
      <c r="D456" s="428" t="s">
        <v>8543</v>
      </c>
      <c r="E456" s="428">
        <v>260100722211</v>
      </c>
      <c r="F456" s="428" t="s">
        <v>87</v>
      </c>
      <c r="G456" s="428" t="s">
        <v>7586</v>
      </c>
      <c r="H456" s="428">
        <v>132</v>
      </c>
      <c r="I456" s="428">
        <v>388</v>
      </c>
      <c r="J456" s="369">
        <v>388</v>
      </c>
      <c r="K456" s="428">
        <v>170</v>
      </c>
      <c r="L456" s="217">
        <v>900</v>
      </c>
      <c r="M456" s="428" t="s">
        <v>153</v>
      </c>
      <c r="N456" s="428" t="s">
        <v>149</v>
      </c>
      <c r="O456" s="428" t="s">
        <v>154</v>
      </c>
      <c r="P456" s="428" t="s">
        <v>151</v>
      </c>
      <c r="Q456" s="428" t="s">
        <v>155</v>
      </c>
      <c r="R456" s="428" t="s">
        <v>8544</v>
      </c>
      <c r="S456" s="428"/>
      <c r="T456" s="428" t="s">
        <v>2788</v>
      </c>
      <c r="U456" s="428" t="s">
        <v>152</v>
      </c>
      <c r="V456" s="428" t="s">
        <v>18</v>
      </c>
    </row>
    <row r="457" spans="1:22">
      <c r="A457" s="6"/>
      <c r="B457" s="216">
        <v>46244</v>
      </c>
      <c r="C457" s="216">
        <v>46244</v>
      </c>
      <c r="D457" s="428" t="s">
        <v>8545</v>
      </c>
      <c r="E457" s="428">
        <v>260106922231</v>
      </c>
      <c r="F457" s="428" t="s">
        <v>87</v>
      </c>
      <c r="G457" s="428" t="s">
        <v>7928</v>
      </c>
      <c r="H457" s="428">
        <v>135</v>
      </c>
      <c r="I457" s="428">
        <v>301</v>
      </c>
      <c r="J457" s="369">
        <v>301</v>
      </c>
      <c r="K457" s="428">
        <v>107</v>
      </c>
      <c r="L457" s="217">
        <v>2140</v>
      </c>
      <c r="M457" s="428" t="s">
        <v>153</v>
      </c>
      <c r="N457" s="428" t="s">
        <v>149</v>
      </c>
      <c r="O457" s="428" t="s">
        <v>154</v>
      </c>
      <c r="P457" s="428" t="s">
        <v>151</v>
      </c>
      <c r="Q457" s="428" t="s">
        <v>155</v>
      </c>
      <c r="R457" s="428" t="s">
        <v>8546</v>
      </c>
      <c r="S457" s="428"/>
      <c r="T457" s="428" t="s">
        <v>2788</v>
      </c>
      <c r="U457" s="428" t="s">
        <v>152</v>
      </c>
      <c r="V457" s="428" t="s">
        <v>18</v>
      </c>
    </row>
    <row r="458" spans="1:22">
      <c r="A458" s="6"/>
      <c r="B458" s="216">
        <v>46244</v>
      </c>
      <c r="C458" s="216">
        <v>46244</v>
      </c>
      <c r="D458" s="428" t="s">
        <v>8547</v>
      </c>
      <c r="E458" s="428">
        <v>260102022170</v>
      </c>
      <c r="F458" s="428" t="s">
        <v>87</v>
      </c>
      <c r="G458" s="428" t="s">
        <v>2303</v>
      </c>
      <c r="H458" s="428">
        <v>92</v>
      </c>
      <c r="I458" s="428">
        <v>245</v>
      </c>
      <c r="J458" s="369">
        <v>245</v>
      </c>
      <c r="K458" s="428">
        <v>134</v>
      </c>
      <c r="L458" s="217">
        <v>1000</v>
      </c>
      <c r="M458" s="428" t="s">
        <v>153</v>
      </c>
      <c r="N458" s="428" t="s">
        <v>149</v>
      </c>
      <c r="O458" s="428" t="s">
        <v>154</v>
      </c>
      <c r="P458" s="428" t="s">
        <v>151</v>
      </c>
      <c r="Q458" s="428" t="s">
        <v>155</v>
      </c>
      <c r="R458" s="428" t="s">
        <v>8548</v>
      </c>
      <c r="S458" s="428"/>
      <c r="T458" s="428" t="s">
        <v>2790</v>
      </c>
      <c r="U458" s="428" t="s">
        <v>152</v>
      </c>
      <c r="V458" s="428" t="s">
        <v>18</v>
      </c>
    </row>
    <row r="459" spans="1:22">
      <c r="A459" s="6"/>
      <c r="B459" s="216">
        <v>46244</v>
      </c>
      <c r="C459" s="216">
        <v>46244</v>
      </c>
      <c r="D459" s="428" t="s">
        <v>8549</v>
      </c>
      <c r="E459" s="428">
        <v>260103422220</v>
      </c>
      <c r="F459" s="428" t="s">
        <v>87</v>
      </c>
      <c r="G459" s="428" t="s">
        <v>824</v>
      </c>
      <c r="H459" s="428">
        <v>152</v>
      </c>
      <c r="I459" s="428">
        <v>161</v>
      </c>
      <c r="J459" s="369">
        <v>161</v>
      </c>
      <c r="K459" s="428">
        <v>104</v>
      </c>
      <c r="L459" s="217">
        <v>1050</v>
      </c>
      <c r="M459" s="428" t="s">
        <v>153</v>
      </c>
      <c r="N459" s="428" t="s">
        <v>149</v>
      </c>
      <c r="O459" s="428" t="s">
        <v>154</v>
      </c>
      <c r="P459" s="428" t="s">
        <v>151</v>
      </c>
      <c r="Q459" s="428" t="s">
        <v>155</v>
      </c>
      <c r="R459" s="428" t="s">
        <v>8550</v>
      </c>
      <c r="S459" s="428"/>
      <c r="T459" s="428" t="s">
        <v>2790</v>
      </c>
      <c r="U459" s="428" t="s">
        <v>152</v>
      </c>
      <c r="V459" s="428" t="s">
        <v>18</v>
      </c>
    </row>
    <row r="460" spans="1:22">
      <c r="A460" s="6"/>
      <c r="B460" s="216">
        <v>46244</v>
      </c>
      <c r="C460" s="216">
        <v>46244</v>
      </c>
      <c r="D460" s="428" t="s">
        <v>8551</v>
      </c>
      <c r="E460" s="428">
        <v>260107122233</v>
      </c>
      <c r="F460" s="428" t="s">
        <v>87</v>
      </c>
      <c r="G460" s="428" t="s">
        <v>8198</v>
      </c>
      <c r="H460" s="428">
        <v>140</v>
      </c>
      <c r="I460" s="428">
        <v>340</v>
      </c>
      <c r="J460" s="369">
        <v>340</v>
      </c>
      <c r="K460" s="428">
        <v>95</v>
      </c>
      <c r="L460" s="217">
        <v>2660</v>
      </c>
      <c r="M460" s="428" t="s">
        <v>153</v>
      </c>
      <c r="N460" s="428" t="s">
        <v>149</v>
      </c>
      <c r="O460" s="428" t="s">
        <v>154</v>
      </c>
      <c r="P460" s="428" t="s">
        <v>151</v>
      </c>
      <c r="Q460" s="428" t="s">
        <v>155</v>
      </c>
      <c r="R460" s="428" t="s">
        <v>8552</v>
      </c>
      <c r="S460" s="428"/>
      <c r="T460" s="428" t="s">
        <v>2790</v>
      </c>
      <c r="U460" s="428" t="s">
        <v>152</v>
      </c>
      <c r="V460" s="428" t="s">
        <v>18</v>
      </c>
    </row>
    <row r="461" spans="1:22">
      <c r="A461" s="6"/>
      <c r="B461" s="216">
        <v>46244</v>
      </c>
      <c r="C461" s="216">
        <v>46244</v>
      </c>
      <c r="D461" s="428" t="s">
        <v>8553</v>
      </c>
      <c r="E461" s="428">
        <v>260103322181</v>
      </c>
      <c r="F461" s="428" t="s">
        <v>87</v>
      </c>
      <c r="G461" s="428" t="s">
        <v>2409</v>
      </c>
      <c r="H461" s="428">
        <v>152</v>
      </c>
      <c r="I461" s="428">
        <v>217</v>
      </c>
      <c r="J461" s="369">
        <v>217</v>
      </c>
      <c r="K461" s="428">
        <v>97</v>
      </c>
      <c r="L461" s="217">
        <v>1550</v>
      </c>
      <c r="M461" s="428" t="s">
        <v>153</v>
      </c>
      <c r="N461" s="428" t="s">
        <v>149</v>
      </c>
      <c r="O461" s="428" t="s">
        <v>154</v>
      </c>
      <c r="P461" s="428" t="s">
        <v>151</v>
      </c>
      <c r="Q461" s="428" t="s">
        <v>155</v>
      </c>
      <c r="R461" s="428" t="s">
        <v>8554</v>
      </c>
      <c r="S461" s="428"/>
      <c r="T461" s="428" t="s">
        <v>2790</v>
      </c>
      <c r="U461" s="428" t="s">
        <v>152</v>
      </c>
      <c r="V461" s="428" t="s">
        <v>18</v>
      </c>
    </row>
    <row r="462" spans="1:22">
      <c r="A462" s="6"/>
      <c r="B462" s="216">
        <v>46244</v>
      </c>
      <c r="C462" s="216">
        <v>46244</v>
      </c>
      <c r="D462" s="428" t="s">
        <v>8555</v>
      </c>
      <c r="E462" s="428">
        <v>260101822209</v>
      </c>
      <c r="F462" s="428" t="s">
        <v>87</v>
      </c>
      <c r="G462" s="428" t="s">
        <v>7909</v>
      </c>
      <c r="H462" s="428">
        <v>105</v>
      </c>
      <c r="I462" s="428">
        <v>273</v>
      </c>
      <c r="J462" s="369">
        <v>273</v>
      </c>
      <c r="K462" s="428">
        <v>134</v>
      </c>
      <c r="L462" s="217">
        <v>1000</v>
      </c>
      <c r="M462" s="428" t="s">
        <v>153</v>
      </c>
      <c r="N462" s="428" t="s">
        <v>149</v>
      </c>
      <c r="O462" s="428" t="s">
        <v>154</v>
      </c>
      <c r="P462" s="428" t="s">
        <v>151</v>
      </c>
      <c r="Q462" s="428" t="s">
        <v>155</v>
      </c>
      <c r="R462" s="428" t="s">
        <v>8556</v>
      </c>
      <c r="S462" s="428"/>
      <c r="T462" s="428" t="s">
        <v>2790</v>
      </c>
      <c r="U462" s="428" t="s">
        <v>152</v>
      </c>
      <c r="V462" s="428" t="s">
        <v>18</v>
      </c>
    </row>
    <row r="463" spans="1:22">
      <c r="A463" s="6"/>
      <c r="B463" s="216">
        <v>46244</v>
      </c>
      <c r="C463" s="216">
        <v>46244</v>
      </c>
      <c r="D463" s="428" t="s">
        <v>8557</v>
      </c>
      <c r="E463" s="428">
        <v>260103422219</v>
      </c>
      <c r="F463" s="428" t="s">
        <v>87</v>
      </c>
      <c r="G463" s="428" t="s">
        <v>824</v>
      </c>
      <c r="H463" s="428">
        <v>152</v>
      </c>
      <c r="I463" s="428">
        <v>160</v>
      </c>
      <c r="J463" s="369">
        <v>160</v>
      </c>
      <c r="K463" s="428">
        <v>104</v>
      </c>
      <c r="L463" s="217">
        <v>1050</v>
      </c>
      <c r="M463" s="428" t="s">
        <v>153</v>
      </c>
      <c r="N463" s="428" t="s">
        <v>149</v>
      </c>
      <c r="O463" s="428" t="s">
        <v>154</v>
      </c>
      <c r="P463" s="428" t="s">
        <v>151</v>
      </c>
      <c r="Q463" s="428" t="s">
        <v>155</v>
      </c>
      <c r="R463" s="428" t="s">
        <v>8558</v>
      </c>
      <c r="S463" s="428"/>
      <c r="T463" s="428" t="s">
        <v>2790</v>
      </c>
      <c r="U463" s="428" t="s">
        <v>152</v>
      </c>
      <c r="V463" s="428" t="s">
        <v>18</v>
      </c>
    </row>
    <row r="464" spans="1:22">
      <c r="A464" s="6"/>
      <c r="B464" s="216">
        <v>46244</v>
      </c>
      <c r="C464" s="216">
        <v>46244</v>
      </c>
      <c r="D464" s="428" t="s">
        <v>8559</v>
      </c>
      <c r="E464" s="428">
        <v>260102422208</v>
      </c>
      <c r="F464" s="428" t="s">
        <v>87</v>
      </c>
      <c r="G464" s="428" t="s">
        <v>8032</v>
      </c>
      <c r="H464" s="428">
        <v>102</v>
      </c>
      <c r="I464" s="428">
        <v>260</v>
      </c>
      <c r="J464" s="369">
        <v>260</v>
      </c>
      <c r="K464" s="428">
        <v>130</v>
      </c>
      <c r="L464" s="217">
        <v>1000</v>
      </c>
      <c r="M464" s="428" t="s">
        <v>153</v>
      </c>
      <c r="N464" s="428" t="s">
        <v>149</v>
      </c>
      <c r="O464" s="428" t="s">
        <v>154</v>
      </c>
      <c r="P464" s="428" t="s">
        <v>151</v>
      </c>
      <c r="Q464" s="428" t="s">
        <v>155</v>
      </c>
      <c r="R464" s="428" t="s">
        <v>8560</v>
      </c>
      <c r="S464" s="428"/>
      <c r="T464" s="428" t="s">
        <v>2790</v>
      </c>
      <c r="U464" s="428" t="s">
        <v>152</v>
      </c>
      <c r="V464" s="428" t="s">
        <v>18</v>
      </c>
    </row>
    <row r="465" spans="1:22">
      <c r="A465" s="6"/>
      <c r="B465" s="216">
        <v>46244</v>
      </c>
      <c r="C465" s="216">
        <v>46244</v>
      </c>
      <c r="D465" s="428" t="s">
        <v>8561</v>
      </c>
      <c r="E465" s="428">
        <v>260102922212</v>
      </c>
      <c r="F465" s="428" t="s">
        <v>87</v>
      </c>
      <c r="G465" s="428" t="s">
        <v>824</v>
      </c>
      <c r="H465" s="428">
        <v>152</v>
      </c>
      <c r="I465" s="428">
        <v>261</v>
      </c>
      <c r="J465" s="369">
        <v>261</v>
      </c>
      <c r="K465" s="428">
        <v>104</v>
      </c>
      <c r="L465" s="217">
        <v>1690</v>
      </c>
      <c r="M465" s="428" t="s">
        <v>153</v>
      </c>
      <c r="N465" s="428" t="s">
        <v>149</v>
      </c>
      <c r="O465" s="428" t="s">
        <v>154</v>
      </c>
      <c r="P465" s="428" t="s">
        <v>151</v>
      </c>
      <c r="Q465" s="428" t="s">
        <v>155</v>
      </c>
      <c r="R465" s="428" t="s">
        <v>8562</v>
      </c>
      <c r="S465" s="428"/>
      <c r="T465" s="428" t="s">
        <v>2790</v>
      </c>
      <c r="U465" s="428" t="s">
        <v>152</v>
      </c>
      <c r="V465" s="428" t="s">
        <v>18</v>
      </c>
    </row>
    <row r="466" spans="1:22">
      <c r="A466" s="6"/>
      <c r="B466" s="216">
        <v>46244</v>
      </c>
      <c r="C466" s="216">
        <v>46244</v>
      </c>
      <c r="D466" s="428" t="s">
        <v>8563</v>
      </c>
      <c r="E466" s="428">
        <v>260105722225</v>
      </c>
      <c r="F466" s="428" t="s">
        <v>87</v>
      </c>
      <c r="G466" s="428" t="s">
        <v>2364</v>
      </c>
      <c r="H466" s="428">
        <v>142</v>
      </c>
      <c r="I466" s="428">
        <v>114</v>
      </c>
      <c r="J466" s="370">
        <v>114</v>
      </c>
      <c r="K466" s="428">
        <v>67</v>
      </c>
      <c r="L466" s="217">
        <v>1200</v>
      </c>
      <c r="M466" s="428" t="s">
        <v>153</v>
      </c>
      <c r="N466" s="428" t="s">
        <v>149</v>
      </c>
      <c r="O466" s="428" t="s">
        <v>154</v>
      </c>
      <c r="P466" s="428" t="s">
        <v>151</v>
      </c>
      <c r="Q466" s="428" t="s">
        <v>155</v>
      </c>
      <c r="R466" s="428" t="s">
        <v>8564</v>
      </c>
      <c r="S466" s="428"/>
      <c r="T466" s="428" t="s">
        <v>2790</v>
      </c>
      <c r="U466" s="428" t="s">
        <v>152</v>
      </c>
      <c r="V466" s="428" t="s">
        <v>18</v>
      </c>
    </row>
    <row r="467" spans="1:22">
      <c r="A467" s="6"/>
      <c r="B467" s="216">
        <v>46244</v>
      </c>
      <c r="C467" s="216">
        <v>46244</v>
      </c>
      <c r="D467" s="428" t="s">
        <v>8565</v>
      </c>
      <c r="E467" s="428">
        <v>260101722207</v>
      </c>
      <c r="F467" s="428" t="s">
        <v>87</v>
      </c>
      <c r="G467" s="428" t="s">
        <v>2303</v>
      </c>
      <c r="H467" s="428">
        <v>92</v>
      </c>
      <c r="I467" s="428">
        <v>250</v>
      </c>
      <c r="J467" s="369">
        <v>250</v>
      </c>
      <c r="K467" s="428">
        <v>134</v>
      </c>
      <c r="L467" s="217">
        <v>1015</v>
      </c>
      <c r="M467" s="428" t="s">
        <v>153</v>
      </c>
      <c r="N467" s="428" t="s">
        <v>149</v>
      </c>
      <c r="O467" s="428" t="s">
        <v>154</v>
      </c>
      <c r="P467" s="428" t="s">
        <v>151</v>
      </c>
      <c r="Q467" s="428" t="s">
        <v>155</v>
      </c>
      <c r="R467" s="428" t="s">
        <v>8566</v>
      </c>
      <c r="S467" s="428"/>
      <c r="T467" s="428" t="s">
        <v>2790</v>
      </c>
      <c r="U467" s="428" t="s">
        <v>152</v>
      </c>
      <c r="V467" s="428" t="s">
        <v>18</v>
      </c>
    </row>
    <row r="468" spans="1:22">
      <c r="A468" s="6"/>
      <c r="B468" s="216">
        <v>46244</v>
      </c>
      <c r="C468" s="216">
        <v>46244</v>
      </c>
      <c r="D468" s="428" t="s">
        <v>8567</v>
      </c>
      <c r="E468" s="428">
        <v>260102622205</v>
      </c>
      <c r="F468" s="428" t="s">
        <v>87</v>
      </c>
      <c r="G468" s="428" t="s">
        <v>8032</v>
      </c>
      <c r="H468" s="428">
        <v>102</v>
      </c>
      <c r="I468" s="428">
        <v>256</v>
      </c>
      <c r="J468" s="369">
        <v>256</v>
      </c>
      <c r="K468" s="428">
        <v>130</v>
      </c>
      <c r="L468" s="217">
        <v>1000</v>
      </c>
      <c r="M468" s="428" t="s">
        <v>153</v>
      </c>
      <c r="N468" s="428" t="s">
        <v>149</v>
      </c>
      <c r="O468" s="428" t="s">
        <v>154</v>
      </c>
      <c r="P468" s="428" t="s">
        <v>151</v>
      </c>
      <c r="Q468" s="428" t="s">
        <v>155</v>
      </c>
      <c r="R468" s="428" t="s">
        <v>8568</v>
      </c>
      <c r="S468" s="428"/>
      <c r="T468" s="428" t="s">
        <v>2790</v>
      </c>
      <c r="U468" s="428" t="s">
        <v>152</v>
      </c>
      <c r="V468" s="428" t="s">
        <v>18</v>
      </c>
    </row>
    <row r="469" spans="1:22">
      <c r="A469" s="6"/>
      <c r="B469" s="216">
        <v>46244</v>
      </c>
      <c r="C469" s="216">
        <v>46244</v>
      </c>
      <c r="D469" s="428" t="s">
        <v>8569</v>
      </c>
      <c r="E469" s="428" t="s">
        <v>8570</v>
      </c>
      <c r="F469" s="428" t="s">
        <v>87</v>
      </c>
      <c r="G469" s="428" t="s">
        <v>8571</v>
      </c>
      <c r="H469" s="428" t="s">
        <v>2532</v>
      </c>
      <c r="I469" s="428">
        <v>123</v>
      </c>
      <c r="J469" s="369">
        <v>123</v>
      </c>
      <c r="K469" s="428">
        <v>24</v>
      </c>
      <c r="L469" s="217">
        <v>6520</v>
      </c>
      <c r="M469" s="428" t="s">
        <v>153</v>
      </c>
      <c r="N469" s="428" t="s">
        <v>149</v>
      </c>
      <c r="O469" s="428" t="s">
        <v>154</v>
      </c>
      <c r="P469" s="428" t="s">
        <v>151</v>
      </c>
      <c r="Q469" s="428" t="s">
        <v>156</v>
      </c>
      <c r="R469" s="428" t="s">
        <v>8572</v>
      </c>
      <c r="S469" s="428"/>
      <c r="T469" s="428" t="s">
        <v>2790</v>
      </c>
      <c r="U469" s="428" t="s">
        <v>152</v>
      </c>
      <c r="V469" s="428" t="s">
        <v>20</v>
      </c>
    </row>
    <row r="470" spans="1:22">
      <c r="A470" s="6"/>
      <c r="B470" s="216">
        <v>46244</v>
      </c>
      <c r="C470" s="216">
        <v>46244</v>
      </c>
      <c r="D470" s="428" t="s">
        <v>8573</v>
      </c>
      <c r="E470" s="428" t="s">
        <v>8570</v>
      </c>
      <c r="F470" s="428" t="s">
        <v>87</v>
      </c>
      <c r="G470" s="428" t="s">
        <v>2417</v>
      </c>
      <c r="H470" s="428" t="s">
        <v>2532</v>
      </c>
      <c r="I470" s="428">
        <v>422</v>
      </c>
      <c r="J470" s="371">
        <v>422</v>
      </c>
      <c r="K470" s="428">
        <v>78</v>
      </c>
      <c r="L470" s="217">
        <v>6520</v>
      </c>
      <c r="M470" s="428" t="s">
        <v>153</v>
      </c>
      <c r="N470" s="428" t="s">
        <v>149</v>
      </c>
      <c r="O470" s="428" t="s">
        <v>154</v>
      </c>
      <c r="P470" s="428" t="s">
        <v>151</v>
      </c>
      <c r="Q470" s="428" t="s">
        <v>156</v>
      </c>
      <c r="R470" s="428" t="s">
        <v>8574</v>
      </c>
      <c r="S470" s="428"/>
      <c r="T470" s="428" t="s">
        <v>2790</v>
      </c>
      <c r="U470" s="428" t="s">
        <v>152</v>
      </c>
      <c r="V470" s="428" t="s">
        <v>20</v>
      </c>
    </row>
    <row r="471" spans="1:22">
      <c r="A471" s="6"/>
      <c r="B471" s="216">
        <v>46244</v>
      </c>
      <c r="C471" s="216">
        <v>46244</v>
      </c>
      <c r="D471" s="428" t="s">
        <v>8575</v>
      </c>
      <c r="E471" s="428" t="s">
        <v>8576</v>
      </c>
      <c r="F471" s="428" t="s">
        <v>87</v>
      </c>
      <c r="G471" s="428" t="s">
        <v>2362</v>
      </c>
      <c r="H471" s="428" t="s">
        <v>8577</v>
      </c>
      <c r="I471" s="428">
        <v>362</v>
      </c>
      <c r="J471" s="371">
        <v>362</v>
      </c>
      <c r="K471" s="428">
        <v>82</v>
      </c>
      <c r="L471" s="217">
        <v>5090</v>
      </c>
      <c r="M471" s="428" t="s">
        <v>153</v>
      </c>
      <c r="N471" s="428" t="s">
        <v>149</v>
      </c>
      <c r="O471" s="428" t="s">
        <v>154</v>
      </c>
      <c r="P471" s="428" t="s">
        <v>151</v>
      </c>
      <c r="Q471" s="428" t="s">
        <v>156</v>
      </c>
      <c r="R471" s="428" t="s">
        <v>8578</v>
      </c>
      <c r="S471" s="428"/>
      <c r="T471" s="428" t="s">
        <v>2790</v>
      </c>
      <c r="U471" s="428" t="s">
        <v>152</v>
      </c>
      <c r="V471" s="428" t="s">
        <v>20</v>
      </c>
    </row>
    <row r="472" spans="1:22">
      <c r="A472" s="6"/>
      <c r="B472" s="216">
        <v>46245</v>
      </c>
      <c r="C472" s="216">
        <v>46245</v>
      </c>
      <c r="D472" s="428" t="s">
        <v>8579</v>
      </c>
      <c r="E472" s="428">
        <v>260107522274</v>
      </c>
      <c r="F472" s="428" t="s">
        <v>87</v>
      </c>
      <c r="G472" s="428" t="s">
        <v>2360</v>
      </c>
      <c r="H472" s="428">
        <v>132</v>
      </c>
      <c r="I472" s="428">
        <v>250</v>
      </c>
      <c r="J472" s="371">
        <v>250</v>
      </c>
      <c r="K472" s="428">
        <v>87</v>
      </c>
      <c r="L472" s="217">
        <v>2290</v>
      </c>
      <c r="M472" s="428" t="s">
        <v>153</v>
      </c>
      <c r="N472" s="428" t="s">
        <v>149</v>
      </c>
      <c r="O472" s="428" t="s">
        <v>154</v>
      </c>
      <c r="P472" s="428" t="s">
        <v>151</v>
      </c>
      <c r="Q472" s="428" t="s">
        <v>155</v>
      </c>
      <c r="R472" s="428" t="s">
        <v>8580</v>
      </c>
      <c r="S472" s="428" t="s">
        <v>61</v>
      </c>
      <c r="T472" s="428" t="s">
        <v>3333</v>
      </c>
      <c r="U472" s="428" t="s">
        <v>152</v>
      </c>
      <c r="V472" s="428" t="s">
        <v>18</v>
      </c>
    </row>
    <row r="473" spans="1:22">
      <c r="A473" s="6"/>
      <c r="B473" s="216">
        <v>46245</v>
      </c>
      <c r="C473" s="216">
        <v>46245</v>
      </c>
      <c r="D473" s="428" t="s">
        <v>8581</v>
      </c>
      <c r="E473" s="428">
        <v>260107822269</v>
      </c>
      <c r="F473" s="428" t="s">
        <v>87</v>
      </c>
      <c r="G473" s="428" t="s">
        <v>2309</v>
      </c>
      <c r="H473" s="428">
        <v>132</v>
      </c>
      <c r="I473" s="428">
        <v>358</v>
      </c>
      <c r="J473" s="371">
        <v>358</v>
      </c>
      <c r="K473" s="428">
        <v>92</v>
      </c>
      <c r="L473" s="217">
        <v>3040</v>
      </c>
      <c r="M473" s="428" t="s">
        <v>153</v>
      </c>
      <c r="N473" s="428" t="s">
        <v>149</v>
      </c>
      <c r="O473" s="428" t="s">
        <v>154</v>
      </c>
      <c r="P473" s="428" t="s">
        <v>151</v>
      </c>
      <c r="Q473" s="428" t="s">
        <v>155</v>
      </c>
      <c r="R473" s="428" t="s">
        <v>8582</v>
      </c>
      <c r="S473" s="428"/>
      <c r="T473" s="428" t="s">
        <v>2796</v>
      </c>
      <c r="U473" s="428" t="s">
        <v>152</v>
      </c>
      <c r="V473" s="428" t="s">
        <v>18</v>
      </c>
    </row>
    <row r="474" spans="1:22">
      <c r="A474" s="6"/>
      <c r="B474" s="216">
        <v>46245</v>
      </c>
      <c r="C474" s="216">
        <v>46245</v>
      </c>
      <c r="D474" s="428" t="s">
        <v>8583</v>
      </c>
      <c r="E474" s="428">
        <v>260103922254</v>
      </c>
      <c r="F474" s="428" t="s">
        <v>87</v>
      </c>
      <c r="G474" s="428" t="s">
        <v>8229</v>
      </c>
      <c r="H474" s="428">
        <v>132</v>
      </c>
      <c r="I474" s="428">
        <v>198</v>
      </c>
      <c r="J474" s="371">
        <v>198</v>
      </c>
      <c r="K474" s="428">
        <v>92</v>
      </c>
      <c r="L474" s="217">
        <v>1700</v>
      </c>
      <c r="M474" s="428" t="s">
        <v>153</v>
      </c>
      <c r="N474" s="428" t="s">
        <v>149</v>
      </c>
      <c r="O474" s="428" t="s">
        <v>154</v>
      </c>
      <c r="P474" s="428" t="s">
        <v>151</v>
      </c>
      <c r="Q474" s="428" t="s">
        <v>155</v>
      </c>
      <c r="R474" s="428" t="s">
        <v>8584</v>
      </c>
      <c r="S474" s="428"/>
      <c r="T474" s="428" t="s">
        <v>2796</v>
      </c>
      <c r="U474" s="428" t="s">
        <v>152</v>
      </c>
      <c r="V474" s="428" t="s">
        <v>18</v>
      </c>
    </row>
    <row r="475" spans="1:22">
      <c r="A475" s="6"/>
      <c r="B475" s="216">
        <v>46245</v>
      </c>
      <c r="C475" s="216">
        <v>46245</v>
      </c>
      <c r="D475" s="428" t="s">
        <v>8585</v>
      </c>
      <c r="E475" s="428">
        <v>260103922253</v>
      </c>
      <c r="F475" s="428" t="s">
        <v>87</v>
      </c>
      <c r="G475" s="428" t="s">
        <v>8229</v>
      </c>
      <c r="H475" s="428">
        <v>132</v>
      </c>
      <c r="I475" s="428">
        <v>195</v>
      </c>
      <c r="J475" s="371">
        <v>195</v>
      </c>
      <c r="K475" s="428">
        <v>92</v>
      </c>
      <c r="L475" s="217">
        <v>1700</v>
      </c>
      <c r="M475" s="428" t="s">
        <v>153</v>
      </c>
      <c r="N475" s="428" t="s">
        <v>149</v>
      </c>
      <c r="O475" s="428" t="s">
        <v>154</v>
      </c>
      <c r="P475" s="428" t="s">
        <v>151</v>
      </c>
      <c r="Q475" s="428" t="s">
        <v>155</v>
      </c>
      <c r="R475" s="428" t="s">
        <v>8586</v>
      </c>
      <c r="S475" s="428"/>
      <c r="T475" s="428" t="s">
        <v>2796</v>
      </c>
      <c r="U475" s="428" t="s">
        <v>152</v>
      </c>
      <c r="V475" s="428" t="s">
        <v>18</v>
      </c>
    </row>
    <row r="476" spans="1:22">
      <c r="A476" s="6"/>
      <c r="B476" s="216">
        <v>46245</v>
      </c>
      <c r="C476" s="216">
        <v>46245</v>
      </c>
      <c r="D476" s="428" t="s">
        <v>8587</v>
      </c>
      <c r="E476" s="428">
        <v>260107122276</v>
      </c>
      <c r="F476" s="428" t="s">
        <v>87</v>
      </c>
      <c r="G476" s="428" t="s">
        <v>8198</v>
      </c>
      <c r="H476" s="428">
        <v>140</v>
      </c>
      <c r="I476" s="428">
        <v>256</v>
      </c>
      <c r="J476" s="371">
        <v>256</v>
      </c>
      <c r="K476" s="428">
        <v>95</v>
      </c>
      <c r="L476" s="217">
        <v>1970</v>
      </c>
      <c r="M476" s="428" t="s">
        <v>153</v>
      </c>
      <c r="N476" s="428" t="s">
        <v>149</v>
      </c>
      <c r="O476" s="428" t="s">
        <v>154</v>
      </c>
      <c r="P476" s="428" t="s">
        <v>151</v>
      </c>
      <c r="Q476" s="428" t="s">
        <v>155</v>
      </c>
      <c r="R476" s="428" t="s">
        <v>8588</v>
      </c>
      <c r="S476" s="428"/>
      <c r="T476" s="428" t="s">
        <v>2796</v>
      </c>
      <c r="U476" s="428" t="s">
        <v>152</v>
      </c>
      <c r="V476" s="428" t="s">
        <v>18</v>
      </c>
    </row>
    <row r="477" spans="1:22">
      <c r="A477" s="6"/>
      <c r="B477" s="216">
        <v>46245</v>
      </c>
      <c r="C477" s="216">
        <v>46245</v>
      </c>
      <c r="D477" s="428" t="s">
        <v>8589</v>
      </c>
      <c r="E477" s="428">
        <v>260103322180</v>
      </c>
      <c r="F477" s="428" t="s">
        <v>87</v>
      </c>
      <c r="G477" s="428" t="s">
        <v>2409</v>
      </c>
      <c r="H477" s="428">
        <v>152</v>
      </c>
      <c r="I477" s="428">
        <v>218</v>
      </c>
      <c r="J477" s="369">
        <v>218</v>
      </c>
      <c r="K477" s="428">
        <v>97</v>
      </c>
      <c r="L477" s="217">
        <v>1550</v>
      </c>
      <c r="M477" s="428" t="s">
        <v>153</v>
      </c>
      <c r="N477" s="428" t="s">
        <v>149</v>
      </c>
      <c r="O477" s="428" t="s">
        <v>154</v>
      </c>
      <c r="P477" s="428" t="s">
        <v>151</v>
      </c>
      <c r="Q477" s="428" t="s">
        <v>155</v>
      </c>
      <c r="R477" s="428" t="s">
        <v>8590</v>
      </c>
      <c r="S477" s="428"/>
      <c r="T477" s="428" t="s">
        <v>2796</v>
      </c>
      <c r="U477" s="428" t="s">
        <v>152</v>
      </c>
      <c r="V477" s="428" t="s">
        <v>18</v>
      </c>
    </row>
    <row r="478" spans="1:22">
      <c r="A478" s="6"/>
      <c r="B478" s="216">
        <v>46245</v>
      </c>
      <c r="C478" s="216">
        <v>46245</v>
      </c>
      <c r="D478" s="428" t="s">
        <v>8591</v>
      </c>
      <c r="E478" s="428">
        <v>260105022262</v>
      </c>
      <c r="F478" s="428" t="s">
        <v>87</v>
      </c>
      <c r="G478" s="428" t="s">
        <v>2407</v>
      </c>
      <c r="H478" s="428">
        <v>160</v>
      </c>
      <c r="I478" s="428">
        <v>276</v>
      </c>
      <c r="J478" s="369">
        <v>276</v>
      </c>
      <c r="K478" s="428">
        <v>102</v>
      </c>
      <c r="L478" s="217">
        <v>1700</v>
      </c>
      <c r="M478" s="428" t="s">
        <v>153</v>
      </c>
      <c r="N478" s="428" t="s">
        <v>149</v>
      </c>
      <c r="O478" s="428" t="s">
        <v>154</v>
      </c>
      <c r="P478" s="428" t="s">
        <v>151</v>
      </c>
      <c r="Q478" s="428" t="s">
        <v>155</v>
      </c>
      <c r="R478" s="428" t="s">
        <v>8592</v>
      </c>
      <c r="S478" s="428"/>
      <c r="T478" s="428" t="s">
        <v>2796</v>
      </c>
      <c r="U478" s="428" t="s">
        <v>152</v>
      </c>
      <c r="V478" s="428" t="s">
        <v>18</v>
      </c>
    </row>
    <row r="479" spans="1:22">
      <c r="A479" s="6"/>
      <c r="B479" s="216">
        <v>46245</v>
      </c>
      <c r="C479" s="216">
        <v>46245</v>
      </c>
      <c r="D479" s="428" t="s">
        <v>8593</v>
      </c>
      <c r="E479" s="428">
        <v>260103822255</v>
      </c>
      <c r="F479" s="428" t="s">
        <v>87</v>
      </c>
      <c r="G479" s="428" t="s">
        <v>824</v>
      </c>
      <c r="H479" s="428">
        <v>152</v>
      </c>
      <c r="I479" s="428">
        <v>315</v>
      </c>
      <c r="J479" s="369">
        <v>315</v>
      </c>
      <c r="K479" s="428">
        <v>104</v>
      </c>
      <c r="L479" s="217">
        <v>2070</v>
      </c>
      <c r="M479" s="428" t="s">
        <v>153</v>
      </c>
      <c r="N479" s="428" t="s">
        <v>149</v>
      </c>
      <c r="O479" s="428" t="s">
        <v>154</v>
      </c>
      <c r="P479" s="428" t="s">
        <v>151</v>
      </c>
      <c r="Q479" s="428" t="s">
        <v>155</v>
      </c>
      <c r="R479" s="428" t="s">
        <v>8594</v>
      </c>
      <c r="S479" s="428"/>
      <c r="T479" s="428" t="s">
        <v>2796</v>
      </c>
      <c r="U479" s="428" t="s">
        <v>152</v>
      </c>
      <c r="V479" s="428" t="s">
        <v>18</v>
      </c>
    </row>
    <row r="480" spans="1:22">
      <c r="A480" s="6"/>
      <c r="B480" s="216">
        <v>46245</v>
      </c>
      <c r="C480" s="216">
        <v>46245</v>
      </c>
      <c r="D480" s="428" t="s">
        <v>8595</v>
      </c>
      <c r="E480" s="428">
        <v>260105222264</v>
      </c>
      <c r="F480" s="428" t="s">
        <v>87</v>
      </c>
      <c r="G480" s="428" t="s">
        <v>2527</v>
      </c>
      <c r="H480" s="428">
        <v>152</v>
      </c>
      <c r="I480" s="428">
        <v>259</v>
      </c>
      <c r="J480" s="369">
        <v>259</v>
      </c>
      <c r="K480" s="428">
        <v>104</v>
      </c>
      <c r="L480" s="217">
        <v>1700</v>
      </c>
      <c r="M480" s="428" t="s">
        <v>153</v>
      </c>
      <c r="N480" s="428" t="s">
        <v>149</v>
      </c>
      <c r="O480" s="428" t="s">
        <v>154</v>
      </c>
      <c r="P480" s="428" t="s">
        <v>151</v>
      </c>
      <c r="Q480" s="428" t="s">
        <v>155</v>
      </c>
      <c r="R480" s="428" t="s">
        <v>8596</v>
      </c>
      <c r="S480" s="428"/>
      <c r="T480" s="428" t="s">
        <v>2796</v>
      </c>
      <c r="U480" s="428" t="s">
        <v>152</v>
      </c>
      <c r="V480" s="428" t="s">
        <v>18</v>
      </c>
    </row>
    <row r="481" spans="1:22">
      <c r="A481" s="6"/>
      <c r="B481" s="216">
        <v>46245</v>
      </c>
      <c r="C481" s="216">
        <v>46245</v>
      </c>
      <c r="D481" s="428" t="s">
        <v>8597</v>
      </c>
      <c r="E481" s="428">
        <v>260103822256</v>
      </c>
      <c r="F481" s="428" t="s">
        <v>87</v>
      </c>
      <c r="G481" s="428" t="s">
        <v>824</v>
      </c>
      <c r="H481" s="428">
        <v>152</v>
      </c>
      <c r="I481" s="428">
        <v>314</v>
      </c>
      <c r="J481" s="369">
        <v>314</v>
      </c>
      <c r="K481" s="428">
        <v>104</v>
      </c>
      <c r="L481" s="217">
        <v>2070</v>
      </c>
      <c r="M481" s="428" t="s">
        <v>153</v>
      </c>
      <c r="N481" s="428" t="s">
        <v>149</v>
      </c>
      <c r="O481" s="428" t="s">
        <v>154</v>
      </c>
      <c r="P481" s="428" t="s">
        <v>151</v>
      </c>
      <c r="Q481" s="428" t="s">
        <v>155</v>
      </c>
      <c r="R481" s="428" t="s">
        <v>8598</v>
      </c>
      <c r="S481" s="428"/>
      <c r="T481" s="428" t="s">
        <v>2796</v>
      </c>
      <c r="U481" s="428" t="s">
        <v>152</v>
      </c>
      <c r="V481" s="428" t="s">
        <v>18</v>
      </c>
    </row>
    <row r="482" spans="1:22">
      <c r="A482" s="6"/>
      <c r="B482" s="216">
        <v>46245</v>
      </c>
      <c r="C482" s="216">
        <v>46245</v>
      </c>
      <c r="D482" s="428" t="s">
        <v>8599</v>
      </c>
      <c r="E482" s="428">
        <v>260103422283</v>
      </c>
      <c r="F482" s="428" t="s">
        <v>87</v>
      </c>
      <c r="G482" s="428" t="s">
        <v>824</v>
      </c>
      <c r="H482" s="428">
        <v>152</v>
      </c>
      <c r="I482" s="428">
        <v>225</v>
      </c>
      <c r="J482" s="369">
        <v>225</v>
      </c>
      <c r="K482" s="428">
        <v>104</v>
      </c>
      <c r="L482" s="217">
        <v>1500</v>
      </c>
      <c r="M482" s="428" t="s">
        <v>153</v>
      </c>
      <c r="N482" s="428" t="s">
        <v>149</v>
      </c>
      <c r="O482" s="428" t="s">
        <v>154</v>
      </c>
      <c r="P482" s="428" t="s">
        <v>151</v>
      </c>
      <c r="Q482" s="428" t="s">
        <v>155</v>
      </c>
      <c r="R482" s="428" t="s">
        <v>8600</v>
      </c>
      <c r="S482" s="428"/>
      <c r="T482" s="428" t="s">
        <v>2796</v>
      </c>
      <c r="U482" s="428" t="s">
        <v>152</v>
      </c>
      <c r="V482" s="428" t="s">
        <v>18</v>
      </c>
    </row>
    <row r="483" spans="1:22">
      <c r="A483" s="6"/>
      <c r="B483" s="216">
        <v>46245</v>
      </c>
      <c r="C483" s="216">
        <v>46245</v>
      </c>
      <c r="D483" s="428" t="s">
        <v>8601</v>
      </c>
      <c r="E483" s="428">
        <v>260105822261</v>
      </c>
      <c r="F483" s="428" t="s">
        <v>87</v>
      </c>
      <c r="G483" s="428" t="s">
        <v>824</v>
      </c>
      <c r="H483" s="428">
        <v>152</v>
      </c>
      <c r="I483" s="428">
        <v>250</v>
      </c>
      <c r="J483" s="369">
        <v>250</v>
      </c>
      <c r="K483" s="428">
        <v>104</v>
      </c>
      <c r="L483" s="217">
        <v>1655</v>
      </c>
      <c r="M483" s="428" t="s">
        <v>153</v>
      </c>
      <c r="N483" s="428" t="s">
        <v>149</v>
      </c>
      <c r="O483" s="428" t="s">
        <v>154</v>
      </c>
      <c r="P483" s="428" t="s">
        <v>151</v>
      </c>
      <c r="Q483" s="428" t="s">
        <v>155</v>
      </c>
      <c r="R483" s="428" t="s">
        <v>8602</v>
      </c>
      <c r="S483" s="428"/>
      <c r="T483" s="428" t="s">
        <v>2796</v>
      </c>
      <c r="U483" s="428" t="s">
        <v>152</v>
      </c>
      <c r="V483" s="428" t="s">
        <v>18</v>
      </c>
    </row>
    <row r="484" spans="1:22">
      <c r="A484" s="6"/>
      <c r="B484" s="216">
        <v>46245</v>
      </c>
      <c r="C484" s="216">
        <v>46245</v>
      </c>
      <c r="D484" s="428" t="s">
        <v>8603</v>
      </c>
      <c r="E484" s="428">
        <v>260104622260</v>
      </c>
      <c r="F484" s="428" t="s">
        <v>87</v>
      </c>
      <c r="G484" s="428" t="s">
        <v>824</v>
      </c>
      <c r="H484" s="428">
        <v>152</v>
      </c>
      <c r="I484" s="428">
        <v>264</v>
      </c>
      <c r="J484" s="369">
        <v>264</v>
      </c>
      <c r="K484" s="428">
        <v>104</v>
      </c>
      <c r="L484" s="217">
        <v>1750</v>
      </c>
      <c r="M484" s="428" t="s">
        <v>153</v>
      </c>
      <c r="N484" s="428" t="s">
        <v>149</v>
      </c>
      <c r="O484" s="428" t="s">
        <v>154</v>
      </c>
      <c r="P484" s="428" t="s">
        <v>151</v>
      </c>
      <c r="Q484" s="428" t="s">
        <v>155</v>
      </c>
      <c r="R484" s="428" t="s">
        <v>8604</v>
      </c>
      <c r="S484" s="428"/>
      <c r="T484" s="428" t="s">
        <v>2796</v>
      </c>
      <c r="U484" s="428" t="s">
        <v>152</v>
      </c>
      <c r="V484" s="428" t="s">
        <v>18</v>
      </c>
    </row>
    <row r="485" spans="1:22">
      <c r="A485" s="6"/>
      <c r="B485" s="216">
        <v>46245</v>
      </c>
      <c r="C485" s="216">
        <v>46245</v>
      </c>
      <c r="D485" s="428" t="s">
        <v>8605</v>
      </c>
      <c r="E485" s="428">
        <v>260105322265</v>
      </c>
      <c r="F485" s="428" t="s">
        <v>87</v>
      </c>
      <c r="G485" s="428" t="s">
        <v>824</v>
      </c>
      <c r="H485" s="428">
        <v>152</v>
      </c>
      <c r="I485" s="428">
        <v>380</v>
      </c>
      <c r="J485" s="369">
        <v>380</v>
      </c>
      <c r="K485" s="428">
        <v>104</v>
      </c>
      <c r="L485" s="217">
        <v>2530</v>
      </c>
      <c r="M485" s="428" t="s">
        <v>153</v>
      </c>
      <c r="N485" s="428" t="s">
        <v>149</v>
      </c>
      <c r="O485" s="428" t="s">
        <v>154</v>
      </c>
      <c r="P485" s="428" t="s">
        <v>151</v>
      </c>
      <c r="Q485" s="428" t="s">
        <v>155</v>
      </c>
      <c r="R485" s="428" t="s">
        <v>8606</v>
      </c>
      <c r="S485" s="428"/>
      <c r="T485" s="428" t="s">
        <v>2796</v>
      </c>
      <c r="U485" s="428" t="s">
        <v>152</v>
      </c>
      <c r="V485" s="428" t="s">
        <v>18</v>
      </c>
    </row>
    <row r="486" spans="1:22">
      <c r="A486" s="6"/>
      <c r="B486" s="216">
        <v>46245</v>
      </c>
      <c r="C486" s="216">
        <v>46245</v>
      </c>
      <c r="D486" s="428" t="s">
        <v>8607</v>
      </c>
      <c r="E486" s="428">
        <v>260103422282</v>
      </c>
      <c r="F486" s="428" t="s">
        <v>87</v>
      </c>
      <c r="G486" s="428" t="s">
        <v>824</v>
      </c>
      <c r="H486" s="428">
        <v>152</v>
      </c>
      <c r="I486" s="428">
        <v>226</v>
      </c>
      <c r="J486" s="369">
        <v>226</v>
      </c>
      <c r="K486" s="428">
        <v>104</v>
      </c>
      <c r="L486" s="217">
        <v>1500</v>
      </c>
      <c r="M486" s="428" t="s">
        <v>153</v>
      </c>
      <c r="N486" s="428" t="s">
        <v>149</v>
      </c>
      <c r="O486" s="428" t="s">
        <v>154</v>
      </c>
      <c r="P486" s="428" t="s">
        <v>151</v>
      </c>
      <c r="Q486" s="428" t="s">
        <v>155</v>
      </c>
      <c r="R486" s="428" t="s">
        <v>8608</v>
      </c>
      <c r="S486" s="428"/>
      <c r="T486" s="428" t="s">
        <v>2796</v>
      </c>
      <c r="U486" s="428" t="s">
        <v>152</v>
      </c>
      <c r="V486" s="428" t="s">
        <v>18</v>
      </c>
    </row>
    <row r="487" spans="1:22">
      <c r="A487" s="6"/>
      <c r="B487" s="216">
        <v>46245</v>
      </c>
      <c r="C487" s="216">
        <v>46245</v>
      </c>
      <c r="D487" s="428" t="s">
        <v>8609</v>
      </c>
      <c r="E487" s="428">
        <v>260102322250</v>
      </c>
      <c r="F487" s="428" t="s">
        <v>87</v>
      </c>
      <c r="G487" s="428" t="s">
        <v>8032</v>
      </c>
      <c r="H487" s="428">
        <v>102</v>
      </c>
      <c r="I487" s="428">
        <v>271</v>
      </c>
      <c r="J487" s="369">
        <v>271</v>
      </c>
      <c r="K487" s="428">
        <v>130</v>
      </c>
      <c r="L487" s="217">
        <v>1050</v>
      </c>
      <c r="M487" s="428" t="s">
        <v>153</v>
      </c>
      <c r="N487" s="428" t="s">
        <v>149</v>
      </c>
      <c r="O487" s="428" t="s">
        <v>154</v>
      </c>
      <c r="P487" s="428" t="s">
        <v>151</v>
      </c>
      <c r="Q487" s="428" t="s">
        <v>155</v>
      </c>
      <c r="R487" s="428" t="s">
        <v>8610</v>
      </c>
      <c r="S487" s="428"/>
      <c r="T487" s="428" t="s">
        <v>2796</v>
      </c>
      <c r="U487" s="428" t="s">
        <v>152</v>
      </c>
      <c r="V487" s="428" t="s">
        <v>18</v>
      </c>
    </row>
    <row r="488" spans="1:22">
      <c r="A488" s="6"/>
      <c r="B488" s="216">
        <v>46245</v>
      </c>
      <c r="C488" s="216">
        <v>46245</v>
      </c>
      <c r="D488" s="428" t="s">
        <v>8611</v>
      </c>
      <c r="E488" s="428">
        <v>260102422288</v>
      </c>
      <c r="F488" s="428" t="s">
        <v>87</v>
      </c>
      <c r="G488" s="428" t="s">
        <v>8032</v>
      </c>
      <c r="H488" s="428">
        <v>102</v>
      </c>
      <c r="I488" s="428">
        <v>257</v>
      </c>
      <c r="J488" s="369">
        <v>257</v>
      </c>
      <c r="K488" s="428">
        <v>130</v>
      </c>
      <c r="L488" s="217">
        <v>1000</v>
      </c>
      <c r="M488" s="428" t="s">
        <v>153</v>
      </c>
      <c r="N488" s="428" t="s">
        <v>149</v>
      </c>
      <c r="O488" s="428" t="s">
        <v>154</v>
      </c>
      <c r="P488" s="428" t="s">
        <v>151</v>
      </c>
      <c r="Q488" s="428" t="s">
        <v>155</v>
      </c>
      <c r="R488" s="428" t="s">
        <v>8612</v>
      </c>
      <c r="S488" s="428"/>
      <c r="T488" s="428" t="s">
        <v>2796</v>
      </c>
      <c r="U488" s="428" t="s">
        <v>152</v>
      </c>
      <c r="V488" s="428" t="s">
        <v>18</v>
      </c>
    </row>
    <row r="489" spans="1:22">
      <c r="A489" s="6"/>
      <c r="B489" s="216">
        <v>46245</v>
      </c>
      <c r="C489" s="216">
        <v>46245</v>
      </c>
      <c r="D489" s="428" t="s">
        <v>8613</v>
      </c>
      <c r="E489" s="428">
        <v>260102722240</v>
      </c>
      <c r="F489" s="428" t="s">
        <v>87</v>
      </c>
      <c r="G489" s="428" t="s">
        <v>8032</v>
      </c>
      <c r="H489" s="428">
        <v>102</v>
      </c>
      <c r="I489" s="428">
        <v>252</v>
      </c>
      <c r="J489" s="369">
        <v>252</v>
      </c>
      <c r="K489" s="428">
        <v>130</v>
      </c>
      <c r="L489" s="217">
        <v>1000</v>
      </c>
      <c r="M489" s="428" t="s">
        <v>153</v>
      </c>
      <c r="N489" s="428" t="s">
        <v>149</v>
      </c>
      <c r="O489" s="428" t="s">
        <v>154</v>
      </c>
      <c r="P489" s="428" t="s">
        <v>151</v>
      </c>
      <c r="Q489" s="428" t="s">
        <v>155</v>
      </c>
      <c r="R489" s="428" t="s">
        <v>8614</v>
      </c>
      <c r="S489" s="428"/>
      <c r="T489" s="428" t="s">
        <v>2796</v>
      </c>
      <c r="U489" s="428" t="s">
        <v>152</v>
      </c>
      <c r="V489" s="428" t="s">
        <v>18</v>
      </c>
    </row>
    <row r="490" spans="1:22">
      <c r="A490" s="6"/>
      <c r="B490" s="216">
        <v>46245</v>
      </c>
      <c r="C490" s="216">
        <v>46245</v>
      </c>
      <c r="D490" s="428" t="s">
        <v>8615</v>
      </c>
      <c r="E490" s="428">
        <v>260102522242</v>
      </c>
      <c r="F490" s="428" t="s">
        <v>87</v>
      </c>
      <c r="G490" s="428" t="s">
        <v>8032</v>
      </c>
      <c r="H490" s="428">
        <v>102</v>
      </c>
      <c r="I490" s="428">
        <v>283</v>
      </c>
      <c r="J490" s="369">
        <v>283</v>
      </c>
      <c r="K490" s="428">
        <v>130</v>
      </c>
      <c r="L490" s="217">
        <v>1090</v>
      </c>
      <c r="M490" s="428" t="s">
        <v>153</v>
      </c>
      <c r="N490" s="428" t="s">
        <v>149</v>
      </c>
      <c r="O490" s="428" t="s">
        <v>154</v>
      </c>
      <c r="P490" s="428" t="s">
        <v>151</v>
      </c>
      <c r="Q490" s="428" t="s">
        <v>155</v>
      </c>
      <c r="R490" s="428" t="s">
        <v>8616</v>
      </c>
      <c r="S490" s="428"/>
      <c r="T490" s="428" t="s">
        <v>2796</v>
      </c>
      <c r="U490" s="428" t="s">
        <v>152</v>
      </c>
      <c r="V490" s="428" t="s">
        <v>18</v>
      </c>
    </row>
    <row r="491" spans="1:22">
      <c r="A491" s="6"/>
      <c r="B491" s="216">
        <v>46245</v>
      </c>
      <c r="C491" s="216">
        <v>46245</v>
      </c>
      <c r="D491" s="428" t="s">
        <v>8617</v>
      </c>
      <c r="E491" s="428">
        <v>260102322290</v>
      </c>
      <c r="F491" s="428" t="s">
        <v>87</v>
      </c>
      <c r="G491" s="428" t="s">
        <v>8032</v>
      </c>
      <c r="H491" s="428">
        <v>102</v>
      </c>
      <c r="I491" s="428">
        <v>266</v>
      </c>
      <c r="J491" s="369">
        <v>266</v>
      </c>
      <c r="K491" s="428">
        <v>130</v>
      </c>
      <c r="L491" s="217">
        <v>1000</v>
      </c>
      <c r="M491" s="428" t="s">
        <v>153</v>
      </c>
      <c r="N491" s="428" t="s">
        <v>149</v>
      </c>
      <c r="O491" s="428" t="s">
        <v>154</v>
      </c>
      <c r="P491" s="428" t="s">
        <v>151</v>
      </c>
      <c r="Q491" s="428" t="s">
        <v>155</v>
      </c>
      <c r="R491" s="428" t="s">
        <v>8618</v>
      </c>
      <c r="S491" s="428"/>
      <c r="T491" s="428" t="s">
        <v>2796</v>
      </c>
      <c r="U491" s="428" t="s">
        <v>152</v>
      </c>
      <c r="V491" s="428" t="s">
        <v>18</v>
      </c>
    </row>
    <row r="492" spans="1:22">
      <c r="A492" s="6"/>
      <c r="B492" s="216">
        <v>46245</v>
      </c>
      <c r="C492" s="216">
        <v>46245</v>
      </c>
      <c r="D492" s="428" t="s">
        <v>8619</v>
      </c>
      <c r="E492" s="428">
        <v>260102622248</v>
      </c>
      <c r="F492" s="428" t="s">
        <v>87</v>
      </c>
      <c r="G492" s="428" t="s">
        <v>8032</v>
      </c>
      <c r="H492" s="428">
        <v>102</v>
      </c>
      <c r="I492" s="428">
        <v>268</v>
      </c>
      <c r="J492" s="369">
        <v>268</v>
      </c>
      <c r="K492" s="428">
        <v>130</v>
      </c>
      <c r="L492" s="217">
        <v>1030</v>
      </c>
      <c r="M492" s="428" t="s">
        <v>153</v>
      </c>
      <c r="N492" s="428" t="s">
        <v>149</v>
      </c>
      <c r="O492" s="428" t="s">
        <v>154</v>
      </c>
      <c r="P492" s="428" t="s">
        <v>151</v>
      </c>
      <c r="Q492" s="428" t="s">
        <v>155</v>
      </c>
      <c r="R492" s="428" t="s">
        <v>8620</v>
      </c>
      <c r="S492" s="428"/>
      <c r="T492" s="428" t="s">
        <v>2796</v>
      </c>
      <c r="U492" s="428" t="s">
        <v>152</v>
      </c>
      <c r="V492" s="428" t="s">
        <v>18</v>
      </c>
    </row>
    <row r="493" spans="1:22">
      <c r="A493" s="6"/>
      <c r="B493" s="216">
        <v>46245</v>
      </c>
      <c r="C493" s="216">
        <v>46245</v>
      </c>
      <c r="D493" s="428" t="s">
        <v>8621</v>
      </c>
      <c r="E493" s="428">
        <v>260102422249</v>
      </c>
      <c r="F493" s="428" t="s">
        <v>87</v>
      </c>
      <c r="G493" s="428" t="s">
        <v>8032</v>
      </c>
      <c r="H493" s="428">
        <v>102</v>
      </c>
      <c r="I493" s="428">
        <v>262</v>
      </c>
      <c r="J493" s="369">
        <v>262</v>
      </c>
      <c r="K493" s="428">
        <v>130</v>
      </c>
      <c r="L493" s="217">
        <v>1010</v>
      </c>
      <c r="M493" s="428" t="s">
        <v>153</v>
      </c>
      <c r="N493" s="428" t="s">
        <v>149</v>
      </c>
      <c r="O493" s="428" t="s">
        <v>154</v>
      </c>
      <c r="P493" s="428" t="s">
        <v>151</v>
      </c>
      <c r="Q493" s="428" t="s">
        <v>155</v>
      </c>
      <c r="R493" s="428" t="s">
        <v>8622</v>
      </c>
      <c r="S493" s="428"/>
      <c r="T493" s="428" t="s">
        <v>2796</v>
      </c>
      <c r="U493" s="428" t="s">
        <v>152</v>
      </c>
      <c r="V493" s="428" t="s">
        <v>18</v>
      </c>
    </row>
    <row r="494" spans="1:22">
      <c r="A494" s="6"/>
      <c r="B494" s="216">
        <v>46245</v>
      </c>
      <c r="C494" s="216">
        <v>46245</v>
      </c>
      <c r="D494" s="428" t="s">
        <v>8623</v>
      </c>
      <c r="E494" s="428">
        <v>260101922245</v>
      </c>
      <c r="F494" s="428" t="s">
        <v>87</v>
      </c>
      <c r="G494" s="428" t="s">
        <v>2303</v>
      </c>
      <c r="H494" s="428">
        <v>92</v>
      </c>
      <c r="I494" s="428">
        <v>246</v>
      </c>
      <c r="J494" s="369">
        <v>246</v>
      </c>
      <c r="K494" s="428">
        <v>134</v>
      </c>
      <c r="L494" s="217">
        <v>1020</v>
      </c>
      <c r="M494" s="428" t="s">
        <v>153</v>
      </c>
      <c r="N494" s="428" t="s">
        <v>149</v>
      </c>
      <c r="O494" s="428" t="s">
        <v>154</v>
      </c>
      <c r="P494" s="428" t="s">
        <v>151</v>
      </c>
      <c r="Q494" s="428" t="s">
        <v>155</v>
      </c>
      <c r="R494" s="428" t="s">
        <v>8624</v>
      </c>
      <c r="S494" s="428"/>
      <c r="T494" s="428" t="s">
        <v>2796</v>
      </c>
      <c r="U494" s="428" t="s">
        <v>152</v>
      </c>
      <c r="V494" s="428" t="s">
        <v>18</v>
      </c>
    </row>
    <row r="495" spans="1:22">
      <c r="A495" s="6"/>
      <c r="B495" s="216">
        <v>46245</v>
      </c>
      <c r="C495" s="216">
        <v>46245</v>
      </c>
      <c r="D495" s="428" t="s">
        <v>8625</v>
      </c>
      <c r="E495" s="428">
        <v>260102022244</v>
      </c>
      <c r="F495" s="428" t="s">
        <v>87</v>
      </c>
      <c r="G495" s="428" t="s">
        <v>2303</v>
      </c>
      <c r="H495" s="428">
        <v>92</v>
      </c>
      <c r="I495" s="428">
        <v>252</v>
      </c>
      <c r="J495" s="369">
        <v>252</v>
      </c>
      <c r="K495" s="428">
        <v>134</v>
      </c>
      <c r="L495" s="217">
        <v>1070</v>
      </c>
      <c r="M495" s="428" t="s">
        <v>153</v>
      </c>
      <c r="N495" s="428" t="s">
        <v>149</v>
      </c>
      <c r="O495" s="428" t="s">
        <v>154</v>
      </c>
      <c r="P495" s="428" t="s">
        <v>151</v>
      </c>
      <c r="Q495" s="428" t="s">
        <v>155</v>
      </c>
      <c r="R495" s="428" t="s">
        <v>8626</v>
      </c>
      <c r="S495" s="428"/>
      <c r="T495" s="428" t="s">
        <v>2796</v>
      </c>
      <c r="U495" s="428" t="s">
        <v>152</v>
      </c>
      <c r="V495" s="428" t="s">
        <v>18</v>
      </c>
    </row>
    <row r="496" spans="1:22">
      <c r="A496" s="6"/>
      <c r="B496" s="216">
        <v>46245</v>
      </c>
      <c r="C496" s="216">
        <v>46245</v>
      </c>
      <c r="D496" s="428" t="s">
        <v>8627</v>
      </c>
      <c r="E496" s="428">
        <v>260101722303</v>
      </c>
      <c r="F496" s="428" t="s">
        <v>87</v>
      </c>
      <c r="G496" s="428" t="s">
        <v>2303</v>
      </c>
      <c r="H496" s="428">
        <v>92</v>
      </c>
      <c r="I496" s="428">
        <v>48</v>
      </c>
      <c r="J496" s="369">
        <v>48</v>
      </c>
      <c r="K496" s="428">
        <v>134</v>
      </c>
      <c r="L496" s="217">
        <v>200</v>
      </c>
      <c r="M496" s="428" t="s">
        <v>153</v>
      </c>
      <c r="N496" s="428" t="s">
        <v>149</v>
      </c>
      <c r="O496" s="428" t="s">
        <v>154</v>
      </c>
      <c r="P496" s="428" t="s">
        <v>151</v>
      </c>
      <c r="Q496" s="428" t="s">
        <v>155</v>
      </c>
      <c r="R496" s="428" t="s">
        <v>8628</v>
      </c>
      <c r="S496" s="428"/>
      <c r="T496" s="428" t="s">
        <v>2796</v>
      </c>
      <c r="U496" s="428" t="s">
        <v>152</v>
      </c>
      <c r="V496" s="428" t="s">
        <v>18</v>
      </c>
    </row>
    <row r="497" spans="1:22">
      <c r="A497" s="6"/>
      <c r="B497" s="216">
        <v>46245</v>
      </c>
      <c r="C497" s="216">
        <v>46245</v>
      </c>
      <c r="D497" s="428" t="s">
        <v>8629</v>
      </c>
      <c r="E497" s="428">
        <v>260100722292</v>
      </c>
      <c r="F497" s="428" t="s">
        <v>87</v>
      </c>
      <c r="G497" s="428" t="s">
        <v>7586</v>
      </c>
      <c r="H497" s="428">
        <v>132</v>
      </c>
      <c r="I497" s="428">
        <v>428</v>
      </c>
      <c r="J497" s="369">
        <v>428</v>
      </c>
      <c r="K497" s="428">
        <v>170</v>
      </c>
      <c r="L497" s="217">
        <v>1000</v>
      </c>
      <c r="M497" s="428" t="s">
        <v>153</v>
      </c>
      <c r="N497" s="428" t="s">
        <v>149</v>
      </c>
      <c r="O497" s="428" t="s">
        <v>154</v>
      </c>
      <c r="P497" s="428" t="s">
        <v>151</v>
      </c>
      <c r="Q497" s="428" t="s">
        <v>155</v>
      </c>
      <c r="R497" s="428" t="s">
        <v>8630</v>
      </c>
      <c r="S497" s="428"/>
      <c r="T497" s="428" t="s">
        <v>2796</v>
      </c>
      <c r="U497" s="428" t="s">
        <v>152</v>
      </c>
      <c r="V497" s="428" t="s">
        <v>18</v>
      </c>
    </row>
    <row r="498" spans="1:22">
      <c r="A498" s="6"/>
      <c r="B498" s="216">
        <v>46245</v>
      </c>
      <c r="C498" s="216">
        <v>46245</v>
      </c>
      <c r="D498" s="428" t="s">
        <v>8631</v>
      </c>
      <c r="E498" s="389">
        <v>260100722291</v>
      </c>
      <c r="F498" s="428" t="s">
        <v>87</v>
      </c>
      <c r="G498" s="428" t="s">
        <v>7586</v>
      </c>
      <c r="H498" s="428">
        <v>132</v>
      </c>
      <c r="I498" s="428">
        <v>303</v>
      </c>
      <c r="J498" s="369">
        <v>303</v>
      </c>
      <c r="K498" s="428">
        <v>170</v>
      </c>
      <c r="L498" s="217">
        <v>715</v>
      </c>
      <c r="M498" s="428" t="s">
        <v>153</v>
      </c>
      <c r="N498" s="428" t="s">
        <v>149</v>
      </c>
      <c r="O498" s="428" t="s">
        <v>154</v>
      </c>
      <c r="P498" s="428" t="s">
        <v>151</v>
      </c>
      <c r="Q498" s="428" t="s">
        <v>155</v>
      </c>
      <c r="R498" s="428" t="s">
        <v>8632</v>
      </c>
      <c r="S498" s="428"/>
      <c r="T498" s="428" t="s">
        <v>2796</v>
      </c>
      <c r="U498" s="428" t="s">
        <v>152</v>
      </c>
      <c r="V498" s="428" t="s">
        <v>18</v>
      </c>
    </row>
    <row r="499" spans="1:22">
      <c r="A499" s="6"/>
      <c r="B499" s="216">
        <v>46245</v>
      </c>
      <c r="C499" s="216">
        <v>46245</v>
      </c>
      <c r="D499" s="428" t="s">
        <v>8633</v>
      </c>
      <c r="E499" s="428">
        <v>260101622243</v>
      </c>
      <c r="F499" s="428" t="s">
        <v>87</v>
      </c>
      <c r="G499" s="428" t="s">
        <v>2079</v>
      </c>
      <c r="H499" s="428">
        <v>112</v>
      </c>
      <c r="I499" s="428">
        <v>395</v>
      </c>
      <c r="J499" s="369">
        <v>395</v>
      </c>
      <c r="K499" s="428">
        <v>180</v>
      </c>
      <c r="L499" s="217">
        <v>1000</v>
      </c>
      <c r="M499" s="428" t="s">
        <v>153</v>
      </c>
      <c r="N499" s="428" t="s">
        <v>149</v>
      </c>
      <c r="O499" s="428" t="s">
        <v>154</v>
      </c>
      <c r="P499" s="428" t="s">
        <v>151</v>
      </c>
      <c r="Q499" s="428" t="s">
        <v>155</v>
      </c>
      <c r="R499" s="428" t="s">
        <v>8634</v>
      </c>
      <c r="S499" s="428"/>
      <c r="T499" s="428" t="s">
        <v>2796</v>
      </c>
      <c r="U499" s="428" t="s">
        <v>152</v>
      </c>
      <c r="V499" s="428" t="s">
        <v>18</v>
      </c>
    </row>
    <row r="500" spans="1:22">
      <c r="A500" s="6"/>
      <c r="B500" s="216">
        <v>46245</v>
      </c>
      <c r="C500" s="216">
        <v>46245</v>
      </c>
      <c r="D500" s="428" t="s">
        <v>8635</v>
      </c>
      <c r="E500" s="389">
        <v>260101522241</v>
      </c>
      <c r="F500" s="428" t="s">
        <v>87</v>
      </c>
      <c r="G500" s="428" t="s">
        <v>2419</v>
      </c>
      <c r="H500" s="428">
        <v>92</v>
      </c>
      <c r="I500" s="428">
        <v>360</v>
      </c>
      <c r="J500" s="369">
        <v>360</v>
      </c>
      <c r="K500" s="428">
        <v>180</v>
      </c>
      <c r="L500" s="217">
        <v>1110</v>
      </c>
      <c r="M500" s="428" t="s">
        <v>153</v>
      </c>
      <c r="N500" s="428" t="s">
        <v>149</v>
      </c>
      <c r="O500" s="428" t="s">
        <v>154</v>
      </c>
      <c r="P500" s="428" t="s">
        <v>151</v>
      </c>
      <c r="Q500" s="428" t="s">
        <v>155</v>
      </c>
      <c r="R500" s="428" t="s">
        <v>8636</v>
      </c>
      <c r="S500" s="428"/>
      <c r="T500" s="428" t="s">
        <v>2796</v>
      </c>
      <c r="U500" s="428" t="s">
        <v>152</v>
      </c>
      <c r="V500" s="428" t="s">
        <v>18</v>
      </c>
    </row>
    <row r="501" spans="1:22">
      <c r="A501" s="6"/>
      <c r="B501" s="216">
        <v>46245</v>
      </c>
      <c r="C501" s="216">
        <v>46245</v>
      </c>
      <c r="D501" s="428" t="s">
        <v>8637</v>
      </c>
      <c r="E501" s="428">
        <v>260103622285</v>
      </c>
      <c r="F501" s="428" t="s">
        <v>87</v>
      </c>
      <c r="G501" s="428" t="s">
        <v>2360</v>
      </c>
      <c r="H501" s="428">
        <v>132</v>
      </c>
      <c r="I501" s="428">
        <v>203</v>
      </c>
      <c r="J501" s="369">
        <v>203</v>
      </c>
      <c r="K501" s="428">
        <v>87</v>
      </c>
      <c r="L501" s="217">
        <v>1790</v>
      </c>
      <c r="M501" s="428" t="s">
        <v>153</v>
      </c>
      <c r="N501" s="428" t="s">
        <v>149</v>
      </c>
      <c r="O501" s="428" t="s">
        <v>154</v>
      </c>
      <c r="P501" s="428" t="s">
        <v>151</v>
      </c>
      <c r="Q501" s="428" t="s">
        <v>155</v>
      </c>
      <c r="R501" s="428" t="s">
        <v>8638</v>
      </c>
      <c r="S501" s="428"/>
      <c r="T501" s="428" t="s">
        <v>2802</v>
      </c>
      <c r="U501" s="428" t="s">
        <v>152</v>
      </c>
      <c r="V501" s="428" t="s">
        <v>18</v>
      </c>
    </row>
    <row r="502" spans="1:22">
      <c r="A502" s="6"/>
      <c r="B502" s="216">
        <v>46245</v>
      </c>
      <c r="C502" s="216">
        <v>46245</v>
      </c>
      <c r="D502" s="428" t="s">
        <v>8639</v>
      </c>
      <c r="E502" s="428">
        <v>260102522287</v>
      </c>
      <c r="F502" s="428" t="s">
        <v>87</v>
      </c>
      <c r="G502" s="428" t="s">
        <v>8032</v>
      </c>
      <c r="H502" s="428">
        <v>102</v>
      </c>
      <c r="I502" s="428">
        <v>267</v>
      </c>
      <c r="J502" s="369">
        <v>267</v>
      </c>
      <c r="K502" s="428">
        <v>130</v>
      </c>
      <c r="L502" s="217">
        <v>1030</v>
      </c>
      <c r="M502" s="428" t="s">
        <v>153</v>
      </c>
      <c r="N502" s="428" t="s">
        <v>149</v>
      </c>
      <c r="O502" s="428" t="s">
        <v>154</v>
      </c>
      <c r="P502" s="428" t="s">
        <v>151</v>
      </c>
      <c r="Q502" s="428" t="s">
        <v>155</v>
      </c>
      <c r="R502" s="428" t="s">
        <v>8640</v>
      </c>
      <c r="S502" s="428"/>
      <c r="T502" s="428" t="s">
        <v>2802</v>
      </c>
      <c r="U502" s="428" t="s">
        <v>152</v>
      </c>
      <c r="V502" s="428" t="s">
        <v>18</v>
      </c>
    </row>
    <row r="503" spans="1:22">
      <c r="A503" s="6"/>
      <c r="B503" s="216">
        <v>46245</v>
      </c>
      <c r="C503" s="216">
        <v>46245</v>
      </c>
      <c r="D503" s="428" t="s">
        <v>8641</v>
      </c>
      <c r="E503" s="428">
        <v>260101822289</v>
      </c>
      <c r="F503" s="428" t="s">
        <v>87</v>
      </c>
      <c r="G503" s="428" t="s">
        <v>7909</v>
      </c>
      <c r="H503" s="428">
        <v>105</v>
      </c>
      <c r="I503" s="428">
        <v>274</v>
      </c>
      <c r="J503" s="369">
        <v>274</v>
      </c>
      <c r="K503" s="428">
        <v>134</v>
      </c>
      <c r="L503" s="217">
        <v>1000</v>
      </c>
      <c r="M503" s="428" t="s">
        <v>153</v>
      </c>
      <c r="N503" s="428" t="s">
        <v>149</v>
      </c>
      <c r="O503" s="428" t="s">
        <v>154</v>
      </c>
      <c r="P503" s="428" t="s">
        <v>151</v>
      </c>
      <c r="Q503" s="428" t="s">
        <v>155</v>
      </c>
      <c r="R503" s="428" t="s">
        <v>8642</v>
      </c>
      <c r="S503" s="428"/>
      <c r="T503" s="428" t="s">
        <v>2802</v>
      </c>
      <c r="U503" s="428" t="s">
        <v>152</v>
      </c>
      <c r="V503" s="428" t="s">
        <v>18</v>
      </c>
    </row>
    <row r="504" spans="1:22">
      <c r="A504" s="6"/>
      <c r="B504" s="216">
        <v>46245</v>
      </c>
      <c r="C504" s="216">
        <v>46245</v>
      </c>
      <c r="D504" s="428" t="s">
        <v>8643</v>
      </c>
      <c r="E504" s="389">
        <v>260107922228</v>
      </c>
      <c r="F504" s="428" t="s">
        <v>87</v>
      </c>
      <c r="G504" s="428" t="s">
        <v>2304</v>
      </c>
      <c r="H504" s="428">
        <v>132</v>
      </c>
      <c r="I504" s="428">
        <v>380</v>
      </c>
      <c r="J504" s="369">
        <v>380</v>
      </c>
      <c r="K504" s="428">
        <v>97</v>
      </c>
      <c r="L504" s="217">
        <v>3040</v>
      </c>
      <c r="M504" s="428" t="s">
        <v>153</v>
      </c>
      <c r="N504" s="428" t="s">
        <v>149</v>
      </c>
      <c r="O504" s="428" t="s">
        <v>154</v>
      </c>
      <c r="P504" s="428" t="s">
        <v>151</v>
      </c>
      <c r="Q504" s="428" t="s">
        <v>155</v>
      </c>
      <c r="R504" s="428" t="s">
        <v>8644</v>
      </c>
      <c r="S504" s="428"/>
      <c r="T504" s="428" t="s">
        <v>2802</v>
      </c>
      <c r="U504" s="428" t="s">
        <v>152</v>
      </c>
      <c r="V504" s="428" t="s">
        <v>18</v>
      </c>
    </row>
    <row r="505" spans="1:22">
      <c r="A505" s="6"/>
      <c r="B505" s="216">
        <v>46245</v>
      </c>
      <c r="C505" s="216">
        <v>46245</v>
      </c>
      <c r="D505" s="428" t="s">
        <v>8645</v>
      </c>
      <c r="E505" s="389">
        <v>260105622279</v>
      </c>
      <c r="F505" s="428" t="s">
        <v>87</v>
      </c>
      <c r="G505" s="428" t="s">
        <v>8646</v>
      </c>
      <c r="H505" s="428">
        <v>132</v>
      </c>
      <c r="I505" s="428">
        <v>176</v>
      </c>
      <c r="J505" s="369">
        <v>176</v>
      </c>
      <c r="K505" s="428">
        <v>97</v>
      </c>
      <c r="L505" s="217">
        <v>1450</v>
      </c>
      <c r="M505" s="428" t="s">
        <v>153</v>
      </c>
      <c r="N505" s="428" t="s">
        <v>149</v>
      </c>
      <c r="O505" s="428" t="s">
        <v>154</v>
      </c>
      <c r="P505" s="428" t="s">
        <v>151</v>
      </c>
      <c r="Q505" s="428" t="s">
        <v>155</v>
      </c>
      <c r="R505" s="428" t="s">
        <v>8647</v>
      </c>
      <c r="S505" s="428"/>
      <c r="T505" s="428" t="s">
        <v>2802</v>
      </c>
      <c r="U505" s="428" t="s">
        <v>152</v>
      </c>
      <c r="V505" s="428" t="s">
        <v>18</v>
      </c>
    </row>
    <row r="506" spans="1:22">
      <c r="A506" s="6"/>
      <c r="B506" s="216">
        <v>46245</v>
      </c>
      <c r="C506" s="216">
        <v>46245</v>
      </c>
      <c r="D506" s="428" t="s">
        <v>8648</v>
      </c>
      <c r="E506" s="389">
        <v>260105422281</v>
      </c>
      <c r="F506" s="428" t="s">
        <v>87</v>
      </c>
      <c r="G506" s="428" t="s">
        <v>8290</v>
      </c>
      <c r="H506" s="428">
        <v>140</v>
      </c>
      <c r="I506" s="428">
        <v>194</v>
      </c>
      <c r="J506" s="369">
        <v>194</v>
      </c>
      <c r="K506" s="428">
        <v>83</v>
      </c>
      <c r="L506" s="217">
        <v>1730</v>
      </c>
      <c r="M506" s="428" t="s">
        <v>153</v>
      </c>
      <c r="N506" s="428" t="s">
        <v>149</v>
      </c>
      <c r="O506" s="428" t="s">
        <v>154</v>
      </c>
      <c r="P506" s="428" t="s">
        <v>151</v>
      </c>
      <c r="Q506" s="428" t="s">
        <v>155</v>
      </c>
      <c r="R506" s="428" t="s">
        <v>8649</v>
      </c>
      <c r="S506" s="428"/>
      <c r="T506" s="428" t="s">
        <v>2802</v>
      </c>
      <c r="U506" s="428" t="s">
        <v>152</v>
      </c>
      <c r="V506" s="428" t="s">
        <v>18</v>
      </c>
    </row>
    <row r="507" spans="1:22">
      <c r="A507" s="6"/>
      <c r="B507" s="216">
        <v>46245</v>
      </c>
      <c r="C507" s="216">
        <v>46245</v>
      </c>
      <c r="D507" s="428" t="s">
        <v>8650</v>
      </c>
      <c r="E507" s="389">
        <v>260105622226</v>
      </c>
      <c r="F507" s="428" t="s">
        <v>87</v>
      </c>
      <c r="G507" s="428" t="s">
        <v>8646</v>
      </c>
      <c r="H507" s="428">
        <v>132</v>
      </c>
      <c r="I507" s="428">
        <v>234</v>
      </c>
      <c r="J507" s="369">
        <v>234</v>
      </c>
      <c r="K507" s="428">
        <v>97</v>
      </c>
      <c r="L507" s="217">
        <v>1850</v>
      </c>
      <c r="M507" s="428" t="s">
        <v>153</v>
      </c>
      <c r="N507" s="428" t="s">
        <v>149</v>
      </c>
      <c r="O507" s="428" t="s">
        <v>154</v>
      </c>
      <c r="P507" s="428" t="s">
        <v>151</v>
      </c>
      <c r="Q507" s="428" t="s">
        <v>155</v>
      </c>
      <c r="R507" s="428" t="s">
        <v>8651</v>
      </c>
      <c r="S507" s="428"/>
      <c r="T507" s="428" t="s">
        <v>2802</v>
      </c>
      <c r="U507" s="428" t="s">
        <v>152</v>
      </c>
      <c r="V507" s="428" t="s">
        <v>18</v>
      </c>
    </row>
    <row r="508" spans="1:22">
      <c r="A508" s="6"/>
      <c r="B508" s="216">
        <v>46245</v>
      </c>
      <c r="C508" s="216">
        <v>46245</v>
      </c>
      <c r="D508" s="428" t="s">
        <v>8652</v>
      </c>
      <c r="E508" s="389">
        <v>260101722247</v>
      </c>
      <c r="F508" s="428" t="s">
        <v>87</v>
      </c>
      <c r="G508" s="428" t="s">
        <v>2303</v>
      </c>
      <c r="H508" s="428">
        <v>92</v>
      </c>
      <c r="I508" s="428">
        <v>240</v>
      </c>
      <c r="J508" s="369">
        <v>240</v>
      </c>
      <c r="K508" s="428">
        <v>134</v>
      </c>
      <c r="L508" s="217">
        <v>1000</v>
      </c>
      <c r="M508" s="428" t="s">
        <v>153</v>
      </c>
      <c r="N508" s="428" t="s">
        <v>149</v>
      </c>
      <c r="O508" s="428" t="s">
        <v>154</v>
      </c>
      <c r="P508" s="428" t="s">
        <v>151</v>
      </c>
      <c r="Q508" s="428" t="s">
        <v>155</v>
      </c>
      <c r="R508" s="428" t="s">
        <v>8653</v>
      </c>
      <c r="S508" s="428"/>
      <c r="T508" s="428" t="s">
        <v>2802</v>
      </c>
      <c r="U508" s="428" t="s">
        <v>152</v>
      </c>
      <c r="V508" s="428" t="s">
        <v>18</v>
      </c>
    </row>
    <row r="509" spans="1:22">
      <c r="A509" s="6"/>
      <c r="B509" s="216">
        <v>46245</v>
      </c>
      <c r="C509" s="216">
        <v>46245</v>
      </c>
      <c r="D509" s="428" t="s">
        <v>8654</v>
      </c>
      <c r="E509" s="389">
        <v>260103622284</v>
      </c>
      <c r="F509" s="428" t="s">
        <v>87</v>
      </c>
      <c r="G509" s="428" t="s">
        <v>2360</v>
      </c>
      <c r="H509" s="428">
        <v>132</v>
      </c>
      <c r="I509" s="428">
        <v>206</v>
      </c>
      <c r="J509" s="369">
        <v>206</v>
      </c>
      <c r="K509" s="428">
        <v>87</v>
      </c>
      <c r="L509" s="217">
        <v>1790</v>
      </c>
      <c r="M509" s="428" t="s">
        <v>153</v>
      </c>
      <c r="N509" s="428" t="s">
        <v>149</v>
      </c>
      <c r="O509" s="428" t="s">
        <v>154</v>
      </c>
      <c r="P509" s="428" t="s">
        <v>151</v>
      </c>
      <c r="Q509" s="428" t="s">
        <v>155</v>
      </c>
      <c r="R509" s="428" t="s">
        <v>8655</v>
      </c>
      <c r="S509" s="428"/>
      <c r="T509" s="428" t="s">
        <v>2802</v>
      </c>
      <c r="U509" s="428" t="s">
        <v>152</v>
      </c>
      <c r="V509" s="428" t="s">
        <v>18</v>
      </c>
    </row>
    <row r="510" spans="1:22">
      <c r="A510" s="6"/>
      <c r="B510" s="216">
        <v>46245</v>
      </c>
      <c r="C510" s="216">
        <v>46245</v>
      </c>
      <c r="D510" s="428" t="s">
        <v>8656</v>
      </c>
      <c r="E510" s="389">
        <v>260100522238</v>
      </c>
      <c r="F510" s="428" t="s">
        <v>87</v>
      </c>
      <c r="G510" s="428" t="s">
        <v>2531</v>
      </c>
      <c r="H510" s="428">
        <v>192</v>
      </c>
      <c r="I510" s="428">
        <v>182</v>
      </c>
      <c r="J510" s="369">
        <v>182</v>
      </c>
      <c r="K510" s="428">
        <v>180</v>
      </c>
      <c r="L510" s="217">
        <v>270</v>
      </c>
      <c r="M510" s="428" t="s">
        <v>153</v>
      </c>
      <c r="N510" s="428" t="s">
        <v>149</v>
      </c>
      <c r="O510" s="428" t="s">
        <v>154</v>
      </c>
      <c r="P510" s="428" t="s">
        <v>151</v>
      </c>
      <c r="Q510" s="428" t="s">
        <v>155</v>
      </c>
      <c r="R510" s="428" t="s">
        <v>8657</v>
      </c>
      <c r="S510" s="428"/>
      <c r="T510" s="428" t="s">
        <v>2802</v>
      </c>
      <c r="U510" s="428" t="s">
        <v>152</v>
      </c>
      <c r="V510" s="428" t="s">
        <v>18</v>
      </c>
    </row>
    <row r="511" spans="1:22">
      <c r="A511" s="6"/>
      <c r="B511" s="216">
        <v>46245</v>
      </c>
      <c r="C511" s="216">
        <v>46245</v>
      </c>
      <c r="D511" s="428" t="s">
        <v>8658</v>
      </c>
      <c r="E511" s="389">
        <v>260107922273</v>
      </c>
      <c r="F511" s="428" t="s">
        <v>87</v>
      </c>
      <c r="G511" s="428" t="s">
        <v>2304</v>
      </c>
      <c r="H511" s="428">
        <v>132</v>
      </c>
      <c r="I511" s="428">
        <v>309</v>
      </c>
      <c r="J511" s="369">
        <v>309</v>
      </c>
      <c r="K511" s="428">
        <v>97</v>
      </c>
      <c r="L511" s="217">
        <v>2520</v>
      </c>
      <c r="M511" s="428" t="s">
        <v>153</v>
      </c>
      <c r="N511" s="428" t="s">
        <v>149</v>
      </c>
      <c r="O511" s="428" t="s">
        <v>154</v>
      </c>
      <c r="P511" s="428" t="s">
        <v>151</v>
      </c>
      <c r="Q511" s="428" t="s">
        <v>155</v>
      </c>
      <c r="R511" s="428" t="s">
        <v>8659</v>
      </c>
      <c r="S511" s="428"/>
      <c r="T511" s="428" t="s">
        <v>2802</v>
      </c>
      <c r="U511" s="428" t="s">
        <v>152</v>
      </c>
      <c r="V511" s="428" t="s">
        <v>18</v>
      </c>
    </row>
    <row r="512" spans="1:22">
      <c r="A512" s="6"/>
      <c r="B512" s="216">
        <v>46245</v>
      </c>
      <c r="C512" s="216">
        <v>46245</v>
      </c>
      <c r="D512" s="428" t="s">
        <v>8660</v>
      </c>
      <c r="E512" s="389">
        <v>260102622286</v>
      </c>
      <c r="F512" s="428" t="s">
        <v>87</v>
      </c>
      <c r="G512" s="428" t="s">
        <v>8032</v>
      </c>
      <c r="H512" s="428">
        <v>102</v>
      </c>
      <c r="I512" s="428">
        <v>255</v>
      </c>
      <c r="J512" s="369">
        <v>255</v>
      </c>
      <c r="K512" s="428">
        <v>130</v>
      </c>
      <c r="L512" s="217">
        <v>1000</v>
      </c>
      <c r="M512" s="428" t="s">
        <v>153</v>
      </c>
      <c r="N512" s="428" t="s">
        <v>149</v>
      </c>
      <c r="O512" s="428" t="s">
        <v>154</v>
      </c>
      <c r="P512" s="428" t="s">
        <v>151</v>
      </c>
      <c r="Q512" s="428" t="s">
        <v>155</v>
      </c>
      <c r="R512" s="428" t="s">
        <v>8661</v>
      </c>
      <c r="S512" s="428"/>
      <c r="T512" s="428" t="s">
        <v>2802</v>
      </c>
      <c r="U512" s="428" t="s">
        <v>152</v>
      </c>
      <c r="V512" s="428" t="s">
        <v>18</v>
      </c>
    </row>
    <row r="513" spans="1:22">
      <c r="A513" s="6"/>
      <c r="B513" s="216">
        <v>46245</v>
      </c>
      <c r="C513" s="216">
        <v>46245</v>
      </c>
      <c r="D513" s="428" t="s">
        <v>8662</v>
      </c>
      <c r="E513" s="389">
        <v>260101322076</v>
      </c>
      <c r="F513" s="428" t="s">
        <v>87</v>
      </c>
      <c r="G513" s="428" t="s">
        <v>2517</v>
      </c>
      <c r="H513" s="428" t="s">
        <v>2518</v>
      </c>
      <c r="I513" s="428">
        <v>810</v>
      </c>
      <c r="J513" s="369">
        <v>810</v>
      </c>
      <c r="K513" s="428">
        <v>190</v>
      </c>
      <c r="L513" s="217">
        <v>1400</v>
      </c>
      <c r="M513" s="428" t="s">
        <v>153</v>
      </c>
      <c r="N513" s="428" t="s">
        <v>149</v>
      </c>
      <c r="O513" s="428" t="s">
        <v>154</v>
      </c>
      <c r="P513" s="428" t="s">
        <v>151</v>
      </c>
      <c r="Q513" s="428" t="s">
        <v>156</v>
      </c>
      <c r="R513" s="428" t="s">
        <v>8663</v>
      </c>
      <c r="S513" s="428"/>
      <c r="T513" s="428" t="s">
        <v>2802</v>
      </c>
      <c r="U513" s="428" t="s">
        <v>152</v>
      </c>
      <c r="V513" s="428" t="s">
        <v>20</v>
      </c>
    </row>
    <row r="514" spans="1:22">
      <c r="A514" s="6"/>
      <c r="B514" s="216">
        <v>46245</v>
      </c>
      <c r="C514" s="216">
        <v>46245</v>
      </c>
      <c r="D514" s="428" t="s">
        <v>8664</v>
      </c>
      <c r="E514" s="389">
        <v>260101322155</v>
      </c>
      <c r="F514" s="428" t="s">
        <v>87</v>
      </c>
      <c r="G514" s="428" t="s">
        <v>2517</v>
      </c>
      <c r="H514" s="428" t="s">
        <v>2518</v>
      </c>
      <c r="I514" s="428">
        <v>732</v>
      </c>
      <c r="J514" s="369">
        <v>732</v>
      </c>
      <c r="K514" s="428">
        <v>190</v>
      </c>
      <c r="L514" s="217">
        <v>1300</v>
      </c>
      <c r="M514" s="428" t="s">
        <v>153</v>
      </c>
      <c r="N514" s="428" t="s">
        <v>149</v>
      </c>
      <c r="O514" s="428" t="s">
        <v>154</v>
      </c>
      <c r="P514" s="428" t="s">
        <v>151</v>
      </c>
      <c r="Q514" s="428" t="s">
        <v>156</v>
      </c>
      <c r="R514" s="428" t="s">
        <v>8665</v>
      </c>
      <c r="S514" s="428"/>
      <c r="T514" s="428" t="s">
        <v>2802</v>
      </c>
      <c r="U514" s="428" t="s">
        <v>152</v>
      </c>
      <c r="V514" s="428" t="s">
        <v>20</v>
      </c>
    </row>
    <row r="515" spans="1:22">
      <c r="A515" s="6"/>
      <c r="B515" s="216">
        <v>46245</v>
      </c>
      <c r="C515" s="216">
        <v>46245</v>
      </c>
      <c r="D515" s="428" t="s">
        <v>8666</v>
      </c>
      <c r="E515" s="389" t="s">
        <v>8667</v>
      </c>
      <c r="F515" s="428" t="s">
        <v>87</v>
      </c>
      <c r="G515" s="428" t="s">
        <v>2410</v>
      </c>
      <c r="H515" s="428" t="s">
        <v>2416</v>
      </c>
      <c r="I515" s="428">
        <v>395</v>
      </c>
      <c r="J515" s="369">
        <v>395</v>
      </c>
      <c r="K515" s="428">
        <v>102</v>
      </c>
      <c r="L515" s="217">
        <v>3850</v>
      </c>
      <c r="M515" s="428" t="s">
        <v>153</v>
      </c>
      <c r="N515" s="428" t="s">
        <v>149</v>
      </c>
      <c r="O515" s="428" t="s">
        <v>154</v>
      </c>
      <c r="P515" s="428" t="s">
        <v>151</v>
      </c>
      <c r="Q515" s="428" t="s">
        <v>156</v>
      </c>
      <c r="R515" s="428" t="s">
        <v>8668</v>
      </c>
      <c r="S515" s="428"/>
      <c r="T515" s="428" t="s">
        <v>2802</v>
      </c>
      <c r="U515" s="428" t="s">
        <v>152</v>
      </c>
      <c r="V515" s="428" t="s">
        <v>20</v>
      </c>
    </row>
    <row r="516" spans="1:22">
      <c r="A516" s="6"/>
      <c r="B516" s="216">
        <v>46245</v>
      </c>
      <c r="C516" s="216">
        <v>46245</v>
      </c>
      <c r="D516" s="428" t="s">
        <v>8669</v>
      </c>
      <c r="E516" s="389" t="s">
        <v>8670</v>
      </c>
      <c r="F516" s="428" t="s">
        <v>87</v>
      </c>
      <c r="G516" s="428" t="s">
        <v>2411</v>
      </c>
      <c r="H516" s="428" t="s">
        <v>2529</v>
      </c>
      <c r="I516" s="428">
        <v>537</v>
      </c>
      <c r="J516" s="369">
        <v>537</v>
      </c>
      <c r="K516" s="428">
        <v>105</v>
      </c>
      <c r="L516" s="217">
        <v>6810</v>
      </c>
      <c r="M516" s="428" t="s">
        <v>153</v>
      </c>
      <c r="N516" s="428" t="s">
        <v>149</v>
      </c>
      <c r="O516" s="428" t="s">
        <v>154</v>
      </c>
      <c r="P516" s="428" t="s">
        <v>151</v>
      </c>
      <c r="Q516" s="428" t="s">
        <v>156</v>
      </c>
      <c r="R516" s="428" t="s">
        <v>8671</v>
      </c>
      <c r="S516" s="428"/>
      <c r="T516" s="428" t="s">
        <v>2802</v>
      </c>
      <c r="U516" s="428" t="s">
        <v>152</v>
      </c>
      <c r="V516" s="428" t="s">
        <v>20</v>
      </c>
    </row>
    <row r="517" spans="1:22">
      <c r="A517" s="6"/>
      <c r="B517" s="216">
        <v>46245</v>
      </c>
      <c r="C517" s="216">
        <v>46245</v>
      </c>
      <c r="D517" s="428" t="s">
        <v>8672</v>
      </c>
      <c r="E517" s="389">
        <v>260105622159</v>
      </c>
      <c r="F517" s="428" t="s">
        <v>87</v>
      </c>
      <c r="G517" s="428" t="s">
        <v>2533</v>
      </c>
      <c r="H517" s="428" t="s">
        <v>2524</v>
      </c>
      <c r="I517" s="428">
        <v>381</v>
      </c>
      <c r="J517" s="369">
        <v>381</v>
      </c>
      <c r="K517" s="428">
        <v>119</v>
      </c>
      <c r="L517" s="217">
        <v>2000</v>
      </c>
      <c r="M517" s="428" t="s">
        <v>153</v>
      </c>
      <c r="N517" s="428" t="s">
        <v>149</v>
      </c>
      <c r="O517" s="428" t="s">
        <v>154</v>
      </c>
      <c r="P517" s="428" t="s">
        <v>151</v>
      </c>
      <c r="Q517" s="428" t="s">
        <v>156</v>
      </c>
      <c r="R517" s="428" t="s">
        <v>8673</v>
      </c>
      <c r="S517" s="428"/>
      <c r="T517" s="428" t="s">
        <v>2802</v>
      </c>
      <c r="U517" s="428" t="s">
        <v>152</v>
      </c>
      <c r="V517" s="428" t="s">
        <v>20</v>
      </c>
    </row>
    <row r="518" spans="1:22">
      <c r="A518" s="6"/>
      <c r="B518" s="216">
        <v>46245</v>
      </c>
      <c r="C518" s="216">
        <v>46245</v>
      </c>
      <c r="D518" s="428" t="s">
        <v>8674</v>
      </c>
      <c r="E518" s="389">
        <v>260101321934</v>
      </c>
      <c r="F518" s="428" t="s">
        <v>87</v>
      </c>
      <c r="G518" s="428" t="s">
        <v>2517</v>
      </c>
      <c r="H518" s="428" t="s">
        <v>2518</v>
      </c>
      <c r="I518" s="428">
        <v>796</v>
      </c>
      <c r="J518" s="369">
        <v>796</v>
      </c>
      <c r="K518" s="428">
        <v>190</v>
      </c>
      <c r="L518" s="217">
        <v>1385</v>
      </c>
      <c r="M518" s="428" t="s">
        <v>153</v>
      </c>
      <c r="N518" s="428" t="s">
        <v>149</v>
      </c>
      <c r="O518" s="428" t="s">
        <v>154</v>
      </c>
      <c r="P518" s="428" t="s">
        <v>151</v>
      </c>
      <c r="Q518" s="428" t="s">
        <v>156</v>
      </c>
      <c r="R518" s="428" t="s">
        <v>8675</v>
      </c>
      <c r="S518" s="428"/>
      <c r="T518" s="428" t="s">
        <v>2802</v>
      </c>
      <c r="U518" s="428" t="s">
        <v>152</v>
      </c>
      <c r="V518" s="428" t="s">
        <v>20</v>
      </c>
    </row>
    <row r="519" spans="1:22">
      <c r="A519" s="6"/>
      <c r="B519" s="216">
        <v>46245</v>
      </c>
      <c r="C519" s="216">
        <v>46245</v>
      </c>
      <c r="D519" s="428" t="s">
        <v>8676</v>
      </c>
      <c r="E519" s="389">
        <v>260101321699</v>
      </c>
      <c r="F519" s="428" t="s">
        <v>87</v>
      </c>
      <c r="G519" s="428" t="s">
        <v>2517</v>
      </c>
      <c r="H519" s="428" t="s">
        <v>2518</v>
      </c>
      <c r="I519" s="428">
        <v>780</v>
      </c>
      <c r="J519" s="369">
        <v>780</v>
      </c>
      <c r="K519" s="428">
        <v>190</v>
      </c>
      <c r="L519" s="217">
        <v>1400</v>
      </c>
      <c r="M519" s="428" t="s">
        <v>153</v>
      </c>
      <c r="N519" s="428" t="s">
        <v>149</v>
      </c>
      <c r="O519" s="428" t="s">
        <v>154</v>
      </c>
      <c r="P519" s="428" t="s">
        <v>151</v>
      </c>
      <c r="Q519" s="428" t="s">
        <v>156</v>
      </c>
      <c r="R519" s="428" t="s">
        <v>8677</v>
      </c>
      <c r="S519" s="428"/>
      <c r="T519" s="428" t="s">
        <v>2802</v>
      </c>
      <c r="U519" s="428" t="s">
        <v>152</v>
      </c>
      <c r="V519" s="428" t="s">
        <v>20</v>
      </c>
    </row>
    <row r="520" spans="1:22">
      <c r="A520" s="6"/>
      <c r="B520" s="216">
        <v>46245</v>
      </c>
      <c r="C520" s="216">
        <v>46245</v>
      </c>
      <c r="D520" s="428" t="s">
        <v>8678</v>
      </c>
      <c r="E520" s="389">
        <v>260104822114</v>
      </c>
      <c r="F520" s="428" t="s">
        <v>87</v>
      </c>
      <c r="G520" s="428" t="s">
        <v>2411</v>
      </c>
      <c r="H520" s="428" t="s">
        <v>2525</v>
      </c>
      <c r="I520" s="428">
        <v>450</v>
      </c>
      <c r="J520" s="369">
        <v>450</v>
      </c>
      <c r="K520" s="428">
        <v>105</v>
      </c>
      <c r="L520" s="217">
        <v>2500</v>
      </c>
      <c r="M520" s="428" t="s">
        <v>153</v>
      </c>
      <c r="N520" s="428" t="s">
        <v>149</v>
      </c>
      <c r="O520" s="428" t="s">
        <v>154</v>
      </c>
      <c r="P520" s="428" t="s">
        <v>151</v>
      </c>
      <c r="Q520" s="428" t="s">
        <v>156</v>
      </c>
      <c r="R520" s="428" t="s">
        <v>8679</v>
      </c>
      <c r="S520" s="428"/>
      <c r="T520" s="428" t="s">
        <v>2802</v>
      </c>
      <c r="U520" s="428" t="s">
        <v>152</v>
      </c>
      <c r="V520" s="428" t="s">
        <v>20</v>
      </c>
    </row>
    <row r="521" spans="1:22">
      <c r="A521" s="6"/>
      <c r="B521" s="216">
        <v>46246</v>
      </c>
      <c r="C521" s="216">
        <v>46246</v>
      </c>
      <c r="D521" s="428" t="s">
        <v>8680</v>
      </c>
      <c r="E521" s="389">
        <v>260101722350</v>
      </c>
      <c r="F521" s="428" t="s">
        <v>87</v>
      </c>
      <c r="G521" s="428" t="s">
        <v>8681</v>
      </c>
      <c r="H521" s="428">
        <v>92</v>
      </c>
      <c r="I521" s="428">
        <v>214</v>
      </c>
      <c r="J521" s="369">
        <v>214</v>
      </c>
      <c r="K521" s="428">
        <v>134</v>
      </c>
      <c r="L521" s="217">
        <v>880</v>
      </c>
      <c r="M521" s="428" t="s">
        <v>153</v>
      </c>
      <c r="N521" s="428" t="s">
        <v>149</v>
      </c>
      <c r="O521" s="428" t="s">
        <v>154</v>
      </c>
      <c r="P521" s="428" t="s">
        <v>151</v>
      </c>
      <c r="Q521" s="428" t="s">
        <v>155</v>
      </c>
      <c r="R521" s="428" t="s">
        <v>8682</v>
      </c>
      <c r="S521" s="428"/>
      <c r="T521" s="428" t="s">
        <v>2824</v>
      </c>
      <c r="U521" s="428" t="s">
        <v>152</v>
      </c>
      <c r="V521" s="428" t="s">
        <v>18</v>
      </c>
    </row>
    <row r="522" spans="1:22">
      <c r="A522" s="6"/>
      <c r="B522" s="216">
        <v>46246</v>
      </c>
      <c r="C522" s="216">
        <v>46246</v>
      </c>
      <c r="D522" s="428" t="s">
        <v>8683</v>
      </c>
      <c r="E522" s="389">
        <v>260101622326</v>
      </c>
      <c r="F522" s="428" t="s">
        <v>87</v>
      </c>
      <c r="G522" s="428" t="s">
        <v>2079</v>
      </c>
      <c r="H522" s="428">
        <v>112</v>
      </c>
      <c r="I522" s="428">
        <v>446</v>
      </c>
      <c r="J522" s="369">
        <v>446</v>
      </c>
      <c r="K522" s="428">
        <v>180</v>
      </c>
      <c r="L522" s="217">
        <v>1130</v>
      </c>
      <c r="M522" s="428" t="s">
        <v>153</v>
      </c>
      <c r="N522" s="428" t="s">
        <v>149</v>
      </c>
      <c r="O522" s="428" t="s">
        <v>154</v>
      </c>
      <c r="P522" s="428" t="s">
        <v>151</v>
      </c>
      <c r="Q522" s="428" t="s">
        <v>155</v>
      </c>
      <c r="R522" s="428" t="s">
        <v>8684</v>
      </c>
      <c r="S522" s="428"/>
      <c r="T522" s="428" t="s">
        <v>2824</v>
      </c>
      <c r="U522" s="428" t="s">
        <v>152</v>
      </c>
      <c r="V522" s="428" t="s">
        <v>18</v>
      </c>
    </row>
    <row r="523" spans="1:22">
      <c r="A523" s="6"/>
      <c r="B523" s="216">
        <v>46246</v>
      </c>
      <c r="C523" s="216">
        <v>46246</v>
      </c>
      <c r="D523" s="428" t="s">
        <v>8685</v>
      </c>
      <c r="E523" s="389">
        <v>260101822351</v>
      </c>
      <c r="F523" s="428" t="s">
        <v>87</v>
      </c>
      <c r="G523" s="428" t="s">
        <v>7909</v>
      </c>
      <c r="H523" s="428">
        <v>105</v>
      </c>
      <c r="I523" s="428">
        <v>180</v>
      </c>
      <c r="J523" s="369">
        <v>180</v>
      </c>
      <c r="K523" s="428">
        <v>134</v>
      </c>
      <c r="L523" s="217">
        <v>660</v>
      </c>
      <c r="M523" s="428" t="s">
        <v>153</v>
      </c>
      <c r="N523" s="428" t="s">
        <v>149</v>
      </c>
      <c r="O523" s="428" t="s">
        <v>154</v>
      </c>
      <c r="P523" s="428" t="s">
        <v>151</v>
      </c>
      <c r="Q523" s="428" t="s">
        <v>155</v>
      </c>
      <c r="R523" s="428" t="s">
        <v>8686</v>
      </c>
      <c r="S523" s="428"/>
      <c r="T523" s="428" t="s">
        <v>2824</v>
      </c>
      <c r="U523" s="428" t="s">
        <v>152</v>
      </c>
      <c r="V523" s="428" t="s">
        <v>18</v>
      </c>
    </row>
    <row r="524" spans="1:22">
      <c r="A524" s="6"/>
      <c r="B524" s="216">
        <v>46246</v>
      </c>
      <c r="C524" s="216">
        <v>46246</v>
      </c>
      <c r="D524" s="428" t="s">
        <v>8687</v>
      </c>
      <c r="E524" s="389">
        <v>260101922352</v>
      </c>
      <c r="F524" s="428" t="s">
        <v>87</v>
      </c>
      <c r="G524" s="428" t="s">
        <v>2303</v>
      </c>
      <c r="H524" s="428">
        <v>92</v>
      </c>
      <c r="I524" s="428">
        <v>365</v>
      </c>
      <c r="J524" s="369">
        <v>365</v>
      </c>
      <c r="K524" s="428">
        <v>134</v>
      </c>
      <c r="L524" s="217">
        <v>1525</v>
      </c>
      <c r="M524" s="428" t="s">
        <v>153</v>
      </c>
      <c r="N524" s="428" t="s">
        <v>149</v>
      </c>
      <c r="O524" s="428" t="s">
        <v>154</v>
      </c>
      <c r="P524" s="428" t="s">
        <v>151</v>
      </c>
      <c r="Q524" s="428" t="s">
        <v>155</v>
      </c>
      <c r="R524" s="428" t="s">
        <v>8688</v>
      </c>
      <c r="S524" s="428"/>
      <c r="T524" s="428" t="s">
        <v>2824</v>
      </c>
      <c r="U524" s="428" t="s">
        <v>152</v>
      </c>
      <c r="V524" s="428" t="s">
        <v>18</v>
      </c>
    </row>
    <row r="525" spans="1:22">
      <c r="A525" s="6"/>
      <c r="B525" s="216">
        <v>46246</v>
      </c>
      <c r="C525" s="216">
        <v>46246</v>
      </c>
      <c r="D525" s="428" t="s">
        <v>8689</v>
      </c>
      <c r="E525" s="389">
        <v>260102622347</v>
      </c>
      <c r="F525" s="428" t="s">
        <v>87</v>
      </c>
      <c r="G525" s="428" t="s">
        <v>8032</v>
      </c>
      <c r="H525" s="428">
        <v>102</v>
      </c>
      <c r="I525" s="428">
        <v>253</v>
      </c>
      <c r="J525" s="369">
        <v>253</v>
      </c>
      <c r="K525" s="428">
        <v>130</v>
      </c>
      <c r="L525" s="217">
        <v>1000</v>
      </c>
      <c r="M525" s="428" t="s">
        <v>153</v>
      </c>
      <c r="N525" s="428" t="s">
        <v>149</v>
      </c>
      <c r="O525" s="428" t="s">
        <v>154</v>
      </c>
      <c r="P525" s="428" t="s">
        <v>151</v>
      </c>
      <c r="Q525" s="428" t="s">
        <v>155</v>
      </c>
      <c r="R525" s="428" t="s">
        <v>8690</v>
      </c>
      <c r="S525" s="428"/>
      <c r="T525" s="428" t="s">
        <v>2824</v>
      </c>
      <c r="U525" s="428" t="s">
        <v>152</v>
      </c>
      <c r="V525" s="428" t="s">
        <v>18</v>
      </c>
    </row>
    <row r="526" spans="1:22">
      <c r="A526" s="6"/>
      <c r="B526" s="216">
        <v>46246</v>
      </c>
      <c r="C526" s="216">
        <v>46246</v>
      </c>
      <c r="D526" s="428" t="s">
        <v>8691</v>
      </c>
      <c r="E526" s="389">
        <v>260107122370</v>
      </c>
      <c r="F526" s="428" t="s">
        <v>87</v>
      </c>
      <c r="G526" s="428" t="s">
        <v>8692</v>
      </c>
      <c r="H526" s="428">
        <v>140</v>
      </c>
      <c r="I526" s="428">
        <v>204</v>
      </c>
      <c r="J526" s="369">
        <v>204</v>
      </c>
      <c r="K526" s="428">
        <v>88</v>
      </c>
      <c r="L526" s="217">
        <v>1710</v>
      </c>
      <c r="M526" s="428" t="s">
        <v>153</v>
      </c>
      <c r="N526" s="428" t="s">
        <v>149</v>
      </c>
      <c r="O526" s="428" t="s">
        <v>154</v>
      </c>
      <c r="P526" s="428" t="s">
        <v>151</v>
      </c>
      <c r="Q526" s="428" t="s">
        <v>155</v>
      </c>
      <c r="R526" s="428" t="s">
        <v>8693</v>
      </c>
      <c r="S526" s="428"/>
      <c r="T526" s="428" t="s">
        <v>2824</v>
      </c>
      <c r="U526" s="428" t="s">
        <v>152</v>
      </c>
      <c r="V526" s="428" t="s">
        <v>18</v>
      </c>
    </row>
    <row r="527" spans="1:22">
      <c r="A527" s="6"/>
      <c r="B527" s="216">
        <v>46246</v>
      </c>
      <c r="C527" s="216">
        <v>46246</v>
      </c>
      <c r="D527" s="428" t="s">
        <v>8694</v>
      </c>
      <c r="E527" s="389">
        <v>260101722327</v>
      </c>
      <c r="F527" s="428" t="s">
        <v>87</v>
      </c>
      <c r="G527" s="428" t="s">
        <v>8681</v>
      </c>
      <c r="H527" s="428">
        <v>92</v>
      </c>
      <c r="I527" s="428">
        <v>267</v>
      </c>
      <c r="J527" s="369">
        <v>267</v>
      </c>
      <c r="K527" s="428">
        <v>134</v>
      </c>
      <c r="L527" s="217">
        <v>1110</v>
      </c>
      <c r="M527" s="428" t="s">
        <v>153</v>
      </c>
      <c r="N527" s="428" t="s">
        <v>149</v>
      </c>
      <c r="O527" s="428" t="s">
        <v>154</v>
      </c>
      <c r="P527" s="428" t="s">
        <v>151</v>
      </c>
      <c r="Q527" s="428" t="s">
        <v>155</v>
      </c>
      <c r="R527" s="428" t="s">
        <v>8695</v>
      </c>
      <c r="S527" s="428"/>
      <c r="T527" s="428" t="s">
        <v>2824</v>
      </c>
      <c r="U527" s="428" t="s">
        <v>152</v>
      </c>
      <c r="V527" s="428" t="s">
        <v>18</v>
      </c>
    </row>
    <row r="528" spans="1:22">
      <c r="A528" s="6"/>
      <c r="B528" s="216">
        <v>46246</v>
      </c>
      <c r="C528" s="216">
        <v>46246</v>
      </c>
      <c r="D528" s="428" t="s">
        <v>8696</v>
      </c>
      <c r="E528" s="389">
        <v>260102522349</v>
      </c>
      <c r="F528" s="428" t="s">
        <v>87</v>
      </c>
      <c r="G528" s="428" t="s">
        <v>8032</v>
      </c>
      <c r="H528" s="428">
        <v>102</v>
      </c>
      <c r="I528" s="428">
        <v>258</v>
      </c>
      <c r="J528" s="369">
        <v>258</v>
      </c>
      <c r="K528" s="428">
        <v>130</v>
      </c>
      <c r="L528" s="217">
        <v>1000</v>
      </c>
      <c r="M528" s="428" t="s">
        <v>153</v>
      </c>
      <c r="N528" s="428" t="s">
        <v>149</v>
      </c>
      <c r="O528" s="428" t="s">
        <v>154</v>
      </c>
      <c r="P528" s="428" t="s">
        <v>151</v>
      </c>
      <c r="Q528" s="428" t="s">
        <v>155</v>
      </c>
      <c r="R528" s="428" t="s">
        <v>8697</v>
      </c>
      <c r="S528" s="428"/>
      <c r="T528" s="428" t="s">
        <v>2824</v>
      </c>
      <c r="U528" s="428" t="s">
        <v>152</v>
      </c>
      <c r="V528" s="428" t="s">
        <v>18</v>
      </c>
    </row>
    <row r="529" spans="1:22">
      <c r="A529" s="6"/>
      <c r="B529" s="216">
        <v>46246</v>
      </c>
      <c r="C529" s="216">
        <v>46246</v>
      </c>
      <c r="D529" s="428" t="s">
        <v>8698</v>
      </c>
      <c r="E529" s="389">
        <v>260107622367</v>
      </c>
      <c r="F529" s="428" t="s">
        <v>87</v>
      </c>
      <c r="G529" s="428" t="s">
        <v>8646</v>
      </c>
      <c r="H529" s="428">
        <v>132</v>
      </c>
      <c r="I529" s="428">
        <v>345</v>
      </c>
      <c r="J529" s="369">
        <v>345</v>
      </c>
      <c r="K529" s="428">
        <v>97</v>
      </c>
      <c r="L529" s="217">
        <v>2700</v>
      </c>
      <c r="M529" s="428" t="s">
        <v>153</v>
      </c>
      <c r="N529" s="428" t="s">
        <v>149</v>
      </c>
      <c r="O529" s="428" t="s">
        <v>154</v>
      </c>
      <c r="P529" s="428" t="s">
        <v>151</v>
      </c>
      <c r="Q529" s="428" t="s">
        <v>155</v>
      </c>
      <c r="R529" s="428" t="s">
        <v>8699</v>
      </c>
      <c r="S529" s="428"/>
      <c r="T529" s="428" t="s">
        <v>2824</v>
      </c>
      <c r="U529" s="428" t="s">
        <v>152</v>
      </c>
      <c r="V529" s="428" t="s">
        <v>18</v>
      </c>
    </row>
    <row r="530" spans="1:22">
      <c r="A530" s="6"/>
      <c r="B530" s="216">
        <v>46246</v>
      </c>
      <c r="C530" s="216">
        <v>46246</v>
      </c>
      <c r="D530" s="428" t="s">
        <v>8700</v>
      </c>
      <c r="E530" s="389">
        <v>260103422257</v>
      </c>
      <c r="F530" s="428" t="s">
        <v>87</v>
      </c>
      <c r="G530" s="428" t="s">
        <v>824</v>
      </c>
      <c r="H530" s="428">
        <v>152</v>
      </c>
      <c r="I530" s="428">
        <v>101</v>
      </c>
      <c r="J530" s="369">
        <v>101</v>
      </c>
      <c r="K530" s="428">
        <v>104</v>
      </c>
      <c r="L530" s="217">
        <v>660</v>
      </c>
      <c r="M530" s="428" t="s">
        <v>153</v>
      </c>
      <c r="N530" s="428" t="s">
        <v>149</v>
      </c>
      <c r="O530" s="428" t="s">
        <v>154</v>
      </c>
      <c r="P530" s="428" t="s">
        <v>151</v>
      </c>
      <c r="Q530" s="428" t="s">
        <v>155</v>
      </c>
      <c r="R530" s="428" t="s">
        <v>8701</v>
      </c>
      <c r="S530" s="428"/>
      <c r="T530" s="428" t="s">
        <v>2824</v>
      </c>
      <c r="U530" s="428" t="s">
        <v>152</v>
      </c>
      <c r="V530" s="428" t="s">
        <v>18</v>
      </c>
    </row>
    <row r="531" spans="1:22">
      <c r="A531" s="6"/>
      <c r="B531" s="216">
        <v>46246</v>
      </c>
      <c r="C531" s="216">
        <v>46246</v>
      </c>
      <c r="D531" s="428" t="s">
        <v>8702</v>
      </c>
      <c r="E531" s="389">
        <v>260101422325</v>
      </c>
      <c r="F531" s="428" t="s">
        <v>87</v>
      </c>
      <c r="G531" s="428" t="s">
        <v>824</v>
      </c>
      <c r="H531" s="428">
        <v>152</v>
      </c>
      <c r="I531" s="428">
        <v>229</v>
      </c>
      <c r="J531" s="369">
        <v>229</v>
      </c>
      <c r="K531" s="428">
        <v>104</v>
      </c>
      <c r="L531" s="217">
        <v>1500</v>
      </c>
      <c r="M531" s="428" t="s">
        <v>153</v>
      </c>
      <c r="N531" s="428" t="s">
        <v>149</v>
      </c>
      <c r="O531" s="428" t="s">
        <v>154</v>
      </c>
      <c r="P531" s="428" t="s">
        <v>151</v>
      </c>
      <c r="Q531" s="428" t="s">
        <v>155</v>
      </c>
      <c r="R531" s="428" t="s">
        <v>8703</v>
      </c>
      <c r="S531" s="428"/>
      <c r="T531" s="428" t="s">
        <v>2824</v>
      </c>
      <c r="U531" s="428" t="s">
        <v>152</v>
      </c>
      <c r="V531" s="428" t="s">
        <v>18</v>
      </c>
    </row>
    <row r="532" spans="1:22">
      <c r="A532" s="6"/>
      <c r="B532" s="216">
        <v>46246</v>
      </c>
      <c r="C532" s="216">
        <v>46246</v>
      </c>
      <c r="D532" s="428" t="s">
        <v>8704</v>
      </c>
      <c r="E532" s="389">
        <v>260102022329</v>
      </c>
      <c r="F532" s="428" t="s">
        <v>87</v>
      </c>
      <c r="G532" s="428" t="s">
        <v>2303</v>
      </c>
      <c r="H532" s="428">
        <v>92</v>
      </c>
      <c r="I532" s="428">
        <v>280</v>
      </c>
      <c r="J532" s="369">
        <v>280</v>
      </c>
      <c r="K532" s="428">
        <v>134</v>
      </c>
      <c r="L532" s="217">
        <v>1150</v>
      </c>
      <c r="M532" s="428" t="s">
        <v>153</v>
      </c>
      <c r="N532" s="428" t="s">
        <v>149</v>
      </c>
      <c r="O532" s="428" t="s">
        <v>154</v>
      </c>
      <c r="P532" s="428" t="s">
        <v>151</v>
      </c>
      <c r="Q532" s="428" t="s">
        <v>155</v>
      </c>
      <c r="R532" s="428" t="s">
        <v>8705</v>
      </c>
      <c r="S532" s="428"/>
      <c r="T532" s="428" t="s">
        <v>2824</v>
      </c>
      <c r="U532" s="428" t="s">
        <v>152</v>
      </c>
      <c r="V532" s="428" t="s">
        <v>18</v>
      </c>
    </row>
    <row r="533" spans="1:22">
      <c r="A533" s="6"/>
      <c r="B533" s="216">
        <v>46246</v>
      </c>
      <c r="C533" s="216">
        <v>46246</v>
      </c>
      <c r="D533" s="428" t="s">
        <v>8706</v>
      </c>
      <c r="E533" s="389">
        <v>260103422258</v>
      </c>
      <c r="F533" s="428" t="s">
        <v>87</v>
      </c>
      <c r="G533" s="428" t="s">
        <v>824</v>
      </c>
      <c r="H533" s="428">
        <v>152</v>
      </c>
      <c r="I533" s="428">
        <v>102</v>
      </c>
      <c r="J533" s="369">
        <v>102</v>
      </c>
      <c r="K533" s="428">
        <v>104</v>
      </c>
      <c r="L533" s="217">
        <v>660</v>
      </c>
      <c r="M533" s="428" t="s">
        <v>153</v>
      </c>
      <c r="N533" s="428" t="s">
        <v>149</v>
      </c>
      <c r="O533" s="428" t="s">
        <v>154</v>
      </c>
      <c r="P533" s="428" t="s">
        <v>151</v>
      </c>
      <c r="Q533" s="428" t="s">
        <v>155</v>
      </c>
      <c r="R533" s="428" t="s">
        <v>8707</v>
      </c>
      <c r="S533" s="428"/>
      <c r="T533" s="428" t="s">
        <v>2824</v>
      </c>
      <c r="U533" s="428" t="s">
        <v>152</v>
      </c>
      <c r="V533" s="428" t="s">
        <v>18</v>
      </c>
    </row>
    <row r="534" spans="1:22">
      <c r="A534" s="6"/>
      <c r="B534" s="216">
        <v>46246</v>
      </c>
      <c r="C534" s="216">
        <v>46246</v>
      </c>
      <c r="D534" s="428" t="s">
        <v>8708</v>
      </c>
      <c r="E534" s="389">
        <v>260103922338</v>
      </c>
      <c r="F534" s="428" t="s">
        <v>87</v>
      </c>
      <c r="G534" s="428" t="s">
        <v>8229</v>
      </c>
      <c r="H534" s="428">
        <v>132</v>
      </c>
      <c r="I534" s="428">
        <v>163</v>
      </c>
      <c r="J534" s="369">
        <v>163</v>
      </c>
      <c r="K534" s="428">
        <v>92</v>
      </c>
      <c r="L534" s="217">
        <v>1400</v>
      </c>
      <c r="M534" s="428" t="s">
        <v>153</v>
      </c>
      <c r="N534" s="428" t="s">
        <v>149</v>
      </c>
      <c r="O534" s="428" t="s">
        <v>154</v>
      </c>
      <c r="P534" s="428" t="s">
        <v>151</v>
      </c>
      <c r="Q534" s="428" t="s">
        <v>155</v>
      </c>
      <c r="R534" s="428" t="s">
        <v>8709</v>
      </c>
      <c r="S534" s="428"/>
      <c r="T534" s="428" t="s">
        <v>2824</v>
      </c>
      <c r="U534" s="428" t="s">
        <v>152</v>
      </c>
      <c r="V534" s="428" t="s">
        <v>18</v>
      </c>
    </row>
    <row r="535" spans="1:22">
      <c r="A535" s="6"/>
      <c r="B535" s="216">
        <v>46246</v>
      </c>
      <c r="C535" s="216">
        <v>46246</v>
      </c>
      <c r="D535" s="428" t="s">
        <v>8710</v>
      </c>
      <c r="E535" s="389">
        <v>260105822310</v>
      </c>
      <c r="F535" s="428" t="s">
        <v>87</v>
      </c>
      <c r="G535" s="428" t="s">
        <v>824</v>
      </c>
      <c r="H535" s="428">
        <v>152</v>
      </c>
      <c r="I535" s="428">
        <v>250</v>
      </c>
      <c r="J535" s="369">
        <v>250</v>
      </c>
      <c r="K535" s="428">
        <v>104</v>
      </c>
      <c r="L535" s="217">
        <v>1660</v>
      </c>
      <c r="M535" s="428" t="s">
        <v>153</v>
      </c>
      <c r="N535" s="428" t="s">
        <v>149</v>
      </c>
      <c r="O535" s="428" t="s">
        <v>154</v>
      </c>
      <c r="P535" s="428" t="s">
        <v>151</v>
      </c>
      <c r="Q535" s="428" t="s">
        <v>155</v>
      </c>
      <c r="R535" s="428" t="s">
        <v>8711</v>
      </c>
      <c r="S535" s="428"/>
      <c r="T535" s="428" t="s">
        <v>2824</v>
      </c>
      <c r="U535" s="428" t="s">
        <v>152</v>
      </c>
      <c r="V535" s="428" t="s">
        <v>18</v>
      </c>
    </row>
    <row r="536" spans="1:22">
      <c r="A536" s="6"/>
      <c r="B536" s="216">
        <v>46246</v>
      </c>
      <c r="C536" s="216">
        <v>46246</v>
      </c>
      <c r="D536" s="428" t="s">
        <v>8712</v>
      </c>
      <c r="E536" s="389">
        <v>260102822321</v>
      </c>
      <c r="F536" s="428" t="s">
        <v>87</v>
      </c>
      <c r="G536" s="428" t="s">
        <v>8032</v>
      </c>
      <c r="H536" s="428">
        <v>102</v>
      </c>
      <c r="I536" s="428">
        <v>333</v>
      </c>
      <c r="J536" s="369">
        <v>333</v>
      </c>
      <c r="K536" s="428">
        <v>130</v>
      </c>
      <c r="L536" s="217">
        <v>1310</v>
      </c>
      <c r="M536" s="428" t="s">
        <v>153</v>
      </c>
      <c r="N536" s="428" t="s">
        <v>149</v>
      </c>
      <c r="O536" s="428" t="s">
        <v>154</v>
      </c>
      <c r="P536" s="428" t="s">
        <v>151</v>
      </c>
      <c r="Q536" s="428" t="s">
        <v>155</v>
      </c>
      <c r="R536" s="428" t="s">
        <v>8713</v>
      </c>
      <c r="S536" s="428"/>
      <c r="T536" s="428" t="s">
        <v>8714</v>
      </c>
      <c r="U536" s="428" t="s">
        <v>152</v>
      </c>
      <c r="V536" s="428" t="s">
        <v>18</v>
      </c>
    </row>
    <row r="537" spans="1:22">
      <c r="A537" s="6"/>
      <c r="B537" s="216">
        <v>46246</v>
      </c>
      <c r="C537" s="216">
        <v>46246</v>
      </c>
      <c r="D537" s="428" t="s">
        <v>8715</v>
      </c>
      <c r="E537" s="389">
        <v>260103922337</v>
      </c>
      <c r="F537" s="428" t="s">
        <v>87</v>
      </c>
      <c r="G537" s="428" t="s">
        <v>8229</v>
      </c>
      <c r="H537" s="428">
        <v>132</v>
      </c>
      <c r="I537" s="428">
        <v>160</v>
      </c>
      <c r="J537" s="369">
        <v>160</v>
      </c>
      <c r="K537" s="428">
        <v>92</v>
      </c>
      <c r="L537" s="217">
        <v>1400</v>
      </c>
      <c r="M537" s="428" t="s">
        <v>153</v>
      </c>
      <c r="N537" s="428" t="s">
        <v>149</v>
      </c>
      <c r="O537" s="428" t="s">
        <v>154</v>
      </c>
      <c r="P537" s="428" t="s">
        <v>151</v>
      </c>
      <c r="Q537" s="428" t="s">
        <v>155</v>
      </c>
      <c r="R537" s="428" t="s">
        <v>8716</v>
      </c>
      <c r="S537" s="428"/>
      <c r="T537" s="428" t="s">
        <v>8714</v>
      </c>
      <c r="U537" s="428" t="s">
        <v>152</v>
      </c>
      <c r="V537" s="428" t="s">
        <v>18</v>
      </c>
    </row>
    <row r="538" spans="1:22">
      <c r="A538" s="6"/>
      <c r="B538" s="216">
        <v>46246</v>
      </c>
      <c r="C538" s="216">
        <v>46246</v>
      </c>
      <c r="D538" s="428" t="s">
        <v>8717</v>
      </c>
      <c r="E538" s="389">
        <v>260103822339</v>
      </c>
      <c r="F538" s="428" t="s">
        <v>87</v>
      </c>
      <c r="G538" s="428" t="s">
        <v>824</v>
      </c>
      <c r="H538" s="428">
        <v>152</v>
      </c>
      <c r="I538" s="428">
        <v>285</v>
      </c>
      <c r="J538" s="369">
        <v>285</v>
      </c>
      <c r="K538" s="428">
        <v>104</v>
      </c>
      <c r="L538" s="217">
        <v>1900</v>
      </c>
      <c r="M538" s="428" t="s">
        <v>153</v>
      </c>
      <c r="N538" s="428" t="s">
        <v>149</v>
      </c>
      <c r="O538" s="428" t="s">
        <v>154</v>
      </c>
      <c r="P538" s="428" t="s">
        <v>151</v>
      </c>
      <c r="Q538" s="428" t="s">
        <v>155</v>
      </c>
      <c r="R538" s="428" t="s">
        <v>8718</v>
      </c>
      <c r="S538" s="428"/>
      <c r="T538" s="428" t="s">
        <v>8714</v>
      </c>
      <c r="U538" s="428" t="s">
        <v>152</v>
      </c>
      <c r="V538" s="428" t="s">
        <v>18</v>
      </c>
    </row>
    <row r="539" spans="1:22">
      <c r="A539" s="6"/>
      <c r="B539" s="216">
        <v>46246</v>
      </c>
      <c r="C539" s="216">
        <v>46246</v>
      </c>
      <c r="D539" s="428" t="s">
        <v>8719</v>
      </c>
      <c r="E539" s="389">
        <v>260103422341</v>
      </c>
      <c r="F539" s="428" t="s">
        <v>87</v>
      </c>
      <c r="G539" s="428" t="s">
        <v>824</v>
      </c>
      <c r="H539" s="428">
        <v>152</v>
      </c>
      <c r="I539" s="428">
        <v>160</v>
      </c>
      <c r="J539" s="369">
        <v>160</v>
      </c>
      <c r="K539" s="428">
        <v>104</v>
      </c>
      <c r="L539" s="217">
        <v>1050</v>
      </c>
      <c r="M539" s="428" t="s">
        <v>153</v>
      </c>
      <c r="N539" s="428" t="s">
        <v>149</v>
      </c>
      <c r="O539" s="428" t="s">
        <v>154</v>
      </c>
      <c r="P539" s="428" t="s">
        <v>151</v>
      </c>
      <c r="Q539" s="428" t="s">
        <v>155</v>
      </c>
      <c r="R539" s="428" t="s">
        <v>8720</v>
      </c>
      <c r="S539" s="428"/>
      <c r="T539" s="428" t="s">
        <v>8714</v>
      </c>
      <c r="U539" s="428" t="s">
        <v>152</v>
      </c>
      <c r="V539" s="428" t="s">
        <v>18</v>
      </c>
    </row>
    <row r="540" spans="1:22">
      <c r="A540" s="6"/>
      <c r="B540" s="216">
        <v>46246</v>
      </c>
      <c r="C540" s="216">
        <v>46246</v>
      </c>
      <c r="D540" s="428" t="s">
        <v>8721</v>
      </c>
      <c r="E540" s="389">
        <v>260103422342</v>
      </c>
      <c r="F540" s="428" t="s">
        <v>87</v>
      </c>
      <c r="G540" s="428" t="s">
        <v>824</v>
      </c>
      <c r="H540" s="428">
        <v>152</v>
      </c>
      <c r="I540" s="428">
        <v>160</v>
      </c>
      <c r="J540" s="369">
        <v>160</v>
      </c>
      <c r="K540" s="428">
        <v>104</v>
      </c>
      <c r="L540" s="217">
        <v>1050</v>
      </c>
      <c r="M540" s="428" t="s">
        <v>153</v>
      </c>
      <c r="N540" s="428" t="s">
        <v>149</v>
      </c>
      <c r="O540" s="428" t="s">
        <v>154</v>
      </c>
      <c r="P540" s="428" t="s">
        <v>151</v>
      </c>
      <c r="Q540" s="428" t="s">
        <v>155</v>
      </c>
      <c r="R540" s="428" t="s">
        <v>8722</v>
      </c>
      <c r="S540" s="428"/>
      <c r="T540" s="428" t="s">
        <v>8714</v>
      </c>
      <c r="U540" s="428" t="s">
        <v>152</v>
      </c>
      <c r="V540" s="428" t="s">
        <v>18</v>
      </c>
    </row>
    <row r="541" spans="1:22">
      <c r="A541" s="6"/>
      <c r="B541" s="216">
        <v>46246</v>
      </c>
      <c r="C541" s="216">
        <v>46246</v>
      </c>
      <c r="D541" s="428" t="s">
        <v>8723</v>
      </c>
      <c r="E541" s="389">
        <v>260100722377</v>
      </c>
      <c r="F541" s="428" t="s">
        <v>87</v>
      </c>
      <c r="G541" s="428" t="s">
        <v>7586</v>
      </c>
      <c r="H541" s="428">
        <v>132</v>
      </c>
      <c r="I541" s="428">
        <v>58</v>
      </c>
      <c r="J541" s="369">
        <v>58</v>
      </c>
      <c r="K541" s="428">
        <v>170</v>
      </c>
      <c r="L541" s="217">
        <v>135</v>
      </c>
      <c r="M541" s="428" t="s">
        <v>153</v>
      </c>
      <c r="N541" s="428" t="s">
        <v>149</v>
      </c>
      <c r="O541" s="428" t="s">
        <v>154</v>
      </c>
      <c r="P541" s="428" t="s">
        <v>151</v>
      </c>
      <c r="Q541" s="428" t="s">
        <v>155</v>
      </c>
      <c r="R541" s="428" t="s">
        <v>8724</v>
      </c>
      <c r="S541" s="428"/>
      <c r="T541" s="428" t="s">
        <v>8714</v>
      </c>
      <c r="U541" s="428" t="s">
        <v>152</v>
      </c>
      <c r="V541" s="428" t="s">
        <v>18</v>
      </c>
    </row>
    <row r="542" spans="1:22">
      <c r="A542" s="6"/>
      <c r="B542" s="216">
        <v>46246</v>
      </c>
      <c r="C542" s="216">
        <v>46246</v>
      </c>
      <c r="D542" s="428" t="s">
        <v>8725</v>
      </c>
      <c r="E542" s="389">
        <v>260102422346</v>
      </c>
      <c r="F542" s="428" t="s">
        <v>87</v>
      </c>
      <c r="G542" s="428" t="s">
        <v>8032</v>
      </c>
      <c r="H542" s="428">
        <v>102</v>
      </c>
      <c r="I542" s="428">
        <v>256</v>
      </c>
      <c r="J542" s="369">
        <v>256</v>
      </c>
      <c r="K542" s="428">
        <v>130</v>
      </c>
      <c r="L542" s="217">
        <v>1000</v>
      </c>
      <c r="M542" s="428" t="s">
        <v>153</v>
      </c>
      <c r="N542" s="428" t="s">
        <v>149</v>
      </c>
      <c r="O542" s="428" t="s">
        <v>154</v>
      </c>
      <c r="P542" s="428" t="s">
        <v>151</v>
      </c>
      <c r="Q542" s="428" t="s">
        <v>155</v>
      </c>
      <c r="R542" s="428" t="s">
        <v>8726</v>
      </c>
      <c r="S542" s="428"/>
      <c r="T542" s="428" t="s">
        <v>8714</v>
      </c>
      <c r="U542" s="428" t="s">
        <v>152</v>
      </c>
      <c r="V542" s="428" t="s">
        <v>18</v>
      </c>
    </row>
    <row r="543" spans="1:22">
      <c r="A543" s="6"/>
      <c r="B543" s="216">
        <v>46246</v>
      </c>
      <c r="C543" s="216">
        <v>46246</v>
      </c>
      <c r="D543" s="428" t="s">
        <v>8727</v>
      </c>
      <c r="E543" s="389">
        <v>260107822363</v>
      </c>
      <c r="F543" s="428" t="s">
        <v>87</v>
      </c>
      <c r="G543" s="428" t="s">
        <v>2309</v>
      </c>
      <c r="H543" s="428">
        <v>132</v>
      </c>
      <c r="I543" s="428">
        <v>311</v>
      </c>
      <c r="J543" s="369">
        <v>311</v>
      </c>
      <c r="K543" s="428">
        <v>92</v>
      </c>
      <c r="L543" s="217">
        <v>2660</v>
      </c>
      <c r="M543" s="428" t="s">
        <v>153</v>
      </c>
      <c r="N543" s="428" t="s">
        <v>149</v>
      </c>
      <c r="O543" s="428" t="s">
        <v>154</v>
      </c>
      <c r="P543" s="428" t="s">
        <v>151</v>
      </c>
      <c r="Q543" s="428" t="s">
        <v>155</v>
      </c>
      <c r="R543" s="428" t="s">
        <v>8728</v>
      </c>
      <c r="S543" s="428"/>
      <c r="T543" s="428" t="s">
        <v>8714</v>
      </c>
      <c r="U543" s="428" t="s">
        <v>152</v>
      </c>
      <c r="V543" s="428" t="s">
        <v>18</v>
      </c>
    </row>
    <row r="544" spans="1:22">
      <c r="A544" s="6"/>
      <c r="B544" s="216">
        <v>46246</v>
      </c>
      <c r="C544" s="216">
        <v>46246</v>
      </c>
      <c r="D544" s="428" t="s">
        <v>8729</v>
      </c>
      <c r="E544" s="389">
        <v>260101522320</v>
      </c>
      <c r="F544" s="428" t="s">
        <v>87</v>
      </c>
      <c r="G544" s="428" t="s">
        <v>2419</v>
      </c>
      <c r="H544" s="428">
        <v>92</v>
      </c>
      <c r="I544" s="428">
        <v>389</v>
      </c>
      <c r="J544" s="369">
        <v>389</v>
      </c>
      <c r="K544" s="428">
        <v>180</v>
      </c>
      <c r="L544" s="217">
        <v>1180</v>
      </c>
      <c r="M544" s="428" t="s">
        <v>153</v>
      </c>
      <c r="N544" s="428" t="s">
        <v>149</v>
      </c>
      <c r="O544" s="428" t="s">
        <v>154</v>
      </c>
      <c r="P544" s="428" t="s">
        <v>151</v>
      </c>
      <c r="Q544" s="428" t="s">
        <v>155</v>
      </c>
      <c r="R544" s="428" t="s">
        <v>8730</v>
      </c>
      <c r="S544" s="428"/>
      <c r="T544" s="428" t="s">
        <v>8714</v>
      </c>
      <c r="U544" s="428" t="s">
        <v>152</v>
      </c>
      <c r="V544" s="428" t="s">
        <v>18</v>
      </c>
    </row>
    <row r="545" spans="1:22">
      <c r="A545" s="6"/>
      <c r="B545" s="216">
        <v>46246</v>
      </c>
      <c r="C545" s="216">
        <v>46246</v>
      </c>
      <c r="D545" s="428" t="s">
        <v>8731</v>
      </c>
      <c r="E545" s="389">
        <v>260103622343</v>
      </c>
      <c r="F545" s="428" t="s">
        <v>87</v>
      </c>
      <c r="G545" s="428" t="s">
        <v>2360</v>
      </c>
      <c r="H545" s="428">
        <v>135</v>
      </c>
      <c r="I545" s="428">
        <v>150</v>
      </c>
      <c r="J545" s="369">
        <v>150</v>
      </c>
      <c r="K545" s="428">
        <v>87</v>
      </c>
      <c r="L545" s="217">
        <v>1320</v>
      </c>
      <c r="M545" s="428" t="s">
        <v>153</v>
      </c>
      <c r="N545" s="428" t="s">
        <v>149</v>
      </c>
      <c r="O545" s="428" t="s">
        <v>154</v>
      </c>
      <c r="P545" s="428" t="s">
        <v>151</v>
      </c>
      <c r="Q545" s="428" t="s">
        <v>155</v>
      </c>
      <c r="R545" s="428" t="s">
        <v>8732</v>
      </c>
      <c r="S545" s="428"/>
      <c r="T545" s="428" t="s">
        <v>8714</v>
      </c>
      <c r="U545" s="428" t="s">
        <v>152</v>
      </c>
      <c r="V545" s="428" t="s">
        <v>18</v>
      </c>
    </row>
    <row r="546" spans="1:22">
      <c r="A546" s="6"/>
      <c r="B546" s="216">
        <v>46246</v>
      </c>
      <c r="C546" s="216">
        <v>46246</v>
      </c>
      <c r="D546" s="428" t="s">
        <v>8733</v>
      </c>
      <c r="E546" s="389">
        <v>260103622344</v>
      </c>
      <c r="F546" s="428" t="s">
        <v>87</v>
      </c>
      <c r="G546" s="428" t="s">
        <v>2360</v>
      </c>
      <c r="H546" s="428">
        <v>135</v>
      </c>
      <c r="I546" s="428">
        <v>150</v>
      </c>
      <c r="J546" s="369">
        <v>150</v>
      </c>
      <c r="K546" s="428">
        <v>87</v>
      </c>
      <c r="L546" s="217">
        <v>1320</v>
      </c>
      <c r="M546" s="428" t="s">
        <v>153</v>
      </c>
      <c r="N546" s="428" t="s">
        <v>149</v>
      </c>
      <c r="O546" s="428" t="s">
        <v>154</v>
      </c>
      <c r="P546" s="428" t="s">
        <v>151</v>
      </c>
      <c r="Q546" s="428" t="s">
        <v>155</v>
      </c>
      <c r="R546" s="428" t="s">
        <v>8734</v>
      </c>
      <c r="S546" s="428"/>
      <c r="T546" s="428" t="s">
        <v>8714</v>
      </c>
      <c r="U546" s="428" t="s">
        <v>152</v>
      </c>
      <c r="V546" s="428" t="s">
        <v>18</v>
      </c>
    </row>
    <row r="547" spans="1:22">
      <c r="A547" s="6"/>
      <c r="B547" s="216">
        <v>46246</v>
      </c>
      <c r="C547" s="216">
        <v>46246</v>
      </c>
      <c r="D547" s="428" t="s">
        <v>8735</v>
      </c>
      <c r="E547" s="428">
        <v>260101622348</v>
      </c>
      <c r="F547" s="428" t="s">
        <v>87</v>
      </c>
      <c r="G547" s="428" t="s">
        <v>2079</v>
      </c>
      <c r="H547" s="428">
        <v>112</v>
      </c>
      <c r="I547" s="428">
        <v>396</v>
      </c>
      <c r="J547" s="369">
        <v>396</v>
      </c>
      <c r="K547" s="428">
        <v>180</v>
      </c>
      <c r="L547" s="217">
        <v>1000</v>
      </c>
      <c r="M547" s="428" t="s">
        <v>153</v>
      </c>
      <c r="N547" s="428" t="s">
        <v>149</v>
      </c>
      <c r="O547" s="428" t="s">
        <v>154</v>
      </c>
      <c r="P547" s="428" t="s">
        <v>151</v>
      </c>
      <c r="Q547" s="428" t="s">
        <v>155</v>
      </c>
      <c r="R547" s="428" t="s">
        <v>8736</v>
      </c>
      <c r="S547" s="428"/>
      <c r="T547" s="428" t="s">
        <v>8714</v>
      </c>
      <c r="U547" s="428" t="s">
        <v>152</v>
      </c>
      <c r="V547" s="428" t="s">
        <v>18</v>
      </c>
    </row>
    <row r="548" spans="1:22">
      <c r="A548" s="6"/>
      <c r="B548" s="216">
        <v>46246</v>
      </c>
      <c r="C548" s="216">
        <v>46246</v>
      </c>
      <c r="D548" s="428" t="s">
        <v>8737</v>
      </c>
      <c r="E548" s="428">
        <v>260100722330</v>
      </c>
      <c r="F548" s="428" t="s">
        <v>87</v>
      </c>
      <c r="G548" s="428" t="s">
        <v>7586</v>
      </c>
      <c r="H548" s="428">
        <v>132</v>
      </c>
      <c r="I548" s="428">
        <v>241</v>
      </c>
      <c r="J548" s="369">
        <v>241</v>
      </c>
      <c r="K548" s="428">
        <v>170</v>
      </c>
      <c r="L548" s="217">
        <v>560</v>
      </c>
      <c r="M548" s="428" t="s">
        <v>153</v>
      </c>
      <c r="N548" s="428" t="s">
        <v>149</v>
      </c>
      <c r="O548" s="428" t="s">
        <v>154</v>
      </c>
      <c r="P548" s="428" t="s">
        <v>151</v>
      </c>
      <c r="Q548" s="428" t="s">
        <v>155</v>
      </c>
      <c r="R548" s="428" t="s">
        <v>8738</v>
      </c>
      <c r="S548" s="428"/>
      <c r="T548" s="428" t="s">
        <v>8714</v>
      </c>
      <c r="U548" s="428" t="s">
        <v>152</v>
      </c>
      <c r="V548" s="428" t="s">
        <v>18</v>
      </c>
    </row>
    <row r="549" spans="1:22">
      <c r="A549" s="6"/>
      <c r="B549" s="216">
        <v>46246</v>
      </c>
      <c r="C549" s="216">
        <v>46246</v>
      </c>
      <c r="D549" s="428" t="s">
        <v>8739</v>
      </c>
      <c r="E549" s="428">
        <v>260104622305</v>
      </c>
      <c r="F549" s="428" t="s">
        <v>87</v>
      </c>
      <c r="G549" s="428" t="s">
        <v>824</v>
      </c>
      <c r="H549" s="428">
        <v>152</v>
      </c>
      <c r="I549" s="428">
        <v>240</v>
      </c>
      <c r="J549" s="369">
        <v>240</v>
      </c>
      <c r="K549" s="428">
        <v>104</v>
      </c>
      <c r="L549" s="217">
        <v>1580</v>
      </c>
      <c r="M549" s="428" t="s">
        <v>153</v>
      </c>
      <c r="N549" s="428" t="s">
        <v>149</v>
      </c>
      <c r="O549" s="428" t="s">
        <v>154</v>
      </c>
      <c r="P549" s="428" t="s">
        <v>151</v>
      </c>
      <c r="Q549" s="428" t="s">
        <v>155</v>
      </c>
      <c r="R549" s="428" t="s">
        <v>8740</v>
      </c>
      <c r="S549" s="428"/>
      <c r="T549" s="428" t="s">
        <v>8714</v>
      </c>
      <c r="U549" s="428" t="s">
        <v>152</v>
      </c>
      <c r="V549" s="428" t="s">
        <v>18</v>
      </c>
    </row>
    <row r="550" spans="1:22">
      <c r="A550" s="6"/>
      <c r="B550" s="216">
        <v>46246</v>
      </c>
      <c r="C550" s="216">
        <v>46246</v>
      </c>
      <c r="D550" s="428" t="s">
        <v>8741</v>
      </c>
      <c r="E550" s="428">
        <v>260102922311</v>
      </c>
      <c r="F550" s="428" t="s">
        <v>87</v>
      </c>
      <c r="G550" s="428" t="s">
        <v>824</v>
      </c>
      <c r="H550" s="428">
        <v>152</v>
      </c>
      <c r="I550" s="428">
        <v>268</v>
      </c>
      <c r="J550" s="369">
        <v>268</v>
      </c>
      <c r="K550" s="428">
        <v>104</v>
      </c>
      <c r="L550" s="217">
        <v>1740</v>
      </c>
      <c r="M550" s="428" t="s">
        <v>153</v>
      </c>
      <c r="N550" s="428" t="s">
        <v>149</v>
      </c>
      <c r="O550" s="428" t="s">
        <v>154</v>
      </c>
      <c r="P550" s="428" t="s">
        <v>151</v>
      </c>
      <c r="Q550" s="428" t="s">
        <v>155</v>
      </c>
      <c r="R550" s="428" t="s">
        <v>8742</v>
      </c>
      <c r="S550" s="428"/>
      <c r="T550" s="428" t="s">
        <v>8714</v>
      </c>
      <c r="U550" s="428" t="s">
        <v>152</v>
      </c>
      <c r="V550" s="428" t="s">
        <v>18</v>
      </c>
    </row>
    <row r="551" spans="1:22">
      <c r="A551" s="6"/>
      <c r="B551" s="216">
        <v>46246</v>
      </c>
      <c r="C551" s="216">
        <v>46246</v>
      </c>
      <c r="D551" s="428" t="s">
        <v>8743</v>
      </c>
      <c r="E551" s="428">
        <v>260105222313</v>
      </c>
      <c r="F551" s="428" t="s">
        <v>87</v>
      </c>
      <c r="G551" s="428" t="s">
        <v>2527</v>
      </c>
      <c r="H551" s="428">
        <v>152</v>
      </c>
      <c r="I551" s="428">
        <v>282</v>
      </c>
      <c r="J551" s="369">
        <v>282</v>
      </c>
      <c r="K551" s="428">
        <v>104</v>
      </c>
      <c r="L551" s="217">
        <v>1840</v>
      </c>
      <c r="M551" s="428" t="s">
        <v>153</v>
      </c>
      <c r="N551" s="428" t="s">
        <v>149</v>
      </c>
      <c r="O551" s="428" t="s">
        <v>154</v>
      </c>
      <c r="P551" s="428" t="s">
        <v>151</v>
      </c>
      <c r="Q551" s="428" t="s">
        <v>155</v>
      </c>
      <c r="R551" s="428" t="s">
        <v>8744</v>
      </c>
      <c r="S551" s="428"/>
      <c r="T551" s="428" t="s">
        <v>8714</v>
      </c>
      <c r="U551" s="428" t="s">
        <v>152</v>
      </c>
      <c r="V551" s="428" t="s">
        <v>18</v>
      </c>
    </row>
    <row r="552" spans="1:22">
      <c r="A552" s="6"/>
      <c r="B552" s="216">
        <v>46246</v>
      </c>
      <c r="C552" s="216">
        <v>46246</v>
      </c>
      <c r="D552" s="428" t="s">
        <v>8745</v>
      </c>
      <c r="E552" s="428">
        <v>260102722345</v>
      </c>
      <c r="F552" s="428" t="s">
        <v>87</v>
      </c>
      <c r="G552" s="428" t="s">
        <v>8032</v>
      </c>
      <c r="H552" s="428">
        <v>102</v>
      </c>
      <c r="I552" s="428">
        <v>354</v>
      </c>
      <c r="J552" s="369">
        <v>354</v>
      </c>
      <c r="K552" s="428">
        <v>130</v>
      </c>
      <c r="L552" s="217">
        <v>1400</v>
      </c>
      <c r="M552" s="428" t="s">
        <v>153</v>
      </c>
      <c r="N552" s="428" t="s">
        <v>149</v>
      </c>
      <c r="O552" s="428" t="s">
        <v>154</v>
      </c>
      <c r="P552" s="428" t="s">
        <v>151</v>
      </c>
      <c r="Q552" s="428" t="s">
        <v>155</v>
      </c>
      <c r="R552" s="428" t="s">
        <v>8746</v>
      </c>
      <c r="S552" s="428"/>
      <c r="T552" s="428" t="s">
        <v>8714</v>
      </c>
      <c r="U552" s="428" t="s">
        <v>152</v>
      </c>
      <c r="V552" s="428" t="s">
        <v>18</v>
      </c>
    </row>
    <row r="553" spans="1:22">
      <c r="A553" s="6"/>
      <c r="B553" s="216">
        <v>46246</v>
      </c>
      <c r="C553" s="216">
        <v>46246</v>
      </c>
      <c r="D553" s="428" t="s">
        <v>8747</v>
      </c>
      <c r="E553" s="428">
        <v>260101422324</v>
      </c>
      <c r="F553" s="428" t="s">
        <v>87</v>
      </c>
      <c r="G553" s="428" t="s">
        <v>824</v>
      </c>
      <c r="H553" s="428">
        <v>152</v>
      </c>
      <c r="I553" s="428">
        <v>228</v>
      </c>
      <c r="J553" s="369">
        <v>228</v>
      </c>
      <c r="K553" s="428">
        <v>104</v>
      </c>
      <c r="L553" s="217">
        <v>1500</v>
      </c>
      <c r="M553" s="428" t="s">
        <v>153</v>
      </c>
      <c r="N553" s="428" t="s">
        <v>149</v>
      </c>
      <c r="O553" s="428" t="s">
        <v>154</v>
      </c>
      <c r="P553" s="428" t="s">
        <v>151</v>
      </c>
      <c r="Q553" s="428" t="s">
        <v>155</v>
      </c>
      <c r="R553" s="428" t="s">
        <v>8748</v>
      </c>
      <c r="S553" s="428"/>
      <c r="T553" s="428" t="s">
        <v>8714</v>
      </c>
      <c r="U553" s="428" t="s">
        <v>152</v>
      </c>
      <c r="V553" s="428" t="s">
        <v>18</v>
      </c>
    </row>
    <row r="554" spans="1:22">
      <c r="A554" s="6"/>
      <c r="B554" s="216">
        <v>46246</v>
      </c>
      <c r="C554" s="216">
        <v>46246</v>
      </c>
      <c r="D554" s="428" t="s">
        <v>8749</v>
      </c>
      <c r="E554" s="428">
        <v>260105822357</v>
      </c>
      <c r="F554" s="428" t="s">
        <v>87</v>
      </c>
      <c r="G554" s="428" t="s">
        <v>824</v>
      </c>
      <c r="H554" s="428">
        <v>152</v>
      </c>
      <c r="I554" s="428">
        <v>210</v>
      </c>
      <c r="J554" s="369">
        <v>210</v>
      </c>
      <c r="K554" s="428">
        <v>104</v>
      </c>
      <c r="L554" s="217">
        <v>1380</v>
      </c>
      <c r="M554" s="428" t="s">
        <v>153</v>
      </c>
      <c r="N554" s="428" t="s">
        <v>149</v>
      </c>
      <c r="O554" s="428" t="s">
        <v>154</v>
      </c>
      <c r="P554" s="428" t="s">
        <v>151</v>
      </c>
      <c r="Q554" s="428" t="s">
        <v>155</v>
      </c>
      <c r="R554" s="428" t="s">
        <v>8750</v>
      </c>
      <c r="S554" s="428"/>
      <c r="T554" s="428" t="s">
        <v>8714</v>
      </c>
      <c r="U554" s="428" t="s">
        <v>152</v>
      </c>
      <c r="V554" s="428" t="s">
        <v>18</v>
      </c>
    </row>
    <row r="555" spans="1:22">
      <c r="A555" s="6"/>
      <c r="B555" s="216">
        <v>46246</v>
      </c>
      <c r="C555" s="216">
        <v>46246</v>
      </c>
      <c r="D555" s="428" t="s">
        <v>8751</v>
      </c>
      <c r="E555" s="428">
        <v>260105422360</v>
      </c>
      <c r="F555" s="428" t="s">
        <v>87</v>
      </c>
      <c r="G555" s="428" t="s">
        <v>8290</v>
      </c>
      <c r="H555" s="428">
        <v>140</v>
      </c>
      <c r="I555" s="428">
        <v>248</v>
      </c>
      <c r="J555" s="369">
        <v>248</v>
      </c>
      <c r="K555" s="428">
        <v>83</v>
      </c>
      <c r="L555" s="217">
        <v>2290</v>
      </c>
      <c r="M555" s="428" t="s">
        <v>153</v>
      </c>
      <c r="N555" s="428" t="s">
        <v>149</v>
      </c>
      <c r="O555" s="428" t="s">
        <v>154</v>
      </c>
      <c r="P555" s="428" t="s">
        <v>151</v>
      </c>
      <c r="Q555" s="428" t="s">
        <v>155</v>
      </c>
      <c r="R555" s="428" t="s">
        <v>8752</v>
      </c>
      <c r="S555" s="428"/>
      <c r="T555" s="428" t="s">
        <v>8714</v>
      </c>
      <c r="U555" s="428" t="s">
        <v>152</v>
      </c>
      <c r="V555" s="428" t="s">
        <v>18</v>
      </c>
    </row>
    <row r="556" spans="1:22">
      <c r="A556" s="6"/>
      <c r="B556" s="216">
        <v>46246</v>
      </c>
      <c r="C556" s="216">
        <v>46246</v>
      </c>
      <c r="D556" s="428" t="s">
        <v>8753</v>
      </c>
      <c r="E556" s="428">
        <v>260106222307</v>
      </c>
      <c r="F556" s="428" t="s">
        <v>87</v>
      </c>
      <c r="G556" s="428" t="s">
        <v>824</v>
      </c>
      <c r="H556" s="428">
        <v>182</v>
      </c>
      <c r="I556" s="428">
        <v>240</v>
      </c>
      <c r="J556" s="369">
        <v>240</v>
      </c>
      <c r="K556" s="428">
        <v>104</v>
      </c>
      <c r="L556" s="217">
        <v>1330</v>
      </c>
      <c r="M556" s="428" t="s">
        <v>153</v>
      </c>
      <c r="N556" s="428" t="s">
        <v>149</v>
      </c>
      <c r="O556" s="428" t="s">
        <v>154</v>
      </c>
      <c r="P556" s="428" t="s">
        <v>151</v>
      </c>
      <c r="Q556" s="428" t="s">
        <v>155</v>
      </c>
      <c r="R556" s="428" t="s">
        <v>8754</v>
      </c>
      <c r="S556" s="428"/>
      <c r="T556" s="428" t="s">
        <v>8714</v>
      </c>
      <c r="U556" s="428" t="s">
        <v>152</v>
      </c>
      <c r="V556" s="428" t="s">
        <v>18</v>
      </c>
    </row>
    <row r="557" spans="1:22">
      <c r="A557" s="6"/>
      <c r="B557" s="216">
        <v>46246</v>
      </c>
      <c r="C557" s="216">
        <v>46246</v>
      </c>
      <c r="D557" s="428" t="s">
        <v>8755</v>
      </c>
      <c r="E557" s="428">
        <v>260106922371</v>
      </c>
      <c r="F557" s="428" t="s">
        <v>87</v>
      </c>
      <c r="G557" s="428" t="s">
        <v>7928</v>
      </c>
      <c r="H557" s="428">
        <v>135</v>
      </c>
      <c r="I557" s="428">
        <v>337</v>
      </c>
      <c r="J557" s="369">
        <v>337</v>
      </c>
      <c r="K557" s="428">
        <v>107</v>
      </c>
      <c r="L557" s="217">
        <v>2410</v>
      </c>
      <c r="M557" s="428" t="s">
        <v>153</v>
      </c>
      <c r="N557" s="428" t="s">
        <v>149</v>
      </c>
      <c r="O557" s="428" t="s">
        <v>154</v>
      </c>
      <c r="P557" s="428" t="s">
        <v>151</v>
      </c>
      <c r="Q557" s="428" t="s">
        <v>155</v>
      </c>
      <c r="R557" s="428" t="s">
        <v>8756</v>
      </c>
      <c r="S557" s="428"/>
      <c r="T557" s="428" t="s">
        <v>8714</v>
      </c>
      <c r="U557" s="428" t="s">
        <v>152</v>
      </c>
      <c r="V557" s="428" t="s">
        <v>18</v>
      </c>
    </row>
    <row r="558" spans="1:22">
      <c r="A558" s="6"/>
      <c r="B558" s="216">
        <v>46246</v>
      </c>
      <c r="C558" s="216">
        <v>46246</v>
      </c>
      <c r="D558" s="428" t="s">
        <v>8757</v>
      </c>
      <c r="E558" s="428">
        <v>260102922312</v>
      </c>
      <c r="F558" s="428" t="s">
        <v>87</v>
      </c>
      <c r="G558" s="428" t="s">
        <v>824</v>
      </c>
      <c r="H558" s="428">
        <v>152</v>
      </c>
      <c r="I558" s="428">
        <v>262</v>
      </c>
      <c r="J558" s="369">
        <v>262</v>
      </c>
      <c r="K558" s="428">
        <v>104</v>
      </c>
      <c r="L558" s="217">
        <v>1740</v>
      </c>
      <c r="M558" s="428" t="s">
        <v>153</v>
      </c>
      <c r="N558" s="428" t="s">
        <v>149</v>
      </c>
      <c r="O558" s="428" t="s">
        <v>154</v>
      </c>
      <c r="P558" s="428" t="s">
        <v>151</v>
      </c>
      <c r="Q558" s="428" t="s">
        <v>155</v>
      </c>
      <c r="R558" s="428" t="s">
        <v>8758</v>
      </c>
      <c r="S558" s="428"/>
      <c r="T558" s="428" t="s">
        <v>8714</v>
      </c>
      <c r="U558" s="428" t="s">
        <v>152</v>
      </c>
      <c r="V558" s="428" t="s">
        <v>18</v>
      </c>
    </row>
    <row r="559" spans="1:22">
      <c r="A559" s="6"/>
      <c r="B559" s="216">
        <v>46246</v>
      </c>
      <c r="C559" s="216">
        <v>46246</v>
      </c>
      <c r="D559" s="428" t="s">
        <v>8759</v>
      </c>
      <c r="E559" s="428">
        <v>260105322308</v>
      </c>
      <c r="F559" s="428" t="s">
        <v>87</v>
      </c>
      <c r="G559" s="428" t="s">
        <v>824</v>
      </c>
      <c r="H559" s="428">
        <v>152</v>
      </c>
      <c r="I559" s="428">
        <v>297</v>
      </c>
      <c r="J559" s="369">
        <v>297</v>
      </c>
      <c r="K559" s="428">
        <v>104</v>
      </c>
      <c r="L559" s="217">
        <v>2000</v>
      </c>
      <c r="M559" s="428" t="s">
        <v>153</v>
      </c>
      <c r="N559" s="428" t="s">
        <v>149</v>
      </c>
      <c r="O559" s="428" t="s">
        <v>154</v>
      </c>
      <c r="P559" s="428" t="s">
        <v>151</v>
      </c>
      <c r="Q559" s="428" t="s">
        <v>155</v>
      </c>
      <c r="R559" s="428" t="s">
        <v>8760</v>
      </c>
      <c r="S559" s="428"/>
      <c r="T559" s="428" t="s">
        <v>8714</v>
      </c>
      <c r="U559" s="428" t="s">
        <v>152</v>
      </c>
      <c r="V559" s="428" t="s">
        <v>18</v>
      </c>
    </row>
    <row r="560" spans="1:22">
      <c r="A560" s="6"/>
      <c r="B560" s="216">
        <v>46246</v>
      </c>
      <c r="C560" s="216">
        <v>46246</v>
      </c>
      <c r="D560" s="428" t="s">
        <v>8761</v>
      </c>
      <c r="E560" s="428">
        <v>260105022309</v>
      </c>
      <c r="F560" s="428" t="s">
        <v>87</v>
      </c>
      <c r="G560" s="428" t="s">
        <v>2407</v>
      </c>
      <c r="H560" s="428">
        <v>160</v>
      </c>
      <c r="I560" s="428">
        <v>274</v>
      </c>
      <c r="J560" s="369">
        <v>274</v>
      </c>
      <c r="K560" s="428">
        <v>102</v>
      </c>
      <c r="L560" s="217">
        <v>1740</v>
      </c>
      <c r="M560" s="428" t="s">
        <v>153</v>
      </c>
      <c r="N560" s="428" t="s">
        <v>149</v>
      </c>
      <c r="O560" s="428" t="s">
        <v>154</v>
      </c>
      <c r="P560" s="428" t="s">
        <v>151</v>
      </c>
      <c r="Q560" s="428" t="s">
        <v>155</v>
      </c>
      <c r="R560" s="428" t="s">
        <v>8762</v>
      </c>
      <c r="S560" s="428"/>
      <c r="T560" s="428" t="s">
        <v>8714</v>
      </c>
      <c r="U560" s="428" t="s">
        <v>152</v>
      </c>
      <c r="V560" s="428" t="s">
        <v>18</v>
      </c>
    </row>
    <row r="561" spans="1:22">
      <c r="A561" s="6"/>
      <c r="B561" s="216">
        <v>46246</v>
      </c>
      <c r="C561" s="216">
        <v>46246</v>
      </c>
      <c r="D561" s="428" t="s">
        <v>8763</v>
      </c>
      <c r="E561" s="428">
        <v>260101422322</v>
      </c>
      <c r="F561" s="428" t="s">
        <v>87</v>
      </c>
      <c r="G561" s="428" t="s">
        <v>824</v>
      </c>
      <c r="H561" s="428">
        <v>152</v>
      </c>
      <c r="I561" s="428">
        <v>230</v>
      </c>
      <c r="J561" s="369">
        <v>230</v>
      </c>
      <c r="K561" s="428">
        <v>104</v>
      </c>
      <c r="L561" s="217">
        <v>1500</v>
      </c>
      <c r="M561" s="428" t="s">
        <v>153</v>
      </c>
      <c r="N561" s="428" t="s">
        <v>149</v>
      </c>
      <c r="O561" s="428" t="s">
        <v>154</v>
      </c>
      <c r="P561" s="428" t="s">
        <v>151</v>
      </c>
      <c r="Q561" s="428" t="s">
        <v>155</v>
      </c>
      <c r="R561" s="428" t="s">
        <v>8764</v>
      </c>
      <c r="S561" s="428"/>
      <c r="T561" s="428" t="s">
        <v>8714</v>
      </c>
      <c r="U561" s="428" t="s">
        <v>152</v>
      </c>
      <c r="V561" s="428" t="s">
        <v>18</v>
      </c>
    </row>
    <row r="562" spans="1:22">
      <c r="A562" s="6"/>
      <c r="B562" s="216">
        <v>46246</v>
      </c>
      <c r="C562" s="216">
        <v>46246</v>
      </c>
      <c r="D562" s="428" t="s">
        <v>8765</v>
      </c>
      <c r="E562" s="428">
        <v>260101422323</v>
      </c>
      <c r="F562" s="428" t="s">
        <v>87</v>
      </c>
      <c r="G562" s="428" t="s">
        <v>824</v>
      </c>
      <c r="H562" s="428">
        <v>152</v>
      </c>
      <c r="I562" s="428">
        <v>229</v>
      </c>
      <c r="J562" s="369">
        <v>229</v>
      </c>
      <c r="K562" s="428">
        <v>104</v>
      </c>
      <c r="L562" s="217">
        <v>1500</v>
      </c>
      <c r="M562" s="428" t="s">
        <v>153</v>
      </c>
      <c r="N562" s="428" t="s">
        <v>149</v>
      </c>
      <c r="O562" s="428" t="s">
        <v>154</v>
      </c>
      <c r="P562" s="428" t="s">
        <v>151</v>
      </c>
      <c r="Q562" s="428" t="s">
        <v>155</v>
      </c>
      <c r="R562" s="428" t="s">
        <v>8766</v>
      </c>
      <c r="S562" s="428"/>
      <c r="T562" s="428" t="s">
        <v>8714</v>
      </c>
      <c r="U562" s="428" t="s">
        <v>152</v>
      </c>
      <c r="V562" s="428" t="s">
        <v>18</v>
      </c>
    </row>
    <row r="563" spans="1:22">
      <c r="A563" s="6"/>
      <c r="B563" s="216">
        <v>46246</v>
      </c>
      <c r="C563" s="216">
        <v>46246</v>
      </c>
      <c r="D563" s="428" t="s">
        <v>8767</v>
      </c>
      <c r="E563" s="428">
        <v>260103822340</v>
      </c>
      <c r="F563" s="428" t="s">
        <v>87</v>
      </c>
      <c r="G563" s="428" t="s">
        <v>824</v>
      </c>
      <c r="H563" s="428">
        <v>152</v>
      </c>
      <c r="I563" s="428">
        <v>285</v>
      </c>
      <c r="J563" s="369">
        <v>285</v>
      </c>
      <c r="K563" s="428">
        <v>104</v>
      </c>
      <c r="L563" s="217">
        <v>1900</v>
      </c>
      <c r="M563" s="428" t="s">
        <v>153</v>
      </c>
      <c r="N563" s="428" t="s">
        <v>149</v>
      </c>
      <c r="O563" s="428" t="s">
        <v>154</v>
      </c>
      <c r="P563" s="428" t="s">
        <v>151</v>
      </c>
      <c r="Q563" s="428" t="s">
        <v>155</v>
      </c>
      <c r="R563" s="428" t="s">
        <v>8768</v>
      </c>
      <c r="S563" s="428"/>
      <c r="T563" s="428" t="s">
        <v>8714</v>
      </c>
      <c r="U563" s="428" t="s">
        <v>152</v>
      </c>
      <c r="V563" s="428" t="s">
        <v>18</v>
      </c>
    </row>
    <row r="564" spans="1:22">
      <c r="A564" s="6"/>
      <c r="B564" s="216">
        <v>46246</v>
      </c>
      <c r="C564" s="216">
        <v>46246</v>
      </c>
      <c r="D564" s="428" t="s">
        <v>8769</v>
      </c>
      <c r="E564" s="428">
        <v>260105722359</v>
      </c>
      <c r="F564" s="428" t="s">
        <v>87</v>
      </c>
      <c r="G564" s="428" t="s">
        <v>8770</v>
      </c>
      <c r="H564" s="428">
        <v>142</v>
      </c>
      <c r="I564" s="428">
        <v>198</v>
      </c>
      <c r="J564" s="369">
        <v>198</v>
      </c>
      <c r="K564" s="428">
        <v>99</v>
      </c>
      <c r="L564" s="217">
        <v>1500</v>
      </c>
      <c r="M564" s="428" t="s">
        <v>153</v>
      </c>
      <c r="N564" s="428" t="s">
        <v>149</v>
      </c>
      <c r="O564" s="428" t="s">
        <v>154</v>
      </c>
      <c r="P564" s="428" t="s">
        <v>151</v>
      </c>
      <c r="Q564" s="428" t="s">
        <v>155</v>
      </c>
      <c r="R564" s="428" t="s">
        <v>8771</v>
      </c>
      <c r="S564" s="428"/>
      <c r="T564" s="428" t="s">
        <v>8714</v>
      </c>
      <c r="U564" s="428" t="s">
        <v>152</v>
      </c>
      <c r="V564" s="428" t="s">
        <v>18</v>
      </c>
    </row>
    <row r="565" spans="1:22">
      <c r="A565" s="6"/>
      <c r="B565" s="216">
        <v>46246</v>
      </c>
      <c r="C565" s="216">
        <v>46246</v>
      </c>
      <c r="D565" s="428" t="s">
        <v>8772</v>
      </c>
      <c r="E565" s="428">
        <v>260102322328</v>
      </c>
      <c r="F565" s="428" t="s">
        <v>87</v>
      </c>
      <c r="G565" s="428" t="s">
        <v>8032</v>
      </c>
      <c r="H565" s="428">
        <v>102</v>
      </c>
      <c r="I565" s="428">
        <v>258</v>
      </c>
      <c r="J565" s="369">
        <v>258</v>
      </c>
      <c r="K565" s="428">
        <v>130</v>
      </c>
      <c r="L565" s="217">
        <v>1000</v>
      </c>
      <c r="M565" s="428" t="s">
        <v>153</v>
      </c>
      <c r="N565" s="428" t="s">
        <v>149</v>
      </c>
      <c r="O565" s="428" t="s">
        <v>154</v>
      </c>
      <c r="P565" s="428" t="s">
        <v>151</v>
      </c>
      <c r="Q565" s="428" t="s">
        <v>155</v>
      </c>
      <c r="R565" s="428" t="s">
        <v>8773</v>
      </c>
      <c r="S565" s="428"/>
      <c r="T565" s="428" t="s">
        <v>8714</v>
      </c>
      <c r="U565" s="428" t="s">
        <v>152</v>
      </c>
      <c r="V565" s="428" t="s">
        <v>18</v>
      </c>
    </row>
    <row r="566" spans="1:22">
      <c r="A566" s="6"/>
      <c r="B566" s="216">
        <v>46246</v>
      </c>
      <c r="C566" s="216">
        <v>46246</v>
      </c>
      <c r="D566" s="428" t="s">
        <v>8774</v>
      </c>
      <c r="E566" s="428" t="s">
        <v>8775</v>
      </c>
      <c r="F566" s="428" t="s">
        <v>89</v>
      </c>
      <c r="G566" s="428" t="s">
        <v>8776</v>
      </c>
      <c r="H566" s="428">
        <v>92</v>
      </c>
      <c r="I566" s="428">
        <v>220.9</v>
      </c>
      <c r="J566" s="369">
        <v>220.9</v>
      </c>
      <c r="K566" s="428">
        <v>125</v>
      </c>
      <c r="L566" s="217">
        <v>1000</v>
      </c>
      <c r="M566" s="428" t="s">
        <v>153</v>
      </c>
      <c r="N566" s="428" t="s">
        <v>149</v>
      </c>
      <c r="O566" s="428" t="s">
        <v>154</v>
      </c>
      <c r="P566" s="428" t="s">
        <v>151</v>
      </c>
      <c r="Q566" s="428" t="s">
        <v>155</v>
      </c>
      <c r="R566" s="428" t="s">
        <v>8777</v>
      </c>
      <c r="S566" s="428"/>
      <c r="T566" s="428" t="s">
        <v>2830</v>
      </c>
      <c r="U566" s="428" t="s">
        <v>152</v>
      </c>
      <c r="V566" s="428" t="s">
        <v>18</v>
      </c>
    </row>
    <row r="567" spans="1:22">
      <c r="A567" s="6"/>
      <c r="B567" s="216">
        <v>46246</v>
      </c>
      <c r="C567" s="216">
        <v>46246</v>
      </c>
      <c r="D567" s="428" t="s">
        <v>8778</v>
      </c>
      <c r="E567" s="428" t="s">
        <v>8779</v>
      </c>
      <c r="F567" s="428" t="s">
        <v>89</v>
      </c>
      <c r="G567" s="428" t="s">
        <v>8776</v>
      </c>
      <c r="H567" s="428">
        <v>92</v>
      </c>
      <c r="I567" s="428">
        <v>222.5</v>
      </c>
      <c r="J567" s="369">
        <v>222.5</v>
      </c>
      <c r="K567" s="428">
        <v>125</v>
      </c>
      <c r="L567" s="217">
        <v>1000</v>
      </c>
      <c r="M567" s="428" t="s">
        <v>153</v>
      </c>
      <c r="N567" s="428" t="s">
        <v>149</v>
      </c>
      <c r="O567" s="428" t="s">
        <v>154</v>
      </c>
      <c r="P567" s="428" t="s">
        <v>151</v>
      </c>
      <c r="Q567" s="428" t="s">
        <v>155</v>
      </c>
      <c r="R567" s="428" t="s">
        <v>8777</v>
      </c>
      <c r="S567" s="428"/>
      <c r="T567" s="428" t="s">
        <v>2830</v>
      </c>
      <c r="U567" s="428" t="s">
        <v>152</v>
      </c>
      <c r="V567" s="428" t="s">
        <v>18</v>
      </c>
    </row>
    <row r="568" spans="1:22">
      <c r="A568" s="6"/>
      <c r="B568" s="216">
        <v>46246</v>
      </c>
      <c r="C568" s="216">
        <v>46246</v>
      </c>
      <c r="D568" s="428" t="s">
        <v>8780</v>
      </c>
      <c r="E568" s="428" t="s">
        <v>8781</v>
      </c>
      <c r="F568" s="428" t="s">
        <v>89</v>
      </c>
      <c r="G568" s="428" t="s">
        <v>8776</v>
      </c>
      <c r="H568" s="428">
        <v>92</v>
      </c>
      <c r="I568" s="428">
        <v>228.8</v>
      </c>
      <c r="J568" s="369">
        <v>228.8</v>
      </c>
      <c r="K568" s="428">
        <v>125</v>
      </c>
      <c r="L568" s="217">
        <v>1000</v>
      </c>
      <c r="M568" s="428" t="s">
        <v>153</v>
      </c>
      <c r="N568" s="428" t="s">
        <v>149</v>
      </c>
      <c r="O568" s="428" t="s">
        <v>154</v>
      </c>
      <c r="P568" s="428" t="s">
        <v>151</v>
      </c>
      <c r="Q568" s="428" t="s">
        <v>155</v>
      </c>
      <c r="R568" s="428" t="s">
        <v>8777</v>
      </c>
      <c r="S568" s="428"/>
      <c r="T568" s="428" t="s">
        <v>2830</v>
      </c>
      <c r="U568" s="428" t="s">
        <v>152</v>
      </c>
      <c r="V568" s="428" t="s">
        <v>18</v>
      </c>
    </row>
    <row r="569" spans="1:22">
      <c r="A569" s="6"/>
      <c r="B569" s="216">
        <v>46246</v>
      </c>
      <c r="C569" s="216">
        <v>46246</v>
      </c>
      <c r="D569" s="428" t="s">
        <v>8782</v>
      </c>
      <c r="E569" s="428" t="s">
        <v>8783</v>
      </c>
      <c r="F569" s="428" t="s">
        <v>89</v>
      </c>
      <c r="G569" s="428" t="s">
        <v>8776</v>
      </c>
      <c r="H569" s="428">
        <v>92</v>
      </c>
      <c r="I569" s="428">
        <v>220</v>
      </c>
      <c r="J569" s="369">
        <v>220</v>
      </c>
      <c r="K569" s="428">
        <v>125</v>
      </c>
      <c r="L569" s="217">
        <v>1000</v>
      </c>
      <c r="M569" s="428" t="s">
        <v>153</v>
      </c>
      <c r="N569" s="428" t="s">
        <v>149</v>
      </c>
      <c r="O569" s="428" t="s">
        <v>154</v>
      </c>
      <c r="P569" s="428" t="s">
        <v>151</v>
      </c>
      <c r="Q569" s="428" t="s">
        <v>155</v>
      </c>
      <c r="R569" s="428" t="s">
        <v>8777</v>
      </c>
      <c r="S569" s="428"/>
      <c r="T569" s="428" t="s">
        <v>2830</v>
      </c>
      <c r="U569" s="428" t="s">
        <v>152</v>
      </c>
      <c r="V569" s="428" t="s">
        <v>18</v>
      </c>
    </row>
    <row r="570" spans="1:22">
      <c r="A570" s="6"/>
      <c r="B570" s="216">
        <v>46246</v>
      </c>
      <c r="C570" s="216">
        <v>46246</v>
      </c>
      <c r="D570" s="428" t="s">
        <v>8784</v>
      </c>
      <c r="E570" s="428" t="s">
        <v>8785</v>
      </c>
      <c r="F570" s="428" t="s">
        <v>89</v>
      </c>
      <c r="G570" s="428" t="s">
        <v>8776</v>
      </c>
      <c r="H570" s="428">
        <v>92</v>
      </c>
      <c r="I570" s="428">
        <v>228.2</v>
      </c>
      <c r="J570" s="369">
        <v>228.2</v>
      </c>
      <c r="K570" s="428">
        <v>125</v>
      </c>
      <c r="L570" s="217">
        <v>1000</v>
      </c>
      <c r="M570" s="428" t="s">
        <v>153</v>
      </c>
      <c r="N570" s="428" t="s">
        <v>149</v>
      </c>
      <c r="O570" s="428" t="s">
        <v>154</v>
      </c>
      <c r="P570" s="428" t="s">
        <v>151</v>
      </c>
      <c r="Q570" s="428" t="s">
        <v>155</v>
      </c>
      <c r="R570" s="428" t="s">
        <v>8777</v>
      </c>
      <c r="S570" s="428"/>
      <c r="T570" s="428" t="s">
        <v>2830</v>
      </c>
      <c r="U570" s="428" t="s">
        <v>152</v>
      </c>
      <c r="V570" s="428" t="s">
        <v>18</v>
      </c>
    </row>
    <row r="571" spans="1:22">
      <c r="A571" s="6"/>
      <c r="B571" s="216">
        <v>46246</v>
      </c>
      <c r="C571" s="216">
        <v>46246</v>
      </c>
      <c r="D571" s="428" t="s">
        <v>8786</v>
      </c>
      <c r="E571" s="428" t="s">
        <v>8787</v>
      </c>
      <c r="F571" s="428" t="s">
        <v>89</v>
      </c>
      <c r="G571" s="428" t="s">
        <v>8776</v>
      </c>
      <c r="H571" s="428">
        <v>92</v>
      </c>
      <c r="I571" s="428">
        <v>229.4</v>
      </c>
      <c r="J571" s="369">
        <v>229.4</v>
      </c>
      <c r="K571" s="428">
        <v>125</v>
      </c>
      <c r="L571" s="217">
        <v>1000</v>
      </c>
      <c r="M571" s="428" t="s">
        <v>153</v>
      </c>
      <c r="N571" s="428" t="s">
        <v>149</v>
      </c>
      <c r="O571" s="428" t="s">
        <v>154</v>
      </c>
      <c r="P571" s="428" t="s">
        <v>151</v>
      </c>
      <c r="Q571" s="428" t="s">
        <v>155</v>
      </c>
      <c r="R571" s="428" t="s">
        <v>8777</v>
      </c>
      <c r="S571" s="428"/>
      <c r="T571" s="428" t="s">
        <v>2830</v>
      </c>
      <c r="U571" s="428" t="s">
        <v>152</v>
      </c>
      <c r="V571" s="428" t="s">
        <v>18</v>
      </c>
    </row>
    <row r="572" spans="1:22">
      <c r="A572" s="6"/>
      <c r="B572" s="216">
        <v>46246</v>
      </c>
      <c r="C572" s="216">
        <v>46246</v>
      </c>
      <c r="D572" s="428" t="s">
        <v>8788</v>
      </c>
      <c r="E572" s="428" t="s">
        <v>8789</v>
      </c>
      <c r="F572" s="428" t="s">
        <v>89</v>
      </c>
      <c r="G572" s="428" t="s">
        <v>8776</v>
      </c>
      <c r="H572" s="428">
        <v>92</v>
      </c>
      <c r="I572" s="428">
        <v>221</v>
      </c>
      <c r="J572" s="369">
        <v>221</v>
      </c>
      <c r="K572" s="428">
        <v>125</v>
      </c>
      <c r="L572" s="217">
        <v>1000</v>
      </c>
      <c r="M572" s="428" t="s">
        <v>153</v>
      </c>
      <c r="N572" s="428" t="s">
        <v>149</v>
      </c>
      <c r="O572" s="428" t="s">
        <v>154</v>
      </c>
      <c r="P572" s="428" t="s">
        <v>151</v>
      </c>
      <c r="Q572" s="428" t="s">
        <v>155</v>
      </c>
      <c r="R572" s="428" t="s">
        <v>8777</v>
      </c>
      <c r="S572" s="428"/>
      <c r="T572" s="428" t="s">
        <v>2830</v>
      </c>
      <c r="U572" s="428" t="s">
        <v>152</v>
      </c>
      <c r="V572" s="428" t="s">
        <v>18</v>
      </c>
    </row>
    <row r="573" spans="1:22">
      <c r="A573" s="6"/>
      <c r="B573" s="216">
        <v>46246</v>
      </c>
      <c r="C573" s="216">
        <v>46246</v>
      </c>
      <c r="D573" s="428" t="s">
        <v>8790</v>
      </c>
      <c r="E573" s="428" t="s">
        <v>8791</v>
      </c>
      <c r="F573" s="428" t="s">
        <v>89</v>
      </c>
      <c r="G573" s="428" t="s">
        <v>8776</v>
      </c>
      <c r="H573" s="428">
        <v>92</v>
      </c>
      <c r="I573" s="428">
        <v>226.7</v>
      </c>
      <c r="J573" s="369">
        <v>226.7</v>
      </c>
      <c r="K573" s="428">
        <v>125</v>
      </c>
      <c r="L573" s="217">
        <v>1000</v>
      </c>
      <c r="M573" s="428" t="s">
        <v>153</v>
      </c>
      <c r="N573" s="428" t="s">
        <v>149</v>
      </c>
      <c r="O573" s="428" t="s">
        <v>154</v>
      </c>
      <c r="P573" s="428" t="s">
        <v>151</v>
      </c>
      <c r="Q573" s="428" t="s">
        <v>155</v>
      </c>
      <c r="R573" s="428" t="s">
        <v>8777</v>
      </c>
      <c r="S573" s="428"/>
      <c r="T573" s="428" t="s">
        <v>2830</v>
      </c>
      <c r="U573" s="428" t="s">
        <v>152</v>
      </c>
      <c r="V573" s="428" t="s">
        <v>18</v>
      </c>
    </row>
    <row r="574" spans="1:22">
      <c r="A574" s="6"/>
      <c r="B574" s="216">
        <v>46246</v>
      </c>
      <c r="C574" s="216">
        <v>46246</v>
      </c>
      <c r="D574" s="428" t="s">
        <v>8792</v>
      </c>
      <c r="E574" s="428" t="s">
        <v>8793</v>
      </c>
      <c r="F574" s="428" t="s">
        <v>89</v>
      </c>
      <c r="G574" s="428" t="s">
        <v>8776</v>
      </c>
      <c r="H574" s="428">
        <v>92</v>
      </c>
      <c r="I574" s="428">
        <v>225.5</v>
      </c>
      <c r="J574" s="369">
        <v>225.5</v>
      </c>
      <c r="K574" s="428">
        <v>125</v>
      </c>
      <c r="L574" s="217">
        <v>1000</v>
      </c>
      <c r="M574" s="428" t="s">
        <v>153</v>
      </c>
      <c r="N574" s="428" t="s">
        <v>149</v>
      </c>
      <c r="O574" s="428" t="s">
        <v>154</v>
      </c>
      <c r="P574" s="428" t="s">
        <v>151</v>
      </c>
      <c r="Q574" s="428" t="s">
        <v>155</v>
      </c>
      <c r="R574" s="428" t="s">
        <v>8777</v>
      </c>
      <c r="S574" s="428"/>
      <c r="T574" s="428" t="s">
        <v>2830</v>
      </c>
      <c r="U574" s="428" t="s">
        <v>152</v>
      </c>
      <c r="V574" s="428" t="s">
        <v>18</v>
      </c>
    </row>
    <row r="575" spans="1:22">
      <c r="A575" s="6"/>
      <c r="B575" s="216">
        <v>46246</v>
      </c>
      <c r="C575" s="216">
        <v>46246</v>
      </c>
      <c r="D575" s="428" t="s">
        <v>8794</v>
      </c>
      <c r="E575" s="428" t="s">
        <v>8795</v>
      </c>
      <c r="F575" s="428" t="s">
        <v>89</v>
      </c>
      <c r="G575" s="428" t="s">
        <v>8776</v>
      </c>
      <c r="H575" s="428">
        <v>92</v>
      </c>
      <c r="I575" s="428">
        <v>225.4</v>
      </c>
      <c r="J575" s="369">
        <v>225.4</v>
      </c>
      <c r="K575" s="428">
        <v>125</v>
      </c>
      <c r="L575" s="217">
        <v>1000</v>
      </c>
      <c r="M575" s="428" t="s">
        <v>153</v>
      </c>
      <c r="N575" s="428" t="s">
        <v>149</v>
      </c>
      <c r="O575" s="428" t="s">
        <v>154</v>
      </c>
      <c r="P575" s="428" t="s">
        <v>151</v>
      </c>
      <c r="Q575" s="428" t="s">
        <v>155</v>
      </c>
      <c r="R575" s="428" t="s">
        <v>8777</v>
      </c>
      <c r="S575" s="428"/>
      <c r="T575" s="428" t="s">
        <v>2830</v>
      </c>
      <c r="U575" s="428" t="s">
        <v>152</v>
      </c>
      <c r="V575" s="428" t="s">
        <v>18</v>
      </c>
    </row>
    <row r="576" spans="1:22">
      <c r="A576" s="6"/>
      <c r="B576" s="216">
        <v>46246</v>
      </c>
      <c r="C576" s="216">
        <v>46246</v>
      </c>
      <c r="D576" s="428" t="s">
        <v>8796</v>
      </c>
      <c r="E576" s="428" t="s">
        <v>8797</v>
      </c>
      <c r="F576" s="428" t="s">
        <v>89</v>
      </c>
      <c r="G576" s="428" t="s">
        <v>8776</v>
      </c>
      <c r="H576" s="428">
        <v>92</v>
      </c>
      <c r="I576" s="428">
        <v>222.2</v>
      </c>
      <c r="J576" s="369">
        <v>222.2</v>
      </c>
      <c r="K576" s="428">
        <v>125</v>
      </c>
      <c r="L576" s="217">
        <v>1000</v>
      </c>
      <c r="M576" s="428" t="s">
        <v>153</v>
      </c>
      <c r="N576" s="428" t="s">
        <v>149</v>
      </c>
      <c r="O576" s="428" t="s">
        <v>154</v>
      </c>
      <c r="P576" s="428" t="s">
        <v>151</v>
      </c>
      <c r="Q576" s="428" t="s">
        <v>155</v>
      </c>
      <c r="R576" s="428" t="s">
        <v>8777</v>
      </c>
      <c r="S576" s="428"/>
      <c r="T576" s="428" t="s">
        <v>2830</v>
      </c>
      <c r="U576" s="428" t="s">
        <v>152</v>
      </c>
      <c r="V576" s="428" t="s">
        <v>18</v>
      </c>
    </row>
    <row r="577" spans="1:22">
      <c r="A577" s="6"/>
      <c r="B577" s="216">
        <v>46246</v>
      </c>
      <c r="C577" s="216">
        <v>46246</v>
      </c>
      <c r="D577" s="428" t="s">
        <v>8798</v>
      </c>
      <c r="E577" s="428" t="s">
        <v>8799</v>
      </c>
      <c r="F577" s="428" t="s">
        <v>89</v>
      </c>
      <c r="G577" s="428" t="s">
        <v>8776</v>
      </c>
      <c r="H577" s="428">
        <v>92</v>
      </c>
      <c r="I577" s="428">
        <v>264</v>
      </c>
      <c r="J577" s="369">
        <v>264</v>
      </c>
      <c r="K577" s="428">
        <v>125</v>
      </c>
      <c r="L577" s="217">
        <v>1150</v>
      </c>
      <c r="M577" s="428" t="s">
        <v>153</v>
      </c>
      <c r="N577" s="428" t="s">
        <v>149</v>
      </c>
      <c r="O577" s="428" t="s">
        <v>154</v>
      </c>
      <c r="P577" s="428" t="s">
        <v>151</v>
      </c>
      <c r="Q577" s="428" t="s">
        <v>155</v>
      </c>
      <c r="R577" s="428" t="s">
        <v>8777</v>
      </c>
      <c r="S577" s="428"/>
      <c r="T577" s="428" t="s">
        <v>2830</v>
      </c>
      <c r="U577" s="428" t="s">
        <v>152</v>
      </c>
      <c r="V577" s="428" t="s">
        <v>18</v>
      </c>
    </row>
    <row r="578" spans="1:22">
      <c r="A578" s="6"/>
      <c r="B578" s="216">
        <v>46246</v>
      </c>
      <c r="C578" s="216">
        <v>46246</v>
      </c>
      <c r="D578" s="428" t="s">
        <v>8800</v>
      </c>
      <c r="E578" s="428" t="s">
        <v>8801</v>
      </c>
      <c r="F578" s="428" t="s">
        <v>89</v>
      </c>
      <c r="G578" s="428" t="s">
        <v>8776</v>
      </c>
      <c r="H578" s="428">
        <v>92</v>
      </c>
      <c r="I578" s="428">
        <v>223.5</v>
      </c>
      <c r="J578" s="369">
        <v>223.5</v>
      </c>
      <c r="K578" s="428">
        <v>125</v>
      </c>
      <c r="L578" s="217">
        <v>1000</v>
      </c>
      <c r="M578" s="428" t="s">
        <v>153</v>
      </c>
      <c r="N578" s="428" t="s">
        <v>149</v>
      </c>
      <c r="O578" s="428" t="s">
        <v>154</v>
      </c>
      <c r="P578" s="428" t="s">
        <v>151</v>
      </c>
      <c r="Q578" s="428" t="s">
        <v>155</v>
      </c>
      <c r="R578" s="428" t="s">
        <v>8777</v>
      </c>
      <c r="S578" s="428"/>
      <c r="T578" s="428" t="s">
        <v>2830</v>
      </c>
      <c r="U578" s="428" t="s">
        <v>152</v>
      </c>
      <c r="V578" s="428" t="s">
        <v>18</v>
      </c>
    </row>
    <row r="579" spans="1:22">
      <c r="A579" s="6"/>
      <c r="B579" s="216">
        <v>46246</v>
      </c>
      <c r="C579" s="216">
        <v>46246</v>
      </c>
      <c r="D579" s="428" t="s">
        <v>8802</v>
      </c>
      <c r="E579" s="428" t="s">
        <v>8803</v>
      </c>
      <c r="F579" s="428" t="s">
        <v>89</v>
      </c>
      <c r="G579" s="428" t="s">
        <v>8776</v>
      </c>
      <c r="H579" s="428">
        <v>92</v>
      </c>
      <c r="I579" s="428">
        <v>221.9</v>
      </c>
      <c r="J579" s="369">
        <v>221.9</v>
      </c>
      <c r="K579" s="428">
        <v>125</v>
      </c>
      <c r="L579" s="217">
        <v>1000</v>
      </c>
      <c r="M579" s="428" t="s">
        <v>153</v>
      </c>
      <c r="N579" s="428" t="s">
        <v>149</v>
      </c>
      <c r="O579" s="428" t="s">
        <v>154</v>
      </c>
      <c r="P579" s="428" t="s">
        <v>151</v>
      </c>
      <c r="Q579" s="428" t="s">
        <v>155</v>
      </c>
      <c r="R579" s="428" t="s">
        <v>8777</v>
      </c>
      <c r="S579" s="428"/>
      <c r="T579" s="428" t="s">
        <v>2830</v>
      </c>
      <c r="U579" s="428" t="s">
        <v>152</v>
      </c>
      <c r="V579" s="428" t="s">
        <v>18</v>
      </c>
    </row>
    <row r="580" spans="1:22">
      <c r="A580" s="6"/>
      <c r="B580" s="216">
        <v>46246</v>
      </c>
      <c r="C580" s="216">
        <v>46246</v>
      </c>
      <c r="D580" s="428" t="s">
        <v>8804</v>
      </c>
      <c r="E580" s="428" t="s">
        <v>8805</v>
      </c>
      <c r="F580" s="428" t="s">
        <v>89</v>
      </c>
      <c r="G580" s="428" t="s">
        <v>8776</v>
      </c>
      <c r="H580" s="428">
        <v>92</v>
      </c>
      <c r="I580" s="428">
        <v>220.8</v>
      </c>
      <c r="J580" s="369">
        <v>220.8</v>
      </c>
      <c r="K580" s="428">
        <v>125</v>
      </c>
      <c r="L580" s="217">
        <v>1000</v>
      </c>
      <c r="M580" s="428" t="s">
        <v>153</v>
      </c>
      <c r="N580" s="428" t="s">
        <v>149</v>
      </c>
      <c r="O580" s="428" t="s">
        <v>154</v>
      </c>
      <c r="P580" s="428" t="s">
        <v>151</v>
      </c>
      <c r="Q580" s="428" t="s">
        <v>155</v>
      </c>
      <c r="R580" s="428" t="s">
        <v>8777</v>
      </c>
      <c r="S580" s="428"/>
      <c r="T580" s="428" t="s">
        <v>2830</v>
      </c>
      <c r="U580" s="428" t="s">
        <v>152</v>
      </c>
      <c r="V580" s="428" t="s">
        <v>18</v>
      </c>
    </row>
    <row r="581" spans="1:22">
      <c r="A581" s="6"/>
      <c r="B581" s="216">
        <v>46246</v>
      </c>
      <c r="C581" s="216">
        <v>46246</v>
      </c>
      <c r="D581" s="428" t="s">
        <v>8806</v>
      </c>
      <c r="E581" s="428" t="s">
        <v>8807</v>
      </c>
      <c r="F581" s="428" t="s">
        <v>89</v>
      </c>
      <c r="G581" s="428" t="s">
        <v>8776</v>
      </c>
      <c r="H581" s="428">
        <v>92</v>
      </c>
      <c r="I581" s="428">
        <v>222.6</v>
      </c>
      <c r="J581" s="369">
        <v>222.6</v>
      </c>
      <c r="K581" s="428">
        <v>125</v>
      </c>
      <c r="L581" s="217">
        <v>1000</v>
      </c>
      <c r="M581" s="428" t="s">
        <v>153</v>
      </c>
      <c r="N581" s="428" t="s">
        <v>149</v>
      </c>
      <c r="O581" s="428" t="s">
        <v>154</v>
      </c>
      <c r="P581" s="428" t="s">
        <v>151</v>
      </c>
      <c r="Q581" s="428" t="s">
        <v>155</v>
      </c>
      <c r="R581" s="428" t="s">
        <v>8777</v>
      </c>
      <c r="S581" s="428"/>
      <c r="T581" s="428" t="s">
        <v>2830</v>
      </c>
      <c r="U581" s="428" t="s">
        <v>152</v>
      </c>
      <c r="V581" s="428" t="s">
        <v>18</v>
      </c>
    </row>
    <row r="582" spans="1:22">
      <c r="A582" s="6"/>
      <c r="B582" s="216">
        <v>46246</v>
      </c>
      <c r="C582" s="216">
        <v>46246</v>
      </c>
      <c r="D582" s="428" t="s">
        <v>8808</v>
      </c>
      <c r="E582" s="428" t="s">
        <v>8809</v>
      </c>
      <c r="F582" s="428" t="s">
        <v>89</v>
      </c>
      <c r="G582" s="428" t="s">
        <v>8776</v>
      </c>
      <c r="H582" s="428">
        <v>92</v>
      </c>
      <c r="I582" s="428">
        <v>222.7</v>
      </c>
      <c r="J582" s="369">
        <v>222.7</v>
      </c>
      <c r="K582" s="428">
        <v>125</v>
      </c>
      <c r="L582" s="217">
        <v>1000</v>
      </c>
      <c r="M582" s="428" t="s">
        <v>153</v>
      </c>
      <c r="N582" s="428" t="s">
        <v>149</v>
      </c>
      <c r="O582" s="428" t="s">
        <v>154</v>
      </c>
      <c r="P582" s="428" t="s">
        <v>151</v>
      </c>
      <c r="Q582" s="428" t="s">
        <v>155</v>
      </c>
      <c r="R582" s="428" t="s">
        <v>8777</v>
      </c>
      <c r="S582" s="428"/>
      <c r="T582" s="428" t="s">
        <v>2830</v>
      </c>
      <c r="U582" s="428" t="s">
        <v>152</v>
      </c>
      <c r="V582" s="428" t="s">
        <v>18</v>
      </c>
    </row>
    <row r="583" spans="1:22">
      <c r="A583" s="6"/>
      <c r="B583" s="216">
        <v>46246</v>
      </c>
      <c r="C583" s="216">
        <v>46246</v>
      </c>
      <c r="D583" s="428" t="s">
        <v>8810</v>
      </c>
      <c r="E583" s="428" t="s">
        <v>8811</v>
      </c>
      <c r="F583" s="428" t="s">
        <v>89</v>
      </c>
      <c r="G583" s="428" t="s">
        <v>8776</v>
      </c>
      <c r="H583" s="428">
        <v>92</v>
      </c>
      <c r="I583" s="428">
        <v>225</v>
      </c>
      <c r="J583" s="369">
        <v>225</v>
      </c>
      <c r="K583" s="428">
        <v>125</v>
      </c>
      <c r="L583" s="217">
        <v>1000</v>
      </c>
      <c r="M583" s="428" t="s">
        <v>153</v>
      </c>
      <c r="N583" s="428" t="s">
        <v>149</v>
      </c>
      <c r="O583" s="428" t="s">
        <v>154</v>
      </c>
      <c r="P583" s="428" t="s">
        <v>151</v>
      </c>
      <c r="Q583" s="428" t="s">
        <v>155</v>
      </c>
      <c r="R583" s="428" t="s">
        <v>8777</v>
      </c>
      <c r="S583" s="428"/>
      <c r="T583" s="428" t="s">
        <v>2830</v>
      </c>
      <c r="U583" s="428" t="s">
        <v>152</v>
      </c>
      <c r="V583" s="428" t="s">
        <v>18</v>
      </c>
    </row>
    <row r="584" spans="1:22">
      <c r="A584" s="6"/>
      <c r="B584" s="216">
        <v>46246</v>
      </c>
      <c r="C584" s="216">
        <v>46246</v>
      </c>
      <c r="D584" s="428" t="s">
        <v>8812</v>
      </c>
      <c r="E584" s="428" t="s">
        <v>8813</v>
      </c>
      <c r="F584" s="428" t="s">
        <v>89</v>
      </c>
      <c r="G584" s="428" t="s">
        <v>8776</v>
      </c>
      <c r="H584" s="428">
        <v>92</v>
      </c>
      <c r="I584" s="428">
        <v>220.1</v>
      </c>
      <c r="J584" s="369">
        <v>220.1</v>
      </c>
      <c r="K584" s="428">
        <v>125</v>
      </c>
      <c r="L584" s="217">
        <v>1000</v>
      </c>
      <c r="M584" s="428" t="s">
        <v>153</v>
      </c>
      <c r="N584" s="428" t="s">
        <v>149</v>
      </c>
      <c r="O584" s="428" t="s">
        <v>154</v>
      </c>
      <c r="P584" s="428" t="s">
        <v>151</v>
      </c>
      <c r="Q584" s="428" t="s">
        <v>155</v>
      </c>
      <c r="R584" s="428" t="s">
        <v>8777</v>
      </c>
      <c r="S584" s="428"/>
      <c r="T584" s="428" t="s">
        <v>2830</v>
      </c>
      <c r="U584" s="428" t="s">
        <v>152</v>
      </c>
      <c r="V584" s="428" t="s">
        <v>18</v>
      </c>
    </row>
    <row r="585" spans="1:22">
      <c r="A585" s="6"/>
      <c r="B585" s="216">
        <v>46246</v>
      </c>
      <c r="C585" s="216">
        <v>46246</v>
      </c>
      <c r="D585" s="428" t="s">
        <v>8814</v>
      </c>
      <c r="E585" s="428" t="s">
        <v>8815</v>
      </c>
      <c r="F585" s="428" t="s">
        <v>89</v>
      </c>
      <c r="G585" s="428" t="s">
        <v>8776</v>
      </c>
      <c r="H585" s="428">
        <v>92</v>
      </c>
      <c r="I585" s="428">
        <v>233.6</v>
      </c>
      <c r="J585" s="369">
        <v>233.6</v>
      </c>
      <c r="K585" s="428">
        <v>125</v>
      </c>
      <c r="L585" s="217">
        <v>1030</v>
      </c>
      <c r="M585" s="428" t="s">
        <v>153</v>
      </c>
      <c r="N585" s="428" t="s">
        <v>149</v>
      </c>
      <c r="O585" s="428" t="s">
        <v>154</v>
      </c>
      <c r="P585" s="428" t="s">
        <v>151</v>
      </c>
      <c r="Q585" s="428" t="s">
        <v>155</v>
      </c>
      <c r="R585" s="428" t="s">
        <v>8777</v>
      </c>
      <c r="S585" s="428"/>
      <c r="T585" s="428" t="s">
        <v>2830</v>
      </c>
      <c r="U585" s="428" t="s">
        <v>152</v>
      </c>
      <c r="V585" s="428" t="s">
        <v>18</v>
      </c>
    </row>
    <row r="586" spans="1:22">
      <c r="A586" s="6"/>
      <c r="B586" s="216">
        <v>46246</v>
      </c>
      <c r="C586" s="216">
        <v>46246</v>
      </c>
      <c r="D586" s="428" t="s">
        <v>8816</v>
      </c>
      <c r="E586" s="428" t="s">
        <v>8817</v>
      </c>
      <c r="F586" s="428" t="s">
        <v>89</v>
      </c>
      <c r="G586" s="428" t="s">
        <v>8776</v>
      </c>
      <c r="H586" s="428">
        <v>92</v>
      </c>
      <c r="I586" s="428">
        <v>228.4</v>
      </c>
      <c r="J586" s="369">
        <v>228.4</v>
      </c>
      <c r="K586" s="428">
        <v>125</v>
      </c>
      <c r="L586" s="217">
        <v>1000</v>
      </c>
      <c r="M586" s="428" t="s">
        <v>153</v>
      </c>
      <c r="N586" s="428" t="s">
        <v>149</v>
      </c>
      <c r="O586" s="428" t="s">
        <v>154</v>
      </c>
      <c r="P586" s="428" t="s">
        <v>151</v>
      </c>
      <c r="Q586" s="428" t="s">
        <v>155</v>
      </c>
      <c r="R586" s="428" t="s">
        <v>8777</v>
      </c>
      <c r="S586" s="428"/>
      <c r="T586" s="428" t="s">
        <v>2830</v>
      </c>
      <c r="U586" s="428" t="s">
        <v>152</v>
      </c>
      <c r="V586" s="428" t="s">
        <v>18</v>
      </c>
    </row>
    <row r="587" spans="1:22">
      <c r="A587" s="6"/>
      <c r="B587" s="216">
        <v>46246</v>
      </c>
      <c r="C587" s="216">
        <v>46246</v>
      </c>
      <c r="D587" s="428" t="s">
        <v>8818</v>
      </c>
      <c r="E587" s="428" t="s">
        <v>8819</v>
      </c>
      <c r="F587" s="428" t="s">
        <v>89</v>
      </c>
      <c r="G587" s="428" t="s">
        <v>8776</v>
      </c>
      <c r="H587" s="428">
        <v>92</v>
      </c>
      <c r="I587" s="428">
        <v>224.9</v>
      </c>
      <c r="J587" s="369">
        <v>224.9</v>
      </c>
      <c r="K587" s="428">
        <v>125</v>
      </c>
      <c r="L587" s="217">
        <v>1000</v>
      </c>
      <c r="M587" s="428" t="s">
        <v>153</v>
      </c>
      <c r="N587" s="428" t="s">
        <v>149</v>
      </c>
      <c r="O587" s="428" t="s">
        <v>154</v>
      </c>
      <c r="P587" s="428" t="s">
        <v>151</v>
      </c>
      <c r="Q587" s="428" t="s">
        <v>155</v>
      </c>
      <c r="R587" s="428" t="s">
        <v>8777</v>
      </c>
      <c r="S587" s="428"/>
      <c r="T587" s="428" t="s">
        <v>2830</v>
      </c>
      <c r="U587" s="428" t="s">
        <v>152</v>
      </c>
      <c r="V587" s="428" t="s">
        <v>18</v>
      </c>
    </row>
    <row r="588" spans="1:22">
      <c r="A588" s="6"/>
      <c r="B588" s="216">
        <v>46246</v>
      </c>
      <c r="C588" s="216">
        <v>46246</v>
      </c>
      <c r="D588" s="428" t="s">
        <v>8820</v>
      </c>
      <c r="E588" s="428" t="s">
        <v>8821</v>
      </c>
      <c r="F588" s="428" t="s">
        <v>89</v>
      </c>
      <c r="G588" s="428" t="s">
        <v>8776</v>
      </c>
      <c r="H588" s="428">
        <v>92</v>
      </c>
      <c r="I588" s="428">
        <v>223.5</v>
      </c>
      <c r="J588" s="369">
        <v>223.5</v>
      </c>
      <c r="K588" s="428">
        <v>125</v>
      </c>
      <c r="L588" s="217">
        <v>1000</v>
      </c>
      <c r="M588" s="428" t="s">
        <v>153</v>
      </c>
      <c r="N588" s="428" t="s">
        <v>149</v>
      </c>
      <c r="O588" s="428" t="s">
        <v>154</v>
      </c>
      <c r="P588" s="428" t="s">
        <v>151</v>
      </c>
      <c r="Q588" s="428" t="s">
        <v>155</v>
      </c>
      <c r="R588" s="428" t="s">
        <v>8777</v>
      </c>
      <c r="S588" s="428"/>
      <c r="T588" s="428" t="s">
        <v>2830</v>
      </c>
      <c r="U588" s="428" t="s">
        <v>152</v>
      </c>
      <c r="V588" s="428" t="s">
        <v>18</v>
      </c>
    </row>
    <row r="589" spans="1:22">
      <c r="A589" s="6"/>
      <c r="B589" s="216">
        <v>46246</v>
      </c>
      <c r="C589" s="216">
        <v>46246</v>
      </c>
      <c r="D589" s="428" t="s">
        <v>8822</v>
      </c>
      <c r="E589" s="428" t="s">
        <v>8823</v>
      </c>
      <c r="F589" s="428" t="s">
        <v>89</v>
      </c>
      <c r="G589" s="428" t="s">
        <v>8776</v>
      </c>
      <c r="H589" s="428">
        <v>92</v>
      </c>
      <c r="I589" s="428">
        <v>225.3</v>
      </c>
      <c r="J589" s="369">
        <v>225.3</v>
      </c>
      <c r="K589" s="428">
        <v>125</v>
      </c>
      <c r="L589" s="217">
        <v>1000</v>
      </c>
      <c r="M589" s="428" t="s">
        <v>153</v>
      </c>
      <c r="N589" s="428" t="s">
        <v>149</v>
      </c>
      <c r="O589" s="428" t="s">
        <v>154</v>
      </c>
      <c r="P589" s="428" t="s">
        <v>151</v>
      </c>
      <c r="Q589" s="428" t="s">
        <v>155</v>
      </c>
      <c r="R589" s="428" t="s">
        <v>8777</v>
      </c>
      <c r="S589" s="428"/>
      <c r="T589" s="428" t="s">
        <v>2830</v>
      </c>
      <c r="U589" s="428" t="s">
        <v>152</v>
      </c>
      <c r="V589" s="428" t="s">
        <v>18</v>
      </c>
    </row>
    <row r="590" spans="1:22">
      <c r="A590" s="6"/>
      <c r="B590" s="216">
        <v>46246</v>
      </c>
      <c r="C590" s="216">
        <v>46246</v>
      </c>
      <c r="D590" s="428" t="s">
        <v>8824</v>
      </c>
      <c r="E590" s="428" t="s">
        <v>8825</v>
      </c>
      <c r="F590" s="428" t="s">
        <v>89</v>
      </c>
      <c r="G590" s="428" t="s">
        <v>8776</v>
      </c>
      <c r="H590" s="428">
        <v>92</v>
      </c>
      <c r="I590" s="428">
        <v>223.3</v>
      </c>
      <c r="J590" s="369">
        <v>223.3</v>
      </c>
      <c r="K590" s="428">
        <v>125</v>
      </c>
      <c r="L590" s="217">
        <v>1000</v>
      </c>
      <c r="M590" s="428" t="s">
        <v>153</v>
      </c>
      <c r="N590" s="428" t="s">
        <v>149</v>
      </c>
      <c r="O590" s="428" t="s">
        <v>154</v>
      </c>
      <c r="P590" s="428" t="s">
        <v>151</v>
      </c>
      <c r="Q590" s="428" t="s">
        <v>155</v>
      </c>
      <c r="R590" s="428" t="s">
        <v>8777</v>
      </c>
      <c r="S590" s="428"/>
      <c r="T590" s="428" t="s">
        <v>2830</v>
      </c>
      <c r="U590" s="428" t="s">
        <v>152</v>
      </c>
      <c r="V590" s="428" t="s">
        <v>18</v>
      </c>
    </row>
    <row r="591" spans="1:22">
      <c r="A591" s="6"/>
      <c r="B591" s="216">
        <v>46246</v>
      </c>
      <c r="C591" s="216">
        <v>46246</v>
      </c>
      <c r="D591" s="428" t="s">
        <v>8826</v>
      </c>
      <c r="E591" s="428" t="s">
        <v>8827</v>
      </c>
      <c r="F591" s="428" t="s">
        <v>89</v>
      </c>
      <c r="G591" s="428" t="s">
        <v>8776</v>
      </c>
      <c r="H591" s="428">
        <v>92</v>
      </c>
      <c r="I591" s="428">
        <v>227.5</v>
      </c>
      <c r="J591" s="369">
        <v>227.5</v>
      </c>
      <c r="K591" s="428">
        <v>125</v>
      </c>
      <c r="L591" s="217">
        <v>1000</v>
      </c>
      <c r="M591" s="428" t="s">
        <v>153</v>
      </c>
      <c r="N591" s="428" t="s">
        <v>149</v>
      </c>
      <c r="O591" s="428" t="s">
        <v>154</v>
      </c>
      <c r="P591" s="428" t="s">
        <v>151</v>
      </c>
      <c r="Q591" s="428" t="s">
        <v>155</v>
      </c>
      <c r="R591" s="428" t="s">
        <v>8777</v>
      </c>
      <c r="S591" s="428"/>
      <c r="T591" s="428" t="s">
        <v>2830</v>
      </c>
      <c r="U591" s="428" t="s">
        <v>152</v>
      </c>
      <c r="V591" s="428" t="s">
        <v>18</v>
      </c>
    </row>
    <row r="592" spans="1:22">
      <c r="A592" s="6"/>
      <c r="B592" s="216">
        <v>46247</v>
      </c>
      <c r="C592" s="216">
        <v>46247</v>
      </c>
      <c r="D592" s="428" t="s">
        <v>8828</v>
      </c>
      <c r="E592" s="428">
        <v>260102822390</v>
      </c>
      <c r="F592" s="428" t="s">
        <v>87</v>
      </c>
      <c r="G592" s="428" t="s">
        <v>8032</v>
      </c>
      <c r="H592" s="428">
        <v>102</v>
      </c>
      <c r="I592" s="428">
        <v>254</v>
      </c>
      <c r="J592" s="369">
        <v>254</v>
      </c>
      <c r="K592" s="428">
        <v>130</v>
      </c>
      <c r="L592" s="217">
        <v>1000</v>
      </c>
      <c r="M592" s="428" t="s">
        <v>153</v>
      </c>
      <c r="N592" s="428" t="s">
        <v>149</v>
      </c>
      <c r="O592" s="428" t="s">
        <v>154</v>
      </c>
      <c r="P592" s="428" t="s">
        <v>151</v>
      </c>
      <c r="Q592" s="428" t="s">
        <v>155</v>
      </c>
      <c r="R592" s="428" t="s">
        <v>8829</v>
      </c>
      <c r="S592" s="428"/>
      <c r="T592" s="428" t="s">
        <v>2851</v>
      </c>
      <c r="U592" s="428" t="s">
        <v>152</v>
      </c>
      <c r="V592" s="428" t="s">
        <v>18</v>
      </c>
    </row>
    <row r="593" spans="1:22">
      <c r="A593" s="6"/>
      <c r="B593" s="216">
        <v>46247</v>
      </c>
      <c r="C593" s="216">
        <v>46247</v>
      </c>
      <c r="D593" s="428" t="s">
        <v>8830</v>
      </c>
      <c r="E593" s="428">
        <v>260102522393</v>
      </c>
      <c r="F593" s="428" t="s">
        <v>87</v>
      </c>
      <c r="G593" s="428" t="s">
        <v>8032</v>
      </c>
      <c r="H593" s="428">
        <v>102</v>
      </c>
      <c r="I593" s="428">
        <v>276</v>
      </c>
      <c r="J593" s="369">
        <v>276</v>
      </c>
      <c r="K593" s="428">
        <v>130</v>
      </c>
      <c r="L593" s="217">
        <v>1070</v>
      </c>
      <c r="M593" s="428" t="s">
        <v>153</v>
      </c>
      <c r="N593" s="428" t="s">
        <v>149</v>
      </c>
      <c r="O593" s="428" t="s">
        <v>154</v>
      </c>
      <c r="P593" s="428" t="s">
        <v>151</v>
      </c>
      <c r="Q593" s="428" t="s">
        <v>155</v>
      </c>
      <c r="R593" s="428" t="s">
        <v>8831</v>
      </c>
      <c r="S593" s="428"/>
      <c r="T593" s="428" t="s">
        <v>2851</v>
      </c>
      <c r="U593" s="428" t="s">
        <v>152</v>
      </c>
      <c r="V593" s="428" t="s">
        <v>18</v>
      </c>
    </row>
    <row r="594" spans="1:22">
      <c r="A594" s="6"/>
      <c r="B594" s="216">
        <v>46247</v>
      </c>
      <c r="C594" s="216">
        <v>46247</v>
      </c>
      <c r="D594" s="428" t="s">
        <v>8832</v>
      </c>
      <c r="E594" s="428">
        <v>260105422432</v>
      </c>
      <c r="F594" s="428" t="s">
        <v>87</v>
      </c>
      <c r="G594" s="428" t="s">
        <v>8290</v>
      </c>
      <c r="H594" s="428">
        <v>140</v>
      </c>
      <c r="I594" s="428">
        <v>205</v>
      </c>
      <c r="J594" s="369">
        <v>205</v>
      </c>
      <c r="K594" s="428">
        <v>83</v>
      </c>
      <c r="L594" s="217">
        <v>1890</v>
      </c>
      <c r="M594" s="428" t="s">
        <v>153</v>
      </c>
      <c r="N594" s="428" t="s">
        <v>149</v>
      </c>
      <c r="O594" s="428" t="s">
        <v>154</v>
      </c>
      <c r="P594" s="428" t="s">
        <v>151</v>
      </c>
      <c r="Q594" s="428" t="s">
        <v>155</v>
      </c>
      <c r="R594" s="428" t="s">
        <v>8833</v>
      </c>
      <c r="S594" s="428"/>
      <c r="T594" s="428" t="s">
        <v>2851</v>
      </c>
      <c r="U594" s="428" t="s">
        <v>152</v>
      </c>
      <c r="V594" s="428" t="s">
        <v>18</v>
      </c>
    </row>
    <row r="595" spans="1:22">
      <c r="A595" s="6"/>
      <c r="B595" s="216">
        <v>46247</v>
      </c>
      <c r="C595" s="216">
        <v>46247</v>
      </c>
      <c r="D595" s="428" t="s">
        <v>8834</v>
      </c>
      <c r="E595" s="428">
        <v>260107122436</v>
      </c>
      <c r="F595" s="428" t="s">
        <v>87</v>
      </c>
      <c r="G595" s="428" t="s">
        <v>8692</v>
      </c>
      <c r="H595" s="428">
        <v>140</v>
      </c>
      <c r="I595" s="428">
        <v>173</v>
      </c>
      <c r="J595" s="369">
        <v>173</v>
      </c>
      <c r="K595" s="428">
        <v>88</v>
      </c>
      <c r="L595" s="217">
        <v>1460</v>
      </c>
      <c r="M595" s="428" t="s">
        <v>153</v>
      </c>
      <c r="N595" s="428" t="s">
        <v>149</v>
      </c>
      <c r="O595" s="428" t="s">
        <v>154</v>
      </c>
      <c r="P595" s="428" t="s">
        <v>151</v>
      </c>
      <c r="Q595" s="428" t="s">
        <v>155</v>
      </c>
      <c r="R595" s="428" t="s">
        <v>8835</v>
      </c>
      <c r="S595" s="428"/>
      <c r="T595" s="428" t="s">
        <v>2851</v>
      </c>
      <c r="U595" s="428" t="s">
        <v>152</v>
      </c>
      <c r="V595" s="428" t="s">
        <v>18</v>
      </c>
    </row>
    <row r="596" spans="1:22">
      <c r="A596" s="6"/>
      <c r="B596" s="216">
        <v>46247</v>
      </c>
      <c r="C596" s="216">
        <v>46247</v>
      </c>
      <c r="D596" s="428" t="s">
        <v>8836</v>
      </c>
      <c r="E596" s="428">
        <v>260101722453</v>
      </c>
      <c r="F596" s="428" t="s">
        <v>87</v>
      </c>
      <c r="G596" s="428" t="s">
        <v>8681</v>
      </c>
      <c r="H596" s="428">
        <v>92</v>
      </c>
      <c r="I596" s="428">
        <v>245</v>
      </c>
      <c r="J596" s="369">
        <v>245</v>
      </c>
      <c r="K596" s="428">
        <v>134</v>
      </c>
      <c r="L596" s="217">
        <v>1020</v>
      </c>
      <c r="M596" s="428" t="s">
        <v>153</v>
      </c>
      <c r="N596" s="428" t="s">
        <v>149</v>
      </c>
      <c r="O596" s="428" t="s">
        <v>154</v>
      </c>
      <c r="P596" s="428" t="s">
        <v>151</v>
      </c>
      <c r="Q596" s="428" t="s">
        <v>155</v>
      </c>
      <c r="R596" s="428" t="s">
        <v>8837</v>
      </c>
      <c r="S596" s="428"/>
      <c r="T596" s="428" t="s">
        <v>2851</v>
      </c>
      <c r="U596" s="428" t="s">
        <v>152</v>
      </c>
      <c r="V596" s="428" t="s">
        <v>18</v>
      </c>
    </row>
    <row r="597" spans="1:22">
      <c r="A597" s="6"/>
      <c r="B597" s="216">
        <v>46247</v>
      </c>
      <c r="C597" s="216">
        <v>46247</v>
      </c>
      <c r="D597" s="428" t="s">
        <v>8838</v>
      </c>
      <c r="E597" s="428">
        <v>260101522467</v>
      </c>
      <c r="F597" s="428" t="s">
        <v>87</v>
      </c>
      <c r="G597" s="428" t="s">
        <v>2419</v>
      </c>
      <c r="H597" s="428">
        <v>92</v>
      </c>
      <c r="I597" s="428">
        <v>318</v>
      </c>
      <c r="J597" s="369">
        <v>318</v>
      </c>
      <c r="K597" s="428">
        <v>180</v>
      </c>
      <c r="L597" s="217">
        <v>1000</v>
      </c>
      <c r="M597" s="428" t="s">
        <v>153</v>
      </c>
      <c r="N597" s="428" t="s">
        <v>149</v>
      </c>
      <c r="O597" s="428" t="s">
        <v>154</v>
      </c>
      <c r="P597" s="428" t="s">
        <v>151</v>
      </c>
      <c r="Q597" s="428" t="s">
        <v>155</v>
      </c>
      <c r="R597" s="428" t="s">
        <v>8839</v>
      </c>
      <c r="S597" s="428"/>
      <c r="T597" s="428" t="s">
        <v>2851</v>
      </c>
      <c r="U597" s="428" t="s">
        <v>152</v>
      </c>
      <c r="V597" s="428" t="s">
        <v>18</v>
      </c>
    </row>
    <row r="598" spans="1:22">
      <c r="A598" s="6"/>
      <c r="B598" s="216">
        <v>46247</v>
      </c>
      <c r="C598" s="216">
        <v>46247</v>
      </c>
      <c r="D598" s="428" t="s">
        <v>8840</v>
      </c>
      <c r="E598" s="428">
        <v>260102422469</v>
      </c>
      <c r="F598" s="428" t="s">
        <v>87</v>
      </c>
      <c r="G598" s="428" t="s">
        <v>8032</v>
      </c>
      <c r="H598" s="428">
        <v>102</v>
      </c>
      <c r="I598" s="428">
        <v>258</v>
      </c>
      <c r="J598" s="369">
        <v>258</v>
      </c>
      <c r="K598" s="428">
        <v>130</v>
      </c>
      <c r="L598" s="217">
        <v>1000</v>
      </c>
      <c r="M598" s="428" t="s">
        <v>153</v>
      </c>
      <c r="N598" s="428" t="s">
        <v>149</v>
      </c>
      <c r="O598" s="428" t="s">
        <v>154</v>
      </c>
      <c r="P598" s="428" t="s">
        <v>151</v>
      </c>
      <c r="Q598" s="428" t="s">
        <v>155</v>
      </c>
      <c r="R598" s="428" t="s">
        <v>8841</v>
      </c>
      <c r="S598" s="428"/>
      <c r="T598" s="428" t="s">
        <v>2851</v>
      </c>
      <c r="U598" s="428" t="s">
        <v>152</v>
      </c>
      <c r="V598" s="428" t="s">
        <v>18</v>
      </c>
    </row>
    <row r="599" spans="1:22">
      <c r="A599" s="6"/>
      <c r="B599" s="216">
        <v>46247</v>
      </c>
      <c r="C599" s="216">
        <v>46247</v>
      </c>
      <c r="D599" s="428" t="s">
        <v>8842</v>
      </c>
      <c r="E599" s="428">
        <v>260107122470</v>
      </c>
      <c r="F599" s="428" t="s">
        <v>87</v>
      </c>
      <c r="G599" s="428" t="s">
        <v>8692</v>
      </c>
      <c r="H599" s="428">
        <v>140</v>
      </c>
      <c r="I599" s="428">
        <v>213</v>
      </c>
      <c r="J599" s="369">
        <v>213</v>
      </c>
      <c r="K599" s="428">
        <v>88</v>
      </c>
      <c r="L599" s="217">
        <v>1800</v>
      </c>
      <c r="M599" s="428" t="s">
        <v>153</v>
      </c>
      <c r="N599" s="428" t="s">
        <v>149</v>
      </c>
      <c r="O599" s="428" t="s">
        <v>154</v>
      </c>
      <c r="P599" s="428" t="s">
        <v>151</v>
      </c>
      <c r="Q599" s="428" t="s">
        <v>155</v>
      </c>
      <c r="R599" s="428" t="s">
        <v>8843</v>
      </c>
      <c r="S599" s="428"/>
      <c r="T599" s="428" t="s">
        <v>2851</v>
      </c>
      <c r="U599" s="428" t="s">
        <v>152</v>
      </c>
      <c r="V599" s="428" t="s">
        <v>18</v>
      </c>
    </row>
    <row r="600" spans="1:22">
      <c r="A600" s="6"/>
      <c r="B600" s="216">
        <v>46247</v>
      </c>
      <c r="C600" s="216">
        <v>46247</v>
      </c>
      <c r="D600" s="428" t="s">
        <v>8844</v>
      </c>
      <c r="E600" s="428">
        <v>260103322400</v>
      </c>
      <c r="F600" s="428" t="s">
        <v>87</v>
      </c>
      <c r="G600" s="428" t="s">
        <v>2409</v>
      </c>
      <c r="H600" s="428">
        <v>152</v>
      </c>
      <c r="I600" s="428">
        <v>258</v>
      </c>
      <c r="J600" s="369">
        <v>258</v>
      </c>
      <c r="K600" s="428">
        <v>97</v>
      </c>
      <c r="L600" s="217">
        <v>1820</v>
      </c>
      <c r="M600" s="428" t="s">
        <v>153</v>
      </c>
      <c r="N600" s="428" t="s">
        <v>149</v>
      </c>
      <c r="O600" s="428" t="s">
        <v>154</v>
      </c>
      <c r="P600" s="428" t="s">
        <v>151</v>
      </c>
      <c r="Q600" s="428" t="s">
        <v>155</v>
      </c>
      <c r="R600" s="428" t="s">
        <v>8845</v>
      </c>
      <c r="S600" s="428"/>
      <c r="T600" s="428" t="s">
        <v>2851</v>
      </c>
      <c r="U600" s="428" t="s">
        <v>152</v>
      </c>
      <c r="V600" s="428" t="s">
        <v>18</v>
      </c>
    </row>
    <row r="601" spans="1:22">
      <c r="A601" s="6"/>
      <c r="B601" s="216">
        <v>46247</v>
      </c>
      <c r="C601" s="216">
        <v>46247</v>
      </c>
      <c r="D601" s="428" t="s">
        <v>8846</v>
      </c>
      <c r="E601" s="428">
        <v>260102422394</v>
      </c>
      <c r="F601" s="428" t="s">
        <v>87</v>
      </c>
      <c r="G601" s="428" t="s">
        <v>8032</v>
      </c>
      <c r="H601" s="428">
        <v>102</v>
      </c>
      <c r="I601" s="428">
        <v>283</v>
      </c>
      <c r="J601" s="369">
        <v>283</v>
      </c>
      <c r="K601" s="428">
        <v>130</v>
      </c>
      <c r="L601" s="217">
        <v>1100</v>
      </c>
      <c r="M601" s="428" t="s">
        <v>153</v>
      </c>
      <c r="N601" s="428" t="s">
        <v>149</v>
      </c>
      <c r="O601" s="428" t="s">
        <v>154</v>
      </c>
      <c r="P601" s="428" t="s">
        <v>151</v>
      </c>
      <c r="Q601" s="428" t="s">
        <v>155</v>
      </c>
      <c r="R601" s="428" t="s">
        <v>8847</v>
      </c>
      <c r="S601" s="428"/>
      <c r="T601" s="428" t="s">
        <v>2851</v>
      </c>
      <c r="U601" s="428" t="s">
        <v>152</v>
      </c>
      <c r="V601" s="428" t="s">
        <v>18</v>
      </c>
    </row>
    <row r="602" spans="1:22">
      <c r="A602" s="6"/>
      <c r="B602" s="216">
        <v>46247</v>
      </c>
      <c r="C602" s="216">
        <v>46247</v>
      </c>
      <c r="D602" s="428" t="s">
        <v>8848</v>
      </c>
      <c r="E602" s="428">
        <v>260103622447</v>
      </c>
      <c r="F602" s="428" t="s">
        <v>87</v>
      </c>
      <c r="G602" s="428" t="s">
        <v>2360</v>
      </c>
      <c r="H602" s="428">
        <v>135</v>
      </c>
      <c r="I602" s="428">
        <v>237</v>
      </c>
      <c r="J602" s="369">
        <v>237</v>
      </c>
      <c r="K602" s="428">
        <v>87</v>
      </c>
      <c r="L602" s="217">
        <v>2050</v>
      </c>
      <c r="M602" s="428" t="s">
        <v>153</v>
      </c>
      <c r="N602" s="428" t="s">
        <v>149</v>
      </c>
      <c r="O602" s="428" t="s">
        <v>154</v>
      </c>
      <c r="P602" s="428" t="s">
        <v>151</v>
      </c>
      <c r="Q602" s="428" t="s">
        <v>155</v>
      </c>
      <c r="R602" s="428" t="s">
        <v>8849</v>
      </c>
      <c r="S602" s="428"/>
      <c r="T602" s="428" t="s">
        <v>2851</v>
      </c>
      <c r="U602" s="428" t="s">
        <v>152</v>
      </c>
      <c r="V602" s="428" t="s">
        <v>18</v>
      </c>
    </row>
    <row r="603" spans="1:22">
      <c r="A603" s="6"/>
      <c r="B603" s="216">
        <v>46247</v>
      </c>
      <c r="C603" s="216">
        <v>46247</v>
      </c>
      <c r="D603" s="428" t="s">
        <v>8850</v>
      </c>
      <c r="E603" s="428">
        <v>260102722451</v>
      </c>
      <c r="F603" s="428" t="s">
        <v>87</v>
      </c>
      <c r="G603" s="428" t="s">
        <v>8032</v>
      </c>
      <c r="H603" s="428">
        <v>102</v>
      </c>
      <c r="I603" s="428">
        <v>257</v>
      </c>
      <c r="J603" s="369">
        <v>257</v>
      </c>
      <c r="K603" s="428">
        <v>130</v>
      </c>
      <c r="L603" s="217">
        <v>1000</v>
      </c>
      <c r="M603" s="428" t="s">
        <v>153</v>
      </c>
      <c r="N603" s="428" t="s">
        <v>149</v>
      </c>
      <c r="O603" s="428" t="s">
        <v>154</v>
      </c>
      <c r="P603" s="428" t="s">
        <v>151</v>
      </c>
      <c r="Q603" s="428" t="s">
        <v>155</v>
      </c>
      <c r="R603" s="428" t="s">
        <v>8851</v>
      </c>
      <c r="S603" s="428"/>
      <c r="T603" s="428" t="s">
        <v>2851</v>
      </c>
      <c r="U603" s="428" t="s">
        <v>152</v>
      </c>
      <c r="V603" s="428" t="s">
        <v>18</v>
      </c>
    </row>
    <row r="604" spans="1:22">
      <c r="A604" s="6"/>
      <c r="B604" s="216">
        <v>46247</v>
      </c>
      <c r="C604" s="216">
        <v>46247</v>
      </c>
      <c r="D604" s="428" t="s">
        <v>8852</v>
      </c>
      <c r="E604" s="428">
        <v>260102922397</v>
      </c>
      <c r="F604" s="428" t="s">
        <v>87</v>
      </c>
      <c r="G604" s="428" t="s">
        <v>824</v>
      </c>
      <c r="H604" s="428">
        <v>152</v>
      </c>
      <c r="I604" s="428">
        <v>229</v>
      </c>
      <c r="J604" s="369">
        <v>229</v>
      </c>
      <c r="K604" s="428">
        <v>104</v>
      </c>
      <c r="L604" s="217">
        <v>1500</v>
      </c>
      <c r="M604" s="428" t="s">
        <v>153</v>
      </c>
      <c r="N604" s="428" t="s">
        <v>149</v>
      </c>
      <c r="O604" s="428" t="s">
        <v>154</v>
      </c>
      <c r="P604" s="428" t="s">
        <v>151</v>
      </c>
      <c r="Q604" s="428" t="s">
        <v>155</v>
      </c>
      <c r="R604" s="428" t="s">
        <v>8853</v>
      </c>
      <c r="S604" s="428"/>
      <c r="T604" s="428" t="s">
        <v>2851</v>
      </c>
      <c r="U604" s="428" t="s">
        <v>152</v>
      </c>
      <c r="V604" s="428" t="s">
        <v>18</v>
      </c>
    </row>
    <row r="605" spans="1:22">
      <c r="A605" s="6"/>
      <c r="B605" s="216">
        <v>46247</v>
      </c>
      <c r="C605" s="216">
        <v>46247</v>
      </c>
      <c r="D605" s="428" t="s">
        <v>8854</v>
      </c>
      <c r="E605" s="428">
        <v>260103322401</v>
      </c>
      <c r="F605" s="428" t="s">
        <v>87</v>
      </c>
      <c r="G605" s="428" t="s">
        <v>2409</v>
      </c>
      <c r="H605" s="428">
        <v>152</v>
      </c>
      <c r="I605" s="428">
        <v>257</v>
      </c>
      <c r="J605" s="369">
        <v>257</v>
      </c>
      <c r="K605" s="428">
        <v>97</v>
      </c>
      <c r="L605" s="217">
        <v>1820</v>
      </c>
      <c r="M605" s="428" t="s">
        <v>153</v>
      </c>
      <c r="N605" s="428" t="s">
        <v>149</v>
      </c>
      <c r="O605" s="428" t="s">
        <v>154</v>
      </c>
      <c r="P605" s="428" t="s">
        <v>151</v>
      </c>
      <c r="Q605" s="428" t="s">
        <v>155</v>
      </c>
      <c r="R605" s="428" t="s">
        <v>8855</v>
      </c>
      <c r="S605" s="428"/>
      <c r="T605" s="428" t="s">
        <v>2851</v>
      </c>
      <c r="U605" s="428" t="s">
        <v>152</v>
      </c>
      <c r="V605" s="428" t="s">
        <v>18</v>
      </c>
    </row>
    <row r="606" spans="1:22">
      <c r="A606" s="6"/>
      <c r="B606" s="216">
        <v>46247</v>
      </c>
      <c r="C606" s="216">
        <v>46247</v>
      </c>
      <c r="D606" s="428" t="s">
        <v>8856</v>
      </c>
      <c r="E606" s="428">
        <v>260103822442</v>
      </c>
      <c r="F606" s="428" t="s">
        <v>87</v>
      </c>
      <c r="G606" s="428" t="s">
        <v>824</v>
      </c>
      <c r="H606" s="428">
        <v>152</v>
      </c>
      <c r="I606" s="428">
        <v>223</v>
      </c>
      <c r="J606" s="369">
        <v>223</v>
      </c>
      <c r="K606" s="428">
        <v>104</v>
      </c>
      <c r="L606" s="217">
        <v>1500</v>
      </c>
      <c r="M606" s="428" t="s">
        <v>153</v>
      </c>
      <c r="N606" s="428" t="s">
        <v>149</v>
      </c>
      <c r="O606" s="428" t="s">
        <v>154</v>
      </c>
      <c r="P606" s="428" t="s">
        <v>151</v>
      </c>
      <c r="Q606" s="428" t="s">
        <v>155</v>
      </c>
      <c r="R606" s="428" t="s">
        <v>8857</v>
      </c>
      <c r="S606" s="428"/>
      <c r="T606" s="428" t="s">
        <v>2851</v>
      </c>
      <c r="U606" s="428" t="s">
        <v>152</v>
      </c>
      <c r="V606" s="428" t="s">
        <v>18</v>
      </c>
    </row>
    <row r="607" spans="1:22">
      <c r="A607" s="6"/>
      <c r="B607" s="216">
        <v>46247</v>
      </c>
      <c r="C607" s="216">
        <v>46247</v>
      </c>
      <c r="D607" s="428" t="s">
        <v>8858</v>
      </c>
      <c r="E607" s="428">
        <v>260103822443</v>
      </c>
      <c r="F607" s="428" t="s">
        <v>87</v>
      </c>
      <c r="G607" s="428" t="s">
        <v>824</v>
      </c>
      <c r="H607" s="428">
        <v>152</v>
      </c>
      <c r="I607" s="428">
        <v>226</v>
      </c>
      <c r="J607" s="369">
        <v>226</v>
      </c>
      <c r="K607" s="428">
        <v>104</v>
      </c>
      <c r="L607" s="217">
        <v>1500</v>
      </c>
      <c r="M607" s="428" t="s">
        <v>153</v>
      </c>
      <c r="N607" s="428" t="s">
        <v>149</v>
      </c>
      <c r="O607" s="428" t="s">
        <v>154</v>
      </c>
      <c r="P607" s="428" t="s">
        <v>151</v>
      </c>
      <c r="Q607" s="428" t="s">
        <v>155</v>
      </c>
      <c r="R607" s="428" t="s">
        <v>8859</v>
      </c>
      <c r="S607" s="428"/>
      <c r="T607" s="428" t="s">
        <v>2851</v>
      </c>
      <c r="U607" s="428" t="s">
        <v>152</v>
      </c>
      <c r="V607" s="428" t="s">
        <v>18</v>
      </c>
    </row>
    <row r="608" spans="1:22">
      <c r="A608" s="6"/>
      <c r="B608" s="216">
        <v>46247</v>
      </c>
      <c r="C608" s="216">
        <v>46247</v>
      </c>
      <c r="D608" s="428" t="s">
        <v>8860</v>
      </c>
      <c r="E608" s="428">
        <v>260100922391</v>
      </c>
      <c r="F608" s="428" t="s">
        <v>87</v>
      </c>
      <c r="G608" s="428" t="s">
        <v>2521</v>
      </c>
      <c r="H608" s="428">
        <v>182</v>
      </c>
      <c r="I608" s="428">
        <v>452</v>
      </c>
      <c r="J608" s="369">
        <v>452</v>
      </c>
      <c r="K608" s="428">
        <v>190</v>
      </c>
      <c r="L608" s="217">
        <v>660</v>
      </c>
      <c r="M608" s="428" t="s">
        <v>153</v>
      </c>
      <c r="N608" s="428" t="s">
        <v>149</v>
      </c>
      <c r="O608" s="428" t="s">
        <v>154</v>
      </c>
      <c r="P608" s="428" t="s">
        <v>151</v>
      </c>
      <c r="Q608" s="428" t="s">
        <v>155</v>
      </c>
      <c r="R608" s="428" t="s">
        <v>8861</v>
      </c>
      <c r="S608" s="428"/>
      <c r="T608" s="428" t="s">
        <v>2851</v>
      </c>
      <c r="U608" s="428" t="s">
        <v>152</v>
      </c>
      <c r="V608" s="428" t="s">
        <v>18</v>
      </c>
    </row>
    <row r="609" spans="1:22">
      <c r="A609" s="6"/>
      <c r="B609" s="216">
        <v>46247</v>
      </c>
      <c r="C609" s="216">
        <v>46247</v>
      </c>
      <c r="D609" s="428" t="s">
        <v>8862</v>
      </c>
      <c r="E609" s="428">
        <v>260102622392</v>
      </c>
      <c r="F609" s="428" t="s">
        <v>87</v>
      </c>
      <c r="G609" s="428" t="s">
        <v>8032</v>
      </c>
      <c r="H609" s="428">
        <v>102</v>
      </c>
      <c r="I609" s="428">
        <v>338</v>
      </c>
      <c r="J609" s="369">
        <v>338</v>
      </c>
      <c r="K609" s="428">
        <v>130</v>
      </c>
      <c r="L609" s="217">
        <v>1330</v>
      </c>
      <c r="M609" s="428" t="s">
        <v>153</v>
      </c>
      <c r="N609" s="428" t="s">
        <v>149</v>
      </c>
      <c r="O609" s="428" t="s">
        <v>154</v>
      </c>
      <c r="P609" s="428" t="s">
        <v>151</v>
      </c>
      <c r="Q609" s="428" t="s">
        <v>155</v>
      </c>
      <c r="R609" s="428" t="s">
        <v>8863</v>
      </c>
      <c r="S609" s="428"/>
      <c r="T609" s="428" t="s">
        <v>2851</v>
      </c>
      <c r="U609" s="428" t="s">
        <v>152</v>
      </c>
      <c r="V609" s="428" t="s">
        <v>18</v>
      </c>
    </row>
    <row r="610" spans="1:22">
      <c r="A610" s="6"/>
      <c r="B610" s="216">
        <v>46247</v>
      </c>
      <c r="C610" s="216">
        <v>46247</v>
      </c>
      <c r="D610" s="428" t="s">
        <v>8864</v>
      </c>
      <c r="E610" s="428">
        <v>260103922402</v>
      </c>
      <c r="F610" s="428" t="s">
        <v>87</v>
      </c>
      <c r="G610" s="428" t="s">
        <v>2304</v>
      </c>
      <c r="H610" s="428">
        <v>132</v>
      </c>
      <c r="I610" s="428">
        <v>202</v>
      </c>
      <c r="J610" s="369">
        <v>202</v>
      </c>
      <c r="K610" s="428">
        <v>97</v>
      </c>
      <c r="L610" s="217">
        <v>1620</v>
      </c>
      <c r="M610" s="428" t="s">
        <v>153</v>
      </c>
      <c r="N610" s="428" t="s">
        <v>149</v>
      </c>
      <c r="O610" s="428" t="s">
        <v>154</v>
      </c>
      <c r="P610" s="428" t="s">
        <v>151</v>
      </c>
      <c r="Q610" s="428" t="s">
        <v>155</v>
      </c>
      <c r="R610" s="428" t="s">
        <v>8865</v>
      </c>
      <c r="S610" s="428"/>
      <c r="T610" s="428" t="s">
        <v>2851</v>
      </c>
      <c r="U610" s="428" t="s">
        <v>152</v>
      </c>
      <c r="V610" s="428" t="s">
        <v>18</v>
      </c>
    </row>
    <row r="611" spans="1:22">
      <c r="A611" s="6"/>
      <c r="B611" s="216">
        <v>46247</v>
      </c>
      <c r="C611" s="216">
        <v>46247</v>
      </c>
      <c r="D611" s="428" t="s">
        <v>8866</v>
      </c>
      <c r="E611" s="428">
        <v>260103422444</v>
      </c>
      <c r="F611" s="428" t="s">
        <v>87</v>
      </c>
      <c r="G611" s="428" t="s">
        <v>824</v>
      </c>
      <c r="H611" s="428">
        <v>152</v>
      </c>
      <c r="I611" s="428">
        <v>266</v>
      </c>
      <c r="J611" s="369">
        <v>266</v>
      </c>
      <c r="K611" s="428">
        <v>104</v>
      </c>
      <c r="L611" s="217">
        <v>1740</v>
      </c>
      <c r="M611" s="428" t="s">
        <v>153</v>
      </c>
      <c r="N611" s="428" t="s">
        <v>149</v>
      </c>
      <c r="O611" s="428" t="s">
        <v>154</v>
      </c>
      <c r="P611" s="428" t="s">
        <v>151</v>
      </c>
      <c r="Q611" s="428" t="s">
        <v>155</v>
      </c>
      <c r="R611" s="428" t="s">
        <v>8867</v>
      </c>
      <c r="S611" s="428"/>
      <c r="T611" s="428" t="s">
        <v>2851</v>
      </c>
      <c r="U611" s="428" t="s">
        <v>152</v>
      </c>
      <c r="V611" s="428" t="s">
        <v>18</v>
      </c>
    </row>
    <row r="612" spans="1:22">
      <c r="A612" s="6"/>
      <c r="B612" s="216">
        <v>46247</v>
      </c>
      <c r="C612" s="216">
        <v>46247</v>
      </c>
      <c r="D612" s="428" t="s">
        <v>8868</v>
      </c>
      <c r="E612" s="428">
        <v>260103422445</v>
      </c>
      <c r="F612" s="428" t="s">
        <v>87</v>
      </c>
      <c r="G612" s="428" t="s">
        <v>824</v>
      </c>
      <c r="H612" s="428">
        <v>152</v>
      </c>
      <c r="I612" s="428">
        <v>269</v>
      </c>
      <c r="J612" s="369">
        <v>269</v>
      </c>
      <c r="K612" s="428">
        <v>104</v>
      </c>
      <c r="L612" s="217">
        <v>1740</v>
      </c>
      <c r="M612" s="428" t="s">
        <v>153</v>
      </c>
      <c r="N612" s="428" t="s">
        <v>149</v>
      </c>
      <c r="O612" s="428" t="s">
        <v>154</v>
      </c>
      <c r="P612" s="428" t="s">
        <v>151</v>
      </c>
      <c r="Q612" s="428" t="s">
        <v>155</v>
      </c>
      <c r="R612" s="428" t="s">
        <v>8869</v>
      </c>
      <c r="S612" s="428"/>
      <c r="T612" s="428" t="s">
        <v>2851</v>
      </c>
      <c r="U612" s="428" t="s">
        <v>152</v>
      </c>
      <c r="V612" s="428" t="s">
        <v>18</v>
      </c>
    </row>
    <row r="613" spans="1:22">
      <c r="A613" s="6"/>
      <c r="B613" s="216">
        <v>46247</v>
      </c>
      <c r="C613" s="216">
        <v>46247</v>
      </c>
      <c r="D613" s="428" t="s">
        <v>8870</v>
      </c>
      <c r="E613" s="428">
        <v>260102522468</v>
      </c>
      <c r="F613" s="428" t="s">
        <v>87</v>
      </c>
      <c r="G613" s="428" t="s">
        <v>8032</v>
      </c>
      <c r="H613" s="428">
        <v>102</v>
      </c>
      <c r="I613" s="428">
        <v>272</v>
      </c>
      <c r="J613" s="369">
        <v>272</v>
      </c>
      <c r="K613" s="428">
        <v>130</v>
      </c>
      <c r="L613" s="217">
        <v>1050</v>
      </c>
      <c r="M613" s="428" t="s">
        <v>153</v>
      </c>
      <c r="N613" s="428" t="s">
        <v>149</v>
      </c>
      <c r="O613" s="428" t="s">
        <v>154</v>
      </c>
      <c r="P613" s="428" t="s">
        <v>151</v>
      </c>
      <c r="Q613" s="428" t="s">
        <v>155</v>
      </c>
      <c r="R613" s="428" t="s">
        <v>8871</v>
      </c>
      <c r="S613" s="428"/>
      <c r="T613" s="428" t="s">
        <v>2851</v>
      </c>
      <c r="U613" s="428" t="s">
        <v>152</v>
      </c>
      <c r="V613" s="428" t="s">
        <v>18</v>
      </c>
    </row>
    <row r="614" spans="1:22">
      <c r="A614" s="6"/>
      <c r="B614" s="216">
        <v>46247</v>
      </c>
      <c r="C614" s="216">
        <v>46247</v>
      </c>
      <c r="D614" s="428" t="s">
        <v>8872</v>
      </c>
      <c r="E614" s="428">
        <v>260102922398</v>
      </c>
      <c r="F614" s="428" t="s">
        <v>87</v>
      </c>
      <c r="G614" s="428" t="s">
        <v>824</v>
      </c>
      <c r="H614" s="428">
        <v>152</v>
      </c>
      <c r="I614" s="428">
        <v>225</v>
      </c>
      <c r="J614" s="369">
        <v>225</v>
      </c>
      <c r="K614" s="428">
        <v>104</v>
      </c>
      <c r="L614" s="217">
        <v>1500</v>
      </c>
      <c r="M614" s="428" t="s">
        <v>153</v>
      </c>
      <c r="N614" s="428" t="s">
        <v>149</v>
      </c>
      <c r="O614" s="428" t="s">
        <v>154</v>
      </c>
      <c r="P614" s="428" t="s">
        <v>151</v>
      </c>
      <c r="Q614" s="428" t="s">
        <v>155</v>
      </c>
      <c r="R614" s="428" t="s">
        <v>8873</v>
      </c>
      <c r="S614" s="428"/>
      <c r="T614" s="428" t="s">
        <v>2851</v>
      </c>
      <c r="U614" s="428" t="s">
        <v>152</v>
      </c>
      <c r="V614" s="428" t="s">
        <v>18</v>
      </c>
    </row>
    <row r="615" spans="1:22">
      <c r="A615" s="6"/>
      <c r="B615" s="216">
        <v>46247</v>
      </c>
      <c r="C615" s="216">
        <v>46247</v>
      </c>
      <c r="D615" s="428" t="s">
        <v>8874</v>
      </c>
      <c r="E615" s="428">
        <v>260105822427</v>
      </c>
      <c r="F615" s="428" t="s">
        <v>87</v>
      </c>
      <c r="G615" s="428" t="s">
        <v>824</v>
      </c>
      <c r="H615" s="428">
        <v>152</v>
      </c>
      <c r="I615" s="428">
        <v>259</v>
      </c>
      <c r="J615" s="369">
        <v>259</v>
      </c>
      <c r="K615" s="428">
        <v>104</v>
      </c>
      <c r="L615" s="217">
        <v>1720</v>
      </c>
      <c r="M615" s="428" t="s">
        <v>153</v>
      </c>
      <c r="N615" s="428" t="s">
        <v>149</v>
      </c>
      <c r="O615" s="428" t="s">
        <v>154</v>
      </c>
      <c r="P615" s="428" t="s">
        <v>151</v>
      </c>
      <c r="Q615" s="428" t="s">
        <v>155</v>
      </c>
      <c r="R615" s="428" t="s">
        <v>8875</v>
      </c>
      <c r="S615" s="428"/>
      <c r="T615" s="428" t="s">
        <v>2851</v>
      </c>
      <c r="U615" s="428" t="s">
        <v>152</v>
      </c>
      <c r="V615" s="428" t="s">
        <v>18</v>
      </c>
    </row>
    <row r="616" spans="1:22">
      <c r="A616" s="6"/>
      <c r="B616" s="216">
        <v>46247</v>
      </c>
      <c r="C616" s="216">
        <v>46247</v>
      </c>
      <c r="D616" s="428" t="s">
        <v>8876</v>
      </c>
      <c r="E616" s="428">
        <v>260102822450</v>
      </c>
      <c r="F616" s="428" t="s">
        <v>87</v>
      </c>
      <c r="G616" s="428" t="s">
        <v>8032</v>
      </c>
      <c r="H616" s="428">
        <v>102</v>
      </c>
      <c r="I616" s="428">
        <v>256</v>
      </c>
      <c r="J616" s="369">
        <v>256</v>
      </c>
      <c r="K616" s="428">
        <v>130</v>
      </c>
      <c r="L616" s="217">
        <v>1000</v>
      </c>
      <c r="M616" s="428" t="s">
        <v>153</v>
      </c>
      <c r="N616" s="428" t="s">
        <v>149</v>
      </c>
      <c r="O616" s="428" t="s">
        <v>154</v>
      </c>
      <c r="P616" s="428" t="s">
        <v>151</v>
      </c>
      <c r="Q616" s="428" t="s">
        <v>155</v>
      </c>
      <c r="R616" s="428" t="s">
        <v>8877</v>
      </c>
      <c r="S616" s="428"/>
      <c r="T616" s="428" t="s">
        <v>2851</v>
      </c>
      <c r="U616" s="428" t="s">
        <v>152</v>
      </c>
      <c r="V616" s="428" t="s">
        <v>18</v>
      </c>
    </row>
    <row r="617" spans="1:22">
      <c r="A617" s="6"/>
      <c r="B617" s="216">
        <v>46247</v>
      </c>
      <c r="C617" s="216">
        <v>46247</v>
      </c>
      <c r="D617" s="428" t="s">
        <v>8878</v>
      </c>
      <c r="E617" s="428">
        <v>260102322452</v>
      </c>
      <c r="F617" s="428" t="s">
        <v>87</v>
      </c>
      <c r="G617" s="428" t="s">
        <v>8032</v>
      </c>
      <c r="H617" s="428">
        <v>102</v>
      </c>
      <c r="I617" s="428">
        <v>258</v>
      </c>
      <c r="J617" s="369">
        <v>258</v>
      </c>
      <c r="K617" s="428">
        <v>130</v>
      </c>
      <c r="L617" s="217">
        <v>1000</v>
      </c>
      <c r="M617" s="428" t="s">
        <v>153</v>
      </c>
      <c r="N617" s="428" t="s">
        <v>149</v>
      </c>
      <c r="O617" s="428" t="s">
        <v>154</v>
      </c>
      <c r="P617" s="428" t="s">
        <v>151</v>
      </c>
      <c r="Q617" s="428" t="s">
        <v>155</v>
      </c>
      <c r="R617" s="428" t="s">
        <v>8879</v>
      </c>
      <c r="S617" s="428"/>
      <c r="T617" s="428" t="s">
        <v>2851</v>
      </c>
      <c r="U617" s="428" t="s">
        <v>152</v>
      </c>
      <c r="V617" s="428" t="s">
        <v>18</v>
      </c>
    </row>
    <row r="618" spans="1:22">
      <c r="A618" s="6"/>
      <c r="B618" s="216">
        <v>46247</v>
      </c>
      <c r="C618" s="216">
        <v>46247</v>
      </c>
      <c r="D618" s="428" t="s">
        <v>8880</v>
      </c>
      <c r="E618" s="428">
        <v>260101622454</v>
      </c>
      <c r="F618" s="428" t="s">
        <v>87</v>
      </c>
      <c r="G618" s="428" t="s">
        <v>2079</v>
      </c>
      <c r="H618" s="428">
        <v>112</v>
      </c>
      <c r="I618" s="428">
        <v>281</v>
      </c>
      <c r="J618" s="369">
        <v>281</v>
      </c>
      <c r="K618" s="428">
        <v>180</v>
      </c>
      <c r="L618" s="217">
        <v>710</v>
      </c>
      <c r="M618" s="428" t="s">
        <v>153</v>
      </c>
      <c r="N618" s="428" t="s">
        <v>149</v>
      </c>
      <c r="O618" s="428" t="s">
        <v>154</v>
      </c>
      <c r="P618" s="428" t="s">
        <v>151</v>
      </c>
      <c r="Q618" s="428" t="s">
        <v>155</v>
      </c>
      <c r="R618" s="428" t="s">
        <v>8881</v>
      </c>
      <c r="S618" s="428"/>
      <c r="T618" s="428" t="s">
        <v>2851</v>
      </c>
      <c r="U618" s="428" t="s">
        <v>152</v>
      </c>
      <c r="V618" s="428" t="s">
        <v>18</v>
      </c>
    </row>
    <row r="619" spans="1:22">
      <c r="A619" s="6"/>
      <c r="B619" s="216">
        <v>46247</v>
      </c>
      <c r="C619" s="216">
        <v>46247</v>
      </c>
      <c r="D619" s="428" t="s">
        <v>8882</v>
      </c>
      <c r="E619" s="428">
        <v>260100722388</v>
      </c>
      <c r="F619" s="428" t="s">
        <v>87</v>
      </c>
      <c r="G619" s="428" t="s">
        <v>7586</v>
      </c>
      <c r="H619" s="428">
        <v>132</v>
      </c>
      <c r="I619" s="428">
        <v>500</v>
      </c>
      <c r="J619" s="369">
        <v>500</v>
      </c>
      <c r="K619" s="428">
        <v>170</v>
      </c>
      <c r="L619" s="217">
        <v>1150</v>
      </c>
      <c r="M619" s="428" t="s">
        <v>153</v>
      </c>
      <c r="N619" s="428" t="s">
        <v>149</v>
      </c>
      <c r="O619" s="428" t="s">
        <v>154</v>
      </c>
      <c r="P619" s="428" t="s">
        <v>151</v>
      </c>
      <c r="Q619" s="428" t="s">
        <v>155</v>
      </c>
      <c r="R619" s="428" t="s">
        <v>8883</v>
      </c>
      <c r="S619" s="428"/>
      <c r="T619" s="428" t="s">
        <v>2851</v>
      </c>
      <c r="U619" s="428" t="s">
        <v>152</v>
      </c>
      <c r="V619" s="428" t="s">
        <v>18</v>
      </c>
    </row>
    <row r="620" spans="1:22">
      <c r="A620" s="6"/>
      <c r="B620" s="216">
        <v>46247</v>
      </c>
      <c r="C620" s="216">
        <v>46247</v>
      </c>
      <c r="D620" s="428" t="s">
        <v>8884</v>
      </c>
      <c r="E620" s="428">
        <v>260100722456</v>
      </c>
      <c r="F620" s="428" t="s">
        <v>87</v>
      </c>
      <c r="G620" s="428" t="s">
        <v>7586</v>
      </c>
      <c r="H620" s="428">
        <v>132</v>
      </c>
      <c r="I620" s="428">
        <v>323</v>
      </c>
      <c r="J620" s="369">
        <v>323</v>
      </c>
      <c r="K620" s="428">
        <v>170</v>
      </c>
      <c r="L620" s="217">
        <v>740</v>
      </c>
      <c r="M620" s="428" t="s">
        <v>153</v>
      </c>
      <c r="N620" s="428" t="s">
        <v>149</v>
      </c>
      <c r="O620" s="428" t="s">
        <v>154</v>
      </c>
      <c r="P620" s="428" t="s">
        <v>151</v>
      </c>
      <c r="Q620" s="428" t="s">
        <v>155</v>
      </c>
      <c r="R620" s="428" t="s">
        <v>8885</v>
      </c>
      <c r="S620" s="428"/>
      <c r="T620" s="428" t="s">
        <v>2851</v>
      </c>
      <c r="U620" s="428" t="s">
        <v>152</v>
      </c>
      <c r="V620" s="428" t="s">
        <v>18</v>
      </c>
    </row>
    <row r="621" spans="1:22">
      <c r="A621" s="6"/>
      <c r="B621" s="216">
        <v>46247</v>
      </c>
      <c r="C621" s="216">
        <v>46247</v>
      </c>
      <c r="D621" s="428" t="s">
        <v>8886</v>
      </c>
      <c r="E621" s="428">
        <v>260101922455</v>
      </c>
      <c r="F621" s="428" t="s">
        <v>87</v>
      </c>
      <c r="G621" s="428" t="s">
        <v>2303</v>
      </c>
      <c r="H621" s="428">
        <v>92</v>
      </c>
      <c r="I621" s="428">
        <v>239</v>
      </c>
      <c r="J621" s="369">
        <v>239</v>
      </c>
      <c r="K621" s="428">
        <v>134</v>
      </c>
      <c r="L621" s="217">
        <v>1000</v>
      </c>
      <c r="M621" s="428" t="s">
        <v>153</v>
      </c>
      <c r="N621" s="428" t="s">
        <v>149</v>
      </c>
      <c r="O621" s="428" t="s">
        <v>154</v>
      </c>
      <c r="P621" s="428" t="s">
        <v>151</v>
      </c>
      <c r="Q621" s="428" t="s">
        <v>155</v>
      </c>
      <c r="R621" s="428" t="s">
        <v>8887</v>
      </c>
      <c r="S621" s="428"/>
      <c r="T621" s="428" t="s">
        <v>2851</v>
      </c>
      <c r="U621" s="428" t="s">
        <v>152</v>
      </c>
      <c r="V621" s="428" t="s">
        <v>18</v>
      </c>
    </row>
    <row r="622" spans="1:22">
      <c r="A622" s="6"/>
      <c r="B622" s="216">
        <v>46247</v>
      </c>
      <c r="C622" s="216">
        <v>46247</v>
      </c>
      <c r="D622" s="428" t="s">
        <v>8888</v>
      </c>
      <c r="E622" s="428">
        <v>260101522389</v>
      </c>
      <c r="F622" s="428" t="s">
        <v>87</v>
      </c>
      <c r="G622" s="428" t="s">
        <v>2419</v>
      </c>
      <c r="H622" s="428">
        <v>92</v>
      </c>
      <c r="I622" s="428">
        <v>358</v>
      </c>
      <c r="J622" s="369">
        <v>358</v>
      </c>
      <c r="K622" s="428">
        <v>180</v>
      </c>
      <c r="L622" s="217">
        <v>1100</v>
      </c>
      <c r="M622" s="428" t="s">
        <v>153</v>
      </c>
      <c r="N622" s="428" t="s">
        <v>149</v>
      </c>
      <c r="O622" s="428" t="s">
        <v>154</v>
      </c>
      <c r="P622" s="428" t="s">
        <v>151</v>
      </c>
      <c r="Q622" s="428" t="s">
        <v>155</v>
      </c>
      <c r="R622" s="428" t="s">
        <v>8889</v>
      </c>
      <c r="S622" s="428"/>
      <c r="T622" s="428" t="s">
        <v>2851</v>
      </c>
      <c r="U622" s="428" t="s">
        <v>152</v>
      </c>
      <c r="V622" s="428" t="s">
        <v>18</v>
      </c>
    </row>
    <row r="623" spans="1:22">
      <c r="A623" s="6"/>
      <c r="B623" s="216">
        <v>46247</v>
      </c>
      <c r="C623" s="216">
        <v>46247</v>
      </c>
      <c r="D623" s="428" t="s">
        <v>8890</v>
      </c>
      <c r="E623" s="428">
        <v>260106922438</v>
      </c>
      <c r="F623" s="428" t="s">
        <v>87</v>
      </c>
      <c r="G623" s="428" t="s">
        <v>7928</v>
      </c>
      <c r="H623" s="428">
        <v>135</v>
      </c>
      <c r="I623" s="428">
        <v>280</v>
      </c>
      <c r="J623" s="369">
        <v>280</v>
      </c>
      <c r="K623" s="428">
        <v>107</v>
      </c>
      <c r="L623" s="217">
        <v>2020</v>
      </c>
      <c r="M623" s="428" t="s">
        <v>153</v>
      </c>
      <c r="N623" s="428" t="s">
        <v>149</v>
      </c>
      <c r="O623" s="428" t="s">
        <v>154</v>
      </c>
      <c r="P623" s="428" t="s">
        <v>151</v>
      </c>
      <c r="Q623" s="428" t="s">
        <v>155</v>
      </c>
      <c r="R623" s="428" t="s">
        <v>8891</v>
      </c>
      <c r="S623" s="428"/>
      <c r="T623" s="428" t="s">
        <v>2851</v>
      </c>
      <c r="U623" s="428" t="s">
        <v>152</v>
      </c>
      <c r="V623" s="428" t="s">
        <v>18</v>
      </c>
    </row>
    <row r="624" spans="1:22">
      <c r="A624" s="6"/>
      <c r="B624" s="216">
        <v>46247</v>
      </c>
      <c r="C624" s="216">
        <v>46247</v>
      </c>
      <c r="D624" s="428" t="s">
        <v>8892</v>
      </c>
      <c r="E624" s="428">
        <v>260103622446</v>
      </c>
      <c r="F624" s="428" t="s">
        <v>87</v>
      </c>
      <c r="G624" s="428" t="s">
        <v>2360</v>
      </c>
      <c r="H624" s="428">
        <v>135</v>
      </c>
      <c r="I624" s="428">
        <v>232</v>
      </c>
      <c r="J624" s="369">
        <v>232</v>
      </c>
      <c r="K624" s="428">
        <v>87</v>
      </c>
      <c r="L624" s="217">
        <v>2050</v>
      </c>
      <c r="M624" s="428" t="s">
        <v>153</v>
      </c>
      <c r="N624" s="428" t="s">
        <v>149</v>
      </c>
      <c r="O624" s="428" t="s">
        <v>154</v>
      </c>
      <c r="P624" s="428" t="s">
        <v>151</v>
      </c>
      <c r="Q624" s="428" t="s">
        <v>155</v>
      </c>
      <c r="R624" s="428" t="s">
        <v>8893</v>
      </c>
      <c r="S624" s="428"/>
      <c r="T624" s="428" t="s">
        <v>2851</v>
      </c>
      <c r="U624" s="428" t="s">
        <v>152</v>
      </c>
      <c r="V624" s="428" t="s">
        <v>18</v>
      </c>
    </row>
    <row r="625" spans="1:22">
      <c r="A625" s="6"/>
      <c r="B625" s="216">
        <v>46247</v>
      </c>
      <c r="C625" s="216">
        <v>46247</v>
      </c>
      <c r="D625" s="428" t="s">
        <v>8894</v>
      </c>
      <c r="E625" s="428">
        <v>260101322299</v>
      </c>
      <c r="F625" s="428" t="s">
        <v>87</v>
      </c>
      <c r="G625" s="428" t="s">
        <v>2517</v>
      </c>
      <c r="H625" s="428" t="s">
        <v>2518</v>
      </c>
      <c r="I625" s="428">
        <v>826</v>
      </c>
      <c r="J625" s="369">
        <v>826</v>
      </c>
      <c r="K625" s="428">
        <v>190</v>
      </c>
      <c r="L625" s="217">
        <v>1400</v>
      </c>
      <c r="M625" s="428" t="s">
        <v>153</v>
      </c>
      <c r="N625" s="428" t="s">
        <v>149</v>
      </c>
      <c r="O625" s="428" t="s">
        <v>154</v>
      </c>
      <c r="P625" s="428" t="s">
        <v>151</v>
      </c>
      <c r="Q625" s="428" t="s">
        <v>156</v>
      </c>
      <c r="R625" s="428" t="s">
        <v>8895</v>
      </c>
      <c r="S625" s="428"/>
      <c r="T625" s="428" t="s">
        <v>2851</v>
      </c>
      <c r="U625" s="428" t="s">
        <v>152</v>
      </c>
      <c r="V625" s="428" t="s">
        <v>20</v>
      </c>
    </row>
    <row r="626" spans="1:22">
      <c r="A626" s="6"/>
      <c r="B626" s="216">
        <v>46247</v>
      </c>
      <c r="C626" s="216">
        <v>46247</v>
      </c>
      <c r="D626" s="428" t="s">
        <v>8896</v>
      </c>
      <c r="E626" s="428">
        <v>260100422300</v>
      </c>
      <c r="F626" s="428" t="s">
        <v>87</v>
      </c>
      <c r="G626" s="428" t="s">
        <v>2517</v>
      </c>
      <c r="H626" s="428" t="s">
        <v>2518</v>
      </c>
      <c r="I626" s="217">
        <v>1038</v>
      </c>
      <c r="J626" s="370">
        <v>1038</v>
      </c>
      <c r="K626" s="428">
        <v>190</v>
      </c>
      <c r="L626" s="217">
        <v>1820</v>
      </c>
      <c r="M626" s="428" t="s">
        <v>153</v>
      </c>
      <c r="N626" s="428" t="s">
        <v>149</v>
      </c>
      <c r="O626" s="428" t="s">
        <v>154</v>
      </c>
      <c r="P626" s="428" t="s">
        <v>151</v>
      </c>
      <c r="Q626" s="428" t="s">
        <v>156</v>
      </c>
      <c r="R626" s="428" t="s">
        <v>8897</v>
      </c>
      <c r="S626" s="428"/>
      <c r="T626" s="428" t="s">
        <v>2851</v>
      </c>
      <c r="U626" s="428" t="s">
        <v>152</v>
      </c>
      <c r="V626" s="428" t="s">
        <v>20</v>
      </c>
    </row>
    <row r="627" spans="1:22">
      <c r="A627" s="6"/>
      <c r="B627" s="216">
        <v>46248</v>
      </c>
      <c r="C627" s="216">
        <v>46248</v>
      </c>
      <c r="D627" s="428" t="s">
        <v>8898</v>
      </c>
      <c r="E627" s="428">
        <v>260105222473</v>
      </c>
      <c r="F627" s="428" t="s">
        <v>87</v>
      </c>
      <c r="G627" s="428" t="s">
        <v>2527</v>
      </c>
      <c r="H627" s="428">
        <v>152</v>
      </c>
      <c r="I627" s="428">
        <v>327</v>
      </c>
      <c r="J627" s="369">
        <v>327</v>
      </c>
      <c r="K627" s="428">
        <v>104</v>
      </c>
      <c r="L627" s="217">
        <v>2110</v>
      </c>
      <c r="M627" s="428" t="s">
        <v>153</v>
      </c>
      <c r="N627" s="428" t="s">
        <v>149</v>
      </c>
      <c r="O627" s="428" t="s">
        <v>154</v>
      </c>
      <c r="P627" s="428" t="s">
        <v>151</v>
      </c>
      <c r="Q627" s="428" t="s">
        <v>155</v>
      </c>
      <c r="R627" s="428" t="s">
        <v>8899</v>
      </c>
      <c r="S627" s="428"/>
      <c r="T627" s="428" t="s">
        <v>2853</v>
      </c>
      <c r="U627" s="428" t="s">
        <v>152</v>
      </c>
      <c r="V627" s="428" t="s">
        <v>18</v>
      </c>
    </row>
    <row r="628" spans="1:22">
      <c r="A628" s="6"/>
      <c r="B628" s="216">
        <v>46248</v>
      </c>
      <c r="C628" s="216">
        <v>46248</v>
      </c>
      <c r="D628" s="428" t="s">
        <v>8900</v>
      </c>
      <c r="E628" s="428">
        <v>260105222415</v>
      </c>
      <c r="F628" s="428" t="s">
        <v>87</v>
      </c>
      <c r="G628" s="428" t="s">
        <v>2527</v>
      </c>
      <c r="H628" s="428">
        <v>152</v>
      </c>
      <c r="I628" s="428">
        <v>279</v>
      </c>
      <c r="J628" s="369">
        <v>279</v>
      </c>
      <c r="K628" s="428">
        <v>104</v>
      </c>
      <c r="L628" s="217">
        <v>1860</v>
      </c>
      <c r="M628" s="428" t="s">
        <v>153</v>
      </c>
      <c r="N628" s="428" t="s">
        <v>149</v>
      </c>
      <c r="O628" s="428" t="s">
        <v>154</v>
      </c>
      <c r="P628" s="428" t="s">
        <v>151</v>
      </c>
      <c r="Q628" s="428" t="s">
        <v>155</v>
      </c>
      <c r="R628" s="428" t="s">
        <v>8901</v>
      </c>
      <c r="S628" s="428"/>
      <c r="T628" s="428" t="s">
        <v>2853</v>
      </c>
      <c r="U628" s="428" t="s">
        <v>152</v>
      </c>
      <c r="V628" s="428" t="s">
        <v>18</v>
      </c>
    </row>
    <row r="629" spans="1:22">
      <c r="A629" s="6"/>
      <c r="B629" s="216">
        <v>46248</v>
      </c>
      <c r="C629" s="216">
        <v>46248</v>
      </c>
      <c r="D629" s="428" t="s">
        <v>8902</v>
      </c>
      <c r="E629" s="428">
        <v>260102022396</v>
      </c>
      <c r="F629" s="428" t="s">
        <v>87</v>
      </c>
      <c r="G629" s="428" t="s">
        <v>2303</v>
      </c>
      <c r="H629" s="428">
        <v>92</v>
      </c>
      <c r="I629" s="428">
        <v>275</v>
      </c>
      <c r="J629" s="369">
        <v>275</v>
      </c>
      <c r="K629" s="428">
        <v>134</v>
      </c>
      <c r="L629" s="217">
        <v>1130</v>
      </c>
      <c r="M629" s="428" t="s">
        <v>153</v>
      </c>
      <c r="N629" s="428" t="s">
        <v>149</v>
      </c>
      <c r="O629" s="428" t="s">
        <v>154</v>
      </c>
      <c r="P629" s="428" t="s">
        <v>151</v>
      </c>
      <c r="Q629" s="428" t="s">
        <v>155</v>
      </c>
      <c r="R629" s="428" t="s">
        <v>8903</v>
      </c>
      <c r="S629" s="428"/>
      <c r="T629" s="428" t="s">
        <v>2853</v>
      </c>
      <c r="U629" s="428" t="s">
        <v>152</v>
      </c>
      <c r="V629" s="428" t="s">
        <v>18</v>
      </c>
    </row>
    <row r="630" spans="1:22">
      <c r="A630" s="6"/>
      <c r="B630" s="216">
        <v>46248</v>
      </c>
      <c r="C630" s="216">
        <v>46248</v>
      </c>
      <c r="D630" s="428" t="s">
        <v>8904</v>
      </c>
      <c r="E630" s="428">
        <v>260104622405</v>
      </c>
      <c r="F630" s="428" t="s">
        <v>87</v>
      </c>
      <c r="G630" s="428" t="s">
        <v>824</v>
      </c>
      <c r="H630" s="428">
        <v>152</v>
      </c>
      <c r="I630" s="428">
        <v>263</v>
      </c>
      <c r="J630" s="369">
        <v>263</v>
      </c>
      <c r="K630" s="428">
        <v>104</v>
      </c>
      <c r="L630" s="217">
        <v>1750</v>
      </c>
      <c r="M630" s="428" t="s">
        <v>153</v>
      </c>
      <c r="N630" s="428" t="s">
        <v>149</v>
      </c>
      <c r="O630" s="428" t="s">
        <v>154</v>
      </c>
      <c r="P630" s="428" t="s">
        <v>151</v>
      </c>
      <c r="Q630" s="428" t="s">
        <v>155</v>
      </c>
      <c r="R630" s="428" t="s">
        <v>8905</v>
      </c>
      <c r="S630" s="428"/>
      <c r="T630" s="428" t="s">
        <v>2853</v>
      </c>
      <c r="U630" s="428" t="s">
        <v>152</v>
      </c>
      <c r="V630" s="428" t="s">
        <v>18</v>
      </c>
    </row>
    <row r="631" spans="1:22">
      <c r="A631" s="6"/>
      <c r="B631" s="216">
        <v>46248</v>
      </c>
      <c r="C631" s="216">
        <v>46248</v>
      </c>
      <c r="D631" s="428" t="s">
        <v>8906</v>
      </c>
      <c r="E631" s="428">
        <v>260106222407</v>
      </c>
      <c r="F631" s="428" t="s">
        <v>87</v>
      </c>
      <c r="G631" s="428" t="s">
        <v>824</v>
      </c>
      <c r="H631" s="428">
        <v>182</v>
      </c>
      <c r="I631" s="428">
        <v>286</v>
      </c>
      <c r="J631" s="369">
        <v>286</v>
      </c>
      <c r="K631" s="428">
        <v>104</v>
      </c>
      <c r="L631" s="217">
        <v>1600</v>
      </c>
      <c r="M631" s="428" t="s">
        <v>153</v>
      </c>
      <c r="N631" s="428" t="s">
        <v>149</v>
      </c>
      <c r="O631" s="428" t="s">
        <v>154</v>
      </c>
      <c r="P631" s="428" t="s">
        <v>151</v>
      </c>
      <c r="Q631" s="428" t="s">
        <v>155</v>
      </c>
      <c r="R631" s="428" t="s">
        <v>8907</v>
      </c>
      <c r="S631" s="428"/>
      <c r="T631" s="428" t="s">
        <v>2853</v>
      </c>
      <c r="U631" s="428" t="s">
        <v>152</v>
      </c>
      <c r="V631" s="428" t="s">
        <v>18</v>
      </c>
    </row>
    <row r="632" spans="1:22">
      <c r="A632" s="6"/>
      <c r="B632" s="216">
        <v>46248</v>
      </c>
      <c r="C632" s="216">
        <v>46248</v>
      </c>
      <c r="D632" s="428" t="s">
        <v>8908</v>
      </c>
      <c r="E632" s="428">
        <v>260102322395</v>
      </c>
      <c r="F632" s="428" t="s">
        <v>87</v>
      </c>
      <c r="G632" s="428" t="s">
        <v>8032</v>
      </c>
      <c r="H632" s="428">
        <v>102</v>
      </c>
      <c r="I632" s="428">
        <v>257</v>
      </c>
      <c r="J632" s="369">
        <v>257</v>
      </c>
      <c r="K632" s="428">
        <v>130</v>
      </c>
      <c r="L632" s="217">
        <v>1000</v>
      </c>
      <c r="M632" s="428" t="s">
        <v>153</v>
      </c>
      <c r="N632" s="428" t="s">
        <v>149</v>
      </c>
      <c r="O632" s="428" t="s">
        <v>154</v>
      </c>
      <c r="P632" s="428" t="s">
        <v>151</v>
      </c>
      <c r="Q632" s="428" t="s">
        <v>155</v>
      </c>
      <c r="R632" s="428" t="s">
        <v>8909</v>
      </c>
      <c r="S632" s="428"/>
      <c r="T632" s="428" t="s">
        <v>2853</v>
      </c>
      <c r="U632" s="428" t="s">
        <v>152</v>
      </c>
      <c r="V632" s="428" t="s">
        <v>18</v>
      </c>
    </row>
    <row r="633" spans="1:22">
      <c r="A633" s="6"/>
      <c r="B633" s="216">
        <v>46248</v>
      </c>
      <c r="C633" s="216">
        <v>46248</v>
      </c>
      <c r="D633" s="428" t="s">
        <v>8910</v>
      </c>
      <c r="E633" s="428">
        <v>260105022411</v>
      </c>
      <c r="F633" s="428" t="s">
        <v>87</v>
      </c>
      <c r="G633" s="428" t="s">
        <v>2407</v>
      </c>
      <c r="H633" s="428">
        <v>160</v>
      </c>
      <c r="I633" s="428">
        <v>260</v>
      </c>
      <c r="J633" s="369">
        <v>260</v>
      </c>
      <c r="K633" s="428">
        <v>102</v>
      </c>
      <c r="L633" s="217">
        <v>1660</v>
      </c>
      <c r="M633" s="428" t="s">
        <v>153</v>
      </c>
      <c r="N633" s="428" t="s">
        <v>149</v>
      </c>
      <c r="O633" s="428" t="s">
        <v>154</v>
      </c>
      <c r="P633" s="428" t="s">
        <v>151</v>
      </c>
      <c r="Q633" s="428" t="s">
        <v>155</v>
      </c>
      <c r="R633" s="428" t="s">
        <v>8911</v>
      </c>
      <c r="S633" s="428"/>
      <c r="T633" s="428" t="s">
        <v>2853</v>
      </c>
      <c r="U633" s="428" t="s">
        <v>152</v>
      </c>
      <c r="V633" s="428" t="s">
        <v>18</v>
      </c>
    </row>
    <row r="634" spans="1:22">
      <c r="A634" s="6"/>
      <c r="B634" s="216">
        <v>46248</v>
      </c>
      <c r="C634" s="216">
        <v>46248</v>
      </c>
      <c r="D634" s="428" t="s">
        <v>8912</v>
      </c>
      <c r="E634" s="428">
        <v>260105322414</v>
      </c>
      <c r="F634" s="428" t="s">
        <v>87</v>
      </c>
      <c r="G634" s="428" t="s">
        <v>824</v>
      </c>
      <c r="H634" s="428">
        <v>152</v>
      </c>
      <c r="I634" s="428">
        <v>274</v>
      </c>
      <c r="J634" s="369">
        <v>274</v>
      </c>
      <c r="K634" s="428">
        <v>104</v>
      </c>
      <c r="L634" s="217">
        <v>1850</v>
      </c>
      <c r="M634" s="428" t="s">
        <v>153</v>
      </c>
      <c r="N634" s="428" t="s">
        <v>149</v>
      </c>
      <c r="O634" s="428" t="s">
        <v>154</v>
      </c>
      <c r="P634" s="428" t="s">
        <v>151</v>
      </c>
      <c r="Q634" s="428" t="s">
        <v>155</v>
      </c>
      <c r="R634" s="428" t="s">
        <v>8913</v>
      </c>
      <c r="S634" s="428"/>
      <c r="T634" s="428" t="s">
        <v>2853</v>
      </c>
      <c r="U634" s="428" t="s">
        <v>152</v>
      </c>
      <c r="V634" s="428" t="s">
        <v>18</v>
      </c>
    </row>
    <row r="635" spans="1:22">
      <c r="A635" s="6"/>
      <c r="B635" s="216">
        <v>46248</v>
      </c>
      <c r="C635" s="216">
        <v>46248</v>
      </c>
      <c r="D635" s="428" t="s">
        <v>8914</v>
      </c>
      <c r="E635" s="428">
        <v>260105322474</v>
      </c>
      <c r="F635" s="428" t="s">
        <v>87</v>
      </c>
      <c r="G635" s="428" t="s">
        <v>2527</v>
      </c>
      <c r="H635" s="428">
        <v>152</v>
      </c>
      <c r="I635" s="428">
        <v>314</v>
      </c>
      <c r="J635" s="369">
        <v>314</v>
      </c>
      <c r="K635" s="428">
        <v>104</v>
      </c>
      <c r="L635" s="217">
        <v>2070</v>
      </c>
      <c r="M635" s="428" t="s">
        <v>153</v>
      </c>
      <c r="N635" s="428" t="s">
        <v>149</v>
      </c>
      <c r="O635" s="428" t="s">
        <v>154</v>
      </c>
      <c r="P635" s="428" t="s">
        <v>151</v>
      </c>
      <c r="Q635" s="428" t="s">
        <v>155</v>
      </c>
      <c r="R635" s="428" t="s">
        <v>8915</v>
      </c>
      <c r="S635" s="428"/>
      <c r="T635" s="428" t="s">
        <v>2853</v>
      </c>
      <c r="U635" s="428" t="s">
        <v>152</v>
      </c>
      <c r="V635" s="428" t="s">
        <v>18</v>
      </c>
    </row>
    <row r="636" spans="1:22">
      <c r="A636" s="6"/>
      <c r="B636" s="216">
        <v>46248</v>
      </c>
      <c r="C636" s="216">
        <v>46248</v>
      </c>
      <c r="D636" s="428" t="s">
        <v>8916</v>
      </c>
      <c r="E636" s="428">
        <v>260105722410</v>
      </c>
      <c r="F636" s="428" t="s">
        <v>87</v>
      </c>
      <c r="G636" s="428" t="s">
        <v>8770</v>
      </c>
      <c r="H636" s="428">
        <v>142</v>
      </c>
      <c r="I636" s="428">
        <v>205</v>
      </c>
      <c r="J636" s="369">
        <v>205</v>
      </c>
      <c r="K636" s="428">
        <v>99</v>
      </c>
      <c r="L636" s="217">
        <v>1500</v>
      </c>
      <c r="M636" s="428" t="s">
        <v>153</v>
      </c>
      <c r="N636" s="428" t="s">
        <v>149</v>
      </c>
      <c r="O636" s="428" t="s">
        <v>154</v>
      </c>
      <c r="P636" s="428" t="s">
        <v>151</v>
      </c>
      <c r="Q636" s="428" t="s">
        <v>155</v>
      </c>
      <c r="R636" s="428" t="s">
        <v>8917</v>
      </c>
      <c r="S636" s="428"/>
      <c r="T636" s="428" t="s">
        <v>2853</v>
      </c>
      <c r="U636" s="428" t="s">
        <v>152</v>
      </c>
      <c r="V636" s="428" t="s">
        <v>18</v>
      </c>
    </row>
    <row r="637" spans="1:22">
      <c r="A637" s="6"/>
      <c r="B637" s="216">
        <v>46248</v>
      </c>
      <c r="C637" s="216">
        <v>46248</v>
      </c>
      <c r="D637" s="428" t="s">
        <v>8918</v>
      </c>
      <c r="E637" s="428">
        <v>260102622482</v>
      </c>
      <c r="F637" s="428" t="s">
        <v>87</v>
      </c>
      <c r="G637" s="428" t="s">
        <v>8032</v>
      </c>
      <c r="H637" s="428">
        <v>102</v>
      </c>
      <c r="I637" s="428">
        <v>308</v>
      </c>
      <c r="J637" s="369">
        <v>308</v>
      </c>
      <c r="K637" s="428">
        <v>130</v>
      </c>
      <c r="L637" s="217">
        <v>1220</v>
      </c>
      <c r="M637" s="428" t="s">
        <v>153</v>
      </c>
      <c r="N637" s="428" t="s">
        <v>149</v>
      </c>
      <c r="O637" s="428" t="s">
        <v>154</v>
      </c>
      <c r="P637" s="428" t="s">
        <v>151</v>
      </c>
      <c r="Q637" s="428" t="s">
        <v>155</v>
      </c>
      <c r="R637" s="428" t="s">
        <v>8919</v>
      </c>
      <c r="S637" s="428"/>
      <c r="T637" s="428" t="s">
        <v>2893</v>
      </c>
      <c r="U637" s="428" t="s">
        <v>152</v>
      </c>
      <c r="V637" s="428" t="s">
        <v>18</v>
      </c>
    </row>
    <row r="638" spans="1:22">
      <c r="A638" s="6"/>
      <c r="B638" s="216">
        <v>46248</v>
      </c>
      <c r="C638" s="216">
        <v>46248</v>
      </c>
      <c r="D638" s="428" t="s">
        <v>8920</v>
      </c>
      <c r="E638" s="428">
        <v>260104622517</v>
      </c>
      <c r="F638" s="428" t="s">
        <v>87</v>
      </c>
      <c r="G638" s="428" t="s">
        <v>824</v>
      </c>
      <c r="H638" s="428">
        <v>152</v>
      </c>
      <c r="I638" s="428">
        <v>290</v>
      </c>
      <c r="J638" s="369">
        <v>290</v>
      </c>
      <c r="K638" s="428">
        <v>104</v>
      </c>
      <c r="L638" s="217">
        <v>1920</v>
      </c>
      <c r="M638" s="428" t="s">
        <v>153</v>
      </c>
      <c r="N638" s="428" t="s">
        <v>149</v>
      </c>
      <c r="O638" s="428" t="s">
        <v>154</v>
      </c>
      <c r="P638" s="428" t="s">
        <v>151</v>
      </c>
      <c r="Q638" s="428" t="s">
        <v>155</v>
      </c>
      <c r="R638" s="428" t="s">
        <v>8921</v>
      </c>
      <c r="S638" s="428"/>
      <c r="T638" s="428" t="s">
        <v>2893</v>
      </c>
      <c r="U638" s="428" t="s">
        <v>152</v>
      </c>
      <c r="V638" s="428" t="s">
        <v>18</v>
      </c>
    </row>
    <row r="639" spans="1:22">
      <c r="A639" s="6"/>
      <c r="B639" s="216">
        <v>46248</v>
      </c>
      <c r="C639" s="216">
        <v>46248</v>
      </c>
      <c r="D639" s="428" t="s">
        <v>8922</v>
      </c>
      <c r="E639" s="428">
        <v>260107622495</v>
      </c>
      <c r="F639" s="428" t="s">
        <v>87</v>
      </c>
      <c r="G639" s="428" t="s">
        <v>8646</v>
      </c>
      <c r="H639" s="428">
        <v>132</v>
      </c>
      <c r="I639" s="428">
        <v>301</v>
      </c>
      <c r="J639" s="369">
        <v>301</v>
      </c>
      <c r="K639" s="428">
        <v>97</v>
      </c>
      <c r="L639" s="217">
        <v>2315</v>
      </c>
      <c r="M639" s="428" t="s">
        <v>153</v>
      </c>
      <c r="N639" s="428" t="s">
        <v>149</v>
      </c>
      <c r="O639" s="428" t="s">
        <v>154</v>
      </c>
      <c r="P639" s="428" t="s">
        <v>151</v>
      </c>
      <c r="Q639" s="428" t="s">
        <v>155</v>
      </c>
      <c r="R639" s="428" t="s">
        <v>8923</v>
      </c>
      <c r="S639" s="428"/>
      <c r="T639" s="428" t="s">
        <v>2893</v>
      </c>
      <c r="U639" s="428" t="s">
        <v>152</v>
      </c>
      <c r="V639" s="428" t="s">
        <v>18</v>
      </c>
    </row>
    <row r="640" spans="1:22">
      <c r="A640" s="6"/>
      <c r="B640" s="216">
        <v>46248</v>
      </c>
      <c r="C640" s="216">
        <v>46248</v>
      </c>
      <c r="D640" s="428" t="s">
        <v>8924</v>
      </c>
      <c r="E640" s="428">
        <v>260102722503</v>
      </c>
      <c r="F640" s="428" t="s">
        <v>87</v>
      </c>
      <c r="G640" s="428" t="s">
        <v>8032</v>
      </c>
      <c r="H640" s="428">
        <v>102</v>
      </c>
      <c r="I640" s="428">
        <v>247</v>
      </c>
      <c r="J640" s="369">
        <v>247</v>
      </c>
      <c r="K640" s="428">
        <v>130</v>
      </c>
      <c r="L640" s="217">
        <v>1000</v>
      </c>
      <c r="M640" s="428" t="s">
        <v>153</v>
      </c>
      <c r="N640" s="428" t="s">
        <v>149</v>
      </c>
      <c r="O640" s="428" t="s">
        <v>154</v>
      </c>
      <c r="P640" s="428" t="s">
        <v>151</v>
      </c>
      <c r="Q640" s="428" t="s">
        <v>155</v>
      </c>
      <c r="R640" s="428" t="s">
        <v>8925</v>
      </c>
      <c r="S640" s="428"/>
      <c r="T640" s="428" t="s">
        <v>2893</v>
      </c>
      <c r="U640" s="428" t="s">
        <v>152</v>
      </c>
      <c r="V640" s="428" t="s">
        <v>18</v>
      </c>
    </row>
    <row r="641" spans="1:22">
      <c r="A641" s="6"/>
      <c r="B641" s="216">
        <v>46248</v>
      </c>
      <c r="C641" s="216">
        <v>46248</v>
      </c>
      <c r="D641" s="428" t="s">
        <v>8926</v>
      </c>
      <c r="E641" s="428">
        <v>260101622505</v>
      </c>
      <c r="F641" s="428" t="s">
        <v>87</v>
      </c>
      <c r="G641" s="428" t="s">
        <v>2079</v>
      </c>
      <c r="H641" s="428">
        <v>112</v>
      </c>
      <c r="I641" s="428">
        <v>540</v>
      </c>
      <c r="J641" s="369">
        <v>540</v>
      </c>
      <c r="K641" s="428">
        <v>180</v>
      </c>
      <c r="L641" s="217">
        <v>1380</v>
      </c>
      <c r="M641" s="428" t="s">
        <v>153</v>
      </c>
      <c r="N641" s="428" t="s">
        <v>149</v>
      </c>
      <c r="O641" s="428" t="s">
        <v>154</v>
      </c>
      <c r="P641" s="428" t="s">
        <v>151</v>
      </c>
      <c r="Q641" s="428" t="s">
        <v>155</v>
      </c>
      <c r="R641" s="428" t="s">
        <v>8927</v>
      </c>
      <c r="S641" s="428"/>
      <c r="T641" s="428" t="s">
        <v>2893</v>
      </c>
      <c r="U641" s="428" t="s">
        <v>152</v>
      </c>
      <c r="V641" s="428" t="s">
        <v>18</v>
      </c>
    </row>
    <row r="642" spans="1:22">
      <c r="A642" s="6"/>
      <c r="B642" s="216">
        <v>46248</v>
      </c>
      <c r="C642" s="216">
        <v>46248</v>
      </c>
      <c r="D642" s="428" t="s">
        <v>8928</v>
      </c>
      <c r="E642" s="428">
        <v>260106822526</v>
      </c>
      <c r="F642" s="428" t="s">
        <v>87</v>
      </c>
      <c r="G642" s="428" t="s">
        <v>2409</v>
      </c>
      <c r="H642" s="428">
        <v>125</v>
      </c>
      <c r="I642" s="428">
        <v>398</v>
      </c>
      <c r="J642" s="369">
        <v>398</v>
      </c>
      <c r="K642" s="428">
        <v>97</v>
      </c>
      <c r="L642" s="217">
        <v>3400</v>
      </c>
      <c r="M642" s="428" t="s">
        <v>153</v>
      </c>
      <c r="N642" s="428" t="s">
        <v>149</v>
      </c>
      <c r="O642" s="428" t="s">
        <v>154</v>
      </c>
      <c r="P642" s="428" t="s">
        <v>151</v>
      </c>
      <c r="Q642" s="428" t="s">
        <v>155</v>
      </c>
      <c r="R642" s="428" t="s">
        <v>8929</v>
      </c>
      <c r="S642" s="428" t="s">
        <v>61</v>
      </c>
      <c r="T642" s="428" t="s">
        <v>3345</v>
      </c>
      <c r="U642" s="428" t="s">
        <v>152</v>
      </c>
      <c r="V642" s="428" t="s">
        <v>18</v>
      </c>
    </row>
    <row r="643" spans="1:22">
      <c r="A643" s="6"/>
      <c r="B643" s="216">
        <v>46248</v>
      </c>
      <c r="C643" s="216">
        <v>46248</v>
      </c>
      <c r="D643" s="428" t="s">
        <v>8930</v>
      </c>
      <c r="E643" s="428">
        <v>260102922479</v>
      </c>
      <c r="F643" s="428" t="s">
        <v>87</v>
      </c>
      <c r="G643" s="428" t="s">
        <v>824</v>
      </c>
      <c r="H643" s="428">
        <v>152</v>
      </c>
      <c r="I643" s="428">
        <v>236</v>
      </c>
      <c r="J643" s="369">
        <v>236</v>
      </c>
      <c r="K643" s="428">
        <v>104</v>
      </c>
      <c r="L643" s="217">
        <v>1540</v>
      </c>
      <c r="M643" s="428" t="s">
        <v>153</v>
      </c>
      <c r="N643" s="428" t="s">
        <v>149</v>
      </c>
      <c r="O643" s="428" t="s">
        <v>154</v>
      </c>
      <c r="P643" s="428" t="s">
        <v>151</v>
      </c>
      <c r="Q643" s="428" t="s">
        <v>155</v>
      </c>
      <c r="R643" s="428" t="s">
        <v>8931</v>
      </c>
      <c r="S643" s="428"/>
      <c r="T643" s="428" t="s">
        <v>2893</v>
      </c>
      <c r="U643" s="428" t="s">
        <v>152</v>
      </c>
      <c r="V643" s="428" t="s">
        <v>18</v>
      </c>
    </row>
    <row r="644" spans="1:22">
      <c r="A644" s="6"/>
      <c r="B644" s="216">
        <v>46248</v>
      </c>
      <c r="C644" s="216">
        <v>46248</v>
      </c>
      <c r="D644" s="428" t="s">
        <v>8932</v>
      </c>
      <c r="E644" s="428">
        <v>260101822504</v>
      </c>
      <c r="F644" s="428" t="s">
        <v>87</v>
      </c>
      <c r="G644" s="428" t="s">
        <v>8933</v>
      </c>
      <c r="H644" s="428">
        <v>162</v>
      </c>
      <c r="I644" s="428">
        <v>263</v>
      </c>
      <c r="J644" s="369">
        <v>263</v>
      </c>
      <c r="K644" s="428">
        <v>140</v>
      </c>
      <c r="L644" s="217">
        <v>600</v>
      </c>
      <c r="M644" s="428" t="s">
        <v>153</v>
      </c>
      <c r="N644" s="428" t="s">
        <v>149</v>
      </c>
      <c r="O644" s="428" t="s">
        <v>154</v>
      </c>
      <c r="P644" s="428" t="s">
        <v>151</v>
      </c>
      <c r="Q644" s="428" t="s">
        <v>155</v>
      </c>
      <c r="R644" s="428" t="s">
        <v>8934</v>
      </c>
      <c r="S644" s="428"/>
      <c r="T644" s="428" t="s">
        <v>2893</v>
      </c>
      <c r="U644" s="428" t="s">
        <v>152</v>
      </c>
      <c r="V644" s="428" t="s">
        <v>18</v>
      </c>
    </row>
    <row r="645" spans="1:22">
      <c r="A645" s="6"/>
      <c r="B645" s="216">
        <v>46248</v>
      </c>
      <c r="C645" s="216">
        <v>46248</v>
      </c>
      <c r="D645" s="428" t="s">
        <v>8935</v>
      </c>
      <c r="E645" s="428">
        <v>260103822513</v>
      </c>
      <c r="F645" s="428" t="s">
        <v>87</v>
      </c>
      <c r="G645" s="428" t="s">
        <v>824</v>
      </c>
      <c r="H645" s="428">
        <v>152</v>
      </c>
      <c r="I645" s="428">
        <v>219</v>
      </c>
      <c r="J645" s="369">
        <v>219</v>
      </c>
      <c r="K645" s="428">
        <v>104</v>
      </c>
      <c r="L645" s="217">
        <v>1420</v>
      </c>
      <c r="M645" s="428" t="s">
        <v>153</v>
      </c>
      <c r="N645" s="428" t="s">
        <v>149</v>
      </c>
      <c r="O645" s="428" t="s">
        <v>154</v>
      </c>
      <c r="P645" s="428" t="s">
        <v>151</v>
      </c>
      <c r="Q645" s="428" t="s">
        <v>155</v>
      </c>
      <c r="R645" s="428" t="s">
        <v>8936</v>
      </c>
      <c r="S645" s="428"/>
      <c r="T645" s="428" t="s">
        <v>2893</v>
      </c>
      <c r="U645" s="428" t="s">
        <v>152</v>
      </c>
      <c r="V645" s="428" t="s">
        <v>18</v>
      </c>
    </row>
    <row r="646" spans="1:22">
      <c r="A646" s="6"/>
      <c r="B646" s="216">
        <v>46248</v>
      </c>
      <c r="C646" s="216">
        <v>46248</v>
      </c>
      <c r="D646" s="428" t="s">
        <v>8937</v>
      </c>
      <c r="E646" s="428">
        <v>260100722483</v>
      </c>
      <c r="F646" s="428" t="s">
        <v>87</v>
      </c>
      <c r="G646" s="428" t="s">
        <v>7586</v>
      </c>
      <c r="H646" s="428">
        <v>132</v>
      </c>
      <c r="I646" s="428">
        <v>360</v>
      </c>
      <c r="J646" s="369">
        <v>360</v>
      </c>
      <c r="K646" s="428">
        <v>170</v>
      </c>
      <c r="L646" s="217">
        <v>840</v>
      </c>
      <c r="M646" s="428" t="s">
        <v>153</v>
      </c>
      <c r="N646" s="428" t="s">
        <v>149</v>
      </c>
      <c r="O646" s="428" t="s">
        <v>154</v>
      </c>
      <c r="P646" s="428" t="s">
        <v>151</v>
      </c>
      <c r="Q646" s="428" t="s">
        <v>155</v>
      </c>
      <c r="R646" s="428" t="s">
        <v>8938</v>
      </c>
      <c r="S646" s="428"/>
      <c r="T646" s="428" t="s">
        <v>2893</v>
      </c>
      <c r="U646" s="428" t="s">
        <v>152</v>
      </c>
      <c r="V646" s="428" t="s">
        <v>18</v>
      </c>
    </row>
    <row r="647" spans="1:22">
      <c r="A647" s="6"/>
      <c r="B647" s="216">
        <v>46248</v>
      </c>
      <c r="C647" s="216">
        <v>46248</v>
      </c>
      <c r="D647" s="428" t="s">
        <v>8939</v>
      </c>
      <c r="E647" s="428">
        <v>260105022493</v>
      </c>
      <c r="F647" s="428" t="s">
        <v>87</v>
      </c>
      <c r="G647" s="428" t="s">
        <v>2407</v>
      </c>
      <c r="H647" s="428">
        <v>160</v>
      </c>
      <c r="I647" s="428">
        <v>305</v>
      </c>
      <c r="J647" s="369">
        <v>305</v>
      </c>
      <c r="K647" s="428">
        <v>102</v>
      </c>
      <c r="L647" s="217">
        <v>1950</v>
      </c>
      <c r="M647" s="428" t="s">
        <v>153</v>
      </c>
      <c r="N647" s="428" t="s">
        <v>149</v>
      </c>
      <c r="O647" s="428" t="s">
        <v>154</v>
      </c>
      <c r="P647" s="428" t="s">
        <v>151</v>
      </c>
      <c r="Q647" s="428" t="s">
        <v>155</v>
      </c>
      <c r="R647" s="428" t="s">
        <v>8940</v>
      </c>
      <c r="S647" s="428"/>
      <c r="T647" s="428" t="s">
        <v>2893</v>
      </c>
      <c r="U647" s="428" t="s">
        <v>152</v>
      </c>
      <c r="V647" s="428" t="s">
        <v>18</v>
      </c>
    </row>
    <row r="648" spans="1:22">
      <c r="A648" s="6"/>
      <c r="B648" s="216">
        <v>46248</v>
      </c>
      <c r="C648" s="216">
        <v>46248</v>
      </c>
      <c r="D648" s="428" t="s">
        <v>8941</v>
      </c>
      <c r="E648" s="428">
        <v>260101422497</v>
      </c>
      <c r="F648" s="428" t="s">
        <v>87</v>
      </c>
      <c r="G648" s="428" t="s">
        <v>824</v>
      </c>
      <c r="H648" s="428">
        <v>152</v>
      </c>
      <c r="I648" s="428">
        <v>228</v>
      </c>
      <c r="J648" s="369">
        <v>228</v>
      </c>
      <c r="K648" s="428">
        <v>104</v>
      </c>
      <c r="L648" s="217">
        <v>1500</v>
      </c>
      <c r="M648" s="428" t="s">
        <v>153</v>
      </c>
      <c r="N648" s="428" t="s">
        <v>149</v>
      </c>
      <c r="O648" s="428" t="s">
        <v>154</v>
      </c>
      <c r="P648" s="428" t="s">
        <v>151</v>
      </c>
      <c r="Q648" s="428" t="s">
        <v>155</v>
      </c>
      <c r="R648" s="428" t="s">
        <v>8942</v>
      </c>
      <c r="S648" s="428"/>
      <c r="T648" s="428" t="s">
        <v>2893</v>
      </c>
      <c r="U648" s="428" t="s">
        <v>152</v>
      </c>
      <c r="V648" s="428" t="s">
        <v>18</v>
      </c>
    </row>
    <row r="649" spans="1:22">
      <c r="A649" s="6"/>
      <c r="B649" s="216">
        <v>46248</v>
      </c>
      <c r="C649" s="216">
        <v>46248</v>
      </c>
      <c r="D649" s="428" t="s">
        <v>8943</v>
      </c>
      <c r="E649" s="428">
        <v>260101422500</v>
      </c>
      <c r="F649" s="428" t="s">
        <v>87</v>
      </c>
      <c r="G649" s="428" t="s">
        <v>824</v>
      </c>
      <c r="H649" s="428">
        <v>152</v>
      </c>
      <c r="I649" s="428">
        <v>230</v>
      </c>
      <c r="J649" s="369">
        <v>230</v>
      </c>
      <c r="K649" s="428">
        <v>104</v>
      </c>
      <c r="L649" s="217">
        <v>1500</v>
      </c>
      <c r="M649" s="428" t="s">
        <v>153</v>
      </c>
      <c r="N649" s="428" t="s">
        <v>149</v>
      </c>
      <c r="O649" s="428" t="s">
        <v>154</v>
      </c>
      <c r="P649" s="428" t="s">
        <v>151</v>
      </c>
      <c r="Q649" s="428" t="s">
        <v>155</v>
      </c>
      <c r="R649" s="428" t="s">
        <v>8944</v>
      </c>
      <c r="S649" s="428"/>
      <c r="T649" s="428" t="s">
        <v>2893</v>
      </c>
      <c r="U649" s="428" t="s">
        <v>152</v>
      </c>
      <c r="V649" s="428" t="s">
        <v>18</v>
      </c>
    </row>
    <row r="650" spans="1:22">
      <c r="A650" s="6"/>
      <c r="B650" s="216">
        <v>46248</v>
      </c>
      <c r="C650" s="216">
        <v>46248</v>
      </c>
      <c r="D650" s="428" t="s">
        <v>8945</v>
      </c>
      <c r="E650" s="428">
        <v>260101522501</v>
      </c>
      <c r="F650" s="428" t="s">
        <v>87</v>
      </c>
      <c r="G650" s="428" t="s">
        <v>2419</v>
      </c>
      <c r="H650" s="428">
        <v>92</v>
      </c>
      <c r="I650" s="428">
        <v>337</v>
      </c>
      <c r="J650" s="369">
        <v>337</v>
      </c>
      <c r="K650" s="428">
        <v>180</v>
      </c>
      <c r="L650" s="217">
        <v>1050</v>
      </c>
      <c r="M650" s="428" t="s">
        <v>153</v>
      </c>
      <c r="N650" s="428" t="s">
        <v>149</v>
      </c>
      <c r="O650" s="428" t="s">
        <v>154</v>
      </c>
      <c r="P650" s="428" t="s">
        <v>151</v>
      </c>
      <c r="Q650" s="428" t="s">
        <v>155</v>
      </c>
      <c r="R650" s="428" t="s">
        <v>8946</v>
      </c>
      <c r="S650" s="428"/>
      <c r="T650" s="428" t="s">
        <v>2893</v>
      </c>
      <c r="U650" s="428" t="s">
        <v>152</v>
      </c>
      <c r="V650" s="428" t="s">
        <v>18</v>
      </c>
    </row>
    <row r="651" spans="1:22">
      <c r="A651" s="6"/>
      <c r="B651" s="216">
        <v>46248</v>
      </c>
      <c r="C651" s="216">
        <v>46248</v>
      </c>
      <c r="D651" s="428" t="s">
        <v>8947</v>
      </c>
      <c r="E651" s="428">
        <v>260102822502</v>
      </c>
      <c r="F651" s="428" t="s">
        <v>87</v>
      </c>
      <c r="G651" s="428" t="s">
        <v>8032</v>
      </c>
      <c r="H651" s="428">
        <v>102</v>
      </c>
      <c r="I651" s="428">
        <v>248</v>
      </c>
      <c r="J651" s="369">
        <v>248</v>
      </c>
      <c r="K651" s="428">
        <v>130</v>
      </c>
      <c r="L651" s="217">
        <v>1000</v>
      </c>
      <c r="M651" s="428" t="s">
        <v>153</v>
      </c>
      <c r="N651" s="428" t="s">
        <v>149</v>
      </c>
      <c r="O651" s="428" t="s">
        <v>154</v>
      </c>
      <c r="P651" s="428" t="s">
        <v>151</v>
      </c>
      <c r="Q651" s="428" t="s">
        <v>155</v>
      </c>
      <c r="R651" s="428" t="s">
        <v>8948</v>
      </c>
      <c r="S651" s="428"/>
      <c r="T651" s="428" t="s">
        <v>2893</v>
      </c>
      <c r="U651" s="428" t="s">
        <v>152</v>
      </c>
      <c r="V651" s="428" t="s">
        <v>18</v>
      </c>
    </row>
    <row r="652" spans="1:22">
      <c r="A652" s="6"/>
      <c r="B652" s="216">
        <v>46248</v>
      </c>
      <c r="C652" s="216">
        <v>46248</v>
      </c>
      <c r="D652" s="428" t="s">
        <v>8949</v>
      </c>
      <c r="E652" s="428">
        <v>260102522506</v>
      </c>
      <c r="F652" s="428" t="s">
        <v>87</v>
      </c>
      <c r="G652" s="428" t="s">
        <v>8032</v>
      </c>
      <c r="H652" s="428">
        <v>102</v>
      </c>
      <c r="I652" s="428">
        <v>246</v>
      </c>
      <c r="J652" s="369">
        <v>246</v>
      </c>
      <c r="K652" s="428">
        <v>130</v>
      </c>
      <c r="L652" s="217">
        <v>1000</v>
      </c>
      <c r="M652" s="428" t="s">
        <v>153</v>
      </c>
      <c r="N652" s="428" t="s">
        <v>149</v>
      </c>
      <c r="O652" s="428" t="s">
        <v>154</v>
      </c>
      <c r="P652" s="428" t="s">
        <v>151</v>
      </c>
      <c r="Q652" s="428" t="s">
        <v>155</v>
      </c>
      <c r="R652" s="428" t="s">
        <v>8950</v>
      </c>
      <c r="S652" s="428"/>
      <c r="T652" s="428" t="s">
        <v>2893</v>
      </c>
      <c r="U652" s="428" t="s">
        <v>152</v>
      </c>
      <c r="V652" s="428" t="s">
        <v>18</v>
      </c>
    </row>
    <row r="653" spans="1:22">
      <c r="A653" s="6"/>
      <c r="B653" s="216">
        <v>46248</v>
      </c>
      <c r="C653" s="216">
        <v>46248</v>
      </c>
      <c r="D653" s="428" t="s">
        <v>8951</v>
      </c>
      <c r="E653" s="428">
        <v>260102922478</v>
      </c>
      <c r="F653" s="428" t="s">
        <v>87</v>
      </c>
      <c r="G653" s="428" t="s">
        <v>824</v>
      </c>
      <c r="H653" s="428">
        <v>152</v>
      </c>
      <c r="I653" s="428">
        <v>233</v>
      </c>
      <c r="J653" s="369">
        <v>233</v>
      </c>
      <c r="K653" s="428">
        <v>104</v>
      </c>
      <c r="L653" s="217">
        <v>1540</v>
      </c>
      <c r="M653" s="428" t="s">
        <v>153</v>
      </c>
      <c r="N653" s="428" t="s">
        <v>149</v>
      </c>
      <c r="O653" s="428" t="s">
        <v>154</v>
      </c>
      <c r="P653" s="428" t="s">
        <v>151</v>
      </c>
      <c r="Q653" s="428" t="s">
        <v>155</v>
      </c>
      <c r="R653" s="428" t="s">
        <v>8952</v>
      </c>
      <c r="S653" s="428"/>
      <c r="T653" s="428" t="s">
        <v>2893</v>
      </c>
      <c r="U653" s="428" t="s">
        <v>152</v>
      </c>
      <c r="V653" s="428" t="s">
        <v>18</v>
      </c>
    </row>
    <row r="654" spans="1:22">
      <c r="A654" s="6"/>
      <c r="B654" s="216">
        <v>46248</v>
      </c>
      <c r="C654" s="216">
        <v>46248</v>
      </c>
      <c r="D654" s="428" t="s">
        <v>8953</v>
      </c>
      <c r="E654" s="428">
        <v>260102022480</v>
      </c>
      <c r="F654" s="428" t="s">
        <v>87</v>
      </c>
      <c r="G654" s="428" t="s">
        <v>2303</v>
      </c>
      <c r="H654" s="428">
        <v>92</v>
      </c>
      <c r="I654" s="428">
        <v>279</v>
      </c>
      <c r="J654" s="369">
        <v>279</v>
      </c>
      <c r="K654" s="428">
        <v>134</v>
      </c>
      <c r="L654" s="217">
        <v>1150</v>
      </c>
      <c r="M654" s="428" t="s">
        <v>153</v>
      </c>
      <c r="N654" s="428" t="s">
        <v>149</v>
      </c>
      <c r="O654" s="428" t="s">
        <v>154</v>
      </c>
      <c r="P654" s="428" t="s">
        <v>151</v>
      </c>
      <c r="Q654" s="428" t="s">
        <v>155</v>
      </c>
      <c r="R654" s="428" t="s">
        <v>8954</v>
      </c>
      <c r="S654" s="428"/>
      <c r="T654" s="428" t="s">
        <v>2893</v>
      </c>
      <c r="U654" s="428" t="s">
        <v>152</v>
      </c>
      <c r="V654" s="428" t="s">
        <v>18</v>
      </c>
    </row>
    <row r="655" spans="1:22">
      <c r="A655" s="6"/>
      <c r="B655" s="216">
        <v>46248</v>
      </c>
      <c r="C655" s="216">
        <v>46248</v>
      </c>
      <c r="D655" s="428" t="s">
        <v>8955</v>
      </c>
      <c r="E655" s="428">
        <v>260101422499</v>
      </c>
      <c r="F655" s="428" t="s">
        <v>87</v>
      </c>
      <c r="G655" s="428" t="s">
        <v>824</v>
      </c>
      <c r="H655" s="428">
        <v>152</v>
      </c>
      <c r="I655" s="428">
        <v>230</v>
      </c>
      <c r="J655" s="369">
        <v>230</v>
      </c>
      <c r="K655" s="428">
        <v>104</v>
      </c>
      <c r="L655" s="217">
        <v>1500</v>
      </c>
      <c r="M655" s="428" t="s">
        <v>153</v>
      </c>
      <c r="N655" s="428" t="s">
        <v>149</v>
      </c>
      <c r="O655" s="428" t="s">
        <v>154</v>
      </c>
      <c r="P655" s="428" t="s">
        <v>151</v>
      </c>
      <c r="Q655" s="428" t="s">
        <v>155</v>
      </c>
      <c r="R655" s="428" t="s">
        <v>8956</v>
      </c>
      <c r="S655" s="428"/>
      <c r="T655" s="428" t="s">
        <v>2893</v>
      </c>
      <c r="U655" s="428" t="s">
        <v>152</v>
      </c>
      <c r="V655" s="428" t="s">
        <v>18</v>
      </c>
    </row>
    <row r="656" spans="1:22">
      <c r="A656" s="6"/>
      <c r="B656" s="216">
        <v>46248</v>
      </c>
      <c r="C656" s="216">
        <v>46248</v>
      </c>
      <c r="D656" s="428" t="s">
        <v>8957</v>
      </c>
      <c r="E656" s="428">
        <v>260102222511</v>
      </c>
      <c r="F656" s="428" t="s">
        <v>87</v>
      </c>
      <c r="G656" s="428" t="s">
        <v>8032</v>
      </c>
      <c r="H656" s="428">
        <v>102</v>
      </c>
      <c r="I656" s="428">
        <v>255</v>
      </c>
      <c r="J656" s="369">
        <v>255</v>
      </c>
      <c r="K656" s="428">
        <v>130</v>
      </c>
      <c r="L656" s="217">
        <v>1000</v>
      </c>
      <c r="M656" s="428" t="s">
        <v>153</v>
      </c>
      <c r="N656" s="428" t="s">
        <v>149</v>
      </c>
      <c r="O656" s="428" t="s">
        <v>154</v>
      </c>
      <c r="P656" s="428" t="s">
        <v>151</v>
      </c>
      <c r="Q656" s="428" t="s">
        <v>155</v>
      </c>
      <c r="R656" s="428" t="s">
        <v>8958</v>
      </c>
      <c r="S656" s="428"/>
      <c r="T656" s="428" t="s">
        <v>2893</v>
      </c>
      <c r="U656" s="428" t="s">
        <v>152</v>
      </c>
      <c r="V656" s="428" t="s">
        <v>18</v>
      </c>
    </row>
    <row r="657" spans="1:22">
      <c r="A657" s="6"/>
      <c r="B657" s="216">
        <v>46248</v>
      </c>
      <c r="C657" s="216">
        <v>46248</v>
      </c>
      <c r="D657" s="428" t="s">
        <v>8959</v>
      </c>
      <c r="E657" s="428">
        <v>260103822514</v>
      </c>
      <c r="F657" s="428" t="s">
        <v>87</v>
      </c>
      <c r="G657" s="428" t="s">
        <v>824</v>
      </c>
      <c r="H657" s="428">
        <v>152</v>
      </c>
      <c r="I657" s="428">
        <v>220</v>
      </c>
      <c r="J657" s="369">
        <v>220</v>
      </c>
      <c r="K657" s="428">
        <v>104</v>
      </c>
      <c r="L657" s="217">
        <v>1420</v>
      </c>
      <c r="M657" s="428" t="s">
        <v>153</v>
      </c>
      <c r="N657" s="428" t="s">
        <v>149</v>
      </c>
      <c r="O657" s="428" t="s">
        <v>154</v>
      </c>
      <c r="P657" s="428" t="s">
        <v>151</v>
      </c>
      <c r="Q657" s="428" t="s">
        <v>155</v>
      </c>
      <c r="R657" s="428" t="s">
        <v>8960</v>
      </c>
      <c r="S657" s="428"/>
      <c r="T657" s="428" t="s">
        <v>2893</v>
      </c>
      <c r="U657" s="428" t="s">
        <v>152</v>
      </c>
      <c r="V657" s="428" t="s">
        <v>18</v>
      </c>
    </row>
    <row r="658" spans="1:22">
      <c r="A658" s="6"/>
      <c r="B658" s="216">
        <v>46248</v>
      </c>
      <c r="C658" s="216">
        <v>46248</v>
      </c>
      <c r="D658" s="428" t="s">
        <v>8961</v>
      </c>
      <c r="E658" s="428">
        <v>260101422498</v>
      </c>
      <c r="F658" s="428" t="s">
        <v>87</v>
      </c>
      <c r="G658" s="428" t="s">
        <v>824</v>
      </c>
      <c r="H658" s="428">
        <v>152</v>
      </c>
      <c r="I658" s="428">
        <v>228</v>
      </c>
      <c r="J658" s="369">
        <v>228</v>
      </c>
      <c r="K658" s="428">
        <v>104</v>
      </c>
      <c r="L658" s="217">
        <v>1500</v>
      </c>
      <c r="M658" s="428" t="s">
        <v>153</v>
      </c>
      <c r="N658" s="428" t="s">
        <v>149</v>
      </c>
      <c r="O658" s="428" t="s">
        <v>154</v>
      </c>
      <c r="P658" s="428" t="s">
        <v>151</v>
      </c>
      <c r="Q658" s="428" t="s">
        <v>155</v>
      </c>
      <c r="R658" s="428" t="s">
        <v>8962</v>
      </c>
      <c r="S658" s="428"/>
      <c r="T658" s="428" t="s">
        <v>2893</v>
      </c>
      <c r="U658" s="428" t="s">
        <v>152</v>
      </c>
      <c r="V658" s="428" t="s">
        <v>18</v>
      </c>
    </row>
    <row r="659" spans="1:22">
      <c r="A659" s="6"/>
      <c r="B659" s="216">
        <v>46248</v>
      </c>
      <c r="C659" s="216">
        <v>46248</v>
      </c>
      <c r="D659" s="428" t="s">
        <v>8963</v>
      </c>
      <c r="E659" s="428">
        <v>260102322510</v>
      </c>
      <c r="F659" s="428" t="s">
        <v>87</v>
      </c>
      <c r="G659" s="428" t="s">
        <v>8032</v>
      </c>
      <c r="H659" s="428">
        <v>102</v>
      </c>
      <c r="I659" s="428">
        <v>257</v>
      </c>
      <c r="J659" s="369">
        <v>257</v>
      </c>
      <c r="K659" s="428">
        <v>130</v>
      </c>
      <c r="L659" s="217">
        <v>1000</v>
      </c>
      <c r="M659" s="428" t="s">
        <v>153</v>
      </c>
      <c r="N659" s="428" t="s">
        <v>149</v>
      </c>
      <c r="O659" s="428" t="s">
        <v>154</v>
      </c>
      <c r="P659" s="428" t="s">
        <v>151</v>
      </c>
      <c r="Q659" s="428" t="s">
        <v>155</v>
      </c>
      <c r="R659" s="428" t="s">
        <v>8964</v>
      </c>
      <c r="S659" s="428"/>
      <c r="T659" s="428" t="s">
        <v>2893</v>
      </c>
      <c r="U659" s="428" t="s">
        <v>152</v>
      </c>
      <c r="V659" s="428" t="s">
        <v>18</v>
      </c>
    </row>
    <row r="660" spans="1:22">
      <c r="A660" s="6"/>
      <c r="B660" s="216">
        <v>46248</v>
      </c>
      <c r="C660" s="216">
        <v>46248</v>
      </c>
      <c r="D660" s="428" t="s">
        <v>8965</v>
      </c>
      <c r="E660" s="428">
        <v>260101922512</v>
      </c>
      <c r="F660" s="428" t="s">
        <v>87</v>
      </c>
      <c r="G660" s="428" t="s">
        <v>2303</v>
      </c>
      <c r="H660" s="428">
        <v>92</v>
      </c>
      <c r="I660" s="428">
        <v>241</v>
      </c>
      <c r="J660" s="369">
        <v>241</v>
      </c>
      <c r="K660" s="428">
        <v>134</v>
      </c>
      <c r="L660" s="217">
        <v>1000</v>
      </c>
      <c r="M660" s="428" t="s">
        <v>153</v>
      </c>
      <c r="N660" s="428" t="s">
        <v>149</v>
      </c>
      <c r="O660" s="428" t="s">
        <v>154</v>
      </c>
      <c r="P660" s="428" t="s">
        <v>151</v>
      </c>
      <c r="Q660" s="428" t="s">
        <v>155</v>
      </c>
      <c r="R660" s="428" t="s">
        <v>8966</v>
      </c>
      <c r="S660" s="428"/>
      <c r="T660" s="428" t="s">
        <v>2893</v>
      </c>
      <c r="U660" s="428" t="s">
        <v>152</v>
      </c>
      <c r="V660" s="428" t="s">
        <v>18</v>
      </c>
    </row>
    <row r="661" spans="1:22">
      <c r="A661" s="6"/>
      <c r="B661" s="216">
        <v>46248</v>
      </c>
      <c r="C661" s="216">
        <v>46248</v>
      </c>
      <c r="D661" s="428" t="s">
        <v>8967</v>
      </c>
      <c r="E661" s="428">
        <v>260105422521</v>
      </c>
      <c r="F661" s="428" t="s">
        <v>87</v>
      </c>
      <c r="G661" s="428" t="s">
        <v>8290</v>
      </c>
      <c r="H661" s="428">
        <v>140</v>
      </c>
      <c r="I661" s="428">
        <v>194</v>
      </c>
      <c r="J661" s="369">
        <v>194</v>
      </c>
      <c r="K661" s="428">
        <v>83</v>
      </c>
      <c r="L661" s="217">
        <v>1750</v>
      </c>
      <c r="M661" s="428" t="s">
        <v>153</v>
      </c>
      <c r="N661" s="428" t="s">
        <v>149</v>
      </c>
      <c r="O661" s="428" t="s">
        <v>154</v>
      </c>
      <c r="P661" s="428" t="s">
        <v>151</v>
      </c>
      <c r="Q661" s="428" t="s">
        <v>155</v>
      </c>
      <c r="R661" s="428" t="s">
        <v>8968</v>
      </c>
      <c r="S661" s="428"/>
      <c r="T661" s="428" t="s">
        <v>2893</v>
      </c>
      <c r="U661" s="428" t="s">
        <v>152</v>
      </c>
      <c r="V661" s="428" t="s">
        <v>18</v>
      </c>
    </row>
    <row r="662" spans="1:22">
      <c r="A662" s="6"/>
      <c r="B662" s="216">
        <v>46248</v>
      </c>
      <c r="C662" s="216">
        <v>46248</v>
      </c>
      <c r="D662" s="428" t="s">
        <v>8969</v>
      </c>
      <c r="E662" s="428">
        <v>260106222488</v>
      </c>
      <c r="F662" s="428" t="s">
        <v>87</v>
      </c>
      <c r="G662" s="428" t="s">
        <v>824</v>
      </c>
      <c r="H662" s="428">
        <v>182</v>
      </c>
      <c r="I662" s="428">
        <v>344</v>
      </c>
      <c r="J662" s="369">
        <v>344</v>
      </c>
      <c r="K662" s="428">
        <v>104</v>
      </c>
      <c r="L662" s="217">
        <v>1920</v>
      </c>
      <c r="M662" s="428" t="s">
        <v>153</v>
      </c>
      <c r="N662" s="428" t="s">
        <v>149</v>
      </c>
      <c r="O662" s="428" t="s">
        <v>154</v>
      </c>
      <c r="P662" s="428" t="s">
        <v>151</v>
      </c>
      <c r="Q662" s="428" t="s">
        <v>155</v>
      </c>
      <c r="R662" s="428" t="s">
        <v>8970</v>
      </c>
      <c r="S662" s="428"/>
      <c r="T662" s="428" t="s">
        <v>2893</v>
      </c>
      <c r="U662" s="428" t="s">
        <v>152</v>
      </c>
      <c r="V662" s="428" t="s">
        <v>18</v>
      </c>
    </row>
    <row r="663" spans="1:22">
      <c r="A663" s="6"/>
      <c r="B663" s="216">
        <v>46248</v>
      </c>
      <c r="C663" s="216">
        <v>46248</v>
      </c>
      <c r="D663" s="428" t="s">
        <v>8971</v>
      </c>
      <c r="E663" s="428">
        <v>260107822524</v>
      </c>
      <c r="F663" s="428" t="s">
        <v>87</v>
      </c>
      <c r="G663" s="428" t="s">
        <v>2309</v>
      </c>
      <c r="H663" s="428">
        <v>132</v>
      </c>
      <c r="I663" s="428">
        <v>210</v>
      </c>
      <c r="J663" s="369">
        <v>210</v>
      </c>
      <c r="K663" s="428">
        <v>92</v>
      </c>
      <c r="L663" s="217">
        <v>1800</v>
      </c>
      <c r="M663" s="428" t="s">
        <v>153</v>
      </c>
      <c r="N663" s="428" t="s">
        <v>149</v>
      </c>
      <c r="O663" s="428" t="s">
        <v>154</v>
      </c>
      <c r="P663" s="428" t="s">
        <v>151</v>
      </c>
      <c r="Q663" s="428" t="s">
        <v>155</v>
      </c>
      <c r="R663" s="428" t="s">
        <v>8972</v>
      </c>
      <c r="S663" s="428"/>
      <c r="T663" s="428" t="s">
        <v>2893</v>
      </c>
      <c r="U663" s="428" t="s">
        <v>152</v>
      </c>
      <c r="V663" s="428" t="s">
        <v>18</v>
      </c>
    </row>
    <row r="664" spans="1:22">
      <c r="A664" s="6"/>
      <c r="B664" s="216">
        <v>46248</v>
      </c>
      <c r="C664" s="216">
        <v>46248</v>
      </c>
      <c r="D664" s="428" t="s">
        <v>8973</v>
      </c>
      <c r="E664" s="428">
        <v>260105822519</v>
      </c>
      <c r="F664" s="428" t="s">
        <v>87</v>
      </c>
      <c r="G664" s="428" t="s">
        <v>824</v>
      </c>
      <c r="H664" s="428">
        <v>152</v>
      </c>
      <c r="I664" s="428">
        <v>249</v>
      </c>
      <c r="J664" s="369">
        <v>249</v>
      </c>
      <c r="K664" s="428">
        <v>104</v>
      </c>
      <c r="L664" s="217">
        <v>1660</v>
      </c>
      <c r="M664" s="428" t="s">
        <v>153</v>
      </c>
      <c r="N664" s="428" t="s">
        <v>149</v>
      </c>
      <c r="O664" s="428" t="s">
        <v>154</v>
      </c>
      <c r="P664" s="428" t="s">
        <v>151</v>
      </c>
      <c r="Q664" s="428" t="s">
        <v>155</v>
      </c>
      <c r="R664" s="428" t="s">
        <v>8974</v>
      </c>
      <c r="S664" s="428"/>
      <c r="T664" s="428" t="s">
        <v>2893</v>
      </c>
      <c r="U664" s="428" t="s">
        <v>152</v>
      </c>
      <c r="V664" s="428" t="s">
        <v>18</v>
      </c>
    </row>
    <row r="665" spans="1:22">
      <c r="A665" s="6"/>
      <c r="B665" s="216">
        <v>46248</v>
      </c>
      <c r="C665" s="216">
        <v>46248</v>
      </c>
      <c r="D665" s="428" t="s">
        <v>8975</v>
      </c>
      <c r="E665" s="428">
        <v>260100922508</v>
      </c>
      <c r="F665" s="428" t="s">
        <v>87</v>
      </c>
      <c r="G665" s="428" t="s">
        <v>2079</v>
      </c>
      <c r="H665" s="428">
        <v>92</v>
      </c>
      <c r="I665" s="428">
        <v>381</v>
      </c>
      <c r="J665" s="369">
        <v>381</v>
      </c>
      <c r="K665" s="428">
        <v>180</v>
      </c>
      <c r="L665" s="217">
        <v>1180</v>
      </c>
      <c r="M665" s="428" t="s">
        <v>153</v>
      </c>
      <c r="N665" s="428" t="s">
        <v>149</v>
      </c>
      <c r="O665" s="428" t="s">
        <v>154</v>
      </c>
      <c r="P665" s="428" t="s">
        <v>151</v>
      </c>
      <c r="Q665" s="428" t="s">
        <v>155</v>
      </c>
      <c r="R665" s="428" t="s">
        <v>8976</v>
      </c>
      <c r="S665" s="428"/>
      <c r="T665" s="428" t="s">
        <v>2897</v>
      </c>
      <c r="U665" s="428" t="s">
        <v>152</v>
      </c>
      <c r="V665" s="428" t="s">
        <v>18</v>
      </c>
    </row>
    <row r="666" spans="1:22">
      <c r="A666" s="6"/>
      <c r="B666" s="216">
        <v>46248</v>
      </c>
      <c r="C666" s="216">
        <v>46248</v>
      </c>
      <c r="D666" s="428" t="s">
        <v>8977</v>
      </c>
      <c r="E666" s="428">
        <v>260102422509</v>
      </c>
      <c r="F666" s="428" t="s">
        <v>87</v>
      </c>
      <c r="G666" s="428" t="s">
        <v>8032</v>
      </c>
      <c r="H666" s="428">
        <v>102</v>
      </c>
      <c r="I666" s="428">
        <v>260</v>
      </c>
      <c r="J666" s="369">
        <v>260</v>
      </c>
      <c r="K666" s="428">
        <v>130</v>
      </c>
      <c r="L666" s="217">
        <v>1000</v>
      </c>
      <c r="M666" s="428" t="s">
        <v>153</v>
      </c>
      <c r="N666" s="428" t="s">
        <v>149</v>
      </c>
      <c r="O666" s="428" t="s">
        <v>154</v>
      </c>
      <c r="P666" s="428" t="s">
        <v>151</v>
      </c>
      <c r="Q666" s="428" t="s">
        <v>155</v>
      </c>
      <c r="R666" s="428" t="s">
        <v>8978</v>
      </c>
      <c r="S666" s="428"/>
      <c r="T666" s="428" t="s">
        <v>2897</v>
      </c>
      <c r="U666" s="428" t="s">
        <v>152</v>
      </c>
      <c r="V666" s="428" t="s">
        <v>18</v>
      </c>
    </row>
    <row r="667" spans="1:22">
      <c r="A667" s="6"/>
      <c r="B667" s="216">
        <v>46248</v>
      </c>
      <c r="C667" s="216">
        <v>46248</v>
      </c>
      <c r="D667" s="428" t="s">
        <v>8979</v>
      </c>
      <c r="E667" s="428">
        <v>260101722481</v>
      </c>
      <c r="F667" s="428" t="s">
        <v>87</v>
      </c>
      <c r="G667" s="428" t="s">
        <v>8681</v>
      </c>
      <c r="H667" s="428">
        <v>92</v>
      </c>
      <c r="I667" s="428">
        <v>260</v>
      </c>
      <c r="J667" s="369">
        <v>260</v>
      </c>
      <c r="K667" s="428">
        <v>134</v>
      </c>
      <c r="L667" s="217">
        <v>1070</v>
      </c>
      <c r="M667" s="428" t="s">
        <v>153</v>
      </c>
      <c r="N667" s="428" t="s">
        <v>149</v>
      </c>
      <c r="O667" s="428" t="s">
        <v>154</v>
      </c>
      <c r="P667" s="428" t="s">
        <v>151</v>
      </c>
      <c r="Q667" s="428" t="s">
        <v>155</v>
      </c>
      <c r="R667" s="428" t="s">
        <v>8980</v>
      </c>
      <c r="S667" s="428"/>
      <c r="T667" s="428" t="s">
        <v>2897</v>
      </c>
      <c r="U667" s="428" t="s">
        <v>152</v>
      </c>
      <c r="V667" s="428" t="s">
        <v>18</v>
      </c>
    </row>
    <row r="668" spans="1:22">
      <c r="A668" s="6"/>
      <c r="B668" s="216">
        <v>46248</v>
      </c>
      <c r="C668" s="216">
        <v>46248</v>
      </c>
      <c r="D668" s="428" t="s">
        <v>8981</v>
      </c>
      <c r="E668" s="428">
        <v>260104822224</v>
      </c>
      <c r="F668" s="428" t="s">
        <v>87</v>
      </c>
      <c r="G668" s="428" t="s">
        <v>2411</v>
      </c>
      <c r="H668" s="428" t="s">
        <v>2525</v>
      </c>
      <c r="I668" s="428">
        <v>449</v>
      </c>
      <c r="J668" s="369">
        <v>449</v>
      </c>
      <c r="K668" s="428">
        <v>105</v>
      </c>
      <c r="L668" s="217">
        <v>2500</v>
      </c>
      <c r="M668" s="428" t="s">
        <v>153</v>
      </c>
      <c r="N668" s="428" t="s">
        <v>149</v>
      </c>
      <c r="O668" s="428" t="s">
        <v>154</v>
      </c>
      <c r="P668" s="428" t="s">
        <v>151</v>
      </c>
      <c r="Q668" s="428" t="s">
        <v>156</v>
      </c>
      <c r="R668" s="428" t="s">
        <v>8982</v>
      </c>
      <c r="S668" s="428"/>
      <c r="T668" s="428" t="s">
        <v>2897</v>
      </c>
      <c r="U668" s="428" t="s">
        <v>152</v>
      </c>
      <c r="V668" s="428" t="s">
        <v>20</v>
      </c>
    </row>
    <row r="669" spans="1:22">
      <c r="A669" s="6"/>
      <c r="B669" s="216">
        <v>46248</v>
      </c>
      <c r="C669" s="216">
        <v>46248</v>
      </c>
      <c r="D669" s="428" t="s">
        <v>8983</v>
      </c>
      <c r="E669" s="428">
        <v>260100422375</v>
      </c>
      <c r="F669" s="428" t="s">
        <v>87</v>
      </c>
      <c r="G669" s="428" t="s">
        <v>2517</v>
      </c>
      <c r="H669" s="428" t="s">
        <v>2518</v>
      </c>
      <c r="I669" s="217">
        <v>1087</v>
      </c>
      <c r="J669" s="370">
        <v>1087</v>
      </c>
      <c r="K669" s="428">
        <v>190</v>
      </c>
      <c r="L669" s="217">
        <v>1910</v>
      </c>
      <c r="M669" s="428" t="s">
        <v>153</v>
      </c>
      <c r="N669" s="428" t="s">
        <v>149</v>
      </c>
      <c r="O669" s="428" t="s">
        <v>154</v>
      </c>
      <c r="P669" s="428" t="s">
        <v>151</v>
      </c>
      <c r="Q669" s="428" t="s">
        <v>156</v>
      </c>
      <c r="R669" s="428" t="s">
        <v>8984</v>
      </c>
      <c r="S669" s="428"/>
      <c r="T669" s="428" t="s">
        <v>2897</v>
      </c>
      <c r="U669" s="428" t="s">
        <v>152</v>
      </c>
      <c r="V669" s="428" t="s">
        <v>20</v>
      </c>
    </row>
    <row r="670" spans="1:22">
      <c r="A670" s="6"/>
      <c r="B670" s="216">
        <v>46248</v>
      </c>
      <c r="C670" s="216">
        <v>46248</v>
      </c>
      <c r="D670" s="428" t="s">
        <v>8985</v>
      </c>
      <c r="E670" s="428">
        <v>260104822354</v>
      </c>
      <c r="F670" s="428" t="s">
        <v>87</v>
      </c>
      <c r="G670" s="428" t="s">
        <v>2411</v>
      </c>
      <c r="H670" s="428" t="s">
        <v>2525</v>
      </c>
      <c r="I670" s="428">
        <v>445</v>
      </c>
      <c r="J670" s="369">
        <v>445</v>
      </c>
      <c r="K670" s="428">
        <v>105</v>
      </c>
      <c r="L670" s="217">
        <v>2450</v>
      </c>
      <c r="M670" s="428" t="s">
        <v>153</v>
      </c>
      <c r="N670" s="428" t="s">
        <v>149</v>
      </c>
      <c r="O670" s="428" t="s">
        <v>154</v>
      </c>
      <c r="P670" s="428" t="s">
        <v>151</v>
      </c>
      <c r="Q670" s="428" t="s">
        <v>156</v>
      </c>
      <c r="R670" s="428" t="s">
        <v>8986</v>
      </c>
      <c r="S670" s="428"/>
      <c r="T670" s="428" t="s">
        <v>2897</v>
      </c>
      <c r="U670" s="428" t="s">
        <v>152</v>
      </c>
      <c r="V670" s="428" t="s">
        <v>20</v>
      </c>
    </row>
    <row r="671" spans="1:22">
      <c r="A671" s="6"/>
      <c r="B671" s="216">
        <v>46248</v>
      </c>
      <c r="C671" s="216">
        <v>46248</v>
      </c>
      <c r="D671" s="428" t="s">
        <v>8987</v>
      </c>
      <c r="E671" s="428">
        <v>260102822537</v>
      </c>
      <c r="F671" s="428" t="s">
        <v>87</v>
      </c>
      <c r="G671" s="428" t="s">
        <v>8032</v>
      </c>
      <c r="H671" s="428">
        <v>102</v>
      </c>
      <c r="I671" s="428">
        <v>252</v>
      </c>
      <c r="J671" s="369">
        <v>252</v>
      </c>
      <c r="K671" s="428">
        <v>130</v>
      </c>
      <c r="L671" s="217">
        <v>1000</v>
      </c>
      <c r="M671" s="428" t="s">
        <v>153</v>
      </c>
      <c r="N671" s="428" t="s">
        <v>149</v>
      </c>
      <c r="O671" s="428" t="s">
        <v>154</v>
      </c>
      <c r="P671" s="428" t="s">
        <v>151</v>
      </c>
      <c r="Q671" s="428" t="s">
        <v>155</v>
      </c>
      <c r="R671" s="428" t="s">
        <v>8988</v>
      </c>
      <c r="S671" s="428"/>
      <c r="T671" s="428" t="s">
        <v>2899</v>
      </c>
      <c r="U671" s="428" t="s">
        <v>152</v>
      </c>
      <c r="V671" s="428" t="s">
        <v>18</v>
      </c>
    </row>
    <row r="672" spans="1:22">
      <c r="A672" s="6"/>
      <c r="B672" s="216">
        <v>46248</v>
      </c>
      <c r="C672" s="216">
        <v>46248</v>
      </c>
      <c r="D672" s="428" t="s">
        <v>8989</v>
      </c>
      <c r="E672" s="428">
        <v>260102522542</v>
      </c>
      <c r="F672" s="428" t="s">
        <v>87</v>
      </c>
      <c r="G672" s="428" t="s">
        <v>8032</v>
      </c>
      <c r="H672" s="428">
        <v>102</v>
      </c>
      <c r="I672" s="428">
        <v>256</v>
      </c>
      <c r="J672" s="369">
        <v>256</v>
      </c>
      <c r="K672" s="428">
        <v>130</v>
      </c>
      <c r="L672" s="217">
        <v>1000</v>
      </c>
      <c r="M672" s="428" t="s">
        <v>153</v>
      </c>
      <c r="N672" s="428" t="s">
        <v>149</v>
      </c>
      <c r="O672" s="428" t="s">
        <v>154</v>
      </c>
      <c r="P672" s="428" t="s">
        <v>151</v>
      </c>
      <c r="Q672" s="428" t="s">
        <v>155</v>
      </c>
      <c r="R672" s="428" t="s">
        <v>8990</v>
      </c>
      <c r="S672" s="428"/>
      <c r="T672" s="428" t="s">
        <v>2899</v>
      </c>
      <c r="U672" s="428" t="s">
        <v>152</v>
      </c>
      <c r="V672" s="428" t="s">
        <v>18</v>
      </c>
    </row>
    <row r="673" spans="1:22">
      <c r="A673" s="6"/>
      <c r="B673" s="216">
        <v>46248</v>
      </c>
      <c r="C673" s="216">
        <v>46248</v>
      </c>
      <c r="D673" s="428" t="s">
        <v>8991</v>
      </c>
      <c r="E673" s="428">
        <v>260102722538</v>
      </c>
      <c r="F673" s="428" t="s">
        <v>87</v>
      </c>
      <c r="G673" s="428" t="s">
        <v>8032</v>
      </c>
      <c r="H673" s="428">
        <v>102</v>
      </c>
      <c r="I673" s="428">
        <v>260</v>
      </c>
      <c r="J673" s="369">
        <v>260</v>
      </c>
      <c r="K673" s="428">
        <v>130</v>
      </c>
      <c r="L673" s="217">
        <v>1040</v>
      </c>
      <c r="M673" s="428" t="s">
        <v>153</v>
      </c>
      <c r="N673" s="428" t="s">
        <v>149</v>
      </c>
      <c r="O673" s="428" t="s">
        <v>154</v>
      </c>
      <c r="P673" s="428" t="s">
        <v>151</v>
      </c>
      <c r="Q673" s="428" t="s">
        <v>155</v>
      </c>
      <c r="R673" s="428" t="s">
        <v>8992</v>
      </c>
      <c r="S673" s="428"/>
      <c r="T673" s="428" t="s">
        <v>2899</v>
      </c>
      <c r="U673" s="428" t="s">
        <v>152</v>
      </c>
      <c r="V673" s="428" t="s">
        <v>18</v>
      </c>
    </row>
    <row r="674" spans="1:22">
      <c r="A674" s="6"/>
      <c r="B674" s="216">
        <v>46248</v>
      </c>
      <c r="C674" s="216">
        <v>46248</v>
      </c>
      <c r="D674" s="428" t="s">
        <v>8993</v>
      </c>
      <c r="E674" s="428">
        <v>260102622539</v>
      </c>
      <c r="F674" s="428" t="s">
        <v>87</v>
      </c>
      <c r="G674" s="428" t="s">
        <v>8032</v>
      </c>
      <c r="H674" s="428">
        <v>102</v>
      </c>
      <c r="I674" s="428">
        <v>241</v>
      </c>
      <c r="J674" s="369">
        <v>241</v>
      </c>
      <c r="K674" s="428">
        <v>130</v>
      </c>
      <c r="L674" s="217">
        <v>945</v>
      </c>
      <c r="M674" s="428" t="s">
        <v>153</v>
      </c>
      <c r="N674" s="428" t="s">
        <v>149</v>
      </c>
      <c r="O674" s="428" t="s">
        <v>154</v>
      </c>
      <c r="P674" s="428" t="s">
        <v>151</v>
      </c>
      <c r="Q674" s="428" t="s">
        <v>155</v>
      </c>
      <c r="R674" s="428" t="s">
        <v>8994</v>
      </c>
      <c r="S674" s="428"/>
      <c r="T674" s="428" t="s">
        <v>2899</v>
      </c>
      <c r="U674" s="428" t="s">
        <v>152</v>
      </c>
      <c r="V674" s="428" t="s">
        <v>18</v>
      </c>
    </row>
    <row r="675" spans="1:22">
      <c r="A675" s="6"/>
      <c r="B675" s="216">
        <v>46248</v>
      </c>
      <c r="C675" s="216">
        <v>46248</v>
      </c>
      <c r="D675" s="428" t="s">
        <v>8995</v>
      </c>
      <c r="E675" s="428">
        <v>260102522540</v>
      </c>
      <c r="F675" s="428" t="s">
        <v>87</v>
      </c>
      <c r="G675" s="428" t="s">
        <v>8032</v>
      </c>
      <c r="H675" s="428">
        <v>102</v>
      </c>
      <c r="I675" s="428">
        <v>256</v>
      </c>
      <c r="J675" s="369">
        <v>256</v>
      </c>
      <c r="K675" s="428">
        <v>130</v>
      </c>
      <c r="L675" s="217">
        <v>1000</v>
      </c>
      <c r="M675" s="428" t="s">
        <v>153</v>
      </c>
      <c r="N675" s="428" t="s">
        <v>149</v>
      </c>
      <c r="O675" s="428" t="s">
        <v>154</v>
      </c>
      <c r="P675" s="428" t="s">
        <v>151</v>
      </c>
      <c r="Q675" s="428" t="s">
        <v>155</v>
      </c>
      <c r="R675" s="428" t="s">
        <v>8996</v>
      </c>
      <c r="S675" s="428"/>
      <c r="T675" s="428" t="s">
        <v>2899</v>
      </c>
      <c r="U675" s="428" t="s">
        <v>152</v>
      </c>
      <c r="V675" s="428" t="s">
        <v>18</v>
      </c>
    </row>
    <row r="676" spans="1:22">
      <c r="A676" s="6"/>
      <c r="B676" s="216">
        <v>46248</v>
      </c>
      <c r="C676" s="216">
        <v>46248</v>
      </c>
      <c r="D676" s="428" t="s">
        <v>8997</v>
      </c>
      <c r="E676" s="428">
        <v>250102522541</v>
      </c>
      <c r="F676" s="428" t="s">
        <v>87</v>
      </c>
      <c r="G676" s="428" t="s">
        <v>8032</v>
      </c>
      <c r="H676" s="428">
        <v>102</v>
      </c>
      <c r="I676" s="428">
        <v>256</v>
      </c>
      <c r="J676" s="369">
        <v>256</v>
      </c>
      <c r="K676" s="428">
        <v>130</v>
      </c>
      <c r="L676" s="217">
        <v>1000</v>
      </c>
      <c r="M676" s="428" t="s">
        <v>153</v>
      </c>
      <c r="N676" s="428" t="s">
        <v>149</v>
      </c>
      <c r="O676" s="428" t="s">
        <v>154</v>
      </c>
      <c r="P676" s="428" t="s">
        <v>151</v>
      </c>
      <c r="Q676" s="428" t="s">
        <v>155</v>
      </c>
      <c r="R676" s="428" t="s">
        <v>8998</v>
      </c>
      <c r="S676" s="428"/>
      <c r="T676" s="428" t="s">
        <v>2899</v>
      </c>
      <c r="U676" s="428" t="s">
        <v>152</v>
      </c>
      <c r="V676" s="428" t="s">
        <v>18</v>
      </c>
    </row>
    <row r="677" spans="1:22">
      <c r="A677" s="6"/>
      <c r="B677" s="216">
        <v>46249</v>
      </c>
      <c r="C677" s="216">
        <v>46249</v>
      </c>
      <c r="D677" s="428" t="s">
        <v>8999</v>
      </c>
      <c r="E677" s="428">
        <v>260102422546</v>
      </c>
      <c r="F677" s="428" t="s">
        <v>87</v>
      </c>
      <c r="G677" s="428" t="s">
        <v>8032</v>
      </c>
      <c r="H677" s="428">
        <v>102</v>
      </c>
      <c r="I677" s="428">
        <v>259</v>
      </c>
      <c r="J677" s="369">
        <v>259</v>
      </c>
      <c r="K677" s="428">
        <v>130</v>
      </c>
      <c r="L677" s="217">
        <v>1000</v>
      </c>
      <c r="M677" s="428" t="s">
        <v>153</v>
      </c>
      <c r="N677" s="428" t="s">
        <v>149</v>
      </c>
      <c r="O677" s="428" t="s">
        <v>154</v>
      </c>
      <c r="P677" s="428" t="s">
        <v>151</v>
      </c>
      <c r="Q677" s="428" t="s">
        <v>155</v>
      </c>
      <c r="R677" s="428" t="s">
        <v>9000</v>
      </c>
      <c r="S677" s="428"/>
      <c r="T677" s="428" t="s">
        <v>9001</v>
      </c>
      <c r="U677" s="428" t="s">
        <v>152</v>
      </c>
      <c r="V677" s="428" t="s">
        <v>18</v>
      </c>
    </row>
    <row r="678" spans="1:22">
      <c r="A678" s="6"/>
      <c r="B678" s="216">
        <v>46249</v>
      </c>
      <c r="C678" s="216">
        <v>46249</v>
      </c>
      <c r="D678" s="428" t="s">
        <v>9002</v>
      </c>
      <c r="E678" s="428">
        <v>260101822457</v>
      </c>
      <c r="F678" s="428" t="s">
        <v>87</v>
      </c>
      <c r="G678" s="428" t="s">
        <v>9003</v>
      </c>
      <c r="H678" s="428">
        <v>162</v>
      </c>
      <c r="I678" s="428">
        <v>270</v>
      </c>
      <c r="J678" s="369">
        <v>270</v>
      </c>
      <c r="K678" s="428">
        <v>140</v>
      </c>
      <c r="L678" s="217">
        <v>600</v>
      </c>
      <c r="M678" s="428" t="s">
        <v>153</v>
      </c>
      <c r="N678" s="428" t="s">
        <v>149</v>
      </c>
      <c r="O678" s="428" t="s">
        <v>154</v>
      </c>
      <c r="P678" s="428" t="s">
        <v>151</v>
      </c>
      <c r="Q678" s="428" t="s">
        <v>155</v>
      </c>
      <c r="R678" s="428" t="s">
        <v>9004</v>
      </c>
      <c r="S678" s="428"/>
      <c r="T678" s="428" t="s">
        <v>9001</v>
      </c>
      <c r="U678" s="428" t="s">
        <v>152</v>
      </c>
      <c r="V678" s="428" t="s">
        <v>18</v>
      </c>
    </row>
    <row r="679" spans="1:22">
      <c r="A679" s="6"/>
      <c r="B679" s="216">
        <v>46249</v>
      </c>
      <c r="C679" s="216">
        <v>46249</v>
      </c>
      <c r="D679" s="428" t="s">
        <v>9005</v>
      </c>
      <c r="E679" s="428">
        <v>260101822547</v>
      </c>
      <c r="F679" s="428" t="s">
        <v>87</v>
      </c>
      <c r="G679" s="428" t="s">
        <v>8933</v>
      </c>
      <c r="H679" s="428">
        <v>162</v>
      </c>
      <c r="I679" s="428">
        <v>300</v>
      </c>
      <c r="J679" s="369">
        <v>300</v>
      </c>
      <c r="K679" s="428">
        <v>140</v>
      </c>
      <c r="L679" s="217">
        <v>670</v>
      </c>
      <c r="M679" s="428" t="s">
        <v>153</v>
      </c>
      <c r="N679" s="428" t="s">
        <v>149</v>
      </c>
      <c r="O679" s="428" t="s">
        <v>154</v>
      </c>
      <c r="P679" s="428" t="s">
        <v>151</v>
      </c>
      <c r="Q679" s="428" t="s">
        <v>155</v>
      </c>
      <c r="R679" s="428" t="s">
        <v>9006</v>
      </c>
      <c r="S679" s="428"/>
      <c r="T679" s="428" t="s">
        <v>9001</v>
      </c>
      <c r="U679" s="428" t="s">
        <v>152</v>
      </c>
      <c r="V679" s="428" t="s">
        <v>18</v>
      </c>
    </row>
    <row r="680" spans="1:22">
      <c r="A680" s="6"/>
      <c r="B680" s="216">
        <v>46249</v>
      </c>
      <c r="C680" s="216">
        <v>46249</v>
      </c>
      <c r="D680" s="428" t="s">
        <v>9007</v>
      </c>
      <c r="E680" s="428">
        <v>260105322562</v>
      </c>
      <c r="F680" s="428" t="s">
        <v>87</v>
      </c>
      <c r="G680" s="428" t="s">
        <v>824</v>
      </c>
      <c r="H680" s="428">
        <v>152</v>
      </c>
      <c r="I680" s="428">
        <v>252</v>
      </c>
      <c r="J680" s="369">
        <v>252</v>
      </c>
      <c r="K680" s="428">
        <v>104</v>
      </c>
      <c r="L680" s="217">
        <v>1660</v>
      </c>
      <c r="M680" s="428" t="s">
        <v>153</v>
      </c>
      <c r="N680" s="428" t="s">
        <v>149</v>
      </c>
      <c r="O680" s="428" t="s">
        <v>154</v>
      </c>
      <c r="P680" s="428" t="s">
        <v>151</v>
      </c>
      <c r="Q680" s="428" t="s">
        <v>155</v>
      </c>
      <c r="R680" s="428" t="s">
        <v>9008</v>
      </c>
      <c r="S680" s="428"/>
      <c r="T680" s="428" t="s">
        <v>9001</v>
      </c>
      <c r="U680" s="428" t="s">
        <v>152</v>
      </c>
      <c r="V680" s="428" t="s">
        <v>18</v>
      </c>
    </row>
    <row r="681" spans="1:22">
      <c r="A681" s="6"/>
      <c r="B681" s="216">
        <v>46249</v>
      </c>
      <c r="C681" s="216">
        <v>46249</v>
      </c>
      <c r="D681" s="428" t="s">
        <v>9009</v>
      </c>
      <c r="E681" s="428">
        <v>260106922571</v>
      </c>
      <c r="F681" s="428" t="s">
        <v>87</v>
      </c>
      <c r="G681" s="428" t="s">
        <v>7928</v>
      </c>
      <c r="H681" s="428">
        <v>135</v>
      </c>
      <c r="I681" s="428">
        <v>296</v>
      </c>
      <c r="J681" s="369">
        <v>296</v>
      </c>
      <c r="K681" s="428">
        <v>107</v>
      </c>
      <c r="L681" s="217">
        <v>2115</v>
      </c>
      <c r="M681" s="428" t="s">
        <v>153</v>
      </c>
      <c r="N681" s="428" t="s">
        <v>149</v>
      </c>
      <c r="O681" s="428" t="s">
        <v>154</v>
      </c>
      <c r="P681" s="428" t="s">
        <v>151</v>
      </c>
      <c r="Q681" s="428" t="s">
        <v>155</v>
      </c>
      <c r="R681" s="428" t="s">
        <v>9010</v>
      </c>
      <c r="S681" s="428"/>
      <c r="T681" s="428" t="s">
        <v>9001</v>
      </c>
      <c r="U681" s="428" t="s">
        <v>152</v>
      </c>
      <c r="V681" s="428" t="s">
        <v>18</v>
      </c>
    </row>
    <row r="682" spans="1:22">
      <c r="A682" s="6"/>
      <c r="B682" s="216">
        <v>46249</v>
      </c>
      <c r="C682" s="216">
        <v>46249</v>
      </c>
      <c r="D682" s="428" t="s">
        <v>9011</v>
      </c>
      <c r="E682" s="428">
        <v>260105022563</v>
      </c>
      <c r="F682" s="428" t="s">
        <v>87</v>
      </c>
      <c r="G682" s="428" t="s">
        <v>2407</v>
      </c>
      <c r="H682" s="428">
        <v>160</v>
      </c>
      <c r="I682" s="428">
        <v>249</v>
      </c>
      <c r="J682" s="369">
        <v>249</v>
      </c>
      <c r="K682" s="428">
        <v>102</v>
      </c>
      <c r="L682" s="217">
        <v>1570</v>
      </c>
      <c r="M682" s="428" t="s">
        <v>153</v>
      </c>
      <c r="N682" s="428" t="s">
        <v>149</v>
      </c>
      <c r="O682" s="428" t="s">
        <v>154</v>
      </c>
      <c r="P682" s="428" t="s">
        <v>151</v>
      </c>
      <c r="Q682" s="428" t="s">
        <v>155</v>
      </c>
      <c r="R682" s="428" t="s">
        <v>9012</v>
      </c>
      <c r="S682" s="428"/>
      <c r="T682" s="428" t="s">
        <v>9001</v>
      </c>
      <c r="U682" s="428" t="s">
        <v>152</v>
      </c>
      <c r="V682" s="428" t="s">
        <v>18</v>
      </c>
    </row>
    <row r="683" spans="1:22">
      <c r="A683" s="6"/>
      <c r="B683" s="216">
        <v>46249</v>
      </c>
      <c r="C683" s="216">
        <v>46249</v>
      </c>
      <c r="D683" s="428" t="s">
        <v>9013</v>
      </c>
      <c r="E683" s="428">
        <v>260101722602</v>
      </c>
      <c r="F683" s="428" t="s">
        <v>87</v>
      </c>
      <c r="G683" s="428" t="s">
        <v>8681</v>
      </c>
      <c r="H683" s="428">
        <v>92</v>
      </c>
      <c r="I683" s="428">
        <v>252</v>
      </c>
      <c r="J683" s="369">
        <v>252</v>
      </c>
      <c r="K683" s="428">
        <v>134</v>
      </c>
      <c r="L683" s="217">
        <v>1060</v>
      </c>
      <c r="M683" s="428" t="s">
        <v>153</v>
      </c>
      <c r="N683" s="428" t="s">
        <v>149</v>
      </c>
      <c r="O683" s="428" t="s">
        <v>154</v>
      </c>
      <c r="P683" s="428" t="s">
        <v>151</v>
      </c>
      <c r="Q683" s="428" t="s">
        <v>155</v>
      </c>
      <c r="R683" s="428" t="s">
        <v>9014</v>
      </c>
      <c r="S683" s="428"/>
      <c r="T683" s="428" t="s">
        <v>9001</v>
      </c>
      <c r="U683" s="428" t="s">
        <v>152</v>
      </c>
      <c r="V683" s="428" t="s">
        <v>18</v>
      </c>
    </row>
    <row r="684" spans="1:22">
      <c r="A684" s="6"/>
      <c r="B684" s="216">
        <v>46249</v>
      </c>
      <c r="C684" s="216">
        <v>46249</v>
      </c>
      <c r="D684" s="428" t="s">
        <v>9015</v>
      </c>
      <c r="E684" s="428">
        <v>260107122572</v>
      </c>
      <c r="F684" s="428" t="s">
        <v>87</v>
      </c>
      <c r="G684" s="428" t="s">
        <v>8692</v>
      </c>
      <c r="H684" s="428">
        <v>140</v>
      </c>
      <c r="I684" s="428">
        <v>215</v>
      </c>
      <c r="J684" s="369">
        <v>215</v>
      </c>
      <c r="K684" s="428">
        <v>88</v>
      </c>
      <c r="L684" s="217">
        <v>1800</v>
      </c>
      <c r="M684" s="428" t="s">
        <v>153</v>
      </c>
      <c r="N684" s="428" t="s">
        <v>149</v>
      </c>
      <c r="O684" s="428" t="s">
        <v>154</v>
      </c>
      <c r="P684" s="428" t="s">
        <v>151</v>
      </c>
      <c r="Q684" s="428" t="s">
        <v>155</v>
      </c>
      <c r="R684" s="428" t="s">
        <v>9016</v>
      </c>
      <c r="S684" s="428"/>
      <c r="T684" s="428" t="s">
        <v>9001</v>
      </c>
      <c r="U684" s="428" t="s">
        <v>152</v>
      </c>
      <c r="V684" s="428" t="s">
        <v>18</v>
      </c>
    </row>
    <row r="685" spans="1:22">
      <c r="A685" s="6"/>
      <c r="B685" s="216">
        <v>46249</v>
      </c>
      <c r="C685" s="216">
        <v>46249</v>
      </c>
      <c r="D685" s="428" t="s">
        <v>9017</v>
      </c>
      <c r="E685" s="428">
        <v>260105722278</v>
      </c>
      <c r="F685" s="428" t="s">
        <v>87</v>
      </c>
      <c r="G685" s="428" t="s">
        <v>8770</v>
      </c>
      <c r="H685" s="428">
        <v>142</v>
      </c>
      <c r="I685" s="428">
        <v>265</v>
      </c>
      <c r="J685" s="369">
        <v>265</v>
      </c>
      <c r="K685" s="428">
        <v>99</v>
      </c>
      <c r="L685" s="217">
        <v>1940</v>
      </c>
      <c r="M685" s="428" t="s">
        <v>153</v>
      </c>
      <c r="N685" s="428" t="s">
        <v>149</v>
      </c>
      <c r="O685" s="428" t="s">
        <v>154</v>
      </c>
      <c r="P685" s="428" t="s">
        <v>151</v>
      </c>
      <c r="Q685" s="428" t="s">
        <v>155</v>
      </c>
      <c r="R685" s="428" t="s">
        <v>9018</v>
      </c>
      <c r="S685" s="428"/>
      <c r="T685" s="428" t="s">
        <v>9001</v>
      </c>
      <c r="U685" s="428" t="s">
        <v>152</v>
      </c>
      <c r="V685" s="428" t="s">
        <v>18</v>
      </c>
    </row>
    <row r="686" spans="1:22">
      <c r="A686" s="6"/>
      <c r="B686" s="216">
        <v>46249</v>
      </c>
      <c r="C686" s="216">
        <v>46249</v>
      </c>
      <c r="D686" s="428" t="s">
        <v>9019</v>
      </c>
      <c r="E686" s="428">
        <v>260101622544</v>
      </c>
      <c r="F686" s="428" t="s">
        <v>87</v>
      </c>
      <c r="G686" s="428" t="s">
        <v>2079</v>
      </c>
      <c r="H686" s="428">
        <v>112</v>
      </c>
      <c r="I686" s="428">
        <v>396</v>
      </c>
      <c r="J686" s="369">
        <v>396</v>
      </c>
      <c r="K686" s="428">
        <v>180</v>
      </c>
      <c r="L686" s="217">
        <v>1000</v>
      </c>
      <c r="M686" s="428" t="s">
        <v>153</v>
      </c>
      <c r="N686" s="428" t="s">
        <v>149</v>
      </c>
      <c r="O686" s="428" t="s">
        <v>154</v>
      </c>
      <c r="P686" s="428" t="s">
        <v>151</v>
      </c>
      <c r="Q686" s="428" t="s">
        <v>155</v>
      </c>
      <c r="R686" s="428" t="s">
        <v>9020</v>
      </c>
      <c r="S686" s="428"/>
      <c r="T686" s="428" t="s">
        <v>9021</v>
      </c>
      <c r="U686" s="428" t="s">
        <v>152</v>
      </c>
      <c r="V686" s="428" t="s">
        <v>18</v>
      </c>
    </row>
    <row r="687" spans="1:22">
      <c r="A687" s="6"/>
      <c r="B687" s="216">
        <v>46249</v>
      </c>
      <c r="C687" s="216">
        <v>46249</v>
      </c>
      <c r="D687" s="428" t="s">
        <v>9022</v>
      </c>
      <c r="E687" s="428">
        <v>260101722545</v>
      </c>
      <c r="F687" s="428" t="s">
        <v>87</v>
      </c>
      <c r="G687" s="428" t="s">
        <v>8681</v>
      </c>
      <c r="H687" s="428">
        <v>92</v>
      </c>
      <c r="I687" s="428">
        <v>244</v>
      </c>
      <c r="J687" s="369">
        <v>244</v>
      </c>
      <c r="K687" s="428">
        <v>134</v>
      </c>
      <c r="L687" s="217">
        <v>1000</v>
      </c>
      <c r="M687" s="428" t="s">
        <v>153</v>
      </c>
      <c r="N687" s="428" t="s">
        <v>149</v>
      </c>
      <c r="O687" s="428" t="s">
        <v>154</v>
      </c>
      <c r="P687" s="428" t="s">
        <v>151</v>
      </c>
      <c r="Q687" s="428" t="s">
        <v>155</v>
      </c>
      <c r="R687" s="428" t="s">
        <v>9023</v>
      </c>
      <c r="S687" s="428"/>
      <c r="T687" s="428" t="s">
        <v>9021</v>
      </c>
      <c r="U687" s="428" t="s">
        <v>152</v>
      </c>
      <c r="V687" s="428" t="s">
        <v>18</v>
      </c>
    </row>
    <row r="688" spans="1:22">
      <c r="A688" s="6"/>
      <c r="B688" s="216">
        <v>46249</v>
      </c>
      <c r="C688" s="216">
        <v>46249</v>
      </c>
      <c r="D688" s="428" t="s">
        <v>9024</v>
      </c>
      <c r="E688" s="428">
        <v>260103322549</v>
      </c>
      <c r="F688" s="428" t="s">
        <v>87</v>
      </c>
      <c r="G688" s="428" t="s">
        <v>2409</v>
      </c>
      <c r="H688" s="428">
        <v>152</v>
      </c>
      <c r="I688" s="428">
        <v>308</v>
      </c>
      <c r="J688" s="369">
        <v>308</v>
      </c>
      <c r="K688" s="428">
        <v>97</v>
      </c>
      <c r="L688" s="217">
        <v>2200</v>
      </c>
      <c r="M688" s="428" t="s">
        <v>153</v>
      </c>
      <c r="N688" s="428" t="s">
        <v>149</v>
      </c>
      <c r="O688" s="428" t="s">
        <v>154</v>
      </c>
      <c r="P688" s="428" t="s">
        <v>151</v>
      </c>
      <c r="Q688" s="428" t="s">
        <v>155</v>
      </c>
      <c r="R688" s="428" t="s">
        <v>9025</v>
      </c>
      <c r="S688" s="428"/>
      <c r="T688" s="428" t="s">
        <v>9021</v>
      </c>
      <c r="U688" s="428" t="s">
        <v>152</v>
      </c>
      <c r="V688" s="428" t="s">
        <v>18</v>
      </c>
    </row>
    <row r="689" spans="1:22">
      <c r="A689" s="6"/>
      <c r="B689" s="216">
        <v>46249</v>
      </c>
      <c r="C689" s="216">
        <v>46249</v>
      </c>
      <c r="D689" s="428" t="s">
        <v>9026</v>
      </c>
      <c r="E689" s="428">
        <v>260105822585</v>
      </c>
      <c r="F689" s="428" t="s">
        <v>87</v>
      </c>
      <c r="G689" s="428" t="s">
        <v>824</v>
      </c>
      <c r="H689" s="428">
        <v>152</v>
      </c>
      <c r="I689" s="428">
        <v>248</v>
      </c>
      <c r="J689" s="369">
        <v>248</v>
      </c>
      <c r="K689" s="428">
        <v>104</v>
      </c>
      <c r="L689" s="217">
        <v>1670</v>
      </c>
      <c r="M689" s="428" t="s">
        <v>153</v>
      </c>
      <c r="N689" s="428" t="s">
        <v>149</v>
      </c>
      <c r="O689" s="428" t="s">
        <v>154</v>
      </c>
      <c r="P689" s="428" t="s">
        <v>151</v>
      </c>
      <c r="Q689" s="428" t="s">
        <v>155</v>
      </c>
      <c r="R689" s="428" t="s">
        <v>9027</v>
      </c>
      <c r="S689" s="428"/>
      <c r="T689" s="428" t="s">
        <v>9021</v>
      </c>
      <c r="U689" s="428" t="s">
        <v>152</v>
      </c>
      <c r="V689" s="428" t="s">
        <v>18</v>
      </c>
    </row>
    <row r="690" spans="1:22">
      <c r="A690" s="6"/>
      <c r="B690" s="216">
        <v>46249</v>
      </c>
      <c r="C690" s="216">
        <v>46249</v>
      </c>
      <c r="D690" s="428" t="s">
        <v>9028</v>
      </c>
      <c r="E690" s="428">
        <v>260102922587</v>
      </c>
      <c r="F690" s="428" t="s">
        <v>87</v>
      </c>
      <c r="G690" s="428" t="s">
        <v>824</v>
      </c>
      <c r="H690" s="428">
        <v>152</v>
      </c>
      <c r="I690" s="428">
        <v>320</v>
      </c>
      <c r="J690" s="369">
        <v>320</v>
      </c>
      <c r="K690" s="428">
        <v>104</v>
      </c>
      <c r="L690" s="217">
        <v>2100</v>
      </c>
      <c r="M690" s="428" t="s">
        <v>153</v>
      </c>
      <c r="N690" s="428" t="s">
        <v>149</v>
      </c>
      <c r="O690" s="428" t="s">
        <v>154</v>
      </c>
      <c r="P690" s="428" t="s">
        <v>151</v>
      </c>
      <c r="Q690" s="428" t="s">
        <v>155</v>
      </c>
      <c r="R690" s="428" t="s">
        <v>9029</v>
      </c>
      <c r="S690" s="428"/>
      <c r="T690" s="428" t="s">
        <v>9021</v>
      </c>
      <c r="U690" s="428" t="s">
        <v>152</v>
      </c>
      <c r="V690" s="428" t="s">
        <v>18</v>
      </c>
    </row>
    <row r="691" spans="1:22">
      <c r="A691" s="6"/>
      <c r="B691" s="216">
        <v>46249</v>
      </c>
      <c r="C691" s="216">
        <v>46249</v>
      </c>
      <c r="D691" s="428" t="s">
        <v>9030</v>
      </c>
      <c r="E691" s="428">
        <v>260102222604</v>
      </c>
      <c r="F691" s="428" t="s">
        <v>87</v>
      </c>
      <c r="G691" s="428" t="s">
        <v>8032</v>
      </c>
      <c r="H691" s="428">
        <v>102</v>
      </c>
      <c r="I691" s="428">
        <v>257</v>
      </c>
      <c r="J691" s="369">
        <v>257</v>
      </c>
      <c r="K691" s="428">
        <v>130</v>
      </c>
      <c r="L691" s="217">
        <v>1000</v>
      </c>
      <c r="M691" s="428" t="s">
        <v>153</v>
      </c>
      <c r="N691" s="428" t="s">
        <v>149</v>
      </c>
      <c r="O691" s="428" t="s">
        <v>154</v>
      </c>
      <c r="P691" s="428" t="s">
        <v>151</v>
      </c>
      <c r="Q691" s="428" t="s">
        <v>155</v>
      </c>
      <c r="R691" s="428" t="s">
        <v>9031</v>
      </c>
      <c r="S691" s="428"/>
      <c r="T691" s="428" t="s">
        <v>9021</v>
      </c>
      <c r="U691" s="428" t="s">
        <v>152</v>
      </c>
      <c r="V691" s="428" t="s">
        <v>18</v>
      </c>
    </row>
    <row r="692" spans="1:22">
      <c r="A692" s="6"/>
      <c r="B692" s="216">
        <v>46249</v>
      </c>
      <c r="C692" s="216">
        <v>46249</v>
      </c>
      <c r="D692" s="428" t="s">
        <v>9032</v>
      </c>
      <c r="E692" s="428">
        <v>260100722577</v>
      </c>
      <c r="F692" s="428" t="s">
        <v>87</v>
      </c>
      <c r="G692" s="428" t="s">
        <v>7586</v>
      </c>
      <c r="H692" s="428">
        <v>142</v>
      </c>
      <c r="I692" s="428">
        <v>406</v>
      </c>
      <c r="J692" s="369">
        <v>406</v>
      </c>
      <c r="K692" s="428">
        <v>170</v>
      </c>
      <c r="L692" s="217">
        <v>830</v>
      </c>
      <c r="M692" s="428" t="s">
        <v>153</v>
      </c>
      <c r="N692" s="428" t="s">
        <v>149</v>
      </c>
      <c r="O692" s="428" t="s">
        <v>154</v>
      </c>
      <c r="P692" s="428" t="s">
        <v>151</v>
      </c>
      <c r="Q692" s="428" t="s">
        <v>155</v>
      </c>
      <c r="R692" s="428" t="s">
        <v>9033</v>
      </c>
      <c r="S692" s="428"/>
      <c r="T692" s="428" t="s">
        <v>9021</v>
      </c>
      <c r="U692" s="428" t="s">
        <v>152</v>
      </c>
      <c r="V692" s="428" t="s">
        <v>18</v>
      </c>
    </row>
    <row r="693" spans="1:22">
      <c r="A693" s="6"/>
      <c r="B693" s="216">
        <v>46249</v>
      </c>
      <c r="C693" s="216">
        <v>46249</v>
      </c>
      <c r="D693" s="428" t="s">
        <v>9034</v>
      </c>
      <c r="E693" s="428">
        <v>260105422586</v>
      </c>
      <c r="F693" s="428" t="s">
        <v>87</v>
      </c>
      <c r="G693" s="428" t="s">
        <v>8290</v>
      </c>
      <c r="H693" s="428">
        <v>140</v>
      </c>
      <c r="I693" s="428">
        <v>235</v>
      </c>
      <c r="J693" s="369">
        <v>235</v>
      </c>
      <c r="K693" s="428">
        <v>83</v>
      </c>
      <c r="L693" s="217">
        <v>2120</v>
      </c>
      <c r="M693" s="428" t="s">
        <v>153</v>
      </c>
      <c r="N693" s="428" t="s">
        <v>149</v>
      </c>
      <c r="O693" s="428" t="s">
        <v>154</v>
      </c>
      <c r="P693" s="428" t="s">
        <v>151</v>
      </c>
      <c r="Q693" s="428" t="s">
        <v>155</v>
      </c>
      <c r="R693" s="428" t="s">
        <v>9035</v>
      </c>
      <c r="S693" s="428"/>
      <c r="T693" s="428" t="s">
        <v>9021</v>
      </c>
      <c r="U693" s="428" t="s">
        <v>152</v>
      </c>
      <c r="V693" s="428" t="s">
        <v>18</v>
      </c>
    </row>
    <row r="694" spans="1:22">
      <c r="A694" s="6"/>
      <c r="B694" s="216">
        <v>46249</v>
      </c>
      <c r="C694" s="216">
        <v>46249</v>
      </c>
      <c r="D694" s="428" t="s">
        <v>9036</v>
      </c>
      <c r="E694" s="428">
        <v>260101922605</v>
      </c>
      <c r="F694" s="428" t="s">
        <v>87</v>
      </c>
      <c r="G694" s="428" t="s">
        <v>2303</v>
      </c>
      <c r="H694" s="428">
        <v>92</v>
      </c>
      <c r="I694" s="428">
        <v>260</v>
      </c>
      <c r="J694" s="369">
        <v>260</v>
      </c>
      <c r="K694" s="428">
        <v>134</v>
      </c>
      <c r="L694" s="217">
        <v>1090</v>
      </c>
      <c r="M694" s="428" t="s">
        <v>153</v>
      </c>
      <c r="N694" s="428" t="s">
        <v>149</v>
      </c>
      <c r="O694" s="428" t="s">
        <v>154</v>
      </c>
      <c r="P694" s="428" t="s">
        <v>151</v>
      </c>
      <c r="Q694" s="428" t="s">
        <v>155</v>
      </c>
      <c r="R694" s="428" t="s">
        <v>9037</v>
      </c>
      <c r="S694" s="428"/>
      <c r="T694" s="428" t="s">
        <v>9021</v>
      </c>
      <c r="U694" s="428" t="s">
        <v>152</v>
      </c>
      <c r="V694" s="428" t="s">
        <v>18</v>
      </c>
    </row>
    <row r="695" spans="1:22">
      <c r="A695" s="6"/>
      <c r="B695" s="216">
        <v>46249</v>
      </c>
      <c r="C695" s="216">
        <v>46249</v>
      </c>
      <c r="D695" s="428" t="s">
        <v>9038</v>
      </c>
      <c r="E695" s="428">
        <v>260106222579</v>
      </c>
      <c r="F695" s="428" t="s">
        <v>87</v>
      </c>
      <c r="G695" s="428" t="s">
        <v>824</v>
      </c>
      <c r="H695" s="428">
        <v>182</v>
      </c>
      <c r="I695" s="428">
        <v>218</v>
      </c>
      <c r="J695" s="369">
        <v>218</v>
      </c>
      <c r="K695" s="428">
        <v>104</v>
      </c>
      <c r="L695" s="217">
        <v>1230</v>
      </c>
      <c r="M695" s="428" t="s">
        <v>153</v>
      </c>
      <c r="N695" s="428" t="s">
        <v>149</v>
      </c>
      <c r="O695" s="428" t="s">
        <v>154</v>
      </c>
      <c r="P695" s="428" t="s">
        <v>151</v>
      </c>
      <c r="Q695" s="428" t="s">
        <v>155</v>
      </c>
      <c r="R695" s="428" t="s">
        <v>9039</v>
      </c>
      <c r="S695" s="428"/>
      <c r="T695" s="428" t="s">
        <v>9021</v>
      </c>
      <c r="U695" s="428" t="s">
        <v>152</v>
      </c>
      <c r="V695" s="428" t="s">
        <v>18</v>
      </c>
    </row>
    <row r="696" spans="1:22">
      <c r="A696" s="6"/>
      <c r="B696" s="216">
        <v>46249</v>
      </c>
      <c r="C696" s="216">
        <v>46249</v>
      </c>
      <c r="D696" s="428" t="s">
        <v>9040</v>
      </c>
      <c r="E696" s="428">
        <v>260103822593</v>
      </c>
      <c r="F696" s="428" t="s">
        <v>87</v>
      </c>
      <c r="G696" s="428" t="s">
        <v>824</v>
      </c>
      <c r="H696" s="428">
        <v>152</v>
      </c>
      <c r="I696" s="428">
        <v>222</v>
      </c>
      <c r="J696" s="369">
        <v>222</v>
      </c>
      <c r="K696" s="428">
        <v>104</v>
      </c>
      <c r="L696" s="217">
        <v>1500</v>
      </c>
      <c r="M696" s="428" t="s">
        <v>153</v>
      </c>
      <c r="N696" s="428" t="s">
        <v>149</v>
      </c>
      <c r="O696" s="428" t="s">
        <v>154</v>
      </c>
      <c r="P696" s="428" t="s">
        <v>151</v>
      </c>
      <c r="Q696" s="428" t="s">
        <v>155</v>
      </c>
      <c r="R696" s="428" t="s">
        <v>9041</v>
      </c>
      <c r="S696" s="428"/>
      <c r="T696" s="428" t="s">
        <v>9021</v>
      </c>
      <c r="U696" s="428" t="s">
        <v>152</v>
      </c>
      <c r="V696" s="428" t="s">
        <v>18</v>
      </c>
    </row>
    <row r="697" spans="1:22">
      <c r="A697" s="6"/>
      <c r="B697" s="216">
        <v>46249</v>
      </c>
      <c r="C697" s="216">
        <v>46249</v>
      </c>
      <c r="D697" s="428" t="s">
        <v>9042</v>
      </c>
      <c r="E697" s="428">
        <v>260103622596</v>
      </c>
      <c r="F697" s="428" t="s">
        <v>87</v>
      </c>
      <c r="G697" s="428" t="s">
        <v>2360</v>
      </c>
      <c r="H697" s="428">
        <v>135</v>
      </c>
      <c r="I697" s="428">
        <v>250</v>
      </c>
      <c r="J697" s="369">
        <v>250</v>
      </c>
      <c r="K697" s="428">
        <v>87</v>
      </c>
      <c r="L697" s="217">
        <v>2170</v>
      </c>
      <c r="M697" s="428" t="s">
        <v>153</v>
      </c>
      <c r="N697" s="428" t="s">
        <v>149</v>
      </c>
      <c r="O697" s="428" t="s">
        <v>154</v>
      </c>
      <c r="P697" s="428" t="s">
        <v>151</v>
      </c>
      <c r="Q697" s="428" t="s">
        <v>155</v>
      </c>
      <c r="R697" s="428" t="s">
        <v>9043</v>
      </c>
      <c r="S697" s="428"/>
      <c r="T697" s="428" t="s">
        <v>9021</v>
      </c>
      <c r="U697" s="428" t="s">
        <v>152</v>
      </c>
      <c r="V697" s="428" t="s">
        <v>18</v>
      </c>
    </row>
    <row r="698" spans="1:22">
      <c r="A698" s="6"/>
      <c r="B698" s="216">
        <v>46249</v>
      </c>
      <c r="C698" s="216">
        <v>46249</v>
      </c>
      <c r="D698" s="428" t="s">
        <v>9044</v>
      </c>
      <c r="E698" s="428">
        <v>260102622600</v>
      </c>
      <c r="F698" s="428" t="s">
        <v>87</v>
      </c>
      <c r="G698" s="428" t="s">
        <v>8032</v>
      </c>
      <c r="H698" s="428">
        <v>102</v>
      </c>
      <c r="I698" s="428">
        <v>295</v>
      </c>
      <c r="J698" s="369">
        <v>295</v>
      </c>
      <c r="K698" s="428">
        <v>130</v>
      </c>
      <c r="L698" s="217">
        <v>1150</v>
      </c>
      <c r="M698" s="428" t="s">
        <v>153</v>
      </c>
      <c r="N698" s="428" t="s">
        <v>149</v>
      </c>
      <c r="O698" s="428" t="s">
        <v>154</v>
      </c>
      <c r="P698" s="428" t="s">
        <v>151</v>
      </c>
      <c r="Q698" s="428" t="s">
        <v>155</v>
      </c>
      <c r="R698" s="428" t="s">
        <v>9045</v>
      </c>
      <c r="S698" s="428"/>
      <c r="T698" s="428" t="s">
        <v>9021</v>
      </c>
      <c r="U698" s="428" t="s">
        <v>152</v>
      </c>
      <c r="V698" s="428" t="s">
        <v>18</v>
      </c>
    </row>
    <row r="699" spans="1:22">
      <c r="A699" s="6"/>
      <c r="B699" s="216">
        <v>46249</v>
      </c>
      <c r="C699" s="216">
        <v>46249</v>
      </c>
      <c r="D699" s="428" t="s">
        <v>9046</v>
      </c>
      <c r="E699" s="428">
        <v>260101522598</v>
      </c>
      <c r="F699" s="428" t="s">
        <v>87</v>
      </c>
      <c r="G699" s="428" t="s">
        <v>2419</v>
      </c>
      <c r="H699" s="428">
        <v>92</v>
      </c>
      <c r="I699" s="428">
        <v>380</v>
      </c>
      <c r="J699" s="369">
        <v>380</v>
      </c>
      <c r="K699" s="428">
        <v>180</v>
      </c>
      <c r="L699" s="217">
        <v>1160</v>
      </c>
      <c r="M699" s="428" t="s">
        <v>153</v>
      </c>
      <c r="N699" s="428" t="s">
        <v>149</v>
      </c>
      <c r="O699" s="428" t="s">
        <v>154</v>
      </c>
      <c r="P699" s="428" t="s">
        <v>151</v>
      </c>
      <c r="Q699" s="428" t="s">
        <v>155</v>
      </c>
      <c r="R699" s="428" t="s">
        <v>9047</v>
      </c>
      <c r="S699" s="428"/>
      <c r="T699" s="428" t="s">
        <v>9021</v>
      </c>
      <c r="U699" s="428" t="s">
        <v>152</v>
      </c>
      <c r="V699" s="428" t="s">
        <v>18</v>
      </c>
    </row>
    <row r="700" spans="1:22">
      <c r="A700" s="6"/>
      <c r="B700" s="216">
        <v>46249</v>
      </c>
      <c r="C700" s="216">
        <v>46249</v>
      </c>
      <c r="D700" s="428" t="s">
        <v>9048</v>
      </c>
      <c r="E700" s="428">
        <v>260102822599</v>
      </c>
      <c r="F700" s="428" t="s">
        <v>87</v>
      </c>
      <c r="G700" s="428" t="s">
        <v>8032</v>
      </c>
      <c r="H700" s="428">
        <v>102</v>
      </c>
      <c r="I700" s="428">
        <v>251</v>
      </c>
      <c r="J700" s="369">
        <v>251</v>
      </c>
      <c r="K700" s="428">
        <v>130</v>
      </c>
      <c r="L700" s="217">
        <v>1000</v>
      </c>
      <c r="M700" s="428" t="s">
        <v>153</v>
      </c>
      <c r="N700" s="428" t="s">
        <v>149</v>
      </c>
      <c r="O700" s="428" t="s">
        <v>154</v>
      </c>
      <c r="P700" s="428" t="s">
        <v>151</v>
      </c>
      <c r="Q700" s="428" t="s">
        <v>155</v>
      </c>
      <c r="R700" s="428" t="s">
        <v>9049</v>
      </c>
      <c r="S700" s="428"/>
      <c r="T700" s="428" t="s">
        <v>9021</v>
      </c>
      <c r="U700" s="428" t="s">
        <v>152</v>
      </c>
      <c r="V700" s="428" t="s">
        <v>18</v>
      </c>
    </row>
    <row r="701" spans="1:22">
      <c r="A701" s="6"/>
      <c r="B701" s="216">
        <v>46249</v>
      </c>
      <c r="C701" s="216">
        <v>46249</v>
      </c>
      <c r="D701" s="428" t="s">
        <v>9050</v>
      </c>
      <c r="E701" s="428">
        <v>260101822603</v>
      </c>
      <c r="F701" s="428" t="s">
        <v>87</v>
      </c>
      <c r="G701" s="428" t="s">
        <v>8933</v>
      </c>
      <c r="H701" s="428">
        <v>162</v>
      </c>
      <c r="I701" s="428">
        <v>268</v>
      </c>
      <c r="J701" s="369">
        <v>268</v>
      </c>
      <c r="K701" s="428">
        <v>140</v>
      </c>
      <c r="L701" s="217">
        <v>600</v>
      </c>
      <c r="M701" s="428" t="s">
        <v>153</v>
      </c>
      <c r="N701" s="428" t="s">
        <v>149</v>
      </c>
      <c r="O701" s="428" t="s">
        <v>154</v>
      </c>
      <c r="P701" s="428" t="s">
        <v>151</v>
      </c>
      <c r="Q701" s="428" t="s">
        <v>155</v>
      </c>
      <c r="R701" s="428" t="s">
        <v>9051</v>
      </c>
      <c r="S701" s="428"/>
      <c r="T701" s="428" t="s">
        <v>9021</v>
      </c>
      <c r="U701" s="428" t="s">
        <v>152</v>
      </c>
      <c r="V701" s="428" t="s">
        <v>18</v>
      </c>
    </row>
    <row r="702" spans="1:22">
      <c r="A702" s="6"/>
      <c r="B702" s="216">
        <v>46249</v>
      </c>
      <c r="C702" s="216">
        <v>46249</v>
      </c>
      <c r="D702" s="428" t="s">
        <v>9052</v>
      </c>
      <c r="E702" s="428">
        <v>260104622580</v>
      </c>
      <c r="F702" s="428" t="s">
        <v>87</v>
      </c>
      <c r="G702" s="428" t="s">
        <v>824</v>
      </c>
      <c r="H702" s="428">
        <v>152</v>
      </c>
      <c r="I702" s="428">
        <v>270</v>
      </c>
      <c r="J702" s="369">
        <v>270</v>
      </c>
      <c r="K702" s="428">
        <v>104</v>
      </c>
      <c r="L702" s="217">
        <v>1780</v>
      </c>
      <c r="M702" s="428" t="s">
        <v>153</v>
      </c>
      <c r="N702" s="428" t="s">
        <v>149</v>
      </c>
      <c r="O702" s="428" t="s">
        <v>154</v>
      </c>
      <c r="P702" s="428" t="s">
        <v>151</v>
      </c>
      <c r="Q702" s="428" t="s">
        <v>155</v>
      </c>
      <c r="R702" s="428" t="s">
        <v>9053</v>
      </c>
      <c r="S702" s="428"/>
      <c r="T702" s="428" t="s">
        <v>9021</v>
      </c>
      <c r="U702" s="428" t="s">
        <v>152</v>
      </c>
      <c r="V702" s="428" t="s">
        <v>18</v>
      </c>
    </row>
    <row r="703" spans="1:22">
      <c r="A703" s="6"/>
      <c r="B703" s="216">
        <v>46249</v>
      </c>
      <c r="C703" s="216">
        <v>46249</v>
      </c>
      <c r="D703" s="428" t="s">
        <v>9054</v>
      </c>
      <c r="E703" s="428">
        <v>260100722543</v>
      </c>
      <c r="F703" s="428" t="s">
        <v>87</v>
      </c>
      <c r="G703" s="428" t="s">
        <v>7586</v>
      </c>
      <c r="H703" s="428">
        <v>142</v>
      </c>
      <c r="I703" s="428">
        <v>406</v>
      </c>
      <c r="J703" s="369">
        <v>406</v>
      </c>
      <c r="K703" s="428">
        <v>170</v>
      </c>
      <c r="L703" s="217">
        <v>830</v>
      </c>
      <c r="M703" s="428" t="s">
        <v>153</v>
      </c>
      <c r="N703" s="428" t="s">
        <v>149</v>
      </c>
      <c r="O703" s="428" t="s">
        <v>154</v>
      </c>
      <c r="P703" s="428" t="s">
        <v>151</v>
      </c>
      <c r="Q703" s="428" t="s">
        <v>155</v>
      </c>
      <c r="R703" s="428" t="s">
        <v>9055</v>
      </c>
      <c r="S703" s="428"/>
      <c r="T703" s="428" t="s">
        <v>9021</v>
      </c>
      <c r="U703" s="428" t="s">
        <v>152</v>
      </c>
      <c r="V703" s="428" t="s">
        <v>18</v>
      </c>
    </row>
    <row r="704" spans="1:22">
      <c r="A704" s="6"/>
      <c r="B704" s="216">
        <v>46249</v>
      </c>
      <c r="C704" s="216">
        <v>46249</v>
      </c>
      <c r="D704" s="428" t="s">
        <v>9056</v>
      </c>
      <c r="E704" s="428">
        <v>260103322550</v>
      </c>
      <c r="F704" s="428" t="s">
        <v>87</v>
      </c>
      <c r="G704" s="428" t="s">
        <v>2409</v>
      </c>
      <c r="H704" s="428">
        <v>152</v>
      </c>
      <c r="I704" s="428">
        <v>307</v>
      </c>
      <c r="J704" s="369">
        <v>307</v>
      </c>
      <c r="K704" s="428">
        <v>97</v>
      </c>
      <c r="L704" s="217">
        <v>2200</v>
      </c>
      <c r="M704" s="428" t="s">
        <v>153</v>
      </c>
      <c r="N704" s="428" t="s">
        <v>149</v>
      </c>
      <c r="O704" s="428" t="s">
        <v>154</v>
      </c>
      <c r="P704" s="428" t="s">
        <v>151</v>
      </c>
      <c r="Q704" s="428" t="s">
        <v>155</v>
      </c>
      <c r="R704" s="428" t="s">
        <v>9057</v>
      </c>
      <c r="S704" s="428"/>
      <c r="T704" s="428" t="s">
        <v>9021</v>
      </c>
      <c r="U704" s="428" t="s">
        <v>152</v>
      </c>
      <c r="V704" s="428" t="s">
        <v>18</v>
      </c>
    </row>
    <row r="705" spans="1:22">
      <c r="A705" s="6"/>
      <c r="B705" s="216">
        <v>46249</v>
      </c>
      <c r="C705" s="216">
        <v>46249</v>
      </c>
      <c r="D705" s="428" t="s">
        <v>9058</v>
      </c>
      <c r="E705" s="428">
        <v>260103422555</v>
      </c>
      <c r="F705" s="428" t="s">
        <v>87</v>
      </c>
      <c r="G705" s="428" t="s">
        <v>824</v>
      </c>
      <c r="H705" s="428">
        <v>152</v>
      </c>
      <c r="I705" s="428">
        <v>302</v>
      </c>
      <c r="J705" s="369">
        <v>302</v>
      </c>
      <c r="K705" s="428">
        <v>104</v>
      </c>
      <c r="L705" s="217">
        <v>1990</v>
      </c>
      <c r="M705" s="428" t="s">
        <v>153</v>
      </c>
      <c r="N705" s="428" t="s">
        <v>149</v>
      </c>
      <c r="O705" s="428" t="s">
        <v>154</v>
      </c>
      <c r="P705" s="428" t="s">
        <v>151</v>
      </c>
      <c r="Q705" s="428" t="s">
        <v>155</v>
      </c>
      <c r="R705" s="428" t="s">
        <v>9059</v>
      </c>
      <c r="S705" s="428"/>
      <c r="T705" s="428" t="s">
        <v>9021</v>
      </c>
      <c r="U705" s="428" t="s">
        <v>152</v>
      </c>
      <c r="V705" s="428" t="s">
        <v>18</v>
      </c>
    </row>
    <row r="706" spans="1:22">
      <c r="A706" s="6"/>
      <c r="B706" s="216">
        <v>46249</v>
      </c>
      <c r="C706" s="216">
        <v>46249</v>
      </c>
      <c r="D706" s="428" t="s">
        <v>9060</v>
      </c>
      <c r="E706" s="428">
        <v>260106222558</v>
      </c>
      <c r="F706" s="428" t="s">
        <v>87</v>
      </c>
      <c r="G706" s="428" t="s">
        <v>824</v>
      </c>
      <c r="H706" s="428">
        <v>182</v>
      </c>
      <c r="I706" s="428">
        <v>240</v>
      </c>
      <c r="J706" s="369">
        <v>240</v>
      </c>
      <c r="K706" s="428">
        <v>104</v>
      </c>
      <c r="L706" s="217">
        <v>1340</v>
      </c>
      <c r="M706" s="428" t="s">
        <v>153</v>
      </c>
      <c r="N706" s="428" t="s">
        <v>149</v>
      </c>
      <c r="O706" s="428" t="s">
        <v>154</v>
      </c>
      <c r="P706" s="428" t="s">
        <v>151</v>
      </c>
      <c r="Q706" s="428" t="s">
        <v>155</v>
      </c>
      <c r="R706" s="428" t="s">
        <v>9061</v>
      </c>
      <c r="S706" s="428"/>
      <c r="T706" s="428" t="s">
        <v>9021</v>
      </c>
      <c r="U706" s="428" t="s">
        <v>152</v>
      </c>
      <c r="V706" s="428" t="s">
        <v>18</v>
      </c>
    </row>
    <row r="707" spans="1:22">
      <c r="A707" s="6"/>
      <c r="B707" s="216">
        <v>46249</v>
      </c>
      <c r="C707" s="216">
        <v>46249</v>
      </c>
      <c r="D707" s="428" t="s">
        <v>9062</v>
      </c>
      <c r="E707" s="428">
        <v>260100922574</v>
      </c>
      <c r="F707" s="428" t="s">
        <v>87</v>
      </c>
      <c r="G707" s="428" t="s">
        <v>2079</v>
      </c>
      <c r="H707" s="428">
        <v>92</v>
      </c>
      <c r="I707" s="428">
        <v>344</v>
      </c>
      <c r="J707" s="369">
        <v>344</v>
      </c>
      <c r="K707" s="428">
        <v>180</v>
      </c>
      <c r="L707" s="217">
        <v>1060</v>
      </c>
      <c r="M707" s="428" t="s">
        <v>153</v>
      </c>
      <c r="N707" s="428" t="s">
        <v>149</v>
      </c>
      <c r="O707" s="428" t="s">
        <v>154</v>
      </c>
      <c r="P707" s="428" t="s">
        <v>151</v>
      </c>
      <c r="Q707" s="428" t="s">
        <v>155</v>
      </c>
      <c r="R707" s="428" t="s">
        <v>9063</v>
      </c>
      <c r="S707" s="428"/>
      <c r="T707" s="428" t="s">
        <v>9021</v>
      </c>
      <c r="U707" s="428" t="s">
        <v>152</v>
      </c>
      <c r="V707" s="428" t="s">
        <v>18</v>
      </c>
    </row>
    <row r="708" spans="1:22">
      <c r="A708" s="6"/>
      <c r="B708" s="216">
        <v>46249</v>
      </c>
      <c r="C708" s="216">
        <v>46249</v>
      </c>
      <c r="D708" s="428" t="s">
        <v>9064</v>
      </c>
      <c r="E708" s="428">
        <v>260103622597</v>
      </c>
      <c r="F708" s="428" t="s">
        <v>87</v>
      </c>
      <c r="G708" s="428" t="s">
        <v>2360</v>
      </c>
      <c r="H708" s="428">
        <v>135</v>
      </c>
      <c r="I708" s="428">
        <v>244</v>
      </c>
      <c r="J708" s="369">
        <v>244</v>
      </c>
      <c r="K708" s="428">
        <v>87</v>
      </c>
      <c r="L708" s="217">
        <v>2170</v>
      </c>
      <c r="M708" s="428" t="s">
        <v>153</v>
      </c>
      <c r="N708" s="428" t="s">
        <v>149</v>
      </c>
      <c r="O708" s="428" t="s">
        <v>154</v>
      </c>
      <c r="P708" s="428" t="s">
        <v>151</v>
      </c>
      <c r="Q708" s="428" t="s">
        <v>155</v>
      </c>
      <c r="R708" s="428" t="s">
        <v>9065</v>
      </c>
      <c r="S708" s="428"/>
      <c r="T708" s="428" t="s">
        <v>9021</v>
      </c>
      <c r="U708" s="428" t="s">
        <v>152</v>
      </c>
      <c r="V708" s="428" t="s">
        <v>18</v>
      </c>
    </row>
    <row r="709" spans="1:22">
      <c r="A709" s="6"/>
      <c r="B709" s="216">
        <v>46249</v>
      </c>
      <c r="C709" s="216">
        <v>46249</v>
      </c>
      <c r="D709" s="428" t="s">
        <v>9066</v>
      </c>
      <c r="E709" s="428">
        <v>260102922588</v>
      </c>
      <c r="F709" s="428" t="s">
        <v>87</v>
      </c>
      <c r="G709" s="428" t="s">
        <v>824</v>
      </c>
      <c r="H709" s="428">
        <v>152</v>
      </c>
      <c r="I709" s="428">
        <v>315</v>
      </c>
      <c r="J709" s="369">
        <v>315</v>
      </c>
      <c r="K709" s="428">
        <v>104</v>
      </c>
      <c r="L709" s="217">
        <v>2100</v>
      </c>
      <c r="M709" s="428" t="s">
        <v>153</v>
      </c>
      <c r="N709" s="428" t="s">
        <v>149</v>
      </c>
      <c r="O709" s="428" t="s">
        <v>154</v>
      </c>
      <c r="P709" s="428" t="s">
        <v>151</v>
      </c>
      <c r="Q709" s="428" t="s">
        <v>155</v>
      </c>
      <c r="R709" s="428" t="s">
        <v>9067</v>
      </c>
      <c r="S709" s="428"/>
      <c r="T709" s="428" t="s">
        <v>9021</v>
      </c>
      <c r="U709" s="428" t="s">
        <v>152</v>
      </c>
      <c r="V709" s="428" t="s">
        <v>18</v>
      </c>
    </row>
    <row r="710" spans="1:22">
      <c r="A710" s="6"/>
      <c r="B710" s="216">
        <v>46249</v>
      </c>
      <c r="C710" s="216">
        <v>46249</v>
      </c>
      <c r="D710" s="428" t="s">
        <v>9068</v>
      </c>
      <c r="E710" s="428">
        <v>260103822592</v>
      </c>
      <c r="F710" s="428" t="s">
        <v>87</v>
      </c>
      <c r="G710" s="428" t="s">
        <v>824</v>
      </c>
      <c r="H710" s="428">
        <v>152</v>
      </c>
      <c r="I710" s="428">
        <v>221</v>
      </c>
      <c r="J710" s="369">
        <v>221</v>
      </c>
      <c r="K710" s="428">
        <v>104</v>
      </c>
      <c r="L710" s="217">
        <v>1500</v>
      </c>
      <c r="M710" s="428" t="s">
        <v>153</v>
      </c>
      <c r="N710" s="428" t="s">
        <v>149</v>
      </c>
      <c r="O710" s="428" t="s">
        <v>154</v>
      </c>
      <c r="P710" s="428" t="s">
        <v>151</v>
      </c>
      <c r="Q710" s="428" t="s">
        <v>155</v>
      </c>
      <c r="R710" s="428" t="s">
        <v>9069</v>
      </c>
      <c r="S710" s="428"/>
      <c r="T710" s="428" t="s">
        <v>9021</v>
      </c>
      <c r="U710" s="428" t="s">
        <v>152</v>
      </c>
      <c r="V710" s="428" t="s">
        <v>18</v>
      </c>
    </row>
    <row r="711" spans="1:22">
      <c r="A711" s="6"/>
      <c r="B711" s="216">
        <v>46249</v>
      </c>
      <c r="C711" s="216">
        <v>46249</v>
      </c>
      <c r="D711" s="428" t="s">
        <v>9070</v>
      </c>
      <c r="E711" s="428">
        <v>260102322601</v>
      </c>
      <c r="F711" s="428" t="s">
        <v>87</v>
      </c>
      <c r="G711" s="428" t="s">
        <v>8032</v>
      </c>
      <c r="H711" s="428">
        <v>102</v>
      </c>
      <c r="I711" s="428">
        <v>258</v>
      </c>
      <c r="J711" s="369">
        <v>258</v>
      </c>
      <c r="K711" s="428">
        <v>130</v>
      </c>
      <c r="L711" s="217">
        <v>1000</v>
      </c>
      <c r="M711" s="428" t="s">
        <v>153</v>
      </c>
      <c r="N711" s="428" t="s">
        <v>149</v>
      </c>
      <c r="O711" s="428" t="s">
        <v>154</v>
      </c>
      <c r="P711" s="428" t="s">
        <v>151</v>
      </c>
      <c r="Q711" s="428" t="s">
        <v>155</v>
      </c>
      <c r="R711" s="428" t="s">
        <v>9071</v>
      </c>
      <c r="S711" s="428"/>
      <c r="T711" s="428" t="s">
        <v>9021</v>
      </c>
      <c r="U711" s="428" t="s">
        <v>152</v>
      </c>
      <c r="V711" s="428" t="s">
        <v>18</v>
      </c>
    </row>
    <row r="712" spans="1:22">
      <c r="A712" s="6"/>
      <c r="B712" s="216">
        <v>46249</v>
      </c>
      <c r="C712" s="216">
        <v>46249</v>
      </c>
      <c r="D712" s="428" t="s">
        <v>9072</v>
      </c>
      <c r="E712" s="428">
        <v>260102022548</v>
      </c>
      <c r="F712" s="428" t="s">
        <v>87</v>
      </c>
      <c r="G712" s="428" t="s">
        <v>2303</v>
      </c>
      <c r="H712" s="428">
        <v>92</v>
      </c>
      <c r="I712" s="428">
        <v>226</v>
      </c>
      <c r="J712" s="369">
        <v>226</v>
      </c>
      <c r="K712" s="428">
        <v>134</v>
      </c>
      <c r="L712" s="217">
        <v>950</v>
      </c>
      <c r="M712" s="428" t="s">
        <v>153</v>
      </c>
      <c r="N712" s="428" t="s">
        <v>149</v>
      </c>
      <c r="O712" s="428" t="s">
        <v>154</v>
      </c>
      <c r="P712" s="428" t="s">
        <v>151</v>
      </c>
      <c r="Q712" s="428" t="s">
        <v>155</v>
      </c>
      <c r="R712" s="428" t="s">
        <v>9073</v>
      </c>
      <c r="S712" s="428"/>
      <c r="T712" s="428" t="s">
        <v>9021</v>
      </c>
      <c r="U712" s="428" t="s">
        <v>152</v>
      </c>
      <c r="V712" s="428" t="s">
        <v>18</v>
      </c>
    </row>
    <row r="713" spans="1:22">
      <c r="A713" s="6"/>
      <c r="B713" s="216">
        <v>46249</v>
      </c>
      <c r="C713" s="216">
        <v>46249</v>
      </c>
      <c r="D713" s="428" t="s">
        <v>9074</v>
      </c>
      <c r="E713" s="428">
        <v>260105222561</v>
      </c>
      <c r="F713" s="428" t="s">
        <v>87</v>
      </c>
      <c r="G713" s="428" t="s">
        <v>2527</v>
      </c>
      <c r="H713" s="428">
        <v>152</v>
      </c>
      <c r="I713" s="428">
        <v>253</v>
      </c>
      <c r="J713" s="369">
        <v>253</v>
      </c>
      <c r="K713" s="428">
        <v>104</v>
      </c>
      <c r="L713" s="217">
        <v>1635</v>
      </c>
      <c r="M713" s="428" t="s">
        <v>153</v>
      </c>
      <c r="N713" s="428" t="s">
        <v>149</v>
      </c>
      <c r="O713" s="428" t="s">
        <v>154</v>
      </c>
      <c r="P713" s="428" t="s">
        <v>151</v>
      </c>
      <c r="Q713" s="428" t="s">
        <v>155</v>
      </c>
      <c r="R713" s="428" t="s">
        <v>9075</v>
      </c>
      <c r="S713" s="428"/>
      <c r="T713" s="428" t="s">
        <v>9021</v>
      </c>
      <c r="U713" s="428" t="s">
        <v>152</v>
      </c>
      <c r="V713" s="428" t="s">
        <v>18</v>
      </c>
    </row>
    <row r="714" spans="1:22">
      <c r="A714" s="6"/>
      <c r="B714" s="216">
        <v>46249</v>
      </c>
      <c r="C714" s="216">
        <v>46249</v>
      </c>
      <c r="D714" s="428" t="s">
        <v>9076</v>
      </c>
      <c r="E714" s="428">
        <v>260104822518</v>
      </c>
      <c r="F714" s="428" t="s">
        <v>87</v>
      </c>
      <c r="G714" s="428" t="s">
        <v>2411</v>
      </c>
      <c r="H714" s="428" t="s">
        <v>2525</v>
      </c>
      <c r="I714" s="428">
        <v>526</v>
      </c>
      <c r="J714" s="369">
        <v>526</v>
      </c>
      <c r="K714" s="428">
        <v>105</v>
      </c>
      <c r="L714" s="217">
        <v>2900</v>
      </c>
      <c r="M714" s="428" t="s">
        <v>153</v>
      </c>
      <c r="N714" s="428" t="s">
        <v>149</v>
      </c>
      <c r="O714" s="428" t="s">
        <v>154</v>
      </c>
      <c r="P714" s="428" t="s">
        <v>151</v>
      </c>
      <c r="Q714" s="428" t="s">
        <v>156</v>
      </c>
      <c r="R714" s="428" t="s">
        <v>9077</v>
      </c>
      <c r="S714" s="428"/>
      <c r="T714" s="428" t="s">
        <v>2916</v>
      </c>
      <c r="U714" s="428" t="s">
        <v>152</v>
      </c>
      <c r="V714" s="428" t="s">
        <v>20</v>
      </c>
    </row>
    <row r="715" spans="1:22">
      <c r="A715" s="6"/>
      <c r="B715" s="216">
        <v>46250</v>
      </c>
      <c r="C715" s="216">
        <v>46250</v>
      </c>
      <c r="D715" s="428" t="s">
        <v>9078</v>
      </c>
      <c r="E715" s="428">
        <v>260105822655</v>
      </c>
      <c r="F715" s="428" t="s">
        <v>87</v>
      </c>
      <c r="G715" s="428" t="s">
        <v>824</v>
      </c>
      <c r="H715" s="428">
        <v>152</v>
      </c>
      <c r="I715" s="428">
        <v>110</v>
      </c>
      <c r="J715" s="369">
        <v>110</v>
      </c>
      <c r="K715" s="428">
        <v>104</v>
      </c>
      <c r="L715" s="217">
        <v>730</v>
      </c>
      <c r="M715" s="428" t="s">
        <v>153</v>
      </c>
      <c r="N715" s="428" t="s">
        <v>149</v>
      </c>
      <c r="O715" s="428" t="s">
        <v>154</v>
      </c>
      <c r="P715" s="428" t="s">
        <v>151</v>
      </c>
      <c r="Q715" s="428" t="s">
        <v>155</v>
      </c>
      <c r="R715" s="428" t="s">
        <v>9079</v>
      </c>
      <c r="S715" s="428"/>
      <c r="T715" s="428" t="s">
        <v>2918</v>
      </c>
      <c r="U715" s="428" t="s">
        <v>152</v>
      </c>
      <c r="V715" s="428" t="s">
        <v>18</v>
      </c>
    </row>
    <row r="716" spans="1:22">
      <c r="A716" s="6"/>
      <c r="B716" s="216">
        <v>46250</v>
      </c>
      <c r="C716" s="216">
        <v>46250</v>
      </c>
      <c r="D716" s="428" t="s">
        <v>9080</v>
      </c>
      <c r="E716" s="428">
        <v>260102022690</v>
      </c>
      <c r="F716" s="428" t="s">
        <v>87</v>
      </c>
      <c r="G716" s="428" t="s">
        <v>2303</v>
      </c>
      <c r="H716" s="428">
        <v>92</v>
      </c>
      <c r="I716" s="428">
        <v>246</v>
      </c>
      <c r="J716" s="369">
        <v>246</v>
      </c>
      <c r="K716" s="428">
        <v>134</v>
      </c>
      <c r="L716" s="217">
        <v>1030</v>
      </c>
      <c r="M716" s="428" t="s">
        <v>153</v>
      </c>
      <c r="N716" s="428" t="s">
        <v>149</v>
      </c>
      <c r="O716" s="428" t="s">
        <v>154</v>
      </c>
      <c r="P716" s="428" t="s">
        <v>151</v>
      </c>
      <c r="Q716" s="428" t="s">
        <v>155</v>
      </c>
      <c r="R716" s="428" t="s">
        <v>9081</v>
      </c>
      <c r="S716" s="428"/>
      <c r="T716" s="428" t="s">
        <v>2918</v>
      </c>
      <c r="U716" s="428" t="s">
        <v>152</v>
      </c>
      <c r="V716" s="428" t="s">
        <v>18</v>
      </c>
    </row>
    <row r="717" spans="1:22">
      <c r="A717" s="6"/>
      <c r="B717" s="216">
        <v>46250</v>
      </c>
      <c r="C717" s="216">
        <v>46250</v>
      </c>
      <c r="D717" s="428" t="s">
        <v>9082</v>
      </c>
      <c r="E717" s="428">
        <v>260102422641</v>
      </c>
      <c r="F717" s="428" t="s">
        <v>87</v>
      </c>
      <c r="G717" s="428" t="s">
        <v>8032</v>
      </c>
      <c r="H717" s="428">
        <v>102</v>
      </c>
      <c r="I717" s="428">
        <v>259</v>
      </c>
      <c r="J717" s="369">
        <v>259</v>
      </c>
      <c r="K717" s="428">
        <v>130</v>
      </c>
      <c r="L717" s="217">
        <v>1000</v>
      </c>
      <c r="M717" s="428" t="s">
        <v>153</v>
      </c>
      <c r="N717" s="428" t="s">
        <v>149</v>
      </c>
      <c r="O717" s="428" t="s">
        <v>154</v>
      </c>
      <c r="P717" s="428" t="s">
        <v>151</v>
      </c>
      <c r="Q717" s="428" t="s">
        <v>155</v>
      </c>
      <c r="R717" s="428" t="s">
        <v>9083</v>
      </c>
      <c r="S717" s="428"/>
      <c r="T717" s="428" t="s">
        <v>2918</v>
      </c>
      <c r="U717" s="428" t="s">
        <v>152</v>
      </c>
      <c r="V717" s="428" t="s">
        <v>18</v>
      </c>
    </row>
    <row r="718" spans="1:22">
      <c r="A718" s="6"/>
      <c r="B718" s="216">
        <v>46250</v>
      </c>
      <c r="C718" s="216">
        <v>46250</v>
      </c>
      <c r="D718" s="428" t="s">
        <v>9084</v>
      </c>
      <c r="E718" s="428">
        <v>260103622647</v>
      </c>
      <c r="F718" s="428" t="s">
        <v>87</v>
      </c>
      <c r="G718" s="428" t="s">
        <v>9085</v>
      </c>
      <c r="H718" s="428">
        <v>242</v>
      </c>
      <c r="I718" s="428">
        <v>337</v>
      </c>
      <c r="J718" s="369">
        <v>337</v>
      </c>
      <c r="K718" s="428">
        <v>107</v>
      </c>
      <c r="L718" s="217">
        <v>700</v>
      </c>
      <c r="M718" s="428" t="s">
        <v>153</v>
      </c>
      <c r="N718" s="428" t="s">
        <v>149</v>
      </c>
      <c r="O718" s="428" t="s">
        <v>154</v>
      </c>
      <c r="P718" s="428" t="s">
        <v>151</v>
      </c>
      <c r="Q718" s="428" t="s">
        <v>155</v>
      </c>
      <c r="R718" s="428" t="s">
        <v>9086</v>
      </c>
      <c r="S718" s="428"/>
      <c r="T718" s="428" t="s">
        <v>2918</v>
      </c>
      <c r="U718" s="428" t="s">
        <v>152</v>
      </c>
      <c r="V718" s="428" t="s">
        <v>18</v>
      </c>
    </row>
    <row r="719" spans="1:22">
      <c r="A719" s="6"/>
      <c r="B719" s="216">
        <v>46250</v>
      </c>
      <c r="C719" s="216">
        <v>46250</v>
      </c>
      <c r="D719" s="428" t="s">
        <v>9087</v>
      </c>
      <c r="E719" s="428">
        <v>260101622639</v>
      </c>
      <c r="F719" s="428" t="s">
        <v>87</v>
      </c>
      <c r="G719" s="428" t="s">
        <v>2079</v>
      </c>
      <c r="H719" s="428">
        <v>112</v>
      </c>
      <c r="I719" s="428">
        <v>401</v>
      </c>
      <c r="J719" s="369">
        <v>401</v>
      </c>
      <c r="K719" s="428">
        <v>180</v>
      </c>
      <c r="L719" s="217">
        <v>1000</v>
      </c>
      <c r="M719" s="428" t="s">
        <v>153</v>
      </c>
      <c r="N719" s="428" t="s">
        <v>149</v>
      </c>
      <c r="O719" s="428" t="s">
        <v>154</v>
      </c>
      <c r="P719" s="428" t="s">
        <v>151</v>
      </c>
      <c r="Q719" s="428" t="s">
        <v>155</v>
      </c>
      <c r="R719" s="428" t="s">
        <v>9088</v>
      </c>
      <c r="S719" s="428"/>
      <c r="T719" s="428" t="s">
        <v>2918</v>
      </c>
      <c r="U719" s="428" t="s">
        <v>152</v>
      </c>
      <c r="V719" s="428" t="s">
        <v>18</v>
      </c>
    </row>
    <row r="720" spans="1:22">
      <c r="A720" s="6"/>
      <c r="B720" s="216">
        <v>46250</v>
      </c>
      <c r="C720" s="216">
        <v>46250</v>
      </c>
      <c r="D720" s="428" t="s">
        <v>9089</v>
      </c>
      <c r="E720" s="428">
        <v>260101422634</v>
      </c>
      <c r="F720" s="428" t="s">
        <v>87</v>
      </c>
      <c r="G720" s="428" t="s">
        <v>824</v>
      </c>
      <c r="H720" s="428">
        <v>152</v>
      </c>
      <c r="I720" s="428">
        <v>235</v>
      </c>
      <c r="J720" s="369">
        <v>235</v>
      </c>
      <c r="K720" s="428">
        <v>104</v>
      </c>
      <c r="L720" s="217">
        <v>1500</v>
      </c>
      <c r="M720" s="428" t="s">
        <v>153</v>
      </c>
      <c r="N720" s="428" t="s">
        <v>149</v>
      </c>
      <c r="O720" s="428" t="s">
        <v>154</v>
      </c>
      <c r="P720" s="428" t="s">
        <v>151</v>
      </c>
      <c r="Q720" s="428" t="s">
        <v>155</v>
      </c>
      <c r="R720" s="428" t="s">
        <v>9090</v>
      </c>
      <c r="S720" s="428"/>
      <c r="T720" s="428" t="s">
        <v>2918</v>
      </c>
      <c r="U720" s="428" t="s">
        <v>152</v>
      </c>
      <c r="V720" s="428" t="s">
        <v>18</v>
      </c>
    </row>
    <row r="721" spans="1:22">
      <c r="A721" s="6"/>
      <c r="B721" s="216">
        <v>46250</v>
      </c>
      <c r="C721" s="216">
        <v>46250</v>
      </c>
      <c r="D721" s="428" t="s">
        <v>9091</v>
      </c>
      <c r="E721" s="428">
        <v>260101422637</v>
      </c>
      <c r="F721" s="428" t="s">
        <v>87</v>
      </c>
      <c r="G721" s="428" t="s">
        <v>824</v>
      </c>
      <c r="H721" s="428">
        <v>152</v>
      </c>
      <c r="I721" s="428">
        <v>236</v>
      </c>
      <c r="J721" s="369">
        <v>236</v>
      </c>
      <c r="K721" s="428">
        <v>104</v>
      </c>
      <c r="L721" s="217">
        <v>1500</v>
      </c>
      <c r="M721" s="428" t="s">
        <v>153</v>
      </c>
      <c r="N721" s="428" t="s">
        <v>149</v>
      </c>
      <c r="O721" s="428" t="s">
        <v>154</v>
      </c>
      <c r="P721" s="428" t="s">
        <v>151</v>
      </c>
      <c r="Q721" s="428" t="s">
        <v>155</v>
      </c>
      <c r="R721" s="428" t="s">
        <v>9092</v>
      </c>
      <c r="S721" s="428"/>
      <c r="T721" s="428" t="s">
        <v>2918</v>
      </c>
      <c r="U721" s="428" t="s">
        <v>152</v>
      </c>
      <c r="V721" s="428" t="s">
        <v>18</v>
      </c>
    </row>
    <row r="722" spans="1:22">
      <c r="A722" s="6"/>
      <c r="B722" s="216">
        <v>46250</v>
      </c>
      <c r="C722" s="216">
        <v>46250</v>
      </c>
      <c r="D722" s="428" t="s">
        <v>9093</v>
      </c>
      <c r="E722" s="428">
        <v>260102722638</v>
      </c>
      <c r="F722" s="428" t="s">
        <v>87</v>
      </c>
      <c r="G722" s="428" t="s">
        <v>8032</v>
      </c>
      <c r="H722" s="428">
        <v>102</v>
      </c>
      <c r="I722" s="428">
        <v>256</v>
      </c>
      <c r="J722" s="369">
        <v>256</v>
      </c>
      <c r="K722" s="428">
        <v>130</v>
      </c>
      <c r="L722" s="217">
        <v>1000</v>
      </c>
      <c r="M722" s="428" t="s">
        <v>153</v>
      </c>
      <c r="N722" s="428" t="s">
        <v>149</v>
      </c>
      <c r="O722" s="428" t="s">
        <v>154</v>
      </c>
      <c r="P722" s="428" t="s">
        <v>151</v>
      </c>
      <c r="Q722" s="428" t="s">
        <v>155</v>
      </c>
      <c r="R722" s="428" t="s">
        <v>9094</v>
      </c>
      <c r="S722" s="428"/>
      <c r="T722" s="428" t="s">
        <v>2918</v>
      </c>
      <c r="U722" s="428" t="s">
        <v>152</v>
      </c>
      <c r="V722" s="428" t="s">
        <v>18</v>
      </c>
    </row>
    <row r="723" spans="1:22">
      <c r="A723" s="6"/>
      <c r="B723" s="216">
        <v>46250</v>
      </c>
      <c r="C723" s="216">
        <v>46250</v>
      </c>
      <c r="D723" s="428" t="s">
        <v>9095</v>
      </c>
      <c r="E723" s="428">
        <v>260102522640</v>
      </c>
      <c r="F723" s="428" t="s">
        <v>87</v>
      </c>
      <c r="G723" s="428" t="s">
        <v>8032</v>
      </c>
      <c r="H723" s="428">
        <v>102</v>
      </c>
      <c r="I723" s="428">
        <v>286</v>
      </c>
      <c r="J723" s="369">
        <v>286</v>
      </c>
      <c r="K723" s="428">
        <v>130</v>
      </c>
      <c r="L723" s="217">
        <v>1100</v>
      </c>
      <c r="M723" s="428" t="s">
        <v>153</v>
      </c>
      <c r="N723" s="428" t="s">
        <v>149</v>
      </c>
      <c r="O723" s="428" t="s">
        <v>154</v>
      </c>
      <c r="P723" s="428" t="s">
        <v>151</v>
      </c>
      <c r="Q723" s="428" t="s">
        <v>155</v>
      </c>
      <c r="R723" s="428" t="s">
        <v>9096</v>
      </c>
      <c r="S723" s="428"/>
      <c r="T723" s="428" t="s">
        <v>2918</v>
      </c>
      <c r="U723" s="428" t="s">
        <v>152</v>
      </c>
      <c r="V723" s="428" t="s">
        <v>18</v>
      </c>
    </row>
    <row r="724" spans="1:22">
      <c r="A724" s="6"/>
      <c r="B724" s="216">
        <v>46250</v>
      </c>
      <c r="C724" s="216">
        <v>46250</v>
      </c>
      <c r="D724" s="428" t="s">
        <v>9097</v>
      </c>
      <c r="E724" s="428">
        <v>260100422568</v>
      </c>
      <c r="F724" s="428" t="s">
        <v>87</v>
      </c>
      <c r="G724" s="428" t="s">
        <v>2517</v>
      </c>
      <c r="H724" s="428" t="s">
        <v>2518</v>
      </c>
      <c r="I724" s="428">
        <v>936</v>
      </c>
      <c r="J724" s="369">
        <v>936</v>
      </c>
      <c r="K724" s="428">
        <v>190</v>
      </c>
      <c r="L724" s="217">
        <v>1600</v>
      </c>
      <c r="M724" s="428" t="s">
        <v>153</v>
      </c>
      <c r="N724" s="428" t="s">
        <v>149</v>
      </c>
      <c r="O724" s="428" t="s">
        <v>154</v>
      </c>
      <c r="P724" s="428" t="s">
        <v>151</v>
      </c>
      <c r="Q724" s="428" t="s">
        <v>156</v>
      </c>
      <c r="R724" s="428" t="s">
        <v>9098</v>
      </c>
      <c r="S724" s="428"/>
      <c r="T724" s="428" t="s">
        <v>2918</v>
      </c>
      <c r="U724" s="428" t="s">
        <v>152</v>
      </c>
      <c r="V724" s="428" t="s">
        <v>20</v>
      </c>
    </row>
    <row r="725" spans="1:22">
      <c r="A725" s="6"/>
      <c r="B725" s="216">
        <v>46250</v>
      </c>
      <c r="C725" s="216">
        <v>46250</v>
      </c>
      <c r="D725" s="428" t="s">
        <v>9099</v>
      </c>
      <c r="E725" s="428">
        <v>260100422464</v>
      </c>
      <c r="F725" s="428" t="s">
        <v>87</v>
      </c>
      <c r="G725" s="428" t="s">
        <v>2517</v>
      </c>
      <c r="H725" s="428" t="s">
        <v>2518</v>
      </c>
      <c r="I725" s="428">
        <v>911</v>
      </c>
      <c r="J725" s="369">
        <v>911</v>
      </c>
      <c r="K725" s="428">
        <v>190</v>
      </c>
      <c r="L725" s="217">
        <v>1520</v>
      </c>
      <c r="M725" s="428" t="s">
        <v>153</v>
      </c>
      <c r="N725" s="428" t="s">
        <v>149</v>
      </c>
      <c r="O725" s="428" t="s">
        <v>154</v>
      </c>
      <c r="P725" s="428" t="s">
        <v>151</v>
      </c>
      <c r="Q725" s="428" t="s">
        <v>156</v>
      </c>
      <c r="R725" s="428" t="s">
        <v>9100</v>
      </c>
      <c r="S725" s="428"/>
      <c r="T725" s="428" t="s">
        <v>2918</v>
      </c>
      <c r="U725" s="428" t="s">
        <v>152</v>
      </c>
      <c r="V725" s="428" t="s">
        <v>20</v>
      </c>
    </row>
    <row r="726" spans="1:22">
      <c r="A726" s="6"/>
      <c r="B726" s="216">
        <v>46250</v>
      </c>
      <c r="C726" s="216">
        <v>46250</v>
      </c>
      <c r="D726" s="428" t="s">
        <v>9101</v>
      </c>
      <c r="E726" s="428">
        <v>260106222667</v>
      </c>
      <c r="F726" s="428" t="s">
        <v>87</v>
      </c>
      <c r="G726" s="428" t="s">
        <v>824</v>
      </c>
      <c r="H726" s="428">
        <v>182</v>
      </c>
      <c r="I726" s="428">
        <v>257</v>
      </c>
      <c r="J726" s="369">
        <v>257</v>
      </c>
      <c r="K726" s="428">
        <v>104</v>
      </c>
      <c r="L726" s="217">
        <v>1450</v>
      </c>
      <c r="M726" s="428" t="s">
        <v>153</v>
      </c>
      <c r="N726" s="428" t="s">
        <v>149</v>
      </c>
      <c r="O726" s="428" t="s">
        <v>154</v>
      </c>
      <c r="P726" s="428" t="s">
        <v>151</v>
      </c>
      <c r="Q726" s="428" t="s">
        <v>155</v>
      </c>
      <c r="R726" s="428" t="s">
        <v>9102</v>
      </c>
      <c r="S726" s="428"/>
      <c r="T726" s="428" t="s">
        <v>2923</v>
      </c>
      <c r="U726" s="428" t="s">
        <v>152</v>
      </c>
      <c r="V726" s="428" t="s">
        <v>18</v>
      </c>
    </row>
    <row r="727" spans="1:22">
      <c r="A727" s="6"/>
      <c r="B727" s="216">
        <v>46250</v>
      </c>
      <c r="C727" s="216">
        <v>46250</v>
      </c>
      <c r="D727" s="428" t="s">
        <v>9103</v>
      </c>
      <c r="E727" s="428">
        <v>260102022642</v>
      </c>
      <c r="F727" s="428" t="s">
        <v>87</v>
      </c>
      <c r="G727" s="428" t="s">
        <v>2303</v>
      </c>
      <c r="H727" s="428">
        <v>92</v>
      </c>
      <c r="I727" s="428">
        <v>244</v>
      </c>
      <c r="J727" s="369">
        <v>244</v>
      </c>
      <c r="K727" s="428">
        <v>134</v>
      </c>
      <c r="L727" s="217">
        <v>1000</v>
      </c>
      <c r="M727" s="428" t="s">
        <v>153</v>
      </c>
      <c r="N727" s="428" t="s">
        <v>149</v>
      </c>
      <c r="O727" s="428" t="s">
        <v>154</v>
      </c>
      <c r="P727" s="428" t="s">
        <v>151</v>
      </c>
      <c r="Q727" s="428" t="s">
        <v>155</v>
      </c>
      <c r="R727" s="428" t="s">
        <v>9104</v>
      </c>
      <c r="S727" s="428"/>
      <c r="T727" s="428" t="s">
        <v>2923</v>
      </c>
      <c r="U727" s="428" t="s">
        <v>152</v>
      </c>
      <c r="V727" s="428" t="s">
        <v>18</v>
      </c>
    </row>
    <row r="728" spans="1:22">
      <c r="A728" s="6"/>
      <c r="B728" s="216">
        <v>46250</v>
      </c>
      <c r="C728" s="216">
        <v>46250</v>
      </c>
      <c r="D728" s="428" t="s">
        <v>9105</v>
      </c>
      <c r="E728" s="428">
        <v>260101722679</v>
      </c>
      <c r="F728" s="428" t="s">
        <v>87</v>
      </c>
      <c r="G728" s="428" t="s">
        <v>8681</v>
      </c>
      <c r="H728" s="428">
        <v>92</v>
      </c>
      <c r="I728" s="428">
        <v>291</v>
      </c>
      <c r="J728" s="369">
        <v>291</v>
      </c>
      <c r="K728" s="428">
        <v>134</v>
      </c>
      <c r="L728" s="217">
        <v>1180</v>
      </c>
      <c r="M728" s="428" t="s">
        <v>153</v>
      </c>
      <c r="N728" s="428" t="s">
        <v>149</v>
      </c>
      <c r="O728" s="428" t="s">
        <v>154</v>
      </c>
      <c r="P728" s="428" t="s">
        <v>151</v>
      </c>
      <c r="Q728" s="428" t="s">
        <v>155</v>
      </c>
      <c r="R728" s="428" t="s">
        <v>9106</v>
      </c>
      <c r="S728" s="428"/>
      <c r="T728" s="428" t="s">
        <v>2923</v>
      </c>
      <c r="U728" s="428" t="s">
        <v>152</v>
      </c>
      <c r="V728" s="428" t="s">
        <v>18</v>
      </c>
    </row>
    <row r="729" spans="1:22">
      <c r="A729" s="6"/>
      <c r="B729" s="216">
        <v>46250</v>
      </c>
      <c r="C729" s="216">
        <v>46250</v>
      </c>
      <c r="D729" s="428" t="s">
        <v>9107</v>
      </c>
      <c r="E729" s="428">
        <v>260103322678</v>
      </c>
      <c r="F729" s="428" t="s">
        <v>87</v>
      </c>
      <c r="G729" s="428" t="s">
        <v>2409</v>
      </c>
      <c r="H729" s="428">
        <v>152</v>
      </c>
      <c r="I729" s="428">
        <v>275</v>
      </c>
      <c r="J729" s="369">
        <v>275</v>
      </c>
      <c r="K729" s="428">
        <v>97</v>
      </c>
      <c r="L729" s="217">
        <v>2000</v>
      </c>
      <c r="M729" s="428" t="s">
        <v>153</v>
      </c>
      <c r="N729" s="428" t="s">
        <v>149</v>
      </c>
      <c r="O729" s="428" t="s">
        <v>154</v>
      </c>
      <c r="P729" s="428" t="s">
        <v>151</v>
      </c>
      <c r="Q729" s="428" t="s">
        <v>155</v>
      </c>
      <c r="R729" s="428" t="s">
        <v>9108</v>
      </c>
      <c r="S729" s="428"/>
      <c r="T729" s="428" t="s">
        <v>2923</v>
      </c>
      <c r="U729" s="428" t="s">
        <v>152</v>
      </c>
      <c r="V729" s="428" t="s">
        <v>18</v>
      </c>
    </row>
    <row r="730" spans="1:22">
      <c r="A730" s="6"/>
      <c r="B730" s="216">
        <v>46250</v>
      </c>
      <c r="C730" s="216">
        <v>46250</v>
      </c>
      <c r="D730" s="428" t="s">
        <v>9109</v>
      </c>
      <c r="E730" s="428">
        <v>260102322686</v>
      </c>
      <c r="F730" s="428" t="s">
        <v>87</v>
      </c>
      <c r="G730" s="428" t="s">
        <v>8032</v>
      </c>
      <c r="H730" s="428">
        <v>102</v>
      </c>
      <c r="I730" s="428">
        <v>259</v>
      </c>
      <c r="J730" s="369">
        <v>259</v>
      </c>
      <c r="K730" s="428">
        <v>130</v>
      </c>
      <c r="L730" s="217">
        <v>1000</v>
      </c>
      <c r="M730" s="428" t="s">
        <v>153</v>
      </c>
      <c r="N730" s="428" t="s">
        <v>149</v>
      </c>
      <c r="O730" s="428" t="s">
        <v>154</v>
      </c>
      <c r="P730" s="428" t="s">
        <v>151</v>
      </c>
      <c r="Q730" s="428" t="s">
        <v>155</v>
      </c>
      <c r="R730" s="428" t="s">
        <v>9110</v>
      </c>
      <c r="S730" s="428"/>
      <c r="T730" s="428" t="s">
        <v>2923</v>
      </c>
      <c r="U730" s="428" t="s">
        <v>152</v>
      </c>
      <c r="V730" s="428" t="s">
        <v>18</v>
      </c>
    </row>
    <row r="731" spans="1:22">
      <c r="A731" s="6"/>
      <c r="B731" s="216">
        <v>46250</v>
      </c>
      <c r="C731" s="216">
        <v>46250</v>
      </c>
      <c r="D731" s="428" t="s">
        <v>9111</v>
      </c>
      <c r="E731" s="428">
        <v>260102222687</v>
      </c>
      <c r="F731" s="428" t="s">
        <v>87</v>
      </c>
      <c r="G731" s="428" t="s">
        <v>8032</v>
      </c>
      <c r="H731" s="428">
        <v>102</v>
      </c>
      <c r="I731" s="428">
        <v>258</v>
      </c>
      <c r="J731" s="369">
        <v>258</v>
      </c>
      <c r="K731" s="428">
        <v>130</v>
      </c>
      <c r="L731" s="217">
        <v>1000</v>
      </c>
      <c r="M731" s="428" t="s">
        <v>153</v>
      </c>
      <c r="N731" s="428" t="s">
        <v>149</v>
      </c>
      <c r="O731" s="428" t="s">
        <v>154</v>
      </c>
      <c r="P731" s="428" t="s">
        <v>151</v>
      </c>
      <c r="Q731" s="428" t="s">
        <v>155</v>
      </c>
      <c r="R731" s="428" t="s">
        <v>9112</v>
      </c>
      <c r="S731" s="428"/>
      <c r="T731" s="428" t="s">
        <v>2923</v>
      </c>
      <c r="U731" s="428" t="s">
        <v>152</v>
      </c>
      <c r="V731" s="428" t="s">
        <v>18</v>
      </c>
    </row>
    <row r="732" spans="1:22">
      <c r="A732" s="6"/>
      <c r="B732" s="216">
        <v>46250</v>
      </c>
      <c r="C732" s="216">
        <v>46250</v>
      </c>
      <c r="D732" s="428" t="s">
        <v>9113</v>
      </c>
      <c r="E732" s="428">
        <v>260102222688</v>
      </c>
      <c r="F732" s="428" t="s">
        <v>87</v>
      </c>
      <c r="G732" s="428" t="s">
        <v>8032</v>
      </c>
      <c r="H732" s="428">
        <v>102</v>
      </c>
      <c r="I732" s="428">
        <v>258</v>
      </c>
      <c r="J732" s="369">
        <v>258</v>
      </c>
      <c r="K732" s="428">
        <v>130</v>
      </c>
      <c r="L732" s="217">
        <v>1000</v>
      </c>
      <c r="M732" s="428" t="s">
        <v>153</v>
      </c>
      <c r="N732" s="428" t="s">
        <v>149</v>
      </c>
      <c r="O732" s="428" t="s">
        <v>154</v>
      </c>
      <c r="P732" s="428" t="s">
        <v>151</v>
      </c>
      <c r="Q732" s="428" t="s">
        <v>155</v>
      </c>
      <c r="R732" s="428" t="s">
        <v>9114</v>
      </c>
      <c r="S732" s="428"/>
      <c r="T732" s="428" t="s">
        <v>2923</v>
      </c>
      <c r="U732" s="428" t="s">
        <v>152</v>
      </c>
      <c r="V732" s="428" t="s">
        <v>18</v>
      </c>
    </row>
    <row r="733" spans="1:22">
      <c r="A733" s="6"/>
      <c r="B733" s="216">
        <v>46250</v>
      </c>
      <c r="C733" s="216">
        <v>46250</v>
      </c>
      <c r="D733" s="428" t="s">
        <v>9115</v>
      </c>
      <c r="E733" s="428">
        <v>260101922689</v>
      </c>
      <c r="F733" s="428" t="s">
        <v>87</v>
      </c>
      <c r="G733" s="428" t="s">
        <v>2303</v>
      </c>
      <c r="H733" s="428">
        <v>92</v>
      </c>
      <c r="I733" s="428">
        <v>308</v>
      </c>
      <c r="J733" s="369">
        <v>308</v>
      </c>
      <c r="K733" s="428">
        <v>134</v>
      </c>
      <c r="L733" s="217">
        <v>1280</v>
      </c>
      <c r="M733" s="428" t="s">
        <v>153</v>
      </c>
      <c r="N733" s="428" t="s">
        <v>149</v>
      </c>
      <c r="O733" s="428" t="s">
        <v>154</v>
      </c>
      <c r="P733" s="428" t="s">
        <v>151</v>
      </c>
      <c r="Q733" s="428" t="s">
        <v>155</v>
      </c>
      <c r="R733" s="428" t="s">
        <v>9116</v>
      </c>
      <c r="S733" s="428"/>
      <c r="T733" s="428" t="s">
        <v>2923</v>
      </c>
      <c r="U733" s="428" t="s">
        <v>152</v>
      </c>
      <c r="V733" s="428" t="s">
        <v>18</v>
      </c>
    </row>
    <row r="734" spans="1:22">
      <c r="A734" s="6"/>
      <c r="B734" s="216">
        <v>46250</v>
      </c>
      <c r="C734" s="216">
        <v>46250</v>
      </c>
      <c r="D734" s="428" t="s">
        <v>9117</v>
      </c>
      <c r="E734" s="428">
        <v>260103422645</v>
      </c>
      <c r="F734" s="428" t="s">
        <v>87</v>
      </c>
      <c r="G734" s="428" t="s">
        <v>824</v>
      </c>
      <c r="H734" s="428">
        <v>152</v>
      </c>
      <c r="I734" s="428">
        <v>245</v>
      </c>
      <c r="J734" s="369">
        <v>245</v>
      </c>
      <c r="K734" s="428">
        <v>104</v>
      </c>
      <c r="L734" s="217">
        <v>1620</v>
      </c>
      <c r="M734" s="428" t="s">
        <v>153</v>
      </c>
      <c r="N734" s="428" t="s">
        <v>149</v>
      </c>
      <c r="O734" s="428" t="s">
        <v>154</v>
      </c>
      <c r="P734" s="428" t="s">
        <v>151</v>
      </c>
      <c r="Q734" s="428" t="s">
        <v>155</v>
      </c>
      <c r="R734" s="428" t="s">
        <v>9118</v>
      </c>
      <c r="S734" s="428"/>
      <c r="T734" s="428" t="s">
        <v>2923</v>
      </c>
      <c r="U734" s="428" t="s">
        <v>152</v>
      </c>
      <c r="V734" s="428" t="s">
        <v>18</v>
      </c>
    </row>
    <row r="735" spans="1:22">
      <c r="A735" s="6"/>
      <c r="B735" s="216">
        <v>46250</v>
      </c>
      <c r="C735" s="216">
        <v>46250</v>
      </c>
      <c r="D735" s="428" t="s">
        <v>9119</v>
      </c>
      <c r="E735" s="428">
        <v>260101522648</v>
      </c>
      <c r="F735" s="428" t="s">
        <v>87</v>
      </c>
      <c r="G735" s="428" t="s">
        <v>2419</v>
      </c>
      <c r="H735" s="428">
        <v>92</v>
      </c>
      <c r="I735" s="428">
        <v>335</v>
      </c>
      <c r="J735" s="369">
        <v>335</v>
      </c>
      <c r="K735" s="428">
        <v>180</v>
      </c>
      <c r="L735" s="217">
        <v>1000</v>
      </c>
      <c r="M735" s="428" t="s">
        <v>153</v>
      </c>
      <c r="N735" s="428" t="s">
        <v>149</v>
      </c>
      <c r="O735" s="428" t="s">
        <v>154</v>
      </c>
      <c r="P735" s="428" t="s">
        <v>151</v>
      </c>
      <c r="Q735" s="428" t="s">
        <v>155</v>
      </c>
      <c r="R735" s="428" t="s">
        <v>9120</v>
      </c>
      <c r="S735" s="428"/>
      <c r="T735" s="428" t="s">
        <v>2923</v>
      </c>
      <c r="U735" s="428" t="s">
        <v>152</v>
      </c>
      <c r="V735" s="428" t="s">
        <v>18</v>
      </c>
    </row>
    <row r="736" spans="1:22">
      <c r="A736" s="6"/>
      <c r="B736" s="216">
        <v>46250</v>
      </c>
      <c r="C736" s="216">
        <v>46250</v>
      </c>
      <c r="D736" s="428" t="s">
        <v>9121</v>
      </c>
      <c r="E736" s="428">
        <v>260100722672</v>
      </c>
      <c r="F736" s="428" t="s">
        <v>87</v>
      </c>
      <c r="G736" s="428" t="s">
        <v>7586</v>
      </c>
      <c r="H736" s="428">
        <v>142</v>
      </c>
      <c r="I736" s="428">
        <v>396</v>
      </c>
      <c r="J736" s="369">
        <v>396</v>
      </c>
      <c r="K736" s="428">
        <v>170</v>
      </c>
      <c r="L736" s="217">
        <v>810</v>
      </c>
      <c r="M736" s="428" t="s">
        <v>153</v>
      </c>
      <c r="N736" s="428" t="s">
        <v>149</v>
      </c>
      <c r="O736" s="428" t="s">
        <v>154</v>
      </c>
      <c r="P736" s="428" t="s">
        <v>151</v>
      </c>
      <c r="Q736" s="428" t="s">
        <v>155</v>
      </c>
      <c r="R736" s="428" t="s">
        <v>9122</v>
      </c>
      <c r="S736" s="428"/>
      <c r="T736" s="428" t="s">
        <v>2923</v>
      </c>
      <c r="U736" s="428" t="s">
        <v>152</v>
      </c>
      <c r="V736" s="428" t="s">
        <v>18</v>
      </c>
    </row>
    <row r="737" spans="1:22">
      <c r="A737" s="6"/>
      <c r="B737" s="216">
        <v>46250</v>
      </c>
      <c r="C737" s="216">
        <v>46250</v>
      </c>
      <c r="D737" s="428" t="s">
        <v>9123</v>
      </c>
      <c r="E737" s="428">
        <v>260100922665</v>
      </c>
      <c r="F737" s="428" t="s">
        <v>87</v>
      </c>
      <c r="G737" s="428" t="s">
        <v>2079</v>
      </c>
      <c r="H737" s="428">
        <v>92</v>
      </c>
      <c r="I737" s="428">
        <v>421</v>
      </c>
      <c r="J737" s="369">
        <v>421</v>
      </c>
      <c r="K737" s="428">
        <v>180</v>
      </c>
      <c r="L737" s="217">
        <v>1310</v>
      </c>
      <c r="M737" s="428" t="s">
        <v>153</v>
      </c>
      <c r="N737" s="428" t="s">
        <v>149</v>
      </c>
      <c r="O737" s="428" t="s">
        <v>154</v>
      </c>
      <c r="P737" s="428" t="s">
        <v>151</v>
      </c>
      <c r="Q737" s="428" t="s">
        <v>155</v>
      </c>
      <c r="R737" s="428" t="s">
        <v>9124</v>
      </c>
      <c r="S737" s="428"/>
      <c r="T737" s="428" t="s">
        <v>2923</v>
      </c>
      <c r="U737" s="428" t="s">
        <v>152</v>
      </c>
      <c r="V737" s="428" t="s">
        <v>18</v>
      </c>
    </row>
    <row r="738" spans="1:22">
      <c r="A738" s="6"/>
      <c r="B738" s="216">
        <v>46250</v>
      </c>
      <c r="C738" s="216">
        <v>46250</v>
      </c>
      <c r="D738" s="428" t="s">
        <v>9125</v>
      </c>
      <c r="E738" s="428">
        <v>260102822683</v>
      </c>
      <c r="F738" s="428" t="s">
        <v>87</v>
      </c>
      <c r="G738" s="428" t="s">
        <v>8032</v>
      </c>
      <c r="H738" s="428">
        <v>102</v>
      </c>
      <c r="I738" s="428">
        <v>258</v>
      </c>
      <c r="J738" s="369">
        <v>258</v>
      </c>
      <c r="K738" s="428">
        <v>130</v>
      </c>
      <c r="L738" s="217">
        <v>1000</v>
      </c>
      <c r="M738" s="428" t="s">
        <v>153</v>
      </c>
      <c r="N738" s="428" t="s">
        <v>149</v>
      </c>
      <c r="O738" s="428" t="s">
        <v>154</v>
      </c>
      <c r="P738" s="428" t="s">
        <v>151</v>
      </c>
      <c r="Q738" s="428" t="s">
        <v>155</v>
      </c>
      <c r="R738" s="428" t="s">
        <v>9126</v>
      </c>
      <c r="S738" s="428"/>
      <c r="T738" s="428" t="s">
        <v>2923</v>
      </c>
      <c r="U738" s="428" t="s">
        <v>152</v>
      </c>
      <c r="V738" s="428" t="s">
        <v>18</v>
      </c>
    </row>
    <row r="739" spans="1:22">
      <c r="A739" s="6"/>
      <c r="B739" s="216">
        <v>46250</v>
      </c>
      <c r="C739" s="216">
        <v>46250</v>
      </c>
      <c r="D739" s="428" t="s">
        <v>9127</v>
      </c>
      <c r="E739" s="428">
        <v>260105322651</v>
      </c>
      <c r="F739" s="428" t="s">
        <v>87</v>
      </c>
      <c r="G739" s="428" t="s">
        <v>824</v>
      </c>
      <c r="H739" s="428">
        <v>152</v>
      </c>
      <c r="I739" s="428">
        <v>285</v>
      </c>
      <c r="J739" s="369">
        <v>285</v>
      </c>
      <c r="K739" s="428">
        <v>104</v>
      </c>
      <c r="L739" s="217">
        <v>1920</v>
      </c>
      <c r="M739" s="428" t="s">
        <v>153</v>
      </c>
      <c r="N739" s="428" t="s">
        <v>149</v>
      </c>
      <c r="O739" s="428" t="s">
        <v>154</v>
      </c>
      <c r="P739" s="428" t="s">
        <v>151</v>
      </c>
      <c r="Q739" s="428" t="s">
        <v>155</v>
      </c>
      <c r="R739" s="428" t="s">
        <v>9128</v>
      </c>
      <c r="S739" s="428"/>
      <c r="T739" s="428" t="s">
        <v>2923</v>
      </c>
      <c r="U739" s="428" t="s">
        <v>152</v>
      </c>
      <c r="V739" s="428" t="s">
        <v>18</v>
      </c>
    </row>
    <row r="740" spans="1:22">
      <c r="A740" s="6"/>
      <c r="B740" s="216">
        <v>46250</v>
      </c>
      <c r="C740" s="216">
        <v>46250</v>
      </c>
      <c r="D740" s="428" t="s">
        <v>9129</v>
      </c>
      <c r="E740" s="428">
        <v>260107122663</v>
      </c>
      <c r="F740" s="428" t="s">
        <v>87</v>
      </c>
      <c r="G740" s="428" t="s">
        <v>8692</v>
      </c>
      <c r="H740" s="428">
        <v>140</v>
      </c>
      <c r="I740" s="428">
        <v>212</v>
      </c>
      <c r="J740" s="369">
        <v>212</v>
      </c>
      <c r="K740" s="428">
        <v>88</v>
      </c>
      <c r="L740" s="217">
        <v>1800</v>
      </c>
      <c r="M740" s="428" t="s">
        <v>153</v>
      </c>
      <c r="N740" s="428" t="s">
        <v>149</v>
      </c>
      <c r="O740" s="428" t="s">
        <v>154</v>
      </c>
      <c r="P740" s="428" t="s">
        <v>151</v>
      </c>
      <c r="Q740" s="428" t="s">
        <v>155</v>
      </c>
      <c r="R740" s="428" t="s">
        <v>9130</v>
      </c>
      <c r="S740" s="428"/>
      <c r="T740" s="428" t="s">
        <v>2923</v>
      </c>
      <c r="U740" s="428" t="s">
        <v>152</v>
      </c>
      <c r="V740" s="428" t="s">
        <v>18</v>
      </c>
    </row>
    <row r="741" spans="1:22">
      <c r="A741" s="6"/>
      <c r="B741" s="216">
        <v>46250</v>
      </c>
      <c r="C741" s="216">
        <v>46250</v>
      </c>
      <c r="D741" s="428" t="s">
        <v>9131</v>
      </c>
      <c r="E741" s="428">
        <v>260101822681</v>
      </c>
      <c r="F741" s="428" t="s">
        <v>87</v>
      </c>
      <c r="G741" s="428" t="s">
        <v>8933</v>
      </c>
      <c r="H741" s="428">
        <v>162</v>
      </c>
      <c r="I741" s="428">
        <v>196</v>
      </c>
      <c r="J741" s="369">
        <v>196</v>
      </c>
      <c r="K741" s="428">
        <v>140</v>
      </c>
      <c r="L741" s="217">
        <v>450</v>
      </c>
      <c r="M741" s="428" t="s">
        <v>153</v>
      </c>
      <c r="N741" s="428" t="s">
        <v>149</v>
      </c>
      <c r="O741" s="428" t="s">
        <v>154</v>
      </c>
      <c r="P741" s="428" t="s">
        <v>151</v>
      </c>
      <c r="Q741" s="428" t="s">
        <v>155</v>
      </c>
      <c r="R741" s="428" t="s">
        <v>9132</v>
      </c>
      <c r="S741" s="428"/>
      <c r="T741" s="428" t="s">
        <v>2923</v>
      </c>
      <c r="U741" s="428" t="s">
        <v>152</v>
      </c>
      <c r="V741" s="428" t="s">
        <v>18</v>
      </c>
    </row>
    <row r="742" spans="1:22">
      <c r="A742" s="6"/>
      <c r="B742" s="216">
        <v>46250</v>
      </c>
      <c r="C742" s="216">
        <v>46250</v>
      </c>
      <c r="D742" s="428" t="s">
        <v>9133</v>
      </c>
      <c r="E742" s="428">
        <v>260102622682</v>
      </c>
      <c r="F742" s="428" t="s">
        <v>87</v>
      </c>
      <c r="G742" s="428" t="s">
        <v>8032</v>
      </c>
      <c r="H742" s="428">
        <v>102</v>
      </c>
      <c r="I742" s="428">
        <v>270</v>
      </c>
      <c r="J742" s="369">
        <v>270</v>
      </c>
      <c r="K742" s="428">
        <v>130</v>
      </c>
      <c r="L742" s="217">
        <v>1050</v>
      </c>
      <c r="M742" s="428" t="s">
        <v>153</v>
      </c>
      <c r="N742" s="428" t="s">
        <v>149</v>
      </c>
      <c r="O742" s="428" t="s">
        <v>154</v>
      </c>
      <c r="P742" s="428" t="s">
        <v>151</v>
      </c>
      <c r="Q742" s="428" t="s">
        <v>155</v>
      </c>
      <c r="R742" s="428" t="s">
        <v>9134</v>
      </c>
      <c r="S742" s="428"/>
      <c r="T742" s="428" t="s">
        <v>2923</v>
      </c>
      <c r="U742" s="428" t="s">
        <v>152</v>
      </c>
      <c r="V742" s="428" t="s">
        <v>18</v>
      </c>
    </row>
    <row r="743" spans="1:22">
      <c r="A743" s="6"/>
      <c r="B743" s="216">
        <v>46250</v>
      </c>
      <c r="C743" s="216">
        <v>46250</v>
      </c>
      <c r="D743" s="428" t="s">
        <v>9135</v>
      </c>
      <c r="E743" s="428">
        <v>260105022654</v>
      </c>
      <c r="F743" s="428" t="s">
        <v>87</v>
      </c>
      <c r="G743" s="428" t="s">
        <v>2407</v>
      </c>
      <c r="H743" s="428">
        <v>160</v>
      </c>
      <c r="I743" s="428">
        <v>323</v>
      </c>
      <c r="J743" s="369">
        <v>323</v>
      </c>
      <c r="K743" s="428">
        <v>102</v>
      </c>
      <c r="L743" s="217">
        <v>2030</v>
      </c>
      <c r="M743" s="428" t="s">
        <v>153</v>
      </c>
      <c r="N743" s="428" t="s">
        <v>149</v>
      </c>
      <c r="O743" s="428" t="s">
        <v>154</v>
      </c>
      <c r="P743" s="428" t="s">
        <v>151</v>
      </c>
      <c r="Q743" s="428" t="s">
        <v>155</v>
      </c>
      <c r="R743" s="428" t="s">
        <v>9136</v>
      </c>
      <c r="S743" s="428"/>
      <c r="T743" s="428" t="s">
        <v>2923</v>
      </c>
      <c r="U743" s="428" t="s">
        <v>152</v>
      </c>
      <c r="V743" s="428" t="s">
        <v>18</v>
      </c>
    </row>
    <row r="744" spans="1:22">
      <c r="A744" s="6"/>
      <c r="B744" s="216">
        <v>46250</v>
      </c>
      <c r="C744" s="216">
        <v>46250</v>
      </c>
      <c r="D744" s="428" t="s">
        <v>9137</v>
      </c>
      <c r="E744" s="428">
        <v>260106922668</v>
      </c>
      <c r="F744" s="428" t="s">
        <v>87</v>
      </c>
      <c r="G744" s="428" t="s">
        <v>7928</v>
      </c>
      <c r="H744" s="428">
        <v>135</v>
      </c>
      <c r="I744" s="428">
        <v>332</v>
      </c>
      <c r="J744" s="369">
        <v>332</v>
      </c>
      <c r="K744" s="428">
        <v>107</v>
      </c>
      <c r="L744" s="217">
        <v>2360</v>
      </c>
      <c r="M744" s="428" t="s">
        <v>153</v>
      </c>
      <c r="N744" s="428" t="s">
        <v>149</v>
      </c>
      <c r="O744" s="428" t="s">
        <v>154</v>
      </c>
      <c r="P744" s="428" t="s">
        <v>151</v>
      </c>
      <c r="Q744" s="428" t="s">
        <v>155</v>
      </c>
      <c r="R744" s="428" t="s">
        <v>9138</v>
      </c>
      <c r="S744" s="428"/>
      <c r="T744" s="428" t="s">
        <v>2923</v>
      </c>
      <c r="U744" s="428" t="s">
        <v>152</v>
      </c>
      <c r="V744" s="428" t="s">
        <v>18</v>
      </c>
    </row>
    <row r="745" spans="1:22">
      <c r="A745" s="6"/>
      <c r="B745" s="216">
        <v>46250</v>
      </c>
      <c r="C745" s="216">
        <v>46250</v>
      </c>
      <c r="D745" s="428" t="s">
        <v>9139</v>
      </c>
      <c r="E745" s="428">
        <v>260103322677</v>
      </c>
      <c r="F745" s="428" t="s">
        <v>87</v>
      </c>
      <c r="G745" s="428" t="s">
        <v>2409</v>
      </c>
      <c r="H745" s="428">
        <v>152</v>
      </c>
      <c r="I745" s="428">
        <v>278</v>
      </c>
      <c r="J745" s="369">
        <v>278</v>
      </c>
      <c r="K745" s="428">
        <v>97</v>
      </c>
      <c r="L745" s="217">
        <v>2000</v>
      </c>
      <c r="M745" s="428" t="s">
        <v>153</v>
      </c>
      <c r="N745" s="428" t="s">
        <v>149</v>
      </c>
      <c r="O745" s="428" t="s">
        <v>154</v>
      </c>
      <c r="P745" s="428" t="s">
        <v>151</v>
      </c>
      <c r="Q745" s="428" t="s">
        <v>155</v>
      </c>
      <c r="R745" s="428" t="s">
        <v>9140</v>
      </c>
      <c r="S745" s="428"/>
      <c r="T745" s="428" t="s">
        <v>2923</v>
      </c>
      <c r="U745" s="428" t="s">
        <v>152</v>
      </c>
      <c r="V745" s="428" t="s">
        <v>18</v>
      </c>
    </row>
    <row r="746" spans="1:22">
      <c r="A746" s="6"/>
      <c r="B746" s="216">
        <v>46250</v>
      </c>
      <c r="C746" s="216">
        <v>46250</v>
      </c>
      <c r="D746" s="428" t="s">
        <v>9141</v>
      </c>
      <c r="E746" s="428">
        <v>260102722684</v>
      </c>
      <c r="F746" s="428" t="s">
        <v>87</v>
      </c>
      <c r="G746" s="428" t="s">
        <v>8032</v>
      </c>
      <c r="H746" s="428">
        <v>102</v>
      </c>
      <c r="I746" s="428">
        <v>250</v>
      </c>
      <c r="J746" s="369">
        <v>250</v>
      </c>
      <c r="K746" s="428">
        <v>130</v>
      </c>
      <c r="L746" s="217">
        <v>1000</v>
      </c>
      <c r="M746" s="428" t="s">
        <v>153</v>
      </c>
      <c r="N746" s="428" t="s">
        <v>149</v>
      </c>
      <c r="O746" s="428" t="s">
        <v>154</v>
      </c>
      <c r="P746" s="428" t="s">
        <v>151</v>
      </c>
      <c r="Q746" s="428" t="s">
        <v>155</v>
      </c>
      <c r="R746" s="428" t="s">
        <v>9142</v>
      </c>
      <c r="S746" s="428"/>
      <c r="T746" s="428" t="s">
        <v>2923</v>
      </c>
      <c r="U746" s="428" t="s">
        <v>152</v>
      </c>
      <c r="V746" s="428" t="s">
        <v>18</v>
      </c>
    </row>
    <row r="747" spans="1:22">
      <c r="A747" s="6"/>
      <c r="B747" s="216">
        <v>46250</v>
      </c>
      <c r="C747" s="216">
        <v>46250</v>
      </c>
      <c r="D747" s="428" t="s">
        <v>9143</v>
      </c>
      <c r="E747" s="428">
        <v>260102422685</v>
      </c>
      <c r="F747" s="428" t="s">
        <v>87</v>
      </c>
      <c r="G747" s="428" t="s">
        <v>8032</v>
      </c>
      <c r="H747" s="428">
        <v>102</v>
      </c>
      <c r="I747" s="428">
        <v>260</v>
      </c>
      <c r="J747" s="369">
        <v>260</v>
      </c>
      <c r="K747" s="428">
        <v>130</v>
      </c>
      <c r="L747" s="217">
        <v>1000</v>
      </c>
      <c r="M747" s="428" t="s">
        <v>153</v>
      </c>
      <c r="N747" s="428" t="s">
        <v>149</v>
      </c>
      <c r="O747" s="428" t="s">
        <v>154</v>
      </c>
      <c r="P747" s="428" t="s">
        <v>151</v>
      </c>
      <c r="Q747" s="428" t="s">
        <v>155</v>
      </c>
      <c r="R747" s="428" t="s">
        <v>9144</v>
      </c>
      <c r="S747" s="428"/>
      <c r="T747" s="428" t="s">
        <v>2923</v>
      </c>
      <c r="U747" s="428" t="s">
        <v>152</v>
      </c>
      <c r="V747" s="428" t="s">
        <v>18</v>
      </c>
    </row>
    <row r="748" spans="1:22">
      <c r="A748" s="6"/>
      <c r="B748" s="216">
        <v>46250</v>
      </c>
      <c r="C748" s="216">
        <v>46250</v>
      </c>
      <c r="D748" s="428" t="s">
        <v>9145</v>
      </c>
      <c r="E748" s="428">
        <v>260101422635</v>
      </c>
      <c r="F748" s="428" t="s">
        <v>87</v>
      </c>
      <c r="G748" s="428" t="s">
        <v>824</v>
      </c>
      <c r="H748" s="428">
        <v>152</v>
      </c>
      <c r="I748" s="428">
        <v>235</v>
      </c>
      <c r="J748" s="369">
        <v>235</v>
      </c>
      <c r="K748" s="428">
        <v>104</v>
      </c>
      <c r="L748" s="217">
        <v>1500</v>
      </c>
      <c r="M748" s="428" t="s">
        <v>153</v>
      </c>
      <c r="N748" s="428" t="s">
        <v>149</v>
      </c>
      <c r="O748" s="428" t="s">
        <v>154</v>
      </c>
      <c r="P748" s="428" t="s">
        <v>151</v>
      </c>
      <c r="Q748" s="428" t="s">
        <v>155</v>
      </c>
      <c r="R748" s="428" t="s">
        <v>9146</v>
      </c>
      <c r="S748" s="428"/>
      <c r="T748" s="428" t="s">
        <v>2923</v>
      </c>
      <c r="U748" s="428" t="s">
        <v>152</v>
      </c>
      <c r="V748" s="428" t="s">
        <v>18</v>
      </c>
    </row>
    <row r="749" spans="1:22">
      <c r="A749" s="6"/>
      <c r="B749" s="216">
        <v>46250</v>
      </c>
      <c r="C749" s="216">
        <v>46250</v>
      </c>
      <c r="D749" s="428" t="s">
        <v>9147</v>
      </c>
      <c r="E749" s="428">
        <v>260103422646</v>
      </c>
      <c r="F749" s="428" t="s">
        <v>87</v>
      </c>
      <c r="G749" s="428" t="s">
        <v>824</v>
      </c>
      <c r="H749" s="428">
        <v>152</v>
      </c>
      <c r="I749" s="428">
        <v>250</v>
      </c>
      <c r="J749" s="369">
        <v>250</v>
      </c>
      <c r="K749" s="428">
        <v>104</v>
      </c>
      <c r="L749" s="217">
        <v>1620</v>
      </c>
      <c r="M749" s="428" t="s">
        <v>153</v>
      </c>
      <c r="N749" s="428" t="s">
        <v>149</v>
      </c>
      <c r="O749" s="428" t="s">
        <v>154</v>
      </c>
      <c r="P749" s="428" t="s">
        <v>151</v>
      </c>
      <c r="Q749" s="428" t="s">
        <v>155</v>
      </c>
      <c r="R749" s="428" t="s">
        <v>9148</v>
      </c>
      <c r="S749" s="428"/>
      <c r="T749" s="428" t="s">
        <v>2923</v>
      </c>
      <c r="U749" s="428" t="s">
        <v>152</v>
      </c>
      <c r="V749" s="428" t="s">
        <v>18</v>
      </c>
    </row>
    <row r="750" spans="1:22">
      <c r="A750" s="6"/>
      <c r="B750" s="216">
        <v>46250</v>
      </c>
      <c r="C750" s="216">
        <v>46250</v>
      </c>
      <c r="D750" s="428" t="s">
        <v>9149</v>
      </c>
      <c r="E750" s="428">
        <v>260101622680</v>
      </c>
      <c r="F750" s="428" t="s">
        <v>87</v>
      </c>
      <c r="G750" s="428" t="s">
        <v>2079</v>
      </c>
      <c r="H750" s="428">
        <v>112</v>
      </c>
      <c r="I750" s="428">
        <v>387</v>
      </c>
      <c r="J750" s="369">
        <v>387</v>
      </c>
      <c r="K750" s="428">
        <v>180</v>
      </c>
      <c r="L750" s="217">
        <v>1000</v>
      </c>
      <c r="M750" s="428" t="s">
        <v>153</v>
      </c>
      <c r="N750" s="428" t="s">
        <v>149</v>
      </c>
      <c r="O750" s="428" t="s">
        <v>154</v>
      </c>
      <c r="P750" s="428" t="s">
        <v>151</v>
      </c>
      <c r="Q750" s="428" t="s">
        <v>155</v>
      </c>
      <c r="R750" s="428" t="s">
        <v>9150</v>
      </c>
      <c r="S750" s="428"/>
      <c r="T750" s="428" t="s">
        <v>2923</v>
      </c>
      <c r="U750" s="428" t="s">
        <v>152</v>
      </c>
      <c r="V750" s="428" t="s">
        <v>18</v>
      </c>
    </row>
    <row r="751" spans="1:22">
      <c r="A751" s="6"/>
      <c r="B751" s="216">
        <v>46250</v>
      </c>
      <c r="C751" s="216">
        <v>46250</v>
      </c>
      <c r="D751" s="428" t="s">
        <v>9151</v>
      </c>
      <c r="E751" s="428">
        <v>260101422636</v>
      </c>
      <c r="F751" s="428" t="s">
        <v>87</v>
      </c>
      <c r="G751" s="428" t="s">
        <v>824</v>
      </c>
      <c r="H751" s="428">
        <v>152</v>
      </c>
      <c r="I751" s="428">
        <v>234</v>
      </c>
      <c r="J751" s="369">
        <v>234</v>
      </c>
      <c r="K751" s="428">
        <v>104</v>
      </c>
      <c r="L751" s="217">
        <v>1500</v>
      </c>
      <c r="M751" s="428" t="s">
        <v>153</v>
      </c>
      <c r="N751" s="428" t="s">
        <v>149</v>
      </c>
      <c r="O751" s="428" t="s">
        <v>154</v>
      </c>
      <c r="P751" s="428" t="s">
        <v>151</v>
      </c>
      <c r="Q751" s="428" t="s">
        <v>155</v>
      </c>
      <c r="R751" s="428" t="s">
        <v>9152</v>
      </c>
      <c r="S751" s="428"/>
      <c r="T751" s="428" t="s">
        <v>2923</v>
      </c>
      <c r="U751" s="428" t="s">
        <v>152</v>
      </c>
      <c r="V751" s="428" t="s">
        <v>18</v>
      </c>
    </row>
    <row r="752" spans="1:22">
      <c r="A752" s="6"/>
      <c r="B752" s="216">
        <v>46250</v>
      </c>
      <c r="C752" s="216">
        <v>46250</v>
      </c>
      <c r="D752" s="428" t="s">
        <v>9153</v>
      </c>
      <c r="E752" s="428">
        <v>260105222652</v>
      </c>
      <c r="F752" s="428" t="s">
        <v>87</v>
      </c>
      <c r="G752" s="428" t="s">
        <v>2527</v>
      </c>
      <c r="H752" s="428">
        <v>152</v>
      </c>
      <c r="I752" s="428">
        <v>289</v>
      </c>
      <c r="J752" s="369">
        <v>289</v>
      </c>
      <c r="K752" s="428">
        <v>104</v>
      </c>
      <c r="L752" s="217">
        <v>1940</v>
      </c>
      <c r="M752" s="428" t="s">
        <v>153</v>
      </c>
      <c r="N752" s="428" t="s">
        <v>149</v>
      </c>
      <c r="O752" s="428" t="s">
        <v>154</v>
      </c>
      <c r="P752" s="428" t="s">
        <v>151</v>
      </c>
      <c r="Q752" s="428" t="s">
        <v>155</v>
      </c>
      <c r="R752" s="428" t="s">
        <v>9154</v>
      </c>
      <c r="S752" s="428"/>
      <c r="T752" s="428" t="s">
        <v>2923</v>
      </c>
      <c r="U752" s="428" t="s">
        <v>152</v>
      </c>
      <c r="V752" s="428" t="s">
        <v>18</v>
      </c>
    </row>
    <row r="753" spans="1:22">
      <c r="A753" s="6"/>
      <c r="B753" s="216">
        <v>46250</v>
      </c>
      <c r="C753" s="216">
        <v>46250</v>
      </c>
      <c r="D753" s="428" t="s">
        <v>9155</v>
      </c>
      <c r="E753" s="428" t="s">
        <v>9156</v>
      </c>
      <c r="F753" s="428" t="s">
        <v>87</v>
      </c>
      <c r="G753" s="428" t="s">
        <v>9157</v>
      </c>
      <c r="H753" s="428" t="s">
        <v>2416</v>
      </c>
      <c r="I753" s="428">
        <v>275</v>
      </c>
      <c r="J753" s="369">
        <v>275</v>
      </c>
      <c r="K753" s="428">
        <v>78</v>
      </c>
      <c r="L753" s="217">
        <v>3432</v>
      </c>
      <c r="M753" s="428" t="s">
        <v>153</v>
      </c>
      <c r="N753" s="428" t="s">
        <v>149</v>
      </c>
      <c r="O753" s="428" t="s">
        <v>154</v>
      </c>
      <c r="P753" s="428" t="s">
        <v>151</v>
      </c>
      <c r="Q753" s="428" t="s">
        <v>156</v>
      </c>
      <c r="R753" s="428" t="s">
        <v>9158</v>
      </c>
      <c r="S753" s="428"/>
      <c r="T753" s="428" t="s">
        <v>2923</v>
      </c>
      <c r="U753" s="428" t="s">
        <v>152</v>
      </c>
      <c r="V753" s="428" t="s">
        <v>20</v>
      </c>
    </row>
    <row r="754" spans="1:22">
      <c r="A754" s="6"/>
      <c r="B754" s="216">
        <v>46251</v>
      </c>
      <c r="C754" s="216">
        <v>46251</v>
      </c>
      <c r="D754" s="428" t="s">
        <v>9159</v>
      </c>
      <c r="E754" s="428">
        <v>260101622740</v>
      </c>
      <c r="F754" s="428" t="s">
        <v>87</v>
      </c>
      <c r="G754" s="428" t="s">
        <v>2079</v>
      </c>
      <c r="H754" s="428">
        <v>112</v>
      </c>
      <c r="I754" s="428">
        <v>387</v>
      </c>
      <c r="J754" s="369">
        <v>387</v>
      </c>
      <c r="K754" s="428">
        <v>180</v>
      </c>
      <c r="L754" s="217">
        <v>1000</v>
      </c>
      <c r="M754" s="428" t="s">
        <v>153</v>
      </c>
      <c r="N754" s="428" t="s">
        <v>149</v>
      </c>
      <c r="O754" s="428" t="s">
        <v>154</v>
      </c>
      <c r="P754" s="428" t="s">
        <v>151</v>
      </c>
      <c r="Q754" s="428" t="s">
        <v>155</v>
      </c>
      <c r="R754" s="428" t="s">
        <v>9160</v>
      </c>
      <c r="S754" s="428"/>
      <c r="T754" s="428" t="s">
        <v>2930</v>
      </c>
      <c r="U754" s="428" t="s">
        <v>152</v>
      </c>
      <c r="V754" s="428" t="s">
        <v>18</v>
      </c>
    </row>
    <row r="755" spans="1:22">
      <c r="A755" s="6"/>
      <c r="B755" s="216">
        <v>46251</v>
      </c>
      <c r="C755" s="216">
        <v>46251</v>
      </c>
      <c r="D755" s="428" t="s">
        <v>9161</v>
      </c>
      <c r="E755" s="428">
        <v>260107122751</v>
      </c>
      <c r="F755" s="428" t="s">
        <v>87</v>
      </c>
      <c r="G755" s="428" t="s">
        <v>8692</v>
      </c>
      <c r="H755" s="428">
        <v>140</v>
      </c>
      <c r="I755" s="428">
        <v>218</v>
      </c>
      <c r="J755" s="369">
        <v>218</v>
      </c>
      <c r="K755" s="428">
        <v>88</v>
      </c>
      <c r="L755" s="217">
        <v>1860</v>
      </c>
      <c r="M755" s="428" t="s">
        <v>153</v>
      </c>
      <c r="N755" s="428" t="s">
        <v>149</v>
      </c>
      <c r="O755" s="428" t="s">
        <v>154</v>
      </c>
      <c r="P755" s="428" t="s">
        <v>151</v>
      </c>
      <c r="Q755" s="428" t="s">
        <v>155</v>
      </c>
      <c r="R755" s="428" t="s">
        <v>9162</v>
      </c>
      <c r="S755" s="428"/>
      <c r="T755" s="428" t="s">
        <v>2930</v>
      </c>
      <c r="U755" s="428" t="s">
        <v>152</v>
      </c>
      <c r="V755" s="428" t="s">
        <v>18</v>
      </c>
    </row>
    <row r="756" spans="1:22">
      <c r="A756" s="6"/>
      <c r="B756" s="216">
        <v>46251</v>
      </c>
      <c r="C756" s="216">
        <v>46251</v>
      </c>
      <c r="D756" s="428" t="s">
        <v>9163</v>
      </c>
      <c r="E756" s="428">
        <v>260102922700</v>
      </c>
      <c r="F756" s="428" t="s">
        <v>87</v>
      </c>
      <c r="G756" s="428" t="s">
        <v>824</v>
      </c>
      <c r="H756" s="428">
        <v>152</v>
      </c>
      <c r="I756" s="428">
        <v>307</v>
      </c>
      <c r="J756" s="369">
        <v>307</v>
      </c>
      <c r="K756" s="428">
        <v>104</v>
      </c>
      <c r="L756" s="217">
        <v>2020</v>
      </c>
      <c r="M756" s="428" t="s">
        <v>153</v>
      </c>
      <c r="N756" s="428" t="s">
        <v>149</v>
      </c>
      <c r="O756" s="428" t="s">
        <v>154</v>
      </c>
      <c r="P756" s="428" t="s">
        <v>151</v>
      </c>
      <c r="Q756" s="428" t="s">
        <v>155</v>
      </c>
      <c r="R756" s="428" t="s">
        <v>9164</v>
      </c>
      <c r="S756" s="428"/>
      <c r="T756" s="428" t="s">
        <v>2930</v>
      </c>
      <c r="U756" s="428" t="s">
        <v>152</v>
      </c>
      <c r="V756" s="428" t="s">
        <v>18</v>
      </c>
    </row>
    <row r="757" spans="1:22">
      <c r="A757" s="6"/>
      <c r="B757" s="216">
        <v>46251</v>
      </c>
      <c r="C757" s="216">
        <v>46251</v>
      </c>
      <c r="D757" s="428" t="s">
        <v>9165</v>
      </c>
      <c r="E757" s="428">
        <v>260102922701</v>
      </c>
      <c r="F757" s="428" t="s">
        <v>87</v>
      </c>
      <c r="G757" s="428" t="s">
        <v>824</v>
      </c>
      <c r="H757" s="428">
        <v>152</v>
      </c>
      <c r="I757" s="428">
        <v>306</v>
      </c>
      <c r="J757" s="369">
        <v>306</v>
      </c>
      <c r="K757" s="428">
        <v>104</v>
      </c>
      <c r="L757" s="217">
        <v>2020</v>
      </c>
      <c r="M757" s="428" t="s">
        <v>153</v>
      </c>
      <c r="N757" s="428" t="s">
        <v>149</v>
      </c>
      <c r="O757" s="428" t="s">
        <v>154</v>
      </c>
      <c r="P757" s="428" t="s">
        <v>151</v>
      </c>
      <c r="Q757" s="428" t="s">
        <v>155</v>
      </c>
      <c r="R757" s="428" t="s">
        <v>9166</v>
      </c>
      <c r="S757" s="428"/>
      <c r="T757" s="428" t="s">
        <v>2930</v>
      </c>
      <c r="U757" s="428" t="s">
        <v>152</v>
      </c>
      <c r="V757" s="428" t="s">
        <v>18</v>
      </c>
    </row>
    <row r="758" spans="1:22">
      <c r="A758" s="6"/>
      <c r="B758" s="216">
        <v>46251</v>
      </c>
      <c r="C758" s="216">
        <v>46251</v>
      </c>
      <c r="D758" s="428" t="s">
        <v>9167</v>
      </c>
      <c r="E758" s="428">
        <v>260103822717</v>
      </c>
      <c r="F758" s="428" t="s">
        <v>87</v>
      </c>
      <c r="G758" s="428" t="s">
        <v>824</v>
      </c>
      <c r="H758" s="428">
        <v>152</v>
      </c>
      <c r="I758" s="428">
        <v>303</v>
      </c>
      <c r="J758" s="369">
        <v>303</v>
      </c>
      <c r="K758" s="428">
        <v>104</v>
      </c>
      <c r="L758" s="217">
        <v>1920</v>
      </c>
      <c r="M758" s="428" t="s">
        <v>153</v>
      </c>
      <c r="N758" s="428" t="s">
        <v>149</v>
      </c>
      <c r="O758" s="428" t="s">
        <v>154</v>
      </c>
      <c r="P758" s="428" t="s">
        <v>151</v>
      </c>
      <c r="Q758" s="428" t="s">
        <v>155</v>
      </c>
      <c r="R758" s="428" t="s">
        <v>9168</v>
      </c>
      <c r="S758" s="428"/>
      <c r="T758" s="428" t="s">
        <v>2930</v>
      </c>
      <c r="U758" s="428" t="s">
        <v>152</v>
      </c>
      <c r="V758" s="428" t="s">
        <v>18</v>
      </c>
    </row>
    <row r="759" spans="1:22">
      <c r="A759" s="6"/>
      <c r="B759" s="216">
        <v>46251</v>
      </c>
      <c r="C759" s="216">
        <v>46251</v>
      </c>
      <c r="D759" s="428" t="s">
        <v>9169</v>
      </c>
      <c r="E759" s="428">
        <v>260105022709</v>
      </c>
      <c r="F759" s="428" t="s">
        <v>87</v>
      </c>
      <c r="G759" s="428" t="s">
        <v>2407</v>
      </c>
      <c r="H759" s="428">
        <v>160</v>
      </c>
      <c r="I759" s="428">
        <v>236</v>
      </c>
      <c r="J759" s="369">
        <v>236</v>
      </c>
      <c r="K759" s="428">
        <v>102</v>
      </c>
      <c r="L759" s="217">
        <v>1500</v>
      </c>
      <c r="M759" s="428" t="s">
        <v>153</v>
      </c>
      <c r="N759" s="428" t="s">
        <v>149</v>
      </c>
      <c r="O759" s="428" t="s">
        <v>154</v>
      </c>
      <c r="P759" s="428" t="s">
        <v>151</v>
      </c>
      <c r="Q759" s="428" t="s">
        <v>155</v>
      </c>
      <c r="R759" s="428" t="s">
        <v>9170</v>
      </c>
      <c r="S759" s="428"/>
      <c r="T759" s="428" t="s">
        <v>2930</v>
      </c>
      <c r="U759" s="428" t="s">
        <v>152</v>
      </c>
      <c r="V759" s="428" t="s">
        <v>18</v>
      </c>
    </row>
    <row r="760" spans="1:22">
      <c r="A760" s="6"/>
      <c r="B760" s="216">
        <v>46251</v>
      </c>
      <c r="C760" s="216">
        <v>46251</v>
      </c>
      <c r="D760" s="428" t="s">
        <v>9171</v>
      </c>
      <c r="E760" s="428">
        <v>260105422714</v>
      </c>
      <c r="F760" s="428" t="s">
        <v>87</v>
      </c>
      <c r="G760" s="428" t="s">
        <v>8290</v>
      </c>
      <c r="H760" s="428">
        <v>140</v>
      </c>
      <c r="I760" s="428">
        <v>168</v>
      </c>
      <c r="J760" s="369">
        <v>168</v>
      </c>
      <c r="K760" s="428">
        <v>83</v>
      </c>
      <c r="L760" s="217">
        <v>1520</v>
      </c>
      <c r="M760" s="428" t="s">
        <v>153</v>
      </c>
      <c r="N760" s="428" t="s">
        <v>149</v>
      </c>
      <c r="O760" s="428" t="s">
        <v>154</v>
      </c>
      <c r="P760" s="428" t="s">
        <v>151</v>
      </c>
      <c r="Q760" s="428" t="s">
        <v>155</v>
      </c>
      <c r="R760" s="428" t="s">
        <v>9172</v>
      </c>
      <c r="S760" s="428"/>
      <c r="T760" s="428" t="s">
        <v>2930</v>
      </c>
      <c r="U760" s="428" t="s">
        <v>152</v>
      </c>
      <c r="V760" s="428" t="s">
        <v>18</v>
      </c>
    </row>
    <row r="761" spans="1:22">
      <c r="A761" s="6"/>
      <c r="B761" s="216">
        <v>46251</v>
      </c>
      <c r="C761" s="216">
        <v>46251</v>
      </c>
      <c r="D761" s="428" t="s">
        <v>9173</v>
      </c>
      <c r="E761" s="428">
        <v>260101722730</v>
      </c>
      <c r="F761" s="428" t="s">
        <v>87</v>
      </c>
      <c r="G761" s="428" t="s">
        <v>8681</v>
      </c>
      <c r="H761" s="428">
        <v>92</v>
      </c>
      <c r="I761" s="428">
        <v>250</v>
      </c>
      <c r="J761" s="369">
        <v>250</v>
      </c>
      <c r="K761" s="428">
        <v>134</v>
      </c>
      <c r="L761" s="217">
        <v>1020</v>
      </c>
      <c r="M761" s="428" t="s">
        <v>153</v>
      </c>
      <c r="N761" s="428" t="s">
        <v>149</v>
      </c>
      <c r="O761" s="428" t="s">
        <v>154</v>
      </c>
      <c r="P761" s="428" t="s">
        <v>151</v>
      </c>
      <c r="Q761" s="428" t="s">
        <v>155</v>
      </c>
      <c r="R761" s="428" t="s">
        <v>9174</v>
      </c>
      <c r="S761" s="428"/>
      <c r="T761" s="428" t="s">
        <v>2930</v>
      </c>
      <c r="U761" s="428" t="s">
        <v>152</v>
      </c>
      <c r="V761" s="428" t="s">
        <v>18</v>
      </c>
    </row>
    <row r="762" spans="1:22">
      <c r="A762" s="6"/>
      <c r="B762" s="216">
        <v>46251</v>
      </c>
      <c r="C762" s="216">
        <v>46251</v>
      </c>
      <c r="D762" s="428" t="s">
        <v>9175</v>
      </c>
      <c r="E762" s="428">
        <v>260101422733</v>
      </c>
      <c r="F762" s="428" t="s">
        <v>87</v>
      </c>
      <c r="G762" s="428" t="s">
        <v>824</v>
      </c>
      <c r="H762" s="428">
        <v>152</v>
      </c>
      <c r="I762" s="428">
        <v>237</v>
      </c>
      <c r="J762" s="369">
        <v>237</v>
      </c>
      <c r="K762" s="428">
        <v>104</v>
      </c>
      <c r="L762" s="217">
        <v>1545</v>
      </c>
      <c r="M762" s="428" t="s">
        <v>153</v>
      </c>
      <c r="N762" s="428" t="s">
        <v>149</v>
      </c>
      <c r="O762" s="428" t="s">
        <v>154</v>
      </c>
      <c r="P762" s="428" t="s">
        <v>151</v>
      </c>
      <c r="Q762" s="428" t="s">
        <v>155</v>
      </c>
      <c r="R762" s="428" t="s">
        <v>9176</v>
      </c>
      <c r="S762" s="428"/>
      <c r="T762" s="428" t="s">
        <v>2930</v>
      </c>
      <c r="U762" s="428" t="s">
        <v>152</v>
      </c>
      <c r="V762" s="428" t="s">
        <v>18</v>
      </c>
    </row>
    <row r="763" spans="1:22">
      <c r="A763" s="6"/>
      <c r="B763" s="216">
        <v>46251</v>
      </c>
      <c r="C763" s="216">
        <v>46251</v>
      </c>
      <c r="D763" s="428" t="s">
        <v>9177</v>
      </c>
      <c r="E763" s="428">
        <v>260101422735</v>
      </c>
      <c r="F763" s="428" t="s">
        <v>87</v>
      </c>
      <c r="G763" s="428" t="s">
        <v>824</v>
      </c>
      <c r="H763" s="428">
        <v>152</v>
      </c>
      <c r="I763" s="428">
        <v>236</v>
      </c>
      <c r="J763" s="369">
        <v>236</v>
      </c>
      <c r="K763" s="428">
        <v>104</v>
      </c>
      <c r="L763" s="217">
        <v>1545</v>
      </c>
      <c r="M763" s="428" t="s">
        <v>153</v>
      </c>
      <c r="N763" s="428" t="s">
        <v>149</v>
      </c>
      <c r="O763" s="428" t="s">
        <v>154</v>
      </c>
      <c r="P763" s="428" t="s">
        <v>151</v>
      </c>
      <c r="Q763" s="428" t="s">
        <v>155</v>
      </c>
      <c r="R763" s="428" t="s">
        <v>9178</v>
      </c>
      <c r="S763" s="428"/>
      <c r="T763" s="428" t="s">
        <v>2930</v>
      </c>
      <c r="U763" s="428" t="s">
        <v>152</v>
      </c>
      <c r="V763" s="428" t="s">
        <v>18</v>
      </c>
    </row>
    <row r="764" spans="1:22">
      <c r="A764" s="6"/>
      <c r="B764" s="216">
        <v>46251</v>
      </c>
      <c r="C764" s="216">
        <v>46251</v>
      </c>
      <c r="D764" s="428" t="s">
        <v>9179</v>
      </c>
      <c r="E764" s="428">
        <v>260102422747</v>
      </c>
      <c r="F764" s="428" t="s">
        <v>87</v>
      </c>
      <c r="G764" s="428" t="s">
        <v>8032</v>
      </c>
      <c r="H764" s="428">
        <v>102</v>
      </c>
      <c r="I764" s="428">
        <v>262</v>
      </c>
      <c r="J764" s="369">
        <v>262</v>
      </c>
      <c r="K764" s="428">
        <v>130</v>
      </c>
      <c r="L764" s="217">
        <v>1000</v>
      </c>
      <c r="M764" s="428" t="s">
        <v>153</v>
      </c>
      <c r="N764" s="428" t="s">
        <v>149</v>
      </c>
      <c r="O764" s="428" t="s">
        <v>154</v>
      </c>
      <c r="P764" s="428" t="s">
        <v>151</v>
      </c>
      <c r="Q764" s="428" t="s">
        <v>155</v>
      </c>
      <c r="R764" s="428" t="s">
        <v>9180</v>
      </c>
      <c r="S764" s="428"/>
      <c r="T764" s="428" t="s">
        <v>2930</v>
      </c>
      <c r="U764" s="428" t="s">
        <v>152</v>
      </c>
      <c r="V764" s="428" t="s">
        <v>18</v>
      </c>
    </row>
    <row r="765" spans="1:22">
      <c r="A765" s="6"/>
      <c r="B765" s="216">
        <v>46251</v>
      </c>
      <c r="C765" s="216">
        <v>46251</v>
      </c>
      <c r="D765" s="428" t="s">
        <v>9181</v>
      </c>
      <c r="E765" s="428">
        <v>260102022755</v>
      </c>
      <c r="F765" s="428" t="s">
        <v>87</v>
      </c>
      <c r="G765" s="428" t="s">
        <v>2303</v>
      </c>
      <c r="H765" s="428">
        <v>92</v>
      </c>
      <c r="I765" s="428">
        <v>235</v>
      </c>
      <c r="J765" s="369">
        <v>235</v>
      </c>
      <c r="K765" s="428">
        <v>134</v>
      </c>
      <c r="L765" s="217">
        <v>1000</v>
      </c>
      <c r="M765" s="428" t="s">
        <v>153</v>
      </c>
      <c r="N765" s="428" t="s">
        <v>149</v>
      </c>
      <c r="O765" s="428" t="s">
        <v>154</v>
      </c>
      <c r="P765" s="428" t="s">
        <v>151</v>
      </c>
      <c r="Q765" s="428" t="s">
        <v>155</v>
      </c>
      <c r="R765" s="428" t="s">
        <v>9182</v>
      </c>
      <c r="S765" s="428"/>
      <c r="T765" s="428" t="s">
        <v>2930</v>
      </c>
      <c r="U765" s="428" t="s">
        <v>152</v>
      </c>
      <c r="V765" s="428" t="s">
        <v>18</v>
      </c>
    </row>
    <row r="766" spans="1:22">
      <c r="A766" s="6"/>
      <c r="B766" s="216">
        <v>46251</v>
      </c>
      <c r="C766" s="216">
        <v>46251</v>
      </c>
      <c r="D766" s="428" t="s">
        <v>9183</v>
      </c>
      <c r="E766" s="428">
        <v>260103622762</v>
      </c>
      <c r="F766" s="428" t="s">
        <v>87</v>
      </c>
      <c r="G766" s="428" t="s">
        <v>9085</v>
      </c>
      <c r="H766" s="428">
        <v>242</v>
      </c>
      <c r="I766" s="428">
        <v>354</v>
      </c>
      <c r="J766" s="369">
        <v>354</v>
      </c>
      <c r="K766" s="428">
        <v>107</v>
      </c>
      <c r="L766" s="217">
        <v>700</v>
      </c>
      <c r="M766" s="428" t="s">
        <v>153</v>
      </c>
      <c r="N766" s="428" t="s">
        <v>149</v>
      </c>
      <c r="O766" s="428" t="s">
        <v>154</v>
      </c>
      <c r="P766" s="428" t="s">
        <v>151</v>
      </c>
      <c r="Q766" s="428" t="s">
        <v>155</v>
      </c>
      <c r="R766" s="428" t="s">
        <v>9184</v>
      </c>
      <c r="S766" s="428"/>
      <c r="T766" s="428" t="s">
        <v>2930</v>
      </c>
      <c r="U766" s="428" t="s">
        <v>152</v>
      </c>
      <c r="V766" s="428" t="s">
        <v>18</v>
      </c>
    </row>
    <row r="767" spans="1:22">
      <c r="A767" s="6"/>
      <c r="B767" s="216">
        <v>46251</v>
      </c>
      <c r="C767" s="216">
        <v>46251</v>
      </c>
      <c r="D767" s="428" t="s">
        <v>9185</v>
      </c>
      <c r="E767" s="428">
        <v>260101422734</v>
      </c>
      <c r="F767" s="428" t="s">
        <v>87</v>
      </c>
      <c r="G767" s="428" t="s">
        <v>824</v>
      </c>
      <c r="H767" s="428">
        <v>152</v>
      </c>
      <c r="I767" s="428">
        <v>235</v>
      </c>
      <c r="J767" s="369">
        <v>235</v>
      </c>
      <c r="K767" s="428">
        <v>104</v>
      </c>
      <c r="L767" s="217">
        <v>1545</v>
      </c>
      <c r="M767" s="428" t="s">
        <v>153</v>
      </c>
      <c r="N767" s="428" t="s">
        <v>149</v>
      </c>
      <c r="O767" s="428" t="s">
        <v>154</v>
      </c>
      <c r="P767" s="428" t="s">
        <v>151</v>
      </c>
      <c r="Q767" s="428" t="s">
        <v>155</v>
      </c>
      <c r="R767" s="428" t="s">
        <v>9186</v>
      </c>
      <c r="S767" s="428"/>
      <c r="T767" s="428" t="s">
        <v>2930</v>
      </c>
      <c r="U767" s="428" t="s">
        <v>152</v>
      </c>
      <c r="V767" s="428" t="s">
        <v>18</v>
      </c>
    </row>
    <row r="768" spans="1:22">
      <c r="A768" s="6"/>
      <c r="B768" s="216">
        <v>46251</v>
      </c>
      <c r="C768" s="216">
        <v>46251</v>
      </c>
      <c r="D768" s="428" t="s">
        <v>9187</v>
      </c>
      <c r="E768" s="428">
        <v>260101422736</v>
      </c>
      <c r="F768" s="428" t="s">
        <v>87</v>
      </c>
      <c r="G768" s="428" t="s">
        <v>824</v>
      </c>
      <c r="H768" s="428">
        <v>152</v>
      </c>
      <c r="I768" s="428">
        <v>235</v>
      </c>
      <c r="J768" s="369">
        <v>235</v>
      </c>
      <c r="K768" s="428">
        <v>104</v>
      </c>
      <c r="L768" s="217">
        <v>1545</v>
      </c>
      <c r="M768" s="428" t="s">
        <v>153</v>
      </c>
      <c r="N768" s="428" t="s">
        <v>149</v>
      </c>
      <c r="O768" s="428" t="s">
        <v>154</v>
      </c>
      <c r="P768" s="428" t="s">
        <v>151</v>
      </c>
      <c r="Q768" s="428" t="s">
        <v>155</v>
      </c>
      <c r="R768" s="428" t="s">
        <v>9188</v>
      </c>
      <c r="S768" s="428"/>
      <c r="T768" s="428" t="s">
        <v>2930</v>
      </c>
      <c r="U768" s="428" t="s">
        <v>152</v>
      </c>
      <c r="V768" s="428" t="s">
        <v>18</v>
      </c>
    </row>
    <row r="769" spans="1:22">
      <c r="A769" s="6"/>
      <c r="B769" s="216">
        <v>46251</v>
      </c>
      <c r="C769" s="216">
        <v>46251</v>
      </c>
      <c r="D769" s="428" t="s">
        <v>9189</v>
      </c>
      <c r="E769" s="428">
        <v>260101522737</v>
      </c>
      <c r="F769" s="428" t="s">
        <v>87</v>
      </c>
      <c r="G769" s="428" t="s">
        <v>2419</v>
      </c>
      <c r="H769" s="428">
        <v>92</v>
      </c>
      <c r="I769" s="428">
        <v>335</v>
      </c>
      <c r="J769" s="369">
        <v>335</v>
      </c>
      <c r="K769" s="428">
        <v>180</v>
      </c>
      <c r="L769" s="217">
        <v>1020</v>
      </c>
      <c r="M769" s="428" t="s">
        <v>153</v>
      </c>
      <c r="N769" s="428" t="s">
        <v>149</v>
      </c>
      <c r="O769" s="428" t="s">
        <v>154</v>
      </c>
      <c r="P769" s="428" t="s">
        <v>151</v>
      </c>
      <c r="Q769" s="428" t="s">
        <v>155</v>
      </c>
      <c r="R769" s="428" t="s">
        <v>9190</v>
      </c>
      <c r="S769" s="428"/>
      <c r="T769" s="428" t="s">
        <v>2930</v>
      </c>
      <c r="U769" s="428" t="s">
        <v>152</v>
      </c>
      <c r="V769" s="428" t="s">
        <v>18</v>
      </c>
    </row>
    <row r="770" spans="1:22">
      <c r="A770" s="6"/>
      <c r="B770" s="216">
        <v>46251</v>
      </c>
      <c r="C770" s="216">
        <v>46251</v>
      </c>
      <c r="D770" s="428" t="s">
        <v>9191</v>
      </c>
      <c r="E770" s="428">
        <v>260102222754</v>
      </c>
      <c r="F770" s="428" t="s">
        <v>87</v>
      </c>
      <c r="G770" s="428" t="s">
        <v>8032</v>
      </c>
      <c r="H770" s="428">
        <v>102</v>
      </c>
      <c r="I770" s="428">
        <v>262</v>
      </c>
      <c r="J770" s="369">
        <v>262</v>
      </c>
      <c r="K770" s="428">
        <v>130</v>
      </c>
      <c r="L770" s="217">
        <v>1000</v>
      </c>
      <c r="M770" s="428" t="s">
        <v>153</v>
      </c>
      <c r="N770" s="428" t="s">
        <v>149</v>
      </c>
      <c r="O770" s="428" t="s">
        <v>154</v>
      </c>
      <c r="P770" s="428" t="s">
        <v>151</v>
      </c>
      <c r="Q770" s="428" t="s">
        <v>155</v>
      </c>
      <c r="R770" s="428" t="s">
        <v>9192</v>
      </c>
      <c r="S770" s="428"/>
      <c r="T770" s="428" t="s">
        <v>2930</v>
      </c>
      <c r="U770" s="428" t="s">
        <v>152</v>
      </c>
      <c r="V770" s="428" t="s">
        <v>18</v>
      </c>
    </row>
    <row r="771" spans="1:22">
      <c r="A771" s="6"/>
      <c r="B771" s="216">
        <v>46251</v>
      </c>
      <c r="C771" s="216">
        <v>46251</v>
      </c>
      <c r="D771" s="428" t="s">
        <v>9193</v>
      </c>
      <c r="E771" s="428">
        <v>260105722708</v>
      </c>
      <c r="F771" s="428" t="s">
        <v>87</v>
      </c>
      <c r="G771" s="428" t="s">
        <v>9194</v>
      </c>
      <c r="H771" s="428">
        <v>152</v>
      </c>
      <c r="I771" s="428">
        <v>240</v>
      </c>
      <c r="J771" s="369">
        <v>240</v>
      </c>
      <c r="K771" s="428">
        <v>100</v>
      </c>
      <c r="L771" s="217">
        <v>1690</v>
      </c>
      <c r="M771" s="428" t="s">
        <v>153</v>
      </c>
      <c r="N771" s="428" t="s">
        <v>149</v>
      </c>
      <c r="O771" s="428" t="s">
        <v>154</v>
      </c>
      <c r="P771" s="428" t="s">
        <v>151</v>
      </c>
      <c r="Q771" s="428" t="s">
        <v>155</v>
      </c>
      <c r="R771" s="428" t="s">
        <v>9195</v>
      </c>
      <c r="S771" s="428" t="s">
        <v>61</v>
      </c>
      <c r="T771" s="428" t="s">
        <v>3345</v>
      </c>
      <c r="U771" s="428" t="s">
        <v>152</v>
      </c>
      <c r="V771" s="428" t="s">
        <v>18</v>
      </c>
    </row>
    <row r="772" spans="1:22">
      <c r="A772" s="6"/>
      <c r="B772" s="216">
        <v>46251</v>
      </c>
      <c r="C772" s="216">
        <v>46251</v>
      </c>
      <c r="D772" s="428" t="s">
        <v>9196</v>
      </c>
      <c r="E772" s="428">
        <v>260105822711</v>
      </c>
      <c r="F772" s="428" t="s">
        <v>87</v>
      </c>
      <c r="G772" s="428" t="s">
        <v>824</v>
      </c>
      <c r="H772" s="428">
        <v>152</v>
      </c>
      <c r="I772" s="428">
        <v>226</v>
      </c>
      <c r="J772" s="369">
        <v>226</v>
      </c>
      <c r="K772" s="428">
        <v>104</v>
      </c>
      <c r="L772" s="217">
        <v>1500</v>
      </c>
      <c r="M772" s="428" t="s">
        <v>153</v>
      </c>
      <c r="N772" s="428" t="s">
        <v>149</v>
      </c>
      <c r="O772" s="428" t="s">
        <v>154</v>
      </c>
      <c r="P772" s="428" t="s">
        <v>151</v>
      </c>
      <c r="Q772" s="428" t="s">
        <v>155</v>
      </c>
      <c r="R772" s="428" t="s">
        <v>9197</v>
      </c>
      <c r="S772" s="428"/>
      <c r="T772" s="428" t="s">
        <v>2930</v>
      </c>
      <c r="U772" s="428" t="s">
        <v>152</v>
      </c>
      <c r="V772" s="428" t="s">
        <v>18</v>
      </c>
    </row>
    <row r="773" spans="1:22">
      <c r="A773" s="6"/>
      <c r="B773" s="216">
        <v>46251</v>
      </c>
      <c r="C773" s="216">
        <v>46251</v>
      </c>
      <c r="D773" s="428" t="s">
        <v>9198</v>
      </c>
      <c r="E773" s="428">
        <v>260102322750</v>
      </c>
      <c r="F773" s="428" t="s">
        <v>87</v>
      </c>
      <c r="G773" s="428" t="s">
        <v>8032</v>
      </c>
      <c r="H773" s="428">
        <v>102</v>
      </c>
      <c r="I773" s="428">
        <v>260</v>
      </c>
      <c r="J773" s="369">
        <v>260</v>
      </c>
      <c r="K773" s="428">
        <v>130</v>
      </c>
      <c r="L773" s="217">
        <v>1000</v>
      </c>
      <c r="M773" s="428" t="s">
        <v>153</v>
      </c>
      <c r="N773" s="428" t="s">
        <v>149</v>
      </c>
      <c r="O773" s="428" t="s">
        <v>154</v>
      </c>
      <c r="P773" s="428" t="s">
        <v>151</v>
      </c>
      <c r="Q773" s="428" t="s">
        <v>155</v>
      </c>
      <c r="R773" s="428" t="s">
        <v>9199</v>
      </c>
      <c r="S773" s="428"/>
      <c r="T773" s="428" t="s">
        <v>2930</v>
      </c>
      <c r="U773" s="428" t="s">
        <v>152</v>
      </c>
      <c r="V773" s="428" t="s">
        <v>18</v>
      </c>
    </row>
    <row r="774" spans="1:22">
      <c r="A774" s="6"/>
      <c r="B774" s="216">
        <v>46251</v>
      </c>
      <c r="C774" s="216">
        <v>46251</v>
      </c>
      <c r="D774" s="428" t="s">
        <v>9200</v>
      </c>
      <c r="E774" s="428">
        <v>260104622707</v>
      </c>
      <c r="F774" s="428" t="s">
        <v>87</v>
      </c>
      <c r="G774" s="428" t="s">
        <v>824</v>
      </c>
      <c r="H774" s="428">
        <v>152</v>
      </c>
      <c r="I774" s="428">
        <v>286</v>
      </c>
      <c r="J774" s="369">
        <v>286</v>
      </c>
      <c r="K774" s="428">
        <v>104</v>
      </c>
      <c r="L774" s="217">
        <v>1920</v>
      </c>
      <c r="M774" s="428" t="s">
        <v>153</v>
      </c>
      <c r="N774" s="428" t="s">
        <v>149</v>
      </c>
      <c r="O774" s="428" t="s">
        <v>154</v>
      </c>
      <c r="P774" s="428" t="s">
        <v>151</v>
      </c>
      <c r="Q774" s="428" t="s">
        <v>155</v>
      </c>
      <c r="R774" s="428" t="s">
        <v>9201</v>
      </c>
      <c r="S774" s="428"/>
      <c r="T774" s="428" t="s">
        <v>2930</v>
      </c>
      <c r="U774" s="428" t="s">
        <v>152</v>
      </c>
      <c r="V774" s="428" t="s">
        <v>18</v>
      </c>
    </row>
    <row r="775" spans="1:22">
      <c r="A775" s="6"/>
      <c r="B775" s="216">
        <v>46251</v>
      </c>
      <c r="C775" s="216">
        <v>46251</v>
      </c>
      <c r="D775" s="428" t="s">
        <v>9202</v>
      </c>
      <c r="E775" s="428">
        <v>260102622744</v>
      </c>
      <c r="F775" s="428" t="s">
        <v>87</v>
      </c>
      <c r="G775" s="428" t="s">
        <v>8032</v>
      </c>
      <c r="H775" s="428">
        <v>102</v>
      </c>
      <c r="I775" s="428">
        <v>259</v>
      </c>
      <c r="J775" s="369">
        <v>259</v>
      </c>
      <c r="K775" s="428">
        <v>130</v>
      </c>
      <c r="L775" s="217">
        <v>1000</v>
      </c>
      <c r="M775" s="428" t="s">
        <v>153</v>
      </c>
      <c r="N775" s="428" t="s">
        <v>149</v>
      </c>
      <c r="O775" s="428" t="s">
        <v>154</v>
      </c>
      <c r="P775" s="428" t="s">
        <v>151</v>
      </c>
      <c r="Q775" s="428" t="s">
        <v>155</v>
      </c>
      <c r="R775" s="428" t="s">
        <v>9203</v>
      </c>
      <c r="S775" s="428"/>
      <c r="T775" s="428" t="s">
        <v>2930</v>
      </c>
      <c r="U775" s="428" t="s">
        <v>152</v>
      </c>
      <c r="V775" s="428" t="s">
        <v>18</v>
      </c>
    </row>
    <row r="776" spans="1:22">
      <c r="A776" s="6"/>
      <c r="B776" s="216">
        <v>46251</v>
      </c>
      <c r="C776" s="216">
        <v>46251</v>
      </c>
      <c r="D776" s="428" t="s">
        <v>9204</v>
      </c>
      <c r="E776" s="428">
        <v>260101822746</v>
      </c>
      <c r="F776" s="428" t="s">
        <v>87</v>
      </c>
      <c r="G776" s="428" t="s">
        <v>8681</v>
      </c>
      <c r="H776" s="428">
        <v>92</v>
      </c>
      <c r="I776" s="428">
        <v>241</v>
      </c>
      <c r="J776" s="369">
        <v>241</v>
      </c>
      <c r="K776" s="428">
        <v>134</v>
      </c>
      <c r="L776" s="217">
        <v>1000</v>
      </c>
      <c r="M776" s="428" t="s">
        <v>153</v>
      </c>
      <c r="N776" s="428" t="s">
        <v>149</v>
      </c>
      <c r="O776" s="428" t="s">
        <v>154</v>
      </c>
      <c r="P776" s="428" t="s">
        <v>151</v>
      </c>
      <c r="Q776" s="428" t="s">
        <v>155</v>
      </c>
      <c r="R776" s="428" t="s">
        <v>9205</v>
      </c>
      <c r="S776" s="428"/>
      <c r="T776" s="428" t="s">
        <v>2930</v>
      </c>
      <c r="U776" s="428" t="s">
        <v>152</v>
      </c>
      <c r="V776" s="428" t="s">
        <v>18</v>
      </c>
    </row>
    <row r="777" spans="1:22">
      <c r="A777" s="6"/>
      <c r="B777" s="216">
        <v>46251</v>
      </c>
      <c r="C777" s="216">
        <v>46251</v>
      </c>
      <c r="D777" s="428" t="s">
        <v>9206</v>
      </c>
      <c r="E777" s="428">
        <v>260101922752</v>
      </c>
      <c r="F777" s="428" t="s">
        <v>87</v>
      </c>
      <c r="G777" s="428" t="s">
        <v>2303</v>
      </c>
      <c r="H777" s="428">
        <v>92</v>
      </c>
      <c r="I777" s="428">
        <v>240</v>
      </c>
      <c r="J777" s="369">
        <v>240</v>
      </c>
      <c r="K777" s="428">
        <v>134</v>
      </c>
      <c r="L777" s="217">
        <v>1000</v>
      </c>
      <c r="M777" s="428" t="s">
        <v>153</v>
      </c>
      <c r="N777" s="428" t="s">
        <v>149</v>
      </c>
      <c r="O777" s="428" t="s">
        <v>154</v>
      </c>
      <c r="P777" s="428" t="s">
        <v>151</v>
      </c>
      <c r="Q777" s="428" t="s">
        <v>155</v>
      </c>
      <c r="R777" s="428" t="s">
        <v>9207</v>
      </c>
      <c r="S777" s="428"/>
      <c r="T777" s="428" t="s">
        <v>2930</v>
      </c>
      <c r="U777" s="428" t="s">
        <v>152</v>
      </c>
      <c r="V777" s="428" t="s">
        <v>18</v>
      </c>
    </row>
    <row r="778" spans="1:22">
      <c r="A778" s="6"/>
      <c r="B778" s="216">
        <v>46251</v>
      </c>
      <c r="C778" s="216">
        <v>46251</v>
      </c>
      <c r="D778" s="428" t="s">
        <v>9208</v>
      </c>
      <c r="E778" s="428">
        <v>260106222761</v>
      </c>
      <c r="F778" s="428" t="s">
        <v>87</v>
      </c>
      <c r="G778" s="428" t="s">
        <v>824</v>
      </c>
      <c r="H778" s="428">
        <v>182</v>
      </c>
      <c r="I778" s="428">
        <v>280</v>
      </c>
      <c r="J778" s="369">
        <v>280</v>
      </c>
      <c r="K778" s="428">
        <v>104</v>
      </c>
      <c r="L778" s="217">
        <v>1580</v>
      </c>
      <c r="M778" s="428" t="s">
        <v>153</v>
      </c>
      <c r="N778" s="428" t="s">
        <v>149</v>
      </c>
      <c r="O778" s="428" t="s">
        <v>154</v>
      </c>
      <c r="P778" s="428" t="s">
        <v>151</v>
      </c>
      <c r="Q778" s="428" t="s">
        <v>155</v>
      </c>
      <c r="R778" s="428" t="s">
        <v>9209</v>
      </c>
      <c r="S778" s="428"/>
      <c r="T778" s="428" t="s">
        <v>2930</v>
      </c>
      <c r="U778" s="428" t="s">
        <v>152</v>
      </c>
      <c r="V778" s="428" t="s">
        <v>18</v>
      </c>
    </row>
    <row r="779" spans="1:22">
      <c r="A779" s="6"/>
      <c r="B779" s="216">
        <v>46251</v>
      </c>
      <c r="C779" s="216">
        <v>46251</v>
      </c>
      <c r="D779" s="428" t="s">
        <v>9210</v>
      </c>
      <c r="E779" s="428">
        <v>260102522748</v>
      </c>
      <c r="F779" s="428" t="s">
        <v>87</v>
      </c>
      <c r="G779" s="428" t="s">
        <v>8032</v>
      </c>
      <c r="H779" s="428">
        <v>102</v>
      </c>
      <c r="I779" s="428">
        <v>265</v>
      </c>
      <c r="J779" s="369">
        <v>265</v>
      </c>
      <c r="K779" s="428">
        <v>130</v>
      </c>
      <c r="L779" s="217">
        <v>1020</v>
      </c>
      <c r="M779" s="428" t="s">
        <v>153</v>
      </c>
      <c r="N779" s="428" t="s">
        <v>149</v>
      </c>
      <c r="O779" s="428" t="s">
        <v>154</v>
      </c>
      <c r="P779" s="428" t="s">
        <v>151</v>
      </c>
      <c r="Q779" s="428" t="s">
        <v>155</v>
      </c>
      <c r="R779" s="428" t="s">
        <v>9211</v>
      </c>
      <c r="S779" s="428"/>
      <c r="T779" s="428" t="s">
        <v>2930</v>
      </c>
      <c r="U779" s="428" t="s">
        <v>152</v>
      </c>
      <c r="V779" s="428" t="s">
        <v>18</v>
      </c>
    </row>
    <row r="780" spans="1:22">
      <c r="A780" s="6"/>
      <c r="B780" s="216">
        <v>46251</v>
      </c>
      <c r="C780" s="216">
        <v>46251</v>
      </c>
      <c r="D780" s="428" t="s">
        <v>9212</v>
      </c>
      <c r="E780" s="428">
        <v>260102722738</v>
      </c>
      <c r="F780" s="428" t="s">
        <v>87</v>
      </c>
      <c r="G780" s="428" t="s">
        <v>8032</v>
      </c>
      <c r="H780" s="428">
        <v>102</v>
      </c>
      <c r="I780" s="428">
        <v>262</v>
      </c>
      <c r="J780" s="369">
        <v>262</v>
      </c>
      <c r="K780" s="428">
        <v>130</v>
      </c>
      <c r="L780" s="217">
        <v>1000</v>
      </c>
      <c r="M780" s="428" t="s">
        <v>153</v>
      </c>
      <c r="N780" s="428" t="s">
        <v>149</v>
      </c>
      <c r="O780" s="428" t="s">
        <v>154</v>
      </c>
      <c r="P780" s="428" t="s">
        <v>151</v>
      </c>
      <c r="Q780" s="428" t="s">
        <v>155</v>
      </c>
      <c r="R780" s="428" t="s">
        <v>9213</v>
      </c>
      <c r="S780" s="428"/>
      <c r="T780" s="428" t="s">
        <v>2930</v>
      </c>
      <c r="U780" s="428" t="s">
        <v>152</v>
      </c>
      <c r="V780" s="428" t="s">
        <v>18</v>
      </c>
    </row>
    <row r="781" spans="1:22">
      <c r="A781" s="6"/>
      <c r="B781" s="216">
        <v>46251</v>
      </c>
      <c r="C781" s="216">
        <v>46251</v>
      </c>
      <c r="D781" s="428" t="s">
        <v>9214</v>
      </c>
      <c r="E781" s="428">
        <v>260102822739</v>
      </c>
      <c r="F781" s="428" t="s">
        <v>87</v>
      </c>
      <c r="G781" s="428" t="s">
        <v>8032</v>
      </c>
      <c r="H781" s="428">
        <v>102</v>
      </c>
      <c r="I781" s="428">
        <v>264</v>
      </c>
      <c r="J781" s="369">
        <v>264</v>
      </c>
      <c r="K781" s="428">
        <v>130</v>
      </c>
      <c r="L781" s="217">
        <v>1020</v>
      </c>
      <c r="M781" s="428" t="s">
        <v>153</v>
      </c>
      <c r="N781" s="428" t="s">
        <v>149</v>
      </c>
      <c r="O781" s="428" t="s">
        <v>154</v>
      </c>
      <c r="P781" s="428" t="s">
        <v>151</v>
      </c>
      <c r="Q781" s="428" t="s">
        <v>155</v>
      </c>
      <c r="R781" s="428" t="s">
        <v>9215</v>
      </c>
      <c r="S781" s="428"/>
      <c r="T781" s="428" t="s">
        <v>2930</v>
      </c>
      <c r="U781" s="428" t="s">
        <v>152</v>
      </c>
      <c r="V781" s="428" t="s">
        <v>18</v>
      </c>
    </row>
    <row r="782" spans="1:22">
      <c r="A782" s="6"/>
      <c r="B782" s="216">
        <v>46251</v>
      </c>
      <c r="C782" s="216">
        <v>46251</v>
      </c>
      <c r="D782" s="428" t="s">
        <v>9216</v>
      </c>
      <c r="E782" s="428">
        <v>260100922765</v>
      </c>
      <c r="F782" s="428" t="s">
        <v>87</v>
      </c>
      <c r="G782" s="428" t="s">
        <v>2079</v>
      </c>
      <c r="H782" s="428">
        <v>92</v>
      </c>
      <c r="I782" s="428">
        <v>381</v>
      </c>
      <c r="J782" s="369">
        <v>381</v>
      </c>
      <c r="K782" s="428">
        <v>180</v>
      </c>
      <c r="L782" s="217">
        <v>1185</v>
      </c>
      <c r="M782" s="428" t="s">
        <v>153</v>
      </c>
      <c r="N782" s="428" t="s">
        <v>149</v>
      </c>
      <c r="O782" s="428" t="s">
        <v>154</v>
      </c>
      <c r="P782" s="428" t="s">
        <v>151</v>
      </c>
      <c r="Q782" s="428" t="s">
        <v>155</v>
      </c>
      <c r="R782" s="428" t="s">
        <v>9217</v>
      </c>
      <c r="S782" s="428"/>
      <c r="T782" s="428" t="s">
        <v>2930</v>
      </c>
      <c r="U782" s="428" t="s">
        <v>152</v>
      </c>
      <c r="V782" s="428" t="s">
        <v>18</v>
      </c>
    </row>
    <row r="783" spans="1:22">
      <c r="A783" s="6"/>
      <c r="B783" s="216">
        <v>46251</v>
      </c>
      <c r="C783" s="216">
        <v>46251</v>
      </c>
      <c r="D783" s="428" t="s">
        <v>9218</v>
      </c>
      <c r="E783" s="428">
        <v>260107522706</v>
      </c>
      <c r="F783" s="428" t="s">
        <v>87</v>
      </c>
      <c r="G783" s="428" t="s">
        <v>9219</v>
      </c>
      <c r="H783" s="428">
        <v>140</v>
      </c>
      <c r="I783" s="428">
        <v>283</v>
      </c>
      <c r="J783" s="369">
        <v>283</v>
      </c>
      <c r="K783" s="428">
        <v>88</v>
      </c>
      <c r="L783" s="217">
        <v>2400</v>
      </c>
      <c r="M783" s="428" t="s">
        <v>153</v>
      </c>
      <c r="N783" s="428" t="s">
        <v>149</v>
      </c>
      <c r="O783" s="428" t="s">
        <v>154</v>
      </c>
      <c r="P783" s="428" t="s">
        <v>151</v>
      </c>
      <c r="Q783" s="428" t="s">
        <v>155</v>
      </c>
      <c r="R783" s="428" t="s">
        <v>9220</v>
      </c>
      <c r="S783" s="428"/>
      <c r="T783" s="428" t="s">
        <v>2932</v>
      </c>
      <c r="U783" s="428" t="s">
        <v>152</v>
      </c>
      <c r="V783" s="428" t="s">
        <v>18</v>
      </c>
    </row>
    <row r="784" spans="1:22">
      <c r="A784" s="6"/>
      <c r="B784" s="216">
        <v>46251</v>
      </c>
      <c r="C784" s="216">
        <v>46251</v>
      </c>
      <c r="D784" s="428" t="s">
        <v>9221</v>
      </c>
      <c r="E784" s="428">
        <v>260103422720</v>
      </c>
      <c r="F784" s="428" t="s">
        <v>87</v>
      </c>
      <c r="G784" s="428" t="s">
        <v>824</v>
      </c>
      <c r="H784" s="428">
        <v>152</v>
      </c>
      <c r="I784" s="428">
        <v>268</v>
      </c>
      <c r="J784" s="369">
        <v>268</v>
      </c>
      <c r="K784" s="428">
        <v>104</v>
      </c>
      <c r="L784" s="217">
        <v>1760</v>
      </c>
      <c r="M784" s="428" t="s">
        <v>153</v>
      </c>
      <c r="N784" s="428" t="s">
        <v>149</v>
      </c>
      <c r="O784" s="428" t="s">
        <v>154</v>
      </c>
      <c r="P784" s="428" t="s">
        <v>151</v>
      </c>
      <c r="Q784" s="428" t="s">
        <v>155</v>
      </c>
      <c r="R784" s="428" t="s">
        <v>9222</v>
      </c>
      <c r="S784" s="428"/>
      <c r="T784" s="428" t="s">
        <v>2932</v>
      </c>
      <c r="U784" s="428" t="s">
        <v>152</v>
      </c>
      <c r="V784" s="428" t="s">
        <v>18</v>
      </c>
    </row>
    <row r="785" spans="1:22">
      <c r="A785" s="6"/>
      <c r="B785" s="216">
        <v>46251</v>
      </c>
      <c r="C785" s="216">
        <v>46251</v>
      </c>
      <c r="D785" s="428" t="s">
        <v>9223</v>
      </c>
      <c r="E785" s="428">
        <v>260102622729</v>
      </c>
      <c r="F785" s="428" t="s">
        <v>87</v>
      </c>
      <c r="G785" s="428" t="s">
        <v>8032</v>
      </c>
      <c r="H785" s="428">
        <v>102</v>
      </c>
      <c r="I785" s="428">
        <v>295</v>
      </c>
      <c r="J785" s="369">
        <v>295</v>
      </c>
      <c r="K785" s="428">
        <v>130</v>
      </c>
      <c r="L785" s="217">
        <v>1140</v>
      </c>
      <c r="M785" s="428" t="s">
        <v>153</v>
      </c>
      <c r="N785" s="428" t="s">
        <v>149</v>
      </c>
      <c r="O785" s="428" t="s">
        <v>154</v>
      </c>
      <c r="P785" s="428" t="s">
        <v>151</v>
      </c>
      <c r="Q785" s="428" t="s">
        <v>155</v>
      </c>
      <c r="R785" s="428" t="s">
        <v>9224</v>
      </c>
      <c r="S785" s="428"/>
      <c r="T785" s="428" t="s">
        <v>2932</v>
      </c>
      <c r="U785" s="428" t="s">
        <v>152</v>
      </c>
      <c r="V785" s="428" t="s">
        <v>18</v>
      </c>
    </row>
    <row r="786" spans="1:22">
      <c r="A786" s="6"/>
      <c r="B786" s="216">
        <v>46251</v>
      </c>
      <c r="C786" s="216">
        <v>46251</v>
      </c>
      <c r="D786" s="428" t="s">
        <v>9225</v>
      </c>
      <c r="E786" s="428">
        <v>260105322712</v>
      </c>
      <c r="F786" s="428" t="s">
        <v>87</v>
      </c>
      <c r="G786" s="428" t="s">
        <v>824</v>
      </c>
      <c r="H786" s="428">
        <v>152</v>
      </c>
      <c r="I786" s="428">
        <v>303</v>
      </c>
      <c r="J786" s="369">
        <v>303</v>
      </c>
      <c r="K786" s="428">
        <v>104</v>
      </c>
      <c r="L786" s="217">
        <v>2040</v>
      </c>
      <c r="M786" s="428" t="s">
        <v>153</v>
      </c>
      <c r="N786" s="428" t="s">
        <v>149</v>
      </c>
      <c r="O786" s="428" t="s">
        <v>154</v>
      </c>
      <c r="P786" s="428" t="s">
        <v>151</v>
      </c>
      <c r="Q786" s="428" t="s">
        <v>155</v>
      </c>
      <c r="R786" s="428" t="s">
        <v>9226</v>
      </c>
      <c r="S786" s="428"/>
      <c r="T786" s="428" t="s">
        <v>2932</v>
      </c>
      <c r="U786" s="428" t="s">
        <v>152</v>
      </c>
      <c r="V786" s="428" t="s">
        <v>18</v>
      </c>
    </row>
    <row r="787" spans="1:22">
      <c r="A787" s="6"/>
      <c r="B787" s="216">
        <v>46251</v>
      </c>
      <c r="C787" s="216">
        <v>46251</v>
      </c>
      <c r="D787" s="428" t="s">
        <v>9227</v>
      </c>
      <c r="E787" s="428">
        <v>260102522728</v>
      </c>
      <c r="F787" s="428" t="s">
        <v>87</v>
      </c>
      <c r="G787" s="428" t="s">
        <v>8032</v>
      </c>
      <c r="H787" s="428">
        <v>102</v>
      </c>
      <c r="I787" s="428">
        <v>261</v>
      </c>
      <c r="J787" s="369">
        <v>261</v>
      </c>
      <c r="K787" s="428">
        <v>130</v>
      </c>
      <c r="L787" s="217">
        <v>1000</v>
      </c>
      <c r="M787" s="428" t="s">
        <v>153</v>
      </c>
      <c r="N787" s="428" t="s">
        <v>149</v>
      </c>
      <c r="O787" s="428" t="s">
        <v>154</v>
      </c>
      <c r="P787" s="428" t="s">
        <v>151</v>
      </c>
      <c r="Q787" s="428" t="s">
        <v>155</v>
      </c>
      <c r="R787" s="428" t="s">
        <v>9228</v>
      </c>
      <c r="S787" s="428"/>
      <c r="T787" s="428" t="s">
        <v>2932</v>
      </c>
      <c r="U787" s="428" t="s">
        <v>152</v>
      </c>
      <c r="V787" s="428" t="s">
        <v>18</v>
      </c>
    </row>
    <row r="788" spans="1:22">
      <c r="A788" s="6"/>
      <c r="B788" s="216">
        <v>46251</v>
      </c>
      <c r="C788" s="216">
        <v>46251</v>
      </c>
      <c r="D788" s="428" t="s">
        <v>9229</v>
      </c>
      <c r="E788" s="428">
        <v>260103622723</v>
      </c>
      <c r="F788" s="428" t="s">
        <v>87</v>
      </c>
      <c r="G788" s="428" t="s">
        <v>9085</v>
      </c>
      <c r="H788" s="428">
        <v>242</v>
      </c>
      <c r="I788" s="428">
        <v>345</v>
      </c>
      <c r="J788" s="369">
        <v>345</v>
      </c>
      <c r="K788" s="428">
        <v>107</v>
      </c>
      <c r="L788" s="217">
        <v>700</v>
      </c>
      <c r="M788" s="428" t="s">
        <v>153</v>
      </c>
      <c r="N788" s="428" t="s">
        <v>149</v>
      </c>
      <c r="O788" s="428" t="s">
        <v>154</v>
      </c>
      <c r="P788" s="428" t="s">
        <v>151</v>
      </c>
      <c r="Q788" s="428" t="s">
        <v>155</v>
      </c>
      <c r="R788" s="428" t="s">
        <v>9230</v>
      </c>
      <c r="S788" s="428"/>
      <c r="T788" s="428" t="s">
        <v>2932</v>
      </c>
      <c r="U788" s="428" t="s">
        <v>152</v>
      </c>
      <c r="V788" s="428" t="s">
        <v>18</v>
      </c>
    </row>
    <row r="789" spans="1:22">
      <c r="A789" s="6"/>
      <c r="B789" s="216">
        <v>46251</v>
      </c>
      <c r="C789" s="216">
        <v>46251</v>
      </c>
      <c r="D789" s="428" t="s">
        <v>9231</v>
      </c>
      <c r="E789" s="428">
        <v>260101522726</v>
      </c>
      <c r="F789" s="428" t="s">
        <v>87</v>
      </c>
      <c r="G789" s="428" t="s">
        <v>2419</v>
      </c>
      <c r="H789" s="428">
        <v>92</v>
      </c>
      <c r="I789" s="428">
        <v>393</v>
      </c>
      <c r="J789" s="369">
        <v>393</v>
      </c>
      <c r="K789" s="428">
        <v>180</v>
      </c>
      <c r="L789" s="217">
        <v>1170</v>
      </c>
      <c r="M789" s="428" t="s">
        <v>153</v>
      </c>
      <c r="N789" s="428" t="s">
        <v>149</v>
      </c>
      <c r="O789" s="428" t="s">
        <v>154</v>
      </c>
      <c r="P789" s="428" t="s">
        <v>151</v>
      </c>
      <c r="Q789" s="428" t="s">
        <v>155</v>
      </c>
      <c r="R789" s="428" t="s">
        <v>9232</v>
      </c>
      <c r="S789" s="428"/>
      <c r="T789" s="428" t="s">
        <v>2932</v>
      </c>
      <c r="U789" s="428" t="s">
        <v>152</v>
      </c>
      <c r="V789" s="428" t="s">
        <v>18</v>
      </c>
    </row>
    <row r="790" spans="1:22">
      <c r="A790" s="6"/>
      <c r="B790" s="216">
        <v>46251</v>
      </c>
      <c r="C790" s="216">
        <v>46251</v>
      </c>
      <c r="D790" s="428" t="s">
        <v>9233</v>
      </c>
      <c r="E790" s="428">
        <v>260102322731</v>
      </c>
      <c r="F790" s="428" t="s">
        <v>87</v>
      </c>
      <c r="G790" s="428" t="s">
        <v>8032</v>
      </c>
      <c r="H790" s="428">
        <v>102</v>
      </c>
      <c r="I790" s="428">
        <v>270</v>
      </c>
      <c r="J790" s="369">
        <v>270</v>
      </c>
      <c r="K790" s="428">
        <v>130</v>
      </c>
      <c r="L790" s="217">
        <v>1020</v>
      </c>
      <c r="M790" s="428" t="s">
        <v>153</v>
      </c>
      <c r="N790" s="428" t="s">
        <v>149</v>
      </c>
      <c r="O790" s="428" t="s">
        <v>154</v>
      </c>
      <c r="P790" s="428" t="s">
        <v>151</v>
      </c>
      <c r="Q790" s="428" t="s">
        <v>155</v>
      </c>
      <c r="R790" s="428" t="s">
        <v>9234</v>
      </c>
      <c r="S790" s="428"/>
      <c r="T790" s="428" t="s">
        <v>2932</v>
      </c>
      <c r="U790" s="428" t="s">
        <v>152</v>
      </c>
      <c r="V790" s="428" t="s">
        <v>18</v>
      </c>
    </row>
    <row r="791" spans="1:22">
      <c r="A791" s="6"/>
      <c r="B791" s="216">
        <v>46251</v>
      </c>
      <c r="C791" s="216">
        <v>46251</v>
      </c>
      <c r="D791" s="428" t="s">
        <v>9235</v>
      </c>
      <c r="E791" s="428">
        <v>260102822727</v>
      </c>
      <c r="F791" s="428" t="s">
        <v>87</v>
      </c>
      <c r="G791" s="428" t="s">
        <v>8032</v>
      </c>
      <c r="H791" s="428">
        <v>102</v>
      </c>
      <c r="I791" s="428">
        <v>252</v>
      </c>
      <c r="J791" s="369">
        <v>252</v>
      </c>
      <c r="K791" s="428">
        <v>130</v>
      </c>
      <c r="L791" s="217">
        <v>1000</v>
      </c>
      <c r="M791" s="428" t="s">
        <v>153</v>
      </c>
      <c r="N791" s="428" t="s">
        <v>149</v>
      </c>
      <c r="O791" s="428" t="s">
        <v>154</v>
      </c>
      <c r="P791" s="428" t="s">
        <v>151</v>
      </c>
      <c r="Q791" s="428" t="s">
        <v>155</v>
      </c>
      <c r="R791" s="428" t="s">
        <v>9236</v>
      </c>
      <c r="S791" s="428"/>
      <c r="T791" s="428" t="s">
        <v>2932</v>
      </c>
      <c r="U791" s="428" t="s">
        <v>152</v>
      </c>
      <c r="V791" s="428" t="s">
        <v>18</v>
      </c>
    </row>
    <row r="792" spans="1:22">
      <c r="A792" s="6"/>
      <c r="B792" s="216">
        <v>46251</v>
      </c>
      <c r="C792" s="216">
        <v>46251</v>
      </c>
      <c r="D792" s="428" t="s">
        <v>9237</v>
      </c>
      <c r="E792" s="428">
        <v>260100722732</v>
      </c>
      <c r="F792" s="428" t="s">
        <v>87</v>
      </c>
      <c r="G792" s="428" t="s">
        <v>7586</v>
      </c>
      <c r="H792" s="428">
        <v>145</v>
      </c>
      <c r="I792" s="428">
        <v>418</v>
      </c>
      <c r="J792" s="369">
        <v>418</v>
      </c>
      <c r="K792" s="428">
        <v>170</v>
      </c>
      <c r="L792" s="217">
        <v>870</v>
      </c>
      <c r="M792" s="428" t="s">
        <v>153</v>
      </c>
      <c r="N792" s="428" t="s">
        <v>149</v>
      </c>
      <c r="O792" s="428" t="s">
        <v>154</v>
      </c>
      <c r="P792" s="428" t="s">
        <v>151</v>
      </c>
      <c r="Q792" s="428" t="s">
        <v>155</v>
      </c>
      <c r="R792" s="428" t="s">
        <v>9238</v>
      </c>
      <c r="S792" s="428"/>
      <c r="T792" s="428" t="s">
        <v>2932</v>
      </c>
      <c r="U792" s="428" t="s">
        <v>152</v>
      </c>
      <c r="V792" s="428" t="s">
        <v>18</v>
      </c>
    </row>
    <row r="793" spans="1:22">
      <c r="A793" s="6"/>
      <c r="B793" s="216">
        <v>46251</v>
      </c>
      <c r="C793" s="216">
        <v>46251</v>
      </c>
      <c r="D793" s="428" t="s">
        <v>9239</v>
      </c>
      <c r="E793" s="428">
        <v>260106122704</v>
      </c>
      <c r="F793" s="428" t="s">
        <v>87</v>
      </c>
      <c r="G793" s="428" t="s">
        <v>9240</v>
      </c>
      <c r="H793" s="428">
        <v>140</v>
      </c>
      <c r="I793" s="428">
        <v>185</v>
      </c>
      <c r="J793" s="369">
        <v>185</v>
      </c>
      <c r="K793" s="428">
        <v>83</v>
      </c>
      <c r="L793" s="217">
        <v>1680</v>
      </c>
      <c r="M793" s="428" t="s">
        <v>153</v>
      </c>
      <c r="N793" s="428" t="s">
        <v>149</v>
      </c>
      <c r="O793" s="428" t="s">
        <v>154</v>
      </c>
      <c r="P793" s="428" t="s">
        <v>151</v>
      </c>
      <c r="Q793" s="428" t="s">
        <v>155</v>
      </c>
      <c r="R793" s="428" t="s">
        <v>9241</v>
      </c>
      <c r="S793" s="428"/>
      <c r="T793" s="428" t="s">
        <v>2932</v>
      </c>
      <c r="U793" s="428" t="s">
        <v>152</v>
      </c>
      <c r="V793" s="428" t="s">
        <v>18</v>
      </c>
    </row>
    <row r="794" spans="1:22">
      <c r="A794" s="6"/>
      <c r="B794" s="216">
        <v>46251</v>
      </c>
      <c r="C794" s="216">
        <v>46251</v>
      </c>
      <c r="D794" s="428" t="s">
        <v>9242</v>
      </c>
      <c r="E794" s="428">
        <v>260105222713</v>
      </c>
      <c r="F794" s="428" t="s">
        <v>87</v>
      </c>
      <c r="G794" s="428" t="s">
        <v>2527</v>
      </c>
      <c r="H794" s="428">
        <v>152</v>
      </c>
      <c r="I794" s="428">
        <v>303</v>
      </c>
      <c r="J794" s="369">
        <v>303</v>
      </c>
      <c r="K794" s="428">
        <v>104</v>
      </c>
      <c r="L794" s="217">
        <v>1980</v>
      </c>
      <c r="M794" s="428" t="s">
        <v>153</v>
      </c>
      <c r="N794" s="428" t="s">
        <v>149</v>
      </c>
      <c r="O794" s="428" t="s">
        <v>154</v>
      </c>
      <c r="P794" s="428" t="s">
        <v>151</v>
      </c>
      <c r="Q794" s="428" t="s">
        <v>155</v>
      </c>
      <c r="R794" s="428" t="s">
        <v>9243</v>
      </c>
      <c r="S794" s="428"/>
      <c r="T794" s="428" t="s">
        <v>2932</v>
      </c>
      <c r="U794" s="428" t="s">
        <v>152</v>
      </c>
      <c r="V794" s="428" t="s">
        <v>18</v>
      </c>
    </row>
    <row r="795" spans="1:22">
      <c r="A795" s="6"/>
      <c r="B795" s="216">
        <v>46251</v>
      </c>
      <c r="C795" s="216">
        <v>46251</v>
      </c>
      <c r="D795" s="428" t="s">
        <v>9244</v>
      </c>
      <c r="E795" s="428">
        <v>260103422719</v>
      </c>
      <c r="F795" s="428" t="s">
        <v>87</v>
      </c>
      <c r="G795" s="428" t="s">
        <v>824</v>
      </c>
      <c r="H795" s="428">
        <v>152</v>
      </c>
      <c r="I795" s="428">
        <v>269</v>
      </c>
      <c r="J795" s="369">
        <v>269</v>
      </c>
      <c r="K795" s="428">
        <v>104</v>
      </c>
      <c r="L795" s="217">
        <v>1760</v>
      </c>
      <c r="M795" s="428" t="s">
        <v>153</v>
      </c>
      <c r="N795" s="428" t="s">
        <v>149</v>
      </c>
      <c r="O795" s="428" t="s">
        <v>154</v>
      </c>
      <c r="P795" s="428" t="s">
        <v>151</v>
      </c>
      <c r="Q795" s="428" t="s">
        <v>155</v>
      </c>
      <c r="R795" s="428" t="s">
        <v>9245</v>
      </c>
      <c r="S795" s="428"/>
      <c r="T795" s="428" t="s">
        <v>2932</v>
      </c>
      <c r="U795" s="428" t="s">
        <v>152</v>
      </c>
      <c r="V795" s="428" t="s">
        <v>18</v>
      </c>
    </row>
    <row r="796" spans="1:22">
      <c r="A796" s="6"/>
      <c r="B796" s="216">
        <v>46251</v>
      </c>
      <c r="C796" s="216">
        <v>46251</v>
      </c>
      <c r="D796" s="428" t="s">
        <v>9246</v>
      </c>
      <c r="E796" s="428">
        <v>260103822718</v>
      </c>
      <c r="F796" s="428" t="s">
        <v>87</v>
      </c>
      <c r="G796" s="428" t="s">
        <v>824</v>
      </c>
      <c r="H796" s="428">
        <v>152</v>
      </c>
      <c r="I796" s="428">
        <v>303</v>
      </c>
      <c r="J796" s="369">
        <v>303</v>
      </c>
      <c r="K796" s="428">
        <v>104</v>
      </c>
      <c r="L796" s="217">
        <v>1920</v>
      </c>
      <c r="M796" s="428" t="s">
        <v>153</v>
      </c>
      <c r="N796" s="428" t="s">
        <v>149</v>
      </c>
      <c r="O796" s="428" t="s">
        <v>154</v>
      </c>
      <c r="P796" s="428" t="s">
        <v>151</v>
      </c>
      <c r="Q796" s="428" t="s">
        <v>155</v>
      </c>
      <c r="R796" s="428" t="s">
        <v>9247</v>
      </c>
      <c r="S796" s="428"/>
      <c r="T796" s="428" t="s">
        <v>2932</v>
      </c>
      <c r="U796" s="428" t="s">
        <v>152</v>
      </c>
      <c r="V796" s="428" t="s">
        <v>18</v>
      </c>
    </row>
    <row r="797" spans="1:22">
      <c r="A797" s="6"/>
      <c r="B797" s="216">
        <v>46251</v>
      </c>
      <c r="C797" s="216">
        <v>46251</v>
      </c>
      <c r="D797" s="428" t="s">
        <v>9248</v>
      </c>
      <c r="E797" s="428" t="s">
        <v>9249</v>
      </c>
      <c r="F797" s="428" t="s">
        <v>94</v>
      </c>
      <c r="G797" s="428" t="s">
        <v>9250</v>
      </c>
      <c r="H797" s="428" t="s">
        <v>2529</v>
      </c>
      <c r="I797" s="428">
        <v>170</v>
      </c>
      <c r="J797" s="369">
        <v>170</v>
      </c>
      <c r="K797" s="428">
        <v>56</v>
      </c>
      <c r="L797" s="217">
        <v>4425</v>
      </c>
      <c r="M797" s="428" t="s">
        <v>153</v>
      </c>
      <c r="N797" s="428" t="s">
        <v>149</v>
      </c>
      <c r="O797" s="428" t="s">
        <v>154</v>
      </c>
      <c r="P797" s="428" t="s">
        <v>151</v>
      </c>
      <c r="Q797" s="428" t="s">
        <v>156</v>
      </c>
      <c r="R797" s="428" t="s">
        <v>9251</v>
      </c>
      <c r="S797" s="428"/>
      <c r="T797" s="428" t="s">
        <v>9252</v>
      </c>
      <c r="U797" s="428" t="s">
        <v>152</v>
      </c>
      <c r="V797" s="428" t="s">
        <v>20</v>
      </c>
    </row>
    <row r="798" spans="1:22">
      <c r="A798" s="6"/>
      <c r="B798" s="216">
        <v>46251</v>
      </c>
      <c r="C798" s="216">
        <v>46251</v>
      </c>
      <c r="D798" s="428" t="s">
        <v>9253</v>
      </c>
      <c r="E798" s="428" t="s">
        <v>9254</v>
      </c>
      <c r="F798" s="428" t="s">
        <v>94</v>
      </c>
      <c r="G798" s="428" t="s">
        <v>2414</v>
      </c>
      <c r="H798" s="428" t="s">
        <v>2529</v>
      </c>
      <c r="I798" s="428">
        <v>124</v>
      </c>
      <c r="J798" s="369">
        <v>124</v>
      </c>
      <c r="K798" s="428">
        <v>55</v>
      </c>
      <c r="L798" s="217">
        <v>3335</v>
      </c>
      <c r="M798" s="428" t="s">
        <v>153</v>
      </c>
      <c r="N798" s="428" t="s">
        <v>149</v>
      </c>
      <c r="O798" s="428" t="s">
        <v>154</v>
      </c>
      <c r="P798" s="428" t="s">
        <v>151</v>
      </c>
      <c r="Q798" s="428" t="s">
        <v>156</v>
      </c>
      <c r="R798" s="428" t="s">
        <v>9255</v>
      </c>
      <c r="S798" s="428"/>
      <c r="T798" s="428" t="s">
        <v>9252</v>
      </c>
      <c r="U798" s="428" t="s">
        <v>152</v>
      </c>
      <c r="V798" s="428" t="s">
        <v>20</v>
      </c>
    </row>
    <row r="799" spans="1:22">
      <c r="A799" s="6"/>
      <c r="B799" s="216">
        <v>46251</v>
      </c>
      <c r="C799" s="216">
        <v>46251</v>
      </c>
      <c r="D799" s="428" t="s">
        <v>9256</v>
      </c>
      <c r="E799" s="428">
        <v>627</v>
      </c>
      <c r="F799" s="428" t="s">
        <v>94</v>
      </c>
      <c r="G799" s="428" t="s">
        <v>9257</v>
      </c>
      <c r="H799" s="428" t="s">
        <v>9258</v>
      </c>
      <c r="I799" s="428">
        <v>221</v>
      </c>
      <c r="J799" s="369">
        <v>221</v>
      </c>
      <c r="K799" s="428">
        <v>52</v>
      </c>
      <c r="L799" s="217">
        <v>3863</v>
      </c>
      <c r="M799" s="428" t="s">
        <v>153</v>
      </c>
      <c r="N799" s="428" t="s">
        <v>149</v>
      </c>
      <c r="O799" s="428" t="s">
        <v>154</v>
      </c>
      <c r="P799" s="428" t="s">
        <v>151</v>
      </c>
      <c r="Q799" s="428" t="s">
        <v>156</v>
      </c>
      <c r="R799" s="428" t="s">
        <v>9259</v>
      </c>
      <c r="S799" s="428"/>
      <c r="T799" s="428" t="s">
        <v>9252</v>
      </c>
      <c r="U799" s="428" t="s">
        <v>152</v>
      </c>
      <c r="V799" s="428" t="s">
        <v>20</v>
      </c>
    </row>
    <row r="800" spans="1:22">
      <c r="A800" s="6"/>
      <c r="B800" s="216">
        <v>46251</v>
      </c>
      <c r="C800" s="216">
        <v>46251</v>
      </c>
      <c r="D800" s="428" t="s">
        <v>9260</v>
      </c>
      <c r="E800" s="428">
        <v>450</v>
      </c>
      <c r="F800" s="428" t="s">
        <v>94</v>
      </c>
      <c r="G800" s="428" t="s">
        <v>9261</v>
      </c>
      <c r="H800" s="428" t="s">
        <v>9262</v>
      </c>
      <c r="I800" s="428">
        <v>210</v>
      </c>
      <c r="J800" s="369">
        <v>210</v>
      </c>
      <c r="K800" s="428">
        <v>93</v>
      </c>
      <c r="L800" s="217">
        <v>2822</v>
      </c>
      <c r="M800" s="428" t="s">
        <v>153</v>
      </c>
      <c r="N800" s="428" t="s">
        <v>149</v>
      </c>
      <c r="O800" s="428" t="s">
        <v>154</v>
      </c>
      <c r="P800" s="428" t="s">
        <v>151</v>
      </c>
      <c r="Q800" s="428" t="s">
        <v>156</v>
      </c>
      <c r="R800" s="428" t="s">
        <v>9263</v>
      </c>
      <c r="S800" s="428"/>
      <c r="T800" s="428" t="s">
        <v>9252</v>
      </c>
      <c r="U800" s="428" t="s">
        <v>152</v>
      </c>
      <c r="V800" s="428" t="s">
        <v>20</v>
      </c>
    </row>
    <row r="801" spans="1:22">
      <c r="A801" s="6"/>
      <c r="B801" s="216">
        <v>46251</v>
      </c>
      <c r="C801" s="216">
        <v>46251</v>
      </c>
      <c r="D801" s="428" t="s">
        <v>9264</v>
      </c>
      <c r="E801" s="428">
        <v>268</v>
      </c>
      <c r="F801" s="428" t="s">
        <v>94</v>
      </c>
      <c r="G801" s="428" t="s">
        <v>9261</v>
      </c>
      <c r="H801" s="428" t="s">
        <v>2416</v>
      </c>
      <c r="I801" s="428">
        <v>176</v>
      </c>
      <c r="J801" s="369">
        <v>176</v>
      </c>
      <c r="K801" s="428">
        <v>93</v>
      </c>
      <c r="L801" s="217">
        <v>1855</v>
      </c>
      <c r="M801" s="428" t="s">
        <v>153</v>
      </c>
      <c r="N801" s="428" t="s">
        <v>149</v>
      </c>
      <c r="O801" s="428" t="s">
        <v>154</v>
      </c>
      <c r="P801" s="428" t="s">
        <v>151</v>
      </c>
      <c r="Q801" s="428" t="s">
        <v>156</v>
      </c>
      <c r="R801" s="428" t="s">
        <v>9265</v>
      </c>
      <c r="S801" s="428"/>
      <c r="T801" s="428" t="s">
        <v>9252</v>
      </c>
      <c r="U801" s="428" t="s">
        <v>152</v>
      </c>
      <c r="V801" s="428" t="s">
        <v>20</v>
      </c>
    </row>
    <row r="802" spans="1:22">
      <c r="A802" s="6"/>
      <c r="B802" s="216">
        <v>46251</v>
      </c>
      <c r="C802" s="216">
        <v>46251</v>
      </c>
      <c r="D802" s="428" t="s">
        <v>9266</v>
      </c>
      <c r="E802" s="428">
        <v>32</v>
      </c>
      <c r="F802" s="428" t="s">
        <v>94</v>
      </c>
      <c r="G802" s="428" t="s">
        <v>9267</v>
      </c>
      <c r="H802" s="428" t="s">
        <v>2522</v>
      </c>
      <c r="I802" s="428">
        <v>236</v>
      </c>
      <c r="J802" s="369">
        <v>236</v>
      </c>
      <c r="K802" s="428">
        <v>105</v>
      </c>
      <c r="L802" s="217">
        <v>2043</v>
      </c>
      <c r="M802" s="428" t="s">
        <v>153</v>
      </c>
      <c r="N802" s="428" t="s">
        <v>149</v>
      </c>
      <c r="O802" s="428" t="s">
        <v>154</v>
      </c>
      <c r="P802" s="428" t="s">
        <v>151</v>
      </c>
      <c r="Q802" s="428" t="s">
        <v>156</v>
      </c>
      <c r="R802" s="428" t="s">
        <v>9268</v>
      </c>
      <c r="S802" s="428"/>
      <c r="T802" s="428" t="s">
        <v>9252</v>
      </c>
      <c r="U802" s="428" t="s">
        <v>152</v>
      </c>
      <c r="V802" s="428" t="s">
        <v>20</v>
      </c>
    </row>
    <row r="803" spans="1:22">
      <c r="A803" s="6"/>
      <c r="B803" s="216">
        <v>46252</v>
      </c>
      <c r="C803" s="216">
        <v>46252</v>
      </c>
      <c r="D803" s="428" t="s">
        <v>9269</v>
      </c>
      <c r="E803" s="428">
        <v>260107422742</v>
      </c>
      <c r="F803" s="428" t="s">
        <v>87</v>
      </c>
      <c r="G803" s="428" t="s">
        <v>2304</v>
      </c>
      <c r="H803" s="428">
        <v>132</v>
      </c>
      <c r="I803" s="428">
        <v>282</v>
      </c>
      <c r="J803" s="369">
        <v>282</v>
      </c>
      <c r="K803" s="428">
        <v>97</v>
      </c>
      <c r="L803" s="217">
        <v>2320</v>
      </c>
      <c r="M803" s="428" t="s">
        <v>153</v>
      </c>
      <c r="N803" s="428" t="s">
        <v>149</v>
      </c>
      <c r="O803" s="428" t="s">
        <v>154</v>
      </c>
      <c r="P803" s="428" t="s">
        <v>151</v>
      </c>
      <c r="Q803" s="428" t="s">
        <v>155</v>
      </c>
      <c r="R803" s="428" t="s">
        <v>9270</v>
      </c>
      <c r="S803" s="428"/>
      <c r="T803" s="428" t="s">
        <v>9271</v>
      </c>
      <c r="U803" s="428" t="s">
        <v>152</v>
      </c>
      <c r="V803" s="428" t="s">
        <v>18</v>
      </c>
    </row>
    <row r="804" spans="1:22">
      <c r="A804" s="6"/>
      <c r="B804" s="216">
        <v>46252</v>
      </c>
      <c r="C804" s="216">
        <v>46252</v>
      </c>
      <c r="D804" s="428" t="s">
        <v>9272</v>
      </c>
      <c r="E804" s="428">
        <v>260103922816</v>
      </c>
      <c r="F804" s="428" t="s">
        <v>87</v>
      </c>
      <c r="G804" s="428" t="s">
        <v>2304</v>
      </c>
      <c r="H804" s="428">
        <v>132</v>
      </c>
      <c r="I804" s="428">
        <v>322</v>
      </c>
      <c r="J804" s="369">
        <v>322</v>
      </c>
      <c r="K804" s="428">
        <v>97</v>
      </c>
      <c r="L804" s="217">
        <v>2590</v>
      </c>
      <c r="M804" s="428" t="s">
        <v>153</v>
      </c>
      <c r="N804" s="428" t="s">
        <v>149</v>
      </c>
      <c r="O804" s="428" t="s">
        <v>154</v>
      </c>
      <c r="P804" s="428" t="s">
        <v>151</v>
      </c>
      <c r="Q804" s="428" t="s">
        <v>155</v>
      </c>
      <c r="R804" s="428" t="s">
        <v>9273</v>
      </c>
      <c r="S804" s="428"/>
      <c r="T804" s="428" t="s">
        <v>9271</v>
      </c>
      <c r="U804" s="428" t="s">
        <v>152</v>
      </c>
      <c r="V804" s="428" t="s">
        <v>18</v>
      </c>
    </row>
    <row r="805" spans="1:22">
      <c r="A805" s="6"/>
      <c r="B805" s="216">
        <v>46252</v>
      </c>
      <c r="C805" s="216">
        <v>46252</v>
      </c>
      <c r="D805" s="428" t="s">
        <v>9274</v>
      </c>
      <c r="E805" s="428">
        <v>260103822823</v>
      </c>
      <c r="F805" s="428" t="s">
        <v>87</v>
      </c>
      <c r="G805" s="428" t="s">
        <v>824</v>
      </c>
      <c r="H805" s="428">
        <v>152</v>
      </c>
      <c r="I805" s="428">
        <v>325</v>
      </c>
      <c r="J805" s="369">
        <v>325</v>
      </c>
      <c r="K805" s="428">
        <v>104</v>
      </c>
      <c r="L805" s="217">
        <v>2135</v>
      </c>
      <c r="M805" s="428" t="s">
        <v>153</v>
      </c>
      <c r="N805" s="428" t="s">
        <v>149</v>
      </c>
      <c r="O805" s="428" t="s">
        <v>154</v>
      </c>
      <c r="P805" s="428" t="s">
        <v>151</v>
      </c>
      <c r="Q805" s="428" t="s">
        <v>155</v>
      </c>
      <c r="R805" s="428" t="s">
        <v>9275</v>
      </c>
      <c r="S805" s="428"/>
      <c r="T805" s="428" t="s">
        <v>9271</v>
      </c>
      <c r="U805" s="428" t="s">
        <v>152</v>
      </c>
      <c r="V805" s="428" t="s">
        <v>18</v>
      </c>
    </row>
    <row r="806" spans="1:22">
      <c r="A806" s="6"/>
      <c r="B806" s="216">
        <v>46252</v>
      </c>
      <c r="C806" s="216">
        <v>46252</v>
      </c>
      <c r="D806" s="428" t="s">
        <v>9276</v>
      </c>
      <c r="E806" s="428">
        <v>260103422824</v>
      </c>
      <c r="F806" s="428" t="s">
        <v>87</v>
      </c>
      <c r="G806" s="428" t="s">
        <v>824</v>
      </c>
      <c r="H806" s="428">
        <v>152</v>
      </c>
      <c r="I806" s="428">
        <v>285</v>
      </c>
      <c r="J806" s="369">
        <v>285</v>
      </c>
      <c r="K806" s="428">
        <v>104</v>
      </c>
      <c r="L806" s="217">
        <v>1900</v>
      </c>
      <c r="M806" s="428" t="s">
        <v>153</v>
      </c>
      <c r="N806" s="428" t="s">
        <v>149</v>
      </c>
      <c r="O806" s="428" t="s">
        <v>154</v>
      </c>
      <c r="P806" s="428" t="s">
        <v>151</v>
      </c>
      <c r="Q806" s="428" t="s">
        <v>155</v>
      </c>
      <c r="R806" s="428" t="s">
        <v>9277</v>
      </c>
      <c r="S806" s="428"/>
      <c r="T806" s="428" t="s">
        <v>9271</v>
      </c>
      <c r="U806" s="428" t="s">
        <v>152</v>
      </c>
      <c r="V806" s="428" t="s">
        <v>18</v>
      </c>
    </row>
    <row r="807" spans="1:22">
      <c r="A807" s="6"/>
      <c r="B807" s="216">
        <v>46252</v>
      </c>
      <c r="C807" s="216">
        <v>46252</v>
      </c>
      <c r="D807" s="428" t="s">
        <v>9278</v>
      </c>
      <c r="E807" s="428">
        <v>260104022552</v>
      </c>
      <c r="F807" s="428" t="s">
        <v>87</v>
      </c>
      <c r="G807" s="428" t="s">
        <v>2526</v>
      </c>
      <c r="H807" s="428">
        <v>132</v>
      </c>
      <c r="I807" s="428">
        <v>200</v>
      </c>
      <c r="J807" s="369">
        <v>200</v>
      </c>
      <c r="K807" s="428">
        <v>97</v>
      </c>
      <c r="L807" s="217">
        <v>1630</v>
      </c>
      <c r="M807" s="428" t="s">
        <v>153</v>
      </c>
      <c r="N807" s="428" t="s">
        <v>149</v>
      </c>
      <c r="O807" s="428" t="s">
        <v>154</v>
      </c>
      <c r="P807" s="428" t="s">
        <v>151</v>
      </c>
      <c r="Q807" s="428" t="s">
        <v>155</v>
      </c>
      <c r="R807" s="428" t="s">
        <v>9279</v>
      </c>
      <c r="S807" s="428"/>
      <c r="T807" s="428" t="s">
        <v>9271</v>
      </c>
      <c r="U807" s="428" t="s">
        <v>152</v>
      </c>
      <c r="V807" s="428" t="s">
        <v>18</v>
      </c>
    </row>
    <row r="808" spans="1:22">
      <c r="A808" s="6"/>
      <c r="B808" s="216">
        <v>46252</v>
      </c>
      <c r="C808" s="216">
        <v>46252</v>
      </c>
      <c r="D808" s="428" t="s">
        <v>9280</v>
      </c>
      <c r="E808" s="428">
        <v>260107422661</v>
      </c>
      <c r="F808" s="428" t="s">
        <v>87</v>
      </c>
      <c r="G808" s="428" t="s">
        <v>2304</v>
      </c>
      <c r="H808" s="428">
        <v>132</v>
      </c>
      <c r="I808" s="428">
        <v>267</v>
      </c>
      <c r="J808" s="369">
        <v>267</v>
      </c>
      <c r="K808" s="428">
        <v>97</v>
      </c>
      <c r="L808" s="217">
        <v>2250</v>
      </c>
      <c r="M808" s="428" t="s">
        <v>153</v>
      </c>
      <c r="N808" s="428" t="s">
        <v>149</v>
      </c>
      <c r="O808" s="428" t="s">
        <v>154</v>
      </c>
      <c r="P808" s="428" t="s">
        <v>151</v>
      </c>
      <c r="Q808" s="428" t="s">
        <v>155</v>
      </c>
      <c r="R808" s="428" t="s">
        <v>9281</v>
      </c>
      <c r="S808" s="428"/>
      <c r="T808" s="428" t="s">
        <v>9271</v>
      </c>
      <c r="U808" s="428" t="s">
        <v>152</v>
      </c>
      <c r="V808" s="428" t="s">
        <v>18</v>
      </c>
    </row>
    <row r="809" spans="1:22">
      <c r="A809" s="6"/>
      <c r="B809" s="216">
        <v>46252</v>
      </c>
      <c r="C809" s="216">
        <v>46252</v>
      </c>
      <c r="D809" s="428" t="s">
        <v>9282</v>
      </c>
      <c r="E809" s="428">
        <v>260104022715</v>
      </c>
      <c r="F809" s="428" t="s">
        <v>87</v>
      </c>
      <c r="G809" s="428" t="s">
        <v>2526</v>
      </c>
      <c r="H809" s="428">
        <v>125</v>
      </c>
      <c r="I809" s="428">
        <v>336</v>
      </c>
      <c r="J809" s="369">
        <v>336</v>
      </c>
      <c r="K809" s="428">
        <v>97</v>
      </c>
      <c r="L809" s="217">
        <v>2750</v>
      </c>
      <c r="M809" s="428" t="s">
        <v>153</v>
      </c>
      <c r="N809" s="428" t="s">
        <v>149</v>
      </c>
      <c r="O809" s="428" t="s">
        <v>154</v>
      </c>
      <c r="P809" s="428" t="s">
        <v>151</v>
      </c>
      <c r="Q809" s="428" t="s">
        <v>155</v>
      </c>
      <c r="R809" s="428" t="s">
        <v>9283</v>
      </c>
      <c r="S809" s="428"/>
      <c r="T809" s="428" t="s">
        <v>9271</v>
      </c>
      <c r="U809" s="428" t="s">
        <v>152</v>
      </c>
      <c r="V809" s="428" t="s">
        <v>18</v>
      </c>
    </row>
    <row r="810" spans="1:22">
      <c r="A810" s="6"/>
      <c r="B810" s="216">
        <v>46252</v>
      </c>
      <c r="C810" s="216">
        <v>46252</v>
      </c>
      <c r="D810" s="428" t="s">
        <v>9284</v>
      </c>
      <c r="E810" s="428">
        <v>260104622791</v>
      </c>
      <c r="F810" s="428" t="s">
        <v>87</v>
      </c>
      <c r="G810" s="428" t="s">
        <v>824</v>
      </c>
      <c r="H810" s="428">
        <v>152</v>
      </c>
      <c r="I810" s="428">
        <v>257</v>
      </c>
      <c r="J810" s="369">
        <v>257</v>
      </c>
      <c r="K810" s="428">
        <v>104</v>
      </c>
      <c r="L810" s="217">
        <v>1700</v>
      </c>
      <c r="M810" s="428" t="s">
        <v>153</v>
      </c>
      <c r="N810" s="428" t="s">
        <v>149</v>
      </c>
      <c r="O810" s="428" t="s">
        <v>154</v>
      </c>
      <c r="P810" s="428" t="s">
        <v>151</v>
      </c>
      <c r="Q810" s="428" t="s">
        <v>155</v>
      </c>
      <c r="R810" s="428" t="s">
        <v>9285</v>
      </c>
      <c r="S810" s="428"/>
      <c r="T810" s="428" t="s">
        <v>9271</v>
      </c>
      <c r="U810" s="428" t="s">
        <v>152</v>
      </c>
      <c r="V810" s="428" t="s">
        <v>18</v>
      </c>
    </row>
    <row r="811" spans="1:22">
      <c r="A811" s="6"/>
      <c r="B811" s="216">
        <v>46252</v>
      </c>
      <c r="C811" s="216">
        <v>46252</v>
      </c>
      <c r="D811" s="428" t="s">
        <v>9286</v>
      </c>
      <c r="E811" s="428">
        <v>260104022819</v>
      </c>
      <c r="F811" s="428" t="s">
        <v>87</v>
      </c>
      <c r="G811" s="428" t="s">
        <v>2526</v>
      </c>
      <c r="H811" s="428">
        <v>125</v>
      </c>
      <c r="I811" s="428">
        <v>274</v>
      </c>
      <c r="J811" s="369">
        <v>274</v>
      </c>
      <c r="K811" s="428">
        <v>97</v>
      </c>
      <c r="L811" s="217">
        <v>2300</v>
      </c>
      <c r="M811" s="428" t="s">
        <v>153</v>
      </c>
      <c r="N811" s="428" t="s">
        <v>149</v>
      </c>
      <c r="O811" s="428" t="s">
        <v>154</v>
      </c>
      <c r="P811" s="428" t="s">
        <v>151</v>
      </c>
      <c r="Q811" s="428" t="s">
        <v>155</v>
      </c>
      <c r="R811" s="428" t="s">
        <v>9287</v>
      </c>
      <c r="S811" s="428"/>
      <c r="T811" s="428" t="s">
        <v>9271</v>
      </c>
      <c r="U811" s="428" t="s">
        <v>152</v>
      </c>
      <c r="V811" s="428" t="s">
        <v>18</v>
      </c>
    </row>
    <row r="812" spans="1:22">
      <c r="A812" s="6"/>
      <c r="B812" s="216">
        <v>46252</v>
      </c>
      <c r="C812" s="216">
        <v>46252</v>
      </c>
      <c r="D812" s="428" t="s">
        <v>9288</v>
      </c>
      <c r="E812" s="428">
        <v>260103722827</v>
      </c>
      <c r="F812" s="428" t="s">
        <v>87</v>
      </c>
      <c r="G812" s="428" t="s">
        <v>8646</v>
      </c>
      <c r="H812" s="428">
        <v>132</v>
      </c>
      <c r="I812" s="428">
        <v>278</v>
      </c>
      <c r="J812" s="369">
        <v>278</v>
      </c>
      <c r="K812" s="428">
        <v>97</v>
      </c>
      <c r="L812" s="217">
        <v>2220</v>
      </c>
      <c r="M812" s="428" t="s">
        <v>153</v>
      </c>
      <c r="N812" s="428" t="s">
        <v>149</v>
      </c>
      <c r="O812" s="428" t="s">
        <v>154</v>
      </c>
      <c r="P812" s="428" t="s">
        <v>151</v>
      </c>
      <c r="Q812" s="428" t="s">
        <v>155</v>
      </c>
      <c r="R812" s="428" t="s">
        <v>9289</v>
      </c>
      <c r="S812" s="428"/>
      <c r="T812" s="428" t="s">
        <v>9271</v>
      </c>
      <c r="U812" s="428" t="s">
        <v>152</v>
      </c>
      <c r="V812" s="428" t="s">
        <v>18</v>
      </c>
    </row>
    <row r="813" spans="1:22">
      <c r="A813" s="6"/>
      <c r="B813" s="216">
        <v>46252</v>
      </c>
      <c r="C813" s="216">
        <v>46252</v>
      </c>
      <c r="D813" s="428" t="s">
        <v>9290</v>
      </c>
      <c r="E813" s="428">
        <v>260100922784</v>
      </c>
      <c r="F813" s="428" t="s">
        <v>87</v>
      </c>
      <c r="G813" s="428" t="s">
        <v>2079</v>
      </c>
      <c r="H813" s="428">
        <v>92</v>
      </c>
      <c r="I813" s="428">
        <v>382</v>
      </c>
      <c r="J813" s="369">
        <v>382</v>
      </c>
      <c r="K813" s="428">
        <v>180</v>
      </c>
      <c r="L813" s="217">
        <v>1170</v>
      </c>
      <c r="M813" s="428" t="s">
        <v>153</v>
      </c>
      <c r="N813" s="428" t="s">
        <v>149</v>
      </c>
      <c r="O813" s="428" t="s">
        <v>154</v>
      </c>
      <c r="P813" s="428" t="s">
        <v>151</v>
      </c>
      <c r="Q813" s="428" t="s">
        <v>155</v>
      </c>
      <c r="R813" s="428" t="s">
        <v>9291</v>
      </c>
      <c r="S813" s="428"/>
      <c r="T813" s="428" t="s">
        <v>9271</v>
      </c>
      <c r="U813" s="428" t="s">
        <v>152</v>
      </c>
      <c r="V813" s="428" t="s">
        <v>18</v>
      </c>
    </row>
    <row r="814" spans="1:22">
      <c r="A814" s="6"/>
      <c r="B814" s="216">
        <v>46252</v>
      </c>
      <c r="C814" s="216">
        <v>46252</v>
      </c>
      <c r="D814" s="428" t="s">
        <v>9292</v>
      </c>
      <c r="E814" s="428">
        <v>260102722792</v>
      </c>
      <c r="F814" s="428" t="s">
        <v>87</v>
      </c>
      <c r="G814" s="428" t="s">
        <v>8032</v>
      </c>
      <c r="H814" s="428">
        <v>102</v>
      </c>
      <c r="I814" s="428">
        <v>256</v>
      </c>
      <c r="J814" s="369">
        <v>256</v>
      </c>
      <c r="K814" s="428">
        <v>130</v>
      </c>
      <c r="L814" s="217">
        <v>1000</v>
      </c>
      <c r="M814" s="428" t="s">
        <v>153</v>
      </c>
      <c r="N814" s="428" t="s">
        <v>149</v>
      </c>
      <c r="O814" s="428" t="s">
        <v>154</v>
      </c>
      <c r="P814" s="428" t="s">
        <v>151</v>
      </c>
      <c r="Q814" s="428" t="s">
        <v>155</v>
      </c>
      <c r="R814" s="428" t="s">
        <v>9293</v>
      </c>
      <c r="S814" s="428"/>
      <c r="T814" s="428" t="s">
        <v>9271</v>
      </c>
      <c r="U814" s="428" t="s">
        <v>152</v>
      </c>
      <c r="V814" s="428" t="s">
        <v>18</v>
      </c>
    </row>
    <row r="815" spans="1:22">
      <c r="A815" s="6"/>
      <c r="B815" s="216">
        <v>46252</v>
      </c>
      <c r="C815" s="216">
        <v>46252</v>
      </c>
      <c r="D815" s="428" t="s">
        <v>9294</v>
      </c>
      <c r="E815" s="428">
        <v>260105422800</v>
      </c>
      <c r="F815" s="428" t="s">
        <v>87</v>
      </c>
      <c r="G815" s="428" t="s">
        <v>2364</v>
      </c>
      <c r="H815" s="428">
        <v>142</v>
      </c>
      <c r="I815" s="428">
        <v>187</v>
      </c>
      <c r="J815" s="369">
        <v>187</v>
      </c>
      <c r="K815" s="428">
        <v>67</v>
      </c>
      <c r="L815" s="217">
        <v>2010</v>
      </c>
      <c r="M815" s="428" t="s">
        <v>153</v>
      </c>
      <c r="N815" s="428" t="s">
        <v>149</v>
      </c>
      <c r="O815" s="428" t="s">
        <v>154</v>
      </c>
      <c r="P815" s="428" t="s">
        <v>151</v>
      </c>
      <c r="Q815" s="428" t="s">
        <v>155</v>
      </c>
      <c r="R815" s="428" t="s">
        <v>9295</v>
      </c>
      <c r="S815" s="428"/>
      <c r="T815" s="428" t="s">
        <v>9271</v>
      </c>
      <c r="U815" s="428" t="s">
        <v>152</v>
      </c>
      <c r="V815" s="428" t="s">
        <v>18</v>
      </c>
    </row>
    <row r="816" spans="1:22">
      <c r="A816" s="6"/>
      <c r="B816" s="216">
        <v>46252</v>
      </c>
      <c r="C816" s="216">
        <v>46252</v>
      </c>
      <c r="D816" s="428" t="s">
        <v>9296</v>
      </c>
      <c r="E816" s="428">
        <v>260102322803</v>
      </c>
      <c r="F816" s="428" t="s">
        <v>87</v>
      </c>
      <c r="G816" s="428" t="s">
        <v>8032</v>
      </c>
      <c r="H816" s="428">
        <v>102</v>
      </c>
      <c r="I816" s="428">
        <v>268</v>
      </c>
      <c r="J816" s="369">
        <v>268</v>
      </c>
      <c r="K816" s="428">
        <v>130</v>
      </c>
      <c r="L816" s="217">
        <v>1020</v>
      </c>
      <c r="M816" s="428" t="s">
        <v>153</v>
      </c>
      <c r="N816" s="428" t="s">
        <v>149</v>
      </c>
      <c r="O816" s="428" t="s">
        <v>154</v>
      </c>
      <c r="P816" s="428" t="s">
        <v>151</v>
      </c>
      <c r="Q816" s="428" t="s">
        <v>155</v>
      </c>
      <c r="R816" s="428" t="s">
        <v>9297</v>
      </c>
      <c r="S816" s="428"/>
      <c r="T816" s="428" t="s">
        <v>9271</v>
      </c>
      <c r="U816" s="428" t="s">
        <v>152</v>
      </c>
      <c r="V816" s="428" t="s">
        <v>18</v>
      </c>
    </row>
    <row r="817" spans="1:22">
      <c r="A817" s="6"/>
      <c r="B817" s="216">
        <v>46252</v>
      </c>
      <c r="C817" s="216">
        <v>46252</v>
      </c>
      <c r="D817" s="428" t="s">
        <v>9298</v>
      </c>
      <c r="E817" s="428">
        <v>260105222805</v>
      </c>
      <c r="F817" s="428" t="s">
        <v>87</v>
      </c>
      <c r="G817" s="428" t="s">
        <v>2527</v>
      </c>
      <c r="H817" s="428">
        <v>152</v>
      </c>
      <c r="I817" s="428">
        <v>300</v>
      </c>
      <c r="J817" s="369">
        <v>300</v>
      </c>
      <c r="K817" s="428">
        <v>104</v>
      </c>
      <c r="L817" s="217">
        <v>1980</v>
      </c>
      <c r="M817" s="428" t="s">
        <v>153</v>
      </c>
      <c r="N817" s="428" t="s">
        <v>149</v>
      </c>
      <c r="O817" s="428" t="s">
        <v>154</v>
      </c>
      <c r="P817" s="428" t="s">
        <v>151</v>
      </c>
      <c r="Q817" s="428" t="s">
        <v>155</v>
      </c>
      <c r="R817" s="428" t="s">
        <v>9299</v>
      </c>
      <c r="S817" s="428"/>
      <c r="T817" s="428" t="s">
        <v>9271</v>
      </c>
      <c r="U817" s="428" t="s">
        <v>152</v>
      </c>
      <c r="V817" s="428" t="s">
        <v>18</v>
      </c>
    </row>
    <row r="818" spans="1:22">
      <c r="A818" s="6"/>
      <c r="B818" s="216">
        <v>46252</v>
      </c>
      <c r="C818" s="216">
        <v>46252</v>
      </c>
      <c r="D818" s="428" t="s">
        <v>9300</v>
      </c>
      <c r="E818" s="428">
        <v>260101822795</v>
      </c>
      <c r="F818" s="428" t="s">
        <v>87</v>
      </c>
      <c r="G818" s="428" t="s">
        <v>8681</v>
      </c>
      <c r="H818" s="428">
        <v>92</v>
      </c>
      <c r="I818" s="428">
        <v>253</v>
      </c>
      <c r="J818" s="369">
        <v>253</v>
      </c>
      <c r="K818" s="428">
        <v>134</v>
      </c>
      <c r="L818" s="217">
        <v>1050</v>
      </c>
      <c r="M818" s="428" t="s">
        <v>153</v>
      </c>
      <c r="N818" s="428" t="s">
        <v>149</v>
      </c>
      <c r="O818" s="428" t="s">
        <v>154</v>
      </c>
      <c r="P818" s="428" t="s">
        <v>151</v>
      </c>
      <c r="Q818" s="428" t="s">
        <v>155</v>
      </c>
      <c r="R818" s="428" t="s">
        <v>9301</v>
      </c>
      <c r="S818" s="428"/>
      <c r="T818" s="428" t="s">
        <v>9271</v>
      </c>
      <c r="U818" s="428" t="s">
        <v>152</v>
      </c>
      <c r="V818" s="428" t="s">
        <v>18</v>
      </c>
    </row>
    <row r="819" spans="1:22">
      <c r="A819" s="6"/>
      <c r="B819" s="216">
        <v>46252</v>
      </c>
      <c r="C819" s="216">
        <v>46252</v>
      </c>
      <c r="D819" s="428" t="s">
        <v>9302</v>
      </c>
      <c r="E819" s="428">
        <v>260106122797</v>
      </c>
      <c r="F819" s="428" t="s">
        <v>87</v>
      </c>
      <c r="G819" s="428" t="s">
        <v>9240</v>
      </c>
      <c r="H819" s="428">
        <v>140</v>
      </c>
      <c r="I819" s="428">
        <v>222</v>
      </c>
      <c r="J819" s="369">
        <v>222</v>
      </c>
      <c r="K819" s="428">
        <v>83</v>
      </c>
      <c r="L819" s="217">
        <v>1980</v>
      </c>
      <c r="M819" s="428" t="s">
        <v>153</v>
      </c>
      <c r="N819" s="428" t="s">
        <v>149</v>
      </c>
      <c r="O819" s="428" t="s">
        <v>154</v>
      </c>
      <c r="P819" s="428" t="s">
        <v>151</v>
      </c>
      <c r="Q819" s="428" t="s">
        <v>155</v>
      </c>
      <c r="R819" s="428" t="s">
        <v>9303</v>
      </c>
      <c r="S819" s="428"/>
      <c r="T819" s="428" t="s">
        <v>9271</v>
      </c>
      <c r="U819" s="428" t="s">
        <v>152</v>
      </c>
      <c r="V819" s="428" t="s">
        <v>18</v>
      </c>
    </row>
    <row r="820" spans="1:22">
      <c r="A820" s="6"/>
      <c r="B820" s="216">
        <v>46252</v>
      </c>
      <c r="C820" s="216">
        <v>46252</v>
      </c>
      <c r="D820" s="428" t="s">
        <v>9304</v>
      </c>
      <c r="E820" s="428">
        <v>260101522808</v>
      </c>
      <c r="F820" s="428" t="s">
        <v>87</v>
      </c>
      <c r="G820" s="428" t="s">
        <v>2419</v>
      </c>
      <c r="H820" s="428">
        <v>92</v>
      </c>
      <c r="I820" s="428">
        <v>331</v>
      </c>
      <c r="J820" s="369">
        <v>331</v>
      </c>
      <c r="K820" s="428">
        <v>180</v>
      </c>
      <c r="L820" s="217">
        <v>1010</v>
      </c>
      <c r="M820" s="428" t="s">
        <v>153</v>
      </c>
      <c r="N820" s="428" t="s">
        <v>149</v>
      </c>
      <c r="O820" s="428" t="s">
        <v>154</v>
      </c>
      <c r="P820" s="428" t="s">
        <v>151</v>
      </c>
      <c r="Q820" s="428" t="s">
        <v>155</v>
      </c>
      <c r="R820" s="428" t="s">
        <v>9305</v>
      </c>
      <c r="S820" s="428"/>
      <c r="T820" s="428" t="s">
        <v>9271</v>
      </c>
      <c r="U820" s="428" t="s">
        <v>152</v>
      </c>
      <c r="V820" s="428" t="s">
        <v>18</v>
      </c>
    </row>
    <row r="821" spans="1:22">
      <c r="A821" s="6"/>
      <c r="B821" s="216">
        <v>46252</v>
      </c>
      <c r="C821" s="216">
        <v>46252</v>
      </c>
      <c r="D821" s="428" t="s">
        <v>9306</v>
      </c>
      <c r="E821" s="428">
        <v>260102422810</v>
      </c>
      <c r="F821" s="428" t="s">
        <v>87</v>
      </c>
      <c r="G821" s="428" t="s">
        <v>8032</v>
      </c>
      <c r="H821" s="428">
        <v>102</v>
      </c>
      <c r="I821" s="428">
        <v>263</v>
      </c>
      <c r="J821" s="369">
        <v>263</v>
      </c>
      <c r="K821" s="428">
        <v>130</v>
      </c>
      <c r="L821" s="217">
        <v>1000</v>
      </c>
      <c r="M821" s="428" t="s">
        <v>153</v>
      </c>
      <c r="N821" s="428" t="s">
        <v>149</v>
      </c>
      <c r="O821" s="428" t="s">
        <v>154</v>
      </c>
      <c r="P821" s="428" t="s">
        <v>151</v>
      </c>
      <c r="Q821" s="428" t="s">
        <v>155</v>
      </c>
      <c r="R821" s="428" t="s">
        <v>9307</v>
      </c>
      <c r="S821" s="428"/>
      <c r="T821" s="428" t="s">
        <v>9271</v>
      </c>
      <c r="U821" s="428" t="s">
        <v>152</v>
      </c>
      <c r="V821" s="428" t="s">
        <v>18</v>
      </c>
    </row>
    <row r="822" spans="1:22">
      <c r="A822" s="6"/>
      <c r="B822" s="216">
        <v>46252</v>
      </c>
      <c r="C822" s="216">
        <v>46252</v>
      </c>
      <c r="D822" s="428" t="s">
        <v>9308</v>
      </c>
      <c r="E822" s="428">
        <v>260102922815</v>
      </c>
      <c r="F822" s="428" t="s">
        <v>87</v>
      </c>
      <c r="G822" s="428" t="s">
        <v>824</v>
      </c>
      <c r="H822" s="428">
        <v>152</v>
      </c>
      <c r="I822" s="428">
        <v>315</v>
      </c>
      <c r="J822" s="369">
        <v>315</v>
      </c>
      <c r="K822" s="428">
        <v>104</v>
      </c>
      <c r="L822" s="217">
        <v>2075</v>
      </c>
      <c r="M822" s="428" t="s">
        <v>153</v>
      </c>
      <c r="N822" s="428" t="s">
        <v>149</v>
      </c>
      <c r="O822" s="428" t="s">
        <v>154</v>
      </c>
      <c r="P822" s="428" t="s">
        <v>151</v>
      </c>
      <c r="Q822" s="428" t="s">
        <v>155</v>
      </c>
      <c r="R822" s="428" t="s">
        <v>9309</v>
      </c>
      <c r="S822" s="428"/>
      <c r="T822" s="428" t="s">
        <v>9271</v>
      </c>
      <c r="U822" s="428" t="s">
        <v>152</v>
      </c>
      <c r="V822" s="428" t="s">
        <v>18</v>
      </c>
    </row>
    <row r="823" spans="1:22">
      <c r="A823" s="6"/>
      <c r="B823" s="216">
        <v>46252</v>
      </c>
      <c r="C823" s="216">
        <v>46252</v>
      </c>
      <c r="D823" s="428" t="s">
        <v>9310</v>
      </c>
      <c r="E823" s="428">
        <v>260103922675</v>
      </c>
      <c r="F823" s="428" t="s">
        <v>87</v>
      </c>
      <c r="G823" s="428" t="s">
        <v>2304</v>
      </c>
      <c r="H823" s="428">
        <v>132</v>
      </c>
      <c r="I823" s="428">
        <v>179</v>
      </c>
      <c r="J823" s="369">
        <v>179</v>
      </c>
      <c r="K823" s="428">
        <v>97</v>
      </c>
      <c r="L823" s="217">
        <v>1500</v>
      </c>
      <c r="M823" s="428" t="s">
        <v>153</v>
      </c>
      <c r="N823" s="428" t="s">
        <v>149</v>
      </c>
      <c r="O823" s="428" t="s">
        <v>154</v>
      </c>
      <c r="P823" s="428" t="s">
        <v>151</v>
      </c>
      <c r="Q823" s="428" t="s">
        <v>155</v>
      </c>
      <c r="R823" s="428" t="s">
        <v>9311</v>
      </c>
      <c r="S823" s="428"/>
      <c r="T823" s="428" t="s">
        <v>9271</v>
      </c>
      <c r="U823" s="428" t="s">
        <v>152</v>
      </c>
      <c r="V823" s="428" t="s">
        <v>18</v>
      </c>
    </row>
    <row r="824" spans="1:22">
      <c r="A824" s="6"/>
      <c r="B824" s="216">
        <v>46252</v>
      </c>
      <c r="C824" s="216">
        <v>46252</v>
      </c>
      <c r="D824" s="428" t="s">
        <v>9312</v>
      </c>
      <c r="E824" s="428">
        <v>260103922591</v>
      </c>
      <c r="F824" s="428" t="s">
        <v>87</v>
      </c>
      <c r="G824" s="428" t="s">
        <v>2304</v>
      </c>
      <c r="H824" s="428">
        <v>132</v>
      </c>
      <c r="I824" s="428">
        <v>300</v>
      </c>
      <c r="J824" s="369">
        <v>300</v>
      </c>
      <c r="K824" s="428">
        <v>97</v>
      </c>
      <c r="L824" s="217">
        <v>2440</v>
      </c>
      <c r="M824" s="428" t="s">
        <v>153</v>
      </c>
      <c r="N824" s="428" t="s">
        <v>149</v>
      </c>
      <c r="O824" s="428" t="s">
        <v>154</v>
      </c>
      <c r="P824" s="428" t="s">
        <v>151</v>
      </c>
      <c r="Q824" s="428" t="s">
        <v>155</v>
      </c>
      <c r="R824" s="428" t="s">
        <v>9313</v>
      </c>
      <c r="S824" s="428"/>
      <c r="T824" s="428" t="s">
        <v>9271</v>
      </c>
      <c r="U824" s="428" t="s">
        <v>152</v>
      </c>
      <c r="V824" s="428" t="s">
        <v>18</v>
      </c>
    </row>
    <row r="825" spans="1:22">
      <c r="A825" s="6"/>
      <c r="B825" s="216">
        <v>46252</v>
      </c>
      <c r="C825" s="216">
        <v>46252</v>
      </c>
      <c r="D825" s="428" t="s">
        <v>9314</v>
      </c>
      <c r="E825" s="428">
        <v>260104022716</v>
      </c>
      <c r="F825" s="428" t="s">
        <v>87</v>
      </c>
      <c r="G825" s="428" t="s">
        <v>2526</v>
      </c>
      <c r="H825" s="428">
        <v>125</v>
      </c>
      <c r="I825" s="428">
        <v>330</v>
      </c>
      <c r="J825" s="369">
        <v>330</v>
      </c>
      <c r="K825" s="428">
        <v>97</v>
      </c>
      <c r="L825" s="217">
        <v>2750</v>
      </c>
      <c r="M825" s="428" t="s">
        <v>153</v>
      </c>
      <c r="N825" s="428" t="s">
        <v>149</v>
      </c>
      <c r="O825" s="428" t="s">
        <v>154</v>
      </c>
      <c r="P825" s="428" t="s">
        <v>151</v>
      </c>
      <c r="Q825" s="428" t="s">
        <v>155</v>
      </c>
      <c r="R825" s="428" t="s">
        <v>9315</v>
      </c>
      <c r="S825" s="428"/>
      <c r="T825" s="428" t="s">
        <v>9271</v>
      </c>
      <c r="U825" s="428" t="s">
        <v>152</v>
      </c>
      <c r="V825" s="428" t="s">
        <v>18</v>
      </c>
    </row>
    <row r="826" spans="1:22">
      <c r="A826" s="6"/>
      <c r="B826" s="216">
        <v>46252</v>
      </c>
      <c r="C826" s="216">
        <v>46252</v>
      </c>
      <c r="D826" s="428" t="s">
        <v>9316</v>
      </c>
      <c r="E826" s="428">
        <v>260102522787</v>
      </c>
      <c r="F826" s="428" t="s">
        <v>87</v>
      </c>
      <c r="G826" s="428" t="s">
        <v>8032</v>
      </c>
      <c r="H826" s="428">
        <v>102</v>
      </c>
      <c r="I826" s="428">
        <v>264</v>
      </c>
      <c r="J826" s="369">
        <v>264</v>
      </c>
      <c r="K826" s="428">
        <v>130</v>
      </c>
      <c r="L826" s="217">
        <v>1000</v>
      </c>
      <c r="M826" s="428" t="s">
        <v>153</v>
      </c>
      <c r="N826" s="428" t="s">
        <v>149</v>
      </c>
      <c r="O826" s="428" t="s">
        <v>154</v>
      </c>
      <c r="P826" s="428" t="s">
        <v>151</v>
      </c>
      <c r="Q826" s="428" t="s">
        <v>155</v>
      </c>
      <c r="R826" s="428" t="s">
        <v>9317</v>
      </c>
      <c r="S826" s="428"/>
      <c r="T826" s="428" t="s">
        <v>9271</v>
      </c>
      <c r="U826" s="428" t="s">
        <v>152</v>
      </c>
      <c r="V826" s="428" t="s">
        <v>18</v>
      </c>
    </row>
    <row r="827" spans="1:22">
      <c r="A827" s="6"/>
      <c r="B827" s="216">
        <v>46252</v>
      </c>
      <c r="C827" s="216">
        <v>46252</v>
      </c>
      <c r="D827" s="428" t="s">
        <v>9318</v>
      </c>
      <c r="E827" s="428">
        <v>260101622793</v>
      </c>
      <c r="F827" s="428" t="s">
        <v>87</v>
      </c>
      <c r="G827" s="428" t="s">
        <v>2079</v>
      </c>
      <c r="H827" s="428">
        <v>112</v>
      </c>
      <c r="I827" s="428">
        <v>392</v>
      </c>
      <c r="J827" s="369">
        <v>392</v>
      </c>
      <c r="K827" s="428">
        <v>180</v>
      </c>
      <c r="L827" s="217">
        <v>1000</v>
      </c>
      <c r="M827" s="428" t="s">
        <v>153</v>
      </c>
      <c r="N827" s="428" t="s">
        <v>149</v>
      </c>
      <c r="O827" s="428" t="s">
        <v>154</v>
      </c>
      <c r="P827" s="428" t="s">
        <v>151</v>
      </c>
      <c r="Q827" s="428" t="s">
        <v>155</v>
      </c>
      <c r="R827" s="428" t="s">
        <v>9319</v>
      </c>
      <c r="S827" s="428"/>
      <c r="T827" s="428" t="s">
        <v>9271</v>
      </c>
      <c r="U827" s="428" t="s">
        <v>152</v>
      </c>
      <c r="V827" s="428" t="s">
        <v>18</v>
      </c>
    </row>
    <row r="828" spans="1:22">
      <c r="A828" s="6"/>
      <c r="B828" s="216">
        <v>46252</v>
      </c>
      <c r="C828" s="216">
        <v>46252</v>
      </c>
      <c r="D828" s="428" t="s">
        <v>9320</v>
      </c>
      <c r="E828" s="428">
        <v>260105322801</v>
      </c>
      <c r="F828" s="428" t="s">
        <v>87</v>
      </c>
      <c r="G828" s="428" t="s">
        <v>824</v>
      </c>
      <c r="H828" s="428">
        <v>152</v>
      </c>
      <c r="I828" s="428">
        <v>285</v>
      </c>
      <c r="J828" s="369">
        <v>285</v>
      </c>
      <c r="K828" s="428">
        <v>104</v>
      </c>
      <c r="L828" s="217">
        <v>1900</v>
      </c>
      <c r="M828" s="428" t="s">
        <v>153</v>
      </c>
      <c r="N828" s="428" t="s">
        <v>149</v>
      </c>
      <c r="O828" s="428" t="s">
        <v>154</v>
      </c>
      <c r="P828" s="428" t="s">
        <v>151</v>
      </c>
      <c r="Q828" s="428" t="s">
        <v>155</v>
      </c>
      <c r="R828" s="428" t="s">
        <v>9321</v>
      </c>
      <c r="S828" s="428"/>
      <c r="T828" s="428" t="s">
        <v>9271</v>
      </c>
      <c r="U828" s="428" t="s">
        <v>152</v>
      </c>
      <c r="V828" s="428" t="s">
        <v>18</v>
      </c>
    </row>
    <row r="829" spans="1:22">
      <c r="A829" s="6"/>
      <c r="B829" s="216">
        <v>46252</v>
      </c>
      <c r="C829" s="216">
        <v>46252</v>
      </c>
      <c r="D829" s="428" t="s">
        <v>9322</v>
      </c>
      <c r="E829" s="428">
        <v>260103622806</v>
      </c>
      <c r="F829" s="428" t="s">
        <v>87</v>
      </c>
      <c r="G829" s="428" t="s">
        <v>9085</v>
      </c>
      <c r="H829" s="428">
        <v>242</v>
      </c>
      <c r="I829" s="428">
        <v>349</v>
      </c>
      <c r="J829" s="369">
        <v>349</v>
      </c>
      <c r="K829" s="428">
        <v>107</v>
      </c>
      <c r="L829" s="217">
        <v>700</v>
      </c>
      <c r="M829" s="428" t="s">
        <v>153</v>
      </c>
      <c r="N829" s="428" t="s">
        <v>149</v>
      </c>
      <c r="O829" s="428" t="s">
        <v>154</v>
      </c>
      <c r="P829" s="428" t="s">
        <v>151</v>
      </c>
      <c r="Q829" s="428" t="s">
        <v>155</v>
      </c>
      <c r="R829" s="428" t="s">
        <v>9323</v>
      </c>
      <c r="S829" s="428"/>
      <c r="T829" s="428" t="s">
        <v>9271</v>
      </c>
      <c r="U829" s="428" t="s">
        <v>152</v>
      </c>
      <c r="V829" s="428" t="s">
        <v>18</v>
      </c>
    </row>
    <row r="830" spans="1:22">
      <c r="A830" s="6"/>
      <c r="B830" s="216">
        <v>46252</v>
      </c>
      <c r="C830" s="216">
        <v>46252</v>
      </c>
      <c r="D830" s="428" t="s">
        <v>9324</v>
      </c>
      <c r="E830" s="428">
        <v>260102622811</v>
      </c>
      <c r="F830" s="428" t="s">
        <v>87</v>
      </c>
      <c r="G830" s="428" t="s">
        <v>8032</v>
      </c>
      <c r="H830" s="428">
        <v>102</v>
      </c>
      <c r="I830" s="428">
        <v>259</v>
      </c>
      <c r="J830" s="369">
        <v>259</v>
      </c>
      <c r="K830" s="428">
        <v>130</v>
      </c>
      <c r="L830" s="217">
        <v>1000</v>
      </c>
      <c r="M830" s="428" t="s">
        <v>153</v>
      </c>
      <c r="N830" s="428" t="s">
        <v>149</v>
      </c>
      <c r="O830" s="428" t="s">
        <v>154</v>
      </c>
      <c r="P830" s="428" t="s">
        <v>151</v>
      </c>
      <c r="Q830" s="428" t="s">
        <v>155</v>
      </c>
      <c r="R830" s="428" t="s">
        <v>9325</v>
      </c>
      <c r="S830" s="428"/>
      <c r="T830" s="428" t="s">
        <v>9271</v>
      </c>
      <c r="U830" s="428" t="s">
        <v>152</v>
      </c>
      <c r="V830" s="428" t="s">
        <v>18</v>
      </c>
    </row>
    <row r="831" spans="1:22">
      <c r="A831" s="6"/>
      <c r="B831" s="216">
        <v>46252</v>
      </c>
      <c r="C831" s="216">
        <v>46252</v>
      </c>
      <c r="D831" s="428" t="s">
        <v>9326</v>
      </c>
      <c r="E831" s="428">
        <v>260102222812</v>
      </c>
      <c r="F831" s="428" t="s">
        <v>87</v>
      </c>
      <c r="G831" s="428" t="s">
        <v>8032</v>
      </c>
      <c r="H831" s="428">
        <v>102</v>
      </c>
      <c r="I831" s="428">
        <v>263</v>
      </c>
      <c r="J831" s="369">
        <v>263</v>
      </c>
      <c r="K831" s="428">
        <v>130</v>
      </c>
      <c r="L831" s="217">
        <v>1000</v>
      </c>
      <c r="M831" s="428" t="s">
        <v>153</v>
      </c>
      <c r="N831" s="428" t="s">
        <v>149</v>
      </c>
      <c r="O831" s="428" t="s">
        <v>154</v>
      </c>
      <c r="P831" s="428" t="s">
        <v>151</v>
      </c>
      <c r="Q831" s="428" t="s">
        <v>155</v>
      </c>
      <c r="R831" s="428" t="s">
        <v>9327</v>
      </c>
      <c r="S831" s="428"/>
      <c r="T831" s="428" t="s">
        <v>9271</v>
      </c>
      <c r="U831" s="428" t="s">
        <v>152</v>
      </c>
      <c r="V831" s="428" t="s">
        <v>18</v>
      </c>
    </row>
    <row r="832" spans="1:22">
      <c r="A832" s="6"/>
      <c r="B832" s="216">
        <v>46252</v>
      </c>
      <c r="C832" s="216">
        <v>46252</v>
      </c>
      <c r="D832" s="428" t="s">
        <v>9328</v>
      </c>
      <c r="E832" s="428">
        <v>260103822822</v>
      </c>
      <c r="F832" s="428" t="s">
        <v>87</v>
      </c>
      <c r="G832" s="428" t="s">
        <v>824</v>
      </c>
      <c r="H832" s="428">
        <v>152</v>
      </c>
      <c r="I832" s="428">
        <v>326</v>
      </c>
      <c r="J832" s="369">
        <v>326</v>
      </c>
      <c r="K832" s="428">
        <v>104</v>
      </c>
      <c r="L832" s="217">
        <v>2135</v>
      </c>
      <c r="M832" s="428" t="s">
        <v>153</v>
      </c>
      <c r="N832" s="428" t="s">
        <v>149</v>
      </c>
      <c r="O832" s="428" t="s">
        <v>154</v>
      </c>
      <c r="P832" s="428" t="s">
        <v>151</v>
      </c>
      <c r="Q832" s="428" t="s">
        <v>155</v>
      </c>
      <c r="R832" s="428" t="s">
        <v>9329</v>
      </c>
      <c r="S832" s="428"/>
      <c r="T832" s="428" t="s">
        <v>9271</v>
      </c>
      <c r="U832" s="428" t="s">
        <v>152</v>
      </c>
      <c r="V832" s="428" t="s">
        <v>18</v>
      </c>
    </row>
    <row r="833" spans="1:22">
      <c r="A833" s="6"/>
      <c r="B833" s="216">
        <v>46252</v>
      </c>
      <c r="C833" s="216">
        <v>46252</v>
      </c>
      <c r="D833" s="428" t="s">
        <v>9330</v>
      </c>
      <c r="E833" s="428">
        <v>260103422825</v>
      </c>
      <c r="F833" s="428" t="s">
        <v>87</v>
      </c>
      <c r="G833" s="428" t="s">
        <v>824</v>
      </c>
      <c r="H833" s="428">
        <v>152</v>
      </c>
      <c r="I833" s="428">
        <v>289</v>
      </c>
      <c r="J833" s="369">
        <v>289</v>
      </c>
      <c r="K833" s="428">
        <v>104</v>
      </c>
      <c r="L833" s="217">
        <v>1900</v>
      </c>
      <c r="M833" s="428" t="s">
        <v>153</v>
      </c>
      <c r="N833" s="428" t="s">
        <v>149</v>
      </c>
      <c r="O833" s="428" t="s">
        <v>154</v>
      </c>
      <c r="P833" s="428" t="s">
        <v>151</v>
      </c>
      <c r="Q833" s="428" t="s">
        <v>155</v>
      </c>
      <c r="R833" s="428" t="s">
        <v>9331</v>
      </c>
      <c r="S833" s="428"/>
      <c r="T833" s="428" t="s">
        <v>9271</v>
      </c>
      <c r="U833" s="428" t="s">
        <v>152</v>
      </c>
      <c r="V833" s="428" t="s">
        <v>18</v>
      </c>
    </row>
    <row r="834" spans="1:22">
      <c r="A834" s="6"/>
      <c r="B834" s="216">
        <v>46252</v>
      </c>
      <c r="C834" s="216">
        <v>46252</v>
      </c>
      <c r="D834" s="428" t="s">
        <v>9332</v>
      </c>
      <c r="E834" s="428">
        <v>260101422841</v>
      </c>
      <c r="F834" s="428" t="s">
        <v>87</v>
      </c>
      <c r="G834" s="428" t="s">
        <v>824</v>
      </c>
      <c r="H834" s="428">
        <v>152</v>
      </c>
      <c r="I834" s="428">
        <v>226</v>
      </c>
      <c r="J834" s="369">
        <v>226</v>
      </c>
      <c r="K834" s="428">
        <v>104</v>
      </c>
      <c r="L834" s="217">
        <v>1500</v>
      </c>
      <c r="M834" s="428" t="s">
        <v>153</v>
      </c>
      <c r="N834" s="428" t="s">
        <v>149</v>
      </c>
      <c r="O834" s="428" t="s">
        <v>154</v>
      </c>
      <c r="P834" s="428" t="s">
        <v>151</v>
      </c>
      <c r="Q834" s="428" t="s">
        <v>155</v>
      </c>
      <c r="R834" s="428" t="s">
        <v>9333</v>
      </c>
      <c r="S834" s="428"/>
      <c r="T834" s="428" t="s">
        <v>9271</v>
      </c>
      <c r="U834" s="428" t="s">
        <v>152</v>
      </c>
      <c r="V834" s="428" t="s">
        <v>18</v>
      </c>
    </row>
    <row r="835" spans="1:22">
      <c r="A835" s="6"/>
      <c r="B835" s="216">
        <v>46252</v>
      </c>
      <c r="C835" s="216">
        <v>46252</v>
      </c>
      <c r="D835" s="428" t="s">
        <v>9334</v>
      </c>
      <c r="E835" s="428">
        <v>260101422844</v>
      </c>
      <c r="F835" s="428" t="s">
        <v>87</v>
      </c>
      <c r="G835" s="428" t="s">
        <v>824</v>
      </c>
      <c r="H835" s="428">
        <v>152</v>
      </c>
      <c r="I835" s="428">
        <v>226</v>
      </c>
      <c r="J835" s="369">
        <v>226</v>
      </c>
      <c r="K835" s="428">
        <v>104</v>
      </c>
      <c r="L835" s="217">
        <v>1500</v>
      </c>
      <c r="M835" s="428" t="s">
        <v>153</v>
      </c>
      <c r="N835" s="428" t="s">
        <v>149</v>
      </c>
      <c r="O835" s="428" t="s">
        <v>154</v>
      </c>
      <c r="P835" s="428" t="s">
        <v>151</v>
      </c>
      <c r="Q835" s="428" t="s">
        <v>155</v>
      </c>
      <c r="R835" s="428" t="s">
        <v>9335</v>
      </c>
      <c r="S835" s="428"/>
      <c r="T835" s="428" t="s">
        <v>9271</v>
      </c>
      <c r="U835" s="428" t="s">
        <v>152</v>
      </c>
      <c r="V835" s="428" t="s">
        <v>18</v>
      </c>
    </row>
    <row r="836" spans="1:22">
      <c r="A836" s="6"/>
      <c r="B836" s="216">
        <v>46252</v>
      </c>
      <c r="C836" s="216">
        <v>46252</v>
      </c>
      <c r="D836" s="428" t="s">
        <v>9336</v>
      </c>
      <c r="E836" s="428">
        <v>260103922676</v>
      </c>
      <c r="F836" s="428" t="s">
        <v>87</v>
      </c>
      <c r="G836" s="428" t="s">
        <v>2304</v>
      </c>
      <c r="H836" s="428">
        <v>132</v>
      </c>
      <c r="I836" s="428">
        <v>184</v>
      </c>
      <c r="J836" s="369">
        <v>184</v>
      </c>
      <c r="K836" s="428">
        <v>97</v>
      </c>
      <c r="L836" s="217">
        <v>1500</v>
      </c>
      <c r="M836" s="428" t="s">
        <v>153</v>
      </c>
      <c r="N836" s="428" t="s">
        <v>149</v>
      </c>
      <c r="O836" s="428" t="s">
        <v>154</v>
      </c>
      <c r="P836" s="428" t="s">
        <v>151</v>
      </c>
      <c r="Q836" s="428" t="s">
        <v>155</v>
      </c>
      <c r="R836" s="428" t="s">
        <v>9337</v>
      </c>
      <c r="S836" s="428"/>
      <c r="T836" s="428" t="s">
        <v>9271</v>
      </c>
      <c r="U836" s="428" t="s">
        <v>152</v>
      </c>
      <c r="V836" s="428" t="s">
        <v>18</v>
      </c>
    </row>
    <row r="837" spans="1:22">
      <c r="A837" s="6"/>
      <c r="B837" s="216">
        <v>46252</v>
      </c>
      <c r="C837" s="216">
        <v>46252</v>
      </c>
      <c r="D837" s="428" t="s">
        <v>9338</v>
      </c>
      <c r="E837" s="428">
        <v>260101722786</v>
      </c>
      <c r="F837" s="428" t="s">
        <v>87</v>
      </c>
      <c r="G837" s="428" t="s">
        <v>8681</v>
      </c>
      <c r="H837" s="428">
        <v>92</v>
      </c>
      <c r="I837" s="428">
        <v>244</v>
      </c>
      <c r="J837" s="369">
        <v>244</v>
      </c>
      <c r="K837" s="428">
        <v>134</v>
      </c>
      <c r="L837" s="217">
        <v>1000</v>
      </c>
      <c r="M837" s="428" t="s">
        <v>153</v>
      </c>
      <c r="N837" s="428" t="s">
        <v>149</v>
      </c>
      <c r="O837" s="428" t="s">
        <v>154</v>
      </c>
      <c r="P837" s="428" t="s">
        <v>151</v>
      </c>
      <c r="Q837" s="428" t="s">
        <v>155</v>
      </c>
      <c r="R837" s="428" t="s">
        <v>9339</v>
      </c>
      <c r="S837" s="428"/>
      <c r="T837" s="428" t="s">
        <v>9271</v>
      </c>
      <c r="U837" s="428" t="s">
        <v>152</v>
      </c>
      <c r="V837" s="428" t="s">
        <v>18</v>
      </c>
    </row>
    <row r="838" spans="1:22">
      <c r="A838" s="6"/>
      <c r="B838" s="216">
        <v>46252</v>
      </c>
      <c r="C838" s="216">
        <v>46252</v>
      </c>
      <c r="D838" s="428" t="s">
        <v>9340</v>
      </c>
      <c r="E838" s="428">
        <v>260105822798</v>
      </c>
      <c r="F838" s="428" t="s">
        <v>87</v>
      </c>
      <c r="G838" s="428" t="s">
        <v>824</v>
      </c>
      <c r="H838" s="428">
        <v>152</v>
      </c>
      <c r="I838" s="428">
        <v>263</v>
      </c>
      <c r="J838" s="369">
        <v>263</v>
      </c>
      <c r="K838" s="428">
        <v>104</v>
      </c>
      <c r="L838" s="217">
        <v>1760</v>
      </c>
      <c r="M838" s="428" t="s">
        <v>153</v>
      </c>
      <c r="N838" s="428" t="s">
        <v>149</v>
      </c>
      <c r="O838" s="428" t="s">
        <v>154</v>
      </c>
      <c r="P838" s="428" t="s">
        <v>151</v>
      </c>
      <c r="Q838" s="428" t="s">
        <v>155</v>
      </c>
      <c r="R838" s="428" t="s">
        <v>9341</v>
      </c>
      <c r="S838" s="428"/>
      <c r="T838" s="428" t="s">
        <v>9271</v>
      </c>
      <c r="U838" s="428" t="s">
        <v>152</v>
      </c>
      <c r="V838" s="428" t="s">
        <v>18</v>
      </c>
    </row>
    <row r="839" spans="1:22">
      <c r="A839" s="6"/>
      <c r="B839" s="216">
        <v>46252</v>
      </c>
      <c r="C839" s="216">
        <v>46252</v>
      </c>
      <c r="D839" s="428" t="s">
        <v>9342</v>
      </c>
      <c r="E839" s="428">
        <v>260103422802</v>
      </c>
      <c r="F839" s="428" t="s">
        <v>87</v>
      </c>
      <c r="G839" s="428" t="s">
        <v>824</v>
      </c>
      <c r="H839" s="428">
        <v>152</v>
      </c>
      <c r="I839" s="428">
        <v>196</v>
      </c>
      <c r="J839" s="369">
        <v>196</v>
      </c>
      <c r="K839" s="428">
        <v>104</v>
      </c>
      <c r="L839" s="217">
        <v>1300</v>
      </c>
      <c r="M839" s="428" t="s">
        <v>153</v>
      </c>
      <c r="N839" s="428" t="s">
        <v>149</v>
      </c>
      <c r="O839" s="428" t="s">
        <v>154</v>
      </c>
      <c r="P839" s="428" t="s">
        <v>151</v>
      </c>
      <c r="Q839" s="428" t="s">
        <v>155</v>
      </c>
      <c r="R839" s="428" t="s">
        <v>9343</v>
      </c>
      <c r="S839" s="428"/>
      <c r="T839" s="428" t="s">
        <v>9271</v>
      </c>
      <c r="U839" s="428" t="s">
        <v>152</v>
      </c>
      <c r="V839" s="428" t="s">
        <v>18</v>
      </c>
    </row>
    <row r="840" spans="1:22">
      <c r="A840" s="6"/>
      <c r="B840" s="216">
        <v>46252</v>
      </c>
      <c r="C840" s="216">
        <v>46252</v>
      </c>
      <c r="D840" s="428" t="s">
        <v>9344</v>
      </c>
      <c r="E840" s="428">
        <v>260102922814</v>
      </c>
      <c r="F840" s="428" t="s">
        <v>87</v>
      </c>
      <c r="G840" s="428" t="s">
        <v>824</v>
      </c>
      <c r="H840" s="428">
        <v>152</v>
      </c>
      <c r="I840" s="428">
        <v>309</v>
      </c>
      <c r="J840" s="369">
        <v>309</v>
      </c>
      <c r="K840" s="428">
        <v>104</v>
      </c>
      <c r="L840" s="217">
        <v>2075</v>
      </c>
      <c r="M840" s="428" t="s">
        <v>153</v>
      </c>
      <c r="N840" s="428" t="s">
        <v>149</v>
      </c>
      <c r="O840" s="428" t="s">
        <v>154</v>
      </c>
      <c r="P840" s="428" t="s">
        <v>151</v>
      </c>
      <c r="Q840" s="428" t="s">
        <v>155</v>
      </c>
      <c r="R840" s="428" t="s">
        <v>9345</v>
      </c>
      <c r="S840" s="428"/>
      <c r="T840" s="428" t="s">
        <v>9271</v>
      </c>
      <c r="U840" s="428" t="s">
        <v>152</v>
      </c>
      <c r="V840" s="428" t="s">
        <v>18</v>
      </c>
    </row>
    <row r="841" spans="1:22">
      <c r="A841" s="6"/>
      <c r="B841" s="216">
        <v>46252</v>
      </c>
      <c r="C841" s="216">
        <v>46252</v>
      </c>
      <c r="D841" s="428" t="s">
        <v>9346</v>
      </c>
      <c r="E841" s="428">
        <v>260104022818</v>
      </c>
      <c r="F841" s="428" t="s">
        <v>87</v>
      </c>
      <c r="G841" s="428" t="s">
        <v>2526</v>
      </c>
      <c r="H841" s="428">
        <v>125</v>
      </c>
      <c r="I841" s="428">
        <v>276</v>
      </c>
      <c r="J841" s="369">
        <v>276</v>
      </c>
      <c r="K841" s="428">
        <v>97</v>
      </c>
      <c r="L841" s="217">
        <v>2300</v>
      </c>
      <c r="M841" s="428" t="s">
        <v>153</v>
      </c>
      <c r="N841" s="428" t="s">
        <v>149</v>
      </c>
      <c r="O841" s="428" t="s">
        <v>154</v>
      </c>
      <c r="P841" s="428" t="s">
        <v>151</v>
      </c>
      <c r="Q841" s="428" t="s">
        <v>155</v>
      </c>
      <c r="R841" s="428" t="s">
        <v>9347</v>
      </c>
      <c r="S841" s="428"/>
      <c r="T841" s="428" t="s">
        <v>9271</v>
      </c>
      <c r="U841" s="428" t="s">
        <v>152</v>
      </c>
      <c r="V841" s="428" t="s">
        <v>18</v>
      </c>
    </row>
    <row r="842" spans="1:22">
      <c r="A842" s="6"/>
      <c r="B842" s="216">
        <v>46252</v>
      </c>
      <c r="C842" s="216">
        <v>46252</v>
      </c>
      <c r="D842" s="428" t="s">
        <v>9348</v>
      </c>
      <c r="E842" s="428">
        <v>260106222831</v>
      </c>
      <c r="F842" s="428" t="s">
        <v>87</v>
      </c>
      <c r="G842" s="428" t="s">
        <v>824</v>
      </c>
      <c r="H842" s="428">
        <v>182</v>
      </c>
      <c r="I842" s="428">
        <v>302</v>
      </c>
      <c r="J842" s="369">
        <v>302</v>
      </c>
      <c r="K842" s="428">
        <v>104</v>
      </c>
      <c r="L842" s="217">
        <v>1650</v>
      </c>
      <c r="M842" s="428" t="s">
        <v>153</v>
      </c>
      <c r="N842" s="428" t="s">
        <v>149</v>
      </c>
      <c r="O842" s="428" t="s">
        <v>154</v>
      </c>
      <c r="P842" s="428" t="s">
        <v>151</v>
      </c>
      <c r="Q842" s="428" t="s">
        <v>155</v>
      </c>
      <c r="R842" s="428" t="s">
        <v>9349</v>
      </c>
      <c r="S842" s="428"/>
      <c r="T842" s="428" t="s">
        <v>9271</v>
      </c>
      <c r="U842" s="428" t="s">
        <v>152</v>
      </c>
      <c r="V842" s="428" t="s">
        <v>18</v>
      </c>
    </row>
    <row r="843" spans="1:22">
      <c r="A843" s="6"/>
      <c r="B843" s="216">
        <v>46252</v>
      </c>
      <c r="C843" s="216">
        <v>46252</v>
      </c>
      <c r="D843" s="428" t="s">
        <v>9350</v>
      </c>
      <c r="E843" s="428">
        <v>260101422842</v>
      </c>
      <c r="F843" s="428" t="s">
        <v>87</v>
      </c>
      <c r="G843" s="428" t="s">
        <v>824</v>
      </c>
      <c r="H843" s="428">
        <v>152</v>
      </c>
      <c r="I843" s="428">
        <v>224</v>
      </c>
      <c r="J843" s="369">
        <v>224</v>
      </c>
      <c r="K843" s="428">
        <v>104</v>
      </c>
      <c r="L843" s="217">
        <v>1500</v>
      </c>
      <c r="M843" s="428" t="s">
        <v>153</v>
      </c>
      <c r="N843" s="428" t="s">
        <v>149</v>
      </c>
      <c r="O843" s="428" t="s">
        <v>154</v>
      </c>
      <c r="P843" s="428" t="s">
        <v>151</v>
      </c>
      <c r="Q843" s="428" t="s">
        <v>155</v>
      </c>
      <c r="R843" s="428" t="s">
        <v>9351</v>
      </c>
      <c r="S843" s="428"/>
      <c r="T843" s="428" t="s">
        <v>9271</v>
      </c>
      <c r="U843" s="428" t="s">
        <v>152</v>
      </c>
      <c r="V843" s="428" t="s">
        <v>18</v>
      </c>
    </row>
    <row r="844" spans="1:22">
      <c r="A844" s="6"/>
      <c r="B844" s="216">
        <v>46252</v>
      </c>
      <c r="C844" s="216">
        <v>46252</v>
      </c>
      <c r="D844" s="428" t="s">
        <v>9352</v>
      </c>
      <c r="E844" s="428">
        <v>260105022799</v>
      </c>
      <c r="F844" s="428" t="s">
        <v>87</v>
      </c>
      <c r="G844" s="428" t="s">
        <v>2407</v>
      </c>
      <c r="H844" s="428">
        <v>160</v>
      </c>
      <c r="I844" s="428">
        <v>326</v>
      </c>
      <c r="J844" s="369">
        <v>326</v>
      </c>
      <c r="K844" s="428">
        <v>102</v>
      </c>
      <c r="L844" s="217">
        <v>2040</v>
      </c>
      <c r="M844" s="428" t="s">
        <v>153</v>
      </c>
      <c r="N844" s="428" t="s">
        <v>149</v>
      </c>
      <c r="O844" s="428" t="s">
        <v>154</v>
      </c>
      <c r="P844" s="428" t="s">
        <v>151</v>
      </c>
      <c r="Q844" s="428" t="s">
        <v>155</v>
      </c>
      <c r="R844" s="428" t="s">
        <v>9353</v>
      </c>
      <c r="S844" s="428"/>
      <c r="T844" s="428" t="s">
        <v>9271</v>
      </c>
      <c r="U844" s="428" t="s">
        <v>152</v>
      </c>
      <c r="V844" s="428" t="s">
        <v>18</v>
      </c>
    </row>
    <row r="845" spans="1:22">
      <c r="A845" s="6"/>
      <c r="B845" s="216">
        <v>46252</v>
      </c>
      <c r="C845" s="216">
        <v>46252</v>
      </c>
      <c r="D845" s="428" t="s">
        <v>9354</v>
      </c>
      <c r="E845" s="428">
        <v>260102822809</v>
      </c>
      <c r="F845" s="428" t="s">
        <v>87</v>
      </c>
      <c r="G845" s="428" t="s">
        <v>8032</v>
      </c>
      <c r="H845" s="428">
        <v>102</v>
      </c>
      <c r="I845" s="428">
        <v>264</v>
      </c>
      <c r="J845" s="369">
        <v>264</v>
      </c>
      <c r="K845" s="428">
        <v>130</v>
      </c>
      <c r="L845" s="217">
        <v>1025</v>
      </c>
      <c r="M845" s="428" t="s">
        <v>153</v>
      </c>
      <c r="N845" s="428" t="s">
        <v>149</v>
      </c>
      <c r="O845" s="428" t="s">
        <v>154</v>
      </c>
      <c r="P845" s="428" t="s">
        <v>151</v>
      </c>
      <c r="Q845" s="428" t="s">
        <v>155</v>
      </c>
      <c r="R845" s="428" t="s">
        <v>9355</v>
      </c>
      <c r="S845" s="428"/>
      <c r="T845" s="428" t="s">
        <v>9271</v>
      </c>
      <c r="U845" s="428" t="s">
        <v>152</v>
      </c>
      <c r="V845" s="428" t="s">
        <v>18</v>
      </c>
    </row>
    <row r="846" spans="1:22">
      <c r="A846" s="6"/>
      <c r="B846" s="216">
        <v>46252</v>
      </c>
      <c r="C846" s="216">
        <v>46252</v>
      </c>
      <c r="D846" s="428" t="s">
        <v>9356</v>
      </c>
      <c r="E846" s="428">
        <v>260102422794</v>
      </c>
      <c r="F846" s="428" t="s">
        <v>87</v>
      </c>
      <c r="G846" s="428" t="s">
        <v>8032</v>
      </c>
      <c r="H846" s="428">
        <v>102</v>
      </c>
      <c r="I846" s="428">
        <v>260</v>
      </c>
      <c r="J846" s="369">
        <v>260</v>
      </c>
      <c r="K846" s="428">
        <v>130</v>
      </c>
      <c r="L846" s="217">
        <v>1000</v>
      </c>
      <c r="M846" s="428" t="s">
        <v>153</v>
      </c>
      <c r="N846" s="428" t="s">
        <v>149</v>
      </c>
      <c r="O846" s="428" t="s">
        <v>154</v>
      </c>
      <c r="P846" s="428" t="s">
        <v>151</v>
      </c>
      <c r="Q846" s="428" t="s">
        <v>155</v>
      </c>
      <c r="R846" s="428" t="s">
        <v>9357</v>
      </c>
      <c r="S846" s="428"/>
      <c r="T846" s="428" t="s">
        <v>9271</v>
      </c>
      <c r="U846" s="428" t="s">
        <v>152</v>
      </c>
      <c r="V846" s="428" t="s">
        <v>18</v>
      </c>
    </row>
    <row r="847" spans="1:22">
      <c r="A847" s="6"/>
      <c r="B847" s="216">
        <v>46252</v>
      </c>
      <c r="C847" s="216">
        <v>46252</v>
      </c>
      <c r="D847" s="428" t="s">
        <v>9358</v>
      </c>
      <c r="E847" s="428">
        <v>260101722813</v>
      </c>
      <c r="F847" s="428" t="s">
        <v>87</v>
      </c>
      <c r="G847" s="428" t="s">
        <v>8681</v>
      </c>
      <c r="H847" s="428">
        <v>92</v>
      </c>
      <c r="I847" s="428">
        <v>239</v>
      </c>
      <c r="J847" s="369">
        <v>239</v>
      </c>
      <c r="K847" s="428">
        <v>134</v>
      </c>
      <c r="L847" s="217">
        <v>1000</v>
      </c>
      <c r="M847" s="428" t="s">
        <v>153</v>
      </c>
      <c r="N847" s="428" t="s">
        <v>149</v>
      </c>
      <c r="O847" s="428" t="s">
        <v>154</v>
      </c>
      <c r="P847" s="428" t="s">
        <v>151</v>
      </c>
      <c r="Q847" s="428" t="s">
        <v>155</v>
      </c>
      <c r="R847" s="428" t="s">
        <v>9359</v>
      </c>
      <c r="S847" s="428"/>
      <c r="T847" s="428" t="s">
        <v>9271</v>
      </c>
      <c r="U847" s="428" t="s">
        <v>152</v>
      </c>
      <c r="V847" s="428" t="s">
        <v>18</v>
      </c>
    </row>
    <row r="848" spans="1:22">
      <c r="A848" s="6"/>
      <c r="B848" s="216">
        <v>46252</v>
      </c>
      <c r="C848" s="216">
        <v>46252</v>
      </c>
      <c r="D848" s="428" t="s">
        <v>9360</v>
      </c>
      <c r="E848" s="428">
        <v>260103922817</v>
      </c>
      <c r="F848" s="428" t="s">
        <v>87</v>
      </c>
      <c r="G848" s="428" t="s">
        <v>2304</v>
      </c>
      <c r="H848" s="428">
        <v>132</v>
      </c>
      <c r="I848" s="428">
        <v>318</v>
      </c>
      <c r="J848" s="369">
        <v>318</v>
      </c>
      <c r="K848" s="428">
        <v>97</v>
      </c>
      <c r="L848" s="217">
        <v>2590</v>
      </c>
      <c r="M848" s="428" t="s">
        <v>153</v>
      </c>
      <c r="N848" s="428" t="s">
        <v>149</v>
      </c>
      <c r="O848" s="428" t="s">
        <v>154</v>
      </c>
      <c r="P848" s="428" t="s">
        <v>151</v>
      </c>
      <c r="Q848" s="428" t="s">
        <v>155</v>
      </c>
      <c r="R848" s="428" t="s">
        <v>9361</v>
      </c>
      <c r="S848" s="428"/>
      <c r="T848" s="428" t="s">
        <v>9271</v>
      </c>
      <c r="U848" s="428" t="s">
        <v>152</v>
      </c>
      <c r="V848" s="428" t="s">
        <v>18</v>
      </c>
    </row>
    <row r="849" spans="1:22">
      <c r="A849" s="6"/>
      <c r="B849" s="216">
        <v>46252</v>
      </c>
      <c r="C849" s="216">
        <v>46252</v>
      </c>
      <c r="D849" s="428" t="s">
        <v>9362</v>
      </c>
      <c r="E849" s="428">
        <v>260103322821</v>
      </c>
      <c r="F849" s="428" t="s">
        <v>87</v>
      </c>
      <c r="G849" s="428" t="s">
        <v>2409</v>
      </c>
      <c r="H849" s="428">
        <v>152</v>
      </c>
      <c r="I849" s="428">
        <v>295</v>
      </c>
      <c r="J849" s="369">
        <v>295</v>
      </c>
      <c r="K849" s="428">
        <v>97</v>
      </c>
      <c r="L849" s="217">
        <v>2115</v>
      </c>
      <c r="M849" s="428" t="s">
        <v>153</v>
      </c>
      <c r="N849" s="428" t="s">
        <v>149</v>
      </c>
      <c r="O849" s="428" t="s">
        <v>154</v>
      </c>
      <c r="P849" s="428" t="s">
        <v>151</v>
      </c>
      <c r="Q849" s="428" t="s">
        <v>155</v>
      </c>
      <c r="R849" s="428" t="s">
        <v>9363</v>
      </c>
      <c r="S849" s="428"/>
      <c r="T849" s="428" t="s">
        <v>9271</v>
      </c>
      <c r="U849" s="428" t="s">
        <v>152</v>
      </c>
      <c r="V849" s="428" t="s">
        <v>18</v>
      </c>
    </row>
    <row r="850" spans="1:22">
      <c r="A850" s="6"/>
      <c r="B850" s="216">
        <v>46252</v>
      </c>
      <c r="C850" s="216">
        <v>46252</v>
      </c>
      <c r="D850" s="428" t="s">
        <v>9364</v>
      </c>
      <c r="E850" s="428">
        <v>260100722785</v>
      </c>
      <c r="F850" s="428" t="s">
        <v>87</v>
      </c>
      <c r="G850" s="428" t="s">
        <v>7586</v>
      </c>
      <c r="H850" s="428">
        <v>145</v>
      </c>
      <c r="I850" s="428">
        <v>435</v>
      </c>
      <c r="J850" s="369">
        <v>435</v>
      </c>
      <c r="K850" s="428">
        <v>170</v>
      </c>
      <c r="L850" s="217">
        <v>930</v>
      </c>
      <c r="M850" s="428" t="s">
        <v>153</v>
      </c>
      <c r="N850" s="428" t="s">
        <v>149</v>
      </c>
      <c r="O850" s="428" t="s">
        <v>154</v>
      </c>
      <c r="P850" s="428" t="s">
        <v>151</v>
      </c>
      <c r="Q850" s="428" t="s">
        <v>155</v>
      </c>
      <c r="R850" s="428" t="s">
        <v>9365</v>
      </c>
      <c r="S850" s="428"/>
      <c r="T850" s="428" t="s">
        <v>9271</v>
      </c>
      <c r="U850" s="428" t="s">
        <v>152</v>
      </c>
      <c r="V850" s="428" t="s">
        <v>18</v>
      </c>
    </row>
    <row r="851" spans="1:22">
      <c r="A851" s="6"/>
      <c r="B851" s="216">
        <v>46252</v>
      </c>
      <c r="C851" s="216">
        <v>46252</v>
      </c>
      <c r="D851" s="428" t="s">
        <v>9366</v>
      </c>
      <c r="E851" s="428">
        <v>260102222796</v>
      </c>
      <c r="F851" s="428" t="s">
        <v>87</v>
      </c>
      <c r="G851" s="428" t="s">
        <v>8032</v>
      </c>
      <c r="H851" s="428">
        <v>102</v>
      </c>
      <c r="I851" s="428">
        <v>263</v>
      </c>
      <c r="J851" s="369">
        <v>263</v>
      </c>
      <c r="K851" s="428">
        <v>130</v>
      </c>
      <c r="L851" s="217">
        <v>1000</v>
      </c>
      <c r="M851" s="428" t="s">
        <v>153</v>
      </c>
      <c r="N851" s="428" t="s">
        <v>149</v>
      </c>
      <c r="O851" s="428" t="s">
        <v>154</v>
      </c>
      <c r="P851" s="428" t="s">
        <v>151</v>
      </c>
      <c r="Q851" s="428" t="s">
        <v>155</v>
      </c>
      <c r="R851" s="428" t="s">
        <v>9367</v>
      </c>
      <c r="S851" s="428"/>
      <c r="T851" s="428" t="s">
        <v>9271</v>
      </c>
      <c r="U851" s="428" t="s">
        <v>152</v>
      </c>
      <c r="V851" s="428" t="s">
        <v>18</v>
      </c>
    </row>
    <row r="852" spans="1:22">
      <c r="A852" s="6"/>
      <c r="B852" s="216">
        <v>46252</v>
      </c>
      <c r="C852" s="216">
        <v>46252</v>
      </c>
      <c r="D852" s="428" t="s">
        <v>9368</v>
      </c>
      <c r="E852" s="428">
        <v>260103722724</v>
      </c>
      <c r="F852" s="428" t="s">
        <v>87</v>
      </c>
      <c r="G852" s="428" t="s">
        <v>8646</v>
      </c>
      <c r="H852" s="428">
        <v>132</v>
      </c>
      <c r="I852" s="428">
        <v>270</v>
      </c>
      <c r="J852" s="369">
        <v>270</v>
      </c>
      <c r="K852" s="428">
        <v>97</v>
      </c>
      <c r="L852" s="217">
        <v>2190</v>
      </c>
      <c r="M852" s="428" t="s">
        <v>153</v>
      </c>
      <c r="N852" s="428" t="s">
        <v>149</v>
      </c>
      <c r="O852" s="428" t="s">
        <v>154</v>
      </c>
      <c r="P852" s="428" t="s">
        <v>151</v>
      </c>
      <c r="Q852" s="428" t="s">
        <v>155</v>
      </c>
      <c r="R852" s="428" t="s">
        <v>9369</v>
      </c>
      <c r="S852" s="428"/>
      <c r="T852" s="428" t="s">
        <v>9271</v>
      </c>
      <c r="U852" s="428" t="s">
        <v>152</v>
      </c>
      <c r="V852" s="428" t="s">
        <v>18</v>
      </c>
    </row>
    <row r="853" spans="1:22">
      <c r="A853" s="6"/>
      <c r="B853" s="216">
        <v>46252</v>
      </c>
      <c r="C853" s="216">
        <v>46252</v>
      </c>
      <c r="D853" s="428" t="s">
        <v>9370</v>
      </c>
      <c r="E853" s="428">
        <v>260101922788</v>
      </c>
      <c r="F853" s="428" t="s">
        <v>87</v>
      </c>
      <c r="G853" s="428" t="s">
        <v>8681</v>
      </c>
      <c r="H853" s="428">
        <v>92</v>
      </c>
      <c r="I853" s="428">
        <v>240</v>
      </c>
      <c r="J853" s="369">
        <v>240</v>
      </c>
      <c r="K853" s="428">
        <v>134</v>
      </c>
      <c r="L853" s="217">
        <v>1000</v>
      </c>
      <c r="M853" s="428" t="s">
        <v>153</v>
      </c>
      <c r="N853" s="428" t="s">
        <v>149</v>
      </c>
      <c r="O853" s="428" t="s">
        <v>154</v>
      </c>
      <c r="P853" s="428" t="s">
        <v>151</v>
      </c>
      <c r="Q853" s="428" t="s">
        <v>155</v>
      </c>
      <c r="R853" s="428" t="s">
        <v>9371</v>
      </c>
      <c r="S853" s="428"/>
      <c r="T853" s="428" t="s">
        <v>9271</v>
      </c>
      <c r="U853" s="428" t="s">
        <v>152</v>
      </c>
      <c r="V853" s="428" t="s">
        <v>18</v>
      </c>
    </row>
    <row r="854" spans="1:22">
      <c r="A854" s="6"/>
      <c r="B854" s="216">
        <v>46252</v>
      </c>
      <c r="C854" s="216">
        <v>46252</v>
      </c>
      <c r="D854" s="428" t="s">
        <v>9372</v>
      </c>
      <c r="E854" s="428">
        <v>260105622143</v>
      </c>
      <c r="F854" s="428" t="s">
        <v>87</v>
      </c>
      <c r="G854" s="428" t="s">
        <v>8646</v>
      </c>
      <c r="H854" s="428">
        <v>132</v>
      </c>
      <c r="I854" s="428">
        <v>157</v>
      </c>
      <c r="J854" s="369">
        <v>157</v>
      </c>
      <c r="K854" s="428">
        <v>97</v>
      </c>
      <c r="L854" s="217">
        <v>1220</v>
      </c>
      <c r="M854" s="428" t="s">
        <v>153</v>
      </c>
      <c r="N854" s="428" t="s">
        <v>149</v>
      </c>
      <c r="O854" s="428" t="s">
        <v>154</v>
      </c>
      <c r="P854" s="428" t="s">
        <v>151</v>
      </c>
      <c r="Q854" s="428" t="s">
        <v>155</v>
      </c>
      <c r="R854" s="428" t="s">
        <v>9373</v>
      </c>
      <c r="S854" s="428"/>
      <c r="T854" s="428" t="s">
        <v>2943</v>
      </c>
      <c r="U854" s="428" t="s">
        <v>152</v>
      </c>
      <c r="V854" s="428" t="s">
        <v>18</v>
      </c>
    </row>
    <row r="855" spans="1:22">
      <c r="A855" s="6"/>
      <c r="B855" s="216">
        <v>46252</v>
      </c>
      <c r="C855" s="216">
        <v>46252</v>
      </c>
      <c r="D855" s="428" t="s">
        <v>9374</v>
      </c>
      <c r="E855" s="428">
        <v>260102022807</v>
      </c>
      <c r="F855" s="428" t="s">
        <v>87</v>
      </c>
      <c r="G855" s="428" t="s">
        <v>8681</v>
      </c>
      <c r="H855" s="428">
        <v>92</v>
      </c>
      <c r="I855" s="428">
        <v>242</v>
      </c>
      <c r="J855" s="369">
        <v>242</v>
      </c>
      <c r="K855" s="428">
        <v>134</v>
      </c>
      <c r="L855" s="217">
        <v>1000</v>
      </c>
      <c r="M855" s="428" t="s">
        <v>153</v>
      </c>
      <c r="N855" s="428" t="s">
        <v>149</v>
      </c>
      <c r="O855" s="428" t="s">
        <v>154</v>
      </c>
      <c r="P855" s="428" t="s">
        <v>151</v>
      </c>
      <c r="Q855" s="428" t="s">
        <v>155</v>
      </c>
      <c r="R855" s="428" t="s">
        <v>9375</v>
      </c>
      <c r="S855" s="428"/>
      <c r="T855" s="428" t="s">
        <v>9271</v>
      </c>
      <c r="U855" s="428" t="s">
        <v>152</v>
      </c>
      <c r="V855" s="428" t="s">
        <v>18</v>
      </c>
    </row>
    <row r="856" spans="1:22">
      <c r="A856" s="6"/>
      <c r="B856" s="216">
        <v>46252</v>
      </c>
      <c r="C856" s="216">
        <v>46252</v>
      </c>
      <c r="D856" s="428" t="s">
        <v>9376</v>
      </c>
      <c r="E856" s="428">
        <v>260106922839</v>
      </c>
      <c r="F856" s="428" t="s">
        <v>87</v>
      </c>
      <c r="G856" s="428" t="s">
        <v>7928</v>
      </c>
      <c r="H856" s="428">
        <v>135</v>
      </c>
      <c r="I856" s="428">
        <v>379</v>
      </c>
      <c r="J856" s="369">
        <v>379</v>
      </c>
      <c r="K856" s="428">
        <v>107</v>
      </c>
      <c r="L856" s="217">
        <v>2740</v>
      </c>
      <c r="M856" s="428" t="s">
        <v>153</v>
      </c>
      <c r="N856" s="428" t="s">
        <v>149</v>
      </c>
      <c r="O856" s="428" t="s">
        <v>154</v>
      </c>
      <c r="P856" s="428" t="s">
        <v>151</v>
      </c>
      <c r="Q856" s="428" t="s">
        <v>155</v>
      </c>
      <c r="R856" s="428" t="s">
        <v>9377</v>
      </c>
      <c r="S856" s="428"/>
      <c r="T856" s="428" t="s">
        <v>9271</v>
      </c>
      <c r="U856" s="428" t="s">
        <v>152</v>
      </c>
      <c r="V856" s="428" t="s">
        <v>18</v>
      </c>
    </row>
    <row r="857" spans="1:22">
      <c r="A857" s="6"/>
      <c r="B857" s="216">
        <v>46252</v>
      </c>
      <c r="C857" s="216">
        <v>46252</v>
      </c>
      <c r="D857" s="428" t="s">
        <v>9378</v>
      </c>
      <c r="E857" s="428">
        <v>260101422843</v>
      </c>
      <c r="F857" s="428" t="s">
        <v>87</v>
      </c>
      <c r="G857" s="428" t="s">
        <v>824</v>
      </c>
      <c r="H857" s="428">
        <v>152</v>
      </c>
      <c r="I857" s="428">
        <v>225</v>
      </c>
      <c r="J857" s="369">
        <v>225</v>
      </c>
      <c r="K857" s="428">
        <v>104</v>
      </c>
      <c r="L857" s="217">
        <v>1500</v>
      </c>
      <c r="M857" s="428" t="s">
        <v>153</v>
      </c>
      <c r="N857" s="428" t="s">
        <v>149</v>
      </c>
      <c r="O857" s="428" t="s">
        <v>154</v>
      </c>
      <c r="P857" s="428" t="s">
        <v>151</v>
      </c>
      <c r="Q857" s="428" t="s">
        <v>155</v>
      </c>
      <c r="R857" s="428" t="s">
        <v>9379</v>
      </c>
      <c r="S857" s="428"/>
      <c r="T857" s="428" t="s">
        <v>9271</v>
      </c>
      <c r="U857" s="428" t="s">
        <v>152</v>
      </c>
      <c r="V857" s="428" t="s">
        <v>18</v>
      </c>
    </row>
    <row r="858" spans="1:22">
      <c r="A858" s="6"/>
      <c r="B858" s="216">
        <v>46252</v>
      </c>
      <c r="C858" s="216">
        <v>46252</v>
      </c>
      <c r="D858" s="428" t="s">
        <v>9380</v>
      </c>
      <c r="E858" s="389">
        <v>260103322820</v>
      </c>
      <c r="F858" s="428" t="s">
        <v>87</v>
      </c>
      <c r="G858" s="428" t="s">
        <v>2409</v>
      </c>
      <c r="H858" s="428">
        <v>152</v>
      </c>
      <c r="I858" s="428">
        <v>291</v>
      </c>
      <c r="J858" s="369">
        <v>291</v>
      </c>
      <c r="K858" s="428">
        <v>97</v>
      </c>
      <c r="L858" s="217">
        <v>2115</v>
      </c>
      <c r="M858" s="428" t="s">
        <v>153</v>
      </c>
      <c r="N858" s="428" t="s">
        <v>149</v>
      </c>
      <c r="O858" s="428" t="s">
        <v>154</v>
      </c>
      <c r="P858" s="428" t="s">
        <v>151</v>
      </c>
      <c r="Q858" s="428" t="s">
        <v>155</v>
      </c>
      <c r="R858" s="428" t="s">
        <v>9381</v>
      </c>
      <c r="S858" s="428"/>
      <c r="T858" s="428" t="s">
        <v>9271</v>
      </c>
      <c r="U858" s="428" t="s">
        <v>152</v>
      </c>
      <c r="V858" s="428" t="s">
        <v>18</v>
      </c>
    </row>
    <row r="859" spans="1:22">
      <c r="A859" s="6"/>
      <c r="B859" s="216">
        <v>46252</v>
      </c>
      <c r="C859" s="216">
        <v>46252</v>
      </c>
      <c r="D859" s="428" t="s">
        <v>9382</v>
      </c>
      <c r="E859" s="389">
        <v>260103722826</v>
      </c>
      <c r="F859" s="428" t="s">
        <v>87</v>
      </c>
      <c r="G859" s="428" t="s">
        <v>8646</v>
      </c>
      <c r="H859" s="428">
        <v>132</v>
      </c>
      <c r="I859" s="428">
        <v>282</v>
      </c>
      <c r="J859" s="369">
        <v>282</v>
      </c>
      <c r="K859" s="428">
        <v>97</v>
      </c>
      <c r="L859" s="217">
        <v>2220</v>
      </c>
      <c r="M859" s="428" t="s">
        <v>153</v>
      </c>
      <c r="N859" s="428" t="s">
        <v>149</v>
      </c>
      <c r="O859" s="428" t="s">
        <v>154</v>
      </c>
      <c r="P859" s="428" t="s">
        <v>151</v>
      </c>
      <c r="Q859" s="428" t="s">
        <v>155</v>
      </c>
      <c r="R859" s="428" t="s">
        <v>9383</v>
      </c>
      <c r="S859" s="428"/>
      <c r="T859" s="428" t="s">
        <v>9271</v>
      </c>
      <c r="U859" s="428" t="s">
        <v>152</v>
      </c>
      <c r="V859" s="428" t="s">
        <v>18</v>
      </c>
    </row>
    <row r="860" spans="1:22">
      <c r="A860" s="6"/>
      <c r="B860" s="216">
        <v>46252</v>
      </c>
      <c r="C860" s="216">
        <v>46252</v>
      </c>
      <c r="D860" s="428" t="s">
        <v>9384</v>
      </c>
      <c r="E860" s="389">
        <v>260107822837</v>
      </c>
      <c r="F860" s="428" t="s">
        <v>87</v>
      </c>
      <c r="G860" s="428" t="s">
        <v>8646</v>
      </c>
      <c r="H860" s="428">
        <v>132</v>
      </c>
      <c r="I860" s="428">
        <v>305</v>
      </c>
      <c r="J860" s="369">
        <v>305</v>
      </c>
      <c r="K860" s="428">
        <v>97</v>
      </c>
      <c r="L860" s="217">
        <v>2490</v>
      </c>
      <c r="M860" s="428" t="s">
        <v>153</v>
      </c>
      <c r="N860" s="428" t="s">
        <v>149</v>
      </c>
      <c r="O860" s="428" t="s">
        <v>154</v>
      </c>
      <c r="P860" s="428" t="s">
        <v>151</v>
      </c>
      <c r="Q860" s="428" t="s">
        <v>155</v>
      </c>
      <c r="R860" s="428" t="s">
        <v>9385</v>
      </c>
      <c r="S860" s="428"/>
      <c r="T860" s="428" t="s">
        <v>9271</v>
      </c>
      <c r="U860" s="428" t="s">
        <v>152</v>
      </c>
      <c r="V860" s="428" t="s">
        <v>18</v>
      </c>
    </row>
    <row r="861" spans="1:22">
      <c r="A861" s="6"/>
      <c r="B861" s="216">
        <v>46252</v>
      </c>
      <c r="C861" s="216">
        <v>46252</v>
      </c>
      <c r="D861" s="428" t="s">
        <v>9386</v>
      </c>
      <c r="E861" s="389">
        <v>260107522840</v>
      </c>
      <c r="F861" s="428" t="s">
        <v>87</v>
      </c>
      <c r="G861" s="428" t="s">
        <v>9219</v>
      </c>
      <c r="H861" s="428">
        <v>140</v>
      </c>
      <c r="I861" s="428">
        <v>280</v>
      </c>
      <c r="J861" s="369">
        <v>280</v>
      </c>
      <c r="K861" s="428">
        <v>88</v>
      </c>
      <c r="L861" s="217">
        <v>2335</v>
      </c>
      <c r="M861" s="428" t="s">
        <v>153</v>
      </c>
      <c r="N861" s="428" t="s">
        <v>149</v>
      </c>
      <c r="O861" s="428" t="s">
        <v>154</v>
      </c>
      <c r="P861" s="428" t="s">
        <v>151</v>
      </c>
      <c r="Q861" s="428" t="s">
        <v>155</v>
      </c>
      <c r="R861" s="428" t="s">
        <v>9387</v>
      </c>
      <c r="S861" s="428"/>
      <c r="T861" s="428" t="s">
        <v>9271</v>
      </c>
      <c r="U861" s="428" t="s">
        <v>152</v>
      </c>
      <c r="V861" s="428" t="s">
        <v>18</v>
      </c>
    </row>
    <row r="862" spans="1:22">
      <c r="A862" s="6"/>
      <c r="B862" s="216">
        <v>46252</v>
      </c>
      <c r="C862" s="216">
        <v>46252</v>
      </c>
      <c r="D862" s="428" t="s">
        <v>9388</v>
      </c>
      <c r="E862" s="389">
        <v>260100422691</v>
      </c>
      <c r="F862" s="428" t="s">
        <v>87</v>
      </c>
      <c r="G862" s="428" t="s">
        <v>2517</v>
      </c>
      <c r="H862" s="428" t="s">
        <v>2518</v>
      </c>
      <c r="I862" s="428">
        <v>880</v>
      </c>
      <c r="J862" s="369">
        <v>880</v>
      </c>
      <c r="K862" s="428">
        <v>190</v>
      </c>
      <c r="L862" s="217">
        <v>1513</v>
      </c>
      <c r="M862" s="428" t="s">
        <v>153</v>
      </c>
      <c r="N862" s="428" t="s">
        <v>149</v>
      </c>
      <c r="O862" s="428" t="s">
        <v>154</v>
      </c>
      <c r="P862" s="428" t="s">
        <v>151</v>
      </c>
      <c r="Q862" s="428" t="s">
        <v>156</v>
      </c>
      <c r="R862" s="428" t="s">
        <v>9389</v>
      </c>
      <c r="S862" s="428"/>
      <c r="T862" s="428" t="s">
        <v>2943</v>
      </c>
      <c r="U862" s="428" t="s">
        <v>152</v>
      </c>
      <c r="V862" s="428" t="s">
        <v>20</v>
      </c>
    </row>
    <row r="863" spans="1:22">
      <c r="A863" s="6"/>
      <c r="B863" s="216">
        <v>46252</v>
      </c>
      <c r="C863" s="216">
        <v>46252</v>
      </c>
      <c r="D863" s="428" t="s">
        <v>9390</v>
      </c>
      <c r="E863" s="389">
        <v>260101322462</v>
      </c>
      <c r="F863" s="428" t="s">
        <v>87</v>
      </c>
      <c r="G863" s="428" t="s">
        <v>2517</v>
      </c>
      <c r="H863" s="428" t="s">
        <v>2518</v>
      </c>
      <c r="I863" s="428">
        <v>420</v>
      </c>
      <c r="J863" s="369">
        <v>420</v>
      </c>
      <c r="K863" s="428">
        <v>190</v>
      </c>
      <c r="L863" s="217">
        <v>722</v>
      </c>
      <c r="M863" s="428" t="s">
        <v>153</v>
      </c>
      <c r="N863" s="428" t="s">
        <v>149</v>
      </c>
      <c r="O863" s="428" t="s">
        <v>154</v>
      </c>
      <c r="P863" s="428" t="s">
        <v>151</v>
      </c>
      <c r="Q863" s="428" t="s">
        <v>156</v>
      </c>
      <c r="R863" s="428" t="s">
        <v>9391</v>
      </c>
      <c r="S863" s="428"/>
      <c r="T863" s="428" t="s">
        <v>2943</v>
      </c>
      <c r="U863" s="428" t="s">
        <v>152</v>
      </c>
      <c r="V863" s="428" t="s">
        <v>20</v>
      </c>
    </row>
    <row r="864" spans="1:22">
      <c r="A864" s="6"/>
      <c r="B864" s="216">
        <v>46252</v>
      </c>
      <c r="C864" s="216">
        <v>46252</v>
      </c>
      <c r="D864" s="428" t="s">
        <v>9392</v>
      </c>
      <c r="E864" s="389" t="s">
        <v>9393</v>
      </c>
      <c r="F864" s="428" t="s">
        <v>87</v>
      </c>
      <c r="G864" s="428" t="s">
        <v>9394</v>
      </c>
      <c r="H864" s="428" t="s">
        <v>8577</v>
      </c>
      <c r="I864" s="428">
        <v>385</v>
      </c>
      <c r="J864" s="369">
        <v>385</v>
      </c>
      <c r="K864" s="428">
        <v>94</v>
      </c>
      <c r="L864" s="217">
        <v>4515</v>
      </c>
      <c r="M864" s="428" t="s">
        <v>153</v>
      </c>
      <c r="N864" s="428" t="s">
        <v>149</v>
      </c>
      <c r="O864" s="428" t="s">
        <v>154</v>
      </c>
      <c r="P864" s="428" t="s">
        <v>151</v>
      </c>
      <c r="Q864" s="428" t="s">
        <v>156</v>
      </c>
      <c r="R864" s="428" t="s">
        <v>9395</v>
      </c>
      <c r="S864" s="428"/>
      <c r="T864" s="428" t="s">
        <v>2943</v>
      </c>
      <c r="U864" s="428" t="s">
        <v>152</v>
      </c>
      <c r="V864" s="428" t="s">
        <v>20</v>
      </c>
    </row>
    <row r="865" spans="1:22">
      <c r="A865" s="6"/>
      <c r="B865" s="216">
        <v>46253</v>
      </c>
      <c r="C865" s="216">
        <v>46253</v>
      </c>
      <c r="D865" s="428" t="s">
        <v>9396</v>
      </c>
      <c r="E865" s="389">
        <v>260100922871</v>
      </c>
      <c r="F865" s="428" t="s">
        <v>87</v>
      </c>
      <c r="G865" s="428" t="s">
        <v>2079</v>
      </c>
      <c r="H865" s="428">
        <v>92</v>
      </c>
      <c r="I865" s="428">
        <v>323</v>
      </c>
      <c r="J865" s="369">
        <v>323</v>
      </c>
      <c r="K865" s="428">
        <v>180</v>
      </c>
      <c r="L865" s="217">
        <v>1000</v>
      </c>
      <c r="M865" s="428" t="s">
        <v>153</v>
      </c>
      <c r="N865" s="428" t="s">
        <v>149</v>
      </c>
      <c r="O865" s="428" t="s">
        <v>154</v>
      </c>
      <c r="P865" s="428" t="s">
        <v>151</v>
      </c>
      <c r="Q865" s="428" t="s">
        <v>155</v>
      </c>
      <c r="R865" s="428" t="s">
        <v>9397</v>
      </c>
      <c r="S865" s="428"/>
      <c r="T865" s="428" t="s">
        <v>2958</v>
      </c>
      <c r="U865" s="428" t="s">
        <v>152</v>
      </c>
      <c r="V865" s="428" t="s">
        <v>18</v>
      </c>
    </row>
    <row r="866" spans="1:22">
      <c r="A866" s="6"/>
      <c r="B866" s="216">
        <v>46253</v>
      </c>
      <c r="C866" s="216">
        <v>46253</v>
      </c>
      <c r="D866" s="428" t="s">
        <v>9398</v>
      </c>
      <c r="E866" s="389">
        <v>260101622856</v>
      </c>
      <c r="F866" s="428" t="s">
        <v>87</v>
      </c>
      <c r="G866" s="428" t="s">
        <v>2079</v>
      </c>
      <c r="H866" s="428">
        <v>112</v>
      </c>
      <c r="I866" s="428">
        <v>402</v>
      </c>
      <c r="J866" s="369">
        <v>402</v>
      </c>
      <c r="K866" s="428">
        <v>180</v>
      </c>
      <c r="L866" s="217">
        <v>1030</v>
      </c>
      <c r="M866" s="428" t="s">
        <v>153</v>
      </c>
      <c r="N866" s="428" t="s">
        <v>149</v>
      </c>
      <c r="O866" s="428" t="s">
        <v>154</v>
      </c>
      <c r="P866" s="428" t="s">
        <v>151</v>
      </c>
      <c r="Q866" s="428" t="s">
        <v>155</v>
      </c>
      <c r="R866" s="428" t="s">
        <v>9399</v>
      </c>
      <c r="S866" s="428"/>
      <c r="T866" s="428" t="s">
        <v>2958</v>
      </c>
      <c r="U866" s="428" t="s">
        <v>152</v>
      </c>
      <c r="V866" s="428" t="s">
        <v>18</v>
      </c>
    </row>
    <row r="867" spans="1:22">
      <c r="A867" s="6"/>
      <c r="B867" s="216">
        <v>46253</v>
      </c>
      <c r="C867" s="216">
        <v>46253</v>
      </c>
      <c r="D867" s="428" t="s">
        <v>9400</v>
      </c>
      <c r="E867" s="389">
        <v>260101922863</v>
      </c>
      <c r="F867" s="428" t="s">
        <v>87</v>
      </c>
      <c r="G867" s="428" t="s">
        <v>8681</v>
      </c>
      <c r="H867" s="428">
        <v>92</v>
      </c>
      <c r="I867" s="428">
        <v>251</v>
      </c>
      <c r="J867" s="369">
        <v>251</v>
      </c>
      <c r="K867" s="428">
        <v>134</v>
      </c>
      <c r="L867" s="217">
        <v>1040</v>
      </c>
      <c r="M867" s="428" t="s">
        <v>153</v>
      </c>
      <c r="N867" s="428" t="s">
        <v>149</v>
      </c>
      <c r="O867" s="428" t="s">
        <v>154</v>
      </c>
      <c r="P867" s="428" t="s">
        <v>151</v>
      </c>
      <c r="Q867" s="428" t="s">
        <v>155</v>
      </c>
      <c r="R867" s="428" t="s">
        <v>9401</v>
      </c>
      <c r="S867" s="428"/>
      <c r="T867" s="428" t="s">
        <v>2958</v>
      </c>
      <c r="U867" s="428" t="s">
        <v>152</v>
      </c>
      <c r="V867" s="428" t="s">
        <v>18</v>
      </c>
    </row>
    <row r="868" spans="1:22">
      <c r="A868" s="6"/>
      <c r="B868" s="216">
        <v>46253</v>
      </c>
      <c r="C868" s="216">
        <v>46253</v>
      </c>
      <c r="D868" s="428" t="s">
        <v>9402</v>
      </c>
      <c r="E868" s="389">
        <v>260103622867</v>
      </c>
      <c r="F868" s="428" t="s">
        <v>87</v>
      </c>
      <c r="G868" s="428" t="s">
        <v>9085</v>
      </c>
      <c r="H868" s="428">
        <v>242</v>
      </c>
      <c r="I868" s="428">
        <v>330</v>
      </c>
      <c r="J868" s="369">
        <v>330</v>
      </c>
      <c r="K868" s="428">
        <v>107</v>
      </c>
      <c r="L868" s="217">
        <v>660</v>
      </c>
      <c r="M868" s="428" t="s">
        <v>153</v>
      </c>
      <c r="N868" s="428" t="s">
        <v>149</v>
      </c>
      <c r="O868" s="428" t="s">
        <v>154</v>
      </c>
      <c r="P868" s="428" t="s">
        <v>151</v>
      </c>
      <c r="Q868" s="428" t="s">
        <v>155</v>
      </c>
      <c r="R868" s="428" t="s">
        <v>9403</v>
      </c>
      <c r="S868" s="428"/>
      <c r="T868" s="428" t="s">
        <v>2958</v>
      </c>
      <c r="U868" s="428" t="s">
        <v>152</v>
      </c>
      <c r="V868" s="428" t="s">
        <v>18</v>
      </c>
    </row>
    <row r="869" spans="1:22">
      <c r="A869" s="6"/>
      <c r="B869" s="216">
        <v>46253</v>
      </c>
      <c r="C869" s="216">
        <v>46253</v>
      </c>
      <c r="D869" s="428" t="s">
        <v>9404</v>
      </c>
      <c r="E869" s="389">
        <v>260105022879</v>
      </c>
      <c r="F869" s="428" t="s">
        <v>87</v>
      </c>
      <c r="G869" s="428" t="s">
        <v>2407</v>
      </c>
      <c r="H869" s="428">
        <v>160</v>
      </c>
      <c r="I869" s="428">
        <v>271</v>
      </c>
      <c r="J869" s="369">
        <v>271</v>
      </c>
      <c r="K869" s="428">
        <v>102</v>
      </c>
      <c r="L869" s="217">
        <v>1720</v>
      </c>
      <c r="M869" s="428" t="s">
        <v>153</v>
      </c>
      <c r="N869" s="428" t="s">
        <v>149</v>
      </c>
      <c r="O869" s="428" t="s">
        <v>154</v>
      </c>
      <c r="P869" s="428" t="s">
        <v>151</v>
      </c>
      <c r="Q869" s="428" t="s">
        <v>155</v>
      </c>
      <c r="R869" s="428" t="s">
        <v>9405</v>
      </c>
      <c r="S869" s="428"/>
      <c r="T869" s="428" t="s">
        <v>2958</v>
      </c>
      <c r="U869" s="428" t="s">
        <v>152</v>
      </c>
      <c r="V869" s="428" t="s">
        <v>18</v>
      </c>
    </row>
    <row r="870" spans="1:22">
      <c r="A870" s="6"/>
      <c r="B870" s="216">
        <v>46253</v>
      </c>
      <c r="C870" s="216">
        <v>46253</v>
      </c>
      <c r="D870" s="428" t="s">
        <v>9406</v>
      </c>
      <c r="E870" s="389">
        <v>260105322880</v>
      </c>
      <c r="F870" s="428" t="s">
        <v>87</v>
      </c>
      <c r="G870" s="428" t="s">
        <v>824</v>
      </c>
      <c r="H870" s="428">
        <v>152</v>
      </c>
      <c r="I870" s="428">
        <v>281</v>
      </c>
      <c r="J870" s="369">
        <v>281</v>
      </c>
      <c r="K870" s="428">
        <v>104</v>
      </c>
      <c r="L870" s="217">
        <v>1900</v>
      </c>
      <c r="M870" s="428" t="s">
        <v>153</v>
      </c>
      <c r="N870" s="428" t="s">
        <v>149</v>
      </c>
      <c r="O870" s="428" t="s">
        <v>154</v>
      </c>
      <c r="P870" s="428" t="s">
        <v>151</v>
      </c>
      <c r="Q870" s="428" t="s">
        <v>155</v>
      </c>
      <c r="R870" s="428" t="s">
        <v>9407</v>
      </c>
      <c r="S870" s="428"/>
      <c r="T870" s="428" t="s">
        <v>2958</v>
      </c>
      <c r="U870" s="428" t="s">
        <v>152</v>
      </c>
      <c r="V870" s="428" t="s">
        <v>18</v>
      </c>
    </row>
    <row r="871" spans="1:22">
      <c r="A871" s="6"/>
      <c r="B871" s="216">
        <v>46253</v>
      </c>
      <c r="C871" s="216">
        <v>46253</v>
      </c>
      <c r="D871" s="428" t="s">
        <v>9408</v>
      </c>
      <c r="E871" s="389">
        <v>260101622896</v>
      </c>
      <c r="F871" s="428" t="s">
        <v>87</v>
      </c>
      <c r="G871" s="428" t="s">
        <v>2079</v>
      </c>
      <c r="H871" s="428">
        <v>112</v>
      </c>
      <c r="I871" s="428">
        <v>301</v>
      </c>
      <c r="J871" s="369">
        <v>301</v>
      </c>
      <c r="K871" s="428">
        <v>180</v>
      </c>
      <c r="L871" s="217">
        <v>765</v>
      </c>
      <c r="M871" s="428" t="s">
        <v>153</v>
      </c>
      <c r="N871" s="428" t="s">
        <v>149</v>
      </c>
      <c r="O871" s="428" t="s">
        <v>154</v>
      </c>
      <c r="P871" s="428" t="s">
        <v>151</v>
      </c>
      <c r="Q871" s="428" t="s">
        <v>155</v>
      </c>
      <c r="R871" s="428" t="s">
        <v>9409</v>
      </c>
      <c r="S871" s="428"/>
      <c r="T871" s="428" t="s">
        <v>2958</v>
      </c>
      <c r="U871" s="428" t="s">
        <v>152</v>
      </c>
      <c r="V871" s="428" t="s">
        <v>18</v>
      </c>
    </row>
    <row r="872" spans="1:22">
      <c r="A872" s="6"/>
      <c r="B872" s="216">
        <v>46253</v>
      </c>
      <c r="C872" s="216">
        <v>46253</v>
      </c>
      <c r="D872" s="428" t="s">
        <v>9410</v>
      </c>
      <c r="E872" s="389">
        <v>260103922902</v>
      </c>
      <c r="F872" s="428" t="s">
        <v>87</v>
      </c>
      <c r="G872" s="428" t="s">
        <v>2304</v>
      </c>
      <c r="H872" s="428">
        <v>132</v>
      </c>
      <c r="I872" s="428">
        <v>227</v>
      </c>
      <c r="J872" s="369">
        <v>227</v>
      </c>
      <c r="K872" s="428">
        <v>97</v>
      </c>
      <c r="L872" s="217">
        <v>1800</v>
      </c>
      <c r="M872" s="428" t="s">
        <v>153</v>
      </c>
      <c r="N872" s="428" t="s">
        <v>149</v>
      </c>
      <c r="O872" s="428" t="s">
        <v>154</v>
      </c>
      <c r="P872" s="428" t="s">
        <v>151</v>
      </c>
      <c r="Q872" s="428" t="s">
        <v>155</v>
      </c>
      <c r="R872" s="428" t="s">
        <v>9411</v>
      </c>
      <c r="S872" s="428"/>
      <c r="T872" s="428" t="s">
        <v>2958</v>
      </c>
      <c r="U872" s="428" t="s">
        <v>152</v>
      </c>
      <c r="V872" s="428" t="s">
        <v>18</v>
      </c>
    </row>
    <row r="873" spans="1:22">
      <c r="A873" s="6"/>
      <c r="B873" s="216">
        <v>46253</v>
      </c>
      <c r="C873" s="216">
        <v>46253</v>
      </c>
      <c r="D873" s="428" t="s">
        <v>9412</v>
      </c>
      <c r="E873" s="389">
        <v>260102422859</v>
      </c>
      <c r="F873" s="428" t="s">
        <v>87</v>
      </c>
      <c r="G873" s="428" t="s">
        <v>8032</v>
      </c>
      <c r="H873" s="428">
        <v>102</v>
      </c>
      <c r="I873" s="428">
        <v>266</v>
      </c>
      <c r="J873" s="369">
        <v>266</v>
      </c>
      <c r="K873" s="428">
        <v>130</v>
      </c>
      <c r="L873" s="217">
        <v>1000</v>
      </c>
      <c r="M873" s="428" t="s">
        <v>153</v>
      </c>
      <c r="N873" s="428" t="s">
        <v>149</v>
      </c>
      <c r="O873" s="428" t="s">
        <v>154</v>
      </c>
      <c r="P873" s="428" t="s">
        <v>151</v>
      </c>
      <c r="Q873" s="428" t="s">
        <v>155</v>
      </c>
      <c r="R873" s="428" t="s">
        <v>9413</v>
      </c>
      <c r="S873" s="428"/>
      <c r="T873" s="428" t="s">
        <v>2958</v>
      </c>
      <c r="U873" s="428" t="s">
        <v>152</v>
      </c>
      <c r="V873" s="428" t="s">
        <v>18</v>
      </c>
    </row>
    <row r="874" spans="1:22">
      <c r="A874" s="6"/>
      <c r="B874" s="216">
        <v>46253</v>
      </c>
      <c r="C874" s="216">
        <v>46253</v>
      </c>
      <c r="D874" s="428" t="s">
        <v>9414</v>
      </c>
      <c r="E874" s="389">
        <v>260102022864</v>
      </c>
      <c r="F874" s="428" t="s">
        <v>87</v>
      </c>
      <c r="G874" s="428" t="s">
        <v>8681</v>
      </c>
      <c r="H874" s="428">
        <v>92</v>
      </c>
      <c r="I874" s="428">
        <v>283</v>
      </c>
      <c r="J874" s="369">
        <v>283</v>
      </c>
      <c r="K874" s="428">
        <v>134</v>
      </c>
      <c r="L874" s="217">
        <v>1160</v>
      </c>
      <c r="M874" s="428" t="s">
        <v>153</v>
      </c>
      <c r="N874" s="428" t="s">
        <v>149</v>
      </c>
      <c r="O874" s="428" t="s">
        <v>154</v>
      </c>
      <c r="P874" s="428" t="s">
        <v>151</v>
      </c>
      <c r="Q874" s="428" t="s">
        <v>155</v>
      </c>
      <c r="R874" s="428" t="s">
        <v>9415</v>
      </c>
      <c r="S874" s="428"/>
      <c r="T874" s="428" t="s">
        <v>2958</v>
      </c>
      <c r="U874" s="428" t="s">
        <v>152</v>
      </c>
      <c r="V874" s="428" t="s">
        <v>18</v>
      </c>
    </row>
    <row r="875" spans="1:22">
      <c r="A875" s="6"/>
      <c r="B875" s="216">
        <v>46253</v>
      </c>
      <c r="C875" s="216">
        <v>46253</v>
      </c>
      <c r="D875" s="428" t="s">
        <v>9416</v>
      </c>
      <c r="E875" s="389">
        <v>260105822874</v>
      </c>
      <c r="F875" s="428" t="s">
        <v>87</v>
      </c>
      <c r="G875" s="428" t="s">
        <v>824</v>
      </c>
      <c r="H875" s="428">
        <v>152</v>
      </c>
      <c r="I875" s="428">
        <v>268</v>
      </c>
      <c r="J875" s="369">
        <v>268</v>
      </c>
      <c r="K875" s="428">
        <v>104</v>
      </c>
      <c r="L875" s="217">
        <v>1780</v>
      </c>
      <c r="M875" s="428" t="s">
        <v>153</v>
      </c>
      <c r="N875" s="428" t="s">
        <v>149</v>
      </c>
      <c r="O875" s="428" t="s">
        <v>154</v>
      </c>
      <c r="P875" s="428" t="s">
        <v>151</v>
      </c>
      <c r="Q875" s="428" t="s">
        <v>155</v>
      </c>
      <c r="R875" s="428" t="s">
        <v>9417</v>
      </c>
      <c r="S875" s="428"/>
      <c r="T875" s="428" t="s">
        <v>2958</v>
      </c>
      <c r="U875" s="428" t="s">
        <v>152</v>
      </c>
      <c r="V875" s="428" t="s">
        <v>18</v>
      </c>
    </row>
    <row r="876" spans="1:22">
      <c r="A876" s="6"/>
      <c r="B876" s="216">
        <v>46253</v>
      </c>
      <c r="C876" s="216">
        <v>46253</v>
      </c>
      <c r="D876" s="428" t="s">
        <v>9418</v>
      </c>
      <c r="E876" s="389">
        <v>260102622853</v>
      </c>
      <c r="F876" s="428" t="s">
        <v>87</v>
      </c>
      <c r="G876" s="428" t="s">
        <v>8032</v>
      </c>
      <c r="H876" s="428">
        <v>102</v>
      </c>
      <c r="I876" s="428">
        <v>269</v>
      </c>
      <c r="J876" s="369">
        <v>269</v>
      </c>
      <c r="K876" s="428">
        <v>130</v>
      </c>
      <c r="L876" s="217">
        <v>1040</v>
      </c>
      <c r="M876" s="428" t="s">
        <v>153</v>
      </c>
      <c r="N876" s="428" t="s">
        <v>149</v>
      </c>
      <c r="O876" s="428" t="s">
        <v>154</v>
      </c>
      <c r="P876" s="428" t="s">
        <v>151</v>
      </c>
      <c r="Q876" s="428" t="s">
        <v>155</v>
      </c>
      <c r="R876" s="428" t="s">
        <v>9419</v>
      </c>
      <c r="S876" s="428"/>
      <c r="T876" s="428" t="s">
        <v>2958</v>
      </c>
      <c r="U876" s="428" t="s">
        <v>152</v>
      </c>
      <c r="V876" s="428" t="s">
        <v>18</v>
      </c>
    </row>
    <row r="877" spans="1:22">
      <c r="A877" s="6"/>
      <c r="B877" s="216">
        <v>46253</v>
      </c>
      <c r="C877" s="216">
        <v>46253</v>
      </c>
      <c r="D877" s="428" t="s">
        <v>9420</v>
      </c>
      <c r="E877" s="389">
        <v>260100722870</v>
      </c>
      <c r="F877" s="428" t="s">
        <v>87</v>
      </c>
      <c r="G877" s="428" t="s">
        <v>7586</v>
      </c>
      <c r="H877" s="428">
        <v>145</v>
      </c>
      <c r="I877" s="428">
        <v>467</v>
      </c>
      <c r="J877" s="369">
        <v>467</v>
      </c>
      <c r="K877" s="428">
        <v>170</v>
      </c>
      <c r="L877" s="217">
        <v>1000</v>
      </c>
      <c r="M877" s="428" t="s">
        <v>153</v>
      </c>
      <c r="N877" s="428" t="s">
        <v>149</v>
      </c>
      <c r="O877" s="428" t="s">
        <v>154</v>
      </c>
      <c r="P877" s="428" t="s">
        <v>151</v>
      </c>
      <c r="Q877" s="428" t="s">
        <v>155</v>
      </c>
      <c r="R877" s="428" t="s">
        <v>9421</v>
      </c>
      <c r="S877" s="428"/>
      <c r="T877" s="428" t="s">
        <v>2958</v>
      </c>
      <c r="U877" s="428" t="s">
        <v>152</v>
      </c>
      <c r="V877" s="428" t="s">
        <v>18</v>
      </c>
    </row>
    <row r="878" spans="1:22">
      <c r="A878" s="6"/>
      <c r="B878" s="216">
        <v>46253</v>
      </c>
      <c r="C878" s="216">
        <v>46253</v>
      </c>
      <c r="D878" s="428" t="s">
        <v>9422</v>
      </c>
      <c r="E878" s="389">
        <v>260105422878</v>
      </c>
      <c r="F878" s="428" t="s">
        <v>87</v>
      </c>
      <c r="G878" s="428" t="s">
        <v>2364</v>
      </c>
      <c r="H878" s="428">
        <v>142</v>
      </c>
      <c r="I878" s="428">
        <v>196</v>
      </c>
      <c r="J878" s="369">
        <v>196</v>
      </c>
      <c r="K878" s="428">
        <v>67</v>
      </c>
      <c r="L878" s="217">
        <v>2140</v>
      </c>
      <c r="M878" s="428" t="s">
        <v>153</v>
      </c>
      <c r="N878" s="428" t="s">
        <v>149</v>
      </c>
      <c r="O878" s="428" t="s">
        <v>154</v>
      </c>
      <c r="P878" s="428" t="s">
        <v>151</v>
      </c>
      <c r="Q878" s="428" t="s">
        <v>155</v>
      </c>
      <c r="R878" s="428" t="s">
        <v>9423</v>
      </c>
      <c r="S878" s="428"/>
      <c r="T878" s="428" t="s">
        <v>2958</v>
      </c>
      <c r="U878" s="428" t="s">
        <v>152</v>
      </c>
      <c r="V878" s="428" t="s">
        <v>18</v>
      </c>
    </row>
    <row r="879" spans="1:22">
      <c r="A879" s="6"/>
      <c r="B879" s="216">
        <v>46253</v>
      </c>
      <c r="C879" s="216">
        <v>46253</v>
      </c>
      <c r="D879" s="428" t="s">
        <v>9424</v>
      </c>
      <c r="E879" s="389">
        <v>260107622882</v>
      </c>
      <c r="F879" s="428" t="s">
        <v>87</v>
      </c>
      <c r="G879" s="428" t="s">
        <v>8646</v>
      </c>
      <c r="H879" s="428">
        <v>132</v>
      </c>
      <c r="I879" s="428">
        <v>339</v>
      </c>
      <c r="J879" s="369">
        <v>339</v>
      </c>
      <c r="K879" s="428">
        <v>97</v>
      </c>
      <c r="L879" s="217">
        <v>2660</v>
      </c>
      <c r="M879" s="428" t="s">
        <v>153</v>
      </c>
      <c r="N879" s="428" t="s">
        <v>149</v>
      </c>
      <c r="O879" s="428" t="s">
        <v>154</v>
      </c>
      <c r="P879" s="428" t="s">
        <v>151</v>
      </c>
      <c r="Q879" s="428" t="s">
        <v>155</v>
      </c>
      <c r="R879" s="428" t="s">
        <v>9425</v>
      </c>
      <c r="S879" s="428"/>
      <c r="T879" s="428" t="s">
        <v>2958</v>
      </c>
      <c r="U879" s="428" t="s">
        <v>152</v>
      </c>
      <c r="V879" s="428" t="s">
        <v>18</v>
      </c>
    </row>
    <row r="880" spans="1:22">
      <c r="A880" s="6"/>
      <c r="B880" s="216">
        <v>46253</v>
      </c>
      <c r="C880" s="216">
        <v>46253</v>
      </c>
      <c r="D880" s="428" t="s">
        <v>9426</v>
      </c>
      <c r="E880" s="389">
        <v>260102322899</v>
      </c>
      <c r="F880" s="428" t="s">
        <v>87</v>
      </c>
      <c r="G880" s="428" t="s">
        <v>8032</v>
      </c>
      <c r="H880" s="428">
        <v>102</v>
      </c>
      <c r="I880" s="428">
        <v>259</v>
      </c>
      <c r="J880" s="369">
        <v>259</v>
      </c>
      <c r="K880" s="428">
        <v>130</v>
      </c>
      <c r="L880" s="217">
        <v>1000</v>
      </c>
      <c r="M880" s="428" t="s">
        <v>153</v>
      </c>
      <c r="N880" s="428" t="s">
        <v>149</v>
      </c>
      <c r="O880" s="428" t="s">
        <v>154</v>
      </c>
      <c r="P880" s="428" t="s">
        <v>151</v>
      </c>
      <c r="Q880" s="428" t="s">
        <v>155</v>
      </c>
      <c r="R880" s="428" t="s">
        <v>9427</v>
      </c>
      <c r="S880" s="428"/>
      <c r="T880" s="428" t="s">
        <v>2958</v>
      </c>
      <c r="U880" s="428" t="s">
        <v>152</v>
      </c>
      <c r="V880" s="428" t="s">
        <v>18</v>
      </c>
    </row>
    <row r="881" spans="1:22">
      <c r="A881" s="6"/>
      <c r="B881" s="216">
        <v>46253</v>
      </c>
      <c r="C881" s="216">
        <v>46253</v>
      </c>
      <c r="D881" s="428" t="s">
        <v>9428</v>
      </c>
      <c r="E881" s="389">
        <v>260102222900</v>
      </c>
      <c r="F881" s="428" t="s">
        <v>87</v>
      </c>
      <c r="G881" s="428" t="s">
        <v>8032</v>
      </c>
      <c r="H881" s="428">
        <v>102</v>
      </c>
      <c r="I881" s="428">
        <v>264</v>
      </c>
      <c r="J881" s="369">
        <v>264</v>
      </c>
      <c r="K881" s="428">
        <v>130</v>
      </c>
      <c r="L881" s="217">
        <v>1000</v>
      </c>
      <c r="M881" s="428" t="s">
        <v>153</v>
      </c>
      <c r="N881" s="428" t="s">
        <v>149</v>
      </c>
      <c r="O881" s="428" t="s">
        <v>154</v>
      </c>
      <c r="P881" s="428" t="s">
        <v>151</v>
      </c>
      <c r="Q881" s="428" t="s">
        <v>155</v>
      </c>
      <c r="R881" s="428" t="s">
        <v>9429</v>
      </c>
      <c r="S881" s="428"/>
      <c r="T881" s="428" t="s">
        <v>2958</v>
      </c>
      <c r="U881" s="428" t="s">
        <v>152</v>
      </c>
      <c r="V881" s="428" t="s">
        <v>18</v>
      </c>
    </row>
    <row r="882" spans="1:22">
      <c r="A882" s="6"/>
      <c r="B882" s="216">
        <v>46253</v>
      </c>
      <c r="C882" s="216">
        <v>46253</v>
      </c>
      <c r="D882" s="428" t="s">
        <v>9430</v>
      </c>
      <c r="E882" s="389">
        <v>260101822901</v>
      </c>
      <c r="F882" s="428" t="s">
        <v>87</v>
      </c>
      <c r="G882" s="428" t="s">
        <v>8681</v>
      </c>
      <c r="H882" s="428">
        <v>92</v>
      </c>
      <c r="I882" s="428">
        <v>244</v>
      </c>
      <c r="J882" s="369">
        <v>244</v>
      </c>
      <c r="K882" s="428">
        <v>134</v>
      </c>
      <c r="L882" s="217">
        <v>1000</v>
      </c>
      <c r="M882" s="428" t="s">
        <v>153</v>
      </c>
      <c r="N882" s="428" t="s">
        <v>149</v>
      </c>
      <c r="O882" s="428" t="s">
        <v>154</v>
      </c>
      <c r="P882" s="428" t="s">
        <v>151</v>
      </c>
      <c r="Q882" s="428" t="s">
        <v>155</v>
      </c>
      <c r="R882" s="428" t="s">
        <v>9431</v>
      </c>
      <c r="S882" s="428"/>
      <c r="T882" s="428" t="s">
        <v>2958</v>
      </c>
      <c r="U882" s="428" t="s">
        <v>152</v>
      </c>
      <c r="V882" s="428" t="s">
        <v>18</v>
      </c>
    </row>
    <row r="883" spans="1:22">
      <c r="A883" s="6"/>
      <c r="B883" s="216">
        <v>46253</v>
      </c>
      <c r="C883" s="216">
        <v>46253</v>
      </c>
      <c r="D883" s="428" t="s">
        <v>9432</v>
      </c>
      <c r="E883" s="389">
        <v>260107122910</v>
      </c>
      <c r="F883" s="428" t="s">
        <v>87</v>
      </c>
      <c r="G883" s="428" t="s">
        <v>8692</v>
      </c>
      <c r="H883" s="428">
        <v>140</v>
      </c>
      <c r="I883" s="428">
        <v>204</v>
      </c>
      <c r="J883" s="369">
        <v>204</v>
      </c>
      <c r="K883" s="428">
        <v>88</v>
      </c>
      <c r="L883" s="217">
        <v>1750</v>
      </c>
      <c r="M883" s="428" t="s">
        <v>153</v>
      </c>
      <c r="N883" s="428" t="s">
        <v>149</v>
      </c>
      <c r="O883" s="428" t="s">
        <v>154</v>
      </c>
      <c r="P883" s="428" t="s">
        <v>151</v>
      </c>
      <c r="Q883" s="428" t="s">
        <v>155</v>
      </c>
      <c r="R883" s="428" t="s">
        <v>9433</v>
      </c>
      <c r="S883" s="428"/>
      <c r="T883" s="428" t="s">
        <v>2958</v>
      </c>
      <c r="U883" s="428" t="s">
        <v>152</v>
      </c>
      <c r="V883" s="428" t="s">
        <v>18</v>
      </c>
    </row>
    <row r="884" spans="1:22">
      <c r="A884" s="6"/>
      <c r="B884" s="216">
        <v>46253</v>
      </c>
      <c r="C884" s="216">
        <v>46253</v>
      </c>
      <c r="D884" s="428" t="s">
        <v>9434</v>
      </c>
      <c r="E884" s="389">
        <v>260107422877</v>
      </c>
      <c r="F884" s="428" t="s">
        <v>87</v>
      </c>
      <c r="G884" s="428" t="s">
        <v>2304</v>
      </c>
      <c r="H884" s="428">
        <v>132</v>
      </c>
      <c r="I884" s="428">
        <v>273</v>
      </c>
      <c r="J884" s="369">
        <v>273</v>
      </c>
      <c r="K884" s="428">
        <v>97</v>
      </c>
      <c r="L884" s="217">
        <v>2220</v>
      </c>
      <c r="M884" s="428" t="s">
        <v>153</v>
      </c>
      <c r="N884" s="428" t="s">
        <v>149</v>
      </c>
      <c r="O884" s="428" t="s">
        <v>154</v>
      </c>
      <c r="P884" s="428" t="s">
        <v>151</v>
      </c>
      <c r="Q884" s="428" t="s">
        <v>155</v>
      </c>
      <c r="R884" s="428" t="s">
        <v>9435</v>
      </c>
      <c r="S884" s="428"/>
      <c r="T884" s="428" t="s">
        <v>2958</v>
      </c>
      <c r="U884" s="428" t="s">
        <v>152</v>
      </c>
      <c r="V884" s="428" t="s">
        <v>18</v>
      </c>
    </row>
    <row r="885" spans="1:22">
      <c r="A885" s="6"/>
      <c r="B885" s="216">
        <v>46253</v>
      </c>
      <c r="C885" s="216">
        <v>46253</v>
      </c>
      <c r="D885" s="428" t="s">
        <v>9436</v>
      </c>
      <c r="E885" s="428">
        <v>260107322886</v>
      </c>
      <c r="F885" s="428" t="s">
        <v>87</v>
      </c>
      <c r="G885" s="428" t="s">
        <v>2530</v>
      </c>
      <c r="H885" s="428">
        <v>162</v>
      </c>
      <c r="I885" s="428">
        <v>319</v>
      </c>
      <c r="J885" s="369">
        <v>319</v>
      </c>
      <c r="K885" s="428">
        <v>102</v>
      </c>
      <c r="L885" s="217">
        <v>2050</v>
      </c>
      <c r="M885" s="428" t="s">
        <v>153</v>
      </c>
      <c r="N885" s="428" t="s">
        <v>149</v>
      </c>
      <c r="O885" s="428" t="s">
        <v>154</v>
      </c>
      <c r="P885" s="428" t="s">
        <v>151</v>
      </c>
      <c r="Q885" s="428" t="s">
        <v>155</v>
      </c>
      <c r="R885" s="428" t="s">
        <v>9437</v>
      </c>
      <c r="S885" s="428"/>
      <c r="T885" s="428" t="s">
        <v>2958</v>
      </c>
      <c r="U885" s="428" t="s">
        <v>152</v>
      </c>
      <c r="V885" s="428" t="s">
        <v>18</v>
      </c>
    </row>
    <row r="886" spans="1:22">
      <c r="A886" s="6"/>
      <c r="B886" s="216">
        <v>46253</v>
      </c>
      <c r="C886" s="216">
        <v>46253</v>
      </c>
      <c r="D886" s="428" t="s">
        <v>9438</v>
      </c>
      <c r="E886" s="428">
        <v>260103922903</v>
      </c>
      <c r="F886" s="428" t="s">
        <v>87</v>
      </c>
      <c r="G886" s="428" t="s">
        <v>2304</v>
      </c>
      <c r="H886" s="428">
        <v>132</v>
      </c>
      <c r="I886" s="428">
        <v>226</v>
      </c>
      <c r="J886" s="369">
        <v>226</v>
      </c>
      <c r="K886" s="428">
        <v>97</v>
      </c>
      <c r="L886" s="217">
        <v>1800</v>
      </c>
      <c r="M886" s="428" t="s">
        <v>153</v>
      </c>
      <c r="N886" s="428" t="s">
        <v>149</v>
      </c>
      <c r="O886" s="428" t="s">
        <v>154</v>
      </c>
      <c r="P886" s="428" t="s">
        <v>151</v>
      </c>
      <c r="Q886" s="428" t="s">
        <v>155</v>
      </c>
      <c r="R886" s="428" t="s">
        <v>9439</v>
      </c>
      <c r="S886" s="428"/>
      <c r="T886" s="428" t="s">
        <v>2958</v>
      </c>
      <c r="U886" s="428" t="s">
        <v>152</v>
      </c>
      <c r="V886" s="428" t="s">
        <v>18</v>
      </c>
    </row>
    <row r="887" spans="1:22">
      <c r="A887" s="6"/>
      <c r="B887" s="216">
        <v>46253</v>
      </c>
      <c r="C887" s="216">
        <v>46253</v>
      </c>
      <c r="D887" s="428" t="s">
        <v>9440</v>
      </c>
      <c r="E887" s="428">
        <v>260106222906</v>
      </c>
      <c r="F887" s="428" t="s">
        <v>87</v>
      </c>
      <c r="G887" s="428" t="s">
        <v>824</v>
      </c>
      <c r="H887" s="428">
        <v>182</v>
      </c>
      <c r="I887" s="428">
        <v>263</v>
      </c>
      <c r="J887" s="369">
        <v>263</v>
      </c>
      <c r="K887" s="428">
        <v>104</v>
      </c>
      <c r="L887" s="217">
        <v>1465</v>
      </c>
      <c r="M887" s="428" t="s">
        <v>153</v>
      </c>
      <c r="N887" s="428" t="s">
        <v>149</v>
      </c>
      <c r="O887" s="428" t="s">
        <v>154</v>
      </c>
      <c r="P887" s="428" t="s">
        <v>151</v>
      </c>
      <c r="Q887" s="428" t="s">
        <v>155</v>
      </c>
      <c r="R887" s="428" t="s">
        <v>9441</v>
      </c>
      <c r="S887" s="428"/>
      <c r="T887" s="428" t="s">
        <v>2958</v>
      </c>
      <c r="U887" s="428" t="s">
        <v>152</v>
      </c>
      <c r="V887" s="428" t="s">
        <v>18</v>
      </c>
    </row>
    <row r="888" spans="1:22">
      <c r="A888" s="6"/>
      <c r="B888" s="216">
        <v>46253</v>
      </c>
      <c r="C888" s="216">
        <v>46253</v>
      </c>
      <c r="D888" s="428" t="s">
        <v>9442</v>
      </c>
      <c r="E888" s="428">
        <v>260100922909</v>
      </c>
      <c r="F888" s="428" t="s">
        <v>87</v>
      </c>
      <c r="G888" s="428" t="s">
        <v>2079</v>
      </c>
      <c r="H888" s="428">
        <v>92</v>
      </c>
      <c r="I888" s="428">
        <v>318</v>
      </c>
      <c r="J888" s="369">
        <v>318</v>
      </c>
      <c r="K888" s="428">
        <v>180</v>
      </c>
      <c r="L888" s="217">
        <v>1000</v>
      </c>
      <c r="M888" s="428" t="s">
        <v>153</v>
      </c>
      <c r="N888" s="428" t="s">
        <v>149</v>
      </c>
      <c r="O888" s="428" t="s">
        <v>154</v>
      </c>
      <c r="P888" s="428" t="s">
        <v>151</v>
      </c>
      <c r="Q888" s="428" t="s">
        <v>155</v>
      </c>
      <c r="R888" s="428" t="s">
        <v>9443</v>
      </c>
      <c r="S888" s="428"/>
      <c r="T888" s="428" t="s">
        <v>2958</v>
      </c>
      <c r="U888" s="428" t="s">
        <v>152</v>
      </c>
      <c r="V888" s="428" t="s">
        <v>18</v>
      </c>
    </row>
    <row r="889" spans="1:22">
      <c r="A889" s="6"/>
      <c r="B889" s="216">
        <v>46253</v>
      </c>
      <c r="C889" s="216">
        <v>46253</v>
      </c>
      <c r="D889" s="428" t="s">
        <v>9444</v>
      </c>
      <c r="E889" s="428">
        <v>260102822854</v>
      </c>
      <c r="F889" s="428" t="s">
        <v>87</v>
      </c>
      <c r="G889" s="428" t="s">
        <v>8032</v>
      </c>
      <c r="H889" s="428">
        <v>102</v>
      </c>
      <c r="I889" s="428">
        <v>259</v>
      </c>
      <c r="J889" s="369">
        <v>259</v>
      </c>
      <c r="K889" s="428">
        <v>130</v>
      </c>
      <c r="L889" s="217">
        <v>1000</v>
      </c>
      <c r="M889" s="428" t="s">
        <v>153</v>
      </c>
      <c r="N889" s="428" t="s">
        <v>149</v>
      </c>
      <c r="O889" s="428" t="s">
        <v>154</v>
      </c>
      <c r="P889" s="428" t="s">
        <v>151</v>
      </c>
      <c r="Q889" s="428" t="s">
        <v>155</v>
      </c>
      <c r="R889" s="428" t="s">
        <v>9445</v>
      </c>
      <c r="S889" s="428"/>
      <c r="T889" s="428" t="s">
        <v>2958</v>
      </c>
      <c r="U889" s="428" t="s">
        <v>152</v>
      </c>
      <c r="V889" s="428" t="s">
        <v>18</v>
      </c>
    </row>
    <row r="890" spans="1:22">
      <c r="A890" s="6"/>
      <c r="B890" s="216">
        <v>46253</v>
      </c>
      <c r="C890" s="216">
        <v>46253</v>
      </c>
      <c r="D890" s="428" t="s">
        <v>9446</v>
      </c>
      <c r="E890" s="428">
        <v>260102522857</v>
      </c>
      <c r="F890" s="428" t="s">
        <v>87</v>
      </c>
      <c r="G890" s="428" t="s">
        <v>8032</v>
      </c>
      <c r="H890" s="428">
        <v>102</v>
      </c>
      <c r="I890" s="428">
        <v>264</v>
      </c>
      <c r="J890" s="369">
        <v>264</v>
      </c>
      <c r="K890" s="428">
        <v>130</v>
      </c>
      <c r="L890" s="217">
        <v>1000</v>
      </c>
      <c r="M890" s="428" t="s">
        <v>153</v>
      </c>
      <c r="N890" s="428" t="s">
        <v>149</v>
      </c>
      <c r="O890" s="428" t="s">
        <v>154</v>
      </c>
      <c r="P890" s="428" t="s">
        <v>151</v>
      </c>
      <c r="Q890" s="428" t="s">
        <v>155</v>
      </c>
      <c r="R890" s="428" t="s">
        <v>9447</v>
      </c>
      <c r="S890" s="428"/>
      <c r="T890" s="428" t="s">
        <v>2958</v>
      </c>
      <c r="U890" s="428" t="s">
        <v>152</v>
      </c>
      <c r="V890" s="428" t="s">
        <v>18</v>
      </c>
    </row>
    <row r="891" spans="1:22">
      <c r="A891" s="6"/>
      <c r="B891" s="216">
        <v>46253</v>
      </c>
      <c r="C891" s="216">
        <v>46253</v>
      </c>
      <c r="D891" s="428" t="s">
        <v>9448</v>
      </c>
      <c r="E891" s="428">
        <v>260101822860</v>
      </c>
      <c r="F891" s="428" t="s">
        <v>87</v>
      </c>
      <c r="G891" s="428" t="s">
        <v>8681</v>
      </c>
      <c r="H891" s="428">
        <v>92</v>
      </c>
      <c r="I891" s="428">
        <v>244</v>
      </c>
      <c r="J891" s="369">
        <v>244</v>
      </c>
      <c r="K891" s="428">
        <v>134</v>
      </c>
      <c r="L891" s="217">
        <v>1000</v>
      </c>
      <c r="M891" s="428" t="s">
        <v>153</v>
      </c>
      <c r="N891" s="428" t="s">
        <v>149</v>
      </c>
      <c r="O891" s="428" t="s">
        <v>154</v>
      </c>
      <c r="P891" s="428" t="s">
        <v>151</v>
      </c>
      <c r="Q891" s="428" t="s">
        <v>155</v>
      </c>
      <c r="R891" s="428" t="s">
        <v>9449</v>
      </c>
      <c r="S891" s="428"/>
      <c r="T891" s="428" t="s">
        <v>2958</v>
      </c>
      <c r="U891" s="428" t="s">
        <v>152</v>
      </c>
      <c r="V891" s="428" t="s">
        <v>18</v>
      </c>
    </row>
    <row r="892" spans="1:22">
      <c r="A892" s="6"/>
      <c r="B892" s="216">
        <v>46253</v>
      </c>
      <c r="C892" s="216">
        <v>46253</v>
      </c>
      <c r="D892" s="428" t="s">
        <v>9450</v>
      </c>
      <c r="E892" s="428">
        <v>260107822911</v>
      </c>
      <c r="F892" s="428" t="s">
        <v>87</v>
      </c>
      <c r="G892" s="428" t="s">
        <v>8646</v>
      </c>
      <c r="H892" s="428">
        <v>132</v>
      </c>
      <c r="I892" s="428">
        <v>184</v>
      </c>
      <c r="J892" s="369">
        <v>184</v>
      </c>
      <c r="K892" s="428">
        <v>97</v>
      </c>
      <c r="L892" s="217">
        <v>1490</v>
      </c>
      <c r="M892" s="428" t="s">
        <v>153</v>
      </c>
      <c r="N892" s="428" t="s">
        <v>149</v>
      </c>
      <c r="O892" s="428" t="s">
        <v>154</v>
      </c>
      <c r="P892" s="428" t="s">
        <v>151</v>
      </c>
      <c r="Q892" s="428" t="s">
        <v>155</v>
      </c>
      <c r="R892" s="428" t="s">
        <v>9451</v>
      </c>
      <c r="S892" s="428"/>
      <c r="T892" s="428" t="s">
        <v>2958</v>
      </c>
      <c r="U892" s="428" t="s">
        <v>152</v>
      </c>
      <c r="V892" s="428" t="s">
        <v>18</v>
      </c>
    </row>
    <row r="893" spans="1:22">
      <c r="A893" s="6"/>
      <c r="B893" s="216">
        <v>46253</v>
      </c>
      <c r="C893" s="216">
        <v>46253</v>
      </c>
      <c r="D893" s="428" t="s">
        <v>9452</v>
      </c>
      <c r="E893" s="428">
        <v>260102522897</v>
      </c>
      <c r="F893" s="428" t="s">
        <v>87</v>
      </c>
      <c r="G893" s="428" t="s">
        <v>8032</v>
      </c>
      <c r="H893" s="428">
        <v>102</v>
      </c>
      <c r="I893" s="428">
        <v>260</v>
      </c>
      <c r="J893" s="369">
        <v>260</v>
      </c>
      <c r="K893" s="428">
        <v>130</v>
      </c>
      <c r="L893" s="217">
        <v>1000</v>
      </c>
      <c r="M893" s="428" t="s">
        <v>153</v>
      </c>
      <c r="N893" s="428" t="s">
        <v>149</v>
      </c>
      <c r="O893" s="428" t="s">
        <v>154</v>
      </c>
      <c r="P893" s="428" t="s">
        <v>151</v>
      </c>
      <c r="Q893" s="428" t="s">
        <v>155</v>
      </c>
      <c r="R893" s="428" t="s">
        <v>9453</v>
      </c>
      <c r="S893" s="428"/>
      <c r="T893" s="428" t="s">
        <v>2958</v>
      </c>
      <c r="U893" s="428" t="s">
        <v>152</v>
      </c>
      <c r="V893" s="428" t="s">
        <v>18</v>
      </c>
    </row>
    <row r="894" spans="1:22">
      <c r="A894" s="6"/>
      <c r="B894" s="216">
        <v>46253</v>
      </c>
      <c r="C894" s="216">
        <v>46253</v>
      </c>
      <c r="D894" s="428" t="s">
        <v>9454</v>
      </c>
      <c r="E894" s="428">
        <v>260103922590</v>
      </c>
      <c r="F894" s="428" t="s">
        <v>87</v>
      </c>
      <c r="G894" s="428" t="s">
        <v>2304</v>
      </c>
      <c r="H894" s="428">
        <v>132</v>
      </c>
      <c r="I894" s="428">
        <v>300</v>
      </c>
      <c r="J894" s="369">
        <v>300</v>
      </c>
      <c r="K894" s="428">
        <v>97</v>
      </c>
      <c r="L894" s="217">
        <v>2440</v>
      </c>
      <c r="M894" s="428" t="s">
        <v>153</v>
      </c>
      <c r="N894" s="428" t="s">
        <v>149</v>
      </c>
      <c r="O894" s="428" t="s">
        <v>154</v>
      </c>
      <c r="P894" s="428" t="s">
        <v>151</v>
      </c>
      <c r="Q894" s="428" t="s">
        <v>155</v>
      </c>
      <c r="R894" s="428" t="s">
        <v>9455</v>
      </c>
      <c r="S894" s="428"/>
      <c r="T894" s="428" t="s">
        <v>2958</v>
      </c>
      <c r="U894" s="428" t="s">
        <v>152</v>
      </c>
      <c r="V894" s="428" t="s">
        <v>18</v>
      </c>
    </row>
    <row r="895" spans="1:22">
      <c r="A895" s="6"/>
      <c r="B895" s="216">
        <v>46253</v>
      </c>
      <c r="C895" s="216">
        <v>46253</v>
      </c>
      <c r="D895" s="428" t="s">
        <v>9456</v>
      </c>
      <c r="E895" s="428">
        <v>260102322862</v>
      </c>
      <c r="F895" s="428" t="s">
        <v>87</v>
      </c>
      <c r="G895" s="428" t="s">
        <v>8032</v>
      </c>
      <c r="H895" s="428">
        <v>102</v>
      </c>
      <c r="I895" s="428">
        <v>265</v>
      </c>
      <c r="J895" s="369">
        <v>265</v>
      </c>
      <c r="K895" s="428">
        <v>130</v>
      </c>
      <c r="L895" s="217">
        <v>1000</v>
      </c>
      <c r="M895" s="428" t="s">
        <v>153</v>
      </c>
      <c r="N895" s="428" t="s">
        <v>149</v>
      </c>
      <c r="O895" s="428" t="s">
        <v>154</v>
      </c>
      <c r="P895" s="428" t="s">
        <v>151</v>
      </c>
      <c r="Q895" s="428" t="s">
        <v>155</v>
      </c>
      <c r="R895" s="428" t="s">
        <v>9457</v>
      </c>
      <c r="S895" s="428"/>
      <c r="T895" s="428" t="s">
        <v>2958</v>
      </c>
      <c r="U895" s="428" t="s">
        <v>152</v>
      </c>
      <c r="V895" s="428" t="s">
        <v>18</v>
      </c>
    </row>
    <row r="896" spans="1:22">
      <c r="A896" s="6"/>
      <c r="B896" s="216">
        <v>46253</v>
      </c>
      <c r="C896" s="216">
        <v>46253</v>
      </c>
      <c r="D896" s="428" t="s">
        <v>9458</v>
      </c>
      <c r="E896" s="428">
        <v>260106122869</v>
      </c>
      <c r="F896" s="428" t="s">
        <v>87</v>
      </c>
      <c r="G896" s="428" t="s">
        <v>9240</v>
      </c>
      <c r="H896" s="428">
        <v>140</v>
      </c>
      <c r="I896" s="428">
        <v>210</v>
      </c>
      <c r="J896" s="369">
        <v>210</v>
      </c>
      <c r="K896" s="428">
        <v>83</v>
      </c>
      <c r="L896" s="217">
        <v>1820</v>
      </c>
      <c r="M896" s="428" t="s">
        <v>153</v>
      </c>
      <c r="N896" s="428" t="s">
        <v>149</v>
      </c>
      <c r="O896" s="428" t="s">
        <v>154</v>
      </c>
      <c r="P896" s="428" t="s">
        <v>151</v>
      </c>
      <c r="Q896" s="428" t="s">
        <v>155</v>
      </c>
      <c r="R896" s="428" t="s">
        <v>9459</v>
      </c>
      <c r="S896" s="428"/>
      <c r="T896" s="428" t="s">
        <v>2958</v>
      </c>
      <c r="U896" s="428" t="s">
        <v>152</v>
      </c>
      <c r="V896" s="428" t="s">
        <v>18</v>
      </c>
    </row>
    <row r="897" spans="1:22">
      <c r="A897" s="6"/>
      <c r="B897" s="216">
        <v>46253</v>
      </c>
      <c r="C897" s="216">
        <v>46253</v>
      </c>
      <c r="D897" s="428" t="s">
        <v>9460</v>
      </c>
      <c r="E897" s="428">
        <v>260101722858</v>
      </c>
      <c r="F897" s="428" t="s">
        <v>87</v>
      </c>
      <c r="G897" s="428" t="s">
        <v>8681</v>
      </c>
      <c r="H897" s="428">
        <v>92</v>
      </c>
      <c r="I897" s="428">
        <v>263</v>
      </c>
      <c r="J897" s="369">
        <v>263</v>
      </c>
      <c r="K897" s="428">
        <v>134</v>
      </c>
      <c r="L897" s="217">
        <v>1070</v>
      </c>
      <c r="M897" s="428" t="s">
        <v>153</v>
      </c>
      <c r="N897" s="428" t="s">
        <v>149</v>
      </c>
      <c r="O897" s="428" t="s">
        <v>154</v>
      </c>
      <c r="P897" s="428" t="s">
        <v>151</v>
      </c>
      <c r="Q897" s="428" t="s">
        <v>155</v>
      </c>
      <c r="R897" s="428" t="s">
        <v>9461</v>
      </c>
      <c r="S897" s="428"/>
      <c r="T897" s="428" t="s">
        <v>2958</v>
      </c>
      <c r="U897" s="428" t="s">
        <v>152</v>
      </c>
      <c r="V897" s="428" t="s">
        <v>18</v>
      </c>
    </row>
    <row r="898" spans="1:22">
      <c r="A898" s="6"/>
      <c r="B898" s="216">
        <v>46253</v>
      </c>
      <c r="C898" s="216">
        <v>46253</v>
      </c>
      <c r="D898" s="428" t="s">
        <v>9462</v>
      </c>
      <c r="E898" s="428">
        <v>260102222861</v>
      </c>
      <c r="F898" s="428" t="s">
        <v>87</v>
      </c>
      <c r="G898" s="428" t="s">
        <v>8032</v>
      </c>
      <c r="H898" s="428">
        <v>102</v>
      </c>
      <c r="I898" s="428">
        <v>264</v>
      </c>
      <c r="J898" s="369">
        <v>264</v>
      </c>
      <c r="K898" s="428">
        <v>130</v>
      </c>
      <c r="L898" s="217">
        <v>1000</v>
      </c>
      <c r="M898" s="428" t="s">
        <v>153</v>
      </c>
      <c r="N898" s="428" t="s">
        <v>149</v>
      </c>
      <c r="O898" s="428" t="s">
        <v>154</v>
      </c>
      <c r="P898" s="428" t="s">
        <v>151</v>
      </c>
      <c r="Q898" s="428" t="s">
        <v>155</v>
      </c>
      <c r="R898" s="428" t="s">
        <v>9463</v>
      </c>
      <c r="S898" s="428"/>
      <c r="T898" s="428" t="s">
        <v>2958</v>
      </c>
      <c r="U898" s="428" t="s">
        <v>152</v>
      </c>
      <c r="V898" s="428" t="s">
        <v>18</v>
      </c>
    </row>
    <row r="899" spans="1:22">
      <c r="A899" s="6"/>
      <c r="B899" s="216">
        <v>46253</v>
      </c>
      <c r="C899" s="216">
        <v>46253</v>
      </c>
      <c r="D899" s="428" t="s">
        <v>9464</v>
      </c>
      <c r="E899" s="428">
        <v>260105222876</v>
      </c>
      <c r="F899" s="428" t="s">
        <v>87</v>
      </c>
      <c r="G899" s="428" t="s">
        <v>2527</v>
      </c>
      <c r="H899" s="428">
        <v>152</v>
      </c>
      <c r="I899" s="428">
        <v>263</v>
      </c>
      <c r="J899" s="369">
        <v>263</v>
      </c>
      <c r="K899" s="428">
        <v>104</v>
      </c>
      <c r="L899" s="217">
        <v>1750</v>
      </c>
      <c r="M899" s="428" t="s">
        <v>153</v>
      </c>
      <c r="N899" s="428" t="s">
        <v>149</v>
      </c>
      <c r="O899" s="428" t="s">
        <v>154</v>
      </c>
      <c r="P899" s="428" t="s">
        <v>151</v>
      </c>
      <c r="Q899" s="428" t="s">
        <v>155</v>
      </c>
      <c r="R899" s="428" t="s">
        <v>9465</v>
      </c>
      <c r="S899" s="428"/>
      <c r="T899" s="428" t="s">
        <v>2958</v>
      </c>
      <c r="U899" s="428" t="s">
        <v>152</v>
      </c>
      <c r="V899" s="428" t="s">
        <v>18</v>
      </c>
    </row>
    <row r="900" spans="1:22">
      <c r="A900" s="6"/>
      <c r="B900" s="216">
        <v>46253</v>
      </c>
      <c r="C900" s="216">
        <v>46253</v>
      </c>
      <c r="D900" s="428" t="s">
        <v>9466</v>
      </c>
      <c r="E900" s="428">
        <v>260101522895</v>
      </c>
      <c r="F900" s="428" t="s">
        <v>87</v>
      </c>
      <c r="G900" s="428" t="s">
        <v>2419</v>
      </c>
      <c r="H900" s="428">
        <v>92</v>
      </c>
      <c r="I900" s="428">
        <v>264</v>
      </c>
      <c r="J900" s="369">
        <v>264</v>
      </c>
      <c r="K900" s="428">
        <v>180</v>
      </c>
      <c r="L900" s="217">
        <v>820</v>
      </c>
      <c r="M900" s="428" t="s">
        <v>153</v>
      </c>
      <c r="N900" s="428" t="s">
        <v>149</v>
      </c>
      <c r="O900" s="428" t="s">
        <v>154</v>
      </c>
      <c r="P900" s="428" t="s">
        <v>151</v>
      </c>
      <c r="Q900" s="428" t="s">
        <v>155</v>
      </c>
      <c r="R900" s="428" t="s">
        <v>9467</v>
      </c>
      <c r="S900" s="428"/>
      <c r="T900" s="428" t="s">
        <v>2958</v>
      </c>
      <c r="U900" s="428" t="s">
        <v>152</v>
      </c>
      <c r="V900" s="428" t="s">
        <v>18</v>
      </c>
    </row>
    <row r="901" spans="1:22">
      <c r="A901" s="6"/>
      <c r="B901" s="216">
        <v>46253</v>
      </c>
      <c r="C901" s="216">
        <v>46253</v>
      </c>
      <c r="D901" s="428" t="s">
        <v>9468</v>
      </c>
      <c r="E901" s="428">
        <v>260102422898</v>
      </c>
      <c r="F901" s="428" t="s">
        <v>87</v>
      </c>
      <c r="G901" s="428" t="s">
        <v>8032</v>
      </c>
      <c r="H901" s="428">
        <v>102</v>
      </c>
      <c r="I901" s="428">
        <v>261</v>
      </c>
      <c r="J901" s="369">
        <v>261</v>
      </c>
      <c r="K901" s="428">
        <v>130</v>
      </c>
      <c r="L901" s="217">
        <v>1000</v>
      </c>
      <c r="M901" s="428" t="s">
        <v>153</v>
      </c>
      <c r="N901" s="428" t="s">
        <v>149</v>
      </c>
      <c r="O901" s="428" t="s">
        <v>154</v>
      </c>
      <c r="P901" s="428" t="s">
        <v>151</v>
      </c>
      <c r="Q901" s="428" t="s">
        <v>155</v>
      </c>
      <c r="R901" s="428" t="s">
        <v>9469</v>
      </c>
      <c r="S901" s="428"/>
      <c r="T901" s="428" t="s">
        <v>2958</v>
      </c>
      <c r="U901" s="428" t="s">
        <v>152</v>
      </c>
      <c r="V901" s="428" t="s">
        <v>18</v>
      </c>
    </row>
    <row r="902" spans="1:22">
      <c r="A902" s="6"/>
      <c r="B902" s="216">
        <v>46253</v>
      </c>
      <c r="C902" s="216">
        <v>46253</v>
      </c>
      <c r="D902" s="428" t="s">
        <v>9470</v>
      </c>
      <c r="E902" s="428">
        <v>260100722908</v>
      </c>
      <c r="F902" s="428" t="s">
        <v>87</v>
      </c>
      <c r="G902" s="428" t="s">
        <v>7586</v>
      </c>
      <c r="H902" s="428">
        <v>145</v>
      </c>
      <c r="I902" s="428">
        <v>422</v>
      </c>
      <c r="J902" s="369">
        <v>422</v>
      </c>
      <c r="K902" s="428">
        <v>170</v>
      </c>
      <c r="L902" s="217">
        <v>860</v>
      </c>
      <c r="M902" s="428" t="s">
        <v>153</v>
      </c>
      <c r="N902" s="428" t="s">
        <v>149</v>
      </c>
      <c r="O902" s="428" t="s">
        <v>154</v>
      </c>
      <c r="P902" s="428" t="s">
        <v>151</v>
      </c>
      <c r="Q902" s="428" t="s">
        <v>155</v>
      </c>
      <c r="R902" s="428" t="s">
        <v>9471</v>
      </c>
      <c r="S902" s="428"/>
      <c r="T902" s="428" t="s">
        <v>2958</v>
      </c>
      <c r="U902" s="428" t="s">
        <v>152</v>
      </c>
      <c r="V902" s="428" t="s">
        <v>18</v>
      </c>
    </row>
    <row r="903" spans="1:22">
      <c r="A903" s="6"/>
      <c r="B903" s="216">
        <v>46253</v>
      </c>
      <c r="C903" s="216">
        <v>46253</v>
      </c>
      <c r="D903" s="428" t="s">
        <v>9472</v>
      </c>
      <c r="E903" s="428">
        <v>260101722912</v>
      </c>
      <c r="F903" s="428" t="s">
        <v>87</v>
      </c>
      <c r="G903" s="428" t="s">
        <v>8681</v>
      </c>
      <c r="H903" s="428">
        <v>92</v>
      </c>
      <c r="I903" s="428">
        <v>245</v>
      </c>
      <c r="J903" s="369">
        <v>245</v>
      </c>
      <c r="K903" s="428">
        <v>134</v>
      </c>
      <c r="L903" s="217">
        <v>1000</v>
      </c>
      <c r="M903" s="428" t="s">
        <v>153</v>
      </c>
      <c r="N903" s="428" t="s">
        <v>149</v>
      </c>
      <c r="O903" s="428" t="s">
        <v>154</v>
      </c>
      <c r="P903" s="428" t="s">
        <v>151</v>
      </c>
      <c r="Q903" s="428" t="s">
        <v>155</v>
      </c>
      <c r="R903" s="428" t="s">
        <v>9473</v>
      </c>
      <c r="S903" s="428"/>
      <c r="T903" s="428" t="s">
        <v>2958</v>
      </c>
      <c r="U903" s="428" t="s">
        <v>152</v>
      </c>
      <c r="V903" s="428" t="s">
        <v>18</v>
      </c>
    </row>
    <row r="904" spans="1:22">
      <c r="A904" s="6"/>
      <c r="B904" s="216">
        <v>46253</v>
      </c>
      <c r="C904" s="216">
        <v>46253</v>
      </c>
      <c r="D904" s="428" t="s">
        <v>9474</v>
      </c>
      <c r="E904" s="428">
        <v>260102722855</v>
      </c>
      <c r="F904" s="428" t="s">
        <v>87</v>
      </c>
      <c r="G904" s="428" t="s">
        <v>8032</v>
      </c>
      <c r="H904" s="428">
        <v>102</v>
      </c>
      <c r="I904" s="428">
        <v>285</v>
      </c>
      <c r="J904" s="369">
        <v>285</v>
      </c>
      <c r="K904" s="428">
        <v>130</v>
      </c>
      <c r="L904" s="217">
        <v>1090</v>
      </c>
      <c r="M904" s="428" t="s">
        <v>153</v>
      </c>
      <c r="N904" s="428" t="s">
        <v>149</v>
      </c>
      <c r="O904" s="428" t="s">
        <v>154</v>
      </c>
      <c r="P904" s="428" t="s">
        <v>151</v>
      </c>
      <c r="Q904" s="428" t="s">
        <v>155</v>
      </c>
      <c r="R904" s="428" t="s">
        <v>9475</v>
      </c>
      <c r="S904" s="428"/>
      <c r="T904" s="428" t="s">
        <v>2958</v>
      </c>
      <c r="U904" s="428" t="s">
        <v>152</v>
      </c>
      <c r="V904" s="428" t="s">
        <v>18</v>
      </c>
    </row>
    <row r="905" spans="1:22">
      <c r="A905" s="6"/>
      <c r="B905" s="216">
        <v>46253</v>
      </c>
      <c r="C905" s="216">
        <v>46253</v>
      </c>
      <c r="D905" s="428" t="s">
        <v>9476</v>
      </c>
      <c r="E905" s="428">
        <v>260104622872</v>
      </c>
      <c r="F905" s="428" t="s">
        <v>87</v>
      </c>
      <c r="G905" s="428" t="s">
        <v>824</v>
      </c>
      <c r="H905" s="428">
        <v>152</v>
      </c>
      <c r="I905" s="428">
        <v>280</v>
      </c>
      <c r="J905" s="369">
        <v>280</v>
      </c>
      <c r="K905" s="428">
        <v>104</v>
      </c>
      <c r="L905" s="217">
        <v>1880</v>
      </c>
      <c r="M905" s="428" t="s">
        <v>153</v>
      </c>
      <c r="N905" s="428" t="s">
        <v>149</v>
      </c>
      <c r="O905" s="428" t="s">
        <v>154</v>
      </c>
      <c r="P905" s="428" t="s">
        <v>151</v>
      </c>
      <c r="Q905" s="428" t="s">
        <v>155</v>
      </c>
      <c r="R905" s="428" t="s">
        <v>9477</v>
      </c>
      <c r="S905" s="428"/>
      <c r="T905" s="428" t="s">
        <v>2958</v>
      </c>
      <c r="U905" s="428" t="s">
        <v>152</v>
      </c>
      <c r="V905" s="428" t="s">
        <v>18</v>
      </c>
    </row>
    <row r="906" spans="1:22">
      <c r="A906" s="6"/>
      <c r="B906" s="216">
        <v>46253</v>
      </c>
      <c r="C906" s="216">
        <v>46253</v>
      </c>
      <c r="D906" s="428" t="s">
        <v>9478</v>
      </c>
      <c r="E906" s="428">
        <v>260107820795</v>
      </c>
      <c r="F906" s="428" t="s">
        <v>87</v>
      </c>
      <c r="G906" s="428" t="s">
        <v>2309</v>
      </c>
      <c r="H906" s="428">
        <v>132</v>
      </c>
      <c r="I906" s="428">
        <v>167</v>
      </c>
      <c r="J906" s="369">
        <v>167</v>
      </c>
      <c r="K906" s="428">
        <v>92</v>
      </c>
      <c r="L906" s="217">
        <v>1400</v>
      </c>
      <c r="M906" s="428" t="s">
        <v>153</v>
      </c>
      <c r="N906" s="428" t="s">
        <v>149</v>
      </c>
      <c r="O906" s="428" t="s">
        <v>154</v>
      </c>
      <c r="P906" s="428" t="s">
        <v>151</v>
      </c>
      <c r="Q906" s="428" t="s">
        <v>155</v>
      </c>
      <c r="R906" s="428" t="s">
        <v>9479</v>
      </c>
      <c r="S906" s="428"/>
      <c r="T906" s="428" t="s">
        <v>2958</v>
      </c>
      <c r="U906" s="428" t="s">
        <v>152</v>
      </c>
      <c r="V906" s="428" t="s">
        <v>18</v>
      </c>
    </row>
    <row r="907" spans="1:22">
      <c r="A907" s="6"/>
      <c r="B907" s="216">
        <v>46253</v>
      </c>
      <c r="C907" s="216">
        <v>46253</v>
      </c>
      <c r="D907" s="428" t="s">
        <v>9480</v>
      </c>
      <c r="E907" s="428">
        <v>2</v>
      </c>
      <c r="F907" s="428" t="s">
        <v>94</v>
      </c>
      <c r="G907" s="428" t="s">
        <v>9481</v>
      </c>
      <c r="H907" s="428">
        <v>142</v>
      </c>
      <c r="I907" s="428">
        <v>96</v>
      </c>
      <c r="J907" s="369">
        <v>96</v>
      </c>
      <c r="K907" s="428">
        <v>87</v>
      </c>
      <c r="L907" s="217">
        <v>700</v>
      </c>
      <c r="M907" s="428" t="s">
        <v>153</v>
      </c>
      <c r="N907" s="428" t="s">
        <v>149</v>
      </c>
      <c r="O907" s="428" t="s">
        <v>154</v>
      </c>
      <c r="P907" s="428" t="s">
        <v>151</v>
      </c>
      <c r="Q907" s="428" t="s">
        <v>155</v>
      </c>
      <c r="R907" s="428" t="s">
        <v>9482</v>
      </c>
      <c r="S907" s="428"/>
      <c r="T907" s="428" t="s">
        <v>9483</v>
      </c>
      <c r="U907" s="428" t="s">
        <v>152</v>
      </c>
      <c r="V907" s="428" t="s">
        <v>18</v>
      </c>
    </row>
    <row r="908" spans="1:22">
      <c r="A908" s="6"/>
      <c r="B908" s="216">
        <v>46253</v>
      </c>
      <c r="C908" s="216">
        <v>46253</v>
      </c>
      <c r="D908" s="428" t="s">
        <v>9484</v>
      </c>
      <c r="E908" s="428">
        <v>3</v>
      </c>
      <c r="F908" s="428" t="s">
        <v>94</v>
      </c>
      <c r="G908" s="428" t="s">
        <v>9485</v>
      </c>
      <c r="H908" s="428">
        <v>142</v>
      </c>
      <c r="I908" s="428">
        <v>232</v>
      </c>
      <c r="J908" s="369">
        <v>232</v>
      </c>
      <c r="K908" s="428">
        <v>97</v>
      </c>
      <c r="L908" s="217">
        <v>1684</v>
      </c>
      <c r="M908" s="428" t="s">
        <v>153</v>
      </c>
      <c r="N908" s="428" t="s">
        <v>149</v>
      </c>
      <c r="O908" s="428" t="s">
        <v>154</v>
      </c>
      <c r="P908" s="428" t="s">
        <v>151</v>
      </c>
      <c r="Q908" s="428" t="s">
        <v>155</v>
      </c>
      <c r="R908" s="428" t="s">
        <v>9486</v>
      </c>
      <c r="S908" s="428"/>
      <c r="T908" s="428" t="s">
        <v>9483</v>
      </c>
      <c r="U908" s="428" t="s">
        <v>152</v>
      </c>
      <c r="V908" s="428" t="s">
        <v>18</v>
      </c>
    </row>
    <row r="909" spans="1:22">
      <c r="A909" s="6"/>
      <c r="B909" s="216">
        <v>46253</v>
      </c>
      <c r="C909" s="216">
        <v>46253</v>
      </c>
      <c r="D909" s="428" t="s">
        <v>9487</v>
      </c>
      <c r="E909" s="428">
        <v>1</v>
      </c>
      <c r="F909" s="428" t="s">
        <v>94</v>
      </c>
      <c r="G909" s="428" t="s">
        <v>9488</v>
      </c>
      <c r="H909" s="428">
        <v>142</v>
      </c>
      <c r="I909" s="428">
        <v>256.2</v>
      </c>
      <c r="J909" s="369">
        <v>256.2</v>
      </c>
      <c r="K909" s="428">
        <v>87</v>
      </c>
      <c r="L909" s="217">
        <v>2108</v>
      </c>
      <c r="M909" s="428" t="s">
        <v>153</v>
      </c>
      <c r="N909" s="428" t="s">
        <v>149</v>
      </c>
      <c r="O909" s="428" t="s">
        <v>154</v>
      </c>
      <c r="P909" s="428" t="s">
        <v>151</v>
      </c>
      <c r="Q909" s="428" t="s">
        <v>155</v>
      </c>
      <c r="R909" s="428" t="s">
        <v>9489</v>
      </c>
      <c r="S909" s="428"/>
      <c r="T909" s="428" t="s">
        <v>9483</v>
      </c>
      <c r="U909" s="428" t="s">
        <v>152</v>
      </c>
      <c r="V909" s="428" t="s">
        <v>18</v>
      </c>
    </row>
    <row r="910" spans="1:22">
      <c r="A910" s="6"/>
      <c r="B910" s="216">
        <v>46253</v>
      </c>
      <c r="C910" s="216">
        <v>46253</v>
      </c>
      <c r="D910" s="428" t="s">
        <v>9490</v>
      </c>
      <c r="E910" s="428" t="s">
        <v>9491</v>
      </c>
      <c r="F910" s="428" t="s">
        <v>94</v>
      </c>
      <c r="G910" s="428" t="s">
        <v>2304</v>
      </c>
      <c r="H910" s="428">
        <v>142</v>
      </c>
      <c r="I910" s="428">
        <v>226.8</v>
      </c>
      <c r="J910" s="369">
        <v>226.8</v>
      </c>
      <c r="K910" s="428">
        <v>97</v>
      </c>
      <c r="L910" s="217">
        <v>1650</v>
      </c>
      <c r="M910" s="428" t="s">
        <v>153</v>
      </c>
      <c r="N910" s="428" t="s">
        <v>149</v>
      </c>
      <c r="O910" s="428" t="s">
        <v>154</v>
      </c>
      <c r="P910" s="428" t="s">
        <v>151</v>
      </c>
      <c r="Q910" s="428" t="s">
        <v>155</v>
      </c>
      <c r="R910" s="428" t="s">
        <v>9491</v>
      </c>
      <c r="S910" s="428"/>
      <c r="T910" s="428" t="s">
        <v>9483</v>
      </c>
      <c r="U910" s="428" t="s">
        <v>152</v>
      </c>
      <c r="V910" s="428" t="s">
        <v>18</v>
      </c>
    </row>
    <row r="911" spans="1:22">
      <c r="A911" s="6"/>
      <c r="B911" s="216">
        <v>46253</v>
      </c>
      <c r="C911" s="216">
        <v>46253</v>
      </c>
      <c r="D911" s="428" t="s">
        <v>9492</v>
      </c>
      <c r="E911" s="428" t="s">
        <v>9493</v>
      </c>
      <c r="F911" s="428" t="s">
        <v>94</v>
      </c>
      <c r="G911" s="428" t="s">
        <v>2361</v>
      </c>
      <c r="H911" s="428">
        <v>152</v>
      </c>
      <c r="I911" s="428">
        <v>136.30000000000001</v>
      </c>
      <c r="J911" s="369">
        <v>136.30000000000001</v>
      </c>
      <c r="K911" s="428">
        <v>98</v>
      </c>
      <c r="L911" s="217">
        <v>993</v>
      </c>
      <c r="M911" s="428" t="s">
        <v>153</v>
      </c>
      <c r="N911" s="428" t="s">
        <v>149</v>
      </c>
      <c r="O911" s="428" t="s">
        <v>154</v>
      </c>
      <c r="P911" s="428" t="s">
        <v>151</v>
      </c>
      <c r="Q911" s="428" t="s">
        <v>155</v>
      </c>
      <c r="R911" s="428" t="s">
        <v>9493</v>
      </c>
      <c r="S911" s="428"/>
      <c r="T911" s="428" t="s">
        <v>9483</v>
      </c>
      <c r="U911" s="428" t="s">
        <v>152</v>
      </c>
      <c r="V911" s="428" t="s">
        <v>18</v>
      </c>
    </row>
    <row r="912" spans="1:22">
      <c r="A912" s="6"/>
      <c r="B912" s="216">
        <v>46254</v>
      </c>
      <c r="C912" s="216">
        <v>46254</v>
      </c>
      <c r="D912" s="428" t="s">
        <v>9494</v>
      </c>
      <c r="E912" s="428">
        <v>260102022929</v>
      </c>
      <c r="F912" s="428" t="s">
        <v>87</v>
      </c>
      <c r="G912" s="428" t="s">
        <v>8681</v>
      </c>
      <c r="H912" s="428">
        <v>92</v>
      </c>
      <c r="I912" s="428">
        <v>268</v>
      </c>
      <c r="J912" s="369">
        <v>268</v>
      </c>
      <c r="K912" s="428">
        <v>134</v>
      </c>
      <c r="L912" s="217">
        <v>1110</v>
      </c>
      <c r="M912" s="428" t="s">
        <v>153</v>
      </c>
      <c r="N912" s="428" t="s">
        <v>149</v>
      </c>
      <c r="O912" s="428" t="s">
        <v>154</v>
      </c>
      <c r="P912" s="428" t="s">
        <v>151</v>
      </c>
      <c r="Q912" s="428" t="s">
        <v>155</v>
      </c>
      <c r="R912" s="428" t="s">
        <v>9495</v>
      </c>
      <c r="S912" s="428"/>
      <c r="T912" s="428" t="s">
        <v>3029</v>
      </c>
      <c r="U912" s="428" t="s">
        <v>152</v>
      </c>
      <c r="V912" s="428" t="s">
        <v>18</v>
      </c>
    </row>
    <row r="913" spans="1:22">
      <c r="A913" s="6"/>
      <c r="B913" s="216">
        <v>46254</v>
      </c>
      <c r="C913" s="216">
        <v>46254</v>
      </c>
      <c r="D913" s="428" t="s">
        <v>9496</v>
      </c>
      <c r="E913" s="428">
        <v>260102922935</v>
      </c>
      <c r="F913" s="428" t="s">
        <v>87</v>
      </c>
      <c r="G913" s="428" t="s">
        <v>824</v>
      </c>
      <c r="H913" s="428">
        <v>152</v>
      </c>
      <c r="I913" s="428">
        <v>307</v>
      </c>
      <c r="J913" s="369">
        <v>307</v>
      </c>
      <c r="K913" s="428">
        <v>104</v>
      </c>
      <c r="L913" s="217">
        <v>1990</v>
      </c>
      <c r="M913" s="428" t="s">
        <v>153</v>
      </c>
      <c r="N913" s="428" t="s">
        <v>149</v>
      </c>
      <c r="O913" s="428" t="s">
        <v>154</v>
      </c>
      <c r="P913" s="428" t="s">
        <v>151</v>
      </c>
      <c r="Q913" s="428" t="s">
        <v>155</v>
      </c>
      <c r="R913" s="428" t="s">
        <v>9497</v>
      </c>
      <c r="S913" s="428"/>
      <c r="T913" s="428" t="s">
        <v>3029</v>
      </c>
      <c r="U913" s="428" t="s">
        <v>152</v>
      </c>
      <c r="V913" s="428" t="s">
        <v>18</v>
      </c>
    </row>
    <row r="914" spans="1:22">
      <c r="A914" s="6"/>
      <c r="B914" s="216">
        <v>46254</v>
      </c>
      <c r="C914" s="216">
        <v>46254</v>
      </c>
      <c r="D914" s="428" t="s">
        <v>9498</v>
      </c>
      <c r="E914" s="428">
        <v>260106122951</v>
      </c>
      <c r="F914" s="428" t="s">
        <v>87</v>
      </c>
      <c r="G914" s="428" t="s">
        <v>9240</v>
      </c>
      <c r="H914" s="428">
        <v>140</v>
      </c>
      <c r="I914" s="428">
        <v>200</v>
      </c>
      <c r="J914" s="369">
        <v>200</v>
      </c>
      <c r="K914" s="428">
        <v>83</v>
      </c>
      <c r="L914" s="217">
        <v>1780</v>
      </c>
      <c r="M914" s="428" t="s">
        <v>153</v>
      </c>
      <c r="N914" s="428" t="s">
        <v>149</v>
      </c>
      <c r="O914" s="428" t="s">
        <v>154</v>
      </c>
      <c r="P914" s="428" t="s">
        <v>151</v>
      </c>
      <c r="Q914" s="428" t="s">
        <v>155</v>
      </c>
      <c r="R914" s="428" t="s">
        <v>9499</v>
      </c>
      <c r="S914" s="428"/>
      <c r="T914" s="428" t="s">
        <v>3029</v>
      </c>
      <c r="U914" s="428" t="s">
        <v>152</v>
      </c>
      <c r="V914" s="428" t="s">
        <v>18</v>
      </c>
    </row>
    <row r="915" spans="1:22">
      <c r="A915" s="6"/>
      <c r="B915" s="216">
        <v>46254</v>
      </c>
      <c r="C915" s="216">
        <v>46254</v>
      </c>
      <c r="D915" s="428" t="s">
        <v>9500</v>
      </c>
      <c r="E915" s="428">
        <v>260102722957</v>
      </c>
      <c r="F915" s="428" t="s">
        <v>87</v>
      </c>
      <c r="G915" s="428" t="s">
        <v>8032</v>
      </c>
      <c r="H915" s="428">
        <v>102</v>
      </c>
      <c r="I915" s="428">
        <v>267</v>
      </c>
      <c r="J915" s="369">
        <v>267</v>
      </c>
      <c r="K915" s="428">
        <v>130</v>
      </c>
      <c r="L915" s="217">
        <v>1000</v>
      </c>
      <c r="M915" s="428" t="s">
        <v>153</v>
      </c>
      <c r="N915" s="428" t="s">
        <v>149</v>
      </c>
      <c r="O915" s="428" t="s">
        <v>154</v>
      </c>
      <c r="P915" s="428" t="s">
        <v>151</v>
      </c>
      <c r="Q915" s="428" t="s">
        <v>155</v>
      </c>
      <c r="R915" s="428" t="s">
        <v>9501</v>
      </c>
      <c r="S915" s="428"/>
      <c r="T915" s="428" t="s">
        <v>3029</v>
      </c>
      <c r="U915" s="428" t="s">
        <v>152</v>
      </c>
      <c r="V915" s="428" t="s">
        <v>18</v>
      </c>
    </row>
    <row r="916" spans="1:22">
      <c r="A916" s="6"/>
      <c r="B916" s="216">
        <v>46254</v>
      </c>
      <c r="C916" s="216">
        <v>46254</v>
      </c>
      <c r="D916" s="428" t="s">
        <v>9502</v>
      </c>
      <c r="E916" s="428">
        <v>260103422972</v>
      </c>
      <c r="F916" s="428" t="s">
        <v>87</v>
      </c>
      <c r="G916" s="428" t="s">
        <v>824</v>
      </c>
      <c r="H916" s="428">
        <v>152</v>
      </c>
      <c r="I916" s="428">
        <v>282</v>
      </c>
      <c r="J916" s="369">
        <v>282</v>
      </c>
      <c r="K916" s="428">
        <v>104</v>
      </c>
      <c r="L916" s="217">
        <v>1900</v>
      </c>
      <c r="M916" s="428" t="s">
        <v>153</v>
      </c>
      <c r="N916" s="428" t="s">
        <v>149</v>
      </c>
      <c r="O916" s="428" t="s">
        <v>154</v>
      </c>
      <c r="P916" s="428" t="s">
        <v>151</v>
      </c>
      <c r="Q916" s="428" t="s">
        <v>155</v>
      </c>
      <c r="R916" s="428" t="s">
        <v>9503</v>
      </c>
      <c r="S916" s="428"/>
      <c r="T916" s="428" t="s">
        <v>3029</v>
      </c>
      <c r="U916" s="428" t="s">
        <v>152</v>
      </c>
      <c r="V916" s="428" t="s">
        <v>18</v>
      </c>
    </row>
    <row r="917" spans="1:22">
      <c r="A917" s="6"/>
      <c r="B917" s="216">
        <v>46254</v>
      </c>
      <c r="C917" s="216">
        <v>46254</v>
      </c>
      <c r="D917" s="428" t="s">
        <v>9504</v>
      </c>
      <c r="E917" s="428">
        <v>260107822985</v>
      </c>
      <c r="F917" s="428" t="s">
        <v>87</v>
      </c>
      <c r="G917" s="428" t="s">
        <v>8646</v>
      </c>
      <c r="H917" s="428">
        <v>135</v>
      </c>
      <c r="I917" s="428">
        <v>303</v>
      </c>
      <c r="J917" s="369">
        <v>303</v>
      </c>
      <c r="K917" s="428">
        <v>97</v>
      </c>
      <c r="L917" s="217">
        <v>2400</v>
      </c>
      <c r="M917" s="428" t="s">
        <v>153</v>
      </c>
      <c r="N917" s="428" t="s">
        <v>149</v>
      </c>
      <c r="O917" s="428" t="s">
        <v>154</v>
      </c>
      <c r="P917" s="428" t="s">
        <v>151</v>
      </c>
      <c r="Q917" s="428" t="s">
        <v>155</v>
      </c>
      <c r="R917" s="428" t="s">
        <v>9505</v>
      </c>
      <c r="S917" s="428"/>
      <c r="T917" s="428" t="s">
        <v>3029</v>
      </c>
      <c r="U917" s="428" t="s">
        <v>152</v>
      </c>
      <c r="V917" s="428" t="s">
        <v>18</v>
      </c>
    </row>
    <row r="918" spans="1:22">
      <c r="A918" s="6"/>
      <c r="B918" s="216">
        <v>46254</v>
      </c>
      <c r="C918" s="216">
        <v>46254</v>
      </c>
      <c r="D918" s="428" t="s">
        <v>9506</v>
      </c>
      <c r="E918" s="428">
        <v>260105322944</v>
      </c>
      <c r="F918" s="428" t="s">
        <v>87</v>
      </c>
      <c r="G918" s="428" t="s">
        <v>824</v>
      </c>
      <c r="H918" s="428">
        <v>152</v>
      </c>
      <c r="I918" s="428">
        <v>266</v>
      </c>
      <c r="J918" s="369">
        <v>266</v>
      </c>
      <c r="K918" s="428">
        <v>104</v>
      </c>
      <c r="L918" s="217">
        <v>1780</v>
      </c>
      <c r="M918" s="428" t="s">
        <v>153</v>
      </c>
      <c r="N918" s="428" t="s">
        <v>149</v>
      </c>
      <c r="O918" s="428" t="s">
        <v>154</v>
      </c>
      <c r="P918" s="428" t="s">
        <v>151</v>
      </c>
      <c r="Q918" s="428" t="s">
        <v>155</v>
      </c>
      <c r="R918" s="428" t="s">
        <v>9507</v>
      </c>
      <c r="S918" s="428"/>
      <c r="T918" s="428" t="s">
        <v>3029</v>
      </c>
      <c r="U918" s="428" t="s">
        <v>152</v>
      </c>
      <c r="V918" s="428" t="s">
        <v>18</v>
      </c>
    </row>
    <row r="919" spans="1:22">
      <c r="A919" s="6"/>
      <c r="B919" s="216">
        <v>46254</v>
      </c>
      <c r="C919" s="216">
        <v>46254</v>
      </c>
      <c r="D919" s="428" t="s">
        <v>9508</v>
      </c>
      <c r="E919" s="428">
        <v>260102622962</v>
      </c>
      <c r="F919" s="428" t="s">
        <v>87</v>
      </c>
      <c r="G919" s="428" t="s">
        <v>8032</v>
      </c>
      <c r="H919" s="428">
        <v>102</v>
      </c>
      <c r="I919" s="428">
        <v>259</v>
      </c>
      <c r="J919" s="369">
        <v>259</v>
      </c>
      <c r="K919" s="428">
        <v>130</v>
      </c>
      <c r="L919" s="217">
        <v>1000</v>
      </c>
      <c r="M919" s="428" t="s">
        <v>153</v>
      </c>
      <c r="N919" s="428" t="s">
        <v>149</v>
      </c>
      <c r="O919" s="428" t="s">
        <v>154</v>
      </c>
      <c r="P919" s="428" t="s">
        <v>151</v>
      </c>
      <c r="Q919" s="428" t="s">
        <v>155</v>
      </c>
      <c r="R919" s="428" t="s">
        <v>9509</v>
      </c>
      <c r="S919" s="428"/>
      <c r="T919" s="428" t="s">
        <v>3029</v>
      </c>
      <c r="U919" s="428" t="s">
        <v>152</v>
      </c>
      <c r="V919" s="428" t="s">
        <v>18</v>
      </c>
    </row>
    <row r="920" spans="1:22">
      <c r="A920" s="6"/>
      <c r="B920" s="216">
        <v>46254</v>
      </c>
      <c r="C920" s="216">
        <v>46254</v>
      </c>
      <c r="D920" s="428" t="s">
        <v>9510</v>
      </c>
      <c r="E920" s="428">
        <v>260101722965</v>
      </c>
      <c r="F920" s="428" t="s">
        <v>87</v>
      </c>
      <c r="G920" s="428" t="s">
        <v>8681</v>
      </c>
      <c r="H920" s="428">
        <v>92</v>
      </c>
      <c r="I920" s="428">
        <v>248</v>
      </c>
      <c r="J920" s="369">
        <v>248</v>
      </c>
      <c r="K920" s="428">
        <v>134</v>
      </c>
      <c r="L920" s="217">
        <v>1020</v>
      </c>
      <c r="M920" s="428" t="s">
        <v>153</v>
      </c>
      <c r="N920" s="428" t="s">
        <v>149</v>
      </c>
      <c r="O920" s="428" t="s">
        <v>154</v>
      </c>
      <c r="P920" s="428" t="s">
        <v>151</v>
      </c>
      <c r="Q920" s="428" t="s">
        <v>155</v>
      </c>
      <c r="R920" s="428" t="s">
        <v>9511</v>
      </c>
      <c r="S920" s="428"/>
      <c r="T920" s="428" t="s">
        <v>3029</v>
      </c>
      <c r="U920" s="428" t="s">
        <v>152</v>
      </c>
      <c r="V920" s="428" t="s">
        <v>18</v>
      </c>
    </row>
    <row r="921" spans="1:22">
      <c r="A921" s="6"/>
      <c r="B921" s="216">
        <v>46254</v>
      </c>
      <c r="C921" s="216">
        <v>46254</v>
      </c>
      <c r="D921" s="428" t="s">
        <v>9512</v>
      </c>
      <c r="E921" s="428">
        <v>260103922974</v>
      </c>
      <c r="F921" s="428" t="s">
        <v>87</v>
      </c>
      <c r="G921" s="428" t="s">
        <v>2304</v>
      </c>
      <c r="H921" s="428">
        <v>132</v>
      </c>
      <c r="I921" s="428">
        <v>187</v>
      </c>
      <c r="J921" s="369">
        <v>187</v>
      </c>
      <c r="K921" s="428">
        <v>97</v>
      </c>
      <c r="L921" s="217">
        <v>1500</v>
      </c>
      <c r="M921" s="428" t="s">
        <v>153</v>
      </c>
      <c r="N921" s="428" t="s">
        <v>149</v>
      </c>
      <c r="O921" s="428" t="s">
        <v>154</v>
      </c>
      <c r="P921" s="428" t="s">
        <v>151</v>
      </c>
      <c r="Q921" s="428" t="s">
        <v>155</v>
      </c>
      <c r="R921" s="428" t="s">
        <v>9513</v>
      </c>
      <c r="S921" s="428"/>
      <c r="T921" s="428" t="s">
        <v>3029</v>
      </c>
      <c r="U921" s="428" t="s">
        <v>152</v>
      </c>
      <c r="V921" s="428" t="s">
        <v>18</v>
      </c>
    </row>
    <row r="922" spans="1:22" ht="15">
      <c r="A922" s="6"/>
      <c r="B922" s="251">
        <v>46254</v>
      </c>
      <c r="C922" s="251">
        <v>46254</v>
      </c>
      <c r="D922" s="177" t="s">
        <v>9514</v>
      </c>
      <c r="E922" s="177">
        <v>260106222977</v>
      </c>
      <c r="F922" s="177" t="s">
        <v>87</v>
      </c>
      <c r="G922" s="177" t="s">
        <v>824</v>
      </c>
      <c r="H922" s="177">
        <v>182</v>
      </c>
      <c r="I922" s="252">
        <v>309</v>
      </c>
      <c r="J922" s="372">
        <v>309</v>
      </c>
      <c r="K922" s="177">
        <v>104</v>
      </c>
      <c r="L922" s="253">
        <v>1700</v>
      </c>
      <c r="M922" s="177" t="s">
        <v>153</v>
      </c>
      <c r="N922" s="177" t="s">
        <v>149</v>
      </c>
      <c r="O922" s="177" t="s">
        <v>154</v>
      </c>
      <c r="P922" s="177" t="s">
        <v>151</v>
      </c>
      <c r="Q922" s="177" t="s">
        <v>155</v>
      </c>
      <c r="R922" s="177" t="s">
        <v>9515</v>
      </c>
      <c r="S922" s="177"/>
      <c r="T922" s="177" t="s">
        <v>3029</v>
      </c>
      <c r="U922" s="177" t="s">
        <v>152</v>
      </c>
      <c r="V922" s="177" t="s">
        <v>18</v>
      </c>
    </row>
    <row r="923" spans="1:22" ht="15">
      <c r="A923" s="6"/>
      <c r="B923" s="251">
        <v>46254</v>
      </c>
      <c r="C923" s="251">
        <v>46254</v>
      </c>
      <c r="D923" s="177" t="s">
        <v>9516</v>
      </c>
      <c r="E923" s="177">
        <v>260103722924</v>
      </c>
      <c r="F923" s="177" t="s">
        <v>87</v>
      </c>
      <c r="G923" s="177" t="s">
        <v>8646</v>
      </c>
      <c r="H923" s="177">
        <v>132</v>
      </c>
      <c r="I923" s="252">
        <v>252</v>
      </c>
      <c r="J923" s="372">
        <v>252</v>
      </c>
      <c r="K923" s="177">
        <v>97</v>
      </c>
      <c r="L923" s="253">
        <v>2020</v>
      </c>
      <c r="M923" s="177" t="s">
        <v>153</v>
      </c>
      <c r="N923" s="177" t="s">
        <v>149</v>
      </c>
      <c r="O923" s="177" t="s">
        <v>154</v>
      </c>
      <c r="P923" s="177" t="s">
        <v>151</v>
      </c>
      <c r="Q923" s="177" t="s">
        <v>155</v>
      </c>
      <c r="R923" s="177" t="s">
        <v>9517</v>
      </c>
      <c r="S923" s="177"/>
      <c r="T923" s="177" t="s">
        <v>3029</v>
      </c>
      <c r="U923" s="177" t="s">
        <v>152</v>
      </c>
      <c r="V923" s="177" t="s">
        <v>18</v>
      </c>
    </row>
    <row r="924" spans="1:22" ht="15">
      <c r="A924" s="6"/>
      <c r="B924" s="251">
        <v>46254</v>
      </c>
      <c r="C924" s="251">
        <v>46254</v>
      </c>
      <c r="D924" s="177" t="s">
        <v>9518</v>
      </c>
      <c r="E924" s="177">
        <v>260102822928</v>
      </c>
      <c r="F924" s="177" t="s">
        <v>87</v>
      </c>
      <c r="G924" s="177" t="s">
        <v>8032</v>
      </c>
      <c r="H924" s="177">
        <v>102</v>
      </c>
      <c r="I924" s="252">
        <v>269</v>
      </c>
      <c r="J924" s="372">
        <v>269</v>
      </c>
      <c r="K924" s="177">
        <v>130</v>
      </c>
      <c r="L924" s="253">
        <v>1060</v>
      </c>
      <c r="M924" s="177" t="s">
        <v>153</v>
      </c>
      <c r="N924" s="177" t="s">
        <v>149</v>
      </c>
      <c r="O924" s="177" t="s">
        <v>154</v>
      </c>
      <c r="P924" s="177" t="s">
        <v>151</v>
      </c>
      <c r="Q924" s="177" t="s">
        <v>155</v>
      </c>
      <c r="R924" s="177" t="s">
        <v>9519</v>
      </c>
      <c r="S924" s="177"/>
      <c r="T924" s="177" t="s">
        <v>3029</v>
      </c>
      <c r="U924" s="177" t="s">
        <v>152</v>
      </c>
      <c r="V924" s="177" t="s">
        <v>18</v>
      </c>
    </row>
    <row r="925" spans="1:22">
      <c r="A925" s="6"/>
      <c r="B925" s="251">
        <v>46254</v>
      </c>
      <c r="C925" s="251">
        <v>46254</v>
      </c>
      <c r="D925" s="177" t="s">
        <v>9520</v>
      </c>
      <c r="E925" s="177">
        <v>260102622941</v>
      </c>
      <c r="F925" s="177" t="s">
        <v>87</v>
      </c>
      <c r="G925" s="177" t="s">
        <v>8032</v>
      </c>
      <c r="H925" s="177">
        <v>102</v>
      </c>
      <c r="I925" s="177">
        <v>256</v>
      </c>
      <c r="J925" s="373">
        <v>256</v>
      </c>
      <c r="K925" s="177">
        <v>130</v>
      </c>
      <c r="L925" s="253">
        <v>1000</v>
      </c>
      <c r="M925" s="177" t="s">
        <v>153</v>
      </c>
      <c r="N925" s="177" t="s">
        <v>149</v>
      </c>
      <c r="O925" s="177" t="s">
        <v>154</v>
      </c>
      <c r="P925" s="177" t="s">
        <v>151</v>
      </c>
      <c r="Q925" s="177" t="s">
        <v>155</v>
      </c>
      <c r="R925" s="177" t="s">
        <v>9521</v>
      </c>
      <c r="S925" s="177"/>
      <c r="T925" s="177" t="s">
        <v>3029</v>
      </c>
      <c r="U925" s="177" t="s">
        <v>152</v>
      </c>
      <c r="V925" s="177" t="s">
        <v>18</v>
      </c>
    </row>
    <row r="926" spans="1:22">
      <c r="A926" s="6"/>
      <c r="B926" s="251">
        <v>46254</v>
      </c>
      <c r="C926" s="251">
        <v>46254</v>
      </c>
      <c r="D926" s="177" t="s">
        <v>9522</v>
      </c>
      <c r="E926" s="177">
        <v>260105822950</v>
      </c>
      <c r="F926" s="177" t="s">
        <v>87</v>
      </c>
      <c r="G926" s="254" t="s">
        <v>824</v>
      </c>
      <c r="H926" s="177">
        <v>152</v>
      </c>
      <c r="I926" s="177">
        <v>261</v>
      </c>
      <c r="J926" s="373">
        <v>261</v>
      </c>
      <c r="K926" s="177">
        <v>104</v>
      </c>
      <c r="L926" s="253">
        <v>1750</v>
      </c>
      <c r="M926" s="177" t="s">
        <v>153</v>
      </c>
      <c r="N926" s="177" t="s">
        <v>149</v>
      </c>
      <c r="O926" s="177" t="s">
        <v>154</v>
      </c>
      <c r="P926" s="177" t="s">
        <v>151</v>
      </c>
      <c r="Q926" s="177" t="s">
        <v>155</v>
      </c>
      <c r="R926" s="177" t="s">
        <v>9523</v>
      </c>
      <c r="S926" s="177"/>
      <c r="T926" s="177" t="s">
        <v>3029</v>
      </c>
      <c r="U926" s="177" t="s">
        <v>152</v>
      </c>
      <c r="V926" s="177" t="s">
        <v>18</v>
      </c>
    </row>
    <row r="927" spans="1:22">
      <c r="A927" s="6"/>
      <c r="B927" s="251">
        <v>46254</v>
      </c>
      <c r="C927" s="251">
        <v>46254</v>
      </c>
      <c r="D927" s="177" t="s">
        <v>9524</v>
      </c>
      <c r="E927" s="177">
        <v>260101422960</v>
      </c>
      <c r="F927" s="177" t="s">
        <v>87</v>
      </c>
      <c r="G927" s="177" t="s">
        <v>824</v>
      </c>
      <c r="H927" s="177">
        <v>152</v>
      </c>
      <c r="I927" s="177">
        <v>258</v>
      </c>
      <c r="J927" s="374">
        <v>258</v>
      </c>
      <c r="K927" s="177">
        <v>104</v>
      </c>
      <c r="L927" s="253">
        <v>1700</v>
      </c>
      <c r="M927" s="177" t="s">
        <v>153</v>
      </c>
      <c r="N927" s="177" t="s">
        <v>149</v>
      </c>
      <c r="O927" s="177" t="s">
        <v>154</v>
      </c>
      <c r="P927" s="177" t="s">
        <v>151</v>
      </c>
      <c r="Q927" s="177" t="s">
        <v>155</v>
      </c>
      <c r="R927" s="177" t="s">
        <v>9525</v>
      </c>
      <c r="S927" s="177"/>
      <c r="T927" s="177" t="s">
        <v>3029</v>
      </c>
      <c r="U927" s="177" t="s">
        <v>152</v>
      </c>
      <c r="V927" s="177" t="s">
        <v>18</v>
      </c>
    </row>
    <row r="928" spans="1:22">
      <c r="A928" s="6"/>
      <c r="B928" s="251">
        <v>46254</v>
      </c>
      <c r="C928" s="251">
        <v>46254</v>
      </c>
      <c r="D928" s="177" t="s">
        <v>9526</v>
      </c>
      <c r="E928" s="177">
        <v>260102422966</v>
      </c>
      <c r="F928" s="177" t="s">
        <v>87</v>
      </c>
      <c r="G928" s="254" t="s">
        <v>8032</v>
      </c>
      <c r="H928" s="177">
        <v>102</v>
      </c>
      <c r="I928" s="177">
        <v>263</v>
      </c>
      <c r="J928" s="373">
        <v>263</v>
      </c>
      <c r="K928" s="177">
        <v>130</v>
      </c>
      <c r="L928" s="253">
        <v>1000</v>
      </c>
      <c r="M928" s="177" t="s">
        <v>153</v>
      </c>
      <c r="N928" s="177" t="s">
        <v>149</v>
      </c>
      <c r="O928" s="177" t="s">
        <v>154</v>
      </c>
      <c r="P928" s="177" t="s">
        <v>151</v>
      </c>
      <c r="Q928" s="177" t="s">
        <v>155</v>
      </c>
      <c r="R928" s="177" t="s">
        <v>9527</v>
      </c>
      <c r="S928" s="177"/>
      <c r="T928" s="177" t="s">
        <v>3029</v>
      </c>
      <c r="U928" s="177" t="s">
        <v>152</v>
      </c>
      <c r="V928" s="177" t="s">
        <v>18</v>
      </c>
    </row>
    <row r="929" spans="1:22">
      <c r="A929" s="6"/>
      <c r="B929" s="251">
        <v>46254</v>
      </c>
      <c r="C929" s="251">
        <v>46254</v>
      </c>
      <c r="D929" s="177" t="s">
        <v>9528</v>
      </c>
      <c r="E929" s="177">
        <v>260102222968</v>
      </c>
      <c r="F929" s="177" t="s">
        <v>87</v>
      </c>
      <c r="G929" s="177" t="s">
        <v>8032</v>
      </c>
      <c r="H929" s="177">
        <v>102</v>
      </c>
      <c r="I929" s="177">
        <v>231</v>
      </c>
      <c r="J929" s="373">
        <v>231</v>
      </c>
      <c r="K929" s="177">
        <v>130</v>
      </c>
      <c r="L929" s="253">
        <v>880</v>
      </c>
      <c r="M929" s="177" t="s">
        <v>153</v>
      </c>
      <c r="N929" s="177" t="s">
        <v>149</v>
      </c>
      <c r="O929" s="177" t="s">
        <v>154</v>
      </c>
      <c r="P929" s="177" t="s">
        <v>151</v>
      </c>
      <c r="Q929" s="177" t="s">
        <v>155</v>
      </c>
      <c r="R929" s="177" t="s">
        <v>9529</v>
      </c>
      <c r="S929" s="177"/>
      <c r="T929" s="177" t="s">
        <v>3029</v>
      </c>
      <c r="U929" s="177" t="s">
        <v>152</v>
      </c>
      <c r="V929" s="177" t="s">
        <v>18</v>
      </c>
    </row>
    <row r="930" spans="1:22">
      <c r="A930" s="6"/>
      <c r="B930" s="251">
        <v>46254</v>
      </c>
      <c r="C930" s="251">
        <v>46254</v>
      </c>
      <c r="D930" s="177" t="s">
        <v>9530</v>
      </c>
      <c r="E930" s="177">
        <v>260101822969</v>
      </c>
      <c r="F930" s="177" t="s">
        <v>87</v>
      </c>
      <c r="G930" s="177" t="s">
        <v>8681</v>
      </c>
      <c r="H930" s="177">
        <v>92</v>
      </c>
      <c r="I930" s="177">
        <v>248</v>
      </c>
      <c r="J930" s="373">
        <v>248</v>
      </c>
      <c r="K930" s="177">
        <v>134</v>
      </c>
      <c r="L930" s="253">
        <v>1000</v>
      </c>
      <c r="M930" s="177" t="s">
        <v>153</v>
      </c>
      <c r="N930" s="177" t="s">
        <v>149</v>
      </c>
      <c r="O930" s="177" t="s">
        <v>154</v>
      </c>
      <c r="P930" s="177" t="s">
        <v>151</v>
      </c>
      <c r="Q930" s="177" t="s">
        <v>155</v>
      </c>
      <c r="R930" s="177" t="s">
        <v>9531</v>
      </c>
      <c r="S930" s="177"/>
      <c r="T930" s="177" t="s">
        <v>3029</v>
      </c>
      <c r="U930" s="177" t="s">
        <v>152</v>
      </c>
      <c r="V930" s="177" t="s">
        <v>18</v>
      </c>
    </row>
    <row r="931" spans="1:22">
      <c r="A931" s="6"/>
      <c r="B931" s="251">
        <v>46254</v>
      </c>
      <c r="C931" s="251">
        <v>46254</v>
      </c>
      <c r="D931" s="177" t="s">
        <v>9532</v>
      </c>
      <c r="E931" s="177">
        <v>260107622987</v>
      </c>
      <c r="F931" s="177" t="s">
        <v>87</v>
      </c>
      <c r="G931" s="177" t="s">
        <v>8646</v>
      </c>
      <c r="H931" s="177">
        <v>135</v>
      </c>
      <c r="I931" s="177">
        <v>282</v>
      </c>
      <c r="J931" s="373">
        <v>282</v>
      </c>
      <c r="K931" s="177">
        <v>97</v>
      </c>
      <c r="L931" s="253">
        <v>2200</v>
      </c>
      <c r="M931" s="177" t="s">
        <v>153</v>
      </c>
      <c r="N931" s="177" t="s">
        <v>149</v>
      </c>
      <c r="O931" s="177" t="s">
        <v>154</v>
      </c>
      <c r="P931" s="177" t="s">
        <v>151</v>
      </c>
      <c r="Q931" s="177" t="s">
        <v>155</v>
      </c>
      <c r="R931" s="177" t="s">
        <v>9533</v>
      </c>
      <c r="S931" s="177"/>
      <c r="T931" s="177" t="s">
        <v>3029</v>
      </c>
      <c r="U931" s="177" t="s">
        <v>152</v>
      </c>
      <c r="V931" s="177" t="s">
        <v>18</v>
      </c>
    </row>
    <row r="932" spans="1:22">
      <c r="A932" s="6"/>
      <c r="B932" s="251">
        <v>46254</v>
      </c>
      <c r="C932" s="251">
        <v>46254</v>
      </c>
      <c r="D932" s="177" t="s">
        <v>9534</v>
      </c>
      <c r="E932" s="177">
        <v>260107522988</v>
      </c>
      <c r="F932" s="177" t="s">
        <v>87</v>
      </c>
      <c r="G932" s="177" t="s">
        <v>9219</v>
      </c>
      <c r="H932" s="177">
        <v>140</v>
      </c>
      <c r="I932" s="177">
        <v>322</v>
      </c>
      <c r="J932" s="373">
        <v>322</v>
      </c>
      <c r="K932" s="177">
        <v>88</v>
      </c>
      <c r="L932" s="253">
        <v>2730</v>
      </c>
      <c r="M932" s="177" t="s">
        <v>153</v>
      </c>
      <c r="N932" s="177" t="s">
        <v>149</v>
      </c>
      <c r="O932" s="177" t="s">
        <v>154</v>
      </c>
      <c r="P932" s="177" t="s">
        <v>151</v>
      </c>
      <c r="Q932" s="177" t="s">
        <v>155</v>
      </c>
      <c r="R932" s="177" t="s">
        <v>9535</v>
      </c>
      <c r="S932" s="177"/>
      <c r="T932" s="177" t="s">
        <v>3029</v>
      </c>
      <c r="U932" s="177" t="s">
        <v>152</v>
      </c>
      <c r="V932" s="177" t="s">
        <v>18</v>
      </c>
    </row>
    <row r="933" spans="1:22">
      <c r="A933" s="6"/>
      <c r="B933" s="251">
        <v>46254</v>
      </c>
      <c r="C933" s="251">
        <v>46254</v>
      </c>
      <c r="D933" s="177" t="s">
        <v>9536</v>
      </c>
      <c r="E933" s="177">
        <v>260100922993</v>
      </c>
      <c r="F933" s="177" t="s">
        <v>87</v>
      </c>
      <c r="G933" s="177" t="s">
        <v>2079</v>
      </c>
      <c r="H933" s="177">
        <v>92</v>
      </c>
      <c r="I933" s="177">
        <v>344</v>
      </c>
      <c r="J933" s="373">
        <v>344</v>
      </c>
      <c r="K933" s="177">
        <v>180</v>
      </c>
      <c r="L933" s="253">
        <v>1075</v>
      </c>
      <c r="M933" s="177" t="s">
        <v>153</v>
      </c>
      <c r="N933" s="177" t="s">
        <v>149</v>
      </c>
      <c r="O933" s="177" t="s">
        <v>154</v>
      </c>
      <c r="P933" s="177" t="s">
        <v>151</v>
      </c>
      <c r="Q933" s="177" t="s">
        <v>155</v>
      </c>
      <c r="R933" s="177" t="s">
        <v>9537</v>
      </c>
      <c r="S933" s="177"/>
      <c r="T933" s="177" t="s">
        <v>3029</v>
      </c>
      <c r="U933" s="177" t="s">
        <v>152</v>
      </c>
      <c r="V933" s="177" t="s">
        <v>18</v>
      </c>
    </row>
    <row r="934" spans="1:22">
      <c r="A934" s="6"/>
      <c r="B934" s="251">
        <v>46254</v>
      </c>
      <c r="C934" s="251">
        <v>46254</v>
      </c>
      <c r="D934" s="177" t="s">
        <v>9538</v>
      </c>
      <c r="E934" s="177">
        <v>260105222945</v>
      </c>
      <c r="F934" s="177" t="s">
        <v>87</v>
      </c>
      <c r="G934" s="177" t="s">
        <v>2527</v>
      </c>
      <c r="H934" s="177">
        <v>152</v>
      </c>
      <c r="I934" s="177">
        <v>303</v>
      </c>
      <c r="J934" s="373">
        <v>303</v>
      </c>
      <c r="K934" s="177">
        <v>104</v>
      </c>
      <c r="L934" s="253">
        <v>2005</v>
      </c>
      <c r="M934" s="177" t="s">
        <v>153</v>
      </c>
      <c r="N934" s="177" t="s">
        <v>149</v>
      </c>
      <c r="O934" s="177" t="s">
        <v>154</v>
      </c>
      <c r="P934" s="177" t="s">
        <v>151</v>
      </c>
      <c r="Q934" s="177" t="s">
        <v>155</v>
      </c>
      <c r="R934" s="177" t="s">
        <v>9539</v>
      </c>
      <c r="S934" s="177"/>
      <c r="T934" s="177" t="s">
        <v>3029</v>
      </c>
      <c r="U934" s="177" t="s">
        <v>152</v>
      </c>
      <c r="V934" s="177" t="s">
        <v>18</v>
      </c>
    </row>
    <row r="935" spans="1:22">
      <c r="A935" s="6"/>
      <c r="B935" s="251">
        <v>46254</v>
      </c>
      <c r="C935" s="251">
        <v>46254</v>
      </c>
      <c r="D935" s="177" t="s">
        <v>9540</v>
      </c>
      <c r="E935" s="177">
        <v>260101422958</v>
      </c>
      <c r="F935" s="177" t="s">
        <v>87</v>
      </c>
      <c r="G935" s="177" t="s">
        <v>824</v>
      </c>
      <c r="H935" s="177">
        <v>152</v>
      </c>
      <c r="I935" s="177">
        <v>258</v>
      </c>
      <c r="J935" s="373">
        <v>258</v>
      </c>
      <c r="K935" s="177">
        <v>104</v>
      </c>
      <c r="L935" s="253">
        <v>1700</v>
      </c>
      <c r="M935" s="177" t="s">
        <v>153</v>
      </c>
      <c r="N935" s="177" t="s">
        <v>149</v>
      </c>
      <c r="O935" s="177" t="s">
        <v>154</v>
      </c>
      <c r="P935" s="177" t="s">
        <v>151</v>
      </c>
      <c r="Q935" s="177" t="s">
        <v>155</v>
      </c>
      <c r="R935" s="177" t="s">
        <v>9541</v>
      </c>
      <c r="S935" s="177"/>
      <c r="T935" s="177" t="s">
        <v>3029</v>
      </c>
      <c r="U935" s="177" t="s">
        <v>152</v>
      </c>
      <c r="V935" s="177" t="s">
        <v>18</v>
      </c>
    </row>
    <row r="936" spans="1:22">
      <c r="A936" s="6"/>
      <c r="B936" s="251">
        <v>46254</v>
      </c>
      <c r="C936" s="251">
        <v>46254</v>
      </c>
      <c r="D936" s="177" t="s">
        <v>9542</v>
      </c>
      <c r="E936" s="177">
        <v>260102722963</v>
      </c>
      <c r="F936" s="177" t="s">
        <v>87</v>
      </c>
      <c r="G936" s="177" t="s">
        <v>8032</v>
      </c>
      <c r="H936" s="177">
        <v>102</v>
      </c>
      <c r="I936" s="177">
        <v>246</v>
      </c>
      <c r="J936" s="373">
        <v>246</v>
      </c>
      <c r="K936" s="177">
        <v>130</v>
      </c>
      <c r="L936" s="253">
        <v>1000</v>
      </c>
      <c r="M936" s="177" t="s">
        <v>153</v>
      </c>
      <c r="N936" s="177" t="s">
        <v>149</v>
      </c>
      <c r="O936" s="177" t="s">
        <v>154</v>
      </c>
      <c r="P936" s="177" t="s">
        <v>151</v>
      </c>
      <c r="Q936" s="177" t="s">
        <v>155</v>
      </c>
      <c r="R936" s="177" t="s">
        <v>9543</v>
      </c>
      <c r="S936" s="177"/>
      <c r="T936" s="177" t="s">
        <v>3029</v>
      </c>
      <c r="U936" s="177" t="s">
        <v>152</v>
      </c>
      <c r="V936" s="177" t="s">
        <v>18</v>
      </c>
    </row>
    <row r="937" spans="1:22">
      <c r="A937" s="6"/>
      <c r="B937" s="251">
        <v>46254</v>
      </c>
      <c r="C937" s="251">
        <v>46254</v>
      </c>
      <c r="D937" s="177" t="s">
        <v>9544</v>
      </c>
      <c r="E937" s="177">
        <v>260103822919</v>
      </c>
      <c r="F937" s="177" t="s">
        <v>87</v>
      </c>
      <c r="G937" s="177" t="s">
        <v>824</v>
      </c>
      <c r="H937" s="177">
        <v>152</v>
      </c>
      <c r="I937" s="177">
        <v>281</v>
      </c>
      <c r="J937" s="373">
        <v>281</v>
      </c>
      <c r="K937" s="177">
        <v>104</v>
      </c>
      <c r="L937" s="253">
        <v>1860</v>
      </c>
      <c r="M937" s="177" t="s">
        <v>153</v>
      </c>
      <c r="N937" s="177" t="s">
        <v>149</v>
      </c>
      <c r="O937" s="177" t="s">
        <v>154</v>
      </c>
      <c r="P937" s="177" t="s">
        <v>151</v>
      </c>
      <c r="Q937" s="177" t="s">
        <v>155</v>
      </c>
      <c r="R937" s="177" t="s">
        <v>9545</v>
      </c>
      <c r="S937" s="177"/>
      <c r="T937" s="177" t="s">
        <v>3029</v>
      </c>
      <c r="U937" s="177" t="s">
        <v>152</v>
      </c>
      <c r="V937" s="177" t="s">
        <v>18</v>
      </c>
    </row>
    <row r="938" spans="1:22">
      <c r="A938" s="6"/>
      <c r="B938" s="251">
        <v>46254</v>
      </c>
      <c r="C938" s="251">
        <v>46254</v>
      </c>
      <c r="D938" s="177" t="s">
        <v>9546</v>
      </c>
      <c r="E938" s="177">
        <v>260103722925</v>
      </c>
      <c r="F938" s="177" t="s">
        <v>87</v>
      </c>
      <c r="G938" s="177" t="s">
        <v>8646</v>
      </c>
      <c r="H938" s="177">
        <v>132</v>
      </c>
      <c r="I938" s="177">
        <v>251</v>
      </c>
      <c r="J938" s="373">
        <v>251</v>
      </c>
      <c r="K938" s="177">
        <v>97</v>
      </c>
      <c r="L938" s="253">
        <v>2020</v>
      </c>
      <c r="M938" s="177" t="s">
        <v>153</v>
      </c>
      <c r="N938" s="177" t="s">
        <v>149</v>
      </c>
      <c r="O938" s="177" t="s">
        <v>154</v>
      </c>
      <c r="P938" s="177" t="s">
        <v>151</v>
      </c>
      <c r="Q938" s="177" t="s">
        <v>155</v>
      </c>
      <c r="R938" s="177" t="s">
        <v>9547</v>
      </c>
      <c r="S938" s="177"/>
      <c r="T938" s="177" t="s">
        <v>3029</v>
      </c>
      <c r="U938" s="177" t="s">
        <v>152</v>
      </c>
      <c r="V938" s="177" t="s">
        <v>18</v>
      </c>
    </row>
    <row r="939" spans="1:22">
      <c r="A939" s="6"/>
      <c r="B939" s="251">
        <v>46254</v>
      </c>
      <c r="C939" s="251">
        <v>46254</v>
      </c>
      <c r="D939" s="177" t="s">
        <v>9548</v>
      </c>
      <c r="E939" s="177">
        <v>260105422943</v>
      </c>
      <c r="F939" s="177" t="s">
        <v>87</v>
      </c>
      <c r="G939" s="177" t="s">
        <v>2364</v>
      </c>
      <c r="H939" s="177">
        <v>142</v>
      </c>
      <c r="I939" s="177">
        <v>203</v>
      </c>
      <c r="J939" s="373">
        <v>203</v>
      </c>
      <c r="K939" s="177">
        <v>67</v>
      </c>
      <c r="L939" s="253">
        <v>2200</v>
      </c>
      <c r="M939" s="177" t="s">
        <v>153</v>
      </c>
      <c r="N939" s="177" t="s">
        <v>149</v>
      </c>
      <c r="O939" s="177" t="s">
        <v>154</v>
      </c>
      <c r="P939" s="177" t="s">
        <v>151</v>
      </c>
      <c r="Q939" s="177" t="s">
        <v>155</v>
      </c>
      <c r="R939" s="177" t="s">
        <v>9549</v>
      </c>
      <c r="S939" s="177"/>
      <c r="T939" s="177" t="s">
        <v>3029</v>
      </c>
      <c r="U939" s="177" t="s">
        <v>152</v>
      </c>
      <c r="V939" s="177" t="s">
        <v>18</v>
      </c>
    </row>
    <row r="940" spans="1:22">
      <c r="A940" s="6"/>
      <c r="B940" s="251">
        <v>46254</v>
      </c>
      <c r="C940" s="251">
        <v>46254</v>
      </c>
      <c r="D940" s="177" t="s">
        <v>9550</v>
      </c>
      <c r="E940" s="177">
        <v>260101522970</v>
      </c>
      <c r="F940" s="177" t="s">
        <v>87</v>
      </c>
      <c r="G940" s="177" t="s">
        <v>2408</v>
      </c>
      <c r="H940" s="177">
        <v>112</v>
      </c>
      <c r="I940" s="177">
        <v>158</v>
      </c>
      <c r="J940" s="373">
        <v>158</v>
      </c>
      <c r="K940" s="177">
        <v>160</v>
      </c>
      <c r="L940" s="253">
        <v>450</v>
      </c>
      <c r="M940" s="177" t="s">
        <v>153</v>
      </c>
      <c r="N940" s="177" t="s">
        <v>149</v>
      </c>
      <c r="O940" s="177" t="s">
        <v>154</v>
      </c>
      <c r="P940" s="177" t="s">
        <v>151</v>
      </c>
      <c r="Q940" s="177" t="s">
        <v>155</v>
      </c>
      <c r="R940" s="177" t="s">
        <v>9551</v>
      </c>
      <c r="S940" s="177"/>
      <c r="T940" s="177" t="s">
        <v>3029</v>
      </c>
      <c r="U940" s="177" t="s">
        <v>152</v>
      </c>
      <c r="V940" s="177" t="s">
        <v>18</v>
      </c>
    </row>
    <row r="941" spans="1:22">
      <c r="A941" s="6"/>
      <c r="B941" s="251">
        <v>46254</v>
      </c>
      <c r="C941" s="251">
        <v>46254</v>
      </c>
      <c r="D941" s="177" t="s">
        <v>9552</v>
      </c>
      <c r="E941" s="177">
        <v>260103422971</v>
      </c>
      <c r="F941" s="177" t="s">
        <v>87</v>
      </c>
      <c r="G941" s="177" t="s">
        <v>824</v>
      </c>
      <c r="H941" s="177">
        <v>152</v>
      </c>
      <c r="I941" s="177">
        <v>286</v>
      </c>
      <c r="J941" s="373">
        <v>286</v>
      </c>
      <c r="K941" s="177">
        <v>104</v>
      </c>
      <c r="L941" s="253">
        <v>1900</v>
      </c>
      <c r="M941" s="177" t="s">
        <v>153</v>
      </c>
      <c r="N941" s="177" t="s">
        <v>149</v>
      </c>
      <c r="O941" s="177" t="s">
        <v>154</v>
      </c>
      <c r="P941" s="177" t="s">
        <v>151</v>
      </c>
      <c r="Q941" s="177" t="s">
        <v>155</v>
      </c>
      <c r="R941" s="177" t="s">
        <v>9553</v>
      </c>
      <c r="S941" s="177"/>
      <c r="T941" s="177" t="s">
        <v>3029</v>
      </c>
      <c r="U941" s="177" t="s">
        <v>152</v>
      </c>
      <c r="V941" s="177" t="s">
        <v>18</v>
      </c>
    </row>
    <row r="942" spans="1:22">
      <c r="A942" s="6"/>
      <c r="B942" s="251">
        <v>46254</v>
      </c>
      <c r="C942" s="251">
        <v>46254</v>
      </c>
      <c r="D942" s="177" t="s">
        <v>9554</v>
      </c>
      <c r="E942" s="177">
        <v>260101922931</v>
      </c>
      <c r="F942" s="177" t="s">
        <v>87</v>
      </c>
      <c r="G942" s="177" t="s">
        <v>8681</v>
      </c>
      <c r="H942" s="177">
        <v>92</v>
      </c>
      <c r="I942" s="177">
        <v>237</v>
      </c>
      <c r="J942" s="373">
        <v>237</v>
      </c>
      <c r="K942" s="177">
        <v>134</v>
      </c>
      <c r="L942" s="253">
        <v>1000</v>
      </c>
      <c r="M942" s="177" t="s">
        <v>153</v>
      </c>
      <c r="N942" s="177" t="s">
        <v>149</v>
      </c>
      <c r="O942" s="177" t="s">
        <v>154</v>
      </c>
      <c r="P942" s="177" t="s">
        <v>151</v>
      </c>
      <c r="Q942" s="177" t="s">
        <v>155</v>
      </c>
      <c r="R942" s="177" t="s">
        <v>9555</v>
      </c>
      <c r="S942" s="177"/>
      <c r="T942" s="177" t="s">
        <v>3029</v>
      </c>
      <c r="U942" s="177" t="s">
        <v>152</v>
      </c>
      <c r="V942" s="177" t="s">
        <v>18</v>
      </c>
    </row>
    <row r="943" spans="1:22">
      <c r="A943" s="6"/>
      <c r="B943" s="251">
        <v>46254</v>
      </c>
      <c r="C943" s="251">
        <v>46254</v>
      </c>
      <c r="D943" s="177" t="s">
        <v>9556</v>
      </c>
      <c r="E943" s="177">
        <v>260104022939</v>
      </c>
      <c r="F943" s="177" t="s">
        <v>87</v>
      </c>
      <c r="G943" s="177" t="s">
        <v>2526</v>
      </c>
      <c r="H943" s="177">
        <v>125</v>
      </c>
      <c r="I943" s="177">
        <v>242</v>
      </c>
      <c r="J943" s="373">
        <v>242</v>
      </c>
      <c r="K943" s="177">
        <v>97</v>
      </c>
      <c r="L943" s="253">
        <v>2000</v>
      </c>
      <c r="M943" s="177" t="s">
        <v>153</v>
      </c>
      <c r="N943" s="177" t="s">
        <v>149</v>
      </c>
      <c r="O943" s="177" t="s">
        <v>154</v>
      </c>
      <c r="P943" s="177" t="s">
        <v>151</v>
      </c>
      <c r="Q943" s="177" t="s">
        <v>155</v>
      </c>
      <c r="R943" s="177" t="s">
        <v>9557</v>
      </c>
      <c r="S943" s="177"/>
      <c r="T943" s="177" t="s">
        <v>3029</v>
      </c>
      <c r="U943" s="177" t="s">
        <v>152</v>
      </c>
      <c r="V943" s="177" t="s">
        <v>18</v>
      </c>
    </row>
    <row r="944" spans="1:22">
      <c r="A944" s="6"/>
      <c r="B944" s="251">
        <v>46254</v>
      </c>
      <c r="C944" s="251">
        <v>46254</v>
      </c>
      <c r="D944" s="177" t="s">
        <v>9558</v>
      </c>
      <c r="E944" s="177">
        <v>260103822920</v>
      </c>
      <c r="F944" s="177" t="s">
        <v>87</v>
      </c>
      <c r="G944" s="177" t="s">
        <v>824</v>
      </c>
      <c r="H944" s="177">
        <v>152</v>
      </c>
      <c r="I944" s="177">
        <v>282</v>
      </c>
      <c r="J944" s="373">
        <v>282</v>
      </c>
      <c r="K944" s="177">
        <v>104</v>
      </c>
      <c r="L944" s="253">
        <v>1860</v>
      </c>
      <c r="M944" s="177" t="s">
        <v>153</v>
      </c>
      <c r="N944" s="177" t="s">
        <v>149</v>
      </c>
      <c r="O944" s="177" t="s">
        <v>154</v>
      </c>
      <c r="P944" s="177" t="s">
        <v>151</v>
      </c>
      <c r="Q944" s="177" t="s">
        <v>155</v>
      </c>
      <c r="R944" s="177" t="s">
        <v>9559</v>
      </c>
      <c r="S944" s="177"/>
      <c r="T944" s="177" t="s">
        <v>3029</v>
      </c>
      <c r="U944" s="177" t="s">
        <v>152</v>
      </c>
      <c r="V944" s="177" t="s">
        <v>18</v>
      </c>
    </row>
    <row r="945" spans="1:22">
      <c r="A945" s="6"/>
      <c r="B945" s="251">
        <v>46254</v>
      </c>
      <c r="C945" s="251">
        <v>46254</v>
      </c>
      <c r="D945" s="177" t="s">
        <v>9560</v>
      </c>
      <c r="E945" s="177">
        <v>260101822933</v>
      </c>
      <c r="F945" s="177" t="s">
        <v>87</v>
      </c>
      <c r="G945" s="177" t="s">
        <v>8681</v>
      </c>
      <c r="H945" s="177">
        <v>92</v>
      </c>
      <c r="I945" s="177">
        <v>248</v>
      </c>
      <c r="J945" s="373">
        <v>248</v>
      </c>
      <c r="K945" s="177">
        <v>134</v>
      </c>
      <c r="L945" s="253">
        <v>1000</v>
      </c>
      <c r="M945" s="177" t="s">
        <v>153</v>
      </c>
      <c r="N945" s="177" t="s">
        <v>149</v>
      </c>
      <c r="O945" s="177" t="s">
        <v>154</v>
      </c>
      <c r="P945" s="177" t="s">
        <v>151</v>
      </c>
      <c r="Q945" s="177" t="s">
        <v>155</v>
      </c>
      <c r="R945" s="177" t="s">
        <v>9561</v>
      </c>
      <c r="S945" s="177"/>
      <c r="T945" s="177" t="s">
        <v>3029</v>
      </c>
      <c r="U945" s="177" t="s">
        <v>152</v>
      </c>
      <c r="V945" s="177" t="s">
        <v>18</v>
      </c>
    </row>
    <row r="946" spans="1:22">
      <c r="A946" s="6"/>
      <c r="B946" s="251">
        <v>46254</v>
      </c>
      <c r="C946" s="251">
        <v>46254</v>
      </c>
      <c r="D946" s="177" t="s">
        <v>9562</v>
      </c>
      <c r="E946" s="177">
        <v>260105022948</v>
      </c>
      <c r="F946" s="177" t="s">
        <v>87</v>
      </c>
      <c r="G946" s="177" t="s">
        <v>2407</v>
      </c>
      <c r="H946" s="177">
        <v>160</v>
      </c>
      <c r="I946" s="177">
        <v>297</v>
      </c>
      <c r="J946" s="373">
        <v>297</v>
      </c>
      <c r="K946" s="177">
        <v>102</v>
      </c>
      <c r="L946" s="253">
        <v>1910</v>
      </c>
      <c r="M946" s="177" t="s">
        <v>153</v>
      </c>
      <c r="N946" s="177" t="s">
        <v>149</v>
      </c>
      <c r="O946" s="177" t="s">
        <v>154</v>
      </c>
      <c r="P946" s="177" t="s">
        <v>151</v>
      </c>
      <c r="Q946" s="177" t="s">
        <v>155</v>
      </c>
      <c r="R946" s="177" t="s">
        <v>9563</v>
      </c>
      <c r="S946" s="177"/>
      <c r="T946" s="177" t="s">
        <v>3029</v>
      </c>
      <c r="U946" s="177" t="s">
        <v>152</v>
      </c>
      <c r="V946" s="177" t="s">
        <v>18</v>
      </c>
    </row>
    <row r="947" spans="1:22">
      <c r="A947" s="6"/>
      <c r="B947" s="251">
        <v>46254</v>
      </c>
      <c r="C947" s="251">
        <v>46254</v>
      </c>
      <c r="D947" s="177" t="s">
        <v>9564</v>
      </c>
      <c r="E947" s="177">
        <v>260101422959</v>
      </c>
      <c r="F947" s="177" t="s">
        <v>87</v>
      </c>
      <c r="G947" s="177" t="s">
        <v>824</v>
      </c>
      <c r="H947" s="177">
        <v>152</v>
      </c>
      <c r="I947" s="177">
        <v>258</v>
      </c>
      <c r="J947" s="373">
        <v>258</v>
      </c>
      <c r="K947" s="177">
        <v>104</v>
      </c>
      <c r="L947" s="253">
        <v>1700</v>
      </c>
      <c r="M947" s="177" t="s">
        <v>153</v>
      </c>
      <c r="N947" s="177" t="s">
        <v>149</v>
      </c>
      <c r="O947" s="177" t="s">
        <v>154</v>
      </c>
      <c r="P947" s="177" t="s">
        <v>151</v>
      </c>
      <c r="Q947" s="177" t="s">
        <v>155</v>
      </c>
      <c r="R947" s="177" t="s">
        <v>9565</v>
      </c>
      <c r="S947" s="177"/>
      <c r="T947" s="177" t="s">
        <v>3029</v>
      </c>
      <c r="U947" s="177" t="s">
        <v>152</v>
      </c>
      <c r="V947" s="177" t="s">
        <v>18</v>
      </c>
    </row>
    <row r="948" spans="1:22">
      <c r="A948" s="6"/>
      <c r="B948" s="251">
        <v>46254</v>
      </c>
      <c r="C948" s="251">
        <v>46254</v>
      </c>
      <c r="D948" s="177" t="s">
        <v>9566</v>
      </c>
      <c r="E948" s="177">
        <v>260101522964</v>
      </c>
      <c r="F948" s="177" t="s">
        <v>87</v>
      </c>
      <c r="G948" s="177" t="s">
        <v>2408</v>
      </c>
      <c r="H948" s="177">
        <v>112</v>
      </c>
      <c r="I948" s="177">
        <v>312</v>
      </c>
      <c r="J948" s="373">
        <v>312</v>
      </c>
      <c r="K948" s="177">
        <v>160</v>
      </c>
      <c r="L948" s="253">
        <v>885</v>
      </c>
      <c r="M948" s="177" t="s">
        <v>153</v>
      </c>
      <c r="N948" s="177" t="s">
        <v>149</v>
      </c>
      <c r="O948" s="177" t="s">
        <v>154</v>
      </c>
      <c r="P948" s="177" t="s">
        <v>151</v>
      </c>
      <c r="Q948" s="177" t="s">
        <v>155</v>
      </c>
      <c r="R948" s="177" t="s">
        <v>9567</v>
      </c>
      <c r="S948" s="177"/>
      <c r="T948" s="177" t="s">
        <v>3029</v>
      </c>
      <c r="U948" s="177" t="s">
        <v>152</v>
      </c>
      <c r="V948" s="177" t="s">
        <v>18</v>
      </c>
    </row>
    <row r="949" spans="1:22">
      <c r="A949" s="6"/>
      <c r="B949" s="251">
        <v>46254</v>
      </c>
      <c r="C949" s="251">
        <v>46254</v>
      </c>
      <c r="D949" s="177" t="s">
        <v>9568</v>
      </c>
      <c r="E949" s="177">
        <v>260107422990</v>
      </c>
      <c r="F949" s="177" t="s">
        <v>87</v>
      </c>
      <c r="G949" s="177" t="s">
        <v>2304</v>
      </c>
      <c r="H949" s="177">
        <v>132</v>
      </c>
      <c r="I949" s="177">
        <v>239</v>
      </c>
      <c r="J949" s="373">
        <v>239</v>
      </c>
      <c r="K949" s="177">
        <v>97</v>
      </c>
      <c r="L949" s="253">
        <v>2000</v>
      </c>
      <c r="M949" s="177" t="s">
        <v>153</v>
      </c>
      <c r="N949" s="177" t="s">
        <v>149</v>
      </c>
      <c r="O949" s="177" t="s">
        <v>154</v>
      </c>
      <c r="P949" s="177" t="s">
        <v>151</v>
      </c>
      <c r="Q949" s="177" t="s">
        <v>155</v>
      </c>
      <c r="R949" s="177" t="s">
        <v>9569</v>
      </c>
      <c r="S949" s="177"/>
      <c r="T949" s="177" t="s">
        <v>3029</v>
      </c>
      <c r="U949" s="177" t="s">
        <v>152</v>
      </c>
      <c r="V949" s="177" t="s">
        <v>18</v>
      </c>
    </row>
    <row r="950" spans="1:22">
      <c r="A950" s="6"/>
      <c r="B950" s="251">
        <v>46254</v>
      </c>
      <c r="C950" s="251">
        <v>46254</v>
      </c>
      <c r="D950" s="177" t="s">
        <v>9570</v>
      </c>
      <c r="E950" s="177">
        <v>260106922991</v>
      </c>
      <c r="F950" s="177" t="s">
        <v>87</v>
      </c>
      <c r="G950" s="177" t="s">
        <v>7928</v>
      </c>
      <c r="H950" s="177">
        <v>135</v>
      </c>
      <c r="I950" s="177">
        <v>258</v>
      </c>
      <c r="J950" s="373">
        <v>258</v>
      </c>
      <c r="K950" s="177">
        <v>107</v>
      </c>
      <c r="L950" s="253">
        <v>1860</v>
      </c>
      <c r="M950" s="177" t="s">
        <v>153</v>
      </c>
      <c r="N950" s="177" t="s">
        <v>149</v>
      </c>
      <c r="O950" s="177" t="s">
        <v>154</v>
      </c>
      <c r="P950" s="177" t="s">
        <v>151</v>
      </c>
      <c r="Q950" s="177" t="s">
        <v>155</v>
      </c>
      <c r="R950" s="177" t="s">
        <v>9571</v>
      </c>
      <c r="S950" s="177"/>
      <c r="T950" s="177" t="s">
        <v>3029</v>
      </c>
      <c r="U950" s="177" t="s">
        <v>152</v>
      </c>
      <c r="V950" s="177" t="s">
        <v>18</v>
      </c>
    </row>
    <row r="951" spans="1:22">
      <c r="A951" s="6"/>
      <c r="B951" s="251">
        <v>46254</v>
      </c>
      <c r="C951" s="251">
        <v>46254</v>
      </c>
      <c r="D951" s="177" t="s">
        <v>9572</v>
      </c>
      <c r="E951" s="177">
        <v>260103922994</v>
      </c>
      <c r="F951" s="177" t="s">
        <v>87</v>
      </c>
      <c r="G951" s="177" t="s">
        <v>2304</v>
      </c>
      <c r="H951" s="177">
        <v>132</v>
      </c>
      <c r="I951" s="177">
        <v>190</v>
      </c>
      <c r="J951" s="373">
        <v>190</v>
      </c>
      <c r="K951" s="177">
        <v>97</v>
      </c>
      <c r="L951" s="253">
        <v>1500</v>
      </c>
      <c r="M951" s="177" t="s">
        <v>153</v>
      </c>
      <c r="N951" s="177" t="s">
        <v>149</v>
      </c>
      <c r="O951" s="177" t="s">
        <v>154</v>
      </c>
      <c r="P951" s="177" t="s">
        <v>151</v>
      </c>
      <c r="Q951" s="177" t="s">
        <v>155</v>
      </c>
      <c r="R951" s="177" t="s">
        <v>9573</v>
      </c>
      <c r="S951" s="177"/>
      <c r="T951" s="177" t="s">
        <v>3029</v>
      </c>
      <c r="U951" s="177" t="s">
        <v>152</v>
      </c>
      <c r="V951" s="177" t="s">
        <v>18</v>
      </c>
    </row>
    <row r="952" spans="1:22">
      <c r="A952" s="6"/>
      <c r="B952" s="251">
        <v>46254</v>
      </c>
      <c r="C952" s="251">
        <v>46254</v>
      </c>
      <c r="D952" s="177" t="s">
        <v>9574</v>
      </c>
      <c r="E952" s="177">
        <v>260102922934</v>
      </c>
      <c r="F952" s="177" t="s">
        <v>87</v>
      </c>
      <c r="G952" s="177" t="s">
        <v>824</v>
      </c>
      <c r="H952" s="177">
        <v>152</v>
      </c>
      <c r="I952" s="177">
        <v>299</v>
      </c>
      <c r="J952" s="373">
        <v>299</v>
      </c>
      <c r="K952" s="177">
        <v>104</v>
      </c>
      <c r="L952" s="253">
        <v>1990</v>
      </c>
      <c r="M952" s="177" t="s">
        <v>153</v>
      </c>
      <c r="N952" s="177" t="s">
        <v>149</v>
      </c>
      <c r="O952" s="177" t="s">
        <v>154</v>
      </c>
      <c r="P952" s="177" t="s">
        <v>151</v>
      </c>
      <c r="Q952" s="177" t="s">
        <v>155</v>
      </c>
      <c r="R952" s="177" t="s">
        <v>9575</v>
      </c>
      <c r="S952" s="177"/>
      <c r="T952" s="177" t="s">
        <v>3029</v>
      </c>
      <c r="U952" s="177" t="s">
        <v>152</v>
      </c>
      <c r="V952" s="177" t="s">
        <v>18</v>
      </c>
    </row>
    <row r="953" spans="1:22">
      <c r="A953" s="6"/>
      <c r="B953" s="251">
        <v>46254</v>
      </c>
      <c r="C953" s="251">
        <v>46254</v>
      </c>
      <c r="D953" s="177" t="s">
        <v>9576</v>
      </c>
      <c r="E953" s="177">
        <v>260100722936</v>
      </c>
      <c r="F953" s="177" t="s">
        <v>87</v>
      </c>
      <c r="G953" s="177" t="s">
        <v>7586</v>
      </c>
      <c r="H953" s="177">
        <v>145</v>
      </c>
      <c r="I953" s="177">
        <v>400</v>
      </c>
      <c r="J953" s="373">
        <v>400</v>
      </c>
      <c r="K953" s="177">
        <v>170</v>
      </c>
      <c r="L953" s="253">
        <v>815</v>
      </c>
      <c r="M953" s="177" t="s">
        <v>153</v>
      </c>
      <c r="N953" s="177" t="s">
        <v>149</v>
      </c>
      <c r="O953" s="177" t="s">
        <v>154</v>
      </c>
      <c r="P953" s="177" t="s">
        <v>151</v>
      </c>
      <c r="Q953" s="177" t="s">
        <v>155</v>
      </c>
      <c r="R953" s="177" t="s">
        <v>9577</v>
      </c>
      <c r="S953" s="177"/>
      <c r="T953" s="177" t="s">
        <v>3029</v>
      </c>
      <c r="U953" s="177" t="s">
        <v>152</v>
      </c>
      <c r="V953" s="177" t="s">
        <v>18</v>
      </c>
    </row>
    <row r="954" spans="1:22">
      <c r="A954" s="6"/>
      <c r="B954" s="251">
        <v>46254</v>
      </c>
      <c r="C954" s="251">
        <v>46254</v>
      </c>
      <c r="D954" s="177" t="s">
        <v>9578</v>
      </c>
      <c r="E954" s="177">
        <v>260102322932</v>
      </c>
      <c r="F954" s="177" t="s">
        <v>87</v>
      </c>
      <c r="G954" s="177" t="s">
        <v>8032</v>
      </c>
      <c r="H954" s="177">
        <v>102</v>
      </c>
      <c r="I954" s="177">
        <v>258</v>
      </c>
      <c r="J954" s="373">
        <v>258</v>
      </c>
      <c r="K954" s="177">
        <v>130</v>
      </c>
      <c r="L954" s="253">
        <v>1000</v>
      </c>
      <c r="M954" s="177" t="s">
        <v>153</v>
      </c>
      <c r="N954" s="177" t="s">
        <v>149</v>
      </c>
      <c r="O954" s="177" t="s">
        <v>154</v>
      </c>
      <c r="P954" s="177" t="s">
        <v>151</v>
      </c>
      <c r="Q954" s="177" t="s">
        <v>155</v>
      </c>
      <c r="R954" s="177" t="s">
        <v>9579</v>
      </c>
      <c r="S954" s="177"/>
      <c r="T954" s="177" t="s">
        <v>3029</v>
      </c>
      <c r="U954" s="177" t="s">
        <v>152</v>
      </c>
      <c r="V954" s="177" t="s">
        <v>18</v>
      </c>
    </row>
    <row r="955" spans="1:22">
      <c r="A955" s="6"/>
      <c r="B955" s="251">
        <v>46254</v>
      </c>
      <c r="C955" s="251">
        <v>46254</v>
      </c>
      <c r="D955" s="177" t="s">
        <v>9580</v>
      </c>
      <c r="E955" s="177">
        <v>260104022940</v>
      </c>
      <c r="F955" s="177" t="s">
        <v>87</v>
      </c>
      <c r="G955" s="177" t="s">
        <v>2526</v>
      </c>
      <c r="H955" s="177">
        <v>125</v>
      </c>
      <c r="I955" s="177">
        <v>244</v>
      </c>
      <c r="J955" s="373">
        <v>244</v>
      </c>
      <c r="K955" s="177">
        <v>97</v>
      </c>
      <c r="L955" s="253">
        <v>2000</v>
      </c>
      <c r="M955" s="177" t="s">
        <v>153</v>
      </c>
      <c r="N955" s="177" t="s">
        <v>149</v>
      </c>
      <c r="O955" s="177" t="s">
        <v>154</v>
      </c>
      <c r="P955" s="177" t="s">
        <v>151</v>
      </c>
      <c r="Q955" s="177" t="s">
        <v>155</v>
      </c>
      <c r="R955" s="177" t="s">
        <v>9581</v>
      </c>
      <c r="S955" s="177"/>
      <c r="T955" s="177" t="s">
        <v>3029</v>
      </c>
      <c r="U955" s="177" t="s">
        <v>152</v>
      </c>
      <c r="V955" s="177" t="s">
        <v>18</v>
      </c>
    </row>
    <row r="956" spans="1:22">
      <c r="A956" s="6"/>
      <c r="B956" s="251">
        <v>46254</v>
      </c>
      <c r="C956" s="251">
        <v>46254</v>
      </c>
      <c r="D956" s="177" t="s">
        <v>9582</v>
      </c>
      <c r="E956" s="177">
        <v>260102522942</v>
      </c>
      <c r="F956" s="177" t="s">
        <v>87</v>
      </c>
      <c r="G956" s="177" t="s">
        <v>8032</v>
      </c>
      <c r="H956" s="177">
        <v>102</v>
      </c>
      <c r="I956" s="177">
        <v>266</v>
      </c>
      <c r="J956" s="373">
        <v>266</v>
      </c>
      <c r="K956" s="177">
        <v>130</v>
      </c>
      <c r="L956" s="253">
        <v>1000</v>
      </c>
      <c r="M956" s="177" t="s">
        <v>153</v>
      </c>
      <c r="N956" s="177" t="s">
        <v>149</v>
      </c>
      <c r="O956" s="177" t="s">
        <v>154</v>
      </c>
      <c r="P956" s="177" t="s">
        <v>151</v>
      </c>
      <c r="Q956" s="177" t="s">
        <v>155</v>
      </c>
      <c r="R956" s="177" t="s">
        <v>9583</v>
      </c>
      <c r="S956" s="177"/>
      <c r="T956" s="177" t="s">
        <v>3029</v>
      </c>
      <c r="U956" s="177" t="s">
        <v>152</v>
      </c>
      <c r="V956" s="177" t="s">
        <v>18</v>
      </c>
    </row>
    <row r="957" spans="1:22">
      <c r="A957" s="6"/>
      <c r="B957" s="251">
        <v>46254</v>
      </c>
      <c r="C957" s="251">
        <v>46254</v>
      </c>
      <c r="D957" s="177" t="s">
        <v>9584</v>
      </c>
      <c r="E957" s="177">
        <v>260104622952</v>
      </c>
      <c r="F957" s="177" t="s">
        <v>87</v>
      </c>
      <c r="G957" s="177" t="s">
        <v>824</v>
      </c>
      <c r="H957" s="177">
        <v>152</v>
      </c>
      <c r="I957" s="177">
        <v>222</v>
      </c>
      <c r="J957" s="373">
        <v>222</v>
      </c>
      <c r="K957" s="177">
        <v>104</v>
      </c>
      <c r="L957" s="253">
        <v>1500</v>
      </c>
      <c r="M957" s="177" t="s">
        <v>153</v>
      </c>
      <c r="N957" s="177" t="s">
        <v>149</v>
      </c>
      <c r="O957" s="177" t="s">
        <v>154</v>
      </c>
      <c r="P957" s="177" t="s">
        <v>151</v>
      </c>
      <c r="Q957" s="177" t="s">
        <v>155</v>
      </c>
      <c r="R957" s="177" t="s">
        <v>9585</v>
      </c>
      <c r="S957" s="177"/>
      <c r="T957" s="177" t="s">
        <v>3029</v>
      </c>
      <c r="U957" s="177" t="s">
        <v>152</v>
      </c>
      <c r="V957" s="177" t="s">
        <v>18</v>
      </c>
    </row>
    <row r="958" spans="1:22">
      <c r="A958" s="6"/>
      <c r="B958" s="251">
        <v>46254</v>
      </c>
      <c r="C958" s="251">
        <v>46254</v>
      </c>
      <c r="D958" s="177" t="s">
        <v>9586</v>
      </c>
      <c r="E958" s="177">
        <v>260101422961</v>
      </c>
      <c r="F958" s="177" t="s">
        <v>87</v>
      </c>
      <c r="G958" s="177" t="s">
        <v>824</v>
      </c>
      <c r="H958" s="177">
        <v>152</v>
      </c>
      <c r="I958" s="177">
        <v>259</v>
      </c>
      <c r="J958" s="373">
        <v>259</v>
      </c>
      <c r="K958" s="177">
        <v>104</v>
      </c>
      <c r="L958" s="253">
        <v>1700</v>
      </c>
      <c r="M958" s="177" t="s">
        <v>153</v>
      </c>
      <c r="N958" s="177" t="s">
        <v>149</v>
      </c>
      <c r="O958" s="177" t="s">
        <v>154</v>
      </c>
      <c r="P958" s="177" t="s">
        <v>151</v>
      </c>
      <c r="Q958" s="177" t="s">
        <v>155</v>
      </c>
      <c r="R958" s="177" t="s">
        <v>9587</v>
      </c>
      <c r="S958" s="177"/>
      <c r="T958" s="177" t="s">
        <v>3029</v>
      </c>
      <c r="U958" s="177" t="s">
        <v>152</v>
      </c>
      <c r="V958" s="177" t="s">
        <v>18</v>
      </c>
    </row>
    <row r="959" spans="1:22">
      <c r="A959" s="6"/>
      <c r="B959" s="251">
        <v>46254</v>
      </c>
      <c r="C959" s="251">
        <v>46254</v>
      </c>
      <c r="D959" s="177" t="s">
        <v>9588</v>
      </c>
      <c r="E959" s="177">
        <v>260101622967</v>
      </c>
      <c r="F959" s="177" t="s">
        <v>87</v>
      </c>
      <c r="G959" s="177" t="s">
        <v>2079</v>
      </c>
      <c r="H959" s="177">
        <v>112</v>
      </c>
      <c r="I959" s="177">
        <v>393</v>
      </c>
      <c r="J959" s="373">
        <v>393</v>
      </c>
      <c r="K959" s="177">
        <v>180</v>
      </c>
      <c r="L959" s="253">
        <v>1000</v>
      </c>
      <c r="M959" s="177" t="s">
        <v>153</v>
      </c>
      <c r="N959" s="177" t="s">
        <v>149</v>
      </c>
      <c r="O959" s="177" t="s">
        <v>154</v>
      </c>
      <c r="P959" s="177" t="s">
        <v>151</v>
      </c>
      <c r="Q959" s="177" t="s">
        <v>155</v>
      </c>
      <c r="R959" s="177" t="s">
        <v>9589</v>
      </c>
      <c r="S959" s="177"/>
      <c r="T959" s="177" t="s">
        <v>3029</v>
      </c>
      <c r="U959" s="177" t="s">
        <v>152</v>
      </c>
      <c r="V959" s="177" t="s">
        <v>18</v>
      </c>
    </row>
    <row r="960" spans="1:22">
      <c r="A960" s="6"/>
      <c r="B960" s="251">
        <v>46254</v>
      </c>
      <c r="C960" s="251">
        <v>46254</v>
      </c>
      <c r="D960" s="177" t="s">
        <v>9590</v>
      </c>
      <c r="E960" s="177" t="s">
        <v>9591</v>
      </c>
      <c r="F960" s="177" t="s">
        <v>87</v>
      </c>
      <c r="G960" s="177" t="s">
        <v>8210</v>
      </c>
      <c r="H960" s="177" t="s">
        <v>627</v>
      </c>
      <c r="I960" s="177">
        <v>48</v>
      </c>
      <c r="J960" s="373">
        <v>48</v>
      </c>
      <c r="K960" s="177">
        <v>35</v>
      </c>
      <c r="L960" s="253">
        <v>1300</v>
      </c>
      <c r="M960" s="177" t="s">
        <v>153</v>
      </c>
      <c r="N960" s="177" t="s">
        <v>149</v>
      </c>
      <c r="O960" s="177" t="s">
        <v>154</v>
      </c>
      <c r="P960" s="177" t="s">
        <v>151</v>
      </c>
      <c r="Q960" s="177" t="s">
        <v>156</v>
      </c>
      <c r="R960" s="177" t="s">
        <v>9592</v>
      </c>
      <c r="S960" s="177"/>
      <c r="T960" s="177" t="s">
        <v>3031</v>
      </c>
      <c r="U960" s="177" t="s">
        <v>152</v>
      </c>
      <c r="V960" s="177" t="s">
        <v>20</v>
      </c>
    </row>
    <row r="961" spans="1:22">
      <c r="A961" s="6"/>
      <c r="B961" s="251">
        <v>46254</v>
      </c>
      <c r="C961" s="251">
        <v>46254</v>
      </c>
      <c r="D961" s="177" t="s">
        <v>9593</v>
      </c>
      <c r="E961" s="177" t="s">
        <v>9594</v>
      </c>
      <c r="F961" s="177" t="s">
        <v>87</v>
      </c>
      <c r="G961" s="177" t="s">
        <v>8210</v>
      </c>
      <c r="H961" s="177" t="s">
        <v>627</v>
      </c>
      <c r="I961" s="177">
        <v>48</v>
      </c>
      <c r="J961" s="373">
        <v>48</v>
      </c>
      <c r="K961" s="177">
        <v>35</v>
      </c>
      <c r="L961" s="253">
        <v>1300</v>
      </c>
      <c r="M961" s="177" t="s">
        <v>153</v>
      </c>
      <c r="N961" s="177" t="s">
        <v>149</v>
      </c>
      <c r="O961" s="177" t="s">
        <v>154</v>
      </c>
      <c r="P961" s="177" t="s">
        <v>151</v>
      </c>
      <c r="Q961" s="177" t="s">
        <v>156</v>
      </c>
      <c r="R961" s="177" t="s">
        <v>9595</v>
      </c>
      <c r="S961" s="177"/>
      <c r="T961" s="177" t="s">
        <v>3031</v>
      </c>
      <c r="U961" s="177" t="s">
        <v>152</v>
      </c>
      <c r="V961" s="177" t="s">
        <v>20</v>
      </c>
    </row>
    <row r="962" spans="1:22">
      <c r="A962" s="6"/>
      <c r="B962" s="251">
        <v>46254</v>
      </c>
      <c r="C962" s="251">
        <v>46254</v>
      </c>
      <c r="D962" s="177" t="s">
        <v>9596</v>
      </c>
      <c r="E962" s="177" t="s">
        <v>9597</v>
      </c>
      <c r="F962" s="177" t="s">
        <v>87</v>
      </c>
      <c r="G962" s="177" t="s">
        <v>8210</v>
      </c>
      <c r="H962" s="177" t="s">
        <v>627</v>
      </c>
      <c r="I962" s="177">
        <v>41</v>
      </c>
      <c r="J962" s="373">
        <v>41</v>
      </c>
      <c r="K962" s="177">
        <v>35</v>
      </c>
      <c r="L962" s="253">
        <v>1115</v>
      </c>
      <c r="M962" s="177" t="s">
        <v>153</v>
      </c>
      <c r="N962" s="177" t="s">
        <v>149</v>
      </c>
      <c r="O962" s="177" t="s">
        <v>154</v>
      </c>
      <c r="P962" s="177" t="s">
        <v>151</v>
      </c>
      <c r="Q962" s="177" t="s">
        <v>156</v>
      </c>
      <c r="R962" s="177" t="s">
        <v>9598</v>
      </c>
      <c r="S962" s="177"/>
      <c r="T962" s="177" t="s">
        <v>3031</v>
      </c>
      <c r="U962" s="177" t="s">
        <v>152</v>
      </c>
      <c r="V962" s="177" t="s">
        <v>20</v>
      </c>
    </row>
    <row r="963" spans="1:22">
      <c r="A963" s="6"/>
      <c r="B963" s="251">
        <v>46254</v>
      </c>
      <c r="C963" s="251">
        <v>46254</v>
      </c>
      <c r="D963" s="177" t="s">
        <v>9599</v>
      </c>
      <c r="E963" s="177" t="s">
        <v>9600</v>
      </c>
      <c r="F963" s="177" t="s">
        <v>87</v>
      </c>
      <c r="G963" s="177" t="s">
        <v>8210</v>
      </c>
      <c r="H963" s="177" t="s">
        <v>627</v>
      </c>
      <c r="I963" s="177">
        <v>42</v>
      </c>
      <c r="J963" s="373">
        <v>42</v>
      </c>
      <c r="K963" s="177">
        <v>35</v>
      </c>
      <c r="L963" s="253">
        <v>1175</v>
      </c>
      <c r="M963" s="177" t="s">
        <v>153</v>
      </c>
      <c r="N963" s="177" t="s">
        <v>149</v>
      </c>
      <c r="O963" s="177" t="s">
        <v>154</v>
      </c>
      <c r="P963" s="177" t="s">
        <v>151</v>
      </c>
      <c r="Q963" s="177" t="s">
        <v>156</v>
      </c>
      <c r="R963" s="177" t="s">
        <v>9601</v>
      </c>
      <c r="S963" s="177"/>
      <c r="T963" s="177" t="s">
        <v>3031</v>
      </c>
      <c r="U963" s="177" t="s">
        <v>152</v>
      </c>
      <c r="V963" s="177" t="s">
        <v>20</v>
      </c>
    </row>
    <row r="964" spans="1:22">
      <c r="A964" s="6"/>
      <c r="B964" s="251">
        <v>46254</v>
      </c>
      <c r="C964" s="251">
        <v>46254</v>
      </c>
      <c r="D964" s="177" t="s">
        <v>9602</v>
      </c>
      <c r="E964" s="177" t="s">
        <v>9603</v>
      </c>
      <c r="F964" s="177" t="s">
        <v>87</v>
      </c>
      <c r="G964" s="177" t="s">
        <v>8210</v>
      </c>
      <c r="H964" s="177" t="s">
        <v>627</v>
      </c>
      <c r="I964" s="177">
        <v>42</v>
      </c>
      <c r="J964" s="373">
        <v>42</v>
      </c>
      <c r="K964" s="177">
        <v>35</v>
      </c>
      <c r="L964" s="253">
        <v>1175</v>
      </c>
      <c r="M964" s="177" t="s">
        <v>153</v>
      </c>
      <c r="N964" s="177" t="s">
        <v>149</v>
      </c>
      <c r="O964" s="177" t="s">
        <v>154</v>
      </c>
      <c r="P964" s="177" t="s">
        <v>151</v>
      </c>
      <c r="Q964" s="177" t="s">
        <v>156</v>
      </c>
      <c r="R964" s="177" t="s">
        <v>9604</v>
      </c>
      <c r="S964" s="177"/>
      <c r="T964" s="177" t="s">
        <v>3031</v>
      </c>
      <c r="U964" s="177" t="s">
        <v>152</v>
      </c>
      <c r="V964" s="177" t="s">
        <v>20</v>
      </c>
    </row>
    <row r="965" spans="1:22">
      <c r="A965" s="6"/>
      <c r="B965" s="251">
        <v>46254</v>
      </c>
      <c r="C965" s="251">
        <v>46254</v>
      </c>
      <c r="D965" s="177" t="s">
        <v>9605</v>
      </c>
      <c r="E965" s="177" t="s">
        <v>9606</v>
      </c>
      <c r="F965" s="177" t="s">
        <v>87</v>
      </c>
      <c r="G965" s="177" t="s">
        <v>8210</v>
      </c>
      <c r="H965" s="177" t="s">
        <v>627</v>
      </c>
      <c r="I965" s="177">
        <v>42</v>
      </c>
      <c r="J965" s="373">
        <v>42</v>
      </c>
      <c r="K965" s="177">
        <v>35</v>
      </c>
      <c r="L965" s="253">
        <v>1175</v>
      </c>
      <c r="M965" s="177" t="s">
        <v>153</v>
      </c>
      <c r="N965" s="177" t="s">
        <v>149</v>
      </c>
      <c r="O965" s="177" t="s">
        <v>154</v>
      </c>
      <c r="P965" s="177" t="s">
        <v>151</v>
      </c>
      <c r="Q965" s="177" t="s">
        <v>156</v>
      </c>
      <c r="R965" s="177" t="s">
        <v>9607</v>
      </c>
      <c r="S965" s="177"/>
      <c r="T965" s="177" t="s">
        <v>3031</v>
      </c>
      <c r="U965" s="177" t="s">
        <v>152</v>
      </c>
      <c r="V965" s="177" t="s">
        <v>20</v>
      </c>
    </row>
    <row r="966" spans="1:22">
      <c r="A966" s="6"/>
      <c r="B966" s="251">
        <v>46254</v>
      </c>
      <c r="C966" s="251">
        <v>46254</v>
      </c>
      <c r="D966" s="177" t="s">
        <v>9608</v>
      </c>
      <c r="E966" s="177" t="s">
        <v>9609</v>
      </c>
      <c r="F966" s="177" t="s">
        <v>87</v>
      </c>
      <c r="G966" s="177" t="s">
        <v>8210</v>
      </c>
      <c r="H966" s="177" t="s">
        <v>627</v>
      </c>
      <c r="I966" s="177">
        <v>41</v>
      </c>
      <c r="J966" s="373">
        <v>41</v>
      </c>
      <c r="K966" s="177">
        <v>35</v>
      </c>
      <c r="L966" s="253">
        <v>1115</v>
      </c>
      <c r="M966" s="177" t="s">
        <v>153</v>
      </c>
      <c r="N966" s="177" t="s">
        <v>149</v>
      </c>
      <c r="O966" s="177" t="s">
        <v>154</v>
      </c>
      <c r="P966" s="177" t="s">
        <v>151</v>
      </c>
      <c r="Q966" s="177" t="s">
        <v>156</v>
      </c>
      <c r="R966" s="177" t="s">
        <v>9610</v>
      </c>
      <c r="S966" s="177"/>
      <c r="T966" s="177" t="s">
        <v>3031</v>
      </c>
      <c r="U966" s="177" t="s">
        <v>152</v>
      </c>
      <c r="V966" s="177" t="s">
        <v>20</v>
      </c>
    </row>
    <row r="967" spans="1:22">
      <c r="A967" s="6"/>
      <c r="B967" s="251">
        <v>46254</v>
      </c>
      <c r="C967" s="251">
        <v>46254</v>
      </c>
      <c r="D967" s="177" t="s">
        <v>9611</v>
      </c>
      <c r="E967" s="177" t="s">
        <v>9612</v>
      </c>
      <c r="F967" s="177" t="s">
        <v>87</v>
      </c>
      <c r="G967" s="177" t="s">
        <v>8210</v>
      </c>
      <c r="H967" s="177" t="s">
        <v>627</v>
      </c>
      <c r="I967" s="177">
        <v>18</v>
      </c>
      <c r="J967" s="373">
        <v>18</v>
      </c>
      <c r="K967" s="177">
        <v>35</v>
      </c>
      <c r="L967" s="253">
        <v>490</v>
      </c>
      <c r="M967" s="177" t="s">
        <v>153</v>
      </c>
      <c r="N967" s="177" t="s">
        <v>149</v>
      </c>
      <c r="O967" s="177" t="s">
        <v>154</v>
      </c>
      <c r="P967" s="177" t="s">
        <v>151</v>
      </c>
      <c r="Q967" s="177" t="s">
        <v>156</v>
      </c>
      <c r="R967" s="177" t="s">
        <v>9613</v>
      </c>
      <c r="S967" s="177"/>
      <c r="T967" s="177" t="s">
        <v>3031</v>
      </c>
      <c r="U967" s="177" t="s">
        <v>152</v>
      </c>
      <c r="V967" s="177" t="s">
        <v>20</v>
      </c>
    </row>
    <row r="968" spans="1:22">
      <c r="A968" s="6"/>
      <c r="B968" s="251">
        <v>46254</v>
      </c>
      <c r="C968" s="251">
        <v>46254</v>
      </c>
      <c r="D968" s="177" t="s">
        <v>9614</v>
      </c>
      <c r="E968" s="177" t="s">
        <v>9615</v>
      </c>
      <c r="F968" s="177" t="s">
        <v>87</v>
      </c>
      <c r="G968" s="177" t="s">
        <v>8210</v>
      </c>
      <c r="H968" s="177" t="s">
        <v>627</v>
      </c>
      <c r="I968" s="177">
        <v>18</v>
      </c>
      <c r="J968" s="373">
        <v>18</v>
      </c>
      <c r="K968" s="177">
        <v>35</v>
      </c>
      <c r="L968" s="253">
        <v>490</v>
      </c>
      <c r="M968" s="177" t="s">
        <v>153</v>
      </c>
      <c r="N968" s="177" t="s">
        <v>149</v>
      </c>
      <c r="O968" s="177" t="s">
        <v>154</v>
      </c>
      <c r="P968" s="177" t="s">
        <v>151</v>
      </c>
      <c r="Q968" s="177" t="s">
        <v>156</v>
      </c>
      <c r="R968" s="177" t="s">
        <v>9616</v>
      </c>
      <c r="S968" s="177"/>
      <c r="T968" s="177" t="s">
        <v>3031</v>
      </c>
      <c r="U968" s="177" t="s">
        <v>152</v>
      </c>
      <c r="V968" s="177" t="s">
        <v>20</v>
      </c>
    </row>
    <row r="969" spans="1:22">
      <c r="A969" s="6"/>
      <c r="B969" s="251">
        <v>46254</v>
      </c>
      <c r="C969" s="251">
        <v>46254</v>
      </c>
      <c r="D969" s="177" t="s">
        <v>9617</v>
      </c>
      <c r="E969" s="177" t="s">
        <v>9618</v>
      </c>
      <c r="F969" s="177" t="s">
        <v>87</v>
      </c>
      <c r="G969" s="177" t="s">
        <v>8210</v>
      </c>
      <c r="H969" s="177" t="s">
        <v>627</v>
      </c>
      <c r="I969" s="177">
        <v>48</v>
      </c>
      <c r="J969" s="373">
        <v>48</v>
      </c>
      <c r="K969" s="177">
        <v>35</v>
      </c>
      <c r="L969" s="253">
        <v>1300</v>
      </c>
      <c r="M969" s="177" t="s">
        <v>153</v>
      </c>
      <c r="N969" s="177" t="s">
        <v>149</v>
      </c>
      <c r="O969" s="177" t="s">
        <v>154</v>
      </c>
      <c r="P969" s="177" t="s">
        <v>151</v>
      </c>
      <c r="Q969" s="177" t="s">
        <v>156</v>
      </c>
      <c r="R969" s="177" t="s">
        <v>9619</v>
      </c>
      <c r="S969" s="177"/>
      <c r="T969" s="177" t="s">
        <v>3031</v>
      </c>
      <c r="U969" s="177" t="s">
        <v>152</v>
      </c>
      <c r="V969" s="177" t="s">
        <v>20</v>
      </c>
    </row>
    <row r="970" spans="1:22">
      <c r="A970" s="6"/>
      <c r="B970" s="251">
        <v>46254</v>
      </c>
      <c r="C970" s="251">
        <v>46254</v>
      </c>
      <c r="D970" s="177" t="s">
        <v>9620</v>
      </c>
      <c r="E970" s="177" t="s">
        <v>9621</v>
      </c>
      <c r="F970" s="177" t="s">
        <v>87</v>
      </c>
      <c r="G970" s="177" t="s">
        <v>8210</v>
      </c>
      <c r="H970" s="177" t="s">
        <v>627</v>
      </c>
      <c r="I970" s="177">
        <v>41</v>
      </c>
      <c r="J970" s="373">
        <v>41</v>
      </c>
      <c r="K970" s="177">
        <v>35</v>
      </c>
      <c r="L970" s="253">
        <v>1115</v>
      </c>
      <c r="M970" s="177" t="s">
        <v>153</v>
      </c>
      <c r="N970" s="177" t="s">
        <v>149</v>
      </c>
      <c r="O970" s="177" t="s">
        <v>154</v>
      </c>
      <c r="P970" s="177" t="s">
        <v>151</v>
      </c>
      <c r="Q970" s="177" t="s">
        <v>156</v>
      </c>
      <c r="R970" s="177" t="s">
        <v>9622</v>
      </c>
      <c r="S970" s="177"/>
      <c r="T970" s="177" t="s">
        <v>3031</v>
      </c>
      <c r="U970" s="177" t="s">
        <v>152</v>
      </c>
      <c r="V970" s="177" t="s">
        <v>20</v>
      </c>
    </row>
    <row r="971" spans="1:22">
      <c r="A971" s="6"/>
      <c r="B971" s="251">
        <v>46254</v>
      </c>
      <c r="C971" s="251">
        <v>46254</v>
      </c>
      <c r="D971" s="177" t="s">
        <v>9623</v>
      </c>
      <c r="E971" s="177" t="s">
        <v>9624</v>
      </c>
      <c r="F971" s="177" t="s">
        <v>87</v>
      </c>
      <c r="G971" s="177" t="s">
        <v>8210</v>
      </c>
      <c r="H971" s="177" t="s">
        <v>627</v>
      </c>
      <c r="I971" s="177">
        <v>18</v>
      </c>
      <c r="J971" s="373">
        <v>18</v>
      </c>
      <c r="K971" s="177">
        <v>35</v>
      </c>
      <c r="L971" s="253">
        <v>490</v>
      </c>
      <c r="M971" s="177" t="s">
        <v>153</v>
      </c>
      <c r="N971" s="177" t="s">
        <v>149</v>
      </c>
      <c r="O971" s="177" t="s">
        <v>154</v>
      </c>
      <c r="P971" s="177" t="s">
        <v>151</v>
      </c>
      <c r="Q971" s="177" t="s">
        <v>156</v>
      </c>
      <c r="R971" s="177" t="s">
        <v>9625</v>
      </c>
      <c r="S971" s="177"/>
      <c r="T971" s="177" t="s">
        <v>3031</v>
      </c>
      <c r="U971" s="177" t="s">
        <v>152</v>
      </c>
      <c r="V971" s="177" t="s">
        <v>20</v>
      </c>
    </row>
    <row r="972" spans="1:22">
      <c r="A972" s="6"/>
      <c r="B972" s="251">
        <v>46255</v>
      </c>
      <c r="C972" s="251">
        <v>46255</v>
      </c>
      <c r="D972" s="177" t="s">
        <v>9626</v>
      </c>
      <c r="E972" s="177">
        <v>260101823049</v>
      </c>
      <c r="F972" s="177" t="s">
        <v>87</v>
      </c>
      <c r="G972" s="177" t="s">
        <v>8681</v>
      </c>
      <c r="H972" s="177">
        <v>92</v>
      </c>
      <c r="I972" s="177">
        <v>249</v>
      </c>
      <c r="J972" s="373">
        <v>249</v>
      </c>
      <c r="K972" s="177">
        <v>134</v>
      </c>
      <c r="L972" s="253">
        <v>1020</v>
      </c>
      <c r="M972" s="177" t="s">
        <v>153</v>
      </c>
      <c r="N972" s="177" t="s">
        <v>149</v>
      </c>
      <c r="O972" s="177" t="s">
        <v>154</v>
      </c>
      <c r="P972" s="177" t="s">
        <v>151</v>
      </c>
      <c r="Q972" s="177" t="s">
        <v>155</v>
      </c>
      <c r="R972" s="177" t="s">
        <v>9627</v>
      </c>
      <c r="S972" s="177"/>
      <c r="T972" s="177" t="s">
        <v>3055</v>
      </c>
      <c r="U972" s="177" t="s">
        <v>152</v>
      </c>
      <c r="V972" s="177" t="s">
        <v>18</v>
      </c>
    </row>
    <row r="973" spans="1:22">
      <c r="A973" s="6"/>
      <c r="B973" s="251">
        <v>46255</v>
      </c>
      <c r="C973" s="251">
        <v>46255</v>
      </c>
      <c r="D973" s="177" t="s">
        <v>9628</v>
      </c>
      <c r="E973" s="177">
        <v>260102823068</v>
      </c>
      <c r="F973" s="177" t="s">
        <v>87</v>
      </c>
      <c r="G973" s="177" t="s">
        <v>8032</v>
      </c>
      <c r="H973" s="177">
        <v>102</v>
      </c>
      <c r="I973" s="177">
        <v>266</v>
      </c>
      <c r="J973" s="373">
        <v>266</v>
      </c>
      <c r="K973" s="177">
        <v>130</v>
      </c>
      <c r="L973" s="253">
        <v>1010</v>
      </c>
      <c r="M973" s="177" t="s">
        <v>153</v>
      </c>
      <c r="N973" s="177" t="s">
        <v>149</v>
      </c>
      <c r="O973" s="177" t="s">
        <v>154</v>
      </c>
      <c r="P973" s="177" t="s">
        <v>151</v>
      </c>
      <c r="Q973" s="177" t="s">
        <v>155</v>
      </c>
      <c r="R973" s="177" t="s">
        <v>9629</v>
      </c>
      <c r="S973" s="177"/>
      <c r="T973" s="177" t="s">
        <v>3055</v>
      </c>
      <c r="U973" s="177" t="s">
        <v>152</v>
      </c>
      <c r="V973" s="177" t="s">
        <v>18</v>
      </c>
    </row>
    <row r="974" spans="1:22">
      <c r="A974" s="6"/>
      <c r="B974" s="251">
        <v>46255</v>
      </c>
      <c r="C974" s="251">
        <v>46255</v>
      </c>
      <c r="D974" s="177" t="s">
        <v>9630</v>
      </c>
      <c r="E974" s="177">
        <v>260102023083</v>
      </c>
      <c r="F974" s="177" t="s">
        <v>87</v>
      </c>
      <c r="G974" s="177" t="s">
        <v>8681</v>
      </c>
      <c r="H974" s="177">
        <v>92</v>
      </c>
      <c r="I974" s="177">
        <v>241</v>
      </c>
      <c r="J974" s="373">
        <v>241</v>
      </c>
      <c r="K974" s="177">
        <v>134</v>
      </c>
      <c r="L974" s="253">
        <v>1000</v>
      </c>
      <c r="M974" s="177" t="s">
        <v>153</v>
      </c>
      <c r="N974" s="177" t="s">
        <v>149</v>
      </c>
      <c r="O974" s="177" t="s">
        <v>154</v>
      </c>
      <c r="P974" s="177" t="s">
        <v>151</v>
      </c>
      <c r="Q974" s="177" t="s">
        <v>155</v>
      </c>
      <c r="R974" s="177" t="s">
        <v>9631</v>
      </c>
      <c r="S974" s="177"/>
      <c r="T974" s="177" t="s">
        <v>3055</v>
      </c>
      <c r="U974" s="177" t="s">
        <v>152</v>
      </c>
      <c r="V974" s="177" t="s">
        <v>18</v>
      </c>
    </row>
    <row r="975" spans="1:22">
      <c r="A975" s="6"/>
      <c r="B975" s="251">
        <v>46255</v>
      </c>
      <c r="C975" s="251">
        <v>46255</v>
      </c>
      <c r="D975" s="177" t="s">
        <v>9632</v>
      </c>
      <c r="E975" s="177">
        <v>260105423085</v>
      </c>
      <c r="F975" s="177" t="s">
        <v>87</v>
      </c>
      <c r="G975" s="177" t="s">
        <v>2364</v>
      </c>
      <c r="H975" s="177">
        <v>142</v>
      </c>
      <c r="I975" s="253">
        <v>154</v>
      </c>
      <c r="J975" s="375">
        <v>154</v>
      </c>
      <c r="K975" s="177">
        <v>67</v>
      </c>
      <c r="L975" s="253">
        <v>1615</v>
      </c>
      <c r="M975" s="177" t="s">
        <v>153</v>
      </c>
      <c r="N975" s="177" t="s">
        <v>149</v>
      </c>
      <c r="O975" s="177" t="s">
        <v>154</v>
      </c>
      <c r="P975" s="177" t="s">
        <v>151</v>
      </c>
      <c r="Q975" s="177" t="s">
        <v>155</v>
      </c>
      <c r="R975" s="177" t="s">
        <v>9633</v>
      </c>
      <c r="S975" s="177"/>
      <c r="T975" s="177" t="s">
        <v>3055</v>
      </c>
      <c r="U975" s="177" t="s">
        <v>152</v>
      </c>
      <c r="V975" s="177" t="s">
        <v>18</v>
      </c>
    </row>
    <row r="976" spans="1:22">
      <c r="A976" s="6"/>
      <c r="B976" s="251">
        <v>46255</v>
      </c>
      <c r="C976" s="251">
        <v>46255</v>
      </c>
      <c r="D976" s="177" t="s">
        <v>9634</v>
      </c>
      <c r="E976" s="177">
        <v>260101423065</v>
      </c>
      <c r="F976" s="177" t="s">
        <v>87</v>
      </c>
      <c r="G976" s="177" t="s">
        <v>824</v>
      </c>
      <c r="H976" s="177">
        <v>152</v>
      </c>
      <c r="I976" s="177">
        <v>229</v>
      </c>
      <c r="J976" s="373">
        <v>229</v>
      </c>
      <c r="K976" s="177">
        <v>104</v>
      </c>
      <c r="L976" s="253">
        <v>1500</v>
      </c>
      <c r="M976" s="177" t="s">
        <v>153</v>
      </c>
      <c r="N976" s="177" t="s">
        <v>149</v>
      </c>
      <c r="O976" s="177" t="s">
        <v>154</v>
      </c>
      <c r="P976" s="177" t="s">
        <v>151</v>
      </c>
      <c r="Q976" s="177" t="s">
        <v>155</v>
      </c>
      <c r="R976" s="177" t="s">
        <v>9635</v>
      </c>
      <c r="S976" s="177"/>
      <c r="T976" s="177" t="s">
        <v>3055</v>
      </c>
      <c r="U976" s="177" t="s">
        <v>152</v>
      </c>
      <c r="V976" s="177" t="s">
        <v>18</v>
      </c>
    </row>
    <row r="977" spans="1:22">
      <c r="A977" s="6"/>
      <c r="B977" s="251">
        <v>46255</v>
      </c>
      <c r="C977" s="251">
        <v>46255</v>
      </c>
      <c r="D977" s="177" t="s">
        <v>9636</v>
      </c>
      <c r="E977" s="177">
        <v>260100723069</v>
      </c>
      <c r="F977" s="177" t="s">
        <v>87</v>
      </c>
      <c r="G977" s="177" t="s">
        <v>7586</v>
      </c>
      <c r="H977" s="177">
        <v>145</v>
      </c>
      <c r="I977" s="177">
        <v>393</v>
      </c>
      <c r="J977" s="373">
        <v>393</v>
      </c>
      <c r="K977" s="177">
        <v>170</v>
      </c>
      <c r="L977" s="253">
        <v>830</v>
      </c>
      <c r="M977" s="177" t="s">
        <v>153</v>
      </c>
      <c r="N977" s="177" t="s">
        <v>149</v>
      </c>
      <c r="O977" s="177" t="s">
        <v>154</v>
      </c>
      <c r="P977" s="177" t="s">
        <v>151</v>
      </c>
      <c r="Q977" s="177" t="s">
        <v>155</v>
      </c>
      <c r="R977" s="177" t="s">
        <v>9637</v>
      </c>
      <c r="S977" s="177"/>
      <c r="T977" s="177" t="s">
        <v>3055</v>
      </c>
      <c r="U977" s="177" t="s">
        <v>152</v>
      </c>
      <c r="V977" s="177" t="s">
        <v>18</v>
      </c>
    </row>
    <row r="978" spans="1:22">
      <c r="A978" s="6"/>
      <c r="B978" s="251">
        <v>46255</v>
      </c>
      <c r="C978" s="251">
        <v>46255</v>
      </c>
      <c r="D978" s="177" t="s">
        <v>9638</v>
      </c>
      <c r="E978" s="177">
        <v>260102523070</v>
      </c>
      <c r="F978" s="177" t="s">
        <v>87</v>
      </c>
      <c r="G978" s="177" t="s">
        <v>8032</v>
      </c>
      <c r="H978" s="177">
        <v>102</v>
      </c>
      <c r="I978" s="177">
        <v>253</v>
      </c>
      <c r="J978" s="373">
        <v>253</v>
      </c>
      <c r="K978" s="177">
        <v>130</v>
      </c>
      <c r="L978" s="253">
        <v>1000</v>
      </c>
      <c r="M978" s="177" t="s">
        <v>153</v>
      </c>
      <c r="N978" s="177" t="s">
        <v>149</v>
      </c>
      <c r="O978" s="177" t="s">
        <v>154</v>
      </c>
      <c r="P978" s="177" t="s">
        <v>151</v>
      </c>
      <c r="Q978" s="177" t="s">
        <v>155</v>
      </c>
      <c r="R978" s="177" t="s">
        <v>9639</v>
      </c>
      <c r="S978" s="177"/>
      <c r="T978" s="177" t="s">
        <v>3055</v>
      </c>
      <c r="U978" s="177" t="s">
        <v>152</v>
      </c>
      <c r="V978" s="177" t="s">
        <v>18</v>
      </c>
    </row>
    <row r="979" spans="1:22">
      <c r="A979" s="6"/>
      <c r="B979" s="251">
        <v>46255</v>
      </c>
      <c r="C979" s="251">
        <v>46255</v>
      </c>
      <c r="D979" s="177" t="s">
        <v>9640</v>
      </c>
      <c r="E979" s="177">
        <v>260103923055</v>
      </c>
      <c r="F979" s="177" t="s">
        <v>87</v>
      </c>
      <c r="G979" s="177" t="s">
        <v>2304</v>
      </c>
      <c r="H979" s="177">
        <v>132</v>
      </c>
      <c r="I979" s="177">
        <v>207</v>
      </c>
      <c r="J979" s="373">
        <v>207</v>
      </c>
      <c r="K979" s="177">
        <v>97</v>
      </c>
      <c r="L979" s="253">
        <v>1670</v>
      </c>
      <c r="M979" s="177" t="s">
        <v>153</v>
      </c>
      <c r="N979" s="177" t="s">
        <v>149</v>
      </c>
      <c r="O979" s="177" t="s">
        <v>154</v>
      </c>
      <c r="P979" s="177" t="s">
        <v>151</v>
      </c>
      <c r="Q979" s="177" t="s">
        <v>155</v>
      </c>
      <c r="R979" s="177" t="s">
        <v>9641</v>
      </c>
      <c r="S979" s="177"/>
      <c r="T979" s="177" t="s">
        <v>3055</v>
      </c>
      <c r="U979" s="177" t="s">
        <v>152</v>
      </c>
      <c r="V979" s="177" t="s">
        <v>18</v>
      </c>
    </row>
    <row r="980" spans="1:22">
      <c r="A980" s="6"/>
      <c r="B980" s="251">
        <v>46255</v>
      </c>
      <c r="C980" s="251">
        <v>46255</v>
      </c>
      <c r="D980" s="177" t="s">
        <v>9642</v>
      </c>
      <c r="E980" s="177">
        <v>260107323010</v>
      </c>
      <c r="F980" s="177" t="s">
        <v>87</v>
      </c>
      <c r="G980" s="177" t="s">
        <v>2530</v>
      </c>
      <c r="H980" s="177">
        <v>162</v>
      </c>
      <c r="I980" s="177">
        <v>314</v>
      </c>
      <c r="J980" s="373">
        <v>314</v>
      </c>
      <c r="K980" s="177">
        <v>102</v>
      </c>
      <c r="L980" s="253">
        <v>1980</v>
      </c>
      <c r="M980" s="177" t="s">
        <v>153</v>
      </c>
      <c r="N980" s="177" t="s">
        <v>149</v>
      </c>
      <c r="O980" s="177" t="s">
        <v>154</v>
      </c>
      <c r="P980" s="177" t="s">
        <v>151</v>
      </c>
      <c r="Q980" s="177" t="s">
        <v>155</v>
      </c>
      <c r="R980" s="177" t="s">
        <v>9643</v>
      </c>
      <c r="S980" s="177"/>
      <c r="T980" s="177" t="s">
        <v>3055</v>
      </c>
      <c r="U980" s="177" t="s">
        <v>152</v>
      </c>
      <c r="V980" s="177" t="s">
        <v>18</v>
      </c>
    </row>
    <row r="981" spans="1:22">
      <c r="A981" s="6"/>
      <c r="B981" s="251">
        <v>46255</v>
      </c>
      <c r="C981" s="251">
        <v>46255</v>
      </c>
      <c r="D981" s="177" t="s">
        <v>9644</v>
      </c>
      <c r="E981" s="177">
        <v>260102323012</v>
      </c>
      <c r="F981" s="177" t="s">
        <v>87</v>
      </c>
      <c r="G981" s="177" t="s">
        <v>8032</v>
      </c>
      <c r="H981" s="177">
        <v>102</v>
      </c>
      <c r="I981" s="177">
        <v>299</v>
      </c>
      <c r="J981" s="373">
        <v>299</v>
      </c>
      <c r="K981" s="177">
        <v>130</v>
      </c>
      <c r="L981" s="253">
        <v>1160</v>
      </c>
      <c r="M981" s="177" t="s">
        <v>153</v>
      </c>
      <c r="N981" s="177" t="s">
        <v>149</v>
      </c>
      <c r="O981" s="177" t="s">
        <v>154</v>
      </c>
      <c r="P981" s="177" t="s">
        <v>151</v>
      </c>
      <c r="Q981" s="177" t="s">
        <v>155</v>
      </c>
      <c r="R981" s="177" t="s">
        <v>9645</v>
      </c>
      <c r="S981" s="177"/>
      <c r="T981" s="177" t="s">
        <v>3055</v>
      </c>
      <c r="U981" s="177" t="s">
        <v>152</v>
      </c>
      <c r="V981" s="177" t="s">
        <v>18</v>
      </c>
    </row>
    <row r="982" spans="1:22">
      <c r="A982" s="6"/>
      <c r="B982" s="251">
        <v>46255</v>
      </c>
      <c r="C982" s="251">
        <v>46255</v>
      </c>
      <c r="D982" s="177" t="s">
        <v>9646</v>
      </c>
      <c r="E982" s="177">
        <v>260106123021</v>
      </c>
      <c r="F982" s="177" t="s">
        <v>87</v>
      </c>
      <c r="G982" s="177" t="s">
        <v>9647</v>
      </c>
      <c r="H982" s="177">
        <v>140</v>
      </c>
      <c r="I982" s="177">
        <v>165</v>
      </c>
      <c r="J982" s="373">
        <v>165</v>
      </c>
      <c r="K982" s="177">
        <v>83</v>
      </c>
      <c r="L982" s="253">
        <v>1470</v>
      </c>
      <c r="M982" s="177" t="s">
        <v>153</v>
      </c>
      <c r="N982" s="177" t="s">
        <v>149</v>
      </c>
      <c r="O982" s="177" t="s">
        <v>154</v>
      </c>
      <c r="P982" s="177" t="s">
        <v>151</v>
      </c>
      <c r="Q982" s="177" t="s">
        <v>155</v>
      </c>
      <c r="R982" s="177" t="s">
        <v>9648</v>
      </c>
      <c r="S982" s="177"/>
      <c r="T982" s="177" t="s">
        <v>3055</v>
      </c>
      <c r="U982" s="177" t="s">
        <v>152</v>
      </c>
      <c r="V982" s="177" t="s">
        <v>18</v>
      </c>
    </row>
    <row r="983" spans="1:22">
      <c r="A983" s="6"/>
      <c r="B983" s="251">
        <v>46255</v>
      </c>
      <c r="C983" s="251">
        <v>46255</v>
      </c>
      <c r="D983" s="177" t="s">
        <v>9649</v>
      </c>
      <c r="E983" s="177">
        <v>260107123034</v>
      </c>
      <c r="F983" s="177" t="s">
        <v>87</v>
      </c>
      <c r="G983" s="177" t="s">
        <v>8692</v>
      </c>
      <c r="H983" s="177">
        <v>140</v>
      </c>
      <c r="I983" s="177">
        <v>240</v>
      </c>
      <c r="J983" s="373">
        <v>240</v>
      </c>
      <c r="K983" s="177">
        <v>88</v>
      </c>
      <c r="L983" s="253">
        <v>2000</v>
      </c>
      <c r="M983" s="177" t="s">
        <v>153</v>
      </c>
      <c r="N983" s="177" t="s">
        <v>149</v>
      </c>
      <c r="O983" s="177" t="s">
        <v>154</v>
      </c>
      <c r="P983" s="177" t="s">
        <v>151</v>
      </c>
      <c r="Q983" s="177" t="s">
        <v>155</v>
      </c>
      <c r="R983" s="177" t="s">
        <v>9650</v>
      </c>
      <c r="S983" s="177"/>
      <c r="T983" s="177" t="s">
        <v>3055</v>
      </c>
      <c r="U983" s="177" t="s">
        <v>152</v>
      </c>
      <c r="V983" s="177" t="s">
        <v>18</v>
      </c>
    </row>
    <row r="984" spans="1:22">
      <c r="A984" s="6"/>
      <c r="B984" s="251">
        <v>46255</v>
      </c>
      <c r="C984" s="251">
        <v>46255</v>
      </c>
      <c r="D984" s="177" t="s">
        <v>9651</v>
      </c>
      <c r="E984" s="177">
        <v>260103923054</v>
      </c>
      <c r="F984" s="177" t="s">
        <v>87</v>
      </c>
      <c r="G984" s="177" t="s">
        <v>2304</v>
      </c>
      <c r="H984" s="177">
        <v>132</v>
      </c>
      <c r="I984" s="177">
        <v>206</v>
      </c>
      <c r="J984" s="373">
        <v>206</v>
      </c>
      <c r="K984" s="177">
        <v>97</v>
      </c>
      <c r="L984" s="253">
        <v>1670</v>
      </c>
      <c r="M984" s="177" t="s">
        <v>153</v>
      </c>
      <c r="N984" s="177" t="s">
        <v>149</v>
      </c>
      <c r="O984" s="177" t="s">
        <v>154</v>
      </c>
      <c r="P984" s="177" t="s">
        <v>151</v>
      </c>
      <c r="Q984" s="177" t="s">
        <v>155</v>
      </c>
      <c r="R984" s="177" t="s">
        <v>9652</v>
      </c>
      <c r="S984" s="177"/>
      <c r="T984" s="177" t="s">
        <v>3055</v>
      </c>
      <c r="U984" s="177" t="s">
        <v>152</v>
      </c>
      <c r="V984" s="177" t="s">
        <v>18</v>
      </c>
    </row>
    <row r="985" spans="1:22">
      <c r="A985" s="6"/>
      <c r="B985" s="251">
        <v>46255</v>
      </c>
      <c r="C985" s="251">
        <v>46255</v>
      </c>
      <c r="D985" s="177" t="s">
        <v>9653</v>
      </c>
      <c r="E985" s="177">
        <v>260106223071</v>
      </c>
      <c r="F985" s="177" t="s">
        <v>87</v>
      </c>
      <c r="G985" s="177" t="s">
        <v>824</v>
      </c>
      <c r="H985" s="177">
        <v>182</v>
      </c>
      <c r="I985" s="177">
        <v>308</v>
      </c>
      <c r="J985" s="373">
        <v>308</v>
      </c>
      <c r="K985" s="177">
        <v>104</v>
      </c>
      <c r="L985" s="253">
        <v>1660</v>
      </c>
      <c r="M985" s="177" t="s">
        <v>153</v>
      </c>
      <c r="N985" s="177" t="s">
        <v>149</v>
      </c>
      <c r="O985" s="177" t="s">
        <v>154</v>
      </c>
      <c r="P985" s="177" t="s">
        <v>151</v>
      </c>
      <c r="Q985" s="177" t="s">
        <v>155</v>
      </c>
      <c r="R985" s="177" t="s">
        <v>9654</v>
      </c>
      <c r="S985" s="177"/>
      <c r="T985" s="177" t="s">
        <v>3055</v>
      </c>
      <c r="U985" s="177" t="s">
        <v>152</v>
      </c>
      <c r="V985" s="177" t="s">
        <v>18</v>
      </c>
    </row>
    <row r="986" spans="1:22">
      <c r="A986" s="6"/>
      <c r="B986" s="251">
        <v>46255</v>
      </c>
      <c r="C986" s="251">
        <v>46255</v>
      </c>
      <c r="D986" s="177" t="s">
        <v>9655</v>
      </c>
      <c r="E986" s="177">
        <v>260107523076</v>
      </c>
      <c r="F986" s="177" t="s">
        <v>87</v>
      </c>
      <c r="G986" s="177" t="s">
        <v>9219</v>
      </c>
      <c r="H986" s="177">
        <v>140</v>
      </c>
      <c r="I986" s="177">
        <v>322</v>
      </c>
      <c r="J986" s="373">
        <v>322</v>
      </c>
      <c r="K986" s="177">
        <v>88</v>
      </c>
      <c r="L986" s="253">
        <v>2720</v>
      </c>
      <c r="M986" s="177" t="s">
        <v>153</v>
      </c>
      <c r="N986" s="177" t="s">
        <v>149</v>
      </c>
      <c r="O986" s="177" t="s">
        <v>154</v>
      </c>
      <c r="P986" s="177" t="s">
        <v>151</v>
      </c>
      <c r="Q986" s="177" t="s">
        <v>155</v>
      </c>
      <c r="R986" s="177" t="s">
        <v>9656</v>
      </c>
      <c r="S986" s="177"/>
      <c r="T986" s="177" t="s">
        <v>3055</v>
      </c>
      <c r="U986" s="177" t="s">
        <v>152</v>
      </c>
      <c r="V986" s="177" t="s">
        <v>18</v>
      </c>
    </row>
    <row r="987" spans="1:22">
      <c r="A987" s="6"/>
      <c r="B987" s="251">
        <v>46255</v>
      </c>
      <c r="C987" s="251">
        <v>46255</v>
      </c>
      <c r="D987" s="177" t="s">
        <v>9657</v>
      </c>
      <c r="E987" s="177">
        <v>260107423079</v>
      </c>
      <c r="F987" s="177" t="s">
        <v>87</v>
      </c>
      <c r="G987" s="177" t="s">
        <v>2304</v>
      </c>
      <c r="H987" s="177">
        <v>132</v>
      </c>
      <c r="I987" s="177">
        <v>308</v>
      </c>
      <c r="J987" s="373">
        <v>308</v>
      </c>
      <c r="K987" s="177">
        <v>97</v>
      </c>
      <c r="L987" s="253">
        <v>2560</v>
      </c>
      <c r="M987" s="177" t="s">
        <v>153</v>
      </c>
      <c r="N987" s="177" t="s">
        <v>149</v>
      </c>
      <c r="O987" s="177" t="s">
        <v>154</v>
      </c>
      <c r="P987" s="177" t="s">
        <v>151</v>
      </c>
      <c r="Q987" s="177" t="s">
        <v>155</v>
      </c>
      <c r="R987" s="177" t="s">
        <v>9658</v>
      </c>
      <c r="S987" s="177"/>
      <c r="T987" s="177" t="s">
        <v>3055</v>
      </c>
      <c r="U987" s="177" t="s">
        <v>152</v>
      </c>
      <c r="V987" s="177" t="s">
        <v>18</v>
      </c>
    </row>
    <row r="988" spans="1:22">
      <c r="A988" s="6"/>
      <c r="B988" s="251">
        <v>46255</v>
      </c>
      <c r="C988" s="251">
        <v>46255</v>
      </c>
      <c r="D988" s="177" t="s">
        <v>9659</v>
      </c>
      <c r="E988" s="177">
        <v>260107323081</v>
      </c>
      <c r="F988" s="177" t="s">
        <v>87</v>
      </c>
      <c r="G988" s="177" t="s">
        <v>2530</v>
      </c>
      <c r="H988" s="177">
        <v>162</v>
      </c>
      <c r="I988" s="177">
        <v>332</v>
      </c>
      <c r="J988" s="373">
        <v>332</v>
      </c>
      <c r="K988" s="177">
        <v>102</v>
      </c>
      <c r="L988" s="253">
        <v>2120</v>
      </c>
      <c r="M988" s="177" t="s">
        <v>153</v>
      </c>
      <c r="N988" s="177" t="s">
        <v>149</v>
      </c>
      <c r="O988" s="177" t="s">
        <v>154</v>
      </c>
      <c r="P988" s="177" t="s">
        <v>151</v>
      </c>
      <c r="Q988" s="177" t="s">
        <v>155</v>
      </c>
      <c r="R988" s="177" t="s">
        <v>9660</v>
      </c>
      <c r="S988" s="177"/>
      <c r="T988" s="177" t="s">
        <v>3055</v>
      </c>
      <c r="U988" s="177" t="s">
        <v>152</v>
      </c>
      <c r="V988" s="177" t="s">
        <v>18</v>
      </c>
    </row>
    <row r="989" spans="1:22">
      <c r="A989" s="6"/>
      <c r="B989" s="251">
        <v>46255</v>
      </c>
      <c r="C989" s="251">
        <v>46255</v>
      </c>
      <c r="D989" s="177" t="s">
        <v>9661</v>
      </c>
      <c r="E989" s="177">
        <v>260102823007</v>
      </c>
      <c r="F989" s="177" t="s">
        <v>87</v>
      </c>
      <c r="G989" s="177" t="s">
        <v>8032</v>
      </c>
      <c r="H989" s="177">
        <v>102</v>
      </c>
      <c r="I989" s="177">
        <v>258</v>
      </c>
      <c r="J989" s="373">
        <v>258</v>
      </c>
      <c r="K989" s="177">
        <v>130</v>
      </c>
      <c r="L989" s="253">
        <v>1015</v>
      </c>
      <c r="M989" s="177" t="s">
        <v>153</v>
      </c>
      <c r="N989" s="177" t="s">
        <v>149</v>
      </c>
      <c r="O989" s="177" t="s">
        <v>154</v>
      </c>
      <c r="P989" s="177" t="s">
        <v>151</v>
      </c>
      <c r="Q989" s="177" t="s">
        <v>155</v>
      </c>
      <c r="R989" s="177" t="s">
        <v>9662</v>
      </c>
      <c r="S989" s="177"/>
      <c r="T989" s="177" t="s">
        <v>3055</v>
      </c>
      <c r="U989" s="177" t="s">
        <v>152</v>
      </c>
      <c r="V989" s="177" t="s">
        <v>18</v>
      </c>
    </row>
    <row r="990" spans="1:22">
      <c r="A990" s="6"/>
      <c r="B990" s="251">
        <v>46255</v>
      </c>
      <c r="C990" s="251">
        <v>46255</v>
      </c>
      <c r="D990" s="177" t="s">
        <v>9663</v>
      </c>
      <c r="E990" s="177">
        <v>260102523008</v>
      </c>
      <c r="F990" s="177" t="s">
        <v>87</v>
      </c>
      <c r="G990" s="177" t="s">
        <v>8032</v>
      </c>
      <c r="H990" s="177">
        <v>102</v>
      </c>
      <c r="I990" s="177">
        <v>257</v>
      </c>
      <c r="J990" s="373">
        <v>257</v>
      </c>
      <c r="K990" s="177">
        <v>130</v>
      </c>
      <c r="L990" s="253">
        <v>1000</v>
      </c>
      <c r="M990" s="177" t="s">
        <v>153</v>
      </c>
      <c r="N990" s="177" t="s">
        <v>149</v>
      </c>
      <c r="O990" s="177" t="s">
        <v>154</v>
      </c>
      <c r="P990" s="177" t="s">
        <v>151</v>
      </c>
      <c r="Q990" s="177" t="s">
        <v>155</v>
      </c>
      <c r="R990" s="177" t="s">
        <v>9664</v>
      </c>
      <c r="S990" s="177"/>
      <c r="T990" s="177" t="s">
        <v>3055</v>
      </c>
      <c r="U990" s="177" t="s">
        <v>152</v>
      </c>
      <c r="V990" s="177" t="s">
        <v>18</v>
      </c>
    </row>
    <row r="991" spans="1:22">
      <c r="A991" s="6"/>
      <c r="B991" s="251">
        <v>46255</v>
      </c>
      <c r="C991" s="251">
        <v>46255</v>
      </c>
      <c r="D991" s="177" t="s">
        <v>9665</v>
      </c>
      <c r="E991" s="177">
        <v>260101523043</v>
      </c>
      <c r="F991" s="177" t="s">
        <v>87</v>
      </c>
      <c r="G991" s="177" t="s">
        <v>2408</v>
      </c>
      <c r="H991" s="177">
        <v>112</v>
      </c>
      <c r="I991" s="177">
        <v>383</v>
      </c>
      <c r="J991" s="373">
        <v>383</v>
      </c>
      <c r="K991" s="177">
        <v>160</v>
      </c>
      <c r="L991" s="253">
        <v>1000</v>
      </c>
      <c r="M991" s="177" t="s">
        <v>153</v>
      </c>
      <c r="N991" s="177" t="s">
        <v>149</v>
      </c>
      <c r="O991" s="177" t="s">
        <v>154</v>
      </c>
      <c r="P991" s="177" t="s">
        <v>151</v>
      </c>
      <c r="Q991" s="177" t="s">
        <v>155</v>
      </c>
      <c r="R991" s="177" t="s">
        <v>9666</v>
      </c>
      <c r="S991" s="177"/>
      <c r="T991" s="177" t="s">
        <v>3055</v>
      </c>
      <c r="U991" s="177" t="s">
        <v>152</v>
      </c>
      <c r="V991" s="177" t="s">
        <v>18</v>
      </c>
    </row>
    <row r="992" spans="1:22">
      <c r="A992" s="6"/>
      <c r="B992" s="251">
        <v>46255</v>
      </c>
      <c r="C992" s="251">
        <v>46255</v>
      </c>
      <c r="D992" s="177" t="s">
        <v>9667</v>
      </c>
      <c r="E992" s="177">
        <v>260102223044</v>
      </c>
      <c r="F992" s="177" t="s">
        <v>87</v>
      </c>
      <c r="G992" s="177" t="s">
        <v>9668</v>
      </c>
      <c r="H992" s="177">
        <v>102</v>
      </c>
      <c r="I992" s="177">
        <v>256</v>
      </c>
      <c r="J992" s="373">
        <v>256</v>
      </c>
      <c r="K992" s="177">
        <v>130</v>
      </c>
      <c r="L992" s="253">
        <v>1000</v>
      </c>
      <c r="M992" s="177" t="s">
        <v>153</v>
      </c>
      <c r="N992" s="177" t="s">
        <v>149</v>
      </c>
      <c r="O992" s="177" t="s">
        <v>154</v>
      </c>
      <c r="P992" s="177" t="s">
        <v>151</v>
      </c>
      <c r="Q992" s="177" t="s">
        <v>155</v>
      </c>
      <c r="R992" s="177" t="s">
        <v>9669</v>
      </c>
      <c r="S992" s="177"/>
      <c r="T992" s="177" t="s">
        <v>3055</v>
      </c>
      <c r="U992" s="177" t="s">
        <v>152</v>
      </c>
      <c r="V992" s="177" t="s">
        <v>18</v>
      </c>
    </row>
    <row r="993" spans="1:22">
      <c r="A993" s="6"/>
      <c r="B993" s="251">
        <v>46255</v>
      </c>
      <c r="C993" s="251">
        <v>46255</v>
      </c>
      <c r="D993" s="177" t="s">
        <v>9670</v>
      </c>
      <c r="E993" s="177">
        <v>260103423056</v>
      </c>
      <c r="F993" s="177" t="s">
        <v>87</v>
      </c>
      <c r="G993" s="177" t="s">
        <v>824</v>
      </c>
      <c r="H993" s="177">
        <v>152</v>
      </c>
      <c r="I993" s="177">
        <v>263</v>
      </c>
      <c r="J993" s="373">
        <v>263</v>
      </c>
      <c r="K993" s="177">
        <v>104</v>
      </c>
      <c r="L993" s="253">
        <v>1740</v>
      </c>
      <c r="M993" s="177" t="s">
        <v>153</v>
      </c>
      <c r="N993" s="177" t="s">
        <v>149</v>
      </c>
      <c r="O993" s="177" t="s">
        <v>154</v>
      </c>
      <c r="P993" s="177" t="s">
        <v>151</v>
      </c>
      <c r="Q993" s="177" t="s">
        <v>155</v>
      </c>
      <c r="R993" s="177" t="s">
        <v>9671</v>
      </c>
      <c r="S993" s="177"/>
      <c r="T993" s="177" t="s">
        <v>3055</v>
      </c>
      <c r="U993" s="177" t="s">
        <v>152</v>
      </c>
      <c r="V993" s="177" t="s">
        <v>18</v>
      </c>
    </row>
    <row r="994" spans="1:22">
      <c r="A994" s="6"/>
      <c r="B994" s="251">
        <v>46255</v>
      </c>
      <c r="C994" s="251">
        <v>46255</v>
      </c>
      <c r="D994" s="177" t="s">
        <v>9672</v>
      </c>
      <c r="E994" s="177">
        <v>260106123084</v>
      </c>
      <c r="F994" s="177" t="s">
        <v>87</v>
      </c>
      <c r="G994" s="177" t="s">
        <v>9647</v>
      </c>
      <c r="H994" s="177">
        <v>140</v>
      </c>
      <c r="I994" s="177">
        <v>173</v>
      </c>
      <c r="J994" s="373">
        <v>173</v>
      </c>
      <c r="K994" s="177">
        <v>83</v>
      </c>
      <c r="L994" s="253">
        <v>1520</v>
      </c>
      <c r="M994" s="177" t="s">
        <v>153</v>
      </c>
      <c r="N994" s="177" t="s">
        <v>149</v>
      </c>
      <c r="O994" s="177" t="s">
        <v>154</v>
      </c>
      <c r="P994" s="177" t="s">
        <v>151</v>
      </c>
      <c r="Q994" s="177" t="s">
        <v>155</v>
      </c>
      <c r="R994" s="177" t="s">
        <v>9673</v>
      </c>
      <c r="S994" s="177"/>
      <c r="T994" s="177" t="s">
        <v>3055</v>
      </c>
      <c r="U994" s="177" t="s">
        <v>152</v>
      </c>
      <c r="V994" s="177" t="s">
        <v>18</v>
      </c>
    </row>
    <row r="995" spans="1:22">
      <c r="B995" s="251">
        <v>46255</v>
      </c>
      <c r="C995" s="251">
        <v>46255</v>
      </c>
      <c r="D995" s="177" t="s">
        <v>9674</v>
      </c>
      <c r="E995" s="177">
        <v>260100723013</v>
      </c>
      <c r="F995" s="177" t="s">
        <v>87</v>
      </c>
      <c r="G995" s="177" t="s">
        <v>7586</v>
      </c>
      <c r="H995" s="177">
        <v>145</v>
      </c>
      <c r="I995" s="245">
        <v>390</v>
      </c>
      <c r="J995" s="376">
        <v>390</v>
      </c>
      <c r="K995" s="177">
        <v>170</v>
      </c>
      <c r="L995" s="253">
        <v>800</v>
      </c>
      <c r="M995" s="177" t="s">
        <v>153</v>
      </c>
      <c r="N995" s="177" t="s">
        <v>149</v>
      </c>
      <c r="O995" s="177" t="s">
        <v>154</v>
      </c>
      <c r="P995" s="177" t="s">
        <v>151</v>
      </c>
      <c r="Q995" s="177" t="s">
        <v>155</v>
      </c>
      <c r="R995" s="177" t="s">
        <v>9675</v>
      </c>
      <c r="S995" s="177"/>
      <c r="T995" s="177" t="s">
        <v>3055</v>
      </c>
      <c r="U995" s="177" t="s">
        <v>152</v>
      </c>
      <c r="V995" s="177" t="s">
        <v>18</v>
      </c>
    </row>
    <row r="996" spans="1:22">
      <c r="B996" s="251">
        <v>46255</v>
      </c>
      <c r="C996" s="251">
        <v>46255</v>
      </c>
      <c r="D996" s="177" t="s">
        <v>9676</v>
      </c>
      <c r="E996" s="177">
        <v>260103723022</v>
      </c>
      <c r="F996" s="177" t="s">
        <v>87</v>
      </c>
      <c r="G996" s="177" t="s">
        <v>8646</v>
      </c>
      <c r="H996" s="177">
        <v>135</v>
      </c>
      <c r="I996" s="245">
        <v>198</v>
      </c>
      <c r="J996" s="377">
        <v>198</v>
      </c>
      <c r="K996" s="177">
        <v>97</v>
      </c>
      <c r="L996" s="253">
        <v>1500</v>
      </c>
      <c r="M996" s="177" t="s">
        <v>153</v>
      </c>
      <c r="N996" s="177" t="s">
        <v>149</v>
      </c>
      <c r="O996" s="177" t="s">
        <v>154</v>
      </c>
      <c r="P996" s="177" t="s">
        <v>151</v>
      </c>
      <c r="Q996" s="177" t="s">
        <v>155</v>
      </c>
      <c r="R996" s="177" t="s">
        <v>9677</v>
      </c>
      <c r="S996" s="177"/>
      <c r="T996" s="177" t="s">
        <v>3055</v>
      </c>
      <c r="U996" s="177" t="s">
        <v>152</v>
      </c>
      <c r="V996" s="177" t="s">
        <v>18</v>
      </c>
    </row>
    <row r="997" spans="1:22">
      <c r="B997" s="251">
        <v>46255</v>
      </c>
      <c r="C997" s="251">
        <v>46255</v>
      </c>
      <c r="D997" s="177" t="s">
        <v>9678</v>
      </c>
      <c r="E997" s="177">
        <v>260105023028</v>
      </c>
      <c r="F997" s="177" t="s">
        <v>87</v>
      </c>
      <c r="G997" s="177" t="s">
        <v>2407</v>
      </c>
      <c r="H997" s="177">
        <v>160</v>
      </c>
      <c r="I997" s="245">
        <v>250</v>
      </c>
      <c r="J997" s="376">
        <v>250</v>
      </c>
      <c r="K997" s="177">
        <v>102</v>
      </c>
      <c r="L997" s="253">
        <v>1600</v>
      </c>
      <c r="M997" s="177" t="s">
        <v>153</v>
      </c>
      <c r="N997" s="177" t="s">
        <v>149</v>
      </c>
      <c r="O997" s="177" t="s">
        <v>154</v>
      </c>
      <c r="P997" s="177" t="s">
        <v>151</v>
      </c>
      <c r="Q997" s="177" t="s">
        <v>155</v>
      </c>
      <c r="R997" s="177" t="s">
        <v>9679</v>
      </c>
      <c r="S997" s="177"/>
      <c r="T997" s="177" t="s">
        <v>3055</v>
      </c>
      <c r="U997" s="177" t="s">
        <v>152</v>
      </c>
      <c r="V997" s="177" t="s">
        <v>18</v>
      </c>
    </row>
    <row r="998" spans="1:22">
      <c r="B998" s="251">
        <v>46255</v>
      </c>
      <c r="C998" s="251">
        <v>46255</v>
      </c>
      <c r="D998" s="177" t="s">
        <v>9680</v>
      </c>
      <c r="E998" s="177">
        <v>260105223030</v>
      </c>
      <c r="F998" s="177" t="s">
        <v>87</v>
      </c>
      <c r="G998" s="177" t="s">
        <v>2527</v>
      </c>
      <c r="H998" s="177">
        <v>152</v>
      </c>
      <c r="I998" s="177">
        <v>266</v>
      </c>
      <c r="J998" s="373">
        <v>266</v>
      </c>
      <c r="K998" s="177">
        <v>104</v>
      </c>
      <c r="L998" s="253">
        <v>1760</v>
      </c>
      <c r="M998" s="177" t="s">
        <v>153</v>
      </c>
      <c r="N998" s="177" t="s">
        <v>149</v>
      </c>
      <c r="O998" s="177" t="s">
        <v>154</v>
      </c>
      <c r="P998" s="177" t="s">
        <v>151</v>
      </c>
      <c r="Q998" s="177" t="s">
        <v>155</v>
      </c>
      <c r="R998" s="177" t="s">
        <v>9681</v>
      </c>
      <c r="S998" s="177"/>
      <c r="T998" s="177" t="s">
        <v>3055</v>
      </c>
      <c r="U998" s="177" t="s">
        <v>152</v>
      </c>
      <c r="V998" s="177" t="s">
        <v>18</v>
      </c>
    </row>
    <row r="999" spans="1:22">
      <c r="B999" s="251">
        <v>46255</v>
      </c>
      <c r="C999" s="251">
        <v>46255</v>
      </c>
      <c r="D999" s="177" t="s">
        <v>9682</v>
      </c>
      <c r="E999" s="177">
        <v>260102623048</v>
      </c>
      <c r="F999" s="177" t="s">
        <v>87</v>
      </c>
      <c r="G999" s="177" t="s">
        <v>8032</v>
      </c>
      <c r="H999" s="177">
        <v>102</v>
      </c>
      <c r="I999" s="177">
        <v>296</v>
      </c>
      <c r="J999" s="373">
        <v>296</v>
      </c>
      <c r="K999" s="177">
        <v>130</v>
      </c>
      <c r="L999" s="253">
        <v>1180</v>
      </c>
      <c r="M999" s="177" t="s">
        <v>153</v>
      </c>
      <c r="N999" s="177" t="s">
        <v>149</v>
      </c>
      <c r="O999" s="177" t="s">
        <v>154</v>
      </c>
      <c r="P999" s="177" t="s">
        <v>151</v>
      </c>
      <c r="Q999" s="177" t="s">
        <v>155</v>
      </c>
      <c r="R999" s="177" t="s">
        <v>9683</v>
      </c>
      <c r="S999" s="177"/>
      <c r="T999" s="177" t="s">
        <v>3055</v>
      </c>
      <c r="U999" s="177" t="s">
        <v>152</v>
      </c>
      <c r="V999" s="177" t="s">
        <v>18</v>
      </c>
    </row>
    <row r="1000" spans="1:22">
      <c r="B1000" s="251">
        <v>46255</v>
      </c>
      <c r="C1000" s="251">
        <v>46255</v>
      </c>
      <c r="D1000" s="177" t="s">
        <v>9684</v>
      </c>
      <c r="E1000" s="177">
        <v>260101423066</v>
      </c>
      <c r="F1000" s="177" t="s">
        <v>87</v>
      </c>
      <c r="G1000" s="177" t="s">
        <v>824</v>
      </c>
      <c r="H1000" s="177">
        <v>152</v>
      </c>
      <c r="I1000" s="177">
        <v>230</v>
      </c>
      <c r="J1000" s="373">
        <v>230</v>
      </c>
      <c r="K1000" s="177">
        <v>104</v>
      </c>
      <c r="L1000" s="253">
        <v>1500</v>
      </c>
      <c r="M1000" s="177" t="s">
        <v>153</v>
      </c>
      <c r="N1000" s="177" t="s">
        <v>149</v>
      </c>
      <c r="O1000" s="177" t="s">
        <v>154</v>
      </c>
      <c r="P1000" s="177" t="s">
        <v>151</v>
      </c>
      <c r="Q1000" s="177" t="s">
        <v>155</v>
      </c>
      <c r="R1000" s="177" t="s">
        <v>9685</v>
      </c>
      <c r="S1000" s="177"/>
      <c r="T1000" s="177" t="s">
        <v>3055</v>
      </c>
      <c r="U1000" s="177" t="s">
        <v>152</v>
      </c>
      <c r="V1000" s="177" t="s">
        <v>18</v>
      </c>
    </row>
    <row r="1001" spans="1:22">
      <c r="B1001" s="251">
        <v>46255</v>
      </c>
      <c r="C1001" s="251">
        <v>46255</v>
      </c>
      <c r="D1001" s="177" t="s">
        <v>9686</v>
      </c>
      <c r="E1001" s="177">
        <v>260101723009</v>
      </c>
      <c r="F1001" s="177" t="s">
        <v>87</v>
      </c>
      <c r="G1001" s="177" t="s">
        <v>8681</v>
      </c>
      <c r="H1001" s="177">
        <v>92</v>
      </c>
      <c r="I1001" s="177">
        <v>265</v>
      </c>
      <c r="J1001" s="373">
        <v>265</v>
      </c>
      <c r="K1001" s="177">
        <v>134</v>
      </c>
      <c r="L1001" s="253">
        <v>1070</v>
      </c>
      <c r="M1001" s="177" t="s">
        <v>153</v>
      </c>
      <c r="N1001" s="177" t="s">
        <v>149</v>
      </c>
      <c r="O1001" s="177" t="s">
        <v>154</v>
      </c>
      <c r="P1001" s="177" t="s">
        <v>151</v>
      </c>
      <c r="Q1001" s="177" t="s">
        <v>155</v>
      </c>
      <c r="R1001" s="177" t="s">
        <v>9687</v>
      </c>
      <c r="S1001" s="177"/>
      <c r="T1001" s="177" t="s">
        <v>3055</v>
      </c>
      <c r="U1001" s="177" t="s">
        <v>152</v>
      </c>
      <c r="V1001" s="177" t="s">
        <v>18</v>
      </c>
    </row>
    <row r="1002" spans="1:22">
      <c r="B1002" s="251">
        <v>46255</v>
      </c>
      <c r="C1002" s="251">
        <v>46255</v>
      </c>
      <c r="D1002" s="177" t="s">
        <v>9688</v>
      </c>
      <c r="E1002" s="177">
        <v>260101923011</v>
      </c>
      <c r="F1002" s="177" t="s">
        <v>87</v>
      </c>
      <c r="G1002" s="177" t="s">
        <v>8681</v>
      </c>
      <c r="H1002" s="177">
        <v>92</v>
      </c>
      <c r="I1002" s="177">
        <v>258</v>
      </c>
      <c r="J1002" s="373">
        <v>258</v>
      </c>
      <c r="K1002" s="177">
        <v>134</v>
      </c>
      <c r="L1002" s="253">
        <v>1080</v>
      </c>
      <c r="M1002" s="177" t="s">
        <v>153</v>
      </c>
      <c r="N1002" s="177" t="s">
        <v>149</v>
      </c>
      <c r="O1002" s="177" t="s">
        <v>154</v>
      </c>
      <c r="P1002" s="177" t="s">
        <v>151</v>
      </c>
      <c r="Q1002" s="177" t="s">
        <v>155</v>
      </c>
      <c r="R1002" s="177" t="s">
        <v>9689</v>
      </c>
      <c r="S1002" s="177"/>
      <c r="T1002" s="177" t="s">
        <v>3055</v>
      </c>
      <c r="U1002" s="177" t="s">
        <v>152</v>
      </c>
      <c r="V1002" s="177" t="s">
        <v>18</v>
      </c>
    </row>
    <row r="1003" spans="1:22">
      <c r="B1003" s="251">
        <v>46255</v>
      </c>
      <c r="C1003" s="251">
        <v>46255</v>
      </c>
      <c r="D1003" s="177" t="s">
        <v>9690</v>
      </c>
      <c r="E1003" s="177">
        <v>260104023018</v>
      </c>
      <c r="F1003" s="177" t="s">
        <v>87</v>
      </c>
      <c r="G1003" s="177" t="s">
        <v>2526</v>
      </c>
      <c r="H1003" s="177">
        <v>125</v>
      </c>
      <c r="I1003" s="177">
        <v>191</v>
      </c>
      <c r="J1003" s="373">
        <v>191</v>
      </c>
      <c r="K1003" s="177">
        <v>97</v>
      </c>
      <c r="L1003" s="253">
        <v>1550</v>
      </c>
      <c r="M1003" s="177" t="s">
        <v>153</v>
      </c>
      <c r="N1003" s="177" t="s">
        <v>149</v>
      </c>
      <c r="O1003" s="177" t="s">
        <v>154</v>
      </c>
      <c r="P1003" s="177" t="s">
        <v>151</v>
      </c>
      <c r="Q1003" s="177" t="s">
        <v>155</v>
      </c>
      <c r="R1003" s="177" t="s">
        <v>9691</v>
      </c>
      <c r="S1003" s="177"/>
      <c r="T1003" s="177" t="s">
        <v>3055</v>
      </c>
      <c r="U1003" s="177" t="s">
        <v>152</v>
      </c>
      <c r="V1003" s="177" t="s">
        <v>18</v>
      </c>
    </row>
    <row r="1004" spans="1:22">
      <c r="B1004" s="251">
        <v>46255</v>
      </c>
      <c r="C1004" s="251">
        <v>46255</v>
      </c>
      <c r="D1004" s="177" t="s">
        <v>9692</v>
      </c>
      <c r="E1004" s="177">
        <v>260106923078</v>
      </c>
      <c r="F1004" s="177" t="s">
        <v>87</v>
      </c>
      <c r="G1004" s="177" t="s">
        <v>7928</v>
      </c>
      <c r="H1004" s="177">
        <v>135</v>
      </c>
      <c r="I1004" s="177">
        <v>362</v>
      </c>
      <c r="J1004" s="373">
        <v>362</v>
      </c>
      <c r="K1004" s="177">
        <v>107</v>
      </c>
      <c r="L1004" s="253">
        <v>2570</v>
      </c>
      <c r="M1004" s="177" t="s">
        <v>153</v>
      </c>
      <c r="N1004" s="177" t="s">
        <v>149</v>
      </c>
      <c r="O1004" s="177" t="s">
        <v>154</v>
      </c>
      <c r="P1004" s="177" t="s">
        <v>151</v>
      </c>
      <c r="Q1004" s="177" t="s">
        <v>155</v>
      </c>
      <c r="R1004" s="177" t="s">
        <v>9693</v>
      </c>
      <c r="S1004" s="177"/>
      <c r="T1004" s="177" t="s">
        <v>3055</v>
      </c>
      <c r="U1004" s="177" t="s">
        <v>152</v>
      </c>
      <c r="V1004" s="177" t="s">
        <v>18</v>
      </c>
    </row>
    <row r="1005" spans="1:22">
      <c r="B1005" s="251">
        <v>46255</v>
      </c>
      <c r="C1005" s="251">
        <v>46255</v>
      </c>
      <c r="D1005" s="177" t="s">
        <v>9694</v>
      </c>
      <c r="E1005" s="177">
        <v>260102923019</v>
      </c>
      <c r="F1005" s="177" t="s">
        <v>87</v>
      </c>
      <c r="G1005" s="177" t="s">
        <v>824</v>
      </c>
      <c r="H1005" s="177">
        <v>152</v>
      </c>
      <c r="I1005" s="177">
        <v>217</v>
      </c>
      <c r="J1005" s="373">
        <v>217</v>
      </c>
      <c r="K1005" s="177">
        <v>104</v>
      </c>
      <c r="L1005" s="253">
        <v>1440</v>
      </c>
      <c r="M1005" s="177" t="s">
        <v>153</v>
      </c>
      <c r="N1005" s="177" t="s">
        <v>149</v>
      </c>
      <c r="O1005" s="177" t="s">
        <v>154</v>
      </c>
      <c r="P1005" s="177" t="s">
        <v>151</v>
      </c>
      <c r="Q1005" s="177" t="s">
        <v>155</v>
      </c>
      <c r="R1005" s="177" t="s">
        <v>9695</v>
      </c>
      <c r="S1005" s="177"/>
      <c r="T1005" s="177" t="s">
        <v>3055</v>
      </c>
      <c r="U1005" s="177" t="s">
        <v>152</v>
      </c>
      <c r="V1005" s="177" t="s">
        <v>18</v>
      </c>
    </row>
    <row r="1006" spans="1:22">
      <c r="B1006" s="251">
        <v>46255</v>
      </c>
      <c r="C1006" s="251">
        <v>46255</v>
      </c>
      <c r="D1006" s="177" t="s">
        <v>9696</v>
      </c>
      <c r="E1006" s="177">
        <v>260102923020</v>
      </c>
      <c r="F1006" s="177" t="s">
        <v>87</v>
      </c>
      <c r="G1006" s="177" t="s">
        <v>824</v>
      </c>
      <c r="H1006" s="177">
        <v>152</v>
      </c>
      <c r="I1006" s="177">
        <v>222</v>
      </c>
      <c r="J1006" s="373">
        <v>222</v>
      </c>
      <c r="K1006" s="177">
        <v>104</v>
      </c>
      <c r="L1006" s="253">
        <v>1440</v>
      </c>
      <c r="M1006" s="177" t="s">
        <v>153</v>
      </c>
      <c r="N1006" s="177" t="s">
        <v>149</v>
      </c>
      <c r="O1006" s="177" t="s">
        <v>154</v>
      </c>
      <c r="P1006" s="177" t="s">
        <v>151</v>
      </c>
      <c r="Q1006" s="177" t="s">
        <v>155</v>
      </c>
      <c r="R1006" s="177" t="s">
        <v>9697</v>
      </c>
      <c r="S1006" s="177"/>
      <c r="T1006" s="177" t="s">
        <v>3055</v>
      </c>
      <c r="U1006" s="177" t="s">
        <v>152</v>
      </c>
      <c r="V1006" s="177" t="s">
        <v>18</v>
      </c>
    </row>
    <row r="1007" spans="1:22">
      <c r="B1007" s="251">
        <v>46255</v>
      </c>
      <c r="C1007" s="251">
        <v>46255</v>
      </c>
      <c r="D1007" s="177" t="s">
        <v>9698</v>
      </c>
      <c r="E1007" s="177">
        <v>260103723023</v>
      </c>
      <c r="F1007" s="177" t="s">
        <v>87</v>
      </c>
      <c r="G1007" s="177" t="s">
        <v>8646</v>
      </c>
      <c r="H1007" s="177">
        <v>135</v>
      </c>
      <c r="I1007" s="177">
        <v>195</v>
      </c>
      <c r="J1007" s="373">
        <v>195</v>
      </c>
      <c r="K1007" s="177">
        <v>97</v>
      </c>
      <c r="L1007" s="253">
        <v>1500</v>
      </c>
      <c r="M1007" s="177" t="s">
        <v>153</v>
      </c>
      <c r="N1007" s="177" t="s">
        <v>149</v>
      </c>
      <c r="O1007" s="177" t="s">
        <v>154</v>
      </c>
      <c r="P1007" s="177" t="s">
        <v>151</v>
      </c>
      <c r="Q1007" s="177" t="s">
        <v>155</v>
      </c>
      <c r="R1007" s="177" t="s">
        <v>9699</v>
      </c>
      <c r="S1007" s="177"/>
      <c r="T1007" s="177" t="s">
        <v>3055</v>
      </c>
      <c r="U1007" s="177" t="s">
        <v>152</v>
      </c>
      <c r="V1007" s="177" t="s">
        <v>18</v>
      </c>
    </row>
    <row r="1008" spans="1:22">
      <c r="B1008" s="251">
        <v>46255</v>
      </c>
      <c r="C1008" s="251">
        <v>46255</v>
      </c>
      <c r="D1008" s="177" t="s">
        <v>9700</v>
      </c>
      <c r="E1008" s="177">
        <v>260102723046</v>
      </c>
      <c r="F1008" s="177" t="s">
        <v>87</v>
      </c>
      <c r="G1008" s="177" t="s">
        <v>8032</v>
      </c>
      <c r="H1008" s="177">
        <v>102</v>
      </c>
      <c r="I1008" s="177">
        <v>256</v>
      </c>
      <c r="J1008" s="373">
        <v>256</v>
      </c>
      <c r="K1008" s="177">
        <v>130</v>
      </c>
      <c r="L1008" s="253">
        <v>1010</v>
      </c>
      <c r="M1008" s="177" t="s">
        <v>153</v>
      </c>
      <c r="N1008" s="177" t="s">
        <v>149</v>
      </c>
      <c r="O1008" s="177" t="s">
        <v>154</v>
      </c>
      <c r="P1008" s="177" t="s">
        <v>151</v>
      </c>
      <c r="Q1008" s="177" t="s">
        <v>155</v>
      </c>
      <c r="R1008" s="177" t="s">
        <v>9701</v>
      </c>
      <c r="S1008" s="177"/>
      <c r="T1008" s="177" t="s">
        <v>3055</v>
      </c>
      <c r="U1008" s="177" t="s">
        <v>152</v>
      </c>
      <c r="V1008" s="177" t="s">
        <v>18</v>
      </c>
    </row>
    <row r="1009" spans="2:22">
      <c r="B1009" s="251">
        <v>46255</v>
      </c>
      <c r="C1009" s="251">
        <v>46255</v>
      </c>
      <c r="D1009" s="177" t="s">
        <v>9702</v>
      </c>
      <c r="E1009" s="177">
        <v>260102323082</v>
      </c>
      <c r="F1009" s="177" t="s">
        <v>87</v>
      </c>
      <c r="G1009" s="177" t="s">
        <v>8032</v>
      </c>
      <c r="H1009" s="177">
        <v>102</v>
      </c>
      <c r="I1009" s="177">
        <v>214</v>
      </c>
      <c r="J1009" s="373">
        <v>214</v>
      </c>
      <c r="K1009" s="177">
        <v>130</v>
      </c>
      <c r="L1009" s="253">
        <v>830</v>
      </c>
      <c r="M1009" s="177" t="s">
        <v>153</v>
      </c>
      <c r="N1009" s="177" t="s">
        <v>149</v>
      </c>
      <c r="O1009" s="177" t="s">
        <v>154</v>
      </c>
      <c r="P1009" s="177" t="s">
        <v>151</v>
      </c>
      <c r="Q1009" s="177" t="s">
        <v>155</v>
      </c>
      <c r="R1009" s="177" t="s">
        <v>9703</v>
      </c>
      <c r="S1009" s="177"/>
      <c r="T1009" s="177" t="s">
        <v>3055</v>
      </c>
      <c r="U1009" s="177" t="s">
        <v>152</v>
      </c>
      <c r="V1009" s="177" t="s">
        <v>18</v>
      </c>
    </row>
    <row r="1010" spans="2:22">
      <c r="B1010" s="251">
        <v>46255</v>
      </c>
      <c r="C1010" s="251">
        <v>46255</v>
      </c>
      <c r="D1010" s="177" t="s">
        <v>9704</v>
      </c>
      <c r="E1010" s="177">
        <v>260104023017</v>
      </c>
      <c r="F1010" s="177" t="s">
        <v>87</v>
      </c>
      <c r="G1010" s="177" t="s">
        <v>2526</v>
      </c>
      <c r="H1010" s="177">
        <v>125</v>
      </c>
      <c r="I1010" s="177">
        <v>187</v>
      </c>
      <c r="J1010" s="373">
        <v>187</v>
      </c>
      <c r="K1010" s="177">
        <v>97</v>
      </c>
      <c r="L1010" s="253">
        <v>1550</v>
      </c>
      <c r="M1010" s="177" t="s">
        <v>153</v>
      </c>
      <c r="N1010" s="177" t="s">
        <v>149</v>
      </c>
      <c r="O1010" s="177" t="s">
        <v>154</v>
      </c>
      <c r="P1010" s="177" t="s">
        <v>151</v>
      </c>
      <c r="Q1010" s="177" t="s">
        <v>155</v>
      </c>
      <c r="R1010" s="177" t="s">
        <v>9705</v>
      </c>
      <c r="S1010" s="177"/>
      <c r="T1010" s="177" t="s">
        <v>3055</v>
      </c>
      <c r="U1010" s="177" t="s">
        <v>152</v>
      </c>
      <c r="V1010" s="177" t="s">
        <v>18</v>
      </c>
    </row>
    <row r="1011" spans="2:22">
      <c r="B1011" s="251">
        <v>46255</v>
      </c>
      <c r="C1011" s="251">
        <v>46255</v>
      </c>
      <c r="D1011" s="177" t="s">
        <v>9706</v>
      </c>
      <c r="E1011" s="177">
        <v>260104623024</v>
      </c>
      <c r="F1011" s="177" t="s">
        <v>87</v>
      </c>
      <c r="G1011" s="177" t="s">
        <v>824</v>
      </c>
      <c r="H1011" s="177">
        <v>152</v>
      </c>
      <c r="I1011" s="177">
        <v>276</v>
      </c>
      <c r="J1011" s="373">
        <v>276</v>
      </c>
      <c r="K1011" s="177">
        <v>104</v>
      </c>
      <c r="L1011" s="253">
        <v>1850</v>
      </c>
      <c r="M1011" s="177" t="s">
        <v>153</v>
      </c>
      <c r="N1011" s="177" t="s">
        <v>149</v>
      </c>
      <c r="O1011" s="177" t="s">
        <v>154</v>
      </c>
      <c r="P1011" s="177" t="s">
        <v>151</v>
      </c>
      <c r="Q1011" s="177" t="s">
        <v>155</v>
      </c>
      <c r="R1011" s="177" t="s">
        <v>9707</v>
      </c>
      <c r="S1011" s="177"/>
      <c r="T1011" s="177" t="s">
        <v>3055</v>
      </c>
      <c r="U1011" s="177" t="s">
        <v>152</v>
      </c>
      <c r="V1011" s="177" t="s">
        <v>18</v>
      </c>
    </row>
    <row r="1012" spans="2:22">
      <c r="B1012" s="251">
        <v>46255</v>
      </c>
      <c r="C1012" s="251">
        <v>46255</v>
      </c>
      <c r="D1012" s="177" t="s">
        <v>9708</v>
      </c>
      <c r="E1012" s="177">
        <v>260105823027</v>
      </c>
      <c r="F1012" s="177" t="s">
        <v>87</v>
      </c>
      <c r="G1012" s="177" t="s">
        <v>824</v>
      </c>
      <c r="H1012" s="177">
        <v>152</v>
      </c>
      <c r="I1012" s="177">
        <v>260</v>
      </c>
      <c r="J1012" s="373">
        <v>260</v>
      </c>
      <c r="K1012" s="177">
        <v>104</v>
      </c>
      <c r="L1012" s="253">
        <v>1720</v>
      </c>
      <c r="M1012" s="177" t="s">
        <v>153</v>
      </c>
      <c r="N1012" s="177" t="s">
        <v>149</v>
      </c>
      <c r="O1012" s="177" t="s">
        <v>154</v>
      </c>
      <c r="P1012" s="177" t="s">
        <v>151</v>
      </c>
      <c r="Q1012" s="177" t="s">
        <v>155</v>
      </c>
      <c r="R1012" s="177" t="s">
        <v>9709</v>
      </c>
      <c r="S1012" s="177"/>
      <c r="T1012" s="177" t="s">
        <v>3055</v>
      </c>
      <c r="U1012" s="177" t="s">
        <v>152</v>
      </c>
      <c r="V1012" s="177" t="s">
        <v>18</v>
      </c>
    </row>
    <row r="1013" spans="2:22">
      <c r="B1013" s="251">
        <v>46255</v>
      </c>
      <c r="C1013" s="251">
        <v>46255</v>
      </c>
      <c r="D1013" s="177" t="s">
        <v>9710</v>
      </c>
      <c r="E1013" s="177">
        <v>260105423029</v>
      </c>
      <c r="F1013" s="177" t="s">
        <v>87</v>
      </c>
      <c r="G1013" s="177" t="s">
        <v>2364</v>
      </c>
      <c r="H1013" s="177">
        <v>142</v>
      </c>
      <c r="I1013" s="177">
        <v>174</v>
      </c>
      <c r="J1013" s="373">
        <v>174</v>
      </c>
      <c r="K1013" s="177">
        <v>67</v>
      </c>
      <c r="L1013" s="253">
        <v>1865</v>
      </c>
      <c r="M1013" s="177" t="s">
        <v>153</v>
      </c>
      <c r="N1013" s="177" t="s">
        <v>149</v>
      </c>
      <c r="O1013" s="177" t="s">
        <v>154</v>
      </c>
      <c r="P1013" s="177" t="s">
        <v>151</v>
      </c>
      <c r="Q1013" s="177" t="s">
        <v>155</v>
      </c>
      <c r="R1013" s="177" t="s">
        <v>9711</v>
      </c>
      <c r="S1013" s="177"/>
      <c r="T1013" s="177" t="s">
        <v>3055</v>
      </c>
      <c r="U1013" s="177" t="s">
        <v>152</v>
      </c>
      <c r="V1013" s="177" t="s">
        <v>18</v>
      </c>
    </row>
    <row r="1014" spans="2:22">
      <c r="B1014" s="251">
        <v>46255</v>
      </c>
      <c r="C1014" s="251">
        <v>46255</v>
      </c>
      <c r="D1014" s="177" t="s">
        <v>9712</v>
      </c>
      <c r="E1014" s="177">
        <v>260101623047</v>
      </c>
      <c r="F1014" s="177" t="s">
        <v>87</v>
      </c>
      <c r="G1014" s="177" t="s">
        <v>2079</v>
      </c>
      <c r="H1014" s="177">
        <v>112</v>
      </c>
      <c r="I1014" s="177">
        <v>378</v>
      </c>
      <c r="J1014" s="373">
        <v>378</v>
      </c>
      <c r="K1014" s="177">
        <v>180</v>
      </c>
      <c r="L1014" s="253">
        <v>1000</v>
      </c>
      <c r="M1014" s="177" t="s">
        <v>153</v>
      </c>
      <c r="N1014" s="177" t="s">
        <v>149</v>
      </c>
      <c r="O1014" s="177" t="s">
        <v>154</v>
      </c>
      <c r="P1014" s="177" t="s">
        <v>151</v>
      </c>
      <c r="Q1014" s="177" t="s">
        <v>155</v>
      </c>
      <c r="R1014" s="177" t="s">
        <v>9713</v>
      </c>
      <c r="S1014" s="177"/>
      <c r="T1014" s="177" t="s">
        <v>3055</v>
      </c>
      <c r="U1014" s="177" t="s">
        <v>152</v>
      </c>
      <c r="V1014" s="177" t="s">
        <v>18</v>
      </c>
    </row>
    <row r="1015" spans="2:22">
      <c r="B1015" s="251">
        <v>46255</v>
      </c>
      <c r="C1015" s="251">
        <v>46255</v>
      </c>
      <c r="D1015" s="177" t="s">
        <v>9714</v>
      </c>
      <c r="E1015" s="177">
        <v>260102023014</v>
      </c>
      <c r="F1015" s="177" t="s">
        <v>87</v>
      </c>
      <c r="G1015" s="177" t="s">
        <v>8681</v>
      </c>
      <c r="H1015" s="177">
        <v>92</v>
      </c>
      <c r="I1015" s="177">
        <v>274</v>
      </c>
      <c r="J1015" s="373">
        <v>274</v>
      </c>
      <c r="K1015" s="177">
        <v>134</v>
      </c>
      <c r="L1015" s="253">
        <v>1100</v>
      </c>
      <c r="M1015" s="177" t="s">
        <v>153</v>
      </c>
      <c r="N1015" s="177" t="s">
        <v>149</v>
      </c>
      <c r="O1015" s="177" t="s">
        <v>154</v>
      </c>
      <c r="P1015" s="177" t="s">
        <v>151</v>
      </c>
      <c r="Q1015" s="177" t="s">
        <v>155</v>
      </c>
      <c r="R1015" s="177" t="s">
        <v>9715</v>
      </c>
      <c r="S1015" s="177"/>
      <c r="T1015" s="177" t="s">
        <v>3055</v>
      </c>
      <c r="U1015" s="177" t="s">
        <v>152</v>
      </c>
      <c r="V1015" s="177" t="s">
        <v>18</v>
      </c>
    </row>
    <row r="1016" spans="2:22">
      <c r="B1016" s="251">
        <v>46255</v>
      </c>
      <c r="C1016" s="251">
        <v>46255</v>
      </c>
      <c r="D1016" s="177" t="s">
        <v>9716</v>
      </c>
      <c r="E1016" s="177">
        <v>260105323032</v>
      </c>
      <c r="F1016" s="177" t="s">
        <v>87</v>
      </c>
      <c r="G1016" s="177" t="s">
        <v>824</v>
      </c>
      <c r="H1016" s="177">
        <v>152</v>
      </c>
      <c r="I1016" s="177">
        <v>264</v>
      </c>
      <c r="J1016" s="373">
        <v>264</v>
      </c>
      <c r="K1016" s="177">
        <v>104</v>
      </c>
      <c r="L1016" s="253">
        <v>1780</v>
      </c>
      <c r="M1016" s="177" t="s">
        <v>153</v>
      </c>
      <c r="N1016" s="177" t="s">
        <v>149</v>
      </c>
      <c r="O1016" s="177" t="s">
        <v>154</v>
      </c>
      <c r="P1016" s="177" t="s">
        <v>151</v>
      </c>
      <c r="Q1016" s="177" t="s">
        <v>155</v>
      </c>
      <c r="R1016" s="177" t="s">
        <v>9717</v>
      </c>
      <c r="S1016" s="177"/>
      <c r="T1016" s="177" t="s">
        <v>3055</v>
      </c>
      <c r="U1016" s="177" t="s">
        <v>152</v>
      </c>
      <c r="V1016" s="177" t="s">
        <v>18</v>
      </c>
    </row>
    <row r="1017" spans="2:22">
      <c r="B1017" s="251">
        <v>46255</v>
      </c>
      <c r="C1017" s="251">
        <v>46255</v>
      </c>
      <c r="D1017" s="177" t="s">
        <v>9718</v>
      </c>
      <c r="E1017" s="177">
        <v>260102423045</v>
      </c>
      <c r="F1017" s="177" t="s">
        <v>87</v>
      </c>
      <c r="G1017" s="177" t="s">
        <v>8032</v>
      </c>
      <c r="H1017" s="177">
        <v>102</v>
      </c>
      <c r="I1017" s="177">
        <v>262</v>
      </c>
      <c r="J1017" s="373">
        <v>262</v>
      </c>
      <c r="K1017" s="177">
        <v>130</v>
      </c>
      <c r="L1017" s="253">
        <v>1000</v>
      </c>
      <c r="M1017" s="177" t="s">
        <v>153</v>
      </c>
      <c r="N1017" s="177" t="s">
        <v>149</v>
      </c>
      <c r="O1017" s="177" t="s">
        <v>154</v>
      </c>
      <c r="P1017" s="177" t="s">
        <v>151</v>
      </c>
      <c r="Q1017" s="177" t="s">
        <v>155</v>
      </c>
      <c r="R1017" s="177" t="s">
        <v>9719</v>
      </c>
      <c r="S1017" s="177"/>
      <c r="T1017" s="177" t="s">
        <v>3055</v>
      </c>
      <c r="U1017" s="177" t="s">
        <v>152</v>
      </c>
      <c r="V1017" s="177" t="s">
        <v>18</v>
      </c>
    </row>
    <row r="1018" spans="2:22">
      <c r="B1018" s="251">
        <v>46255</v>
      </c>
      <c r="C1018" s="251">
        <v>46255</v>
      </c>
      <c r="D1018" s="177" t="s">
        <v>9720</v>
      </c>
      <c r="E1018" s="177">
        <v>260103423057</v>
      </c>
      <c r="F1018" s="177" t="s">
        <v>87</v>
      </c>
      <c r="G1018" s="177" t="s">
        <v>824</v>
      </c>
      <c r="H1018" s="177">
        <v>152</v>
      </c>
      <c r="I1018" s="177">
        <v>265</v>
      </c>
      <c r="J1018" s="373">
        <v>265</v>
      </c>
      <c r="K1018" s="177">
        <v>104</v>
      </c>
      <c r="L1018" s="253">
        <v>1740</v>
      </c>
      <c r="M1018" s="177" t="s">
        <v>153</v>
      </c>
      <c r="N1018" s="177" t="s">
        <v>149</v>
      </c>
      <c r="O1018" s="177" t="s">
        <v>154</v>
      </c>
      <c r="P1018" s="177" t="s">
        <v>151</v>
      </c>
      <c r="Q1018" s="177" t="s">
        <v>155</v>
      </c>
      <c r="R1018" s="177" t="s">
        <v>9721</v>
      </c>
      <c r="S1018" s="177"/>
      <c r="T1018" s="177" t="s">
        <v>3055</v>
      </c>
      <c r="U1018" s="177" t="s">
        <v>152</v>
      </c>
      <c r="V1018" s="177" t="s">
        <v>18</v>
      </c>
    </row>
    <row r="1019" spans="2:22">
      <c r="B1019" s="251">
        <v>46255</v>
      </c>
      <c r="C1019" s="251">
        <v>46255</v>
      </c>
      <c r="D1019" s="177" t="s">
        <v>9722</v>
      </c>
      <c r="E1019" s="177">
        <v>260101423064</v>
      </c>
      <c r="F1019" s="177" t="s">
        <v>87</v>
      </c>
      <c r="G1019" s="177" t="s">
        <v>824</v>
      </c>
      <c r="H1019" s="177">
        <v>152</v>
      </c>
      <c r="I1019" s="177">
        <v>230</v>
      </c>
      <c r="J1019" s="373">
        <v>230</v>
      </c>
      <c r="K1019" s="177">
        <v>104</v>
      </c>
      <c r="L1019" s="253">
        <v>1500</v>
      </c>
      <c r="M1019" s="177" t="s">
        <v>153</v>
      </c>
      <c r="N1019" s="177" t="s">
        <v>149</v>
      </c>
      <c r="O1019" s="177" t="s">
        <v>154</v>
      </c>
      <c r="P1019" s="177" t="s">
        <v>151</v>
      </c>
      <c r="Q1019" s="177" t="s">
        <v>155</v>
      </c>
      <c r="R1019" s="177" t="s">
        <v>9723</v>
      </c>
      <c r="S1019" s="177"/>
      <c r="T1019" s="177" t="s">
        <v>3055</v>
      </c>
      <c r="U1019" s="177" t="s">
        <v>152</v>
      </c>
      <c r="V1019" s="177" t="s">
        <v>18</v>
      </c>
    </row>
    <row r="1020" spans="2:22">
      <c r="B1020" s="251">
        <v>46255</v>
      </c>
      <c r="C1020" s="251">
        <v>46255</v>
      </c>
      <c r="D1020" s="177" t="s">
        <v>9724</v>
      </c>
      <c r="E1020" s="177">
        <v>260101423067</v>
      </c>
      <c r="F1020" s="177" t="s">
        <v>87</v>
      </c>
      <c r="G1020" s="177" t="s">
        <v>824</v>
      </c>
      <c r="H1020" s="177">
        <v>152</v>
      </c>
      <c r="I1020" s="177">
        <v>229</v>
      </c>
      <c r="J1020" s="373">
        <v>229</v>
      </c>
      <c r="K1020" s="177">
        <v>104</v>
      </c>
      <c r="L1020" s="253">
        <v>1500</v>
      </c>
      <c r="M1020" s="177" t="s">
        <v>153</v>
      </c>
      <c r="N1020" s="177" t="s">
        <v>149</v>
      </c>
      <c r="O1020" s="177" t="s">
        <v>154</v>
      </c>
      <c r="P1020" s="177" t="s">
        <v>151</v>
      </c>
      <c r="Q1020" s="177" t="s">
        <v>155</v>
      </c>
      <c r="R1020" s="177" t="s">
        <v>9725</v>
      </c>
      <c r="S1020" s="177"/>
      <c r="T1020" s="177" t="s">
        <v>3055</v>
      </c>
      <c r="U1020" s="177" t="s">
        <v>152</v>
      </c>
      <c r="V1020" s="177" t="s">
        <v>18</v>
      </c>
    </row>
    <row r="1021" spans="2:22">
      <c r="B1021" s="251">
        <v>46255</v>
      </c>
      <c r="C1021" s="251">
        <v>46255</v>
      </c>
      <c r="D1021" s="177" t="s">
        <v>9726</v>
      </c>
      <c r="E1021" s="177">
        <v>260101321850</v>
      </c>
      <c r="F1021" s="177" t="s">
        <v>87</v>
      </c>
      <c r="G1021" s="177" t="s">
        <v>2517</v>
      </c>
      <c r="H1021" s="177" t="s">
        <v>2518</v>
      </c>
      <c r="I1021" s="177">
        <v>700</v>
      </c>
      <c r="J1021" s="373">
        <v>700</v>
      </c>
      <c r="K1021" s="177">
        <v>190</v>
      </c>
      <c r="L1021" s="253">
        <v>1200</v>
      </c>
      <c r="M1021" s="177" t="s">
        <v>153</v>
      </c>
      <c r="N1021" s="177" t="s">
        <v>149</v>
      </c>
      <c r="O1021" s="177" t="s">
        <v>154</v>
      </c>
      <c r="P1021" s="177" t="s">
        <v>151</v>
      </c>
      <c r="Q1021" s="177" t="s">
        <v>156</v>
      </c>
      <c r="R1021" s="177" t="s">
        <v>9727</v>
      </c>
      <c r="S1021" s="177"/>
      <c r="T1021" s="177" t="s">
        <v>3055</v>
      </c>
      <c r="U1021" s="177" t="s">
        <v>152</v>
      </c>
      <c r="V1021" s="177" t="s">
        <v>20</v>
      </c>
    </row>
    <row r="1022" spans="2:22">
      <c r="B1022" s="251">
        <v>46255</v>
      </c>
      <c r="C1022" s="251">
        <v>46255</v>
      </c>
      <c r="D1022" s="177" t="s">
        <v>9728</v>
      </c>
      <c r="E1022" s="177">
        <v>260101321778</v>
      </c>
      <c r="F1022" s="177" t="s">
        <v>87</v>
      </c>
      <c r="G1022" s="177" t="s">
        <v>2517</v>
      </c>
      <c r="H1022" s="177" t="s">
        <v>2518</v>
      </c>
      <c r="I1022" s="177">
        <v>782</v>
      </c>
      <c r="J1022" s="373">
        <v>782</v>
      </c>
      <c r="K1022" s="177">
        <v>190</v>
      </c>
      <c r="L1022" s="253">
        <v>1345</v>
      </c>
      <c r="M1022" s="177" t="s">
        <v>153</v>
      </c>
      <c r="N1022" s="177" t="s">
        <v>149</v>
      </c>
      <c r="O1022" s="177" t="s">
        <v>154</v>
      </c>
      <c r="P1022" s="177" t="s">
        <v>151</v>
      </c>
      <c r="Q1022" s="177" t="s">
        <v>156</v>
      </c>
      <c r="R1022" s="177" t="s">
        <v>9729</v>
      </c>
      <c r="S1022" s="177"/>
      <c r="T1022" s="177" t="s">
        <v>3055</v>
      </c>
      <c r="U1022" s="177" t="s">
        <v>152</v>
      </c>
      <c r="V1022" s="177" t="s">
        <v>20</v>
      </c>
    </row>
    <row r="1023" spans="2:22">
      <c r="B1023" s="251">
        <v>46256</v>
      </c>
      <c r="C1023" s="251">
        <v>46256</v>
      </c>
      <c r="D1023" s="177" t="s">
        <v>9730</v>
      </c>
      <c r="E1023" s="177">
        <v>260102223107</v>
      </c>
      <c r="F1023" s="177" t="s">
        <v>87</v>
      </c>
      <c r="G1023" s="177" t="s">
        <v>9731</v>
      </c>
      <c r="H1023" s="177">
        <v>102</v>
      </c>
      <c r="I1023" s="177">
        <v>264</v>
      </c>
      <c r="J1023" s="373">
        <v>264</v>
      </c>
      <c r="K1023" s="177">
        <v>130</v>
      </c>
      <c r="L1023" s="253">
        <v>1000</v>
      </c>
      <c r="M1023" s="177" t="s">
        <v>153</v>
      </c>
      <c r="N1023" s="177" t="s">
        <v>149</v>
      </c>
      <c r="O1023" s="177" t="s">
        <v>154</v>
      </c>
      <c r="P1023" s="177" t="s">
        <v>151</v>
      </c>
      <c r="Q1023" s="177" t="s">
        <v>155</v>
      </c>
      <c r="R1023" s="177" t="s">
        <v>9732</v>
      </c>
      <c r="S1023" s="177"/>
      <c r="T1023" s="177" t="s">
        <v>3072</v>
      </c>
      <c r="U1023" s="177" t="s">
        <v>152</v>
      </c>
      <c r="V1023" s="177" t="s">
        <v>18</v>
      </c>
    </row>
    <row r="1024" spans="2:22">
      <c r="B1024" s="251">
        <v>46256</v>
      </c>
      <c r="C1024" s="251">
        <v>46256</v>
      </c>
      <c r="D1024" s="177" t="s">
        <v>9733</v>
      </c>
      <c r="E1024" s="177">
        <v>260101923108</v>
      </c>
      <c r="F1024" s="177" t="s">
        <v>87</v>
      </c>
      <c r="G1024" s="177" t="s">
        <v>8681</v>
      </c>
      <c r="H1024" s="177">
        <v>92</v>
      </c>
      <c r="I1024" s="177">
        <v>254</v>
      </c>
      <c r="J1024" s="373">
        <v>254</v>
      </c>
      <c r="K1024" s="177">
        <v>134</v>
      </c>
      <c r="L1024" s="253">
        <v>1080</v>
      </c>
      <c r="M1024" s="177" t="s">
        <v>153</v>
      </c>
      <c r="N1024" s="177" t="s">
        <v>149</v>
      </c>
      <c r="O1024" s="177" t="s">
        <v>154</v>
      </c>
      <c r="P1024" s="177" t="s">
        <v>151</v>
      </c>
      <c r="Q1024" s="177" t="s">
        <v>155</v>
      </c>
      <c r="R1024" s="177" t="s">
        <v>9734</v>
      </c>
      <c r="S1024" s="177"/>
      <c r="T1024" s="177" t="s">
        <v>3072</v>
      </c>
      <c r="U1024" s="177" t="s">
        <v>152</v>
      </c>
      <c r="V1024" s="177" t="s">
        <v>18</v>
      </c>
    </row>
    <row r="1025" spans="2:22">
      <c r="B1025" s="251">
        <v>46256</v>
      </c>
      <c r="C1025" s="251">
        <v>46256</v>
      </c>
      <c r="D1025" s="177" t="s">
        <v>9735</v>
      </c>
      <c r="E1025" s="177">
        <v>260101723119</v>
      </c>
      <c r="F1025" s="177" t="s">
        <v>87</v>
      </c>
      <c r="G1025" s="177" t="s">
        <v>8681</v>
      </c>
      <c r="H1025" s="177">
        <v>92</v>
      </c>
      <c r="I1025" s="177">
        <v>250</v>
      </c>
      <c r="J1025" s="373">
        <v>250</v>
      </c>
      <c r="K1025" s="177">
        <v>134</v>
      </c>
      <c r="L1025" s="253">
        <v>1000</v>
      </c>
      <c r="M1025" s="177" t="s">
        <v>153</v>
      </c>
      <c r="N1025" s="177" t="s">
        <v>149</v>
      </c>
      <c r="O1025" s="177" t="s">
        <v>154</v>
      </c>
      <c r="P1025" s="177" t="s">
        <v>151</v>
      </c>
      <c r="Q1025" s="177" t="s">
        <v>155</v>
      </c>
      <c r="R1025" s="177" t="s">
        <v>9736</v>
      </c>
      <c r="S1025" s="177"/>
      <c r="T1025" s="177" t="s">
        <v>3072</v>
      </c>
      <c r="U1025" s="177" t="s">
        <v>152</v>
      </c>
      <c r="V1025" s="177" t="s">
        <v>18</v>
      </c>
    </row>
    <row r="1026" spans="2:22">
      <c r="B1026" s="251">
        <v>46256</v>
      </c>
      <c r="C1026" s="251">
        <v>46256</v>
      </c>
      <c r="D1026" s="177" t="s">
        <v>9737</v>
      </c>
      <c r="E1026" s="177">
        <v>260107623150</v>
      </c>
      <c r="F1026" s="177" t="s">
        <v>87</v>
      </c>
      <c r="G1026" s="177" t="s">
        <v>8646</v>
      </c>
      <c r="H1026" s="177">
        <v>135</v>
      </c>
      <c r="I1026" s="177">
        <v>294</v>
      </c>
      <c r="J1026" s="373">
        <v>294</v>
      </c>
      <c r="K1026" s="177">
        <v>97</v>
      </c>
      <c r="L1026" s="253">
        <v>2340</v>
      </c>
      <c r="M1026" s="177" t="s">
        <v>153</v>
      </c>
      <c r="N1026" s="177" t="s">
        <v>149</v>
      </c>
      <c r="O1026" s="177" t="s">
        <v>154</v>
      </c>
      <c r="P1026" s="177" t="s">
        <v>151</v>
      </c>
      <c r="Q1026" s="177" t="s">
        <v>155</v>
      </c>
      <c r="R1026" s="177" t="s">
        <v>9738</v>
      </c>
      <c r="S1026" s="177"/>
      <c r="T1026" s="177" t="s">
        <v>3072</v>
      </c>
      <c r="U1026" s="177" t="s">
        <v>152</v>
      </c>
      <c r="V1026" s="177" t="s">
        <v>18</v>
      </c>
    </row>
    <row r="1027" spans="2:22">
      <c r="B1027" s="251">
        <v>46256</v>
      </c>
      <c r="C1027" s="251">
        <v>46256</v>
      </c>
      <c r="D1027" s="177" t="s">
        <v>9739</v>
      </c>
      <c r="E1027" s="177">
        <v>260100723152</v>
      </c>
      <c r="F1027" s="177" t="s">
        <v>87</v>
      </c>
      <c r="G1027" s="177" t="s">
        <v>7586</v>
      </c>
      <c r="H1027" s="177">
        <v>145</v>
      </c>
      <c r="I1027" s="177">
        <v>407</v>
      </c>
      <c r="J1027" s="373">
        <v>407</v>
      </c>
      <c r="K1027" s="177">
        <v>170</v>
      </c>
      <c r="L1027" s="253">
        <v>830</v>
      </c>
      <c r="M1027" s="177" t="s">
        <v>153</v>
      </c>
      <c r="N1027" s="177" t="s">
        <v>149</v>
      </c>
      <c r="O1027" s="177" t="s">
        <v>154</v>
      </c>
      <c r="P1027" s="177" t="s">
        <v>151</v>
      </c>
      <c r="Q1027" s="177" t="s">
        <v>155</v>
      </c>
      <c r="R1027" s="177" t="s">
        <v>9740</v>
      </c>
      <c r="S1027" s="177"/>
      <c r="T1027" s="177" t="s">
        <v>3072</v>
      </c>
      <c r="U1027" s="177" t="s">
        <v>152</v>
      </c>
      <c r="V1027" s="177" t="s">
        <v>18</v>
      </c>
    </row>
    <row r="1028" spans="2:22">
      <c r="B1028" s="251">
        <v>46256</v>
      </c>
      <c r="C1028" s="251">
        <v>46256</v>
      </c>
      <c r="D1028" s="177" t="s">
        <v>9741</v>
      </c>
      <c r="E1028" s="177">
        <v>260105023141</v>
      </c>
      <c r="F1028" s="177" t="s">
        <v>87</v>
      </c>
      <c r="G1028" s="177" t="s">
        <v>2407</v>
      </c>
      <c r="H1028" s="177">
        <v>160</v>
      </c>
      <c r="I1028" s="177">
        <v>234</v>
      </c>
      <c r="J1028" s="373">
        <v>234</v>
      </c>
      <c r="K1028" s="177">
        <v>102</v>
      </c>
      <c r="L1028" s="253">
        <v>1500</v>
      </c>
      <c r="M1028" s="177" t="s">
        <v>153</v>
      </c>
      <c r="N1028" s="177" t="s">
        <v>149</v>
      </c>
      <c r="O1028" s="177" t="s">
        <v>154</v>
      </c>
      <c r="P1028" s="177" t="s">
        <v>151</v>
      </c>
      <c r="Q1028" s="177" t="s">
        <v>155</v>
      </c>
      <c r="R1028" s="177" t="s">
        <v>9742</v>
      </c>
      <c r="S1028" s="177"/>
      <c r="T1028" s="177" t="s">
        <v>3072</v>
      </c>
      <c r="U1028" s="177" t="s">
        <v>152</v>
      </c>
      <c r="V1028" s="177" t="s">
        <v>18</v>
      </c>
    </row>
    <row r="1029" spans="2:22">
      <c r="B1029" s="251">
        <v>46256</v>
      </c>
      <c r="C1029" s="251">
        <v>46256</v>
      </c>
      <c r="D1029" s="177" t="s">
        <v>9743</v>
      </c>
      <c r="E1029" s="177">
        <v>260107823148</v>
      </c>
      <c r="F1029" s="177" t="s">
        <v>87</v>
      </c>
      <c r="G1029" s="177" t="s">
        <v>8646</v>
      </c>
      <c r="H1029" s="177">
        <v>135</v>
      </c>
      <c r="I1029" s="177">
        <v>309</v>
      </c>
      <c r="J1029" s="373">
        <v>309</v>
      </c>
      <c r="K1029" s="177">
        <v>97</v>
      </c>
      <c r="L1029" s="253">
        <v>2420</v>
      </c>
      <c r="M1029" s="177" t="s">
        <v>153</v>
      </c>
      <c r="N1029" s="177" t="s">
        <v>149</v>
      </c>
      <c r="O1029" s="177" t="s">
        <v>154</v>
      </c>
      <c r="P1029" s="177" t="s">
        <v>151</v>
      </c>
      <c r="Q1029" s="177" t="s">
        <v>155</v>
      </c>
      <c r="R1029" s="177" t="s">
        <v>9744</v>
      </c>
      <c r="S1029" s="177"/>
      <c r="T1029" s="177" t="s">
        <v>3072</v>
      </c>
      <c r="U1029" s="177" t="s">
        <v>152</v>
      </c>
      <c r="V1029" s="177" t="s">
        <v>18</v>
      </c>
    </row>
    <row r="1030" spans="2:22">
      <c r="B1030" s="251">
        <v>46256</v>
      </c>
      <c r="C1030" s="251">
        <v>46256</v>
      </c>
      <c r="D1030" s="177" t="s">
        <v>9745</v>
      </c>
      <c r="E1030" s="177">
        <v>260104623097</v>
      </c>
      <c r="F1030" s="177" t="s">
        <v>87</v>
      </c>
      <c r="G1030" s="177" t="s">
        <v>824</v>
      </c>
      <c r="H1030" s="177">
        <v>152</v>
      </c>
      <c r="I1030" s="177">
        <v>239</v>
      </c>
      <c r="J1030" s="373">
        <v>239</v>
      </c>
      <c r="K1030" s="177">
        <v>104</v>
      </c>
      <c r="L1030" s="253">
        <v>1600</v>
      </c>
      <c r="M1030" s="177" t="s">
        <v>153</v>
      </c>
      <c r="N1030" s="177" t="s">
        <v>149</v>
      </c>
      <c r="O1030" s="177" t="s">
        <v>154</v>
      </c>
      <c r="P1030" s="177" t="s">
        <v>151</v>
      </c>
      <c r="Q1030" s="177" t="s">
        <v>155</v>
      </c>
      <c r="R1030" s="177" t="s">
        <v>9746</v>
      </c>
      <c r="S1030" s="177"/>
      <c r="T1030" s="177" t="s">
        <v>3072</v>
      </c>
      <c r="U1030" s="177" t="s">
        <v>152</v>
      </c>
      <c r="V1030" s="177" t="s">
        <v>18</v>
      </c>
    </row>
    <row r="1031" spans="2:22">
      <c r="B1031" s="251">
        <v>46256</v>
      </c>
      <c r="C1031" s="251">
        <v>46256</v>
      </c>
      <c r="D1031" s="177" t="s">
        <v>9747</v>
      </c>
      <c r="E1031" s="177">
        <v>260102223122</v>
      </c>
      <c r="F1031" s="177" t="s">
        <v>87</v>
      </c>
      <c r="G1031" s="177" t="s">
        <v>9731</v>
      </c>
      <c r="H1031" s="177">
        <v>102</v>
      </c>
      <c r="I1031" s="177">
        <v>257</v>
      </c>
      <c r="J1031" s="373">
        <v>257</v>
      </c>
      <c r="K1031" s="177">
        <v>130</v>
      </c>
      <c r="L1031" s="253">
        <v>1000</v>
      </c>
      <c r="M1031" s="177" t="s">
        <v>153</v>
      </c>
      <c r="N1031" s="177" t="s">
        <v>149</v>
      </c>
      <c r="O1031" s="177" t="s">
        <v>154</v>
      </c>
      <c r="P1031" s="177" t="s">
        <v>151</v>
      </c>
      <c r="Q1031" s="177" t="s">
        <v>155</v>
      </c>
      <c r="R1031" s="177" t="s">
        <v>9748</v>
      </c>
      <c r="S1031" s="177"/>
      <c r="T1031" s="177" t="s">
        <v>3072</v>
      </c>
      <c r="U1031" s="177" t="s">
        <v>152</v>
      </c>
      <c r="V1031" s="177" t="s">
        <v>18</v>
      </c>
    </row>
    <row r="1032" spans="2:22">
      <c r="B1032" s="251">
        <v>46256</v>
      </c>
      <c r="C1032" s="251">
        <v>46256</v>
      </c>
      <c r="D1032" s="177" t="s">
        <v>9749</v>
      </c>
      <c r="E1032" s="177">
        <v>260103423133</v>
      </c>
      <c r="F1032" s="177" t="s">
        <v>87</v>
      </c>
      <c r="G1032" s="177" t="s">
        <v>824</v>
      </c>
      <c r="H1032" s="177">
        <v>152</v>
      </c>
      <c r="I1032" s="177">
        <v>271</v>
      </c>
      <c r="J1032" s="373">
        <v>271</v>
      </c>
      <c r="K1032" s="177">
        <v>104</v>
      </c>
      <c r="L1032" s="253">
        <v>1780</v>
      </c>
      <c r="M1032" s="177" t="s">
        <v>153</v>
      </c>
      <c r="N1032" s="177" t="s">
        <v>149</v>
      </c>
      <c r="O1032" s="177" t="s">
        <v>154</v>
      </c>
      <c r="P1032" s="177" t="s">
        <v>151</v>
      </c>
      <c r="Q1032" s="177" t="s">
        <v>155</v>
      </c>
      <c r="R1032" s="177" t="s">
        <v>9750</v>
      </c>
      <c r="S1032" s="177"/>
      <c r="T1032" s="177" t="s">
        <v>3072</v>
      </c>
      <c r="U1032" s="177" t="s">
        <v>152</v>
      </c>
      <c r="V1032" s="177" t="s">
        <v>18</v>
      </c>
    </row>
    <row r="1033" spans="2:22">
      <c r="B1033" s="251">
        <v>46256</v>
      </c>
      <c r="C1033" s="251">
        <v>46256</v>
      </c>
      <c r="D1033" s="177" t="s">
        <v>9751</v>
      </c>
      <c r="E1033" s="177">
        <v>260106123137</v>
      </c>
      <c r="F1033" s="177" t="s">
        <v>87</v>
      </c>
      <c r="G1033" s="177" t="s">
        <v>9752</v>
      </c>
      <c r="H1033" s="177">
        <v>140</v>
      </c>
      <c r="I1033" s="177">
        <v>197</v>
      </c>
      <c r="J1033" s="373">
        <v>197</v>
      </c>
      <c r="K1033" s="177">
        <v>83</v>
      </c>
      <c r="L1033" s="253">
        <v>1720</v>
      </c>
      <c r="M1033" s="177" t="s">
        <v>153</v>
      </c>
      <c r="N1033" s="177" t="s">
        <v>149</v>
      </c>
      <c r="O1033" s="177" t="s">
        <v>154</v>
      </c>
      <c r="P1033" s="177" t="s">
        <v>151</v>
      </c>
      <c r="Q1033" s="177" t="s">
        <v>155</v>
      </c>
      <c r="R1033" s="177" t="s">
        <v>9753</v>
      </c>
      <c r="S1033" s="177"/>
      <c r="T1033" s="177"/>
      <c r="U1033" s="177" t="s">
        <v>152</v>
      </c>
      <c r="V1033" s="177" t="s">
        <v>18</v>
      </c>
    </row>
    <row r="1034" spans="2:22">
      <c r="B1034" s="251">
        <v>46256</v>
      </c>
      <c r="C1034" s="251">
        <v>46256</v>
      </c>
      <c r="D1034" s="177" t="s">
        <v>9754</v>
      </c>
      <c r="E1034" s="177">
        <v>260101823114</v>
      </c>
      <c r="F1034" s="177" t="s">
        <v>87</v>
      </c>
      <c r="G1034" s="177" t="s">
        <v>8681</v>
      </c>
      <c r="H1034" s="177">
        <v>92</v>
      </c>
      <c r="I1034" s="177">
        <v>261</v>
      </c>
      <c r="J1034" s="373">
        <v>261</v>
      </c>
      <c r="K1034" s="177">
        <v>134</v>
      </c>
      <c r="L1034" s="253">
        <v>1050</v>
      </c>
      <c r="M1034" s="177" t="s">
        <v>153</v>
      </c>
      <c r="N1034" s="177" t="s">
        <v>149</v>
      </c>
      <c r="O1034" s="177" t="s">
        <v>154</v>
      </c>
      <c r="P1034" s="177" t="s">
        <v>151</v>
      </c>
      <c r="Q1034" s="177" t="s">
        <v>155</v>
      </c>
      <c r="R1034" s="177" t="s">
        <v>9755</v>
      </c>
      <c r="S1034" s="177"/>
      <c r="T1034" s="177" t="s">
        <v>3072</v>
      </c>
      <c r="U1034" s="177" t="s">
        <v>152</v>
      </c>
      <c r="V1034" s="177" t="s">
        <v>18</v>
      </c>
    </row>
    <row r="1035" spans="2:22">
      <c r="B1035" s="251">
        <v>46256</v>
      </c>
      <c r="C1035" s="251">
        <v>46256</v>
      </c>
      <c r="D1035" s="177" t="s">
        <v>9756</v>
      </c>
      <c r="E1035" s="177">
        <v>260102523118</v>
      </c>
      <c r="F1035" s="177" t="s">
        <v>87</v>
      </c>
      <c r="G1035" s="177" t="s">
        <v>8032</v>
      </c>
      <c r="H1035" s="177">
        <v>102</v>
      </c>
      <c r="I1035" s="177">
        <v>264</v>
      </c>
      <c r="J1035" s="373">
        <v>264</v>
      </c>
      <c r="K1035" s="177">
        <v>130</v>
      </c>
      <c r="L1035" s="253">
        <v>1030</v>
      </c>
      <c r="M1035" s="177" t="s">
        <v>153</v>
      </c>
      <c r="N1035" s="177" t="s">
        <v>149</v>
      </c>
      <c r="O1035" s="177" t="s">
        <v>154</v>
      </c>
      <c r="P1035" s="177" t="s">
        <v>151</v>
      </c>
      <c r="Q1035" s="177" t="s">
        <v>155</v>
      </c>
      <c r="R1035" s="177" t="s">
        <v>9757</v>
      </c>
      <c r="S1035" s="177"/>
      <c r="T1035" s="177" t="s">
        <v>3072</v>
      </c>
      <c r="U1035" s="177" t="s">
        <v>152</v>
      </c>
      <c r="V1035" s="177" t="s">
        <v>18</v>
      </c>
    </row>
    <row r="1036" spans="2:22">
      <c r="B1036" s="251">
        <v>46256</v>
      </c>
      <c r="C1036" s="251">
        <v>46256</v>
      </c>
      <c r="D1036" s="177" t="s">
        <v>9758</v>
      </c>
      <c r="E1036" s="177">
        <v>260104023128</v>
      </c>
      <c r="F1036" s="177" t="s">
        <v>87</v>
      </c>
      <c r="G1036" s="177" t="s">
        <v>2526</v>
      </c>
      <c r="H1036" s="177">
        <v>125</v>
      </c>
      <c r="I1036" s="177">
        <v>253</v>
      </c>
      <c r="J1036" s="373">
        <v>253</v>
      </c>
      <c r="K1036" s="177">
        <v>97</v>
      </c>
      <c r="L1036" s="253">
        <v>2085</v>
      </c>
      <c r="M1036" s="177" t="s">
        <v>153</v>
      </c>
      <c r="N1036" s="177" t="s">
        <v>149</v>
      </c>
      <c r="O1036" s="177" t="s">
        <v>154</v>
      </c>
      <c r="P1036" s="177" t="s">
        <v>151</v>
      </c>
      <c r="Q1036" s="177" t="s">
        <v>155</v>
      </c>
      <c r="R1036" s="177" t="s">
        <v>9759</v>
      </c>
      <c r="S1036" s="177"/>
      <c r="T1036" s="177" t="s">
        <v>3072</v>
      </c>
      <c r="U1036" s="177" t="s">
        <v>152</v>
      </c>
      <c r="V1036" s="177" t="s">
        <v>18</v>
      </c>
    </row>
    <row r="1037" spans="2:22">
      <c r="B1037" s="251">
        <v>46256</v>
      </c>
      <c r="C1037" s="251">
        <v>46256</v>
      </c>
      <c r="D1037" s="177" t="s">
        <v>9760</v>
      </c>
      <c r="E1037" s="177">
        <v>260102723106</v>
      </c>
      <c r="F1037" s="177" t="s">
        <v>87</v>
      </c>
      <c r="G1037" s="177" t="s">
        <v>8032</v>
      </c>
      <c r="H1037" s="177">
        <v>102</v>
      </c>
      <c r="I1037" s="177">
        <v>257</v>
      </c>
      <c r="J1037" s="373">
        <v>257</v>
      </c>
      <c r="K1037" s="177">
        <v>130</v>
      </c>
      <c r="L1037" s="253">
        <v>1000</v>
      </c>
      <c r="M1037" s="177" t="s">
        <v>153</v>
      </c>
      <c r="N1037" s="177" t="s">
        <v>149</v>
      </c>
      <c r="O1037" s="177" t="s">
        <v>154</v>
      </c>
      <c r="P1037" s="177" t="s">
        <v>151</v>
      </c>
      <c r="Q1037" s="177" t="s">
        <v>155</v>
      </c>
      <c r="R1037" s="177" t="s">
        <v>9761</v>
      </c>
      <c r="S1037" s="177"/>
      <c r="T1037" s="177" t="s">
        <v>3072</v>
      </c>
      <c r="U1037" s="177" t="s">
        <v>152</v>
      </c>
      <c r="V1037" s="177" t="s">
        <v>18</v>
      </c>
    </row>
    <row r="1038" spans="2:22">
      <c r="B1038" s="251">
        <v>46256</v>
      </c>
      <c r="C1038" s="251">
        <v>46256</v>
      </c>
      <c r="D1038" s="177" t="s">
        <v>9762</v>
      </c>
      <c r="E1038" s="177">
        <v>260102423110</v>
      </c>
      <c r="F1038" s="177" t="s">
        <v>87</v>
      </c>
      <c r="G1038" s="177" t="s">
        <v>8032</v>
      </c>
      <c r="H1038" s="177">
        <v>102</v>
      </c>
      <c r="I1038" s="177">
        <v>254</v>
      </c>
      <c r="J1038" s="373">
        <v>254</v>
      </c>
      <c r="K1038" s="177">
        <v>130</v>
      </c>
      <c r="L1038" s="253">
        <v>1000</v>
      </c>
      <c r="M1038" s="177" t="s">
        <v>153</v>
      </c>
      <c r="N1038" s="177" t="s">
        <v>149</v>
      </c>
      <c r="O1038" s="177" t="s">
        <v>154</v>
      </c>
      <c r="P1038" s="177" t="s">
        <v>151</v>
      </c>
      <c r="Q1038" s="177" t="s">
        <v>155</v>
      </c>
      <c r="R1038" s="177" t="s">
        <v>9763</v>
      </c>
      <c r="S1038" s="177"/>
      <c r="T1038" s="177" t="s">
        <v>3072</v>
      </c>
      <c r="U1038" s="177" t="s">
        <v>152</v>
      </c>
      <c r="V1038" s="177" t="s">
        <v>18</v>
      </c>
    </row>
    <row r="1039" spans="2:22">
      <c r="B1039" s="251">
        <v>46256</v>
      </c>
      <c r="C1039" s="251">
        <v>46256</v>
      </c>
      <c r="D1039" s="177" t="s">
        <v>9764</v>
      </c>
      <c r="E1039" s="177">
        <v>260101623117</v>
      </c>
      <c r="F1039" s="177" t="s">
        <v>87</v>
      </c>
      <c r="G1039" s="177" t="s">
        <v>2079</v>
      </c>
      <c r="H1039" s="177">
        <v>112</v>
      </c>
      <c r="I1039" s="177">
        <v>394</v>
      </c>
      <c r="J1039" s="373">
        <v>394</v>
      </c>
      <c r="K1039" s="177">
        <v>180</v>
      </c>
      <c r="L1039" s="253">
        <v>1000</v>
      </c>
      <c r="M1039" s="177" t="s">
        <v>153</v>
      </c>
      <c r="N1039" s="177" t="s">
        <v>149</v>
      </c>
      <c r="O1039" s="177" t="s">
        <v>154</v>
      </c>
      <c r="P1039" s="177" t="s">
        <v>151</v>
      </c>
      <c r="Q1039" s="177" t="s">
        <v>155</v>
      </c>
      <c r="R1039" s="177" t="s">
        <v>9765</v>
      </c>
      <c r="S1039" s="177"/>
      <c r="T1039" s="177" t="s">
        <v>3072</v>
      </c>
      <c r="U1039" s="177" t="s">
        <v>152</v>
      </c>
      <c r="V1039" s="177" t="s">
        <v>18</v>
      </c>
    </row>
    <row r="1040" spans="2:22">
      <c r="B1040" s="251">
        <v>46256</v>
      </c>
      <c r="C1040" s="251">
        <v>46256</v>
      </c>
      <c r="D1040" s="177" t="s">
        <v>9766</v>
      </c>
      <c r="E1040" s="177">
        <v>260102423120</v>
      </c>
      <c r="F1040" s="177" t="s">
        <v>87</v>
      </c>
      <c r="G1040" s="177" t="s">
        <v>8032</v>
      </c>
      <c r="H1040" s="177">
        <v>102</v>
      </c>
      <c r="I1040" s="177">
        <v>266</v>
      </c>
      <c r="J1040" s="373">
        <v>266</v>
      </c>
      <c r="K1040" s="177">
        <v>130</v>
      </c>
      <c r="L1040" s="253">
        <v>1010</v>
      </c>
      <c r="M1040" s="177" t="s">
        <v>153</v>
      </c>
      <c r="N1040" s="177" t="s">
        <v>149</v>
      </c>
      <c r="O1040" s="177" t="s">
        <v>154</v>
      </c>
      <c r="P1040" s="177" t="s">
        <v>151</v>
      </c>
      <c r="Q1040" s="177" t="s">
        <v>155</v>
      </c>
      <c r="R1040" s="177" t="s">
        <v>9767</v>
      </c>
      <c r="S1040" s="177"/>
      <c r="T1040" s="177" t="s">
        <v>3072</v>
      </c>
      <c r="U1040" s="177" t="s">
        <v>152</v>
      </c>
      <c r="V1040" s="177" t="s">
        <v>18</v>
      </c>
    </row>
    <row r="1041" spans="2:22">
      <c r="B1041" s="251">
        <v>46256</v>
      </c>
      <c r="C1041" s="251">
        <v>46256</v>
      </c>
      <c r="D1041" s="177" t="s">
        <v>9768</v>
      </c>
      <c r="E1041" s="177">
        <v>260103423132</v>
      </c>
      <c r="F1041" s="177" t="s">
        <v>87</v>
      </c>
      <c r="G1041" s="177" t="s">
        <v>824</v>
      </c>
      <c r="H1041" s="177">
        <v>152</v>
      </c>
      <c r="I1041" s="177">
        <v>268</v>
      </c>
      <c r="J1041" s="373">
        <v>268</v>
      </c>
      <c r="K1041" s="177">
        <v>104</v>
      </c>
      <c r="L1041" s="253">
        <v>1780</v>
      </c>
      <c r="M1041" s="177" t="s">
        <v>153</v>
      </c>
      <c r="N1041" s="177" t="s">
        <v>149</v>
      </c>
      <c r="O1041" s="177" t="s">
        <v>154</v>
      </c>
      <c r="P1041" s="177" t="s">
        <v>151</v>
      </c>
      <c r="Q1041" s="177" t="s">
        <v>155</v>
      </c>
      <c r="R1041" s="177" t="s">
        <v>9769</v>
      </c>
      <c r="S1041" s="177"/>
      <c r="T1041" s="177" t="s">
        <v>3072</v>
      </c>
      <c r="U1041" s="177" t="s">
        <v>152</v>
      </c>
      <c r="V1041" s="177" t="s">
        <v>18</v>
      </c>
    </row>
    <row r="1042" spans="2:22">
      <c r="B1042" s="251">
        <v>46256</v>
      </c>
      <c r="C1042" s="251">
        <v>46256</v>
      </c>
      <c r="D1042" s="177" t="s">
        <v>9770</v>
      </c>
      <c r="E1042" s="177">
        <v>260105823098</v>
      </c>
      <c r="F1042" s="177" t="s">
        <v>87</v>
      </c>
      <c r="G1042" s="177" t="s">
        <v>824</v>
      </c>
      <c r="H1042" s="177">
        <v>152</v>
      </c>
      <c r="I1042" s="177">
        <v>214</v>
      </c>
      <c r="J1042" s="373">
        <v>214</v>
      </c>
      <c r="K1042" s="177">
        <v>104</v>
      </c>
      <c r="L1042" s="253">
        <v>1380</v>
      </c>
      <c r="M1042" s="177" t="s">
        <v>153</v>
      </c>
      <c r="N1042" s="177" t="s">
        <v>149</v>
      </c>
      <c r="O1042" s="177" t="s">
        <v>154</v>
      </c>
      <c r="P1042" s="177" t="s">
        <v>151</v>
      </c>
      <c r="Q1042" s="177" t="s">
        <v>155</v>
      </c>
      <c r="R1042" s="177" t="s">
        <v>9771</v>
      </c>
      <c r="S1042" s="177"/>
      <c r="T1042" s="177" t="s">
        <v>3072</v>
      </c>
      <c r="U1042" s="177" t="s">
        <v>152</v>
      </c>
      <c r="V1042" s="177" t="s">
        <v>18</v>
      </c>
    </row>
    <row r="1043" spans="2:22">
      <c r="B1043" s="251">
        <v>46256</v>
      </c>
      <c r="C1043" s="251">
        <v>46256</v>
      </c>
      <c r="D1043" s="177" t="s">
        <v>9772</v>
      </c>
      <c r="E1043" s="177">
        <v>260105323103</v>
      </c>
      <c r="F1043" s="177" t="s">
        <v>87</v>
      </c>
      <c r="G1043" s="177" t="s">
        <v>824</v>
      </c>
      <c r="H1043" s="177">
        <v>152</v>
      </c>
      <c r="I1043" s="177">
        <v>282</v>
      </c>
      <c r="J1043" s="373">
        <v>282</v>
      </c>
      <c r="K1043" s="177">
        <v>104</v>
      </c>
      <c r="L1043" s="253">
        <v>1880</v>
      </c>
      <c r="M1043" s="177" t="s">
        <v>153</v>
      </c>
      <c r="N1043" s="177" t="s">
        <v>149</v>
      </c>
      <c r="O1043" s="177" t="s">
        <v>154</v>
      </c>
      <c r="P1043" s="177" t="s">
        <v>151</v>
      </c>
      <c r="Q1043" s="177" t="s">
        <v>155</v>
      </c>
      <c r="R1043" s="177" t="s">
        <v>9773</v>
      </c>
      <c r="S1043" s="177"/>
      <c r="T1043" s="177" t="s">
        <v>3072</v>
      </c>
      <c r="U1043" s="177" t="s">
        <v>152</v>
      </c>
      <c r="V1043" s="177" t="s">
        <v>18</v>
      </c>
    </row>
    <row r="1044" spans="2:22">
      <c r="B1044" s="251">
        <v>46256</v>
      </c>
      <c r="C1044" s="251">
        <v>46256</v>
      </c>
      <c r="D1044" s="177" t="s">
        <v>9774</v>
      </c>
      <c r="E1044" s="177">
        <v>260101623109</v>
      </c>
      <c r="F1044" s="177" t="s">
        <v>87</v>
      </c>
      <c r="G1044" s="177" t="s">
        <v>2079</v>
      </c>
      <c r="H1044" s="177">
        <v>112</v>
      </c>
      <c r="I1044" s="177">
        <v>403</v>
      </c>
      <c r="J1044" s="373">
        <v>403</v>
      </c>
      <c r="K1044" s="177">
        <v>180</v>
      </c>
      <c r="L1044" s="253">
        <v>1000</v>
      </c>
      <c r="M1044" s="177" t="s">
        <v>153</v>
      </c>
      <c r="N1044" s="177" t="s">
        <v>149</v>
      </c>
      <c r="O1044" s="177" t="s">
        <v>154</v>
      </c>
      <c r="P1044" s="177" t="s">
        <v>151</v>
      </c>
      <c r="Q1044" s="177" t="s">
        <v>155</v>
      </c>
      <c r="R1044" s="177" t="s">
        <v>9775</v>
      </c>
      <c r="S1044" s="177"/>
      <c r="T1044" s="177" t="s">
        <v>3072</v>
      </c>
      <c r="U1044" s="177" t="s">
        <v>152</v>
      </c>
      <c r="V1044" s="177" t="s">
        <v>18</v>
      </c>
    </row>
    <row r="1045" spans="2:22">
      <c r="B1045" s="251">
        <v>46256</v>
      </c>
      <c r="C1045" s="251">
        <v>46256</v>
      </c>
      <c r="D1045" s="177" t="s">
        <v>9776</v>
      </c>
      <c r="E1045" s="177">
        <v>260102623111</v>
      </c>
      <c r="F1045" s="177" t="s">
        <v>87</v>
      </c>
      <c r="G1045" s="177" t="s">
        <v>8032</v>
      </c>
      <c r="H1045" s="177">
        <v>102</v>
      </c>
      <c r="I1045" s="177">
        <v>255</v>
      </c>
      <c r="J1045" s="373">
        <v>255</v>
      </c>
      <c r="K1045" s="177">
        <v>130</v>
      </c>
      <c r="L1045" s="253">
        <v>1000</v>
      </c>
      <c r="M1045" s="177" t="s">
        <v>153</v>
      </c>
      <c r="N1045" s="177" t="s">
        <v>149</v>
      </c>
      <c r="O1045" s="177" t="s">
        <v>154</v>
      </c>
      <c r="P1045" s="177" t="s">
        <v>151</v>
      </c>
      <c r="Q1045" s="177" t="s">
        <v>155</v>
      </c>
      <c r="R1045" s="177" t="s">
        <v>9777</v>
      </c>
      <c r="S1045" s="177"/>
      <c r="T1045" s="177" t="s">
        <v>3072</v>
      </c>
      <c r="U1045" s="177" t="s">
        <v>152</v>
      </c>
      <c r="V1045" s="177" t="s">
        <v>18</v>
      </c>
    </row>
    <row r="1046" spans="2:22">
      <c r="B1046" s="251">
        <v>46256</v>
      </c>
      <c r="C1046" s="251">
        <v>46256</v>
      </c>
      <c r="D1046" s="177" t="s">
        <v>9778</v>
      </c>
      <c r="E1046" s="177">
        <v>260102823112</v>
      </c>
      <c r="F1046" s="177" t="s">
        <v>87</v>
      </c>
      <c r="G1046" s="177" t="s">
        <v>8032</v>
      </c>
      <c r="H1046" s="177">
        <v>102</v>
      </c>
      <c r="I1046" s="177">
        <v>248</v>
      </c>
      <c r="J1046" s="373">
        <v>248</v>
      </c>
      <c r="K1046" s="177">
        <v>130</v>
      </c>
      <c r="L1046" s="253">
        <v>990</v>
      </c>
      <c r="M1046" s="177" t="s">
        <v>153</v>
      </c>
      <c r="N1046" s="177" t="s">
        <v>149</v>
      </c>
      <c r="O1046" s="177" t="s">
        <v>154</v>
      </c>
      <c r="P1046" s="177" t="s">
        <v>151</v>
      </c>
      <c r="Q1046" s="177" t="s">
        <v>155</v>
      </c>
      <c r="R1046" s="177" t="s">
        <v>9779</v>
      </c>
      <c r="S1046" s="177"/>
      <c r="T1046" s="177" t="s">
        <v>3072</v>
      </c>
      <c r="U1046" s="177" t="s">
        <v>152</v>
      </c>
      <c r="V1046" s="177" t="s">
        <v>18</v>
      </c>
    </row>
    <row r="1047" spans="2:22">
      <c r="B1047" s="251">
        <v>46256</v>
      </c>
      <c r="C1047" s="251">
        <v>46256</v>
      </c>
      <c r="D1047" s="177" t="s">
        <v>9780</v>
      </c>
      <c r="E1047" s="177">
        <v>260102323121</v>
      </c>
      <c r="F1047" s="177" t="s">
        <v>87</v>
      </c>
      <c r="G1047" s="177" t="s">
        <v>8032</v>
      </c>
      <c r="H1047" s="177">
        <v>102</v>
      </c>
      <c r="I1047" s="177">
        <v>262</v>
      </c>
      <c r="J1047" s="373">
        <v>262</v>
      </c>
      <c r="K1047" s="177">
        <v>130</v>
      </c>
      <c r="L1047" s="253">
        <v>1000</v>
      </c>
      <c r="M1047" s="177" t="s">
        <v>153</v>
      </c>
      <c r="N1047" s="177" t="s">
        <v>149</v>
      </c>
      <c r="O1047" s="177" t="s">
        <v>154</v>
      </c>
      <c r="P1047" s="177" t="s">
        <v>151</v>
      </c>
      <c r="Q1047" s="177" t="s">
        <v>155</v>
      </c>
      <c r="R1047" s="177" t="s">
        <v>9781</v>
      </c>
      <c r="S1047" s="177"/>
      <c r="T1047" s="177" t="s">
        <v>3072</v>
      </c>
      <c r="U1047" s="177" t="s">
        <v>152</v>
      </c>
      <c r="V1047" s="177" t="s">
        <v>18</v>
      </c>
    </row>
    <row r="1048" spans="2:22">
      <c r="B1048" s="251">
        <v>46256</v>
      </c>
      <c r="C1048" s="251">
        <v>46256</v>
      </c>
      <c r="D1048" s="177" t="s">
        <v>9782</v>
      </c>
      <c r="E1048" s="177">
        <v>260102923125</v>
      </c>
      <c r="F1048" s="177" t="s">
        <v>87</v>
      </c>
      <c r="G1048" s="177" t="s">
        <v>824</v>
      </c>
      <c r="H1048" s="177">
        <v>152</v>
      </c>
      <c r="I1048" s="177">
        <v>272</v>
      </c>
      <c r="J1048" s="373">
        <v>272</v>
      </c>
      <c r="K1048" s="177">
        <v>104</v>
      </c>
      <c r="L1048" s="253">
        <v>1780</v>
      </c>
      <c r="M1048" s="177" t="s">
        <v>153</v>
      </c>
      <c r="N1048" s="177" t="s">
        <v>149</v>
      </c>
      <c r="O1048" s="177" t="s">
        <v>154</v>
      </c>
      <c r="P1048" s="177" t="s">
        <v>151</v>
      </c>
      <c r="Q1048" s="177" t="s">
        <v>155</v>
      </c>
      <c r="R1048" s="177" t="s">
        <v>9783</v>
      </c>
      <c r="S1048" s="177"/>
      <c r="T1048" s="177" t="s">
        <v>3072</v>
      </c>
      <c r="U1048" s="177" t="s">
        <v>152</v>
      </c>
      <c r="V1048" s="177" t="s">
        <v>18</v>
      </c>
    </row>
    <row r="1049" spans="2:22">
      <c r="B1049" s="251">
        <v>46256</v>
      </c>
      <c r="C1049" s="251">
        <v>46256</v>
      </c>
      <c r="D1049" s="177" t="s">
        <v>9784</v>
      </c>
      <c r="E1049" s="177">
        <v>260103723134</v>
      </c>
      <c r="F1049" s="177" t="s">
        <v>87</v>
      </c>
      <c r="G1049" s="177" t="s">
        <v>8646</v>
      </c>
      <c r="H1049" s="177">
        <v>135</v>
      </c>
      <c r="I1049" s="177">
        <v>240</v>
      </c>
      <c r="J1049" s="373">
        <v>240</v>
      </c>
      <c r="K1049" s="177">
        <v>97</v>
      </c>
      <c r="L1049" s="253">
        <v>1850</v>
      </c>
      <c r="M1049" s="177" t="s">
        <v>153</v>
      </c>
      <c r="N1049" s="177" t="s">
        <v>149</v>
      </c>
      <c r="O1049" s="177" t="s">
        <v>154</v>
      </c>
      <c r="P1049" s="177" t="s">
        <v>151</v>
      </c>
      <c r="Q1049" s="177" t="s">
        <v>155</v>
      </c>
      <c r="R1049" s="177" t="s">
        <v>9785</v>
      </c>
      <c r="S1049" s="177"/>
      <c r="T1049" s="177" t="s">
        <v>3072</v>
      </c>
      <c r="U1049" s="177" t="s">
        <v>152</v>
      </c>
      <c r="V1049" s="177" t="s">
        <v>18</v>
      </c>
    </row>
    <row r="1050" spans="2:22">
      <c r="B1050" s="251">
        <v>46256</v>
      </c>
      <c r="C1050" s="251">
        <v>46256</v>
      </c>
      <c r="D1050" s="177" t="s">
        <v>9786</v>
      </c>
      <c r="E1050" s="177">
        <v>260106223138</v>
      </c>
      <c r="F1050" s="177" t="s">
        <v>87</v>
      </c>
      <c r="G1050" s="177" t="s">
        <v>824</v>
      </c>
      <c r="H1050" s="177">
        <v>182</v>
      </c>
      <c r="I1050" s="177">
        <v>261</v>
      </c>
      <c r="J1050" s="373">
        <v>261</v>
      </c>
      <c r="K1050" s="177">
        <v>104</v>
      </c>
      <c r="L1050" s="253">
        <v>1450</v>
      </c>
      <c r="M1050" s="177" t="s">
        <v>153</v>
      </c>
      <c r="N1050" s="177" t="s">
        <v>149</v>
      </c>
      <c r="O1050" s="177" t="s">
        <v>154</v>
      </c>
      <c r="P1050" s="177" t="s">
        <v>151</v>
      </c>
      <c r="Q1050" s="177" t="s">
        <v>155</v>
      </c>
      <c r="R1050" s="177" t="s">
        <v>9787</v>
      </c>
      <c r="S1050" s="177"/>
      <c r="T1050" s="177" t="s">
        <v>3072</v>
      </c>
      <c r="U1050" s="177" t="s">
        <v>152</v>
      </c>
      <c r="V1050" s="177" t="s">
        <v>18</v>
      </c>
    </row>
    <row r="1051" spans="2:22">
      <c r="B1051" s="251">
        <v>46256</v>
      </c>
      <c r="C1051" s="251">
        <v>46256</v>
      </c>
      <c r="D1051" s="177" t="s">
        <v>9788</v>
      </c>
      <c r="E1051" s="177">
        <v>260107123151</v>
      </c>
      <c r="F1051" s="177" t="s">
        <v>87</v>
      </c>
      <c r="G1051" s="177" t="s">
        <v>8692</v>
      </c>
      <c r="H1051" s="177">
        <v>140</v>
      </c>
      <c r="I1051" s="177">
        <v>227</v>
      </c>
      <c r="J1051" s="373">
        <v>227</v>
      </c>
      <c r="K1051" s="177">
        <v>88</v>
      </c>
      <c r="L1051" s="253">
        <v>1950</v>
      </c>
      <c r="M1051" s="177" t="s">
        <v>153</v>
      </c>
      <c r="N1051" s="177" t="s">
        <v>149</v>
      </c>
      <c r="O1051" s="177" t="s">
        <v>154</v>
      </c>
      <c r="P1051" s="177" t="s">
        <v>151</v>
      </c>
      <c r="Q1051" s="177" t="s">
        <v>155</v>
      </c>
      <c r="R1051" s="177" t="s">
        <v>9789</v>
      </c>
      <c r="S1051" s="177"/>
      <c r="T1051" s="177" t="s">
        <v>3072</v>
      </c>
      <c r="U1051" s="177" t="s">
        <v>152</v>
      </c>
      <c r="V1051" s="177" t="s">
        <v>18</v>
      </c>
    </row>
    <row r="1052" spans="2:22">
      <c r="B1052" s="251">
        <v>46256</v>
      </c>
      <c r="C1052" s="251">
        <v>46256</v>
      </c>
      <c r="D1052" s="177" t="s">
        <v>9790</v>
      </c>
      <c r="E1052" s="177">
        <v>260101723113</v>
      </c>
      <c r="F1052" s="177" t="s">
        <v>87</v>
      </c>
      <c r="G1052" s="177" t="s">
        <v>8681</v>
      </c>
      <c r="H1052" s="177">
        <v>92</v>
      </c>
      <c r="I1052" s="177">
        <v>245</v>
      </c>
      <c r="J1052" s="373">
        <v>245</v>
      </c>
      <c r="K1052" s="177">
        <v>134</v>
      </c>
      <c r="L1052" s="253">
        <v>1000</v>
      </c>
      <c r="M1052" s="177" t="s">
        <v>153</v>
      </c>
      <c r="N1052" s="177" t="s">
        <v>149</v>
      </c>
      <c r="O1052" s="177" t="s">
        <v>154</v>
      </c>
      <c r="P1052" s="177" t="s">
        <v>151</v>
      </c>
      <c r="Q1052" s="177" t="s">
        <v>155</v>
      </c>
      <c r="R1052" s="177" t="s">
        <v>9791</v>
      </c>
      <c r="S1052" s="177"/>
      <c r="T1052" s="177" t="s">
        <v>3072</v>
      </c>
      <c r="U1052" s="177" t="s">
        <v>152</v>
      </c>
      <c r="V1052" s="177" t="s">
        <v>18</v>
      </c>
    </row>
    <row r="1053" spans="2:22">
      <c r="B1053" s="251">
        <v>46256</v>
      </c>
      <c r="C1053" s="251">
        <v>46256</v>
      </c>
      <c r="D1053" s="177" t="s">
        <v>9792</v>
      </c>
      <c r="E1053" s="177">
        <v>260102923124</v>
      </c>
      <c r="F1053" s="177" t="s">
        <v>87</v>
      </c>
      <c r="G1053" s="177" t="s">
        <v>824</v>
      </c>
      <c r="H1053" s="177">
        <v>152</v>
      </c>
      <c r="I1053" s="177">
        <v>271</v>
      </c>
      <c r="J1053" s="373">
        <v>271</v>
      </c>
      <c r="K1053" s="177">
        <v>104</v>
      </c>
      <c r="L1053" s="253">
        <v>1780</v>
      </c>
      <c r="M1053" s="177" t="s">
        <v>153</v>
      </c>
      <c r="N1053" s="177" t="s">
        <v>149</v>
      </c>
      <c r="O1053" s="177" t="s">
        <v>154</v>
      </c>
      <c r="P1053" s="177" t="s">
        <v>151</v>
      </c>
      <c r="Q1053" s="177" t="s">
        <v>155</v>
      </c>
      <c r="R1053" s="177" t="s">
        <v>9793</v>
      </c>
      <c r="S1053" s="177"/>
      <c r="T1053" s="177" t="s">
        <v>3072</v>
      </c>
      <c r="U1053" s="177" t="s">
        <v>152</v>
      </c>
      <c r="V1053" s="177" t="s">
        <v>18</v>
      </c>
    </row>
    <row r="1054" spans="2:22">
      <c r="B1054" s="251">
        <v>46256</v>
      </c>
      <c r="C1054" s="251">
        <v>46256</v>
      </c>
      <c r="D1054" s="177" t="s">
        <v>9794</v>
      </c>
      <c r="E1054" s="177">
        <v>260104023129</v>
      </c>
      <c r="F1054" s="177" t="s">
        <v>87</v>
      </c>
      <c r="G1054" s="177" t="s">
        <v>2526</v>
      </c>
      <c r="H1054" s="177">
        <v>125</v>
      </c>
      <c r="I1054" s="177">
        <v>255</v>
      </c>
      <c r="J1054" s="373">
        <v>255</v>
      </c>
      <c r="K1054" s="177">
        <v>97</v>
      </c>
      <c r="L1054" s="253">
        <v>2085</v>
      </c>
      <c r="M1054" s="177" t="s">
        <v>153</v>
      </c>
      <c r="N1054" s="177" t="s">
        <v>149</v>
      </c>
      <c r="O1054" s="177" t="s">
        <v>154</v>
      </c>
      <c r="P1054" s="177" t="s">
        <v>151</v>
      </c>
      <c r="Q1054" s="177" t="s">
        <v>155</v>
      </c>
      <c r="R1054" s="177" t="s">
        <v>9795</v>
      </c>
      <c r="S1054" s="177"/>
      <c r="T1054" s="177" t="s">
        <v>3072</v>
      </c>
      <c r="U1054" s="177" t="s">
        <v>152</v>
      </c>
      <c r="V1054" s="177" t="s">
        <v>18</v>
      </c>
    </row>
    <row r="1055" spans="2:22">
      <c r="B1055" s="251">
        <v>46256</v>
      </c>
      <c r="C1055" s="251">
        <v>46256</v>
      </c>
      <c r="D1055" s="177" t="s">
        <v>9796</v>
      </c>
      <c r="E1055" s="177">
        <v>260103823131</v>
      </c>
      <c r="F1055" s="177" t="s">
        <v>87</v>
      </c>
      <c r="G1055" s="177" t="s">
        <v>824</v>
      </c>
      <c r="H1055" s="177">
        <v>152</v>
      </c>
      <c r="I1055" s="245">
        <v>233</v>
      </c>
      <c r="J1055" s="379">
        <v>233</v>
      </c>
      <c r="K1055" s="177">
        <v>104</v>
      </c>
      <c r="L1055" s="253">
        <v>1510</v>
      </c>
      <c r="M1055" s="177" t="s">
        <v>153</v>
      </c>
      <c r="N1055" s="177" t="s">
        <v>149</v>
      </c>
      <c r="O1055" s="177" t="s">
        <v>154</v>
      </c>
      <c r="P1055" s="177" t="s">
        <v>151</v>
      </c>
      <c r="Q1055" s="177" t="s">
        <v>155</v>
      </c>
      <c r="R1055" s="177" t="s">
        <v>9797</v>
      </c>
      <c r="S1055" s="177"/>
      <c r="T1055" s="177" t="s">
        <v>3072</v>
      </c>
      <c r="U1055" s="177" t="s">
        <v>152</v>
      </c>
      <c r="V1055" s="177" t="s">
        <v>18</v>
      </c>
    </row>
    <row r="1056" spans="2:22">
      <c r="B1056" s="251">
        <v>46256</v>
      </c>
      <c r="C1056" s="251">
        <v>46256</v>
      </c>
      <c r="D1056" s="177" t="s">
        <v>9798</v>
      </c>
      <c r="E1056" s="177">
        <v>260103723135</v>
      </c>
      <c r="F1056" s="177" t="s">
        <v>87</v>
      </c>
      <c r="G1056" s="177" t="s">
        <v>8646</v>
      </c>
      <c r="H1056" s="177">
        <v>135</v>
      </c>
      <c r="I1056" s="177">
        <v>242</v>
      </c>
      <c r="J1056" s="177">
        <v>242</v>
      </c>
      <c r="K1056" s="177">
        <v>97</v>
      </c>
      <c r="L1056" s="253">
        <v>1850</v>
      </c>
      <c r="M1056" s="177" t="s">
        <v>153</v>
      </c>
      <c r="N1056" s="177" t="s">
        <v>149</v>
      </c>
      <c r="O1056" s="177" t="s">
        <v>154</v>
      </c>
      <c r="P1056" s="177" t="s">
        <v>151</v>
      </c>
      <c r="Q1056" s="177" t="s">
        <v>155</v>
      </c>
      <c r="R1056" s="177" t="s">
        <v>9799</v>
      </c>
      <c r="S1056" s="177"/>
      <c r="T1056" s="177" t="s">
        <v>3072</v>
      </c>
      <c r="U1056" s="177" t="s">
        <v>152</v>
      </c>
      <c r="V1056" s="177" t="s">
        <v>18</v>
      </c>
    </row>
    <row r="1057" spans="2:22">
      <c r="B1057" s="251">
        <v>46256</v>
      </c>
      <c r="C1057" s="251">
        <v>46256</v>
      </c>
      <c r="D1057" s="177" t="s">
        <v>9800</v>
      </c>
      <c r="E1057" s="177">
        <v>260101523100</v>
      </c>
      <c r="F1057" s="177" t="s">
        <v>87</v>
      </c>
      <c r="G1057" s="177" t="s">
        <v>2408</v>
      </c>
      <c r="H1057" s="177">
        <v>112</v>
      </c>
      <c r="I1057" s="177">
        <v>385</v>
      </c>
      <c r="J1057" s="177">
        <v>385</v>
      </c>
      <c r="K1057" s="177">
        <v>160</v>
      </c>
      <c r="L1057" s="253">
        <v>1100</v>
      </c>
      <c r="M1057" s="177" t="s">
        <v>153</v>
      </c>
      <c r="N1057" s="177" t="s">
        <v>149</v>
      </c>
      <c r="O1057" s="177" t="s">
        <v>154</v>
      </c>
      <c r="P1057" s="177" t="s">
        <v>151</v>
      </c>
      <c r="Q1057" s="177" t="s">
        <v>155</v>
      </c>
      <c r="R1057" s="177" t="s">
        <v>9801</v>
      </c>
      <c r="S1057" s="177"/>
      <c r="T1057" s="177" t="s">
        <v>3072</v>
      </c>
      <c r="U1057" s="177" t="s">
        <v>152</v>
      </c>
      <c r="V1057" s="177" t="s">
        <v>18</v>
      </c>
    </row>
    <row r="1058" spans="2:22">
      <c r="B1058" s="251">
        <v>46256</v>
      </c>
      <c r="C1058" s="251">
        <v>46256</v>
      </c>
      <c r="D1058" s="177" t="s">
        <v>9802</v>
      </c>
      <c r="E1058" s="177">
        <v>260105223104</v>
      </c>
      <c r="F1058" s="177" t="s">
        <v>87</v>
      </c>
      <c r="G1058" s="177" t="s">
        <v>2527</v>
      </c>
      <c r="H1058" s="177">
        <v>152</v>
      </c>
      <c r="I1058" s="177">
        <v>235</v>
      </c>
      <c r="J1058" s="177">
        <v>235</v>
      </c>
      <c r="K1058" s="177">
        <v>104</v>
      </c>
      <c r="L1058" s="253">
        <v>1545</v>
      </c>
      <c r="M1058" s="177" t="s">
        <v>153</v>
      </c>
      <c r="N1058" s="177" t="s">
        <v>149</v>
      </c>
      <c r="O1058" s="177" t="s">
        <v>154</v>
      </c>
      <c r="P1058" s="177" t="s">
        <v>151</v>
      </c>
      <c r="Q1058" s="177" t="s">
        <v>155</v>
      </c>
      <c r="R1058" s="177" t="s">
        <v>9803</v>
      </c>
      <c r="S1058" s="177"/>
      <c r="T1058" s="177" t="s">
        <v>3072</v>
      </c>
      <c r="U1058" s="177" t="s">
        <v>152</v>
      </c>
      <c r="V1058" s="177" t="s">
        <v>18</v>
      </c>
    </row>
    <row r="1059" spans="2:22">
      <c r="B1059" s="251">
        <v>46256</v>
      </c>
      <c r="C1059" s="251">
        <v>46256</v>
      </c>
      <c r="D1059" s="177" t="s">
        <v>9804</v>
      </c>
      <c r="E1059" s="177">
        <v>260105023105</v>
      </c>
      <c r="F1059" s="177" t="s">
        <v>87</v>
      </c>
      <c r="G1059" s="177" t="s">
        <v>2407</v>
      </c>
      <c r="H1059" s="177">
        <v>160</v>
      </c>
      <c r="I1059" s="177">
        <v>241</v>
      </c>
      <c r="J1059" s="177">
        <v>241</v>
      </c>
      <c r="K1059" s="177">
        <v>102</v>
      </c>
      <c r="L1059" s="253">
        <v>1500</v>
      </c>
      <c r="M1059" s="177" t="s">
        <v>153</v>
      </c>
      <c r="N1059" s="177" t="s">
        <v>149</v>
      </c>
      <c r="O1059" s="177" t="s">
        <v>154</v>
      </c>
      <c r="P1059" s="177" t="s">
        <v>151</v>
      </c>
      <c r="Q1059" s="177" t="s">
        <v>155</v>
      </c>
      <c r="R1059" s="177" t="s">
        <v>9805</v>
      </c>
      <c r="S1059" s="177"/>
      <c r="T1059" s="177" t="s">
        <v>3072</v>
      </c>
      <c r="U1059" s="177" t="s">
        <v>152</v>
      </c>
      <c r="V1059" s="177" t="s">
        <v>18</v>
      </c>
    </row>
    <row r="1060" spans="2:22">
      <c r="B1060" s="251">
        <v>46256</v>
      </c>
      <c r="C1060" s="251">
        <v>46256</v>
      </c>
      <c r="D1060" s="177" t="s">
        <v>9806</v>
      </c>
      <c r="E1060" s="177">
        <v>260102023123</v>
      </c>
      <c r="F1060" s="177" t="s">
        <v>87</v>
      </c>
      <c r="G1060" s="177" t="s">
        <v>8681</v>
      </c>
      <c r="H1060" s="177">
        <v>92</v>
      </c>
      <c r="I1060" s="177">
        <v>245</v>
      </c>
      <c r="J1060" s="177">
        <v>245</v>
      </c>
      <c r="K1060" s="177">
        <v>134</v>
      </c>
      <c r="L1060" s="253">
        <v>1000</v>
      </c>
      <c r="M1060" s="177" t="s">
        <v>153</v>
      </c>
      <c r="N1060" s="177" t="s">
        <v>149</v>
      </c>
      <c r="O1060" s="177" t="s">
        <v>154</v>
      </c>
      <c r="P1060" s="177" t="s">
        <v>151</v>
      </c>
      <c r="Q1060" s="177" t="s">
        <v>155</v>
      </c>
      <c r="R1060" s="177" t="s">
        <v>9807</v>
      </c>
      <c r="S1060" s="177"/>
      <c r="T1060" s="177" t="s">
        <v>3072</v>
      </c>
      <c r="U1060" s="177" t="s">
        <v>152</v>
      </c>
      <c r="V1060" s="177" t="s">
        <v>18</v>
      </c>
    </row>
    <row r="1061" spans="2:22">
      <c r="B1061" s="251">
        <v>46256</v>
      </c>
      <c r="C1061" s="251">
        <v>46256</v>
      </c>
      <c r="D1061" s="177" t="s">
        <v>9808</v>
      </c>
      <c r="E1061" s="177">
        <v>260105423143</v>
      </c>
      <c r="F1061" s="177" t="s">
        <v>87</v>
      </c>
      <c r="G1061" s="177" t="s">
        <v>2364</v>
      </c>
      <c r="H1061" s="177">
        <v>142</v>
      </c>
      <c r="I1061" s="177">
        <v>164</v>
      </c>
      <c r="J1061" s="177">
        <v>164</v>
      </c>
      <c r="K1061" s="177">
        <v>67</v>
      </c>
      <c r="L1061" s="253">
        <v>1790</v>
      </c>
      <c r="M1061" s="177" t="s">
        <v>153</v>
      </c>
      <c r="N1061" s="177" t="s">
        <v>149</v>
      </c>
      <c r="O1061" s="177" t="s">
        <v>154</v>
      </c>
      <c r="P1061" s="177" t="s">
        <v>151</v>
      </c>
      <c r="Q1061" s="177" t="s">
        <v>155</v>
      </c>
      <c r="R1061" s="177" t="s">
        <v>9809</v>
      </c>
      <c r="S1061" s="177"/>
      <c r="T1061" s="177" t="s">
        <v>3072</v>
      </c>
      <c r="U1061" s="177" t="s">
        <v>152</v>
      </c>
      <c r="V1061" s="177" t="s">
        <v>18</v>
      </c>
    </row>
    <row r="1062" spans="2:22">
      <c r="B1062" s="251">
        <v>46257</v>
      </c>
      <c r="C1062" s="251">
        <v>46257</v>
      </c>
      <c r="D1062" s="177" t="s">
        <v>9810</v>
      </c>
      <c r="E1062" s="177">
        <v>260101823167</v>
      </c>
      <c r="F1062" s="177" t="s">
        <v>87</v>
      </c>
      <c r="G1062" s="177" t="s">
        <v>8681</v>
      </c>
      <c r="H1062" s="177">
        <v>92</v>
      </c>
      <c r="I1062" s="177">
        <v>246</v>
      </c>
      <c r="J1062" s="177">
        <v>246</v>
      </c>
      <c r="K1062" s="177">
        <v>134</v>
      </c>
      <c r="L1062" s="253">
        <v>1000</v>
      </c>
      <c r="M1062" s="177" t="s">
        <v>153</v>
      </c>
      <c r="N1062" s="177" t="s">
        <v>149</v>
      </c>
      <c r="O1062" s="177" t="s">
        <v>154</v>
      </c>
      <c r="P1062" s="177" t="s">
        <v>151</v>
      </c>
      <c r="Q1062" s="177" t="s">
        <v>155</v>
      </c>
      <c r="R1062" s="177" t="s">
        <v>9811</v>
      </c>
      <c r="S1062" s="177"/>
      <c r="T1062" s="177" t="s">
        <v>3089</v>
      </c>
      <c r="U1062" s="177" t="s">
        <v>152</v>
      </c>
      <c r="V1062" s="177" t="s">
        <v>18</v>
      </c>
    </row>
    <row r="1063" spans="2:22">
      <c r="B1063" s="251">
        <v>46257</v>
      </c>
      <c r="C1063" s="251">
        <v>46257</v>
      </c>
      <c r="D1063" s="177" t="s">
        <v>9812</v>
      </c>
      <c r="E1063" s="177">
        <v>260102623170</v>
      </c>
      <c r="F1063" s="177" t="s">
        <v>87</v>
      </c>
      <c r="G1063" s="177" t="s">
        <v>8032</v>
      </c>
      <c r="H1063" s="177">
        <v>102</v>
      </c>
      <c r="I1063" s="177">
        <v>294</v>
      </c>
      <c r="J1063" s="177">
        <v>294</v>
      </c>
      <c r="K1063" s="177">
        <v>130</v>
      </c>
      <c r="L1063" s="253">
        <v>1120</v>
      </c>
      <c r="M1063" s="177" t="s">
        <v>153</v>
      </c>
      <c r="N1063" s="177" t="s">
        <v>149</v>
      </c>
      <c r="O1063" s="177" t="s">
        <v>154</v>
      </c>
      <c r="P1063" s="177" t="s">
        <v>151</v>
      </c>
      <c r="Q1063" s="177" t="s">
        <v>155</v>
      </c>
      <c r="R1063" s="177" t="s">
        <v>9813</v>
      </c>
      <c r="S1063" s="177"/>
      <c r="T1063" s="177" t="s">
        <v>3089</v>
      </c>
      <c r="U1063" s="177" t="s">
        <v>152</v>
      </c>
      <c r="V1063" s="177" t="s">
        <v>18</v>
      </c>
    </row>
    <row r="1064" spans="2:22">
      <c r="B1064" s="251">
        <v>46257</v>
      </c>
      <c r="C1064" s="251">
        <v>46257</v>
      </c>
      <c r="D1064" s="177" t="s">
        <v>9814</v>
      </c>
      <c r="E1064" s="177">
        <v>260101423175</v>
      </c>
      <c r="F1064" s="177" t="s">
        <v>87</v>
      </c>
      <c r="G1064" s="177" t="s">
        <v>824</v>
      </c>
      <c r="H1064" s="177">
        <v>152</v>
      </c>
      <c r="I1064" s="177">
        <v>226</v>
      </c>
      <c r="J1064" s="177">
        <v>226</v>
      </c>
      <c r="K1064" s="177">
        <v>104</v>
      </c>
      <c r="L1064" s="253">
        <v>1500</v>
      </c>
      <c r="M1064" s="177" t="s">
        <v>153</v>
      </c>
      <c r="N1064" s="177" t="s">
        <v>149</v>
      </c>
      <c r="O1064" s="177" t="s">
        <v>154</v>
      </c>
      <c r="P1064" s="177" t="s">
        <v>151</v>
      </c>
      <c r="Q1064" s="177" t="s">
        <v>155</v>
      </c>
      <c r="R1064" s="177" t="s">
        <v>9815</v>
      </c>
      <c r="S1064" s="177"/>
      <c r="T1064" s="177" t="s">
        <v>3089</v>
      </c>
      <c r="U1064" s="177" t="s">
        <v>152</v>
      </c>
      <c r="V1064" s="177" t="s">
        <v>18</v>
      </c>
    </row>
    <row r="1065" spans="2:22">
      <c r="B1065" s="251">
        <v>46257</v>
      </c>
      <c r="C1065" s="251">
        <v>46257</v>
      </c>
      <c r="D1065" s="177" t="s">
        <v>9816</v>
      </c>
      <c r="E1065" s="177">
        <v>260104023220</v>
      </c>
      <c r="F1065" s="177" t="s">
        <v>87</v>
      </c>
      <c r="G1065" s="177" t="s">
        <v>2526</v>
      </c>
      <c r="H1065" s="177">
        <v>125</v>
      </c>
      <c r="I1065" s="177">
        <v>194</v>
      </c>
      <c r="J1065" s="177">
        <v>194</v>
      </c>
      <c r="K1065" s="177">
        <v>97</v>
      </c>
      <c r="L1065" s="253">
        <v>1635</v>
      </c>
      <c r="M1065" s="177" t="s">
        <v>153</v>
      </c>
      <c r="N1065" s="177" t="s">
        <v>149</v>
      </c>
      <c r="O1065" s="177" t="s">
        <v>154</v>
      </c>
      <c r="P1065" s="177" t="s">
        <v>151</v>
      </c>
      <c r="Q1065" s="177" t="s">
        <v>155</v>
      </c>
      <c r="R1065" s="177" t="s">
        <v>9817</v>
      </c>
      <c r="S1065" s="177"/>
      <c r="T1065" s="177" t="s">
        <v>3089</v>
      </c>
      <c r="U1065" s="177" t="s">
        <v>152</v>
      </c>
      <c r="V1065" s="177" t="s">
        <v>18</v>
      </c>
    </row>
    <row r="1066" spans="2:22">
      <c r="B1066" s="251">
        <v>46257</v>
      </c>
      <c r="C1066" s="251">
        <v>46257</v>
      </c>
      <c r="D1066" s="177" t="s">
        <v>9818</v>
      </c>
      <c r="E1066" s="177">
        <v>260103823223</v>
      </c>
      <c r="F1066" s="177" t="s">
        <v>87</v>
      </c>
      <c r="G1066" s="177" t="s">
        <v>824</v>
      </c>
      <c r="H1066" s="177">
        <v>152</v>
      </c>
      <c r="I1066" s="177">
        <v>226</v>
      </c>
      <c r="J1066" s="177">
        <v>226</v>
      </c>
      <c r="K1066" s="177">
        <v>104</v>
      </c>
      <c r="L1066" s="253">
        <v>1500</v>
      </c>
      <c r="M1066" s="177" t="s">
        <v>153</v>
      </c>
      <c r="N1066" s="177" t="s">
        <v>149</v>
      </c>
      <c r="O1066" s="177" t="s">
        <v>154</v>
      </c>
      <c r="P1066" s="177" t="s">
        <v>151</v>
      </c>
      <c r="Q1066" s="177" t="s">
        <v>155</v>
      </c>
      <c r="R1066" s="177" t="s">
        <v>9819</v>
      </c>
      <c r="S1066" s="177"/>
      <c r="T1066" s="177" t="s">
        <v>3089</v>
      </c>
      <c r="U1066" s="177" t="s">
        <v>152</v>
      </c>
      <c r="V1066" s="177" t="s">
        <v>18</v>
      </c>
    </row>
    <row r="1067" spans="2:22">
      <c r="B1067" s="251">
        <v>46257</v>
      </c>
      <c r="C1067" s="251">
        <v>46257</v>
      </c>
      <c r="D1067" s="177" t="s">
        <v>9820</v>
      </c>
      <c r="E1067" s="177">
        <v>260103723226</v>
      </c>
      <c r="F1067" s="177" t="s">
        <v>87</v>
      </c>
      <c r="G1067" s="177" t="s">
        <v>8646</v>
      </c>
      <c r="H1067" s="177">
        <v>135</v>
      </c>
      <c r="I1067" s="177">
        <v>240</v>
      </c>
      <c r="J1067" s="177">
        <v>240</v>
      </c>
      <c r="K1067" s="177">
        <v>97</v>
      </c>
      <c r="L1067" s="253">
        <v>1870</v>
      </c>
      <c r="M1067" s="177" t="s">
        <v>153</v>
      </c>
      <c r="N1067" s="177" t="s">
        <v>149</v>
      </c>
      <c r="O1067" s="177" t="s">
        <v>154</v>
      </c>
      <c r="P1067" s="177" t="s">
        <v>151</v>
      </c>
      <c r="Q1067" s="177" t="s">
        <v>155</v>
      </c>
      <c r="R1067" s="177" t="s">
        <v>9821</v>
      </c>
      <c r="S1067" s="177"/>
      <c r="T1067" s="177" t="s">
        <v>3089</v>
      </c>
      <c r="U1067" s="177" t="s">
        <v>152</v>
      </c>
      <c r="V1067" s="177" t="s">
        <v>18</v>
      </c>
    </row>
    <row r="1068" spans="2:22">
      <c r="B1068" s="251">
        <v>46257</v>
      </c>
      <c r="C1068" s="251">
        <v>46257</v>
      </c>
      <c r="D1068" s="177" t="s">
        <v>9822</v>
      </c>
      <c r="E1068" s="177">
        <v>260101423173</v>
      </c>
      <c r="F1068" s="177" t="s">
        <v>87</v>
      </c>
      <c r="G1068" s="177" t="s">
        <v>824</v>
      </c>
      <c r="H1068" s="177">
        <v>152</v>
      </c>
      <c r="I1068" s="177">
        <v>224</v>
      </c>
      <c r="J1068" s="177">
        <v>224</v>
      </c>
      <c r="K1068" s="177">
        <v>104</v>
      </c>
      <c r="L1068" s="253">
        <v>1500</v>
      </c>
      <c r="M1068" s="177" t="s">
        <v>153</v>
      </c>
      <c r="N1068" s="177" t="s">
        <v>149</v>
      </c>
      <c r="O1068" s="177" t="s">
        <v>154</v>
      </c>
      <c r="P1068" s="177" t="s">
        <v>151</v>
      </c>
      <c r="Q1068" s="177" t="s">
        <v>155</v>
      </c>
      <c r="R1068" s="177" t="s">
        <v>9823</v>
      </c>
      <c r="S1068" s="177"/>
      <c r="T1068" s="177" t="s">
        <v>3089</v>
      </c>
      <c r="U1068" s="177" t="s">
        <v>152</v>
      </c>
      <c r="V1068" s="177" t="s">
        <v>18</v>
      </c>
    </row>
    <row r="1069" spans="2:22">
      <c r="B1069" s="251">
        <v>46257</v>
      </c>
      <c r="C1069" s="251">
        <v>46257</v>
      </c>
      <c r="D1069" s="177" t="s">
        <v>9824</v>
      </c>
      <c r="E1069" s="177">
        <v>260101423176</v>
      </c>
      <c r="F1069" s="177" t="s">
        <v>87</v>
      </c>
      <c r="G1069" s="177" t="s">
        <v>824</v>
      </c>
      <c r="H1069" s="177">
        <v>152</v>
      </c>
      <c r="I1069" s="177">
        <v>228</v>
      </c>
      <c r="J1069" s="177">
        <v>228</v>
      </c>
      <c r="K1069" s="177">
        <v>104</v>
      </c>
      <c r="L1069" s="253">
        <v>1500</v>
      </c>
      <c r="M1069" s="177" t="s">
        <v>153</v>
      </c>
      <c r="N1069" s="177" t="s">
        <v>149</v>
      </c>
      <c r="O1069" s="177" t="s">
        <v>154</v>
      </c>
      <c r="P1069" s="177" t="s">
        <v>151</v>
      </c>
      <c r="Q1069" s="177" t="s">
        <v>155</v>
      </c>
      <c r="R1069" s="177" t="s">
        <v>9825</v>
      </c>
      <c r="S1069" s="177"/>
      <c r="T1069" s="177" t="s">
        <v>3089</v>
      </c>
      <c r="U1069" s="177" t="s">
        <v>152</v>
      </c>
      <c r="V1069" s="177" t="s">
        <v>18</v>
      </c>
    </row>
    <row r="1070" spans="2:22">
      <c r="B1070" s="251">
        <v>46257</v>
      </c>
      <c r="C1070" s="251">
        <v>46257</v>
      </c>
      <c r="D1070" s="177" t="s">
        <v>9826</v>
      </c>
      <c r="E1070" s="177">
        <v>260103923184</v>
      </c>
      <c r="F1070" s="177" t="s">
        <v>87</v>
      </c>
      <c r="G1070" s="177" t="s">
        <v>2304</v>
      </c>
      <c r="H1070" s="177">
        <v>132</v>
      </c>
      <c r="I1070" s="177">
        <v>254</v>
      </c>
      <c r="J1070" s="177">
        <v>254</v>
      </c>
      <c r="K1070" s="177">
        <v>97</v>
      </c>
      <c r="L1070" s="253">
        <v>2020</v>
      </c>
      <c r="M1070" s="177" t="s">
        <v>153</v>
      </c>
      <c r="N1070" s="177" t="s">
        <v>149</v>
      </c>
      <c r="O1070" s="177" t="s">
        <v>154</v>
      </c>
      <c r="P1070" s="177" t="s">
        <v>151</v>
      </c>
      <c r="Q1070" s="177" t="s">
        <v>155</v>
      </c>
      <c r="R1070" s="177" t="s">
        <v>9827</v>
      </c>
      <c r="S1070" s="177"/>
      <c r="T1070" s="177" t="s">
        <v>3089</v>
      </c>
      <c r="U1070" s="177" t="s">
        <v>152</v>
      </c>
      <c r="V1070" s="177" t="s">
        <v>18</v>
      </c>
    </row>
    <row r="1071" spans="2:22">
      <c r="B1071" s="251">
        <v>46257</v>
      </c>
      <c r="C1071" s="251">
        <v>46257</v>
      </c>
      <c r="D1071" s="177" t="s">
        <v>9828</v>
      </c>
      <c r="E1071" s="177">
        <v>260100723177</v>
      </c>
      <c r="F1071" s="177" t="s">
        <v>87</v>
      </c>
      <c r="G1071" s="177" t="s">
        <v>7586</v>
      </c>
      <c r="H1071" s="177">
        <v>145</v>
      </c>
      <c r="I1071" s="177">
        <v>419</v>
      </c>
      <c r="J1071" s="177">
        <v>419</v>
      </c>
      <c r="K1071" s="177">
        <v>170</v>
      </c>
      <c r="L1071" s="253">
        <v>850</v>
      </c>
      <c r="M1071" s="177" t="s">
        <v>153</v>
      </c>
      <c r="N1071" s="177" t="s">
        <v>149</v>
      </c>
      <c r="O1071" s="177" t="s">
        <v>154</v>
      </c>
      <c r="P1071" s="177" t="s">
        <v>151</v>
      </c>
      <c r="Q1071" s="177" t="s">
        <v>155</v>
      </c>
      <c r="R1071" s="177" t="s">
        <v>9829</v>
      </c>
      <c r="S1071" s="177"/>
      <c r="T1071" s="177" t="s">
        <v>3089</v>
      </c>
      <c r="U1071" s="177" t="s">
        <v>152</v>
      </c>
      <c r="V1071" s="177" t="s">
        <v>18</v>
      </c>
    </row>
    <row r="1072" spans="2:22">
      <c r="B1072" s="251">
        <v>46257</v>
      </c>
      <c r="C1072" s="251">
        <v>46257</v>
      </c>
      <c r="D1072" s="177" t="s">
        <v>9830</v>
      </c>
      <c r="E1072" s="177">
        <v>260107323192</v>
      </c>
      <c r="F1072" s="177" t="s">
        <v>87</v>
      </c>
      <c r="G1072" s="177" t="s">
        <v>2530</v>
      </c>
      <c r="H1072" s="177">
        <v>162</v>
      </c>
      <c r="I1072" s="177">
        <v>328</v>
      </c>
      <c r="J1072" s="177">
        <v>328</v>
      </c>
      <c r="K1072" s="177">
        <v>102</v>
      </c>
      <c r="L1072" s="253">
        <v>2040</v>
      </c>
      <c r="M1072" s="177" t="s">
        <v>153</v>
      </c>
      <c r="N1072" s="177" t="s">
        <v>149</v>
      </c>
      <c r="O1072" s="177" t="s">
        <v>154</v>
      </c>
      <c r="P1072" s="177" t="s">
        <v>151</v>
      </c>
      <c r="Q1072" s="177" t="s">
        <v>155</v>
      </c>
      <c r="R1072" s="177" t="s">
        <v>9831</v>
      </c>
      <c r="S1072" s="177"/>
      <c r="T1072" s="177" t="s">
        <v>3089</v>
      </c>
      <c r="U1072" s="177" t="s">
        <v>152</v>
      </c>
      <c r="V1072" s="177" t="s">
        <v>18</v>
      </c>
    </row>
    <row r="1073" spans="2:22">
      <c r="B1073" s="251">
        <v>46257</v>
      </c>
      <c r="C1073" s="251">
        <v>46257</v>
      </c>
      <c r="D1073" s="177" t="s">
        <v>9832</v>
      </c>
      <c r="E1073" s="177">
        <v>260107523198</v>
      </c>
      <c r="F1073" s="177" t="s">
        <v>87</v>
      </c>
      <c r="G1073" s="177" t="s">
        <v>9833</v>
      </c>
      <c r="H1073" s="177">
        <v>140</v>
      </c>
      <c r="I1073" s="177">
        <v>266</v>
      </c>
      <c r="J1073" s="177">
        <v>266</v>
      </c>
      <c r="K1073" s="177">
        <v>88</v>
      </c>
      <c r="L1073" s="253">
        <v>2260</v>
      </c>
      <c r="M1073" s="177" t="s">
        <v>153</v>
      </c>
      <c r="N1073" s="177" t="s">
        <v>149</v>
      </c>
      <c r="O1073" s="177" t="s">
        <v>154</v>
      </c>
      <c r="P1073" s="177" t="s">
        <v>151</v>
      </c>
      <c r="Q1073" s="177" t="s">
        <v>155</v>
      </c>
      <c r="R1073" s="177" t="s">
        <v>9834</v>
      </c>
      <c r="S1073" s="177"/>
      <c r="T1073" s="177"/>
      <c r="U1073" s="177" t="s">
        <v>152</v>
      </c>
      <c r="V1073" s="177" t="s">
        <v>18</v>
      </c>
    </row>
    <row r="1074" spans="2:22">
      <c r="B1074" s="251">
        <v>46257</v>
      </c>
      <c r="C1074" s="251">
        <v>46257</v>
      </c>
      <c r="D1074" s="177" t="s">
        <v>9835</v>
      </c>
      <c r="E1074" s="177">
        <v>260101523208</v>
      </c>
      <c r="F1074" s="177" t="s">
        <v>87</v>
      </c>
      <c r="G1074" s="177" t="s">
        <v>2408</v>
      </c>
      <c r="H1074" s="177">
        <v>112</v>
      </c>
      <c r="I1074" s="177">
        <v>354</v>
      </c>
      <c r="J1074" s="177">
        <v>354</v>
      </c>
      <c r="K1074" s="177">
        <v>160</v>
      </c>
      <c r="L1074" s="253">
        <v>1000</v>
      </c>
      <c r="M1074" s="177" t="s">
        <v>153</v>
      </c>
      <c r="N1074" s="177" t="s">
        <v>149</v>
      </c>
      <c r="O1074" s="177" t="s">
        <v>154</v>
      </c>
      <c r="P1074" s="177" t="s">
        <v>151</v>
      </c>
      <c r="Q1074" s="177" t="s">
        <v>155</v>
      </c>
      <c r="R1074" s="177" t="s">
        <v>9836</v>
      </c>
      <c r="S1074" s="177"/>
      <c r="T1074" s="177" t="s">
        <v>3089</v>
      </c>
      <c r="U1074" s="177" t="s">
        <v>152</v>
      </c>
      <c r="V1074" s="177" t="s">
        <v>18</v>
      </c>
    </row>
    <row r="1075" spans="2:22">
      <c r="B1075" s="251">
        <v>46257</v>
      </c>
      <c r="C1075" s="251">
        <v>46257</v>
      </c>
      <c r="D1075" s="177" t="s">
        <v>9837</v>
      </c>
      <c r="E1075" s="177">
        <v>260102623210</v>
      </c>
      <c r="F1075" s="177" t="s">
        <v>87</v>
      </c>
      <c r="G1075" s="177" t="s">
        <v>8032</v>
      </c>
      <c r="H1075" s="177">
        <v>102</v>
      </c>
      <c r="I1075" s="177">
        <v>259</v>
      </c>
      <c r="J1075" s="177">
        <v>259</v>
      </c>
      <c r="K1075" s="177">
        <v>130</v>
      </c>
      <c r="L1075" s="253">
        <v>1000</v>
      </c>
      <c r="M1075" s="177" t="s">
        <v>153</v>
      </c>
      <c r="N1075" s="177" t="s">
        <v>149</v>
      </c>
      <c r="O1075" s="177" t="s">
        <v>154</v>
      </c>
      <c r="P1075" s="177" t="s">
        <v>151</v>
      </c>
      <c r="Q1075" s="177" t="s">
        <v>155</v>
      </c>
      <c r="R1075" s="177" t="s">
        <v>9838</v>
      </c>
      <c r="S1075" s="177"/>
      <c r="T1075" s="177" t="s">
        <v>3089</v>
      </c>
      <c r="U1075" s="177" t="s">
        <v>152</v>
      </c>
      <c r="V1075" s="177" t="s">
        <v>18</v>
      </c>
    </row>
    <row r="1076" spans="2:22">
      <c r="B1076" s="251">
        <v>46257</v>
      </c>
      <c r="C1076" s="251">
        <v>46257</v>
      </c>
      <c r="D1076" s="177" t="s">
        <v>9839</v>
      </c>
      <c r="E1076" s="177">
        <v>260102223216</v>
      </c>
      <c r="F1076" s="177" t="s">
        <v>87</v>
      </c>
      <c r="G1076" s="177" t="s">
        <v>9731</v>
      </c>
      <c r="H1076" s="177">
        <v>102</v>
      </c>
      <c r="I1076" s="177">
        <v>255</v>
      </c>
      <c r="J1076" s="177">
        <v>255</v>
      </c>
      <c r="K1076" s="177">
        <v>130</v>
      </c>
      <c r="L1076" s="253">
        <v>1000</v>
      </c>
      <c r="M1076" s="177" t="s">
        <v>153</v>
      </c>
      <c r="N1076" s="177" t="s">
        <v>149</v>
      </c>
      <c r="O1076" s="177" t="s">
        <v>154</v>
      </c>
      <c r="P1076" s="177" t="s">
        <v>151</v>
      </c>
      <c r="Q1076" s="177" t="s">
        <v>155</v>
      </c>
      <c r="R1076" s="177" t="s">
        <v>9840</v>
      </c>
      <c r="S1076" s="177"/>
      <c r="T1076" s="177" t="s">
        <v>3089</v>
      </c>
      <c r="U1076" s="177" t="s">
        <v>152</v>
      </c>
      <c r="V1076" s="177" t="s">
        <v>18</v>
      </c>
    </row>
    <row r="1077" spans="2:22">
      <c r="B1077" s="251">
        <v>46257</v>
      </c>
      <c r="C1077" s="251">
        <v>46257</v>
      </c>
      <c r="D1077" s="177" t="s">
        <v>9841</v>
      </c>
      <c r="E1077" s="177">
        <v>260103423224</v>
      </c>
      <c r="F1077" s="177" t="s">
        <v>87</v>
      </c>
      <c r="G1077" s="177" t="s">
        <v>824</v>
      </c>
      <c r="H1077" s="177">
        <v>152</v>
      </c>
      <c r="I1077" s="177">
        <v>232</v>
      </c>
      <c r="J1077" s="177">
        <v>232</v>
      </c>
      <c r="K1077" s="177">
        <v>104</v>
      </c>
      <c r="L1077" s="253">
        <v>1520</v>
      </c>
      <c r="M1077" s="177" t="s">
        <v>153</v>
      </c>
      <c r="N1077" s="177" t="s">
        <v>149</v>
      </c>
      <c r="O1077" s="177" t="s">
        <v>154</v>
      </c>
      <c r="P1077" s="177" t="s">
        <v>151</v>
      </c>
      <c r="Q1077" s="177" t="s">
        <v>155</v>
      </c>
      <c r="R1077" s="177" t="s">
        <v>9842</v>
      </c>
      <c r="S1077" s="177"/>
      <c r="T1077" s="177" t="s">
        <v>3089</v>
      </c>
      <c r="U1077" s="177" t="s">
        <v>152</v>
      </c>
      <c r="V1077" s="177" t="s">
        <v>18</v>
      </c>
    </row>
    <row r="1078" spans="2:22">
      <c r="B1078" s="251">
        <v>46257</v>
      </c>
      <c r="C1078" s="251">
        <v>46257</v>
      </c>
      <c r="D1078" s="177" t="s">
        <v>9843</v>
      </c>
      <c r="E1078" s="177">
        <v>260103423225</v>
      </c>
      <c r="F1078" s="177" t="s">
        <v>87</v>
      </c>
      <c r="G1078" s="177" t="s">
        <v>824</v>
      </c>
      <c r="H1078" s="177">
        <v>152</v>
      </c>
      <c r="I1078" s="177">
        <v>234</v>
      </c>
      <c r="J1078" s="177">
        <v>234</v>
      </c>
      <c r="K1078" s="177">
        <v>104</v>
      </c>
      <c r="L1078" s="253">
        <v>1520</v>
      </c>
      <c r="M1078" s="177" t="s">
        <v>153</v>
      </c>
      <c r="N1078" s="177" t="s">
        <v>149</v>
      </c>
      <c r="O1078" s="177" t="s">
        <v>154</v>
      </c>
      <c r="P1078" s="177" t="s">
        <v>151</v>
      </c>
      <c r="Q1078" s="177" t="s">
        <v>155</v>
      </c>
      <c r="R1078" s="177" t="s">
        <v>9844</v>
      </c>
      <c r="S1078" s="177"/>
      <c r="T1078" s="177" t="s">
        <v>3089</v>
      </c>
      <c r="U1078" s="177" t="s">
        <v>152</v>
      </c>
      <c r="V1078" s="177" t="s">
        <v>18</v>
      </c>
    </row>
    <row r="1079" spans="2:22">
      <c r="B1079" s="251">
        <v>46257</v>
      </c>
      <c r="C1079" s="251">
        <v>46257</v>
      </c>
      <c r="D1079" s="177" t="s">
        <v>9845</v>
      </c>
      <c r="E1079" s="177">
        <v>260105023237</v>
      </c>
      <c r="F1079" s="177" t="s">
        <v>87</v>
      </c>
      <c r="G1079" s="177" t="s">
        <v>2407</v>
      </c>
      <c r="H1079" s="177">
        <v>160</v>
      </c>
      <c r="I1079" s="177">
        <v>233</v>
      </c>
      <c r="J1079" s="177">
        <v>233</v>
      </c>
      <c r="K1079" s="177">
        <v>102</v>
      </c>
      <c r="L1079" s="253">
        <v>1440</v>
      </c>
      <c r="M1079" s="177" t="s">
        <v>153</v>
      </c>
      <c r="N1079" s="177" t="s">
        <v>149</v>
      </c>
      <c r="O1079" s="177" t="s">
        <v>154</v>
      </c>
      <c r="P1079" s="177" t="s">
        <v>151</v>
      </c>
      <c r="Q1079" s="177" t="s">
        <v>155</v>
      </c>
      <c r="R1079" s="177" t="s">
        <v>9846</v>
      </c>
      <c r="S1079" s="177"/>
      <c r="T1079" s="177" t="s">
        <v>3089</v>
      </c>
      <c r="U1079" s="177" t="s">
        <v>152</v>
      </c>
      <c r="V1079" s="177" t="s">
        <v>18</v>
      </c>
    </row>
    <row r="1080" spans="2:22">
      <c r="B1080" s="251">
        <v>46257</v>
      </c>
      <c r="C1080" s="251">
        <v>46257</v>
      </c>
      <c r="D1080" s="177" t="s">
        <v>9847</v>
      </c>
      <c r="E1080" s="177">
        <v>260103923183</v>
      </c>
      <c r="F1080" s="177" t="s">
        <v>87</v>
      </c>
      <c r="G1080" s="177" t="s">
        <v>2304</v>
      </c>
      <c r="H1080" s="177">
        <v>132</v>
      </c>
      <c r="I1080" s="177">
        <v>254</v>
      </c>
      <c r="J1080" s="177">
        <v>254</v>
      </c>
      <c r="K1080" s="177">
        <v>97</v>
      </c>
      <c r="L1080" s="253">
        <v>2020</v>
      </c>
      <c r="M1080" s="177" t="s">
        <v>153</v>
      </c>
      <c r="N1080" s="177" t="s">
        <v>149</v>
      </c>
      <c r="O1080" s="177" t="s">
        <v>154</v>
      </c>
      <c r="P1080" s="177" t="s">
        <v>151</v>
      </c>
      <c r="Q1080" s="177" t="s">
        <v>155</v>
      </c>
      <c r="R1080" s="177" t="s">
        <v>9848</v>
      </c>
      <c r="S1080" s="177"/>
      <c r="T1080" s="177" t="s">
        <v>3089</v>
      </c>
      <c r="U1080" s="177" t="s">
        <v>152</v>
      </c>
      <c r="V1080" s="177" t="s">
        <v>18</v>
      </c>
    </row>
    <row r="1081" spans="2:22">
      <c r="B1081" s="251">
        <v>46257</v>
      </c>
      <c r="C1081" s="251">
        <v>46257</v>
      </c>
      <c r="D1081" s="177" t="s">
        <v>9849</v>
      </c>
      <c r="E1081" s="177">
        <v>260107123193</v>
      </c>
      <c r="F1081" s="177" t="s">
        <v>87</v>
      </c>
      <c r="G1081" s="177" t="s">
        <v>8692</v>
      </c>
      <c r="H1081" s="177">
        <v>140</v>
      </c>
      <c r="I1081" s="177">
        <v>218</v>
      </c>
      <c r="J1081" s="177">
        <v>218</v>
      </c>
      <c r="K1081" s="177">
        <v>88</v>
      </c>
      <c r="L1081" s="253">
        <v>1785</v>
      </c>
      <c r="M1081" s="177" t="s">
        <v>153</v>
      </c>
      <c r="N1081" s="177" t="s">
        <v>149</v>
      </c>
      <c r="O1081" s="177" t="s">
        <v>154</v>
      </c>
      <c r="P1081" s="177" t="s">
        <v>151</v>
      </c>
      <c r="Q1081" s="177" t="s">
        <v>155</v>
      </c>
      <c r="R1081" s="177" t="s">
        <v>9850</v>
      </c>
      <c r="S1081" s="177"/>
      <c r="T1081" s="177" t="s">
        <v>3089</v>
      </c>
      <c r="U1081" s="177" t="s">
        <v>152</v>
      </c>
      <c r="V1081" s="177" t="s">
        <v>18</v>
      </c>
    </row>
    <row r="1082" spans="2:22">
      <c r="B1082" s="251">
        <v>46257</v>
      </c>
      <c r="C1082" s="251">
        <v>46257</v>
      </c>
      <c r="D1082" s="177" t="s">
        <v>9851</v>
      </c>
      <c r="E1082" s="177">
        <v>260107423195</v>
      </c>
      <c r="F1082" s="177" t="s">
        <v>87</v>
      </c>
      <c r="G1082" s="177" t="s">
        <v>2304</v>
      </c>
      <c r="H1082" s="177">
        <v>132</v>
      </c>
      <c r="I1082" s="177">
        <v>320</v>
      </c>
      <c r="J1082" s="177">
        <v>320</v>
      </c>
      <c r="K1082" s="177">
        <v>97</v>
      </c>
      <c r="L1082" s="253">
        <v>2680</v>
      </c>
      <c r="M1082" s="177" t="s">
        <v>153</v>
      </c>
      <c r="N1082" s="177" t="s">
        <v>149</v>
      </c>
      <c r="O1082" s="177" t="s">
        <v>154</v>
      </c>
      <c r="P1082" s="177" t="s">
        <v>151</v>
      </c>
      <c r="Q1082" s="177" t="s">
        <v>155</v>
      </c>
      <c r="R1082" s="177" t="s">
        <v>9852</v>
      </c>
      <c r="S1082" s="177"/>
      <c r="T1082" s="177" t="s">
        <v>3089</v>
      </c>
      <c r="U1082" s="177" t="s">
        <v>152</v>
      </c>
      <c r="V1082" s="177" t="s">
        <v>18</v>
      </c>
    </row>
    <row r="1083" spans="2:22">
      <c r="B1083" s="251">
        <v>46257</v>
      </c>
      <c r="C1083" s="251">
        <v>46257</v>
      </c>
      <c r="D1083" s="177" t="s">
        <v>9853</v>
      </c>
      <c r="E1083" s="177">
        <v>260101623209</v>
      </c>
      <c r="F1083" s="177" t="s">
        <v>87</v>
      </c>
      <c r="G1083" s="177" t="s">
        <v>2079</v>
      </c>
      <c r="H1083" s="177">
        <v>112</v>
      </c>
      <c r="I1083" s="177">
        <v>393</v>
      </c>
      <c r="J1083" s="177">
        <v>393</v>
      </c>
      <c r="K1083" s="177">
        <v>180</v>
      </c>
      <c r="L1083" s="253">
        <v>1000</v>
      </c>
      <c r="M1083" s="177" t="s">
        <v>153</v>
      </c>
      <c r="N1083" s="177" t="s">
        <v>149</v>
      </c>
      <c r="O1083" s="177" t="s">
        <v>154</v>
      </c>
      <c r="P1083" s="177" t="s">
        <v>151</v>
      </c>
      <c r="Q1083" s="177" t="s">
        <v>155</v>
      </c>
      <c r="R1083" s="177" t="s">
        <v>9854</v>
      </c>
      <c r="S1083" s="177"/>
      <c r="T1083" s="177" t="s">
        <v>3089</v>
      </c>
      <c r="U1083" s="177" t="s">
        <v>152</v>
      </c>
      <c r="V1083" s="177" t="s">
        <v>18</v>
      </c>
    </row>
    <row r="1084" spans="2:22">
      <c r="B1084" s="251">
        <v>46257</v>
      </c>
      <c r="C1084" s="251">
        <v>46257</v>
      </c>
      <c r="D1084" s="177" t="s">
        <v>9855</v>
      </c>
      <c r="E1084" s="177">
        <v>260106123232</v>
      </c>
      <c r="F1084" s="177" t="s">
        <v>87</v>
      </c>
      <c r="G1084" s="177" t="s">
        <v>9752</v>
      </c>
      <c r="H1084" s="177">
        <v>140</v>
      </c>
      <c r="I1084" s="177">
        <v>177</v>
      </c>
      <c r="J1084" s="177">
        <v>177</v>
      </c>
      <c r="K1084" s="177">
        <v>83</v>
      </c>
      <c r="L1084" s="253">
        <v>1560</v>
      </c>
      <c r="M1084" s="177" t="s">
        <v>153</v>
      </c>
      <c r="N1084" s="177" t="s">
        <v>149</v>
      </c>
      <c r="O1084" s="177" t="s">
        <v>154</v>
      </c>
      <c r="P1084" s="177" t="s">
        <v>151</v>
      </c>
      <c r="Q1084" s="177" t="s">
        <v>155</v>
      </c>
      <c r="R1084" s="177" t="s">
        <v>9856</v>
      </c>
      <c r="S1084" s="177"/>
      <c r="T1084" s="177"/>
      <c r="U1084" s="177" t="s">
        <v>152</v>
      </c>
      <c r="V1084" s="177" t="s">
        <v>18</v>
      </c>
    </row>
    <row r="1085" spans="2:22">
      <c r="B1085" s="251">
        <v>46257</v>
      </c>
      <c r="C1085" s="251">
        <v>46257</v>
      </c>
      <c r="D1085" s="177" t="s">
        <v>9857</v>
      </c>
      <c r="E1085" s="177">
        <v>260107623194</v>
      </c>
      <c r="F1085" s="177" t="s">
        <v>87</v>
      </c>
      <c r="G1085" s="177" t="s">
        <v>8646</v>
      </c>
      <c r="H1085" s="177">
        <v>135</v>
      </c>
      <c r="I1085" s="177">
        <v>276</v>
      </c>
      <c r="J1085" s="177">
        <v>276</v>
      </c>
      <c r="K1085" s="177">
        <v>97</v>
      </c>
      <c r="L1085" s="253">
        <v>2180</v>
      </c>
      <c r="M1085" s="177" t="s">
        <v>153</v>
      </c>
      <c r="N1085" s="177" t="s">
        <v>149</v>
      </c>
      <c r="O1085" s="177" t="s">
        <v>154</v>
      </c>
      <c r="P1085" s="177" t="s">
        <v>151</v>
      </c>
      <c r="Q1085" s="177" t="s">
        <v>155</v>
      </c>
      <c r="R1085" s="177" t="s">
        <v>9858</v>
      </c>
      <c r="S1085" s="177"/>
      <c r="T1085" s="177" t="s">
        <v>3089</v>
      </c>
      <c r="U1085" s="177" t="s">
        <v>152</v>
      </c>
      <c r="V1085" s="177" t="s">
        <v>18</v>
      </c>
    </row>
    <row r="1086" spans="2:22">
      <c r="B1086" s="251">
        <v>46257</v>
      </c>
      <c r="C1086" s="251">
        <v>46257</v>
      </c>
      <c r="D1086" s="177" t="s">
        <v>9859</v>
      </c>
      <c r="E1086" s="177">
        <v>260107823197</v>
      </c>
      <c r="F1086" s="177" t="s">
        <v>87</v>
      </c>
      <c r="G1086" s="177" t="s">
        <v>8646</v>
      </c>
      <c r="H1086" s="177">
        <v>135</v>
      </c>
      <c r="I1086" s="177">
        <v>290</v>
      </c>
      <c r="J1086" s="177">
        <v>290</v>
      </c>
      <c r="K1086" s="177">
        <v>97</v>
      </c>
      <c r="L1086" s="253">
        <v>2250</v>
      </c>
      <c r="M1086" s="177" t="s">
        <v>153</v>
      </c>
      <c r="N1086" s="177" t="s">
        <v>149</v>
      </c>
      <c r="O1086" s="177" t="s">
        <v>154</v>
      </c>
      <c r="P1086" s="177" t="s">
        <v>151</v>
      </c>
      <c r="Q1086" s="177" t="s">
        <v>155</v>
      </c>
      <c r="R1086" s="177" t="s">
        <v>9860</v>
      </c>
      <c r="S1086" s="177"/>
      <c r="T1086" s="177" t="s">
        <v>3089</v>
      </c>
      <c r="U1086" s="177" t="s">
        <v>152</v>
      </c>
      <c r="V1086" s="177" t="s">
        <v>18</v>
      </c>
    </row>
    <row r="1087" spans="2:22">
      <c r="B1087" s="251">
        <v>46257</v>
      </c>
      <c r="C1087" s="251">
        <v>46257</v>
      </c>
      <c r="D1087" s="177" t="s">
        <v>9861</v>
      </c>
      <c r="E1087" s="177">
        <v>260105823235</v>
      </c>
      <c r="F1087" s="177" t="s">
        <v>87</v>
      </c>
      <c r="G1087" s="177" t="s">
        <v>824</v>
      </c>
      <c r="H1087" s="177">
        <v>152</v>
      </c>
      <c r="I1087" s="177">
        <v>227</v>
      </c>
      <c r="J1087" s="177">
        <v>227</v>
      </c>
      <c r="K1087" s="177">
        <v>104</v>
      </c>
      <c r="L1087" s="253">
        <v>1500</v>
      </c>
      <c r="M1087" s="177" t="s">
        <v>153</v>
      </c>
      <c r="N1087" s="177" t="s">
        <v>149</v>
      </c>
      <c r="O1087" s="177" t="s">
        <v>154</v>
      </c>
      <c r="P1087" s="177" t="s">
        <v>151</v>
      </c>
      <c r="Q1087" s="177" t="s">
        <v>155</v>
      </c>
      <c r="R1087" s="177" t="s">
        <v>9862</v>
      </c>
      <c r="S1087" s="177"/>
      <c r="T1087" s="177" t="s">
        <v>3089</v>
      </c>
      <c r="U1087" s="177" t="s">
        <v>152</v>
      </c>
      <c r="V1087" s="177" t="s">
        <v>18</v>
      </c>
    </row>
    <row r="1088" spans="2:22">
      <c r="B1088" s="251">
        <v>46257</v>
      </c>
      <c r="C1088" s="251">
        <v>46257</v>
      </c>
      <c r="D1088" s="177" t="s">
        <v>9863</v>
      </c>
      <c r="E1088" s="177">
        <v>260105223239</v>
      </c>
      <c r="F1088" s="177" t="s">
        <v>87</v>
      </c>
      <c r="G1088" s="177" t="s">
        <v>2527</v>
      </c>
      <c r="H1088" s="177">
        <v>152</v>
      </c>
      <c r="I1088" s="177">
        <v>243</v>
      </c>
      <c r="J1088" s="177">
        <v>243</v>
      </c>
      <c r="K1088" s="177">
        <v>104</v>
      </c>
      <c r="L1088" s="253">
        <v>1580</v>
      </c>
      <c r="M1088" s="177" t="s">
        <v>153</v>
      </c>
      <c r="N1088" s="177" t="s">
        <v>149</v>
      </c>
      <c r="O1088" s="177" t="s">
        <v>154</v>
      </c>
      <c r="P1088" s="177" t="s">
        <v>151</v>
      </c>
      <c r="Q1088" s="177" t="s">
        <v>155</v>
      </c>
      <c r="R1088" s="177" t="s">
        <v>9864</v>
      </c>
      <c r="S1088" s="177"/>
      <c r="T1088" s="177" t="s">
        <v>3089</v>
      </c>
      <c r="U1088" s="177" t="s">
        <v>152</v>
      </c>
      <c r="V1088" s="177" t="s">
        <v>18</v>
      </c>
    </row>
    <row r="1089" spans="2:22">
      <c r="B1089" s="251">
        <v>46257</v>
      </c>
      <c r="C1089" s="251">
        <v>46257</v>
      </c>
      <c r="D1089" s="177" t="s">
        <v>9865</v>
      </c>
      <c r="E1089" s="177">
        <v>260100723243</v>
      </c>
      <c r="F1089" s="177" t="s">
        <v>87</v>
      </c>
      <c r="G1089" s="177" t="s">
        <v>7586</v>
      </c>
      <c r="H1089" s="177">
        <v>145</v>
      </c>
      <c r="I1089" s="177">
        <v>395</v>
      </c>
      <c r="J1089" s="177">
        <v>395</v>
      </c>
      <c r="K1089" s="177">
        <v>170</v>
      </c>
      <c r="L1089" s="253">
        <v>810</v>
      </c>
      <c r="M1089" s="177" t="s">
        <v>153</v>
      </c>
      <c r="N1089" s="177" t="s">
        <v>149</v>
      </c>
      <c r="O1089" s="177" t="s">
        <v>154</v>
      </c>
      <c r="P1089" s="177" t="s">
        <v>151</v>
      </c>
      <c r="Q1089" s="177" t="s">
        <v>155</v>
      </c>
      <c r="R1089" s="177" t="s">
        <v>9866</v>
      </c>
      <c r="S1089" s="177"/>
      <c r="T1089" s="177" t="s">
        <v>3089</v>
      </c>
      <c r="U1089" s="177" t="s">
        <v>152</v>
      </c>
      <c r="V1089" s="177" t="s">
        <v>18</v>
      </c>
    </row>
    <row r="1090" spans="2:22">
      <c r="B1090" s="251">
        <v>46257</v>
      </c>
      <c r="C1090" s="251">
        <v>46257</v>
      </c>
      <c r="D1090" s="177" t="s">
        <v>9867</v>
      </c>
      <c r="E1090" s="177">
        <v>260102723171</v>
      </c>
      <c r="F1090" s="177" t="s">
        <v>87</v>
      </c>
      <c r="G1090" s="177" t="s">
        <v>8032</v>
      </c>
      <c r="H1090" s="177">
        <v>102</v>
      </c>
      <c r="I1090" s="177">
        <v>279</v>
      </c>
      <c r="J1090" s="177">
        <v>279</v>
      </c>
      <c r="K1090" s="177">
        <v>130</v>
      </c>
      <c r="L1090" s="253">
        <v>1060</v>
      </c>
      <c r="M1090" s="177" t="s">
        <v>153</v>
      </c>
      <c r="N1090" s="177" t="s">
        <v>149</v>
      </c>
      <c r="O1090" s="177" t="s">
        <v>154</v>
      </c>
      <c r="P1090" s="177" t="s">
        <v>151</v>
      </c>
      <c r="Q1090" s="177" t="s">
        <v>155</v>
      </c>
      <c r="R1090" s="177" t="s">
        <v>9868</v>
      </c>
      <c r="S1090" s="177"/>
      <c r="T1090" s="177" t="s">
        <v>3089</v>
      </c>
      <c r="U1090" s="177" t="s">
        <v>152</v>
      </c>
      <c r="V1090" s="177" t="s">
        <v>18</v>
      </c>
    </row>
    <row r="1091" spans="2:22">
      <c r="B1091" s="251">
        <v>46257</v>
      </c>
      <c r="C1091" s="251">
        <v>46257</v>
      </c>
      <c r="D1091" s="177" t="s">
        <v>9869</v>
      </c>
      <c r="E1091" s="177">
        <v>260102823207</v>
      </c>
      <c r="F1091" s="177" t="s">
        <v>87</v>
      </c>
      <c r="G1091" s="177" t="s">
        <v>8032</v>
      </c>
      <c r="H1091" s="177">
        <v>102</v>
      </c>
      <c r="I1091" s="177">
        <v>261</v>
      </c>
      <c r="J1091" s="177">
        <v>261</v>
      </c>
      <c r="K1091" s="177">
        <v>130</v>
      </c>
      <c r="L1091" s="253">
        <v>1000</v>
      </c>
      <c r="M1091" s="177" t="s">
        <v>153</v>
      </c>
      <c r="N1091" s="177" t="s">
        <v>149</v>
      </c>
      <c r="O1091" s="177" t="s">
        <v>154</v>
      </c>
      <c r="P1091" s="177" t="s">
        <v>151</v>
      </c>
      <c r="Q1091" s="177" t="s">
        <v>155</v>
      </c>
      <c r="R1091" s="177" t="s">
        <v>9870</v>
      </c>
      <c r="S1091" s="177"/>
      <c r="T1091" s="177" t="s">
        <v>3089</v>
      </c>
      <c r="U1091" s="177" t="s">
        <v>152</v>
      </c>
      <c r="V1091" s="177" t="s">
        <v>18</v>
      </c>
    </row>
    <row r="1092" spans="2:22">
      <c r="B1092" s="251">
        <v>46257</v>
      </c>
      <c r="C1092" s="251">
        <v>46257</v>
      </c>
      <c r="D1092" s="177" t="s">
        <v>9871</v>
      </c>
      <c r="E1092" s="177">
        <v>260104023222</v>
      </c>
      <c r="F1092" s="177" t="s">
        <v>87</v>
      </c>
      <c r="G1092" s="177" t="s">
        <v>2526</v>
      </c>
      <c r="H1092" s="177">
        <v>125</v>
      </c>
      <c r="I1092" s="177">
        <v>199</v>
      </c>
      <c r="J1092" s="177">
        <v>199</v>
      </c>
      <c r="K1092" s="177">
        <v>97</v>
      </c>
      <c r="L1092" s="253">
        <v>1635</v>
      </c>
      <c r="M1092" s="177" t="s">
        <v>153</v>
      </c>
      <c r="N1092" s="177" t="s">
        <v>149</v>
      </c>
      <c r="O1092" s="177" t="s">
        <v>154</v>
      </c>
      <c r="P1092" s="177" t="s">
        <v>151</v>
      </c>
      <c r="Q1092" s="177" t="s">
        <v>155</v>
      </c>
      <c r="R1092" s="177" t="s">
        <v>9872</v>
      </c>
      <c r="S1092" s="177"/>
      <c r="T1092" s="177" t="s">
        <v>3089</v>
      </c>
      <c r="U1092" s="177" t="s">
        <v>152</v>
      </c>
      <c r="V1092" s="177" t="s">
        <v>18</v>
      </c>
    </row>
    <row r="1093" spans="2:22">
      <c r="B1093" s="251">
        <v>46257</v>
      </c>
      <c r="C1093" s="251">
        <v>46257</v>
      </c>
      <c r="D1093" s="177" t="s">
        <v>9873</v>
      </c>
      <c r="E1093" s="177">
        <v>260106223231</v>
      </c>
      <c r="F1093" s="177" t="s">
        <v>87</v>
      </c>
      <c r="G1093" s="177" t="s">
        <v>824</v>
      </c>
      <c r="H1093" s="177">
        <v>182</v>
      </c>
      <c r="I1093" s="177">
        <v>253</v>
      </c>
      <c r="J1093" s="177">
        <v>253</v>
      </c>
      <c r="K1093" s="177">
        <v>104</v>
      </c>
      <c r="L1093" s="253">
        <v>1395</v>
      </c>
      <c r="M1093" s="177" t="s">
        <v>153</v>
      </c>
      <c r="N1093" s="177" t="s">
        <v>149</v>
      </c>
      <c r="O1093" s="177" t="s">
        <v>154</v>
      </c>
      <c r="P1093" s="177" t="s">
        <v>151</v>
      </c>
      <c r="Q1093" s="177" t="s">
        <v>155</v>
      </c>
      <c r="R1093" s="177" t="s">
        <v>9874</v>
      </c>
      <c r="S1093" s="177"/>
      <c r="T1093" s="177" t="s">
        <v>3089</v>
      </c>
      <c r="U1093" s="177" t="s">
        <v>152</v>
      </c>
      <c r="V1093" s="177" t="s">
        <v>18</v>
      </c>
    </row>
    <row r="1094" spans="2:22">
      <c r="B1094" s="251">
        <v>46257</v>
      </c>
      <c r="C1094" s="251">
        <v>46257</v>
      </c>
      <c r="D1094" s="177" t="s">
        <v>9875</v>
      </c>
      <c r="E1094" s="177">
        <v>260105423240</v>
      </c>
      <c r="F1094" s="177" t="s">
        <v>87</v>
      </c>
      <c r="G1094" s="177" t="s">
        <v>2364</v>
      </c>
      <c r="H1094" s="177">
        <v>142</v>
      </c>
      <c r="I1094" s="177">
        <v>163</v>
      </c>
      <c r="J1094" s="177">
        <v>163</v>
      </c>
      <c r="K1094" s="177">
        <v>67</v>
      </c>
      <c r="L1094" s="253">
        <v>1760</v>
      </c>
      <c r="M1094" s="177" t="s">
        <v>153</v>
      </c>
      <c r="N1094" s="177" t="s">
        <v>149</v>
      </c>
      <c r="O1094" s="177" t="s">
        <v>154</v>
      </c>
      <c r="P1094" s="177" t="s">
        <v>151</v>
      </c>
      <c r="Q1094" s="177" t="s">
        <v>155</v>
      </c>
      <c r="R1094" s="177" t="s">
        <v>9876</v>
      </c>
      <c r="S1094" s="177"/>
      <c r="T1094" s="177" t="s">
        <v>3089</v>
      </c>
      <c r="U1094" s="177" t="s">
        <v>152</v>
      </c>
      <c r="V1094" s="177" t="s">
        <v>18</v>
      </c>
    </row>
    <row r="1095" spans="2:22">
      <c r="B1095" s="251">
        <v>46257</v>
      </c>
      <c r="C1095" s="251">
        <v>46257</v>
      </c>
      <c r="D1095" s="177" t="s">
        <v>9877</v>
      </c>
      <c r="E1095" s="177">
        <v>260102523169</v>
      </c>
      <c r="F1095" s="177" t="s">
        <v>87</v>
      </c>
      <c r="G1095" s="177" t="s">
        <v>8032</v>
      </c>
      <c r="H1095" s="177">
        <v>102</v>
      </c>
      <c r="I1095" s="177">
        <v>269</v>
      </c>
      <c r="J1095" s="177">
        <v>269</v>
      </c>
      <c r="K1095" s="177">
        <v>130</v>
      </c>
      <c r="L1095" s="253">
        <v>1000</v>
      </c>
      <c r="M1095" s="177" t="s">
        <v>153</v>
      </c>
      <c r="N1095" s="177" t="s">
        <v>149</v>
      </c>
      <c r="O1095" s="177" t="s">
        <v>154</v>
      </c>
      <c r="P1095" s="177" t="s">
        <v>151</v>
      </c>
      <c r="Q1095" s="177" t="s">
        <v>155</v>
      </c>
      <c r="R1095" s="177" t="s">
        <v>9878</v>
      </c>
      <c r="S1095" s="177"/>
      <c r="T1095" s="177" t="s">
        <v>3089</v>
      </c>
      <c r="U1095" s="177" t="s">
        <v>152</v>
      </c>
      <c r="V1095" s="177" t="s">
        <v>18</v>
      </c>
    </row>
    <row r="1096" spans="2:22">
      <c r="B1096" s="251">
        <v>46257</v>
      </c>
      <c r="C1096" s="251">
        <v>46257</v>
      </c>
      <c r="D1096" s="177" t="s">
        <v>9879</v>
      </c>
      <c r="E1096" s="177">
        <v>260101423174</v>
      </c>
      <c r="F1096" s="177" t="s">
        <v>87</v>
      </c>
      <c r="G1096" s="177" t="s">
        <v>824</v>
      </c>
      <c r="H1096" s="177">
        <v>152</v>
      </c>
      <c r="I1096" s="177">
        <v>228</v>
      </c>
      <c r="J1096" s="177">
        <v>228</v>
      </c>
      <c r="K1096" s="177">
        <v>104</v>
      </c>
      <c r="L1096" s="253">
        <v>1500</v>
      </c>
      <c r="M1096" s="177" t="s">
        <v>153</v>
      </c>
      <c r="N1096" s="177" t="s">
        <v>149</v>
      </c>
      <c r="O1096" s="177" t="s">
        <v>154</v>
      </c>
      <c r="P1096" s="177" t="s">
        <v>151</v>
      </c>
      <c r="Q1096" s="177" t="s">
        <v>155</v>
      </c>
      <c r="R1096" s="177" t="s">
        <v>9880</v>
      </c>
      <c r="S1096" s="177"/>
      <c r="T1096" s="177" t="s">
        <v>3089</v>
      </c>
      <c r="U1096" s="177" t="s">
        <v>152</v>
      </c>
      <c r="V1096" s="177" t="s">
        <v>18</v>
      </c>
    </row>
    <row r="1097" spans="2:22">
      <c r="B1097" s="251">
        <v>46257</v>
      </c>
      <c r="C1097" s="251">
        <v>46257</v>
      </c>
      <c r="D1097" s="177" t="s">
        <v>9881</v>
      </c>
      <c r="E1097" s="177">
        <v>260101523178</v>
      </c>
      <c r="F1097" s="177" t="s">
        <v>87</v>
      </c>
      <c r="G1097" s="177" t="s">
        <v>2408</v>
      </c>
      <c r="H1097" s="177">
        <v>112</v>
      </c>
      <c r="I1097" s="177">
        <v>453</v>
      </c>
      <c r="J1097" s="177">
        <v>453</v>
      </c>
      <c r="K1097" s="177">
        <v>160</v>
      </c>
      <c r="L1097" s="253">
        <v>1280</v>
      </c>
      <c r="M1097" s="177" t="s">
        <v>153</v>
      </c>
      <c r="N1097" s="177" t="s">
        <v>149</v>
      </c>
      <c r="O1097" s="177" t="s">
        <v>154</v>
      </c>
      <c r="P1097" s="177" t="s">
        <v>151</v>
      </c>
      <c r="Q1097" s="177" t="s">
        <v>155</v>
      </c>
      <c r="R1097" s="177" t="s">
        <v>9882</v>
      </c>
      <c r="S1097" s="177"/>
      <c r="T1097" s="177" t="s">
        <v>3089</v>
      </c>
      <c r="U1097" s="177" t="s">
        <v>152</v>
      </c>
      <c r="V1097" s="177" t="s">
        <v>18</v>
      </c>
    </row>
    <row r="1098" spans="2:22">
      <c r="B1098" s="251">
        <v>46257</v>
      </c>
      <c r="C1098" s="251">
        <v>46257</v>
      </c>
      <c r="D1098" s="177" t="s">
        <v>9883</v>
      </c>
      <c r="E1098" s="177">
        <v>260104623187</v>
      </c>
      <c r="F1098" s="177" t="s">
        <v>87</v>
      </c>
      <c r="G1098" s="177" t="s">
        <v>824</v>
      </c>
      <c r="H1098" s="177">
        <v>152</v>
      </c>
      <c r="I1098" s="177">
        <v>265</v>
      </c>
      <c r="J1098" s="177">
        <v>265</v>
      </c>
      <c r="K1098" s="177">
        <v>104</v>
      </c>
      <c r="L1098" s="253">
        <v>1750</v>
      </c>
      <c r="M1098" s="177" t="s">
        <v>153</v>
      </c>
      <c r="N1098" s="177" t="s">
        <v>149</v>
      </c>
      <c r="O1098" s="177" t="s">
        <v>154</v>
      </c>
      <c r="P1098" s="177" t="s">
        <v>151</v>
      </c>
      <c r="Q1098" s="177" t="s">
        <v>155</v>
      </c>
      <c r="R1098" s="177" t="s">
        <v>9884</v>
      </c>
      <c r="S1098" s="177"/>
      <c r="T1098" s="177" t="s">
        <v>3089</v>
      </c>
      <c r="U1098" s="177" t="s">
        <v>152</v>
      </c>
      <c r="V1098" s="177" t="s">
        <v>18</v>
      </c>
    </row>
    <row r="1099" spans="2:22">
      <c r="B1099" s="251">
        <v>46257</v>
      </c>
      <c r="C1099" s="251">
        <v>46257</v>
      </c>
      <c r="D1099" s="177" t="s">
        <v>9885</v>
      </c>
      <c r="E1099" s="177">
        <v>260101723168</v>
      </c>
      <c r="F1099" s="177" t="s">
        <v>87</v>
      </c>
      <c r="G1099" s="177" t="s">
        <v>8681</v>
      </c>
      <c r="H1099" s="177">
        <v>92</v>
      </c>
      <c r="I1099" s="177">
        <v>245</v>
      </c>
      <c r="J1099" s="177">
        <v>245</v>
      </c>
      <c r="K1099" s="177">
        <v>134</v>
      </c>
      <c r="L1099" s="253">
        <v>1000</v>
      </c>
      <c r="M1099" s="177" t="s">
        <v>153</v>
      </c>
      <c r="N1099" s="177" t="s">
        <v>149</v>
      </c>
      <c r="O1099" s="177" t="s">
        <v>154</v>
      </c>
      <c r="P1099" s="177" t="s">
        <v>151</v>
      </c>
      <c r="Q1099" s="177" t="s">
        <v>155</v>
      </c>
      <c r="R1099" s="177" t="s">
        <v>9886</v>
      </c>
      <c r="S1099" s="177"/>
      <c r="T1099" s="177" t="s">
        <v>3089</v>
      </c>
      <c r="U1099" s="177" t="s">
        <v>152</v>
      </c>
      <c r="V1099" s="177" t="s">
        <v>18</v>
      </c>
    </row>
    <row r="1100" spans="2:22">
      <c r="B1100" s="251">
        <v>46257</v>
      </c>
      <c r="C1100" s="251">
        <v>46257</v>
      </c>
      <c r="D1100" s="177" t="s">
        <v>9887</v>
      </c>
      <c r="E1100" s="177">
        <v>260102323213</v>
      </c>
      <c r="F1100" s="177" t="s">
        <v>87</v>
      </c>
      <c r="G1100" s="177" t="s">
        <v>8032</v>
      </c>
      <c r="H1100" s="177">
        <v>102</v>
      </c>
      <c r="I1100" s="177">
        <v>266</v>
      </c>
      <c r="J1100" s="177">
        <v>266</v>
      </c>
      <c r="K1100" s="177">
        <v>130</v>
      </c>
      <c r="L1100" s="253">
        <v>1000</v>
      </c>
      <c r="M1100" s="177" t="s">
        <v>153</v>
      </c>
      <c r="N1100" s="177" t="s">
        <v>149</v>
      </c>
      <c r="O1100" s="177" t="s">
        <v>154</v>
      </c>
      <c r="P1100" s="177" t="s">
        <v>151</v>
      </c>
      <c r="Q1100" s="177" t="s">
        <v>155</v>
      </c>
      <c r="R1100" s="177" t="s">
        <v>9888</v>
      </c>
      <c r="S1100" s="177"/>
      <c r="T1100" s="177" t="s">
        <v>3089</v>
      </c>
      <c r="U1100" s="177" t="s">
        <v>152</v>
      </c>
      <c r="V1100" s="177" t="s">
        <v>18</v>
      </c>
    </row>
    <row r="1101" spans="2:22">
      <c r="B1101" s="251">
        <v>46257</v>
      </c>
      <c r="C1101" s="251">
        <v>46257</v>
      </c>
      <c r="D1101" s="177" t="s">
        <v>9889</v>
      </c>
      <c r="E1101" s="177">
        <v>260102923218</v>
      </c>
      <c r="F1101" s="177" t="s">
        <v>87</v>
      </c>
      <c r="G1101" s="177" t="s">
        <v>824</v>
      </c>
      <c r="H1101" s="177">
        <v>152</v>
      </c>
      <c r="I1101" s="177">
        <v>284</v>
      </c>
      <c r="J1101" s="177">
        <v>284</v>
      </c>
      <c r="K1101" s="177">
        <v>104</v>
      </c>
      <c r="L1101" s="253">
        <v>1885</v>
      </c>
      <c r="M1101" s="177" t="s">
        <v>153</v>
      </c>
      <c r="N1101" s="177" t="s">
        <v>149</v>
      </c>
      <c r="O1101" s="177" t="s">
        <v>154</v>
      </c>
      <c r="P1101" s="177" t="s">
        <v>151</v>
      </c>
      <c r="Q1101" s="177" t="s">
        <v>155</v>
      </c>
      <c r="R1101" s="177" t="s">
        <v>9890</v>
      </c>
      <c r="S1101" s="177"/>
      <c r="T1101" s="177" t="s">
        <v>3089</v>
      </c>
      <c r="U1101" s="177" t="s">
        <v>152</v>
      </c>
      <c r="V1101" s="177" t="s">
        <v>18</v>
      </c>
    </row>
    <row r="1102" spans="2:22">
      <c r="B1102" s="251">
        <v>46257</v>
      </c>
      <c r="C1102" s="251">
        <v>46257</v>
      </c>
      <c r="D1102" s="177" t="s">
        <v>9891</v>
      </c>
      <c r="E1102" s="177">
        <v>260103823228</v>
      </c>
      <c r="F1102" s="177" t="s">
        <v>87</v>
      </c>
      <c r="G1102" s="177" t="s">
        <v>824</v>
      </c>
      <c r="H1102" s="177">
        <v>152</v>
      </c>
      <c r="I1102" s="177">
        <v>224</v>
      </c>
      <c r="J1102" s="177">
        <v>224</v>
      </c>
      <c r="K1102" s="177">
        <v>104</v>
      </c>
      <c r="L1102" s="253">
        <v>1500</v>
      </c>
      <c r="M1102" s="177" t="s">
        <v>153</v>
      </c>
      <c r="N1102" s="177" t="s">
        <v>149</v>
      </c>
      <c r="O1102" s="177" t="s">
        <v>154</v>
      </c>
      <c r="P1102" s="177" t="s">
        <v>151</v>
      </c>
      <c r="Q1102" s="177" t="s">
        <v>155</v>
      </c>
      <c r="R1102" s="177" t="s">
        <v>9892</v>
      </c>
      <c r="S1102" s="177"/>
      <c r="T1102" s="177" t="s">
        <v>3089</v>
      </c>
      <c r="U1102" s="177" t="s">
        <v>152</v>
      </c>
      <c r="V1102" s="177" t="s">
        <v>18</v>
      </c>
    </row>
    <row r="1103" spans="2:22">
      <c r="B1103" s="251">
        <v>46257</v>
      </c>
      <c r="C1103" s="251">
        <v>46257</v>
      </c>
      <c r="D1103" s="177" t="s">
        <v>9893</v>
      </c>
      <c r="E1103" s="177">
        <v>260102823172</v>
      </c>
      <c r="F1103" s="177" t="s">
        <v>87</v>
      </c>
      <c r="G1103" s="177" t="s">
        <v>8032</v>
      </c>
      <c r="H1103" s="177">
        <v>102</v>
      </c>
      <c r="I1103" s="177">
        <v>293</v>
      </c>
      <c r="J1103" s="177">
        <v>293</v>
      </c>
      <c r="K1103" s="177">
        <v>130</v>
      </c>
      <c r="L1103" s="253">
        <v>1120</v>
      </c>
      <c r="M1103" s="177" t="s">
        <v>153</v>
      </c>
      <c r="N1103" s="177" t="s">
        <v>149</v>
      </c>
      <c r="O1103" s="177" t="s">
        <v>154</v>
      </c>
      <c r="P1103" s="177" t="s">
        <v>151</v>
      </c>
      <c r="Q1103" s="177" t="s">
        <v>155</v>
      </c>
      <c r="R1103" s="177" t="s">
        <v>9894</v>
      </c>
      <c r="S1103" s="177"/>
      <c r="T1103" s="177" t="s">
        <v>3089</v>
      </c>
      <c r="U1103" s="177" t="s">
        <v>152</v>
      </c>
      <c r="V1103" s="177" t="s">
        <v>18</v>
      </c>
    </row>
    <row r="1104" spans="2:22">
      <c r="B1104" s="251">
        <v>46257</v>
      </c>
      <c r="C1104" s="251">
        <v>46257</v>
      </c>
      <c r="D1104" s="177" t="s">
        <v>9895</v>
      </c>
      <c r="E1104" s="177">
        <v>260105323186</v>
      </c>
      <c r="F1104" s="177" t="s">
        <v>87</v>
      </c>
      <c r="G1104" s="177" t="s">
        <v>824</v>
      </c>
      <c r="H1104" s="177">
        <v>152</v>
      </c>
      <c r="I1104" s="177">
        <v>248</v>
      </c>
      <c r="J1104" s="177">
        <v>248</v>
      </c>
      <c r="K1104" s="177">
        <v>104</v>
      </c>
      <c r="L1104" s="253">
        <v>1640</v>
      </c>
      <c r="M1104" s="177" t="s">
        <v>153</v>
      </c>
      <c r="N1104" s="177" t="s">
        <v>149</v>
      </c>
      <c r="O1104" s="177" t="s">
        <v>154</v>
      </c>
      <c r="P1104" s="177" t="s">
        <v>151</v>
      </c>
      <c r="Q1104" s="177" t="s">
        <v>155</v>
      </c>
      <c r="R1104" s="177" t="s">
        <v>9896</v>
      </c>
      <c r="S1104" s="177"/>
      <c r="T1104" s="177" t="s">
        <v>3089</v>
      </c>
      <c r="U1104" s="177" t="s">
        <v>152</v>
      </c>
      <c r="V1104" s="177" t="s">
        <v>18</v>
      </c>
    </row>
    <row r="1105" spans="2:22">
      <c r="B1105" s="251">
        <v>46257</v>
      </c>
      <c r="C1105" s="251">
        <v>46257</v>
      </c>
      <c r="D1105" s="177" t="s">
        <v>9897</v>
      </c>
      <c r="E1105" s="177">
        <v>260106923191</v>
      </c>
      <c r="F1105" s="177" t="s">
        <v>87</v>
      </c>
      <c r="G1105" s="177" t="s">
        <v>7928</v>
      </c>
      <c r="H1105" s="177">
        <v>135</v>
      </c>
      <c r="I1105" s="177">
        <v>295</v>
      </c>
      <c r="J1105" s="177">
        <v>295</v>
      </c>
      <c r="K1105" s="177">
        <v>107</v>
      </c>
      <c r="L1105" s="253">
        <v>2130</v>
      </c>
      <c r="M1105" s="177" t="s">
        <v>153</v>
      </c>
      <c r="N1105" s="177" t="s">
        <v>149</v>
      </c>
      <c r="O1105" s="177" t="s">
        <v>154</v>
      </c>
      <c r="P1105" s="177" t="s">
        <v>151</v>
      </c>
      <c r="Q1105" s="177" t="s">
        <v>155</v>
      </c>
      <c r="R1105" s="177" t="s">
        <v>9898</v>
      </c>
      <c r="S1105" s="177"/>
      <c r="T1105" s="177" t="s">
        <v>3089</v>
      </c>
      <c r="U1105" s="177" t="s">
        <v>152</v>
      </c>
      <c r="V1105" s="177" t="s">
        <v>18</v>
      </c>
    </row>
    <row r="1106" spans="2:22">
      <c r="B1106" s="251">
        <v>46257</v>
      </c>
      <c r="C1106" s="251">
        <v>46257</v>
      </c>
      <c r="D1106" s="177" t="s">
        <v>9899</v>
      </c>
      <c r="E1106" s="177">
        <v>260102723211</v>
      </c>
      <c r="F1106" s="177" t="s">
        <v>87</v>
      </c>
      <c r="G1106" s="177" t="s">
        <v>8032</v>
      </c>
      <c r="H1106" s="177">
        <v>102</v>
      </c>
      <c r="I1106" s="177">
        <v>262</v>
      </c>
      <c r="J1106" s="177">
        <v>262</v>
      </c>
      <c r="K1106" s="177">
        <v>130</v>
      </c>
      <c r="L1106" s="253">
        <v>1000</v>
      </c>
      <c r="M1106" s="177" t="s">
        <v>153</v>
      </c>
      <c r="N1106" s="177" t="s">
        <v>149</v>
      </c>
      <c r="O1106" s="177" t="s">
        <v>154</v>
      </c>
      <c r="P1106" s="177" t="s">
        <v>151</v>
      </c>
      <c r="Q1106" s="177" t="s">
        <v>155</v>
      </c>
      <c r="R1106" s="177" t="s">
        <v>9900</v>
      </c>
      <c r="S1106" s="177"/>
      <c r="T1106" s="177" t="s">
        <v>3089</v>
      </c>
      <c r="U1106" s="177" t="s">
        <v>152</v>
      </c>
      <c r="V1106" s="177" t="s">
        <v>18</v>
      </c>
    </row>
    <row r="1107" spans="2:22">
      <c r="B1107" s="251">
        <v>46257</v>
      </c>
      <c r="C1107" s="251">
        <v>46257</v>
      </c>
      <c r="D1107" s="177" t="s">
        <v>9901</v>
      </c>
      <c r="E1107" s="177">
        <v>260101823214</v>
      </c>
      <c r="F1107" s="177" t="s">
        <v>87</v>
      </c>
      <c r="G1107" s="177" t="s">
        <v>8681</v>
      </c>
      <c r="H1107" s="177">
        <v>92</v>
      </c>
      <c r="I1107" s="177">
        <v>242</v>
      </c>
      <c r="J1107" s="177">
        <v>242</v>
      </c>
      <c r="K1107" s="177">
        <v>134</v>
      </c>
      <c r="L1107" s="253">
        <v>1000</v>
      </c>
      <c r="M1107" s="177" t="s">
        <v>153</v>
      </c>
      <c r="N1107" s="177" t="s">
        <v>149</v>
      </c>
      <c r="O1107" s="177" t="s">
        <v>154</v>
      </c>
      <c r="P1107" s="177" t="s">
        <v>151</v>
      </c>
      <c r="Q1107" s="177" t="s">
        <v>155</v>
      </c>
      <c r="R1107" s="177" t="s">
        <v>9902</v>
      </c>
      <c r="S1107" s="177"/>
      <c r="T1107" s="177" t="s">
        <v>3089</v>
      </c>
      <c r="U1107" s="177" t="s">
        <v>152</v>
      </c>
      <c r="V1107" s="177" t="s">
        <v>18</v>
      </c>
    </row>
    <row r="1108" spans="2:22">
      <c r="B1108" s="251">
        <v>46257</v>
      </c>
      <c r="C1108" s="251">
        <v>46257</v>
      </c>
      <c r="D1108" s="177" t="s">
        <v>9903</v>
      </c>
      <c r="E1108" s="177">
        <v>260102323215</v>
      </c>
      <c r="F1108" s="177" t="s">
        <v>87</v>
      </c>
      <c r="G1108" s="177" t="s">
        <v>8032</v>
      </c>
      <c r="H1108" s="177">
        <v>102</v>
      </c>
      <c r="I1108" s="177">
        <v>266</v>
      </c>
      <c r="J1108" s="177">
        <v>266</v>
      </c>
      <c r="K1108" s="177">
        <v>130</v>
      </c>
      <c r="L1108" s="253">
        <v>1000</v>
      </c>
      <c r="M1108" s="177" t="s">
        <v>153</v>
      </c>
      <c r="N1108" s="177" t="s">
        <v>149</v>
      </c>
      <c r="O1108" s="177" t="s">
        <v>154</v>
      </c>
      <c r="P1108" s="177" t="s">
        <v>151</v>
      </c>
      <c r="Q1108" s="177" t="s">
        <v>155</v>
      </c>
      <c r="R1108" s="177" t="s">
        <v>9904</v>
      </c>
      <c r="S1108" s="177"/>
      <c r="T1108" s="177" t="s">
        <v>3089</v>
      </c>
      <c r="U1108" s="177" t="s">
        <v>152</v>
      </c>
      <c r="V1108" s="177" t="s">
        <v>18</v>
      </c>
    </row>
    <row r="1109" spans="2:22">
      <c r="B1109" s="251">
        <v>46257</v>
      </c>
      <c r="C1109" s="251">
        <v>46257</v>
      </c>
      <c r="D1109" s="177" t="s">
        <v>9905</v>
      </c>
      <c r="E1109" s="177">
        <v>260102923219</v>
      </c>
      <c r="F1109" s="177" t="s">
        <v>87</v>
      </c>
      <c r="G1109" s="177" t="s">
        <v>824</v>
      </c>
      <c r="H1109" s="177">
        <v>152</v>
      </c>
      <c r="I1109" s="177">
        <v>295</v>
      </c>
      <c r="J1109" s="177">
        <v>295</v>
      </c>
      <c r="K1109" s="177">
        <v>104</v>
      </c>
      <c r="L1109" s="253">
        <v>1885</v>
      </c>
      <c r="M1109" s="177" t="s">
        <v>153</v>
      </c>
      <c r="N1109" s="177" t="s">
        <v>149</v>
      </c>
      <c r="O1109" s="177" t="s">
        <v>154</v>
      </c>
      <c r="P1109" s="177" t="s">
        <v>151</v>
      </c>
      <c r="Q1109" s="177" t="s">
        <v>155</v>
      </c>
      <c r="R1109" s="177" t="s">
        <v>9906</v>
      </c>
      <c r="S1109" s="177"/>
      <c r="T1109" s="177" t="s">
        <v>3089</v>
      </c>
      <c r="U1109" s="177" t="s">
        <v>152</v>
      </c>
      <c r="V1109" s="177" t="s">
        <v>18</v>
      </c>
    </row>
    <row r="1110" spans="2:22">
      <c r="B1110" s="251">
        <v>46257</v>
      </c>
      <c r="C1110" s="251">
        <v>46257</v>
      </c>
      <c r="D1110" s="177" t="s">
        <v>9907</v>
      </c>
      <c r="E1110" s="177">
        <v>260102423212</v>
      </c>
      <c r="F1110" s="177" t="s">
        <v>87</v>
      </c>
      <c r="G1110" s="177" t="s">
        <v>8032</v>
      </c>
      <c r="H1110" s="177">
        <v>102</v>
      </c>
      <c r="I1110" s="177">
        <v>266</v>
      </c>
      <c r="J1110" s="177">
        <v>266</v>
      </c>
      <c r="K1110" s="177">
        <v>130</v>
      </c>
      <c r="L1110" s="253">
        <v>1000</v>
      </c>
      <c r="M1110" s="177" t="s">
        <v>153</v>
      </c>
      <c r="N1110" s="177" t="s">
        <v>149</v>
      </c>
      <c r="O1110" s="177" t="s">
        <v>154</v>
      </c>
      <c r="P1110" s="177" t="s">
        <v>151</v>
      </c>
      <c r="Q1110" s="177" t="s">
        <v>155</v>
      </c>
      <c r="R1110" s="177" t="s">
        <v>9908</v>
      </c>
      <c r="S1110" s="177"/>
      <c r="T1110" s="177" t="s">
        <v>3089</v>
      </c>
      <c r="U1110" s="177" t="s">
        <v>152</v>
      </c>
      <c r="V1110" s="177" t="s">
        <v>18</v>
      </c>
    </row>
    <row r="1111" spans="2:22">
      <c r="B1111" s="251">
        <v>46257</v>
      </c>
      <c r="C1111" s="251">
        <v>46257</v>
      </c>
      <c r="D1111" s="177" t="s">
        <v>9909</v>
      </c>
      <c r="E1111" s="177">
        <v>260102023217</v>
      </c>
      <c r="F1111" s="177" t="s">
        <v>87</v>
      </c>
      <c r="G1111" s="177" t="s">
        <v>8681</v>
      </c>
      <c r="H1111" s="177">
        <v>92</v>
      </c>
      <c r="I1111" s="177">
        <v>243</v>
      </c>
      <c r="J1111" s="177">
        <v>243</v>
      </c>
      <c r="K1111" s="177">
        <v>134</v>
      </c>
      <c r="L1111" s="253">
        <v>1000</v>
      </c>
      <c r="M1111" s="177" t="s">
        <v>153</v>
      </c>
      <c r="N1111" s="177" t="s">
        <v>149</v>
      </c>
      <c r="O1111" s="177" t="s">
        <v>154</v>
      </c>
      <c r="P1111" s="177" t="s">
        <v>151</v>
      </c>
      <c r="Q1111" s="177" t="s">
        <v>155</v>
      </c>
      <c r="R1111" s="177" t="s">
        <v>9910</v>
      </c>
      <c r="S1111" s="177"/>
      <c r="T1111" s="177" t="s">
        <v>3089</v>
      </c>
      <c r="U1111" s="177" t="s">
        <v>152</v>
      </c>
      <c r="V1111" s="177" t="s">
        <v>18</v>
      </c>
    </row>
    <row r="1112" spans="2:22">
      <c r="B1112" s="251">
        <v>46257</v>
      </c>
      <c r="C1112" s="251">
        <v>46257</v>
      </c>
      <c r="D1112" s="177" t="s">
        <v>9911</v>
      </c>
      <c r="E1112" s="177">
        <v>260103723227</v>
      </c>
      <c r="F1112" s="177" t="s">
        <v>87</v>
      </c>
      <c r="G1112" s="177" t="s">
        <v>8646</v>
      </c>
      <c r="H1112" s="177">
        <v>135</v>
      </c>
      <c r="I1112" s="177">
        <v>243</v>
      </c>
      <c r="J1112" s="177">
        <v>243</v>
      </c>
      <c r="K1112" s="177">
        <v>97</v>
      </c>
      <c r="L1112" s="253">
        <v>1870</v>
      </c>
      <c r="M1112" s="177" t="s">
        <v>153</v>
      </c>
      <c r="N1112" s="177" t="s">
        <v>149</v>
      </c>
      <c r="O1112" s="177" t="s">
        <v>154</v>
      </c>
      <c r="P1112" s="177" t="s">
        <v>151</v>
      </c>
      <c r="Q1112" s="177" t="s">
        <v>155</v>
      </c>
      <c r="R1112" s="177" t="s">
        <v>9912</v>
      </c>
      <c r="S1112" s="177"/>
      <c r="T1112" s="177" t="s">
        <v>3089</v>
      </c>
      <c r="U1112" s="177" t="s">
        <v>152</v>
      </c>
      <c r="V1112" s="177" t="s">
        <v>18</v>
      </c>
    </row>
    <row r="1113" spans="2:22">
      <c r="B1113" s="251">
        <v>46257</v>
      </c>
      <c r="C1113" s="251">
        <v>46257</v>
      </c>
      <c r="D1113" s="177" t="s">
        <v>9913</v>
      </c>
      <c r="E1113" s="177">
        <v>260102223255</v>
      </c>
      <c r="F1113" s="177" t="s">
        <v>87</v>
      </c>
      <c r="G1113" s="177" t="s">
        <v>9731</v>
      </c>
      <c r="H1113" s="177">
        <v>102</v>
      </c>
      <c r="I1113" s="177">
        <v>260</v>
      </c>
      <c r="J1113" s="177">
        <v>260</v>
      </c>
      <c r="K1113" s="177">
        <v>130</v>
      </c>
      <c r="L1113" s="253">
        <v>1000</v>
      </c>
      <c r="M1113" s="177" t="s">
        <v>153</v>
      </c>
      <c r="N1113" s="177" t="s">
        <v>149</v>
      </c>
      <c r="O1113" s="177" t="s">
        <v>154</v>
      </c>
      <c r="P1113" s="177" t="s">
        <v>151</v>
      </c>
      <c r="Q1113" s="177" t="s">
        <v>155</v>
      </c>
      <c r="R1113" s="177" t="s">
        <v>9914</v>
      </c>
      <c r="S1113" s="177"/>
      <c r="T1113" s="177" t="s">
        <v>3095</v>
      </c>
      <c r="U1113" s="177" t="s">
        <v>152</v>
      </c>
      <c r="V1113" s="177" t="s">
        <v>18</v>
      </c>
    </row>
    <row r="1114" spans="2:22">
      <c r="B1114" s="251">
        <v>46257</v>
      </c>
      <c r="C1114" s="251">
        <v>46257</v>
      </c>
      <c r="D1114" s="177" t="s">
        <v>9915</v>
      </c>
      <c r="E1114" s="177">
        <v>260100723258</v>
      </c>
      <c r="F1114" s="177" t="s">
        <v>87</v>
      </c>
      <c r="G1114" s="177" t="s">
        <v>7586</v>
      </c>
      <c r="H1114" s="177">
        <v>145</v>
      </c>
      <c r="I1114" s="177">
        <v>307</v>
      </c>
      <c r="J1114" s="177">
        <v>307</v>
      </c>
      <c r="K1114" s="177">
        <v>170</v>
      </c>
      <c r="L1114" s="253">
        <v>630</v>
      </c>
      <c r="M1114" s="177" t="s">
        <v>153</v>
      </c>
      <c r="N1114" s="177" t="s">
        <v>149</v>
      </c>
      <c r="O1114" s="177" t="s">
        <v>154</v>
      </c>
      <c r="P1114" s="177" t="s">
        <v>151</v>
      </c>
      <c r="Q1114" s="177" t="s">
        <v>155</v>
      </c>
      <c r="R1114" s="177" t="s">
        <v>9916</v>
      </c>
      <c r="S1114" s="177"/>
      <c r="T1114" s="177" t="s">
        <v>3095</v>
      </c>
      <c r="U1114" s="177" t="s">
        <v>152</v>
      </c>
      <c r="V1114" s="177" t="s">
        <v>18</v>
      </c>
    </row>
    <row r="1115" spans="2:22">
      <c r="B1115" s="251">
        <v>46257</v>
      </c>
      <c r="C1115" s="251">
        <v>46257</v>
      </c>
      <c r="D1115" s="177" t="s">
        <v>9917</v>
      </c>
      <c r="E1115" s="177">
        <v>260102823260</v>
      </c>
      <c r="F1115" s="177" t="s">
        <v>87</v>
      </c>
      <c r="G1115" s="177" t="s">
        <v>8032</v>
      </c>
      <c r="H1115" s="177">
        <v>102</v>
      </c>
      <c r="I1115" s="177">
        <v>186</v>
      </c>
      <c r="J1115" s="177">
        <v>186</v>
      </c>
      <c r="K1115" s="177">
        <v>130</v>
      </c>
      <c r="L1115" s="253">
        <v>705</v>
      </c>
      <c r="M1115" s="177" t="s">
        <v>153</v>
      </c>
      <c r="N1115" s="177" t="s">
        <v>149</v>
      </c>
      <c r="O1115" s="177" t="s">
        <v>154</v>
      </c>
      <c r="P1115" s="177" t="s">
        <v>151</v>
      </c>
      <c r="Q1115" s="177" t="s">
        <v>155</v>
      </c>
      <c r="R1115" s="177" t="s">
        <v>9918</v>
      </c>
      <c r="S1115" s="177"/>
      <c r="T1115" s="177" t="s">
        <v>3095</v>
      </c>
      <c r="U1115" s="177" t="s">
        <v>152</v>
      </c>
      <c r="V1115" s="177" t="s">
        <v>18</v>
      </c>
    </row>
    <row r="1116" spans="2:22">
      <c r="B1116" s="251">
        <v>46257</v>
      </c>
      <c r="C1116" s="251">
        <v>46257</v>
      </c>
      <c r="D1116" s="177" t="s">
        <v>9919</v>
      </c>
      <c r="E1116" s="177">
        <v>260102723263</v>
      </c>
      <c r="F1116" s="177" t="s">
        <v>87</v>
      </c>
      <c r="G1116" s="177" t="s">
        <v>8032</v>
      </c>
      <c r="H1116" s="177">
        <v>102</v>
      </c>
      <c r="I1116" s="177">
        <v>151</v>
      </c>
      <c r="J1116" s="177">
        <v>151</v>
      </c>
      <c r="K1116" s="177">
        <v>130</v>
      </c>
      <c r="L1116" s="253">
        <v>570</v>
      </c>
      <c r="M1116" s="177" t="s">
        <v>153</v>
      </c>
      <c r="N1116" s="177" t="s">
        <v>149</v>
      </c>
      <c r="O1116" s="177" t="s">
        <v>154</v>
      </c>
      <c r="P1116" s="177" t="s">
        <v>151</v>
      </c>
      <c r="Q1116" s="177" t="s">
        <v>155</v>
      </c>
      <c r="R1116" s="177" t="s">
        <v>9920</v>
      </c>
      <c r="S1116" s="177"/>
      <c r="T1116" s="177" t="s">
        <v>3095</v>
      </c>
      <c r="U1116" s="177" t="s">
        <v>152</v>
      </c>
      <c r="V1116" s="177" t="s">
        <v>18</v>
      </c>
    </row>
    <row r="1117" spans="2:22">
      <c r="B1117" s="251">
        <v>46257</v>
      </c>
      <c r="C1117" s="251">
        <v>46257</v>
      </c>
      <c r="D1117" s="177" t="s">
        <v>9921</v>
      </c>
      <c r="E1117" s="177">
        <v>260101623257</v>
      </c>
      <c r="F1117" s="177" t="s">
        <v>87</v>
      </c>
      <c r="G1117" s="177" t="s">
        <v>2079</v>
      </c>
      <c r="H1117" s="177">
        <v>112</v>
      </c>
      <c r="I1117" s="177">
        <v>395</v>
      </c>
      <c r="J1117" s="177">
        <v>395</v>
      </c>
      <c r="K1117" s="177">
        <v>180</v>
      </c>
      <c r="L1117" s="253">
        <v>1000</v>
      </c>
      <c r="M1117" s="177" t="s">
        <v>153</v>
      </c>
      <c r="N1117" s="177" t="s">
        <v>149</v>
      </c>
      <c r="O1117" s="177" t="s">
        <v>154</v>
      </c>
      <c r="P1117" s="177" t="s">
        <v>151</v>
      </c>
      <c r="Q1117" s="177" t="s">
        <v>155</v>
      </c>
      <c r="R1117" s="177" t="s">
        <v>9922</v>
      </c>
      <c r="S1117" s="177"/>
      <c r="T1117" s="177" t="s">
        <v>3095</v>
      </c>
      <c r="U1117" s="177" t="s">
        <v>152</v>
      </c>
      <c r="V1117" s="177" t="s">
        <v>18</v>
      </c>
    </row>
    <row r="1118" spans="2:22">
      <c r="B1118" s="251">
        <v>46257</v>
      </c>
      <c r="C1118" s="251">
        <v>46257</v>
      </c>
      <c r="D1118" s="177" t="s">
        <v>9923</v>
      </c>
      <c r="E1118" s="177">
        <v>260102623259</v>
      </c>
      <c r="F1118" s="177" t="s">
        <v>87</v>
      </c>
      <c r="G1118" s="177" t="s">
        <v>8032</v>
      </c>
      <c r="H1118" s="177">
        <v>102</v>
      </c>
      <c r="I1118" s="177">
        <v>210</v>
      </c>
      <c r="J1118" s="177">
        <v>210</v>
      </c>
      <c r="K1118" s="177">
        <v>130</v>
      </c>
      <c r="L1118" s="253">
        <v>805</v>
      </c>
      <c r="M1118" s="177" t="s">
        <v>153</v>
      </c>
      <c r="N1118" s="177" t="s">
        <v>149</v>
      </c>
      <c r="O1118" s="177" t="s">
        <v>154</v>
      </c>
      <c r="P1118" s="177" t="s">
        <v>151</v>
      </c>
      <c r="Q1118" s="177" t="s">
        <v>155</v>
      </c>
      <c r="R1118" s="177" t="s">
        <v>9924</v>
      </c>
      <c r="S1118" s="177"/>
      <c r="T1118" s="177" t="s">
        <v>3095</v>
      </c>
      <c r="U1118" s="177" t="s">
        <v>152</v>
      </c>
      <c r="V1118" s="177" t="s">
        <v>18</v>
      </c>
    </row>
    <row r="1119" spans="2:22">
      <c r="B1119" s="251">
        <v>46257</v>
      </c>
      <c r="C1119" s="251">
        <v>46257</v>
      </c>
      <c r="D1119" s="177" t="s">
        <v>9925</v>
      </c>
      <c r="E1119" s="177">
        <v>260101823261</v>
      </c>
      <c r="F1119" s="177" t="s">
        <v>87</v>
      </c>
      <c r="G1119" s="177" t="s">
        <v>8681</v>
      </c>
      <c r="H1119" s="177">
        <v>92</v>
      </c>
      <c r="I1119" s="177">
        <v>250</v>
      </c>
      <c r="J1119" s="177">
        <v>250</v>
      </c>
      <c r="K1119" s="177">
        <v>134</v>
      </c>
      <c r="L1119" s="253">
        <v>1010</v>
      </c>
      <c r="M1119" s="177" t="s">
        <v>153</v>
      </c>
      <c r="N1119" s="177" t="s">
        <v>149</v>
      </c>
      <c r="O1119" s="177" t="s">
        <v>154</v>
      </c>
      <c r="P1119" s="177" t="s">
        <v>151</v>
      </c>
      <c r="Q1119" s="177" t="s">
        <v>155</v>
      </c>
      <c r="R1119" s="177" t="s">
        <v>9926</v>
      </c>
      <c r="S1119" s="177"/>
      <c r="T1119" s="177" t="s">
        <v>3095</v>
      </c>
      <c r="U1119" s="177" t="s">
        <v>152</v>
      </c>
      <c r="V1119" s="177" t="s">
        <v>18</v>
      </c>
    </row>
    <row r="1120" spans="2:22">
      <c r="B1120" s="251">
        <v>46257</v>
      </c>
      <c r="C1120" s="251">
        <v>46257</v>
      </c>
      <c r="D1120" s="177" t="s">
        <v>9927</v>
      </c>
      <c r="E1120" s="177">
        <v>260102023262</v>
      </c>
      <c r="F1120" s="177" t="s">
        <v>87</v>
      </c>
      <c r="G1120" s="177" t="s">
        <v>8681</v>
      </c>
      <c r="H1120" s="177">
        <v>92</v>
      </c>
      <c r="I1120" s="177">
        <v>228</v>
      </c>
      <c r="J1120" s="177">
        <v>228</v>
      </c>
      <c r="K1120" s="177">
        <v>134</v>
      </c>
      <c r="L1120" s="253">
        <v>930</v>
      </c>
      <c r="M1120" s="177" t="s">
        <v>153</v>
      </c>
      <c r="N1120" s="177" t="s">
        <v>149</v>
      </c>
      <c r="O1120" s="177" t="s">
        <v>154</v>
      </c>
      <c r="P1120" s="177" t="s">
        <v>151</v>
      </c>
      <c r="Q1120" s="177" t="s">
        <v>155</v>
      </c>
      <c r="R1120" s="177" t="s">
        <v>9928</v>
      </c>
      <c r="S1120" s="177"/>
      <c r="T1120" s="177" t="s">
        <v>3095</v>
      </c>
      <c r="U1120" s="177" t="s">
        <v>152</v>
      </c>
      <c r="V1120" s="177" t="s">
        <v>18</v>
      </c>
    </row>
    <row r="1121" spans="2:22">
      <c r="B1121" s="251">
        <v>46257</v>
      </c>
      <c r="C1121" s="251">
        <v>46257</v>
      </c>
      <c r="D1121" s="177" t="s">
        <v>9929</v>
      </c>
      <c r="E1121" s="177">
        <v>260102523254</v>
      </c>
      <c r="F1121" s="177" t="s">
        <v>87</v>
      </c>
      <c r="G1121" s="177" t="s">
        <v>8032</v>
      </c>
      <c r="H1121" s="177">
        <v>102</v>
      </c>
      <c r="I1121" s="177">
        <v>284</v>
      </c>
      <c r="J1121" s="177">
        <v>284</v>
      </c>
      <c r="K1121" s="177">
        <v>130</v>
      </c>
      <c r="L1121" s="253">
        <v>1050</v>
      </c>
      <c r="M1121" s="177" t="s">
        <v>153</v>
      </c>
      <c r="N1121" s="177" t="s">
        <v>149</v>
      </c>
      <c r="O1121" s="177" t="s">
        <v>154</v>
      </c>
      <c r="P1121" s="177" t="s">
        <v>151</v>
      </c>
      <c r="Q1121" s="177" t="s">
        <v>155</v>
      </c>
      <c r="R1121" s="177" t="s">
        <v>9930</v>
      </c>
      <c r="S1121" s="177"/>
      <c r="T1121" s="177" t="s">
        <v>3095</v>
      </c>
      <c r="U1121" s="177" t="s">
        <v>152</v>
      </c>
      <c r="V1121" s="177" t="s">
        <v>18</v>
      </c>
    </row>
    <row r="1122" spans="2:22">
      <c r="B1122" s="251">
        <v>46257</v>
      </c>
      <c r="C1122" s="251">
        <v>46257</v>
      </c>
      <c r="D1122" s="177" t="s">
        <v>9931</v>
      </c>
      <c r="E1122" s="177">
        <v>260102423253</v>
      </c>
      <c r="F1122" s="177" t="s">
        <v>87</v>
      </c>
      <c r="G1122" s="177" t="s">
        <v>8032</v>
      </c>
      <c r="H1122" s="177">
        <v>102</v>
      </c>
      <c r="I1122" s="177">
        <v>269</v>
      </c>
      <c r="J1122" s="177">
        <v>269</v>
      </c>
      <c r="K1122" s="177">
        <v>130</v>
      </c>
      <c r="L1122" s="253">
        <v>1000</v>
      </c>
      <c r="M1122" s="177" t="s">
        <v>153</v>
      </c>
      <c r="N1122" s="177" t="s">
        <v>149</v>
      </c>
      <c r="O1122" s="177" t="s">
        <v>154</v>
      </c>
      <c r="P1122" s="177" t="s">
        <v>151</v>
      </c>
      <c r="Q1122" s="177" t="s">
        <v>155</v>
      </c>
      <c r="R1122" s="177" t="s">
        <v>9932</v>
      </c>
      <c r="S1122" s="177"/>
      <c r="T1122" s="177" t="s">
        <v>3095</v>
      </c>
      <c r="U1122" s="177" t="s">
        <v>152</v>
      </c>
      <c r="V1122" s="177" t="s">
        <v>18</v>
      </c>
    </row>
    <row r="1123" spans="2:22">
      <c r="B1123" s="251">
        <v>46257</v>
      </c>
      <c r="C1123" s="251">
        <v>46257</v>
      </c>
      <c r="D1123" s="177" t="s">
        <v>9933</v>
      </c>
      <c r="E1123" s="177">
        <v>260101723256</v>
      </c>
      <c r="F1123" s="177" t="s">
        <v>87</v>
      </c>
      <c r="G1123" s="177" t="s">
        <v>8681</v>
      </c>
      <c r="H1123" s="177">
        <v>92</v>
      </c>
      <c r="I1123" s="177">
        <v>267</v>
      </c>
      <c r="J1123" s="177">
        <v>267</v>
      </c>
      <c r="K1123" s="177">
        <v>134</v>
      </c>
      <c r="L1123" s="253">
        <v>1075</v>
      </c>
      <c r="M1123" s="177" t="s">
        <v>153</v>
      </c>
      <c r="N1123" s="177" t="s">
        <v>149</v>
      </c>
      <c r="O1123" s="177" t="s">
        <v>154</v>
      </c>
      <c r="P1123" s="177" t="s">
        <v>151</v>
      </c>
      <c r="Q1123" s="177" t="s">
        <v>155</v>
      </c>
      <c r="R1123" s="177" t="s">
        <v>9934</v>
      </c>
      <c r="S1123" s="177"/>
      <c r="T1123" s="177" t="s">
        <v>3095</v>
      </c>
      <c r="U1123" s="177" t="s">
        <v>152</v>
      </c>
      <c r="V1123" s="177" t="s">
        <v>18</v>
      </c>
    </row>
    <row r="1124" spans="2:22">
      <c r="B1124" s="251">
        <v>46257</v>
      </c>
      <c r="C1124" s="251">
        <v>46257</v>
      </c>
      <c r="D1124" s="177" t="s">
        <v>9935</v>
      </c>
      <c r="E1124" s="177" t="s">
        <v>9936</v>
      </c>
      <c r="F1124" s="177" t="s">
        <v>87</v>
      </c>
      <c r="G1124" s="177" t="s">
        <v>2414</v>
      </c>
      <c r="H1124" s="177" t="s">
        <v>2196</v>
      </c>
      <c r="I1124" s="177">
        <v>166</v>
      </c>
      <c r="J1124" s="177">
        <v>166</v>
      </c>
      <c r="K1124" s="177">
        <v>55</v>
      </c>
      <c r="L1124" s="253">
        <v>4485</v>
      </c>
      <c r="M1124" s="177" t="s">
        <v>153</v>
      </c>
      <c r="N1124" s="177" t="s">
        <v>149</v>
      </c>
      <c r="O1124" s="177" t="s">
        <v>154</v>
      </c>
      <c r="P1124" s="177" t="s">
        <v>151</v>
      </c>
      <c r="Q1124" s="177" t="s">
        <v>156</v>
      </c>
      <c r="R1124" s="177" t="s">
        <v>9937</v>
      </c>
      <c r="S1124" s="177"/>
      <c r="T1124" s="177" t="s">
        <v>3095</v>
      </c>
      <c r="U1124" s="177" t="s">
        <v>152</v>
      </c>
      <c r="V1124" s="177" t="s">
        <v>20</v>
      </c>
    </row>
    <row r="1125" spans="2:22">
      <c r="B1125" s="251">
        <v>46257</v>
      </c>
      <c r="C1125" s="251">
        <v>46257</v>
      </c>
      <c r="D1125" s="177" t="s">
        <v>9938</v>
      </c>
      <c r="E1125" s="177" t="s">
        <v>9936</v>
      </c>
      <c r="F1125" s="177" t="s">
        <v>87</v>
      </c>
      <c r="G1125" s="177" t="s">
        <v>2414</v>
      </c>
      <c r="H1125" s="177" t="s">
        <v>2196</v>
      </c>
      <c r="I1125" s="177">
        <v>169</v>
      </c>
      <c r="J1125" s="177">
        <v>169</v>
      </c>
      <c r="K1125" s="177">
        <v>55</v>
      </c>
      <c r="L1125" s="253">
        <v>4485</v>
      </c>
      <c r="M1125" s="177" t="s">
        <v>153</v>
      </c>
      <c r="N1125" s="177" t="s">
        <v>149</v>
      </c>
      <c r="O1125" s="177" t="s">
        <v>154</v>
      </c>
      <c r="P1125" s="177" t="s">
        <v>151</v>
      </c>
      <c r="Q1125" s="177" t="s">
        <v>156</v>
      </c>
      <c r="R1125" s="177" t="s">
        <v>9939</v>
      </c>
      <c r="S1125" s="177"/>
      <c r="T1125" s="177" t="s">
        <v>3095</v>
      </c>
      <c r="U1125" s="177" t="s">
        <v>152</v>
      </c>
      <c r="V1125" s="177" t="s">
        <v>20</v>
      </c>
    </row>
    <row r="1126" spans="2:22">
      <c r="B1126" s="251">
        <v>46258</v>
      </c>
      <c r="C1126" s="251">
        <v>46258</v>
      </c>
      <c r="D1126" s="177" t="s">
        <v>9940</v>
      </c>
      <c r="E1126" s="177">
        <v>260101423272</v>
      </c>
      <c r="F1126" s="177" t="s">
        <v>87</v>
      </c>
      <c r="G1126" s="177" t="s">
        <v>824</v>
      </c>
      <c r="H1126" s="177">
        <v>152</v>
      </c>
      <c r="I1126" s="177">
        <v>227</v>
      </c>
      <c r="J1126" s="177">
        <v>227</v>
      </c>
      <c r="K1126" s="177">
        <v>104</v>
      </c>
      <c r="L1126" s="253">
        <v>1500</v>
      </c>
      <c r="M1126" s="177" t="s">
        <v>153</v>
      </c>
      <c r="N1126" s="177" t="s">
        <v>149</v>
      </c>
      <c r="O1126" s="177" t="s">
        <v>154</v>
      </c>
      <c r="P1126" s="177" t="s">
        <v>151</v>
      </c>
      <c r="Q1126" s="177" t="s">
        <v>155</v>
      </c>
      <c r="R1126" s="177" t="s">
        <v>9941</v>
      </c>
      <c r="S1126" s="177"/>
      <c r="T1126" s="177" t="s">
        <v>3104</v>
      </c>
      <c r="U1126" s="177" t="s">
        <v>152</v>
      </c>
      <c r="V1126" s="177" t="s">
        <v>18</v>
      </c>
    </row>
    <row r="1127" spans="2:22">
      <c r="B1127" s="251">
        <v>46258</v>
      </c>
      <c r="C1127" s="251">
        <v>46258</v>
      </c>
      <c r="D1127" s="177" t="s">
        <v>9942</v>
      </c>
      <c r="E1127" s="177">
        <v>260104623275</v>
      </c>
      <c r="F1127" s="177" t="s">
        <v>87</v>
      </c>
      <c r="G1127" s="177" t="s">
        <v>824</v>
      </c>
      <c r="H1127" s="177">
        <v>152</v>
      </c>
      <c r="I1127" s="177">
        <v>225</v>
      </c>
      <c r="J1127" s="177">
        <v>225</v>
      </c>
      <c r="K1127" s="177">
        <v>104</v>
      </c>
      <c r="L1127" s="253">
        <v>1500</v>
      </c>
      <c r="M1127" s="177" t="s">
        <v>153</v>
      </c>
      <c r="N1127" s="177" t="s">
        <v>149</v>
      </c>
      <c r="O1127" s="177" t="s">
        <v>154</v>
      </c>
      <c r="P1127" s="177" t="s">
        <v>151</v>
      </c>
      <c r="Q1127" s="177" t="s">
        <v>155</v>
      </c>
      <c r="R1127" s="177" t="s">
        <v>9943</v>
      </c>
      <c r="S1127" s="177"/>
      <c r="T1127" s="177" t="s">
        <v>3104</v>
      </c>
      <c r="U1127" s="177" t="s">
        <v>152</v>
      </c>
      <c r="V1127" s="177" t="s">
        <v>18</v>
      </c>
    </row>
    <row r="1128" spans="2:22">
      <c r="B1128" s="251">
        <v>46258</v>
      </c>
      <c r="C1128" s="251">
        <v>46258</v>
      </c>
      <c r="D1128" s="177" t="s">
        <v>9944</v>
      </c>
      <c r="E1128" s="177">
        <v>260107323282</v>
      </c>
      <c r="F1128" s="177" t="s">
        <v>87</v>
      </c>
      <c r="G1128" s="177" t="s">
        <v>2530</v>
      </c>
      <c r="H1128" s="177">
        <v>162</v>
      </c>
      <c r="I1128" s="177">
        <v>317</v>
      </c>
      <c r="J1128" s="177">
        <v>317</v>
      </c>
      <c r="K1128" s="177">
        <v>102</v>
      </c>
      <c r="L1128" s="253">
        <v>1950</v>
      </c>
      <c r="M1128" s="177" t="s">
        <v>153</v>
      </c>
      <c r="N1128" s="177" t="s">
        <v>149</v>
      </c>
      <c r="O1128" s="177" t="s">
        <v>154</v>
      </c>
      <c r="P1128" s="177" t="s">
        <v>151</v>
      </c>
      <c r="Q1128" s="177" t="s">
        <v>155</v>
      </c>
      <c r="R1128" s="177" t="s">
        <v>9945</v>
      </c>
      <c r="S1128" s="177"/>
      <c r="T1128" s="177" t="s">
        <v>3104</v>
      </c>
      <c r="U1128" s="177" t="s">
        <v>152</v>
      </c>
      <c r="V1128" s="177" t="s">
        <v>18</v>
      </c>
    </row>
    <row r="1129" spans="2:22">
      <c r="B1129" s="251">
        <v>46258</v>
      </c>
      <c r="C1129" s="251">
        <v>46258</v>
      </c>
      <c r="D1129" s="177" t="s">
        <v>9946</v>
      </c>
      <c r="E1129" s="177">
        <v>260103823301</v>
      </c>
      <c r="F1129" s="177" t="s">
        <v>87</v>
      </c>
      <c r="G1129" s="177" t="s">
        <v>824</v>
      </c>
      <c r="H1129" s="177">
        <v>152</v>
      </c>
      <c r="I1129" s="177">
        <v>227</v>
      </c>
      <c r="J1129" s="177">
        <v>227</v>
      </c>
      <c r="K1129" s="177">
        <v>104</v>
      </c>
      <c r="L1129" s="253">
        <v>1500</v>
      </c>
      <c r="M1129" s="177" t="s">
        <v>153</v>
      </c>
      <c r="N1129" s="177" t="s">
        <v>149</v>
      </c>
      <c r="O1129" s="177" t="s">
        <v>154</v>
      </c>
      <c r="P1129" s="177" t="s">
        <v>151</v>
      </c>
      <c r="Q1129" s="177" t="s">
        <v>155</v>
      </c>
      <c r="R1129" s="177" t="s">
        <v>9947</v>
      </c>
      <c r="S1129" s="177"/>
      <c r="T1129" s="177" t="s">
        <v>3104</v>
      </c>
      <c r="U1129" s="177" t="s">
        <v>152</v>
      </c>
      <c r="V1129" s="177" t="s">
        <v>18</v>
      </c>
    </row>
    <row r="1130" spans="2:22">
      <c r="B1130" s="251">
        <v>46258</v>
      </c>
      <c r="C1130" s="251">
        <v>46258</v>
      </c>
      <c r="D1130" s="177" t="s">
        <v>9948</v>
      </c>
      <c r="E1130" s="177">
        <v>260107123283</v>
      </c>
      <c r="F1130" s="177" t="s">
        <v>87</v>
      </c>
      <c r="G1130" s="177" t="s">
        <v>8692</v>
      </c>
      <c r="H1130" s="177">
        <v>140</v>
      </c>
      <c r="I1130" s="177">
        <v>211</v>
      </c>
      <c r="J1130" s="177">
        <v>211</v>
      </c>
      <c r="K1130" s="177">
        <v>88</v>
      </c>
      <c r="L1130" s="253">
        <v>1780</v>
      </c>
      <c r="M1130" s="177" t="s">
        <v>153</v>
      </c>
      <c r="N1130" s="177" t="s">
        <v>149</v>
      </c>
      <c r="O1130" s="177" t="s">
        <v>154</v>
      </c>
      <c r="P1130" s="177" t="s">
        <v>151</v>
      </c>
      <c r="Q1130" s="177" t="s">
        <v>155</v>
      </c>
      <c r="R1130" s="177" t="s">
        <v>9949</v>
      </c>
      <c r="S1130" s="177"/>
      <c r="T1130" s="177" t="s">
        <v>3104</v>
      </c>
      <c r="U1130" s="177" t="s">
        <v>152</v>
      </c>
      <c r="V1130" s="177" t="s">
        <v>18</v>
      </c>
    </row>
    <row r="1131" spans="2:22">
      <c r="B1131" s="251">
        <v>46258</v>
      </c>
      <c r="C1131" s="251">
        <v>46258</v>
      </c>
      <c r="D1131" s="177" t="s">
        <v>9950</v>
      </c>
      <c r="E1131" s="177">
        <v>260101423271</v>
      </c>
      <c r="F1131" s="177" t="s">
        <v>87</v>
      </c>
      <c r="G1131" s="177" t="s">
        <v>824</v>
      </c>
      <c r="H1131" s="177">
        <v>152</v>
      </c>
      <c r="I1131" s="177">
        <v>229</v>
      </c>
      <c r="J1131" s="177">
        <v>229</v>
      </c>
      <c r="K1131" s="177">
        <v>104</v>
      </c>
      <c r="L1131" s="253">
        <v>1500</v>
      </c>
      <c r="M1131" s="177" t="s">
        <v>153</v>
      </c>
      <c r="N1131" s="177" t="s">
        <v>149</v>
      </c>
      <c r="O1131" s="177" t="s">
        <v>154</v>
      </c>
      <c r="P1131" s="177" t="s">
        <v>151</v>
      </c>
      <c r="Q1131" s="177" t="s">
        <v>155</v>
      </c>
      <c r="R1131" s="177" t="s">
        <v>9951</v>
      </c>
      <c r="S1131" s="177"/>
      <c r="T1131" s="177" t="s">
        <v>3104</v>
      </c>
      <c r="U1131" s="177" t="s">
        <v>152</v>
      </c>
      <c r="V1131" s="177" t="s">
        <v>18</v>
      </c>
    </row>
    <row r="1132" spans="2:22">
      <c r="B1132" s="251">
        <v>46258</v>
      </c>
      <c r="C1132" s="251">
        <v>46258</v>
      </c>
      <c r="D1132" s="177" t="s">
        <v>9952</v>
      </c>
      <c r="E1132" s="177">
        <v>260101723295</v>
      </c>
      <c r="F1132" s="177" t="s">
        <v>87</v>
      </c>
      <c r="G1132" s="177" t="s">
        <v>8681</v>
      </c>
      <c r="H1132" s="177">
        <v>92</v>
      </c>
      <c r="I1132" s="177">
        <v>248</v>
      </c>
      <c r="J1132" s="177">
        <v>248</v>
      </c>
      <c r="K1132" s="177">
        <v>134</v>
      </c>
      <c r="L1132" s="253">
        <v>1000</v>
      </c>
      <c r="M1132" s="177" t="s">
        <v>153</v>
      </c>
      <c r="N1132" s="177" t="s">
        <v>149</v>
      </c>
      <c r="O1132" s="177" t="s">
        <v>154</v>
      </c>
      <c r="P1132" s="177" t="s">
        <v>151</v>
      </c>
      <c r="Q1132" s="177" t="s">
        <v>155</v>
      </c>
      <c r="R1132" s="177" t="s">
        <v>9953</v>
      </c>
      <c r="S1132" s="177"/>
      <c r="T1132" s="177" t="s">
        <v>3104</v>
      </c>
      <c r="U1132" s="177" t="s">
        <v>152</v>
      </c>
      <c r="V1132" s="177" t="s">
        <v>18</v>
      </c>
    </row>
    <row r="1133" spans="2:22">
      <c r="B1133" s="251">
        <v>46258</v>
      </c>
      <c r="C1133" s="251">
        <v>46258</v>
      </c>
      <c r="D1133" s="177" t="s">
        <v>9954</v>
      </c>
      <c r="E1133" s="177">
        <v>260101423269</v>
      </c>
      <c r="F1133" s="177" t="s">
        <v>87</v>
      </c>
      <c r="G1133" s="177" t="s">
        <v>824</v>
      </c>
      <c r="H1133" s="177">
        <v>152</v>
      </c>
      <c r="I1133" s="177">
        <v>230</v>
      </c>
      <c r="J1133" s="177">
        <v>230</v>
      </c>
      <c r="K1133" s="177">
        <v>104</v>
      </c>
      <c r="L1133" s="253">
        <v>1500</v>
      </c>
      <c r="M1133" s="177" t="s">
        <v>153</v>
      </c>
      <c r="N1133" s="177" t="s">
        <v>149</v>
      </c>
      <c r="O1133" s="177" t="s">
        <v>154</v>
      </c>
      <c r="P1133" s="177" t="s">
        <v>151</v>
      </c>
      <c r="Q1133" s="177" t="s">
        <v>155</v>
      </c>
      <c r="R1133" s="177" t="s">
        <v>9955</v>
      </c>
      <c r="S1133" s="177"/>
      <c r="T1133" s="177" t="s">
        <v>3104</v>
      </c>
      <c r="U1133" s="177" t="s">
        <v>152</v>
      </c>
      <c r="V1133" s="177" t="s">
        <v>18</v>
      </c>
    </row>
    <row r="1134" spans="2:22">
      <c r="B1134" s="251">
        <v>46258</v>
      </c>
      <c r="C1134" s="251">
        <v>46258</v>
      </c>
      <c r="D1134" s="177" t="s">
        <v>9956</v>
      </c>
      <c r="E1134" s="177">
        <v>260102523294</v>
      </c>
      <c r="F1134" s="177" t="s">
        <v>87</v>
      </c>
      <c r="G1134" s="177" t="s">
        <v>8032</v>
      </c>
      <c r="H1134" s="177">
        <v>102</v>
      </c>
      <c r="I1134" s="177">
        <v>266</v>
      </c>
      <c r="J1134" s="177">
        <v>266</v>
      </c>
      <c r="K1134" s="177">
        <v>130</v>
      </c>
      <c r="L1134" s="253">
        <v>1000</v>
      </c>
      <c r="M1134" s="177" t="s">
        <v>153</v>
      </c>
      <c r="N1134" s="177" t="s">
        <v>149</v>
      </c>
      <c r="O1134" s="177" t="s">
        <v>154</v>
      </c>
      <c r="P1134" s="177" t="s">
        <v>151</v>
      </c>
      <c r="Q1134" s="177" t="s">
        <v>155</v>
      </c>
      <c r="R1134" s="177" t="s">
        <v>9957</v>
      </c>
      <c r="S1134" s="177"/>
      <c r="T1134" s="177" t="s">
        <v>3104</v>
      </c>
      <c r="U1134" s="177" t="s">
        <v>152</v>
      </c>
      <c r="V1134" s="177" t="s">
        <v>18</v>
      </c>
    </row>
    <row r="1135" spans="2:22">
      <c r="B1135" s="251">
        <v>46258</v>
      </c>
      <c r="C1135" s="251">
        <v>46258</v>
      </c>
      <c r="D1135" s="177" t="s">
        <v>9958</v>
      </c>
      <c r="E1135" s="177">
        <v>260105223313</v>
      </c>
      <c r="F1135" s="177" t="s">
        <v>87</v>
      </c>
      <c r="G1135" s="177" t="s">
        <v>2527</v>
      </c>
      <c r="H1135" s="177">
        <v>152</v>
      </c>
      <c r="I1135" s="177">
        <v>237</v>
      </c>
      <c r="J1135" s="177">
        <v>237</v>
      </c>
      <c r="K1135" s="177">
        <v>104</v>
      </c>
      <c r="L1135" s="253">
        <v>1520</v>
      </c>
      <c r="M1135" s="177" t="s">
        <v>153</v>
      </c>
      <c r="N1135" s="177" t="s">
        <v>149</v>
      </c>
      <c r="O1135" s="177" t="s">
        <v>154</v>
      </c>
      <c r="P1135" s="177" t="s">
        <v>151</v>
      </c>
      <c r="Q1135" s="177" t="s">
        <v>155</v>
      </c>
      <c r="R1135" s="177" t="s">
        <v>9959</v>
      </c>
      <c r="S1135" s="177"/>
      <c r="T1135" s="177" t="s">
        <v>3104</v>
      </c>
      <c r="U1135" s="177" t="s">
        <v>152</v>
      </c>
      <c r="V1135" s="177" t="s">
        <v>18</v>
      </c>
    </row>
    <row r="1136" spans="2:22">
      <c r="B1136" s="251">
        <v>46258</v>
      </c>
      <c r="C1136" s="251">
        <v>46258</v>
      </c>
      <c r="D1136" s="177" t="s">
        <v>9960</v>
      </c>
      <c r="E1136" s="177">
        <v>260105423314</v>
      </c>
      <c r="F1136" s="177" t="s">
        <v>87</v>
      </c>
      <c r="G1136" s="177" t="s">
        <v>2364</v>
      </c>
      <c r="H1136" s="177">
        <v>142</v>
      </c>
      <c r="I1136" s="177">
        <v>150</v>
      </c>
      <c r="J1136" s="177">
        <v>150</v>
      </c>
      <c r="K1136" s="177">
        <v>67</v>
      </c>
      <c r="L1136" s="253">
        <v>1630</v>
      </c>
      <c r="M1136" s="177" t="s">
        <v>153</v>
      </c>
      <c r="N1136" s="177" t="s">
        <v>149</v>
      </c>
      <c r="O1136" s="177" t="s">
        <v>154</v>
      </c>
      <c r="P1136" s="177" t="s">
        <v>151</v>
      </c>
      <c r="Q1136" s="177" t="s">
        <v>155</v>
      </c>
      <c r="R1136" s="177" t="s">
        <v>9961</v>
      </c>
      <c r="S1136" s="177"/>
      <c r="T1136" s="177" t="s">
        <v>3104</v>
      </c>
      <c r="U1136" s="177" t="s">
        <v>152</v>
      </c>
      <c r="V1136" s="177" t="s">
        <v>18</v>
      </c>
    </row>
    <row r="1137" spans="2:22">
      <c r="B1137" s="251">
        <v>46258</v>
      </c>
      <c r="C1137" s="251">
        <v>46258</v>
      </c>
      <c r="D1137" s="177" t="s">
        <v>9962</v>
      </c>
      <c r="E1137" s="177">
        <v>260107423318</v>
      </c>
      <c r="F1137" s="177" t="s">
        <v>87</v>
      </c>
      <c r="G1137" s="177" t="s">
        <v>2304</v>
      </c>
      <c r="H1137" s="177">
        <v>132</v>
      </c>
      <c r="I1137" s="177">
        <v>326</v>
      </c>
      <c r="J1137" s="177">
        <v>326</v>
      </c>
      <c r="K1137" s="177">
        <v>97</v>
      </c>
      <c r="L1137" s="253">
        <v>2650</v>
      </c>
      <c r="M1137" s="177" t="s">
        <v>153</v>
      </c>
      <c r="N1137" s="177" t="s">
        <v>149</v>
      </c>
      <c r="O1137" s="177" t="s">
        <v>154</v>
      </c>
      <c r="P1137" s="177" t="s">
        <v>151</v>
      </c>
      <c r="Q1137" s="177" t="s">
        <v>155</v>
      </c>
      <c r="R1137" s="177" t="s">
        <v>9963</v>
      </c>
      <c r="S1137" s="177"/>
      <c r="T1137" s="177" t="s">
        <v>3104</v>
      </c>
      <c r="U1137" s="177" t="s">
        <v>152</v>
      </c>
      <c r="V1137" s="177" t="s">
        <v>18</v>
      </c>
    </row>
    <row r="1138" spans="2:22">
      <c r="B1138" s="251">
        <v>46258</v>
      </c>
      <c r="C1138" s="251">
        <v>46258</v>
      </c>
      <c r="D1138" s="177" t="s">
        <v>9964</v>
      </c>
      <c r="E1138" s="177">
        <v>260102323297</v>
      </c>
      <c r="F1138" s="177" t="s">
        <v>87</v>
      </c>
      <c r="G1138" s="177" t="s">
        <v>8032</v>
      </c>
      <c r="H1138" s="177">
        <v>102</v>
      </c>
      <c r="I1138" s="177">
        <v>266</v>
      </c>
      <c r="J1138" s="177">
        <v>266</v>
      </c>
      <c r="K1138" s="177">
        <v>130</v>
      </c>
      <c r="L1138" s="253">
        <v>1000</v>
      </c>
      <c r="M1138" s="177" t="s">
        <v>153</v>
      </c>
      <c r="N1138" s="177" t="s">
        <v>149</v>
      </c>
      <c r="O1138" s="177" t="s">
        <v>154</v>
      </c>
      <c r="P1138" s="177" t="s">
        <v>151</v>
      </c>
      <c r="Q1138" s="177" t="s">
        <v>155</v>
      </c>
      <c r="R1138" s="177" t="s">
        <v>9965</v>
      </c>
      <c r="S1138" s="177"/>
      <c r="T1138" s="177" t="s">
        <v>3104</v>
      </c>
      <c r="U1138" s="177" t="s">
        <v>152</v>
      </c>
      <c r="V1138" s="177" t="s">
        <v>18</v>
      </c>
    </row>
    <row r="1139" spans="2:22">
      <c r="B1139" s="251">
        <v>46258</v>
      </c>
      <c r="C1139" s="251">
        <v>46258</v>
      </c>
      <c r="D1139" s="177" t="s">
        <v>9966</v>
      </c>
      <c r="E1139" s="177">
        <v>260102223298</v>
      </c>
      <c r="F1139" s="177" t="s">
        <v>87</v>
      </c>
      <c r="G1139" s="177" t="s">
        <v>9731</v>
      </c>
      <c r="H1139" s="177">
        <v>102</v>
      </c>
      <c r="I1139" s="177">
        <v>256</v>
      </c>
      <c r="J1139" s="177">
        <v>256</v>
      </c>
      <c r="K1139" s="177">
        <v>130</v>
      </c>
      <c r="L1139" s="253">
        <v>1000</v>
      </c>
      <c r="M1139" s="177" t="s">
        <v>153</v>
      </c>
      <c r="N1139" s="177" t="s">
        <v>149</v>
      </c>
      <c r="O1139" s="177" t="s">
        <v>154</v>
      </c>
      <c r="P1139" s="177" t="s">
        <v>151</v>
      </c>
      <c r="Q1139" s="177" t="s">
        <v>155</v>
      </c>
      <c r="R1139" s="177" t="s">
        <v>9967</v>
      </c>
      <c r="S1139" s="177"/>
      <c r="T1139" s="177" t="s">
        <v>3104</v>
      </c>
      <c r="U1139" s="177" t="s">
        <v>152</v>
      </c>
      <c r="V1139" s="177" t="s">
        <v>18</v>
      </c>
    </row>
    <row r="1140" spans="2:22">
      <c r="B1140" s="251">
        <v>46258</v>
      </c>
      <c r="C1140" s="251">
        <v>46258</v>
      </c>
      <c r="D1140" s="177" t="s">
        <v>9968</v>
      </c>
      <c r="E1140" s="177">
        <v>260105023311</v>
      </c>
      <c r="F1140" s="177" t="s">
        <v>87</v>
      </c>
      <c r="G1140" s="177" t="s">
        <v>2407</v>
      </c>
      <c r="H1140" s="177">
        <v>160</v>
      </c>
      <c r="I1140" s="177">
        <v>290</v>
      </c>
      <c r="J1140" s="177">
        <v>290</v>
      </c>
      <c r="K1140" s="177">
        <v>102</v>
      </c>
      <c r="L1140" s="253">
        <v>1800</v>
      </c>
      <c r="M1140" s="177" t="s">
        <v>153</v>
      </c>
      <c r="N1140" s="177" t="s">
        <v>149</v>
      </c>
      <c r="O1140" s="177" t="s">
        <v>154</v>
      </c>
      <c r="P1140" s="177" t="s">
        <v>151</v>
      </c>
      <c r="Q1140" s="177" t="s">
        <v>155</v>
      </c>
      <c r="R1140" s="177" t="s">
        <v>9969</v>
      </c>
      <c r="S1140" s="177"/>
      <c r="T1140" s="177" t="s">
        <v>3104</v>
      </c>
      <c r="U1140" s="177" t="s">
        <v>152</v>
      </c>
      <c r="V1140" s="177" t="s">
        <v>18</v>
      </c>
    </row>
    <row r="1141" spans="2:22">
      <c r="B1141" s="251">
        <v>46258</v>
      </c>
      <c r="C1141" s="251">
        <v>46258</v>
      </c>
      <c r="D1141" s="177" t="s">
        <v>9970</v>
      </c>
      <c r="E1141" s="177">
        <v>260103723303</v>
      </c>
      <c r="F1141" s="177" t="s">
        <v>87</v>
      </c>
      <c r="G1141" s="177" t="s">
        <v>8646</v>
      </c>
      <c r="H1141" s="177">
        <v>135</v>
      </c>
      <c r="I1141" s="177">
        <v>197</v>
      </c>
      <c r="J1141" s="177">
        <v>197</v>
      </c>
      <c r="K1141" s="177">
        <v>97</v>
      </c>
      <c r="L1141" s="253">
        <v>1500</v>
      </c>
      <c r="M1141" s="177" t="s">
        <v>153</v>
      </c>
      <c r="N1141" s="177" t="s">
        <v>149</v>
      </c>
      <c r="O1141" s="177" t="s">
        <v>154</v>
      </c>
      <c r="P1141" s="177" t="s">
        <v>151</v>
      </c>
      <c r="Q1141" s="177" t="s">
        <v>155</v>
      </c>
      <c r="R1141" s="177" t="s">
        <v>9971</v>
      </c>
      <c r="S1141" s="177"/>
      <c r="T1141" s="177" t="s">
        <v>3104</v>
      </c>
      <c r="U1141" s="177" t="s">
        <v>152</v>
      </c>
      <c r="V1141" s="177" t="s">
        <v>18</v>
      </c>
    </row>
    <row r="1142" spans="2:22">
      <c r="B1142" s="251">
        <v>46258</v>
      </c>
      <c r="C1142" s="251">
        <v>46258</v>
      </c>
      <c r="D1142" s="177" t="s">
        <v>9972</v>
      </c>
      <c r="E1142" s="177">
        <v>260105823310</v>
      </c>
      <c r="F1142" s="177" t="s">
        <v>87</v>
      </c>
      <c r="G1142" s="177" t="s">
        <v>824</v>
      </c>
      <c r="H1142" s="177">
        <v>152</v>
      </c>
      <c r="I1142" s="177">
        <v>231</v>
      </c>
      <c r="J1142" s="177">
        <v>231</v>
      </c>
      <c r="K1142" s="177">
        <v>104</v>
      </c>
      <c r="L1142" s="253">
        <v>1500</v>
      </c>
      <c r="M1142" s="177" t="s">
        <v>153</v>
      </c>
      <c r="N1142" s="177" t="s">
        <v>149</v>
      </c>
      <c r="O1142" s="177" t="s">
        <v>154</v>
      </c>
      <c r="P1142" s="177" t="s">
        <v>151</v>
      </c>
      <c r="Q1142" s="177" t="s">
        <v>155</v>
      </c>
      <c r="R1142" s="177" t="s">
        <v>9973</v>
      </c>
      <c r="S1142" s="177"/>
      <c r="T1142" s="177" t="s">
        <v>3104</v>
      </c>
      <c r="U1142" s="177" t="s">
        <v>152</v>
      </c>
      <c r="V1142" s="177" t="s">
        <v>18</v>
      </c>
    </row>
    <row r="1143" spans="2:22">
      <c r="B1143" s="251">
        <v>46258</v>
      </c>
      <c r="C1143" s="251">
        <v>46258</v>
      </c>
      <c r="D1143" s="177" t="s">
        <v>9974</v>
      </c>
      <c r="E1143" s="177">
        <v>260102423296</v>
      </c>
      <c r="F1143" s="177" t="s">
        <v>87</v>
      </c>
      <c r="G1143" s="177" t="s">
        <v>8032</v>
      </c>
      <c r="H1143" s="177">
        <v>102</v>
      </c>
      <c r="I1143" s="177">
        <v>265</v>
      </c>
      <c r="J1143" s="177">
        <v>265</v>
      </c>
      <c r="K1143" s="177">
        <v>130</v>
      </c>
      <c r="L1143" s="253">
        <v>1000</v>
      </c>
      <c r="M1143" s="177" t="s">
        <v>153</v>
      </c>
      <c r="N1143" s="177" t="s">
        <v>149</v>
      </c>
      <c r="O1143" s="177" t="s">
        <v>154</v>
      </c>
      <c r="P1143" s="177" t="s">
        <v>151</v>
      </c>
      <c r="Q1143" s="177" t="s">
        <v>155</v>
      </c>
      <c r="R1143" s="177" t="s">
        <v>9975</v>
      </c>
      <c r="S1143" s="177"/>
      <c r="T1143" s="177" t="s">
        <v>3104</v>
      </c>
      <c r="U1143" s="177" t="s">
        <v>152</v>
      </c>
      <c r="V1143" s="177" t="s">
        <v>18</v>
      </c>
    </row>
    <row r="1144" spans="2:22">
      <c r="B1144" s="251">
        <v>46258</v>
      </c>
      <c r="C1144" s="251">
        <v>46258</v>
      </c>
      <c r="D1144" s="177" t="s">
        <v>9976</v>
      </c>
      <c r="E1144" s="177">
        <v>260103723302</v>
      </c>
      <c r="F1144" s="177" t="s">
        <v>87</v>
      </c>
      <c r="G1144" s="177" t="s">
        <v>8646</v>
      </c>
      <c r="H1144" s="177">
        <v>135</v>
      </c>
      <c r="I1144" s="177">
        <v>193</v>
      </c>
      <c r="J1144" s="177">
        <v>193</v>
      </c>
      <c r="K1144" s="177">
        <v>97</v>
      </c>
      <c r="L1144" s="253">
        <v>1500</v>
      </c>
      <c r="M1144" s="177" t="s">
        <v>153</v>
      </c>
      <c r="N1144" s="177" t="s">
        <v>149</v>
      </c>
      <c r="O1144" s="177" t="s">
        <v>154</v>
      </c>
      <c r="P1144" s="177" t="s">
        <v>151</v>
      </c>
      <c r="Q1144" s="177" t="s">
        <v>155</v>
      </c>
      <c r="R1144" s="177" t="s">
        <v>9977</v>
      </c>
      <c r="S1144" s="177"/>
      <c r="T1144" s="177" t="s">
        <v>3104</v>
      </c>
      <c r="U1144" s="177" t="s">
        <v>152</v>
      </c>
      <c r="V1144" s="177" t="s">
        <v>18</v>
      </c>
    </row>
    <row r="1145" spans="2:22">
      <c r="B1145" s="251">
        <v>46258</v>
      </c>
      <c r="C1145" s="251">
        <v>46258</v>
      </c>
      <c r="D1145" s="177" t="s">
        <v>9978</v>
      </c>
      <c r="E1145" s="177">
        <v>260106923319</v>
      </c>
      <c r="F1145" s="177" t="s">
        <v>87</v>
      </c>
      <c r="G1145" s="177" t="s">
        <v>7928</v>
      </c>
      <c r="H1145" s="177">
        <v>135</v>
      </c>
      <c r="I1145" s="177">
        <v>283</v>
      </c>
      <c r="J1145" s="177">
        <v>283</v>
      </c>
      <c r="K1145" s="177">
        <v>107</v>
      </c>
      <c r="L1145" s="253">
        <v>2020</v>
      </c>
      <c r="M1145" s="177" t="s">
        <v>153</v>
      </c>
      <c r="N1145" s="177" t="s">
        <v>149</v>
      </c>
      <c r="O1145" s="177" t="s">
        <v>154</v>
      </c>
      <c r="P1145" s="177" t="s">
        <v>151</v>
      </c>
      <c r="Q1145" s="177" t="s">
        <v>155</v>
      </c>
      <c r="R1145" s="177" t="s">
        <v>9979</v>
      </c>
      <c r="S1145" s="177"/>
      <c r="T1145" s="177" t="s">
        <v>3104</v>
      </c>
      <c r="U1145" s="177" t="s">
        <v>152</v>
      </c>
      <c r="V1145" s="177" t="s">
        <v>18</v>
      </c>
    </row>
    <row r="1146" spans="2:22">
      <c r="B1146" s="251">
        <v>46258</v>
      </c>
      <c r="C1146" s="251">
        <v>46258</v>
      </c>
      <c r="D1146" s="177" t="s">
        <v>9980</v>
      </c>
      <c r="E1146" s="177">
        <v>260104022551</v>
      </c>
      <c r="F1146" s="177" t="s">
        <v>87</v>
      </c>
      <c r="G1146" s="177" t="s">
        <v>2526</v>
      </c>
      <c r="H1146" s="177">
        <v>132</v>
      </c>
      <c r="I1146" s="177">
        <v>204</v>
      </c>
      <c r="J1146" s="177">
        <v>204</v>
      </c>
      <c r="K1146" s="177">
        <v>97</v>
      </c>
      <c r="L1146" s="253">
        <v>1630</v>
      </c>
      <c r="M1146" s="177" t="s">
        <v>153</v>
      </c>
      <c r="N1146" s="177" t="s">
        <v>149</v>
      </c>
      <c r="O1146" s="177" t="s">
        <v>154</v>
      </c>
      <c r="P1146" s="177" t="s">
        <v>151</v>
      </c>
      <c r="Q1146" s="177" t="s">
        <v>155</v>
      </c>
      <c r="R1146" s="177" t="s">
        <v>9981</v>
      </c>
      <c r="S1146" s="177"/>
      <c r="T1146" s="177" t="s">
        <v>3104</v>
      </c>
      <c r="U1146" s="177" t="s">
        <v>152</v>
      </c>
      <c r="V1146" s="177" t="s">
        <v>18</v>
      </c>
    </row>
    <row r="1147" spans="2:22">
      <c r="B1147" s="251">
        <v>46258</v>
      </c>
      <c r="C1147" s="251">
        <v>46258</v>
      </c>
      <c r="D1147" s="177" t="s">
        <v>9982</v>
      </c>
      <c r="E1147" s="177">
        <v>260101423270</v>
      </c>
      <c r="F1147" s="177" t="s">
        <v>87</v>
      </c>
      <c r="G1147" s="177" t="s">
        <v>824</v>
      </c>
      <c r="H1147" s="177">
        <v>152</v>
      </c>
      <c r="I1147" s="177">
        <v>229</v>
      </c>
      <c r="J1147" s="177">
        <v>229</v>
      </c>
      <c r="K1147" s="177">
        <v>104</v>
      </c>
      <c r="L1147" s="253">
        <v>1500</v>
      </c>
      <c r="M1147" s="177" t="s">
        <v>153</v>
      </c>
      <c r="N1147" s="177" t="s">
        <v>149</v>
      </c>
      <c r="O1147" s="177" t="s">
        <v>154</v>
      </c>
      <c r="P1147" s="177" t="s">
        <v>151</v>
      </c>
      <c r="Q1147" s="177" t="s">
        <v>155</v>
      </c>
      <c r="R1147" s="177" t="s">
        <v>9983</v>
      </c>
      <c r="S1147" s="177"/>
      <c r="T1147" s="177" t="s">
        <v>3104</v>
      </c>
      <c r="U1147" s="177" t="s">
        <v>152</v>
      </c>
      <c r="V1147" s="177" t="s">
        <v>18</v>
      </c>
    </row>
    <row r="1148" spans="2:22">
      <c r="B1148" s="251">
        <v>46258</v>
      </c>
      <c r="C1148" s="251">
        <v>46258</v>
      </c>
      <c r="D1148" s="177" t="s">
        <v>9984</v>
      </c>
      <c r="E1148" s="177">
        <v>260105323279</v>
      </c>
      <c r="F1148" s="177" t="s">
        <v>87</v>
      </c>
      <c r="G1148" s="177" t="s">
        <v>824</v>
      </c>
      <c r="H1148" s="177">
        <v>152</v>
      </c>
      <c r="I1148" s="177">
        <v>266</v>
      </c>
      <c r="J1148" s="177">
        <v>266</v>
      </c>
      <c r="K1148" s="177">
        <v>104</v>
      </c>
      <c r="L1148" s="253">
        <v>1800</v>
      </c>
      <c r="M1148" s="177" t="s">
        <v>153</v>
      </c>
      <c r="N1148" s="177" t="s">
        <v>149</v>
      </c>
      <c r="O1148" s="177" t="s">
        <v>154</v>
      </c>
      <c r="P1148" s="177" t="s">
        <v>151</v>
      </c>
      <c r="Q1148" s="177" t="s">
        <v>155</v>
      </c>
      <c r="R1148" s="177" t="s">
        <v>9985</v>
      </c>
      <c r="S1148" s="177"/>
      <c r="T1148" s="177" t="s">
        <v>3104</v>
      </c>
      <c r="U1148" s="177" t="s">
        <v>152</v>
      </c>
      <c r="V1148" s="177" t="s">
        <v>18</v>
      </c>
    </row>
    <row r="1149" spans="2:22">
      <c r="B1149" s="251">
        <v>46258</v>
      </c>
      <c r="C1149" s="251">
        <v>46258</v>
      </c>
      <c r="D1149" s="177" t="s">
        <v>9986</v>
      </c>
      <c r="E1149" s="177">
        <v>260101523293</v>
      </c>
      <c r="F1149" s="177" t="s">
        <v>87</v>
      </c>
      <c r="G1149" s="177" t="s">
        <v>2408</v>
      </c>
      <c r="H1149" s="177">
        <v>112</v>
      </c>
      <c r="I1149" s="177">
        <v>378</v>
      </c>
      <c r="J1149" s="177">
        <v>378</v>
      </c>
      <c r="K1149" s="177">
        <v>160</v>
      </c>
      <c r="L1149" s="253">
        <v>1080</v>
      </c>
      <c r="M1149" s="177" t="s">
        <v>153</v>
      </c>
      <c r="N1149" s="177" t="s">
        <v>149</v>
      </c>
      <c r="O1149" s="177" t="s">
        <v>154</v>
      </c>
      <c r="P1149" s="177" t="s">
        <v>151</v>
      </c>
      <c r="Q1149" s="177" t="s">
        <v>155</v>
      </c>
      <c r="R1149" s="177" t="s">
        <v>9987</v>
      </c>
      <c r="S1149" s="177"/>
      <c r="T1149" s="177" t="s">
        <v>3104</v>
      </c>
      <c r="U1149" s="177" t="s">
        <v>152</v>
      </c>
      <c r="V1149" s="177" t="s">
        <v>18</v>
      </c>
    </row>
    <row r="1150" spans="2:22">
      <c r="B1150" s="251">
        <v>46258</v>
      </c>
      <c r="C1150" s="251">
        <v>46258</v>
      </c>
      <c r="D1150" s="177" t="s">
        <v>9988</v>
      </c>
      <c r="E1150" s="177">
        <v>260103823300</v>
      </c>
      <c r="F1150" s="177" t="s">
        <v>87</v>
      </c>
      <c r="G1150" s="177" t="s">
        <v>824</v>
      </c>
      <c r="H1150" s="177">
        <v>152</v>
      </c>
      <c r="I1150" s="177">
        <v>227</v>
      </c>
      <c r="J1150" s="177">
        <v>227</v>
      </c>
      <c r="K1150" s="177">
        <v>104</v>
      </c>
      <c r="L1150" s="253">
        <v>1500</v>
      </c>
      <c r="M1150" s="177" t="s">
        <v>153</v>
      </c>
      <c r="N1150" s="177" t="s">
        <v>149</v>
      </c>
      <c r="O1150" s="177" t="s">
        <v>154</v>
      </c>
      <c r="P1150" s="177" t="s">
        <v>151</v>
      </c>
      <c r="Q1150" s="177" t="s">
        <v>155</v>
      </c>
      <c r="R1150" s="177" t="s">
        <v>9989</v>
      </c>
      <c r="S1150" s="177"/>
      <c r="T1150" s="177" t="s">
        <v>3104</v>
      </c>
      <c r="U1150" s="177" t="s">
        <v>152</v>
      </c>
      <c r="V1150" s="177" t="s">
        <v>18</v>
      </c>
    </row>
    <row r="1151" spans="2:22">
      <c r="B1151" s="251">
        <v>46258</v>
      </c>
      <c r="C1151" s="251">
        <v>46258</v>
      </c>
      <c r="D1151" s="177" t="s">
        <v>9990</v>
      </c>
      <c r="E1151" s="177">
        <v>260107523315</v>
      </c>
      <c r="F1151" s="177" t="s">
        <v>87</v>
      </c>
      <c r="G1151" s="177" t="s">
        <v>2415</v>
      </c>
      <c r="H1151" s="177">
        <v>140</v>
      </c>
      <c r="I1151" s="177">
        <v>281</v>
      </c>
      <c r="J1151" s="177">
        <v>281</v>
      </c>
      <c r="K1151" s="177">
        <v>88</v>
      </c>
      <c r="L1151" s="253">
        <v>2340</v>
      </c>
      <c r="M1151" s="177" t="s">
        <v>153</v>
      </c>
      <c r="N1151" s="177" t="s">
        <v>149</v>
      </c>
      <c r="O1151" s="177" t="s">
        <v>154</v>
      </c>
      <c r="P1151" s="177" t="s">
        <v>151</v>
      </c>
      <c r="Q1151" s="177" t="s">
        <v>155</v>
      </c>
      <c r="R1151" s="177" t="s">
        <v>9991</v>
      </c>
      <c r="S1151" s="177"/>
      <c r="T1151" s="177" t="s">
        <v>3104</v>
      </c>
      <c r="U1151" s="177" t="s">
        <v>152</v>
      </c>
      <c r="V1151" s="177" t="s">
        <v>18</v>
      </c>
    </row>
    <row r="1152" spans="2:22">
      <c r="B1152" s="251">
        <v>46258</v>
      </c>
      <c r="C1152" s="251">
        <v>46258</v>
      </c>
      <c r="D1152" s="177" t="s">
        <v>9992</v>
      </c>
      <c r="E1152" s="177" t="s">
        <v>9993</v>
      </c>
      <c r="F1152" s="177" t="s">
        <v>87</v>
      </c>
      <c r="G1152" s="177" t="s">
        <v>2410</v>
      </c>
      <c r="H1152" s="177" t="s">
        <v>2416</v>
      </c>
      <c r="I1152" s="177">
        <v>390</v>
      </c>
      <c r="J1152" s="177">
        <v>390</v>
      </c>
      <c r="K1152" s="177">
        <v>102</v>
      </c>
      <c r="L1152" s="253">
        <v>3719</v>
      </c>
      <c r="M1152" s="177" t="s">
        <v>153</v>
      </c>
      <c r="N1152" s="177" t="s">
        <v>149</v>
      </c>
      <c r="O1152" s="177" t="s">
        <v>154</v>
      </c>
      <c r="P1152" s="177" t="s">
        <v>151</v>
      </c>
      <c r="Q1152" s="177" t="s">
        <v>156</v>
      </c>
      <c r="R1152" s="177" t="s">
        <v>9994</v>
      </c>
      <c r="S1152" s="177"/>
      <c r="T1152" s="177" t="s">
        <v>3104</v>
      </c>
      <c r="U1152" s="177" t="s">
        <v>152</v>
      </c>
      <c r="V1152" s="177" t="s">
        <v>20</v>
      </c>
    </row>
    <row r="1153" spans="2:22">
      <c r="B1153" s="251">
        <v>46258</v>
      </c>
      <c r="C1153" s="251">
        <v>46258</v>
      </c>
      <c r="D1153" s="177" t="s">
        <v>9995</v>
      </c>
      <c r="E1153" s="177">
        <v>260101623329</v>
      </c>
      <c r="F1153" s="177" t="s">
        <v>87</v>
      </c>
      <c r="G1153" s="177" t="s">
        <v>2079</v>
      </c>
      <c r="H1153" s="177">
        <v>112</v>
      </c>
      <c r="I1153" s="177">
        <v>409</v>
      </c>
      <c r="J1153" s="177">
        <v>409</v>
      </c>
      <c r="K1153" s="177">
        <v>180</v>
      </c>
      <c r="L1153" s="253">
        <v>1000</v>
      </c>
      <c r="M1153" s="177" t="s">
        <v>153</v>
      </c>
      <c r="N1153" s="177" t="s">
        <v>149</v>
      </c>
      <c r="O1153" s="177" t="s">
        <v>154</v>
      </c>
      <c r="P1153" s="177" t="s">
        <v>151</v>
      </c>
      <c r="Q1153" s="177" t="s">
        <v>155</v>
      </c>
      <c r="R1153" s="177" t="s">
        <v>9996</v>
      </c>
      <c r="S1153" s="177"/>
      <c r="T1153" s="177" t="s">
        <v>3108</v>
      </c>
      <c r="U1153" s="177" t="s">
        <v>152</v>
      </c>
      <c r="V1153" s="177" t="s">
        <v>18</v>
      </c>
    </row>
    <row r="1154" spans="2:22">
      <c r="B1154" s="251">
        <v>46258</v>
      </c>
      <c r="C1154" s="251">
        <v>46258</v>
      </c>
      <c r="D1154" s="177" t="s">
        <v>9997</v>
      </c>
      <c r="E1154" s="177">
        <v>260102223227</v>
      </c>
      <c r="F1154" s="177" t="s">
        <v>87</v>
      </c>
      <c r="G1154" s="177" t="s">
        <v>9731</v>
      </c>
      <c r="H1154" s="177">
        <v>102</v>
      </c>
      <c r="I1154" s="177">
        <v>261</v>
      </c>
      <c r="J1154" s="177">
        <v>261</v>
      </c>
      <c r="K1154" s="177">
        <v>130</v>
      </c>
      <c r="L1154" s="253">
        <v>1000</v>
      </c>
      <c r="M1154" s="177" t="s">
        <v>153</v>
      </c>
      <c r="N1154" s="177" t="s">
        <v>149</v>
      </c>
      <c r="O1154" s="177" t="s">
        <v>154</v>
      </c>
      <c r="P1154" s="177" t="s">
        <v>151</v>
      </c>
      <c r="Q1154" s="177" t="s">
        <v>155</v>
      </c>
      <c r="R1154" s="177" t="s">
        <v>9998</v>
      </c>
      <c r="S1154" s="177"/>
      <c r="T1154" s="177" t="s">
        <v>3108</v>
      </c>
      <c r="U1154" s="177" t="s">
        <v>152</v>
      </c>
      <c r="V1154" s="177" t="s">
        <v>18</v>
      </c>
    </row>
    <row r="1155" spans="2:22">
      <c r="B1155" s="251">
        <v>46258</v>
      </c>
      <c r="C1155" s="251">
        <v>46258</v>
      </c>
      <c r="D1155" s="177" t="s">
        <v>9999</v>
      </c>
      <c r="E1155" s="177">
        <v>260102723323</v>
      </c>
      <c r="F1155" s="177" t="s">
        <v>87</v>
      </c>
      <c r="G1155" s="177" t="s">
        <v>8032</v>
      </c>
      <c r="H1155" s="177">
        <v>102</v>
      </c>
      <c r="I1155" s="177">
        <v>265</v>
      </c>
      <c r="J1155" s="177">
        <v>265</v>
      </c>
      <c r="K1155" s="177">
        <v>130</v>
      </c>
      <c r="L1155" s="253">
        <v>1000</v>
      </c>
      <c r="M1155" s="177" t="s">
        <v>153</v>
      </c>
      <c r="N1155" s="177" t="s">
        <v>149</v>
      </c>
      <c r="O1155" s="177" t="s">
        <v>154</v>
      </c>
      <c r="P1155" s="177" t="s">
        <v>151</v>
      </c>
      <c r="Q1155" s="177" t="s">
        <v>155</v>
      </c>
      <c r="R1155" s="177" t="s">
        <v>10000</v>
      </c>
      <c r="S1155" s="177"/>
      <c r="T1155" s="177" t="s">
        <v>3108</v>
      </c>
      <c r="U1155" s="177" t="s">
        <v>152</v>
      </c>
      <c r="V1155" s="177" t="s">
        <v>18</v>
      </c>
    </row>
    <row r="1156" spans="2:22">
      <c r="B1156" s="251">
        <v>46258</v>
      </c>
      <c r="C1156" s="251">
        <v>46258</v>
      </c>
      <c r="D1156" s="177" t="s">
        <v>10001</v>
      </c>
      <c r="E1156" s="177">
        <v>260102623325</v>
      </c>
      <c r="F1156" s="177" t="s">
        <v>87</v>
      </c>
      <c r="G1156" s="177" t="s">
        <v>8032</v>
      </c>
      <c r="H1156" s="177">
        <v>102</v>
      </c>
      <c r="I1156" s="177">
        <v>250</v>
      </c>
      <c r="J1156" s="177">
        <v>250</v>
      </c>
      <c r="K1156" s="177">
        <v>130</v>
      </c>
      <c r="L1156" s="253">
        <v>950</v>
      </c>
      <c r="M1156" s="177" t="s">
        <v>153</v>
      </c>
      <c r="N1156" s="177" t="s">
        <v>149</v>
      </c>
      <c r="O1156" s="177" t="s">
        <v>154</v>
      </c>
      <c r="P1156" s="177" t="s">
        <v>151</v>
      </c>
      <c r="Q1156" s="177" t="s">
        <v>155</v>
      </c>
      <c r="R1156" s="177" t="s">
        <v>10002</v>
      </c>
      <c r="S1156" s="177"/>
      <c r="T1156" s="177" t="s">
        <v>3108</v>
      </c>
      <c r="U1156" s="177" t="s">
        <v>152</v>
      </c>
      <c r="V1156" s="177" t="s">
        <v>18</v>
      </c>
    </row>
    <row r="1157" spans="2:22">
      <c r="B1157" s="251">
        <v>46258</v>
      </c>
      <c r="C1157" s="251">
        <v>46258</v>
      </c>
      <c r="D1157" s="177" t="s">
        <v>10003</v>
      </c>
      <c r="E1157" s="177">
        <v>260101823326</v>
      </c>
      <c r="F1157" s="177" t="s">
        <v>87</v>
      </c>
      <c r="G1157" s="177" t="s">
        <v>8681</v>
      </c>
      <c r="H1157" s="177">
        <v>92</v>
      </c>
      <c r="I1157" s="177">
        <v>248</v>
      </c>
      <c r="J1157" s="177">
        <v>248</v>
      </c>
      <c r="K1157" s="177">
        <v>134</v>
      </c>
      <c r="L1157" s="253">
        <v>1000</v>
      </c>
      <c r="M1157" s="177" t="s">
        <v>153</v>
      </c>
      <c r="N1157" s="177" t="s">
        <v>149</v>
      </c>
      <c r="O1157" s="177" t="s">
        <v>154</v>
      </c>
      <c r="P1157" s="177" t="s">
        <v>151</v>
      </c>
      <c r="Q1157" s="177" t="s">
        <v>155</v>
      </c>
      <c r="R1157" s="177" t="s">
        <v>10004</v>
      </c>
      <c r="S1157" s="177"/>
      <c r="T1157" s="177" t="s">
        <v>3108</v>
      </c>
      <c r="U1157" s="177" t="s">
        <v>152</v>
      </c>
      <c r="V1157" s="177" t="s">
        <v>18</v>
      </c>
    </row>
    <row r="1158" spans="2:22">
      <c r="B1158" s="251">
        <v>46258</v>
      </c>
      <c r="C1158" s="251">
        <v>46258</v>
      </c>
      <c r="D1158" s="177" t="s">
        <v>10005</v>
      </c>
      <c r="E1158" s="177">
        <v>260102823322</v>
      </c>
      <c r="F1158" s="177" t="s">
        <v>87</v>
      </c>
      <c r="G1158" s="177" t="s">
        <v>8032</v>
      </c>
      <c r="H1158" s="177">
        <v>102</v>
      </c>
      <c r="I1158" s="177">
        <v>319</v>
      </c>
      <c r="J1158" s="177">
        <v>319</v>
      </c>
      <c r="K1158" s="177">
        <v>130</v>
      </c>
      <c r="L1158" s="253">
        <v>1210</v>
      </c>
      <c r="M1158" s="177" t="s">
        <v>153</v>
      </c>
      <c r="N1158" s="177" t="s">
        <v>149</v>
      </c>
      <c r="O1158" s="177" t="s">
        <v>154</v>
      </c>
      <c r="P1158" s="177" t="s">
        <v>151</v>
      </c>
      <c r="Q1158" s="177" t="s">
        <v>155</v>
      </c>
      <c r="R1158" s="177" t="s">
        <v>10006</v>
      </c>
      <c r="S1158" s="177"/>
      <c r="T1158" s="177" t="s">
        <v>3108</v>
      </c>
      <c r="U1158" s="177" t="s">
        <v>152</v>
      </c>
      <c r="V1158" s="177" t="s">
        <v>18</v>
      </c>
    </row>
    <row r="1159" spans="2:22">
      <c r="B1159" s="251">
        <v>46258</v>
      </c>
      <c r="C1159" s="251">
        <v>46258</v>
      </c>
      <c r="D1159" s="177" t="s">
        <v>10007</v>
      </c>
      <c r="E1159" s="177">
        <v>260102023328</v>
      </c>
      <c r="F1159" s="177" t="s">
        <v>87</v>
      </c>
      <c r="G1159" s="177" t="s">
        <v>8681</v>
      </c>
      <c r="H1159" s="177">
        <v>92</v>
      </c>
      <c r="I1159" s="177">
        <v>313</v>
      </c>
      <c r="J1159" s="177">
        <v>313</v>
      </c>
      <c r="K1159" s="177">
        <v>134</v>
      </c>
      <c r="L1159" s="253">
        <v>1260</v>
      </c>
      <c r="M1159" s="177" t="s">
        <v>153</v>
      </c>
      <c r="N1159" s="177" t="s">
        <v>149</v>
      </c>
      <c r="O1159" s="177" t="s">
        <v>154</v>
      </c>
      <c r="P1159" s="177" t="s">
        <v>151</v>
      </c>
      <c r="Q1159" s="177" t="s">
        <v>155</v>
      </c>
      <c r="R1159" s="177" t="s">
        <v>10008</v>
      </c>
      <c r="S1159" s="177"/>
      <c r="T1159" s="177" t="s">
        <v>3108</v>
      </c>
      <c r="U1159" s="177" t="s">
        <v>152</v>
      </c>
      <c r="V1159" s="177" t="s">
        <v>18</v>
      </c>
    </row>
    <row r="1160" spans="2:22">
      <c r="B1160" s="251">
        <v>46258</v>
      </c>
      <c r="C1160" s="251">
        <v>46258</v>
      </c>
      <c r="D1160" s="177" t="s">
        <v>10009</v>
      </c>
      <c r="E1160" s="177">
        <v>260107823316</v>
      </c>
      <c r="F1160" s="177" t="s">
        <v>87</v>
      </c>
      <c r="G1160" s="177" t="s">
        <v>8646</v>
      </c>
      <c r="H1160" s="177">
        <v>135</v>
      </c>
      <c r="I1160" s="177">
        <v>267</v>
      </c>
      <c r="J1160" s="177">
        <v>267</v>
      </c>
      <c r="K1160" s="177">
        <v>97</v>
      </c>
      <c r="L1160" s="253">
        <v>2150</v>
      </c>
      <c r="M1160" s="177" t="s">
        <v>153</v>
      </c>
      <c r="N1160" s="177" t="s">
        <v>149</v>
      </c>
      <c r="O1160" s="177" t="s">
        <v>154</v>
      </c>
      <c r="P1160" s="177" t="s">
        <v>151</v>
      </c>
      <c r="Q1160" s="177" t="s">
        <v>155</v>
      </c>
      <c r="R1160" s="177" t="s">
        <v>10010</v>
      </c>
      <c r="S1160" s="177"/>
      <c r="T1160" s="177" t="s">
        <v>3108</v>
      </c>
      <c r="U1160" s="177" t="s">
        <v>152</v>
      </c>
      <c r="V1160" s="177" t="s">
        <v>18</v>
      </c>
    </row>
    <row r="1161" spans="2:22">
      <c r="B1161" s="251">
        <v>46258</v>
      </c>
      <c r="C1161" s="251">
        <v>46258</v>
      </c>
      <c r="D1161" s="177" t="s">
        <v>10011</v>
      </c>
      <c r="E1161" s="177">
        <v>260102323324</v>
      </c>
      <c r="F1161" s="177" t="s">
        <v>87</v>
      </c>
      <c r="G1161" s="177" t="s">
        <v>8032</v>
      </c>
      <c r="H1161" s="177">
        <v>102</v>
      </c>
      <c r="I1161" s="177">
        <v>266</v>
      </c>
      <c r="J1161" s="177">
        <v>266</v>
      </c>
      <c r="K1161" s="177">
        <v>130</v>
      </c>
      <c r="L1161" s="253">
        <v>1000</v>
      </c>
      <c r="M1161" s="177" t="s">
        <v>153</v>
      </c>
      <c r="N1161" s="177" t="s">
        <v>149</v>
      </c>
      <c r="O1161" s="177" t="s">
        <v>154</v>
      </c>
      <c r="P1161" s="177" t="s">
        <v>151</v>
      </c>
      <c r="Q1161" s="177" t="s">
        <v>155</v>
      </c>
      <c r="R1161" s="177" t="s">
        <v>10012</v>
      </c>
      <c r="S1161" s="177"/>
      <c r="T1161" s="177" t="s">
        <v>3108</v>
      </c>
      <c r="U1161" s="177" t="s">
        <v>152</v>
      </c>
      <c r="V1161" s="177" t="s">
        <v>18</v>
      </c>
    </row>
    <row r="1162" spans="2:22">
      <c r="B1162" s="251">
        <v>46258</v>
      </c>
      <c r="C1162" s="251">
        <v>46258</v>
      </c>
      <c r="D1162" s="177" t="s">
        <v>10013</v>
      </c>
      <c r="E1162" s="177">
        <v>260103023330</v>
      </c>
      <c r="F1162" s="177" t="s">
        <v>87</v>
      </c>
      <c r="G1162" s="177" t="s">
        <v>10014</v>
      </c>
      <c r="H1162" s="177">
        <v>102</v>
      </c>
      <c r="I1162" s="177">
        <v>64</v>
      </c>
      <c r="J1162" s="177">
        <v>64</v>
      </c>
      <c r="K1162" s="177">
        <v>130</v>
      </c>
      <c r="L1162" s="253">
        <v>240</v>
      </c>
      <c r="M1162" s="177" t="s">
        <v>153</v>
      </c>
      <c r="N1162" s="177" t="s">
        <v>149</v>
      </c>
      <c r="O1162" s="177" t="s">
        <v>154</v>
      </c>
      <c r="P1162" s="177" t="s">
        <v>151</v>
      </c>
      <c r="Q1162" s="177" t="s">
        <v>155</v>
      </c>
      <c r="R1162" s="177" t="s">
        <v>10015</v>
      </c>
      <c r="S1162" s="177"/>
      <c r="T1162" s="177" t="s">
        <v>3108</v>
      </c>
      <c r="U1162" s="177" t="s">
        <v>152</v>
      </c>
      <c r="V1162" s="177" t="s">
        <v>18</v>
      </c>
    </row>
    <row r="1163" spans="2:22">
      <c r="B1163" s="251">
        <v>46259</v>
      </c>
      <c r="C1163" s="251">
        <v>46259</v>
      </c>
      <c r="D1163" s="177" t="s">
        <v>10016</v>
      </c>
      <c r="E1163" s="177">
        <v>260100723360</v>
      </c>
      <c r="F1163" s="177" t="s">
        <v>87</v>
      </c>
      <c r="G1163" s="177" t="s">
        <v>7586</v>
      </c>
      <c r="H1163" s="177">
        <v>145</v>
      </c>
      <c r="I1163" s="177">
        <v>418</v>
      </c>
      <c r="J1163" s="177">
        <v>418</v>
      </c>
      <c r="K1163" s="177">
        <v>170</v>
      </c>
      <c r="L1163" s="253">
        <v>850</v>
      </c>
      <c r="M1163" s="177" t="s">
        <v>153</v>
      </c>
      <c r="N1163" s="177" t="s">
        <v>149</v>
      </c>
      <c r="O1163" s="177" t="s">
        <v>154</v>
      </c>
      <c r="P1163" s="177" t="s">
        <v>151</v>
      </c>
      <c r="Q1163" s="177" t="s">
        <v>155</v>
      </c>
      <c r="R1163" s="177" t="s">
        <v>10017</v>
      </c>
      <c r="S1163" s="177"/>
      <c r="T1163" s="177" t="s">
        <v>3129</v>
      </c>
      <c r="U1163" s="177" t="s">
        <v>152</v>
      </c>
      <c r="V1163" s="177" t="s">
        <v>18</v>
      </c>
    </row>
    <row r="1164" spans="2:22">
      <c r="B1164" s="251">
        <v>46259</v>
      </c>
      <c r="C1164" s="251">
        <v>46259</v>
      </c>
      <c r="D1164" s="177" t="s">
        <v>10018</v>
      </c>
      <c r="E1164" s="177">
        <v>260101423361</v>
      </c>
      <c r="F1164" s="177" t="s">
        <v>87</v>
      </c>
      <c r="G1164" s="177" t="s">
        <v>824</v>
      </c>
      <c r="H1164" s="177">
        <v>152</v>
      </c>
      <c r="I1164" s="177">
        <v>228</v>
      </c>
      <c r="J1164" s="177">
        <v>228</v>
      </c>
      <c r="K1164" s="177">
        <v>104</v>
      </c>
      <c r="L1164" s="253">
        <v>1500</v>
      </c>
      <c r="M1164" s="177" t="s">
        <v>153</v>
      </c>
      <c r="N1164" s="177" t="s">
        <v>149</v>
      </c>
      <c r="O1164" s="177" t="s">
        <v>154</v>
      </c>
      <c r="P1164" s="177" t="s">
        <v>151</v>
      </c>
      <c r="Q1164" s="177" t="s">
        <v>155</v>
      </c>
      <c r="R1164" s="177" t="s">
        <v>10019</v>
      </c>
      <c r="S1164" s="177"/>
      <c r="T1164" s="177" t="s">
        <v>3129</v>
      </c>
      <c r="U1164" s="177" t="s">
        <v>152</v>
      </c>
      <c r="V1164" s="177" t="s">
        <v>18</v>
      </c>
    </row>
    <row r="1165" spans="2:22">
      <c r="B1165" s="251">
        <v>46259</v>
      </c>
      <c r="C1165" s="251">
        <v>46259</v>
      </c>
      <c r="D1165" s="177" t="s">
        <v>10020</v>
      </c>
      <c r="E1165" s="177">
        <v>260105523375</v>
      </c>
      <c r="F1165" s="177" t="s">
        <v>87</v>
      </c>
      <c r="G1165" s="177" t="s">
        <v>2407</v>
      </c>
      <c r="H1165" s="177">
        <v>162</v>
      </c>
      <c r="I1165" s="177">
        <v>245</v>
      </c>
      <c r="J1165" s="177">
        <v>245</v>
      </c>
      <c r="K1165" s="177">
        <v>102</v>
      </c>
      <c r="L1165" s="253">
        <v>1580</v>
      </c>
      <c r="M1165" s="177" t="s">
        <v>153</v>
      </c>
      <c r="N1165" s="177" t="s">
        <v>149</v>
      </c>
      <c r="O1165" s="177" t="s">
        <v>154</v>
      </c>
      <c r="P1165" s="177" t="s">
        <v>151</v>
      </c>
      <c r="Q1165" s="177" t="s">
        <v>155</v>
      </c>
      <c r="R1165" s="177" t="s">
        <v>10021</v>
      </c>
      <c r="S1165" s="177"/>
      <c r="T1165" s="177" t="s">
        <v>3129</v>
      </c>
      <c r="U1165" s="177" t="s">
        <v>152</v>
      </c>
      <c r="V1165" s="177" t="s">
        <v>18</v>
      </c>
    </row>
    <row r="1166" spans="2:22">
      <c r="B1166" s="251">
        <v>46259</v>
      </c>
      <c r="C1166" s="251">
        <v>46259</v>
      </c>
      <c r="D1166" s="177" t="s">
        <v>10022</v>
      </c>
      <c r="E1166" s="177">
        <v>260104023340</v>
      </c>
      <c r="F1166" s="177" t="s">
        <v>87</v>
      </c>
      <c r="G1166" s="177" t="s">
        <v>2526</v>
      </c>
      <c r="H1166" s="177">
        <v>125</v>
      </c>
      <c r="I1166" s="177">
        <v>290</v>
      </c>
      <c r="J1166" s="177">
        <v>290</v>
      </c>
      <c r="K1166" s="177">
        <v>97</v>
      </c>
      <c r="L1166" s="253">
        <v>2410</v>
      </c>
      <c r="M1166" s="177" t="s">
        <v>153</v>
      </c>
      <c r="N1166" s="177" t="s">
        <v>149</v>
      </c>
      <c r="O1166" s="177" t="s">
        <v>154</v>
      </c>
      <c r="P1166" s="177" t="s">
        <v>151</v>
      </c>
      <c r="Q1166" s="177" t="s">
        <v>155</v>
      </c>
      <c r="R1166" s="177" t="s">
        <v>10023</v>
      </c>
      <c r="S1166" s="177"/>
      <c r="T1166" s="177" t="s">
        <v>3129</v>
      </c>
      <c r="U1166" s="177" t="s">
        <v>152</v>
      </c>
      <c r="V1166" s="177" t="s">
        <v>18</v>
      </c>
    </row>
    <row r="1167" spans="2:22">
      <c r="B1167" s="251">
        <v>46259</v>
      </c>
      <c r="C1167" s="251">
        <v>46259</v>
      </c>
      <c r="D1167" s="177" t="s">
        <v>10024</v>
      </c>
      <c r="E1167" s="177">
        <v>260101423363</v>
      </c>
      <c r="F1167" s="177" t="s">
        <v>87</v>
      </c>
      <c r="G1167" s="177" t="s">
        <v>824</v>
      </c>
      <c r="H1167" s="177">
        <v>152</v>
      </c>
      <c r="I1167" s="177">
        <v>231</v>
      </c>
      <c r="J1167" s="177">
        <v>231</v>
      </c>
      <c r="K1167" s="177">
        <v>104</v>
      </c>
      <c r="L1167" s="253">
        <v>1500</v>
      </c>
      <c r="M1167" s="177" t="s">
        <v>153</v>
      </c>
      <c r="N1167" s="177" t="s">
        <v>149</v>
      </c>
      <c r="O1167" s="177" t="s">
        <v>154</v>
      </c>
      <c r="P1167" s="177" t="s">
        <v>151</v>
      </c>
      <c r="Q1167" s="177" t="s">
        <v>155</v>
      </c>
      <c r="R1167" s="177" t="s">
        <v>10025</v>
      </c>
      <c r="S1167" s="177"/>
      <c r="T1167" s="177" t="s">
        <v>3129</v>
      </c>
      <c r="U1167" s="177" t="s">
        <v>152</v>
      </c>
      <c r="V1167" s="177" t="s">
        <v>18</v>
      </c>
    </row>
    <row r="1168" spans="2:22">
      <c r="B1168" s="251">
        <v>46259</v>
      </c>
      <c r="C1168" s="251">
        <v>46259</v>
      </c>
      <c r="D1168" s="177" t="s">
        <v>10026</v>
      </c>
      <c r="E1168" s="177">
        <v>260101423364</v>
      </c>
      <c r="F1168" s="177" t="s">
        <v>87</v>
      </c>
      <c r="G1168" s="177" t="s">
        <v>824</v>
      </c>
      <c r="H1168" s="177">
        <v>152</v>
      </c>
      <c r="I1168" s="177">
        <v>227</v>
      </c>
      <c r="J1168" s="177">
        <v>227</v>
      </c>
      <c r="K1168" s="177">
        <v>104</v>
      </c>
      <c r="L1168" s="253">
        <v>1500</v>
      </c>
      <c r="M1168" s="177" t="s">
        <v>153</v>
      </c>
      <c r="N1168" s="177" t="s">
        <v>149</v>
      </c>
      <c r="O1168" s="177" t="s">
        <v>154</v>
      </c>
      <c r="P1168" s="177" t="s">
        <v>151</v>
      </c>
      <c r="Q1168" s="177" t="s">
        <v>155</v>
      </c>
      <c r="R1168" s="177" t="s">
        <v>10027</v>
      </c>
      <c r="S1168" s="177"/>
      <c r="T1168" s="177" t="s">
        <v>3129</v>
      </c>
      <c r="U1168" s="177" t="s">
        <v>152</v>
      </c>
      <c r="V1168" s="177" t="s">
        <v>18</v>
      </c>
    </row>
    <row r="1169" spans="2:22">
      <c r="B1169" s="251">
        <v>46259</v>
      </c>
      <c r="C1169" s="251">
        <v>46259</v>
      </c>
      <c r="D1169" s="177" t="s">
        <v>10028</v>
      </c>
      <c r="E1169" s="177">
        <v>260104023341</v>
      </c>
      <c r="F1169" s="177" t="s">
        <v>87</v>
      </c>
      <c r="G1169" s="177" t="s">
        <v>2526</v>
      </c>
      <c r="H1169" s="177">
        <v>125</v>
      </c>
      <c r="I1169" s="177">
        <v>286</v>
      </c>
      <c r="J1169" s="177">
        <v>286</v>
      </c>
      <c r="K1169" s="177">
        <v>97</v>
      </c>
      <c r="L1169" s="253">
        <v>2410</v>
      </c>
      <c r="M1169" s="177" t="s">
        <v>153</v>
      </c>
      <c r="N1169" s="177" t="s">
        <v>149</v>
      </c>
      <c r="O1169" s="177" t="s">
        <v>154</v>
      </c>
      <c r="P1169" s="177" t="s">
        <v>151</v>
      </c>
      <c r="Q1169" s="177" t="s">
        <v>155</v>
      </c>
      <c r="R1169" s="177" t="s">
        <v>10029</v>
      </c>
      <c r="S1169" s="177"/>
      <c r="T1169" s="177" t="s">
        <v>3129</v>
      </c>
      <c r="U1169" s="177" t="s">
        <v>152</v>
      </c>
      <c r="V1169" s="177" t="s">
        <v>18</v>
      </c>
    </row>
    <row r="1170" spans="2:22">
      <c r="B1170" s="251">
        <v>46259</v>
      </c>
      <c r="C1170" s="251">
        <v>46259</v>
      </c>
      <c r="D1170" s="177" t="s">
        <v>10030</v>
      </c>
      <c r="E1170" s="177">
        <v>260103423345</v>
      </c>
      <c r="F1170" s="177" t="s">
        <v>87</v>
      </c>
      <c r="G1170" s="177" t="s">
        <v>824</v>
      </c>
      <c r="H1170" s="177">
        <v>152</v>
      </c>
      <c r="I1170" s="177">
        <v>265</v>
      </c>
      <c r="J1170" s="177">
        <v>265</v>
      </c>
      <c r="K1170" s="177">
        <v>104</v>
      </c>
      <c r="L1170" s="253">
        <v>1725</v>
      </c>
      <c r="M1170" s="177" t="s">
        <v>153</v>
      </c>
      <c r="N1170" s="177" t="s">
        <v>149</v>
      </c>
      <c r="O1170" s="177" t="s">
        <v>154</v>
      </c>
      <c r="P1170" s="177" t="s">
        <v>151</v>
      </c>
      <c r="Q1170" s="177" t="s">
        <v>155</v>
      </c>
      <c r="R1170" s="177" t="s">
        <v>10031</v>
      </c>
      <c r="S1170" s="177"/>
      <c r="T1170" s="177" t="s">
        <v>3129</v>
      </c>
      <c r="U1170" s="177" t="s">
        <v>152</v>
      </c>
      <c r="V1170" s="177" t="s">
        <v>18</v>
      </c>
    </row>
    <row r="1171" spans="2:22">
      <c r="B1171" s="251">
        <v>46259</v>
      </c>
      <c r="C1171" s="251">
        <v>46259</v>
      </c>
      <c r="D1171" s="177" t="s">
        <v>10032</v>
      </c>
      <c r="E1171" s="177">
        <v>260106223354</v>
      </c>
      <c r="F1171" s="177" t="s">
        <v>87</v>
      </c>
      <c r="G1171" s="177" t="s">
        <v>824</v>
      </c>
      <c r="H1171" s="177">
        <v>182</v>
      </c>
      <c r="I1171" s="177">
        <v>355</v>
      </c>
      <c r="J1171" s="177">
        <v>355</v>
      </c>
      <c r="K1171" s="177">
        <v>104</v>
      </c>
      <c r="L1171" s="253">
        <v>2000</v>
      </c>
      <c r="M1171" s="177" t="s">
        <v>153</v>
      </c>
      <c r="N1171" s="177" t="s">
        <v>149</v>
      </c>
      <c r="O1171" s="177" t="s">
        <v>154</v>
      </c>
      <c r="P1171" s="177" t="s">
        <v>151</v>
      </c>
      <c r="Q1171" s="177" t="s">
        <v>155</v>
      </c>
      <c r="R1171" s="177" t="s">
        <v>10033</v>
      </c>
      <c r="S1171" s="177"/>
      <c r="T1171" s="177" t="s">
        <v>3129</v>
      </c>
      <c r="U1171" s="177" t="s">
        <v>152</v>
      </c>
      <c r="V1171" s="177" t="s">
        <v>18</v>
      </c>
    </row>
    <row r="1172" spans="2:22">
      <c r="B1172" s="251">
        <v>46259</v>
      </c>
      <c r="C1172" s="251">
        <v>46259</v>
      </c>
      <c r="D1172" s="177" t="s">
        <v>10034</v>
      </c>
      <c r="E1172" s="177">
        <v>260107123356</v>
      </c>
      <c r="F1172" s="177" t="s">
        <v>87</v>
      </c>
      <c r="G1172" s="177" t="s">
        <v>8692</v>
      </c>
      <c r="H1172" s="177">
        <v>140</v>
      </c>
      <c r="I1172" s="177">
        <v>211</v>
      </c>
      <c r="J1172" s="177">
        <v>211</v>
      </c>
      <c r="K1172" s="177">
        <v>88</v>
      </c>
      <c r="L1172" s="253">
        <v>1715</v>
      </c>
      <c r="M1172" s="177" t="s">
        <v>153</v>
      </c>
      <c r="N1172" s="177" t="s">
        <v>149</v>
      </c>
      <c r="O1172" s="177" t="s">
        <v>154</v>
      </c>
      <c r="P1172" s="177" t="s">
        <v>151</v>
      </c>
      <c r="Q1172" s="177" t="s">
        <v>155</v>
      </c>
      <c r="R1172" s="177" t="s">
        <v>10035</v>
      </c>
      <c r="S1172" s="177"/>
      <c r="T1172" s="177" t="s">
        <v>3129</v>
      </c>
      <c r="U1172" s="177" t="s">
        <v>152</v>
      </c>
      <c r="V1172" s="177" t="s">
        <v>18</v>
      </c>
    </row>
    <row r="1173" spans="2:22">
      <c r="B1173" s="251">
        <v>46259</v>
      </c>
      <c r="C1173" s="251">
        <v>46259</v>
      </c>
      <c r="D1173" s="177" t="s">
        <v>10036</v>
      </c>
      <c r="E1173" s="177">
        <v>260102523366</v>
      </c>
      <c r="F1173" s="177" t="s">
        <v>87</v>
      </c>
      <c r="G1173" s="177" t="s">
        <v>8032</v>
      </c>
      <c r="H1173" s="177">
        <v>102</v>
      </c>
      <c r="I1173" s="177">
        <v>267</v>
      </c>
      <c r="J1173" s="177">
        <v>267</v>
      </c>
      <c r="K1173" s="177">
        <v>130</v>
      </c>
      <c r="L1173" s="253">
        <v>1000</v>
      </c>
      <c r="M1173" s="177" t="s">
        <v>153</v>
      </c>
      <c r="N1173" s="177" t="s">
        <v>149</v>
      </c>
      <c r="O1173" s="177" t="s">
        <v>154</v>
      </c>
      <c r="P1173" s="177" t="s">
        <v>151</v>
      </c>
      <c r="Q1173" s="177" t="s">
        <v>155</v>
      </c>
      <c r="R1173" s="177" t="s">
        <v>10037</v>
      </c>
      <c r="S1173" s="177"/>
      <c r="T1173" s="177" t="s">
        <v>3129</v>
      </c>
      <c r="U1173" s="177" t="s">
        <v>152</v>
      </c>
      <c r="V1173" s="177" t="s">
        <v>18</v>
      </c>
    </row>
    <row r="1174" spans="2:22">
      <c r="B1174" s="251">
        <v>46259</v>
      </c>
      <c r="C1174" s="251">
        <v>46259</v>
      </c>
      <c r="D1174" s="177" t="s">
        <v>10038</v>
      </c>
      <c r="E1174" s="177">
        <v>260101723349</v>
      </c>
      <c r="F1174" s="177" t="s">
        <v>87</v>
      </c>
      <c r="G1174" s="177" t="s">
        <v>8681</v>
      </c>
      <c r="H1174" s="177">
        <v>92</v>
      </c>
      <c r="I1174" s="177">
        <v>245</v>
      </c>
      <c r="J1174" s="177">
        <v>245</v>
      </c>
      <c r="K1174" s="177">
        <v>134</v>
      </c>
      <c r="L1174" s="253">
        <v>1000</v>
      </c>
      <c r="M1174" s="177" t="s">
        <v>153</v>
      </c>
      <c r="N1174" s="177" t="s">
        <v>149</v>
      </c>
      <c r="O1174" s="177" t="s">
        <v>154</v>
      </c>
      <c r="P1174" s="177" t="s">
        <v>151</v>
      </c>
      <c r="Q1174" s="177" t="s">
        <v>155</v>
      </c>
      <c r="R1174" s="177" t="s">
        <v>10039</v>
      </c>
      <c r="S1174" s="177"/>
      <c r="T1174" s="177" t="s">
        <v>3129</v>
      </c>
      <c r="U1174" s="177" t="s">
        <v>152</v>
      </c>
      <c r="V1174" s="177" t="s">
        <v>18</v>
      </c>
    </row>
    <row r="1175" spans="2:22">
      <c r="B1175" s="251">
        <v>46259</v>
      </c>
      <c r="C1175" s="251">
        <v>46259</v>
      </c>
      <c r="D1175" s="177" t="s">
        <v>10040</v>
      </c>
      <c r="E1175" s="177">
        <v>260102423365</v>
      </c>
      <c r="F1175" s="177" t="s">
        <v>87</v>
      </c>
      <c r="G1175" s="177" t="s">
        <v>8032</v>
      </c>
      <c r="H1175" s="177">
        <v>102</v>
      </c>
      <c r="I1175" s="177">
        <v>268</v>
      </c>
      <c r="J1175" s="177">
        <v>268</v>
      </c>
      <c r="K1175" s="177">
        <v>130</v>
      </c>
      <c r="L1175" s="253">
        <v>1000</v>
      </c>
      <c r="M1175" s="177" t="s">
        <v>153</v>
      </c>
      <c r="N1175" s="177" t="s">
        <v>149</v>
      </c>
      <c r="O1175" s="177" t="s">
        <v>154</v>
      </c>
      <c r="P1175" s="177" t="s">
        <v>151</v>
      </c>
      <c r="Q1175" s="177" t="s">
        <v>155</v>
      </c>
      <c r="R1175" s="177" t="s">
        <v>10041</v>
      </c>
      <c r="S1175" s="177"/>
      <c r="T1175" s="177" t="s">
        <v>3129</v>
      </c>
      <c r="U1175" s="177" t="s">
        <v>152</v>
      </c>
      <c r="V1175" s="177" t="s">
        <v>18</v>
      </c>
    </row>
    <row r="1176" spans="2:22">
      <c r="B1176" s="251">
        <v>46259</v>
      </c>
      <c r="C1176" s="251">
        <v>46259</v>
      </c>
      <c r="D1176" s="177" t="s">
        <v>10042</v>
      </c>
      <c r="E1176" s="177">
        <v>260106123371</v>
      </c>
      <c r="F1176" s="177" t="s">
        <v>87</v>
      </c>
      <c r="G1176" s="177" t="s">
        <v>9752</v>
      </c>
      <c r="H1176" s="177">
        <v>140</v>
      </c>
      <c r="I1176" s="177">
        <v>210</v>
      </c>
      <c r="J1176" s="177">
        <v>210</v>
      </c>
      <c r="K1176" s="177">
        <v>83</v>
      </c>
      <c r="L1176" s="253">
        <v>1900</v>
      </c>
      <c r="M1176" s="177" t="s">
        <v>153</v>
      </c>
      <c r="N1176" s="177" t="s">
        <v>149</v>
      </c>
      <c r="O1176" s="177" t="s">
        <v>154</v>
      </c>
      <c r="P1176" s="177" t="s">
        <v>151</v>
      </c>
      <c r="Q1176" s="177" t="s">
        <v>155</v>
      </c>
      <c r="R1176" s="177" t="s">
        <v>10043</v>
      </c>
      <c r="S1176" s="177"/>
      <c r="T1176" s="177"/>
      <c r="U1176" s="177" t="s">
        <v>152</v>
      </c>
      <c r="V1176" s="177" t="s">
        <v>18</v>
      </c>
    </row>
    <row r="1177" spans="2:22">
      <c r="B1177" s="251">
        <v>46259</v>
      </c>
      <c r="C1177" s="251">
        <v>46259</v>
      </c>
      <c r="D1177" s="177" t="s">
        <v>10044</v>
      </c>
      <c r="E1177" s="177">
        <v>260101623389</v>
      </c>
      <c r="F1177" s="177" t="s">
        <v>87</v>
      </c>
      <c r="G1177" s="177" t="s">
        <v>2079</v>
      </c>
      <c r="H1177" s="177">
        <v>112</v>
      </c>
      <c r="I1177" s="177">
        <v>391</v>
      </c>
      <c r="J1177" s="177">
        <v>391</v>
      </c>
      <c r="K1177" s="177">
        <v>180</v>
      </c>
      <c r="L1177" s="253">
        <v>1000</v>
      </c>
      <c r="M1177" s="177" t="s">
        <v>153</v>
      </c>
      <c r="N1177" s="177" t="s">
        <v>149</v>
      </c>
      <c r="O1177" s="177" t="s">
        <v>154</v>
      </c>
      <c r="P1177" s="177" t="s">
        <v>151</v>
      </c>
      <c r="Q1177" s="177" t="s">
        <v>155</v>
      </c>
      <c r="R1177" s="177" t="s">
        <v>10045</v>
      </c>
      <c r="S1177" s="177"/>
      <c r="T1177" s="177" t="s">
        <v>3129</v>
      </c>
      <c r="U1177" s="177" t="s">
        <v>152</v>
      </c>
      <c r="V1177" s="177" t="s">
        <v>18</v>
      </c>
    </row>
    <row r="1178" spans="2:22">
      <c r="B1178" s="251">
        <v>46259</v>
      </c>
      <c r="C1178" s="251">
        <v>46259</v>
      </c>
      <c r="D1178" s="177" t="s">
        <v>10046</v>
      </c>
      <c r="E1178" s="177">
        <v>260102723390</v>
      </c>
      <c r="F1178" s="177" t="s">
        <v>87</v>
      </c>
      <c r="G1178" s="177" t="s">
        <v>8032</v>
      </c>
      <c r="H1178" s="177">
        <v>102</v>
      </c>
      <c r="I1178" s="177">
        <v>261</v>
      </c>
      <c r="J1178" s="177">
        <v>261</v>
      </c>
      <c r="K1178" s="177">
        <v>130</v>
      </c>
      <c r="L1178" s="253">
        <v>1000</v>
      </c>
      <c r="M1178" s="177" t="s">
        <v>153</v>
      </c>
      <c r="N1178" s="177" t="s">
        <v>149</v>
      </c>
      <c r="O1178" s="177" t="s">
        <v>154</v>
      </c>
      <c r="P1178" s="177" t="s">
        <v>151</v>
      </c>
      <c r="Q1178" s="177" t="s">
        <v>155</v>
      </c>
      <c r="R1178" s="177" t="s">
        <v>10047</v>
      </c>
      <c r="S1178" s="177"/>
      <c r="T1178" s="177" t="s">
        <v>3129</v>
      </c>
      <c r="U1178" s="177" t="s">
        <v>152</v>
      </c>
      <c r="V1178" s="177" t="s">
        <v>18</v>
      </c>
    </row>
    <row r="1179" spans="2:22">
      <c r="B1179" s="251">
        <v>46259</v>
      </c>
      <c r="C1179" s="251">
        <v>46259</v>
      </c>
      <c r="D1179" s="177" t="s">
        <v>10048</v>
      </c>
      <c r="E1179" s="177">
        <v>260106223370</v>
      </c>
      <c r="F1179" s="177" t="s">
        <v>87</v>
      </c>
      <c r="G1179" s="177" t="s">
        <v>824</v>
      </c>
      <c r="H1179" s="177">
        <v>182</v>
      </c>
      <c r="I1179" s="177">
        <v>228</v>
      </c>
      <c r="J1179" s="177">
        <v>228</v>
      </c>
      <c r="K1179" s="177">
        <v>104</v>
      </c>
      <c r="L1179" s="253">
        <v>1240</v>
      </c>
      <c r="M1179" s="177" t="s">
        <v>153</v>
      </c>
      <c r="N1179" s="177" t="s">
        <v>149</v>
      </c>
      <c r="O1179" s="177" t="s">
        <v>154</v>
      </c>
      <c r="P1179" s="177" t="s">
        <v>151</v>
      </c>
      <c r="Q1179" s="177" t="s">
        <v>155</v>
      </c>
      <c r="R1179" s="177" t="s">
        <v>10049</v>
      </c>
      <c r="S1179" s="177"/>
      <c r="T1179" s="177" t="s">
        <v>3129</v>
      </c>
      <c r="U1179" s="177" t="s">
        <v>152</v>
      </c>
      <c r="V1179" s="177" t="s">
        <v>18</v>
      </c>
    </row>
    <row r="1180" spans="2:22">
      <c r="B1180" s="251">
        <v>46259</v>
      </c>
      <c r="C1180" s="251">
        <v>46259</v>
      </c>
      <c r="D1180" s="177" t="s">
        <v>10050</v>
      </c>
      <c r="E1180" s="177">
        <v>260105023373</v>
      </c>
      <c r="F1180" s="177" t="s">
        <v>87</v>
      </c>
      <c r="G1180" s="177" t="s">
        <v>2407</v>
      </c>
      <c r="H1180" s="177">
        <v>160</v>
      </c>
      <c r="I1180" s="177">
        <v>261</v>
      </c>
      <c r="J1180" s="177">
        <v>261</v>
      </c>
      <c r="K1180" s="177">
        <v>102</v>
      </c>
      <c r="L1180" s="253">
        <v>1650</v>
      </c>
      <c r="M1180" s="177" t="s">
        <v>153</v>
      </c>
      <c r="N1180" s="177" t="s">
        <v>149</v>
      </c>
      <c r="O1180" s="177" t="s">
        <v>154</v>
      </c>
      <c r="P1180" s="177" t="s">
        <v>151</v>
      </c>
      <c r="Q1180" s="177" t="s">
        <v>155</v>
      </c>
      <c r="R1180" s="177" t="s">
        <v>10051</v>
      </c>
      <c r="S1180" s="177"/>
      <c r="T1180" s="177" t="s">
        <v>3129</v>
      </c>
      <c r="U1180" s="177" t="s">
        <v>152</v>
      </c>
      <c r="V1180" s="177" t="s">
        <v>18</v>
      </c>
    </row>
    <row r="1181" spans="2:22">
      <c r="B1181" s="251">
        <v>46259</v>
      </c>
      <c r="C1181" s="251">
        <v>46259</v>
      </c>
      <c r="D1181" s="177" t="s">
        <v>10052</v>
      </c>
      <c r="E1181" s="177">
        <v>260103423344</v>
      </c>
      <c r="F1181" s="177" t="s">
        <v>87</v>
      </c>
      <c r="G1181" s="177" t="s">
        <v>824</v>
      </c>
      <c r="H1181" s="177">
        <v>152</v>
      </c>
      <c r="I1181" s="177">
        <v>270</v>
      </c>
      <c r="J1181" s="177">
        <v>270</v>
      </c>
      <c r="K1181" s="177">
        <v>104</v>
      </c>
      <c r="L1181" s="253">
        <v>1725</v>
      </c>
      <c r="M1181" s="177" t="s">
        <v>153</v>
      </c>
      <c r="N1181" s="177" t="s">
        <v>149</v>
      </c>
      <c r="O1181" s="177" t="s">
        <v>154</v>
      </c>
      <c r="P1181" s="177" t="s">
        <v>151</v>
      </c>
      <c r="Q1181" s="177" t="s">
        <v>155</v>
      </c>
      <c r="R1181" s="177" t="s">
        <v>10053</v>
      </c>
      <c r="S1181" s="177"/>
      <c r="T1181" s="177" t="s">
        <v>3129</v>
      </c>
      <c r="U1181" s="177" t="s">
        <v>152</v>
      </c>
      <c r="V1181" s="177" t="s">
        <v>18</v>
      </c>
    </row>
    <row r="1182" spans="2:22">
      <c r="B1182" s="251">
        <v>46259</v>
      </c>
      <c r="C1182" s="251">
        <v>46259</v>
      </c>
      <c r="D1182" s="177" t="s">
        <v>10054</v>
      </c>
      <c r="E1182" s="177">
        <v>260102223385</v>
      </c>
      <c r="F1182" s="177" t="s">
        <v>87</v>
      </c>
      <c r="G1182" s="177" t="s">
        <v>9731</v>
      </c>
      <c r="H1182" s="177">
        <v>102</v>
      </c>
      <c r="I1182" s="177">
        <v>258</v>
      </c>
      <c r="J1182" s="177">
        <v>258</v>
      </c>
      <c r="K1182" s="177">
        <v>130</v>
      </c>
      <c r="L1182" s="253">
        <v>1000</v>
      </c>
      <c r="M1182" s="177" t="s">
        <v>153</v>
      </c>
      <c r="N1182" s="177" t="s">
        <v>149</v>
      </c>
      <c r="O1182" s="177" t="s">
        <v>154</v>
      </c>
      <c r="P1182" s="177" t="s">
        <v>151</v>
      </c>
      <c r="Q1182" s="177" t="s">
        <v>155</v>
      </c>
      <c r="R1182" s="177" t="s">
        <v>10055</v>
      </c>
      <c r="S1182" s="177"/>
      <c r="T1182" s="177" t="s">
        <v>3129</v>
      </c>
      <c r="U1182" s="177" t="s">
        <v>152</v>
      </c>
      <c r="V1182" s="177" t="s">
        <v>18</v>
      </c>
    </row>
    <row r="1183" spans="2:22">
      <c r="B1183" s="251">
        <v>46259</v>
      </c>
      <c r="C1183" s="251">
        <v>46259</v>
      </c>
      <c r="D1183" s="177" t="s">
        <v>10056</v>
      </c>
      <c r="E1183" s="177">
        <v>260101923386</v>
      </c>
      <c r="F1183" s="177" t="s">
        <v>87</v>
      </c>
      <c r="G1183" s="177" t="s">
        <v>8681</v>
      </c>
      <c r="H1183" s="177">
        <v>92</v>
      </c>
      <c r="I1183" s="177">
        <v>201</v>
      </c>
      <c r="J1183" s="177">
        <v>201</v>
      </c>
      <c r="K1183" s="177">
        <v>134</v>
      </c>
      <c r="L1183" s="253">
        <v>830</v>
      </c>
      <c r="M1183" s="177" t="s">
        <v>153</v>
      </c>
      <c r="N1183" s="177" t="s">
        <v>149</v>
      </c>
      <c r="O1183" s="177" t="s">
        <v>154</v>
      </c>
      <c r="P1183" s="177" t="s">
        <v>151</v>
      </c>
      <c r="Q1183" s="177" t="s">
        <v>155</v>
      </c>
      <c r="R1183" s="177" t="s">
        <v>10057</v>
      </c>
      <c r="S1183" s="177"/>
      <c r="T1183" s="177" t="s">
        <v>3129</v>
      </c>
      <c r="U1183" s="177" t="s">
        <v>152</v>
      </c>
      <c r="V1183" s="177" t="s">
        <v>18</v>
      </c>
    </row>
    <row r="1184" spans="2:22">
      <c r="B1184" s="251">
        <v>46259</v>
      </c>
      <c r="C1184" s="251">
        <v>46259</v>
      </c>
      <c r="D1184" s="177" t="s">
        <v>10058</v>
      </c>
      <c r="E1184" s="177">
        <v>260101523348</v>
      </c>
      <c r="F1184" s="177" t="s">
        <v>87</v>
      </c>
      <c r="G1184" s="177" t="s">
        <v>2408</v>
      </c>
      <c r="H1184" s="177">
        <v>112</v>
      </c>
      <c r="I1184" s="177">
        <v>353</v>
      </c>
      <c r="J1184" s="177">
        <v>353</v>
      </c>
      <c r="K1184" s="177">
        <v>160</v>
      </c>
      <c r="L1184" s="253">
        <v>1000</v>
      </c>
      <c r="M1184" s="177" t="s">
        <v>153</v>
      </c>
      <c r="N1184" s="177" t="s">
        <v>149</v>
      </c>
      <c r="O1184" s="177" t="s">
        <v>154</v>
      </c>
      <c r="P1184" s="177" t="s">
        <v>151</v>
      </c>
      <c r="Q1184" s="177" t="s">
        <v>155</v>
      </c>
      <c r="R1184" s="177" t="s">
        <v>10059</v>
      </c>
      <c r="S1184" s="177"/>
      <c r="T1184" s="177" t="s">
        <v>3129</v>
      </c>
      <c r="U1184" s="177" t="s">
        <v>152</v>
      </c>
      <c r="V1184" s="177" t="s">
        <v>18</v>
      </c>
    </row>
    <row r="1185" spans="2:22">
      <c r="B1185" s="251">
        <v>46259</v>
      </c>
      <c r="C1185" s="251">
        <v>46259</v>
      </c>
      <c r="D1185" s="177" t="s">
        <v>10060</v>
      </c>
      <c r="E1185" s="177">
        <v>260102923342</v>
      </c>
      <c r="F1185" s="177" t="s">
        <v>87</v>
      </c>
      <c r="G1185" s="177" t="s">
        <v>824</v>
      </c>
      <c r="H1185" s="177">
        <v>152</v>
      </c>
      <c r="I1185" s="177">
        <v>280</v>
      </c>
      <c r="J1185" s="177">
        <v>280</v>
      </c>
      <c r="K1185" s="177">
        <v>104</v>
      </c>
      <c r="L1185" s="253">
        <v>1850</v>
      </c>
      <c r="M1185" s="177" t="s">
        <v>153</v>
      </c>
      <c r="N1185" s="177" t="s">
        <v>149</v>
      </c>
      <c r="O1185" s="177" t="s">
        <v>154</v>
      </c>
      <c r="P1185" s="177" t="s">
        <v>151</v>
      </c>
      <c r="Q1185" s="177" t="s">
        <v>155</v>
      </c>
      <c r="R1185" s="177" t="s">
        <v>10061</v>
      </c>
      <c r="S1185" s="177"/>
      <c r="T1185" s="177" t="s">
        <v>3129</v>
      </c>
      <c r="U1185" s="177" t="s">
        <v>152</v>
      </c>
      <c r="V1185" s="177" t="s">
        <v>18</v>
      </c>
    </row>
    <row r="1186" spans="2:22">
      <c r="B1186" s="251">
        <v>46259</v>
      </c>
      <c r="C1186" s="251">
        <v>46259</v>
      </c>
      <c r="D1186" s="177" t="s">
        <v>10062</v>
      </c>
      <c r="E1186" s="177">
        <v>260104623352</v>
      </c>
      <c r="F1186" s="177" t="s">
        <v>87</v>
      </c>
      <c r="G1186" s="177" t="s">
        <v>824</v>
      </c>
      <c r="H1186" s="177">
        <v>152</v>
      </c>
      <c r="I1186" s="177">
        <v>284</v>
      </c>
      <c r="J1186" s="177">
        <v>284</v>
      </c>
      <c r="K1186" s="177">
        <v>104</v>
      </c>
      <c r="L1186" s="253">
        <v>1900</v>
      </c>
      <c r="M1186" s="177" t="s">
        <v>153</v>
      </c>
      <c r="N1186" s="177" t="s">
        <v>149</v>
      </c>
      <c r="O1186" s="177" t="s">
        <v>154</v>
      </c>
      <c r="P1186" s="177" t="s">
        <v>151</v>
      </c>
      <c r="Q1186" s="177" t="s">
        <v>155</v>
      </c>
      <c r="R1186" s="177" t="s">
        <v>10063</v>
      </c>
      <c r="S1186" s="177"/>
      <c r="T1186" s="177" t="s">
        <v>3129</v>
      </c>
      <c r="U1186" s="177" t="s">
        <v>152</v>
      </c>
      <c r="V1186" s="177" t="s">
        <v>18</v>
      </c>
    </row>
    <row r="1187" spans="2:22">
      <c r="B1187" s="251">
        <v>46259</v>
      </c>
      <c r="C1187" s="251">
        <v>46259</v>
      </c>
      <c r="D1187" s="177" t="s">
        <v>10064</v>
      </c>
      <c r="E1187" s="177">
        <v>260107323355</v>
      </c>
      <c r="F1187" s="177" t="s">
        <v>87</v>
      </c>
      <c r="G1187" s="177" t="s">
        <v>2530</v>
      </c>
      <c r="H1187" s="177">
        <v>162</v>
      </c>
      <c r="I1187" s="177">
        <v>224</v>
      </c>
      <c r="J1187" s="177">
        <v>224</v>
      </c>
      <c r="K1187" s="177">
        <v>102</v>
      </c>
      <c r="L1187" s="253">
        <v>1385</v>
      </c>
      <c r="M1187" s="177" t="s">
        <v>153</v>
      </c>
      <c r="N1187" s="177" t="s">
        <v>149</v>
      </c>
      <c r="O1187" s="177" t="s">
        <v>154</v>
      </c>
      <c r="P1187" s="177" t="s">
        <v>151</v>
      </c>
      <c r="Q1187" s="177" t="s">
        <v>155</v>
      </c>
      <c r="R1187" s="177" t="s">
        <v>10065</v>
      </c>
      <c r="S1187" s="177"/>
      <c r="T1187" s="177" t="s">
        <v>3129</v>
      </c>
      <c r="U1187" s="177" t="s">
        <v>152</v>
      </c>
      <c r="V1187" s="177" t="s">
        <v>18</v>
      </c>
    </row>
    <row r="1188" spans="2:22">
      <c r="B1188" s="251">
        <v>46259</v>
      </c>
      <c r="C1188" s="251">
        <v>46259</v>
      </c>
      <c r="D1188" s="177" t="s">
        <v>10066</v>
      </c>
      <c r="E1188" s="177">
        <v>260101423362</v>
      </c>
      <c r="F1188" s="177" t="s">
        <v>87</v>
      </c>
      <c r="G1188" s="177" t="s">
        <v>824</v>
      </c>
      <c r="H1188" s="177">
        <v>152</v>
      </c>
      <c r="I1188" s="177">
        <v>230</v>
      </c>
      <c r="J1188" s="177">
        <v>230</v>
      </c>
      <c r="K1188" s="177">
        <v>104</v>
      </c>
      <c r="L1188" s="253">
        <v>1500</v>
      </c>
      <c r="M1188" s="177" t="s">
        <v>153</v>
      </c>
      <c r="N1188" s="177" t="s">
        <v>149</v>
      </c>
      <c r="O1188" s="177" t="s">
        <v>154</v>
      </c>
      <c r="P1188" s="177" t="s">
        <v>151</v>
      </c>
      <c r="Q1188" s="177" t="s">
        <v>155</v>
      </c>
      <c r="R1188" s="177" t="s">
        <v>10067</v>
      </c>
      <c r="S1188" s="177"/>
      <c r="T1188" s="177" t="s">
        <v>3129</v>
      </c>
      <c r="U1188" s="177" t="s">
        <v>152</v>
      </c>
      <c r="V1188" s="177" t="s">
        <v>18</v>
      </c>
    </row>
    <row r="1189" spans="2:22">
      <c r="B1189" s="251">
        <v>46259</v>
      </c>
      <c r="C1189" s="251">
        <v>46259</v>
      </c>
      <c r="D1189" s="177" t="s">
        <v>10068</v>
      </c>
      <c r="E1189" s="177">
        <v>260105423378</v>
      </c>
      <c r="F1189" s="177" t="s">
        <v>87</v>
      </c>
      <c r="G1189" s="177" t="s">
        <v>2364</v>
      </c>
      <c r="H1189" s="177">
        <v>142</v>
      </c>
      <c r="I1189" s="177">
        <v>180</v>
      </c>
      <c r="J1189" s="177">
        <v>180</v>
      </c>
      <c r="K1189" s="177">
        <v>67</v>
      </c>
      <c r="L1189" s="253">
        <v>1930</v>
      </c>
      <c r="M1189" s="177" t="s">
        <v>153</v>
      </c>
      <c r="N1189" s="177" t="s">
        <v>149</v>
      </c>
      <c r="O1189" s="177" t="s">
        <v>154</v>
      </c>
      <c r="P1189" s="177" t="s">
        <v>151</v>
      </c>
      <c r="Q1189" s="177" t="s">
        <v>155</v>
      </c>
      <c r="R1189" s="177" t="s">
        <v>10069</v>
      </c>
      <c r="S1189" s="177"/>
      <c r="T1189" s="177" t="s">
        <v>3129</v>
      </c>
      <c r="U1189" s="177" t="s">
        <v>152</v>
      </c>
      <c r="V1189" s="177" t="s">
        <v>18</v>
      </c>
    </row>
    <row r="1190" spans="2:22">
      <c r="B1190" s="251">
        <v>46259</v>
      </c>
      <c r="C1190" s="251">
        <v>46259</v>
      </c>
      <c r="D1190" s="177" t="s">
        <v>10070</v>
      </c>
      <c r="E1190" s="177">
        <v>260107523383</v>
      </c>
      <c r="F1190" s="177" t="s">
        <v>87</v>
      </c>
      <c r="G1190" s="177" t="s">
        <v>2415</v>
      </c>
      <c r="H1190" s="177">
        <v>140</v>
      </c>
      <c r="I1190" s="177">
        <v>290</v>
      </c>
      <c r="J1190" s="177">
        <v>290</v>
      </c>
      <c r="K1190" s="177">
        <v>88</v>
      </c>
      <c r="L1190" s="253">
        <v>2430</v>
      </c>
      <c r="M1190" s="177" t="s">
        <v>153</v>
      </c>
      <c r="N1190" s="177" t="s">
        <v>149</v>
      </c>
      <c r="O1190" s="177" t="s">
        <v>154</v>
      </c>
      <c r="P1190" s="177" t="s">
        <v>151</v>
      </c>
      <c r="Q1190" s="177" t="s">
        <v>155</v>
      </c>
      <c r="R1190" s="177" t="s">
        <v>10071</v>
      </c>
      <c r="S1190" s="177"/>
      <c r="T1190" s="177" t="s">
        <v>3129</v>
      </c>
      <c r="U1190" s="177" t="s">
        <v>152</v>
      </c>
      <c r="V1190" s="177" t="s">
        <v>18</v>
      </c>
    </row>
    <row r="1191" spans="2:22">
      <c r="B1191" s="251">
        <v>46259</v>
      </c>
      <c r="C1191" s="251">
        <v>46259</v>
      </c>
      <c r="D1191" s="177" t="s">
        <v>10072</v>
      </c>
      <c r="E1191" s="177">
        <v>260102623391</v>
      </c>
      <c r="F1191" s="177" t="s">
        <v>87</v>
      </c>
      <c r="G1191" s="177" t="s">
        <v>8032</v>
      </c>
      <c r="H1191" s="177">
        <v>102</v>
      </c>
      <c r="I1191" s="177">
        <v>264</v>
      </c>
      <c r="J1191" s="177">
        <v>264</v>
      </c>
      <c r="K1191" s="177">
        <v>130</v>
      </c>
      <c r="L1191" s="253">
        <v>1000</v>
      </c>
      <c r="M1191" s="177" t="s">
        <v>153</v>
      </c>
      <c r="N1191" s="177" t="s">
        <v>149</v>
      </c>
      <c r="O1191" s="177" t="s">
        <v>154</v>
      </c>
      <c r="P1191" s="177" t="s">
        <v>151</v>
      </c>
      <c r="Q1191" s="177" t="s">
        <v>155</v>
      </c>
      <c r="R1191" s="177" t="s">
        <v>10073</v>
      </c>
      <c r="S1191" s="177"/>
      <c r="T1191" s="177" t="s">
        <v>3129</v>
      </c>
      <c r="U1191" s="177" t="s">
        <v>152</v>
      </c>
      <c r="V1191" s="177" t="s">
        <v>18</v>
      </c>
    </row>
    <row r="1192" spans="2:22">
      <c r="B1192" s="251">
        <v>46259</v>
      </c>
      <c r="C1192" s="251">
        <v>46259</v>
      </c>
      <c r="D1192" s="177" t="s">
        <v>10074</v>
      </c>
      <c r="E1192" s="177">
        <v>260101823384</v>
      </c>
      <c r="F1192" s="177" t="s">
        <v>87</v>
      </c>
      <c r="G1192" s="177" t="s">
        <v>8681</v>
      </c>
      <c r="H1192" s="177">
        <v>92</v>
      </c>
      <c r="I1192" s="177">
        <v>259</v>
      </c>
      <c r="J1192" s="177">
        <v>259</v>
      </c>
      <c r="K1192" s="177">
        <v>134</v>
      </c>
      <c r="L1192" s="253">
        <v>1050</v>
      </c>
      <c r="M1192" s="177" t="s">
        <v>153</v>
      </c>
      <c r="N1192" s="177" t="s">
        <v>149</v>
      </c>
      <c r="O1192" s="177" t="s">
        <v>154</v>
      </c>
      <c r="P1192" s="177" t="s">
        <v>151</v>
      </c>
      <c r="Q1192" s="177" t="s">
        <v>155</v>
      </c>
      <c r="R1192" s="177" t="s">
        <v>10075</v>
      </c>
      <c r="S1192" s="177"/>
      <c r="T1192" s="177" t="s">
        <v>3129</v>
      </c>
      <c r="U1192" s="177" t="s">
        <v>152</v>
      </c>
      <c r="V1192" s="177" t="s">
        <v>18</v>
      </c>
    </row>
    <row r="1193" spans="2:22">
      <c r="B1193" s="251">
        <v>46259</v>
      </c>
      <c r="C1193" s="251">
        <v>46259</v>
      </c>
      <c r="D1193" s="177" t="s">
        <v>10076</v>
      </c>
      <c r="E1193" s="177">
        <v>260106123339</v>
      </c>
      <c r="F1193" s="177" t="s">
        <v>87</v>
      </c>
      <c r="G1193" s="177" t="s">
        <v>9752</v>
      </c>
      <c r="H1193" s="177">
        <v>140</v>
      </c>
      <c r="I1193" s="177">
        <v>255</v>
      </c>
      <c r="J1193" s="177">
        <v>255</v>
      </c>
      <c r="K1193" s="177">
        <v>83</v>
      </c>
      <c r="L1193" s="253">
        <v>2250</v>
      </c>
      <c r="M1193" s="177" t="s">
        <v>153</v>
      </c>
      <c r="N1193" s="177" t="s">
        <v>149</v>
      </c>
      <c r="O1193" s="177" t="s">
        <v>154</v>
      </c>
      <c r="P1193" s="177" t="s">
        <v>151</v>
      </c>
      <c r="Q1193" s="177" t="s">
        <v>155</v>
      </c>
      <c r="R1193" s="177" t="s">
        <v>10077</v>
      </c>
      <c r="S1193" s="177"/>
      <c r="T1193" s="177"/>
      <c r="U1193" s="177" t="s">
        <v>152</v>
      </c>
      <c r="V1193" s="177" t="s">
        <v>18</v>
      </c>
    </row>
    <row r="1194" spans="2:22">
      <c r="B1194" s="251">
        <v>46259</v>
      </c>
      <c r="C1194" s="251">
        <v>46259</v>
      </c>
      <c r="D1194" s="177" t="s">
        <v>10078</v>
      </c>
      <c r="E1194" s="177">
        <v>260102923343</v>
      </c>
      <c r="F1194" s="177" t="s">
        <v>87</v>
      </c>
      <c r="G1194" s="177" t="s">
        <v>824</v>
      </c>
      <c r="H1194" s="177">
        <v>152</v>
      </c>
      <c r="I1194" s="177">
        <v>286</v>
      </c>
      <c r="J1194" s="177">
        <v>286</v>
      </c>
      <c r="K1194" s="177">
        <v>104</v>
      </c>
      <c r="L1194" s="253">
        <v>1850</v>
      </c>
      <c r="M1194" s="177" t="s">
        <v>153</v>
      </c>
      <c r="N1194" s="177" t="s">
        <v>149</v>
      </c>
      <c r="O1194" s="177" t="s">
        <v>154</v>
      </c>
      <c r="P1194" s="177" t="s">
        <v>151</v>
      </c>
      <c r="Q1194" s="177" t="s">
        <v>155</v>
      </c>
      <c r="R1194" s="177" t="s">
        <v>10079</v>
      </c>
      <c r="S1194" s="177"/>
      <c r="T1194" s="177" t="s">
        <v>3129</v>
      </c>
      <c r="U1194" s="177" t="s">
        <v>152</v>
      </c>
      <c r="V1194" s="177" t="s">
        <v>18</v>
      </c>
    </row>
    <row r="1195" spans="2:22">
      <c r="B1195" s="251">
        <v>46259</v>
      </c>
      <c r="C1195" s="251">
        <v>46259</v>
      </c>
      <c r="D1195" s="177" t="s">
        <v>10080</v>
      </c>
      <c r="E1195" s="177">
        <v>260105823351</v>
      </c>
      <c r="F1195" s="177" t="s">
        <v>87</v>
      </c>
      <c r="G1195" s="177" t="s">
        <v>824</v>
      </c>
      <c r="H1195" s="177">
        <v>152</v>
      </c>
      <c r="I1195" s="177">
        <v>260</v>
      </c>
      <c r="J1195" s="177">
        <v>260</v>
      </c>
      <c r="K1195" s="177">
        <v>104</v>
      </c>
      <c r="L1195" s="253">
        <v>1695</v>
      </c>
      <c r="M1195" s="177" t="s">
        <v>153</v>
      </c>
      <c r="N1195" s="177" t="s">
        <v>149</v>
      </c>
      <c r="O1195" s="177" t="s">
        <v>154</v>
      </c>
      <c r="P1195" s="177" t="s">
        <v>151</v>
      </c>
      <c r="Q1195" s="177" t="s">
        <v>155</v>
      </c>
      <c r="R1195" s="177" t="s">
        <v>10081</v>
      </c>
      <c r="S1195" s="177"/>
      <c r="T1195" s="177" t="s">
        <v>3129</v>
      </c>
      <c r="U1195" s="177" t="s">
        <v>152</v>
      </c>
      <c r="V1195" s="177" t="s">
        <v>18</v>
      </c>
    </row>
    <row r="1196" spans="2:22">
      <c r="B1196" s="251">
        <v>46259</v>
      </c>
      <c r="C1196" s="251">
        <v>46259</v>
      </c>
      <c r="D1196" s="177" t="s">
        <v>10082</v>
      </c>
      <c r="E1196" s="177">
        <v>260107623353</v>
      </c>
      <c r="F1196" s="177" t="s">
        <v>87</v>
      </c>
      <c r="G1196" s="177" t="s">
        <v>8646</v>
      </c>
      <c r="H1196" s="177">
        <v>135</v>
      </c>
      <c r="I1196" s="177">
        <v>331</v>
      </c>
      <c r="J1196" s="177">
        <v>331</v>
      </c>
      <c r="K1196" s="177">
        <v>97</v>
      </c>
      <c r="L1196" s="253">
        <v>2600</v>
      </c>
      <c r="M1196" s="177" t="s">
        <v>153</v>
      </c>
      <c r="N1196" s="177" t="s">
        <v>149</v>
      </c>
      <c r="O1196" s="177" t="s">
        <v>154</v>
      </c>
      <c r="P1196" s="177" t="s">
        <v>151</v>
      </c>
      <c r="Q1196" s="177" t="s">
        <v>155</v>
      </c>
      <c r="R1196" s="177" t="s">
        <v>10083</v>
      </c>
      <c r="S1196" s="177"/>
      <c r="T1196" s="177" t="s">
        <v>3129</v>
      </c>
      <c r="U1196" s="177" t="s">
        <v>152</v>
      </c>
      <c r="V1196" s="177" t="s">
        <v>18</v>
      </c>
    </row>
    <row r="1197" spans="2:22">
      <c r="B1197" s="251">
        <v>46260</v>
      </c>
      <c r="C1197" s="251">
        <v>46260</v>
      </c>
      <c r="D1197" s="177" t="s">
        <v>10084</v>
      </c>
      <c r="E1197" s="177">
        <v>260103923402</v>
      </c>
      <c r="F1197" s="177" t="s">
        <v>87</v>
      </c>
      <c r="G1197" s="177" t="s">
        <v>2304</v>
      </c>
      <c r="H1197" s="177">
        <v>132</v>
      </c>
      <c r="I1197" s="177">
        <v>321</v>
      </c>
      <c r="J1197" s="177">
        <v>321</v>
      </c>
      <c r="K1197" s="177">
        <v>97</v>
      </c>
      <c r="L1197" s="253">
        <v>2600</v>
      </c>
      <c r="M1197" s="177" t="s">
        <v>153</v>
      </c>
      <c r="N1197" s="177" t="s">
        <v>149</v>
      </c>
      <c r="O1197" s="177" t="s">
        <v>154</v>
      </c>
      <c r="P1197" s="177" t="s">
        <v>151</v>
      </c>
      <c r="Q1197" s="177" t="s">
        <v>155</v>
      </c>
      <c r="R1197" s="177" t="s">
        <v>10085</v>
      </c>
      <c r="S1197" s="177"/>
      <c r="T1197" s="177" t="s">
        <v>3157</v>
      </c>
      <c r="U1197" s="177" t="s">
        <v>152</v>
      </c>
      <c r="V1197" s="177" t="s">
        <v>18</v>
      </c>
    </row>
    <row r="1198" spans="2:22">
      <c r="B1198" s="251">
        <v>46260</v>
      </c>
      <c r="C1198" s="251">
        <v>46260</v>
      </c>
      <c r="D1198" s="177" t="s">
        <v>10086</v>
      </c>
      <c r="E1198" s="177">
        <v>260101423433</v>
      </c>
      <c r="F1198" s="177" t="s">
        <v>87</v>
      </c>
      <c r="G1198" s="177" t="s">
        <v>824</v>
      </c>
      <c r="H1198" s="177">
        <v>152</v>
      </c>
      <c r="I1198" s="177">
        <v>228</v>
      </c>
      <c r="J1198" s="177">
        <v>228</v>
      </c>
      <c r="K1198" s="177">
        <v>104</v>
      </c>
      <c r="L1198" s="253">
        <v>1520</v>
      </c>
      <c r="M1198" s="177" t="s">
        <v>153</v>
      </c>
      <c r="N1198" s="177" t="s">
        <v>149</v>
      </c>
      <c r="O1198" s="177" t="s">
        <v>154</v>
      </c>
      <c r="P1198" s="177" t="s">
        <v>151</v>
      </c>
      <c r="Q1198" s="177" t="s">
        <v>155</v>
      </c>
      <c r="R1198" s="177" t="s">
        <v>10087</v>
      </c>
      <c r="S1198" s="177"/>
      <c r="T1198" s="177" t="s">
        <v>3157</v>
      </c>
      <c r="U1198" s="177" t="s">
        <v>152</v>
      </c>
      <c r="V1198" s="177" t="s">
        <v>18</v>
      </c>
    </row>
    <row r="1199" spans="2:22">
      <c r="B1199" s="251">
        <v>46260</v>
      </c>
      <c r="C1199" s="251">
        <v>46260</v>
      </c>
      <c r="D1199" s="177" t="s">
        <v>10088</v>
      </c>
      <c r="E1199" s="177">
        <v>260102823435</v>
      </c>
      <c r="F1199" s="177" t="s">
        <v>87</v>
      </c>
      <c r="G1199" s="177" t="s">
        <v>8032</v>
      </c>
      <c r="H1199" s="177">
        <v>102</v>
      </c>
      <c r="I1199" s="177">
        <v>263</v>
      </c>
      <c r="J1199" s="177">
        <v>263</v>
      </c>
      <c r="K1199" s="177">
        <v>130</v>
      </c>
      <c r="L1199" s="253">
        <v>1000</v>
      </c>
      <c r="M1199" s="177" t="s">
        <v>153</v>
      </c>
      <c r="N1199" s="177" t="s">
        <v>149</v>
      </c>
      <c r="O1199" s="177" t="s">
        <v>154</v>
      </c>
      <c r="P1199" s="177" t="s">
        <v>151</v>
      </c>
      <c r="Q1199" s="177" t="s">
        <v>155</v>
      </c>
      <c r="R1199" s="177" t="s">
        <v>10089</v>
      </c>
      <c r="S1199" s="177"/>
      <c r="T1199" s="177" t="s">
        <v>3157</v>
      </c>
      <c r="U1199" s="177" t="s">
        <v>152</v>
      </c>
      <c r="V1199" s="177" t="s">
        <v>18</v>
      </c>
    </row>
    <row r="1200" spans="2:22">
      <c r="B1200" s="251">
        <v>46260</v>
      </c>
      <c r="C1200" s="251">
        <v>46260</v>
      </c>
      <c r="D1200" s="177" t="s">
        <v>10090</v>
      </c>
      <c r="E1200" s="177">
        <v>260102723436</v>
      </c>
      <c r="F1200" s="177" t="s">
        <v>87</v>
      </c>
      <c r="G1200" s="177" t="s">
        <v>8032</v>
      </c>
      <c r="H1200" s="177">
        <v>102</v>
      </c>
      <c r="I1200" s="177">
        <v>258</v>
      </c>
      <c r="J1200" s="177">
        <v>258</v>
      </c>
      <c r="K1200" s="177">
        <v>130</v>
      </c>
      <c r="L1200" s="253">
        <v>1000</v>
      </c>
      <c r="M1200" s="177" t="s">
        <v>153</v>
      </c>
      <c r="N1200" s="177" t="s">
        <v>149</v>
      </c>
      <c r="O1200" s="177" t="s">
        <v>154</v>
      </c>
      <c r="P1200" s="177" t="s">
        <v>151</v>
      </c>
      <c r="Q1200" s="177" t="s">
        <v>155</v>
      </c>
      <c r="R1200" s="177" t="s">
        <v>10091</v>
      </c>
      <c r="S1200" s="177"/>
      <c r="T1200" s="177" t="s">
        <v>3157</v>
      </c>
      <c r="U1200" s="177" t="s">
        <v>152</v>
      </c>
      <c r="V1200" s="177" t="s">
        <v>18</v>
      </c>
    </row>
    <row r="1201" spans="2:22">
      <c r="B1201" s="251">
        <v>46260</v>
      </c>
      <c r="C1201" s="251">
        <v>46260</v>
      </c>
      <c r="D1201" s="177" t="s">
        <v>10092</v>
      </c>
      <c r="E1201" s="177">
        <v>260101823440</v>
      </c>
      <c r="F1201" s="177" t="s">
        <v>87</v>
      </c>
      <c r="G1201" s="177" t="s">
        <v>8681</v>
      </c>
      <c r="H1201" s="177">
        <v>92</v>
      </c>
      <c r="I1201" s="177">
        <v>248</v>
      </c>
      <c r="J1201" s="177">
        <v>248</v>
      </c>
      <c r="K1201" s="177">
        <v>134</v>
      </c>
      <c r="L1201" s="253">
        <v>1000</v>
      </c>
      <c r="M1201" s="177" t="s">
        <v>153</v>
      </c>
      <c r="N1201" s="177" t="s">
        <v>149</v>
      </c>
      <c r="O1201" s="177" t="s">
        <v>154</v>
      </c>
      <c r="P1201" s="177" t="s">
        <v>151</v>
      </c>
      <c r="Q1201" s="177" t="s">
        <v>155</v>
      </c>
      <c r="R1201" s="177" t="s">
        <v>10093</v>
      </c>
      <c r="S1201" s="177"/>
      <c r="T1201" s="177" t="s">
        <v>3157</v>
      </c>
      <c r="U1201" s="177" t="s">
        <v>152</v>
      </c>
      <c r="V1201" s="177" t="s">
        <v>18</v>
      </c>
    </row>
    <row r="1202" spans="2:22">
      <c r="B1202" s="251">
        <v>46260</v>
      </c>
      <c r="C1202" s="251">
        <v>46260</v>
      </c>
      <c r="D1202" s="177" t="s">
        <v>10094</v>
      </c>
      <c r="E1202" s="177">
        <v>260103423452</v>
      </c>
      <c r="F1202" s="177" t="s">
        <v>87</v>
      </c>
      <c r="G1202" s="177" t="s">
        <v>824</v>
      </c>
      <c r="H1202" s="177">
        <v>152</v>
      </c>
      <c r="I1202" s="177">
        <v>261</v>
      </c>
      <c r="J1202" s="177">
        <v>261</v>
      </c>
      <c r="K1202" s="177">
        <v>104</v>
      </c>
      <c r="L1202" s="253">
        <v>1710</v>
      </c>
      <c r="M1202" s="177" t="s">
        <v>153</v>
      </c>
      <c r="N1202" s="177" t="s">
        <v>149</v>
      </c>
      <c r="O1202" s="177" t="s">
        <v>154</v>
      </c>
      <c r="P1202" s="177" t="s">
        <v>151</v>
      </c>
      <c r="Q1202" s="177" t="s">
        <v>155</v>
      </c>
      <c r="R1202" s="177" t="s">
        <v>10095</v>
      </c>
      <c r="S1202" s="177"/>
      <c r="T1202" s="177" t="s">
        <v>3157</v>
      </c>
      <c r="U1202" s="177" t="s">
        <v>152</v>
      </c>
      <c r="V1202" s="177" t="s">
        <v>18</v>
      </c>
    </row>
    <row r="1203" spans="2:22">
      <c r="B1203" s="251">
        <v>46260</v>
      </c>
      <c r="C1203" s="251">
        <v>46260</v>
      </c>
      <c r="D1203" s="177" t="s">
        <v>10096</v>
      </c>
      <c r="E1203" s="177">
        <v>260105023457</v>
      </c>
      <c r="F1203" s="177" t="s">
        <v>87</v>
      </c>
      <c r="G1203" s="177" t="s">
        <v>2407</v>
      </c>
      <c r="H1203" s="177">
        <v>160</v>
      </c>
      <c r="I1203" s="177">
        <v>297</v>
      </c>
      <c r="J1203" s="177">
        <v>297</v>
      </c>
      <c r="K1203" s="177">
        <v>102</v>
      </c>
      <c r="L1203" s="253">
        <v>1880</v>
      </c>
      <c r="M1203" s="177" t="s">
        <v>153</v>
      </c>
      <c r="N1203" s="177" t="s">
        <v>149</v>
      </c>
      <c r="O1203" s="177" t="s">
        <v>154</v>
      </c>
      <c r="P1203" s="177" t="s">
        <v>151</v>
      </c>
      <c r="Q1203" s="177" t="s">
        <v>155</v>
      </c>
      <c r="R1203" s="177" t="s">
        <v>10097</v>
      </c>
      <c r="S1203" s="177"/>
      <c r="T1203" s="177" t="s">
        <v>3157</v>
      </c>
      <c r="U1203" s="177" t="s">
        <v>152</v>
      </c>
      <c r="V1203" s="177" t="s">
        <v>18</v>
      </c>
    </row>
    <row r="1204" spans="2:22">
      <c r="B1204" s="251">
        <v>46260</v>
      </c>
      <c r="C1204" s="251">
        <v>46260</v>
      </c>
      <c r="D1204" s="177" t="s">
        <v>10098</v>
      </c>
      <c r="E1204" s="177">
        <v>260102223442</v>
      </c>
      <c r="F1204" s="177" t="s">
        <v>87</v>
      </c>
      <c r="G1204" s="177" t="s">
        <v>9731</v>
      </c>
      <c r="H1204" s="177">
        <v>102</v>
      </c>
      <c r="I1204" s="177">
        <v>260</v>
      </c>
      <c r="J1204" s="177">
        <v>260</v>
      </c>
      <c r="K1204" s="177">
        <v>130</v>
      </c>
      <c r="L1204" s="253">
        <v>1000</v>
      </c>
      <c r="M1204" s="177" t="s">
        <v>153</v>
      </c>
      <c r="N1204" s="177" t="s">
        <v>149</v>
      </c>
      <c r="O1204" s="177" t="s">
        <v>154</v>
      </c>
      <c r="P1204" s="177" t="s">
        <v>151</v>
      </c>
      <c r="Q1204" s="177" t="s">
        <v>155</v>
      </c>
      <c r="R1204" s="177" t="s">
        <v>10099</v>
      </c>
      <c r="S1204" s="177"/>
      <c r="T1204" s="177" t="s">
        <v>3157</v>
      </c>
      <c r="U1204" s="177" t="s">
        <v>152</v>
      </c>
      <c r="V1204" s="177" t="s">
        <v>18</v>
      </c>
    </row>
    <row r="1205" spans="2:22">
      <c r="B1205" s="251">
        <v>46260</v>
      </c>
      <c r="C1205" s="251">
        <v>46260</v>
      </c>
      <c r="D1205" s="177" t="s">
        <v>10100</v>
      </c>
      <c r="E1205" s="177">
        <v>260107423463</v>
      </c>
      <c r="F1205" s="177" t="s">
        <v>87</v>
      </c>
      <c r="G1205" s="177" t="s">
        <v>2304</v>
      </c>
      <c r="H1205" s="177">
        <v>132</v>
      </c>
      <c r="I1205" s="177">
        <v>307</v>
      </c>
      <c r="J1205" s="177">
        <v>307</v>
      </c>
      <c r="K1205" s="177">
        <v>97</v>
      </c>
      <c r="L1205" s="253">
        <v>2580</v>
      </c>
      <c r="M1205" s="177" t="s">
        <v>153</v>
      </c>
      <c r="N1205" s="177" t="s">
        <v>149</v>
      </c>
      <c r="O1205" s="177" t="s">
        <v>154</v>
      </c>
      <c r="P1205" s="177" t="s">
        <v>151</v>
      </c>
      <c r="Q1205" s="177" t="s">
        <v>155</v>
      </c>
      <c r="R1205" s="177" t="s">
        <v>10101</v>
      </c>
      <c r="S1205" s="177"/>
      <c r="T1205" s="177" t="s">
        <v>3157</v>
      </c>
      <c r="U1205" s="177" t="s">
        <v>152</v>
      </c>
      <c r="V1205" s="177" t="s">
        <v>18</v>
      </c>
    </row>
    <row r="1206" spans="2:22">
      <c r="B1206" s="251">
        <v>46260</v>
      </c>
      <c r="C1206" s="251">
        <v>46260</v>
      </c>
      <c r="D1206" s="177" t="s">
        <v>10102</v>
      </c>
      <c r="E1206" s="177">
        <v>260102923401</v>
      </c>
      <c r="F1206" s="177" t="s">
        <v>87</v>
      </c>
      <c r="G1206" s="177" t="s">
        <v>824</v>
      </c>
      <c r="H1206" s="177">
        <v>152</v>
      </c>
      <c r="I1206" s="177">
        <v>318</v>
      </c>
      <c r="J1206" s="177">
        <v>318</v>
      </c>
      <c r="K1206" s="177">
        <v>104</v>
      </c>
      <c r="L1206" s="253">
        <v>2040</v>
      </c>
      <c r="M1206" s="177" t="s">
        <v>153</v>
      </c>
      <c r="N1206" s="177" t="s">
        <v>149</v>
      </c>
      <c r="O1206" s="177" t="s">
        <v>154</v>
      </c>
      <c r="P1206" s="177" t="s">
        <v>151</v>
      </c>
      <c r="Q1206" s="177" t="s">
        <v>155</v>
      </c>
      <c r="R1206" s="177" t="s">
        <v>10103</v>
      </c>
      <c r="S1206" s="177"/>
      <c r="T1206" s="177" t="s">
        <v>3157</v>
      </c>
      <c r="U1206" s="177" t="s">
        <v>152</v>
      </c>
      <c r="V1206" s="177" t="s">
        <v>18</v>
      </c>
    </row>
    <row r="1207" spans="2:22">
      <c r="B1207" s="251">
        <v>46260</v>
      </c>
      <c r="C1207" s="251">
        <v>46260</v>
      </c>
      <c r="D1207" s="177" t="s">
        <v>10104</v>
      </c>
      <c r="E1207" s="177">
        <v>260101423432</v>
      </c>
      <c r="F1207" s="177" t="s">
        <v>87</v>
      </c>
      <c r="G1207" s="177" t="s">
        <v>824</v>
      </c>
      <c r="H1207" s="177">
        <v>152</v>
      </c>
      <c r="I1207" s="177">
        <v>228</v>
      </c>
      <c r="J1207" s="177">
        <v>228</v>
      </c>
      <c r="K1207" s="177">
        <v>104</v>
      </c>
      <c r="L1207" s="253">
        <v>1520</v>
      </c>
      <c r="M1207" s="177" t="s">
        <v>153</v>
      </c>
      <c r="N1207" s="177" t="s">
        <v>149</v>
      </c>
      <c r="O1207" s="177" t="s">
        <v>154</v>
      </c>
      <c r="P1207" s="177" t="s">
        <v>151</v>
      </c>
      <c r="Q1207" s="177" t="s">
        <v>155</v>
      </c>
      <c r="R1207" s="177" t="s">
        <v>10105</v>
      </c>
      <c r="S1207" s="177"/>
      <c r="T1207" s="177" t="s">
        <v>3157</v>
      </c>
      <c r="U1207" s="177" t="s">
        <v>152</v>
      </c>
      <c r="V1207" s="177" t="s">
        <v>18</v>
      </c>
    </row>
    <row r="1208" spans="2:22">
      <c r="B1208" s="251">
        <v>46260</v>
      </c>
      <c r="C1208" s="251">
        <v>46260</v>
      </c>
      <c r="D1208" s="177" t="s">
        <v>10106</v>
      </c>
      <c r="E1208" s="177">
        <v>260101523434</v>
      </c>
      <c r="F1208" s="177" t="s">
        <v>87</v>
      </c>
      <c r="G1208" s="177" t="s">
        <v>2408</v>
      </c>
      <c r="H1208" s="177">
        <v>112</v>
      </c>
      <c r="I1208" s="177">
        <v>401</v>
      </c>
      <c r="J1208" s="177">
        <v>401</v>
      </c>
      <c r="K1208" s="177">
        <v>160</v>
      </c>
      <c r="L1208" s="253">
        <v>1130</v>
      </c>
      <c r="M1208" s="177" t="s">
        <v>153</v>
      </c>
      <c r="N1208" s="177" t="s">
        <v>149</v>
      </c>
      <c r="O1208" s="177" t="s">
        <v>154</v>
      </c>
      <c r="P1208" s="177" t="s">
        <v>151</v>
      </c>
      <c r="Q1208" s="177" t="s">
        <v>155</v>
      </c>
      <c r="R1208" s="177" t="s">
        <v>10107</v>
      </c>
      <c r="S1208" s="177"/>
      <c r="T1208" s="177" t="s">
        <v>3157</v>
      </c>
      <c r="U1208" s="177" t="s">
        <v>152</v>
      </c>
      <c r="V1208" s="177" t="s">
        <v>18</v>
      </c>
    </row>
    <row r="1209" spans="2:22">
      <c r="B1209" s="251">
        <v>46260</v>
      </c>
      <c r="C1209" s="251">
        <v>46260</v>
      </c>
      <c r="D1209" s="177" t="s">
        <v>10108</v>
      </c>
      <c r="E1209" s="177">
        <v>260106923462</v>
      </c>
      <c r="F1209" s="177" t="s">
        <v>87</v>
      </c>
      <c r="G1209" s="177" t="s">
        <v>7928</v>
      </c>
      <c r="H1209" s="177">
        <v>135</v>
      </c>
      <c r="I1209" s="177">
        <v>363</v>
      </c>
      <c r="J1209" s="177">
        <v>363</v>
      </c>
      <c r="K1209" s="177">
        <v>107</v>
      </c>
      <c r="L1209" s="253">
        <v>2600</v>
      </c>
      <c r="M1209" s="177" t="s">
        <v>153</v>
      </c>
      <c r="N1209" s="177" t="s">
        <v>149</v>
      </c>
      <c r="O1209" s="177" t="s">
        <v>154</v>
      </c>
      <c r="P1209" s="177" t="s">
        <v>151</v>
      </c>
      <c r="Q1209" s="177" t="s">
        <v>155</v>
      </c>
      <c r="R1209" s="177" t="s">
        <v>10109</v>
      </c>
      <c r="S1209" s="177"/>
      <c r="T1209" s="177" t="s">
        <v>3157</v>
      </c>
      <c r="U1209" s="177" t="s">
        <v>152</v>
      </c>
      <c r="V1209" s="177" t="s">
        <v>18</v>
      </c>
    </row>
    <row r="1210" spans="2:22">
      <c r="B1210" s="251">
        <v>46260</v>
      </c>
      <c r="C1210" s="251">
        <v>46260</v>
      </c>
      <c r="D1210" s="177" t="s">
        <v>10110</v>
      </c>
      <c r="E1210" s="177">
        <v>260107323464</v>
      </c>
      <c r="F1210" s="177" t="s">
        <v>87</v>
      </c>
      <c r="G1210" s="177" t="s">
        <v>2530</v>
      </c>
      <c r="H1210" s="177">
        <v>162</v>
      </c>
      <c r="I1210" s="177">
        <v>379</v>
      </c>
      <c r="J1210" s="177">
        <v>379</v>
      </c>
      <c r="K1210" s="177">
        <v>102</v>
      </c>
      <c r="L1210" s="253">
        <v>2400</v>
      </c>
      <c r="M1210" s="177" t="s">
        <v>153</v>
      </c>
      <c r="N1210" s="177" t="s">
        <v>149</v>
      </c>
      <c r="O1210" s="177" t="s">
        <v>154</v>
      </c>
      <c r="P1210" s="177" t="s">
        <v>151</v>
      </c>
      <c r="Q1210" s="177" t="s">
        <v>155</v>
      </c>
      <c r="R1210" s="177" t="s">
        <v>10111</v>
      </c>
      <c r="S1210" s="177"/>
      <c r="T1210" s="177" t="s">
        <v>3157</v>
      </c>
      <c r="U1210" s="177" t="s">
        <v>152</v>
      </c>
      <c r="V1210" s="177" t="s">
        <v>18</v>
      </c>
    </row>
    <row r="1211" spans="2:22">
      <c r="B1211" s="251">
        <v>46260</v>
      </c>
      <c r="C1211" s="251">
        <v>46260</v>
      </c>
      <c r="D1211" s="177" t="s">
        <v>10112</v>
      </c>
      <c r="E1211" s="177">
        <v>260102623438</v>
      </c>
      <c r="F1211" s="177" t="s">
        <v>87</v>
      </c>
      <c r="G1211" s="177" t="s">
        <v>8032</v>
      </c>
      <c r="H1211" s="177">
        <v>102</v>
      </c>
      <c r="I1211" s="177">
        <v>259</v>
      </c>
      <c r="J1211" s="177">
        <v>259</v>
      </c>
      <c r="K1211" s="177">
        <v>130</v>
      </c>
      <c r="L1211" s="253">
        <v>1000</v>
      </c>
      <c r="M1211" s="177" t="s">
        <v>153</v>
      </c>
      <c r="N1211" s="177" t="s">
        <v>149</v>
      </c>
      <c r="O1211" s="177" t="s">
        <v>154</v>
      </c>
      <c r="P1211" s="177" t="s">
        <v>151</v>
      </c>
      <c r="Q1211" s="177" t="s">
        <v>155</v>
      </c>
      <c r="R1211" s="177" t="s">
        <v>10113</v>
      </c>
      <c r="S1211" s="177"/>
      <c r="T1211" s="177" t="s">
        <v>3157</v>
      </c>
      <c r="U1211" s="177" t="s">
        <v>152</v>
      </c>
      <c r="V1211" s="177" t="s">
        <v>18</v>
      </c>
    </row>
    <row r="1212" spans="2:22">
      <c r="B1212" s="251">
        <v>46260</v>
      </c>
      <c r="C1212" s="251">
        <v>46260</v>
      </c>
      <c r="D1212" s="177" t="s">
        <v>10114</v>
      </c>
      <c r="E1212" s="177">
        <v>260104023445</v>
      </c>
      <c r="F1212" s="177" t="s">
        <v>87</v>
      </c>
      <c r="G1212" s="177" t="s">
        <v>2526</v>
      </c>
      <c r="H1212" s="177">
        <v>125</v>
      </c>
      <c r="I1212" s="177">
        <v>213</v>
      </c>
      <c r="J1212" s="177">
        <v>213</v>
      </c>
      <c r="K1212" s="177">
        <v>97</v>
      </c>
      <c r="L1212" s="253">
        <v>1800</v>
      </c>
      <c r="M1212" s="177" t="s">
        <v>153</v>
      </c>
      <c r="N1212" s="177" t="s">
        <v>149</v>
      </c>
      <c r="O1212" s="177" t="s">
        <v>154</v>
      </c>
      <c r="P1212" s="177" t="s">
        <v>151</v>
      </c>
      <c r="Q1212" s="177" t="s">
        <v>155</v>
      </c>
      <c r="R1212" s="177" t="s">
        <v>10115</v>
      </c>
      <c r="S1212" s="177"/>
      <c r="T1212" s="177" t="s">
        <v>3157</v>
      </c>
      <c r="U1212" s="177" t="s">
        <v>152</v>
      </c>
      <c r="V1212" s="177" t="s">
        <v>18</v>
      </c>
    </row>
    <row r="1213" spans="2:22">
      <c r="B1213" s="251">
        <v>46260</v>
      </c>
      <c r="C1213" s="251">
        <v>46260</v>
      </c>
      <c r="D1213" s="177" t="s">
        <v>10116</v>
      </c>
      <c r="E1213" s="177">
        <v>260102923400</v>
      </c>
      <c r="F1213" s="177" t="s">
        <v>87</v>
      </c>
      <c r="G1213" s="177" t="s">
        <v>824</v>
      </c>
      <c r="H1213" s="177">
        <v>152</v>
      </c>
      <c r="I1213" s="177">
        <v>311</v>
      </c>
      <c r="J1213" s="177">
        <v>311</v>
      </c>
      <c r="K1213" s="177">
        <v>104</v>
      </c>
      <c r="L1213" s="253">
        <v>2040</v>
      </c>
      <c r="M1213" s="177" t="s">
        <v>153</v>
      </c>
      <c r="N1213" s="177" t="s">
        <v>149</v>
      </c>
      <c r="O1213" s="177" t="s">
        <v>154</v>
      </c>
      <c r="P1213" s="177" t="s">
        <v>151</v>
      </c>
      <c r="Q1213" s="177" t="s">
        <v>155</v>
      </c>
      <c r="R1213" s="177" t="s">
        <v>10117</v>
      </c>
      <c r="S1213" s="177"/>
      <c r="T1213" s="177" t="s">
        <v>3157</v>
      </c>
      <c r="U1213" s="177" t="s">
        <v>152</v>
      </c>
      <c r="V1213" s="177" t="s">
        <v>18</v>
      </c>
    </row>
    <row r="1214" spans="2:22">
      <c r="B1214" s="251">
        <v>46260</v>
      </c>
      <c r="C1214" s="251">
        <v>46260</v>
      </c>
      <c r="D1214" s="177" t="s">
        <v>10118</v>
      </c>
      <c r="E1214" s="177">
        <v>260104023448</v>
      </c>
      <c r="F1214" s="177" t="s">
        <v>87</v>
      </c>
      <c r="G1214" s="177" t="s">
        <v>2526</v>
      </c>
      <c r="H1214" s="177">
        <v>125</v>
      </c>
      <c r="I1214" s="177">
        <v>216</v>
      </c>
      <c r="J1214" s="177">
        <v>216</v>
      </c>
      <c r="K1214" s="177">
        <v>97</v>
      </c>
      <c r="L1214" s="253">
        <v>1800</v>
      </c>
      <c r="M1214" s="177" t="s">
        <v>153</v>
      </c>
      <c r="N1214" s="177" t="s">
        <v>149</v>
      </c>
      <c r="O1214" s="177" t="s">
        <v>154</v>
      </c>
      <c r="P1214" s="177" t="s">
        <v>151</v>
      </c>
      <c r="Q1214" s="177" t="s">
        <v>155</v>
      </c>
      <c r="R1214" s="177" t="s">
        <v>10119</v>
      </c>
      <c r="S1214" s="177"/>
      <c r="T1214" s="177" t="s">
        <v>3157</v>
      </c>
      <c r="U1214" s="177" t="s">
        <v>152</v>
      </c>
      <c r="V1214" s="177" t="s">
        <v>18</v>
      </c>
    </row>
    <row r="1215" spans="2:22">
      <c r="B1215" s="251">
        <v>46260</v>
      </c>
      <c r="C1215" s="251">
        <v>46260</v>
      </c>
      <c r="D1215" s="177" t="s">
        <v>10120</v>
      </c>
      <c r="E1215" s="177">
        <v>260103423451</v>
      </c>
      <c r="F1215" s="177" t="s">
        <v>87</v>
      </c>
      <c r="G1215" s="177" t="s">
        <v>824</v>
      </c>
      <c r="H1215" s="177">
        <v>152</v>
      </c>
      <c r="I1215" s="177">
        <v>258</v>
      </c>
      <c r="J1215" s="177">
        <v>258</v>
      </c>
      <c r="K1215" s="177">
        <v>104</v>
      </c>
      <c r="L1215" s="253">
        <v>1710</v>
      </c>
      <c r="M1215" s="177" t="s">
        <v>153</v>
      </c>
      <c r="N1215" s="177" t="s">
        <v>149</v>
      </c>
      <c r="O1215" s="177" t="s">
        <v>154</v>
      </c>
      <c r="P1215" s="177" t="s">
        <v>151</v>
      </c>
      <c r="Q1215" s="177" t="s">
        <v>155</v>
      </c>
      <c r="R1215" s="177" t="s">
        <v>10121</v>
      </c>
      <c r="S1215" s="177"/>
      <c r="T1215" s="177" t="s">
        <v>3157</v>
      </c>
      <c r="U1215" s="177" t="s">
        <v>152</v>
      </c>
      <c r="V1215" s="177" t="s">
        <v>18</v>
      </c>
    </row>
    <row r="1216" spans="2:22">
      <c r="B1216" s="251">
        <v>46260</v>
      </c>
      <c r="C1216" s="251">
        <v>46260</v>
      </c>
      <c r="D1216" s="177" t="s">
        <v>10122</v>
      </c>
      <c r="E1216" s="177">
        <v>260103923403</v>
      </c>
      <c r="F1216" s="177" t="s">
        <v>87</v>
      </c>
      <c r="G1216" s="177" t="s">
        <v>2304</v>
      </c>
      <c r="H1216" s="177">
        <v>132</v>
      </c>
      <c r="I1216" s="177">
        <v>318</v>
      </c>
      <c r="J1216" s="177">
        <v>318</v>
      </c>
      <c r="K1216" s="177">
        <v>97</v>
      </c>
      <c r="L1216" s="253">
        <v>2600</v>
      </c>
      <c r="M1216" s="177" t="s">
        <v>153</v>
      </c>
      <c r="N1216" s="177" t="s">
        <v>149</v>
      </c>
      <c r="O1216" s="177" t="s">
        <v>154</v>
      </c>
      <c r="P1216" s="177" t="s">
        <v>151</v>
      </c>
      <c r="Q1216" s="177" t="s">
        <v>155</v>
      </c>
      <c r="R1216" s="177" t="s">
        <v>10123</v>
      </c>
      <c r="S1216" s="177"/>
      <c r="T1216" s="177" t="s">
        <v>3157</v>
      </c>
      <c r="U1216" s="177" t="s">
        <v>152</v>
      </c>
      <c r="V1216" s="177" t="s">
        <v>18</v>
      </c>
    </row>
    <row r="1217" spans="2:22">
      <c r="B1217" s="251">
        <v>46260</v>
      </c>
      <c r="C1217" s="251">
        <v>46260</v>
      </c>
      <c r="D1217" s="177" t="s">
        <v>10124</v>
      </c>
      <c r="E1217" s="177">
        <v>260106223455</v>
      </c>
      <c r="F1217" s="177" t="s">
        <v>87</v>
      </c>
      <c r="G1217" s="177" t="s">
        <v>824</v>
      </c>
      <c r="H1217" s="177">
        <v>182</v>
      </c>
      <c r="I1217" s="177">
        <v>311</v>
      </c>
      <c r="J1217" s="177">
        <v>311</v>
      </c>
      <c r="K1217" s="177">
        <v>104</v>
      </c>
      <c r="L1217" s="253">
        <v>1740</v>
      </c>
      <c r="M1217" s="177" t="s">
        <v>153</v>
      </c>
      <c r="N1217" s="177" t="s">
        <v>149</v>
      </c>
      <c r="O1217" s="177" t="s">
        <v>154</v>
      </c>
      <c r="P1217" s="177" t="s">
        <v>151</v>
      </c>
      <c r="Q1217" s="177" t="s">
        <v>155</v>
      </c>
      <c r="R1217" s="177" t="s">
        <v>10125</v>
      </c>
      <c r="S1217" s="177"/>
      <c r="T1217" s="177" t="s">
        <v>3157</v>
      </c>
      <c r="U1217" s="177" t="s">
        <v>152</v>
      </c>
      <c r="V1217" s="177" t="s">
        <v>18</v>
      </c>
    </row>
    <row r="1218" spans="2:22">
      <c r="B1218" s="251">
        <v>46260</v>
      </c>
      <c r="C1218" s="251">
        <v>46260</v>
      </c>
      <c r="D1218" s="177" t="s">
        <v>10126</v>
      </c>
      <c r="E1218" s="177">
        <v>260101423430</v>
      </c>
      <c r="F1218" s="177" t="s">
        <v>87</v>
      </c>
      <c r="G1218" s="177" t="s">
        <v>824</v>
      </c>
      <c r="H1218" s="177">
        <v>152</v>
      </c>
      <c r="I1218" s="177">
        <v>231</v>
      </c>
      <c r="J1218" s="177">
        <v>231</v>
      </c>
      <c r="K1218" s="177">
        <v>104</v>
      </c>
      <c r="L1218" s="253">
        <v>1520</v>
      </c>
      <c r="M1218" s="177" t="s">
        <v>153</v>
      </c>
      <c r="N1218" s="177" t="s">
        <v>149</v>
      </c>
      <c r="O1218" s="177" t="s">
        <v>154</v>
      </c>
      <c r="P1218" s="177" t="s">
        <v>151</v>
      </c>
      <c r="Q1218" s="177" t="s">
        <v>155</v>
      </c>
      <c r="R1218" s="177" t="s">
        <v>10127</v>
      </c>
      <c r="S1218" s="177"/>
      <c r="T1218" s="177" t="s">
        <v>3157</v>
      </c>
      <c r="U1218" s="177" t="s">
        <v>152</v>
      </c>
      <c r="V1218" s="177" t="s">
        <v>18</v>
      </c>
    </row>
    <row r="1219" spans="2:22">
      <c r="B1219" s="251">
        <v>46260</v>
      </c>
      <c r="C1219" s="251">
        <v>46260</v>
      </c>
      <c r="D1219" s="177" t="s">
        <v>10128</v>
      </c>
      <c r="E1219" s="177">
        <v>260101423431</v>
      </c>
      <c r="F1219" s="177" t="s">
        <v>87</v>
      </c>
      <c r="G1219" s="177" t="s">
        <v>824</v>
      </c>
      <c r="H1219" s="177">
        <v>152</v>
      </c>
      <c r="I1219" s="177">
        <v>232</v>
      </c>
      <c r="J1219" s="177">
        <v>232</v>
      </c>
      <c r="K1219" s="177">
        <v>104</v>
      </c>
      <c r="L1219" s="253">
        <v>1520</v>
      </c>
      <c r="M1219" s="177" t="s">
        <v>153</v>
      </c>
      <c r="N1219" s="177" t="s">
        <v>149</v>
      </c>
      <c r="O1219" s="177" t="s">
        <v>154</v>
      </c>
      <c r="P1219" s="177" t="s">
        <v>151</v>
      </c>
      <c r="Q1219" s="177" t="s">
        <v>155</v>
      </c>
      <c r="R1219" s="177" t="s">
        <v>10129</v>
      </c>
      <c r="S1219" s="177"/>
      <c r="T1219" s="177" t="s">
        <v>3157</v>
      </c>
      <c r="U1219" s="177" t="s">
        <v>152</v>
      </c>
      <c r="V1219" s="177" t="s">
        <v>18</v>
      </c>
    </row>
    <row r="1220" spans="2:22">
      <c r="B1220" s="251">
        <v>46260</v>
      </c>
      <c r="C1220" s="251">
        <v>46260</v>
      </c>
      <c r="D1220" s="177" t="s">
        <v>10130</v>
      </c>
      <c r="E1220" s="177">
        <v>260106123456</v>
      </c>
      <c r="F1220" s="177" t="s">
        <v>87</v>
      </c>
      <c r="G1220" s="177" t="s">
        <v>9752</v>
      </c>
      <c r="H1220" s="177">
        <v>140</v>
      </c>
      <c r="I1220" s="177">
        <v>199</v>
      </c>
      <c r="J1220" s="177">
        <v>199</v>
      </c>
      <c r="K1220" s="177">
        <v>83</v>
      </c>
      <c r="L1220" s="253">
        <v>1760</v>
      </c>
      <c r="M1220" s="177" t="s">
        <v>153</v>
      </c>
      <c r="N1220" s="177" t="s">
        <v>149</v>
      </c>
      <c r="O1220" s="177" t="s">
        <v>154</v>
      </c>
      <c r="P1220" s="177" t="s">
        <v>151</v>
      </c>
      <c r="Q1220" s="177" t="s">
        <v>155</v>
      </c>
      <c r="R1220" s="177" t="s">
        <v>10131</v>
      </c>
      <c r="S1220" s="177"/>
      <c r="T1220" s="177"/>
      <c r="U1220" s="177" t="s">
        <v>152</v>
      </c>
      <c r="V1220" s="177" t="s">
        <v>18</v>
      </c>
    </row>
    <row r="1221" spans="2:22">
      <c r="B1221" s="251">
        <v>46260</v>
      </c>
      <c r="C1221" s="251">
        <v>46260</v>
      </c>
      <c r="D1221" s="177" t="s">
        <v>10132</v>
      </c>
      <c r="E1221" s="177">
        <v>260107623460</v>
      </c>
      <c r="F1221" s="177" t="s">
        <v>87</v>
      </c>
      <c r="G1221" s="177" t="s">
        <v>8646</v>
      </c>
      <c r="H1221" s="177">
        <v>135</v>
      </c>
      <c r="I1221" s="177">
        <v>339</v>
      </c>
      <c r="J1221" s="177">
        <v>339</v>
      </c>
      <c r="K1221" s="177">
        <v>97</v>
      </c>
      <c r="L1221" s="253">
        <v>2580</v>
      </c>
      <c r="M1221" s="177" t="s">
        <v>153</v>
      </c>
      <c r="N1221" s="177" t="s">
        <v>149</v>
      </c>
      <c r="O1221" s="177" t="s">
        <v>154</v>
      </c>
      <c r="P1221" s="177" t="s">
        <v>151</v>
      </c>
      <c r="Q1221" s="177" t="s">
        <v>155</v>
      </c>
      <c r="R1221" s="177" t="s">
        <v>10133</v>
      </c>
      <c r="S1221" s="177"/>
      <c r="T1221" s="177" t="s">
        <v>3157</v>
      </c>
      <c r="U1221" s="177" t="s">
        <v>152</v>
      </c>
      <c r="V1221" s="177" t="s">
        <v>18</v>
      </c>
    </row>
    <row r="1222" spans="2:22">
      <c r="B1222" s="251">
        <v>46260</v>
      </c>
      <c r="C1222" s="251">
        <v>46260</v>
      </c>
      <c r="D1222" s="177" t="s">
        <v>10134</v>
      </c>
      <c r="E1222" s="177">
        <v>260101723439</v>
      </c>
      <c r="F1222" s="177" t="s">
        <v>87</v>
      </c>
      <c r="G1222" s="177" t="s">
        <v>8681</v>
      </c>
      <c r="H1222" s="177">
        <v>92</v>
      </c>
      <c r="I1222" s="177">
        <v>249</v>
      </c>
      <c r="J1222" s="177">
        <v>249</v>
      </c>
      <c r="K1222" s="177">
        <v>134</v>
      </c>
      <c r="L1222" s="253">
        <v>1000</v>
      </c>
      <c r="M1222" s="177" t="s">
        <v>153</v>
      </c>
      <c r="N1222" s="177" t="s">
        <v>149</v>
      </c>
      <c r="O1222" s="177" t="s">
        <v>154</v>
      </c>
      <c r="P1222" s="177" t="s">
        <v>151</v>
      </c>
      <c r="Q1222" s="177" t="s">
        <v>155</v>
      </c>
      <c r="R1222" s="177" t="s">
        <v>10135</v>
      </c>
      <c r="S1222" s="177"/>
      <c r="T1222" s="177" t="s">
        <v>3157</v>
      </c>
      <c r="U1222" s="177" t="s">
        <v>152</v>
      </c>
      <c r="V1222" s="177" t="s">
        <v>18</v>
      </c>
    </row>
    <row r="1223" spans="2:22">
      <c r="B1223" s="251">
        <v>46260</v>
      </c>
      <c r="C1223" s="251">
        <v>46260</v>
      </c>
      <c r="D1223" s="177" t="s">
        <v>10136</v>
      </c>
      <c r="E1223" s="177">
        <v>260103023444</v>
      </c>
      <c r="F1223" s="177" t="s">
        <v>87</v>
      </c>
      <c r="G1223" s="177" t="s">
        <v>10014</v>
      </c>
      <c r="H1223" s="177">
        <v>102</v>
      </c>
      <c r="I1223" s="177">
        <v>372</v>
      </c>
      <c r="J1223" s="177">
        <v>372</v>
      </c>
      <c r="K1223" s="177">
        <v>130</v>
      </c>
      <c r="L1223" s="253">
        <v>1410</v>
      </c>
      <c r="M1223" s="177" t="s">
        <v>153</v>
      </c>
      <c r="N1223" s="177" t="s">
        <v>149</v>
      </c>
      <c r="O1223" s="177" t="s">
        <v>154</v>
      </c>
      <c r="P1223" s="177" t="s">
        <v>151</v>
      </c>
      <c r="Q1223" s="177" t="s">
        <v>155</v>
      </c>
      <c r="R1223" s="177" t="s">
        <v>10137</v>
      </c>
      <c r="S1223" s="177"/>
      <c r="T1223" s="177" t="s">
        <v>3157</v>
      </c>
      <c r="U1223" s="177" t="s">
        <v>152</v>
      </c>
      <c r="V1223" s="177" t="s">
        <v>18</v>
      </c>
    </row>
    <row r="1224" spans="2:22">
      <c r="B1224" s="251">
        <v>46260</v>
      </c>
      <c r="C1224" s="251">
        <v>46260</v>
      </c>
      <c r="D1224" s="177" t="s">
        <v>10138</v>
      </c>
      <c r="E1224" s="177">
        <v>260107123465</v>
      </c>
      <c r="F1224" s="177" t="s">
        <v>87</v>
      </c>
      <c r="G1224" s="177" t="s">
        <v>8692</v>
      </c>
      <c r="H1224" s="177">
        <v>140</v>
      </c>
      <c r="I1224" s="177">
        <v>220</v>
      </c>
      <c r="J1224" s="177">
        <v>220</v>
      </c>
      <c r="K1224" s="177">
        <v>88</v>
      </c>
      <c r="L1224" s="253">
        <v>1850</v>
      </c>
      <c r="M1224" s="177" t="s">
        <v>153</v>
      </c>
      <c r="N1224" s="177" t="s">
        <v>149</v>
      </c>
      <c r="O1224" s="177" t="s">
        <v>154</v>
      </c>
      <c r="P1224" s="177" t="s">
        <v>151</v>
      </c>
      <c r="Q1224" s="177" t="s">
        <v>155</v>
      </c>
      <c r="R1224" s="177" t="s">
        <v>10139</v>
      </c>
      <c r="S1224" s="177"/>
      <c r="T1224" s="177" t="s">
        <v>3157</v>
      </c>
      <c r="U1224" s="177" t="s">
        <v>152</v>
      </c>
      <c r="V1224" s="177" t="s">
        <v>18</v>
      </c>
    </row>
    <row r="1225" spans="2:22">
      <c r="B1225" s="251">
        <v>46260</v>
      </c>
      <c r="C1225" s="251">
        <v>46260</v>
      </c>
      <c r="D1225" s="177" t="s">
        <v>10140</v>
      </c>
      <c r="E1225" s="177">
        <v>260103723413</v>
      </c>
      <c r="F1225" s="177" t="s">
        <v>87</v>
      </c>
      <c r="G1225" s="177" t="s">
        <v>8646</v>
      </c>
      <c r="H1225" s="177">
        <v>135</v>
      </c>
      <c r="I1225" s="177">
        <v>238</v>
      </c>
      <c r="J1225" s="177">
        <v>238</v>
      </c>
      <c r="K1225" s="177">
        <v>97</v>
      </c>
      <c r="L1225" s="253">
        <v>1810</v>
      </c>
      <c r="M1225" s="177" t="s">
        <v>153</v>
      </c>
      <c r="N1225" s="177" t="s">
        <v>149</v>
      </c>
      <c r="O1225" s="177" t="s">
        <v>154</v>
      </c>
      <c r="P1225" s="177" t="s">
        <v>151</v>
      </c>
      <c r="Q1225" s="177" t="s">
        <v>155</v>
      </c>
      <c r="R1225" s="177" t="s">
        <v>10141</v>
      </c>
      <c r="S1225" s="177"/>
      <c r="T1225" s="177" t="s">
        <v>3159</v>
      </c>
      <c r="U1225" s="177" t="s">
        <v>152</v>
      </c>
      <c r="V1225" s="177" t="s">
        <v>18</v>
      </c>
    </row>
    <row r="1226" spans="2:22">
      <c r="B1226" s="251">
        <v>46260</v>
      </c>
      <c r="C1226" s="251">
        <v>46260</v>
      </c>
      <c r="D1226" s="177" t="s">
        <v>10142</v>
      </c>
      <c r="E1226" s="177">
        <v>260102023423</v>
      </c>
      <c r="F1226" s="177" t="s">
        <v>87</v>
      </c>
      <c r="G1226" s="177" t="s">
        <v>8681</v>
      </c>
      <c r="H1226" s="177">
        <v>92</v>
      </c>
      <c r="I1226" s="177">
        <v>320</v>
      </c>
      <c r="J1226" s="177">
        <v>320</v>
      </c>
      <c r="K1226" s="177">
        <v>134</v>
      </c>
      <c r="L1226" s="253">
        <v>1280</v>
      </c>
      <c r="M1226" s="177" t="s">
        <v>153</v>
      </c>
      <c r="N1226" s="177" t="s">
        <v>149</v>
      </c>
      <c r="O1226" s="177" t="s">
        <v>154</v>
      </c>
      <c r="P1226" s="177" t="s">
        <v>151</v>
      </c>
      <c r="Q1226" s="177" t="s">
        <v>155</v>
      </c>
      <c r="R1226" s="177" t="s">
        <v>10143</v>
      </c>
      <c r="S1226" s="177"/>
      <c r="T1226" s="177" t="s">
        <v>3159</v>
      </c>
      <c r="U1226" s="177" t="s">
        <v>152</v>
      </c>
      <c r="V1226" s="177" t="s">
        <v>18</v>
      </c>
    </row>
    <row r="1227" spans="2:22">
      <c r="B1227" s="251">
        <v>46260</v>
      </c>
      <c r="C1227" s="251">
        <v>46260</v>
      </c>
      <c r="D1227" s="177" t="s">
        <v>10144</v>
      </c>
      <c r="E1227" s="177">
        <v>260105823411</v>
      </c>
      <c r="F1227" s="177" t="s">
        <v>87</v>
      </c>
      <c r="G1227" s="177" t="s">
        <v>824</v>
      </c>
      <c r="H1227" s="177">
        <v>152</v>
      </c>
      <c r="I1227" s="177">
        <v>249</v>
      </c>
      <c r="J1227" s="177">
        <v>249</v>
      </c>
      <c r="K1227" s="177">
        <v>104</v>
      </c>
      <c r="L1227" s="253">
        <v>1640</v>
      </c>
      <c r="M1227" s="177" t="s">
        <v>153</v>
      </c>
      <c r="N1227" s="177" t="s">
        <v>149</v>
      </c>
      <c r="O1227" s="177" t="s">
        <v>154</v>
      </c>
      <c r="P1227" s="177" t="s">
        <v>151</v>
      </c>
      <c r="Q1227" s="177" t="s">
        <v>155</v>
      </c>
      <c r="R1227" s="177" t="s">
        <v>10145</v>
      </c>
      <c r="S1227" s="177"/>
      <c r="T1227" s="177" t="s">
        <v>3159</v>
      </c>
      <c r="U1227" s="177" t="s">
        <v>152</v>
      </c>
      <c r="V1227" s="177" t="s">
        <v>18</v>
      </c>
    </row>
    <row r="1228" spans="2:22">
      <c r="B1228" s="251">
        <v>46260</v>
      </c>
      <c r="C1228" s="251">
        <v>46260</v>
      </c>
      <c r="D1228" s="177" t="s">
        <v>10146</v>
      </c>
      <c r="E1228" s="177">
        <v>260103823409</v>
      </c>
      <c r="F1228" s="177" t="s">
        <v>87</v>
      </c>
      <c r="G1228" s="177" t="s">
        <v>824</v>
      </c>
      <c r="H1228" s="177">
        <v>152</v>
      </c>
      <c r="I1228" s="177">
        <v>335</v>
      </c>
      <c r="J1228" s="177">
        <v>335</v>
      </c>
      <c r="K1228" s="177">
        <v>104</v>
      </c>
      <c r="L1228" s="253">
        <v>2170</v>
      </c>
      <c r="M1228" s="177" t="s">
        <v>153</v>
      </c>
      <c r="N1228" s="177" t="s">
        <v>149</v>
      </c>
      <c r="O1228" s="177" t="s">
        <v>154</v>
      </c>
      <c r="P1228" s="177" t="s">
        <v>151</v>
      </c>
      <c r="Q1228" s="177" t="s">
        <v>155</v>
      </c>
      <c r="R1228" s="177" t="s">
        <v>10147</v>
      </c>
      <c r="S1228" s="177"/>
      <c r="T1228" s="177" t="s">
        <v>3159</v>
      </c>
      <c r="U1228" s="177" t="s">
        <v>152</v>
      </c>
      <c r="V1228" s="177" t="s">
        <v>18</v>
      </c>
    </row>
    <row r="1229" spans="2:22">
      <c r="B1229" s="251">
        <v>46260</v>
      </c>
      <c r="C1229" s="251">
        <v>46260</v>
      </c>
      <c r="D1229" s="177" t="s">
        <v>10148</v>
      </c>
      <c r="E1229" s="177">
        <v>260102423421</v>
      </c>
      <c r="F1229" s="177" t="s">
        <v>87</v>
      </c>
      <c r="G1229" s="177" t="s">
        <v>8032</v>
      </c>
      <c r="H1229" s="177">
        <v>102</v>
      </c>
      <c r="I1229" s="177">
        <v>267</v>
      </c>
      <c r="J1229" s="177">
        <v>267</v>
      </c>
      <c r="K1229" s="177">
        <v>130</v>
      </c>
      <c r="L1229" s="253">
        <v>1035</v>
      </c>
      <c r="M1229" s="177" t="s">
        <v>153</v>
      </c>
      <c r="N1229" s="177" t="s">
        <v>149</v>
      </c>
      <c r="O1229" s="177" t="s">
        <v>154</v>
      </c>
      <c r="P1229" s="177" t="s">
        <v>151</v>
      </c>
      <c r="Q1229" s="177" t="s">
        <v>155</v>
      </c>
      <c r="R1229" s="177" t="s">
        <v>10149</v>
      </c>
      <c r="S1229" s="177"/>
      <c r="T1229" s="177" t="s">
        <v>3159</v>
      </c>
      <c r="U1229" s="177" t="s">
        <v>152</v>
      </c>
      <c r="V1229" s="177" t="s">
        <v>18</v>
      </c>
    </row>
    <row r="1230" spans="2:22">
      <c r="B1230" s="251">
        <v>46260</v>
      </c>
      <c r="C1230" s="251">
        <v>46260</v>
      </c>
      <c r="D1230" s="177" t="s">
        <v>10150</v>
      </c>
      <c r="E1230" s="177">
        <v>260102323441</v>
      </c>
      <c r="F1230" s="177" t="s">
        <v>87</v>
      </c>
      <c r="G1230" s="177" t="s">
        <v>8032</v>
      </c>
      <c r="H1230" s="177">
        <v>102</v>
      </c>
      <c r="I1230" s="177">
        <v>262</v>
      </c>
      <c r="J1230" s="177">
        <v>262</v>
      </c>
      <c r="K1230" s="177">
        <v>130</v>
      </c>
      <c r="L1230" s="253">
        <v>1000</v>
      </c>
      <c r="M1230" s="177" t="s">
        <v>153</v>
      </c>
      <c r="N1230" s="177" t="s">
        <v>149</v>
      </c>
      <c r="O1230" s="177" t="s">
        <v>154</v>
      </c>
      <c r="P1230" s="177" t="s">
        <v>151</v>
      </c>
      <c r="Q1230" s="177" t="s">
        <v>155</v>
      </c>
      <c r="R1230" s="177" t="s">
        <v>10151</v>
      </c>
      <c r="S1230" s="177"/>
      <c r="T1230" s="177" t="s">
        <v>3159</v>
      </c>
      <c r="U1230" s="177" t="s">
        <v>152</v>
      </c>
      <c r="V1230" s="177" t="s">
        <v>18</v>
      </c>
    </row>
    <row r="1231" spans="2:22">
      <c r="B1231" s="251">
        <v>46260</v>
      </c>
      <c r="C1231" s="251">
        <v>46260</v>
      </c>
      <c r="D1231" s="177" t="s">
        <v>10152</v>
      </c>
      <c r="E1231" s="177">
        <v>260102323420</v>
      </c>
      <c r="F1231" s="177" t="s">
        <v>87</v>
      </c>
      <c r="G1231" s="177" t="s">
        <v>8032</v>
      </c>
      <c r="H1231" s="177">
        <v>102</v>
      </c>
      <c r="I1231" s="177">
        <v>257</v>
      </c>
      <c r="J1231" s="177">
        <v>257</v>
      </c>
      <c r="K1231" s="177">
        <v>130</v>
      </c>
      <c r="L1231" s="253">
        <v>1000</v>
      </c>
      <c r="M1231" s="177" t="s">
        <v>153</v>
      </c>
      <c r="N1231" s="177" t="s">
        <v>149</v>
      </c>
      <c r="O1231" s="177" t="s">
        <v>154</v>
      </c>
      <c r="P1231" s="177" t="s">
        <v>151</v>
      </c>
      <c r="Q1231" s="177" t="s">
        <v>155</v>
      </c>
      <c r="R1231" s="177" t="s">
        <v>10153</v>
      </c>
      <c r="S1231" s="177"/>
      <c r="T1231" s="177" t="s">
        <v>3159</v>
      </c>
      <c r="U1231" s="177" t="s">
        <v>152</v>
      </c>
      <c r="V1231" s="177" t="s">
        <v>18</v>
      </c>
    </row>
    <row r="1232" spans="2:22">
      <c r="B1232" s="251">
        <v>46260</v>
      </c>
      <c r="C1232" s="251">
        <v>46260</v>
      </c>
      <c r="D1232" s="177" t="s">
        <v>10154</v>
      </c>
      <c r="E1232" s="177">
        <v>260103823408</v>
      </c>
      <c r="F1232" s="177" t="s">
        <v>87</v>
      </c>
      <c r="G1232" s="177" t="s">
        <v>824</v>
      </c>
      <c r="H1232" s="177">
        <v>152</v>
      </c>
      <c r="I1232" s="177">
        <v>337</v>
      </c>
      <c r="J1232" s="177">
        <v>337</v>
      </c>
      <c r="K1232" s="177">
        <v>104</v>
      </c>
      <c r="L1232" s="253">
        <v>2170</v>
      </c>
      <c r="M1232" s="177" t="s">
        <v>153</v>
      </c>
      <c r="N1232" s="177" t="s">
        <v>149</v>
      </c>
      <c r="O1232" s="177" t="s">
        <v>154</v>
      </c>
      <c r="P1232" s="177" t="s">
        <v>151</v>
      </c>
      <c r="Q1232" s="177" t="s">
        <v>155</v>
      </c>
      <c r="R1232" s="177" t="s">
        <v>10155</v>
      </c>
      <c r="S1232" s="177"/>
      <c r="T1232" s="177" t="s">
        <v>3159</v>
      </c>
      <c r="U1232" s="177" t="s">
        <v>152</v>
      </c>
      <c r="V1232" s="177" t="s">
        <v>18</v>
      </c>
    </row>
    <row r="1233" spans="2:22">
      <c r="B1233" s="251">
        <v>46260</v>
      </c>
      <c r="C1233" s="251">
        <v>46260</v>
      </c>
      <c r="D1233" s="177" t="s">
        <v>10156</v>
      </c>
      <c r="E1233" s="177">
        <v>260102523415</v>
      </c>
      <c r="F1233" s="177" t="s">
        <v>87</v>
      </c>
      <c r="G1233" s="177" t="s">
        <v>8032</v>
      </c>
      <c r="H1233" s="177">
        <v>102</v>
      </c>
      <c r="I1233" s="177">
        <v>274</v>
      </c>
      <c r="J1233" s="177">
        <v>274</v>
      </c>
      <c r="K1233" s="177">
        <v>130</v>
      </c>
      <c r="L1233" s="253">
        <v>1040</v>
      </c>
      <c r="M1233" s="177" t="s">
        <v>153</v>
      </c>
      <c r="N1233" s="177" t="s">
        <v>149</v>
      </c>
      <c r="O1233" s="177" t="s">
        <v>154</v>
      </c>
      <c r="P1233" s="177" t="s">
        <v>151</v>
      </c>
      <c r="Q1233" s="177" t="s">
        <v>155</v>
      </c>
      <c r="R1233" s="177" t="s">
        <v>10157</v>
      </c>
      <c r="S1233" s="177"/>
      <c r="T1233" s="177" t="s">
        <v>3159</v>
      </c>
      <c r="U1233" s="177" t="s">
        <v>152</v>
      </c>
      <c r="V1233" s="177" t="s">
        <v>18</v>
      </c>
    </row>
    <row r="1234" spans="2:22">
      <c r="B1234" s="251">
        <v>46260</v>
      </c>
      <c r="C1234" s="251">
        <v>46260</v>
      </c>
      <c r="D1234" s="177" t="s">
        <v>10158</v>
      </c>
      <c r="E1234" s="177">
        <v>260104623404</v>
      </c>
      <c r="F1234" s="177" t="s">
        <v>87</v>
      </c>
      <c r="G1234" s="177" t="s">
        <v>824</v>
      </c>
      <c r="H1234" s="177">
        <v>152</v>
      </c>
      <c r="I1234" s="177">
        <v>275</v>
      </c>
      <c r="J1234" s="177">
        <v>275</v>
      </c>
      <c r="K1234" s="177">
        <v>104</v>
      </c>
      <c r="L1234" s="253">
        <v>1830</v>
      </c>
      <c r="M1234" s="177" t="s">
        <v>153</v>
      </c>
      <c r="N1234" s="177" t="s">
        <v>149</v>
      </c>
      <c r="O1234" s="177" t="s">
        <v>154</v>
      </c>
      <c r="P1234" s="177" t="s">
        <v>151</v>
      </c>
      <c r="Q1234" s="177" t="s">
        <v>155</v>
      </c>
      <c r="R1234" s="177" t="s">
        <v>10159</v>
      </c>
      <c r="S1234" s="177"/>
      <c r="T1234" s="177" t="s">
        <v>3159</v>
      </c>
      <c r="U1234" s="177" t="s">
        <v>152</v>
      </c>
      <c r="V1234" s="177" t="s">
        <v>18</v>
      </c>
    </row>
    <row r="1235" spans="2:22">
      <c r="B1235" s="251">
        <v>46260</v>
      </c>
      <c r="C1235" s="251">
        <v>46260</v>
      </c>
      <c r="D1235" s="177" t="s">
        <v>10160</v>
      </c>
      <c r="E1235" s="177">
        <v>260105523418</v>
      </c>
      <c r="F1235" s="177" t="s">
        <v>87</v>
      </c>
      <c r="G1235" s="177" t="s">
        <v>2407</v>
      </c>
      <c r="H1235" s="177">
        <v>162</v>
      </c>
      <c r="I1235" s="177">
        <v>240</v>
      </c>
      <c r="J1235" s="177">
        <v>240</v>
      </c>
      <c r="K1235" s="177">
        <v>102</v>
      </c>
      <c r="L1235" s="253">
        <v>1560</v>
      </c>
      <c r="M1235" s="177" t="s">
        <v>153</v>
      </c>
      <c r="N1235" s="177" t="s">
        <v>149</v>
      </c>
      <c r="O1235" s="177" t="s">
        <v>154</v>
      </c>
      <c r="P1235" s="177" t="s">
        <v>151</v>
      </c>
      <c r="Q1235" s="177" t="s">
        <v>155</v>
      </c>
      <c r="R1235" s="177" t="s">
        <v>10161</v>
      </c>
      <c r="S1235" s="177"/>
      <c r="T1235" s="177" t="s">
        <v>3159</v>
      </c>
      <c r="U1235" s="177" t="s">
        <v>152</v>
      </c>
      <c r="V1235" s="177" t="s">
        <v>18</v>
      </c>
    </row>
    <row r="1236" spans="2:22">
      <c r="B1236" s="251">
        <v>46260</v>
      </c>
      <c r="C1236" s="251">
        <v>46260</v>
      </c>
      <c r="D1236" s="177" t="s">
        <v>10162</v>
      </c>
      <c r="E1236" s="177">
        <v>260105223419</v>
      </c>
      <c r="F1236" s="177" t="s">
        <v>87</v>
      </c>
      <c r="G1236" s="177" t="s">
        <v>2527</v>
      </c>
      <c r="H1236" s="177">
        <v>152</v>
      </c>
      <c r="I1236" s="177">
        <v>295</v>
      </c>
      <c r="J1236" s="177">
        <v>295</v>
      </c>
      <c r="K1236" s="177">
        <v>104</v>
      </c>
      <c r="L1236" s="253">
        <v>1930</v>
      </c>
      <c r="M1236" s="177" t="s">
        <v>153</v>
      </c>
      <c r="N1236" s="177" t="s">
        <v>149</v>
      </c>
      <c r="O1236" s="177" t="s">
        <v>154</v>
      </c>
      <c r="P1236" s="177" t="s">
        <v>151</v>
      </c>
      <c r="Q1236" s="177" t="s">
        <v>155</v>
      </c>
      <c r="R1236" s="177" t="s">
        <v>10163</v>
      </c>
      <c r="S1236" s="177"/>
      <c r="T1236" s="177" t="s">
        <v>3159</v>
      </c>
      <c r="U1236" s="177" t="s">
        <v>152</v>
      </c>
      <c r="V1236" s="177" t="s">
        <v>18</v>
      </c>
    </row>
    <row r="1237" spans="2:22">
      <c r="B1237" s="251">
        <v>46260</v>
      </c>
      <c r="C1237" s="251">
        <v>46260</v>
      </c>
      <c r="D1237" s="177" t="s">
        <v>10164</v>
      </c>
      <c r="E1237" s="177">
        <v>260101623437</v>
      </c>
      <c r="F1237" s="177" t="s">
        <v>87</v>
      </c>
      <c r="G1237" s="177" t="s">
        <v>2079</v>
      </c>
      <c r="H1237" s="177">
        <v>112</v>
      </c>
      <c r="I1237" s="177">
        <v>210</v>
      </c>
      <c r="J1237" s="177">
        <v>210</v>
      </c>
      <c r="K1237" s="177">
        <v>180</v>
      </c>
      <c r="L1237" s="253">
        <v>530</v>
      </c>
      <c r="M1237" s="177" t="s">
        <v>153</v>
      </c>
      <c r="N1237" s="177" t="s">
        <v>149</v>
      </c>
      <c r="O1237" s="177" t="s">
        <v>154</v>
      </c>
      <c r="P1237" s="177" t="s">
        <v>151</v>
      </c>
      <c r="Q1237" s="177" t="s">
        <v>155</v>
      </c>
      <c r="R1237" s="177" t="s">
        <v>10165</v>
      </c>
      <c r="S1237" s="177"/>
      <c r="T1237" s="177" t="s">
        <v>3159</v>
      </c>
      <c r="U1237" s="177" t="s">
        <v>152</v>
      </c>
      <c r="V1237" s="177" t="s">
        <v>18</v>
      </c>
    </row>
    <row r="1238" spans="2:22">
      <c r="B1238" s="251">
        <v>46260</v>
      </c>
      <c r="C1238" s="251">
        <v>46260</v>
      </c>
      <c r="D1238" s="177" t="s">
        <v>10166</v>
      </c>
      <c r="E1238" s="177">
        <v>260103323347</v>
      </c>
      <c r="F1238" s="177" t="s">
        <v>87</v>
      </c>
      <c r="G1238" s="177" t="s">
        <v>2361</v>
      </c>
      <c r="H1238" s="177">
        <v>152</v>
      </c>
      <c r="I1238" s="177">
        <v>229</v>
      </c>
      <c r="J1238" s="177">
        <v>229</v>
      </c>
      <c r="K1238" s="177">
        <v>98</v>
      </c>
      <c r="L1238" s="253">
        <v>1620</v>
      </c>
      <c r="M1238" s="177" t="s">
        <v>153</v>
      </c>
      <c r="N1238" s="177" t="s">
        <v>149</v>
      </c>
      <c r="O1238" s="177" t="s">
        <v>154</v>
      </c>
      <c r="P1238" s="177" t="s">
        <v>151</v>
      </c>
      <c r="Q1238" s="177" t="s">
        <v>155</v>
      </c>
      <c r="R1238" s="177" t="s">
        <v>10167</v>
      </c>
      <c r="S1238" s="177"/>
      <c r="T1238" s="177" t="s">
        <v>3159</v>
      </c>
      <c r="U1238" s="177" t="s">
        <v>152</v>
      </c>
      <c r="V1238" s="177" t="s">
        <v>18</v>
      </c>
    </row>
    <row r="1239" spans="2:22">
      <c r="B1239" s="251">
        <v>46260</v>
      </c>
      <c r="C1239" s="251">
        <v>46260</v>
      </c>
      <c r="D1239" s="177" t="s">
        <v>10168</v>
      </c>
      <c r="E1239" s="177">
        <v>260102823412</v>
      </c>
      <c r="F1239" s="177" t="s">
        <v>87</v>
      </c>
      <c r="G1239" s="177" t="s">
        <v>8032</v>
      </c>
      <c r="H1239" s="177">
        <v>102</v>
      </c>
      <c r="I1239" s="177">
        <v>280</v>
      </c>
      <c r="J1239" s="177">
        <v>280</v>
      </c>
      <c r="K1239" s="177">
        <v>130</v>
      </c>
      <c r="L1239" s="253">
        <v>1065</v>
      </c>
      <c r="M1239" s="177" t="s">
        <v>153</v>
      </c>
      <c r="N1239" s="177" t="s">
        <v>149</v>
      </c>
      <c r="O1239" s="177" t="s">
        <v>154</v>
      </c>
      <c r="P1239" s="177" t="s">
        <v>151</v>
      </c>
      <c r="Q1239" s="177" t="s">
        <v>155</v>
      </c>
      <c r="R1239" s="177" t="s">
        <v>10169</v>
      </c>
      <c r="S1239" s="177"/>
      <c r="T1239" s="177" t="s">
        <v>3159</v>
      </c>
      <c r="U1239" s="177" t="s">
        <v>152</v>
      </c>
      <c r="V1239" s="177" t="s">
        <v>18</v>
      </c>
    </row>
    <row r="1240" spans="2:22">
      <c r="B1240" s="251">
        <v>46260</v>
      </c>
      <c r="C1240" s="251">
        <v>46260</v>
      </c>
      <c r="D1240" s="177" t="s">
        <v>10170</v>
      </c>
      <c r="E1240" s="177">
        <v>260101723422</v>
      </c>
      <c r="F1240" s="177" t="s">
        <v>87</v>
      </c>
      <c r="G1240" s="177" t="s">
        <v>8681</v>
      </c>
      <c r="H1240" s="177">
        <v>92</v>
      </c>
      <c r="I1240" s="177">
        <v>258</v>
      </c>
      <c r="J1240" s="177">
        <v>258</v>
      </c>
      <c r="K1240" s="177">
        <v>134</v>
      </c>
      <c r="L1240" s="253">
        <v>1035</v>
      </c>
      <c r="M1240" s="177" t="s">
        <v>153</v>
      </c>
      <c r="N1240" s="177" t="s">
        <v>149</v>
      </c>
      <c r="O1240" s="177" t="s">
        <v>154</v>
      </c>
      <c r="P1240" s="177" t="s">
        <v>151</v>
      </c>
      <c r="Q1240" s="177" t="s">
        <v>155</v>
      </c>
      <c r="R1240" s="177" t="s">
        <v>10171</v>
      </c>
      <c r="S1240" s="177"/>
      <c r="T1240" s="177" t="s">
        <v>3159</v>
      </c>
      <c r="U1240" s="177" t="s">
        <v>152</v>
      </c>
      <c r="V1240" s="177" t="s">
        <v>18</v>
      </c>
    </row>
    <row r="1241" spans="2:22">
      <c r="B1241" s="251">
        <v>46260</v>
      </c>
      <c r="C1241" s="251">
        <v>46260</v>
      </c>
      <c r="D1241" s="177" t="s">
        <v>10172</v>
      </c>
      <c r="E1241" s="177">
        <v>260103323346</v>
      </c>
      <c r="F1241" s="177" t="s">
        <v>87</v>
      </c>
      <c r="G1241" s="177" t="s">
        <v>2361</v>
      </c>
      <c r="H1241" s="177">
        <v>152</v>
      </c>
      <c r="I1241" s="177">
        <v>232</v>
      </c>
      <c r="J1241" s="177">
        <v>232</v>
      </c>
      <c r="K1241" s="177">
        <v>98</v>
      </c>
      <c r="L1241" s="253">
        <v>1620</v>
      </c>
      <c r="M1241" s="177" t="s">
        <v>153</v>
      </c>
      <c r="N1241" s="177" t="s">
        <v>149</v>
      </c>
      <c r="O1241" s="177" t="s">
        <v>154</v>
      </c>
      <c r="P1241" s="177" t="s">
        <v>151</v>
      </c>
      <c r="Q1241" s="177" t="s">
        <v>155</v>
      </c>
      <c r="R1241" s="177" t="s">
        <v>10173</v>
      </c>
      <c r="S1241" s="177"/>
      <c r="T1241" s="177" t="s">
        <v>3159</v>
      </c>
      <c r="U1241" s="177" t="s">
        <v>152</v>
      </c>
      <c r="V1241" s="177" t="s">
        <v>18</v>
      </c>
    </row>
    <row r="1242" spans="2:22">
      <c r="B1242" s="251">
        <v>46260</v>
      </c>
      <c r="C1242" s="251">
        <v>46260</v>
      </c>
      <c r="D1242" s="177" t="s">
        <v>10174</v>
      </c>
      <c r="E1242" s="177">
        <v>260103723414</v>
      </c>
      <c r="F1242" s="177" t="s">
        <v>87</v>
      </c>
      <c r="G1242" s="177" t="s">
        <v>8646</v>
      </c>
      <c r="H1242" s="177">
        <v>135</v>
      </c>
      <c r="I1242" s="177">
        <v>240</v>
      </c>
      <c r="J1242" s="177">
        <v>240</v>
      </c>
      <c r="K1242" s="177">
        <v>97</v>
      </c>
      <c r="L1242" s="253">
        <v>1810</v>
      </c>
      <c r="M1242" s="177" t="s">
        <v>153</v>
      </c>
      <c r="N1242" s="177" t="s">
        <v>149</v>
      </c>
      <c r="O1242" s="177" t="s">
        <v>154</v>
      </c>
      <c r="P1242" s="177" t="s">
        <v>151</v>
      </c>
      <c r="Q1242" s="177" t="s">
        <v>155</v>
      </c>
      <c r="R1242" s="177" t="s">
        <v>10175</v>
      </c>
      <c r="S1242" s="177"/>
      <c r="T1242" s="177" t="s">
        <v>3159</v>
      </c>
      <c r="U1242" s="177" t="s">
        <v>152</v>
      </c>
      <c r="V1242" s="177" t="s">
        <v>18</v>
      </c>
    </row>
    <row r="1243" spans="2:22">
      <c r="B1243" s="251">
        <v>46260</v>
      </c>
      <c r="C1243" s="251">
        <v>46260</v>
      </c>
      <c r="D1243" s="177" t="s">
        <v>10176</v>
      </c>
      <c r="E1243" s="177">
        <v>260105423416</v>
      </c>
      <c r="F1243" s="177" t="s">
        <v>87</v>
      </c>
      <c r="G1243" s="177" t="s">
        <v>2364</v>
      </c>
      <c r="H1243" s="177">
        <v>142</v>
      </c>
      <c r="I1243" s="177">
        <v>190</v>
      </c>
      <c r="J1243" s="177">
        <v>190</v>
      </c>
      <c r="K1243" s="177">
        <v>67</v>
      </c>
      <c r="L1243" s="253">
        <v>2035</v>
      </c>
      <c r="M1243" s="177" t="s">
        <v>153</v>
      </c>
      <c r="N1243" s="177" t="s">
        <v>149</v>
      </c>
      <c r="O1243" s="177" t="s">
        <v>154</v>
      </c>
      <c r="P1243" s="177" t="s">
        <v>151</v>
      </c>
      <c r="Q1243" s="177" t="s">
        <v>155</v>
      </c>
      <c r="R1243" s="177" t="s">
        <v>10177</v>
      </c>
      <c r="S1243" s="177"/>
      <c r="T1243" s="177" t="s">
        <v>3159</v>
      </c>
      <c r="U1243" s="177" t="s">
        <v>152</v>
      </c>
      <c r="V1243" s="177" t="s">
        <v>18</v>
      </c>
    </row>
    <row r="1244" spans="2:22">
      <c r="B1244" s="251">
        <v>46260</v>
      </c>
      <c r="C1244" s="251">
        <v>46260</v>
      </c>
      <c r="D1244" s="177" t="s">
        <v>10178</v>
      </c>
      <c r="E1244" s="177">
        <v>260100422767</v>
      </c>
      <c r="F1244" s="177" t="s">
        <v>87</v>
      </c>
      <c r="G1244" s="177" t="s">
        <v>2419</v>
      </c>
      <c r="H1244" s="177" t="s">
        <v>10179</v>
      </c>
      <c r="I1244" s="177">
        <v>770</v>
      </c>
      <c r="J1244" s="177">
        <v>770</v>
      </c>
      <c r="K1244" s="177">
        <v>180</v>
      </c>
      <c r="L1244" s="253">
        <v>1485</v>
      </c>
      <c r="M1244" s="177" t="s">
        <v>153</v>
      </c>
      <c r="N1244" s="177" t="s">
        <v>149</v>
      </c>
      <c r="O1244" s="177" t="s">
        <v>154</v>
      </c>
      <c r="P1244" s="177" t="s">
        <v>151</v>
      </c>
      <c r="Q1244" s="177" t="s">
        <v>156</v>
      </c>
      <c r="R1244" s="177" t="s">
        <v>10180</v>
      </c>
      <c r="S1244" s="177"/>
      <c r="T1244" s="177" t="s">
        <v>3159</v>
      </c>
      <c r="U1244" s="177" t="s">
        <v>152</v>
      </c>
      <c r="V1244" s="177" t="s">
        <v>20</v>
      </c>
    </row>
    <row r="1245" spans="2:22">
      <c r="B1245" s="251">
        <v>46260</v>
      </c>
      <c r="C1245" s="251">
        <v>46260</v>
      </c>
      <c r="D1245" s="177" t="s">
        <v>10181</v>
      </c>
      <c r="E1245" s="177">
        <v>260102523480</v>
      </c>
      <c r="F1245" s="177" t="s">
        <v>87</v>
      </c>
      <c r="G1245" s="177" t="s">
        <v>8032</v>
      </c>
      <c r="H1245" s="177">
        <v>102</v>
      </c>
      <c r="I1245" s="177">
        <v>265</v>
      </c>
      <c r="J1245" s="177">
        <v>265</v>
      </c>
      <c r="K1245" s="177">
        <v>130</v>
      </c>
      <c r="L1245" s="253">
        <v>1000</v>
      </c>
      <c r="M1245" s="177" t="s">
        <v>153</v>
      </c>
      <c r="N1245" s="177" t="s">
        <v>149</v>
      </c>
      <c r="O1245" s="177" t="s">
        <v>154</v>
      </c>
      <c r="P1245" s="177" t="s">
        <v>151</v>
      </c>
      <c r="Q1245" s="177" t="s">
        <v>155</v>
      </c>
      <c r="R1245" s="177" t="s">
        <v>10182</v>
      </c>
      <c r="S1245" s="177"/>
      <c r="T1245" s="177" t="s">
        <v>3161</v>
      </c>
      <c r="U1245" s="177" t="s">
        <v>152</v>
      </c>
      <c r="V1245" s="177" t="s">
        <v>18</v>
      </c>
    </row>
    <row r="1246" spans="2:22">
      <c r="B1246" s="251">
        <v>46260</v>
      </c>
      <c r="C1246" s="251">
        <v>46260</v>
      </c>
      <c r="D1246" s="177" t="s">
        <v>10183</v>
      </c>
      <c r="E1246" s="177">
        <v>260101923482</v>
      </c>
      <c r="F1246" s="177" t="s">
        <v>87</v>
      </c>
      <c r="G1246" s="177" t="s">
        <v>8681</v>
      </c>
      <c r="H1246" s="177">
        <v>92</v>
      </c>
      <c r="I1246" s="177">
        <v>249</v>
      </c>
      <c r="J1246" s="177">
        <v>249</v>
      </c>
      <c r="K1246" s="177">
        <v>134</v>
      </c>
      <c r="L1246" s="253">
        <v>1000</v>
      </c>
      <c r="M1246" s="177" t="s">
        <v>153</v>
      </c>
      <c r="N1246" s="177" t="s">
        <v>149</v>
      </c>
      <c r="O1246" s="177" t="s">
        <v>154</v>
      </c>
      <c r="P1246" s="177" t="s">
        <v>151</v>
      </c>
      <c r="Q1246" s="177" t="s">
        <v>155</v>
      </c>
      <c r="R1246" s="177" t="s">
        <v>10184</v>
      </c>
      <c r="S1246" s="177"/>
      <c r="T1246" s="177" t="s">
        <v>3161</v>
      </c>
      <c r="U1246" s="177" t="s">
        <v>152</v>
      </c>
      <c r="V1246" s="177" t="s">
        <v>18</v>
      </c>
    </row>
    <row r="1247" spans="2:22">
      <c r="B1247" s="251">
        <v>46260</v>
      </c>
      <c r="C1247" s="251">
        <v>46260</v>
      </c>
      <c r="D1247" s="177" t="s">
        <v>10185</v>
      </c>
      <c r="E1247" s="177">
        <v>260102623479</v>
      </c>
      <c r="F1247" s="177" t="s">
        <v>87</v>
      </c>
      <c r="G1247" s="177" t="s">
        <v>8032</v>
      </c>
      <c r="H1247" s="177">
        <v>102</v>
      </c>
      <c r="I1247" s="177">
        <v>299</v>
      </c>
      <c r="J1247" s="177">
        <v>299</v>
      </c>
      <c r="K1247" s="177">
        <v>130</v>
      </c>
      <c r="L1247" s="253">
        <v>1130</v>
      </c>
      <c r="M1247" s="177" t="s">
        <v>153</v>
      </c>
      <c r="N1247" s="177" t="s">
        <v>149</v>
      </c>
      <c r="O1247" s="177" t="s">
        <v>154</v>
      </c>
      <c r="P1247" s="177" t="s">
        <v>151</v>
      </c>
      <c r="Q1247" s="177" t="s">
        <v>155</v>
      </c>
      <c r="R1247" s="177" t="s">
        <v>10186</v>
      </c>
      <c r="S1247" s="177"/>
      <c r="T1247" s="177" t="s">
        <v>3161</v>
      </c>
      <c r="U1247" s="177" t="s">
        <v>152</v>
      </c>
      <c r="V1247" s="177" t="s">
        <v>18</v>
      </c>
    </row>
    <row r="1248" spans="2:22">
      <c r="B1248" s="251">
        <v>46260</v>
      </c>
      <c r="C1248" s="251">
        <v>46260</v>
      </c>
      <c r="D1248" s="177" t="s">
        <v>10187</v>
      </c>
      <c r="E1248" s="177">
        <v>260102223485</v>
      </c>
      <c r="F1248" s="177" t="s">
        <v>87</v>
      </c>
      <c r="G1248" s="177" t="s">
        <v>9731</v>
      </c>
      <c r="H1248" s="177">
        <v>102</v>
      </c>
      <c r="I1248" s="177">
        <v>261</v>
      </c>
      <c r="J1248" s="177">
        <v>261</v>
      </c>
      <c r="K1248" s="177">
        <v>130</v>
      </c>
      <c r="L1248" s="253">
        <v>1000</v>
      </c>
      <c r="M1248" s="177" t="s">
        <v>153</v>
      </c>
      <c r="N1248" s="177" t="s">
        <v>149</v>
      </c>
      <c r="O1248" s="177" t="s">
        <v>154</v>
      </c>
      <c r="P1248" s="177" t="s">
        <v>151</v>
      </c>
      <c r="Q1248" s="177" t="s">
        <v>155</v>
      </c>
      <c r="R1248" s="177" t="s">
        <v>10188</v>
      </c>
      <c r="S1248" s="177"/>
      <c r="T1248" s="177" t="s">
        <v>3161</v>
      </c>
      <c r="U1248" s="177" t="s">
        <v>152</v>
      </c>
      <c r="V1248" s="177" t="s">
        <v>18</v>
      </c>
    </row>
    <row r="1249" spans="2:22">
      <c r="B1249" s="251">
        <v>46260</v>
      </c>
      <c r="C1249" s="251">
        <v>46260</v>
      </c>
      <c r="D1249" s="177" t="s">
        <v>10189</v>
      </c>
      <c r="E1249" s="177">
        <v>260102023486</v>
      </c>
      <c r="F1249" s="177" t="s">
        <v>87</v>
      </c>
      <c r="G1249" s="177" t="s">
        <v>8681</v>
      </c>
      <c r="H1249" s="177">
        <v>92</v>
      </c>
      <c r="I1249" s="177">
        <v>247</v>
      </c>
      <c r="J1249" s="177">
        <v>247</v>
      </c>
      <c r="K1249" s="177">
        <v>134</v>
      </c>
      <c r="L1249" s="253">
        <v>1020</v>
      </c>
      <c r="M1249" s="177" t="s">
        <v>153</v>
      </c>
      <c r="N1249" s="177" t="s">
        <v>149</v>
      </c>
      <c r="O1249" s="177" t="s">
        <v>154</v>
      </c>
      <c r="P1249" s="177" t="s">
        <v>151</v>
      </c>
      <c r="Q1249" s="177" t="s">
        <v>155</v>
      </c>
      <c r="R1249" s="177" t="s">
        <v>10190</v>
      </c>
      <c r="S1249" s="177"/>
      <c r="T1249" s="177" t="s">
        <v>3161</v>
      </c>
      <c r="U1249" s="177" t="s">
        <v>152</v>
      </c>
      <c r="V1249" s="177" t="s">
        <v>18</v>
      </c>
    </row>
    <row r="1250" spans="2:22">
      <c r="B1250" s="251">
        <v>46260</v>
      </c>
      <c r="C1250" s="251">
        <v>46260</v>
      </c>
      <c r="D1250" s="177" t="s">
        <v>10191</v>
      </c>
      <c r="E1250" s="177">
        <v>260101823484</v>
      </c>
      <c r="F1250" s="177" t="s">
        <v>87</v>
      </c>
      <c r="G1250" s="177" t="s">
        <v>8681</v>
      </c>
      <c r="H1250" s="177">
        <v>92</v>
      </c>
      <c r="I1250" s="177">
        <v>295</v>
      </c>
      <c r="J1250" s="177">
        <v>295</v>
      </c>
      <c r="K1250" s="177">
        <v>134</v>
      </c>
      <c r="L1250" s="253">
        <v>1190</v>
      </c>
      <c r="M1250" s="177" t="s">
        <v>153</v>
      </c>
      <c r="N1250" s="177" t="s">
        <v>149</v>
      </c>
      <c r="O1250" s="177" t="s">
        <v>154</v>
      </c>
      <c r="P1250" s="177" t="s">
        <v>151</v>
      </c>
      <c r="Q1250" s="177" t="s">
        <v>155</v>
      </c>
      <c r="R1250" s="177" t="s">
        <v>10192</v>
      </c>
      <c r="S1250" s="177"/>
      <c r="T1250" s="177" t="s">
        <v>3161</v>
      </c>
      <c r="U1250" s="177" t="s">
        <v>152</v>
      </c>
      <c r="V1250" s="177" t="s">
        <v>18</v>
      </c>
    </row>
    <row r="1251" spans="2:22">
      <c r="B1251" s="251">
        <v>46260</v>
      </c>
      <c r="C1251" s="251">
        <v>46260</v>
      </c>
      <c r="D1251" s="177" t="s">
        <v>10193</v>
      </c>
      <c r="E1251" s="177">
        <v>260102423481</v>
      </c>
      <c r="F1251" s="177" t="s">
        <v>87</v>
      </c>
      <c r="G1251" s="177" t="s">
        <v>8032</v>
      </c>
      <c r="H1251" s="177">
        <v>102</v>
      </c>
      <c r="I1251" s="177">
        <v>258</v>
      </c>
      <c r="J1251" s="177">
        <v>258</v>
      </c>
      <c r="K1251" s="177">
        <v>130</v>
      </c>
      <c r="L1251" s="253">
        <v>1000</v>
      </c>
      <c r="M1251" s="177" t="s">
        <v>153</v>
      </c>
      <c r="N1251" s="177" t="s">
        <v>149</v>
      </c>
      <c r="O1251" s="177" t="s">
        <v>154</v>
      </c>
      <c r="P1251" s="177" t="s">
        <v>151</v>
      </c>
      <c r="Q1251" s="177" t="s">
        <v>155</v>
      </c>
      <c r="R1251" s="177" t="s">
        <v>10194</v>
      </c>
      <c r="S1251" s="177"/>
      <c r="T1251" s="177" t="s">
        <v>3161</v>
      </c>
      <c r="U1251" s="177" t="s">
        <v>152</v>
      </c>
      <c r="V1251" s="177" t="s">
        <v>18</v>
      </c>
    </row>
    <row r="1252" spans="2:22">
      <c r="B1252" s="251">
        <v>46260</v>
      </c>
      <c r="C1252" s="251">
        <v>46260</v>
      </c>
      <c r="D1252" s="177" t="s">
        <v>10195</v>
      </c>
      <c r="E1252" s="177">
        <v>260101723483</v>
      </c>
      <c r="F1252" s="177" t="s">
        <v>87</v>
      </c>
      <c r="G1252" s="177" t="s">
        <v>8681</v>
      </c>
      <c r="H1252" s="177">
        <v>92</v>
      </c>
      <c r="I1252" s="177">
        <v>161</v>
      </c>
      <c r="J1252" s="177">
        <v>161</v>
      </c>
      <c r="K1252" s="177">
        <v>134</v>
      </c>
      <c r="L1252" s="253">
        <v>660</v>
      </c>
      <c r="M1252" s="177" t="s">
        <v>153</v>
      </c>
      <c r="N1252" s="177" t="s">
        <v>149</v>
      </c>
      <c r="O1252" s="177" t="s">
        <v>154</v>
      </c>
      <c r="P1252" s="177" t="s">
        <v>151</v>
      </c>
      <c r="Q1252" s="177" t="s">
        <v>155</v>
      </c>
      <c r="R1252" s="177" t="s">
        <v>10196</v>
      </c>
      <c r="S1252" s="177"/>
      <c r="T1252" s="177" t="s">
        <v>3161</v>
      </c>
      <c r="U1252" s="177" t="s">
        <v>152</v>
      </c>
      <c r="V1252" s="177" t="s">
        <v>18</v>
      </c>
    </row>
    <row r="1253" spans="2:22">
      <c r="B1253" s="251">
        <v>46260</v>
      </c>
      <c r="C1253" s="251">
        <v>46260</v>
      </c>
      <c r="D1253" s="177" t="s">
        <v>10197</v>
      </c>
      <c r="E1253" s="177">
        <v>260100422846</v>
      </c>
      <c r="F1253" s="177" t="s">
        <v>87</v>
      </c>
      <c r="G1253" s="177" t="s">
        <v>2419</v>
      </c>
      <c r="H1253" s="177" t="s">
        <v>10179</v>
      </c>
      <c r="I1253" s="177">
        <v>660</v>
      </c>
      <c r="J1253" s="177">
        <v>660</v>
      </c>
      <c r="K1253" s="177">
        <v>180</v>
      </c>
      <c r="L1253" s="253">
        <v>1265</v>
      </c>
      <c r="M1253" s="177" t="s">
        <v>153</v>
      </c>
      <c r="N1253" s="177" t="s">
        <v>149</v>
      </c>
      <c r="O1253" s="177" t="s">
        <v>154</v>
      </c>
      <c r="P1253" s="177" t="s">
        <v>151</v>
      </c>
      <c r="Q1253" s="177" t="s">
        <v>156</v>
      </c>
      <c r="R1253" s="177" t="s">
        <v>10198</v>
      </c>
      <c r="S1253" s="177"/>
      <c r="T1253" s="177" t="s">
        <v>3161</v>
      </c>
      <c r="U1253" s="177" t="s">
        <v>152</v>
      </c>
      <c r="V1253" s="177" t="s">
        <v>20</v>
      </c>
    </row>
    <row r="1254" spans="2:22">
      <c r="B1254" s="251">
        <v>46260</v>
      </c>
      <c r="C1254" s="251">
        <v>46260</v>
      </c>
      <c r="D1254" s="177" t="s">
        <v>10199</v>
      </c>
      <c r="E1254" s="177" t="s">
        <v>10200</v>
      </c>
      <c r="F1254" s="177" t="s">
        <v>94</v>
      </c>
      <c r="G1254" s="177" t="s">
        <v>10201</v>
      </c>
      <c r="H1254" s="177" t="s">
        <v>2416</v>
      </c>
      <c r="I1254" s="177">
        <v>81</v>
      </c>
      <c r="J1254" s="177">
        <v>81</v>
      </c>
      <c r="K1254" s="177">
        <v>44</v>
      </c>
      <c r="L1254" s="253">
        <v>1850</v>
      </c>
      <c r="M1254" s="177" t="s">
        <v>153</v>
      </c>
      <c r="N1254" s="177" t="s">
        <v>149</v>
      </c>
      <c r="O1254" s="177" t="s">
        <v>154</v>
      </c>
      <c r="P1254" s="177" t="s">
        <v>151</v>
      </c>
      <c r="Q1254" s="177" t="s">
        <v>156</v>
      </c>
      <c r="R1254" s="177" t="s">
        <v>10202</v>
      </c>
      <c r="S1254" s="177"/>
      <c r="T1254" s="177" t="s">
        <v>10203</v>
      </c>
      <c r="U1254" s="177" t="s">
        <v>152</v>
      </c>
      <c r="V1254" s="177" t="s">
        <v>20</v>
      </c>
    </row>
    <row r="1255" spans="2:22">
      <c r="B1255" s="251">
        <v>46260</v>
      </c>
      <c r="C1255" s="251">
        <v>46260</v>
      </c>
      <c r="D1255" s="177" t="s">
        <v>10204</v>
      </c>
      <c r="E1255" s="177">
        <v>260102112681</v>
      </c>
      <c r="F1255" s="177" t="s">
        <v>94</v>
      </c>
      <c r="G1255" s="177" t="s">
        <v>2411</v>
      </c>
      <c r="H1255" s="177" t="s">
        <v>10205</v>
      </c>
      <c r="I1255" s="177">
        <v>346</v>
      </c>
      <c r="J1255" s="177">
        <v>346</v>
      </c>
      <c r="K1255" s="177">
        <v>105</v>
      </c>
      <c r="L1255" s="253">
        <v>3585</v>
      </c>
      <c r="M1255" s="177" t="s">
        <v>153</v>
      </c>
      <c r="N1255" s="177" t="s">
        <v>149</v>
      </c>
      <c r="O1255" s="177" t="s">
        <v>154</v>
      </c>
      <c r="P1255" s="177" t="s">
        <v>151</v>
      </c>
      <c r="Q1255" s="177" t="s">
        <v>156</v>
      </c>
      <c r="R1255" s="177" t="s">
        <v>10206</v>
      </c>
      <c r="S1255" s="177"/>
      <c r="T1255" s="177" t="s">
        <v>10203</v>
      </c>
      <c r="U1255" s="177" t="s">
        <v>152</v>
      </c>
      <c r="V1255" s="177" t="s">
        <v>20</v>
      </c>
    </row>
    <row r="1256" spans="2:22">
      <c r="B1256" s="251">
        <v>46260</v>
      </c>
      <c r="C1256" s="251">
        <v>46260</v>
      </c>
      <c r="D1256" s="177" t="s">
        <v>10207</v>
      </c>
      <c r="E1256" s="177" t="s">
        <v>10208</v>
      </c>
      <c r="F1256" s="177" t="s">
        <v>94</v>
      </c>
      <c r="G1256" s="177" t="s">
        <v>10209</v>
      </c>
      <c r="H1256" s="177" t="s">
        <v>2537</v>
      </c>
      <c r="I1256" s="177">
        <v>118</v>
      </c>
      <c r="J1256" s="177">
        <v>118</v>
      </c>
      <c r="K1256" s="177">
        <v>55</v>
      </c>
      <c r="L1256" s="253">
        <v>2668</v>
      </c>
      <c r="M1256" s="177" t="s">
        <v>153</v>
      </c>
      <c r="N1256" s="177" t="s">
        <v>149</v>
      </c>
      <c r="O1256" s="177" t="s">
        <v>154</v>
      </c>
      <c r="P1256" s="177" t="s">
        <v>151</v>
      </c>
      <c r="Q1256" s="177" t="s">
        <v>156</v>
      </c>
      <c r="R1256" s="177" t="s">
        <v>10210</v>
      </c>
      <c r="S1256" s="177"/>
      <c r="T1256" s="177" t="s">
        <v>10203</v>
      </c>
      <c r="U1256" s="177" t="s">
        <v>152</v>
      </c>
      <c r="V1256" s="177" t="s">
        <v>20</v>
      </c>
    </row>
    <row r="1257" spans="2:22">
      <c r="B1257" s="251">
        <v>46260</v>
      </c>
      <c r="C1257" s="251">
        <v>46260</v>
      </c>
      <c r="D1257" s="177" t="s">
        <v>10211</v>
      </c>
      <c r="E1257" s="177" t="s">
        <v>10212</v>
      </c>
      <c r="F1257" s="177" t="s">
        <v>94</v>
      </c>
      <c r="G1257" s="177" t="s">
        <v>2340</v>
      </c>
      <c r="H1257" s="177">
        <v>102</v>
      </c>
      <c r="I1257" s="177">
        <v>248.7</v>
      </c>
      <c r="J1257" s="177">
        <v>248.7</v>
      </c>
      <c r="K1257" s="177">
        <v>130</v>
      </c>
      <c r="L1257" s="253">
        <v>923</v>
      </c>
      <c r="M1257" s="177" t="s">
        <v>153</v>
      </c>
      <c r="N1257" s="177" t="s">
        <v>149</v>
      </c>
      <c r="O1257" s="177" t="s">
        <v>154</v>
      </c>
      <c r="P1257" s="177" t="s">
        <v>151</v>
      </c>
      <c r="Q1257" s="177" t="s">
        <v>155</v>
      </c>
      <c r="R1257" s="177" t="s">
        <v>10212</v>
      </c>
      <c r="S1257" s="177"/>
      <c r="T1257" s="177" t="s">
        <v>10213</v>
      </c>
      <c r="U1257" s="177" t="s">
        <v>152</v>
      </c>
      <c r="V1257" s="177" t="s">
        <v>18</v>
      </c>
    </row>
    <row r="1258" spans="2:22">
      <c r="B1258" s="251">
        <v>46260</v>
      </c>
      <c r="C1258" s="251">
        <v>46260</v>
      </c>
      <c r="D1258" s="177" t="s">
        <v>10214</v>
      </c>
      <c r="E1258" s="177" t="s">
        <v>10215</v>
      </c>
      <c r="F1258" s="177" t="s">
        <v>94</v>
      </c>
      <c r="G1258" s="177" t="s">
        <v>2340</v>
      </c>
      <c r="H1258" s="177">
        <v>102</v>
      </c>
      <c r="I1258" s="177">
        <v>285</v>
      </c>
      <c r="J1258" s="177">
        <v>285</v>
      </c>
      <c r="K1258" s="177">
        <v>130</v>
      </c>
      <c r="L1258" s="253">
        <v>1081</v>
      </c>
      <c r="M1258" s="177" t="s">
        <v>153</v>
      </c>
      <c r="N1258" s="177" t="s">
        <v>149</v>
      </c>
      <c r="O1258" s="177" t="s">
        <v>154</v>
      </c>
      <c r="P1258" s="177" t="s">
        <v>151</v>
      </c>
      <c r="Q1258" s="177" t="s">
        <v>155</v>
      </c>
      <c r="R1258" s="177" t="s">
        <v>10215</v>
      </c>
      <c r="S1258" s="177"/>
      <c r="T1258" s="177" t="s">
        <v>10213</v>
      </c>
      <c r="U1258" s="177" t="s">
        <v>152</v>
      </c>
      <c r="V1258" s="177" t="s">
        <v>18</v>
      </c>
    </row>
    <row r="1259" spans="2:22">
      <c r="B1259" s="251">
        <v>46261</v>
      </c>
      <c r="C1259" s="251">
        <v>46261</v>
      </c>
      <c r="D1259" s="177" t="s">
        <v>10216</v>
      </c>
      <c r="E1259" s="177">
        <v>260102323492</v>
      </c>
      <c r="F1259" s="177" t="s">
        <v>87</v>
      </c>
      <c r="G1259" s="177" t="s">
        <v>8032</v>
      </c>
      <c r="H1259" s="177">
        <v>102</v>
      </c>
      <c r="I1259" s="177">
        <v>251</v>
      </c>
      <c r="J1259" s="177">
        <v>251</v>
      </c>
      <c r="K1259" s="177">
        <v>130</v>
      </c>
      <c r="L1259" s="253">
        <v>1000</v>
      </c>
      <c r="M1259" s="177" t="s">
        <v>153</v>
      </c>
      <c r="N1259" s="177" t="s">
        <v>149</v>
      </c>
      <c r="O1259" s="177" t="s">
        <v>154</v>
      </c>
      <c r="P1259" s="177" t="s">
        <v>151</v>
      </c>
      <c r="Q1259" s="177" t="s">
        <v>155</v>
      </c>
      <c r="R1259" s="177" t="s">
        <v>10217</v>
      </c>
      <c r="S1259" s="177"/>
      <c r="T1259" s="177" t="s">
        <v>3177</v>
      </c>
      <c r="U1259" s="177" t="s">
        <v>152</v>
      </c>
      <c r="V1259" s="177" t="s">
        <v>18</v>
      </c>
    </row>
    <row r="1260" spans="2:22">
      <c r="B1260" s="251">
        <v>46261</v>
      </c>
      <c r="C1260" s="251">
        <v>46261</v>
      </c>
      <c r="D1260" s="177" t="s">
        <v>10218</v>
      </c>
      <c r="E1260" s="177">
        <v>260102923508</v>
      </c>
      <c r="F1260" s="177" t="s">
        <v>87</v>
      </c>
      <c r="G1260" s="177" t="s">
        <v>824</v>
      </c>
      <c r="H1260" s="177">
        <v>152</v>
      </c>
      <c r="I1260" s="177">
        <v>297</v>
      </c>
      <c r="J1260" s="177">
        <v>297</v>
      </c>
      <c r="K1260" s="177">
        <v>104</v>
      </c>
      <c r="L1260" s="253">
        <v>1950</v>
      </c>
      <c r="M1260" s="177" t="s">
        <v>153</v>
      </c>
      <c r="N1260" s="177" t="s">
        <v>149</v>
      </c>
      <c r="O1260" s="177" t="s">
        <v>154</v>
      </c>
      <c r="P1260" s="177" t="s">
        <v>151</v>
      </c>
      <c r="Q1260" s="177" t="s">
        <v>155</v>
      </c>
      <c r="R1260" s="177" t="s">
        <v>10219</v>
      </c>
      <c r="S1260" s="177"/>
      <c r="T1260" s="177" t="s">
        <v>3177</v>
      </c>
      <c r="U1260" s="177" t="s">
        <v>152</v>
      </c>
      <c r="V1260" s="177" t="s">
        <v>18</v>
      </c>
    </row>
    <row r="1261" spans="2:22">
      <c r="B1261" s="251">
        <v>46261</v>
      </c>
      <c r="C1261" s="251">
        <v>46261</v>
      </c>
      <c r="D1261" s="177" t="s">
        <v>10220</v>
      </c>
      <c r="E1261" s="177">
        <v>260104023511</v>
      </c>
      <c r="F1261" s="177" t="s">
        <v>87</v>
      </c>
      <c r="G1261" s="177" t="s">
        <v>2526</v>
      </c>
      <c r="H1261" s="177">
        <v>125</v>
      </c>
      <c r="I1261" s="177">
        <v>219</v>
      </c>
      <c r="J1261" s="177">
        <v>219</v>
      </c>
      <c r="K1261" s="177">
        <v>97</v>
      </c>
      <c r="L1261" s="253">
        <v>1800</v>
      </c>
      <c r="M1261" s="177" t="s">
        <v>153</v>
      </c>
      <c r="N1261" s="177" t="s">
        <v>149</v>
      </c>
      <c r="O1261" s="177" t="s">
        <v>154</v>
      </c>
      <c r="P1261" s="177" t="s">
        <v>151</v>
      </c>
      <c r="Q1261" s="177" t="s">
        <v>155</v>
      </c>
      <c r="R1261" s="177" t="s">
        <v>10221</v>
      </c>
      <c r="S1261" s="177"/>
      <c r="T1261" s="177" t="s">
        <v>3177</v>
      </c>
      <c r="U1261" s="177" t="s">
        <v>152</v>
      </c>
      <c r="V1261" s="177" t="s">
        <v>18</v>
      </c>
    </row>
    <row r="1262" spans="2:22">
      <c r="B1262" s="251">
        <v>46261</v>
      </c>
      <c r="C1262" s="251">
        <v>46261</v>
      </c>
      <c r="D1262" s="177" t="s">
        <v>10222</v>
      </c>
      <c r="E1262" s="177">
        <v>260103923515</v>
      </c>
      <c r="F1262" s="177" t="s">
        <v>87</v>
      </c>
      <c r="G1262" s="177" t="s">
        <v>2304</v>
      </c>
      <c r="H1262" s="177">
        <v>132</v>
      </c>
      <c r="I1262" s="177">
        <v>276</v>
      </c>
      <c r="J1262" s="177">
        <v>276</v>
      </c>
      <c r="K1262" s="177">
        <v>97</v>
      </c>
      <c r="L1262" s="253">
        <v>2265</v>
      </c>
      <c r="M1262" s="177" t="s">
        <v>153</v>
      </c>
      <c r="N1262" s="177" t="s">
        <v>149</v>
      </c>
      <c r="O1262" s="177" t="s">
        <v>154</v>
      </c>
      <c r="P1262" s="177" t="s">
        <v>151</v>
      </c>
      <c r="Q1262" s="177" t="s">
        <v>155</v>
      </c>
      <c r="R1262" s="177" t="s">
        <v>10223</v>
      </c>
      <c r="S1262" s="177"/>
      <c r="T1262" s="177" t="s">
        <v>3177</v>
      </c>
      <c r="U1262" s="177" t="s">
        <v>152</v>
      </c>
      <c r="V1262" s="177" t="s">
        <v>18</v>
      </c>
    </row>
    <row r="1263" spans="2:22">
      <c r="B1263" s="251">
        <v>46261</v>
      </c>
      <c r="C1263" s="251">
        <v>46261</v>
      </c>
      <c r="D1263" s="177" t="s">
        <v>10224</v>
      </c>
      <c r="E1263" s="177">
        <v>260103923516</v>
      </c>
      <c r="F1263" s="177" t="s">
        <v>87</v>
      </c>
      <c r="G1263" s="177" t="s">
        <v>2304</v>
      </c>
      <c r="H1263" s="177">
        <v>132</v>
      </c>
      <c r="I1263" s="177">
        <v>278</v>
      </c>
      <c r="J1263" s="177">
        <v>278</v>
      </c>
      <c r="K1263" s="177">
        <v>97</v>
      </c>
      <c r="L1263" s="253">
        <v>2265</v>
      </c>
      <c r="M1263" s="177" t="s">
        <v>153</v>
      </c>
      <c r="N1263" s="177" t="s">
        <v>149</v>
      </c>
      <c r="O1263" s="177" t="s">
        <v>154</v>
      </c>
      <c r="P1263" s="177" t="s">
        <v>151</v>
      </c>
      <c r="Q1263" s="177" t="s">
        <v>155</v>
      </c>
      <c r="R1263" s="177" t="s">
        <v>10225</v>
      </c>
      <c r="S1263" s="177"/>
      <c r="T1263" s="177" t="s">
        <v>3177</v>
      </c>
      <c r="U1263" s="177" t="s">
        <v>152</v>
      </c>
      <c r="V1263" s="177" t="s">
        <v>18</v>
      </c>
    </row>
    <row r="1264" spans="2:22">
      <c r="B1264" s="251">
        <v>46261</v>
      </c>
      <c r="C1264" s="251">
        <v>46261</v>
      </c>
      <c r="D1264" s="177" t="s">
        <v>10226</v>
      </c>
      <c r="E1264" s="177">
        <v>260103823518</v>
      </c>
      <c r="F1264" s="177" t="s">
        <v>87</v>
      </c>
      <c r="G1264" s="177" t="s">
        <v>824</v>
      </c>
      <c r="H1264" s="177">
        <v>152</v>
      </c>
      <c r="I1264" s="177">
        <v>297</v>
      </c>
      <c r="J1264" s="177">
        <v>297</v>
      </c>
      <c r="K1264" s="177">
        <v>104</v>
      </c>
      <c r="L1264" s="253">
        <v>1945</v>
      </c>
      <c r="M1264" s="177" t="s">
        <v>153</v>
      </c>
      <c r="N1264" s="177" t="s">
        <v>149</v>
      </c>
      <c r="O1264" s="177" t="s">
        <v>154</v>
      </c>
      <c r="P1264" s="177" t="s">
        <v>151</v>
      </c>
      <c r="Q1264" s="177" t="s">
        <v>155</v>
      </c>
      <c r="R1264" s="177" t="s">
        <v>10227</v>
      </c>
      <c r="S1264" s="177"/>
      <c r="T1264" s="177" t="s">
        <v>3177</v>
      </c>
      <c r="U1264" s="177" t="s">
        <v>152</v>
      </c>
      <c r="V1264" s="177" t="s">
        <v>18</v>
      </c>
    </row>
    <row r="1265" spans="2:22">
      <c r="B1265" s="251">
        <v>46261</v>
      </c>
      <c r="C1265" s="251">
        <v>46261</v>
      </c>
      <c r="D1265" s="177" t="s">
        <v>10228</v>
      </c>
      <c r="E1265" s="177">
        <v>260107123499</v>
      </c>
      <c r="F1265" s="177" t="s">
        <v>87</v>
      </c>
      <c r="G1265" s="177" t="s">
        <v>8692</v>
      </c>
      <c r="H1265" s="177">
        <v>140</v>
      </c>
      <c r="I1265" s="177">
        <v>213</v>
      </c>
      <c r="J1265" s="177">
        <v>213</v>
      </c>
      <c r="K1265" s="177">
        <v>88</v>
      </c>
      <c r="L1265" s="253">
        <v>1850</v>
      </c>
      <c r="M1265" s="177" t="s">
        <v>153</v>
      </c>
      <c r="N1265" s="177" t="s">
        <v>149</v>
      </c>
      <c r="O1265" s="177" t="s">
        <v>154</v>
      </c>
      <c r="P1265" s="177" t="s">
        <v>151</v>
      </c>
      <c r="Q1265" s="177" t="s">
        <v>155</v>
      </c>
      <c r="R1265" s="177" t="s">
        <v>10229</v>
      </c>
      <c r="S1265" s="177"/>
      <c r="T1265" s="177" t="s">
        <v>3177</v>
      </c>
      <c r="U1265" s="177" t="s">
        <v>152</v>
      </c>
      <c r="V1265" s="177" t="s">
        <v>18</v>
      </c>
    </row>
    <row r="1266" spans="2:22">
      <c r="B1266" s="251">
        <v>46261</v>
      </c>
      <c r="C1266" s="251">
        <v>46261</v>
      </c>
      <c r="D1266" s="177" t="s">
        <v>10230</v>
      </c>
      <c r="E1266" s="177">
        <v>260102723491</v>
      </c>
      <c r="F1266" s="177" t="s">
        <v>87</v>
      </c>
      <c r="G1266" s="177" t="s">
        <v>8032</v>
      </c>
      <c r="H1266" s="177">
        <v>102</v>
      </c>
      <c r="I1266" s="177">
        <v>252</v>
      </c>
      <c r="J1266" s="177">
        <v>252</v>
      </c>
      <c r="K1266" s="177">
        <v>130</v>
      </c>
      <c r="L1266" s="253">
        <v>1000</v>
      </c>
      <c r="M1266" s="177" t="s">
        <v>153</v>
      </c>
      <c r="N1266" s="177" t="s">
        <v>149</v>
      </c>
      <c r="O1266" s="177" t="s">
        <v>154</v>
      </c>
      <c r="P1266" s="177" t="s">
        <v>151</v>
      </c>
      <c r="Q1266" s="177" t="s">
        <v>155</v>
      </c>
      <c r="R1266" s="177" t="s">
        <v>10231</v>
      </c>
      <c r="S1266" s="177"/>
      <c r="T1266" s="177" t="s">
        <v>3177</v>
      </c>
      <c r="U1266" s="177" t="s">
        <v>152</v>
      </c>
      <c r="V1266" s="177" t="s">
        <v>18</v>
      </c>
    </row>
    <row r="1267" spans="2:22">
      <c r="B1267" s="251">
        <v>46261</v>
      </c>
      <c r="C1267" s="251">
        <v>46261</v>
      </c>
      <c r="D1267" s="177" t="s">
        <v>10232</v>
      </c>
      <c r="E1267" s="177">
        <v>260102823506</v>
      </c>
      <c r="F1267" s="177" t="s">
        <v>87</v>
      </c>
      <c r="G1267" s="177" t="s">
        <v>8032</v>
      </c>
      <c r="H1267" s="177">
        <v>102</v>
      </c>
      <c r="I1267" s="177">
        <v>245</v>
      </c>
      <c r="J1267" s="177">
        <v>245</v>
      </c>
      <c r="K1267" s="177">
        <v>130</v>
      </c>
      <c r="L1267" s="253">
        <v>960</v>
      </c>
      <c r="M1267" s="177" t="s">
        <v>153</v>
      </c>
      <c r="N1267" s="177" t="s">
        <v>149</v>
      </c>
      <c r="O1267" s="177" t="s">
        <v>154</v>
      </c>
      <c r="P1267" s="177" t="s">
        <v>151</v>
      </c>
      <c r="Q1267" s="177" t="s">
        <v>155</v>
      </c>
      <c r="R1267" s="177" t="s">
        <v>10233</v>
      </c>
      <c r="S1267" s="177"/>
      <c r="T1267" s="177" t="s">
        <v>3177</v>
      </c>
      <c r="U1267" s="177" t="s">
        <v>152</v>
      </c>
      <c r="V1267" s="177" t="s">
        <v>18</v>
      </c>
    </row>
    <row r="1268" spans="2:22">
      <c r="B1268" s="251">
        <v>46261</v>
      </c>
      <c r="C1268" s="251">
        <v>46261</v>
      </c>
      <c r="D1268" s="177" t="s">
        <v>10234</v>
      </c>
      <c r="E1268" s="177">
        <v>260102923509</v>
      </c>
      <c r="F1268" s="177" t="s">
        <v>87</v>
      </c>
      <c r="G1268" s="177" t="s">
        <v>824</v>
      </c>
      <c r="H1268" s="177">
        <v>152</v>
      </c>
      <c r="I1268" s="177">
        <v>302</v>
      </c>
      <c r="J1268" s="177">
        <v>302</v>
      </c>
      <c r="K1268" s="177">
        <v>104</v>
      </c>
      <c r="L1268" s="253">
        <v>1950</v>
      </c>
      <c r="M1268" s="177" t="s">
        <v>153</v>
      </c>
      <c r="N1268" s="177" t="s">
        <v>149</v>
      </c>
      <c r="O1268" s="177" t="s">
        <v>154</v>
      </c>
      <c r="P1268" s="177" t="s">
        <v>151</v>
      </c>
      <c r="Q1268" s="177" t="s">
        <v>155</v>
      </c>
      <c r="R1268" s="177" t="s">
        <v>10235</v>
      </c>
      <c r="S1268" s="177"/>
      <c r="T1268" s="177" t="s">
        <v>3177</v>
      </c>
      <c r="U1268" s="177" t="s">
        <v>152</v>
      </c>
      <c r="V1268" s="177" t="s">
        <v>18</v>
      </c>
    </row>
    <row r="1269" spans="2:22">
      <c r="B1269" s="251">
        <v>46261</v>
      </c>
      <c r="C1269" s="251">
        <v>46261</v>
      </c>
      <c r="D1269" s="177" t="s">
        <v>10236</v>
      </c>
      <c r="E1269" s="177">
        <v>260103723520</v>
      </c>
      <c r="F1269" s="177" t="s">
        <v>87</v>
      </c>
      <c r="G1269" s="177" t="s">
        <v>2409</v>
      </c>
      <c r="H1269" s="177">
        <v>132</v>
      </c>
      <c r="I1269" s="177">
        <v>202</v>
      </c>
      <c r="J1269" s="177">
        <v>202</v>
      </c>
      <c r="K1269" s="177">
        <v>97</v>
      </c>
      <c r="L1269" s="253">
        <v>1650</v>
      </c>
      <c r="M1269" s="177" t="s">
        <v>153</v>
      </c>
      <c r="N1269" s="177" t="s">
        <v>149</v>
      </c>
      <c r="O1269" s="177" t="s">
        <v>154</v>
      </c>
      <c r="P1269" s="177" t="s">
        <v>151</v>
      </c>
      <c r="Q1269" s="177" t="s">
        <v>155</v>
      </c>
      <c r="R1269" s="177" t="s">
        <v>10237</v>
      </c>
      <c r="S1269" s="177"/>
      <c r="T1269" s="177" t="s">
        <v>3177</v>
      </c>
      <c r="U1269" s="177" t="s">
        <v>152</v>
      </c>
      <c r="V1269" s="177" t="s">
        <v>18</v>
      </c>
    </row>
    <row r="1270" spans="2:22">
      <c r="B1270" s="251">
        <v>46261</v>
      </c>
      <c r="C1270" s="251">
        <v>46261</v>
      </c>
      <c r="D1270" s="177" t="s">
        <v>10238</v>
      </c>
      <c r="E1270" s="177">
        <v>260107623532</v>
      </c>
      <c r="F1270" s="177" t="s">
        <v>87</v>
      </c>
      <c r="G1270" s="177" t="s">
        <v>8646</v>
      </c>
      <c r="H1270" s="177">
        <v>135</v>
      </c>
      <c r="I1270" s="177">
        <v>306</v>
      </c>
      <c r="J1270" s="177">
        <v>306</v>
      </c>
      <c r="K1270" s="177">
        <v>97</v>
      </c>
      <c r="L1270" s="253">
        <v>2410</v>
      </c>
      <c r="M1270" s="177" t="s">
        <v>153</v>
      </c>
      <c r="N1270" s="177" t="s">
        <v>149</v>
      </c>
      <c r="O1270" s="177" t="s">
        <v>154</v>
      </c>
      <c r="P1270" s="177" t="s">
        <v>151</v>
      </c>
      <c r="Q1270" s="177" t="s">
        <v>155</v>
      </c>
      <c r="R1270" s="177" t="s">
        <v>10239</v>
      </c>
      <c r="S1270" s="177"/>
      <c r="T1270" s="177" t="s">
        <v>3177</v>
      </c>
      <c r="U1270" s="177" t="s">
        <v>152</v>
      </c>
      <c r="V1270" s="177" t="s">
        <v>18</v>
      </c>
    </row>
    <row r="1271" spans="2:22">
      <c r="B1271" s="251">
        <v>46261</v>
      </c>
      <c r="C1271" s="251">
        <v>46261</v>
      </c>
      <c r="D1271" s="177" t="s">
        <v>10240</v>
      </c>
      <c r="E1271" s="177">
        <v>260105423537</v>
      </c>
      <c r="F1271" s="177" t="s">
        <v>87</v>
      </c>
      <c r="G1271" s="177" t="s">
        <v>2364</v>
      </c>
      <c r="H1271" s="177">
        <v>142</v>
      </c>
      <c r="I1271" s="177">
        <v>211</v>
      </c>
      <c r="J1271" s="177">
        <v>211</v>
      </c>
      <c r="K1271" s="177">
        <v>67</v>
      </c>
      <c r="L1271" s="253">
        <v>2290</v>
      </c>
      <c r="M1271" s="177" t="s">
        <v>153</v>
      </c>
      <c r="N1271" s="177" t="s">
        <v>149</v>
      </c>
      <c r="O1271" s="177" t="s">
        <v>154</v>
      </c>
      <c r="P1271" s="177" t="s">
        <v>151</v>
      </c>
      <c r="Q1271" s="177" t="s">
        <v>155</v>
      </c>
      <c r="R1271" s="177" t="s">
        <v>10241</v>
      </c>
      <c r="S1271" s="177"/>
      <c r="T1271" s="177" t="s">
        <v>3177</v>
      </c>
      <c r="U1271" s="177" t="s">
        <v>152</v>
      </c>
      <c r="V1271" s="177" t="s">
        <v>18</v>
      </c>
    </row>
    <row r="1272" spans="2:22">
      <c r="B1272" s="251">
        <v>46261</v>
      </c>
      <c r="C1272" s="251">
        <v>46261</v>
      </c>
      <c r="D1272" s="177" t="s">
        <v>10242</v>
      </c>
      <c r="E1272" s="177">
        <v>260101723541</v>
      </c>
      <c r="F1272" s="177" t="s">
        <v>87</v>
      </c>
      <c r="G1272" s="177" t="s">
        <v>8681</v>
      </c>
      <c r="H1272" s="177">
        <v>92</v>
      </c>
      <c r="I1272" s="177">
        <v>244</v>
      </c>
      <c r="J1272" s="177">
        <v>244</v>
      </c>
      <c r="K1272" s="177">
        <v>134</v>
      </c>
      <c r="L1272" s="253">
        <v>1000</v>
      </c>
      <c r="M1272" s="177" t="s">
        <v>153</v>
      </c>
      <c r="N1272" s="177" t="s">
        <v>149</v>
      </c>
      <c r="O1272" s="177" t="s">
        <v>154</v>
      </c>
      <c r="P1272" s="177" t="s">
        <v>151</v>
      </c>
      <c r="Q1272" s="177" t="s">
        <v>155</v>
      </c>
      <c r="R1272" s="177" t="s">
        <v>10243</v>
      </c>
      <c r="S1272" s="177"/>
      <c r="T1272" s="177" t="s">
        <v>3177</v>
      </c>
      <c r="U1272" s="177" t="s">
        <v>152</v>
      </c>
      <c r="V1272" s="177" t="s">
        <v>18</v>
      </c>
    </row>
    <row r="1273" spans="2:22">
      <c r="B1273" s="251">
        <v>46261</v>
      </c>
      <c r="C1273" s="251">
        <v>46261</v>
      </c>
      <c r="D1273" s="177" t="s">
        <v>10244</v>
      </c>
      <c r="E1273" s="177">
        <v>260102223543</v>
      </c>
      <c r="F1273" s="177" t="s">
        <v>87</v>
      </c>
      <c r="G1273" s="177" t="s">
        <v>9731</v>
      </c>
      <c r="H1273" s="177">
        <v>102</v>
      </c>
      <c r="I1273" s="392">
        <v>258</v>
      </c>
      <c r="J1273" s="392">
        <v>258</v>
      </c>
      <c r="K1273" s="177">
        <v>130</v>
      </c>
      <c r="L1273" s="253">
        <v>1000</v>
      </c>
      <c r="M1273" s="177" t="s">
        <v>153</v>
      </c>
      <c r="N1273" s="177" t="s">
        <v>149</v>
      </c>
      <c r="O1273" s="177" t="s">
        <v>154</v>
      </c>
      <c r="P1273" s="177" t="s">
        <v>151</v>
      </c>
      <c r="Q1273" s="177" t="s">
        <v>155</v>
      </c>
      <c r="R1273" s="177" t="s">
        <v>10245</v>
      </c>
      <c r="S1273" s="177"/>
      <c r="T1273" s="177" t="s">
        <v>3177</v>
      </c>
      <c r="U1273" s="177" t="s">
        <v>152</v>
      </c>
      <c r="V1273" s="177" t="s">
        <v>18</v>
      </c>
    </row>
    <row r="1274" spans="2:22">
      <c r="B1274" s="251">
        <v>46261</v>
      </c>
      <c r="C1274" s="251">
        <v>46261</v>
      </c>
      <c r="D1274" s="177" t="s">
        <v>10246</v>
      </c>
      <c r="E1274" s="177">
        <v>260105023525</v>
      </c>
      <c r="F1274" s="177" t="s">
        <v>87</v>
      </c>
      <c r="G1274" s="177" t="s">
        <v>2407</v>
      </c>
      <c r="H1274" s="177">
        <v>160</v>
      </c>
      <c r="I1274" s="177">
        <v>112</v>
      </c>
      <c r="J1274" s="177">
        <v>112</v>
      </c>
      <c r="K1274" s="177">
        <v>102</v>
      </c>
      <c r="L1274" s="253">
        <v>710</v>
      </c>
      <c r="M1274" s="177" t="s">
        <v>153</v>
      </c>
      <c r="N1274" s="177" t="s">
        <v>149</v>
      </c>
      <c r="O1274" s="177" t="s">
        <v>154</v>
      </c>
      <c r="P1274" s="177" t="s">
        <v>151</v>
      </c>
      <c r="Q1274" s="177" t="s">
        <v>155</v>
      </c>
      <c r="R1274" s="177" t="s">
        <v>10247</v>
      </c>
      <c r="S1274" s="177"/>
      <c r="T1274" s="177" t="s">
        <v>3177</v>
      </c>
      <c r="U1274" s="177" t="s">
        <v>152</v>
      </c>
      <c r="V1274" s="177" t="s">
        <v>18</v>
      </c>
    </row>
    <row r="1275" spans="2:22">
      <c r="B1275" s="251">
        <v>46261</v>
      </c>
      <c r="C1275" s="251">
        <v>46261</v>
      </c>
      <c r="D1275" s="177" t="s">
        <v>10248</v>
      </c>
      <c r="E1275" s="177">
        <v>260101623489</v>
      </c>
      <c r="F1275" s="177" t="s">
        <v>87</v>
      </c>
      <c r="G1275" s="177" t="s">
        <v>2408</v>
      </c>
      <c r="H1275" s="177">
        <v>112</v>
      </c>
      <c r="I1275" s="177">
        <v>358</v>
      </c>
      <c r="J1275" s="177">
        <v>358</v>
      </c>
      <c r="K1275" s="177">
        <v>160</v>
      </c>
      <c r="L1275" s="253">
        <v>1000</v>
      </c>
      <c r="M1275" s="177" t="s">
        <v>153</v>
      </c>
      <c r="N1275" s="177" t="s">
        <v>149</v>
      </c>
      <c r="O1275" s="177" t="s">
        <v>154</v>
      </c>
      <c r="P1275" s="177" t="s">
        <v>151</v>
      </c>
      <c r="Q1275" s="177" t="s">
        <v>155</v>
      </c>
      <c r="R1275" s="177" t="s">
        <v>10249</v>
      </c>
      <c r="S1275" s="177"/>
      <c r="T1275" s="177" t="s">
        <v>3177</v>
      </c>
      <c r="U1275" s="177" t="s">
        <v>152</v>
      </c>
      <c r="V1275" s="177" t="s">
        <v>18</v>
      </c>
    </row>
    <row r="1276" spans="2:22">
      <c r="B1276" s="251">
        <v>46261</v>
      </c>
      <c r="C1276" s="251">
        <v>46261</v>
      </c>
      <c r="D1276" s="177" t="s">
        <v>10250</v>
      </c>
      <c r="E1276" s="177">
        <v>260105223534</v>
      </c>
      <c r="F1276" s="177" t="s">
        <v>87</v>
      </c>
      <c r="G1276" s="177" t="s">
        <v>2527</v>
      </c>
      <c r="H1276" s="177">
        <v>152</v>
      </c>
      <c r="I1276" s="177">
        <v>333</v>
      </c>
      <c r="J1276" s="177">
        <v>333</v>
      </c>
      <c r="K1276" s="177">
        <v>104</v>
      </c>
      <c r="L1276" s="253">
        <v>2160</v>
      </c>
      <c r="M1276" s="177" t="s">
        <v>153</v>
      </c>
      <c r="N1276" s="177" t="s">
        <v>149</v>
      </c>
      <c r="O1276" s="177" t="s">
        <v>154</v>
      </c>
      <c r="P1276" s="177" t="s">
        <v>151</v>
      </c>
      <c r="Q1276" s="177" t="s">
        <v>155</v>
      </c>
      <c r="R1276" s="177" t="s">
        <v>10251</v>
      </c>
      <c r="S1276" s="177"/>
      <c r="T1276" s="177" t="s">
        <v>3177</v>
      </c>
      <c r="U1276" s="177" t="s">
        <v>152</v>
      </c>
      <c r="V1276" s="177" t="s">
        <v>18</v>
      </c>
    </row>
    <row r="1277" spans="2:22">
      <c r="B1277" s="251">
        <v>46261</v>
      </c>
      <c r="C1277" s="251">
        <v>46261</v>
      </c>
      <c r="D1277" s="177" t="s">
        <v>10252</v>
      </c>
      <c r="E1277" s="177">
        <v>260101823542</v>
      </c>
      <c r="F1277" s="177" t="s">
        <v>87</v>
      </c>
      <c r="G1277" s="177" t="s">
        <v>8681</v>
      </c>
      <c r="H1277" s="177">
        <v>92</v>
      </c>
      <c r="I1277" s="177">
        <v>244</v>
      </c>
      <c r="J1277" s="177">
        <v>244</v>
      </c>
      <c r="K1277" s="177">
        <v>134</v>
      </c>
      <c r="L1277" s="253">
        <v>1000</v>
      </c>
      <c r="M1277" s="177" t="s">
        <v>153</v>
      </c>
      <c r="N1277" s="177" t="s">
        <v>149</v>
      </c>
      <c r="O1277" s="177" t="s">
        <v>154</v>
      </c>
      <c r="P1277" s="177" t="s">
        <v>151</v>
      </c>
      <c r="Q1277" s="177" t="s">
        <v>155</v>
      </c>
      <c r="R1277" s="177" t="s">
        <v>10253</v>
      </c>
      <c r="S1277" s="177"/>
      <c r="T1277" s="177" t="s">
        <v>3177</v>
      </c>
      <c r="U1277" s="177" t="s">
        <v>152</v>
      </c>
      <c r="V1277" s="177" t="s">
        <v>18</v>
      </c>
    </row>
    <row r="1278" spans="2:22">
      <c r="B1278" s="251">
        <v>46261</v>
      </c>
      <c r="C1278" s="251">
        <v>46261</v>
      </c>
      <c r="D1278" s="177" t="s">
        <v>10254</v>
      </c>
      <c r="E1278" s="177">
        <v>260102023545</v>
      </c>
      <c r="F1278" s="177" t="s">
        <v>87</v>
      </c>
      <c r="G1278" s="177" t="s">
        <v>8681</v>
      </c>
      <c r="H1278" s="177">
        <v>92</v>
      </c>
      <c r="I1278" s="177">
        <v>244</v>
      </c>
      <c r="J1278" s="177">
        <v>244</v>
      </c>
      <c r="K1278" s="177">
        <v>134</v>
      </c>
      <c r="L1278" s="253">
        <v>1000</v>
      </c>
      <c r="M1278" s="177" t="s">
        <v>153</v>
      </c>
      <c r="N1278" s="177" t="s">
        <v>149</v>
      </c>
      <c r="O1278" s="177" t="s">
        <v>154</v>
      </c>
      <c r="P1278" s="177" t="s">
        <v>151</v>
      </c>
      <c r="Q1278" s="177" t="s">
        <v>155</v>
      </c>
      <c r="R1278" s="177" t="s">
        <v>10255</v>
      </c>
      <c r="S1278" s="177"/>
      <c r="T1278" s="177" t="s">
        <v>3177</v>
      </c>
      <c r="U1278" s="177" t="s">
        <v>152</v>
      </c>
      <c r="V1278" s="177" t="s">
        <v>18</v>
      </c>
    </row>
    <row r="1279" spans="2:22">
      <c r="B1279" s="251">
        <v>46261</v>
      </c>
      <c r="C1279" s="251">
        <v>46261</v>
      </c>
      <c r="D1279" s="177" t="s">
        <v>10256</v>
      </c>
      <c r="E1279" s="177">
        <v>260107523498</v>
      </c>
      <c r="F1279" s="177" t="s">
        <v>87</v>
      </c>
      <c r="G1279" s="177" t="s">
        <v>2415</v>
      </c>
      <c r="H1279" s="177">
        <v>140</v>
      </c>
      <c r="I1279" s="177">
        <v>325</v>
      </c>
      <c r="J1279" s="177">
        <v>325</v>
      </c>
      <c r="K1279" s="177">
        <v>88</v>
      </c>
      <c r="L1279" s="253">
        <v>2760</v>
      </c>
      <c r="M1279" s="177" t="s">
        <v>153</v>
      </c>
      <c r="N1279" s="177" t="s">
        <v>149</v>
      </c>
      <c r="O1279" s="177" t="s">
        <v>154</v>
      </c>
      <c r="P1279" s="177" t="s">
        <v>151</v>
      </c>
      <c r="Q1279" s="177" t="s">
        <v>155</v>
      </c>
      <c r="R1279" s="177" t="s">
        <v>10257</v>
      </c>
      <c r="S1279" s="177"/>
      <c r="T1279" s="177" t="s">
        <v>3177</v>
      </c>
      <c r="U1279" s="177" t="s">
        <v>152</v>
      </c>
      <c r="V1279" s="177" t="s">
        <v>18</v>
      </c>
    </row>
    <row r="1280" spans="2:22">
      <c r="B1280" s="251">
        <v>46261</v>
      </c>
      <c r="C1280" s="251">
        <v>46261</v>
      </c>
      <c r="D1280" s="177" t="s">
        <v>10258</v>
      </c>
      <c r="E1280" s="177">
        <v>260102423507</v>
      </c>
      <c r="F1280" s="177" t="s">
        <v>87</v>
      </c>
      <c r="G1280" s="177" t="s">
        <v>8032</v>
      </c>
      <c r="H1280" s="177">
        <v>102</v>
      </c>
      <c r="I1280" s="177">
        <v>256</v>
      </c>
      <c r="J1280" s="177">
        <v>256</v>
      </c>
      <c r="K1280" s="177">
        <v>130</v>
      </c>
      <c r="L1280" s="253">
        <v>1000</v>
      </c>
      <c r="M1280" s="177" t="s">
        <v>153</v>
      </c>
      <c r="N1280" s="177" t="s">
        <v>149</v>
      </c>
      <c r="O1280" s="177" t="s">
        <v>154</v>
      </c>
      <c r="P1280" s="177" t="s">
        <v>151</v>
      </c>
      <c r="Q1280" s="177" t="s">
        <v>155</v>
      </c>
      <c r="R1280" s="177" t="s">
        <v>10259</v>
      </c>
      <c r="S1280" s="177"/>
      <c r="T1280" s="177" t="s">
        <v>3177</v>
      </c>
      <c r="U1280" s="177" t="s">
        <v>152</v>
      </c>
      <c r="V1280" s="177" t="s">
        <v>18</v>
      </c>
    </row>
    <row r="1281" spans="2:22">
      <c r="B1281" s="251">
        <v>46261</v>
      </c>
      <c r="C1281" s="251">
        <v>46261</v>
      </c>
      <c r="D1281" s="177" t="s">
        <v>10260</v>
      </c>
      <c r="E1281" s="177">
        <v>260105523528</v>
      </c>
      <c r="F1281" s="177" t="s">
        <v>87</v>
      </c>
      <c r="G1281" s="177" t="s">
        <v>2407</v>
      </c>
      <c r="H1281" s="177">
        <v>162</v>
      </c>
      <c r="I1281" s="177">
        <v>305</v>
      </c>
      <c r="J1281" s="177">
        <v>305</v>
      </c>
      <c r="K1281" s="177">
        <v>102</v>
      </c>
      <c r="L1281" s="253">
        <v>1970</v>
      </c>
      <c r="M1281" s="177" t="s">
        <v>153</v>
      </c>
      <c r="N1281" s="177" t="s">
        <v>149</v>
      </c>
      <c r="O1281" s="177" t="s">
        <v>154</v>
      </c>
      <c r="P1281" s="177" t="s">
        <v>151</v>
      </c>
      <c r="Q1281" s="177" t="s">
        <v>155</v>
      </c>
      <c r="R1281" s="177" t="s">
        <v>10261</v>
      </c>
      <c r="S1281" s="177"/>
      <c r="T1281" s="177" t="s">
        <v>3177</v>
      </c>
      <c r="U1281" s="177" t="s">
        <v>152</v>
      </c>
      <c r="V1281" s="177" t="s">
        <v>18</v>
      </c>
    </row>
    <row r="1282" spans="2:22">
      <c r="B1282" s="251">
        <v>46261</v>
      </c>
      <c r="C1282" s="251">
        <v>46261</v>
      </c>
      <c r="D1282" s="177" t="s">
        <v>10262</v>
      </c>
      <c r="E1282" s="177">
        <v>260107323536</v>
      </c>
      <c r="F1282" s="177" t="s">
        <v>87</v>
      </c>
      <c r="G1282" s="177" t="s">
        <v>2530</v>
      </c>
      <c r="H1282" s="177">
        <v>162</v>
      </c>
      <c r="I1282" s="177">
        <v>334</v>
      </c>
      <c r="J1282" s="177">
        <v>334</v>
      </c>
      <c r="K1282" s="177">
        <v>102</v>
      </c>
      <c r="L1282" s="253">
        <v>2100</v>
      </c>
      <c r="M1282" s="177" t="s">
        <v>153</v>
      </c>
      <c r="N1282" s="177" t="s">
        <v>149</v>
      </c>
      <c r="O1282" s="177" t="s">
        <v>154</v>
      </c>
      <c r="P1282" s="177" t="s">
        <v>151</v>
      </c>
      <c r="Q1282" s="177" t="s">
        <v>155</v>
      </c>
      <c r="R1282" s="177" t="s">
        <v>10263</v>
      </c>
      <c r="S1282" s="177"/>
      <c r="T1282" s="177" t="s">
        <v>3177</v>
      </c>
      <c r="U1282" s="177" t="s">
        <v>152</v>
      </c>
      <c r="V1282" s="177" t="s">
        <v>18</v>
      </c>
    </row>
    <row r="1283" spans="2:22">
      <c r="B1283" s="251">
        <v>46261</v>
      </c>
      <c r="C1283" s="251">
        <v>46261</v>
      </c>
      <c r="D1283" s="177" t="s">
        <v>10264</v>
      </c>
      <c r="E1283" s="177">
        <v>260101923544</v>
      </c>
      <c r="F1283" s="177" t="s">
        <v>87</v>
      </c>
      <c r="G1283" s="177" t="s">
        <v>8681</v>
      </c>
      <c r="H1283" s="177">
        <v>92</v>
      </c>
      <c r="I1283" s="177">
        <v>245</v>
      </c>
      <c r="J1283" s="177">
        <v>245</v>
      </c>
      <c r="K1283" s="177">
        <v>134</v>
      </c>
      <c r="L1283" s="253">
        <v>1000</v>
      </c>
      <c r="M1283" s="177" t="s">
        <v>153</v>
      </c>
      <c r="N1283" s="177" t="s">
        <v>149</v>
      </c>
      <c r="O1283" s="177" t="s">
        <v>154</v>
      </c>
      <c r="P1283" s="177" t="s">
        <v>151</v>
      </c>
      <c r="Q1283" s="177" t="s">
        <v>155</v>
      </c>
      <c r="R1283" s="177" t="s">
        <v>10265</v>
      </c>
      <c r="S1283" s="177"/>
      <c r="T1283" s="177" t="s">
        <v>3177</v>
      </c>
      <c r="U1283" s="177" t="s">
        <v>152</v>
      </c>
      <c r="V1283" s="177" t="s">
        <v>18</v>
      </c>
    </row>
    <row r="1284" spans="2:22">
      <c r="B1284" s="251">
        <v>46261</v>
      </c>
      <c r="C1284" s="251">
        <v>46261</v>
      </c>
      <c r="D1284" s="177" t="s">
        <v>10266</v>
      </c>
      <c r="E1284" s="177">
        <v>260103823517</v>
      </c>
      <c r="F1284" s="177" t="s">
        <v>87</v>
      </c>
      <c r="G1284" s="177" t="s">
        <v>824</v>
      </c>
      <c r="H1284" s="177">
        <v>152</v>
      </c>
      <c r="I1284" s="177">
        <v>295</v>
      </c>
      <c r="J1284" s="177">
        <v>295</v>
      </c>
      <c r="K1284" s="177">
        <v>104</v>
      </c>
      <c r="L1284" s="253">
        <v>1945</v>
      </c>
      <c r="M1284" s="177" t="s">
        <v>153</v>
      </c>
      <c r="N1284" s="177" t="s">
        <v>149</v>
      </c>
      <c r="O1284" s="177" t="s">
        <v>154</v>
      </c>
      <c r="P1284" s="177" t="s">
        <v>151</v>
      </c>
      <c r="Q1284" s="177" t="s">
        <v>155</v>
      </c>
      <c r="R1284" s="177" t="s">
        <v>10267</v>
      </c>
      <c r="S1284" s="177"/>
      <c r="T1284" s="177" t="s">
        <v>3177</v>
      </c>
      <c r="U1284" s="177" t="s">
        <v>152</v>
      </c>
      <c r="V1284" s="177" t="s">
        <v>18</v>
      </c>
    </row>
    <row r="1285" spans="2:22">
      <c r="B1285" s="251">
        <v>46261</v>
      </c>
      <c r="C1285" s="251">
        <v>46261</v>
      </c>
      <c r="D1285" s="177" t="s">
        <v>10268</v>
      </c>
      <c r="E1285" s="177">
        <v>260106223521</v>
      </c>
      <c r="F1285" s="177" t="s">
        <v>87</v>
      </c>
      <c r="G1285" s="177" t="s">
        <v>824</v>
      </c>
      <c r="H1285" s="177">
        <v>182</v>
      </c>
      <c r="I1285" s="177">
        <v>229</v>
      </c>
      <c r="J1285" s="177">
        <v>229</v>
      </c>
      <c r="K1285" s="177">
        <v>104</v>
      </c>
      <c r="L1285" s="253">
        <v>1250</v>
      </c>
      <c r="M1285" s="177" t="s">
        <v>153</v>
      </c>
      <c r="N1285" s="177" t="s">
        <v>149</v>
      </c>
      <c r="O1285" s="177" t="s">
        <v>154</v>
      </c>
      <c r="P1285" s="177" t="s">
        <v>151</v>
      </c>
      <c r="Q1285" s="177" t="s">
        <v>155</v>
      </c>
      <c r="R1285" s="177" t="s">
        <v>10269</v>
      </c>
      <c r="S1285" s="177"/>
      <c r="T1285" s="177" t="s">
        <v>3177</v>
      </c>
      <c r="U1285" s="177" t="s">
        <v>152</v>
      </c>
      <c r="V1285" s="177" t="s">
        <v>18</v>
      </c>
    </row>
    <row r="1286" spans="2:22">
      <c r="B1286" s="251">
        <v>46261</v>
      </c>
      <c r="C1286" s="251">
        <v>46261</v>
      </c>
      <c r="D1286" s="177" t="s">
        <v>10270</v>
      </c>
      <c r="E1286" s="177">
        <v>260102523540</v>
      </c>
      <c r="F1286" s="177" t="s">
        <v>87</v>
      </c>
      <c r="G1286" s="177" t="s">
        <v>8032</v>
      </c>
      <c r="H1286" s="177">
        <v>102</v>
      </c>
      <c r="I1286" s="177">
        <v>261</v>
      </c>
      <c r="J1286" s="177">
        <v>261</v>
      </c>
      <c r="K1286" s="177">
        <v>130</v>
      </c>
      <c r="L1286" s="253">
        <v>1000</v>
      </c>
      <c r="M1286" s="177" t="s">
        <v>153</v>
      </c>
      <c r="N1286" s="177" t="s">
        <v>149</v>
      </c>
      <c r="O1286" s="177" t="s">
        <v>154</v>
      </c>
      <c r="P1286" s="177" t="s">
        <v>151</v>
      </c>
      <c r="Q1286" s="177" t="s">
        <v>155</v>
      </c>
      <c r="R1286" s="177" t="s">
        <v>10271</v>
      </c>
      <c r="S1286" s="177"/>
      <c r="T1286" s="177" t="s">
        <v>3177</v>
      </c>
      <c r="U1286" s="177" t="s">
        <v>152</v>
      </c>
      <c r="V1286" s="177" t="s">
        <v>18</v>
      </c>
    </row>
    <row r="1287" spans="2:22">
      <c r="B1287" s="251">
        <v>46261</v>
      </c>
      <c r="C1287" s="251">
        <v>46261</v>
      </c>
      <c r="D1287" s="177" t="s">
        <v>10272</v>
      </c>
      <c r="E1287" s="177">
        <v>260103023514</v>
      </c>
      <c r="F1287" s="177" t="s">
        <v>87</v>
      </c>
      <c r="G1287" s="177" t="s">
        <v>10014</v>
      </c>
      <c r="H1287" s="177">
        <v>102</v>
      </c>
      <c r="I1287" s="177">
        <v>399</v>
      </c>
      <c r="J1287" s="177">
        <v>399</v>
      </c>
      <c r="K1287" s="177">
        <v>130</v>
      </c>
      <c r="L1287" s="253">
        <v>1550</v>
      </c>
      <c r="M1287" s="177" t="s">
        <v>153</v>
      </c>
      <c r="N1287" s="177" t="s">
        <v>149</v>
      </c>
      <c r="O1287" s="177" t="s">
        <v>154</v>
      </c>
      <c r="P1287" s="177" t="s">
        <v>151</v>
      </c>
      <c r="Q1287" s="177" t="s">
        <v>155</v>
      </c>
      <c r="R1287" s="177" t="s">
        <v>10273</v>
      </c>
      <c r="S1287" s="177"/>
      <c r="T1287" s="177" t="s">
        <v>3177</v>
      </c>
      <c r="U1287" s="177" t="s">
        <v>152</v>
      </c>
      <c r="V1287" s="177" t="s">
        <v>18</v>
      </c>
    </row>
    <row r="1288" spans="2:22">
      <c r="B1288" s="251">
        <v>46261</v>
      </c>
      <c r="C1288" s="251">
        <v>46261</v>
      </c>
      <c r="D1288" s="177" t="s">
        <v>10274</v>
      </c>
      <c r="E1288" s="177">
        <v>260106123523</v>
      </c>
      <c r="F1288" s="177" t="s">
        <v>87</v>
      </c>
      <c r="G1288" s="177" t="s">
        <v>9752</v>
      </c>
      <c r="H1288" s="177">
        <v>140</v>
      </c>
      <c r="I1288" s="177">
        <v>203</v>
      </c>
      <c r="J1288" s="177">
        <v>203</v>
      </c>
      <c r="K1288" s="177">
        <v>83</v>
      </c>
      <c r="L1288" s="253">
        <v>1830</v>
      </c>
      <c r="M1288" s="177" t="s">
        <v>153</v>
      </c>
      <c r="N1288" s="177" t="s">
        <v>149</v>
      </c>
      <c r="O1288" s="177" t="s">
        <v>154</v>
      </c>
      <c r="P1288" s="177" t="s">
        <v>151</v>
      </c>
      <c r="Q1288" s="177" t="s">
        <v>155</v>
      </c>
      <c r="R1288" s="177" t="s">
        <v>10275</v>
      </c>
      <c r="S1288" s="177"/>
      <c r="T1288" s="177"/>
      <c r="U1288" s="177" t="s">
        <v>152</v>
      </c>
      <c r="V1288" s="177" t="s">
        <v>18</v>
      </c>
    </row>
    <row r="1289" spans="2:22">
      <c r="B1289" s="251">
        <v>46261</v>
      </c>
      <c r="C1289" s="251">
        <v>46261</v>
      </c>
      <c r="D1289" s="177" t="s">
        <v>10276</v>
      </c>
      <c r="E1289" s="177">
        <v>260104623524</v>
      </c>
      <c r="F1289" s="177" t="s">
        <v>87</v>
      </c>
      <c r="G1289" s="177" t="s">
        <v>824</v>
      </c>
      <c r="H1289" s="177">
        <v>152</v>
      </c>
      <c r="I1289" s="177">
        <v>202</v>
      </c>
      <c r="J1289" s="177">
        <v>202</v>
      </c>
      <c r="K1289" s="177">
        <v>104</v>
      </c>
      <c r="L1289" s="253">
        <v>1350</v>
      </c>
      <c r="M1289" s="177" t="s">
        <v>153</v>
      </c>
      <c r="N1289" s="177" t="s">
        <v>149</v>
      </c>
      <c r="O1289" s="177" t="s">
        <v>154</v>
      </c>
      <c r="P1289" s="177" t="s">
        <v>151</v>
      </c>
      <c r="Q1289" s="177" t="s">
        <v>155</v>
      </c>
      <c r="R1289" s="177" t="s">
        <v>10277</v>
      </c>
      <c r="S1289" s="177"/>
      <c r="T1289" s="177" t="s">
        <v>3177</v>
      </c>
      <c r="U1289" s="177" t="s">
        <v>152</v>
      </c>
      <c r="V1289" s="177" t="s">
        <v>18</v>
      </c>
    </row>
    <row r="1290" spans="2:22">
      <c r="B1290" s="251">
        <v>46261</v>
      </c>
      <c r="C1290" s="251">
        <v>46261</v>
      </c>
      <c r="D1290" s="177" t="s">
        <v>10278</v>
      </c>
      <c r="E1290" s="177">
        <v>260101523490</v>
      </c>
      <c r="F1290" s="177" t="s">
        <v>87</v>
      </c>
      <c r="G1290" s="177" t="s">
        <v>2408</v>
      </c>
      <c r="H1290" s="177">
        <v>112</v>
      </c>
      <c r="I1290" s="177">
        <v>351</v>
      </c>
      <c r="J1290" s="177">
        <v>351</v>
      </c>
      <c r="K1290" s="177">
        <v>160</v>
      </c>
      <c r="L1290" s="253">
        <v>1000</v>
      </c>
      <c r="M1290" s="177" t="s">
        <v>153</v>
      </c>
      <c r="N1290" s="177" t="s">
        <v>149</v>
      </c>
      <c r="O1290" s="177" t="s">
        <v>154</v>
      </c>
      <c r="P1290" s="177" t="s">
        <v>151</v>
      </c>
      <c r="Q1290" s="177" t="s">
        <v>155</v>
      </c>
      <c r="R1290" s="177" t="s">
        <v>10279</v>
      </c>
      <c r="S1290" s="177"/>
      <c r="T1290" s="177" t="s">
        <v>3177</v>
      </c>
      <c r="U1290" s="177" t="s">
        <v>152</v>
      </c>
      <c r="V1290" s="177" t="s">
        <v>18</v>
      </c>
    </row>
    <row r="1291" spans="2:22">
      <c r="B1291" s="251">
        <v>46261</v>
      </c>
      <c r="C1291" s="251">
        <v>46261</v>
      </c>
      <c r="D1291" s="177" t="s">
        <v>10280</v>
      </c>
      <c r="E1291" s="177">
        <v>260104023510</v>
      </c>
      <c r="F1291" s="177" t="s">
        <v>87</v>
      </c>
      <c r="G1291" s="177" t="s">
        <v>2526</v>
      </c>
      <c r="H1291" s="177">
        <v>125</v>
      </c>
      <c r="I1291" s="177">
        <v>212</v>
      </c>
      <c r="J1291" s="177">
        <v>212</v>
      </c>
      <c r="K1291" s="177">
        <v>97</v>
      </c>
      <c r="L1291" s="253">
        <v>1800</v>
      </c>
      <c r="M1291" s="177" t="s">
        <v>153</v>
      </c>
      <c r="N1291" s="177" t="s">
        <v>149</v>
      </c>
      <c r="O1291" s="177" t="s">
        <v>154</v>
      </c>
      <c r="P1291" s="177" t="s">
        <v>151</v>
      </c>
      <c r="Q1291" s="177" t="s">
        <v>155</v>
      </c>
      <c r="R1291" s="177" t="s">
        <v>10281</v>
      </c>
      <c r="S1291" s="177"/>
      <c r="T1291" s="177" t="s">
        <v>3177</v>
      </c>
      <c r="U1291" s="177" t="s">
        <v>152</v>
      </c>
      <c r="V1291" s="177" t="s">
        <v>18</v>
      </c>
    </row>
    <row r="1292" spans="2:22">
      <c r="B1292" s="251">
        <v>46261</v>
      </c>
      <c r="C1292" s="251">
        <v>46261</v>
      </c>
      <c r="D1292" s="177" t="s">
        <v>10282</v>
      </c>
      <c r="E1292" s="177">
        <v>260103723519</v>
      </c>
      <c r="F1292" s="177" t="s">
        <v>87</v>
      </c>
      <c r="G1292" s="177" t="s">
        <v>2409</v>
      </c>
      <c r="H1292" s="177">
        <v>132</v>
      </c>
      <c r="I1292" s="177">
        <v>205</v>
      </c>
      <c r="J1292" s="177">
        <v>205</v>
      </c>
      <c r="K1292" s="177">
        <v>97</v>
      </c>
      <c r="L1292" s="253">
        <v>1650</v>
      </c>
      <c r="M1292" s="177" t="s">
        <v>153</v>
      </c>
      <c r="N1292" s="177" t="s">
        <v>149</v>
      </c>
      <c r="O1292" s="177" t="s">
        <v>154</v>
      </c>
      <c r="P1292" s="177" t="s">
        <v>151</v>
      </c>
      <c r="Q1292" s="177" t="s">
        <v>155</v>
      </c>
      <c r="R1292" s="177" t="s">
        <v>10283</v>
      </c>
      <c r="S1292" s="177"/>
      <c r="T1292" s="177" t="s">
        <v>3177</v>
      </c>
      <c r="U1292" s="177" t="s">
        <v>152</v>
      </c>
      <c r="V1292" s="177" t="s">
        <v>18</v>
      </c>
    </row>
    <row r="1293" spans="2:22">
      <c r="B1293" s="251">
        <v>46261</v>
      </c>
      <c r="C1293" s="251">
        <v>46261</v>
      </c>
      <c r="D1293" s="177" t="s">
        <v>10284</v>
      </c>
      <c r="E1293" s="177">
        <v>260105823527</v>
      </c>
      <c r="F1293" s="177" t="s">
        <v>87</v>
      </c>
      <c r="G1293" s="177" t="s">
        <v>824</v>
      </c>
      <c r="H1293" s="177">
        <v>152</v>
      </c>
      <c r="I1293" s="177">
        <v>266</v>
      </c>
      <c r="J1293" s="177">
        <v>266</v>
      </c>
      <c r="K1293" s="177">
        <v>104</v>
      </c>
      <c r="L1293" s="253">
        <v>1790</v>
      </c>
      <c r="M1293" s="177" t="s">
        <v>153</v>
      </c>
      <c r="N1293" s="177" t="s">
        <v>149</v>
      </c>
      <c r="O1293" s="177" t="s">
        <v>154</v>
      </c>
      <c r="P1293" s="177" t="s">
        <v>151</v>
      </c>
      <c r="Q1293" s="177" t="s">
        <v>155</v>
      </c>
      <c r="R1293" s="177" t="s">
        <v>10285</v>
      </c>
      <c r="S1293" s="177"/>
      <c r="T1293" s="177" t="s">
        <v>3177</v>
      </c>
      <c r="U1293" s="177" t="s">
        <v>152</v>
      </c>
      <c r="V1293" s="177" t="s">
        <v>18</v>
      </c>
    </row>
    <row r="1294" spans="2:22">
      <c r="B1294" s="251">
        <v>46261</v>
      </c>
      <c r="C1294" s="251">
        <v>46261</v>
      </c>
      <c r="D1294" s="177" t="s">
        <v>10286</v>
      </c>
      <c r="E1294" s="177">
        <v>260107423531</v>
      </c>
      <c r="F1294" s="177" t="s">
        <v>87</v>
      </c>
      <c r="G1294" s="177" t="s">
        <v>2304</v>
      </c>
      <c r="H1294" s="177">
        <v>132</v>
      </c>
      <c r="I1294" s="177">
        <v>261</v>
      </c>
      <c r="J1294" s="177">
        <v>261</v>
      </c>
      <c r="K1294" s="177">
        <v>97</v>
      </c>
      <c r="L1294" s="253">
        <v>2070</v>
      </c>
      <c r="M1294" s="177" t="s">
        <v>153</v>
      </c>
      <c r="N1294" s="177" t="s">
        <v>149</v>
      </c>
      <c r="O1294" s="177" t="s">
        <v>154</v>
      </c>
      <c r="P1294" s="177" t="s">
        <v>151</v>
      </c>
      <c r="Q1294" s="177" t="s">
        <v>155</v>
      </c>
      <c r="R1294" s="177" t="s">
        <v>10287</v>
      </c>
      <c r="S1294" s="177"/>
      <c r="T1294" s="177" t="s">
        <v>3177</v>
      </c>
      <c r="U1294" s="177" t="s">
        <v>152</v>
      </c>
      <c r="V1294" s="177" t="s">
        <v>18</v>
      </c>
    </row>
    <row r="1295" spans="2:22">
      <c r="B1295" s="251">
        <v>46261</v>
      </c>
      <c r="C1295" s="251">
        <v>46261</v>
      </c>
      <c r="D1295" s="177" t="s">
        <v>10288</v>
      </c>
      <c r="E1295" s="177">
        <v>260102823552</v>
      </c>
      <c r="F1295" s="177" t="s">
        <v>87</v>
      </c>
      <c r="G1295" s="177" t="s">
        <v>8032</v>
      </c>
      <c r="H1295" s="177">
        <v>102</v>
      </c>
      <c r="I1295" s="177">
        <v>256</v>
      </c>
      <c r="J1295" s="177">
        <v>256</v>
      </c>
      <c r="K1295" s="177">
        <v>130</v>
      </c>
      <c r="L1295" s="253">
        <v>1000</v>
      </c>
      <c r="M1295" s="177" t="s">
        <v>153</v>
      </c>
      <c r="N1295" s="177" t="s">
        <v>149</v>
      </c>
      <c r="O1295" s="177" t="s">
        <v>154</v>
      </c>
      <c r="P1295" s="177" t="s">
        <v>151</v>
      </c>
      <c r="Q1295" s="177" t="s">
        <v>155</v>
      </c>
      <c r="R1295" s="177" t="s">
        <v>10289</v>
      </c>
      <c r="S1295" s="177"/>
      <c r="T1295" s="177" t="s">
        <v>3181</v>
      </c>
      <c r="U1295" s="177" t="s">
        <v>152</v>
      </c>
      <c r="V1295" s="177" t="s">
        <v>18</v>
      </c>
    </row>
    <row r="1296" spans="2:22">
      <c r="B1296" s="251">
        <v>46261</v>
      </c>
      <c r="C1296" s="251">
        <v>46261</v>
      </c>
      <c r="D1296" s="177" t="s">
        <v>10290</v>
      </c>
      <c r="E1296" s="177">
        <v>260102323555</v>
      </c>
      <c r="F1296" s="177" t="s">
        <v>87</v>
      </c>
      <c r="G1296" s="177" t="s">
        <v>8032</v>
      </c>
      <c r="H1296" s="177">
        <v>102</v>
      </c>
      <c r="I1296" s="177">
        <v>258</v>
      </c>
      <c r="J1296" s="177">
        <v>258</v>
      </c>
      <c r="K1296" s="177">
        <v>130</v>
      </c>
      <c r="L1296" s="253">
        <v>1000</v>
      </c>
      <c r="M1296" s="177" t="s">
        <v>153</v>
      </c>
      <c r="N1296" s="177" t="s">
        <v>149</v>
      </c>
      <c r="O1296" s="177" t="s">
        <v>154</v>
      </c>
      <c r="P1296" s="177" t="s">
        <v>151</v>
      </c>
      <c r="Q1296" s="177" t="s">
        <v>155</v>
      </c>
      <c r="R1296" s="177" t="s">
        <v>10291</v>
      </c>
      <c r="S1296" s="177"/>
      <c r="T1296" s="177" t="s">
        <v>3181</v>
      </c>
      <c r="U1296" s="177" t="s">
        <v>152</v>
      </c>
      <c r="V1296" s="177" t="s">
        <v>18</v>
      </c>
    </row>
    <row r="1297" spans="2:22">
      <c r="B1297" s="251">
        <v>46261</v>
      </c>
      <c r="C1297" s="251">
        <v>46261</v>
      </c>
      <c r="D1297" s="177" t="s">
        <v>10292</v>
      </c>
      <c r="E1297" s="177">
        <v>260102723551</v>
      </c>
      <c r="F1297" s="177" t="s">
        <v>87</v>
      </c>
      <c r="G1297" s="177" t="s">
        <v>8032</v>
      </c>
      <c r="H1297" s="177">
        <v>102</v>
      </c>
      <c r="I1297" s="177">
        <v>260</v>
      </c>
      <c r="J1297" s="177">
        <v>260</v>
      </c>
      <c r="K1297" s="177">
        <v>130</v>
      </c>
      <c r="L1297" s="253">
        <v>1000</v>
      </c>
      <c r="M1297" s="177" t="s">
        <v>153</v>
      </c>
      <c r="N1297" s="177" t="s">
        <v>149</v>
      </c>
      <c r="O1297" s="177" t="s">
        <v>154</v>
      </c>
      <c r="P1297" s="177" t="s">
        <v>151</v>
      </c>
      <c r="Q1297" s="177" t="s">
        <v>155</v>
      </c>
      <c r="R1297" s="177" t="s">
        <v>10293</v>
      </c>
      <c r="S1297" s="177"/>
      <c r="T1297" s="177" t="s">
        <v>3181</v>
      </c>
      <c r="U1297" s="177" t="s">
        <v>152</v>
      </c>
      <c r="V1297" s="177" t="s">
        <v>18</v>
      </c>
    </row>
    <row r="1298" spans="2:22">
      <c r="B1298" s="251">
        <v>46261</v>
      </c>
      <c r="C1298" s="251">
        <v>46261</v>
      </c>
      <c r="D1298" s="177" t="s">
        <v>10294</v>
      </c>
      <c r="E1298" s="177">
        <v>260102623553</v>
      </c>
      <c r="F1298" s="177" t="s">
        <v>87</v>
      </c>
      <c r="G1298" s="177" t="s">
        <v>8032</v>
      </c>
      <c r="H1298" s="177">
        <v>102</v>
      </c>
      <c r="I1298" s="177">
        <v>256</v>
      </c>
      <c r="J1298" s="177">
        <v>256</v>
      </c>
      <c r="K1298" s="177">
        <v>130</v>
      </c>
      <c r="L1298" s="253">
        <v>1000</v>
      </c>
      <c r="M1298" s="177" t="s">
        <v>153</v>
      </c>
      <c r="N1298" s="177" t="s">
        <v>149</v>
      </c>
      <c r="O1298" s="177" t="s">
        <v>154</v>
      </c>
      <c r="P1298" s="177" t="s">
        <v>151</v>
      </c>
      <c r="Q1298" s="177" t="s">
        <v>155</v>
      </c>
      <c r="R1298" s="177" t="s">
        <v>10295</v>
      </c>
      <c r="S1298" s="177"/>
      <c r="T1298" s="177" t="s">
        <v>3181</v>
      </c>
      <c r="U1298" s="177" t="s">
        <v>152</v>
      </c>
      <c r="V1298" s="177" t="s">
        <v>18</v>
      </c>
    </row>
    <row r="1299" spans="2:22">
      <c r="B1299" s="251">
        <v>46261</v>
      </c>
      <c r="C1299" s="251">
        <v>46261</v>
      </c>
      <c r="D1299" s="177" t="s">
        <v>10296</v>
      </c>
      <c r="E1299" s="177">
        <v>260102523554</v>
      </c>
      <c r="F1299" s="177" t="s">
        <v>87</v>
      </c>
      <c r="G1299" s="177" t="s">
        <v>8032</v>
      </c>
      <c r="H1299" s="177">
        <v>102</v>
      </c>
      <c r="I1299" s="177">
        <v>259</v>
      </c>
      <c r="J1299" s="177">
        <v>259</v>
      </c>
      <c r="K1299" s="177">
        <v>130</v>
      </c>
      <c r="L1299" s="253">
        <v>1000</v>
      </c>
      <c r="M1299" s="177" t="s">
        <v>153</v>
      </c>
      <c r="N1299" s="177" t="s">
        <v>149</v>
      </c>
      <c r="O1299" s="177" t="s">
        <v>154</v>
      </c>
      <c r="P1299" s="177" t="s">
        <v>151</v>
      </c>
      <c r="Q1299" s="177" t="s">
        <v>155</v>
      </c>
      <c r="R1299" s="177" t="s">
        <v>10297</v>
      </c>
      <c r="S1299" s="177"/>
      <c r="T1299" s="177" t="s">
        <v>3181</v>
      </c>
      <c r="U1299" s="177" t="s">
        <v>152</v>
      </c>
      <c r="V1299" s="177" t="s">
        <v>18</v>
      </c>
    </row>
    <row r="1300" spans="2:22">
      <c r="B1300" s="251">
        <v>46261</v>
      </c>
      <c r="C1300" s="251">
        <v>46261</v>
      </c>
      <c r="D1300" s="177" t="s">
        <v>10298</v>
      </c>
      <c r="E1300" s="177">
        <v>230102423556</v>
      </c>
      <c r="F1300" s="177" t="s">
        <v>87</v>
      </c>
      <c r="G1300" s="177" t="s">
        <v>8032</v>
      </c>
      <c r="H1300" s="177">
        <v>102</v>
      </c>
      <c r="I1300" s="177">
        <v>260</v>
      </c>
      <c r="J1300" s="177">
        <v>260</v>
      </c>
      <c r="K1300" s="177">
        <v>130</v>
      </c>
      <c r="L1300" s="253">
        <v>1000</v>
      </c>
      <c r="M1300" s="177" t="s">
        <v>153</v>
      </c>
      <c r="N1300" s="177" t="s">
        <v>149</v>
      </c>
      <c r="O1300" s="177" t="s">
        <v>154</v>
      </c>
      <c r="P1300" s="177" t="s">
        <v>151</v>
      </c>
      <c r="Q1300" s="177" t="s">
        <v>155</v>
      </c>
      <c r="R1300" s="177" t="s">
        <v>10299</v>
      </c>
      <c r="S1300" s="177"/>
      <c r="T1300" s="177" t="s">
        <v>3181</v>
      </c>
      <c r="U1300" s="177" t="s">
        <v>152</v>
      </c>
      <c r="V1300" s="177" t="s">
        <v>18</v>
      </c>
    </row>
    <row r="1301" spans="2:22">
      <c r="B1301" s="251">
        <v>46262</v>
      </c>
      <c r="C1301" s="251">
        <v>46262</v>
      </c>
      <c r="D1301" s="177" t="s">
        <v>10300</v>
      </c>
      <c r="E1301" s="177">
        <v>260101523563</v>
      </c>
      <c r="F1301" s="177" t="s">
        <v>87</v>
      </c>
      <c r="G1301" s="177" t="s">
        <v>2408</v>
      </c>
      <c r="H1301" s="177">
        <v>112</v>
      </c>
      <c r="I1301" s="177">
        <v>403</v>
      </c>
      <c r="J1301" s="177">
        <v>403</v>
      </c>
      <c r="K1301" s="177">
        <v>160</v>
      </c>
      <c r="L1301" s="253">
        <v>1140</v>
      </c>
      <c r="M1301" s="177" t="s">
        <v>153</v>
      </c>
      <c r="N1301" s="177" t="s">
        <v>149</v>
      </c>
      <c r="O1301" s="177" t="s">
        <v>154</v>
      </c>
      <c r="P1301" s="177" t="s">
        <v>151</v>
      </c>
      <c r="Q1301" s="177" t="s">
        <v>155</v>
      </c>
      <c r="R1301" s="177" t="s">
        <v>10301</v>
      </c>
      <c r="S1301" s="177"/>
      <c r="T1301" s="177" t="s">
        <v>3186</v>
      </c>
      <c r="U1301" s="177" t="s">
        <v>152</v>
      </c>
      <c r="V1301" s="177" t="s">
        <v>18</v>
      </c>
    </row>
    <row r="1302" spans="2:22">
      <c r="B1302" s="251">
        <v>46262</v>
      </c>
      <c r="C1302" s="251">
        <v>46262</v>
      </c>
      <c r="D1302" s="177" t="s">
        <v>10302</v>
      </c>
      <c r="E1302" s="177">
        <v>260107823579</v>
      </c>
      <c r="F1302" s="177" t="s">
        <v>87</v>
      </c>
      <c r="G1302" s="177" t="s">
        <v>10303</v>
      </c>
      <c r="H1302" s="177">
        <v>122</v>
      </c>
      <c r="I1302" s="177">
        <v>370</v>
      </c>
      <c r="J1302" s="177">
        <v>370</v>
      </c>
      <c r="K1302" s="177">
        <v>89</v>
      </c>
      <c r="L1302" s="253">
        <v>3500</v>
      </c>
      <c r="M1302" s="177" t="s">
        <v>153</v>
      </c>
      <c r="N1302" s="177" t="s">
        <v>149</v>
      </c>
      <c r="O1302" s="177" t="s">
        <v>154</v>
      </c>
      <c r="P1302" s="177" t="s">
        <v>151</v>
      </c>
      <c r="Q1302" s="177" t="s">
        <v>155</v>
      </c>
      <c r="R1302" s="177" t="s">
        <v>10304</v>
      </c>
      <c r="S1302" s="177"/>
      <c r="T1302" s="177" t="s">
        <v>3186</v>
      </c>
      <c r="U1302" s="177" t="s">
        <v>152</v>
      </c>
      <c r="V1302" s="177" t="s">
        <v>18</v>
      </c>
    </row>
    <row r="1303" spans="2:22">
      <c r="B1303" s="251">
        <v>46262</v>
      </c>
      <c r="C1303" s="251">
        <v>46262</v>
      </c>
      <c r="D1303" s="177" t="s">
        <v>10305</v>
      </c>
      <c r="E1303" s="177">
        <v>260102923586</v>
      </c>
      <c r="F1303" s="177" t="s">
        <v>87</v>
      </c>
      <c r="G1303" s="177" t="s">
        <v>824</v>
      </c>
      <c r="H1303" s="177">
        <v>152</v>
      </c>
      <c r="I1303" s="177">
        <v>264</v>
      </c>
      <c r="J1303" s="177">
        <v>264</v>
      </c>
      <c r="K1303" s="177">
        <v>104</v>
      </c>
      <c r="L1303" s="253">
        <v>1740</v>
      </c>
      <c r="M1303" s="177" t="s">
        <v>153</v>
      </c>
      <c r="N1303" s="177" t="s">
        <v>149</v>
      </c>
      <c r="O1303" s="177" t="s">
        <v>154</v>
      </c>
      <c r="P1303" s="177" t="s">
        <v>151</v>
      </c>
      <c r="Q1303" s="177" t="s">
        <v>155</v>
      </c>
      <c r="R1303" s="177" t="s">
        <v>10306</v>
      </c>
      <c r="S1303" s="177"/>
      <c r="T1303" s="177" t="s">
        <v>3186</v>
      </c>
      <c r="U1303" s="177" t="s">
        <v>152</v>
      </c>
      <c r="V1303" s="177" t="s">
        <v>18</v>
      </c>
    </row>
    <row r="1304" spans="2:22">
      <c r="B1304" s="251">
        <v>46262</v>
      </c>
      <c r="C1304" s="251">
        <v>46262</v>
      </c>
      <c r="D1304" s="177" t="s">
        <v>10307</v>
      </c>
      <c r="E1304" s="177">
        <v>260101923591</v>
      </c>
      <c r="F1304" s="177" t="s">
        <v>87</v>
      </c>
      <c r="G1304" s="177" t="s">
        <v>8681</v>
      </c>
      <c r="H1304" s="177">
        <v>92</v>
      </c>
      <c r="I1304" s="177">
        <v>264</v>
      </c>
      <c r="J1304" s="177">
        <v>264</v>
      </c>
      <c r="K1304" s="177">
        <v>134</v>
      </c>
      <c r="L1304" s="253">
        <v>1105</v>
      </c>
      <c r="M1304" s="177" t="s">
        <v>153</v>
      </c>
      <c r="N1304" s="177" t="s">
        <v>149</v>
      </c>
      <c r="O1304" s="177" t="s">
        <v>154</v>
      </c>
      <c r="P1304" s="177" t="s">
        <v>151</v>
      </c>
      <c r="Q1304" s="177" t="s">
        <v>155</v>
      </c>
      <c r="R1304" s="177" t="s">
        <v>10308</v>
      </c>
      <c r="S1304" s="177"/>
      <c r="T1304" s="177" t="s">
        <v>3186</v>
      </c>
      <c r="U1304" s="177" t="s">
        <v>152</v>
      </c>
      <c r="V1304" s="177" t="s">
        <v>18</v>
      </c>
    </row>
    <row r="1305" spans="2:22">
      <c r="B1305" s="251">
        <v>46262</v>
      </c>
      <c r="C1305" s="251">
        <v>46262</v>
      </c>
      <c r="D1305" s="177" t="s">
        <v>10309</v>
      </c>
      <c r="E1305" s="177">
        <v>260103023566</v>
      </c>
      <c r="F1305" s="177" t="s">
        <v>87</v>
      </c>
      <c r="G1305" s="177" t="s">
        <v>10014</v>
      </c>
      <c r="H1305" s="177">
        <v>102</v>
      </c>
      <c r="I1305" s="177">
        <v>290</v>
      </c>
      <c r="J1305" s="177">
        <v>290</v>
      </c>
      <c r="K1305" s="177">
        <v>130</v>
      </c>
      <c r="L1305" s="253">
        <v>1120</v>
      </c>
      <c r="M1305" s="177" t="s">
        <v>153</v>
      </c>
      <c r="N1305" s="177" t="s">
        <v>149</v>
      </c>
      <c r="O1305" s="177" t="s">
        <v>154</v>
      </c>
      <c r="P1305" s="177" t="s">
        <v>151</v>
      </c>
      <c r="Q1305" s="177" t="s">
        <v>155</v>
      </c>
      <c r="R1305" s="177" t="s">
        <v>10310</v>
      </c>
      <c r="S1305" s="177"/>
      <c r="T1305" s="177" t="s">
        <v>3186</v>
      </c>
      <c r="U1305" s="177" t="s">
        <v>152</v>
      </c>
      <c r="V1305" s="177" t="s">
        <v>18</v>
      </c>
    </row>
    <row r="1306" spans="2:22">
      <c r="B1306" s="251">
        <v>46262</v>
      </c>
      <c r="C1306" s="251">
        <v>46262</v>
      </c>
      <c r="D1306" s="177" t="s">
        <v>10311</v>
      </c>
      <c r="E1306" s="177">
        <v>260103623573</v>
      </c>
      <c r="F1306" s="177" t="s">
        <v>87</v>
      </c>
      <c r="G1306" s="177" t="s">
        <v>2304</v>
      </c>
      <c r="H1306" s="177">
        <v>152</v>
      </c>
      <c r="I1306" s="177">
        <v>228</v>
      </c>
      <c r="J1306" s="177">
        <v>228</v>
      </c>
      <c r="K1306" s="177">
        <v>97</v>
      </c>
      <c r="L1306" s="253">
        <v>1640</v>
      </c>
      <c r="M1306" s="177" t="s">
        <v>153</v>
      </c>
      <c r="N1306" s="177" t="s">
        <v>149</v>
      </c>
      <c r="O1306" s="177" t="s">
        <v>154</v>
      </c>
      <c r="P1306" s="177" t="s">
        <v>151</v>
      </c>
      <c r="Q1306" s="177" t="s">
        <v>155</v>
      </c>
      <c r="R1306" s="177" t="s">
        <v>10312</v>
      </c>
      <c r="S1306" s="177"/>
      <c r="T1306" s="177" t="s">
        <v>3186</v>
      </c>
      <c r="U1306" s="177" t="s">
        <v>152</v>
      </c>
      <c r="V1306" s="177" t="s">
        <v>18</v>
      </c>
    </row>
    <row r="1307" spans="2:22">
      <c r="B1307" s="251">
        <v>46262</v>
      </c>
      <c r="C1307" s="251">
        <v>46262</v>
      </c>
      <c r="D1307" s="177" t="s">
        <v>10313</v>
      </c>
      <c r="E1307" s="177">
        <v>260101823587</v>
      </c>
      <c r="F1307" s="177" t="s">
        <v>87</v>
      </c>
      <c r="G1307" s="177" t="s">
        <v>8681</v>
      </c>
      <c r="H1307" s="177">
        <v>92</v>
      </c>
      <c r="I1307" s="177">
        <v>244</v>
      </c>
      <c r="J1307" s="177">
        <v>244</v>
      </c>
      <c r="K1307" s="177">
        <v>134</v>
      </c>
      <c r="L1307" s="253">
        <v>1000</v>
      </c>
      <c r="M1307" s="177" t="s">
        <v>153</v>
      </c>
      <c r="N1307" s="177" t="s">
        <v>149</v>
      </c>
      <c r="O1307" s="177" t="s">
        <v>154</v>
      </c>
      <c r="P1307" s="177" t="s">
        <v>151</v>
      </c>
      <c r="Q1307" s="177" t="s">
        <v>155</v>
      </c>
      <c r="R1307" s="177" t="s">
        <v>10314</v>
      </c>
      <c r="S1307" s="177"/>
      <c r="T1307" s="177" t="s">
        <v>3186</v>
      </c>
      <c r="U1307" s="177" t="s">
        <v>152</v>
      </c>
      <c r="V1307" s="177" t="s">
        <v>18</v>
      </c>
    </row>
    <row r="1308" spans="2:22">
      <c r="B1308" s="251">
        <v>46262</v>
      </c>
      <c r="C1308" s="251">
        <v>46262</v>
      </c>
      <c r="D1308" s="177" t="s">
        <v>10315</v>
      </c>
      <c r="E1308" s="177">
        <v>260103823592</v>
      </c>
      <c r="F1308" s="177" t="s">
        <v>87</v>
      </c>
      <c r="G1308" s="177" t="s">
        <v>824</v>
      </c>
      <c r="H1308" s="177">
        <v>152</v>
      </c>
      <c r="I1308" s="177">
        <v>225</v>
      </c>
      <c r="J1308" s="177">
        <v>225</v>
      </c>
      <c r="K1308" s="177">
        <v>104</v>
      </c>
      <c r="L1308" s="253">
        <v>1475</v>
      </c>
      <c r="M1308" s="177" t="s">
        <v>153</v>
      </c>
      <c r="N1308" s="177" t="s">
        <v>149</v>
      </c>
      <c r="O1308" s="177" t="s">
        <v>154</v>
      </c>
      <c r="P1308" s="177" t="s">
        <v>151</v>
      </c>
      <c r="Q1308" s="177" t="s">
        <v>155</v>
      </c>
      <c r="R1308" s="177" t="s">
        <v>10316</v>
      </c>
      <c r="S1308" s="177"/>
      <c r="T1308" s="177" t="s">
        <v>3186</v>
      </c>
      <c r="U1308" s="177" t="s">
        <v>152</v>
      </c>
      <c r="V1308" s="177" t="s">
        <v>18</v>
      </c>
    </row>
    <row r="1309" spans="2:22">
      <c r="B1309" s="251">
        <v>46262</v>
      </c>
      <c r="C1309" s="251">
        <v>46262</v>
      </c>
      <c r="D1309" s="177" t="s">
        <v>10317</v>
      </c>
      <c r="E1309" s="177">
        <v>260101523598</v>
      </c>
      <c r="F1309" s="177" t="s">
        <v>87</v>
      </c>
      <c r="G1309" s="177" t="s">
        <v>2408</v>
      </c>
      <c r="H1309" s="177">
        <v>112</v>
      </c>
      <c r="I1309" s="177">
        <v>351</v>
      </c>
      <c r="J1309" s="177">
        <v>351</v>
      </c>
      <c r="K1309" s="177">
        <v>160</v>
      </c>
      <c r="L1309" s="253">
        <v>1000</v>
      </c>
      <c r="M1309" s="177" t="s">
        <v>153</v>
      </c>
      <c r="N1309" s="177" t="s">
        <v>149</v>
      </c>
      <c r="O1309" s="177" t="s">
        <v>154</v>
      </c>
      <c r="P1309" s="177" t="s">
        <v>151</v>
      </c>
      <c r="Q1309" s="177" t="s">
        <v>155</v>
      </c>
      <c r="R1309" s="177" t="s">
        <v>10318</v>
      </c>
      <c r="S1309" s="177"/>
      <c r="T1309" s="177" t="s">
        <v>3186</v>
      </c>
      <c r="U1309" s="177" t="s">
        <v>152</v>
      </c>
      <c r="V1309" s="177" t="s">
        <v>18</v>
      </c>
    </row>
    <row r="1310" spans="2:22">
      <c r="B1310" s="251">
        <v>46262</v>
      </c>
      <c r="C1310" s="251">
        <v>46262</v>
      </c>
      <c r="D1310" s="177" t="s">
        <v>10319</v>
      </c>
      <c r="E1310" s="177">
        <v>260105523605</v>
      </c>
      <c r="F1310" s="177" t="s">
        <v>87</v>
      </c>
      <c r="G1310" s="177" t="s">
        <v>2407</v>
      </c>
      <c r="H1310" s="177">
        <v>162</v>
      </c>
      <c r="I1310" s="177">
        <v>223</v>
      </c>
      <c r="J1310" s="177">
        <v>223</v>
      </c>
      <c r="K1310" s="177">
        <v>102</v>
      </c>
      <c r="L1310" s="253">
        <v>1450</v>
      </c>
      <c r="M1310" s="177" t="s">
        <v>153</v>
      </c>
      <c r="N1310" s="177" t="s">
        <v>149</v>
      </c>
      <c r="O1310" s="177" t="s">
        <v>154</v>
      </c>
      <c r="P1310" s="177" t="s">
        <v>151</v>
      </c>
      <c r="Q1310" s="177" t="s">
        <v>155</v>
      </c>
      <c r="R1310" s="177" t="s">
        <v>10320</v>
      </c>
      <c r="S1310" s="177"/>
      <c r="T1310" s="177" t="s">
        <v>3186</v>
      </c>
      <c r="U1310" s="177" t="s">
        <v>152</v>
      </c>
      <c r="V1310" s="177" t="s">
        <v>18</v>
      </c>
    </row>
    <row r="1311" spans="2:22">
      <c r="B1311" s="251">
        <v>46262</v>
      </c>
      <c r="C1311" s="251">
        <v>46262</v>
      </c>
      <c r="D1311" s="177" t="s">
        <v>10321</v>
      </c>
      <c r="E1311" s="177">
        <v>260101623564</v>
      </c>
      <c r="F1311" s="177" t="s">
        <v>87</v>
      </c>
      <c r="G1311" s="177" t="s">
        <v>2408</v>
      </c>
      <c r="H1311" s="177">
        <v>112</v>
      </c>
      <c r="I1311" s="177">
        <v>355</v>
      </c>
      <c r="J1311" s="177">
        <v>355</v>
      </c>
      <c r="K1311" s="177">
        <v>160</v>
      </c>
      <c r="L1311" s="253">
        <v>1000</v>
      </c>
      <c r="M1311" s="177" t="s">
        <v>153</v>
      </c>
      <c r="N1311" s="177" t="s">
        <v>149</v>
      </c>
      <c r="O1311" s="177" t="s">
        <v>154</v>
      </c>
      <c r="P1311" s="177" t="s">
        <v>151</v>
      </c>
      <c r="Q1311" s="177" t="s">
        <v>155</v>
      </c>
      <c r="R1311" s="177" t="s">
        <v>10322</v>
      </c>
      <c r="S1311" s="177"/>
      <c r="T1311" s="177" t="s">
        <v>3186</v>
      </c>
      <c r="U1311" s="177" t="s">
        <v>152</v>
      </c>
      <c r="V1311" s="177" t="s">
        <v>18</v>
      </c>
    </row>
    <row r="1312" spans="2:22">
      <c r="B1312" s="251">
        <v>46262</v>
      </c>
      <c r="C1312" s="251">
        <v>46262</v>
      </c>
      <c r="D1312" s="177" t="s">
        <v>10323</v>
      </c>
      <c r="E1312" s="177">
        <v>260102923584</v>
      </c>
      <c r="F1312" s="177" t="s">
        <v>87</v>
      </c>
      <c r="G1312" s="177" t="s">
        <v>824</v>
      </c>
      <c r="H1312" s="177">
        <v>152</v>
      </c>
      <c r="I1312" s="177">
        <v>259</v>
      </c>
      <c r="J1312" s="177">
        <v>259</v>
      </c>
      <c r="K1312" s="177">
        <v>104</v>
      </c>
      <c r="L1312" s="253">
        <v>1740</v>
      </c>
      <c r="M1312" s="177" t="s">
        <v>153</v>
      </c>
      <c r="N1312" s="177" t="s">
        <v>149</v>
      </c>
      <c r="O1312" s="177" t="s">
        <v>154</v>
      </c>
      <c r="P1312" s="177" t="s">
        <v>151</v>
      </c>
      <c r="Q1312" s="177" t="s">
        <v>155</v>
      </c>
      <c r="R1312" s="177" t="s">
        <v>10324</v>
      </c>
      <c r="S1312" s="177"/>
      <c r="T1312" s="177" t="s">
        <v>3186</v>
      </c>
      <c r="U1312" s="177" t="s">
        <v>152</v>
      </c>
      <c r="V1312" s="177" t="s">
        <v>18</v>
      </c>
    </row>
    <row r="1313" spans="2:22">
      <c r="B1313" s="251">
        <v>46262</v>
      </c>
      <c r="C1313" s="251">
        <v>46262</v>
      </c>
      <c r="D1313" s="177" t="s">
        <v>10325</v>
      </c>
      <c r="E1313" s="177">
        <v>260106123600</v>
      </c>
      <c r="F1313" s="177" t="s">
        <v>87</v>
      </c>
      <c r="G1313" s="177" t="s">
        <v>2415</v>
      </c>
      <c r="H1313" s="177">
        <v>140</v>
      </c>
      <c r="I1313" s="177">
        <v>220</v>
      </c>
      <c r="J1313" s="177">
        <v>220</v>
      </c>
      <c r="K1313" s="177">
        <v>88</v>
      </c>
      <c r="L1313" s="253">
        <v>1850</v>
      </c>
      <c r="M1313" s="177" t="s">
        <v>153</v>
      </c>
      <c r="N1313" s="177" t="s">
        <v>149</v>
      </c>
      <c r="O1313" s="177" t="s">
        <v>154</v>
      </c>
      <c r="P1313" s="177" t="s">
        <v>151</v>
      </c>
      <c r="Q1313" s="177" t="s">
        <v>155</v>
      </c>
      <c r="R1313" s="177" t="s">
        <v>10326</v>
      </c>
      <c r="S1313" s="177"/>
      <c r="T1313" s="177" t="s">
        <v>3186</v>
      </c>
      <c r="U1313" s="177" t="s">
        <v>152</v>
      </c>
      <c r="V1313" s="177" t="s">
        <v>18</v>
      </c>
    </row>
    <row r="1314" spans="2:22">
      <c r="B1314" s="251">
        <v>46262</v>
      </c>
      <c r="C1314" s="251">
        <v>46262</v>
      </c>
      <c r="D1314" s="177" t="s">
        <v>10327</v>
      </c>
      <c r="E1314" s="177">
        <v>260105023602</v>
      </c>
      <c r="F1314" s="177" t="s">
        <v>87</v>
      </c>
      <c r="G1314" s="177" t="s">
        <v>2530</v>
      </c>
      <c r="H1314" s="177">
        <v>162</v>
      </c>
      <c r="I1314" s="177">
        <v>251</v>
      </c>
      <c r="J1314" s="177">
        <v>251</v>
      </c>
      <c r="K1314" s="177">
        <v>102</v>
      </c>
      <c r="L1314" s="253">
        <v>1590</v>
      </c>
      <c r="M1314" s="177" t="s">
        <v>153</v>
      </c>
      <c r="N1314" s="177" t="s">
        <v>149</v>
      </c>
      <c r="O1314" s="177" t="s">
        <v>154</v>
      </c>
      <c r="P1314" s="177" t="s">
        <v>151</v>
      </c>
      <c r="Q1314" s="177" t="s">
        <v>155</v>
      </c>
      <c r="R1314" s="177" t="s">
        <v>10328</v>
      </c>
      <c r="S1314" s="177"/>
      <c r="T1314" s="177" t="s">
        <v>3186</v>
      </c>
      <c r="U1314" s="177" t="s">
        <v>152</v>
      </c>
      <c r="V1314" s="177" t="s">
        <v>18</v>
      </c>
    </row>
    <row r="1315" spans="2:22">
      <c r="B1315" s="251">
        <v>46262</v>
      </c>
      <c r="C1315" s="251">
        <v>46262</v>
      </c>
      <c r="D1315" s="177" t="s">
        <v>10329</v>
      </c>
      <c r="E1315" s="177">
        <v>260107523614</v>
      </c>
      <c r="F1315" s="177" t="s">
        <v>87</v>
      </c>
      <c r="G1315" s="177" t="s">
        <v>2415</v>
      </c>
      <c r="H1315" s="177">
        <v>140</v>
      </c>
      <c r="I1315" s="177">
        <v>316</v>
      </c>
      <c r="J1315" s="177">
        <v>316</v>
      </c>
      <c r="K1315" s="177">
        <v>88</v>
      </c>
      <c r="L1315" s="253">
        <v>2685</v>
      </c>
      <c r="M1315" s="177" t="s">
        <v>153</v>
      </c>
      <c r="N1315" s="177" t="s">
        <v>149</v>
      </c>
      <c r="O1315" s="177" t="s">
        <v>154</v>
      </c>
      <c r="P1315" s="177" t="s">
        <v>151</v>
      </c>
      <c r="Q1315" s="177" t="s">
        <v>155</v>
      </c>
      <c r="R1315" s="177" t="s">
        <v>10330</v>
      </c>
      <c r="S1315" s="177"/>
      <c r="T1315" s="177" t="s">
        <v>3186</v>
      </c>
      <c r="U1315" s="177" t="s">
        <v>152</v>
      </c>
      <c r="V1315" s="177" t="s">
        <v>18</v>
      </c>
    </row>
    <row r="1316" spans="2:22">
      <c r="B1316" s="251">
        <v>46262</v>
      </c>
      <c r="C1316" s="251">
        <v>46262</v>
      </c>
      <c r="D1316" s="177" t="s">
        <v>10331</v>
      </c>
      <c r="E1316" s="177">
        <v>260103423571</v>
      </c>
      <c r="F1316" s="177" t="s">
        <v>87</v>
      </c>
      <c r="G1316" s="177" t="s">
        <v>824</v>
      </c>
      <c r="H1316" s="177">
        <v>182</v>
      </c>
      <c r="I1316" s="177">
        <v>318</v>
      </c>
      <c r="J1316" s="177">
        <v>318</v>
      </c>
      <c r="K1316" s="177">
        <v>104</v>
      </c>
      <c r="L1316" s="253">
        <v>1730</v>
      </c>
      <c r="M1316" s="177" t="s">
        <v>153</v>
      </c>
      <c r="N1316" s="177" t="s">
        <v>149</v>
      </c>
      <c r="O1316" s="177" t="s">
        <v>154</v>
      </c>
      <c r="P1316" s="177" t="s">
        <v>151</v>
      </c>
      <c r="Q1316" s="177" t="s">
        <v>155</v>
      </c>
      <c r="R1316" s="177" t="s">
        <v>10332</v>
      </c>
      <c r="S1316" s="177"/>
      <c r="T1316" s="177" t="s">
        <v>3186</v>
      </c>
      <c r="U1316" s="177" t="s">
        <v>152</v>
      </c>
      <c r="V1316" s="177" t="s">
        <v>18</v>
      </c>
    </row>
    <row r="1317" spans="2:22">
      <c r="B1317" s="251">
        <v>46262</v>
      </c>
      <c r="C1317" s="251">
        <v>46262</v>
      </c>
      <c r="D1317" s="177" t="s">
        <v>10333</v>
      </c>
      <c r="E1317" s="177">
        <v>260107123582</v>
      </c>
      <c r="F1317" s="177" t="s">
        <v>87</v>
      </c>
      <c r="G1317" s="177" t="s">
        <v>8692</v>
      </c>
      <c r="H1317" s="177">
        <v>140</v>
      </c>
      <c r="I1317" s="177">
        <v>243</v>
      </c>
      <c r="J1317" s="177">
        <v>243</v>
      </c>
      <c r="K1317" s="177">
        <v>88</v>
      </c>
      <c r="L1317" s="253">
        <v>2040</v>
      </c>
      <c r="M1317" s="177" t="s">
        <v>153</v>
      </c>
      <c r="N1317" s="177" t="s">
        <v>149</v>
      </c>
      <c r="O1317" s="177" t="s">
        <v>154</v>
      </c>
      <c r="P1317" s="177" t="s">
        <v>151</v>
      </c>
      <c r="Q1317" s="177" t="s">
        <v>155</v>
      </c>
      <c r="R1317" s="177" t="s">
        <v>10334</v>
      </c>
      <c r="S1317" s="177"/>
      <c r="T1317" s="177" t="s">
        <v>3186</v>
      </c>
      <c r="U1317" s="177" t="s">
        <v>152</v>
      </c>
      <c r="V1317" s="177" t="s">
        <v>18</v>
      </c>
    </row>
    <row r="1318" spans="2:22">
      <c r="B1318" s="251">
        <v>46262</v>
      </c>
      <c r="C1318" s="251">
        <v>46262</v>
      </c>
      <c r="D1318" s="177" t="s">
        <v>10335</v>
      </c>
      <c r="E1318" s="177">
        <v>260101723585</v>
      </c>
      <c r="F1318" s="177" t="s">
        <v>87</v>
      </c>
      <c r="G1318" s="177" t="s">
        <v>8681</v>
      </c>
      <c r="H1318" s="177">
        <v>92</v>
      </c>
      <c r="I1318" s="177">
        <v>247</v>
      </c>
      <c r="J1318" s="177">
        <v>247</v>
      </c>
      <c r="K1318" s="177">
        <v>134</v>
      </c>
      <c r="L1318" s="253">
        <v>1000</v>
      </c>
      <c r="M1318" s="177" t="s">
        <v>153</v>
      </c>
      <c r="N1318" s="177" t="s">
        <v>149</v>
      </c>
      <c r="O1318" s="177" t="s">
        <v>154</v>
      </c>
      <c r="P1318" s="177" t="s">
        <v>151</v>
      </c>
      <c r="Q1318" s="177" t="s">
        <v>155</v>
      </c>
      <c r="R1318" s="177" t="s">
        <v>10336</v>
      </c>
      <c r="S1318" s="177"/>
      <c r="T1318" s="177" t="s">
        <v>3186</v>
      </c>
      <c r="U1318" s="177" t="s">
        <v>152</v>
      </c>
      <c r="V1318" s="177" t="s">
        <v>18</v>
      </c>
    </row>
    <row r="1319" spans="2:22">
      <c r="B1319" s="251">
        <v>46262</v>
      </c>
      <c r="C1319" s="251">
        <v>46262</v>
      </c>
      <c r="D1319" s="177" t="s">
        <v>10337</v>
      </c>
      <c r="E1319" s="177">
        <v>260105223606</v>
      </c>
      <c r="F1319" s="177" t="s">
        <v>87</v>
      </c>
      <c r="G1319" s="177" t="s">
        <v>2527</v>
      </c>
      <c r="H1319" s="177">
        <v>152</v>
      </c>
      <c r="I1319" s="177">
        <v>249</v>
      </c>
      <c r="J1319" s="177">
        <v>249</v>
      </c>
      <c r="K1319" s="177">
        <v>104</v>
      </c>
      <c r="L1319" s="253">
        <v>1610</v>
      </c>
      <c r="M1319" s="177" t="s">
        <v>153</v>
      </c>
      <c r="N1319" s="177" t="s">
        <v>149</v>
      </c>
      <c r="O1319" s="177" t="s">
        <v>154</v>
      </c>
      <c r="P1319" s="177" t="s">
        <v>151</v>
      </c>
      <c r="Q1319" s="177" t="s">
        <v>155</v>
      </c>
      <c r="R1319" s="177" t="s">
        <v>10338</v>
      </c>
      <c r="S1319" s="177"/>
      <c r="T1319" s="177" t="s">
        <v>3186</v>
      </c>
      <c r="U1319" s="177" t="s">
        <v>152</v>
      </c>
      <c r="V1319" s="177" t="s">
        <v>18</v>
      </c>
    </row>
    <row r="1320" spans="2:22">
      <c r="B1320" s="251">
        <v>46262</v>
      </c>
      <c r="C1320" s="251">
        <v>46262</v>
      </c>
      <c r="D1320" s="177" t="s">
        <v>10339</v>
      </c>
      <c r="E1320" s="177">
        <v>260105823609</v>
      </c>
      <c r="F1320" s="177" t="s">
        <v>87</v>
      </c>
      <c r="G1320" s="177" t="s">
        <v>824</v>
      </c>
      <c r="H1320" s="177">
        <v>152</v>
      </c>
      <c r="I1320" s="177">
        <v>255</v>
      </c>
      <c r="J1320" s="177">
        <v>255</v>
      </c>
      <c r="K1320" s="177">
        <v>104</v>
      </c>
      <c r="L1320" s="253">
        <v>1650</v>
      </c>
      <c r="M1320" s="177" t="s">
        <v>153</v>
      </c>
      <c r="N1320" s="177" t="s">
        <v>149</v>
      </c>
      <c r="O1320" s="177" t="s">
        <v>154</v>
      </c>
      <c r="P1320" s="177" t="s">
        <v>151</v>
      </c>
      <c r="Q1320" s="177" t="s">
        <v>155</v>
      </c>
      <c r="R1320" s="177" t="s">
        <v>10340</v>
      </c>
      <c r="S1320" s="177"/>
      <c r="T1320" s="177" t="s">
        <v>3186</v>
      </c>
      <c r="U1320" s="177" t="s">
        <v>152</v>
      </c>
      <c r="V1320" s="177" t="s">
        <v>18</v>
      </c>
    </row>
    <row r="1321" spans="2:22">
      <c r="B1321" s="251">
        <v>46262</v>
      </c>
      <c r="C1321" s="251">
        <v>46262</v>
      </c>
      <c r="D1321" s="177" t="s">
        <v>10341</v>
      </c>
      <c r="E1321" s="177">
        <v>260101423559</v>
      </c>
      <c r="F1321" s="177" t="s">
        <v>87</v>
      </c>
      <c r="G1321" s="177" t="s">
        <v>824</v>
      </c>
      <c r="H1321" s="177">
        <v>152</v>
      </c>
      <c r="I1321" s="177">
        <v>228</v>
      </c>
      <c r="J1321" s="177">
        <v>228</v>
      </c>
      <c r="K1321" s="177">
        <v>104</v>
      </c>
      <c r="L1321" s="253">
        <v>1500</v>
      </c>
      <c r="M1321" s="177" t="s">
        <v>153</v>
      </c>
      <c r="N1321" s="177" t="s">
        <v>149</v>
      </c>
      <c r="O1321" s="177" t="s">
        <v>154</v>
      </c>
      <c r="P1321" s="177" t="s">
        <v>151</v>
      </c>
      <c r="Q1321" s="177" t="s">
        <v>155</v>
      </c>
      <c r="R1321" s="177" t="s">
        <v>10342</v>
      </c>
      <c r="S1321" s="177"/>
      <c r="T1321" s="177" t="s">
        <v>3186</v>
      </c>
      <c r="U1321" s="177" t="s">
        <v>152</v>
      </c>
      <c r="V1321" s="177" t="s">
        <v>18</v>
      </c>
    </row>
    <row r="1322" spans="2:22">
      <c r="B1322" s="251">
        <v>46262</v>
      </c>
      <c r="C1322" s="251">
        <v>46262</v>
      </c>
      <c r="D1322" s="177" t="s">
        <v>10343</v>
      </c>
      <c r="E1322" s="177">
        <v>260103423572</v>
      </c>
      <c r="F1322" s="177" t="s">
        <v>87</v>
      </c>
      <c r="G1322" s="177" t="s">
        <v>824</v>
      </c>
      <c r="H1322" s="177">
        <v>182</v>
      </c>
      <c r="I1322" s="177">
        <v>317</v>
      </c>
      <c r="J1322" s="177">
        <v>317</v>
      </c>
      <c r="K1322" s="177">
        <v>104</v>
      </c>
      <c r="L1322" s="253">
        <v>1730</v>
      </c>
      <c r="M1322" s="177" t="s">
        <v>153</v>
      </c>
      <c r="N1322" s="177" t="s">
        <v>149</v>
      </c>
      <c r="O1322" s="177" t="s">
        <v>154</v>
      </c>
      <c r="P1322" s="177" t="s">
        <v>151</v>
      </c>
      <c r="Q1322" s="177" t="s">
        <v>155</v>
      </c>
      <c r="R1322" s="177" t="s">
        <v>10344</v>
      </c>
      <c r="S1322" s="177"/>
      <c r="T1322" s="177" t="s">
        <v>3186</v>
      </c>
      <c r="U1322" s="177" t="s">
        <v>152</v>
      </c>
      <c r="V1322" s="177" t="s">
        <v>18</v>
      </c>
    </row>
    <row r="1323" spans="2:22">
      <c r="B1323" s="251">
        <v>46262</v>
      </c>
      <c r="C1323" s="251">
        <v>46262</v>
      </c>
      <c r="D1323" s="177" t="s">
        <v>10345</v>
      </c>
      <c r="E1323" s="177">
        <v>260103623574</v>
      </c>
      <c r="F1323" s="177" t="s">
        <v>87</v>
      </c>
      <c r="G1323" s="177" t="s">
        <v>2304</v>
      </c>
      <c r="H1323" s="177">
        <v>152</v>
      </c>
      <c r="I1323" s="177">
        <v>232</v>
      </c>
      <c r="J1323" s="177">
        <v>232</v>
      </c>
      <c r="K1323" s="177">
        <v>97</v>
      </c>
      <c r="L1323" s="253">
        <v>1640</v>
      </c>
      <c r="M1323" s="177" t="s">
        <v>153</v>
      </c>
      <c r="N1323" s="177" t="s">
        <v>149</v>
      </c>
      <c r="O1323" s="177" t="s">
        <v>154</v>
      </c>
      <c r="P1323" s="177" t="s">
        <v>151</v>
      </c>
      <c r="Q1323" s="177" t="s">
        <v>155</v>
      </c>
      <c r="R1323" s="177" t="s">
        <v>10346</v>
      </c>
      <c r="S1323" s="177"/>
      <c r="T1323" s="177" t="s">
        <v>3186</v>
      </c>
      <c r="U1323" s="177" t="s">
        <v>152</v>
      </c>
      <c r="V1323" s="177" t="s">
        <v>18</v>
      </c>
    </row>
    <row r="1324" spans="2:22">
      <c r="B1324" s="251">
        <v>46262</v>
      </c>
      <c r="C1324" s="251">
        <v>46262</v>
      </c>
      <c r="D1324" s="177" t="s">
        <v>10347</v>
      </c>
      <c r="E1324" s="177">
        <v>260103923590</v>
      </c>
      <c r="F1324" s="177" t="s">
        <v>87</v>
      </c>
      <c r="G1324" s="177" t="s">
        <v>2304</v>
      </c>
      <c r="H1324" s="177">
        <v>132</v>
      </c>
      <c r="I1324" s="177">
        <v>205</v>
      </c>
      <c r="J1324" s="177">
        <v>205</v>
      </c>
      <c r="K1324" s="177">
        <v>97</v>
      </c>
      <c r="L1324" s="253">
        <v>1660</v>
      </c>
      <c r="M1324" s="177" t="s">
        <v>153</v>
      </c>
      <c r="N1324" s="177" t="s">
        <v>149</v>
      </c>
      <c r="O1324" s="177" t="s">
        <v>154</v>
      </c>
      <c r="P1324" s="177" t="s">
        <v>151</v>
      </c>
      <c r="Q1324" s="177" t="s">
        <v>155</v>
      </c>
      <c r="R1324" s="177" t="s">
        <v>10348</v>
      </c>
      <c r="S1324" s="177"/>
      <c r="T1324" s="177" t="s">
        <v>3186</v>
      </c>
      <c r="U1324" s="177" t="s">
        <v>152</v>
      </c>
      <c r="V1324" s="177" t="s">
        <v>18</v>
      </c>
    </row>
    <row r="1325" spans="2:22">
      <c r="B1325" s="251">
        <v>46262</v>
      </c>
      <c r="C1325" s="251">
        <v>46262</v>
      </c>
      <c r="D1325" s="177" t="s">
        <v>10349</v>
      </c>
      <c r="E1325" s="177">
        <v>260105423607</v>
      </c>
      <c r="F1325" s="177" t="s">
        <v>87</v>
      </c>
      <c r="G1325" s="177" t="s">
        <v>2364</v>
      </c>
      <c r="H1325" s="177">
        <v>142</v>
      </c>
      <c r="I1325" s="177">
        <v>174</v>
      </c>
      <c r="J1325" s="177">
        <v>174</v>
      </c>
      <c r="K1325" s="177">
        <v>67</v>
      </c>
      <c r="L1325" s="253">
        <v>1850</v>
      </c>
      <c r="M1325" s="177" t="s">
        <v>153</v>
      </c>
      <c r="N1325" s="177" t="s">
        <v>149</v>
      </c>
      <c r="O1325" s="177" t="s">
        <v>154</v>
      </c>
      <c r="P1325" s="177" t="s">
        <v>151</v>
      </c>
      <c r="Q1325" s="177" t="s">
        <v>155</v>
      </c>
      <c r="R1325" s="177" t="s">
        <v>10350</v>
      </c>
      <c r="S1325" s="177"/>
      <c r="T1325" s="177" t="s">
        <v>3186</v>
      </c>
      <c r="U1325" s="177" t="s">
        <v>152</v>
      </c>
      <c r="V1325" s="177" t="s">
        <v>18</v>
      </c>
    </row>
    <row r="1326" spans="2:22">
      <c r="B1326" s="251">
        <v>46262</v>
      </c>
      <c r="C1326" s="251">
        <v>46262</v>
      </c>
      <c r="D1326" s="177" t="s">
        <v>10351</v>
      </c>
      <c r="E1326" s="177">
        <v>260103823595</v>
      </c>
      <c r="F1326" s="177" t="s">
        <v>87</v>
      </c>
      <c r="G1326" s="177" t="s">
        <v>824</v>
      </c>
      <c r="H1326" s="177">
        <v>152</v>
      </c>
      <c r="I1326" s="177">
        <v>226</v>
      </c>
      <c r="J1326" s="177">
        <v>226</v>
      </c>
      <c r="K1326" s="177">
        <v>104</v>
      </c>
      <c r="L1326" s="253">
        <v>1475</v>
      </c>
      <c r="M1326" s="177" t="s">
        <v>153</v>
      </c>
      <c r="N1326" s="177" t="s">
        <v>149</v>
      </c>
      <c r="O1326" s="177" t="s">
        <v>154</v>
      </c>
      <c r="P1326" s="177" t="s">
        <v>151</v>
      </c>
      <c r="Q1326" s="177" t="s">
        <v>155</v>
      </c>
      <c r="R1326" s="177" t="s">
        <v>10352</v>
      </c>
      <c r="S1326" s="177"/>
      <c r="T1326" s="177" t="s">
        <v>3186</v>
      </c>
      <c r="U1326" s="177" t="s">
        <v>152</v>
      </c>
      <c r="V1326" s="177" t="s">
        <v>18</v>
      </c>
    </row>
    <row r="1327" spans="2:22">
      <c r="B1327" s="251">
        <v>46262</v>
      </c>
      <c r="C1327" s="251">
        <v>46262</v>
      </c>
      <c r="D1327" s="177" t="s">
        <v>10353</v>
      </c>
      <c r="E1327" s="177">
        <v>260101423562</v>
      </c>
      <c r="F1327" s="177" t="s">
        <v>87</v>
      </c>
      <c r="G1327" s="177" t="s">
        <v>824</v>
      </c>
      <c r="H1327" s="177">
        <v>152</v>
      </c>
      <c r="I1327" s="177">
        <v>227</v>
      </c>
      <c r="J1327" s="177">
        <v>227</v>
      </c>
      <c r="K1327" s="177">
        <v>104</v>
      </c>
      <c r="L1327" s="253">
        <v>1500</v>
      </c>
      <c r="M1327" s="177" t="s">
        <v>153</v>
      </c>
      <c r="N1327" s="177" t="s">
        <v>149</v>
      </c>
      <c r="O1327" s="177" t="s">
        <v>154</v>
      </c>
      <c r="P1327" s="177" t="s">
        <v>151</v>
      </c>
      <c r="Q1327" s="177" t="s">
        <v>155</v>
      </c>
      <c r="R1327" s="177" t="s">
        <v>10354</v>
      </c>
      <c r="S1327" s="177"/>
      <c r="T1327" s="177" t="s">
        <v>3186</v>
      </c>
      <c r="U1327" s="177" t="s">
        <v>152</v>
      </c>
      <c r="V1327" s="177" t="s">
        <v>18</v>
      </c>
    </row>
    <row r="1328" spans="2:22">
      <c r="B1328" s="251">
        <v>46262</v>
      </c>
      <c r="C1328" s="251">
        <v>46262</v>
      </c>
      <c r="D1328" s="177" t="s">
        <v>10355</v>
      </c>
      <c r="E1328" s="177">
        <v>260102223565</v>
      </c>
      <c r="F1328" s="177" t="s">
        <v>87</v>
      </c>
      <c r="G1328" s="177" t="s">
        <v>9731</v>
      </c>
      <c r="H1328" s="177">
        <v>102</v>
      </c>
      <c r="I1328" s="177">
        <v>255</v>
      </c>
      <c r="J1328" s="177">
        <v>255</v>
      </c>
      <c r="K1328" s="177">
        <v>130</v>
      </c>
      <c r="L1328" s="253">
        <v>1000</v>
      </c>
      <c r="M1328" s="177" t="s">
        <v>153</v>
      </c>
      <c r="N1328" s="177" t="s">
        <v>149</v>
      </c>
      <c r="O1328" s="177" t="s">
        <v>154</v>
      </c>
      <c r="P1328" s="177" t="s">
        <v>151</v>
      </c>
      <c r="Q1328" s="177" t="s">
        <v>155</v>
      </c>
      <c r="R1328" s="177" t="s">
        <v>10356</v>
      </c>
      <c r="S1328" s="177"/>
      <c r="T1328" s="177" t="s">
        <v>3186</v>
      </c>
      <c r="U1328" s="177" t="s">
        <v>152</v>
      </c>
      <c r="V1328" s="177" t="s">
        <v>18</v>
      </c>
    </row>
    <row r="1329" spans="2:22">
      <c r="B1329" s="251">
        <v>46262</v>
      </c>
      <c r="C1329" s="251">
        <v>46262</v>
      </c>
      <c r="D1329" s="177" t="s">
        <v>10357</v>
      </c>
      <c r="E1329" s="177">
        <v>260102623583</v>
      </c>
      <c r="F1329" s="177" t="s">
        <v>87</v>
      </c>
      <c r="G1329" s="177" t="s">
        <v>8032</v>
      </c>
      <c r="H1329" s="177">
        <v>102</v>
      </c>
      <c r="I1329" s="177">
        <v>258</v>
      </c>
      <c r="J1329" s="177">
        <v>258</v>
      </c>
      <c r="K1329" s="177">
        <v>130</v>
      </c>
      <c r="L1329" s="253">
        <v>1000</v>
      </c>
      <c r="M1329" s="177" t="s">
        <v>153</v>
      </c>
      <c r="N1329" s="177" t="s">
        <v>149</v>
      </c>
      <c r="O1329" s="177" t="s">
        <v>154</v>
      </c>
      <c r="P1329" s="177" t="s">
        <v>151</v>
      </c>
      <c r="Q1329" s="177" t="s">
        <v>155</v>
      </c>
      <c r="R1329" s="177" t="s">
        <v>10358</v>
      </c>
      <c r="S1329" s="177"/>
      <c r="T1329" s="177" t="s">
        <v>3186</v>
      </c>
      <c r="U1329" s="177" t="s">
        <v>152</v>
      </c>
      <c r="V1329" s="177" t="s">
        <v>18</v>
      </c>
    </row>
    <row r="1330" spans="2:22">
      <c r="B1330" s="251">
        <v>46262</v>
      </c>
      <c r="C1330" s="251">
        <v>46262</v>
      </c>
      <c r="D1330" s="177" t="s">
        <v>10359</v>
      </c>
      <c r="E1330" s="177">
        <v>260102423611</v>
      </c>
      <c r="F1330" s="177" t="s">
        <v>87</v>
      </c>
      <c r="G1330" s="177" t="s">
        <v>8032</v>
      </c>
      <c r="H1330" s="177">
        <v>102</v>
      </c>
      <c r="I1330" s="177">
        <v>260</v>
      </c>
      <c r="J1330" s="177">
        <v>260</v>
      </c>
      <c r="K1330" s="177">
        <v>130</v>
      </c>
      <c r="L1330" s="253">
        <v>1000</v>
      </c>
      <c r="M1330" s="177" t="s">
        <v>153</v>
      </c>
      <c r="N1330" s="177" t="s">
        <v>149</v>
      </c>
      <c r="O1330" s="177" t="s">
        <v>154</v>
      </c>
      <c r="P1330" s="177" t="s">
        <v>151</v>
      </c>
      <c r="Q1330" s="177" t="s">
        <v>155</v>
      </c>
      <c r="R1330" s="177" t="s">
        <v>10360</v>
      </c>
      <c r="S1330" s="177"/>
      <c r="T1330" s="177" t="s">
        <v>3186</v>
      </c>
      <c r="U1330" s="177" t="s">
        <v>152</v>
      </c>
      <c r="V1330" s="177" t="s">
        <v>18</v>
      </c>
    </row>
    <row r="1331" spans="2:22">
      <c r="B1331" s="251">
        <v>46262</v>
      </c>
      <c r="C1331" s="251">
        <v>46262</v>
      </c>
      <c r="D1331" s="177" t="s">
        <v>10361</v>
      </c>
      <c r="E1331" s="177">
        <v>260101423561</v>
      </c>
      <c r="F1331" s="177" t="s">
        <v>87</v>
      </c>
      <c r="G1331" s="177" t="s">
        <v>824</v>
      </c>
      <c r="H1331" s="177">
        <v>152</v>
      </c>
      <c r="I1331" s="177">
        <v>228</v>
      </c>
      <c r="J1331" s="177">
        <v>228</v>
      </c>
      <c r="K1331" s="177">
        <v>104</v>
      </c>
      <c r="L1331" s="253">
        <v>1500</v>
      </c>
      <c r="M1331" s="177" t="s">
        <v>153</v>
      </c>
      <c r="N1331" s="177" t="s">
        <v>149</v>
      </c>
      <c r="O1331" s="177" t="s">
        <v>154</v>
      </c>
      <c r="P1331" s="177" t="s">
        <v>151</v>
      </c>
      <c r="Q1331" s="177" t="s">
        <v>155</v>
      </c>
      <c r="R1331" s="177" t="s">
        <v>10362</v>
      </c>
      <c r="S1331" s="177"/>
      <c r="T1331" s="177" t="s">
        <v>3186</v>
      </c>
      <c r="U1331" s="177" t="s">
        <v>152</v>
      </c>
      <c r="V1331" s="177" t="s">
        <v>18</v>
      </c>
    </row>
    <row r="1332" spans="2:22">
      <c r="B1332" s="251">
        <v>46262</v>
      </c>
      <c r="C1332" s="251">
        <v>46262</v>
      </c>
      <c r="D1332" s="177" t="s">
        <v>10363</v>
      </c>
      <c r="E1332" s="177">
        <v>260103723597</v>
      </c>
      <c r="F1332" s="177" t="s">
        <v>87</v>
      </c>
      <c r="G1332" s="177" t="s">
        <v>2526</v>
      </c>
      <c r="H1332" s="177">
        <v>152</v>
      </c>
      <c r="I1332" s="177">
        <v>231</v>
      </c>
      <c r="J1332" s="177">
        <v>231</v>
      </c>
      <c r="K1332" s="177">
        <v>97</v>
      </c>
      <c r="L1332" s="253">
        <v>1575</v>
      </c>
      <c r="M1332" s="177" t="s">
        <v>153</v>
      </c>
      <c r="N1332" s="177" t="s">
        <v>149</v>
      </c>
      <c r="O1332" s="177" t="s">
        <v>154</v>
      </c>
      <c r="P1332" s="177" t="s">
        <v>151</v>
      </c>
      <c r="Q1332" s="177" t="s">
        <v>155</v>
      </c>
      <c r="R1332" s="177" t="s">
        <v>10364</v>
      </c>
      <c r="S1332" s="177"/>
      <c r="T1332" s="177" t="s">
        <v>3186</v>
      </c>
      <c r="U1332" s="177" t="s">
        <v>152</v>
      </c>
      <c r="V1332" s="177" t="s">
        <v>18</v>
      </c>
    </row>
    <row r="1333" spans="2:22">
      <c r="B1333" s="251">
        <v>46262</v>
      </c>
      <c r="C1333" s="251">
        <v>46262</v>
      </c>
      <c r="D1333" s="177" t="s">
        <v>10365</v>
      </c>
      <c r="E1333" s="177">
        <v>260102223608</v>
      </c>
      <c r="F1333" s="177" t="s">
        <v>87</v>
      </c>
      <c r="G1333" s="177" t="s">
        <v>9731</v>
      </c>
      <c r="H1333" s="177">
        <v>102</v>
      </c>
      <c r="I1333" s="177">
        <v>261</v>
      </c>
      <c r="J1333" s="177">
        <v>261</v>
      </c>
      <c r="K1333" s="177">
        <v>130</v>
      </c>
      <c r="L1333" s="253">
        <v>1000</v>
      </c>
      <c r="M1333" s="177" t="s">
        <v>153</v>
      </c>
      <c r="N1333" s="177" t="s">
        <v>149</v>
      </c>
      <c r="O1333" s="177" t="s">
        <v>154</v>
      </c>
      <c r="P1333" s="177" t="s">
        <v>151</v>
      </c>
      <c r="Q1333" s="177" t="s">
        <v>155</v>
      </c>
      <c r="R1333" s="177" t="s">
        <v>10366</v>
      </c>
      <c r="S1333" s="177"/>
      <c r="T1333" s="177" t="s">
        <v>3186</v>
      </c>
      <c r="U1333" s="177" t="s">
        <v>152</v>
      </c>
      <c r="V1333" s="177" t="s">
        <v>18</v>
      </c>
    </row>
    <row r="1334" spans="2:22">
      <c r="B1334" s="251">
        <v>46262</v>
      </c>
      <c r="C1334" s="251">
        <v>46262</v>
      </c>
      <c r="D1334" s="177" t="s">
        <v>10367</v>
      </c>
      <c r="E1334" s="177">
        <v>260101423560</v>
      </c>
      <c r="F1334" s="177" t="s">
        <v>87</v>
      </c>
      <c r="G1334" s="177" t="s">
        <v>824</v>
      </c>
      <c r="H1334" s="177">
        <v>152</v>
      </c>
      <c r="I1334" s="177">
        <v>228</v>
      </c>
      <c r="J1334" s="177">
        <v>228</v>
      </c>
      <c r="K1334" s="177">
        <v>104</v>
      </c>
      <c r="L1334" s="253">
        <v>1500</v>
      </c>
      <c r="M1334" s="177" t="s">
        <v>153</v>
      </c>
      <c r="N1334" s="177" t="s">
        <v>149</v>
      </c>
      <c r="O1334" s="177" t="s">
        <v>154</v>
      </c>
      <c r="P1334" s="177" t="s">
        <v>151</v>
      </c>
      <c r="Q1334" s="177" t="s">
        <v>155</v>
      </c>
      <c r="R1334" s="177" t="s">
        <v>10368</v>
      </c>
      <c r="S1334" s="177"/>
      <c r="T1334" s="177" t="s">
        <v>3186</v>
      </c>
      <c r="U1334" s="177" t="s">
        <v>152</v>
      </c>
      <c r="V1334" s="177" t="s">
        <v>18</v>
      </c>
    </row>
    <row r="1335" spans="2:22">
      <c r="B1335" s="251">
        <v>46262</v>
      </c>
      <c r="C1335" s="251">
        <v>46262</v>
      </c>
      <c r="D1335" s="177" t="s">
        <v>10369</v>
      </c>
      <c r="E1335" s="177">
        <v>260102323589</v>
      </c>
      <c r="F1335" s="177" t="s">
        <v>87</v>
      </c>
      <c r="G1335" s="177" t="s">
        <v>8032</v>
      </c>
      <c r="H1335" s="177">
        <v>102</v>
      </c>
      <c r="I1335" s="177">
        <v>263</v>
      </c>
      <c r="J1335" s="177">
        <v>263</v>
      </c>
      <c r="K1335" s="177">
        <v>130</v>
      </c>
      <c r="L1335" s="253">
        <v>1000</v>
      </c>
      <c r="M1335" s="177" t="s">
        <v>153</v>
      </c>
      <c r="N1335" s="177" t="s">
        <v>149</v>
      </c>
      <c r="O1335" s="177" t="s">
        <v>154</v>
      </c>
      <c r="P1335" s="177" t="s">
        <v>151</v>
      </c>
      <c r="Q1335" s="177" t="s">
        <v>155</v>
      </c>
      <c r="R1335" s="177" t="s">
        <v>10370</v>
      </c>
      <c r="S1335" s="177"/>
      <c r="T1335" s="177" t="s">
        <v>3186</v>
      </c>
      <c r="U1335" s="177" t="s">
        <v>152</v>
      </c>
      <c r="V1335" s="177" t="s">
        <v>18</v>
      </c>
    </row>
    <row r="1336" spans="2:22">
      <c r="B1336" s="251">
        <v>46262</v>
      </c>
      <c r="C1336" s="251">
        <v>46262</v>
      </c>
      <c r="D1336" s="177" t="s">
        <v>10371</v>
      </c>
      <c r="E1336" s="177">
        <v>260102023594</v>
      </c>
      <c r="F1336" s="177" t="s">
        <v>87</v>
      </c>
      <c r="G1336" s="177" t="s">
        <v>8681</v>
      </c>
      <c r="H1336" s="177">
        <v>92</v>
      </c>
      <c r="I1336" s="177">
        <v>244</v>
      </c>
      <c r="J1336" s="177">
        <v>244</v>
      </c>
      <c r="K1336" s="177">
        <v>134</v>
      </c>
      <c r="L1336" s="253">
        <v>1000</v>
      </c>
      <c r="M1336" s="177" t="s">
        <v>153</v>
      </c>
      <c r="N1336" s="177" t="s">
        <v>149</v>
      </c>
      <c r="O1336" s="177" t="s">
        <v>154</v>
      </c>
      <c r="P1336" s="177" t="s">
        <v>151</v>
      </c>
      <c r="Q1336" s="177" t="s">
        <v>155</v>
      </c>
      <c r="R1336" s="177" t="s">
        <v>10372</v>
      </c>
      <c r="S1336" s="177"/>
      <c r="T1336" s="177" t="s">
        <v>3186</v>
      </c>
      <c r="U1336" s="177" t="s">
        <v>152</v>
      </c>
      <c r="V1336" s="177" t="s">
        <v>18</v>
      </c>
    </row>
    <row r="1337" spans="2:22">
      <c r="B1337" s="251">
        <v>46262</v>
      </c>
      <c r="C1337" s="251">
        <v>46262</v>
      </c>
      <c r="D1337" s="177" t="s">
        <v>10373</v>
      </c>
      <c r="E1337" s="177">
        <v>260103723596</v>
      </c>
      <c r="F1337" s="177" t="s">
        <v>87</v>
      </c>
      <c r="G1337" s="177" t="s">
        <v>2526</v>
      </c>
      <c r="H1337" s="177">
        <v>152</v>
      </c>
      <c r="I1337" s="177">
        <v>230</v>
      </c>
      <c r="J1337" s="177">
        <v>230</v>
      </c>
      <c r="K1337" s="177">
        <v>97</v>
      </c>
      <c r="L1337" s="253">
        <v>1575</v>
      </c>
      <c r="M1337" s="177" t="s">
        <v>153</v>
      </c>
      <c r="N1337" s="177" t="s">
        <v>149</v>
      </c>
      <c r="O1337" s="177" t="s">
        <v>154</v>
      </c>
      <c r="P1337" s="177" t="s">
        <v>151</v>
      </c>
      <c r="Q1337" s="177" t="s">
        <v>155</v>
      </c>
      <c r="R1337" s="177" t="s">
        <v>10374</v>
      </c>
      <c r="S1337" s="177"/>
      <c r="T1337" s="177" t="s">
        <v>3186</v>
      </c>
      <c r="U1337" s="177" t="s">
        <v>152</v>
      </c>
      <c r="V1337" s="177" t="s">
        <v>18</v>
      </c>
    </row>
    <row r="1338" spans="2:22">
      <c r="B1338" s="251">
        <v>46262</v>
      </c>
      <c r="C1338" s="251">
        <v>46262</v>
      </c>
      <c r="D1338" s="177" t="s">
        <v>10375</v>
      </c>
      <c r="E1338" s="177">
        <v>260107823613</v>
      </c>
      <c r="F1338" s="177" t="s">
        <v>87</v>
      </c>
      <c r="G1338" s="177" t="s">
        <v>10303</v>
      </c>
      <c r="H1338" s="177">
        <v>122</v>
      </c>
      <c r="I1338" s="177">
        <v>138</v>
      </c>
      <c r="J1338" s="177">
        <v>138</v>
      </c>
      <c r="K1338" s="177">
        <v>89</v>
      </c>
      <c r="L1338" s="253">
        <v>1295</v>
      </c>
      <c r="M1338" s="177" t="s">
        <v>153</v>
      </c>
      <c r="N1338" s="177" t="s">
        <v>149</v>
      </c>
      <c r="O1338" s="177" t="s">
        <v>154</v>
      </c>
      <c r="P1338" s="177" t="s">
        <v>151</v>
      </c>
      <c r="Q1338" s="177" t="s">
        <v>155</v>
      </c>
      <c r="R1338" s="177" t="s">
        <v>10376</v>
      </c>
      <c r="S1338" s="177"/>
      <c r="T1338" s="177" t="s">
        <v>3186</v>
      </c>
      <c r="U1338" s="177" t="s">
        <v>152</v>
      </c>
      <c r="V1338" s="177" t="s">
        <v>18</v>
      </c>
    </row>
    <row r="1339" spans="2:22">
      <c r="B1339" s="251">
        <v>46263</v>
      </c>
      <c r="C1339" s="251">
        <v>46263</v>
      </c>
      <c r="D1339" s="177" t="s">
        <v>10377</v>
      </c>
      <c r="E1339" s="177">
        <v>260105023649</v>
      </c>
      <c r="F1339" s="177" t="s">
        <v>87</v>
      </c>
      <c r="G1339" s="177" t="s">
        <v>2530</v>
      </c>
      <c r="H1339" s="177">
        <v>162</v>
      </c>
      <c r="I1339" s="177">
        <v>274</v>
      </c>
      <c r="J1339" s="177">
        <v>274</v>
      </c>
      <c r="K1339" s="177">
        <v>102</v>
      </c>
      <c r="L1339" s="253">
        <v>1730</v>
      </c>
      <c r="M1339" s="177" t="s">
        <v>153</v>
      </c>
      <c r="N1339" s="177" t="s">
        <v>149</v>
      </c>
      <c r="O1339" s="177" t="s">
        <v>154</v>
      </c>
      <c r="P1339" s="177" t="s">
        <v>151</v>
      </c>
      <c r="Q1339" s="177" t="s">
        <v>155</v>
      </c>
      <c r="R1339" s="177" t="s">
        <v>10378</v>
      </c>
      <c r="S1339" s="177"/>
      <c r="T1339" s="177" t="s">
        <v>3209</v>
      </c>
      <c r="U1339" s="177" t="s">
        <v>152</v>
      </c>
      <c r="V1339" s="177" t="s">
        <v>18</v>
      </c>
    </row>
    <row r="1340" spans="2:22">
      <c r="B1340" s="251">
        <v>46263</v>
      </c>
      <c r="C1340" s="251">
        <v>46263</v>
      </c>
      <c r="D1340" s="177" t="s">
        <v>10379</v>
      </c>
      <c r="E1340" s="177">
        <v>260105523655</v>
      </c>
      <c r="F1340" s="177" t="s">
        <v>87</v>
      </c>
      <c r="G1340" s="177" t="s">
        <v>2407</v>
      </c>
      <c r="H1340" s="177">
        <v>162</v>
      </c>
      <c r="I1340" s="177">
        <v>254</v>
      </c>
      <c r="J1340" s="177">
        <v>254</v>
      </c>
      <c r="K1340" s="177">
        <v>102</v>
      </c>
      <c r="L1340" s="253">
        <v>1600</v>
      </c>
      <c r="M1340" s="177" t="s">
        <v>153</v>
      </c>
      <c r="N1340" s="177" t="s">
        <v>149</v>
      </c>
      <c r="O1340" s="177" t="s">
        <v>154</v>
      </c>
      <c r="P1340" s="177" t="s">
        <v>151</v>
      </c>
      <c r="Q1340" s="177" t="s">
        <v>155</v>
      </c>
      <c r="R1340" s="177" t="s">
        <v>10380</v>
      </c>
      <c r="S1340" s="177"/>
      <c r="T1340" s="177" t="s">
        <v>3209</v>
      </c>
      <c r="U1340" s="177" t="s">
        <v>152</v>
      </c>
      <c r="V1340" s="177" t="s">
        <v>18</v>
      </c>
    </row>
    <row r="1341" spans="2:22">
      <c r="B1341" s="251">
        <v>46263</v>
      </c>
      <c r="C1341" s="251">
        <v>46263</v>
      </c>
      <c r="D1341" s="177" t="s">
        <v>10381</v>
      </c>
      <c r="E1341" s="177">
        <v>260102823660</v>
      </c>
      <c r="F1341" s="177" t="s">
        <v>87</v>
      </c>
      <c r="G1341" s="177" t="s">
        <v>8032</v>
      </c>
      <c r="H1341" s="177">
        <v>102</v>
      </c>
      <c r="I1341" s="177">
        <v>253</v>
      </c>
      <c r="J1341" s="177">
        <v>253</v>
      </c>
      <c r="K1341" s="177">
        <v>130</v>
      </c>
      <c r="L1341" s="253">
        <v>1000</v>
      </c>
      <c r="M1341" s="177" t="s">
        <v>153</v>
      </c>
      <c r="N1341" s="177" t="s">
        <v>149</v>
      </c>
      <c r="O1341" s="177" t="s">
        <v>154</v>
      </c>
      <c r="P1341" s="177" t="s">
        <v>151</v>
      </c>
      <c r="Q1341" s="177" t="s">
        <v>155</v>
      </c>
      <c r="R1341" s="177" t="s">
        <v>10382</v>
      </c>
      <c r="S1341" s="177"/>
      <c r="T1341" s="177" t="s">
        <v>3209</v>
      </c>
      <c r="U1341" s="177" t="s">
        <v>152</v>
      </c>
      <c r="V1341" s="177" t="s">
        <v>18</v>
      </c>
    </row>
    <row r="1342" spans="2:22">
      <c r="B1342" s="251">
        <v>46263</v>
      </c>
      <c r="C1342" s="251">
        <v>46263</v>
      </c>
      <c r="D1342" s="177" t="s">
        <v>10383</v>
      </c>
      <c r="E1342" s="177">
        <v>260101823668</v>
      </c>
      <c r="F1342" s="177" t="s">
        <v>87</v>
      </c>
      <c r="G1342" s="177" t="s">
        <v>8681</v>
      </c>
      <c r="H1342" s="177">
        <v>92</v>
      </c>
      <c r="I1342" s="177">
        <v>248</v>
      </c>
      <c r="J1342" s="177">
        <v>248</v>
      </c>
      <c r="K1342" s="177">
        <v>134</v>
      </c>
      <c r="L1342" s="253">
        <v>1000</v>
      </c>
      <c r="M1342" s="177" t="s">
        <v>153</v>
      </c>
      <c r="N1342" s="177" t="s">
        <v>149</v>
      </c>
      <c r="O1342" s="177" t="s">
        <v>154</v>
      </c>
      <c r="P1342" s="177" t="s">
        <v>151</v>
      </c>
      <c r="Q1342" s="177" t="s">
        <v>155</v>
      </c>
      <c r="R1342" s="177" t="s">
        <v>10384</v>
      </c>
      <c r="S1342" s="177"/>
      <c r="T1342" s="177" t="s">
        <v>3209</v>
      </c>
      <c r="U1342" s="177" t="s">
        <v>152</v>
      </c>
      <c r="V1342" s="177" t="s">
        <v>18</v>
      </c>
    </row>
    <row r="1343" spans="2:22">
      <c r="B1343" s="251">
        <v>46263</v>
      </c>
      <c r="C1343" s="251">
        <v>46263</v>
      </c>
      <c r="D1343" s="177" t="s">
        <v>10385</v>
      </c>
      <c r="E1343" s="177">
        <v>260105223648</v>
      </c>
      <c r="F1343" s="177" t="s">
        <v>87</v>
      </c>
      <c r="G1343" s="177" t="s">
        <v>2527</v>
      </c>
      <c r="H1343" s="177">
        <v>152</v>
      </c>
      <c r="I1343" s="177">
        <v>237</v>
      </c>
      <c r="J1343" s="177">
        <v>237</v>
      </c>
      <c r="K1343" s="177">
        <v>104</v>
      </c>
      <c r="L1343" s="253">
        <v>1540</v>
      </c>
      <c r="M1343" s="177" t="s">
        <v>153</v>
      </c>
      <c r="N1343" s="177" t="s">
        <v>149</v>
      </c>
      <c r="O1343" s="177" t="s">
        <v>154</v>
      </c>
      <c r="P1343" s="177" t="s">
        <v>151</v>
      </c>
      <c r="Q1343" s="177" t="s">
        <v>155</v>
      </c>
      <c r="R1343" s="177" t="s">
        <v>10386</v>
      </c>
      <c r="S1343" s="177"/>
      <c r="T1343" s="177" t="s">
        <v>3209</v>
      </c>
      <c r="U1343" s="177" t="s">
        <v>152</v>
      </c>
      <c r="V1343" s="177" t="s">
        <v>18</v>
      </c>
    </row>
    <row r="1344" spans="2:22">
      <c r="B1344" s="251">
        <v>46263</v>
      </c>
      <c r="C1344" s="251">
        <v>46263</v>
      </c>
      <c r="D1344" s="177" t="s">
        <v>10387</v>
      </c>
      <c r="E1344" s="177">
        <v>260101623657</v>
      </c>
      <c r="F1344" s="177" t="s">
        <v>87</v>
      </c>
      <c r="G1344" s="177" t="s">
        <v>2408</v>
      </c>
      <c r="H1344" s="177">
        <v>112</v>
      </c>
      <c r="I1344" s="177">
        <v>368</v>
      </c>
      <c r="J1344" s="177">
        <v>368</v>
      </c>
      <c r="K1344" s="177">
        <v>160</v>
      </c>
      <c r="L1344" s="253">
        <v>1050</v>
      </c>
      <c r="M1344" s="177" t="s">
        <v>153</v>
      </c>
      <c r="N1344" s="177" t="s">
        <v>149</v>
      </c>
      <c r="O1344" s="177" t="s">
        <v>154</v>
      </c>
      <c r="P1344" s="177" t="s">
        <v>151</v>
      </c>
      <c r="Q1344" s="177" t="s">
        <v>155</v>
      </c>
      <c r="R1344" s="177" t="s">
        <v>10388</v>
      </c>
      <c r="S1344" s="177"/>
      <c r="T1344" s="177" t="s">
        <v>3209</v>
      </c>
      <c r="U1344" s="177" t="s">
        <v>152</v>
      </c>
      <c r="V1344" s="177" t="s">
        <v>18</v>
      </c>
    </row>
    <row r="1345" spans="2:22">
      <c r="B1345" s="251">
        <v>46263</v>
      </c>
      <c r="C1345" s="251">
        <v>46263</v>
      </c>
      <c r="D1345" s="177" t="s">
        <v>10389</v>
      </c>
      <c r="E1345" s="177">
        <v>260102223669</v>
      </c>
      <c r="F1345" s="177" t="s">
        <v>87</v>
      </c>
      <c r="G1345" s="177" t="s">
        <v>9731</v>
      </c>
      <c r="H1345" s="177">
        <v>102</v>
      </c>
      <c r="I1345" s="177">
        <v>258</v>
      </c>
      <c r="J1345" s="177">
        <v>258</v>
      </c>
      <c r="K1345" s="177">
        <v>130</v>
      </c>
      <c r="L1345" s="253">
        <v>1000</v>
      </c>
      <c r="M1345" s="177" t="s">
        <v>153</v>
      </c>
      <c r="N1345" s="177" t="s">
        <v>149</v>
      </c>
      <c r="O1345" s="177" t="s">
        <v>154</v>
      </c>
      <c r="P1345" s="177" t="s">
        <v>151</v>
      </c>
      <c r="Q1345" s="177" t="s">
        <v>155</v>
      </c>
      <c r="R1345" s="177" t="s">
        <v>10390</v>
      </c>
      <c r="S1345" s="177"/>
      <c r="T1345" s="177" t="s">
        <v>3209</v>
      </c>
      <c r="U1345" s="177" t="s">
        <v>152</v>
      </c>
      <c r="V1345" s="177" t="s">
        <v>18</v>
      </c>
    </row>
    <row r="1346" spans="2:22">
      <c r="B1346" s="251">
        <v>46263</v>
      </c>
      <c r="C1346" s="251">
        <v>46263</v>
      </c>
      <c r="D1346" s="177" t="s">
        <v>10391</v>
      </c>
      <c r="E1346" s="177">
        <v>260101623662</v>
      </c>
      <c r="F1346" s="177" t="s">
        <v>87</v>
      </c>
      <c r="G1346" s="177" t="s">
        <v>2408</v>
      </c>
      <c r="H1346" s="177">
        <v>112</v>
      </c>
      <c r="I1346" s="177">
        <v>398</v>
      </c>
      <c r="J1346" s="177">
        <v>398</v>
      </c>
      <c r="K1346" s="177">
        <v>160</v>
      </c>
      <c r="L1346" s="253">
        <v>1130</v>
      </c>
      <c r="M1346" s="177" t="s">
        <v>153</v>
      </c>
      <c r="N1346" s="177" t="s">
        <v>149</v>
      </c>
      <c r="O1346" s="177" t="s">
        <v>154</v>
      </c>
      <c r="P1346" s="177" t="s">
        <v>151</v>
      </c>
      <c r="Q1346" s="177" t="s">
        <v>155</v>
      </c>
      <c r="R1346" s="177" t="s">
        <v>10392</v>
      </c>
      <c r="S1346" s="177"/>
      <c r="T1346" s="177" t="s">
        <v>3209</v>
      </c>
      <c r="U1346" s="177" t="s">
        <v>152</v>
      </c>
      <c r="V1346" s="177" t="s">
        <v>18</v>
      </c>
    </row>
    <row r="1347" spans="2:22">
      <c r="B1347" s="251">
        <v>46263</v>
      </c>
      <c r="C1347" s="251">
        <v>46263</v>
      </c>
      <c r="D1347" s="177" t="s">
        <v>10393</v>
      </c>
      <c r="E1347" s="177">
        <v>260102323667</v>
      </c>
      <c r="F1347" s="177" t="s">
        <v>87</v>
      </c>
      <c r="G1347" s="177" t="s">
        <v>8032</v>
      </c>
      <c r="H1347" s="177">
        <v>102</v>
      </c>
      <c r="I1347" s="177">
        <v>258</v>
      </c>
      <c r="J1347" s="177">
        <v>258</v>
      </c>
      <c r="K1347" s="177">
        <v>130</v>
      </c>
      <c r="L1347" s="253">
        <v>1030</v>
      </c>
      <c r="M1347" s="177" t="s">
        <v>153</v>
      </c>
      <c r="N1347" s="177" t="s">
        <v>149</v>
      </c>
      <c r="O1347" s="177" t="s">
        <v>154</v>
      </c>
      <c r="P1347" s="177" t="s">
        <v>151</v>
      </c>
      <c r="Q1347" s="177" t="s">
        <v>155</v>
      </c>
      <c r="R1347" s="177" t="s">
        <v>10394</v>
      </c>
      <c r="S1347" s="177"/>
      <c r="T1347" s="177" t="s">
        <v>3209</v>
      </c>
      <c r="U1347" s="177" t="s">
        <v>152</v>
      </c>
      <c r="V1347" s="177" t="s">
        <v>18</v>
      </c>
    </row>
    <row r="1348" spans="2:22">
      <c r="B1348" s="251">
        <v>46263</v>
      </c>
      <c r="C1348" s="251">
        <v>46263</v>
      </c>
      <c r="D1348" s="177" t="s">
        <v>10395</v>
      </c>
      <c r="E1348" s="177">
        <v>260102523664</v>
      </c>
      <c r="F1348" s="177" t="s">
        <v>87</v>
      </c>
      <c r="G1348" s="177" t="s">
        <v>8032</v>
      </c>
      <c r="H1348" s="177">
        <v>102</v>
      </c>
      <c r="I1348" s="177">
        <v>261</v>
      </c>
      <c r="J1348" s="177">
        <v>261</v>
      </c>
      <c r="K1348" s="177">
        <v>130</v>
      </c>
      <c r="L1348" s="253">
        <v>1000</v>
      </c>
      <c r="M1348" s="177" t="s">
        <v>153</v>
      </c>
      <c r="N1348" s="177" t="s">
        <v>149</v>
      </c>
      <c r="O1348" s="177" t="s">
        <v>154</v>
      </c>
      <c r="P1348" s="177" t="s">
        <v>151</v>
      </c>
      <c r="Q1348" s="177" t="s">
        <v>155</v>
      </c>
      <c r="R1348" s="177" t="s">
        <v>10396</v>
      </c>
      <c r="S1348" s="177"/>
      <c r="T1348" s="177" t="s">
        <v>3209</v>
      </c>
      <c r="U1348" s="177" t="s">
        <v>152</v>
      </c>
      <c r="V1348" s="177" t="s">
        <v>18</v>
      </c>
    </row>
    <row r="1349" spans="2:22">
      <c r="B1349" s="251">
        <v>46263</v>
      </c>
      <c r="C1349" s="251">
        <v>46263</v>
      </c>
      <c r="D1349" s="177" t="s">
        <v>10397</v>
      </c>
      <c r="E1349" s="177">
        <v>260100723692</v>
      </c>
      <c r="F1349" s="177" t="s">
        <v>87</v>
      </c>
      <c r="G1349" s="177" t="s">
        <v>2079</v>
      </c>
      <c r="H1349" s="177">
        <v>122</v>
      </c>
      <c r="I1349" s="177">
        <v>329</v>
      </c>
      <c r="J1349" s="177">
        <v>329</v>
      </c>
      <c r="K1349" s="177">
        <v>180</v>
      </c>
      <c r="L1349" s="177">
        <v>750</v>
      </c>
      <c r="M1349" s="177" t="s">
        <v>153</v>
      </c>
      <c r="N1349" s="177" t="s">
        <v>149</v>
      </c>
      <c r="O1349" s="177" t="s">
        <v>154</v>
      </c>
      <c r="P1349" s="177" t="s">
        <v>151</v>
      </c>
      <c r="Q1349" s="177" t="s">
        <v>155</v>
      </c>
      <c r="R1349" s="177" t="s">
        <v>10398</v>
      </c>
      <c r="S1349" s="177"/>
      <c r="T1349" s="177" t="s">
        <v>3209</v>
      </c>
      <c r="U1349" s="177" t="s">
        <v>152</v>
      </c>
      <c r="V1349" s="177" t="s">
        <v>18</v>
      </c>
    </row>
    <row r="1350" spans="2:22">
      <c r="B1350" s="251">
        <v>46263</v>
      </c>
      <c r="C1350" s="251">
        <v>46263</v>
      </c>
      <c r="D1350" s="177" t="s">
        <v>10399</v>
      </c>
      <c r="E1350" s="177">
        <v>260102823642</v>
      </c>
      <c r="F1350" s="177" t="s">
        <v>87</v>
      </c>
      <c r="G1350" s="177" t="s">
        <v>8032</v>
      </c>
      <c r="H1350" s="177">
        <v>102</v>
      </c>
      <c r="I1350" s="177">
        <v>273</v>
      </c>
      <c r="J1350" s="177">
        <v>273</v>
      </c>
      <c r="K1350" s="177">
        <v>130</v>
      </c>
      <c r="L1350" s="253">
        <v>1060</v>
      </c>
      <c r="M1350" s="177" t="s">
        <v>153</v>
      </c>
      <c r="N1350" s="177" t="s">
        <v>149</v>
      </c>
      <c r="O1350" s="177" t="s">
        <v>154</v>
      </c>
      <c r="P1350" s="177" t="s">
        <v>151</v>
      </c>
      <c r="Q1350" s="177" t="s">
        <v>155</v>
      </c>
      <c r="R1350" s="177" t="s">
        <v>10400</v>
      </c>
      <c r="S1350" s="177"/>
      <c r="T1350" s="177" t="s">
        <v>3209</v>
      </c>
      <c r="U1350" s="177" t="s">
        <v>152</v>
      </c>
      <c r="V1350" s="177" t="s">
        <v>18</v>
      </c>
    </row>
    <row r="1351" spans="2:22">
      <c r="B1351" s="251">
        <v>46263</v>
      </c>
      <c r="C1351" s="251">
        <v>46263</v>
      </c>
      <c r="D1351" s="177" t="s">
        <v>10401</v>
      </c>
      <c r="E1351" s="177">
        <v>260102523643</v>
      </c>
      <c r="F1351" s="177" t="s">
        <v>87</v>
      </c>
      <c r="G1351" s="177" t="s">
        <v>8032</v>
      </c>
      <c r="H1351" s="177">
        <v>102</v>
      </c>
      <c r="I1351" s="177">
        <v>265</v>
      </c>
      <c r="J1351" s="177">
        <v>265</v>
      </c>
      <c r="K1351" s="177">
        <v>130</v>
      </c>
      <c r="L1351" s="253">
        <v>1000</v>
      </c>
      <c r="M1351" s="177" t="s">
        <v>153</v>
      </c>
      <c r="N1351" s="177" t="s">
        <v>149</v>
      </c>
      <c r="O1351" s="177" t="s">
        <v>154</v>
      </c>
      <c r="P1351" s="177" t="s">
        <v>151</v>
      </c>
      <c r="Q1351" s="177" t="s">
        <v>155</v>
      </c>
      <c r="R1351" s="177" t="s">
        <v>10402</v>
      </c>
      <c r="S1351" s="177"/>
      <c r="T1351" s="177" t="s">
        <v>3209</v>
      </c>
      <c r="U1351" s="177" t="s">
        <v>152</v>
      </c>
      <c r="V1351" s="177" t="s">
        <v>18</v>
      </c>
    </row>
    <row r="1352" spans="2:22">
      <c r="B1352" s="251">
        <v>46263</v>
      </c>
      <c r="C1352" s="251">
        <v>46263</v>
      </c>
      <c r="D1352" s="177" t="s">
        <v>10403</v>
      </c>
      <c r="E1352" s="177">
        <v>260100923658</v>
      </c>
      <c r="F1352" s="177" t="s">
        <v>87</v>
      </c>
      <c r="G1352" s="177" t="s">
        <v>2079</v>
      </c>
      <c r="H1352" s="177">
        <v>92</v>
      </c>
      <c r="I1352" s="177">
        <v>350</v>
      </c>
      <c r="J1352" s="177">
        <v>350</v>
      </c>
      <c r="K1352" s="177">
        <v>180</v>
      </c>
      <c r="L1352" s="253">
        <v>1100</v>
      </c>
      <c r="M1352" s="177" t="s">
        <v>153</v>
      </c>
      <c r="N1352" s="177" t="s">
        <v>149</v>
      </c>
      <c r="O1352" s="177" t="s">
        <v>154</v>
      </c>
      <c r="P1352" s="177" t="s">
        <v>151</v>
      </c>
      <c r="Q1352" s="177" t="s">
        <v>155</v>
      </c>
      <c r="R1352" s="177" t="s">
        <v>10404</v>
      </c>
      <c r="S1352" s="177"/>
      <c r="T1352" s="177" t="s">
        <v>3209</v>
      </c>
      <c r="U1352" s="177" t="s">
        <v>152</v>
      </c>
      <c r="V1352" s="177" t="s">
        <v>18</v>
      </c>
    </row>
    <row r="1353" spans="2:22">
      <c r="B1353" s="251">
        <v>46263</v>
      </c>
      <c r="C1353" s="251">
        <v>46263</v>
      </c>
      <c r="D1353" s="177" t="s">
        <v>10405</v>
      </c>
      <c r="E1353" s="177">
        <v>260102623663</v>
      </c>
      <c r="F1353" s="177" t="s">
        <v>87</v>
      </c>
      <c r="G1353" s="177" t="s">
        <v>8032</v>
      </c>
      <c r="H1353" s="177">
        <v>102</v>
      </c>
      <c r="I1353" s="177">
        <v>259</v>
      </c>
      <c r="J1353" s="177">
        <v>259</v>
      </c>
      <c r="K1353" s="177">
        <v>130</v>
      </c>
      <c r="L1353" s="253">
        <v>1000</v>
      </c>
      <c r="M1353" s="177" t="s">
        <v>153</v>
      </c>
      <c r="N1353" s="177" t="s">
        <v>149</v>
      </c>
      <c r="O1353" s="177" t="s">
        <v>154</v>
      </c>
      <c r="P1353" s="177" t="s">
        <v>151</v>
      </c>
      <c r="Q1353" s="177" t="s">
        <v>155</v>
      </c>
      <c r="R1353" s="177" t="s">
        <v>10406</v>
      </c>
      <c r="S1353" s="177"/>
      <c r="T1353" s="177" t="s">
        <v>3209</v>
      </c>
      <c r="U1353" s="177" t="s">
        <v>152</v>
      </c>
      <c r="V1353" s="177" t="s">
        <v>18</v>
      </c>
    </row>
    <row r="1354" spans="2:22">
      <c r="B1354" s="251">
        <v>46263</v>
      </c>
      <c r="C1354" s="251">
        <v>46263</v>
      </c>
      <c r="D1354" s="177" t="s">
        <v>10407</v>
      </c>
      <c r="E1354" s="177">
        <v>260102023671</v>
      </c>
      <c r="F1354" s="177" t="s">
        <v>87</v>
      </c>
      <c r="G1354" s="177" t="s">
        <v>8681</v>
      </c>
      <c r="H1354" s="177">
        <v>92</v>
      </c>
      <c r="I1354" s="177">
        <v>244</v>
      </c>
      <c r="J1354" s="177">
        <v>244</v>
      </c>
      <c r="K1354" s="177">
        <v>134</v>
      </c>
      <c r="L1354" s="253">
        <v>1000</v>
      </c>
      <c r="M1354" s="177" t="s">
        <v>153</v>
      </c>
      <c r="N1354" s="177" t="s">
        <v>149</v>
      </c>
      <c r="O1354" s="177" t="s">
        <v>154</v>
      </c>
      <c r="P1354" s="177" t="s">
        <v>151</v>
      </c>
      <c r="Q1354" s="177" t="s">
        <v>155</v>
      </c>
      <c r="R1354" s="177" t="s">
        <v>10408</v>
      </c>
      <c r="S1354" s="177"/>
      <c r="T1354" s="177" t="s">
        <v>3209</v>
      </c>
      <c r="U1354" s="177" t="s">
        <v>152</v>
      </c>
      <c r="V1354" s="177" t="s">
        <v>18</v>
      </c>
    </row>
    <row r="1355" spans="2:22">
      <c r="B1355" s="251">
        <v>46263</v>
      </c>
      <c r="C1355" s="251">
        <v>46263</v>
      </c>
      <c r="D1355" s="177" t="s">
        <v>10409</v>
      </c>
      <c r="E1355" s="177">
        <v>260107523690</v>
      </c>
      <c r="F1355" s="177" t="s">
        <v>87</v>
      </c>
      <c r="G1355" s="177" t="s">
        <v>2415</v>
      </c>
      <c r="H1355" s="177">
        <v>140</v>
      </c>
      <c r="I1355" s="177">
        <v>236</v>
      </c>
      <c r="J1355" s="177">
        <v>236</v>
      </c>
      <c r="K1355" s="177">
        <v>88</v>
      </c>
      <c r="L1355" s="253">
        <v>1960</v>
      </c>
      <c r="M1355" s="177" t="s">
        <v>153</v>
      </c>
      <c r="N1355" s="177" t="s">
        <v>149</v>
      </c>
      <c r="O1355" s="177" t="s">
        <v>154</v>
      </c>
      <c r="P1355" s="177" t="s">
        <v>151</v>
      </c>
      <c r="Q1355" s="177" t="s">
        <v>155</v>
      </c>
      <c r="R1355" s="177" t="s">
        <v>10410</v>
      </c>
      <c r="S1355" s="177"/>
      <c r="T1355" s="177" t="s">
        <v>3209</v>
      </c>
      <c r="U1355" s="177" t="s">
        <v>152</v>
      </c>
      <c r="V1355" s="177" t="s">
        <v>18</v>
      </c>
    </row>
    <row r="1356" spans="2:22">
      <c r="B1356" s="251">
        <v>46263</v>
      </c>
      <c r="C1356" s="251">
        <v>46263</v>
      </c>
      <c r="D1356" s="177" t="s">
        <v>10411</v>
      </c>
      <c r="E1356" s="177">
        <v>260105423688</v>
      </c>
      <c r="F1356" s="177" t="s">
        <v>87</v>
      </c>
      <c r="G1356" s="177" t="s">
        <v>2364</v>
      </c>
      <c r="H1356" s="177">
        <v>142</v>
      </c>
      <c r="I1356" s="177">
        <v>182</v>
      </c>
      <c r="J1356" s="177">
        <v>182</v>
      </c>
      <c r="K1356" s="177">
        <v>67</v>
      </c>
      <c r="L1356" s="253">
        <v>1960</v>
      </c>
      <c r="M1356" s="177" t="s">
        <v>153</v>
      </c>
      <c r="N1356" s="177" t="s">
        <v>149</v>
      </c>
      <c r="O1356" s="177" t="s">
        <v>154</v>
      </c>
      <c r="P1356" s="177" t="s">
        <v>151</v>
      </c>
      <c r="Q1356" s="177" t="s">
        <v>155</v>
      </c>
      <c r="R1356" s="177" t="s">
        <v>10412</v>
      </c>
      <c r="S1356" s="177"/>
      <c r="T1356" s="177" t="s">
        <v>3209</v>
      </c>
      <c r="U1356" s="177" t="s">
        <v>152</v>
      </c>
      <c r="V1356" s="177" t="s">
        <v>18</v>
      </c>
    </row>
    <row r="1357" spans="2:22">
      <c r="B1357" s="251">
        <v>46263</v>
      </c>
      <c r="C1357" s="251">
        <v>46263</v>
      </c>
      <c r="D1357" s="177" t="s">
        <v>10413</v>
      </c>
      <c r="E1357" s="177">
        <v>260105823646</v>
      </c>
      <c r="F1357" s="177" t="s">
        <v>87</v>
      </c>
      <c r="G1357" s="177" t="s">
        <v>824</v>
      </c>
      <c r="H1357" s="177">
        <v>152</v>
      </c>
      <c r="I1357" s="177">
        <v>270</v>
      </c>
      <c r="J1357" s="177">
        <v>270</v>
      </c>
      <c r="K1357" s="177">
        <v>104</v>
      </c>
      <c r="L1357" s="253">
        <v>1740</v>
      </c>
      <c r="M1357" s="177" t="s">
        <v>153</v>
      </c>
      <c r="N1357" s="177" t="s">
        <v>149</v>
      </c>
      <c r="O1357" s="177" t="s">
        <v>154</v>
      </c>
      <c r="P1357" s="177" t="s">
        <v>151</v>
      </c>
      <c r="Q1357" s="177" t="s">
        <v>155</v>
      </c>
      <c r="R1357" s="177" t="s">
        <v>10414</v>
      </c>
      <c r="S1357" s="177"/>
      <c r="T1357" s="177" t="s">
        <v>3209</v>
      </c>
      <c r="U1357" s="177" t="s">
        <v>152</v>
      </c>
      <c r="V1357" s="177" t="s">
        <v>18</v>
      </c>
    </row>
    <row r="1358" spans="2:22">
      <c r="B1358" s="251">
        <v>46263</v>
      </c>
      <c r="C1358" s="251">
        <v>46263</v>
      </c>
      <c r="D1358" s="177" t="s">
        <v>10415</v>
      </c>
      <c r="E1358" s="177">
        <v>260101923670</v>
      </c>
      <c r="F1358" s="177" t="s">
        <v>87</v>
      </c>
      <c r="G1358" s="177" t="s">
        <v>8681</v>
      </c>
      <c r="H1358" s="177">
        <v>92</v>
      </c>
      <c r="I1358" s="177">
        <v>243</v>
      </c>
      <c r="J1358" s="177">
        <v>243</v>
      </c>
      <c r="K1358" s="177">
        <v>134</v>
      </c>
      <c r="L1358" s="253">
        <v>1000</v>
      </c>
      <c r="M1358" s="177" t="s">
        <v>153</v>
      </c>
      <c r="N1358" s="177" t="s">
        <v>149</v>
      </c>
      <c r="O1358" s="177" t="s">
        <v>154</v>
      </c>
      <c r="P1358" s="177" t="s">
        <v>151</v>
      </c>
      <c r="Q1358" s="177" t="s">
        <v>155</v>
      </c>
      <c r="R1358" s="177" t="s">
        <v>10416</v>
      </c>
      <c r="S1358" s="177"/>
      <c r="T1358" s="177" t="s">
        <v>3209</v>
      </c>
      <c r="U1358" s="177" t="s">
        <v>152</v>
      </c>
      <c r="V1358" s="177" t="s">
        <v>18</v>
      </c>
    </row>
    <row r="1359" spans="2:22">
      <c r="B1359" s="251">
        <v>46263</v>
      </c>
      <c r="C1359" s="251">
        <v>46263</v>
      </c>
      <c r="D1359" s="177" t="s">
        <v>10417</v>
      </c>
      <c r="E1359" s="177">
        <v>260103423677</v>
      </c>
      <c r="F1359" s="177" t="s">
        <v>87</v>
      </c>
      <c r="G1359" s="177" t="s">
        <v>824</v>
      </c>
      <c r="H1359" s="177">
        <v>182</v>
      </c>
      <c r="I1359" s="177">
        <v>320</v>
      </c>
      <c r="J1359" s="177">
        <v>320</v>
      </c>
      <c r="K1359" s="177">
        <v>104</v>
      </c>
      <c r="L1359" s="253">
        <v>1730</v>
      </c>
      <c r="M1359" s="177" t="s">
        <v>153</v>
      </c>
      <c r="N1359" s="177" t="s">
        <v>149</v>
      </c>
      <c r="O1359" s="177" t="s">
        <v>154</v>
      </c>
      <c r="P1359" s="177" t="s">
        <v>151</v>
      </c>
      <c r="Q1359" s="177" t="s">
        <v>155</v>
      </c>
      <c r="R1359" s="177" t="s">
        <v>10418</v>
      </c>
      <c r="S1359" s="177"/>
      <c r="T1359" s="177" t="s">
        <v>3209</v>
      </c>
      <c r="U1359" s="177" t="s">
        <v>152</v>
      </c>
      <c r="V1359" s="177" t="s">
        <v>18</v>
      </c>
    </row>
    <row r="1360" spans="2:22">
      <c r="B1360" s="251">
        <v>46263</v>
      </c>
      <c r="C1360" s="251">
        <v>46263</v>
      </c>
      <c r="D1360" s="177" t="s">
        <v>10419</v>
      </c>
      <c r="E1360" s="177">
        <v>260103623680</v>
      </c>
      <c r="F1360" s="177" t="s">
        <v>87</v>
      </c>
      <c r="G1360" s="177" t="s">
        <v>2304</v>
      </c>
      <c r="H1360" s="177">
        <v>152</v>
      </c>
      <c r="I1360" s="177">
        <v>292</v>
      </c>
      <c r="J1360" s="177">
        <v>292</v>
      </c>
      <c r="K1360" s="177">
        <v>97</v>
      </c>
      <c r="L1360" s="253">
        <v>2125</v>
      </c>
      <c r="M1360" s="177" t="s">
        <v>153</v>
      </c>
      <c r="N1360" s="177" t="s">
        <v>149</v>
      </c>
      <c r="O1360" s="177" t="s">
        <v>154</v>
      </c>
      <c r="P1360" s="177" t="s">
        <v>151</v>
      </c>
      <c r="Q1360" s="177" t="s">
        <v>155</v>
      </c>
      <c r="R1360" s="177" t="s">
        <v>10420</v>
      </c>
      <c r="S1360" s="177"/>
      <c r="T1360" s="177" t="s">
        <v>3209</v>
      </c>
      <c r="U1360" s="177" t="s">
        <v>152</v>
      </c>
      <c r="V1360" s="177" t="s">
        <v>18</v>
      </c>
    </row>
    <row r="1361" spans="2:22">
      <c r="B1361" s="251">
        <v>46263</v>
      </c>
      <c r="C1361" s="251">
        <v>46263</v>
      </c>
      <c r="D1361" s="177" t="s">
        <v>10421</v>
      </c>
      <c r="E1361" s="177">
        <v>260106923691</v>
      </c>
      <c r="F1361" s="177" t="s">
        <v>87</v>
      </c>
      <c r="G1361" s="177" t="s">
        <v>7928</v>
      </c>
      <c r="H1361" s="177">
        <v>135</v>
      </c>
      <c r="I1361" s="177">
        <v>264</v>
      </c>
      <c r="J1361" s="177">
        <v>264</v>
      </c>
      <c r="K1361" s="177">
        <v>107</v>
      </c>
      <c r="L1361" s="253">
        <v>1860</v>
      </c>
      <c r="M1361" s="177" t="s">
        <v>153</v>
      </c>
      <c r="N1361" s="177" t="s">
        <v>149</v>
      </c>
      <c r="O1361" s="177" t="s">
        <v>154</v>
      </c>
      <c r="P1361" s="177" t="s">
        <v>151</v>
      </c>
      <c r="Q1361" s="177" t="s">
        <v>155</v>
      </c>
      <c r="R1361" s="177" t="s">
        <v>10422</v>
      </c>
      <c r="S1361" s="177"/>
      <c r="T1361" s="177" t="s">
        <v>3209</v>
      </c>
      <c r="U1361" s="177" t="s">
        <v>152</v>
      </c>
      <c r="V1361" s="177" t="s">
        <v>18</v>
      </c>
    </row>
    <row r="1362" spans="2:22">
      <c r="B1362" s="251">
        <v>46263</v>
      </c>
      <c r="C1362" s="251">
        <v>46263</v>
      </c>
      <c r="D1362" s="177" t="s">
        <v>10423</v>
      </c>
      <c r="E1362" s="177">
        <v>260103023672</v>
      </c>
      <c r="F1362" s="177" t="s">
        <v>87</v>
      </c>
      <c r="G1362" s="177" t="s">
        <v>10014</v>
      </c>
      <c r="H1362" s="177">
        <v>102</v>
      </c>
      <c r="I1362" s="177">
        <v>389</v>
      </c>
      <c r="J1362" s="177">
        <v>389</v>
      </c>
      <c r="K1362" s="177">
        <v>130</v>
      </c>
      <c r="L1362" s="253">
        <v>1500</v>
      </c>
      <c r="M1362" s="177" t="s">
        <v>153</v>
      </c>
      <c r="N1362" s="177" t="s">
        <v>149</v>
      </c>
      <c r="O1362" s="177" t="s">
        <v>154</v>
      </c>
      <c r="P1362" s="177" t="s">
        <v>151</v>
      </c>
      <c r="Q1362" s="177" t="s">
        <v>155</v>
      </c>
      <c r="R1362" s="177" t="s">
        <v>10424</v>
      </c>
      <c r="S1362" s="177"/>
      <c r="T1362" s="177" t="s">
        <v>3209</v>
      </c>
      <c r="U1362" s="177" t="s">
        <v>152</v>
      </c>
      <c r="V1362" s="177" t="s">
        <v>18</v>
      </c>
    </row>
    <row r="1363" spans="2:22">
      <c r="B1363" s="251">
        <v>46263</v>
      </c>
      <c r="C1363" s="251">
        <v>46263</v>
      </c>
      <c r="D1363" s="177" t="s">
        <v>10425</v>
      </c>
      <c r="E1363" s="177">
        <v>260101523659</v>
      </c>
      <c r="F1363" s="177" t="s">
        <v>87</v>
      </c>
      <c r="G1363" s="177" t="s">
        <v>2408</v>
      </c>
      <c r="H1363" s="177">
        <v>112</v>
      </c>
      <c r="I1363" s="177">
        <v>409</v>
      </c>
      <c r="J1363" s="177">
        <v>409</v>
      </c>
      <c r="K1363" s="177">
        <v>160</v>
      </c>
      <c r="L1363" s="253">
        <v>1155</v>
      </c>
      <c r="M1363" s="177" t="s">
        <v>153</v>
      </c>
      <c r="N1363" s="177" t="s">
        <v>149</v>
      </c>
      <c r="O1363" s="177" t="s">
        <v>154</v>
      </c>
      <c r="P1363" s="177" t="s">
        <v>151</v>
      </c>
      <c r="Q1363" s="177" t="s">
        <v>155</v>
      </c>
      <c r="R1363" s="177" t="s">
        <v>10426</v>
      </c>
      <c r="S1363" s="177"/>
      <c r="T1363" s="177" t="s">
        <v>3209</v>
      </c>
      <c r="U1363" s="177" t="s">
        <v>152</v>
      </c>
      <c r="V1363" s="177" t="s">
        <v>18</v>
      </c>
    </row>
    <row r="1364" spans="2:22">
      <c r="B1364" s="251">
        <v>46263</v>
      </c>
      <c r="C1364" s="251">
        <v>46263</v>
      </c>
      <c r="D1364" s="177" t="s">
        <v>10427</v>
      </c>
      <c r="E1364" s="177">
        <v>260101723665</v>
      </c>
      <c r="F1364" s="177" t="s">
        <v>87</v>
      </c>
      <c r="G1364" s="177" t="s">
        <v>8681</v>
      </c>
      <c r="H1364" s="177">
        <v>92</v>
      </c>
      <c r="I1364" s="177">
        <v>202</v>
      </c>
      <c r="J1364" s="177">
        <v>202</v>
      </c>
      <c r="K1364" s="177">
        <v>134</v>
      </c>
      <c r="L1364" s="253">
        <v>810</v>
      </c>
      <c r="M1364" s="177" t="s">
        <v>153</v>
      </c>
      <c r="N1364" s="177" t="s">
        <v>149</v>
      </c>
      <c r="O1364" s="177" t="s">
        <v>154</v>
      </c>
      <c r="P1364" s="177" t="s">
        <v>151</v>
      </c>
      <c r="Q1364" s="177" t="s">
        <v>155</v>
      </c>
      <c r="R1364" s="177" t="s">
        <v>10428</v>
      </c>
      <c r="S1364" s="177"/>
      <c r="T1364" s="177" t="s">
        <v>3209</v>
      </c>
      <c r="U1364" s="177" t="s">
        <v>152</v>
      </c>
      <c r="V1364" s="177" t="s">
        <v>18</v>
      </c>
    </row>
    <row r="1365" spans="2:22">
      <c r="B1365" s="251">
        <v>46263</v>
      </c>
      <c r="C1365" s="251">
        <v>46263</v>
      </c>
      <c r="D1365" s="177" t="s">
        <v>10429</v>
      </c>
      <c r="E1365" s="177">
        <v>260102423666</v>
      </c>
      <c r="F1365" s="177" t="s">
        <v>87</v>
      </c>
      <c r="G1365" s="177" t="s">
        <v>8032</v>
      </c>
      <c r="H1365" s="177">
        <v>102</v>
      </c>
      <c r="I1365" s="177">
        <v>229</v>
      </c>
      <c r="J1365" s="177">
        <v>229</v>
      </c>
      <c r="K1365" s="177">
        <v>130</v>
      </c>
      <c r="L1365" s="177">
        <v>870</v>
      </c>
      <c r="M1365" s="177" t="s">
        <v>153</v>
      </c>
      <c r="N1365" s="177" t="s">
        <v>149</v>
      </c>
      <c r="O1365" s="177" t="s">
        <v>154</v>
      </c>
      <c r="P1365" s="177" t="s">
        <v>151</v>
      </c>
      <c r="Q1365" s="177" t="s">
        <v>155</v>
      </c>
      <c r="R1365" s="177" t="s">
        <v>10430</v>
      </c>
      <c r="S1365" s="177"/>
      <c r="T1365" s="177" t="s">
        <v>3209</v>
      </c>
      <c r="U1365" s="177" t="s">
        <v>152</v>
      </c>
      <c r="V1365" s="177" t="s">
        <v>18</v>
      </c>
    </row>
    <row r="1366" spans="2:22">
      <c r="B1366" s="251">
        <v>46263</v>
      </c>
      <c r="C1366" s="251">
        <v>46263</v>
      </c>
      <c r="D1366" s="177" t="s">
        <v>10431</v>
      </c>
      <c r="E1366" s="177">
        <v>260102723641</v>
      </c>
      <c r="F1366" s="177" t="s">
        <v>87</v>
      </c>
      <c r="G1366" s="177" t="s">
        <v>8032</v>
      </c>
      <c r="H1366" s="177">
        <v>102</v>
      </c>
      <c r="I1366" s="177">
        <v>258</v>
      </c>
      <c r="J1366" s="177">
        <v>258</v>
      </c>
      <c r="K1366" s="177">
        <v>130</v>
      </c>
      <c r="L1366" s="253">
        <v>1000</v>
      </c>
      <c r="M1366" s="177" t="s">
        <v>153</v>
      </c>
      <c r="N1366" s="177" t="s">
        <v>149</v>
      </c>
      <c r="O1366" s="177" t="s">
        <v>154</v>
      </c>
      <c r="P1366" s="177" t="s">
        <v>151</v>
      </c>
      <c r="Q1366" s="177" t="s">
        <v>155</v>
      </c>
      <c r="R1366" s="177" t="s">
        <v>10432</v>
      </c>
      <c r="S1366" s="177"/>
      <c r="T1366" s="177" t="s">
        <v>3209</v>
      </c>
      <c r="U1366" s="177" t="s">
        <v>152</v>
      </c>
      <c r="V1366" s="177" t="s">
        <v>18</v>
      </c>
    </row>
    <row r="1367" spans="2:22">
      <c r="B1367" s="251">
        <v>46263</v>
      </c>
      <c r="C1367" s="251">
        <v>46263</v>
      </c>
      <c r="D1367" s="177" t="s">
        <v>10433</v>
      </c>
      <c r="E1367" s="177">
        <v>260107323654</v>
      </c>
      <c r="F1367" s="177" t="s">
        <v>87</v>
      </c>
      <c r="G1367" s="177" t="s">
        <v>2530</v>
      </c>
      <c r="H1367" s="177">
        <v>162</v>
      </c>
      <c r="I1367" s="177">
        <v>320</v>
      </c>
      <c r="J1367" s="177">
        <v>320</v>
      </c>
      <c r="K1367" s="177">
        <v>102</v>
      </c>
      <c r="L1367" s="253">
        <v>2050</v>
      </c>
      <c r="M1367" s="177" t="s">
        <v>153</v>
      </c>
      <c r="N1367" s="177" t="s">
        <v>149</v>
      </c>
      <c r="O1367" s="177" t="s">
        <v>154</v>
      </c>
      <c r="P1367" s="177" t="s">
        <v>151</v>
      </c>
      <c r="Q1367" s="177" t="s">
        <v>155</v>
      </c>
      <c r="R1367" s="177" t="s">
        <v>10434</v>
      </c>
      <c r="S1367" s="177"/>
      <c r="T1367" s="177" t="s">
        <v>3209</v>
      </c>
      <c r="U1367" s="177" t="s">
        <v>152</v>
      </c>
      <c r="V1367" s="177" t="s">
        <v>18</v>
      </c>
    </row>
    <row r="1368" spans="2:22">
      <c r="B1368" s="251">
        <v>46263</v>
      </c>
      <c r="C1368" s="251">
        <v>46263</v>
      </c>
      <c r="D1368" s="177" t="s">
        <v>10435</v>
      </c>
      <c r="E1368" s="177">
        <v>260102723661</v>
      </c>
      <c r="F1368" s="177" t="s">
        <v>87</v>
      </c>
      <c r="G1368" s="177" t="s">
        <v>8032</v>
      </c>
      <c r="H1368" s="177">
        <v>102</v>
      </c>
      <c r="I1368" s="177">
        <v>256</v>
      </c>
      <c r="J1368" s="177">
        <v>256</v>
      </c>
      <c r="K1368" s="177">
        <v>130</v>
      </c>
      <c r="L1368" s="253">
        <v>1000</v>
      </c>
      <c r="M1368" s="177" t="s">
        <v>153</v>
      </c>
      <c r="N1368" s="177" t="s">
        <v>149</v>
      </c>
      <c r="O1368" s="177" t="s">
        <v>154</v>
      </c>
      <c r="P1368" s="177" t="s">
        <v>151</v>
      </c>
      <c r="Q1368" s="177" t="s">
        <v>155</v>
      </c>
      <c r="R1368" s="177" t="s">
        <v>10436</v>
      </c>
      <c r="S1368" s="177"/>
      <c r="T1368" s="177" t="s">
        <v>3209</v>
      </c>
      <c r="U1368" s="177" t="s">
        <v>152</v>
      </c>
      <c r="V1368" s="177" t="s">
        <v>18</v>
      </c>
    </row>
    <row r="1369" spans="2:22">
      <c r="B1369" s="251">
        <v>46263</v>
      </c>
      <c r="C1369" s="251">
        <v>46263</v>
      </c>
      <c r="D1369" s="177" t="s">
        <v>10437</v>
      </c>
      <c r="E1369" s="177">
        <v>260103423678</v>
      </c>
      <c r="F1369" s="177" t="s">
        <v>87</v>
      </c>
      <c r="G1369" s="177" t="s">
        <v>824</v>
      </c>
      <c r="H1369" s="177">
        <v>182</v>
      </c>
      <c r="I1369" s="177">
        <v>317</v>
      </c>
      <c r="J1369" s="177">
        <v>317</v>
      </c>
      <c r="K1369" s="177">
        <v>104</v>
      </c>
      <c r="L1369" s="253">
        <v>1730</v>
      </c>
      <c r="M1369" s="177" t="s">
        <v>153</v>
      </c>
      <c r="N1369" s="177" t="s">
        <v>149</v>
      </c>
      <c r="O1369" s="177" t="s">
        <v>154</v>
      </c>
      <c r="P1369" s="177" t="s">
        <v>151</v>
      </c>
      <c r="Q1369" s="177" t="s">
        <v>155</v>
      </c>
      <c r="R1369" s="177" t="s">
        <v>10438</v>
      </c>
      <c r="S1369" s="177"/>
      <c r="T1369" s="177" t="s">
        <v>3209</v>
      </c>
      <c r="U1369" s="177" t="s">
        <v>152</v>
      </c>
      <c r="V1369" s="177" t="s">
        <v>18</v>
      </c>
    </row>
    <row r="1370" spans="2:22">
      <c r="B1370" s="251">
        <v>46263</v>
      </c>
      <c r="C1370" s="251">
        <v>46263</v>
      </c>
      <c r="D1370" s="177" t="s">
        <v>10439</v>
      </c>
      <c r="E1370" s="177">
        <v>260103623679</v>
      </c>
      <c r="F1370" s="177" t="s">
        <v>87</v>
      </c>
      <c r="G1370" s="177" t="s">
        <v>2304</v>
      </c>
      <c r="H1370" s="177">
        <v>152</v>
      </c>
      <c r="I1370" s="177">
        <v>297</v>
      </c>
      <c r="J1370" s="177">
        <v>297</v>
      </c>
      <c r="K1370" s="177">
        <v>97</v>
      </c>
      <c r="L1370" s="253">
        <v>2125</v>
      </c>
      <c r="M1370" s="177" t="s">
        <v>153</v>
      </c>
      <c r="N1370" s="177" t="s">
        <v>149</v>
      </c>
      <c r="O1370" s="177" t="s">
        <v>154</v>
      </c>
      <c r="P1370" s="177" t="s">
        <v>151</v>
      </c>
      <c r="Q1370" s="177" t="s">
        <v>155</v>
      </c>
      <c r="R1370" s="177" t="s">
        <v>10440</v>
      </c>
      <c r="S1370" s="177"/>
      <c r="T1370" s="177" t="s">
        <v>3209</v>
      </c>
      <c r="U1370" s="177" t="s">
        <v>152</v>
      </c>
      <c r="V1370" s="177" t="s">
        <v>18</v>
      </c>
    </row>
    <row r="1371" spans="2:22">
      <c r="B1371" s="251">
        <v>46263</v>
      </c>
      <c r="C1371" s="251">
        <v>46263</v>
      </c>
      <c r="D1371" s="177" t="s">
        <v>10441</v>
      </c>
      <c r="E1371" s="177">
        <v>260106123683</v>
      </c>
      <c r="F1371" s="177" t="s">
        <v>87</v>
      </c>
      <c r="G1371" s="177" t="s">
        <v>2415</v>
      </c>
      <c r="H1371" s="177">
        <v>140</v>
      </c>
      <c r="I1371" s="177">
        <v>236</v>
      </c>
      <c r="J1371" s="177">
        <v>236</v>
      </c>
      <c r="K1371" s="177">
        <v>88</v>
      </c>
      <c r="L1371" s="253">
        <v>1950</v>
      </c>
      <c r="M1371" s="177" t="s">
        <v>153</v>
      </c>
      <c r="N1371" s="177" t="s">
        <v>149</v>
      </c>
      <c r="O1371" s="177" t="s">
        <v>154</v>
      </c>
      <c r="P1371" s="177" t="s">
        <v>151</v>
      </c>
      <c r="Q1371" s="177" t="s">
        <v>155</v>
      </c>
      <c r="R1371" s="177" t="s">
        <v>10442</v>
      </c>
      <c r="S1371" s="177"/>
      <c r="T1371" s="177" t="s">
        <v>3209</v>
      </c>
      <c r="U1371" s="177" t="s">
        <v>152</v>
      </c>
      <c r="V1371" s="177" t="s">
        <v>18</v>
      </c>
    </row>
    <row r="1372" spans="2:22">
      <c r="B1372" s="251">
        <v>46263</v>
      </c>
      <c r="C1372" s="251">
        <v>46263</v>
      </c>
      <c r="D1372" s="177" t="s">
        <v>10443</v>
      </c>
      <c r="E1372" s="177" t="s">
        <v>10444</v>
      </c>
      <c r="F1372" s="177" t="s">
        <v>87</v>
      </c>
      <c r="G1372" s="177" t="s">
        <v>10445</v>
      </c>
      <c r="H1372" s="177" t="s">
        <v>2196</v>
      </c>
      <c r="I1372" s="177">
        <v>111</v>
      </c>
      <c r="J1372" s="177">
        <v>111</v>
      </c>
      <c r="K1372" s="177">
        <v>55</v>
      </c>
      <c r="L1372" s="253">
        <v>2923</v>
      </c>
      <c r="M1372" s="177" t="s">
        <v>153</v>
      </c>
      <c r="N1372" s="177" t="s">
        <v>149</v>
      </c>
      <c r="O1372" s="177" t="s">
        <v>154</v>
      </c>
      <c r="P1372" s="177" t="s">
        <v>151</v>
      </c>
      <c r="Q1372" s="177" t="s">
        <v>156</v>
      </c>
      <c r="R1372" s="177" t="s">
        <v>10446</v>
      </c>
      <c r="S1372" s="177"/>
      <c r="T1372" s="177" t="s">
        <v>3209</v>
      </c>
      <c r="U1372" s="177" t="s">
        <v>152</v>
      </c>
      <c r="V1372" s="177" t="s">
        <v>20</v>
      </c>
    </row>
    <row r="1373" spans="2:22">
      <c r="B1373" s="251">
        <v>46263</v>
      </c>
      <c r="C1373" s="251">
        <v>46263</v>
      </c>
      <c r="D1373" s="177" t="s">
        <v>10447</v>
      </c>
      <c r="E1373" s="177" t="s">
        <v>10444</v>
      </c>
      <c r="F1373" s="177" t="s">
        <v>87</v>
      </c>
      <c r="G1373" s="177" t="s">
        <v>10445</v>
      </c>
      <c r="H1373" s="177" t="s">
        <v>2196</v>
      </c>
      <c r="I1373" s="177">
        <v>110</v>
      </c>
      <c r="J1373" s="177">
        <v>110</v>
      </c>
      <c r="K1373" s="177">
        <v>55</v>
      </c>
      <c r="L1373" s="253">
        <v>2923</v>
      </c>
      <c r="M1373" s="177" t="s">
        <v>153</v>
      </c>
      <c r="N1373" s="177" t="s">
        <v>149</v>
      </c>
      <c r="O1373" s="177" t="s">
        <v>154</v>
      </c>
      <c r="P1373" s="177" t="s">
        <v>151</v>
      </c>
      <c r="Q1373" s="177" t="s">
        <v>156</v>
      </c>
      <c r="R1373" s="177" t="s">
        <v>10448</v>
      </c>
      <c r="S1373" s="177"/>
      <c r="T1373" s="177" t="s">
        <v>3209</v>
      </c>
      <c r="U1373" s="177" t="s">
        <v>152</v>
      </c>
      <c r="V1373" s="177" t="s">
        <v>20</v>
      </c>
    </row>
    <row r="1374" spans="2:22">
      <c r="B1374" s="251">
        <v>46263</v>
      </c>
      <c r="C1374" s="251">
        <v>46263</v>
      </c>
      <c r="D1374" s="177" t="s">
        <v>10449</v>
      </c>
      <c r="E1374" s="177" t="s">
        <v>10450</v>
      </c>
      <c r="F1374" s="177" t="s">
        <v>87</v>
      </c>
      <c r="G1374" s="177" t="s">
        <v>10445</v>
      </c>
      <c r="H1374" s="177" t="s">
        <v>2196</v>
      </c>
      <c r="I1374" s="177">
        <v>173</v>
      </c>
      <c r="J1374" s="177">
        <v>173</v>
      </c>
      <c r="K1374" s="177">
        <v>55</v>
      </c>
      <c r="L1374" s="253">
        <v>4545</v>
      </c>
      <c r="M1374" s="177" t="s">
        <v>153</v>
      </c>
      <c r="N1374" s="177" t="s">
        <v>149</v>
      </c>
      <c r="O1374" s="177" t="s">
        <v>154</v>
      </c>
      <c r="P1374" s="177" t="s">
        <v>151</v>
      </c>
      <c r="Q1374" s="177" t="s">
        <v>156</v>
      </c>
      <c r="R1374" s="177" t="s">
        <v>10451</v>
      </c>
      <c r="S1374" s="177"/>
      <c r="T1374" s="177" t="s">
        <v>3209</v>
      </c>
      <c r="U1374" s="177" t="s">
        <v>152</v>
      </c>
      <c r="V1374" s="177" t="s">
        <v>20</v>
      </c>
    </row>
    <row r="1375" spans="2:22">
      <c r="B1375" s="251">
        <v>46263</v>
      </c>
      <c r="C1375" s="251">
        <v>46263</v>
      </c>
      <c r="D1375" s="177" t="s">
        <v>10452</v>
      </c>
      <c r="E1375" s="177" t="s">
        <v>10450</v>
      </c>
      <c r="F1375" s="177" t="s">
        <v>87</v>
      </c>
      <c r="G1375" s="177" t="s">
        <v>10445</v>
      </c>
      <c r="H1375" s="177" t="s">
        <v>2196</v>
      </c>
      <c r="I1375" s="177">
        <v>172</v>
      </c>
      <c r="J1375" s="177">
        <v>172</v>
      </c>
      <c r="K1375" s="177">
        <v>55</v>
      </c>
      <c r="L1375" s="253">
        <v>4545</v>
      </c>
      <c r="M1375" s="177" t="s">
        <v>153</v>
      </c>
      <c r="N1375" s="177" t="s">
        <v>149</v>
      </c>
      <c r="O1375" s="177" t="s">
        <v>154</v>
      </c>
      <c r="P1375" s="177" t="s">
        <v>151</v>
      </c>
      <c r="Q1375" s="177" t="s">
        <v>156</v>
      </c>
      <c r="R1375" s="177" t="s">
        <v>10453</v>
      </c>
      <c r="S1375" s="177"/>
      <c r="T1375" s="177" t="s">
        <v>3209</v>
      </c>
      <c r="U1375" s="177" t="s">
        <v>152</v>
      </c>
      <c r="V1375" s="177" t="s">
        <v>20</v>
      </c>
    </row>
    <row r="1376" spans="2:22">
      <c r="B1376" s="251">
        <v>46263</v>
      </c>
      <c r="C1376" s="251">
        <v>46263</v>
      </c>
      <c r="D1376" s="177" t="s">
        <v>10454</v>
      </c>
      <c r="E1376" s="177">
        <v>260103023320</v>
      </c>
      <c r="F1376" s="177" t="s">
        <v>87</v>
      </c>
      <c r="G1376" s="177" t="s">
        <v>10455</v>
      </c>
      <c r="H1376" s="177" t="s">
        <v>627</v>
      </c>
      <c r="I1376" s="177">
        <v>15</v>
      </c>
      <c r="J1376" s="177">
        <v>15</v>
      </c>
      <c r="K1376" s="177">
        <v>30</v>
      </c>
      <c r="L1376" s="177">
        <v>467</v>
      </c>
      <c r="M1376" s="177" t="s">
        <v>153</v>
      </c>
      <c r="N1376" s="177" t="s">
        <v>149</v>
      </c>
      <c r="O1376" s="177" t="s">
        <v>154</v>
      </c>
      <c r="P1376" s="177" t="s">
        <v>151</v>
      </c>
      <c r="Q1376" s="177" t="s">
        <v>156</v>
      </c>
      <c r="R1376" s="177" t="s">
        <v>10456</v>
      </c>
      <c r="S1376" s="177"/>
      <c r="T1376" s="177" t="s">
        <v>3209</v>
      </c>
      <c r="U1376" s="177" t="s">
        <v>152</v>
      </c>
      <c r="V1376" s="177" t="s">
        <v>20</v>
      </c>
    </row>
    <row r="1377" spans="2:22">
      <c r="B1377" s="251">
        <v>46263</v>
      </c>
      <c r="C1377" s="251">
        <v>46263</v>
      </c>
      <c r="D1377" s="177" t="s">
        <v>10457</v>
      </c>
      <c r="E1377" s="177">
        <v>260107123650</v>
      </c>
      <c r="F1377" s="177" t="s">
        <v>87</v>
      </c>
      <c r="G1377" s="177" t="s">
        <v>8692</v>
      </c>
      <c r="H1377" s="177">
        <v>140</v>
      </c>
      <c r="I1377" s="177">
        <v>214</v>
      </c>
      <c r="J1377" s="177">
        <v>214</v>
      </c>
      <c r="K1377" s="177">
        <v>88</v>
      </c>
      <c r="L1377" s="253">
        <v>1800</v>
      </c>
      <c r="M1377" s="177" t="s">
        <v>153</v>
      </c>
      <c r="N1377" s="177" t="s">
        <v>149</v>
      </c>
      <c r="O1377" s="177" t="s">
        <v>154</v>
      </c>
      <c r="P1377" s="177" t="s">
        <v>151</v>
      </c>
      <c r="Q1377" s="177" t="s">
        <v>155</v>
      </c>
      <c r="R1377" s="177" t="s">
        <v>10458</v>
      </c>
      <c r="S1377" s="177"/>
      <c r="T1377" s="177" t="s">
        <v>3211</v>
      </c>
      <c r="U1377" s="177" t="s">
        <v>152</v>
      </c>
      <c r="V1377" s="177" t="s">
        <v>18</v>
      </c>
    </row>
    <row r="1378" spans="2:22">
      <c r="B1378" s="251">
        <v>46263</v>
      </c>
      <c r="C1378" s="251">
        <v>46263</v>
      </c>
      <c r="D1378" s="177" t="s">
        <v>10459</v>
      </c>
      <c r="E1378" s="177">
        <v>260105623686</v>
      </c>
      <c r="F1378" s="177" t="s">
        <v>87</v>
      </c>
      <c r="G1378" s="177" t="s">
        <v>2361</v>
      </c>
      <c r="H1378" s="177">
        <v>172</v>
      </c>
      <c r="I1378" s="177">
        <v>229</v>
      </c>
      <c r="J1378" s="177">
        <v>229</v>
      </c>
      <c r="K1378" s="177">
        <v>98</v>
      </c>
      <c r="L1378" s="253">
        <v>1430</v>
      </c>
      <c r="M1378" s="177" t="s">
        <v>153</v>
      </c>
      <c r="N1378" s="177" t="s">
        <v>149</v>
      </c>
      <c r="O1378" s="177" t="s">
        <v>154</v>
      </c>
      <c r="P1378" s="177" t="s">
        <v>151</v>
      </c>
      <c r="Q1378" s="177" t="s">
        <v>155</v>
      </c>
      <c r="R1378" s="177" t="s">
        <v>10460</v>
      </c>
      <c r="S1378" s="177"/>
      <c r="T1378" s="177" t="s">
        <v>3211</v>
      </c>
      <c r="U1378" s="177" t="s">
        <v>152</v>
      </c>
      <c r="V1378" s="177" t="s">
        <v>18</v>
      </c>
    </row>
    <row r="1379" spans="2:22">
      <c r="B1379" s="251">
        <v>46263</v>
      </c>
      <c r="C1379" s="251">
        <v>46263</v>
      </c>
      <c r="D1379" s="177" t="s">
        <v>10461</v>
      </c>
      <c r="E1379" s="177" t="s">
        <v>10462</v>
      </c>
      <c r="F1379" s="177" t="s">
        <v>87</v>
      </c>
      <c r="G1379" s="177" t="s">
        <v>9157</v>
      </c>
      <c r="H1379" s="177" t="s">
        <v>2416</v>
      </c>
      <c r="I1379" s="177">
        <v>191</v>
      </c>
      <c r="J1379" s="177">
        <v>191</v>
      </c>
      <c r="K1379" s="177">
        <v>78</v>
      </c>
      <c r="L1379" s="253">
        <v>2393</v>
      </c>
      <c r="M1379" s="177" t="s">
        <v>153</v>
      </c>
      <c r="N1379" s="177" t="s">
        <v>149</v>
      </c>
      <c r="O1379" s="177" t="s">
        <v>154</v>
      </c>
      <c r="P1379" s="177" t="s">
        <v>151</v>
      </c>
      <c r="Q1379" s="177" t="s">
        <v>156</v>
      </c>
      <c r="R1379" s="177" t="s">
        <v>10463</v>
      </c>
      <c r="S1379" s="177"/>
      <c r="T1379" s="177" t="s">
        <v>3213</v>
      </c>
      <c r="U1379" s="177" t="s">
        <v>152</v>
      </c>
      <c r="V1379" s="177" t="s">
        <v>20</v>
      </c>
    </row>
    <row r="1380" spans="2:22">
      <c r="B1380" s="251">
        <v>46263</v>
      </c>
      <c r="C1380" s="251">
        <v>46263</v>
      </c>
      <c r="D1380" s="177" t="s">
        <v>10464</v>
      </c>
      <c r="E1380" s="177" t="s">
        <v>10465</v>
      </c>
      <c r="F1380" s="177" t="s">
        <v>87</v>
      </c>
      <c r="G1380" s="177" t="s">
        <v>10466</v>
      </c>
      <c r="H1380" s="177" t="s">
        <v>10467</v>
      </c>
      <c r="I1380" s="177">
        <v>355</v>
      </c>
      <c r="J1380" s="177">
        <v>355</v>
      </c>
      <c r="K1380" s="177">
        <v>95</v>
      </c>
      <c r="L1380" s="253">
        <v>4320</v>
      </c>
      <c r="M1380" s="177" t="s">
        <v>153</v>
      </c>
      <c r="N1380" s="177" t="s">
        <v>149</v>
      </c>
      <c r="O1380" s="177" t="s">
        <v>154</v>
      </c>
      <c r="P1380" s="177" t="s">
        <v>151</v>
      </c>
      <c r="Q1380" s="177" t="s">
        <v>156</v>
      </c>
      <c r="R1380" s="177" t="s">
        <v>10468</v>
      </c>
      <c r="S1380" s="177"/>
      <c r="T1380" s="177" t="s">
        <v>3213</v>
      </c>
      <c r="U1380" s="177" t="s">
        <v>152</v>
      </c>
      <c r="V1380" s="177" t="s">
        <v>20</v>
      </c>
    </row>
    <row r="1381" spans="2:22">
      <c r="B1381" s="251">
        <v>46263</v>
      </c>
      <c r="C1381" s="251">
        <v>46263</v>
      </c>
      <c r="D1381" s="177" t="s">
        <v>10469</v>
      </c>
      <c r="E1381" s="177" t="s">
        <v>10470</v>
      </c>
      <c r="F1381" s="177" t="s">
        <v>94</v>
      </c>
      <c r="G1381" s="177" t="s">
        <v>2340</v>
      </c>
      <c r="H1381" s="177">
        <v>102</v>
      </c>
      <c r="I1381" s="177">
        <v>261.8</v>
      </c>
      <c r="J1381" s="177">
        <v>261.8</v>
      </c>
      <c r="K1381" s="177">
        <v>130</v>
      </c>
      <c r="L1381" s="253">
        <v>1000</v>
      </c>
      <c r="M1381" s="177" t="s">
        <v>153</v>
      </c>
      <c r="N1381" s="177" t="s">
        <v>149</v>
      </c>
      <c r="O1381" s="177" t="s">
        <v>154</v>
      </c>
      <c r="P1381" s="177" t="s">
        <v>151</v>
      </c>
      <c r="Q1381" s="177" t="s">
        <v>155</v>
      </c>
      <c r="R1381" s="177" t="s">
        <v>10470</v>
      </c>
      <c r="S1381" s="177"/>
      <c r="T1381" s="177" t="s">
        <v>10471</v>
      </c>
      <c r="U1381" s="177" t="s">
        <v>152</v>
      </c>
      <c r="V1381" s="177" t="s">
        <v>18</v>
      </c>
    </row>
    <row r="1382" spans="2:22">
      <c r="B1382" s="251">
        <v>46263</v>
      </c>
      <c r="C1382" s="251">
        <v>46263</v>
      </c>
      <c r="D1382" s="177" t="s">
        <v>10472</v>
      </c>
      <c r="E1382" s="177" t="s">
        <v>10473</v>
      </c>
      <c r="F1382" s="177" t="s">
        <v>94</v>
      </c>
      <c r="G1382" s="177" t="s">
        <v>2340</v>
      </c>
      <c r="H1382" s="177">
        <v>102</v>
      </c>
      <c r="I1382" s="177">
        <v>263</v>
      </c>
      <c r="J1382" s="177">
        <v>263</v>
      </c>
      <c r="K1382" s="177">
        <v>130</v>
      </c>
      <c r="L1382" s="253">
        <v>1000</v>
      </c>
      <c r="M1382" s="177" t="s">
        <v>153</v>
      </c>
      <c r="N1382" s="177" t="s">
        <v>149</v>
      </c>
      <c r="O1382" s="177" t="s">
        <v>154</v>
      </c>
      <c r="P1382" s="177" t="s">
        <v>151</v>
      </c>
      <c r="Q1382" s="177" t="s">
        <v>155</v>
      </c>
      <c r="R1382" s="177" t="s">
        <v>10473</v>
      </c>
      <c r="S1382" s="177"/>
      <c r="T1382" s="177" t="s">
        <v>10471</v>
      </c>
      <c r="U1382" s="177" t="s">
        <v>152</v>
      </c>
      <c r="V1382" s="177" t="s">
        <v>18</v>
      </c>
    </row>
    <row r="1383" spans="2:22">
      <c r="B1383" s="251">
        <v>46263</v>
      </c>
      <c r="C1383" s="251">
        <v>46263</v>
      </c>
      <c r="D1383" s="177" t="s">
        <v>10474</v>
      </c>
      <c r="E1383" s="177" t="s">
        <v>10475</v>
      </c>
      <c r="F1383" s="177" t="s">
        <v>94</v>
      </c>
      <c r="G1383" s="177" t="s">
        <v>2340</v>
      </c>
      <c r="H1383" s="177">
        <v>102</v>
      </c>
      <c r="I1383" s="177">
        <v>263.5</v>
      </c>
      <c r="J1383" s="177">
        <v>263.5</v>
      </c>
      <c r="K1383" s="177">
        <v>130</v>
      </c>
      <c r="L1383" s="253">
        <v>1010</v>
      </c>
      <c r="M1383" s="177" t="s">
        <v>153</v>
      </c>
      <c r="N1383" s="177" t="s">
        <v>149</v>
      </c>
      <c r="O1383" s="177" t="s">
        <v>154</v>
      </c>
      <c r="P1383" s="177" t="s">
        <v>151</v>
      </c>
      <c r="Q1383" s="177" t="s">
        <v>155</v>
      </c>
      <c r="R1383" s="177" t="s">
        <v>10475</v>
      </c>
      <c r="S1383" s="177"/>
      <c r="T1383" s="177" t="s">
        <v>10471</v>
      </c>
      <c r="U1383" s="177" t="s">
        <v>152</v>
      </c>
      <c r="V1383" s="177" t="s">
        <v>18</v>
      </c>
    </row>
    <row r="1384" spans="2:22">
      <c r="B1384" s="251">
        <v>46263</v>
      </c>
      <c r="C1384" s="251">
        <v>46263</v>
      </c>
      <c r="D1384" s="177" t="s">
        <v>10476</v>
      </c>
      <c r="E1384" s="177" t="s">
        <v>10477</v>
      </c>
      <c r="F1384" s="177" t="s">
        <v>94</v>
      </c>
      <c r="G1384" s="177" t="s">
        <v>7761</v>
      </c>
      <c r="H1384" s="177" t="s">
        <v>2529</v>
      </c>
      <c r="I1384" s="177">
        <v>241</v>
      </c>
      <c r="J1384" s="177">
        <v>241</v>
      </c>
      <c r="K1384" s="177">
        <v>79</v>
      </c>
      <c r="L1384" s="253">
        <v>4500</v>
      </c>
      <c r="M1384" s="177" t="s">
        <v>153</v>
      </c>
      <c r="N1384" s="177" t="s">
        <v>149</v>
      </c>
      <c r="O1384" s="177" t="s">
        <v>154</v>
      </c>
      <c r="P1384" s="177" t="s">
        <v>151</v>
      </c>
      <c r="Q1384" s="177" t="s">
        <v>156</v>
      </c>
      <c r="R1384" s="177" t="s">
        <v>10478</v>
      </c>
      <c r="S1384" s="177"/>
      <c r="T1384" s="177" t="s">
        <v>10479</v>
      </c>
      <c r="U1384" s="177" t="s">
        <v>152</v>
      </c>
      <c r="V1384" s="177" t="s">
        <v>20</v>
      </c>
    </row>
    <row r="1385" spans="2:22">
      <c r="B1385" s="251">
        <v>46264</v>
      </c>
      <c r="C1385" s="251">
        <v>46264</v>
      </c>
      <c r="D1385" s="177" t="s">
        <v>10480</v>
      </c>
      <c r="E1385" s="177">
        <v>260103823717</v>
      </c>
      <c r="F1385" s="177" t="s">
        <v>87</v>
      </c>
      <c r="G1385" s="177" t="s">
        <v>824</v>
      </c>
      <c r="H1385" s="177">
        <v>152</v>
      </c>
      <c r="I1385" s="177">
        <v>355</v>
      </c>
      <c r="J1385" s="177">
        <v>355</v>
      </c>
      <c r="K1385" s="177">
        <v>104</v>
      </c>
      <c r="L1385" s="253">
        <v>2345</v>
      </c>
      <c r="M1385" s="177" t="s">
        <v>153</v>
      </c>
      <c r="N1385" s="177" t="s">
        <v>149</v>
      </c>
      <c r="O1385" s="177" t="s">
        <v>154</v>
      </c>
      <c r="P1385" s="177" t="s">
        <v>151</v>
      </c>
      <c r="Q1385" s="177" t="s">
        <v>155</v>
      </c>
      <c r="R1385" s="177" t="s">
        <v>10481</v>
      </c>
      <c r="S1385" s="177"/>
      <c r="T1385" s="177" t="s">
        <v>3230</v>
      </c>
      <c r="U1385" s="177" t="s">
        <v>152</v>
      </c>
      <c r="V1385" s="177" t="s">
        <v>18</v>
      </c>
    </row>
    <row r="1386" spans="2:22">
      <c r="B1386" s="251">
        <v>46264</v>
      </c>
      <c r="C1386" s="251">
        <v>46264</v>
      </c>
      <c r="D1386" s="177" t="s">
        <v>10482</v>
      </c>
      <c r="E1386" s="177">
        <v>260105423739</v>
      </c>
      <c r="F1386" s="177" t="s">
        <v>87</v>
      </c>
      <c r="G1386" s="177" t="s">
        <v>2364</v>
      </c>
      <c r="H1386" s="177">
        <v>142</v>
      </c>
      <c r="I1386" s="177">
        <v>220</v>
      </c>
      <c r="J1386" s="177">
        <v>220</v>
      </c>
      <c r="K1386" s="177">
        <v>67</v>
      </c>
      <c r="L1386" s="253">
        <v>2340</v>
      </c>
      <c r="M1386" s="177" t="s">
        <v>153</v>
      </c>
      <c r="N1386" s="177" t="s">
        <v>149</v>
      </c>
      <c r="O1386" s="177" t="s">
        <v>154</v>
      </c>
      <c r="P1386" s="177" t="s">
        <v>151</v>
      </c>
      <c r="Q1386" s="177" t="s">
        <v>155</v>
      </c>
      <c r="R1386" s="177" t="s">
        <v>10483</v>
      </c>
      <c r="S1386" s="177"/>
      <c r="T1386" s="177" t="s">
        <v>3230</v>
      </c>
      <c r="U1386" s="177" t="s">
        <v>152</v>
      </c>
      <c r="V1386" s="177" t="s">
        <v>18</v>
      </c>
    </row>
    <row r="1387" spans="2:22">
      <c r="B1387" s="251">
        <v>46264</v>
      </c>
      <c r="C1387" s="251">
        <v>46264</v>
      </c>
      <c r="D1387" s="177" t="s">
        <v>10484</v>
      </c>
      <c r="E1387" s="177">
        <v>260101723742</v>
      </c>
      <c r="F1387" s="177" t="s">
        <v>87</v>
      </c>
      <c r="G1387" s="177" t="s">
        <v>10485</v>
      </c>
      <c r="H1387" s="177">
        <v>105</v>
      </c>
      <c r="I1387" s="177">
        <v>286</v>
      </c>
      <c r="J1387" s="177">
        <v>286</v>
      </c>
      <c r="K1387" s="177">
        <v>134</v>
      </c>
      <c r="L1387" s="253">
        <v>1000</v>
      </c>
      <c r="M1387" s="177" t="s">
        <v>153</v>
      </c>
      <c r="N1387" s="177" t="s">
        <v>149</v>
      </c>
      <c r="O1387" s="177" t="s">
        <v>154</v>
      </c>
      <c r="P1387" s="177" t="s">
        <v>151</v>
      </c>
      <c r="Q1387" s="177" t="s">
        <v>155</v>
      </c>
      <c r="R1387" s="177" t="s">
        <v>10486</v>
      </c>
      <c r="S1387" s="177"/>
      <c r="T1387" s="177" t="s">
        <v>3230</v>
      </c>
      <c r="U1387" s="177" t="s">
        <v>152</v>
      </c>
      <c r="V1387" s="177" t="s">
        <v>18</v>
      </c>
    </row>
    <row r="1388" spans="2:22">
      <c r="B1388" s="251">
        <v>46264</v>
      </c>
      <c r="C1388" s="251">
        <v>46264</v>
      </c>
      <c r="D1388" s="177" t="s">
        <v>10487</v>
      </c>
      <c r="E1388" s="177">
        <v>260101923747</v>
      </c>
      <c r="F1388" s="177" t="s">
        <v>87</v>
      </c>
      <c r="G1388" s="177" t="s">
        <v>8681</v>
      </c>
      <c r="H1388" s="177">
        <v>92</v>
      </c>
      <c r="I1388" s="177">
        <v>239</v>
      </c>
      <c r="J1388" s="177">
        <v>239</v>
      </c>
      <c r="K1388" s="177">
        <v>134</v>
      </c>
      <c r="L1388" s="253">
        <v>1000</v>
      </c>
      <c r="M1388" s="177" t="s">
        <v>153</v>
      </c>
      <c r="N1388" s="177" t="s">
        <v>149</v>
      </c>
      <c r="O1388" s="177" t="s">
        <v>154</v>
      </c>
      <c r="P1388" s="177" t="s">
        <v>151</v>
      </c>
      <c r="Q1388" s="177" t="s">
        <v>155</v>
      </c>
      <c r="R1388" s="177" t="s">
        <v>10488</v>
      </c>
      <c r="S1388" s="177"/>
      <c r="T1388" s="177" t="s">
        <v>3230</v>
      </c>
      <c r="U1388" s="177" t="s">
        <v>152</v>
      </c>
      <c r="V1388" s="177" t="s">
        <v>18</v>
      </c>
    </row>
    <row r="1389" spans="2:22">
      <c r="B1389" s="251">
        <v>46264</v>
      </c>
      <c r="C1389" s="251">
        <v>46264</v>
      </c>
      <c r="D1389" s="177" t="s">
        <v>10489</v>
      </c>
      <c r="E1389" s="177">
        <v>260102623751</v>
      </c>
      <c r="F1389" s="177" t="s">
        <v>87</v>
      </c>
      <c r="G1389" s="177" t="s">
        <v>8032</v>
      </c>
      <c r="H1389" s="177">
        <v>102</v>
      </c>
      <c r="I1389" s="177">
        <v>262</v>
      </c>
      <c r="J1389" s="177">
        <v>262</v>
      </c>
      <c r="K1389" s="177">
        <v>130</v>
      </c>
      <c r="L1389" s="253">
        <v>1000</v>
      </c>
      <c r="M1389" s="177" t="s">
        <v>153</v>
      </c>
      <c r="N1389" s="177" t="s">
        <v>149</v>
      </c>
      <c r="O1389" s="177" t="s">
        <v>154</v>
      </c>
      <c r="P1389" s="177" t="s">
        <v>151</v>
      </c>
      <c r="Q1389" s="177" t="s">
        <v>155</v>
      </c>
      <c r="R1389" s="177" t="s">
        <v>10490</v>
      </c>
      <c r="S1389" s="177"/>
      <c r="T1389" s="177" t="s">
        <v>3230</v>
      </c>
      <c r="U1389" s="177" t="s">
        <v>152</v>
      </c>
      <c r="V1389" s="177" t="s">
        <v>18</v>
      </c>
    </row>
    <row r="1390" spans="2:22">
      <c r="B1390" s="251">
        <v>46264</v>
      </c>
      <c r="C1390" s="251">
        <v>46264</v>
      </c>
      <c r="D1390" s="177" t="s">
        <v>10491</v>
      </c>
      <c r="E1390" s="177">
        <v>260101423752</v>
      </c>
      <c r="F1390" s="177" t="s">
        <v>87</v>
      </c>
      <c r="G1390" s="177" t="s">
        <v>824</v>
      </c>
      <c r="H1390" s="177">
        <v>152</v>
      </c>
      <c r="I1390" s="177">
        <v>234</v>
      </c>
      <c r="J1390" s="177">
        <v>234</v>
      </c>
      <c r="K1390" s="177">
        <v>104</v>
      </c>
      <c r="L1390" s="253">
        <v>1540</v>
      </c>
      <c r="M1390" s="177" t="s">
        <v>153</v>
      </c>
      <c r="N1390" s="177" t="s">
        <v>149</v>
      </c>
      <c r="O1390" s="177" t="s">
        <v>154</v>
      </c>
      <c r="P1390" s="177" t="s">
        <v>151</v>
      </c>
      <c r="Q1390" s="177" t="s">
        <v>155</v>
      </c>
      <c r="R1390" s="177" t="s">
        <v>10492</v>
      </c>
      <c r="S1390" s="177"/>
      <c r="T1390" s="177" t="s">
        <v>3230</v>
      </c>
      <c r="U1390" s="177" t="s">
        <v>152</v>
      </c>
      <c r="V1390" s="177" t="s">
        <v>18</v>
      </c>
    </row>
    <row r="1391" spans="2:22">
      <c r="B1391" s="251">
        <v>46264</v>
      </c>
      <c r="C1391" s="251">
        <v>46264</v>
      </c>
      <c r="D1391" s="177" t="s">
        <v>10493</v>
      </c>
      <c r="E1391" s="177">
        <v>260101423699</v>
      </c>
      <c r="F1391" s="177" t="s">
        <v>87</v>
      </c>
      <c r="G1391" s="177" t="s">
        <v>824</v>
      </c>
      <c r="H1391" s="177">
        <v>152</v>
      </c>
      <c r="I1391" s="177">
        <v>244</v>
      </c>
      <c r="J1391" s="177">
        <v>244</v>
      </c>
      <c r="K1391" s="177">
        <v>104</v>
      </c>
      <c r="L1391" s="253">
        <v>1610</v>
      </c>
      <c r="M1391" s="177" t="s">
        <v>153</v>
      </c>
      <c r="N1391" s="177" t="s">
        <v>149</v>
      </c>
      <c r="O1391" s="177" t="s">
        <v>154</v>
      </c>
      <c r="P1391" s="177" t="s">
        <v>151</v>
      </c>
      <c r="Q1391" s="177" t="s">
        <v>155</v>
      </c>
      <c r="R1391" s="177" t="s">
        <v>10494</v>
      </c>
      <c r="S1391" s="177"/>
      <c r="T1391" s="177" t="s">
        <v>3230</v>
      </c>
      <c r="U1391" s="177" t="s">
        <v>152</v>
      </c>
      <c r="V1391" s="177" t="s">
        <v>18</v>
      </c>
    </row>
    <row r="1392" spans="2:22">
      <c r="B1392" s="251">
        <v>46264</v>
      </c>
      <c r="C1392" s="251">
        <v>46264</v>
      </c>
      <c r="D1392" s="177" t="s">
        <v>10495</v>
      </c>
      <c r="E1392" s="177">
        <v>260102423711</v>
      </c>
      <c r="F1392" s="177" t="s">
        <v>87</v>
      </c>
      <c r="G1392" s="177" t="s">
        <v>8032</v>
      </c>
      <c r="H1392" s="177">
        <v>102</v>
      </c>
      <c r="I1392" s="177">
        <v>259</v>
      </c>
      <c r="J1392" s="177">
        <v>259</v>
      </c>
      <c r="K1392" s="177">
        <v>130</v>
      </c>
      <c r="L1392" s="253">
        <v>1000</v>
      </c>
      <c r="M1392" s="177" t="s">
        <v>153</v>
      </c>
      <c r="N1392" s="177" t="s">
        <v>149</v>
      </c>
      <c r="O1392" s="177" t="s">
        <v>154</v>
      </c>
      <c r="P1392" s="177" t="s">
        <v>151</v>
      </c>
      <c r="Q1392" s="177" t="s">
        <v>155</v>
      </c>
      <c r="R1392" s="177" t="s">
        <v>10496</v>
      </c>
      <c r="S1392" s="177"/>
      <c r="T1392" s="177" t="s">
        <v>3230</v>
      </c>
      <c r="U1392" s="177" t="s">
        <v>152</v>
      </c>
      <c r="V1392" s="177" t="s">
        <v>18</v>
      </c>
    </row>
    <row r="1393" spans="2:22">
      <c r="B1393" s="251">
        <v>46264</v>
      </c>
      <c r="C1393" s="251">
        <v>46264</v>
      </c>
      <c r="D1393" s="177" t="s">
        <v>10497</v>
      </c>
      <c r="E1393" s="177">
        <v>260100723757</v>
      </c>
      <c r="F1393" s="177" t="s">
        <v>87</v>
      </c>
      <c r="G1393" s="177" t="s">
        <v>2079</v>
      </c>
      <c r="H1393" s="177">
        <v>122</v>
      </c>
      <c r="I1393" s="177">
        <v>337</v>
      </c>
      <c r="J1393" s="177">
        <v>337</v>
      </c>
      <c r="K1393" s="177">
        <v>180</v>
      </c>
      <c r="L1393" s="177">
        <v>750</v>
      </c>
      <c r="M1393" s="177" t="s">
        <v>153</v>
      </c>
      <c r="N1393" s="177" t="s">
        <v>149</v>
      </c>
      <c r="O1393" s="177" t="s">
        <v>154</v>
      </c>
      <c r="P1393" s="177" t="s">
        <v>151</v>
      </c>
      <c r="Q1393" s="177" t="s">
        <v>155</v>
      </c>
      <c r="R1393" s="177" t="s">
        <v>10498</v>
      </c>
      <c r="S1393" s="177"/>
      <c r="T1393" s="177" t="s">
        <v>3230</v>
      </c>
      <c r="U1393" s="177" t="s">
        <v>152</v>
      </c>
      <c r="V1393" s="177" t="s">
        <v>18</v>
      </c>
    </row>
    <row r="1394" spans="2:22">
      <c r="B1394" s="251">
        <v>46264</v>
      </c>
      <c r="C1394" s="251">
        <v>46264</v>
      </c>
      <c r="D1394" s="177" t="s">
        <v>10499</v>
      </c>
      <c r="E1394" s="177">
        <v>260106923581</v>
      </c>
      <c r="F1394" s="177" t="s">
        <v>87</v>
      </c>
      <c r="G1394" s="177" t="s">
        <v>7928</v>
      </c>
      <c r="H1394" s="177">
        <v>135</v>
      </c>
      <c r="I1394" s="392">
        <v>392</v>
      </c>
      <c r="J1394" s="379">
        <v>392</v>
      </c>
      <c r="K1394" s="177">
        <v>107</v>
      </c>
      <c r="L1394" s="253">
        <v>2800</v>
      </c>
      <c r="M1394" s="177" t="s">
        <v>153</v>
      </c>
      <c r="N1394" s="177" t="s">
        <v>149</v>
      </c>
      <c r="O1394" s="177" t="s">
        <v>154</v>
      </c>
      <c r="P1394" s="177" t="s">
        <v>151</v>
      </c>
      <c r="Q1394" s="177" t="s">
        <v>155</v>
      </c>
      <c r="R1394" s="177" t="s">
        <v>10500</v>
      </c>
      <c r="S1394" s="177"/>
      <c r="T1394" s="177" t="s">
        <v>3230</v>
      </c>
      <c r="U1394" s="177" t="s">
        <v>152</v>
      </c>
      <c r="V1394" s="177" t="s">
        <v>18</v>
      </c>
    </row>
    <row r="1395" spans="2:22">
      <c r="B1395" s="251">
        <v>46264</v>
      </c>
      <c r="C1395" s="251">
        <v>46264</v>
      </c>
      <c r="D1395" s="177" t="s">
        <v>10501</v>
      </c>
      <c r="E1395" s="177">
        <v>260101423700</v>
      </c>
      <c r="F1395" s="177" t="s">
        <v>87</v>
      </c>
      <c r="G1395" s="177" t="s">
        <v>824</v>
      </c>
      <c r="H1395" s="177">
        <v>152</v>
      </c>
      <c r="I1395" s="177">
        <v>245</v>
      </c>
      <c r="J1395" s="177">
        <v>245</v>
      </c>
      <c r="K1395" s="177">
        <v>104</v>
      </c>
      <c r="L1395" s="253">
        <v>1610</v>
      </c>
      <c r="M1395" s="177" t="s">
        <v>153</v>
      </c>
      <c r="N1395" s="177" t="s">
        <v>149</v>
      </c>
      <c r="O1395" s="177" t="s">
        <v>154</v>
      </c>
      <c r="P1395" s="177" t="s">
        <v>151</v>
      </c>
      <c r="Q1395" s="177" t="s">
        <v>155</v>
      </c>
      <c r="R1395" s="177" t="s">
        <v>10502</v>
      </c>
      <c r="S1395" s="177"/>
      <c r="T1395" s="177" t="s">
        <v>3230</v>
      </c>
      <c r="U1395" s="177" t="s">
        <v>152</v>
      </c>
      <c r="V1395" s="177" t="s">
        <v>18</v>
      </c>
    </row>
    <row r="1396" spans="2:22">
      <c r="B1396" s="251">
        <v>46264</v>
      </c>
      <c r="C1396" s="251">
        <v>46264</v>
      </c>
      <c r="D1396" s="177" t="s">
        <v>10503</v>
      </c>
      <c r="E1396" s="177">
        <v>260102823704</v>
      </c>
      <c r="F1396" s="177" t="s">
        <v>87</v>
      </c>
      <c r="G1396" s="177" t="s">
        <v>8032</v>
      </c>
      <c r="H1396" s="177">
        <v>102</v>
      </c>
      <c r="I1396" s="177">
        <v>258</v>
      </c>
      <c r="J1396" s="177">
        <v>258</v>
      </c>
      <c r="K1396" s="177">
        <v>130</v>
      </c>
      <c r="L1396" s="253">
        <v>1000</v>
      </c>
      <c r="M1396" s="177" t="s">
        <v>153</v>
      </c>
      <c r="N1396" s="177" t="s">
        <v>149</v>
      </c>
      <c r="O1396" s="177" t="s">
        <v>154</v>
      </c>
      <c r="P1396" s="177" t="s">
        <v>151</v>
      </c>
      <c r="Q1396" s="177" t="s">
        <v>155</v>
      </c>
      <c r="R1396" s="177" t="s">
        <v>10504</v>
      </c>
      <c r="S1396" s="177"/>
      <c r="T1396" s="177" t="s">
        <v>3230</v>
      </c>
      <c r="U1396" s="177" t="s">
        <v>152</v>
      </c>
      <c r="V1396" s="177" t="s">
        <v>18</v>
      </c>
    </row>
    <row r="1397" spans="2:22">
      <c r="B1397" s="251">
        <v>46264</v>
      </c>
      <c r="C1397" s="251">
        <v>46264</v>
      </c>
      <c r="D1397" s="177" t="s">
        <v>10505</v>
      </c>
      <c r="E1397" s="177">
        <v>260101723712</v>
      </c>
      <c r="F1397" s="177" t="s">
        <v>87</v>
      </c>
      <c r="G1397" s="177" t="s">
        <v>10506</v>
      </c>
      <c r="H1397" s="177">
        <v>105</v>
      </c>
      <c r="I1397" s="177">
        <v>295</v>
      </c>
      <c r="J1397" s="177">
        <v>295</v>
      </c>
      <c r="K1397" s="177">
        <v>134</v>
      </c>
      <c r="L1397" s="253">
        <v>1035</v>
      </c>
      <c r="M1397" s="177" t="s">
        <v>153</v>
      </c>
      <c r="N1397" s="177" t="s">
        <v>149</v>
      </c>
      <c r="O1397" s="177" t="s">
        <v>154</v>
      </c>
      <c r="P1397" s="177" t="s">
        <v>151</v>
      </c>
      <c r="Q1397" s="177" t="s">
        <v>155</v>
      </c>
      <c r="R1397" s="177" t="s">
        <v>10507</v>
      </c>
      <c r="S1397" s="177"/>
      <c r="T1397" s="177" t="s">
        <v>3230</v>
      </c>
      <c r="U1397" s="177" t="s">
        <v>152</v>
      </c>
      <c r="V1397" s="177" t="s">
        <v>18</v>
      </c>
    </row>
    <row r="1398" spans="2:22">
      <c r="B1398" s="251">
        <v>46264</v>
      </c>
      <c r="C1398" s="251">
        <v>46264</v>
      </c>
      <c r="D1398" s="177" t="s">
        <v>10508</v>
      </c>
      <c r="E1398" s="177">
        <v>260105823733</v>
      </c>
      <c r="F1398" s="177" t="s">
        <v>87</v>
      </c>
      <c r="G1398" s="177" t="s">
        <v>824</v>
      </c>
      <c r="H1398" s="177">
        <v>152</v>
      </c>
      <c r="I1398" s="177">
        <v>247</v>
      </c>
      <c r="J1398" s="177">
        <v>247</v>
      </c>
      <c r="K1398" s="177">
        <v>104</v>
      </c>
      <c r="L1398" s="253">
        <v>1600</v>
      </c>
      <c r="M1398" s="177" t="s">
        <v>153</v>
      </c>
      <c r="N1398" s="177" t="s">
        <v>149</v>
      </c>
      <c r="O1398" s="177" t="s">
        <v>154</v>
      </c>
      <c r="P1398" s="177" t="s">
        <v>151</v>
      </c>
      <c r="Q1398" s="177" t="s">
        <v>155</v>
      </c>
      <c r="R1398" s="177" t="s">
        <v>10509</v>
      </c>
      <c r="S1398" s="177"/>
      <c r="T1398" s="177" t="s">
        <v>3230</v>
      </c>
      <c r="U1398" s="177" t="s">
        <v>152</v>
      </c>
      <c r="V1398" s="177" t="s">
        <v>18</v>
      </c>
    </row>
    <row r="1399" spans="2:22">
      <c r="B1399" s="251">
        <v>46264</v>
      </c>
      <c r="C1399" s="251">
        <v>46264</v>
      </c>
      <c r="D1399" s="177" t="s">
        <v>10510</v>
      </c>
      <c r="E1399" s="177">
        <v>260105023735</v>
      </c>
      <c r="F1399" s="177" t="s">
        <v>87</v>
      </c>
      <c r="G1399" s="177" t="s">
        <v>2530</v>
      </c>
      <c r="H1399" s="177">
        <v>162</v>
      </c>
      <c r="I1399" s="177">
        <v>308</v>
      </c>
      <c r="J1399" s="177">
        <v>308</v>
      </c>
      <c r="K1399" s="177">
        <v>102</v>
      </c>
      <c r="L1399" s="253">
        <v>1970</v>
      </c>
      <c r="M1399" s="177" t="s">
        <v>153</v>
      </c>
      <c r="N1399" s="177" t="s">
        <v>149</v>
      </c>
      <c r="O1399" s="177" t="s">
        <v>154</v>
      </c>
      <c r="P1399" s="177" t="s">
        <v>151</v>
      </c>
      <c r="Q1399" s="177" t="s">
        <v>155</v>
      </c>
      <c r="R1399" s="177" t="s">
        <v>10511</v>
      </c>
      <c r="S1399" s="177"/>
      <c r="T1399" s="177" t="s">
        <v>3230</v>
      </c>
      <c r="U1399" s="177" t="s">
        <v>152</v>
      </c>
      <c r="V1399" s="177" t="s">
        <v>18</v>
      </c>
    </row>
    <row r="1400" spans="2:22">
      <c r="B1400" s="251">
        <v>46264</v>
      </c>
      <c r="C1400" s="251">
        <v>46264</v>
      </c>
      <c r="D1400" s="177" t="s">
        <v>10512</v>
      </c>
      <c r="E1400" s="177">
        <v>260105523737</v>
      </c>
      <c r="F1400" s="177" t="s">
        <v>87</v>
      </c>
      <c r="G1400" s="177" t="s">
        <v>2407</v>
      </c>
      <c r="H1400" s="177">
        <v>162</v>
      </c>
      <c r="I1400" s="177">
        <v>323</v>
      </c>
      <c r="J1400" s="177">
        <v>323</v>
      </c>
      <c r="K1400" s="177">
        <v>102</v>
      </c>
      <c r="L1400" s="253">
        <v>2000</v>
      </c>
      <c r="M1400" s="177" t="s">
        <v>153</v>
      </c>
      <c r="N1400" s="177" t="s">
        <v>149</v>
      </c>
      <c r="O1400" s="177" t="s">
        <v>154</v>
      </c>
      <c r="P1400" s="177" t="s">
        <v>151</v>
      </c>
      <c r="Q1400" s="177" t="s">
        <v>155</v>
      </c>
      <c r="R1400" s="177" t="s">
        <v>10513</v>
      </c>
      <c r="S1400" s="177"/>
      <c r="T1400" s="177" t="s">
        <v>3230</v>
      </c>
      <c r="U1400" s="177" t="s">
        <v>152</v>
      </c>
      <c r="V1400" s="177" t="s">
        <v>18</v>
      </c>
    </row>
    <row r="1401" spans="2:22">
      <c r="B1401" s="251">
        <v>46264</v>
      </c>
      <c r="C1401" s="251">
        <v>46264</v>
      </c>
      <c r="D1401" s="177" t="s">
        <v>10514</v>
      </c>
      <c r="E1401" s="177">
        <v>260102723745</v>
      </c>
      <c r="F1401" s="177" t="s">
        <v>87</v>
      </c>
      <c r="G1401" s="177" t="s">
        <v>8032</v>
      </c>
      <c r="H1401" s="177">
        <v>102</v>
      </c>
      <c r="I1401" s="177">
        <v>259</v>
      </c>
      <c r="J1401" s="177">
        <v>259</v>
      </c>
      <c r="K1401" s="177">
        <v>130</v>
      </c>
      <c r="L1401" s="253">
        <v>1000</v>
      </c>
      <c r="M1401" s="177" t="s">
        <v>153</v>
      </c>
      <c r="N1401" s="177" t="s">
        <v>149</v>
      </c>
      <c r="O1401" s="177" t="s">
        <v>154</v>
      </c>
      <c r="P1401" s="177" t="s">
        <v>151</v>
      </c>
      <c r="Q1401" s="177" t="s">
        <v>155</v>
      </c>
      <c r="R1401" s="177" t="s">
        <v>10515</v>
      </c>
      <c r="S1401" s="177"/>
      <c r="T1401" s="177" t="s">
        <v>3230</v>
      </c>
      <c r="U1401" s="177" t="s">
        <v>152</v>
      </c>
      <c r="V1401" s="177" t="s">
        <v>18</v>
      </c>
    </row>
    <row r="1402" spans="2:22">
      <c r="B1402" s="251">
        <v>46264</v>
      </c>
      <c r="C1402" s="251">
        <v>46264</v>
      </c>
      <c r="D1402" s="177" t="s">
        <v>10516</v>
      </c>
      <c r="E1402" s="177">
        <v>260102223746</v>
      </c>
      <c r="F1402" s="177" t="s">
        <v>87</v>
      </c>
      <c r="G1402" s="177" t="s">
        <v>9731</v>
      </c>
      <c r="H1402" s="177">
        <v>102</v>
      </c>
      <c r="I1402" s="177">
        <v>260</v>
      </c>
      <c r="J1402" s="177">
        <v>260</v>
      </c>
      <c r="K1402" s="177">
        <v>130</v>
      </c>
      <c r="L1402" s="253">
        <v>1000</v>
      </c>
      <c r="M1402" s="177" t="s">
        <v>153</v>
      </c>
      <c r="N1402" s="177" t="s">
        <v>149</v>
      </c>
      <c r="O1402" s="177" t="s">
        <v>154</v>
      </c>
      <c r="P1402" s="177" t="s">
        <v>151</v>
      </c>
      <c r="Q1402" s="177" t="s">
        <v>155</v>
      </c>
      <c r="R1402" s="177" t="s">
        <v>10517</v>
      </c>
      <c r="S1402" s="177"/>
      <c r="T1402" s="177" t="s">
        <v>3230</v>
      </c>
      <c r="U1402" s="177" t="s">
        <v>152</v>
      </c>
      <c r="V1402" s="177" t="s">
        <v>18</v>
      </c>
    </row>
    <row r="1403" spans="2:22">
      <c r="B1403" s="251">
        <v>46264</v>
      </c>
      <c r="C1403" s="251">
        <v>46264</v>
      </c>
      <c r="D1403" s="177" t="s">
        <v>10518</v>
      </c>
      <c r="E1403" s="177">
        <v>260101823750</v>
      </c>
      <c r="F1403" s="177" t="s">
        <v>87</v>
      </c>
      <c r="G1403" s="177" t="s">
        <v>8681</v>
      </c>
      <c r="H1403" s="177">
        <v>92</v>
      </c>
      <c r="I1403" s="177">
        <v>112</v>
      </c>
      <c r="J1403" s="177">
        <v>112</v>
      </c>
      <c r="K1403" s="177">
        <v>134</v>
      </c>
      <c r="L1403" s="177">
        <v>450</v>
      </c>
      <c r="M1403" s="177" t="s">
        <v>153</v>
      </c>
      <c r="N1403" s="177" t="s">
        <v>149</v>
      </c>
      <c r="O1403" s="177" t="s">
        <v>154</v>
      </c>
      <c r="P1403" s="177" t="s">
        <v>151</v>
      </c>
      <c r="Q1403" s="177" t="s">
        <v>155</v>
      </c>
      <c r="R1403" s="177" t="s">
        <v>10519</v>
      </c>
      <c r="S1403" s="177"/>
      <c r="T1403" s="177" t="s">
        <v>3230</v>
      </c>
      <c r="U1403" s="177" t="s">
        <v>152</v>
      </c>
      <c r="V1403" s="177" t="s">
        <v>18</v>
      </c>
    </row>
    <row r="1404" spans="2:22">
      <c r="B1404" s="251">
        <v>46264</v>
      </c>
      <c r="C1404" s="251">
        <v>46264</v>
      </c>
      <c r="D1404" s="177" t="s">
        <v>10520</v>
      </c>
      <c r="E1404" s="177">
        <v>260101423753</v>
      </c>
      <c r="F1404" s="177" t="s">
        <v>87</v>
      </c>
      <c r="G1404" s="177" t="s">
        <v>824</v>
      </c>
      <c r="H1404" s="177">
        <v>152</v>
      </c>
      <c r="I1404" s="177">
        <v>232</v>
      </c>
      <c r="J1404" s="177">
        <v>232</v>
      </c>
      <c r="K1404" s="177">
        <v>104</v>
      </c>
      <c r="L1404" s="253">
        <v>1540</v>
      </c>
      <c r="M1404" s="177" t="s">
        <v>153</v>
      </c>
      <c r="N1404" s="177" t="s">
        <v>149</v>
      </c>
      <c r="O1404" s="177" t="s">
        <v>154</v>
      </c>
      <c r="P1404" s="177" t="s">
        <v>151</v>
      </c>
      <c r="Q1404" s="177" t="s">
        <v>155</v>
      </c>
      <c r="R1404" s="177" t="s">
        <v>10521</v>
      </c>
      <c r="S1404" s="177"/>
      <c r="T1404" s="177" t="s">
        <v>3230</v>
      </c>
      <c r="U1404" s="177" t="s">
        <v>152</v>
      </c>
      <c r="V1404" s="177" t="s">
        <v>18</v>
      </c>
    </row>
    <row r="1405" spans="2:22">
      <c r="B1405" s="251">
        <v>46264</v>
      </c>
      <c r="C1405" s="251">
        <v>46264</v>
      </c>
      <c r="D1405" s="177" t="s">
        <v>10522</v>
      </c>
      <c r="E1405" s="177">
        <v>260101423754</v>
      </c>
      <c r="F1405" s="177" t="s">
        <v>87</v>
      </c>
      <c r="G1405" s="177" t="s">
        <v>824</v>
      </c>
      <c r="H1405" s="177">
        <v>152</v>
      </c>
      <c r="I1405" s="177">
        <v>235</v>
      </c>
      <c r="J1405" s="177">
        <v>235</v>
      </c>
      <c r="K1405" s="177">
        <v>104</v>
      </c>
      <c r="L1405" s="253">
        <v>1540</v>
      </c>
      <c r="M1405" s="177" t="s">
        <v>153</v>
      </c>
      <c r="N1405" s="177" t="s">
        <v>149</v>
      </c>
      <c r="O1405" s="177" t="s">
        <v>154</v>
      </c>
      <c r="P1405" s="177" t="s">
        <v>151</v>
      </c>
      <c r="Q1405" s="177" t="s">
        <v>155</v>
      </c>
      <c r="R1405" s="177" t="s">
        <v>10523</v>
      </c>
      <c r="S1405" s="177"/>
      <c r="T1405" s="177" t="s">
        <v>3230</v>
      </c>
      <c r="U1405" s="177" t="s">
        <v>152</v>
      </c>
      <c r="V1405" s="177" t="s">
        <v>18</v>
      </c>
    </row>
    <row r="1406" spans="2:22">
      <c r="B1406" s="251">
        <v>46264</v>
      </c>
      <c r="C1406" s="251">
        <v>46264</v>
      </c>
      <c r="D1406" s="177" t="s">
        <v>10524</v>
      </c>
      <c r="E1406" s="177">
        <v>260102523706</v>
      </c>
      <c r="F1406" s="177" t="s">
        <v>87</v>
      </c>
      <c r="G1406" s="177" t="s">
        <v>8032</v>
      </c>
      <c r="H1406" s="177">
        <v>102</v>
      </c>
      <c r="I1406" s="177">
        <v>262</v>
      </c>
      <c r="J1406" s="177">
        <v>262</v>
      </c>
      <c r="K1406" s="177">
        <v>130</v>
      </c>
      <c r="L1406" s="253">
        <v>1000</v>
      </c>
      <c r="M1406" s="177" t="s">
        <v>153</v>
      </c>
      <c r="N1406" s="177" t="s">
        <v>149</v>
      </c>
      <c r="O1406" s="177" t="s">
        <v>154</v>
      </c>
      <c r="P1406" s="177" t="s">
        <v>151</v>
      </c>
      <c r="Q1406" s="177" t="s">
        <v>155</v>
      </c>
      <c r="R1406" s="177" t="s">
        <v>10525</v>
      </c>
      <c r="S1406" s="177"/>
      <c r="T1406" s="177" t="s">
        <v>3230</v>
      </c>
      <c r="U1406" s="177" t="s">
        <v>152</v>
      </c>
      <c r="V1406" s="177" t="s">
        <v>18</v>
      </c>
    </row>
    <row r="1407" spans="2:22">
      <c r="B1407" s="251">
        <v>46264</v>
      </c>
      <c r="C1407" s="251">
        <v>46264</v>
      </c>
      <c r="D1407" s="177" t="s">
        <v>10526</v>
      </c>
      <c r="E1407" s="177">
        <v>260101923709</v>
      </c>
      <c r="F1407" s="177" t="s">
        <v>87</v>
      </c>
      <c r="G1407" s="177" t="s">
        <v>8681</v>
      </c>
      <c r="H1407" s="177">
        <v>92</v>
      </c>
      <c r="I1407" s="177">
        <v>244</v>
      </c>
      <c r="J1407" s="177">
        <v>244</v>
      </c>
      <c r="K1407" s="177">
        <v>134</v>
      </c>
      <c r="L1407" s="253">
        <v>1000</v>
      </c>
      <c r="M1407" s="177" t="s">
        <v>153</v>
      </c>
      <c r="N1407" s="177" t="s">
        <v>149</v>
      </c>
      <c r="O1407" s="177" t="s">
        <v>154</v>
      </c>
      <c r="P1407" s="177" t="s">
        <v>151</v>
      </c>
      <c r="Q1407" s="177" t="s">
        <v>155</v>
      </c>
      <c r="R1407" s="177" t="s">
        <v>10527</v>
      </c>
      <c r="S1407" s="177"/>
      <c r="T1407" s="177" t="s">
        <v>3230</v>
      </c>
      <c r="U1407" s="177" t="s">
        <v>152</v>
      </c>
      <c r="V1407" s="177" t="s">
        <v>18</v>
      </c>
    </row>
    <row r="1408" spans="2:22">
      <c r="B1408" s="251">
        <v>46264</v>
      </c>
      <c r="C1408" s="251">
        <v>46264</v>
      </c>
      <c r="D1408" s="177" t="s">
        <v>10528</v>
      </c>
      <c r="E1408" s="177">
        <v>260102623719</v>
      </c>
      <c r="F1408" s="177" t="s">
        <v>87</v>
      </c>
      <c r="G1408" s="177" t="s">
        <v>8032</v>
      </c>
      <c r="H1408" s="177">
        <v>102</v>
      </c>
      <c r="I1408" s="177">
        <v>292</v>
      </c>
      <c r="J1408" s="177">
        <v>292</v>
      </c>
      <c r="K1408" s="177">
        <v>130</v>
      </c>
      <c r="L1408" s="253">
        <v>1120</v>
      </c>
      <c r="M1408" s="177" t="s">
        <v>153</v>
      </c>
      <c r="N1408" s="177" t="s">
        <v>149</v>
      </c>
      <c r="O1408" s="177" t="s">
        <v>154</v>
      </c>
      <c r="P1408" s="177" t="s">
        <v>151</v>
      </c>
      <c r="Q1408" s="177" t="s">
        <v>155</v>
      </c>
      <c r="R1408" s="177" t="s">
        <v>10529</v>
      </c>
      <c r="S1408" s="177"/>
      <c r="T1408" s="177" t="s">
        <v>3230</v>
      </c>
      <c r="U1408" s="177" t="s">
        <v>152</v>
      </c>
      <c r="V1408" s="177" t="s">
        <v>18</v>
      </c>
    </row>
    <row r="1409" spans="2:22">
      <c r="B1409" s="251">
        <v>46264</v>
      </c>
      <c r="C1409" s="251">
        <v>46264</v>
      </c>
      <c r="D1409" s="177" t="s">
        <v>10530</v>
      </c>
      <c r="E1409" s="177">
        <v>260101423698</v>
      </c>
      <c r="F1409" s="177" t="s">
        <v>87</v>
      </c>
      <c r="G1409" s="177" t="s">
        <v>824</v>
      </c>
      <c r="H1409" s="177">
        <v>152</v>
      </c>
      <c r="I1409" s="177">
        <v>249</v>
      </c>
      <c r="J1409" s="177">
        <v>249</v>
      </c>
      <c r="K1409" s="177">
        <v>104</v>
      </c>
      <c r="L1409" s="253">
        <v>1610</v>
      </c>
      <c r="M1409" s="177" t="s">
        <v>153</v>
      </c>
      <c r="N1409" s="177" t="s">
        <v>149</v>
      </c>
      <c r="O1409" s="177" t="s">
        <v>154</v>
      </c>
      <c r="P1409" s="177" t="s">
        <v>151</v>
      </c>
      <c r="Q1409" s="177" t="s">
        <v>155</v>
      </c>
      <c r="R1409" s="177" t="s">
        <v>10531</v>
      </c>
      <c r="S1409" s="177"/>
      <c r="T1409" s="177" t="s">
        <v>3230</v>
      </c>
      <c r="U1409" s="177" t="s">
        <v>152</v>
      </c>
      <c r="V1409" s="177" t="s">
        <v>18</v>
      </c>
    </row>
    <row r="1410" spans="2:22">
      <c r="B1410" s="251">
        <v>46264</v>
      </c>
      <c r="C1410" s="251">
        <v>46264</v>
      </c>
      <c r="D1410" s="177" t="s">
        <v>10532</v>
      </c>
      <c r="E1410" s="177">
        <v>260106123740</v>
      </c>
      <c r="F1410" s="177" t="s">
        <v>87</v>
      </c>
      <c r="G1410" s="177" t="s">
        <v>2415</v>
      </c>
      <c r="H1410" s="177">
        <v>140</v>
      </c>
      <c r="I1410" s="177">
        <v>189</v>
      </c>
      <c r="J1410" s="177">
        <v>189</v>
      </c>
      <c r="K1410" s="177">
        <v>88</v>
      </c>
      <c r="L1410" s="253">
        <v>1550</v>
      </c>
      <c r="M1410" s="177" t="s">
        <v>153</v>
      </c>
      <c r="N1410" s="177" t="s">
        <v>149</v>
      </c>
      <c r="O1410" s="177" t="s">
        <v>154</v>
      </c>
      <c r="P1410" s="177" t="s">
        <v>151</v>
      </c>
      <c r="Q1410" s="177" t="s">
        <v>155</v>
      </c>
      <c r="R1410" s="177" t="s">
        <v>10533</v>
      </c>
      <c r="S1410" s="177"/>
      <c r="T1410" s="177" t="s">
        <v>3230</v>
      </c>
      <c r="U1410" s="177" t="s">
        <v>152</v>
      </c>
      <c r="V1410" s="177" t="s">
        <v>18</v>
      </c>
    </row>
    <row r="1411" spans="2:22">
      <c r="B1411" s="251">
        <v>46264</v>
      </c>
      <c r="C1411" s="251">
        <v>46264</v>
      </c>
      <c r="D1411" s="177" t="s">
        <v>10534</v>
      </c>
      <c r="E1411" s="177">
        <v>260102623744</v>
      </c>
      <c r="F1411" s="177" t="s">
        <v>87</v>
      </c>
      <c r="G1411" s="177" t="s">
        <v>8032</v>
      </c>
      <c r="H1411" s="177">
        <v>102</v>
      </c>
      <c r="I1411" s="177">
        <v>259</v>
      </c>
      <c r="J1411" s="177">
        <v>259</v>
      </c>
      <c r="K1411" s="177">
        <v>130</v>
      </c>
      <c r="L1411" s="253">
        <v>1000</v>
      </c>
      <c r="M1411" s="177" t="s">
        <v>153</v>
      </c>
      <c r="N1411" s="177" t="s">
        <v>149</v>
      </c>
      <c r="O1411" s="177" t="s">
        <v>154</v>
      </c>
      <c r="P1411" s="177" t="s">
        <v>151</v>
      </c>
      <c r="Q1411" s="177" t="s">
        <v>155</v>
      </c>
      <c r="R1411" s="177" t="s">
        <v>10535</v>
      </c>
      <c r="S1411" s="177"/>
      <c r="T1411" s="177" t="s">
        <v>3230</v>
      </c>
      <c r="U1411" s="177" t="s">
        <v>152</v>
      </c>
      <c r="V1411" s="177" t="s">
        <v>18</v>
      </c>
    </row>
    <row r="1412" spans="2:22">
      <c r="B1412" s="251">
        <v>46264</v>
      </c>
      <c r="C1412" s="251">
        <v>46264</v>
      </c>
      <c r="D1412" s="177" t="s">
        <v>10536</v>
      </c>
      <c r="E1412" s="177">
        <v>260101623748</v>
      </c>
      <c r="F1412" s="177" t="s">
        <v>87</v>
      </c>
      <c r="G1412" s="177" t="s">
        <v>2408</v>
      </c>
      <c r="H1412" s="177">
        <v>112</v>
      </c>
      <c r="I1412" s="177">
        <v>309</v>
      </c>
      <c r="J1412" s="177">
        <v>309</v>
      </c>
      <c r="K1412" s="177">
        <v>160</v>
      </c>
      <c r="L1412" s="177">
        <v>880</v>
      </c>
      <c r="M1412" s="177" t="s">
        <v>153</v>
      </c>
      <c r="N1412" s="177" t="s">
        <v>149</v>
      </c>
      <c r="O1412" s="177" t="s">
        <v>154</v>
      </c>
      <c r="P1412" s="177" t="s">
        <v>151</v>
      </c>
      <c r="Q1412" s="177" t="s">
        <v>155</v>
      </c>
      <c r="R1412" s="177" t="s">
        <v>10537</v>
      </c>
      <c r="S1412" s="177"/>
      <c r="T1412" s="177" t="s">
        <v>3230</v>
      </c>
      <c r="U1412" s="177" t="s">
        <v>152</v>
      </c>
      <c r="V1412" s="177" t="s">
        <v>18</v>
      </c>
    </row>
    <row r="1413" spans="2:22">
      <c r="B1413" s="251">
        <v>46264</v>
      </c>
      <c r="C1413" s="251">
        <v>46264</v>
      </c>
      <c r="D1413" s="177" t="s">
        <v>10538</v>
      </c>
      <c r="E1413" s="177">
        <v>260101423701</v>
      </c>
      <c r="F1413" s="177" t="s">
        <v>87</v>
      </c>
      <c r="G1413" s="177" t="s">
        <v>824</v>
      </c>
      <c r="H1413" s="177">
        <v>152</v>
      </c>
      <c r="I1413" s="177">
        <v>245</v>
      </c>
      <c r="J1413" s="177">
        <v>245</v>
      </c>
      <c r="K1413" s="177">
        <v>104</v>
      </c>
      <c r="L1413" s="253">
        <v>1610</v>
      </c>
      <c r="M1413" s="177" t="s">
        <v>153</v>
      </c>
      <c r="N1413" s="177" t="s">
        <v>149</v>
      </c>
      <c r="O1413" s="177" t="s">
        <v>154</v>
      </c>
      <c r="P1413" s="177" t="s">
        <v>151</v>
      </c>
      <c r="Q1413" s="177" t="s">
        <v>155</v>
      </c>
      <c r="R1413" s="177" t="s">
        <v>10539</v>
      </c>
      <c r="S1413" s="177"/>
      <c r="T1413" s="177" t="s">
        <v>3230</v>
      </c>
      <c r="U1413" s="177" t="s">
        <v>152</v>
      </c>
      <c r="V1413" s="177" t="s">
        <v>18</v>
      </c>
    </row>
    <row r="1414" spans="2:22">
      <c r="B1414" s="251">
        <v>46264</v>
      </c>
      <c r="C1414" s="251">
        <v>46264</v>
      </c>
      <c r="D1414" s="177" t="s">
        <v>10540</v>
      </c>
      <c r="E1414" s="177">
        <v>260103723716</v>
      </c>
      <c r="F1414" s="177" t="s">
        <v>87</v>
      </c>
      <c r="G1414" s="177" t="s">
        <v>2526</v>
      </c>
      <c r="H1414" s="177">
        <v>152</v>
      </c>
      <c r="I1414" s="177">
        <v>326</v>
      </c>
      <c r="J1414" s="177">
        <v>326</v>
      </c>
      <c r="K1414" s="177">
        <v>97</v>
      </c>
      <c r="L1414" s="253">
        <v>2280</v>
      </c>
      <c r="M1414" s="177" t="s">
        <v>153</v>
      </c>
      <c r="N1414" s="177" t="s">
        <v>149</v>
      </c>
      <c r="O1414" s="177" t="s">
        <v>154</v>
      </c>
      <c r="P1414" s="177" t="s">
        <v>151</v>
      </c>
      <c r="Q1414" s="177" t="s">
        <v>155</v>
      </c>
      <c r="R1414" s="177" t="s">
        <v>10541</v>
      </c>
      <c r="S1414" s="177"/>
      <c r="T1414" s="177" t="s">
        <v>3230</v>
      </c>
      <c r="U1414" s="177" t="s">
        <v>152</v>
      </c>
      <c r="V1414" s="177" t="s">
        <v>18</v>
      </c>
    </row>
    <row r="1415" spans="2:22">
      <c r="B1415" s="251">
        <v>46264</v>
      </c>
      <c r="C1415" s="251">
        <v>46264</v>
      </c>
      <c r="D1415" s="177" t="s">
        <v>10542</v>
      </c>
      <c r="E1415" s="177">
        <v>260103823718</v>
      </c>
      <c r="F1415" s="177" t="s">
        <v>87</v>
      </c>
      <c r="G1415" s="177" t="s">
        <v>824</v>
      </c>
      <c r="H1415" s="177">
        <v>152</v>
      </c>
      <c r="I1415" s="177">
        <v>356</v>
      </c>
      <c r="J1415" s="177">
        <v>356</v>
      </c>
      <c r="K1415" s="177">
        <v>104</v>
      </c>
      <c r="L1415" s="253">
        <v>2345</v>
      </c>
      <c r="M1415" s="177" t="s">
        <v>153</v>
      </c>
      <c r="N1415" s="177" t="s">
        <v>149</v>
      </c>
      <c r="O1415" s="177" t="s">
        <v>154</v>
      </c>
      <c r="P1415" s="177" t="s">
        <v>151</v>
      </c>
      <c r="Q1415" s="177" t="s">
        <v>155</v>
      </c>
      <c r="R1415" s="177" t="s">
        <v>10543</v>
      </c>
      <c r="S1415" s="177"/>
      <c r="T1415" s="177" t="s">
        <v>3230</v>
      </c>
      <c r="U1415" s="177" t="s">
        <v>152</v>
      </c>
      <c r="V1415" s="177" t="s">
        <v>18</v>
      </c>
    </row>
    <row r="1416" spans="2:22">
      <c r="B1416" s="251">
        <v>46264</v>
      </c>
      <c r="C1416" s="251">
        <v>46264</v>
      </c>
      <c r="D1416" s="177" t="s">
        <v>10544</v>
      </c>
      <c r="E1416" s="177">
        <v>260101823710</v>
      </c>
      <c r="F1416" s="177" t="s">
        <v>87</v>
      </c>
      <c r="G1416" s="177" t="s">
        <v>8681</v>
      </c>
      <c r="H1416" s="177">
        <v>92</v>
      </c>
      <c r="I1416" s="177">
        <v>300</v>
      </c>
      <c r="J1416" s="177">
        <v>300</v>
      </c>
      <c r="K1416" s="177">
        <v>134</v>
      </c>
      <c r="L1416" s="253">
        <v>1250</v>
      </c>
      <c r="M1416" s="177" t="s">
        <v>153</v>
      </c>
      <c r="N1416" s="177" t="s">
        <v>149</v>
      </c>
      <c r="O1416" s="177" t="s">
        <v>154</v>
      </c>
      <c r="P1416" s="177" t="s">
        <v>151</v>
      </c>
      <c r="Q1416" s="177" t="s">
        <v>155</v>
      </c>
      <c r="R1416" s="177" t="s">
        <v>10545</v>
      </c>
      <c r="S1416" s="177"/>
      <c r="T1416" s="177" t="s">
        <v>3230</v>
      </c>
      <c r="U1416" s="177" t="s">
        <v>152</v>
      </c>
      <c r="V1416" s="177" t="s">
        <v>18</v>
      </c>
    </row>
    <row r="1417" spans="2:22">
      <c r="B1417" s="251">
        <v>46264</v>
      </c>
      <c r="C1417" s="251">
        <v>46264</v>
      </c>
      <c r="D1417" s="177" t="s">
        <v>10546</v>
      </c>
      <c r="E1417" s="177">
        <v>260105623736</v>
      </c>
      <c r="F1417" s="177" t="s">
        <v>87</v>
      </c>
      <c r="G1417" s="177" t="s">
        <v>2361</v>
      </c>
      <c r="H1417" s="177">
        <v>172</v>
      </c>
      <c r="I1417" s="177">
        <v>229</v>
      </c>
      <c r="J1417" s="177">
        <v>229</v>
      </c>
      <c r="K1417" s="177">
        <v>98</v>
      </c>
      <c r="L1417" s="253">
        <v>1450</v>
      </c>
      <c r="M1417" s="177" t="s">
        <v>153</v>
      </c>
      <c r="N1417" s="177" t="s">
        <v>149</v>
      </c>
      <c r="O1417" s="177" t="s">
        <v>154</v>
      </c>
      <c r="P1417" s="177" t="s">
        <v>151</v>
      </c>
      <c r="Q1417" s="177" t="s">
        <v>155</v>
      </c>
      <c r="R1417" s="177" t="s">
        <v>10547</v>
      </c>
      <c r="S1417" s="177"/>
      <c r="T1417" s="177" t="s">
        <v>3230</v>
      </c>
      <c r="U1417" s="177" t="s">
        <v>152</v>
      </c>
      <c r="V1417" s="177" t="s">
        <v>18</v>
      </c>
    </row>
    <row r="1418" spans="2:22">
      <c r="B1418" s="251">
        <v>46264</v>
      </c>
      <c r="C1418" s="251">
        <v>46264</v>
      </c>
      <c r="D1418" s="177" t="s">
        <v>10548</v>
      </c>
      <c r="E1418" s="177">
        <v>260105223738</v>
      </c>
      <c r="F1418" s="177" t="s">
        <v>87</v>
      </c>
      <c r="G1418" s="177" t="s">
        <v>2527</v>
      </c>
      <c r="H1418" s="177">
        <v>152</v>
      </c>
      <c r="I1418" s="177">
        <v>331</v>
      </c>
      <c r="J1418" s="177">
        <v>331</v>
      </c>
      <c r="K1418" s="177">
        <v>104</v>
      </c>
      <c r="L1418" s="253">
        <v>2190</v>
      </c>
      <c r="M1418" s="177" t="s">
        <v>153</v>
      </c>
      <c r="N1418" s="177" t="s">
        <v>149</v>
      </c>
      <c r="O1418" s="177" t="s">
        <v>154</v>
      </c>
      <c r="P1418" s="177" t="s">
        <v>151</v>
      </c>
      <c r="Q1418" s="177" t="s">
        <v>155</v>
      </c>
      <c r="R1418" s="177" t="s">
        <v>10549</v>
      </c>
      <c r="S1418" s="177"/>
      <c r="T1418" s="177" t="s">
        <v>3230</v>
      </c>
      <c r="U1418" s="177" t="s">
        <v>152</v>
      </c>
      <c r="V1418" s="177" t="s">
        <v>18</v>
      </c>
    </row>
    <row r="1419" spans="2:22">
      <c r="B1419" s="251">
        <v>46264</v>
      </c>
      <c r="C1419" s="251">
        <v>46264</v>
      </c>
      <c r="D1419" s="177" t="s">
        <v>10550</v>
      </c>
      <c r="E1419" s="177">
        <v>260103723715</v>
      </c>
      <c r="F1419" s="177" t="s">
        <v>87</v>
      </c>
      <c r="G1419" s="177" t="s">
        <v>2526</v>
      </c>
      <c r="H1419" s="177">
        <v>152</v>
      </c>
      <c r="I1419" s="177">
        <v>320</v>
      </c>
      <c r="J1419" s="177">
        <v>320</v>
      </c>
      <c r="K1419" s="177">
        <v>97</v>
      </c>
      <c r="L1419" s="253">
        <v>2280</v>
      </c>
      <c r="M1419" s="177" t="s">
        <v>153</v>
      </c>
      <c r="N1419" s="177" t="s">
        <v>149</v>
      </c>
      <c r="O1419" s="177" t="s">
        <v>154</v>
      </c>
      <c r="P1419" s="177" t="s">
        <v>151</v>
      </c>
      <c r="Q1419" s="177" t="s">
        <v>155</v>
      </c>
      <c r="R1419" s="177" t="s">
        <v>10551</v>
      </c>
      <c r="S1419" s="177"/>
      <c r="T1419" s="177" t="s">
        <v>3230</v>
      </c>
      <c r="U1419" s="177" t="s">
        <v>152</v>
      </c>
      <c r="V1419" s="177" t="s">
        <v>18</v>
      </c>
    </row>
    <row r="1420" spans="2:22">
      <c r="B1420" s="251">
        <v>46264</v>
      </c>
      <c r="C1420" s="251">
        <v>46264</v>
      </c>
      <c r="D1420" s="177" t="s">
        <v>10552</v>
      </c>
      <c r="E1420" s="177">
        <v>260102323749</v>
      </c>
      <c r="F1420" s="177" t="s">
        <v>87</v>
      </c>
      <c r="G1420" s="177" t="s">
        <v>8032</v>
      </c>
      <c r="H1420" s="177">
        <v>102</v>
      </c>
      <c r="I1420" s="177">
        <v>259</v>
      </c>
      <c r="J1420" s="177">
        <v>259</v>
      </c>
      <c r="K1420" s="177">
        <v>130</v>
      </c>
      <c r="L1420" s="253">
        <v>1000</v>
      </c>
      <c r="M1420" s="177" t="s">
        <v>153</v>
      </c>
      <c r="N1420" s="177" t="s">
        <v>149</v>
      </c>
      <c r="O1420" s="177" t="s">
        <v>154</v>
      </c>
      <c r="P1420" s="177" t="s">
        <v>151</v>
      </c>
      <c r="Q1420" s="177" t="s">
        <v>155</v>
      </c>
      <c r="R1420" s="177" t="s">
        <v>10553</v>
      </c>
      <c r="S1420" s="177"/>
      <c r="T1420" s="177" t="s">
        <v>3230</v>
      </c>
      <c r="U1420" s="177" t="s">
        <v>152</v>
      </c>
      <c r="V1420" s="177" t="s">
        <v>18</v>
      </c>
    </row>
    <row r="1421" spans="2:22">
      <c r="B1421" s="251">
        <v>46264</v>
      </c>
      <c r="C1421" s="251">
        <v>46264</v>
      </c>
      <c r="D1421" s="177" t="s">
        <v>10554</v>
      </c>
      <c r="E1421" s="177">
        <v>260103023726</v>
      </c>
      <c r="F1421" s="177" t="s">
        <v>87</v>
      </c>
      <c r="G1421" s="177" t="s">
        <v>10014</v>
      </c>
      <c r="H1421" s="177">
        <v>102</v>
      </c>
      <c r="I1421" s="177">
        <v>443</v>
      </c>
      <c r="J1421" s="177">
        <v>443</v>
      </c>
      <c r="K1421" s="177">
        <v>130</v>
      </c>
      <c r="L1421" s="253">
        <v>1705</v>
      </c>
      <c r="M1421" s="177" t="s">
        <v>153</v>
      </c>
      <c r="N1421" s="177" t="s">
        <v>149</v>
      </c>
      <c r="O1421" s="177" t="s">
        <v>154</v>
      </c>
      <c r="P1421" s="177" t="s">
        <v>151</v>
      </c>
      <c r="Q1421" s="177" t="s">
        <v>155</v>
      </c>
      <c r="R1421" s="177" t="s">
        <v>10555</v>
      </c>
      <c r="S1421" s="177"/>
      <c r="T1421" s="177" t="s">
        <v>3230</v>
      </c>
      <c r="U1421" s="177" t="s">
        <v>152</v>
      </c>
      <c r="V1421" s="177" t="s">
        <v>18</v>
      </c>
    </row>
    <row r="1422" spans="2:22">
      <c r="B1422" s="251">
        <v>46264</v>
      </c>
      <c r="C1422" s="251">
        <v>46264</v>
      </c>
      <c r="D1422" s="177" t="s">
        <v>10556</v>
      </c>
      <c r="E1422" s="177">
        <v>260102423743</v>
      </c>
      <c r="F1422" s="177" t="s">
        <v>87</v>
      </c>
      <c r="G1422" s="177" t="s">
        <v>8032</v>
      </c>
      <c r="H1422" s="177">
        <v>102</v>
      </c>
      <c r="I1422" s="177">
        <v>260</v>
      </c>
      <c r="J1422" s="177">
        <v>260</v>
      </c>
      <c r="K1422" s="177">
        <v>130</v>
      </c>
      <c r="L1422" s="253">
        <v>1000</v>
      </c>
      <c r="M1422" s="177" t="s">
        <v>153</v>
      </c>
      <c r="N1422" s="177" t="s">
        <v>149</v>
      </c>
      <c r="O1422" s="177" t="s">
        <v>154</v>
      </c>
      <c r="P1422" s="177" t="s">
        <v>151</v>
      </c>
      <c r="Q1422" s="177" t="s">
        <v>155</v>
      </c>
      <c r="R1422" s="177" t="s">
        <v>10557</v>
      </c>
      <c r="S1422" s="177"/>
      <c r="T1422" s="177" t="s">
        <v>3232</v>
      </c>
      <c r="U1422" s="177" t="s">
        <v>152</v>
      </c>
      <c r="V1422" s="177" t="s">
        <v>18</v>
      </c>
    </row>
    <row r="1423" spans="2:22">
      <c r="B1423" s="251">
        <v>46264</v>
      </c>
      <c r="C1423" s="251">
        <v>46264</v>
      </c>
      <c r="D1423" s="177" t="s">
        <v>10558</v>
      </c>
      <c r="E1423" s="177">
        <v>260101423755</v>
      </c>
      <c r="F1423" s="177" t="s">
        <v>87</v>
      </c>
      <c r="G1423" s="177" t="s">
        <v>824</v>
      </c>
      <c r="H1423" s="177">
        <v>152</v>
      </c>
      <c r="I1423" s="177">
        <v>231</v>
      </c>
      <c r="J1423" s="177">
        <v>231</v>
      </c>
      <c r="K1423" s="177">
        <v>104</v>
      </c>
      <c r="L1423" s="253">
        <v>1540</v>
      </c>
      <c r="M1423" s="177" t="s">
        <v>153</v>
      </c>
      <c r="N1423" s="177" t="s">
        <v>149</v>
      </c>
      <c r="O1423" s="177" t="s">
        <v>154</v>
      </c>
      <c r="P1423" s="177" t="s">
        <v>151</v>
      </c>
      <c r="Q1423" s="177" t="s">
        <v>155</v>
      </c>
      <c r="R1423" s="177" t="s">
        <v>10559</v>
      </c>
      <c r="S1423" s="177"/>
      <c r="T1423" s="177" t="s">
        <v>3232</v>
      </c>
      <c r="U1423" s="177" t="s">
        <v>152</v>
      </c>
      <c r="V1423" s="177" t="s">
        <v>18</v>
      </c>
    </row>
    <row r="1424" spans="2:22">
      <c r="B1424" s="251">
        <v>46264</v>
      </c>
      <c r="C1424" s="251">
        <v>46264</v>
      </c>
      <c r="D1424" s="177" t="s">
        <v>10560</v>
      </c>
      <c r="E1424" s="177">
        <v>260100723702</v>
      </c>
      <c r="F1424" s="177" t="s">
        <v>87</v>
      </c>
      <c r="G1424" s="177" t="s">
        <v>2079</v>
      </c>
      <c r="H1424" s="177">
        <v>122</v>
      </c>
      <c r="I1424" s="177">
        <v>199</v>
      </c>
      <c r="J1424" s="177">
        <v>199</v>
      </c>
      <c r="K1424" s="177">
        <v>180</v>
      </c>
      <c r="L1424" s="177">
        <v>445</v>
      </c>
      <c r="M1424" s="177" t="s">
        <v>153</v>
      </c>
      <c r="N1424" s="177" t="s">
        <v>149</v>
      </c>
      <c r="O1424" s="177" t="s">
        <v>154</v>
      </c>
      <c r="P1424" s="177" t="s">
        <v>151</v>
      </c>
      <c r="Q1424" s="177" t="s">
        <v>155</v>
      </c>
      <c r="R1424" s="177" t="s">
        <v>10561</v>
      </c>
      <c r="S1424" s="177"/>
      <c r="T1424" s="177" t="s">
        <v>3232</v>
      </c>
      <c r="U1424" s="177" t="s">
        <v>152</v>
      </c>
      <c r="V1424" s="177" t="s">
        <v>18</v>
      </c>
    </row>
    <row r="1425" spans="2:22">
      <c r="B1425" s="251">
        <v>46264</v>
      </c>
      <c r="C1425" s="251">
        <v>46264</v>
      </c>
      <c r="D1425" s="177" t="s">
        <v>10562</v>
      </c>
      <c r="E1425" s="177">
        <v>260102223703</v>
      </c>
      <c r="F1425" s="177" t="s">
        <v>87</v>
      </c>
      <c r="G1425" s="177" t="s">
        <v>9731</v>
      </c>
      <c r="H1425" s="177">
        <v>102</v>
      </c>
      <c r="I1425" s="177">
        <v>262</v>
      </c>
      <c r="J1425" s="177">
        <v>262</v>
      </c>
      <c r="K1425" s="177">
        <v>130</v>
      </c>
      <c r="L1425" s="253">
        <v>1000</v>
      </c>
      <c r="M1425" s="177" t="s">
        <v>153</v>
      </c>
      <c r="N1425" s="177" t="s">
        <v>149</v>
      </c>
      <c r="O1425" s="177" t="s">
        <v>154</v>
      </c>
      <c r="P1425" s="177" t="s">
        <v>151</v>
      </c>
      <c r="Q1425" s="177" t="s">
        <v>155</v>
      </c>
      <c r="R1425" s="177" t="s">
        <v>10563</v>
      </c>
      <c r="S1425" s="177"/>
      <c r="T1425" s="177" t="s">
        <v>3232</v>
      </c>
      <c r="U1425" s="177" t="s">
        <v>152</v>
      </c>
      <c r="V1425" s="177" t="s">
        <v>18</v>
      </c>
    </row>
    <row r="1426" spans="2:22">
      <c r="B1426" s="251">
        <v>46264</v>
      </c>
      <c r="C1426" s="251">
        <v>46264</v>
      </c>
      <c r="D1426" s="177" t="s">
        <v>10564</v>
      </c>
      <c r="E1426" s="177">
        <v>260100923756</v>
      </c>
      <c r="F1426" s="177" t="s">
        <v>87</v>
      </c>
      <c r="G1426" s="177" t="s">
        <v>2079</v>
      </c>
      <c r="H1426" s="177">
        <v>102</v>
      </c>
      <c r="I1426" s="177">
        <v>366</v>
      </c>
      <c r="J1426" s="177">
        <v>366</v>
      </c>
      <c r="K1426" s="177">
        <v>180</v>
      </c>
      <c r="L1426" s="253">
        <v>1000</v>
      </c>
      <c r="M1426" s="177" t="s">
        <v>153</v>
      </c>
      <c r="N1426" s="177" t="s">
        <v>149</v>
      </c>
      <c r="O1426" s="177" t="s">
        <v>154</v>
      </c>
      <c r="P1426" s="177" t="s">
        <v>151</v>
      </c>
      <c r="Q1426" s="177" t="s">
        <v>155</v>
      </c>
      <c r="R1426" s="177" t="s">
        <v>10565</v>
      </c>
      <c r="S1426" s="177"/>
      <c r="T1426" s="177" t="s">
        <v>3232</v>
      </c>
      <c r="U1426" s="177" t="s">
        <v>152</v>
      </c>
      <c r="V1426" s="177" t="s">
        <v>18</v>
      </c>
    </row>
    <row r="1427" spans="2:22">
      <c r="B1427" s="251">
        <v>46264</v>
      </c>
      <c r="C1427" s="251">
        <v>46264</v>
      </c>
      <c r="D1427" s="177" t="s">
        <v>10566</v>
      </c>
      <c r="E1427" s="177">
        <v>260102323705</v>
      </c>
      <c r="F1427" s="177" t="s">
        <v>87</v>
      </c>
      <c r="G1427" s="177" t="s">
        <v>8032</v>
      </c>
      <c r="H1427" s="177">
        <v>102</v>
      </c>
      <c r="I1427" s="177">
        <v>261</v>
      </c>
      <c r="J1427" s="177">
        <v>261</v>
      </c>
      <c r="K1427" s="177">
        <v>130</v>
      </c>
      <c r="L1427" s="253">
        <v>1000</v>
      </c>
      <c r="M1427" s="177" t="s">
        <v>153</v>
      </c>
      <c r="N1427" s="177" t="s">
        <v>149</v>
      </c>
      <c r="O1427" s="177" t="s">
        <v>154</v>
      </c>
      <c r="P1427" s="177" t="s">
        <v>151</v>
      </c>
      <c r="Q1427" s="177" t="s">
        <v>155</v>
      </c>
      <c r="R1427" s="177" t="s">
        <v>10567</v>
      </c>
      <c r="S1427" s="177"/>
      <c r="T1427" s="177" t="s">
        <v>3232</v>
      </c>
      <c r="U1427" s="177" t="s">
        <v>152</v>
      </c>
      <c r="V1427" s="177" t="s">
        <v>18</v>
      </c>
    </row>
    <row r="1428" spans="2:22">
      <c r="B1428" s="251">
        <v>46264</v>
      </c>
      <c r="C1428" s="251">
        <v>46264</v>
      </c>
      <c r="D1428" s="177" t="s">
        <v>10568</v>
      </c>
      <c r="E1428" s="177">
        <v>260103623741</v>
      </c>
      <c r="F1428" s="177" t="s">
        <v>87</v>
      </c>
      <c r="G1428" s="177" t="s">
        <v>2304</v>
      </c>
      <c r="H1428" s="177">
        <v>152</v>
      </c>
      <c r="I1428" s="177">
        <v>149</v>
      </c>
      <c r="J1428" s="177">
        <v>149</v>
      </c>
      <c r="K1428" s="177">
        <v>97</v>
      </c>
      <c r="L1428" s="253">
        <v>1060</v>
      </c>
      <c r="M1428" s="177" t="s">
        <v>153</v>
      </c>
      <c r="N1428" s="177" t="s">
        <v>149</v>
      </c>
      <c r="O1428" s="177" t="s">
        <v>154</v>
      </c>
      <c r="P1428" s="177" t="s">
        <v>151</v>
      </c>
      <c r="Q1428" s="177" t="s">
        <v>155</v>
      </c>
      <c r="R1428" s="177" t="s">
        <v>10569</v>
      </c>
      <c r="S1428" s="177"/>
      <c r="T1428" s="177" t="s">
        <v>3232</v>
      </c>
      <c r="U1428" s="177" t="s">
        <v>152</v>
      </c>
      <c r="V1428" s="177" t="s">
        <v>18</v>
      </c>
    </row>
    <row r="1429" spans="2:22">
      <c r="B1429" s="251">
        <v>46264</v>
      </c>
      <c r="C1429" s="251">
        <v>46264</v>
      </c>
      <c r="D1429" s="177" t="s">
        <v>10570</v>
      </c>
      <c r="E1429" s="177" t="s">
        <v>10571</v>
      </c>
      <c r="F1429" s="177" t="s">
        <v>87</v>
      </c>
      <c r="G1429" s="177" t="s">
        <v>2523</v>
      </c>
      <c r="H1429" s="177" t="s">
        <v>2416</v>
      </c>
      <c r="I1429" s="177">
        <v>180</v>
      </c>
      <c r="J1429" s="177">
        <v>180</v>
      </c>
      <c r="K1429" s="177">
        <v>58</v>
      </c>
      <c r="L1429" s="253">
        <v>2999</v>
      </c>
      <c r="M1429" s="177" t="s">
        <v>153</v>
      </c>
      <c r="N1429" s="177" t="s">
        <v>149</v>
      </c>
      <c r="O1429" s="177" t="s">
        <v>154</v>
      </c>
      <c r="P1429" s="177" t="s">
        <v>151</v>
      </c>
      <c r="Q1429" s="177" t="s">
        <v>156</v>
      </c>
      <c r="R1429" s="177" t="s">
        <v>10572</v>
      </c>
      <c r="S1429" s="177"/>
      <c r="T1429" s="177" t="s">
        <v>3232</v>
      </c>
      <c r="U1429" s="177" t="s">
        <v>152</v>
      </c>
      <c r="V1429" s="177" t="s">
        <v>20</v>
      </c>
    </row>
    <row r="1430" spans="2:22">
      <c r="B1430" s="251">
        <v>46264</v>
      </c>
      <c r="C1430" s="251">
        <v>46264</v>
      </c>
      <c r="D1430" s="177" t="s">
        <v>10573</v>
      </c>
      <c r="E1430" s="177" t="s">
        <v>10571</v>
      </c>
      <c r="F1430" s="177" t="s">
        <v>87</v>
      </c>
      <c r="G1430" s="177" t="s">
        <v>2523</v>
      </c>
      <c r="H1430" s="177" t="s">
        <v>2416</v>
      </c>
      <c r="I1430" s="177">
        <v>178</v>
      </c>
      <c r="J1430" s="177">
        <v>178</v>
      </c>
      <c r="K1430" s="177">
        <v>58</v>
      </c>
      <c r="L1430" s="253">
        <v>2999</v>
      </c>
      <c r="M1430" s="177" t="s">
        <v>153</v>
      </c>
      <c r="N1430" s="177" t="s">
        <v>149</v>
      </c>
      <c r="O1430" s="177" t="s">
        <v>154</v>
      </c>
      <c r="P1430" s="177" t="s">
        <v>151</v>
      </c>
      <c r="Q1430" s="177" t="s">
        <v>156</v>
      </c>
      <c r="R1430" s="177" t="s">
        <v>10574</v>
      </c>
      <c r="S1430" s="177"/>
      <c r="T1430" s="177" t="s">
        <v>3232</v>
      </c>
      <c r="U1430" s="177" t="s">
        <v>152</v>
      </c>
      <c r="V1430" s="177" t="s">
        <v>20</v>
      </c>
    </row>
    <row r="1431" spans="2:22">
      <c r="B1431" s="251">
        <v>46264</v>
      </c>
      <c r="C1431" s="251">
        <v>46264</v>
      </c>
      <c r="D1431" s="177" t="s">
        <v>10575</v>
      </c>
      <c r="E1431" s="177" t="s">
        <v>10576</v>
      </c>
      <c r="F1431" s="177" t="s">
        <v>87</v>
      </c>
      <c r="G1431" s="177" t="s">
        <v>2414</v>
      </c>
      <c r="H1431" s="177" t="s">
        <v>2416</v>
      </c>
      <c r="I1431" s="177">
        <v>142</v>
      </c>
      <c r="J1431" s="177">
        <v>142</v>
      </c>
      <c r="K1431" s="177">
        <v>55</v>
      </c>
      <c r="L1431" s="253">
        <v>2516</v>
      </c>
      <c r="M1431" s="177" t="s">
        <v>153</v>
      </c>
      <c r="N1431" s="177" t="s">
        <v>149</v>
      </c>
      <c r="O1431" s="177" t="s">
        <v>154</v>
      </c>
      <c r="P1431" s="177" t="s">
        <v>151</v>
      </c>
      <c r="Q1431" s="177" t="s">
        <v>156</v>
      </c>
      <c r="R1431" s="177" t="s">
        <v>10577</v>
      </c>
      <c r="S1431" s="177"/>
      <c r="T1431" s="177" t="s">
        <v>3232</v>
      </c>
      <c r="U1431" s="177" t="s">
        <v>152</v>
      </c>
      <c r="V1431" s="177" t="s">
        <v>20</v>
      </c>
    </row>
    <row r="1432" spans="2:22">
      <c r="B1432" s="251">
        <v>46264</v>
      </c>
      <c r="C1432" s="251">
        <v>46264</v>
      </c>
      <c r="D1432" s="177" t="s">
        <v>10578</v>
      </c>
      <c r="E1432" s="177" t="s">
        <v>10576</v>
      </c>
      <c r="F1432" s="177" t="s">
        <v>87</v>
      </c>
      <c r="G1432" s="177" t="s">
        <v>2414</v>
      </c>
      <c r="H1432" s="177" t="s">
        <v>2416</v>
      </c>
      <c r="I1432" s="177">
        <v>141</v>
      </c>
      <c r="J1432" s="177">
        <v>141</v>
      </c>
      <c r="K1432" s="177">
        <v>55</v>
      </c>
      <c r="L1432" s="253">
        <v>2505</v>
      </c>
      <c r="M1432" s="177" t="s">
        <v>153</v>
      </c>
      <c r="N1432" s="177" t="s">
        <v>149</v>
      </c>
      <c r="O1432" s="177" t="s">
        <v>154</v>
      </c>
      <c r="P1432" s="177" t="s">
        <v>151</v>
      </c>
      <c r="Q1432" s="177" t="s">
        <v>156</v>
      </c>
      <c r="R1432" s="177" t="s">
        <v>10579</v>
      </c>
      <c r="S1432" s="177"/>
      <c r="T1432" s="177" t="s">
        <v>3232</v>
      </c>
      <c r="U1432" s="177" t="s">
        <v>152</v>
      </c>
      <c r="V1432" s="177" t="s">
        <v>20</v>
      </c>
    </row>
    <row r="1433" spans="2:22">
      <c r="B1433" s="251">
        <v>46264</v>
      </c>
      <c r="C1433" s="251">
        <v>46264</v>
      </c>
      <c r="D1433" s="177" t="s">
        <v>10580</v>
      </c>
      <c r="E1433" s="177" t="s">
        <v>10581</v>
      </c>
      <c r="F1433" s="177" t="s">
        <v>87</v>
      </c>
      <c r="G1433" s="177" t="s">
        <v>2414</v>
      </c>
      <c r="H1433" s="177" t="s">
        <v>2196</v>
      </c>
      <c r="I1433" s="177">
        <v>234</v>
      </c>
      <c r="J1433" s="177">
        <v>234</v>
      </c>
      <c r="K1433" s="177">
        <v>55</v>
      </c>
      <c r="L1433" s="253">
        <v>5990</v>
      </c>
      <c r="M1433" s="177" t="s">
        <v>153</v>
      </c>
      <c r="N1433" s="177" t="s">
        <v>149</v>
      </c>
      <c r="O1433" s="177" t="s">
        <v>154</v>
      </c>
      <c r="P1433" s="177" t="s">
        <v>151</v>
      </c>
      <c r="Q1433" s="177" t="s">
        <v>156</v>
      </c>
      <c r="R1433" s="177" t="s">
        <v>10582</v>
      </c>
      <c r="S1433" s="177"/>
      <c r="T1433" s="177" t="s">
        <v>3232</v>
      </c>
      <c r="U1433" s="177" t="s">
        <v>152</v>
      </c>
      <c r="V1433" s="177" t="s">
        <v>20</v>
      </c>
    </row>
    <row r="1434" spans="2:22">
      <c r="B1434" s="251">
        <v>46264</v>
      </c>
      <c r="C1434" s="251">
        <v>46264</v>
      </c>
      <c r="D1434" s="177" t="s">
        <v>10583</v>
      </c>
      <c r="E1434" s="177" t="s">
        <v>10581</v>
      </c>
      <c r="F1434" s="177" t="s">
        <v>87</v>
      </c>
      <c r="G1434" s="177" t="s">
        <v>2414</v>
      </c>
      <c r="H1434" s="177" t="s">
        <v>2196</v>
      </c>
      <c r="I1434" s="177">
        <v>240</v>
      </c>
      <c r="J1434" s="177">
        <v>240</v>
      </c>
      <c r="K1434" s="177">
        <v>55</v>
      </c>
      <c r="L1434" s="253">
        <v>5990</v>
      </c>
      <c r="M1434" s="177" t="s">
        <v>153</v>
      </c>
      <c r="N1434" s="177" t="s">
        <v>149</v>
      </c>
      <c r="O1434" s="177" t="s">
        <v>154</v>
      </c>
      <c r="P1434" s="177" t="s">
        <v>151</v>
      </c>
      <c r="Q1434" s="177" t="s">
        <v>156</v>
      </c>
      <c r="R1434" s="177" t="s">
        <v>10584</v>
      </c>
      <c r="S1434" s="177"/>
      <c r="T1434" s="177" t="s">
        <v>3232</v>
      </c>
      <c r="U1434" s="177" t="s">
        <v>152</v>
      </c>
      <c r="V1434" s="177" t="s">
        <v>20</v>
      </c>
    </row>
    <row r="1435" spans="2:22">
      <c r="B1435" s="251">
        <v>46264</v>
      </c>
      <c r="C1435" s="251">
        <v>46264</v>
      </c>
      <c r="D1435" s="177" t="s">
        <v>10585</v>
      </c>
      <c r="E1435" s="177" t="s">
        <v>10586</v>
      </c>
      <c r="F1435" s="177" t="s">
        <v>87</v>
      </c>
      <c r="G1435" s="177" t="s">
        <v>9157</v>
      </c>
      <c r="H1435" s="177" t="s">
        <v>2416</v>
      </c>
      <c r="I1435" s="177">
        <v>185</v>
      </c>
      <c r="J1435" s="177">
        <v>185</v>
      </c>
      <c r="K1435" s="177">
        <v>78</v>
      </c>
      <c r="L1435" s="253">
        <v>2348</v>
      </c>
      <c r="M1435" s="177" t="s">
        <v>153</v>
      </c>
      <c r="N1435" s="177" t="s">
        <v>149</v>
      </c>
      <c r="O1435" s="177" t="s">
        <v>154</v>
      </c>
      <c r="P1435" s="177" t="s">
        <v>151</v>
      </c>
      <c r="Q1435" s="177" t="s">
        <v>156</v>
      </c>
      <c r="R1435" s="177" t="s">
        <v>10587</v>
      </c>
      <c r="S1435" s="177"/>
      <c r="T1435" s="177" t="s">
        <v>3232</v>
      </c>
      <c r="U1435" s="177" t="s">
        <v>152</v>
      </c>
      <c r="V1435" s="177" t="s">
        <v>20</v>
      </c>
    </row>
    <row r="1436" spans="2:22">
      <c r="B1436" s="251">
        <v>46264</v>
      </c>
      <c r="C1436" s="251">
        <v>46264</v>
      </c>
      <c r="D1436" s="177" t="s">
        <v>10588</v>
      </c>
      <c r="E1436" s="177" t="s">
        <v>10589</v>
      </c>
      <c r="F1436" s="177" t="s">
        <v>87</v>
      </c>
      <c r="G1436" s="177" t="s">
        <v>2410</v>
      </c>
      <c r="H1436" s="177" t="s">
        <v>2196</v>
      </c>
      <c r="I1436" s="177">
        <v>372</v>
      </c>
      <c r="J1436" s="177">
        <v>372</v>
      </c>
      <c r="K1436" s="177">
        <v>102</v>
      </c>
      <c r="L1436" s="253">
        <v>5308</v>
      </c>
      <c r="M1436" s="177" t="s">
        <v>153</v>
      </c>
      <c r="N1436" s="177" t="s">
        <v>149</v>
      </c>
      <c r="O1436" s="177" t="s">
        <v>154</v>
      </c>
      <c r="P1436" s="177" t="s">
        <v>151</v>
      </c>
      <c r="Q1436" s="177" t="s">
        <v>156</v>
      </c>
      <c r="R1436" s="177" t="s">
        <v>10590</v>
      </c>
      <c r="S1436" s="177"/>
      <c r="T1436" s="177" t="s">
        <v>3232</v>
      </c>
      <c r="U1436" s="177" t="s">
        <v>152</v>
      </c>
      <c r="V1436" s="177" t="s">
        <v>20</v>
      </c>
    </row>
    <row r="1437" spans="2:22">
      <c r="B1437" s="251">
        <v>46265</v>
      </c>
      <c r="C1437" s="251">
        <v>46265</v>
      </c>
      <c r="D1437" s="177" t="s">
        <v>10591</v>
      </c>
      <c r="E1437" s="177">
        <v>260105423842</v>
      </c>
      <c r="F1437" s="177" t="s">
        <v>87</v>
      </c>
      <c r="G1437" s="177" t="s">
        <v>2364</v>
      </c>
      <c r="H1437" s="177">
        <v>142</v>
      </c>
      <c r="I1437" s="177">
        <v>216</v>
      </c>
      <c r="J1437" s="177">
        <v>216</v>
      </c>
      <c r="K1437" s="177">
        <v>67</v>
      </c>
      <c r="L1437" s="253">
        <v>2330</v>
      </c>
      <c r="M1437" s="177" t="s">
        <v>153</v>
      </c>
      <c r="N1437" s="177" t="s">
        <v>149</v>
      </c>
      <c r="O1437" s="177" t="s">
        <v>154</v>
      </c>
      <c r="P1437" s="177" t="s">
        <v>151</v>
      </c>
      <c r="Q1437" s="177" t="s">
        <v>155</v>
      </c>
      <c r="R1437" s="177" t="s">
        <v>10592</v>
      </c>
      <c r="S1437" s="177"/>
      <c r="T1437" s="177" t="s">
        <v>3241</v>
      </c>
      <c r="U1437" s="177" t="s">
        <v>152</v>
      </c>
      <c r="V1437" s="177" t="s">
        <v>18</v>
      </c>
    </row>
    <row r="1438" spans="2:22">
      <c r="B1438" s="251">
        <v>46265</v>
      </c>
      <c r="C1438" s="251">
        <v>46265</v>
      </c>
      <c r="D1438" s="177" t="s">
        <v>10593</v>
      </c>
      <c r="E1438" s="177">
        <v>260103223821</v>
      </c>
      <c r="F1438" s="177" t="s">
        <v>87</v>
      </c>
      <c r="G1438" s="177" t="s">
        <v>10594</v>
      </c>
      <c r="H1438" s="177">
        <v>140</v>
      </c>
      <c r="I1438" s="177">
        <v>200</v>
      </c>
      <c r="J1438" s="177">
        <v>200</v>
      </c>
      <c r="K1438" s="177">
        <v>88</v>
      </c>
      <c r="L1438" s="253">
        <v>1710</v>
      </c>
      <c r="M1438" s="177" t="s">
        <v>153</v>
      </c>
      <c r="N1438" s="177" t="s">
        <v>149</v>
      </c>
      <c r="O1438" s="177" t="s">
        <v>154</v>
      </c>
      <c r="P1438" s="177" t="s">
        <v>151</v>
      </c>
      <c r="Q1438" s="177" t="s">
        <v>155</v>
      </c>
      <c r="R1438" s="177" t="s">
        <v>10595</v>
      </c>
      <c r="S1438" s="177"/>
      <c r="T1438" s="177" t="s">
        <v>3241</v>
      </c>
      <c r="U1438" s="177" t="s">
        <v>152</v>
      </c>
      <c r="V1438" s="177" t="s">
        <v>18</v>
      </c>
    </row>
    <row r="1439" spans="2:22">
      <c r="B1439" s="251">
        <v>46265</v>
      </c>
      <c r="C1439" s="251">
        <v>46265</v>
      </c>
      <c r="D1439" s="177" t="s">
        <v>10596</v>
      </c>
      <c r="E1439" s="177">
        <v>260107123846</v>
      </c>
      <c r="F1439" s="177" t="s">
        <v>87</v>
      </c>
      <c r="G1439" s="177" t="s">
        <v>8692</v>
      </c>
      <c r="H1439" s="177">
        <v>140</v>
      </c>
      <c r="I1439" s="177">
        <v>200</v>
      </c>
      <c r="J1439" s="177">
        <v>200</v>
      </c>
      <c r="K1439" s="177">
        <v>88</v>
      </c>
      <c r="L1439" s="253">
        <v>1725</v>
      </c>
      <c r="M1439" s="177" t="s">
        <v>153</v>
      </c>
      <c r="N1439" s="177" t="s">
        <v>149</v>
      </c>
      <c r="O1439" s="177" t="s">
        <v>154</v>
      </c>
      <c r="P1439" s="177" t="s">
        <v>151</v>
      </c>
      <c r="Q1439" s="177" t="s">
        <v>155</v>
      </c>
      <c r="R1439" s="177" t="s">
        <v>10597</v>
      </c>
      <c r="S1439" s="177"/>
      <c r="T1439" s="177" t="s">
        <v>3241</v>
      </c>
      <c r="U1439" s="177" t="s">
        <v>152</v>
      </c>
      <c r="V1439" s="177" t="s">
        <v>18</v>
      </c>
    </row>
    <row r="1440" spans="2:22">
      <c r="B1440" s="251">
        <v>46265</v>
      </c>
      <c r="C1440" s="251">
        <v>46265</v>
      </c>
      <c r="D1440" s="177" t="s">
        <v>10598</v>
      </c>
      <c r="E1440" s="177">
        <v>260103723828</v>
      </c>
      <c r="F1440" s="177" t="s">
        <v>87</v>
      </c>
      <c r="G1440" s="177" t="s">
        <v>2526</v>
      </c>
      <c r="H1440" s="177">
        <v>152</v>
      </c>
      <c r="I1440" s="177">
        <v>262</v>
      </c>
      <c r="J1440" s="177">
        <v>262</v>
      </c>
      <c r="K1440" s="177">
        <v>97</v>
      </c>
      <c r="L1440" s="253">
        <v>1840</v>
      </c>
      <c r="M1440" s="177" t="s">
        <v>153</v>
      </c>
      <c r="N1440" s="177" t="s">
        <v>149</v>
      </c>
      <c r="O1440" s="177" t="s">
        <v>154</v>
      </c>
      <c r="P1440" s="177" t="s">
        <v>151</v>
      </c>
      <c r="Q1440" s="177" t="s">
        <v>155</v>
      </c>
      <c r="R1440" s="177" t="s">
        <v>10599</v>
      </c>
      <c r="S1440" s="177"/>
      <c r="T1440" s="177" t="s">
        <v>3241</v>
      </c>
      <c r="U1440" s="177" t="s">
        <v>152</v>
      </c>
      <c r="V1440" s="177" t="s">
        <v>18</v>
      </c>
    </row>
    <row r="1441" spans="2:22">
      <c r="B1441" s="251">
        <v>46265</v>
      </c>
      <c r="C1441" s="251">
        <v>46265</v>
      </c>
      <c r="D1441" s="177" t="s">
        <v>10600</v>
      </c>
      <c r="E1441" s="177">
        <v>260103723829</v>
      </c>
      <c r="F1441" s="177" t="s">
        <v>87</v>
      </c>
      <c r="G1441" s="177" t="s">
        <v>2526</v>
      </c>
      <c r="H1441" s="177">
        <v>152</v>
      </c>
      <c r="I1441" s="177">
        <v>263</v>
      </c>
      <c r="J1441" s="177">
        <v>263</v>
      </c>
      <c r="K1441" s="177">
        <v>97</v>
      </c>
      <c r="L1441" s="253">
        <v>1840</v>
      </c>
      <c r="M1441" s="177" t="s">
        <v>153</v>
      </c>
      <c r="N1441" s="177" t="s">
        <v>149</v>
      </c>
      <c r="O1441" s="177" t="s">
        <v>154</v>
      </c>
      <c r="P1441" s="177" t="s">
        <v>151</v>
      </c>
      <c r="Q1441" s="177" t="s">
        <v>155</v>
      </c>
      <c r="R1441" s="177" t="s">
        <v>10601</v>
      </c>
      <c r="S1441" s="177"/>
      <c r="T1441" s="177" t="s">
        <v>3241</v>
      </c>
      <c r="U1441" s="177" t="s">
        <v>152</v>
      </c>
      <c r="V1441" s="177" t="s">
        <v>18</v>
      </c>
    </row>
    <row r="1442" spans="2:22">
      <c r="B1442" s="251">
        <v>46265</v>
      </c>
      <c r="C1442" s="251">
        <v>46265</v>
      </c>
      <c r="D1442" s="177" t="s">
        <v>10602</v>
      </c>
      <c r="E1442" s="177">
        <v>260105623783</v>
      </c>
      <c r="F1442" s="177" t="s">
        <v>87</v>
      </c>
      <c r="G1442" s="177" t="s">
        <v>2361</v>
      </c>
      <c r="H1442" s="177">
        <v>172</v>
      </c>
      <c r="I1442" s="177">
        <v>241</v>
      </c>
      <c r="J1442" s="177">
        <v>241</v>
      </c>
      <c r="K1442" s="177">
        <v>98</v>
      </c>
      <c r="L1442" s="253">
        <v>1500</v>
      </c>
      <c r="M1442" s="177" t="s">
        <v>153</v>
      </c>
      <c r="N1442" s="177" t="s">
        <v>149</v>
      </c>
      <c r="O1442" s="177" t="s">
        <v>154</v>
      </c>
      <c r="P1442" s="177" t="s">
        <v>151</v>
      </c>
      <c r="Q1442" s="177" t="s">
        <v>155</v>
      </c>
      <c r="R1442" s="177" t="s">
        <v>10603</v>
      </c>
      <c r="S1442" s="177"/>
      <c r="T1442" s="177" t="s">
        <v>3241</v>
      </c>
      <c r="U1442" s="177" t="s">
        <v>152</v>
      </c>
      <c r="V1442" s="177" t="s">
        <v>18</v>
      </c>
    </row>
    <row r="1443" spans="2:22">
      <c r="B1443" s="251">
        <v>46265</v>
      </c>
      <c r="C1443" s="251">
        <v>46265</v>
      </c>
      <c r="D1443" s="177" t="s">
        <v>10604</v>
      </c>
      <c r="E1443" s="177">
        <v>260105023839</v>
      </c>
      <c r="F1443" s="177" t="s">
        <v>87</v>
      </c>
      <c r="G1443" s="177" t="s">
        <v>2530</v>
      </c>
      <c r="H1443" s="177">
        <v>162</v>
      </c>
      <c r="I1443" s="177">
        <v>188</v>
      </c>
      <c r="J1443" s="177">
        <v>188</v>
      </c>
      <c r="K1443" s="177">
        <v>102</v>
      </c>
      <c r="L1443" s="253">
        <v>1200</v>
      </c>
      <c r="M1443" s="177" t="s">
        <v>153</v>
      </c>
      <c r="N1443" s="177" t="s">
        <v>149</v>
      </c>
      <c r="O1443" s="177" t="s">
        <v>154</v>
      </c>
      <c r="P1443" s="177" t="s">
        <v>151</v>
      </c>
      <c r="Q1443" s="177" t="s">
        <v>155</v>
      </c>
      <c r="R1443" s="177" t="s">
        <v>10605</v>
      </c>
      <c r="S1443" s="177"/>
      <c r="T1443" s="177" t="s">
        <v>3241</v>
      </c>
      <c r="U1443" s="177" t="s">
        <v>152</v>
      </c>
      <c r="V1443" s="177" t="s">
        <v>18</v>
      </c>
    </row>
    <row r="1444" spans="2:22">
      <c r="B1444" s="251">
        <v>46265</v>
      </c>
      <c r="C1444" s="251">
        <v>46265</v>
      </c>
      <c r="D1444" s="177" t="s">
        <v>10606</v>
      </c>
      <c r="E1444" s="177">
        <v>260105523843</v>
      </c>
      <c r="F1444" s="177" t="s">
        <v>87</v>
      </c>
      <c r="G1444" s="177" t="s">
        <v>2407</v>
      </c>
      <c r="H1444" s="177">
        <v>162</v>
      </c>
      <c r="I1444" s="177">
        <v>234</v>
      </c>
      <c r="J1444" s="177">
        <v>234</v>
      </c>
      <c r="K1444" s="177">
        <v>102</v>
      </c>
      <c r="L1444" s="253">
        <v>1460</v>
      </c>
      <c r="M1444" s="177" t="s">
        <v>153</v>
      </c>
      <c r="N1444" s="177" t="s">
        <v>149</v>
      </c>
      <c r="O1444" s="177" t="s">
        <v>154</v>
      </c>
      <c r="P1444" s="177" t="s">
        <v>151</v>
      </c>
      <c r="Q1444" s="177" t="s">
        <v>155</v>
      </c>
      <c r="R1444" s="177" t="s">
        <v>10607</v>
      </c>
      <c r="S1444" s="177"/>
      <c r="T1444" s="177" t="s">
        <v>3241</v>
      </c>
      <c r="U1444" s="177" t="s">
        <v>152</v>
      </c>
      <c r="V1444" s="177" t="s">
        <v>18</v>
      </c>
    </row>
    <row r="1445" spans="2:22">
      <c r="B1445" s="251">
        <v>46265</v>
      </c>
      <c r="C1445" s="251">
        <v>46265</v>
      </c>
      <c r="D1445" s="177" t="s">
        <v>10608</v>
      </c>
      <c r="E1445" s="177">
        <v>260107323787</v>
      </c>
      <c r="F1445" s="177" t="s">
        <v>87</v>
      </c>
      <c r="G1445" s="177" t="s">
        <v>2530</v>
      </c>
      <c r="H1445" s="177">
        <v>162</v>
      </c>
      <c r="I1445" s="177">
        <v>365</v>
      </c>
      <c r="J1445" s="177">
        <v>365</v>
      </c>
      <c r="K1445" s="177">
        <v>102</v>
      </c>
      <c r="L1445" s="253">
        <v>2300</v>
      </c>
      <c r="M1445" s="177" t="s">
        <v>153</v>
      </c>
      <c r="N1445" s="177" t="s">
        <v>149</v>
      </c>
      <c r="O1445" s="177" t="s">
        <v>154</v>
      </c>
      <c r="P1445" s="177" t="s">
        <v>151</v>
      </c>
      <c r="Q1445" s="177" t="s">
        <v>155</v>
      </c>
      <c r="R1445" s="177" t="s">
        <v>10609</v>
      </c>
      <c r="S1445" s="177"/>
      <c r="T1445" s="177" t="s">
        <v>3241</v>
      </c>
      <c r="U1445" s="177" t="s">
        <v>152</v>
      </c>
      <c r="V1445" s="177" t="s">
        <v>18</v>
      </c>
    </row>
    <row r="1446" spans="2:22">
      <c r="B1446" s="251">
        <v>46265</v>
      </c>
      <c r="C1446" s="251">
        <v>46265</v>
      </c>
      <c r="D1446" s="177" t="s">
        <v>10610</v>
      </c>
      <c r="E1446" s="177">
        <v>260107323850</v>
      </c>
      <c r="F1446" s="177" t="s">
        <v>87</v>
      </c>
      <c r="G1446" s="177" t="s">
        <v>2530</v>
      </c>
      <c r="H1446" s="177">
        <v>162</v>
      </c>
      <c r="I1446" s="177">
        <v>351</v>
      </c>
      <c r="J1446" s="177">
        <v>351</v>
      </c>
      <c r="K1446" s="177">
        <v>102</v>
      </c>
      <c r="L1446" s="253">
        <v>2185</v>
      </c>
      <c r="M1446" s="177" t="s">
        <v>153</v>
      </c>
      <c r="N1446" s="177" t="s">
        <v>149</v>
      </c>
      <c r="O1446" s="177" t="s">
        <v>154</v>
      </c>
      <c r="P1446" s="177" t="s">
        <v>151</v>
      </c>
      <c r="Q1446" s="177" t="s">
        <v>155</v>
      </c>
      <c r="R1446" s="177" t="s">
        <v>10611</v>
      </c>
      <c r="S1446" s="177"/>
      <c r="T1446" s="177" t="s">
        <v>3241</v>
      </c>
      <c r="U1446" s="177" t="s">
        <v>152</v>
      </c>
      <c r="V1446" s="177" t="s">
        <v>18</v>
      </c>
    </row>
    <row r="1447" spans="2:22">
      <c r="B1447" s="251">
        <v>46265</v>
      </c>
      <c r="C1447" s="251">
        <v>46265</v>
      </c>
      <c r="D1447" s="177" t="s">
        <v>10612</v>
      </c>
      <c r="E1447" s="177">
        <v>260103423792</v>
      </c>
      <c r="F1447" s="177" t="s">
        <v>87</v>
      </c>
      <c r="G1447" s="177" t="s">
        <v>824</v>
      </c>
      <c r="H1447" s="177">
        <v>182</v>
      </c>
      <c r="I1447" s="177">
        <v>364</v>
      </c>
      <c r="J1447" s="177">
        <v>364</v>
      </c>
      <c r="K1447" s="177">
        <v>104</v>
      </c>
      <c r="L1447" s="253">
        <v>2000</v>
      </c>
      <c r="M1447" s="177" t="s">
        <v>153</v>
      </c>
      <c r="N1447" s="177" t="s">
        <v>149</v>
      </c>
      <c r="O1447" s="177" t="s">
        <v>154</v>
      </c>
      <c r="P1447" s="177" t="s">
        <v>151</v>
      </c>
      <c r="Q1447" s="177" t="s">
        <v>155</v>
      </c>
      <c r="R1447" s="177" t="s">
        <v>10613</v>
      </c>
      <c r="S1447" s="177"/>
      <c r="T1447" s="177" t="s">
        <v>3241</v>
      </c>
      <c r="U1447" s="177" t="s">
        <v>152</v>
      </c>
      <c r="V1447" s="177" t="s">
        <v>18</v>
      </c>
    </row>
    <row r="1448" spans="2:22">
      <c r="B1448" s="251">
        <v>46265</v>
      </c>
      <c r="C1448" s="251">
        <v>46265</v>
      </c>
      <c r="D1448" s="177" t="s">
        <v>10614</v>
      </c>
      <c r="E1448" s="177">
        <v>260103423793</v>
      </c>
      <c r="F1448" s="177" t="s">
        <v>87</v>
      </c>
      <c r="G1448" s="177" t="s">
        <v>824</v>
      </c>
      <c r="H1448" s="177">
        <v>182</v>
      </c>
      <c r="I1448" s="177">
        <v>364</v>
      </c>
      <c r="J1448" s="177">
        <v>364</v>
      </c>
      <c r="K1448" s="177">
        <v>104</v>
      </c>
      <c r="L1448" s="253">
        <v>2000</v>
      </c>
      <c r="M1448" s="177" t="s">
        <v>153</v>
      </c>
      <c r="N1448" s="177" t="s">
        <v>149</v>
      </c>
      <c r="O1448" s="177" t="s">
        <v>154</v>
      </c>
      <c r="P1448" s="177" t="s">
        <v>151</v>
      </c>
      <c r="Q1448" s="177" t="s">
        <v>155</v>
      </c>
      <c r="R1448" s="177" t="s">
        <v>10615</v>
      </c>
      <c r="S1448" s="177"/>
      <c r="T1448" s="177" t="s">
        <v>3241</v>
      </c>
      <c r="U1448" s="177" t="s">
        <v>152</v>
      </c>
      <c r="V1448" s="177" t="s">
        <v>18</v>
      </c>
    </row>
    <row r="1449" spans="2:22">
      <c r="B1449" s="251">
        <v>46265</v>
      </c>
      <c r="C1449" s="251">
        <v>46265</v>
      </c>
      <c r="D1449" s="177" t="s">
        <v>10616</v>
      </c>
      <c r="E1449" s="177">
        <v>260102923790</v>
      </c>
      <c r="F1449" s="177" t="s">
        <v>87</v>
      </c>
      <c r="G1449" s="177" t="s">
        <v>824</v>
      </c>
      <c r="H1449" s="177">
        <v>152</v>
      </c>
      <c r="I1449" s="177">
        <v>286</v>
      </c>
      <c r="J1449" s="177">
        <v>286</v>
      </c>
      <c r="K1449" s="177">
        <v>104</v>
      </c>
      <c r="L1449" s="253">
        <v>1880</v>
      </c>
      <c r="M1449" s="177" t="s">
        <v>153</v>
      </c>
      <c r="N1449" s="177" t="s">
        <v>149</v>
      </c>
      <c r="O1449" s="177" t="s">
        <v>154</v>
      </c>
      <c r="P1449" s="177" t="s">
        <v>151</v>
      </c>
      <c r="Q1449" s="177" t="s">
        <v>155</v>
      </c>
      <c r="R1449" s="177" t="s">
        <v>10617</v>
      </c>
      <c r="S1449" s="177"/>
      <c r="T1449" s="177" t="s">
        <v>3241</v>
      </c>
      <c r="U1449" s="177" t="s">
        <v>152</v>
      </c>
      <c r="V1449" s="177" t="s">
        <v>18</v>
      </c>
    </row>
    <row r="1450" spans="2:22">
      <c r="B1450" s="251">
        <v>46265</v>
      </c>
      <c r="C1450" s="251">
        <v>46265</v>
      </c>
      <c r="D1450" s="177" t="s">
        <v>10618</v>
      </c>
      <c r="E1450" s="177">
        <v>260102723806</v>
      </c>
      <c r="F1450" s="177" t="s">
        <v>87</v>
      </c>
      <c r="G1450" s="177" t="s">
        <v>8032</v>
      </c>
      <c r="H1450" s="177">
        <v>102</v>
      </c>
      <c r="I1450" s="177">
        <v>258</v>
      </c>
      <c r="J1450" s="177">
        <v>258</v>
      </c>
      <c r="K1450" s="177">
        <v>130</v>
      </c>
      <c r="L1450" s="253">
        <v>1000</v>
      </c>
      <c r="M1450" s="177" t="s">
        <v>153</v>
      </c>
      <c r="N1450" s="177" t="s">
        <v>149</v>
      </c>
      <c r="O1450" s="177" t="s">
        <v>154</v>
      </c>
      <c r="P1450" s="177" t="s">
        <v>151</v>
      </c>
      <c r="Q1450" s="177" t="s">
        <v>155</v>
      </c>
      <c r="R1450" s="177" t="s">
        <v>10619</v>
      </c>
      <c r="S1450" s="177"/>
      <c r="T1450" s="177" t="s">
        <v>3241</v>
      </c>
      <c r="U1450" s="177" t="s">
        <v>152</v>
      </c>
      <c r="V1450" s="177" t="s">
        <v>18</v>
      </c>
    </row>
    <row r="1451" spans="2:22">
      <c r="B1451" s="251">
        <v>46265</v>
      </c>
      <c r="C1451" s="251">
        <v>46265</v>
      </c>
      <c r="D1451" s="177" t="s">
        <v>10620</v>
      </c>
      <c r="E1451" s="177">
        <v>260102423814</v>
      </c>
      <c r="F1451" s="177" t="s">
        <v>87</v>
      </c>
      <c r="G1451" s="177" t="s">
        <v>8032</v>
      </c>
      <c r="H1451" s="177">
        <v>102</v>
      </c>
      <c r="I1451" s="177">
        <v>260</v>
      </c>
      <c r="J1451" s="177">
        <v>260</v>
      </c>
      <c r="K1451" s="177">
        <v>130</v>
      </c>
      <c r="L1451" s="253">
        <v>1000</v>
      </c>
      <c r="M1451" s="177" t="s">
        <v>153</v>
      </c>
      <c r="N1451" s="177" t="s">
        <v>149</v>
      </c>
      <c r="O1451" s="177" t="s">
        <v>154</v>
      </c>
      <c r="P1451" s="177" t="s">
        <v>151</v>
      </c>
      <c r="Q1451" s="177" t="s">
        <v>155</v>
      </c>
      <c r="R1451" s="177" t="s">
        <v>10621</v>
      </c>
      <c r="S1451" s="177"/>
      <c r="T1451" s="177" t="s">
        <v>3241</v>
      </c>
      <c r="U1451" s="177" t="s">
        <v>152</v>
      </c>
      <c r="V1451" s="177" t="s">
        <v>18</v>
      </c>
    </row>
    <row r="1452" spans="2:22">
      <c r="B1452" s="251">
        <v>46265</v>
      </c>
      <c r="C1452" s="251">
        <v>46265</v>
      </c>
      <c r="D1452" s="177" t="s">
        <v>10622</v>
      </c>
      <c r="E1452" s="177">
        <v>260102523795</v>
      </c>
      <c r="F1452" s="177" t="s">
        <v>87</v>
      </c>
      <c r="G1452" s="177" t="s">
        <v>8032</v>
      </c>
      <c r="H1452" s="177">
        <v>102</v>
      </c>
      <c r="I1452" s="177">
        <v>291</v>
      </c>
      <c r="J1452" s="177">
        <v>291</v>
      </c>
      <c r="K1452" s="177">
        <v>130</v>
      </c>
      <c r="L1452" s="253">
        <v>1120</v>
      </c>
      <c r="M1452" s="177" t="s">
        <v>153</v>
      </c>
      <c r="N1452" s="177" t="s">
        <v>149</v>
      </c>
      <c r="O1452" s="177" t="s">
        <v>154</v>
      </c>
      <c r="P1452" s="177" t="s">
        <v>151</v>
      </c>
      <c r="Q1452" s="177" t="s">
        <v>155</v>
      </c>
      <c r="R1452" s="177" t="s">
        <v>10623</v>
      </c>
      <c r="S1452" s="177"/>
      <c r="T1452" s="177" t="s">
        <v>3241</v>
      </c>
      <c r="U1452" s="177" t="s">
        <v>152</v>
      </c>
      <c r="V1452" s="177" t="s">
        <v>18</v>
      </c>
    </row>
    <row r="1453" spans="2:22">
      <c r="B1453" s="251">
        <v>46265</v>
      </c>
      <c r="C1453" s="251">
        <v>46265</v>
      </c>
      <c r="D1453" s="177" t="s">
        <v>10624</v>
      </c>
      <c r="E1453" s="177">
        <v>260102523811</v>
      </c>
      <c r="F1453" s="177" t="s">
        <v>87</v>
      </c>
      <c r="G1453" s="177" t="s">
        <v>8032</v>
      </c>
      <c r="H1453" s="177">
        <v>102</v>
      </c>
      <c r="I1453" s="177">
        <v>259</v>
      </c>
      <c r="J1453" s="177">
        <v>259</v>
      </c>
      <c r="K1453" s="177">
        <v>130</v>
      </c>
      <c r="L1453" s="253">
        <v>1000</v>
      </c>
      <c r="M1453" s="177" t="s">
        <v>153</v>
      </c>
      <c r="N1453" s="177" t="s">
        <v>149</v>
      </c>
      <c r="O1453" s="177" t="s">
        <v>154</v>
      </c>
      <c r="P1453" s="177" t="s">
        <v>151</v>
      </c>
      <c r="Q1453" s="177" t="s">
        <v>155</v>
      </c>
      <c r="R1453" s="177" t="s">
        <v>10625</v>
      </c>
      <c r="S1453" s="177"/>
      <c r="T1453" s="177" t="s">
        <v>3241</v>
      </c>
      <c r="U1453" s="177" t="s">
        <v>152</v>
      </c>
      <c r="V1453" s="177" t="s">
        <v>18</v>
      </c>
    </row>
    <row r="1454" spans="2:22">
      <c r="B1454" s="251">
        <v>46265</v>
      </c>
      <c r="C1454" s="251">
        <v>46265</v>
      </c>
      <c r="D1454" s="177" t="s">
        <v>10626</v>
      </c>
      <c r="E1454" s="177">
        <v>260102623810</v>
      </c>
      <c r="F1454" s="177" t="s">
        <v>87</v>
      </c>
      <c r="G1454" s="177" t="s">
        <v>8032</v>
      </c>
      <c r="H1454" s="177">
        <v>102</v>
      </c>
      <c r="I1454" s="177">
        <v>346</v>
      </c>
      <c r="J1454" s="177">
        <v>346</v>
      </c>
      <c r="K1454" s="177">
        <v>130</v>
      </c>
      <c r="L1454" s="253">
        <v>1335</v>
      </c>
      <c r="M1454" s="177" t="s">
        <v>153</v>
      </c>
      <c r="N1454" s="177" t="s">
        <v>149</v>
      </c>
      <c r="O1454" s="177" t="s">
        <v>154</v>
      </c>
      <c r="P1454" s="177" t="s">
        <v>151</v>
      </c>
      <c r="Q1454" s="177" t="s">
        <v>155</v>
      </c>
      <c r="R1454" s="177" t="s">
        <v>10627</v>
      </c>
      <c r="S1454" s="177"/>
      <c r="T1454" s="177" t="s">
        <v>3241</v>
      </c>
      <c r="U1454" s="177" t="s">
        <v>152</v>
      </c>
      <c r="V1454" s="177" t="s">
        <v>18</v>
      </c>
    </row>
    <row r="1455" spans="2:22">
      <c r="B1455" s="251">
        <v>46265</v>
      </c>
      <c r="C1455" s="251">
        <v>46265</v>
      </c>
      <c r="D1455" s="177" t="s">
        <v>10628</v>
      </c>
      <c r="E1455" s="177">
        <v>260102423813</v>
      </c>
      <c r="F1455" s="177" t="s">
        <v>87</v>
      </c>
      <c r="G1455" s="177" t="s">
        <v>8032</v>
      </c>
      <c r="H1455" s="177">
        <v>102</v>
      </c>
      <c r="I1455" s="177">
        <v>183</v>
      </c>
      <c r="J1455" s="177">
        <v>183</v>
      </c>
      <c r="K1455" s="177">
        <v>130</v>
      </c>
      <c r="L1455" s="177">
        <v>715</v>
      </c>
      <c r="M1455" s="177" t="s">
        <v>153</v>
      </c>
      <c r="N1455" s="177" t="s">
        <v>149</v>
      </c>
      <c r="O1455" s="177" t="s">
        <v>154</v>
      </c>
      <c r="P1455" s="177" t="s">
        <v>151</v>
      </c>
      <c r="Q1455" s="177" t="s">
        <v>155</v>
      </c>
      <c r="R1455" s="177" t="s">
        <v>10629</v>
      </c>
      <c r="S1455" s="177"/>
      <c r="T1455" s="177" t="s">
        <v>3241</v>
      </c>
      <c r="U1455" s="177" t="s">
        <v>152</v>
      </c>
      <c r="V1455" s="177" t="s">
        <v>18</v>
      </c>
    </row>
    <row r="1456" spans="2:22">
      <c r="B1456" s="251">
        <v>46265</v>
      </c>
      <c r="C1456" s="251">
        <v>46265</v>
      </c>
      <c r="D1456" s="177" t="s">
        <v>10630</v>
      </c>
      <c r="E1456" s="177">
        <v>260103023791</v>
      </c>
      <c r="F1456" s="177" t="s">
        <v>87</v>
      </c>
      <c r="G1456" s="177" t="s">
        <v>10014</v>
      </c>
      <c r="H1456" s="177">
        <v>102</v>
      </c>
      <c r="I1456" s="177">
        <v>433</v>
      </c>
      <c r="J1456" s="177">
        <v>433</v>
      </c>
      <c r="K1456" s="177">
        <v>130</v>
      </c>
      <c r="L1456" s="253">
        <v>1700</v>
      </c>
      <c r="M1456" s="177" t="s">
        <v>153</v>
      </c>
      <c r="N1456" s="177" t="s">
        <v>149</v>
      </c>
      <c r="O1456" s="177" t="s">
        <v>154</v>
      </c>
      <c r="P1456" s="177" t="s">
        <v>151</v>
      </c>
      <c r="Q1456" s="177" t="s">
        <v>155</v>
      </c>
      <c r="R1456" s="177" t="s">
        <v>10631</v>
      </c>
      <c r="S1456" s="177"/>
      <c r="T1456" s="177" t="s">
        <v>3241</v>
      </c>
      <c r="U1456" s="177" t="s">
        <v>152</v>
      </c>
      <c r="V1456" s="177" t="s">
        <v>18</v>
      </c>
    </row>
    <row r="1457" spans="2:22">
      <c r="B1457" s="251">
        <v>46265</v>
      </c>
      <c r="C1457" s="251">
        <v>46265</v>
      </c>
      <c r="D1457" s="177" t="s">
        <v>10632</v>
      </c>
      <c r="E1457" s="177">
        <v>260101923815</v>
      </c>
      <c r="F1457" s="177" t="s">
        <v>87</v>
      </c>
      <c r="G1457" s="177" t="s">
        <v>8681</v>
      </c>
      <c r="H1457" s="177">
        <v>92</v>
      </c>
      <c r="I1457" s="177">
        <v>240</v>
      </c>
      <c r="J1457" s="177">
        <v>240</v>
      </c>
      <c r="K1457" s="177">
        <v>134</v>
      </c>
      <c r="L1457" s="253">
        <v>1000</v>
      </c>
      <c r="M1457" s="177" t="s">
        <v>153</v>
      </c>
      <c r="N1457" s="177" t="s">
        <v>149</v>
      </c>
      <c r="O1457" s="177" t="s">
        <v>154</v>
      </c>
      <c r="P1457" s="177" t="s">
        <v>151</v>
      </c>
      <c r="Q1457" s="177" t="s">
        <v>155</v>
      </c>
      <c r="R1457" s="177" t="s">
        <v>10633</v>
      </c>
      <c r="S1457" s="177"/>
      <c r="T1457" s="177" t="s">
        <v>3241</v>
      </c>
      <c r="U1457" s="177" t="s">
        <v>152</v>
      </c>
      <c r="V1457" s="177" t="s">
        <v>18</v>
      </c>
    </row>
    <row r="1458" spans="2:22">
      <c r="B1458" s="251">
        <v>46265</v>
      </c>
      <c r="C1458" s="251">
        <v>46265</v>
      </c>
      <c r="D1458" s="177" t="s">
        <v>10634</v>
      </c>
      <c r="E1458" s="177">
        <v>260101623801</v>
      </c>
      <c r="F1458" s="177" t="s">
        <v>87</v>
      </c>
      <c r="G1458" s="177" t="s">
        <v>2408</v>
      </c>
      <c r="H1458" s="177">
        <v>112</v>
      </c>
      <c r="I1458" s="177">
        <v>394</v>
      </c>
      <c r="J1458" s="177">
        <v>394</v>
      </c>
      <c r="K1458" s="177">
        <v>160</v>
      </c>
      <c r="L1458" s="253">
        <v>1100</v>
      </c>
      <c r="M1458" s="177" t="s">
        <v>153</v>
      </c>
      <c r="N1458" s="177" t="s">
        <v>149</v>
      </c>
      <c r="O1458" s="177" t="s">
        <v>154</v>
      </c>
      <c r="P1458" s="177" t="s">
        <v>151</v>
      </c>
      <c r="Q1458" s="177" t="s">
        <v>155</v>
      </c>
      <c r="R1458" s="177" t="s">
        <v>10635</v>
      </c>
      <c r="S1458" s="177"/>
      <c r="T1458" s="177" t="s">
        <v>3241</v>
      </c>
      <c r="U1458" s="177" t="s">
        <v>152</v>
      </c>
      <c r="V1458" s="177" t="s">
        <v>18</v>
      </c>
    </row>
    <row r="1459" spans="2:22">
      <c r="B1459" s="251">
        <v>46265</v>
      </c>
      <c r="C1459" s="251">
        <v>46265</v>
      </c>
      <c r="D1459" s="177" t="s">
        <v>10636</v>
      </c>
      <c r="E1459" s="177">
        <v>260101623809</v>
      </c>
      <c r="F1459" s="177" t="s">
        <v>87</v>
      </c>
      <c r="G1459" s="177" t="s">
        <v>2408</v>
      </c>
      <c r="H1459" s="177">
        <v>112</v>
      </c>
      <c r="I1459" s="177">
        <v>348</v>
      </c>
      <c r="J1459" s="177">
        <v>348</v>
      </c>
      <c r="K1459" s="177">
        <v>160</v>
      </c>
      <c r="L1459" s="253">
        <v>1000</v>
      </c>
      <c r="M1459" s="177" t="s">
        <v>153</v>
      </c>
      <c r="N1459" s="177" t="s">
        <v>149</v>
      </c>
      <c r="O1459" s="177" t="s">
        <v>154</v>
      </c>
      <c r="P1459" s="177" t="s">
        <v>151</v>
      </c>
      <c r="Q1459" s="177" t="s">
        <v>155</v>
      </c>
      <c r="R1459" s="177" t="s">
        <v>10637</v>
      </c>
      <c r="S1459" s="177"/>
      <c r="T1459" s="177" t="s">
        <v>3241</v>
      </c>
      <c r="U1459" s="177" t="s">
        <v>152</v>
      </c>
      <c r="V1459" s="177" t="s">
        <v>18</v>
      </c>
    </row>
    <row r="1460" spans="2:22">
      <c r="B1460" s="251">
        <v>46265</v>
      </c>
      <c r="C1460" s="251">
        <v>46265</v>
      </c>
      <c r="D1460" s="177" t="s">
        <v>10638</v>
      </c>
      <c r="E1460" s="177">
        <v>260101523794</v>
      </c>
      <c r="F1460" s="177" t="s">
        <v>87</v>
      </c>
      <c r="G1460" s="177" t="s">
        <v>2408</v>
      </c>
      <c r="H1460" s="177">
        <v>112</v>
      </c>
      <c r="I1460" s="177">
        <v>405</v>
      </c>
      <c r="J1460" s="177">
        <v>405</v>
      </c>
      <c r="K1460" s="177">
        <v>160</v>
      </c>
      <c r="L1460" s="253">
        <v>1140</v>
      </c>
      <c r="M1460" s="177" t="s">
        <v>153</v>
      </c>
      <c r="N1460" s="177" t="s">
        <v>149</v>
      </c>
      <c r="O1460" s="177" t="s">
        <v>154</v>
      </c>
      <c r="P1460" s="177" t="s">
        <v>151</v>
      </c>
      <c r="Q1460" s="177" t="s">
        <v>155</v>
      </c>
      <c r="R1460" s="177" t="s">
        <v>10639</v>
      </c>
      <c r="S1460" s="177"/>
      <c r="T1460" s="177" t="s">
        <v>3241</v>
      </c>
      <c r="U1460" s="177" t="s">
        <v>152</v>
      </c>
      <c r="V1460" s="177" t="s">
        <v>18</v>
      </c>
    </row>
    <row r="1461" spans="2:22">
      <c r="B1461" s="251">
        <v>46265</v>
      </c>
      <c r="C1461" s="251">
        <v>46265</v>
      </c>
      <c r="D1461" s="177" t="s">
        <v>10640</v>
      </c>
      <c r="E1461" s="177">
        <v>260101523805</v>
      </c>
      <c r="F1461" s="177" t="s">
        <v>87</v>
      </c>
      <c r="G1461" s="177" t="s">
        <v>2408</v>
      </c>
      <c r="H1461" s="177">
        <v>112</v>
      </c>
      <c r="I1461" s="177">
        <v>355</v>
      </c>
      <c r="J1461" s="177">
        <v>355</v>
      </c>
      <c r="K1461" s="177">
        <v>160</v>
      </c>
      <c r="L1461" s="253">
        <v>1000</v>
      </c>
      <c r="M1461" s="177" t="s">
        <v>153</v>
      </c>
      <c r="N1461" s="177" t="s">
        <v>149</v>
      </c>
      <c r="O1461" s="177" t="s">
        <v>154</v>
      </c>
      <c r="P1461" s="177" t="s">
        <v>151</v>
      </c>
      <c r="Q1461" s="177" t="s">
        <v>155</v>
      </c>
      <c r="R1461" s="177" t="s">
        <v>10641</v>
      </c>
      <c r="S1461" s="177"/>
      <c r="T1461" s="177" t="s">
        <v>3241</v>
      </c>
      <c r="U1461" s="177" t="s">
        <v>152</v>
      </c>
      <c r="V1461" s="177" t="s">
        <v>18</v>
      </c>
    </row>
    <row r="1462" spans="2:22">
      <c r="B1462" s="251">
        <v>46265</v>
      </c>
      <c r="C1462" s="251">
        <v>46265</v>
      </c>
      <c r="D1462" s="177" t="s">
        <v>10642</v>
      </c>
      <c r="E1462" s="177">
        <v>260100723774</v>
      </c>
      <c r="F1462" s="177" t="s">
        <v>87</v>
      </c>
      <c r="G1462" s="177" t="s">
        <v>2079</v>
      </c>
      <c r="H1462" s="177">
        <v>122</v>
      </c>
      <c r="I1462" s="177">
        <v>343</v>
      </c>
      <c r="J1462" s="177">
        <v>343</v>
      </c>
      <c r="K1462" s="177">
        <v>180</v>
      </c>
      <c r="L1462" s="177">
        <v>770</v>
      </c>
      <c r="M1462" s="177" t="s">
        <v>153</v>
      </c>
      <c r="N1462" s="177" t="s">
        <v>149</v>
      </c>
      <c r="O1462" s="177" t="s">
        <v>154</v>
      </c>
      <c r="P1462" s="177" t="s">
        <v>151</v>
      </c>
      <c r="Q1462" s="177" t="s">
        <v>155</v>
      </c>
      <c r="R1462" s="177" t="s">
        <v>10643</v>
      </c>
      <c r="S1462" s="177"/>
      <c r="T1462" s="177" t="s">
        <v>3241</v>
      </c>
      <c r="U1462" s="177" t="s">
        <v>152</v>
      </c>
      <c r="V1462" s="177" t="s">
        <v>18</v>
      </c>
    </row>
    <row r="1463" spans="2:22">
      <c r="B1463" s="251">
        <v>46265</v>
      </c>
      <c r="C1463" s="251">
        <v>46265</v>
      </c>
      <c r="D1463" s="177" t="s">
        <v>10644</v>
      </c>
      <c r="E1463" s="177">
        <v>260100923776</v>
      </c>
      <c r="F1463" s="177" t="s">
        <v>87</v>
      </c>
      <c r="G1463" s="177" t="s">
        <v>2079</v>
      </c>
      <c r="H1463" s="177">
        <v>102</v>
      </c>
      <c r="I1463" s="177">
        <v>358</v>
      </c>
      <c r="J1463" s="177">
        <v>358</v>
      </c>
      <c r="K1463" s="177">
        <v>180</v>
      </c>
      <c r="L1463" s="253">
        <v>1000</v>
      </c>
      <c r="M1463" s="177" t="s">
        <v>153</v>
      </c>
      <c r="N1463" s="177" t="s">
        <v>149</v>
      </c>
      <c r="O1463" s="177" t="s">
        <v>154</v>
      </c>
      <c r="P1463" s="177" t="s">
        <v>151</v>
      </c>
      <c r="Q1463" s="177" t="s">
        <v>155</v>
      </c>
      <c r="R1463" s="177" t="s">
        <v>10645</v>
      </c>
      <c r="S1463" s="177"/>
      <c r="T1463" s="177" t="s">
        <v>3241</v>
      </c>
      <c r="U1463" s="177" t="s">
        <v>152</v>
      </c>
      <c r="V1463" s="177" t="s">
        <v>18</v>
      </c>
    </row>
    <row r="1464" spans="2:22">
      <c r="B1464" s="251">
        <v>46265</v>
      </c>
      <c r="C1464" s="251">
        <v>46265</v>
      </c>
      <c r="D1464" s="177" t="s">
        <v>10646</v>
      </c>
      <c r="E1464" s="177">
        <v>260100723773</v>
      </c>
      <c r="F1464" s="177" t="s">
        <v>87</v>
      </c>
      <c r="G1464" s="177" t="s">
        <v>2079</v>
      </c>
      <c r="H1464" s="177">
        <v>122</v>
      </c>
      <c r="I1464" s="177">
        <v>188</v>
      </c>
      <c r="J1464" s="177">
        <v>188</v>
      </c>
      <c r="K1464" s="177">
        <v>180</v>
      </c>
      <c r="L1464" s="177">
        <v>420</v>
      </c>
      <c r="M1464" s="177" t="s">
        <v>153</v>
      </c>
      <c r="N1464" s="177" t="s">
        <v>149</v>
      </c>
      <c r="O1464" s="177" t="s">
        <v>154</v>
      </c>
      <c r="P1464" s="177" t="s">
        <v>151</v>
      </c>
      <c r="Q1464" s="177" t="s">
        <v>155</v>
      </c>
      <c r="R1464" s="177" t="s">
        <v>10647</v>
      </c>
      <c r="S1464" s="177"/>
      <c r="T1464" s="177" t="s">
        <v>3241</v>
      </c>
      <c r="U1464" s="177" t="s">
        <v>152</v>
      </c>
      <c r="V1464" s="177" t="s">
        <v>18</v>
      </c>
    </row>
    <row r="1465" spans="2:22">
      <c r="B1465" s="251">
        <v>46265</v>
      </c>
      <c r="C1465" s="251">
        <v>46265</v>
      </c>
      <c r="D1465" s="177" t="s">
        <v>10648</v>
      </c>
      <c r="E1465" s="177">
        <v>260107123782</v>
      </c>
      <c r="F1465" s="177" t="s">
        <v>87</v>
      </c>
      <c r="G1465" s="177" t="s">
        <v>8692</v>
      </c>
      <c r="H1465" s="177">
        <v>140</v>
      </c>
      <c r="I1465" s="177">
        <v>204</v>
      </c>
      <c r="J1465" s="177">
        <v>204</v>
      </c>
      <c r="K1465" s="177">
        <v>88</v>
      </c>
      <c r="L1465" s="253">
        <v>1720</v>
      </c>
      <c r="M1465" s="177" t="s">
        <v>153</v>
      </c>
      <c r="N1465" s="177" t="s">
        <v>149</v>
      </c>
      <c r="O1465" s="177" t="s">
        <v>154</v>
      </c>
      <c r="P1465" s="177" t="s">
        <v>151</v>
      </c>
      <c r="Q1465" s="177" t="s">
        <v>155</v>
      </c>
      <c r="R1465" s="177" t="s">
        <v>10649</v>
      </c>
      <c r="S1465" s="177"/>
      <c r="T1465" s="177" t="s">
        <v>3243</v>
      </c>
      <c r="U1465" s="177" t="s">
        <v>152</v>
      </c>
      <c r="V1465" s="177" t="s">
        <v>18</v>
      </c>
    </row>
    <row r="1466" spans="2:22">
      <c r="B1466" s="251">
        <v>46265</v>
      </c>
      <c r="C1466" s="251">
        <v>46265</v>
      </c>
      <c r="D1466" s="177" t="s">
        <v>10650</v>
      </c>
      <c r="E1466" s="177">
        <v>260102823808</v>
      </c>
      <c r="F1466" s="177" t="s">
        <v>87</v>
      </c>
      <c r="G1466" s="177" t="s">
        <v>8032</v>
      </c>
      <c r="H1466" s="177">
        <v>102</v>
      </c>
      <c r="I1466" s="177">
        <v>256</v>
      </c>
      <c r="J1466" s="177">
        <v>256</v>
      </c>
      <c r="K1466" s="177">
        <v>130</v>
      </c>
      <c r="L1466" s="253">
        <v>1000</v>
      </c>
      <c r="M1466" s="177" t="s">
        <v>153</v>
      </c>
      <c r="N1466" s="177" t="s">
        <v>149</v>
      </c>
      <c r="O1466" s="177" t="s">
        <v>154</v>
      </c>
      <c r="P1466" s="177" t="s">
        <v>151</v>
      </c>
      <c r="Q1466" s="177" t="s">
        <v>155</v>
      </c>
      <c r="R1466" s="177" t="s">
        <v>10651</v>
      </c>
      <c r="S1466" s="177"/>
      <c r="T1466" s="177" t="s">
        <v>3243</v>
      </c>
      <c r="U1466" s="177" t="s">
        <v>152</v>
      </c>
      <c r="V1466" s="177" t="s">
        <v>18</v>
      </c>
    </row>
    <row r="1467" spans="2:22">
      <c r="B1467" s="251">
        <v>46265</v>
      </c>
      <c r="C1467" s="251">
        <v>46265</v>
      </c>
      <c r="D1467" s="177" t="s">
        <v>10652</v>
      </c>
      <c r="E1467" s="177">
        <v>260107523785</v>
      </c>
      <c r="F1467" s="177" t="s">
        <v>87</v>
      </c>
      <c r="G1467" s="177" t="s">
        <v>2415</v>
      </c>
      <c r="H1467" s="177">
        <v>140</v>
      </c>
      <c r="I1467" s="177">
        <v>309</v>
      </c>
      <c r="J1467" s="177">
        <v>309</v>
      </c>
      <c r="K1467" s="177">
        <v>88</v>
      </c>
      <c r="L1467" s="253">
        <v>2580</v>
      </c>
      <c r="M1467" s="177" t="s">
        <v>153</v>
      </c>
      <c r="N1467" s="177" t="s">
        <v>149</v>
      </c>
      <c r="O1467" s="177" t="s">
        <v>154</v>
      </c>
      <c r="P1467" s="177" t="s">
        <v>151</v>
      </c>
      <c r="Q1467" s="177" t="s">
        <v>155</v>
      </c>
      <c r="R1467" s="177" t="s">
        <v>10653</v>
      </c>
      <c r="S1467" s="177"/>
      <c r="T1467" s="177" t="s">
        <v>3243</v>
      </c>
      <c r="U1467" s="177" t="s">
        <v>152</v>
      </c>
      <c r="V1467" s="177" t="s">
        <v>18</v>
      </c>
    </row>
    <row r="1468" spans="2:22">
      <c r="B1468" s="251">
        <v>46265</v>
      </c>
      <c r="C1468" s="251">
        <v>46265</v>
      </c>
      <c r="D1468" s="177" t="s">
        <v>10654</v>
      </c>
      <c r="E1468" s="177">
        <v>260102323800</v>
      </c>
      <c r="F1468" s="177" t="s">
        <v>87</v>
      </c>
      <c r="G1468" s="177" t="s">
        <v>8032</v>
      </c>
      <c r="H1468" s="177">
        <v>102</v>
      </c>
      <c r="I1468" s="177">
        <v>258</v>
      </c>
      <c r="J1468" s="177">
        <v>258</v>
      </c>
      <c r="K1468" s="177">
        <v>130</v>
      </c>
      <c r="L1468" s="253">
        <v>1000</v>
      </c>
      <c r="M1468" s="177" t="s">
        <v>153</v>
      </c>
      <c r="N1468" s="177" t="s">
        <v>149</v>
      </c>
      <c r="O1468" s="177" t="s">
        <v>154</v>
      </c>
      <c r="P1468" s="177" t="s">
        <v>151</v>
      </c>
      <c r="Q1468" s="177" t="s">
        <v>155</v>
      </c>
      <c r="R1468" s="177" t="s">
        <v>10655</v>
      </c>
      <c r="S1468" s="177"/>
      <c r="T1468" s="177" t="s">
        <v>3243</v>
      </c>
      <c r="U1468" s="177" t="s">
        <v>152</v>
      </c>
      <c r="V1468" s="177" t="s">
        <v>18</v>
      </c>
    </row>
    <row r="1469" spans="2:22">
      <c r="B1469" s="251">
        <v>46265</v>
      </c>
      <c r="C1469" s="251">
        <v>46265</v>
      </c>
      <c r="D1469" s="177" t="s">
        <v>10656</v>
      </c>
      <c r="E1469" s="177">
        <v>260102823802</v>
      </c>
      <c r="F1469" s="177" t="s">
        <v>87</v>
      </c>
      <c r="G1469" s="177" t="s">
        <v>8032</v>
      </c>
      <c r="H1469" s="177">
        <v>102</v>
      </c>
      <c r="I1469" s="177">
        <v>254</v>
      </c>
      <c r="J1469" s="177">
        <v>254</v>
      </c>
      <c r="K1469" s="177">
        <v>130</v>
      </c>
      <c r="L1469" s="253">
        <v>1000</v>
      </c>
      <c r="M1469" s="177" t="s">
        <v>153</v>
      </c>
      <c r="N1469" s="177" t="s">
        <v>149</v>
      </c>
      <c r="O1469" s="177" t="s">
        <v>154</v>
      </c>
      <c r="P1469" s="177" t="s">
        <v>151</v>
      </c>
      <c r="Q1469" s="177" t="s">
        <v>155</v>
      </c>
      <c r="R1469" s="177" t="s">
        <v>10657</v>
      </c>
      <c r="S1469" s="177"/>
      <c r="T1469" s="177" t="s">
        <v>3243</v>
      </c>
      <c r="U1469" s="177" t="s">
        <v>152</v>
      </c>
      <c r="V1469" s="177" t="s">
        <v>18</v>
      </c>
    </row>
    <row r="1470" spans="2:22">
      <c r="B1470" s="251">
        <v>46265</v>
      </c>
      <c r="C1470" s="251">
        <v>46265</v>
      </c>
      <c r="D1470" s="177" t="s">
        <v>10658</v>
      </c>
      <c r="E1470" s="177">
        <v>260101723812</v>
      </c>
      <c r="F1470" s="177" t="s">
        <v>87</v>
      </c>
      <c r="G1470" s="177" t="s">
        <v>10485</v>
      </c>
      <c r="H1470" s="177">
        <v>105</v>
      </c>
      <c r="I1470" s="177">
        <v>210</v>
      </c>
      <c r="J1470" s="177">
        <v>210</v>
      </c>
      <c r="K1470" s="177">
        <v>134</v>
      </c>
      <c r="L1470" s="177">
        <v>740</v>
      </c>
      <c r="M1470" s="177" t="s">
        <v>153</v>
      </c>
      <c r="N1470" s="177" t="s">
        <v>149</v>
      </c>
      <c r="O1470" s="177" t="s">
        <v>154</v>
      </c>
      <c r="P1470" s="177" t="s">
        <v>151</v>
      </c>
      <c r="Q1470" s="177" t="s">
        <v>155</v>
      </c>
      <c r="R1470" s="177" t="s">
        <v>10659</v>
      </c>
      <c r="S1470" s="177"/>
      <c r="T1470" s="177" t="s">
        <v>3243</v>
      </c>
      <c r="U1470" s="177" t="s">
        <v>152</v>
      </c>
      <c r="V1470" s="177" t="s">
        <v>18</v>
      </c>
    </row>
    <row r="1471" spans="2:22">
      <c r="B1471" s="251">
        <v>46265</v>
      </c>
      <c r="C1471" s="251">
        <v>46265</v>
      </c>
      <c r="D1471" s="177" t="s">
        <v>10660</v>
      </c>
      <c r="E1471" s="177">
        <v>260103223819</v>
      </c>
      <c r="F1471" s="177" t="s">
        <v>87</v>
      </c>
      <c r="G1471" s="177" t="s">
        <v>10594</v>
      </c>
      <c r="H1471" s="177">
        <v>140</v>
      </c>
      <c r="I1471" s="177">
        <v>202</v>
      </c>
      <c r="J1471" s="177">
        <v>202</v>
      </c>
      <c r="K1471" s="177">
        <v>88</v>
      </c>
      <c r="L1471" s="253">
        <v>1710</v>
      </c>
      <c r="M1471" s="177" t="s">
        <v>153</v>
      </c>
      <c r="N1471" s="177" t="s">
        <v>149</v>
      </c>
      <c r="O1471" s="177" t="s">
        <v>154</v>
      </c>
      <c r="P1471" s="177" t="s">
        <v>151</v>
      </c>
      <c r="Q1471" s="177" t="s">
        <v>155</v>
      </c>
      <c r="R1471" s="177" t="s">
        <v>10661</v>
      </c>
      <c r="S1471" s="177"/>
      <c r="T1471" s="177" t="s">
        <v>3243</v>
      </c>
      <c r="U1471" s="177" t="s">
        <v>152</v>
      </c>
      <c r="V1471" s="177" t="s">
        <v>18</v>
      </c>
    </row>
    <row r="1472" spans="2:22">
      <c r="B1472" s="251">
        <v>46265</v>
      </c>
      <c r="C1472" s="251">
        <v>46265</v>
      </c>
      <c r="D1472" s="177" t="s">
        <v>10662</v>
      </c>
      <c r="E1472" s="177">
        <v>260105223840</v>
      </c>
      <c r="F1472" s="177" t="s">
        <v>87</v>
      </c>
      <c r="G1472" s="177" t="s">
        <v>2527</v>
      </c>
      <c r="H1472" s="177">
        <v>152</v>
      </c>
      <c r="I1472" s="177">
        <v>102</v>
      </c>
      <c r="J1472" s="177">
        <v>102</v>
      </c>
      <c r="K1472" s="177">
        <v>104</v>
      </c>
      <c r="L1472" s="177">
        <v>670</v>
      </c>
      <c r="M1472" s="177" t="s">
        <v>153</v>
      </c>
      <c r="N1472" s="177" t="s">
        <v>149</v>
      </c>
      <c r="O1472" s="177" t="s">
        <v>154</v>
      </c>
      <c r="P1472" s="177" t="s">
        <v>151</v>
      </c>
      <c r="Q1472" s="177" t="s">
        <v>155</v>
      </c>
      <c r="R1472" s="177" t="s">
        <v>10663</v>
      </c>
      <c r="S1472" s="177"/>
      <c r="T1472" s="177" t="s">
        <v>3243</v>
      </c>
      <c r="U1472" s="177" t="s">
        <v>152</v>
      </c>
      <c r="V1472" s="177" t="s">
        <v>18</v>
      </c>
    </row>
    <row r="1473" spans="2:22">
      <c r="B1473" s="251">
        <v>46265</v>
      </c>
      <c r="C1473" s="251">
        <v>46265</v>
      </c>
      <c r="D1473" s="177" t="s">
        <v>10664</v>
      </c>
      <c r="E1473" s="177">
        <v>260107123848</v>
      </c>
      <c r="F1473" s="177" t="s">
        <v>87</v>
      </c>
      <c r="G1473" s="177" t="s">
        <v>8692</v>
      </c>
      <c r="H1473" s="177">
        <v>140</v>
      </c>
      <c r="I1473" s="177">
        <v>205</v>
      </c>
      <c r="J1473" s="177">
        <v>205</v>
      </c>
      <c r="K1473" s="177">
        <v>88</v>
      </c>
      <c r="L1473" s="253">
        <v>1725</v>
      </c>
      <c r="M1473" s="177" t="s">
        <v>153</v>
      </c>
      <c r="N1473" s="177" t="s">
        <v>149</v>
      </c>
      <c r="O1473" s="177" t="s">
        <v>154</v>
      </c>
      <c r="P1473" s="177" t="s">
        <v>151</v>
      </c>
      <c r="Q1473" s="177" t="s">
        <v>155</v>
      </c>
      <c r="R1473" s="177" t="s">
        <v>10665</v>
      </c>
      <c r="S1473" s="177"/>
      <c r="T1473" s="177" t="s">
        <v>3243</v>
      </c>
      <c r="U1473" s="177" t="s">
        <v>152</v>
      </c>
      <c r="V1473" s="177" t="s">
        <v>18</v>
      </c>
    </row>
    <row r="1474" spans="2:22">
      <c r="B1474" s="251">
        <v>46265</v>
      </c>
      <c r="C1474" s="251">
        <v>46265</v>
      </c>
      <c r="D1474" s="177" t="s">
        <v>10666</v>
      </c>
      <c r="E1474" s="177">
        <v>260102923820</v>
      </c>
      <c r="F1474" s="177" t="s">
        <v>87</v>
      </c>
      <c r="G1474" s="177" t="s">
        <v>10667</v>
      </c>
      <c r="H1474" s="177">
        <v>102</v>
      </c>
      <c r="I1474" s="177">
        <v>304</v>
      </c>
      <c r="J1474" s="177">
        <v>304</v>
      </c>
      <c r="K1474" s="177">
        <v>130</v>
      </c>
      <c r="L1474" s="253">
        <v>1150</v>
      </c>
      <c r="M1474" s="177" t="s">
        <v>153</v>
      </c>
      <c r="N1474" s="177" t="s">
        <v>149</v>
      </c>
      <c r="O1474" s="177" t="s">
        <v>154</v>
      </c>
      <c r="P1474" s="177" t="s">
        <v>151</v>
      </c>
      <c r="Q1474" s="177" t="s">
        <v>155</v>
      </c>
      <c r="R1474" s="177" t="s">
        <v>10668</v>
      </c>
      <c r="S1474" s="177"/>
      <c r="T1474" s="177" t="s">
        <v>3243</v>
      </c>
      <c r="U1474" s="177" t="s">
        <v>152</v>
      </c>
      <c r="V1474" s="177" t="s">
        <v>18</v>
      </c>
    </row>
    <row r="1475" spans="2:22">
      <c r="B1475" s="251">
        <v>46265</v>
      </c>
      <c r="C1475" s="251">
        <v>46265</v>
      </c>
      <c r="D1475" s="177" t="s">
        <v>10669</v>
      </c>
      <c r="E1475" s="177">
        <v>260102223798</v>
      </c>
      <c r="F1475" s="177" t="s">
        <v>87</v>
      </c>
      <c r="G1475" s="177" t="s">
        <v>9731</v>
      </c>
      <c r="H1475" s="177">
        <v>102</v>
      </c>
      <c r="I1475" s="177">
        <v>260</v>
      </c>
      <c r="J1475" s="177">
        <v>260</v>
      </c>
      <c r="K1475" s="177">
        <v>130</v>
      </c>
      <c r="L1475" s="253">
        <v>1000</v>
      </c>
      <c r="M1475" s="177" t="s">
        <v>153</v>
      </c>
      <c r="N1475" s="177" t="s">
        <v>149</v>
      </c>
      <c r="O1475" s="177" t="s">
        <v>154</v>
      </c>
      <c r="P1475" s="177" t="s">
        <v>151</v>
      </c>
      <c r="Q1475" s="177" t="s">
        <v>155</v>
      </c>
      <c r="R1475" s="177" t="s">
        <v>10670</v>
      </c>
      <c r="S1475" s="177"/>
      <c r="T1475" s="177" t="s">
        <v>3243</v>
      </c>
      <c r="U1475" s="177" t="s">
        <v>152</v>
      </c>
      <c r="V1475" s="177" t="s">
        <v>18</v>
      </c>
    </row>
    <row r="1476" spans="2:22">
      <c r="B1476" s="251">
        <v>46265</v>
      </c>
      <c r="C1476" s="251">
        <v>46265</v>
      </c>
      <c r="D1476" s="177" t="s">
        <v>10671</v>
      </c>
      <c r="E1476" s="177">
        <v>260102023797</v>
      </c>
      <c r="F1476" s="177" t="s">
        <v>87</v>
      </c>
      <c r="G1476" s="177" t="s">
        <v>8681</v>
      </c>
      <c r="H1476" s="177">
        <v>92</v>
      </c>
      <c r="I1476" s="177">
        <v>251</v>
      </c>
      <c r="J1476" s="177">
        <v>251</v>
      </c>
      <c r="K1476" s="177">
        <v>134</v>
      </c>
      <c r="L1476" s="253">
        <v>1050</v>
      </c>
      <c r="M1476" s="177" t="s">
        <v>153</v>
      </c>
      <c r="N1476" s="177" t="s">
        <v>149</v>
      </c>
      <c r="O1476" s="177" t="s">
        <v>154</v>
      </c>
      <c r="P1476" s="177" t="s">
        <v>151</v>
      </c>
      <c r="Q1476" s="177" t="s">
        <v>155</v>
      </c>
      <c r="R1476" s="177" t="s">
        <v>10672</v>
      </c>
      <c r="S1476" s="177"/>
      <c r="T1476" s="177" t="s">
        <v>3243</v>
      </c>
      <c r="U1476" s="177" t="s">
        <v>152</v>
      </c>
      <c r="V1476" s="177" t="s">
        <v>18</v>
      </c>
    </row>
    <row r="1477" spans="2:22">
      <c r="B1477" s="251">
        <v>46265</v>
      </c>
      <c r="C1477" s="251">
        <v>46265</v>
      </c>
      <c r="D1477" s="177" t="s">
        <v>10673</v>
      </c>
      <c r="E1477" s="177">
        <v>260102223807</v>
      </c>
      <c r="F1477" s="177" t="s">
        <v>87</v>
      </c>
      <c r="G1477" s="177" t="s">
        <v>9731</v>
      </c>
      <c r="H1477" s="177">
        <v>102</v>
      </c>
      <c r="I1477" s="177">
        <v>260</v>
      </c>
      <c r="J1477" s="177">
        <v>260</v>
      </c>
      <c r="K1477" s="177">
        <v>130</v>
      </c>
      <c r="L1477" s="253">
        <v>1000</v>
      </c>
      <c r="M1477" s="177" t="s">
        <v>153</v>
      </c>
      <c r="N1477" s="177" t="s">
        <v>149</v>
      </c>
      <c r="O1477" s="177" t="s">
        <v>154</v>
      </c>
      <c r="P1477" s="177" t="s">
        <v>151</v>
      </c>
      <c r="Q1477" s="177" t="s">
        <v>155</v>
      </c>
      <c r="R1477" s="177" t="s">
        <v>10674</v>
      </c>
      <c r="S1477" s="177"/>
      <c r="T1477" s="177" t="s">
        <v>3243</v>
      </c>
      <c r="U1477" s="177" t="s">
        <v>152</v>
      </c>
      <c r="V1477" s="177" t="s">
        <v>18</v>
      </c>
    </row>
    <row r="1478" spans="2:22">
      <c r="B1478" s="251">
        <v>46265</v>
      </c>
      <c r="C1478" s="251">
        <v>46265</v>
      </c>
      <c r="D1478" s="177" t="s">
        <v>10675</v>
      </c>
      <c r="E1478" s="177">
        <v>260101723796</v>
      </c>
      <c r="F1478" s="177" t="s">
        <v>87</v>
      </c>
      <c r="G1478" s="177" t="s">
        <v>10485</v>
      </c>
      <c r="H1478" s="177">
        <v>105</v>
      </c>
      <c r="I1478" s="177">
        <v>287</v>
      </c>
      <c r="J1478" s="177">
        <v>287</v>
      </c>
      <c r="K1478" s="177">
        <v>134</v>
      </c>
      <c r="L1478" s="253">
        <v>1000</v>
      </c>
      <c r="M1478" s="177" t="s">
        <v>153</v>
      </c>
      <c r="N1478" s="177" t="s">
        <v>149</v>
      </c>
      <c r="O1478" s="177" t="s">
        <v>154</v>
      </c>
      <c r="P1478" s="177" t="s">
        <v>151</v>
      </c>
      <c r="Q1478" s="177" t="s">
        <v>155</v>
      </c>
      <c r="R1478" s="177" t="s">
        <v>10676</v>
      </c>
      <c r="S1478" s="177"/>
      <c r="T1478" s="177" t="s">
        <v>3243</v>
      </c>
      <c r="U1478" s="177" t="s">
        <v>152</v>
      </c>
      <c r="V1478" s="177" t="s">
        <v>18</v>
      </c>
    </row>
    <row r="1479" spans="2:22">
      <c r="B1479" s="251">
        <v>46265</v>
      </c>
      <c r="C1479" s="251">
        <v>46265</v>
      </c>
      <c r="D1479" s="177" t="s">
        <v>10677</v>
      </c>
      <c r="E1479" s="177">
        <v>260101823799</v>
      </c>
      <c r="F1479" s="177" t="s">
        <v>87</v>
      </c>
      <c r="G1479" s="177" t="s">
        <v>10485</v>
      </c>
      <c r="H1479" s="177">
        <v>105</v>
      </c>
      <c r="I1479" s="177">
        <v>286</v>
      </c>
      <c r="J1479" s="177">
        <v>286</v>
      </c>
      <c r="K1479" s="177">
        <v>134</v>
      </c>
      <c r="L1479" s="253">
        <v>1000</v>
      </c>
      <c r="M1479" s="177" t="s">
        <v>153</v>
      </c>
      <c r="N1479" s="177" t="s">
        <v>149</v>
      </c>
      <c r="O1479" s="177" t="s">
        <v>154</v>
      </c>
      <c r="P1479" s="177" t="s">
        <v>151</v>
      </c>
      <c r="Q1479" s="177" t="s">
        <v>155</v>
      </c>
      <c r="R1479" s="177" t="s">
        <v>10678</v>
      </c>
      <c r="S1479" s="177"/>
      <c r="T1479" s="177" t="s">
        <v>3243</v>
      </c>
      <c r="U1479" s="177" t="s">
        <v>152</v>
      </c>
      <c r="V1479" s="177" t="s">
        <v>18</v>
      </c>
    </row>
    <row r="1480" spans="2:22">
      <c r="B1480" s="251">
        <v>46265</v>
      </c>
      <c r="C1480" s="251">
        <v>46265</v>
      </c>
      <c r="D1480" s="177" t="s">
        <v>10679</v>
      </c>
      <c r="E1480" s="177">
        <v>260108023539</v>
      </c>
      <c r="F1480" s="177" t="s">
        <v>87</v>
      </c>
      <c r="G1480" s="177" t="s">
        <v>10680</v>
      </c>
      <c r="H1480" s="177" t="s">
        <v>627</v>
      </c>
      <c r="I1480" s="177">
        <v>38</v>
      </c>
      <c r="J1480" s="177">
        <v>38</v>
      </c>
      <c r="K1480" s="177">
        <v>30</v>
      </c>
      <c r="L1480" s="253">
        <v>1210</v>
      </c>
      <c r="M1480" s="177" t="s">
        <v>153</v>
      </c>
      <c r="N1480" s="177" t="s">
        <v>149</v>
      </c>
      <c r="O1480" s="177" t="s">
        <v>154</v>
      </c>
      <c r="P1480" s="177" t="s">
        <v>151</v>
      </c>
      <c r="Q1480" s="177" t="s">
        <v>156</v>
      </c>
      <c r="R1480" s="177" t="s">
        <v>10681</v>
      </c>
      <c r="S1480" s="177"/>
      <c r="T1480" s="177" t="s">
        <v>3243</v>
      </c>
      <c r="U1480" s="177" t="s">
        <v>152</v>
      </c>
      <c r="V1480" s="177" t="s">
        <v>20</v>
      </c>
    </row>
    <row r="1481" spans="2:22">
      <c r="B1481" s="251">
        <v>46265</v>
      </c>
      <c r="C1481" s="251">
        <v>46265</v>
      </c>
      <c r="D1481" s="177" t="s">
        <v>10682</v>
      </c>
      <c r="E1481" s="177">
        <v>260108023539</v>
      </c>
      <c r="F1481" s="177" t="s">
        <v>87</v>
      </c>
      <c r="G1481" s="177" t="s">
        <v>10680</v>
      </c>
      <c r="H1481" s="177" t="s">
        <v>627</v>
      </c>
      <c r="I1481" s="177">
        <v>38</v>
      </c>
      <c r="J1481" s="177">
        <v>38</v>
      </c>
      <c r="K1481" s="177">
        <v>30</v>
      </c>
      <c r="L1481" s="253">
        <v>1210</v>
      </c>
      <c r="M1481" s="177" t="s">
        <v>153</v>
      </c>
      <c r="N1481" s="177" t="s">
        <v>149</v>
      </c>
      <c r="O1481" s="177" t="s">
        <v>154</v>
      </c>
      <c r="P1481" s="177" t="s">
        <v>151</v>
      </c>
      <c r="Q1481" s="177" t="s">
        <v>156</v>
      </c>
      <c r="R1481" s="177" t="s">
        <v>10683</v>
      </c>
      <c r="S1481" s="177"/>
      <c r="T1481" s="177" t="s">
        <v>3243</v>
      </c>
      <c r="U1481" s="177" t="s">
        <v>152</v>
      </c>
      <c r="V1481" s="177" t="s">
        <v>20</v>
      </c>
    </row>
    <row r="1482" spans="2:22">
      <c r="B1482" s="251">
        <v>46265</v>
      </c>
      <c r="C1482" s="251">
        <v>46265</v>
      </c>
      <c r="D1482" s="177" t="s">
        <v>10684</v>
      </c>
      <c r="E1482" s="177">
        <v>260108023539</v>
      </c>
      <c r="F1482" s="177" t="s">
        <v>87</v>
      </c>
      <c r="G1482" s="177" t="s">
        <v>10680</v>
      </c>
      <c r="H1482" s="177" t="s">
        <v>627</v>
      </c>
      <c r="I1482" s="177">
        <v>38</v>
      </c>
      <c r="J1482" s="177">
        <v>38</v>
      </c>
      <c r="K1482" s="177">
        <v>30</v>
      </c>
      <c r="L1482" s="253">
        <v>1210</v>
      </c>
      <c r="M1482" s="177" t="s">
        <v>153</v>
      </c>
      <c r="N1482" s="177" t="s">
        <v>149</v>
      </c>
      <c r="O1482" s="177" t="s">
        <v>154</v>
      </c>
      <c r="P1482" s="177" t="s">
        <v>151</v>
      </c>
      <c r="Q1482" s="177" t="s">
        <v>156</v>
      </c>
      <c r="R1482" s="177" t="s">
        <v>10685</v>
      </c>
      <c r="S1482" s="177"/>
      <c r="T1482" s="177" t="s">
        <v>3243</v>
      </c>
      <c r="U1482" s="177" t="s">
        <v>152</v>
      </c>
      <c r="V1482" s="177" t="s">
        <v>20</v>
      </c>
    </row>
    <row r="1483" spans="2:22">
      <c r="B1483" s="251">
        <v>46265</v>
      </c>
      <c r="C1483" s="251">
        <v>46265</v>
      </c>
      <c r="D1483" s="177" t="s">
        <v>10686</v>
      </c>
      <c r="E1483" s="177">
        <v>260108023539</v>
      </c>
      <c r="F1483" s="177" t="s">
        <v>87</v>
      </c>
      <c r="G1483" s="177" t="s">
        <v>2363</v>
      </c>
      <c r="H1483" s="177" t="s">
        <v>627</v>
      </c>
      <c r="I1483" s="177">
        <v>32</v>
      </c>
      <c r="J1483" s="177">
        <v>32</v>
      </c>
      <c r="K1483" s="177">
        <v>30</v>
      </c>
      <c r="L1483" s="253">
        <v>1025</v>
      </c>
      <c r="M1483" s="177" t="s">
        <v>153</v>
      </c>
      <c r="N1483" s="177" t="s">
        <v>149</v>
      </c>
      <c r="O1483" s="177" t="s">
        <v>154</v>
      </c>
      <c r="P1483" s="177" t="s">
        <v>151</v>
      </c>
      <c r="Q1483" s="177" t="s">
        <v>156</v>
      </c>
      <c r="R1483" s="177" t="s">
        <v>10687</v>
      </c>
      <c r="S1483" s="177"/>
      <c r="T1483" s="177" t="s">
        <v>3243</v>
      </c>
      <c r="U1483" s="177" t="s">
        <v>152</v>
      </c>
      <c r="V1483" s="177" t="s">
        <v>20</v>
      </c>
    </row>
    <row r="1484" spans="2:22">
      <c r="B1484" s="251">
        <v>46265</v>
      </c>
      <c r="C1484" s="251">
        <v>46265</v>
      </c>
      <c r="D1484" s="177" t="s">
        <v>10688</v>
      </c>
      <c r="E1484" s="177">
        <v>260106321339</v>
      </c>
      <c r="F1484" s="177" t="s">
        <v>87</v>
      </c>
      <c r="G1484" s="177" t="s">
        <v>2363</v>
      </c>
      <c r="H1484" s="177" t="s">
        <v>2416</v>
      </c>
      <c r="I1484" s="177">
        <v>46</v>
      </c>
      <c r="J1484" s="177">
        <v>46</v>
      </c>
      <c r="K1484" s="177">
        <v>30</v>
      </c>
      <c r="L1484" s="253">
        <v>1460</v>
      </c>
      <c r="M1484" s="177" t="s">
        <v>153</v>
      </c>
      <c r="N1484" s="177" t="s">
        <v>149</v>
      </c>
      <c r="O1484" s="177" t="s">
        <v>154</v>
      </c>
      <c r="P1484" s="177" t="s">
        <v>151</v>
      </c>
      <c r="Q1484" s="177" t="s">
        <v>156</v>
      </c>
      <c r="R1484" s="177" t="s">
        <v>10689</v>
      </c>
      <c r="S1484" s="177"/>
      <c r="T1484" s="177" t="s">
        <v>3243</v>
      </c>
      <c r="U1484" s="177" t="s">
        <v>152</v>
      </c>
      <c r="V1484" s="177" t="s">
        <v>20</v>
      </c>
    </row>
    <row r="1485" spans="2:22">
      <c r="B1485" s="251">
        <v>46265</v>
      </c>
      <c r="C1485" s="251">
        <v>46265</v>
      </c>
      <c r="D1485" s="177" t="s">
        <v>10690</v>
      </c>
      <c r="E1485" s="177">
        <v>260106321339</v>
      </c>
      <c r="F1485" s="177" t="s">
        <v>87</v>
      </c>
      <c r="G1485" s="177" t="s">
        <v>2363</v>
      </c>
      <c r="H1485" s="177" t="s">
        <v>2416</v>
      </c>
      <c r="I1485" s="177">
        <v>46</v>
      </c>
      <c r="J1485" s="177">
        <v>46</v>
      </c>
      <c r="K1485" s="177">
        <v>30</v>
      </c>
      <c r="L1485" s="253">
        <v>1460</v>
      </c>
      <c r="M1485" s="177" t="s">
        <v>153</v>
      </c>
      <c r="N1485" s="177" t="s">
        <v>149</v>
      </c>
      <c r="O1485" s="177" t="s">
        <v>154</v>
      </c>
      <c r="P1485" s="177" t="s">
        <v>151</v>
      </c>
      <c r="Q1485" s="177" t="s">
        <v>156</v>
      </c>
      <c r="R1485" s="177" t="s">
        <v>10691</v>
      </c>
      <c r="S1485" s="177"/>
      <c r="T1485" s="177" t="s">
        <v>3243</v>
      </c>
      <c r="U1485" s="177" t="s">
        <v>152</v>
      </c>
      <c r="V1485" s="177" t="s">
        <v>20</v>
      </c>
    </row>
    <row r="1486" spans="2:22">
      <c r="B1486" s="251">
        <v>46265</v>
      </c>
      <c r="C1486" s="251">
        <v>46265</v>
      </c>
      <c r="D1486" s="177" t="s">
        <v>10692</v>
      </c>
      <c r="E1486" s="177">
        <v>260106321339</v>
      </c>
      <c r="F1486" s="177" t="s">
        <v>87</v>
      </c>
      <c r="G1486" s="177" t="s">
        <v>2363</v>
      </c>
      <c r="H1486" s="177" t="s">
        <v>2416</v>
      </c>
      <c r="I1486" s="177">
        <v>46</v>
      </c>
      <c r="J1486" s="177">
        <v>46</v>
      </c>
      <c r="K1486" s="177">
        <v>30</v>
      </c>
      <c r="L1486" s="253">
        <v>1460</v>
      </c>
      <c r="M1486" s="177" t="s">
        <v>153</v>
      </c>
      <c r="N1486" s="177" t="s">
        <v>149</v>
      </c>
      <c r="O1486" s="177" t="s">
        <v>154</v>
      </c>
      <c r="P1486" s="177" t="s">
        <v>151</v>
      </c>
      <c r="Q1486" s="177" t="s">
        <v>156</v>
      </c>
      <c r="R1486" s="177" t="s">
        <v>10693</v>
      </c>
      <c r="S1486" s="177"/>
      <c r="T1486" s="177" t="s">
        <v>3243</v>
      </c>
      <c r="U1486" s="177" t="s">
        <v>152</v>
      </c>
      <c r="V1486" s="177" t="s">
        <v>20</v>
      </c>
    </row>
    <row r="1487" spans="2:22">
      <c r="B1487" s="251">
        <v>46265</v>
      </c>
      <c r="C1487" s="251">
        <v>46265</v>
      </c>
      <c r="D1487" s="177" t="s">
        <v>10694</v>
      </c>
      <c r="E1487" s="177">
        <v>260106321339</v>
      </c>
      <c r="F1487" s="177" t="s">
        <v>87</v>
      </c>
      <c r="G1487" s="177" t="s">
        <v>2363</v>
      </c>
      <c r="H1487" s="177" t="s">
        <v>2416</v>
      </c>
      <c r="I1487" s="177">
        <v>46</v>
      </c>
      <c r="J1487" s="177">
        <v>46</v>
      </c>
      <c r="K1487" s="177">
        <v>30</v>
      </c>
      <c r="L1487" s="253">
        <v>1460</v>
      </c>
      <c r="M1487" s="177" t="s">
        <v>153</v>
      </c>
      <c r="N1487" s="177" t="s">
        <v>149</v>
      </c>
      <c r="O1487" s="177" t="s">
        <v>154</v>
      </c>
      <c r="P1487" s="177" t="s">
        <v>151</v>
      </c>
      <c r="Q1487" s="177" t="s">
        <v>156</v>
      </c>
      <c r="R1487" s="177" t="s">
        <v>10695</v>
      </c>
      <c r="S1487" s="177"/>
      <c r="T1487" s="177" t="s">
        <v>3243</v>
      </c>
      <c r="U1487" s="177" t="s">
        <v>152</v>
      </c>
      <c r="V1487" s="177" t="s">
        <v>20</v>
      </c>
    </row>
    <row r="1488" spans="2:22">
      <c r="B1488" s="251">
        <v>46265</v>
      </c>
      <c r="C1488" s="251">
        <v>46265</v>
      </c>
      <c r="D1488" s="177" t="s">
        <v>10696</v>
      </c>
      <c r="E1488" s="177">
        <v>260108023539</v>
      </c>
      <c r="F1488" s="177" t="s">
        <v>87</v>
      </c>
      <c r="G1488" s="177" t="s">
        <v>2363</v>
      </c>
      <c r="H1488" s="177" t="s">
        <v>627</v>
      </c>
      <c r="I1488" s="177">
        <v>32</v>
      </c>
      <c r="J1488" s="177">
        <v>32</v>
      </c>
      <c r="K1488" s="177">
        <v>30</v>
      </c>
      <c r="L1488" s="253">
        <v>1025</v>
      </c>
      <c r="M1488" s="177" t="s">
        <v>153</v>
      </c>
      <c r="N1488" s="177" t="s">
        <v>149</v>
      </c>
      <c r="O1488" s="177" t="s">
        <v>154</v>
      </c>
      <c r="P1488" s="177" t="s">
        <v>151</v>
      </c>
      <c r="Q1488" s="177" t="s">
        <v>156</v>
      </c>
      <c r="R1488" s="177" t="s">
        <v>10697</v>
      </c>
      <c r="S1488" s="177"/>
      <c r="T1488" s="177" t="s">
        <v>3243</v>
      </c>
      <c r="U1488" s="177" t="s">
        <v>152</v>
      </c>
      <c r="V1488" s="177" t="s">
        <v>20</v>
      </c>
    </row>
    <row r="1489" spans="2:22">
      <c r="B1489" s="251">
        <v>46265</v>
      </c>
      <c r="C1489" s="251">
        <v>46265</v>
      </c>
      <c r="D1489" s="177" t="s">
        <v>10698</v>
      </c>
      <c r="E1489" s="177">
        <v>260108023539</v>
      </c>
      <c r="F1489" s="177" t="s">
        <v>87</v>
      </c>
      <c r="G1489" s="177" t="s">
        <v>2363</v>
      </c>
      <c r="H1489" s="177" t="s">
        <v>627</v>
      </c>
      <c r="I1489" s="177">
        <v>32</v>
      </c>
      <c r="J1489" s="177">
        <v>32</v>
      </c>
      <c r="K1489" s="177">
        <v>30</v>
      </c>
      <c r="L1489" s="253">
        <v>1025</v>
      </c>
      <c r="M1489" s="177" t="s">
        <v>153</v>
      </c>
      <c r="N1489" s="177" t="s">
        <v>149</v>
      </c>
      <c r="O1489" s="177" t="s">
        <v>154</v>
      </c>
      <c r="P1489" s="177" t="s">
        <v>151</v>
      </c>
      <c r="Q1489" s="177" t="s">
        <v>156</v>
      </c>
      <c r="R1489" s="177" t="s">
        <v>10699</v>
      </c>
      <c r="S1489" s="177"/>
      <c r="T1489" s="177" t="s">
        <v>3243</v>
      </c>
      <c r="U1489" s="177" t="s">
        <v>152</v>
      </c>
      <c r="V1489" s="177" t="s">
        <v>20</v>
      </c>
    </row>
    <row r="1490" spans="2:22">
      <c r="B1490" s="251">
        <v>46265</v>
      </c>
      <c r="C1490" s="251">
        <v>46265</v>
      </c>
      <c r="D1490" s="177" t="s">
        <v>10700</v>
      </c>
      <c r="E1490" s="177">
        <v>260108023539</v>
      </c>
      <c r="F1490" s="177" t="s">
        <v>87</v>
      </c>
      <c r="G1490" s="177" t="s">
        <v>2363</v>
      </c>
      <c r="H1490" s="177" t="s">
        <v>627</v>
      </c>
      <c r="I1490" s="177">
        <v>32</v>
      </c>
      <c r="J1490" s="177">
        <v>32</v>
      </c>
      <c r="K1490" s="177">
        <v>30</v>
      </c>
      <c r="L1490" s="253">
        <v>1025</v>
      </c>
      <c r="M1490" s="177" t="s">
        <v>153</v>
      </c>
      <c r="N1490" s="177" t="s">
        <v>149</v>
      </c>
      <c r="O1490" s="177" t="s">
        <v>154</v>
      </c>
      <c r="P1490" s="177" t="s">
        <v>151</v>
      </c>
      <c r="Q1490" s="177" t="s">
        <v>156</v>
      </c>
      <c r="R1490" s="177" t="s">
        <v>10701</v>
      </c>
      <c r="S1490" s="177"/>
      <c r="T1490" s="177" t="s">
        <v>3243</v>
      </c>
      <c r="U1490" s="177" t="s">
        <v>152</v>
      </c>
      <c r="V1490" s="177" t="s">
        <v>20</v>
      </c>
    </row>
    <row r="1491" spans="2:22">
      <c r="B1491" s="251">
        <v>46265</v>
      </c>
      <c r="C1491" s="251">
        <v>46265</v>
      </c>
      <c r="D1491" s="177" t="s">
        <v>10702</v>
      </c>
      <c r="E1491" s="177">
        <v>260108023539</v>
      </c>
      <c r="F1491" s="177" t="s">
        <v>87</v>
      </c>
      <c r="G1491" s="177" t="s">
        <v>10680</v>
      </c>
      <c r="H1491" s="177" t="s">
        <v>627</v>
      </c>
      <c r="I1491" s="177">
        <v>38</v>
      </c>
      <c r="J1491" s="177">
        <v>38</v>
      </c>
      <c r="K1491" s="177">
        <v>30</v>
      </c>
      <c r="L1491" s="253">
        <v>1210</v>
      </c>
      <c r="M1491" s="177" t="s">
        <v>153</v>
      </c>
      <c r="N1491" s="177" t="s">
        <v>149</v>
      </c>
      <c r="O1491" s="177" t="s">
        <v>154</v>
      </c>
      <c r="P1491" s="177" t="s">
        <v>151</v>
      </c>
      <c r="Q1491" s="177" t="s">
        <v>156</v>
      </c>
      <c r="R1491" s="177" t="s">
        <v>10703</v>
      </c>
      <c r="S1491" s="177"/>
      <c r="T1491" s="177" t="s">
        <v>3243</v>
      </c>
      <c r="U1491" s="177" t="s">
        <v>152</v>
      </c>
      <c r="V1491" s="177" t="s">
        <v>20</v>
      </c>
    </row>
    <row r="1492" spans="2:22">
      <c r="B1492" s="251">
        <v>46265</v>
      </c>
      <c r="C1492" s="251">
        <v>46265</v>
      </c>
      <c r="D1492" s="177" t="s">
        <v>10704</v>
      </c>
      <c r="E1492" s="177" t="s">
        <v>10705</v>
      </c>
      <c r="F1492" s="177" t="s">
        <v>87</v>
      </c>
      <c r="G1492" s="177" t="s">
        <v>10706</v>
      </c>
      <c r="H1492" s="177" t="s">
        <v>627</v>
      </c>
      <c r="I1492" s="177">
        <v>29</v>
      </c>
      <c r="J1492" s="177">
        <v>29</v>
      </c>
      <c r="K1492" s="177">
        <v>25</v>
      </c>
      <c r="L1492" s="253">
        <v>1100</v>
      </c>
      <c r="M1492" s="177" t="s">
        <v>153</v>
      </c>
      <c r="N1492" s="177" t="s">
        <v>149</v>
      </c>
      <c r="O1492" s="177" t="s">
        <v>154</v>
      </c>
      <c r="P1492" s="177" t="s">
        <v>151</v>
      </c>
      <c r="Q1492" s="177" t="s">
        <v>156</v>
      </c>
      <c r="R1492" s="177" t="s">
        <v>10707</v>
      </c>
      <c r="S1492" s="177"/>
      <c r="T1492" s="177" t="s">
        <v>3243</v>
      </c>
      <c r="U1492" s="177" t="s">
        <v>152</v>
      </c>
      <c r="V1492" s="177" t="s">
        <v>20</v>
      </c>
    </row>
    <row r="1493" spans="2:22">
      <c r="B1493" s="251">
        <v>46265</v>
      </c>
      <c r="C1493" s="251">
        <v>46265</v>
      </c>
      <c r="D1493" s="177" t="s">
        <v>10708</v>
      </c>
      <c r="E1493" s="177" t="s">
        <v>10705</v>
      </c>
      <c r="F1493" s="177" t="s">
        <v>87</v>
      </c>
      <c r="G1493" s="177" t="s">
        <v>10706</v>
      </c>
      <c r="H1493" s="177" t="s">
        <v>627</v>
      </c>
      <c r="I1493" s="177">
        <v>29</v>
      </c>
      <c r="J1493" s="177">
        <v>29</v>
      </c>
      <c r="K1493" s="177">
        <v>25</v>
      </c>
      <c r="L1493" s="253">
        <v>1100</v>
      </c>
      <c r="M1493" s="177" t="s">
        <v>153</v>
      </c>
      <c r="N1493" s="177" t="s">
        <v>149</v>
      </c>
      <c r="O1493" s="177" t="s">
        <v>154</v>
      </c>
      <c r="P1493" s="177" t="s">
        <v>151</v>
      </c>
      <c r="Q1493" s="177" t="s">
        <v>156</v>
      </c>
      <c r="R1493" s="177" t="s">
        <v>10709</v>
      </c>
      <c r="S1493" s="177"/>
      <c r="T1493" s="177" t="s">
        <v>3243</v>
      </c>
      <c r="U1493" s="177" t="s">
        <v>152</v>
      </c>
      <c r="V1493" s="177" t="s">
        <v>20</v>
      </c>
    </row>
    <row r="1494" spans="2:22">
      <c r="B1494" s="251">
        <v>46265</v>
      </c>
      <c r="C1494" s="251">
        <v>46265</v>
      </c>
      <c r="D1494" s="177" t="s">
        <v>10710</v>
      </c>
      <c r="E1494" s="177" t="s">
        <v>10705</v>
      </c>
      <c r="F1494" s="177" t="s">
        <v>87</v>
      </c>
      <c r="G1494" s="177" t="s">
        <v>10706</v>
      </c>
      <c r="H1494" s="177" t="s">
        <v>627</v>
      </c>
      <c r="I1494" s="177">
        <v>29</v>
      </c>
      <c r="J1494" s="177">
        <v>29</v>
      </c>
      <c r="K1494" s="177">
        <v>25</v>
      </c>
      <c r="L1494" s="253">
        <v>1100</v>
      </c>
      <c r="M1494" s="177" t="s">
        <v>153</v>
      </c>
      <c r="N1494" s="177" t="s">
        <v>149</v>
      </c>
      <c r="O1494" s="177" t="s">
        <v>154</v>
      </c>
      <c r="P1494" s="177" t="s">
        <v>151</v>
      </c>
      <c r="Q1494" s="177" t="s">
        <v>156</v>
      </c>
      <c r="R1494" s="177" t="s">
        <v>10711</v>
      </c>
      <c r="S1494" s="177"/>
      <c r="T1494" s="177" t="s">
        <v>3243</v>
      </c>
      <c r="U1494" s="177" t="s">
        <v>152</v>
      </c>
      <c r="V1494" s="177" t="s">
        <v>20</v>
      </c>
    </row>
    <row r="1495" spans="2:22">
      <c r="B1495" s="251">
        <v>46265</v>
      </c>
      <c r="C1495" s="251">
        <v>46265</v>
      </c>
      <c r="D1495" s="177" t="s">
        <v>10712</v>
      </c>
      <c r="E1495" s="177" t="s">
        <v>10705</v>
      </c>
      <c r="F1495" s="177" t="s">
        <v>87</v>
      </c>
      <c r="G1495" s="177" t="s">
        <v>10713</v>
      </c>
      <c r="H1495" s="177" t="s">
        <v>627</v>
      </c>
      <c r="I1495" s="177">
        <v>29</v>
      </c>
      <c r="J1495" s="177">
        <v>29</v>
      </c>
      <c r="K1495" s="177">
        <v>25</v>
      </c>
      <c r="L1495" s="253">
        <v>1100</v>
      </c>
      <c r="M1495" s="177" t="s">
        <v>153</v>
      </c>
      <c r="N1495" s="177" t="s">
        <v>149</v>
      </c>
      <c r="O1495" s="177" t="s">
        <v>154</v>
      </c>
      <c r="P1495" s="177" t="s">
        <v>151</v>
      </c>
      <c r="Q1495" s="177" t="s">
        <v>156</v>
      </c>
      <c r="R1495" s="177" t="s">
        <v>10714</v>
      </c>
      <c r="S1495" s="177"/>
      <c r="T1495" s="177" t="s">
        <v>3243</v>
      </c>
      <c r="U1495" s="177" t="s">
        <v>152</v>
      </c>
      <c r="V1495" s="177" t="s">
        <v>20</v>
      </c>
    </row>
    <row r="1496" spans="2:22">
      <c r="B1496" s="251">
        <v>46265</v>
      </c>
      <c r="C1496" s="251">
        <v>46265</v>
      </c>
      <c r="D1496" s="177" t="s">
        <v>10715</v>
      </c>
      <c r="E1496" s="177" t="s">
        <v>10705</v>
      </c>
      <c r="F1496" s="177" t="s">
        <v>87</v>
      </c>
      <c r="G1496" s="177" t="s">
        <v>10713</v>
      </c>
      <c r="H1496" s="177" t="s">
        <v>627</v>
      </c>
      <c r="I1496" s="177">
        <v>29</v>
      </c>
      <c r="J1496" s="177">
        <v>29</v>
      </c>
      <c r="K1496" s="177">
        <v>25</v>
      </c>
      <c r="L1496" s="253">
        <v>1100</v>
      </c>
      <c r="M1496" s="177" t="s">
        <v>153</v>
      </c>
      <c r="N1496" s="177" t="s">
        <v>149</v>
      </c>
      <c r="O1496" s="177" t="s">
        <v>154</v>
      </c>
      <c r="P1496" s="177" t="s">
        <v>151</v>
      </c>
      <c r="Q1496" s="177" t="s">
        <v>156</v>
      </c>
      <c r="R1496" s="177" t="s">
        <v>10716</v>
      </c>
      <c r="S1496" s="177"/>
      <c r="T1496" s="177" t="s">
        <v>3243</v>
      </c>
      <c r="U1496" s="177" t="s">
        <v>152</v>
      </c>
      <c r="V1496" s="177" t="s">
        <v>20</v>
      </c>
    </row>
    <row r="1497" spans="2:22">
      <c r="B1497" s="251">
        <v>46265</v>
      </c>
      <c r="C1497" s="251">
        <v>46265</v>
      </c>
      <c r="D1497" s="177" t="s">
        <v>10717</v>
      </c>
      <c r="E1497" s="177" t="s">
        <v>10705</v>
      </c>
      <c r="F1497" s="177" t="s">
        <v>87</v>
      </c>
      <c r="G1497" s="177" t="s">
        <v>10713</v>
      </c>
      <c r="H1497" s="177" t="s">
        <v>627</v>
      </c>
      <c r="I1497" s="177">
        <v>29</v>
      </c>
      <c r="J1497" s="177">
        <v>29</v>
      </c>
      <c r="K1497" s="177">
        <v>25</v>
      </c>
      <c r="L1497" s="253">
        <v>1100</v>
      </c>
      <c r="M1497" s="177" t="s">
        <v>153</v>
      </c>
      <c r="N1497" s="177" t="s">
        <v>149</v>
      </c>
      <c r="O1497" s="177" t="s">
        <v>154</v>
      </c>
      <c r="P1497" s="177" t="s">
        <v>151</v>
      </c>
      <c r="Q1497" s="177" t="s">
        <v>156</v>
      </c>
      <c r="R1497" s="177" t="s">
        <v>10718</v>
      </c>
      <c r="S1497" s="177"/>
      <c r="T1497" s="177" t="s">
        <v>3243</v>
      </c>
      <c r="U1497" s="177" t="s">
        <v>152</v>
      </c>
      <c r="V1497" s="177" t="s">
        <v>20</v>
      </c>
    </row>
    <row r="1498" spans="2:22">
      <c r="B1498" s="251">
        <v>46265</v>
      </c>
      <c r="C1498" s="251">
        <v>46265</v>
      </c>
      <c r="D1498" s="177" t="s">
        <v>10719</v>
      </c>
      <c r="E1498" s="177" t="s">
        <v>10705</v>
      </c>
      <c r="F1498" s="177" t="s">
        <v>87</v>
      </c>
      <c r="G1498" s="177" t="s">
        <v>10713</v>
      </c>
      <c r="H1498" s="177" t="s">
        <v>627</v>
      </c>
      <c r="I1498" s="177">
        <v>29</v>
      </c>
      <c r="J1498" s="177">
        <v>29</v>
      </c>
      <c r="K1498" s="177">
        <v>25</v>
      </c>
      <c r="L1498" s="253">
        <v>1100</v>
      </c>
      <c r="M1498" s="177" t="s">
        <v>153</v>
      </c>
      <c r="N1498" s="177" t="s">
        <v>149</v>
      </c>
      <c r="O1498" s="177" t="s">
        <v>154</v>
      </c>
      <c r="P1498" s="177" t="s">
        <v>151</v>
      </c>
      <c r="Q1498" s="177" t="s">
        <v>156</v>
      </c>
      <c r="R1498" s="177" t="s">
        <v>10720</v>
      </c>
      <c r="S1498" s="177"/>
      <c r="T1498" s="177" t="s">
        <v>3243</v>
      </c>
      <c r="U1498" s="177" t="s">
        <v>152</v>
      </c>
      <c r="V1498" s="177" t="s">
        <v>20</v>
      </c>
    </row>
    <row r="1499" spans="2:22">
      <c r="B1499" s="251">
        <v>46265</v>
      </c>
      <c r="C1499" s="251">
        <v>46265</v>
      </c>
      <c r="D1499" s="177" t="s">
        <v>10721</v>
      </c>
      <c r="E1499" s="177" t="s">
        <v>10705</v>
      </c>
      <c r="F1499" s="177" t="s">
        <v>87</v>
      </c>
      <c r="G1499" s="177" t="s">
        <v>10706</v>
      </c>
      <c r="H1499" s="177" t="s">
        <v>627</v>
      </c>
      <c r="I1499" s="177">
        <v>29</v>
      </c>
      <c r="J1499" s="177">
        <v>29</v>
      </c>
      <c r="K1499" s="177">
        <v>25</v>
      </c>
      <c r="L1499" s="253">
        <v>1100</v>
      </c>
      <c r="M1499" s="177" t="s">
        <v>153</v>
      </c>
      <c r="N1499" s="177" t="s">
        <v>149</v>
      </c>
      <c r="O1499" s="177" t="s">
        <v>154</v>
      </c>
      <c r="P1499" s="177" t="s">
        <v>151</v>
      </c>
      <c r="Q1499" s="177" t="s">
        <v>156</v>
      </c>
      <c r="R1499" s="177" t="s">
        <v>10722</v>
      </c>
      <c r="S1499" s="177"/>
      <c r="T1499" s="177" t="s">
        <v>3243</v>
      </c>
      <c r="U1499" s="177" t="s">
        <v>152</v>
      </c>
      <c r="V1499" s="177" t="s">
        <v>20</v>
      </c>
    </row>
    <row r="1500" spans="2:22">
      <c r="B1500" s="251">
        <v>46265</v>
      </c>
      <c r="C1500" s="251">
        <v>46265</v>
      </c>
      <c r="D1500" s="177" t="s">
        <v>10723</v>
      </c>
      <c r="E1500" s="177">
        <v>260102723867</v>
      </c>
      <c r="F1500" s="177" t="s">
        <v>87</v>
      </c>
      <c r="G1500" s="177" t="s">
        <v>8032</v>
      </c>
      <c r="H1500" s="177">
        <v>102</v>
      </c>
      <c r="I1500" s="177">
        <v>255</v>
      </c>
      <c r="J1500" s="177">
        <v>255</v>
      </c>
      <c r="K1500" s="177">
        <v>130</v>
      </c>
      <c r="L1500" s="253">
        <v>1000</v>
      </c>
      <c r="M1500" s="177" t="s">
        <v>153</v>
      </c>
      <c r="N1500" s="177" t="s">
        <v>149</v>
      </c>
      <c r="O1500" s="177" t="s">
        <v>154</v>
      </c>
      <c r="P1500" s="177" t="s">
        <v>151</v>
      </c>
      <c r="Q1500" s="177" t="s">
        <v>155</v>
      </c>
      <c r="R1500" s="177" t="s">
        <v>10724</v>
      </c>
      <c r="S1500" s="177"/>
      <c r="T1500" s="177" t="s">
        <v>3245</v>
      </c>
      <c r="U1500" s="177" t="s">
        <v>152</v>
      </c>
      <c r="V1500" s="177" t="s">
        <v>18</v>
      </c>
    </row>
    <row r="1501" spans="2:22">
      <c r="B1501" s="251">
        <v>46265</v>
      </c>
      <c r="C1501" s="251">
        <v>46265</v>
      </c>
      <c r="D1501" s="177" t="s">
        <v>10725</v>
      </c>
      <c r="E1501" s="177">
        <v>260102323866</v>
      </c>
      <c r="F1501" s="177" t="s">
        <v>87</v>
      </c>
      <c r="G1501" s="177" t="s">
        <v>8032</v>
      </c>
      <c r="H1501" s="177">
        <v>102</v>
      </c>
      <c r="I1501" s="177">
        <v>259</v>
      </c>
      <c r="J1501" s="177">
        <v>259</v>
      </c>
      <c r="K1501" s="177">
        <v>130</v>
      </c>
      <c r="L1501" s="253">
        <v>1000</v>
      </c>
      <c r="M1501" s="177" t="s">
        <v>153</v>
      </c>
      <c r="N1501" s="177" t="s">
        <v>149</v>
      </c>
      <c r="O1501" s="177" t="s">
        <v>154</v>
      </c>
      <c r="P1501" s="177" t="s">
        <v>151</v>
      </c>
      <c r="Q1501" s="177" t="s">
        <v>155</v>
      </c>
      <c r="R1501" s="177" t="s">
        <v>10726</v>
      </c>
      <c r="S1501" s="177"/>
      <c r="T1501" s="177" t="s">
        <v>3245</v>
      </c>
      <c r="U1501" s="177" t="s">
        <v>152</v>
      </c>
      <c r="V1501" s="177" t="s">
        <v>18</v>
      </c>
    </row>
    <row r="1502" spans="2:22">
      <c r="B1502" s="251">
        <v>46265</v>
      </c>
      <c r="C1502" s="251">
        <v>46265</v>
      </c>
      <c r="D1502" s="177" t="s">
        <v>10727</v>
      </c>
      <c r="E1502" s="177">
        <v>260102223868</v>
      </c>
      <c r="F1502" s="177" t="s">
        <v>87</v>
      </c>
      <c r="G1502" s="177" t="s">
        <v>9731</v>
      </c>
      <c r="H1502" s="177">
        <v>102</v>
      </c>
      <c r="I1502" s="177">
        <v>257</v>
      </c>
      <c r="J1502" s="177">
        <v>257</v>
      </c>
      <c r="K1502" s="177">
        <v>130</v>
      </c>
      <c r="L1502" s="253">
        <v>1000</v>
      </c>
      <c r="M1502" s="177" t="s">
        <v>153</v>
      </c>
      <c r="N1502" s="177" t="s">
        <v>149</v>
      </c>
      <c r="O1502" s="177" t="s">
        <v>154</v>
      </c>
      <c r="P1502" s="177" t="s">
        <v>151</v>
      </c>
      <c r="Q1502" s="177" t="s">
        <v>155</v>
      </c>
      <c r="R1502" s="177" t="s">
        <v>10728</v>
      </c>
      <c r="S1502" s="177"/>
      <c r="T1502" s="177" t="s">
        <v>3245</v>
      </c>
      <c r="U1502" s="177" t="s">
        <v>152</v>
      </c>
      <c r="V1502" s="177" t="s">
        <v>18</v>
      </c>
    </row>
    <row r="1503" spans="2:22">
      <c r="B1503" s="251">
        <v>46265</v>
      </c>
      <c r="C1503" s="251">
        <v>46265</v>
      </c>
      <c r="D1503" s="177" t="s">
        <v>10729</v>
      </c>
      <c r="E1503" s="177">
        <v>260103023869</v>
      </c>
      <c r="F1503" s="177" t="s">
        <v>87</v>
      </c>
      <c r="G1503" s="177" t="s">
        <v>10014</v>
      </c>
      <c r="H1503" s="177">
        <v>102</v>
      </c>
      <c r="I1503" s="177">
        <v>259</v>
      </c>
      <c r="J1503" s="177">
        <v>259</v>
      </c>
      <c r="K1503" s="177">
        <v>130</v>
      </c>
      <c r="L1503" s="253">
        <v>1000</v>
      </c>
      <c r="M1503" s="177" t="s">
        <v>153</v>
      </c>
      <c r="N1503" s="177" t="s">
        <v>149</v>
      </c>
      <c r="O1503" s="177" t="s">
        <v>154</v>
      </c>
      <c r="P1503" s="177" t="s">
        <v>151</v>
      </c>
      <c r="Q1503" s="177" t="s">
        <v>155</v>
      </c>
      <c r="R1503" s="177" t="s">
        <v>10730</v>
      </c>
      <c r="S1503" s="177"/>
      <c r="T1503" s="177" t="s">
        <v>3245</v>
      </c>
      <c r="U1503" s="177" t="s">
        <v>152</v>
      </c>
      <c r="V1503" s="177" t="s">
        <v>18</v>
      </c>
    </row>
    <row r="1504" spans="2:22">
      <c r="B1504" s="251">
        <v>46265</v>
      </c>
      <c r="C1504" s="251">
        <v>46265</v>
      </c>
      <c r="D1504" s="177" t="s">
        <v>10731</v>
      </c>
      <c r="E1504" s="177" t="s">
        <v>10732</v>
      </c>
      <c r="F1504" s="177" t="s">
        <v>94</v>
      </c>
      <c r="G1504" s="177" t="s">
        <v>2340</v>
      </c>
      <c r="H1504" s="177">
        <v>102</v>
      </c>
      <c r="I1504" s="177">
        <v>260</v>
      </c>
      <c r="J1504" s="177">
        <v>260</v>
      </c>
      <c r="K1504" s="177">
        <v>130</v>
      </c>
      <c r="L1504" s="253">
        <v>1000</v>
      </c>
      <c r="M1504" s="177" t="s">
        <v>153</v>
      </c>
      <c r="N1504" s="177" t="s">
        <v>149</v>
      </c>
      <c r="O1504" s="177" t="s">
        <v>154</v>
      </c>
      <c r="P1504" s="177" t="s">
        <v>151</v>
      </c>
      <c r="Q1504" s="177" t="s">
        <v>155</v>
      </c>
      <c r="R1504" s="177" t="s">
        <v>10732</v>
      </c>
      <c r="S1504" s="177"/>
      <c r="T1504" s="177" t="s">
        <v>10733</v>
      </c>
      <c r="U1504" s="177" t="s">
        <v>152</v>
      </c>
      <c r="V1504" s="177" t="s">
        <v>18</v>
      </c>
    </row>
    <row r="1505" spans="2:22">
      <c r="B1505" s="251">
        <v>46265</v>
      </c>
      <c r="C1505" s="251">
        <v>46265</v>
      </c>
      <c r="D1505" s="177" t="s">
        <v>10734</v>
      </c>
      <c r="E1505" s="177" t="s">
        <v>10735</v>
      </c>
      <c r="F1505" s="177" t="s">
        <v>94</v>
      </c>
      <c r="G1505" s="177" t="s">
        <v>2340</v>
      </c>
      <c r="H1505" s="177">
        <v>102</v>
      </c>
      <c r="I1505" s="177">
        <v>250</v>
      </c>
      <c r="J1505" s="177">
        <v>250</v>
      </c>
      <c r="K1505" s="177">
        <v>130</v>
      </c>
      <c r="L1505" s="177">
        <v>932</v>
      </c>
      <c r="M1505" s="177" t="s">
        <v>153</v>
      </c>
      <c r="N1505" s="177" t="s">
        <v>149</v>
      </c>
      <c r="O1505" s="177" t="s">
        <v>154</v>
      </c>
      <c r="P1505" s="177" t="s">
        <v>151</v>
      </c>
      <c r="Q1505" s="177" t="s">
        <v>155</v>
      </c>
      <c r="R1505" s="177" t="s">
        <v>10735</v>
      </c>
      <c r="S1505" s="177"/>
      <c r="T1505" s="177" t="s">
        <v>10733</v>
      </c>
      <c r="U1505" s="177" t="s">
        <v>152</v>
      </c>
      <c r="V1505" s="177" t="s">
        <v>18</v>
      </c>
    </row>
    <row r="1506" spans="2:22">
      <c r="I1506" s="392" t="s">
        <v>10736</v>
      </c>
      <c r="J1506" s="392">
        <f>SUM(J2:J1505)</f>
        <v>405476</v>
      </c>
    </row>
  </sheetData>
  <autoFilter ref="B1:V1394"/>
  <pageMargins left="0.7" right="0.7" top="0.75" bottom="0.75" header="0.3" footer="0.3"/>
  <pageSetup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5:U18"/>
  <sheetViews>
    <sheetView workbookViewId="0">
      <selection activeCell="B22" sqref="B22"/>
    </sheetView>
  </sheetViews>
  <sheetFormatPr defaultRowHeight="15"/>
  <cols>
    <col min="1" max="1" width="15.42578125" customWidth="1"/>
    <col min="2" max="2" width="16.28515625" customWidth="1"/>
    <col min="3" max="6" width="9.5703125" customWidth="1"/>
    <col min="7" max="7" width="9.5703125" bestFit="1" customWidth="1"/>
    <col min="8" max="12" width="9.5703125" customWidth="1"/>
    <col min="13" max="13" width="9.5703125" bestFit="1" customWidth="1"/>
    <col min="14" max="14" width="10.5703125" bestFit="1" customWidth="1"/>
    <col min="15" max="17" width="9.5703125" customWidth="1"/>
    <col min="18" max="18" width="9.5703125" bestFit="1" customWidth="1"/>
    <col min="19" max="20" width="9.5703125" customWidth="1"/>
    <col min="21" max="21" width="11.5703125" bestFit="1" customWidth="1"/>
  </cols>
  <sheetData>
    <row r="5" spans="1:21">
      <c r="A5" s="73" t="s">
        <v>372</v>
      </c>
      <c r="B5" s="73" t="s">
        <v>374</v>
      </c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 t="s">
        <v>375</v>
      </c>
      <c r="O5" s="73"/>
      <c r="P5" s="73"/>
      <c r="Q5" s="73"/>
      <c r="R5" s="73"/>
      <c r="S5" s="73"/>
      <c r="T5" s="73"/>
      <c r="U5" s="73" t="s">
        <v>84</v>
      </c>
    </row>
    <row r="6" spans="1:21">
      <c r="A6" s="73" t="s">
        <v>83</v>
      </c>
      <c r="B6" s="73" t="s">
        <v>360</v>
      </c>
      <c r="C6" s="73" t="s">
        <v>361</v>
      </c>
      <c r="D6" s="73" t="s">
        <v>362</v>
      </c>
      <c r="E6" s="73" t="s">
        <v>363</v>
      </c>
      <c r="F6" s="73" t="s">
        <v>364</v>
      </c>
      <c r="G6" s="73" t="s">
        <v>365</v>
      </c>
      <c r="H6" s="73" t="s">
        <v>366</v>
      </c>
      <c r="I6" s="73" t="s">
        <v>367</v>
      </c>
      <c r="J6" s="73" t="s">
        <v>368</v>
      </c>
      <c r="K6" s="73" t="s">
        <v>369</v>
      </c>
      <c r="L6" s="73" t="s">
        <v>370</v>
      </c>
      <c r="M6" s="73" t="s">
        <v>371</v>
      </c>
      <c r="N6" s="73" t="s">
        <v>360</v>
      </c>
      <c r="O6" s="73" t="s">
        <v>361</v>
      </c>
      <c r="P6" s="73" t="s">
        <v>362</v>
      </c>
      <c r="Q6" s="73" t="s">
        <v>363</v>
      </c>
      <c r="R6" s="73" t="s">
        <v>364</v>
      </c>
      <c r="S6" s="73" t="s">
        <v>365</v>
      </c>
      <c r="T6" s="73" t="s">
        <v>366</v>
      </c>
      <c r="U6" s="73"/>
    </row>
    <row r="7" spans="1:21">
      <c r="A7" s="71" t="s">
        <v>58</v>
      </c>
      <c r="B7" s="25">
        <v>819152.70000000019</v>
      </c>
      <c r="C7" s="25">
        <v>653781.99999999988</v>
      </c>
      <c r="D7" s="25">
        <v>604174.4</v>
      </c>
      <c r="E7" s="25">
        <v>533515.99200000009</v>
      </c>
      <c r="F7" s="25">
        <v>726297.1</v>
      </c>
      <c r="G7" s="25">
        <v>467937.19999999995</v>
      </c>
      <c r="H7" s="25">
        <v>755805.09999999951</v>
      </c>
      <c r="I7" s="25">
        <v>539748.5</v>
      </c>
      <c r="J7" s="25">
        <v>828748.08000000019</v>
      </c>
      <c r="K7" s="25">
        <v>572098.9</v>
      </c>
      <c r="L7" s="25">
        <v>312484.5</v>
      </c>
      <c r="M7" s="25">
        <v>481221.5</v>
      </c>
      <c r="N7" s="25">
        <v>490634.1</v>
      </c>
      <c r="O7" s="25">
        <v>533869.89999999991</v>
      </c>
      <c r="P7" s="25">
        <v>611814.29999999993</v>
      </c>
      <c r="Q7" s="25">
        <v>653862.29999999993</v>
      </c>
      <c r="R7" s="25">
        <v>398649.30000000005</v>
      </c>
      <c r="S7" s="25">
        <v>602089.60000000009</v>
      </c>
      <c r="T7" s="25">
        <v>461756.79999999993</v>
      </c>
      <c r="U7" s="25">
        <v>11047642.272000002</v>
      </c>
    </row>
    <row r="8" spans="1:21">
      <c r="A8" s="71" t="s">
        <v>349</v>
      </c>
      <c r="B8" s="25"/>
      <c r="C8" s="25">
        <v>7797.5</v>
      </c>
      <c r="D8" s="25"/>
      <c r="E8" s="25"/>
      <c r="F8" s="25"/>
      <c r="G8" s="25"/>
      <c r="H8" s="25">
        <v>1531.8</v>
      </c>
      <c r="I8" s="25">
        <v>11668</v>
      </c>
      <c r="J8" s="25">
        <v>43668.2</v>
      </c>
      <c r="K8" s="25"/>
      <c r="L8" s="25">
        <v>5840.5</v>
      </c>
      <c r="M8" s="25"/>
      <c r="N8" s="25"/>
      <c r="O8" s="25"/>
      <c r="P8" s="25"/>
      <c r="Q8" s="25"/>
      <c r="R8" s="25">
        <v>16167.9</v>
      </c>
      <c r="S8" s="25"/>
      <c r="T8" s="25"/>
      <c r="U8" s="25">
        <v>86673.9</v>
      </c>
    </row>
    <row r="9" spans="1:21">
      <c r="A9" s="62" t="s">
        <v>84</v>
      </c>
      <c r="B9" s="63">
        <v>819152.70000000019</v>
      </c>
      <c r="C9" s="63">
        <v>661579.49999999988</v>
      </c>
      <c r="D9" s="63">
        <v>604174.4</v>
      </c>
      <c r="E9" s="63">
        <v>533515.99200000009</v>
      </c>
      <c r="F9" s="63">
        <v>726297.1</v>
      </c>
      <c r="G9" s="63">
        <v>467937.19999999995</v>
      </c>
      <c r="H9" s="63">
        <v>757336.89999999956</v>
      </c>
      <c r="I9" s="63">
        <v>551416.5</v>
      </c>
      <c r="J9" s="63">
        <v>872416.28000000014</v>
      </c>
      <c r="K9" s="63">
        <v>572098.9</v>
      </c>
      <c r="L9" s="63">
        <v>318325</v>
      </c>
      <c r="M9" s="63">
        <v>481221.5</v>
      </c>
      <c r="N9" s="63">
        <v>490634.1</v>
      </c>
      <c r="O9" s="63">
        <v>533869.89999999991</v>
      </c>
      <c r="P9" s="63">
        <v>611814.29999999993</v>
      </c>
      <c r="Q9" s="63">
        <v>653862.29999999993</v>
      </c>
      <c r="R9" s="63">
        <v>414817.20000000007</v>
      </c>
      <c r="S9" s="63">
        <v>602089.60000000009</v>
      </c>
      <c r="T9" s="63">
        <v>461756.79999999993</v>
      </c>
      <c r="U9" s="63">
        <v>11134316.172000002</v>
      </c>
    </row>
    <row r="10" spans="1:21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</row>
    <row r="11" spans="1:21">
      <c r="A11" s="73" t="s">
        <v>373</v>
      </c>
      <c r="B11" s="73" t="s">
        <v>374</v>
      </c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73" t="s">
        <v>375</v>
      </c>
      <c r="O11" s="69"/>
      <c r="P11" s="69"/>
      <c r="Q11" s="69"/>
      <c r="R11" s="69"/>
      <c r="S11" s="69"/>
      <c r="T11" s="69"/>
      <c r="U11" s="73" t="s">
        <v>84</v>
      </c>
    </row>
    <row r="12" spans="1:21" s="68" customFormat="1">
      <c r="A12" s="69" t="s">
        <v>83</v>
      </c>
      <c r="B12" s="24" t="s">
        <v>360</v>
      </c>
      <c r="C12" s="24" t="s">
        <v>361</v>
      </c>
      <c r="D12" s="24" t="s">
        <v>362</v>
      </c>
      <c r="E12" s="24" t="s">
        <v>363</v>
      </c>
      <c r="F12" s="24" t="s">
        <v>364</v>
      </c>
      <c r="G12" s="24" t="s">
        <v>365</v>
      </c>
      <c r="H12" s="24" t="s">
        <v>366</v>
      </c>
      <c r="I12" s="24" t="s">
        <v>367</v>
      </c>
      <c r="J12" s="24" t="s">
        <v>368</v>
      </c>
      <c r="K12" s="24" t="s">
        <v>369</v>
      </c>
      <c r="L12" s="24" t="s">
        <v>370</v>
      </c>
      <c r="M12" s="24" t="s">
        <v>371</v>
      </c>
      <c r="N12" s="24" t="s">
        <v>360</v>
      </c>
      <c r="O12" s="24" t="s">
        <v>361</v>
      </c>
      <c r="P12" s="24" t="s">
        <v>362</v>
      </c>
      <c r="Q12" s="24" t="s">
        <v>363</v>
      </c>
      <c r="R12" s="24" t="s">
        <v>364</v>
      </c>
      <c r="S12" s="24" t="s">
        <v>365</v>
      </c>
      <c r="T12" s="24" t="s">
        <v>366</v>
      </c>
      <c r="U12" s="69"/>
    </row>
    <row r="13" spans="1:21" s="68" customFormat="1">
      <c r="A13" s="71" t="s">
        <v>58</v>
      </c>
      <c r="B13" s="25">
        <v>247344.69999999998</v>
      </c>
      <c r="C13" s="25">
        <v>213984.60000000003</v>
      </c>
      <c r="D13" s="25">
        <v>146523.6</v>
      </c>
      <c r="E13" s="25">
        <v>127909.59999999999</v>
      </c>
      <c r="F13" s="25">
        <v>131818.29999999999</v>
      </c>
      <c r="G13" s="25">
        <v>39430.399999999994</v>
      </c>
      <c r="H13" s="25">
        <v>146245.80000000005</v>
      </c>
      <c r="I13" s="25">
        <v>106416.7</v>
      </c>
      <c r="J13" s="25">
        <v>144404.70000000001</v>
      </c>
      <c r="K13" s="25">
        <v>121399.49999999999</v>
      </c>
      <c r="L13" s="25">
        <v>99882.400000000009</v>
      </c>
      <c r="M13" s="25">
        <v>98367.900000000009</v>
      </c>
      <c r="N13" s="25">
        <v>53702</v>
      </c>
      <c r="O13" s="25">
        <v>160907.5</v>
      </c>
      <c r="P13" s="25">
        <v>228951.3</v>
      </c>
      <c r="Q13" s="25">
        <v>150379.49999999997</v>
      </c>
      <c r="R13" s="25">
        <v>76531.3</v>
      </c>
      <c r="S13" s="25">
        <v>140068.59999999998</v>
      </c>
      <c r="T13" s="25">
        <v>102245.70000000003</v>
      </c>
      <c r="U13" s="25">
        <v>2536514.0999999996</v>
      </c>
    </row>
    <row r="14" spans="1:21" s="68" customFormat="1">
      <c r="A14" s="71" t="s">
        <v>349</v>
      </c>
      <c r="B14" s="25"/>
      <c r="C14" s="25"/>
      <c r="D14" s="25"/>
      <c r="E14" s="25">
        <v>8673</v>
      </c>
      <c r="F14" s="25"/>
      <c r="G14" s="25"/>
      <c r="H14" s="25">
        <v>13199.8</v>
      </c>
      <c r="I14" s="25">
        <v>4017.1</v>
      </c>
      <c r="J14" s="25">
        <v>3882.68</v>
      </c>
      <c r="K14" s="25"/>
      <c r="L14" s="25">
        <v>5840.5</v>
      </c>
      <c r="M14" s="25"/>
      <c r="N14" s="25"/>
      <c r="O14" s="25"/>
      <c r="P14" s="25"/>
      <c r="Q14" s="25"/>
      <c r="R14" s="25">
        <v>16167.9</v>
      </c>
      <c r="S14" s="25"/>
      <c r="T14" s="25"/>
      <c r="U14" s="25">
        <v>51780.98</v>
      </c>
    </row>
    <row r="15" spans="1:21" s="68" customFormat="1">
      <c r="A15" s="71" t="s">
        <v>84</v>
      </c>
      <c r="B15" s="25">
        <v>247344.69999999998</v>
      </c>
      <c r="C15" s="25">
        <v>213984.60000000003</v>
      </c>
      <c r="D15" s="25">
        <v>146523.6</v>
      </c>
      <c r="E15" s="25">
        <v>136582.59999999998</v>
      </c>
      <c r="F15" s="25">
        <v>131818.29999999999</v>
      </c>
      <c r="G15" s="25">
        <v>39430.399999999994</v>
      </c>
      <c r="H15" s="25">
        <v>159445.60000000003</v>
      </c>
      <c r="I15" s="25">
        <v>110433.8</v>
      </c>
      <c r="J15" s="25">
        <v>148287.38</v>
      </c>
      <c r="K15" s="25">
        <v>121399.49999999999</v>
      </c>
      <c r="L15" s="25">
        <v>105722.90000000001</v>
      </c>
      <c r="M15" s="25">
        <v>98367.900000000009</v>
      </c>
      <c r="N15" s="25">
        <v>53702</v>
      </c>
      <c r="O15" s="25">
        <v>160907.5</v>
      </c>
      <c r="P15" s="25">
        <v>228951.3</v>
      </c>
      <c r="Q15" s="25">
        <v>150379.49999999997</v>
      </c>
      <c r="R15" s="25">
        <v>92699.199999999997</v>
      </c>
      <c r="S15" s="25">
        <v>140068.59999999998</v>
      </c>
      <c r="T15" s="25">
        <v>102245.70000000003</v>
      </c>
      <c r="U15" s="25">
        <v>2588295.0799999996</v>
      </c>
    </row>
    <row r="18" spans="1:21">
      <c r="A18" s="74" t="s">
        <v>376</v>
      </c>
      <c r="B18" s="75">
        <f>+B9-B15</f>
        <v>571808.00000000023</v>
      </c>
      <c r="C18" s="75">
        <f t="shared" ref="C18:T18" si="0">+C9-C15</f>
        <v>447594.89999999985</v>
      </c>
      <c r="D18" s="75">
        <f t="shared" si="0"/>
        <v>457650.80000000005</v>
      </c>
      <c r="E18" s="75">
        <f t="shared" si="0"/>
        <v>396933.39200000011</v>
      </c>
      <c r="F18" s="75">
        <f t="shared" si="0"/>
        <v>594478.80000000005</v>
      </c>
      <c r="G18" s="75">
        <f t="shared" si="0"/>
        <v>428506.79999999993</v>
      </c>
      <c r="H18" s="75">
        <f t="shared" si="0"/>
        <v>597891.29999999958</v>
      </c>
      <c r="I18" s="75">
        <f t="shared" si="0"/>
        <v>440982.7</v>
      </c>
      <c r="J18" s="75">
        <f t="shared" si="0"/>
        <v>724128.90000000014</v>
      </c>
      <c r="K18" s="75">
        <f t="shared" si="0"/>
        <v>450699.4</v>
      </c>
      <c r="L18" s="75">
        <f t="shared" si="0"/>
        <v>212602.09999999998</v>
      </c>
      <c r="M18" s="75">
        <f t="shared" si="0"/>
        <v>382853.6</v>
      </c>
      <c r="N18" s="75">
        <f t="shared" si="0"/>
        <v>436932.1</v>
      </c>
      <c r="O18" s="75">
        <f t="shared" si="0"/>
        <v>372962.39999999991</v>
      </c>
      <c r="P18" s="75">
        <f t="shared" si="0"/>
        <v>382862.99999999994</v>
      </c>
      <c r="Q18" s="75">
        <f t="shared" si="0"/>
        <v>503482.79999999993</v>
      </c>
      <c r="R18" s="75">
        <f t="shared" si="0"/>
        <v>322118.00000000006</v>
      </c>
      <c r="S18" s="75">
        <f t="shared" si="0"/>
        <v>462021.00000000012</v>
      </c>
      <c r="T18" s="75">
        <f t="shared" si="0"/>
        <v>359511.09999999992</v>
      </c>
      <c r="U18" s="75">
        <f>+U9-U15</f>
        <v>8546021.092000002</v>
      </c>
    </row>
  </sheetData>
  <pageMargins left="0.7" right="0.7" top="0.75" bottom="0.75" header="0.3" footer="0.3"/>
  <pageSetup scale="56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"/>
  <sheetViews>
    <sheetView topLeftCell="E1" workbookViewId="0">
      <selection activeCell="S23" sqref="S23"/>
    </sheetView>
  </sheetViews>
  <sheetFormatPr defaultRowHeight="12.75"/>
  <cols>
    <col min="1" max="16384" width="9.140625" style="72"/>
  </cols>
  <sheetData/>
  <pageMargins left="0.7" right="0.7" top="0.75" bottom="0.75" header="0.3" footer="0.3"/>
  <pageSetup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G20"/>
  <sheetViews>
    <sheetView workbookViewId="0"/>
  </sheetViews>
  <sheetFormatPr defaultRowHeight="15"/>
  <cols>
    <col min="1" max="1" width="26.42578125" bestFit="1" customWidth="1"/>
    <col min="2" max="2" width="15.85546875" style="114" bestFit="1" customWidth="1"/>
    <col min="3" max="3" width="17.5703125" customWidth="1"/>
    <col min="4" max="4" width="16" customWidth="1"/>
    <col min="5" max="5" width="14.85546875" customWidth="1"/>
    <col min="6" max="6" width="13.7109375" customWidth="1"/>
  </cols>
  <sheetData>
    <row r="1" spans="1:7">
      <c r="A1" s="113" t="s">
        <v>634</v>
      </c>
      <c r="B1" s="119" t="s">
        <v>633</v>
      </c>
      <c r="C1" s="113" t="s">
        <v>217</v>
      </c>
      <c r="D1" s="113" t="s">
        <v>635</v>
      </c>
      <c r="E1" s="113" t="s">
        <v>636</v>
      </c>
      <c r="F1" s="113" t="s">
        <v>220</v>
      </c>
    </row>
    <row r="2" spans="1:7">
      <c r="A2" s="33" t="s">
        <v>377</v>
      </c>
      <c r="B2" s="109" t="s">
        <v>81</v>
      </c>
      <c r="C2" s="33">
        <v>131.5</v>
      </c>
      <c r="D2" s="33">
        <v>0</v>
      </c>
      <c r="E2" s="33">
        <v>0</v>
      </c>
      <c r="F2" s="33">
        <v>131.5</v>
      </c>
    </row>
    <row r="3" spans="1:7">
      <c r="A3" s="121" t="s">
        <v>377</v>
      </c>
      <c r="B3" s="122"/>
      <c r="C3" s="121">
        <v>131.5</v>
      </c>
      <c r="D3" s="121">
        <v>0</v>
      </c>
      <c r="E3" s="121">
        <v>0</v>
      </c>
      <c r="F3" s="121">
        <v>131.5</v>
      </c>
      <c r="G3" t="s">
        <v>639</v>
      </c>
    </row>
    <row r="4" spans="1:7">
      <c r="A4" s="33" t="s">
        <v>78</v>
      </c>
      <c r="B4" s="109" t="s">
        <v>628</v>
      </c>
      <c r="C4" s="33">
        <v>0</v>
      </c>
      <c r="D4" s="33">
        <v>105.4</v>
      </c>
      <c r="E4" s="33">
        <v>0</v>
      </c>
      <c r="F4" s="33">
        <v>105.4</v>
      </c>
    </row>
    <row r="5" spans="1:7">
      <c r="A5" s="33" t="s">
        <v>78</v>
      </c>
      <c r="B5" s="109" t="s">
        <v>76</v>
      </c>
      <c r="C5" s="33">
        <v>0</v>
      </c>
      <c r="D5" s="33">
        <v>830</v>
      </c>
      <c r="E5" s="33">
        <v>830</v>
      </c>
      <c r="F5" s="33">
        <v>0</v>
      </c>
    </row>
    <row r="6" spans="1:7">
      <c r="A6" s="33" t="s">
        <v>78</v>
      </c>
      <c r="B6" s="109" t="s">
        <v>63</v>
      </c>
      <c r="C6" s="33">
        <v>0</v>
      </c>
      <c r="D6" s="33">
        <v>42103.5</v>
      </c>
      <c r="E6" s="33">
        <v>27897.9</v>
      </c>
      <c r="F6" s="33">
        <v>14205.6</v>
      </c>
    </row>
    <row r="7" spans="1:7">
      <c r="A7" s="33" t="s">
        <v>78</v>
      </c>
      <c r="B7" s="109" t="s">
        <v>79</v>
      </c>
      <c r="C7" s="33">
        <v>0</v>
      </c>
      <c r="D7" s="33">
        <v>1100</v>
      </c>
      <c r="E7" s="33">
        <v>0</v>
      </c>
      <c r="F7" s="33">
        <v>1100</v>
      </c>
    </row>
    <row r="8" spans="1:7">
      <c r="A8" s="121" t="s">
        <v>78</v>
      </c>
      <c r="B8" s="122"/>
      <c r="C8" s="121">
        <v>0</v>
      </c>
      <c r="D8" s="121">
        <v>44138.9</v>
      </c>
      <c r="E8" s="121">
        <v>28727.9</v>
      </c>
      <c r="F8" s="121">
        <v>15411</v>
      </c>
      <c r="G8" t="s">
        <v>639</v>
      </c>
    </row>
    <row r="9" spans="1:7">
      <c r="A9" s="33" t="s">
        <v>250</v>
      </c>
      <c r="B9" s="109" t="s">
        <v>81</v>
      </c>
      <c r="C9" s="33">
        <v>245.36</v>
      </c>
      <c r="D9" s="33">
        <v>0</v>
      </c>
      <c r="E9" s="33">
        <v>0</v>
      </c>
      <c r="F9" s="33">
        <v>245.36</v>
      </c>
    </row>
    <row r="10" spans="1:7">
      <c r="A10" s="33" t="s">
        <v>250</v>
      </c>
      <c r="B10" s="109" t="s">
        <v>123</v>
      </c>
      <c r="C10" s="33">
        <v>152.18</v>
      </c>
      <c r="D10" s="33">
        <v>1475.2</v>
      </c>
      <c r="E10" s="33">
        <v>1306.8699999999999</v>
      </c>
      <c r="F10" s="33">
        <v>320.51</v>
      </c>
    </row>
    <row r="11" spans="1:7">
      <c r="A11" s="121" t="s">
        <v>250</v>
      </c>
      <c r="B11" s="122"/>
      <c r="C11" s="121">
        <v>397.54</v>
      </c>
      <c r="D11" s="121">
        <v>1475.2</v>
      </c>
      <c r="E11" s="121">
        <v>1306.8699999999999</v>
      </c>
      <c r="F11" s="121">
        <v>565.87</v>
      </c>
      <c r="G11" s="118" t="s">
        <v>638</v>
      </c>
    </row>
    <row r="12" spans="1:7">
      <c r="A12" s="33" t="s">
        <v>73</v>
      </c>
      <c r="B12" s="109" t="s">
        <v>81</v>
      </c>
      <c r="C12" s="33">
        <v>0</v>
      </c>
      <c r="D12" s="33">
        <v>0</v>
      </c>
      <c r="E12" s="33">
        <v>0</v>
      </c>
      <c r="F12" s="33">
        <v>0</v>
      </c>
    </row>
    <row r="13" spans="1:7">
      <c r="A13" s="33" t="s">
        <v>73</v>
      </c>
      <c r="B13" s="109" t="s">
        <v>76</v>
      </c>
      <c r="C13" s="33">
        <v>1112</v>
      </c>
      <c r="D13" s="33">
        <v>7866</v>
      </c>
      <c r="E13" s="33">
        <v>2224</v>
      </c>
      <c r="F13" s="33">
        <v>6754</v>
      </c>
    </row>
    <row r="14" spans="1:7">
      <c r="A14" s="33" t="s">
        <v>73</v>
      </c>
      <c r="B14" s="109" t="s">
        <v>63</v>
      </c>
      <c r="C14" s="33">
        <v>5700.4</v>
      </c>
      <c r="D14" s="33">
        <v>28870</v>
      </c>
      <c r="E14" s="33">
        <v>8272.7999999999993</v>
      </c>
      <c r="F14" s="33">
        <v>26297.599999999999</v>
      </c>
    </row>
    <row r="15" spans="1:7">
      <c r="A15" s="33" t="s">
        <v>73</v>
      </c>
      <c r="B15" s="109" t="s">
        <v>79</v>
      </c>
      <c r="C15" s="33">
        <v>5449.5</v>
      </c>
      <c r="D15" s="33">
        <v>8645.2000000000007</v>
      </c>
      <c r="E15" s="33">
        <v>2459</v>
      </c>
      <c r="F15" s="33">
        <v>11635.7</v>
      </c>
    </row>
    <row r="16" spans="1:7">
      <c r="A16" s="121" t="s">
        <v>73</v>
      </c>
      <c r="B16" s="122"/>
      <c r="C16" s="121">
        <v>12261.9</v>
      </c>
      <c r="D16" s="121">
        <v>45381.2</v>
      </c>
      <c r="E16" s="121">
        <v>12955.8</v>
      </c>
      <c r="F16" s="121">
        <v>44687.3</v>
      </c>
      <c r="G16" s="118" t="s">
        <v>638</v>
      </c>
    </row>
    <row r="17" spans="1:7">
      <c r="A17" s="33" t="s">
        <v>252</v>
      </c>
      <c r="B17" s="109" t="s">
        <v>81</v>
      </c>
      <c r="C17" s="33">
        <v>15608.385</v>
      </c>
      <c r="D17" s="33">
        <v>305.3</v>
      </c>
      <c r="E17" s="33">
        <v>285.3</v>
      </c>
      <c r="F17" s="33">
        <v>15628.385</v>
      </c>
    </row>
    <row r="18" spans="1:7">
      <c r="A18" s="33" t="s">
        <v>252</v>
      </c>
      <c r="B18" s="109" t="s">
        <v>123</v>
      </c>
      <c r="C18" s="33">
        <v>1348.22</v>
      </c>
      <c r="D18" s="33">
        <v>4619.1499999999996</v>
      </c>
      <c r="E18" s="33">
        <v>4999.3500000000004</v>
      </c>
      <c r="F18" s="33">
        <v>968.02</v>
      </c>
      <c r="G18" s="118"/>
    </row>
    <row r="19" spans="1:7">
      <c r="A19" s="121" t="s">
        <v>252</v>
      </c>
      <c r="B19" s="122"/>
      <c r="C19" s="121">
        <v>16956.605</v>
      </c>
      <c r="D19" s="121">
        <v>4924.45</v>
      </c>
      <c r="E19" s="121">
        <v>5284.65</v>
      </c>
      <c r="F19" s="121">
        <v>16596.404999999999</v>
      </c>
      <c r="G19" t="s">
        <v>638</v>
      </c>
    </row>
    <row r="20" spans="1:7">
      <c r="A20" s="116"/>
      <c r="B20" s="120"/>
      <c r="C20" s="116"/>
      <c r="D20" s="116"/>
      <c r="E20" s="116"/>
      <c r="F20" s="116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 filterMode="1"/>
  <dimension ref="A1:I99"/>
  <sheetViews>
    <sheetView topLeftCell="A78" workbookViewId="0"/>
  </sheetViews>
  <sheetFormatPr defaultRowHeight="15"/>
  <cols>
    <col min="2" max="2" width="26.42578125" bestFit="1" customWidth="1"/>
    <col min="3" max="3" width="15.85546875" bestFit="1" customWidth="1"/>
    <col min="4" max="4" width="8.5703125" bestFit="1" customWidth="1"/>
    <col min="5" max="7" width="8" bestFit="1" customWidth="1"/>
    <col min="8" max="8" width="25" bestFit="1" customWidth="1"/>
    <col min="9" max="9" width="10.28515625" bestFit="1" customWidth="1"/>
  </cols>
  <sheetData>
    <row r="1" spans="1:9">
      <c r="A1" s="30"/>
      <c r="B1" s="113" t="s">
        <v>634</v>
      </c>
      <c r="C1" s="113" t="s">
        <v>633</v>
      </c>
      <c r="D1" s="113" t="s">
        <v>217</v>
      </c>
      <c r="E1" s="113" t="s">
        <v>635</v>
      </c>
      <c r="F1" s="113" t="s">
        <v>636</v>
      </c>
      <c r="G1" s="113" t="s">
        <v>220</v>
      </c>
      <c r="H1" s="113" t="s">
        <v>640</v>
      </c>
      <c r="I1" s="113" t="s">
        <v>247</v>
      </c>
    </row>
    <row r="2" spans="1:9" hidden="1">
      <c r="A2" s="80"/>
      <c r="B2" s="33" t="s">
        <v>73</v>
      </c>
      <c r="C2" s="33" t="s">
        <v>637</v>
      </c>
      <c r="D2" s="33">
        <v>0</v>
      </c>
      <c r="E2" s="33">
        <v>0</v>
      </c>
      <c r="F2" s="33">
        <v>0</v>
      </c>
      <c r="G2" s="33">
        <v>0</v>
      </c>
      <c r="H2" s="33" t="s">
        <v>641</v>
      </c>
      <c r="I2" s="33" t="s">
        <v>642</v>
      </c>
    </row>
    <row r="3" spans="1:9" hidden="1">
      <c r="A3" s="80"/>
      <c r="B3" s="33" t="s">
        <v>73</v>
      </c>
      <c r="C3" s="33" t="s">
        <v>81</v>
      </c>
      <c r="D3" s="33">
        <v>0</v>
      </c>
      <c r="E3" s="33">
        <v>0</v>
      </c>
      <c r="F3" s="33">
        <v>0</v>
      </c>
      <c r="G3" s="33">
        <v>0</v>
      </c>
      <c r="H3" s="33" t="s">
        <v>643</v>
      </c>
      <c r="I3" s="33" t="s">
        <v>160</v>
      </c>
    </row>
    <row r="4" spans="1:9" hidden="1">
      <c r="A4" s="80"/>
      <c r="B4" s="33" t="s">
        <v>73</v>
      </c>
      <c r="C4" s="33" t="s">
        <v>637</v>
      </c>
      <c r="D4" s="33">
        <v>0</v>
      </c>
      <c r="E4" s="33">
        <v>0</v>
      </c>
      <c r="F4" s="33">
        <v>0</v>
      </c>
      <c r="G4" s="33">
        <v>0</v>
      </c>
      <c r="H4" s="33" t="s">
        <v>644</v>
      </c>
      <c r="I4" s="33" t="s">
        <v>642</v>
      </c>
    </row>
    <row r="5" spans="1:9" hidden="1">
      <c r="A5" s="80"/>
      <c r="B5" s="33" t="s">
        <v>73</v>
      </c>
      <c r="C5" s="33" t="s">
        <v>637</v>
      </c>
      <c r="D5" s="33">
        <v>0</v>
      </c>
      <c r="E5" s="33">
        <v>0</v>
      </c>
      <c r="F5" s="33">
        <v>0</v>
      </c>
      <c r="G5" s="33">
        <v>0</v>
      </c>
      <c r="H5" s="33" t="s">
        <v>645</v>
      </c>
      <c r="I5" s="33" t="s">
        <v>642</v>
      </c>
    </row>
    <row r="6" spans="1:9" hidden="1">
      <c r="A6" s="80"/>
      <c r="B6" s="33" t="s">
        <v>73</v>
      </c>
      <c r="C6" s="33" t="s">
        <v>81</v>
      </c>
      <c r="D6" s="33">
        <v>0</v>
      </c>
      <c r="E6" s="33">
        <v>0</v>
      </c>
      <c r="F6" s="33">
        <v>0</v>
      </c>
      <c r="G6" s="33">
        <v>0</v>
      </c>
      <c r="H6" s="33" t="s">
        <v>646</v>
      </c>
      <c r="I6" s="33" t="s">
        <v>160</v>
      </c>
    </row>
    <row r="7" spans="1:9" hidden="1">
      <c r="A7" s="80"/>
      <c r="B7" s="33" t="s">
        <v>73</v>
      </c>
      <c r="C7" s="33" t="s">
        <v>81</v>
      </c>
      <c r="D7" s="33">
        <v>0</v>
      </c>
      <c r="E7" s="33">
        <v>0</v>
      </c>
      <c r="F7" s="33">
        <v>0</v>
      </c>
      <c r="G7" s="33">
        <v>0</v>
      </c>
      <c r="H7" s="33" t="s">
        <v>647</v>
      </c>
      <c r="I7" s="33" t="s">
        <v>160</v>
      </c>
    </row>
    <row r="8" spans="1:9" hidden="1">
      <c r="A8" s="80"/>
      <c r="B8" s="33" t="s">
        <v>73</v>
      </c>
      <c r="C8" s="33" t="s">
        <v>81</v>
      </c>
      <c r="D8" s="33">
        <v>0</v>
      </c>
      <c r="E8" s="33">
        <v>0</v>
      </c>
      <c r="F8" s="33">
        <v>0</v>
      </c>
      <c r="G8" s="33">
        <v>0</v>
      </c>
      <c r="H8" s="33" t="s">
        <v>648</v>
      </c>
      <c r="I8" s="33" t="s">
        <v>160</v>
      </c>
    </row>
    <row r="9" spans="1:9" hidden="1">
      <c r="A9" s="80"/>
      <c r="B9" s="33" t="s">
        <v>73</v>
      </c>
      <c r="C9" s="33" t="s">
        <v>81</v>
      </c>
      <c r="D9" s="33">
        <v>0</v>
      </c>
      <c r="E9" s="33">
        <v>0</v>
      </c>
      <c r="F9" s="33">
        <v>0</v>
      </c>
      <c r="G9" s="33">
        <v>0</v>
      </c>
      <c r="H9" s="33" t="s">
        <v>649</v>
      </c>
      <c r="I9" s="33" t="s">
        <v>160</v>
      </c>
    </row>
    <row r="10" spans="1:9" hidden="1">
      <c r="A10" s="80"/>
      <c r="B10" s="33" t="s">
        <v>73</v>
      </c>
      <c r="C10" s="33" t="s">
        <v>637</v>
      </c>
      <c r="D10" s="33">
        <v>0</v>
      </c>
      <c r="E10" s="33">
        <v>0</v>
      </c>
      <c r="F10" s="33">
        <v>0</v>
      </c>
      <c r="G10" s="33">
        <v>0</v>
      </c>
      <c r="H10" s="33" t="s">
        <v>650</v>
      </c>
      <c r="I10" s="33" t="s">
        <v>642</v>
      </c>
    </row>
    <row r="11" spans="1:9" hidden="1">
      <c r="A11" s="80"/>
      <c r="B11" s="33" t="s">
        <v>73</v>
      </c>
      <c r="C11" s="33" t="s">
        <v>81</v>
      </c>
      <c r="D11" s="33">
        <v>0</v>
      </c>
      <c r="E11" s="33">
        <v>0</v>
      </c>
      <c r="F11" s="33">
        <v>0</v>
      </c>
      <c r="G11" s="33">
        <v>0</v>
      </c>
      <c r="H11" s="33" t="s">
        <v>651</v>
      </c>
      <c r="I11" s="33" t="s">
        <v>160</v>
      </c>
    </row>
    <row r="12" spans="1:9" hidden="1">
      <c r="A12" s="80"/>
      <c r="B12" s="33" t="s">
        <v>73</v>
      </c>
      <c r="C12" s="33" t="s">
        <v>81</v>
      </c>
      <c r="D12" s="33">
        <v>0</v>
      </c>
      <c r="E12" s="33">
        <v>0</v>
      </c>
      <c r="F12" s="33">
        <v>0</v>
      </c>
      <c r="G12" s="33">
        <v>0</v>
      </c>
      <c r="H12" s="33" t="s">
        <v>652</v>
      </c>
      <c r="I12" s="33" t="s">
        <v>160</v>
      </c>
    </row>
    <row r="13" spans="1:9" hidden="1">
      <c r="A13" s="80"/>
      <c r="B13" s="33" t="s">
        <v>73</v>
      </c>
      <c r="C13" s="33" t="s">
        <v>81</v>
      </c>
      <c r="D13" s="33">
        <v>0</v>
      </c>
      <c r="E13" s="33">
        <v>0</v>
      </c>
      <c r="F13" s="33">
        <v>0</v>
      </c>
      <c r="G13" s="33">
        <v>0</v>
      </c>
      <c r="H13" s="33" t="s">
        <v>653</v>
      </c>
      <c r="I13" s="33" t="s">
        <v>160</v>
      </c>
    </row>
    <row r="14" spans="1:9" hidden="1">
      <c r="A14" s="80"/>
      <c r="B14" s="33" t="s">
        <v>73</v>
      </c>
      <c r="C14" s="33" t="s">
        <v>637</v>
      </c>
      <c r="D14" s="33">
        <v>0</v>
      </c>
      <c r="E14" s="33">
        <v>0</v>
      </c>
      <c r="F14" s="33">
        <v>0</v>
      </c>
      <c r="G14" s="33">
        <v>0</v>
      </c>
      <c r="H14" s="33" t="s">
        <v>654</v>
      </c>
      <c r="I14" s="33" t="s">
        <v>642</v>
      </c>
    </row>
    <row r="15" spans="1:9" hidden="1">
      <c r="A15" s="80"/>
      <c r="B15" s="33" t="s">
        <v>73</v>
      </c>
      <c r="C15" s="33" t="s">
        <v>637</v>
      </c>
      <c r="D15" s="33">
        <v>0</v>
      </c>
      <c r="E15" s="33">
        <v>0</v>
      </c>
      <c r="F15" s="33">
        <v>0</v>
      </c>
      <c r="G15" s="33">
        <v>0</v>
      </c>
      <c r="H15" s="33" t="s">
        <v>655</v>
      </c>
      <c r="I15" s="33" t="s">
        <v>642</v>
      </c>
    </row>
    <row r="16" spans="1:9" hidden="1">
      <c r="A16" s="80"/>
      <c r="B16" s="33" t="s">
        <v>73</v>
      </c>
      <c r="C16" s="33" t="s">
        <v>81</v>
      </c>
      <c r="D16" s="33">
        <v>0</v>
      </c>
      <c r="E16" s="33">
        <v>0</v>
      </c>
      <c r="F16" s="33">
        <v>0</v>
      </c>
      <c r="G16" s="33">
        <v>0</v>
      </c>
      <c r="H16" s="33" t="s">
        <v>656</v>
      </c>
      <c r="I16" s="33" t="s">
        <v>160</v>
      </c>
    </row>
    <row r="17" spans="1:9" hidden="1">
      <c r="A17" s="80"/>
      <c r="B17" s="33" t="s">
        <v>73</v>
      </c>
      <c r="C17" s="33" t="s">
        <v>81</v>
      </c>
      <c r="D17" s="33">
        <v>0</v>
      </c>
      <c r="E17" s="33">
        <v>0</v>
      </c>
      <c r="F17" s="33">
        <v>0</v>
      </c>
      <c r="G17" s="33">
        <v>0</v>
      </c>
      <c r="H17" s="33" t="s">
        <v>657</v>
      </c>
      <c r="I17" s="33" t="s">
        <v>160</v>
      </c>
    </row>
    <row r="18" spans="1:9" hidden="1">
      <c r="A18" s="80"/>
      <c r="B18" s="33" t="s">
        <v>73</v>
      </c>
      <c r="C18" s="33" t="s">
        <v>81</v>
      </c>
      <c r="D18" s="33">
        <v>0</v>
      </c>
      <c r="E18" s="33">
        <v>0</v>
      </c>
      <c r="F18" s="33">
        <v>0</v>
      </c>
      <c r="G18" s="33">
        <v>0</v>
      </c>
      <c r="H18" s="33" t="s">
        <v>658</v>
      </c>
      <c r="I18" s="33" t="s">
        <v>160</v>
      </c>
    </row>
    <row r="19" spans="1:9" hidden="1">
      <c r="A19" s="80"/>
      <c r="B19" s="33" t="s">
        <v>73</v>
      </c>
      <c r="C19" s="33" t="s">
        <v>637</v>
      </c>
      <c r="D19" s="33">
        <v>0</v>
      </c>
      <c r="E19" s="33">
        <v>0</v>
      </c>
      <c r="F19" s="33">
        <v>0</v>
      </c>
      <c r="G19" s="33">
        <v>0</v>
      </c>
      <c r="H19" s="33" t="s">
        <v>659</v>
      </c>
      <c r="I19" s="33" t="s">
        <v>642</v>
      </c>
    </row>
    <row r="20" spans="1:9" hidden="1">
      <c r="A20" s="80"/>
      <c r="B20" s="33" t="s">
        <v>73</v>
      </c>
      <c r="C20" s="33" t="s">
        <v>81</v>
      </c>
      <c r="D20" s="33">
        <v>0</v>
      </c>
      <c r="E20" s="33">
        <v>0</v>
      </c>
      <c r="F20" s="33">
        <v>0</v>
      </c>
      <c r="G20" s="33">
        <v>0</v>
      </c>
      <c r="H20" s="33" t="s">
        <v>660</v>
      </c>
      <c r="I20" s="33" t="s">
        <v>160</v>
      </c>
    </row>
    <row r="21" spans="1:9" hidden="1">
      <c r="A21" s="80"/>
      <c r="B21" s="33" t="s">
        <v>73</v>
      </c>
      <c r="C21" s="33" t="s">
        <v>637</v>
      </c>
      <c r="D21" s="33">
        <v>0</v>
      </c>
      <c r="E21" s="33">
        <v>0</v>
      </c>
      <c r="F21" s="33">
        <v>0</v>
      </c>
      <c r="G21" s="33">
        <v>0</v>
      </c>
      <c r="H21" s="33" t="s">
        <v>661</v>
      </c>
      <c r="I21" s="33" t="s">
        <v>642</v>
      </c>
    </row>
    <row r="22" spans="1:9" hidden="1">
      <c r="A22" s="80"/>
      <c r="B22" s="33" t="s">
        <v>73</v>
      </c>
      <c r="C22" s="33" t="s">
        <v>625</v>
      </c>
      <c r="D22" s="33">
        <v>0</v>
      </c>
      <c r="E22" s="33">
        <v>0</v>
      </c>
      <c r="F22" s="33">
        <v>0</v>
      </c>
      <c r="G22" s="33">
        <v>0</v>
      </c>
      <c r="H22" s="33" t="s">
        <v>662</v>
      </c>
      <c r="I22" s="33" t="s">
        <v>663</v>
      </c>
    </row>
    <row r="23" spans="1:9" hidden="1">
      <c r="A23" s="80"/>
      <c r="B23" s="33" t="s">
        <v>73</v>
      </c>
      <c r="C23" s="33" t="s">
        <v>81</v>
      </c>
      <c r="D23" s="33">
        <v>0</v>
      </c>
      <c r="E23" s="33">
        <v>0</v>
      </c>
      <c r="F23" s="33">
        <v>0</v>
      </c>
      <c r="G23" s="33">
        <v>0</v>
      </c>
      <c r="H23" s="33" t="s">
        <v>664</v>
      </c>
      <c r="I23" s="33" t="s">
        <v>160</v>
      </c>
    </row>
    <row r="24" spans="1:9" hidden="1">
      <c r="A24" s="80"/>
      <c r="B24" s="33" t="s">
        <v>73</v>
      </c>
      <c r="C24" s="33" t="s">
        <v>637</v>
      </c>
      <c r="D24" s="33">
        <v>0</v>
      </c>
      <c r="E24" s="33">
        <v>0</v>
      </c>
      <c r="F24" s="33">
        <v>0</v>
      </c>
      <c r="G24" s="33">
        <v>0</v>
      </c>
      <c r="H24" s="33" t="s">
        <v>665</v>
      </c>
      <c r="I24" s="33" t="s">
        <v>642</v>
      </c>
    </row>
    <row r="25" spans="1:9" hidden="1">
      <c r="A25" s="80"/>
      <c r="B25" s="33" t="s">
        <v>73</v>
      </c>
      <c r="C25" s="33" t="s">
        <v>637</v>
      </c>
      <c r="D25" s="33">
        <v>0</v>
      </c>
      <c r="E25" s="33">
        <v>0</v>
      </c>
      <c r="F25" s="33">
        <v>0</v>
      </c>
      <c r="G25" s="33">
        <v>0</v>
      </c>
      <c r="H25" s="33" t="s">
        <v>666</v>
      </c>
      <c r="I25" s="33" t="s">
        <v>642</v>
      </c>
    </row>
    <row r="26" spans="1:9" hidden="1">
      <c r="A26" s="80"/>
      <c r="B26" s="33" t="s">
        <v>73</v>
      </c>
      <c r="C26" s="33" t="s">
        <v>637</v>
      </c>
      <c r="D26" s="33">
        <v>0</v>
      </c>
      <c r="E26" s="33">
        <v>0</v>
      </c>
      <c r="F26" s="33">
        <v>0</v>
      </c>
      <c r="G26" s="33">
        <v>0</v>
      </c>
      <c r="H26" s="33" t="s">
        <v>667</v>
      </c>
      <c r="I26" s="33" t="s">
        <v>642</v>
      </c>
    </row>
    <row r="27" spans="1:9" hidden="1">
      <c r="A27" s="80"/>
      <c r="B27" s="33" t="s">
        <v>73</v>
      </c>
      <c r="C27" s="33" t="s">
        <v>637</v>
      </c>
      <c r="D27" s="33">
        <v>0</v>
      </c>
      <c r="E27" s="33">
        <v>0</v>
      </c>
      <c r="F27" s="33">
        <v>0</v>
      </c>
      <c r="G27" s="33">
        <v>0</v>
      </c>
      <c r="H27" s="33" t="s">
        <v>668</v>
      </c>
      <c r="I27" s="33" t="s">
        <v>642</v>
      </c>
    </row>
    <row r="28" spans="1:9" hidden="1">
      <c r="A28" s="80"/>
      <c r="B28" s="33" t="s">
        <v>73</v>
      </c>
      <c r="C28" s="33" t="s">
        <v>637</v>
      </c>
      <c r="D28" s="33">
        <v>0</v>
      </c>
      <c r="E28" s="33">
        <v>0</v>
      </c>
      <c r="F28" s="33">
        <v>0</v>
      </c>
      <c r="G28" s="33">
        <v>0</v>
      </c>
      <c r="H28" s="33" t="s">
        <v>669</v>
      </c>
      <c r="I28" s="33" t="s">
        <v>642</v>
      </c>
    </row>
    <row r="29" spans="1:9" hidden="1">
      <c r="A29" s="80"/>
      <c r="B29" s="33" t="s">
        <v>73</v>
      </c>
      <c r="C29" s="33" t="s">
        <v>637</v>
      </c>
      <c r="D29" s="33">
        <v>0</v>
      </c>
      <c r="E29" s="33">
        <v>0</v>
      </c>
      <c r="F29" s="33">
        <v>0</v>
      </c>
      <c r="G29" s="33">
        <v>0</v>
      </c>
      <c r="H29" s="33" t="s">
        <v>670</v>
      </c>
      <c r="I29" s="33" t="s">
        <v>642</v>
      </c>
    </row>
    <row r="30" spans="1:9" hidden="1">
      <c r="A30" s="80"/>
      <c r="B30" s="33" t="s">
        <v>73</v>
      </c>
      <c r="C30" s="33" t="s">
        <v>637</v>
      </c>
      <c r="D30" s="33">
        <v>0</v>
      </c>
      <c r="E30" s="33">
        <v>0</v>
      </c>
      <c r="F30" s="33">
        <v>0</v>
      </c>
      <c r="G30" s="33">
        <v>0</v>
      </c>
      <c r="H30" s="33" t="s">
        <v>671</v>
      </c>
      <c r="I30" s="33" t="s">
        <v>642</v>
      </c>
    </row>
    <row r="31" spans="1:9" hidden="1">
      <c r="A31" s="80"/>
      <c r="B31" s="33" t="s">
        <v>73</v>
      </c>
      <c r="C31" s="33" t="s">
        <v>637</v>
      </c>
      <c r="D31" s="33">
        <v>0</v>
      </c>
      <c r="E31" s="33">
        <v>0</v>
      </c>
      <c r="F31" s="33">
        <v>0</v>
      </c>
      <c r="G31" s="33">
        <v>0</v>
      </c>
      <c r="H31" s="33" t="s">
        <v>672</v>
      </c>
      <c r="I31" s="33" t="s">
        <v>642</v>
      </c>
    </row>
    <row r="32" spans="1:9" hidden="1">
      <c r="A32" s="80"/>
      <c r="B32" s="33" t="s">
        <v>73</v>
      </c>
      <c r="C32" s="33" t="s">
        <v>637</v>
      </c>
      <c r="D32" s="33">
        <v>0</v>
      </c>
      <c r="E32" s="33">
        <v>0</v>
      </c>
      <c r="F32" s="33">
        <v>0</v>
      </c>
      <c r="G32" s="33">
        <v>0</v>
      </c>
      <c r="H32" s="33" t="s">
        <v>673</v>
      </c>
      <c r="I32" s="33" t="s">
        <v>642</v>
      </c>
    </row>
    <row r="33" spans="1:9" hidden="1">
      <c r="A33" s="80"/>
      <c r="B33" s="33" t="s">
        <v>73</v>
      </c>
      <c r="C33" s="33" t="s">
        <v>637</v>
      </c>
      <c r="D33" s="33">
        <v>0</v>
      </c>
      <c r="E33" s="33">
        <v>0</v>
      </c>
      <c r="F33" s="33">
        <v>0</v>
      </c>
      <c r="G33" s="33">
        <v>0</v>
      </c>
      <c r="H33" s="33" t="s">
        <v>674</v>
      </c>
      <c r="I33" s="33" t="s">
        <v>642</v>
      </c>
    </row>
    <row r="34" spans="1:9" hidden="1">
      <c r="A34" s="80"/>
      <c r="B34" s="33" t="s">
        <v>73</v>
      </c>
      <c r="C34" s="33" t="s">
        <v>637</v>
      </c>
      <c r="D34" s="33">
        <v>0</v>
      </c>
      <c r="E34" s="33">
        <v>0</v>
      </c>
      <c r="F34" s="33">
        <v>0</v>
      </c>
      <c r="G34" s="33">
        <v>0</v>
      </c>
      <c r="H34" s="33" t="s">
        <v>675</v>
      </c>
      <c r="I34" s="33" t="s">
        <v>642</v>
      </c>
    </row>
    <row r="35" spans="1:9" hidden="1">
      <c r="A35" s="80"/>
      <c r="B35" s="33" t="s">
        <v>73</v>
      </c>
      <c r="C35" s="33" t="s">
        <v>637</v>
      </c>
      <c r="D35" s="33">
        <v>0</v>
      </c>
      <c r="E35" s="33">
        <v>0</v>
      </c>
      <c r="F35" s="33">
        <v>0</v>
      </c>
      <c r="G35" s="33">
        <v>0</v>
      </c>
      <c r="H35" s="33" t="s">
        <v>676</v>
      </c>
      <c r="I35" s="33" t="s">
        <v>642</v>
      </c>
    </row>
    <row r="36" spans="1:9" hidden="1">
      <c r="A36" s="80"/>
      <c r="B36" s="33" t="s">
        <v>73</v>
      </c>
      <c r="C36" s="33" t="s">
        <v>625</v>
      </c>
      <c r="D36" s="33">
        <v>0</v>
      </c>
      <c r="E36" s="33">
        <v>0</v>
      </c>
      <c r="F36" s="33">
        <v>0</v>
      </c>
      <c r="G36" s="33">
        <v>0</v>
      </c>
      <c r="H36" s="33" t="s">
        <v>677</v>
      </c>
      <c r="I36" s="33" t="s">
        <v>678</v>
      </c>
    </row>
    <row r="37" spans="1:9" hidden="1">
      <c r="A37" s="80"/>
      <c r="B37" s="33" t="s">
        <v>73</v>
      </c>
      <c r="C37" s="33" t="s">
        <v>81</v>
      </c>
      <c r="D37" s="33">
        <v>0</v>
      </c>
      <c r="E37" s="33">
        <v>0</v>
      </c>
      <c r="F37" s="33">
        <v>0</v>
      </c>
      <c r="G37" s="33">
        <v>0</v>
      </c>
      <c r="H37" s="33" t="s">
        <v>679</v>
      </c>
      <c r="I37" s="33" t="s">
        <v>160</v>
      </c>
    </row>
    <row r="38" spans="1:9" hidden="1">
      <c r="A38" s="80"/>
      <c r="B38" s="33" t="s">
        <v>73</v>
      </c>
      <c r="C38" s="33" t="s">
        <v>81</v>
      </c>
      <c r="D38" s="33">
        <v>0</v>
      </c>
      <c r="E38" s="33">
        <v>0</v>
      </c>
      <c r="F38" s="33">
        <v>0</v>
      </c>
      <c r="G38" s="33">
        <v>0</v>
      </c>
      <c r="H38" s="33" t="s">
        <v>680</v>
      </c>
      <c r="I38" s="33" t="s">
        <v>160</v>
      </c>
    </row>
    <row r="39" spans="1:9">
      <c r="A39" s="80"/>
      <c r="B39" s="33" t="s">
        <v>73</v>
      </c>
      <c r="C39" s="33" t="s">
        <v>63</v>
      </c>
      <c r="D39" s="33">
        <v>4940.3999999999996</v>
      </c>
      <c r="E39" s="33">
        <v>0</v>
      </c>
      <c r="F39" s="33">
        <v>6752.8</v>
      </c>
      <c r="G39" s="33">
        <v>-1812.4</v>
      </c>
      <c r="H39" s="33" t="s">
        <v>681</v>
      </c>
      <c r="I39" s="33" t="s">
        <v>18</v>
      </c>
    </row>
    <row r="40" spans="1:9">
      <c r="A40" s="80"/>
      <c r="B40" s="33" t="s">
        <v>73</v>
      </c>
      <c r="C40" s="33" t="s">
        <v>79</v>
      </c>
      <c r="D40" s="33">
        <v>1365.3</v>
      </c>
      <c r="E40" s="33">
        <v>0</v>
      </c>
      <c r="F40" s="33">
        <v>2098.1999999999998</v>
      </c>
      <c r="G40" s="33">
        <v>-732.9</v>
      </c>
      <c r="H40" s="33" t="s">
        <v>682</v>
      </c>
      <c r="I40" s="33" t="s">
        <v>23</v>
      </c>
    </row>
    <row r="41" spans="1:9">
      <c r="A41" s="80"/>
      <c r="B41" s="33" t="s">
        <v>73</v>
      </c>
      <c r="C41" s="33" t="s">
        <v>79</v>
      </c>
      <c r="D41" s="33">
        <v>868.6</v>
      </c>
      <c r="E41" s="33">
        <v>0</v>
      </c>
      <c r="F41" s="33">
        <v>0</v>
      </c>
      <c r="G41" s="33">
        <v>868.6</v>
      </c>
      <c r="H41" s="33" t="s">
        <v>683</v>
      </c>
      <c r="I41" s="33" t="s">
        <v>23</v>
      </c>
    </row>
    <row r="42" spans="1:9">
      <c r="A42" s="80"/>
      <c r="B42" s="33" t="s">
        <v>73</v>
      </c>
      <c r="C42" s="33" t="s">
        <v>79</v>
      </c>
      <c r="D42" s="33">
        <v>917.7</v>
      </c>
      <c r="E42" s="33">
        <v>0</v>
      </c>
      <c r="F42" s="33">
        <v>0</v>
      </c>
      <c r="G42" s="33">
        <v>917.7</v>
      </c>
      <c r="H42" s="33" t="s">
        <v>684</v>
      </c>
      <c r="I42" s="33" t="s">
        <v>23</v>
      </c>
    </row>
    <row r="43" spans="1:9">
      <c r="A43" s="80"/>
      <c r="B43" s="33" t="s">
        <v>73</v>
      </c>
      <c r="C43" s="33" t="s">
        <v>79</v>
      </c>
      <c r="D43" s="33">
        <v>2117.5</v>
      </c>
      <c r="E43" s="33">
        <v>0</v>
      </c>
      <c r="F43" s="33">
        <v>0</v>
      </c>
      <c r="G43" s="33">
        <v>2117.5</v>
      </c>
      <c r="H43" s="33" t="s">
        <v>685</v>
      </c>
      <c r="I43" s="33" t="s">
        <v>23</v>
      </c>
    </row>
    <row r="44" spans="1:9">
      <c r="A44" s="80"/>
      <c r="B44" s="33" t="s">
        <v>73</v>
      </c>
      <c r="C44" s="33" t="s">
        <v>79</v>
      </c>
      <c r="D44" s="33">
        <v>0</v>
      </c>
      <c r="E44" s="33">
        <v>1038.5999999999999</v>
      </c>
      <c r="F44" s="33">
        <v>0</v>
      </c>
      <c r="G44" s="33">
        <v>1038.5999999999999</v>
      </c>
      <c r="H44" s="33" t="s">
        <v>686</v>
      </c>
      <c r="I44" s="33" t="s">
        <v>23</v>
      </c>
    </row>
    <row r="45" spans="1:9">
      <c r="A45" s="80"/>
      <c r="B45" s="33" t="s">
        <v>73</v>
      </c>
      <c r="C45" s="33" t="s">
        <v>63</v>
      </c>
      <c r="D45" s="33">
        <v>0</v>
      </c>
      <c r="E45" s="33">
        <v>2522</v>
      </c>
      <c r="F45" s="33">
        <v>0</v>
      </c>
      <c r="G45" s="33">
        <v>2522</v>
      </c>
      <c r="H45" s="33" t="s">
        <v>687</v>
      </c>
      <c r="I45" s="33" t="s">
        <v>18</v>
      </c>
    </row>
    <row r="46" spans="1:9">
      <c r="A46" s="80"/>
      <c r="B46" s="33" t="s">
        <v>73</v>
      </c>
      <c r="C46" s="33" t="s">
        <v>79</v>
      </c>
      <c r="D46" s="33">
        <v>0</v>
      </c>
      <c r="E46" s="33">
        <v>396.2</v>
      </c>
      <c r="F46" s="33">
        <v>0</v>
      </c>
      <c r="G46" s="33">
        <v>396.2</v>
      </c>
      <c r="H46" s="33" t="s">
        <v>688</v>
      </c>
      <c r="I46" s="33" t="s">
        <v>23</v>
      </c>
    </row>
    <row r="47" spans="1:9">
      <c r="A47" s="80"/>
      <c r="B47" s="33" t="s">
        <v>73</v>
      </c>
      <c r="C47" s="33" t="s">
        <v>63</v>
      </c>
      <c r="D47" s="33">
        <v>0</v>
      </c>
      <c r="E47" s="33">
        <v>1405</v>
      </c>
      <c r="F47" s="33">
        <v>0</v>
      </c>
      <c r="G47" s="33">
        <v>1405</v>
      </c>
      <c r="H47" s="33" t="s">
        <v>689</v>
      </c>
      <c r="I47" s="33" t="s">
        <v>18</v>
      </c>
    </row>
    <row r="48" spans="1:9">
      <c r="A48" s="80"/>
      <c r="B48" s="33" t="s">
        <v>73</v>
      </c>
      <c r="C48" s="33" t="s">
        <v>76</v>
      </c>
      <c r="D48" s="33">
        <v>0</v>
      </c>
      <c r="E48" s="33">
        <v>2590</v>
      </c>
      <c r="F48" s="33">
        <v>0</v>
      </c>
      <c r="G48" s="33">
        <v>2590</v>
      </c>
      <c r="H48" s="33" t="s">
        <v>690</v>
      </c>
      <c r="I48" s="33" t="s">
        <v>20</v>
      </c>
    </row>
    <row r="49" spans="1:9">
      <c r="A49" s="80"/>
      <c r="B49" s="33" t="s">
        <v>73</v>
      </c>
      <c r="C49" s="33" t="s">
        <v>79</v>
      </c>
      <c r="D49" s="33">
        <v>0</v>
      </c>
      <c r="E49" s="33">
        <v>941.1</v>
      </c>
      <c r="F49" s="33">
        <v>0</v>
      </c>
      <c r="G49" s="33">
        <v>941.1</v>
      </c>
      <c r="H49" s="33" t="s">
        <v>691</v>
      </c>
      <c r="I49" s="33" t="s">
        <v>23</v>
      </c>
    </row>
    <row r="50" spans="1:9">
      <c r="A50" s="80"/>
      <c r="B50" s="33" t="s">
        <v>73</v>
      </c>
      <c r="C50" s="33" t="s">
        <v>76</v>
      </c>
      <c r="D50" s="33">
        <v>0</v>
      </c>
      <c r="E50" s="33">
        <v>1869</v>
      </c>
      <c r="F50" s="33">
        <v>0</v>
      </c>
      <c r="G50" s="33">
        <v>1869</v>
      </c>
      <c r="H50" s="33" t="s">
        <v>692</v>
      </c>
      <c r="I50" s="33" t="s">
        <v>20</v>
      </c>
    </row>
    <row r="51" spans="1:9">
      <c r="A51" s="80"/>
      <c r="B51" s="33" t="s">
        <v>73</v>
      </c>
      <c r="C51" s="33" t="s">
        <v>63</v>
      </c>
      <c r="D51" s="33">
        <v>0</v>
      </c>
      <c r="E51" s="33">
        <v>500</v>
      </c>
      <c r="F51" s="33">
        <v>0</v>
      </c>
      <c r="G51" s="33">
        <v>500</v>
      </c>
      <c r="H51" s="33" t="s">
        <v>693</v>
      </c>
      <c r="I51" s="33" t="s">
        <v>18</v>
      </c>
    </row>
    <row r="52" spans="1:9">
      <c r="A52" s="80"/>
      <c r="B52" s="33" t="s">
        <v>73</v>
      </c>
      <c r="C52" s="33" t="s">
        <v>79</v>
      </c>
      <c r="D52" s="33">
        <v>0</v>
      </c>
      <c r="E52" s="33">
        <v>106.3</v>
      </c>
      <c r="F52" s="33">
        <v>0</v>
      </c>
      <c r="G52" s="33">
        <v>106.3</v>
      </c>
      <c r="H52" s="33" t="s">
        <v>694</v>
      </c>
      <c r="I52" s="33" t="s">
        <v>23</v>
      </c>
    </row>
    <row r="53" spans="1:9">
      <c r="A53" s="80"/>
      <c r="B53" s="33" t="s">
        <v>73</v>
      </c>
      <c r="C53" s="33" t="s">
        <v>79</v>
      </c>
      <c r="D53" s="33">
        <v>0</v>
      </c>
      <c r="E53" s="33">
        <v>714.1</v>
      </c>
      <c r="F53" s="33">
        <v>0</v>
      </c>
      <c r="G53" s="33">
        <v>714.1</v>
      </c>
      <c r="H53" s="33" t="s">
        <v>695</v>
      </c>
      <c r="I53" s="33" t="s">
        <v>23</v>
      </c>
    </row>
    <row r="54" spans="1:9">
      <c r="A54" s="80"/>
      <c r="B54" s="33" t="s">
        <v>73</v>
      </c>
      <c r="C54" s="33" t="s">
        <v>76</v>
      </c>
      <c r="D54" s="33">
        <v>0</v>
      </c>
      <c r="E54" s="33">
        <v>550</v>
      </c>
      <c r="F54" s="33">
        <v>0</v>
      </c>
      <c r="G54" s="33">
        <v>550</v>
      </c>
      <c r="H54" s="33" t="s">
        <v>696</v>
      </c>
      <c r="I54" s="33" t="s">
        <v>20</v>
      </c>
    </row>
    <row r="55" spans="1:9">
      <c r="A55" s="80"/>
      <c r="B55" s="33" t="s">
        <v>73</v>
      </c>
      <c r="C55" s="33" t="s">
        <v>63</v>
      </c>
      <c r="D55" s="33">
        <v>0</v>
      </c>
      <c r="E55" s="33">
        <v>1299</v>
      </c>
      <c r="F55" s="33">
        <v>0</v>
      </c>
      <c r="G55" s="33">
        <v>1299</v>
      </c>
      <c r="H55" s="33" t="s">
        <v>697</v>
      </c>
      <c r="I55" s="33" t="s">
        <v>18</v>
      </c>
    </row>
    <row r="56" spans="1:9">
      <c r="A56" s="80"/>
      <c r="B56" s="33" t="s">
        <v>73</v>
      </c>
      <c r="C56" s="33" t="s">
        <v>79</v>
      </c>
      <c r="D56" s="33">
        <v>0</v>
      </c>
      <c r="E56" s="33">
        <v>376.6</v>
      </c>
      <c r="F56" s="33">
        <v>0</v>
      </c>
      <c r="G56" s="33">
        <v>376.6</v>
      </c>
      <c r="H56" s="33" t="s">
        <v>698</v>
      </c>
      <c r="I56" s="33" t="s">
        <v>23</v>
      </c>
    </row>
    <row r="57" spans="1:9">
      <c r="A57" s="80"/>
      <c r="B57" s="33" t="s">
        <v>73</v>
      </c>
      <c r="C57" s="33" t="s">
        <v>63</v>
      </c>
      <c r="D57" s="33">
        <v>0</v>
      </c>
      <c r="E57" s="33">
        <v>608</v>
      </c>
      <c r="F57" s="33">
        <v>0</v>
      </c>
      <c r="G57" s="33">
        <v>608</v>
      </c>
      <c r="H57" s="33" t="s">
        <v>699</v>
      </c>
      <c r="I57" s="33" t="s">
        <v>18</v>
      </c>
    </row>
    <row r="58" spans="1:9">
      <c r="A58" s="80"/>
      <c r="B58" s="33" t="s">
        <v>73</v>
      </c>
      <c r="C58" s="33" t="s">
        <v>79</v>
      </c>
      <c r="D58" s="33">
        <v>0</v>
      </c>
      <c r="E58" s="33">
        <v>505</v>
      </c>
      <c r="F58" s="33">
        <v>0</v>
      </c>
      <c r="G58" s="33">
        <v>505</v>
      </c>
      <c r="H58" s="33" t="s">
        <v>700</v>
      </c>
      <c r="I58" s="33" t="s">
        <v>23</v>
      </c>
    </row>
    <row r="59" spans="1:9">
      <c r="A59" s="80"/>
      <c r="B59" s="33" t="s">
        <v>73</v>
      </c>
      <c r="C59" s="33" t="s">
        <v>79</v>
      </c>
      <c r="D59" s="33">
        <v>0</v>
      </c>
      <c r="E59" s="33">
        <v>1247.2</v>
      </c>
      <c r="F59" s="33">
        <v>0</v>
      </c>
      <c r="G59" s="33">
        <v>1247.2</v>
      </c>
      <c r="H59" s="33" t="s">
        <v>701</v>
      </c>
      <c r="I59" s="33" t="s">
        <v>23</v>
      </c>
    </row>
    <row r="60" spans="1:9">
      <c r="A60" s="80"/>
      <c r="B60" s="33" t="s">
        <v>73</v>
      </c>
      <c r="C60" s="33" t="s">
        <v>79</v>
      </c>
      <c r="D60" s="33">
        <v>0</v>
      </c>
      <c r="E60" s="33">
        <v>852.8</v>
      </c>
      <c r="F60" s="33">
        <v>0</v>
      </c>
      <c r="G60" s="33">
        <v>852.8</v>
      </c>
      <c r="H60" s="33" t="s">
        <v>702</v>
      </c>
      <c r="I60" s="33" t="s">
        <v>23</v>
      </c>
    </row>
    <row r="61" spans="1:9">
      <c r="A61" s="80"/>
      <c r="B61" s="33" t="s">
        <v>73</v>
      </c>
      <c r="C61" s="33" t="s">
        <v>63</v>
      </c>
      <c r="D61" s="33">
        <v>0</v>
      </c>
      <c r="E61" s="33">
        <v>573</v>
      </c>
      <c r="F61" s="33">
        <v>0</v>
      </c>
      <c r="G61" s="33">
        <v>573</v>
      </c>
      <c r="H61" s="33" t="s">
        <v>703</v>
      </c>
      <c r="I61" s="33" t="s">
        <v>18</v>
      </c>
    </row>
    <row r="62" spans="1:9">
      <c r="A62" s="80"/>
      <c r="B62" s="33" t="s">
        <v>73</v>
      </c>
      <c r="C62" s="33" t="s">
        <v>76</v>
      </c>
      <c r="D62" s="33">
        <v>0</v>
      </c>
      <c r="E62" s="33">
        <v>726</v>
      </c>
      <c r="F62" s="33">
        <v>0</v>
      </c>
      <c r="G62" s="33">
        <v>726</v>
      </c>
      <c r="H62" s="33" t="s">
        <v>704</v>
      </c>
      <c r="I62" s="33" t="s">
        <v>20</v>
      </c>
    </row>
    <row r="63" spans="1:9">
      <c r="A63" s="80"/>
      <c r="B63" s="33" t="s">
        <v>73</v>
      </c>
      <c r="C63" s="33" t="s">
        <v>79</v>
      </c>
      <c r="D63" s="33">
        <v>0</v>
      </c>
      <c r="E63" s="33">
        <v>99.3</v>
      </c>
      <c r="F63" s="33">
        <v>0</v>
      </c>
      <c r="G63" s="33">
        <v>99.3</v>
      </c>
      <c r="H63" s="33" t="s">
        <v>705</v>
      </c>
      <c r="I63" s="33" t="s">
        <v>23</v>
      </c>
    </row>
    <row r="64" spans="1:9">
      <c r="A64" s="80"/>
      <c r="B64" s="33" t="s">
        <v>73</v>
      </c>
      <c r="C64" s="33" t="s">
        <v>79</v>
      </c>
      <c r="D64" s="33">
        <v>0</v>
      </c>
      <c r="E64" s="33">
        <v>1470.7</v>
      </c>
      <c r="F64" s="33">
        <v>0</v>
      </c>
      <c r="G64" s="33">
        <v>1470.7</v>
      </c>
      <c r="H64" s="33" t="s">
        <v>706</v>
      </c>
      <c r="I64" s="33" t="s">
        <v>23</v>
      </c>
    </row>
    <row r="65" spans="1:9">
      <c r="A65" s="80"/>
      <c r="B65" s="33" t="s">
        <v>73</v>
      </c>
      <c r="C65" s="33" t="s">
        <v>63</v>
      </c>
      <c r="D65" s="33">
        <v>0</v>
      </c>
      <c r="E65" s="33">
        <v>1038</v>
      </c>
      <c r="F65" s="33">
        <v>0</v>
      </c>
      <c r="G65" s="33">
        <v>1038</v>
      </c>
      <c r="H65" s="33" t="s">
        <v>707</v>
      </c>
      <c r="I65" s="33" t="s">
        <v>18</v>
      </c>
    </row>
    <row r="66" spans="1:9">
      <c r="A66" s="80"/>
      <c r="B66" s="33" t="s">
        <v>73</v>
      </c>
      <c r="C66" s="33" t="s">
        <v>76</v>
      </c>
      <c r="D66" s="33">
        <v>0</v>
      </c>
      <c r="E66" s="33">
        <v>542</v>
      </c>
      <c r="F66" s="33">
        <v>0</v>
      </c>
      <c r="G66" s="33">
        <v>542</v>
      </c>
      <c r="H66" s="33" t="s">
        <v>708</v>
      </c>
      <c r="I66" s="33" t="s">
        <v>20</v>
      </c>
    </row>
    <row r="67" spans="1:9">
      <c r="A67" s="80"/>
      <c r="B67" s="33" t="s">
        <v>73</v>
      </c>
      <c r="C67" s="33" t="s">
        <v>63</v>
      </c>
      <c r="D67" s="33">
        <v>0</v>
      </c>
      <c r="E67" s="33">
        <v>1455</v>
      </c>
      <c r="F67" s="33">
        <v>0</v>
      </c>
      <c r="G67" s="33">
        <v>1455</v>
      </c>
      <c r="H67" s="33" t="s">
        <v>709</v>
      </c>
      <c r="I67" s="33" t="s">
        <v>18</v>
      </c>
    </row>
    <row r="68" spans="1:9">
      <c r="A68" s="80"/>
      <c r="B68" s="33" t="s">
        <v>73</v>
      </c>
      <c r="C68" s="33" t="s">
        <v>63</v>
      </c>
      <c r="D68" s="33">
        <v>0</v>
      </c>
      <c r="E68" s="33">
        <v>1988</v>
      </c>
      <c r="F68" s="33">
        <v>0</v>
      </c>
      <c r="G68" s="33">
        <v>1988</v>
      </c>
      <c r="H68" s="33" t="s">
        <v>710</v>
      </c>
      <c r="I68" s="33" t="s">
        <v>18</v>
      </c>
    </row>
    <row r="69" spans="1:9">
      <c r="A69" s="80"/>
      <c r="B69" s="33" t="s">
        <v>73</v>
      </c>
      <c r="C69" s="33" t="s">
        <v>63</v>
      </c>
      <c r="D69" s="33">
        <v>0</v>
      </c>
      <c r="E69" s="33">
        <v>1850</v>
      </c>
      <c r="F69" s="33">
        <v>0</v>
      </c>
      <c r="G69" s="33">
        <v>1850</v>
      </c>
      <c r="H69" s="33" t="s">
        <v>711</v>
      </c>
      <c r="I69" s="33" t="s">
        <v>18</v>
      </c>
    </row>
    <row r="70" spans="1:9">
      <c r="A70" s="80"/>
      <c r="B70" s="33" t="s">
        <v>73</v>
      </c>
      <c r="C70" s="33" t="s">
        <v>79</v>
      </c>
      <c r="D70" s="33">
        <v>0</v>
      </c>
      <c r="E70" s="33">
        <v>243.2</v>
      </c>
      <c r="F70" s="33">
        <v>0</v>
      </c>
      <c r="G70" s="33">
        <v>243.2</v>
      </c>
      <c r="H70" s="33" t="s">
        <v>712</v>
      </c>
      <c r="I70" s="33" t="s">
        <v>23</v>
      </c>
    </row>
    <row r="71" spans="1:9">
      <c r="A71" s="80"/>
      <c r="B71" s="33" t="s">
        <v>73</v>
      </c>
      <c r="C71" s="33" t="s">
        <v>63</v>
      </c>
      <c r="D71" s="33">
        <v>0</v>
      </c>
      <c r="E71" s="33">
        <v>2557</v>
      </c>
      <c r="F71" s="33">
        <v>0</v>
      </c>
      <c r="G71" s="33">
        <v>2557</v>
      </c>
      <c r="H71" s="33" t="s">
        <v>713</v>
      </c>
      <c r="I71" s="33" t="s">
        <v>18</v>
      </c>
    </row>
    <row r="72" spans="1:9">
      <c r="A72" s="80"/>
      <c r="B72" s="33" t="s">
        <v>73</v>
      </c>
      <c r="C72" s="33" t="s">
        <v>63</v>
      </c>
      <c r="D72" s="33">
        <v>0</v>
      </c>
      <c r="E72" s="33">
        <v>1209</v>
      </c>
      <c r="F72" s="33">
        <v>0</v>
      </c>
      <c r="G72" s="33">
        <v>1209</v>
      </c>
      <c r="H72" s="33" t="s">
        <v>714</v>
      </c>
      <c r="I72" s="33" t="s">
        <v>18</v>
      </c>
    </row>
    <row r="73" spans="1:9">
      <c r="A73" s="80"/>
      <c r="B73" s="33" t="s">
        <v>73</v>
      </c>
      <c r="C73" s="33" t="s">
        <v>63</v>
      </c>
      <c r="D73" s="33">
        <v>0</v>
      </c>
      <c r="E73" s="33">
        <v>554</v>
      </c>
      <c r="F73" s="33">
        <v>0</v>
      </c>
      <c r="G73" s="33">
        <v>554</v>
      </c>
      <c r="H73" s="33" t="s">
        <v>715</v>
      </c>
      <c r="I73" s="33" t="s">
        <v>18</v>
      </c>
    </row>
    <row r="74" spans="1:9">
      <c r="A74" s="80"/>
      <c r="B74" s="33" t="s">
        <v>73</v>
      </c>
      <c r="C74" s="33" t="s">
        <v>63</v>
      </c>
      <c r="D74" s="33">
        <v>0</v>
      </c>
      <c r="E74" s="33">
        <v>374</v>
      </c>
      <c r="F74" s="33">
        <v>0</v>
      </c>
      <c r="G74" s="33">
        <v>374</v>
      </c>
      <c r="H74" s="33" t="s">
        <v>716</v>
      </c>
      <c r="I74" s="33" t="s">
        <v>18</v>
      </c>
    </row>
    <row r="75" spans="1:9">
      <c r="A75" s="80"/>
      <c r="B75" s="33" t="s">
        <v>73</v>
      </c>
      <c r="C75" s="33" t="s">
        <v>63</v>
      </c>
      <c r="D75" s="33">
        <v>0</v>
      </c>
      <c r="E75" s="33">
        <v>379</v>
      </c>
      <c r="F75" s="33">
        <v>0</v>
      </c>
      <c r="G75" s="33">
        <v>379</v>
      </c>
      <c r="H75" s="33" t="s">
        <v>717</v>
      </c>
      <c r="I75" s="33" t="s">
        <v>18</v>
      </c>
    </row>
    <row r="76" spans="1:9">
      <c r="A76" s="80"/>
      <c r="B76" s="33" t="s">
        <v>73</v>
      </c>
      <c r="C76" s="33" t="s">
        <v>63</v>
      </c>
      <c r="D76" s="33">
        <v>0</v>
      </c>
      <c r="E76" s="33">
        <v>266</v>
      </c>
      <c r="F76" s="33">
        <v>0</v>
      </c>
      <c r="G76" s="33">
        <v>266</v>
      </c>
      <c r="H76" s="33" t="s">
        <v>718</v>
      </c>
      <c r="I76" s="33" t="s">
        <v>18</v>
      </c>
    </row>
    <row r="77" spans="1:9">
      <c r="A77" s="80"/>
      <c r="B77" s="33" t="s">
        <v>73</v>
      </c>
      <c r="C77" s="33" t="s">
        <v>63</v>
      </c>
      <c r="D77" s="33">
        <v>0</v>
      </c>
      <c r="E77" s="33">
        <v>936</v>
      </c>
      <c r="F77" s="33">
        <v>0</v>
      </c>
      <c r="G77" s="33">
        <v>936</v>
      </c>
      <c r="H77" s="33" t="s">
        <v>719</v>
      </c>
      <c r="I77" s="33" t="s">
        <v>18</v>
      </c>
    </row>
    <row r="78" spans="1:9">
      <c r="A78" s="80"/>
      <c r="B78" s="33" t="s">
        <v>73</v>
      </c>
      <c r="C78" s="33" t="s">
        <v>63</v>
      </c>
      <c r="D78" s="33">
        <v>0</v>
      </c>
      <c r="E78" s="33">
        <v>464</v>
      </c>
      <c r="F78" s="33">
        <v>0</v>
      </c>
      <c r="G78" s="33">
        <v>464</v>
      </c>
      <c r="H78" s="33" t="s">
        <v>720</v>
      </c>
      <c r="I78" s="33" t="s">
        <v>18</v>
      </c>
    </row>
    <row r="79" spans="1:9">
      <c r="A79" s="80"/>
      <c r="B79" s="33" t="s">
        <v>73</v>
      </c>
      <c r="C79" s="33" t="s">
        <v>63</v>
      </c>
      <c r="D79" s="33">
        <v>760</v>
      </c>
      <c r="E79" s="33">
        <v>0</v>
      </c>
      <c r="F79" s="33">
        <v>1520</v>
      </c>
      <c r="G79" s="33">
        <v>-760</v>
      </c>
      <c r="H79" s="33" t="s">
        <v>721</v>
      </c>
      <c r="I79" s="33" t="s">
        <v>18</v>
      </c>
    </row>
    <row r="80" spans="1:9">
      <c r="A80" s="80"/>
      <c r="B80" s="33" t="s">
        <v>73</v>
      </c>
      <c r="C80" s="33" t="s">
        <v>76</v>
      </c>
      <c r="D80" s="33">
        <v>1112</v>
      </c>
      <c r="E80" s="33">
        <v>0</v>
      </c>
      <c r="F80" s="33">
        <v>2224</v>
      </c>
      <c r="G80" s="33">
        <v>-1112</v>
      </c>
      <c r="H80" s="33" t="s">
        <v>722</v>
      </c>
      <c r="I80" s="33" t="s">
        <v>20</v>
      </c>
    </row>
    <row r="81" spans="1:9">
      <c r="A81" s="80"/>
      <c r="B81" s="33" t="s">
        <v>73</v>
      </c>
      <c r="C81" s="33" t="s">
        <v>79</v>
      </c>
      <c r="D81" s="33">
        <v>180.4</v>
      </c>
      <c r="E81" s="33">
        <v>0</v>
      </c>
      <c r="F81" s="33">
        <v>360.8</v>
      </c>
      <c r="G81" s="33">
        <v>-180.4</v>
      </c>
      <c r="H81" s="33" t="s">
        <v>723</v>
      </c>
      <c r="I81" s="33" t="s">
        <v>23</v>
      </c>
    </row>
    <row r="82" spans="1:9">
      <c r="A82" s="80"/>
      <c r="B82" s="33" t="s">
        <v>73</v>
      </c>
      <c r="C82" s="33" t="s">
        <v>63</v>
      </c>
      <c r="D82" s="33">
        <v>0</v>
      </c>
      <c r="E82" s="33">
        <v>1380</v>
      </c>
      <c r="F82" s="33">
        <v>0</v>
      </c>
      <c r="G82" s="33">
        <v>1380</v>
      </c>
      <c r="H82" s="33" t="s">
        <v>724</v>
      </c>
      <c r="I82" s="33" t="s">
        <v>18</v>
      </c>
    </row>
    <row r="83" spans="1:9">
      <c r="A83" s="80"/>
      <c r="B83" s="33" t="s">
        <v>73</v>
      </c>
      <c r="C83" s="33" t="s">
        <v>63</v>
      </c>
      <c r="D83" s="33">
        <v>0</v>
      </c>
      <c r="E83" s="33">
        <v>559</v>
      </c>
      <c r="F83" s="33">
        <v>0</v>
      </c>
      <c r="G83" s="33">
        <v>559</v>
      </c>
      <c r="H83" s="33" t="s">
        <v>725</v>
      </c>
      <c r="I83" s="33" t="s">
        <v>18</v>
      </c>
    </row>
    <row r="84" spans="1:9">
      <c r="A84" s="80"/>
      <c r="B84" s="33" t="s">
        <v>73</v>
      </c>
      <c r="C84" s="33" t="s">
        <v>76</v>
      </c>
      <c r="D84" s="33">
        <v>0</v>
      </c>
      <c r="E84" s="33">
        <v>1388</v>
      </c>
      <c r="F84" s="33">
        <v>0</v>
      </c>
      <c r="G84" s="33">
        <v>1388</v>
      </c>
      <c r="H84" s="33" t="s">
        <v>726</v>
      </c>
      <c r="I84" s="33" t="s">
        <v>20</v>
      </c>
    </row>
    <row r="85" spans="1:9">
      <c r="A85" s="80"/>
      <c r="B85" s="33" t="s">
        <v>73</v>
      </c>
      <c r="C85" s="33" t="s">
        <v>79</v>
      </c>
      <c r="D85" s="33">
        <v>0</v>
      </c>
      <c r="E85" s="33">
        <v>41.4</v>
      </c>
      <c r="F85" s="33">
        <v>0</v>
      </c>
      <c r="G85" s="33">
        <v>41.4</v>
      </c>
      <c r="H85" s="33" t="s">
        <v>727</v>
      </c>
      <c r="I85" s="33" t="s">
        <v>23</v>
      </c>
    </row>
    <row r="86" spans="1:9">
      <c r="A86" s="80"/>
      <c r="B86" s="33" t="s">
        <v>73</v>
      </c>
      <c r="C86" s="33" t="s">
        <v>79</v>
      </c>
      <c r="D86" s="33">
        <v>0</v>
      </c>
      <c r="E86" s="33">
        <v>52.7</v>
      </c>
      <c r="F86" s="33">
        <v>0</v>
      </c>
      <c r="G86" s="33">
        <v>52.7</v>
      </c>
      <c r="H86" s="33" t="s">
        <v>728</v>
      </c>
      <c r="I86" s="33" t="s">
        <v>631</v>
      </c>
    </row>
    <row r="87" spans="1:9">
      <c r="A87" s="80"/>
      <c r="B87" s="33" t="s">
        <v>73</v>
      </c>
      <c r="C87" s="33" t="s">
        <v>63</v>
      </c>
      <c r="D87" s="33">
        <v>0</v>
      </c>
      <c r="E87" s="33">
        <v>222</v>
      </c>
      <c r="F87" s="33">
        <v>0</v>
      </c>
      <c r="G87" s="33">
        <v>222</v>
      </c>
      <c r="H87" s="33" t="s">
        <v>729</v>
      </c>
      <c r="I87" s="33" t="s">
        <v>18</v>
      </c>
    </row>
    <row r="88" spans="1:9">
      <c r="A88" s="80"/>
      <c r="B88" s="33" t="s">
        <v>73</v>
      </c>
      <c r="C88" s="33" t="s">
        <v>63</v>
      </c>
      <c r="D88" s="33">
        <v>0</v>
      </c>
      <c r="E88" s="33">
        <v>622</v>
      </c>
      <c r="F88" s="33">
        <v>0</v>
      </c>
      <c r="G88" s="33">
        <v>622</v>
      </c>
      <c r="H88" s="33" t="s">
        <v>730</v>
      </c>
      <c r="I88" s="33" t="s">
        <v>18</v>
      </c>
    </row>
    <row r="89" spans="1:9">
      <c r="A89" s="80"/>
      <c r="B89" s="33" t="s">
        <v>73</v>
      </c>
      <c r="C89" s="33" t="s">
        <v>76</v>
      </c>
      <c r="D89" s="33">
        <v>0</v>
      </c>
      <c r="E89" s="33">
        <v>201</v>
      </c>
      <c r="F89" s="33">
        <v>0</v>
      </c>
      <c r="G89" s="33">
        <v>201</v>
      </c>
      <c r="H89" s="33" t="s">
        <v>731</v>
      </c>
      <c r="I89" s="33" t="s">
        <v>20</v>
      </c>
    </row>
    <row r="90" spans="1:9">
      <c r="A90" s="80"/>
      <c r="B90" s="33" t="s">
        <v>73</v>
      </c>
      <c r="C90" s="33" t="s">
        <v>79</v>
      </c>
      <c r="D90" s="33">
        <v>0</v>
      </c>
      <c r="E90" s="33">
        <v>170</v>
      </c>
      <c r="F90" s="33">
        <v>0</v>
      </c>
      <c r="G90" s="33">
        <v>170</v>
      </c>
      <c r="H90" s="33" t="s">
        <v>732</v>
      </c>
      <c r="I90" s="33" t="s">
        <v>23</v>
      </c>
    </row>
    <row r="91" spans="1:9">
      <c r="A91" s="80"/>
      <c r="B91" s="33" t="s">
        <v>73</v>
      </c>
      <c r="C91" s="33" t="s">
        <v>63</v>
      </c>
      <c r="D91" s="33">
        <v>0</v>
      </c>
      <c r="E91" s="33">
        <v>489</v>
      </c>
      <c r="F91" s="33">
        <v>0</v>
      </c>
      <c r="G91" s="33">
        <v>489</v>
      </c>
      <c r="H91" s="33" t="s">
        <v>733</v>
      </c>
      <c r="I91" s="33" t="s">
        <v>18</v>
      </c>
    </row>
    <row r="92" spans="1:9">
      <c r="A92" s="80"/>
      <c r="B92" s="33" t="s">
        <v>73</v>
      </c>
      <c r="C92" s="33" t="s">
        <v>63</v>
      </c>
      <c r="D92" s="33">
        <v>0</v>
      </c>
      <c r="E92" s="33">
        <v>1069</v>
      </c>
      <c r="F92" s="33">
        <v>0</v>
      </c>
      <c r="G92" s="33">
        <v>1069</v>
      </c>
      <c r="H92" s="33" t="s">
        <v>734</v>
      </c>
      <c r="I92" s="33" t="s">
        <v>18</v>
      </c>
    </row>
    <row r="93" spans="1:9">
      <c r="A93" s="80"/>
      <c r="B93" s="33" t="s">
        <v>73</v>
      </c>
      <c r="C93" s="33" t="s">
        <v>79</v>
      </c>
      <c r="D93" s="33">
        <v>0</v>
      </c>
      <c r="E93" s="33">
        <v>390</v>
      </c>
      <c r="F93" s="33">
        <v>0</v>
      </c>
      <c r="G93" s="33">
        <v>390</v>
      </c>
      <c r="H93" s="33" t="s">
        <v>735</v>
      </c>
      <c r="I93" s="33" t="s">
        <v>23</v>
      </c>
    </row>
    <row r="94" spans="1:9">
      <c r="A94" s="80"/>
      <c r="B94" s="33" t="s">
        <v>73</v>
      </c>
      <c r="C94" s="33" t="s">
        <v>63</v>
      </c>
      <c r="D94" s="33">
        <v>0</v>
      </c>
      <c r="E94" s="33">
        <v>1464</v>
      </c>
      <c r="F94" s="33">
        <v>0</v>
      </c>
      <c r="G94" s="33">
        <v>1464</v>
      </c>
      <c r="H94" s="33" t="s">
        <v>736</v>
      </c>
      <c r="I94" s="33" t="s">
        <v>18</v>
      </c>
    </row>
    <row r="95" spans="1:9">
      <c r="A95" s="80"/>
      <c r="B95" s="33" t="s">
        <v>73</v>
      </c>
      <c r="C95" s="33" t="s">
        <v>63</v>
      </c>
      <c r="D95" s="33">
        <v>0</v>
      </c>
      <c r="E95" s="33">
        <v>662</v>
      </c>
      <c r="F95" s="33">
        <v>0</v>
      </c>
      <c r="G95" s="33">
        <v>662</v>
      </c>
      <c r="H95" s="33" t="s">
        <v>737</v>
      </c>
      <c r="I95" s="33" t="s">
        <v>18</v>
      </c>
    </row>
    <row r="96" spans="1:9">
      <c r="A96" s="80"/>
      <c r="B96" s="33" t="s">
        <v>73</v>
      </c>
      <c r="C96" s="33" t="s">
        <v>63</v>
      </c>
      <c r="D96" s="33">
        <v>0</v>
      </c>
      <c r="E96" s="33">
        <v>1461</v>
      </c>
      <c r="F96" s="33">
        <v>0</v>
      </c>
      <c r="G96" s="33">
        <v>1461</v>
      </c>
      <c r="H96" s="33" t="s">
        <v>738</v>
      </c>
      <c r="I96" s="33" t="s">
        <v>18</v>
      </c>
    </row>
    <row r="97" spans="1:9">
      <c r="A97" s="80"/>
      <c r="B97" s="33" t="s">
        <v>73</v>
      </c>
      <c r="C97" s="33" t="s">
        <v>63</v>
      </c>
      <c r="D97" s="33">
        <v>0</v>
      </c>
      <c r="E97" s="33">
        <v>965</v>
      </c>
      <c r="F97" s="33">
        <v>0</v>
      </c>
      <c r="G97" s="33">
        <v>965</v>
      </c>
      <c r="H97" s="33" t="s">
        <v>739</v>
      </c>
      <c r="I97" s="33" t="s">
        <v>18</v>
      </c>
    </row>
    <row r="98" spans="1:9">
      <c r="A98" s="80"/>
      <c r="B98" s="33" t="s">
        <v>73</v>
      </c>
      <c r="C98" s="33"/>
      <c r="D98" s="33">
        <v>12261.9</v>
      </c>
      <c r="E98" s="33">
        <v>45381.2</v>
      </c>
      <c r="F98" s="33">
        <v>12955.8</v>
      </c>
      <c r="G98" s="33">
        <v>44687.3</v>
      </c>
      <c r="H98" s="33"/>
      <c r="I98" s="33"/>
    </row>
    <row r="99" spans="1:9">
      <c r="A99" s="80"/>
      <c r="B99" s="116"/>
      <c r="C99" s="116"/>
      <c r="D99" s="116"/>
      <c r="E99" s="116"/>
      <c r="F99" s="116"/>
      <c r="G99" s="116"/>
      <c r="H99" s="116"/>
      <c r="I99" s="116"/>
    </row>
  </sheetData>
  <autoFilter ref="B1:I98">
    <filterColumn colId="1">
      <filters blank="1">
        <filter val="PP Lam Fabric"/>
        <filter val="PP UL Fabric"/>
        <filter val="PP Webbing"/>
      </filters>
    </filterColumn>
  </autoFilter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C1:H1"/>
  <sheetViews>
    <sheetView topLeftCell="C1" workbookViewId="0">
      <selection activeCell="S23" sqref="S23"/>
    </sheetView>
  </sheetViews>
  <sheetFormatPr defaultRowHeight="12"/>
  <cols>
    <col min="1" max="2" width="9.140625" style="20"/>
    <col min="3" max="5" width="9.140625" style="67"/>
    <col min="6" max="7" width="9.140625" style="278"/>
    <col min="8" max="8" width="9.140625" style="67"/>
    <col min="9" max="16384" width="9.140625" style="20"/>
  </cols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P4"/>
  <sheetViews>
    <sheetView workbookViewId="0">
      <selection activeCell="S23" sqref="S23"/>
    </sheetView>
  </sheetViews>
  <sheetFormatPr defaultRowHeight="15"/>
  <cols>
    <col min="2" max="2" width="15.42578125" bestFit="1" customWidth="1"/>
    <col min="9" max="9" width="9.28515625" bestFit="1" customWidth="1"/>
    <col min="15" max="16" width="9.28515625" bestFit="1" customWidth="1"/>
  </cols>
  <sheetData>
    <row r="1" spans="1:16" s="68" customFormat="1" ht="15.75">
      <c r="A1" s="481" t="s">
        <v>378</v>
      </c>
      <c r="B1" s="481"/>
      <c r="C1" s="481"/>
      <c r="D1" s="481"/>
      <c r="E1" s="481"/>
      <c r="F1" s="481"/>
      <c r="G1" s="481"/>
      <c r="H1" s="481"/>
      <c r="I1" s="481"/>
      <c r="J1" s="481"/>
      <c r="K1" s="481"/>
      <c r="L1" s="481"/>
      <c r="M1" s="481"/>
      <c r="N1" s="481"/>
      <c r="O1" s="481"/>
      <c r="P1" s="481"/>
    </row>
    <row r="2" spans="1:16">
      <c r="A2" s="21" t="s">
        <v>177</v>
      </c>
      <c r="B2" s="21" t="s">
        <v>241</v>
      </c>
      <c r="C2" s="21" t="s">
        <v>131</v>
      </c>
      <c r="D2" s="21" t="s">
        <v>242</v>
      </c>
      <c r="E2" s="21" t="s">
        <v>243</v>
      </c>
      <c r="F2" s="21" t="s">
        <v>244</v>
      </c>
      <c r="G2" s="21" t="s">
        <v>0</v>
      </c>
      <c r="H2" s="21" t="s">
        <v>245</v>
      </c>
      <c r="I2" s="21" t="s">
        <v>246</v>
      </c>
      <c r="J2" s="21" t="s">
        <v>162</v>
      </c>
      <c r="K2" s="21" t="s">
        <v>163</v>
      </c>
      <c r="L2" s="21" t="s">
        <v>164</v>
      </c>
      <c r="M2" s="21" t="s">
        <v>247</v>
      </c>
      <c r="N2" s="21" t="s">
        <v>248</v>
      </c>
      <c r="O2" s="21" t="s">
        <v>249</v>
      </c>
      <c r="P2" s="21" t="s">
        <v>172</v>
      </c>
    </row>
    <row r="3" spans="1:16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</row>
    <row r="4" spans="1:16">
      <c r="O4" s="76" t="s">
        <v>253</v>
      </c>
      <c r="P4" s="18">
        <f>SUM(P3:P3)</f>
        <v>0</v>
      </c>
    </row>
  </sheetData>
  <mergeCells count="1">
    <mergeCell ref="A1:P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Q5"/>
  <sheetViews>
    <sheetView topLeftCell="B1" workbookViewId="0">
      <selection activeCell="S23" sqref="S23"/>
    </sheetView>
  </sheetViews>
  <sheetFormatPr defaultRowHeight="15"/>
  <cols>
    <col min="1" max="1" width="9.140625" style="208"/>
    <col min="2" max="2" width="21.85546875" bestFit="1" customWidth="1"/>
    <col min="3" max="3" width="15.42578125" bestFit="1" customWidth="1"/>
    <col min="4" max="4" width="11.28515625" bestFit="1" customWidth="1"/>
    <col min="5" max="5" width="13.140625" bestFit="1" customWidth="1"/>
    <col min="6" max="6" width="15.140625" bestFit="1" customWidth="1"/>
    <col min="7" max="7" width="8" bestFit="1" customWidth="1"/>
    <col min="8" max="8" width="4.28515625" bestFit="1" customWidth="1"/>
    <col min="9" max="9" width="9.85546875" bestFit="1" customWidth="1"/>
    <col min="10" max="10" width="9.42578125" bestFit="1" customWidth="1"/>
    <col min="11" max="11" width="5.5703125" bestFit="1" customWidth="1"/>
    <col min="12" max="12" width="11.140625" bestFit="1" customWidth="1"/>
    <col min="13" max="13" width="13.5703125" bestFit="1" customWidth="1"/>
    <col min="14" max="14" width="9.7109375" bestFit="1" customWidth="1"/>
    <col min="15" max="15" width="13.85546875" bestFit="1" customWidth="1"/>
    <col min="16" max="16" width="7.5703125" bestFit="1" customWidth="1"/>
    <col min="17" max="17" width="10.140625" bestFit="1" customWidth="1"/>
  </cols>
  <sheetData>
    <row r="1" spans="1:17">
      <c r="A1" s="244"/>
      <c r="B1" s="2" t="s">
        <v>177</v>
      </c>
      <c r="C1" s="2" t="s">
        <v>241</v>
      </c>
      <c r="D1" s="2" t="s">
        <v>131</v>
      </c>
      <c r="E1" s="2" t="s">
        <v>242</v>
      </c>
      <c r="F1" s="2" t="s">
        <v>243</v>
      </c>
      <c r="G1" s="2" t="s">
        <v>244</v>
      </c>
      <c r="H1" s="2" t="s">
        <v>0</v>
      </c>
      <c r="I1" s="2" t="s">
        <v>245</v>
      </c>
      <c r="J1" s="2" t="s">
        <v>246</v>
      </c>
      <c r="K1" s="2" t="s">
        <v>162</v>
      </c>
      <c r="L1" s="2" t="s">
        <v>163</v>
      </c>
      <c r="M1" s="2" t="s">
        <v>164</v>
      </c>
      <c r="N1" s="2" t="s">
        <v>247</v>
      </c>
      <c r="O1" s="2" t="s">
        <v>248</v>
      </c>
      <c r="P1" s="2" t="s">
        <v>249</v>
      </c>
      <c r="Q1" s="2" t="s">
        <v>172</v>
      </c>
    </row>
    <row r="2" spans="1:17">
      <c r="A2" s="244"/>
      <c r="B2" s="123" t="s">
        <v>2169</v>
      </c>
      <c r="C2" s="318">
        <v>45756.67291666667</v>
      </c>
      <c r="D2" s="123" t="s">
        <v>252</v>
      </c>
      <c r="E2" s="123" t="s">
        <v>251</v>
      </c>
      <c r="F2" s="123" t="s">
        <v>2080</v>
      </c>
      <c r="G2" s="123" t="s">
        <v>2170</v>
      </c>
      <c r="H2" s="123" t="s">
        <v>2181</v>
      </c>
      <c r="I2" s="123" t="s">
        <v>2183</v>
      </c>
      <c r="J2" s="123">
        <v>39201019</v>
      </c>
      <c r="K2" s="123" t="s">
        <v>13</v>
      </c>
      <c r="L2" s="123" t="s">
        <v>2152</v>
      </c>
      <c r="M2" s="123" t="s">
        <v>123</v>
      </c>
      <c r="N2" s="123" t="s">
        <v>214</v>
      </c>
      <c r="O2" s="123" t="s">
        <v>12</v>
      </c>
      <c r="P2" s="123">
        <v>595.4</v>
      </c>
      <c r="Q2" s="123">
        <v>0</v>
      </c>
    </row>
    <row r="3" spans="1:17">
      <c r="A3" s="244"/>
      <c r="B3" s="123" t="s">
        <v>2171</v>
      </c>
      <c r="C3" s="318">
        <v>45763.568055555559</v>
      </c>
      <c r="D3" s="123" t="s">
        <v>252</v>
      </c>
      <c r="E3" s="123" t="s">
        <v>251</v>
      </c>
      <c r="F3" s="123" t="s">
        <v>2172</v>
      </c>
      <c r="G3" s="123" t="s">
        <v>2173</v>
      </c>
      <c r="H3" s="123" t="s">
        <v>2181</v>
      </c>
      <c r="I3" s="123" t="s">
        <v>2184</v>
      </c>
      <c r="J3" s="123">
        <v>39201019</v>
      </c>
      <c r="K3" s="123" t="s">
        <v>13</v>
      </c>
      <c r="L3" s="123" t="s">
        <v>2152</v>
      </c>
      <c r="M3" s="123" t="s">
        <v>123</v>
      </c>
      <c r="N3" s="123" t="s">
        <v>214</v>
      </c>
      <c r="O3" s="123" t="s">
        <v>12</v>
      </c>
      <c r="P3" s="123">
        <v>816.2</v>
      </c>
      <c r="Q3" s="123">
        <v>597</v>
      </c>
    </row>
    <row r="4" spans="1:17">
      <c r="A4" s="244"/>
      <c r="B4" s="123" t="s">
        <v>2174</v>
      </c>
      <c r="C4" s="318">
        <v>45777.69027777778</v>
      </c>
      <c r="D4" s="123" t="s">
        <v>252</v>
      </c>
      <c r="E4" s="123" t="s">
        <v>251</v>
      </c>
      <c r="F4" s="123" t="s">
        <v>2175</v>
      </c>
      <c r="G4" s="123" t="s">
        <v>1901</v>
      </c>
      <c r="H4" s="123" t="s">
        <v>2181</v>
      </c>
      <c r="I4" s="123" t="s">
        <v>2185</v>
      </c>
      <c r="J4" s="123">
        <v>39201019</v>
      </c>
      <c r="K4" s="123" t="s">
        <v>13</v>
      </c>
      <c r="L4" s="123" t="s">
        <v>2152</v>
      </c>
      <c r="M4" s="123" t="s">
        <v>123</v>
      </c>
      <c r="N4" s="123" t="s">
        <v>214</v>
      </c>
      <c r="O4" s="123" t="s">
        <v>12</v>
      </c>
      <c r="P4" s="123">
        <v>426.8</v>
      </c>
      <c r="Q4" s="23">
        <v>426.8</v>
      </c>
    </row>
    <row r="5" spans="1:17">
      <c r="A5" s="244"/>
      <c r="B5" s="244"/>
      <c r="C5" s="244"/>
      <c r="D5" s="244"/>
      <c r="E5" s="244"/>
      <c r="F5" s="244"/>
      <c r="G5" s="244"/>
      <c r="H5" s="244"/>
      <c r="I5" s="244"/>
      <c r="J5" s="244"/>
      <c r="K5" s="244"/>
      <c r="L5" s="244"/>
      <c r="M5" s="244"/>
      <c r="N5" s="244"/>
      <c r="O5" s="244"/>
      <c r="P5" s="244"/>
      <c r="Q5" s="319">
        <f>SUM(Q2:Q4)</f>
        <v>1023.8</v>
      </c>
    </row>
  </sheetData>
  <pageMargins left="0.7" right="0.7" top="0.75" bottom="0.75" header="0.3" footer="0.3"/>
  <pageSetup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Q2"/>
  <sheetViews>
    <sheetView topLeftCell="I1" workbookViewId="0">
      <selection activeCell="S23" sqref="S23"/>
    </sheetView>
  </sheetViews>
  <sheetFormatPr defaultRowHeight="15"/>
  <cols>
    <col min="1" max="1" width="9.140625" style="174"/>
    <col min="2" max="2" width="24" bestFit="1" customWidth="1"/>
    <col min="3" max="3" width="15.85546875" bestFit="1" customWidth="1"/>
    <col min="4" max="4" width="13.85546875" bestFit="1" customWidth="1"/>
    <col min="5" max="5" width="14.85546875" bestFit="1" customWidth="1"/>
    <col min="6" max="6" width="15.28515625" bestFit="1" customWidth="1"/>
    <col min="7" max="7" width="8.7109375" bestFit="1" customWidth="1"/>
    <col min="8" max="8" width="4.7109375" bestFit="1" customWidth="1"/>
    <col min="9" max="9" width="11.140625" bestFit="1" customWidth="1"/>
    <col min="10" max="10" width="11" bestFit="1" customWidth="1"/>
    <col min="11" max="11" width="6" bestFit="1" customWidth="1"/>
    <col min="12" max="12" width="12.42578125" bestFit="1" customWidth="1"/>
    <col min="13" max="13" width="15.140625" bestFit="1" customWidth="1"/>
    <col min="14" max="14" width="10.28515625" bestFit="1" customWidth="1"/>
    <col min="15" max="15" width="15.7109375" bestFit="1" customWidth="1"/>
    <col min="16" max="16" width="8.28515625" bestFit="1" customWidth="1"/>
    <col min="17" max="17" width="11.42578125" bestFit="1" customWidth="1"/>
  </cols>
  <sheetData>
    <row r="1" spans="2:17">
      <c r="B1" s="2" t="s">
        <v>177</v>
      </c>
      <c r="C1" s="2" t="s">
        <v>241</v>
      </c>
      <c r="D1" s="2" t="s">
        <v>131</v>
      </c>
      <c r="E1" s="2" t="s">
        <v>242</v>
      </c>
      <c r="F1" s="2" t="s">
        <v>243</v>
      </c>
      <c r="G1" s="2" t="s">
        <v>244</v>
      </c>
      <c r="H1" s="2" t="s">
        <v>0</v>
      </c>
      <c r="I1" s="2" t="s">
        <v>245</v>
      </c>
      <c r="J1" s="2" t="s">
        <v>246</v>
      </c>
      <c r="K1" s="2" t="s">
        <v>162</v>
      </c>
      <c r="L1" s="2" t="s">
        <v>163</v>
      </c>
      <c r="M1" s="2" t="s">
        <v>164</v>
      </c>
      <c r="N1" s="2" t="s">
        <v>247</v>
      </c>
      <c r="O1" s="2" t="s">
        <v>248</v>
      </c>
      <c r="P1" s="2" t="s">
        <v>249</v>
      </c>
      <c r="Q1" s="2" t="s">
        <v>172</v>
      </c>
    </row>
    <row r="2" spans="2:17">
      <c r="B2" s="123" t="s">
        <v>2166</v>
      </c>
      <c r="C2" s="318">
        <v>45756.454861111109</v>
      </c>
      <c r="D2" s="123" t="s">
        <v>250</v>
      </c>
      <c r="E2" s="123" t="s">
        <v>251</v>
      </c>
      <c r="F2" s="123" t="s">
        <v>2167</v>
      </c>
      <c r="G2" s="123" t="s">
        <v>2168</v>
      </c>
      <c r="H2" s="123" t="s">
        <v>2181</v>
      </c>
      <c r="I2" s="123" t="s">
        <v>2182</v>
      </c>
      <c r="J2" s="123">
        <v>39201019</v>
      </c>
      <c r="K2" s="123" t="s">
        <v>13</v>
      </c>
      <c r="L2" s="123" t="s">
        <v>2152</v>
      </c>
      <c r="M2" s="123" t="s">
        <v>123</v>
      </c>
      <c r="N2" s="123" t="s">
        <v>214</v>
      </c>
      <c r="O2" s="123" t="s">
        <v>12</v>
      </c>
      <c r="P2" s="123">
        <v>1238.5999999999999</v>
      </c>
      <c r="Q2" s="123">
        <v>1033.79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I399"/>
  <sheetViews>
    <sheetView workbookViewId="0">
      <selection activeCell="I21" sqref="I21"/>
    </sheetView>
  </sheetViews>
  <sheetFormatPr defaultRowHeight="15"/>
  <cols>
    <col min="1" max="1" width="11.28515625" bestFit="1" customWidth="1"/>
    <col min="2" max="2" width="25" bestFit="1" customWidth="1"/>
    <col min="3" max="3" width="26.42578125" bestFit="1" customWidth="1"/>
    <col min="4" max="4" width="10.28515625" bestFit="1" customWidth="1"/>
    <col min="5" max="5" width="15.85546875" bestFit="1" customWidth="1"/>
    <col min="6" max="6" width="9" bestFit="1" customWidth="1"/>
    <col min="7" max="7" width="8" bestFit="1" customWidth="1"/>
    <col min="8" max="9" width="9" bestFit="1" customWidth="1"/>
  </cols>
  <sheetData>
    <row r="1" spans="1:9" s="208" customFormat="1" ht="18.75">
      <c r="A1" s="482" t="s">
        <v>1666</v>
      </c>
      <c r="B1" s="482"/>
      <c r="C1" s="482"/>
      <c r="D1" s="482"/>
      <c r="E1" s="482"/>
      <c r="F1" s="482"/>
      <c r="G1" s="482"/>
      <c r="H1" s="482"/>
      <c r="I1" s="482"/>
    </row>
    <row r="2" spans="1:9" s="208" customFormat="1">
      <c r="A2" s="191" t="s">
        <v>1410</v>
      </c>
      <c r="B2" s="191" t="s">
        <v>1411</v>
      </c>
      <c r="C2" s="191" t="s">
        <v>1408</v>
      </c>
      <c r="D2" s="191" t="s">
        <v>1409</v>
      </c>
      <c r="E2" s="191" t="s">
        <v>1412</v>
      </c>
      <c r="F2" s="191" t="s">
        <v>217</v>
      </c>
      <c r="G2" s="191" t="s">
        <v>635</v>
      </c>
      <c r="H2" s="191" t="s">
        <v>636</v>
      </c>
      <c r="I2" s="191" t="s">
        <v>220</v>
      </c>
    </row>
    <row r="3" spans="1:9">
      <c r="A3" s="219"/>
      <c r="B3" s="69" t="s">
        <v>1680</v>
      </c>
      <c r="C3" s="223" t="s">
        <v>377</v>
      </c>
      <c r="D3" s="69" t="s">
        <v>160</v>
      </c>
      <c r="E3" s="69" t="s">
        <v>81</v>
      </c>
      <c r="F3" s="69">
        <v>0</v>
      </c>
      <c r="G3" s="69">
        <v>0</v>
      </c>
      <c r="H3" s="69">
        <v>0</v>
      </c>
      <c r="I3" s="69">
        <v>0</v>
      </c>
    </row>
    <row r="4" spans="1:9">
      <c r="A4" s="219"/>
      <c r="B4" s="69" t="s">
        <v>1681</v>
      </c>
      <c r="C4" s="69" t="s">
        <v>377</v>
      </c>
      <c r="D4" s="69" t="s">
        <v>160</v>
      </c>
      <c r="E4" s="69" t="s">
        <v>81</v>
      </c>
      <c r="F4" s="69">
        <v>0</v>
      </c>
      <c r="G4" s="69">
        <v>0</v>
      </c>
      <c r="H4" s="69">
        <v>0</v>
      </c>
      <c r="I4" s="69">
        <v>0</v>
      </c>
    </row>
    <row r="5" spans="1:9">
      <c r="A5" s="219"/>
      <c r="B5" s="69" t="s">
        <v>1682</v>
      </c>
      <c r="C5" s="69" t="s">
        <v>377</v>
      </c>
      <c r="D5" s="69" t="s">
        <v>160</v>
      </c>
      <c r="E5" s="69" t="s">
        <v>81</v>
      </c>
      <c r="F5" s="69">
        <v>0</v>
      </c>
      <c r="G5" s="69">
        <v>0</v>
      </c>
      <c r="H5" s="69">
        <v>0</v>
      </c>
      <c r="I5" s="69">
        <v>0</v>
      </c>
    </row>
    <row r="6" spans="1:9">
      <c r="A6" s="219"/>
      <c r="B6" s="69" t="s">
        <v>1683</v>
      </c>
      <c r="C6" s="223" t="s">
        <v>377</v>
      </c>
      <c r="D6" s="69" t="s">
        <v>160</v>
      </c>
      <c r="E6" s="69" t="s">
        <v>81</v>
      </c>
      <c r="F6" s="69">
        <v>131.5</v>
      </c>
      <c r="G6" s="69">
        <v>0</v>
      </c>
      <c r="H6" s="69">
        <v>131.5</v>
      </c>
      <c r="I6" s="69">
        <v>0</v>
      </c>
    </row>
    <row r="7" spans="1:9">
      <c r="A7" s="219"/>
      <c r="B7" s="69"/>
      <c r="C7" s="24" t="s">
        <v>377</v>
      </c>
      <c r="D7" s="24"/>
      <c r="E7" s="24"/>
      <c r="F7" s="24">
        <v>131.5</v>
      </c>
      <c r="G7" s="24">
        <v>0</v>
      </c>
      <c r="H7" s="24">
        <v>131.5</v>
      </c>
      <c r="I7" s="24">
        <v>0</v>
      </c>
    </row>
    <row r="8" spans="1:9">
      <c r="A8" s="219"/>
      <c r="B8" s="69" t="s">
        <v>1684</v>
      </c>
      <c r="C8" s="69" t="s">
        <v>78</v>
      </c>
      <c r="D8" s="69" t="s">
        <v>18</v>
      </c>
      <c r="E8" s="69" t="s">
        <v>63</v>
      </c>
      <c r="F8" s="69">
        <v>0</v>
      </c>
      <c r="G8" s="69">
        <v>0</v>
      </c>
      <c r="H8" s="69">
        <v>0</v>
      </c>
      <c r="I8" s="69">
        <v>0</v>
      </c>
    </row>
    <row r="9" spans="1:9">
      <c r="A9" s="219"/>
      <c r="B9" s="69" t="s">
        <v>1685</v>
      </c>
      <c r="C9" s="69" t="s">
        <v>78</v>
      </c>
      <c r="D9" s="69" t="s">
        <v>18</v>
      </c>
      <c r="E9" s="69" t="s">
        <v>63</v>
      </c>
      <c r="F9" s="69">
        <v>0</v>
      </c>
      <c r="G9" s="69">
        <v>0</v>
      </c>
      <c r="H9" s="69">
        <v>0</v>
      </c>
      <c r="I9" s="69">
        <v>0</v>
      </c>
    </row>
    <row r="10" spans="1:9">
      <c r="A10" s="219"/>
      <c r="B10" s="69" t="s">
        <v>1686</v>
      </c>
      <c r="C10" s="69" t="s">
        <v>78</v>
      </c>
      <c r="D10" s="69" t="s">
        <v>18</v>
      </c>
      <c r="E10" s="69" t="s">
        <v>63</v>
      </c>
      <c r="F10" s="69">
        <v>0</v>
      </c>
      <c r="G10" s="69">
        <v>0</v>
      </c>
      <c r="H10" s="69">
        <v>0</v>
      </c>
      <c r="I10" s="69">
        <v>0</v>
      </c>
    </row>
    <row r="11" spans="1:9">
      <c r="A11" s="219"/>
      <c r="B11" s="69" t="s">
        <v>1687</v>
      </c>
      <c r="C11" s="69" t="s">
        <v>78</v>
      </c>
      <c r="D11" s="69" t="s">
        <v>20</v>
      </c>
      <c r="E11" s="69" t="s">
        <v>76</v>
      </c>
      <c r="F11" s="69">
        <v>0</v>
      </c>
      <c r="G11" s="69">
        <v>0</v>
      </c>
      <c r="H11" s="69">
        <v>0</v>
      </c>
      <c r="I11" s="69">
        <v>0</v>
      </c>
    </row>
    <row r="12" spans="1:9">
      <c r="A12" s="219"/>
      <c r="B12" s="69" t="s">
        <v>1688</v>
      </c>
      <c r="C12" s="69" t="s">
        <v>78</v>
      </c>
      <c r="D12" s="69" t="s">
        <v>20</v>
      </c>
      <c r="E12" s="69" t="s">
        <v>76</v>
      </c>
      <c r="F12" s="69">
        <v>0</v>
      </c>
      <c r="G12" s="69">
        <v>0</v>
      </c>
      <c r="H12" s="69">
        <v>0</v>
      </c>
      <c r="I12" s="69">
        <v>0</v>
      </c>
    </row>
    <row r="13" spans="1:9">
      <c r="A13" s="219"/>
      <c r="B13" s="69" t="s">
        <v>1689</v>
      </c>
      <c r="C13" s="69" t="s">
        <v>78</v>
      </c>
      <c r="D13" s="69" t="s">
        <v>18</v>
      </c>
      <c r="E13" s="69" t="s">
        <v>63</v>
      </c>
      <c r="F13" s="69">
        <v>0</v>
      </c>
      <c r="G13" s="69">
        <v>0</v>
      </c>
      <c r="H13" s="69">
        <v>0</v>
      </c>
      <c r="I13" s="69">
        <v>0</v>
      </c>
    </row>
    <row r="14" spans="1:9">
      <c r="A14" s="219"/>
      <c r="B14" s="69" t="s">
        <v>1690</v>
      </c>
      <c r="C14" s="69" t="s">
        <v>78</v>
      </c>
      <c r="D14" s="69" t="s">
        <v>18</v>
      </c>
      <c r="E14" s="69" t="s">
        <v>63</v>
      </c>
      <c r="F14" s="69">
        <v>0</v>
      </c>
      <c r="G14" s="69">
        <v>0</v>
      </c>
      <c r="H14" s="69">
        <v>0</v>
      </c>
      <c r="I14" s="69">
        <v>0</v>
      </c>
    </row>
    <row r="15" spans="1:9">
      <c r="A15" s="219"/>
      <c r="B15" s="69" t="s">
        <v>1691</v>
      </c>
      <c r="C15" s="69" t="s">
        <v>78</v>
      </c>
      <c r="D15" s="69" t="s">
        <v>18</v>
      </c>
      <c r="E15" s="69" t="s">
        <v>63</v>
      </c>
      <c r="F15" s="69">
        <v>0</v>
      </c>
      <c r="G15" s="69">
        <v>0</v>
      </c>
      <c r="H15" s="69">
        <v>0</v>
      </c>
      <c r="I15" s="69">
        <v>0</v>
      </c>
    </row>
    <row r="16" spans="1:9">
      <c r="A16" s="219"/>
      <c r="B16" s="69" t="s">
        <v>1692</v>
      </c>
      <c r="C16" s="69" t="s">
        <v>78</v>
      </c>
      <c r="D16" s="69" t="s">
        <v>18</v>
      </c>
      <c r="E16" s="69" t="s">
        <v>63</v>
      </c>
      <c r="F16" s="69">
        <v>1032.5999999999999</v>
      </c>
      <c r="G16" s="69">
        <v>0</v>
      </c>
      <c r="H16" s="69">
        <v>1032.5999999999999</v>
      </c>
      <c r="I16" s="69">
        <v>0</v>
      </c>
    </row>
    <row r="17" spans="1:9">
      <c r="A17" s="219"/>
      <c r="B17" s="69" t="s">
        <v>1693</v>
      </c>
      <c r="C17" s="69" t="s">
        <v>78</v>
      </c>
      <c r="D17" s="69" t="s">
        <v>18</v>
      </c>
      <c r="E17" s="69" t="s">
        <v>63</v>
      </c>
      <c r="F17" s="69">
        <v>6186.6</v>
      </c>
      <c r="G17" s="69">
        <v>0</v>
      </c>
      <c r="H17" s="69">
        <v>6186.6</v>
      </c>
      <c r="I17" s="69">
        <v>0</v>
      </c>
    </row>
    <row r="18" spans="1:9">
      <c r="A18" s="219"/>
      <c r="B18" s="69" t="s">
        <v>1694</v>
      </c>
      <c r="C18" s="69" t="s">
        <v>78</v>
      </c>
      <c r="D18" s="69" t="s">
        <v>18</v>
      </c>
      <c r="E18" s="69" t="s">
        <v>63</v>
      </c>
      <c r="F18" s="69">
        <v>83</v>
      </c>
      <c r="G18" s="69">
        <v>0</v>
      </c>
      <c r="H18" s="69">
        <v>83</v>
      </c>
      <c r="I18" s="69">
        <v>0</v>
      </c>
    </row>
    <row r="19" spans="1:9">
      <c r="A19" s="219"/>
      <c r="B19" s="69" t="s">
        <v>1695</v>
      </c>
      <c r="C19" s="69" t="s">
        <v>78</v>
      </c>
      <c r="D19" s="69" t="s">
        <v>18</v>
      </c>
      <c r="E19" s="69" t="s">
        <v>63</v>
      </c>
      <c r="F19" s="69">
        <v>-187.1</v>
      </c>
      <c r="G19" s="69">
        <v>1915</v>
      </c>
      <c r="H19" s="69">
        <v>1727.9</v>
      </c>
      <c r="I19" s="69">
        <v>0</v>
      </c>
    </row>
    <row r="20" spans="1:9">
      <c r="A20" s="219"/>
      <c r="B20" s="69" t="s">
        <v>1696</v>
      </c>
      <c r="C20" s="69" t="s">
        <v>78</v>
      </c>
      <c r="D20" s="69" t="s">
        <v>18</v>
      </c>
      <c r="E20" s="69" t="s">
        <v>63</v>
      </c>
      <c r="F20" s="69">
        <v>-2979</v>
      </c>
      <c r="G20" s="69">
        <v>3062</v>
      </c>
      <c r="H20" s="69">
        <v>83</v>
      </c>
      <c r="I20" s="69">
        <v>0</v>
      </c>
    </row>
    <row r="21" spans="1:9">
      <c r="A21" s="219"/>
      <c r="B21" s="69" t="s">
        <v>1697</v>
      </c>
      <c r="C21" s="69" t="s">
        <v>78</v>
      </c>
      <c r="D21" s="69" t="s">
        <v>23</v>
      </c>
      <c r="E21" s="69" t="s">
        <v>79</v>
      </c>
      <c r="F21" s="69">
        <v>-1017</v>
      </c>
      <c r="G21" s="69">
        <v>1100</v>
      </c>
      <c r="H21" s="69">
        <v>83</v>
      </c>
      <c r="I21" s="69">
        <v>0</v>
      </c>
    </row>
    <row r="22" spans="1:9">
      <c r="A22" s="219"/>
      <c r="B22" s="69" t="s">
        <v>1406</v>
      </c>
      <c r="C22" s="69" t="s">
        <v>78</v>
      </c>
      <c r="D22" s="69" t="s">
        <v>18</v>
      </c>
      <c r="E22" s="69" t="s">
        <v>63</v>
      </c>
      <c r="F22" s="69">
        <v>0</v>
      </c>
      <c r="G22" s="69">
        <v>2280</v>
      </c>
      <c r="H22" s="69">
        <v>1207.0999999999999</v>
      </c>
      <c r="I22" s="69">
        <v>1072.9000000000001</v>
      </c>
    </row>
    <row r="23" spans="1:9">
      <c r="A23" s="219"/>
      <c r="B23" s="69" t="s">
        <v>1407</v>
      </c>
      <c r="C23" s="69" t="s">
        <v>78</v>
      </c>
      <c r="D23" s="69" t="s">
        <v>18</v>
      </c>
      <c r="E23" s="69" t="s">
        <v>63</v>
      </c>
      <c r="F23" s="69">
        <v>0</v>
      </c>
      <c r="G23" s="69">
        <v>376</v>
      </c>
      <c r="H23" s="69">
        <v>376</v>
      </c>
      <c r="I23" s="69">
        <v>0</v>
      </c>
    </row>
    <row r="24" spans="1:9">
      <c r="A24" s="219"/>
      <c r="B24" s="69" t="s">
        <v>1698</v>
      </c>
      <c r="C24" s="69" t="s">
        <v>78</v>
      </c>
      <c r="D24" s="69" t="s">
        <v>18</v>
      </c>
      <c r="E24" s="69" t="s">
        <v>63</v>
      </c>
      <c r="F24" s="69">
        <v>0</v>
      </c>
      <c r="G24" s="69">
        <v>83</v>
      </c>
      <c r="H24" s="69">
        <v>83</v>
      </c>
      <c r="I24" s="69">
        <v>0</v>
      </c>
    </row>
    <row r="25" spans="1:9">
      <c r="A25" s="219"/>
      <c r="B25" s="69" t="s">
        <v>1699</v>
      </c>
      <c r="C25" s="69" t="s">
        <v>78</v>
      </c>
      <c r="D25" s="69" t="s">
        <v>632</v>
      </c>
      <c r="E25" s="69" t="s">
        <v>628</v>
      </c>
      <c r="F25" s="69">
        <v>0</v>
      </c>
      <c r="G25" s="69">
        <v>105.4</v>
      </c>
      <c r="H25" s="69">
        <v>105.4</v>
      </c>
      <c r="I25" s="69">
        <v>0</v>
      </c>
    </row>
    <row r="26" spans="1:9">
      <c r="A26" s="219"/>
      <c r="B26" s="69"/>
      <c r="C26" s="24" t="s">
        <v>78</v>
      </c>
      <c r="D26" s="24"/>
      <c r="E26" s="24"/>
      <c r="F26" s="24">
        <v>3119.1</v>
      </c>
      <c r="G26" s="24">
        <v>8921.4</v>
      </c>
      <c r="H26" s="24">
        <v>10967.6</v>
      </c>
      <c r="I26" s="24">
        <v>1072.9000000000001</v>
      </c>
    </row>
    <row r="27" spans="1:9">
      <c r="A27" s="219"/>
      <c r="B27" s="69" t="s">
        <v>1700</v>
      </c>
      <c r="C27" s="69" t="s">
        <v>250</v>
      </c>
      <c r="D27" s="69" t="s">
        <v>160</v>
      </c>
      <c r="E27" s="69" t="s">
        <v>81</v>
      </c>
      <c r="F27" s="69">
        <v>0</v>
      </c>
      <c r="G27" s="69">
        <v>0</v>
      </c>
      <c r="H27" s="69">
        <v>0</v>
      </c>
      <c r="I27" s="69">
        <v>0</v>
      </c>
    </row>
    <row r="28" spans="1:9">
      <c r="A28" s="219"/>
      <c r="B28" s="69" t="s">
        <v>1701</v>
      </c>
      <c r="C28" s="69" t="s">
        <v>250</v>
      </c>
      <c r="D28" s="69" t="s">
        <v>214</v>
      </c>
      <c r="E28" s="69" t="s">
        <v>123</v>
      </c>
      <c r="F28" s="69">
        <v>152.18</v>
      </c>
      <c r="G28" s="69">
        <v>0</v>
      </c>
      <c r="H28" s="69">
        <v>152.18</v>
      </c>
      <c r="I28" s="69">
        <v>0</v>
      </c>
    </row>
    <row r="29" spans="1:9">
      <c r="A29" s="219"/>
      <c r="B29" s="69" t="s">
        <v>1702</v>
      </c>
      <c r="C29" s="69" t="s">
        <v>250</v>
      </c>
      <c r="D29" s="69" t="s">
        <v>214</v>
      </c>
      <c r="E29" s="69" t="s">
        <v>123</v>
      </c>
      <c r="F29" s="69">
        <v>0</v>
      </c>
      <c r="G29" s="69">
        <v>0</v>
      </c>
      <c r="H29" s="69">
        <v>0</v>
      </c>
      <c r="I29" s="69">
        <v>0</v>
      </c>
    </row>
    <row r="30" spans="1:9">
      <c r="A30" s="219"/>
      <c r="B30" s="69" t="s">
        <v>1703</v>
      </c>
      <c r="C30" s="69" t="s">
        <v>250</v>
      </c>
      <c r="D30" s="69" t="s">
        <v>214</v>
      </c>
      <c r="E30" s="69" t="s">
        <v>123</v>
      </c>
      <c r="F30" s="69">
        <v>0</v>
      </c>
      <c r="G30" s="69">
        <v>0</v>
      </c>
      <c r="H30" s="69">
        <v>0</v>
      </c>
      <c r="I30" s="69">
        <v>0</v>
      </c>
    </row>
    <row r="31" spans="1:9">
      <c r="A31" s="219"/>
      <c r="B31" s="69" t="s">
        <v>1704</v>
      </c>
      <c r="C31" s="69" t="s">
        <v>250</v>
      </c>
      <c r="D31" s="69" t="s">
        <v>214</v>
      </c>
      <c r="E31" s="69" t="s">
        <v>123</v>
      </c>
      <c r="F31" s="69">
        <v>82.87</v>
      </c>
      <c r="G31" s="69">
        <v>0</v>
      </c>
      <c r="H31" s="69">
        <v>82.87</v>
      </c>
      <c r="I31" s="69">
        <v>0</v>
      </c>
    </row>
    <row r="32" spans="1:9">
      <c r="A32" s="219"/>
      <c r="B32" s="69" t="s">
        <v>1705</v>
      </c>
      <c r="C32" s="69" t="s">
        <v>250</v>
      </c>
      <c r="D32" s="69" t="s">
        <v>214</v>
      </c>
      <c r="E32" s="69" t="s">
        <v>123</v>
      </c>
      <c r="F32" s="69">
        <v>0</v>
      </c>
      <c r="G32" s="69">
        <v>0</v>
      </c>
      <c r="H32" s="69">
        <v>0</v>
      </c>
      <c r="I32" s="69">
        <v>0</v>
      </c>
    </row>
    <row r="33" spans="1:9">
      <c r="A33" s="219"/>
      <c r="B33" s="69" t="s">
        <v>1028</v>
      </c>
      <c r="C33" s="69" t="s">
        <v>250</v>
      </c>
      <c r="D33" s="69" t="s">
        <v>214</v>
      </c>
      <c r="E33" s="69" t="s">
        <v>123</v>
      </c>
      <c r="F33" s="69">
        <v>0</v>
      </c>
      <c r="G33" s="69">
        <v>302.2</v>
      </c>
      <c r="H33" s="69">
        <v>120.45</v>
      </c>
      <c r="I33" s="69">
        <v>181.75</v>
      </c>
    </row>
    <row r="34" spans="1:9">
      <c r="A34" s="219"/>
      <c r="B34" s="69" t="s">
        <v>1591</v>
      </c>
      <c r="C34" s="69" t="s">
        <v>250</v>
      </c>
      <c r="D34" s="69" t="s">
        <v>214</v>
      </c>
      <c r="E34" s="69" t="s">
        <v>123</v>
      </c>
      <c r="F34" s="69">
        <v>0</v>
      </c>
      <c r="G34" s="69">
        <v>324</v>
      </c>
      <c r="H34" s="69">
        <v>0</v>
      </c>
      <c r="I34" s="69">
        <v>324</v>
      </c>
    </row>
    <row r="35" spans="1:9">
      <c r="A35" s="219"/>
      <c r="B35" s="69" t="s">
        <v>1706</v>
      </c>
      <c r="C35" s="69" t="s">
        <v>250</v>
      </c>
      <c r="D35" s="69" t="s">
        <v>214</v>
      </c>
      <c r="E35" s="69" t="s">
        <v>123</v>
      </c>
      <c r="F35" s="69">
        <v>-118.72</v>
      </c>
      <c r="G35" s="69">
        <v>311</v>
      </c>
      <c r="H35" s="69">
        <v>192.28</v>
      </c>
      <c r="I35" s="69">
        <v>0</v>
      </c>
    </row>
    <row r="36" spans="1:9">
      <c r="A36" s="219"/>
      <c r="B36" s="69"/>
      <c r="C36" s="24" t="s">
        <v>250</v>
      </c>
      <c r="D36" s="24"/>
      <c r="E36" s="24"/>
      <c r="F36" s="24">
        <v>116.33</v>
      </c>
      <c r="G36" s="24">
        <v>937.2</v>
      </c>
      <c r="H36" s="24">
        <v>547.78</v>
      </c>
      <c r="I36" s="24">
        <v>505.75</v>
      </c>
    </row>
    <row r="37" spans="1:9">
      <c r="A37" s="219"/>
      <c r="B37" s="69" t="s">
        <v>1707</v>
      </c>
      <c r="C37" s="69" t="s">
        <v>73</v>
      </c>
      <c r="D37" s="69" t="s">
        <v>18</v>
      </c>
      <c r="E37" s="69" t="s">
        <v>63</v>
      </c>
      <c r="F37" s="69">
        <v>0</v>
      </c>
      <c r="G37" s="69">
        <v>0</v>
      </c>
      <c r="H37" s="69">
        <v>0</v>
      </c>
      <c r="I37" s="69">
        <v>0</v>
      </c>
    </row>
    <row r="38" spans="1:9">
      <c r="A38" s="219"/>
      <c r="B38" s="69" t="s">
        <v>1708</v>
      </c>
      <c r="C38" s="69" t="s">
        <v>73</v>
      </c>
      <c r="D38" s="69" t="s">
        <v>18</v>
      </c>
      <c r="E38" s="69" t="s">
        <v>63</v>
      </c>
      <c r="F38" s="69">
        <v>0</v>
      </c>
      <c r="G38" s="69">
        <v>0</v>
      </c>
      <c r="H38" s="69">
        <v>0</v>
      </c>
      <c r="I38" s="69">
        <v>0</v>
      </c>
    </row>
    <row r="39" spans="1:9">
      <c r="A39" s="219"/>
      <c r="B39" s="69" t="s">
        <v>1709</v>
      </c>
      <c r="C39" s="69" t="s">
        <v>73</v>
      </c>
      <c r="D39" s="69" t="s">
        <v>18</v>
      </c>
      <c r="E39" s="69" t="s">
        <v>63</v>
      </c>
      <c r="F39" s="69">
        <v>0</v>
      </c>
      <c r="G39" s="69">
        <v>0</v>
      </c>
      <c r="H39" s="69">
        <v>0</v>
      </c>
      <c r="I39" s="69">
        <v>0</v>
      </c>
    </row>
    <row r="40" spans="1:9">
      <c r="A40" s="219"/>
      <c r="B40" s="69" t="s">
        <v>1710</v>
      </c>
      <c r="C40" s="69" t="s">
        <v>73</v>
      </c>
      <c r="D40" s="69" t="s">
        <v>23</v>
      </c>
      <c r="E40" s="69" t="s">
        <v>79</v>
      </c>
      <c r="F40" s="69">
        <v>0</v>
      </c>
      <c r="G40" s="69">
        <v>0</v>
      </c>
      <c r="H40" s="69">
        <v>0</v>
      </c>
      <c r="I40" s="69">
        <v>0</v>
      </c>
    </row>
    <row r="41" spans="1:9">
      <c r="A41" s="219"/>
      <c r="B41" s="69" t="s">
        <v>1711</v>
      </c>
      <c r="C41" s="69" t="s">
        <v>73</v>
      </c>
      <c r="D41" s="69" t="s">
        <v>23</v>
      </c>
      <c r="E41" s="69" t="s">
        <v>79</v>
      </c>
      <c r="F41" s="69">
        <v>0</v>
      </c>
      <c r="G41" s="69">
        <v>0</v>
      </c>
      <c r="H41" s="69">
        <v>0</v>
      </c>
      <c r="I41" s="69">
        <v>0</v>
      </c>
    </row>
    <row r="42" spans="1:9">
      <c r="A42" s="219"/>
      <c r="B42" s="69" t="s">
        <v>1712</v>
      </c>
      <c r="C42" s="69" t="s">
        <v>73</v>
      </c>
      <c r="D42" s="69" t="s">
        <v>18</v>
      </c>
      <c r="E42" s="69" t="s">
        <v>63</v>
      </c>
      <c r="F42" s="69">
        <v>0</v>
      </c>
      <c r="G42" s="69">
        <v>0</v>
      </c>
      <c r="H42" s="69">
        <v>0</v>
      </c>
      <c r="I42" s="69">
        <v>0</v>
      </c>
    </row>
    <row r="43" spans="1:9">
      <c r="A43" s="219"/>
      <c r="B43" s="69" t="s">
        <v>641</v>
      </c>
      <c r="C43" s="69" t="s">
        <v>73</v>
      </c>
      <c r="D43" s="69" t="s">
        <v>642</v>
      </c>
      <c r="E43" s="69" t="s">
        <v>637</v>
      </c>
      <c r="F43" s="69">
        <v>0</v>
      </c>
      <c r="G43" s="69">
        <v>0</v>
      </c>
      <c r="H43" s="69">
        <v>0</v>
      </c>
      <c r="I43" s="69">
        <v>0</v>
      </c>
    </row>
    <row r="44" spans="1:9">
      <c r="A44" s="219"/>
      <c r="B44" s="69" t="s">
        <v>643</v>
      </c>
      <c r="C44" s="69" t="s">
        <v>73</v>
      </c>
      <c r="D44" s="69" t="s">
        <v>160</v>
      </c>
      <c r="E44" s="69" t="s">
        <v>81</v>
      </c>
      <c r="F44" s="69">
        <v>0</v>
      </c>
      <c r="G44" s="69">
        <v>0</v>
      </c>
      <c r="H44" s="69">
        <v>0</v>
      </c>
      <c r="I44" s="69">
        <v>0</v>
      </c>
    </row>
    <row r="45" spans="1:9">
      <c r="A45" s="219"/>
      <c r="B45" s="69" t="s">
        <v>1713</v>
      </c>
      <c r="C45" s="69" t="s">
        <v>73</v>
      </c>
      <c r="D45" s="69" t="s">
        <v>18</v>
      </c>
      <c r="E45" s="69" t="s">
        <v>63</v>
      </c>
      <c r="F45" s="69">
        <v>0</v>
      </c>
      <c r="G45" s="69">
        <v>0</v>
      </c>
      <c r="H45" s="69">
        <v>0</v>
      </c>
      <c r="I45" s="69">
        <v>0</v>
      </c>
    </row>
    <row r="46" spans="1:9">
      <c r="A46" s="219"/>
      <c r="B46" s="69" t="s">
        <v>1714</v>
      </c>
      <c r="C46" s="69" t="s">
        <v>73</v>
      </c>
      <c r="D46" s="69" t="s">
        <v>20</v>
      </c>
      <c r="E46" s="69" t="s">
        <v>76</v>
      </c>
      <c r="F46" s="69">
        <v>0</v>
      </c>
      <c r="G46" s="69">
        <v>0</v>
      </c>
      <c r="H46" s="69">
        <v>0</v>
      </c>
      <c r="I46" s="69">
        <v>0</v>
      </c>
    </row>
    <row r="47" spans="1:9">
      <c r="A47" s="219"/>
      <c r="B47" s="69" t="s">
        <v>1715</v>
      </c>
      <c r="C47" s="69" t="s">
        <v>73</v>
      </c>
      <c r="D47" s="69" t="s">
        <v>23</v>
      </c>
      <c r="E47" s="69" t="s">
        <v>79</v>
      </c>
      <c r="F47" s="69">
        <v>0</v>
      </c>
      <c r="G47" s="69">
        <v>0</v>
      </c>
      <c r="H47" s="69">
        <v>0</v>
      </c>
      <c r="I47" s="69">
        <v>0</v>
      </c>
    </row>
    <row r="48" spans="1:9">
      <c r="A48" s="219"/>
      <c r="B48" s="69" t="s">
        <v>1716</v>
      </c>
      <c r="C48" s="69" t="s">
        <v>73</v>
      </c>
      <c r="D48" s="69" t="s">
        <v>18</v>
      </c>
      <c r="E48" s="69" t="s">
        <v>63</v>
      </c>
      <c r="F48" s="69">
        <v>0</v>
      </c>
      <c r="G48" s="69">
        <v>0</v>
      </c>
      <c r="H48" s="69">
        <v>0</v>
      </c>
      <c r="I48" s="69">
        <v>0</v>
      </c>
    </row>
    <row r="49" spans="1:9">
      <c r="A49" s="219"/>
      <c r="B49" s="69" t="s">
        <v>1717</v>
      </c>
      <c r="C49" s="69" t="s">
        <v>73</v>
      </c>
      <c r="D49" s="69" t="s">
        <v>18</v>
      </c>
      <c r="E49" s="69" t="s">
        <v>63</v>
      </c>
      <c r="F49" s="69">
        <v>0</v>
      </c>
      <c r="G49" s="69">
        <v>0</v>
      </c>
      <c r="H49" s="69">
        <v>0</v>
      </c>
      <c r="I49" s="69">
        <v>0</v>
      </c>
    </row>
    <row r="50" spans="1:9">
      <c r="A50" s="219"/>
      <c r="B50" s="69" t="s">
        <v>1718</v>
      </c>
      <c r="C50" s="69" t="s">
        <v>73</v>
      </c>
      <c r="D50" s="69" t="s">
        <v>18</v>
      </c>
      <c r="E50" s="69" t="s">
        <v>63</v>
      </c>
      <c r="F50" s="69">
        <v>0</v>
      </c>
      <c r="G50" s="69">
        <v>0</v>
      </c>
      <c r="H50" s="69">
        <v>0</v>
      </c>
      <c r="I50" s="69">
        <v>0</v>
      </c>
    </row>
    <row r="51" spans="1:9">
      <c r="A51" s="219"/>
      <c r="B51" s="69" t="s">
        <v>1719</v>
      </c>
      <c r="C51" s="69" t="s">
        <v>73</v>
      </c>
      <c r="D51" s="69" t="s">
        <v>18</v>
      </c>
      <c r="E51" s="69" t="s">
        <v>63</v>
      </c>
      <c r="F51" s="69">
        <v>0</v>
      </c>
      <c r="G51" s="69">
        <v>0</v>
      </c>
      <c r="H51" s="69">
        <v>0</v>
      </c>
      <c r="I51" s="69">
        <v>0</v>
      </c>
    </row>
    <row r="52" spans="1:9">
      <c r="A52" s="219"/>
      <c r="B52" s="69" t="s">
        <v>644</v>
      </c>
      <c r="C52" s="69" t="s">
        <v>73</v>
      </c>
      <c r="D52" s="69" t="s">
        <v>642</v>
      </c>
      <c r="E52" s="69" t="s">
        <v>637</v>
      </c>
      <c r="F52" s="69">
        <v>0</v>
      </c>
      <c r="G52" s="69">
        <v>0</v>
      </c>
      <c r="H52" s="69">
        <v>0</v>
      </c>
      <c r="I52" s="69">
        <v>0</v>
      </c>
    </row>
    <row r="53" spans="1:9">
      <c r="A53" s="219"/>
      <c r="B53" s="69" t="s">
        <v>1720</v>
      </c>
      <c r="C53" s="69" t="s">
        <v>73</v>
      </c>
      <c r="D53" s="69" t="s">
        <v>18</v>
      </c>
      <c r="E53" s="69" t="s">
        <v>63</v>
      </c>
      <c r="F53" s="69">
        <v>0</v>
      </c>
      <c r="G53" s="69">
        <v>0</v>
      </c>
      <c r="H53" s="69">
        <v>0</v>
      </c>
      <c r="I53" s="69">
        <v>0</v>
      </c>
    </row>
    <row r="54" spans="1:9">
      <c r="A54" s="219"/>
      <c r="B54" s="69" t="s">
        <v>645</v>
      </c>
      <c r="C54" s="69" t="s">
        <v>73</v>
      </c>
      <c r="D54" s="69" t="s">
        <v>642</v>
      </c>
      <c r="E54" s="69" t="s">
        <v>637</v>
      </c>
      <c r="F54" s="69">
        <v>0</v>
      </c>
      <c r="G54" s="69">
        <v>0</v>
      </c>
      <c r="H54" s="69">
        <v>0</v>
      </c>
      <c r="I54" s="69">
        <v>0</v>
      </c>
    </row>
    <row r="55" spans="1:9">
      <c r="A55" s="219"/>
      <c r="B55" s="69" t="s">
        <v>646</v>
      </c>
      <c r="C55" s="69" t="s">
        <v>73</v>
      </c>
      <c r="D55" s="69" t="s">
        <v>160</v>
      </c>
      <c r="E55" s="69" t="s">
        <v>81</v>
      </c>
      <c r="F55" s="69">
        <v>0</v>
      </c>
      <c r="G55" s="69">
        <v>0</v>
      </c>
      <c r="H55" s="69">
        <v>0</v>
      </c>
      <c r="I55" s="69">
        <v>0</v>
      </c>
    </row>
    <row r="56" spans="1:9">
      <c r="A56" s="219"/>
      <c r="B56" s="69" t="s">
        <v>647</v>
      </c>
      <c r="C56" s="69" t="s">
        <v>73</v>
      </c>
      <c r="D56" s="69" t="s">
        <v>160</v>
      </c>
      <c r="E56" s="69" t="s">
        <v>81</v>
      </c>
      <c r="F56" s="69">
        <v>0</v>
      </c>
      <c r="G56" s="69">
        <v>0</v>
      </c>
      <c r="H56" s="69">
        <v>0</v>
      </c>
      <c r="I56" s="69">
        <v>0</v>
      </c>
    </row>
    <row r="57" spans="1:9">
      <c r="A57" s="219"/>
      <c r="B57" s="69" t="s">
        <v>1721</v>
      </c>
      <c r="C57" s="69" t="s">
        <v>73</v>
      </c>
      <c r="D57" s="69" t="s">
        <v>18</v>
      </c>
      <c r="E57" s="69" t="s">
        <v>63</v>
      </c>
      <c r="F57" s="69">
        <v>0</v>
      </c>
      <c r="G57" s="69">
        <v>0</v>
      </c>
      <c r="H57" s="69">
        <v>0</v>
      </c>
      <c r="I57" s="69">
        <v>0</v>
      </c>
    </row>
    <row r="58" spans="1:9">
      <c r="A58" s="219"/>
      <c r="B58" s="69" t="s">
        <v>1722</v>
      </c>
      <c r="C58" s="69" t="s">
        <v>73</v>
      </c>
      <c r="D58" s="69" t="s">
        <v>18</v>
      </c>
      <c r="E58" s="69" t="s">
        <v>63</v>
      </c>
      <c r="F58" s="69">
        <v>0</v>
      </c>
      <c r="G58" s="69">
        <v>0</v>
      </c>
      <c r="H58" s="69">
        <v>0</v>
      </c>
      <c r="I58" s="69">
        <v>0</v>
      </c>
    </row>
    <row r="59" spans="1:9">
      <c r="A59" s="219"/>
      <c r="B59" s="69" t="s">
        <v>648</v>
      </c>
      <c r="C59" s="69" t="s">
        <v>73</v>
      </c>
      <c r="D59" s="69" t="s">
        <v>160</v>
      </c>
      <c r="E59" s="69" t="s">
        <v>81</v>
      </c>
      <c r="F59" s="69">
        <v>0</v>
      </c>
      <c r="G59" s="69">
        <v>0</v>
      </c>
      <c r="H59" s="69">
        <v>0</v>
      </c>
      <c r="I59" s="69">
        <v>0</v>
      </c>
    </row>
    <row r="60" spans="1:9">
      <c r="A60" s="219"/>
      <c r="B60" s="69" t="s">
        <v>1723</v>
      </c>
      <c r="C60" s="69" t="s">
        <v>73</v>
      </c>
      <c r="D60" s="69" t="s">
        <v>23</v>
      </c>
      <c r="E60" s="69" t="s">
        <v>79</v>
      </c>
      <c r="F60" s="69">
        <v>0</v>
      </c>
      <c r="G60" s="69">
        <v>0</v>
      </c>
      <c r="H60" s="69">
        <v>0</v>
      </c>
      <c r="I60" s="69">
        <v>0</v>
      </c>
    </row>
    <row r="61" spans="1:9">
      <c r="A61" s="219"/>
      <c r="B61" s="69" t="s">
        <v>649</v>
      </c>
      <c r="C61" s="69" t="s">
        <v>73</v>
      </c>
      <c r="D61" s="69" t="s">
        <v>160</v>
      </c>
      <c r="E61" s="69" t="s">
        <v>81</v>
      </c>
      <c r="F61" s="69">
        <v>0</v>
      </c>
      <c r="G61" s="69">
        <v>0</v>
      </c>
      <c r="H61" s="69">
        <v>0</v>
      </c>
      <c r="I61" s="69">
        <v>0</v>
      </c>
    </row>
    <row r="62" spans="1:9">
      <c r="A62" s="219"/>
      <c r="B62" s="69" t="s">
        <v>650</v>
      </c>
      <c r="C62" s="69" t="s">
        <v>73</v>
      </c>
      <c r="D62" s="69" t="s">
        <v>642</v>
      </c>
      <c r="E62" s="69" t="s">
        <v>637</v>
      </c>
      <c r="F62" s="69">
        <v>0</v>
      </c>
      <c r="G62" s="69">
        <v>0</v>
      </c>
      <c r="H62" s="69">
        <v>0</v>
      </c>
      <c r="I62" s="69">
        <v>0</v>
      </c>
    </row>
    <row r="63" spans="1:9">
      <c r="A63" s="219"/>
      <c r="B63" s="69" t="s">
        <v>1724</v>
      </c>
      <c r="C63" s="69" t="s">
        <v>73</v>
      </c>
      <c r="D63" s="69" t="s">
        <v>23</v>
      </c>
      <c r="E63" s="69" t="s">
        <v>79</v>
      </c>
      <c r="F63" s="69">
        <v>0</v>
      </c>
      <c r="G63" s="69">
        <v>0</v>
      </c>
      <c r="H63" s="69">
        <v>0</v>
      </c>
      <c r="I63" s="69">
        <v>0</v>
      </c>
    </row>
    <row r="64" spans="1:9">
      <c r="A64" s="219"/>
      <c r="B64" s="69" t="s">
        <v>651</v>
      </c>
      <c r="C64" s="69" t="s">
        <v>73</v>
      </c>
      <c r="D64" s="69" t="s">
        <v>160</v>
      </c>
      <c r="E64" s="69" t="s">
        <v>81</v>
      </c>
      <c r="F64" s="69">
        <v>0</v>
      </c>
      <c r="G64" s="69">
        <v>0</v>
      </c>
      <c r="H64" s="69">
        <v>0</v>
      </c>
      <c r="I64" s="69">
        <v>0</v>
      </c>
    </row>
    <row r="65" spans="1:9">
      <c r="A65" s="219"/>
      <c r="B65" s="69" t="s">
        <v>1725</v>
      </c>
      <c r="C65" s="69" t="s">
        <v>73</v>
      </c>
      <c r="D65" s="69" t="s">
        <v>389</v>
      </c>
      <c r="E65" s="69" t="s">
        <v>63</v>
      </c>
      <c r="F65" s="69">
        <v>0</v>
      </c>
      <c r="G65" s="69">
        <v>0</v>
      </c>
      <c r="H65" s="69">
        <v>0</v>
      </c>
      <c r="I65" s="69">
        <v>0</v>
      </c>
    </row>
    <row r="66" spans="1:9">
      <c r="A66" s="219"/>
      <c r="B66" s="69" t="s">
        <v>1726</v>
      </c>
      <c r="C66" s="69" t="s">
        <v>73</v>
      </c>
      <c r="D66" s="69" t="s">
        <v>18</v>
      </c>
      <c r="E66" s="69" t="s">
        <v>63</v>
      </c>
      <c r="F66" s="69">
        <v>0</v>
      </c>
      <c r="G66" s="69">
        <v>0</v>
      </c>
      <c r="H66" s="69">
        <v>0</v>
      </c>
      <c r="I66" s="69">
        <v>0</v>
      </c>
    </row>
    <row r="67" spans="1:9">
      <c r="A67" s="219"/>
      <c r="B67" s="69" t="s">
        <v>1727</v>
      </c>
      <c r="C67" s="69" t="s">
        <v>73</v>
      </c>
      <c r="D67" s="69" t="s">
        <v>20</v>
      </c>
      <c r="E67" s="69" t="s">
        <v>76</v>
      </c>
      <c r="F67" s="69">
        <v>0</v>
      </c>
      <c r="G67" s="69">
        <v>0</v>
      </c>
      <c r="H67" s="69">
        <v>0</v>
      </c>
      <c r="I67" s="69">
        <v>0</v>
      </c>
    </row>
    <row r="68" spans="1:9">
      <c r="A68" s="219"/>
      <c r="B68" s="69" t="s">
        <v>652</v>
      </c>
      <c r="C68" s="69" t="s">
        <v>73</v>
      </c>
      <c r="D68" s="69" t="s">
        <v>160</v>
      </c>
      <c r="E68" s="69" t="s">
        <v>81</v>
      </c>
      <c r="F68" s="69">
        <v>0</v>
      </c>
      <c r="G68" s="69">
        <v>0</v>
      </c>
      <c r="H68" s="69">
        <v>0</v>
      </c>
      <c r="I68" s="69">
        <v>0</v>
      </c>
    </row>
    <row r="69" spans="1:9">
      <c r="A69" s="219"/>
      <c r="B69" s="69" t="s">
        <v>1728</v>
      </c>
      <c r="C69" s="69" t="s">
        <v>73</v>
      </c>
      <c r="D69" s="69" t="s">
        <v>18</v>
      </c>
      <c r="E69" s="69" t="s">
        <v>63</v>
      </c>
      <c r="F69" s="69">
        <v>0</v>
      </c>
      <c r="G69" s="69">
        <v>0</v>
      </c>
      <c r="H69" s="69">
        <v>0</v>
      </c>
      <c r="I69" s="69">
        <v>0</v>
      </c>
    </row>
    <row r="70" spans="1:9">
      <c r="A70" s="219"/>
      <c r="B70" s="69" t="s">
        <v>653</v>
      </c>
      <c r="C70" s="69" t="s">
        <v>73</v>
      </c>
      <c r="D70" s="69" t="s">
        <v>160</v>
      </c>
      <c r="E70" s="69" t="s">
        <v>81</v>
      </c>
      <c r="F70" s="69">
        <v>0</v>
      </c>
      <c r="G70" s="69">
        <v>0</v>
      </c>
      <c r="H70" s="69">
        <v>0</v>
      </c>
      <c r="I70" s="69">
        <v>0</v>
      </c>
    </row>
    <row r="71" spans="1:9">
      <c r="A71" s="219"/>
      <c r="B71" s="69" t="s">
        <v>654</v>
      </c>
      <c r="C71" s="69" t="s">
        <v>73</v>
      </c>
      <c r="D71" s="69" t="s">
        <v>642</v>
      </c>
      <c r="E71" s="69" t="s">
        <v>637</v>
      </c>
      <c r="F71" s="69">
        <v>0</v>
      </c>
      <c r="G71" s="69">
        <v>0</v>
      </c>
      <c r="H71" s="69">
        <v>0</v>
      </c>
      <c r="I71" s="69">
        <v>0</v>
      </c>
    </row>
    <row r="72" spans="1:9">
      <c r="A72" s="219"/>
      <c r="B72" s="69" t="s">
        <v>655</v>
      </c>
      <c r="C72" s="69" t="s">
        <v>73</v>
      </c>
      <c r="D72" s="69" t="s">
        <v>642</v>
      </c>
      <c r="E72" s="69" t="s">
        <v>637</v>
      </c>
      <c r="F72" s="69">
        <v>0</v>
      </c>
      <c r="G72" s="69">
        <v>0</v>
      </c>
      <c r="H72" s="69">
        <v>0</v>
      </c>
      <c r="I72" s="69">
        <v>0</v>
      </c>
    </row>
    <row r="73" spans="1:9">
      <c r="A73" s="219"/>
      <c r="B73" s="69" t="s">
        <v>1729</v>
      </c>
      <c r="C73" s="69" t="s">
        <v>73</v>
      </c>
      <c r="D73" s="69" t="s">
        <v>23</v>
      </c>
      <c r="E73" s="69" t="s">
        <v>79</v>
      </c>
      <c r="F73" s="69">
        <v>0</v>
      </c>
      <c r="G73" s="69">
        <v>0</v>
      </c>
      <c r="H73" s="69">
        <v>0</v>
      </c>
      <c r="I73" s="69">
        <v>0</v>
      </c>
    </row>
    <row r="74" spans="1:9">
      <c r="A74" s="219"/>
      <c r="B74" s="69" t="s">
        <v>1730</v>
      </c>
      <c r="C74" s="69" t="s">
        <v>73</v>
      </c>
      <c r="D74" s="69" t="s">
        <v>20</v>
      </c>
      <c r="E74" s="69" t="s">
        <v>76</v>
      </c>
      <c r="F74" s="69">
        <v>0</v>
      </c>
      <c r="G74" s="69">
        <v>0</v>
      </c>
      <c r="H74" s="69">
        <v>0</v>
      </c>
      <c r="I74" s="69">
        <v>0</v>
      </c>
    </row>
    <row r="75" spans="1:9">
      <c r="A75" s="219"/>
      <c r="B75" s="69" t="s">
        <v>1731</v>
      </c>
      <c r="C75" s="69" t="s">
        <v>73</v>
      </c>
      <c r="D75" s="69" t="s">
        <v>18</v>
      </c>
      <c r="E75" s="69" t="s">
        <v>63</v>
      </c>
      <c r="F75" s="69">
        <v>0</v>
      </c>
      <c r="G75" s="69">
        <v>0</v>
      </c>
      <c r="H75" s="69">
        <v>0</v>
      </c>
      <c r="I75" s="69">
        <v>0</v>
      </c>
    </row>
    <row r="76" spans="1:9">
      <c r="A76" s="219"/>
      <c r="B76" s="69" t="s">
        <v>1732</v>
      </c>
      <c r="C76" s="69" t="s">
        <v>73</v>
      </c>
      <c r="D76" s="69" t="s">
        <v>20</v>
      </c>
      <c r="E76" s="69" t="s">
        <v>76</v>
      </c>
      <c r="F76" s="69">
        <v>0</v>
      </c>
      <c r="G76" s="69">
        <v>0</v>
      </c>
      <c r="H76" s="69">
        <v>0</v>
      </c>
      <c r="I76" s="69">
        <v>0</v>
      </c>
    </row>
    <row r="77" spans="1:9">
      <c r="A77" s="219"/>
      <c r="B77" s="69" t="s">
        <v>1733</v>
      </c>
      <c r="C77" s="69" t="s">
        <v>73</v>
      </c>
      <c r="D77" s="69" t="s">
        <v>18</v>
      </c>
      <c r="E77" s="69" t="s">
        <v>63</v>
      </c>
      <c r="F77" s="69">
        <v>0</v>
      </c>
      <c r="G77" s="69">
        <v>0</v>
      </c>
      <c r="H77" s="69">
        <v>0</v>
      </c>
      <c r="I77" s="69">
        <v>0</v>
      </c>
    </row>
    <row r="78" spans="1:9">
      <c r="A78" s="219"/>
      <c r="B78" s="69" t="s">
        <v>1734</v>
      </c>
      <c r="C78" s="69" t="s">
        <v>73</v>
      </c>
      <c r="D78" s="69" t="s">
        <v>20</v>
      </c>
      <c r="E78" s="69" t="s">
        <v>76</v>
      </c>
      <c r="F78" s="69">
        <v>0</v>
      </c>
      <c r="G78" s="69">
        <v>0</v>
      </c>
      <c r="H78" s="69">
        <v>0</v>
      </c>
      <c r="I78" s="69">
        <v>0</v>
      </c>
    </row>
    <row r="79" spans="1:9">
      <c r="A79" s="219"/>
      <c r="B79" s="69" t="s">
        <v>1735</v>
      </c>
      <c r="C79" s="69" t="s">
        <v>73</v>
      </c>
      <c r="D79" s="69" t="s">
        <v>23</v>
      </c>
      <c r="E79" s="69" t="s">
        <v>79</v>
      </c>
      <c r="F79" s="69">
        <v>0</v>
      </c>
      <c r="G79" s="69">
        <v>0</v>
      </c>
      <c r="H79" s="69">
        <v>0</v>
      </c>
      <c r="I79" s="69">
        <v>0</v>
      </c>
    </row>
    <row r="80" spans="1:9">
      <c r="A80" s="219"/>
      <c r="B80" s="69" t="s">
        <v>1736</v>
      </c>
      <c r="C80" s="69" t="s">
        <v>73</v>
      </c>
      <c r="D80" s="69" t="s">
        <v>23</v>
      </c>
      <c r="E80" s="69" t="s">
        <v>79</v>
      </c>
      <c r="F80" s="69">
        <v>0</v>
      </c>
      <c r="G80" s="69">
        <v>0</v>
      </c>
      <c r="H80" s="69">
        <v>0</v>
      </c>
      <c r="I80" s="69">
        <v>0</v>
      </c>
    </row>
    <row r="81" spans="1:9">
      <c r="A81" s="219"/>
      <c r="B81" s="69" t="s">
        <v>656</v>
      </c>
      <c r="C81" s="69" t="s">
        <v>73</v>
      </c>
      <c r="D81" s="69" t="s">
        <v>160</v>
      </c>
      <c r="E81" s="69" t="s">
        <v>81</v>
      </c>
      <c r="F81" s="69">
        <v>0</v>
      </c>
      <c r="G81" s="69">
        <v>0</v>
      </c>
      <c r="H81" s="69">
        <v>0</v>
      </c>
      <c r="I81" s="69">
        <v>0</v>
      </c>
    </row>
    <row r="82" spans="1:9">
      <c r="A82" s="219"/>
      <c r="B82" s="69" t="s">
        <v>1737</v>
      </c>
      <c r="C82" s="69" t="s">
        <v>73</v>
      </c>
      <c r="D82" s="69" t="s">
        <v>18</v>
      </c>
      <c r="E82" s="69" t="s">
        <v>63</v>
      </c>
      <c r="F82" s="69">
        <v>0</v>
      </c>
      <c r="G82" s="69">
        <v>0</v>
      </c>
      <c r="H82" s="69">
        <v>0</v>
      </c>
      <c r="I82" s="69">
        <v>0</v>
      </c>
    </row>
    <row r="83" spans="1:9">
      <c r="A83" s="219"/>
      <c r="B83" s="69" t="s">
        <v>1738</v>
      </c>
      <c r="C83" s="69" t="s">
        <v>73</v>
      </c>
      <c r="D83" s="69" t="s">
        <v>20</v>
      </c>
      <c r="E83" s="69" t="s">
        <v>76</v>
      </c>
      <c r="F83" s="69">
        <v>0</v>
      </c>
      <c r="G83" s="69">
        <v>0</v>
      </c>
      <c r="H83" s="69">
        <v>0</v>
      </c>
      <c r="I83" s="69">
        <v>0</v>
      </c>
    </row>
    <row r="84" spans="1:9">
      <c r="A84" s="219"/>
      <c r="B84" s="69" t="s">
        <v>1739</v>
      </c>
      <c r="C84" s="69" t="s">
        <v>73</v>
      </c>
      <c r="D84" s="69" t="s">
        <v>20</v>
      </c>
      <c r="E84" s="69" t="s">
        <v>76</v>
      </c>
      <c r="F84" s="69">
        <v>0</v>
      </c>
      <c r="G84" s="69">
        <v>0</v>
      </c>
      <c r="H84" s="69">
        <v>0</v>
      </c>
      <c r="I84" s="69">
        <v>0</v>
      </c>
    </row>
    <row r="85" spans="1:9">
      <c r="A85" s="219"/>
      <c r="B85" s="69" t="s">
        <v>1740</v>
      </c>
      <c r="C85" s="69" t="s">
        <v>73</v>
      </c>
      <c r="D85" s="69" t="s">
        <v>20</v>
      </c>
      <c r="E85" s="69" t="s">
        <v>76</v>
      </c>
      <c r="F85" s="69">
        <v>0</v>
      </c>
      <c r="G85" s="69">
        <v>0</v>
      </c>
      <c r="H85" s="69">
        <v>0</v>
      </c>
      <c r="I85" s="69">
        <v>0</v>
      </c>
    </row>
    <row r="86" spans="1:9">
      <c r="A86" s="219"/>
      <c r="B86" s="69" t="s">
        <v>1741</v>
      </c>
      <c r="C86" s="69" t="s">
        <v>73</v>
      </c>
      <c r="D86" s="69" t="s">
        <v>23</v>
      </c>
      <c r="E86" s="69" t="s">
        <v>79</v>
      </c>
      <c r="F86" s="69">
        <v>0</v>
      </c>
      <c r="G86" s="69">
        <v>0</v>
      </c>
      <c r="H86" s="69">
        <v>0</v>
      </c>
      <c r="I86" s="69">
        <v>0</v>
      </c>
    </row>
    <row r="87" spans="1:9">
      <c r="A87" s="219"/>
      <c r="B87" s="69" t="s">
        <v>1742</v>
      </c>
      <c r="C87" s="69" t="s">
        <v>73</v>
      </c>
      <c r="D87" s="69" t="s">
        <v>23</v>
      </c>
      <c r="E87" s="69" t="s">
        <v>79</v>
      </c>
      <c r="F87" s="69">
        <v>0</v>
      </c>
      <c r="G87" s="69">
        <v>0</v>
      </c>
      <c r="H87" s="69">
        <v>0</v>
      </c>
      <c r="I87" s="69">
        <v>0</v>
      </c>
    </row>
    <row r="88" spans="1:9">
      <c r="A88" s="219"/>
      <c r="B88" s="69" t="s">
        <v>657</v>
      </c>
      <c r="C88" s="69" t="s">
        <v>73</v>
      </c>
      <c r="D88" s="69" t="s">
        <v>160</v>
      </c>
      <c r="E88" s="69" t="s">
        <v>81</v>
      </c>
      <c r="F88" s="69">
        <v>0</v>
      </c>
      <c r="G88" s="69">
        <v>0</v>
      </c>
      <c r="H88" s="69">
        <v>0</v>
      </c>
      <c r="I88" s="69">
        <v>0</v>
      </c>
    </row>
    <row r="89" spans="1:9">
      <c r="A89" s="219"/>
      <c r="B89" s="69" t="s">
        <v>1743</v>
      </c>
      <c r="C89" s="69" t="s">
        <v>73</v>
      </c>
      <c r="D89" s="69" t="s">
        <v>18</v>
      </c>
      <c r="E89" s="69" t="s">
        <v>63</v>
      </c>
      <c r="F89" s="69">
        <v>0</v>
      </c>
      <c r="G89" s="69">
        <v>0</v>
      </c>
      <c r="H89" s="69">
        <v>0</v>
      </c>
      <c r="I89" s="69">
        <v>0</v>
      </c>
    </row>
    <row r="90" spans="1:9">
      <c r="A90" s="219"/>
      <c r="B90" s="69" t="s">
        <v>1744</v>
      </c>
      <c r="C90" s="69" t="s">
        <v>73</v>
      </c>
      <c r="D90" s="69" t="s">
        <v>20</v>
      </c>
      <c r="E90" s="69" t="s">
        <v>76</v>
      </c>
      <c r="F90" s="69">
        <v>0</v>
      </c>
      <c r="G90" s="69">
        <v>0</v>
      </c>
      <c r="H90" s="69">
        <v>0</v>
      </c>
      <c r="I90" s="69">
        <v>0</v>
      </c>
    </row>
    <row r="91" spans="1:9">
      <c r="A91" s="219"/>
      <c r="B91" s="69" t="s">
        <v>658</v>
      </c>
      <c r="C91" s="69" t="s">
        <v>73</v>
      </c>
      <c r="D91" s="69" t="s">
        <v>160</v>
      </c>
      <c r="E91" s="69" t="s">
        <v>81</v>
      </c>
      <c r="F91" s="69">
        <v>0</v>
      </c>
      <c r="G91" s="69">
        <v>0</v>
      </c>
      <c r="H91" s="69">
        <v>0</v>
      </c>
      <c r="I91" s="69">
        <v>0</v>
      </c>
    </row>
    <row r="92" spans="1:9">
      <c r="A92" s="219"/>
      <c r="B92" s="69" t="s">
        <v>1745</v>
      </c>
      <c r="C92" s="69" t="s">
        <v>73</v>
      </c>
      <c r="D92" s="69" t="s">
        <v>1677</v>
      </c>
      <c r="E92" s="69" t="s">
        <v>63</v>
      </c>
      <c r="F92" s="69">
        <v>0</v>
      </c>
      <c r="G92" s="69">
        <v>0</v>
      </c>
      <c r="H92" s="69">
        <v>0</v>
      </c>
      <c r="I92" s="69">
        <v>0</v>
      </c>
    </row>
    <row r="93" spans="1:9">
      <c r="A93" s="219"/>
      <c r="B93" s="69" t="s">
        <v>1746</v>
      </c>
      <c r="C93" s="69" t="s">
        <v>73</v>
      </c>
      <c r="D93" s="69" t="s">
        <v>23</v>
      </c>
      <c r="E93" s="69" t="s">
        <v>79</v>
      </c>
      <c r="F93" s="69">
        <v>0</v>
      </c>
      <c r="G93" s="69">
        <v>0</v>
      </c>
      <c r="H93" s="69">
        <v>0</v>
      </c>
      <c r="I93" s="69">
        <v>0</v>
      </c>
    </row>
    <row r="94" spans="1:9">
      <c r="A94" s="219"/>
      <c r="B94" s="69" t="s">
        <v>1747</v>
      </c>
      <c r="C94" s="223" t="s">
        <v>73</v>
      </c>
      <c r="D94" s="69" t="s">
        <v>1679</v>
      </c>
      <c r="E94" s="69" t="s">
        <v>79</v>
      </c>
      <c r="F94" s="69">
        <v>0</v>
      </c>
      <c r="G94" s="69">
        <v>0</v>
      </c>
      <c r="H94" s="69">
        <v>0</v>
      </c>
      <c r="I94" s="69">
        <v>0</v>
      </c>
    </row>
    <row r="95" spans="1:9">
      <c r="A95" s="219"/>
      <c r="B95" s="69" t="s">
        <v>659</v>
      </c>
      <c r="C95" s="69" t="s">
        <v>73</v>
      </c>
      <c r="D95" s="69" t="s">
        <v>642</v>
      </c>
      <c r="E95" s="69" t="s">
        <v>637</v>
      </c>
      <c r="F95" s="69">
        <v>0</v>
      </c>
      <c r="G95" s="69">
        <v>0</v>
      </c>
      <c r="H95" s="69">
        <v>0</v>
      </c>
      <c r="I95" s="69">
        <v>0</v>
      </c>
    </row>
    <row r="96" spans="1:9">
      <c r="A96" s="219"/>
      <c r="B96" s="69" t="s">
        <v>660</v>
      </c>
      <c r="C96" s="69" t="s">
        <v>73</v>
      </c>
      <c r="D96" s="69" t="s">
        <v>160</v>
      </c>
      <c r="E96" s="69" t="s">
        <v>81</v>
      </c>
      <c r="F96" s="69">
        <v>0</v>
      </c>
      <c r="G96" s="69">
        <v>0</v>
      </c>
      <c r="H96" s="69">
        <v>0</v>
      </c>
      <c r="I96" s="69">
        <v>0</v>
      </c>
    </row>
    <row r="97" spans="1:9">
      <c r="A97" s="219"/>
      <c r="B97" s="69" t="s">
        <v>1748</v>
      </c>
      <c r="C97" s="223" t="s">
        <v>73</v>
      </c>
      <c r="D97" s="69" t="s">
        <v>23</v>
      </c>
      <c r="E97" s="69" t="s">
        <v>79</v>
      </c>
      <c r="F97" s="69">
        <v>0</v>
      </c>
      <c r="G97" s="69">
        <v>0</v>
      </c>
      <c r="H97" s="69">
        <v>0</v>
      </c>
      <c r="I97" s="69">
        <v>0</v>
      </c>
    </row>
    <row r="98" spans="1:9">
      <c r="A98" s="219"/>
      <c r="B98" s="69" t="s">
        <v>661</v>
      </c>
      <c r="C98" s="69" t="s">
        <v>73</v>
      </c>
      <c r="D98" s="69" t="s">
        <v>642</v>
      </c>
      <c r="E98" s="69" t="s">
        <v>637</v>
      </c>
      <c r="F98" s="69">
        <v>0</v>
      </c>
      <c r="G98" s="69">
        <v>0</v>
      </c>
      <c r="H98" s="69">
        <v>0</v>
      </c>
      <c r="I98" s="69">
        <v>0</v>
      </c>
    </row>
    <row r="99" spans="1:9">
      <c r="A99" s="219"/>
      <c r="B99" s="69" t="s">
        <v>662</v>
      </c>
      <c r="C99" s="69" t="s">
        <v>73</v>
      </c>
      <c r="D99" s="69" t="s">
        <v>663</v>
      </c>
      <c r="E99" s="69" t="s">
        <v>625</v>
      </c>
      <c r="F99" s="69">
        <v>0</v>
      </c>
      <c r="G99" s="69">
        <v>0</v>
      </c>
      <c r="H99" s="69">
        <v>0</v>
      </c>
      <c r="I99" s="69">
        <v>0</v>
      </c>
    </row>
    <row r="100" spans="1:9">
      <c r="A100" s="219"/>
      <c r="B100" s="69" t="s">
        <v>1749</v>
      </c>
      <c r="C100" s="69" t="s">
        <v>73</v>
      </c>
      <c r="D100" s="69" t="s">
        <v>20</v>
      </c>
      <c r="E100" s="69" t="s">
        <v>76</v>
      </c>
      <c r="F100" s="69">
        <v>0</v>
      </c>
      <c r="G100" s="69">
        <v>0</v>
      </c>
      <c r="H100" s="69">
        <v>0</v>
      </c>
      <c r="I100" s="69">
        <v>0</v>
      </c>
    </row>
    <row r="101" spans="1:9">
      <c r="A101" s="219"/>
      <c r="B101" s="69" t="s">
        <v>664</v>
      </c>
      <c r="C101" s="69" t="s">
        <v>73</v>
      </c>
      <c r="D101" s="69" t="s">
        <v>160</v>
      </c>
      <c r="E101" s="69" t="s">
        <v>81</v>
      </c>
      <c r="F101" s="69">
        <v>0</v>
      </c>
      <c r="G101" s="69">
        <v>0</v>
      </c>
      <c r="H101" s="69">
        <v>0</v>
      </c>
      <c r="I101" s="69">
        <v>0</v>
      </c>
    </row>
    <row r="102" spans="1:9">
      <c r="A102" s="219"/>
      <c r="B102" s="69" t="s">
        <v>665</v>
      </c>
      <c r="C102" s="69" t="s">
        <v>73</v>
      </c>
      <c r="D102" s="69" t="s">
        <v>642</v>
      </c>
      <c r="E102" s="69" t="s">
        <v>637</v>
      </c>
      <c r="F102" s="69">
        <v>0</v>
      </c>
      <c r="G102" s="69">
        <v>0</v>
      </c>
      <c r="H102" s="69">
        <v>0</v>
      </c>
      <c r="I102" s="69">
        <v>0</v>
      </c>
    </row>
    <row r="103" spans="1:9">
      <c r="A103" s="219"/>
      <c r="B103" s="69" t="s">
        <v>666</v>
      </c>
      <c r="C103" s="69" t="s">
        <v>73</v>
      </c>
      <c r="D103" s="69" t="s">
        <v>642</v>
      </c>
      <c r="E103" s="69" t="s">
        <v>637</v>
      </c>
      <c r="F103" s="69">
        <v>0</v>
      </c>
      <c r="G103" s="69">
        <v>0</v>
      </c>
      <c r="H103" s="69">
        <v>0</v>
      </c>
      <c r="I103" s="69">
        <v>0</v>
      </c>
    </row>
    <row r="104" spans="1:9">
      <c r="A104" s="219"/>
      <c r="B104" s="69" t="s">
        <v>667</v>
      </c>
      <c r="C104" s="69" t="s">
        <v>73</v>
      </c>
      <c r="D104" s="69" t="s">
        <v>642</v>
      </c>
      <c r="E104" s="69" t="s">
        <v>637</v>
      </c>
      <c r="F104" s="69">
        <v>0</v>
      </c>
      <c r="G104" s="69">
        <v>0</v>
      </c>
      <c r="H104" s="69">
        <v>0</v>
      </c>
      <c r="I104" s="69">
        <v>0</v>
      </c>
    </row>
    <row r="105" spans="1:9">
      <c r="A105" s="219"/>
      <c r="B105" s="69" t="s">
        <v>1750</v>
      </c>
      <c r="C105" s="69" t="s">
        <v>73</v>
      </c>
      <c r="D105" s="69" t="s">
        <v>23</v>
      </c>
      <c r="E105" s="69" t="s">
        <v>79</v>
      </c>
      <c r="F105" s="69">
        <v>0</v>
      </c>
      <c r="G105" s="69">
        <v>0</v>
      </c>
      <c r="H105" s="69">
        <v>0</v>
      </c>
      <c r="I105" s="69">
        <v>0</v>
      </c>
    </row>
    <row r="106" spans="1:9">
      <c r="A106" s="219"/>
      <c r="B106" s="69" t="s">
        <v>1751</v>
      </c>
      <c r="C106" s="69" t="s">
        <v>73</v>
      </c>
      <c r="D106" s="69" t="s">
        <v>1679</v>
      </c>
      <c r="E106" s="69" t="s">
        <v>79</v>
      </c>
      <c r="F106" s="69">
        <v>0</v>
      </c>
      <c r="G106" s="69">
        <v>0</v>
      </c>
      <c r="H106" s="69">
        <v>0</v>
      </c>
      <c r="I106" s="69">
        <v>0</v>
      </c>
    </row>
    <row r="107" spans="1:9">
      <c r="A107" s="219"/>
      <c r="B107" s="69" t="s">
        <v>1752</v>
      </c>
      <c r="C107" s="69" t="s">
        <v>73</v>
      </c>
      <c r="D107" s="69" t="s">
        <v>23</v>
      </c>
      <c r="E107" s="69" t="s">
        <v>79</v>
      </c>
      <c r="F107" s="69">
        <v>0</v>
      </c>
      <c r="G107" s="69">
        <v>0</v>
      </c>
      <c r="H107" s="69">
        <v>0</v>
      </c>
      <c r="I107" s="69">
        <v>0</v>
      </c>
    </row>
    <row r="108" spans="1:9">
      <c r="A108" s="219"/>
      <c r="B108" s="69" t="s">
        <v>668</v>
      </c>
      <c r="C108" s="69" t="s">
        <v>73</v>
      </c>
      <c r="D108" s="69" t="s">
        <v>642</v>
      </c>
      <c r="E108" s="69" t="s">
        <v>637</v>
      </c>
      <c r="F108" s="69">
        <v>0</v>
      </c>
      <c r="G108" s="69">
        <v>0</v>
      </c>
      <c r="H108" s="69">
        <v>0</v>
      </c>
      <c r="I108" s="69">
        <v>0</v>
      </c>
    </row>
    <row r="109" spans="1:9">
      <c r="A109" s="219"/>
      <c r="B109" s="69" t="s">
        <v>669</v>
      </c>
      <c r="C109" s="69" t="s">
        <v>73</v>
      </c>
      <c r="D109" s="69" t="s">
        <v>642</v>
      </c>
      <c r="E109" s="69" t="s">
        <v>637</v>
      </c>
      <c r="F109" s="69">
        <v>0</v>
      </c>
      <c r="G109" s="69">
        <v>0</v>
      </c>
      <c r="H109" s="69">
        <v>0</v>
      </c>
      <c r="I109" s="69">
        <v>0</v>
      </c>
    </row>
    <row r="110" spans="1:9">
      <c r="A110" s="219"/>
      <c r="B110" s="69" t="s">
        <v>1753</v>
      </c>
      <c r="C110" s="69" t="s">
        <v>73</v>
      </c>
      <c r="D110" s="69" t="s">
        <v>18</v>
      </c>
      <c r="E110" s="69" t="s">
        <v>63</v>
      </c>
      <c r="F110" s="69">
        <v>0</v>
      </c>
      <c r="G110" s="69">
        <v>0</v>
      </c>
      <c r="H110" s="69">
        <v>0</v>
      </c>
      <c r="I110" s="69">
        <v>0</v>
      </c>
    </row>
    <row r="111" spans="1:9">
      <c r="A111" s="219"/>
      <c r="B111" s="69" t="s">
        <v>1754</v>
      </c>
      <c r="C111" s="69" t="s">
        <v>73</v>
      </c>
      <c r="D111" s="69" t="s">
        <v>18</v>
      </c>
      <c r="E111" s="69" t="s">
        <v>63</v>
      </c>
      <c r="F111" s="69">
        <v>0</v>
      </c>
      <c r="G111" s="69">
        <v>0</v>
      </c>
      <c r="H111" s="69">
        <v>0</v>
      </c>
      <c r="I111" s="69">
        <v>0</v>
      </c>
    </row>
    <row r="112" spans="1:9">
      <c r="A112" s="219"/>
      <c r="B112" s="69" t="s">
        <v>1755</v>
      </c>
      <c r="C112" s="69" t="s">
        <v>73</v>
      </c>
      <c r="D112" s="69" t="s">
        <v>1677</v>
      </c>
      <c r="E112" s="69" t="s">
        <v>63</v>
      </c>
      <c r="F112" s="69">
        <v>0</v>
      </c>
      <c r="G112" s="69">
        <v>0</v>
      </c>
      <c r="H112" s="69">
        <v>0</v>
      </c>
      <c r="I112" s="69">
        <v>0</v>
      </c>
    </row>
    <row r="113" spans="1:9">
      <c r="A113" s="219"/>
      <c r="B113" s="69" t="s">
        <v>670</v>
      </c>
      <c r="C113" s="69" t="s">
        <v>73</v>
      </c>
      <c r="D113" s="69" t="s">
        <v>642</v>
      </c>
      <c r="E113" s="69" t="s">
        <v>637</v>
      </c>
      <c r="F113" s="69">
        <v>0</v>
      </c>
      <c r="G113" s="69">
        <v>0</v>
      </c>
      <c r="H113" s="69">
        <v>0</v>
      </c>
      <c r="I113" s="69">
        <v>0</v>
      </c>
    </row>
    <row r="114" spans="1:9">
      <c r="A114" s="219"/>
      <c r="B114" s="69" t="s">
        <v>1756</v>
      </c>
      <c r="C114" s="69" t="s">
        <v>73</v>
      </c>
      <c r="D114" s="69" t="s">
        <v>20</v>
      </c>
      <c r="E114" s="69" t="s">
        <v>76</v>
      </c>
      <c r="F114" s="69">
        <v>0</v>
      </c>
      <c r="G114" s="69">
        <v>0</v>
      </c>
      <c r="H114" s="69">
        <v>0</v>
      </c>
      <c r="I114" s="69">
        <v>0</v>
      </c>
    </row>
    <row r="115" spans="1:9">
      <c r="A115" s="219"/>
      <c r="B115" s="69" t="s">
        <v>1757</v>
      </c>
      <c r="C115" s="69" t="s">
        <v>73</v>
      </c>
      <c r="D115" s="69" t="s">
        <v>23</v>
      </c>
      <c r="E115" s="69" t="s">
        <v>79</v>
      </c>
      <c r="F115" s="69">
        <v>0</v>
      </c>
      <c r="G115" s="69">
        <v>0</v>
      </c>
      <c r="H115" s="69">
        <v>0</v>
      </c>
      <c r="I115" s="69">
        <v>0</v>
      </c>
    </row>
    <row r="116" spans="1:9">
      <c r="A116" s="219"/>
      <c r="B116" s="69" t="s">
        <v>671</v>
      </c>
      <c r="C116" s="69" t="s">
        <v>73</v>
      </c>
      <c r="D116" s="69" t="s">
        <v>642</v>
      </c>
      <c r="E116" s="69" t="s">
        <v>637</v>
      </c>
      <c r="F116" s="69">
        <v>0</v>
      </c>
      <c r="G116" s="69">
        <v>0</v>
      </c>
      <c r="H116" s="69">
        <v>0</v>
      </c>
      <c r="I116" s="69">
        <v>0</v>
      </c>
    </row>
    <row r="117" spans="1:9">
      <c r="A117" s="219"/>
      <c r="B117" s="69" t="s">
        <v>672</v>
      </c>
      <c r="C117" s="69" t="s">
        <v>73</v>
      </c>
      <c r="D117" s="69" t="s">
        <v>642</v>
      </c>
      <c r="E117" s="69" t="s">
        <v>637</v>
      </c>
      <c r="F117" s="69">
        <v>0</v>
      </c>
      <c r="G117" s="69">
        <v>0</v>
      </c>
      <c r="H117" s="69">
        <v>0</v>
      </c>
      <c r="I117" s="69">
        <v>0</v>
      </c>
    </row>
    <row r="118" spans="1:9">
      <c r="A118" s="219"/>
      <c r="B118" s="69" t="s">
        <v>1758</v>
      </c>
      <c r="C118" s="69" t="s">
        <v>73</v>
      </c>
      <c r="D118" s="69" t="s">
        <v>23</v>
      </c>
      <c r="E118" s="69" t="s">
        <v>79</v>
      </c>
      <c r="F118" s="69">
        <v>0</v>
      </c>
      <c r="G118" s="69">
        <v>0</v>
      </c>
      <c r="H118" s="69">
        <v>0</v>
      </c>
      <c r="I118" s="69">
        <v>0</v>
      </c>
    </row>
    <row r="119" spans="1:9">
      <c r="A119" s="219"/>
      <c r="B119" s="69" t="s">
        <v>1759</v>
      </c>
      <c r="C119" s="69" t="s">
        <v>73</v>
      </c>
      <c r="D119" s="69" t="s">
        <v>23</v>
      </c>
      <c r="E119" s="69" t="s">
        <v>79</v>
      </c>
      <c r="F119" s="69">
        <v>0</v>
      </c>
      <c r="G119" s="69">
        <v>0</v>
      </c>
      <c r="H119" s="69">
        <v>0</v>
      </c>
      <c r="I119" s="69">
        <v>0</v>
      </c>
    </row>
    <row r="120" spans="1:9">
      <c r="A120" s="219"/>
      <c r="B120" s="69" t="s">
        <v>1760</v>
      </c>
      <c r="C120" s="69" t="s">
        <v>73</v>
      </c>
      <c r="D120" s="69" t="s">
        <v>23</v>
      </c>
      <c r="E120" s="69" t="s">
        <v>79</v>
      </c>
      <c r="F120" s="69">
        <v>0</v>
      </c>
      <c r="G120" s="69">
        <v>0</v>
      </c>
      <c r="H120" s="69">
        <v>0</v>
      </c>
      <c r="I120" s="69">
        <v>0</v>
      </c>
    </row>
    <row r="121" spans="1:9">
      <c r="A121" s="219"/>
      <c r="B121" s="69" t="s">
        <v>1761</v>
      </c>
      <c r="C121" s="69" t="s">
        <v>73</v>
      </c>
      <c r="D121" s="69" t="s">
        <v>23</v>
      </c>
      <c r="E121" s="69" t="s">
        <v>79</v>
      </c>
      <c r="F121" s="69">
        <v>0</v>
      </c>
      <c r="G121" s="69">
        <v>0</v>
      </c>
      <c r="H121" s="69">
        <v>0</v>
      </c>
      <c r="I121" s="69">
        <v>0</v>
      </c>
    </row>
    <row r="122" spans="1:9">
      <c r="A122" s="219"/>
      <c r="B122" s="69" t="s">
        <v>1762</v>
      </c>
      <c r="C122" s="69" t="s">
        <v>73</v>
      </c>
      <c r="D122" s="69" t="s">
        <v>23</v>
      </c>
      <c r="E122" s="69" t="s">
        <v>79</v>
      </c>
      <c r="F122" s="69">
        <v>0</v>
      </c>
      <c r="G122" s="69">
        <v>0</v>
      </c>
      <c r="H122" s="69">
        <v>0</v>
      </c>
      <c r="I122" s="69">
        <v>0</v>
      </c>
    </row>
    <row r="123" spans="1:9">
      <c r="A123" s="219"/>
      <c r="B123" s="69" t="s">
        <v>1763</v>
      </c>
      <c r="C123" s="69" t="s">
        <v>73</v>
      </c>
      <c r="D123" s="69" t="s">
        <v>23</v>
      </c>
      <c r="E123" s="69" t="s">
        <v>79</v>
      </c>
      <c r="F123" s="69">
        <v>0</v>
      </c>
      <c r="G123" s="69">
        <v>0</v>
      </c>
      <c r="H123" s="69">
        <v>0</v>
      </c>
      <c r="I123" s="69">
        <v>0</v>
      </c>
    </row>
    <row r="124" spans="1:9">
      <c r="A124" s="219"/>
      <c r="B124" s="69" t="s">
        <v>1764</v>
      </c>
      <c r="C124" s="69" t="s">
        <v>73</v>
      </c>
      <c r="D124" s="69" t="s">
        <v>20</v>
      </c>
      <c r="E124" s="69" t="s">
        <v>76</v>
      </c>
      <c r="F124" s="69">
        <v>0</v>
      </c>
      <c r="G124" s="69">
        <v>0</v>
      </c>
      <c r="H124" s="69">
        <v>0</v>
      </c>
      <c r="I124" s="69">
        <v>0</v>
      </c>
    </row>
    <row r="125" spans="1:9">
      <c r="A125" s="219"/>
      <c r="B125" s="69" t="s">
        <v>1765</v>
      </c>
      <c r="C125" s="69" t="s">
        <v>73</v>
      </c>
      <c r="D125" s="69" t="s">
        <v>18</v>
      </c>
      <c r="E125" s="69" t="s">
        <v>63</v>
      </c>
      <c r="F125" s="69">
        <v>0</v>
      </c>
      <c r="G125" s="69">
        <v>0</v>
      </c>
      <c r="H125" s="69">
        <v>0</v>
      </c>
      <c r="I125" s="69">
        <v>0</v>
      </c>
    </row>
    <row r="126" spans="1:9">
      <c r="A126" s="219"/>
      <c r="B126" s="69" t="s">
        <v>1766</v>
      </c>
      <c r="C126" s="69" t="s">
        <v>73</v>
      </c>
      <c r="D126" s="69" t="s">
        <v>18</v>
      </c>
      <c r="E126" s="69" t="s">
        <v>63</v>
      </c>
      <c r="F126" s="69">
        <v>0</v>
      </c>
      <c r="G126" s="69">
        <v>0</v>
      </c>
      <c r="H126" s="69">
        <v>0</v>
      </c>
      <c r="I126" s="69">
        <v>0</v>
      </c>
    </row>
    <row r="127" spans="1:9">
      <c r="A127" s="219"/>
      <c r="B127" s="69" t="s">
        <v>673</v>
      </c>
      <c r="C127" s="69" t="s">
        <v>73</v>
      </c>
      <c r="D127" s="69" t="s">
        <v>642</v>
      </c>
      <c r="E127" s="69" t="s">
        <v>637</v>
      </c>
      <c r="F127" s="69">
        <v>0</v>
      </c>
      <c r="G127" s="69">
        <v>0</v>
      </c>
      <c r="H127" s="69">
        <v>0</v>
      </c>
      <c r="I127" s="69">
        <v>0</v>
      </c>
    </row>
    <row r="128" spans="1:9">
      <c r="A128" s="219"/>
      <c r="B128" s="69" t="s">
        <v>674</v>
      </c>
      <c r="C128" s="69" t="s">
        <v>73</v>
      </c>
      <c r="D128" s="69" t="s">
        <v>642</v>
      </c>
      <c r="E128" s="69" t="s">
        <v>637</v>
      </c>
      <c r="F128" s="69">
        <v>0</v>
      </c>
      <c r="G128" s="69">
        <v>0</v>
      </c>
      <c r="H128" s="69">
        <v>0</v>
      </c>
      <c r="I128" s="69">
        <v>0</v>
      </c>
    </row>
    <row r="129" spans="1:9">
      <c r="A129" s="219"/>
      <c r="B129" s="69" t="s">
        <v>1767</v>
      </c>
      <c r="C129" s="69" t="s">
        <v>73</v>
      </c>
      <c r="D129" s="69" t="s">
        <v>23</v>
      </c>
      <c r="E129" s="69" t="s">
        <v>79</v>
      </c>
      <c r="F129" s="69">
        <v>0</v>
      </c>
      <c r="G129" s="69">
        <v>0</v>
      </c>
      <c r="H129" s="69">
        <v>0</v>
      </c>
      <c r="I129" s="69">
        <v>0</v>
      </c>
    </row>
    <row r="130" spans="1:9">
      <c r="A130" s="219"/>
      <c r="B130" s="69" t="s">
        <v>1768</v>
      </c>
      <c r="C130" s="69" t="s">
        <v>73</v>
      </c>
      <c r="D130" s="69" t="s">
        <v>18</v>
      </c>
      <c r="E130" s="69" t="s">
        <v>63</v>
      </c>
      <c r="F130" s="69">
        <v>0</v>
      </c>
      <c r="G130" s="69">
        <v>0</v>
      </c>
      <c r="H130" s="69">
        <v>0</v>
      </c>
      <c r="I130" s="69">
        <v>0</v>
      </c>
    </row>
    <row r="131" spans="1:9">
      <c r="A131" s="219"/>
      <c r="B131" s="69" t="s">
        <v>1769</v>
      </c>
      <c r="C131" s="69" t="s">
        <v>73</v>
      </c>
      <c r="D131" s="69" t="s">
        <v>23</v>
      </c>
      <c r="E131" s="69" t="s">
        <v>79</v>
      </c>
      <c r="F131" s="69">
        <v>0</v>
      </c>
      <c r="G131" s="69">
        <v>0</v>
      </c>
      <c r="H131" s="69">
        <v>0</v>
      </c>
      <c r="I131" s="69">
        <v>0</v>
      </c>
    </row>
    <row r="132" spans="1:9">
      <c r="A132" s="219"/>
      <c r="B132" s="69" t="s">
        <v>1770</v>
      </c>
      <c r="C132" s="69" t="s">
        <v>73</v>
      </c>
      <c r="D132" s="69" t="s">
        <v>20</v>
      </c>
      <c r="E132" s="69" t="s">
        <v>76</v>
      </c>
      <c r="F132" s="69">
        <v>0</v>
      </c>
      <c r="G132" s="69">
        <v>0</v>
      </c>
      <c r="H132" s="69">
        <v>0</v>
      </c>
      <c r="I132" s="69">
        <v>0</v>
      </c>
    </row>
    <row r="133" spans="1:9">
      <c r="A133" s="219"/>
      <c r="B133" s="69" t="s">
        <v>1771</v>
      </c>
      <c r="C133" s="69" t="s">
        <v>73</v>
      </c>
      <c r="D133" s="69" t="s">
        <v>20</v>
      </c>
      <c r="E133" s="69" t="s">
        <v>76</v>
      </c>
      <c r="F133" s="69">
        <v>0</v>
      </c>
      <c r="G133" s="69">
        <v>0</v>
      </c>
      <c r="H133" s="69">
        <v>0</v>
      </c>
      <c r="I133" s="69">
        <v>0</v>
      </c>
    </row>
    <row r="134" spans="1:9">
      <c r="A134" s="219"/>
      <c r="B134" s="69" t="s">
        <v>1772</v>
      </c>
      <c r="C134" s="69" t="s">
        <v>73</v>
      </c>
      <c r="D134" s="69" t="s">
        <v>23</v>
      </c>
      <c r="E134" s="69" t="s">
        <v>79</v>
      </c>
      <c r="F134" s="69">
        <v>0</v>
      </c>
      <c r="G134" s="69">
        <v>0</v>
      </c>
      <c r="H134" s="69">
        <v>0</v>
      </c>
      <c r="I134" s="69">
        <v>0</v>
      </c>
    </row>
    <row r="135" spans="1:9">
      <c r="A135" s="219"/>
      <c r="B135" s="69" t="s">
        <v>1773</v>
      </c>
      <c r="C135" s="69" t="s">
        <v>73</v>
      </c>
      <c r="D135" s="69" t="s">
        <v>18</v>
      </c>
      <c r="E135" s="69" t="s">
        <v>63</v>
      </c>
      <c r="F135" s="69">
        <v>0</v>
      </c>
      <c r="G135" s="69">
        <v>0</v>
      </c>
      <c r="H135" s="69">
        <v>0</v>
      </c>
      <c r="I135" s="69">
        <v>0</v>
      </c>
    </row>
    <row r="136" spans="1:9">
      <c r="A136" s="219"/>
      <c r="B136" s="69" t="s">
        <v>1774</v>
      </c>
      <c r="C136" s="69" t="s">
        <v>73</v>
      </c>
      <c r="D136" s="69" t="s">
        <v>20</v>
      </c>
      <c r="E136" s="69" t="s">
        <v>76</v>
      </c>
      <c r="F136" s="69">
        <v>0</v>
      </c>
      <c r="G136" s="69">
        <v>0</v>
      </c>
      <c r="H136" s="69">
        <v>0</v>
      </c>
      <c r="I136" s="69">
        <v>0</v>
      </c>
    </row>
    <row r="137" spans="1:9">
      <c r="A137" s="219"/>
      <c r="B137" s="69" t="s">
        <v>675</v>
      </c>
      <c r="C137" s="69" t="s">
        <v>73</v>
      </c>
      <c r="D137" s="69" t="s">
        <v>642</v>
      </c>
      <c r="E137" s="69" t="s">
        <v>637</v>
      </c>
      <c r="F137" s="69">
        <v>0</v>
      </c>
      <c r="G137" s="69">
        <v>0</v>
      </c>
      <c r="H137" s="69">
        <v>0</v>
      </c>
      <c r="I137" s="69">
        <v>0</v>
      </c>
    </row>
    <row r="138" spans="1:9">
      <c r="A138" s="219"/>
      <c r="B138" s="69" t="s">
        <v>676</v>
      </c>
      <c r="C138" s="69" t="s">
        <v>73</v>
      </c>
      <c r="D138" s="69" t="s">
        <v>642</v>
      </c>
      <c r="E138" s="69" t="s">
        <v>637</v>
      </c>
      <c r="F138" s="69">
        <v>0</v>
      </c>
      <c r="G138" s="69">
        <v>0</v>
      </c>
      <c r="H138" s="69">
        <v>0</v>
      </c>
      <c r="I138" s="69">
        <v>0</v>
      </c>
    </row>
    <row r="139" spans="1:9">
      <c r="A139" s="219"/>
      <c r="B139" s="69" t="s">
        <v>1775</v>
      </c>
      <c r="C139" s="69" t="s">
        <v>73</v>
      </c>
      <c r="D139" s="69" t="s">
        <v>20</v>
      </c>
      <c r="E139" s="69" t="s">
        <v>76</v>
      </c>
      <c r="F139" s="69">
        <v>0</v>
      </c>
      <c r="G139" s="69">
        <v>0</v>
      </c>
      <c r="H139" s="69">
        <v>0</v>
      </c>
      <c r="I139" s="69">
        <v>0</v>
      </c>
    </row>
    <row r="140" spans="1:9">
      <c r="A140" s="219"/>
      <c r="B140" s="69" t="s">
        <v>677</v>
      </c>
      <c r="C140" s="69" t="s">
        <v>73</v>
      </c>
      <c r="D140" s="69" t="s">
        <v>678</v>
      </c>
      <c r="E140" s="69" t="s">
        <v>625</v>
      </c>
      <c r="F140" s="69">
        <v>0</v>
      </c>
      <c r="G140" s="69">
        <v>0</v>
      </c>
      <c r="H140" s="69">
        <v>0</v>
      </c>
      <c r="I140" s="69">
        <v>0</v>
      </c>
    </row>
    <row r="141" spans="1:9">
      <c r="A141" s="219"/>
      <c r="B141" s="69" t="s">
        <v>1776</v>
      </c>
      <c r="C141" s="69" t="s">
        <v>73</v>
      </c>
      <c r="D141" s="69" t="s">
        <v>20</v>
      </c>
      <c r="E141" s="69" t="s">
        <v>76</v>
      </c>
      <c r="F141" s="69">
        <v>0</v>
      </c>
      <c r="G141" s="69">
        <v>0</v>
      </c>
      <c r="H141" s="69">
        <v>0</v>
      </c>
      <c r="I141" s="69">
        <v>0</v>
      </c>
    </row>
    <row r="142" spans="1:9">
      <c r="A142" s="219"/>
      <c r="B142" s="69" t="s">
        <v>1777</v>
      </c>
      <c r="C142" s="69" t="s">
        <v>73</v>
      </c>
      <c r="D142" s="69" t="s">
        <v>20</v>
      </c>
      <c r="E142" s="69" t="s">
        <v>76</v>
      </c>
      <c r="F142" s="69">
        <v>0</v>
      </c>
      <c r="G142" s="69">
        <v>0</v>
      </c>
      <c r="H142" s="69">
        <v>0</v>
      </c>
      <c r="I142" s="69">
        <v>0</v>
      </c>
    </row>
    <row r="143" spans="1:9">
      <c r="A143" s="219"/>
      <c r="B143" s="69" t="s">
        <v>1778</v>
      </c>
      <c r="C143" s="69" t="s">
        <v>73</v>
      </c>
      <c r="D143" s="69" t="s">
        <v>23</v>
      </c>
      <c r="E143" s="69" t="s">
        <v>79</v>
      </c>
      <c r="F143" s="69">
        <v>0</v>
      </c>
      <c r="G143" s="69">
        <v>0</v>
      </c>
      <c r="H143" s="69">
        <v>0</v>
      </c>
      <c r="I143" s="69">
        <v>0</v>
      </c>
    </row>
    <row r="144" spans="1:9">
      <c r="A144" s="219"/>
      <c r="B144" s="69" t="s">
        <v>1779</v>
      </c>
      <c r="C144" s="69" t="s">
        <v>73</v>
      </c>
      <c r="D144" s="69" t="s">
        <v>18</v>
      </c>
      <c r="E144" s="69" t="s">
        <v>63</v>
      </c>
      <c r="F144" s="69">
        <v>0</v>
      </c>
      <c r="G144" s="69">
        <v>0</v>
      </c>
      <c r="H144" s="69">
        <v>0</v>
      </c>
      <c r="I144" s="69">
        <v>0</v>
      </c>
    </row>
    <row r="145" spans="1:9">
      <c r="A145" s="219"/>
      <c r="B145" s="69" t="s">
        <v>1780</v>
      </c>
      <c r="C145" s="69" t="s">
        <v>73</v>
      </c>
      <c r="D145" s="69" t="s">
        <v>18</v>
      </c>
      <c r="E145" s="69" t="s">
        <v>63</v>
      </c>
      <c r="F145" s="69">
        <v>0</v>
      </c>
      <c r="G145" s="69">
        <v>0</v>
      </c>
      <c r="H145" s="69">
        <v>0</v>
      </c>
      <c r="I145" s="69">
        <v>0</v>
      </c>
    </row>
    <row r="146" spans="1:9">
      <c r="A146" s="219"/>
      <c r="B146" s="69" t="s">
        <v>1781</v>
      </c>
      <c r="C146" s="69" t="s">
        <v>73</v>
      </c>
      <c r="D146" s="69" t="s">
        <v>23</v>
      </c>
      <c r="E146" s="69" t="s">
        <v>79</v>
      </c>
      <c r="F146" s="69">
        <v>0</v>
      </c>
      <c r="G146" s="69">
        <v>0</v>
      </c>
      <c r="H146" s="69">
        <v>0</v>
      </c>
      <c r="I146" s="69">
        <v>0</v>
      </c>
    </row>
    <row r="147" spans="1:9">
      <c r="A147" s="219"/>
      <c r="B147" s="69" t="s">
        <v>1782</v>
      </c>
      <c r="C147" s="69" t="s">
        <v>73</v>
      </c>
      <c r="D147" s="69" t="s">
        <v>18</v>
      </c>
      <c r="E147" s="69" t="s">
        <v>63</v>
      </c>
      <c r="F147" s="69">
        <v>0</v>
      </c>
      <c r="G147" s="69">
        <v>0</v>
      </c>
      <c r="H147" s="69">
        <v>0</v>
      </c>
      <c r="I147" s="69">
        <v>0</v>
      </c>
    </row>
    <row r="148" spans="1:9">
      <c r="A148" s="219"/>
      <c r="B148" s="69" t="s">
        <v>1783</v>
      </c>
      <c r="C148" s="69" t="s">
        <v>73</v>
      </c>
      <c r="D148" s="69" t="s">
        <v>20</v>
      </c>
      <c r="E148" s="69" t="s">
        <v>76</v>
      </c>
      <c r="F148" s="69">
        <v>0</v>
      </c>
      <c r="G148" s="69">
        <v>0</v>
      </c>
      <c r="H148" s="69">
        <v>0</v>
      </c>
      <c r="I148" s="69">
        <v>0</v>
      </c>
    </row>
    <row r="149" spans="1:9">
      <c r="A149" s="219"/>
      <c r="B149" s="69" t="s">
        <v>1784</v>
      </c>
      <c r="C149" s="69" t="s">
        <v>73</v>
      </c>
      <c r="D149" s="69" t="s">
        <v>20</v>
      </c>
      <c r="E149" s="69" t="s">
        <v>76</v>
      </c>
      <c r="F149" s="69">
        <v>0</v>
      </c>
      <c r="G149" s="69">
        <v>0</v>
      </c>
      <c r="H149" s="69">
        <v>0</v>
      </c>
      <c r="I149" s="69">
        <v>0</v>
      </c>
    </row>
    <row r="150" spans="1:9">
      <c r="A150" s="219"/>
      <c r="B150" s="69" t="s">
        <v>1785</v>
      </c>
      <c r="C150" s="69" t="s">
        <v>73</v>
      </c>
      <c r="D150" s="69" t="s">
        <v>18</v>
      </c>
      <c r="E150" s="69" t="s">
        <v>63</v>
      </c>
      <c r="F150" s="69">
        <v>0</v>
      </c>
      <c r="G150" s="69">
        <v>0</v>
      </c>
      <c r="H150" s="69">
        <v>0</v>
      </c>
      <c r="I150" s="69">
        <v>0</v>
      </c>
    </row>
    <row r="151" spans="1:9">
      <c r="A151" s="219"/>
      <c r="B151" s="69" t="s">
        <v>679</v>
      </c>
      <c r="C151" s="69" t="s">
        <v>73</v>
      </c>
      <c r="D151" s="69" t="s">
        <v>160</v>
      </c>
      <c r="E151" s="69" t="s">
        <v>81</v>
      </c>
      <c r="F151" s="69">
        <v>0</v>
      </c>
      <c r="G151" s="69">
        <v>0</v>
      </c>
      <c r="H151" s="69">
        <v>0</v>
      </c>
      <c r="I151" s="69">
        <v>0</v>
      </c>
    </row>
    <row r="152" spans="1:9">
      <c r="A152" s="219"/>
      <c r="B152" s="69" t="s">
        <v>1786</v>
      </c>
      <c r="C152" s="69" t="s">
        <v>73</v>
      </c>
      <c r="D152" s="69" t="s">
        <v>1679</v>
      </c>
      <c r="E152" s="69" t="s">
        <v>79</v>
      </c>
      <c r="F152" s="69">
        <v>0</v>
      </c>
      <c r="G152" s="69">
        <v>0</v>
      </c>
      <c r="H152" s="69">
        <v>0</v>
      </c>
      <c r="I152" s="69">
        <v>0</v>
      </c>
    </row>
    <row r="153" spans="1:9">
      <c r="A153" s="219"/>
      <c r="B153" s="69" t="s">
        <v>1787</v>
      </c>
      <c r="C153" s="69" t="s">
        <v>73</v>
      </c>
      <c r="D153" s="69" t="s">
        <v>18</v>
      </c>
      <c r="E153" s="69" t="s">
        <v>63</v>
      </c>
      <c r="F153" s="69">
        <v>0</v>
      </c>
      <c r="G153" s="69">
        <v>0</v>
      </c>
      <c r="H153" s="69">
        <v>0</v>
      </c>
      <c r="I153" s="69">
        <v>0</v>
      </c>
    </row>
    <row r="154" spans="1:9">
      <c r="A154" s="219"/>
      <c r="B154" s="69" t="s">
        <v>1788</v>
      </c>
      <c r="C154" s="69" t="s">
        <v>73</v>
      </c>
      <c r="D154" s="69" t="s">
        <v>20</v>
      </c>
      <c r="E154" s="69" t="s">
        <v>76</v>
      </c>
      <c r="F154" s="69">
        <v>0</v>
      </c>
      <c r="G154" s="69">
        <v>0</v>
      </c>
      <c r="H154" s="69">
        <v>0</v>
      </c>
      <c r="I154" s="69">
        <v>0</v>
      </c>
    </row>
    <row r="155" spans="1:9">
      <c r="A155" s="219"/>
      <c r="B155" s="69" t="s">
        <v>1789</v>
      </c>
      <c r="C155" s="69" t="s">
        <v>73</v>
      </c>
      <c r="D155" s="69" t="s">
        <v>23</v>
      </c>
      <c r="E155" s="69" t="s">
        <v>79</v>
      </c>
      <c r="F155" s="69">
        <v>0</v>
      </c>
      <c r="G155" s="69">
        <v>0</v>
      </c>
      <c r="H155" s="69">
        <v>0</v>
      </c>
      <c r="I155" s="69">
        <v>0</v>
      </c>
    </row>
    <row r="156" spans="1:9">
      <c r="A156" s="219"/>
      <c r="B156" s="69" t="s">
        <v>1790</v>
      </c>
      <c r="C156" s="69" t="s">
        <v>73</v>
      </c>
      <c r="D156" s="69" t="s">
        <v>18</v>
      </c>
      <c r="E156" s="69" t="s">
        <v>63</v>
      </c>
      <c r="F156" s="69">
        <v>0</v>
      </c>
      <c r="G156" s="69">
        <v>0</v>
      </c>
      <c r="H156" s="69">
        <v>0</v>
      </c>
      <c r="I156" s="69">
        <v>0</v>
      </c>
    </row>
    <row r="157" spans="1:9">
      <c r="A157" s="219"/>
      <c r="B157" s="69" t="s">
        <v>1791</v>
      </c>
      <c r="C157" s="69" t="s">
        <v>73</v>
      </c>
      <c r="D157" s="69" t="s">
        <v>18</v>
      </c>
      <c r="E157" s="69" t="s">
        <v>63</v>
      </c>
      <c r="F157" s="69">
        <v>0</v>
      </c>
      <c r="G157" s="69">
        <v>0</v>
      </c>
      <c r="H157" s="69">
        <v>0</v>
      </c>
      <c r="I157" s="69">
        <v>0</v>
      </c>
    </row>
    <row r="158" spans="1:9">
      <c r="A158" s="219"/>
      <c r="B158" s="69" t="s">
        <v>1792</v>
      </c>
      <c r="C158" s="69" t="s">
        <v>73</v>
      </c>
      <c r="D158" s="69" t="s">
        <v>18</v>
      </c>
      <c r="E158" s="69" t="s">
        <v>63</v>
      </c>
      <c r="F158" s="69">
        <v>0</v>
      </c>
      <c r="G158" s="69">
        <v>0</v>
      </c>
      <c r="H158" s="69">
        <v>0</v>
      </c>
      <c r="I158" s="69">
        <v>0</v>
      </c>
    </row>
    <row r="159" spans="1:9">
      <c r="A159" s="219"/>
      <c r="B159" s="69" t="s">
        <v>1793</v>
      </c>
      <c r="C159" s="69" t="s">
        <v>73</v>
      </c>
      <c r="D159" s="69" t="s">
        <v>18</v>
      </c>
      <c r="E159" s="69" t="s">
        <v>63</v>
      </c>
      <c r="F159" s="69">
        <v>0</v>
      </c>
      <c r="G159" s="69">
        <v>0</v>
      </c>
      <c r="H159" s="69">
        <v>0</v>
      </c>
      <c r="I159" s="69">
        <v>0</v>
      </c>
    </row>
    <row r="160" spans="1:9">
      <c r="A160" s="219"/>
      <c r="B160" s="69" t="s">
        <v>1794</v>
      </c>
      <c r="C160" s="69" t="s">
        <v>73</v>
      </c>
      <c r="D160" s="69" t="s">
        <v>18</v>
      </c>
      <c r="E160" s="69" t="s">
        <v>63</v>
      </c>
      <c r="F160" s="69">
        <v>0</v>
      </c>
      <c r="G160" s="69">
        <v>0</v>
      </c>
      <c r="H160" s="69">
        <v>0</v>
      </c>
      <c r="I160" s="69">
        <v>0</v>
      </c>
    </row>
    <row r="161" spans="1:9">
      <c r="A161" s="219"/>
      <c r="B161" s="69" t="s">
        <v>1795</v>
      </c>
      <c r="C161" s="69" t="s">
        <v>73</v>
      </c>
      <c r="D161" s="69" t="s">
        <v>20</v>
      </c>
      <c r="E161" s="69" t="s">
        <v>76</v>
      </c>
      <c r="F161" s="69">
        <v>0</v>
      </c>
      <c r="G161" s="69">
        <v>0</v>
      </c>
      <c r="H161" s="69">
        <v>0</v>
      </c>
      <c r="I161" s="69">
        <v>0</v>
      </c>
    </row>
    <row r="162" spans="1:9">
      <c r="A162" s="219"/>
      <c r="B162" s="69" t="s">
        <v>1796</v>
      </c>
      <c r="C162" s="69" t="s">
        <v>73</v>
      </c>
      <c r="D162" s="69" t="s">
        <v>23</v>
      </c>
      <c r="E162" s="69" t="s">
        <v>79</v>
      </c>
      <c r="F162" s="69">
        <v>0</v>
      </c>
      <c r="G162" s="69">
        <v>0</v>
      </c>
      <c r="H162" s="69">
        <v>0</v>
      </c>
      <c r="I162" s="69">
        <v>0</v>
      </c>
    </row>
    <row r="163" spans="1:9">
      <c r="A163" s="219"/>
      <c r="B163" s="69" t="s">
        <v>1797</v>
      </c>
      <c r="C163" s="69" t="s">
        <v>73</v>
      </c>
      <c r="D163" s="69" t="s">
        <v>23</v>
      </c>
      <c r="E163" s="69" t="s">
        <v>79</v>
      </c>
      <c r="F163" s="69">
        <v>0</v>
      </c>
      <c r="G163" s="69">
        <v>0</v>
      </c>
      <c r="H163" s="69">
        <v>0</v>
      </c>
      <c r="I163" s="69">
        <v>0</v>
      </c>
    </row>
    <row r="164" spans="1:9">
      <c r="A164" s="219"/>
      <c r="B164" s="69" t="s">
        <v>1798</v>
      </c>
      <c r="C164" s="69" t="s">
        <v>73</v>
      </c>
      <c r="D164" s="69" t="s">
        <v>18</v>
      </c>
      <c r="E164" s="69" t="s">
        <v>63</v>
      </c>
      <c r="F164" s="69">
        <v>0</v>
      </c>
      <c r="G164" s="69">
        <v>0</v>
      </c>
      <c r="H164" s="69">
        <v>0</v>
      </c>
      <c r="I164" s="69">
        <v>0</v>
      </c>
    </row>
    <row r="165" spans="1:9">
      <c r="A165" s="219"/>
      <c r="B165" s="69" t="s">
        <v>1799</v>
      </c>
      <c r="C165" s="69" t="s">
        <v>73</v>
      </c>
      <c r="D165" s="69" t="s">
        <v>18</v>
      </c>
      <c r="E165" s="69" t="s">
        <v>63</v>
      </c>
      <c r="F165" s="69">
        <v>0</v>
      </c>
      <c r="G165" s="69">
        <v>0</v>
      </c>
      <c r="H165" s="69">
        <v>0</v>
      </c>
      <c r="I165" s="69">
        <v>0</v>
      </c>
    </row>
    <row r="166" spans="1:9">
      <c r="A166" s="219"/>
      <c r="B166" s="69" t="s">
        <v>680</v>
      </c>
      <c r="C166" s="69" t="s">
        <v>73</v>
      </c>
      <c r="D166" s="69" t="s">
        <v>160</v>
      </c>
      <c r="E166" s="69" t="s">
        <v>81</v>
      </c>
      <c r="F166" s="69">
        <v>0</v>
      </c>
      <c r="G166" s="69">
        <v>0</v>
      </c>
      <c r="H166" s="69">
        <v>0</v>
      </c>
      <c r="I166" s="69">
        <v>0</v>
      </c>
    </row>
    <row r="167" spans="1:9">
      <c r="A167" s="219"/>
      <c r="B167" s="69" t="s">
        <v>1800</v>
      </c>
      <c r="C167" s="69" t="s">
        <v>73</v>
      </c>
      <c r="D167" s="69" t="s">
        <v>1677</v>
      </c>
      <c r="E167" s="69" t="s">
        <v>63</v>
      </c>
      <c r="F167" s="69">
        <v>0</v>
      </c>
      <c r="G167" s="69">
        <v>0</v>
      </c>
      <c r="H167" s="69">
        <v>0</v>
      </c>
      <c r="I167" s="69">
        <v>0</v>
      </c>
    </row>
    <row r="168" spans="1:9">
      <c r="A168" s="219"/>
      <c r="B168" s="69" t="s">
        <v>1801</v>
      </c>
      <c r="C168" s="69" t="s">
        <v>73</v>
      </c>
      <c r="D168" s="69" t="s">
        <v>18</v>
      </c>
      <c r="E168" s="69" t="s">
        <v>63</v>
      </c>
      <c r="F168" s="69">
        <v>0</v>
      </c>
      <c r="G168" s="69">
        <v>0</v>
      </c>
      <c r="H168" s="69">
        <v>0</v>
      </c>
      <c r="I168" s="69">
        <v>0</v>
      </c>
    </row>
    <row r="169" spans="1:9">
      <c r="A169" s="219"/>
      <c r="B169" s="69" t="s">
        <v>681</v>
      </c>
      <c r="C169" s="69" t="s">
        <v>73</v>
      </c>
      <c r="D169" s="69" t="s">
        <v>18</v>
      </c>
      <c r="E169" s="69" t="s">
        <v>63</v>
      </c>
      <c r="F169" s="69">
        <v>1812.4</v>
      </c>
      <c r="G169" s="69">
        <v>0</v>
      </c>
      <c r="H169" s="69">
        <v>1812.4</v>
      </c>
      <c r="I169" s="69">
        <v>0</v>
      </c>
    </row>
    <row r="170" spans="1:9">
      <c r="A170" s="219"/>
      <c r="B170" s="69" t="s">
        <v>682</v>
      </c>
      <c r="C170" s="69" t="s">
        <v>73</v>
      </c>
      <c r="D170" s="69" t="s">
        <v>23</v>
      </c>
      <c r="E170" s="69" t="s">
        <v>79</v>
      </c>
      <c r="F170" s="69">
        <v>1365.3</v>
      </c>
      <c r="G170" s="69">
        <v>0</v>
      </c>
      <c r="H170" s="69">
        <v>1365.3</v>
      </c>
      <c r="I170" s="69">
        <v>0</v>
      </c>
    </row>
    <row r="171" spans="1:9">
      <c r="A171" s="219"/>
      <c r="B171" s="69" t="s">
        <v>683</v>
      </c>
      <c r="C171" s="69" t="s">
        <v>73</v>
      </c>
      <c r="D171" s="69" t="s">
        <v>23</v>
      </c>
      <c r="E171" s="69" t="s">
        <v>79</v>
      </c>
      <c r="F171" s="69">
        <v>868.6</v>
      </c>
      <c r="G171" s="69">
        <v>0</v>
      </c>
      <c r="H171" s="69">
        <v>868.6</v>
      </c>
      <c r="I171" s="69">
        <v>0</v>
      </c>
    </row>
    <row r="172" spans="1:9">
      <c r="A172" s="219"/>
      <c r="B172" s="69" t="s">
        <v>684</v>
      </c>
      <c r="C172" s="69" t="s">
        <v>73</v>
      </c>
      <c r="D172" s="69" t="s">
        <v>23</v>
      </c>
      <c r="E172" s="69" t="s">
        <v>79</v>
      </c>
      <c r="F172" s="69">
        <v>917.7</v>
      </c>
      <c r="G172" s="69">
        <v>0</v>
      </c>
      <c r="H172" s="69">
        <v>917.7</v>
      </c>
      <c r="I172" s="69">
        <v>0</v>
      </c>
    </row>
    <row r="173" spans="1:9">
      <c r="A173" s="219"/>
      <c r="B173" s="69" t="s">
        <v>685</v>
      </c>
      <c r="C173" s="69" t="s">
        <v>73</v>
      </c>
      <c r="D173" s="69" t="s">
        <v>23</v>
      </c>
      <c r="E173" s="69" t="s">
        <v>79</v>
      </c>
      <c r="F173" s="69">
        <v>2117.5</v>
      </c>
      <c r="G173" s="69">
        <v>0</v>
      </c>
      <c r="H173" s="69">
        <v>2117.5</v>
      </c>
      <c r="I173" s="69">
        <v>0</v>
      </c>
    </row>
    <row r="174" spans="1:9">
      <c r="A174" s="219"/>
      <c r="B174" s="69" t="s">
        <v>686</v>
      </c>
      <c r="C174" s="69" t="s">
        <v>73</v>
      </c>
      <c r="D174" s="69" t="s">
        <v>23</v>
      </c>
      <c r="E174" s="69" t="s">
        <v>79</v>
      </c>
      <c r="F174" s="69">
        <v>1038.5999999999999</v>
      </c>
      <c r="G174" s="69">
        <v>0</v>
      </c>
      <c r="H174" s="69">
        <v>1038.5999999999999</v>
      </c>
      <c r="I174" s="69">
        <v>0</v>
      </c>
    </row>
    <row r="175" spans="1:9">
      <c r="A175" s="219"/>
      <c r="B175" s="69" t="s">
        <v>687</v>
      </c>
      <c r="C175" s="69" t="s">
        <v>73</v>
      </c>
      <c r="D175" s="69" t="s">
        <v>18</v>
      </c>
      <c r="E175" s="69" t="s">
        <v>63</v>
      </c>
      <c r="F175" s="69">
        <v>2522</v>
      </c>
      <c r="G175" s="69">
        <v>0</v>
      </c>
      <c r="H175" s="69">
        <v>2522</v>
      </c>
      <c r="I175" s="69">
        <v>0</v>
      </c>
    </row>
    <row r="176" spans="1:9">
      <c r="A176" s="219"/>
      <c r="B176" s="69" t="s">
        <v>688</v>
      </c>
      <c r="C176" s="69" t="s">
        <v>73</v>
      </c>
      <c r="D176" s="69" t="s">
        <v>23</v>
      </c>
      <c r="E176" s="69" t="s">
        <v>79</v>
      </c>
      <c r="F176" s="69">
        <v>396.2</v>
      </c>
      <c r="G176" s="69">
        <v>0</v>
      </c>
      <c r="H176" s="69">
        <v>396.2</v>
      </c>
      <c r="I176" s="69">
        <v>0</v>
      </c>
    </row>
    <row r="177" spans="1:9">
      <c r="A177" s="219"/>
      <c r="B177" s="69" t="s">
        <v>689</v>
      </c>
      <c r="C177" s="69" t="s">
        <v>73</v>
      </c>
      <c r="D177" s="69" t="s">
        <v>18</v>
      </c>
      <c r="E177" s="69" t="s">
        <v>63</v>
      </c>
      <c r="F177" s="69">
        <v>1405</v>
      </c>
      <c r="G177" s="69">
        <v>0</v>
      </c>
      <c r="H177" s="69">
        <v>1405</v>
      </c>
      <c r="I177" s="69">
        <v>0</v>
      </c>
    </row>
    <row r="178" spans="1:9">
      <c r="A178" s="219"/>
      <c r="B178" s="69" t="s">
        <v>690</v>
      </c>
      <c r="C178" s="69" t="s">
        <v>73</v>
      </c>
      <c r="D178" s="69" t="s">
        <v>20</v>
      </c>
      <c r="E178" s="69" t="s">
        <v>76</v>
      </c>
      <c r="F178" s="69">
        <v>2590</v>
      </c>
      <c r="G178" s="69">
        <v>0</v>
      </c>
      <c r="H178" s="69">
        <v>2590</v>
      </c>
      <c r="I178" s="69">
        <v>0</v>
      </c>
    </row>
    <row r="179" spans="1:9">
      <c r="A179" s="219"/>
      <c r="B179" s="69" t="s">
        <v>691</v>
      </c>
      <c r="C179" s="69" t="s">
        <v>73</v>
      </c>
      <c r="D179" s="69" t="s">
        <v>23</v>
      </c>
      <c r="E179" s="69" t="s">
        <v>79</v>
      </c>
      <c r="F179" s="69">
        <v>941.1</v>
      </c>
      <c r="G179" s="69">
        <v>0</v>
      </c>
      <c r="H179" s="69">
        <v>941.1</v>
      </c>
      <c r="I179" s="69">
        <v>0</v>
      </c>
    </row>
    <row r="180" spans="1:9">
      <c r="A180" s="219"/>
      <c r="B180" s="69" t="s">
        <v>692</v>
      </c>
      <c r="C180" s="69" t="s">
        <v>73</v>
      </c>
      <c r="D180" s="69" t="s">
        <v>20</v>
      </c>
      <c r="E180" s="69" t="s">
        <v>76</v>
      </c>
      <c r="F180" s="69">
        <v>1869</v>
      </c>
      <c r="G180" s="69">
        <v>0</v>
      </c>
      <c r="H180" s="69">
        <v>1869</v>
      </c>
      <c r="I180" s="69">
        <v>0</v>
      </c>
    </row>
    <row r="181" spans="1:9">
      <c r="A181" s="219"/>
      <c r="B181" s="69" t="s">
        <v>693</v>
      </c>
      <c r="C181" s="69" t="s">
        <v>73</v>
      </c>
      <c r="D181" s="69" t="s">
        <v>18</v>
      </c>
      <c r="E181" s="69" t="s">
        <v>63</v>
      </c>
      <c r="F181" s="69">
        <v>500</v>
      </c>
      <c r="G181" s="69">
        <v>0</v>
      </c>
      <c r="H181" s="69">
        <v>500</v>
      </c>
      <c r="I181" s="69">
        <v>0</v>
      </c>
    </row>
    <row r="182" spans="1:9">
      <c r="A182" s="219"/>
      <c r="B182" s="69" t="s">
        <v>694</v>
      </c>
      <c r="C182" s="69" t="s">
        <v>73</v>
      </c>
      <c r="D182" s="69" t="s">
        <v>23</v>
      </c>
      <c r="E182" s="69" t="s">
        <v>79</v>
      </c>
      <c r="F182" s="69">
        <v>106.3</v>
      </c>
      <c r="G182" s="69">
        <v>0</v>
      </c>
      <c r="H182" s="69">
        <v>106.3</v>
      </c>
      <c r="I182" s="69">
        <v>0</v>
      </c>
    </row>
    <row r="183" spans="1:9">
      <c r="A183" s="219"/>
      <c r="B183" s="69" t="s">
        <v>695</v>
      </c>
      <c r="C183" s="69" t="s">
        <v>73</v>
      </c>
      <c r="D183" s="69" t="s">
        <v>23</v>
      </c>
      <c r="E183" s="69" t="s">
        <v>79</v>
      </c>
      <c r="F183" s="69">
        <v>714.1</v>
      </c>
      <c r="G183" s="69">
        <v>0</v>
      </c>
      <c r="H183" s="69">
        <v>714.1</v>
      </c>
      <c r="I183" s="69">
        <v>0</v>
      </c>
    </row>
    <row r="184" spans="1:9">
      <c r="A184" s="219"/>
      <c r="B184" s="69" t="s">
        <v>696</v>
      </c>
      <c r="C184" s="69" t="s">
        <v>73</v>
      </c>
      <c r="D184" s="69" t="s">
        <v>20</v>
      </c>
      <c r="E184" s="69" t="s">
        <v>76</v>
      </c>
      <c r="F184" s="69">
        <v>550</v>
      </c>
      <c r="G184" s="69">
        <v>0</v>
      </c>
      <c r="H184" s="69">
        <v>550</v>
      </c>
      <c r="I184" s="69">
        <v>0</v>
      </c>
    </row>
    <row r="185" spans="1:9">
      <c r="A185" s="219"/>
      <c r="B185" s="69" t="s">
        <v>697</v>
      </c>
      <c r="C185" s="69" t="s">
        <v>73</v>
      </c>
      <c r="D185" s="69" t="s">
        <v>18</v>
      </c>
      <c r="E185" s="69" t="s">
        <v>63</v>
      </c>
      <c r="F185" s="69">
        <v>1299</v>
      </c>
      <c r="G185" s="69">
        <v>0</v>
      </c>
      <c r="H185" s="69">
        <v>1299</v>
      </c>
      <c r="I185" s="69">
        <v>0</v>
      </c>
    </row>
    <row r="186" spans="1:9">
      <c r="A186" s="219"/>
      <c r="B186" s="69" t="s">
        <v>698</v>
      </c>
      <c r="C186" s="69" t="s">
        <v>73</v>
      </c>
      <c r="D186" s="69" t="s">
        <v>23</v>
      </c>
      <c r="E186" s="69" t="s">
        <v>79</v>
      </c>
      <c r="F186" s="69">
        <v>376.6</v>
      </c>
      <c r="G186" s="69">
        <v>0</v>
      </c>
      <c r="H186" s="69">
        <v>376.6</v>
      </c>
      <c r="I186" s="69">
        <v>0</v>
      </c>
    </row>
    <row r="187" spans="1:9">
      <c r="A187" s="219"/>
      <c r="B187" s="69" t="s">
        <v>699</v>
      </c>
      <c r="C187" s="69" t="s">
        <v>73</v>
      </c>
      <c r="D187" s="69" t="s">
        <v>18</v>
      </c>
      <c r="E187" s="69" t="s">
        <v>63</v>
      </c>
      <c r="F187" s="69">
        <v>608</v>
      </c>
      <c r="G187" s="69">
        <v>0</v>
      </c>
      <c r="H187" s="69">
        <v>608</v>
      </c>
      <c r="I187" s="69">
        <v>0</v>
      </c>
    </row>
    <row r="188" spans="1:9">
      <c r="A188" s="219"/>
      <c r="B188" s="69" t="s">
        <v>700</v>
      </c>
      <c r="C188" s="69" t="s">
        <v>73</v>
      </c>
      <c r="D188" s="69" t="s">
        <v>23</v>
      </c>
      <c r="E188" s="69" t="s">
        <v>79</v>
      </c>
      <c r="F188" s="69">
        <v>505</v>
      </c>
      <c r="G188" s="69">
        <v>0</v>
      </c>
      <c r="H188" s="69">
        <v>505</v>
      </c>
      <c r="I188" s="69">
        <v>0</v>
      </c>
    </row>
    <row r="189" spans="1:9">
      <c r="A189" s="219"/>
      <c r="B189" s="69" t="s">
        <v>701</v>
      </c>
      <c r="C189" s="69" t="s">
        <v>73</v>
      </c>
      <c r="D189" s="69" t="s">
        <v>23</v>
      </c>
      <c r="E189" s="69" t="s">
        <v>79</v>
      </c>
      <c r="F189" s="69">
        <v>1247.2</v>
      </c>
      <c r="G189" s="69">
        <v>0</v>
      </c>
      <c r="H189" s="69">
        <v>0</v>
      </c>
      <c r="I189" s="69">
        <v>1247.2</v>
      </c>
    </row>
    <row r="190" spans="1:9">
      <c r="A190" s="219"/>
      <c r="B190" s="69" t="s">
        <v>702</v>
      </c>
      <c r="C190" s="69" t="s">
        <v>73</v>
      </c>
      <c r="D190" s="69" t="s">
        <v>23</v>
      </c>
      <c r="E190" s="69" t="s">
        <v>79</v>
      </c>
      <c r="F190" s="69">
        <v>852.8</v>
      </c>
      <c r="G190" s="69">
        <v>0</v>
      </c>
      <c r="H190" s="69">
        <v>300</v>
      </c>
      <c r="I190" s="69">
        <v>552.79999999999995</v>
      </c>
    </row>
    <row r="191" spans="1:9">
      <c r="A191" s="219"/>
      <c r="B191" s="69" t="s">
        <v>703</v>
      </c>
      <c r="C191" s="69" t="s">
        <v>73</v>
      </c>
      <c r="D191" s="69" t="s">
        <v>18</v>
      </c>
      <c r="E191" s="69" t="s">
        <v>63</v>
      </c>
      <c r="F191" s="69">
        <v>573</v>
      </c>
      <c r="G191" s="69">
        <v>0</v>
      </c>
      <c r="H191" s="69">
        <v>573</v>
      </c>
      <c r="I191" s="69">
        <v>0</v>
      </c>
    </row>
    <row r="192" spans="1:9">
      <c r="A192" s="219"/>
      <c r="B192" s="69" t="s">
        <v>704</v>
      </c>
      <c r="C192" s="69" t="s">
        <v>73</v>
      </c>
      <c r="D192" s="69" t="s">
        <v>20</v>
      </c>
      <c r="E192" s="69" t="s">
        <v>76</v>
      </c>
      <c r="F192" s="69">
        <v>726</v>
      </c>
      <c r="G192" s="69">
        <v>0</v>
      </c>
      <c r="H192" s="69">
        <v>726</v>
      </c>
      <c r="I192" s="69">
        <v>0</v>
      </c>
    </row>
    <row r="193" spans="1:9">
      <c r="A193" s="219"/>
      <c r="B193" s="69" t="s">
        <v>705</v>
      </c>
      <c r="C193" s="69" t="s">
        <v>73</v>
      </c>
      <c r="D193" s="69" t="s">
        <v>23</v>
      </c>
      <c r="E193" s="69" t="s">
        <v>79</v>
      </c>
      <c r="F193" s="69">
        <v>99.3</v>
      </c>
      <c r="G193" s="69">
        <v>0</v>
      </c>
      <c r="H193" s="69">
        <v>0</v>
      </c>
      <c r="I193" s="69">
        <v>99.3</v>
      </c>
    </row>
    <row r="194" spans="1:9">
      <c r="A194" s="219"/>
      <c r="B194" s="69" t="s">
        <v>706</v>
      </c>
      <c r="C194" s="69" t="s">
        <v>73</v>
      </c>
      <c r="D194" s="69" t="s">
        <v>23</v>
      </c>
      <c r="E194" s="69" t="s">
        <v>79</v>
      </c>
      <c r="F194" s="69">
        <v>1470.7</v>
      </c>
      <c r="G194" s="69">
        <v>0</v>
      </c>
      <c r="H194" s="69">
        <v>0</v>
      </c>
      <c r="I194" s="69">
        <v>1470.7</v>
      </c>
    </row>
    <row r="195" spans="1:9">
      <c r="A195" s="219"/>
      <c r="B195" s="69" t="s">
        <v>707</v>
      </c>
      <c r="C195" s="69" t="s">
        <v>73</v>
      </c>
      <c r="D195" s="69" t="s">
        <v>18</v>
      </c>
      <c r="E195" s="69" t="s">
        <v>63</v>
      </c>
      <c r="F195" s="69">
        <v>1038</v>
      </c>
      <c r="G195" s="69">
        <v>0</v>
      </c>
      <c r="H195" s="69">
        <v>1038</v>
      </c>
      <c r="I195" s="69">
        <v>0</v>
      </c>
    </row>
    <row r="196" spans="1:9">
      <c r="A196" s="219"/>
      <c r="B196" s="69" t="s">
        <v>708</v>
      </c>
      <c r="C196" s="69" t="s">
        <v>73</v>
      </c>
      <c r="D196" s="69" t="s">
        <v>20</v>
      </c>
      <c r="E196" s="69" t="s">
        <v>76</v>
      </c>
      <c r="F196" s="69">
        <v>542</v>
      </c>
      <c r="G196" s="69">
        <v>0</v>
      </c>
      <c r="H196" s="69">
        <v>542</v>
      </c>
      <c r="I196" s="69">
        <v>0</v>
      </c>
    </row>
    <row r="197" spans="1:9">
      <c r="A197" s="219"/>
      <c r="B197" s="69" t="s">
        <v>709</v>
      </c>
      <c r="C197" s="69" t="s">
        <v>73</v>
      </c>
      <c r="D197" s="69" t="s">
        <v>18</v>
      </c>
      <c r="E197" s="69" t="s">
        <v>63</v>
      </c>
      <c r="F197" s="69">
        <v>1455</v>
      </c>
      <c r="G197" s="69">
        <v>0</v>
      </c>
      <c r="H197" s="69">
        <v>1455</v>
      </c>
      <c r="I197" s="69">
        <v>0</v>
      </c>
    </row>
    <row r="198" spans="1:9">
      <c r="A198" s="219"/>
      <c r="B198" s="69" t="s">
        <v>710</v>
      </c>
      <c r="C198" s="69" t="s">
        <v>73</v>
      </c>
      <c r="D198" s="69" t="s">
        <v>18</v>
      </c>
      <c r="E198" s="69" t="s">
        <v>63</v>
      </c>
      <c r="F198" s="69">
        <v>1988</v>
      </c>
      <c r="G198" s="69">
        <v>0</v>
      </c>
      <c r="H198" s="69">
        <v>1988</v>
      </c>
      <c r="I198" s="69">
        <v>0</v>
      </c>
    </row>
    <row r="199" spans="1:9">
      <c r="A199" s="219"/>
      <c r="B199" s="69" t="s">
        <v>711</v>
      </c>
      <c r="C199" s="69" t="s">
        <v>73</v>
      </c>
      <c r="D199" s="69" t="s">
        <v>18</v>
      </c>
      <c r="E199" s="69" t="s">
        <v>63</v>
      </c>
      <c r="F199" s="69">
        <v>1850</v>
      </c>
      <c r="G199" s="69">
        <v>0</v>
      </c>
      <c r="H199" s="69">
        <v>1850</v>
      </c>
      <c r="I199" s="69">
        <v>0</v>
      </c>
    </row>
    <row r="200" spans="1:9">
      <c r="A200" s="219"/>
      <c r="B200" s="69" t="s">
        <v>712</v>
      </c>
      <c r="C200" s="69" t="s">
        <v>73</v>
      </c>
      <c r="D200" s="69" t="s">
        <v>23</v>
      </c>
      <c r="E200" s="69" t="s">
        <v>79</v>
      </c>
      <c r="F200" s="69">
        <v>243.2</v>
      </c>
      <c r="G200" s="69">
        <v>0</v>
      </c>
      <c r="H200" s="69">
        <v>0</v>
      </c>
      <c r="I200" s="69">
        <v>243.2</v>
      </c>
    </row>
    <row r="201" spans="1:9">
      <c r="A201" s="219"/>
      <c r="B201" s="69" t="s">
        <v>713</v>
      </c>
      <c r="C201" s="69" t="s">
        <v>73</v>
      </c>
      <c r="D201" s="69" t="s">
        <v>18</v>
      </c>
      <c r="E201" s="69" t="s">
        <v>63</v>
      </c>
      <c r="F201" s="69">
        <v>2557</v>
      </c>
      <c r="G201" s="69">
        <v>0</v>
      </c>
      <c r="H201" s="69">
        <v>2557</v>
      </c>
      <c r="I201" s="69">
        <v>0</v>
      </c>
    </row>
    <row r="202" spans="1:9">
      <c r="A202" s="219"/>
      <c r="B202" s="69" t="s">
        <v>714</v>
      </c>
      <c r="C202" s="69" t="s">
        <v>73</v>
      </c>
      <c r="D202" s="69" t="s">
        <v>18</v>
      </c>
      <c r="E202" s="69" t="s">
        <v>63</v>
      </c>
      <c r="F202" s="69">
        <v>1209</v>
      </c>
      <c r="G202" s="69">
        <v>0</v>
      </c>
      <c r="H202" s="69">
        <v>1209</v>
      </c>
      <c r="I202" s="69">
        <v>0</v>
      </c>
    </row>
    <row r="203" spans="1:9">
      <c r="A203" s="219"/>
      <c r="B203" s="69" t="s">
        <v>715</v>
      </c>
      <c r="C203" s="69" t="s">
        <v>73</v>
      </c>
      <c r="D203" s="69" t="s">
        <v>18</v>
      </c>
      <c r="E203" s="69" t="s">
        <v>63</v>
      </c>
      <c r="F203" s="69">
        <v>554</v>
      </c>
      <c r="G203" s="69">
        <v>0</v>
      </c>
      <c r="H203" s="69">
        <v>554</v>
      </c>
      <c r="I203" s="69">
        <v>0</v>
      </c>
    </row>
    <row r="204" spans="1:9">
      <c r="A204" s="219"/>
      <c r="B204" s="69" t="s">
        <v>716</v>
      </c>
      <c r="C204" s="69" t="s">
        <v>73</v>
      </c>
      <c r="D204" s="69" t="s">
        <v>18</v>
      </c>
      <c r="E204" s="69" t="s">
        <v>63</v>
      </c>
      <c r="F204" s="69">
        <v>374</v>
      </c>
      <c r="G204" s="69">
        <v>0</v>
      </c>
      <c r="H204" s="69">
        <v>374</v>
      </c>
      <c r="I204" s="69">
        <v>0</v>
      </c>
    </row>
    <row r="205" spans="1:9">
      <c r="A205" s="219"/>
      <c r="B205" s="69" t="s">
        <v>717</v>
      </c>
      <c r="C205" s="69" t="s">
        <v>73</v>
      </c>
      <c r="D205" s="69" t="s">
        <v>18</v>
      </c>
      <c r="E205" s="69" t="s">
        <v>63</v>
      </c>
      <c r="F205" s="69">
        <v>379</v>
      </c>
      <c r="G205" s="69">
        <v>0</v>
      </c>
      <c r="H205" s="69">
        <v>379</v>
      </c>
      <c r="I205" s="69">
        <v>0</v>
      </c>
    </row>
    <row r="206" spans="1:9">
      <c r="A206" s="219"/>
      <c r="B206" s="69" t="s">
        <v>718</v>
      </c>
      <c r="C206" s="69" t="s">
        <v>73</v>
      </c>
      <c r="D206" s="69" t="s">
        <v>18</v>
      </c>
      <c r="E206" s="69" t="s">
        <v>63</v>
      </c>
      <c r="F206" s="69">
        <v>266</v>
      </c>
      <c r="G206" s="69">
        <v>0</v>
      </c>
      <c r="H206" s="69">
        <v>266</v>
      </c>
      <c r="I206" s="69">
        <v>0</v>
      </c>
    </row>
    <row r="207" spans="1:9">
      <c r="A207" s="219"/>
      <c r="B207" s="69" t="s">
        <v>719</v>
      </c>
      <c r="C207" s="69" t="s">
        <v>73</v>
      </c>
      <c r="D207" s="69" t="s">
        <v>18</v>
      </c>
      <c r="E207" s="69" t="s">
        <v>63</v>
      </c>
      <c r="F207" s="69">
        <v>936</v>
      </c>
      <c r="G207" s="69">
        <v>0</v>
      </c>
      <c r="H207" s="69">
        <v>936</v>
      </c>
      <c r="I207" s="69">
        <v>0</v>
      </c>
    </row>
    <row r="208" spans="1:9">
      <c r="A208" s="219"/>
      <c r="B208" s="69" t="s">
        <v>720</v>
      </c>
      <c r="C208" s="69" t="s">
        <v>73</v>
      </c>
      <c r="D208" s="69" t="s">
        <v>18</v>
      </c>
      <c r="E208" s="69" t="s">
        <v>63</v>
      </c>
      <c r="F208" s="69">
        <v>464</v>
      </c>
      <c r="G208" s="69">
        <v>0</v>
      </c>
      <c r="H208" s="69">
        <v>464</v>
      </c>
      <c r="I208" s="69">
        <v>0</v>
      </c>
    </row>
    <row r="209" spans="1:9">
      <c r="A209" s="219"/>
      <c r="B209" s="69" t="s">
        <v>721</v>
      </c>
      <c r="C209" s="69" t="s">
        <v>73</v>
      </c>
      <c r="D209" s="69" t="s">
        <v>18</v>
      </c>
      <c r="E209" s="69" t="s">
        <v>63</v>
      </c>
      <c r="F209" s="69">
        <v>760</v>
      </c>
      <c r="G209" s="69">
        <v>0</v>
      </c>
      <c r="H209" s="69">
        <v>760</v>
      </c>
      <c r="I209" s="69">
        <v>0</v>
      </c>
    </row>
    <row r="210" spans="1:9">
      <c r="A210" s="219"/>
      <c r="B210" s="69" t="s">
        <v>722</v>
      </c>
      <c r="C210" s="69" t="s">
        <v>73</v>
      </c>
      <c r="D210" s="69" t="s">
        <v>20</v>
      </c>
      <c r="E210" s="69" t="s">
        <v>76</v>
      </c>
      <c r="F210" s="69">
        <v>1112</v>
      </c>
      <c r="G210" s="69">
        <v>0</v>
      </c>
      <c r="H210" s="69">
        <v>1112</v>
      </c>
      <c r="I210" s="69">
        <v>0</v>
      </c>
    </row>
    <row r="211" spans="1:9">
      <c r="A211" s="219"/>
      <c r="B211" s="69" t="s">
        <v>723</v>
      </c>
      <c r="C211" s="69" t="s">
        <v>73</v>
      </c>
      <c r="D211" s="69" t="s">
        <v>23</v>
      </c>
      <c r="E211" s="69" t="s">
        <v>79</v>
      </c>
      <c r="F211" s="69">
        <v>180.4</v>
      </c>
      <c r="G211" s="69">
        <v>0</v>
      </c>
      <c r="H211" s="69">
        <v>180.4</v>
      </c>
      <c r="I211" s="69">
        <v>0</v>
      </c>
    </row>
    <row r="212" spans="1:9">
      <c r="A212" s="219"/>
      <c r="B212" s="69" t="s">
        <v>724</v>
      </c>
      <c r="C212" s="69" t="s">
        <v>73</v>
      </c>
      <c r="D212" s="69" t="s">
        <v>18</v>
      </c>
      <c r="E212" s="69" t="s">
        <v>63</v>
      </c>
      <c r="F212" s="69">
        <v>0</v>
      </c>
      <c r="G212" s="69">
        <v>1380</v>
      </c>
      <c r="H212" s="69">
        <v>1380</v>
      </c>
      <c r="I212" s="69">
        <v>0</v>
      </c>
    </row>
    <row r="213" spans="1:9">
      <c r="A213" s="219"/>
      <c r="B213" s="69" t="s">
        <v>725</v>
      </c>
      <c r="C213" s="69" t="s">
        <v>73</v>
      </c>
      <c r="D213" s="69" t="s">
        <v>18</v>
      </c>
      <c r="E213" s="69" t="s">
        <v>63</v>
      </c>
      <c r="F213" s="69">
        <v>0</v>
      </c>
      <c r="G213" s="69">
        <v>559</v>
      </c>
      <c r="H213" s="69">
        <v>559</v>
      </c>
      <c r="I213" s="69">
        <v>0</v>
      </c>
    </row>
    <row r="214" spans="1:9">
      <c r="A214" s="219"/>
      <c r="B214" s="69" t="s">
        <v>726</v>
      </c>
      <c r="C214" s="69" t="s">
        <v>73</v>
      </c>
      <c r="D214" s="69" t="s">
        <v>20</v>
      </c>
      <c r="E214" s="69" t="s">
        <v>76</v>
      </c>
      <c r="F214" s="69">
        <v>0</v>
      </c>
      <c r="G214" s="69">
        <v>1388</v>
      </c>
      <c r="H214" s="69">
        <v>1388</v>
      </c>
      <c r="I214" s="69">
        <v>0</v>
      </c>
    </row>
    <row r="215" spans="1:9">
      <c r="A215" s="219"/>
      <c r="B215" s="69" t="s">
        <v>727</v>
      </c>
      <c r="C215" s="69" t="s">
        <v>73</v>
      </c>
      <c r="D215" s="69" t="s">
        <v>23</v>
      </c>
      <c r="E215" s="69" t="s">
        <v>79</v>
      </c>
      <c r="F215" s="69">
        <v>0</v>
      </c>
      <c r="G215" s="69">
        <v>41.4</v>
      </c>
      <c r="H215" s="69">
        <v>0</v>
      </c>
      <c r="I215" s="69">
        <v>41.4</v>
      </c>
    </row>
    <row r="216" spans="1:9">
      <c r="A216" s="219"/>
      <c r="B216" s="69" t="s">
        <v>728</v>
      </c>
      <c r="C216" s="69" t="s">
        <v>73</v>
      </c>
      <c r="D216" s="69" t="s">
        <v>631</v>
      </c>
      <c r="E216" s="69" t="s">
        <v>79</v>
      </c>
      <c r="F216" s="69">
        <v>0</v>
      </c>
      <c r="G216" s="69">
        <v>52.7</v>
      </c>
      <c r="H216" s="69">
        <v>0</v>
      </c>
      <c r="I216" s="69">
        <v>52.7</v>
      </c>
    </row>
    <row r="217" spans="1:9">
      <c r="A217" s="219"/>
      <c r="B217" s="69" t="s">
        <v>729</v>
      </c>
      <c r="C217" s="69" t="s">
        <v>73</v>
      </c>
      <c r="D217" s="69" t="s">
        <v>18</v>
      </c>
      <c r="E217" s="69" t="s">
        <v>63</v>
      </c>
      <c r="F217" s="69">
        <v>0</v>
      </c>
      <c r="G217" s="69">
        <v>222</v>
      </c>
      <c r="H217" s="69">
        <v>0</v>
      </c>
      <c r="I217" s="69">
        <v>222</v>
      </c>
    </row>
    <row r="218" spans="1:9">
      <c r="A218" s="219"/>
      <c r="B218" s="69" t="s">
        <v>730</v>
      </c>
      <c r="C218" s="69" t="s">
        <v>73</v>
      </c>
      <c r="D218" s="69" t="s">
        <v>18</v>
      </c>
      <c r="E218" s="69" t="s">
        <v>63</v>
      </c>
      <c r="F218" s="69">
        <v>0</v>
      </c>
      <c r="G218" s="69">
        <v>622</v>
      </c>
      <c r="H218" s="69">
        <v>0</v>
      </c>
      <c r="I218" s="69">
        <v>622</v>
      </c>
    </row>
    <row r="219" spans="1:9">
      <c r="A219" s="219"/>
      <c r="B219" s="69" t="s">
        <v>731</v>
      </c>
      <c r="C219" s="69" t="s">
        <v>73</v>
      </c>
      <c r="D219" s="69" t="s">
        <v>20</v>
      </c>
      <c r="E219" s="69" t="s">
        <v>76</v>
      </c>
      <c r="F219" s="69">
        <v>0</v>
      </c>
      <c r="G219" s="69">
        <v>201</v>
      </c>
      <c r="H219" s="69">
        <v>0</v>
      </c>
      <c r="I219" s="69">
        <v>201</v>
      </c>
    </row>
    <row r="220" spans="1:9">
      <c r="A220" s="219"/>
      <c r="B220" s="69" t="s">
        <v>732</v>
      </c>
      <c r="C220" s="69" t="s">
        <v>73</v>
      </c>
      <c r="D220" s="69" t="s">
        <v>23</v>
      </c>
      <c r="E220" s="69" t="s">
        <v>79</v>
      </c>
      <c r="F220" s="69">
        <v>0</v>
      </c>
      <c r="G220" s="69">
        <v>170</v>
      </c>
      <c r="H220" s="69">
        <v>0</v>
      </c>
      <c r="I220" s="69">
        <v>170</v>
      </c>
    </row>
    <row r="221" spans="1:9">
      <c r="A221" s="219"/>
      <c r="B221" s="69" t="s">
        <v>991</v>
      </c>
      <c r="C221" s="69" t="s">
        <v>73</v>
      </c>
      <c r="D221" s="69" t="s">
        <v>20</v>
      </c>
      <c r="E221" s="69" t="s">
        <v>76</v>
      </c>
      <c r="F221" s="69">
        <v>0</v>
      </c>
      <c r="G221" s="69">
        <v>349</v>
      </c>
      <c r="H221" s="69">
        <v>0</v>
      </c>
      <c r="I221" s="69">
        <v>349</v>
      </c>
    </row>
    <row r="222" spans="1:9">
      <c r="A222" s="219"/>
      <c r="B222" s="69" t="s">
        <v>992</v>
      </c>
      <c r="C222" s="69" t="s">
        <v>73</v>
      </c>
      <c r="D222" s="69" t="s">
        <v>18</v>
      </c>
      <c r="E222" s="69" t="s">
        <v>63</v>
      </c>
      <c r="F222" s="69">
        <v>0</v>
      </c>
      <c r="G222" s="69">
        <v>596</v>
      </c>
      <c r="H222" s="69">
        <v>0</v>
      </c>
      <c r="I222" s="69">
        <v>596</v>
      </c>
    </row>
    <row r="223" spans="1:9">
      <c r="A223" s="219"/>
      <c r="B223" s="69" t="s">
        <v>993</v>
      </c>
      <c r="C223" s="69" t="s">
        <v>73</v>
      </c>
      <c r="D223" s="69" t="s">
        <v>18</v>
      </c>
      <c r="E223" s="69" t="s">
        <v>63</v>
      </c>
      <c r="F223" s="69">
        <v>0</v>
      </c>
      <c r="G223" s="69">
        <v>1850</v>
      </c>
      <c r="H223" s="69">
        <v>0</v>
      </c>
      <c r="I223" s="69">
        <v>1850</v>
      </c>
    </row>
    <row r="224" spans="1:9">
      <c r="A224" s="219"/>
      <c r="B224" s="69" t="s">
        <v>994</v>
      </c>
      <c r="C224" s="69" t="s">
        <v>73</v>
      </c>
      <c r="D224" s="69" t="s">
        <v>23</v>
      </c>
      <c r="E224" s="69" t="s">
        <v>79</v>
      </c>
      <c r="F224" s="69">
        <v>0</v>
      </c>
      <c r="G224" s="69">
        <v>302.3</v>
      </c>
      <c r="H224" s="69">
        <v>0</v>
      </c>
      <c r="I224" s="69">
        <v>302.3</v>
      </c>
    </row>
    <row r="225" spans="1:9">
      <c r="A225" s="219"/>
      <c r="B225" s="69" t="s">
        <v>995</v>
      </c>
      <c r="C225" s="69" t="s">
        <v>73</v>
      </c>
      <c r="D225" s="69" t="s">
        <v>18</v>
      </c>
      <c r="E225" s="69" t="s">
        <v>63</v>
      </c>
      <c r="F225" s="69">
        <v>0</v>
      </c>
      <c r="G225" s="69">
        <v>1239.5</v>
      </c>
      <c r="H225" s="69">
        <v>0</v>
      </c>
      <c r="I225" s="69">
        <v>1239.5</v>
      </c>
    </row>
    <row r="226" spans="1:9">
      <c r="A226" s="219"/>
      <c r="B226" s="69" t="s">
        <v>996</v>
      </c>
      <c r="C226" s="69" t="s">
        <v>73</v>
      </c>
      <c r="D226" s="69" t="s">
        <v>18</v>
      </c>
      <c r="E226" s="69" t="s">
        <v>63</v>
      </c>
      <c r="F226" s="69">
        <v>0</v>
      </c>
      <c r="G226" s="69">
        <v>1205</v>
      </c>
      <c r="H226" s="69">
        <v>0</v>
      </c>
      <c r="I226" s="69">
        <v>1205</v>
      </c>
    </row>
    <row r="227" spans="1:9">
      <c r="A227" s="219"/>
      <c r="B227" s="69" t="s">
        <v>997</v>
      </c>
      <c r="C227" s="69" t="s">
        <v>73</v>
      </c>
      <c r="D227" s="69" t="s">
        <v>20</v>
      </c>
      <c r="E227" s="69" t="s">
        <v>76</v>
      </c>
      <c r="F227" s="69">
        <v>0</v>
      </c>
      <c r="G227" s="69">
        <v>224</v>
      </c>
      <c r="H227" s="69">
        <v>0</v>
      </c>
      <c r="I227" s="69">
        <v>224</v>
      </c>
    </row>
    <row r="228" spans="1:9">
      <c r="A228" s="219"/>
      <c r="B228" s="69" t="s">
        <v>998</v>
      </c>
      <c r="C228" s="69" t="s">
        <v>73</v>
      </c>
      <c r="D228" s="69" t="s">
        <v>23</v>
      </c>
      <c r="E228" s="69" t="s">
        <v>79</v>
      </c>
      <c r="F228" s="69">
        <v>0</v>
      </c>
      <c r="G228" s="69">
        <v>1282.7</v>
      </c>
      <c r="H228" s="69">
        <v>0</v>
      </c>
      <c r="I228" s="69">
        <v>1282.7</v>
      </c>
    </row>
    <row r="229" spans="1:9">
      <c r="A229" s="219"/>
      <c r="B229" s="69" t="s">
        <v>999</v>
      </c>
      <c r="C229" s="69" t="s">
        <v>73</v>
      </c>
      <c r="D229" s="69" t="s">
        <v>23</v>
      </c>
      <c r="E229" s="69" t="s">
        <v>79</v>
      </c>
      <c r="F229" s="69">
        <v>0</v>
      </c>
      <c r="G229" s="69">
        <v>247.3</v>
      </c>
      <c r="H229" s="69">
        <v>0</v>
      </c>
      <c r="I229" s="69">
        <v>247.3</v>
      </c>
    </row>
    <row r="230" spans="1:9">
      <c r="A230" s="219"/>
      <c r="B230" s="69" t="s">
        <v>1000</v>
      </c>
      <c r="C230" s="69" t="s">
        <v>73</v>
      </c>
      <c r="D230" s="69" t="s">
        <v>18</v>
      </c>
      <c r="E230" s="69" t="s">
        <v>63</v>
      </c>
      <c r="F230" s="69">
        <v>0</v>
      </c>
      <c r="G230" s="69">
        <v>583</v>
      </c>
      <c r="H230" s="69">
        <v>0</v>
      </c>
      <c r="I230" s="69">
        <v>583</v>
      </c>
    </row>
    <row r="231" spans="1:9">
      <c r="A231" s="219"/>
      <c r="B231" s="69" t="s">
        <v>1001</v>
      </c>
      <c r="C231" s="69" t="s">
        <v>73</v>
      </c>
      <c r="D231" s="69" t="s">
        <v>23</v>
      </c>
      <c r="E231" s="69" t="s">
        <v>79</v>
      </c>
      <c r="F231" s="69">
        <v>0</v>
      </c>
      <c r="G231" s="69">
        <v>1640</v>
      </c>
      <c r="H231" s="69">
        <v>0</v>
      </c>
      <c r="I231" s="69">
        <v>1640</v>
      </c>
    </row>
    <row r="232" spans="1:9">
      <c r="A232" s="219"/>
      <c r="B232" s="69" t="s">
        <v>733</v>
      </c>
      <c r="C232" s="69" t="s">
        <v>73</v>
      </c>
      <c r="D232" s="69" t="s">
        <v>18</v>
      </c>
      <c r="E232" s="69" t="s">
        <v>63</v>
      </c>
      <c r="F232" s="69">
        <v>0</v>
      </c>
      <c r="G232" s="69">
        <v>489</v>
      </c>
      <c r="H232" s="69">
        <v>138.9</v>
      </c>
      <c r="I232" s="69">
        <v>350.1</v>
      </c>
    </row>
    <row r="233" spans="1:9">
      <c r="A233" s="219"/>
      <c r="B233" s="69" t="s">
        <v>1002</v>
      </c>
      <c r="C233" s="69" t="s">
        <v>73</v>
      </c>
      <c r="D233" s="69" t="s">
        <v>18</v>
      </c>
      <c r="E233" s="69" t="s">
        <v>63</v>
      </c>
      <c r="F233" s="69">
        <v>0</v>
      </c>
      <c r="G233" s="69">
        <v>3609</v>
      </c>
      <c r="H233" s="69">
        <v>0</v>
      </c>
      <c r="I233" s="69">
        <v>3609</v>
      </c>
    </row>
    <row r="234" spans="1:9">
      <c r="A234" s="219"/>
      <c r="B234" s="69" t="s">
        <v>1003</v>
      </c>
      <c r="C234" s="69" t="s">
        <v>73</v>
      </c>
      <c r="D234" s="69" t="s">
        <v>18</v>
      </c>
      <c r="E234" s="69" t="s">
        <v>63</v>
      </c>
      <c r="F234" s="69">
        <v>0</v>
      </c>
      <c r="G234" s="69">
        <v>1834</v>
      </c>
      <c r="H234" s="69">
        <v>0</v>
      </c>
      <c r="I234" s="69">
        <v>1834</v>
      </c>
    </row>
    <row r="235" spans="1:9">
      <c r="A235" s="219"/>
      <c r="B235" s="69" t="s">
        <v>1004</v>
      </c>
      <c r="C235" s="69" t="s">
        <v>73</v>
      </c>
      <c r="D235" s="69" t="s">
        <v>20</v>
      </c>
      <c r="E235" s="69" t="s">
        <v>76</v>
      </c>
      <c r="F235" s="69">
        <v>0</v>
      </c>
      <c r="G235" s="69">
        <v>1105</v>
      </c>
      <c r="H235" s="69">
        <v>0</v>
      </c>
      <c r="I235" s="69">
        <v>1105</v>
      </c>
    </row>
    <row r="236" spans="1:9">
      <c r="A236" s="219"/>
      <c r="B236" s="69" t="s">
        <v>1005</v>
      </c>
      <c r="C236" s="69" t="s">
        <v>73</v>
      </c>
      <c r="D236" s="69" t="s">
        <v>23</v>
      </c>
      <c r="E236" s="69" t="s">
        <v>79</v>
      </c>
      <c r="F236" s="69">
        <v>0</v>
      </c>
      <c r="G236" s="69">
        <v>885.9</v>
      </c>
      <c r="H236" s="69">
        <v>0</v>
      </c>
      <c r="I236" s="69">
        <v>885.9</v>
      </c>
    </row>
    <row r="237" spans="1:9">
      <c r="A237" s="219"/>
      <c r="B237" s="69" t="s">
        <v>1006</v>
      </c>
      <c r="C237" s="69" t="s">
        <v>73</v>
      </c>
      <c r="D237" s="69" t="s">
        <v>23</v>
      </c>
      <c r="E237" s="69" t="s">
        <v>79</v>
      </c>
      <c r="F237" s="69">
        <v>0</v>
      </c>
      <c r="G237" s="69">
        <v>1894.1</v>
      </c>
      <c r="H237" s="69">
        <v>0</v>
      </c>
      <c r="I237" s="69">
        <v>1894.1</v>
      </c>
    </row>
    <row r="238" spans="1:9">
      <c r="A238" s="219"/>
      <c r="B238" s="69" t="s">
        <v>1007</v>
      </c>
      <c r="C238" s="69" t="s">
        <v>73</v>
      </c>
      <c r="D238" s="69" t="s">
        <v>20</v>
      </c>
      <c r="E238" s="69" t="s">
        <v>76</v>
      </c>
      <c r="F238" s="69">
        <v>0</v>
      </c>
      <c r="G238" s="69">
        <v>1910</v>
      </c>
      <c r="H238" s="69">
        <v>0</v>
      </c>
      <c r="I238" s="69">
        <v>1910</v>
      </c>
    </row>
    <row r="239" spans="1:9">
      <c r="A239" s="219"/>
      <c r="B239" s="69" t="s">
        <v>1008</v>
      </c>
      <c r="C239" s="69" t="s">
        <v>73</v>
      </c>
      <c r="D239" s="69" t="s">
        <v>23</v>
      </c>
      <c r="E239" s="69" t="s">
        <v>79</v>
      </c>
      <c r="F239" s="69">
        <v>0</v>
      </c>
      <c r="G239" s="69">
        <v>308.39999999999998</v>
      </c>
      <c r="H239" s="69">
        <v>0</v>
      </c>
      <c r="I239" s="69">
        <v>308.39999999999998</v>
      </c>
    </row>
    <row r="240" spans="1:9">
      <c r="A240" s="219"/>
      <c r="B240" s="69" t="s">
        <v>1009</v>
      </c>
      <c r="C240" s="69" t="s">
        <v>73</v>
      </c>
      <c r="D240" s="69" t="s">
        <v>23</v>
      </c>
      <c r="E240" s="69" t="s">
        <v>79</v>
      </c>
      <c r="F240" s="69">
        <v>0</v>
      </c>
      <c r="G240" s="69">
        <v>844.3</v>
      </c>
      <c r="H240" s="69">
        <v>0</v>
      </c>
      <c r="I240" s="69">
        <v>844.3</v>
      </c>
    </row>
    <row r="241" spans="1:9">
      <c r="A241" s="219"/>
      <c r="B241" s="69" t="s">
        <v>1010</v>
      </c>
      <c r="C241" s="69" t="s">
        <v>73</v>
      </c>
      <c r="D241" s="69" t="s">
        <v>23</v>
      </c>
      <c r="E241" s="69" t="s">
        <v>79</v>
      </c>
      <c r="F241" s="69">
        <v>0</v>
      </c>
      <c r="G241" s="69">
        <v>757.3</v>
      </c>
      <c r="H241" s="69">
        <v>0</v>
      </c>
      <c r="I241" s="69">
        <v>757.3</v>
      </c>
    </row>
    <row r="242" spans="1:9">
      <c r="A242" s="219"/>
      <c r="B242" s="69" t="s">
        <v>1011</v>
      </c>
      <c r="C242" s="69" t="s">
        <v>73</v>
      </c>
      <c r="D242" s="69" t="s">
        <v>18</v>
      </c>
      <c r="E242" s="69" t="s">
        <v>63</v>
      </c>
      <c r="F242" s="69">
        <v>0</v>
      </c>
      <c r="G242" s="69">
        <v>240</v>
      </c>
      <c r="H242" s="69">
        <v>0</v>
      </c>
      <c r="I242" s="69">
        <v>240</v>
      </c>
    </row>
    <row r="243" spans="1:9">
      <c r="A243" s="219"/>
      <c r="B243" s="69" t="s">
        <v>1012</v>
      </c>
      <c r="C243" s="69" t="s">
        <v>73</v>
      </c>
      <c r="D243" s="69" t="s">
        <v>20</v>
      </c>
      <c r="E243" s="69" t="s">
        <v>76</v>
      </c>
      <c r="F243" s="69">
        <v>0</v>
      </c>
      <c r="G243" s="69">
        <v>195</v>
      </c>
      <c r="H243" s="69">
        <v>0</v>
      </c>
      <c r="I243" s="69">
        <v>195</v>
      </c>
    </row>
    <row r="244" spans="1:9">
      <c r="A244" s="219"/>
      <c r="B244" s="69" t="s">
        <v>1013</v>
      </c>
      <c r="C244" s="69" t="s">
        <v>73</v>
      </c>
      <c r="D244" s="69" t="s">
        <v>18</v>
      </c>
      <c r="E244" s="69" t="s">
        <v>63</v>
      </c>
      <c r="F244" s="69">
        <v>0</v>
      </c>
      <c r="G244" s="69">
        <v>1753</v>
      </c>
      <c r="H244" s="69">
        <v>0</v>
      </c>
      <c r="I244" s="69">
        <v>1753</v>
      </c>
    </row>
    <row r="245" spans="1:9">
      <c r="A245" s="219"/>
      <c r="B245" s="69" t="s">
        <v>1014</v>
      </c>
      <c r="C245" s="69" t="s">
        <v>73</v>
      </c>
      <c r="D245" s="69" t="s">
        <v>20</v>
      </c>
      <c r="E245" s="69" t="s">
        <v>76</v>
      </c>
      <c r="F245" s="69">
        <v>0</v>
      </c>
      <c r="G245" s="69">
        <v>694.2</v>
      </c>
      <c r="H245" s="69">
        <v>0</v>
      </c>
      <c r="I245" s="69">
        <v>694.2</v>
      </c>
    </row>
    <row r="246" spans="1:9">
      <c r="A246" s="219"/>
      <c r="B246" s="69" t="s">
        <v>1015</v>
      </c>
      <c r="C246" s="69" t="s">
        <v>73</v>
      </c>
      <c r="D246" s="69" t="s">
        <v>18</v>
      </c>
      <c r="E246" s="69" t="s">
        <v>63</v>
      </c>
      <c r="F246" s="69">
        <v>0</v>
      </c>
      <c r="G246" s="69">
        <v>640</v>
      </c>
      <c r="H246" s="69">
        <v>0</v>
      </c>
      <c r="I246" s="69">
        <v>640</v>
      </c>
    </row>
    <row r="247" spans="1:9">
      <c r="A247" s="219"/>
      <c r="B247" s="69" t="s">
        <v>1016</v>
      </c>
      <c r="C247" s="69" t="s">
        <v>73</v>
      </c>
      <c r="D247" s="69" t="s">
        <v>18</v>
      </c>
      <c r="E247" s="69" t="s">
        <v>63</v>
      </c>
      <c r="F247" s="69">
        <v>0</v>
      </c>
      <c r="G247" s="69">
        <v>1050</v>
      </c>
      <c r="H247" s="69">
        <v>0</v>
      </c>
      <c r="I247" s="69">
        <v>1050</v>
      </c>
    </row>
    <row r="248" spans="1:9">
      <c r="A248" s="219"/>
      <c r="B248" s="69" t="s">
        <v>1017</v>
      </c>
      <c r="C248" s="69" t="s">
        <v>73</v>
      </c>
      <c r="D248" s="69" t="s">
        <v>18</v>
      </c>
      <c r="E248" s="69" t="s">
        <v>63</v>
      </c>
      <c r="F248" s="69">
        <v>0</v>
      </c>
      <c r="G248" s="69">
        <v>620</v>
      </c>
      <c r="H248" s="69">
        <v>0</v>
      </c>
      <c r="I248" s="69">
        <v>620</v>
      </c>
    </row>
    <row r="249" spans="1:9">
      <c r="A249" s="219"/>
      <c r="B249" s="69" t="s">
        <v>1018</v>
      </c>
      <c r="C249" s="69" t="s">
        <v>73</v>
      </c>
      <c r="D249" s="69" t="s">
        <v>20</v>
      </c>
      <c r="E249" s="69" t="s">
        <v>76</v>
      </c>
      <c r="F249" s="69">
        <v>0</v>
      </c>
      <c r="G249" s="69">
        <v>37</v>
      </c>
      <c r="H249" s="69">
        <v>0</v>
      </c>
      <c r="I249" s="69">
        <v>37</v>
      </c>
    </row>
    <row r="250" spans="1:9">
      <c r="A250" s="219"/>
      <c r="B250" s="69" t="s">
        <v>1019</v>
      </c>
      <c r="C250" s="69" t="s">
        <v>73</v>
      </c>
      <c r="D250" s="69" t="s">
        <v>23</v>
      </c>
      <c r="E250" s="69" t="s">
        <v>79</v>
      </c>
      <c r="F250" s="69">
        <v>0</v>
      </c>
      <c r="G250" s="69">
        <v>286.89999999999998</v>
      </c>
      <c r="H250" s="69">
        <v>0</v>
      </c>
      <c r="I250" s="69">
        <v>286.89999999999998</v>
      </c>
    </row>
    <row r="251" spans="1:9">
      <c r="A251" s="219"/>
      <c r="B251" s="69" t="s">
        <v>1020</v>
      </c>
      <c r="C251" s="69" t="s">
        <v>73</v>
      </c>
      <c r="D251" s="69" t="s">
        <v>23</v>
      </c>
      <c r="E251" s="69" t="s">
        <v>79</v>
      </c>
      <c r="F251" s="69">
        <v>0</v>
      </c>
      <c r="G251" s="69">
        <v>389.1</v>
      </c>
      <c r="H251" s="69">
        <v>0</v>
      </c>
      <c r="I251" s="69">
        <v>389.1</v>
      </c>
    </row>
    <row r="252" spans="1:9">
      <c r="A252" s="219"/>
      <c r="B252" s="69" t="s">
        <v>1021</v>
      </c>
      <c r="C252" s="69" t="s">
        <v>73</v>
      </c>
      <c r="D252" s="69" t="s">
        <v>23</v>
      </c>
      <c r="E252" s="69" t="s">
        <v>79</v>
      </c>
      <c r="F252" s="69">
        <v>0</v>
      </c>
      <c r="G252" s="69">
        <v>1047.3</v>
      </c>
      <c r="H252" s="69">
        <v>0</v>
      </c>
      <c r="I252" s="69">
        <v>1047.3</v>
      </c>
    </row>
    <row r="253" spans="1:9">
      <c r="A253" s="219"/>
      <c r="B253" s="69" t="s">
        <v>1022</v>
      </c>
      <c r="C253" s="69" t="s">
        <v>73</v>
      </c>
      <c r="D253" s="69" t="s">
        <v>23</v>
      </c>
      <c r="E253" s="69" t="s">
        <v>79</v>
      </c>
      <c r="F253" s="69">
        <v>0</v>
      </c>
      <c r="G253" s="69">
        <v>208.3</v>
      </c>
      <c r="H253" s="69">
        <v>0</v>
      </c>
      <c r="I253" s="69">
        <v>208.3</v>
      </c>
    </row>
    <row r="254" spans="1:9">
      <c r="A254" s="219"/>
      <c r="B254" s="69" t="s">
        <v>1023</v>
      </c>
      <c r="C254" s="69" t="s">
        <v>73</v>
      </c>
      <c r="D254" s="69" t="s">
        <v>23</v>
      </c>
      <c r="E254" s="69" t="s">
        <v>79</v>
      </c>
      <c r="F254" s="69">
        <v>0</v>
      </c>
      <c r="G254" s="69">
        <v>79.3</v>
      </c>
      <c r="H254" s="69">
        <v>0</v>
      </c>
      <c r="I254" s="69">
        <v>79.3</v>
      </c>
    </row>
    <row r="255" spans="1:9">
      <c r="A255" s="219"/>
      <c r="B255" s="69" t="s">
        <v>1024</v>
      </c>
      <c r="C255" s="69" t="s">
        <v>73</v>
      </c>
      <c r="D255" s="69" t="s">
        <v>23</v>
      </c>
      <c r="E255" s="69" t="s">
        <v>79</v>
      </c>
      <c r="F255" s="69">
        <v>0</v>
      </c>
      <c r="G255" s="69">
        <v>82.6</v>
      </c>
      <c r="H255" s="69">
        <v>0</v>
      </c>
      <c r="I255" s="69">
        <v>82.6</v>
      </c>
    </row>
    <row r="256" spans="1:9">
      <c r="A256" s="219"/>
      <c r="B256" s="69" t="s">
        <v>1025</v>
      </c>
      <c r="C256" s="69" t="s">
        <v>73</v>
      </c>
      <c r="D256" s="69" t="s">
        <v>23</v>
      </c>
      <c r="E256" s="69" t="s">
        <v>79</v>
      </c>
      <c r="F256" s="69">
        <v>0</v>
      </c>
      <c r="G256" s="69">
        <v>76.400000000000006</v>
      </c>
      <c r="H256" s="69">
        <v>0</v>
      </c>
      <c r="I256" s="69">
        <v>76.400000000000006</v>
      </c>
    </row>
    <row r="257" spans="1:9">
      <c r="A257" s="219"/>
      <c r="B257" s="69" t="s">
        <v>1026</v>
      </c>
      <c r="C257" s="69" t="s">
        <v>73</v>
      </c>
      <c r="D257" s="69" t="s">
        <v>20</v>
      </c>
      <c r="E257" s="69" t="s">
        <v>76</v>
      </c>
      <c r="F257" s="69">
        <v>0</v>
      </c>
      <c r="G257" s="69">
        <v>458</v>
      </c>
      <c r="H257" s="69">
        <v>0</v>
      </c>
      <c r="I257" s="69">
        <v>458</v>
      </c>
    </row>
    <row r="258" spans="1:9">
      <c r="A258" s="219"/>
      <c r="B258" s="69" t="s">
        <v>1027</v>
      </c>
      <c r="C258" s="69" t="s">
        <v>73</v>
      </c>
      <c r="D258" s="69" t="s">
        <v>18</v>
      </c>
      <c r="E258" s="69" t="s">
        <v>63</v>
      </c>
      <c r="F258" s="69">
        <v>0</v>
      </c>
      <c r="G258" s="69">
        <v>148</v>
      </c>
      <c r="H258" s="69">
        <v>0</v>
      </c>
      <c r="I258" s="69">
        <v>148</v>
      </c>
    </row>
    <row r="259" spans="1:9">
      <c r="A259" s="219"/>
      <c r="B259" s="69" t="s">
        <v>1398</v>
      </c>
      <c r="C259" s="69" t="s">
        <v>73</v>
      </c>
      <c r="D259" s="69" t="s">
        <v>23</v>
      </c>
      <c r="E259" s="69" t="s">
        <v>79</v>
      </c>
      <c r="F259" s="69">
        <v>0</v>
      </c>
      <c r="G259" s="69">
        <v>290.3</v>
      </c>
      <c r="H259" s="69">
        <v>0</v>
      </c>
      <c r="I259" s="69">
        <v>290.3</v>
      </c>
    </row>
    <row r="260" spans="1:9">
      <c r="A260" s="219"/>
      <c r="B260" s="69" t="s">
        <v>1399</v>
      </c>
      <c r="C260" s="69" t="s">
        <v>73</v>
      </c>
      <c r="D260" s="69" t="s">
        <v>23</v>
      </c>
      <c r="E260" s="69" t="s">
        <v>79</v>
      </c>
      <c r="F260" s="69">
        <v>0</v>
      </c>
      <c r="G260" s="69">
        <v>1293.3</v>
      </c>
      <c r="H260" s="69">
        <v>0</v>
      </c>
      <c r="I260" s="69">
        <v>1293.3</v>
      </c>
    </row>
    <row r="261" spans="1:9">
      <c r="A261" s="219"/>
      <c r="B261" s="69" t="s">
        <v>1400</v>
      </c>
      <c r="C261" s="69" t="s">
        <v>73</v>
      </c>
      <c r="D261" s="69" t="s">
        <v>631</v>
      </c>
      <c r="E261" s="69" t="s">
        <v>79</v>
      </c>
      <c r="F261" s="69">
        <v>0</v>
      </c>
      <c r="G261" s="69">
        <v>61.1</v>
      </c>
      <c r="H261" s="69">
        <v>0</v>
      </c>
      <c r="I261" s="69">
        <v>61.1</v>
      </c>
    </row>
    <row r="262" spans="1:9">
      <c r="A262" s="219"/>
      <c r="B262" s="69" t="s">
        <v>1401</v>
      </c>
      <c r="C262" s="69" t="s">
        <v>73</v>
      </c>
      <c r="D262" s="69" t="s">
        <v>18</v>
      </c>
      <c r="E262" s="69" t="s">
        <v>63</v>
      </c>
      <c r="F262" s="69">
        <v>0</v>
      </c>
      <c r="G262" s="69">
        <v>593</v>
      </c>
      <c r="H262" s="69">
        <v>0</v>
      </c>
      <c r="I262" s="69">
        <v>593</v>
      </c>
    </row>
    <row r="263" spans="1:9">
      <c r="A263" s="219"/>
      <c r="B263" s="69" t="s">
        <v>1402</v>
      </c>
      <c r="C263" s="69" t="s">
        <v>73</v>
      </c>
      <c r="D263" s="69" t="s">
        <v>18</v>
      </c>
      <c r="E263" s="69" t="s">
        <v>63</v>
      </c>
      <c r="F263" s="69">
        <v>0</v>
      </c>
      <c r="G263" s="69">
        <v>270</v>
      </c>
      <c r="H263" s="69">
        <v>0</v>
      </c>
      <c r="I263" s="69">
        <v>270</v>
      </c>
    </row>
    <row r="264" spans="1:9">
      <c r="A264" s="219"/>
      <c r="B264" s="69" t="s">
        <v>1403</v>
      </c>
      <c r="C264" s="69" t="s">
        <v>73</v>
      </c>
      <c r="D264" s="69" t="s">
        <v>18</v>
      </c>
      <c r="E264" s="69" t="s">
        <v>63</v>
      </c>
      <c r="F264" s="69">
        <v>0</v>
      </c>
      <c r="G264" s="69">
        <v>730</v>
      </c>
      <c r="H264" s="69">
        <v>0</v>
      </c>
      <c r="I264" s="69">
        <v>730</v>
      </c>
    </row>
    <row r="265" spans="1:9">
      <c r="A265" s="219"/>
      <c r="B265" s="69" t="s">
        <v>1404</v>
      </c>
      <c r="C265" s="69" t="s">
        <v>73</v>
      </c>
      <c r="D265" s="69" t="s">
        <v>18</v>
      </c>
      <c r="E265" s="69" t="s">
        <v>63</v>
      </c>
      <c r="F265" s="69">
        <v>0</v>
      </c>
      <c r="G265" s="69">
        <v>766</v>
      </c>
      <c r="H265" s="69">
        <v>0</v>
      </c>
      <c r="I265" s="69">
        <v>766</v>
      </c>
    </row>
    <row r="266" spans="1:9">
      <c r="A266" s="219"/>
      <c r="B266" s="69" t="s">
        <v>1405</v>
      </c>
      <c r="C266" s="69" t="s">
        <v>73</v>
      </c>
      <c r="D266" s="69" t="s">
        <v>20</v>
      </c>
      <c r="E266" s="69" t="s">
        <v>76</v>
      </c>
      <c r="F266" s="69">
        <v>0</v>
      </c>
      <c r="G266" s="69">
        <v>691</v>
      </c>
      <c r="H266" s="69">
        <v>0</v>
      </c>
      <c r="I266" s="69">
        <v>691</v>
      </c>
    </row>
    <row r="267" spans="1:9">
      <c r="A267" s="219"/>
      <c r="B267" s="69" t="s">
        <v>1592</v>
      </c>
      <c r="C267" s="69" t="s">
        <v>73</v>
      </c>
      <c r="D267" s="69" t="s">
        <v>18</v>
      </c>
      <c r="E267" s="69" t="s">
        <v>63</v>
      </c>
      <c r="F267" s="69">
        <v>0</v>
      </c>
      <c r="G267" s="69">
        <v>1933</v>
      </c>
      <c r="H267" s="69">
        <v>0</v>
      </c>
      <c r="I267" s="69">
        <v>1933</v>
      </c>
    </row>
    <row r="268" spans="1:9">
      <c r="A268" s="219"/>
      <c r="B268" s="69" t="s">
        <v>1593</v>
      </c>
      <c r="C268" s="69" t="s">
        <v>73</v>
      </c>
      <c r="D268" s="69" t="s">
        <v>18</v>
      </c>
      <c r="E268" s="69" t="s">
        <v>63</v>
      </c>
      <c r="F268" s="69">
        <v>0</v>
      </c>
      <c r="G268" s="69">
        <v>1629</v>
      </c>
      <c r="H268" s="69">
        <v>0</v>
      </c>
      <c r="I268" s="69">
        <v>1629</v>
      </c>
    </row>
    <row r="269" spans="1:9">
      <c r="A269" s="219"/>
      <c r="B269" s="69" t="s">
        <v>734</v>
      </c>
      <c r="C269" s="69" t="s">
        <v>73</v>
      </c>
      <c r="D269" s="69" t="s">
        <v>18</v>
      </c>
      <c r="E269" s="69" t="s">
        <v>63</v>
      </c>
      <c r="F269" s="69">
        <v>0</v>
      </c>
      <c r="G269" s="69">
        <v>1069</v>
      </c>
      <c r="H269" s="69">
        <v>0</v>
      </c>
      <c r="I269" s="69">
        <v>1069</v>
      </c>
    </row>
    <row r="270" spans="1:9">
      <c r="A270" s="219"/>
      <c r="B270" s="69" t="s">
        <v>735</v>
      </c>
      <c r="C270" s="69" t="s">
        <v>73</v>
      </c>
      <c r="D270" s="69" t="s">
        <v>23</v>
      </c>
      <c r="E270" s="69" t="s">
        <v>79</v>
      </c>
      <c r="F270" s="69">
        <v>0</v>
      </c>
      <c r="G270" s="69">
        <v>390</v>
      </c>
      <c r="H270" s="69">
        <v>0</v>
      </c>
      <c r="I270" s="69">
        <v>390</v>
      </c>
    </row>
    <row r="271" spans="1:9">
      <c r="A271" s="219"/>
      <c r="B271" s="69" t="s">
        <v>1594</v>
      </c>
      <c r="C271" s="69" t="s">
        <v>73</v>
      </c>
      <c r="D271" s="69" t="s">
        <v>23</v>
      </c>
      <c r="E271" s="69" t="s">
        <v>79</v>
      </c>
      <c r="F271" s="69">
        <v>0</v>
      </c>
      <c r="G271" s="69">
        <v>1924</v>
      </c>
      <c r="H271" s="69">
        <v>0</v>
      </c>
      <c r="I271" s="69">
        <v>1924</v>
      </c>
    </row>
    <row r="272" spans="1:9">
      <c r="A272" s="219"/>
      <c r="B272" s="69" t="s">
        <v>1595</v>
      </c>
      <c r="C272" s="69" t="s">
        <v>73</v>
      </c>
      <c r="D272" s="69" t="s">
        <v>631</v>
      </c>
      <c r="E272" s="69" t="s">
        <v>79</v>
      </c>
      <c r="F272" s="69">
        <v>0</v>
      </c>
      <c r="G272" s="69">
        <v>97.3</v>
      </c>
      <c r="H272" s="69">
        <v>0</v>
      </c>
      <c r="I272" s="69">
        <v>97.3</v>
      </c>
    </row>
    <row r="273" spans="1:9">
      <c r="A273" s="219"/>
      <c r="B273" s="69" t="s">
        <v>1596</v>
      </c>
      <c r="C273" s="69" t="s">
        <v>73</v>
      </c>
      <c r="D273" s="69" t="s">
        <v>20</v>
      </c>
      <c r="E273" s="69" t="s">
        <v>76</v>
      </c>
      <c r="F273" s="69">
        <v>0</v>
      </c>
      <c r="G273" s="69">
        <v>1191</v>
      </c>
      <c r="H273" s="69">
        <v>0</v>
      </c>
      <c r="I273" s="69">
        <v>1191</v>
      </c>
    </row>
    <row r="274" spans="1:9">
      <c r="A274" s="219"/>
      <c r="B274" s="69" t="s">
        <v>1597</v>
      </c>
      <c r="C274" s="69" t="s">
        <v>73</v>
      </c>
      <c r="D274" s="69" t="s">
        <v>23</v>
      </c>
      <c r="E274" s="69" t="s">
        <v>79</v>
      </c>
      <c r="F274" s="69">
        <v>0</v>
      </c>
      <c r="G274" s="69">
        <v>1211.9000000000001</v>
      </c>
      <c r="H274" s="69">
        <v>0</v>
      </c>
      <c r="I274" s="69">
        <v>1211.9000000000001</v>
      </c>
    </row>
    <row r="275" spans="1:9">
      <c r="A275" s="219"/>
      <c r="B275" s="69" t="s">
        <v>1598</v>
      </c>
      <c r="C275" s="69" t="s">
        <v>73</v>
      </c>
      <c r="D275" s="69" t="s">
        <v>23</v>
      </c>
      <c r="E275" s="69" t="s">
        <v>79</v>
      </c>
      <c r="F275" s="69">
        <v>0</v>
      </c>
      <c r="G275" s="69">
        <v>257.39999999999998</v>
      </c>
      <c r="H275" s="69">
        <v>0</v>
      </c>
      <c r="I275" s="69">
        <v>257.39999999999998</v>
      </c>
    </row>
    <row r="276" spans="1:9">
      <c r="A276" s="219"/>
      <c r="B276" s="69" t="s">
        <v>1599</v>
      </c>
      <c r="C276" s="69" t="s">
        <v>73</v>
      </c>
      <c r="D276" s="69" t="s">
        <v>18</v>
      </c>
      <c r="E276" s="69" t="s">
        <v>63</v>
      </c>
      <c r="F276" s="69">
        <v>0</v>
      </c>
      <c r="G276" s="69">
        <v>865</v>
      </c>
      <c r="H276" s="69">
        <v>0</v>
      </c>
      <c r="I276" s="69">
        <v>865</v>
      </c>
    </row>
    <row r="277" spans="1:9">
      <c r="A277" s="219"/>
      <c r="B277" s="69" t="s">
        <v>1600</v>
      </c>
      <c r="C277" s="69" t="s">
        <v>73</v>
      </c>
      <c r="D277" s="69" t="s">
        <v>20</v>
      </c>
      <c r="E277" s="69" t="s">
        <v>76</v>
      </c>
      <c r="F277" s="69">
        <v>0</v>
      </c>
      <c r="G277" s="69">
        <v>257</v>
      </c>
      <c r="H277" s="69">
        <v>0</v>
      </c>
      <c r="I277" s="69">
        <v>257</v>
      </c>
    </row>
    <row r="278" spans="1:9">
      <c r="A278" s="219"/>
      <c r="B278" s="69" t="s">
        <v>1601</v>
      </c>
      <c r="C278" s="69" t="s">
        <v>73</v>
      </c>
      <c r="D278" s="69" t="s">
        <v>23</v>
      </c>
      <c r="E278" s="69" t="s">
        <v>79</v>
      </c>
      <c r="F278" s="69">
        <v>0</v>
      </c>
      <c r="G278" s="69">
        <v>864.9</v>
      </c>
      <c r="H278" s="69">
        <v>0</v>
      </c>
      <c r="I278" s="69">
        <v>864.9</v>
      </c>
    </row>
    <row r="279" spans="1:9">
      <c r="A279" s="219"/>
      <c r="B279" s="69" t="s">
        <v>1602</v>
      </c>
      <c r="C279" s="69" t="s">
        <v>73</v>
      </c>
      <c r="D279" s="69" t="s">
        <v>23</v>
      </c>
      <c r="E279" s="69" t="s">
        <v>79</v>
      </c>
      <c r="F279" s="69">
        <v>0</v>
      </c>
      <c r="G279" s="69">
        <v>122.4</v>
      </c>
      <c r="H279" s="69">
        <v>0</v>
      </c>
      <c r="I279" s="69">
        <v>122.4</v>
      </c>
    </row>
    <row r="280" spans="1:9">
      <c r="A280" s="219"/>
      <c r="B280" s="69" t="s">
        <v>1603</v>
      </c>
      <c r="C280" s="69" t="s">
        <v>73</v>
      </c>
      <c r="D280" s="69" t="s">
        <v>23</v>
      </c>
      <c r="E280" s="69" t="s">
        <v>79</v>
      </c>
      <c r="F280" s="69">
        <v>0</v>
      </c>
      <c r="G280" s="69">
        <v>368</v>
      </c>
      <c r="H280" s="69">
        <v>0</v>
      </c>
      <c r="I280" s="69">
        <v>368</v>
      </c>
    </row>
    <row r="281" spans="1:9">
      <c r="A281" s="219"/>
      <c r="B281" s="69" t="s">
        <v>1604</v>
      </c>
      <c r="C281" s="69" t="s">
        <v>73</v>
      </c>
      <c r="D281" s="69" t="s">
        <v>23</v>
      </c>
      <c r="E281" s="69" t="s">
        <v>79</v>
      </c>
      <c r="F281" s="69">
        <v>0</v>
      </c>
      <c r="G281" s="69">
        <v>540.1</v>
      </c>
      <c r="H281" s="69">
        <v>0</v>
      </c>
      <c r="I281" s="69">
        <v>540.1</v>
      </c>
    </row>
    <row r="282" spans="1:9">
      <c r="A282" s="219"/>
      <c r="B282" s="69" t="s">
        <v>1605</v>
      </c>
      <c r="C282" s="69" t="s">
        <v>73</v>
      </c>
      <c r="D282" s="69" t="s">
        <v>20</v>
      </c>
      <c r="E282" s="69" t="s">
        <v>76</v>
      </c>
      <c r="F282" s="69">
        <v>0</v>
      </c>
      <c r="G282" s="69">
        <v>1321</v>
      </c>
      <c r="H282" s="69">
        <v>0</v>
      </c>
      <c r="I282" s="69">
        <v>1321</v>
      </c>
    </row>
    <row r="283" spans="1:9">
      <c r="A283" s="219"/>
      <c r="B283" s="69" t="s">
        <v>1669</v>
      </c>
      <c r="C283" s="69" t="s">
        <v>73</v>
      </c>
      <c r="D283" s="69" t="s">
        <v>20</v>
      </c>
      <c r="E283" s="69" t="s">
        <v>76</v>
      </c>
      <c r="F283" s="69">
        <v>0</v>
      </c>
      <c r="G283" s="69">
        <v>79</v>
      </c>
      <c r="H283" s="69">
        <v>0</v>
      </c>
      <c r="I283" s="69">
        <v>79</v>
      </c>
    </row>
    <row r="284" spans="1:9">
      <c r="A284" s="219"/>
      <c r="B284" s="69" t="s">
        <v>1670</v>
      </c>
      <c r="C284" s="69" t="s">
        <v>73</v>
      </c>
      <c r="D284" s="69" t="s">
        <v>20</v>
      </c>
      <c r="E284" s="69" t="s">
        <v>76</v>
      </c>
      <c r="F284" s="69">
        <v>0</v>
      </c>
      <c r="G284" s="69">
        <v>1039</v>
      </c>
      <c r="H284" s="69">
        <v>0</v>
      </c>
      <c r="I284" s="69">
        <v>1039</v>
      </c>
    </row>
    <row r="285" spans="1:9">
      <c r="A285" s="219"/>
      <c r="B285" s="69" t="s">
        <v>1671</v>
      </c>
      <c r="C285" s="69" t="s">
        <v>73</v>
      </c>
      <c r="D285" s="69" t="s">
        <v>18</v>
      </c>
      <c r="E285" s="69" t="s">
        <v>63</v>
      </c>
      <c r="F285" s="69">
        <v>0</v>
      </c>
      <c r="G285" s="69">
        <v>704</v>
      </c>
      <c r="H285" s="69">
        <v>0</v>
      </c>
      <c r="I285" s="69">
        <v>704</v>
      </c>
    </row>
    <row r="286" spans="1:9">
      <c r="A286" s="219"/>
      <c r="B286" s="69" t="s">
        <v>1672</v>
      </c>
      <c r="C286" s="69" t="s">
        <v>73</v>
      </c>
      <c r="D286" s="69" t="s">
        <v>20</v>
      </c>
      <c r="E286" s="69" t="s">
        <v>76</v>
      </c>
      <c r="F286" s="69">
        <v>0</v>
      </c>
      <c r="G286" s="69">
        <v>1037</v>
      </c>
      <c r="H286" s="69">
        <v>0</v>
      </c>
      <c r="I286" s="69">
        <v>1037</v>
      </c>
    </row>
    <row r="287" spans="1:9">
      <c r="A287" s="219"/>
      <c r="B287" s="69" t="s">
        <v>1673</v>
      </c>
      <c r="C287" s="69" t="s">
        <v>73</v>
      </c>
      <c r="D287" s="69" t="s">
        <v>18</v>
      </c>
      <c r="E287" s="69" t="s">
        <v>63</v>
      </c>
      <c r="F287" s="69">
        <v>0</v>
      </c>
      <c r="G287" s="69">
        <v>133</v>
      </c>
      <c r="H287" s="69">
        <v>0</v>
      </c>
      <c r="I287" s="69">
        <v>133</v>
      </c>
    </row>
    <row r="288" spans="1:9">
      <c r="A288" s="219"/>
      <c r="B288" s="69" t="s">
        <v>1674</v>
      </c>
      <c r="C288" s="69" t="s">
        <v>73</v>
      </c>
      <c r="D288" s="69" t="s">
        <v>23</v>
      </c>
      <c r="E288" s="69" t="s">
        <v>79</v>
      </c>
      <c r="F288" s="69">
        <v>0</v>
      </c>
      <c r="G288" s="69">
        <v>130.69999999999999</v>
      </c>
      <c r="H288" s="69">
        <v>0</v>
      </c>
      <c r="I288" s="69">
        <v>130.69999999999999</v>
      </c>
    </row>
    <row r="289" spans="1:9">
      <c r="A289" s="219"/>
      <c r="B289" s="69" t="s">
        <v>1675</v>
      </c>
      <c r="C289" s="69" t="s">
        <v>73</v>
      </c>
      <c r="D289" s="69" t="s">
        <v>23</v>
      </c>
      <c r="E289" s="69" t="s">
        <v>79</v>
      </c>
      <c r="F289" s="69">
        <v>0</v>
      </c>
      <c r="G289" s="69">
        <v>519.6</v>
      </c>
      <c r="H289" s="69">
        <v>0</v>
      </c>
      <c r="I289" s="69">
        <v>519.6</v>
      </c>
    </row>
    <row r="290" spans="1:9">
      <c r="A290" s="219"/>
      <c r="B290" s="69" t="s">
        <v>1676</v>
      </c>
      <c r="C290" s="69" t="s">
        <v>73</v>
      </c>
      <c r="D290" s="69" t="s">
        <v>23</v>
      </c>
      <c r="E290" s="69" t="s">
        <v>79</v>
      </c>
      <c r="F290" s="69">
        <v>0</v>
      </c>
      <c r="G290" s="69">
        <v>308.89999999999998</v>
      </c>
      <c r="H290" s="69">
        <v>0</v>
      </c>
      <c r="I290" s="69">
        <v>308.89999999999998</v>
      </c>
    </row>
    <row r="291" spans="1:9">
      <c r="A291" s="219"/>
      <c r="B291" s="69" t="s">
        <v>1802</v>
      </c>
      <c r="C291" s="69" t="s">
        <v>73</v>
      </c>
      <c r="D291" s="69" t="s">
        <v>18</v>
      </c>
      <c r="E291" s="69" t="s">
        <v>63</v>
      </c>
      <c r="F291" s="69">
        <v>0</v>
      </c>
      <c r="G291" s="69">
        <v>1019</v>
      </c>
      <c r="H291" s="69">
        <v>0</v>
      </c>
      <c r="I291" s="69">
        <v>1019</v>
      </c>
    </row>
    <row r="292" spans="1:9">
      <c r="A292" s="219"/>
      <c r="B292" s="69" t="s">
        <v>1803</v>
      </c>
      <c r="C292" s="69" t="s">
        <v>73</v>
      </c>
      <c r="D292" s="69" t="s">
        <v>20</v>
      </c>
      <c r="E292" s="69" t="s">
        <v>76</v>
      </c>
      <c r="F292" s="69">
        <v>0</v>
      </c>
      <c r="G292" s="69">
        <v>428</v>
      </c>
      <c r="H292" s="69">
        <v>0</v>
      </c>
      <c r="I292" s="69">
        <v>428</v>
      </c>
    </row>
    <row r="293" spans="1:9">
      <c r="A293" s="219"/>
      <c r="B293" s="69" t="s">
        <v>1804</v>
      </c>
      <c r="C293" s="69" t="s">
        <v>73</v>
      </c>
      <c r="D293" s="69" t="s">
        <v>23</v>
      </c>
      <c r="E293" s="69" t="s">
        <v>79</v>
      </c>
      <c r="F293" s="69">
        <v>0</v>
      </c>
      <c r="G293" s="69">
        <v>1050.2</v>
      </c>
      <c r="H293" s="69">
        <v>0</v>
      </c>
      <c r="I293" s="69">
        <v>1050.2</v>
      </c>
    </row>
    <row r="294" spans="1:9">
      <c r="A294" s="219"/>
      <c r="B294" s="69" t="s">
        <v>1805</v>
      </c>
      <c r="C294" s="69" t="s">
        <v>73</v>
      </c>
      <c r="D294" s="69" t="s">
        <v>631</v>
      </c>
      <c r="E294" s="69" t="s">
        <v>79</v>
      </c>
      <c r="F294" s="69">
        <v>0</v>
      </c>
      <c r="G294" s="69">
        <v>62.6</v>
      </c>
      <c r="H294" s="69">
        <v>0</v>
      </c>
      <c r="I294" s="69">
        <v>62.6</v>
      </c>
    </row>
    <row r="295" spans="1:9">
      <c r="A295" s="219"/>
      <c r="B295" s="69" t="s">
        <v>1806</v>
      </c>
      <c r="C295" s="69" t="s">
        <v>73</v>
      </c>
      <c r="D295" s="69" t="s">
        <v>23</v>
      </c>
      <c r="E295" s="69" t="s">
        <v>79</v>
      </c>
      <c r="F295" s="69">
        <v>0</v>
      </c>
      <c r="G295" s="69">
        <v>149.5</v>
      </c>
      <c r="H295" s="69">
        <v>0</v>
      </c>
      <c r="I295" s="69">
        <v>149.5</v>
      </c>
    </row>
    <row r="296" spans="1:9">
      <c r="A296" s="219"/>
      <c r="B296" s="69" t="s">
        <v>1807</v>
      </c>
      <c r="C296" s="69" t="s">
        <v>73</v>
      </c>
      <c r="D296" s="69" t="s">
        <v>23</v>
      </c>
      <c r="E296" s="69" t="s">
        <v>79</v>
      </c>
      <c r="F296" s="69">
        <v>0</v>
      </c>
      <c r="G296" s="69">
        <v>344</v>
      </c>
      <c r="H296" s="69">
        <v>0</v>
      </c>
      <c r="I296" s="69">
        <v>344</v>
      </c>
    </row>
    <row r="297" spans="1:9">
      <c r="A297" s="219"/>
      <c r="B297" s="69" t="s">
        <v>1808</v>
      </c>
      <c r="C297" s="69" t="s">
        <v>73</v>
      </c>
      <c r="D297" s="69" t="s">
        <v>23</v>
      </c>
      <c r="E297" s="69" t="s">
        <v>79</v>
      </c>
      <c r="F297" s="69">
        <v>0</v>
      </c>
      <c r="G297" s="69">
        <v>178.4</v>
      </c>
      <c r="H297" s="69">
        <v>0</v>
      </c>
      <c r="I297" s="69">
        <v>178.4</v>
      </c>
    </row>
    <row r="298" spans="1:9">
      <c r="A298" s="219"/>
      <c r="B298" s="69" t="s">
        <v>1809</v>
      </c>
      <c r="C298" s="69" t="s">
        <v>73</v>
      </c>
      <c r="D298" s="69" t="s">
        <v>23</v>
      </c>
      <c r="E298" s="69" t="s">
        <v>79</v>
      </c>
      <c r="F298" s="69">
        <v>0</v>
      </c>
      <c r="G298" s="69">
        <v>72.099999999999994</v>
      </c>
      <c r="H298" s="69">
        <v>0</v>
      </c>
      <c r="I298" s="69">
        <v>72.099999999999994</v>
      </c>
    </row>
    <row r="299" spans="1:9">
      <c r="A299" s="219"/>
      <c r="B299" s="69" t="s">
        <v>1810</v>
      </c>
      <c r="C299" s="69" t="s">
        <v>73</v>
      </c>
      <c r="D299" s="69" t="s">
        <v>20</v>
      </c>
      <c r="E299" s="69" t="s">
        <v>76</v>
      </c>
      <c r="F299" s="69">
        <v>0</v>
      </c>
      <c r="G299" s="69">
        <v>312</v>
      </c>
      <c r="H299" s="69">
        <v>0</v>
      </c>
      <c r="I299" s="69">
        <v>312</v>
      </c>
    </row>
    <row r="300" spans="1:9">
      <c r="A300" s="219"/>
      <c r="B300" s="69" t="s">
        <v>1811</v>
      </c>
      <c r="C300" s="69" t="s">
        <v>73</v>
      </c>
      <c r="D300" s="69" t="s">
        <v>20</v>
      </c>
      <c r="E300" s="69" t="s">
        <v>76</v>
      </c>
      <c r="F300" s="69">
        <v>0</v>
      </c>
      <c r="G300" s="69">
        <v>370</v>
      </c>
      <c r="H300" s="69">
        <v>0</v>
      </c>
      <c r="I300" s="69">
        <v>370</v>
      </c>
    </row>
    <row r="301" spans="1:9">
      <c r="A301" s="219"/>
      <c r="B301" s="69" t="s">
        <v>1812</v>
      </c>
      <c r="C301" s="69" t="s">
        <v>73</v>
      </c>
      <c r="D301" s="69" t="s">
        <v>18</v>
      </c>
      <c r="E301" s="69" t="s">
        <v>63</v>
      </c>
      <c r="F301" s="69">
        <v>0</v>
      </c>
      <c r="G301" s="69">
        <v>276</v>
      </c>
      <c r="H301" s="69">
        <v>0</v>
      </c>
      <c r="I301" s="69">
        <v>276</v>
      </c>
    </row>
    <row r="302" spans="1:9">
      <c r="A302" s="219"/>
      <c r="B302" s="69" t="s">
        <v>1813</v>
      </c>
      <c r="C302" s="69" t="s">
        <v>73</v>
      </c>
      <c r="D302" s="69" t="s">
        <v>23</v>
      </c>
      <c r="E302" s="69" t="s">
        <v>79</v>
      </c>
      <c r="F302" s="69">
        <v>0</v>
      </c>
      <c r="G302" s="69">
        <v>1841.1</v>
      </c>
      <c r="H302" s="69">
        <v>0</v>
      </c>
      <c r="I302" s="69">
        <v>1841.1</v>
      </c>
    </row>
    <row r="303" spans="1:9">
      <c r="A303" s="219"/>
      <c r="B303" s="69" t="s">
        <v>1814</v>
      </c>
      <c r="C303" s="69" t="s">
        <v>73</v>
      </c>
      <c r="D303" s="69" t="s">
        <v>631</v>
      </c>
      <c r="E303" s="69" t="s">
        <v>79</v>
      </c>
      <c r="F303" s="69">
        <v>0</v>
      </c>
      <c r="G303" s="69">
        <v>209.7</v>
      </c>
      <c r="H303" s="69">
        <v>0</v>
      </c>
      <c r="I303" s="69">
        <v>209.7</v>
      </c>
    </row>
    <row r="304" spans="1:9">
      <c r="A304" s="219"/>
      <c r="B304" s="69" t="s">
        <v>1815</v>
      </c>
      <c r="C304" s="69" t="s">
        <v>73</v>
      </c>
      <c r="D304" s="69" t="s">
        <v>23</v>
      </c>
      <c r="E304" s="69" t="s">
        <v>79</v>
      </c>
      <c r="F304" s="69">
        <v>0</v>
      </c>
      <c r="G304" s="69">
        <v>1024.5999999999999</v>
      </c>
      <c r="H304" s="69">
        <v>0</v>
      </c>
      <c r="I304" s="69">
        <v>1024.5999999999999</v>
      </c>
    </row>
    <row r="305" spans="1:9">
      <c r="A305" s="219"/>
      <c r="B305" s="69" t="s">
        <v>736</v>
      </c>
      <c r="C305" s="69" t="s">
        <v>73</v>
      </c>
      <c r="D305" s="69" t="s">
        <v>18</v>
      </c>
      <c r="E305" s="69" t="s">
        <v>63</v>
      </c>
      <c r="F305" s="69">
        <v>0</v>
      </c>
      <c r="G305" s="69">
        <v>1464</v>
      </c>
      <c r="H305" s="69">
        <v>0</v>
      </c>
      <c r="I305" s="69">
        <v>1464</v>
      </c>
    </row>
    <row r="306" spans="1:9">
      <c r="A306" s="219"/>
      <c r="B306" s="69" t="s">
        <v>737</v>
      </c>
      <c r="C306" s="69" t="s">
        <v>73</v>
      </c>
      <c r="D306" s="69" t="s">
        <v>18</v>
      </c>
      <c r="E306" s="69" t="s">
        <v>63</v>
      </c>
      <c r="F306" s="69">
        <v>0</v>
      </c>
      <c r="G306" s="69">
        <v>662</v>
      </c>
      <c r="H306" s="69">
        <v>0</v>
      </c>
      <c r="I306" s="69">
        <v>662</v>
      </c>
    </row>
    <row r="307" spans="1:9">
      <c r="A307" s="219"/>
      <c r="B307" s="69" t="s">
        <v>738</v>
      </c>
      <c r="C307" s="69" t="s">
        <v>73</v>
      </c>
      <c r="D307" s="69" t="s">
        <v>18</v>
      </c>
      <c r="E307" s="69" t="s">
        <v>63</v>
      </c>
      <c r="F307" s="69">
        <v>0</v>
      </c>
      <c r="G307" s="69">
        <v>1461</v>
      </c>
      <c r="H307" s="69">
        <v>0</v>
      </c>
      <c r="I307" s="69">
        <v>1461</v>
      </c>
    </row>
    <row r="308" spans="1:9">
      <c r="A308" s="219"/>
      <c r="B308" s="69" t="s">
        <v>739</v>
      </c>
      <c r="C308" s="69" t="s">
        <v>73</v>
      </c>
      <c r="D308" s="69" t="s">
        <v>18</v>
      </c>
      <c r="E308" s="69" t="s">
        <v>63</v>
      </c>
      <c r="F308" s="69">
        <v>0</v>
      </c>
      <c r="G308" s="69">
        <v>965</v>
      </c>
      <c r="H308" s="69">
        <v>0</v>
      </c>
      <c r="I308" s="69">
        <v>965</v>
      </c>
    </row>
    <row r="309" spans="1:9">
      <c r="A309" s="219"/>
      <c r="B309" s="69"/>
      <c r="C309" s="148" t="s">
        <v>73</v>
      </c>
      <c r="D309" s="148"/>
      <c r="E309" s="148"/>
      <c r="F309" s="148">
        <v>43379</v>
      </c>
      <c r="G309" s="148">
        <v>70373.100000000006</v>
      </c>
      <c r="H309" s="148">
        <v>43231.7</v>
      </c>
      <c r="I309" s="148">
        <v>70520.399999999994</v>
      </c>
    </row>
    <row r="310" spans="1:9">
      <c r="A310" s="219"/>
      <c r="B310" s="69" t="s">
        <v>1816</v>
      </c>
      <c r="C310" s="69" t="s">
        <v>990</v>
      </c>
      <c r="D310" s="69" t="s">
        <v>214</v>
      </c>
      <c r="E310" s="69" t="s">
        <v>123</v>
      </c>
      <c r="F310" s="69">
        <v>0</v>
      </c>
      <c r="G310" s="69">
        <v>0</v>
      </c>
      <c r="H310" s="69">
        <v>0</v>
      </c>
      <c r="I310" s="69">
        <v>0</v>
      </c>
    </row>
    <row r="311" spans="1:9">
      <c r="A311" s="219"/>
      <c r="B311" s="69" t="s">
        <v>1817</v>
      </c>
      <c r="C311" s="69" t="s">
        <v>990</v>
      </c>
      <c r="D311" s="69" t="s">
        <v>160</v>
      </c>
      <c r="E311" s="69" t="s">
        <v>81</v>
      </c>
      <c r="F311" s="69">
        <v>0</v>
      </c>
      <c r="G311" s="69">
        <v>0</v>
      </c>
      <c r="H311" s="69">
        <v>0</v>
      </c>
      <c r="I311" s="69">
        <v>0</v>
      </c>
    </row>
    <row r="312" spans="1:9">
      <c r="A312" s="219"/>
      <c r="B312" s="69" t="s">
        <v>1818</v>
      </c>
      <c r="C312" s="69" t="s">
        <v>990</v>
      </c>
      <c r="D312" s="69" t="s">
        <v>160</v>
      </c>
      <c r="E312" s="69" t="s">
        <v>81</v>
      </c>
      <c r="F312" s="69">
        <v>0</v>
      </c>
      <c r="G312" s="69">
        <v>0</v>
      </c>
      <c r="H312" s="69">
        <v>0</v>
      </c>
      <c r="I312" s="69">
        <v>0</v>
      </c>
    </row>
    <row r="313" spans="1:9">
      <c r="A313" s="219"/>
      <c r="B313" s="69" t="s">
        <v>1819</v>
      </c>
      <c r="C313" s="69" t="s">
        <v>990</v>
      </c>
      <c r="D313" s="69" t="s">
        <v>160</v>
      </c>
      <c r="E313" s="69" t="s">
        <v>81</v>
      </c>
      <c r="F313" s="69">
        <v>0</v>
      </c>
      <c r="G313" s="69">
        <v>0</v>
      </c>
      <c r="H313" s="69">
        <v>0</v>
      </c>
      <c r="I313" s="69">
        <v>0</v>
      </c>
    </row>
    <row r="314" spans="1:9">
      <c r="A314" s="219"/>
      <c r="B314" s="69" t="s">
        <v>1820</v>
      </c>
      <c r="C314" s="69" t="s">
        <v>990</v>
      </c>
      <c r="D314" s="69" t="s">
        <v>160</v>
      </c>
      <c r="E314" s="69" t="s">
        <v>81</v>
      </c>
      <c r="F314" s="69">
        <v>0</v>
      </c>
      <c r="G314" s="69">
        <v>0</v>
      </c>
      <c r="H314" s="69">
        <v>0</v>
      </c>
      <c r="I314" s="69">
        <v>0</v>
      </c>
    </row>
    <row r="315" spans="1:9">
      <c r="A315" s="219"/>
      <c r="B315" s="69" t="s">
        <v>1821</v>
      </c>
      <c r="C315" s="69" t="s">
        <v>990</v>
      </c>
      <c r="D315" s="69" t="s">
        <v>160</v>
      </c>
      <c r="E315" s="69" t="s">
        <v>81</v>
      </c>
      <c r="F315" s="69">
        <v>0</v>
      </c>
      <c r="G315" s="69">
        <v>0</v>
      </c>
      <c r="H315" s="69">
        <v>0</v>
      </c>
      <c r="I315" s="69">
        <v>0</v>
      </c>
    </row>
    <row r="316" spans="1:9">
      <c r="A316" s="219"/>
      <c r="B316" s="69" t="s">
        <v>1822</v>
      </c>
      <c r="C316" s="69" t="s">
        <v>990</v>
      </c>
      <c r="D316" s="69" t="s">
        <v>160</v>
      </c>
      <c r="E316" s="69" t="s">
        <v>81</v>
      </c>
      <c r="F316" s="69">
        <v>0</v>
      </c>
      <c r="G316" s="69">
        <v>0</v>
      </c>
      <c r="H316" s="69">
        <v>0</v>
      </c>
      <c r="I316" s="69">
        <v>0</v>
      </c>
    </row>
    <row r="317" spans="1:9">
      <c r="A317" s="219"/>
      <c r="B317" s="69" t="s">
        <v>1823</v>
      </c>
      <c r="C317" s="69" t="s">
        <v>990</v>
      </c>
      <c r="D317" s="69" t="s">
        <v>160</v>
      </c>
      <c r="E317" s="69" t="s">
        <v>81</v>
      </c>
      <c r="F317" s="69">
        <v>0</v>
      </c>
      <c r="G317" s="69">
        <v>0</v>
      </c>
      <c r="H317" s="69">
        <v>0</v>
      </c>
      <c r="I317" s="69">
        <v>0</v>
      </c>
    </row>
    <row r="318" spans="1:9">
      <c r="A318" s="219"/>
      <c r="B318" s="69" t="s">
        <v>1824</v>
      </c>
      <c r="C318" s="69" t="s">
        <v>990</v>
      </c>
      <c r="D318" s="69" t="s">
        <v>160</v>
      </c>
      <c r="E318" s="69" t="s">
        <v>81</v>
      </c>
      <c r="F318" s="69">
        <v>0</v>
      </c>
      <c r="G318" s="69">
        <v>0</v>
      </c>
      <c r="H318" s="69">
        <v>0</v>
      </c>
      <c r="I318" s="69">
        <v>0</v>
      </c>
    </row>
    <row r="319" spans="1:9">
      <c r="A319" s="219"/>
      <c r="B319" s="69" t="s">
        <v>1825</v>
      </c>
      <c r="C319" s="69" t="s">
        <v>990</v>
      </c>
      <c r="D319" s="69" t="s">
        <v>160</v>
      </c>
      <c r="E319" s="69" t="s">
        <v>81</v>
      </c>
      <c r="F319" s="69">
        <v>0</v>
      </c>
      <c r="G319" s="69">
        <v>0</v>
      </c>
      <c r="H319" s="69">
        <v>0</v>
      </c>
      <c r="I319" s="69">
        <v>0</v>
      </c>
    </row>
    <row r="320" spans="1:9">
      <c r="A320" s="219"/>
      <c r="B320" s="69" t="s">
        <v>1826</v>
      </c>
      <c r="C320" s="69" t="s">
        <v>990</v>
      </c>
      <c r="D320" s="69" t="s">
        <v>160</v>
      </c>
      <c r="E320" s="69" t="s">
        <v>81</v>
      </c>
      <c r="F320" s="69">
        <v>0</v>
      </c>
      <c r="G320" s="69">
        <v>0</v>
      </c>
      <c r="H320" s="69">
        <v>0</v>
      </c>
      <c r="I320" s="69">
        <v>0</v>
      </c>
    </row>
    <row r="321" spans="1:9">
      <c r="A321" s="219"/>
      <c r="B321" s="69" t="s">
        <v>1827</v>
      </c>
      <c r="C321" s="69" t="s">
        <v>990</v>
      </c>
      <c r="D321" s="69" t="s">
        <v>160</v>
      </c>
      <c r="E321" s="69" t="s">
        <v>81</v>
      </c>
      <c r="F321" s="69">
        <v>0</v>
      </c>
      <c r="G321" s="69">
        <v>0</v>
      </c>
      <c r="H321" s="69">
        <v>0</v>
      </c>
      <c r="I321" s="69">
        <v>0</v>
      </c>
    </row>
    <row r="322" spans="1:9">
      <c r="A322" s="219"/>
      <c r="B322" s="69" t="s">
        <v>1828</v>
      </c>
      <c r="C322" s="69" t="s">
        <v>252</v>
      </c>
      <c r="D322" s="69" t="s">
        <v>160</v>
      </c>
      <c r="E322" s="69" t="s">
        <v>81</v>
      </c>
      <c r="F322" s="69">
        <v>0</v>
      </c>
      <c r="G322" s="69">
        <v>0</v>
      </c>
      <c r="H322" s="69">
        <v>0</v>
      </c>
      <c r="I322" s="69">
        <v>0</v>
      </c>
    </row>
    <row r="323" spans="1:9">
      <c r="A323" s="219"/>
      <c r="B323" s="69" t="s">
        <v>1829</v>
      </c>
      <c r="C323" s="69" t="s">
        <v>252</v>
      </c>
      <c r="D323" s="69" t="s">
        <v>160</v>
      </c>
      <c r="E323" s="69" t="s">
        <v>81</v>
      </c>
      <c r="F323" s="69">
        <v>0</v>
      </c>
      <c r="G323" s="69">
        <v>0</v>
      </c>
      <c r="H323" s="69">
        <v>0</v>
      </c>
      <c r="I323" s="69">
        <v>0</v>
      </c>
    </row>
    <row r="324" spans="1:9">
      <c r="A324" s="219"/>
      <c r="B324" s="69" t="s">
        <v>1830</v>
      </c>
      <c r="C324" s="69" t="s">
        <v>252</v>
      </c>
      <c r="D324" s="69" t="s">
        <v>160</v>
      </c>
      <c r="E324" s="69" t="s">
        <v>81</v>
      </c>
      <c r="F324" s="69">
        <v>0</v>
      </c>
      <c r="G324" s="69">
        <v>0</v>
      </c>
      <c r="H324" s="69">
        <v>0</v>
      </c>
      <c r="I324" s="69">
        <v>0</v>
      </c>
    </row>
    <row r="325" spans="1:9">
      <c r="A325" s="219"/>
      <c r="B325" s="69" t="s">
        <v>1831</v>
      </c>
      <c r="C325" s="69" t="s">
        <v>252</v>
      </c>
      <c r="D325" s="69" t="s">
        <v>160</v>
      </c>
      <c r="E325" s="69" t="s">
        <v>81</v>
      </c>
      <c r="F325" s="69">
        <v>0</v>
      </c>
      <c r="G325" s="69">
        <v>0</v>
      </c>
      <c r="H325" s="69">
        <v>0</v>
      </c>
      <c r="I325" s="69">
        <v>0</v>
      </c>
    </row>
    <row r="326" spans="1:9">
      <c r="A326" s="219"/>
      <c r="B326" s="69" t="s">
        <v>1832</v>
      </c>
      <c r="C326" s="69" t="s">
        <v>252</v>
      </c>
      <c r="D326" s="69" t="s">
        <v>160</v>
      </c>
      <c r="E326" s="69" t="s">
        <v>81</v>
      </c>
      <c r="F326" s="69">
        <v>0</v>
      </c>
      <c r="G326" s="69">
        <v>0</v>
      </c>
      <c r="H326" s="69">
        <v>0</v>
      </c>
      <c r="I326" s="69">
        <v>0</v>
      </c>
    </row>
    <row r="327" spans="1:9">
      <c r="A327" s="219"/>
      <c r="B327" s="69" t="s">
        <v>1833</v>
      </c>
      <c r="C327" s="69" t="s">
        <v>252</v>
      </c>
      <c r="D327" s="69" t="s">
        <v>160</v>
      </c>
      <c r="E327" s="69" t="s">
        <v>81</v>
      </c>
      <c r="F327" s="69">
        <v>0</v>
      </c>
      <c r="G327" s="69">
        <v>0</v>
      </c>
      <c r="H327" s="69">
        <v>0</v>
      </c>
      <c r="I327" s="69">
        <v>0</v>
      </c>
    </row>
    <row r="328" spans="1:9">
      <c r="A328" s="219"/>
      <c r="B328" s="69" t="s">
        <v>1834</v>
      </c>
      <c r="C328" s="69" t="s">
        <v>252</v>
      </c>
      <c r="D328" s="69" t="s">
        <v>160</v>
      </c>
      <c r="E328" s="69" t="s">
        <v>81</v>
      </c>
      <c r="F328" s="69">
        <v>0</v>
      </c>
      <c r="G328" s="69">
        <v>0</v>
      </c>
      <c r="H328" s="69">
        <v>0</v>
      </c>
      <c r="I328" s="69">
        <v>0</v>
      </c>
    </row>
    <row r="329" spans="1:9">
      <c r="A329" s="219"/>
      <c r="B329" s="69" t="s">
        <v>1835</v>
      </c>
      <c r="C329" s="69" t="s">
        <v>252</v>
      </c>
      <c r="D329" s="69" t="s">
        <v>160</v>
      </c>
      <c r="E329" s="69" t="s">
        <v>81</v>
      </c>
      <c r="F329" s="69">
        <v>0</v>
      </c>
      <c r="G329" s="69">
        <v>0</v>
      </c>
      <c r="H329" s="69">
        <v>0</v>
      </c>
      <c r="I329" s="69">
        <v>0</v>
      </c>
    </row>
    <row r="330" spans="1:9">
      <c r="A330" s="219"/>
      <c r="B330" s="69" t="s">
        <v>1836</v>
      </c>
      <c r="C330" s="69" t="s">
        <v>252</v>
      </c>
      <c r="D330" s="69" t="s">
        <v>160</v>
      </c>
      <c r="E330" s="69" t="s">
        <v>81</v>
      </c>
      <c r="F330" s="69">
        <v>0</v>
      </c>
      <c r="G330" s="69">
        <v>0</v>
      </c>
      <c r="H330" s="69">
        <v>0</v>
      </c>
      <c r="I330" s="69">
        <v>0</v>
      </c>
    </row>
    <row r="331" spans="1:9">
      <c r="A331" s="219"/>
      <c r="B331" s="69" t="s">
        <v>1837</v>
      </c>
      <c r="C331" s="69" t="s">
        <v>252</v>
      </c>
      <c r="D331" s="69" t="s">
        <v>160</v>
      </c>
      <c r="E331" s="69" t="s">
        <v>81</v>
      </c>
      <c r="F331" s="69">
        <v>0</v>
      </c>
      <c r="G331" s="69">
        <v>0</v>
      </c>
      <c r="H331" s="69">
        <v>0</v>
      </c>
      <c r="I331" s="69">
        <v>0</v>
      </c>
    </row>
    <row r="332" spans="1:9">
      <c r="A332" s="219"/>
      <c r="B332" s="69" t="s">
        <v>1838</v>
      </c>
      <c r="C332" s="69" t="s">
        <v>252</v>
      </c>
      <c r="D332" s="69" t="s">
        <v>160</v>
      </c>
      <c r="E332" s="69" t="s">
        <v>81</v>
      </c>
      <c r="F332" s="69">
        <v>0</v>
      </c>
      <c r="G332" s="69">
        <v>0</v>
      </c>
      <c r="H332" s="69">
        <v>0</v>
      </c>
      <c r="I332" s="69">
        <v>0</v>
      </c>
    </row>
    <row r="333" spans="1:9">
      <c r="A333" s="219"/>
      <c r="B333" s="69" t="s">
        <v>1839</v>
      </c>
      <c r="C333" s="69" t="s">
        <v>252</v>
      </c>
      <c r="D333" s="69" t="s">
        <v>160</v>
      </c>
      <c r="E333" s="69" t="s">
        <v>81</v>
      </c>
      <c r="F333" s="69">
        <v>0</v>
      </c>
      <c r="G333" s="69">
        <v>0</v>
      </c>
      <c r="H333" s="69">
        <v>0</v>
      </c>
      <c r="I333" s="69">
        <v>0</v>
      </c>
    </row>
    <row r="334" spans="1:9">
      <c r="A334" s="219"/>
      <c r="B334" s="69" t="s">
        <v>1840</v>
      </c>
      <c r="C334" s="69" t="s">
        <v>252</v>
      </c>
      <c r="D334" s="69" t="s">
        <v>160</v>
      </c>
      <c r="E334" s="69" t="s">
        <v>81</v>
      </c>
      <c r="F334" s="69">
        <v>0</v>
      </c>
      <c r="G334" s="69">
        <v>0</v>
      </c>
      <c r="H334" s="69">
        <v>0</v>
      </c>
      <c r="I334" s="69">
        <v>0</v>
      </c>
    </row>
    <row r="335" spans="1:9">
      <c r="A335" s="219"/>
      <c r="B335" s="69" t="s">
        <v>1841</v>
      </c>
      <c r="C335" s="69" t="s">
        <v>252</v>
      </c>
      <c r="D335" s="69" t="s">
        <v>160</v>
      </c>
      <c r="E335" s="69" t="s">
        <v>81</v>
      </c>
      <c r="F335" s="69">
        <v>0</v>
      </c>
      <c r="G335" s="69">
        <v>0</v>
      </c>
      <c r="H335" s="69">
        <v>0</v>
      </c>
      <c r="I335" s="69">
        <v>0</v>
      </c>
    </row>
    <row r="336" spans="1:9">
      <c r="A336" s="219"/>
      <c r="B336" s="69" t="s">
        <v>1842</v>
      </c>
      <c r="C336" s="69" t="s">
        <v>252</v>
      </c>
      <c r="D336" s="69" t="s">
        <v>160</v>
      </c>
      <c r="E336" s="69" t="s">
        <v>81</v>
      </c>
      <c r="F336" s="69">
        <v>0</v>
      </c>
      <c r="G336" s="69">
        <v>0</v>
      </c>
      <c r="H336" s="69">
        <v>0</v>
      </c>
      <c r="I336" s="69">
        <v>0</v>
      </c>
    </row>
    <row r="337" spans="1:9">
      <c r="A337" s="219"/>
      <c r="B337" s="69" t="s">
        <v>1843</v>
      </c>
      <c r="C337" s="69" t="s">
        <v>252</v>
      </c>
      <c r="D337" s="69" t="s">
        <v>160</v>
      </c>
      <c r="E337" s="69" t="s">
        <v>81</v>
      </c>
      <c r="F337" s="69">
        <v>0</v>
      </c>
      <c r="G337" s="69">
        <v>0</v>
      </c>
      <c r="H337" s="69">
        <v>0</v>
      </c>
      <c r="I337" s="69">
        <v>0</v>
      </c>
    </row>
    <row r="338" spans="1:9">
      <c r="A338" s="219"/>
      <c r="B338" s="69" t="s">
        <v>1844</v>
      </c>
      <c r="C338" s="69" t="s">
        <v>252</v>
      </c>
      <c r="D338" s="69" t="s">
        <v>160</v>
      </c>
      <c r="E338" s="69" t="s">
        <v>81</v>
      </c>
      <c r="F338" s="69">
        <v>0</v>
      </c>
      <c r="G338" s="69">
        <v>0</v>
      </c>
      <c r="H338" s="69">
        <v>0</v>
      </c>
      <c r="I338" s="69">
        <v>0</v>
      </c>
    </row>
    <row r="339" spans="1:9">
      <c r="A339" s="219"/>
      <c r="B339" s="69" t="s">
        <v>1845</v>
      </c>
      <c r="C339" s="69" t="s">
        <v>252</v>
      </c>
      <c r="D339" s="69" t="s">
        <v>160</v>
      </c>
      <c r="E339" s="69" t="s">
        <v>81</v>
      </c>
      <c r="F339" s="69">
        <v>0</v>
      </c>
      <c r="G339" s="69">
        <v>0</v>
      </c>
      <c r="H339" s="69">
        <v>0</v>
      </c>
      <c r="I339" s="69">
        <v>0</v>
      </c>
    </row>
    <row r="340" spans="1:9">
      <c r="A340" s="219"/>
      <c r="B340" s="69" t="s">
        <v>1846</v>
      </c>
      <c r="C340" s="69" t="s">
        <v>252</v>
      </c>
      <c r="D340" s="69" t="s">
        <v>160</v>
      </c>
      <c r="E340" s="69" t="s">
        <v>81</v>
      </c>
      <c r="F340" s="69">
        <v>0</v>
      </c>
      <c r="G340" s="69">
        <v>0</v>
      </c>
      <c r="H340" s="69">
        <v>0</v>
      </c>
      <c r="I340" s="69">
        <v>0</v>
      </c>
    </row>
    <row r="341" spans="1:9">
      <c r="A341" s="219"/>
      <c r="B341" s="69" t="s">
        <v>1847</v>
      </c>
      <c r="C341" s="69" t="s">
        <v>252</v>
      </c>
      <c r="D341" s="69" t="s">
        <v>160</v>
      </c>
      <c r="E341" s="69" t="s">
        <v>81</v>
      </c>
      <c r="F341" s="69">
        <v>0</v>
      </c>
      <c r="G341" s="69">
        <v>0</v>
      </c>
      <c r="H341" s="69">
        <v>0</v>
      </c>
      <c r="I341" s="69">
        <v>0</v>
      </c>
    </row>
    <row r="342" spans="1:9">
      <c r="A342" s="219"/>
      <c r="B342" s="69" t="s">
        <v>1848</v>
      </c>
      <c r="C342" s="69" t="s">
        <v>252</v>
      </c>
      <c r="D342" s="69" t="s">
        <v>160</v>
      </c>
      <c r="E342" s="69" t="s">
        <v>81</v>
      </c>
      <c r="F342" s="69">
        <v>0</v>
      </c>
      <c r="G342" s="69">
        <v>0</v>
      </c>
      <c r="H342" s="69">
        <v>0</v>
      </c>
      <c r="I342" s="69">
        <v>0</v>
      </c>
    </row>
    <row r="343" spans="1:9">
      <c r="A343" s="219"/>
      <c r="B343" s="69" t="s">
        <v>1849</v>
      </c>
      <c r="C343" s="69" t="s">
        <v>252</v>
      </c>
      <c r="D343" s="69" t="s">
        <v>160</v>
      </c>
      <c r="E343" s="69" t="s">
        <v>81</v>
      </c>
      <c r="F343" s="69">
        <v>0</v>
      </c>
      <c r="G343" s="69">
        <v>0</v>
      </c>
      <c r="H343" s="69">
        <v>0</v>
      </c>
      <c r="I343" s="69">
        <v>0</v>
      </c>
    </row>
    <row r="344" spans="1:9">
      <c r="A344" s="219"/>
      <c r="B344" s="69" t="s">
        <v>1850</v>
      </c>
      <c r="C344" s="69" t="s">
        <v>252</v>
      </c>
      <c r="D344" s="69" t="s">
        <v>160</v>
      </c>
      <c r="E344" s="69" t="s">
        <v>81</v>
      </c>
      <c r="F344" s="69">
        <v>0</v>
      </c>
      <c r="G344" s="69">
        <v>0</v>
      </c>
      <c r="H344" s="69">
        <v>0</v>
      </c>
      <c r="I344" s="69">
        <v>0</v>
      </c>
    </row>
    <row r="345" spans="1:9">
      <c r="A345" s="219"/>
      <c r="B345" s="69" t="s">
        <v>1851</v>
      </c>
      <c r="C345" s="69" t="s">
        <v>252</v>
      </c>
      <c r="D345" s="69" t="s">
        <v>160</v>
      </c>
      <c r="E345" s="69" t="s">
        <v>81</v>
      </c>
      <c r="F345" s="69">
        <v>0</v>
      </c>
      <c r="G345" s="69">
        <v>0</v>
      </c>
      <c r="H345" s="69">
        <v>0</v>
      </c>
      <c r="I345" s="69">
        <v>0</v>
      </c>
    </row>
    <row r="346" spans="1:9">
      <c r="A346" s="219"/>
      <c r="B346" s="69" t="s">
        <v>1852</v>
      </c>
      <c r="C346" s="69" t="s">
        <v>252</v>
      </c>
      <c r="D346" s="69" t="s">
        <v>160</v>
      </c>
      <c r="E346" s="69" t="s">
        <v>81</v>
      </c>
      <c r="F346" s="69">
        <v>0</v>
      </c>
      <c r="G346" s="69">
        <v>0</v>
      </c>
      <c r="H346" s="69">
        <v>0</v>
      </c>
      <c r="I346" s="69">
        <v>0</v>
      </c>
    </row>
    <row r="347" spans="1:9">
      <c r="A347" s="219"/>
      <c r="B347" s="69" t="s">
        <v>1853</v>
      </c>
      <c r="C347" s="69" t="s">
        <v>252</v>
      </c>
      <c r="D347" s="69" t="s">
        <v>160</v>
      </c>
      <c r="E347" s="69" t="s">
        <v>81</v>
      </c>
      <c r="F347" s="69">
        <v>0</v>
      </c>
      <c r="G347" s="69">
        <v>0</v>
      </c>
      <c r="H347" s="69">
        <v>0</v>
      </c>
      <c r="I347" s="69">
        <v>0</v>
      </c>
    </row>
    <row r="348" spans="1:9">
      <c r="A348" s="219"/>
      <c r="B348" s="69" t="s">
        <v>1854</v>
      </c>
      <c r="C348" s="69" t="s">
        <v>252</v>
      </c>
      <c r="D348" s="69" t="s">
        <v>160</v>
      </c>
      <c r="E348" s="69" t="s">
        <v>81</v>
      </c>
      <c r="F348" s="69">
        <v>0</v>
      </c>
      <c r="G348" s="69">
        <v>0</v>
      </c>
      <c r="H348" s="69">
        <v>0</v>
      </c>
      <c r="I348" s="69">
        <v>0</v>
      </c>
    </row>
    <row r="349" spans="1:9">
      <c r="A349" s="219"/>
      <c r="B349" s="69" t="s">
        <v>1855</v>
      </c>
      <c r="C349" s="69" t="s">
        <v>252</v>
      </c>
      <c r="D349" s="69" t="s">
        <v>160</v>
      </c>
      <c r="E349" s="69" t="s">
        <v>81</v>
      </c>
      <c r="F349" s="69">
        <v>0</v>
      </c>
      <c r="G349" s="69">
        <v>0</v>
      </c>
      <c r="H349" s="69">
        <v>0</v>
      </c>
      <c r="I349" s="69">
        <v>0</v>
      </c>
    </row>
    <row r="350" spans="1:9">
      <c r="A350" s="219"/>
      <c r="B350" s="69" t="s">
        <v>1856</v>
      </c>
      <c r="C350" s="69" t="s">
        <v>252</v>
      </c>
      <c r="D350" s="69" t="s">
        <v>160</v>
      </c>
      <c r="E350" s="69" t="s">
        <v>81</v>
      </c>
      <c r="F350" s="69">
        <v>0</v>
      </c>
      <c r="G350" s="69">
        <v>0</v>
      </c>
      <c r="H350" s="69">
        <v>0</v>
      </c>
      <c r="I350" s="69">
        <v>0</v>
      </c>
    </row>
    <row r="351" spans="1:9">
      <c r="A351" s="219"/>
      <c r="B351" s="69" t="s">
        <v>1857</v>
      </c>
      <c r="C351" s="69" t="s">
        <v>252</v>
      </c>
      <c r="D351" s="69" t="s">
        <v>160</v>
      </c>
      <c r="E351" s="69" t="s">
        <v>81</v>
      </c>
      <c r="F351" s="69">
        <v>0</v>
      </c>
      <c r="G351" s="69">
        <v>0</v>
      </c>
      <c r="H351" s="69">
        <v>0</v>
      </c>
      <c r="I351" s="69">
        <v>0</v>
      </c>
    </row>
    <row r="352" spans="1:9">
      <c r="A352" s="219"/>
      <c r="B352" s="69" t="s">
        <v>1858</v>
      </c>
      <c r="C352" s="69" t="s">
        <v>252</v>
      </c>
      <c r="D352" s="69" t="s">
        <v>160</v>
      </c>
      <c r="E352" s="69" t="s">
        <v>81</v>
      </c>
      <c r="F352" s="69">
        <v>0</v>
      </c>
      <c r="G352" s="69">
        <v>0</v>
      </c>
      <c r="H352" s="69">
        <v>0</v>
      </c>
      <c r="I352" s="69">
        <v>0</v>
      </c>
    </row>
    <row r="353" spans="1:9">
      <c r="A353" s="219"/>
      <c r="B353" s="69" t="s">
        <v>1859</v>
      </c>
      <c r="C353" s="69" t="s">
        <v>252</v>
      </c>
      <c r="D353" s="69" t="s">
        <v>160</v>
      </c>
      <c r="E353" s="69" t="s">
        <v>81</v>
      </c>
      <c r="F353" s="69">
        <v>0</v>
      </c>
      <c r="G353" s="69">
        <v>0</v>
      </c>
      <c r="H353" s="69">
        <v>0</v>
      </c>
      <c r="I353" s="69">
        <v>0</v>
      </c>
    </row>
    <row r="354" spans="1:9">
      <c r="A354" s="219"/>
      <c r="B354" s="69" t="s">
        <v>1860</v>
      </c>
      <c r="C354" s="69" t="s">
        <v>252</v>
      </c>
      <c r="D354" s="69" t="s">
        <v>160</v>
      </c>
      <c r="E354" s="69" t="s">
        <v>81</v>
      </c>
      <c r="F354" s="69">
        <v>0</v>
      </c>
      <c r="G354" s="69">
        <v>0</v>
      </c>
      <c r="H354" s="69">
        <v>0</v>
      </c>
      <c r="I354" s="69">
        <v>0</v>
      </c>
    </row>
    <row r="355" spans="1:9">
      <c r="A355" s="219"/>
      <c r="B355" s="69" t="s">
        <v>1861</v>
      </c>
      <c r="C355" s="69" t="s">
        <v>252</v>
      </c>
      <c r="D355" s="69" t="s">
        <v>160</v>
      </c>
      <c r="E355" s="69" t="s">
        <v>81</v>
      </c>
      <c r="F355" s="69">
        <v>0</v>
      </c>
      <c r="G355" s="69">
        <v>0</v>
      </c>
      <c r="H355" s="69">
        <v>0</v>
      </c>
      <c r="I355" s="69">
        <v>0</v>
      </c>
    </row>
    <row r="356" spans="1:9">
      <c r="A356" s="219"/>
      <c r="B356" s="69" t="s">
        <v>1862</v>
      </c>
      <c r="C356" s="69" t="s">
        <v>252</v>
      </c>
      <c r="D356" s="69" t="s">
        <v>160</v>
      </c>
      <c r="E356" s="69" t="s">
        <v>81</v>
      </c>
      <c r="F356" s="69">
        <v>0</v>
      </c>
      <c r="G356" s="69">
        <v>0</v>
      </c>
      <c r="H356" s="69">
        <v>0</v>
      </c>
      <c r="I356" s="69">
        <v>0</v>
      </c>
    </row>
    <row r="357" spans="1:9">
      <c r="A357" s="219"/>
      <c r="B357" s="69" t="s">
        <v>1863</v>
      </c>
      <c r="C357" s="69" t="s">
        <v>252</v>
      </c>
      <c r="D357" s="69" t="s">
        <v>160</v>
      </c>
      <c r="E357" s="69" t="s">
        <v>81</v>
      </c>
      <c r="F357" s="69">
        <v>0</v>
      </c>
      <c r="G357" s="69">
        <v>0</v>
      </c>
      <c r="H357" s="69">
        <v>0</v>
      </c>
      <c r="I357" s="69">
        <v>0</v>
      </c>
    </row>
    <row r="358" spans="1:9">
      <c r="A358" s="219"/>
      <c r="B358" s="69" t="s">
        <v>1864</v>
      </c>
      <c r="C358" s="69" t="s">
        <v>252</v>
      </c>
      <c r="D358" s="69" t="s">
        <v>160</v>
      </c>
      <c r="E358" s="69" t="s">
        <v>81</v>
      </c>
      <c r="F358" s="69">
        <v>0</v>
      </c>
      <c r="G358" s="69">
        <v>0</v>
      </c>
      <c r="H358" s="69">
        <v>0</v>
      </c>
      <c r="I358" s="69">
        <v>0</v>
      </c>
    </row>
    <row r="359" spans="1:9">
      <c r="A359" s="219"/>
      <c r="B359" s="69" t="s">
        <v>1865</v>
      </c>
      <c r="C359" s="69" t="s">
        <v>252</v>
      </c>
      <c r="D359" s="69" t="s">
        <v>160</v>
      </c>
      <c r="E359" s="69" t="s">
        <v>81</v>
      </c>
      <c r="F359" s="69">
        <v>0</v>
      </c>
      <c r="G359" s="69">
        <v>0</v>
      </c>
      <c r="H359" s="69">
        <v>0</v>
      </c>
      <c r="I359" s="69">
        <v>0</v>
      </c>
    </row>
    <row r="360" spans="1:9">
      <c r="A360" s="219"/>
      <c r="B360" s="69" t="s">
        <v>1866</v>
      </c>
      <c r="C360" s="69" t="s">
        <v>252</v>
      </c>
      <c r="D360" s="69" t="s">
        <v>160</v>
      </c>
      <c r="E360" s="69" t="s">
        <v>81</v>
      </c>
      <c r="F360" s="69">
        <v>0</v>
      </c>
      <c r="G360" s="69">
        <v>0</v>
      </c>
      <c r="H360" s="69">
        <v>0</v>
      </c>
      <c r="I360" s="69">
        <v>0</v>
      </c>
    </row>
    <row r="361" spans="1:9">
      <c r="A361" s="219"/>
      <c r="B361" s="69" t="s">
        <v>1867</v>
      </c>
      <c r="C361" s="69" t="s">
        <v>252</v>
      </c>
      <c r="D361" s="69" t="s">
        <v>160</v>
      </c>
      <c r="E361" s="69" t="s">
        <v>81</v>
      </c>
      <c r="F361" s="69">
        <v>0</v>
      </c>
      <c r="G361" s="69">
        <v>0</v>
      </c>
      <c r="H361" s="69">
        <v>0</v>
      </c>
      <c r="I361" s="69">
        <v>0</v>
      </c>
    </row>
    <row r="362" spans="1:9">
      <c r="A362" s="219"/>
      <c r="B362" s="69" t="s">
        <v>1868</v>
      </c>
      <c r="C362" s="69" t="s">
        <v>252</v>
      </c>
      <c r="D362" s="69" t="s">
        <v>214</v>
      </c>
      <c r="E362" s="69" t="s">
        <v>123</v>
      </c>
      <c r="F362" s="69">
        <v>0</v>
      </c>
      <c r="G362" s="69">
        <v>0</v>
      </c>
      <c r="H362" s="69">
        <v>0</v>
      </c>
      <c r="I362" s="69">
        <v>0</v>
      </c>
    </row>
    <row r="363" spans="1:9">
      <c r="A363" s="219"/>
      <c r="B363" s="69" t="s">
        <v>1869</v>
      </c>
      <c r="C363" s="69" t="s">
        <v>252</v>
      </c>
      <c r="D363" s="69" t="s">
        <v>214</v>
      </c>
      <c r="E363" s="69" t="s">
        <v>123</v>
      </c>
      <c r="F363" s="69">
        <v>0</v>
      </c>
      <c r="G363" s="69">
        <v>0</v>
      </c>
      <c r="H363" s="69">
        <v>0</v>
      </c>
      <c r="I363" s="69">
        <v>0</v>
      </c>
    </row>
    <row r="364" spans="1:9">
      <c r="A364" s="219"/>
      <c r="B364" s="69" t="s">
        <v>1870</v>
      </c>
      <c r="C364" s="69" t="s">
        <v>252</v>
      </c>
      <c r="D364" s="69" t="s">
        <v>214</v>
      </c>
      <c r="E364" s="69" t="s">
        <v>123</v>
      </c>
      <c r="F364" s="69">
        <v>0</v>
      </c>
      <c r="G364" s="69">
        <v>0</v>
      </c>
      <c r="H364" s="69">
        <v>0</v>
      </c>
      <c r="I364" s="69">
        <v>0</v>
      </c>
    </row>
    <row r="365" spans="1:9">
      <c r="A365" s="219"/>
      <c r="B365" s="69" t="s">
        <v>1871</v>
      </c>
      <c r="C365" s="69" t="s">
        <v>252</v>
      </c>
      <c r="D365" s="69" t="s">
        <v>214</v>
      </c>
      <c r="E365" s="69" t="s">
        <v>123</v>
      </c>
      <c r="F365" s="69">
        <v>0</v>
      </c>
      <c r="G365" s="69">
        <v>0</v>
      </c>
      <c r="H365" s="69">
        <v>0</v>
      </c>
      <c r="I365" s="69">
        <v>0</v>
      </c>
    </row>
    <row r="366" spans="1:9">
      <c r="A366" s="219"/>
      <c r="B366" s="69" t="s">
        <v>1872</v>
      </c>
      <c r="C366" s="69" t="s">
        <v>252</v>
      </c>
      <c r="D366" s="69" t="s">
        <v>160</v>
      </c>
      <c r="E366" s="69" t="s">
        <v>81</v>
      </c>
      <c r="F366" s="69">
        <v>0</v>
      </c>
      <c r="G366" s="69">
        <v>0</v>
      </c>
      <c r="H366" s="69">
        <v>0</v>
      </c>
      <c r="I366" s="69">
        <v>0</v>
      </c>
    </row>
    <row r="367" spans="1:9">
      <c r="A367" s="219"/>
      <c r="B367" s="69" t="s">
        <v>1873</v>
      </c>
      <c r="C367" s="69" t="s">
        <v>252</v>
      </c>
      <c r="D367" s="69" t="s">
        <v>160</v>
      </c>
      <c r="E367" s="69" t="s">
        <v>81</v>
      </c>
      <c r="F367" s="69">
        <v>0</v>
      </c>
      <c r="G367" s="69">
        <v>0</v>
      </c>
      <c r="H367" s="69">
        <v>0</v>
      </c>
      <c r="I367" s="69">
        <v>0</v>
      </c>
    </row>
    <row r="368" spans="1:9">
      <c r="A368" s="219"/>
      <c r="B368" s="69" t="s">
        <v>1874</v>
      </c>
      <c r="C368" s="69" t="s">
        <v>252</v>
      </c>
      <c r="D368" s="69" t="s">
        <v>214</v>
      </c>
      <c r="E368" s="69" t="s">
        <v>123</v>
      </c>
      <c r="F368" s="69">
        <v>0</v>
      </c>
      <c r="G368" s="69">
        <v>0</v>
      </c>
      <c r="H368" s="69">
        <v>0</v>
      </c>
      <c r="I368" s="69">
        <v>0</v>
      </c>
    </row>
    <row r="369" spans="1:9">
      <c r="A369" s="219"/>
      <c r="B369" s="69" t="s">
        <v>1875</v>
      </c>
      <c r="C369" s="69" t="s">
        <v>252</v>
      </c>
      <c r="D369" s="69" t="s">
        <v>214</v>
      </c>
      <c r="E369" s="69" t="s">
        <v>123</v>
      </c>
      <c r="F369" s="69">
        <v>0</v>
      </c>
      <c r="G369" s="69">
        <v>0</v>
      </c>
      <c r="H369" s="69">
        <v>0</v>
      </c>
      <c r="I369" s="69">
        <v>0</v>
      </c>
    </row>
    <row r="370" spans="1:9">
      <c r="A370" s="219"/>
      <c r="B370" s="69" t="s">
        <v>1876</v>
      </c>
      <c r="C370" s="69" t="s">
        <v>252</v>
      </c>
      <c r="D370" s="69" t="s">
        <v>214</v>
      </c>
      <c r="E370" s="69" t="s">
        <v>123</v>
      </c>
      <c r="F370" s="69">
        <v>0</v>
      </c>
      <c r="G370" s="69">
        <v>0</v>
      </c>
      <c r="H370" s="69">
        <v>0</v>
      </c>
      <c r="I370" s="69">
        <v>0</v>
      </c>
    </row>
    <row r="371" spans="1:9">
      <c r="A371" s="219"/>
      <c r="B371" s="69" t="s">
        <v>1877</v>
      </c>
      <c r="C371" s="69" t="s">
        <v>252</v>
      </c>
      <c r="D371" s="69" t="s">
        <v>214</v>
      </c>
      <c r="E371" s="69" t="s">
        <v>123</v>
      </c>
      <c r="F371" s="69">
        <v>0</v>
      </c>
      <c r="G371" s="69">
        <v>0</v>
      </c>
      <c r="H371" s="69">
        <v>0</v>
      </c>
      <c r="I371" s="69">
        <v>0</v>
      </c>
    </row>
    <row r="372" spans="1:9">
      <c r="A372" s="219"/>
      <c r="B372" s="69" t="s">
        <v>1878</v>
      </c>
      <c r="C372" s="69" t="s">
        <v>252</v>
      </c>
      <c r="D372" s="69" t="s">
        <v>214</v>
      </c>
      <c r="E372" s="69" t="s">
        <v>123</v>
      </c>
      <c r="F372" s="69">
        <v>0</v>
      </c>
      <c r="G372" s="69">
        <v>0</v>
      </c>
      <c r="H372" s="69">
        <v>0</v>
      </c>
      <c r="I372" s="69">
        <v>0</v>
      </c>
    </row>
    <row r="373" spans="1:9">
      <c r="A373" s="219"/>
      <c r="B373" s="69" t="s">
        <v>1879</v>
      </c>
      <c r="C373" s="69" t="s">
        <v>252</v>
      </c>
      <c r="D373" s="69" t="s">
        <v>214</v>
      </c>
      <c r="E373" s="69" t="s">
        <v>123</v>
      </c>
      <c r="F373" s="69">
        <v>0</v>
      </c>
      <c r="G373" s="69">
        <v>0</v>
      </c>
      <c r="H373" s="69">
        <v>0</v>
      </c>
      <c r="I373" s="69">
        <v>0</v>
      </c>
    </row>
    <row r="374" spans="1:9">
      <c r="A374" s="219"/>
      <c r="B374" s="69" t="s">
        <v>1880</v>
      </c>
      <c r="C374" s="69" t="s">
        <v>252</v>
      </c>
      <c r="D374" s="69" t="s">
        <v>214</v>
      </c>
      <c r="E374" s="69" t="s">
        <v>123</v>
      </c>
      <c r="F374" s="69">
        <v>0</v>
      </c>
      <c r="G374" s="69">
        <v>0</v>
      </c>
      <c r="H374" s="69">
        <v>0</v>
      </c>
      <c r="I374" s="69">
        <v>0</v>
      </c>
    </row>
    <row r="375" spans="1:9">
      <c r="A375" s="219"/>
      <c r="B375" s="69" t="s">
        <v>1881</v>
      </c>
      <c r="C375" s="69" t="s">
        <v>252</v>
      </c>
      <c r="D375" s="69" t="s">
        <v>214</v>
      </c>
      <c r="E375" s="69" t="s">
        <v>123</v>
      </c>
      <c r="F375" s="69">
        <v>98</v>
      </c>
      <c r="G375" s="69">
        <v>0</v>
      </c>
      <c r="H375" s="69">
        <v>98</v>
      </c>
      <c r="I375" s="69">
        <v>0</v>
      </c>
    </row>
    <row r="376" spans="1:9">
      <c r="A376" s="219"/>
      <c r="B376" s="69" t="s">
        <v>1882</v>
      </c>
      <c r="C376" s="69" t="s">
        <v>252</v>
      </c>
      <c r="D376" s="69" t="s">
        <v>214</v>
      </c>
      <c r="E376" s="69" t="s">
        <v>123</v>
      </c>
      <c r="F376" s="69">
        <v>0</v>
      </c>
      <c r="G376" s="69">
        <v>0</v>
      </c>
      <c r="H376" s="69">
        <v>0</v>
      </c>
      <c r="I376" s="69">
        <v>0</v>
      </c>
    </row>
    <row r="377" spans="1:9">
      <c r="A377" s="219"/>
      <c r="B377" s="69" t="s">
        <v>1883</v>
      </c>
      <c r="C377" s="69" t="s">
        <v>252</v>
      </c>
      <c r="D377" s="69" t="s">
        <v>214</v>
      </c>
      <c r="E377" s="69" t="s">
        <v>123</v>
      </c>
      <c r="F377" s="69">
        <v>236.6</v>
      </c>
      <c r="G377" s="69">
        <v>0</v>
      </c>
      <c r="H377" s="69">
        <v>236.6</v>
      </c>
      <c r="I377" s="69">
        <v>0</v>
      </c>
    </row>
    <row r="378" spans="1:9">
      <c r="A378" s="219"/>
      <c r="B378" s="69" t="s">
        <v>1884</v>
      </c>
      <c r="C378" s="69" t="s">
        <v>252</v>
      </c>
      <c r="D378" s="69" t="s">
        <v>214</v>
      </c>
      <c r="E378" s="69" t="s">
        <v>123</v>
      </c>
      <c r="F378" s="69">
        <v>0</v>
      </c>
      <c r="G378" s="69">
        <v>0</v>
      </c>
      <c r="H378" s="69">
        <v>0</v>
      </c>
      <c r="I378" s="69">
        <v>0</v>
      </c>
    </row>
    <row r="379" spans="1:9">
      <c r="A379" s="219"/>
      <c r="B379" s="69" t="s">
        <v>1885</v>
      </c>
      <c r="C379" s="69" t="s">
        <v>252</v>
      </c>
      <c r="D379" s="69" t="s">
        <v>214</v>
      </c>
      <c r="E379" s="69" t="s">
        <v>123</v>
      </c>
      <c r="F379" s="69">
        <v>0</v>
      </c>
      <c r="G379" s="69">
        <v>0</v>
      </c>
      <c r="H379" s="69">
        <v>0</v>
      </c>
      <c r="I379" s="69">
        <v>0</v>
      </c>
    </row>
    <row r="380" spans="1:9">
      <c r="A380" s="219"/>
      <c r="B380" s="69" t="s">
        <v>1886</v>
      </c>
      <c r="C380" s="69" t="s">
        <v>252</v>
      </c>
      <c r="D380" s="69" t="s">
        <v>214</v>
      </c>
      <c r="E380" s="69" t="s">
        <v>123</v>
      </c>
      <c r="F380" s="69">
        <v>0</v>
      </c>
      <c r="G380" s="69">
        <v>0</v>
      </c>
      <c r="H380" s="69">
        <v>0</v>
      </c>
      <c r="I380" s="69">
        <v>0</v>
      </c>
    </row>
    <row r="381" spans="1:9">
      <c r="A381" s="219"/>
      <c r="B381" s="69" t="s">
        <v>1887</v>
      </c>
      <c r="C381" s="69" t="s">
        <v>252</v>
      </c>
      <c r="D381" s="69" t="s">
        <v>214</v>
      </c>
      <c r="E381" s="69" t="s">
        <v>123</v>
      </c>
      <c r="F381" s="69">
        <v>0</v>
      </c>
      <c r="G381" s="69">
        <v>582.9</v>
      </c>
      <c r="H381" s="69">
        <v>582.9</v>
      </c>
      <c r="I381" s="69">
        <v>0</v>
      </c>
    </row>
    <row r="382" spans="1:9">
      <c r="A382" s="219"/>
      <c r="B382" s="69" t="s">
        <v>1888</v>
      </c>
      <c r="C382" s="69" t="s">
        <v>252</v>
      </c>
      <c r="D382" s="69" t="s">
        <v>214</v>
      </c>
      <c r="E382" s="69" t="s">
        <v>123</v>
      </c>
      <c r="F382" s="69">
        <v>0</v>
      </c>
      <c r="G382" s="69">
        <v>877.9</v>
      </c>
      <c r="H382" s="69">
        <v>877.9</v>
      </c>
      <c r="I382" s="69">
        <v>0</v>
      </c>
    </row>
    <row r="383" spans="1:9">
      <c r="A383" s="219"/>
      <c r="B383" s="69" t="s">
        <v>1889</v>
      </c>
      <c r="C383" s="69" t="s">
        <v>252</v>
      </c>
      <c r="D383" s="69" t="s">
        <v>214</v>
      </c>
      <c r="E383" s="69" t="s">
        <v>123</v>
      </c>
      <c r="F383" s="69">
        <v>0</v>
      </c>
      <c r="G383" s="69">
        <v>337.5</v>
      </c>
      <c r="H383" s="69">
        <v>337.5</v>
      </c>
      <c r="I383" s="69">
        <v>0</v>
      </c>
    </row>
    <row r="384" spans="1:9">
      <c r="A384" s="219"/>
      <c r="B384" s="69" t="s">
        <v>1890</v>
      </c>
      <c r="C384" s="69" t="s">
        <v>252</v>
      </c>
      <c r="D384" s="69" t="s">
        <v>214</v>
      </c>
      <c r="E384" s="69" t="s">
        <v>123</v>
      </c>
      <c r="F384" s="69">
        <v>0</v>
      </c>
      <c r="G384" s="69">
        <v>356.1</v>
      </c>
      <c r="H384" s="69">
        <v>356.1</v>
      </c>
      <c r="I384" s="69">
        <v>0</v>
      </c>
    </row>
    <row r="385" spans="1:9">
      <c r="A385" s="219"/>
      <c r="B385" s="69" t="s">
        <v>1891</v>
      </c>
      <c r="C385" s="69" t="s">
        <v>252</v>
      </c>
      <c r="D385" s="69" t="s">
        <v>214</v>
      </c>
      <c r="E385" s="69" t="s">
        <v>123</v>
      </c>
      <c r="F385" s="69">
        <v>0</v>
      </c>
      <c r="G385" s="69">
        <v>166.7</v>
      </c>
      <c r="H385" s="69">
        <v>166.7</v>
      </c>
      <c r="I385" s="69">
        <v>0</v>
      </c>
    </row>
    <row r="386" spans="1:9">
      <c r="A386" s="219"/>
      <c r="B386" s="69" t="s">
        <v>1892</v>
      </c>
      <c r="C386" s="69" t="s">
        <v>252</v>
      </c>
      <c r="D386" s="69" t="s">
        <v>214</v>
      </c>
      <c r="E386" s="69" t="s">
        <v>123</v>
      </c>
      <c r="F386" s="69">
        <v>0</v>
      </c>
      <c r="G386" s="69">
        <v>285.60000000000002</v>
      </c>
      <c r="H386" s="69">
        <v>285.60000000000002</v>
      </c>
      <c r="I386" s="69">
        <v>0</v>
      </c>
    </row>
    <row r="387" spans="1:9">
      <c r="A387" s="219"/>
      <c r="B387" s="69" t="s">
        <v>1893</v>
      </c>
      <c r="C387" s="69" t="s">
        <v>252</v>
      </c>
      <c r="D387" s="69" t="s">
        <v>214</v>
      </c>
      <c r="E387" s="69" t="s">
        <v>123</v>
      </c>
      <c r="F387" s="69">
        <v>0</v>
      </c>
      <c r="G387" s="69">
        <v>353.6</v>
      </c>
      <c r="H387" s="69">
        <v>353.6</v>
      </c>
      <c r="I387" s="69">
        <v>0</v>
      </c>
    </row>
    <row r="388" spans="1:9">
      <c r="A388" s="219"/>
      <c r="B388" s="69" t="s">
        <v>1894</v>
      </c>
      <c r="C388" s="69" t="s">
        <v>252</v>
      </c>
      <c r="D388" s="69" t="s">
        <v>214</v>
      </c>
      <c r="E388" s="69" t="s">
        <v>123</v>
      </c>
      <c r="F388" s="69">
        <v>0</v>
      </c>
      <c r="G388" s="69">
        <v>685</v>
      </c>
      <c r="H388" s="69">
        <v>685</v>
      </c>
      <c r="I388" s="69">
        <v>0</v>
      </c>
    </row>
    <row r="389" spans="1:9">
      <c r="A389" s="219"/>
      <c r="B389" s="69" t="s">
        <v>1895</v>
      </c>
      <c r="C389" s="69" t="s">
        <v>252</v>
      </c>
      <c r="D389" s="69" t="s">
        <v>214</v>
      </c>
      <c r="E389" s="69" t="s">
        <v>123</v>
      </c>
      <c r="F389" s="69">
        <v>0</v>
      </c>
      <c r="G389" s="69">
        <v>335.5</v>
      </c>
      <c r="H389" s="69">
        <v>335.5</v>
      </c>
      <c r="I389" s="69">
        <v>0</v>
      </c>
    </row>
    <row r="390" spans="1:9">
      <c r="A390" s="219"/>
      <c r="B390" s="69" t="s">
        <v>1896</v>
      </c>
      <c r="C390" s="69" t="s">
        <v>252</v>
      </c>
      <c r="D390" s="69" t="s">
        <v>214</v>
      </c>
      <c r="E390" s="69" t="s">
        <v>123</v>
      </c>
      <c r="F390" s="69">
        <v>0</v>
      </c>
      <c r="G390" s="69">
        <v>718</v>
      </c>
      <c r="H390" s="69">
        <v>718</v>
      </c>
      <c r="I390" s="69">
        <v>0</v>
      </c>
    </row>
    <row r="391" spans="1:9">
      <c r="A391" s="219"/>
      <c r="B391" s="69" t="s">
        <v>1667</v>
      </c>
      <c r="C391" s="69" t="s">
        <v>252</v>
      </c>
      <c r="D391" s="69" t="s">
        <v>214</v>
      </c>
      <c r="E391" s="69" t="s">
        <v>123</v>
      </c>
      <c r="F391" s="69">
        <v>0</v>
      </c>
      <c r="G391" s="69">
        <v>853.2</v>
      </c>
      <c r="H391" s="69">
        <v>853.2</v>
      </c>
      <c r="I391" s="69">
        <v>0</v>
      </c>
    </row>
    <row r="392" spans="1:9">
      <c r="A392" s="219"/>
      <c r="B392" s="69" t="s">
        <v>1668</v>
      </c>
      <c r="C392" s="69" t="s">
        <v>252</v>
      </c>
      <c r="D392" s="69" t="s">
        <v>214</v>
      </c>
      <c r="E392" s="69" t="s">
        <v>123</v>
      </c>
      <c r="F392" s="69">
        <v>0</v>
      </c>
      <c r="G392" s="69">
        <v>380.4</v>
      </c>
      <c r="H392" s="69">
        <v>380.4</v>
      </c>
      <c r="I392" s="69">
        <v>0</v>
      </c>
    </row>
    <row r="393" spans="1:9">
      <c r="A393" s="219"/>
      <c r="B393" s="69" t="s">
        <v>1897</v>
      </c>
      <c r="C393" s="69" t="s">
        <v>252</v>
      </c>
      <c r="D393" s="69" t="s">
        <v>214</v>
      </c>
      <c r="E393" s="69" t="s">
        <v>123</v>
      </c>
      <c r="F393" s="69">
        <v>0</v>
      </c>
      <c r="G393" s="69">
        <v>319.5</v>
      </c>
      <c r="H393" s="69">
        <v>78</v>
      </c>
      <c r="I393" s="69">
        <v>241.5</v>
      </c>
    </row>
    <row r="394" spans="1:9">
      <c r="A394" s="219"/>
      <c r="B394" s="69" t="s">
        <v>1898</v>
      </c>
      <c r="C394" s="69" t="s">
        <v>252</v>
      </c>
      <c r="D394" s="69" t="s">
        <v>214</v>
      </c>
      <c r="E394" s="69" t="s">
        <v>123</v>
      </c>
      <c r="F394" s="69">
        <v>0</v>
      </c>
      <c r="G394" s="69">
        <v>566.5</v>
      </c>
      <c r="H394" s="69">
        <v>0</v>
      </c>
      <c r="I394" s="69">
        <v>566.5</v>
      </c>
    </row>
    <row r="395" spans="1:9">
      <c r="A395" s="219"/>
      <c r="B395" s="69" t="s">
        <v>1899</v>
      </c>
      <c r="C395" s="69" t="s">
        <v>252</v>
      </c>
      <c r="D395" s="69" t="s">
        <v>214</v>
      </c>
      <c r="E395" s="69" t="s">
        <v>123</v>
      </c>
      <c r="F395" s="69">
        <v>0</v>
      </c>
      <c r="G395" s="69">
        <v>485.7</v>
      </c>
      <c r="H395" s="69">
        <v>0</v>
      </c>
      <c r="I395" s="69">
        <v>485.7</v>
      </c>
    </row>
    <row r="396" spans="1:9">
      <c r="A396" s="219"/>
      <c r="B396" s="69" t="s">
        <v>1900</v>
      </c>
      <c r="C396" s="69" t="s">
        <v>252</v>
      </c>
      <c r="D396" s="69" t="s">
        <v>214</v>
      </c>
      <c r="E396" s="69" t="s">
        <v>123</v>
      </c>
      <c r="F396" s="69">
        <v>0</v>
      </c>
      <c r="G396" s="69">
        <v>533.70000000000005</v>
      </c>
      <c r="H396" s="69">
        <v>533.70000000000005</v>
      </c>
      <c r="I396" s="69">
        <v>0</v>
      </c>
    </row>
    <row r="397" spans="1:9">
      <c r="A397" s="219"/>
      <c r="B397" s="69"/>
      <c r="C397" s="24" t="s">
        <v>990</v>
      </c>
      <c r="D397" s="24"/>
      <c r="E397" s="24"/>
      <c r="F397" s="24">
        <v>334.6</v>
      </c>
      <c r="G397" s="24">
        <v>7837.8</v>
      </c>
      <c r="H397" s="24">
        <v>6878.7</v>
      </c>
      <c r="I397" s="24">
        <v>1293.7</v>
      </c>
    </row>
    <row r="398" spans="1:9">
      <c r="A398" s="219"/>
      <c r="B398" s="69"/>
      <c r="C398" s="69"/>
      <c r="D398" s="69"/>
      <c r="E398" s="69"/>
      <c r="F398" s="69">
        <v>47080.53</v>
      </c>
      <c r="G398" s="69">
        <v>88069.5</v>
      </c>
      <c r="H398" s="69">
        <v>61757.279999999999</v>
      </c>
      <c r="I398" s="69">
        <v>73392.75</v>
      </c>
    </row>
    <row r="399" spans="1:9">
      <c r="A399" s="219"/>
      <c r="B399" s="219"/>
      <c r="C399" s="219"/>
      <c r="D399" s="219"/>
      <c r="E399" s="219"/>
      <c r="F399" s="219"/>
      <c r="G399" s="219"/>
      <c r="H399" s="219"/>
      <c r="I399" s="219"/>
    </row>
  </sheetData>
  <mergeCells count="1">
    <mergeCell ref="A1:I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J162"/>
  <sheetViews>
    <sheetView workbookViewId="0">
      <selection activeCell="E19" sqref="E19"/>
    </sheetView>
  </sheetViews>
  <sheetFormatPr defaultRowHeight="15"/>
  <cols>
    <col min="2" max="2" width="29.42578125" bestFit="1" customWidth="1"/>
    <col min="3" max="3" width="33.42578125" customWidth="1"/>
    <col min="4" max="4" width="19" customWidth="1"/>
    <col min="5" max="5" width="17" customWidth="1"/>
    <col min="6" max="6" width="15.7109375" bestFit="1" customWidth="1"/>
    <col min="7" max="7" width="19" customWidth="1"/>
    <col min="8" max="8" width="22.5703125" style="28" customWidth="1"/>
    <col min="9" max="9" width="11.7109375" bestFit="1" customWidth="1"/>
    <col min="10" max="10" width="9.85546875" bestFit="1" customWidth="1"/>
  </cols>
  <sheetData>
    <row r="1" spans="1:8">
      <c r="A1" s="30"/>
      <c r="B1" s="84" t="s">
        <v>157</v>
      </c>
      <c r="C1" s="84" t="s">
        <v>216</v>
      </c>
      <c r="D1" s="84" t="s">
        <v>217</v>
      </c>
      <c r="E1" s="84" t="s">
        <v>218</v>
      </c>
      <c r="F1" s="84" t="s">
        <v>219</v>
      </c>
      <c r="G1" s="84" t="s">
        <v>220</v>
      </c>
    </row>
    <row r="2" spans="1:8">
      <c r="A2" s="80"/>
      <c r="B2" s="33" t="s">
        <v>159</v>
      </c>
      <c r="C2" s="33" t="s">
        <v>87</v>
      </c>
      <c r="D2" s="81" t="s">
        <v>393</v>
      </c>
      <c r="E2" s="86" t="s">
        <v>225</v>
      </c>
      <c r="F2" s="83" t="s">
        <v>394</v>
      </c>
      <c r="G2" s="82">
        <v>1268638681.3699999</v>
      </c>
      <c r="H2" s="31" t="s">
        <v>223</v>
      </c>
    </row>
    <row r="3" spans="1:8">
      <c r="A3" s="80"/>
      <c r="B3" s="33" t="s">
        <v>159</v>
      </c>
      <c r="C3" s="33" t="s">
        <v>61</v>
      </c>
      <c r="D3" s="81" t="s">
        <v>395</v>
      </c>
      <c r="E3" s="86" t="s">
        <v>396</v>
      </c>
      <c r="F3" s="86" t="s">
        <v>225</v>
      </c>
      <c r="G3" s="82">
        <v>379445104.51999998</v>
      </c>
      <c r="H3" s="31" t="s">
        <v>224</v>
      </c>
    </row>
    <row r="4" spans="1:8">
      <c r="D4" s="28"/>
      <c r="E4" s="28"/>
      <c r="F4" s="28"/>
      <c r="G4" s="32">
        <f>+G2-G3</f>
        <v>889193576.8499999</v>
      </c>
    </row>
    <row r="5" spans="1:8">
      <c r="D5" s="28"/>
      <c r="E5" s="28"/>
      <c r="F5" s="28"/>
      <c r="G5" s="28"/>
    </row>
    <row r="6" spans="1:8">
      <c r="D6" s="28"/>
      <c r="E6" s="28"/>
      <c r="F6" s="28"/>
      <c r="G6" s="28"/>
    </row>
    <row r="7" spans="1:8">
      <c r="A7" s="30"/>
      <c r="B7" s="84" t="s">
        <v>157</v>
      </c>
      <c r="C7" s="84" t="s">
        <v>216</v>
      </c>
      <c r="D7" s="84" t="s">
        <v>217</v>
      </c>
      <c r="E7" s="84" t="s">
        <v>218</v>
      </c>
      <c r="F7" s="84" t="s">
        <v>219</v>
      </c>
      <c r="G7" s="84" t="s">
        <v>220</v>
      </c>
    </row>
    <row r="8" spans="1:8">
      <c r="A8" s="80"/>
      <c r="B8" s="33" t="s">
        <v>270</v>
      </c>
      <c r="C8" s="33" t="s">
        <v>221</v>
      </c>
      <c r="D8" s="81" t="s">
        <v>397</v>
      </c>
      <c r="E8" s="86" t="s">
        <v>225</v>
      </c>
      <c r="F8" s="86" t="s">
        <v>398</v>
      </c>
      <c r="G8" s="82">
        <v>485516110.17000002</v>
      </c>
      <c r="H8" s="31" t="s">
        <v>223</v>
      </c>
    </row>
    <row r="9" spans="1:8">
      <c r="A9" s="80"/>
      <c r="B9" s="33" t="s">
        <v>270</v>
      </c>
      <c r="C9" s="33" t="s">
        <v>222</v>
      </c>
      <c r="D9" s="81" t="s">
        <v>399</v>
      </c>
      <c r="E9" s="83" t="s">
        <v>400</v>
      </c>
      <c r="F9" s="86" t="s">
        <v>225</v>
      </c>
      <c r="G9" s="82">
        <v>1374942779.9200001</v>
      </c>
      <c r="H9" s="31" t="s">
        <v>224</v>
      </c>
    </row>
    <row r="10" spans="1:8">
      <c r="D10" s="4">
        <f>1330150595.08-1223846496.54</f>
        <v>106304098.53999996</v>
      </c>
      <c r="F10">
        <f>4608566.14-4374485</f>
        <v>234081.13999999966</v>
      </c>
      <c r="G10">
        <f>+G8-G9</f>
        <v>-889426669.75</v>
      </c>
    </row>
    <row r="11" spans="1:8">
      <c r="D11" s="4">
        <f>481141625.17-374836538.38</f>
        <v>106305086.79000002</v>
      </c>
      <c r="E11" s="483" t="s">
        <v>379</v>
      </c>
      <c r="F11" s="483"/>
      <c r="G11" s="15">
        <f>+G4+G10</f>
        <v>-233092.90000009537</v>
      </c>
      <c r="H11" s="28" t="s">
        <v>228</v>
      </c>
    </row>
    <row r="12" spans="1:8">
      <c r="D12" s="4">
        <f>+D10-D11</f>
        <v>-988.25000005960464</v>
      </c>
      <c r="E12" s="4"/>
      <c r="H12" s="28">
        <f>233092+55872</f>
        <v>288964</v>
      </c>
    </row>
    <row r="14" spans="1:8">
      <c r="A14" s="12"/>
      <c r="B14" s="26" t="s">
        <v>157</v>
      </c>
      <c r="C14" s="26" t="s">
        <v>216</v>
      </c>
      <c r="D14" s="26" t="s">
        <v>217</v>
      </c>
      <c r="E14" s="26" t="s">
        <v>218</v>
      </c>
      <c r="F14" s="26" t="s">
        <v>219</v>
      </c>
      <c r="G14" s="26" t="s">
        <v>220</v>
      </c>
    </row>
    <row r="15" spans="1:8">
      <c r="A15" s="13"/>
      <c r="B15" s="70" t="s">
        <v>159</v>
      </c>
      <c r="C15" s="81" t="s">
        <v>89</v>
      </c>
      <c r="D15" s="70" t="s">
        <v>401</v>
      </c>
      <c r="E15" s="70" t="s">
        <v>225</v>
      </c>
      <c r="F15" s="70" t="s">
        <v>402</v>
      </c>
      <c r="G15" s="61">
        <v>348978163.75999999</v>
      </c>
      <c r="H15" s="35" t="s">
        <v>223</v>
      </c>
    </row>
    <row r="16" spans="1:8">
      <c r="A16" s="13"/>
      <c r="B16" s="70" t="s">
        <v>159</v>
      </c>
      <c r="C16" s="81" t="s">
        <v>226</v>
      </c>
      <c r="D16" s="70" t="s">
        <v>403</v>
      </c>
      <c r="E16" s="70" t="s">
        <v>225</v>
      </c>
      <c r="F16" s="70" t="s">
        <v>225</v>
      </c>
      <c r="G16" s="61">
        <v>58858392.100000001</v>
      </c>
      <c r="H16" s="35" t="s">
        <v>224</v>
      </c>
    </row>
    <row r="17" spans="1:8">
      <c r="G17" s="15">
        <f>+G15-G16</f>
        <v>290119771.65999997</v>
      </c>
    </row>
    <row r="19" spans="1:8">
      <c r="A19" s="12"/>
      <c r="B19" s="26" t="s">
        <v>157</v>
      </c>
      <c r="C19" s="26" t="s">
        <v>216</v>
      </c>
      <c r="D19" s="26" t="s">
        <v>217</v>
      </c>
      <c r="E19" s="26" t="s">
        <v>218</v>
      </c>
      <c r="F19" s="26" t="s">
        <v>219</v>
      </c>
      <c r="G19" s="26" t="s">
        <v>220</v>
      </c>
    </row>
    <row r="20" spans="1:8">
      <c r="A20" s="13"/>
      <c r="B20" s="70" t="s">
        <v>227</v>
      </c>
      <c r="C20" s="70" t="s">
        <v>221</v>
      </c>
      <c r="D20" s="70" t="s">
        <v>404</v>
      </c>
      <c r="E20" s="70" t="s">
        <v>225</v>
      </c>
      <c r="F20" s="70" t="s">
        <v>225</v>
      </c>
      <c r="G20" s="61">
        <v>7704932.1299999999</v>
      </c>
      <c r="H20" s="35" t="s">
        <v>224</v>
      </c>
    </row>
    <row r="21" spans="1:8">
      <c r="A21" s="13"/>
      <c r="B21" s="70" t="s">
        <v>227</v>
      </c>
      <c r="C21" s="70" t="s">
        <v>222</v>
      </c>
      <c r="D21" s="70" t="s">
        <v>405</v>
      </c>
      <c r="E21" s="70" t="s">
        <v>406</v>
      </c>
      <c r="F21" s="70" t="s">
        <v>225</v>
      </c>
      <c r="G21" s="61">
        <v>282414841.50999999</v>
      </c>
      <c r="H21" s="35" t="s">
        <v>224</v>
      </c>
    </row>
    <row r="22" spans="1:8">
      <c r="D22" s="4"/>
      <c r="G22" s="15">
        <f>+G21+G20</f>
        <v>290119773.63999999</v>
      </c>
    </row>
    <row r="23" spans="1:8">
      <c r="G23" s="15">
        <f>+G17-G22</f>
        <v>-1.9800000190734863</v>
      </c>
      <c r="H23" s="28" t="s">
        <v>228</v>
      </c>
    </row>
    <row r="26" spans="1:8">
      <c r="A26" s="30"/>
      <c r="B26" s="84" t="s">
        <v>157</v>
      </c>
      <c r="C26" s="84" t="s">
        <v>216</v>
      </c>
      <c r="D26" s="84" t="s">
        <v>217</v>
      </c>
      <c r="E26" s="84" t="s">
        <v>218</v>
      </c>
      <c r="F26" s="84" t="s">
        <v>219</v>
      </c>
      <c r="G26" s="84" t="s">
        <v>220</v>
      </c>
    </row>
    <row r="27" spans="1:8">
      <c r="A27" s="80"/>
      <c r="B27" s="33" t="s">
        <v>159</v>
      </c>
      <c r="C27" s="33" t="s">
        <v>94</v>
      </c>
      <c r="D27" s="81" t="s">
        <v>358</v>
      </c>
      <c r="E27" s="81" t="s">
        <v>225</v>
      </c>
      <c r="F27" s="81" t="s">
        <v>407</v>
      </c>
      <c r="G27" s="61">
        <v>390981903.16000003</v>
      </c>
      <c r="H27" s="77" t="s">
        <v>223</v>
      </c>
    </row>
    <row r="28" spans="1:8">
      <c r="A28" s="80"/>
      <c r="B28" s="33" t="s">
        <v>159</v>
      </c>
      <c r="C28" s="33" t="s">
        <v>73</v>
      </c>
      <c r="D28" s="81" t="s">
        <v>353</v>
      </c>
      <c r="E28" s="86" t="s">
        <v>408</v>
      </c>
      <c r="F28" s="81" t="s">
        <v>409</v>
      </c>
      <c r="G28" s="61">
        <v>285961213.89999998</v>
      </c>
      <c r="H28" s="77" t="s">
        <v>224</v>
      </c>
    </row>
    <row r="29" spans="1:8">
      <c r="G29" s="15">
        <f>+G27-G28</f>
        <v>105020689.26000005</v>
      </c>
    </row>
    <row r="31" spans="1:8">
      <c r="A31" s="30"/>
      <c r="B31" s="84" t="s">
        <v>157</v>
      </c>
      <c r="C31" s="84" t="s">
        <v>216</v>
      </c>
      <c r="D31" s="84" t="s">
        <v>217</v>
      </c>
      <c r="E31" s="84" t="s">
        <v>218</v>
      </c>
      <c r="F31" s="84" t="s">
        <v>219</v>
      </c>
      <c r="G31" s="84" t="s">
        <v>220</v>
      </c>
    </row>
    <row r="32" spans="1:8">
      <c r="A32" s="80"/>
      <c r="B32" s="33" t="s">
        <v>271</v>
      </c>
      <c r="C32" s="33" t="s">
        <v>221</v>
      </c>
      <c r="D32" s="81" t="s">
        <v>410</v>
      </c>
      <c r="E32" s="86" t="s">
        <v>411</v>
      </c>
      <c r="F32" s="86" t="s">
        <v>412</v>
      </c>
      <c r="G32" s="61">
        <v>290812328.31999999</v>
      </c>
      <c r="H32" s="77" t="s">
        <v>223</v>
      </c>
    </row>
    <row r="33" spans="1:8">
      <c r="A33" s="80"/>
      <c r="B33" s="33" t="s">
        <v>271</v>
      </c>
      <c r="C33" s="33" t="s">
        <v>222</v>
      </c>
      <c r="D33" s="81" t="s">
        <v>413</v>
      </c>
      <c r="E33" s="81" t="s">
        <v>414</v>
      </c>
      <c r="F33" s="81" t="s">
        <v>225</v>
      </c>
      <c r="G33" s="61">
        <v>394155561.94</v>
      </c>
      <c r="H33" s="77" t="s">
        <v>224</v>
      </c>
    </row>
    <row r="34" spans="1:8">
      <c r="E34" t="s">
        <v>231</v>
      </c>
      <c r="G34" s="15">
        <f>+G33-G32</f>
        <v>103343233.62</v>
      </c>
    </row>
    <row r="35" spans="1:8">
      <c r="F35" t="s">
        <v>231</v>
      </c>
      <c r="G35" s="15">
        <f>+G29-G34</f>
        <v>1677455.6400000453</v>
      </c>
    </row>
    <row r="37" spans="1:8">
      <c r="A37" s="12"/>
      <c r="B37" s="26" t="s">
        <v>157</v>
      </c>
      <c r="C37" s="26" t="s">
        <v>216</v>
      </c>
      <c r="D37" s="26" t="s">
        <v>217</v>
      </c>
      <c r="E37" s="26" t="s">
        <v>218</v>
      </c>
      <c r="F37" s="26" t="s">
        <v>219</v>
      </c>
      <c r="G37" s="26" t="s">
        <v>220</v>
      </c>
    </row>
    <row r="38" spans="1:8" ht="30">
      <c r="A38" s="13"/>
      <c r="B38" s="70" t="s">
        <v>159</v>
      </c>
      <c r="C38" s="70" t="s">
        <v>90</v>
      </c>
      <c r="D38" s="70" t="s">
        <v>355</v>
      </c>
      <c r="E38" s="81" t="s">
        <v>225</v>
      </c>
      <c r="F38" s="83" t="s">
        <v>415</v>
      </c>
      <c r="G38" s="82">
        <v>34100165.75</v>
      </c>
      <c r="H38" s="35" t="s">
        <v>223</v>
      </c>
    </row>
    <row r="39" spans="1:8">
      <c r="A39" s="13"/>
      <c r="B39" s="70" t="s">
        <v>159</v>
      </c>
      <c r="C39" s="70" t="s">
        <v>55</v>
      </c>
      <c r="D39" s="70" t="s">
        <v>351</v>
      </c>
      <c r="E39" s="81" t="s">
        <v>225</v>
      </c>
      <c r="F39" s="81" t="s">
        <v>225</v>
      </c>
      <c r="G39" s="82">
        <v>13926708.33</v>
      </c>
      <c r="H39" s="35" t="s">
        <v>224</v>
      </c>
    </row>
    <row r="40" spans="1:8">
      <c r="G40" s="79">
        <f>+G38-G39</f>
        <v>20173457.420000002</v>
      </c>
    </row>
    <row r="41" spans="1:8">
      <c r="D41" t="s">
        <v>231</v>
      </c>
    </row>
    <row r="42" spans="1:8">
      <c r="A42" s="12"/>
      <c r="B42" s="26" t="s">
        <v>157</v>
      </c>
      <c r="C42" s="26" t="s">
        <v>216</v>
      </c>
      <c r="D42" s="26" t="s">
        <v>217</v>
      </c>
      <c r="E42" s="26" t="s">
        <v>218</v>
      </c>
      <c r="F42" s="26" t="s">
        <v>219</v>
      </c>
      <c r="G42" s="26" t="s">
        <v>220</v>
      </c>
    </row>
    <row r="43" spans="1:8" ht="30">
      <c r="A43" s="13"/>
      <c r="B43" s="70" t="s">
        <v>391</v>
      </c>
      <c r="C43" s="70" t="s">
        <v>221</v>
      </c>
      <c r="D43" s="70" t="s">
        <v>416</v>
      </c>
      <c r="E43" s="81" t="s">
        <v>225</v>
      </c>
      <c r="F43" s="81" t="s">
        <v>225</v>
      </c>
      <c r="G43" s="82">
        <v>13926677.300000001</v>
      </c>
      <c r="H43" s="35" t="s">
        <v>223</v>
      </c>
    </row>
    <row r="44" spans="1:8" ht="30">
      <c r="A44" s="13"/>
      <c r="B44" s="70" t="s">
        <v>391</v>
      </c>
      <c r="C44" s="70" t="s">
        <v>222</v>
      </c>
      <c r="D44" s="70" t="s">
        <v>417</v>
      </c>
      <c r="E44" s="83" t="s">
        <v>418</v>
      </c>
      <c r="F44" s="81" t="s">
        <v>225</v>
      </c>
      <c r="G44" s="82">
        <v>34098302.159999996</v>
      </c>
      <c r="H44" s="35" t="s">
        <v>224</v>
      </c>
    </row>
    <row r="45" spans="1:8">
      <c r="G45" s="79">
        <f>+G43-G44</f>
        <v>-20171624.859999996</v>
      </c>
    </row>
    <row r="46" spans="1:8">
      <c r="D46" s="4"/>
      <c r="G46">
        <f>+G45+G40</f>
        <v>1832.5600000061095</v>
      </c>
      <c r="H46" s="28" t="s">
        <v>231</v>
      </c>
    </row>
    <row r="47" spans="1:8">
      <c r="D47" t="s">
        <v>231</v>
      </c>
    </row>
    <row r="48" spans="1:8">
      <c r="A48" s="12"/>
      <c r="B48" s="26" t="s">
        <v>157</v>
      </c>
      <c r="C48" s="26" t="s">
        <v>216</v>
      </c>
      <c r="D48" s="84" t="s">
        <v>217</v>
      </c>
      <c r="E48" s="84" t="s">
        <v>218</v>
      </c>
      <c r="F48" s="84" t="s">
        <v>219</v>
      </c>
      <c r="G48" s="84" t="s">
        <v>220</v>
      </c>
    </row>
    <row r="49" spans="1:10">
      <c r="A49" s="13"/>
      <c r="B49" s="70" t="s">
        <v>159</v>
      </c>
      <c r="C49" s="70" t="s">
        <v>93</v>
      </c>
      <c r="D49" s="70" t="s">
        <v>356</v>
      </c>
      <c r="E49" s="87" t="s">
        <v>419</v>
      </c>
      <c r="F49" s="87" t="s">
        <v>420</v>
      </c>
      <c r="G49" s="61">
        <v>56376748.509999998</v>
      </c>
      <c r="H49" s="28" t="s">
        <v>347</v>
      </c>
    </row>
    <row r="50" spans="1:10">
      <c r="A50" s="13"/>
      <c r="B50" s="70" t="s">
        <v>159</v>
      </c>
      <c r="C50" s="70" t="s">
        <v>78</v>
      </c>
      <c r="D50" s="70" t="s">
        <v>352</v>
      </c>
      <c r="E50" s="85" t="s">
        <v>421</v>
      </c>
      <c r="F50" s="85" t="s">
        <v>422</v>
      </c>
      <c r="G50" s="61">
        <v>17529554.129999999</v>
      </c>
      <c r="H50" s="28" t="s">
        <v>346</v>
      </c>
    </row>
    <row r="51" spans="1:10">
      <c r="B51" s="68"/>
      <c r="C51" s="68"/>
      <c r="G51" s="15">
        <f>+G49-G50</f>
        <v>38847194.379999995</v>
      </c>
    </row>
    <row r="52" spans="1:10">
      <c r="B52" s="68"/>
      <c r="C52" s="68"/>
    </row>
    <row r="53" spans="1:10">
      <c r="A53" s="12"/>
      <c r="B53" s="26" t="s">
        <v>157</v>
      </c>
      <c r="C53" s="26" t="s">
        <v>216</v>
      </c>
      <c r="D53" s="84" t="s">
        <v>217</v>
      </c>
      <c r="E53" s="84" t="s">
        <v>218</v>
      </c>
      <c r="F53" s="84" t="s">
        <v>219</v>
      </c>
      <c r="G53" s="84" t="s">
        <v>220</v>
      </c>
    </row>
    <row r="54" spans="1:10">
      <c r="A54" s="13"/>
      <c r="B54" s="70" t="s">
        <v>272</v>
      </c>
      <c r="C54" s="70" t="s">
        <v>221</v>
      </c>
      <c r="D54" s="70" t="s">
        <v>423</v>
      </c>
      <c r="E54" s="85" t="s">
        <v>424</v>
      </c>
      <c r="F54" s="85" t="s">
        <v>425</v>
      </c>
      <c r="G54" s="61">
        <v>23809422.859999999</v>
      </c>
      <c r="H54" s="28" t="s">
        <v>347</v>
      </c>
    </row>
    <row r="55" spans="1:10">
      <c r="A55" s="13"/>
      <c r="B55" s="70" t="s">
        <v>272</v>
      </c>
      <c r="C55" s="70" t="s">
        <v>222</v>
      </c>
      <c r="D55" s="70" t="s">
        <v>426</v>
      </c>
      <c r="E55" s="87" t="s">
        <v>427</v>
      </c>
      <c r="F55" s="87" t="s">
        <v>428</v>
      </c>
      <c r="G55" s="61">
        <v>56456651.57</v>
      </c>
      <c r="H55" s="28" t="s">
        <v>346</v>
      </c>
    </row>
    <row r="56" spans="1:10">
      <c r="G56" s="15">
        <f>+G54-G55</f>
        <v>-32647228.710000001</v>
      </c>
      <c r="H56" s="28" t="s">
        <v>381</v>
      </c>
    </row>
    <row r="57" spans="1:10">
      <c r="G57">
        <f>+G51+G56</f>
        <v>6199965.6699999943</v>
      </c>
      <c r="H57" s="78">
        <v>6278825.8200000077</v>
      </c>
      <c r="I57">
        <f>+H57-G57</f>
        <v>78860.150000013411</v>
      </c>
      <c r="J57" t="s">
        <v>380</v>
      </c>
    </row>
    <row r="58" spans="1:10">
      <c r="I58">
        <v>78860.050000019372</v>
      </c>
    </row>
    <row r="59" spans="1:10" s="27" customFormat="1">
      <c r="A59" s="30"/>
      <c r="B59" s="84" t="s">
        <v>157</v>
      </c>
      <c r="C59" s="84" t="s">
        <v>216</v>
      </c>
      <c r="D59" s="84" t="s">
        <v>217</v>
      </c>
      <c r="E59" s="84" t="s">
        <v>218</v>
      </c>
      <c r="F59" s="84" t="s">
        <v>219</v>
      </c>
      <c r="G59" s="84" t="s">
        <v>220</v>
      </c>
      <c r="H59" s="28"/>
    </row>
    <row r="60" spans="1:10" s="27" customFormat="1">
      <c r="A60" s="80"/>
      <c r="B60" s="33" t="s">
        <v>159</v>
      </c>
      <c r="C60" s="33" t="s">
        <v>229</v>
      </c>
      <c r="D60" s="81" t="s">
        <v>225</v>
      </c>
      <c r="E60" s="81" t="s">
        <v>225</v>
      </c>
      <c r="F60" s="81" t="s">
        <v>225</v>
      </c>
      <c r="G60" s="81" t="s">
        <v>225</v>
      </c>
      <c r="H60" s="28"/>
    </row>
    <row r="61" spans="1:10" s="27" customFormat="1">
      <c r="A61" s="80"/>
      <c r="B61" s="33" t="s">
        <v>159</v>
      </c>
      <c r="C61" s="33" t="s">
        <v>66</v>
      </c>
      <c r="D61" s="81" t="s">
        <v>429</v>
      </c>
      <c r="E61" s="83" t="s">
        <v>430</v>
      </c>
      <c r="F61" s="81" t="s">
        <v>431</v>
      </c>
      <c r="G61" s="82">
        <v>142405807.03999999</v>
      </c>
      <c r="H61" s="77" t="s">
        <v>224</v>
      </c>
    </row>
    <row r="64" spans="1:10" s="27" customFormat="1">
      <c r="A64" s="30"/>
      <c r="B64" s="84" t="s">
        <v>157</v>
      </c>
      <c r="C64" s="84" t="s">
        <v>216</v>
      </c>
      <c r="D64" s="84" t="s">
        <v>217</v>
      </c>
      <c r="E64" s="84" t="s">
        <v>218</v>
      </c>
      <c r="F64" s="84" t="s">
        <v>219</v>
      </c>
      <c r="G64" s="84" t="s">
        <v>220</v>
      </c>
      <c r="H64" s="28"/>
    </row>
    <row r="65" spans="1:8" s="27" customFormat="1">
      <c r="A65" s="80"/>
      <c r="B65" s="33" t="s">
        <v>230</v>
      </c>
      <c r="C65" s="33" t="s">
        <v>221</v>
      </c>
      <c r="D65" s="81" t="s">
        <v>432</v>
      </c>
      <c r="E65" s="81" t="s">
        <v>433</v>
      </c>
      <c r="F65" s="83" t="s">
        <v>434</v>
      </c>
      <c r="G65" s="82">
        <v>147971577.08000001</v>
      </c>
      <c r="H65" s="77" t="s">
        <v>223</v>
      </c>
    </row>
    <row r="66" spans="1:8" s="27" customFormat="1">
      <c r="A66" s="80"/>
      <c r="B66" s="33" t="s">
        <v>230</v>
      </c>
      <c r="C66" s="33" t="s">
        <v>222</v>
      </c>
      <c r="D66" s="81" t="s">
        <v>225</v>
      </c>
      <c r="E66" s="81" t="s">
        <v>225</v>
      </c>
      <c r="F66" s="81" t="s">
        <v>225</v>
      </c>
      <c r="G66" s="81" t="s">
        <v>225</v>
      </c>
      <c r="H66" s="28"/>
    </row>
    <row r="67" spans="1:8">
      <c r="D67">
        <f>154957274.7-155285813.84</f>
        <v>-328539.1400000155</v>
      </c>
      <c r="E67">
        <f>25851134.81-20612300.49</f>
        <v>5238834.32</v>
      </c>
      <c r="F67">
        <f>13299667.15-13298063.73</f>
        <v>1603.4199999999255</v>
      </c>
    </row>
    <row r="68" spans="1:8">
      <c r="E68">
        <f>+E67+D67</f>
        <v>4910295.1799999848</v>
      </c>
      <c r="G68">
        <f>+G65-G61</f>
        <v>5565770.0400000215</v>
      </c>
      <c r="H68" s="28" t="s">
        <v>306</v>
      </c>
    </row>
    <row r="74" spans="1:8">
      <c r="A74" s="12"/>
      <c r="B74" s="84" t="s">
        <v>157</v>
      </c>
      <c r="C74" s="84" t="s">
        <v>216</v>
      </c>
      <c r="D74" s="84" t="s">
        <v>217</v>
      </c>
      <c r="E74" s="84" t="s">
        <v>218</v>
      </c>
      <c r="F74" s="84" t="s">
        <v>219</v>
      </c>
      <c r="G74" s="84" t="s">
        <v>220</v>
      </c>
    </row>
    <row r="75" spans="1:8">
      <c r="A75" s="13"/>
      <c r="B75" s="33" t="s">
        <v>159</v>
      </c>
      <c r="C75" s="33" t="s">
        <v>95</v>
      </c>
      <c r="D75" s="34" t="s">
        <v>357</v>
      </c>
      <c r="E75" s="34" t="s">
        <v>225</v>
      </c>
      <c r="F75" s="40" t="s">
        <v>435</v>
      </c>
      <c r="G75" s="88">
        <v>84261413.730000004</v>
      </c>
    </row>
    <row r="76" spans="1:8">
      <c r="A76" s="13"/>
      <c r="B76" s="33" t="s">
        <v>159</v>
      </c>
      <c r="C76" s="33" t="s">
        <v>232</v>
      </c>
      <c r="D76" s="34" t="s">
        <v>354</v>
      </c>
      <c r="E76" s="49" t="s">
        <v>225</v>
      </c>
      <c r="F76" s="49" t="s">
        <v>225</v>
      </c>
      <c r="G76" s="88">
        <v>1626039.52</v>
      </c>
    </row>
    <row r="77" spans="1:8">
      <c r="D77">
        <f>82463308.58-1626039.52</f>
        <v>80837269.060000002</v>
      </c>
      <c r="G77" s="79">
        <f>+G75-G76</f>
        <v>82635374.210000008</v>
      </c>
    </row>
    <row r="79" spans="1:8">
      <c r="A79" s="12"/>
      <c r="B79" s="26" t="s">
        <v>157</v>
      </c>
      <c r="C79" s="26" t="s">
        <v>216</v>
      </c>
      <c r="D79" s="26" t="s">
        <v>217</v>
      </c>
      <c r="E79" s="26" t="s">
        <v>218</v>
      </c>
      <c r="F79" s="26" t="s">
        <v>219</v>
      </c>
      <c r="G79" s="26" t="s">
        <v>220</v>
      </c>
    </row>
    <row r="80" spans="1:8">
      <c r="A80" s="13"/>
      <c r="B80" s="70" t="s">
        <v>233</v>
      </c>
      <c r="C80" s="70" t="s">
        <v>221</v>
      </c>
      <c r="D80" s="81" t="s">
        <v>436</v>
      </c>
      <c r="E80" s="50" t="s">
        <v>225</v>
      </c>
      <c r="F80" s="50" t="s">
        <v>225</v>
      </c>
      <c r="G80" s="82">
        <v>48513605.590000004</v>
      </c>
    </row>
    <row r="81" spans="1:10">
      <c r="A81" s="13"/>
      <c r="B81" s="70" t="s">
        <v>233</v>
      </c>
      <c r="C81" s="70" t="s">
        <v>222</v>
      </c>
      <c r="D81" s="81" t="s">
        <v>437</v>
      </c>
      <c r="E81" s="83" t="s">
        <v>392</v>
      </c>
      <c r="F81" s="81" t="s">
        <v>225</v>
      </c>
      <c r="G81" s="89">
        <v>101591764.56</v>
      </c>
      <c r="H81" s="32"/>
    </row>
    <row r="82" spans="1:10">
      <c r="D82">
        <f>48513605.59-99793659.24</f>
        <v>-51280053.649999991</v>
      </c>
      <c r="E82" s="47">
        <f>1798105.15-1798105.32</f>
        <v>-0.17000000015832484</v>
      </c>
      <c r="F82" s="47"/>
      <c r="G82" s="79">
        <f>+G80-G81</f>
        <v>-53078158.969999999</v>
      </c>
    </row>
    <row r="83" spans="1:10">
      <c r="D83">
        <f>+D77+D82</f>
        <v>29557215.410000011</v>
      </c>
      <c r="G83" s="79">
        <f>+G77+G82</f>
        <v>29557215.24000001</v>
      </c>
      <c r="H83" s="28">
        <v>25504642.949999999</v>
      </c>
      <c r="I83" s="79">
        <f>+G83-H83+J92</f>
        <v>4039968.9000000102</v>
      </c>
    </row>
    <row r="85" spans="1:10">
      <c r="B85" s="41"/>
      <c r="C85" s="51" t="s">
        <v>273</v>
      </c>
      <c r="D85" s="51" t="s">
        <v>218</v>
      </c>
      <c r="E85" s="51" t="s">
        <v>219</v>
      </c>
      <c r="F85" s="12"/>
      <c r="G85" s="26" t="s">
        <v>273</v>
      </c>
      <c r="H85" s="51" t="s">
        <v>218</v>
      </c>
      <c r="I85" s="26" t="s">
        <v>219</v>
      </c>
    </row>
    <row r="86" spans="1:10">
      <c r="B86" s="35"/>
      <c r="C86" s="52">
        <v>530130777247</v>
      </c>
      <c r="D86" s="38">
        <v>0</v>
      </c>
      <c r="E86" s="39">
        <v>3851711.51</v>
      </c>
      <c r="F86" s="13"/>
      <c r="G86" s="37" t="s">
        <v>325</v>
      </c>
      <c r="H86" s="39">
        <v>3851711.51</v>
      </c>
      <c r="I86" s="37">
        <v>0</v>
      </c>
    </row>
    <row r="87" spans="1:10">
      <c r="B87" s="35"/>
      <c r="C87" s="52" t="s">
        <v>321</v>
      </c>
      <c r="D87" s="38">
        <v>0</v>
      </c>
      <c r="E87" s="53">
        <v>1756059.04</v>
      </c>
      <c r="F87" s="13"/>
      <c r="G87" s="37" t="s">
        <v>326</v>
      </c>
      <c r="H87" s="39">
        <v>2781179.22</v>
      </c>
      <c r="I87" s="37">
        <v>0</v>
      </c>
    </row>
    <row r="88" spans="1:10">
      <c r="B88" s="35"/>
      <c r="C88" s="52" t="s">
        <v>322</v>
      </c>
      <c r="D88" s="38">
        <v>0</v>
      </c>
      <c r="E88" s="53">
        <v>1690859.84</v>
      </c>
      <c r="F88" s="13"/>
      <c r="G88" s="37" t="s">
        <v>326</v>
      </c>
      <c r="H88" s="39">
        <v>4399293.4800000004</v>
      </c>
      <c r="I88" s="37">
        <v>0</v>
      </c>
    </row>
    <row r="89" spans="1:10">
      <c r="B89" s="35"/>
      <c r="C89" s="52">
        <v>530130813573</v>
      </c>
      <c r="D89" s="38">
        <v>0</v>
      </c>
      <c r="E89" s="39">
        <v>2781179.22</v>
      </c>
      <c r="F89" s="13"/>
      <c r="G89" s="37" t="s">
        <v>327</v>
      </c>
      <c r="H89" s="39">
        <v>1746702.41</v>
      </c>
      <c r="I89" s="37">
        <v>0</v>
      </c>
    </row>
    <row r="90" spans="1:10">
      <c r="B90" s="35"/>
      <c r="C90" s="52">
        <v>530130813573</v>
      </c>
      <c r="D90" s="38">
        <v>0</v>
      </c>
      <c r="E90" s="39">
        <v>4399293.4800000004</v>
      </c>
      <c r="F90" s="13"/>
      <c r="G90" s="37" t="s">
        <v>328</v>
      </c>
      <c r="H90" s="39">
        <v>6664633.4400000004</v>
      </c>
      <c r="I90" s="37">
        <v>0</v>
      </c>
    </row>
    <row r="91" spans="1:10">
      <c r="B91" s="35"/>
      <c r="C91" s="52">
        <v>530130813500</v>
      </c>
      <c r="D91" s="38">
        <v>0</v>
      </c>
      <c r="E91" s="39">
        <v>1746702.12</v>
      </c>
      <c r="F91" s="13"/>
      <c r="G91" s="37" t="s">
        <v>329</v>
      </c>
      <c r="H91" s="38">
        <v>0</v>
      </c>
      <c r="I91" s="56">
        <v>13886.1</v>
      </c>
    </row>
    <row r="92" spans="1:10">
      <c r="B92" s="35"/>
      <c r="C92" s="52" t="s">
        <v>323</v>
      </c>
      <c r="D92" s="38">
        <v>0</v>
      </c>
      <c r="E92" s="53">
        <v>8053477.3200000003</v>
      </c>
      <c r="F92" s="13"/>
      <c r="G92" s="37" t="s">
        <v>330</v>
      </c>
      <c r="H92" s="38">
        <v>0</v>
      </c>
      <c r="I92" s="57">
        <v>74953.97</v>
      </c>
      <c r="J92" s="48">
        <f>+I92-D96</f>
        <v>-12603.39</v>
      </c>
    </row>
    <row r="93" spans="1:10">
      <c r="B93" s="35"/>
      <c r="C93" s="52" t="s">
        <v>323</v>
      </c>
      <c r="D93" s="38">
        <v>0</v>
      </c>
      <c r="E93" s="53">
        <v>3752357.83</v>
      </c>
      <c r="F93" s="13"/>
      <c r="G93" s="37" t="s">
        <v>331</v>
      </c>
      <c r="H93" s="39">
        <v>1643346.4</v>
      </c>
      <c r="I93" s="37">
        <v>0</v>
      </c>
    </row>
    <row r="94" spans="1:10">
      <c r="B94" s="35"/>
      <c r="C94" s="52" t="s">
        <v>323</v>
      </c>
      <c r="D94" s="38">
        <v>0</v>
      </c>
      <c r="E94" s="53">
        <v>2578796.54</v>
      </c>
      <c r="F94" s="13"/>
      <c r="G94" s="37" t="s">
        <v>332</v>
      </c>
      <c r="H94" s="39">
        <v>1375791.58</v>
      </c>
      <c r="I94" s="37">
        <v>0</v>
      </c>
    </row>
    <row r="95" spans="1:10">
      <c r="B95" s="35"/>
      <c r="C95" s="52" t="s">
        <v>323</v>
      </c>
      <c r="D95" s="38">
        <v>0</v>
      </c>
      <c r="E95" s="53">
        <v>1287409.57</v>
      </c>
      <c r="F95" s="13"/>
      <c r="G95" s="37" t="s">
        <v>332</v>
      </c>
      <c r="H95" s="39">
        <v>3570684.22</v>
      </c>
      <c r="I95" s="37">
        <v>0</v>
      </c>
    </row>
    <row r="96" spans="1:10">
      <c r="B96" s="35"/>
      <c r="C96" s="52"/>
      <c r="D96" s="54">
        <v>87557.36</v>
      </c>
      <c r="E96" s="38">
        <v>0</v>
      </c>
    </row>
    <row r="97" spans="1:8">
      <c r="B97" s="35"/>
      <c r="C97" s="52"/>
      <c r="D97" s="55">
        <v>13886.1</v>
      </c>
      <c r="E97" s="38">
        <v>0</v>
      </c>
    </row>
    <row r="98" spans="1:8">
      <c r="B98" s="35"/>
      <c r="C98" s="52">
        <v>530130813582</v>
      </c>
      <c r="D98" s="38">
        <v>0</v>
      </c>
      <c r="E98" s="39">
        <v>6664633.4400000004</v>
      </c>
    </row>
    <row r="99" spans="1:8">
      <c r="B99" s="35"/>
      <c r="C99" s="52">
        <v>530130817962</v>
      </c>
      <c r="D99" s="38">
        <v>0</v>
      </c>
      <c r="E99" s="39">
        <v>1643346.4</v>
      </c>
    </row>
    <row r="100" spans="1:8">
      <c r="B100" s="35"/>
      <c r="C100" s="52" t="s">
        <v>323</v>
      </c>
      <c r="D100" s="38">
        <v>0</v>
      </c>
      <c r="E100" s="53">
        <v>4735532.63</v>
      </c>
    </row>
    <row r="101" spans="1:8">
      <c r="B101" s="35"/>
      <c r="C101" s="52" t="s">
        <v>324</v>
      </c>
      <c r="D101" s="38">
        <v>0</v>
      </c>
      <c r="E101" s="53">
        <v>1650150.18</v>
      </c>
    </row>
    <row r="102" spans="1:8">
      <c r="B102" s="35"/>
      <c r="C102" s="52">
        <v>530130643294</v>
      </c>
      <c r="D102" s="38">
        <v>0</v>
      </c>
      <c r="E102" s="39">
        <v>1375791.58</v>
      </c>
    </row>
    <row r="103" spans="1:8">
      <c r="B103" s="35"/>
      <c r="C103" s="52">
        <v>530130643294</v>
      </c>
      <c r="D103" s="38">
        <v>0</v>
      </c>
      <c r="E103" s="39">
        <v>3570684.22</v>
      </c>
    </row>
    <row r="107" spans="1:8">
      <c r="A107" s="12"/>
      <c r="B107" s="26" t="s">
        <v>157</v>
      </c>
      <c r="C107" s="26" t="s">
        <v>216</v>
      </c>
      <c r="D107" s="26" t="s">
        <v>217</v>
      </c>
      <c r="E107" s="26" t="s">
        <v>218</v>
      </c>
      <c r="F107" s="26" t="s">
        <v>219</v>
      </c>
      <c r="G107" s="26" t="s">
        <v>220</v>
      </c>
    </row>
    <row r="108" spans="1:8">
      <c r="A108" s="13"/>
      <c r="B108" s="70" t="s">
        <v>159</v>
      </c>
      <c r="C108" s="70" t="s">
        <v>259</v>
      </c>
      <c r="D108" s="70" t="s">
        <v>336</v>
      </c>
      <c r="E108" s="70" t="s">
        <v>225</v>
      </c>
      <c r="F108" s="85" t="s">
        <v>225</v>
      </c>
      <c r="G108" s="61">
        <v>2303052.13</v>
      </c>
      <c r="H108" s="28" t="s">
        <v>223</v>
      </c>
    </row>
    <row r="109" spans="1:8">
      <c r="A109" s="13"/>
      <c r="B109" s="70" t="s">
        <v>159</v>
      </c>
      <c r="C109" s="70" t="s">
        <v>255</v>
      </c>
      <c r="D109" s="70" t="s">
        <v>337</v>
      </c>
      <c r="E109" s="70" t="s">
        <v>225</v>
      </c>
      <c r="F109" s="70" t="s">
        <v>225</v>
      </c>
      <c r="G109" s="61">
        <v>296204.88</v>
      </c>
      <c r="H109" s="28" t="s">
        <v>224</v>
      </c>
    </row>
    <row r="110" spans="1:8">
      <c r="A110" s="78"/>
      <c r="B110" s="78" t="s">
        <v>159</v>
      </c>
      <c r="C110" s="78" t="s">
        <v>103</v>
      </c>
      <c r="D110" s="78" t="s">
        <v>451</v>
      </c>
      <c r="E110" s="78" t="s">
        <v>225</v>
      </c>
      <c r="F110" s="78" t="s">
        <v>452</v>
      </c>
      <c r="G110" s="79">
        <v>15672360.32</v>
      </c>
      <c r="H110" s="28" t="s">
        <v>223</v>
      </c>
    </row>
    <row r="111" spans="1:8" ht="30">
      <c r="A111" s="78"/>
      <c r="B111" s="70" t="s">
        <v>159</v>
      </c>
      <c r="C111" s="70" t="s">
        <v>333</v>
      </c>
      <c r="D111" s="70" t="s">
        <v>225</v>
      </c>
      <c r="E111" s="70" t="s">
        <v>225</v>
      </c>
      <c r="F111" s="70" t="s">
        <v>225</v>
      </c>
      <c r="G111" s="61">
        <v>0</v>
      </c>
      <c r="H111" s="28" t="s">
        <v>224</v>
      </c>
    </row>
    <row r="112" spans="1:8">
      <c r="B112" s="70"/>
      <c r="C112" s="70"/>
      <c r="D112" s="70"/>
      <c r="E112" s="70"/>
      <c r="F112" s="70"/>
      <c r="G112" s="61"/>
    </row>
    <row r="113" spans="1:9">
      <c r="G113" s="15">
        <f>+G108-G109+G110</f>
        <v>17679207.57</v>
      </c>
      <c r="H113" s="32"/>
    </row>
    <row r="114" spans="1:9">
      <c r="A114" s="12"/>
      <c r="B114" s="26" t="s">
        <v>157</v>
      </c>
      <c r="C114" s="26" t="s">
        <v>216</v>
      </c>
      <c r="D114" s="26" t="s">
        <v>217</v>
      </c>
      <c r="E114" s="26" t="s">
        <v>218</v>
      </c>
      <c r="F114" s="26" t="s">
        <v>219</v>
      </c>
      <c r="G114" s="26" t="s">
        <v>220</v>
      </c>
    </row>
    <row r="115" spans="1:9" ht="30">
      <c r="A115" s="13"/>
      <c r="B115" s="70" t="s">
        <v>334</v>
      </c>
      <c r="C115" s="70" t="s">
        <v>448</v>
      </c>
      <c r="D115" s="70" t="s">
        <v>225</v>
      </c>
      <c r="E115" s="70" t="s">
        <v>225</v>
      </c>
      <c r="F115" s="70" t="s">
        <v>225</v>
      </c>
      <c r="G115" s="61">
        <v>0</v>
      </c>
      <c r="H115" s="28" t="s">
        <v>223</v>
      </c>
    </row>
    <row r="116" spans="1:9">
      <c r="A116" s="13"/>
      <c r="B116" s="70" t="s">
        <v>334</v>
      </c>
      <c r="C116" s="70" t="s">
        <v>221</v>
      </c>
      <c r="D116" s="70" t="s">
        <v>335</v>
      </c>
      <c r="E116" s="85" t="s">
        <v>225</v>
      </c>
      <c r="F116" s="70" t="s">
        <v>225</v>
      </c>
      <c r="G116" s="61">
        <v>296188.38</v>
      </c>
      <c r="H116" s="28" t="s">
        <v>224</v>
      </c>
    </row>
    <row r="117" spans="1:9">
      <c r="A117" s="78"/>
      <c r="B117" s="69" t="s">
        <v>334</v>
      </c>
      <c r="C117" s="69" t="s">
        <v>222</v>
      </c>
      <c r="D117" s="69" t="s">
        <v>449</v>
      </c>
      <c r="E117" s="69" t="s">
        <v>450</v>
      </c>
      <c r="F117" s="69" t="s">
        <v>225</v>
      </c>
      <c r="G117" s="91">
        <v>17978265.91</v>
      </c>
    </row>
    <row r="118" spans="1:9">
      <c r="G118" s="79">
        <f>+G116+G117</f>
        <v>18274454.289999999</v>
      </c>
      <c r="H118" s="32"/>
      <c r="I118" t="s">
        <v>338</v>
      </c>
    </row>
    <row r="119" spans="1:9">
      <c r="G119" s="79">
        <f>+G118-G113</f>
        <v>595246.71999999881</v>
      </c>
    </row>
    <row r="121" spans="1:9">
      <c r="A121" s="12"/>
      <c r="B121" s="26" t="s">
        <v>157</v>
      </c>
      <c r="C121" s="26" t="s">
        <v>216</v>
      </c>
      <c r="D121" s="26" t="s">
        <v>217</v>
      </c>
      <c r="E121" s="26" t="s">
        <v>218</v>
      </c>
      <c r="F121" s="26" t="s">
        <v>219</v>
      </c>
      <c r="G121" s="26" t="s">
        <v>220</v>
      </c>
    </row>
    <row r="122" spans="1:9">
      <c r="A122" s="13"/>
      <c r="B122" s="70" t="s">
        <v>159</v>
      </c>
      <c r="C122" s="70" t="s">
        <v>257</v>
      </c>
      <c r="D122" s="70" t="s">
        <v>447</v>
      </c>
      <c r="E122" s="70" t="s">
        <v>225</v>
      </c>
      <c r="F122" s="70" t="s">
        <v>225</v>
      </c>
      <c r="G122" s="61">
        <v>32434028.379999999</v>
      </c>
    </row>
    <row r="125" spans="1:9">
      <c r="A125" s="12"/>
      <c r="B125" s="26" t="s">
        <v>157</v>
      </c>
      <c r="C125" s="26" t="s">
        <v>216</v>
      </c>
      <c r="D125" s="26" t="s">
        <v>217</v>
      </c>
      <c r="E125" s="26" t="s">
        <v>218</v>
      </c>
      <c r="F125" s="26" t="s">
        <v>219</v>
      </c>
      <c r="G125" s="26" t="s">
        <v>220</v>
      </c>
    </row>
    <row r="126" spans="1:9">
      <c r="A126" s="13"/>
      <c r="B126" s="70" t="s">
        <v>339</v>
      </c>
      <c r="C126" s="70" t="s">
        <v>222</v>
      </c>
      <c r="D126" s="70" t="s">
        <v>446</v>
      </c>
      <c r="E126" s="70" t="s">
        <v>225</v>
      </c>
      <c r="F126" s="70" t="s">
        <v>225</v>
      </c>
      <c r="G126" s="61">
        <v>36434027.990000002</v>
      </c>
    </row>
    <row r="127" spans="1:9">
      <c r="G127" s="79">
        <f>+G126-G122</f>
        <v>3999999.6100000031</v>
      </c>
    </row>
    <row r="129" spans="1:8">
      <c r="A129" s="12"/>
      <c r="B129" s="26" t="s">
        <v>25</v>
      </c>
      <c r="C129" s="26" t="s">
        <v>307</v>
      </c>
      <c r="D129" s="26" t="s">
        <v>27</v>
      </c>
      <c r="E129" s="26" t="s">
        <v>28</v>
      </c>
      <c r="F129" s="26" t="s">
        <v>273</v>
      </c>
      <c r="G129" s="26" t="s">
        <v>218</v>
      </c>
      <c r="H129" s="60" t="s">
        <v>343</v>
      </c>
    </row>
    <row r="130" spans="1:8" ht="30">
      <c r="A130" s="13"/>
      <c r="B130" s="59">
        <v>44450</v>
      </c>
      <c r="C130" s="37" t="s">
        <v>262</v>
      </c>
      <c r="D130" s="37" t="s">
        <v>340</v>
      </c>
      <c r="E130" s="37">
        <v>1326</v>
      </c>
      <c r="F130" s="37" t="s">
        <v>341</v>
      </c>
      <c r="G130" s="37">
        <v>4000000</v>
      </c>
      <c r="H130" s="58" t="s">
        <v>342</v>
      </c>
    </row>
    <row r="134" spans="1:8">
      <c r="A134" s="12"/>
      <c r="B134" s="26" t="s">
        <v>157</v>
      </c>
      <c r="C134" s="26" t="s">
        <v>216</v>
      </c>
      <c r="D134" s="26" t="s">
        <v>217</v>
      </c>
      <c r="E134" s="26" t="s">
        <v>218</v>
      </c>
      <c r="F134" s="26" t="s">
        <v>219</v>
      </c>
      <c r="G134" s="26" t="s">
        <v>220</v>
      </c>
    </row>
    <row r="135" spans="1:8" ht="30">
      <c r="A135" s="13"/>
      <c r="B135" s="70" t="s">
        <v>159</v>
      </c>
      <c r="C135" s="70" t="s">
        <v>260</v>
      </c>
      <c r="D135" s="70" t="s">
        <v>438</v>
      </c>
      <c r="E135" s="70" t="s">
        <v>225</v>
      </c>
      <c r="F135" s="70" t="s">
        <v>439</v>
      </c>
      <c r="G135" s="61" t="s">
        <v>440</v>
      </c>
      <c r="H135" s="28" t="s">
        <v>347</v>
      </c>
    </row>
    <row r="136" spans="1:8" ht="30">
      <c r="A136" s="13"/>
      <c r="B136" s="70" t="s">
        <v>159</v>
      </c>
      <c r="C136" s="70" t="s">
        <v>344</v>
      </c>
      <c r="D136" s="70" t="s">
        <v>441</v>
      </c>
      <c r="E136" s="70" t="s">
        <v>225</v>
      </c>
      <c r="F136" s="70" t="s">
        <v>225</v>
      </c>
      <c r="G136" s="70" t="s">
        <v>441</v>
      </c>
      <c r="H136" s="28" t="s">
        <v>224</v>
      </c>
    </row>
    <row r="137" spans="1:8">
      <c r="G137">
        <f>6170440.44-983362.56</f>
        <v>5187077.8800000008</v>
      </c>
    </row>
    <row r="140" spans="1:8">
      <c r="A140" s="12"/>
      <c r="B140" s="26" t="s">
        <v>157</v>
      </c>
      <c r="C140" s="26" t="s">
        <v>216</v>
      </c>
      <c r="D140" s="26" t="s">
        <v>217</v>
      </c>
      <c r="E140" s="26" t="s">
        <v>218</v>
      </c>
      <c r="F140" s="26" t="s">
        <v>219</v>
      </c>
      <c r="G140" s="26" t="s">
        <v>220</v>
      </c>
    </row>
    <row r="141" spans="1:8" ht="30">
      <c r="A141" s="13"/>
      <c r="B141" s="70" t="s">
        <v>345</v>
      </c>
      <c r="C141" s="70" t="s">
        <v>221</v>
      </c>
      <c r="D141" s="70" t="s">
        <v>442</v>
      </c>
      <c r="E141" s="70" t="s">
        <v>225</v>
      </c>
      <c r="F141" s="70" t="s">
        <v>225</v>
      </c>
      <c r="G141" s="61" t="s">
        <v>442</v>
      </c>
      <c r="H141" s="28" t="s">
        <v>223</v>
      </c>
    </row>
    <row r="142" spans="1:8">
      <c r="A142" s="78"/>
      <c r="B142" s="69" t="s">
        <v>345</v>
      </c>
      <c r="C142" s="69" t="s">
        <v>222</v>
      </c>
      <c r="D142" s="69" t="s">
        <v>443</v>
      </c>
      <c r="E142" s="69" t="s">
        <v>444</v>
      </c>
      <c r="F142" s="69" t="s">
        <v>225</v>
      </c>
      <c r="G142" s="69" t="s">
        <v>445</v>
      </c>
      <c r="H142" s="28" t="s">
        <v>224</v>
      </c>
    </row>
    <row r="143" spans="1:8">
      <c r="G143">
        <f>983362.56-6170440.44</f>
        <v>-5187077.8800000008</v>
      </c>
    </row>
    <row r="144" spans="1:8">
      <c r="G144">
        <f>+G137+G143</f>
        <v>0</v>
      </c>
      <c r="H144" s="60" t="s">
        <v>348</v>
      </c>
    </row>
    <row r="151" spans="3:6">
      <c r="C151" s="78"/>
      <c r="D151" s="78" t="s">
        <v>219</v>
      </c>
      <c r="E151" s="78"/>
      <c r="F151" s="78" t="s">
        <v>218</v>
      </c>
    </row>
    <row r="152" spans="3:6">
      <c r="C152" s="78"/>
      <c r="D152" s="90">
        <v>1802776.8</v>
      </c>
      <c r="E152" s="78"/>
      <c r="F152" s="90">
        <v>5466104.25</v>
      </c>
    </row>
    <row r="153" spans="3:6">
      <c r="C153" s="78"/>
      <c r="D153" s="90">
        <v>5742007.9400000004</v>
      </c>
      <c r="E153" s="78"/>
      <c r="F153" s="90">
        <v>2165999.54</v>
      </c>
    </row>
    <row r="154" spans="3:6">
      <c r="C154" s="78"/>
      <c r="D154" s="90">
        <v>5466103.5</v>
      </c>
      <c r="E154" s="78"/>
      <c r="F154" s="90">
        <v>3129462.29</v>
      </c>
    </row>
    <row r="155" spans="3:6">
      <c r="C155" s="78"/>
      <c r="D155" s="78">
        <v>1802776.8</v>
      </c>
      <c r="E155" s="78"/>
      <c r="F155" s="90">
        <v>1802776.8</v>
      </c>
    </row>
    <row r="156" spans="3:6">
      <c r="C156" s="78"/>
      <c r="D156" s="78">
        <v>5742007.9400000004</v>
      </c>
      <c r="E156" s="78"/>
      <c r="F156" s="90">
        <v>5742007.9400000004</v>
      </c>
    </row>
    <row r="157" spans="3:6">
      <c r="C157" s="78"/>
      <c r="D157" s="78">
        <v>0</v>
      </c>
      <c r="E157" s="78"/>
      <c r="F157" s="78">
        <v>0</v>
      </c>
    </row>
    <row r="158" spans="3:6">
      <c r="C158" s="78"/>
      <c r="D158" s="90">
        <v>2165999.54</v>
      </c>
      <c r="E158" s="78"/>
      <c r="F158" s="78">
        <v>0</v>
      </c>
    </row>
    <row r="159" spans="3:6">
      <c r="C159" s="78"/>
      <c r="D159" s="90">
        <v>3129462.29</v>
      </c>
      <c r="E159" s="78"/>
      <c r="F159" s="78">
        <v>2305949.6800000002</v>
      </c>
    </row>
    <row r="161" spans="4:6">
      <c r="D161">
        <f>+D155+D156</f>
        <v>7544784.7400000002</v>
      </c>
      <c r="F161">
        <f>+F159</f>
        <v>2305949.6800000002</v>
      </c>
    </row>
    <row r="162" spans="4:6">
      <c r="F162">
        <f>+D161-F161</f>
        <v>5238835.0600000005</v>
      </c>
    </row>
  </sheetData>
  <mergeCells count="1">
    <mergeCell ref="E11:F11"/>
  </mergeCells>
  <pageMargins left="0.7" right="0.7" top="0.75" bottom="0.75" header="0.3" footer="0.3"/>
  <pageSetup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AD265"/>
  <sheetViews>
    <sheetView topLeftCell="A22" workbookViewId="0">
      <selection activeCell="G35" sqref="G35"/>
    </sheetView>
  </sheetViews>
  <sheetFormatPr defaultRowHeight="15"/>
  <cols>
    <col min="1" max="1" width="9.140625" style="93"/>
    <col min="2" max="2" width="29.42578125" style="93" bestFit="1" customWidth="1"/>
    <col min="3" max="3" width="33.42578125" style="93" customWidth="1"/>
    <col min="4" max="4" width="19" style="93" customWidth="1"/>
    <col min="5" max="5" width="17" style="93" customWidth="1"/>
    <col min="6" max="6" width="19.5703125" style="93" customWidth="1"/>
    <col min="7" max="7" width="19" style="93" customWidth="1"/>
    <col min="8" max="8" width="22.5703125" style="28" customWidth="1"/>
    <col min="9" max="9" width="11.7109375" style="93" bestFit="1" customWidth="1"/>
    <col min="10" max="10" width="15.28515625" style="93" customWidth="1"/>
    <col min="11" max="13" width="9.140625" style="93"/>
    <col min="14" max="14" width="13.5703125" style="93" customWidth="1"/>
    <col min="15" max="16384" width="9.140625" style="93"/>
  </cols>
  <sheetData>
    <row r="1" spans="1:8">
      <c r="A1" s="30"/>
      <c r="B1" s="92" t="s">
        <v>157</v>
      </c>
      <c r="C1" s="92" t="s">
        <v>216</v>
      </c>
      <c r="D1" s="92" t="s">
        <v>217</v>
      </c>
      <c r="E1" s="92" t="s">
        <v>218</v>
      </c>
      <c r="F1" s="92" t="s">
        <v>219</v>
      </c>
      <c r="G1" s="92" t="s">
        <v>220</v>
      </c>
    </row>
    <row r="2" spans="1:8">
      <c r="A2" s="80"/>
      <c r="B2" s="33" t="s">
        <v>159</v>
      </c>
      <c r="C2" s="33" t="s">
        <v>87</v>
      </c>
      <c r="D2" s="81" t="s">
        <v>466</v>
      </c>
      <c r="E2" s="86" t="s">
        <v>225</v>
      </c>
      <c r="F2" s="83" t="s">
        <v>467</v>
      </c>
      <c r="G2" s="82">
        <v>1293773286.96</v>
      </c>
      <c r="H2" s="31" t="s">
        <v>223</v>
      </c>
    </row>
    <row r="3" spans="1:8">
      <c r="A3" s="80"/>
      <c r="B3" s="33" t="s">
        <v>159</v>
      </c>
      <c r="C3" s="33" t="s">
        <v>61</v>
      </c>
      <c r="D3" s="81" t="s">
        <v>468</v>
      </c>
      <c r="E3" s="86" t="s">
        <v>469</v>
      </c>
      <c r="F3" s="86" t="s">
        <v>225</v>
      </c>
      <c r="G3" s="82">
        <v>384464257.25</v>
      </c>
      <c r="H3" s="31" t="s">
        <v>224</v>
      </c>
    </row>
    <row r="4" spans="1:8">
      <c r="D4" s="28"/>
      <c r="E4" s="28"/>
      <c r="F4" s="28"/>
      <c r="G4" s="32">
        <f>+G2-G3</f>
        <v>909309029.71000004</v>
      </c>
    </row>
    <row r="5" spans="1:8">
      <c r="D5" s="28"/>
      <c r="E5" s="28"/>
      <c r="F5" s="28"/>
      <c r="G5" s="28"/>
    </row>
    <row r="6" spans="1:8">
      <c r="D6" s="28"/>
      <c r="E6" s="28"/>
      <c r="F6" s="28"/>
      <c r="G6" s="28"/>
    </row>
    <row r="7" spans="1:8">
      <c r="A7" s="30"/>
      <c r="B7" s="92" t="s">
        <v>157</v>
      </c>
      <c r="C7" s="92" t="s">
        <v>216</v>
      </c>
      <c r="D7" s="92" t="s">
        <v>217</v>
      </c>
      <c r="E7" s="92" t="s">
        <v>218</v>
      </c>
      <c r="F7" s="92" t="s">
        <v>219</v>
      </c>
      <c r="G7" s="92" t="s">
        <v>220</v>
      </c>
    </row>
    <row r="8" spans="1:8">
      <c r="A8" s="80"/>
      <c r="B8" s="33" t="s">
        <v>270</v>
      </c>
      <c r="C8" s="33" t="s">
        <v>221</v>
      </c>
      <c r="D8" s="81" t="s">
        <v>470</v>
      </c>
      <c r="E8" s="86" t="s">
        <v>225</v>
      </c>
      <c r="F8" s="86" t="s">
        <v>471</v>
      </c>
      <c r="G8" s="82">
        <v>490479392.17000002</v>
      </c>
      <c r="H8" s="31" t="s">
        <v>223</v>
      </c>
    </row>
    <row r="9" spans="1:8">
      <c r="A9" s="80"/>
      <c r="B9" s="33" t="s">
        <v>270</v>
      </c>
      <c r="C9" s="33" t="s">
        <v>222</v>
      </c>
      <c r="D9" s="81" t="s">
        <v>472</v>
      </c>
      <c r="E9" s="83" t="s">
        <v>473</v>
      </c>
      <c r="F9" s="86" t="s">
        <v>225</v>
      </c>
      <c r="G9" s="82">
        <v>1400077385.51</v>
      </c>
      <c r="H9" s="31" t="s">
        <v>224</v>
      </c>
    </row>
    <row r="10" spans="1:8">
      <c r="D10" s="4">
        <f>1330150595.08-1223846496.54</f>
        <v>106304098.53999996</v>
      </c>
      <c r="F10" s="93">
        <f>5019152.73-4963282</f>
        <v>55870.730000000447</v>
      </c>
      <c r="G10" s="79">
        <f>+G9-G8</f>
        <v>909597993.33999991</v>
      </c>
    </row>
    <row r="11" spans="1:8">
      <c r="D11" s="4">
        <f>481141625.17-374836538.38</f>
        <v>106305086.79000002</v>
      </c>
      <c r="F11" s="93" t="s">
        <v>494</v>
      </c>
      <c r="G11" s="79">
        <f>+G10-G4</f>
        <v>288963.62999987602</v>
      </c>
      <c r="H11" s="28" t="s">
        <v>228</v>
      </c>
    </row>
    <row r="12" spans="1:8">
      <c r="D12" s="4">
        <f>+D11-D10</f>
        <v>988.25000005960464</v>
      </c>
      <c r="E12" s="483" t="s">
        <v>379</v>
      </c>
      <c r="F12" s="483"/>
    </row>
    <row r="14" spans="1:8">
      <c r="A14" s="12"/>
      <c r="B14" s="26" t="s">
        <v>157</v>
      </c>
      <c r="C14" s="26" t="s">
        <v>216</v>
      </c>
      <c r="D14" s="26" t="s">
        <v>217</v>
      </c>
      <c r="E14" s="26" t="s">
        <v>218</v>
      </c>
      <c r="F14" s="26" t="s">
        <v>219</v>
      </c>
      <c r="G14" s="26" t="s">
        <v>220</v>
      </c>
    </row>
    <row r="15" spans="1:8">
      <c r="A15" s="13"/>
      <c r="B15" s="70" t="s">
        <v>159</v>
      </c>
      <c r="C15" s="81" t="s">
        <v>89</v>
      </c>
      <c r="D15" s="70" t="s">
        <v>495</v>
      </c>
      <c r="E15" s="70" t="s">
        <v>496</v>
      </c>
      <c r="F15" s="70" t="s">
        <v>497</v>
      </c>
      <c r="G15" s="61">
        <v>347538607.63</v>
      </c>
      <c r="H15" s="35" t="s">
        <v>223</v>
      </c>
    </row>
    <row r="16" spans="1:8">
      <c r="A16" s="13"/>
      <c r="B16" s="70" t="s">
        <v>159</v>
      </c>
      <c r="C16" s="81" t="s">
        <v>226</v>
      </c>
      <c r="D16" s="70" t="s">
        <v>498</v>
      </c>
      <c r="E16" s="70" t="s">
        <v>225</v>
      </c>
      <c r="F16" s="70" t="s">
        <v>225</v>
      </c>
      <c r="G16" s="61">
        <v>58858392.100000001</v>
      </c>
      <c r="H16" s="35" t="s">
        <v>224</v>
      </c>
    </row>
    <row r="17" spans="1:8">
      <c r="G17" s="79">
        <f>+G15-G16</f>
        <v>288680215.52999997</v>
      </c>
    </row>
    <row r="19" spans="1:8">
      <c r="A19" s="12"/>
      <c r="B19" s="26" t="s">
        <v>157</v>
      </c>
      <c r="C19" s="26" t="s">
        <v>216</v>
      </c>
      <c r="D19" s="26" t="s">
        <v>217</v>
      </c>
      <c r="E19" s="26" t="s">
        <v>218</v>
      </c>
      <c r="F19" s="26" t="s">
        <v>219</v>
      </c>
      <c r="G19" s="26" t="s">
        <v>220</v>
      </c>
    </row>
    <row r="20" spans="1:8">
      <c r="A20" s="13"/>
      <c r="B20" s="70" t="s">
        <v>227</v>
      </c>
      <c r="C20" s="70" t="s">
        <v>221</v>
      </c>
      <c r="D20" s="70" t="s">
        <v>499</v>
      </c>
      <c r="E20" s="70" t="s">
        <v>225</v>
      </c>
      <c r="F20" s="70" t="s">
        <v>225</v>
      </c>
      <c r="G20" s="61">
        <v>7704932.1299999999</v>
      </c>
      <c r="H20" s="35" t="s">
        <v>224</v>
      </c>
    </row>
    <row r="21" spans="1:8">
      <c r="A21" s="13"/>
      <c r="B21" s="70" t="s">
        <v>227</v>
      </c>
      <c r="C21" s="70" t="s">
        <v>222</v>
      </c>
      <c r="D21" s="70" t="s">
        <v>500</v>
      </c>
      <c r="E21" s="70" t="s">
        <v>501</v>
      </c>
      <c r="F21" s="70" t="s">
        <v>502</v>
      </c>
      <c r="G21" s="61">
        <v>281030371.38999999</v>
      </c>
      <c r="H21" s="35" t="s">
        <v>224</v>
      </c>
    </row>
    <row r="22" spans="1:8">
      <c r="D22" s="4"/>
      <c r="G22" s="79">
        <f>+G21+G20</f>
        <v>288735303.51999998</v>
      </c>
    </row>
    <row r="23" spans="1:8">
      <c r="D23" s="97" t="s">
        <v>505</v>
      </c>
      <c r="E23" s="100">
        <v>54318</v>
      </c>
      <c r="F23" s="24" t="s">
        <v>503</v>
      </c>
      <c r="G23" s="79">
        <f>+G17-G22</f>
        <v>-55087.990000009537</v>
      </c>
      <c r="H23" s="28" t="s">
        <v>228</v>
      </c>
    </row>
    <row r="24" spans="1:8">
      <c r="D24" s="97" t="s">
        <v>505</v>
      </c>
      <c r="E24" s="24">
        <v>768</v>
      </c>
      <c r="F24" s="24" t="s">
        <v>504</v>
      </c>
    </row>
    <row r="26" spans="1:8">
      <c r="A26" s="30"/>
      <c r="B26" s="92" t="s">
        <v>157</v>
      </c>
      <c r="C26" s="92" t="s">
        <v>216</v>
      </c>
      <c r="D26" s="92" t="s">
        <v>217</v>
      </c>
      <c r="E26" s="92" t="s">
        <v>218</v>
      </c>
      <c r="F26" s="92" t="s">
        <v>219</v>
      </c>
      <c r="G26" s="92" t="s">
        <v>220</v>
      </c>
    </row>
    <row r="27" spans="1:8">
      <c r="A27" s="80"/>
      <c r="B27" s="33" t="s">
        <v>159</v>
      </c>
      <c r="C27" s="33" t="s">
        <v>94</v>
      </c>
      <c r="D27" s="81" t="s">
        <v>506</v>
      </c>
      <c r="E27" s="81" t="s">
        <v>225</v>
      </c>
      <c r="F27" s="83" t="s">
        <v>507</v>
      </c>
      <c r="G27" s="61">
        <v>392348807.22000003</v>
      </c>
      <c r="H27" s="77" t="s">
        <v>223</v>
      </c>
    </row>
    <row r="28" spans="1:8">
      <c r="A28" s="80"/>
      <c r="B28" s="33" t="s">
        <v>159</v>
      </c>
      <c r="C28" s="33" t="s">
        <v>73</v>
      </c>
      <c r="D28" s="81" t="s">
        <v>508</v>
      </c>
      <c r="E28" s="86" t="s">
        <v>509</v>
      </c>
      <c r="F28" s="81" t="s">
        <v>225</v>
      </c>
      <c r="G28" s="61">
        <v>290594910.36000001</v>
      </c>
      <c r="H28" s="77" t="s">
        <v>224</v>
      </c>
    </row>
    <row r="29" spans="1:8">
      <c r="G29" s="79">
        <f>+G27-G28</f>
        <v>101753896.86000001</v>
      </c>
    </row>
    <row r="31" spans="1:8">
      <c r="A31" s="30"/>
      <c r="B31" s="92" t="s">
        <v>157</v>
      </c>
      <c r="C31" s="92" t="s">
        <v>216</v>
      </c>
      <c r="D31" s="92" t="s">
        <v>217</v>
      </c>
      <c r="E31" s="92" t="s">
        <v>218</v>
      </c>
      <c r="F31" s="92" t="s">
        <v>219</v>
      </c>
      <c r="G31" s="92" t="s">
        <v>220</v>
      </c>
    </row>
    <row r="32" spans="1:8">
      <c r="A32" s="80"/>
      <c r="B32" s="33" t="s">
        <v>271</v>
      </c>
      <c r="C32" s="33" t="s">
        <v>221</v>
      </c>
      <c r="D32" s="81" t="s">
        <v>510</v>
      </c>
      <c r="E32" s="86" t="s">
        <v>552</v>
      </c>
      <c r="F32" s="86" t="s">
        <v>511</v>
      </c>
      <c r="G32" s="61">
        <v>295446024.81999999</v>
      </c>
      <c r="H32" s="77" t="s">
        <v>223</v>
      </c>
    </row>
    <row r="33" spans="1:8">
      <c r="A33" s="80"/>
      <c r="B33" s="33" t="s">
        <v>271</v>
      </c>
      <c r="C33" s="33" t="s">
        <v>222</v>
      </c>
      <c r="D33" s="81" t="s">
        <v>512</v>
      </c>
      <c r="E33" s="83" t="s">
        <v>513</v>
      </c>
      <c r="F33" s="81" t="s">
        <v>225</v>
      </c>
      <c r="G33" s="61">
        <v>395522465</v>
      </c>
      <c r="H33" s="77" t="s">
        <v>224</v>
      </c>
    </row>
    <row r="34" spans="1:8">
      <c r="E34" s="93" t="s">
        <v>231</v>
      </c>
      <c r="F34" s="93">
        <f>4666699.5-33003</f>
        <v>4633696.5</v>
      </c>
      <c r="G34" s="79">
        <f>+G33-G32</f>
        <v>100076440.18000001</v>
      </c>
    </row>
    <row r="35" spans="1:8">
      <c r="G35" s="79">
        <f>+G29-G34</f>
        <v>1677456.6800000072</v>
      </c>
    </row>
    <row r="37" spans="1:8">
      <c r="A37" s="12"/>
      <c r="B37" s="26" t="s">
        <v>157</v>
      </c>
      <c r="C37" s="26" t="s">
        <v>216</v>
      </c>
      <c r="D37" s="26" t="s">
        <v>217</v>
      </c>
      <c r="E37" s="26" t="s">
        <v>218</v>
      </c>
      <c r="F37" s="26" t="s">
        <v>219</v>
      </c>
      <c r="G37" s="26" t="s">
        <v>220</v>
      </c>
    </row>
    <row r="38" spans="1:8" ht="30">
      <c r="A38" s="13"/>
      <c r="B38" s="70" t="s">
        <v>159</v>
      </c>
      <c r="C38" s="70" t="s">
        <v>90</v>
      </c>
      <c r="D38" s="70" t="s">
        <v>355</v>
      </c>
      <c r="E38" s="81" t="s">
        <v>225</v>
      </c>
      <c r="F38" s="83" t="s">
        <v>415</v>
      </c>
      <c r="G38" s="82">
        <v>34100165.75</v>
      </c>
      <c r="H38" s="35" t="s">
        <v>223</v>
      </c>
    </row>
    <row r="39" spans="1:8">
      <c r="A39" s="13"/>
      <c r="B39" s="70" t="s">
        <v>159</v>
      </c>
      <c r="C39" s="70" t="s">
        <v>55</v>
      </c>
      <c r="D39" s="70" t="s">
        <v>351</v>
      </c>
      <c r="E39" s="81" t="s">
        <v>225</v>
      </c>
      <c r="F39" s="81" t="s">
        <v>225</v>
      </c>
      <c r="G39" s="82">
        <v>13926708.33</v>
      </c>
      <c r="H39" s="35" t="s">
        <v>224</v>
      </c>
    </row>
    <row r="40" spans="1:8">
      <c r="G40" s="79">
        <f>+G38-G39</f>
        <v>20173457.420000002</v>
      </c>
    </row>
    <row r="41" spans="1:8">
      <c r="D41" s="93" t="s">
        <v>231</v>
      </c>
    </row>
    <row r="42" spans="1:8">
      <c r="A42" s="12"/>
      <c r="B42" s="26" t="s">
        <v>157</v>
      </c>
      <c r="C42" s="26" t="s">
        <v>216</v>
      </c>
      <c r="D42" s="26" t="s">
        <v>217</v>
      </c>
      <c r="E42" s="26" t="s">
        <v>218</v>
      </c>
      <c r="F42" s="26" t="s">
        <v>219</v>
      </c>
      <c r="G42" s="26" t="s">
        <v>220</v>
      </c>
    </row>
    <row r="43" spans="1:8" ht="30">
      <c r="A43" s="13"/>
      <c r="B43" s="70" t="s">
        <v>391</v>
      </c>
      <c r="C43" s="70" t="s">
        <v>221</v>
      </c>
      <c r="D43" s="70" t="s">
        <v>416</v>
      </c>
      <c r="E43" s="81" t="s">
        <v>225</v>
      </c>
      <c r="F43" s="81" t="s">
        <v>225</v>
      </c>
      <c r="G43" s="82">
        <v>13926677.300000001</v>
      </c>
      <c r="H43" s="35" t="s">
        <v>223</v>
      </c>
    </row>
    <row r="44" spans="1:8" ht="30">
      <c r="A44" s="13"/>
      <c r="B44" s="70" t="s">
        <v>391</v>
      </c>
      <c r="C44" s="70" t="s">
        <v>222</v>
      </c>
      <c r="D44" s="70" t="s">
        <v>417</v>
      </c>
      <c r="E44" s="83" t="s">
        <v>418</v>
      </c>
      <c r="F44" s="81" t="s">
        <v>225</v>
      </c>
      <c r="G44" s="82">
        <v>34098302.159999996</v>
      </c>
      <c r="H44" s="35" t="s">
        <v>224</v>
      </c>
    </row>
    <row r="45" spans="1:8">
      <c r="G45" s="79">
        <f>+G43-G44</f>
        <v>-20171624.859999996</v>
      </c>
    </row>
    <row r="46" spans="1:8">
      <c r="D46" s="4"/>
      <c r="G46" s="93">
        <f>+G45+G40</f>
        <v>1832.5600000061095</v>
      </c>
      <c r="H46" s="28" t="s">
        <v>231</v>
      </c>
    </row>
    <row r="47" spans="1:8">
      <c r="D47" s="93" t="s">
        <v>231</v>
      </c>
    </row>
    <row r="48" spans="1:8">
      <c r="A48" s="12"/>
      <c r="B48" s="26" t="s">
        <v>157</v>
      </c>
      <c r="C48" s="26" t="s">
        <v>216</v>
      </c>
      <c r="D48" s="92" t="s">
        <v>217</v>
      </c>
      <c r="E48" s="92" t="s">
        <v>218</v>
      </c>
      <c r="F48" s="92" t="s">
        <v>219</v>
      </c>
      <c r="G48" s="92" t="s">
        <v>220</v>
      </c>
    </row>
    <row r="49" spans="1:10">
      <c r="A49" s="13"/>
      <c r="B49" s="70" t="s">
        <v>159</v>
      </c>
      <c r="C49" s="70" t="s">
        <v>93</v>
      </c>
      <c r="D49" s="70" t="s">
        <v>356</v>
      </c>
      <c r="E49" s="87" t="s">
        <v>419</v>
      </c>
      <c r="F49" s="87" t="s">
        <v>420</v>
      </c>
      <c r="G49" s="61">
        <v>56376748.509999998</v>
      </c>
      <c r="H49" s="28" t="s">
        <v>347</v>
      </c>
    </row>
    <row r="50" spans="1:10">
      <c r="A50" s="13"/>
      <c r="B50" s="70" t="s">
        <v>159</v>
      </c>
      <c r="C50" s="70" t="s">
        <v>78</v>
      </c>
      <c r="D50" s="70" t="s">
        <v>352</v>
      </c>
      <c r="E50" s="85" t="s">
        <v>421</v>
      </c>
      <c r="F50" s="85" t="s">
        <v>422</v>
      </c>
      <c r="G50" s="61">
        <v>17529554.129999999</v>
      </c>
      <c r="H50" s="28" t="s">
        <v>346</v>
      </c>
    </row>
    <row r="51" spans="1:10">
      <c r="G51" s="79">
        <f>+G49-G50</f>
        <v>38847194.379999995</v>
      </c>
    </row>
    <row r="53" spans="1:10">
      <c r="A53" s="12"/>
      <c r="B53" s="26" t="s">
        <v>157</v>
      </c>
      <c r="C53" s="26" t="s">
        <v>216</v>
      </c>
      <c r="D53" s="92" t="s">
        <v>217</v>
      </c>
      <c r="E53" s="92" t="s">
        <v>218</v>
      </c>
      <c r="F53" s="92" t="s">
        <v>219</v>
      </c>
      <c r="G53" s="92" t="s">
        <v>220</v>
      </c>
    </row>
    <row r="54" spans="1:10">
      <c r="A54" s="13"/>
      <c r="B54" s="70" t="s">
        <v>272</v>
      </c>
      <c r="C54" s="70" t="s">
        <v>221</v>
      </c>
      <c r="D54" s="70" t="s">
        <v>423</v>
      </c>
      <c r="E54" s="85" t="s">
        <v>424</v>
      </c>
      <c r="F54" s="85" t="s">
        <v>425</v>
      </c>
      <c r="G54" s="61">
        <v>23809422.859999999</v>
      </c>
      <c r="H54" s="28" t="s">
        <v>347</v>
      </c>
    </row>
    <row r="55" spans="1:10">
      <c r="A55" s="13"/>
      <c r="B55" s="70" t="s">
        <v>272</v>
      </c>
      <c r="C55" s="70" t="s">
        <v>222</v>
      </c>
      <c r="D55" s="70" t="s">
        <v>426</v>
      </c>
      <c r="E55" s="87" t="s">
        <v>427</v>
      </c>
      <c r="F55" s="87" t="s">
        <v>428</v>
      </c>
      <c r="G55" s="61">
        <v>56456651.57</v>
      </c>
      <c r="H55" s="28" t="s">
        <v>346</v>
      </c>
    </row>
    <row r="56" spans="1:10">
      <c r="G56" s="79">
        <f>+G54-G55</f>
        <v>-32647228.710000001</v>
      </c>
      <c r="H56" s="28" t="s">
        <v>381</v>
      </c>
    </row>
    <row r="57" spans="1:10">
      <c r="G57" s="93">
        <f>+G51+G56</f>
        <v>6199965.6699999943</v>
      </c>
      <c r="H57" s="93">
        <v>6278825.8200000077</v>
      </c>
      <c r="I57" s="93">
        <f>+H57-G57</f>
        <v>78860.150000013411</v>
      </c>
      <c r="J57" s="93" t="s">
        <v>380</v>
      </c>
    </row>
    <row r="58" spans="1:10">
      <c r="I58" s="93">
        <v>78860.050000019372</v>
      </c>
    </row>
    <row r="59" spans="1:10" s="27" customFormat="1">
      <c r="A59" s="30"/>
      <c r="B59" s="92" t="s">
        <v>157</v>
      </c>
      <c r="C59" s="92" t="s">
        <v>216</v>
      </c>
      <c r="D59" s="92" t="s">
        <v>217</v>
      </c>
      <c r="E59" s="92" t="s">
        <v>218</v>
      </c>
      <c r="F59" s="92" t="s">
        <v>219</v>
      </c>
      <c r="G59" s="92" t="s">
        <v>220</v>
      </c>
      <c r="H59" s="28"/>
    </row>
    <row r="60" spans="1:10" s="27" customFormat="1">
      <c r="A60" s="80"/>
      <c r="B60" s="33" t="s">
        <v>159</v>
      </c>
      <c r="C60" s="33" t="s">
        <v>229</v>
      </c>
      <c r="D60" s="81" t="s">
        <v>225</v>
      </c>
      <c r="E60" s="81" t="s">
        <v>225</v>
      </c>
      <c r="F60" s="81" t="s">
        <v>225</v>
      </c>
      <c r="G60" s="81" t="s">
        <v>225</v>
      </c>
      <c r="H60" s="28"/>
    </row>
    <row r="61" spans="1:10" s="27" customFormat="1">
      <c r="A61" s="80"/>
      <c r="B61" s="33" t="s">
        <v>159</v>
      </c>
      <c r="C61" s="33" t="s">
        <v>66</v>
      </c>
      <c r="D61" s="81" t="s">
        <v>429</v>
      </c>
      <c r="E61" s="83" t="s">
        <v>430</v>
      </c>
      <c r="F61" s="81" t="s">
        <v>431</v>
      </c>
      <c r="G61" s="82">
        <v>142405807.03999999</v>
      </c>
      <c r="H61" s="77" t="s">
        <v>224</v>
      </c>
    </row>
    <row r="64" spans="1:10" s="27" customFormat="1">
      <c r="A64" s="30"/>
      <c r="B64" s="92" t="s">
        <v>157</v>
      </c>
      <c r="C64" s="92" t="s">
        <v>216</v>
      </c>
      <c r="D64" s="92" t="s">
        <v>217</v>
      </c>
      <c r="E64" s="92" t="s">
        <v>218</v>
      </c>
      <c r="F64" s="92" t="s">
        <v>219</v>
      </c>
      <c r="G64" s="92" t="s">
        <v>220</v>
      </c>
      <c r="H64" s="28"/>
    </row>
    <row r="65" spans="1:8" s="27" customFormat="1">
      <c r="A65" s="80"/>
      <c r="B65" s="33" t="s">
        <v>230</v>
      </c>
      <c r="C65" s="33" t="s">
        <v>221</v>
      </c>
      <c r="D65" s="81" t="s">
        <v>432</v>
      </c>
      <c r="E65" s="81" t="s">
        <v>433</v>
      </c>
      <c r="F65" s="83" t="s">
        <v>434</v>
      </c>
      <c r="G65" s="82">
        <v>147971577.08000001</v>
      </c>
      <c r="H65" s="77" t="s">
        <v>223</v>
      </c>
    </row>
    <row r="66" spans="1:8" s="27" customFormat="1">
      <c r="A66" s="80"/>
      <c r="B66" s="33" t="s">
        <v>230</v>
      </c>
      <c r="C66" s="33" t="s">
        <v>222</v>
      </c>
      <c r="D66" s="81" t="s">
        <v>225</v>
      </c>
      <c r="E66" s="81" t="s">
        <v>225</v>
      </c>
      <c r="F66" s="81" t="s">
        <v>225</v>
      </c>
      <c r="G66" s="81" t="s">
        <v>225</v>
      </c>
      <c r="H66" s="28"/>
    </row>
    <row r="67" spans="1:8">
      <c r="D67" s="93">
        <f>154957274.7-155285813.84</f>
        <v>-328539.1400000155</v>
      </c>
      <c r="E67" s="93">
        <f>25851134.81-20612300.49</f>
        <v>5238834.32</v>
      </c>
      <c r="F67" s="93">
        <f>13299667.15-13298063.73</f>
        <v>1603.4199999999255</v>
      </c>
    </row>
    <row r="68" spans="1:8">
      <c r="E68" s="93">
        <f>+E67+D67</f>
        <v>4910295.1799999848</v>
      </c>
      <c r="G68" s="93">
        <f>+G65-G61</f>
        <v>5565770.0400000215</v>
      </c>
      <c r="H68" s="28" t="s">
        <v>306</v>
      </c>
    </row>
    <row r="74" spans="1:8">
      <c r="A74" s="12"/>
      <c r="B74" s="92" t="s">
        <v>157</v>
      </c>
      <c r="C74" s="92" t="s">
        <v>216</v>
      </c>
      <c r="D74" s="92" t="s">
        <v>217</v>
      </c>
      <c r="E74" s="92" t="s">
        <v>218</v>
      </c>
      <c r="F74" s="92" t="s">
        <v>219</v>
      </c>
      <c r="G74" s="92" t="s">
        <v>220</v>
      </c>
    </row>
    <row r="75" spans="1:8">
      <c r="A75" s="13"/>
      <c r="B75" s="33" t="s">
        <v>159</v>
      </c>
      <c r="C75" s="33" t="s">
        <v>95</v>
      </c>
      <c r="D75" s="34" t="s">
        <v>357</v>
      </c>
      <c r="E75" s="34" t="s">
        <v>225</v>
      </c>
      <c r="F75" s="40" t="s">
        <v>435</v>
      </c>
      <c r="G75" s="88">
        <v>84261413.730000004</v>
      </c>
    </row>
    <row r="76" spans="1:8">
      <c r="A76" s="13"/>
      <c r="B76" s="33" t="s">
        <v>159</v>
      </c>
      <c r="C76" s="33" t="s">
        <v>232</v>
      </c>
      <c r="D76" s="34" t="s">
        <v>354</v>
      </c>
      <c r="E76" s="49" t="s">
        <v>225</v>
      </c>
      <c r="F76" s="49" t="s">
        <v>225</v>
      </c>
      <c r="G76" s="88">
        <v>1626039.52</v>
      </c>
    </row>
    <row r="77" spans="1:8">
      <c r="D77" s="93">
        <f>82463308.58-1626039.52</f>
        <v>80837269.060000002</v>
      </c>
      <c r="G77" s="79">
        <f>+G75-G76</f>
        <v>82635374.210000008</v>
      </c>
    </row>
    <row r="79" spans="1:8">
      <c r="A79" s="12"/>
      <c r="B79" s="26" t="s">
        <v>157</v>
      </c>
      <c r="C79" s="26" t="s">
        <v>216</v>
      </c>
      <c r="D79" s="26" t="s">
        <v>217</v>
      </c>
      <c r="E79" s="26" t="s">
        <v>218</v>
      </c>
      <c r="F79" s="26" t="s">
        <v>219</v>
      </c>
      <c r="G79" s="26" t="s">
        <v>220</v>
      </c>
    </row>
    <row r="80" spans="1:8">
      <c r="A80" s="13"/>
      <c r="B80" s="70" t="s">
        <v>233</v>
      </c>
      <c r="C80" s="70" t="s">
        <v>221</v>
      </c>
      <c r="D80" s="81" t="s">
        <v>436</v>
      </c>
      <c r="E80" s="50" t="s">
        <v>225</v>
      </c>
      <c r="F80" s="50" t="s">
        <v>225</v>
      </c>
      <c r="G80" s="82">
        <v>48513605.590000004</v>
      </c>
    </row>
    <row r="81" spans="1:10">
      <c r="A81" s="13"/>
      <c r="B81" s="70" t="s">
        <v>233</v>
      </c>
      <c r="C81" s="70" t="s">
        <v>222</v>
      </c>
      <c r="D81" s="81" t="s">
        <v>437</v>
      </c>
      <c r="E81" s="83" t="s">
        <v>392</v>
      </c>
      <c r="F81" s="81" t="s">
        <v>225</v>
      </c>
      <c r="G81" s="89">
        <v>101591764.56</v>
      </c>
      <c r="H81" s="32"/>
    </row>
    <row r="82" spans="1:10">
      <c r="D82" s="93">
        <f>48513605.59-99793659.24</f>
        <v>-51280053.649999991</v>
      </c>
      <c r="E82" s="47">
        <f>1798105.15-1798105.32</f>
        <v>-0.17000000015832484</v>
      </c>
      <c r="F82" s="47"/>
      <c r="G82" s="79">
        <f>+G80-G81</f>
        <v>-53078158.969999999</v>
      </c>
    </row>
    <row r="83" spans="1:10">
      <c r="D83" s="93">
        <f>+D77+D82</f>
        <v>29557215.410000011</v>
      </c>
      <c r="G83" s="79">
        <f>+G77+G82</f>
        <v>29557215.24000001</v>
      </c>
      <c r="H83" s="28">
        <v>25504642.949999999</v>
      </c>
      <c r="I83" s="79">
        <f>+G83-H83+J92</f>
        <v>4039968.9000000102</v>
      </c>
    </row>
    <row r="85" spans="1:10">
      <c r="B85" s="41"/>
      <c r="C85" s="51" t="s">
        <v>273</v>
      </c>
      <c r="D85" s="51" t="s">
        <v>218</v>
      </c>
      <c r="E85" s="51" t="s">
        <v>219</v>
      </c>
      <c r="F85" s="12"/>
      <c r="G85" s="26" t="s">
        <v>273</v>
      </c>
      <c r="H85" s="51" t="s">
        <v>218</v>
      </c>
      <c r="I85" s="26" t="s">
        <v>219</v>
      </c>
    </row>
    <row r="86" spans="1:10">
      <c r="B86" s="35"/>
      <c r="C86" s="52">
        <v>530130777247</v>
      </c>
      <c r="D86" s="81">
        <v>0</v>
      </c>
      <c r="E86" s="83">
        <v>3851711.51</v>
      </c>
      <c r="F86" s="13"/>
      <c r="G86" s="70" t="s">
        <v>325</v>
      </c>
      <c r="H86" s="83">
        <v>3851711.51</v>
      </c>
      <c r="I86" s="70">
        <v>0</v>
      </c>
    </row>
    <row r="87" spans="1:10">
      <c r="B87" s="35"/>
      <c r="C87" s="52" t="s">
        <v>321</v>
      </c>
      <c r="D87" s="81">
        <v>0</v>
      </c>
      <c r="E87" s="53">
        <v>1756059.04</v>
      </c>
      <c r="F87" s="13"/>
      <c r="G87" s="70" t="s">
        <v>326</v>
      </c>
      <c r="H87" s="83">
        <v>2781179.22</v>
      </c>
      <c r="I87" s="70">
        <v>0</v>
      </c>
    </row>
    <row r="88" spans="1:10">
      <c r="B88" s="35"/>
      <c r="C88" s="52" t="s">
        <v>322</v>
      </c>
      <c r="D88" s="81">
        <v>0</v>
      </c>
      <c r="E88" s="53">
        <v>1690859.84</v>
      </c>
      <c r="F88" s="13"/>
      <c r="G88" s="70" t="s">
        <v>326</v>
      </c>
      <c r="H88" s="83">
        <v>4399293.4800000004</v>
      </c>
      <c r="I88" s="70">
        <v>0</v>
      </c>
    </row>
    <row r="89" spans="1:10">
      <c r="B89" s="35"/>
      <c r="C89" s="52">
        <v>530130813573</v>
      </c>
      <c r="D89" s="81">
        <v>0</v>
      </c>
      <c r="E89" s="83">
        <v>2781179.22</v>
      </c>
      <c r="F89" s="13"/>
      <c r="G89" s="70" t="s">
        <v>327</v>
      </c>
      <c r="H89" s="83">
        <v>1746702.41</v>
      </c>
      <c r="I89" s="70">
        <v>0</v>
      </c>
    </row>
    <row r="90" spans="1:10">
      <c r="B90" s="35"/>
      <c r="C90" s="52">
        <v>530130813573</v>
      </c>
      <c r="D90" s="81">
        <v>0</v>
      </c>
      <c r="E90" s="83">
        <v>4399293.4800000004</v>
      </c>
      <c r="F90" s="13"/>
      <c r="G90" s="70" t="s">
        <v>328</v>
      </c>
      <c r="H90" s="83">
        <v>6664633.4400000004</v>
      </c>
      <c r="I90" s="70">
        <v>0</v>
      </c>
    </row>
    <row r="91" spans="1:10">
      <c r="B91" s="35"/>
      <c r="C91" s="52">
        <v>530130813500</v>
      </c>
      <c r="D91" s="81">
        <v>0</v>
      </c>
      <c r="E91" s="83">
        <v>1746702.12</v>
      </c>
      <c r="F91" s="13"/>
      <c r="G91" s="70" t="s">
        <v>329</v>
      </c>
      <c r="H91" s="81">
        <v>0</v>
      </c>
      <c r="I91" s="56">
        <v>13886.1</v>
      </c>
    </row>
    <row r="92" spans="1:10">
      <c r="B92" s="35"/>
      <c r="C92" s="52" t="s">
        <v>323</v>
      </c>
      <c r="D92" s="81">
        <v>0</v>
      </c>
      <c r="E92" s="53">
        <v>8053477.3200000003</v>
      </c>
      <c r="F92" s="13"/>
      <c r="G92" s="70" t="s">
        <v>330</v>
      </c>
      <c r="H92" s="81">
        <v>0</v>
      </c>
      <c r="I92" s="57">
        <v>74953.97</v>
      </c>
      <c r="J92" s="48">
        <f>+I92-D96</f>
        <v>-12603.39</v>
      </c>
    </row>
    <row r="93" spans="1:10">
      <c r="B93" s="35"/>
      <c r="C93" s="52" t="s">
        <v>323</v>
      </c>
      <c r="D93" s="81">
        <v>0</v>
      </c>
      <c r="E93" s="53">
        <v>3752357.83</v>
      </c>
      <c r="F93" s="13"/>
      <c r="G93" s="70" t="s">
        <v>331</v>
      </c>
      <c r="H93" s="83">
        <v>1643346.4</v>
      </c>
      <c r="I93" s="70">
        <v>0</v>
      </c>
    </row>
    <row r="94" spans="1:10">
      <c r="B94" s="35"/>
      <c r="C94" s="52" t="s">
        <v>323</v>
      </c>
      <c r="D94" s="81">
        <v>0</v>
      </c>
      <c r="E94" s="53">
        <v>2578796.54</v>
      </c>
      <c r="F94" s="13"/>
      <c r="G94" s="70" t="s">
        <v>332</v>
      </c>
      <c r="H94" s="83">
        <v>1375791.58</v>
      </c>
      <c r="I94" s="70">
        <v>0</v>
      </c>
    </row>
    <row r="95" spans="1:10">
      <c r="B95" s="35"/>
      <c r="C95" s="52" t="s">
        <v>323</v>
      </c>
      <c r="D95" s="81">
        <v>0</v>
      </c>
      <c r="E95" s="53">
        <v>1287409.57</v>
      </c>
      <c r="F95" s="13"/>
      <c r="G95" s="70" t="s">
        <v>332</v>
      </c>
      <c r="H95" s="83">
        <v>3570684.22</v>
      </c>
      <c r="I95" s="70">
        <v>0</v>
      </c>
    </row>
    <row r="96" spans="1:10">
      <c r="B96" s="35"/>
      <c r="C96" s="52"/>
      <c r="D96" s="54">
        <v>87557.36</v>
      </c>
      <c r="E96" s="81">
        <v>0</v>
      </c>
    </row>
    <row r="97" spans="1:8">
      <c r="B97" s="35"/>
      <c r="C97" s="52"/>
      <c r="D97" s="55">
        <v>13886.1</v>
      </c>
      <c r="E97" s="81">
        <v>0</v>
      </c>
    </row>
    <row r="98" spans="1:8">
      <c r="B98" s="35"/>
      <c r="C98" s="52">
        <v>530130813582</v>
      </c>
      <c r="D98" s="81">
        <v>0</v>
      </c>
      <c r="E98" s="83">
        <v>6664633.4400000004</v>
      </c>
    </row>
    <row r="99" spans="1:8">
      <c r="B99" s="35"/>
      <c r="C99" s="52">
        <v>530130817962</v>
      </c>
      <c r="D99" s="81">
        <v>0</v>
      </c>
      <c r="E99" s="83">
        <v>1643346.4</v>
      </c>
    </row>
    <row r="100" spans="1:8">
      <c r="B100" s="35"/>
      <c r="C100" s="52" t="s">
        <v>323</v>
      </c>
      <c r="D100" s="81">
        <v>0</v>
      </c>
      <c r="E100" s="53">
        <v>4735532.63</v>
      </c>
    </row>
    <row r="101" spans="1:8">
      <c r="B101" s="35"/>
      <c r="C101" s="52" t="s">
        <v>324</v>
      </c>
      <c r="D101" s="81">
        <v>0</v>
      </c>
      <c r="E101" s="53">
        <v>1650150.18</v>
      </c>
    </row>
    <row r="102" spans="1:8">
      <c r="B102" s="35"/>
      <c r="C102" s="52">
        <v>530130643294</v>
      </c>
      <c r="D102" s="81">
        <v>0</v>
      </c>
      <c r="E102" s="83">
        <v>1375791.58</v>
      </c>
    </row>
    <row r="103" spans="1:8">
      <c r="B103" s="35"/>
      <c r="C103" s="52">
        <v>530130643294</v>
      </c>
      <c r="D103" s="81">
        <v>0</v>
      </c>
      <c r="E103" s="83">
        <v>3570684.22</v>
      </c>
    </row>
    <row r="107" spans="1:8">
      <c r="A107" s="12"/>
      <c r="B107" s="26" t="s">
        <v>157</v>
      </c>
      <c r="C107" s="26" t="s">
        <v>216</v>
      </c>
      <c r="D107" s="26" t="s">
        <v>217</v>
      </c>
      <c r="E107" s="26" t="s">
        <v>218</v>
      </c>
      <c r="F107" s="26" t="s">
        <v>219</v>
      </c>
      <c r="G107" s="26" t="s">
        <v>220</v>
      </c>
    </row>
    <row r="108" spans="1:8">
      <c r="A108" s="13"/>
      <c r="B108" s="70" t="s">
        <v>159</v>
      </c>
      <c r="C108" s="70" t="s">
        <v>259</v>
      </c>
      <c r="D108" s="70" t="s">
        <v>336</v>
      </c>
      <c r="E108" s="70" t="s">
        <v>225</v>
      </c>
      <c r="F108" s="85" t="s">
        <v>225</v>
      </c>
      <c r="G108" s="61">
        <v>2303052.13</v>
      </c>
      <c r="H108" s="28" t="s">
        <v>223</v>
      </c>
    </row>
    <row r="109" spans="1:8">
      <c r="A109" s="13"/>
      <c r="B109" s="70" t="s">
        <v>159</v>
      </c>
      <c r="C109" s="70" t="s">
        <v>255</v>
      </c>
      <c r="D109" s="70" t="s">
        <v>337</v>
      </c>
      <c r="E109" s="70" t="s">
        <v>225</v>
      </c>
      <c r="F109" s="70" t="s">
        <v>225</v>
      </c>
      <c r="G109" s="61">
        <v>296204.88</v>
      </c>
      <c r="H109" s="28" t="s">
        <v>224</v>
      </c>
    </row>
    <row r="110" spans="1:8">
      <c r="B110" s="93" t="s">
        <v>159</v>
      </c>
      <c r="C110" s="93" t="s">
        <v>103</v>
      </c>
      <c r="D110" s="93" t="s">
        <v>451</v>
      </c>
      <c r="E110" s="93" t="s">
        <v>225</v>
      </c>
      <c r="F110" s="93" t="s">
        <v>452</v>
      </c>
      <c r="G110" s="79">
        <v>15672360.32</v>
      </c>
      <c r="H110" s="28" t="s">
        <v>223</v>
      </c>
    </row>
    <row r="111" spans="1:8" ht="30">
      <c r="B111" s="70" t="s">
        <v>159</v>
      </c>
      <c r="C111" s="70" t="s">
        <v>333</v>
      </c>
      <c r="D111" s="70" t="s">
        <v>225</v>
      </c>
      <c r="E111" s="70" t="s">
        <v>225</v>
      </c>
      <c r="F111" s="70" t="s">
        <v>225</v>
      </c>
      <c r="G111" s="61">
        <v>0</v>
      </c>
      <c r="H111" s="28" t="s">
        <v>224</v>
      </c>
    </row>
    <row r="112" spans="1:8">
      <c r="B112" s="70"/>
      <c r="C112" s="70"/>
      <c r="D112" s="70"/>
      <c r="E112" s="70"/>
      <c r="F112" s="70"/>
      <c r="G112" s="61"/>
    </row>
    <row r="113" spans="1:9">
      <c r="G113" s="79">
        <f>+G108-G109+G110</f>
        <v>17679207.57</v>
      </c>
      <c r="H113" s="32"/>
    </row>
    <row r="114" spans="1:9">
      <c r="A114" s="12"/>
      <c r="B114" s="26" t="s">
        <v>157</v>
      </c>
      <c r="C114" s="26" t="s">
        <v>216</v>
      </c>
      <c r="D114" s="26" t="s">
        <v>217</v>
      </c>
      <c r="E114" s="26" t="s">
        <v>218</v>
      </c>
      <c r="F114" s="26" t="s">
        <v>219</v>
      </c>
      <c r="G114" s="26" t="s">
        <v>220</v>
      </c>
    </row>
    <row r="115" spans="1:9" ht="30">
      <c r="A115" s="13"/>
      <c r="B115" s="70" t="s">
        <v>334</v>
      </c>
      <c r="C115" s="70" t="s">
        <v>448</v>
      </c>
      <c r="D115" s="70" t="s">
        <v>225</v>
      </c>
      <c r="E115" s="70" t="s">
        <v>225</v>
      </c>
      <c r="F115" s="70" t="s">
        <v>225</v>
      </c>
      <c r="G115" s="61">
        <v>0</v>
      </c>
      <c r="H115" s="28" t="s">
        <v>223</v>
      </c>
    </row>
    <row r="116" spans="1:9">
      <c r="A116" s="13"/>
      <c r="B116" s="70" t="s">
        <v>334</v>
      </c>
      <c r="C116" s="70" t="s">
        <v>221</v>
      </c>
      <c r="D116" s="70" t="s">
        <v>335</v>
      </c>
      <c r="E116" s="85" t="s">
        <v>225</v>
      </c>
      <c r="F116" s="70" t="s">
        <v>225</v>
      </c>
      <c r="G116" s="61">
        <v>296188.38</v>
      </c>
      <c r="H116" s="28" t="s">
        <v>224</v>
      </c>
    </row>
    <row r="117" spans="1:9">
      <c r="B117" s="69" t="s">
        <v>334</v>
      </c>
      <c r="C117" s="69" t="s">
        <v>222</v>
      </c>
      <c r="D117" s="69" t="s">
        <v>449</v>
      </c>
      <c r="E117" s="69" t="s">
        <v>450</v>
      </c>
      <c r="F117" s="69" t="s">
        <v>225</v>
      </c>
      <c r="G117" s="91">
        <v>17978265.91</v>
      </c>
    </row>
    <row r="118" spans="1:9">
      <c r="G118" s="79">
        <f>+G116+G117</f>
        <v>18274454.289999999</v>
      </c>
      <c r="H118" s="32"/>
      <c r="I118" s="93" t="s">
        <v>338</v>
      </c>
    </row>
    <row r="119" spans="1:9">
      <c r="G119" s="79">
        <f>+G118-G113</f>
        <v>595246.71999999881</v>
      </c>
    </row>
    <row r="121" spans="1:9">
      <c r="A121" s="12"/>
      <c r="B121" s="26" t="s">
        <v>157</v>
      </c>
      <c r="C121" s="26" t="s">
        <v>216</v>
      </c>
      <c r="D121" s="26" t="s">
        <v>217</v>
      </c>
      <c r="E121" s="26" t="s">
        <v>218</v>
      </c>
      <c r="F121" s="26" t="s">
        <v>219</v>
      </c>
      <c r="G121" s="26" t="s">
        <v>220</v>
      </c>
    </row>
    <row r="122" spans="1:9">
      <c r="A122" s="13"/>
      <c r="B122" s="70" t="s">
        <v>159</v>
      </c>
      <c r="C122" s="70" t="s">
        <v>257</v>
      </c>
      <c r="D122" s="70" t="s">
        <v>447</v>
      </c>
      <c r="E122" s="70" t="s">
        <v>225</v>
      </c>
      <c r="F122" s="70" t="s">
        <v>225</v>
      </c>
      <c r="G122" s="61">
        <v>32434028.379999999</v>
      </c>
    </row>
    <row r="125" spans="1:9">
      <c r="A125" s="12"/>
      <c r="B125" s="26" t="s">
        <v>157</v>
      </c>
      <c r="C125" s="26" t="s">
        <v>216</v>
      </c>
      <c r="D125" s="26" t="s">
        <v>217</v>
      </c>
      <c r="E125" s="26" t="s">
        <v>218</v>
      </c>
      <c r="F125" s="26" t="s">
        <v>219</v>
      </c>
      <c r="G125" s="26" t="s">
        <v>220</v>
      </c>
    </row>
    <row r="126" spans="1:9">
      <c r="A126" s="13"/>
      <c r="B126" s="70" t="s">
        <v>339</v>
      </c>
      <c r="C126" s="70" t="s">
        <v>222</v>
      </c>
      <c r="D126" s="70" t="s">
        <v>446</v>
      </c>
      <c r="E126" s="70" t="s">
        <v>225</v>
      </c>
      <c r="F126" s="70" t="s">
        <v>225</v>
      </c>
      <c r="G126" s="61">
        <v>36434027.990000002</v>
      </c>
    </row>
    <row r="127" spans="1:9">
      <c r="G127" s="79">
        <f>+G126-G122</f>
        <v>3999999.6100000031</v>
      </c>
    </row>
    <row r="129" spans="1:8">
      <c r="A129" s="12"/>
      <c r="B129" s="26" t="s">
        <v>25</v>
      </c>
      <c r="C129" s="26" t="s">
        <v>307</v>
      </c>
      <c r="D129" s="26" t="s">
        <v>27</v>
      </c>
      <c r="E129" s="26" t="s">
        <v>28</v>
      </c>
      <c r="F129" s="26" t="s">
        <v>273</v>
      </c>
      <c r="G129" s="26" t="s">
        <v>218</v>
      </c>
      <c r="H129" s="60" t="s">
        <v>343</v>
      </c>
    </row>
    <row r="130" spans="1:8" ht="30">
      <c r="A130" s="13"/>
      <c r="B130" s="59">
        <v>44450</v>
      </c>
      <c r="C130" s="70" t="s">
        <v>262</v>
      </c>
      <c r="D130" s="70" t="s">
        <v>340</v>
      </c>
      <c r="E130" s="70">
        <v>1326</v>
      </c>
      <c r="F130" s="70" t="s">
        <v>341</v>
      </c>
      <c r="G130" s="70">
        <v>4000000</v>
      </c>
      <c r="H130" s="58" t="s">
        <v>342</v>
      </c>
    </row>
    <row r="134" spans="1:8">
      <c r="A134" s="12"/>
      <c r="B134" s="26" t="s">
        <v>157</v>
      </c>
      <c r="C134" s="26" t="s">
        <v>216</v>
      </c>
      <c r="D134" s="26" t="s">
        <v>217</v>
      </c>
      <c r="E134" s="26" t="s">
        <v>218</v>
      </c>
      <c r="F134" s="26" t="s">
        <v>219</v>
      </c>
      <c r="G134" s="26" t="s">
        <v>220</v>
      </c>
    </row>
    <row r="135" spans="1:8" ht="30">
      <c r="A135" s="13"/>
      <c r="B135" s="70" t="s">
        <v>159</v>
      </c>
      <c r="C135" s="70" t="s">
        <v>260</v>
      </c>
      <c r="D135" s="70" t="s">
        <v>438</v>
      </c>
      <c r="E135" s="70" t="s">
        <v>225</v>
      </c>
      <c r="F135" s="70" t="s">
        <v>439</v>
      </c>
      <c r="G135" s="61" t="s">
        <v>440</v>
      </c>
      <c r="H135" s="28" t="s">
        <v>347</v>
      </c>
    </row>
    <row r="136" spans="1:8" ht="30">
      <c r="A136" s="13"/>
      <c r="B136" s="70" t="s">
        <v>159</v>
      </c>
      <c r="C136" s="70" t="s">
        <v>344</v>
      </c>
      <c r="D136" s="70" t="s">
        <v>441</v>
      </c>
      <c r="E136" s="70" t="s">
        <v>225</v>
      </c>
      <c r="F136" s="70" t="s">
        <v>225</v>
      </c>
      <c r="G136" s="70" t="s">
        <v>441</v>
      </c>
      <c r="H136" s="28" t="s">
        <v>224</v>
      </c>
    </row>
    <row r="137" spans="1:8">
      <c r="G137" s="93">
        <f>6170440.44-983362.56</f>
        <v>5187077.8800000008</v>
      </c>
    </row>
    <row r="140" spans="1:8">
      <c r="A140" s="12"/>
      <c r="B140" s="26" t="s">
        <v>157</v>
      </c>
      <c r="C140" s="26" t="s">
        <v>216</v>
      </c>
      <c r="D140" s="26" t="s">
        <v>217</v>
      </c>
      <c r="E140" s="26" t="s">
        <v>218</v>
      </c>
      <c r="F140" s="26" t="s">
        <v>219</v>
      </c>
      <c r="G140" s="26" t="s">
        <v>220</v>
      </c>
    </row>
    <row r="141" spans="1:8" ht="30">
      <c r="A141" s="13"/>
      <c r="B141" s="70" t="s">
        <v>345</v>
      </c>
      <c r="C141" s="70" t="s">
        <v>221</v>
      </c>
      <c r="D141" s="70" t="s">
        <v>442</v>
      </c>
      <c r="E141" s="70" t="s">
        <v>225</v>
      </c>
      <c r="F141" s="70" t="s">
        <v>225</v>
      </c>
      <c r="G141" s="61" t="s">
        <v>442</v>
      </c>
      <c r="H141" s="28" t="s">
        <v>223</v>
      </c>
    </row>
    <row r="142" spans="1:8">
      <c r="B142" s="69" t="s">
        <v>345</v>
      </c>
      <c r="C142" s="69" t="s">
        <v>222</v>
      </c>
      <c r="D142" s="69" t="s">
        <v>443</v>
      </c>
      <c r="E142" s="69" t="s">
        <v>444</v>
      </c>
      <c r="F142" s="69" t="s">
        <v>225</v>
      </c>
      <c r="G142" s="69" t="s">
        <v>445</v>
      </c>
      <c r="H142" s="28" t="s">
        <v>224</v>
      </c>
    </row>
    <row r="143" spans="1:8">
      <c r="G143" s="93">
        <f>983362.56-6170440.44</f>
        <v>-5187077.8800000008</v>
      </c>
    </row>
    <row r="144" spans="1:8">
      <c r="G144" s="93">
        <f>+G137+G143</f>
        <v>0</v>
      </c>
      <c r="H144" s="60" t="s">
        <v>348</v>
      </c>
    </row>
    <row r="151" spans="4:6">
      <c r="D151" s="93" t="s">
        <v>219</v>
      </c>
      <c r="F151" s="93" t="s">
        <v>218</v>
      </c>
    </row>
    <row r="152" spans="4:6">
      <c r="D152" s="90">
        <v>1802776.8</v>
      </c>
      <c r="F152" s="90">
        <v>5466104.25</v>
      </c>
    </row>
    <row r="153" spans="4:6">
      <c r="D153" s="90">
        <v>5742007.9400000004</v>
      </c>
      <c r="F153" s="90">
        <v>2165999.54</v>
      </c>
    </row>
    <row r="154" spans="4:6">
      <c r="D154" s="90">
        <v>5466103.5</v>
      </c>
      <c r="F154" s="90">
        <v>3129462.29</v>
      </c>
    </row>
    <row r="155" spans="4:6">
      <c r="D155" s="93">
        <v>1802776.8</v>
      </c>
      <c r="F155" s="90">
        <v>1802776.8</v>
      </c>
    </row>
    <row r="156" spans="4:6">
      <c r="D156" s="93">
        <v>5742007.9400000004</v>
      </c>
      <c r="F156" s="90">
        <v>5742007.9400000004</v>
      </c>
    </row>
    <row r="157" spans="4:6">
      <c r="D157" s="93">
        <v>0</v>
      </c>
      <c r="F157" s="93">
        <v>0</v>
      </c>
    </row>
    <row r="158" spans="4:6">
      <c r="D158" s="90">
        <v>2165999.54</v>
      </c>
      <c r="F158" s="93">
        <v>0</v>
      </c>
    </row>
    <row r="159" spans="4:6">
      <c r="D159" s="90">
        <v>3129462.29</v>
      </c>
      <c r="F159" s="93">
        <v>2305949.6800000002</v>
      </c>
    </row>
    <row r="161" spans="1:15">
      <c r="D161" s="93">
        <f>+D155+D156</f>
        <v>7544784.7400000002</v>
      </c>
      <c r="F161" s="93">
        <f>+F159</f>
        <v>2305949.6800000002</v>
      </c>
    </row>
    <row r="162" spans="1:15">
      <c r="F162" s="93">
        <f>+D161-F161</f>
        <v>5238835.0600000005</v>
      </c>
    </row>
    <row r="163" spans="1:15">
      <c r="I163" s="12"/>
      <c r="J163" s="12" t="s">
        <v>218</v>
      </c>
      <c r="K163" s="12" t="s">
        <v>219</v>
      </c>
      <c r="L163" s="12"/>
      <c r="M163" s="12" t="s">
        <v>218</v>
      </c>
      <c r="N163" s="12" t="s">
        <v>219</v>
      </c>
    </row>
    <row r="164" spans="1:15">
      <c r="I164" s="13"/>
      <c r="J164" s="46">
        <v>108858.36</v>
      </c>
      <c r="K164" s="14">
        <v>0</v>
      </c>
      <c r="L164" s="13"/>
      <c r="M164" s="14">
        <v>0</v>
      </c>
      <c r="N164" s="46">
        <v>108858</v>
      </c>
      <c r="O164" s="93">
        <f>+J164-N164</f>
        <v>0.36000000000058208</v>
      </c>
    </row>
    <row r="165" spans="1:15">
      <c r="I165" s="13"/>
      <c r="J165" s="99">
        <v>33360</v>
      </c>
      <c r="K165" s="14">
        <v>0</v>
      </c>
      <c r="L165" s="13"/>
      <c r="M165" s="14">
        <v>0</v>
      </c>
      <c r="N165" s="99">
        <v>33360</v>
      </c>
      <c r="O165" s="93">
        <f>+J165-N165</f>
        <v>0</v>
      </c>
    </row>
    <row r="166" spans="1:15">
      <c r="I166" s="13"/>
      <c r="J166" s="99">
        <v>74400</v>
      </c>
      <c r="K166" s="14">
        <v>0</v>
      </c>
      <c r="L166" s="13"/>
      <c r="M166" s="14">
        <v>0</v>
      </c>
      <c r="N166" s="99">
        <v>74400</v>
      </c>
      <c r="O166" s="93">
        <f>+J166-N166</f>
        <v>0</v>
      </c>
    </row>
    <row r="167" spans="1:15">
      <c r="I167" s="13"/>
      <c r="J167" s="99">
        <v>60420</v>
      </c>
      <c r="K167" s="14">
        <v>0</v>
      </c>
      <c r="L167" s="13"/>
      <c r="M167" s="14">
        <v>0</v>
      </c>
      <c r="N167" s="99">
        <v>60420</v>
      </c>
      <c r="O167" s="93">
        <f>+J167-N167</f>
        <v>0</v>
      </c>
    </row>
    <row r="168" spans="1:15">
      <c r="I168" s="13"/>
      <c r="J168" s="99">
        <v>6397.07</v>
      </c>
      <c r="K168" s="14">
        <v>0</v>
      </c>
      <c r="L168" s="13"/>
      <c r="M168" s="14">
        <v>0</v>
      </c>
      <c r="N168" s="99">
        <v>82608</v>
      </c>
    </row>
    <row r="169" spans="1:15">
      <c r="I169" s="13"/>
      <c r="J169" s="99">
        <v>82608</v>
      </c>
      <c r="K169" s="14">
        <v>0</v>
      </c>
      <c r="L169" s="13"/>
      <c r="M169" s="14">
        <v>0</v>
      </c>
      <c r="N169" s="99">
        <v>26652</v>
      </c>
    </row>
    <row r="170" spans="1:15">
      <c r="I170" s="13"/>
      <c r="J170" s="99">
        <v>26652</v>
      </c>
      <c r="K170" s="14">
        <v>0</v>
      </c>
      <c r="L170" s="13"/>
      <c r="M170" s="14">
        <v>0</v>
      </c>
      <c r="N170" s="99">
        <v>6397</v>
      </c>
    </row>
    <row r="171" spans="1:15">
      <c r="A171" s="12"/>
      <c r="B171" s="12" t="s">
        <v>157</v>
      </c>
      <c r="C171" s="12" t="s">
        <v>216</v>
      </c>
      <c r="D171" s="12" t="s">
        <v>217</v>
      </c>
      <c r="E171" s="12" t="s">
        <v>218</v>
      </c>
      <c r="F171" s="12" t="s">
        <v>219</v>
      </c>
      <c r="G171" s="12" t="s">
        <v>220</v>
      </c>
      <c r="I171" s="13"/>
      <c r="J171" s="99">
        <v>36000</v>
      </c>
      <c r="K171" s="14">
        <v>0</v>
      </c>
      <c r="L171" s="13"/>
      <c r="M171" s="14">
        <v>0</v>
      </c>
      <c r="N171" s="99">
        <v>36000</v>
      </c>
      <c r="O171" s="93">
        <f>+J171-N171</f>
        <v>0</v>
      </c>
    </row>
    <row r="172" spans="1:15">
      <c r="A172" s="13"/>
      <c r="B172" s="14" t="s">
        <v>159</v>
      </c>
      <c r="C172" s="14" t="s">
        <v>87</v>
      </c>
      <c r="D172" s="14" t="s">
        <v>474</v>
      </c>
      <c r="E172" s="46" t="s">
        <v>475</v>
      </c>
      <c r="F172" s="46" t="s">
        <v>476</v>
      </c>
      <c r="G172" s="98">
        <v>1293773286.96</v>
      </c>
      <c r="I172" s="13"/>
      <c r="J172" s="46">
        <v>1233548.68</v>
      </c>
      <c r="K172" s="14">
        <v>0</v>
      </c>
      <c r="L172" s="13"/>
      <c r="M172" s="14">
        <v>0</v>
      </c>
      <c r="N172" s="46">
        <v>1233549</v>
      </c>
      <c r="O172" s="93">
        <f>+J172-N172</f>
        <v>-0.32000000006519258</v>
      </c>
    </row>
    <row r="173" spans="1:15">
      <c r="A173" s="13"/>
      <c r="B173" s="14" t="s">
        <v>159</v>
      </c>
      <c r="C173" s="14" t="s">
        <v>61</v>
      </c>
      <c r="D173" s="14" t="s">
        <v>477</v>
      </c>
      <c r="E173" s="14" t="s">
        <v>478</v>
      </c>
      <c r="F173" s="14" t="s">
        <v>479</v>
      </c>
      <c r="G173" s="98">
        <v>384464257.25</v>
      </c>
      <c r="I173" s="13"/>
      <c r="J173" s="46">
        <v>3216792.14</v>
      </c>
      <c r="K173" s="14">
        <v>0</v>
      </c>
      <c r="L173" s="13"/>
      <c r="M173" s="14">
        <v>0</v>
      </c>
      <c r="N173" s="46">
        <v>3216792</v>
      </c>
      <c r="O173" s="93">
        <f>+J173-N173</f>
        <v>0.14000000013038516</v>
      </c>
    </row>
    <row r="174" spans="1:15">
      <c r="D174" s="93">
        <f>1186716918.26-365461935.55</f>
        <v>821254982.71000004</v>
      </c>
      <c r="G174" s="79">
        <f>+G172-G173</f>
        <v>909309029.71000004</v>
      </c>
      <c r="I174" s="13"/>
      <c r="J174" s="99">
        <v>72000</v>
      </c>
      <c r="K174" s="14">
        <v>0</v>
      </c>
      <c r="L174" s="13"/>
      <c r="M174" s="14">
        <v>0</v>
      </c>
      <c r="N174" s="99">
        <v>72000</v>
      </c>
      <c r="O174" s="93">
        <f>+J174-N174</f>
        <v>0</v>
      </c>
    </row>
    <row r="175" spans="1:15">
      <c r="I175" s="13"/>
      <c r="J175" s="99">
        <v>24780</v>
      </c>
      <c r="K175" s="14">
        <v>0</v>
      </c>
      <c r="L175" s="13"/>
      <c r="M175" s="14">
        <v>0</v>
      </c>
      <c r="N175" s="99">
        <v>24780</v>
      </c>
      <c r="O175" s="93">
        <f>+J175-N175</f>
        <v>0</v>
      </c>
    </row>
    <row r="176" spans="1:15">
      <c r="A176" s="12"/>
      <c r="B176" s="12" t="s">
        <v>157</v>
      </c>
      <c r="C176" s="12" t="s">
        <v>216</v>
      </c>
      <c r="D176" s="12" t="s">
        <v>217</v>
      </c>
      <c r="E176" s="12" t="s">
        <v>218</v>
      </c>
      <c r="F176" s="12" t="s">
        <v>219</v>
      </c>
      <c r="G176" s="12" t="s">
        <v>220</v>
      </c>
      <c r="I176" s="13"/>
      <c r="J176" s="99">
        <v>16248</v>
      </c>
      <c r="K176" s="14">
        <v>0</v>
      </c>
      <c r="L176" s="13"/>
      <c r="M176" s="14">
        <v>0</v>
      </c>
      <c r="N176" s="99">
        <v>47520</v>
      </c>
    </row>
    <row r="177" spans="1:15">
      <c r="A177" s="13"/>
      <c r="B177" s="14" t="s">
        <v>270</v>
      </c>
      <c r="C177" s="14" t="s">
        <v>221</v>
      </c>
      <c r="D177" s="14" t="s">
        <v>480</v>
      </c>
      <c r="E177" s="14" t="s">
        <v>481</v>
      </c>
      <c r="F177" s="14" t="s">
        <v>482</v>
      </c>
      <c r="G177" s="98">
        <v>490479392.17000002</v>
      </c>
      <c r="I177" s="13"/>
      <c r="J177" s="99">
        <v>47520</v>
      </c>
      <c r="K177" s="14">
        <v>0</v>
      </c>
      <c r="L177" s="13"/>
      <c r="M177" s="14">
        <v>0</v>
      </c>
      <c r="N177" s="99">
        <v>16248</v>
      </c>
    </row>
    <row r="178" spans="1:15">
      <c r="A178" s="13"/>
      <c r="B178" s="14" t="s">
        <v>270</v>
      </c>
      <c r="C178" s="14" t="s">
        <v>222</v>
      </c>
      <c r="D178" s="14" t="s">
        <v>483</v>
      </c>
      <c r="E178" s="46" t="s">
        <v>484</v>
      </c>
      <c r="F178" s="46" t="s">
        <v>485</v>
      </c>
      <c r="G178" s="98">
        <v>1400077385.51</v>
      </c>
      <c r="I178" s="13"/>
      <c r="J178" s="46">
        <v>208991.16</v>
      </c>
      <c r="K178" s="14">
        <v>0</v>
      </c>
      <c r="L178" s="13"/>
      <c r="M178" s="14">
        <v>0</v>
      </c>
      <c r="N178" s="46">
        <v>208991</v>
      </c>
      <c r="O178" s="93">
        <f>+J178-N178</f>
        <v>0.16000000000349246</v>
      </c>
    </row>
    <row r="179" spans="1:15">
      <c r="D179" s="93">
        <f>1293021016.82-471766043.17</f>
        <v>821254973.64999986</v>
      </c>
      <c r="E179" s="93">
        <f>719308.1-718328</f>
        <v>980.09999999997672</v>
      </c>
      <c r="F179" s="93">
        <f>19721629.8-19431677</f>
        <v>289952.80000000075</v>
      </c>
      <c r="G179" s="79">
        <f>+G178-G177</f>
        <v>909597993.33999991</v>
      </c>
      <c r="I179" s="13"/>
      <c r="J179" s="46">
        <v>719480.08</v>
      </c>
      <c r="K179" s="14">
        <v>0</v>
      </c>
      <c r="L179" s="13"/>
      <c r="M179" s="99">
        <v>9092</v>
      </c>
      <c r="N179" s="14">
        <v>0</v>
      </c>
    </row>
    <row r="180" spans="1:15">
      <c r="D180" s="93" t="s">
        <v>231</v>
      </c>
      <c r="G180" s="79">
        <f>+G179-G174</f>
        <v>288963.62999987602</v>
      </c>
      <c r="I180" s="13"/>
      <c r="J180" s="99">
        <v>38640</v>
      </c>
      <c r="K180" s="14">
        <v>0</v>
      </c>
      <c r="L180" s="13"/>
      <c r="M180" s="14">
        <v>0</v>
      </c>
      <c r="N180" s="46">
        <v>719480</v>
      </c>
    </row>
    <row r="181" spans="1:15">
      <c r="I181" s="13"/>
      <c r="J181" s="99">
        <v>75792</v>
      </c>
      <c r="K181" s="14">
        <v>0</v>
      </c>
      <c r="L181" s="13"/>
      <c r="M181" s="14">
        <v>0</v>
      </c>
      <c r="N181" s="99">
        <v>38640</v>
      </c>
    </row>
    <row r="182" spans="1:15">
      <c r="A182" s="12"/>
      <c r="B182" s="12" t="s">
        <v>157</v>
      </c>
      <c r="C182" s="12" t="s">
        <v>216</v>
      </c>
      <c r="D182" s="12" t="s">
        <v>217</v>
      </c>
      <c r="E182" s="12" t="s">
        <v>218</v>
      </c>
      <c r="F182" s="12" t="s">
        <v>219</v>
      </c>
      <c r="G182" s="12" t="s">
        <v>220</v>
      </c>
      <c r="I182" s="13"/>
      <c r="J182" s="99">
        <v>36720</v>
      </c>
      <c r="K182" s="14">
        <v>0</v>
      </c>
      <c r="L182" s="13"/>
      <c r="M182" s="14">
        <v>0</v>
      </c>
      <c r="N182" s="99">
        <v>75792</v>
      </c>
    </row>
    <row r="183" spans="1:15">
      <c r="A183" s="13"/>
      <c r="B183" s="14" t="s">
        <v>159</v>
      </c>
      <c r="C183" s="14" t="s">
        <v>87</v>
      </c>
      <c r="D183" s="14" t="s">
        <v>486</v>
      </c>
      <c r="E183" s="14" t="s">
        <v>225</v>
      </c>
      <c r="F183" s="46" t="s">
        <v>487</v>
      </c>
      <c r="G183" s="98">
        <v>1293773286.96</v>
      </c>
      <c r="I183" s="13"/>
      <c r="J183" s="99">
        <v>45184.04</v>
      </c>
      <c r="K183" s="14">
        <v>0</v>
      </c>
      <c r="L183" s="13"/>
      <c r="M183" s="14">
        <v>0</v>
      </c>
      <c r="N183" s="99">
        <v>36720</v>
      </c>
    </row>
    <row r="184" spans="1:15">
      <c r="A184" s="13"/>
      <c r="B184" s="14" t="s">
        <v>159</v>
      </c>
      <c r="C184" s="14" t="s">
        <v>61</v>
      </c>
      <c r="D184" s="14" t="s">
        <v>488</v>
      </c>
      <c r="E184" s="14" t="s">
        <v>489</v>
      </c>
      <c r="F184" s="14" t="s">
        <v>225</v>
      </c>
      <c r="G184" s="98">
        <v>384464257.25</v>
      </c>
      <c r="I184" s="13"/>
      <c r="J184" s="99">
        <v>23772</v>
      </c>
      <c r="K184" s="14">
        <v>0</v>
      </c>
      <c r="L184" s="13"/>
      <c r="M184" s="14">
        <v>0</v>
      </c>
      <c r="N184" s="99">
        <v>45184</v>
      </c>
    </row>
    <row r="185" spans="1:15">
      <c r="D185" s="93">
        <f>1223846496.54-374836538.38</f>
        <v>849009958.15999997</v>
      </c>
      <c r="G185" s="79">
        <f>+G183-G184</f>
        <v>909309029.71000004</v>
      </c>
      <c r="I185" s="13"/>
      <c r="J185" s="14">
        <v>0</v>
      </c>
      <c r="K185" s="99">
        <v>9092</v>
      </c>
      <c r="L185" s="13"/>
      <c r="M185" s="14">
        <v>0</v>
      </c>
      <c r="N185" s="99">
        <v>23772</v>
      </c>
    </row>
    <row r="186" spans="1:15">
      <c r="I186" s="13"/>
      <c r="J186" s="46">
        <v>439685.48</v>
      </c>
      <c r="K186" s="14">
        <v>0</v>
      </c>
      <c r="L186" s="13"/>
      <c r="M186" s="14">
        <v>0</v>
      </c>
      <c r="N186" s="99">
        <v>32304</v>
      </c>
    </row>
    <row r="187" spans="1:15">
      <c r="A187" s="12"/>
      <c r="B187" s="12" t="s">
        <v>157</v>
      </c>
      <c r="C187" s="12" t="s">
        <v>216</v>
      </c>
      <c r="D187" s="12" t="s">
        <v>217</v>
      </c>
      <c r="E187" s="12" t="s">
        <v>218</v>
      </c>
      <c r="F187" s="12" t="s">
        <v>219</v>
      </c>
      <c r="G187" s="12" t="s">
        <v>220</v>
      </c>
      <c r="I187" s="13"/>
      <c r="J187" s="99">
        <v>51940</v>
      </c>
      <c r="K187" s="14">
        <v>0</v>
      </c>
      <c r="L187" s="13"/>
      <c r="M187" s="14">
        <v>0</v>
      </c>
      <c r="N187" s="46">
        <v>439685</v>
      </c>
    </row>
    <row r="188" spans="1:15">
      <c r="A188" s="13"/>
      <c r="B188" s="14" t="s">
        <v>270</v>
      </c>
      <c r="C188" s="14" t="s">
        <v>221</v>
      </c>
      <c r="D188" s="14" t="s">
        <v>490</v>
      </c>
      <c r="E188" s="14" t="s">
        <v>225</v>
      </c>
      <c r="F188" s="14" t="s">
        <v>491</v>
      </c>
      <c r="G188" s="98">
        <v>490479392.17000002</v>
      </c>
      <c r="I188" s="13"/>
      <c r="J188" s="99">
        <v>23700</v>
      </c>
      <c r="K188" s="14">
        <v>0</v>
      </c>
      <c r="L188" s="13"/>
      <c r="M188" s="14">
        <v>0</v>
      </c>
      <c r="N188" s="99">
        <v>51940</v>
      </c>
    </row>
    <row r="189" spans="1:15">
      <c r="A189" s="13"/>
      <c r="B189" s="14" t="s">
        <v>270</v>
      </c>
      <c r="C189" s="14" t="s">
        <v>222</v>
      </c>
      <c r="D189" s="14" t="s">
        <v>492</v>
      </c>
      <c r="E189" s="46" t="s">
        <v>493</v>
      </c>
      <c r="F189" s="14" t="s">
        <v>225</v>
      </c>
      <c r="G189" s="98">
        <v>1400077385.51</v>
      </c>
      <c r="I189" s="13"/>
      <c r="J189" s="99">
        <v>32304</v>
      </c>
      <c r="K189" s="14">
        <v>0</v>
      </c>
      <c r="L189" s="13"/>
      <c r="M189" s="14">
        <v>0</v>
      </c>
      <c r="N189" s="99">
        <v>23700</v>
      </c>
    </row>
    <row r="190" spans="1:15">
      <c r="D190" s="93">
        <f>1330150595.08-481141625.08</f>
        <v>849008970</v>
      </c>
      <c r="G190" s="79">
        <f>+G189-G188</f>
        <v>909597993.33999991</v>
      </c>
      <c r="I190" s="13"/>
      <c r="J190" s="99">
        <v>20460</v>
      </c>
      <c r="K190" s="14">
        <v>0</v>
      </c>
      <c r="L190" s="13"/>
      <c r="M190" s="14">
        <v>0</v>
      </c>
      <c r="N190" s="99">
        <v>57600</v>
      </c>
    </row>
    <row r="191" spans="1:15">
      <c r="D191" s="93">
        <f>+D185-D190</f>
        <v>988.1599999666214</v>
      </c>
      <c r="G191" s="79">
        <f>+G190-G185</f>
        <v>288963.62999987602</v>
      </c>
      <c r="I191" s="13"/>
      <c r="J191" s="99">
        <v>57600</v>
      </c>
      <c r="K191" s="14">
        <v>0</v>
      </c>
      <c r="L191" s="13"/>
      <c r="M191" s="14">
        <v>0</v>
      </c>
      <c r="N191" s="99">
        <v>20460</v>
      </c>
    </row>
    <row r="192" spans="1:15">
      <c r="I192" s="13"/>
      <c r="J192" s="99">
        <v>3846.97</v>
      </c>
      <c r="K192" s="14">
        <v>0</v>
      </c>
      <c r="L192" s="13"/>
      <c r="M192" s="14">
        <v>0</v>
      </c>
      <c r="N192" s="99">
        <v>3847</v>
      </c>
      <c r="O192" s="79">
        <f>+J192-N192</f>
        <v>-3.0000000000200089E-2</v>
      </c>
    </row>
    <row r="193" spans="3:15">
      <c r="I193" s="13"/>
      <c r="J193" s="99">
        <v>12964</v>
      </c>
      <c r="K193" s="14">
        <v>0</v>
      </c>
      <c r="L193" s="13"/>
      <c r="M193" s="14">
        <v>0</v>
      </c>
      <c r="N193" s="99">
        <v>12964</v>
      </c>
      <c r="O193" s="79">
        <f>+J193-N193</f>
        <v>0</v>
      </c>
    </row>
    <row r="194" spans="3:15">
      <c r="I194" s="13"/>
      <c r="J194" s="99">
        <v>3840</v>
      </c>
      <c r="K194" s="14">
        <v>0</v>
      </c>
      <c r="L194" s="13"/>
      <c r="M194" s="14">
        <v>0</v>
      </c>
      <c r="N194" s="99">
        <v>3840</v>
      </c>
      <c r="O194" s="79">
        <f>+J194-N194</f>
        <v>0</v>
      </c>
    </row>
    <row r="195" spans="3:15">
      <c r="I195" s="13"/>
      <c r="J195" s="46">
        <v>3181322.95</v>
      </c>
      <c r="K195" s="14">
        <v>0</v>
      </c>
      <c r="L195" s="13"/>
      <c r="M195" s="14">
        <v>0</v>
      </c>
      <c r="N195" s="99">
        <v>43488</v>
      </c>
    </row>
    <row r="196" spans="3:15">
      <c r="I196" s="13"/>
      <c r="J196" s="99">
        <v>34596</v>
      </c>
      <c r="K196" s="14">
        <v>0</v>
      </c>
      <c r="L196" s="13"/>
      <c r="M196" s="14">
        <v>0</v>
      </c>
      <c r="N196" s="46">
        <v>3181323</v>
      </c>
    </row>
    <row r="197" spans="3:15">
      <c r="I197" s="13"/>
      <c r="J197" s="99">
        <v>43488</v>
      </c>
      <c r="K197" s="14">
        <v>0</v>
      </c>
      <c r="L197" s="13"/>
      <c r="M197" s="14">
        <v>0</v>
      </c>
      <c r="N197" s="99">
        <v>34596</v>
      </c>
    </row>
    <row r="198" spans="3:15">
      <c r="I198" s="13"/>
      <c r="J198" s="99">
        <v>41943.25</v>
      </c>
      <c r="K198" s="14">
        <v>0</v>
      </c>
      <c r="L198" s="13"/>
      <c r="M198" s="14">
        <v>0</v>
      </c>
      <c r="N198" s="99">
        <v>24000</v>
      </c>
    </row>
    <row r="199" spans="3:15">
      <c r="I199" s="13"/>
      <c r="J199" s="99">
        <v>24000</v>
      </c>
      <c r="K199" s="14">
        <v>0</v>
      </c>
      <c r="L199" s="13"/>
      <c r="M199" s="14">
        <v>0</v>
      </c>
      <c r="N199" s="99">
        <v>41943</v>
      </c>
    </row>
    <row r="200" spans="3:15">
      <c r="I200" s="13"/>
      <c r="J200" s="99">
        <v>24036</v>
      </c>
      <c r="K200" s="14">
        <v>0</v>
      </c>
      <c r="L200" s="13"/>
      <c r="M200" s="14">
        <v>0</v>
      </c>
      <c r="N200" s="99">
        <v>24036</v>
      </c>
    </row>
    <row r="201" spans="3:15">
      <c r="I201" s="13"/>
      <c r="J201" s="99">
        <v>19164</v>
      </c>
      <c r="K201" s="14">
        <v>0</v>
      </c>
      <c r="L201" s="13"/>
      <c r="M201" s="14">
        <v>0</v>
      </c>
      <c r="N201" s="99">
        <v>48648</v>
      </c>
    </row>
    <row r="202" spans="3:15">
      <c r="I202" s="13"/>
      <c r="J202" s="99">
        <v>48648</v>
      </c>
      <c r="K202" s="14">
        <v>0</v>
      </c>
      <c r="L202" s="13"/>
      <c r="M202" s="14">
        <v>0</v>
      </c>
      <c r="N202" s="99">
        <v>19164</v>
      </c>
    </row>
    <row r="203" spans="3:15">
      <c r="I203" s="13"/>
      <c r="J203" s="46">
        <v>187200</v>
      </c>
      <c r="K203" s="14">
        <v>0</v>
      </c>
      <c r="L203" s="13"/>
      <c r="M203" s="14">
        <v>0</v>
      </c>
      <c r="N203" s="46">
        <v>187200</v>
      </c>
      <c r="O203" s="93">
        <f>+J203-N203</f>
        <v>0</v>
      </c>
    </row>
    <row r="204" spans="3:15">
      <c r="I204" s="13"/>
      <c r="J204" s="99">
        <v>32520</v>
      </c>
      <c r="K204" s="14">
        <v>0</v>
      </c>
      <c r="L204" s="13"/>
      <c r="M204" s="14">
        <v>0</v>
      </c>
      <c r="N204" s="99">
        <v>32520</v>
      </c>
      <c r="O204" s="93">
        <f t="shared" ref="O204:O211" si="0">+J204-N204</f>
        <v>0</v>
      </c>
    </row>
    <row r="205" spans="3:15">
      <c r="I205" s="13"/>
      <c r="J205" s="99">
        <v>16020</v>
      </c>
      <c r="K205" s="14">
        <v>0</v>
      </c>
      <c r="L205" s="13"/>
      <c r="M205" s="14">
        <v>0</v>
      </c>
      <c r="N205" s="99">
        <v>16020</v>
      </c>
      <c r="O205" s="93">
        <f t="shared" si="0"/>
        <v>0</v>
      </c>
    </row>
    <row r="206" spans="3:15">
      <c r="C206" s="12"/>
      <c r="D206" s="12" t="s">
        <v>273</v>
      </c>
      <c r="E206" s="12" t="s">
        <v>218</v>
      </c>
      <c r="F206" s="12" t="s">
        <v>219</v>
      </c>
      <c r="I206" s="13"/>
      <c r="J206" s="99">
        <v>25980</v>
      </c>
      <c r="K206" s="14">
        <v>0</v>
      </c>
      <c r="L206" s="13"/>
      <c r="M206" s="14">
        <v>0</v>
      </c>
      <c r="N206" s="99">
        <v>25980</v>
      </c>
      <c r="O206" s="93">
        <f t="shared" si="0"/>
        <v>0</v>
      </c>
    </row>
    <row r="207" spans="3:15">
      <c r="C207" s="13"/>
      <c r="D207" s="14" t="s">
        <v>459</v>
      </c>
      <c r="E207" s="14">
        <v>0</v>
      </c>
      <c r="F207" s="101">
        <v>73743.83</v>
      </c>
      <c r="I207" s="13"/>
      <c r="J207" s="99">
        <v>51420</v>
      </c>
      <c r="K207" s="14">
        <v>0</v>
      </c>
      <c r="L207" s="13"/>
      <c r="M207" s="14">
        <v>0</v>
      </c>
      <c r="N207" s="99">
        <v>51420</v>
      </c>
      <c r="O207" s="93">
        <f t="shared" si="0"/>
        <v>0</v>
      </c>
    </row>
    <row r="208" spans="3:15">
      <c r="C208" s="13"/>
      <c r="D208" s="14" t="s">
        <v>460</v>
      </c>
      <c r="E208" s="14">
        <v>0</v>
      </c>
      <c r="F208" s="14">
        <v>373697</v>
      </c>
      <c r="G208" s="93">
        <f>+F208-E209</f>
        <v>373024</v>
      </c>
      <c r="I208" s="13"/>
      <c r="J208" s="46">
        <v>203424</v>
      </c>
      <c r="K208" s="14">
        <v>0</v>
      </c>
      <c r="L208" s="13"/>
      <c r="M208" s="14">
        <v>0</v>
      </c>
      <c r="N208" s="46">
        <v>203424</v>
      </c>
      <c r="O208" s="93">
        <f t="shared" si="0"/>
        <v>0</v>
      </c>
    </row>
    <row r="209" spans="3:15">
      <c r="C209" s="13"/>
      <c r="D209" s="14" t="s">
        <v>460</v>
      </c>
      <c r="E209" s="14">
        <v>673</v>
      </c>
      <c r="F209" s="14">
        <v>0</v>
      </c>
      <c r="I209" s="13"/>
      <c r="J209" s="99">
        <v>23604</v>
      </c>
      <c r="K209" s="14">
        <v>0</v>
      </c>
      <c r="L209" s="13"/>
      <c r="M209" s="14">
        <v>0</v>
      </c>
      <c r="N209" s="99">
        <v>23604</v>
      </c>
      <c r="O209" s="93">
        <f t="shared" si="0"/>
        <v>0</v>
      </c>
    </row>
    <row r="210" spans="3:15">
      <c r="C210" s="13"/>
      <c r="D210" s="14" t="s">
        <v>462</v>
      </c>
      <c r="E210" s="14">
        <v>0</v>
      </c>
      <c r="F210" s="16">
        <v>2704123.17</v>
      </c>
      <c r="I210" s="13"/>
      <c r="J210" s="99">
        <v>20100</v>
      </c>
      <c r="K210" s="14">
        <v>0</v>
      </c>
      <c r="L210" s="13"/>
      <c r="M210" s="14">
        <v>0</v>
      </c>
      <c r="N210" s="99">
        <v>20100</v>
      </c>
      <c r="O210" s="93">
        <f t="shared" si="0"/>
        <v>0</v>
      </c>
    </row>
    <row r="211" spans="3:15">
      <c r="C211" s="13"/>
      <c r="D211" s="14" t="s">
        <v>458</v>
      </c>
      <c r="E211" s="14">
        <v>0</v>
      </c>
      <c r="F211" s="16">
        <v>1474460</v>
      </c>
      <c r="I211" s="13"/>
      <c r="J211" s="46">
        <v>102257.8</v>
      </c>
      <c r="K211" s="14">
        <v>0</v>
      </c>
      <c r="L211" s="13"/>
      <c r="M211" s="14">
        <v>0</v>
      </c>
      <c r="N211" s="46">
        <v>102258</v>
      </c>
      <c r="O211" s="93">
        <f t="shared" si="0"/>
        <v>-0.19999999999708962</v>
      </c>
    </row>
    <row r="212" spans="3:15">
      <c r="C212" s="13"/>
      <c r="D212" s="14" t="s">
        <v>458</v>
      </c>
      <c r="E212" s="101">
        <v>26330</v>
      </c>
      <c r="F212" s="14">
        <v>0</v>
      </c>
      <c r="G212" s="79">
        <f>+F211-E212</f>
        <v>1448130</v>
      </c>
      <c r="I212" s="13"/>
      <c r="J212" s="99">
        <v>26004</v>
      </c>
      <c r="K212" s="14">
        <v>0</v>
      </c>
      <c r="L212" s="13"/>
      <c r="M212" s="14">
        <v>0</v>
      </c>
      <c r="N212" s="99">
        <v>97344</v>
      </c>
    </row>
    <row r="213" spans="3:15">
      <c r="C213" s="13"/>
      <c r="D213" s="14" t="s">
        <v>461</v>
      </c>
      <c r="E213" s="14">
        <v>0</v>
      </c>
      <c r="F213" s="101">
        <v>30182.400000000001</v>
      </c>
      <c r="I213" s="13"/>
      <c r="J213" s="99">
        <v>97344</v>
      </c>
      <c r="K213" s="14">
        <v>0</v>
      </c>
      <c r="L213" s="13"/>
      <c r="M213" s="14">
        <v>0</v>
      </c>
      <c r="N213" s="99">
        <v>26004</v>
      </c>
    </row>
    <row r="214" spans="3:15">
      <c r="C214" s="13"/>
      <c r="D214" s="14" t="s">
        <v>463</v>
      </c>
      <c r="E214" s="14">
        <v>0</v>
      </c>
      <c r="F214" s="101">
        <v>8017.2</v>
      </c>
      <c r="I214" s="13"/>
      <c r="J214" s="46">
        <v>211282.75</v>
      </c>
      <c r="K214" s="14">
        <v>0</v>
      </c>
      <c r="L214" s="13"/>
      <c r="M214" s="14">
        <v>0</v>
      </c>
      <c r="N214" s="46">
        <v>211283</v>
      </c>
      <c r="O214" s="93">
        <f>+J214-N214</f>
        <v>-0.25</v>
      </c>
    </row>
    <row r="215" spans="3:15">
      <c r="C215" s="13"/>
      <c r="D215" s="14" t="s">
        <v>464</v>
      </c>
      <c r="E215" s="14">
        <v>0</v>
      </c>
      <c r="F215" s="101">
        <v>2475.9</v>
      </c>
      <c r="I215" s="13"/>
      <c r="J215" s="99">
        <v>51720</v>
      </c>
      <c r="K215" s="14">
        <v>0</v>
      </c>
      <c r="L215" s="13"/>
      <c r="M215" s="14">
        <v>0</v>
      </c>
      <c r="N215" s="99">
        <v>51720</v>
      </c>
      <c r="O215" s="93">
        <f>+J215-N215</f>
        <v>0</v>
      </c>
    </row>
    <row r="216" spans="3:15">
      <c r="I216" s="13"/>
      <c r="J216" s="46">
        <v>3127664.8</v>
      </c>
      <c r="K216" s="14">
        <v>0</v>
      </c>
      <c r="L216" s="13"/>
      <c r="M216" s="14">
        <v>0</v>
      </c>
      <c r="N216" s="46">
        <v>3127665</v>
      </c>
      <c r="O216" s="93">
        <f>+J216-N216</f>
        <v>-0.20000000018626451</v>
      </c>
    </row>
    <row r="217" spans="3:15">
      <c r="C217" s="12"/>
      <c r="D217" s="12" t="s">
        <v>28</v>
      </c>
      <c r="E217" s="12" t="s">
        <v>273</v>
      </c>
      <c r="F217" s="12" t="s">
        <v>218</v>
      </c>
      <c r="I217" s="13"/>
      <c r="J217" s="99">
        <v>40152</v>
      </c>
      <c r="K217" s="14">
        <v>0</v>
      </c>
      <c r="L217" s="13"/>
      <c r="M217" s="14">
        <v>0</v>
      </c>
      <c r="N217" s="99">
        <v>40152</v>
      </c>
      <c r="O217" s="93">
        <f>+J217-N217</f>
        <v>0</v>
      </c>
    </row>
    <row r="218" spans="3:15">
      <c r="C218" s="13"/>
      <c r="D218" s="14" t="s">
        <v>458</v>
      </c>
      <c r="E218" s="14"/>
      <c r="F218" s="16">
        <v>1448130.09</v>
      </c>
      <c r="I218" s="13"/>
      <c r="J218" s="99">
        <v>10952.02</v>
      </c>
      <c r="K218" s="14">
        <v>0</v>
      </c>
      <c r="L218" s="13"/>
      <c r="M218" s="14">
        <v>0</v>
      </c>
      <c r="N218" s="46">
        <v>223130</v>
      </c>
    </row>
    <row r="219" spans="3:15">
      <c r="C219" s="13"/>
      <c r="D219" s="14">
        <v>104</v>
      </c>
      <c r="E219" s="14"/>
      <c r="F219" s="101">
        <v>73743.83</v>
      </c>
      <c r="I219" s="13"/>
      <c r="J219" s="46">
        <v>223129.52</v>
      </c>
      <c r="K219" s="14">
        <v>0</v>
      </c>
      <c r="L219" s="13"/>
      <c r="M219" s="14">
        <v>0</v>
      </c>
      <c r="N219" s="99">
        <v>10952</v>
      </c>
    </row>
    <row r="220" spans="3:15">
      <c r="C220" s="13"/>
      <c r="D220" s="14" t="s">
        <v>460</v>
      </c>
      <c r="E220" s="14"/>
      <c r="F220" s="14">
        <v>367023.87</v>
      </c>
      <c r="I220" s="13"/>
      <c r="J220" s="46">
        <v>223920</v>
      </c>
      <c r="K220" s="14">
        <v>0</v>
      </c>
      <c r="L220" s="13"/>
      <c r="M220" s="14">
        <v>0</v>
      </c>
      <c r="N220" s="46">
        <v>223920</v>
      </c>
      <c r="O220" s="93">
        <f t="shared" ref="O220:O236" si="1">+J220-N220</f>
        <v>0</v>
      </c>
    </row>
    <row r="221" spans="3:15">
      <c r="C221" s="13"/>
      <c r="D221" s="14">
        <v>110</v>
      </c>
      <c r="E221" s="14"/>
      <c r="F221" s="101">
        <v>30182.400000000001</v>
      </c>
      <c r="I221" s="13"/>
      <c r="J221" s="99">
        <v>41100</v>
      </c>
      <c r="K221" s="14">
        <v>0</v>
      </c>
      <c r="L221" s="13"/>
      <c r="M221" s="14">
        <v>0</v>
      </c>
      <c r="N221" s="99">
        <v>41100</v>
      </c>
      <c r="O221" s="93">
        <f t="shared" si="1"/>
        <v>0</v>
      </c>
    </row>
    <row r="222" spans="3:15">
      <c r="C222" s="13"/>
      <c r="D222" s="14">
        <v>113</v>
      </c>
      <c r="E222" s="14"/>
      <c r="F222" s="16">
        <v>2704123.17</v>
      </c>
      <c r="I222" s="13"/>
      <c r="J222" s="99">
        <v>9288</v>
      </c>
      <c r="K222" s="14">
        <v>0</v>
      </c>
      <c r="L222" s="13"/>
      <c r="M222" s="14">
        <v>0</v>
      </c>
      <c r="N222" s="99">
        <v>9288</v>
      </c>
      <c r="O222" s="93">
        <f t="shared" si="1"/>
        <v>0</v>
      </c>
    </row>
    <row r="223" spans="3:15">
      <c r="C223" s="13"/>
      <c r="D223" s="14">
        <v>117</v>
      </c>
      <c r="E223" s="14"/>
      <c r="F223" s="101">
        <v>2475.9</v>
      </c>
      <c r="I223" s="13"/>
      <c r="J223" s="99">
        <v>64896</v>
      </c>
      <c r="K223" s="14">
        <v>0</v>
      </c>
      <c r="L223" s="13"/>
      <c r="M223" s="14">
        <v>0</v>
      </c>
      <c r="N223" s="99">
        <v>64896</v>
      </c>
      <c r="O223" s="93">
        <f t="shared" si="1"/>
        <v>0</v>
      </c>
    </row>
    <row r="224" spans="3:15">
      <c r="C224" s="13"/>
      <c r="D224" s="14">
        <v>115</v>
      </c>
      <c r="E224" s="14"/>
      <c r="F224" s="101">
        <v>8017.2</v>
      </c>
      <c r="I224" s="13"/>
      <c r="J224" s="99">
        <v>25512</v>
      </c>
      <c r="K224" s="14">
        <v>0</v>
      </c>
      <c r="L224" s="13"/>
      <c r="M224" s="14">
        <v>0</v>
      </c>
      <c r="N224" s="99">
        <v>25512</v>
      </c>
      <c r="O224" s="93">
        <f t="shared" si="1"/>
        <v>0</v>
      </c>
    </row>
    <row r="225" spans="9:15">
      <c r="I225" s="13"/>
      <c r="J225" s="99">
        <v>73807.710000000006</v>
      </c>
      <c r="K225" s="14">
        <v>0</v>
      </c>
      <c r="L225" s="13"/>
      <c r="M225" s="14">
        <v>0</v>
      </c>
      <c r="N225" s="99">
        <v>73808</v>
      </c>
      <c r="O225" s="93">
        <f t="shared" si="1"/>
        <v>-0.28999999999359716</v>
      </c>
    </row>
    <row r="226" spans="9:15">
      <c r="I226" s="13"/>
      <c r="J226" s="99">
        <v>13074.65</v>
      </c>
      <c r="K226" s="14">
        <v>0</v>
      </c>
      <c r="L226" s="13"/>
      <c r="M226" s="14">
        <v>0</v>
      </c>
      <c r="N226" s="99">
        <v>13075</v>
      </c>
      <c r="O226" s="93">
        <f t="shared" si="1"/>
        <v>-0.3500000000003638</v>
      </c>
    </row>
    <row r="227" spans="9:15">
      <c r="I227" s="13"/>
      <c r="J227" s="46">
        <v>379941.89</v>
      </c>
      <c r="K227" s="14">
        <v>0</v>
      </c>
      <c r="L227" s="13"/>
      <c r="M227" s="14">
        <v>0</v>
      </c>
      <c r="N227" s="46">
        <v>379942</v>
      </c>
      <c r="O227" s="93">
        <f t="shared" si="1"/>
        <v>-0.10999999998603016</v>
      </c>
    </row>
    <row r="228" spans="9:15">
      <c r="I228" s="13"/>
      <c r="J228" s="46">
        <v>167437.78</v>
      </c>
      <c r="K228" s="14">
        <v>0</v>
      </c>
      <c r="L228" s="13"/>
      <c r="M228" s="14">
        <v>0</v>
      </c>
      <c r="N228" s="46">
        <v>167438</v>
      </c>
      <c r="O228" s="93">
        <f t="shared" si="1"/>
        <v>-0.22000000000116415</v>
      </c>
    </row>
    <row r="229" spans="9:15">
      <c r="I229" s="13"/>
      <c r="J229" s="99">
        <v>28784.12</v>
      </c>
      <c r="K229" s="14">
        <v>0</v>
      </c>
      <c r="L229" s="13"/>
      <c r="M229" s="14">
        <v>0</v>
      </c>
      <c r="N229" s="99">
        <v>28784</v>
      </c>
      <c r="O229" s="93">
        <f t="shared" si="1"/>
        <v>0.11999999999898137</v>
      </c>
    </row>
    <row r="230" spans="9:15">
      <c r="I230" s="13"/>
      <c r="J230" s="99">
        <v>24816</v>
      </c>
      <c r="K230" s="14">
        <v>0</v>
      </c>
      <c r="L230" s="13"/>
      <c r="M230" s="14">
        <v>0</v>
      </c>
      <c r="N230" s="99">
        <v>24816</v>
      </c>
      <c r="O230" s="93">
        <f t="shared" si="1"/>
        <v>0</v>
      </c>
    </row>
    <row r="231" spans="9:15">
      <c r="I231" s="13"/>
      <c r="J231" s="46">
        <v>2756088.56</v>
      </c>
      <c r="K231" s="14">
        <v>0</v>
      </c>
      <c r="L231" s="13"/>
      <c r="M231" s="14">
        <v>0</v>
      </c>
      <c r="N231" s="46">
        <v>2756089</v>
      </c>
      <c r="O231" s="93">
        <f t="shared" si="1"/>
        <v>-0.43999999994412065</v>
      </c>
    </row>
    <row r="232" spans="9:15">
      <c r="I232" s="13"/>
      <c r="J232" s="46">
        <v>130196.54</v>
      </c>
      <c r="K232" s="14">
        <v>0</v>
      </c>
      <c r="L232" s="13"/>
      <c r="M232" s="14">
        <v>0</v>
      </c>
      <c r="N232" s="46">
        <v>130197</v>
      </c>
      <c r="O232" s="93">
        <f t="shared" si="1"/>
        <v>-0.46000000000640284</v>
      </c>
    </row>
    <row r="233" spans="9:15">
      <c r="I233" s="13"/>
      <c r="J233" s="46">
        <v>169556.64</v>
      </c>
      <c r="K233" s="14">
        <v>0</v>
      </c>
      <c r="L233" s="13"/>
      <c r="M233" s="14">
        <v>0</v>
      </c>
      <c r="N233" s="46">
        <v>169557</v>
      </c>
      <c r="O233" s="93">
        <f t="shared" si="1"/>
        <v>-0.35999999998603016</v>
      </c>
    </row>
    <row r="234" spans="9:15">
      <c r="I234" s="13"/>
      <c r="J234" s="99">
        <v>87456</v>
      </c>
      <c r="K234" s="14">
        <v>0</v>
      </c>
      <c r="L234" s="13"/>
      <c r="M234" s="14">
        <v>0</v>
      </c>
      <c r="N234" s="99">
        <v>87456</v>
      </c>
      <c r="O234" s="93">
        <f t="shared" si="1"/>
        <v>0</v>
      </c>
    </row>
    <row r="235" spans="9:15">
      <c r="I235" s="13"/>
      <c r="J235" s="99">
        <v>31032</v>
      </c>
      <c r="K235" s="14">
        <v>0</v>
      </c>
      <c r="L235" s="13"/>
      <c r="M235" s="14">
        <v>0</v>
      </c>
      <c r="N235" s="99">
        <v>31032</v>
      </c>
      <c r="O235" s="93">
        <f t="shared" si="1"/>
        <v>0</v>
      </c>
    </row>
    <row r="236" spans="9:15">
      <c r="I236" s="13"/>
      <c r="J236" s="99">
        <v>43200</v>
      </c>
      <c r="K236" s="14">
        <v>0</v>
      </c>
      <c r="L236" s="13"/>
      <c r="M236" s="14">
        <v>0</v>
      </c>
      <c r="N236" s="99">
        <v>43200</v>
      </c>
      <c r="O236" s="93">
        <f t="shared" si="1"/>
        <v>0</v>
      </c>
    </row>
    <row r="237" spans="9:15">
      <c r="I237" s="13"/>
      <c r="J237" s="99">
        <v>32724</v>
      </c>
      <c r="K237" s="14">
        <v>0</v>
      </c>
      <c r="L237" s="13"/>
      <c r="M237" s="14">
        <v>0</v>
      </c>
      <c r="N237" s="46">
        <v>283590</v>
      </c>
    </row>
    <row r="238" spans="9:15">
      <c r="I238" s="13"/>
      <c r="J238" s="46">
        <v>283590.40000000002</v>
      </c>
      <c r="K238" s="14">
        <v>0</v>
      </c>
      <c r="L238" s="13"/>
      <c r="M238" s="14">
        <v>0</v>
      </c>
      <c r="N238" s="99">
        <v>32724</v>
      </c>
    </row>
    <row r="239" spans="9:15">
      <c r="I239" s="13"/>
      <c r="J239" s="99">
        <v>30444</v>
      </c>
      <c r="K239" s="14">
        <v>0</v>
      </c>
      <c r="L239" s="13"/>
      <c r="M239" s="14">
        <v>0</v>
      </c>
      <c r="N239" s="99">
        <v>65280</v>
      </c>
    </row>
    <row r="240" spans="9:15">
      <c r="I240" s="13"/>
      <c r="J240" s="99">
        <v>13188</v>
      </c>
      <c r="K240" s="14">
        <v>0</v>
      </c>
      <c r="L240" s="13"/>
      <c r="M240" s="14">
        <v>0</v>
      </c>
      <c r="N240" s="99">
        <v>30444</v>
      </c>
    </row>
    <row r="241" spans="9:15">
      <c r="I241" s="13"/>
      <c r="J241" s="99">
        <v>65280</v>
      </c>
      <c r="K241" s="14">
        <v>0</v>
      </c>
      <c r="L241" s="13"/>
      <c r="M241" s="14">
        <v>0</v>
      </c>
      <c r="N241" s="99">
        <v>13188</v>
      </c>
    </row>
    <row r="242" spans="9:15">
      <c r="I242" s="13"/>
      <c r="J242" s="99">
        <v>16524</v>
      </c>
      <c r="K242" s="14">
        <v>0</v>
      </c>
      <c r="L242" s="13"/>
      <c r="M242" s="14">
        <v>0</v>
      </c>
      <c r="N242" s="99">
        <v>16524</v>
      </c>
    </row>
    <row r="243" spans="9:15">
      <c r="I243" s="13"/>
      <c r="J243" s="99">
        <v>8328</v>
      </c>
      <c r="K243" s="14">
        <v>0</v>
      </c>
      <c r="L243" s="13"/>
      <c r="M243" s="14">
        <v>0</v>
      </c>
      <c r="N243" s="99">
        <v>8328</v>
      </c>
    </row>
    <row r="244" spans="9:15">
      <c r="I244" s="13"/>
      <c r="J244" s="99">
        <v>9012</v>
      </c>
      <c r="K244" s="14">
        <v>0</v>
      </c>
      <c r="L244" s="13"/>
      <c r="M244" s="14">
        <v>0</v>
      </c>
      <c r="N244" s="99">
        <v>9012</v>
      </c>
    </row>
    <row r="245" spans="9:15">
      <c r="I245" s="13"/>
      <c r="J245" s="16">
        <v>289954.44</v>
      </c>
      <c r="K245" s="14">
        <v>0</v>
      </c>
      <c r="L245" s="13"/>
      <c r="M245" s="16">
        <v>709236</v>
      </c>
      <c r="N245" s="14">
        <v>0</v>
      </c>
      <c r="O245" s="93">
        <f>+K246-M245</f>
        <v>980.09999999997672</v>
      </c>
    </row>
    <row r="246" spans="9:15">
      <c r="I246" s="13"/>
      <c r="J246" s="14">
        <v>0</v>
      </c>
      <c r="K246" s="16">
        <v>710216.1</v>
      </c>
    </row>
    <row r="260" spans="2:30">
      <c r="B260" s="24" t="s">
        <v>157</v>
      </c>
      <c r="C260" s="24" t="s">
        <v>514</v>
      </c>
      <c r="D260" s="24" t="s">
        <v>515</v>
      </c>
      <c r="E260" s="24" t="s">
        <v>516</v>
      </c>
      <c r="F260" s="105" t="s">
        <v>158</v>
      </c>
      <c r="G260" s="24" t="s">
        <v>40</v>
      </c>
      <c r="H260" s="24" t="s">
        <v>520</v>
      </c>
      <c r="I260" s="24" t="s">
        <v>528</v>
      </c>
      <c r="J260" s="93" t="s">
        <v>517</v>
      </c>
      <c r="K260" s="93" t="s">
        <v>518</v>
      </c>
      <c r="L260" s="93" t="s">
        <v>519</v>
      </c>
      <c r="O260" s="93" t="s">
        <v>521</v>
      </c>
      <c r="P260" s="93" t="s">
        <v>522</v>
      </c>
      <c r="Q260" s="93" t="s">
        <v>523</v>
      </c>
      <c r="R260" s="93" t="s">
        <v>524</v>
      </c>
      <c r="S260" s="93" t="s">
        <v>525</v>
      </c>
      <c r="T260" s="93" t="s">
        <v>526</v>
      </c>
      <c r="U260" s="93" t="s">
        <v>527</v>
      </c>
      <c r="W260" s="93" t="s">
        <v>529</v>
      </c>
      <c r="X260" s="93" t="s">
        <v>530</v>
      </c>
      <c r="Y260" s="93" t="s">
        <v>531</v>
      </c>
      <c r="Z260" s="93" t="s">
        <v>532</v>
      </c>
      <c r="AA260" s="93" t="s">
        <v>533</v>
      </c>
      <c r="AB260" s="93" t="s">
        <v>534</v>
      </c>
      <c r="AC260" s="93" t="s">
        <v>535</v>
      </c>
      <c r="AD260" s="93" t="s">
        <v>536</v>
      </c>
    </row>
    <row r="261" spans="2:30">
      <c r="B261" s="69" t="s">
        <v>551</v>
      </c>
      <c r="C261" s="69" t="s">
        <v>537</v>
      </c>
      <c r="D261" s="69" t="s">
        <v>387</v>
      </c>
      <c r="E261" s="69" t="s">
        <v>388</v>
      </c>
      <c r="F261" s="103" t="s">
        <v>350</v>
      </c>
      <c r="G261" s="69">
        <v>11682</v>
      </c>
      <c r="H261" s="69">
        <v>11682</v>
      </c>
      <c r="I261" s="69" t="s">
        <v>152</v>
      </c>
      <c r="J261" s="93" t="s">
        <v>386</v>
      </c>
      <c r="K261" s="93">
        <v>36</v>
      </c>
      <c r="L261" s="93" t="s">
        <v>538</v>
      </c>
      <c r="O261" s="93" t="s">
        <v>60</v>
      </c>
      <c r="P261" s="93">
        <v>1</v>
      </c>
      <c r="Q261" s="93">
        <v>0</v>
      </c>
      <c r="R261" s="93">
        <v>0</v>
      </c>
      <c r="S261" s="102">
        <v>44603</v>
      </c>
      <c r="T261" s="93" t="s">
        <v>539</v>
      </c>
      <c r="U261" s="93" t="s">
        <v>540</v>
      </c>
      <c r="W261" s="102">
        <v>44603</v>
      </c>
      <c r="X261" s="93" t="s">
        <v>541</v>
      </c>
      <c r="Z261" s="102">
        <v>44603</v>
      </c>
      <c r="AC261" s="93">
        <v>-32562</v>
      </c>
      <c r="AD261" s="93">
        <v>-11682</v>
      </c>
    </row>
    <row r="262" spans="2:30">
      <c r="B262" s="69" t="s">
        <v>551</v>
      </c>
      <c r="C262" s="69" t="s">
        <v>542</v>
      </c>
      <c r="D262" s="69" t="s">
        <v>387</v>
      </c>
      <c r="E262" s="69" t="s">
        <v>543</v>
      </c>
      <c r="F262" s="103" t="s">
        <v>544</v>
      </c>
      <c r="G262" s="69">
        <v>10620</v>
      </c>
      <c r="H262" s="69">
        <v>10440</v>
      </c>
      <c r="I262" s="69" t="s">
        <v>152</v>
      </c>
      <c r="J262" s="93" t="s">
        <v>453</v>
      </c>
      <c r="K262" s="93">
        <v>16</v>
      </c>
      <c r="L262" s="93" t="s">
        <v>545</v>
      </c>
      <c r="O262" s="93" t="s">
        <v>546</v>
      </c>
      <c r="P262" s="93">
        <v>1</v>
      </c>
      <c r="Q262" s="93">
        <v>180</v>
      </c>
      <c r="R262" s="93">
        <v>0</v>
      </c>
      <c r="S262" s="102">
        <v>44603</v>
      </c>
      <c r="T262" s="93" t="s">
        <v>539</v>
      </c>
      <c r="U262" s="93" t="s">
        <v>540</v>
      </c>
      <c r="W262" s="102">
        <v>44603</v>
      </c>
      <c r="X262" s="93" t="s">
        <v>541</v>
      </c>
      <c r="Z262" s="102">
        <v>44603</v>
      </c>
      <c r="AC262" s="93">
        <v>-32562</v>
      </c>
      <c r="AD262" s="93">
        <v>-10440</v>
      </c>
    </row>
    <row r="263" spans="2:30">
      <c r="B263" s="69" t="s">
        <v>551</v>
      </c>
      <c r="C263" s="69" t="s">
        <v>547</v>
      </c>
      <c r="D263" s="69" t="s">
        <v>387</v>
      </c>
      <c r="E263" s="69" t="s">
        <v>548</v>
      </c>
      <c r="F263" s="104">
        <v>44630</v>
      </c>
      <c r="G263" s="69">
        <v>10620</v>
      </c>
      <c r="H263" s="69">
        <v>10440</v>
      </c>
      <c r="I263" s="69" t="s">
        <v>152</v>
      </c>
      <c r="J263" s="102">
        <v>44630</v>
      </c>
      <c r="K263" s="93">
        <v>31</v>
      </c>
      <c r="L263" s="93" t="s">
        <v>545</v>
      </c>
      <c r="O263" s="93" t="s">
        <v>546</v>
      </c>
      <c r="P263" s="93">
        <v>1</v>
      </c>
      <c r="Q263" s="93">
        <v>180</v>
      </c>
      <c r="R263" s="93">
        <v>0</v>
      </c>
      <c r="S263" s="102">
        <v>44603</v>
      </c>
      <c r="T263" s="93" t="s">
        <v>539</v>
      </c>
      <c r="U263" s="93" t="s">
        <v>540</v>
      </c>
      <c r="W263" s="102">
        <v>44631</v>
      </c>
      <c r="X263" s="93" t="s">
        <v>541</v>
      </c>
      <c r="Z263" s="102">
        <v>44603</v>
      </c>
      <c r="AC263" s="93">
        <v>-32562</v>
      </c>
      <c r="AD263" s="93">
        <v>-10440</v>
      </c>
    </row>
    <row r="264" spans="2:30">
      <c r="B264" s="69" t="s">
        <v>551</v>
      </c>
      <c r="C264" s="69" t="s">
        <v>549</v>
      </c>
      <c r="D264" s="69" t="s">
        <v>465</v>
      </c>
      <c r="E264" s="69">
        <v>414</v>
      </c>
      <c r="F264" s="103" t="s">
        <v>383</v>
      </c>
      <c r="G264" s="69">
        <v>11200</v>
      </c>
      <c r="H264" s="69">
        <v>11200</v>
      </c>
      <c r="I264" s="69" t="s">
        <v>152</v>
      </c>
      <c r="J264" s="102">
        <v>44752</v>
      </c>
      <c r="K264" s="93">
        <v>27</v>
      </c>
      <c r="L264" s="93" t="s">
        <v>538</v>
      </c>
      <c r="O264" s="93" t="s">
        <v>60</v>
      </c>
      <c r="P264" s="93">
        <v>1</v>
      </c>
      <c r="Q264" s="93">
        <v>0</v>
      </c>
      <c r="R264" s="93">
        <v>0</v>
      </c>
      <c r="S264" s="102">
        <v>44603</v>
      </c>
      <c r="T264" s="93" t="s">
        <v>539</v>
      </c>
      <c r="U264" s="93" t="s">
        <v>540</v>
      </c>
      <c r="W264" s="102">
        <v>44631</v>
      </c>
      <c r="X264" s="93" t="s">
        <v>541</v>
      </c>
      <c r="Z264" s="102">
        <v>44603</v>
      </c>
      <c r="AC264" s="93">
        <v>-11200</v>
      </c>
      <c r="AD264" s="93">
        <v>-11200</v>
      </c>
    </row>
    <row r="265" spans="2:30">
      <c r="B265" s="69" t="s">
        <v>551</v>
      </c>
      <c r="C265" s="69" t="s">
        <v>550</v>
      </c>
      <c r="D265" s="69" t="s">
        <v>107</v>
      </c>
      <c r="E265" s="69" t="s">
        <v>457</v>
      </c>
      <c r="F265" s="103" t="s">
        <v>455</v>
      </c>
      <c r="G265" s="69">
        <v>55176</v>
      </c>
      <c r="H265" s="69">
        <v>55176</v>
      </c>
      <c r="I265" s="69" t="s">
        <v>152</v>
      </c>
      <c r="J265" s="93" t="s">
        <v>456</v>
      </c>
      <c r="K265" s="93">
        <v>5</v>
      </c>
      <c r="L265" s="93" t="s">
        <v>545</v>
      </c>
      <c r="O265" s="93" t="s">
        <v>60</v>
      </c>
      <c r="P265" s="93">
        <v>1</v>
      </c>
      <c r="Q265" s="93">
        <v>0</v>
      </c>
      <c r="R265" s="93">
        <v>0</v>
      </c>
      <c r="S265" s="102">
        <v>44603</v>
      </c>
      <c r="T265" s="93" t="s">
        <v>539</v>
      </c>
      <c r="U265" s="93" t="s">
        <v>540</v>
      </c>
      <c r="W265" s="102">
        <v>44631</v>
      </c>
      <c r="X265" s="93" t="s">
        <v>541</v>
      </c>
      <c r="Z265" s="102">
        <v>44631</v>
      </c>
      <c r="AC265" s="93">
        <v>-55176</v>
      </c>
      <c r="AD265" s="93">
        <v>-55176</v>
      </c>
    </row>
  </sheetData>
  <mergeCells count="1">
    <mergeCell ref="E12:F1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L62"/>
  <sheetViews>
    <sheetView workbookViewId="0">
      <selection activeCell="F20" sqref="F20"/>
    </sheetView>
  </sheetViews>
  <sheetFormatPr defaultColWidth="12.7109375" defaultRowHeight="15"/>
  <cols>
    <col min="4" max="4" width="18.42578125" style="28" customWidth="1"/>
    <col min="9" max="9" width="21.7109375" style="28" customWidth="1"/>
    <col min="10" max="10" width="43.7109375" customWidth="1"/>
    <col min="12" max="12" width="33.140625" customWidth="1"/>
  </cols>
  <sheetData>
    <row r="1" spans="1:10">
      <c r="A1" s="12"/>
      <c r="B1" s="12" t="s">
        <v>273</v>
      </c>
      <c r="C1" s="12" t="s">
        <v>218</v>
      </c>
      <c r="D1" s="41" t="s">
        <v>219</v>
      </c>
      <c r="F1" s="12"/>
      <c r="G1" s="12" t="s">
        <v>28</v>
      </c>
      <c r="H1" s="12" t="s">
        <v>273</v>
      </c>
      <c r="I1" s="41" t="s">
        <v>218</v>
      </c>
    </row>
    <row r="2" spans="1:10">
      <c r="A2" s="13"/>
      <c r="B2" s="14" t="s">
        <v>274</v>
      </c>
      <c r="C2" s="14">
        <v>0</v>
      </c>
      <c r="D2" s="42" t="s">
        <v>275</v>
      </c>
      <c r="F2" s="13"/>
      <c r="G2" s="14">
        <v>3</v>
      </c>
      <c r="H2" s="14"/>
      <c r="I2" s="43">
        <v>61429.2</v>
      </c>
    </row>
    <row r="3" spans="1:10">
      <c r="A3" s="13"/>
      <c r="B3" s="14" t="s">
        <v>276</v>
      </c>
      <c r="C3" s="14">
        <v>0</v>
      </c>
      <c r="D3" s="42" t="s">
        <v>277</v>
      </c>
      <c r="F3" s="13"/>
      <c r="G3" s="14">
        <v>4</v>
      </c>
      <c r="H3" s="14"/>
      <c r="I3" s="42" t="s">
        <v>275</v>
      </c>
    </row>
    <row r="4" spans="1:10">
      <c r="A4" s="13"/>
      <c r="B4" s="14" t="s">
        <v>278</v>
      </c>
      <c r="C4" s="14">
        <v>0</v>
      </c>
      <c r="D4" s="43">
        <v>61429.2</v>
      </c>
      <c r="F4" s="13"/>
      <c r="G4" s="14">
        <v>5</v>
      </c>
      <c r="H4" s="14"/>
      <c r="I4" s="42" t="s">
        <v>277</v>
      </c>
    </row>
    <row r="5" spans="1:10">
      <c r="A5" s="13"/>
      <c r="B5" s="14" t="s">
        <v>279</v>
      </c>
      <c r="C5" s="14">
        <v>0</v>
      </c>
      <c r="D5" s="42" t="s">
        <v>280</v>
      </c>
      <c r="F5" s="13"/>
      <c r="G5" s="14">
        <v>12</v>
      </c>
      <c r="H5" s="14"/>
      <c r="I5" s="42" t="s">
        <v>280</v>
      </c>
    </row>
    <row r="6" spans="1:10">
      <c r="A6" s="13"/>
      <c r="B6" s="14" t="s">
        <v>281</v>
      </c>
      <c r="C6" s="14">
        <v>0</v>
      </c>
      <c r="D6" s="43">
        <v>93974.83</v>
      </c>
      <c r="F6" s="13"/>
      <c r="G6" s="14">
        <v>13</v>
      </c>
      <c r="H6" s="14"/>
      <c r="I6" s="43">
        <v>1301.6199999999999</v>
      </c>
    </row>
    <row r="7" spans="1:10">
      <c r="A7" s="13"/>
      <c r="B7" s="14" t="s">
        <v>282</v>
      </c>
      <c r="C7" s="14">
        <v>0</v>
      </c>
      <c r="D7" s="43">
        <v>1301.6199999999999</v>
      </c>
      <c r="F7" s="13"/>
      <c r="G7" s="14">
        <v>14</v>
      </c>
      <c r="H7" s="14"/>
      <c r="I7" s="43">
        <v>93974.83</v>
      </c>
    </row>
    <row r="8" spans="1:10">
      <c r="A8" s="13"/>
      <c r="B8" s="14" t="s">
        <v>283</v>
      </c>
      <c r="C8" s="14">
        <v>0</v>
      </c>
      <c r="D8" s="42" t="s">
        <v>284</v>
      </c>
      <c r="F8" s="13"/>
      <c r="G8" s="14">
        <v>18</v>
      </c>
      <c r="H8" s="14"/>
      <c r="I8" s="42" t="s">
        <v>284</v>
      </c>
    </row>
    <row r="9" spans="1:10">
      <c r="A9" s="13"/>
      <c r="B9" s="14" t="s">
        <v>285</v>
      </c>
      <c r="C9" s="14">
        <v>0</v>
      </c>
      <c r="D9" s="44">
        <v>3945549.56</v>
      </c>
      <c r="F9" s="13"/>
      <c r="G9" s="14">
        <v>19</v>
      </c>
      <c r="H9" s="14"/>
      <c r="I9" s="44">
        <v>3944948.08</v>
      </c>
      <c r="J9">
        <f>+D9-I9</f>
        <v>601.47999999998137</v>
      </c>
    </row>
    <row r="10" spans="1:10">
      <c r="A10" s="13"/>
      <c r="B10" s="14" t="s">
        <v>286</v>
      </c>
      <c r="C10" s="14">
        <v>0</v>
      </c>
      <c r="D10" s="44">
        <v>3912932.35</v>
      </c>
      <c r="F10" s="13"/>
      <c r="G10" s="14">
        <v>20</v>
      </c>
      <c r="H10" s="14"/>
      <c r="I10" s="44">
        <v>3912335.21</v>
      </c>
      <c r="J10">
        <f>+D10-I10</f>
        <v>597.14000000013039</v>
      </c>
    </row>
    <row r="11" spans="1:10">
      <c r="A11" s="13"/>
      <c r="B11" s="14" t="s">
        <v>287</v>
      </c>
      <c r="C11" s="14">
        <v>0</v>
      </c>
      <c r="D11" s="44">
        <v>167764.88</v>
      </c>
      <c r="F11" s="13"/>
      <c r="G11" s="14">
        <v>25</v>
      </c>
      <c r="H11" s="14"/>
      <c r="I11" s="44">
        <v>167739.17000000001</v>
      </c>
      <c r="J11">
        <f>+D11-I11</f>
        <v>25.709999999991851</v>
      </c>
    </row>
    <row r="12" spans="1:10">
      <c r="A12" s="13"/>
      <c r="B12" s="14" t="s">
        <v>288</v>
      </c>
      <c r="C12" s="14">
        <v>0</v>
      </c>
      <c r="D12" s="45">
        <v>24470.97</v>
      </c>
      <c r="F12" s="13"/>
      <c r="G12" s="14">
        <v>26</v>
      </c>
      <c r="H12" s="14"/>
      <c r="I12" s="43">
        <v>1415</v>
      </c>
    </row>
    <row r="13" spans="1:10">
      <c r="A13" s="13"/>
      <c r="B13" s="14" t="s">
        <v>289</v>
      </c>
      <c r="C13" s="14">
        <v>0</v>
      </c>
      <c r="D13" s="43">
        <v>1414.8</v>
      </c>
      <c r="F13" s="13"/>
      <c r="G13" s="14">
        <v>27</v>
      </c>
      <c r="H13" s="14"/>
      <c r="I13" s="45">
        <v>24468.84</v>
      </c>
      <c r="J13" s="15">
        <f>+D12-I13</f>
        <v>2.1300000000010186</v>
      </c>
    </row>
    <row r="14" spans="1:10">
      <c r="A14" s="13"/>
      <c r="B14" s="14" t="s">
        <v>290</v>
      </c>
      <c r="C14" s="14">
        <v>0</v>
      </c>
      <c r="D14" s="44">
        <v>138659.44</v>
      </c>
      <c r="F14" s="13"/>
      <c r="G14" s="14">
        <v>28</v>
      </c>
      <c r="H14" s="14"/>
      <c r="I14" s="44">
        <v>138640.01</v>
      </c>
      <c r="J14">
        <f>+D14-I14</f>
        <v>19.429999999993015</v>
      </c>
    </row>
    <row r="15" spans="1:10">
      <c r="A15" s="13"/>
      <c r="B15" s="14" t="s">
        <v>291</v>
      </c>
      <c r="C15" s="14">
        <v>0</v>
      </c>
      <c r="D15" s="45">
        <v>2263.6799999999998</v>
      </c>
      <c r="F15" s="13"/>
      <c r="G15" s="14">
        <v>29</v>
      </c>
      <c r="H15" s="14"/>
      <c r="I15" s="45">
        <v>2263.6</v>
      </c>
      <c r="J15">
        <f>+D15-I15</f>
        <v>7.999999999992724E-2</v>
      </c>
    </row>
    <row r="16" spans="1:10">
      <c r="A16" s="13"/>
      <c r="B16" s="14" t="s">
        <v>292</v>
      </c>
      <c r="C16" s="14">
        <v>0</v>
      </c>
      <c r="D16" s="42">
        <v>710380.52</v>
      </c>
      <c r="F16" s="13"/>
      <c r="G16" s="14">
        <v>34</v>
      </c>
      <c r="H16" s="14"/>
      <c r="I16" s="42">
        <v>605283.66</v>
      </c>
    </row>
    <row r="17" spans="1:10">
      <c r="A17" s="13"/>
      <c r="B17" s="14" t="s">
        <v>293</v>
      </c>
      <c r="C17" s="14">
        <v>0</v>
      </c>
      <c r="D17" s="42">
        <v>605283.66</v>
      </c>
      <c r="F17" s="13"/>
      <c r="G17" s="14">
        <v>35</v>
      </c>
      <c r="H17" s="14"/>
      <c r="I17" s="42">
        <v>710380.52</v>
      </c>
    </row>
    <row r="18" spans="1:10">
      <c r="A18" s="13"/>
      <c r="B18" s="14" t="s">
        <v>294</v>
      </c>
      <c r="C18" s="14">
        <v>0</v>
      </c>
      <c r="D18" s="42">
        <v>245936.24</v>
      </c>
      <c r="F18" s="13"/>
      <c r="G18" s="14">
        <v>37</v>
      </c>
      <c r="H18" s="14"/>
      <c r="I18" s="42">
        <v>245936.24</v>
      </c>
    </row>
    <row r="19" spans="1:10">
      <c r="A19" s="13"/>
      <c r="B19" s="14" t="s">
        <v>295</v>
      </c>
      <c r="C19" s="14">
        <v>0</v>
      </c>
      <c r="D19" s="42">
        <v>118321.98</v>
      </c>
      <c r="F19" s="13"/>
      <c r="G19" s="14">
        <v>38</v>
      </c>
      <c r="H19" s="14"/>
      <c r="I19" s="42">
        <v>118321.98</v>
      </c>
    </row>
    <row r="20" spans="1:10">
      <c r="A20" s="13"/>
      <c r="B20" s="14" t="s">
        <v>296</v>
      </c>
      <c r="C20" s="14">
        <v>0</v>
      </c>
      <c r="D20" s="43">
        <v>1245.02</v>
      </c>
      <c r="F20" s="13"/>
      <c r="G20" s="14">
        <v>39</v>
      </c>
      <c r="H20" s="14"/>
      <c r="I20" s="43">
        <v>1245.02</v>
      </c>
    </row>
    <row r="21" spans="1:10">
      <c r="A21" s="13"/>
      <c r="B21" s="14" t="s">
        <v>297</v>
      </c>
      <c r="C21" s="14">
        <v>0</v>
      </c>
      <c r="D21" s="43">
        <v>6577.26</v>
      </c>
      <c r="F21" s="13"/>
      <c r="G21" s="14">
        <v>40</v>
      </c>
      <c r="H21" s="14"/>
      <c r="I21" s="43">
        <v>6577.26</v>
      </c>
    </row>
    <row r="22" spans="1:10" ht="30">
      <c r="A22" s="13"/>
      <c r="B22" s="14" t="s">
        <v>298</v>
      </c>
      <c r="C22" s="14" t="s">
        <v>299</v>
      </c>
      <c r="D22" s="35">
        <v>0</v>
      </c>
      <c r="F22" s="13"/>
      <c r="G22" s="14">
        <v>15</v>
      </c>
      <c r="H22" s="14" t="s">
        <v>298</v>
      </c>
      <c r="I22" s="35">
        <v>0</v>
      </c>
    </row>
    <row r="23" spans="1:10" ht="30">
      <c r="A23" s="13"/>
      <c r="B23" s="14" t="s">
        <v>300</v>
      </c>
      <c r="C23" s="14" t="s">
        <v>301</v>
      </c>
      <c r="D23" s="35">
        <v>0</v>
      </c>
      <c r="F23" s="13"/>
      <c r="G23" s="14">
        <v>16</v>
      </c>
      <c r="H23" s="14" t="s">
        <v>300</v>
      </c>
      <c r="I23" s="35">
        <v>0</v>
      </c>
    </row>
    <row r="24" spans="1:10">
      <c r="A24" s="13"/>
      <c r="B24" s="14" t="s">
        <v>302</v>
      </c>
      <c r="C24" s="14">
        <v>0</v>
      </c>
      <c r="D24" s="42">
        <v>3199429.41</v>
      </c>
      <c r="F24" s="13"/>
      <c r="G24" s="14">
        <v>45</v>
      </c>
      <c r="H24" s="14"/>
      <c r="I24" s="42">
        <v>3199429.41</v>
      </c>
      <c r="J24">
        <f>+D24-I24</f>
        <v>0</v>
      </c>
    </row>
    <row r="25" spans="1:10">
      <c r="A25" s="13"/>
      <c r="B25" s="14" t="s">
        <v>303</v>
      </c>
      <c r="C25" s="14">
        <v>0</v>
      </c>
      <c r="D25" s="42">
        <v>979908.16</v>
      </c>
      <c r="F25" s="13"/>
      <c r="G25" s="14">
        <v>46</v>
      </c>
      <c r="H25" s="14"/>
      <c r="I25" s="42">
        <v>979908.16</v>
      </c>
      <c r="J25">
        <f t="shared" ref="J25:J31" si="0">+D25-I25</f>
        <v>0</v>
      </c>
    </row>
    <row r="26" spans="1:10">
      <c r="A26" s="13"/>
      <c r="B26" s="14" t="s">
        <v>304</v>
      </c>
      <c r="C26" s="14">
        <v>0</v>
      </c>
      <c r="D26" s="42">
        <v>282796.53999999998</v>
      </c>
      <c r="F26" s="13"/>
      <c r="G26" s="14">
        <v>57</v>
      </c>
      <c r="H26" s="14"/>
      <c r="I26" s="42">
        <v>282796.53999999998</v>
      </c>
      <c r="J26">
        <f t="shared" si="0"/>
        <v>0</v>
      </c>
    </row>
    <row r="27" spans="1:10">
      <c r="A27" s="13"/>
      <c r="B27" s="14" t="s">
        <v>305</v>
      </c>
      <c r="C27" s="14">
        <v>0</v>
      </c>
      <c r="D27" s="43">
        <v>3395.52</v>
      </c>
      <c r="F27" s="13"/>
      <c r="G27" s="14">
        <v>58</v>
      </c>
      <c r="H27" s="14"/>
      <c r="I27" s="43">
        <v>3395.52</v>
      </c>
      <c r="J27">
        <f t="shared" si="0"/>
        <v>0</v>
      </c>
    </row>
    <row r="28" spans="1:10">
      <c r="A28" s="13"/>
      <c r="B28" s="14" t="s">
        <v>92</v>
      </c>
      <c r="C28" s="14">
        <v>0</v>
      </c>
      <c r="D28" s="42">
        <v>4469977.43</v>
      </c>
      <c r="F28" s="13"/>
      <c r="G28" s="14">
        <v>60</v>
      </c>
      <c r="H28" s="14"/>
      <c r="I28" s="42">
        <v>4469977.43</v>
      </c>
      <c r="J28">
        <f t="shared" si="0"/>
        <v>0</v>
      </c>
    </row>
    <row r="29" spans="1:10">
      <c r="A29" s="13"/>
      <c r="B29" s="14" t="s">
        <v>102</v>
      </c>
      <c r="C29" s="14">
        <v>0</v>
      </c>
      <c r="D29" s="42">
        <v>2927586.12</v>
      </c>
      <c r="F29" s="13"/>
      <c r="G29" s="14">
        <v>65</v>
      </c>
      <c r="H29" s="14"/>
      <c r="I29" s="42">
        <v>2927586.12</v>
      </c>
      <c r="J29">
        <f t="shared" si="0"/>
        <v>0</v>
      </c>
    </row>
    <row r="30" spans="1:10">
      <c r="A30" s="13"/>
      <c r="B30" s="14" t="s">
        <v>118</v>
      </c>
      <c r="C30" s="14">
        <v>0</v>
      </c>
      <c r="D30" s="42">
        <v>1931920.43</v>
      </c>
      <c r="F30" s="13"/>
      <c r="G30" s="14">
        <v>67</v>
      </c>
      <c r="H30" s="14"/>
      <c r="I30" s="42">
        <v>1931920.43</v>
      </c>
      <c r="J30">
        <f t="shared" si="0"/>
        <v>0</v>
      </c>
    </row>
    <row r="31" spans="1:10">
      <c r="A31" s="13"/>
      <c r="B31" s="14" t="s">
        <v>119</v>
      </c>
      <c r="C31" s="14">
        <v>0</v>
      </c>
      <c r="D31" s="42">
        <v>1932527.71</v>
      </c>
      <c r="F31" s="13"/>
      <c r="G31" s="14">
        <v>68</v>
      </c>
      <c r="H31" s="14"/>
      <c r="I31" s="42">
        <v>1932527.71</v>
      </c>
      <c r="J31">
        <f t="shared" si="0"/>
        <v>0</v>
      </c>
    </row>
    <row r="32" spans="1:10">
      <c r="A32" s="13"/>
      <c r="B32" s="14" t="s">
        <v>120</v>
      </c>
      <c r="C32" s="14">
        <v>0</v>
      </c>
      <c r="D32" s="42">
        <v>607721.30000000005</v>
      </c>
      <c r="F32" s="13"/>
      <c r="G32" s="14">
        <v>69</v>
      </c>
      <c r="H32" s="14"/>
      <c r="I32" s="42">
        <v>1052824.8899999999</v>
      </c>
    </row>
    <row r="33" spans="1:12">
      <c r="A33" s="13"/>
      <c r="B33" s="14" t="s">
        <v>121</v>
      </c>
      <c r="C33" s="14">
        <v>0</v>
      </c>
      <c r="D33" s="42">
        <v>1052824.8899999999</v>
      </c>
      <c r="F33" s="13"/>
      <c r="G33" s="14">
        <v>70</v>
      </c>
      <c r="H33" s="14"/>
      <c r="I33" s="42">
        <v>459789.48</v>
      </c>
    </row>
    <row r="34" spans="1:12">
      <c r="A34" s="13"/>
      <c r="B34" s="14" t="s">
        <v>122</v>
      </c>
      <c r="C34" s="14">
        <v>0</v>
      </c>
      <c r="D34" s="42">
        <v>459789.48</v>
      </c>
      <c r="F34" s="13"/>
      <c r="G34" s="14">
        <v>71</v>
      </c>
      <c r="H34" s="14"/>
      <c r="I34" s="42">
        <v>607721.30000000005</v>
      </c>
    </row>
    <row r="35" spans="1:12">
      <c r="A35" s="13"/>
      <c r="B35" s="14" t="s">
        <v>124</v>
      </c>
      <c r="C35" s="14">
        <v>0</v>
      </c>
      <c r="D35" s="42">
        <v>1603671.67</v>
      </c>
      <c r="F35" s="13"/>
      <c r="G35" s="14">
        <v>72</v>
      </c>
      <c r="H35" s="14"/>
      <c r="I35" s="42">
        <v>1603671.67</v>
      </c>
      <c r="J35">
        <f>+D35-I35</f>
        <v>0</v>
      </c>
    </row>
    <row r="36" spans="1:12">
      <c r="A36" s="13"/>
      <c r="B36" s="14" t="s">
        <v>125</v>
      </c>
      <c r="C36" s="14">
        <v>0</v>
      </c>
      <c r="D36" s="42">
        <v>1971862.65</v>
      </c>
      <c r="F36" s="13"/>
      <c r="G36" s="14">
        <v>73</v>
      </c>
      <c r="H36" s="14"/>
      <c r="I36" s="42">
        <v>1971862.65</v>
      </c>
      <c r="J36">
        <f>+D36-I36</f>
        <v>0</v>
      </c>
    </row>
    <row r="37" spans="1:12">
      <c r="A37" s="13"/>
      <c r="B37" s="14" t="s">
        <v>126</v>
      </c>
      <c r="C37" s="14">
        <v>0</v>
      </c>
      <c r="D37" s="42">
        <v>948716.69</v>
      </c>
      <c r="F37" s="13"/>
      <c r="G37" s="14">
        <v>74</v>
      </c>
      <c r="H37" s="14"/>
      <c r="I37" s="42">
        <v>948716.69</v>
      </c>
      <c r="J37">
        <f>+D37-I37</f>
        <v>0</v>
      </c>
    </row>
    <row r="38" spans="1:12">
      <c r="A38" s="13"/>
      <c r="B38" s="14" t="s">
        <v>269</v>
      </c>
      <c r="C38" s="14">
        <v>0</v>
      </c>
      <c r="D38" s="35">
        <v>1945832.08</v>
      </c>
      <c r="F38" s="13"/>
      <c r="G38" s="14">
        <v>86</v>
      </c>
      <c r="H38" s="14"/>
      <c r="I38" s="36">
        <v>7888.95</v>
      </c>
    </row>
    <row r="41" spans="1:12">
      <c r="B41" s="12"/>
      <c r="C41" s="12" t="s">
        <v>219</v>
      </c>
      <c r="D41" s="12"/>
      <c r="E41" s="12" t="s">
        <v>218</v>
      </c>
    </row>
    <row r="42" spans="1:12">
      <c r="B42" s="13"/>
      <c r="C42" s="46">
        <v>329870.05</v>
      </c>
      <c r="D42" s="13"/>
      <c r="E42" s="16">
        <v>922351.26</v>
      </c>
    </row>
    <row r="43" spans="1:12">
      <c r="B43" s="13"/>
      <c r="C43" s="16">
        <v>922351.26</v>
      </c>
      <c r="D43" s="13"/>
      <c r="E43" s="16">
        <v>6640909.5999999996</v>
      </c>
      <c r="I43" s="12"/>
      <c r="J43" s="12" t="s">
        <v>307</v>
      </c>
      <c r="K43" s="12"/>
      <c r="L43" s="12" t="s">
        <v>307</v>
      </c>
    </row>
    <row r="44" spans="1:12" ht="30">
      <c r="B44" s="13"/>
      <c r="C44" s="16">
        <v>6640909.5999999996</v>
      </c>
      <c r="D44" s="13"/>
      <c r="E44" s="16">
        <v>1691613.83</v>
      </c>
      <c r="I44" s="13"/>
      <c r="J44" s="16" t="s">
        <v>308</v>
      </c>
      <c r="K44" s="13"/>
      <c r="L44" s="14" t="s">
        <v>314</v>
      </c>
    </row>
    <row r="45" spans="1:12" ht="30">
      <c r="B45" s="13"/>
      <c r="C45" s="16">
        <v>1691613.83</v>
      </c>
      <c r="D45" s="13"/>
      <c r="E45" s="16">
        <v>1099520.83</v>
      </c>
      <c r="I45" s="13"/>
      <c r="J45" s="16" t="s">
        <v>309</v>
      </c>
      <c r="K45" s="13"/>
      <c r="L45" s="16" t="s">
        <v>315</v>
      </c>
    </row>
    <row r="46" spans="1:12" ht="30">
      <c r="B46" s="13"/>
      <c r="C46" s="16">
        <v>1099520.83</v>
      </c>
      <c r="D46" s="13"/>
      <c r="E46" s="16">
        <v>1862404.78</v>
      </c>
      <c r="I46" s="13"/>
      <c r="J46" s="14" t="s">
        <v>310</v>
      </c>
      <c r="K46" s="13"/>
      <c r="L46" s="16" t="s">
        <v>316</v>
      </c>
    </row>
    <row r="47" spans="1:12" ht="30">
      <c r="B47" s="13"/>
      <c r="C47" s="16">
        <v>1862404.78</v>
      </c>
      <c r="D47" s="13"/>
      <c r="E47" s="16">
        <v>7658328.75</v>
      </c>
      <c r="I47" s="13"/>
      <c r="J47" s="14" t="s">
        <v>311</v>
      </c>
      <c r="K47" s="13"/>
      <c r="L47" s="14" t="s">
        <v>317</v>
      </c>
    </row>
    <row r="48" spans="1:12" ht="30">
      <c r="B48" s="13"/>
      <c r="C48" s="46">
        <v>4349189.42</v>
      </c>
      <c r="D48" s="13"/>
      <c r="E48" s="16">
        <v>1460083.07</v>
      </c>
      <c r="I48" s="13"/>
      <c r="J48" s="16" t="s">
        <v>312</v>
      </c>
      <c r="K48" s="13"/>
      <c r="L48" s="16" t="s">
        <v>318</v>
      </c>
    </row>
    <row r="49" spans="2:12" ht="30">
      <c r="B49" s="13"/>
      <c r="C49" s="46">
        <v>2768461.8</v>
      </c>
      <c r="D49" s="13"/>
      <c r="E49" s="16">
        <v>3418496.04</v>
      </c>
      <c r="I49" s="13"/>
      <c r="J49" s="16" t="s">
        <v>313</v>
      </c>
      <c r="K49" s="13"/>
      <c r="L49" s="16" t="s">
        <v>319</v>
      </c>
    </row>
    <row r="50" spans="2:12">
      <c r="B50" s="13"/>
      <c r="C50" s="16">
        <v>1022128.03</v>
      </c>
      <c r="D50" s="13"/>
      <c r="E50" s="16">
        <v>2575864.36</v>
      </c>
    </row>
    <row r="51" spans="2:12">
      <c r="B51" s="13"/>
      <c r="C51" s="16">
        <v>2123890.5499999998</v>
      </c>
      <c r="D51" s="13"/>
      <c r="E51" s="46">
        <v>4424684.22</v>
      </c>
      <c r="F51" s="484" t="s">
        <v>320</v>
      </c>
    </row>
    <row r="52" spans="2:12">
      <c r="B52" s="13"/>
      <c r="C52" s="16">
        <v>1460083.07</v>
      </c>
      <c r="D52" s="13"/>
      <c r="E52" s="46">
        <v>2694293.26</v>
      </c>
      <c r="F52" s="484"/>
    </row>
    <row r="53" spans="2:12">
      <c r="B53" s="13"/>
      <c r="C53" s="16">
        <v>3418496.04</v>
      </c>
      <c r="D53" s="13"/>
      <c r="E53" s="16">
        <v>1795671.7</v>
      </c>
    </row>
    <row r="54" spans="2:12">
      <c r="B54" s="13"/>
      <c r="C54" s="16">
        <v>2575864.36</v>
      </c>
      <c r="D54" s="13"/>
      <c r="E54" s="16">
        <v>3040905.48</v>
      </c>
    </row>
    <row r="55" spans="2:12">
      <c r="B55" s="13"/>
      <c r="C55" s="16">
        <v>7658328.75</v>
      </c>
      <c r="D55" s="13"/>
      <c r="E55" s="16">
        <v>4591045.22</v>
      </c>
    </row>
    <row r="56" spans="2:12">
      <c r="B56" s="13"/>
      <c r="C56" s="46">
        <v>7658328.75</v>
      </c>
      <c r="D56" s="13"/>
      <c r="E56" s="16">
        <v>1022128.03</v>
      </c>
    </row>
    <row r="57" spans="2:12">
      <c r="B57" s="13"/>
      <c r="C57" s="16">
        <v>1795671.7</v>
      </c>
      <c r="D57" s="13"/>
      <c r="E57" s="16">
        <v>2123890.5499999998</v>
      </c>
    </row>
    <row r="58" spans="2:12">
      <c r="B58" s="13"/>
      <c r="C58" s="16">
        <v>3040905.48</v>
      </c>
      <c r="D58" s="13"/>
      <c r="E58" s="16">
        <v>164296.54</v>
      </c>
    </row>
    <row r="59" spans="2:12">
      <c r="B59" s="13"/>
      <c r="C59" s="16">
        <v>4591045.22</v>
      </c>
      <c r="D59" s="13"/>
      <c r="E59" s="16">
        <v>7470861.4000000004</v>
      </c>
    </row>
    <row r="60" spans="2:12">
      <c r="B60" s="13"/>
      <c r="C60" s="46">
        <v>4001545.83</v>
      </c>
    </row>
    <row r="61" spans="2:12">
      <c r="B61" s="13"/>
      <c r="C61" s="16">
        <v>164296.54</v>
      </c>
    </row>
    <row r="62" spans="2:12">
      <c r="B62" s="13"/>
      <c r="C62" s="16">
        <v>7470861.4000000004</v>
      </c>
    </row>
  </sheetData>
  <mergeCells count="1">
    <mergeCell ref="F51:F5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G43"/>
  <sheetViews>
    <sheetView topLeftCell="A7" workbookViewId="0">
      <selection activeCell="C21" sqref="C21"/>
    </sheetView>
  </sheetViews>
  <sheetFormatPr defaultRowHeight="15"/>
  <cols>
    <col min="1" max="1" width="9.140625" style="93"/>
    <col min="2" max="2" width="29.42578125" style="93" bestFit="1" customWidth="1"/>
    <col min="3" max="3" width="32.5703125" style="93" bestFit="1" customWidth="1"/>
    <col min="4" max="4" width="18.5703125" style="93" bestFit="1" customWidth="1"/>
    <col min="5" max="5" width="15.85546875" style="93" bestFit="1" customWidth="1"/>
    <col min="6" max="6" width="15.7109375" style="93" bestFit="1" customWidth="1"/>
    <col min="7" max="7" width="18.5703125" style="93" bestFit="1" customWidth="1"/>
    <col min="8" max="16384" width="9.140625" style="93"/>
  </cols>
  <sheetData>
    <row r="1" spans="1:7">
      <c r="A1" s="30"/>
      <c r="B1" s="108" t="s">
        <v>157</v>
      </c>
      <c r="C1" s="108" t="s">
        <v>216</v>
      </c>
      <c r="D1" s="110" t="s">
        <v>217</v>
      </c>
      <c r="E1" s="110" t="s">
        <v>218</v>
      </c>
      <c r="F1" s="110" t="s">
        <v>219</v>
      </c>
      <c r="G1" s="110" t="s">
        <v>220</v>
      </c>
    </row>
    <row r="2" spans="1:7">
      <c r="A2" s="80"/>
      <c r="B2" s="109" t="s">
        <v>159</v>
      </c>
      <c r="C2" s="109" t="s">
        <v>87</v>
      </c>
      <c r="D2" s="34" t="s">
        <v>621</v>
      </c>
      <c r="E2" s="34" t="s">
        <v>225</v>
      </c>
      <c r="F2" s="40" t="s">
        <v>620</v>
      </c>
      <c r="G2" s="34" t="s">
        <v>619</v>
      </c>
    </row>
    <row r="3" spans="1:7">
      <c r="A3" s="80"/>
      <c r="B3" s="109" t="s">
        <v>159</v>
      </c>
      <c r="C3" s="109" t="s">
        <v>61</v>
      </c>
      <c r="D3" s="34" t="s">
        <v>618</v>
      </c>
      <c r="E3" s="34" t="s">
        <v>617</v>
      </c>
      <c r="F3" s="34" t="s">
        <v>225</v>
      </c>
      <c r="G3" s="34" t="s">
        <v>616</v>
      </c>
    </row>
    <row r="6" spans="1:7">
      <c r="A6" s="30"/>
      <c r="B6" s="108" t="s">
        <v>157</v>
      </c>
      <c r="C6" s="108" t="s">
        <v>216</v>
      </c>
      <c r="D6" s="110" t="s">
        <v>217</v>
      </c>
      <c r="E6" s="110" t="s">
        <v>218</v>
      </c>
      <c r="F6" s="110" t="s">
        <v>219</v>
      </c>
      <c r="G6" s="110" t="s">
        <v>220</v>
      </c>
    </row>
    <row r="7" spans="1:7">
      <c r="A7" s="80"/>
      <c r="B7" s="109" t="s">
        <v>270</v>
      </c>
      <c r="C7" s="109" t="s">
        <v>221</v>
      </c>
      <c r="D7" s="34" t="s">
        <v>615</v>
      </c>
      <c r="E7" s="34" t="s">
        <v>225</v>
      </c>
      <c r="F7" s="34" t="s">
        <v>614</v>
      </c>
      <c r="G7" s="34" t="s">
        <v>613</v>
      </c>
    </row>
    <row r="8" spans="1:7">
      <c r="A8" s="80"/>
      <c r="B8" s="109" t="s">
        <v>270</v>
      </c>
      <c r="C8" s="109" t="s">
        <v>222</v>
      </c>
      <c r="D8" s="34" t="s">
        <v>612</v>
      </c>
      <c r="E8" s="40" t="s">
        <v>611</v>
      </c>
      <c r="F8" s="34" t="s">
        <v>610</v>
      </c>
      <c r="G8" s="34" t="s">
        <v>609</v>
      </c>
    </row>
    <row r="9" spans="1:7">
      <c r="F9" s="93">
        <f>7221252.74-7215608</f>
        <v>5644.7400000002235</v>
      </c>
    </row>
    <row r="12" spans="1:7">
      <c r="A12" s="12"/>
      <c r="B12" s="107" t="s">
        <v>157</v>
      </c>
      <c r="C12" s="107" t="s">
        <v>216</v>
      </c>
      <c r="D12" s="107" t="s">
        <v>217</v>
      </c>
      <c r="E12" s="107" t="s">
        <v>218</v>
      </c>
      <c r="F12" s="107" t="s">
        <v>219</v>
      </c>
      <c r="G12" s="107" t="s">
        <v>220</v>
      </c>
    </row>
    <row r="13" spans="1:7">
      <c r="A13" s="13"/>
      <c r="B13" s="70" t="s">
        <v>159</v>
      </c>
      <c r="C13" s="70" t="s">
        <v>94</v>
      </c>
      <c r="D13" s="81" t="s">
        <v>608</v>
      </c>
      <c r="E13" s="81" t="s">
        <v>225</v>
      </c>
      <c r="F13" s="81" t="s">
        <v>607</v>
      </c>
      <c r="G13" s="81" t="s">
        <v>606</v>
      </c>
    </row>
    <row r="14" spans="1:7">
      <c r="A14" s="13"/>
      <c r="B14" s="70" t="s">
        <v>159</v>
      </c>
      <c r="C14" s="70" t="s">
        <v>73</v>
      </c>
      <c r="D14" s="81" t="s">
        <v>605</v>
      </c>
      <c r="E14" s="81" t="s">
        <v>604</v>
      </c>
      <c r="F14" s="81" t="s">
        <v>225</v>
      </c>
      <c r="G14" s="81" t="s">
        <v>603</v>
      </c>
    </row>
    <row r="15" spans="1:7">
      <c r="D15" s="28"/>
      <c r="E15" s="28"/>
      <c r="F15" s="28"/>
      <c r="G15" s="28"/>
    </row>
    <row r="16" spans="1:7">
      <c r="D16" s="28"/>
      <c r="E16" s="28"/>
      <c r="F16" s="28"/>
      <c r="G16" s="28"/>
    </row>
    <row r="17" spans="1:7">
      <c r="A17" s="12"/>
      <c r="B17" s="107" t="s">
        <v>157</v>
      </c>
      <c r="C17" s="107" t="s">
        <v>216</v>
      </c>
      <c r="D17" s="51" t="s">
        <v>217</v>
      </c>
      <c r="E17" s="51" t="s">
        <v>218</v>
      </c>
      <c r="F17" s="51" t="s">
        <v>219</v>
      </c>
      <c r="G17" s="51" t="s">
        <v>220</v>
      </c>
    </row>
    <row r="18" spans="1:7">
      <c r="A18" s="13"/>
      <c r="B18" s="70" t="s">
        <v>271</v>
      </c>
      <c r="C18" s="70" t="s">
        <v>221</v>
      </c>
      <c r="D18" s="81" t="s">
        <v>602</v>
      </c>
      <c r="E18" s="81" t="s">
        <v>225</v>
      </c>
      <c r="F18" s="81" t="s">
        <v>601</v>
      </c>
      <c r="G18" s="81" t="s">
        <v>600</v>
      </c>
    </row>
    <row r="19" spans="1:7">
      <c r="A19" s="13"/>
      <c r="B19" s="70" t="s">
        <v>271</v>
      </c>
      <c r="C19" s="70" t="s">
        <v>222</v>
      </c>
      <c r="D19" s="81" t="s">
        <v>599</v>
      </c>
      <c r="E19" s="81" t="s">
        <v>598</v>
      </c>
      <c r="F19" s="81" t="s">
        <v>225</v>
      </c>
      <c r="G19" s="81" t="s">
        <v>597</v>
      </c>
    </row>
    <row r="20" spans="1:7">
      <c r="E20" s="93">
        <f>5172636.02-5167917.84</f>
        <v>4718.179999999702</v>
      </c>
      <c r="F20" s="93">
        <f>4991718.17-4889371.54</f>
        <v>102346.62999999989</v>
      </c>
    </row>
    <row r="21" spans="1:7">
      <c r="E21" s="93">
        <f>5167917.84+5043.23</f>
        <v>5172961.07</v>
      </c>
    </row>
    <row r="23" spans="1:7">
      <c r="A23" s="12"/>
      <c r="B23" s="107" t="s">
        <v>157</v>
      </c>
      <c r="C23" s="107" t="s">
        <v>216</v>
      </c>
      <c r="D23" s="107" t="s">
        <v>217</v>
      </c>
      <c r="E23" s="107" t="s">
        <v>218</v>
      </c>
      <c r="F23" s="107" t="s">
        <v>219</v>
      </c>
      <c r="G23" s="107" t="s">
        <v>220</v>
      </c>
    </row>
    <row r="24" spans="1:7">
      <c r="A24" s="13"/>
      <c r="B24" s="70" t="s">
        <v>159</v>
      </c>
      <c r="C24" s="70" t="s">
        <v>93</v>
      </c>
      <c r="D24" s="81" t="s">
        <v>596</v>
      </c>
      <c r="E24" s="81" t="s">
        <v>595</v>
      </c>
      <c r="F24" s="81" t="s">
        <v>594</v>
      </c>
      <c r="G24" s="81" t="s">
        <v>593</v>
      </c>
    </row>
    <row r="25" spans="1:7">
      <c r="A25" s="13"/>
      <c r="B25" s="70" t="s">
        <v>159</v>
      </c>
      <c r="C25" s="70" t="s">
        <v>78</v>
      </c>
      <c r="D25" s="81" t="s">
        <v>592</v>
      </c>
      <c r="E25" s="81" t="s">
        <v>591</v>
      </c>
      <c r="F25" s="81" t="s">
        <v>225</v>
      </c>
      <c r="G25" s="81" t="s">
        <v>590</v>
      </c>
    </row>
    <row r="28" spans="1:7">
      <c r="A28" s="12"/>
      <c r="B28" s="107" t="s">
        <v>157</v>
      </c>
      <c r="C28" s="107" t="s">
        <v>216</v>
      </c>
      <c r="D28" s="107" t="s">
        <v>217</v>
      </c>
      <c r="E28" s="107" t="s">
        <v>218</v>
      </c>
      <c r="F28" s="107" t="s">
        <v>219</v>
      </c>
      <c r="G28" s="107" t="s">
        <v>220</v>
      </c>
    </row>
    <row r="29" spans="1:7">
      <c r="A29" s="13"/>
      <c r="B29" s="70" t="s">
        <v>272</v>
      </c>
      <c r="C29" s="70" t="s">
        <v>221</v>
      </c>
      <c r="D29" s="81" t="s">
        <v>589</v>
      </c>
      <c r="E29" s="81" t="s">
        <v>225</v>
      </c>
      <c r="F29" s="81" t="s">
        <v>225</v>
      </c>
      <c r="G29" s="81" t="s">
        <v>589</v>
      </c>
    </row>
    <row r="30" spans="1:7">
      <c r="A30" s="13"/>
      <c r="B30" s="70" t="s">
        <v>272</v>
      </c>
      <c r="C30" s="70" t="s">
        <v>222</v>
      </c>
      <c r="D30" s="81" t="s">
        <v>588</v>
      </c>
      <c r="E30" s="81" t="s">
        <v>587</v>
      </c>
      <c r="F30" s="81" t="s">
        <v>586</v>
      </c>
      <c r="G30" s="81" t="s">
        <v>585</v>
      </c>
    </row>
    <row r="31" spans="1:7">
      <c r="E31" s="93">
        <f>11393172.4-11366526.96</f>
        <v>26645.439999999478</v>
      </c>
      <c r="F31" s="93">
        <f>-27856975.15+31886148.42</f>
        <v>4029173.2700000033</v>
      </c>
    </row>
    <row r="32" spans="1:7">
      <c r="F32" s="35"/>
    </row>
    <row r="34" spans="1:7">
      <c r="A34" s="12"/>
      <c r="B34" s="107" t="s">
        <v>157</v>
      </c>
      <c r="C34" s="107" t="s">
        <v>216</v>
      </c>
      <c r="D34" s="107" t="s">
        <v>217</v>
      </c>
      <c r="E34" s="107" t="s">
        <v>218</v>
      </c>
      <c r="F34" s="107" t="s">
        <v>219</v>
      </c>
      <c r="G34" s="107" t="s">
        <v>220</v>
      </c>
    </row>
    <row r="35" spans="1:7" ht="30">
      <c r="A35" s="13"/>
      <c r="B35" s="70" t="s">
        <v>159</v>
      </c>
      <c r="C35" s="70" t="s">
        <v>229</v>
      </c>
      <c r="D35" s="81" t="s">
        <v>225</v>
      </c>
      <c r="E35" s="81" t="s">
        <v>225</v>
      </c>
      <c r="F35" s="81" t="s">
        <v>225</v>
      </c>
      <c r="G35" s="81" t="s">
        <v>225</v>
      </c>
    </row>
    <row r="36" spans="1:7">
      <c r="A36" s="13"/>
      <c r="B36" s="70" t="s">
        <v>159</v>
      </c>
      <c r="C36" s="70" t="s">
        <v>66</v>
      </c>
      <c r="D36" s="81" t="s">
        <v>584</v>
      </c>
      <c r="E36" s="83" t="s">
        <v>583</v>
      </c>
      <c r="F36" s="81" t="s">
        <v>582</v>
      </c>
      <c r="G36" s="81" t="s">
        <v>581</v>
      </c>
    </row>
    <row r="39" spans="1:7">
      <c r="A39" s="12"/>
      <c r="B39" s="107" t="s">
        <v>157</v>
      </c>
      <c r="C39" s="107" t="s">
        <v>216</v>
      </c>
      <c r="D39" s="107" t="s">
        <v>217</v>
      </c>
      <c r="E39" s="107" t="s">
        <v>218</v>
      </c>
      <c r="F39" s="107" t="s">
        <v>219</v>
      </c>
      <c r="G39" s="107" t="s">
        <v>220</v>
      </c>
    </row>
    <row r="40" spans="1:7" ht="30">
      <c r="A40" s="13"/>
      <c r="B40" s="70" t="s">
        <v>230</v>
      </c>
      <c r="C40" s="70" t="s">
        <v>221</v>
      </c>
      <c r="D40" s="81" t="s">
        <v>580</v>
      </c>
      <c r="E40" s="81" t="s">
        <v>579</v>
      </c>
      <c r="F40" s="83" t="s">
        <v>578</v>
      </c>
      <c r="G40" s="81" t="s">
        <v>577</v>
      </c>
    </row>
    <row r="41" spans="1:7" ht="30">
      <c r="A41" s="13"/>
      <c r="B41" s="70" t="s">
        <v>230</v>
      </c>
      <c r="C41" s="70" t="s">
        <v>222</v>
      </c>
      <c r="D41" s="81" t="s">
        <v>225</v>
      </c>
      <c r="E41" s="81" t="s">
        <v>225</v>
      </c>
      <c r="F41" s="81" t="s">
        <v>225</v>
      </c>
      <c r="G41" s="81" t="s">
        <v>225</v>
      </c>
    </row>
    <row r="43" spans="1:7">
      <c r="D43" s="93">
        <f>141499966.56-141085614.74</f>
        <v>414351.81999999285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L83"/>
  <sheetViews>
    <sheetView topLeftCell="A58" workbookViewId="0">
      <selection activeCell="D60" sqref="D60"/>
    </sheetView>
  </sheetViews>
  <sheetFormatPr defaultRowHeight="12.75"/>
  <cols>
    <col min="1" max="1" width="9.140625" style="72"/>
    <col min="2" max="2" width="32" style="10" bestFit="1" customWidth="1"/>
    <col min="3" max="3" width="34.5703125" style="72" bestFit="1" customWidth="1"/>
    <col min="4" max="4" width="17.5703125" style="10" bestFit="1" customWidth="1"/>
    <col min="5" max="5" width="15.140625" style="72" bestFit="1" customWidth="1"/>
    <col min="6" max="6" width="15" style="72" bestFit="1" customWidth="1"/>
    <col min="7" max="7" width="17.5703125" style="72" bestFit="1" customWidth="1"/>
    <col min="8" max="8" width="9.140625" style="10"/>
    <col min="9" max="9" width="9.140625" style="72"/>
    <col min="10" max="10" width="14.42578125" style="72" customWidth="1"/>
    <col min="11" max="11" width="9.140625" style="72"/>
    <col min="12" max="13" width="12.42578125" style="72" customWidth="1"/>
    <col min="14" max="16384" width="9.140625" style="72"/>
  </cols>
  <sheetData>
    <row r="1" spans="1:8">
      <c r="A1" s="485" t="s">
        <v>827</v>
      </c>
      <c r="B1" s="175" t="s">
        <v>157</v>
      </c>
      <c r="C1" s="175" t="s">
        <v>216</v>
      </c>
      <c r="D1" s="175" t="s">
        <v>217</v>
      </c>
      <c r="E1" s="175" t="s">
        <v>218</v>
      </c>
      <c r="F1" s="175" t="s">
        <v>219</v>
      </c>
      <c r="G1" s="175" t="s">
        <v>220</v>
      </c>
    </row>
    <row r="2" spans="1:8">
      <c r="A2" s="485"/>
      <c r="B2" s="176" t="s">
        <v>159</v>
      </c>
      <c r="C2" s="176" t="s">
        <v>87</v>
      </c>
      <c r="D2" s="163" t="s">
        <v>1325</v>
      </c>
      <c r="E2" s="163" t="s">
        <v>225</v>
      </c>
      <c r="F2" s="162" t="s">
        <v>1326</v>
      </c>
      <c r="G2" s="163" t="s">
        <v>1327</v>
      </c>
    </row>
    <row r="3" spans="1:8">
      <c r="A3" s="485"/>
      <c r="B3" s="176" t="s">
        <v>159</v>
      </c>
      <c r="C3" s="176" t="s">
        <v>61</v>
      </c>
      <c r="D3" s="163" t="s">
        <v>1328</v>
      </c>
      <c r="E3" s="163" t="s">
        <v>1329</v>
      </c>
      <c r="F3" s="162" t="s">
        <v>1330</v>
      </c>
      <c r="G3" s="163" t="s">
        <v>1331</v>
      </c>
    </row>
    <row r="4" spans="1:8">
      <c r="A4" s="485"/>
      <c r="B4" s="177"/>
      <c r="C4" s="95"/>
      <c r="D4" s="177"/>
      <c r="E4" s="95"/>
      <c r="F4" s="95">
        <f>51668392.64+25180</f>
        <v>51693572.640000001</v>
      </c>
      <c r="G4" s="95"/>
    </row>
    <row r="5" spans="1:8">
      <c r="A5" s="485"/>
      <c r="F5" s="72">
        <f>+F4-E10</f>
        <v>0</v>
      </c>
    </row>
    <row r="6" spans="1:8">
      <c r="A6" s="485"/>
    </row>
    <row r="7" spans="1:8">
      <c r="A7" s="485"/>
      <c r="B7" s="175" t="s">
        <v>157</v>
      </c>
      <c r="C7" s="175" t="s">
        <v>216</v>
      </c>
      <c r="D7" s="175" t="s">
        <v>217</v>
      </c>
      <c r="E7" s="175" t="s">
        <v>218</v>
      </c>
      <c r="F7" s="175" t="s">
        <v>219</v>
      </c>
      <c r="G7" s="175" t="s">
        <v>220</v>
      </c>
    </row>
    <row r="8" spans="1:8">
      <c r="A8" s="485"/>
      <c r="B8" s="176" t="s">
        <v>270</v>
      </c>
      <c r="C8" s="176" t="s">
        <v>221</v>
      </c>
      <c r="D8" s="163" t="s">
        <v>1332</v>
      </c>
      <c r="E8" s="162" t="s">
        <v>1333</v>
      </c>
      <c r="F8" s="163" t="s">
        <v>1334</v>
      </c>
      <c r="G8" s="163" t="s">
        <v>1335</v>
      </c>
    </row>
    <row r="9" spans="1:8">
      <c r="A9" s="485"/>
      <c r="B9" s="176" t="s">
        <v>270</v>
      </c>
      <c r="C9" s="176" t="s">
        <v>222</v>
      </c>
      <c r="D9" s="163" t="s">
        <v>1336</v>
      </c>
      <c r="E9" s="162" t="s">
        <v>1337</v>
      </c>
      <c r="F9" s="163" t="s">
        <v>225</v>
      </c>
      <c r="G9" s="163" t="s">
        <v>1338</v>
      </c>
    </row>
    <row r="10" spans="1:8">
      <c r="A10" s="485"/>
      <c r="B10" s="177"/>
      <c r="C10" s="95"/>
      <c r="D10" s="177"/>
      <c r="E10" s="95">
        <f>51654519.64+39053</f>
        <v>51693572.640000001</v>
      </c>
      <c r="F10" s="95">
        <f>18985620.97-18552868</f>
        <v>432752.96999999881</v>
      </c>
      <c r="G10" s="95" t="s">
        <v>1322</v>
      </c>
      <c r="H10" s="178" t="s">
        <v>1339</v>
      </c>
    </row>
    <row r="15" spans="1:8">
      <c r="A15" s="485" t="s">
        <v>1340</v>
      </c>
      <c r="B15" s="179" t="s">
        <v>157</v>
      </c>
      <c r="C15" s="180" t="s">
        <v>216</v>
      </c>
      <c r="D15" s="180" t="s">
        <v>217</v>
      </c>
      <c r="E15" s="180" t="s">
        <v>218</v>
      </c>
      <c r="F15" s="180" t="s">
        <v>219</v>
      </c>
      <c r="G15" s="180" t="s">
        <v>220</v>
      </c>
    </row>
    <row r="16" spans="1:8">
      <c r="A16" s="485"/>
      <c r="B16" s="181" t="s">
        <v>159</v>
      </c>
      <c r="C16" s="182" t="s">
        <v>89</v>
      </c>
      <c r="D16" s="183" t="s">
        <v>973</v>
      </c>
      <c r="E16" s="183" t="s">
        <v>225</v>
      </c>
      <c r="F16" s="183" t="s">
        <v>1341</v>
      </c>
      <c r="G16" s="183" t="s">
        <v>1342</v>
      </c>
    </row>
    <row r="17" spans="1:11">
      <c r="A17" s="485"/>
      <c r="B17" s="181" t="s">
        <v>159</v>
      </c>
      <c r="C17" s="182" t="s">
        <v>226</v>
      </c>
      <c r="D17" s="183" t="s">
        <v>974</v>
      </c>
      <c r="E17" s="183" t="s">
        <v>225</v>
      </c>
      <c r="F17" s="183" t="s">
        <v>225</v>
      </c>
      <c r="G17" s="183" t="s">
        <v>974</v>
      </c>
    </row>
    <row r="18" spans="1:11">
      <c r="A18" s="485"/>
    </row>
    <row r="19" spans="1:11">
      <c r="A19" s="485"/>
    </row>
    <row r="20" spans="1:11">
      <c r="A20" s="485"/>
      <c r="B20" s="179" t="s">
        <v>157</v>
      </c>
      <c r="C20" s="180" t="s">
        <v>216</v>
      </c>
      <c r="D20" s="180" t="s">
        <v>217</v>
      </c>
      <c r="E20" s="180" t="s">
        <v>218</v>
      </c>
      <c r="F20" s="180" t="s">
        <v>219</v>
      </c>
      <c r="G20" s="180" t="s">
        <v>220</v>
      </c>
    </row>
    <row r="21" spans="1:11">
      <c r="A21" s="485"/>
      <c r="B21" s="181" t="s">
        <v>227</v>
      </c>
      <c r="C21" s="182" t="s">
        <v>221</v>
      </c>
      <c r="D21" s="183" t="s">
        <v>975</v>
      </c>
      <c r="E21" s="183" t="s">
        <v>225</v>
      </c>
      <c r="F21" s="183" t="s">
        <v>225</v>
      </c>
      <c r="G21" s="183" t="s">
        <v>975</v>
      </c>
    </row>
    <row r="22" spans="1:11">
      <c r="A22" s="485"/>
      <c r="B22" s="181" t="s">
        <v>227</v>
      </c>
      <c r="C22" s="182" t="s">
        <v>222</v>
      </c>
      <c r="D22" s="183" t="s">
        <v>976</v>
      </c>
      <c r="E22" s="183" t="s">
        <v>1343</v>
      </c>
      <c r="F22" s="183" t="s">
        <v>225</v>
      </c>
      <c r="G22" s="183" t="s">
        <v>1344</v>
      </c>
    </row>
    <row r="23" spans="1:11">
      <c r="A23" s="485"/>
      <c r="E23" s="72">
        <f>2451299.9-2341621.85</f>
        <v>109678.04999999981</v>
      </c>
      <c r="F23" s="72" t="s">
        <v>1345</v>
      </c>
      <c r="G23" s="184" t="s">
        <v>1346</v>
      </c>
    </row>
    <row r="26" spans="1:11">
      <c r="A26" s="485" t="s">
        <v>1347</v>
      </c>
      <c r="B26" s="179" t="s">
        <v>157</v>
      </c>
      <c r="C26" s="180" t="s">
        <v>216</v>
      </c>
      <c r="D26" s="180" t="s">
        <v>217</v>
      </c>
      <c r="E26" s="180" t="s">
        <v>218</v>
      </c>
      <c r="F26" s="180" t="s">
        <v>219</v>
      </c>
      <c r="G26" s="180" t="s">
        <v>220</v>
      </c>
    </row>
    <row r="27" spans="1:11">
      <c r="A27" s="485"/>
      <c r="B27" s="181" t="s">
        <v>159</v>
      </c>
      <c r="C27" s="182" t="s">
        <v>94</v>
      </c>
      <c r="D27" s="183" t="s">
        <v>977</v>
      </c>
      <c r="E27" s="183" t="s">
        <v>1348</v>
      </c>
      <c r="F27" s="183" t="s">
        <v>1349</v>
      </c>
      <c r="G27" s="183" t="s">
        <v>1350</v>
      </c>
    </row>
    <row r="28" spans="1:11">
      <c r="A28" s="485"/>
      <c r="B28" s="181" t="s">
        <v>159</v>
      </c>
      <c r="C28" s="182" t="s">
        <v>73</v>
      </c>
      <c r="D28" s="183" t="s">
        <v>978</v>
      </c>
      <c r="E28" s="183" t="s">
        <v>1351</v>
      </c>
      <c r="F28" s="183" t="s">
        <v>225</v>
      </c>
      <c r="G28" s="183" t="s">
        <v>1352</v>
      </c>
    </row>
    <row r="29" spans="1:11" ht="30">
      <c r="A29" s="485"/>
      <c r="E29" s="72">
        <f>9170720.19+533</f>
        <v>9171253.1899999995</v>
      </c>
      <c r="F29" s="72">
        <f>2333149.1-2317918.17</f>
        <v>15230.930000000168</v>
      </c>
      <c r="J29" s="81" t="s">
        <v>1426</v>
      </c>
      <c r="K29" s="72">
        <f>428160087.66-428158954.86</f>
        <v>1132.8000000119209</v>
      </c>
    </row>
    <row r="30" spans="1:11" ht="30">
      <c r="A30" s="485"/>
      <c r="E30" s="72">
        <f>+F35-E29</f>
        <v>15243.589999999851</v>
      </c>
      <c r="J30" s="81" t="s">
        <v>1428</v>
      </c>
      <c r="K30" s="72">
        <f>385021414.07-385019819.07</f>
        <v>1595</v>
      </c>
    </row>
    <row r="31" spans="1:11" ht="30">
      <c r="A31" s="485"/>
      <c r="J31" s="81" t="s">
        <v>1354</v>
      </c>
      <c r="K31" s="72">
        <f>431323620.68-431358430.18</f>
        <v>-34809.5</v>
      </c>
    </row>
    <row r="32" spans="1:11" ht="30">
      <c r="A32" s="485"/>
      <c r="B32" s="179" t="s">
        <v>157</v>
      </c>
      <c r="C32" s="180" t="s">
        <v>216</v>
      </c>
      <c r="D32" s="180" t="s">
        <v>217</v>
      </c>
      <c r="E32" s="180" t="s">
        <v>218</v>
      </c>
      <c r="F32" s="180" t="s">
        <v>219</v>
      </c>
      <c r="G32" s="180" t="s">
        <v>220</v>
      </c>
      <c r="J32" s="81" t="s">
        <v>1431</v>
      </c>
    </row>
    <row r="33" spans="1:12">
      <c r="A33" s="485"/>
      <c r="B33" s="181" t="s">
        <v>271</v>
      </c>
      <c r="C33" s="182" t="s">
        <v>221</v>
      </c>
      <c r="D33" s="183" t="s">
        <v>979</v>
      </c>
      <c r="E33" s="183" t="s">
        <v>225</v>
      </c>
      <c r="F33" s="183" t="s">
        <v>1353</v>
      </c>
      <c r="G33" s="183" t="s">
        <v>1354</v>
      </c>
    </row>
    <row r="34" spans="1:12">
      <c r="A34" s="485"/>
      <c r="B34" s="181" t="s">
        <v>271</v>
      </c>
      <c r="C34" s="182" t="s">
        <v>222</v>
      </c>
      <c r="D34" s="183" t="s">
        <v>980</v>
      </c>
      <c r="E34" s="183" t="s">
        <v>1355</v>
      </c>
      <c r="F34" s="183" t="s">
        <v>1356</v>
      </c>
      <c r="G34" s="183" t="s">
        <v>1357</v>
      </c>
    </row>
    <row r="35" spans="1:12">
      <c r="A35" s="485"/>
      <c r="F35" s="72">
        <f>9161280.18+25216.6</f>
        <v>9186496.7799999993</v>
      </c>
      <c r="G35" s="72">
        <f>+E30-F29</f>
        <v>12.65999999968335</v>
      </c>
      <c r="H35" s="184" t="s">
        <v>266</v>
      </c>
    </row>
    <row r="38" spans="1:12" ht="15">
      <c r="A38" s="485" t="s">
        <v>1358</v>
      </c>
      <c r="B38" s="179" t="s">
        <v>157</v>
      </c>
      <c r="C38" s="180" t="s">
        <v>216</v>
      </c>
      <c r="D38" s="180" t="s">
        <v>217</v>
      </c>
      <c r="E38" s="180" t="s">
        <v>218</v>
      </c>
      <c r="F38" s="180" t="s">
        <v>219</v>
      </c>
      <c r="G38" s="180" t="s">
        <v>220</v>
      </c>
      <c r="J38" s="31" t="s">
        <v>1360</v>
      </c>
    </row>
    <row r="39" spans="1:12" ht="15">
      <c r="A39" s="485"/>
      <c r="B39" s="181" t="s">
        <v>159</v>
      </c>
      <c r="C39" s="182" t="s">
        <v>93</v>
      </c>
      <c r="D39" s="183" t="s">
        <v>981</v>
      </c>
      <c r="E39" s="183" t="s">
        <v>225</v>
      </c>
      <c r="F39" s="183" t="s">
        <v>1359</v>
      </c>
      <c r="G39" s="183" t="s">
        <v>1360</v>
      </c>
      <c r="J39" s="31" t="s">
        <v>1363</v>
      </c>
    </row>
    <row r="40" spans="1:12" ht="15">
      <c r="A40" s="485"/>
      <c r="B40" s="181" t="s">
        <v>159</v>
      </c>
      <c r="C40" s="182" t="s">
        <v>78</v>
      </c>
      <c r="D40" s="183" t="s">
        <v>982</v>
      </c>
      <c r="E40" s="185" t="s">
        <v>1361</v>
      </c>
      <c r="F40" s="185" t="s">
        <v>1362</v>
      </c>
      <c r="G40" s="183" t="s">
        <v>1363</v>
      </c>
      <c r="J40" s="31" t="s">
        <v>1366</v>
      </c>
    </row>
    <row r="41" spans="1:12" ht="15">
      <c r="A41" s="485"/>
      <c r="J41" s="31" t="s">
        <v>1544</v>
      </c>
    </row>
    <row r="42" spans="1:12">
      <c r="A42" s="485"/>
    </row>
    <row r="43" spans="1:12">
      <c r="A43" s="485"/>
    </row>
    <row r="44" spans="1:12">
      <c r="A44" s="485"/>
      <c r="B44" s="179" t="s">
        <v>157</v>
      </c>
      <c r="C44" s="180" t="s">
        <v>216</v>
      </c>
      <c r="D44" s="180" t="s">
        <v>217</v>
      </c>
      <c r="E44" s="180" t="s">
        <v>218</v>
      </c>
      <c r="F44" s="180" t="s">
        <v>219</v>
      </c>
      <c r="G44" s="180" t="s">
        <v>220</v>
      </c>
    </row>
    <row r="45" spans="1:12">
      <c r="A45" s="485"/>
      <c r="B45" s="181" t="s">
        <v>272</v>
      </c>
      <c r="C45" s="182" t="s">
        <v>221</v>
      </c>
      <c r="D45" s="183" t="s">
        <v>983</v>
      </c>
      <c r="E45" s="185" t="s">
        <v>1364</v>
      </c>
      <c r="F45" s="185" t="s">
        <v>1365</v>
      </c>
      <c r="G45" s="183" t="s">
        <v>1366</v>
      </c>
    </row>
    <row r="46" spans="1:12" ht="15">
      <c r="A46" s="485"/>
      <c r="B46" s="181" t="s">
        <v>272</v>
      </c>
      <c r="C46" s="182" t="s">
        <v>222</v>
      </c>
      <c r="D46" s="183" t="s">
        <v>984</v>
      </c>
      <c r="E46" s="183" t="s">
        <v>1367</v>
      </c>
      <c r="F46" s="183" t="s">
        <v>225</v>
      </c>
      <c r="G46" s="183" t="s">
        <v>1368</v>
      </c>
      <c r="I46" s="12"/>
      <c r="J46" s="12"/>
      <c r="K46" s="12"/>
      <c r="L46" s="12"/>
    </row>
    <row r="47" spans="1:12" ht="15">
      <c r="A47" s="485"/>
      <c r="E47" s="72">
        <f>6957293.15-6956665.63</f>
        <v>627.52000000048429</v>
      </c>
      <c r="F47" s="184" t="s">
        <v>1414</v>
      </c>
      <c r="I47" s="13"/>
      <c r="J47" s="14"/>
      <c r="K47" s="13"/>
      <c r="L47" s="14"/>
    </row>
    <row r="48" spans="1:12" ht="15">
      <c r="I48" s="13"/>
      <c r="J48" s="14"/>
      <c r="K48" s="13"/>
      <c r="L48" s="14"/>
    </row>
    <row r="49" spans="1:12" ht="15">
      <c r="I49" s="13"/>
      <c r="J49" s="14"/>
      <c r="K49" s="13"/>
      <c r="L49" s="14"/>
    </row>
    <row r="50" spans="1:12" ht="15">
      <c r="I50" s="13"/>
      <c r="J50" s="14"/>
      <c r="K50" s="13"/>
      <c r="L50" s="14"/>
    </row>
    <row r="51" spans="1:12" ht="15">
      <c r="A51" s="485" t="s">
        <v>1369</v>
      </c>
      <c r="B51" s="173" t="s">
        <v>157</v>
      </c>
      <c r="C51" s="175" t="s">
        <v>216</v>
      </c>
      <c r="D51" s="175" t="s">
        <v>217</v>
      </c>
      <c r="E51" s="175" t="s">
        <v>218</v>
      </c>
      <c r="F51" s="175" t="s">
        <v>219</v>
      </c>
      <c r="G51" s="175" t="s">
        <v>220</v>
      </c>
      <c r="I51" s="13"/>
      <c r="J51" s="14"/>
      <c r="K51" s="13"/>
      <c r="L51" s="14"/>
    </row>
    <row r="52" spans="1:12" ht="15">
      <c r="A52" s="485"/>
      <c r="B52" s="186" t="s">
        <v>159</v>
      </c>
      <c r="C52" s="176" t="s">
        <v>229</v>
      </c>
      <c r="D52" s="163" t="s">
        <v>225</v>
      </c>
      <c r="E52" s="163" t="s">
        <v>225</v>
      </c>
      <c r="F52" s="163" t="s">
        <v>225</v>
      </c>
      <c r="G52" s="163" t="s">
        <v>225</v>
      </c>
      <c r="I52" s="13"/>
      <c r="J52" s="14"/>
      <c r="K52" s="13"/>
      <c r="L52" s="14"/>
    </row>
    <row r="53" spans="1:12" ht="15">
      <c r="A53" s="485"/>
      <c r="B53" s="186" t="s">
        <v>159</v>
      </c>
      <c r="C53" s="176" t="s">
        <v>66</v>
      </c>
      <c r="D53" s="163" t="s">
        <v>1370</v>
      </c>
      <c r="E53" s="163" t="s">
        <v>1413</v>
      </c>
      <c r="F53" s="162" t="s">
        <v>1371</v>
      </c>
      <c r="G53" s="163" t="s">
        <v>1372</v>
      </c>
      <c r="I53" s="13"/>
      <c r="J53" s="14"/>
      <c r="K53" s="13"/>
      <c r="L53" s="14"/>
    </row>
    <row r="54" spans="1:12" ht="15">
      <c r="A54" s="485"/>
      <c r="I54" s="13"/>
      <c r="J54" s="98"/>
      <c r="K54" s="13"/>
      <c r="L54" s="98"/>
    </row>
    <row r="55" spans="1:12">
      <c r="A55" s="485"/>
    </row>
    <row r="56" spans="1:12">
      <c r="A56" s="485"/>
      <c r="B56" s="173" t="s">
        <v>157</v>
      </c>
      <c r="C56" s="175" t="s">
        <v>216</v>
      </c>
      <c r="D56" s="175" t="s">
        <v>217</v>
      </c>
      <c r="E56" s="175" t="s">
        <v>218</v>
      </c>
      <c r="F56" s="175" t="s">
        <v>219</v>
      </c>
      <c r="G56" s="175" t="s">
        <v>220</v>
      </c>
    </row>
    <row r="57" spans="1:12">
      <c r="A57" s="485"/>
      <c r="B57" s="186" t="s">
        <v>230</v>
      </c>
      <c r="C57" s="176" t="s">
        <v>221</v>
      </c>
      <c r="D57" s="163" t="s">
        <v>985</v>
      </c>
      <c r="E57" s="162" t="s">
        <v>1373</v>
      </c>
      <c r="F57" s="163" t="s">
        <v>1374</v>
      </c>
      <c r="G57" s="163" t="s">
        <v>1375</v>
      </c>
    </row>
    <row r="58" spans="1:12">
      <c r="A58" s="485"/>
      <c r="B58" s="186" t="s">
        <v>230</v>
      </c>
      <c r="C58" s="176" t="s">
        <v>222</v>
      </c>
      <c r="D58" s="163" t="s">
        <v>225</v>
      </c>
      <c r="E58" s="163" t="s">
        <v>225</v>
      </c>
      <c r="F58" s="163" t="s">
        <v>225</v>
      </c>
      <c r="G58" s="163" t="s">
        <v>225</v>
      </c>
    </row>
    <row r="59" spans="1:12">
      <c r="A59" s="485"/>
      <c r="F59" s="72">
        <f>6443088.83-6443089.14</f>
        <v>-0.30999999959021807</v>
      </c>
      <c r="G59" s="184" t="s">
        <v>266</v>
      </c>
    </row>
    <row r="63" spans="1:12">
      <c r="A63" s="485" t="s">
        <v>1376</v>
      </c>
      <c r="B63" s="173" t="s">
        <v>157</v>
      </c>
      <c r="C63" s="175" t="s">
        <v>216</v>
      </c>
      <c r="D63" s="175" t="s">
        <v>217</v>
      </c>
      <c r="E63" s="175" t="s">
        <v>218</v>
      </c>
      <c r="F63" s="175" t="s">
        <v>219</v>
      </c>
      <c r="G63" s="175" t="s">
        <v>220</v>
      </c>
    </row>
    <row r="64" spans="1:12">
      <c r="A64" s="485"/>
      <c r="B64" s="186" t="s">
        <v>159</v>
      </c>
      <c r="C64" s="176" t="s">
        <v>95</v>
      </c>
      <c r="D64" s="163" t="s">
        <v>1377</v>
      </c>
      <c r="E64" s="163" t="s">
        <v>225</v>
      </c>
      <c r="F64" s="162" t="s">
        <v>1378</v>
      </c>
      <c r="G64" s="163" t="s">
        <v>1379</v>
      </c>
    </row>
    <row r="65" spans="1:7">
      <c r="A65" s="485"/>
      <c r="B65" s="186" t="s">
        <v>159</v>
      </c>
      <c r="C65" s="176" t="s">
        <v>232</v>
      </c>
      <c r="D65" s="163" t="s">
        <v>1380</v>
      </c>
      <c r="E65" s="162" t="s">
        <v>1381</v>
      </c>
      <c r="F65" s="163" t="s">
        <v>225</v>
      </c>
      <c r="G65" s="163" t="s">
        <v>1382</v>
      </c>
    </row>
    <row r="66" spans="1:7">
      <c r="A66" s="485"/>
    </row>
    <row r="67" spans="1:7">
      <c r="A67" s="485"/>
    </row>
    <row r="68" spans="1:7">
      <c r="A68" s="485"/>
      <c r="B68" s="179" t="s">
        <v>157</v>
      </c>
      <c r="C68" s="180" t="s">
        <v>216</v>
      </c>
      <c r="D68" s="180" t="s">
        <v>217</v>
      </c>
      <c r="E68" s="180" t="s">
        <v>218</v>
      </c>
      <c r="F68" s="180" t="s">
        <v>219</v>
      </c>
      <c r="G68" s="180" t="s">
        <v>220</v>
      </c>
    </row>
    <row r="69" spans="1:7">
      <c r="A69" s="485"/>
      <c r="B69" s="181" t="s">
        <v>233</v>
      </c>
      <c r="C69" s="182" t="s">
        <v>221</v>
      </c>
      <c r="D69" s="183" t="s">
        <v>1383</v>
      </c>
      <c r="E69" s="183" t="s">
        <v>225</v>
      </c>
      <c r="F69" s="185" t="s">
        <v>1384</v>
      </c>
      <c r="G69" s="183" t="s">
        <v>1385</v>
      </c>
    </row>
    <row r="70" spans="1:7">
      <c r="A70" s="485"/>
      <c r="B70" s="181" t="s">
        <v>233</v>
      </c>
      <c r="C70" s="182" t="s">
        <v>222</v>
      </c>
      <c r="D70" s="183" t="s">
        <v>1386</v>
      </c>
      <c r="E70" s="185" t="s">
        <v>1387</v>
      </c>
      <c r="F70" s="183" t="s">
        <v>225</v>
      </c>
      <c r="G70" s="183" t="s">
        <v>1388</v>
      </c>
    </row>
    <row r="71" spans="1:7">
      <c r="A71" s="485"/>
    </row>
    <row r="75" spans="1:7">
      <c r="A75" s="485" t="s">
        <v>1389</v>
      </c>
      <c r="B75" s="173" t="s">
        <v>157</v>
      </c>
      <c r="C75" s="175" t="s">
        <v>216</v>
      </c>
      <c r="D75" s="175" t="s">
        <v>217</v>
      </c>
      <c r="E75" s="175" t="s">
        <v>218</v>
      </c>
      <c r="F75" s="175" t="s">
        <v>219</v>
      </c>
      <c r="G75" s="175" t="s">
        <v>220</v>
      </c>
    </row>
    <row r="76" spans="1:7">
      <c r="A76" s="485"/>
      <c r="B76" s="186" t="s">
        <v>159</v>
      </c>
      <c r="C76" s="176" t="s">
        <v>103</v>
      </c>
      <c r="D76" s="163" t="s">
        <v>986</v>
      </c>
      <c r="E76" s="163" t="s">
        <v>225</v>
      </c>
      <c r="F76" s="163" t="s">
        <v>1390</v>
      </c>
      <c r="G76" s="163" t="s">
        <v>1391</v>
      </c>
    </row>
    <row r="77" spans="1:7">
      <c r="A77" s="485"/>
      <c r="B77" s="186" t="s">
        <v>159</v>
      </c>
      <c r="C77" s="176" t="s">
        <v>333</v>
      </c>
      <c r="D77" s="163" t="s">
        <v>987</v>
      </c>
      <c r="E77" s="163" t="s">
        <v>1392</v>
      </c>
      <c r="F77" s="163" t="s">
        <v>225</v>
      </c>
      <c r="G77" s="163" t="s">
        <v>1393</v>
      </c>
    </row>
    <row r="78" spans="1:7">
      <c r="A78" s="485"/>
    </row>
    <row r="79" spans="1:7">
      <c r="A79" s="485"/>
    </row>
    <row r="80" spans="1:7">
      <c r="A80" s="485"/>
      <c r="B80" s="179" t="s">
        <v>157</v>
      </c>
      <c r="C80" s="180" t="s">
        <v>216</v>
      </c>
      <c r="D80" s="180" t="s">
        <v>217</v>
      </c>
      <c r="E80" s="180" t="s">
        <v>218</v>
      </c>
      <c r="F80" s="180" t="s">
        <v>219</v>
      </c>
      <c r="G80" s="180" t="s">
        <v>220</v>
      </c>
    </row>
    <row r="81" spans="1:7">
      <c r="A81" s="485"/>
      <c r="B81" s="181" t="s">
        <v>334</v>
      </c>
      <c r="C81" s="182" t="s">
        <v>221</v>
      </c>
      <c r="D81" s="183" t="s">
        <v>988</v>
      </c>
      <c r="E81" s="183" t="s">
        <v>225</v>
      </c>
      <c r="F81" s="183" t="s">
        <v>225</v>
      </c>
      <c r="G81" s="183" t="s">
        <v>988</v>
      </c>
    </row>
    <row r="82" spans="1:7">
      <c r="A82" s="485"/>
      <c r="B82" s="181" t="s">
        <v>334</v>
      </c>
      <c r="C82" s="182" t="s">
        <v>222</v>
      </c>
      <c r="D82" s="183" t="s">
        <v>989</v>
      </c>
      <c r="E82" s="183" t="s">
        <v>1394</v>
      </c>
      <c r="F82" s="183" t="s">
        <v>225</v>
      </c>
      <c r="G82" s="183" t="s">
        <v>1395</v>
      </c>
    </row>
    <row r="83" spans="1:7">
      <c r="A83" s="485"/>
      <c r="F83" s="72">
        <v>585776.89</v>
      </c>
      <c r="G83" s="184" t="s">
        <v>1396</v>
      </c>
    </row>
  </sheetData>
  <mergeCells count="7">
    <mergeCell ref="A51:A59"/>
    <mergeCell ref="A63:A71"/>
    <mergeCell ref="A75:A83"/>
    <mergeCell ref="A1:A10"/>
    <mergeCell ref="A15:A23"/>
    <mergeCell ref="A26:A35"/>
    <mergeCell ref="A38:A4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S125"/>
  <sheetViews>
    <sheetView topLeftCell="B62" workbookViewId="0">
      <selection activeCell="K76" sqref="K76"/>
    </sheetView>
  </sheetViews>
  <sheetFormatPr defaultRowHeight="15"/>
  <cols>
    <col min="2" max="2" width="10.5703125" bestFit="1" customWidth="1"/>
    <col min="3" max="3" width="7.85546875" bestFit="1" customWidth="1"/>
    <col min="4" max="4" width="11.28515625" bestFit="1" customWidth="1"/>
    <col min="7" max="7" width="14.5703125" bestFit="1" customWidth="1"/>
    <col min="8" max="8" width="10.5703125" bestFit="1" customWidth="1"/>
    <col min="9" max="9" width="11.28515625" bestFit="1" customWidth="1"/>
    <col min="14" max="14" width="12.7109375" bestFit="1" customWidth="1"/>
    <col min="19" max="19" width="12.7109375" bestFit="1" customWidth="1"/>
  </cols>
  <sheetData>
    <row r="1" spans="1:19">
      <c r="A1" s="5"/>
      <c r="B1" s="5" t="s">
        <v>273</v>
      </c>
      <c r="C1" s="5" t="s">
        <v>218</v>
      </c>
      <c r="D1" s="5" t="s">
        <v>219</v>
      </c>
      <c r="F1" s="5"/>
      <c r="G1" s="5" t="s">
        <v>28</v>
      </c>
      <c r="H1" s="5" t="s">
        <v>273</v>
      </c>
      <c r="I1" s="5" t="s">
        <v>218</v>
      </c>
      <c r="K1" s="12"/>
      <c r="L1" s="30" t="s">
        <v>273</v>
      </c>
      <c r="M1" s="30" t="s">
        <v>218</v>
      </c>
      <c r="N1" s="30" t="s">
        <v>219</v>
      </c>
      <c r="O1" s="27"/>
      <c r="P1" s="30"/>
      <c r="Q1" s="30" t="s">
        <v>28</v>
      </c>
      <c r="R1" s="30" t="s">
        <v>273</v>
      </c>
      <c r="S1" s="30" t="s">
        <v>218</v>
      </c>
    </row>
    <row r="2" spans="1:19">
      <c r="A2" s="6"/>
      <c r="B2" s="8" t="s">
        <v>1435</v>
      </c>
      <c r="C2" s="8">
        <v>0</v>
      </c>
      <c r="D2" s="157">
        <v>679555.46</v>
      </c>
      <c r="F2" s="6"/>
      <c r="G2" s="8">
        <v>2</v>
      </c>
      <c r="H2" s="8"/>
      <c r="I2" s="157">
        <v>679555.46</v>
      </c>
      <c r="K2" s="13"/>
      <c r="L2" s="116" t="s">
        <v>1225</v>
      </c>
      <c r="M2" s="116">
        <v>0</v>
      </c>
      <c r="N2" s="196">
        <v>3492.8</v>
      </c>
      <c r="O2" s="27"/>
      <c r="P2" s="198">
        <f>+N2-S5</f>
        <v>2.9600000000000364</v>
      </c>
      <c r="Q2" s="116">
        <v>34</v>
      </c>
      <c r="R2" s="116"/>
      <c r="S2" s="197">
        <v>270509.90000000002</v>
      </c>
    </row>
    <row r="3" spans="1:19">
      <c r="A3" s="6"/>
      <c r="B3" s="8" t="s">
        <v>1436</v>
      </c>
      <c r="C3" s="8">
        <v>0</v>
      </c>
      <c r="D3" s="160">
        <v>8601.98</v>
      </c>
      <c r="F3" s="6"/>
      <c r="G3" s="8">
        <v>3</v>
      </c>
      <c r="H3" s="8"/>
      <c r="I3" s="160">
        <v>8601.98</v>
      </c>
      <c r="K3" s="13"/>
      <c r="L3" s="116" t="s">
        <v>1226</v>
      </c>
      <c r="M3" s="116">
        <v>0</v>
      </c>
      <c r="N3" s="197">
        <v>3809788.29</v>
      </c>
      <c r="O3" s="27"/>
      <c r="P3" s="80">
        <f>+N3-S6</f>
        <v>0</v>
      </c>
      <c r="Q3" s="116">
        <v>35</v>
      </c>
      <c r="R3" s="116"/>
      <c r="S3" s="197">
        <v>209262.18</v>
      </c>
    </row>
    <row r="4" spans="1:19">
      <c r="A4" s="6"/>
      <c r="B4" s="8" t="s">
        <v>1437</v>
      </c>
      <c r="C4" s="8">
        <v>0</v>
      </c>
      <c r="D4" s="157">
        <v>708908.23</v>
      </c>
      <c r="F4" s="6"/>
      <c r="G4" s="8">
        <v>7</v>
      </c>
      <c r="H4" s="8"/>
      <c r="I4" s="160">
        <v>60907.14</v>
      </c>
      <c r="K4" s="13"/>
      <c r="L4" s="116" t="s">
        <v>1227</v>
      </c>
      <c r="M4" s="116">
        <v>0</v>
      </c>
      <c r="N4" s="197">
        <v>3543551.52</v>
      </c>
      <c r="O4" s="27"/>
      <c r="P4" s="80">
        <f>+N4-S7</f>
        <v>0</v>
      </c>
      <c r="Q4" s="116">
        <v>36</v>
      </c>
      <c r="R4" s="116"/>
      <c r="S4" s="197">
        <v>614802.96</v>
      </c>
    </row>
    <row r="5" spans="1:19">
      <c r="A5" s="6"/>
      <c r="B5" s="8" t="s">
        <v>1438</v>
      </c>
      <c r="C5" s="8">
        <v>0</v>
      </c>
      <c r="D5" s="160">
        <v>60907.14</v>
      </c>
      <c r="F5" s="6"/>
      <c r="G5" s="8">
        <v>9</v>
      </c>
      <c r="H5" s="8"/>
      <c r="I5" s="157">
        <v>708908.23</v>
      </c>
      <c r="K5" s="13"/>
      <c r="L5" s="116" t="s">
        <v>1228</v>
      </c>
      <c r="M5" s="116">
        <v>0</v>
      </c>
      <c r="N5" s="196">
        <v>27250.79</v>
      </c>
      <c r="O5" s="27"/>
      <c r="P5" s="198">
        <f>+N5-S9</f>
        <v>23.100000000002183</v>
      </c>
      <c r="Q5" s="116">
        <v>1</v>
      </c>
      <c r="R5" s="116"/>
      <c r="S5" s="196">
        <v>3489.84</v>
      </c>
    </row>
    <row r="6" spans="1:19">
      <c r="A6" s="6"/>
      <c r="B6" s="8" t="s">
        <v>1439</v>
      </c>
      <c r="C6" s="8">
        <v>0</v>
      </c>
      <c r="D6" s="157">
        <v>104218.5</v>
      </c>
      <c r="F6" s="6"/>
      <c r="G6" s="8">
        <v>15</v>
      </c>
      <c r="H6" s="8"/>
      <c r="I6" s="157">
        <v>104218.5</v>
      </c>
      <c r="K6" s="13"/>
      <c r="L6" s="116" t="s">
        <v>1229</v>
      </c>
      <c r="M6" s="116">
        <v>0</v>
      </c>
      <c r="N6" s="197">
        <v>206143.87</v>
      </c>
      <c r="O6" s="27"/>
      <c r="P6" s="80">
        <f>+N6-S8</f>
        <v>174.69999999998254</v>
      </c>
      <c r="Q6" s="116">
        <v>2</v>
      </c>
      <c r="R6" s="116"/>
      <c r="S6" s="197">
        <v>3809788.29</v>
      </c>
    </row>
    <row r="7" spans="1:19">
      <c r="A7" s="6"/>
      <c r="B7" s="8" t="s">
        <v>1440</v>
      </c>
      <c r="C7" s="8">
        <v>0</v>
      </c>
      <c r="D7" s="157">
        <v>374936.55</v>
      </c>
      <c r="F7" s="6"/>
      <c r="G7" s="8">
        <v>19</v>
      </c>
      <c r="H7" s="8"/>
      <c r="I7" s="157">
        <v>374936.55</v>
      </c>
      <c r="K7" s="13"/>
      <c r="L7" s="116" t="s">
        <v>1230</v>
      </c>
      <c r="M7" s="116">
        <v>0</v>
      </c>
      <c r="N7" s="197">
        <v>3661842.31</v>
      </c>
      <c r="O7" s="27"/>
      <c r="P7" s="80">
        <f>+N7-S10</f>
        <v>0</v>
      </c>
      <c r="Q7" s="116">
        <v>3</v>
      </c>
      <c r="R7" s="116"/>
      <c r="S7" s="197">
        <v>3543551.52</v>
      </c>
    </row>
    <row r="8" spans="1:19">
      <c r="A8" s="6"/>
      <c r="B8" s="8" t="s">
        <v>1441</v>
      </c>
      <c r="C8" s="8">
        <v>0</v>
      </c>
      <c r="D8" s="157">
        <v>805933.77</v>
      </c>
      <c r="F8" s="6"/>
      <c r="G8" s="8">
        <v>24</v>
      </c>
      <c r="H8" s="8"/>
      <c r="I8" s="157">
        <v>805933.75</v>
      </c>
      <c r="K8" s="13"/>
      <c r="L8" s="116" t="s">
        <v>1231</v>
      </c>
      <c r="M8" s="116">
        <v>0</v>
      </c>
      <c r="N8" s="196">
        <v>6478.81</v>
      </c>
      <c r="O8" s="27"/>
      <c r="P8" s="198">
        <f>+N8-S11</f>
        <v>-9.999999999308784E-3</v>
      </c>
      <c r="Q8" s="116">
        <v>4</v>
      </c>
      <c r="R8" s="116"/>
      <c r="S8" s="197">
        <v>205969.17</v>
      </c>
    </row>
    <row r="9" spans="1:19">
      <c r="A9" s="6"/>
      <c r="B9" s="8" t="s">
        <v>1442</v>
      </c>
      <c r="C9" s="8">
        <v>0</v>
      </c>
      <c r="D9" s="160">
        <v>18109.439999999999</v>
      </c>
      <c r="F9" s="6"/>
      <c r="G9" s="8">
        <v>25</v>
      </c>
      <c r="H9" s="8"/>
      <c r="I9" s="160">
        <v>18109.439999999999</v>
      </c>
      <c r="K9" s="13"/>
      <c r="L9" s="116" t="s">
        <v>1232</v>
      </c>
      <c r="M9" s="116">
        <v>0</v>
      </c>
      <c r="N9" s="197">
        <v>3676457.84</v>
      </c>
      <c r="O9" s="27"/>
      <c r="P9" s="80">
        <f>+N9-S12</f>
        <v>0</v>
      </c>
      <c r="Q9" s="116">
        <v>5</v>
      </c>
      <c r="R9" s="116"/>
      <c r="S9" s="196">
        <v>27227.69</v>
      </c>
    </row>
    <row r="10" spans="1:19">
      <c r="A10" s="6"/>
      <c r="B10" s="8" t="s">
        <v>1443</v>
      </c>
      <c r="C10" s="8">
        <v>0</v>
      </c>
      <c r="D10" s="160">
        <v>5236.51</v>
      </c>
      <c r="F10" s="6"/>
      <c r="G10" s="8">
        <v>28</v>
      </c>
      <c r="H10" s="8"/>
      <c r="I10" s="160">
        <v>5236.51</v>
      </c>
      <c r="K10" s="13"/>
      <c r="L10" s="116" t="s">
        <v>1233</v>
      </c>
      <c r="M10" s="116">
        <v>0</v>
      </c>
      <c r="N10" s="197">
        <v>654700.34</v>
      </c>
      <c r="O10" s="27"/>
      <c r="P10" s="80">
        <f>+N10-S13</f>
        <v>0</v>
      </c>
      <c r="Q10" s="116">
        <v>6</v>
      </c>
      <c r="R10" s="116"/>
      <c r="S10" s="197">
        <v>3661842.31</v>
      </c>
    </row>
    <row r="11" spans="1:19">
      <c r="A11" s="6"/>
      <c r="B11" s="8" t="s">
        <v>1444</v>
      </c>
      <c r="C11" s="8">
        <v>0</v>
      </c>
      <c r="D11" s="160">
        <v>50863.839999999997</v>
      </c>
      <c r="F11" s="6"/>
      <c r="G11" s="8">
        <v>35</v>
      </c>
      <c r="H11" s="8"/>
      <c r="I11" s="160">
        <v>50863.839999999997</v>
      </c>
      <c r="K11" s="13"/>
      <c r="L11" s="116" t="s">
        <v>1223</v>
      </c>
      <c r="M11" s="116">
        <v>0</v>
      </c>
      <c r="N11" s="197">
        <v>285115</v>
      </c>
      <c r="O11" s="27"/>
      <c r="P11" s="80">
        <f>+N11-S14</f>
        <v>5091.0300000000279</v>
      </c>
      <c r="Q11" s="116">
        <v>7</v>
      </c>
      <c r="R11" s="116"/>
      <c r="S11" s="196">
        <v>6478.82</v>
      </c>
    </row>
    <row r="12" spans="1:19">
      <c r="A12" s="6"/>
      <c r="B12" s="8" t="s">
        <v>1445</v>
      </c>
      <c r="C12" s="8">
        <v>0</v>
      </c>
      <c r="D12" s="157">
        <v>113916.5</v>
      </c>
      <c r="F12" s="6"/>
      <c r="G12" s="8" t="s">
        <v>1527</v>
      </c>
      <c r="H12" s="8"/>
      <c r="I12" s="157">
        <v>162212.76999999999</v>
      </c>
      <c r="K12" s="13"/>
      <c r="L12" s="116" t="s">
        <v>1234</v>
      </c>
      <c r="M12" s="116">
        <v>0</v>
      </c>
      <c r="N12" s="197">
        <v>3588400.71</v>
      </c>
      <c r="O12" s="27"/>
      <c r="P12" s="80"/>
      <c r="Q12" s="116">
        <v>11</v>
      </c>
      <c r="R12" s="116"/>
      <c r="S12" s="197">
        <v>3676457.84</v>
      </c>
    </row>
    <row r="13" spans="1:19">
      <c r="A13" s="6"/>
      <c r="B13" s="8" t="s">
        <v>1446</v>
      </c>
      <c r="C13" s="8">
        <v>0</v>
      </c>
      <c r="D13" s="160">
        <v>3138.02</v>
      </c>
      <c r="F13" s="6"/>
      <c r="G13" s="8">
        <v>49</v>
      </c>
      <c r="H13" s="8"/>
      <c r="I13" s="160">
        <v>3138.02</v>
      </c>
      <c r="K13" s="13"/>
      <c r="L13" s="116" t="s">
        <v>1235</v>
      </c>
      <c r="M13" s="116">
        <v>0</v>
      </c>
      <c r="N13" s="197">
        <v>4324134.17</v>
      </c>
      <c r="O13" s="27"/>
      <c r="P13" s="80"/>
      <c r="Q13" s="116">
        <v>12</v>
      </c>
      <c r="R13" s="116"/>
      <c r="S13" s="197">
        <v>654700.34</v>
      </c>
    </row>
    <row r="14" spans="1:19">
      <c r="A14" s="6"/>
      <c r="B14" s="8" t="s">
        <v>1447</v>
      </c>
      <c r="C14" s="8">
        <v>0</v>
      </c>
      <c r="D14" s="160">
        <v>47744.17</v>
      </c>
      <c r="F14" s="6"/>
      <c r="G14" s="8">
        <v>50</v>
      </c>
      <c r="H14" s="8"/>
      <c r="I14" s="157">
        <v>113916.5</v>
      </c>
      <c r="K14" s="13"/>
      <c r="L14" s="116" t="s">
        <v>1236</v>
      </c>
      <c r="M14" s="116">
        <v>0</v>
      </c>
      <c r="N14" s="197">
        <v>4351783.4800000004</v>
      </c>
      <c r="O14" s="27"/>
      <c r="P14" s="80"/>
      <c r="Q14" s="116" t="s">
        <v>1223</v>
      </c>
      <c r="R14" s="116"/>
      <c r="S14" s="197">
        <v>280023.96999999997</v>
      </c>
    </row>
    <row r="15" spans="1:19">
      <c r="A15" s="6"/>
      <c r="B15" s="8" t="s">
        <v>1448</v>
      </c>
      <c r="C15" s="8">
        <v>0</v>
      </c>
      <c r="D15" s="157">
        <v>426318.7</v>
      </c>
      <c r="F15" s="6"/>
      <c r="G15" s="8">
        <v>53</v>
      </c>
      <c r="H15" s="8"/>
      <c r="I15" s="157">
        <v>452.74</v>
      </c>
      <c r="K15" s="13"/>
      <c r="L15" s="116" t="s">
        <v>1237</v>
      </c>
      <c r="M15" s="116">
        <v>0</v>
      </c>
      <c r="N15" s="196">
        <v>3489.84</v>
      </c>
      <c r="O15" s="27"/>
      <c r="P15" s="80"/>
      <c r="Q15" s="116">
        <v>14</v>
      </c>
      <c r="R15" s="116"/>
      <c r="S15" s="197">
        <v>3588400.71</v>
      </c>
    </row>
    <row r="16" spans="1:19">
      <c r="A16" s="6"/>
      <c r="B16" s="8" t="s">
        <v>1449</v>
      </c>
      <c r="C16" s="8">
        <v>0</v>
      </c>
      <c r="D16" s="157">
        <v>452.74</v>
      </c>
      <c r="F16" s="6"/>
      <c r="G16" s="8">
        <v>55</v>
      </c>
      <c r="H16" s="8"/>
      <c r="I16" s="160">
        <v>47744.17</v>
      </c>
      <c r="K16" s="13"/>
      <c r="L16" s="116" t="s">
        <v>1238</v>
      </c>
      <c r="M16" s="116">
        <v>0</v>
      </c>
      <c r="N16" s="196">
        <v>14724.04</v>
      </c>
      <c r="O16" s="27"/>
      <c r="P16" s="80"/>
      <c r="Q16" s="116">
        <v>15</v>
      </c>
      <c r="R16" s="116"/>
      <c r="S16" s="197">
        <v>4324134.17</v>
      </c>
    </row>
    <row r="17" spans="1:19">
      <c r="A17" s="6"/>
      <c r="B17" s="8" t="s">
        <v>1450</v>
      </c>
      <c r="C17" s="8">
        <v>0</v>
      </c>
      <c r="D17" s="160">
        <v>14351.22</v>
      </c>
      <c r="F17" s="6"/>
      <c r="G17" s="8">
        <v>56</v>
      </c>
      <c r="H17" s="8"/>
      <c r="I17" s="157">
        <v>426318.7</v>
      </c>
      <c r="K17" s="13"/>
      <c r="L17" s="116" t="s">
        <v>1239</v>
      </c>
      <c r="M17" s="116">
        <v>0</v>
      </c>
      <c r="N17" s="197">
        <v>3824112.22</v>
      </c>
      <c r="O17" s="27"/>
      <c r="P17" s="80"/>
      <c r="Q17" s="116">
        <v>16</v>
      </c>
      <c r="R17" s="116"/>
      <c r="S17" s="197">
        <v>4351783.4800000004</v>
      </c>
    </row>
    <row r="18" spans="1:19">
      <c r="A18" s="6"/>
      <c r="B18" s="8" t="s">
        <v>1451</v>
      </c>
      <c r="C18" s="8">
        <v>0</v>
      </c>
      <c r="D18" s="157">
        <v>494286.76</v>
      </c>
      <c r="F18" s="6"/>
      <c r="G18" s="8">
        <v>69</v>
      </c>
      <c r="H18" s="8"/>
      <c r="I18" s="160">
        <v>8253</v>
      </c>
      <c r="K18" s="13"/>
      <c r="L18" s="116" t="s">
        <v>1240</v>
      </c>
      <c r="M18" s="116">
        <v>0</v>
      </c>
      <c r="N18" s="197">
        <v>1675497.93</v>
      </c>
      <c r="O18" s="27"/>
      <c r="P18" s="80"/>
      <c r="Q18" s="116">
        <v>17</v>
      </c>
      <c r="R18" s="116"/>
      <c r="S18" s="196">
        <v>3489.84</v>
      </c>
    </row>
    <row r="19" spans="1:19">
      <c r="A19" s="6"/>
      <c r="B19" s="8" t="s">
        <v>1452</v>
      </c>
      <c r="C19" s="8">
        <v>0</v>
      </c>
      <c r="D19" s="160">
        <v>72853.41</v>
      </c>
      <c r="F19" s="6"/>
      <c r="G19" s="8">
        <v>70</v>
      </c>
      <c r="H19" s="8"/>
      <c r="I19" s="160">
        <v>21045.15</v>
      </c>
      <c r="K19" s="13"/>
      <c r="L19" s="116" t="s">
        <v>1241</v>
      </c>
      <c r="M19" s="116">
        <v>0</v>
      </c>
      <c r="N19" s="197">
        <v>1437782.75</v>
      </c>
      <c r="O19" s="27"/>
      <c r="P19" s="80"/>
      <c r="Q19" s="116">
        <v>149</v>
      </c>
      <c r="R19" s="116" t="s">
        <v>1224</v>
      </c>
      <c r="S19" s="196">
        <v>14724.04</v>
      </c>
    </row>
    <row r="20" spans="1:19">
      <c r="A20" s="6"/>
      <c r="B20" s="8" t="s">
        <v>1453</v>
      </c>
      <c r="C20" s="8">
        <v>0</v>
      </c>
      <c r="D20" s="157">
        <v>792.29</v>
      </c>
      <c r="F20" s="6"/>
      <c r="G20" s="8">
        <v>78</v>
      </c>
      <c r="H20" s="8"/>
      <c r="I20" s="157">
        <v>150014.38</v>
      </c>
      <c r="K20" s="13"/>
      <c r="L20" s="116" t="s">
        <v>1242</v>
      </c>
      <c r="M20" s="116">
        <v>0</v>
      </c>
      <c r="N20" s="196">
        <v>10194.09</v>
      </c>
      <c r="O20" s="27"/>
      <c r="P20" s="80"/>
      <c r="Q20" s="116">
        <v>19</v>
      </c>
      <c r="R20" s="116"/>
      <c r="S20" s="197">
        <v>3824112.22</v>
      </c>
    </row>
    <row r="21" spans="1:19">
      <c r="A21" s="6"/>
      <c r="B21" s="8" t="s">
        <v>1454</v>
      </c>
      <c r="C21" s="8">
        <v>0</v>
      </c>
      <c r="D21" s="160">
        <v>34505.910000000003</v>
      </c>
      <c r="F21" s="6"/>
      <c r="G21" s="8">
        <v>80</v>
      </c>
      <c r="H21" s="8"/>
      <c r="I21" s="157">
        <v>138.76</v>
      </c>
      <c r="K21" s="13"/>
      <c r="L21" s="116" t="s">
        <v>744</v>
      </c>
      <c r="M21" s="116">
        <v>0</v>
      </c>
      <c r="N21" s="197">
        <v>1726900.78</v>
      </c>
      <c r="O21" s="27"/>
      <c r="P21" s="80"/>
      <c r="Q21" s="116">
        <v>20</v>
      </c>
      <c r="R21" s="116"/>
      <c r="S21" s="197">
        <v>1675497.93</v>
      </c>
    </row>
    <row r="22" spans="1:19">
      <c r="A22" s="6"/>
      <c r="B22" s="8" t="s">
        <v>1455</v>
      </c>
      <c r="C22" s="8">
        <v>0</v>
      </c>
      <c r="D22" s="160">
        <v>41099.94</v>
      </c>
      <c r="F22" s="6"/>
      <c r="G22" s="8">
        <v>82</v>
      </c>
      <c r="H22" s="8"/>
      <c r="I22" s="157">
        <v>334036.64</v>
      </c>
      <c r="K22" s="13"/>
      <c r="L22" s="116" t="s">
        <v>742</v>
      </c>
      <c r="M22" s="116">
        <v>0</v>
      </c>
      <c r="N22" s="196">
        <v>37853.54</v>
      </c>
      <c r="O22" s="27"/>
      <c r="P22" s="80"/>
      <c r="Q22" s="116">
        <v>21</v>
      </c>
      <c r="R22" s="116"/>
      <c r="S22" s="197">
        <v>1437782.75</v>
      </c>
    </row>
    <row r="23" spans="1:19">
      <c r="A23" s="6"/>
      <c r="B23" s="8" t="s">
        <v>1456</v>
      </c>
      <c r="C23" s="8">
        <v>0</v>
      </c>
      <c r="D23" s="160">
        <v>8370.9</v>
      </c>
      <c r="F23" s="6"/>
      <c r="G23" s="8">
        <v>88</v>
      </c>
      <c r="H23" s="8"/>
      <c r="I23" s="160">
        <v>63135.45</v>
      </c>
      <c r="K23" s="13"/>
      <c r="L23" s="116" t="s">
        <v>745</v>
      </c>
      <c r="M23" s="116">
        <v>0</v>
      </c>
      <c r="N23" s="196">
        <v>33764.69</v>
      </c>
      <c r="O23" s="27"/>
      <c r="P23" s="80"/>
      <c r="Q23" s="116">
        <v>22</v>
      </c>
      <c r="R23" s="116"/>
      <c r="S23" s="196">
        <v>10194.09</v>
      </c>
    </row>
    <row r="24" spans="1:19">
      <c r="A24" s="6"/>
      <c r="B24" s="8" t="s">
        <v>1457</v>
      </c>
      <c r="C24" s="8">
        <v>0</v>
      </c>
      <c r="D24" s="160">
        <v>78398.55</v>
      </c>
      <c r="F24" s="6"/>
      <c r="G24" s="8">
        <v>89</v>
      </c>
      <c r="H24" s="8"/>
      <c r="I24" s="160">
        <v>12827.52</v>
      </c>
      <c r="K24" s="13"/>
      <c r="L24" s="116" t="s">
        <v>746</v>
      </c>
      <c r="M24" s="116">
        <v>0</v>
      </c>
      <c r="N24" s="196">
        <v>6979.68</v>
      </c>
      <c r="O24" s="27"/>
      <c r="P24" s="80"/>
      <c r="Q24" s="116">
        <v>25</v>
      </c>
      <c r="R24" s="116"/>
      <c r="S24" s="196">
        <v>37853.550000000003</v>
      </c>
    </row>
    <row r="25" spans="1:19">
      <c r="A25" s="6"/>
      <c r="B25" s="8" t="s">
        <v>1458</v>
      </c>
      <c r="C25" s="8">
        <v>0</v>
      </c>
      <c r="D25" s="160">
        <v>1188.43</v>
      </c>
      <c r="F25" s="6"/>
      <c r="G25" s="8">
        <v>90</v>
      </c>
      <c r="H25" s="8"/>
      <c r="I25" s="157">
        <v>535878.51</v>
      </c>
      <c r="K25" s="13"/>
      <c r="L25" s="116" t="s">
        <v>747</v>
      </c>
      <c r="M25" s="116">
        <v>0</v>
      </c>
      <c r="N25" s="196">
        <v>87921.58</v>
      </c>
      <c r="O25" s="27"/>
      <c r="P25" s="80"/>
      <c r="Q25" s="116">
        <v>26</v>
      </c>
      <c r="R25" s="116"/>
      <c r="S25" s="197">
        <v>1726900.78</v>
      </c>
    </row>
    <row r="26" spans="1:19">
      <c r="A26" s="6"/>
      <c r="B26" s="8" t="s">
        <v>1459</v>
      </c>
      <c r="C26" s="8">
        <v>0</v>
      </c>
      <c r="D26" s="160">
        <v>46187.8</v>
      </c>
      <c r="F26" s="6"/>
      <c r="G26" s="8">
        <v>98</v>
      </c>
      <c r="H26" s="8"/>
      <c r="I26" s="160">
        <v>9452.2900000000009</v>
      </c>
      <c r="K26" s="13"/>
      <c r="L26" s="116" t="s">
        <v>748</v>
      </c>
      <c r="M26" s="116">
        <v>0</v>
      </c>
      <c r="N26" s="197">
        <v>983</v>
      </c>
      <c r="O26" s="27"/>
      <c r="P26" s="80"/>
      <c r="Q26" s="116">
        <v>27</v>
      </c>
      <c r="R26" s="116"/>
      <c r="S26" s="196">
        <v>33764.69</v>
      </c>
    </row>
    <row r="27" spans="1:19">
      <c r="A27" s="6"/>
      <c r="B27" s="8" t="s">
        <v>1460</v>
      </c>
      <c r="C27" s="8">
        <v>0</v>
      </c>
      <c r="D27" s="157">
        <v>452.74</v>
      </c>
      <c r="F27" s="6"/>
      <c r="G27" s="8">
        <v>99</v>
      </c>
      <c r="H27" s="8"/>
      <c r="I27" s="160">
        <v>2122.1999999999998</v>
      </c>
      <c r="K27" s="13"/>
      <c r="L27" s="116" t="s">
        <v>749</v>
      </c>
      <c r="M27" s="116">
        <v>0</v>
      </c>
      <c r="N27" s="197">
        <v>1501042.1</v>
      </c>
      <c r="O27" s="27"/>
      <c r="P27" s="80"/>
      <c r="Q27" s="116">
        <v>28</v>
      </c>
      <c r="R27" s="116"/>
      <c r="S27" s="196">
        <v>6979.68</v>
      </c>
    </row>
    <row r="28" spans="1:19">
      <c r="A28" s="6"/>
      <c r="B28" s="8" t="s">
        <v>1461</v>
      </c>
      <c r="C28" s="8">
        <v>0</v>
      </c>
      <c r="D28" s="160">
        <v>74128.88</v>
      </c>
      <c r="F28" s="6"/>
      <c r="G28" s="8">
        <v>104</v>
      </c>
      <c r="H28" s="8"/>
      <c r="I28" s="157">
        <v>951669.07</v>
      </c>
      <c r="K28" s="13"/>
      <c r="L28" s="116" t="s">
        <v>750</v>
      </c>
      <c r="M28" s="116">
        <v>0</v>
      </c>
      <c r="N28" s="196">
        <v>16751.23</v>
      </c>
      <c r="O28" s="27"/>
      <c r="P28" s="80"/>
      <c r="Q28" s="116">
        <v>29</v>
      </c>
      <c r="R28" s="116"/>
      <c r="S28" s="196">
        <v>87921.58</v>
      </c>
    </row>
    <row r="29" spans="1:19">
      <c r="A29" s="6"/>
      <c r="B29" s="8" t="s">
        <v>1462</v>
      </c>
      <c r="C29" s="8">
        <v>0</v>
      </c>
      <c r="D29" s="160">
        <v>1358.21</v>
      </c>
      <c r="F29" s="6"/>
      <c r="G29" s="8">
        <v>106</v>
      </c>
      <c r="H29" s="8"/>
      <c r="I29" s="160">
        <v>4187.8100000000004</v>
      </c>
      <c r="K29" s="13"/>
      <c r="L29" s="116" t="s">
        <v>958</v>
      </c>
      <c r="M29" s="116">
        <v>0</v>
      </c>
      <c r="N29" s="197">
        <v>270509.90000000002</v>
      </c>
      <c r="O29" s="27"/>
      <c r="P29" s="80"/>
      <c r="Q29" s="116">
        <v>30</v>
      </c>
      <c r="R29" s="116"/>
      <c r="S29" s="197">
        <v>983</v>
      </c>
    </row>
    <row r="30" spans="1:19">
      <c r="A30" s="6"/>
      <c r="B30" s="8" t="s">
        <v>1463</v>
      </c>
      <c r="C30" s="8">
        <v>0</v>
      </c>
      <c r="D30" s="157">
        <v>105241.16</v>
      </c>
      <c r="F30" s="6"/>
      <c r="G30" s="8">
        <v>123</v>
      </c>
      <c r="H30" s="8"/>
      <c r="I30" s="157">
        <v>494286.76</v>
      </c>
      <c r="K30" s="13"/>
      <c r="L30" s="116" t="s">
        <v>751</v>
      </c>
      <c r="M30" s="116">
        <v>0</v>
      </c>
      <c r="N30" s="196">
        <v>46161.33</v>
      </c>
      <c r="O30" s="27"/>
      <c r="P30" s="80"/>
      <c r="Q30" s="116">
        <v>31</v>
      </c>
      <c r="R30" s="116"/>
      <c r="S30" s="197">
        <v>1501042.09</v>
      </c>
    </row>
    <row r="31" spans="1:19">
      <c r="A31" s="6"/>
      <c r="B31" s="8" t="s">
        <v>1464</v>
      </c>
      <c r="C31" s="8">
        <v>0</v>
      </c>
      <c r="D31" s="157">
        <v>304528.26</v>
      </c>
      <c r="F31" s="6"/>
      <c r="G31" s="8">
        <v>124</v>
      </c>
      <c r="H31" s="8"/>
      <c r="I31" s="160">
        <v>14351.22</v>
      </c>
      <c r="K31" s="13"/>
      <c r="L31" s="116" t="s">
        <v>959</v>
      </c>
      <c r="M31" s="116">
        <v>0</v>
      </c>
      <c r="N31" s="197">
        <v>209262.18</v>
      </c>
      <c r="O31" s="27"/>
      <c r="P31" s="80"/>
      <c r="Q31" s="116">
        <v>32</v>
      </c>
      <c r="R31" s="116"/>
      <c r="S31" s="196">
        <v>16751.23</v>
      </c>
    </row>
    <row r="32" spans="1:19">
      <c r="A32" s="6"/>
      <c r="B32" s="8" t="s">
        <v>1465</v>
      </c>
      <c r="C32" s="8">
        <v>0</v>
      </c>
      <c r="D32" s="160">
        <v>1924.13</v>
      </c>
      <c r="F32" s="6"/>
      <c r="G32" s="8">
        <v>126</v>
      </c>
      <c r="H32" s="8"/>
      <c r="I32" s="160">
        <v>72853.41</v>
      </c>
      <c r="K32" s="13"/>
      <c r="L32" s="116" t="s">
        <v>823</v>
      </c>
      <c r="M32" s="116">
        <v>0</v>
      </c>
      <c r="N32" s="197">
        <v>614802.96</v>
      </c>
      <c r="O32" s="27"/>
      <c r="P32" s="80"/>
      <c r="Q32" s="116">
        <v>33</v>
      </c>
      <c r="R32" s="116"/>
      <c r="S32" s="196">
        <v>46161.32</v>
      </c>
    </row>
    <row r="33" spans="1:19">
      <c r="A33" s="6"/>
      <c r="B33" s="8" t="s">
        <v>1466</v>
      </c>
      <c r="C33" s="8">
        <v>0</v>
      </c>
      <c r="D33" s="157">
        <v>707.4</v>
      </c>
      <c r="F33" s="6"/>
      <c r="G33" s="8">
        <v>127</v>
      </c>
      <c r="H33" s="8"/>
      <c r="I33" s="157">
        <v>792.29</v>
      </c>
      <c r="K33" s="13"/>
      <c r="L33" s="116" t="s">
        <v>960</v>
      </c>
      <c r="M33" s="116">
        <v>0</v>
      </c>
      <c r="N33" s="196">
        <v>9620.64</v>
      </c>
      <c r="O33" s="27"/>
      <c r="P33" s="80">
        <f t="shared" ref="P33:P38" si="0">+N33-S33</f>
        <v>0</v>
      </c>
      <c r="Q33" s="116">
        <v>37</v>
      </c>
      <c r="R33" s="116"/>
      <c r="S33" s="196">
        <v>9620.64</v>
      </c>
    </row>
    <row r="34" spans="1:19">
      <c r="A34" s="6"/>
      <c r="B34" s="8" t="s">
        <v>1467</v>
      </c>
      <c r="C34" s="8">
        <v>0</v>
      </c>
      <c r="D34" s="160">
        <v>90664.44</v>
      </c>
      <c r="F34" s="6"/>
      <c r="G34" s="8">
        <v>134</v>
      </c>
      <c r="H34" s="8"/>
      <c r="I34" s="160">
        <v>8370.9</v>
      </c>
      <c r="K34" s="13"/>
      <c r="L34" s="116" t="s">
        <v>961</v>
      </c>
      <c r="M34" s="116">
        <v>0</v>
      </c>
      <c r="N34" s="196">
        <v>57775.45</v>
      </c>
      <c r="O34" s="27"/>
      <c r="P34" s="80">
        <f t="shared" si="0"/>
        <v>0</v>
      </c>
      <c r="Q34" s="116">
        <v>38</v>
      </c>
      <c r="R34" s="116"/>
      <c r="S34" s="196">
        <v>57775.45</v>
      </c>
    </row>
    <row r="35" spans="1:19">
      <c r="A35" s="6"/>
      <c r="B35" s="8" t="s">
        <v>1468</v>
      </c>
      <c r="C35" s="8">
        <v>0</v>
      </c>
      <c r="D35" s="157">
        <v>905.47</v>
      </c>
      <c r="F35" s="6"/>
      <c r="G35" s="8">
        <v>135</v>
      </c>
      <c r="H35" s="8"/>
      <c r="I35" s="160">
        <v>41099.94</v>
      </c>
      <c r="K35" s="13"/>
      <c r="L35" s="116" t="s">
        <v>962</v>
      </c>
      <c r="M35" s="116">
        <v>0</v>
      </c>
      <c r="N35" s="197">
        <v>396.14</v>
      </c>
      <c r="O35" s="27"/>
      <c r="P35" s="80">
        <f t="shared" si="0"/>
        <v>0</v>
      </c>
      <c r="Q35" s="116">
        <v>39</v>
      </c>
      <c r="R35" s="116"/>
      <c r="S35" s="197">
        <v>396.14</v>
      </c>
    </row>
    <row r="36" spans="1:19">
      <c r="A36" s="6"/>
      <c r="B36" s="8" t="s">
        <v>1469</v>
      </c>
      <c r="C36" s="8">
        <v>0</v>
      </c>
      <c r="D36" s="157">
        <v>127448.65</v>
      </c>
      <c r="F36" s="6"/>
      <c r="G36" s="8">
        <v>136</v>
      </c>
      <c r="H36" s="8"/>
      <c r="I36" s="160">
        <v>34505.910000000003</v>
      </c>
      <c r="K36" s="13"/>
      <c r="L36" s="116" t="s">
        <v>963</v>
      </c>
      <c r="M36" s="116">
        <v>0</v>
      </c>
      <c r="N36" s="196">
        <v>7928.78</v>
      </c>
      <c r="O36" s="27"/>
      <c r="P36" s="80">
        <f t="shared" si="0"/>
        <v>0</v>
      </c>
      <c r="Q36" s="116">
        <v>40</v>
      </c>
      <c r="R36" s="116"/>
      <c r="S36" s="196">
        <v>7928.78</v>
      </c>
    </row>
    <row r="37" spans="1:19">
      <c r="A37" s="6"/>
      <c r="B37" s="8" t="s">
        <v>1470</v>
      </c>
      <c r="C37" s="8">
        <v>0</v>
      </c>
      <c r="D37" s="157">
        <v>905.47</v>
      </c>
      <c r="F37" s="6"/>
      <c r="G37" s="8">
        <v>143</v>
      </c>
      <c r="H37" s="8"/>
      <c r="I37" s="160">
        <v>78398.55</v>
      </c>
      <c r="K37" s="13"/>
      <c r="L37" s="116" t="s">
        <v>964</v>
      </c>
      <c r="M37" s="116">
        <v>0</v>
      </c>
      <c r="N37" s="197">
        <v>218560.63</v>
      </c>
      <c r="O37" s="27"/>
      <c r="P37" s="80">
        <f t="shared" si="0"/>
        <v>1.0000000009313226E-2</v>
      </c>
      <c r="Q37" s="116">
        <v>41</v>
      </c>
      <c r="R37" s="116"/>
      <c r="S37" s="197">
        <v>218560.62</v>
      </c>
    </row>
    <row r="38" spans="1:19">
      <c r="A38" s="6"/>
      <c r="B38" s="8" t="s">
        <v>1471</v>
      </c>
      <c r="C38" s="8">
        <v>0</v>
      </c>
      <c r="D38" s="160">
        <v>79228.800000000003</v>
      </c>
      <c r="F38" s="6"/>
      <c r="G38" s="8">
        <v>144</v>
      </c>
      <c r="H38" s="8"/>
      <c r="I38" s="160">
        <v>1188.43</v>
      </c>
      <c r="K38" s="13"/>
      <c r="L38" s="116" t="s">
        <v>965</v>
      </c>
      <c r="M38" s="116">
        <v>0</v>
      </c>
      <c r="N38" s="197">
        <v>216852.5</v>
      </c>
      <c r="O38" s="27"/>
      <c r="P38" s="80">
        <f t="shared" si="0"/>
        <v>0</v>
      </c>
      <c r="Q38" s="116">
        <v>42</v>
      </c>
      <c r="R38" s="116"/>
      <c r="S38" s="197">
        <v>216852.5</v>
      </c>
    </row>
    <row r="39" spans="1:19">
      <c r="A39" s="6"/>
      <c r="B39" s="8" t="s">
        <v>1472</v>
      </c>
      <c r="C39" s="8">
        <v>0</v>
      </c>
      <c r="D39" s="160">
        <v>52362.64</v>
      </c>
      <c r="F39" s="6"/>
      <c r="G39" s="8">
        <v>146</v>
      </c>
      <c r="H39" s="8"/>
      <c r="I39" s="160">
        <v>46187.8</v>
      </c>
      <c r="K39" s="13"/>
      <c r="L39" s="116" t="s">
        <v>967</v>
      </c>
      <c r="M39" s="116">
        <v>0</v>
      </c>
      <c r="N39" s="196">
        <v>7172.66</v>
      </c>
      <c r="O39" s="27"/>
      <c r="P39" s="80"/>
      <c r="Q39" s="116">
        <v>43</v>
      </c>
      <c r="R39" s="116"/>
      <c r="S39" s="196">
        <v>3055.97</v>
      </c>
    </row>
    <row r="40" spans="1:19">
      <c r="A40" s="6"/>
      <c r="B40" s="8" t="s">
        <v>1473</v>
      </c>
      <c r="C40" s="8">
        <v>0</v>
      </c>
      <c r="D40" s="157">
        <v>679.1</v>
      </c>
      <c r="F40" s="6"/>
      <c r="G40" s="8">
        <v>147</v>
      </c>
      <c r="H40" s="8"/>
      <c r="I40" s="157">
        <v>452.74</v>
      </c>
      <c r="K40" s="13"/>
      <c r="L40" s="116" t="s">
        <v>968</v>
      </c>
      <c r="M40" s="116">
        <v>0</v>
      </c>
      <c r="N40" s="197">
        <v>265.87</v>
      </c>
      <c r="O40" s="27"/>
      <c r="P40" s="80"/>
      <c r="Q40" s="116">
        <v>44</v>
      </c>
      <c r="R40" s="116"/>
      <c r="S40" s="196">
        <v>7172.66</v>
      </c>
    </row>
    <row r="41" spans="1:19">
      <c r="A41" s="6"/>
      <c r="B41" s="8" t="s">
        <v>1474</v>
      </c>
      <c r="C41" s="8">
        <v>0</v>
      </c>
      <c r="D41" s="160">
        <v>16836.12</v>
      </c>
      <c r="F41" s="6"/>
      <c r="G41" s="8">
        <v>164</v>
      </c>
      <c r="H41" s="8"/>
      <c r="I41" s="160">
        <v>74191.75</v>
      </c>
      <c r="K41" s="13"/>
      <c r="L41" s="116" t="s">
        <v>966</v>
      </c>
      <c r="M41" s="116">
        <v>0</v>
      </c>
      <c r="N41" s="196">
        <v>3055.97</v>
      </c>
      <c r="O41" s="27"/>
      <c r="P41" s="80"/>
      <c r="Q41" s="116">
        <v>45</v>
      </c>
      <c r="R41" s="116"/>
      <c r="S41" s="197">
        <v>265.87</v>
      </c>
    </row>
    <row r="42" spans="1:19">
      <c r="A42" s="6"/>
      <c r="B42" s="8" t="s">
        <v>1475</v>
      </c>
      <c r="C42" s="8">
        <v>0</v>
      </c>
      <c r="D42" s="157">
        <v>136057.4</v>
      </c>
      <c r="F42" s="6"/>
      <c r="G42" s="8">
        <v>165</v>
      </c>
      <c r="H42" s="8"/>
      <c r="I42" s="160">
        <v>1358.21</v>
      </c>
      <c r="K42" s="13"/>
      <c r="L42" s="116" t="s">
        <v>969</v>
      </c>
      <c r="M42" s="116">
        <v>0</v>
      </c>
      <c r="N42" s="197">
        <v>722442.97</v>
      </c>
      <c r="O42" s="27"/>
      <c r="P42" s="80"/>
      <c r="Q42" s="116">
        <v>47</v>
      </c>
      <c r="R42" s="116"/>
      <c r="S42" s="196">
        <v>1699.46</v>
      </c>
    </row>
    <row r="43" spans="1:19">
      <c r="A43" s="6"/>
      <c r="B43" s="8" t="s">
        <v>1476</v>
      </c>
      <c r="C43" s="8">
        <v>0</v>
      </c>
      <c r="D43" s="157">
        <v>292737.09000000003</v>
      </c>
      <c r="F43" s="6"/>
      <c r="G43" s="8">
        <v>171</v>
      </c>
      <c r="H43" s="8"/>
      <c r="I43" s="157">
        <v>707.4</v>
      </c>
      <c r="K43" s="13"/>
      <c r="L43" s="116" t="s">
        <v>1243</v>
      </c>
      <c r="M43" s="116">
        <v>0</v>
      </c>
      <c r="N43" s="196">
        <v>1699.46</v>
      </c>
      <c r="O43" s="27"/>
      <c r="P43" s="80"/>
      <c r="Q43" s="116">
        <v>48</v>
      </c>
      <c r="R43" s="116"/>
      <c r="S43" s="197">
        <v>722442.97</v>
      </c>
    </row>
    <row r="44" spans="1:19">
      <c r="A44" s="6"/>
      <c r="B44" s="8" t="s">
        <v>1477</v>
      </c>
      <c r="C44" s="8">
        <v>0</v>
      </c>
      <c r="D44" s="160">
        <v>11884.32</v>
      </c>
      <c r="F44" s="6"/>
      <c r="G44" s="8">
        <v>172</v>
      </c>
      <c r="H44" s="8"/>
      <c r="I44" s="157">
        <v>105241.16</v>
      </c>
      <c r="K44" s="13"/>
      <c r="L44" s="116" t="s">
        <v>970</v>
      </c>
      <c r="M44" s="116">
        <v>0</v>
      </c>
      <c r="N44" s="196">
        <v>53040.6</v>
      </c>
      <c r="O44" s="27"/>
      <c r="P44" s="80">
        <f t="shared" ref="P44:P56" si="1">+N44-S44</f>
        <v>0</v>
      </c>
      <c r="Q44" s="116">
        <v>49</v>
      </c>
      <c r="R44" s="116"/>
      <c r="S44" s="196">
        <v>53040.6</v>
      </c>
    </row>
    <row r="45" spans="1:19">
      <c r="A45" s="6"/>
      <c r="B45" s="8" t="s">
        <v>1478</v>
      </c>
      <c r="C45" s="8">
        <v>0</v>
      </c>
      <c r="D45" s="160">
        <v>28502.81</v>
      </c>
      <c r="F45" s="6"/>
      <c r="G45" s="8">
        <v>173</v>
      </c>
      <c r="H45" s="8"/>
      <c r="I45" s="160">
        <v>1924.13</v>
      </c>
      <c r="K45" s="13"/>
      <c r="L45" s="116" t="s">
        <v>1297</v>
      </c>
      <c r="M45" s="116">
        <v>0</v>
      </c>
      <c r="N45" s="197">
        <v>1055724.06</v>
      </c>
      <c r="O45" s="27"/>
      <c r="P45" s="80">
        <f t="shared" si="1"/>
        <v>0</v>
      </c>
      <c r="Q45" s="116">
        <v>52</v>
      </c>
      <c r="R45" s="116"/>
      <c r="S45" s="197">
        <v>1055724.06</v>
      </c>
    </row>
    <row r="46" spans="1:19">
      <c r="A46" s="6"/>
      <c r="B46" s="8" t="s">
        <v>1479</v>
      </c>
      <c r="C46" s="8">
        <v>0</v>
      </c>
      <c r="D46" s="160">
        <v>69408.94</v>
      </c>
      <c r="F46" s="6"/>
      <c r="G46" s="8">
        <v>174</v>
      </c>
      <c r="H46" s="8"/>
      <c r="I46" s="157">
        <v>304528.26</v>
      </c>
      <c r="K46" s="13"/>
      <c r="L46" s="116" t="s">
        <v>1299</v>
      </c>
      <c r="M46" s="116">
        <v>0</v>
      </c>
      <c r="N46" s="196">
        <v>16207.93</v>
      </c>
      <c r="O46" s="27"/>
      <c r="P46" s="80"/>
      <c r="Q46" s="116">
        <v>54</v>
      </c>
      <c r="R46" s="116"/>
      <c r="S46" s="196">
        <v>1744.92</v>
      </c>
    </row>
    <row r="47" spans="1:19">
      <c r="A47" s="6"/>
      <c r="B47" s="8" t="s">
        <v>1480</v>
      </c>
      <c r="C47" s="8">
        <v>0</v>
      </c>
      <c r="D47" s="157">
        <v>565.91999999999996</v>
      </c>
      <c r="F47" s="6"/>
      <c r="G47" s="8">
        <v>549</v>
      </c>
      <c r="H47" s="8">
        <v>164</v>
      </c>
      <c r="I47" s="8">
        <v>62.87</v>
      </c>
      <c r="K47" s="13"/>
      <c r="L47" s="116" t="s">
        <v>1298</v>
      </c>
      <c r="M47" s="116">
        <v>0</v>
      </c>
      <c r="N47" s="196">
        <v>1744.92</v>
      </c>
      <c r="O47" s="27"/>
      <c r="P47" s="198">
        <f>+N47-S46</f>
        <v>0</v>
      </c>
      <c r="Q47" s="116">
        <v>55</v>
      </c>
      <c r="R47" s="116"/>
      <c r="S47" s="196">
        <v>16207.93</v>
      </c>
    </row>
    <row r="48" spans="1:19">
      <c r="A48" s="6"/>
      <c r="B48" s="8" t="s">
        <v>1481</v>
      </c>
      <c r="C48" s="8">
        <v>0</v>
      </c>
      <c r="D48" s="160">
        <v>16211.25</v>
      </c>
      <c r="F48" s="6"/>
      <c r="G48" s="8">
        <v>180</v>
      </c>
      <c r="H48" s="8"/>
      <c r="I48" s="160">
        <v>90664.44</v>
      </c>
      <c r="K48" s="13"/>
      <c r="L48" s="116" t="s">
        <v>1300</v>
      </c>
      <c r="M48" s="116">
        <v>0</v>
      </c>
      <c r="N48" s="197">
        <v>1098408.2</v>
      </c>
      <c r="O48" s="27"/>
      <c r="P48" s="80">
        <f t="shared" si="1"/>
        <v>0</v>
      </c>
      <c r="Q48" s="116">
        <v>56</v>
      </c>
      <c r="R48" s="116"/>
      <c r="S48" s="197">
        <v>1098408.2</v>
      </c>
    </row>
    <row r="49" spans="1:19">
      <c r="A49" s="6"/>
      <c r="B49" s="8" t="s">
        <v>1482</v>
      </c>
      <c r="C49" s="8">
        <v>0</v>
      </c>
      <c r="D49" s="157">
        <v>1045273.6</v>
      </c>
      <c r="F49" s="6"/>
      <c r="G49" s="8">
        <v>181</v>
      </c>
      <c r="H49" s="8"/>
      <c r="I49" s="157">
        <v>905.47</v>
      </c>
      <c r="K49" s="13"/>
      <c r="L49" s="116" t="s">
        <v>1301</v>
      </c>
      <c r="M49" s="116">
        <v>0</v>
      </c>
      <c r="N49" s="196">
        <v>17939.66</v>
      </c>
      <c r="O49" s="27"/>
      <c r="P49" s="80">
        <f t="shared" si="1"/>
        <v>0</v>
      </c>
      <c r="Q49" s="116">
        <v>57</v>
      </c>
      <c r="R49" s="116"/>
      <c r="S49" s="196">
        <v>17939.66</v>
      </c>
    </row>
    <row r="50" spans="1:19">
      <c r="A50" s="6"/>
      <c r="B50" s="8" t="s">
        <v>1483</v>
      </c>
      <c r="C50" s="8">
        <v>0</v>
      </c>
      <c r="D50" s="157">
        <v>226193.08</v>
      </c>
      <c r="F50" s="6"/>
      <c r="G50" s="8">
        <v>190</v>
      </c>
      <c r="H50" s="8"/>
      <c r="I50" s="157">
        <v>127448.65</v>
      </c>
      <c r="K50" s="13"/>
      <c r="L50" s="116" t="s">
        <v>1302</v>
      </c>
      <c r="M50" s="116">
        <v>0</v>
      </c>
      <c r="N50" s="196">
        <v>3489.84</v>
      </c>
      <c r="O50" s="27"/>
      <c r="P50" s="80">
        <f t="shared" si="1"/>
        <v>0</v>
      </c>
      <c r="Q50" s="116">
        <v>58</v>
      </c>
      <c r="R50" s="116"/>
      <c r="S50" s="196">
        <v>3489.84</v>
      </c>
    </row>
    <row r="51" spans="1:19">
      <c r="A51" s="6"/>
      <c r="B51" s="8" t="s">
        <v>1484</v>
      </c>
      <c r="C51" s="8">
        <v>0</v>
      </c>
      <c r="D51" s="160">
        <v>1414.8</v>
      </c>
      <c r="F51" s="6"/>
      <c r="G51" s="8">
        <v>191</v>
      </c>
      <c r="H51" s="8"/>
      <c r="I51" s="157">
        <v>905.47</v>
      </c>
      <c r="K51" s="13"/>
      <c r="L51" s="116" t="s">
        <v>1303</v>
      </c>
      <c r="M51" s="116">
        <v>0</v>
      </c>
      <c r="N51" s="196">
        <v>3989.69</v>
      </c>
      <c r="O51" s="27"/>
      <c r="P51" s="80">
        <f t="shared" si="1"/>
        <v>0</v>
      </c>
      <c r="Q51" s="116">
        <v>59</v>
      </c>
      <c r="R51" s="116"/>
      <c r="S51" s="196">
        <v>3989.69</v>
      </c>
    </row>
    <row r="52" spans="1:19">
      <c r="A52" s="6"/>
      <c r="B52" s="8" t="s">
        <v>1485</v>
      </c>
      <c r="C52" s="8">
        <v>0</v>
      </c>
      <c r="D52" s="157">
        <v>1165344.74</v>
      </c>
      <c r="F52" s="6"/>
      <c r="G52" s="8">
        <v>192</v>
      </c>
      <c r="H52" s="8"/>
      <c r="I52" s="160">
        <v>16836.12</v>
      </c>
      <c r="K52" s="13"/>
      <c r="L52" s="116" t="s">
        <v>1304</v>
      </c>
      <c r="M52" s="116">
        <v>0</v>
      </c>
      <c r="N52" s="197">
        <v>678267.57</v>
      </c>
      <c r="O52" s="27"/>
      <c r="P52" s="80">
        <f t="shared" si="1"/>
        <v>0</v>
      </c>
      <c r="Q52" s="116">
        <v>60</v>
      </c>
      <c r="R52" s="116"/>
      <c r="S52" s="197">
        <v>678267.57</v>
      </c>
    </row>
    <row r="53" spans="1:19">
      <c r="A53" s="6"/>
      <c r="B53" s="8" t="s">
        <v>1486</v>
      </c>
      <c r="C53" s="8">
        <v>0</v>
      </c>
      <c r="D53" s="157">
        <v>220683.43</v>
      </c>
      <c r="F53" s="6"/>
      <c r="G53" s="8">
        <v>193</v>
      </c>
      <c r="H53" s="8"/>
      <c r="I53" s="160">
        <v>79228.800000000003</v>
      </c>
      <c r="K53" s="13"/>
      <c r="L53" s="116" t="s">
        <v>1307</v>
      </c>
      <c r="M53" s="116">
        <v>0</v>
      </c>
      <c r="N53" s="197">
        <v>650933.26</v>
      </c>
      <c r="O53" s="27"/>
      <c r="P53" s="80">
        <f>+N53-S55</f>
        <v>0</v>
      </c>
      <c r="Q53" s="116">
        <v>61</v>
      </c>
      <c r="R53" s="116"/>
      <c r="S53" s="196">
        <v>10129.969999999999</v>
      </c>
    </row>
    <row r="54" spans="1:19">
      <c r="A54" s="6"/>
      <c r="B54" s="8" t="s">
        <v>1487</v>
      </c>
      <c r="C54" s="8">
        <v>0</v>
      </c>
      <c r="D54" s="160">
        <v>2150.5</v>
      </c>
      <c r="F54" s="6"/>
      <c r="G54" s="8">
        <v>199</v>
      </c>
      <c r="H54" s="8"/>
      <c r="I54" s="160">
        <v>52362.64</v>
      </c>
      <c r="K54" s="13"/>
      <c r="L54" s="116" t="s">
        <v>1306</v>
      </c>
      <c r="M54" s="116">
        <v>0</v>
      </c>
      <c r="N54" s="196">
        <v>10664.06</v>
      </c>
      <c r="O54" s="27"/>
      <c r="P54" s="80">
        <f t="shared" si="1"/>
        <v>0</v>
      </c>
      <c r="Q54" s="116">
        <v>62</v>
      </c>
      <c r="R54" s="116"/>
      <c r="S54" s="196">
        <v>10664.06</v>
      </c>
    </row>
    <row r="55" spans="1:19">
      <c r="A55" s="6"/>
      <c r="B55" s="8" t="s">
        <v>1488</v>
      </c>
      <c r="C55" s="8">
        <v>0</v>
      </c>
      <c r="D55" s="160">
        <v>80481.2</v>
      </c>
      <c r="F55" s="6"/>
      <c r="G55" s="8">
        <v>205</v>
      </c>
      <c r="H55" s="8"/>
      <c r="I55" s="160">
        <v>28502.81</v>
      </c>
      <c r="K55" s="13"/>
      <c r="L55" s="116" t="s">
        <v>1305</v>
      </c>
      <c r="M55" s="116">
        <v>0</v>
      </c>
      <c r="N55" s="196">
        <v>10129.969999999999</v>
      </c>
      <c r="O55" s="27"/>
      <c r="P55" s="198">
        <f>+N55-S53</f>
        <v>0</v>
      </c>
      <c r="Q55" s="116">
        <v>63</v>
      </c>
      <c r="R55" s="116"/>
      <c r="S55" s="197">
        <v>650933.26</v>
      </c>
    </row>
    <row r="56" spans="1:19">
      <c r="A56" s="6"/>
      <c r="B56" s="8" t="s">
        <v>1489</v>
      </c>
      <c r="C56" s="8">
        <v>0</v>
      </c>
      <c r="D56" s="160">
        <v>87713.13</v>
      </c>
      <c r="F56" s="6"/>
      <c r="G56" s="8">
        <v>206</v>
      </c>
      <c r="H56" s="8"/>
      <c r="I56" s="157">
        <v>679.1</v>
      </c>
      <c r="K56" s="13"/>
      <c r="L56" s="116" t="s">
        <v>1308</v>
      </c>
      <c r="M56" s="116">
        <v>0</v>
      </c>
      <c r="N56" s="196">
        <v>96346.23</v>
      </c>
      <c r="O56" s="27"/>
      <c r="P56" s="80">
        <f t="shared" si="1"/>
        <v>0</v>
      </c>
      <c r="Q56" s="116">
        <v>66</v>
      </c>
      <c r="R56" s="116"/>
      <c r="S56" s="196">
        <v>96346.23</v>
      </c>
    </row>
    <row r="57" spans="1:19">
      <c r="A57" s="6"/>
      <c r="B57" s="8" t="s">
        <v>1490</v>
      </c>
      <c r="C57" s="8">
        <v>0</v>
      </c>
      <c r="D57" s="157">
        <v>962.06</v>
      </c>
      <c r="F57" s="6"/>
      <c r="G57" s="8" t="s">
        <v>1528</v>
      </c>
      <c r="H57" s="8"/>
      <c r="I57" s="157">
        <v>182144.74</v>
      </c>
      <c r="K57" s="13"/>
      <c r="L57" s="116" t="s">
        <v>1311</v>
      </c>
      <c r="M57" s="116">
        <v>0</v>
      </c>
      <c r="N57" s="197">
        <v>964110.22</v>
      </c>
      <c r="O57" s="27"/>
      <c r="P57" s="80">
        <f>+N57-S59</f>
        <v>0</v>
      </c>
      <c r="Q57" s="116">
        <v>67</v>
      </c>
      <c r="R57" s="116"/>
      <c r="S57" s="196">
        <v>3055.97</v>
      </c>
    </row>
    <row r="58" spans="1:19">
      <c r="A58" s="6"/>
      <c r="B58" s="8" t="s">
        <v>1491</v>
      </c>
      <c r="C58" s="8">
        <v>0</v>
      </c>
      <c r="D58" s="157">
        <v>160189.04999999999</v>
      </c>
      <c r="F58" s="6"/>
      <c r="G58" s="8" t="s">
        <v>1529</v>
      </c>
      <c r="H58" s="8"/>
      <c r="I58" s="157">
        <v>191053.31</v>
      </c>
      <c r="K58" s="13"/>
      <c r="L58" s="116" t="s">
        <v>1313</v>
      </c>
      <c r="M58" s="116">
        <v>0</v>
      </c>
      <c r="N58" s="196">
        <v>61164.04</v>
      </c>
      <c r="O58" s="27"/>
      <c r="P58" s="198">
        <f>+N58-S61</f>
        <v>0</v>
      </c>
      <c r="Q58" s="116">
        <v>68</v>
      </c>
      <c r="R58" s="116"/>
      <c r="S58" s="196">
        <v>13654.29</v>
      </c>
    </row>
    <row r="59" spans="1:19">
      <c r="A59" s="6"/>
      <c r="B59" s="8" t="s">
        <v>1492</v>
      </c>
      <c r="C59" s="8">
        <v>0</v>
      </c>
      <c r="D59" s="160">
        <v>3961.44</v>
      </c>
      <c r="F59" s="6"/>
      <c r="G59" s="8">
        <v>209</v>
      </c>
      <c r="H59" s="8"/>
      <c r="I59" s="157">
        <v>136057.4</v>
      </c>
      <c r="K59" s="13"/>
      <c r="L59" s="116" t="s">
        <v>1314</v>
      </c>
      <c r="M59" s="116">
        <v>0</v>
      </c>
      <c r="N59" s="197">
        <v>1128674.5</v>
      </c>
      <c r="O59" s="27"/>
      <c r="P59" s="80">
        <f>+N59-S62</f>
        <v>1.0000000009313226E-2</v>
      </c>
      <c r="Q59" s="116">
        <v>69</v>
      </c>
      <c r="R59" s="116"/>
      <c r="S59" s="197">
        <v>964110.22</v>
      </c>
    </row>
    <row r="60" spans="1:19">
      <c r="A60" s="6"/>
      <c r="B60" s="8" t="s">
        <v>1269</v>
      </c>
      <c r="C60" s="8">
        <v>0</v>
      </c>
      <c r="D60" s="160">
        <v>3560.58</v>
      </c>
      <c r="F60" s="6"/>
      <c r="G60" s="8">
        <v>210</v>
      </c>
      <c r="H60" s="8"/>
      <c r="I60" s="157">
        <v>292737.09000000003</v>
      </c>
      <c r="K60" s="13"/>
      <c r="L60" s="116" t="s">
        <v>1310</v>
      </c>
      <c r="M60" s="116">
        <v>0</v>
      </c>
      <c r="N60" s="196">
        <v>13654.29</v>
      </c>
      <c r="O60" s="27"/>
      <c r="P60" s="198">
        <f>+N60-S58</f>
        <v>0</v>
      </c>
      <c r="Q60" s="116">
        <v>70</v>
      </c>
      <c r="R60" s="116"/>
      <c r="S60" s="196">
        <v>19184.689999999999</v>
      </c>
    </row>
    <row r="61" spans="1:19">
      <c r="A61" s="6"/>
      <c r="B61" s="8" t="s">
        <v>1271</v>
      </c>
      <c r="C61" s="8">
        <v>0</v>
      </c>
      <c r="D61" s="157">
        <v>330518.96999999997</v>
      </c>
      <c r="F61" s="6"/>
      <c r="G61" s="8">
        <v>211</v>
      </c>
      <c r="H61" s="8"/>
      <c r="I61" s="160">
        <v>11884.32</v>
      </c>
      <c r="K61" s="13"/>
      <c r="L61" s="116" t="s">
        <v>1309</v>
      </c>
      <c r="M61" s="116">
        <v>0</v>
      </c>
      <c r="N61" s="196">
        <v>3055.97</v>
      </c>
      <c r="O61" s="27"/>
      <c r="P61" s="198">
        <f>+N61-S57</f>
        <v>0</v>
      </c>
      <c r="Q61" s="116">
        <v>71</v>
      </c>
      <c r="R61" s="116"/>
      <c r="S61" s="196">
        <v>61164.04</v>
      </c>
    </row>
    <row r="62" spans="1:19">
      <c r="A62" s="6"/>
      <c r="B62" s="8" t="s">
        <v>1270</v>
      </c>
      <c r="C62" s="8">
        <v>0</v>
      </c>
      <c r="D62" s="160">
        <v>4131.22</v>
      </c>
      <c r="F62" s="6"/>
      <c r="G62" s="8" t="s">
        <v>1530</v>
      </c>
      <c r="H62" s="8"/>
      <c r="I62" s="157">
        <v>102952.92</v>
      </c>
      <c r="K62" s="13"/>
      <c r="L62" s="116" t="s">
        <v>1312</v>
      </c>
      <c r="M62" s="116">
        <v>0</v>
      </c>
      <c r="N62" s="196">
        <v>19184.689999999999</v>
      </c>
      <c r="O62" s="27"/>
      <c r="P62" s="198">
        <f>+N62-S60</f>
        <v>0</v>
      </c>
      <c r="Q62" s="116">
        <v>72</v>
      </c>
      <c r="R62" s="116"/>
      <c r="S62" s="197">
        <v>1128674.49</v>
      </c>
    </row>
    <row r="63" spans="1:19">
      <c r="A63" s="6"/>
      <c r="B63" s="8" t="s">
        <v>1274</v>
      </c>
      <c r="C63" s="8">
        <v>0</v>
      </c>
      <c r="D63" s="160">
        <v>3584.16</v>
      </c>
      <c r="F63" s="6"/>
      <c r="G63" s="8">
        <v>238</v>
      </c>
      <c r="H63" s="8"/>
      <c r="I63" s="160">
        <v>69408.94</v>
      </c>
      <c r="K63" s="13"/>
      <c r="L63" s="116" t="s">
        <v>1315</v>
      </c>
      <c r="M63" s="116">
        <v>0</v>
      </c>
      <c r="N63" s="196">
        <v>11544.77</v>
      </c>
      <c r="O63" s="27"/>
      <c r="P63" s="80">
        <f t="shared" ref="P63:P68" si="2">+N63-S63</f>
        <v>0</v>
      </c>
      <c r="Q63" s="116">
        <v>73</v>
      </c>
      <c r="R63" s="116"/>
      <c r="S63" s="196">
        <v>11544.77</v>
      </c>
    </row>
    <row r="64" spans="1:19">
      <c r="A64" s="6"/>
      <c r="B64" s="8" t="s">
        <v>1272</v>
      </c>
      <c r="C64" s="8">
        <v>0</v>
      </c>
      <c r="D64" s="160">
        <v>80694.539999999994</v>
      </c>
      <c r="F64" s="6"/>
      <c r="G64" s="8">
        <v>239</v>
      </c>
      <c r="H64" s="8"/>
      <c r="I64" s="157">
        <v>565.91999999999996</v>
      </c>
      <c r="K64" s="13"/>
      <c r="L64" s="116" t="s">
        <v>1316</v>
      </c>
      <c r="M64" s="116">
        <v>0</v>
      </c>
      <c r="N64" s="196">
        <v>1248.55</v>
      </c>
      <c r="O64" s="27"/>
      <c r="P64" s="80">
        <f t="shared" si="2"/>
        <v>0</v>
      </c>
      <c r="Q64" s="116">
        <v>74</v>
      </c>
      <c r="R64" s="116"/>
      <c r="S64" s="196">
        <v>1248.55</v>
      </c>
    </row>
    <row r="65" spans="1:19">
      <c r="A65" s="6"/>
      <c r="B65" s="8" t="s">
        <v>1273</v>
      </c>
      <c r="C65" s="8">
        <v>0</v>
      </c>
      <c r="D65" s="160">
        <v>41536.17</v>
      </c>
      <c r="F65" s="6"/>
      <c r="G65" s="8">
        <v>246</v>
      </c>
      <c r="H65" s="8"/>
      <c r="I65" s="160">
        <v>16211.25</v>
      </c>
      <c r="K65" s="13"/>
      <c r="L65" s="116" t="s">
        <v>1317</v>
      </c>
      <c r="M65" s="116">
        <v>0</v>
      </c>
      <c r="N65" s="196">
        <v>41917.01</v>
      </c>
      <c r="O65" s="27"/>
      <c r="P65" s="80">
        <f t="shared" si="2"/>
        <v>0</v>
      </c>
      <c r="Q65" s="116">
        <v>75</v>
      </c>
      <c r="R65" s="116"/>
      <c r="S65" s="196">
        <v>41917.01</v>
      </c>
    </row>
    <row r="66" spans="1:19">
      <c r="A66" s="6"/>
      <c r="B66" s="8" t="s">
        <v>1278</v>
      </c>
      <c r="C66" s="8">
        <v>0</v>
      </c>
      <c r="D66" s="160">
        <v>47157.68</v>
      </c>
      <c r="F66" s="6"/>
      <c r="G66" s="8">
        <v>248</v>
      </c>
      <c r="H66" s="8"/>
      <c r="I66" s="157">
        <v>1045273.6</v>
      </c>
      <c r="K66" s="13"/>
      <c r="L66" s="116" t="s">
        <v>1318</v>
      </c>
      <c r="M66" s="116">
        <v>0</v>
      </c>
      <c r="N66" s="196">
        <v>40514.15</v>
      </c>
      <c r="O66" s="27"/>
      <c r="P66" s="80">
        <f t="shared" si="2"/>
        <v>-1.0000000002037268E-2</v>
      </c>
      <c r="Q66" s="116">
        <v>76</v>
      </c>
      <c r="R66" s="116"/>
      <c r="S66" s="196">
        <v>40514.160000000003</v>
      </c>
    </row>
    <row r="67" spans="1:19">
      <c r="A67" s="6"/>
      <c r="B67" s="8" t="s">
        <v>1277</v>
      </c>
      <c r="C67" s="8">
        <v>0</v>
      </c>
      <c r="D67" s="157">
        <v>679.1</v>
      </c>
      <c r="F67" s="6"/>
      <c r="G67" s="8">
        <v>249</v>
      </c>
      <c r="H67" s="8"/>
      <c r="I67" s="157">
        <v>226193.08</v>
      </c>
      <c r="K67" s="13"/>
      <c r="L67" s="116" t="s">
        <v>1319</v>
      </c>
      <c r="M67" s="116">
        <v>0</v>
      </c>
      <c r="N67" s="197">
        <v>409820.63</v>
      </c>
      <c r="O67" s="27"/>
      <c r="P67" s="80">
        <f t="shared" si="2"/>
        <v>-1.0000000009313226E-2</v>
      </c>
      <c r="Q67" s="116">
        <v>77</v>
      </c>
      <c r="R67" s="116"/>
      <c r="S67" s="197">
        <v>409820.64</v>
      </c>
    </row>
    <row r="68" spans="1:19">
      <c r="A68" s="6"/>
      <c r="B68" s="8" t="s">
        <v>1280</v>
      </c>
      <c r="C68" s="8">
        <v>0</v>
      </c>
      <c r="D68" s="157">
        <v>513887.16</v>
      </c>
      <c r="F68" s="6"/>
      <c r="G68" s="8">
        <v>250</v>
      </c>
      <c r="H68" s="8"/>
      <c r="I68" s="160">
        <v>1414.8</v>
      </c>
      <c r="K68" s="13"/>
      <c r="L68" s="116" t="s">
        <v>1320</v>
      </c>
      <c r="M68" s="116">
        <v>0</v>
      </c>
      <c r="N68" s="196">
        <v>3112.56</v>
      </c>
      <c r="O68" s="27"/>
      <c r="P68" s="80">
        <f t="shared" si="2"/>
        <v>0</v>
      </c>
      <c r="Q68" s="116">
        <v>78</v>
      </c>
      <c r="R68" s="116"/>
      <c r="S68" s="196">
        <v>3112.56</v>
      </c>
    </row>
    <row r="69" spans="1:19">
      <c r="A69" s="6"/>
      <c r="B69" s="8" t="s">
        <v>1279</v>
      </c>
      <c r="C69" s="8">
        <v>0</v>
      </c>
      <c r="D69" s="160">
        <v>5093.28</v>
      </c>
      <c r="F69" s="6"/>
      <c r="G69" s="8">
        <v>260</v>
      </c>
      <c r="H69" s="8"/>
      <c r="I69" s="157">
        <v>1386028.17</v>
      </c>
      <c r="K69" s="13"/>
      <c r="L69" s="116" t="s">
        <v>1321</v>
      </c>
      <c r="M69" s="116">
        <v>0</v>
      </c>
      <c r="N69" s="197">
        <v>2044980</v>
      </c>
      <c r="O69" s="27"/>
      <c r="P69" s="80">
        <f t="shared" ref="P69:P76" si="3">+N69-S69</f>
        <v>0</v>
      </c>
      <c r="Q69" s="116">
        <v>79</v>
      </c>
      <c r="R69" s="116"/>
      <c r="S69" s="197">
        <v>2044980</v>
      </c>
    </row>
    <row r="70" spans="1:19">
      <c r="A70" s="6"/>
      <c r="B70" s="8" t="s">
        <v>1283</v>
      </c>
      <c r="C70" s="8">
        <v>0</v>
      </c>
      <c r="D70" s="160">
        <v>37632.01</v>
      </c>
      <c r="F70" s="6"/>
      <c r="G70" s="8">
        <v>261</v>
      </c>
      <c r="H70" s="8"/>
      <c r="I70" s="160">
        <v>2150.5</v>
      </c>
      <c r="K70" s="13"/>
      <c r="L70" s="116" t="s">
        <v>1323</v>
      </c>
      <c r="M70" s="116">
        <v>0</v>
      </c>
      <c r="N70" s="197">
        <v>774453.41</v>
      </c>
      <c r="O70" s="27"/>
      <c r="P70" s="80">
        <f t="shared" si="3"/>
        <v>0</v>
      </c>
      <c r="Q70" s="116">
        <v>81</v>
      </c>
      <c r="R70" s="116"/>
      <c r="S70" s="197">
        <v>774453.41</v>
      </c>
    </row>
    <row r="71" spans="1:19">
      <c r="A71" s="6"/>
      <c r="B71" s="8" t="s">
        <v>1282</v>
      </c>
      <c r="C71" s="8">
        <v>0</v>
      </c>
      <c r="D71" s="157">
        <v>622.51</v>
      </c>
      <c r="F71" s="6"/>
      <c r="G71" s="8">
        <v>263</v>
      </c>
      <c r="H71" s="8"/>
      <c r="I71" s="160">
        <v>80481.2</v>
      </c>
      <c r="K71" s="13"/>
      <c r="L71" s="116" t="s">
        <v>1536</v>
      </c>
      <c r="M71" s="116">
        <v>0</v>
      </c>
      <c r="N71" s="196">
        <v>40237.93</v>
      </c>
      <c r="O71" s="27"/>
      <c r="P71" s="198">
        <f t="shared" si="3"/>
        <v>0</v>
      </c>
      <c r="Q71" s="116">
        <v>82</v>
      </c>
      <c r="R71" s="116"/>
      <c r="S71" s="196">
        <v>40237.93</v>
      </c>
    </row>
    <row r="72" spans="1:19">
      <c r="A72" s="6"/>
      <c r="B72" s="8" t="s">
        <v>1286</v>
      </c>
      <c r="C72" s="8">
        <v>0</v>
      </c>
      <c r="D72" s="160">
        <v>91970.79</v>
      </c>
      <c r="F72" s="6"/>
      <c r="G72" s="8">
        <v>269</v>
      </c>
      <c r="H72" s="8"/>
      <c r="I72" s="157">
        <v>962.06</v>
      </c>
      <c r="K72" s="13"/>
      <c r="L72" s="116" t="s">
        <v>1537</v>
      </c>
      <c r="M72" s="116">
        <v>0</v>
      </c>
      <c r="N72" s="196">
        <v>54536.31</v>
      </c>
      <c r="O72" s="27"/>
      <c r="P72" s="198">
        <f t="shared" si="3"/>
        <v>0</v>
      </c>
      <c r="Q72" s="116">
        <v>83</v>
      </c>
      <c r="R72" s="116"/>
      <c r="S72" s="196">
        <v>54536.31</v>
      </c>
    </row>
    <row r="73" spans="1:19">
      <c r="A73" s="6"/>
      <c r="B73" s="8" t="s">
        <v>1285</v>
      </c>
      <c r="C73" s="8">
        <v>0</v>
      </c>
      <c r="D73" s="157">
        <v>565.91999999999996</v>
      </c>
      <c r="F73" s="6"/>
      <c r="G73" s="8">
        <v>270</v>
      </c>
      <c r="H73" s="8"/>
      <c r="I73" s="160">
        <v>87713.13</v>
      </c>
      <c r="K73" s="13"/>
      <c r="L73" s="116" t="s">
        <v>1538</v>
      </c>
      <c r="M73" s="116">
        <v>0</v>
      </c>
      <c r="N73" s="196">
        <v>19357.080000000002</v>
      </c>
      <c r="O73" s="27"/>
      <c r="P73" s="198">
        <f t="shared" si="3"/>
        <v>0</v>
      </c>
      <c r="Q73" s="116">
        <v>84</v>
      </c>
      <c r="R73" s="116"/>
      <c r="S73" s="196">
        <v>19357.080000000002</v>
      </c>
    </row>
    <row r="74" spans="1:19">
      <c r="A74" s="6"/>
      <c r="B74" s="8" t="s">
        <v>1287</v>
      </c>
      <c r="C74" s="8">
        <v>0</v>
      </c>
      <c r="D74" s="160">
        <v>39658.620000000003</v>
      </c>
      <c r="F74" s="6"/>
      <c r="G74" s="8">
        <v>273</v>
      </c>
      <c r="H74" s="8"/>
      <c r="I74" s="157">
        <v>160189.04999999999</v>
      </c>
      <c r="K74" s="13"/>
      <c r="L74" s="116" t="s">
        <v>1539</v>
      </c>
      <c r="M74" s="116">
        <v>0</v>
      </c>
      <c r="N74" s="197">
        <v>332533.67</v>
      </c>
      <c r="O74" s="27"/>
      <c r="P74" s="80">
        <f t="shared" si="3"/>
        <v>0</v>
      </c>
      <c r="Q74" s="116">
        <v>85</v>
      </c>
      <c r="R74" s="116"/>
      <c r="S74" s="197">
        <v>332533.67</v>
      </c>
    </row>
    <row r="75" spans="1:19">
      <c r="A75" s="6"/>
      <c r="B75" s="8" t="s">
        <v>1289</v>
      </c>
      <c r="C75" s="8">
        <v>0</v>
      </c>
      <c r="D75" s="160">
        <v>12846.38</v>
      </c>
      <c r="F75" s="6"/>
      <c r="G75" s="8">
        <v>274</v>
      </c>
      <c r="H75" s="8"/>
      <c r="I75" s="160">
        <v>3961.44</v>
      </c>
      <c r="K75" s="13"/>
      <c r="L75" s="116" t="s">
        <v>1540</v>
      </c>
      <c r="M75" s="116">
        <v>0</v>
      </c>
      <c r="N75" s="196">
        <v>15127.87</v>
      </c>
      <c r="O75" s="27"/>
      <c r="P75" s="198">
        <f t="shared" si="3"/>
        <v>0</v>
      </c>
      <c r="Q75" s="14">
        <v>87</v>
      </c>
      <c r="R75" s="14"/>
      <c r="S75" s="101">
        <v>15127.87</v>
      </c>
    </row>
    <row r="76" spans="1:19">
      <c r="A76" s="6"/>
      <c r="B76" s="8" t="s">
        <v>1293</v>
      </c>
      <c r="C76" s="8">
        <v>0</v>
      </c>
      <c r="D76" s="157">
        <v>726989.39</v>
      </c>
      <c r="F76" s="6"/>
      <c r="G76" s="8" t="s">
        <v>1531</v>
      </c>
      <c r="H76" s="8"/>
      <c r="I76" s="157">
        <v>168461.07</v>
      </c>
      <c r="K76" s="13"/>
      <c r="L76" s="116" t="s">
        <v>1541</v>
      </c>
      <c r="M76" s="116">
        <v>0</v>
      </c>
      <c r="N76" s="197">
        <v>305788.96000000002</v>
      </c>
      <c r="O76" s="27"/>
      <c r="P76" s="80">
        <f t="shared" si="3"/>
        <v>0</v>
      </c>
      <c r="Q76" s="14">
        <v>88</v>
      </c>
      <c r="R76" s="14"/>
      <c r="S76" s="16">
        <v>305788.96000000002</v>
      </c>
    </row>
    <row r="77" spans="1:19">
      <c r="A77" s="6"/>
      <c r="B77" s="8" t="s">
        <v>1291</v>
      </c>
      <c r="C77" s="8">
        <v>0</v>
      </c>
      <c r="D77" s="160">
        <v>3489.84</v>
      </c>
      <c r="F77" s="6"/>
      <c r="G77" s="8">
        <v>280</v>
      </c>
      <c r="H77" s="8"/>
      <c r="I77" s="160">
        <v>3560.58</v>
      </c>
      <c r="P77" s="199">
        <f>SUM(P2:P76)</f>
        <v>5291.7800000000207</v>
      </c>
      <c r="Q77" s="116" t="s">
        <v>1542</v>
      </c>
      <c r="R77" s="116"/>
      <c r="S77" s="195">
        <v>9440</v>
      </c>
    </row>
    <row r="78" spans="1:19">
      <c r="A78" s="6"/>
      <c r="B78" s="8" t="s">
        <v>1292</v>
      </c>
      <c r="C78" s="8">
        <v>0</v>
      </c>
      <c r="D78" s="160">
        <v>1915.88</v>
      </c>
      <c r="F78" s="6"/>
      <c r="G78" s="8">
        <v>282</v>
      </c>
      <c r="H78" s="8"/>
      <c r="I78" s="157">
        <v>330518.96999999997</v>
      </c>
      <c r="N78" s="79">
        <f>SUM(N2:N77)</f>
        <v>50885547.43999999</v>
      </c>
      <c r="P78" s="13"/>
    </row>
    <row r="79" spans="1:19">
      <c r="A79" s="6"/>
      <c r="B79" s="8" t="s">
        <v>1294</v>
      </c>
      <c r="C79" s="8">
        <v>0</v>
      </c>
      <c r="D79" s="157">
        <v>901.94</v>
      </c>
      <c r="F79" s="6"/>
      <c r="G79" s="8">
        <v>283</v>
      </c>
      <c r="H79" s="8"/>
      <c r="I79" s="160">
        <v>4131.22</v>
      </c>
      <c r="S79" s="79">
        <f>SUM(S2:S77)</f>
        <v>50889695.649999984</v>
      </c>
    </row>
    <row r="80" spans="1:19">
      <c r="A80" s="6"/>
      <c r="B80" s="8" t="s">
        <v>1295</v>
      </c>
      <c r="C80" s="8">
        <v>0</v>
      </c>
      <c r="D80" s="160">
        <v>7300.37</v>
      </c>
      <c r="F80" s="6"/>
      <c r="G80" s="8">
        <v>290</v>
      </c>
      <c r="H80" s="8"/>
      <c r="I80" s="160">
        <v>3584.16</v>
      </c>
      <c r="S80" s="79">
        <f>+S79-N78</f>
        <v>4148.2099999934435</v>
      </c>
    </row>
    <row r="81" spans="1:9">
      <c r="A81" s="6"/>
      <c r="B81" s="8" t="s">
        <v>1296</v>
      </c>
      <c r="C81" s="8">
        <v>0</v>
      </c>
      <c r="D81" s="157">
        <v>333360.65999999997</v>
      </c>
      <c r="F81" s="6"/>
      <c r="G81" s="8">
        <v>291</v>
      </c>
      <c r="H81" s="8"/>
      <c r="I81" s="160">
        <v>80694.539999999994</v>
      </c>
    </row>
    <row r="82" spans="1:9">
      <c r="A82" s="6"/>
      <c r="B82" s="8" t="s">
        <v>1493</v>
      </c>
      <c r="C82" s="8">
        <v>0</v>
      </c>
      <c r="D82" s="160">
        <v>75267.360000000001</v>
      </c>
      <c r="F82" s="6"/>
      <c r="G82" s="8">
        <v>292</v>
      </c>
      <c r="H82" s="8"/>
      <c r="I82" s="160">
        <v>41536.17</v>
      </c>
    </row>
    <row r="83" spans="1:9">
      <c r="A83" s="6"/>
      <c r="B83" s="8" t="s">
        <v>1494</v>
      </c>
      <c r="C83" s="8">
        <v>0</v>
      </c>
      <c r="D83" s="160">
        <v>46098.9</v>
      </c>
      <c r="F83" s="6"/>
      <c r="G83" s="8">
        <v>298</v>
      </c>
      <c r="H83" s="8"/>
      <c r="I83" s="160">
        <v>47157.68</v>
      </c>
    </row>
    <row r="84" spans="1:9">
      <c r="A84" s="6"/>
      <c r="B84" s="8" t="s">
        <v>1495</v>
      </c>
      <c r="C84" s="8">
        <v>0</v>
      </c>
      <c r="D84" s="160">
        <v>28251.78</v>
      </c>
      <c r="F84" s="6"/>
      <c r="G84" s="8">
        <v>299</v>
      </c>
      <c r="H84" s="8"/>
      <c r="I84" s="157">
        <v>679.1</v>
      </c>
    </row>
    <row r="85" spans="1:9">
      <c r="A85" s="6"/>
      <c r="B85" s="8" t="s">
        <v>1496</v>
      </c>
      <c r="C85" s="8">
        <v>0</v>
      </c>
      <c r="D85" s="160">
        <v>1028.73</v>
      </c>
      <c r="F85" s="6"/>
      <c r="G85" s="8">
        <v>305</v>
      </c>
      <c r="H85" s="8"/>
      <c r="I85" s="157">
        <v>513887.16</v>
      </c>
    </row>
    <row r="86" spans="1:9">
      <c r="A86" s="6"/>
      <c r="B86" s="8" t="s">
        <v>1497</v>
      </c>
      <c r="C86" s="8">
        <v>0</v>
      </c>
      <c r="D86" s="157">
        <v>103308.32</v>
      </c>
      <c r="F86" s="6"/>
      <c r="G86" s="8">
        <v>306</v>
      </c>
      <c r="H86" s="8"/>
      <c r="I86" s="160">
        <v>5093.28</v>
      </c>
    </row>
    <row r="87" spans="1:9">
      <c r="A87" s="6"/>
      <c r="B87" s="8" t="s">
        <v>1498</v>
      </c>
      <c r="C87" s="8">
        <v>0</v>
      </c>
      <c r="D87" s="157">
        <v>206839.52</v>
      </c>
      <c r="F87" s="6"/>
      <c r="G87" s="8">
        <v>313</v>
      </c>
      <c r="H87" s="8"/>
      <c r="I87" s="160">
        <v>37632.01</v>
      </c>
    </row>
    <row r="88" spans="1:9">
      <c r="A88" s="6"/>
      <c r="B88" s="8" t="s">
        <v>1499</v>
      </c>
      <c r="C88" s="8">
        <v>0</v>
      </c>
      <c r="D88" s="160">
        <v>2433.46</v>
      </c>
      <c r="F88" s="6"/>
      <c r="G88" s="8">
        <v>314</v>
      </c>
      <c r="H88" s="8"/>
      <c r="I88" s="157">
        <v>622.51</v>
      </c>
    </row>
    <row r="89" spans="1:9">
      <c r="A89" s="6"/>
      <c r="B89" s="8" t="s">
        <v>1500</v>
      </c>
      <c r="C89" s="8">
        <v>0</v>
      </c>
      <c r="D89" s="157">
        <v>291536.11</v>
      </c>
      <c r="F89" s="6"/>
      <c r="G89" s="8">
        <v>319</v>
      </c>
      <c r="H89" s="8"/>
      <c r="I89" s="160">
        <v>91970.85</v>
      </c>
    </row>
    <row r="90" spans="1:9">
      <c r="A90" s="6"/>
      <c r="B90" s="8" t="s">
        <v>1501</v>
      </c>
      <c r="C90" s="8">
        <v>0</v>
      </c>
      <c r="D90" s="160">
        <v>2659.82</v>
      </c>
      <c r="F90" s="6"/>
      <c r="G90" s="8">
        <v>320</v>
      </c>
      <c r="H90" s="8"/>
      <c r="I90" s="157">
        <v>565.91999999999996</v>
      </c>
    </row>
    <row r="91" spans="1:9">
      <c r="A91" s="6"/>
      <c r="B91" s="8" t="s">
        <v>1502</v>
      </c>
      <c r="C91" s="8">
        <v>0</v>
      </c>
      <c r="D91" s="160">
        <v>60164.37</v>
      </c>
      <c r="F91" s="6"/>
      <c r="G91" s="8" t="s">
        <v>1532</v>
      </c>
      <c r="H91" s="8"/>
      <c r="I91" s="160">
        <v>29288.639999999999</v>
      </c>
    </row>
    <row r="92" spans="1:9">
      <c r="A92" s="6"/>
      <c r="B92" s="8" t="s">
        <v>1503</v>
      </c>
      <c r="C92" s="8">
        <v>0</v>
      </c>
      <c r="D92" s="157">
        <v>213217.23</v>
      </c>
      <c r="F92" s="6"/>
      <c r="G92" s="8">
        <v>329</v>
      </c>
      <c r="H92" s="8"/>
      <c r="I92" s="160">
        <v>39658.620000000003</v>
      </c>
    </row>
    <row r="93" spans="1:9">
      <c r="A93" s="6"/>
      <c r="B93" s="8" t="s">
        <v>1504</v>
      </c>
      <c r="C93" s="8">
        <v>0</v>
      </c>
      <c r="D93" s="160">
        <v>1358.21</v>
      </c>
      <c r="F93" s="6"/>
      <c r="G93" s="8">
        <v>345</v>
      </c>
      <c r="H93" s="8"/>
      <c r="I93" s="157">
        <v>726989.39</v>
      </c>
    </row>
    <row r="94" spans="1:9">
      <c r="A94" s="6"/>
      <c r="B94" s="8" t="s">
        <v>1505</v>
      </c>
      <c r="C94" s="8">
        <v>0</v>
      </c>
      <c r="D94" s="157">
        <v>111598.28</v>
      </c>
      <c r="F94" s="6"/>
      <c r="G94" s="8">
        <v>346</v>
      </c>
      <c r="H94" s="8"/>
      <c r="I94" s="160">
        <v>12846.38</v>
      </c>
    </row>
    <row r="95" spans="1:9">
      <c r="A95" s="6"/>
      <c r="B95" s="8" t="s">
        <v>1506</v>
      </c>
      <c r="C95" s="8">
        <v>0</v>
      </c>
      <c r="D95" s="160">
        <v>8890.24</v>
      </c>
      <c r="F95" s="6"/>
      <c r="G95" s="8">
        <v>351</v>
      </c>
      <c r="H95" s="8"/>
      <c r="I95" s="160">
        <v>1915.88</v>
      </c>
    </row>
    <row r="96" spans="1:9">
      <c r="A96" s="6"/>
      <c r="B96" s="8" t="s">
        <v>1507</v>
      </c>
      <c r="C96" s="8">
        <v>0</v>
      </c>
      <c r="D96" s="157">
        <v>165162</v>
      </c>
      <c r="F96" s="6"/>
      <c r="G96" s="8">
        <v>352</v>
      </c>
      <c r="H96" s="8"/>
      <c r="I96" s="160">
        <v>3489.84</v>
      </c>
    </row>
    <row r="97" spans="1:9">
      <c r="A97" s="6"/>
      <c r="B97" s="8" t="s">
        <v>1507</v>
      </c>
      <c r="C97" s="160">
        <v>2949</v>
      </c>
      <c r="D97" s="8">
        <v>0</v>
      </c>
      <c r="F97" s="6"/>
      <c r="G97" s="8">
        <v>357</v>
      </c>
      <c r="H97" s="8"/>
      <c r="I97" s="157">
        <v>901.94</v>
      </c>
    </row>
    <row r="98" spans="1:9">
      <c r="A98" s="6"/>
      <c r="B98" s="8" t="s">
        <v>1508</v>
      </c>
      <c r="C98" s="8">
        <v>0</v>
      </c>
      <c r="D98" s="160">
        <v>21045.15</v>
      </c>
      <c r="F98" s="6"/>
      <c r="G98" s="8" t="s">
        <v>1533</v>
      </c>
      <c r="H98" s="8"/>
      <c r="I98" s="8">
        <v>0</v>
      </c>
    </row>
    <row r="99" spans="1:9">
      <c r="A99" s="6"/>
      <c r="B99" s="8" t="s">
        <v>1509</v>
      </c>
      <c r="C99" s="8">
        <v>0</v>
      </c>
      <c r="D99" s="160">
        <v>8253</v>
      </c>
      <c r="F99" s="6"/>
      <c r="G99" s="8">
        <v>360</v>
      </c>
      <c r="H99" s="8"/>
      <c r="I99" s="157">
        <v>333360.65999999997</v>
      </c>
    </row>
    <row r="100" spans="1:9">
      <c r="A100" s="6"/>
      <c r="B100" s="8" t="s">
        <v>1510</v>
      </c>
      <c r="C100" s="8">
        <v>0</v>
      </c>
      <c r="D100" s="157">
        <v>150014.38</v>
      </c>
      <c r="F100" s="6"/>
      <c r="G100" s="8">
        <v>361</v>
      </c>
      <c r="H100" s="8"/>
      <c r="I100" s="160">
        <v>7300.37</v>
      </c>
    </row>
    <row r="101" spans="1:9">
      <c r="A101" s="6"/>
      <c r="B101" s="8" t="s">
        <v>1511</v>
      </c>
      <c r="C101" s="8">
        <v>0</v>
      </c>
      <c r="D101" s="157">
        <v>138.76</v>
      </c>
      <c r="F101" s="6"/>
      <c r="G101" s="8">
        <v>365</v>
      </c>
      <c r="H101" s="8"/>
      <c r="I101" s="160">
        <v>75267.360000000001</v>
      </c>
    </row>
    <row r="102" spans="1:9">
      <c r="A102" s="6"/>
      <c r="B102" s="8" t="s">
        <v>1512</v>
      </c>
      <c r="C102" s="8">
        <v>0</v>
      </c>
      <c r="D102" s="157">
        <v>334036.64</v>
      </c>
      <c r="F102" s="6"/>
      <c r="G102" s="8">
        <v>366</v>
      </c>
      <c r="H102" s="8"/>
      <c r="I102" s="160">
        <v>46098.9</v>
      </c>
    </row>
    <row r="103" spans="1:9">
      <c r="A103" s="6"/>
      <c r="B103" s="8" t="s">
        <v>1513</v>
      </c>
      <c r="C103" s="8">
        <v>0</v>
      </c>
      <c r="D103" s="157">
        <v>535878.51</v>
      </c>
      <c r="F103" s="6"/>
      <c r="G103" s="8">
        <v>374</v>
      </c>
      <c r="H103" s="8"/>
      <c r="I103" s="160">
        <v>28251.78</v>
      </c>
    </row>
    <row r="104" spans="1:9">
      <c r="A104" s="6"/>
      <c r="B104" s="8" t="s">
        <v>1514</v>
      </c>
      <c r="C104" s="8">
        <v>0</v>
      </c>
      <c r="D104" s="160">
        <v>63135.45</v>
      </c>
      <c r="F104" s="6"/>
      <c r="G104" s="8" t="s">
        <v>1534</v>
      </c>
      <c r="H104" s="8"/>
      <c r="I104" s="157">
        <v>122553.62</v>
      </c>
    </row>
    <row r="105" spans="1:9">
      <c r="A105" s="6"/>
      <c r="B105" s="8" t="s">
        <v>1515</v>
      </c>
      <c r="C105" s="8">
        <v>0</v>
      </c>
      <c r="D105" s="160">
        <v>12827.52</v>
      </c>
      <c r="F105" s="6"/>
      <c r="G105" s="8">
        <v>384</v>
      </c>
      <c r="H105" s="8"/>
      <c r="I105" s="160">
        <v>1028.73</v>
      </c>
    </row>
    <row r="106" spans="1:9">
      <c r="A106" s="6"/>
      <c r="B106" s="8" t="s">
        <v>1516</v>
      </c>
      <c r="C106" s="8">
        <v>0</v>
      </c>
      <c r="D106" s="160">
        <v>9452.2900000000009</v>
      </c>
      <c r="F106" s="6"/>
      <c r="G106" s="8">
        <v>396</v>
      </c>
      <c r="H106" s="8"/>
      <c r="I106" s="157">
        <v>103308.32</v>
      </c>
    </row>
    <row r="107" spans="1:9">
      <c r="A107" s="6"/>
      <c r="B107" s="8" t="s">
        <v>1517</v>
      </c>
      <c r="C107" s="8">
        <v>0</v>
      </c>
      <c r="D107" s="160">
        <v>2122.1999999999998</v>
      </c>
      <c r="F107" s="6"/>
      <c r="G107" s="8" t="s">
        <v>1535</v>
      </c>
      <c r="H107" s="8"/>
      <c r="I107" s="157">
        <v>218975.64</v>
      </c>
    </row>
    <row r="108" spans="1:9">
      <c r="A108" s="6"/>
      <c r="B108" s="8" t="s">
        <v>1518</v>
      </c>
      <c r="C108" s="8">
        <v>0</v>
      </c>
      <c r="D108" s="157">
        <v>951669.07</v>
      </c>
      <c r="F108" s="6"/>
      <c r="G108" s="8">
        <v>402</v>
      </c>
      <c r="H108" s="8"/>
      <c r="I108" s="157">
        <v>206839.52</v>
      </c>
    </row>
    <row r="109" spans="1:9">
      <c r="A109" s="6"/>
      <c r="B109" s="8" t="s">
        <v>1519</v>
      </c>
      <c r="C109" s="8">
        <v>0</v>
      </c>
      <c r="D109" s="160">
        <v>4187.8100000000004</v>
      </c>
      <c r="F109" s="6"/>
      <c r="G109" s="8">
        <v>403</v>
      </c>
      <c r="H109" s="8"/>
      <c r="I109" s="160">
        <v>2433.46</v>
      </c>
    </row>
    <row r="110" spans="1:9">
      <c r="A110" s="6"/>
      <c r="B110" s="8" t="s">
        <v>1520</v>
      </c>
      <c r="C110" s="8">
        <v>0</v>
      </c>
      <c r="D110" s="157">
        <v>185456</v>
      </c>
      <c r="F110" s="6"/>
      <c r="G110" s="8">
        <v>415</v>
      </c>
      <c r="H110" s="8"/>
      <c r="I110" s="157">
        <v>291536.11</v>
      </c>
    </row>
    <row r="111" spans="1:9">
      <c r="A111" s="6"/>
      <c r="B111" s="8" t="s">
        <v>1520</v>
      </c>
      <c r="C111" s="160">
        <v>3312</v>
      </c>
      <c r="D111" s="8">
        <v>0</v>
      </c>
      <c r="F111" s="6"/>
      <c r="G111" s="8">
        <v>416</v>
      </c>
      <c r="H111" s="8"/>
      <c r="I111" s="160">
        <v>2662.08</v>
      </c>
    </row>
    <row r="112" spans="1:9">
      <c r="A112" s="6"/>
      <c r="B112" s="8" t="s">
        <v>1521</v>
      </c>
      <c r="C112" s="8">
        <v>0</v>
      </c>
      <c r="D112" s="157">
        <v>194527</v>
      </c>
      <c r="F112" s="6"/>
      <c r="G112" s="8">
        <v>426</v>
      </c>
      <c r="H112" s="8"/>
      <c r="I112" s="160">
        <v>60164.37</v>
      </c>
    </row>
    <row r="113" spans="1:9">
      <c r="A113" s="6"/>
      <c r="B113" s="8" t="s">
        <v>1521</v>
      </c>
      <c r="C113" s="160">
        <v>3474</v>
      </c>
      <c r="D113" s="8">
        <v>0</v>
      </c>
      <c r="F113" s="6"/>
      <c r="G113" s="8">
        <v>427</v>
      </c>
      <c r="H113" s="8"/>
      <c r="I113" s="157">
        <v>213217.23</v>
      </c>
    </row>
    <row r="114" spans="1:9">
      <c r="A114" s="6"/>
      <c r="B114" s="8" t="s">
        <v>1522</v>
      </c>
      <c r="C114" s="8">
        <v>0</v>
      </c>
      <c r="D114" s="157">
        <v>104825</v>
      </c>
      <c r="F114" s="6"/>
      <c r="G114" s="8">
        <v>428</v>
      </c>
      <c r="H114" s="8"/>
      <c r="I114" s="160">
        <v>1358.21</v>
      </c>
    </row>
    <row r="115" spans="1:9">
      <c r="A115" s="6"/>
      <c r="B115" s="8" t="s">
        <v>1522</v>
      </c>
      <c r="C115" s="160">
        <v>1872</v>
      </c>
      <c r="D115" s="8">
        <v>0</v>
      </c>
      <c r="F115" s="6"/>
      <c r="G115" s="8">
        <v>429</v>
      </c>
      <c r="H115" s="8"/>
      <c r="I115" s="160">
        <v>8890.24</v>
      </c>
    </row>
    <row r="116" spans="1:9">
      <c r="A116" s="6"/>
      <c r="B116" s="8" t="s">
        <v>1523</v>
      </c>
      <c r="C116" s="8">
        <v>0</v>
      </c>
      <c r="D116" s="157">
        <v>171524</v>
      </c>
      <c r="F116" s="6"/>
      <c r="G116" s="8">
        <v>432</v>
      </c>
      <c r="H116" s="8"/>
      <c r="I116" s="157">
        <v>111598.28</v>
      </c>
    </row>
    <row r="117" spans="1:9">
      <c r="A117" s="6"/>
      <c r="B117" s="8" t="s">
        <v>1523</v>
      </c>
      <c r="C117" s="160">
        <v>3063</v>
      </c>
      <c r="D117" s="8">
        <v>0</v>
      </c>
    </row>
    <row r="118" spans="1:9">
      <c r="A118" s="6"/>
      <c r="B118" s="8" t="s">
        <v>1524</v>
      </c>
      <c r="C118" s="157">
        <v>0</v>
      </c>
      <c r="D118" s="160">
        <v>29821</v>
      </c>
    </row>
    <row r="119" spans="1:9">
      <c r="A119" s="6"/>
      <c r="B119" s="8" t="s">
        <v>1524</v>
      </c>
      <c r="C119" s="157">
        <v>533</v>
      </c>
      <c r="D119" s="157">
        <v>0</v>
      </c>
    </row>
    <row r="120" spans="1:9">
      <c r="A120" s="6"/>
      <c r="B120" s="8" t="s">
        <v>1525</v>
      </c>
      <c r="C120" s="8">
        <v>0</v>
      </c>
      <c r="D120" s="157">
        <v>124782</v>
      </c>
    </row>
    <row r="121" spans="1:9">
      <c r="A121" s="6"/>
      <c r="B121" s="8" t="s">
        <v>1525</v>
      </c>
      <c r="C121" s="160">
        <v>2228</v>
      </c>
      <c r="D121" s="8">
        <v>0</v>
      </c>
    </row>
    <row r="122" spans="1:9">
      <c r="A122" s="6"/>
      <c r="B122" s="8" t="s">
        <v>1526</v>
      </c>
      <c r="C122" s="8">
        <v>0</v>
      </c>
      <c r="D122" s="157">
        <v>222957</v>
      </c>
    </row>
    <row r="123" spans="1:9">
      <c r="A123" s="6"/>
      <c r="B123" s="8" t="s">
        <v>1526</v>
      </c>
      <c r="C123" s="160">
        <v>3981</v>
      </c>
      <c r="D123" s="8">
        <v>0</v>
      </c>
    </row>
    <row r="124" spans="1:9">
      <c r="C124" s="174">
        <f>SUM(C2:C123)</f>
        <v>21412</v>
      </c>
      <c r="D124">
        <f>SUM(D2:D123)</f>
        <v>15340547.27</v>
      </c>
      <c r="I124" s="174">
        <f>SUM(I2:I123)</f>
        <v>15319264.020000001</v>
      </c>
    </row>
    <row r="125" spans="1:9">
      <c r="D125">
        <f>+D124-C124</f>
        <v>15319135.27</v>
      </c>
      <c r="I125">
        <f>+D125-I124</f>
        <v>-128.75000000186265</v>
      </c>
    </row>
  </sheetData>
  <pageMargins left="0.7" right="0.7" top="0.75" bottom="0.75" header="0.3" footer="0.3"/>
  <pageSetup orientation="portrait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H118"/>
  <sheetViews>
    <sheetView workbookViewId="0">
      <selection activeCell="K76" sqref="K76"/>
    </sheetView>
  </sheetViews>
  <sheetFormatPr defaultRowHeight="15"/>
  <cols>
    <col min="1" max="1" width="9.140625" style="27"/>
    <col min="2" max="2" width="12.28515625" style="11" customWidth="1"/>
    <col min="3" max="3" width="34.42578125" style="27" bestFit="1" customWidth="1"/>
    <col min="4" max="4" width="18.5703125" style="27" bestFit="1" customWidth="1"/>
    <col min="5" max="5" width="15.85546875" style="27" bestFit="1" customWidth="1"/>
    <col min="6" max="6" width="15.7109375" style="27" bestFit="1" customWidth="1"/>
    <col min="7" max="7" width="16.85546875" style="27" bestFit="1" customWidth="1"/>
    <col min="8" max="8" width="12.85546875" style="27" customWidth="1"/>
    <col min="9" max="9" width="20" style="27" customWidth="1"/>
    <col min="10" max="16384" width="9.140625" style="27"/>
  </cols>
  <sheetData>
    <row r="1" spans="1:8" ht="30">
      <c r="A1" s="30"/>
      <c r="B1" s="146" t="s">
        <v>157</v>
      </c>
      <c r="C1" s="188" t="s">
        <v>216</v>
      </c>
      <c r="D1" s="188" t="s">
        <v>217</v>
      </c>
      <c r="E1" s="188" t="s">
        <v>218</v>
      </c>
      <c r="F1" s="188" t="s">
        <v>219</v>
      </c>
      <c r="G1" s="188" t="s">
        <v>220</v>
      </c>
    </row>
    <row r="2" spans="1:8">
      <c r="A2" s="80"/>
      <c r="B2" s="190" t="s">
        <v>551</v>
      </c>
      <c r="C2" s="33" t="s">
        <v>1416</v>
      </c>
      <c r="D2" s="34" t="s">
        <v>1606</v>
      </c>
      <c r="E2" s="34" t="s">
        <v>225</v>
      </c>
      <c r="F2" s="40" t="s">
        <v>1607</v>
      </c>
      <c r="G2" s="88">
        <v>1730247222.0599999</v>
      </c>
      <c r="H2" s="193" t="s">
        <v>223</v>
      </c>
    </row>
    <row r="3" spans="1:8">
      <c r="A3" s="80"/>
      <c r="B3" s="190" t="s">
        <v>551</v>
      </c>
      <c r="C3" s="33" t="s">
        <v>1417</v>
      </c>
      <c r="D3" s="34" t="s">
        <v>1608</v>
      </c>
      <c r="E3" s="34" t="s">
        <v>1609</v>
      </c>
      <c r="F3" s="40" t="s">
        <v>225</v>
      </c>
      <c r="G3" s="88">
        <v>519170650.63</v>
      </c>
      <c r="H3" s="193" t="s">
        <v>224</v>
      </c>
    </row>
    <row r="4" spans="1:8">
      <c r="D4" s="28"/>
      <c r="E4" s="28"/>
      <c r="F4" s="28"/>
      <c r="G4" s="31">
        <f>+G2-G3</f>
        <v>1211076571.4299998</v>
      </c>
    </row>
    <row r="5" spans="1:8">
      <c r="D5" s="28"/>
      <c r="E5" s="28"/>
      <c r="F5" s="28"/>
      <c r="G5" s="31"/>
    </row>
    <row r="6" spans="1:8">
      <c r="D6" s="28"/>
      <c r="E6" s="28"/>
      <c r="F6" s="28"/>
      <c r="G6" s="31"/>
    </row>
    <row r="7" spans="1:8" ht="30">
      <c r="A7" s="30"/>
      <c r="B7" s="146" t="s">
        <v>157</v>
      </c>
      <c r="C7" s="188" t="s">
        <v>216</v>
      </c>
      <c r="D7" s="188" t="s">
        <v>217</v>
      </c>
      <c r="E7" s="188" t="s">
        <v>218</v>
      </c>
      <c r="F7" s="188" t="s">
        <v>219</v>
      </c>
      <c r="G7" s="189" t="s">
        <v>220</v>
      </c>
    </row>
    <row r="8" spans="1:8">
      <c r="A8" s="80"/>
      <c r="B8" s="190" t="s">
        <v>825</v>
      </c>
      <c r="C8" s="33" t="s">
        <v>1418</v>
      </c>
      <c r="D8" s="34" t="s">
        <v>1610</v>
      </c>
      <c r="E8" s="40" t="s">
        <v>225</v>
      </c>
      <c r="F8" s="34" t="s">
        <v>1611</v>
      </c>
      <c r="G8" s="88">
        <v>625198781.52999997</v>
      </c>
      <c r="H8" s="193" t="s">
        <v>223</v>
      </c>
    </row>
    <row r="9" spans="1:8">
      <c r="A9" s="80"/>
      <c r="B9" s="190" t="s">
        <v>825</v>
      </c>
      <c r="C9" s="33" t="s">
        <v>1419</v>
      </c>
      <c r="D9" s="34" t="s">
        <v>1612</v>
      </c>
      <c r="E9" s="40" t="s">
        <v>1613</v>
      </c>
      <c r="F9" s="34" t="s">
        <v>225</v>
      </c>
      <c r="G9" s="88">
        <v>1836275345.4400001</v>
      </c>
      <c r="H9" s="193" t="s">
        <v>224</v>
      </c>
    </row>
    <row r="10" spans="1:8">
      <c r="G10" s="125">
        <f>+G8-G9</f>
        <v>-1211076563.9100001</v>
      </c>
    </row>
    <row r="11" spans="1:8">
      <c r="G11" s="125">
        <f>+G4+G10</f>
        <v>7.5199997425079346</v>
      </c>
      <c r="H11" s="27" t="s">
        <v>1420</v>
      </c>
    </row>
    <row r="15" spans="1:8">
      <c r="D15" s="12"/>
    </row>
    <row r="16" spans="1:8" ht="30">
      <c r="A16" s="12"/>
      <c r="B16" s="146" t="s">
        <v>157</v>
      </c>
      <c r="C16" s="146" t="s">
        <v>216</v>
      </c>
      <c r="D16" s="146" t="s">
        <v>217</v>
      </c>
      <c r="E16" s="146" t="s">
        <v>218</v>
      </c>
      <c r="F16" s="146" t="s">
        <v>219</v>
      </c>
      <c r="G16" s="146" t="s">
        <v>220</v>
      </c>
    </row>
    <row r="17" spans="1:7">
      <c r="A17" s="13"/>
      <c r="B17" s="190" t="s">
        <v>551</v>
      </c>
      <c r="C17" s="33" t="s">
        <v>1424</v>
      </c>
      <c r="D17" s="81" t="s">
        <v>1421</v>
      </c>
      <c r="E17" s="81" t="s">
        <v>225</v>
      </c>
      <c r="F17" s="81" t="s">
        <v>1614</v>
      </c>
      <c r="G17" s="81" t="s">
        <v>1615</v>
      </c>
    </row>
    <row r="18" spans="1:7">
      <c r="A18" s="13"/>
      <c r="B18" s="190" t="s">
        <v>551</v>
      </c>
      <c r="C18" s="33" t="s">
        <v>1425</v>
      </c>
      <c r="D18" s="81" t="s">
        <v>1616</v>
      </c>
      <c r="E18" s="81" t="s">
        <v>225</v>
      </c>
      <c r="F18" s="81" t="s">
        <v>225</v>
      </c>
      <c r="G18" s="81" t="s">
        <v>1616</v>
      </c>
    </row>
    <row r="19" spans="1:7">
      <c r="G19" s="27">
        <f>377030370-62397247.87</f>
        <v>314633122.13</v>
      </c>
    </row>
    <row r="22" spans="1:7" ht="30">
      <c r="A22" s="12"/>
      <c r="B22" s="146" t="s">
        <v>157</v>
      </c>
      <c r="C22" s="146" t="s">
        <v>216</v>
      </c>
      <c r="D22" s="146" t="s">
        <v>217</v>
      </c>
      <c r="E22" s="146" t="s">
        <v>218</v>
      </c>
      <c r="F22" s="146" t="s">
        <v>219</v>
      </c>
      <c r="G22" s="146" t="s">
        <v>220</v>
      </c>
    </row>
    <row r="23" spans="1:7">
      <c r="A23" s="13"/>
      <c r="B23" s="190" t="s">
        <v>1423</v>
      </c>
      <c r="C23" s="33" t="s">
        <v>1418</v>
      </c>
      <c r="D23" s="81" t="s">
        <v>1617</v>
      </c>
      <c r="E23" s="81" t="s">
        <v>225</v>
      </c>
      <c r="F23" s="81" t="s">
        <v>225</v>
      </c>
      <c r="G23" s="81" t="s">
        <v>1617</v>
      </c>
    </row>
    <row r="24" spans="1:7">
      <c r="A24" s="13"/>
      <c r="B24" s="190" t="s">
        <v>1423</v>
      </c>
      <c r="C24" s="33" t="s">
        <v>1419</v>
      </c>
      <c r="D24" s="81" t="s">
        <v>1422</v>
      </c>
      <c r="E24" s="81" t="s">
        <v>1618</v>
      </c>
      <c r="F24" s="81" t="s">
        <v>225</v>
      </c>
      <c r="G24" s="81" t="s">
        <v>1619</v>
      </c>
    </row>
    <row r="25" spans="1:7">
      <c r="G25" s="27">
        <f>4166076.38+310461674.89</f>
        <v>314627751.26999998</v>
      </c>
    </row>
    <row r="26" spans="1:7">
      <c r="G26" s="27">
        <f>+G19-G25</f>
        <v>5370.8600000143051</v>
      </c>
    </row>
    <row r="30" spans="1:7" ht="30">
      <c r="A30" s="12"/>
      <c r="B30" s="146" t="s">
        <v>157</v>
      </c>
      <c r="C30" s="146" t="s">
        <v>216</v>
      </c>
      <c r="D30" s="146" t="s">
        <v>217</v>
      </c>
      <c r="E30" s="146" t="s">
        <v>218</v>
      </c>
      <c r="F30" s="146" t="s">
        <v>219</v>
      </c>
      <c r="G30" s="146" t="s">
        <v>220</v>
      </c>
    </row>
    <row r="31" spans="1:7">
      <c r="A31" s="13"/>
      <c r="B31" s="190" t="s">
        <v>551</v>
      </c>
      <c r="C31" s="70" t="s">
        <v>1433</v>
      </c>
      <c r="D31" s="81" t="s">
        <v>1427</v>
      </c>
      <c r="E31" s="83" t="s">
        <v>1620</v>
      </c>
      <c r="F31" s="83" t="s">
        <v>1621</v>
      </c>
      <c r="G31" s="81" t="s">
        <v>1622</v>
      </c>
    </row>
    <row r="32" spans="1:7">
      <c r="A32" s="13"/>
      <c r="B32" s="190" t="s">
        <v>551</v>
      </c>
      <c r="C32" s="70" t="s">
        <v>1434</v>
      </c>
      <c r="D32" s="81" t="s">
        <v>1429</v>
      </c>
      <c r="E32" s="83" t="s">
        <v>1623</v>
      </c>
      <c r="F32" s="81" t="s">
        <v>225</v>
      </c>
      <c r="G32" s="81" t="s">
        <v>1624</v>
      </c>
    </row>
    <row r="33" spans="1:8">
      <c r="D33" s="27">
        <f>428160087.66-385019819.07</f>
        <v>43140268.590000033</v>
      </c>
      <c r="G33" s="27">
        <f>432744579.14-389373727.88</f>
        <v>43370851.25999999</v>
      </c>
    </row>
    <row r="36" spans="1:8" ht="30">
      <c r="A36" s="12"/>
      <c r="B36" s="146" t="s">
        <v>157</v>
      </c>
      <c r="C36" s="146" t="s">
        <v>216</v>
      </c>
      <c r="D36" s="146" t="s">
        <v>217</v>
      </c>
      <c r="E36" s="146" t="s">
        <v>218</v>
      </c>
      <c r="F36" s="146" t="s">
        <v>219</v>
      </c>
      <c r="G36" s="146" t="s">
        <v>220</v>
      </c>
    </row>
    <row r="37" spans="1:8">
      <c r="A37" s="13"/>
      <c r="B37" s="190" t="s">
        <v>555</v>
      </c>
      <c r="C37" s="33" t="s">
        <v>1418</v>
      </c>
      <c r="D37" s="81" t="s">
        <v>1430</v>
      </c>
      <c r="E37" s="81" t="s">
        <v>225</v>
      </c>
      <c r="F37" s="83" t="s">
        <v>1625</v>
      </c>
      <c r="G37" s="81" t="s">
        <v>1626</v>
      </c>
    </row>
    <row r="38" spans="1:8">
      <c r="A38" s="13"/>
      <c r="B38" s="190" t="s">
        <v>555</v>
      </c>
      <c r="C38" s="33" t="s">
        <v>1419</v>
      </c>
      <c r="D38" s="81" t="s">
        <v>1432</v>
      </c>
      <c r="E38" s="83" t="s">
        <v>1627</v>
      </c>
      <c r="F38" s="81" t="s">
        <v>1628</v>
      </c>
      <c r="G38" s="81" t="s">
        <v>1629</v>
      </c>
    </row>
    <row r="39" spans="1:8">
      <c r="D39" s="27">
        <f>389866796.89-431323620.68</f>
        <v>-41456823.790000021</v>
      </c>
      <c r="G39" s="27">
        <f>394220705.7-435908113.33</f>
        <v>-41687407.629999995</v>
      </c>
    </row>
    <row r="40" spans="1:8">
      <c r="D40" s="27">
        <f>+D33+D39</f>
        <v>1683444.8000000119</v>
      </c>
      <c r="G40" s="27">
        <f>+G33+G39</f>
        <v>1683443.6299999952</v>
      </c>
      <c r="H40" s="27" t="s">
        <v>1543</v>
      </c>
    </row>
    <row r="43" spans="1:8" ht="30">
      <c r="A43" s="12"/>
      <c r="B43" s="146" t="s">
        <v>157</v>
      </c>
      <c r="C43" s="188" t="s">
        <v>216</v>
      </c>
      <c r="D43" s="188" t="s">
        <v>217</v>
      </c>
      <c r="E43" s="188" t="s">
        <v>218</v>
      </c>
      <c r="F43" s="188" t="s">
        <v>219</v>
      </c>
      <c r="G43" s="188" t="s">
        <v>220</v>
      </c>
    </row>
    <row r="44" spans="1:8">
      <c r="A44" s="13"/>
      <c r="B44" s="190" t="s">
        <v>551</v>
      </c>
      <c r="C44" s="33" t="s">
        <v>93</v>
      </c>
      <c r="D44" s="34" t="s">
        <v>1630</v>
      </c>
      <c r="E44" s="34" t="s">
        <v>1557</v>
      </c>
      <c r="F44" s="34" t="s">
        <v>1631</v>
      </c>
      <c r="G44" s="34" t="s">
        <v>1632</v>
      </c>
    </row>
    <row r="45" spans="1:8">
      <c r="A45" s="13"/>
      <c r="B45" s="190" t="s">
        <v>551</v>
      </c>
      <c r="C45" s="33" t="s">
        <v>78</v>
      </c>
      <c r="D45" s="34" t="s">
        <v>1633</v>
      </c>
      <c r="E45" s="34" t="s">
        <v>1559</v>
      </c>
      <c r="F45" s="34" t="s">
        <v>1362</v>
      </c>
      <c r="G45" s="34" t="s">
        <v>1363</v>
      </c>
    </row>
    <row r="46" spans="1:8">
      <c r="D46" s="27">
        <f>101836476.69-23582595.91</f>
        <v>78253880.780000001</v>
      </c>
      <c r="F46" s="27">
        <f>7018920.23-1725</f>
        <v>7017195.2300000004</v>
      </c>
      <c r="G46" s="27">
        <f>119766207.2-23582595.91</f>
        <v>96183611.290000007</v>
      </c>
    </row>
    <row r="48" spans="1:8" ht="30">
      <c r="A48" s="12"/>
      <c r="B48" s="146" t="s">
        <v>157</v>
      </c>
      <c r="C48" s="188" t="s">
        <v>216</v>
      </c>
      <c r="D48" s="188" t="s">
        <v>217</v>
      </c>
      <c r="E48" s="188" t="s">
        <v>218</v>
      </c>
      <c r="F48" s="188" t="s">
        <v>219</v>
      </c>
      <c r="G48" s="188" t="s">
        <v>220</v>
      </c>
    </row>
    <row r="49" spans="1:8">
      <c r="A49" s="13"/>
      <c r="B49" s="190" t="s">
        <v>1577</v>
      </c>
      <c r="C49" s="33" t="s">
        <v>221</v>
      </c>
      <c r="D49" s="34" t="s">
        <v>1634</v>
      </c>
      <c r="E49" s="34" t="s">
        <v>1364</v>
      </c>
      <c r="F49" s="34" t="s">
        <v>1560</v>
      </c>
      <c r="G49" s="34" t="s">
        <v>1366</v>
      </c>
    </row>
    <row r="50" spans="1:8">
      <c r="A50" s="13"/>
      <c r="B50" s="190" t="s">
        <v>1577</v>
      </c>
      <c r="C50" s="33" t="s">
        <v>222</v>
      </c>
      <c r="D50" s="34" t="s">
        <v>1635</v>
      </c>
      <c r="E50" s="34" t="s">
        <v>1636</v>
      </c>
      <c r="F50" s="34" t="s">
        <v>1545</v>
      </c>
      <c r="G50" s="34" t="s">
        <v>1637</v>
      </c>
    </row>
    <row r="51" spans="1:8">
      <c r="D51" s="27">
        <f>29862464.63-93853952.98</f>
        <v>-63991488.350000009</v>
      </c>
      <c r="G51" s="27">
        <f>111704823.52-29862464.63</f>
        <v>81842358.890000001</v>
      </c>
    </row>
    <row r="52" spans="1:8">
      <c r="D52" s="27">
        <f>+D46+D51</f>
        <v>14262392.429999992</v>
      </c>
      <c r="E52" s="27">
        <f>+G52-D52</f>
        <v>78859.970000013709</v>
      </c>
      <c r="G52" s="27">
        <f>+G46-G51</f>
        <v>14341252.400000006</v>
      </c>
      <c r="H52" s="27" t="s">
        <v>1638</v>
      </c>
    </row>
    <row r="55" spans="1:8">
      <c r="B55" s="12"/>
      <c r="C55" s="12"/>
      <c r="D55" s="12"/>
      <c r="E55" s="12"/>
    </row>
    <row r="56" spans="1:8">
      <c r="B56" s="13"/>
      <c r="C56" s="98"/>
      <c r="D56" s="13"/>
      <c r="E56" s="98"/>
    </row>
    <row r="57" spans="1:8" ht="30">
      <c r="A57" s="12"/>
      <c r="B57" s="146" t="s">
        <v>157</v>
      </c>
      <c r="C57" s="146" t="s">
        <v>216</v>
      </c>
      <c r="D57" s="146" t="s">
        <v>217</v>
      </c>
      <c r="E57" s="146" t="s">
        <v>218</v>
      </c>
      <c r="F57" s="146" t="s">
        <v>219</v>
      </c>
      <c r="G57" s="146" t="s">
        <v>220</v>
      </c>
    </row>
    <row r="58" spans="1:8">
      <c r="A58" s="13"/>
      <c r="B58" s="194" t="s">
        <v>551</v>
      </c>
      <c r="C58" s="70" t="s">
        <v>93</v>
      </c>
      <c r="D58" s="81">
        <v>56293603.439999998</v>
      </c>
      <c r="E58" s="81" t="s">
        <v>1557</v>
      </c>
      <c r="F58" s="81" t="s">
        <v>1558</v>
      </c>
      <c r="G58" s="82">
        <v>108853671.92</v>
      </c>
    </row>
    <row r="59" spans="1:8">
      <c r="A59" s="13"/>
      <c r="B59" s="194" t="s">
        <v>551</v>
      </c>
      <c r="C59" s="70" t="s">
        <v>78</v>
      </c>
      <c r="D59" s="81">
        <v>5910732.3499999996</v>
      </c>
      <c r="E59" s="83" t="s">
        <v>1559</v>
      </c>
      <c r="F59" s="83" t="s">
        <v>1362</v>
      </c>
      <c r="G59" s="82">
        <v>23582595.91</v>
      </c>
    </row>
    <row r="60" spans="1:8">
      <c r="D60" s="27">
        <f>+D58-D59</f>
        <v>50382871.089999996</v>
      </c>
      <c r="G60" s="27">
        <f>+G58-G59</f>
        <v>85271076.010000005</v>
      </c>
    </row>
    <row r="62" spans="1:8" ht="30">
      <c r="A62" s="12"/>
      <c r="B62" s="146" t="s">
        <v>157</v>
      </c>
      <c r="C62" s="146" t="s">
        <v>216</v>
      </c>
      <c r="D62" s="146" t="s">
        <v>217</v>
      </c>
      <c r="E62" s="146" t="s">
        <v>218</v>
      </c>
      <c r="F62" s="146" t="s">
        <v>219</v>
      </c>
      <c r="G62" s="146" t="s">
        <v>220</v>
      </c>
    </row>
    <row r="63" spans="1:8">
      <c r="A63" s="13"/>
      <c r="B63" s="194" t="s">
        <v>1576</v>
      </c>
      <c r="C63" s="70" t="s">
        <v>221</v>
      </c>
      <c r="D63" s="81">
        <v>12190601.08</v>
      </c>
      <c r="E63" s="83" t="s">
        <v>1364</v>
      </c>
      <c r="F63" s="83" t="s">
        <v>1560</v>
      </c>
      <c r="G63" s="82">
        <v>29862464.629999999</v>
      </c>
    </row>
    <row r="64" spans="1:8">
      <c r="A64" s="13"/>
      <c r="B64" s="194" t="s">
        <v>1576</v>
      </c>
      <c r="C64" s="70" t="s">
        <v>222</v>
      </c>
      <c r="D64" s="81">
        <v>49811070.770000003</v>
      </c>
      <c r="E64" s="81" t="s">
        <v>1561</v>
      </c>
      <c r="F64" s="81" t="s">
        <v>1545</v>
      </c>
      <c r="G64" s="82">
        <v>100792288.23999999</v>
      </c>
    </row>
    <row r="65" spans="1:8">
      <c r="D65" s="27">
        <f>+D63-D64</f>
        <v>-37620469.690000005</v>
      </c>
      <c r="G65" s="27">
        <f>+G63-G64</f>
        <v>-70929823.609999999</v>
      </c>
    </row>
    <row r="66" spans="1:8">
      <c r="D66" s="27">
        <f>+D60+D65</f>
        <v>12762401.399999991</v>
      </c>
      <c r="G66" s="27">
        <f>+G60+G65</f>
        <v>14341252.400000006</v>
      </c>
    </row>
    <row r="67" spans="1:8">
      <c r="E67" s="27">
        <f>+G66-D66</f>
        <v>1578851.0000000149</v>
      </c>
    </row>
    <row r="71" spans="1:8" ht="30">
      <c r="A71" s="12"/>
      <c r="B71" s="146" t="s">
        <v>157</v>
      </c>
      <c r="C71" s="146" t="s">
        <v>216</v>
      </c>
      <c r="D71" s="146" t="s">
        <v>217</v>
      </c>
      <c r="E71" s="146" t="s">
        <v>218</v>
      </c>
      <c r="F71" s="146" t="s">
        <v>219</v>
      </c>
      <c r="G71" s="146" t="s">
        <v>220</v>
      </c>
    </row>
    <row r="72" spans="1:8">
      <c r="A72" s="13"/>
      <c r="B72" s="194" t="s">
        <v>551</v>
      </c>
      <c r="C72" s="70" t="s">
        <v>229</v>
      </c>
      <c r="D72" s="81" t="s">
        <v>225</v>
      </c>
      <c r="E72" s="81" t="s">
        <v>225</v>
      </c>
      <c r="F72" s="81" t="s">
        <v>225</v>
      </c>
      <c r="G72" s="81" t="s">
        <v>225</v>
      </c>
    </row>
    <row r="73" spans="1:8">
      <c r="A73" s="13"/>
      <c r="B73" s="194" t="s">
        <v>551</v>
      </c>
      <c r="C73" s="70" t="s">
        <v>66</v>
      </c>
      <c r="D73" s="81" t="s">
        <v>1562</v>
      </c>
      <c r="E73" s="83" t="s">
        <v>1563</v>
      </c>
      <c r="F73" s="83" t="s">
        <v>1564</v>
      </c>
      <c r="G73" s="81" t="s">
        <v>1565</v>
      </c>
    </row>
    <row r="76" spans="1:8" ht="30">
      <c r="A76" s="12"/>
      <c r="B76" s="146" t="s">
        <v>157</v>
      </c>
      <c r="C76" s="146" t="s">
        <v>216</v>
      </c>
      <c r="D76" s="146" t="s">
        <v>217</v>
      </c>
      <c r="E76" s="146" t="s">
        <v>218</v>
      </c>
      <c r="F76" s="146" t="s">
        <v>219</v>
      </c>
      <c r="G76" s="146" t="s">
        <v>220</v>
      </c>
    </row>
    <row r="77" spans="1:8">
      <c r="A77" s="13"/>
      <c r="B77" s="194" t="s">
        <v>1575</v>
      </c>
      <c r="C77" s="70" t="s">
        <v>221</v>
      </c>
      <c r="D77" s="81" t="s">
        <v>1375</v>
      </c>
      <c r="E77" s="83" t="s">
        <v>1566</v>
      </c>
      <c r="F77" s="83" t="s">
        <v>1567</v>
      </c>
      <c r="G77" s="81" t="s">
        <v>1568</v>
      </c>
    </row>
    <row r="78" spans="1:8">
      <c r="A78" s="13"/>
      <c r="B78" s="194" t="s">
        <v>1575</v>
      </c>
      <c r="C78" s="70" t="s">
        <v>222</v>
      </c>
      <c r="D78" s="81" t="s">
        <v>225</v>
      </c>
      <c r="E78" s="81" t="s">
        <v>225</v>
      </c>
      <c r="F78" s="81" t="s">
        <v>225</v>
      </c>
      <c r="G78" s="81" t="s">
        <v>225</v>
      </c>
    </row>
    <row r="79" spans="1:8">
      <c r="G79" s="27">
        <f>105334637.02-105332836.26</f>
        <v>1800.7599999904633</v>
      </c>
      <c r="H79" s="27" t="s">
        <v>1569</v>
      </c>
    </row>
    <row r="83" spans="1:8" ht="30">
      <c r="A83" s="12"/>
      <c r="B83" s="146" t="s">
        <v>157</v>
      </c>
      <c r="C83" s="146" t="s">
        <v>216</v>
      </c>
      <c r="D83" s="146" t="s">
        <v>217</v>
      </c>
      <c r="E83" s="146" t="s">
        <v>218</v>
      </c>
      <c r="F83" s="146" t="s">
        <v>219</v>
      </c>
      <c r="G83" s="146" t="s">
        <v>220</v>
      </c>
    </row>
    <row r="84" spans="1:8">
      <c r="A84" s="13"/>
      <c r="B84" s="194" t="s">
        <v>551</v>
      </c>
      <c r="C84" s="70" t="s">
        <v>95</v>
      </c>
      <c r="D84" s="81" t="s">
        <v>1570</v>
      </c>
      <c r="E84" s="81" t="s">
        <v>1566</v>
      </c>
      <c r="F84" s="83" t="s">
        <v>1639</v>
      </c>
      <c r="G84" s="81" t="s">
        <v>1640</v>
      </c>
    </row>
    <row r="85" spans="1:8">
      <c r="A85" s="13"/>
      <c r="B85" s="194" t="s">
        <v>551</v>
      </c>
      <c r="C85" s="70" t="s">
        <v>232</v>
      </c>
      <c r="D85" s="81" t="s">
        <v>1571</v>
      </c>
      <c r="E85" s="83" t="s">
        <v>1641</v>
      </c>
      <c r="F85" s="81" t="s">
        <v>225</v>
      </c>
      <c r="G85" s="81" t="s">
        <v>1642</v>
      </c>
    </row>
    <row r="86" spans="1:8">
      <c r="D86" s="27">
        <f>99985129.22-1810265.33</f>
        <v>98174863.890000001</v>
      </c>
      <c r="G86" s="27">
        <f>132939681.86-1917839.88</f>
        <v>131021841.98</v>
      </c>
    </row>
    <row r="89" spans="1:8" ht="30">
      <c r="A89" s="12"/>
      <c r="B89" s="146" t="s">
        <v>157</v>
      </c>
      <c r="C89" s="146" t="s">
        <v>216</v>
      </c>
      <c r="D89" s="146" t="s">
        <v>217</v>
      </c>
      <c r="E89" s="146" t="s">
        <v>218</v>
      </c>
      <c r="F89" s="146" t="s">
        <v>219</v>
      </c>
      <c r="G89" s="146" t="s">
        <v>220</v>
      </c>
    </row>
    <row r="90" spans="1:8">
      <c r="A90" s="13"/>
      <c r="B90" s="194" t="s">
        <v>826</v>
      </c>
      <c r="C90" s="70" t="s">
        <v>221</v>
      </c>
      <c r="D90" s="81" t="s">
        <v>1572</v>
      </c>
      <c r="E90" s="81" t="s">
        <v>225</v>
      </c>
      <c r="F90" s="83" t="s">
        <v>1643</v>
      </c>
      <c r="G90" s="81" t="s">
        <v>1644</v>
      </c>
    </row>
    <row r="91" spans="1:8">
      <c r="A91" s="13"/>
      <c r="B91" s="194" t="s">
        <v>826</v>
      </c>
      <c r="C91" s="70" t="s">
        <v>222</v>
      </c>
      <c r="D91" s="81" t="s">
        <v>1573</v>
      </c>
      <c r="E91" s="83" t="s">
        <v>1645</v>
      </c>
      <c r="F91" s="81" t="s">
        <v>1574</v>
      </c>
      <c r="G91" s="81" t="s">
        <v>1646</v>
      </c>
    </row>
    <row r="92" spans="1:8">
      <c r="D92" s="27">
        <f>23193247.19-116980816.75</f>
        <v>-93787569.560000002</v>
      </c>
      <c r="F92" s="27">
        <f>4365326.24-330318.24</f>
        <v>4035008</v>
      </c>
      <c r="G92" s="27">
        <f>23300841.47-145900368.66</f>
        <v>-122599527.19</v>
      </c>
    </row>
    <row r="93" spans="1:8">
      <c r="D93" s="27">
        <f>+D86+D92</f>
        <v>4387294.3299999982</v>
      </c>
      <c r="G93" s="27">
        <f>+G86+G92</f>
        <v>8422314.7900000066</v>
      </c>
      <c r="H93" s="27" t="s">
        <v>1647</v>
      </c>
    </row>
    <row r="94" spans="1:8">
      <c r="E94" s="27">
        <f>+G93-D93</f>
        <v>4035020.4600000083</v>
      </c>
    </row>
    <row r="96" spans="1:8" ht="30">
      <c r="A96" s="30"/>
      <c r="B96" s="146" t="s">
        <v>157</v>
      </c>
      <c r="C96" s="188" t="s">
        <v>216</v>
      </c>
      <c r="D96" s="188" t="s">
        <v>217</v>
      </c>
      <c r="E96" s="188" t="s">
        <v>218</v>
      </c>
      <c r="F96" s="188" t="s">
        <v>219</v>
      </c>
      <c r="G96" s="188" t="s">
        <v>220</v>
      </c>
    </row>
    <row r="97" spans="1:8">
      <c r="A97" s="80"/>
      <c r="B97" s="190" t="s">
        <v>551</v>
      </c>
      <c r="C97" s="33" t="s">
        <v>103</v>
      </c>
      <c r="D97" s="40" t="s">
        <v>1648</v>
      </c>
      <c r="E97" s="34" t="s">
        <v>225</v>
      </c>
      <c r="F97" s="40" t="s">
        <v>1649</v>
      </c>
      <c r="G97" s="88">
        <v>3631815.6</v>
      </c>
      <c r="H97" s="27" t="s">
        <v>223</v>
      </c>
    </row>
    <row r="98" spans="1:8">
      <c r="A98" s="80"/>
      <c r="B98" s="190" t="s">
        <v>551</v>
      </c>
      <c r="C98" s="33" t="s">
        <v>333</v>
      </c>
      <c r="D98" s="34" t="s">
        <v>225</v>
      </c>
      <c r="E98" s="40" t="s">
        <v>1650</v>
      </c>
      <c r="F98" s="34" t="s">
        <v>1651</v>
      </c>
      <c r="G98" s="88">
        <v>1280570.83</v>
      </c>
      <c r="H98" s="193" t="s">
        <v>224</v>
      </c>
    </row>
    <row r="99" spans="1:8">
      <c r="G99" s="125">
        <f>+G97-G98</f>
        <v>2351244.77</v>
      </c>
    </row>
    <row r="102" spans="1:8" ht="30">
      <c r="A102" s="30"/>
      <c r="B102" s="146" t="s">
        <v>157</v>
      </c>
      <c r="C102" s="188" t="s">
        <v>216</v>
      </c>
      <c r="D102" s="188" t="s">
        <v>217</v>
      </c>
      <c r="E102" s="188" t="s">
        <v>218</v>
      </c>
      <c r="F102" s="188" t="s">
        <v>219</v>
      </c>
      <c r="G102" s="188" t="s">
        <v>220</v>
      </c>
    </row>
    <row r="103" spans="1:8">
      <c r="A103" s="80"/>
      <c r="B103" s="190" t="s">
        <v>1578</v>
      </c>
      <c r="C103" s="33" t="s">
        <v>221</v>
      </c>
      <c r="D103" s="34" t="s">
        <v>225</v>
      </c>
      <c r="E103" s="34" t="s">
        <v>1652</v>
      </c>
      <c r="F103" s="40" t="s">
        <v>1653</v>
      </c>
      <c r="G103" s="88">
        <v>1280570.83</v>
      </c>
      <c r="H103" s="193" t="s">
        <v>223</v>
      </c>
    </row>
    <row r="104" spans="1:8">
      <c r="A104" s="80"/>
      <c r="B104" s="190" t="s">
        <v>1578</v>
      </c>
      <c r="C104" s="33" t="s">
        <v>222</v>
      </c>
      <c r="D104" s="40" t="s">
        <v>1654</v>
      </c>
      <c r="E104" s="40" t="s">
        <v>1655</v>
      </c>
      <c r="F104" s="34" t="s">
        <v>225</v>
      </c>
      <c r="G104" s="88">
        <v>3631816.86</v>
      </c>
      <c r="H104" s="27" t="s">
        <v>224</v>
      </c>
    </row>
    <row r="105" spans="1:8">
      <c r="G105" s="125">
        <f>+G103-G104</f>
        <v>-2351246.0299999998</v>
      </c>
    </row>
    <row r="106" spans="1:8">
      <c r="G106" s="27">
        <f>+G99+G105</f>
        <v>-1.2599999997764826</v>
      </c>
      <c r="H106" s="27" t="s">
        <v>1656</v>
      </c>
    </row>
    <row r="109" spans="1:8" ht="30">
      <c r="A109" s="12"/>
      <c r="B109" s="146" t="s">
        <v>157</v>
      </c>
      <c r="C109" s="188" t="s">
        <v>216</v>
      </c>
      <c r="D109" s="188" t="s">
        <v>217</v>
      </c>
      <c r="E109" s="188" t="s">
        <v>218</v>
      </c>
      <c r="F109" s="188" t="s">
        <v>219</v>
      </c>
      <c r="G109" s="188" t="s">
        <v>220</v>
      </c>
    </row>
    <row r="110" spans="1:8">
      <c r="A110" s="13"/>
      <c r="B110" s="190" t="s">
        <v>551</v>
      </c>
      <c r="C110" s="33" t="s">
        <v>260</v>
      </c>
      <c r="D110" s="34" t="s">
        <v>1657</v>
      </c>
      <c r="E110" s="34" t="s">
        <v>225</v>
      </c>
      <c r="F110" s="40" t="s">
        <v>1658</v>
      </c>
      <c r="G110" s="88">
        <v>19319139.329999998</v>
      </c>
      <c r="H110" s="193" t="s">
        <v>223</v>
      </c>
    </row>
    <row r="111" spans="1:8">
      <c r="A111" s="13"/>
      <c r="B111" s="190" t="s">
        <v>551</v>
      </c>
      <c r="C111" s="33" t="s">
        <v>344</v>
      </c>
      <c r="D111" s="34" t="s">
        <v>1579</v>
      </c>
      <c r="E111" s="34" t="s">
        <v>225</v>
      </c>
      <c r="F111" s="34" t="s">
        <v>225</v>
      </c>
      <c r="G111" s="88">
        <v>11072243.17</v>
      </c>
      <c r="H111" s="193" t="s">
        <v>224</v>
      </c>
    </row>
    <row r="112" spans="1:8">
      <c r="G112" s="125">
        <f>+G110-G111</f>
        <v>8246896.1599999983</v>
      </c>
    </row>
    <row r="114" spans="1:8" ht="30">
      <c r="A114" s="12"/>
      <c r="B114" s="146" t="s">
        <v>157</v>
      </c>
      <c r="C114" s="188" t="s">
        <v>216</v>
      </c>
      <c r="D114" s="188" t="s">
        <v>217</v>
      </c>
      <c r="E114" s="188" t="s">
        <v>218</v>
      </c>
      <c r="F114" s="188" t="s">
        <v>219</v>
      </c>
      <c r="G114" s="188" t="s">
        <v>220</v>
      </c>
    </row>
    <row r="115" spans="1:8">
      <c r="A115" s="13"/>
      <c r="B115" s="190" t="s">
        <v>1581</v>
      </c>
      <c r="C115" s="33" t="s">
        <v>221</v>
      </c>
      <c r="D115" s="34" t="s">
        <v>1580</v>
      </c>
      <c r="E115" s="34" t="s">
        <v>225</v>
      </c>
      <c r="F115" s="34" t="s">
        <v>225</v>
      </c>
      <c r="G115" s="88">
        <v>11072243.189999999</v>
      </c>
      <c r="H115" s="193" t="s">
        <v>223</v>
      </c>
    </row>
    <row r="116" spans="1:8">
      <c r="A116" s="13"/>
      <c r="B116" s="190" t="s">
        <v>1581</v>
      </c>
      <c r="C116" s="33" t="s">
        <v>222</v>
      </c>
      <c r="D116" s="34" t="s">
        <v>1659</v>
      </c>
      <c r="E116" s="34" t="s">
        <v>1660</v>
      </c>
      <c r="F116" s="34" t="s">
        <v>225</v>
      </c>
      <c r="G116" s="88">
        <v>19319530.039999999</v>
      </c>
      <c r="H116" s="193" t="s">
        <v>224</v>
      </c>
    </row>
    <row r="117" spans="1:8">
      <c r="G117" s="213">
        <f>+G115-G116</f>
        <v>-8247286.8499999996</v>
      </c>
    </row>
    <row r="118" spans="1:8">
      <c r="G118" s="125">
        <f>+G112+G117</f>
        <v>-390.6900000013411</v>
      </c>
      <c r="H118" s="214" t="s">
        <v>1661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I59"/>
  <sheetViews>
    <sheetView workbookViewId="0">
      <selection activeCell="K76" sqref="K76"/>
    </sheetView>
  </sheetViews>
  <sheetFormatPr defaultRowHeight="15"/>
  <cols>
    <col min="1" max="1" width="9.140625" style="27"/>
    <col min="2" max="2" width="11.85546875" style="27" bestFit="1" customWidth="1"/>
    <col min="3" max="3" width="9.140625" style="27"/>
    <col min="4" max="4" width="11.7109375" style="27" bestFit="1" customWidth="1"/>
    <col min="5" max="6" width="9.140625" style="27"/>
    <col min="7" max="7" width="16.28515625" style="27" bestFit="1" customWidth="1"/>
    <col min="8" max="8" width="11.85546875" style="27" bestFit="1" customWidth="1"/>
    <col min="9" max="9" width="11.7109375" style="27" bestFit="1" customWidth="1"/>
    <col min="10" max="16384" width="9.140625" style="27"/>
  </cols>
  <sheetData>
    <row r="1" spans="1:9">
      <c r="A1" s="30"/>
      <c r="B1" s="30" t="s">
        <v>273</v>
      </c>
      <c r="C1" s="30" t="s">
        <v>218</v>
      </c>
      <c r="D1" s="30" t="s">
        <v>219</v>
      </c>
      <c r="F1" s="30"/>
      <c r="G1" s="30" t="s">
        <v>28</v>
      </c>
      <c r="H1" s="30" t="s">
        <v>273</v>
      </c>
      <c r="I1" s="30" t="s">
        <v>218</v>
      </c>
    </row>
    <row r="2" spans="1:9">
      <c r="A2" s="80"/>
      <c r="B2" s="116" t="s">
        <v>1247</v>
      </c>
      <c r="C2" s="116">
        <v>0</v>
      </c>
      <c r="D2" s="116">
        <v>1506215.88</v>
      </c>
      <c r="F2" s="80"/>
      <c r="G2" s="116">
        <v>10</v>
      </c>
      <c r="H2" s="116"/>
      <c r="I2" s="197">
        <v>1231683.8899999999</v>
      </c>
    </row>
    <row r="3" spans="1:9">
      <c r="A3" s="80"/>
      <c r="B3" s="116" t="s">
        <v>1248</v>
      </c>
      <c r="C3" s="116">
        <v>0</v>
      </c>
      <c r="D3" s="197">
        <v>1231683.8899999999</v>
      </c>
      <c r="F3" s="80"/>
      <c r="G3" s="116">
        <v>21</v>
      </c>
      <c r="H3" s="116"/>
      <c r="I3" s="197">
        <v>3391418.6</v>
      </c>
    </row>
    <row r="4" spans="1:9">
      <c r="A4" s="80"/>
      <c r="B4" s="116" t="s">
        <v>1249</v>
      </c>
      <c r="C4" s="116">
        <v>0</v>
      </c>
      <c r="D4" s="197">
        <v>3391418.6</v>
      </c>
      <c r="F4" s="80"/>
      <c r="G4" s="116">
        <v>31</v>
      </c>
      <c r="H4" s="116"/>
      <c r="I4" s="197">
        <v>1388686.87</v>
      </c>
    </row>
    <row r="5" spans="1:9">
      <c r="A5" s="80"/>
      <c r="B5" s="116" t="s">
        <v>1250</v>
      </c>
      <c r="C5" s="116">
        <v>0</v>
      </c>
      <c r="D5" s="197">
        <v>1388686.87</v>
      </c>
      <c r="F5" s="80"/>
      <c r="G5" s="116">
        <v>36</v>
      </c>
      <c r="H5" s="116"/>
      <c r="I5" s="197">
        <v>560714.59</v>
      </c>
    </row>
    <row r="6" spans="1:9">
      <c r="A6" s="80"/>
      <c r="B6" s="116" t="s">
        <v>1251</v>
      </c>
      <c r="C6" s="116">
        <v>0</v>
      </c>
      <c r="D6" s="197">
        <v>560714.59</v>
      </c>
      <c r="F6" s="80"/>
      <c r="G6" s="116">
        <v>38</v>
      </c>
      <c r="H6" s="116"/>
      <c r="I6" s="197">
        <v>102913.69</v>
      </c>
    </row>
    <row r="7" spans="1:9">
      <c r="A7" s="80"/>
      <c r="B7" s="116" t="s">
        <v>1252</v>
      </c>
      <c r="C7" s="116">
        <v>0</v>
      </c>
      <c r="D7" s="197">
        <v>102913.69</v>
      </c>
      <c r="F7" s="80"/>
      <c r="G7" s="116">
        <v>52</v>
      </c>
      <c r="H7" s="116"/>
      <c r="I7" s="197">
        <v>1111376.6100000001</v>
      </c>
    </row>
    <row r="8" spans="1:9">
      <c r="A8" s="80"/>
      <c r="B8" s="116" t="s">
        <v>1253</v>
      </c>
      <c r="C8" s="116">
        <v>0</v>
      </c>
      <c r="D8" s="197">
        <v>1111376.6100000001</v>
      </c>
      <c r="F8" s="80"/>
      <c r="G8" s="116">
        <v>61</v>
      </c>
      <c r="H8" s="116"/>
      <c r="I8" s="197">
        <v>1623164.69</v>
      </c>
    </row>
    <row r="9" spans="1:9">
      <c r="A9" s="80"/>
      <c r="B9" s="116" t="s">
        <v>1254</v>
      </c>
      <c r="C9" s="116">
        <v>0</v>
      </c>
      <c r="D9" s="197">
        <v>1623164.69</v>
      </c>
      <c r="F9" s="80"/>
      <c r="G9" s="116">
        <v>92</v>
      </c>
      <c r="H9" s="116"/>
      <c r="I9" s="197">
        <v>1519518.67</v>
      </c>
    </row>
    <row r="10" spans="1:9">
      <c r="A10" s="80"/>
      <c r="B10" s="116" t="s">
        <v>1255</v>
      </c>
      <c r="C10" s="116">
        <v>0</v>
      </c>
      <c r="D10" s="197">
        <v>1293833.49</v>
      </c>
      <c r="F10" s="80"/>
      <c r="G10" s="116" t="s">
        <v>1244</v>
      </c>
      <c r="H10" s="116"/>
      <c r="I10" s="197">
        <v>356151.06</v>
      </c>
    </row>
    <row r="11" spans="1:9">
      <c r="A11" s="80"/>
      <c r="B11" s="116" t="s">
        <v>754</v>
      </c>
      <c r="C11" s="116">
        <v>0</v>
      </c>
      <c r="D11" s="197">
        <v>409829.92</v>
      </c>
      <c r="F11" s="80"/>
      <c r="G11" s="116">
        <v>117</v>
      </c>
      <c r="H11" s="116"/>
      <c r="I11" s="197">
        <v>3943335.99</v>
      </c>
    </row>
    <row r="12" spans="1:9">
      <c r="A12" s="80"/>
      <c r="B12" s="116" t="s">
        <v>761</v>
      </c>
      <c r="C12" s="116">
        <v>0</v>
      </c>
      <c r="D12" s="197">
        <v>1656714.65</v>
      </c>
      <c r="F12" s="80"/>
      <c r="G12" s="116">
        <v>123</v>
      </c>
      <c r="H12" s="116"/>
      <c r="I12" s="197">
        <v>2192217.21</v>
      </c>
    </row>
    <row r="13" spans="1:9">
      <c r="A13" s="80"/>
      <c r="B13" s="116" t="s">
        <v>777</v>
      </c>
      <c r="C13" s="116">
        <v>0</v>
      </c>
      <c r="D13" s="197">
        <v>1812624.09</v>
      </c>
      <c r="F13" s="80"/>
      <c r="G13" s="116">
        <v>141</v>
      </c>
      <c r="H13" s="116"/>
      <c r="I13" s="196">
        <v>86919.58</v>
      </c>
    </row>
    <row r="14" spans="1:9">
      <c r="A14" s="80"/>
      <c r="B14" s="116" t="s">
        <v>790</v>
      </c>
      <c r="C14" s="116">
        <v>0</v>
      </c>
      <c r="D14" s="197">
        <v>1397974.33</v>
      </c>
      <c r="F14" s="80"/>
      <c r="G14" s="116">
        <v>144</v>
      </c>
      <c r="H14" s="116"/>
      <c r="I14" s="197">
        <v>1518619.43</v>
      </c>
    </row>
    <row r="15" spans="1:9">
      <c r="A15" s="80"/>
      <c r="B15" s="116" t="s">
        <v>795</v>
      </c>
      <c r="C15" s="116">
        <v>0</v>
      </c>
      <c r="D15" s="197">
        <v>1591072.38</v>
      </c>
      <c r="F15" s="80"/>
      <c r="G15" s="116">
        <v>149</v>
      </c>
      <c r="H15" s="116"/>
      <c r="I15" s="196">
        <v>48393.39</v>
      </c>
    </row>
    <row r="16" spans="1:9">
      <c r="A16" s="80"/>
      <c r="B16" s="116" t="s">
        <v>800</v>
      </c>
      <c r="C16" s="116">
        <v>0</v>
      </c>
      <c r="D16" s="197">
        <v>189888.08</v>
      </c>
      <c r="F16" s="80"/>
      <c r="G16" s="116">
        <v>150</v>
      </c>
      <c r="H16" s="116"/>
      <c r="I16" s="196">
        <v>1131.8399999999999</v>
      </c>
    </row>
    <row r="17" spans="1:9">
      <c r="A17" s="80"/>
      <c r="B17" s="116" t="s">
        <v>848</v>
      </c>
      <c r="C17" s="116">
        <v>0</v>
      </c>
      <c r="D17" s="197">
        <v>154474.16</v>
      </c>
      <c r="F17" s="80"/>
      <c r="G17" s="116">
        <v>151</v>
      </c>
      <c r="H17" s="116"/>
      <c r="I17" s="196">
        <v>24923.62</v>
      </c>
    </row>
    <row r="18" spans="1:9">
      <c r="A18" s="80"/>
      <c r="B18" s="116" t="s">
        <v>863</v>
      </c>
      <c r="C18" s="116">
        <v>0</v>
      </c>
      <c r="D18" s="197">
        <v>616996.21</v>
      </c>
      <c r="F18" s="80"/>
      <c r="G18" s="116">
        <v>154</v>
      </c>
      <c r="H18" s="116"/>
      <c r="I18" s="197">
        <v>1051595.04</v>
      </c>
    </row>
    <row r="19" spans="1:9">
      <c r="A19" s="80"/>
      <c r="B19" s="116" t="s">
        <v>924</v>
      </c>
      <c r="C19" s="116">
        <v>0</v>
      </c>
      <c r="D19" s="196">
        <v>6225.12</v>
      </c>
      <c r="F19" s="80"/>
      <c r="G19" s="116">
        <v>169</v>
      </c>
      <c r="H19" s="116"/>
      <c r="I19" s="197">
        <v>1293833.49</v>
      </c>
    </row>
    <row r="20" spans="1:9">
      <c r="A20" s="80"/>
      <c r="B20" s="116" t="s">
        <v>925</v>
      </c>
      <c r="C20" s="116">
        <v>0</v>
      </c>
      <c r="D20" s="196">
        <v>16223.04</v>
      </c>
      <c r="F20" s="80"/>
      <c r="G20" s="116">
        <v>173</v>
      </c>
      <c r="H20" s="116"/>
      <c r="I20" s="197">
        <v>409829.92</v>
      </c>
    </row>
    <row r="21" spans="1:9">
      <c r="A21" s="80"/>
      <c r="B21" s="116" t="s">
        <v>923</v>
      </c>
      <c r="C21" s="195">
        <v>6225.12</v>
      </c>
      <c r="D21" s="116">
        <v>0</v>
      </c>
      <c r="F21" s="80"/>
      <c r="G21" s="116">
        <v>180</v>
      </c>
      <c r="H21" s="116"/>
      <c r="I21" s="197">
        <v>1656714.65</v>
      </c>
    </row>
    <row r="22" spans="1:9">
      <c r="A22" s="80"/>
      <c r="B22" s="116" t="s">
        <v>869</v>
      </c>
      <c r="C22" s="116">
        <v>0</v>
      </c>
      <c r="D22" s="197">
        <v>973169.41</v>
      </c>
      <c r="F22" s="80"/>
      <c r="G22" s="116">
        <v>196</v>
      </c>
      <c r="H22" s="116"/>
      <c r="I22" s="197">
        <v>1812624.09</v>
      </c>
    </row>
    <row r="23" spans="1:9">
      <c r="A23" s="80"/>
      <c r="B23" s="116" t="s">
        <v>892</v>
      </c>
      <c r="C23" s="116">
        <v>0</v>
      </c>
      <c r="D23" s="197">
        <v>1034600.11</v>
      </c>
      <c r="F23" s="80"/>
      <c r="G23" s="116">
        <v>213</v>
      </c>
      <c r="H23" s="116"/>
      <c r="I23" s="197">
        <v>1397974.33</v>
      </c>
    </row>
    <row r="24" spans="1:9">
      <c r="A24" s="80"/>
      <c r="B24" s="116" t="s">
        <v>897</v>
      </c>
      <c r="C24" s="116">
        <v>0</v>
      </c>
      <c r="D24" s="197">
        <v>738745.3</v>
      </c>
      <c r="F24" s="80"/>
      <c r="G24" s="116">
        <v>225</v>
      </c>
      <c r="H24" s="116"/>
      <c r="I24" s="197">
        <v>1591072.38</v>
      </c>
    </row>
    <row r="25" spans="1:9">
      <c r="A25" s="80"/>
      <c r="B25" s="116" t="s">
        <v>899</v>
      </c>
      <c r="C25" s="116">
        <v>0</v>
      </c>
      <c r="D25" s="197">
        <v>1493200.09</v>
      </c>
      <c r="F25" s="80"/>
      <c r="G25" s="116">
        <v>233</v>
      </c>
      <c r="H25" s="116"/>
      <c r="I25" s="197">
        <v>189888.08</v>
      </c>
    </row>
    <row r="26" spans="1:9">
      <c r="A26" s="80"/>
      <c r="B26" s="116" t="s">
        <v>901</v>
      </c>
      <c r="C26" s="116">
        <v>0</v>
      </c>
      <c r="D26" s="197">
        <v>1203171.6499999999</v>
      </c>
      <c r="F26" s="80"/>
      <c r="G26" s="116">
        <v>246</v>
      </c>
      <c r="H26" s="116"/>
      <c r="I26" s="197">
        <v>154474.16</v>
      </c>
    </row>
    <row r="27" spans="1:9">
      <c r="A27" s="80"/>
      <c r="B27" s="116" t="s">
        <v>906</v>
      </c>
      <c r="C27" s="116">
        <v>0</v>
      </c>
      <c r="D27" s="197">
        <v>108180.35</v>
      </c>
      <c r="F27" s="80"/>
      <c r="G27" s="116">
        <v>263</v>
      </c>
      <c r="H27" s="116"/>
      <c r="I27" s="196">
        <v>6225.12</v>
      </c>
    </row>
    <row r="28" spans="1:9">
      <c r="A28" s="80"/>
      <c r="B28" s="116" t="s">
        <v>907</v>
      </c>
      <c r="C28" s="116">
        <v>0</v>
      </c>
      <c r="D28" s="197">
        <v>1348527.77</v>
      </c>
      <c r="F28" s="80"/>
      <c r="G28" s="116">
        <v>275</v>
      </c>
      <c r="H28" s="116"/>
      <c r="I28" s="197">
        <v>616996.21</v>
      </c>
    </row>
    <row r="29" spans="1:9">
      <c r="A29" s="80"/>
      <c r="B29" s="116" t="s">
        <v>1267</v>
      </c>
      <c r="C29" s="116">
        <v>0</v>
      </c>
      <c r="D29" s="197">
        <v>454236.24</v>
      </c>
      <c r="F29" s="80"/>
      <c r="G29" s="116">
        <v>281</v>
      </c>
      <c r="H29" s="116"/>
      <c r="I29" s="196">
        <v>16223.04</v>
      </c>
    </row>
    <row r="30" spans="1:9">
      <c r="A30" s="80"/>
      <c r="B30" s="116" t="s">
        <v>1275</v>
      </c>
      <c r="C30" s="116">
        <v>0</v>
      </c>
      <c r="D30" s="197">
        <v>447617.02</v>
      </c>
      <c r="F30" s="80"/>
      <c r="G30" s="116">
        <v>286</v>
      </c>
      <c r="H30" s="116"/>
      <c r="I30" s="197">
        <v>973169.41</v>
      </c>
    </row>
    <row r="31" spans="1:9">
      <c r="A31" s="80"/>
      <c r="B31" s="116" t="s">
        <v>1276</v>
      </c>
      <c r="C31" s="116">
        <v>0</v>
      </c>
      <c r="D31" s="197">
        <v>739845.02</v>
      </c>
      <c r="F31" s="80"/>
      <c r="G31" s="116">
        <v>330</v>
      </c>
      <c r="H31" s="116"/>
      <c r="I31" s="197">
        <v>1034600.11</v>
      </c>
    </row>
    <row r="32" spans="1:9">
      <c r="A32" s="80"/>
      <c r="B32" s="116" t="s">
        <v>1281</v>
      </c>
      <c r="C32" s="116">
        <v>0</v>
      </c>
      <c r="D32" s="197">
        <v>889477.93</v>
      </c>
      <c r="F32" s="80"/>
      <c r="G32" s="116">
        <v>342</v>
      </c>
      <c r="H32" s="116"/>
      <c r="I32" s="197">
        <v>738745.3</v>
      </c>
    </row>
    <row r="33" spans="1:9">
      <c r="A33" s="80"/>
      <c r="B33" s="116" t="s">
        <v>1284</v>
      </c>
      <c r="C33" s="116">
        <v>0</v>
      </c>
      <c r="D33" s="197">
        <v>1197682.47</v>
      </c>
      <c r="F33" s="80"/>
      <c r="G33" s="116">
        <v>346</v>
      </c>
      <c r="H33" s="116"/>
      <c r="I33" s="197">
        <v>1493200.09</v>
      </c>
    </row>
    <row r="34" spans="1:9">
      <c r="A34" s="80"/>
      <c r="B34" s="116" t="s">
        <v>1288</v>
      </c>
      <c r="C34" s="116">
        <v>0</v>
      </c>
      <c r="D34" s="197">
        <v>1434963.13</v>
      </c>
      <c r="F34" s="80"/>
      <c r="G34" s="116">
        <v>351</v>
      </c>
      <c r="H34" s="116"/>
      <c r="I34" s="197">
        <v>108180.35</v>
      </c>
    </row>
    <row r="35" spans="1:9">
      <c r="A35" s="80"/>
      <c r="B35" s="116" t="s">
        <v>1290</v>
      </c>
      <c r="C35" s="116">
        <v>0</v>
      </c>
      <c r="D35" s="197">
        <v>1792843.82</v>
      </c>
      <c r="F35" s="80"/>
      <c r="G35" s="116">
        <v>358</v>
      </c>
      <c r="H35" s="116"/>
      <c r="I35" s="197">
        <v>1203171.6499999999</v>
      </c>
    </row>
    <row r="36" spans="1:9">
      <c r="A36" s="80"/>
      <c r="B36" s="116" t="s">
        <v>1546</v>
      </c>
      <c r="C36" s="116">
        <v>0</v>
      </c>
      <c r="D36" s="197">
        <v>710281.94</v>
      </c>
      <c r="F36" s="80"/>
      <c r="G36" s="116">
        <v>364</v>
      </c>
      <c r="H36" s="116"/>
      <c r="I36" s="197">
        <v>1348527.77</v>
      </c>
    </row>
    <row r="37" spans="1:9">
      <c r="A37" s="80"/>
      <c r="B37" s="116" t="s">
        <v>1547</v>
      </c>
      <c r="C37" s="116">
        <v>0</v>
      </c>
      <c r="D37" s="197">
        <v>1656485.65</v>
      </c>
      <c r="F37" s="80"/>
      <c r="G37" s="116">
        <v>370</v>
      </c>
      <c r="H37" s="116"/>
      <c r="I37" s="197">
        <v>454236.24</v>
      </c>
    </row>
    <row r="38" spans="1:9">
      <c r="A38" s="80"/>
      <c r="B38" s="116" t="s">
        <v>1548</v>
      </c>
      <c r="C38" s="116">
        <v>0</v>
      </c>
      <c r="D38" s="197">
        <v>1708492.15</v>
      </c>
      <c r="F38" s="80"/>
      <c r="G38" s="116">
        <v>392</v>
      </c>
      <c r="H38" s="116"/>
      <c r="I38" s="197">
        <v>447617.02</v>
      </c>
    </row>
    <row r="39" spans="1:9">
      <c r="A39" s="80"/>
      <c r="B39" s="116" t="s">
        <v>1549</v>
      </c>
      <c r="C39" s="116">
        <v>0</v>
      </c>
      <c r="D39" s="197">
        <v>773729.01</v>
      </c>
      <c r="F39" s="80"/>
      <c r="G39" s="116">
        <v>397</v>
      </c>
      <c r="H39" s="116"/>
      <c r="I39" s="197">
        <v>739845.02</v>
      </c>
    </row>
    <row r="40" spans="1:9">
      <c r="A40" s="80"/>
      <c r="B40" s="116" t="s">
        <v>1550</v>
      </c>
      <c r="C40" s="116">
        <v>0</v>
      </c>
      <c r="D40" s="197">
        <v>133130.1</v>
      </c>
      <c r="F40" s="80"/>
      <c r="G40" s="116">
        <v>419</v>
      </c>
      <c r="H40" s="116"/>
      <c r="I40" s="197">
        <v>889477.93</v>
      </c>
    </row>
    <row r="41" spans="1:9">
      <c r="A41" s="80"/>
      <c r="B41" s="116" t="s">
        <v>1551</v>
      </c>
      <c r="C41" s="116">
        <v>0</v>
      </c>
      <c r="D41" s="196">
        <v>73776.52</v>
      </c>
      <c r="F41" s="80"/>
      <c r="G41" s="116">
        <v>425</v>
      </c>
      <c r="H41" s="116"/>
      <c r="I41" s="197">
        <v>1197682.47</v>
      </c>
    </row>
    <row r="42" spans="1:9">
      <c r="A42" s="80"/>
      <c r="B42" s="116" t="s">
        <v>1552</v>
      </c>
      <c r="C42" s="116">
        <v>0</v>
      </c>
      <c r="D42" s="197">
        <v>1866425.86</v>
      </c>
      <c r="F42" s="80"/>
      <c r="G42" s="116">
        <v>452</v>
      </c>
      <c r="H42" s="116"/>
      <c r="I42" s="197">
        <v>1434963.13</v>
      </c>
    </row>
    <row r="43" spans="1:9">
      <c r="A43" s="80"/>
      <c r="B43" s="116" t="s">
        <v>1256</v>
      </c>
      <c r="C43" s="116">
        <v>0</v>
      </c>
      <c r="D43" s="197">
        <v>1519518.67</v>
      </c>
      <c r="F43" s="80"/>
      <c r="G43" s="116">
        <v>460</v>
      </c>
      <c r="H43" s="116"/>
      <c r="I43" s="197">
        <v>1792843.82</v>
      </c>
    </row>
    <row r="44" spans="1:9">
      <c r="A44" s="80"/>
      <c r="B44" s="116" t="s">
        <v>1257</v>
      </c>
      <c r="C44" s="116">
        <v>0</v>
      </c>
      <c r="D44" s="197">
        <v>362627</v>
      </c>
      <c r="F44" s="80"/>
      <c r="G44" s="116" t="s">
        <v>1554</v>
      </c>
      <c r="H44" s="116"/>
      <c r="I44" s="116">
        <v>0</v>
      </c>
    </row>
    <row r="45" spans="1:9">
      <c r="A45" s="80"/>
      <c r="B45" s="116" t="s">
        <v>1257</v>
      </c>
      <c r="C45" s="196">
        <v>6475</v>
      </c>
      <c r="D45" s="116">
        <v>0</v>
      </c>
      <c r="F45" s="80"/>
      <c r="G45" s="116" t="s">
        <v>1555</v>
      </c>
      <c r="H45" s="116"/>
      <c r="I45" s="116">
        <v>0</v>
      </c>
    </row>
    <row r="46" spans="1:9">
      <c r="A46" s="80"/>
      <c r="B46" s="116" t="s">
        <v>1258</v>
      </c>
      <c r="C46" s="116">
        <v>0</v>
      </c>
      <c r="D46" s="197">
        <v>3943335.99</v>
      </c>
      <c r="F46" s="80"/>
      <c r="G46" s="116">
        <v>499</v>
      </c>
      <c r="H46" s="116"/>
      <c r="I46" s="197">
        <v>710281.94</v>
      </c>
    </row>
    <row r="47" spans="1:9">
      <c r="A47" s="80"/>
      <c r="B47" s="116" t="s">
        <v>1259</v>
      </c>
      <c r="C47" s="116">
        <v>0</v>
      </c>
      <c r="D47" s="197">
        <v>2192217.21</v>
      </c>
      <c r="F47" s="80"/>
      <c r="G47" s="116">
        <v>501</v>
      </c>
      <c r="H47" s="116"/>
      <c r="I47" s="197">
        <v>1656485.65</v>
      </c>
    </row>
    <row r="48" spans="1:9">
      <c r="A48" s="80"/>
      <c r="B48" s="116" t="s">
        <v>1260</v>
      </c>
      <c r="C48" s="116">
        <v>0</v>
      </c>
      <c r="D48" s="197">
        <v>298468</v>
      </c>
      <c r="F48" s="80"/>
      <c r="G48" s="116">
        <v>528</v>
      </c>
      <c r="H48" s="116"/>
      <c r="I48" s="197">
        <v>1708492.15</v>
      </c>
    </row>
    <row r="49" spans="1:9">
      <c r="A49" s="80"/>
      <c r="B49" s="116" t="s">
        <v>1260</v>
      </c>
      <c r="C49" s="196">
        <v>5330</v>
      </c>
      <c r="D49" s="116">
        <v>0</v>
      </c>
      <c r="F49" s="80"/>
      <c r="G49" s="116">
        <v>535</v>
      </c>
      <c r="H49" s="116"/>
      <c r="I49" s="197">
        <v>773729.01</v>
      </c>
    </row>
    <row r="50" spans="1:9">
      <c r="A50" s="80"/>
      <c r="B50" s="116" t="s">
        <v>1260</v>
      </c>
      <c r="C50" s="116">
        <v>0</v>
      </c>
      <c r="D50" s="197">
        <v>605679</v>
      </c>
      <c r="F50" s="80"/>
      <c r="G50" s="116">
        <v>537</v>
      </c>
      <c r="H50" s="116"/>
      <c r="I50" s="197">
        <v>133130.1</v>
      </c>
    </row>
    <row r="51" spans="1:9">
      <c r="A51" s="80"/>
      <c r="B51" s="116" t="s">
        <v>1260</v>
      </c>
      <c r="C51" s="196">
        <v>10816</v>
      </c>
      <c r="D51" s="116">
        <v>0</v>
      </c>
      <c r="F51" s="80"/>
      <c r="G51" s="116" t="s">
        <v>1556</v>
      </c>
      <c r="H51" s="116"/>
      <c r="I51" s="196">
        <v>94874.09</v>
      </c>
    </row>
    <row r="52" spans="1:9">
      <c r="A52" s="80"/>
      <c r="B52" s="116" t="s">
        <v>1261</v>
      </c>
      <c r="C52" s="116">
        <v>0</v>
      </c>
      <c r="D52" s="197">
        <v>1518619.43</v>
      </c>
      <c r="F52" s="80"/>
      <c r="G52" s="116">
        <v>577</v>
      </c>
      <c r="H52" s="116"/>
      <c r="I52" s="196">
        <v>73776.52</v>
      </c>
    </row>
    <row r="53" spans="1:9">
      <c r="A53" s="80"/>
      <c r="B53" s="116" t="s">
        <v>1262</v>
      </c>
      <c r="C53" s="116">
        <v>0</v>
      </c>
      <c r="D53" s="196">
        <v>86919.58</v>
      </c>
      <c r="F53" s="80"/>
      <c r="G53" s="116">
        <v>605</v>
      </c>
      <c r="H53" s="116"/>
      <c r="I53" s="197">
        <v>1866425.86</v>
      </c>
    </row>
    <row r="54" spans="1:9">
      <c r="A54" s="80"/>
      <c r="B54" s="116" t="s">
        <v>1263</v>
      </c>
      <c r="C54" s="116">
        <v>0</v>
      </c>
      <c r="D54" s="196">
        <v>48393.39</v>
      </c>
      <c r="F54" s="80"/>
      <c r="G54" s="116" t="s">
        <v>1245</v>
      </c>
      <c r="H54" s="116"/>
      <c r="I54" s="197">
        <v>293138.21999999997</v>
      </c>
    </row>
    <row r="55" spans="1:9">
      <c r="A55" s="80"/>
      <c r="B55" s="116" t="s">
        <v>1264</v>
      </c>
      <c r="C55" s="116">
        <v>0</v>
      </c>
      <c r="D55" s="196">
        <v>24923.62</v>
      </c>
      <c r="F55" s="80"/>
      <c r="G55" s="116" t="s">
        <v>1246</v>
      </c>
      <c r="H55" s="116"/>
      <c r="I55" s="197">
        <v>594863.43999999994</v>
      </c>
    </row>
    <row r="56" spans="1:9">
      <c r="A56" s="80"/>
      <c r="B56" s="116" t="s">
        <v>1265</v>
      </c>
      <c r="C56" s="116">
        <v>0</v>
      </c>
      <c r="D56" s="196">
        <v>1131.8399999999999</v>
      </c>
    </row>
    <row r="57" spans="1:9">
      <c r="A57" s="80"/>
      <c r="B57" s="116" t="s">
        <v>1266</v>
      </c>
      <c r="C57" s="116">
        <v>0</v>
      </c>
      <c r="D57" s="197">
        <v>1051595.04</v>
      </c>
    </row>
    <row r="58" spans="1:9">
      <c r="A58" s="80"/>
      <c r="B58" s="116" t="s">
        <v>1553</v>
      </c>
      <c r="C58" s="116">
        <v>0</v>
      </c>
      <c r="D58" s="196">
        <v>96599</v>
      </c>
    </row>
    <row r="59" spans="1:9">
      <c r="A59" s="80"/>
      <c r="B59" s="116" t="s">
        <v>1553</v>
      </c>
      <c r="C59" s="196">
        <v>1725</v>
      </c>
      <c r="D59" s="116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S318"/>
  <sheetViews>
    <sheetView topLeftCell="E274" workbookViewId="0">
      <selection activeCell="O315" sqref="O315"/>
    </sheetView>
  </sheetViews>
  <sheetFormatPr defaultRowHeight="15"/>
  <cols>
    <col min="1" max="1" width="9.140625" style="27"/>
    <col min="2" max="2" width="10.85546875" style="27" bestFit="1" customWidth="1"/>
    <col min="3" max="3" width="10.5703125" style="27" bestFit="1" customWidth="1"/>
    <col min="4" max="4" width="11" style="28" bestFit="1" customWidth="1"/>
    <col min="5" max="5" width="9.140625" style="27"/>
    <col min="6" max="6" width="13.85546875" style="27" bestFit="1" customWidth="1"/>
    <col min="7" max="7" width="5.28515625" style="27" bestFit="1" customWidth="1"/>
    <col min="8" max="8" width="11" style="27" bestFit="1" customWidth="1"/>
    <col min="9" max="9" width="7" style="27" bestFit="1" customWidth="1"/>
    <col min="10" max="10" width="3.42578125" style="27" customWidth="1"/>
    <col min="11" max="11" width="26" style="27" bestFit="1" customWidth="1"/>
    <col min="12" max="12" width="18.42578125" style="27" bestFit="1" customWidth="1"/>
    <col min="13" max="13" width="10.42578125" style="27" customWidth="1"/>
    <col min="14" max="14" width="16.140625" style="27" bestFit="1" customWidth="1"/>
    <col min="15" max="15" width="15" style="27" bestFit="1" customWidth="1"/>
    <col min="16" max="16" width="17.7109375" style="27" bestFit="1" customWidth="1"/>
    <col min="17" max="17" width="16.140625" style="27" bestFit="1" customWidth="1"/>
    <col min="18" max="16384" width="9.140625" style="27"/>
  </cols>
  <sheetData>
    <row r="1" spans="1:8">
      <c r="A1" s="5"/>
      <c r="B1" s="5" t="s">
        <v>28</v>
      </c>
      <c r="C1" s="5" t="s">
        <v>273</v>
      </c>
      <c r="D1" s="154" t="s">
        <v>218</v>
      </c>
      <c r="F1" s="5" t="s">
        <v>273</v>
      </c>
      <c r="G1" s="5" t="s">
        <v>218</v>
      </c>
      <c r="H1" s="5" t="s">
        <v>219</v>
      </c>
    </row>
    <row r="2" spans="1:8">
      <c r="A2" s="6"/>
      <c r="B2" s="8" t="s">
        <v>1029</v>
      </c>
      <c r="C2" s="8"/>
      <c r="D2" s="158">
        <v>831683.19</v>
      </c>
      <c r="F2" s="8" t="s">
        <v>1031</v>
      </c>
      <c r="G2" s="8">
        <v>0</v>
      </c>
      <c r="H2" s="160">
        <v>8160</v>
      </c>
    </row>
    <row r="3" spans="1:8">
      <c r="A3" s="6"/>
      <c r="B3" s="8" t="s">
        <v>1030</v>
      </c>
      <c r="C3" s="8"/>
      <c r="D3" s="158">
        <v>513555.33</v>
      </c>
      <c r="F3" s="8" t="s">
        <v>1029</v>
      </c>
      <c r="G3" s="8">
        <v>0</v>
      </c>
      <c r="H3" s="157">
        <v>831683.19</v>
      </c>
    </row>
    <row r="4" spans="1:8">
      <c r="A4" s="6"/>
      <c r="B4" s="8" t="s">
        <v>1031</v>
      </c>
      <c r="C4" s="8"/>
      <c r="D4" s="159">
        <v>8160</v>
      </c>
      <c r="F4" s="8" t="s">
        <v>1030</v>
      </c>
      <c r="G4" s="8">
        <v>0</v>
      </c>
      <c r="H4" s="157">
        <v>513555.33</v>
      </c>
    </row>
    <row r="5" spans="1:8">
      <c r="A5" s="6"/>
      <c r="B5" s="8" t="s">
        <v>1032</v>
      </c>
      <c r="C5" s="8"/>
      <c r="D5" s="158">
        <v>1230045.33</v>
      </c>
      <c r="F5" s="8" t="s">
        <v>1033</v>
      </c>
      <c r="G5" s="8">
        <v>0</v>
      </c>
      <c r="H5" s="160">
        <v>12336</v>
      </c>
    </row>
    <row r="6" spans="1:8">
      <c r="A6" s="6"/>
      <c r="B6" s="8" t="s">
        <v>1033</v>
      </c>
      <c r="C6" s="8"/>
      <c r="D6" s="159">
        <v>12336</v>
      </c>
      <c r="F6" s="8" t="s">
        <v>1032</v>
      </c>
      <c r="G6" s="8">
        <v>0</v>
      </c>
      <c r="H6" s="157">
        <v>1230045.33</v>
      </c>
    </row>
    <row r="7" spans="1:8">
      <c r="A7" s="6"/>
      <c r="B7" s="8" t="s">
        <v>1034</v>
      </c>
      <c r="C7" s="8"/>
      <c r="D7" s="158">
        <v>575101.98</v>
      </c>
      <c r="F7" s="8" t="s">
        <v>1035</v>
      </c>
      <c r="G7" s="8">
        <v>0</v>
      </c>
      <c r="H7" s="160">
        <v>8256</v>
      </c>
    </row>
    <row r="8" spans="1:8">
      <c r="A8" s="6"/>
      <c r="B8" s="8" t="s">
        <v>1035</v>
      </c>
      <c r="C8" s="8"/>
      <c r="D8" s="159">
        <v>8256</v>
      </c>
      <c r="F8" s="8" t="s">
        <v>1034</v>
      </c>
      <c r="G8" s="8">
        <v>0</v>
      </c>
      <c r="H8" s="157">
        <v>575101.98</v>
      </c>
    </row>
    <row r="9" spans="1:8">
      <c r="A9" s="6"/>
      <c r="B9" s="8" t="s">
        <v>1036</v>
      </c>
      <c r="C9" s="8"/>
      <c r="D9" s="158">
        <v>1313008.06</v>
      </c>
      <c r="F9" s="8" t="s">
        <v>1037</v>
      </c>
      <c r="G9" s="8">
        <v>0</v>
      </c>
      <c r="H9" s="160">
        <v>17088</v>
      </c>
    </row>
    <row r="10" spans="1:8">
      <c r="A10" s="6"/>
      <c r="B10" s="8" t="s">
        <v>1037</v>
      </c>
      <c r="C10" s="8"/>
      <c r="D10" s="159">
        <v>17088</v>
      </c>
      <c r="F10" s="8" t="s">
        <v>1036</v>
      </c>
      <c r="G10" s="8">
        <v>0</v>
      </c>
      <c r="H10" s="157">
        <v>1313008.06</v>
      </c>
    </row>
    <row r="11" spans="1:8">
      <c r="A11" s="6"/>
      <c r="B11" s="8" t="s">
        <v>1038</v>
      </c>
      <c r="C11" s="8"/>
      <c r="D11" s="158">
        <v>1275668.25</v>
      </c>
      <c r="F11" s="8" t="s">
        <v>1039</v>
      </c>
      <c r="G11" s="8">
        <v>0</v>
      </c>
      <c r="H11" s="160">
        <v>14016</v>
      </c>
    </row>
    <row r="12" spans="1:8">
      <c r="A12" s="6"/>
      <c r="B12" s="8" t="s">
        <v>1039</v>
      </c>
      <c r="C12" s="8"/>
      <c r="D12" s="159">
        <v>14016</v>
      </c>
      <c r="F12" s="8" t="s">
        <v>1038</v>
      </c>
      <c r="G12" s="8">
        <v>0</v>
      </c>
      <c r="H12" s="157">
        <v>1275668.24</v>
      </c>
    </row>
    <row r="13" spans="1:8">
      <c r="A13" s="6"/>
      <c r="B13" s="8" t="s">
        <v>1040</v>
      </c>
      <c r="C13" s="8"/>
      <c r="D13" s="158">
        <v>1281023</v>
      </c>
      <c r="F13" s="8" t="s">
        <v>1041</v>
      </c>
      <c r="G13" s="8">
        <v>0</v>
      </c>
      <c r="H13" s="160">
        <v>5040</v>
      </c>
    </row>
    <row r="14" spans="1:8">
      <c r="A14" s="6"/>
      <c r="B14" s="8" t="s">
        <v>1041</v>
      </c>
      <c r="C14" s="8"/>
      <c r="D14" s="159">
        <v>5040</v>
      </c>
      <c r="F14" s="8" t="s">
        <v>1040</v>
      </c>
      <c r="G14" s="8">
        <v>0</v>
      </c>
      <c r="H14" s="157">
        <v>1281023</v>
      </c>
    </row>
    <row r="15" spans="1:8">
      <c r="A15" s="6"/>
      <c r="B15" s="8" t="s">
        <v>1042</v>
      </c>
      <c r="C15" s="8"/>
      <c r="D15" s="158">
        <v>966320.66</v>
      </c>
      <c r="F15" s="8" t="s">
        <v>1045</v>
      </c>
      <c r="G15" s="8">
        <v>0</v>
      </c>
      <c r="H15" s="160">
        <v>5568</v>
      </c>
    </row>
    <row r="16" spans="1:8">
      <c r="A16" s="6"/>
      <c r="B16" s="8" t="s">
        <v>1043</v>
      </c>
      <c r="C16" s="8"/>
      <c r="D16" s="159">
        <v>18336</v>
      </c>
      <c r="F16" s="8" t="s">
        <v>1047</v>
      </c>
      <c r="G16" s="8">
        <v>0</v>
      </c>
      <c r="H16" s="160">
        <v>7392</v>
      </c>
    </row>
    <row r="17" spans="1:8">
      <c r="A17" s="6"/>
      <c r="B17" s="8" t="s">
        <v>1044</v>
      </c>
      <c r="C17" s="8"/>
      <c r="D17" s="158">
        <v>397520.51</v>
      </c>
      <c r="F17" s="8" t="s">
        <v>1043</v>
      </c>
      <c r="G17" s="8">
        <v>0</v>
      </c>
      <c r="H17" s="160">
        <v>18336</v>
      </c>
    </row>
    <row r="18" spans="1:8">
      <c r="A18" s="6"/>
      <c r="B18" s="8" t="s">
        <v>1045</v>
      </c>
      <c r="C18" s="8"/>
      <c r="D18" s="159">
        <v>5568</v>
      </c>
      <c r="F18" s="8" t="s">
        <v>1042</v>
      </c>
      <c r="G18" s="8">
        <v>0</v>
      </c>
      <c r="H18" s="157">
        <v>966320.66</v>
      </c>
    </row>
    <row r="19" spans="1:8">
      <c r="A19" s="6"/>
      <c r="B19" s="8" t="s">
        <v>1046</v>
      </c>
      <c r="C19" s="8"/>
      <c r="D19" s="158">
        <v>995398.58</v>
      </c>
      <c r="F19" s="8" t="s">
        <v>1044</v>
      </c>
      <c r="G19" s="8">
        <v>0</v>
      </c>
      <c r="H19" s="157">
        <v>397520.51</v>
      </c>
    </row>
    <row r="20" spans="1:8">
      <c r="A20" s="6"/>
      <c r="B20" s="8" t="s">
        <v>1047</v>
      </c>
      <c r="C20" s="8"/>
      <c r="D20" s="159">
        <v>7392</v>
      </c>
      <c r="F20" s="8" t="s">
        <v>1046</v>
      </c>
      <c r="G20" s="8">
        <v>0</v>
      </c>
      <c r="H20" s="157">
        <v>995398.58</v>
      </c>
    </row>
    <row r="21" spans="1:8">
      <c r="A21" s="6"/>
      <c r="B21" s="8" t="s">
        <v>1048</v>
      </c>
      <c r="C21" s="8"/>
      <c r="D21" s="158">
        <v>1201169.72</v>
      </c>
      <c r="F21" s="8" t="s">
        <v>1049</v>
      </c>
      <c r="G21" s="8">
        <v>0</v>
      </c>
      <c r="H21" s="160">
        <v>17904</v>
      </c>
    </row>
    <row r="22" spans="1:8">
      <c r="A22" s="6"/>
      <c r="B22" s="8" t="s">
        <v>1049</v>
      </c>
      <c r="C22" s="8"/>
      <c r="D22" s="159">
        <v>17904</v>
      </c>
      <c r="F22" s="8" t="s">
        <v>1052</v>
      </c>
      <c r="G22" s="8">
        <v>0</v>
      </c>
      <c r="H22" s="160">
        <v>20448</v>
      </c>
    </row>
    <row r="23" spans="1:8">
      <c r="A23" s="6"/>
      <c r="B23" s="8" t="s">
        <v>1050</v>
      </c>
      <c r="C23" s="8"/>
      <c r="D23" s="158">
        <v>385066.6</v>
      </c>
      <c r="F23" s="8" t="s">
        <v>1048</v>
      </c>
      <c r="G23" s="8">
        <v>0</v>
      </c>
      <c r="H23" s="157">
        <v>1201169.72</v>
      </c>
    </row>
    <row r="24" spans="1:8">
      <c r="A24" s="6"/>
      <c r="B24" s="8" t="s">
        <v>1051</v>
      </c>
      <c r="C24" s="8"/>
      <c r="D24" s="158">
        <v>1251390.67</v>
      </c>
      <c r="F24" s="8" t="s">
        <v>1050</v>
      </c>
      <c r="G24" s="8">
        <v>0</v>
      </c>
      <c r="H24" s="157">
        <v>385066.6</v>
      </c>
    </row>
    <row r="25" spans="1:8">
      <c r="A25" s="6"/>
      <c r="B25" s="8" t="s">
        <v>1052</v>
      </c>
      <c r="C25" s="8"/>
      <c r="D25" s="159">
        <v>20448</v>
      </c>
      <c r="F25" s="8" t="s">
        <v>1051</v>
      </c>
      <c r="G25" s="8">
        <v>0</v>
      </c>
      <c r="H25" s="157">
        <v>1251390.67</v>
      </c>
    </row>
    <row r="26" spans="1:8">
      <c r="A26" s="6"/>
      <c r="B26" s="8" t="s">
        <v>1053</v>
      </c>
      <c r="C26" s="8"/>
      <c r="D26" s="158">
        <v>893272.02</v>
      </c>
      <c r="F26" s="8" t="s">
        <v>1054</v>
      </c>
      <c r="G26" s="8">
        <v>0</v>
      </c>
      <c r="H26" s="160">
        <v>12240</v>
      </c>
    </row>
    <row r="27" spans="1:8">
      <c r="A27" s="6"/>
      <c r="B27" s="8" t="s">
        <v>1054</v>
      </c>
      <c r="C27" s="8"/>
      <c r="D27" s="159">
        <v>12240</v>
      </c>
      <c r="F27" s="8" t="s">
        <v>1053</v>
      </c>
      <c r="G27" s="8">
        <v>0</v>
      </c>
      <c r="H27" s="157">
        <v>893272.02</v>
      </c>
    </row>
    <row r="28" spans="1:8">
      <c r="A28" s="6"/>
      <c r="B28" s="8" t="s">
        <v>1055</v>
      </c>
      <c r="C28" s="8"/>
      <c r="D28" s="159">
        <v>80172.490000000005</v>
      </c>
      <c r="F28" s="8" t="s">
        <v>1055</v>
      </c>
      <c r="G28" s="8">
        <v>0</v>
      </c>
      <c r="H28" s="160">
        <v>80172.490000000005</v>
      </c>
    </row>
    <row r="29" spans="1:8">
      <c r="A29" s="6"/>
      <c r="B29" s="8" t="s">
        <v>1056</v>
      </c>
      <c r="C29" s="8"/>
      <c r="D29" s="158">
        <v>623947.11</v>
      </c>
      <c r="F29" s="8" t="s">
        <v>1057</v>
      </c>
      <c r="G29" s="8">
        <v>0</v>
      </c>
      <c r="H29" s="160">
        <v>9552</v>
      </c>
    </row>
    <row r="30" spans="1:8">
      <c r="A30" s="6"/>
      <c r="B30" s="8" t="s">
        <v>1057</v>
      </c>
      <c r="C30" s="8"/>
      <c r="D30" s="159">
        <v>9552</v>
      </c>
      <c r="F30" s="8" t="s">
        <v>1056</v>
      </c>
      <c r="G30" s="8">
        <v>0</v>
      </c>
      <c r="H30" s="157">
        <v>623947.11</v>
      </c>
    </row>
    <row r="31" spans="1:8">
      <c r="A31" s="6"/>
      <c r="B31" s="8" t="s">
        <v>1058</v>
      </c>
      <c r="C31" s="8"/>
      <c r="D31" s="158">
        <v>603661.68000000005</v>
      </c>
      <c r="F31" s="8" t="s">
        <v>1059</v>
      </c>
      <c r="G31" s="8">
        <v>0</v>
      </c>
      <c r="H31" s="160">
        <v>8304</v>
      </c>
    </row>
    <row r="32" spans="1:8">
      <c r="A32" s="6"/>
      <c r="B32" s="8" t="s">
        <v>1059</v>
      </c>
      <c r="C32" s="8"/>
      <c r="D32" s="159">
        <v>8304</v>
      </c>
      <c r="F32" s="8" t="s">
        <v>1058</v>
      </c>
      <c r="G32" s="8">
        <v>0</v>
      </c>
      <c r="H32" s="157">
        <v>603661.68000000005</v>
      </c>
    </row>
    <row r="33" spans="1:8">
      <c r="A33" s="6"/>
      <c r="B33" s="8" t="s">
        <v>1060</v>
      </c>
      <c r="C33" s="8"/>
      <c r="D33" s="158">
        <v>699929.33</v>
      </c>
      <c r="F33" s="8" t="s">
        <v>1060</v>
      </c>
      <c r="G33" s="8">
        <v>0</v>
      </c>
      <c r="H33" s="157">
        <v>699929.33</v>
      </c>
    </row>
    <row r="34" spans="1:8">
      <c r="A34" s="6"/>
      <c r="B34" s="8" t="s">
        <v>1061</v>
      </c>
      <c r="C34" s="8"/>
      <c r="D34" s="159">
        <v>9456</v>
      </c>
      <c r="F34" s="8" t="s">
        <v>1061</v>
      </c>
      <c r="G34" s="8">
        <v>0</v>
      </c>
      <c r="H34" s="160">
        <v>9456</v>
      </c>
    </row>
    <row r="35" spans="1:8">
      <c r="A35" s="6"/>
      <c r="B35" s="8" t="s">
        <v>1062</v>
      </c>
      <c r="C35" s="8"/>
      <c r="D35" s="158">
        <v>1262732.8400000001</v>
      </c>
      <c r="F35" s="8" t="s">
        <v>1062</v>
      </c>
      <c r="G35" s="8">
        <v>0</v>
      </c>
      <c r="H35" s="157">
        <v>1262732.8400000001</v>
      </c>
    </row>
    <row r="36" spans="1:8">
      <c r="A36" s="6"/>
      <c r="B36" s="8" t="s">
        <v>1063</v>
      </c>
      <c r="C36" s="8"/>
      <c r="D36" s="158">
        <v>974452.89</v>
      </c>
      <c r="F36" s="8" t="s">
        <v>1064</v>
      </c>
      <c r="G36" s="8">
        <v>0</v>
      </c>
      <c r="H36" s="160">
        <v>10512</v>
      </c>
    </row>
    <row r="37" spans="1:8">
      <c r="A37" s="6"/>
      <c r="B37" s="8" t="s">
        <v>1064</v>
      </c>
      <c r="C37" s="8"/>
      <c r="D37" s="159">
        <v>10512</v>
      </c>
      <c r="F37" s="8" t="s">
        <v>1063</v>
      </c>
      <c r="G37" s="8">
        <v>0</v>
      </c>
      <c r="H37" s="157">
        <v>974452.89</v>
      </c>
    </row>
    <row r="38" spans="1:8">
      <c r="A38" s="6"/>
      <c r="B38" s="8" t="s">
        <v>1065</v>
      </c>
      <c r="C38" s="8"/>
      <c r="D38" s="158">
        <v>708951.4</v>
      </c>
      <c r="F38" s="8" t="s">
        <v>1066</v>
      </c>
      <c r="G38" s="8">
        <v>0</v>
      </c>
      <c r="H38" s="160">
        <v>6912</v>
      </c>
    </row>
    <row r="39" spans="1:8">
      <c r="A39" s="6"/>
      <c r="B39" s="8" t="s">
        <v>1066</v>
      </c>
      <c r="C39" s="8"/>
      <c r="D39" s="159">
        <v>6912</v>
      </c>
      <c r="F39" s="8" t="s">
        <v>1065</v>
      </c>
      <c r="G39" s="8">
        <v>0</v>
      </c>
      <c r="H39" s="157">
        <v>708951.4</v>
      </c>
    </row>
    <row r="40" spans="1:8">
      <c r="A40" s="6"/>
      <c r="B40" s="8" t="s">
        <v>1067</v>
      </c>
      <c r="C40" s="8"/>
      <c r="D40" s="158">
        <v>859069.3</v>
      </c>
      <c r="F40" s="8" t="s">
        <v>1068</v>
      </c>
      <c r="G40" s="8">
        <v>0</v>
      </c>
      <c r="H40" s="160">
        <v>7776</v>
      </c>
    </row>
    <row r="41" spans="1:8">
      <c r="A41" s="6"/>
      <c r="B41" s="8" t="s">
        <v>1068</v>
      </c>
      <c r="C41" s="8"/>
      <c r="D41" s="159">
        <v>7776</v>
      </c>
      <c r="F41" s="8" t="s">
        <v>1067</v>
      </c>
      <c r="G41" s="8">
        <v>0</v>
      </c>
      <c r="H41" s="157">
        <v>859069.3</v>
      </c>
    </row>
    <row r="42" spans="1:8">
      <c r="A42" s="6"/>
      <c r="B42" s="8" t="s">
        <v>1069</v>
      </c>
      <c r="C42" s="8"/>
      <c r="D42" s="158">
        <v>919097.58</v>
      </c>
      <c r="F42" s="8" t="s">
        <v>1070</v>
      </c>
      <c r="G42" s="8">
        <v>0</v>
      </c>
      <c r="H42" s="160">
        <v>11136</v>
      </c>
    </row>
    <row r="43" spans="1:8">
      <c r="A43" s="6"/>
      <c r="B43" s="8" t="s">
        <v>1070</v>
      </c>
      <c r="C43" s="8"/>
      <c r="D43" s="159">
        <v>11136</v>
      </c>
      <c r="F43" s="8" t="s">
        <v>1069</v>
      </c>
      <c r="G43" s="8">
        <v>0</v>
      </c>
      <c r="H43" s="157">
        <v>919097.58</v>
      </c>
    </row>
    <row r="44" spans="1:8">
      <c r="A44" s="6"/>
      <c r="B44" s="8" t="s">
        <v>1071</v>
      </c>
      <c r="C44" s="8"/>
      <c r="D44" s="158">
        <v>597289.97</v>
      </c>
      <c r="F44" s="8" t="s">
        <v>1071</v>
      </c>
      <c r="G44" s="8">
        <v>0</v>
      </c>
      <c r="H44" s="157">
        <v>597289.97</v>
      </c>
    </row>
    <row r="45" spans="1:8">
      <c r="A45" s="6"/>
      <c r="B45" s="8" t="s">
        <v>1072</v>
      </c>
      <c r="C45" s="8"/>
      <c r="D45" s="158">
        <v>510173.97</v>
      </c>
      <c r="F45" s="8" t="s">
        <v>1074</v>
      </c>
      <c r="G45" s="8">
        <v>0</v>
      </c>
      <c r="H45" s="160">
        <v>9504</v>
      </c>
    </row>
    <row r="46" spans="1:8">
      <c r="A46" s="6"/>
      <c r="B46" s="8" t="s">
        <v>1073</v>
      </c>
      <c r="C46" s="8"/>
      <c r="D46" s="158">
        <v>879341.39</v>
      </c>
      <c r="F46" s="8" t="s">
        <v>1073</v>
      </c>
      <c r="G46" s="8">
        <v>0</v>
      </c>
      <c r="H46" s="157">
        <v>879341.39</v>
      </c>
    </row>
    <row r="47" spans="1:8">
      <c r="A47" s="6"/>
      <c r="B47" s="8" t="s">
        <v>1074</v>
      </c>
      <c r="C47" s="8"/>
      <c r="D47" s="159">
        <v>9504</v>
      </c>
      <c r="F47" s="8" t="s">
        <v>1072</v>
      </c>
      <c r="G47" s="8">
        <v>0</v>
      </c>
      <c r="H47" s="157">
        <v>510173.97</v>
      </c>
    </row>
    <row r="48" spans="1:8">
      <c r="A48" s="6"/>
      <c r="B48" s="8" t="s">
        <v>1075</v>
      </c>
      <c r="C48" s="8"/>
      <c r="D48" s="158">
        <v>1467172.43</v>
      </c>
      <c r="F48" s="8" t="s">
        <v>1076</v>
      </c>
      <c r="G48" s="8">
        <v>0</v>
      </c>
      <c r="H48" s="160">
        <v>9024</v>
      </c>
    </row>
    <row r="49" spans="1:8">
      <c r="A49" s="6"/>
      <c r="B49" s="8" t="s">
        <v>1076</v>
      </c>
      <c r="C49" s="8"/>
      <c r="D49" s="159">
        <v>9024</v>
      </c>
      <c r="F49" s="8" t="s">
        <v>1075</v>
      </c>
      <c r="G49" s="8">
        <v>0</v>
      </c>
      <c r="H49" s="157">
        <v>1467172.43</v>
      </c>
    </row>
    <row r="50" spans="1:8">
      <c r="A50" s="6"/>
      <c r="B50" s="8" t="s">
        <v>1077</v>
      </c>
      <c r="C50" s="8"/>
      <c r="D50" s="158">
        <v>1173028.8500000001</v>
      </c>
      <c r="F50" s="8" t="s">
        <v>1078</v>
      </c>
      <c r="G50" s="8">
        <v>0</v>
      </c>
      <c r="H50" s="160">
        <v>8880</v>
      </c>
    </row>
    <row r="51" spans="1:8">
      <c r="A51" s="6"/>
      <c r="B51" s="8" t="s">
        <v>1078</v>
      </c>
      <c r="C51" s="8"/>
      <c r="D51" s="159">
        <v>8880</v>
      </c>
      <c r="F51" s="8" t="s">
        <v>1079</v>
      </c>
      <c r="G51" s="8">
        <v>0</v>
      </c>
      <c r="H51" s="157">
        <v>136935.81</v>
      </c>
    </row>
    <row r="52" spans="1:8">
      <c r="A52" s="6"/>
      <c r="B52" s="8" t="s">
        <v>1079</v>
      </c>
      <c r="C52" s="8"/>
      <c r="D52" s="158">
        <v>136935.81</v>
      </c>
      <c r="F52" s="8" t="s">
        <v>1077</v>
      </c>
      <c r="G52" s="8">
        <v>0</v>
      </c>
      <c r="H52" s="157">
        <v>1173028.8500000001</v>
      </c>
    </row>
    <row r="53" spans="1:8">
      <c r="A53" s="6"/>
      <c r="B53" s="8" t="s">
        <v>1080</v>
      </c>
      <c r="C53" s="8"/>
      <c r="D53" s="158">
        <v>1308808.6000000001</v>
      </c>
      <c r="F53" s="8" t="s">
        <v>1081</v>
      </c>
      <c r="G53" s="8">
        <v>0</v>
      </c>
      <c r="H53" s="160">
        <v>10128</v>
      </c>
    </row>
    <row r="54" spans="1:8">
      <c r="A54" s="6"/>
      <c r="B54" s="8" t="s">
        <v>1081</v>
      </c>
      <c r="C54" s="8"/>
      <c r="D54" s="159">
        <v>10128</v>
      </c>
      <c r="F54" s="8" t="s">
        <v>1082</v>
      </c>
      <c r="G54" s="8">
        <v>0</v>
      </c>
      <c r="H54" s="160">
        <v>17965.740000000002</v>
      </c>
    </row>
    <row r="55" spans="1:8">
      <c r="A55" s="6"/>
      <c r="B55" s="8" t="s">
        <v>1082</v>
      </c>
      <c r="C55" s="8"/>
      <c r="D55" s="159">
        <v>17965.740000000002</v>
      </c>
      <c r="F55" s="8" t="s">
        <v>1080</v>
      </c>
      <c r="G55" s="8">
        <v>0</v>
      </c>
      <c r="H55" s="157">
        <v>1308808.6000000001</v>
      </c>
    </row>
    <row r="56" spans="1:8">
      <c r="A56" s="6"/>
      <c r="B56" s="8" t="s">
        <v>1083</v>
      </c>
      <c r="C56" s="8"/>
      <c r="D56" s="158">
        <v>1198339.3400000001</v>
      </c>
      <c r="F56" s="8" t="s">
        <v>1084</v>
      </c>
      <c r="G56" s="8">
        <v>0</v>
      </c>
      <c r="H56" s="160">
        <v>7632</v>
      </c>
    </row>
    <row r="57" spans="1:8">
      <c r="A57" s="6"/>
      <c r="B57" s="8" t="s">
        <v>1084</v>
      </c>
      <c r="C57" s="8"/>
      <c r="D57" s="159">
        <v>7632</v>
      </c>
      <c r="F57" s="8" t="s">
        <v>1189</v>
      </c>
      <c r="G57" s="8">
        <v>0</v>
      </c>
      <c r="H57" s="157">
        <v>1198339.3400000001</v>
      </c>
    </row>
    <row r="58" spans="1:8">
      <c r="A58" s="6"/>
      <c r="B58" s="8" t="s">
        <v>1085</v>
      </c>
      <c r="C58" s="8"/>
      <c r="D58" s="158">
        <v>876101.19</v>
      </c>
      <c r="F58" s="8" t="s">
        <v>1086</v>
      </c>
      <c r="G58" s="8">
        <v>0</v>
      </c>
      <c r="H58" s="160">
        <v>10992</v>
      </c>
    </row>
    <row r="59" spans="1:8">
      <c r="A59" s="6"/>
      <c r="B59" s="8" t="s">
        <v>1086</v>
      </c>
      <c r="C59" s="8"/>
      <c r="D59" s="159">
        <v>10992</v>
      </c>
      <c r="F59" s="8" t="s">
        <v>1085</v>
      </c>
      <c r="G59" s="8">
        <v>0</v>
      </c>
      <c r="H59" s="157">
        <v>876101.19</v>
      </c>
    </row>
    <row r="60" spans="1:8">
      <c r="A60" s="6"/>
      <c r="B60" s="8" t="s">
        <v>1087</v>
      </c>
      <c r="C60" s="8"/>
      <c r="D60" s="158">
        <v>137834.45000000001</v>
      </c>
      <c r="F60" s="8" t="s">
        <v>1087</v>
      </c>
      <c r="G60" s="8">
        <v>0</v>
      </c>
      <c r="H60" s="157">
        <v>137834.45000000001</v>
      </c>
    </row>
    <row r="61" spans="1:8">
      <c r="A61" s="6"/>
      <c r="B61" s="8" t="s">
        <v>1088</v>
      </c>
      <c r="C61" s="8"/>
      <c r="D61" s="158">
        <v>841339.98</v>
      </c>
      <c r="F61" s="8" t="s">
        <v>1089</v>
      </c>
      <c r="G61" s="8">
        <v>0</v>
      </c>
      <c r="H61" s="160">
        <v>10224</v>
      </c>
    </row>
    <row r="62" spans="1:8">
      <c r="A62" s="6"/>
      <c r="B62" s="8" t="s">
        <v>1089</v>
      </c>
      <c r="C62" s="8"/>
      <c r="D62" s="159">
        <v>10224</v>
      </c>
      <c r="F62" s="8" t="s">
        <v>1088</v>
      </c>
      <c r="G62" s="8">
        <v>0</v>
      </c>
      <c r="H62" s="157">
        <v>841339.98</v>
      </c>
    </row>
    <row r="63" spans="1:8">
      <c r="A63" s="6"/>
      <c r="B63" s="8" t="s">
        <v>1090</v>
      </c>
      <c r="C63" s="8"/>
      <c r="D63" s="158">
        <v>407738.24</v>
      </c>
      <c r="F63" s="8" t="s">
        <v>1090</v>
      </c>
      <c r="G63" s="8">
        <v>0</v>
      </c>
      <c r="H63" s="157">
        <v>407738.24</v>
      </c>
    </row>
    <row r="64" spans="1:8">
      <c r="A64" s="6"/>
      <c r="B64" s="8" t="s">
        <v>1091</v>
      </c>
      <c r="C64" s="8"/>
      <c r="D64" s="158">
        <v>1099708.69</v>
      </c>
      <c r="F64" s="8" t="s">
        <v>1091</v>
      </c>
      <c r="G64" s="8">
        <v>0</v>
      </c>
      <c r="H64" s="157">
        <v>1099708.69</v>
      </c>
    </row>
    <row r="65" spans="1:8">
      <c r="A65" s="6"/>
      <c r="B65" s="8" t="s">
        <v>1092</v>
      </c>
      <c r="C65" s="8"/>
      <c r="D65" s="158">
        <v>759662.48</v>
      </c>
      <c r="F65" s="8" t="s">
        <v>1093</v>
      </c>
      <c r="G65" s="8">
        <v>0</v>
      </c>
      <c r="H65" s="160">
        <v>11808</v>
      </c>
    </row>
    <row r="66" spans="1:8">
      <c r="A66" s="6"/>
      <c r="B66" s="8" t="s">
        <v>1093</v>
      </c>
      <c r="C66" s="8"/>
      <c r="D66" s="159">
        <v>11808</v>
      </c>
      <c r="F66" s="8" t="s">
        <v>1094</v>
      </c>
      <c r="G66" s="8">
        <v>0</v>
      </c>
      <c r="H66" s="157">
        <v>294744.01</v>
      </c>
    </row>
    <row r="67" spans="1:8">
      <c r="A67" s="6"/>
      <c r="B67" s="8" t="s">
        <v>1094</v>
      </c>
      <c r="C67" s="8"/>
      <c r="D67" s="158">
        <v>294744.01</v>
      </c>
      <c r="F67" s="8" t="s">
        <v>1092</v>
      </c>
      <c r="G67" s="8">
        <v>0</v>
      </c>
      <c r="H67" s="157">
        <v>759662.48</v>
      </c>
    </row>
    <row r="68" spans="1:8">
      <c r="A68" s="6"/>
      <c r="B68" s="8" t="s">
        <v>1095</v>
      </c>
      <c r="C68" s="8"/>
      <c r="D68" s="158">
        <v>1413629.9</v>
      </c>
      <c r="F68" s="8" t="s">
        <v>1096</v>
      </c>
      <c r="G68" s="8">
        <v>0</v>
      </c>
      <c r="H68" s="160">
        <v>15696</v>
      </c>
    </row>
    <row r="69" spans="1:8">
      <c r="A69" s="6"/>
      <c r="B69" s="8" t="s">
        <v>1096</v>
      </c>
      <c r="C69" s="8"/>
      <c r="D69" s="159">
        <v>15696</v>
      </c>
      <c r="F69" s="8" t="s">
        <v>1095</v>
      </c>
      <c r="G69" s="8">
        <v>0</v>
      </c>
      <c r="H69" s="157">
        <v>1413629.9</v>
      </c>
    </row>
    <row r="70" spans="1:8">
      <c r="A70" s="6"/>
      <c r="B70" s="8" t="s">
        <v>1097</v>
      </c>
      <c r="C70" s="8"/>
      <c r="D70" s="158">
        <v>1048203.94</v>
      </c>
      <c r="F70" s="8" t="s">
        <v>1098</v>
      </c>
      <c r="G70" s="8">
        <v>0</v>
      </c>
      <c r="H70" s="160">
        <v>13056</v>
      </c>
    </row>
    <row r="71" spans="1:8">
      <c r="A71" s="6"/>
      <c r="B71" s="8" t="s">
        <v>1098</v>
      </c>
      <c r="C71" s="8"/>
      <c r="D71" s="159">
        <v>13056</v>
      </c>
      <c r="F71" s="8" t="s">
        <v>1097</v>
      </c>
      <c r="G71" s="8">
        <v>0</v>
      </c>
      <c r="H71" s="157">
        <v>1048203.94</v>
      </c>
    </row>
    <row r="72" spans="1:8">
      <c r="A72" s="6"/>
      <c r="B72" s="8" t="s">
        <v>1099</v>
      </c>
      <c r="C72" s="8"/>
      <c r="D72" s="158">
        <v>1371166.01</v>
      </c>
      <c r="F72" s="8" t="s">
        <v>1100</v>
      </c>
      <c r="G72" s="8">
        <v>0</v>
      </c>
      <c r="H72" s="160">
        <v>12384</v>
      </c>
    </row>
    <row r="73" spans="1:8">
      <c r="A73" s="6"/>
      <c r="B73" s="8" t="s">
        <v>1100</v>
      </c>
      <c r="C73" s="8"/>
      <c r="D73" s="159">
        <v>12384</v>
      </c>
      <c r="F73" s="8" t="s">
        <v>1099</v>
      </c>
      <c r="G73" s="8">
        <v>0</v>
      </c>
      <c r="H73" s="157">
        <v>1371166</v>
      </c>
    </row>
    <row r="74" spans="1:8">
      <c r="A74" s="6"/>
      <c r="B74" s="8" t="s">
        <v>1101</v>
      </c>
      <c r="C74" s="8"/>
      <c r="D74" s="158">
        <v>984918.3</v>
      </c>
      <c r="F74" s="8" t="s">
        <v>1102</v>
      </c>
      <c r="G74" s="8">
        <v>0</v>
      </c>
      <c r="H74" s="160">
        <v>12336</v>
      </c>
    </row>
    <row r="75" spans="1:8">
      <c r="A75" s="6"/>
      <c r="B75" s="8" t="s">
        <v>1102</v>
      </c>
      <c r="C75" s="8"/>
      <c r="D75" s="159">
        <v>12336</v>
      </c>
      <c r="F75" s="8" t="s">
        <v>1101</v>
      </c>
      <c r="G75" s="8">
        <v>0</v>
      </c>
      <c r="H75" s="157">
        <v>984918.3</v>
      </c>
    </row>
    <row r="76" spans="1:8">
      <c r="A76" s="6"/>
      <c r="B76" s="8" t="s">
        <v>1103</v>
      </c>
      <c r="C76" s="8"/>
      <c r="D76" s="158">
        <v>452008.77</v>
      </c>
      <c r="F76" s="8" t="s">
        <v>1103</v>
      </c>
      <c r="G76" s="8">
        <v>0</v>
      </c>
      <c r="H76" s="157">
        <v>452008.77</v>
      </c>
    </row>
    <row r="77" spans="1:8">
      <c r="A77" s="6"/>
      <c r="B77" s="8" t="s">
        <v>1104</v>
      </c>
      <c r="C77" s="8"/>
      <c r="D77" s="158">
        <v>169394.01</v>
      </c>
      <c r="F77" s="8" t="s">
        <v>1106</v>
      </c>
      <c r="G77" s="8">
        <v>0</v>
      </c>
      <c r="H77" s="160">
        <v>10464</v>
      </c>
    </row>
    <row r="78" spans="1:8">
      <c r="A78" s="6"/>
      <c r="B78" s="8" t="s">
        <v>1105</v>
      </c>
      <c r="C78" s="8"/>
      <c r="D78" s="158">
        <v>916299.15</v>
      </c>
      <c r="F78" s="8" t="s">
        <v>1108</v>
      </c>
      <c r="G78" s="8">
        <v>0</v>
      </c>
      <c r="H78" s="160">
        <v>12451.2</v>
      </c>
    </row>
    <row r="79" spans="1:8">
      <c r="A79" s="6"/>
      <c r="B79" s="8" t="s">
        <v>1106</v>
      </c>
      <c r="C79" s="8"/>
      <c r="D79" s="159">
        <v>10464</v>
      </c>
      <c r="F79" s="8" t="s">
        <v>1105</v>
      </c>
      <c r="G79" s="8">
        <v>0</v>
      </c>
      <c r="H79" s="157">
        <v>916299.15</v>
      </c>
    </row>
    <row r="80" spans="1:8">
      <c r="A80" s="6"/>
      <c r="B80" s="8" t="s">
        <v>1107</v>
      </c>
      <c r="C80" s="8"/>
      <c r="D80" s="158">
        <v>944497.37</v>
      </c>
      <c r="F80" s="8" t="s">
        <v>1104</v>
      </c>
      <c r="G80" s="8">
        <v>0</v>
      </c>
      <c r="H80" s="157">
        <v>169394.01</v>
      </c>
    </row>
    <row r="81" spans="1:8">
      <c r="A81" s="6"/>
      <c r="B81" s="8" t="s">
        <v>1108</v>
      </c>
      <c r="C81" s="8"/>
      <c r="D81" s="159">
        <v>12451.2</v>
      </c>
      <c r="F81" s="8" t="s">
        <v>1107</v>
      </c>
      <c r="G81" s="8">
        <v>0</v>
      </c>
      <c r="H81" s="157">
        <v>944497.37</v>
      </c>
    </row>
    <row r="82" spans="1:8">
      <c r="A82" s="6"/>
      <c r="B82" s="8" t="s">
        <v>1109</v>
      </c>
      <c r="C82" s="8"/>
      <c r="D82" s="158">
        <v>1100640.8899999999</v>
      </c>
      <c r="F82" s="8" t="s">
        <v>1110</v>
      </c>
      <c r="G82" s="8">
        <v>0</v>
      </c>
      <c r="H82" s="160">
        <v>13920</v>
      </c>
    </row>
    <row r="83" spans="1:8">
      <c r="A83" s="6"/>
      <c r="B83" s="8" t="s">
        <v>1110</v>
      </c>
      <c r="C83" s="8"/>
      <c r="D83" s="159">
        <v>13920</v>
      </c>
      <c r="F83" s="8" t="s">
        <v>1109</v>
      </c>
      <c r="G83" s="8">
        <v>0</v>
      </c>
      <c r="H83" s="157">
        <v>1100640.8899999999</v>
      </c>
    </row>
    <row r="84" spans="1:8">
      <c r="A84" s="6"/>
      <c r="B84" s="8" t="s">
        <v>1111</v>
      </c>
      <c r="C84" s="8"/>
      <c r="D84" s="158">
        <v>943558.62</v>
      </c>
      <c r="F84" s="8" t="s">
        <v>1112</v>
      </c>
      <c r="G84" s="8">
        <v>0</v>
      </c>
      <c r="H84" s="160">
        <v>10128</v>
      </c>
    </row>
    <row r="85" spans="1:8">
      <c r="A85" s="6"/>
      <c r="B85" s="8" t="s">
        <v>1112</v>
      </c>
      <c r="C85" s="8"/>
      <c r="D85" s="159">
        <v>10128</v>
      </c>
      <c r="F85" s="8" t="s">
        <v>1111</v>
      </c>
      <c r="G85" s="8">
        <v>0</v>
      </c>
      <c r="H85" s="157">
        <v>943558.62</v>
      </c>
    </row>
    <row r="86" spans="1:8">
      <c r="A86" s="6"/>
      <c r="B86" s="8" t="s">
        <v>1113</v>
      </c>
      <c r="C86" s="8"/>
      <c r="D86" s="158">
        <v>1192860.54</v>
      </c>
      <c r="F86" s="8" t="s">
        <v>1114</v>
      </c>
      <c r="G86" s="8">
        <v>0</v>
      </c>
      <c r="H86" s="160">
        <v>6528</v>
      </c>
    </row>
    <row r="87" spans="1:8">
      <c r="A87" s="6"/>
      <c r="B87" s="8" t="s">
        <v>1114</v>
      </c>
      <c r="C87" s="8"/>
      <c r="D87" s="159">
        <v>6528</v>
      </c>
      <c r="F87" s="8" t="s">
        <v>1113</v>
      </c>
      <c r="G87" s="8">
        <v>0</v>
      </c>
      <c r="H87" s="157">
        <v>1192860.54</v>
      </c>
    </row>
    <row r="88" spans="1:8">
      <c r="A88" s="6"/>
      <c r="B88" s="8" t="s">
        <v>1115</v>
      </c>
      <c r="C88" s="8"/>
      <c r="D88" s="158">
        <v>701974.4</v>
      </c>
      <c r="F88" s="8" t="s">
        <v>1116</v>
      </c>
      <c r="G88" s="8">
        <v>0</v>
      </c>
      <c r="H88" s="160">
        <v>7392</v>
      </c>
    </row>
    <row r="89" spans="1:8">
      <c r="A89" s="6"/>
      <c r="B89" s="8" t="s">
        <v>1116</v>
      </c>
      <c r="C89" s="8"/>
      <c r="D89" s="159">
        <v>7392</v>
      </c>
      <c r="F89" s="8" t="s">
        <v>1115</v>
      </c>
      <c r="G89" s="8">
        <v>0</v>
      </c>
      <c r="H89" s="157">
        <v>701974.4</v>
      </c>
    </row>
    <row r="90" spans="1:8">
      <c r="A90" s="6"/>
      <c r="B90" s="8" t="s">
        <v>1117</v>
      </c>
      <c r="C90" s="8"/>
      <c r="D90" s="158">
        <v>1218856.01</v>
      </c>
      <c r="F90" s="8" t="s">
        <v>1118</v>
      </c>
      <c r="G90" s="8">
        <v>0</v>
      </c>
      <c r="H90" s="160">
        <v>10608</v>
      </c>
    </row>
    <row r="91" spans="1:8">
      <c r="A91" s="6"/>
      <c r="B91" s="8" t="s">
        <v>1118</v>
      </c>
      <c r="C91" s="8"/>
      <c r="D91" s="159">
        <v>10608</v>
      </c>
      <c r="F91" s="8" t="s">
        <v>1117</v>
      </c>
      <c r="G91" s="8">
        <v>0</v>
      </c>
      <c r="H91" s="157">
        <v>1218856.01</v>
      </c>
    </row>
    <row r="92" spans="1:8">
      <c r="A92" s="6"/>
      <c r="B92" s="8" t="s">
        <v>1119</v>
      </c>
      <c r="C92" s="8"/>
      <c r="D92" s="158">
        <v>785694.43</v>
      </c>
      <c r="F92" s="8" t="s">
        <v>1120</v>
      </c>
      <c r="G92" s="8">
        <v>0</v>
      </c>
      <c r="H92" s="160">
        <v>9168</v>
      </c>
    </row>
    <row r="93" spans="1:8">
      <c r="A93" s="6"/>
      <c r="B93" s="8" t="s">
        <v>1120</v>
      </c>
      <c r="C93" s="8"/>
      <c r="D93" s="159">
        <v>9168</v>
      </c>
      <c r="F93" s="8" t="s">
        <v>1119</v>
      </c>
      <c r="G93" s="8">
        <v>0</v>
      </c>
      <c r="H93" s="157">
        <v>785694.43</v>
      </c>
    </row>
    <row r="94" spans="1:8">
      <c r="A94" s="6"/>
      <c r="B94" s="8" t="s">
        <v>1121</v>
      </c>
      <c r="C94" s="8"/>
      <c r="D94" s="158">
        <v>474614.73</v>
      </c>
      <c r="F94" s="8" t="s">
        <v>1121</v>
      </c>
      <c r="G94" s="8">
        <v>0</v>
      </c>
      <c r="H94" s="157">
        <v>474614.73</v>
      </c>
    </row>
    <row r="95" spans="1:8">
      <c r="A95" s="6"/>
      <c r="B95" s="8" t="s">
        <v>1122</v>
      </c>
      <c r="C95" s="8"/>
      <c r="D95" s="158">
        <v>1449026.42</v>
      </c>
      <c r="F95" s="8" t="s">
        <v>1123</v>
      </c>
      <c r="G95" s="8">
        <v>0</v>
      </c>
      <c r="H95" s="160">
        <v>14448</v>
      </c>
    </row>
    <row r="96" spans="1:8">
      <c r="A96" s="6"/>
      <c r="B96" s="8" t="s">
        <v>1123</v>
      </c>
      <c r="C96" s="8"/>
      <c r="D96" s="159">
        <v>14448</v>
      </c>
      <c r="F96" s="8" t="s">
        <v>1122</v>
      </c>
      <c r="G96" s="8">
        <v>0</v>
      </c>
      <c r="H96" s="157">
        <v>1449026.42</v>
      </c>
    </row>
    <row r="97" spans="1:8">
      <c r="A97" s="6"/>
      <c r="B97" s="8" t="s">
        <v>1124</v>
      </c>
      <c r="C97" s="8"/>
      <c r="D97" s="158">
        <v>1370726.3</v>
      </c>
      <c r="F97" s="8" t="s">
        <v>1125</v>
      </c>
      <c r="G97" s="8">
        <v>0</v>
      </c>
      <c r="H97" s="160">
        <v>11520</v>
      </c>
    </row>
    <row r="98" spans="1:8">
      <c r="A98" s="6"/>
      <c r="B98" s="8" t="s">
        <v>1125</v>
      </c>
      <c r="C98" s="8"/>
      <c r="D98" s="159">
        <v>11520</v>
      </c>
      <c r="F98" s="8" t="s">
        <v>1124</v>
      </c>
      <c r="G98" s="8">
        <v>0</v>
      </c>
      <c r="H98" s="157">
        <v>1370726.3</v>
      </c>
    </row>
    <row r="99" spans="1:8">
      <c r="A99" s="6"/>
      <c r="B99" s="8" t="s">
        <v>1126</v>
      </c>
      <c r="C99" s="8"/>
      <c r="D99" s="158">
        <v>921031.59</v>
      </c>
      <c r="F99" s="8" t="s">
        <v>1127</v>
      </c>
      <c r="G99" s="8">
        <v>0</v>
      </c>
      <c r="H99" s="160">
        <v>10032</v>
      </c>
    </row>
    <row r="100" spans="1:8">
      <c r="A100" s="6"/>
      <c r="B100" s="8" t="s">
        <v>1127</v>
      </c>
      <c r="C100" s="8"/>
      <c r="D100" s="159">
        <v>10032</v>
      </c>
      <c r="F100" s="8" t="s">
        <v>1126</v>
      </c>
      <c r="G100" s="8">
        <v>0</v>
      </c>
      <c r="H100" s="157">
        <v>921031.59</v>
      </c>
    </row>
    <row r="101" spans="1:8">
      <c r="A101" s="6"/>
      <c r="B101" s="8" t="s">
        <v>1128</v>
      </c>
      <c r="C101" s="8"/>
      <c r="D101" s="158">
        <v>899.17</v>
      </c>
      <c r="F101" s="8" t="s">
        <v>1130</v>
      </c>
      <c r="G101" s="8">
        <v>0</v>
      </c>
      <c r="H101" s="160">
        <v>13440</v>
      </c>
    </row>
    <row r="102" spans="1:8">
      <c r="A102" s="6"/>
      <c r="B102" s="8" t="s">
        <v>1129</v>
      </c>
      <c r="C102" s="8"/>
      <c r="D102" s="158">
        <v>1279627.7</v>
      </c>
      <c r="F102" s="8" t="s">
        <v>1128</v>
      </c>
      <c r="G102" s="8">
        <v>0</v>
      </c>
      <c r="H102" s="157">
        <v>899.17</v>
      </c>
    </row>
    <row r="103" spans="1:8">
      <c r="A103" s="6"/>
      <c r="B103" s="8" t="s">
        <v>1130</v>
      </c>
      <c r="C103" s="8"/>
      <c r="D103" s="159">
        <v>13440</v>
      </c>
      <c r="F103" s="8" t="s">
        <v>1129</v>
      </c>
      <c r="G103" s="8">
        <v>0</v>
      </c>
      <c r="H103" s="157">
        <v>1279627.7</v>
      </c>
    </row>
    <row r="104" spans="1:8">
      <c r="A104" s="6"/>
      <c r="B104" s="8" t="s">
        <v>1131</v>
      </c>
      <c r="C104" s="8"/>
      <c r="D104" s="158">
        <v>1495085.98</v>
      </c>
      <c r="F104" s="8" t="s">
        <v>1132</v>
      </c>
      <c r="G104" s="8">
        <v>0</v>
      </c>
      <c r="H104" s="160">
        <v>13344</v>
      </c>
    </row>
    <row r="105" spans="1:8">
      <c r="A105" s="6"/>
      <c r="B105" s="8" t="s">
        <v>1132</v>
      </c>
      <c r="C105" s="8"/>
      <c r="D105" s="159">
        <v>13344</v>
      </c>
      <c r="F105" s="8" t="s">
        <v>1131</v>
      </c>
      <c r="G105" s="8">
        <v>0</v>
      </c>
      <c r="H105" s="157">
        <v>1495085.98</v>
      </c>
    </row>
    <row r="106" spans="1:8">
      <c r="A106" s="6"/>
      <c r="B106" s="8" t="s">
        <v>1133</v>
      </c>
      <c r="C106" s="8"/>
      <c r="D106" s="158">
        <v>1260506.3799999999</v>
      </c>
      <c r="F106" s="8" t="s">
        <v>1134</v>
      </c>
      <c r="G106" s="8">
        <v>0</v>
      </c>
      <c r="H106" s="160">
        <v>14016</v>
      </c>
    </row>
    <row r="107" spans="1:8">
      <c r="A107" s="6"/>
      <c r="B107" s="8" t="s">
        <v>1134</v>
      </c>
      <c r="C107" s="8"/>
      <c r="D107" s="159">
        <v>14016</v>
      </c>
      <c r="F107" s="8" t="s">
        <v>1133</v>
      </c>
      <c r="G107" s="8">
        <v>0</v>
      </c>
      <c r="H107" s="157">
        <v>1260506.3799999999</v>
      </c>
    </row>
    <row r="108" spans="1:8">
      <c r="A108" s="6"/>
      <c r="B108" s="8" t="s">
        <v>1135</v>
      </c>
      <c r="C108" s="8"/>
      <c r="D108" s="158">
        <v>965581.83</v>
      </c>
      <c r="F108" s="8" t="s">
        <v>1136</v>
      </c>
      <c r="G108" s="8">
        <v>0</v>
      </c>
      <c r="H108" s="160">
        <v>10608</v>
      </c>
    </row>
    <row r="109" spans="1:8">
      <c r="A109" s="6"/>
      <c r="B109" s="8" t="s">
        <v>1136</v>
      </c>
      <c r="C109" s="8"/>
      <c r="D109" s="159">
        <v>10608</v>
      </c>
      <c r="F109" s="8" t="s">
        <v>1135</v>
      </c>
      <c r="G109" s="8">
        <v>0</v>
      </c>
      <c r="H109" s="157">
        <v>965581.83</v>
      </c>
    </row>
    <row r="110" spans="1:8">
      <c r="A110" s="6"/>
      <c r="B110" s="8" t="s">
        <v>1137</v>
      </c>
      <c r="C110" s="8"/>
      <c r="D110" s="158">
        <v>571017.74</v>
      </c>
      <c r="F110" s="8" t="s">
        <v>1139</v>
      </c>
      <c r="G110" s="8">
        <v>0</v>
      </c>
      <c r="H110" s="160">
        <v>18576</v>
      </c>
    </row>
    <row r="111" spans="1:8">
      <c r="A111" s="6"/>
      <c r="B111" s="8" t="s">
        <v>1138</v>
      </c>
      <c r="C111" s="8"/>
      <c r="D111" s="158">
        <v>1245712.99</v>
      </c>
      <c r="F111" s="8" t="s">
        <v>1137</v>
      </c>
      <c r="G111" s="8">
        <v>0</v>
      </c>
      <c r="H111" s="157">
        <v>571017.74</v>
      </c>
    </row>
    <row r="112" spans="1:8">
      <c r="A112" s="6"/>
      <c r="B112" s="8" t="s">
        <v>1139</v>
      </c>
      <c r="C112" s="8"/>
      <c r="D112" s="159">
        <v>18576</v>
      </c>
      <c r="F112" s="8" t="s">
        <v>1138</v>
      </c>
      <c r="G112" s="8">
        <v>0</v>
      </c>
      <c r="H112" s="157">
        <v>1245712.99</v>
      </c>
    </row>
    <row r="113" spans="1:8">
      <c r="A113" s="6"/>
      <c r="B113" s="8" t="s">
        <v>1140</v>
      </c>
      <c r="C113" s="8"/>
      <c r="D113" s="158">
        <v>913301.11</v>
      </c>
      <c r="F113" s="8" t="s">
        <v>1141</v>
      </c>
      <c r="G113" s="8">
        <v>0</v>
      </c>
      <c r="H113" s="160">
        <v>13632</v>
      </c>
    </row>
    <row r="114" spans="1:8">
      <c r="A114" s="6"/>
      <c r="B114" s="8" t="s">
        <v>1141</v>
      </c>
      <c r="C114" s="8"/>
      <c r="D114" s="159">
        <v>13632</v>
      </c>
      <c r="F114" s="8" t="s">
        <v>1140</v>
      </c>
      <c r="G114" s="8">
        <v>0</v>
      </c>
      <c r="H114" s="157">
        <v>913301.11</v>
      </c>
    </row>
    <row r="115" spans="1:8">
      <c r="A115" s="6"/>
      <c r="B115" s="8" t="s">
        <v>1142</v>
      </c>
      <c r="C115" s="8"/>
      <c r="D115" s="158">
        <v>1319317.08</v>
      </c>
      <c r="F115" s="8" t="s">
        <v>1143</v>
      </c>
      <c r="G115" s="8">
        <v>0</v>
      </c>
      <c r="H115" s="160">
        <v>13824</v>
      </c>
    </row>
    <row r="116" spans="1:8">
      <c r="A116" s="6"/>
      <c r="B116" s="8" t="s">
        <v>1143</v>
      </c>
      <c r="C116" s="8"/>
      <c r="D116" s="159">
        <v>13824</v>
      </c>
      <c r="F116" s="8" t="s">
        <v>1142</v>
      </c>
      <c r="G116" s="8">
        <v>0</v>
      </c>
      <c r="H116" s="157">
        <v>1319317.08</v>
      </c>
    </row>
    <row r="117" spans="1:8">
      <c r="A117" s="6"/>
      <c r="B117" s="8" t="s">
        <v>1144</v>
      </c>
      <c r="C117" s="8"/>
      <c r="D117" s="158">
        <v>1359856.67</v>
      </c>
      <c r="F117" s="8" t="s">
        <v>1145</v>
      </c>
      <c r="G117" s="8">
        <v>0</v>
      </c>
      <c r="H117" s="160">
        <v>15264</v>
      </c>
    </row>
    <row r="118" spans="1:8">
      <c r="A118" s="6"/>
      <c r="B118" s="8" t="s">
        <v>1145</v>
      </c>
      <c r="C118" s="8"/>
      <c r="D118" s="159">
        <v>15264</v>
      </c>
      <c r="F118" s="8" t="s">
        <v>1144</v>
      </c>
      <c r="G118" s="8">
        <v>0</v>
      </c>
      <c r="H118" s="157">
        <v>1359856.67</v>
      </c>
    </row>
    <row r="119" spans="1:8">
      <c r="A119" s="6"/>
      <c r="B119" s="8" t="s">
        <v>1146</v>
      </c>
      <c r="C119" s="8"/>
      <c r="D119" s="158">
        <v>1057290.19</v>
      </c>
      <c r="F119" s="8" t="s">
        <v>1147</v>
      </c>
      <c r="G119" s="8">
        <v>0</v>
      </c>
      <c r="H119" s="160">
        <v>17712</v>
      </c>
    </row>
    <row r="120" spans="1:8">
      <c r="A120" s="6"/>
      <c r="B120" s="8" t="s">
        <v>1147</v>
      </c>
      <c r="C120" s="8"/>
      <c r="D120" s="159">
        <v>17712</v>
      </c>
      <c r="F120" s="8" t="s">
        <v>1149</v>
      </c>
      <c r="G120" s="8">
        <v>0</v>
      </c>
      <c r="H120" s="160">
        <v>2928</v>
      </c>
    </row>
    <row r="121" spans="1:8">
      <c r="A121" s="6"/>
      <c r="B121" s="8" t="s">
        <v>1148</v>
      </c>
      <c r="C121" s="8"/>
      <c r="D121" s="158">
        <v>1301483.3700000001</v>
      </c>
      <c r="F121" s="8" t="s">
        <v>1146</v>
      </c>
      <c r="G121" s="8">
        <v>0</v>
      </c>
      <c r="H121" s="157">
        <v>1057290.19</v>
      </c>
    </row>
    <row r="122" spans="1:8">
      <c r="A122" s="6"/>
      <c r="B122" s="8" t="s">
        <v>1149</v>
      </c>
      <c r="C122" s="8"/>
      <c r="D122" s="159">
        <v>2928</v>
      </c>
      <c r="F122" s="8" t="s">
        <v>1148</v>
      </c>
      <c r="G122" s="8">
        <v>0</v>
      </c>
      <c r="H122" s="157">
        <v>1301483.3700000001</v>
      </c>
    </row>
    <row r="123" spans="1:8">
      <c r="A123" s="6"/>
      <c r="B123" s="8" t="s">
        <v>1150</v>
      </c>
      <c r="C123" s="8"/>
      <c r="D123" s="158">
        <v>1269459.5900000001</v>
      </c>
      <c r="F123" s="8" t="s">
        <v>1151</v>
      </c>
      <c r="G123" s="8">
        <v>0</v>
      </c>
      <c r="H123" s="160">
        <v>12384</v>
      </c>
    </row>
    <row r="124" spans="1:8">
      <c r="A124" s="6"/>
      <c r="B124" s="8" t="s">
        <v>1151</v>
      </c>
      <c r="C124" s="8"/>
      <c r="D124" s="159">
        <v>12384</v>
      </c>
      <c r="F124" s="8" t="s">
        <v>1150</v>
      </c>
      <c r="G124" s="8">
        <v>0</v>
      </c>
      <c r="H124" s="157">
        <v>1269459.5900000001</v>
      </c>
    </row>
    <row r="125" spans="1:8">
      <c r="A125" s="6"/>
      <c r="B125" s="8" t="s">
        <v>1152</v>
      </c>
      <c r="C125" s="8"/>
      <c r="D125" s="158">
        <v>177399.96</v>
      </c>
      <c r="F125" s="8" t="s">
        <v>1153</v>
      </c>
      <c r="G125" s="8">
        <v>0</v>
      </c>
      <c r="H125" s="160">
        <v>1728</v>
      </c>
    </row>
    <row r="126" spans="1:8">
      <c r="A126" s="6"/>
      <c r="B126" s="8" t="s">
        <v>1153</v>
      </c>
      <c r="C126" s="8"/>
      <c r="D126" s="159">
        <v>1728</v>
      </c>
      <c r="F126" s="8" t="s">
        <v>1155</v>
      </c>
      <c r="G126" s="8">
        <v>0</v>
      </c>
      <c r="H126" s="160">
        <v>12240</v>
      </c>
    </row>
    <row r="127" spans="1:8">
      <c r="A127" s="6"/>
      <c r="B127" s="8" t="s">
        <v>1154</v>
      </c>
      <c r="C127" s="8"/>
      <c r="D127" s="158">
        <v>928744.95999999996</v>
      </c>
      <c r="F127" s="8" t="s">
        <v>1152</v>
      </c>
      <c r="G127" s="8">
        <v>0</v>
      </c>
      <c r="H127" s="157">
        <v>177399.96</v>
      </c>
    </row>
    <row r="128" spans="1:8">
      <c r="A128" s="6"/>
      <c r="B128" s="8" t="s">
        <v>1155</v>
      </c>
      <c r="C128" s="8"/>
      <c r="D128" s="159">
        <v>12240</v>
      </c>
      <c r="F128" s="8" t="s">
        <v>1154</v>
      </c>
      <c r="G128" s="8">
        <v>0</v>
      </c>
      <c r="H128" s="157">
        <v>928744.95999999996</v>
      </c>
    </row>
    <row r="129" spans="1:8">
      <c r="A129" s="6"/>
      <c r="B129" s="8" t="s">
        <v>1156</v>
      </c>
      <c r="C129" s="8"/>
      <c r="D129" s="158">
        <v>1091137.04</v>
      </c>
      <c r="F129" s="8" t="s">
        <v>1157</v>
      </c>
      <c r="G129" s="8">
        <v>0</v>
      </c>
      <c r="H129" s="160">
        <v>18720</v>
      </c>
    </row>
    <row r="130" spans="1:8">
      <c r="A130" s="6"/>
      <c r="B130" s="8" t="s">
        <v>1157</v>
      </c>
      <c r="C130" s="8"/>
      <c r="D130" s="159">
        <v>18720</v>
      </c>
      <c r="F130" s="8" t="s">
        <v>1159</v>
      </c>
      <c r="G130" s="8">
        <v>0</v>
      </c>
      <c r="H130" s="157">
        <v>480</v>
      </c>
    </row>
    <row r="131" spans="1:8">
      <c r="A131" s="6"/>
      <c r="B131" s="8" t="s">
        <v>1158</v>
      </c>
      <c r="C131" s="8"/>
      <c r="D131" s="158">
        <v>221842.8</v>
      </c>
      <c r="F131" s="8" t="s">
        <v>1156</v>
      </c>
      <c r="G131" s="8">
        <v>0</v>
      </c>
      <c r="H131" s="157">
        <v>1091137.04</v>
      </c>
    </row>
    <row r="132" spans="1:8">
      <c r="A132" s="6"/>
      <c r="B132" s="8" t="s">
        <v>1159</v>
      </c>
      <c r="C132" s="8"/>
      <c r="D132" s="158">
        <v>480</v>
      </c>
      <c r="F132" s="8" t="s">
        <v>1158</v>
      </c>
      <c r="G132" s="8">
        <v>0</v>
      </c>
      <c r="H132" s="157">
        <v>221842.8</v>
      </c>
    </row>
    <row r="133" spans="1:8">
      <c r="A133" s="6"/>
      <c r="B133" s="8" t="s">
        <v>1160</v>
      </c>
      <c r="C133" s="8"/>
      <c r="D133" s="158">
        <v>581074.05000000005</v>
      </c>
      <c r="F133" s="8" t="s">
        <v>1162</v>
      </c>
      <c r="G133" s="8">
        <v>0</v>
      </c>
      <c r="H133" s="160">
        <v>15504</v>
      </c>
    </row>
    <row r="134" spans="1:8">
      <c r="A134" s="6"/>
      <c r="B134" s="8" t="s">
        <v>1161</v>
      </c>
      <c r="C134" s="8"/>
      <c r="D134" s="158">
        <v>975088.09</v>
      </c>
      <c r="F134" s="8" t="s">
        <v>1160</v>
      </c>
      <c r="G134" s="8">
        <v>0</v>
      </c>
      <c r="H134" s="157">
        <v>581074.05000000005</v>
      </c>
    </row>
    <row r="135" spans="1:8">
      <c r="A135" s="6"/>
      <c r="B135" s="8" t="s">
        <v>1162</v>
      </c>
      <c r="C135" s="8"/>
      <c r="D135" s="159">
        <v>15504</v>
      </c>
      <c r="F135" s="8" t="s">
        <v>1161</v>
      </c>
      <c r="G135" s="8">
        <v>0</v>
      </c>
      <c r="H135" s="157">
        <v>975088.08</v>
      </c>
    </row>
    <row r="136" spans="1:8">
      <c r="A136" s="6"/>
      <c r="B136" s="8" t="s">
        <v>1163</v>
      </c>
      <c r="C136" s="8"/>
      <c r="D136" s="158">
        <v>858991.9</v>
      </c>
      <c r="F136" s="8" t="s">
        <v>1164</v>
      </c>
      <c r="G136" s="8">
        <v>0</v>
      </c>
      <c r="H136" s="160">
        <v>14544</v>
      </c>
    </row>
    <row r="137" spans="1:8">
      <c r="A137" s="6"/>
      <c r="B137" s="8" t="s">
        <v>1164</v>
      </c>
      <c r="C137" s="8"/>
      <c r="D137" s="159">
        <v>14544</v>
      </c>
      <c r="F137" s="8" t="s">
        <v>1166</v>
      </c>
      <c r="G137" s="8">
        <v>0</v>
      </c>
      <c r="H137" s="157">
        <v>672</v>
      </c>
    </row>
    <row r="138" spans="1:8">
      <c r="A138" s="6"/>
      <c r="B138" s="8" t="s">
        <v>1165</v>
      </c>
      <c r="C138" s="8"/>
      <c r="D138" s="158">
        <v>292437.89</v>
      </c>
      <c r="F138" s="8" t="s">
        <v>1163</v>
      </c>
      <c r="G138" s="8">
        <v>0</v>
      </c>
      <c r="H138" s="157">
        <v>858991.9</v>
      </c>
    </row>
    <row r="139" spans="1:8">
      <c r="A139" s="6"/>
      <c r="B139" s="8" t="s">
        <v>1166</v>
      </c>
      <c r="C139" s="8"/>
      <c r="D139" s="158">
        <v>672</v>
      </c>
      <c r="F139" s="8" t="s">
        <v>1165</v>
      </c>
      <c r="G139" s="8">
        <v>0</v>
      </c>
      <c r="H139" s="157">
        <v>292437.89</v>
      </c>
    </row>
    <row r="140" spans="1:8">
      <c r="A140" s="6"/>
      <c r="B140" s="8" t="s">
        <v>1167</v>
      </c>
      <c r="C140" s="8"/>
      <c r="D140" s="158">
        <v>1014545.83</v>
      </c>
      <c r="F140" s="8" t="s">
        <v>1168</v>
      </c>
      <c r="G140" s="8">
        <v>0</v>
      </c>
      <c r="H140" s="160">
        <v>17184</v>
      </c>
    </row>
    <row r="141" spans="1:8">
      <c r="A141" s="6"/>
      <c r="B141" s="8" t="s">
        <v>1168</v>
      </c>
      <c r="C141" s="8"/>
      <c r="D141" s="159">
        <v>17184</v>
      </c>
      <c r="F141" s="8" t="s">
        <v>1167</v>
      </c>
      <c r="G141" s="8">
        <v>0</v>
      </c>
      <c r="H141" s="157">
        <v>1014545.83</v>
      </c>
    </row>
    <row r="142" spans="1:8">
      <c r="A142" s="6"/>
      <c r="B142" s="8" t="s">
        <v>1169</v>
      </c>
      <c r="C142" s="8"/>
      <c r="D142" s="158">
        <v>1180317.93</v>
      </c>
      <c r="F142" s="8" t="s">
        <v>1170</v>
      </c>
      <c r="G142" s="8">
        <v>0</v>
      </c>
      <c r="H142" s="160">
        <v>15840</v>
      </c>
    </row>
    <row r="143" spans="1:8">
      <c r="A143" s="6"/>
      <c r="B143" s="8" t="s">
        <v>1170</v>
      </c>
      <c r="C143" s="8"/>
      <c r="D143" s="159">
        <v>15840</v>
      </c>
      <c r="F143" s="8" t="s">
        <v>1169</v>
      </c>
      <c r="G143" s="8">
        <v>0</v>
      </c>
      <c r="H143" s="157">
        <v>1180317.93</v>
      </c>
    </row>
    <row r="144" spans="1:8">
      <c r="A144" s="6"/>
      <c r="B144" s="8" t="s">
        <v>1171</v>
      </c>
      <c r="C144" s="8"/>
      <c r="D144" s="158">
        <v>1209444.4099999999</v>
      </c>
      <c r="F144" s="8" t="s">
        <v>1172</v>
      </c>
      <c r="G144" s="8">
        <v>0</v>
      </c>
      <c r="H144" s="160">
        <v>17232</v>
      </c>
    </row>
    <row r="145" spans="1:8">
      <c r="A145" s="6"/>
      <c r="B145" s="8" t="s">
        <v>1172</v>
      </c>
      <c r="C145" s="8"/>
      <c r="D145" s="159">
        <v>17232</v>
      </c>
      <c r="F145" s="8" t="s">
        <v>1171</v>
      </c>
      <c r="G145" s="8">
        <v>0</v>
      </c>
      <c r="H145" s="157">
        <v>1209444.4099999999</v>
      </c>
    </row>
    <row r="146" spans="1:8">
      <c r="A146" s="6"/>
      <c r="B146" s="8" t="s">
        <v>1173</v>
      </c>
      <c r="C146" s="8"/>
      <c r="D146" s="159">
        <v>6700</v>
      </c>
      <c r="F146" s="8" t="s">
        <v>1173</v>
      </c>
      <c r="G146" s="8">
        <v>0</v>
      </c>
      <c r="H146" s="160">
        <v>6700</v>
      </c>
    </row>
    <row r="147" spans="1:8">
      <c r="A147" s="6"/>
      <c r="B147" s="8" t="s">
        <v>1174</v>
      </c>
      <c r="C147" s="8"/>
      <c r="D147" s="158">
        <v>938452.6</v>
      </c>
      <c r="F147" s="8" t="s">
        <v>1175</v>
      </c>
      <c r="G147" s="8">
        <v>0</v>
      </c>
      <c r="H147" s="160">
        <v>15043.2</v>
      </c>
    </row>
    <row r="148" spans="1:8">
      <c r="A148" s="6"/>
      <c r="B148" s="8" t="s">
        <v>1175</v>
      </c>
      <c r="C148" s="8"/>
      <c r="D148" s="159">
        <v>15043.2</v>
      </c>
      <c r="F148" s="8" t="s">
        <v>1174</v>
      </c>
      <c r="G148" s="8">
        <v>0</v>
      </c>
      <c r="H148" s="157">
        <v>938452.6</v>
      </c>
    </row>
    <row r="149" spans="1:8">
      <c r="A149" s="6"/>
      <c r="B149" s="8" t="s">
        <v>1176</v>
      </c>
      <c r="C149" s="8"/>
      <c r="D149" s="158">
        <v>906785.95</v>
      </c>
      <c r="F149" s="8" t="s">
        <v>1177</v>
      </c>
      <c r="G149" s="8">
        <v>0</v>
      </c>
      <c r="H149" s="160">
        <v>14880</v>
      </c>
    </row>
    <row r="150" spans="1:8">
      <c r="A150" s="6"/>
      <c r="B150" s="8" t="s">
        <v>1177</v>
      </c>
      <c r="C150" s="8"/>
      <c r="D150" s="159">
        <v>14880</v>
      </c>
      <c r="F150" s="8" t="s">
        <v>1176</v>
      </c>
      <c r="G150" s="8">
        <v>0</v>
      </c>
      <c r="H150" s="157">
        <v>906785.95</v>
      </c>
    </row>
    <row r="151" spans="1:8">
      <c r="A151" s="6"/>
      <c r="B151" s="8" t="s">
        <v>1178</v>
      </c>
      <c r="C151" s="8"/>
      <c r="D151" s="158">
        <v>850744.55</v>
      </c>
      <c r="F151" s="8" t="s">
        <v>1179</v>
      </c>
      <c r="G151" s="8">
        <v>0</v>
      </c>
      <c r="H151" s="160">
        <v>11184</v>
      </c>
    </row>
    <row r="152" spans="1:8">
      <c r="A152" s="6"/>
      <c r="B152" s="8" t="s">
        <v>1179</v>
      </c>
      <c r="C152" s="8"/>
      <c r="D152" s="159">
        <v>11184</v>
      </c>
      <c r="F152" s="8" t="s">
        <v>1178</v>
      </c>
      <c r="G152" s="8">
        <v>0</v>
      </c>
      <c r="H152" s="157">
        <v>850744.55</v>
      </c>
    </row>
    <row r="153" spans="1:8">
      <c r="A153" s="6"/>
      <c r="B153" s="8" t="s">
        <v>1180</v>
      </c>
      <c r="C153" s="8"/>
      <c r="D153" s="158">
        <v>212084.45</v>
      </c>
      <c r="F153" s="8" t="s">
        <v>1182</v>
      </c>
      <c r="G153" s="8">
        <v>0</v>
      </c>
      <c r="H153" s="160">
        <v>17280</v>
      </c>
    </row>
    <row r="154" spans="1:8">
      <c r="A154" s="6"/>
      <c r="B154" s="8" t="s">
        <v>1181</v>
      </c>
      <c r="C154" s="8"/>
      <c r="D154" s="158">
        <v>354952.14</v>
      </c>
      <c r="F154" s="8" t="s">
        <v>1180</v>
      </c>
      <c r="G154" s="8">
        <v>0</v>
      </c>
      <c r="H154" s="157">
        <v>212084.45</v>
      </c>
    </row>
    <row r="155" spans="1:8">
      <c r="A155" s="6"/>
      <c r="B155" s="8" t="s">
        <v>1182</v>
      </c>
      <c r="C155" s="8"/>
      <c r="D155" s="159">
        <v>17280</v>
      </c>
      <c r="F155" s="8" t="s">
        <v>1181</v>
      </c>
      <c r="G155" s="8">
        <v>0</v>
      </c>
      <c r="H155" s="157">
        <v>354952.14</v>
      </c>
    </row>
    <row r="156" spans="1:8">
      <c r="A156" s="6"/>
      <c r="B156" s="8" t="s">
        <v>1183</v>
      </c>
      <c r="C156" s="8"/>
      <c r="D156" s="158">
        <v>1205735.76</v>
      </c>
      <c r="F156" s="8" t="s">
        <v>1183</v>
      </c>
      <c r="G156" s="8">
        <v>0</v>
      </c>
      <c r="H156" s="157">
        <v>1205735.76</v>
      </c>
    </row>
    <row r="157" spans="1:8">
      <c r="A157" s="6"/>
      <c r="B157" s="8" t="s">
        <v>1184</v>
      </c>
      <c r="C157" s="8"/>
      <c r="D157" s="158">
        <v>876817.87</v>
      </c>
      <c r="F157" s="8" t="s">
        <v>1185</v>
      </c>
      <c r="G157" s="8">
        <v>0</v>
      </c>
      <c r="H157" s="160">
        <v>14976</v>
      </c>
    </row>
    <row r="158" spans="1:8">
      <c r="A158" s="6"/>
      <c r="B158" s="8" t="s">
        <v>1185</v>
      </c>
      <c r="C158" s="8"/>
      <c r="D158" s="159">
        <v>14976</v>
      </c>
      <c r="F158" s="8" t="s">
        <v>1184</v>
      </c>
      <c r="G158" s="8">
        <v>0</v>
      </c>
      <c r="H158" s="157">
        <v>876817.87</v>
      </c>
    </row>
    <row r="159" spans="1:8">
      <c r="A159" s="6"/>
      <c r="B159" s="8">
        <v>795</v>
      </c>
      <c r="C159" s="8"/>
      <c r="D159" s="156">
        <v>62852.32</v>
      </c>
      <c r="F159" s="8" t="s">
        <v>752</v>
      </c>
      <c r="G159" s="8">
        <v>0</v>
      </c>
      <c r="H159" s="160">
        <v>14016</v>
      </c>
    </row>
    <row r="160" spans="1:8">
      <c r="A160" s="6"/>
      <c r="B160" s="8" t="s">
        <v>753</v>
      </c>
      <c r="C160" s="8"/>
      <c r="D160" s="158">
        <v>1051235.42</v>
      </c>
      <c r="F160" s="8" t="s">
        <v>753</v>
      </c>
      <c r="G160" s="8">
        <v>0</v>
      </c>
      <c r="H160" s="157">
        <v>1051235.42</v>
      </c>
    </row>
    <row r="161" spans="1:16">
      <c r="A161" s="6"/>
      <c r="B161" s="8" t="s">
        <v>752</v>
      </c>
      <c r="C161" s="8"/>
      <c r="D161" s="159">
        <v>14016</v>
      </c>
      <c r="F161" s="8" t="s">
        <v>755</v>
      </c>
      <c r="G161" s="8">
        <v>0</v>
      </c>
      <c r="H161" s="160">
        <v>11472</v>
      </c>
    </row>
    <row r="162" spans="1:16">
      <c r="A162" s="6"/>
      <c r="B162" s="8" t="s">
        <v>756</v>
      </c>
      <c r="C162" s="8"/>
      <c r="D162" s="158">
        <v>804753.87</v>
      </c>
      <c r="F162" s="8" t="s">
        <v>756</v>
      </c>
      <c r="G162" s="8">
        <v>0</v>
      </c>
      <c r="H162" s="157">
        <v>804753.87</v>
      </c>
    </row>
    <row r="163" spans="1:16">
      <c r="A163" s="6"/>
      <c r="B163" s="8" t="s">
        <v>755</v>
      </c>
      <c r="C163" s="8"/>
      <c r="D163" s="159">
        <v>11472</v>
      </c>
      <c r="F163" s="8" t="s">
        <v>757</v>
      </c>
      <c r="G163" s="8">
        <v>0</v>
      </c>
      <c r="H163" s="160">
        <v>12528</v>
      </c>
      <c r="J163" s="30"/>
      <c r="K163" s="5" t="s">
        <v>157</v>
      </c>
      <c r="L163" s="5" t="s">
        <v>216</v>
      </c>
      <c r="M163" s="5" t="s">
        <v>217</v>
      </c>
      <c r="N163" s="5" t="s">
        <v>218</v>
      </c>
      <c r="O163" s="5" t="s">
        <v>219</v>
      </c>
      <c r="P163" s="5" t="s">
        <v>220</v>
      </c>
    </row>
    <row r="164" spans="1:16">
      <c r="A164" s="6"/>
      <c r="B164" s="8" t="s">
        <v>758</v>
      </c>
      <c r="C164" s="8"/>
      <c r="D164" s="158">
        <v>1128633.1599999999</v>
      </c>
      <c r="F164" s="8" t="s">
        <v>758</v>
      </c>
      <c r="G164" s="8">
        <v>0</v>
      </c>
      <c r="H164" s="157">
        <v>1128633.1599999999</v>
      </c>
      <c r="J164" s="80"/>
      <c r="K164" s="8" t="s">
        <v>1191</v>
      </c>
      <c r="L164" s="8" t="s">
        <v>87</v>
      </c>
      <c r="M164" s="156">
        <v>1551375811.45</v>
      </c>
      <c r="N164" s="155" t="s">
        <v>225</v>
      </c>
      <c r="O164" s="156">
        <v>43959869.420000002</v>
      </c>
      <c r="P164" s="156">
        <v>1595335680.8699999</v>
      </c>
    </row>
    <row r="165" spans="1:16">
      <c r="A165" s="6"/>
      <c r="B165" s="8" t="s">
        <v>757</v>
      </c>
      <c r="C165" s="8"/>
      <c r="D165" s="159">
        <v>12528</v>
      </c>
      <c r="F165" s="8" t="s">
        <v>759</v>
      </c>
      <c r="G165" s="8">
        <v>0</v>
      </c>
      <c r="H165" s="160">
        <v>10896</v>
      </c>
      <c r="J165" s="80"/>
      <c r="K165" s="8" t="s">
        <v>1191</v>
      </c>
      <c r="L165" s="8" t="s">
        <v>61</v>
      </c>
      <c r="M165" s="156">
        <v>454151849.54000002</v>
      </c>
      <c r="N165" s="158" t="s">
        <v>971</v>
      </c>
      <c r="O165" s="155" t="s">
        <v>225</v>
      </c>
      <c r="P165" s="155">
        <v>470340886.88999999</v>
      </c>
    </row>
    <row r="166" spans="1:16">
      <c r="A166" s="6"/>
      <c r="B166" s="8" t="s">
        <v>760</v>
      </c>
      <c r="C166" s="8"/>
      <c r="D166" s="158">
        <v>788846.87</v>
      </c>
      <c r="F166" s="8" t="s">
        <v>760</v>
      </c>
      <c r="G166" s="8">
        <v>0</v>
      </c>
      <c r="H166" s="157">
        <v>788846.87</v>
      </c>
      <c r="M166" s="125">
        <f>+M164-M165</f>
        <v>1097223961.9100001</v>
      </c>
      <c r="P166" s="125">
        <f>+P164-P165</f>
        <v>1124994793.98</v>
      </c>
    </row>
    <row r="167" spans="1:16">
      <c r="A167" s="6"/>
      <c r="B167" s="8" t="s">
        <v>759</v>
      </c>
      <c r="C167" s="8"/>
      <c r="D167" s="159">
        <v>10896</v>
      </c>
      <c r="F167" s="8" t="s">
        <v>762</v>
      </c>
      <c r="G167" s="8">
        <v>0</v>
      </c>
      <c r="H167" s="160">
        <v>12048</v>
      </c>
    </row>
    <row r="168" spans="1:16">
      <c r="A168" s="6"/>
      <c r="B168" s="8" t="s">
        <v>763</v>
      </c>
      <c r="C168" s="8"/>
      <c r="D168" s="158">
        <v>178231.96</v>
      </c>
      <c r="F168" s="8" t="s">
        <v>763</v>
      </c>
      <c r="G168" s="8">
        <v>0</v>
      </c>
      <c r="H168" s="157">
        <v>178231.96</v>
      </c>
    </row>
    <row r="169" spans="1:16">
      <c r="A169" s="6"/>
      <c r="B169" s="8" t="s">
        <v>764</v>
      </c>
      <c r="C169" s="8"/>
      <c r="D169" s="158">
        <v>813554.06</v>
      </c>
      <c r="F169" s="8" t="s">
        <v>764</v>
      </c>
      <c r="G169" s="8">
        <v>0</v>
      </c>
      <c r="H169" s="157">
        <v>813554.06</v>
      </c>
      <c r="K169" s="5" t="s">
        <v>157</v>
      </c>
      <c r="L169" s="5" t="s">
        <v>216</v>
      </c>
      <c r="M169" s="5" t="s">
        <v>217</v>
      </c>
      <c r="N169" s="5" t="s">
        <v>218</v>
      </c>
      <c r="O169" s="5" t="s">
        <v>219</v>
      </c>
      <c r="P169" s="5" t="s">
        <v>220</v>
      </c>
    </row>
    <row r="170" spans="1:16">
      <c r="A170" s="6"/>
      <c r="B170" s="8" t="s">
        <v>762</v>
      </c>
      <c r="C170" s="8"/>
      <c r="D170" s="159">
        <v>12048</v>
      </c>
      <c r="F170" s="8" t="s">
        <v>767</v>
      </c>
      <c r="G170" s="8">
        <v>0</v>
      </c>
      <c r="H170" s="160">
        <v>12528</v>
      </c>
      <c r="K170" s="8" t="s">
        <v>270</v>
      </c>
      <c r="L170" s="8" t="s">
        <v>221</v>
      </c>
      <c r="M170" s="156">
        <v>560308465.34000003</v>
      </c>
      <c r="N170" s="156">
        <v>114608</v>
      </c>
      <c r="O170" s="158" t="s">
        <v>972</v>
      </c>
      <c r="P170" s="155">
        <v>576382892.34000003</v>
      </c>
    </row>
    <row r="171" spans="1:16">
      <c r="A171" s="6"/>
      <c r="B171" s="8" t="s">
        <v>768</v>
      </c>
      <c r="C171" s="8"/>
      <c r="D171" s="158">
        <v>1169653.76</v>
      </c>
      <c r="F171" s="8" t="s">
        <v>768</v>
      </c>
      <c r="G171" s="8">
        <v>0</v>
      </c>
      <c r="H171" s="157">
        <v>1169653.76</v>
      </c>
      <c r="K171" s="8" t="s">
        <v>270</v>
      </c>
      <c r="L171" s="8" t="s">
        <v>222</v>
      </c>
      <c r="M171" s="156">
        <v>1657533183.79</v>
      </c>
      <c r="N171" s="156">
        <v>43844493.460000001</v>
      </c>
      <c r="O171" s="155" t="s">
        <v>225</v>
      </c>
      <c r="P171" s="156">
        <v>1701377677.25</v>
      </c>
    </row>
    <row r="172" spans="1:16">
      <c r="A172" s="6"/>
      <c r="B172" s="8" t="s">
        <v>767</v>
      </c>
      <c r="C172" s="8"/>
      <c r="D172" s="159">
        <v>12528</v>
      </c>
      <c r="F172" s="8" t="s">
        <v>769</v>
      </c>
      <c r="G172" s="8">
        <v>0</v>
      </c>
      <c r="H172" s="160">
        <v>12624</v>
      </c>
      <c r="M172" s="125">
        <f>+M171-M170</f>
        <v>1097224718.4499998</v>
      </c>
      <c r="N172" s="125">
        <f>+N171+N170</f>
        <v>43959101.460000001</v>
      </c>
      <c r="P172" s="125">
        <f>+P171-P170</f>
        <v>1124994784.9099998</v>
      </c>
    </row>
    <row r="173" spans="1:16">
      <c r="A173" s="6"/>
      <c r="B173" s="8" t="s">
        <v>770</v>
      </c>
      <c r="C173" s="8"/>
      <c r="D173" s="158">
        <v>1267964.67</v>
      </c>
      <c r="F173" s="8" t="s">
        <v>770</v>
      </c>
      <c r="G173" s="8">
        <v>0</v>
      </c>
      <c r="H173" s="157">
        <v>1267964.67</v>
      </c>
      <c r="M173" s="125">
        <f>+M172-M166</f>
        <v>756.53999972343445</v>
      </c>
      <c r="N173" s="125">
        <f>+O164-N172</f>
        <v>767.96000000089407</v>
      </c>
      <c r="O173" s="27">
        <f>43959869.42-43959101.46</f>
        <v>767.96000000089407</v>
      </c>
      <c r="P173" s="161">
        <f>+P166-P172</f>
        <v>9.070000171661377</v>
      </c>
    </row>
    <row r="174" spans="1:16">
      <c r="A174" s="6"/>
      <c r="B174" s="8" t="s">
        <v>769</v>
      </c>
      <c r="C174" s="8"/>
      <c r="D174" s="159">
        <v>12624</v>
      </c>
      <c r="F174" s="8" t="s">
        <v>771</v>
      </c>
      <c r="G174" s="8">
        <v>0</v>
      </c>
      <c r="H174" s="160">
        <v>10128</v>
      </c>
    </row>
    <row r="175" spans="1:16">
      <c r="A175" s="6"/>
      <c r="B175" s="8" t="s">
        <v>772</v>
      </c>
      <c r="C175" s="8"/>
      <c r="D175" s="158">
        <v>1007418.66</v>
      </c>
      <c r="F175" s="8" t="s">
        <v>772</v>
      </c>
      <c r="G175" s="8">
        <v>0</v>
      </c>
      <c r="H175" s="157">
        <v>1007418.66</v>
      </c>
    </row>
    <row r="176" spans="1:16">
      <c r="A176" s="6"/>
      <c r="B176" s="8" t="s">
        <v>771</v>
      </c>
      <c r="C176" s="8"/>
      <c r="D176" s="159">
        <v>10128</v>
      </c>
      <c r="F176" s="8" t="s">
        <v>774</v>
      </c>
      <c r="G176" s="8">
        <v>0</v>
      </c>
      <c r="H176" s="160">
        <v>9120</v>
      </c>
    </row>
    <row r="177" spans="1:16">
      <c r="A177" s="6"/>
      <c r="B177" s="8" t="s">
        <v>775</v>
      </c>
      <c r="C177" s="8"/>
      <c r="D177" s="159">
        <v>26968.799999999999</v>
      </c>
      <c r="F177" s="8" t="s">
        <v>775</v>
      </c>
      <c r="G177" s="8">
        <v>0</v>
      </c>
      <c r="H177" s="160">
        <v>26968.799999999999</v>
      </c>
      <c r="J177" s="12"/>
      <c r="K177" s="5" t="s">
        <v>157</v>
      </c>
      <c r="L177" s="5" t="s">
        <v>216</v>
      </c>
      <c r="M177" s="5" t="s">
        <v>217</v>
      </c>
      <c r="N177" s="5" t="s">
        <v>218</v>
      </c>
      <c r="O177" s="5" t="s">
        <v>219</v>
      </c>
      <c r="P177" s="5" t="s">
        <v>220</v>
      </c>
    </row>
    <row r="178" spans="1:16">
      <c r="A178" s="6"/>
      <c r="B178" s="8" t="s">
        <v>776</v>
      </c>
      <c r="C178" s="8"/>
      <c r="D178" s="158">
        <v>858309.74</v>
      </c>
      <c r="F178" s="8" t="s">
        <v>776</v>
      </c>
      <c r="G178" s="8">
        <v>0</v>
      </c>
      <c r="H178" s="157">
        <v>858309.74</v>
      </c>
      <c r="J178" s="13"/>
      <c r="K178" s="8" t="s">
        <v>227</v>
      </c>
      <c r="L178" s="8" t="s">
        <v>221</v>
      </c>
      <c r="M178" s="155" t="s">
        <v>1197</v>
      </c>
      <c r="N178" s="155" t="s">
        <v>225</v>
      </c>
      <c r="O178" s="158" t="s">
        <v>1198</v>
      </c>
      <c r="P178" s="155" t="s">
        <v>975</v>
      </c>
    </row>
    <row r="179" spans="1:16">
      <c r="A179" s="6"/>
      <c r="B179" s="8" t="s">
        <v>774</v>
      </c>
      <c r="C179" s="8"/>
      <c r="D179" s="159">
        <v>9120</v>
      </c>
      <c r="F179" s="8" t="s">
        <v>778</v>
      </c>
      <c r="G179" s="8">
        <v>0</v>
      </c>
      <c r="H179" s="160">
        <v>10608</v>
      </c>
      <c r="J179" s="13"/>
      <c r="K179" s="8" t="s">
        <v>227</v>
      </c>
      <c r="L179" s="8" t="s">
        <v>222</v>
      </c>
      <c r="M179" s="155" t="s">
        <v>1199</v>
      </c>
      <c r="N179" s="158" t="s">
        <v>1200</v>
      </c>
      <c r="O179" s="155" t="s">
        <v>1201</v>
      </c>
      <c r="P179" s="155" t="s">
        <v>976</v>
      </c>
    </row>
    <row r="180" spans="1:16">
      <c r="A180" s="6"/>
      <c r="B180" s="8" t="s">
        <v>780</v>
      </c>
      <c r="C180" s="8"/>
      <c r="D180" s="158">
        <v>691815.63</v>
      </c>
      <c r="F180" s="8" t="s">
        <v>779</v>
      </c>
      <c r="G180" s="8">
        <v>0</v>
      </c>
      <c r="H180" s="160">
        <v>8736</v>
      </c>
      <c r="K180" s="72"/>
      <c r="L180" s="72"/>
      <c r="M180" s="72">
        <f>286910983.82+7560119.3</f>
        <v>294471103.12</v>
      </c>
      <c r="N180" s="72"/>
      <c r="O180" s="72"/>
      <c r="P180" s="72"/>
    </row>
    <row r="181" spans="1:16">
      <c r="A181" s="6"/>
      <c r="B181" s="8" t="s">
        <v>778</v>
      </c>
      <c r="C181" s="8"/>
      <c r="D181" s="159">
        <v>10608</v>
      </c>
      <c r="F181" s="8" t="s">
        <v>780</v>
      </c>
      <c r="G181" s="8">
        <v>0</v>
      </c>
      <c r="H181" s="157">
        <v>691815.63</v>
      </c>
      <c r="K181" s="72"/>
      <c r="L181" s="72"/>
      <c r="M181" s="72"/>
      <c r="N181" s="72"/>
      <c r="O181" s="72"/>
      <c r="P181" s="72"/>
    </row>
    <row r="182" spans="1:16">
      <c r="A182" s="6"/>
      <c r="B182" s="8" t="s">
        <v>781</v>
      </c>
      <c r="C182" s="8"/>
      <c r="D182" s="158">
        <v>542041.49</v>
      </c>
      <c r="F182" s="8" t="s">
        <v>781</v>
      </c>
      <c r="G182" s="8">
        <v>0</v>
      </c>
      <c r="H182" s="157">
        <v>542041.49</v>
      </c>
      <c r="J182" s="12"/>
      <c r="K182" s="5" t="s">
        <v>157</v>
      </c>
      <c r="L182" s="5" t="s">
        <v>216</v>
      </c>
      <c r="M182" s="5" t="s">
        <v>217</v>
      </c>
      <c r="N182" s="5" t="s">
        <v>218</v>
      </c>
      <c r="O182" s="5" t="s">
        <v>219</v>
      </c>
      <c r="P182" s="5" t="s">
        <v>220</v>
      </c>
    </row>
    <row r="183" spans="1:16">
      <c r="A183" s="6"/>
      <c r="B183" s="8" t="s">
        <v>782</v>
      </c>
      <c r="C183" s="8"/>
      <c r="D183" s="158">
        <v>674477.3</v>
      </c>
      <c r="F183" s="8" t="s">
        <v>782</v>
      </c>
      <c r="G183" s="8">
        <v>0</v>
      </c>
      <c r="H183" s="157">
        <v>674477.3</v>
      </c>
      <c r="J183" s="13"/>
      <c r="K183" s="8" t="s">
        <v>159</v>
      </c>
      <c r="L183" s="8" t="s">
        <v>89</v>
      </c>
      <c r="M183" s="155" t="s">
        <v>1192</v>
      </c>
      <c r="N183" s="155" t="s">
        <v>1193</v>
      </c>
      <c r="O183" s="158" t="s">
        <v>1194</v>
      </c>
      <c r="P183" s="155" t="s">
        <v>973</v>
      </c>
    </row>
    <row r="184" spans="1:16">
      <c r="A184" s="6"/>
      <c r="B184" s="8" t="s">
        <v>779</v>
      </c>
      <c r="C184" s="8"/>
      <c r="D184" s="159">
        <v>8736</v>
      </c>
      <c r="F184" s="8" t="s">
        <v>783</v>
      </c>
      <c r="G184" s="8">
        <v>0</v>
      </c>
      <c r="H184" s="160">
        <v>9888</v>
      </c>
      <c r="J184" s="13"/>
      <c r="K184" s="8" t="s">
        <v>159</v>
      </c>
      <c r="L184" s="8" t="s">
        <v>226</v>
      </c>
      <c r="M184" s="155" t="s">
        <v>1195</v>
      </c>
      <c r="N184" s="158" t="s">
        <v>1196</v>
      </c>
      <c r="O184" s="155" t="s">
        <v>225</v>
      </c>
      <c r="P184" s="155" t="s">
        <v>974</v>
      </c>
    </row>
    <row r="185" spans="1:16">
      <c r="A185" s="6"/>
      <c r="B185" s="8" t="s">
        <v>784</v>
      </c>
      <c r="C185" s="8"/>
      <c r="D185" s="158">
        <v>721283.94</v>
      </c>
      <c r="F185" s="8" t="s">
        <v>784</v>
      </c>
      <c r="G185" s="8">
        <v>0</v>
      </c>
      <c r="H185" s="157">
        <v>721283.94</v>
      </c>
      <c r="K185" s="72"/>
      <c r="L185" s="72"/>
      <c r="M185" s="72">
        <f>353474306.07-59003205.11</f>
        <v>294471100.95999998</v>
      </c>
      <c r="N185" s="72"/>
      <c r="O185" s="72">
        <f>3843202.51-3180622.95</f>
        <v>662579.55999999959</v>
      </c>
      <c r="P185" s="72"/>
    </row>
    <row r="186" spans="1:16">
      <c r="A186" s="6"/>
      <c r="B186" s="8" t="s">
        <v>783</v>
      </c>
      <c r="C186" s="8"/>
      <c r="D186" s="159">
        <v>9888</v>
      </c>
      <c r="F186" s="8" t="s">
        <v>785</v>
      </c>
      <c r="G186" s="8">
        <v>0</v>
      </c>
      <c r="H186" s="160">
        <v>11136</v>
      </c>
      <c r="K186" s="72"/>
      <c r="L186" s="72"/>
      <c r="M186" s="164">
        <f>+M180-M185</f>
        <v>2.1600000262260437</v>
      </c>
      <c r="N186" s="72">
        <f>2025281-2019908.13</f>
        <v>5372.8700000001118</v>
      </c>
      <c r="O186" s="72"/>
      <c r="P186" s="72"/>
    </row>
    <row r="187" spans="1:16">
      <c r="A187" s="6"/>
      <c r="B187" s="8" t="s">
        <v>786</v>
      </c>
      <c r="C187" s="8"/>
      <c r="D187" s="158">
        <v>896538.07</v>
      </c>
      <c r="F187" s="8" t="s">
        <v>786</v>
      </c>
      <c r="G187" s="8">
        <v>0</v>
      </c>
      <c r="H187" s="157">
        <v>896538.07</v>
      </c>
    </row>
    <row r="188" spans="1:16">
      <c r="A188" s="6"/>
      <c r="B188" s="8" t="s">
        <v>785</v>
      </c>
      <c r="C188" s="8"/>
      <c r="D188" s="159">
        <v>11136</v>
      </c>
      <c r="F188" s="8" t="s">
        <v>787</v>
      </c>
      <c r="G188" s="8">
        <v>0</v>
      </c>
      <c r="H188" s="160">
        <v>6168</v>
      </c>
    </row>
    <row r="189" spans="1:16">
      <c r="A189" s="6"/>
      <c r="B189" s="8" t="s">
        <v>789</v>
      </c>
      <c r="C189" s="8"/>
      <c r="D189" s="158">
        <v>260758.52</v>
      </c>
      <c r="F189" s="8" t="s">
        <v>788</v>
      </c>
      <c r="G189" s="8">
        <v>0</v>
      </c>
      <c r="H189" s="157">
        <v>179779.6</v>
      </c>
    </row>
    <row r="190" spans="1:16">
      <c r="A190" s="6"/>
      <c r="B190" s="8" t="s">
        <v>787</v>
      </c>
      <c r="C190" s="8"/>
      <c r="D190" s="159">
        <v>6168</v>
      </c>
      <c r="F190" s="8" t="s">
        <v>789</v>
      </c>
      <c r="G190" s="8">
        <v>0</v>
      </c>
      <c r="H190" s="157">
        <v>260758.52</v>
      </c>
    </row>
    <row r="191" spans="1:16">
      <c r="A191" s="6"/>
      <c r="B191" s="8" t="s">
        <v>788</v>
      </c>
      <c r="C191" s="8"/>
      <c r="D191" s="158">
        <v>179779.6</v>
      </c>
      <c r="F191" s="8" t="s">
        <v>791</v>
      </c>
      <c r="G191" s="8">
        <v>0</v>
      </c>
      <c r="H191" s="160">
        <v>10752</v>
      </c>
    </row>
    <row r="192" spans="1:16">
      <c r="A192" s="6"/>
      <c r="B192" s="8" t="s">
        <v>792</v>
      </c>
      <c r="C192" s="8"/>
      <c r="D192" s="158">
        <v>800687.47</v>
      </c>
      <c r="F192" s="8" t="s">
        <v>792</v>
      </c>
      <c r="G192" s="8">
        <v>0</v>
      </c>
      <c r="H192" s="157">
        <v>800687.47</v>
      </c>
    </row>
    <row r="193" spans="1:8">
      <c r="A193" s="6"/>
      <c r="B193" s="8" t="s">
        <v>791</v>
      </c>
      <c r="C193" s="8"/>
      <c r="D193" s="159">
        <v>10752</v>
      </c>
      <c r="F193" s="8" t="s">
        <v>793</v>
      </c>
      <c r="G193" s="8">
        <v>0</v>
      </c>
      <c r="H193" s="160">
        <v>3120</v>
      </c>
    </row>
    <row r="194" spans="1:8">
      <c r="A194" s="6"/>
      <c r="B194" s="8" t="s">
        <v>794</v>
      </c>
      <c r="C194" s="8"/>
      <c r="D194" s="158">
        <v>200660.48000000001</v>
      </c>
      <c r="F194" s="8" t="s">
        <v>794</v>
      </c>
      <c r="G194" s="8">
        <v>0</v>
      </c>
      <c r="H194" s="157">
        <v>200660.48000000001</v>
      </c>
    </row>
    <row r="195" spans="1:8">
      <c r="A195" s="6"/>
      <c r="B195" s="8" t="s">
        <v>793</v>
      </c>
      <c r="C195" s="8"/>
      <c r="D195" s="159">
        <v>3120</v>
      </c>
      <c r="F195" s="8" t="s">
        <v>796</v>
      </c>
      <c r="G195" s="8">
        <v>0</v>
      </c>
      <c r="H195" s="160">
        <v>8304</v>
      </c>
    </row>
    <row r="196" spans="1:8">
      <c r="A196" s="6"/>
      <c r="B196" s="8" t="s">
        <v>797</v>
      </c>
      <c r="C196" s="8"/>
      <c r="D196" s="158">
        <v>543446.07999999996</v>
      </c>
      <c r="F196" s="8" t="s">
        <v>797</v>
      </c>
      <c r="G196" s="8">
        <v>0</v>
      </c>
      <c r="H196" s="157">
        <v>543446.07999999996</v>
      </c>
    </row>
    <row r="197" spans="1:8">
      <c r="A197" s="6"/>
      <c r="B197" s="8" t="s">
        <v>796</v>
      </c>
      <c r="C197" s="8"/>
      <c r="D197" s="159">
        <v>8304</v>
      </c>
      <c r="F197" s="8" t="s">
        <v>798</v>
      </c>
      <c r="G197" s="8">
        <v>0</v>
      </c>
      <c r="H197" s="160">
        <v>15096</v>
      </c>
    </row>
    <row r="198" spans="1:8">
      <c r="A198" s="6"/>
      <c r="B198" s="8" t="s">
        <v>910</v>
      </c>
      <c r="C198" s="8"/>
      <c r="D198" s="158">
        <v>768</v>
      </c>
      <c r="F198" s="8" t="s">
        <v>799</v>
      </c>
      <c r="G198" s="8">
        <v>0</v>
      </c>
      <c r="H198" s="157">
        <v>860436.61</v>
      </c>
    </row>
    <row r="199" spans="1:8">
      <c r="A199" s="6"/>
      <c r="B199" s="8" t="s">
        <v>799</v>
      </c>
      <c r="C199" s="8"/>
      <c r="D199" s="158">
        <v>860436.61</v>
      </c>
      <c r="F199" s="8" t="s">
        <v>801</v>
      </c>
      <c r="G199" s="8">
        <v>0</v>
      </c>
      <c r="H199" s="160">
        <v>14448</v>
      </c>
    </row>
    <row r="200" spans="1:8">
      <c r="A200" s="6"/>
      <c r="B200" s="8" t="s">
        <v>798</v>
      </c>
      <c r="C200" s="8"/>
      <c r="D200" s="159">
        <v>15096</v>
      </c>
      <c r="F200" s="8" t="s">
        <v>802</v>
      </c>
      <c r="G200" s="8">
        <v>0</v>
      </c>
      <c r="H200" s="157">
        <v>1408186.63</v>
      </c>
    </row>
    <row r="201" spans="1:8">
      <c r="A201" s="6"/>
      <c r="B201" s="8" t="s">
        <v>802</v>
      </c>
      <c r="C201" s="8"/>
      <c r="D201" s="158">
        <v>1408186.63</v>
      </c>
      <c r="F201" s="8" t="s">
        <v>803</v>
      </c>
      <c r="G201" s="8">
        <v>0</v>
      </c>
      <c r="H201" s="160">
        <v>13248</v>
      </c>
    </row>
    <row r="202" spans="1:8">
      <c r="A202" s="6"/>
      <c r="B202" s="8" t="s">
        <v>801</v>
      </c>
      <c r="C202" s="8"/>
      <c r="D202" s="159">
        <v>14448</v>
      </c>
      <c r="F202" s="8" t="s">
        <v>804</v>
      </c>
      <c r="G202" s="8">
        <v>0</v>
      </c>
      <c r="H202" s="157">
        <v>854146.57</v>
      </c>
    </row>
    <row r="203" spans="1:8">
      <c r="A203" s="6"/>
      <c r="B203" s="8" t="s">
        <v>805</v>
      </c>
      <c r="C203" s="8"/>
      <c r="D203" s="158">
        <v>1211172.6599999999</v>
      </c>
      <c r="F203" s="8" t="s">
        <v>805</v>
      </c>
      <c r="G203" s="8">
        <v>0</v>
      </c>
      <c r="H203" s="157">
        <v>1211172.6599999999</v>
      </c>
    </row>
    <row r="204" spans="1:8">
      <c r="A204" s="6"/>
      <c r="B204" s="8" t="s">
        <v>804</v>
      </c>
      <c r="C204" s="8"/>
      <c r="D204" s="158">
        <v>854146.57</v>
      </c>
      <c r="F204" s="8" t="s">
        <v>806</v>
      </c>
      <c r="G204" s="8">
        <v>0</v>
      </c>
      <c r="H204" s="160">
        <v>19824</v>
      </c>
    </row>
    <row r="205" spans="1:8">
      <c r="A205" s="6"/>
      <c r="B205" s="8" t="s">
        <v>803</v>
      </c>
      <c r="C205" s="8"/>
      <c r="D205" s="159">
        <v>13248</v>
      </c>
      <c r="F205" s="8" t="s">
        <v>807</v>
      </c>
      <c r="G205" s="8">
        <v>0</v>
      </c>
      <c r="H205" s="157">
        <v>1165472.51</v>
      </c>
    </row>
    <row r="206" spans="1:8">
      <c r="A206" s="6"/>
      <c r="B206" s="8" t="s">
        <v>807</v>
      </c>
      <c r="C206" s="8"/>
      <c r="D206" s="158">
        <v>1165472.51</v>
      </c>
      <c r="F206" s="8" t="s">
        <v>808</v>
      </c>
      <c r="G206" s="8">
        <v>0</v>
      </c>
      <c r="H206" s="160">
        <v>17088</v>
      </c>
    </row>
    <row r="207" spans="1:8">
      <c r="A207" s="6"/>
      <c r="B207" s="8" t="s">
        <v>806</v>
      </c>
      <c r="C207" s="8"/>
      <c r="D207" s="159">
        <v>19824</v>
      </c>
      <c r="F207" s="8" t="s">
        <v>809</v>
      </c>
      <c r="G207" s="8">
        <v>0</v>
      </c>
      <c r="H207" s="157">
        <v>624</v>
      </c>
    </row>
    <row r="208" spans="1:8">
      <c r="A208" s="6"/>
      <c r="B208" s="8" t="s">
        <v>810</v>
      </c>
      <c r="C208" s="8"/>
      <c r="D208" s="158">
        <v>849327.81</v>
      </c>
      <c r="F208" s="8" t="s">
        <v>810</v>
      </c>
      <c r="G208" s="8">
        <v>0</v>
      </c>
      <c r="H208" s="157">
        <v>849327.81</v>
      </c>
    </row>
    <row r="209" spans="1:18">
      <c r="A209" s="6"/>
      <c r="B209" s="8" t="s">
        <v>808</v>
      </c>
      <c r="C209" s="8"/>
      <c r="D209" s="159">
        <v>17088</v>
      </c>
      <c r="F209" s="8" t="s">
        <v>811</v>
      </c>
      <c r="G209" s="8">
        <v>0</v>
      </c>
      <c r="H209" s="160">
        <v>37608.54</v>
      </c>
    </row>
    <row r="210" spans="1:18">
      <c r="A210" s="6"/>
      <c r="B210" s="8" t="s">
        <v>811</v>
      </c>
      <c r="C210" s="8"/>
      <c r="D210" s="159">
        <v>37608.54</v>
      </c>
      <c r="F210" s="8" t="s">
        <v>812</v>
      </c>
      <c r="G210" s="8">
        <v>0</v>
      </c>
      <c r="H210" s="157">
        <v>764003.63</v>
      </c>
    </row>
    <row r="211" spans="1:18">
      <c r="A211" s="6"/>
      <c r="B211" s="8" t="s">
        <v>809</v>
      </c>
      <c r="C211" s="8"/>
      <c r="D211" s="158">
        <v>624</v>
      </c>
      <c r="F211" s="8" t="s">
        <v>813</v>
      </c>
      <c r="G211" s="8">
        <v>0</v>
      </c>
      <c r="H211" s="160">
        <v>1152</v>
      </c>
      <c r="K211" s="5"/>
      <c r="L211" s="5" t="s">
        <v>157</v>
      </c>
      <c r="M211" s="5" t="s">
        <v>216</v>
      </c>
      <c r="N211" s="5" t="s">
        <v>217</v>
      </c>
      <c r="O211" s="5" t="s">
        <v>218</v>
      </c>
      <c r="P211" s="5" t="s">
        <v>219</v>
      </c>
      <c r="Q211" s="5" t="s">
        <v>220</v>
      </c>
    </row>
    <row r="212" spans="1:18">
      <c r="A212" s="6"/>
      <c r="B212" s="8" t="s">
        <v>812</v>
      </c>
      <c r="C212" s="8"/>
      <c r="D212" s="158">
        <v>764003.63</v>
      </c>
      <c r="F212" s="8" t="s">
        <v>814</v>
      </c>
      <c r="G212" s="8">
        <v>0</v>
      </c>
      <c r="H212" s="160">
        <v>3168</v>
      </c>
      <c r="K212" s="6"/>
      <c r="L212" s="8" t="s">
        <v>271</v>
      </c>
      <c r="M212" s="8" t="s">
        <v>221</v>
      </c>
      <c r="N212" s="155" t="s">
        <v>1202</v>
      </c>
      <c r="O212" s="155" t="s">
        <v>225</v>
      </c>
      <c r="P212" s="155" t="s">
        <v>1203</v>
      </c>
      <c r="Q212" s="155" t="s">
        <v>979</v>
      </c>
    </row>
    <row r="213" spans="1:18">
      <c r="A213" s="6"/>
      <c r="B213" s="8" t="s">
        <v>816</v>
      </c>
      <c r="C213" s="8"/>
      <c r="D213" s="159">
        <v>70654.95</v>
      </c>
      <c r="F213" s="8" t="s">
        <v>815</v>
      </c>
      <c r="G213" s="8">
        <v>0</v>
      </c>
      <c r="H213" s="160">
        <v>15360</v>
      </c>
      <c r="K213" s="6"/>
      <c r="L213" s="8" t="s">
        <v>271</v>
      </c>
      <c r="M213" s="8" t="s">
        <v>222</v>
      </c>
      <c r="N213" s="155" t="s">
        <v>1204</v>
      </c>
      <c r="O213" s="155" t="s">
        <v>1205</v>
      </c>
      <c r="P213" s="155" t="s">
        <v>225</v>
      </c>
      <c r="Q213" s="155" t="s">
        <v>980</v>
      </c>
    </row>
    <row r="214" spans="1:18">
      <c r="A214" s="6"/>
      <c r="B214" s="8" t="s">
        <v>813</v>
      </c>
      <c r="C214" s="8"/>
      <c r="D214" s="159">
        <v>1152</v>
      </c>
      <c r="F214" s="8" t="s">
        <v>816</v>
      </c>
      <c r="G214" s="8">
        <v>0</v>
      </c>
      <c r="H214" s="160">
        <v>70654.95</v>
      </c>
      <c r="N214" s="27">
        <f>417542803.38-339748831.27</f>
        <v>77793972.110000014</v>
      </c>
    </row>
    <row r="215" spans="1:18">
      <c r="A215" s="6"/>
      <c r="B215" s="8" t="s">
        <v>817</v>
      </c>
      <c r="C215" s="8"/>
      <c r="D215" s="158">
        <v>313794.73</v>
      </c>
      <c r="F215" s="8" t="s">
        <v>817</v>
      </c>
      <c r="G215" s="8">
        <v>0</v>
      </c>
      <c r="H215" s="157">
        <v>313794.73</v>
      </c>
    </row>
    <row r="216" spans="1:18">
      <c r="A216" s="6"/>
      <c r="B216" s="8" t="s">
        <v>814</v>
      </c>
      <c r="C216" s="8"/>
      <c r="D216" s="159">
        <v>3168</v>
      </c>
      <c r="F216" s="8" t="s">
        <v>818</v>
      </c>
      <c r="G216" s="8">
        <v>0</v>
      </c>
      <c r="H216" s="157">
        <v>752145.37</v>
      </c>
    </row>
    <row r="217" spans="1:18">
      <c r="A217" s="6"/>
      <c r="B217" s="8" t="s">
        <v>818</v>
      </c>
      <c r="C217" s="8"/>
      <c r="D217" s="158">
        <v>752145.37</v>
      </c>
      <c r="F217" s="8" t="s">
        <v>910</v>
      </c>
      <c r="G217" s="8">
        <v>0</v>
      </c>
      <c r="H217" s="157">
        <v>768</v>
      </c>
      <c r="K217" s="5"/>
      <c r="L217" s="5" t="s">
        <v>157</v>
      </c>
      <c r="M217" s="5" t="s">
        <v>216</v>
      </c>
      <c r="N217" s="5" t="s">
        <v>217</v>
      </c>
      <c r="O217" s="5" t="s">
        <v>218</v>
      </c>
      <c r="P217" s="5" t="s">
        <v>219</v>
      </c>
      <c r="Q217" s="5" t="s">
        <v>220</v>
      </c>
    </row>
    <row r="218" spans="1:18">
      <c r="A218" s="6"/>
      <c r="B218" s="8" t="s">
        <v>815</v>
      </c>
      <c r="C218" s="8"/>
      <c r="D218" s="159">
        <v>15360</v>
      </c>
      <c r="F218" s="8" t="s">
        <v>911</v>
      </c>
      <c r="G218" s="8">
        <v>0</v>
      </c>
      <c r="H218" s="160">
        <v>14256</v>
      </c>
      <c r="K218" s="6"/>
      <c r="L218" s="8" t="s">
        <v>159</v>
      </c>
      <c r="M218" s="8" t="s">
        <v>94</v>
      </c>
      <c r="N218" s="155" t="s">
        <v>1206</v>
      </c>
      <c r="O218" s="155" t="s">
        <v>1207</v>
      </c>
      <c r="P218" s="155" t="s">
        <v>1208</v>
      </c>
      <c r="Q218" s="155" t="s">
        <v>977</v>
      </c>
    </row>
    <row r="219" spans="1:18">
      <c r="A219" s="6"/>
      <c r="B219" s="8" t="s">
        <v>849</v>
      </c>
      <c r="C219" s="8"/>
      <c r="D219" s="158">
        <v>1122336.6399999999</v>
      </c>
      <c r="F219" s="8" t="s">
        <v>849</v>
      </c>
      <c r="G219" s="8">
        <v>0</v>
      </c>
      <c r="H219" s="157">
        <v>1122336.6399999999</v>
      </c>
      <c r="K219" s="6"/>
      <c r="L219" s="8" t="s">
        <v>159</v>
      </c>
      <c r="M219" s="8" t="s">
        <v>73</v>
      </c>
      <c r="N219" s="155" t="s">
        <v>1209</v>
      </c>
      <c r="O219" s="155" t="s">
        <v>1210</v>
      </c>
      <c r="P219" s="155" t="s">
        <v>1211</v>
      </c>
      <c r="Q219" s="155" t="s">
        <v>978</v>
      </c>
    </row>
    <row r="220" spans="1:18">
      <c r="A220" s="6"/>
      <c r="B220" s="8" t="s">
        <v>911</v>
      </c>
      <c r="C220" s="8"/>
      <c r="D220" s="159">
        <v>14256</v>
      </c>
      <c r="F220" s="8" t="s">
        <v>850</v>
      </c>
      <c r="G220" s="8">
        <v>0</v>
      </c>
      <c r="H220" s="157">
        <v>219563.44</v>
      </c>
      <c r="N220" s="27">
        <f>414334001.92-334899312.72</f>
        <v>79434689.199999988</v>
      </c>
      <c r="O220" s="27">
        <f>40956685.44-40951393.64</f>
        <v>5291.7999999970198</v>
      </c>
      <c r="P220" s="27">
        <f>11522237.77-14670</f>
        <v>11507567.77</v>
      </c>
    </row>
    <row r="221" spans="1:18">
      <c r="A221" s="6"/>
      <c r="B221" s="8" t="s">
        <v>850</v>
      </c>
      <c r="C221" s="8"/>
      <c r="D221" s="158">
        <v>219563.44</v>
      </c>
      <c r="F221" s="8" t="s">
        <v>851</v>
      </c>
      <c r="G221" s="8">
        <v>0</v>
      </c>
      <c r="H221" s="160">
        <v>21550.09</v>
      </c>
      <c r="N221" s="27">
        <f>+N220-N214</f>
        <v>1640717.0899999738</v>
      </c>
      <c r="P221" s="27">
        <f>11507694.3-11522237.77+14670</f>
        <v>126.53000000119209</v>
      </c>
    </row>
    <row r="222" spans="1:18">
      <c r="A222" s="6"/>
      <c r="B222" s="8" t="s">
        <v>851</v>
      </c>
      <c r="C222" s="8"/>
      <c r="D222" s="159">
        <v>21550.09</v>
      </c>
      <c r="F222" s="8" t="s">
        <v>912</v>
      </c>
      <c r="G222" s="8">
        <v>0</v>
      </c>
      <c r="H222" s="160">
        <v>14400</v>
      </c>
      <c r="N222" s="27">
        <f>+N221+O220-P221</f>
        <v>1645882.3599999696</v>
      </c>
    </row>
    <row r="223" spans="1:18">
      <c r="A223" s="6"/>
      <c r="B223" s="8" t="s">
        <v>852</v>
      </c>
      <c r="C223" s="8"/>
      <c r="D223" s="158">
        <v>833292.88</v>
      </c>
      <c r="F223" s="8" t="s">
        <v>852</v>
      </c>
      <c r="G223" s="8">
        <v>0</v>
      </c>
      <c r="H223" s="157">
        <v>833292.87</v>
      </c>
    </row>
    <row r="224" spans="1:18" ht="25.5">
      <c r="A224" s="6"/>
      <c r="B224" s="8" t="s">
        <v>912</v>
      </c>
      <c r="C224" s="8"/>
      <c r="D224" s="159">
        <v>14400</v>
      </c>
      <c r="F224" s="8" t="s">
        <v>913</v>
      </c>
      <c r="G224" s="8">
        <v>0</v>
      </c>
      <c r="H224" s="160">
        <v>18144</v>
      </c>
      <c r="K224" s="12"/>
      <c r="L224" s="152" t="s">
        <v>28</v>
      </c>
      <c r="M224" s="152" t="s">
        <v>273</v>
      </c>
      <c r="N224" s="152" t="s">
        <v>218</v>
      </c>
      <c r="O224" s="5"/>
      <c r="P224" s="5" t="s">
        <v>273</v>
      </c>
      <c r="Q224" s="5" t="s">
        <v>218</v>
      </c>
      <c r="R224" s="5" t="s">
        <v>219</v>
      </c>
    </row>
    <row r="225" spans="1:19">
      <c r="A225" s="6"/>
      <c r="B225" s="8" t="s">
        <v>853</v>
      </c>
      <c r="C225" s="8"/>
      <c r="D225" s="158">
        <v>998001.87</v>
      </c>
      <c r="F225" s="8" t="s">
        <v>853</v>
      </c>
      <c r="G225" s="8">
        <v>0</v>
      </c>
      <c r="H225" s="157">
        <v>998001.87</v>
      </c>
      <c r="K225" s="13"/>
      <c r="L225" s="153">
        <v>34</v>
      </c>
      <c r="M225" s="153"/>
      <c r="N225" s="172">
        <v>270509.90000000002</v>
      </c>
      <c r="O225" s="6"/>
      <c r="P225" s="8" t="s">
        <v>1225</v>
      </c>
      <c r="Q225" s="8">
        <v>0</v>
      </c>
      <c r="R225" s="160">
        <v>3492.8</v>
      </c>
      <c r="S225" s="125">
        <f>+R225-N228</f>
        <v>2.9600000000000364</v>
      </c>
    </row>
    <row r="226" spans="1:19">
      <c r="A226" s="6"/>
      <c r="B226" s="8" t="s">
        <v>913</v>
      </c>
      <c r="C226" s="8"/>
      <c r="D226" s="159">
        <v>18144</v>
      </c>
      <c r="F226" s="8" t="s">
        <v>914</v>
      </c>
      <c r="G226" s="8">
        <v>0</v>
      </c>
      <c r="H226" s="160">
        <v>16704</v>
      </c>
      <c r="K226" s="13"/>
      <c r="L226" s="153">
        <v>35</v>
      </c>
      <c r="M226" s="153"/>
      <c r="N226" s="172">
        <v>209262.18</v>
      </c>
      <c r="O226" s="6"/>
      <c r="P226" s="8" t="s">
        <v>1226</v>
      </c>
      <c r="Q226" s="8">
        <v>0</v>
      </c>
      <c r="R226" s="157">
        <v>3809788.29</v>
      </c>
      <c r="S226" s="27">
        <f>+R226-N229</f>
        <v>0</v>
      </c>
    </row>
    <row r="227" spans="1:19">
      <c r="A227" s="6"/>
      <c r="B227" s="8" t="s">
        <v>854</v>
      </c>
      <c r="C227" s="8"/>
      <c r="D227" s="158">
        <v>934967.64</v>
      </c>
      <c r="F227" s="8" t="s">
        <v>854</v>
      </c>
      <c r="G227" s="8">
        <v>0</v>
      </c>
      <c r="H227" s="157">
        <v>934967.64</v>
      </c>
      <c r="K227" s="13"/>
      <c r="L227" s="153">
        <v>36</v>
      </c>
      <c r="M227" s="153"/>
      <c r="N227" s="172">
        <v>614802.96</v>
      </c>
      <c r="O227" s="6"/>
      <c r="P227" s="8" t="s">
        <v>1227</v>
      </c>
      <c r="Q227" s="8">
        <v>0</v>
      </c>
      <c r="R227" s="157">
        <v>3543551.52</v>
      </c>
      <c r="S227" s="27">
        <f>+N230-R227</f>
        <v>0</v>
      </c>
    </row>
    <row r="228" spans="1:19">
      <c r="A228" s="6"/>
      <c r="B228" s="8" t="s">
        <v>914</v>
      </c>
      <c r="C228" s="8"/>
      <c r="D228" s="159">
        <v>16704</v>
      </c>
      <c r="F228" s="8" t="s">
        <v>915</v>
      </c>
      <c r="G228" s="8">
        <v>0</v>
      </c>
      <c r="H228" s="160">
        <v>19392</v>
      </c>
      <c r="K228" s="13"/>
      <c r="L228" s="153">
        <v>1</v>
      </c>
      <c r="M228" s="153"/>
      <c r="N228" s="171">
        <v>3489.84</v>
      </c>
      <c r="O228" s="6"/>
      <c r="P228" s="8" t="s">
        <v>1228</v>
      </c>
      <c r="Q228" s="8">
        <v>0</v>
      </c>
      <c r="R228" s="160">
        <v>27250.79</v>
      </c>
      <c r="S228" s="125">
        <f>+R228-N232</f>
        <v>23.100000000002183</v>
      </c>
    </row>
    <row r="229" spans="1:19">
      <c r="A229" s="6"/>
      <c r="B229" s="8" t="s">
        <v>855</v>
      </c>
      <c r="C229" s="8"/>
      <c r="D229" s="158">
        <v>1227938.04</v>
      </c>
      <c r="F229" s="8" t="s">
        <v>855</v>
      </c>
      <c r="G229" s="8">
        <v>0</v>
      </c>
      <c r="H229" s="157">
        <v>1227938.04</v>
      </c>
      <c r="K229" s="13"/>
      <c r="L229" s="153">
        <v>2</v>
      </c>
      <c r="M229" s="153"/>
      <c r="N229" s="172">
        <v>3809788.29</v>
      </c>
      <c r="O229" s="6"/>
      <c r="P229" s="8" t="s">
        <v>1229</v>
      </c>
      <c r="Q229" s="8">
        <v>0</v>
      </c>
      <c r="R229" s="157">
        <v>206143.87</v>
      </c>
      <c r="S229" s="27">
        <f>+R229-N231</f>
        <v>174.69999999998254</v>
      </c>
    </row>
    <row r="230" spans="1:19">
      <c r="A230" s="6"/>
      <c r="B230" s="8" t="s">
        <v>915</v>
      </c>
      <c r="C230" s="8"/>
      <c r="D230" s="159">
        <v>19392</v>
      </c>
      <c r="F230" s="8" t="s">
        <v>916</v>
      </c>
      <c r="G230" s="8">
        <v>0</v>
      </c>
      <c r="H230" s="160">
        <v>6768</v>
      </c>
      <c r="K230" s="13"/>
      <c r="L230" s="153">
        <v>3</v>
      </c>
      <c r="M230" s="153"/>
      <c r="N230" s="172">
        <v>3543551.52</v>
      </c>
      <c r="O230" s="6"/>
      <c r="P230" s="8" t="s">
        <v>1230</v>
      </c>
      <c r="Q230" s="8">
        <v>0</v>
      </c>
      <c r="R230" s="157">
        <v>3661842.31</v>
      </c>
      <c r="S230" s="27">
        <f>+R230-N233</f>
        <v>0</v>
      </c>
    </row>
    <row r="231" spans="1:19">
      <c r="A231" s="6"/>
      <c r="B231" s="8" t="s">
        <v>856</v>
      </c>
      <c r="C231" s="8"/>
      <c r="D231" s="158">
        <v>354509.33</v>
      </c>
      <c r="F231" s="8" t="s">
        <v>917</v>
      </c>
      <c r="G231" s="8">
        <v>0</v>
      </c>
      <c r="H231" s="160">
        <v>9312</v>
      </c>
      <c r="K231" s="13"/>
      <c r="L231" s="153">
        <v>4</v>
      </c>
      <c r="M231" s="153"/>
      <c r="N231" s="172">
        <v>205969.17</v>
      </c>
      <c r="O231" s="6"/>
      <c r="P231" s="8" t="s">
        <v>1231</v>
      </c>
      <c r="Q231" s="8">
        <v>0</v>
      </c>
      <c r="R231" s="160">
        <v>6478.81</v>
      </c>
      <c r="S231" s="125">
        <f>+R231-N234</f>
        <v>-9.999999999308784E-3</v>
      </c>
    </row>
    <row r="232" spans="1:19">
      <c r="A232" s="6"/>
      <c r="B232" s="8" t="s">
        <v>916</v>
      </c>
      <c r="C232" s="8"/>
      <c r="D232" s="159">
        <v>6768</v>
      </c>
      <c r="F232" s="8" t="s">
        <v>856</v>
      </c>
      <c r="G232" s="8">
        <v>0</v>
      </c>
      <c r="H232" s="157">
        <v>354509.33</v>
      </c>
      <c r="K232" s="13"/>
      <c r="L232" s="153">
        <v>5</v>
      </c>
      <c r="M232" s="153"/>
      <c r="N232" s="171">
        <v>27227.69</v>
      </c>
      <c r="O232" s="6"/>
      <c r="P232" s="8" t="s">
        <v>1232</v>
      </c>
      <c r="Q232" s="8">
        <v>0</v>
      </c>
      <c r="R232" s="157">
        <v>3676457.84</v>
      </c>
      <c r="S232" s="27">
        <f>+R232-N235</f>
        <v>0</v>
      </c>
    </row>
    <row r="233" spans="1:19">
      <c r="A233" s="6"/>
      <c r="B233" s="8" t="s">
        <v>857</v>
      </c>
      <c r="C233" s="8"/>
      <c r="D233" s="158">
        <v>553152.99</v>
      </c>
      <c r="F233" s="8" t="s">
        <v>857</v>
      </c>
      <c r="G233" s="8">
        <v>0</v>
      </c>
      <c r="H233" s="157">
        <v>553152.99</v>
      </c>
      <c r="K233" s="13"/>
      <c r="L233" s="153">
        <v>6</v>
      </c>
      <c r="M233" s="153"/>
      <c r="N233" s="172">
        <v>3661842.31</v>
      </c>
      <c r="O233" s="6"/>
      <c r="P233" s="8" t="s">
        <v>1233</v>
      </c>
      <c r="Q233" s="8">
        <v>0</v>
      </c>
      <c r="R233" s="157">
        <v>654700.34</v>
      </c>
      <c r="S233" s="27">
        <f>+R233-N236</f>
        <v>0</v>
      </c>
    </row>
    <row r="234" spans="1:19">
      <c r="A234" s="6"/>
      <c r="B234" s="8" t="s">
        <v>917</v>
      </c>
      <c r="C234" s="8"/>
      <c r="D234" s="159">
        <v>9312</v>
      </c>
      <c r="F234" s="8" t="s">
        <v>918</v>
      </c>
      <c r="G234" s="8">
        <v>0</v>
      </c>
      <c r="H234" s="160">
        <v>15600</v>
      </c>
      <c r="K234" s="13"/>
      <c r="L234" s="153">
        <v>7</v>
      </c>
      <c r="M234" s="153"/>
      <c r="N234" s="171">
        <v>6478.82</v>
      </c>
      <c r="O234" s="6"/>
      <c r="P234" s="8" t="s">
        <v>1223</v>
      </c>
      <c r="Q234" s="8">
        <v>0</v>
      </c>
      <c r="R234" s="157">
        <v>285115</v>
      </c>
      <c r="S234" s="27">
        <f>+R234-N237</f>
        <v>5091.0300000000279</v>
      </c>
    </row>
    <row r="235" spans="1:19">
      <c r="A235" s="6"/>
      <c r="B235" s="8" t="s">
        <v>858</v>
      </c>
      <c r="C235" s="8"/>
      <c r="D235" s="158">
        <v>896036.94</v>
      </c>
      <c r="F235" s="8" t="s">
        <v>858</v>
      </c>
      <c r="G235" s="8">
        <v>0</v>
      </c>
      <c r="H235" s="157">
        <v>896036.94</v>
      </c>
      <c r="K235" s="13"/>
      <c r="L235" s="153">
        <v>11</v>
      </c>
      <c r="M235" s="153"/>
      <c r="N235" s="172">
        <v>3676457.84</v>
      </c>
      <c r="O235" s="6"/>
      <c r="P235" s="8" t="s">
        <v>1234</v>
      </c>
      <c r="Q235" s="8">
        <v>0</v>
      </c>
      <c r="R235" s="157">
        <v>3588400.71</v>
      </c>
    </row>
    <row r="236" spans="1:19">
      <c r="A236" s="6"/>
      <c r="B236" s="8" t="s">
        <v>918</v>
      </c>
      <c r="C236" s="8"/>
      <c r="D236" s="159">
        <v>15600</v>
      </c>
      <c r="F236" s="8" t="s">
        <v>919</v>
      </c>
      <c r="G236" s="8">
        <v>0</v>
      </c>
      <c r="H236" s="160">
        <v>19344</v>
      </c>
      <c r="K236" s="13"/>
      <c r="L236" s="153">
        <v>12</v>
      </c>
      <c r="M236" s="153"/>
      <c r="N236" s="172">
        <v>654700.34</v>
      </c>
      <c r="O236" s="6"/>
      <c r="P236" s="8" t="s">
        <v>1235</v>
      </c>
      <c r="Q236" s="8">
        <v>0</v>
      </c>
      <c r="R236" s="157">
        <v>4324134.17</v>
      </c>
    </row>
    <row r="237" spans="1:19">
      <c r="A237" s="6"/>
      <c r="B237" s="8" t="s">
        <v>859</v>
      </c>
      <c r="C237" s="8"/>
      <c r="D237" s="158">
        <v>1039210.87</v>
      </c>
      <c r="F237" s="8" t="s">
        <v>920</v>
      </c>
      <c r="G237" s="8">
        <v>0</v>
      </c>
      <c r="H237" s="160">
        <v>8016</v>
      </c>
      <c r="K237" s="13"/>
      <c r="L237" s="153" t="s">
        <v>1223</v>
      </c>
      <c r="M237" s="153"/>
      <c r="N237" s="172">
        <v>280023.96999999997</v>
      </c>
      <c r="O237" s="6"/>
      <c r="P237" s="8" t="s">
        <v>1236</v>
      </c>
      <c r="Q237" s="8">
        <v>0</v>
      </c>
      <c r="R237" s="157">
        <v>4351783.4800000004</v>
      </c>
    </row>
    <row r="238" spans="1:19">
      <c r="A238" s="6"/>
      <c r="B238" s="8" t="s">
        <v>919</v>
      </c>
      <c r="C238" s="8"/>
      <c r="D238" s="159">
        <v>19344</v>
      </c>
      <c r="F238" s="8" t="s">
        <v>859</v>
      </c>
      <c r="G238" s="8">
        <v>0</v>
      </c>
      <c r="H238" s="157">
        <v>1039210.87</v>
      </c>
      <c r="K238" s="13"/>
      <c r="L238" s="153">
        <v>14</v>
      </c>
      <c r="M238" s="153"/>
      <c r="N238" s="172">
        <v>3588400.71</v>
      </c>
      <c r="O238" s="6"/>
      <c r="P238" s="8" t="s">
        <v>1237</v>
      </c>
      <c r="Q238" s="8">
        <v>0</v>
      </c>
      <c r="R238" s="160">
        <v>3489.84</v>
      </c>
    </row>
    <row r="239" spans="1:19">
      <c r="A239" s="6"/>
      <c r="B239" s="8" t="s">
        <v>860</v>
      </c>
      <c r="C239" s="8"/>
      <c r="D239" s="158">
        <v>539308.06999999995</v>
      </c>
      <c r="F239" s="8" t="s">
        <v>860</v>
      </c>
      <c r="G239" s="8">
        <v>0</v>
      </c>
      <c r="H239" s="157">
        <v>539308.06999999995</v>
      </c>
      <c r="K239" s="13"/>
      <c r="L239" s="153">
        <v>15</v>
      </c>
      <c r="M239" s="153"/>
      <c r="N239" s="172">
        <v>4324134.17</v>
      </c>
      <c r="O239" s="6"/>
      <c r="P239" s="8" t="s">
        <v>1238</v>
      </c>
      <c r="Q239" s="8">
        <v>0</v>
      </c>
      <c r="R239" s="160">
        <v>14724.04</v>
      </c>
    </row>
    <row r="240" spans="1:19">
      <c r="A240" s="6"/>
      <c r="B240" s="8" t="s">
        <v>920</v>
      </c>
      <c r="C240" s="8"/>
      <c r="D240" s="159">
        <v>8016</v>
      </c>
      <c r="F240" s="8" t="s">
        <v>921</v>
      </c>
      <c r="G240" s="8">
        <v>0</v>
      </c>
      <c r="H240" s="160">
        <v>14688</v>
      </c>
      <c r="K240" s="13"/>
      <c r="L240" s="153">
        <v>16</v>
      </c>
      <c r="M240" s="153"/>
      <c r="N240" s="172">
        <v>4351783.4800000004</v>
      </c>
      <c r="O240" s="6"/>
      <c r="P240" s="8" t="s">
        <v>1239</v>
      </c>
      <c r="Q240" s="8">
        <v>0</v>
      </c>
      <c r="R240" s="157">
        <v>3824112.22</v>
      </c>
    </row>
    <row r="241" spans="1:18">
      <c r="A241" s="6"/>
      <c r="B241" s="8" t="s">
        <v>861</v>
      </c>
      <c r="C241" s="8"/>
      <c r="D241" s="158">
        <v>1076885.3600000001</v>
      </c>
      <c r="F241" s="8" t="s">
        <v>922</v>
      </c>
      <c r="G241" s="8">
        <v>0</v>
      </c>
      <c r="H241" s="160">
        <v>11040</v>
      </c>
      <c r="K241" s="13"/>
      <c r="L241" s="153">
        <v>17</v>
      </c>
      <c r="M241" s="153"/>
      <c r="N241" s="171">
        <v>3489.84</v>
      </c>
      <c r="O241" s="6"/>
      <c r="P241" s="8" t="s">
        <v>1240</v>
      </c>
      <c r="Q241" s="8">
        <v>0</v>
      </c>
      <c r="R241" s="157">
        <v>1675497.93</v>
      </c>
    </row>
    <row r="242" spans="1:18">
      <c r="A242" s="6"/>
      <c r="B242" s="8" t="s">
        <v>921</v>
      </c>
      <c r="C242" s="8"/>
      <c r="D242" s="159">
        <v>14688</v>
      </c>
      <c r="F242" s="8" t="s">
        <v>861</v>
      </c>
      <c r="G242" s="8">
        <v>0</v>
      </c>
      <c r="H242" s="157">
        <v>1076885.3600000001</v>
      </c>
      <c r="K242" s="13"/>
      <c r="L242" s="153">
        <v>149</v>
      </c>
      <c r="M242" s="153" t="s">
        <v>1224</v>
      </c>
      <c r="N242" s="153">
        <v>0</v>
      </c>
      <c r="O242" s="6"/>
      <c r="P242" s="8" t="s">
        <v>1241</v>
      </c>
      <c r="Q242" s="8">
        <v>0</v>
      </c>
      <c r="R242" s="157">
        <v>1437782.75</v>
      </c>
    </row>
    <row r="243" spans="1:18">
      <c r="A243" s="6"/>
      <c r="B243" s="8" t="s">
        <v>862</v>
      </c>
      <c r="C243" s="8"/>
      <c r="D243" s="158">
        <v>487916.42</v>
      </c>
      <c r="F243" s="8" t="s">
        <v>862</v>
      </c>
      <c r="G243" s="8">
        <v>0</v>
      </c>
      <c r="H243" s="157">
        <v>487916.42</v>
      </c>
      <c r="K243" s="13"/>
      <c r="L243" s="153">
        <v>149</v>
      </c>
      <c r="M243" s="153" t="s">
        <v>1224</v>
      </c>
      <c r="N243" s="171">
        <v>14724.04</v>
      </c>
      <c r="O243" s="6"/>
      <c r="P243" s="8" t="s">
        <v>1242</v>
      </c>
      <c r="Q243" s="8">
        <v>0</v>
      </c>
      <c r="R243" s="160">
        <v>10194.09</v>
      </c>
    </row>
    <row r="244" spans="1:18">
      <c r="A244" s="6"/>
      <c r="B244" s="8" t="s">
        <v>922</v>
      </c>
      <c r="C244" s="8"/>
      <c r="D244" s="159">
        <v>11040</v>
      </c>
      <c r="F244" s="8" t="s">
        <v>926</v>
      </c>
      <c r="G244" s="8">
        <v>0</v>
      </c>
      <c r="H244" s="160">
        <v>10464</v>
      </c>
      <c r="K244" s="13"/>
      <c r="L244" s="153">
        <v>19</v>
      </c>
      <c r="M244" s="153"/>
      <c r="N244" s="172">
        <v>3824112.22</v>
      </c>
      <c r="O244" s="6"/>
      <c r="P244" s="8" t="s">
        <v>744</v>
      </c>
      <c r="Q244" s="8">
        <v>0</v>
      </c>
      <c r="R244" s="157">
        <v>1726900.78</v>
      </c>
    </row>
    <row r="245" spans="1:18">
      <c r="A245" s="6"/>
      <c r="B245" s="8" t="s">
        <v>864</v>
      </c>
      <c r="C245" s="8"/>
      <c r="D245" s="158">
        <v>1094224.55</v>
      </c>
      <c r="F245" s="8" t="s">
        <v>864</v>
      </c>
      <c r="G245" s="8">
        <v>0</v>
      </c>
      <c r="H245" s="157">
        <v>1094224.55</v>
      </c>
      <c r="K245" s="13"/>
      <c r="L245" s="153">
        <v>20</v>
      </c>
      <c r="M245" s="153"/>
      <c r="N245" s="172">
        <v>1675497.93</v>
      </c>
      <c r="O245" s="6"/>
      <c r="P245" s="8" t="s">
        <v>742</v>
      </c>
      <c r="Q245" s="8">
        <v>0</v>
      </c>
      <c r="R245" s="160">
        <v>37853.54</v>
      </c>
    </row>
    <row r="246" spans="1:18">
      <c r="A246" s="6"/>
      <c r="B246" s="8" t="s">
        <v>926</v>
      </c>
      <c r="C246" s="8"/>
      <c r="D246" s="159">
        <v>10464</v>
      </c>
      <c r="F246" s="8" t="s">
        <v>1186</v>
      </c>
      <c r="G246" s="8">
        <v>0</v>
      </c>
      <c r="H246" s="160">
        <v>15408</v>
      </c>
      <c r="K246" s="13"/>
      <c r="L246" s="153">
        <v>21</v>
      </c>
      <c r="M246" s="153"/>
      <c r="N246" s="172">
        <v>1437782.75</v>
      </c>
      <c r="O246" s="6"/>
      <c r="P246" s="8" t="s">
        <v>745</v>
      </c>
      <c r="Q246" s="8">
        <v>0</v>
      </c>
      <c r="R246" s="160">
        <v>33764.69</v>
      </c>
    </row>
    <row r="247" spans="1:18">
      <c r="A247" s="6"/>
      <c r="B247" s="8" t="s">
        <v>865</v>
      </c>
      <c r="C247" s="8"/>
      <c r="D247" s="158">
        <v>663309.48</v>
      </c>
      <c r="F247" s="8" t="s">
        <v>927</v>
      </c>
      <c r="G247" s="8">
        <v>0</v>
      </c>
      <c r="H247" s="160">
        <v>10272</v>
      </c>
      <c r="K247" s="13"/>
      <c r="L247" s="153">
        <v>22</v>
      </c>
      <c r="M247" s="153"/>
      <c r="N247" s="171">
        <v>10194.09</v>
      </c>
      <c r="O247" s="6"/>
      <c r="P247" s="8" t="s">
        <v>746</v>
      </c>
      <c r="Q247" s="8">
        <v>0</v>
      </c>
      <c r="R247" s="160">
        <v>6979.68</v>
      </c>
    </row>
    <row r="248" spans="1:18">
      <c r="A248" s="6"/>
      <c r="B248" s="8" t="s">
        <v>1186</v>
      </c>
      <c r="C248" s="8"/>
      <c r="D248" s="159">
        <v>15408</v>
      </c>
      <c r="F248" s="8" t="s">
        <v>865</v>
      </c>
      <c r="G248" s="8">
        <v>0</v>
      </c>
      <c r="H248" s="157">
        <v>663309.48</v>
      </c>
      <c r="K248" s="13"/>
      <c r="L248" s="153">
        <v>25</v>
      </c>
      <c r="M248" s="153"/>
      <c r="N248" s="171">
        <v>37853.550000000003</v>
      </c>
      <c r="O248" s="6"/>
      <c r="P248" s="8" t="s">
        <v>747</v>
      </c>
      <c r="Q248" s="8">
        <v>0</v>
      </c>
      <c r="R248" s="160">
        <v>87921.58</v>
      </c>
    </row>
    <row r="249" spans="1:18">
      <c r="A249" s="6"/>
      <c r="B249" s="8" t="s">
        <v>866</v>
      </c>
      <c r="C249" s="8"/>
      <c r="D249" s="158">
        <v>1419405.15</v>
      </c>
      <c r="F249" s="8" t="s">
        <v>866</v>
      </c>
      <c r="G249" s="8">
        <v>0</v>
      </c>
      <c r="H249" s="157">
        <v>1419405.15</v>
      </c>
      <c r="K249" s="13"/>
      <c r="L249" s="153">
        <v>26</v>
      </c>
      <c r="M249" s="153"/>
      <c r="N249" s="172">
        <v>1726900.78</v>
      </c>
      <c r="O249" s="6"/>
      <c r="P249" s="8" t="s">
        <v>748</v>
      </c>
      <c r="Q249" s="8">
        <v>0</v>
      </c>
      <c r="R249" s="157">
        <v>983</v>
      </c>
    </row>
    <row r="250" spans="1:18">
      <c r="A250" s="6"/>
      <c r="B250" s="8" t="s">
        <v>927</v>
      </c>
      <c r="C250" s="8"/>
      <c r="D250" s="159">
        <v>10272</v>
      </c>
      <c r="F250" s="8" t="s">
        <v>928</v>
      </c>
      <c r="G250" s="8">
        <v>0</v>
      </c>
      <c r="H250" s="160">
        <v>13872</v>
      </c>
      <c r="K250" s="13"/>
      <c r="L250" s="153">
        <v>27</v>
      </c>
      <c r="M250" s="153"/>
      <c r="N250" s="171">
        <v>33764.69</v>
      </c>
      <c r="O250" s="6"/>
      <c r="P250" s="8" t="s">
        <v>749</v>
      </c>
      <c r="Q250" s="8">
        <v>0</v>
      </c>
      <c r="R250" s="157">
        <v>1501042.1</v>
      </c>
    </row>
    <row r="251" spans="1:18">
      <c r="A251" s="6"/>
      <c r="B251" s="8" t="s">
        <v>867</v>
      </c>
      <c r="C251" s="8"/>
      <c r="D251" s="158">
        <v>914440.69</v>
      </c>
      <c r="F251" s="8" t="s">
        <v>929</v>
      </c>
      <c r="G251" s="8">
        <v>0</v>
      </c>
      <c r="H251" s="160">
        <v>7008</v>
      </c>
      <c r="K251" s="13"/>
      <c r="L251" s="153">
        <v>28</v>
      </c>
      <c r="M251" s="153"/>
      <c r="N251" s="171">
        <v>6979.68</v>
      </c>
      <c r="O251" s="6"/>
      <c r="P251" s="8" t="s">
        <v>750</v>
      </c>
      <c r="Q251" s="8">
        <v>0</v>
      </c>
      <c r="R251" s="160">
        <v>16751.23</v>
      </c>
    </row>
    <row r="252" spans="1:18">
      <c r="A252" s="6"/>
      <c r="B252" s="8" t="s">
        <v>928</v>
      </c>
      <c r="C252" s="8"/>
      <c r="D252" s="159">
        <v>13872</v>
      </c>
      <c r="F252" s="8" t="s">
        <v>867</v>
      </c>
      <c r="G252" s="8">
        <v>0</v>
      </c>
      <c r="H252" s="157">
        <v>914440.69</v>
      </c>
      <c r="K252" s="13"/>
      <c r="L252" s="153">
        <v>29</v>
      </c>
      <c r="M252" s="153"/>
      <c r="N252" s="171">
        <v>87921.58</v>
      </c>
      <c r="O252" s="6"/>
      <c r="P252" s="8" t="s">
        <v>958</v>
      </c>
      <c r="Q252" s="8">
        <v>0</v>
      </c>
      <c r="R252" s="157">
        <v>270509.90000000002</v>
      </c>
    </row>
    <row r="253" spans="1:18">
      <c r="A253" s="6"/>
      <c r="B253" s="8" t="s">
        <v>868</v>
      </c>
      <c r="C253" s="8"/>
      <c r="D253" s="158">
        <v>1093188.1000000001</v>
      </c>
      <c r="F253" s="8" t="s">
        <v>868</v>
      </c>
      <c r="G253" s="8">
        <v>0</v>
      </c>
      <c r="H253" s="157">
        <v>1093188.1000000001</v>
      </c>
      <c r="K253" s="13"/>
      <c r="L253" s="153">
        <v>30</v>
      </c>
      <c r="M253" s="153"/>
      <c r="N253" s="172">
        <v>983</v>
      </c>
      <c r="O253" s="6"/>
      <c r="P253" s="8" t="s">
        <v>751</v>
      </c>
      <c r="Q253" s="8">
        <v>0</v>
      </c>
      <c r="R253" s="160">
        <v>46161.33</v>
      </c>
    </row>
    <row r="254" spans="1:18">
      <c r="A254" s="6"/>
      <c r="B254" s="8" t="s">
        <v>929</v>
      </c>
      <c r="C254" s="8"/>
      <c r="D254" s="159">
        <v>7008</v>
      </c>
      <c r="F254" s="8" t="s">
        <v>930</v>
      </c>
      <c r="G254" s="8">
        <v>0</v>
      </c>
      <c r="H254" s="160">
        <v>16512</v>
      </c>
      <c r="K254" s="13"/>
      <c r="L254" s="153">
        <v>31</v>
      </c>
      <c r="M254" s="153"/>
      <c r="N254" s="172">
        <v>1501042.09</v>
      </c>
      <c r="O254" s="6"/>
      <c r="P254" s="8" t="s">
        <v>959</v>
      </c>
      <c r="Q254" s="8">
        <v>0</v>
      </c>
      <c r="R254" s="157">
        <v>209262.18</v>
      </c>
    </row>
    <row r="255" spans="1:18">
      <c r="A255" s="6"/>
      <c r="B255" s="8" t="s">
        <v>870</v>
      </c>
      <c r="C255" s="8"/>
      <c r="D255" s="158">
        <v>1048110.29</v>
      </c>
      <c r="F255" s="8" t="s">
        <v>870</v>
      </c>
      <c r="G255" s="8">
        <v>0</v>
      </c>
      <c r="H255" s="157">
        <v>1048110.29</v>
      </c>
      <c r="K255" s="13"/>
      <c r="L255" s="153">
        <v>32</v>
      </c>
      <c r="M255" s="153"/>
      <c r="N255" s="171">
        <v>16751.23</v>
      </c>
      <c r="O255" s="6"/>
      <c r="P255" s="8" t="s">
        <v>823</v>
      </c>
      <c r="Q255" s="8">
        <v>0</v>
      </c>
      <c r="R255" s="157">
        <v>614802.96</v>
      </c>
    </row>
    <row r="256" spans="1:18">
      <c r="A256" s="6"/>
      <c r="B256" s="8" t="s">
        <v>930</v>
      </c>
      <c r="C256" s="8"/>
      <c r="D256" s="159">
        <v>16512</v>
      </c>
      <c r="F256" s="8" t="s">
        <v>931</v>
      </c>
      <c r="G256" s="8">
        <v>0</v>
      </c>
      <c r="H256" s="160">
        <v>14544</v>
      </c>
      <c r="K256" s="13"/>
      <c r="L256" s="153">
        <v>33</v>
      </c>
      <c r="M256" s="153"/>
      <c r="N256" s="171">
        <v>46161.32</v>
      </c>
      <c r="O256" s="6"/>
      <c r="P256" s="8" t="s">
        <v>960</v>
      </c>
      <c r="Q256" s="8">
        <v>0</v>
      </c>
      <c r="R256" s="160">
        <v>9620.64</v>
      </c>
    </row>
    <row r="257" spans="1:18">
      <c r="A257" s="6"/>
      <c r="B257" s="8" t="s">
        <v>871</v>
      </c>
      <c r="C257" s="8"/>
      <c r="D257" s="158">
        <v>1221452.51</v>
      </c>
      <c r="F257" s="8" t="s">
        <v>871</v>
      </c>
      <c r="G257" s="8">
        <v>0</v>
      </c>
      <c r="H257" s="157">
        <v>1221452.51</v>
      </c>
      <c r="K257" s="13"/>
      <c r="L257" s="153">
        <v>37</v>
      </c>
      <c r="M257" s="153"/>
      <c r="N257" s="171">
        <v>9620.64</v>
      </c>
      <c r="O257" s="6"/>
      <c r="P257" s="8" t="s">
        <v>961</v>
      </c>
      <c r="Q257" s="8">
        <v>0</v>
      </c>
      <c r="R257" s="160">
        <v>57775.45</v>
      </c>
    </row>
    <row r="258" spans="1:18">
      <c r="A258" s="6"/>
      <c r="B258" s="8" t="s">
        <v>931</v>
      </c>
      <c r="C258" s="8"/>
      <c r="D258" s="159">
        <v>14544</v>
      </c>
      <c r="F258" s="8" t="s">
        <v>1187</v>
      </c>
      <c r="G258" s="8">
        <v>0</v>
      </c>
      <c r="H258" s="160">
        <v>18624</v>
      </c>
      <c r="K258" s="13"/>
      <c r="L258" s="153">
        <v>38</v>
      </c>
      <c r="M258" s="153"/>
      <c r="N258" s="171">
        <v>57775.45</v>
      </c>
      <c r="O258" s="6"/>
      <c r="P258" s="8" t="s">
        <v>962</v>
      </c>
      <c r="Q258" s="8">
        <v>0</v>
      </c>
      <c r="R258" s="157">
        <v>396.14</v>
      </c>
    </row>
    <row r="259" spans="1:18">
      <c r="A259" s="6"/>
      <c r="B259" s="8" t="s">
        <v>873</v>
      </c>
      <c r="C259" s="8"/>
      <c r="D259" s="158">
        <v>498983.57</v>
      </c>
      <c r="F259" s="8" t="s">
        <v>932</v>
      </c>
      <c r="G259" s="8">
        <v>0</v>
      </c>
      <c r="H259" s="160">
        <v>8976</v>
      </c>
      <c r="K259" s="13"/>
      <c r="L259" s="153">
        <v>39</v>
      </c>
      <c r="M259" s="153"/>
      <c r="N259" s="172">
        <v>396.14</v>
      </c>
      <c r="O259" s="6"/>
      <c r="P259" s="8" t="s">
        <v>963</v>
      </c>
      <c r="Q259" s="8">
        <v>0</v>
      </c>
      <c r="R259" s="160">
        <v>7928.78</v>
      </c>
    </row>
    <row r="260" spans="1:18">
      <c r="A260" s="6"/>
      <c r="B260" s="8" t="s">
        <v>932</v>
      </c>
      <c r="C260" s="8"/>
      <c r="D260" s="159">
        <v>8976</v>
      </c>
      <c r="F260" s="8" t="s">
        <v>872</v>
      </c>
      <c r="G260" s="8">
        <v>0</v>
      </c>
      <c r="H260" s="157">
        <v>886100.7</v>
      </c>
      <c r="K260" s="13"/>
      <c r="L260" s="153">
        <v>40</v>
      </c>
      <c r="M260" s="153"/>
      <c r="N260" s="171">
        <v>7928.78</v>
      </c>
      <c r="O260" s="6"/>
      <c r="P260" s="8" t="s">
        <v>964</v>
      </c>
      <c r="Q260" s="8">
        <v>0</v>
      </c>
      <c r="R260" s="157">
        <v>218560.63</v>
      </c>
    </row>
    <row r="261" spans="1:18">
      <c r="A261" s="6"/>
      <c r="B261" s="8" t="s">
        <v>872</v>
      </c>
      <c r="C261" s="8"/>
      <c r="D261" s="158">
        <v>886100.7</v>
      </c>
      <c r="F261" s="8" t="s">
        <v>873</v>
      </c>
      <c r="G261" s="8">
        <v>0</v>
      </c>
      <c r="H261" s="157">
        <v>498983.57</v>
      </c>
      <c r="K261" s="13"/>
      <c r="L261" s="153">
        <v>41</v>
      </c>
      <c r="M261" s="153"/>
      <c r="N261" s="172">
        <v>218560.62</v>
      </c>
      <c r="O261" s="6"/>
      <c r="P261" s="8" t="s">
        <v>965</v>
      </c>
      <c r="Q261" s="8">
        <v>0</v>
      </c>
      <c r="R261" s="157">
        <v>216852.5</v>
      </c>
    </row>
    <row r="262" spans="1:18">
      <c r="A262" s="6"/>
      <c r="B262" s="8" t="s">
        <v>1187</v>
      </c>
      <c r="C262" s="8"/>
      <c r="D262" s="159">
        <v>18624</v>
      </c>
      <c r="F262" s="8" t="s">
        <v>874</v>
      </c>
      <c r="G262" s="8">
        <v>0</v>
      </c>
      <c r="H262" s="157">
        <v>254360.21</v>
      </c>
      <c r="K262" s="13"/>
      <c r="L262" s="153">
        <v>42</v>
      </c>
      <c r="M262" s="153"/>
      <c r="N262" s="172">
        <v>216852.5</v>
      </c>
      <c r="O262" s="6"/>
      <c r="P262" s="8" t="s">
        <v>967</v>
      </c>
      <c r="Q262" s="8">
        <v>0</v>
      </c>
      <c r="R262" s="160">
        <v>7172.66</v>
      </c>
    </row>
    <row r="263" spans="1:18">
      <c r="A263" s="6"/>
      <c r="B263" s="8" t="s">
        <v>874</v>
      </c>
      <c r="C263" s="8"/>
      <c r="D263" s="158">
        <v>254360.21</v>
      </c>
      <c r="F263" s="8" t="s">
        <v>875</v>
      </c>
      <c r="G263" s="8">
        <v>0</v>
      </c>
      <c r="H263" s="157">
        <v>210724.34</v>
      </c>
      <c r="K263" s="13"/>
      <c r="L263" s="153">
        <v>43</v>
      </c>
      <c r="M263" s="153"/>
      <c r="N263" s="171">
        <v>3055.97</v>
      </c>
      <c r="O263" s="6"/>
      <c r="P263" s="8" t="s">
        <v>968</v>
      </c>
      <c r="Q263" s="8">
        <v>0</v>
      </c>
      <c r="R263" s="157">
        <v>265.87</v>
      </c>
    </row>
    <row r="264" spans="1:18">
      <c r="A264" s="6"/>
      <c r="B264" s="8" t="s">
        <v>875</v>
      </c>
      <c r="C264" s="8"/>
      <c r="D264" s="158">
        <v>210724.34</v>
      </c>
      <c r="F264" s="8" t="s">
        <v>933</v>
      </c>
      <c r="G264" s="8">
        <v>0</v>
      </c>
      <c r="H264" s="160">
        <v>19728</v>
      </c>
      <c r="K264" s="13"/>
      <c r="L264" s="153">
        <v>44</v>
      </c>
      <c r="M264" s="153"/>
      <c r="N264" s="171">
        <v>7172.66</v>
      </c>
      <c r="O264" s="6"/>
      <c r="P264" s="8" t="s">
        <v>966</v>
      </c>
      <c r="Q264" s="8">
        <v>0</v>
      </c>
      <c r="R264" s="160">
        <v>3055.97</v>
      </c>
    </row>
    <row r="265" spans="1:18">
      <c r="A265" s="6"/>
      <c r="B265" s="8" t="s">
        <v>876</v>
      </c>
      <c r="C265" s="8"/>
      <c r="D265" s="158">
        <v>1120575.6100000001</v>
      </c>
      <c r="F265" s="8" t="s">
        <v>934</v>
      </c>
      <c r="G265" s="8">
        <v>0</v>
      </c>
      <c r="H265" s="160">
        <v>1632</v>
      </c>
      <c r="K265" s="13"/>
      <c r="L265" s="153">
        <v>45</v>
      </c>
      <c r="M265" s="153"/>
      <c r="N265" s="172">
        <v>265.87</v>
      </c>
      <c r="O265" s="6"/>
      <c r="P265" s="8" t="s">
        <v>969</v>
      </c>
      <c r="Q265" s="8">
        <v>0</v>
      </c>
      <c r="R265" s="157">
        <v>722442.97</v>
      </c>
    </row>
    <row r="266" spans="1:18">
      <c r="A266" s="6"/>
      <c r="B266" s="8" t="s">
        <v>933</v>
      </c>
      <c r="C266" s="8"/>
      <c r="D266" s="159">
        <v>19728</v>
      </c>
      <c r="F266" s="8" t="s">
        <v>876</v>
      </c>
      <c r="G266" s="8">
        <v>0</v>
      </c>
      <c r="H266" s="157">
        <v>1120575.6100000001</v>
      </c>
      <c r="K266" s="13"/>
      <c r="L266" s="153">
        <v>47</v>
      </c>
      <c r="M266" s="153"/>
      <c r="N266" s="171">
        <v>1699.46</v>
      </c>
      <c r="O266" s="6"/>
      <c r="P266" s="8" t="s">
        <v>1243</v>
      </c>
      <c r="Q266" s="8">
        <v>0</v>
      </c>
      <c r="R266" s="160">
        <v>1699.46</v>
      </c>
    </row>
    <row r="267" spans="1:18">
      <c r="A267" s="6"/>
      <c r="B267" s="8" t="s">
        <v>877</v>
      </c>
      <c r="C267" s="8"/>
      <c r="D267" s="158">
        <v>721688.1</v>
      </c>
      <c r="F267" s="8" t="s">
        <v>877</v>
      </c>
      <c r="G267" s="8">
        <v>0</v>
      </c>
      <c r="H267" s="157">
        <v>721688.1</v>
      </c>
      <c r="K267" s="13"/>
      <c r="L267" s="153">
        <v>48</v>
      </c>
      <c r="M267" s="153"/>
      <c r="N267" s="172">
        <v>722442.97</v>
      </c>
      <c r="O267" s="6"/>
      <c r="P267" s="8" t="s">
        <v>970</v>
      </c>
      <c r="Q267" s="8">
        <v>0</v>
      </c>
      <c r="R267" s="160">
        <v>53040.6</v>
      </c>
    </row>
    <row r="268" spans="1:18">
      <c r="A268" s="6"/>
      <c r="B268" s="8" t="s">
        <v>934</v>
      </c>
      <c r="C268" s="8"/>
      <c r="D268" s="159">
        <v>1632</v>
      </c>
      <c r="F268" s="8" t="s">
        <v>878</v>
      </c>
      <c r="G268" s="8">
        <v>0</v>
      </c>
      <c r="H268" s="157">
        <v>333947.78999999998</v>
      </c>
      <c r="K268" s="13"/>
      <c r="L268" s="153">
        <v>49</v>
      </c>
      <c r="M268" s="153"/>
      <c r="N268" s="171">
        <v>53040.6</v>
      </c>
    </row>
    <row r="269" spans="1:18">
      <c r="A269" s="6"/>
      <c r="B269" s="8" t="s">
        <v>878</v>
      </c>
      <c r="C269" s="8"/>
      <c r="D269" s="158">
        <v>333947.78999999998</v>
      </c>
      <c r="F269" s="8" t="s">
        <v>879</v>
      </c>
      <c r="G269" s="8">
        <v>0</v>
      </c>
      <c r="H269" s="157">
        <v>339740.49</v>
      </c>
    </row>
    <row r="270" spans="1:18">
      <c r="A270" s="6"/>
      <c r="B270" s="8" t="s">
        <v>879</v>
      </c>
      <c r="C270" s="8"/>
      <c r="D270" s="158">
        <v>339740.49</v>
      </c>
      <c r="F270" s="8" t="s">
        <v>935</v>
      </c>
      <c r="G270" s="8">
        <v>0</v>
      </c>
      <c r="H270" s="160">
        <v>10512</v>
      </c>
      <c r="K270" s="12"/>
      <c r="L270" s="5" t="s">
        <v>28</v>
      </c>
      <c r="M270" s="5" t="s">
        <v>273</v>
      </c>
      <c r="N270" s="5" t="s">
        <v>218</v>
      </c>
      <c r="O270" s="5"/>
      <c r="P270" s="5" t="s">
        <v>273</v>
      </c>
      <c r="Q270" s="5" t="s">
        <v>218</v>
      </c>
      <c r="R270" s="5" t="s">
        <v>219</v>
      </c>
    </row>
    <row r="271" spans="1:18">
      <c r="A271" s="6"/>
      <c r="B271" s="8" t="s">
        <v>880</v>
      </c>
      <c r="C271" s="8"/>
      <c r="D271" s="158">
        <v>989641.91</v>
      </c>
      <c r="F271" s="8" t="s">
        <v>936</v>
      </c>
      <c r="G271" s="8">
        <v>0</v>
      </c>
      <c r="H271" s="160">
        <v>2304</v>
      </c>
      <c r="K271" s="13"/>
      <c r="L271" s="8">
        <v>10</v>
      </c>
      <c r="M271" s="8"/>
      <c r="N271" s="157">
        <v>1231683.8899999999</v>
      </c>
      <c r="O271" s="6"/>
      <c r="P271" s="8" t="s">
        <v>1247</v>
      </c>
      <c r="Q271" s="8">
        <v>0</v>
      </c>
      <c r="R271" s="8">
        <v>1506215.88</v>
      </c>
    </row>
    <row r="272" spans="1:18">
      <c r="A272" s="6"/>
      <c r="B272" s="8" t="s">
        <v>935</v>
      </c>
      <c r="C272" s="8"/>
      <c r="D272" s="159">
        <v>10512</v>
      </c>
      <c r="F272" s="8" t="s">
        <v>880</v>
      </c>
      <c r="G272" s="8">
        <v>0</v>
      </c>
      <c r="H272" s="157">
        <v>989641.91</v>
      </c>
      <c r="K272" s="13"/>
      <c r="L272" s="8">
        <v>21</v>
      </c>
      <c r="M272" s="8"/>
      <c r="N272" s="157">
        <v>3391418.6</v>
      </c>
      <c r="O272" s="6"/>
      <c r="P272" s="8" t="s">
        <v>1248</v>
      </c>
      <c r="Q272" s="8">
        <v>0</v>
      </c>
      <c r="R272" s="157">
        <v>1231683.8899999999</v>
      </c>
    </row>
    <row r="273" spans="1:18">
      <c r="A273" s="6"/>
      <c r="B273" s="8" t="s">
        <v>881</v>
      </c>
      <c r="C273" s="8"/>
      <c r="D273" s="158">
        <v>671842.93</v>
      </c>
      <c r="F273" s="8" t="s">
        <v>881</v>
      </c>
      <c r="G273" s="8">
        <v>0</v>
      </c>
      <c r="H273" s="157">
        <v>671842.93</v>
      </c>
      <c r="K273" s="13"/>
      <c r="L273" s="8">
        <v>31</v>
      </c>
      <c r="M273" s="8"/>
      <c r="N273" s="157">
        <v>1388686.87</v>
      </c>
      <c r="O273" s="6"/>
      <c r="P273" s="8" t="s">
        <v>1249</v>
      </c>
      <c r="Q273" s="8">
        <v>0</v>
      </c>
      <c r="R273" s="157">
        <v>3391418.6</v>
      </c>
    </row>
    <row r="274" spans="1:18">
      <c r="A274" s="6"/>
      <c r="B274" s="8" t="s">
        <v>936</v>
      </c>
      <c r="C274" s="8"/>
      <c r="D274" s="159">
        <v>2304</v>
      </c>
      <c r="F274" s="8" t="s">
        <v>937</v>
      </c>
      <c r="G274" s="8">
        <v>0</v>
      </c>
      <c r="H274" s="160">
        <v>19152</v>
      </c>
      <c r="K274" s="13"/>
      <c r="L274" s="8">
        <v>36</v>
      </c>
      <c r="M274" s="8"/>
      <c r="N274" s="157">
        <v>560714.59</v>
      </c>
      <c r="O274" s="6"/>
      <c r="P274" s="8" t="s">
        <v>1250</v>
      </c>
      <c r="Q274" s="8">
        <v>0</v>
      </c>
      <c r="R274" s="157">
        <v>1388686.87</v>
      </c>
    </row>
    <row r="275" spans="1:18">
      <c r="A275" s="6"/>
      <c r="B275" s="8" t="s">
        <v>882</v>
      </c>
      <c r="C275" s="8"/>
      <c r="D275" s="158">
        <v>950277.5</v>
      </c>
      <c r="F275" s="8" t="s">
        <v>938</v>
      </c>
      <c r="G275" s="8">
        <v>0</v>
      </c>
      <c r="H275" s="160">
        <v>6816</v>
      </c>
      <c r="K275" s="13"/>
      <c r="L275" s="8">
        <v>38</v>
      </c>
      <c r="M275" s="8"/>
      <c r="N275" s="157">
        <v>102913.69</v>
      </c>
      <c r="O275" s="6"/>
      <c r="P275" s="8" t="s">
        <v>1251</v>
      </c>
      <c r="Q275" s="8">
        <v>0</v>
      </c>
      <c r="R275" s="157">
        <v>560714.59</v>
      </c>
    </row>
    <row r="276" spans="1:18">
      <c r="A276" s="6"/>
      <c r="B276" s="8" t="s">
        <v>937</v>
      </c>
      <c r="C276" s="8"/>
      <c r="D276" s="159">
        <v>19152</v>
      </c>
      <c r="F276" s="8" t="s">
        <v>882</v>
      </c>
      <c r="G276" s="8">
        <v>0</v>
      </c>
      <c r="H276" s="157">
        <v>950277.5</v>
      </c>
      <c r="K276" s="13"/>
      <c r="L276" s="8">
        <v>52</v>
      </c>
      <c r="M276" s="8"/>
      <c r="N276" s="157">
        <v>1111376.6100000001</v>
      </c>
      <c r="O276" s="6"/>
      <c r="P276" s="8" t="s">
        <v>1252</v>
      </c>
      <c r="Q276" s="8">
        <v>0</v>
      </c>
      <c r="R276" s="157">
        <v>102913.69</v>
      </c>
    </row>
    <row r="277" spans="1:18">
      <c r="A277" s="6"/>
      <c r="B277" s="8" t="s">
        <v>883</v>
      </c>
      <c r="C277" s="8"/>
      <c r="D277" s="158">
        <v>986018.15</v>
      </c>
      <c r="F277" s="8" t="s">
        <v>883</v>
      </c>
      <c r="G277" s="8">
        <v>0</v>
      </c>
      <c r="H277" s="157">
        <v>986018.15</v>
      </c>
      <c r="K277" s="13"/>
      <c r="L277" s="8">
        <v>61</v>
      </c>
      <c r="M277" s="8"/>
      <c r="N277" s="157">
        <v>1623164.69</v>
      </c>
      <c r="O277" s="6"/>
      <c r="P277" s="8" t="s">
        <v>1253</v>
      </c>
      <c r="Q277" s="8">
        <v>0</v>
      </c>
      <c r="R277" s="157">
        <v>1111376.6100000001</v>
      </c>
    </row>
    <row r="278" spans="1:18">
      <c r="A278" s="6"/>
      <c r="B278" s="8" t="s">
        <v>938</v>
      </c>
      <c r="C278" s="8"/>
      <c r="D278" s="159">
        <v>6816</v>
      </c>
      <c r="F278" s="8" t="s">
        <v>939</v>
      </c>
      <c r="G278" s="8">
        <v>0</v>
      </c>
      <c r="H278" s="160">
        <v>8832</v>
      </c>
      <c r="K278" s="13"/>
      <c r="L278" s="8">
        <v>92</v>
      </c>
      <c r="M278" s="8"/>
      <c r="N278" s="157">
        <v>1519518.67</v>
      </c>
      <c r="O278" s="6"/>
      <c r="P278" s="8" t="s">
        <v>1254</v>
      </c>
      <c r="Q278" s="8">
        <v>0</v>
      </c>
      <c r="R278" s="157">
        <v>1623164.69</v>
      </c>
    </row>
    <row r="279" spans="1:18">
      <c r="A279" s="6"/>
      <c r="B279" s="8" t="s">
        <v>884</v>
      </c>
      <c r="C279" s="8"/>
      <c r="D279" s="158">
        <v>520789.83</v>
      </c>
      <c r="F279" s="8" t="s">
        <v>940</v>
      </c>
      <c r="G279" s="8">
        <v>0</v>
      </c>
      <c r="H279" s="160">
        <v>3648</v>
      </c>
      <c r="K279" s="13"/>
      <c r="L279" s="8" t="s">
        <v>1244</v>
      </c>
      <c r="M279" s="8"/>
      <c r="N279" s="157">
        <v>356151.06</v>
      </c>
      <c r="O279" s="6"/>
      <c r="P279" s="8" t="s">
        <v>1255</v>
      </c>
      <c r="Q279" s="8">
        <v>0</v>
      </c>
      <c r="R279" s="157">
        <v>1293833.49</v>
      </c>
    </row>
    <row r="280" spans="1:18">
      <c r="A280" s="6"/>
      <c r="B280" s="8" t="s">
        <v>939</v>
      </c>
      <c r="C280" s="8"/>
      <c r="D280" s="159">
        <v>8832</v>
      </c>
      <c r="F280" s="8" t="s">
        <v>884</v>
      </c>
      <c r="G280" s="8">
        <v>0</v>
      </c>
      <c r="H280" s="157">
        <v>520789.83</v>
      </c>
      <c r="K280" s="13"/>
      <c r="L280" s="8">
        <v>117</v>
      </c>
      <c r="M280" s="8"/>
      <c r="N280" s="157">
        <v>3943335.99</v>
      </c>
      <c r="O280" s="6"/>
      <c r="P280" s="8" t="s">
        <v>754</v>
      </c>
      <c r="Q280" s="8">
        <v>0</v>
      </c>
      <c r="R280" s="157">
        <v>409829.92</v>
      </c>
    </row>
    <row r="281" spans="1:18">
      <c r="A281" s="6"/>
      <c r="B281" s="8" t="s">
        <v>885</v>
      </c>
      <c r="C281" s="8"/>
      <c r="D281" s="158">
        <v>453886.83</v>
      </c>
      <c r="F281" s="8" t="s">
        <v>885</v>
      </c>
      <c r="G281" s="8">
        <v>0</v>
      </c>
      <c r="H281" s="157">
        <v>453886.83</v>
      </c>
      <c r="K281" s="13"/>
      <c r="L281" s="8">
        <v>123</v>
      </c>
      <c r="M281" s="8"/>
      <c r="N281" s="157">
        <v>2192217.21</v>
      </c>
      <c r="O281" s="6"/>
      <c r="P281" s="8" t="s">
        <v>761</v>
      </c>
      <c r="Q281" s="8">
        <v>0</v>
      </c>
      <c r="R281" s="157">
        <v>1656714.65</v>
      </c>
    </row>
    <row r="282" spans="1:18">
      <c r="A282" s="6"/>
      <c r="B282" s="8" t="s">
        <v>940</v>
      </c>
      <c r="C282" s="8"/>
      <c r="D282" s="159">
        <v>3648</v>
      </c>
      <c r="F282" s="8" t="s">
        <v>941</v>
      </c>
      <c r="G282" s="8">
        <v>0</v>
      </c>
      <c r="H282" s="160">
        <v>7344</v>
      </c>
      <c r="K282" s="13"/>
      <c r="L282" s="8">
        <v>141</v>
      </c>
      <c r="M282" s="8"/>
      <c r="N282" s="160">
        <v>86919.58</v>
      </c>
      <c r="O282" s="6"/>
      <c r="P282" s="8" t="s">
        <v>777</v>
      </c>
      <c r="Q282" s="8">
        <v>0</v>
      </c>
      <c r="R282" s="157">
        <v>1812624.09</v>
      </c>
    </row>
    <row r="283" spans="1:18">
      <c r="A283" s="6"/>
      <c r="B283" s="8" t="s">
        <v>886</v>
      </c>
      <c r="C283" s="8"/>
      <c r="D283" s="158">
        <v>433311.72</v>
      </c>
      <c r="F283" s="8" t="s">
        <v>942</v>
      </c>
      <c r="G283" s="8">
        <v>0</v>
      </c>
      <c r="H283" s="160">
        <v>12720</v>
      </c>
      <c r="K283" s="13"/>
      <c r="L283" s="8">
        <v>144</v>
      </c>
      <c r="M283" s="8"/>
      <c r="N283" s="157">
        <v>1518619.43</v>
      </c>
      <c r="O283" s="6"/>
      <c r="P283" s="8" t="s">
        <v>790</v>
      </c>
      <c r="Q283" s="8">
        <v>0</v>
      </c>
      <c r="R283" s="157">
        <v>1397974.33</v>
      </c>
    </row>
    <row r="284" spans="1:18">
      <c r="A284" s="6"/>
      <c r="B284" s="8" t="s">
        <v>941</v>
      </c>
      <c r="C284" s="8"/>
      <c r="D284" s="159">
        <v>7344</v>
      </c>
      <c r="F284" s="8" t="s">
        <v>943</v>
      </c>
      <c r="G284" s="8">
        <v>0</v>
      </c>
      <c r="H284" s="157">
        <v>960</v>
      </c>
      <c r="K284" s="13"/>
      <c r="L284" s="8">
        <v>149</v>
      </c>
      <c r="M284" s="8"/>
      <c r="N284" s="160">
        <v>48393.39</v>
      </c>
      <c r="O284" s="6"/>
      <c r="P284" s="8" t="s">
        <v>795</v>
      </c>
      <c r="Q284" s="8">
        <v>0</v>
      </c>
      <c r="R284" s="157">
        <v>1591072.38</v>
      </c>
    </row>
    <row r="285" spans="1:18">
      <c r="A285" s="6"/>
      <c r="B285" s="8" t="s">
        <v>887</v>
      </c>
      <c r="C285" s="8"/>
      <c r="D285" s="158">
        <v>965940.64</v>
      </c>
      <c r="F285" s="8" t="s">
        <v>886</v>
      </c>
      <c r="G285" s="8">
        <v>0</v>
      </c>
      <c r="H285" s="157">
        <v>433311.72</v>
      </c>
      <c r="K285" s="13"/>
      <c r="L285" s="8">
        <v>150</v>
      </c>
      <c r="M285" s="8"/>
      <c r="N285" s="160">
        <v>1131.8399999999999</v>
      </c>
      <c r="O285" s="6"/>
      <c r="P285" s="8" t="s">
        <v>800</v>
      </c>
      <c r="Q285" s="8">
        <v>0</v>
      </c>
      <c r="R285" s="157">
        <v>189888.08</v>
      </c>
    </row>
    <row r="286" spans="1:18">
      <c r="A286" s="6"/>
      <c r="B286" s="8" t="s">
        <v>942</v>
      </c>
      <c r="C286" s="8"/>
      <c r="D286" s="159">
        <v>12720</v>
      </c>
      <c r="F286" s="8" t="s">
        <v>887</v>
      </c>
      <c r="G286" s="8">
        <v>0</v>
      </c>
      <c r="H286" s="157">
        <v>965940.64</v>
      </c>
      <c r="K286" s="13"/>
      <c r="L286" s="8">
        <v>154</v>
      </c>
      <c r="M286" s="8"/>
      <c r="N286" s="157">
        <v>1051595.04</v>
      </c>
      <c r="O286" s="6"/>
      <c r="P286" s="8" t="s">
        <v>848</v>
      </c>
      <c r="Q286" s="8">
        <v>0</v>
      </c>
      <c r="R286" s="157">
        <v>154474.16</v>
      </c>
    </row>
    <row r="287" spans="1:18">
      <c r="A287" s="6"/>
      <c r="B287" s="8" t="s">
        <v>943</v>
      </c>
      <c r="C287" s="8"/>
      <c r="D287" s="158">
        <v>960</v>
      </c>
      <c r="F287" s="8" t="s">
        <v>944</v>
      </c>
      <c r="G287" s="8">
        <v>0</v>
      </c>
      <c r="H287" s="160">
        <v>18960</v>
      </c>
      <c r="K287" s="13"/>
      <c r="L287" s="8">
        <v>169</v>
      </c>
      <c r="M287" s="8"/>
      <c r="N287" s="157">
        <v>1293833.49</v>
      </c>
      <c r="O287" s="6"/>
      <c r="P287" s="8" t="s">
        <v>863</v>
      </c>
      <c r="Q287" s="8">
        <v>0</v>
      </c>
      <c r="R287" s="157">
        <v>616996.21</v>
      </c>
    </row>
    <row r="288" spans="1:18">
      <c r="A288" s="6"/>
      <c r="B288" s="8" t="s">
        <v>888</v>
      </c>
      <c r="C288" s="8"/>
      <c r="D288" s="158">
        <v>1292862.25</v>
      </c>
      <c r="F288" s="8" t="s">
        <v>888</v>
      </c>
      <c r="G288" s="8">
        <v>0</v>
      </c>
      <c r="H288" s="157">
        <v>1292862.23</v>
      </c>
      <c r="K288" s="13"/>
      <c r="L288" s="8">
        <v>173</v>
      </c>
      <c r="M288" s="8"/>
      <c r="N288" s="157">
        <v>409829.92</v>
      </c>
      <c r="O288" s="6"/>
      <c r="P288" s="8" t="s">
        <v>924</v>
      </c>
      <c r="Q288" s="8">
        <v>0</v>
      </c>
      <c r="R288" s="160">
        <v>6225.12</v>
      </c>
    </row>
    <row r="289" spans="1:18">
      <c r="A289" s="6"/>
      <c r="B289" s="8" t="s">
        <v>944</v>
      </c>
      <c r="C289" s="8"/>
      <c r="D289" s="159">
        <v>18960</v>
      </c>
      <c r="F289" s="8" t="s">
        <v>945</v>
      </c>
      <c r="G289" s="8">
        <v>0</v>
      </c>
      <c r="H289" s="160">
        <v>4464</v>
      </c>
      <c r="K289" s="13"/>
      <c r="L289" s="8">
        <v>180</v>
      </c>
      <c r="M289" s="8"/>
      <c r="N289" s="157">
        <v>1656714.65</v>
      </c>
      <c r="O289" s="6"/>
      <c r="P289" s="8" t="s">
        <v>925</v>
      </c>
      <c r="Q289" s="8">
        <v>0</v>
      </c>
      <c r="R289" s="160">
        <v>16223.04</v>
      </c>
    </row>
    <row r="290" spans="1:18">
      <c r="A290" s="6"/>
      <c r="B290" s="8" t="s">
        <v>889</v>
      </c>
      <c r="C290" s="8"/>
      <c r="D290" s="158">
        <v>278370.95</v>
      </c>
      <c r="F290" s="8" t="s">
        <v>946</v>
      </c>
      <c r="G290" s="8">
        <v>0</v>
      </c>
      <c r="H290" s="160">
        <v>9456</v>
      </c>
      <c r="K290" s="13"/>
      <c r="L290" s="8">
        <v>196</v>
      </c>
      <c r="M290" s="8"/>
      <c r="N290" s="157">
        <v>1812624.09</v>
      </c>
      <c r="O290" s="6"/>
      <c r="P290" s="8" t="s">
        <v>923</v>
      </c>
      <c r="Q290" s="9">
        <v>6225.12</v>
      </c>
      <c r="R290" s="8">
        <v>0</v>
      </c>
    </row>
    <row r="291" spans="1:18">
      <c r="A291" s="6"/>
      <c r="B291" s="8" t="s">
        <v>945</v>
      </c>
      <c r="C291" s="8"/>
      <c r="D291" s="159">
        <v>4464</v>
      </c>
      <c r="F291" s="8" t="s">
        <v>889</v>
      </c>
      <c r="G291" s="8">
        <v>0</v>
      </c>
      <c r="H291" s="157">
        <v>278370.95</v>
      </c>
      <c r="K291" s="13"/>
      <c r="L291" s="8">
        <v>213</v>
      </c>
      <c r="M291" s="8"/>
      <c r="N291" s="157">
        <v>1397974.33</v>
      </c>
      <c r="O291" s="6"/>
      <c r="P291" s="8" t="s">
        <v>869</v>
      </c>
      <c r="Q291" s="8">
        <v>0</v>
      </c>
      <c r="R291" s="157">
        <v>973169.41</v>
      </c>
    </row>
    <row r="292" spans="1:18">
      <c r="A292" s="6"/>
      <c r="B292" s="8" t="s">
        <v>890</v>
      </c>
      <c r="C292" s="8"/>
      <c r="D292" s="158">
        <v>809901.9</v>
      </c>
      <c r="F292" s="8" t="s">
        <v>890</v>
      </c>
      <c r="G292" s="8">
        <v>0</v>
      </c>
      <c r="H292" s="157">
        <v>809901.9</v>
      </c>
      <c r="K292" s="13"/>
      <c r="L292" s="8">
        <v>225</v>
      </c>
      <c r="M292" s="8"/>
      <c r="N292" s="157">
        <v>1591072.38</v>
      </c>
      <c r="O292" s="6"/>
      <c r="P292" s="8" t="s">
        <v>892</v>
      </c>
      <c r="Q292" s="8">
        <v>0</v>
      </c>
      <c r="R292" s="157">
        <v>1034600.11</v>
      </c>
    </row>
    <row r="293" spans="1:18">
      <c r="A293" s="6"/>
      <c r="B293" s="8" t="s">
        <v>946</v>
      </c>
      <c r="C293" s="8"/>
      <c r="D293" s="159">
        <v>9456</v>
      </c>
      <c r="F293" s="8" t="s">
        <v>947</v>
      </c>
      <c r="G293" s="8">
        <v>0</v>
      </c>
      <c r="H293" s="160">
        <v>13872</v>
      </c>
      <c r="K293" s="13"/>
      <c r="L293" s="8">
        <v>233</v>
      </c>
      <c r="M293" s="8"/>
      <c r="N293" s="157">
        <v>189888.08</v>
      </c>
      <c r="O293" s="6"/>
      <c r="P293" s="8" t="s">
        <v>897</v>
      </c>
      <c r="Q293" s="8">
        <v>0</v>
      </c>
      <c r="R293" s="157">
        <v>738745.3</v>
      </c>
    </row>
    <row r="294" spans="1:18">
      <c r="A294" s="6"/>
      <c r="B294" s="8" t="s">
        <v>891</v>
      </c>
      <c r="C294" s="8"/>
      <c r="D294" s="158">
        <v>1115988.26</v>
      </c>
      <c r="F294" s="8" t="s">
        <v>891</v>
      </c>
      <c r="G294" s="8">
        <v>0</v>
      </c>
      <c r="H294" s="157">
        <v>1115988.26</v>
      </c>
      <c r="K294" s="13"/>
      <c r="L294" s="8">
        <v>246</v>
      </c>
      <c r="M294" s="8"/>
      <c r="N294" s="157">
        <v>154474.16</v>
      </c>
      <c r="O294" s="6"/>
      <c r="P294" s="8" t="s">
        <v>899</v>
      </c>
      <c r="Q294" s="8">
        <v>0</v>
      </c>
      <c r="R294" s="157">
        <v>1493200.09</v>
      </c>
    </row>
    <row r="295" spans="1:18">
      <c r="A295" s="6"/>
      <c r="B295" s="8" t="s">
        <v>947</v>
      </c>
      <c r="C295" s="8"/>
      <c r="D295" s="159">
        <v>13872</v>
      </c>
      <c r="F295" s="8" t="s">
        <v>948</v>
      </c>
      <c r="G295" s="8">
        <v>0</v>
      </c>
      <c r="H295" s="160">
        <v>15216</v>
      </c>
      <c r="K295" s="13"/>
      <c r="L295" s="8">
        <v>263</v>
      </c>
      <c r="M295" s="8"/>
      <c r="N295" s="160">
        <v>6225.12</v>
      </c>
      <c r="O295" s="6"/>
      <c r="P295" s="8" t="s">
        <v>901</v>
      </c>
      <c r="Q295" s="8">
        <v>0</v>
      </c>
      <c r="R295" s="157">
        <v>1203171.6499999999</v>
      </c>
    </row>
    <row r="296" spans="1:18">
      <c r="A296" s="6"/>
      <c r="B296" s="8" t="s">
        <v>893</v>
      </c>
      <c r="C296" s="8"/>
      <c r="D296" s="158">
        <v>1015401.31</v>
      </c>
      <c r="F296" s="8" t="s">
        <v>893</v>
      </c>
      <c r="G296" s="8">
        <v>0</v>
      </c>
      <c r="H296" s="157">
        <v>1015401.31</v>
      </c>
      <c r="K296" s="13"/>
      <c r="L296" s="8">
        <v>275</v>
      </c>
      <c r="M296" s="8"/>
      <c r="N296" s="157">
        <v>616996.21</v>
      </c>
      <c r="O296" s="6"/>
      <c r="P296" s="8" t="s">
        <v>906</v>
      </c>
      <c r="Q296" s="8">
        <v>0</v>
      </c>
      <c r="R296" s="157">
        <v>108180.35</v>
      </c>
    </row>
    <row r="297" spans="1:18">
      <c r="A297" s="6"/>
      <c r="B297" s="8" t="s">
        <v>948</v>
      </c>
      <c r="C297" s="8"/>
      <c r="D297" s="159">
        <v>15216</v>
      </c>
      <c r="F297" s="8" t="s">
        <v>949</v>
      </c>
      <c r="G297" s="8">
        <v>0</v>
      </c>
      <c r="H297" s="160">
        <v>17136</v>
      </c>
      <c r="K297" s="13"/>
      <c r="L297" s="8">
        <v>281</v>
      </c>
      <c r="M297" s="8"/>
      <c r="N297" s="160">
        <v>16223.04</v>
      </c>
      <c r="O297" s="6"/>
      <c r="P297" s="8" t="s">
        <v>907</v>
      </c>
      <c r="Q297" s="8">
        <v>0</v>
      </c>
      <c r="R297" s="157">
        <v>1348527.77</v>
      </c>
    </row>
    <row r="298" spans="1:18">
      <c r="A298" s="6"/>
      <c r="B298" s="8" t="s">
        <v>894</v>
      </c>
      <c r="C298" s="8"/>
      <c r="D298" s="158">
        <v>1036860.11</v>
      </c>
      <c r="F298" s="8" t="s">
        <v>894</v>
      </c>
      <c r="G298" s="8">
        <v>0</v>
      </c>
      <c r="H298" s="157">
        <v>1036860.11</v>
      </c>
      <c r="K298" s="13"/>
      <c r="L298" s="8">
        <v>286</v>
      </c>
      <c r="M298" s="8"/>
      <c r="N298" s="157">
        <v>973169.41</v>
      </c>
      <c r="O298" s="6"/>
      <c r="P298" s="8" t="s">
        <v>1256</v>
      </c>
      <c r="Q298" s="8">
        <v>0</v>
      </c>
      <c r="R298" s="157">
        <v>1519518.67</v>
      </c>
    </row>
    <row r="299" spans="1:18">
      <c r="A299" s="6"/>
      <c r="B299" s="8" t="s">
        <v>949</v>
      </c>
      <c r="C299" s="8"/>
      <c r="D299" s="159">
        <v>17136</v>
      </c>
      <c r="F299" s="8" t="s">
        <v>950</v>
      </c>
      <c r="G299" s="8">
        <v>0</v>
      </c>
      <c r="H299" s="160">
        <v>4384</v>
      </c>
      <c r="K299" s="13"/>
      <c r="L299" s="8">
        <v>330</v>
      </c>
      <c r="M299" s="8"/>
      <c r="N299" s="157">
        <v>1034600.11</v>
      </c>
      <c r="O299" s="6"/>
      <c r="P299" s="8" t="s">
        <v>1257</v>
      </c>
      <c r="Q299" s="8">
        <v>0</v>
      </c>
      <c r="R299" s="157">
        <v>362627</v>
      </c>
    </row>
    <row r="300" spans="1:18">
      <c r="A300" s="6"/>
      <c r="B300" s="8" t="s">
        <v>950</v>
      </c>
      <c r="C300" s="8"/>
      <c r="D300" s="159">
        <v>4384</v>
      </c>
      <c r="F300" s="8" t="s">
        <v>1188</v>
      </c>
      <c r="G300" s="8">
        <v>0</v>
      </c>
      <c r="H300" s="160">
        <v>18768</v>
      </c>
      <c r="K300" s="13"/>
      <c r="L300" s="8">
        <v>342</v>
      </c>
      <c r="M300" s="8"/>
      <c r="N300" s="157">
        <v>738745.3</v>
      </c>
      <c r="O300" s="6"/>
      <c r="P300" s="8" t="s">
        <v>1257</v>
      </c>
      <c r="Q300" s="160">
        <v>6475</v>
      </c>
      <c r="R300" s="8">
        <v>0</v>
      </c>
    </row>
    <row r="301" spans="1:18">
      <c r="A301" s="6"/>
      <c r="B301" s="8" t="s">
        <v>895</v>
      </c>
      <c r="C301" s="8"/>
      <c r="D301" s="158">
        <v>1020155</v>
      </c>
      <c r="F301" s="8" t="s">
        <v>895</v>
      </c>
      <c r="G301" s="8">
        <v>0</v>
      </c>
      <c r="H301" s="157">
        <v>1020155</v>
      </c>
      <c r="K301" s="13"/>
      <c r="L301" s="8">
        <v>346</v>
      </c>
      <c r="M301" s="8"/>
      <c r="N301" s="157">
        <v>1493200.09</v>
      </c>
      <c r="O301" s="6"/>
      <c r="P301" s="8" t="s">
        <v>1258</v>
      </c>
      <c r="Q301" s="8">
        <v>0</v>
      </c>
      <c r="R301" s="157">
        <v>3943335.99</v>
      </c>
    </row>
    <row r="302" spans="1:18">
      <c r="A302" s="6"/>
      <c r="B302" s="8" t="s">
        <v>1188</v>
      </c>
      <c r="C302" s="8"/>
      <c r="D302" s="159">
        <v>18768</v>
      </c>
      <c r="F302" s="8" t="s">
        <v>896</v>
      </c>
      <c r="G302" s="8">
        <v>0</v>
      </c>
      <c r="H302" s="157">
        <v>851911.78</v>
      </c>
      <c r="K302" s="13"/>
      <c r="L302" s="8">
        <v>351</v>
      </c>
      <c r="M302" s="8"/>
      <c r="N302" s="157">
        <v>108180.35</v>
      </c>
      <c r="O302" s="6"/>
      <c r="P302" s="8" t="s">
        <v>1259</v>
      </c>
      <c r="Q302" s="8">
        <v>0</v>
      </c>
      <c r="R302" s="157">
        <v>2192217.21</v>
      </c>
    </row>
    <row r="303" spans="1:18">
      <c r="A303" s="6"/>
      <c r="B303" s="8" t="s">
        <v>896</v>
      </c>
      <c r="C303" s="8"/>
      <c r="D303" s="158">
        <v>851911.78</v>
      </c>
      <c r="F303" s="8" t="s">
        <v>951</v>
      </c>
      <c r="G303" s="8">
        <v>0</v>
      </c>
      <c r="H303" s="160">
        <v>17784</v>
      </c>
      <c r="K303" s="13"/>
      <c r="L303" s="8">
        <v>358</v>
      </c>
      <c r="M303" s="8"/>
      <c r="N303" s="157">
        <v>1203171.6499999999</v>
      </c>
      <c r="O303" s="6"/>
      <c r="P303" s="8" t="s">
        <v>1260</v>
      </c>
      <c r="Q303" s="8">
        <v>0</v>
      </c>
      <c r="R303" s="157">
        <v>298468</v>
      </c>
    </row>
    <row r="304" spans="1:18">
      <c r="A304" s="6"/>
      <c r="B304" s="8" t="s">
        <v>898</v>
      </c>
      <c r="C304" s="8"/>
      <c r="D304" s="158">
        <v>1333061.94</v>
      </c>
      <c r="F304" s="8" t="s">
        <v>898</v>
      </c>
      <c r="G304" s="8">
        <v>0</v>
      </c>
      <c r="H304" s="157">
        <v>1333061.94</v>
      </c>
      <c r="K304" s="13"/>
      <c r="L304" s="8">
        <v>364</v>
      </c>
      <c r="M304" s="8"/>
      <c r="N304" s="157">
        <v>1348527.77</v>
      </c>
      <c r="O304" s="6"/>
      <c r="P304" s="8" t="s">
        <v>1260</v>
      </c>
      <c r="Q304" s="160">
        <v>5330</v>
      </c>
      <c r="R304" s="8">
        <v>0</v>
      </c>
    </row>
    <row r="305" spans="1:18">
      <c r="A305" s="6"/>
      <c r="B305" s="8" t="s">
        <v>951</v>
      </c>
      <c r="C305" s="8"/>
      <c r="D305" s="159">
        <v>17784</v>
      </c>
      <c r="F305" s="8" t="s">
        <v>952</v>
      </c>
      <c r="G305" s="8">
        <v>0</v>
      </c>
      <c r="H305" s="160">
        <v>17736</v>
      </c>
      <c r="K305" s="13"/>
      <c r="L305" s="8" t="s">
        <v>1245</v>
      </c>
      <c r="M305" s="8"/>
      <c r="N305" s="157">
        <v>293138.21999999997</v>
      </c>
      <c r="O305" s="6"/>
      <c r="P305" s="8" t="s">
        <v>1260</v>
      </c>
      <c r="Q305" s="8">
        <v>0</v>
      </c>
      <c r="R305" s="157">
        <v>605679</v>
      </c>
    </row>
    <row r="306" spans="1:18">
      <c r="A306" s="6"/>
      <c r="B306" s="8" t="s">
        <v>900</v>
      </c>
      <c r="C306" s="8"/>
      <c r="D306" s="158">
        <v>1318549.19</v>
      </c>
      <c r="F306" s="8" t="s">
        <v>900</v>
      </c>
      <c r="G306" s="8">
        <v>0</v>
      </c>
      <c r="H306" s="157">
        <v>1318549.19</v>
      </c>
      <c r="K306" s="13"/>
      <c r="L306" s="8" t="s">
        <v>1246</v>
      </c>
      <c r="M306" s="8"/>
      <c r="N306" s="157">
        <v>594863.43999999994</v>
      </c>
      <c r="O306" s="6"/>
      <c r="P306" s="8" t="s">
        <v>1260</v>
      </c>
      <c r="Q306" s="160">
        <v>10816</v>
      </c>
      <c r="R306" s="8">
        <v>0</v>
      </c>
    </row>
    <row r="307" spans="1:18">
      <c r="A307" s="6"/>
      <c r="B307" s="8" t="s">
        <v>952</v>
      </c>
      <c r="C307" s="8"/>
      <c r="D307" s="159">
        <v>17736</v>
      </c>
      <c r="F307" s="8" t="s">
        <v>953</v>
      </c>
      <c r="G307" s="8">
        <v>0</v>
      </c>
      <c r="H307" s="160">
        <v>15840</v>
      </c>
      <c r="K307" s="13"/>
      <c r="L307" s="8">
        <v>151</v>
      </c>
      <c r="M307" s="8"/>
      <c r="N307" s="160">
        <v>24923.62</v>
      </c>
      <c r="O307" s="6"/>
      <c r="P307" s="8" t="s">
        <v>1261</v>
      </c>
      <c r="Q307" s="8">
        <v>0</v>
      </c>
      <c r="R307" s="157">
        <v>1518619.43</v>
      </c>
    </row>
    <row r="308" spans="1:18">
      <c r="A308" s="6"/>
      <c r="B308" s="8" t="s">
        <v>902</v>
      </c>
      <c r="C308" s="8"/>
      <c r="D308" s="158">
        <v>779538.88</v>
      </c>
      <c r="F308" s="8" t="s">
        <v>954</v>
      </c>
      <c r="G308" s="8">
        <v>0</v>
      </c>
      <c r="H308" s="160">
        <v>4464</v>
      </c>
      <c r="O308" s="13"/>
      <c r="P308" s="14" t="s">
        <v>1262</v>
      </c>
      <c r="Q308" s="14">
        <v>0</v>
      </c>
      <c r="R308" s="101">
        <v>86919.58</v>
      </c>
    </row>
    <row r="309" spans="1:18">
      <c r="A309" s="6"/>
      <c r="B309" s="8" t="s">
        <v>953</v>
      </c>
      <c r="C309" s="8"/>
      <c r="D309" s="159">
        <v>15840</v>
      </c>
      <c r="F309" s="8" t="s">
        <v>902</v>
      </c>
      <c r="G309" s="8">
        <v>0</v>
      </c>
      <c r="H309" s="157">
        <v>779538.88</v>
      </c>
      <c r="O309" s="13"/>
      <c r="P309" s="14" t="s">
        <v>1263</v>
      </c>
      <c r="Q309" s="14">
        <v>0</v>
      </c>
      <c r="R309" s="101">
        <v>48393.39</v>
      </c>
    </row>
    <row r="310" spans="1:18">
      <c r="A310" s="6"/>
      <c r="B310" s="8" t="s">
        <v>903</v>
      </c>
      <c r="C310" s="8"/>
      <c r="D310" s="158">
        <v>770998.18</v>
      </c>
      <c r="F310" s="8" t="s">
        <v>903</v>
      </c>
      <c r="G310" s="8">
        <v>0</v>
      </c>
      <c r="H310" s="157">
        <v>770998.18</v>
      </c>
      <c r="O310" s="13"/>
      <c r="P310" s="14" t="s">
        <v>1264</v>
      </c>
      <c r="Q310" s="14">
        <v>0</v>
      </c>
      <c r="R310" s="101">
        <v>24923.62</v>
      </c>
    </row>
    <row r="311" spans="1:18">
      <c r="A311" s="6"/>
      <c r="B311" s="8" t="s">
        <v>954</v>
      </c>
      <c r="C311" s="8"/>
      <c r="D311" s="159">
        <v>4464</v>
      </c>
      <c r="F311" s="8" t="s">
        <v>955</v>
      </c>
      <c r="G311" s="8">
        <v>0</v>
      </c>
      <c r="H311" s="160">
        <v>3984</v>
      </c>
      <c r="O311" s="13"/>
      <c r="P311" s="14" t="s">
        <v>1265</v>
      </c>
      <c r="Q311" s="14">
        <v>0</v>
      </c>
      <c r="R311" s="101">
        <v>1131.8399999999999</v>
      </c>
    </row>
    <row r="312" spans="1:18">
      <c r="A312" s="6"/>
      <c r="B312" s="8" t="s">
        <v>905</v>
      </c>
      <c r="C312" s="8"/>
      <c r="D312" s="158">
        <v>713005.2</v>
      </c>
      <c r="F312" s="8" t="s">
        <v>956</v>
      </c>
      <c r="G312" s="8">
        <v>0</v>
      </c>
      <c r="H312" s="160">
        <v>13488</v>
      </c>
      <c r="O312" s="13"/>
      <c r="P312" s="14" t="s">
        <v>1266</v>
      </c>
      <c r="Q312" s="14">
        <v>0</v>
      </c>
      <c r="R312" s="16">
        <v>1051595.04</v>
      </c>
    </row>
    <row r="313" spans="1:18">
      <c r="A313" s="6"/>
      <c r="B313" s="8" t="s">
        <v>956</v>
      </c>
      <c r="C313" s="8"/>
      <c r="D313" s="159">
        <v>13488</v>
      </c>
      <c r="F313" s="8" t="s">
        <v>904</v>
      </c>
      <c r="G313" s="8">
        <v>0</v>
      </c>
      <c r="H313" s="157">
        <v>966041.41</v>
      </c>
    </row>
    <row r="314" spans="1:18">
      <c r="A314" s="6"/>
      <c r="B314" s="8" t="s">
        <v>904</v>
      </c>
      <c r="C314" s="8"/>
      <c r="D314" s="158">
        <v>966041.41</v>
      </c>
      <c r="F314" s="8" t="s">
        <v>905</v>
      </c>
      <c r="G314" s="8">
        <v>0</v>
      </c>
      <c r="H314" s="157">
        <v>713005.2</v>
      </c>
    </row>
    <row r="315" spans="1:18">
      <c r="A315" s="6"/>
      <c r="B315" s="8" t="s">
        <v>955</v>
      </c>
      <c r="C315" s="8"/>
      <c r="D315" s="159">
        <v>3984</v>
      </c>
      <c r="F315" s="8" t="s">
        <v>1190</v>
      </c>
      <c r="G315" s="8">
        <v>0</v>
      </c>
      <c r="H315" s="157">
        <v>0</v>
      </c>
      <c r="I315" s="8">
        <v>114608</v>
      </c>
    </row>
    <row r="316" spans="1:18">
      <c r="A316" s="6"/>
      <c r="B316" s="8" t="s">
        <v>908</v>
      </c>
      <c r="C316" s="8"/>
      <c r="D316" s="158">
        <v>1055873.57</v>
      </c>
      <c r="F316" s="8" t="s">
        <v>957</v>
      </c>
      <c r="G316" s="8">
        <v>0</v>
      </c>
      <c r="H316" s="160">
        <v>20016</v>
      </c>
    </row>
    <row r="317" spans="1:18">
      <c r="A317" s="6"/>
      <c r="B317" s="8" t="s">
        <v>957</v>
      </c>
      <c r="C317" s="8"/>
      <c r="D317" s="159">
        <v>20016</v>
      </c>
      <c r="F317" s="8" t="s">
        <v>908</v>
      </c>
      <c r="G317" s="8">
        <v>0</v>
      </c>
      <c r="H317" s="157">
        <v>1055873.56</v>
      </c>
    </row>
    <row r="318" spans="1:18">
      <c r="A318" s="6"/>
      <c r="B318" s="8" t="s">
        <v>909</v>
      </c>
      <c r="C318" s="8"/>
      <c r="D318" s="158">
        <v>816781.86</v>
      </c>
      <c r="F318" s="8" t="s">
        <v>909</v>
      </c>
      <c r="G318" s="8">
        <v>0</v>
      </c>
      <c r="H318" s="157">
        <v>816781.86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M138"/>
  <sheetViews>
    <sheetView workbookViewId="0">
      <selection activeCell="B125" sqref="B125"/>
    </sheetView>
  </sheetViews>
  <sheetFormatPr defaultRowHeight="12.75"/>
  <cols>
    <col min="1" max="1" width="9.140625" style="244"/>
    <col min="2" max="2" width="31.5703125" style="244" customWidth="1"/>
    <col min="3" max="3" width="35.42578125" style="244" customWidth="1"/>
    <col min="4" max="4" width="17.5703125" style="244" bestFit="1" customWidth="1"/>
    <col min="5" max="5" width="13.7109375" style="244" bestFit="1" customWidth="1"/>
    <col min="6" max="6" width="15" style="244" bestFit="1" customWidth="1"/>
    <col min="7" max="7" width="17.5703125" style="244" bestFit="1" customWidth="1"/>
    <col min="8" max="8" width="9.140625" style="244"/>
    <col min="9" max="9" width="19.7109375" style="244" customWidth="1"/>
    <col min="10" max="10" width="9.140625" style="244"/>
    <col min="11" max="11" width="13" style="244" customWidth="1"/>
    <col min="12" max="12" width="15.85546875" style="244" customWidth="1"/>
    <col min="13" max="13" width="10.28515625" style="244" customWidth="1"/>
    <col min="14" max="16384" width="9.140625" style="244"/>
  </cols>
  <sheetData>
    <row r="1" spans="1:8">
      <c r="A1" s="5"/>
      <c r="B1" s="243" t="s">
        <v>157</v>
      </c>
      <c r="C1" s="243" t="s">
        <v>216</v>
      </c>
      <c r="D1" s="243" t="s">
        <v>217</v>
      </c>
      <c r="E1" s="243" t="s">
        <v>218</v>
      </c>
      <c r="F1" s="243" t="s">
        <v>219</v>
      </c>
      <c r="G1" s="243" t="s">
        <v>220</v>
      </c>
    </row>
    <row r="2" spans="1:8">
      <c r="A2" s="6"/>
      <c r="B2" s="176" t="s">
        <v>159</v>
      </c>
      <c r="C2" s="176" t="s">
        <v>87</v>
      </c>
      <c r="D2" s="176">
        <v>1854990879.4000001</v>
      </c>
      <c r="E2" s="176" t="s">
        <v>225</v>
      </c>
      <c r="F2" s="176" t="s">
        <v>1967</v>
      </c>
      <c r="G2" s="176">
        <v>1895781340.05</v>
      </c>
      <c r="H2" s="244" t="s">
        <v>347</v>
      </c>
    </row>
    <row r="3" spans="1:8">
      <c r="A3" s="6"/>
      <c r="B3" s="176" t="s">
        <v>159</v>
      </c>
      <c r="C3" s="176" t="s">
        <v>61</v>
      </c>
      <c r="D3" s="176">
        <v>554115384.01999998</v>
      </c>
      <c r="E3" s="176" t="s">
        <v>1968</v>
      </c>
      <c r="F3" s="176" t="s">
        <v>225</v>
      </c>
      <c r="G3" s="176">
        <v>562709992.38</v>
      </c>
      <c r="H3" s="244" t="s">
        <v>346</v>
      </c>
    </row>
    <row r="4" spans="1:8">
      <c r="D4" s="244">
        <f>+D2-D3</f>
        <v>1300875495.3800001</v>
      </c>
      <c r="G4" s="244">
        <f>+G2-G3</f>
        <v>1333071347.6700001</v>
      </c>
    </row>
    <row r="6" spans="1:8">
      <c r="B6" s="2" t="s">
        <v>157</v>
      </c>
      <c r="C6" s="2" t="s">
        <v>216</v>
      </c>
      <c r="D6" s="2" t="s">
        <v>217</v>
      </c>
      <c r="E6" s="2" t="s">
        <v>218</v>
      </c>
      <c r="F6" s="2" t="s">
        <v>219</v>
      </c>
      <c r="G6" s="245" t="s">
        <v>220</v>
      </c>
    </row>
    <row r="7" spans="1:8">
      <c r="B7" s="123" t="s">
        <v>270</v>
      </c>
      <c r="C7" s="123" t="s">
        <v>221</v>
      </c>
      <c r="D7" s="123">
        <v>659936589.39999998</v>
      </c>
      <c r="E7" s="123" t="s">
        <v>225</v>
      </c>
      <c r="F7" s="123" t="s">
        <v>1969</v>
      </c>
      <c r="G7" s="123">
        <v>668738122.39999998</v>
      </c>
      <c r="H7" s="244" t="s">
        <v>347</v>
      </c>
    </row>
    <row r="8" spans="1:8">
      <c r="B8" s="123" t="s">
        <v>270</v>
      </c>
      <c r="C8" s="123" t="s">
        <v>222</v>
      </c>
      <c r="D8" s="123">
        <v>1961019002.8</v>
      </c>
      <c r="E8" s="123" t="s">
        <v>1970</v>
      </c>
      <c r="F8" s="123" t="s">
        <v>225</v>
      </c>
      <c r="G8" s="123">
        <v>2001697059.46</v>
      </c>
      <c r="H8" s="244" t="s">
        <v>346</v>
      </c>
    </row>
    <row r="9" spans="1:8">
      <c r="D9" s="244">
        <f>+D7-D8</f>
        <v>-1301082413.4000001</v>
      </c>
      <c r="E9" s="244">
        <f>40790460.65-40678056.66</f>
        <v>112403.99000000209</v>
      </c>
      <c r="F9" s="244">
        <f>8801533-8594608.36</f>
        <v>206924.6400000006</v>
      </c>
      <c r="G9" s="244">
        <f>+G7-G8</f>
        <v>-1332958937.0599999</v>
      </c>
    </row>
    <row r="10" spans="1:8">
      <c r="D10" s="244">
        <f>+D4+D9</f>
        <v>-206918.01999998093</v>
      </c>
      <c r="F10" s="244">
        <f>+F9-E9</f>
        <v>94520.64999999851</v>
      </c>
      <c r="G10" s="244">
        <f>+G4+G9</f>
        <v>112410.61000013351</v>
      </c>
    </row>
    <row r="12" spans="1:8">
      <c r="B12" s="123" t="s">
        <v>157</v>
      </c>
      <c r="C12" s="123" t="s">
        <v>216</v>
      </c>
      <c r="D12" s="123" t="s">
        <v>217</v>
      </c>
      <c r="E12" s="123" t="s">
        <v>218</v>
      </c>
      <c r="F12" s="123" t="s">
        <v>219</v>
      </c>
      <c r="G12" s="123" t="s">
        <v>220</v>
      </c>
    </row>
    <row r="13" spans="1:8">
      <c r="B13" s="123" t="s">
        <v>159</v>
      </c>
      <c r="C13" s="123" t="s">
        <v>89</v>
      </c>
      <c r="D13" s="123" t="s">
        <v>1906</v>
      </c>
      <c r="E13" s="246" t="s">
        <v>1971</v>
      </c>
      <c r="F13" s="246" t="s">
        <v>1972</v>
      </c>
      <c r="G13" s="123">
        <v>383248545.19</v>
      </c>
      <c r="H13" s="244" t="s">
        <v>347</v>
      </c>
    </row>
    <row r="14" spans="1:8">
      <c r="B14" s="123" t="s">
        <v>159</v>
      </c>
      <c r="C14" s="123" t="s">
        <v>226</v>
      </c>
      <c r="D14" s="123" t="s">
        <v>1907</v>
      </c>
      <c r="E14" s="246" t="s">
        <v>1973</v>
      </c>
      <c r="F14" s="123" t="s">
        <v>225</v>
      </c>
      <c r="G14" s="123">
        <v>60979518.060000002</v>
      </c>
      <c r="H14" s="244" t="s">
        <v>346</v>
      </c>
    </row>
    <row r="15" spans="1:8">
      <c r="B15" s="123"/>
      <c r="C15" s="123"/>
      <c r="D15" s="123"/>
      <c r="E15" s="123"/>
      <c r="F15" s="123"/>
      <c r="G15" s="123">
        <f>+G13-G14</f>
        <v>322269027.13</v>
      </c>
    </row>
    <row r="16" spans="1:8">
      <c r="B16" s="123" t="s">
        <v>157</v>
      </c>
      <c r="C16" s="123" t="s">
        <v>216</v>
      </c>
      <c r="D16" s="123" t="s">
        <v>217</v>
      </c>
      <c r="E16" s="123" t="s">
        <v>218</v>
      </c>
      <c r="F16" s="123" t="s">
        <v>219</v>
      </c>
      <c r="G16" s="123" t="s">
        <v>220</v>
      </c>
    </row>
    <row r="17" spans="2:13">
      <c r="B17" s="123" t="s">
        <v>227</v>
      </c>
      <c r="C17" s="123" t="s">
        <v>221</v>
      </c>
      <c r="D17" s="123" t="s">
        <v>1908</v>
      </c>
      <c r="E17" s="123" t="s">
        <v>225</v>
      </c>
      <c r="F17" s="246" t="s">
        <v>1974</v>
      </c>
      <c r="G17" s="123">
        <v>5583806.8799999999</v>
      </c>
      <c r="H17" s="244" t="s">
        <v>346</v>
      </c>
    </row>
    <row r="18" spans="2:13">
      <c r="B18" s="123" t="s">
        <v>227</v>
      </c>
      <c r="C18" s="123" t="s">
        <v>222</v>
      </c>
      <c r="D18" s="123" t="s">
        <v>1909</v>
      </c>
      <c r="E18" s="246" t="s">
        <v>1975</v>
      </c>
      <c r="F18" s="246" t="s">
        <v>1976</v>
      </c>
      <c r="G18" s="123">
        <v>316685222.94</v>
      </c>
      <c r="H18" s="244" t="s">
        <v>346</v>
      </c>
    </row>
    <row r="19" spans="2:13">
      <c r="G19" s="244">
        <f>+G17+G18</f>
        <v>322269029.81999999</v>
      </c>
    </row>
    <row r="20" spans="2:13">
      <c r="G20" s="124">
        <f>+G15-G19</f>
        <v>-2.6899999976158142</v>
      </c>
    </row>
    <row r="23" spans="2:13" ht="15">
      <c r="J23" s="12"/>
      <c r="K23" s="12"/>
      <c r="L23" s="12"/>
      <c r="M23" s="12"/>
    </row>
    <row r="24" spans="2:13" ht="15">
      <c r="B24" s="123" t="s">
        <v>157</v>
      </c>
      <c r="C24" s="123" t="s">
        <v>216</v>
      </c>
      <c r="D24" s="123" t="s">
        <v>217</v>
      </c>
      <c r="E24" s="123" t="s">
        <v>218</v>
      </c>
      <c r="F24" s="123" t="s">
        <v>219</v>
      </c>
      <c r="G24" s="123" t="s">
        <v>220</v>
      </c>
      <c r="J24" s="13"/>
      <c r="K24" s="14"/>
      <c r="L24" s="13"/>
      <c r="M24" s="14"/>
    </row>
    <row r="25" spans="2:13" ht="15">
      <c r="B25" s="123" t="s">
        <v>159</v>
      </c>
      <c r="C25" s="123" t="s">
        <v>94</v>
      </c>
      <c r="D25" s="123" t="s">
        <v>1910</v>
      </c>
      <c r="E25" s="246" t="s">
        <v>1977</v>
      </c>
      <c r="F25" s="246" t="s">
        <v>1978</v>
      </c>
      <c r="G25" s="123">
        <v>447073391.41000003</v>
      </c>
      <c r="H25" s="244" t="s">
        <v>347</v>
      </c>
      <c r="J25" s="13"/>
      <c r="K25" s="12"/>
      <c r="L25" s="12" t="s">
        <v>217</v>
      </c>
      <c r="M25" s="14"/>
    </row>
    <row r="26" spans="2:13" ht="15">
      <c r="B26" s="123" t="s">
        <v>159</v>
      </c>
      <c r="C26" s="123" t="s">
        <v>73</v>
      </c>
      <c r="D26" s="123" t="s">
        <v>1911</v>
      </c>
      <c r="E26" s="246" t="s">
        <v>1979</v>
      </c>
      <c r="F26" s="123" t="s">
        <v>225</v>
      </c>
      <c r="G26" s="123">
        <v>400403494.56</v>
      </c>
      <c r="H26" s="244" t="s">
        <v>346</v>
      </c>
      <c r="J26" s="13"/>
      <c r="K26" s="13"/>
      <c r="L26" s="14">
        <v>112595463.73</v>
      </c>
      <c r="M26" s="14"/>
    </row>
    <row r="27" spans="2:13" ht="15">
      <c r="B27" s="123"/>
      <c r="C27" s="123"/>
      <c r="D27" s="123">
        <f>441686148.4-398384827.2</f>
        <v>43301321.199999988</v>
      </c>
      <c r="E27" s="123"/>
      <c r="F27" s="123"/>
      <c r="G27" s="123">
        <f>+G25-G26</f>
        <v>46669896.850000024</v>
      </c>
      <c r="J27" s="13"/>
      <c r="K27" s="14"/>
      <c r="L27" s="13"/>
      <c r="M27" s="14"/>
    </row>
    <row r="28" spans="2:13" ht="15">
      <c r="B28" s="123" t="s">
        <v>157</v>
      </c>
      <c r="C28" s="123" t="s">
        <v>216</v>
      </c>
      <c r="D28" s="123" t="s">
        <v>217</v>
      </c>
      <c r="E28" s="123" t="s">
        <v>218</v>
      </c>
      <c r="F28" s="123" t="s">
        <v>219</v>
      </c>
      <c r="G28" s="123" t="s">
        <v>220</v>
      </c>
      <c r="J28" s="13"/>
      <c r="K28" s="12"/>
      <c r="L28" s="12" t="s">
        <v>217</v>
      </c>
      <c r="M28" s="14"/>
    </row>
    <row r="29" spans="2:13" ht="15">
      <c r="B29" s="123" t="s">
        <v>271</v>
      </c>
      <c r="C29" s="123" t="s">
        <v>221</v>
      </c>
      <c r="D29" s="123" t="s">
        <v>1912</v>
      </c>
      <c r="E29" s="123" t="s">
        <v>225</v>
      </c>
      <c r="F29" s="246" t="s">
        <v>1980</v>
      </c>
      <c r="G29" s="123">
        <v>405250472.38999999</v>
      </c>
      <c r="H29" s="244" t="s">
        <v>347</v>
      </c>
      <c r="J29" s="13"/>
      <c r="K29" s="13"/>
      <c r="L29" s="14">
        <v>112597263.38</v>
      </c>
      <c r="M29" s="14"/>
    </row>
    <row r="30" spans="2:13" ht="15">
      <c r="B30" s="123" t="s">
        <v>271</v>
      </c>
      <c r="C30" s="123" t="s">
        <v>222</v>
      </c>
      <c r="D30" s="123" t="s">
        <v>1913</v>
      </c>
      <c r="E30" s="246" t="s">
        <v>1981</v>
      </c>
      <c r="F30" s="123" t="s">
        <v>225</v>
      </c>
      <c r="G30" s="123">
        <v>450236926.41000003</v>
      </c>
      <c r="H30" s="244" t="s">
        <v>346</v>
      </c>
      <c r="J30" s="13"/>
      <c r="K30" s="14"/>
      <c r="L30" s="13">
        <f>+L26-L29</f>
        <v>-1799.6499999910593</v>
      </c>
      <c r="M30" s="14"/>
    </row>
    <row r="31" spans="2:13" ht="15">
      <c r="D31" s="244">
        <f>403231805.03-444849684.47</f>
        <v>-41617879.440000057</v>
      </c>
      <c r="G31" s="244">
        <f>+G29-G30</f>
        <v>-44986454.020000041</v>
      </c>
      <c r="J31" s="13"/>
      <c r="K31" s="14"/>
      <c r="L31" s="13"/>
      <c r="M31" s="14"/>
    </row>
    <row r="32" spans="2:13" ht="15">
      <c r="D32" s="244">
        <f>+D27+D31</f>
        <v>1683441.7599999309</v>
      </c>
      <c r="G32" s="244">
        <f>+G27+G31</f>
        <v>1683442.8299999833</v>
      </c>
      <c r="H32" s="244" t="s">
        <v>1924</v>
      </c>
      <c r="J32" s="13"/>
      <c r="K32" s="14"/>
      <c r="L32" s="13"/>
      <c r="M32" s="14"/>
    </row>
    <row r="33" spans="2:13" ht="15">
      <c r="J33" s="13"/>
      <c r="K33" s="98"/>
      <c r="L33" s="13"/>
      <c r="M33" s="98"/>
    </row>
    <row r="34" spans="2:13" ht="15">
      <c r="B34" s="2" t="s">
        <v>157</v>
      </c>
      <c r="C34" s="2" t="s">
        <v>216</v>
      </c>
      <c r="D34" s="2" t="s">
        <v>217</v>
      </c>
      <c r="E34" s="2" t="s">
        <v>218</v>
      </c>
      <c r="F34" s="2" t="s">
        <v>219</v>
      </c>
      <c r="G34" s="245" t="s">
        <v>220</v>
      </c>
      <c r="J34" s="13"/>
      <c r="K34" s="98"/>
      <c r="L34" s="13"/>
      <c r="M34" s="98"/>
    </row>
    <row r="35" spans="2:13" ht="15">
      <c r="B35" s="123" t="s">
        <v>159</v>
      </c>
      <c r="C35" s="123" t="s">
        <v>229</v>
      </c>
      <c r="D35" s="123" t="s">
        <v>225</v>
      </c>
      <c r="E35" s="123" t="s">
        <v>225</v>
      </c>
      <c r="F35" s="123" t="s">
        <v>225</v>
      </c>
      <c r="G35" s="123" t="s">
        <v>225</v>
      </c>
      <c r="J35" s="13"/>
      <c r="K35" s="14"/>
      <c r="L35" s="13"/>
      <c r="M35" s="14"/>
    </row>
    <row r="36" spans="2:13" ht="15">
      <c r="B36" s="123" t="s">
        <v>159</v>
      </c>
      <c r="C36" s="123" t="s">
        <v>66</v>
      </c>
      <c r="D36" s="123" t="s">
        <v>1918</v>
      </c>
      <c r="E36" s="246" t="s">
        <v>1982</v>
      </c>
      <c r="F36" s="123" t="s">
        <v>225</v>
      </c>
      <c r="G36" s="215" t="s">
        <v>1983</v>
      </c>
      <c r="J36" s="13"/>
      <c r="K36" s="14"/>
      <c r="L36" s="13"/>
      <c r="M36" s="14"/>
    </row>
    <row r="37" spans="2:13" ht="15">
      <c r="J37" s="13"/>
      <c r="K37" s="98"/>
      <c r="L37" s="13"/>
      <c r="M37" s="98"/>
    </row>
    <row r="38" spans="2:13" ht="15">
      <c r="B38" s="2" t="s">
        <v>157</v>
      </c>
      <c r="C38" s="2" t="s">
        <v>216</v>
      </c>
      <c r="D38" s="2" t="s">
        <v>217</v>
      </c>
      <c r="E38" s="2" t="s">
        <v>218</v>
      </c>
      <c r="F38" s="2" t="s">
        <v>219</v>
      </c>
      <c r="G38" s="245" t="s">
        <v>220</v>
      </c>
      <c r="J38" s="13"/>
      <c r="K38" s="14"/>
      <c r="L38" s="13"/>
      <c r="M38" s="14"/>
    </row>
    <row r="39" spans="2:13">
      <c r="B39" s="123" t="s">
        <v>230</v>
      </c>
      <c r="C39" s="123" t="s">
        <v>221</v>
      </c>
      <c r="D39" s="123" t="s">
        <v>1919</v>
      </c>
      <c r="E39" s="123" t="s">
        <v>225</v>
      </c>
      <c r="F39" s="246" t="s">
        <v>1984</v>
      </c>
      <c r="G39" s="215" t="s">
        <v>1985</v>
      </c>
    </row>
    <row r="40" spans="2:13">
      <c r="B40" s="123" t="s">
        <v>230</v>
      </c>
      <c r="C40" s="123" t="s">
        <v>222</v>
      </c>
      <c r="D40" s="123" t="s">
        <v>225</v>
      </c>
      <c r="E40" s="123" t="s">
        <v>225</v>
      </c>
      <c r="F40" s="123" t="s">
        <v>225</v>
      </c>
      <c r="G40" s="177" t="s">
        <v>225</v>
      </c>
    </row>
    <row r="41" spans="2:13">
      <c r="D41" s="244">
        <f>118035601.03-118033798.97</f>
        <v>1802.0600000023842</v>
      </c>
      <c r="G41" s="244">
        <f>118035601.03-118033798.97</f>
        <v>1802.0600000023842</v>
      </c>
      <c r="H41" s="244" t="s">
        <v>1924</v>
      </c>
    </row>
    <row r="46" spans="2:13">
      <c r="B46" s="2" t="s">
        <v>157</v>
      </c>
      <c r="C46" s="2" t="s">
        <v>216</v>
      </c>
      <c r="D46" s="2" t="s">
        <v>217</v>
      </c>
      <c r="E46" s="2" t="s">
        <v>218</v>
      </c>
      <c r="F46" s="2" t="s">
        <v>219</v>
      </c>
      <c r="G46" s="2" t="s">
        <v>220</v>
      </c>
    </row>
    <row r="47" spans="2:13">
      <c r="B47" s="123" t="s">
        <v>159</v>
      </c>
      <c r="C47" s="123" t="s">
        <v>93</v>
      </c>
      <c r="D47" s="215" t="s">
        <v>1916</v>
      </c>
      <c r="E47" s="247" t="s">
        <v>1986</v>
      </c>
      <c r="F47" s="247" t="s">
        <v>1987</v>
      </c>
      <c r="G47" s="215" t="s">
        <v>1988</v>
      </c>
    </row>
    <row r="48" spans="2:13">
      <c r="B48" s="123" t="s">
        <v>159</v>
      </c>
      <c r="C48" s="123" t="s">
        <v>78</v>
      </c>
      <c r="D48" s="215" t="s">
        <v>1917</v>
      </c>
      <c r="E48" s="247" t="s">
        <v>1989</v>
      </c>
      <c r="F48" s="215" t="s">
        <v>225</v>
      </c>
      <c r="G48" s="215" t="s">
        <v>1990</v>
      </c>
    </row>
    <row r="49" spans="2:7">
      <c r="D49" s="244">
        <f>164803066.39-44880167.11</f>
        <v>119922899.27999999</v>
      </c>
      <c r="F49" s="244">
        <f>5401458.68-9919</f>
        <v>5391539.6799999997</v>
      </c>
    </row>
    <row r="50" spans="2:7">
      <c r="B50" s="2" t="s">
        <v>157</v>
      </c>
      <c r="C50" s="2" t="s">
        <v>216</v>
      </c>
      <c r="D50" s="2" t="s">
        <v>217</v>
      </c>
      <c r="E50" s="2" t="s">
        <v>218</v>
      </c>
      <c r="F50" s="2" t="s">
        <v>219</v>
      </c>
      <c r="G50" s="2" t="s">
        <v>220</v>
      </c>
    </row>
    <row r="51" spans="2:7">
      <c r="B51" s="123" t="s">
        <v>272</v>
      </c>
      <c r="C51" s="123" t="s">
        <v>221</v>
      </c>
      <c r="D51" s="215" t="s">
        <v>1914</v>
      </c>
      <c r="E51" s="215" t="s">
        <v>225</v>
      </c>
      <c r="F51" s="247" t="s">
        <v>1991</v>
      </c>
      <c r="G51" s="215" t="s">
        <v>1992</v>
      </c>
    </row>
    <row r="52" spans="2:7">
      <c r="B52" s="123" t="s">
        <v>272</v>
      </c>
      <c r="C52" s="123" t="s">
        <v>222</v>
      </c>
      <c r="D52" s="215" t="s">
        <v>1915</v>
      </c>
      <c r="E52" s="247" t="s">
        <v>1993</v>
      </c>
      <c r="F52" s="215" t="s">
        <v>1994</v>
      </c>
      <c r="G52" s="215" t="s">
        <v>1995</v>
      </c>
    </row>
    <row r="53" spans="2:7">
      <c r="D53" s="244">
        <f>51160035.83-156741683.13</f>
        <v>-105581647.3</v>
      </c>
    </row>
    <row r="54" spans="2:7">
      <c r="D54" s="244">
        <f>+D49+D53</f>
        <v>14341251.979999989</v>
      </c>
    </row>
    <row r="56" spans="2:7">
      <c r="B56" s="123" t="s">
        <v>157</v>
      </c>
      <c r="C56" s="123" t="s">
        <v>216</v>
      </c>
      <c r="D56" s="123" t="s">
        <v>217</v>
      </c>
      <c r="E56" s="123" t="s">
        <v>218</v>
      </c>
      <c r="F56" s="123" t="s">
        <v>219</v>
      </c>
      <c r="G56" s="177" t="s">
        <v>220</v>
      </c>
    </row>
    <row r="57" spans="2:7">
      <c r="B57" s="123" t="s">
        <v>159</v>
      </c>
      <c r="C57" s="123" t="s">
        <v>95</v>
      </c>
      <c r="D57" s="123" t="s">
        <v>1920</v>
      </c>
      <c r="E57" s="123" t="s">
        <v>225</v>
      </c>
      <c r="F57" s="123" t="s">
        <v>1996</v>
      </c>
      <c r="G57" s="215" t="s">
        <v>1997</v>
      </c>
    </row>
    <row r="58" spans="2:7">
      <c r="B58" s="123" t="s">
        <v>159</v>
      </c>
      <c r="C58" s="123" t="s">
        <v>232</v>
      </c>
      <c r="D58" s="123" t="s">
        <v>1921</v>
      </c>
      <c r="E58" s="123" t="s">
        <v>225</v>
      </c>
      <c r="F58" s="123" t="s">
        <v>225</v>
      </c>
      <c r="G58" s="215" t="s">
        <v>1921</v>
      </c>
    </row>
    <row r="59" spans="2:7">
      <c r="D59" s="244">
        <f>149203989.05-1935023.07</f>
        <v>147268965.98000002</v>
      </c>
    </row>
    <row r="62" spans="2:7">
      <c r="B62" s="123" t="s">
        <v>157</v>
      </c>
      <c r="C62" s="123" t="s">
        <v>216</v>
      </c>
      <c r="D62" s="123" t="s">
        <v>217</v>
      </c>
      <c r="E62" s="123" t="s">
        <v>218</v>
      </c>
      <c r="F62" s="123" t="s">
        <v>219</v>
      </c>
      <c r="G62" s="177" t="s">
        <v>220</v>
      </c>
    </row>
    <row r="63" spans="2:7">
      <c r="B63" s="123" t="s">
        <v>233</v>
      </c>
      <c r="C63" s="123" t="s">
        <v>221</v>
      </c>
      <c r="D63" s="123" t="s">
        <v>1922</v>
      </c>
      <c r="E63" s="123" t="s">
        <v>225</v>
      </c>
      <c r="F63" s="123" t="s">
        <v>225</v>
      </c>
      <c r="G63" s="215" t="s">
        <v>1922</v>
      </c>
    </row>
    <row r="64" spans="2:7">
      <c r="B64" s="123" t="s">
        <v>233</v>
      </c>
      <c r="C64" s="123" t="s">
        <v>222</v>
      </c>
      <c r="D64" s="123" t="s">
        <v>1923</v>
      </c>
      <c r="E64" s="123" t="s">
        <v>1998</v>
      </c>
      <c r="F64" s="123" t="s">
        <v>225</v>
      </c>
      <c r="G64" s="215" t="s">
        <v>1999</v>
      </c>
    </row>
    <row r="65" spans="2:8">
      <c r="D65" s="244">
        <f>23289543.27-166196145.62</f>
        <v>-142906602.34999999</v>
      </c>
      <c r="E65" s="244">
        <f>3837152.14-3815412.76</f>
        <v>21739.380000000354</v>
      </c>
      <c r="F65" s="244" t="s">
        <v>2000</v>
      </c>
    </row>
    <row r="66" spans="2:8">
      <c r="C66" s="244" t="s">
        <v>1924</v>
      </c>
      <c r="D66" s="244">
        <f>+D59+D65</f>
        <v>4362363.630000025</v>
      </c>
    </row>
    <row r="70" spans="2:8">
      <c r="B70" s="123" t="s">
        <v>157</v>
      </c>
      <c r="C70" s="123" t="s">
        <v>216</v>
      </c>
      <c r="D70" s="123" t="s">
        <v>217</v>
      </c>
      <c r="E70" s="123" t="s">
        <v>218</v>
      </c>
      <c r="F70" s="123" t="s">
        <v>219</v>
      </c>
      <c r="G70" s="123" t="s">
        <v>220</v>
      </c>
    </row>
    <row r="71" spans="2:8">
      <c r="B71" s="123" t="s">
        <v>159</v>
      </c>
      <c r="C71" s="123" t="s">
        <v>103</v>
      </c>
      <c r="D71" s="123" t="s">
        <v>1925</v>
      </c>
      <c r="E71" s="123" t="s">
        <v>225</v>
      </c>
      <c r="F71" s="123" t="s">
        <v>2001</v>
      </c>
      <c r="G71" s="123">
        <v>63914699.939999998</v>
      </c>
      <c r="H71" s="244" t="s">
        <v>347</v>
      </c>
    </row>
    <row r="72" spans="2:8">
      <c r="B72" s="123" t="s">
        <v>159</v>
      </c>
      <c r="C72" s="123" t="s">
        <v>333</v>
      </c>
      <c r="D72" s="123" t="s">
        <v>1664</v>
      </c>
      <c r="E72" s="246" t="s">
        <v>1579</v>
      </c>
      <c r="F72" s="123" t="s">
        <v>225</v>
      </c>
      <c r="G72" s="123">
        <v>12352814</v>
      </c>
      <c r="H72" s="244" t="s">
        <v>346</v>
      </c>
    </row>
    <row r="73" spans="2:8">
      <c r="B73" s="123"/>
      <c r="C73" s="123"/>
      <c r="D73" s="123"/>
      <c r="E73" s="123"/>
      <c r="F73" s="123"/>
      <c r="G73" s="123">
        <f>+G71-G72</f>
        <v>51561885.939999998</v>
      </c>
    </row>
    <row r="76" spans="2:8">
      <c r="B76" s="123" t="s">
        <v>157</v>
      </c>
      <c r="C76" s="123" t="s">
        <v>216</v>
      </c>
      <c r="D76" s="123" t="s">
        <v>217</v>
      </c>
      <c r="E76" s="123" t="s">
        <v>218</v>
      </c>
      <c r="F76" s="123" t="s">
        <v>219</v>
      </c>
      <c r="G76" s="123" t="s">
        <v>220</v>
      </c>
    </row>
    <row r="77" spans="2:8">
      <c r="B77" s="123" t="s">
        <v>334</v>
      </c>
      <c r="C77" s="123" t="s">
        <v>221</v>
      </c>
      <c r="D77" s="123" t="s">
        <v>1665</v>
      </c>
      <c r="E77" s="123" t="s">
        <v>225</v>
      </c>
      <c r="F77" s="246" t="s">
        <v>1580</v>
      </c>
      <c r="G77" s="123">
        <v>12352814.02</v>
      </c>
      <c r="H77" s="244" t="s">
        <v>347</v>
      </c>
    </row>
    <row r="78" spans="2:8">
      <c r="B78" s="123" t="s">
        <v>334</v>
      </c>
      <c r="C78" s="123" t="s">
        <v>222</v>
      </c>
      <c r="D78" s="123" t="s">
        <v>1926</v>
      </c>
      <c r="E78" s="123" t="s">
        <v>2002</v>
      </c>
      <c r="F78" s="123" t="s">
        <v>225</v>
      </c>
      <c r="G78" s="123">
        <v>63914844.579999998</v>
      </c>
      <c r="H78" s="244" t="s">
        <v>346</v>
      </c>
    </row>
    <row r="79" spans="2:8">
      <c r="E79" s="248">
        <f>24821196.74-24821053.35</f>
        <v>143.38999999687076</v>
      </c>
      <c r="F79" s="249" t="s">
        <v>2003</v>
      </c>
      <c r="G79" s="244">
        <f>+G78-G77</f>
        <v>51562030.560000002</v>
      </c>
    </row>
    <row r="80" spans="2:8">
      <c r="G80" s="244">
        <f>+G79-G73</f>
        <v>144.62000000476837</v>
      </c>
      <c r="H80" s="244" t="s">
        <v>2004</v>
      </c>
    </row>
    <row r="84" spans="2:8">
      <c r="B84" s="2" t="s">
        <v>157</v>
      </c>
      <c r="C84" s="2" t="s">
        <v>216</v>
      </c>
      <c r="D84" s="2" t="s">
        <v>217</v>
      </c>
      <c r="E84" s="2" t="s">
        <v>218</v>
      </c>
      <c r="F84" s="2" t="s">
        <v>219</v>
      </c>
      <c r="G84" s="2" t="s">
        <v>220</v>
      </c>
    </row>
    <row r="85" spans="2:8">
      <c r="B85" s="123" t="s">
        <v>159</v>
      </c>
      <c r="C85" s="123" t="s">
        <v>254</v>
      </c>
      <c r="D85" s="215" t="s">
        <v>2005</v>
      </c>
      <c r="E85" s="177" t="s">
        <v>225</v>
      </c>
      <c r="F85" s="177" t="s">
        <v>225</v>
      </c>
      <c r="G85" s="123">
        <v>98207343.060000002</v>
      </c>
      <c r="H85" s="244" t="s">
        <v>346</v>
      </c>
    </row>
    <row r="86" spans="2:8">
      <c r="B86" s="123" t="s">
        <v>159</v>
      </c>
      <c r="C86" s="123" t="s">
        <v>263</v>
      </c>
      <c r="D86" s="215" t="s">
        <v>1927</v>
      </c>
      <c r="E86" s="177" t="s">
        <v>225</v>
      </c>
      <c r="F86" s="177" t="s">
        <v>225</v>
      </c>
      <c r="G86" s="123">
        <v>7381529.9100000001</v>
      </c>
      <c r="H86" s="244" t="s">
        <v>347</v>
      </c>
    </row>
    <row r="87" spans="2:8">
      <c r="B87" s="123" t="s">
        <v>159</v>
      </c>
      <c r="C87" s="123" t="s">
        <v>256</v>
      </c>
      <c r="D87" s="215" t="s">
        <v>1928</v>
      </c>
      <c r="E87" s="177" t="s">
        <v>225</v>
      </c>
      <c r="F87" s="177" t="s">
        <v>225</v>
      </c>
      <c r="G87" s="123">
        <v>4008377.9</v>
      </c>
      <c r="H87" s="244" t="s">
        <v>346</v>
      </c>
    </row>
    <row r="88" spans="2:8">
      <c r="G88" s="244">
        <f>+G85-G86+G87</f>
        <v>94834191.050000012</v>
      </c>
    </row>
    <row r="90" spans="2:8">
      <c r="B90" s="2" t="s">
        <v>157</v>
      </c>
      <c r="C90" s="2" t="s">
        <v>216</v>
      </c>
      <c r="D90" s="2" t="s">
        <v>217</v>
      </c>
      <c r="E90" s="2" t="s">
        <v>218</v>
      </c>
      <c r="F90" s="2" t="s">
        <v>219</v>
      </c>
      <c r="G90" s="2" t="s">
        <v>220</v>
      </c>
    </row>
    <row r="91" spans="2:8">
      <c r="B91" s="123" t="s">
        <v>1929</v>
      </c>
      <c r="C91" s="123" t="s">
        <v>448</v>
      </c>
      <c r="D91" s="215" t="s">
        <v>2006</v>
      </c>
      <c r="E91" s="177" t="s">
        <v>225</v>
      </c>
      <c r="F91" s="177" t="s">
        <v>225</v>
      </c>
      <c r="G91" s="123">
        <v>98207342.780000001</v>
      </c>
      <c r="H91" s="244" t="s">
        <v>347</v>
      </c>
    </row>
    <row r="92" spans="2:8">
      <c r="B92" s="123" t="s">
        <v>1929</v>
      </c>
      <c r="C92" s="123" t="s">
        <v>221</v>
      </c>
      <c r="D92" s="215" t="s">
        <v>1930</v>
      </c>
      <c r="E92" s="177" t="s">
        <v>225</v>
      </c>
      <c r="F92" s="177" t="s">
        <v>225</v>
      </c>
      <c r="G92" s="123">
        <v>3373155.86</v>
      </c>
      <c r="H92" s="244" t="s">
        <v>346</v>
      </c>
    </row>
    <row r="93" spans="2:8">
      <c r="G93" s="244">
        <f>+G91-G92</f>
        <v>94834186.920000002</v>
      </c>
    </row>
    <row r="94" spans="2:8">
      <c r="G94" s="124">
        <f>+G88-G93</f>
        <v>4.1300000101327896</v>
      </c>
    </row>
    <row r="98" spans="1:9">
      <c r="B98" s="123" t="s">
        <v>157</v>
      </c>
      <c r="C98" s="123" t="s">
        <v>216</v>
      </c>
      <c r="D98" s="123" t="s">
        <v>217</v>
      </c>
      <c r="E98" s="123" t="s">
        <v>218</v>
      </c>
      <c r="F98" s="123" t="s">
        <v>219</v>
      </c>
      <c r="G98" s="177" t="s">
        <v>220</v>
      </c>
    </row>
    <row r="99" spans="1:9">
      <c r="B99" s="123" t="s">
        <v>159</v>
      </c>
      <c r="C99" s="123" t="s">
        <v>260</v>
      </c>
      <c r="D99" s="123" t="s">
        <v>1902</v>
      </c>
      <c r="E99" s="246" t="s">
        <v>2007</v>
      </c>
      <c r="F99" s="246" t="s">
        <v>2008</v>
      </c>
      <c r="G99" s="215" t="s">
        <v>225</v>
      </c>
    </row>
    <row r="100" spans="1:9">
      <c r="B100" s="123" t="s">
        <v>159</v>
      </c>
      <c r="C100" s="123" t="s">
        <v>344</v>
      </c>
      <c r="D100" s="123" t="s">
        <v>1579</v>
      </c>
      <c r="E100" s="247" t="s">
        <v>225</v>
      </c>
      <c r="F100" s="246" t="s">
        <v>2009</v>
      </c>
      <c r="G100" s="215" t="s">
        <v>225</v>
      </c>
    </row>
    <row r="101" spans="1:9">
      <c r="G101" s="29"/>
    </row>
    <row r="102" spans="1:9">
      <c r="B102" s="123" t="s">
        <v>157</v>
      </c>
      <c r="C102" s="123" t="s">
        <v>216</v>
      </c>
      <c r="D102" s="123" t="s">
        <v>217</v>
      </c>
      <c r="E102" s="123" t="s">
        <v>218</v>
      </c>
      <c r="F102" s="123" t="s">
        <v>219</v>
      </c>
      <c r="G102" s="177" t="s">
        <v>220</v>
      </c>
    </row>
    <row r="103" spans="1:9">
      <c r="B103" s="123" t="s">
        <v>345</v>
      </c>
      <c r="C103" s="123" t="s">
        <v>221</v>
      </c>
      <c r="D103" s="123" t="s">
        <v>1580</v>
      </c>
      <c r="E103" s="246" t="s">
        <v>2010</v>
      </c>
      <c r="F103" s="247" t="s">
        <v>225</v>
      </c>
      <c r="G103" s="215" t="s">
        <v>225</v>
      </c>
    </row>
    <row r="104" spans="1:9" ht="33" customHeight="1">
      <c r="B104" s="123" t="s">
        <v>345</v>
      </c>
      <c r="C104" s="123" t="s">
        <v>222</v>
      </c>
      <c r="D104" s="123" t="s">
        <v>1903</v>
      </c>
      <c r="E104" s="246" t="s">
        <v>2011</v>
      </c>
      <c r="F104" s="246" t="s">
        <v>2012</v>
      </c>
      <c r="G104" s="215" t="s">
        <v>225</v>
      </c>
    </row>
    <row r="105" spans="1:9" ht="45.75" customHeight="1"/>
    <row r="106" spans="1:9" ht="32.25" customHeight="1">
      <c r="A106" s="244" t="s">
        <v>231</v>
      </c>
      <c r="I106" s="250"/>
    </row>
    <row r="108" spans="1:9">
      <c r="B108" s="123" t="s">
        <v>157</v>
      </c>
      <c r="C108" s="123" t="s">
        <v>216</v>
      </c>
      <c r="D108" s="123" t="s">
        <v>217</v>
      </c>
      <c r="E108" s="123" t="s">
        <v>218</v>
      </c>
      <c r="F108" s="123" t="s">
        <v>219</v>
      </c>
      <c r="G108" s="123" t="s">
        <v>220</v>
      </c>
    </row>
    <row r="109" spans="1:9">
      <c r="B109" s="123" t="s">
        <v>159</v>
      </c>
      <c r="C109" s="123" t="s">
        <v>626</v>
      </c>
      <c r="D109" s="123" t="s">
        <v>2013</v>
      </c>
      <c r="E109" s="123" t="s">
        <v>225</v>
      </c>
      <c r="F109" s="123" t="s">
        <v>225</v>
      </c>
      <c r="G109" s="215" t="s">
        <v>2013</v>
      </c>
    </row>
    <row r="110" spans="1:9" ht="43.5" customHeight="1">
      <c r="B110" s="123" t="s">
        <v>159</v>
      </c>
      <c r="C110" s="123" t="s">
        <v>90</v>
      </c>
      <c r="D110" s="123" t="s">
        <v>1931</v>
      </c>
      <c r="E110" s="123" t="s">
        <v>225</v>
      </c>
      <c r="F110" s="123" t="s">
        <v>225</v>
      </c>
      <c r="G110" s="215" t="s">
        <v>1931</v>
      </c>
    </row>
    <row r="111" spans="1:9" ht="36.75" customHeight="1">
      <c r="B111" s="123" t="s">
        <v>159</v>
      </c>
      <c r="C111" s="123" t="s">
        <v>55</v>
      </c>
      <c r="D111" s="123" t="s">
        <v>1932</v>
      </c>
      <c r="E111" s="123" t="s">
        <v>225</v>
      </c>
      <c r="F111" s="123" t="s">
        <v>225</v>
      </c>
      <c r="G111" s="215" t="s">
        <v>1932</v>
      </c>
    </row>
    <row r="112" spans="1:9" ht="38.25" customHeight="1">
      <c r="G112" s="244">
        <f>14934.39+13926708.33-34104292.25</f>
        <v>-20162649.530000001</v>
      </c>
    </row>
    <row r="116" spans="2:8" ht="42.75" customHeight="1">
      <c r="B116" s="123" t="s">
        <v>157</v>
      </c>
      <c r="C116" s="123" t="s">
        <v>216</v>
      </c>
      <c r="D116" s="123" t="s">
        <v>217</v>
      </c>
      <c r="E116" s="123" t="s">
        <v>218</v>
      </c>
      <c r="F116" s="123" t="s">
        <v>219</v>
      </c>
      <c r="G116" s="123" t="s">
        <v>220</v>
      </c>
    </row>
    <row r="117" spans="2:8" ht="38.25" customHeight="1">
      <c r="B117" s="123" t="s">
        <v>1933</v>
      </c>
      <c r="C117" s="123" t="s">
        <v>221</v>
      </c>
      <c r="D117" s="123" t="s">
        <v>1934</v>
      </c>
      <c r="E117" s="123" t="s">
        <v>225</v>
      </c>
      <c r="F117" s="123" t="s">
        <v>225</v>
      </c>
      <c r="G117" s="215" t="s">
        <v>1934</v>
      </c>
    </row>
    <row r="118" spans="2:8">
      <c r="B118" s="123" t="s">
        <v>391</v>
      </c>
      <c r="C118" s="123" t="s">
        <v>221</v>
      </c>
      <c r="D118" s="123" t="s">
        <v>225</v>
      </c>
      <c r="E118" s="123" t="s">
        <v>225</v>
      </c>
      <c r="F118" s="123" t="s">
        <v>225</v>
      </c>
      <c r="G118" s="215" t="s">
        <v>225</v>
      </c>
    </row>
    <row r="119" spans="2:8">
      <c r="B119" s="123" t="s">
        <v>1933</v>
      </c>
      <c r="C119" s="123" t="s">
        <v>222</v>
      </c>
      <c r="D119" s="123" t="s">
        <v>1935</v>
      </c>
      <c r="E119" s="123" t="s">
        <v>225</v>
      </c>
      <c r="F119" s="123" t="s">
        <v>225</v>
      </c>
      <c r="G119" s="215" t="s">
        <v>1935</v>
      </c>
    </row>
    <row r="120" spans="2:8">
      <c r="B120" s="123" t="s">
        <v>391</v>
      </c>
      <c r="C120" s="123" t="s">
        <v>222</v>
      </c>
      <c r="D120" s="123" t="s">
        <v>225</v>
      </c>
      <c r="E120" s="123" t="s">
        <v>225</v>
      </c>
      <c r="F120" s="123" t="s">
        <v>225</v>
      </c>
      <c r="G120" s="215" t="s">
        <v>225</v>
      </c>
    </row>
    <row r="121" spans="2:8" ht="30.75" customHeight="1">
      <c r="G121" s="244">
        <f>13973233.59-34102428.66</f>
        <v>-20129195.069999997</v>
      </c>
    </row>
    <row r="122" spans="2:8" ht="33" customHeight="1">
      <c r="G122" s="244">
        <f>+G112-G121</f>
        <v>-33454.460000004619</v>
      </c>
      <c r="H122" s="244" t="s">
        <v>2014</v>
      </c>
    </row>
    <row r="126" spans="2:8">
      <c r="B126" s="123" t="s">
        <v>157</v>
      </c>
      <c r="C126" s="123" t="s">
        <v>216</v>
      </c>
      <c r="D126" s="123" t="s">
        <v>217</v>
      </c>
      <c r="E126" s="123" t="s">
        <v>218</v>
      </c>
      <c r="F126" s="123" t="s">
        <v>219</v>
      </c>
      <c r="G126" s="123" t="s">
        <v>220</v>
      </c>
    </row>
    <row r="127" spans="2:8">
      <c r="B127" s="123" t="s">
        <v>159</v>
      </c>
      <c r="C127" s="123" t="s">
        <v>626</v>
      </c>
      <c r="D127" s="123" t="s">
        <v>2015</v>
      </c>
      <c r="E127" s="123" t="s">
        <v>2016</v>
      </c>
      <c r="F127" s="123" t="s">
        <v>225</v>
      </c>
      <c r="G127" s="215" t="s">
        <v>2013</v>
      </c>
    </row>
    <row r="128" spans="2:8">
      <c r="B128" s="123" t="s">
        <v>159</v>
      </c>
      <c r="C128" s="123" t="s">
        <v>90</v>
      </c>
      <c r="D128" s="123" t="s">
        <v>1931</v>
      </c>
      <c r="E128" s="123" t="s">
        <v>225</v>
      </c>
      <c r="F128" s="123" t="s">
        <v>225</v>
      </c>
      <c r="G128" s="215" t="s">
        <v>1931</v>
      </c>
    </row>
    <row r="129" spans="2:8">
      <c r="B129" s="123" t="s">
        <v>159</v>
      </c>
      <c r="C129" s="123" t="s">
        <v>55</v>
      </c>
      <c r="D129" s="123" t="s">
        <v>1932</v>
      </c>
      <c r="E129" s="123" t="s">
        <v>225</v>
      </c>
      <c r="F129" s="123" t="s">
        <v>225</v>
      </c>
      <c r="G129" s="215" t="s">
        <v>1932</v>
      </c>
    </row>
    <row r="130" spans="2:8">
      <c r="D130" s="244">
        <f>34104292.25-2240.1</f>
        <v>34102052.149999999</v>
      </c>
    </row>
    <row r="132" spans="2:8">
      <c r="B132" s="123" t="s">
        <v>157</v>
      </c>
      <c r="C132" s="123" t="s">
        <v>216</v>
      </c>
      <c r="D132" s="123" t="s">
        <v>217</v>
      </c>
      <c r="E132" s="123" t="s">
        <v>218</v>
      </c>
      <c r="F132" s="123" t="s">
        <v>219</v>
      </c>
      <c r="G132" s="123" t="s">
        <v>220</v>
      </c>
    </row>
    <row r="133" spans="2:8">
      <c r="B133" s="123" t="s">
        <v>1933</v>
      </c>
      <c r="C133" s="123" t="s">
        <v>221</v>
      </c>
      <c r="D133" s="123" t="s">
        <v>2017</v>
      </c>
      <c r="E133" s="123" t="s">
        <v>225</v>
      </c>
      <c r="F133" s="123" t="s">
        <v>2018</v>
      </c>
      <c r="G133" s="215" t="s">
        <v>1934</v>
      </c>
    </row>
    <row r="134" spans="2:8">
      <c r="B134" s="123" t="s">
        <v>391</v>
      </c>
      <c r="C134" s="123" t="s">
        <v>221</v>
      </c>
      <c r="D134" s="123" t="s">
        <v>2017</v>
      </c>
      <c r="E134" s="123" t="s">
        <v>2019</v>
      </c>
      <c r="F134" s="123" t="s">
        <v>225</v>
      </c>
      <c r="G134" s="215" t="s">
        <v>225</v>
      </c>
    </row>
    <row r="135" spans="2:8">
      <c r="B135" s="123" t="s">
        <v>1933</v>
      </c>
      <c r="C135" s="123" t="s">
        <v>222</v>
      </c>
      <c r="D135" s="123" t="s">
        <v>1935</v>
      </c>
      <c r="E135" s="123" t="s">
        <v>225</v>
      </c>
      <c r="F135" s="123" t="s">
        <v>225</v>
      </c>
      <c r="G135" s="215" t="s">
        <v>1935</v>
      </c>
    </row>
    <row r="136" spans="2:8">
      <c r="B136" s="123" t="s">
        <v>391</v>
      </c>
      <c r="C136" s="123" t="s">
        <v>222</v>
      </c>
      <c r="D136" s="123" t="s">
        <v>1935</v>
      </c>
      <c r="E136" s="123" t="s">
        <v>225</v>
      </c>
      <c r="F136" s="123" t="s">
        <v>2020</v>
      </c>
      <c r="G136" s="215" t="s">
        <v>225</v>
      </c>
    </row>
    <row r="137" spans="2:8">
      <c r="E137" s="244">
        <f>13926708.33-13958297.3</f>
        <v>-31588.970000000671</v>
      </c>
      <c r="F137" s="244">
        <f>34102428.66-34102052.15</f>
        <v>376.50999999791384</v>
      </c>
    </row>
    <row r="138" spans="2:8">
      <c r="F138" s="244">
        <f>14936.29-12694.29</f>
        <v>2242</v>
      </c>
      <c r="G138" s="244">
        <f>+E137-F138+F137</f>
        <v>-33454.460000002757</v>
      </c>
      <c r="H138" s="244" t="s">
        <v>2014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G84"/>
  <sheetViews>
    <sheetView workbookViewId="0">
      <selection activeCell="F60" sqref="F60"/>
    </sheetView>
  </sheetViews>
  <sheetFormatPr defaultRowHeight="15"/>
  <cols>
    <col min="1" max="1" width="9.140625" style="272"/>
    <col min="2" max="2" width="29.42578125" style="272" bestFit="1" customWidth="1"/>
    <col min="3" max="3" width="32.5703125" style="272" bestFit="1" customWidth="1"/>
    <col min="4" max="4" width="18.42578125" style="272" bestFit="1" customWidth="1"/>
    <col min="5" max="5" width="15.85546875" style="272" customWidth="1"/>
    <col min="6" max="6" width="15.7109375" style="272" bestFit="1" customWidth="1"/>
    <col min="7" max="7" width="18.42578125" style="272" bestFit="1" customWidth="1"/>
    <col min="8" max="16384" width="9.140625" style="272"/>
  </cols>
  <sheetData>
    <row r="1" spans="1:7">
      <c r="A1" s="30"/>
      <c r="B1" s="270" t="s">
        <v>157</v>
      </c>
      <c r="C1" s="270" t="s">
        <v>216</v>
      </c>
      <c r="D1" s="270" t="s">
        <v>217</v>
      </c>
      <c r="E1" s="270" t="s">
        <v>218</v>
      </c>
      <c r="F1" s="270" t="s">
        <v>219</v>
      </c>
      <c r="G1" s="270" t="s">
        <v>220</v>
      </c>
    </row>
    <row r="2" spans="1:7">
      <c r="A2" s="80"/>
      <c r="B2" s="33" t="s">
        <v>159</v>
      </c>
      <c r="C2" s="33" t="s">
        <v>87</v>
      </c>
      <c r="D2" s="34" t="s">
        <v>2029</v>
      </c>
      <c r="E2" s="40" t="s">
        <v>225</v>
      </c>
      <c r="F2" s="40" t="s">
        <v>2081</v>
      </c>
      <c r="G2" s="34" t="s">
        <v>2082</v>
      </c>
    </row>
    <row r="3" spans="1:7">
      <c r="A3" s="80"/>
      <c r="B3" s="33" t="s">
        <v>159</v>
      </c>
      <c r="C3" s="33" t="s">
        <v>61</v>
      </c>
      <c r="D3" s="34" t="s">
        <v>2030</v>
      </c>
      <c r="E3" s="40" t="s">
        <v>2083</v>
      </c>
      <c r="F3" s="34" t="s">
        <v>225</v>
      </c>
      <c r="G3" s="34" t="s">
        <v>2084</v>
      </c>
    </row>
    <row r="8" spans="1:7">
      <c r="B8" s="268" t="s">
        <v>157</v>
      </c>
      <c r="C8" s="268" t="s">
        <v>216</v>
      </c>
      <c r="D8" s="268" t="s">
        <v>217</v>
      </c>
      <c r="E8" s="268" t="s">
        <v>218</v>
      </c>
      <c r="F8" s="268" t="s">
        <v>219</v>
      </c>
      <c r="G8" s="268" t="s">
        <v>220</v>
      </c>
    </row>
    <row r="9" spans="1:7">
      <c r="B9" s="69" t="s">
        <v>270</v>
      </c>
      <c r="C9" s="69" t="s">
        <v>221</v>
      </c>
      <c r="D9" s="103" t="s">
        <v>2085</v>
      </c>
      <c r="E9" s="103" t="s">
        <v>225</v>
      </c>
      <c r="F9" s="273" t="s">
        <v>2086</v>
      </c>
      <c r="G9" s="103" t="s">
        <v>2087</v>
      </c>
    </row>
    <row r="10" spans="1:7">
      <c r="B10" s="69" t="s">
        <v>270</v>
      </c>
      <c r="C10" s="69" t="s">
        <v>222</v>
      </c>
      <c r="D10" s="103" t="s">
        <v>2032</v>
      </c>
      <c r="E10" s="273" t="s">
        <v>2088</v>
      </c>
      <c r="F10" s="273" t="s">
        <v>225</v>
      </c>
      <c r="G10" s="103" t="s">
        <v>2089</v>
      </c>
    </row>
    <row r="11" spans="1:7">
      <c r="E11" s="272">
        <f>55685117.09-55632053.49</f>
        <v>53063.60000000149</v>
      </c>
      <c r="F11" s="272">
        <f>5824186-5712402.27</f>
        <v>111783.73000000045</v>
      </c>
    </row>
    <row r="14" spans="1:7">
      <c r="A14" s="12"/>
      <c r="B14" s="269" t="s">
        <v>157</v>
      </c>
      <c r="C14" s="269" t="s">
        <v>216</v>
      </c>
      <c r="D14" s="269" t="s">
        <v>217</v>
      </c>
      <c r="E14" s="269" t="s">
        <v>218</v>
      </c>
      <c r="F14" s="269" t="s">
        <v>219</v>
      </c>
      <c r="G14" s="269" t="s">
        <v>220</v>
      </c>
    </row>
    <row r="15" spans="1:7" ht="30">
      <c r="A15" s="13"/>
      <c r="B15" s="70" t="s">
        <v>159</v>
      </c>
      <c r="C15" s="70" t="s">
        <v>87</v>
      </c>
      <c r="D15" s="70" t="s">
        <v>2033</v>
      </c>
      <c r="E15" s="83" t="s">
        <v>2034</v>
      </c>
      <c r="F15" s="83" t="s">
        <v>2035</v>
      </c>
      <c r="G15" s="70" t="s">
        <v>2029</v>
      </c>
    </row>
    <row r="16" spans="1:7">
      <c r="A16" s="13"/>
      <c r="B16" s="70" t="s">
        <v>159</v>
      </c>
      <c r="C16" s="70" t="s">
        <v>61</v>
      </c>
      <c r="D16" s="70" t="s">
        <v>2036</v>
      </c>
      <c r="E16" s="83" t="s">
        <v>2037</v>
      </c>
      <c r="F16" s="83" t="s">
        <v>2038</v>
      </c>
      <c r="G16" s="70" t="s">
        <v>2030</v>
      </c>
    </row>
    <row r="19" spans="1:7">
      <c r="A19" s="12"/>
      <c r="B19" s="269" t="s">
        <v>157</v>
      </c>
      <c r="C19" s="269" t="s">
        <v>216</v>
      </c>
      <c r="D19" s="269" t="s">
        <v>217</v>
      </c>
      <c r="E19" s="269" t="s">
        <v>218</v>
      </c>
      <c r="F19" s="269" t="s">
        <v>219</v>
      </c>
      <c r="G19" s="269" t="s">
        <v>220</v>
      </c>
    </row>
    <row r="20" spans="1:7">
      <c r="A20" s="13"/>
      <c r="B20" s="70" t="s">
        <v>270</v>
      </c>
      <c r="C20" s="70" t="s">
        <v>221</v>
      </c>
      <c r="D20" s="70" t="s">
        <v>2039</v>
      </c>
      <c r="E20" s="83" t="s">
        <v>2040</v>
      </c>
      <c r="F20" s="83" t="s">
        <v>2041</v>
      </c>
      <c r="G20" s="70" t="s">
        <v>2031</v>
      </c>
    </row>
    <row r="21" spans="1:7" ht="30">
      <c r="A21" s="13"/>
      <c r="B21" s="70" t="s">
        <v>270</v>
      </c>
      <c r="C21" s="70" t="s">
        <v>222</v>
      </c>
      <c r="D21" s="70" t="s">
        <v>2042</v>
      </c>
      <c r="E21" s="83" t="s">
        <v>2043</v>
      </c>
      <c r="F21" s="83" t="s">
        <v>2044</v>
      </c>
      <c r="G21" s="70" t="s">
        <v>2032</v>
      </c>
    </row>
    <row r="22" spans="1:7">
      <c r="E22" s="272">
        <f>133704604.44-133704604.43</f>
        <v>9.9999904632568359E-3</v>
      </c>
      <c r="F22" s="272">
        <f>8255189.53-8255168.45</f>
        <v>21.080000000074506</v>
      </c>
    </row>
    <row r="23" spans="1:7">
      <c r="E23" s="272">
        <f>21978659.63-21978657.76</f>
        <v>1.869999997317791</v>
      </c>
      <c r="F23" s="272">
        <f>228281.24-228281.24</f>
        <v>0</v>
      </c>
    </row>
    <row r="28" spans="1:7">
      <c r="A28" s="12"/>
      <c r="B28" s="12" t="s">
        <v>157</v>
      </c>
      <c r="C28" s="12" t="s">
        <v>216</v>
      </c>
      <c r="D28" s="12" t="s">
        <v>217</v>
      </c>
      <c r="E28" s="12" t="s">
        <v>218</v>
      </c>
      <c r="F28" s="12" t="s">
        <v>219</v>
      </c>
      <c r="G28" s="12" t="s">
        <v>220</v>
      </c>
    </row>
    <row r="29" spans="1:7">
      <c r="A29" s="13"/>
      <c r="B29" s="14" t="s">
        <v>159</v>
      </c>
      <c r="C29" s="14" t="s">
        <v>89</v>
      </c>
      <c r="D29" s="35" t="s">
        <v>2045</v>
      </c>
      <c r="E29" s="42" t="s">
        <v>225</v>
      </c>
      <c r="F29" s="42" t="s">
        <v>2090</v>
      </c>
      <c r="G29" s="35" t="s">
        <v>2091</v>
      </c>
    </row>
    <row r="30" spans="1:7">
      <c r="A30" s="13"/>
      <c r="B30" s="14" t="s">
        <v>159</v>
      </c>
      <c r="C30" s="14" t="s">
        <v>226</v>
      </c>
      <c r="D30" s="35" t="s">
        <v>2046</v>
      </c>
      <c r="E30" s="42" t="s">
        <v>2092</v>
      </c>
      <c r="F30" s="42" t="s">
        <v>225</v>
      </c>
      <c r="G30" s="35" t="s">
        <v>2093</v>
      </c>
    </row>
    <row r="34" spans="1:7">
      <c r="A34" s="12"/>
      <c r="B34" s="12" t="s">
        <v>157</v>
      </c>
      <c r="C34" s="12" t="s">
        <v>216</v>
      </c>
      <c r="D34" s="12" t="s">
        <v>217</v>
      </c>
      <c r="E34" s="12" t="s">
        <v>218</v>
      </c>
      <c r="F34" s="12" t="s">
        <v>219</v>
      </c>
      <c r="G34" s="12" t="s">
        <v>220</v>
      </c>
    </row>
    <row r="35" spans="1:7">
      <c r="A35" s="13"/>
      <c r="B35" s="14" t="s">
        <v>227</v>
      </c>
      <c r="C35" s="14" t="s">
        <v>221</v>
      </c>
      <c r="D35" s="35" t="s">
        <v>2047</v>
      </c>
      <c r="E35" s="42" t="s">
        <v>225</v>
      </c>
      <c r="F35" s="42" t="s">
        <v>2094</v>
      </c>
      <c r="G35" s="35" t="s">
        <v>2095</v>
      </c>
    </row>
    <row r="36" spans="1:7">
      <c r="A36" s="13"/>
      <c r="B36" s="14" t="s">
        <v>227</v>
      </c>
      <c r="C36" s="14" t="s">
        <v>222</v>
      </c>
      <c r="D36" s="35" t="s">
        <v>2048</v>
      </c>
      <c r="E36" s="42" t="s">
        <v>2096</v>
      </c>
      <c r="F36" s="42" t="s">
        <v>225</v>
      </c>
      <c r="G36" s="35" t="s">
        <v>2097</v>
      </c>
    </row>
    <row r="40" spans="1:7">
      <c r="A40" s="12"/>
      <c r="B40" s="12" t="s">
        <v>157</v>
      </c>
      <c r="C40" s="12" t="s">
        <v>216</v>
      </c>
      <c r="D40" s="12" t="s">
        <v>217</v>
      </c>
      <c r="E40" s="12" t="s">
        <v>218</v>
      </c>
      <c r="F40" s="12" t="s">
        <v>219</v>
      </c>
      <c r="G40" s="12" t="s">
        <v>220</v>
      </c>
    </row>
    <row r="41" spans="1:7">
      <c r="A41" s="13"/>
      <c r="B41" s="14" t="s">
        <v>159</v>
      </c>
      <c r="C41" s="14" t="s">
        <v>94</v>
      </c>
      <c r="D41" s="35" t="s">
        <v>2049</v>
      </c>
      <c r="E41" s="42" t="s">
        <v>2098</v>
      </c>
      <c r="F41" s="42" t="s">
        <v>2099</v>
      </c>
      <c r="G41" s="35" t="s">
        <v>2100</v>
      </c>
    </row>
    <row r="42" spans="1:7">
      <c r="A42" s="13"/>
      <c r="B42" s="14" t="s">
        <v>159</v>
      </c>
      <c r="C42" s="14" t="s">
        <v>73</v>
      </c>
      <c r="D42" s="35" t="s">
        <v>2050</v>
      </c>
      <c r="E42" s="42" t="s">
        <v>2101</v>
      </c>
      <c r="F42" s="42" t="s">
        <v>225</v>
      </c>
      <c r="G42" s="35" t="s">
        <v>2102</v>
      </c>
    </row>
    <row r="43" spans="1:7">
      <c r="F43" s="90">
        <f>2714626.48-9185</f>
        <v>2705441.48</v>
      </c>
    </row>
    <row r="45" spans="1:7">
      <c r="A45" s="12"/>
      <c r="B45" s="12" t="s">
        <v>157</v>
      </c>
      <c r="C45" s="12" t="s">
        <v>216</v>
      </c>
      <c r="D45" s="12" t="s">
        <v>217</v>
      </c>
      <c r="E45" s="12" t="s">
        <v>218</v>
      </c>
      <c r="F45" s="12" t="s">
        <v>219</v>
      </c>
      <c r="G45" s="12" t="s">
        <v>220</v>
      </c>
    </row>
    <row r="46" spans="1:7">
      <c r="A46" s="13"/>
      <c r="B46" s="14" t="s">
        <v>271</v>
      </c>
      <c r="C46" s="14" t="s">
        <v>221</v>
      </c>
      <c r="D46" s="35" t="s">
        <v>2051</v>
      </c>
      <c r="E46" s="42" t="s">
        <v>225</v>
      </c>
      <c r="F46" s="42" t="s">
        <v>2103</v>
      </c>
      <c r="G46" s="35" t="s">
        <v>2104</v>
      </c>
    </row>
    <row r="47" spans="1:7">
      <c r="A47" s="13"/>
      <c r="B47" s="14" t="s">
        <v>271</v>
      </c>
      <c r="C47" s="14" t="s">
        <v>222</v>
      </c>
      <c r="D47" s="35" t="s">
        <v>2052</v>
      </c>
      <c r="E47" s="42" t="s">
        <v>2105</v>
      </c>
      <c r="F47" s="35" t="s">
        <v>225</v>
      </c>
      <c r="G47" s="35" t="s">
        <v>2106</v>
      </c>
    </row>
    <row r="52" spans="1:7">
      <c r="A52" s="12"/>
      <c r="B52" s="12" t="s">
        <v>157</v>
      </c>
      <c r="C52" s="12" t="s">
        <v>216</v>
      </c>
      <c r="D52" s="12" t="s">
        <v>217</v>
      </c>
      <c r="E52" s="12" t="s">
        <v>218</v>
      </c>
      <c r="F52" s="12" t="s">
        <v>219</v>
      </c>
      <c r="G52" s="12" t="s">
        <v>220</v>
      </c>
    </row>
    <row r="53" spans="1:7">
      <c r="A53" s="13"/>
      <c r="B53" s="14" t="s">
        <v>159</v>
      </c>
      <c r="C53" s="14" t="s">
        <v>93</v>
      </c>
      <c r="D53" s="14" t="s">
        <v>2053</v>
      </c>
      <c r="E53" s="16" t="s">
        <v>2111</v>
      </c>
      <c r="F53" s="16" t="s">
        <v>2112</v>
      </c>
      <c r="G53" s="14" t="s">
        <v>2113</v>
      </c>
    </row>
    <row r="54" spans="1:7">
      <c r="A54" s="13"/>
      <c r="B54" s="14" t="s">
        <v>159</v>
      </c>
      <c r="C54" s="14" t="s">
        <v>78</v>
      </c>
      <c r="D54" s="14" t="s">
        <v>2054</v>
      </c>
      <c r="E54" s="16" t="s">
        <v>2114</v>
      </c>
      <c r="F54" s="16" t="s">
        <v>225</v>
      </c>
      <c r="G54" s="14" t="s">
        <v>2115</v>
      </c>
    </row>
    <row r="55" spans="1:7">
      <c r="F55" s="272">
        <f>17180934.8-15982</f>
        <v>17164952.800000001</v>
      </c>
    </row>
    <row r="57" spans="1:7">
      <c r="A57" s="12"/>
      <c r="B57" s="12" t="s">
        <v>157</v>
      </c>
      <c r="C57" s="12" t="s">
        <v>216</v>
      </c>
      <c r="D57" s="12" t="s">
        <v>217</v>
      </c>
      <c r="E57" s="12" t="s">
        <v>218</v>
      </c>
      <c r="F57" s="12" t="s">
        <v>219</v>
      </c>
      <c r="G57" s="12" t="s">
        <v>220</v>
      </c>
    </row>
    <row r="58" spans="1:7">
      <c r="A58" s="13"/>
      <c r="B58" s="14" t="s">
        <v>272</v>
      </c>
      <c r="C58" s="14" t="s">
        <v>221</v>
      </c>
      <c r="D58" s="14" t="s">
        <v>2055</v>
      </c>
      <c r="E58" s="16" t="s">
        <v>225</v>
      </c>
      <c r="F58" s="16" t="s">
        <v>2107</v>
      </c>
      <c r="G58" s="14" t="s">
        <v>2108</v>
      </c>
    </row>
    <row r="59" spans="1:7">
      <c r="A59" s="13"/>
      <c r="B59" s="14" t="s">
        <v>272</v>
      </c>
      <c r="C59" s="14" t="s">
        <v>222</v>
      </c>
      <c r="D59" s="14" t="s">
        <v>2056</v>
      </c>
      <c r="E59" s="16" t="s">
        <v>2109</v>
      </c>
      <c r="F59" s="14" t="s">
        <v>225</v>
      </c>
      <c r="G59" s="14" t="s">
        <v>2110</v>
      </c>
    </row>
    <row r="60" spans="1:7">
      <c r="E60" s="79"/>
    </row>
    <row r="64" spans="1:7">
      <c r="A64" s="12"/>
      <c r="B64" s="12" t="s">
        <v>157</v>
      </c>
      <c r="C64" s="12" t="s">
        <v>216</v>
      </c>
      <c r="D64" s="12" t="s">
        <v>217</v>
      </c>
      <c r="E64" s="12" t="s">
        <v>218</v>
      </c>
      <c r="F64" s="12" t="s">
        <v>219</v>
      </c>
      <c r="G64" s="12" t="s">
        <v>220</v>
      </c>
    </row>
    <row r="65" spans="1:7" ht="30">
      <c r="A65" s="13"/>
      <c r="B65" s="14" t="s">
        <v>159</v>
      </c>
      <c r="C65" s="14" t="s">
        <v>229</v>
      </c>
      <c r="D65" s="35" t="s">
        <v>225</v>
      </c>
      <c r="E65" s="35" t="s">
        <v>225</v>
      </c>
      <c r="F65" s="35" t="s">
        <v>225</v>
      </c>
      <c r="G65" s="35" t="s">
        <v>225</v>
      </c>
    </row>
    <row r="66" spans="1:7">
      <c r="A66" s="13"/>
      <c r="B66" s="14" t="s">
        <v>159</v>
      </c>
      <c r="C66" s="14" t="s">
        <v>66</v>
      </c>
      <c r="D66" s="35" t="s">
        <v>2057</v>
      </c>
      <c r="E66" s="35" t="s">
        <v>2058</v>
      </c>
      <c r="F66" s="35" t="s">
        <v>2059</v>
      </c>
      <c r="G66" s="35" t="s">
        <v>2060</v>
      </c>
    </row>
    <row r="69" spans="1:7">
      <c r="A69" s="12"/>
      <c r="B69" s="12" t="s">
        <v>157</v>
      </c>
      <c r="C69" s="12" t="s">
        <v>216</v>
      </c>
      <c r="D69" s="12" t="s">
        <v>217</v>
      </c>
      <c r="E69" s="12" t="s">
        <v>218</v>
      </c>
      <c r="F69" s="12" t="s">
        <v>219</v>
      </c>
      <c r="G69" s="12" t="s">
        <v>220</v>
      </c>
    </row>
    <row r="70" spans="1:7" ht="30">
      <c r="A70" s="13"/>
      <c r="B70" s="14" t="s">
        <v>230</v>
      </c>
      <c r="C70" s="14" t="s">
        <v>221</v>
      </c>
      <c r="D70" s="35" t="s">
        <v>2061</v>
      </c>
      <c r="E70" s="35" t="s">
        <v>2062</v>
      </c>
      <c r="F70" s="35" t="s">
        <v>2063</v>
      </c>
      <c r="G70" s="35" t="s">
        <v>2064</v>
      </c>
    </row>
    <row r="71" spans="1:7" ht="30">
      <c r="A71" s="13"/>
      <c r="B71" s="14" t="s">
        <v>230</v>
      </c>
      <c r="C71" s="14" t="s">
        <v>222</v>
      </c>
      <c r="D71" s="35" t="s">
        <v>225</v>
      </c>
      <c r="E71" s="35" t="s">
        <v>225</v>
      </c>
      <c r="F71" s="35" t="s">
        <v>225</v>
      </c>
      <c r="G71" s="35" t="s">
        <v>225</v>
      </c>
    </row>
    <row r="72" spans="1:7">
      <c r="E72" s="272">
        <f>16280000-16289167.32</f>
        <v>-9167.320000000298</v>
      </c>
      <c r="F72" s="272">
        <f>39211521.81-39220692.47</f>
        <v>-9170.6599999964237</v>
      </c>
      <c r="G72" s="4">
        <f>+E72-F72</f>
        <v>3.3399999961256981</v>
      </c>
    </row>
    <row r="76" spans="1:7">
      <c r="A76" s="12"/>
      <c r="B76" s="12" t="s">
        <v>157</v>
      </c>
      <c r="C76" s="12" t="s">
        <v>216</v>
      </c>
      <c r="D76" s="12" t="s">
        <v>217</v>
      </c>
      <c r="E76" s="12" t="s">
        <v>218</v>
      </c>
      <c r="F76" s="12" t="s">
        <v>219</v>
      </c>
      <c r="G76" s="12" t="s">
        <v>220</v>
      </c>
    </row>
    <row r="77" spans="1:7" ht="30">
      <c r="A77" s="13"/>
      <c r="B77" s="14" t="s">
        <v>159</v>
      </c>
      <c r="C77" s="14" t="s">
        <v>95</v>
      </c>
      <c r="D77" s="35" t="s">
        <v>1997</v>
      </c>
      <c r="E77" s="35" t="s">
        <v>2065</v>
      </c>
      <c r="F77" s="35" t="s">
        <v>2066</v>
      </c>
      <c r="G77" s="35" t="s">
        <v>2067</v>
      </c>
    </row>
    <row r="78" spans="1:7">
      <c r="A78" s="13"/>
      <c r="B78" s="14" t="s">
        <v>159</v>
      </c>
      <c r="C78" s="14" t="s">
        <v>232</v>
      </c>
      <c r="D78" s="35" t="s">
        <v>1921</v>
      </c>
      <c r="E78" s="35" t="s">
        <v>2068</v>
      </c>
      <c r="F78" s="35" t="s">
        <v>225</v>
      </c>
      <c r="G78" s="35" t="s">
        <v>2069</v>
      </c>
    </row>
    <row r="81" spans="1:7">
      <c r="A81" s="12"/>
      <c r="B81" s="12" t="s">
        <v>157</v>
      </c>
      <c r="C81" s="12" t="s">
        <v>216</v>
      </c>
      <c r="D81" s="12" t="s">
        <v>217</v>
      </c>
      <c r="E81" s="12" t="s">
        <v>218</v>
      </c>
      <c r="F81" s="12" t="s">
        <v>219</v>
      </c>
      <c r="G81" s="12" t="s">
        <v>220</v>
      </c>
    </row>
    <row r="82" spans="1:7">
      <c r="A82" s="13"/>
      <c r="B82" s="14" t="s">
        <v>233</v>
      </c>
      <c r="C82" s="14" t="s">
        <v>221</v>
      </c>
      <c r="D82" s="35" t="s">
        <v>1922</v>
      </c>
      <c r="E82" s="35" t="s">
        <v>225</v>
      </c>
      <c r="F82" s="35" t="s">
        <v>2070</v>
      </c>
      <c r="G82" s="35" t="s">
        <v>2071</v>
      </c>
    </row>
    <row r="83" spans="1:7">
      <c r="A83" s="13"/>
      <c r="B83" s="14" t="s">
        <v>233</v>
      </c>
      <c r="C83" s="14" t="s">
        <v>222</v>
      </c>
      <c r="D83" s="35" t="s">
        <v>2072</v>
      </c>
      <c r="E83" s="35" t="s">
        <v>2073</v>
      </c>
      <c r="F83" s="35" t="s">
        <v>225</v>
      </c>
      <c r="G83" s="35" t="s">
        <v>2074</v>
      </c>
    </row>
    <row r="84" spans="1:7">
      <c r="E84" s="272">
        <f>15721832.78-15720400.35-1431.95</f>
        <v>0.4799999997019313</v>
      </c>
      <c r="F84" s="272">
        <f>9030.96-9040</f>
        <v>-9.0400000000008731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J5"/>
  <sheetViews>
    <sheetView workbookViewId="0">
      <selection activeCell="O14" sqref="O14"/>
    </sheetView>
  </sheetViews>
  <sheetFormatPr defaultRowHeight="15"/>
  <cols>
    <col min="1" max="1" width="9.140625" style="27"/>
    <col min="2" max="2" width="29.42578125" style="255" customWidth="1"/>
    <col min="3" max="3" width="12.28515625" style="255" customWidth="1"/>
    <col min="4" max="4" width="16.85546875" style="255" customWidth="1"/>
    <col min="5" max="5" width="13.5703125" style="255" customWidth="1"/>
    <col min="6" max="6" width="12.42578125" style="255" customWidth="1"/>
    <col min="7" max="8" width="9.140625" style="255"/>
    <col min="9" max="9" width="13.85546875" style="255" bestFit="1" customWidth="1"/>
    <col min="10" max="10" width="7.5703125" style="27" bestFit="1" customWidth="1"/>
    <col min="11" max="16384" width="9.140625" style="27"/>
  </cols>
  <sheetData>
    <row r="1" spans="1:10" ht="21.75" customHeight="1">
      <c r="A1" s="30"/>
      <c r="B1" s="191" t="s">
        <v>634</v>
      </c>
      <c r="C1" s="191" t="s">
        <v>217</v>
      </c>
      <c r="D1" s="191" t="s">
        <v>635</v>
      </c>
      <c r="E1" s="191" t="s">
        <v>636</v>
      </c>
      <c r="F1" s="191" t="s">
        <v>220</v>
      </c>
    </row>
    <row r="2" spans="1:10">
      <c r="A2" s="80"/>
      <c r="B2" s="304" t="s">
        <v>250</v>
      </c>
      <c r="C2" s="324">
        <v>0</v>
      </c>
      <c r="D2" s="324">
        <v>0</v>
      </c>
      <c r="E2" s="324">
        <v>0</v>
      </c>
      <c r="F2" s="324">
        <f>+C2+D2-E2</f>
        <v>0</v>
      </c>
      <c r="I2" s="255" t="s">
        <v>252</v>
      </c>
      <c r="J2" s="161">
        <f>+F2</f>
        <v>0</v>
      </c>
    </row>
    <row r="3" spans="1:10">
      <c r="A3" s="80"/>
      <c r="B3" s="304" t="s">
        <v>252</v>
      </c>
      <c r="C3" s="324">
        <v>255.00000000000023</v>
      </c>
      <c r="D3" s="324">
        <v>1310.9</v>
      </c>
      <c r="E3" s="324">
        <v>1516.9</v>
      </c>
      <c r="F3" s="324">
        <f>+C3+D3-E3</f>
        <v>49.000000000000227</v>
      </c>
      <c r="I3" s="255" t="s">
        <v>250</v>
      </c>
      <c r="J3" s="161">
        <f>+F3</f>
        <v>49.000000000000227</v>
      </c>
    </row>
    <row r="4" spans="1:10">
      <c r="A4" s="80"/>
      <c r="B4" s="33"/>
      <c r="C4" s="325">
        <f>SUM(C2:C3)</f>
        <v>255.00000000000023</v>
      </c>
      <c r="D4" s="325">
        <f>SUM(D2:D3)</f>
        <v>1310.9</v>
      </c>
      <c r="E4" s="325">
        <f>SUM(E2:E3)</f>
        <v>1516.9</v>
      </c>
      <c r="F4" s="325">
        <f t="shared" ref="F4" si="0">+C4+D4-E4</f>
        <v>49.000000000000227</v>
      </c>
    </row>
    <row r="5" spans="1:10">
      <c r="A5" s="80"/>
      <c r="B5" s="116"/>
      <c r="C5" s="116"/>
      <c r="D5" s="116"/>
      <c r="E5" s="116"/>
      <c r="F5" s="116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0"/>
  <sheetViews>
    <sheetView topLeftCell="A13" workbookViewId="0">
      <selection activeCell="K84" sqref="K84"/>
    </sheetView>
  </sheetViews>
  <sheetFormatPr defaultRowHeight="15"/>
  <cols>
    <col min="1" max="1" width="9.140625" style="27"/>
    <col min="2" max="2" width="30.140625" style="27" bestFit="1" customWidth="1"/>
    <col min="3" max="3" width="38" style="27" bestFit="1" customWidth="1"/>
    <col min="4" max="5" width="15.140625" style="27" bestFit="1" customWidth="1"/>
    <col min="6" max="6" width="15" style="27" bestFit="1" customWidth="1"/>
    <col min="7" max="7" width="17.5703125" style="27" bestFit="1" customWidth="1"/>
    <col min="8" max="16384" width="9.140625" style="27"/>
  </cols>
  <sheetData>
    <row r="1" spans="1:8">
      <c r="A1" s="30"/>
      <c r="B1" s="327" t="s">
        <v>157</v>
      </c>
      <c r="C1" s="327" t="s">
        <v>216</v>
      </c>
      <c r="D1" s="327" t="s">
        <v>217</v>
      </c>
      <c r="E1" s="327" t="s">
        <v>218</v>
      </c>
      <c r="F1" s="327" t="s">
        <v>219</v>
      </c>
      <c r="G1" s="327" t="s">
        <v>220</v>
      </c>
    </row>
    <row r="2" spans="1:8">
      <c r="A2" s="80"/>
      <c r="B2" s="176" t="s">
        <v>270</v>
      </c>
      <c r="C2" s="176" t="s">
        <v>2209</v>
      </c>
      <c r="D2" s="328" t="s">
        <v>2237</v>
      </c>
      <c r="E2" s="163" t="s">
        <v>2238</v>
      </c>
      <c r="F2" s="163" t="s">
        <v>2239</v>
      </c>
      <c r="G2" s="163" t="s">
        <v>2240</v>
      </c>
    </row>
    <row r="3" spans="1:8">
      <c r="A3" s="80"/>
      <c r="B3" s="176" t="s">
        <v>270</v>
      </c>
      <c r="C3" s="176" t="s">
        <v>2210</v>
      </c>
      <c r="D3" s="328" t="s">
        <v>2241</v>
      </c>
      <c r="E3" s="163" t="s">
        <v>2242</v>
      </c>
      <c r="F3" s="163" t="s">
        <v>2243</v>
      </c>
      <c r="G3" s="163" t="s">
        <v>2244</v>
      </c>
    </row>
    <row r="6" spans="1:8">
      <c r="A6" s="30"/>
      <c r="B6" s="327" t="s">
        <v>157</v>
      </c>
      <c r="C6" s="327" t="s">
        <v>216</v>
      </c>
      <c r="D6" s="327" t="s">
        <v>217</v>
      </c>
      <c r="E6" s="327" t="s">
        <v>218</v>
      </c>
      <c r="F6" s="327" t="s">
        <v>219</v>
      </c>
      <c r="G6" s="327" t="s">
        <v>220</v>
      </c>
    </row>
    <row r="7" spans="1:8">
      <c r="A7" s="80"/>
      <c r="B7" s="176" t="s">
        <v>2165</v>
      </c>
      <c r="C7" s="176" t="s">
        <v>87</v>
      </c>
      <c r="D7" s="328" t="s">
        <v>2207</v>
      </c>
      <c r="E7" s="163" t="s">
        <v>225</v>
      </c>
      <c r="F7" s="163" t="s">
        <v>2245</v>
      </c>
      <c r="G7" s="163" t="s">
        <v>2246</v>
      </c>
    </row>
    <row r="8" spans="1:8">
      <c r="A8" s="80"/>
      <c r="B8" s="176" t="s">
        <v>2165</v>
      </c>
      <c r="C8" s="176" t="s">
        <v>61</v>
      </c>
      <c r="D8" s="328" t="s">
        <v>2208</v>
      </c>
      <c r="E8" s="163" t="s">
        <v>2247</v>
      </c>
      <c r="F8" s="163" t="s">
        <v>225</v>
      </c>
      <c r="G8" s="163" t="s">
        <v>2248</v>
      </c>
    </row>
    <row r="9" spans="1:8">
      <c r="B9" s="95"/>
      <c r="C9" s="95"/>
      <c r="D9" s="95"/>
      <c r="E9" s="95">
        <f>39971408.61-39528683.79</f>
        <v>442724.8200000003</v>
      </c>
      <c r="F9" s="95">
        <f>72414341.4-72366880.17</f>
        <v>47461.230000004172</v>
      </c>
      <c r="G9" s="486" t="s">
        <v>2249</v>
      </c>
      <c r="H9" s="487"/>
    </row>
    <row r="14" spans="1:8">
      <c r="A14" s="12"/>
      <c r="B14" s="327" t="s">
        <v>157</v>
      </c>
      <c r="C14" s="327" t="s">
        <v>216</v>
      </c>
      <c r="D14" s="327" t="s">
        <v>217</v>
      </c>
      <c r="E14" s="327" t="s">
        <v>218</v>
      </c>
      <c r="F14" s="327" t="s">
        <v>219</v>
      </c>
      <c r="G14" s="327" t="s">
        <v>220</v>
      </c>
    </row>
    <row r="15" spans="1:8">
      <c r="A15" s="13"/>
      <c r="B15" s="176" t="s">
        <v>2165</v>
      </c>
      <c r="C15" s="176" t="s">
        <v>94</v>
      </c>
      <c r="D15" s="162" t="s">
        <v>2217</v>
      </c>
      <c r="E15" s="163" t="s">
        <v>225</v>
      </c>
      <c r="F15" s="162" t="s">
        <v>2250</v>
      </c>
      <c r="G15" s="163" t="s">
        <v>2251</v>
      </c>
    </row>
    <row r="16" spans="1:8">
      <c r="A16" s="13"/>
      <c r="B16" s="176" t="s">
        <v>2165</v>
      </c>
      <c r="C16" s="176" t="s">
        <v>73</v>
      </c>
      <c r="D16" s="329" t="s">
        <v>2218</v>
      </c>
      <c r="E16" s="329" t="s">
        <v>2252</v>
      </c>
      <c r="F16" s="163" t="s">
        <v>225</v>
      </c>
      <c r="G16" s="163" t="s">
        <v>2253</v>
      </c>
    </row>
    <row r="17" spans="1:8">
      <c r="B17" s="72"/>
      <c r="C17" s="72"/>
      <c r="D17" s="72"/>
      <c r="E17" s="72"/>
      <c r="F17" s="72"/>
      <c r="G17" s="72"/>
    </row>
    <row r="18" spans="1:8">
      <c r="A18" s="12"/>
      <c r="B18" s="327" t="s">
        <v>157</v>
      </c>
      <c r="C18" s="327" t="s">
        <v>216</v>
      </c>
      <c r="D18" s="327" t="s">
        <v>217</v>
      </c>
      <c r="E18" s="327" t="s">
        <v>218</v>
      </c>
      <c r="F18" s="327" t="s">
        <v>219</v>
      </c>
      <c r="G18" s="327" t="s">
        <v>220</v>
      </c>
    </row>
    <row r="19" spans="1:8">
      <c r="A19" s="13"/>
      <c r="B19" s="176" t="s">
        <v>271</v>
      </c>
      <c r="C19" s="176" t="s">
        <v>2209</v>
      </c>
      <c r="D19" s="162" t="s">
        <v>2219</v>
      </c>
      <c r="E19" s="162" t="s">
        <v>2254</v>
      </c>
      <c r="F19" s="163" t="s">
        <v>225</v>
      </c>
      <c r="G19" s="163" t="s">
        <v>2255</v>
      </c>
    </row>
    <row r="20" spans="1:8">
      <c r="A20" s="13"/>
      <c r="B20" s="176" t="s">
        <v>271</v>
      </c>
      <c r="C20" s="176" t="s">
        <v>2210</v>
      </c>
      <c r="D20" s="329" t="s">
        <v>2220</v>
      </c>
      <c r="E20" s="163" t="s">
        <v>225</v>
      </c>
      <c r="F20" s="329" t="s">
        <v>2256</v>
      </c>
      <c r="G20" s="163" t="s">
        <v>2257</v>
      </c>
    </row>
    <row r="21" spans="1:8">
      <c r="D21" s="330">
        <f>7297858.61-7298621.27</f>
        <v>-762.65999999921769</v>
      </c>
      <c r="F21" s="330">
        <f>1359616.42-1358853.76</f>
        <v>762.65999999991618</v>
      </c>
      <c r="G21" s="161">
        <f>+D21+F21</f>
        <v>6.9849193096160889E-10</v>
      </c>
    </row>
    <row r="24" spans="1:8">
      <c r="A24" s="5"/>
      <c r="B24" s="327" t="s">
        <v>157</v>
      </c>
      <c r="C24" s="327" t="s">
        <v>216</v>
      </c>
      <c r="D24" s="327" t="s">
        <v>217</v>
      </c>
      <c r="E24" s="327" t="s">
        <v>218</v>
      </c>
      <c r="F24" s="327" t="s">
        <v>219</v>
      </c>
      <c r="G24" s="327" t="s">
        <v>220</v>
      </c>
    </row>
    <row r="25" spans="1:8">
      <c r="A25" s="6"/>
      <c r="B25" s="176" t="s">
        <v>2165</v>
      </c>
      <c r="C25" s="176" t="s">
        <v>93</v>
      </c>
      <c r="D25" s="163" t="s">
        <v>2213</v>
      </c>
      <c r="E25" s="163" t="s">
        <v>225</v>
      </c>
      <c r="F25" s="163" t="s">
        <v>2258</v>
      </c>
      <c r="G25" s="331">
        <v>14282219.210000001</v>
      </c>
      <c r="H25" s="332" t="s">
        <v>2259</v>
      </c>
    </row>
    <row r="26" spans="1:8">
      <c r="A26" s="6"/>
      <c r="B26" s="176" t="s">
        <v>2165</v>
      </c>
      <c r="C26" s="176" t="s">
        <v>78</v>
      </c>
      <c r="D26" s="162" t="s">
        <v>2214</v>
      </c>
      <c r="E26" s="162" t="s">
        <v>2260</v>
      </c>
      <c r="F26" s="163" t="s">
        <v>225</v>
      </c>
      <c r="G26" s="333">
        <v>49374166.640000001</v>
      </c>
      <c r="H26" s="334" t="s">
        <v>2261</v>
      </c>
    </row>
    <row r="27" spans="1:8">
      <c r="D27" s="27">
        <f>10278714.43-10220488.52</f>
        <v>58225.910000000149</v>
      </c>
      <c r="G27" s="125">
        <f>+G25+G26</f>
        <v>63656385.850000001</v>
      </c>
    </row>
    <row r="30" spans="1:8">
      <c r="A30" s="72"/>
      <c r="B30" s="95" t="s">
        <v>157</v>
      </c>
      <c r="C30" s="95" t="s">
        <v>216</v>
      </c>
      <c r="D30" s="95" t="s">
        <v>217</v>
      </c>
      <c r="E30" s="95" t="s">
        <v>218</v>
      </c>
      <c r="F30" s="95" t="s">
        <v>219</v>
      </c>
      <c r="G30" s="95" t="s">
        <v>220</v>
      </c>
    </row>
    <row r="31" spans="1:8">
      <c r="A31" s="72"/>
      <c r="B31" s="95" t="s">
        <v>272</v>
      </c>
      <c r="C31" s="95" t="s">
        <v>2209</v>
      </c>
      <c r="D31" s="215" t="s">
        <v>2262</v>
      </c>
      <c r="E31" s="215" t="s">
        <v>2263</v>
      </c>
      <c r="F31" s="215" t="s">
        <v>2264</v>
      </c>
      <c r="G31" s="335">
        <v>14282220.18</v>
      </c>
      <c r="H31" s="336" t="s">
        <v>2261</v>
      </c>
    </row>
    <row r="32" spans="1:8">
      <c r="A32" s="72"/>
      <c r="B32" s="95" t="s">
        <v>272</v>
      </c>
      <c r="C32" s="95" t="s">
        <v>2210</v>
      </c>
      <c r="D32" s="247" t="s">
        <v>2265</v>
      </c>
      <c r="E32" s="215" t="s">
        <v>225</v>
      </c>
      <c r="F32" s="247" t="s">
        <v>2266</v>
      </c>
      <c r="G32" s="337">
        <v>49374167.039999999</v>
      </c>
      <c r="H32" s="338" t="s">
        <v>2259</v>
      </c>
    </row>
    <row r="33" spans="1:8">
      <c r="G33" s="161">
        <f>+G31+G32</f>
        <v>63656387.219999999</v>
      </c>
    </row>
    <row r="34" spans="1:8">
      <c r="G34" s="161">
        <f>+G27-G33</f>
        <v>-1.369999997317791</v>
      </c>
      <c r="H34" s="27" t="s">
        <v>2267</v>
      </c>
    </row>
    <row r="36" spans="1:8" s="72" customFormat="1" ht="12.75">
      <c r="A36" s="5"/>
      <c r="B36" s="327" t="s">
        <v>157</v>
      </c>
      <c r="C36" s="327" t="s">
        <v>216</v>
      </c>
      <c r="D36" s="327" t="s">
        <v>217</v>
      </c>
      <c r="E36" s="327" t="s">
        <v>218</v>
      </c>
      <c r="F36" s="327" t="s">
        <v>219</v>
      </c>
      <c r="G36" s="327" t="s">
        <v>220</v>
      </c>
    </row>
    <row r="37" spans="1:8" s="72" customFormat="1" ht="12.75">
      <c r="A37" s="6"/>
      <c r="B37" s="176" t="s">
        <v>2165</v>
      </c>
      <c r="C37" s="176" t="s">
        <v>103</v>
      </c>
      <c r="D37" s="162" t="s">
        <v>2221</v>
      </c>
      <c r="E37" s="163" t="s">
        <v>225</v>
      </c>
      <c r="F37" s="162" t="s">
        <v>2268</v>
      </c>
      <c r="G37" s="162" t="s">
        <v>2269</v>
      </c>
    </row>
    <row r="38" spans="1:8" s="72" customFormat="1" ht="12.75">
      <c r="A38" s="6"/>
      <c r="B38" s="176" t="s">
        <v>2165</v>
      </c>
      <c r="C38" s="176" t="s">
        <v>333</v>
      </c>
      <c r="D38" s="162" t="s">
        <v>2222</v>
      </c>
      <c r="E38" s="162" t="s">
        <v>2270</v>
      </c>
      <c r="F38" s="163" t="s">
        <v>225</v>
      </c>
      <c r="G38" s="162" t="s">
        <v>2271</v>
      </c>
    </row>
    <row r="42" spans="1:8" s="72" customFormat="1" ht="12.75">
      <c r="A42" s="5"/>
      <c r="B42" s="327" t="s">
        <v>157</v>
      </c>
      <c r="C42" s="327" t="s">
        <v>216</v>
      </c>
      <c r="D42" s="327" t="s">
        <v>217</v>
      </c>
      <c r="E42" s="327" t="s">
        <v>218</v>
      </c>
      <c r="F42" s="327" t="s">
        <v>219</v>
      </c>
      <c r="G42" s="327" t="s">
        <v>220</v>
      </c>
    </row>
    <row r="43" spans="1:8" s="72" customFormat="1" ht="12.75">
      <c r="A43" s="6"/>
      <c r="B43" s="176" t="s">
        <v>334</v>
      </c>
      <c r="C43" s="176" t="s">
        <v>2209</v>
      </c>
      <c r="D43" s="162" t="s">
        <v>2223</v>
      </c>
      <c r="E43" s="162" t="s">
        <v>2272</v>
      </c>
      <c r="F43" s="163" t="s">
        <v>225</v>
      </c>
      <c r="G43" s="162" t="s">
        <v>2273</v>
      </c>
    </row>
    <row r="44" spans="1:8" s="72" customFormat="1" ht="12.75">
      <c r="A44" s="6"/>
      <c r="B44" s="176" t="s">
        <v>334</v>
      </c>
      <c r="C44" s="176" t="s">
        <v>2210</v>
      </c>
      <c r="D44" s="162" t="s">
        <v>2224</v>
      </c>
      <c r="E44" s="163" t="s">
        <v>225</v>
      </c>
      <c r="F44" s="162" t="s">
        <v>2274</v>
      </c>
      <c r="G44" s="162" t="s">
        <v>2275</v>
      </c>
    </row>
    <row r="48" spans="1:8">
      <c r="A48" s="12"/>
      <c r="B48" s="327" t="s">
        <v>157</v>
      </c>
      <c r="C48" s="327" t="s">
        <v>216</v>
      </c>
      <c r="D48" s="327" t="s">
        <v>217</v>
      </c>
      <c r="E48" s="327" t="s">
        <v>218</v>
      </c>
      <c r="F48" s="327" t="s">
        <v>219</v>
      </c>
      <c r="G48" s="327" t="s">
        <v>220</v>
      </c>
    </row>
    <row r="49" spans="1:7">
      <c r="A49" s="13"/>
      <c r="B49" s="176" t="s">
        <v>2165</v>
      </c>
      <c r="C49" s="176" t="s">
        <v>229</v>
      </c>
      <c r="D49" s="163" t="s">
        <v>225</v>
      </c>
      <c r="E49" s="163" t="s">
        <v>225</v>
      </c>
      <c r="F49" s="163" t="s">
        <v>225</v>
      </c>
      <c r="G49" s="163" t="s">
        <v>225</v>
      </c>
    </row>
    <row r="50" spans="1:7">
      <c r="A50" s="13"/>
      <c r="B50" s="176" t="s">
        <v>2165</v>
      </c>
      <c r="C50" s="176" t="s">
        <v>66</v>
      </c>
      <c r="D50" s="162" t="s">
        <v>2215</v>
      </c>
      <c r="E50" s="162" t="s">
        <v>2276</v>
      </c>
      <c r="F50" s="163" t="s">
        <v>225</v>
      </c>
      <c r="G50" s="162" t="s">
        <v>2277</v>
      </c>
    </row>
    <row r="54" spans="1:7">
      <c r="A54" s="12"/>
      <c r="B54" s="327" t="s">
        <v>157</v>
      </c>
      <c r="C54" s="327" t="s">
        <v>216</v>
      </c>
      <c r="D54" s="327" t="s">
        <v>217</v>
      </c>
      <c r="E54" s="327" t="s">
        <v>218</v>
      </c>
      <c r="F54" s="327" t="s">
        <v>219</v>
      </c>
      <c r="G54" s="327" t="s">
        <v>220</v>
      </c>
    </row>
    <row r="55" spans="1:7">
      <c r="A55" s="13"/>
      <c r="B55" s="176" t="s">
        <v>230</v>
      </c>
      <c r="C55" s="176" t="s">
        <v>2209</v>
      </c>
      <c r="D55" s="163" t="s">
        <v>225</v>
      </c>
      <c r="E55" s="163" t="s">
        <v>225</v>
      </c>
      <c r="F55" s="163" t="s">
        <v>225</v>
      </c>
      <c r="G55" s="163" t="s">
        <v>225</v>
      </c>
    </row>
    <row r="56" spans="1:7">
      <c r="A56" s="13"/>
      <c r="B56" s="176" t="s">
        <v>230</v>
      </c>
      <c r="C56" s="176" t="s">
        <v>2210</v>
      </c>
      <c r="D56" s="162" t="s">
        <v>2216</v>
      </c>
      <c r="E56" s="163" t="s">
        <v>225</v>
      </c>
      <c r="F56" s="162" t="s">
        <v>2278</v>
      </c>
      <c r="G56" s="162" t="s">
        <v>2279</v>
      </c>
    </row>
    <row r="60" spans="1:7">
      <c r="A60" s="12"/>
      <c r="B60" s="327" t="s">
        <v>157</v>
      </c>
      <c r="C60" s="327" t="s">
        <v>216</v>
      </c>
      <c r="D60" s="327" t="s">
        <v>217</v>
      </c>
      <c r="E60" s="327" t="s">
        <v>218</v>
      </c>
      <c r="F60" s="327" t="s">
        <v>219</v>
      </c>
      <c r="G60" s="327" t="s">
        <v>220</v>
      </c>
    </row>
    <row r="61" spans="1:7">
      <c r="A61" s="13"/>
      <c r="B61" s="176" t="s">
        <v>2165</v>
      </c>
      <c r="C61" s="176" t="s">
        <v>89</v>
      </c>
      <c r="D61" s="162" t="s">
        <v>2211</v>
      </c>
      <c r="E61" s="163" t="s">
        <v>225</v>
      </c>
      <c r="F61" s="162" t="s">
        <v>2280</v>
      </c>
      <c r="G61" s="162" t="s">
        <v>2281</v>
      </c>
    </row>
    <row r="62" spans="1:7">
      <c r="A62" s="13"/>
      <c r="B62" s="176" t="s">
        <v>2165</v>
      </c>
      <c r="C62" s="176" t="s">
        <v>226</v>
      </c>
      <c r="D62" s="162" t="s">
        <v>2212</v>
      </c>
      <c r="E62" s="163" t="s">
        <v>225</v>
      </c>
      <c r="F62" s="163" t="s">
        <v>225</v>
      </c>
      <c r="G62" s="162" t="s">
        <v>2212</v>
      </c>
    </row>
    <row r="64" spans="1:7">
      <c r="A64" s="12"/>
      <c r="B64" s="327" t="s">
        <v>157</v>
      </c>
      <c r="C64" s="327" t="s">
        <v>216</v>
      </c>
      <c r="D64" s="327" t="s">
        <v>217</v>
      </c>
      <c r="E64" s="327" t="s">
        <v>218</v>
      </c>
      <c r="F64" s="327" t="s">
        <v>219</v>
      </c>
      <c r="G64" s="327" t="s">
        <v>220</v>
      </c>
    </row>
    <row r="65" spans="1:7">
      <c r="A65" s="13"/>
      <c r="B65" s="176" t="s">
        <v>227</v>
      </c>
      <c r="C65" s="176" t="s">
        <v>2209</v>
      </c>
      <c r="D65" s="162" t="s">
        <v>2282</v>
      </c>
      <c r="E65" s="162" t="s">
        <v>2283</v>
      </c>
      <c r="F65" s="163" t="s">
        <v>225</v>
      </c>
      <c r="G65" s="162" t="s">
        <v>2284</v>
      </c>
    </row>
    <row r="66" spans="1:7">
      <c r="A66" s="13"/>
      <c r="B66" s="176" t="s">
        <v>227</v>
      </c>
      <c r="C66" s="176" t="s">
        <v>2210</v>
      </c>
      <c r="D66" s="162" t="s">
        <v>2285</v>
      </c>
      <c r="E66" s="163" t="s">
        <v>225</v>
      </c>
      <c r="F66" s="163" t="s">
        <v>225</v>
      </c>
      <c r="G66" s="162" t="s">
        <v>2285</v>
      </c>
    </row>
    <row r="69" spans="1:7">
      <c r="A69" s="5"/>
      <c r="B69" s="5" t="s">
        <v>157</v>
      </c>
      <c r="C69" s="5" t="s">
        <v>216</v>
      </c>
      <c r="D69" s="5" t="s">
        <v>217</v>
      </c>
      <c r="E69" s="5" t="s">
        <v>218</v>
      </c>
      <c r="F69" s="5" t="s">
        <v>219</v>
      </c>
      <c r="G69" s="5" t="s">
        <v>220</v>
      </c>
    </row>
    <row r="70" spans="1:7">
      <c r="A70" s="6"/>
      <c r="B70" s="8" t="s">
        <v>2165</v>
      </c>
      <c r="C70" s="8" t="s">
        <v>87</v>
      </c>
      <c r="D70" s="155">
        <v>130856125.98999999</v>
      </c>
      <c r="E70" s="155" t="s">
        <v>225</v>
      </c>
      <c r="F70" s="155" t="s">
        <v>2292</v>
      </c>
      <c r="G70" s="155">
        <v>201121956.24000001</v>
      </c>
    </row>
    <row r="71" spans="1:7">
      <c r="A71" s="6"/>
      <c r="B71" s="8" t="s">
        <v>2165</v>
      </c>
      <c r="C71" s="8" t="s">
        <v>61</v>
      </c>
      <c r="D71" s="155">
        <v>50254307.350000001</v>
      </c>
      <c r="E71" s="155" t="s">
        <v>2293</v>
      </c>
      <c r="F71" s="155" t="s">
        <v>225</v>
      </c>
      <c r="G71" s="155">
        <v>94717376.840000004</v>
      </c>
    </row>
    <row r="72" spans="1:7">
      <c r="A72" s="72"/>
      <c r="B72" s="72"/>
      <c r="C72" s="72"/>
      <c r="D72" s="72">
        <f>+D70-D71</f>
        <v>80601818.639999986</v>
      </c>
      <c r="E72" s="72"/>
      <c r="F72" s="72"/>
      <c r="G72" s="72">
        <f>+G70-G71</f>
        <v>106404579.40000001</v>
      </c>
    </row>
    <row r="73" spans="1:7">
      <c r="A73" s="72"/>
      <c r="B73" s="72"/>
      <c r="C73" s="72"/>
      <c r="D73" s="72"/>
      <c r="E73" s="72"/>
      <c r="F73" s="72"/>
      <c r="G73" s="72"/>
    </row>
    <row r="74" spans="1:7">
      <c r="A74" s="5"/>
      <c r="B74" s="5" t="s">
        <v>157</v>
      </c>
      <c r="C74" s="5" t="s">
        <v>216</v>
      </c>
      <c r="D74" s="5" t="s">
        <v>217</v>
      </c>
      <c r="E74" s="5" t="s">
        <v>218</v>
      </c>
      <c r="F74" s="5" t="s">
        <v>219</v>
      </c>
      <c r="G74" s="5" t="s">
        <v>220</v>
      </c>
    </row>
    <row r="75" spans="1:7">
      <c r="A75" s="6"/>
      <c r="B75" s="8" t="s">
        <v>270</v>
      </c>
      <c r="C75" s="8" t="s">
        <v>2209</v>
      </c>
      <c r="D75" s="155">
        <v>129241342.64</v>
      </c>
      <c r="E75" s="155" t="s">
        <v>2294</v>
      </c>
      <c r="F75" s="155" t="s">
        <v>225</v>
      </c>
      <c r="G75" s="155">
        <v>199459700.40000001</v>
      </c>
    </row>
    <row r="76" spans="1:7">
      <c r="A76" s="6"/>
      <c r="B76" s="8" t="s">
        <v>270</v>
      </c>
      <c r="C76" s="8" t="s">
        <v>2210</v>
      </c>
      <c r="D76" s="155">
        <v>48149342.530000001</v>
      </c>
      <c r="E76" s="155" t="s">
        <v>225</v>
      </c>
      <c r="F76" s="155" t="s">
        <v>2295</v>
      </c>
      <c r="G76" s="155">
        <v>92995544.239999995</v>
      </c>
    </row>
    <row r="77" spans="1:7">
      <c r="D77" s="27">
        <f>+D75-D76</f>
        <v>81092000.109999999</v>
      </c>
      <c r="G77" s="27">
        <f>+G75-G76</f>
        <v>106464156.16000001</v>
      </c>
    </row>
    <row r="78" spans="1:7">
      <c r="D78" s="27">
        <f>+D72-D77</f>
        <v>-490181.47000001371</v>
      </c>
      <c r="G78" s="27">
        <f>+G72-G77</f>
        <v>-59576.760000005364</v>
      </c>
    </row>
    <row r="79" spans="1:7">
      <c r="G79" s="27">
        <v>-59591.38</v>
      </c>
    </row>
    <row r="80" spans="1:7">
      <c r="G80" s="161">
        <f>+G78-G79</f>
        <v>14.619999994632963</v>
      </c>
    </row>
  </sheetData>
  <mergeCells count="1">
    <mergeCell ref="G9:H9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"/>
  <sheetViews>
    <sheetView workbookViewId="0">
      <selection activeCell="G18" sqref="G18"/>
    </sheetView>
  </sheetViews>
  <sheetFormatPr defaultRowHeight="12.75"/>
  <cols>
    <col min="1" max="1" width="9.140625" style="72"/>
    <col min="2" max="2" width="31.42578125" style="72" bestFit="1" customWidth="1"/>
    <col min="3" max="3" width="42.42578125" style="72" bestFit="1" customWidth="1"/>
    <col min="4" max="5" width="16.85546875" style="72" bestFit="1" customWidth="1"/>
    <col min="6" max="6" width="16.7109375" style="72" bestFit="1" customWidth="1"/>
    <col min="7" max="7" width="16.85546875" style="72" bestFit="1" customWidth="1"/>
    <col min="8" max="16384" width="9.140625" style="72"/>
  </cols>
  <sheetData>
    <row r="1" spans="1:8">
      <c r="A1" s="5"/>
      <c r="B1" s="427" t="s">
        <v>157</v>
      </c>
      <c r="C1" s="427" t="s">
        <v>216</v>
      </c>
      <c r="D1" s="427" t="s">
        <v>217</v>
      </c>
      <c r="E1" s="427" t="s">
        <v>218</v>
      </c>
      <c r="F1" s="427" t="s">
        <v>219</v>
      </c>
      <c r="G1" s="427" t="s">
        <v>220</v>
      </c>
    </row>
    <row r="2" spans="1:8">
      <c r="A2" s="6"/>
      <c r="B2" s="176" t="s">
        <v>2165</v>
      </c>
      <c r="C2" s="176" t="s">
        <v>87</v>
      </c>
      <c r="D2" s="163" t="s">
        <v>2545</v>
      </c>
      <c r="E2" s="163" t="s">
        <v>2546</v>
      </c>
      <c r="F2" s="163" t="s">
        <v>2547</v>
      </c>
      <c r="G2" s="163" t="s">
        <v>2548</v>
      </c>
    </row>
    <row r="3" spans="1:8">
      <c r="A3" s="6"/>
      <c r="B3" s="176" t="s">
        <v>2165</v>
      </c>
      <c r="C3" s="176" t="s">
        <v>61</v>
      </c>
      <c r="D3" s="163" t="s">
        <v>225</v>
      </c>
      <c r="E3" s="163" t="s">
        <v>2619</v>
      </c>
      <c r="F3" s="163" t="s">
        <v>225</v>
      </c>
      <c r="G3" s="163">
        <v>26891553.079999998</v>
      </c>
      <c r="H3" s="72" t="s">
        <v>346</v>
      </c>
    </row>
    <row r="6" spans="1:8">
      <c r="A6" s="5"/>
      <c r="B6" s="427" t="s">
        <v>157</v>
      </c>
      <c r="C6" s="427" t="s">
        <v>216</v>
      </c>
      <c r="D6" s="427" t="s">
        <v>217</v>
      </c>
      <c r="E6" s="427" t="s">
        <v>218</v>
      </c>
      <c r="F6" s="427" t="s">
        <v>219</v>
      </c>
      <c r="G6" s="427" t="s">
        <v>220</v>
      </c>
    </row>
    <row r="7" spans="1:8">
      <c r="A7" s="6"/>
      <c r="B7" s="176" t="s">
        <v>270</v>
      </c>
      <c r="C7" s="176" t="s">
        <v>2209</v>
      </c>
      <c r="D7" s="163" t="s">
        <v>2549</v>
      </c>
      <c r="E7" s="163" t="s">
        <v>2550</v>
      </c>
      <c r="F7" s="163" t="s">
        <v>2551</v>
      </c>
      <c r="G7" s="163" t="s">
        <v>2552</v>
      </c>
    </row>
    <row r="8" spans="1:8">
      <c r="A8" s="6"/>
      <c r="B8" s="176" t="s">
        <v>270</v>
      </c>
      <c r="C8" s="176" t="s">
        <v>2210</v>
      </c>
      <c r="D8" s="163" t="s">
        <v>225</v>
      </c>
      <c r="E8" s="163" t="s">
        <v>225</v>
      </c>
      <c r="F8" s="163" t="s">
        <v>2553</v>
      </c>
      <c r="G8" s="163">
        <v>26891553.079999998</v>
      </c>
      <c r="H8" s="72" t="s">
        <v>347</v>
      </c>
    </row>
    <row r="12" spans="1:8" ht="15">
      <c r="A12" s="12"/>
      <c r="B12" s="439" t="s">
        <v>157</v>
      </c>
      <c r="C12" s="439" t="s">
        <v>216</v>
      </c>
      <c r="D12" s="439" t="s">
        <v>217</v>
      </c>
      <c r="E12" s="439" t="s">
        <v>218</v>
      </c>
      <c r="F12" s="439" t="s">
        <v>219</v>
      </c>
      <c r="G12" s="439" t="s">
        <v>220</v>
      </c>
    </row>
    <row r="13" spans="1:8" ht="15">
      <c r="A13" s="13"/>
      <c r="B13" s="182" t="s">
        <v>2165</v>
      </c>
      <c r="C13" s="182" t="s">
        <v>89</v>
      </c>
      <c r="D13" s="183" t="s">
        <v>2554</v>
      </c>
      <c r="E13" s="183" t="s">
        <v>225</v>
      </c>
      <c r="F13" s="183" t="s">
        <v>2555</v>
      </c>
      <c r="G13" s="183" t="s">
        <v>2556</v>
      </c>
    </row>
    <row r="14" spans="1:8" ht="15">
      <c r="A14" s="13"/>
      <c r="B14" s="182" t="s">
        <v>2165</v>
      </c>
      <c r="C14" s="182" t="s">
        <v>226</v>
      </c>
      <c r="D14" s="183" t="s">
        <v>225</v>
      </c>
      <c r="E14" s="183" t="s">
        <v>225</v>
      </c>
      <c r="F14" s="183" t="s">
        <v>225</v>
      </c>
      <c r="G14" s="183" t="s">
        <v>225</v>
      </c>
    </row>
    <row r="16" spans="1:8" ht="15">
      <c r="A16" s="12"/>
      <c r="B16" s="439" t="s">
        <v>157</v>
      </c>
      <c r="C16" s="439" t="s">
        <v>216</v>
      </c>
      <c r="D16" s="439" t="s">
        <v>217</v>
      </c>
      <c r="E16" s="439" t="s">
        <v>218</v>
      </c>
      <c r="F16" s="439" t="s">
        <v>219</v>
      </c>
      <c r="G16" s="439" t="s">
        <v>220</v>
      </c>
    </row>
    <row r="17" spans="1:8" ht="15">
      <c r="A17" s="13"/>
      <c r="B17" s="182" t="s">
        <v>227</v>
      </c>
      <c r="C17" s="182" t="s">
        <v>2209</v>
      </c>
      <c r="D17" s="183" t="s">
        <v>2557</v>
      </c>
      <c r="E17" s="183" t="s">
        <v>2558</v>
      </c>
      <c r="F17" s="183" t="s">
        <v>225</v>
      </c>
      <c r="G17" s="183" t="s">
        <v>2559</v>
      </c>
    </row>
    <row r="18" spans="1:8" ht="15">
      <c r="A18" s="13"/>
      <c r="B18" s="182" t="s">
        <v>227</v>
      </c>
      <c r="C18" s="182" t="s">
        <v>2210</v>
      </c>
      <c r="D18" s="183" t="s">
        <v>2560</v>
      </c>
      <c r="E18" s="183" t="s">
        <v>225</v>
      </c>
      <c r="F18" s="183" t="s">
        <v>225</v>
      </c>
      <c r="G18" s="183" t="s">
        <v>2560</v>
      </c>
    </row>
    <row r="21" spans="1:8" ht="15">
      <c r="A21" s="12"/>
      <c r="B21" s="439" t="s">
        <v>157</v>
      </c>
      <c r="C21" s="439" t="s">
        <v>216</v>
      </c>
      <c r="D21" s="439" t="s">
        <v>217</v>
      </c>
      <c r="E21" s="439" t="s">
        <v>218</v>
      </c>
      <c r="F21" s="439" t="s">
        <v>219</v>
      </c>
      <c r="G21" s="439" t="s">
        <v>220</v>
      </c>
    </row>
    <row r="22" spans="1:8" ht="15">
      <c r="A22" s="13"/>
      <c r="B22" s="182" t="s">
        <v>2165</v>
      </c>
      <c r="C22" s="182" t="s">
        <v>94</v>
      </c>
      <c r="D22" s="183" t="s">
        <v>2561</v>
      </c>
      <c r="E22" s="183" t="s">
        <v>225</v>
      </c>
      <c r="F22" s="183" t="s">
        <v>2562</v>
      </c>
      <c r="G22" s="183" t="s">
        <v>2563</v>
      </c>
    </row>
    <row r="23" spans="1:8" ht="15">
      <c r="A23" s="13"/>
      <c r="B23" s="182" t="s">
        <v>2165</v>
      </c>
      <c r="C23" s="182" t="s">
        <v>73</v>
      </c>
      <c r="D23" s="183" t="s">
        <v>2564</v>
      </c>
      <c r="E23" s="183" t="s">
        <v>2565</v>
      </c>
      <c r="F23" s="183" t="s">
        <v>225</v>
      </c>
      <c r="G23" s="183" t="s">
        <v>2566</v>
      </c>
    </row>
    <row r="25" spans="1:8" ht="15">
      <c r="A25" s="12"/>
      <c r="B25" s="439" t="s">
        <v>157</v>
      </c>
      <c r="C25" s="439" t="s">
        <v>216</v>
      </c>
      <c r="D25" s="439" t="s">
        <v>217</v>
      </c>
      <c r="E25" s="439" t="s">
        <v>218</v>
      </c>
      <c r="F25" s="439" t="s">
        <v>219</v>
      </c>
      <c r="G25" s="439" t="s">
        <v>220</v>
      </c>
    </row>
    <row r="26" spans="1:8" ht="15">
      <c r="A26" s="13"/>
      <c r="B26" s="182" t="s">
        <v>271</v>
      </c>
      <c r="C26" s="182" t="s">
        <v>2209</v>
      </c>
      <c r="D26" s="183" t="s">
        <v>2567</v>
      </c>
      <c r="E26" s="183" t="s">
        <v>2571</v>
      </c>
      <c r="F26" s="183" t="s">
        <v>225</v>
      </c>
      <c r="G26" s="183" t="s">
        <v>2572</v>
      </c>
    </row>
    <row r="27" spans="1:8" ht="15">
      <c r="A27" s="13"/>
      <c r="B27" s="182" t="s">
        <v>271</v>
      </c>
      <c r="C27" s="182" t="s">
        <v>2210</v>
      </c>
      <c r="D27" s="183" t="s">
        <v>2568</v>
      </c>
      <c r="E27" s="183" t="s">
        <v>225</v>
      </c>
      <c r="F27" s="183" t="s">
        <v>2569</v>
      </c>
      <c r="G27" s="183" t="s">
        <v>2570</v>
      </c>
    </row>
    <row r="28" spans="1:8">
      <c r="G28" s="184">
        <f>49840070-49821621</f>
        <v>18449</v>
      </c>
      <c r="H28" s="72" t="s">
        <v>2573</v>
      </c>
    </row>
    <row r="30" spans="1:8" ht="15">
      <c r="A30" s="12"/>
      <c r="B30" s="439" t="s">
        <v>157</v>
      </c>
      <c r="C30" s="439" t="s">
        <v>216</v>
      </c>
      <c r="D30" s="439" t="s">
        <v>217</v>
      </c>
      <c r="E30" s="439" t="s">
        <v>218</v>
      </c>
      <c r="F30" s="439" t="s">
        <v>219</v>
      </c>
      <c r="G30" s="439" t="s">
        <v>220</v>
      </c>
    </row>
    <row r="31" spans="1:8" ht="15">
      <c r="A31" s="13"/>
      <c r="B31" s="182" t="s">
        <v>2165</v>
      </c>
      <c r="C31" s="182" t="s">
        <v>93</v>
      </c>
      <c r="D31" s="183" t="s">
        <v>2574</v>
      </c>
      <c r="E31" s="183" t="s">
        <v>225</v>
      </c>
      <c r="F31" s="183" t="s">
        <v>2575</v>
      </c>
      <c r="G31" s="183" t="s">
        <v>2576</v>
      </c>
    </row>
    <row r="32" spans="1:8" ht="15">
      <c r="A32" s="13"/>
      <c r="B32" s="182" t="s">
        <v>2165</v>
      </c>
      <c r="C32" s="182" t="s">
        <v>78</v>
      </c>
      <c r="D32" s="183" t="s">
        <v>2577</v>
      </c>
      <c r="E32" s="183" t="s">
        <v>2578</v>
      </c>
      <c r="F32" s="183" t="s">
        <v>225</v>
      </c>
      <c r="G32" s="183" t="s">
        <v>2579</v>
      </c>
    </row>
    <row r="35" spans="1:8" ht="15">
      <c r="A35" s="12"/>
      <c r="B35" s="439" t="s">
        <v>157</v>
      </c>
      <c r="C35" s="439" t="s">
        <v>216</v>
      </c>
      <c r="D35" s="439" t="s">
        <v>217</v>
      </c>
      <c r="E35" s="439" t="s">
        <v>218</v>
      </c>
      <c r="F35" s="439" t="s">
        <v>219</v>
      </c>
      <c r="G35" s="439" t="s">
        <v>220</v>
      </c>
    </row>
    <row r="36" spans="1:8" ht="15">
      <c r="A36" s="13"/>
      <c r="B36" s="182" t="s">
        <v>272</v>
      </c>
      <c r="C36" s="182" t="s">
        <v>2209</v>
      </c>
      <c r="D36" s="183" t="s">
        <v>2580</v>
      </c>
      <c r="E36" s="183" t="s">
        <v>2581</v>
      </c>
      <c r="F36" s="183" t="s">
        <v>225</v>
      </c>
      <c r="G36" s="183" t="s">
        <v>2582</v>
      </c>
    </row>
    <row r="37" spans="1:8" ht="15">
      <c r="A37" s="13"/>
      <c r="B37" s="182" t="s">
        <v>272</v>
      </c>
      <c r="C37" s="182" t="s">
        <v>2210</v>
      </c>
      <c r="D37" s="183" t="s">
        <v>2583</v>
      </c>
      <c r="E37" s="183" t="s">
        <v>225</v>
      </c>
      <c r="F37" s="183" t="s">
        <v>2584</v>
      </c>
      <c r="G37" s="183" t="s">
        <v>2585</v>
      </c>
    </row>
    <row r="38" spans="1:8">
      <c r="G38" s="184">
        <f>2081640.15-2080451.73</f>
        <v>1188.4199999999255</v>
      </c>
      <c r="H38" s="72" t="s">
        <v>2586</v>
      </c>
    </row>
    <row r="40" spans="1:8" ht="15">
      <c r="A40" s="12"/>
      <c r="B40" s="439" t="s">
        <v>157</v>
      </c>
      <c r="C40" s="439" t="s">
        <v>216</v>
      </c>
      <c r="D40" s="439" t="s">
        <v>217</v>
      </c>
      <c r="E40" s="439" t="s">
        <v>218</v>
      </c>
      <c r="F40" s="439" t="s">
        <v>219</v>
      </c>
      <c r="G40" s="439" t="s">
        <v>220</v>
      </c>
    </row>
    <row r="41" spans="1:8" ht="15">
      <c r="A41" s="13"/>
      <c r="B41" s="182" t="s">
        <v>2165</v>
      </c>
      <c r="C41" s="182" t="s">
        <v>103</v>
      </c>
      <c r="D41" s="183" t="s">
        <v>2587</v>
      </c>
      <c r="E41" s="183" t="s">
        <v>225</v>
      </c>
      <c r="F41" s="183" t="s">
        <v>2588</v>
      </c>
      <c r="G41" s="185" t="s">
        <v>2589</v>
      </c>
    </row>
    <row r="42" spans="1:8" ht="15">
      <c r="A42" s="13"/>
      <c r="B42" s="182" t="s">
        <v>2165</v>
      </c>
      <c r="C42" s="182" t="s">
        <v>333</v>
      </c>
      <c r="D42" s="183" t="s">
        <v>2590</v>
      </c>
      <c r="E42" s="183" t="s">
        <v>225</v>
      </c>
      <c r="F42" s="183" t="s">
        <v>225</v>
      </c>
      <c r="G42" s="185" t="s">
        <v>2590</v>
      </c>
    </row>
    <row r="44" spans="1:8" ht="15">
      <c r="A44" s="12"/>
      <c r="B44" s="439" t="s">
        <v>157</v>
      </c>
      <c r="C44" s="439" t="s">
        <v>216</v>
      </c>
      <c r="D44" s="439" t="s">
        <v>217</v>
      </c>
      <c r="E44" s="439" t="s">
        <v>218</v>
      </c>
      <c r="F44" s="439" t="s">
        <v>219</v>
      </c>
      <c r="G44" s="439" t="s">
        <v>220</v>
      </c>
    </row>
    <row r="45" spans="1:8" ht="15">
      <c r="A45" s="13"/>
      <c r="B45" s="182" t="s">
        <v>334</v>
      </c>
      <c r="C45" s="182" t="s">
        <v>2209</v>
      </c>
      <c r="D45" s="183" t="s">
        <v>225</v>
      </c>
      <c r="E45" s="183" t="s">
        <v>2591</v>
      </c>
      <c r="F45" s="183" t="s">
        <v>225</v>
      </c>
      <c r="G45" s="185" t="s">
        <v>2591</v>
      </c>
    </row>
    <row r="46" spans="1:8" ht="15">
      <c r="A46" s="13"/>
      <c r="B46" s="182" t="s">
        <v>334</v>
      </c>
      <c r="C46" s="182" t="s">
        <v>2210</v>
      </c>
      <c r="D46" s="183" t="s">
        <v>2592</v>
      </c>
      <c r="E46" s="183" t="s">
        <v>225</v>
      </c>
      <c r="F46" s="183" t="s">
        <v>2593</v>
      </c>
      <c r="G46" s="185" t="s">
        <v>2594</v>
      </c>
    </row>
    <row r="50" spans="1:7" ht="15">
      <c r="A50" s="12"/>
      <c r="B50" s="439" t="s">
        <v>157</v>
      </c>
      <c r="C50" s="439" t="s">
        <v>216</v>
      </c>
      <c r="D50" s="439" t="s">
        <v>217</v>
      </c>
      <c r="E50" s="439" t="s">
        <v>218</v>
      </c>
      <c r="F50" s="439" t="s">
        <v>219</v>
      </c>
      <c r="G50" s="439" t="s">
        <v>220</v>
      </c>
    </row>
    <row r="51" spans="1:7" ht="15">
      <c r="A51" s="13"/>
      <c r="B51" s="182" t="s">
        <v>2165</v>
      </c>
      <c r="C51" s="182" t="s">
        <v>2477</v>
      </c>
      <c r="D51" s="183" t="s">
        <v>225</v>
      </c>
      <c r="E51" s="183" t="s">
        <v>225</v>
      </c>
      <c r="F51" s="183" t="s">
        <v>2595</v>
      </c>
      <c r="G51" s="185" t="s">
        <v>2595</v>
      </c>
    </row>
    <row r="52" spans="1:7" ht="15">
      <c r="A52" s="13"/>
      <c r="B52" s="182" t="s">
        <v>2165</v>
      </c>
      <c r="C52" s="182" t="s">
        <v>2541</v>
      </c>
      <c r="D52" s="183" t="s">
        <v>2596</v>
      </c>
      <c r="E52" s="183" t="s">
        <v>225</v>
      </c>
      <c r="F52" s="183" t="s">
        <v>225</v>
      </c>
      <c r="G52" s="185" t="s">
        <v>2596</v>
      </c>
    </row>
    <row r="54" spans="1:7" ht="15">
      <c r="A54" s="12"/>
      <c r="B54" s="439" t="s">
        <v>157</v>
      </c>
      <c r="C54" s="439" t="s">
        <v>216</v>
      </c>
      <c r="D54" s="439" t="s">
        <v>217</v>
      </c>
      <c r="E54" s="439" t="s">
        <v>218</v>
      </c>
      <c r="F54" s="439" t="s">
        <v>219</v>
      </c>
      <c r="G54" s="439" t="s">
        <v>220</v>
      </c>
    </row>
    <row r="55" spans="1:7" ht="15">
      <c r="A55" s="13"/>
      <c r="B55" s="182" t="s">
        <v>2597</v>
      </c>
      <c r="C55" s="182" t="s">
        <v>2209</v>
      </c>
      <c r="D55" s="183" t="s">
        <v>225</v>
      </c>
      <c r="E55" s="183" t="s">
        <v>2598</v>
      </c>
      <c r="F55" s="183" t="s">
        <v>225</v>
      </c>
      <c r="G55" s="185" t="s">
        <v>2598</v>
      </c>
    </row>
    <row r="56" spans="1:7" ht="15">
      <c r="A56" s="13"/>
      <c r="B56" s="182" t="s">
        <v>2597</v>
      </c>
      <c r="C56" s="182" t="s">
        <v>2210</v>
      </c>
      <c r="D56" s="183" t="s">
        <v>2599</v>
      </c>
      <c r="E56" s="183" t="s">
        <v>225</v>
      </c>
      <c r="F56" s="183" t="s">
        <v>225</v>
      </c>
      <c r="G56" s="185" t="s">
        <v>2599</v>
      </c>
    </row>
    <row r="60" spans="1:7" ht="15">
      <c r="A60" s="12"/>
      <c r="B60" s="439" t="s">
        <v>157</v>
      </c>
      <c r="C60" s="439" t="s">
        <v>216</v>
      </c>
      <c r="D60" s="439" t="s">
        <v>217</v>
      </c>
      <c r="E60" s="439" t="s">
        <v>218</v>
      </c>
      <c r="F60" s="439" t="s">
        <v>219</v>
      </c>
      <c r="G60" s="439" t="s">
        <v>220</v>
      </c>
    </row>
    <row r="61" spans="1:7" ht="15">
      <c r="A61" s="13"/>
      <c r="B61" s="182" t="s">
        <v>2165</v>
      </c>
      <c r="C61" s="182" t="s">
        <v>95</v>
      </c>
      <c r="D61" s="183" t="s">
        <v>225</v>
      </c>
      <c r="E61" s="183" t="s">
        <v>225</v>
      </c>
      <c r="F61" s="183" t="s">
        <v>225</v>
      </c>
      <c r="G61" s="183" t="s">
        <v>225</v>
      </c>
    </row>
    <row r="62" spans="1:7" ht="15">
      <c r="A62" s="13"/>
      <c r="B62" s="182" t="s">
        <v>2165</v>
      </c>
      <c r="C62" s="182" t="s">
        <v>232</v>
      </c>
      <c r="D62" s="183" t="s">
        <v>2603</v>
      </c>
      <c r="E62" s="183" t="s">
        <v>2604</v>
      </c>
      <c r="F62" s="183" t="s">
        <v>225</v>
      </c>
      <c r="G62" s="185" t="s">
        <v>2605</v>
      </c>
    </row>
    <row r="64" spans="1:7" ht="15">
      <c r="A64" s="12"/>
      <c r="B64" s="439" t="s">
        <v>157</v>
      </c>
      <c r="C64" s="439" t="s">
        <v>216</v>
      </c>
      <c r="D64" s="439" t="s">
        <v>217</v>
      </c>
      <c r="E64" s="439" t="s">
        <v>218</v>
      </c>
      <c r="F64" s="439" t="s">
        <v>219</v>
      </c>
      <c r="G64" s="439" t="s">
        <v>220</v>
      </c>
    </row>
    <row r="65" spans="1:8" ht="15">
      <c r="A65" s="13"/>
      <c r="B65" s="182" t="s">
        <v>233</v>
      </c>
      <c r="C65" s="182" t="s">
        <v>2209</v>
      </c>
      <c r="D65" s="183" t="s">
        <v>225</v>
      </c>
      <c r="E65" s="183" t="s">
        <v>225</v>
      </c>
      <c r="F65" s="183" t="s">
        <v>225</v>
      </c>
      <c r="G65" s="183" t="s">
        <v>225</v>
      </c>
    </row>
    <row r="66" spans="1:8" ht="15">
      <c r="A66" s="13"/>
      <c r="B66" s="182" t="s">
        <v>233</v>
      </c>
      <c r="C66" s="182" t="s">
        <v>2210</v>
      </c>
      <c r="D66" s="183" t="s">
        <v>2600</v>
      </c>
      <c r="E66" s="183" t="s">
        <v>225</v>
      </c>
      <c r="F66" s="183" t="s">
        <v>2601</v>
      </c>
      <c r="G66" s="185" t="s">
        <v>2602</v>
      </c>
      <c r="H66" s="184" t="s">
        <v>2618</v>
      </c>
    </row>
    <row r="70" spans="1:8" ht="15">
      <c r="A70" s="12"/>
      <c r="B70" s="439" t="s">
        <v>157</v>
      </c>
      <c r="C70" s="439" t="s">
        <v>216</v>
      </c>
      <c r="D70" s="439" t="s">
        <v>217</v>
      </c>
      <c r="E70" s="439" t="s">
        <v>218</v>
      </c>
      <c r="F70" s="439" t="s">
        <v>219</v>
      </c>
      <c r="G70" s="439" t="s">
        <v>220</v>
      </c>
    </row>
    <row r="71" spans="1:8" ht="15">
      <c r="A71" s="13"/>
      <c r="B71" s="182" t="s">
        <v>2165</v>
      </c>
      <c r="C71" s="182" t="s">
        <v>221</v>
      </c>
      <c r="D71" s="183" t="s">
        <v>2606</v>
      </c>
      <c r="E71" s="185" t="s">
        <v>2607</v>
      </c>
      <c r="F71" s="183" t="s">
        <v>225</v>
      </c>
      <c r="G71" s="185" t="s">
        <v>2608</v>
      </c>
    </row>
    <row r="72" spans="1:8" ht="15">
      <c r="A72" s="13"/>
      <c r="B72" s="182" t="s">
        <v>2165</v>
      </c>
      <c r="C72" s="182" t="s">
        <v>222</v>
      </c>
      <c r="D72" s="183" t="s">
        <v>2609</v>
      </c>
      <c r="E72" s="183" t="s">
        <v>225</v>
      </c>
      <c r="F72" s="185" t="s">
        <v>2610</v>
      </c>
      <c r="G72" s="185" t="s">
        <v>2611</v>
      </c>
    </row>
    <row r="75" spans="1:8" ht="15">
      <c r="A75" s="12"/>
      <c r="B75" s="439" t="s">
        <v>157</v>
      </c>
      <c r="C75" s="439" t="s">
        <v>216</v>
      </c>
      <c r="D75" s="439" t="s">
        <v>217</v>
      </c>
      <c r="E75" s="439" t="s">
        <v>218</v>
      </c>
      <c r="F75" s="439" t="s">
        <v>219</v>
      </c>
      <c r="G75" s="439" t="s">
        <v>220</v>
      </c>
    </row>
    <row r="76" spans="1:8" ht="15">
      <c r="A76" s="13"/>
      <c r="B76" s="182" t="s">
        <v>159</v>
      </c>
      <c r="C76" s="182" t="s">
        <v>2209</v>
      </c>
      <c r="D76" s="183" t="s">
        <v>2612</v>
      </c>
      <c r="E76" s="183" t="s">
        <v>225</v>
      </c>
      <c r="F76" s="185" t="s">
        <v>2613</v>
      </c>
      <c r="G76" s="185" t="s">
        <v>2614</v>
      </c>
    </row>
    <row r="77" spans="1:8" ht="15">
      <c r="A77" s="13"/>
      <c r="B77" s="182" t="s">
        <v>159</v>
      </c>
      <c r="C77" s="182" t="s">
        <v>2210</v>
      </c>
      <c r="D77" s="183" t="s">
        <v>2615</v>
      </c>
      <c r="E77" s="185" t="s">
        <v>2616</v>
      </c>
      <c r="F77" s="183" t="s">
        <v>225</v>
      </c>
      <c r="G77" s="185" t="s">
        <v>2617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4"/>
  <sheetViews>
    <sheetView workbookViewId="0">
      <selection activeCell="D18" sqref="D18"/>
    </sheetView>
  </sheetViews>
  <sheetFormatPr defaultRowHeight="12.75"/>
  <cols>
    <col min="1" max="1" width="9.140625" style="72"/>
    <col min="2" max="2" width="34" style="72" bestFit="1" customWidth="1"/>
    <col min="3" max="3" width="42.42578125" style="72" bestFit="1" customWidth="1"/>
    <col min="4" max="4" width="16.7109375" style="72" customWidth="1"/>
    <col min="5" max="5" width="16.85546875" style="72" bestFit="1" customWidth="1"/>
    <col min="6" max="6" width="16.7109375" style="72" bestFit="1" customWidth="1"/>
    <col min="7" max="7" width="16.85546875" style="72" bestFit="1" customWidth="1"/>
    <col min="8" max="16384" width="9.140625" style="72"/>
  </cols>
  <sheetData>
    <row r="1" spans="1:8">
      <c r="A1" s="5"/>
      <c r="B1" s="5" t="s">
        <v>157</v>
      </c>
      <c r="C1" s="5" t="s">
        <v>216</v>
      </c>
      <c r="D1" s="5" t="s">
        <v>217</v>
      </c>
      <c r="E1" s="5" t="s">
        <v>218</v>
      </c>
      <c r="F1" s="5" t="s">
        <v>2465</v>
      </c>
      <c r="G1" s="5" t="s">
        <v>220</v>
      </c>
    </row>
    <row r="2" spans="1:8">
      <c r="A2" s="6"/>
      <c r="B2" s="8" t="s">
        <v>2165</v>
      </c>
      <c r="C2" s="8" t="s">
        <v>87</v>
      </c>
      <c r="D2" s="157">
        <v>4381072.96</v>
      </c>
      <c r="E2" s="8" t="s">
        <v>2433</v>
      </c>
      <c r="F2" s="8">
        <v>361701822.48000002</v>
      </c>
      <c r="G2" s="8">
        <v>343243615.16000003</v>
      </c>
    </row>
    <row r="3" spans="1:8">
      <c r="A3" s="6"/>
      <c r="B3" s="8" t="s">
        <v>2165</v>
      </c>
      <c r="C3" s="8" t="s">
        <v>61</v>
      </c>
      <c r="D3" s="8">
        <v>167941025.12</v>
      </c>
      <c r="E3" s="8" t="s">
        <v>2434</v>
      </c>
      <c r="F3" s="8">
        <v>22875710.550000001</v>
      </c>
      <c r="G3" s="8">
        <v>84.78</v>
      </c>
    </row>
    <row r="4" spans="1:8">
      <c r="G4" s="72">
        <f>343243615.16+84.78</f>
        <v>343243699.94</v>
      </c>
    </row>
    <row r="6" spans="1:8">
      <c r="A6" s="5"/>
      <c r="B6" s="5" t="s">
        <v>157</v>
      </c>
      <c r="C6" s="5" t="s">
        <v>216</v>
      </c>
      <c r="D6" s="5" t="s">
        <v>217</v>
      </c>
      <c r="E6" s="5" t="s">
        <v>218</v>
      </c>
      <c r="F6" s="5" t="s">
        <v>2465</v>
      </c>
      <c r="G6" s="5" t="s">
        <v>220</v>
      </c>
    </row>
    <row r="7" spans="1:8">
      <c r="A7" s="6"/>
      <c r="B7" s="8" t="s">
        <v>270</v>
      </c>
      <c r="C7" s="8" t="s">
        <v>2209</v>
      </c>
      <c r="D7" s="157" t="s">
        <v>2435</v>
      </c>
      <c r="E7" s="8" t="s">
        <v>2436</v>
      </c>
      <c r="F7" s="8" t="s">
        <v>225</v>
      </c>
      <c r="G7" s="8" t="s">
        <v>2437</v>
      </c>
    </row>
    <row r="8" spans="1:8">
      <c r="A8" s="6"/>
      <c r="B8" s="8" t="s">
        <v>270</v>
      </c>
      <c r="C8" s="8" t="s">
        <v>2210</v>
      </c>
      <c r="D8" s="8" t="s">
        <v>2438</v>
      </c>
      <c r="E8" s="8" t="s">
        <v>2430</v>
      </c>
      <c r="F8" s="8">
        <v>72896135.319999993</v>
      </c>
      <c r="G8" s="8" t="s">
        <v>2439</v>
      </c>
    </row>
    <row r="9" spans="1:8">
      <c r="D9" s="72">
        <f>167967563.04-167941025.12</f>
        <v>26537.919999986887</v>
      </c>
      <c r="G9" s="72">
        <f>248172009.04+95071666.27</f>
        <v>343243675.31</v>
      </c>
    </row>
    <row r="10" spans="1:8">
      <c r="G10" s="72">
        <f>+G4-G9</f>
        <v>24.629999995231628</v>
      </c>
      <c r="H10" s="72" t="s">
        <v>2431</v>
      </c>
    </row>
    <row r="12" spans="1:8">
      <c r="A12" s="152"/>
      <c r="B12" s="152" t="s">
        <v>157</v>
      </c>
      <c r="C12" s="152" t="s">
        <v>216</v>
      </c>
      <c r="D12" s="152" t="s">
        <v>217</v>
      </c>
      <c r="E12" s="152" t="s">
        <v>218</v>
      </c>
      <c r="F12" s="152" t="s">
        <v>2465</v>
      </c>
      <c r="G12" s="152" t="s">
        <v>220</v>
      </c>
    </row>
    <row r="13" spans="1:8">
      <c r="A13" s="405"/>
      <c r="B13" s="153" t="s">
        <v>2165</v>
      </c>
      <c r="C13" s="153" t="s">
        <v>89</v>
      </c>
      <c r="D13" s="172">
        <v>18614228.219999999</v>
      </c>
      <c r="E13" s="153" t="s">
        <v>2440</v>
      </c>
      <c r="F13" s="172">
        <v>15365901.75</v>
      </c>
      <c r="G13" s="153">
        <v>23990738.77</v>
      </c>
    </row>
    <row r="14" spans="1:8">
      <c r="A14" s="405"/>
      <c r="B14" s="153" t="s">
        <v>2165</v>
      </c>
      <c r="C14" s="153" t="s">
        <v>226</v>
      </c>
      <c r="D14" s="172" t="s">
        <v>2441</v>
      </c>
      <c r="E14" s="153" t="s">
        <v>2442</v>
      </c>
      <c r="F14" s="153">
        <v>9991043.3399999999</v>
      </c>
      <c r="G14" s="153" t="s">
        <v>225</v>
      </c>
    </row>
    <row r="15" spans="1:8">
      <c r="E15" s="406">
        <f>1949524.44-1947871.86</f>
        <v>1652.5799999998417</v>
      </c>
      <c r="F15" s="406">
        <f>9991043.34-9989391.2</f>
        <v>1652.140000000596</v>
      </c>
    </row>
    <row r="16" spans="1:8">
      <c r="A16" s="152"/>
      <c r="B16" s="152" t="s">
        <v>157</v>
      </c>
      <c r="C16" s="152" t="s">
        <v>216</v>
      </c>
      <c r="D16" s="152" t="s">
        <v>217</v>
      </c>
      <c r="E16" s="152" t="s">
        <v>218</v>
      </c>
      <c r="F16" s="152" t="s">
        <v>2465</v>
      </c>
      <c r="G16" s="152" t="s">
        <v>220</v>
      </c>
    </row>
    <row r="17" spans="1:9">
      <c r="A17" s="405"/>
      <c r="B17" s="153" t="s">
        <v>227</v>
      </c>
      <c r="C17" s="153" t="s">
        <v>2209</v>
      </c>
      <c r="D17" s="172" t="s">
        <v>2443</v>
      </c>
      <c r="E17" s="172" t="s">
        <v>2444</v>
      </c>
      <c r="F17" s="153">
        <v>32795919</v>
      </c>
      <c r="G17" s="153" t="s">
        <v>2445</v>
      </c>
    </row>
    <row r="18" spans="1:9">
      <c r="A18" s="405"/>
      <c r="B18" s="153" t="s">
        <v>227</v>
      </c>
      <c r="C18" s="153" t="s">
        <v>2210</v>
      </c>
      <c r="D18" s="172">
        <v>8041519.5300000003</v>
      </c>
      <c r="E18" s="153" t="s">
        <v>225</v>
      </c>
      <c r="F18" s="153">
        <v>1947871.86</v>
      </c>
      <c r="G18" s="153">
        <v>9989391.3900000006</v>
      </c>
    </row>
    <row r="19" spans="1:9">
      <c r="C19" s="407">
        <v>46085</v>
      </c>
      <c r="D19" s="72" t="s">
        <v>1663</v>
      </c>
      <c r="E19" s="72" t="s">
        <v>56</v>
      </c>
      <c r="F19" s="72">
        <v>5</v>
      </c>
      <c r="G19" s="72">
        <f>15365901.75-15365495.92</f>
        <v>405.83000000007451</v>
      </c>
      <c r="H19" s="72">
        <v>475531.68</v>
      </c>
      <c r="I19" s="184" t="s">
        <v>2432</v>
      </c>
    </row>
    <row r="24" spans="1:9" ht="15">
      <c r="A24" s="12"/>
      <c r="B24" s="152" t="s">
        <v>157</v>
      </c>
      <c r="C24" s="152" t="s">
        <v>216</v>
      </c>
      <c r="D24" s="152" t="s">
        <v>217</v>
      </c>
      <c r="E24" s="152" t="s">
        <v>218</v>
      </c>
      <c r="F24" s="152" t="s">
        <v>2465</v>
      </c>
      <c r="G24" s="152" t="s">
        <v>220</v>
      </c>
    </row>
    <row r="25" spans="1:9" ht="15">
      <c r="A25" s="13"/>
      <c r="B25" s="153" t="s">
        <v>2165</v>
      </c>
      <c r="C25" s="153" t="s">
        <v>94</v>
      </c>
      <c r="D25" s="153">
        <v>1040041.84</v>
      </c>
      <c r="E25" s="153" t="s">
        <v>225</v>
      </c>
      <c r="F25" s="172">
        <v>14219029.59</v>
      </c>
      <c r="G25" s="153">
        <v>15259071.43</v>
      </c>
    </row>
    <row r="26" spans="1:9" ht="15">
      <c r="A26" s="13"/>
      <c r="B26" s="153" t="s">
        <v>2165</v>
      </c>
      <c r="C26" s="153" t="s">
        <v>73</v>
      </c>
      <c r="D26" s="153" t="s">
        <v>2446</v>
      </c>
      <c r="E26" s="153" t="s">
        <v>2447</v>
      </c>
      <c r="F26" s="153">
        <v>2872.39</v>
      </c>
      <c r="G26" s="153" t="s">
        <v>2448</v>
      </c>
    </row>
    <row r="27" spans="1:9">
      <c r="E27" s="72">
        <f>3441802.97-2872.39</f>
        <v>3438930.58</v>
      </c>
    </row>
    <row r="28" spans="1:9" ht="15">
      <c r="A28" s="12"/>
      <c r="B28" s="152" t="s">
        <v>157</v>
      </c>
      <c r="C28" s="152" t="s">
        <v>216</v>
      </c>
      <c r="D28" s="152" t="s">
        <v>217</v>
      </c>
      <c r="E28" s="152" t="s">
        <v>218</v>
      </c>
      <c r="F28" s="152" t="s">
        <v>2465</v>
      </c>
      <c r="G28" s="152" t="s">
        <v>220</v>
      </c>
    </row>
    <row r="29" spans="1:9" ht="15">
      <c r="A29" s="13"/>
      <c r="B29" s="153" t="s">
        <v>271</v>
      </c>
      <c r="C29" s="153" t="s">
        <v>2209</v>
      </c>
      <c r="D29" s="153" t="s">
        <v>2449</v>
      </c>
      <c r="E29" s="172" t="s">
        <v>2450</v>
      </c>
      <c r="F29" s="153">
        <v>108245.42</v>
      </c>
      <c r="G29" s="153" t="s">
        <v>2451</v>
      </c>
    </row>
    <row r="30" spans="1:9" ht="15">
      <c r="A30" s="13"/>
      <c r="B30" s="153" t="s">
        <v>271</v>
      </c>
      <c r="C30" s="153" t="s">
        <v>2210</v>
      </c>
      <c r="D30" s="153">
        <v>46344618.340000004</v>
      </c>
      <c r="E30" s="153" t="s">
        <v>225</v>
      </c>
      <c r="F30" s="153">
        <v>3386548.04</v>
      </c>
      <c r="G30" s="153">
        <v>49731166.380000003</v>
      </c>
    </row>
    <row r="31" spans="1:9">
      <c r="D31" s="72">
        <f>1148287.34-1040041.84</f>
        <v>108245.50000000012</v>
      </c>
      <c r="F31" s="72">
        <f>+E27-3386548.04</f>
        <v>52382.540000000037</v>
      </c>
    </row>
    <row r="34" spans="1:7" ht="15">
      <c r="A34" s="12"/>
      <c r="B34" s="152" t="s">
        <v>157</v>
      </c>
      <c r="C34" s="152" t="s">
        <v>216</v>
      </c>
      <c r="D34" s="152" t="s">
        <v>217</v>
      </c>
      <c r="E34" s="152" t="s">
        <v>218</v>
      </c>
      <c r="F34" s="152" t="s">
        <v>2465</v>
      </c>
      <c r="G34" s="152" t="s">
        <v>220</v>
      </c>
    </row>
    <row r="35" spans="1:7" ht="15">
      <c r="A35" s="13"/>
      <c r="B35" s="153" t="s">
        <v>2165</v>
      </c>
      <c r="C35" s="153" t="s">
        <v>93</v>
      </c>
      <c r="D35" s="172" t="s">
        <v>2452</v>
      </c>
      <c r="E35" s="172" t="s">
        <v>225</v>
      </c>
      <c r="F35" s="153">
        <v>1279459.82</v>
      </c>
      <c r="G35" s="153" t="s">
        <v>2453</v>
      </c>
    </row>
    <row r="36" spans="1:7" ht="15">
      <c r="A36" s="13"/>
      <c r="B36" s="153" t="s">
        <v>2165</v>
      </c>
      <c r="C36" s="153" t="s">
        <v>78</v>
      </c>
      <c r="D36" s="172" t="s">
        <v>2454</v>
      </c>
      <c r="E36" s="153" t="s">
        <v>2455</v>
      </c>
      <c r="F36" s="153">
        <v>14623101.449999999</v>
      </c>
      <c r="G36" s="153" t="s">
        <v>2456</v>
      </c>
    </row>
    <row r="38" spans="1:7" ht="15">
      <c r="A38" s="12"/>
      <c r="B38" s="152" t="s">
        <v>157</v>
      </c>
      <c r="C38" s="152" t="s">
        <v>216</v>
      </c>
      <c r="D38" s="152" t="s">
        <v>217</v>
      </c>
      <c r="E38" s="152" t="s">
        <v>218</v>
      </c>
      <c r="F38" s="152" t="s">
        <v>2465</v>
      </c>
      <c r="G38" s="152" t="s">
        <v>220</v>
      </c>
    </row>
    <row r="39" spans="1:7" ht="15">
      <c r="A39" s="13"/>
      <c r="B39" s="153" t="s">
        <v>272</v>
      </c>
      <c r="C39" s="153" t="s">
        <v>2209</v>
      </c>
      <c r="D39" s="172">
        <v>6977160</v>
      </c>
      <c r="E39" s="153" t="s">
        <v>2457</v>
      </c>
      <c r="F39" s="172" t="s">
        <v>225</v>
      </c>
      <c r="G39" s="153">
        <v>5698266.2400000002</v>
      </c>
    </row>
    <row r="40" spans="1:7" ht="15">
      <c r="A40" s="13"/>
      <c r="B40" s="153" t="s">
        <v>272</v>
      </c>
      <c r="C40" s="153" t="s">
        <v>2210</v>
      </c>
      <c r="D40" s="172">
        <v>113701170.09</v>
      </c>
      <c r="E40" s="153" t="s">
        <v>225</v>
      </c>
      <c r="F40" s="153">
        <v>27557474.66</v>
      </c>
      <c r="G40" s="153">
        <v>141258644.75</v>
      </c>
    </row>
    <row r="41" spans="1:7">
      <c r="E41" s="72">
        <f>1279459.82-1278893.76</f>
        <v>566.06000000005588</v>
      </c>
    </row>
    <row r="42" spans="1:7">
      <c r="E42" s="72">
        <f>297.65+268.4</f>
        <v>566.04999999999995</v>
      </c>
    </row>
    <row r="44" spans="1:7" ht="15">
      <c r="A44" s="12"/>
      <c r="B44" s="152" t="s">
        <v>157</v>
      </c>
      <c r="C44" s="152" t="s">
        <v>216</v>
      </c>
      <c r="D44" s="152" t="s">
        <v>217</v>
      </c>
      <c r="E44" s="152" t="s">
        <v>218</v>
      </c>
      <c r="F44" s="152" t="s">
        <v>2465</v>
      </c>
      <c r="G44" s="152" t="s">
        <v>220</v>
      </c>
    </row>
    <row r="45" spans="1:7" ht="15">
      <c r="A45" s="13"/>
      <c r="B45" s="153" t="s">
        <v>2165</v>
      </c>
      <c r="C45" s="153" t="s">
        <v>103</v>
      </c>
      <c r="D45" s="172" t="s">
        <v>2458</v>
      </c>
      <c r="E45" s="153" t="s">
        <v>225</v>
      </c>
      <c r="F45" s="153">
        <v>2100132.12</v>
      </c>
      <c r="G45" s="153" t="s">
        <v>2459</v>
      </c>
    </row>
    <row r="46" spans="1:7" ht="15">
      <c r="A46" s="13"/>
      <c r="B46" s="153" t="s">
        <v>2165</v>
      </c>
      <c r="C46" s="153" t="s">
        <v>333</v>
      </c>
      <c r="D46" s="172" t="s">
        <v>2460</v>
      </c>
      <c r="E46" s="153" t="s">
        <v>2461</v>
      </c>
      <c r="F46" s="153" t="s">
        <v>225</v>
      </c>
      <c r="G46" s="153" t="s">
        <v>2462</v>
      </c>
    </row>
    <row r="47" spans="1:7">
      <c r="G47" s="72">
        <f>2588640.9+83403850.75</f>
        <v>85992491.650000006</v>
      </c>
    </row>
    <row r="48" spans="1:7" ht="15">
      <c r="A48" s="12"/>
      <c r="B48" s="152" t="s">
        <v>157</v>
      </c>
      <c r="C48" s="152" t="s">
        <v>216</v>
      </c>
      <c r="D48" s="152" t="s">
        <v>217</v>
      </c>
      <c r="E48" s="152" t="s">
        <v>218</v>
      </c>
      <c r="F48" s="152" t="s">
        <v>2465</v>
      </c>
      <c r="G48" s="152" t="s">
        <v>220</v>
      </c>
    </row>
    <row r="49" spans="1:7" ht="15">
      <c r="A49" s="13"/>
      <c r="B49" s="153" t="s">
        <v>334</v>
      </c>
      <c r="C49" s="153" t="s">
        <v>2209</v>
      </c>
      <c r="D49" s="172">
        <v>4688773.03</v>
      </c>
      <c r="E49" s="153" t="s">
        <v>2463</v>
      </c>
      <c r="F49" s="153" t="s">
        <v>225</v>
      </c>
      <c r="G49" s="153" t="s">
        <v>225</v>
      </c>
    </row>
    <row r="50" spans="1:7" ht="15">
      <c r="A50" s="13"/>
      <c r="B50" s="153" t="s">
        <v>334</v>
      </c>
      <c r="C50" s="153" t="s">
        <v>2210</v>
      </c>
      <c r="D50" s="172">
        <v>83383115.590000004</v>
      </c>
      <c r="E50" s="153" t="s">
        <v>225</v>
      </c>
      <c r="F50" s="153">
        <v>2409160.21</v>
      </c>
      <c r="G50" s="153">
        <v>85792275.799999997</v>
      </c>
    </row>
    <row r="51" spans="1:7">
      <c r="G51" s="72">
        <f>+G47-85792275.8</f>
        <v>200215.85000000894</v>
      </c>
    </row>
    <row r="54" spans="1:7" ht="15">
      <c r="A54" s="12"/>
      <c r="B54" s="12" t="s">
        <v>157</v>
      </c>
      <c r="C54" s="12" t="s">
        <v>216</v>
      </c>
      <c r="D54" s="12" t="s">
        <v>217</v>
      </c>
      <c r="E54" s="12" t="s">
        <v>218</v>
      </c>
      <c r="F54" s="12" t="s">
        <v>2465</v>
      </c>
      <c r="G54" s="12" t="s">
        <v>220</v>
      </c>
    </row>
    <row r="55" spans="1:7" ht="15">
      <c r="A55" s="13"/>
      <c r="B55" s="14" t="s">
        <v>227</v>
      </c>
      <c r="C55" s="14" t="s">
        <v>2209</v>
      </c>
      <c r="D55" s="14">
        <v>18614228.199999999</v>
      </c>
      <c r="E55" s="101">
        <v>15365495.92</v>
      </c>
      <c r="F55" s="16">
        <v>32795919</v>
      </c>
      <c r="G55" s="14" t="s">
        <v>2445</v>
      </c>
    </row>
    <row r="56" spans="1:7" ht="15">
      <c r="A56" s="13"/>
      <c r="B56" s="14" t="s">
        <v>227</v>
      </c>
      <c r="C56" s="14" t="s">
        <v>2210</v>
      </c>
      <c r="D56" s="14">
        <v>8041519.5300000003</v>
      </c>
      <c r="E56" s="14" t="s">
        <v>225</v>
      </c>
      <c r="F56" s="16">
        <v>1947871.86</v>
      </c>
      <c r="G56" s="14">
        <v>9989391.3900000006</v>
      </c>
    </row>
    <row r="57" spans="1:7">
      <c r="D57" s="72">
        <f>+D55+D56</f>
        <v>26655747.73</v>
      </c>
      <c r="E57" s="408" t="s">
        <v>231</v>
      </c>
      <c r="G57" s="72">
        <f>9989391-1183805</f>
        <v>8805586</v>
      </c>
    </row>
    <row r="58" spans="1:7" ht="15">
      <c r="A58" s="12"/>
      <c r="B58" s="12" t="s">
        <v>157</v>
      </c>
      <c r="C58" s="12" t="s">
        <v>216</v>
      </c>
      <c r="D58" s="12" t="s">
        <v>217</v>
      </c>
      <c r="E58" s="12" t="s">
        <v>218</v>
      </c>
      <c r="F58" s="12" t="s">
        <v>2465</v>
      </c>
      <c r="G58" s="12" t="s">
        <v>220</v>
      </c>
    </row>
    <row r="59" spans="1:7" ht="15">
      <c r="A59" s="13"/>
      <c r="B59" s="14" t="s">
        <v>2165</v>
      </c>
      <c r="C59" s="14" t="s">
        <v>89</v>
      </c>
      <c r="D59" s="14">
        <v>18614228.219999999</v>
      </c>
      <c r="E59" s="101">
        <v>32795919</v>
      </c>
      <c r="F59" s="101">
        <v>15365901.75</v>
      </c>
      <c r="G59" s="98">
        <v>-1184210.97</v>
      </c>
    </row>
    <row r="60" spans="1:7" ht="15">
      <c r="A60" s="13"/>
      <c r="B60" s="14" t="s">
        <v>2165</v>
      </c>
      <c r="C60" s="14" t="s">
        <v>226</v>
      </c>
      <c r="D60" s="14">
        <v>8041518.9000000004</v>
      </c>
      <c r="E60" s="16">
        <v>1949524.44</v>
      </c>
      <c r="F60" s="16">
        <v>1652.14</v>
      </c>
      <c r="G60" s="98">
        <v>9989391.1999999993</v>
      </c>
    </row>
    <row r="61" spans="1:7">
      <c r="D61" s="72">
        <f>+D59+D60</f>
        <v>26655747.119999997</v>
      </c>
      <c r="E61" s="408">
        <f>+E60-F60</f>
        <v>1947872.3</v>
      </c>
      <c r="F61" s="72">
        <f>+F60-1652.14</f>
        <v>0</v>
      </c>
      <c r="G61" s="408">
        <f>SUM(G59:G60)</f>
        <v>8805180.2299999986</v>
      </c>
    </row>
    <row r="62" spans="1:7">
      <c r="C62" s="184" t="s">
        <v>2464</v>
      </c>
      <c r="D62" s="386">
        <f>+D57-D61</f>
        <v>0.61000000312924385</v>
      </c>
      <c r="E62" s="409">
        <f>+E61-F56</f>
        <v>0.43999999994412065</v>
      </c>
      <c r="G62" s="408">
        <f>+G57-G61</f>
        <v>405.77000000141561</v>
      </c>
    </row>
    <row r="63" spans="1:7">
      <c r="E63" s="408"/>
    </row>
    <row r="64" spans="1:7" ht="15">
      <c r="A64" s="12"/>
      <c r="B64" s="152" t="s">
        <v>157</v>
      </c>
      <c r="C64" s="152" t="s">
        <v>216</v>
      </c>
      <c r="D64" s="152" t="s">
        <v>217</v>
      </c>
      <c r="E64" s="152" t="s">
        <v>218</v>
      </c>
      <c r="F64" s="152" t="s">
        <v>2465</v>
      </c>
      <c r="G64" s="152" t="s">
        <v>220</v>
      </c>
    </row>
    <row r="65" spans="1:7" ht="15">
      <c r="A65" s="13"/>
      <c r="B65" s="153" t="s">
        <v>2165</v>
      </c>
      <c r="C65" s="153" t="s">
        <v>94</v>
      </c>
      <c r="D65" s="153">
        <v>1040041.84</v>
      </c>
      <c r="E65" s="153" t="s">
        <v>225</v>
      </c>
      <c r="F65" s="172">
        <v>14219029.59</v>
      </c>
      <c r="G65" s="410">
        <v>15259071.43</v>
      </c>
    </row>
    <row r="66" spans="1:7" ht="15">
      <c r="A66" s="13"/>
      <c r="B66" s="153" t="s">
        <v>2165</v>
      </c>
      <c r="C66" s="153" t="s">
        <v>73</v>
      </c>
      <c r="D66" s="153" t="s">
        <v>2446</v>
      </c>
      <c r="E66" s="153" t="s">
        <v>2447</v>
      </c>
      <c r="F66" s="412">
        <v>2872.39</v>
      </c>
      <c r="G66" s="153" t="s">
        <v>2448</v>
      </c>
    </row>
    <row r="68" spans="1:7" ht="15">
      <c r="A68" s="12"/>
      <c r="B68" s="152" t="s">
        <v>157</v>
      </c>
      <c r="C68" s="152" t="s">
        <v>216</v>
      </c>
      <c r="D68" s="152" t="s">
        <v>217</v>
      </c>
      <c r="E68" s="152" t="s">
        <v>218</v>
      </c>
      <c r="F68" s="152" t="s">
        <v>2465</v>
      </c>
      <c r="G68" s="152" t="s">
        <v>220</v>
      </c>
    </row>
    <row r="69" spans="1:7" ht="15">
      <c r="A69" s="13"/>
      <c r="B69" s="153" t="s">
        <v>271</v>
      </c>
      <c r="C69" s="153" t="s">
        <v>2209</v>
      </c>
      <c r="D69" s="153" t="s">
        <v>2449</v>
      </c>
      <c r="E69" s="172" t="s">
        <v>2450</v>
      </c>
      <c r="F69" s="153">
        <v>108245.42</v>
      </c>
      <c r="G69" s="410" t="s">
        <v>2451</v>
      </c>
    </row>
    <row r="70" spans="1:7" ht="15">
      <c r="A70" s="13"/>
      <c r="B70" s="153" t="s">
        <v>271</v>
      </c>
      <c r="C70" s="153" t="s">
        <v>2210</v>
      </c>
      <c r="D70" s="153">
        <v>46344618.340000004</v>
      </c>
      <c r="E70" s="153" t="s">
        <v>225</v>
      </c>
      <c r="F70" s="153">
        <v>3386548.04</v>
      </c>
      <c r="G70" s="153">
        <v>49731166.380000003</v>
      </c>
    </row>
    <row r="71" spans="1:7">
      <c r="G71" s="72">
        <f>49783548.92-49731166.38</f>
        <v>52382.539999999106</v>
      </c>
    </row>
    <row r="72" spans="1:7">
      <c r="E72" s="72" t="s">
        <v>28</v>
      </c>
      <c r="F72" s="72" t="s">
        <v>273</v>
      </c>
      <c r="G72" s="72" t="s">
        <v>218</v>
      </c>
    </row>
    <row r="73" spans="1:7">
      <c r="E73" s="72">
        <v>106</v>
      </c>
      <c r="G73" s="408">
        <v>18448.990000000002</v>
      </c>
    </row>
    <row r="74" spans="1:7">
      <c r="E74" s="72">
        <v>134</v>
      </c>
      <c r="G74" s="408">
        <v>33933.56</v>
      </c>
    </row>
    <row r="76" spans="1:7" ht="15">
      <c r="A76" s="12"/>
      <c r="B76" s="12" t="s">
        <v>157</v>
      </c>
      <c r="C76" s="12" t="s">
        <v>216</v>
      </c>
      <c r="D76" s="12" t="s">
        <v>217</v>
      </c>
      <c r="E76" s="12" t="s">
        <v>218</v>
      </c>
      <c r="F76" s="12" t="s">
        <v>2465</v>
      </c>
      <c r="G76" s="12" t="s">
        <v>220</v>
      </c>
    </row>
    <row r="77" spans="1:7" ht="15">
      <c r="A77" s="13"/>
      <c r="B77" s="14" t="s">
        <v>2165</v>
      </c>
      <c r="C77" s="14" t="s">
        <v>103</v>
      </c>
      <c r="D77" s="14" t="s">
        <v>2458</v>
      </c>
      <c r="E77" s="14" t="s">
        <v>225</v>
      </c>
      <c r="F77" s="14">
        <v>2100132.12</v>
      </c>
      <c r="G77" s="14" t="s">
        <v>2459</v>
      </c>
    </row>
    <row r="78" spans="1:7" ht="15">
      <c r="A78" s="13"/>
      <c r="B78" s="14" t="s">
        <v>2165</v>
      </c>
      <c r="C78" s="14" t="s">
        <v>333</v>
      </c>
      <c r="D78" s="14" t="s">
        <v>2460</v>
      </c>
      <c r="E78" s="14" t="s">
        <v>2461</v>
      </c>
      <c r="F78" s="16">
        <v>425795.74</v>
      </c>
      <c r="G78" s="14" t="s">
        <v>2466</v>
      </c>
    </row>
    <row r="79" spans="1:7">
      <c r="G79" s="72">
        <f>2588640.9+82978055</f>
        <v>85566695.900000006</v>
      </c>
    </row>
    <row r="80" spans="1:7" ht="15">
      <c r="A80" s="12"/>
      <c r="B80" s="12" t="s">
        <v>157</v>
      </c>
      <c r="C80" s="12" t="s">
        <v>216</v>
      </c>
      <c r="D80" s="12" t="s">
        <v>217</v>
      </c>
      <c r="E80" s="12" t="s">
        <v>218</v>
      </c>
      <c r="F80" s="12" t="s">
        <v>2465</v>
      </c>
      <c r="G80" s="12" t="s">
        <v>220</v>
      </c>
    </row>
    <row r="81" spans="1:7" ht="15">
      <c r="A81" s="13"/>
      <c r="B81" s="14" t="s">
        <v>334</v>
      </c>
      <c r="C81" s="14" t="s">
        <v>2209</v>
      </c>
      <c r="D81" s="14">
        <v>4688773.03</v>
      </c>
      <c r="E81" s="13" t="s">
        <v>2463</v>
      </c>
      <c r="F81" s="13" t="s">
        <v>225</v>
      </c>
      <c r="G81" s="13" t="s">
        <v>225</v>
      </c>
    </row>
    <row r="82" spans="1:7" ht="15">
      <c r="A82" s="13"/>
      <c r="B82" s="14" t="s">
        <v>334</v>
      </c>
      <c r="C82" s="14" t="s">
        <v>2210</v>
      </c>
      <c r="D82" s="14">
        <v>83383115.590000004</v>
      </c>
      <c r="E82" s="411" t="s">
        <v>2467</v>
      </c>
      <c r="F82" s="13">
        <v>2409160.21</v>
      </c>
      <c r="G82" s="13">
        <v>85366480.060000002</v>
      </c>
    </row>
    <row r="83" spans="1:7">
      <c r="G83" s="72">
        <f>+G79-G82</f>
        <v>200215.84000000358</v>
      </c>
    </row>
    <row r="86" spans="1:7" ht="15">
      <c r="A86" s="12"/>
      <c r="B86" s="12" t="s">
        <v>157</v>
      </c>
      <c r="C86" s="12" t="s">
        <v>216</v>
      </c>
      <c r="D86" s="12" t="s">
        <v>217</v>
      </c>
      <c r="E86" s="12" t="s">
        <v>218</v>
      </c>
      <c r="F86" s="12" t="s">
        <v>2465</v>
      </c>
      <c r="G86" s="12" t="s">
        <v>220</v>
      </c>
    </row>
    <row r="87" spans="1:7" ht="15">
      <c r="A87" s="13"/>
      <c r="B87" s="14" t="s">
        <v>2165</v>
      </c>
      <c r="C87" s="14" t="s">
        <v>87</v>
      </c>
      <c r="D87" s="14">
        <v>4381072.96</v>
      </c>
      <c r="E87" s="14" t="s">
        <v>2468</v>
      </c>
      <c r="F87" s="14" t="s">
        <v>2429</v>
      </c>
      <c r="G87" s="14">
        <v>343243675.31</v>
      </c>
    </row>
    <row r="88" spans="1:7" ht="15">
      <c r="A88" s="13"/>
      <c r="B88" s="14" t="s">
        <v>2165</v>
      </c>
      <c r="C88" s="14" t="s">
        <v>61</v>
      </c>
      <c r="D88" s="14">
        <v>167941025.12</v>
      </c>
      <c r="E88" s="14" t="s">
        <v>2434</v>
      </c>
      <c r="F88" s="14">
        <v>22875625.77</v>
      </c>
      <c r="G88" s="14" t="s">
        <v>225</v>
      </c>
    </row>
    <row r="90" spans="1:7" ht="15">
      <c r="A90" s="12"/>
      <c r="B90" s="30" t="s">
        <v>157</v>
      </c>
      <c r="C90" s="30" t="s">
        <v>216</v>
      </c>
      <c r="D90" s="30" t="s">
        <v>217</v>
      </c>
      <c r="E90" s="30" t="s">
        <v>218</v>
      </c>
      <c r="F90" s="30" t="s">
        <v>2465</v>
      </c>
      <c r="G90" s="30" t="s">
        <v>220</v>
      </c>
    </row>
    <row r="91" spans="1:7" ht="15">
      <c r="A91" s="13"/>
      <c r="B91" s="116" t="s">
        <v>270</v>
      </c>
      <c r="C91" s="116" t="s">
        <v>2209</v>
      </c>
      <c r="D91" s="116" t="s">
        <v>2435</v>
      </c>
      <c r="E91" s="116" t="s">
        <v>2436</v>
      </c>
      <c r="F91" s="116" t="s">
        <v>225</v>
      </c>
      <c r="G91" s="116">
        <v>248172009.03999999</v>
      </c>
    </row>
    <row r="92" spans="1:7" ht="15">
      <c r="A92" s="13"/>
      <c r="B92" s="116" t="s">
        <v>270</v>
      </c>
      <c r="C92" s="116" t="s">
        <v>2210</v>
      </c>
      <c r="D92" s="116" t="s">
        <v>2438</v>
      </c>
      <c r="E92" s="116" t="s">
        <v>2430</v>
      </c>
      <c r="F92" s="116">
        <v>72896135.319999993</v>
      </c>
      <c r="G92" s="116">
        <v>95071666.269999996</v>
      </c>
    </row>
    <row r="93" spans="1:7">
      <c r="G93" s="164">
        <f>SUM(G91:G92)</f>
        <v>343243675.31</v>
      </c>
    </row>
    <row r="94" spans="1:7">
      <c r="G94" s="72">
        <f>+G87-G93</f>
        <v>0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JOB OUT</vt:lpstr>
      <vt:lpstr>JOB-IN</vt:lpstr>
      <vt:lpstr>Provision &amp; Prepaid Exp</vt:lpstr>
      <vt:lpstr>Sheet7</vt:lpstr>
      <vt:lpstr>Rate Diference</vt:lpstr>
      <vt:lpstr>Purchase Register</vt:lpstr>
      <vt:lpstr>Sales Register</vt:lpstr>
      <vt:lpstr>Trail Balance-AUG26</vt:lpstr>
      <vt:lpstr>Inward Summary</vt:lpstr>
      <vt:lpstr>Inward Register</vt:lpstr>
      <vt:lpstr>Inward-Webbing</vt:lpstr>
      <vt:lpstr>Inward-Lam-Unlam-Fabric</vt:lpstr>
      <vt:lpstr>Sheet8</vt:lpstr>
      <vt:lpstr>Job Stk Bal May25-KPW</vt:lpstr>
      <vt:lpstr>Sheet5</vt:lpstr>
      <vt:lpstr>Sheet6</vt:lpstr>
      <vt:lpstr>Job Stk Bal May25-PPL</vt:lpstr>
      <vt:lpstr>Job Stk Bal May25-Aaradhya</vt:lpstr>
      <vt:lpstr>Job Stk Bal May25-Saru</vt:lpstr>
      <vt:lpstr>Job Stk Bal Apr25-Parsva </vt:lpstr>
      <vt:lpstr>JOB STOCK-Jan24</vt:lpstr>
      <vt:lpstr>Reco.</vt:lpstr>
      <vt:lpstr>Sheet1</vt:lpstr>
      <vt:lpstr>Sheet3</vt:lpstr>
      <vt:lpstr>Sheet1 (2)</vt:lpstr>
      <vt:lpstr>RECO..</vt:lpstr>
      <vt:lpstr>Sheet4</vt:lpstr>
      <vt:lpstr>Sheet2</vt:lpstr>
      <vt:lpstr>Sheet9</vt:lpstr>
      <vt:lpstr>Sheet12</vt:lpstr>
      <vt:lpstr>Reco.Apr24</vt:lpstr>
      <vt:lpstr>RECO JULY-24</vt:lpstr>
      <vt:lpstr>JOB Work Summary</vt:lpstr>
      <vt:lpstr>Sheet15</vt:lpstr>
      <vt:lpstr>Sheet10</vt:lpstr>
      <vt:lpstr>Sheet1 (3)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Audit</dc:creator>
  <cp:lastModifiedBy>Negi</cp:lastModifiedBy>
  <cp:lastPrinted>2024-03-06T06:46:47Z</cp:lastPrinted>
  <dcterms:created xsi:type="dcterms:W3CDTF">2022-06-25T11:51:44Z</dcterms:created>
  <dcterms:modified xsi:type="dcterms:W3CDTF">2026-09-05T12:54:25Z</dcterms:modified>
</cp:coreProperties>
</file>